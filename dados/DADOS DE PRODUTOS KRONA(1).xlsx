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iane.silva\Desktop\DAIANE BACK UP 08JUL\DADOS DE PRODUTOS\"/>
    </mc:Choice>
  </mc:AlternateContent>
  <bookViews>
    <workbookView xWindow="0" yWindow="0" windowWidth="19200" windowHeight="6890"/>
  </bookViews>
  <sheets>
    <sheet name="DADOS MATRIZ" sheetId="1" r:id="rId1"/>
    <sheet name="DADOS NE_GO" sheetId="6" r:id="rId2"/>
    <sheet name="informações de produtos" sheetId="4" r:id="rId3"/>
    <sheet name="Resumo" sheetId="5" r:id="rId4"/>
    <sheet name="SB1" sheetId="2" state="hidden" r:id="rId5"/>
    <sheet name="SB5" sheetId="3" state="hidden" r:id="rId6"/>
  </sheets>
  <definedNames>
    <definedName name="_xlnm._FilterDatabase" localSheetId="0" hidden="1">'DADOS MATRIZ'!$B$3:$AD$1065</definedName>
    <definedName name="_xlnm._FilterDatabase" localSheetId="1" hidden="1">'DADOS NE_GO'!$B$3:$AD$1019</definedName>
    <definedName name="_xlnm._FilterDatabase" localSheetId="2" hidden="1">'informações de produtos'!$B$2:$AC$1053</definedName>
    <definedName name="_xlnm._FilterDatabase" localSheetId="4" hidden="1">'SB1'!$A$3:$LK$3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29" i="1" l="1"/>
  <c r="L628" i="1"/>
  <c r="AA32" i="1" l="1"/>
  <c r="AA29" i="1"/>
  <c r="AA31" i="1"/>
  <c r="AA26" i="1"/>
  <c r="AA28" i="1"/>
  <c r="AA25" i="1"/>
  <c r="AA27" i="1"/>
  <c r="AA23" i="1"/>
  <c r="AA24" i="1"/>
  <c r="AA33" i="1"/>
  <c r="AA34" i="1"/>
  <c r="AA35" i="1"/>
  <c r="AA30" i="1"/>
  <c r="L35" i="1"/>
  <c r="L34" i="1"/>
  <c r="L33" i="1"/>
  <c r="L24" i="1"/>
  <c r="L23" i="1"/>
  <c r="L27" i="1"/>
  <c r="L25" i="1"/>
  <c r="L28" i="1"/>
  <c r="L26" i="1"/>
  <c r="L31" i="1"/>
  <c r="L29" i="1"/>
  <c r="L32" i="1"/>
  <c r="L30" i="1"/>
  <c r="AA1018" i="6" l="1"/>
  <c r="L1018" i="6"/>
  <c r="AA1017" i="6"/>
  <c r="L1017" i="6"/>
  <c r="L1016" i="6"/>
  <c r="L1015" i="6"/>
  <c r="AA1014" i="6"/>
  <c r="L1014" i="6"/>
  <c r="L1012" i="6"/>
  <c r="L1011" i="6"/>
  <c r="AA1009" i="6"/>
  <c r="L1009" i="6"/>
  <c r="L1008" i="6"/>
  <c r="L1007" i="6"/>
  <c r="L1006" i="6"/>
  <c r="L1005" i="6"/>
  <c r="L1004" i="6"/>
  <c r="L1003" i="6"/>
  <c r="L1002" i="6"/>
  <c r="L1001" i="6"/>
  <c r="L1000" i="6"/>
  <c r="AA999" i="6"/>
  <c r="L999" i="6"/>
  <c r="AA998" i="6"/>
  <c r="L998" i="6"/>
  <c r="AA997" i="6"/>
  <c r="L997" i="6"/>
  <c r="AA996" i="6"/>
  <c r="L996" i="6"/>
  <c r="AA995" i="6"/>
  <c r="L995" i="6"/>
  <c r="AA994" i="6"/>
  <c r="L994" i="6"/>
  <c r="AA993" i="6"/>
  <c r="L993" i="6"/>
  <c r="AA992" i="6"/>
  <c r="L992" i="6"/>
  <c r="AA991" i="6"/>
  <c r="L991" i="6"/>
  <c r="AA990" i="6"/>
  <c r="L990" i="6"/>
  <c r="AA989" i="6"/>
  <c r="L989" i="6"/>
  <c r="AA988" i="6"/>
  <c r="L988" i="6"/>
  <c r="AA987" i="6"/>
  <c r="L987" i="6"/>
  <c r="AA986" i="6"/>
  <c r="L986" i="6"/>
  <c r="AA985" i="6"/>
  <c r="L985" i="6"/>
  <c r="AA984" i="6"/>
  <c r="L984" i="6"/>
  <c r="AA983" i="6"/>
  <c r="L983" i="6"/>
  <c r="AA982" i="6"/>
  <c r="L982" i="6"/>
  <c r="AA981" i="6"/>
  <c r="L981" i="6"/>
  <c r="AA980" i="6"/>
  <c r="L980" i="6"/>
  <c r="AA979" i="6"/>
  <c r="L979" i="6"/>
  <c r="AA978" i="6"/>
  <c r="L978" i="6"/>
  <c r="AA977" i="6"/>
  <c r="L977" i="6"/>
  <c r="AA976" i="6"/>
  <c r="L976" i="6"/>
  <c r="AA975" i="6"/>
  <c r="L975" i="6"/>
  <c r="AA974" i="6"/>
  <c r="L974" i="6"/>
  <c r="AA973" i="6"/>
  <c r="L973" i="6"/>
  <c r="AA972" i="6"/>
  <c r="L972" i="6"/>
  <c r="AA971" i="6"/>
  <c r="L971" i="6"/>
  <c r="AA970" i="6"/>
  <c r="L970" i="6"/>
  <c r="AA969" i="6"/>
  <c r="L969" i="6"/>
  <c r="AA968" i="6"/>
  <c r="L968" i="6"/>
  <c r="AA967" i="6"/>
  <c r="L967" i="6"/>
  <c r="AA966" i="6"/>
  <c r="L966" i="6"/>
  <c r="AA965" i="6"/>
  <c r="L965" i="6"/>
  <c r="AA964" i="6"/>
  <c r="L964" i="6"/>
  <c r="AA963" i="6"/>
  <c r="L963" i="6"/>
  <c r="AA962" i="6"/>
  <c r="L962" i="6"/>
  <c r="AA961" i="6"/>
  <c r="L961" i="6"/>
  <c r="AA960" i="6"/>
  <c r="L960" i="6"/>
  <c r="AA959" i="6"/>
  <c r="L959" i="6"/>
  <c r="AA958" i="6"/>
  <c r="L958" i="6"/>
  <c r="AA957" i="6"/>
  <c r="L957" i="6"/>
  <c r="AA956" i="6"/>
  <c r="L956" i="6"/>
  <c r="AA955" i="6"/>
  <c r="L955" i="6"/>
  <c r="L954" i="6"/>
  <c r="L953" i="6"/>
  <c r="AA952" i="6"/>
  <c r="L952" i="6"/>
  <c r="AA951" i="6"/>
  <c r="L951" i="6"/>
  <c r="AA950" i="6"/>
  <c r="L950" i="6"/>
  <c r="AA949" i="6"/>
  <c r="L949" i="6"/>
  <c r="AA948" i="6"/>
  <c r="L948" i="6"/>
  <c r="AA946" i="6"/>
  <c r="L946" i="6"/>
  <c r="AA945" i="6"/>
  <c r="L945" i="6"/>
  <c r="AA944" i="6"/>
  <c r="L944" i="6"/>
  <c r="AA943" i="6"/>
  <c r="L943" i="6"/>
  <c r="AA942" i="6"/>
  <c r="L942" i="6"/>
  <c r="AA941" i="6"/>
  <c r="L941" i="6"/>
  <c r="AA940" i="6"/>
  <c r="L940" i="6"/>
  <c r="AA939" i="6"/>
  <c r="L939" i="6"/>
  <c r="AA938" i="6"/>
  <c r="L938" i="6"/>
  <c r="AA937" i="6"/>
  <c r="L937" i="6"/>
  <c r="AA936" i="6"/>
  <c r="L936" i="6"/>
  <c r="AA935" i="6"/>
  <c r="L935" i="6"/>
  <c r="AA934" i="6"/>
  <c r="L934" i="6"/>
  <c r="AA933" i="6"/>
  <c r="L933" i="6"/>
  <c r="AA932" i="6"/>
  <c r="L932" i="6"/>
  <c r="AA931" i="6"/>
  <c r="L931" i="6"/>
  <c r="AA930" i="6"/>
  <c r="L930" i="6"/>
  <c r="AA929" i="6"/>
  <c r="L929" i="6"/>
  <c r="AA928" i="6"/>
  <c r="L928" i="6"/>
  <c r="AA927" i="6"/>
  <c r="L927" i="6"/>
  <c r="AA926" i="6"/>
  <c r="L926" i="6"/>
  <c r="AA925" i="6"/>
  <c r="L925" i="6"/>
  <c r="AA924" i="6"/>
  <c r="L924" i="6"/>
  <c r="AA923" i="6"/>
  <c r="L923" i="6"/>
  <c r="AA922" i="6"/>
  <c r="L922" i="6"/>
  <c r="AA921" i="6"/>
  <c r="L921" i="6"/>
  <c r="AA920" i="6"/>
  <c r="L920" i="6"/>
  <c r="AA919" i="6"/>
  <c r="L919" i="6"/>
  <c r="AA918" i="6"/>
  <c r="L918" i="6"/>
  <c r="AA917" i="6"/>
  <c r="L917" i="6"/>
  <c r="AA916" i="6"/>
  <c r="L916" i="6"/>
  <c r="AA915" i="6"/>
  <c r="L915" i="6"/>
  <c r="AA914" i="6"/>
  <c r="L914" i="6"/>
  <c r="AA913" i="6"/>
  <c r="L913" i="6"/>
  <c r="AA912" i="6"/>
  <c r="L912" i="6"/>
  <c r="AA911" i="6"/>
  <c r="L911" i="6"/>
  <c r="AA910" i="6"/>
  <c r="L910" i="6"/>
  <c r="AA909" i="6"/>
  <c r="L909" i="6"/>
  <c r="AA908" i="6"/>
  <c r="L908" i="6"/>
  <c r="AA907" i="6"/>
  <c r="L907" i="6"/>
  <c r="AA906" i="6"/>
  <c r="L906" i="6"/>
  <c r="AA905" i="6"/>
  <c r="L905" i="6"/>
  <c r="AA904" i="6"/>
  <c r="L904" i="6"/>
  <c r="AA903" i="6"/>
  <c r="L903" i="6"/>
  <c r="AA902" i="6"/>
  <c r="L902" i="6"/>
  <c r="AA901" i="6"/>
  <c r="L901" i="6"/>
  <c r="AA900" i="6"/>
  <c r="L900" i="6"/>
  <c r="AA899" i="6"/>
  <c r="L899" i="6"/>
  <c r="AA898" i="6"/>
  <c r="L898" i="6"/>
  <c r="AA897" i="6"/>
  <c r="L897" i="6"/>
  <c r="AA896" i="6"/>
  <c r="L896" i="6"/>
  <c r="AA895" i="6"/>
  <c r="L895" i="6"/>
  <c r="AA894" i="6"/>
  <c r="L894" i="6"/>
  <c r="AA893" i="6"/>
  <c r="L893" i="6"/>
  <c r="AA892" i="6"/>
  <c r="L892" i="6"/>
  <c r="AA891" i="6"/>
  <c r="L891" i="6"/>
  <c r="AA890" i="6"/>
  <c r="L890" i="6"/>
  <c r="AA889" i="6"/>
  <c r="L889" i="6"/>
  <c r="AA888" i="6"/>
  <c r="L888" i="6"/>
  <c r="AA887" i="6"/>
  <c r="L887" i="6"/>
  <c r="AA886" i="6"/>
  <c r="L886" i="6"/>
  <c r="AA885" i="6"/>
  <c r="L885" i="6"/>
  <c r="AA884" i="6"/>
  <c r="L884" i="6"/>
  <c r="AA883" i="6"/>
  <c r="L883" i="6"/>
  <c r="AA882" i="6"/>
  <c r="L882" i="6"/>
  <c r="AA881" i="6"/>
  <c r="L881" i="6"/>
  <c r="AA880" i="6"/>
  <c r="L880" i="6"/>
  <c r="AA879" i="6"/>
  <c r="L879" i="6"/>
  <c r="AA878" i="6"/>
  <c r="L878" i="6"/>
  <c r="AA877" i="6"/>
  <c r="L877" i="6"/>
  <c r="AA876" i="6"/>
  <c r="L876" i="6"/>
  <c r="AA875" i="6"/>
  <c r="L875" i="6"/>
  <c r="AA874" i="6"/>
  <c r="L874" i="6"/>
  <c r="AA873" i="6"/>
  <c r="L873" i="6"/>
  <c r="AA872" i="6"/>
  <c r="L872" i="6"/>
  <c r="AA871" i="6"/>
  <c r="L871" i="6"/>
  <c r="AA870" i="6"/>
  <c r="L870" i="6"/>
  <c r="AA869" i="6"/>
  <c r="L869" i="6"/>
  <c r="AA868" i="6"/>
  <c r="L868" i="6"/>
  <c r="AA867" i="6"/>
  <c r="L867" i="6"/>
  <c r="AA866" i="6"/>
  <c r="L866" i="6"/>
  <c r="AA865" i="6"/>
  <c r="L865" i="6"/>
  <c r="AA864" i="6"/>
  <c r="L864" i="6"/>
  <c r="AA861" i="6"/>
  <c r="L861" i="6"/>
  <c r="AA860" i="6"/>
  <c r="L860" i="6"/>
  <c r="AA859" i="6"/>
  <c r="L859" i="6"/>
  <c r="AA858" i="6"/>
  <c r="L858" i="6"/>
  <c r="AA857" i="6"/>
  <c r="L857" i="6"/>
  <c r="AA856" i="6"/>
  <c r="L856" i="6"/>
  <c r="AA855" i="6"/>
  <c r="L855" i="6"/>
  <c r="AA854" i="6"/>
  <c r="L854" i="6"/>
  <c r="AA853" i="6"/>
  <c r="L853" i="6"/>
  <c r="AA850" i="6"/>
  <c r="L850" i="6"/>
  <c r="AA849" i="6"/>
  <c r="L849" i="6"/>
  <c r="AA848" i="6"/>
  <c r="L848" i="6"/>
  <c r="AA847" i="6"/>
  <c r="L847" i="6"/>
  <c r="AA846" i="6"/>
  <c r="L846" i="6"/>
  <c r="AA845" i="6"/>
  <c r="L845" i="6"/>
  <c r="AA844" i="6"/>
  <c r="L844" i="6"/>
  <c r="AA843" i="6"/>
  <c r="L843" i="6"/>
  <c r="AA842" i="6"/>
  <c r="L842" i="6"/>
  <c r="AC841" i="6"/>
  <c r="W841" i="6"/>
  <c r="U841" i="6"/>
  <c r="T841" i="6"/>
  <c r="L841" i="6"/>
  <c r="AC840" i="6"/>
  <c r="W840" i="6"/>
  <c r="U840" i="6"/>
  <c r="T840" i="6"/>
  <c r="L840" i="6"/>
  <c r="AC839" i="6"/>
  <c r="W839" i="6"/>
  <c r="U839" i="6"/>
  <c r="T839" i="6"/>
  <c r="L839" i="6"/>
  <c r="AC838" i="6"/>
  <c r="W838" i="6"/>
  <c r="U838" i="6"/>
  <c r="T838" i="6"/>
  <c r="L838" i="6"/>
  <c r="AC837" i="6"/>
  <c r="W837" i="6"/>
  <c r="U837" i="6"/>
  <c r="T837" i="6"/>
  <c r="L837" i="6"/>
  <c r="L836" i="6"/>
  <c r="L835" i="6"/>
  <c r="L834" i="6"/>
  <c r="L833" i="6"/>
  <c r="L832" i="6"/>
  <c r="L822" i="6"/>
  <c r="L821" i="6"/>
  <c r="L817" i="6"/>
  <c r="L808" i="6"/>
  <c r="L803" i="6"/>
  <c r="L799" i="6"/>
  <c r="L792" i="6"/>
  <c r="L787" i="6"/>
  <c r="L782" i="6"/>
  <c r="AA773" i="6"/>
  <c r="L773" i="6"/>
  <c r="AA772" i="6"/>
  <c r="L772" i="6"/>
  <c r="AA771" i="6"/>
  <c r="L771" i="6"/>
  <c r="AA770" i="6"/>
  <c r="L770" i="6"/>
  <c r="AA769" i="6"/>
  <c r="L769" i="6"/>
  <c r="AA768" i="6"/>
  <c r="L768" i="6"/>
  <c r="AA767" i="6"/>
  <c r="L767" i="6"/>
  <c r="AA766" i="6"/>
  <c r="L766" i="6"/>
  <c r="AA765" i="6"/>
  <c r="L765" i="6"/>
  <c r="AA764" i="6"/>
  <c r="L764" i="6"/>
  <c r="AA763" i="6"/>
  <c r="L763" i="6"/>
  <c r="AA762" i="6"/>
  <c r="L762" i="6"/>
  <c r="AA761" i="6"/>
  <c r="L761" i="6"/>
  <c r="AA760" i="6"/>
  <c r="L760" i="6"/>
  <c r="AA759" i="6"/>
  <c r="L759" i="6"/>
  <c r="AA758" i="6"/>
  <c r="L758" i="6"/>
  <c r="AA757" i="6"/>
  <c r="L757" i="6"/>
  <c r="AA756" i="6"/>
  <c r="L756" i="6"/>
  <c r="AA755" i="6"/>
  <c r="L755" i="6"/>
  <c r="AA754" i="6"/>
  <c r="L754" i="6"/>
  <c r="AA753" i="6"/>
  <c r="L753" i="6"/>
  <c r="AA752" i="6"/>
  <c r="L752" i="6"/>
  <c r="AA751" i="6"/>
  <c r="L751" i="6"/>
  <c r="AA750" i="6"/>
  <c r="L750" i="6"/>
  <c r="AA749" i="6"/>
  <c r="L749" i="6"/>
  <c r="AA748" i="6"/>
  <c r="L748" i="6"/>
  <c r="AA747" i="6"/>
  <c r="L747" i="6"/>
  <c r="AA746" i="6"/>
  <c r="L746" i="6"/>
  <c r="AA745" i="6"/>
  <c r="L745" i="6"/>
  <c r="AA744" i="6"/>
  <c r="L744" i="6"/>
  <c r="AA743" i="6"/>
  <c r="L743" i="6"/>
  <c r="AA742" i="6"/>
  <c r="L742" i="6"/>
  <c r="AA741" i="6"/>
  <c r="L741" i="6"/>
  <c r="AA740" i="6"/>
  <c r="L740" i="6"/>
  <c r="AA739" i="6"/>
  <c r="L739" i="6"/>
  <c r="AA738" i="6"/>
  <c r="L738" i="6"/>
  <c r="AA737" i="6"/>
  <c r="L737" i="6"/>
  <c r="AA736" i="6"/>
  <c r="L736" i="6"/>
  <c r="AA735" i="6"/>
  <c r="L735" i="6"/>
  <c r="AA734" i="6"/>
  <c r="L734" i="6"/>
  <c r="AA733" i="6"/>
  <c r="L733" i="6"/>
  <c r="AA732" i="6"/>
  <c r="L732" i="6"/>
  <c r="AA731" i="6"/>
  <c r="L731" i="6"/>
  <c r="AA730" i="6"/>
  <c r="L730" i="6"/>
  <c r="AA729" i="6"/>
  <c r="L729" i="6"/>
  <c r="AA728" i="6"/>
  <c r="L728" i="6"/>
  <c r="AA727" i="6"/>
  <c r="L727" i="6"/>
  <c r="AA726" i="6"/>
  <c r="L726" i="6"/>
  <c r="AA725" i="6"/>
  <c r="L725" i="6"/>
  <c r="AA724" i="6"/>
  <c r="L724" i="6"/>
  <c r="AA723" i="6"/>
  <c r="L723" i="6"/>
  <c r="AA722" i="6"/>
  <c r="L722" i="6"/>
  <c r="AA721" i="6"/>
  <c r="L721" i="6"/>
  <c r="AA720" i="6"/>
  <c r="L720" i="6"/>
  <c r="AA719" i="6"/>
  <c r="L719" i="6"/>
  <c r="AA718" i="6"/>
  <c r="L718" i="6"/>
  <c r="AA717" i="6"/>
  <c r="L717" i="6"/>
  <c r="AA710" i="6"/>
  <c r="L710" i="6"/>
  <c r="AA709" i="6"/>
  <c r="L709" i="6"/>
  <c r="AA708" i="6"/>
  <c r="L708" i="6"/>
  <c r="AA707" i="6"/>
  <c r="L707" i="6"/>
  <c r="L706" i="6"/>
  <c r="L705" i="6"/>
  <c r="L704" i="6"/>
  <c r="L703" i="6"/>
  <c r="L702" i="6"/>
  <c r="L701" i="6"/>
  <c r="L700" i="6"/>
  <c r="L699" i="6"/>
  <c r="L698" i="6"/>
  <c r="L697" i="6"/>
  <c r="L696" i="6"/>
  <c r="L695" i="6"/>
  <c r="L694" i="6"/>
  <c r="L693" i="6"/>
  <c r="AA687" i="6"/>
  <c r="L687" i="6"/>
  <c r="AA686" i="6"/>
  <c r="L686" i="6"/>
  <c r="AA685" i="6"/>
  <c r="L685" i="6"/>
  <c r="L683" i="6"/>
  <c r="L682" i="6"/>
  <c r="L681" i="6"/>
  <c r="L680" i="6"/>
  <c r="L679" i="6"/>
  <c r="L678" i="6"/>
  <c r="L677" i="6"/>
  <c r="L676" i="6"/>
  <c r="L675" i="6"/>
  <c r="L674" i="6"/>
  <c r="L673" i="6"/>
  <c r="L672" i="6"/>
  <c r="L671" i="6"/>
  <c r="L670" i="6"/>
  <c r="AA669" i="6"/>
  <c r="L669" i="6"/>
  <c r="L668" i="6"/>
  <c r="L667" i="6"/>
  <c r="L666" i="6"/>
  <c r="L665" i="6"/>
  <c r="AA664" i="6"/>
  <c r="L664" i="6"/>
  <c r="L663" i="6"/>
  <c r="AA662" i="6"/>
  <c r="L662" i="6"/>
  <c r="L661" i="6"/>
  <c r="AA660" i="6"/>
  <c r="L660" i="6"/>
  <c r="AA658" i="6"/>
  <c r="L658" i="6"/>
  <c r="AA656" i="6"/>
  <c r="L656" i="6"/>
  <c r="AA655" i="6"/>
  <c r="L655" i="6"/>
  <c r="L654" i="6"/>
  <c r="L653" i="6"/>
  <c r="AA652" i="6"/>
  <c r="L652" i="6"/>
  <c r="AA650" i="6"/>
  <c r="L650" i="6"/>
  <c r="AA649" i="6"/>
  <c r="L649" i="6"/>
  <c r="AA648" i="6"/>
  <c r="L648" i="6"/>
  <c r="AA647" i="6"/>
  <c r="L647" i="6"/>
  <c r="AA646" i="6"/>
  <c r="L646" i="6"/>
  <c r="AA645" i="6"/>
  <c r="L645" i="6"/>
  <c r="L644" i="6"/>
  <c r="L643" i="6"/>
  <c r="L642" i="6"/>
  <c r="L639" i="6"/>
  <c r="L638" i="6"/>
  <c r="L637" i="6"/>
  <c r="AC636" i="6"/>
  <c r="W636" i="6"/>
  <c r="U636" i="6"/>
  <c r="T636" i="6"/>
  <c r="M636" i="6"/>
  <c r="L636" i="6"/>
  <c r="H636" i="6"/>
  <c r="AC635" i="6"/>
  <c r="W635" i="6"/>
  <c r="U635" i="6"/>
  <c r="T635" i="6"/>
  <c r="M635" i="6"/>
  <c r="L635" i="6"/>
  <c r="H635" i="6"/>
  <c r="AC634" i="6"/>
  <c r="W634" i="6"/>
  <c r="U634" i="6"/>
  <c r="T634" i="6"/>
  <c r="M634" i="6"/>
  <c r="L634" i="6"/>
  <c r="H634" i="6"/>
  <c r="AC633" i="6"/>
  <c r="W633" i="6"/>
  <c r="U633" i="6"/>
  <c r="T633" i="6"/>
  <c r="M633" i="6"/>
  <c r="L633" i="6"/>
  <c r="H633" i="6"/>
  <c r="AC632" i="6"/>
  <c r="W632" i="6"/>
  <c r="U632" i="6"/>
  <c r="T632" i="6"/>
  <c r="M632" i="6"/>
  <c r="L632" i="6"/>
  <c r="H632" i="6"/>
  <c r="AA631" i="6"/>
  <c r="L631" i="6"/>
  <c r="AA630" i="6"/>
  <c r="L630" i="6"/>
  <c r="AA629" i="6"/>
  <c r="L629" i="6"/>
  <c r="AA626" i="6"/>
  <c r="L626" i="6"/>
  <c r="AA625" i="6"/>
  <c r="L625" i="6"/>
  <c r="L624" i="6"/>
  <c r="L623" i="6"/>
  <c r="L622" i="6"/>
  <c r="AA621" i="6"/>
  <c r="L621" i="6"/>
  <c r="AA620" i="6"/>
  <c r="L620" i="6"/>
  <c r="AA619" i="6"/>
  <c r="L619" i="6"/>
  <c r="AA618" i="6"/>
  <c r="L618" i="6"/>
  <c r="AA617" i="6"/>
  <c r="L617" i="6"/>
  <c r="AA616" i="6"/>
  <c r="L616" i="6"/>
  <c r="AA615" i="6"/>
  <c r="L615" i="6"/>
  <c r="AA614" i="6"/>
  <c r="L614" i="6"/>
  <c r="AA608" i="6"/>
  <c r="L608" i="6"/>
  <c r="AA607" i="6"/>
  <c r="L607" i="6"/>
  <c r="AA606" i="6"/>
  <c r="L606" i="6"/>
  <c r="AA605" i="6"/>
  <c r="L605" i="6"/>
  <c r="AA604" i="6"/>
  <c r="L604" i="6"/>
  <c r="AA603" i="6"/>
  <c r="L603" i="6"/>
  <c r="AA602" i="6"/>
  <c r="L602" i="6"/>
  <c r="AA601" i="6"/>
  <c r="L601" i="6"/>
  <c r="AA600" i="6"/>
  <c r="L600" i="6"/>
  <c r="AA598" i="6"/>
  <c r="L598" i="6"/>
  <c r="AA597" i="6"/>
  <c r="L597" i="6"/>
  <c r="AA596" i="6"/>
  <c r="L596" i="6"/>
  <c r="AA595" i="6"/>
  <c r="L595" i="6"/>
  <c r="AA594" i="6"/>
  <c r="L594" i="6"/>
  <c r="AA593" i="6"/>
  <c r="L593" i="6"/>
  <c r="AA592" i="6"/>
  <c r="L592" i="6"/>
  <c r="AA591" i="6"/>
  <c r="L591" i="6"/>
  <c r="L590" i="6"/>
  <c r="L589" i="6"/>
  <c r="L588" i="6"/>
  <c r="L587" i="6"/>
  <c r="L586" i="6"/>
  <c r="L585" i="6"/>
  <c r="L584" i="6"/>
  <c r="L583" i="6"/>
  <c r="L582" i="6"/>
  <c r="AA581" i="6"/>
  <c r="L581" i="6"/>
  <c r="AA580" i="6"/>
  <c r="L580" i="6"/>
  <c r="AA578" i="6"/>
  <c r="L578" i="6"/>
  <c r="AA577" i="6"/>
  <c r="L577" i="6"/>
  <c r="L576" i="6"/>
  <c r="L575" i="6"/>
  <c r="L574" i="6"/>
  <c r="L573" i="6"/>
  <c r="L572" i="6"/>
  <c r="AA571" i="6"/>
  <c r="L571" i="6"/>
  <c r="AA570" i="6"/>
  <c r="L570" i="6"/>
  <c r="AA569" i="6"/>
  <c r="L569" i="6"/>
  <c r="AA568" i="6"/>
  <c r="L568" i="6"/>
  <c r="AA567" i="6"/>
  <c r="L567" i="6"/>
  <c r="AA566" i="6"/>
  <c r="L566" i="6"/>
  <c r="L565" i="6"/>
  <c r="AA564" i="6"/>
  <c r="L564" i="6"/>
  <c r="AA563" i="6"/>
  <c r="L563" i="6"/>
  <c r="AA562" i="6"/>
  <c r="L562" i="6"/>
  <c r="AA561" i="6"/>
  <c r="L561" i="6"/>
  <c r="AA560" i="6"/>
  <c r="L560" i="6"/>
  <c r="AA559" i="6"/>
  <c r="L559" i="6"/>
  <c r="AA558" i="6"/>
  <c r="L558" i="6"/>
  <c r="AA557" i="6"/>
  <c r="L557" i="6"/>
  <c r="AA556" i="6"/>
  <c r="L556" i="6"/>
  <c r="AA555" i="6"/>
  <c r="L555" i="6"/>
  <c r="AA554" i="6"/>
  <c r="L554" i="6"/>
  <c r="L553" i="6"/>
  <c r="AA552" i="6"/>
  <c r="L552" i="6"/>
  <c r="AA551" i="6"/>
  <c r="L551" i="6"/>
  <c r="AA550" i="6"/>
  <c r="L550" i="6"/>
  <c r="AA549" i="6"/>
  <c r="L549" i="6"/>
  <c r="AA548" i="6"/>
  <c r="L548" i="6"/>
  <c r="L547" i="6"/>
  <c r="L546" i="6"/>
  <c r="L545" i="6"/>
  <c r="AA544" i="6"/>
  <c r="L544" i="6"/>
  <c r="AA543" i="6"/>
  <c r="L543" i="6"/>
  <c r="L542" i="6"/>
  <c r="L541" i="6"/>
  <c r="AA540" i="6"/>
  <c r="L540" i="6"/>
  <c r="L538" i="6"/>
  <c r="AA537" i="6"/>
  <c r="L537" i="6"/>
  <c r="L536" i="6"/>
  <c r="L535" i="6"/>
  <c r="L534" i="6"/>
  <c r="L533" i="6"/>
  <c r="AA532" i="6"/>
  <c r="L532" i="6"/>
  <c r="L531" i="6"/>
  <c r="AA530" i="6"/>
  <c r="L530" i="6"/>
  <c r="AA529" i="6"/>
  <c r="L529" i="6"/>
  <c r="AA528" i="6"/>
  <c r="L528" i="6"/>
  <c r="AA527" i="6"/>
  <c r="L527" i="6"/>
  <c r="AA526" i="6"/>
  <c r="L526" i="6"/>
  <c r="AA525" i="6"/>
  <c r="L525" i="6"/>
  <c r="L524" i="6"/>
  <c r="L523" i="6"/>
  <c r="L522" i="6"/>
  <c r="L521" i="6"/>
  <c r="L514" i="6"/>
  <c r="AA513" i="6"/>
  <c r="L513" i="6"/>
  <c r="AA512" i="6"/>
  <c r="L512" i="6"/>
  <c r="AA511" i="6"/>
  <c r="L511" i="6"/>
  <c r="AA510" i="6"/>
  <c r="L510" i="6"/>
  <c r="AA509" i="6"/>
  <c r="L509" i="6"/>
  <c r="AA508" i="6"/>
  <c r="L508" i="6"/>
  <c r="AA507" i="6"/>
  <c r="L507" i="6"/>
  <c r="AA506" i="6"/>
  <c r="L506" i="6"/>
  <c r="AA505" i="6"/>
  <c r="L505" i="6"/>
  <c r="AA504" i="6"/>
  <c r="L504" i="6"/>
  <c r="AA503" i="6"/>
  <c r="L503" i="6"/>
  <c r="AA502" i="6"/>
  <c r="L502" i="6"/>
  <c r="AA501" i="6"/>
  <c r="L501" i="6"/>
  <c r="L500" i="6"/>
  <c r="L499" i="6"/>
  <c r="L498" i="6"/>
  <c r="L497" i="6"/>
  <c r="L496" i="6"/>
  <c r="AA493" i="6"/>
  <c r="L493" i="6"/>
  <c r="AA492" i="6"/>
  <c r="L492" i="6"/>
  <c r="AA491" i="6"/>
  <c r="L491" i="6"/>
  <c r="AA490" i="6"/>
  <c r="L490" i="6"/>
  <c r="AA489" i="6"/>
  <c r="L489" i="6"/>
  <c r="AA488" i="6"/>
  <c r="L488" i="6"/>
  <c r="AA487" i="6"/>
  <c r="L487" i="6"/>
  <c r="AA486" i="6"/>
  <c r="L486" i="6"/>
  <c r="AA485" i="6"/>
  <c r="L485" i="6"/>
  <c r="AA484" i="6"/>
  <c r="L484" i="6"/>
  <c r="AA478" i="6"/>
  <c r="L478" i="6"/>
  <c r="AA477" i="6"/>
  <c r="L477" i="6"/>
  <c r="AA476" i="6"/>
  <c r="L476" i="6"/>
  <c r="L475" i="6"/>
  <c r="L474" i="6"/>
  <c r="AA472" i="6"/>
  <c r="L472" i="6"/>
  <c r="AA471" i="6"/>
  <c r="L471" i="6"/>
  <c r="AA470" i="6"/>
  <c r="L470" i="6"/>
  <c r="AA469" i="6"/>
  <c r="L469" i="6"/>
  <c r="AA468" i="6"/>
  <c r="L468" i="6"/>
  <c r="AA467" i="6"/>
  <c r="L467" i="6"/>
  <c r="AA466" i="6"/>
  <c r="L466" i="6"/>
  <c r="L465" i="6"/>
  <c r="L464" i="6"/>
  <c r="L463" i="6"/>
  <c r="L462" i="6"/>
  <c r="L461" i="6"/>
  <c r="L460" i="6"/>
  <c r="L459" i="6"/>
  <c r="L458" i="6"/>
  <c r="L457" i="6"/>
  <c r="L456" i="6"/>
  <c r="L455" i="6"/>
  <c r="AA454" i="6"/>
  <c r="L454" i="6"/>
  <c r="L453" i="6"/>
  <c r="L452" i="6"/>
  <c r="L451" i="6"/>
  <c r="AA450" i="6"/>
  <c r="L450" i="6"/>
  <c r="AA449" i="6"/>
  <c r="L449" i="6"/>
  <c r="AA448" i="6"/>
  <c r="L448" i="6"/>
  <c r="AA447" i="6"/>
  <c r="L447" i="6"/>
  <c r="AA446" i="6"/>
  <c r="L446" i="6"/>
  <c r="L445" i="6"/>
  <c r="AA444" i="6"/>
  <c r="L444" i="6"/>
  <c r="L443" i="6"/>
  <c r="L442" i="6"/>
  <c r="L441" i="6"/>
  <c r="L440" i="6"/>
  <c r="L439" i="6"/>
  <c r="L438" i="6"/>
  <c r="L437" i="6"/>
  <c r="AA436" i="6"/>
  <c r="L436" i="6"/>
  <c r="AA435" i="6"/>
  <c r="L435" i="6"/>
  <c r="L434" i="6"/>
  <c r="L433" i="6"/>
  <c r="L432" i="6"/>
  <c r="AA431" i="6"/>
  <c r="L431" i="6"/>
  <c r="L430" i="6"/>
  <c r="L429" i="6"/>
  <c r="AA428" i="6"/>
  <c r="L428" i="6"/>
  <c r="AA427" i="6"/>
  <c r="L427" i="6"/>
  <c r="AA426" i="6"/>
  <c r="L426" i="6"/>
  <c r="L425" i="6"/>
  <c r="L424" i="6"/>
  <c r="L423" i="6"/>
  <c r="AA422" i="6"/>
  <c r="L422" i="6"/>
  <c r="AA421" i="6"/>
  <c r="L421" i="6"/>
  <c r="L420" i="6"/>
  <c r="L419" i="6"/>
  <c r="L418" i="6"/>
  <c r="L417" i="6"/>
  <c r="L416" i="6"/>
  <c r="L415" i="6"/>
  <c r="L414" i="6"/>
  <c r="L413" i="6"/>
  <c r="AA412" i="6"/>
  <c r="L412" i="6"/>
  <c r="L411" i="6"/>
  <c r="L410" i="6"/>
  <c r="AA408" i="6"/>
  <c r="L408" i="6"/>
  <c r="AA407" i="6"/>
  <c r="L407" i="6"/>
  <c r="AA406" i="6"/>
  <c r="L406" i="6"/>
  <c r="AA405" i="6"/>
  <c r="L405" i="6"/>
  <c r="L404" i="6"/>
  <c r="L403" i="6"/>
  <c r="L402" i="6"/>
  <c r="L401" i="6"/>
  <c r="AA400" i="6"/>
  <c r="L400" i="6"/>
  <c r="AA399" i="6"/>
  <c r="L399" i="6"/>
  <c r="L398" i="6"/>
  <c r="L397" i="6"/>
  <c r="L396" i="6"/>
  <c r="AA395" i="6"/>
  <c r="L395" i="6"/>
  <c r="AA394" i="6"/>
  <c r="L394" i="6"/>
  <c r="AA393" i="6"/>
  <c r="L393" i="6"/>
  <c r="L392" i="6"/>
  <c r="L391" i="6"/>
  <c r="AA390" i="6"/>
  <c r="L390" i="6"/>
  <c r="AA389" i="6"/>
  <c r="L389" i="6"/>
  <c r="L388" i="6"/>
  <c r="L387" i="6"/>
  <c r="AA386" i="6"/>
  <c r="L386" i="6"/>
  <c r="AA385" i="6"/>
  <c r="L385" i="6"/>
  <c r="AA384" i="6"/>
  <c r="L384" i="6"/>
  <c r="L383" i="6"/>
  <c r="L382" i="6"/>
  <c r="AA381" i="6"/>
  <c r="L381" i="6"/>
  <c r="AA380" i="6"/>
  <c r="L380" i="6"/>
  <c r="AA379" i="6"/>
  <c r="L379" i="6"/>
  <c r="AA378" i="6"/>
  <c r="L378" i="6"/>
  <c r="AA377" i="6"/>
  <c r="L377" i="6"/>
  <c r="AA376" i="6"/>
  <c r="L376" i="6"/>
  <c r="AA375" i="6"/>
  <c r="L375" i="6"/>
  <c r="AA374" i="6"/>
  <c r="L374" i="6"/>
  <c r="AA373" i="6"/>
  <c r="L373" i="6"/>
  <c r="AA372" i="6"/>
  <c r="L372" i="6"/>
  <c r="AA371" i="6"/>
  <c r="L371" i="6"/>
  <c r="AA370" i="6"/>
  <c r="L370" i="6"/>
  <c r="AA369" i="6"/>
  <c r="L369" i="6"/>
  <c r="AA368" i="6"/>
  <c r="L368" i="6"/>
  <c r="AA367" i="6"/>
  <c r="L367" i="6"/>
  <c r="AA366" i="6"/>
  <c r="L366" i="6"/>
  <c r="AA365" i="6"/>
  <c r="L365" i="6"/>
  <c r="AA364" i="6"/>
  <c r="L364" i="6"/>
  <c r="AA363" i="6"/>
  <c r="L363" i="6"/>
  <c r="AA362" i="6"/>
  <c r="L362" i="6"/>
  <c r="AA361" i="6"/>
  <c r="L361" i="6"/>
  <c r="AA360" i="6"/>
  <c r="L360" i="6"/>
  <c r="AA359" i="6"/>
  <c r="L359" i="6"/>
  <c r="AA358" i="6"/>
  <c r="L358" i="6"/>
  <c r="AA357" i="6"/>
  <c r="L357" i="6"/>
  <c r="AA356" i="6"/>
  <c r="L356" i="6"/>
  <c r="AA355" i="6"/>
  <c r="L355" i="6"/>
  <c r="AA354" i="6"/>
  <c r="L354" i="6"/>
  <c r="AA353" i="6"/>
  <c r="L353" i="6"/>
  <c r="L352" i="6"/>
  <c r="L351" i="6"/>
  <c r="L350" i="6"/>
  <c r="AA349" i="6"/>
  <c r="L349" i="6"/>
  <c r="AA348" i="6"/>
  <c r="L348" i="6"/>
  <c r="AA347" i="6"/>
  <c r="L347" i="6"/>
  <c r="AA346" i="6"/>
  <c r="L346" i="6"/>
  <c r="AA345" i="6"/>
  <c r="L345" i="6"/>
  <c r="AA344" i="6"/>
  <c r="L344" i="6"/>
  <c r="L343" i="6"/>
  <c r="L342" i="6"/>
  <c r="L341" i="6"/>
  <c r="AA340" i="6"/>
  <c r="L340" i="6"/>
  <c r="AA339" i="6"/>
  <c r="L339" i="6"/>
  <c r="AA338" i="6"/>
  <c r="L338" i="6"/>
  <c r="AA337" i="6"/>
  <c r="L337" i="6"/>
  <c r="AA336" i="6"/>
  <c r="L336" i="6"/>
  <c r="AA335" i="6"/>
  <c r="L335" i="6"/>
  <c r="AA332" i="6"/>
  <c r="L332" i="6"/>
  <c r="L331" i="6"/>
  <c r="AA330" i="6"/>
  <c r="L330" i="6"/>
  <c r="AA329" i="6"/>
  <c r="L329" i="6"/>
  <c r="AA328" i="6"/>
  <c r="L328" i="6"/>
  <c r="AA327" i="6"/>
  <c r="L327" i="6"/>
  <c r="AA326" i="6"/>
  <c r="L326" i="6"/>
  <c r="AA325" i="6"/>
  <c r="L325" i="6"/>
  <c r="AA324" i="6"/>
  <c r="L324" i="6"/>
  <c r="AA323" i="6"/>
  <c r="L323" i="6"/>
  <c r="AA322" i="6"/>
  <c r="L322" i="6"/>
  <c r="AA321" i="6"/>
  <c r="L321" i="6"/>
  <c r="AA320" i="6"/>
  <c r="L320" i="6"/>
  <c r="AA319" i="6"/>
  <c r="L319" i="6"/>
  <c r="AA318" i="6"/>
  <c r="L318" i="6"/>
  <c r="AA317" i="6"/>
  <c r="L317" i="6"/>
  <c r="AA316" i="6"/>
  <c r="L316" i="6"/>
  <c r="AA315" i="6"/>
  <c r="L315" i="6"/>
  <c r="AA314" i="6"/>
  <c r="L314" i="6"/>
  <c r="AA313" i="6"/>
  <c r="L313" i="6"/>
  <c r="AA312" i="6"/>
  <c r="L312" i="6"/>
  <c r="AA311" i="6"/>
  <c r="L311" i="6"/>
  <c r="AA310" i="6"/>
  <c r="L310" i="6"/>
  <c r="AA309" i="6"/>
  <c r="L309" i="6"/>
  <c r="AA308" i="6"/>
  <c r="L308" i="6"/>
  <c r="AA307" i="6"/>
  <c r="L307" i="6"/>
  <c r="AA306" i="6"/>
  <c r="L306" i="6"/>
  <c r="AA305" i="6"/>
  <c r="L305" i="6"/>
  <c r="AA304" i="6"/>
  <c r="L304" i="6"/>
  <c r="AA303" i="6"/>
  <c r="L303" i="6"/>
  <c r="AA302" i="6"/>
  <c r="L302" i="6"/>
  <c r="AA301" i="6"/>
  <c r="L301" i="6"/>
  <c r="AA300" i="6"/>
  <c r="L300" i="6"/>
  <c r="AA299" i="6"/>
  <c r="L299" i="6"/>
  <c r="AA298" i="6"/>
  <c r="L298" i="6"/>
  <c r="AA297" i="6"/>
  <c r="L297" i="6"/>
  <c r="AA296" i="6"/>
  <c r="L296" i="6"/>
  <c r="AA295" i="6"/>
  <c r="L295" i="6"/>
  <c r="AA294" i="6"/>
  <c r="L294" i="6"/>
  <c r="AA293" i="6"/>
  <c r="L293" i="6"/>
  <c r="AA292" i="6"/>
  <c r="L292" i="6"/>
  <c r="AA291" i="6"/>
  <c r="L291" i="6"/>
  <c r="AA290" i="6"/>
  <c r="L290" i="6"/>
  <c r="AA289" i="6"/>
  <c r="L289" i="6"/>
  <c r="AA288" i="6"/>
  <c r="L288" i="6"/>
  <c r="AA287" i="6"/>
  <c r="L287" i="6"/>
  <c r="AA286" i="6"/>
  <c r="L286" i="6"/>
  <c r="AA285" i="6"/>
  <c r="L285" i="6"/>
  <c r="AA284" i="6"/>
  <c r="L284" i="6"/>
  <c r="AA283" i="6"/>
  <c r="L283" i="6"/>
  <c r="AA282" i="6"/>
  <c r="L282" i="6"/>
  <c r="AA281" i="6"/>
  <c r="L281" i="6"/>
  <c r="AA280" i="6"/>
  <c r="L280" i="6"/>
  <c r="AA279" i="6"/>
  <c r="L279" i="6"/>
  <c r="AA278" i="6"/>
  <c r="L278" i="6"/>
  <c r="AA277" i="6"/>
  <c r="L277" i="6"/>
  <c r="AA276" i="6"/>
  <c r="L276" i="6"/>
  <c r="AA275" i="6"/>
  <c r="L275" i="6"/>
  <c r="AA274" i="6"/>
  <c r="L274" i="6"/>
  <c r="AA273" i="6"/>
  <c r="L273" i="6"/>
  <c r="AA272" i="6"/>
  <c r="L272" i="6"/>
  <c r="AA271" i="6"/>
  <c r="L271" i="6"/>
  <c r="AA270" i="6"/>
  <c r="L270" i="6"/>
  <c r="AA269" i="6"/>
  <c r="L269" i="6"/>
  <c r="AA268" i="6"/>
  <c r="L268" i="6"/>
  <c r="AA267" i="6"/>
  <c r="L267" i="6"/>
  <c r="AA266" i="6"/>
  <c r="L266" i="6"/>
  <c r="AA265" i="6"/>
  <c r="L265" i="6"/>
  <c r="AA264" i="6"/>
  <c r="L264" i="6"/>
  <c r="AA263" i="6"/>
  <c r="L263" i="6"/>
  <c r="AA262" i="6"/>
  <c r="L262" i="6"/>
  <c r="AA261" i="6"/>
  <c r="L261" i="6"/>
  <c r="AA260" i="6"/>
  <c r="L260" i="6"/>
  <c r="AA259" i="6"/>
  <c r="L259" i="6"/>
  <c r="AA258" i="6"/>
  <c r="L258" i="6"/>
  <c r="AA257" i="6"/>
  <c r="L257" i="6"/>
  <c r="AA256" i="6"/>
  <c r="L256" i="6"/>
  <c r="AA255" i="6"/>
  <c r="L255" i="6"/>
  <c r="AA254" i="6"/>
  <c r="L254" i="6"/>
  <c r="AA253" i="6"/>
  <c r="L253" i="6"/>
  <c r="AA252" i="6"/>
  <c r="L252" i="6"/>
  <c r="AA251" i="6"/>
  <c r="L251" i="6"/>
  <c r="AA250" i="6"/>
  <c r="L250" i="6"/>
  <c r="AA249" i="6"/>
  <c r="L249" i="6"/>
  <c r="AA248" i="6"/>
  <c r="L248" i="6"/>
  <c r="AA247" i="6"/>
  <c r="L247" i="6"/>
  <c r="AA246" i="6"/>
  <c r="L246" i="6"/>
  <c r="AA245" i="6"/>
  <c r="L245" i="6"/>
  <c r="AA244" i="6"/>
  <c r="L244" i="6"/>
  <c r="AA243" i="6"/>
  <c r="L243" i="6"/>
  <c r="AA242" i="6"/>
  <c r="L242" i="6"/>
  <c r="AA241" i="6"/>
  <c r="L241" i="6"/>
  <c r="AA240" i="6"/>
  <c r="L240" i="6"/>
  <c r="AA239" i="6"/>
  <c r="L239" i="6"/>
  <c r="AA238" i="6"/>
  <c r="L238" i="6"/>
  <c r="AA237" i="6"/>
  <c r="L237" i="6"/>
  <c r="AA236" i="6"/>
  <c r="L236" i="6"/>
  <c r="AA235" i="6"/>
  <c r="L235" i="6"/>
  <c r="AA234" i="6"/>
  <c r="L234" i="6"/>
  <c r="AA233" i="6"/>
  <c r="L233" i="6"/>
  <c r="AA232" i="6"/>
  <c r="L232" i="6"/>
  <c r="AA231" i="6"/>
  <c r="L231" i="6"/>
  <c r="AA230" i="6"/>
  <c r="L230" i="6"/>
  <c r="AA229" i="6"/>
  <c r="L229" i="6"/>
  <c r="AA228" i="6"/>
  <c r="L228" i="6"/>
  <c r="AA227" i="6"/>
  <c r="L227" i="6"/>
  <c r="AA226" i="6"/>
  <c r="L226" i="6"/>
  <c r="AA225" i="6"/>
  <c r="L225" i="6"/>
  <c r="AA224" i="6"/>
  <c r="L224" i="6"/>
  <c r="AA223" i="6"/>
  <c r="L223" i="6"/>
  <c r="AA222" i="6"/>
  <c r="L222" i="6"/>
  <c r="AA221" i="6"/>
  <c r="L221" i="6"/>
  <c r="AA220" i="6"/>
  <c r="L220" i="6"/>
  <c r="AA219" i="6"/>
  <c r="L219" i="6"/>
  <c r="AA218" i="6"/>
  <c r="L218" i="6"/>
  <c r="AA217" i="6"/>
  <c r="L217" i="6"/>
  <c r="AA216" i="6"/>
  <c r="L216" i="6"/>
  <c r="AA215" i="6"/>
  <c r="L215" i="6"/>
  <c r="AA214" i="6"/>
  <c r="L214" i="6"/>
  <c r="AA213" i="6"/>
  <c r="L213" i="6"/>
  <c r="AA212" i="6"/>
  <c r="L212" i="6"/>
  <c r="AA211" i="6"/>
  <c r="L211" i="6"/>
  <c r="AA210" i="6"/>
  <c r="L210" i="6"/>
  <c r="AA209" i="6"/>
  <c r="L209" i="6"/>
  <c r="AA208" i="6"/>
  <c r="L208" i="6"/>
  <c r="AA207" i="6"/>
  <c r="L207" i="6"/>
  <c r="AA206" i="6"/>
  <c r="L206" i="6"/>
  <c r="AA205" i="6"/>
  <c r="L205" i="6"/>
  <c r="AA204" i="6"/>
  <c r="L204" i="6"/>
  <c r="AA203" i="6"/>
  <c r="L203" i="6"/>
  <c r="AA202" i="6"/>
  <c r="L202" i="6"/>
  <c r="AA201" i="6"/>
  <c r="L201" i="6"/>
  <c r="AA200" i="6"/>
  <c r="L200" i="6"/>
  <c r="AA199" i="6"/>
  <c r="L199" i="6"/>
  <c r="AA198" i="6"/>
  <c r="L198" i="6"/>
  <c r="AA197" i="6"/>
  <c r="L197" i="6"/>
  <c r="AA196" i="6"/>
  <c r="L196" i="6"/>
  <c r="AA195" i="6"/>
  <c r="L195" i="6"/>
  <c r="AA194" i="6"/>
  <c r="L194" i="6"/>
  <c r="AA193" i="6"/>
  <c r="L193" i="6"/>
  <c r="AA192" i="6"/>
  <c r="L192" i="6"/>
  <c r="AA191" i="6"/>
  <c r="L191" i="6"/>
  <c r="AA190" i="6"/>
  <c r="L190" i="6"/>
  <c r="AA189" i="6"/>
  <c r="L189" i="6"/>
  <c r="AA188" i="6"/>
  <c r="L188" i="6"/>
  <c r="AA187" i="6"/>
  <c r="L187" i="6"/>
  <c r="AA186" i="6"/>
  <c r="L186" i="6"/>
  <c r="AA185" i="6"/>
  <c r="L185" i="6"/>
  <c r="AA184" i="6"/>
  <c r="L184" i="6"/>
  <c r="AA183" i="6"/>
  <c r="L183" i="6"/>
  <c r="AA182" i="6"/>
  <c r="L182" i="6"/>
  <c r="AA181" i="6"/>
  <c r="L181" i="6"/>
  <c r="AA180" i="6"/>
  <c r="L180" i="6"/>
  <c r="AA179" i="6"/>
  <c r="L179" i="6"/>
  <c r="AA178" i="6"/>
  <c r="L178" i="6"/>
  <c r="AA177" i="6"/>
  <c r="L177" i="6"/>
  <c r="AA176" i="6"/>
  <c r="L176" i="6"/>
  <c r="AA175" i="6"/>
  <c r="L175" i="6"/>
  <c r="AA174" i="6"/>
  <c r="L174" i="6"/>
  <c r="AA173" i="6"/>
  <c r="L173" i="6"/>
  <c r="AA172" i="6"/>
  <c r="L172" i="6"/>
  <c r="AA171" i="6"/>
  <c r="L171" i="6"/>
  <c r="AA170" i="6"/>
  <c r="L170" i="6"/>
  <c r="AA169" i="6"/>
  <c r="L169" i="6"/>
  <c r="AA168" i="6"/>
  <c r="L168" i="6"/>
  <c r="AA167" i="6"/>
  <c r="L167" i="6"/>
  <c r="AA166" i="6"/>
  <c r="L166" i="6"/>
  <c r="AA165" i="6"/>
  <c r="L165" i="6"/>
  <c r="AA164" i="6"/>
  <c r="L164" i="6"/>
  <c r="AA163" i="6"/>
  <c r="L163" i="6"/>
  <c r="AA162" i="6"/>
  <c r="L162" i="6"/>
  <c r="AA161" i="6"/>
  <c r="L161" i="6"/>
  <c r="AA160" i="6"/>
  <c r="L160" i="6"/>
  <c r="AA159" i="6"/>
  <c r="L159" i="6"/>
  <c r="AA158" i="6"/>
  <c r="L158" i="6"/>
  <c r="AA157" i="6"/>
  <c r="L157" i="6"/>
  <c r="AA156" i="6"/>
  <c r="L156" i="6"/>
  <c r="AA155" i="6"/>
  <c r="L155" i="6"/>
  <c r="AA154" i="6"/>
  <c r="L154" i="6"/>
  <c r="AA153" i="6"/>
  <c r="L153" i="6"/>
  <c r="AA152" i="6"/>
  <c r="L152" i="6"/>
  <c r="AA151" i="6"/>
  <c r="L151" i="6"/>
  <c r="AA150" i="6"/>
  <c r="L150" i="6"/>
  <c r="AA149" i="6"/>
  <c r="L149" i="6"/>
  <c r="AA148" i="6"/>
  <c r="L148" i="6"/>
  <c r="AA147" i="6"/>
  <c r="L147" i="6"/>
  <c r="AA146" i="6"/>
  <c r="L146" i="6"/>
  <c r="AA145" i="6"/>
  <c r="L145" i="6"/>
  <c r="AA144" i="6"/>
  <c r="L144" i="6"/>
  <c r="AA143" i="6"/>
  <c r="L143" i="6"/>
  <c r="AA142" i="6"/>
  <c r="L142" i="6"/>
  <c r="AA141" i="6"/>
  <c r="L141" i="6"/>
  <c r="AA140" i="6"/>
  <c r="L140" i="6"/>
  <c r="AA139" i="6"/>
  <c r="L139" i="6"/>
  <c r="AA138" i="6"/>
  <c r="L138" i="6"/>
  <c r="AA137" i="6"/>
  <c r="L137" i="6"/>
  <c r="AA136" i="6"/>
  <c r="L136" i="6"/>
  <c r="AA135" i="6"/>
  <c r="L135" i="6"/>
  <c r="AA134" i="6"/>
  <c r="L134" i="6"/>
  <c r="AA133" i="6"/>
  <c r="L133" i="6"/>
  <c r="AA132" i="6"/>
  <c r="L132" i="6"/>
  <c r="AA131" i="6"/>
  <c r="L131" i="6"/>
  <c r="AA130" i="6"/>
  <c r="L130" i="6"/>
  <c r="AA129" i="6"/>
  <c r="L129" i="6"/>
  <c r="AA128" i="6"/>
  <c r="L128" i="6"/>
  <c r="AA127" i="6"/>
  <c r="L127" i="6"/>
  <c r="AA126" i="6"/>
  <c r="L126" i="6"/>
  <c r="AA125" i="6"/>
  <c r="L125" i="6"/>
  <c r="AA124" i="6"/>
  <c r="L124" i="6"/>
  <c r="AA123" i="6"/>
  <c r="L123" i="6"/>
  <c r="AA122" i="6"/>
  <c r="L122" i="6"/>
  <c r="AA121" i="6"/>
  <c r="L121" i="6"/>
  <c r="AA120" i="6"/>
  <c r="L120" i="6"/>
  <c r="AA119" i="6"/>
  <c r="L119" i="6"/>
  <c r="AA118" i="6"/>
  <c r="L118" i="6"/>
  <c r="AA117" i="6"/>
  <c r="L117" i="6"/>
  <c r="AA116" i="6"/>
  <c r="L116" i="6"/>
  <c r="AA115" i="6"/>
  <c r="L115" i="6"/>
  <c r="AA114" i="6"/>
  <c r="L114" i="6"/>
  <c r="AA113" i="6"/>
  <c r="L113" i="6"/>
  <c r="AA112" i="6"/>
  <c r="L112" i="6"/>
  <c r="AA111" i="6"/>
  <c r="L111" i="6"/>
  <c r="AA110" i="6"/>
  <c r="L110" i="6"/>
  <c r="AA109" i="6"/>
  <c r="L109" i="6"/>
  <c r="AA108" i="6"/>
  <c r="L108" i="6"/>
  <c r="AA107" i="6"/>
  <c r="L107" i="6"/>
  <c r="AA106" i="6"/>
  <c r="L106" i="6"/>
  <c r="AA105" i="6"/>
  <c r="L105" i="6"/>
  <c r="AA104" i="6"/>
  <c r="L104" i="6"/>
  <c r="AA103" i="6"/>
  <c r="L103" i="6"/>
  <c r="AA102" i="6"/>
  <c r="L102" i="6"/>
  <c r="AA101" i="6"/>
  <c r="L101" i="6"/>
  <c r="AA100" i="6"/>
  <c r="L100" i="6"/>
  <c r="AA99" i="6"/>
  <c r="L99" i="6"/>
  <c r="AA98" i="6"/>
  <c r="L98" i="6"/>
  <c r="AA97" i="6"/>
  <c r="L97" i="6"/>
  <c r="AA96" i="6"/>
  <c r="L96" i="6"/>
  <c r="AA95" i="6"/>
  <c r="L95" i="6"/>
  <c r="AA94" i="6"/>
  <c r="L94" i="6"/>
  <c r="AA93" i="6"/>
  <c r="L93" i="6"/>
  <c r="AA92" i="6"/>
  <c r="L92" i="6"/>
  <c r="AA91" i="6"/>
  <c r="L91" i="6"/>
  <c r="AA90" i="6"/>
  <c r="L90" i="6"/>
  <c r="AA89" i="6"/>
  <c r="L89" i="6"/>
  <c r="AA88" i="6"/>
  <c r="L88" i="6"/>
  <c r="AA87" i="6"/>
  <c r="L87" i="6"/>
  <c r="AA86" i="6"/>
  <c r="L86" i="6"/>
  <c r="AA85" i="6"/>
  <c r="L85" i="6"/>
  <c r="AA84" i="6"/>
  <c r="L84" i="6"/>
  <c r="AA83" i="6"/>
  <c r="L83" i="6"/>
  <c r="AA82" i="6"/>
  <c r="L82" i="6"/>
  <c r="AA81" i="6"/>
  <c r="L81" i="6"/>
  <c r="AA80" i="6"/>
  <c r="L80" i="6"/>
  <c r="AA79"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22" i="6"/>
  <c r="L21" i="6"/>
  <c r="L20" i="6"/>
  <c r="L19" i="6"/>
  <c r="L18" i="6"/>
  <c r="L17" i="6"/>
  <c r="L16" i="6"/>
  <c r="L15" i="6"/>
  <c r="L14" i="6"/>
  <c r="L13" i="6"/>
  <c r="L12" i="6"/>
  <c r="L11" i="6"/>
  <c r="L10" i="6"/>
  <c r="L9" i="6"/>
  <c r="L8" i="6"/>
  <c r="L7" i="6"/>
  <c r="L6" i="6"/>
  <c r="L5" i="6"/>
  <c r="L4" i="6"/>
  <c r="B7" i="5" l="1"/>
  <c r="L601" i="1" l="1"/>
  <c r="AA601" i="1"/>
  <c r="L602" i="1"/>
  <c r="AA602" i="1"/>
  <c r="L603" i="1"/>
  <c r="AA603" i="1"/>
  <c r="L604" i="1"/>
  <c r="AA604" i="1"/>
  <c r="L605" i="1"/>
  <c r="AA605" i="1"/>
  <c r="L606" i="1"/>
  <c r="AA606" i="1"/>
  <c r="L607" i="1"/>
  <c r="AA607" i="1"/>
  <c r="L608" i="1"/>
  <c r="AA608" i="1"/>
  <c r="L609" i="1"/>
  <c r="AA609" i="1"/>
  <c r="L838" i="1" l="1"/>
  <c r="L636" i="1" l="1"/>
  <c r="L635" i="1"/>
  <c r="L634" i="1"/>
  <c r="L633" i="1"/>
  <c r="L637" i="1"/>
  <c r="W838" i="1" l="1"/>
  <c r="AC842" i="1" l="1"/>
  <c r="AC841" i="1"/>
  <c r="AC840" i="1"/>
  <c r="AC839" i="1"/>
  <c r="AC838" i="1"/>
  <c r="AC637" i="1"/>
  <c r="AC636" i="1"/>
  <c r="AC635" i="1"/>
  <c r="AC634" i="1"/>
  <c r="AC633" i="1"/>
  <c r="W842" i="1"/>
  <c r="W841" i="1"/>
  <c r="W840" i="1"/>
  <c r="W839" i="1"/>
  <c r="W637" i="1"/>
  <c r="W636" i="1"/>
  <c r="W635" i="1"/>
  <c r="W634" i="1"/>
  <c r="W633" i="1"/>
  <c r="U842" i="1"/>
  <c r="U841" i="1"/>
  <c r="U840" i="1"/>
  <c r="U839" i="1"/>
  <c r="U838" i="1"/>
  <c r="U637" i="1"/>
  <c r="U636" i="1"/>
  <c r="U635" i="1"/>
  <c r="U634" i="1"/>
  <c r="U633" i="1"/>
  <c r="T842" i="1"/>
  <c r="T841" i="1"/>
  <c r="T840" i="1"/>
  <c r="T839" i="1"/>
  <c r="T838" i="1"/>
  <c r="T634" i="1"/>
  <c r="T635" i="1"/>
  <c r="T636" i="1"/>
  <c r="T637" i="1"/>
  <c r="T633" i="1"/>
  <c r="M634" i="1"/>
  <c r="M635" i="1"/>
  <c r="M636" i="1"/>
  <c r="M637" i="1"/>
  <c r="M633" i="1"/>
  <c r="H634" i="1"/>
  <c r="H635" i="1"/>
  <c r="H636" i="1"/>
  <c r="H637" i="1"/>
  <c r="H633" i="1"/>
  <c r="L842" i="1" l="1"/>
  <c r="L841" i="1"/>
  <c r="L840" i="1"/>
  <c r="L839" i="1"/>
  <c r="AA80" i="1" l="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2" i="1"/>
  <c r="AA335" i="1"/>
  <c r="AA336" i="1"/>
  <c r="AA337" i="1"/>
  <c r="AA338" i="1"/>
  <c r="AA339" i="1"/>
  <c r="AA340" i="1"/>
  <c r="AA344" i="1"/>
  <c r="AA345" i="1"/>
  <c r="AA346" i="1"/>
  <c r="AA347" i="1"/>
  <c r="AA348" i="1"/>
  <c r="AA349"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4" i="1"/>
  <c r="AA385" i="1"/>
  <c r="AA386" i="1"/>
  <c r="AA389" i="1"/>
  <c r="AA390" i="1"/>
  <c r="AA393" i="1"/>
  <c r="AA394" i="1"/>
  <c r="AA395" i="1"/>
  <c r="AA399" i="1"/>
  <c r="AA400" i="1"/>
  <c r="AA405" i="1"/>
  <c r="AA406" i="1"/>
  <c r="AA407" i="1"/>
  <c r="AA408" i="1"/>
  <c r="AA412" i="1"/>
  <c r="AA421" i="1"/>
  <c r="AA422" i="1"/>
  <c r="AA426" i="1"/>
  <c r="AA427" i="1"/>
  <c r="AA428" i="1"/>
  <c r="AA431" i="1"/>
  <c r="AA435" i="1"/>
  <c r="AA436" i="1"/>
  <c r="AA444" i="1"/>
  <c r="AA446" i="1"/>
  <c r="AA447" i="1"/>
  <c r="AA448" i="1"/>
  <c r="AA449" i="1"/>
  <c r="AA450" i="1"/>
  <c r="AA454" i="1"/>
  <c r="AA466" i="1"/>
  <c r="AA467" i="1"/>
  <c r="AA468" i="1"/>
  <c r="AA469" i="1"/>
  <c r="AA470" i="1"/>
  <c r="AA471" i="1"/>
  <c r="AA472" i="1"/>
  <c r="AA476" i="1"/>
  <c r="AA478" i="1"/>
  <c r="AA479" i="1"/>
  <c r="AA485" i="1"/>
  <c r="AA486" i="1"/>
  <c r="AA487" i="1"/>
  <c r="AA488" i="1"/>
  <c r="AA489" i="1"/>
  <c r="AA490" i="1"/>
  <c r="AA491" i="1"/>
  <c r="AA492" i="1"/>
  <c r="AA493" i="1"/>
  <c r="AA494" i="1"/>
  <c r="AA502" i="1"/>
  <c r="AA503" i="1"/>
  <c r="AA504" i="1"/>
  <c r="AA505" i="1"/>
  <c r="AA506" i="1"/>
  <c r="AA507" i="1"/>
  <c r="AA508" i="1"/>
  <c r="AA509" i="1"/>
  <c r="AA510" i="1"/>
  <c r="AA511" i="1"/>
  <c r="AA512" i="1"/>
  <c r="AA513" i="1"/>
  <c r="AA514" i="1"/>
  <c r="AA526" i="1"/>
  <c r="AA527" i="1"/>
  <c r="AA528" i="1"/>
  <c r="AA529" i="1"/>
  <c r="AA530" i="1"/>
  <c r="AA531" i="1"/>
  <c r="AA533" i="1"/>
  <c r="AA538" i="1"/>
  <c r="AA541" i="1"/>
  <c r="AA544" i="1"/>
  <c r="AA545" i="1"/>
  <c r="AA549" i="1"/>
  <c r="AA550" i="1"/>
  <c r="AA551" i="1"/>
  <c r="AA552" i="1"/>
  <c r="AA553" i="1"/>
  <c r="AA555" i="1"/>
  <c r="AA556" i="1"/>
  <c r="AA557" i="1"/>
  <c r="AA558" i="1"/>
  <c r="AA559" i="1"/>
  <c r="AA560" i="1"/>
  <c r="AA561" i="1"/>
  <c r="AA562" i="1"/>
  <c r="AA563" i="1"/>
  <c r="AA564" i="1"/>
  <c r="AA565" i="1"/>
  <c r="AA567" i="1"/>
  <c r="AA568" i="1"/>
  <c r="AA569" i="1"/>
  <c r="AA570" i="1"/>
  <c r="AA571" i="1"/>
  <c r="AA572" i="1"/>
  <c r="AA578" i="1"/>
  <c r="AA579" i="1"/>
  <c r="AA581" i="1"/>
  <c r="AA582" i="1"/>
  <c r="AA592" i="1"/>
  <c r="AA593" i="1"/>
  <c r="AA594" i="1"/>
  <c r="AA595" i="1"/>
  <c r="AA596" i="1"/>
  <c r="AA597" i="1"/>
  <c r="AA598" i="1"/>
  <c r="AA599" i="1"/>
  <c r="AA615" i="1"/>
  <c r="AA616" i="1"/>
  <c r="AA617" i="1"/>
  <c r="AA618" i="1"/>
  <c r="AA619" i="1"/>
  <c r="AA620" i="1"/>
  <c r="AA621" i="1"/>
  <c r="AA622" i="1"/>
  <c r="AA626" i="1"/>
  <c r="AA627" i="1"/>
  <c r="AA630" i="1"/>
  <c r="AA631" i="1"/>
  <c r="AA632" i="1"/>
  <c r="AA646" i="1"/>
  <c r="AA647" i="1"/>
  <c r="AA648" i="1"/>
  <c r="AA649" i="1"/>
  <c r="AA650" i="1"/>
  <c r="AA651" i="1"/>
  <c r="AA653" i="1"/>
  <c r="AA656" i="1"/>
  <c r="AA657" i="1"/>
  <c r="AA659" i="1"/>
  <c r="AA661" i="1"/>
  <c r="AA663" i="1"/>
  <c r="AA665" i="1"/>
  <c r="AA670" i="1"/>
  <c r="AA686" i="1"/>
  <c r="AA687" i="1"/>
  <c r="AA688" i="1"/>
  <c r="AA708" i="1"/>
  <c r="AA709" i="1"/>
  <c r="AA710" i="1"/>
  <c r="AA711"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843" i="1"/>
  <c r="AA844" i="1"/>
  <c r="AA845" i="1"/>
  <c r="AA846" i="1"/>
  <c r="AA847" i="1"/>
  <c r="AA848" i="1"/>
  <c r="AA849" i="1"/>
  <c r="AA850" i="1"/>
  <c r="AA851" i="1"/>
  <c r="AA854" i="1"/>
  <c r="AA855" i="1"/>
  <c r="AA856" i="1"/>
  <c r="AA857" i="1"/>
  <c r="AA858" i="1"/>
  <c r="AA859" i="1"/>
  <c r="AA860" i="1"/>
  <c r="AA861" i="1"/>
  <c r="AA862"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7" i="1"/>
  <c r="AA958" i="1"/>
  <c r="AA959" i="1"/>
  <c r="AA960" i="1"/>
  <c r="AA961" i="1"/>
  <c r="AA962" i="1"/>
  <c r="AA963" i="1"/>
  <c r="AA964"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36" i="1"/>
  <c r="AA1041"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79" i="1"/>
  <c r="L5" i="1"/>
  <c r="L6" i="1"/>
  <c r="L7" i="1"/>
  <c r="L8" i="1"/>
  <c r="L9" i="1"/>
  <c r="L10" i="1"/>
  <c r="L11" i="1"/>
  <c r="L12" i="1"/>
  <c r="L13" i="1"/>
  <c r="L14" i="1"/>
  <c r="L15" i="1"/>
  <c r="L16" i="1"/>
  <c r="L17" i="1"/>
  <c r="L18" i="1"/>
  <c r="L19" i="1"/>
  <c r="L20" i="1"/>
  <c r="L21" i="1"/>
  <c r="L22"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4" i="1"/>
  <c r="L475" i="1"/>
  <c r="L476" i="1"/>
  <c r="L477" i="1"/>
  <c r="L478" i="1"/>
  <c r="L479" i="1"/>
  <c r="L485" i="1"/>
  <c r="L486" i="1"/>
  <c r="L487" i="1"/>
  <c r="L488" i="1"/>
  <c r="L489" i="1"/>
  <c r="L490" i="1"/>
  <c r="L491" i="1"/>
  <c r="L492" i="1"/>
  <c r="L493" i="1"/>
  <c r="L494" i="1"/>
  <c r="L497" i="1"/>
  <c r="L498" i="1"/>
  <c r="L499" i="1"/>
  <c r="L500" i="1"/>
  <c r="L501" i="1"/>
  <c r="L502" i="1"/>
  <c r="L503" i="1"/>
  <c r="L504" i="1"/>
  <c r="L505" i="1"/>
  <c r="L506" i="1"/>
  <c r="L507" i="1"/>
  <c r="L508" i="1"/>
  <c r="L509" i="1"/>
  <c r="L510" i="1"/>
  <c r="L511" i="1"/>
  <c r="L512" i="1"/>
  <c r="L513" i="1"/>
  <c r="L514" i="1"/>
  <c r="L515" i="1"/>
  <c r="L522" i="1"/>
  <c r="L523" i="1"/>
  <c r="L524" i="1"/>
  <c r="L525" i="1"/>
  <c r="L526" i="1"/>
  <c r="L527" i="1"/>
  <c r="L528" i="1"/>
  <c r="L529" i="1"/>
  <c r="L530" i="1"/>
  <c r="L531" i="1"/>
  <c r="L532" i="1"/>
  <c r="L533" i="1"/>
  <c r="L534" i="1"/>
  <c r="L535" i="1"/>
  <c r="L536" i="1"/>
  <c r="L537" i="1"/>
  <c r="L538" i="1"/>
  <c r="L539"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1" i="1"/>
  <c r="L582" i="1"/>
  <c r="L583" i="1"/>
  <c r="L584" i="1"/>
  <c r="L585" i="1"/>
  <c r="L586" i="1"/>
  <c r="L587" i="1"/>
  <c r="L588" i="1"/>
  <c r="L589" i="1"/>
  <c r="L590" i="1"/>
  <c r="L591" i="1"/>
  <c r="L592" i="1"/>
  <c r="L593" i="1"/>
  <c r="L594" i="1"/>
  <c r="L595" i="1"/>
  <c r="L596" i="1"/>
  <c r="L597" i="1"/>
  <c r="L598" i="1"/>
  <c r="L599" i="1"/>
  <c r="L615" i="1"/>
  <c r="L616" i="1"/>
  <c r="L617" i="1"/>
  <c r="L618" i="1"/>
  <c r="L619" i="1"/>
  <c r="L620" i="1"/>
  <c r="L621" i="1"/>
  <c r="L622" i="1"/>
  <c r="L623" i="1"/>
  <c r="L624" i="1"/>
  <c r="L625" i="1"/>
  <c r="L626" i="1"/>
  <c r="L627" i="1"/>
  <c r="L630" i="1"/>
  <c r="L631" i="1"/>
  <c r="L632" i="1"/>
  <c r="L638" i="1"/>
  <c r="L639" i="1"/>
  <c r="L640" i="1"/>
  <c r="L643" i="1"/>
  <c r="L644" i="1"/>
  <c r="L645" i="1"/>
  <c r="L646" i="1"/>
  <c r="L647" i="1"/>
  <c r="L648" i="1"/>
  <c r="L649" i="1"/>
  <c r="L650" i="1"/>
  <c r="L651" i="1"/>
  <c r="L653" i="1"/>
  <c r="L654" i="1"/>
  <c r="L655" i="1"/>
  <c r="L656" i="1"/>
  <c r="L657" i="1"/>
  <c r="L659" i="1"/>
  <c r="L661" i="1"/>
  <c r="L662" i="1"/>
  <c r="L663" i="1"/>
  <c r="L664" i="1"/>
  <c r="L665" i="1"/>
  <c r="L666" i="1"/>
  <c r="L667" i="1"/>
  <c r="L668" i="1"/>
  <c r="L669" i="1"/>
  <c r="L670" i="1"/>
  <c r="L671" i="1"/>
  <c r="L672" i="1"/>
  <c r="L673" i="1"/>
  <c r="L674" i="1"/>
  <c r="L675" i="1"/>
  <c r="L676" i="1"/>
  <c r="L677" i="1"/>
  <c r="L678" i="1"/>
  <c r="L679" i="1"/>
  <c r="L680" i="1"/>
  <c r="L681" i="1"/>
  <c r="L682" i="1"/>
  <c r="L683" i="1"/>
  <c r="L684" i="1"/>
  <c r="L686" i="1"/>
  <c r="L687" i="1"/>
  <c r="L688" i="1"/>
  <c r="L694" i="1"/>
  <c r="L695" i="1"/>
  <c r="L696" i="1"/>
  <c r="L697" i="1"/>
  <c r="L698" i="1"/>
  <c r="L699" i="1"/>
  <c r="L700" i="1"/>
  <c r="L701" i="1"/>
  <c r="L702" i="1"/>
  <c r="L703" i="1"/>
  <c r="L704" i="1"/>
  <c r="L705" i="1"/>
  <c r="L706" i="1"/>
  <c r="L707" i="1"/>
  <c r="L708" i="1"/>
  <c r="L709" i="1"/>
  <c r="L710" i="1"/>
  <c r="L711"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83" i="1"/>
  <c r="L788" i="1"/>
  <c r="L793" i="1"/>
  <c r="L800" i="1"/>
  <c r="L804" i="1"/>
  <c r="L809" i="1"/>
  <c r="L818" i="1"/>
  <c r="L822" i="1"/>
  <c r="L823" i="1"/>
  <c r="L833" i="1"/>
  <c r="L834" i="1"/>
  <c r="L835" i="1"/>
  <c r="L836" i="1"/>
  <c r="L837" i="1"/>
  <c r="L843" i="1"/>
  <c r="L844" i="1"/>
  <c r="L845" i="1"/>
  <c r="L846" i="1"/>
  <c r="L847" i="1"/>
  <c r="L848" i="1"/>
  <c r="L849" i="1"/>
  <c r="L850" i="1"/>
  <c r="L851" i="1"/>
  <c r="L854" i="1"/>
  <c r="L855" i="1"/>
  <c r="L856" i="1"/>
  <c r="L857" i="1"/>
  <c r="L858" i="1"/>
  <c r="L859" i="1"/>
  <c r="L860" i="1"/>
  <c r="L861" i="1"/>
  <c r="L862"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8" i="1"/>
  <c r="L1039"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4" i="1"/>
</calcChain>
</file>

<file path=xl/comments1.xml><?xml version="1.0" encoding="utf-8"?>
<comments xmlns="http://schemas.openxmlformats.org/spreadsheetml/2006/main">
  <authors>
    <author>Daiane Weizenmann da Silva</author>
  </authors>
  <commentList>
    <comment ref="V3" authorId="0" shapeId="0">
      <text>
        <r>
          <rPr>
            <b/>
            <sz val="9"/>
            <color indexed="81"/>
            <rFont val="Segoe UI"/>
            <family val="2"/>
          </rPr>
          <t>Daiane Weizenmann da Silva:</t>
        </r>
        <r>
          <rPr>
            <sz val="9"/>
            <color indexed="81"/>
            <rFont val="Segoe UI"/>
            <family val="2"/>
          </rPr>
          <t xml:space="preserve">
Atualizada base planilha fiscal 20fev23
</t>
        </r>
      </text>
    </comment>
  </commentList>
</comments>
</file>

<file path=xl/comments2.xml><?xml version="1.0" encoding="utf-8"?>
<comments xmlns="http://schemas.openxmlformats.org/spreadsheetml/2006/main">
  <authors>
    <author>Daiane Weizenmann da Silva</author>
  </authors>
  <commentList>
    <comment ref="V3" authorId="0" shapeId="0">
      <text>
        <r>
          <rPr>
            <b/>
            <sz val="9"/>
            <color indexed="81"/>
            <rFont val="Segoe UI"/>
            <family val="2"/>
          </rPr>
          <t>Daiane Weizenmann da Silva:</t>
        </r>
        <r>
          <rPr>
            <sz val="9"/>
            <color indexed="81"/>
            <rFont val="Segoe UI"/>
            <family val="2"/>
          </rPr>
          <t xml:space="preserve">
Atualizada base planilha fiscal 20fev23
</t>
        </r>
      </text>
    </comment>
  </commentList>
</comments>
</file>

<file path=xl/sharedStrings.xml><?xml version="1.0" encoding="utf-8"?>
<sst xmlns="http://schemas.openxmlformats.org/spreadsheetml/2006/main" count="69085" uniqueCount="2969">
  <si>
    <t>INDIVUDUAL (MM)</t>
  </si>
  <si>
    <t>Produto</t>
  </si>
  <si>
    <t>Descrição</t>
  </si>
  <si>
    <t>Unidade</t>
  </si>
  <si>
    <t>Comprimento</t>
  </si>
  <si>
    <t>Altura</t>
  </si>
  <si>
    <t>Largura</t>
  </si>
  <si>
    <t>Código de Barras</t>
  </si>
  <si>
    <t>Altur.Armaze</t>
  </si>
  <si>
    <t>Compr.Armaze</t>
  </si>
  <si>
    <t>Largu.Armaze</t>
  </si>
  <si>
    <t>Larg.Emb</t>
  </si>
  <si>
    <t>Alt.Emb</t>
  </si>
  <si>
    <t>Compr.Emb</t>
  </si>
  <si>
    <t>Larg.Reemb</t>
  </si>
  <si>
    <t>Alt.Reemb</t>
  </si>
  <si>
    <t>Compr.Reemb</t>
  </si>
  <si>
    <t>Quantidade</t>
  </si>
  <si>
    <t>TUBO PVC SOLDAVEL - 6M - 20MM</t>
  </si>
  <si>
    <t>BR</t>
  </si>
  <si>
    <t>NÃO APLICA</t>
  </si>
  <si>
    <t>TUBO PVC SOLDAVEL - 6M - 25MM</t>
  </si>
  <si>
    <t>TUBO PVC SOLDAVEL - 6M - 32MM</t>
  </si>
  <si>
    <t>TUBO PVC SOLDAVEL - 6M - 40MM</t>
  </si>
  <si>
    <t>TUBO PVC SOLDAVEL - 6M - 50MM</t>
  </si>
  <si>
    <t>TUBO PVC SOLDAVEL - 6M - 60MM</t>
  </si>
  <si>
    <t>TUBO PVC SOLDAVEL - 6M - 75MM</t>
  </si>
  <si>
    <t>TUBO PVC SOLDAVEL - 6M - 85MM</t>
  </si>
  <si>
    <t>TUBO PVC SOLDAVEL - 6M - 110MM</t>
  </si>
  <si>
    <t>TUBO PVC SOLDAVEL - 3M - 20MM</t>
  </si>
  <si>
    <t>TUBO PVC SOLDAVEL - 3M - 25MM</t>
  </si>
  <si>
    <t>TUBO PVC SOLDAVEL - 3M - 32MM</t>
  </si>
  <si>
    <t>TUBO PVC SOLDAVEL - 3M - 40MM</t>
  </si>
  <si>
    <t>TUBO PVC SOLDAVEL - 3M - 50MM</t>
  </si>
  <si>
    <t>TUBO PVC SOLDAVEL - 3M - 60MM</t>
  </si>
  <si>
    <t>TUBO PVC SOLDAVEL - 3M - 75MM</t>
  </si>
  <si>
    <t>TUBO ULTRATERM 3M - 15MM</t>
  </si>
  <si>
    <t>TUBO ULTRATERM 3M - 22MM</t>
  </si>
  <si>
    <t>TUBO ULTRATERM 3M - 28MM</t>
  </si>
  <si>
    <t>TUBO PVC ESGOTO SEC. - 6M - DN 40</t>
  </si>
  <si>
    <t>TUBO PVC ESGOTO PRIM. - 6M - DN 50</t>
  </si>
  <si>
    <t>TUBO PVC ESGOTO PRIM. - 6M - DN 75</t>
  </si>
  <si>
    <t>TUBO PVC ESGOTO PRIM. - 6M - DN 100</t>
  </si>
  <si>
    <t>TUBO PVC ESGOTO PRIM. - 6M - DN 150</t>
  </si>
  <si>
    <t>TUBO PVC ESGOTO PRIM. - 6M - DN 200</t>
  </si>
  <si>
    <t>TUBO PVC LEVE - 6M - DN 250</t>
  </si>
  <si>
    <t>TUBO PVC ESGOTO SEC. - 3M- DN 40</t>
  </si>
  <si>
    <t>TUBO PVC ESGOTO PRIM. - 3M- DN 50</t>
  </si>
  <si>
    <t>TUBO PVC ESGOTO PRIM. - 3M- DN 75</t>
  </si>
  <si>
    <t>TUBO PVC ESGOTO PRIM. - 3M- DN 100</t>
  </si>
  <si>
    <t>TUBO PVC ESGOTO PRIM. - 3M- DN 150</t>
  </si>
  <si>
    <t>TUBO PVC ESGOTO PRIM. - 3M - DN 200</t>
  </si>
  <si>
    <t>TUBO PVC LEVE - 3M - DN 250</t>
  </si>
  <si>
    <t>TUBO PVC ROSC 1/2</t>
  </si>
  <si>
    <t>TUBO PVC ROSC 3/4</t>
  </si>
  <si>
    <t>TUBO PVC ROSC  1</t>
  </si>
  <si>
    <t>TUBO PVC ROSC  1.1/4</t>
  </si>
  <si>
    <t>TUBO PVC ROSC  1.1/2</t>
  </si>
  <si>
    <t>TUBO PVC ROSC 2</t>
  </si>
  <si>
    <t>TUBO PVC ESG SR 6M DN40X6M</t>
  </si>
  <si>
    <t>TUBO PVC ESG SR 6M DN50X6M</t>
  </si>
  <si>
    <t>TUBO PVC ESG SR 6M DN75X6M</t>
  </si>
  <si>
    <t>TUBO PVC ESG SR 6M DN100X6M</t>
  </si>
  <si>
    <t>TUBO PVC ESG SR 6M DN150X6M</t>
  </si>
  <si>
    <t>TUBO PPR PN20 20MMX3M</t>
  </si>
  <si>
    <t>TUBO PPR PN20 25MMX3M</t>
  </si>
  <si>
    <t>TUBO PPR PN20 32MMX3M</t>
  </si>
  <si>
    <t>TUBO PPR PN20 40MMX3M</t>
  </si>
  <si>
    <t>TUBO PPR PN20 50MMX3M</t>
  </si>
  <si>
    <t>TUBO PPR PN20 63MMX3M</t>
  </si>
  <si>
    <t>TUBO PPR PN20 75MMX3M</t>
  </si>
  <si>
    <t>TUBO PPR PN20 90MMX3M</t>
  </si>
  <si>
    <t>TUBO PPR PN20 110MMX3M</t>
  </si>
  <si>
    <t>TUBO PPR PN25 20MMX3M</t>
  </si>
  <si>
    <t>TUBO PPR PN25 25MMX3M</t>
  </si>
  <si>
    <t>TUBO PPR PN25 32MMX3M</t>
  </si>
  <si>
    <t>TUBO PPR PN25 40MMX3M</t>
  </si>
  <si>
    <t>TUBO PPR PN25 50MMX3M</t>
  </si>
  <si>
    <t>TUBO PPR PN25 63MMX3M</t>
  </si>
  <si>
    <t>TUBO PPR PN25 75MMX3M</t>
  </si>
  <si>
    <t>TUBO PPR PN25 90MMX3M</t>
  </si>
  <si>
    <t>TUBO PPR PN25 110MMX3M</t>
  </si>
  <si>
    <t>TUBO PVC BRANCO - 6M - 100MM</t>
  </si>
  <si>
    <t>TUBO PVC BRANCO - 6M - 150MM</t>
  </si>
  <si>
    <t>ADAPTADOR ROSC. P/CX.DAGUA   1/2</t>
  </si>
  <si>
    <t>PC</t>
  </si>
  <si>
    <t>ADAPTADOR ROSC. P/CX.DAGUA   3/4</t>
  </si>
  <si>
    <t>ADAPTADOR ROSC. P/CX.DAGUA     1</t>
  </si>
  <si>
    <t>ADAPTADOR ROSC. P/CX.DAGUA 1.1/4</t>
  </si>
  <si>
    <t>ADAPTADOR ROSC. P/CX.DAGUA 1.1/2</t>
  </si>
  <si>
    <t>ADAPTADOR ROSC. P/CX.DAGUA 2</t>
  </si>
  <si>
    <t>BUCHA RED.ROSC. 3/4 X 1/2</t>
  </si>
  <si>
    <t>BUCHA RED.ROSC. 1 X 1/2</t>
  </si>
  <si>
    <t>BUCHA RED.ROSC. 1 X 3/4</t>
  </si>
  <si>
    <t>BUCHA RED.ROSC. 1.1/4 X 1</t>
  </si>
  <si>
    <t>BUCHA RED.ROSC. 1.1/4 X 3/4</t>
  </si>
  <si>
    <t>BUCHA RED.ROSC. 1.1/2 X 1/2</t>
  </si>
  <si>
    <t>BUCHA DE REDUCAO 1.1/2 X 3/4</t>
  </si>
  <si>
    <t>BUCHA DE REDUCAO 1.1/2 X 1</t>
  </si>
  <si>
    <t>BUCHA RED.ROSC. 1.1/2 X 1.1/4</t>
  </si>
  <si>
    <t>BUCHA RED.ROSC. 2 X 1</t>
  </si>
  <si>
    <t>BUCHA RED.ROSC. 2 X 1.1/2</t>
  </si>
  <si>
    <t>CAP ROSCAVEL 1/2</t>
  </si>
  <si>
    <t>CAP ROSCAVEL 3/4</t>
  </si>
  <si>
    <t>CAP ROSCAVEL 1</t>
  </si>
  <si>
    <t>CAP ROSCAVEL 1.1/2</t>
  </si>
  <si>
    <t>CAP ROSCAVEL 1.1/4</t>
  </si>
  <si>
    <t>CAP ROSCAVEL 2</t>
  </si>
  <si>
    <t>CURVA ROSC 1/2</t>
  </si>
  <si>
    <t>CURVA ROSC 3/4</t>
  </si>
  <si>
    <t>CURVA ROSC 1.1/4</t>
  </si>
  <si>
    <t>CURVA ROSC 1.1/2</t>
  </si>
  <si>
    <t>CURVA ROSC 1</t>
  </si>
  <si>
    <t>JOELHO 45 1/2</t>
  </si>
  <si>
    <t>JOELHO 45 3/4</t>
  </si>
  <si>
    <t>JOELHO 45 1</t>
  </si>
  <si>
    <t>JOELHO 45 1.1/2</t>
  </si>
  <si>
    <t>JOELHO 90 ROSC 1/2</t>
  </si>
  <si>
    <t>JOELHO 90 ROSC 3/4</t>
  </si>
  <si>
    <t>JOELHO 90 ROSC 1</t>
  </si>
  <si>
    <t>JOELHO 90 ROSC 1.1/4</t>
  </si>
  <si>
    <t>JOELHO 90 ROSC 1.1/2</t>
  </si>
  <si>
    <t>JOELHO 90 ROSC 2</t>
  </si>
  <si>
    <t>JOELHO RED ROSC 3/4 X 1/2</t>
  </si>
  <si>
    <t>JOELHO RED ROSC 1 X 3/4</t>
  </si>
  <si>
    <t>LUVA ROSCAVEL 1/2</t>
  </si>
  <si>
    <t>LUVA ROSCAVEL 3/4</t>
  </si>
  <si>
    <t>LUVA ROSCAVEL 1</t>
  </si>
  <si>
    <t>LUVA ROSCAVEL 1.1/4</t>
  </si>
  <si>
    <t>LUVA ROSCAVEL 1.1/2</t>
  </si>
  <si>
    <t>LUVA ROSCAVEL 2</t>
  </si>
  <si>
    <t>LUVA REDUCAO ROSCAVEL 3/4 X 1/2</t>
  </si>
  <si>
    <t>LUVA REDUCAO ROSCAVEL   1  X 3/4</t>
  </si>
  <si>
    <t>NIPEL ROSCAVEL 1/2</t>
  </si>
  <si>
    <t>NIPEL ROSCAVEL 3/4</t>
  </si>
  <si>
    <t>NIPEL ROSCAVEL 1</t>
  </si>
  <si>
    <t>NIPEL ROSCAVEL 1.1/2</t>
  </si>
  <si>
    <t>NIPEL ROSCAVEL 1.1/4</t>
  </si>
  <si>
    <t>NIPEL ROSCAVEL 2</t>
  </si>
  <si>
    <t>PLUG ROSCAVEL 1/2</t>
  </si>
  <si>
    <t>PLUG ROSCAVEL 3/4</t>
  </si>
  <si>
    <t>PLUG ROSCAVEL 1</t>
  </si>
  <si>
    <t>PLUG ROSCAVEL 1.1/2</t>
  </si>
  <si>
    <t>PLUG ROSCAVEL 1.1/4</t>
  </si>
  <si>
    <t>PLUG ROSCAVEL 2</t>
  </si>
  <si>
    <t>TE ROSCAVEL 1/2</t>
  </si>
  <si>
    <t>TE ROSCAVEL 3/4</t>
  </si>
  <si>
    <t>TE ROSCAVEL 1</t>
  </si>
  <si>
    <t>TE ROSCAVEL 1.1/4</t>
  </si>
  <si>
    <t>TE ROSCAVEL 1.1/2</t>
  </si>
  <si>
    <t>TE ROSCAVEL 2</t>
  </si>
  <si>
    <t>TE DE REDUCAO 3/4 X 1/2</t>
  </si>
  <si>
    <t>TE DE REDUCAO 1 X 3/4</t>
  </si>
  <si>
    <t>TE DE REDUCAO 1 1/2 X 3/4</t>
  </si>
  <si>
    <t>UNIAO ROSCAVEL 1/2</t>
  </si>
  <si>
    <t>UNIAO ROSCAVEL  3/4</t>
  </si>
  <si>
    <t>UNIAO ROSCAVEL  1</t>
  </si>
  <si>
    <t>UNIAO ROSCAVEL  1.1/4</t>
  </si>
  <si>
    <t>UNIAO ROSCAVEL  1.1/2</t>
  </si>
  <si>
    <t>UNIAO ROSCAVEL  2</t>
  </si>
  <si>
    <t>UNIAO ROSCAVEL  2.1/2</t>
  </si>
  <si>
    <t>UNIAO ROSCAVEL  3</t>
  </si>
  <si>
    <t>UNIAO ROSCAVEL  4</t>
  </si>
  <si>
    <t>FITA VEDAROSCA 12MM X 10M</t>
  </si>
  <si>
    <t>RL</t>
  </si>
  <si>
    <t>FITA VEDAROSCA 12MM X 25M</t>
  </si>
  <si>
    <t>FITA VEDAROSCA 18MM X 10M</t>
  </si>
  <si>
    <t>FITA VEDAROSCA 18MM X 25M</t>
  </si>
  <si>
    <t>FITA VEDAROSCA 18MM X 50M</t>
  </si>
  <si>
    <t>LUVA DE CORRER ROSCAVEL 1</t>
  </si>
  <si>
    <t>LUVA DE CORRER ROSCAVEL 1.1/2</t>
  </si>
  <si>
    <t>LUVA DE CORRER ROSCAVEL 1.1/4</t>
  </si>
  <si>
    <t>LUVA DE CORRER ROSCAVEL 2</t>
  </si>
  <si>
    <t>ADAPTADOR SOLD CURTO 20MM X 1/2</t>
  </si>
  <si>
    <t>ADAPTADOR SOLD CURTO 25MM X 3/4</t>
  </si>
  <si>
    <t>ADAPTADOR SOLD CURTO 32MM X 1</t>
  </si>
  <si>
    <t>ADAPTADOR SOLD CURTO 40MM X 1.1/4</t>
  </si>
  <si>
    <t>ADAPTADOR SOLD CURTO 50MM X 1.1/2</t>
  </si>
  <si>
    <t>ADAPTADOR SOLD CURTO 60MM X 2</t>
  </si>
  <si>
    <t>ADAPTADOR SOLD CURTO 75MM X 2.1/2</t>
  </si>
  <si>
    <t>ADAPTADOR SOLD CURTO 85MM X 3</t>
  </si>
  <si>
    <t>ADAPTADOR SOLD CURTO 110MM X 4</t>
  </si>
  <si>
    <t>ADAPTADOR SOLD. P/CX.DAGUA 20MM X 1/2</t>
  </si>
  <si>
    <t>ADAPTADOR SOLD. P/CX.DAGUA 25MM X 3/4</t>
  </si>
  <si>
    <t>ADAPTADOR SOLD. P/CX.DAGUA 32MM X  1</t>
  </si>
  <si>
    <t>ADAPTADOR SOLD. P/CX.DAGUA 40MM X 1.1/4</t>
  </si>
  <si>
    <t>ADAPTADOR SOLD. P/CX.DAGUA 50MM X 1.1/2</t>
  </si>
  <si>
    <t>ADAPTADOR SOLD. P/CX.DAGUA 60MM X 2</t>
  </si>
  <si>
    <t>ADAPTADOR SOLD. P/CX.DAGUA 75MM X 2 1/2</t>
  </si>
  <si>
    <t>ADAPTADOR SOLD. P/CX.DAGUA 85MM X 3</t>
  </si>
  <si>
    <t>ADAPTADOR SOLD. P/CX.DAGUA 110MM X 4</t>
  </si>
  <si>
    <t>BUCHA RED.SOLD.CURTA  110 X 85MM</t>
  </si>
  <si>
    <t>BUCHA RED.SOLD.CURTA  25 X 20MM</t>
  </si>
  <si>
    <t>BUCHA RED.SOLD.CURTA  32 X 25MM</t>
  </si>
  <si>
    <t>BUCHA RED.SOLD.CURTA  40 X 32MM</t>
  </si>
  <si>
    <t>BUCHA RED.SOLD.CURTA  50 X 40MM</t>
  </si>
  <si>
    <t>BUCHA RED.SOLD.CURTA  60 X 50MM</t>
  </si>
  <si>
    <t>BUCHA RED.SOLD.CURTA  75 X 60MM</t>
  </si>
  <si>
    <t>BUCHA RED.SOLD.CURTA  85 X 75MM</t>
  </si>
  <si>
    <t>BUCHA RED.SOLD.LONGA 32 X 20MM</t>
  </si>
  <si>
    <t>BUCHA RED.SOLD.LONGA 40 X 20MM</t>
  </si>
  <si>
    <t>BUCHA RED.SOLD.LONGA 40 X 25MM</t>
  </si>
  <si>
    <t>BUCHA RED.SOLD.LONGA 50 X 20MM</t>
  </si>
  <si>
    <t>BUCHA RED.SOLD.LONGA 50 X 25MM</t>
  </si>
  <si>
    <t>BUCHA RED.SOLD.LONGA 50 X 32MM</t>
  </si>
  <si>
    <t>BUCHA RED.SOLD.LONGA 60 X 25MM</t>
  </si>
  <si>
    <t>BUCHA RED.SOLD.LONGA 60 X 32MM</t>
  </si>
  <si>
    <t>BUCHA RED.SOLD.LONGA 60 X 40MM</t>
  </si>
  <si>
    <t>BUCHA RED.SOLD.LONGA 60 X 50MM</t>
  </si>
  <si>
    <t>BUCHA RED.SOLD.LONGA 75 X 50MM</t>
  </si>
  <si>
    <t>BUCHA RED.SOLD.LONGA 85 X 60MM</t>
  </si>
  <si>
    <t>BUCHA RED.SOLD.LONGA 110 X 60MM</t>
  </si>
  <si>
    <t>BUCHA RED.SOLD.LONGA 110 X 75MM</t>
  </si>
  <si>
    <t>CAP SOLD - 20MM</t>
  </si>
  <si>
    <t>CAP SOLD - 25MM</t>
  </si>
  <si>
    <t>CAP SOLD - 32MM</t>
  </si>
  <si>
    <t>CAP SOLD - 40MM</t>
  </si>
  <si>
    <t>CAP SOLD - 50MM</t>
  </si>
  <si>
    <t>CAP SOLD - 60MM</t>
  </si>
  <si>
    <t>CAP SOLD - 75MM</t>
  </si>
  <si>
    <t>CAP SOLD - 85MM</t>
  </si>
  <si>
    <t>CAP SOLD - 110MM</t>
  </si>
  <si>
    <t>CURVA 45 SOLD - 20MM</t>
  </si>
  <si>
    <t>CURVA 45 SOLD - 25MM</t>
  </si>
  <si>
    <t>CURVA 45 SOLD - 32MM</t>
  </si>
  <si>
    <t>CURVA 45 SOLD - 40MM</t>
  </si>
  <si>
    <t>CURVA 45 SOLD - 50MM</t>
  </si>
  <si>
    <t>CURVA 45 SOLD - 60MM</t>
  </si>
  <si>
    <t>CURVA 45 SOLD - 75MM</t>
  </si>
  <si>
    <t>CURVA 45 SOLD - 85MM</t>
  </si>
  <si>
    <t>CURVA 45 SOLD - 110MM</t>
  </si>
  <si>
    <t>CURVA DE TRANSPOSICAO SOLD - 20MM</t>
  </si>
  <si>
    <t>CURVA DE TRANSPOSICAO SOLD - 25MM</t>
  </si>
  <si>
    <t>CURVA DE TRANSPOSICAO SOLD - 32MM</t>
  </si>
  <si>
    <t>CURVA 90 SOLD - 20MM</t>
  </si>
  <si>
    <t>CURVA 90 SOLD - 25MM</t>
  </si>
  <si>
    <t>CURVA 90 SOLD - 32MM</t>
  </si>
  <si>
    <t>CURVA 90 SOLD - 40MM</t>
  </si>
  <si>
    <t>CURVA 90 SOLD - 50MM</t>
  </si>
  <si>
    <t>CURVA 90 SOLD - 60MM</t>
  </si>
  <si>
    <t>CURVA 90 SOLD - 75MM</t>
  </si>
  <si>
    <t>CURVA 90 SOLD - 85MM</t>
  </si>
  <si>
    <t>CURVA 90 SOLD - 110MM</t>
  </si>
  <si>
    <t>JOELHO 45 SOLD - 20MM</t>
  </si>
  <si>
    <t>JOELHO 45 SOLD - 25MM</t>
  </si>
  <si>
    <t>JOELHO 45 SOLD - 32MM</t>
  </si>
  <si>
    <t>JOELHO 45 SOLD - 40MM</t>
  </si>
  <si>
    <t>JOELHO 45 SOLD - 50MM</t>
  </si>
  <si>
    <t>JOELHO 45 SOLD - 60MM</t>
  </si>
  <si>
    <t>JOELHO 45 SOLD - 75MM</t>
  </si>
  <si>
    <t>JOELHO 45 SOLD - 85MM</t>
  </si>
  <si>
    <t>JOELHO 45 SOLD - 110MM</t>
  </si>
  <si>
    <t>JOELHO 90 SOLD - 20MM</t>
  </si>
  <si>
    <t>JOELHO 90 SOLD - 25MM</t>
  </si>
  <si>
    <t>JOELHO 90 SOLD - 32MM</t>
  </si>
  <si>
    <t>JOELHO 90 SOLD - 40MM</t>
  </si>
  <si>
    <t>JOELHO 90 SOLD - 50MM</t>
  </si>
  <si>
    <t>JOELHO 90 SOLD - 60MM</t>
  </si>
  <si>
    <t>JOELHO 90 SOLD - 75MM</t>
  </si>
  <si>
    <t>JOELHO 90 SOLD - 85MM</t>
  </si>
  <si>
    <t>JOELHO 90 SOLD - 110MM</t>
  </si>
  <si>
    <t>JOELHO 90 RED. SOLD 25 X 20MM</t>
  </si>
  <si>
    <t>JOELHO 90 RED. SOLD 32 X 25MM</t>
  </si>
  <si>
    <t>LUVA SOLD - 20MM</t>
  </si>
  <si>
    <t>LUVA SOLD - 25MM</t>
  </si>
  <si>
    <t>LUVA SOLD - 32MM</t>
  </si>
  <si>
    <t>LUVA SOLD - 40MM</t>
  </si>
  <si>
    <t>LUVA SOLD - 50MM</t>
  </si>
  <si>
    <t>LUVA SOLD - 60MM</t>
  </si>
  <si>
    <t>LUVA SOLD - 75MM</t>
  </si>
  <si>
    <t>LUVA SOLD - 85MM</t>
  </si>
  <si>
    <t>LUVA SOLD - 110MM</t>
  </si>
  <si>
    <t>LUVA DE CORRER P/TUBO SOLD.20MM</t>
  </si>
  <si>
    <t>LUVA DE CORRER P/TUBO SOLD.25MM</t>
  </si>
  <si>
    <t>LUVA DE CORRER P/TUBO SOLD.32MM</t>
  </si>
  <si>
    <t>LUVA DE CORRER P/TUBO SOLD.40MM</t>
  </si>
  <si>
    <t>LUVA DE CORRER P/TUBO SOLD.50MM</t>
  </si>
  <si>
    <t>LUVA DE CORRER P/TUBO SOLD.60MM</t>
  </si>
  <si>
    <t>LUVA RED. SOLD. 25 X 20MM</t>
  </si>
  <si>
    <t>LUVA RED. SOLD. 32 X 25MM</t>
  </si>
  <si>
    <t>LUVA RED. SOLD. 40 X 32MM</t>
  </si>
  <si>
    <t>LUVA RED. SOLD. 50 X 25MM</t>
  </si>
  <si>
    <t>TE SOLD - 20MM</t>
  </si>
  <si>
    <t>TE SOLD - 25MM</t>
  </si>
  <si>
    <t>TE SOLD - 32MM</t>
  </si>
  <si>
    <t>TE SOLD - 40MM</t>
  </si>
  <si>
    <t>TE SOLD - 50MM</t>
  </si>
  <si>
    <t>TE SOLD - 60MM</t>
  </si>
  <si>
    <t>TE SOLD - 75MM</t>
  </si>
  <si>
    <t>TE SOLD - 85MM</t>
  </si>
  <si>
    <t>TE SOLD - 110MM</t>
  </si>
  <si>
    <t>TE RED SOLD - 25 X 20MM</t>
  </si>
  <si>
    <t>TE RED SOLD - 32 X 25MM</t>
  </si>
  <si>
    <t>TE RED SOLD - 40 X 25MM</t>
  </si>
  <si>
    <t>TE RED SOLD - 40 X 32MM</t>
  </si>
  <si>
    <t>TE RED SOLD - 50 X 25MM</t>
  </si>
  <si>
    <t>TE RED SOLD - 50 X 32MM</t>
  </si>
  <si>
    <t>TE RED SOLD - 50 X 40MM</t>
  </si>
  <si>
    <t>TE RED SOLD - 75 X 50MM</t>
  </si>
  <si>
    <t>TE RED SOLD - 75 X 60MM</t>
  </si>
  <si>
    <t>UNIAO SOLD - 20MM</t>
  </si>
  <si>
    <t>UNIAO SOLD - 25MM</t>
  </si>
  <si>
    <t>UNIAO SOLD - 32MM</t>
  </si>
  <si>
    <t>UNIAO SOLD - 40MM</t>
  </si>
  <si>
    <t>UNIAO SOLD - 50MM</t>
  </si>
  <si>
    <t>UNIAO SOLD - 60MM</t>
  </si>
  <si>
    <t>UNIAO SOLD - 75MM</t>
  </si>
  <si>
    <t>UNIAO SOLD - 85MM</t>
  </si>
  <si>
    <t>UNIAO SOLD - 110MM</t>
  </si>
  <si>
    <t>JOELHO 90 SOLD E ROSCA (LR) 20MM X 1/2</t>
  </si>
  <si>
    <t>JOELHO 90 SOLD E ROSCA (LR) 25MM X 3/4</t>
  </si>
  <si>
    <t>JOELHO 90 SOLD E ROSCA (LR) 25MM X 1/2</t>
  </si>
  <si>
    <t>JOELHO 90 SOLD E ROSCA (LR) 32MM X 3/4</t>
  </si>
  <si>
    <t>LUVA SOLD E ROSCA (LR) 20MM X 1/2</t>
  </si>
  <si>
    <t>LUVA SOLD E ROSCA (LR) 25MM X 3/4</t>
  </si>
  <si>
    <t>LUVA SOLD E ROSCA (LR) 25MM X 1/2</t>
  </si>
  <si>
    <t>LUVA SOLD E ROSCA (LR) 32MM X 1</t>
  </si>
  <si>
    <t>LUVA SOLD E ROSCA (LR) 40MM X 1.1/4</t>
  </si>
  <si>
    <t>LUVA SOLD E ROSCA (LR) 50MM X 1.1/2</t>
  </si>
  <si>
    <t>TE SOLD E ROSCA (LR) 20MM X 1/2</t>
  </si>
  <si>
    <t>TE SOLD E ROSCA (LR) 25MM X 3/4</t>
  </si>
  <si>
    <t>TE SOLD E ROSCA (LR) 25MM X 1/2</t>
  </si>
  <si>
    <t>TE SOLD E ROSCA (LR) 32MM X 3/4</t>
  </si>
  <si>
    <t>JOELHO 90 SOLD C/BUCHA LATAO 20MM X 1/2</t>
  </si>
  <si>
    <t>JOELHO 90 SOLD C/BUCHA LATAO 25MM X 3/4</t>
  </si>
  <si>
    <t>JOELHO 90 SOLD C/BUCHA LATAO 25MM X 1/2</t>
  </si>
  <si>
    <t>JOELHO 90 SOLD. C/ BUCHA LATAO 32MM X 3/4</t>
  </si>
  <si>
    <t>LUVA SOLD C/BUCHA LATAO 20MM X 1/2</t>
  </si>
  <si>
    <t>LUVA SOLD C/BUCHA LATAO 25MM X 3/4</t>
  </si>
  <si>
    <t>LUVA SOLD C/BUCHA LATAO 25MM X 1/2</t>
  </si>
  <si>
    <t>TE SOLD C/BUCHA LATAO 20MM X 1/2</t>
  </si>
  <si>
    <t>TE SOLD C/BUCHA LATAO 25MM X 3/4</t>
  </si>
  <si>
    <t>TE SOLD C/BUCHA LATAO 25MM X 1/2</t>
  </si>
  <si>
    <t>TE SOLD C/BUCHA LATAO 32MM X 3/4</t>
  </si>
  <si>
    <t>ADESIVO PLASTICO 17G.</t>
  </si>
  <si>
    <t>ADESIVO PLASTICO 75G.</t>
  </si>
  <si>
    <t>ADESIVO PLASTICO 175G C/ PINCEL</t>
  </si>
  <si>
    <t>ADESIVO FRASCO 850 G</t>
  </si>
  <si>
    <t>SOLUCAO PREPARADORA 200 ML</t>
  </si>
  <si>
    <t>SOLUCAO PREPARADORA 1000 ML</t>
  </si>
  <si>
    <t>REGISTRO ESFERA SOLD - 20MM</t>
  </si>
  <si>
    <t>REGISTRO ESFERA SOLD - 25MM</t>
  </si>
  <si>
    <t>REGISTRO ESFERA SOLD - 32MM</t>
  </si>
  <si>
    <t>REGISTRO ESFERA SOLD - 40MM</t>
  </si>
  <si>
    <t>REGISTRO ESFERA SOLD - 50MM</t>
  </si>
  <si>
    <t>REGISTRO ESFERA SOLD - 60MM</t>
  </si>
  <si>
    <t>REGISTRO ESFERA SOLD - 75MM</t>
  </si>
  <si>
    <t>REGISTRO ESFERA SOLD - 85MM</t>
  </si>
  <si>
    <t>REGISTRO ESFERA SOLD - 110MM</t>
  </si>
  <si>
    <t>REGISTRO ESFERA ROSCAVEL - 1/2</t>
  </si>
  <si>
    <t>REGISTRO ESFERA ROSCAVEL - 3/4</t>
  </si>
  <si>
    <t>REGISTRO ESFERA ROSCAVEL - 1</t>
  </si>
  <si>
    <t>REGISTRO ESFERA ROSCAVEL - 1.1/4</t>
  </si>
  <si>
    <t>REGISTRO ESFERA ROSCAVEL - 1.1/2</t>
  </si>
  <si>
    <t>REGISTRO ESFERA ROSCAVEL - 2</t>
  </si>
  <si>
    <t>REGISTRO ESFERA ROSCAVEL - 2.1/2</t>
  </si>
  <si>
    <t>REGISTRO ESFERA ROSCAVEL - 3</t>
  </si>
  <si>
    <t>REGISTRO ESFERA ROSCAVEL - 4</t>
  </si>
  <si>
    <t>REGISTRO ESF.SOLD.C/ UNIAO - 20MM</t>
  </si>
  <si>
    <t>REGISTRO ESF.SOLD.C/ UNIAO - 25MM</t>
  </si>
  <si>
    <t>REGISTRO ESF.SOLD.C/ UNIAO - 32MM</t>
  </si>
  <si>
    <t>REGISTRO ESF.SOLD.C/ UNIAO - 40MM</t>
  </si>
  <si>
    <t>REGISTRO ESF.SOLD.C/ UNIAO - 50MM</t>
  </si>
  <si>
    <t>REGISTRO ESF.SOLD.C/ UNIAO - 60MM</t>
  </si>
  <si>
    <t>REGISTRO PRESSAO SOLDAVEL BRANCO - 20MM</t>
  </si>
  <si>
    <t>REGISTRO PRESSAO SOLDAVEL BRANCO - 25MM</t>
  </si>
  <si>
    <t>REPARO P/REGISTRO PRESSAO BRANCO</t>
  </si>
  <si>
    <t>REGISTRO ESF.ROSC.C/ UNIAO - 1/2</t>
  </si>
  <si>
    <t>REGISTRO ESF.ROSC.C/ UNIAO - 3/4</t>
  </si>
  <si>
    <t>REGISTRO ESF.ROSC.C/ UNIAO - 1</t>
  </si>
  <si>
    <t>REGISTRO ESF.ROSC.C/ UNIAO - 1 1/4</t>
  </si>
  <si>
    <t>REGISTRO ESF.ROSC.C/ UNIAO - 1.1/2</t>
  </si>
  <si>
    <t>REGISTRO ESF.ROSC.C/ UNIAO - 2</t>
  </si>
  <si>
    <t>REGISTRO ESFERA C/ROSCA EXT. - 1/2</t>
  </si>
  <si>
    <t>REGISTRO ESFERA C/ROSCA EXT. - 3/4</t>
  </si>
  <si>
    <t>REGISTRO PRESSAO SOLDAVEL - 20MM</t>
  </si>
  <si>
    <t>REGISTRO PRESSAO SOLDAVEL - 25MM</t>
  </si>
  <si>
    <t>REGISTRO ESFERA C/ CABECA QUADRADA 1/2</t>
  </si>
  <si>
    <t>REGISTRO ESFERA C/ CABECA QUADRADA 3/4</t>
  </si>
  <si>
    <t>REPARO P/REGISTRO PRESSAO</t>
  </si>
  <si>
    <t>LUVA RED. SOLD. 60 X 50MM</t>
  </si>
  <si>
    <t>LUVA RED. SOLD. 75 X 60MM</t>
  </si>
  <si>
    <t>LUVA RED. SOLD. 110 X 75MM</t>
  </si>
  <si>
    <t>BUCHA RED.LONGA P/ESGOTO DN 50 X 40</t>
  </si>
  <si>
    <t>CAP ESGOTO SEC.   - DN 40</t>
  </si>
  <si>
    <t>CAP ESGOTO PRIM. - DN 50</t>
  </si>
  <si>
    <t>CAP ESGOTO PRIM. - DN 75</t>
  </si>
  <si>
    <t>CAP ESGOTO PRIM. - DN 100</t>
  </si>
  <si>
    <t>CAP ESGOTO PRIM. - DN 150</t>
  </si>
  <si>
    <t>CAP ESGOTO PRIM. - DN 200</t>
  </si>
  <si>
    <t>CURVA 90 CURTA P/ESG.SEC   - DN 40</t>
  </si>
  <si>
    <t>CURVA 90 CURTA P/ESG.PRIM - DN 50</t>
  </si>
  <si>
    <t>CURVA 90 CURTA P/ESG.PRIM - DN 75</t>
  </si>
  <si>
    <t>CURVA 90 CURTA P/ESG.PRIM - DN 100</t>
  </si>
  <si>
    <t>CURVA 45 ESG. LONGA DN 40</t>
  </si>
  <si>
    <t>CURVA 45 ESG. LONGA DN 50</t>
  </si>
  <si>
    <t>CURVA 45 ESG. LONGA DN 75</t>
  </si>
  <si>
    <t>CURVA 45 ESG. LONGA DN 100</t>
  </si>
  <si>
    <t>CURVA 45 ESG. LONGA DN 150</t>
  </si>
  <si>
    <t>JOELHO 45 ESGOTO SEC   - DN 40</t>
  </si>
  <si>
    <t>JOELHO 45 ESGOTO PRIM - DN 50</t>
  </si>
  <si>
    <t>JOELHO 45 ESGOTO PRIM - DN 75</t>
  </si>
  <si>
    <t>JOELHO 45 ESGOTO PRIM - DN 100</t>
  </si>
  <si>
    <t>JOELHO 45 ESGOTO PRIM - DN 150</t>
  </si>
  <si>
    <t>JOELHO 90 ESGOTO SEC.  - DN 40</t>
  </si>
  <si>
    <t>JOELHO 90 ESGOTO PRIM - DN 50</t>
  </si>
  <si>
    <t>JOELHO 90 ESGOTO PRIM - DN 75</t>
  </si>
  <si>
    <t>JOELHO 90 ESGOTO PRIM - DN 100</t>
  </si>
  <si>
    <t>JOELHO 90 ESGOTO PRIM - DN 150</t>
  </si>
  <si>
    <t>JOELHO 90 C/VIS ESGOTO PRIM - DN 100X50</t>
  </si>
  <si>
    <t>JOELHO 90 BRANCO C/ANEL -  DN 40 X 40</t>
  </si>
  <si>
    <t>JOELHO AZUL 90 C/VEDACAO - DN 38 X 40</t>
  </si>
  <si>
    <t>JUNCAO 45 SIMPLES P/ESGOTO SEC.  - DN 40MM</t>
  </si>
  <si>
    <t>JUNCAO 45 SIMPLES P/ESGOTO PRIM - DN 50X50</t>
  </si>
  <si>
    <t>JUNCAO 45 SIMPLES P/ESGOTO PRIM - DN 75X75</t>
  </si>
  <si>
    <t>JUNCAO 45 SIMPLES P/ESGOTO PRIM - DN 100X100</t>
  </si>
  <si>
    <t>JUNCAO 45 SIMPLES P/ESGOTO PRIM - DN 150X150</t>
  </si>
  <si>
    <t>CURVA 90 ESG. LONGA DN 40</t>
  </si>
  <si>
    <t>CURVA 90 ESG. LONGA DN 50</t>
  </si>
  <si>
    <t>CURVA 90 ESG. LONGA DN 75</t>
  </si>
  <si>
    <t>CURVA 90 ESG. LONGA DN 100</t>
  </si>
  <si>
    <t>CURVA 90 ESG. LONGA DN 150</t>
  </si>
  <si>
    <t>JUNCAO RED.45 SIMPLES P/ESG.PRIM - DN 75X50</t>
  </si>
  <si>
    <t>JUNCAO RED.45 SIMPLES P/ESG.PRIM - DN 100X50</t>
  </si>
  <si>
    <t>JUNCAO RED.45 SIMPLES P/ESG.PRIM - DN 100X75</t>
  </si>
  <si>
    <t>JUNCAO RED.45 SIMPLES P/ESG.PRIM - DN 150X100</t>
  </si>
  <si>
    <t>LUVA ESGOTO SEC.   - DN 40</t>
  </si>
  <si>
    <t>LUVA ESGOTO PRIM. - DN 50</t>
  </si>
  <si>
    <t>LUVA ESGOTO PRIM. - DN 75</t>
  </si>
  <si>
    <t>LUVA ESGOTO PRIM. - DN 100</t>
  </si>
  <si>
    <t>LUVA ESGOTO PRIM. - DN 150</t>
  </si>
  <si>
    <t>LUVA DE CORRER P/TUBO ESG - DN 40</t>
  </si>
  <si>
    <t>LUVA DE CORRER P/TUBO ESG - DN 50</t>
  </si>
  <si>
    <t>LUVA DE CORRER P/TUBO ESG - DN 75</t>
  </si>
  <si>
    <t>LUVA DE CORRER P/TUBO ESG - DN 100</t>
  </si>
  <si>
    <t>LUVA DE CORRER P/TUBO ESG - DN 150</t>
  </si>
  <si>
    <t>REDUCAO EXCENTRICA ESGOTO PRIM - DN   75X50</t>
  </si>
  <si>
    <t>REDUCAO EXCENTRICA ESGOTO PRIM - DN 100X50</t>
  </si>
  <si>
    <t>REDUCAO EXCENTRICA ESGOTO PRIM - DN 100X75</t>
  </si>
  <si>
    <t>REDUCAO EXCENTRICA ESGOTO PRIM - DN 150X100</t>
  </si>
  <si>
    <t>TE ESGOTO SEC. - DN 40</t>
  </si>
  <si>
    <t>TE ESGOTO PRIM. - DN 50X50</t>
  </si>
  <si>
    <t>TE ESGOTO PRIM. - DN 75X75</t>
  </si>
  <si>
    <t>TE ESGOTO PRIM. - DN 100X100</t>
  </si>
  <si>
    <t>TE ESGOTO PRIM. - DN 150X150</t>
  </si>
  <si>
    <t>TE REDUCAO P/ESGOTO PRIM - DN 75X50</t>
  </si>
  <si>
    <t>TE REDUCAO P/ESGOTO PRIM - DN 100X50</t>
  </si>
  <si>
    <t>TE REDUCAO P/ESGOTO PRIM - DN 100X75</t>
  </si>
  <si>
    <t>TE REDUCAO P/ESGOTO PRIM - DN 150X100</t>
  </si>
  <si>
    <t>VALVULA DE RETENCAO DE ESGOTO DN 100</t>
  </si>
  <si>
    <t>VALVULA DE RETENCAO DE ESGOTO DN 150</t>
  </si>
  <si>
    <t>ANEL DE VEDACAO P/ESG. DN 40</t>
  </si>
  <si>
    <t>ANEL DE VEDACAO P/ESG. DN 50</t>
  </si>
  <si>
    <t>ANEL DE VEDACAO P/ESG. DN 75</t>
  </si>
  <si>
    <t>ANEL DE VEDACAO P/ESG. DN 100</t>
  </si>
  <si>
    <t>ANEL DE VEDACAO P/ESG. DN 150</t>
  </si>
  <si>
    <t>PASTA LUBRIFICANTE 160 G</t>
  </si>
  <si>
    <t>PASTA LUBRIFICANTE 400 G</t>
  </si>
  <si>
    <t>PASTA LUBRIFICANTE 1 KG</t>
  </si>
  <si>
    <t>ANEL DE VEDACAO P/ESG. DN 200</t>
  </si>
  <si>
    <t>ASSENTO SANITARIO PREMIER BRANCO</t>
  </si>
  <si>
    <t>ASSENTO SANITARIO PREMIER CARAMELO</t>
  </si>
  <si>
    <t>ASSENTO SANITARIO PREMIER CINZA CLARO</t>
  </si>
  <si>
    <t>ASSENTO SANITARIO PREMIER BEGE</t>
  </si>
  <si>
    <t>JUNCAO RED INVERTIDA ESGOTO PRIM. - DN 75X50</t>
  </si>
  <si>
    <t>JUNCAO RED INVERTIDA ESGOTO PRIM. - DN 100X50</t>
  </si>
  <si>
    <t>JUNCAO RED INVERTIDA ESGOTO PRIM. - DN 100X75</t>
  </si>
  <si>
    <t>JUNCAO INVERTIDA ESGOTO PRIM. - DN 75X75</t>
  </si>
  <si>
    <t>JUNCAO DUPLA ESGOTO PRIM - DN 75X75</t>
  </si>
  <si>
    <t>JUNCAO INVERTIDA ESGOTO PRIM. - DN 100X100</t>
  </si>
  <si>
    <t>JUNCAO DUPLA ESGOTO PRIM - DN 100X100</t>
  </si>
  <si>
    <t>JOELHO 45 ESGOTO PRIM - DN 200</t>
  </si>
  <si>
    <t>JOELHO 90 ESGOTO PRIM - DN 200</t>
  </si>
  <si>
    <t>JUNCAO 45 SIMPLES P/ESGOTO PRIM - DN 200X200</t>
  </si>
  <si>
    <t>LUVA ESGOTO PRIM. - DN 200</t>
  </si>
  <si>
    <t>LUVA DE CORRER P/TUBO ESG - DN 200</t>
  </si>
  <si>
    <t>REDUCAO EXCENTRICA ESGOTO PRIM - DN 200X150</t>
  </si>
  <si>
    <t>TE ESGOTO PRIM. - DN 200X200</t>
  </si>
  <si>
    <t>TE DE INSPECAO ESGOTO DN 100 X 75</t>
  </si>
  <si>
    <t>CURVA 45 ESG. CURTA DN 100</t>
  </si>
  <si>
    <t>TORNEIRA BOIA PARA CAIXA D AGUA 1/2</t>
  </si>
  <si>
    <t>TORNEIRA BOIA PARA CAIXA D AGUA 3/4</t>
  </si>
  <si>
    <t>TORNEIRA BOIA PARA BEBEDOURO 1/2</t>
  </si>
  <si>
    <t>TORNEIRA BOIA 1/2 CURTA</t>
  </si>
  <si>
    <t>ADAPTADOR N1 P/VALV PIA/LAV DN 40</t>
  </si>
  <si>
    <t>ADAPTADOR N2 P/VALV PIA/LAV DN 40</t>
  </si>
  <si>
    <t>ENGATE PLASTICO 30CM X 1/2</t>
  </si>
  <si>
    <t>ENGATE PLASTICO 40CM X 1/2</t>
  </si>
  <si>
    <t>ENGATE PLASTICO 50CM X 1/2</t>
  </si>
  <si>
    <t>ENGATE PLASTICO 60CM X 1/2</t>
  </si>
  <si>
    <t>ENGATE PLASTICO 1METRO X 1/2</t>
  </si>
  <si>
    <t>KIT CHUVEIRO FRIO</t>
  </si>
  <si>
    <t>CHUVEIRO</t>
  </si>
  <si>
    <t>HASTE PARA CHUVEIRO FRIO</t>
  </si>
  <si>
    <t>HASTE PARA CHUVEIRO ELETRICO</t>
  </si>
  <si>
    <t>PARAFUSO FIXACAO ASSENTO SANITARIO BRANCO</t>
  </si>
  <si>
    <t>PARAFUSO FIXACAO ASSENTO SANITARIO CARAMELO</t>
  </si>
  <si>
    <t>PARAFUSO FIXACAO ASSENTO SANITARIO CINZA CL</t>
  </si>
  <si>
    <t>PARAFUSO FIXACAO ASSENTO SANITARIO BEGE</t>
  </si>
  <si>
    <t>TORNEIRA P/ PIA 1/2 - 3/4 - BRANCA</t>
  </si>
  <si>
    <t>TORNEIRA P/ PIA 1/2 - 3/4 - CINZA</t>
  </si>
  <si>
    <t>TORNEIRA P/ TANQUE 1/2 - 3/4 - BRANCA</t>
  </si>
  <si>
    <t>TORNEIRA P/ TANQUE 1/2 - 3/4 - CINZA</t>
  </si>
  <si>
    <t>TORNEIRA ESF.P/JARDIM/TANQUE - 1/2 E 3/4</t>
  </si>
  <si>
    <t>TORNEIRA PARA JARDIM – PRETA/PRETA</t>
  </si>
  <si>
    <t>TORNEIRA PARA JARDIM SLIM - PRETA/PRETA</t>
  </si>
  <si>
    <t>TORNEIRA PARA PIA SLIM - BRANCA/PRETA</t>
  </si>
  <si>
    <t>TORNEIRA PARA TANQUE SLIM - BRANCA/PRETA</t>
  </si>
  <si>
    <t>TUBO P/CX.DESC.LONGO C/CURVA</t>
  </si>
  <si>
    <t>TUBO P/CX.DESC.CURTO C/CURVA</t>
  </si>
  <si>
    <t>TUBO DESCIDA DE EMBUTIR C/CURVA P/CX.DESCARGA</t>
  </si>
  <si>
    <t>TUBO DE DESCIDA P/VALV.DESCARGA C/JOELHO AZUL</t>
  </si>
  <si>
    <t>CURVA P/TUBO DE DESCIDA DA CX.DE DESCARGA</t>
  </si>
  <si>
    <t>ESPUDE P/VASO SANITARIO</t>
  </si>
  <si>
    <t>V1 - VALVULA P/PIA C/UNHO</t>
  </si>
  <si>
    <t>V2 - VALVULA P/PIA</t>
  </si>
  <si>
    <t>V3 - VALVULA P/PIA (CORPO E TAMPA)</t>
  </si>
  <si>
    <t>V5 - VALVULA P/LAVATORIO C/LADRAO E UNHO</t>
  </si>
  <si>
    <t>V6 - VALVULA P/LAVATORIO C/LADRAO</t>
  </si>
  <si>
    <t>V7 - VALVULA P/LAVATORIO E TANQUE C/UNHO</t>
  </si>
  <si>
    <t>V8 - VALVULA P/LAVATORIO E TANQUE</t>
  </si>
  <si>
    <t>V9 - VALVULA P/ TANQUE 1.1/2</t>
  </si>
  <si>
    <t>V10 - VALVULA P/ TANQUE DN 40</t>
  </si>
  <si>
    <t>T1-TAMPA P/VALVULA PIA E LAVAT.</t>
  </si>
  <si>
    <t>T2-TAMPA P/VALVULA DE TANQUE</t>
  </si>
  <si>
    <t>U1 - UNHO COMPLETO P/VALVULA PIA E LAVATORIO</t>
  </si>
  <si>
    <t>LAVATORIO KRONA - BRANCO 36 X 26 CM</t>
  </si>
  <si>
    <t>MULTISIFAO LONGO (TUBO EXTENSIVEL) 1500MM</t>
  </si>
  <si>
    <t>MULTISIFAO SIMPLES (TUBO EXTENSIVEL)</t>
  </si>
  <si>
    <t>MULTISIFAO DUPLO (TUBO EXTENSIVEL)</t>
  </si>
  <si>
    <t>MULTISIFAO SIMPLES (TUBO EXTENSIVEL) COM 48</t>
  </si>
  <si>
    <t>TE RED SOLD - 85 X 60MM</t>
  </si>
  <si>
    <t>TE RED SOLD - 110 X 60MM</t>
  </si>
  <si>
    <t>TE RED SOLD - 110 X 75MM</t>
  </si>
  <si>
    <t>TE RED SOLD - 60 X 25MM</t>
  </si>
  <si>
    <t>LUVA DE CORRER ROSCAVEL 1/2</t>
  </si>
  <si>
    <t>LUVA DE CORRER ROSCAVEL 3/4</t>
  </si>
  <si>
    <t>CX.SIFONADA NR.05 QUAD.BRANCA 100 X 100 X 50</t>
  </si>
  <si>
    <t>CX.SIFONADA NR.07 RED.BRANCA   100 X 100 X 50</t>
  </si>
  <si>
    <t>CX.SIFONADA NR.09 QUAD.BRANCA 100 X 150 X 50</t>
  </si>
  <si>
    <t>CX. SIFONADA NR.11 RED. BRANCA 100X150X50</t>
  </si>
  <si>
    <t>CX.SIF.NR.13 C/GRELHA QUADR.BR.150 X 150 X 50</t>
  </si>
  <si>
    <t>CX.SIF.NR.15 C/GRELHA RED.BR.150 X 150 X 50</t>
  </si>
  <si>
    <t>CX.SIF.NR.17 C/GRELHA QUADR.BR.150 X 185 X 75</t>
  </si>
  <si>
    <t>CX.SIF.NR.19 C/GRELHA RED.BR.150 X 185 X 75</t>
  </si>
  <si>
    <t>RALO SIF.N.37 RED.C/ GRELHA RED.100 X 38 X 40</t>
  </si>
  <si>
    <t>CX.SIF. NR.21 QUAD. DN 250 X 172 X 50</t>
  </si>
  <si>
    <t>CX.SIF. NR.22 QUAD. DN 250 X 230 X 75</t>
  </si>
  <si>
    <t>CX.SIF. NR.23 RED. DN 250 X 172 X 50</t>
  </si>
  <si>
    <t>CX.SIF. NR.24 RED. DN 250 X 230 X 75</t>
  </si>
  <si>
    <t>CORPO CAIXA SIFONADA NR.28 100 X 100 X 50</t>
  </si>
  <si>
    <t>CORPO CAIXA SIFONADA NR.31 150 X 150 X 50</t>
  </si>
  <si>
    <t>CORPO CX. SIFONADA NR.32 100X150X50</t>
  </si>
  <si>
    <t>RALO SIFONADO QUADR.NR.43 BR. 100 X 52 X 40</t>
  </si>
  <si>
    <t>GRELHA NR.50 QUADR.BR.P/CX.SIFONADA 100</t>
  </si>
  <si>
    <t>GRELHA NR.51 QUADR.CROMADA CX.SIF.100</t>
  </si>
  <si>
    <t>GRELHA NR.52 QUADR.BRANCA       CX.SIF.150</t>
  </si>
  <si>
    <t>GRELHA NR.53 QUADR.CROMADA    CX.SIF.150</t>
  </si>
  <si>
    <t>GRELHA NR.54 REDONDA BRANCA   CX.SIF.100</t>
  </si>
  <si>
    <t>GRELHA NR.55 REDONDA CROMADA  CX.SIF.100</t>
  </si>
  <si>
    <t>GRELHA NR.56 REDONDA BRANCA     CX.SIF.150</t>
  </si>
  <si>
    <t>GRELHA NR.57 REDONDA CROMADA  CX.SIF.150</t>
  </si>
  <si>
    <t>PORTA GRELHA NR.58 QUADR.BRANCA  CX.SIF. 100</t>
  </si>
  <si>
    <t>PORTA GRELHA NR.60 QUADR.CROMADO CX.SIF.100</t>
  </si>
  <si>
    <t>PORTA GRELHA NR.61 QUADR.BRANCA .CX.SIF.150</t>
  </si>
  <si>
    <t>PORTA GRELHA NR.63 QUADR.CROMADO CX.SIF.150</t>
  </si>
  <si>
    <t>PORTA GRELHA NR.64 RED.BR.CX.SIF.100X100X50</t>
  </si>
  <si>
    <t>PORTA GRELHA NR.66 RED.CROMADO CX.SIF.100</t>
  </si>
  <si>
    <t>PORTA GRELHA NR.67 RED.BR.CX.SIF.150X150X50</t>
  </si>
  <si>
    <t>PORTA GRELHA NR.69 RED.CROMADO CX.SIF.150</t>
  </si>
  <si>
    <t>PORTA GRELHA RED.NR.70 CX 250</t>
  </si>
  <si>
    <t>PORTA GRELHA QUAD.NR.71 CX 250</t>
  </si>
  <si>
    <t>TAMPA REDONDA NR.72 P/ CX SIF.250</t>
  </si>
  <si>
    <t>VALVULA P/POCO C/FILTRO - 3/4</t>
  </si>
  <si>
    <t>VALVULA P/POCO C/FILTRO - 1</t>
  </si>
  <si>
    <t>VALVULA P/POCO C/FILTRO - 1.1/2</t>
  </si>
  <si>
    <t>VALVULA P/POCO C/FILTRO - 2</t>
  </si>
  <si>
    <t>PROLONGAMENTO DN 250 X 200MM</t>
  </si>
  <si>
    <t>PROLONGAMENTO CAIXA SIFONADA DN 150 X 150MM</t>
  </si>
  <si>
    <t>PROLONGAMENTO CAIXA SIFONADA DN 150 X 200MM</t>
  </si>
  <si>
    <t>CORPO CAIXA SIFONADA NR.33 150 X 185 X 75</t>
  </si>
  <si>
    <t>CORPO CAIXA SIFONADA NR.34 250 X 172 X 50</t>
  </si>
  <si>
    <t>CORPO CAIXA SIFONADA NR.35 250 X 230 X 75</t>
  </si>
  <si>
    <t>CAIXA SIF QUADRADA CROM 7 ENTRADAS 150X150X50</t>
  </si>
  <si>
    <t>CAIXA SIF REDONDA CROM 7 ENTRADAS 150X150X50</t>
  </si>
  <si>
    <t>CAIXA SIF QUADRADA CROM 3 ENTRADAS 100X100X50</t>
  </si>
  <si>
    <t>CAIXA SIF REDONDA CROM 3 ENTRADAS 100X100X50</t>
  </si>
  <si>
    <t>MT</t>
  </si>
  <si>
    <t>JOGO ESGUICHO P/MANG.1/2 - 3/4 AMARELO/PRETO</t>
  </si>
  <si>
    <t>TUBO ELETRODUTO ROSC.ANTICHAMA -    1/2</t>
  </si>
  <si>
    <t>TUBO ELETRODUTO ROSC.ANTICHAMA -    3/4</t>
  </si>
  <si>
    <t>TUBO ELETRODUTO ROSC.ANTICHAMA -     1</t>
  </si>
  <si>
    <t>TUBO ELETRODUTO ROSC.ANTICHAMA - 1.1/4</t>
  </si>
  <si>
    <t>TUBO ELETRODUTO ROSC.ANTICHAMA - 1.1/2</t>
  </si>
  <si>
    <t>TUBO ELETRODUTO ROSC.ANTICHAMA -     2</t>
  </si>
  <si>
    <t>TUBO ELETRODUTO ROSC.ANTICHAMA -     3</t>
  </si>
  <si>
    <t>TUBO ELETRODUTO ROSC.ANTICHAMA -     4</t>
  </si>
  <si>
    <t>TUBO ELETRODUTO ROSC.ANTICHAMA -     2.1/2</t>
  </si>
  <si>
    <t>CURVA 90 R.CURTO P/ELETRODUTO ROSC. 1/2</t>
  </si>
  <si>
    <t>CURVA 90 R.CURTO P/ELETRODUTO ROSC. 3/4</t>
  </si>
  <si>
    <t>CURVA 90 R.CURTO P/ELETRODUTO ROSC. 1</t>
  </si>
  <si>
    <t>CURVA 90 R.CURTO P/ELETRODUTO ROSC. 1.1/4</t>
  </si>
  <si>
    <t>CURVA 90° CURTA ELETRODUTO ROSCAVEL 1.1/2</t>
  </si>
  <si>
    <t>CURVA 90 R.LONGO P/ELETRODUTO ROSC. 1/2</t>
  </si>
  <si>
    <t>CURVA 90 R.LONGO P/ELETRODUTO ROSC. 3/4</t>
  </si>
  <si>
    <t>CURVA 90 R.LONGO P/ELETRODUTO ROSC. 1</t>
  </si>
  <si>
    <t>CURVA 90 PARA ELETRODUTO ROSCAVEL DE 1 1/2</t>
  </si>
  <si>
    <t>CURVA 90º PARA ELETRODUTO ROSCAVEL 2</t>
  </si>
  <si>
    <t>CURVA 90º PARA ELETRODUTO ROSCAVEL 2.1/2</t>
  </si>
  <si>
    <t>CURVA 90º PARA ELETRODUTO ROSCAVEL 3</t>
  </si>
  <si>
    <t>CURVA 90º PARA ELETRODUTO ROSCAVEL 4</t>
  </si>
  <si>
    <t>CURVA 135 P/ELETRODUTO ROSC. 3/4</t>
  </si>
  <si>
    <t>CURVA 135 P/ELETRODUTO ROSC. 1</t>
  </si>
  <si>
    <t>CURVA 180 P/ELETRODUTO ROSC. 3/4</t>
  </si>
  <si>
    <t>CURVA 180 P/ELETRODUTO ROSC. 1</t>
  </si>
  <si>
    <t>LUVA P/ELETRODUTO ROSC. 1/2</t>
  </si>
  <si>
    <t>LUVA P/ELETRODUTO ROSC. 3/4</t>
  </si>
  <si>
    <t>LUVA P/ELETRODUTO ROSC. 1</t>
  </si>
  <si>
    <t>LUVA P/ELETRODUTO ROSC. 1.1/4</t>
  </si>
  <si>
    <t>LUVA P/ELETRODUTO ROSC. 1.1/2</t>
  </si>
  <si>
    <t>LUVA P/ELETRODUTO ROSC. 2</t>
  </si>
  <si>
    <t>LUVA P/ELETRODUTO ROSC. 3</t>
  </si>
  <si>
    <t>LUVA P/ELETRODUTO ROSC. 4</t>
  </si>
  <si>
    <t>TUBO ELETRODUTO PVC RIGIDO SOLDAVEL 20MM</t>
  </si>
  <si>
    <t>TUBO ELETRODUTO PVC RIGIDO SOLDAVEL 25MM</t>
  </si>
  <si>
    <t>TUBO ELETRODUTO PVC RIGIDO SOLDAVEL 32MM</t>
  </si>
  <si>
    <t>LUVA P/ELETRODUTO SOLDAVEL 20MM</t>
  </si>
  <si>
    <t>LUVA P/ELETRODUTO SOLDAVEL 25MM</t>
  </si>
  <si>
    <t>CURVA 90 LONGA P/ELETRODUTO SOLD.20MM</t>
  </si>
  <si>
    <t>CURVA 90 LONGA P/ELETRODUTO SOLD.25MM</t>
  </si>
  <si>
    <t>CURVA 90 LONGA P/ELETRODUTO SOLD.32MM</t>
  </si>
  <si>
    <t>ELETRODUTO DE PVC FLEX CORRUGADO 20MM - 50 MT</t>
  </si>
  <si>
    <t>ELETRODUTO DE PVC FLEX CORRUGADO 25MM - 50 MT</t>
  </si>
  <si>
    <t>ELETRODUTO DE PVC FLEX CORRUGADO 32MM - 25 MT</t>
  </si>
  <si>
    <t>ELETROD PVC FLEX CORRUG REFORCADO 20MM 50 MT</t>
  </si>
  <si>
    <t>ELETROD PVC FLEX CORRUG REFORCADO 25MM 50 MT</t>
  </si>
  <si>
    <t>ELETROD PVC FLEX CORRUG REFORCADO 32MM 25 MT</t>
  </si>
  <si>
    <t>LUVA PRESSAO P/ ELETR.CORRUGADO AMARELO 20MM</t>
  </si>
  <si>
    <t>LUVA PRESSAO P/ ELETR.CORRUGADO AMARELO 25MM</t>
  </si>
  <si>
    <t>LUVA PRESSAO P/ ELETR.CORRUGADO AMARELO 32MM</t>
  </si>
  <si>
    <t>LUVA PRESSAO P/ELETR.CORRUGADO REFORCADO 20MM</t>
  </si>
  <si>
    <t>LUVA PRESSAO P/ELETR.CORRUGADO REFORCADO 25MM</t>
  </si>
  <si>
    <t>LUVA PRESSAO P/ELETR.CORRUGADO REFORCADO 32MM</t>
  </si>
  <si>
    <t>CAIXA DE LUZ OCTOGONAL 4X4</t>
  </si>
  <si>
    <t>CAIXA DE CENTRO P/LAJE 250</t>
  </si>
  <si>
    <t>CAIXA DE CENTRO P/LAJE 300</t>
  </si>
  <si>
    <t>PROLONGADOR PARA CAIXA OCTOGONAL</t>
  </si>
  <si>
    <t>PROLONGADOR PARA CAIXA OCTOGONAL REFORCADO</t>
  </si>
  <si>
    <t>CAIXA DE LUZ P/ELETR. FLEXIVEL CORRUGADO 4X2</t>
  </si>
  <si>
    <t>CAIXA DE LUZ P/ELETR. FLEXIVEL CORRUGADO 4X4</t>
  </si>
  <si>
    <t>QUADRO DISTR 4D/3N EMBUTIR</t>
  </si>
  <si>
    <t>QUADRO DISTR 8D/6N EMBUTIR SEM BARRAMENTO</t>
  </si>
  <si>
    <t>QUADRO DISTR 12D/9N EMBUTIR SEM BARRAMENTO</t>
  </si>
  <si>
    <t>QUADRO DISTR 16D/11N EMBUTIR SEM BARRAMENTO</t>
  </si>
  <si>
    <t>QUADRO DISTR 24D/18N EMBUTIR SEM BARRAMENTO</t>
  </si>
  <si>
    <t>QUADRO DISTR 36D/27N EMBUTIR SEM BARRAMENTO</t>
  </si>
  <si>
    <t>QUADRO DISTR 8D/6N EMBUTIR COM BARRAMENTO</t>
  </si>
  <si>
    <t>QUADRO DISTR 12D/9N EMBUTIR COM BARRAMENTO</t>
  </si>
  <si>
    <t>QUADRO DISTR 16D/11N EMBUTIR COM BARRAMENTO</t>
  </si>
  <si>
    <t>QUADRO DISTR 24D/18N EMBUTIR COM BARRAMENTO</t>
  </si>
  <si>
    <t>QUADRO DISTR 36D/27N EMBUTIR COM BARRAMENTO</t>
  </si>
  <si>
    <t>QUADRO DISTR 4D/3N SOBREPOR</t>
  </si>
  <si>
    <t>QUADRO DISTR 8D/6N SOBREPOR SEM BARRAMENTO</t>
  </si>
  <si>
    <t>QUADRO DISTR 12D/9N SOBREPOR SEM BARRAMENTO</t>
  </si>
  <si>
    <t>QUADRO DISTR 16D/11N SOBREPOR SEM BARRAMENTO</t>
  </si>
  <si>
    <t>QUADRO DISTR 24D/18N SOBREPOR SEM BARRAMENTO</t>
  </si>
  <si>
    <t>QUADRO DISTR 36D/27N SEM BARRAMENTO</t>
  </si>
  <si>
    <t>QUADRO DISTR 8D/6N SOBREPOR COM BARRAMENTO</t>
  </si>
  <si>
    <t>QUADRO DISTR 12D/9N SOBREPOR COM BARRAMENTO</t>
  </si>
  <si>
    <t>QUADRO DISTR 16D/11N SOBREPOR COM BARRAMENTO</t>
  </si>
  <si>
    <t>QUADRO DISTR 24D/18N SOBREPOR COM BARRAMENTO</t>
  </si>
  <si>
    <t>QUADRO DISTR 36D/27N COM BARRAMENTO</t>
  </si>
  <si>
    <t>CAIXA DE PROTECAO S DISJUNTOR</t>
  </si>
  <si>
    <t>CAIXA DE PASSAGEM ELETRICA DE PISO DN300</t>
  </si>
  <si>
    <t>FITA ISOLANTE ANTI-CHAMA C/CELOF.19MM X  5M</t>
  </si>
  <si>
    <t>FITA ISOLANTE ANTI-CHAMA C/CELOF.19MM X 10M</t>
  </si>
  <si>
    <t>FITA ISOLANTE ANTI-CHAMA C/CELOF.19MM X 20M</t>
  </si>
  <si>
    <t>QUADRO SISTEMA VDI 30X20 - EMBUTIR</t>
  </si>
  <si>
    <t>QUADRO SISTEMA VDI 30X35 - EMBUTIR</t>
  </si>
  <si>
    <t>QUADRO SISTEMA VDI 30X50 - EMBUTIR</t>
  </si>
  <si>
    <t>QUADRO SISTEMA VDI 30X20 - SOBREPOR</t>
  </si>
  <si>
    <t>QUADRO SISTEMA VDI 30X35 - SOBREPOR</t>
  </si>
  <si>
    <t>QUADRO SISTEMA VDI 30X50 - SOBREPOR</t>
  </si>
  <si>
    <t>CAIXA PASSAGEM ELETRICA PAREDE 25X20 EMBUTIR</t>
  </si>
  <si>
    <t>CAIXA PASSAGEM ELETRICA PAREDE 30X20 EMBUTIR</t>
  </si>
  <si>
    <t>CAIXA PASSAGEM ELETRICA PAREDE 30X35 EMBUTIR</t>
  </si>
  <si>
    <t>CAIXA PASSAGEM ELETRICA PAREDE 30X50 EMBUTIR</t>
  </si>
  <si>
    <t>CAIXA PASSAGEM ELETRICA PAREDE 25X20 SOBREPOR</t>
  </si>
  <si>
    <t>CAIXA PASSAGEM ELETRICA PAREDE 30X20 SOBREPOR</t>
  </si>
  <si>
    <t>CAIXA PASSAGEM ELETRICA PAREDE 30X35 SOBREPOR</t>
  </si>
  <si>
    <t>CAIXA PASSAGEM ELETRICA PAREDE 30X50 SOBREPOR</t>
  </si>
  <si>
    <t>COLAR DE TOMADA 50MM X 1/2</t>
  </si>
  <si>
    <t>COLAR DE TOMADA 50MM X 3/4</t>
  </si>
  <si>
    <t>COLAR DE TOMADA 60MM X 1/2</t>
  </si>
  <si>
    <t>COLAR DE TOMADA 60MM X 3/4</t>
  </si>
  <si>
    <t>BUCHA DE REDUCAO CURTA ULTRATERM - 22 X 15</t>
  </si>
  <si>
    <t>BUCHA DE REDUCAO CURTA ULTRATERM - 28 X 15</t>
  </si>
  <si>
    <t>BUCHA DE REDUCAO CURTA ULTRATERM - 28 X 22</t>
  </si>
  <si>
    <t>CAP ULTRATERM - 15MM</t>
  </si>
  <si>
    <t>CAP ULTRATERM - 22MM</t>
  </si>
  <si>
    <t>CAP ULTRATERM - 28MM</t>
  </si>
  <si>
    <t>CONECTOR RM ULTRATERM - 15 X 1/2</t>
  </si>
  <si>
    <t>CONECTOR RM ULTRATERM - 22 X 1/2</t>
  </si>
  <si>
    <t>CONECTOR RM ULTRATERM - 22 X 3/4</t>
  </si>
  <si>
    <t>CONECTOR RM ULTRATERM - 28 X 1</t>
  </si>
  <si>
    <t>JOELHO 45° ULTRATERM - 15MM</t>
  </si>
  <si>
    <t>JOELHO 45° ULTRATERM - 22MM</t>
  </si>
  <si>
    <t>JOELHO 45° ULTRATERM - 28MM</t>
  </si>
  <si>
    <t>JOELHO 90° ULTRATERM - 15MM</t>
  </si>
  <si>
    <t>JOELHO 90° ULTRATERM - 22MM</t>
  </si>
  <si>
    <t>JOELHO 90° ULTRATERM - 28MM</t>
  </si>
  <si>
    <t>JOELHO 90° TRANSICAO RF ULTRATERM - 15 X 1/2</t>
  </si>
  <si>
    <t>JOELHO 90° TRANSICAO RF ULTRATERM - 22 X 1/2</t>
  </si>
  <si>
    <t>JOELHO 90° TRANSICAO RF ULTRATERM - 22 X 3/4</t>
  </si>
  <si>
    <t>JOELHO 90° TRANSICAO RF ULTRATERM - 28 X 1</t>
  </si>
  <si>
    <t>LUVA DE CORRER ULTRATERM  - 15MM</t>
  </si>
  <si>
    <t>LUVA DE CORRER ULTRATERM  - 22MM</t>
  </si>
  <si>
    <t>LUVA DE CORRER ULTRATERM  - 28MM</t>
  </si>
  <si>
    <t>LUVA ULTRATERM - 15MM</t>
  </si>
  <si>
    <t>LUVA ULTRATERM - 22MM</t>
  </si>
  <si>
    <t>LUVA ULTRATERM - 28MM</t>
  </si>
  <si>
    <t>LUVA TRANSICAO F/F ULTRATERM X SOLD- 15X20MM</t>
  </si>
  <si>
    <t>LUVA TRANSICAO F/F ULTRATERM X SOLD- 22X25MM</t>
  </si>
  <si>
    <t>LUVA DE TRANSICAO RF ULTRATERM - 15 X 1/2</t>
  </si>
  <si>
    <t>LUVA DE TRANSICAO RF ULTRATERM - 22 X 1/2</t>
  </si>
  <si>
    <t>LUVA DE TRANSICAO RF ULTRATERM - 22 X 3/4</t>
  </si>
  <si>
    <t>LUVA DE TRANSICAO RF ULTRATERM - 28 X 1</t>
  </si>
  <si>
    <t>TE ULTRATERM - 15MM</t>
  </si>
  <si>
    <t>TE ULTRATERM - 22MM</t>
  </si>
  <si>
    <t>TE ULTRATERM - 28MM</t>
  </si>
  <si>
    <t>TE MISTURADOR RF ULTRATERM - 15 X 1/2</t>
  </si>
  <si>
    <t>TE MISTURADOR RF ULTRATERM - 22 X 3/4</t>
  </si>
  <si>
    <t>TE DE REDUCAO ULTRATERM -  22 X 15</t>
  </si>
  <si>
    <t>TE DE REDUCAO ULTRATERM -  28 X 15</t>
  </si>
  <si>
    <t>TE DE REDUCAO ULTRATERM - 28 X 22</t>
  </si>
  <si>
    <t>TE DE TRANSICAO ULTRATERM - 15 X 1/2</t>
  </si>
  <si>
    <t>TE DE TRANSICAO ULTRATERM - 22 X 1/2</t>
  </si>
  <si>
    <t>TE DE TRANSICAO ULTRATERM - 22 X 3/4</t>
  </si>
  <si>
    <t>TE MISTURADOR M/F/M ULTRATERM - 15MM</t>
  </si>
  <si>
    <t>TE MISTURADOR M/F/M ULTRATERM - 22MM</t>
  </si>
  <si>
    <t>UNIAO F/F ULTRATERM - 15MM</t>
  </si>
  <si>
    <t>UNIAO F/F ULTRATERM - 22MM</t>
  </si>
  <si>
    <t>UNIAO F/F ULTRATERM - 28MM</t>
  </si>
  <si>
    <t>CURVA 90° ULTRATERM - 15MM</t>
  </si>
  <si>
    <t>CURVA 90° ULTRATERM - 22MM</t>
  </si>
  <si>
    <t>CURVA 90° ULTRATERM - 28MM</t>
  </si>
  <si>
    <t>CURVA DE TRANSPOSICAO ULTRATERM - 15MM</t>
  </si>
  <si>
    <t>CURVA DE TRANSPOSICAO ULTRATERM - 22MM</t>
  </si>
  <si>
    <t>ADESIVO PLASTICO ULTRATERM - BISNAGA 17G</t>
  </si>
  <si>
    <t>ADESIVO PLASTICO ULTRATERM - BISNAGA 75G</t>
  </si>
  <si>
    <t>ADESI PLAST C PIN APLIC ULTRATERM -FRSC 175G</t>
  </si>
  <si>
    <t>ADESIVO PLASTICO ULTRATERM - FRASCO 850G</t>
  </si>
  <si>
    <t>CURVA 90° CURTA PE COLUNA SERIE REFORC. DN100</t>
  </si>
  <si>
    <t>JOELHO 45° ESGOTO SERIE REFORCADA DN100</t>
  </si>
  <si>
    <t>JOELHO 90° ESGOTO SERIE REFORCADA DN100</t>
  </si>
  <si>
    <t>JUNCAO SIMPLES ESGOTO SERIE REFORCADA DN100</t>
  </si>
  <si>
    <t>JUNCAO SIMP.RED. ESG. SER. REFORC. DN100X75</t>
  </si>
  <si>
    <t>LUVA SIMPLES ESGOTO SERIE REFORCADA DN100</t>
  </si>
  <si>
    <t>RED. EXCENTRICA ESGOTO SERIE REFOC. DN100X75</t>
  </si>
  <si>
    <t>TE ESGOTO SERIE REFORCADA DN75</t>
  </si>
  <si>
    <t>TE ESGOTO SERIE REFORCADA DN100</t>
  </si>
  <si>
    <t>CAIXA DE GORDURA DN300</t>
  </si>
  <si>
    <t>CAIXA DE INSPECAO DE ESGOTO DN300</t>
  </si>
  <si>
    <t>CAIXA DE AREIA DN300</t>
  </si>
  <si>
    <t>CAIXA COLETORA DE AGUA PLUVIAL DN300</t>
  </si>
  <si>
    <t>PROLONGADOR DN300</t>
  </si>
  <si>
    <t>ADAPTADOR TRANS F/F PPR 20X1/2</t>
  </si>
  <si>
    <t>ADAPTADOR TRANS F/F PPR 25X1/2</t>
  </si>
  <si>
    <t>ADAPTADOR TRANS F/F PPR 20X3/4</t>
  </si>
  <si>
    <t>ADAPTADOR TRANS F/F PPR 25X3/4</t>
  </si>
  <si>
    <t>ADAPTADOR TRANS F/F PPR 32X3/4</t>
  </si>
  <si>
    <t>ADAPTADOR TRANS F/F PPR 32X1</t>
  </si>
  <si>
    <t>ADAPTADOR TRANS F/F PPR 40X1.1/4</t>
  </si>
  <si>
    <t>ADAPTADOR TRANS F/F PPR 50X1.1/2</t>
  </si>
  <si>
    <t>ADAPTADOR TRANS F/F PPR 63X2</t>
  </si>
  <si>
    <t>ADAPTADOR TRANS F/M PPR 20X1/2</t>
  </si>
  <si>
    <t>ADAPTADOR TRANS F/M PPR 20X3/4</t>
  </si>
  <si>
    <t>ADAPTADOR TRANS F/M PPR 25X1/2</t>
  </si>
  <si>
    <t>ADAPTADOR TRANS F/M PPR 25X3/4</t>
  </si>
  <si>
    <t>ADAPTADOR TRANS F/M PPR 32X3/4</t>
  </si>
  <si>
    <t>ADAPTADOR TRANS F/M PPR 32X1</t>
  </si>
  <si>
    <t>ADAPTADOR TRANS F/M PPR 40X1.1/4</t>
  </si>
  <si>
    <t>ADAPTADOR TRANS F/M PPR 50X1.1/2</t>
  </si>
  <si>
    <t>ADAPTADOR TRANS F/M PPR 63X2</t>
  </si>
  <si>
    <t>BUCHA REDU M/F PPR 25X20MM</t>
  </si>
  <si>
    <t>BUCHA REDU M/F PPR 32X20MM</t>
  </si>
  <si>
    <t>BUCHA REDU M/F PPR 32X25MM</t>
  </si>
  <si>
    <t>BUCHA REDU M/F PPR 40X25MM</t>
  </si>
  <si>
    <t>BUCHA REDU M/F PPR 40X32MM</t>
  </si>
  <si>
    <t>BUCHA REDU M/F PPR 50X25MM</t>
  </si>
  <si>
    <t>BUCHA REDU M/F PPR 50X32MM</t>
  </si>
  <si>
    <t>BUCHA REDU M/F PPR 50X40MM</t>
  </si>
  <si>
    <t>BUCHA REDU M/F PPR 63X40MM</t>
  </si>
  <si>
    <t>BUCHA REDU M/F PPR 63X50MM</t>
  </si>
  <si>
    <t>BUCHA REDU M/F PPR 75X50MM</t>
  </si>
  <si>
    <t>BUCHA REDU M/F PPR 75X63MM</t>
  </si>
  <si>
    <t>BUCHA REDU M/F PPR 90X63MM</t>
  </si>
  <si>
    <t>BUCHA REDU M/F PPR 90X75MM</t>
  </si>
  <si>
    <t>BUCHA REDU M/F PPR 110X75MM</t>
  </si>
  <si>
    <t>BUCHA REDU M/F PPR 110X90MM</t>
  </si>
  <si>
    <t>CAP PPR 20MM</t>
  </si>
  <si>
    <t>CAP PPR 25MM</t>
  </si>
  <si>
    <t>CAP PPR 32MM</t>
  </si>
  <si>
    <t>CAP PPR 40MM</t>
  </si>
  <si>
    <t>CAP PPR 50MM</t>
  </si>
  <si>
    <t>CAP PPR 63MM</t>
  </si>
  <si>
    <t>CAP PPR 75MM</t>
  </si>
  <si>
    <t>CAP PPR 90MM</t>
  </si>
  <si>
    <t>CAP PPR 110MM</t>
  </si>
  <si>
    <t>CURVA 90 F/F PPR 20MM</t>
  </si>
  <si>
    <t>CURVA 90 F/F PPR 25MM</t>
  </si>
  <si>
    <t>CURVA 90 F/F PPR 32MM</t>
  </si>
  <si>
    <t>CURVA TRANSP F/F PPR 20MM</t>
  </si>
  <si>
    <t>CURVA TRANSP F/F PPR 25MM</t>
  </si>
  <si>
    <t>CURVA TRANSP F/F PPR 32MM</t>
  </si>
  <si>
    <t>JOELHO 45 F/F PPR 20MM</t>
  </si>
  <si>
    <t>JOELHO 45 F/F PPR 25MM</t>
  </si>
  <si>
    <t>JOELHO 45 F/F PPR 32MM</t>
  </si>
  <si>
    <t>JOELHO 45 F/F PPR 40MM</t>
  </si>
  <si>
    <t>JOELHO 45 F/F PPR 50MM</t>
  </si>
  <si>
    <t>JOELHO 45 F/F PPR 63MM</t>
  </si>
  <si>
    <t>JOELHO 45 F/F PPR 75MM</t>
  </si>
  <si>
    <t>JOELHO 45 F/F PPR 90MM</t>
  </si>
  <si>
    <t>JOELHO 45 F/F PPR 110MM</t>
  </si>
  <si>
    <t>JOELHO 45 F/M PPR 20MM</t>
  </si>
  <si>
    <t>JOELHO 45 F/M PPR 25MM</t>
  </si>
  <si>
    <t>JOELHO 90 F/F INS MET PPR 20X1/2</t>
  </si>
  <si>
    <t>JOELHO 90 F/F INS MET PPR 25X3/4</t>
  </si>
  <si>
    <t>JOELHO 90 F/F INS MET PPR 32X3/4</t>
  </si>
  <si>
    <t>JOELHO 90 F/F INS MET PPR 32X1</t>
  </si>
  <si>
    <t>JOELHO 90 F/F PPR 20MM</t>
  </si>
  <si>
    <t>JOELHO 90 F/F PPR 25MM</t>
  </si>
  <si>
    <t>JOELHO 90 F/F PPR 32MM</t>
  </si>
  <si>
    <t>JOELHO 90 F/F PPR 40MM</t>
  </si>
  <si>
    <t>JOELHO 90 F/F PPR 50MM</t>
  </si>
  <si>
    <t>JOELHO 90 F/F PPR 63MM</t>
  </si>
  <si>
    <t>JOELHO 90 F/F PPR 75MM</t>
  </si>
  <si>
    <t>JOELHO 90 F/F PPR 90MM</t>
  </si>
  <si>
    <t>JOELHO 90 F/F PPR 110MM</t>
  </si>
  <si>
    <t>JOELHO 90 F/M INS MET PPR 20X1/2</t>
  </si>
  <si>
    <t>JOELHO 90 F/M INS MET PPR 25X3/4</t>
  </si>
  <si>
    <t>JOELHO 90 F/M INS MET PPR 32X3/4</t>
  </si>
  <si>
    <t>JOELHO 90 F/M INS MET PPR 32X1</t>
  </si>
  <si>
    <t>JOELHO 90 F/M PPR 20MM</t>
  </si>
  <si>
    <t>JOELHO 90 F/M PPR 25MM</t>
  </si>
  <si>
    <t>JOELHO 90 F/M PPR 32MM</t>
  </si>
  <si>
    <t>LUVA REDU F/F PPR 25X20MM</t>
  </si>
  <si>
    <t>LUVA REDU F/F PPR 32X20MM</t>
  </si>
  <si>
    <t>LUVA REDU F/F PPR 32X25MM</t>
  </si>
  <si>
    <t>LUVA SIMPLES F/F PPR 20MM</t>
  </si>
  <si>
    <t>LUVA SIMPLES F/F PPR 25MM</t>
  </si>
  <si>
    <t>LUVA SIMPLES F/F PPR 32MM</t>
  </si>
  <si>
    <t>LUVA SIMPLES F/F PPR 40MM</t>
  </si>
  <si>
    <t>LUVA SIMPLES F/F PPR 50MM</t>
  </si>
  <si>
    <t>LUVA SIMPLES F/F PPR 63MM</t>
  </si>
  <si>
    <t>LUVA SIMPLES F/F PPR 75MM</t>
  </si>
  <si>
    <t>LUVA SIMPLES F/F PPR 90MM</t>
  </si>
  <si>
    <t>LUVA SIMPLES F/F PPR 110MM</t>
  </si>
  <si>
    <t>MISTURADOR F/M/M PPR 20MM</t>
  </si>
  <si>
    <t>MISTURADOR F/M/M PPR 25MM</t>
  </si>
  <si>
    <t>BUCHA RED. ROSC. - 1 X 1/2 AZUL</t>
  </si>
  <si>
    <t>BUCHA RED. ROSC. - 1 X 3/4 AZUL</t>
  </si>
  <si>
    <t>BUCHA RED. ROSC. - 1.1/4 X 1 AZUL</t>
  </si>
  <si>
    <t>ADAPTADOR SOLD. P/CX.DAGUA 20MM X 1/2 AZUL</t>
  </si>
  <si>
    <t>ADAPTADOR SOLD. P/CX.DAGUA 50MM X 1.1/2  AZUL</t>
  </si>
  <si>
    <t>BUCHA RED. ROSC. - 1.1/4 X 3/4 AZUL</t>
  </si>
  <si>
    <t>BUCHA RED. ROSC. - 1.1/2 X 1/2 AZUL</t>
  </si>
  <si>
    <t>BUCHA RED. ROSC. - 1.1/2 X 3/4 AZUL</t>
  </si>
  <si>
    <t>BUCHA RED.SOLD.CURTA  40 X 32MM AZUL</t>
  </si>
  <si>
    <t>BUCHA RED. ROSC. - 1.1/2 X 1.1/4 AZUL</t>
  </si>
  <si>
    <t>CAP ROSCAVEL 1/2 AZUL</t>
  </si>
  <si>
    <t>CAP ROSCAVEL 3/4 AZUL</t>
  </si>
  <si>
    <t>CAP ROSCAVEL 1 AZUL</t>
  </si>
  <si>
    <t>PLUG ROSCAVEL 1.1/4 - AZUL</t>
  </si>
  <si>
    <t>PLUG ROSCAVEL 1 - AZUL</t>
  </si>
  <si>
    <t>LUVA ROSCAVEL 1/2 - AZUL</t>
  </si>
  <si>
    <t>LUVA ROSCAVEL 3/4 - AZUL</t>
  </si>
  <si>
    <t>TE SOLDAVEL - 40MM  AZUL</t>
  </si>
  <si>
    <t>TE SOLDAVEL - 50MM AZUL</t>
  </si>
  <si>
    <t>TE ROSCAVEL 1/2 AZUL</t>
  </si>
  <si>
    <t>LUVA SOLD E ROSCA (LR) 50MM X 1.1/2 - AZUL</t>
  </si>
  <si>
    <t>TUBO PVC ROSC EXP PY 1/2</t>
  </si>
  <si>
    <t>TUBO PVC ROSC EXP PY 3/4</t>
  </si>
  <si>
    <t>TUBO PVC SOLD 20MM PY</t>
  </si>
  <si>
    <t>TUBO PVC SOLD 25MM PY</t>
  </si>
  <si>
    <t>TUBO PVC SOLD 32MM PY</t>
  </si>
  <si>
    <t>TUBO PVC SOLD 40MM PY</t>
  </si>
  <si>
    <t>TUBO PVC SOLD 50MM PY</t>
  </si>
  <si>
    <t>TUBO PVC SOLD 60MM PY</t>
  </si>
  <si>
    <t>TUBO PVC ESG DN40 PY</t>
  </si>
  <si>
    <t>TUBO PVC ESG DN50 PY</t>
  </si>
  <si>
    <t>TUBO PVC ESG DN100 PY</t>
  </si>
  <si>
    <t>REGISTRO ESF.ROSC. C/ UNIAO - 1.1/2 - AZUL</t>
  </si>
  <si>
    <t>REGISTRO ESF.ROSC. C/ UNIAO - 1- AZUL</t>
  </si>
  <si>
    <t>REGISTRO ESF.SOLD. C/ UNIAO - 20 MM - AZUL</t>
  </si>
  <si>
    <t>REGISTRO ESF.SOLD. C/ UNIAO - 40 MM - AZUL</t>
  </si>
  <si>
    <t>REGISTRO ESF.ROSC. C/ UNIAO - 2- AZUL</t>
  </si>
  <si>
    <t>MISTURADOR INS MET F/F/F PPR 20X1/2</t>
  </si>
  <si>
    <t>MISTURADOR INS MET F/F/F PPR 25X3/4</t>
  </si>
  <si>
    <t>PLUG PPR 1/2</t>
  </si>
  <si>
    <t>PLUG PPR 3/4</t>
  </si>
  <si>
    <t>UNIAO ROSCAVEL 1/2 - AZUL</t>
  </si>
  <si>
    <t>UNIAO ROSCAVEL  3/4 - AZUL</t>
  </si>
  <si>
    <t>UNIAO ROSCAVEL  1.1/2 - AZUL</t>
  </si>
  <si>
    <t>UNIAO ROSCAVEL  1.1/4 - AZUL</t>
  </si>
  <si>
    <t>TARUGOS PARA REPAROS PPR 8MM</t>
  </si>
  <si>
    <t>TE F/F/F CENT INS MET PPR 20X1/2X20</t>
  </si>
  <si>
    <t>TE F/F/F CENT INS MET PPR 25X1/2X25</t>
  </si>
  <si>
    <t>TE F/F/F CENT INS MET PPR 25X3/4X25</t>
  </si>
  <si>
    <t>TE F/F/F CENT INS MET PPR 32X1/2X32</t>
  </si>
  <si>
    <t>TE F/F/F CENT INS MET PPR 32X3/4X32</t>
  </si>
  <si>
    <t>TE F/F/F CENT INS MET PPR 32X1X32</t>
  </si>
  <si>
    <t>TE F/F/F PPR 20MM</t>
  </si>
  <si>
    <t>TE F/F/F PPR 25MM</t>
  </si>
  <si>
    <t>TE F/F/F PPR 32MM</t>
  </si>
  <si>
    <t>TE F/F/F PPR 40MM</t>
  </si>
  <si>
    <t>TE F/F/F PPR 50MM</t>
  </si>
  <si>
    <t>TE F/F/F PPR 63MM</t>
  </si>
  <si>
    <t>TE F/F/F PPR 75MM</t>
  </si>
  <si>
    <t>TE F/F/F REDU CENT PPR 25X20X25MM</t>
  </si>
  <si>
    <t>TE F/F/F REDU CENT PPR 32X20X32MM</t>
  </si>
  <si>
    <t>TE F/F/F REDU CENT PPR 32X25X32MM</t>
  </si>
  <si>
    <t>TE F/F/F REDU CENT PPR 40X25X40MM</t>
  </si>
  <si>
    <t>TE F/F/F REDU CENT PPR 40X32X40MM</t>
  </si>
  <si>
    <t>TE F/F/F REDU CENT PPR 50X25X50MM</t>
  </si>
  <si>
    <t>TE F/F/F REDU CENT PPR 50X32X50MM</t>
  </si>
  <si>
    <t>TE F/F/F REDU CENT PPR 50X40X50MM</t>
  </si>
  <si>
    <t>TE F/F/F REDU CENT PPR 63X40X63MM</t>
  </si>
  <si>
    <t>TE F/F/F REDU CENT PPR 63X50X63MM</t>
  </si>
  <si>
    <t>TE F/F/F REDU CENT PPR 75X50X75MM</t>
  </si>
  <si>
    <t>TE F/F/F REDU CENT PPR 75X63X75MM</t>
  </si>
  <si>
    <t>TE F/F/F REDU CENT PPR 90X63X90MM</t>
  </si>
  <si>
    <t>TE F/F/F REDU CENT PPR 90X75X90MM</t>
  </si>
  <si>
    <t>TE F/F/F REDU CENT PPR 110X75X110MM</t>
  </si>
  <si>
    <t>TE F/F/F REDU CENT PPR 110X90X110MM</t>
  </si>
  <si>
    <t>TE F/M/F CENT INS MET PPR 20X1/2X20</t>
  </si>
  <si>
    <t>TE F/M/F CENT INS MET PPR 25X1/2X25</t>
  </si>
  <si>
    <t>TE F/M/F CENT INS MET PPR 25X3/4X25</t>
  </si>
  <si>
    <t>TE F/M/F CENT INS MET PPR 32X1/2X32</t>
  </si>
  <si>
    <t>TE F/M/F CENT INS MET PPR 32X3/4X32</t>
  </si>
  <si>
    <t>TE F/M/F CENT INS MET PPR 32X1X32</t>
  </si>
  <si>
    <t>UNIAO PPR 20MM</t>
  </si>
  <si>
    <t>UNIAO PPR 25MM</t>
  </si>
  <si>
    <t>UNIAO PPR 32MM</t>
  </si>
  <si>
    <t>BOCAL M/F 20MM</t>
  </si>
  <si>
    <t>BOCAL M/F 25MM</t>
  </si>
  <si>
    <t>BOCAL M/F 32MM</t>
  </si>
  <si>
    <t>BOCAL M/F 40MM</t>
  </si>
  <si>
    <t>BOCAL M/F 50MM</t>
  </si>
  <si>
    <t>BOCAL M/F 63MM</t>
  </si>
  <si>
    <t>BOCAL M/F 75MM</t>
  </si>
  <si>
    <t>BOCAL M/F 90MM</t>
  </si>
  <si>
    <t>BOCAL M/F 110MM</t>
  </si>
  <si>
    <t>CORTA-TUBOS PARA PPR DE 50 A 110MM</t>
  </si>
  <si>
    <t>TESOURA PARA CORTE DE TUBO PPR</t>
  </si>
  <si>
    <t>TERMOFUSOR 1000W/220V R63</t>
  </si>
  <si>
    <t>TERMOFUSOR 1200W/220V R110</t>
  </si>
  <si>
    <t>JOELHO 90 F/F INS MET PPR 25X1/2</t>
  </si>
  <si>
    <t>BOCAL P/ REPARAR TUBULACAO 7MM</t>
  </si>
  <si>
    <t>BOCAL P/ REPARAR TUBULACAO 11MM</t>
  </si>
  <si>
    <t>TE F/F/F PPR 90MM</t>
  </si>
  <si>
    <t>TE F/F/F PPR 110MM</t>
  </si>
  <si>
    <t>UNIAO SOLDAVEL 3/4 - EXP</t>
  </si>
  <si>
    <t>UNIAO SOLDAVEL 1 - EXP</t>
  </si>
  <si>
    <t>UNIAO SOLDAVEL 1.1/4 - EXP</t>
  </si>
  <si>
    <t>UNIAO SOLDAVEL 3 - EXP</t>
  </si>
  <si>
    <t>UNIAO SOLDAVEL 4 - EXP</t>
  </si>
  <si>
    <t>REGISTRO ESFERA ROSCAVEL - 1 CINZA EXP</t>
  </si>
  <si>
    <t>REGISTRO ESFERA ROSCAVEL - 1.1/4 CINZA EXP</t>
  </si>
  <si>
    <t>REGISTRO ESFERA ROSCAVEL - 1.1/2 CINZA EXP</t>
  </si>
  <si>
    <t>TORNEIRA ESF.P/JARDIM/TANQUE - 1/2 E 3/4 EXP</t>
  </si>
  <si>
    <t>REGISTRO ESF.SOLD.C/ UNIAO - 20MM CINZA EXP</t>
  </si>
  <si>
    <t>REGISTRO ESF.SOLD.C/ UNIAO - 25MM CINZA EXP</t>
  </si>
  <si>
    <t>REGISTRO ESF.SOLD.C/ UNIAO - 40MM CINZA EXP</t>
  </si>
  <si>
    <t>REGISTRO ESF.SOLD.C/ UNIAO - 50MM CINZA EXP</t>
  </si>
  <si>
    <t>REGISTRO ESF.ROSC.C/ UNIAO - 1/2 CINZA EXP</t>
  </si>
  <si>
    <t>REGISTRO ESF.ROSC.C/ UNIAO - 3/4 CINZA EXP</t>
  </si>
  <si>
    <t>REGISTRO ESF.ROSC.C/ UNIAO - 1 CINZA EXP</t>
  </si>
  <si>
    <t>REGISTRO ESF.ROSC.C/ UNIAO - 1 1/4 CINZA EXP</t>
  </si>
  <si>
    <t>REGISTRO ESF.ROSC.C/ UNIAO - 1.1/2 CINZA EXP</t>
  </si>
  <si>
    <t>DURO PVC - LUVA ROSCAVEL 1</t>
  </si>
  <si>
    <t>DURO PVC - LUVA ROSCAVEL 2</t>
  </si>
  <si>
    <t>Armazenamento (TUBOS) (M)</t>
  </si>
  <si>
    <t>EMBALAGEM (M)</t>
  </si>
  <si>
    <t>Reembalagem (Master) (M)</t>
  </si>
  <si>
    <t>Cubagem</t>
  </si>
  <si>
    <t>Tipo Embalagem</t>
  </si>
  <si>
    <t>Pos.IPI/NCM</t>
  </si>
  <si>
    <t>Aliq. IPI</t>
  </si>
  <si>
    <t>Data de validade</t>
  </si>
  <si>
    <t>Amarrados</t>
  </si>
  <si>
    <t>3917.23.00</t>
  </si>
  <si>
    <t>Validade indeterminada</t>
  </si>
  <si>
    <t xml:space="preserve">Sacos    </t>
  </si>
  <si>
    <t>3917.40.90</t>
  </si>
  <si>
    <t xml:space="preserve">Caixas   </t>
  </si>
  <si>
    <t>3920.99.90</t>
  </si>
  <si>
    <t>3506.91.10</t>
  </si>
  <si>
    <t>24 meses</t>
  </si>
  <si>
    <t>18 meses</t>
  </si>
  <si>
    <t>3814.00.90</t>
  </si>
  <si>
    <t>12 meses</t>
  </si>
  <si>
    <t>8481.80.95</t>
  </si>
  <si>
    <t>8481.30.00</t>
  </si>
  <si>
    <t>Caixa</t>
  </si>
  <si>
    <t>4016.93.00</t>
  </si>
  <si>
    <t>3401.19.00</t>
  </si>
  <si>
    <t>3922.20.00</t>
  </si>
  <si>
    <t>8481.80.19</t>
  </si>
  <si>
    <t>3917.33.00</t>
  </si>
  <si>
    <t>3922.90.00</t>
  </si>
  <si>
    <t>8481.80.99</t>
  </si>
  <si>
    <t>Sacos</t>
  </si>
  <si>
    <t>3922.10.00</t>
  </si>
  <si>
    <t>Caixas</t>
  </si>
  <si>
    <t>caixas</t>
  </si>
  <si>
    <t xml:space="preserve">Rolos    </t>
  </si>
  <si>
    <t>8538.10.00</t>
  </si>
  <si>
    <t>3919.10.20</t>
  </si>
  <si>
    <t>8515.90.00</t>
  </si>
  <si>
    <t>8203.40.00</t>
  </si>
  <si>
    <t>8515.80.90</t>
  </si>
  <si>
    <t>3506.10.90</t>
  </si>
  <si>
    <t>Quantidade Embalagem</t>
  </si>
  <si>
    <t>CAIXA DE LUZ OCTOGONAL REFORÇADA 4X4</t>
  </si>
  <si>
    <t>KIT PORTINHOLA P/VÁLVULA RETENÇÃO DN100</t>
  </si>
  <si>
    <t>KIT PORTINHOLA P/VÁLVULA RETENÇÃO DN150</t>
  </si>
  <si>
    <t>KIT TAMPA P/VÁLVULA RETENÇÃO DN100</t>
  </si>
  <si>
    <t>KIT TAMPA P/VÁLVULA RETENÇÃO DN150</t>
  </si>
  <si>
    <t>KT SIFÃO PARA CAIXA SIFONADA DN100</t>
  </si>
  <si>
    <t>KT SIFÃO PARA CAIXA SIFONADA DN150</t>
  </si>
  <si>
    <t>KIT TAMPA DN 300</t>
  </si>
  <si>
    <t>KIT GRELHA DN 300</t>
  </si>
  <si>
    <t>KIT PORTA-TAMPA/GRELHA DN 300</t>
  </si>
  <si>
    <t>KIT CESTO PARA CAIXA DE GORDURA</t>
  </si>
  <si>
    <t>ELETROD. PVC FLEX CORRUGADO 20MM - 10 METROS</t>
  </si>
  <si>
    <t>ELETROD. PVC FLEX CORRUGADO 20MM - 25 METROS</t>
  </si>
  <si>
    <t>ELETROD. PVC FLEX CORRUGADO 25MM - 10 METROS</t>
  </si>
  <si>
    <t>ELETROD. PVC FLEX CORRUGADO 25MM - 25 METROS</t>
  </si>
  <si>
    <t>ELETROD. PVC FLEX CORRUGADO 32MM - 10 METROS</t>
  </si>
  <si>
    <t>CAIXAS</t>
  </si>
  <si>
    <t>10.006.00</t>
  </si>
  <si>
    <t xml:space="preserve">  /  /    </t>
  </si>
  <si>
    <t>Nao</t>
  </si>
  <si>
    <t>Sim</t>
  </si>
  <si>
    <t>Não</t>
  </si>
  <si>
    <t>Embalagem</t>
  </si>
  <si>
    <t>1a Unidade de Medida</t>
  </si>
  <si>
    <t>S</t>
  </si>
  <si>
    <t>Produzindo</t>
  </si>
  <si>
    <t>.  .</t>
  </si>
  <si>
    <t>T</t>
  </si>
  <si>
    <t>Moeda1</t>
  </si>
  <si>
    <t>Normal</t>
  </si>
  <si>
    <t>PICKING SEC.</t>
  </si>
  <si>
    <t>Nao permite</t>
  </si>
  <si>
    <t>SigaQuality</t>
  </si>
  <si>
    <t>N</t>
  </si>
  <si>
    <t>Nao utiliza</t>
  </si>
  <si>
    <t>Direto</t>
  </si>
  <si>
    <t>Multiplicador</t>
  </si>
  <si>
    <t>PA</t>
  </si>
  <si>
    <t>KIT TELA ANTI-INSETO CAIXA DE AREIA</t>
  </si>
  <si>
    <t>Comprando</t>
  </si>
  <si>
    <t>PI</t>
  </si>
  <si>
    <t>CESTO CAIXA GORDURA T300</t>
  </si>
  <si>
    <t>1489PI</t>
  </si>
  <si>
    <t>PORTA TAMPA T300</t>
  </si>
  <si>
    <t>1488PI</t>
  </si>
  <si>
    <t>GRELHA T300</t>
  </si>
  <si>
    <t>1487PI</t>
  </si>
  <si>
    <t>TAMPA T300</t>
  </si>
  <si>
    <t>1486PI</t>
  </si>
  <si>
    <t>.   .</t>
  </si>
  <si>
    <t>Materiais</t>
  </si>
  <si>
    <t>9033.00.00</t>
  </si>
  <si>
    <t>MA</t>
  </si>
  <si>
    <t>TERMOPAR TIPO J 6 X 150MM CABO 6 METROS</t>
  </si>
  <si>
    <t>Ind.Pequena</t>
  </si>
  <si>
    <t>CAIXA DE GORDURA T300</t>
  </si>
  <si>
    <t>1481PI</t>
  </si>
  <si>
    <t>PR</t>
  </si>
  <si>
    <t>EP</t>
  </si>
  <si>
    <t>LUVAS ESTEREIS TAM 7,5</t>
  </si>
  <si>
    <t>3921.90.90</t>
  </si>
  <si>
    <t>KG</t>
  </si>
  <si>
    <t>ME</t>
  </si>
  <si>
    <t>FILME POLIOLEFINICO 500X0,10MM</t>
  </si>
  <si>
    <t>NAO</t>
  </si>
  <si>
    <t>MR</t>
  </si>
  <si>
    <t>JOELHO 90° C/ VISITA ESG SER REF DN100X75</t>
  </si>
  <si>
    <t>TE DE INSPECAO ESGOTO SERIE REF DN150X100</t>
  </si>
  <si>
    <t>TE DE INSPECAO ESGOTO SERIE REF DN100X75</t>
  </si>
  <si>
    <t>TE DE INSPECAO ESGOTO SERIE REFORCADA DN75X75</t>
  </si>
  <si>
    <t>TE DE REDUCAO ESGOTO SERIE REF DN150X100</t>
  </si>
  <si>
    <t>TE DE REDUCAO ESGOTO SERIE REFORCADA DN100X75</t>
  </si>
  <si>
    <t>TE DE REDUCAO ESGOTO SERIE REFORCADA DN100X50</t>
  </si>
  <si>
    <t>TE DE REDUCAO SERIE REFORCADA 75X50</t>
  </si>
  <si>
    <t>TE ESGOTO SERIE REFORCADA DN150</t>
  </si>
  <si>
    <t>TE ESGOTO SERIE REFORCADA DN50</t>
  </si>
  <si>
    <t>TE ESGOTO SERIE REFORCADA DN40</t>
  </si>
  <si>
    <t>REDUCAO EXCENTRICA ESG SER REF DN200X150</t>
  </si>
  <si>
    <t>REDUCAO EXCENTRICA ESG SER REF DN150X100</t>
  </si>
  <si>
    <t>REDUCAO EXCENTRICA ESG SER REF DN75X50</t>
  </si>
  <si>
    <t>LUVA CORRER ESGOTO SERIE REFORCADA DN 150</t>
  </si>
  <si>
    <t>LUVA CORRER ESGOTO SERIE REFORCADA DN 100</t>
  </si>
  <si>
    <t>LUVA CORRER ESGOTO SERIE REFORCADA DN 75</t>
  </si>
  <si>
    <t>LUVA CORRER ESGOTO SERIE REFORCADA DN 50</t>
  </si>
  <si>
    <t>LUVA CORRER ESGOTO SERIE REFORCADA DN 40</t>
  </si>
  <si>
    <t>LUVA SIMPLES ESGOTO SERIE REFORCADA DN150</t>
  </si>
  <si>
    <t>LUVA SIMPLES ESGOTO SERIE REFORCADA DN75</t>
  </si>
  <si>
    <t>LUVA SIMPLES ESGOTO SERIE REFORCADA DN50</t>
  </si>
  <si>
    <t>LUVA SIMPLES ESGOTO SERIE REFORCADA DN40</t>
  </si>
  <si>
    <t>JUNCAO SIMPLES RED ESG SER REF DN150X100</t>
  </si>
  <si>
    <t>9403.20.00</t>
  </si>
  <si>
    <t>SUPORTE PARA CORRIMAO AMARELO MED.1000X1100MM</t>
  </si>
  <si>
    <t>5514.39.00</t>
  </si>
  <si>
    <t>TECIDO DE ENCOSTO SECRETARIA</t>
  </si>
  <si>
    <t>JUNCAO SIMPLES RED ESG SER REF DN100X50</t>
  </si>
  <si>
    <t>JUNCAO SIMPLES RED ESG SER REF DN75X50</t>
  </si>
  <si>
    <t>JUNCAO SIMPLES ESGOTO SERIE REFORCADA DN150</t>
  </si>
  <si>
    <t>JUNCAO SIMPLES ESGOTO SERIE REFORCADA DN75</t>
  </si>
  <si>
    <t>JUNCAO SIMPLES ESGOTO SERIE REFORCADA DN50</t>
  </si>
  <si>
    <t>JUNCAO SIMPLES ESGOTO SERIE REFORCADA DN40</t>
  </si>
  <si>
    <t>JUNCAO DUPLA ESGOTO SERIE REFORCADA DN 100</t>
  </si>
  <si>
    <t>CURVA 90° ESGOTO SERIE REFORCADA DN 75</t>
  </si>
  <si>
    <t>JOELHO 90° ESGOTO SERIE REFORCADA DN150</t>
  </si>
  <si>
    <t>JOELHO 90° ESGOTO SERIE REFORCADA DN75</t>
  </si>
  <si>
    <t>PENEIRA  EXT. 75 DIAM. - MALHA 40 - 0,25 ESPE</t>
  </si>
  <si>
    <t>JOELHO 90° ESGOTO SERIE REFORCADA DN50</t>
  </si>
  <si>
    <t>JOELHO 90° ESGOTO SERIE REFORCADA DN40</t>
  </si>
  <si>
    <t>JOELHO 45° ESGOTO SERIE REFORCADA DN150</t>
  </si>
  <si>
    <t>7214.91.00</t>
  </si>
  <si>
    <t>IM</t>
  </si>
  <si>
    <t>BARRA CHATA ACO 1020 LAM. A36 5/8 X 4</t>
  </si>
  <si>
    <t>JOELHO 45° ESGOTO SERIE REFORCADA DN75</t>
  </si>
  <si>
    <t>JOELHO 45° ESGOTO SERIE REFORCADA DN50</t>
  </si>
  <si>
    <t>JOELHO 45° ESGOTO SERIE REFORCADA DN40</t>
  </si>
  <si>
    <t>7604.29.20</t>
  </si>
  <si>
    <t>AI</t>
  </si>
  <si>
    <t>TAMPA PLANA LISA PERFIL 3000 BC</t>
  </si>
  <si>
    <t>CURVA 90° CURTA PE COLUNA SER REF DN150</t>
  </si>
  <si>
    <t>CURVA 90° CURTA PE COLUNA ESG SER REF DN75</t>
  </si>
  <si>
    <t>CODIGO INUTILIZADO</t>
  </si>
  <si>
    <t>CURVA 90° ESGOTO SERIE REFORCADA DN 50</t>
  </si>
  <si>
    <t>CAP ESGOTO SERIE REFORCADA DN 150</t>
  </si>
  <si>
    <t>CAP ESGOTO SERIE REFORCADA DN 100</t>
  </si>
  <si>
    <t>CAP ESGOTO SERIE REFORCADA DN 75</t>
  </si>
  <si>
    <t>CAP ESGOTO SERIE REFORCADA DN 50</t>
  </si>
  <si>
    <t>CAP ESGOTO SERIE REFORCADA DN 40</t>
  </si>
  <si>
    <t>BUCHA REDUCAO ESGOTO SERIE REFORCADA DN50X40</t>
  </si>
  <si>
    <t>ABC</t>
  </si>
  <si>
    <t>NÒo usa</t>
  </si>
  <si>
    <t>CONEXOES</t>
  </si>
  <si>
    <t>Dias</t>
  </si>
  <si>
    <t>CARRINHO ERGONOMICO P/ CAIXA PLASTICA</t>
  </si>
  <si>
    <t>CARRINHO ERGONOMICO P/ CAIXA PAPELAO</t>
  </si>
  <si>
    <t>8477.90.00</t>
  </si>
  <si>
    <t>P</t>
  </si>
  <si>
    <t>SUP P/ CABECOTE PH3</t>
  </si>
  <si>
    <t>CABO 1KV 3X2,5MM2 PT FLEX</t>
  </si>
  <si>
    <t>8525.80.29</t>
  </si>
  <si>
    <t>CAMERA AXIS MODELO P1343</t>
  </si>
  <si>
    <t>8525.80.19</t>
  </si>
  <si>
    <t>CAMERA AXIS M1104 2.8MM</t>
  </si>
  <si>
    <t>UN</t>
  </si>
  <si>
    <t>GG</t>
  </si>
  <si>
    <t>GARRAFA TERMICA LUMINA 1,8 L TERMOLAR</t>
  </si>
  <si>
    <t>FIXADOR DO FERRAMENTAL</t>
  </si>
  <si>
    <t>BASE P/ ELEVACAO DO EQUIPAM DE LIMPEZA DE FIL</t>
  </si>
  <si>
    <t>KIT TAMPA/MOLDURA QDC 36</t>
  </si>
  <si>
    <t>KIT TAMPA/MOLDURA QDC 24</t>
  </si>
  <si>
    <t>KIT TAMPA/MOLDURA QDC 16</t>
  </si>
  <si>
    <t>KIT TAMPA/MOLDURA QDC 12</t>
  </si>
  <si>
    <t>7318.23.00</t>
  </si>
  <si>
    <t>REBITE POP ALUMINIO M 3,2 X 10,0MM</t>
  </si>
  <si>
    <t>KIT TAMPA/MOLDURA QDC 8</t>
  </si>
  <si>
    <t>KIT TAMPA/MOLDURA QDC 4</t>
  </si>
  <si>
    <t>6403.99.90</t>
  </si>
  <si>
    <t>CALCADO DE SEGURANCA Nº33 CA26714FEM CONFORTO</t>
  </si>
  <si>
    <t>,</t>
  </si>
  <si>
    <t>KIT BARRAMENTO 32 FUROS X 5MM (DIAMETRO)</t>
  </si>
  <si>
    <t>KIT BARRAMENTO 24 FUROS X 5MM (DIAMETRO)</t>
  </si>
  <si>
    <t>KIT BARRAMENTO 16 FUROS X 5MM (DIAMETRO)</t>
  </si>
  <si>
    <t>KIT BARRAMENTO 12 FUROS X 5MM (DIAMETRO)</t>
  </si>
  <si>
    <t>KIT BARRAMENTO 8 FUROS X 5MM (DIAMENTRO)</t>
  </si>
  <si>
    <t>10.009.00</t>
  </si>
  <si>
    <t>REVENDA</t>
  </si>
  <si>
    <t>7415.21.00</t>
  </si>
  <si>
    <t>JUNTA DE COBRE JC 1/8</t>
  </si>
  <si>
    <t>VEDACAO P/ CAIXA DE PASSAGEM ELT DE PISO T300</t>
  </si>
  <si>
    <t>CAIXA DE PROTECAO C DISJUNTOR</t>
  </si>
  <si>
    <t>RESERVA QDC MAIOR</t>
  </si>
  <si>
    <t>QUADRO DISTRIB. SOBR.36D/27N C/ BARRAMENTO</t>
  </si>
  <si>
    <t>1294PI</t>
  </si>
  <si>
    <t>QDC 24 SOBREPOR C BARRAMENTO</t>
  </si>
  <si>
    <t>1293PI</t>
  </si>
  <si>
    <t>QDC 16 SOBREPOR C BARRAMENTO</t>
  </si>
  <si>
    <t>1292PI</t>
  </si>
  <si>
    <t>QDC 12 SOBREPOR C BARRAMENTO</t>
  </si>
  <si>
    <t>1291PI</t>
  </si>
  <si>
    <t>QDC 8 SOBREPOR C BARRAMENTO</t>
  </si>
  <si>
    <t>1290PI</t>
  </si>
  <si>
    <t>QUADRO DISTRIB. SOBR.36D/27N S/ BARRAMENTO</t>
  </si>
  <si>
    <t>1288PI</t>
  </si>
  <si>
    <t>QDC 24 SOBREPOR SEM BARRAMENTO</t>
  </si>
  <si>
    <t>1287PI</t>
  </si>
  <si>
    <t>QDC 16 SOBREPOR SEM BARRAMENTO</t>
  </si>
  <si>
    <t>1286PI</t>
  </si>
  <si>
    <t>QDC 12 SOBREPOR SEM BARRAMENTO</t>
  </si>
  <si>
    <t>1285PI</t>
  </si>
  <si>
    <t>QDC 8 SOBREPOR SEM BARRAMENTO</t>
  </si>
  <si>
    <t>1284PI</t>
  </si>
  <si>
    <t>1283PI</t>
  </si>
  <si>
    <t>QDC 36 EMBUTIR C BARRAMENTO</t>
  </si>
  <si>
    <t>1281PI</t>
  </si>
  <si>
    <t>1280PI</t>
  </si>
  <si>
    <t>1279PI</t>
  </si>
  <si>
    <t>1278PI</t>
  </si>
  <si>
    <t>1277PI</t>
  </si>
  <si>
    <t>QDC 36 EMBUTIR S BARRAMENTO</t>
  </si>
  <si>
    <t>1275PI</t>
  </si>
  <si>
    <t>1274PI</t>
  </si>
  <si>
    <t>1273PI</t>
  </si>
  <si>
    <t>1272PI</t>
  </si>
  <si>
    <t>7307.19.20</t>
  </si>
  <si>
    <t>CURVA DE FERRO 90G 1 PZ NBR 13057</t>
  </si>
  <si>
    <t>1271PI</t>
  </si>
  <si>
    <t>1270PI</t>
  </si>
  <si>
    <t>ASSENTO ARTICULADO DECA 1355-E</t>
  </si>
  <si>
    <t>METALON QUAD. PRETO 80X80 CH 3,00</t>
  </si>
  <si>
    <t>7216.21.00</t>
  </si>
  <si>
    <t>CANTONEIRA 1.1/4X3/16</t>
  </si>
  <si>
    <t>PARAF AUTO ATARR 5,5X50MM BUCHA -10</t>
  </si>
  <si>
    <t>BUCHA LYLON S-10</t>
  </si>
  <si>
    <t>7318.16.00</t>
  </si>
  <si>
    <t>PORCA SEXT 1/4 INOX</t>
  </si>
  <si>
    <t>PARAF CAB SEXT INOX 1/4X1/2</t>
  </si>
  <si>
    <t>ISOLADOR EPOXI 30X30 M-6</t>
  </si>
  <si>
    <t>CAIXA MEDICAO TIPO MDR P/EMBUTIR EM ALUMINIO</t>
  </si>
  <si>
    <t>PLACA FERRO PERIGO DE MORTE ALTA TENSAO PAD C</t>
  </si>
  <si>
    <t>QUADRO TELA ANTI-INSETO 0,80MM MALHA 3X6MM</t>
  </si>
  <si>
    <t>PROTETORES DE COLUNA 300MM DE ALTURA</t>
  </si>
  <si>
    <t>PROTETORES DE MONTANTES DUPLOS 2850X300MM ALT</t>
  </si>
  <si>
    <t>7308.90.90</t>
  </si>
  <si>
    <t>TRILHOS GUIAS DE PALLETS DE 1150MM</t>
  </si>
  <si>
    <t>STOP DE FUNDO DE 300MM</t>
  </si>
  <si>
    <t>PROT DE MONT SIMPLES 1400X300MM DE ALTURA</t>
  </si>
  <si>
    <t>PROT DE MONT DUPLOS 2850X300MM DE ALTURA</t>
  </si>
  <si>
    <t>ARM MULTI-USO(DUPLO) APS13006 C/6 COMPARTMENT</t>
  </si>
  <si>
    <t>6810.91.00</t>
  </si>
  <si>
    <t>BANCO BARROCO 1,7X1,40M LATERAL CONCRETO</t>
  </si>
  <si>
    <t>ESCADA COM GUARDA CORPO + 4 CLIPS FIXACAO</t>
  </si>
  <si>
    <t>8207.70.10</t>
  </si>
  <si>
    <t>FRESADORA SINITRON S-14</t>
  </si>
  <si>
    <t>ESTR P/TELHA ELETR P/TRANSP FILTRO</t>
  </si>
  <si>
    <t>BANCADA FERR MED 2900X1100X910MM</t>
  </si>
  <si>
    <t>CARR P/MECANICO MED 850X500X950H</t>
  </si>
  <si>
    <t>ARMARIO PORTA CHAVES NK 3040-40 CHAVES</t>
  </si>
  <si>
    <t>4412.39.00</t>
  </si>
  <si>
    <t>MADEIRITE PLASTICADO 2,20X1,10X11MM</t>
  </si>
  <si>
    <t>LUM DE EMERGENCIA C/LED SOBREPOR EMPALUX</t>
  </si>
  <si>
    <t>CHAPA 1020 12,50 26X200MM</t>
  </si>
  <si>
    <t>CHAPA 1020 6,35 150X230MM</t>
  </si>
  <si>
    <t>CHAPA 1020 6,35 150X110MM</t>
  </si>
  <si>
    <t>CHAPA 1020 6,35 150X194MM</t>
  </si>
  <si>
    <t>CHAPA 1020 8,00 200X200MM</t>
  </si>
  <si>
    <t>CHAPA 1020 9,50 160X520MM</t>
  </si>
  <si>
    <t>CHAPA 1020 6,35 95X425MM</t>
  </si>
  <si>
    <t>CHAPA 1020 9,50 180X346MM</t>
  </si>
  <si>
    <t>CHAPA 1020 12,50 160X450MM</t>
  </si>
  <si>
    <t>CHAPA 1020 6,35 140X202MM</t>
  </si>
  <si>
    <t>CHAPA 1020 6,35 330X95MM</t>
  </si>
  <si>
    <t>CHAPA 1020 8,00 200X35MM</t>
  </si>
  <si>
    <t>CHAPA 1020 6,35 100X100MM</t>
  </si>
  <si>
    <t>CHAPA 1020 6,35 110X248MM</t>
  </si>
  <si>
    <t>CHAPA 1020 6,35 100X194MM</t>
  </si>
  <si>
    <t>CHAPA 1020 9,50 150X344MM</t>
  </si>
  <si>
    <t>CHAPA 1020 6,35 100X94MM</t>
  </si>
  <si>
    <t>CHAPA 1020 12,50 150X144MM</t>
  </si>
  <si>
    <t>CHAPA 1020 9,50 150X202MM</t>
  </si>
  <si>
    <t>CHAPA 1020 19,00 400X350MM</t>
  </si>
  <si>
    <t>CHAPA 1020 16,00 350X350MM</t>
  </si>
  <si>
    <t>CHAPA 1020 6,35 90X90MM</t>
  </si>
  <si>
    <t>CHAPA 1020 6,35 100X70MM</t>
  </si>
  <si>
    <t>CHAPA 1020 12,50 170X530MM</t>
  </si>
  <si>
    <t>CHAPA 1020 9,50 400X100MM</t>
  </si>
  <si>
    <t>CHAPA 1020 9,50 420X170MM</t>
  </si>
  <si>
    <t>CHAPA 1020 8,00 290X100MM</t>
  </si>
  <si>
    <t>CHAPA 1020 9,50 170X100MM</t>
  </si>
  <si>
    <t>CHAPA 1020 9,50 470X100MM</t>
  </si>
  <si>
    <t>CHAPA 1020 12,50 170X600MM</t>
  </si>
  <si>
    <t>CHAPA 1020 4,75 60X60MM</t>
  </si>
  <si>
    <t>CHAPA 1020 4,75 70X70MM</t>
  </si>
  <si>
    <t>CHAPA 1020 8,00 210X170MM</t>
  </si>
  <si>
    <t>7208.52.00</t>
  </si>
  <si>
    <t>CHAPA 1020 9,50 100X150MM</t>
  </si>
  <si>
    <t>CHAPA 1020 8,00 100X100MM</t>
  </si>
  <si>
    <t>CHAPA 1020 6,35 68X70MM</t>
  </si>
  <si>
    <t>CHAPA 1020 9,50 280X120MM</t>
  </si>
  <si>
    <t>CHAPA 1020 4,75 46X186MM</t>
  </si>
  <si>
    <t>CHAPA 1020 6,35 100X50MM</t>
  </si>
  <si>
    <t>CHAPA 1020 6,35 100X160MM</t>
  </si>
  <si>
    <t>CHAPA 1020 6,35 160X100MM</t>
  </si>
  <si>
    <t>CHAPA 1020 6,35 110X76MM</t>
  </si>
  <si>
    <t>CHAPA 1020 6,35 50X200MM</t>
  </si>
  <si>
    <t>CHAPA 1020 6,35 165X195MM</t>
  </si>
  <si>
    <t>CHAPA 1020 16,00 350X310MM</t>
  </si>
  <si>
    <t>CHAPA 1020 6,35 90X70MM</t>
  </si>
  <si>
    <t>CHAPA 1020 9,50 210X220MM</t>
  </si>
  <si>
    <t>CHAPA 1020 6,35 200X100MM</t>
  </si>
  <si>
    <t>CHAPA 1020 16,00 200X170MM</t>
  </si>
  <si>
    <t>CHAPA 1020 6,35 194X100MM</t>
  </si>
  <si>
    <t>CHAPA 1020 4,75 50X85MM</t>
  </si>
  <si>
    <t>CHAPA 1020 6,35 170X85MM</t>
  </si>
  <si>
    <t>CHAPA 1020 6,35 100X142MM</t>
  </si>
  <si>
    <t>CHAPA 1020 6,35 192X80MM</t>
  </si>
  <si>
    <t>CHAPA 1020 6,35 130X94MM</t>
  </si>
  <si>
    <t>CHAPA 1020 9,50 194X100MM</t>
  </si>
  <si>
    <t>CHAPA 1020 8,00 150X70MM</t>
  </si>
  <si>
    <t>CHAPA 1020 9,50 322X150MM</t>
  </si>
  <si>
    <t>ENVELOPE OURO 240X340 80G UN 030</t>
  </si>
  <si>
    <t>PAPEL A4 210X297 REPORT</t>
  </si>
  <si>
    <t>8544.49.00</t>
  </si>
  <si>
    <t>CABO SEMI-RIGIDO 1KV 35,00MM AZ</t>
  </si>
  <si>
    <t>ELETRODUTO PVC 4 TIGRE</t>
  </si>
  <si>
    <t>ELETRODUTO PVC ROSQ 4 MASTER</t>
  </si>
  <si>
    <t>7306.30.00</t>
  </si>
  <si>
    <t>ELETRODUTO 6X6000MM PADRAO CELESC</t>
  </si>
  <si>
    <t>8536.90.90</t>
  </si>
  <si>
    <t>CHAVE FUSIVEL 15KV 200A</t>
  </si>
  <si>
    <t>9405.40.90</t>
  </si>
  <si>
    <t>PLACA SAIDA AUTONOMA FACE SIMPLES C/PILHA</t>
  </si>
  <si>
    <t>9403.30.00</t>
  </si>
  <si>
    <t>TAMPO L 1400X1400X600X25MM MDP LAMINADO MELAM</t>
  </si>
  <si>
    <t>6805.10.00</t>
  </si>
  <si>
    <t>LIXA FERRO 40</t>
  </si>
  <si>
    <t>3209.10.10</t>
  </si>
  <si>
    <t>L</t>
  </si>
  <si>
    <t>TINTA LATEX/ACRILICO CORALMUR ZERO ODOR</t>
  </si>
  <si>
    <t>7326.90.90</t>
  </si>
  <si>
    <t>PROLONGADOR AJUSTAVEL ATE 3 M 1700 ATLAS</t>
  </si>
  <si>
    <t>9603.40.90</t>
  </si>
  <si>
    <t>TRINCHA 419 DUPLA CERDA BRANCA 3 ATLAS</t>
  </si>
  <si>
    <t>TRINCHA 419 DUPLA CERDA BRANCA 2 1/2 ATLAS</t>
  </si>
  <si>
    <t>2710.19.32</t>
  </si>
  <si>
    <t>OLEO LUBRAX TECNO 3LT</t>
  </si>
  <si>
    <t>TUBO PVC SOLD. AF TIGRE 50MM</t>
  </si>
  <si>
    <t>BLOCO CANALETE 19X19X39CM</t>
  </si>
  <si>
    <t>TUBO PVC SOLD. AF TIGRE 40MM</t>
  </si>
  <si>
    <t>MOLDE SOLDA TIPO T HORIZ P/CABO 50/50MMPO 115</t>
  </si>
  <si>
    <t>9403.90.90</t>
  </si>
  <si>
    <t>CONJ 4 ROD DUP GIRO INJ EM TERM P/GAV VOLANTE</t>
  </si>
  <si>
    <t>GAVT.AGL 630 3 GAV. AVCM</t>
  </si>
  <si>
    <t>CAD MIX C/PRANCH ESCAMOT DIREIT 4PES, ASSENT</t>
  </si>
  <si>
    <t>BANDO DIV DE ESTACAO TRAB 1400X396X18MM MDF</t>
  </si>
  <si>
    <t>BANDO DIVISOR DE EST. DE TRAB.1200X396X18MM</t>
  </si>
  <si>
    <t>ARM ALTO MIS EST C/2 PORTAS BX 953X500X1600MM</t>
  </si>
  <si>
    <t>ARM BAIXO C/TAMPA 25MM,2 PORTAS 800X500X730MM</t>
  </si>
  <si>
    <t>TAMPO REUNIAO OVAL P/ELETR 2400X1200X25MM</t>
  </si>
  <si>
    <t>BASE DE ACO P/ LONG ACTIVE DE 3 LUGARES</t>
  </si>
  <si>
    <t>SOFA PERFECTA 3 LUG REV SIMILE COURO PT C/PES</t>
  </si>
  <si>
    <t>SOFA PERFECTA 2 LUG REV SIMILE COURO PT C/PES</t>
  </si>
  <si>
    <t>GAVETA DE ALOJAMENTO P/ REGUA DE ELETRIFICACA</t>
  </si>
  <si>
    <t>ACABAMENTO 465MM C/ ENCAIXE</t>
  </si>
  <si>
    <t>SUPORTE P/ CPU ESTACOES DUPLAS OPEN/JOB</t>
  </si>
  <si>
    <t>9403.90.10</t>
  </si>
  <si>
    <t>TAMPO RETO 1400X700X25MM LAMINADO</t>
  </si>
  <si>
    <t>PAR DE SUPORTE P/DIVISOR FRONTAL</t>
  </si>
  <si>
    <t>DIVISOR FRONTAL VIDRO FUME 1200X270X10MM</t>
  </si>
  <si>
    <t>ESTRUTURA TUBULAR CILINDRICA 76MM</t>
  </si>
  <si>
    <t>TAMPO REUNIAO REDONDO 1200X25MM</t>
  </si>
  <si>
    <t>CAIXA DE LUZ OCTOGONAL REFORCADO 4X4</t>
  </si>
  <si>
    <t>ESTRUTURA DIREITRA EM ACO ESTAMPADO</t>
  </si>
  <si>
    <t>TAMPO REUNI. MEIA LUA P. ELETRIF 1500X1200X25</t>
  </si>
  <si>
    <t>PAINEL FRONTAL 1564X370MM ESTRUT. P/ MESAS</t>
  </si>
  <si>
    <t>CONJ FERRAGEM PARA UNIAO EALINHAMENTO</t>
  </si>
  <si>
    <t>CAIXA DE ELETRIFICACAO P/MESAS COM TOMADAS</t>
  </si>
  <si>
    <t>TAMPO COMP.  REUNIAO ELETRIF 1600X1200X25MM</t>
  </si>
  <si>
    <t>PAINEL FRONTAL 688X250MM ESTRUTURAL P/MESAS</t>
  </si>
  <si>
    <t>TAMPO RETO 800X600X25MM LAMINADO</t>
  </si>
  <si>
    <t>PAINEL FRONTAL 1488X250MM ESTRUTURAL P/ MESAS</t>
  </si>
  <si>
    <t>TAMPO RETO 1600X700X25MM LAMINADA</t>
  </si>
  <si>
    <t>KRONA</t>
  </si>
  <si>
    <t>1252PI</t>
  </si>
  <si>
    <t>ESTRUT. LATERAL ESQUERDA EM ACO P/ MESA PROF.</t>
  </si>
  <si>
    <t>ESTRUT. LATERAL DIREITA EM ACO P/ MESA PROF.</t>
  </si>
  <si>
    <t>TAMPO RETO 1000X600X25MM LAM. METALICO</t>
  </si>
  <si>
    <t>CALHA 500MM P/PASSAGEM CABOS</t>
  </si>
  <si>
    <t>PAINEL FRONTAL 1125X250MM</t>
  </si>
  <si>
    <t>7407.10.10</t>
  </si>
  <si>
    <t>BARRAMENTO COBRE 1X3/16 280A CE</t>
  </si>
  <si>
    <t>PU 50X100X02,65X970 ASTM A36</t>
  </si>
  <si>
    <t>PU 50X100X02,65X1023 ASTM A36</t>
  </si>
  <si>
    <t>PU 50X200X04,75X6000 ASTM A36</t>
  </si>
  <si>
    <t>PU 50X100X02,65X1090 ASTM A36</t>
  </si>
  <si>
    <t>1251PI</t>
  </si>
  <si>
    <t>PU 50X100X03,00X526 ASTM A36</t>
  </si>
  <si>
    <t>PU 50X100X03,00X594 ASTM A36</t>
  </si>
  <si>
    <t>PU 50X100X03,00X620 ASTM A36</t>
  </si>
  <si>
    <t>PU 50X100X03,00X634 ASTM A36</t>
  </si>
  <si>
    <t>PU 50X100X03,00X650 ASTM A36</t>
  </si>
  <si>
    <t>PU 50X100X03,00X656 ASTM A36</t>
  </si>
  <si>
    <t>PU</t>
  </si>
  <si>
    <t>PU 50X100X03,00X670 ASTM A36</t>
  </si>
  <si>
    <t>PU 50X100X03,00X779 ASTM A36</t>
  </si>
  <si>
    <t>PU 50X100X03,00X785 ASTM A36</t>
  </si>
  <si>
    <t>PU 50X100X03,00X821 ASTM A36</t>
  </si>
  <si>
    <t>PU 50X100X03,00X930 ASTM A36</t>
  </si>
  <si>
    <t>8536.50.90</t>
  </si>
  <si>
    <t>INTERRUPTOR 2TS S/PLACA LUMIBRAS</t>
  </si>
  <si>
    <t>PU 50X100X03,00X1030 ASTM A36</t>
  </si>
  <si>
    <t>PU 50X100X03,00X1080 ASTM A36</t>
  </si>
  <si>
    <t>PU 50X100X03,00X1115 ASTM A36</t>
  </si>
  <si>
    <t>PU 50X100X03,00X1199 ASTM A36</t>
  </si>
  <si>
    <t>PU 50X100X03,00X1239 ASTM A36</t>
  </si>
  <si>
    <t>PU 50X200X4,75X6000 ASTM A36</t>
  </si>
  <si>
    <t>PU 50X100X03,00X530 ASTM A36</t>
  </si>
  <si>
    <t>PU 50X100X03,00X540 ASTM A36</t>
  </si>
  <si>
    <t>PU 50X100X03,00X581 ASTM A36</t>
  </si>
  <si>
    <t>PU 50X100X03,00X661 ASTM A36</t>
  </si>
  <si>
    <t>PU 50X100X03,00X756 ASTM A36</t>
  </si>
  <si>
    <t>PU 50X100X03,00X765 ASTM A36</t>
  </si>
  <si>
    <t>PU 50X100X03,00X792 ASTM A36</t>
  </si>
  <si>
    <t>PU 50X100X03,00X800 ASTM A36</t>
  </si>
  <si>
    <t>PU 50X100X03,00X808 ASTM A36</t>
  </si>
  <si>
    <t>PU 50X100X03,00X847 ASTM A36</t>
  </si>
  <si>
    <t>PU 50X100X03,00X851 ASTM A36</t>
  </si>
  <si>
    <t>PU 50X100X03,00X880 ASTM A36</t>
  </si>
  <si>
    <t>PU 50X100X03,00X946 ASTM A36</t>
  </si>
  <si>
    <t>PU 50X100X03,00X961 ASTM A36</t>
  </si>
  <si>
    <t>PU 50X100X03,00X971 ASTM A36</t>
  </si>
  <si>
    <t>PU 50X100X03,00X1000 ASTM A36</t>
  </si>
  <si>
    <t>PU 50X100X03,00X1017 ASTM A36</t>
  </si>
  <si>
    <t>PU 50X100X03,00X1029 ASTM A36</t>
  </si>
  <si>
    <t>PU 50X100X03,00X1031 ASTM A36</t>
  </si>
  <si>
    <t>PU 50X100X03,00X1065 ASTM A36</t>
  </si>
  <si>
    <t>PU 50X100X03,00X1079 ASTM A36</t>
  </si>
  <si>
    <t>PU 50X100X03,00X1081 ASTM A36</t>
  </si>
  <si>
    <t>1247PI</t>
  </si>
  <si>
    <t>PU 50X100X03,00X1116 ASTM A36</t>
  </si>
  <si>
    <t>PU 50X100X03,00X1151 ASTM A36</t>
  </si>
  <si>
    <t>3926.90.90</t>
  </si>
  <si>
    <t>FITA MARCADOR LETRA N</t>
  </si>
  <si>
    <t>PU 50X100X03,00X1267 ASTM A36</t>
  </si>
  <si>
    <t>PU 50X100X03,00X1275 ASTM A36</t>
  </si>
  <si>
    <t>PU 50X100X03,00X1335 ASTM A36</t>
  </si>
  <si>
    <t>ELETRODUTO PZ 3/4 X 3000MM</t>
  </si>
  <si>
    <t>CHAPA 1020 6,35 140X85MM CH 59 6X</t>
  </si>
  <si>
    <t>CHAPA 1020 6,35 100X85MM CH58 17X</t>
  </si>
  <si>
    <t>1246PI</t>
  </si>
  <si>
    <t>CHAPA 1020 6,35 110X76MM CH57 01X</t>
  </si>
  <si>
    <t>CHAPA 1020 6,35 82X70MM CH56 2X</t>
  </si>
  <si>
    <t>CHAPA 1020 6,35 150X64MM CH62 04X</t>
  </si>
  <si>
    <t>CHAPA 1020 6,35  180X82MM CH 48 1X</t>
  </si>
  <si>
    <t>CHAPA 1020 6,35 150X82MM CH47 05X</t>
  </si>
  <si>
    <t>CHAPA 1020 6,35 110X82MM CH46 1X</t>
  </si>
  <si>
    <t>CHAPA 1020 6,35 100X82MM CH45</t>
  </si>
  <si>
    <t>CHAPA 1020 6,35 100X80MM CH60 06X</t>
  </si>
  <si>
    <t>CHAPA 1020 6,35 200X32MM CH61 1X</t>
  </si>
  <si>
    <t>CHAPA 1020 6,35 320X58MM CH37 2X</t>
  </si>
  <si>
    <t>LUVA PRESSAO P/ ELETR.CORRUG AMARELO 20MM CE</t>
  </si>
  <si>
    <t>1245PI</t>
  </si>
  <si>
    <t>CHAPA 1020 6,35 75X50MM CH36 2X</t>
  </si>
  <si>
    <t>CHAPA 1020 6,35 140X64MM CH 35 16X</t>
  </si>
  <si>
    <t>CHAPA 1020 6,35 135X64MM CH 34 1X</t>
  </si>
  <si>
    <t>CHAPA 1020 6,35 186X90MM CH 55 1X</t>
  </si>
  <si>
    <t>CHAPA 1020 6,35 155X76MM CH 54 2X</t>
  </si>
  <si>
    <t>CHAPA 1020 6,35 76X158MM CH53 2X</t>
  </si>
  <si>
    <t>CHAPA 1020 6,35 180X76MM CH52 2X</t>
  </si>
  <si>
    <t>CHAPA 1020 6,35 76X330MM CH51 4X</t>
  </si>
  <si>
    <t>CHAPA 1020 6,35 140X51MM CH50 26X</t>
  </si>
  <si>
    <t>CHAPA 1020 6,35 130X76MM CH49 7X</t>
  </si>
  <si>
    <t>CHAPA 1020 6,35 85 X70MM CH44 8X</t>
  </si>
  <si>
    <t>CHAPA 1020 6,35 330X70MM CH43 10X</t>
  </si>
  <si>
    <t>CHAPA 1020 6,35 150X76MM CH42</t>
  </si>
  <si>
    <t>CHAPA 1020 6,35 100X70MM CH41 14X</t>
  </si>
  <si>
    <t>CHAPA 1020 6,35 100X76MM CH40 30X</t>
  </si>
  <si>
    <t>CHAPA 1020 6,35 100X45MM CH39</t>
  </si>
  <si>
    <t>CHAPA 1020 6,35 100X51MM CH49</t>
  </si>
  <si>
    <t>CHAPA 1020 6,35 110X64MM CH 32 21X</t>
  </si>
  <si>
    <t>CHAPA 1020 6,35 130X64MM CH31 53X</t>
  </si>
  <si>
    <t>CHAPA 1020 6,35 100X64MM CH30 119X</t>
  </si>
  <si>
    <t>CHAPA 1020 6,35 100X58MM CH29 X79</t>
  </si>
  <si>
    <t>CHAPA 1020 6,35 150X67MM CH28 X17</t>
  </si>
  <si>
    <t>CHAPA 1020 6,35 100X60MM CH27 X12</t>
  </si>
  <si>
    <t>7318.14.00</t>
  </si>
  <si>
    <t>PARAFUSO AUTO ATARRACH 3,9X32MM BUCHA</t>
  </si>
  <si>
    <t>BUCHA PVC S-6</t>
  </si>
  <si>
    <t>ABRACADEIRA TIPO GOTA</t>
  </si>
  <si>
    <t>CABO MULTIPLO 105G P/ INCENDIO 2X1,5MM</t>
  </si>
  <si>
    <t>CABO ALARME P/ INCENDIO 2X1,5MM 105º</t>
  </si>
  <si>
    <t>ELETRODUTO PZ 1X 3000MM</t>
  </si>
  <si>
    <t>7609.00.00</t>
  </si>
  <si>
    <t>CONECTOR C/ ROSCA ALUMIN 1</t>
  </si>
  <si>
    <t>CAIXA POLIWETZEL S/TAMPA 1 XPW</t>
  </si>
  <si>
    <t>7616.10.00</t>
  </si>
  <si>
    <t>BUCHA RED ALUM 1X3/4 C/ROSCA</t>
  </si>
  <si>
    <t>7308.90.10</t>
  </si>
  <si>
    <t>PECA OMEGA PZ</t>
  </si>
  <si>
    <t>CONECTOR S/ ROSCA ALUM POLIWETZEL 3/4 CPX-15</t>
  </si>
  <si>
    <t>8539.32.00</t>
  </si>
  <si>
    <t>LAMPADA V.MET. OVOIDE 250W E-40</t>
  </si>
  <si>
    <t>9405.10.99</t>
  </si>
  <si>
    <t>LUMINARIA IND.400W. ALUM. IFIM405 C/ ALOJAMEN</t>
  </si>
  <si>
    <t>8536.69.10</t>
  </si>
  <si>
    <t>TOMADA SOB 3P+T+N 32A 380V C/ BLOQU</t>
  </si>
  <si>
    <t>TOMADA SOB 5P 63A 380V</t>
  </si>
  <si>
    <t>LAMPADA V. MET OVOIDE 70W E-27</t>
  </si>
  <si>
    <t>8504.10.00</t>
  </si>
  <si>
    <t>REATOR V. MERC/MET AFP INT 400W</t>
  </si>
  <si>
    <t>Rolos</t>
  </si>
  <si>
    <t>ELETROD PVC FLEX CORRUG REF. 32MM - 10 METROS</t>
  </si>
  <si>
    <t>9405.10.93</t>
  </si>
  <si>
    <t>PLAFON EMBUT. 2XE27 BR</t>
  </si>
  <si>
    <t>8536.10.00</t>
  </si>
  <si>
    <t>FUSIVEL RETARDADO NH-00 125A</t>
  </si>
  <si>
    <t>FUSIVEL RETARDADO NH-1 250A</t>
  </si>
  <si>
    <t>INTERRUPTOR PARALELO SEPARADOS BR C/PLACAS</t>
  </si>
  <si>
    <t>9405.10.92</t>
  </si>
  <si>
    <t>ARANDELA BAMBU 1XE27</t>
  </si>
  <si>
    <t>VISOR SL 3000X1500X50MM</t>
  </si>
  <si>
    <t>PORTA SL EC-PV 1000X2100X50 MM</t>
  </si>
  <si>
    <t>ACESSORI0OS FRIGOPAINEL III ACO</t>
  </si>
  <si>
    <t>FRIGOPAINEL PUR PAR 9003 0,50 2F 70X1149</t>
  </si>
  <si>
    <t>TUBO ACO GALVANIZADO DIM 2440 X1</t>
  </si>
  <si>
    <t>ELETROD PVC FLEX CORRUG REF. 25MM - 25 METROS</t>
  </si>
  <si>
    <t>JOELHO ACO GALVANIZADO 90X1</t>
  </si>
  <si>
    <t>KIT FLANGE LIG BOMBA PIRANHA ABS MOD</t>
  </si>
  <si>
    <t>INTERRUPTOR 1TS S/PLACA LUMIBRAS</t>
  </si>
  <si>
    <t>APARELHO BLINDADO IPT-26/15 TARTARUGA</t>
  </si>
  <si>
    <t>PLUG REVEST BORRACHA 2P CHATOS</t>
  </si>
  <si>
    <t>8431.10.90</t>
  </si>
  <si>
    <t>CAIXAO 5T ELK 24200MM</t>
  </si>
  <si>
    <t>CAIXAO 5T ZLK 29100MM</t>
  </si>
  <si>
    <t>8418.69.40</t>
  </si>
  <si>
    <t>CONDENSADOR 7.000 BTUS</t>
  </si>
  <si>
    <t>8415.82.10</t>
  </si>
  <si>
    <t>EVAPORADOR HW 7.000 BTUS</t>
  </si>
  <si>
    <t>ELETROD PVC FLEX CORRUG REF. 25MM - 10 METROS</t>
  </si>
  <si>
    <t>SUPORTE ELETRODO CAIXA DAGUA 400X390X50MM</t>
  </si>
  <si>
    <t>SUPORTE MAIOR EM L 300X250MM</t>
  </si>
  <si>
    <t>SUPORTE MENOR EM L 300X200MM</t>
  </si>
  <si>
    <t>FUNIL MOVACOLOR 300X405MM</t>
  </si>
  <si>
    <t>TERMINAL ILHOS P/1 FIO 1,0 AM</t>
  </si>
  <si>
    <t>LUVA PVC RIGIDO 1.1/4</t>
  </si>
  <si>
    <t>CURVA PVC RIGIDO 90G 1.1/4</t>
  </si>
  <si>
    <t>ELETRODUTO PVC ROSQ 1.1/4</t>
  </si>
  <si>
    <t>PORTA MARCADOR AT-2 65X9MM</t>
  </si>
  <si>
    <t>ELETROD PVC FLEX CORRUG REF. 20MM - 10 METROS</t>
  </si>
  <si>
    <t>FITA MARCADOR LETRA Z</t>
  </si>
  <si>
    <t>FITA MARCADOR LETRA Y</t>
  </si>
  <si>
    <t>FITA MARCADOR LETRA X</t>
  </si>
  <si>
    <t>FITA MARCADOR LETRA W</t>
  </si>
  <si>
    <t>FITA MARCADOR LETRA V</t>
  </si>
  <si>
    <t>FITA MARCADOR LETRA U</t>
  </si>
  <si>
    <t>FITA MARCADOR LETRA T</t>
  </si>
  <si>
    <t>FITA MARCADOR LETRA S</t>
  </si>
  <si>
    <t>FITA MARCADOR LETRA R</t>
  </si>
  <si>
    <t>FITA MARCADOR LETRA Q</t>
  </si>
  <si>
    <t>ELETROD PVC FLEX CORRUG REF. 20MM - 25 METROS</t>
  </si>
  <si>
    <t>FITA MARCADOR LETRA P</t>
  </si>
  <si>
    <t>FITA MARCADOR LETRA O</t>
  </si>
  <si>
    <t>SUPORTE P/AIXA COLEOTR DE DADOS 390X50MM</t>
  </si>
  <si>
    <t>FITA MARCADOR LETRA M</t>
  </si>
  <si>
    <t>FITA MARCADOR LETRA L</t>
  </si>
  <si>
    <t>FITA MARCADOR LETRA K</t>
  </si>
  <si>
    <t>FITA MARCADOR LETRA J</t>
  </si>
  <si>
    <t>FITA MARCADOR LETRA I</t>
  </si>
  <si>
    <t>FITA MARCADOR LETRA H</t>
  </si>
  <si>
    <t>FALTA</t>
  </si>
  <si>
    <t>FITA MARCADOR LETRA G</t>
  </si>
  <si>
    <t>FITA MARCADOR LETRA F</t>
  </si>
  <si>
    <t>FITA MARCADOR LETRA E</t>
  </si>
  <si>
    <t>FITA MARCADOR LETRA D</t>
  </si>
  <si>
    <t>FITA MARCADOR LETRA C</t>
  </si>
  <si>
    <t>FITA MARCADOR LETRA B</t>
  </si>
  <si>
    <t>FITA MARCADOR LETRA A</t>
  </si>
  <si>
    <t>3919.10.00</t>
  </si>
  <si>
    <t>FITA ISOLANTE  PVC 10M VM</t>
  </si>
  <si>
    <t>FITA ISOLANTE  PVC 10M AM</t>
  </si>
  <si>
    <t>FILA ISOLANTE COLORIDA VIOLETA 19X20M</t>
  </si>
  <si>
    <t>FITA ISOLANTE PVC 10M AZ ESCURO</t>
  </si>
  <si>
    <t>8535.90.00</t>
  </si>
  <si>
    <t>TERMINAL OLHAL PRE ISOL 35,0MM P22-6</t>
  </si>
  <si>
    <t>TERMINAL OLHAL PRE ISOL 10,0MM P22-6</t>
  </si>
  <si>
    <t>CAIXA PARA COLETOR DE DADOS 200X150MM</t>
  </si>
  <si>
    <t>CARRINHO COM 2 FUNIS SUP 600X1200MM</t>
  </si>
  <si>
    <t>8422.90.90</t>
  </si>
  <si>
    <t>SISTEMA DE LIMPEZA DO FILTRO 500X700MM</t>
  </si>
  <si>
    <t>7309.00.90</t>
  </si>
  <si>
    <t>TANQUE P/ SISTEMA DE LIMPEZA 655X1758</t>
  </si>
  <si>
    <t>8421.39.90</t>
  </si>
  <si>
    <t>FILTRO COM ISOLAMENTO 300X1300</t>
  </si>
  <si>
    <t>FILTRO ACO CARBONO 400X1500</t>
  </si>
  <si>
    <t>CAIXA PORTA CALIBRADORES 150X500</t>
  </si>
  <si>
    <t>CAIXA P/ CONEXAO PEQUENA 200X150X200</t>
  </si>
  <si>
    <t>CAIXA P/ CONEXAO GRANDE 200X150X350</t>
  </si>
  <si>
    <t>DISPOSITIVO P/ TUBOS FORA DE LINHA 200X6000</t>
  </si>
  <si>
    <t>FUNIL INFERIOR 1000X950MM</t>
  </si>
  <si>
    <t>FUNIL P/ ESTRUTURA BIG BAG 800X1200MM</t>
  </si>
  <si>
    <t>ESTRUTURA P/ FILTRO BIG BAG 2060X1000X1300MM</t>
  </si>
  <si>
    <t>ACABAMENTO P/ REGISTRO  1/2 . 3/4 E 1 PQ</t>
  </si>
  <si>
    <t>CHUVEIRO C/ TUBO PAREDE SPORT CROMADO</t>
  </si>
  <si>
    <t>TERMINAL PINO PRE ISOL 2,5MM TPP22-C</t>
  </si>
  <si>
    <t>8415.90.00</t>
  </si>
  <si>
    <t>UNID. CONDENSADOR 60.000 BTUS</t>
  </si>
  <si>
    <t>TERMINAL OLHAL PRE ISOL 2,5MM TP22-6</t>
  </si>
  <si>
    <t>ELETRODUTO DE PVC CORRUGADO REFORC. AZUL 32MM</t>
  </si>
  <si>
    <t>TERMINAL OLHAL PRE ISOL 4-6,0MM TP23-6</t>
  </si>
  <si>
    <t>ABRACADEIRA NYLON F7039 NATURAL T-50L</t>
  </si>
  <si>
    <t>ABRACADEIRA NYLON F7010 NATURAL T-18R</t>
  </si>
  <si>
    <t>7318.19.00</t>
  </si>
  <si>
    <t>CHUMBADOR EXPANSAO 1/4 X2 CBA C/ PARAFUSO</t>
  </si>
  <si>
    <t>CABO FLEX 750V 1,0MM VD</t>
  </si>
  <si>
    <t>CABO FLEX 750V 1,0MM AZ</t>
  </si>
  <si>
    <t>CABO FLEX 750V 1,0MM PT</t>
  </si>
  <si>
    <t>LAMPADA V MET TUB 400W E40 HPIT PHILIPS</t>
  </si>
  <si>
    <t>FLANGE C/ COLARINHO 8 150 LBS</t>
  </si>
  <si>
    <t>REDUCAO A/C 8X4 SOLDA</t>
  </si>
  <si>
    <t>ELETRODUTO DE PVC CORRUGADO REFORC. AZUL 25MM</t>
  </si>
  <si>
    <t>FLANGE 8 SOBREPOSTO CLASSE 150 LBS</t>
  </si>
  <si>
    <t>PRM 0715 TOMADA PADRAO BRASILEIRO 20A</t>
  </si>
  <si>
    <t>CABO FLEX. 1KV AFUMEX 70,0MM VD</t>
  </si>
  <si>
    <t>LUMINARIA EMB 2X28W C/ REFLETOR ALUM TBS 165</t>
  </si>
  <si>
    <t>CABO FLEX 1KV 4MM VM</t>
  </si>
  <si>
    <t>CABO FLEX 1KV 2,5MM VM</t>
  </si>
  <si>
    <t>CABO FLEX. 1KV AFUMEX 4MM AM</t>
  </si>
  <si>
    <t>CABO FLEX. 1 KV AFUMEX 4MM VD</t>
  </si>
  <si>
    <t>CABO FLEX 1 KV AFUMEX 4MM AM</t>
  </si>
  <si>
    <t>TERMINAL A COMP LONGO 185MM TM185L1 FURO 2 CO</t>
  </si>
  <si>
    <t>CABO FLEX. 1KV ESP. 4MM AZ</t>
  </si>
  <si>
    <t>TERMINAL A COMP LONGO 150MM TM150L1 FURO 2 CO</t>
  </si>
  <si>
    <t>TERMINAL A COMP LONGO 95MM TM95L1 FURO 2 COM</t>
  </si>
  <si>
    <t>TERMINAL A COMP LONGO 70MM TM70L1 FURO 2 COMP</t>
  </si>
  <si>
    <t>TERMINAL A COMP LONGO 50MM TM50L1 FURO 2 COMP</t>
  </si>
  <si>
    <t>TERMINAL A COMP LONGO 35MM TM35L1 FURO 2 COMP</t>
  </si>
  <si>
    <t>CABO FLEX. 1KV AFUMEX 2,5MM AM</t>
  </si>
  <si>
    <t>TERMINAL A COMP LONGO 25MM TM25L1 FURO 2 COMP</t>
  </si>
  <si>
    <t>8544.59.00</t>
  </si>
  <si>
    <t>CABO FLEX 1KV 10MM BR</t>
  </si>
  <si>
    <t>CABO FLEX 1KV 10MM VM</t>
  </si>
  <si>
    <t>CABO FLEX.1KV AFUMEX 2,5MM AM</t>
  </si>
  <si>
    <t>CABO FLEX. 1KV ESP 2,5MM AZ</t>
  </si>
  <si>
    <t>CABO FLEX.1KV AFUMEX 2,5MM BR</t>
  </si>
  <si>
    <t>8536.90.10</t>
  </si>
  <si>
    <t>CONECTOR DE PORCELANA DUPLO 16MM REF 3502</t>
  </si>
  <si>
    <t>LUMINARIA EMBUTIR EM FORRO BLF 8HT NE 220V</t>
  </si>
  <si>
    <t>LUMINARIA FLUXEON 2X11N NE RM 220VCA</t>
  </si>
  <si>
    <t>PROJETOR P/ LAMP MET 400W MWF 305/00 PHILIPS</t>
  </si>
  <si>
    <t>CONTROLADOR DE NIVEL CN13 28 A 220 HASTE 80MM</t>
  </si>
  <si>
    <t>TAMPAO FERRO FUND BASE AGUA PLUVIAL T600 80CM</t>
  </si>
  <si>
    <t>FLANGE SOBREPOSTO ROSCA 4 150LBS</t>
  </si>
  <si>
    <t>7214.20.00</t>
  </si>
  <si>
    <t>ACO CA 50 10,0MM</t>
  </si>
  <si>
    <t>ACO CA 50 8,0 MM</t>
  </si>
  <si>
    <t>7217.10.90</t>
  </si>
  <si>
    <t>ARAME RECOZIDO BWG 18</t>
  </si>
  <si>
    <t>REDUCAO TOPO PEAD 160X125MM</t>
  </si>
  <si>
    <t>REDUCAO TOPO PEAD 200X160MM</t>
  </si>
  <si>
    <t>CABO FLEX 1KV AFUMEX 100 AZ</t>
  </si>
  <si>
    <t>CABO FLEX 1KV 6MM VM</t>
  </si>
  <si>
    <t>CABO FLEX 1KV 6MM BR</t>
  </si>
  <si>
    <t>8431.49.10</t>
  </si>
  <si>
    <t>CABECEIRA DUPLA VIGA</t>
  </si>
  <si>
    <t>CABECEIRA</t>
  </si>
  <si>
    <t>CABO FLEX 1KV AFUMEX 100 VM</t>
  </si>
  <si>
    <t>CABO FLEX 1KV AFUMEX 100 BR</t>
  </si>
  <si>
    <t>CABO FLEX 1KV AFUMEX 100 PT</t>
  </si>
  <si>
    <t>CABO FLEX 1 KV 10MM VM</t>
  </si>
  <si>
    <t>CABO FLEX 1 KV 10MM BR</t>
  </si>
  <si>
    <t>REATOR ELETRON AFP 2X54W 220V PHILIPS</t>
  </si>
  <si>
    <t>8539.31.00</t>
  </si>
  <si>
    <t>LAMPADA FLUORESC 54W S-85 PHILIPS</t>
  </si>
  <si>
    <t>CABO FLEX 1KV AFUMEX 150MM AZ</t>
  </si>
  <si>
    <t>CABO FLEX.1KV AFUMEX 185,0MM AZ</t>
  </si>
  <si>
    <t>CABO FLEX.1KV AFUMEX 185,0MM PT</t>
  </si>
  <si>
    <t>CABO FLEX 1KV AFUMEX 6MM BR</t>
  </si>
  <si>
    <t>CABO FLEX 1KV AFUMEX 6MM VM</t>
  </si>
  <si>
    <t>CABO FLEX. 1KV AFUMEX 4MM BR</t>
  </si>
  <si>
    <t>CABO FLEX.1KV AFUMEX 50,0MM VD</t>
  </si>
  <si>
    <t>CABO FLEX.1KV AFUMEX 95,0MM PT</t>
  </si>
  <si>
    <t>CABO FLEX 750V AFUMEX 35MM VD</t>
  </si>
  <si>
    <t>CABO FLEX 1 KV AFUMEX 4MM VM</t>
  </si>
  <si>
    <t>CABO FLEX 1KV AFUMEX 16MM VD</t>
  </si>
  <si>
    <t>CABO FLEX 1KV AFUMEX 16MM AZ</t>
  </si>
  <si>
    <t>CABO FLEX 1KV AFUMEX 16MM VM</t>
  </si>
  <si>
    <t>CABO FLEX 1KV AFUMEX 16MM BR</t>
  </si>
  <si>
    <t>CABO FLEX 1KV AFUMEX 16MM PT</t>
  </si>
  <si>
    <t>LUMINARIA FLUXEON 2X11N 220V BALIZ AUREON</t>
  </si>
  <si>
    <t>7318.15.00</t>
  </si>
  <si>
    <t>PARAFUSO CAB LENT AUTO TRAV ZINC 5/16X1/2</t>
  </si>
  <si>
    <t>LUMINARIA NE 220V BALIZAMENTO AUREON</t>
  </si>
  <si>
    <t>CABO FLEX 1KV 16MM BR</t>
  </si>
  <si>
    <t>GUIA DO CABO 191 GM 5/16 ANT 13021</t>
  </si>
  <si>
    <t>LICENCA APPLIANCE SONICWALL NSA2400 3 ANOS+DP</t>
  </si>
  <si>
    <t>ELETRIFICACAO  FESTOON FORCA/COMANDO 24,2M</t>
  </si>
  <si>
    <t>ELETRIFICACAO  FESTOON FORCA/COMANDO 29M</t>
  </si>
  <si>
    <t>TUBO GALV 4 PAREDES 3,35MM C/ ROSCA</t>
  </si>
  <si>
    <t>8413.70.80</t>
  </si>
  <si>
    <t>BOMBA MULTIEST MONOBL 02,00 CV</t>
  </si>
  <si>
    <t>BOMBA MULTIEST MONOBL 03,00 CV</t>
  </si>
  <si>
    <t>CR 80.000MM KRONA</t>
  </si>
  <si>
    <t>FELTRO FACEFELT BR 1,4 19500X1200X63,5</t>
  </si>
  <si>
    <t>FELTRO FACEFELT BR 1.4 2300X120X6,35</t>
  </si>
  <si>
    <t>6306.12.00</t>
  </si>
  <si>
    <t>DISMA LONA POLIETILENO LARANJA 12X10M</t>
  </si>
  <si>
    <t>ESQUADRIA EM ALUMINIO E VIDRO</t>
  </si>
  <si>
    <t>ADESIVO AQUATHERM 850G TIGRE</t>
  </si>
  <si>
    <t>Perc. Aponta</t>
  </si>
  <si>
    <t>Lote Maximo</t>
  </si>
  <si>
    <t>Ap. p/ Prod.</t>
  </si>
  <si>
    <t>Peso Uni Emb</t>
  </si>
  <si>
    <t>MD5</t>
  </si>
  <si>
    <t>Ident.Export</t>
  </si>
  <si>
    <t>ID.Hist.</t>
  </si>
  <si>
    <t>Hr. Ult. Exp</t>
  </si>
  <si>
    <t>Terc Un Med</t>
  </si>
  <si>
    <t>Aliq. de Imp</t>
  </si>
  <si>
    <t>Calc. TPDP</t>
  </si>
  <si>
    <t>Aliq. FAMAD</t>
  </si>
  <si>
    <t>Porc. PRL</t>
  </si>
  <si>
    <t>Alíq.FASE-MT</t>
  </si>
  <si>
    <t>Alíq. IMA-MT</t>
  </si>
  <si>
    <t>Alq.FUNDESA</t>
  </si>
  <si>
    <t>CEST</t>
  </si>
  <si>
    <t>Enq. IPI</t>
  </si>
  <si>
    <t>Grupo - TI</t>
  </si>
  <si>
    <t>Carga Esp?</t>
  </si>
  <si>
    <t>Sit Trib</t>
  </si>
  <si>
    <t>Exe. Servico</t>
  </si>
  <si>
    <t>Ajust/Difer</t>
  </si>
  <si>
    <t>Rastro Ativo</t>
  </si>
  <si>
    <t>Cont ICMS-ST</t>
  </si>
  <si>
    <t>Rg. Simp. MT</t>
  </si>
  <si>
    <t>Ali.FECOP-RN</t>
  </si>
  <si>
    <t>Pr.Inc.Leite</t>
  </si>
  <si>
    <t>Coef. DCR</t>
  </si>
  <si>
    <t>Vl. DCRII</t>
  </si>
  <si>
    <t>Nr. DCR</t>
  </si>
  <si>
    <t>Nr. DCRE</t>
  </si>
  <si>
    <t>Prod. DCI</t>
  </si>
  <si>
    <t>Dif. CNAE</t>
  </si>
  <si>
    <t>Aliq FECP BA</t>
  </si>
  <si>
    <t>Chassi</t>
  </si>
  <si>
    <t>Cod Nat Rece</t>
  </si>
  <si>
    <t>Tab. Nat. Re</t>
  </si>
  <si>
    <t>%Red.43080</t>
  </si>
  <si>
    <t>Cod.Cat83</t>
  </si>
  <si>
    <t>Mud.Reg.Trib</t>
  </si>
  <si>
    <t>Aliq. CFEMA</t>
  </si>
  <si>
    <t>Sit. CFEM</t>
  </si>
  <si>
    <t>Cal. CFEM</t>
  </si>
  <si>
    <t>Art65 RICMPR</t>
  </si>
  <si>
    <t>Cod.Orig.</t>
  </si>
  <si>
    <t>Ref. Base</t>
  </si>
  <si>
    <t>Tipo FETHAB</t>
  </si>
  <si>
    <t>Aliq. FABOV</t>
  </si>
  <si>
    <t>Aliq. FACS</t>
  </si>
  <si>
    <t>Aliq. FETHAB</t>
  </si>
  <si>
    <t>%Crd. Pres.</t>
  </si>
  <si>
    <t>Data Vigenc</t>
  </si>
  <si>
    <t>Material Rec</t>
  </si>
  <si>
    <t>Calc. FECOP</t>
  </si>
  <si>
    <t>Al. FECOP ST</t>
  </si>
  <si>
    <t>Aliq. FECOP</t>
  </si>
  <si>
    <t>Enq. Selo</t>
  </si>
  <si>
    <t>Desp.Import.</t>
  </si>
  <si>
    <t>Código EAN</t>
  </si>
  <si>
    <t>Cred. ICMS</t>
  </si>
  <si>
    <t>Est Cred IPI</t>
  </si>
  <si>
    <t>FEFO</t>
  </si>
  <si>
    <t>F.Ret.ISS</t>
  </si>
  <si>
    <t>Tp. Reg</t>
  </si>
  <si>
    <t>Classe Selo</t>
  </si>
  <si>
    <t>OK</t>
  </si>
  <si>
    <t>Qtde Venda</t>
  </si>
  <si>
    <t>Utiliza Selo</t>
  </si>
  <si>
    <t>Bloqueado</t>
  </si>
  <si>
    <t>Requisitado</t>
  </si>
  <si>
    <t>Regra Sequ.</t>
  </si>
  <si>
    <t>Atributo 3</t>
  </si>
  <si>
    <t>Atributo 2</t>
  </si>
  <si>
    <t>Atributo 1</t>
  </si>
  <si>
    <t>Icone APS</t>
  </si>
  <si>
    <t>Cor Secund.</t>
  </si>
  <si>
    <t>Cor Princip.</t>
  </si>
  <si>
    <t>Dt.Descontin</t>
  </si>
  <si>
    <t>Tipo Etiquet</t>
  </si>
  <si>
    <t>Dt.Lancament</t>
  </si>
  <si>
    <t>Qt. Unitizad</t>
  </si>
  <si>
    <t>C. Atividade</t>
  </si>
  <si>
    <t>Calcula CSLL</t>
  </si>
  <si>
    <t>Nivel Tabela</t>
  </si>
  <si>
    <t>Calc. COFINS</t>
  </si>
  <si>
    <t>Ult Vlr Comp</t>
  </si>
  <si>
    <t>Calcula PIS</t>
  </si>
  <si>
    <t>Ult Moe Comp</t>
  </si>
  <si>
    <t>Estoq Maximo</t>
  </si>
  <si>
    <t>Qtd Inic Mes</t>
  </si>
  <si>
    <t>Class. Produ</t>
  </si>
  <si>
    <t>Qtde. Acum.</t>
  </si>
  <si>
    <t>Potencia Pad</t>
  </si>
  <si>
    <t>Contr. Poten</t>
  </si>
  <si>
    <t>Ult. Calculo</t>
  </si>
  <si>
    <t>Desconto Rep</t>
  </si>
  <si>
    <t>Peso MCP</t>
  </si>
  <si>
    <t>Grp Mix Alvo</t>
  </si>
  <si>
    <t>Est.Min.Inve</t>
  </si>
  <si>
    <t>Vld Num Seri</t>
  </si>
  <si>
    <t>Exp. Alcis</t>
  </si>
  <si>
    <t>Integ.Portal</t>
  </si>
  <si>
    <t>Cod. GTIN</t>
  </si>
  <si>
    <t>Integracao</t>
  </si>
  <si>
    <t>Cor</t>
  </si>
  <si>
    <t>Descto Ger.</t>
  </si>
  <si>
    <t>% Promocao</t>
  </si>
  <si>
    <t>Cod. Norma</t>
  </si>
  <si>
    <t>Estr. Origem</t>
  </si>
  <si>
    <t>% Garantia</t>
  </si>
  <si>
    <t>Cod Familia</t>
  </si>
  <si>
    <t>Tipo Vetor</t>
  </si>
  <si>
    <t>Garantia?</t>
  </si>
  <si>
    <t>SubSubFamil</t>
  </si>
  <si>
    <t>Perda Confor</t>
  </si>
  <si>
    <t>Loc. Fisica</t>
  </si>
  <si>
    <t>Qt.Lim.Etiq.</t>
  </si>
  <si>
    <t>Admin.</t>
  </si>
  <si>
    <t>Des SubFam</t>
  </si>
  <si>
    <t>Tipo BN</t>
  </si>
  <si>
    <t>Lote SBP</t>
  </si>
  <si>
    <t>Vale Present</t>
  </si>
  <si>
    <t>Atende Nec?</t>
  </si>
  <si>
    <t>Valor CIF</t>
  </si>
  <si>
    <t>Grau Dificul</t>
  </si>
  <si>
    <t>Cód.Desc.Pro</t>
  </si>
  <si>
    <t>Tamanho</t>
  </si>
  <si>
    <t>Prop ou Terc</t>
  </si>
  <si>
    <t>Trunc ou Arr</t>
  </si>
  <si>
    <t>SFamilia</t>
  </si>
  <si>
    <t>Valor Selo</t>
  </si>
  <si>
    <t>Icms Pauta</t>
  </si>
  <si>
    <t>Alm.Entr</t>
  </si>
  <si>
    <t>Tipo Carga</t>
  </si>
  <si>
    <t>Fora PP ate?</t>
  </si>
  <si>
    <t>Peso Bruto</t>
  </si>
  <si>
    <t>Ativo</t>
  </si>
  <si>
    <t>Cod Cl Val</t>
  </si>
  <si>
    <t>Dt.Fim N. R.</t>
  </si>
  <si>
    <t>Obs ISBN</t>
  </si>
  <si>
    <t>Nro.Edicao</t>
  </si>
  <si>
    <t>Lingua Orig.</t>
  </si>
  <si>
    <t>Grp.Nat.Rec.</t>
  </si>
  <si>
    <t>Insp.Normal?</t>
  </si>
  <si>
    <t>% Markup</t>
  </si>
  <si>
    <t>Prod. RN 944</t>
  </si>
  <si>
    <t>Alq. FUMACOP</t>
  </si>
  <si>
    <t>Tipo Medic.</t>
  </si>
  <si>
    <t>Tit.Original</t>
  </si>
  <si>
    <t>Rel. Prodepe</t>
  </si>
  <si>
    <t>Codigo ISBN</t>
  </si>
  <si>
    <t>Nro. Paginas</t>
  </si>
  <si>
    <t>Nr.faixas CD</t>
  </si>
  <si>
    <t>Serie/Colec.</t>
  </si>
  <si>
    <t>Cd.Bar.Reemb</t>
  </si>
  <si>
    <t>NALADI SH</t>
  </si>
  <si>
    <t>Qt. Reemb.</t>
  </si>
  <si>
    <t>NALADI NCCA</t>
  </si>
  <si>
    <t>Reembalagem</t>
  </si>
  <si>
    <t>MTBF em Hr.</t>
  </si>
  <si>
    <t>IPI de Pauta</t>
  </si>
  <si>
    <t>Calc.Midia</t>
  </si>
  <si>
    <t>Base Pre-Es.</t>
  </si>
  <si>
    <t>Moeda C.Std</t>
  </si>
  <si>
    <t>Dep Correcao</t>
  </si>
  <si>
    <t>Item Conta</t>
  </si>
  <si>
    <t>% Micronutr.</t>
  </si>
  <si>
    <t>Grupo Descon</t>
  </si>
  <si>
    <t>% Macronutr.</t>
  </si>
  <si>
    <t>Tip Sugestao</t>
  </si>
  <si>
    <t>Parceiro</t>
  </si>
  <si>
    <t>Env. Obrigat</t>
  </si>
  <si>
    <t>Imp.Direta</t>
  </si>
  <si>
    <t>Emb.Padrao</t>
  </si>
  <si>
    <t>C. Trib. Mun</t>
  </si>
  <si>
    <t>C.B.Unitiz</t>
  </si>
  <si>
    <t>Tp Pad.Reemb</t>
  </si>
  <si>
    <t>Regra ISS Pg</t>
  </si>
  <si>
    <t>Fust/Funttel</t>
  </si>
  <si>
    <t>Cal. IVA Aju</t>
  </si>
  <si>
    <t>Nova Emb</t>
  </si>
  <si>
    <t>Est.Limite</t>
  </si>
  <si>
    <t>Aliq FECP</t>
  </si>
  <si>
    <t>Base ST R.SC</t>
  </si>
  <si>
    <t>C.Bar.Embal.</t>
  </si>
  <si>
    <t>% Red. IRRF</t>
  </si>
  <si>
    <t>Crd Estímulo</t>
  </si>
  <si>
    <t>% Red. INSS</t>
  </si>
  <si>
    <t>Inc.FETHAB</t>
  </si>
  <si>
    <t>Qtde. Midia</t>
  </si>
  <si>
    <t>Cód. ant.</t>
  </si>
  <si>
    <t>Perc. PIS</t>
  </si>
  <si>
    <t>CC p/ Custo</t>
  </si>
  <si>
    <t>Perc. CSLL</t>
  </si>
  <si>
    <t>Gr Cnt Custo</t>
  </si>
  <si>
    <t>Perc. COFINS</t>
  </si>
  <si>
    <t>P.ICMS Prop.</t>
  </si>
  <si>
    <t>Data Substit</t>
  </si>
  <si>
    <t>MTTR em Hr.</t>
  </si>
  <si>
    <t>Cod Item</t>
  </si>
  <si>
    <t>% Red.COFINS</t>
  </si>
  <si>
    <t>Status Venda</t>
  </si>
  <si>
    <t>Frac Permit</t>
  </si>
  <si>
    <t>ALADI</t>
  </si>
  <si>
    <t>% Red.PIS</t>
  </si>
  <si>
    <t>Materia Pri.</t>
  </si>
  <si>
    <t>Custeio OP</t>
  </si>
  <si>
    <t>Espec.Mater.</t>
  </si>
  <si>
    <t>Classe Repos</t>
  </si>
  <si>
    <t>Calcula INSS</t>
  </si>
  <si>
    <t>Dem.Prevista</t>
  </si>
  <si>
    <t>Rev.Estrutur</t>
  </si>
  <si>
    <t>P.M.kg/Prev.</t>
  </si>
  <si>
    <t>Cont.Prod.CQ</t>
  </si>
  <si>
    <t>Pr.Fundersul</t>
  </si>
  <si>
    <t>Produ‡”es CQ</t>
  </si>
  <si>
    <t>Ret.Operacao</t>
  </si>
  <si>
    <t>COFINS Pauta</t>
  </si>
  <si>
    <t>PIS Pauta</t>
  </si>
  <si>
    <t>Pauta FETHAB</t>
  </si>
  <si>
    <t>Calc. FETHAB</t>
  </si>
  <si>
    <t>Desv Padrao</t>
  </si>
  <si>
    <t>Gr. Compras</t>
  </si>
  <si>
    <t>Restricao</t>
  </si>
  <si>
    <t>Tipo de C.Q.</t>
  </si>
  <si>
    <t>Tecla</t>
  </si>
  <si>
    <t>Produto Pai</t>
  </si>
  <si>
    <t>Balanca</t>
  </si>
  <si>
    <t>Setor</t>
  </si>
  <si>
    <t>Modelo</t>
  </si>
  <si>
    <t>Gera OP Auto</t>
  </si>
  <si>
    <t>Fabricante</t>
  </si>
  <si>
    <t>Situacao</t>
  </si>
  <si>
    <t>Prod. Import</t>
  </si>
  <si>
    <t>Cod. Obs.</t>
  </si>
  <si>
    <t>Opc. Default</t>
  </si>
  <si>
    <t>Anuente ?</t>
  </si>
  <si>
    <t>Val.Ref.US$</t>
  </si>
  <si>
    <t>Desc. L.I.</t>
  </si>
  <si>
    <t>Linha</t>
  </si>
  <si>
    <t>Desc. Ingles</t>
  </si>
  <si>
    <t>Cod.Familia</t>
  </si>
  <si>
    <t>Rt.Op Padrao</t>
  </si>
  <si>
    <t>Desc. Portug</t>
  </si>
  <si>
    <t>Contrato</t>
  </si>
  <si>
    <t>Contr.Locali</t>
  </si>
  <si>
    <t>Impos.Renda</t>
  </si>
  <si>
    <t>Cod Form Lot</t>
  </si>
  <si>
    <t>Grade</t>
  </si>
  <si>
    <t>Cod Barras</t>
  </si>
  <si>
    <t>Qtde. Copias</t>
  </si>
  <si>
    <t>Cons.Inicial</t>
  </si>
  <si>
    <t>Cont.Seg.Soc</t>
  </si>
  <si>
    <t>Prazo Valid.</t>
  </si>
  <si>
    <t>Nota Minima</t>
  </si>
  <si>
    <t>Grupo Trib.</t>
  </si>
  <si>
    <t>Per.Invent.</t>
  </si>
  <si>
    <t>Dt.Ref.Prc 1</t>
  </si>
  <si>
    <t>Entra MRP</t>
  </si>
  <si>
    <t>Forn. Canal</t>
  </si>
  <si>
    <t>% Comissao</t>
  </si>
  <si>
    <t>Fora estado</t>
  </si>
  <si>
    <t>Rastro</t>
  </si>
  <si>
    <t>Ult. Revisao</t>
  </si>
  <si>
    <t>Class.Fiscal</t>
  </si>
  <si>
    <t>DT Referenc.</t>
  </si>
  <si>
    <t>Origem</t>
  </si>
  <si>
    <t>Tipo Dec. OP</t>
  </si>
  <si>
    <t>Fantasma</t>
  </si>
  <si>
    <t>Apropriacao</t>
  </si>
  <si>
    <t>Base Estrut.</t>
  </si>
  <si>
    <t>Forn. Padrao</t>
  </si>
  <si>
    <t>Loja Padrao</t>
  </si>
  <si>
    <t>Familia</t>
  </si>
  <si>
    <t>C Custo</t>
  </si>
  <si>
    <t>Tolerancia</t>
  </si>
  <si>
    <t>Cta Contabil</t>
  </si>
  <si>
    <t>Lote Minimo</t>
  </si>
  <si>
    <t>Lote Econom.</t>
  </si>
  <si>
    <t>Tipo Prazo</t>
  </si>
  <si>
    <t>Entrega</t>
  </si>
  <si>
    <t>Form. Prazo</t>
  </si>
  <si>
    <t>Seguranca</t>
  </si>
  <si>
    <t>Form.Est.Seg</t>
  </si>
  <si>
    <t>Peso Liquido</t>
  </si>
  <si>
    <t>Ult. Preco</t>
  </si>
  <si>
    <t>Ult. Compra</t>
  </si>
  <si>
    <t>Custo Stand.</t>
  </si>
  <si>
    <t>Ponto Pedido</t>
  </si>
  <si>
    <t>Preco Venda</t>
  </si>
  <si>
    <t>Qtd.Embalag.</t>
  </si>
  <si>
    <t>Alternativo</t>
  </si>
  <si>
    <t>Fator Conv.</t>
  </si>
  <si>
    <t>Tipo de Conv</t>
  </si>
  <si>
    <t>Imp.Z.Franca</t>
  </si>
  <si>
    <t>Seg.Un.Medi.</t>
  </si>
  <si>
    <t>Foto</t>
  </si>
  <si>
    <t>Solid. Entr.</t>
  </si>
  <si>
    <t>Solid. Saida</t>
  </si>
  <si>
    <t>TS Padrao</t>
  </si>
  <si>
    <t>TE Padrao</t>
  </si>
  <si>
    <t>Cod.Serv.ISS</t>
  </si>
  <si>
    <t>Aliq. ISS</t>
  </si>
  <si>
    <t>Especie TIPI</t>
  </si>
  <si>
    <t>Ex-NBM</t>
  </si>
  <si>
    <t>Ex-NCM</t>
  </si>
  <si>
    <t>Aliq. ICMS</t>
  </si>
  <si>
    <t>Grupo</t>
  </si>
  <si>
    <t>Local Padrao</t>
  </si>
  <si>
    <t>Tipo</t>
  </si>
  <si>
    <t>Descricao</t>
  </si>
  <si>
    <t>Codigo</t>
  </si>
  <si>
    <t>SB1</t>
  </si>
  <si>
    <t>Filial</t>
  </si>
  <si>
    <t>.    .  .</t>
  </si>
  <si>
    <t>Outros</t>
  </si>
  <si>
    <t>Material</t>
  </si>
  <si>
    <t>.F.</t>
  </si>
  <si>
    <t>Pelo programa</t>
  </si>
  <si>
    <t>NÃO</t>
  </si>
  <si>
    <t>Inativo</t>
  </si>
  <si>
    <t>CC/Ref</t>
  </si>
  <si>
    <t>CAIXA DE INSPENCAO DE ESGOTO T300</t>
  </si>
  <si>
    <t>Sem Petr/Comb</t>
  </si>
  <si>
    <t>A</t>
  </si>
  <si>
    <t>TE PVC REDUCAO ESGOTO SIMPLES REFORCADA - DIAMETRO NOMINAL 100 MILIMETROS X 50 MILIMETROS</t>
  </si>
  <si>
    <t>TE PVC ESGOTO SERIE REFORCADA - DIAMETRO NOMINAL 100 MILIMETROS</t>
  </si>
  <si>
    <t>TE PVC ESGOTO SERIE REFORCADA - DIAMETRO NOMINAL 75 MILIMETROS</t>
  </si>
  <si>
    <t>REDUCAO EXCENTRICA PVC ESGOTO SERIE REFORCADA - DIAMETRO NOMINAL 100 MILIMETROS</t>
  </si>
  <si>
    <t>LUVA PVC SIMPLES DE REDUCAO ESCOTO SERIE REFORCADA - DIAMETRO NOMINAL 100 MILIMETROS X 75 MILIMETROS</t>
  </si>
  <si>
    <t>JUNCAO PVC SIMPLES DE REDUCAO ESGOTO SERIE REFORCADA - DIAMETRO NOMINAL 100 MILIMETROS X 75 MILIMETROS</t>
  </si>
  <si>
    <t>JUNCAO PVC SIMPLES ESGOTO SERIE REFORCADA - DIAMETRO NOMINAL 100 MILIMETROS</t>
  </si>
  <si>
    <t>JOELHO PVC EM 90 GRAUS ESGOTO SERIE REFORCADA - DIAMETRO NOMINAL 100 MILIMETROS</t>
  </si>
  <si>
    <t>JOELHO PVC EM 45 GRAUS ESGOTO SERIE REFORCADA - DIAMETRO NOMINAL 100 MILIMETROS</t>
  </si>
  <si>
    <t>CURVA PVC EM 90 GRAUS ESGOTO CURTA PE COLUNA SERIE REFORCADA - DIAMETRO NOMINAL 100 MILIMETROS</t>
  </si>
  <si>
    <t>COLAR DE TOMADA PVC - MEDIDA - 60 MILIMETROS X 3/4 POLEGADA</t>
  </si>
  <si>
    <t>COLAR DE TOMADA PVC - MEDIDA - 60 MILIMETROS X 1/2 POLEGADA</t>
  </si>
  <si>
    <t>COLAR DE TOMADA PVC - MEDIDA - 50 MILIMETROS X 3/4 POLEGADA</t>
  </si>
  <si>
    <t>COLAR DE TOMADA PVC - MEDIDA - 50 MILIMETROS X 1/2 POLEGADA</t>
  </si>
  <si>
    <t>CAIXA DE PASSAGEM ELETRICA 20X25 DE EMBUTIR</t>
  </si>
  <si>
    <t>?</t>
  </si>
  <si>
    <t>QUADRO VDI 30X35 EMBUTIR</t>
  </si>
  <si>
    <t>QUADRO VDI 30 X 20 EMBUTIR</t>
  </si>
  <si>
    <t>FITA ISOLANTE ANTI-CHAMA - MEDIDA 19 MILIMETROS X  20 METROS</t>
  </si>
  <si>
    <t>FITA ISOLANTE ANTI-CHAMA - MEDIDA 19 MILIMETROS X  10 METROS</t>
  </si>
  <si>
    <t>FITA ISOLANTE ANTI-CHAMA - MEDIDA 19 MILIMETROS X  5 METROS</t>
  </si>
  <si>
    <t>CAIXA DE PROTECAO C/ TOMADA S/ DISJUNTOR</t>
  </si>
  <si>
    <t>CAIXA</t>
  </si>
  <si>
    <t>PLASTICA</t>
  </si>
  <si>
    <t>Solido</t>
  </si>
  <si>
    <t>CAIXA DE PLASTICO DE LUZ PARA ELETRPDUTO FLEXIVEL CORRUGADO - BITOLA 4 X 4</t>
  </si>
  <si>
    <t>CAIXA DE PLASTICO DE LUZ PARA ELETRODUTO FLEXIVEL CORRUGADO - BITOLA 4 X 2</t>
  </si>
  <si>
    <t>PROLONGADOR PLSATICO PARA CAIXA OCTAGONAL REFORCADO - BITOLA 4 X 4</t>
  </si>
  <si>
    <t>PROLONGADOR PLASTICO PARA CAIXA OCTAGONAL - BITOLA 4 X 4</t>
  </si>
  <si>
    <t>CAIXA DE PLASTICO DE CENTRO PARA LAJE - MEDIDA 300 MILIMETROS</t>
  </si>
  <si>
    <t>CAIXA DE PLASTICO DE CENTRO PARA LAJE - MEDIDA 250 MILIMETROS</t>
  </si>
  <si>
    <t>CAIXA DE PLASTICO DE LUZ OCTOGONAL - BITOLA 4 X 4</t>
  </si>
  <si>
    <t>LUVA PVC PRESSAO CORRUGADO REFORCADO - MEDIDA 32 MILIMETROS</t>
  </si>
  <si>
    <t>LUVA PVC PRESSAO CORRUGADO REFORCADO - MEDIDA 25 MILIMETROS</t>
  </si>
  <si>
    <t>LUVA PVC PRESSAO CORRUGADO REFORCADO - MEDIDA 20 MILIMETROS</t>
  </si>
  <si>
    <t>LUVA PVC PRESSAO CORRUGADO AMARELO - MEDIDA 32 MILIMETROS</t>
  </si>
  <si>
    <t>LUVA PVC PRESSAO CORRUGADO AMARELO - MEDIDA 25 MILIMETROS</t>
  </si>
  <si>
    <t>LUVA PVC PRESSAO CORRUGADO AMARELO - MEDIDA 20 MILIMETROS</t>
  </si>
  <si>
    <t>ELETRODUTO PVC FLEXIVEL CORRUGADO REFORCADO - MEDIDA 32 MILIMETROS X 10 METROS</t>
  </si>
  <si>
    <t>ELETRODUTO PVC FLEXIVEL CORRUGADO REFORCADO - MEDIDA 25 MILIMETROS X 25 METROS</t>
  </si>
  <si>
    <t>ELETRODUTO PVC FLEXIVEL CORRUGADO REFORCADO - MEDIDA 25 MILIMETROS X 10 METROS</t>
  </si>
  <si>
    <t>ELETRODUTO PVC FLEXIVEL CORRUGADO REFORCADO - MEDIDA 20 MILIMETROS X 10 METROS</t>
  </si>
  <si>
    <t>ELETRODUTO PVC FLEXIVEL CORRUGADO REFORCADO - MEDIDA 20 MILIMETROS X 25 METROS</t>
  </si>
  <si>
    <t>ELETRODUTO PVC FLEXIVEL CORRUGADO REFORCADO - MEDIDA 32 MILIMETROS X 25 METROS</t>
  </si>
  <si>
    <t>ELETRODUTO PVC FLEXIVEL CORRUGADO REFORCADO - MEDIDA 25 MILIMETROS X 50 METROS</t>
  </si>
  <si>
    <t>ELETRODUTO PVC FLEXIVEL CORRUGADO REFORCADO - MEDIDA 20 MILIMETROS X 50 METROS</t>
  </si>
  <si>
    <t>ELETRODUTO PVC FLEXIVEL CORRUGADO - MEDIDA 32 MILIMETROS X 25 METROS</t>
  </si>
  <si>
    <t>ELETRODUTO PVC FLEXIVEL CORRUGADO - MEDIDA 25 MILIMETROS X 50 METROS</t>
  </si>
  <si>
    <t>ELETRODUTO PVC FLEXIVEL CORRUGADO - MEDIDA 20 MILIMETROS X 50 METROS</t>
  </si>
  <si>
    <t>ELETRODUTO PVC CORRUGADO - MEDIDA 32 MILIMETROS x 10 METROS</t>
  </si>
  <si>
    <t>ELETRODUTO PVC CORRUGADO - MEDIDA 25 MILIMETROS x 25 METROS</t>
  </si>
  <si>
    <t>ELETRODUTO PVC CORRUGADO - MEDIDA 25 MILIMETROS x 10 METROS</t>
  </si>
  <si>
    <t>ELETRODUTO PVC CORRUGADO - MEDIDA 20 MILIMETROS x 25 METROS</t>
  </si>
  <si>
    <t>ELETRODUTO PVC CORRUGADO - MEDIDA 20 MILIMETROS x 10 METROS</t>
  </si>
  <si>
    <t>Take-Up?</t>
  </si>
  <si>
    <t>Tp.Commodit.</t>
  </si>
  <si>
    <t>2 UN Cod Bar</t>
  </si>
  <si>
    <t>NBS</t>
  </si>
  <si>
    <t>Volume (ml)</t>
  </si>
  <si>
    <t>Emb.Bebida</t>
  </si>
  <si>
    <t>Tp.Bebiba</t>
  </si>
  <si>
    <t>Dt.Decre.Alt</t>
  </si>
  <si>
    <t>Num.Decr.Alt</t>
  </si>
  <si>
    <t>Nat.Alt.Ben</t>
  </si>
  <si>
    <t>Dt.Decreto</t>
  </si>
  <si>
    <t>Num. Decreto</t>
  </si>
  <si>
    <t>Nat. Benef.</t>
  </si>
  <si>
    <t>Ano.Vig.Ben</t>
  </si>
  <si>
    <t>Mult.ZF.4%</t>
  </si>
  <si>
    <t>Mult.AM.4%</t>
  </si>
  <si>
    <t>Ind.Oper.</t>
  </si>
  <si>
    <t>Pr.Est.FCI</t>
  </si>
  <si>
    <t>Red. Alíq.</t>
  </si>
  <si>
    <t>Cat. Dacon</t>
  </si>
  <si>
    <t>Imagem Prod</t>
  </si>
  <si>
    <t>Tp Apuracao</t>
  </si>
  <si>
    <t>Tp. Tratame.</t>
  </si>
  <si>
    <t>Cla. Produto</t>
  </si>
  <si>
    <t>UM Preço</t>
  </si>
  <si>
    <t>Serv.Requis</t>
  </si>
  <si>
    <t>Serv.Devoluc</t>
  </si>
  <si>
    <t>Mat Implant?</t>
  </si>
  <si>
    <t>Mat Consumo?</t>
  </si>
  <si>
    <t>Loc. Equip?</t>
  </si>
  <si>
    <t>Ctr WMS</t>
  </si>
  <si>
    <t>Montagem?</t>
  </si>
  <si>
    <t>Marca Pela</t>
  </si>
  <si>
    <t>LT Trans</t>
  </si>
  <si>
    <t>Seq Export2</t>
  </si>
  <si>
    <t>Palavra Chav</t>
  </si>
  <si>
    <t>Form. Prz CQ</t>
  </si>
  <si>
    <t>Grupo IVA</t>
  </si>
  <si>
    <t>End.Devoluc.</t>
  </si>
  <si>
    <t>End.Requis.</t>
  </si>
  <si>
    <t>End.Entrada</t>
  </si>
  <si>
    <t>Tipo Insumo</t>
  </si>
  <si>
    <t>ENVIA MKT</t>
  </si>
  <si>
    <t>Versão</t>
  </si>
  <si>
    <t>TIpo</t>
  </si>
  <si>
    <t>Blq. Invent.</t>
  </si>
  <si>
    <t>Aglu. MRP</t>
  </si>
  <si>
    <t>Linha Peça</t>
  </si>
  <si>
    <t>Dec. 7174</t>
  </si>
  <si>
    <t>Família Peça</t>
  </si>
  <si>
    <t>Protótipo</t>
  </si>
  <si>
    <t>Data Lancam.</t>
  </si>
  <si>
    <t>Dt Export2</t>
  </si>
  <si>
    <t>Cubagem C3</t>
  </si>
  <si>
    <t>Dias p/ ES</t>
  </si>
  <si>
    <t>Dias Blq Inv</t>
  </si>
  <si>
    <t>Cat. Governo</t>
  </si>
  <si>
    <t>Fórmula End.</t>
  </si>
  <si>
    <t>Form. MRP</t>
  </si>
  <si>
    <t>Valor Zero</t>
  </si>
  <si>
    <t>Familia Tec.</t>
  </si>
  <si>
    <t>ID Hist.</t>
  </si>
  <si>
    <t>End.Saida</t>
  </si>
  <si>
    <t>Prazo CQ</t>
  </si>
  <si>
    <t>Vda Dir. DPM</t>
  </si>
  <si>
    <t>Id único</t>
  </si>
  <si>
    <t>Envia Desc.</t>
  </si>
  <si>
    <t>Ind. CPRB</t>
  </si>
  <si>
    <t>Serv.TrDev.</t>
  </si>
  <si>
    <t>Ser.Sai.Cros</t>
  </si>
  <si>
    <t>Ser.En.Cross</t>
  </si>
  <si>
    <t>End.Sai.Cros</t>
  </si>
  <si>
    <t>End.En.Cross</t>
  </si>
  <si>
    <t>Arred.Qt.Dis</t>
  </si>
  <si>
    <t>CIDE Pauta</t>
  </si>
  <si>
    <t>% Margem Pre</t>
  </si>
  <si>
    <t>Tipo de Serv</t>
  </si>
  <si>
    <t>FUNCEP</t>
  </si>
  <si>
    <t>Comp. Ender.</t>
  </si>
  <si>
    <t>Peneira</t>
  </si>
  <si>
    <t>Categoria</t>
  </si>
  <si>
    <t>Cultivar</t>
  </si>
  <si>
    <t>Cultura</t>
  </si>
  <si>
    <t>Semente?</t>
  </si>
  <si>
    <t>Utiliza Emb.</t>
  </si>
  <si>
    <t>Horiz.Firme</t>
  </si>
  <si>
    <t>Horiz.Liber.</t>
  </si>
  <si>
    <t>Inc.Ins.Pat.</t>
  </si>
  <si>
    <t>Integ. DI</t>
  </si>
  <si>
    <t>Tipo Prod</t>
  </si>
  <si>
    <t>Qtd Max</t>
  </si>
  <si>
    <t>Prazo Adic</t>
  </si>
  <si>
    <t>Profund Emb</t>
  </si>
  <si>
    <t>Profundidade</t>
  </si>
  <si>
    <t>E-Commerce</t>
  </si>
  <si>
    <t>Seq Export</t>
  </si>
  <si>
    <t>Dt Exportac</t>
  </si>
  <si>
    <t>Subtitulo</t>
  </si>
  <si>
    <t>Titulo</t>
  </si>
  <si>
    <t>Vd YouTube</t>
  </si>
  <si>
    <t>Cod EAN13</t>
  </si>
  <si>
    <t>ISBN</t>
  </si>
  <si>
    <t>Fl Presente</t>
  </si>
  <si>
    <t>Largura Emb</t>
  </si>
  <si>
    <t>Alt Emb</t>
  </si>
  <si>
    <t>Peso Emb</t>
  </si>
  <si>
    <t>Cod Int Enqu</t>
  </si>
  <si>
    <t>Cod.Embal.</t>
  </si>
  <si>
    <t>Reg.Agr.Mapa</t>
  </si>
  <si>
    <t>Vinc.Prj.Des</t>
  </si>
  <si>
    <t>Concentração</t>
  </si>
  <si>
    <t>Class Agrot</t>
  </si>
  <si>
    <t>Formulação</t>
  </si>
  <si>
    <t>Nom Ingr Atv</t>
  </si>
  <si>
    <t>Num Rec Agro</t>
  </si>
  <si>
    <t>Cod.Prod</t>
  </si>
  <si>
    <t>Alter. Trib.</t>
  </si>
  <si>
    <t>Qtd.Emb.Lei.</t>
  </si>
  <si>
    <t>Qtd.Emb.Imp.</t>
  </si>
  <si>
    <t>Num. serie</t>
  </si>
  <si>
    <t>Periodo</t>
  </si>
  <si>
    <t>Data Invent.</t>
  </si>
  <si>
    <t>Valida Req</t>
  </si>
  <si>
    <t>Valida Seq</t>
  </si>
  <si>
    <t>Imprime Eti</t>
  </si>
  <si>
    <t>Qtd Variavel</t>
  </si>
  <si>
    <t>Qtd 8 EAN14</t>
  </si>
  <si>
    <t>Qtd 7 EAN14</t>
  </si>
  <si>
    <t>Qtd 6 EAN14</t>
  </si>
  <si>
    <t>Qtd 5 EAN14</t>
  </si>
  <si>
    <t>Qtd 4 EAN14</t>
  </si>
  <si>
    <t>Qtd 3 EAN14</t>
  </si>
  <si>
    <t>Qtd 2 EAN14</t>
  </si>
  <si>
    <t>Qtd 1 EAN14</t>
  </si>
  <si>
    <t>Prod. Extrat</t>
  </si>
  <si>
    <t>Item</t>
  </si>
  <si>
    <t>Nº ONU</t>
  </si>
  <si>
    <t>Qualidade</t>
  </si>
  <si>
    <t>Especie Prod</t>
  </si>
  <si>
    <t>Gor Trans</t>
  </si>
  <si>
    <t>Gor Saturada</t>
  </si>
  <si>
    <t>Gordura</t>
  </si>
  <si>
    <t>Peso</t>
  </si>
  <si>
    <t>Bas Calorica</t>
  </si>
  <si>
    <t>Portal TMS?</t>
  </si>
  <si>
    <t>Verif Ind</t>
  </si>
  <si>
    <t>Mult.ZF.SE</t>
  </si>
  <si>
    <t>Mult.ZF.Ou</t>
  </si>
  <si>
    <t>Mult.AM.SE</t>
  </si>
  <si>
    <t>Mult.AM.Ou</t>
  </si>
  <si>
    <t>Tipo Serviço</t>
  </si>
  <si>
    <t>Cod.Trib.AM</t>
  </si>
  <si>
    <t>Cod. Ativ.</t>
  </si>
  <si>
    <t>INSS Patron</t>
  </si>
  <si>
    <t>Marca</t>
  </si>
  <si>
    <t>Cod. Grupo</t>
  </si>
  <si>
    <t>Cod.Tab.Inc.</t>
  </si>
  <si>
    <t>Cod.Sit.DIEF</t>
  </si>
  <si>
    <t>Cd.DMD-BA</t>
  </si>
  <si>
    <t>Desc.Vol2</t>
  </si>
  <si>
    <t>Desc.Vol1</t>
  </si>
  <si>
    <t>Prod.Isento</t>
  </si>
  <si>
    <t>Cod Tp Merc</t>
  </si>
  <si>
    <t>Un.Med2</t>
  </si>
  <si>
    <t>Un.Med1</t>
  </si>
  <si>
    <t>Qt.Reemb</t>
  </si>
  <si>
    <t>Servico/Emb.</t>
  </si>
  <si>
    <t>% Estímulo 2</t>
  </si>
  <si>
    <t>% Estímulo 1</t>
  </si>
  <si>
    <t>Proporção 2</t>
  </si>
  <si>
    <t>Proporção 1</t>
  </si>
  <si>
    <t>FTI Fat.</t>
  </si>
  <si>
    <t>FTI Nacional</t>
  </si>
  <si>
    <t>Densidade</t>
  </si>
  <si>
    <t>Loc.Secundar</t>
  </si>
  <si>
    <t>Uso do Item</t>
  </si>
  <si>
    <t>Pulmao</t>
  </si>
  <si>
    <t>Cod SERC</t>
  </si>
  <si>
    <t>Imprime Prod</t>
  </si>
  <si>
    <t>INSUMO PRODU</t>
  </si>
  <si>
    <t>Benef. DL288</t>
  </si>
  <si>
    <t>Concentracäo</t>
  </si>
  <si>
    <t>Idade Maxima</t>
  </si>
  <si>
    <t>Car.Perigosa</t>
  </si>
  <si>
    <t>Codigo SRF</t>
  </si>
  <si>
    <t>Volume Rec.</t>
  </si>
  <si>
    <t>Cod. Insumo</t>
  </si>
  <si>
    <t>Codigo DNF</t>
  </si>
  <si>
    <t>Per.Cubagem</t>
  </si>
  <si>
    <t>Lim.Peso Emb</t>
  </si>
  <si>
    <t>Lim.Val. Emb</t>
  </si>
  <si>
    <t>Serv.Saida</t>
  </si>
  <si>
    <t>Serv.Interno</t>
  </si>
  <si>
    <t>Serv.Entrada</t>
  </si>
  <si>
    <t>UM.Industria</t>
  </si>
  <si>
    <t>Zona Armaz.</t>
  </si>
  <si>
    <t>Qtd padrao</t>
  </si>
  <si>
    <t>Tipo Unit.</t>
  </si>
  <si>
    <t>Cod. Produto</t>
  </si>
  <si>
    <t>Endereco</t>
  </si>
  <si>
    <t>Rotaciona Pr</t>
  </si>
  <si>
    <t>Fator Armaze</t>
  </si>
  <si>
    <t>Empilhagem</t>
  </si>
  <si>
    <t>C.A.I.</t>
  </si>
  <si>
    <t>Dt.Ref.Prc 7</t>
  </si>
  <si>
    <t>Dt.Ref.Prc 6</t>
  </si>
  <si>
    <t>Dt.Ref.Prc 5</t>
  </si>
  <si>
    <t>Dt.Ref.Prc 4</t>
  </si>
  <si>
    <t>Dt.Ref.Prc 3</t>
  </si>
  <si>
    <t>Dt.Ref.Prc 2</t>
  </si>
  <si>
    <t>UM DIPI</t>
  </si>
  <si>
    <t>Conv. DIPI</t>
  </si>
  <si>
    <t>Qtd.Embalag2</t>
  </si>
  <si>
    <t>Qtd.Embalag1</t>
  </si>
  <si>
    <t>Estado Fisic</t>
  </si>
  <si>
    <t>Embalagem  2</t>
  </si>
  <si>
    <t>Embalagem  1</t>
  </si>
  <si>
    <t>Cod.Desenho</t>
  </si>
  <si>
    <t>Tem Certif.?</t>
  </si>
  <si>
    <t>Cliente</t>
  </si>
  <si>
    <t>Nome Cientif</t>
  </si>
  <si>
    <t>Preco Venda7</t>
  </si>
  <si>
    <t>Preco Venda6</t>
  </si>
  <si>
    <t>Preco Venda5</t>
  </si>
  <si>
    <t>Preco Venda4</t>
  </si>
  <si>
    <t>Preco Venda3</t>
  </si>
  <si>
    <t>Preco Venda2</t>
  </si>
  <si>
    <t>Prot/Conv</t>
  </si>
  <si>
    <t>SB5</t>
  </si>
  <si>
    <t>KIT TAMPA/MOLDURA QUADRO DIST 4</t>
  </si>
  <si>
    <t>KIT TAMPA/MOLDURA QUADRO DIST 8</t>
  </si>
  <si>
    <t>KIT TAMPA/MOLDURA QUADRO DIST 12</t>
  </si>
  <si>
    <t>KIT TAMPA/MOLDURA QUADRO DIST 16</t>
  </si>
  <si>
    <t>KIT TAMPA/MOLDURA QUADRO DIST 24</t>
  </si>
  <si>
    <t>KIT TAMPA/MOLDURA QUADRO DIST 36</t>
  </si>
  <si>
    <t>ADAPTADOR VEDANTE UNIVERSAL CAIXA DE PASSAGEM ELÉTRICA PISO</t>
  </si>
  <si>
    <t>KIT BARRAMENTO/SUPORTE E PARAFUSOS QUADRO DIST 8</t>
  </si>
  <si>
    <t>KIT BARRAMENTO/SUPORTE E PARAFUSOS QUADRO DIST 12</t>
  </si>
  <si>
    <t>KIT BARRAMENTO/SUPORTE E PARAFUSOS QUADRO DIST 16</t>
  </si>
  <si>
    <t>KIT BARRAMENTO/SUPORTE E PARAFUSOS QUADRO DIST 24</t>
  </si>
  <si>
    <t>KIT BARRAMENTO/SUPORTE E PARAFUSOS QUADRO DIST 36</t>
  </si>
  <si>
    <r>
      <t>Peso Bruto</t>
    </r>
    <r>
      <rPr>
        <b/>
        <sz val="8"/>
        <color rgb="FFFFFFFF"/>
        <rFont val="Calibri"/>
        <family val="2"/>
      </rPr>
      <t xml:space="preserve"> (produto + embalagem)</t>
    </r>
  </si>
  <si>
    <t>8538.90.90</t>
  </si>
  <si>
    <t>3925.90.90</t>
  </si>
  <si>
    <t>CAP ESGOTO SÉRIE REFORÇADA DN 100</t>
  </si>
  <si>
    <t>JUNÇÃO DUPLA ESGOTO SÉRIE REFORÇADA DN 100</t>
  </si>
  <si>
    <t>JUNÇÃO SIMP. RED. ESG. SER. REFORC. DN150X100</t>
  </si>
  <si>
    <t>LUVA CORRER P/ TUBO ESGOTO SÉRIE REFORCADA DN 75</t>
  </si>
  <si>
    <t>LUVA CORRER P/ TUBO ESGOTO SÉRIE REFORÇADA DN 100</t>
  </si>
  <si>
    <t>RED. EXCÊNTRICA ESGOTO SÉRIE REFOC. DN150X100</t>
  </si>
  <si>
    <t>TE DE INSPECAO ESGOTO SÉRIE REFORÇADA DN75x75</t>
  </si>
  <si>
    <t>TE DE INSPECAO ESGOTO SERIE REFORCADA DN100x75</t>
  </si>
  <si>
    <t>TE DE INSPECAO ESGOTO SERIE REFORCADA DN150x100</t>
  </si>
  <si>
    <t>JOELHO 90 VISITA ESG SR DN100X75</t>
  </si>
  <si>
    <t>CAP ESGOTO SERIE REFORCADA DN 50</t>
  </si>
  <si>
    <t>CAP ESGOTO SERIE REFORCADA DN 75</t>
  </si>
  <si>
    <t>JOELHO 45° ESGOTO SERIE REFORCADA DN75</t>
  </si>
  <si>
    <t>JOELHO 90° ESGOTO SERIE REFORCADA DN40</t>
  </si>
  <si>
    <t>JUNCAO SIMPLES ESGOTO SERIE REFORCADA DN40</t>
  </si>
  <si>
    <t>LUVA SIMPLES ESGOTO SERIE REFORCADA DN40</t>
  </si>
  <si>
    <t>LUVA CORRER P/ TUBO ESGOTO SERIE REFORCADA DN 150</t>
  </si>
  <si>
    <t>TE ESGOTO SERIE REFORCADA DN40</t>
  </si>
  <si>
    <t>CAP ESGOTO SERIE REFORCADA DN 40</t>
  </si>
  <si>
    <t>CURVA 90 ESGOTO SERIE REFORCADA DN 50</t>
  </si>
  <si>
    <t>JOELHO 45° ESGOTO SERIE REFORCADA DN40</t>
  </si>
  <si>
    <t>JOELHO 90° ESGOTO SERIE REFORCADA DN50</t>
  </si>
  <si>
    <t>JUNCAO SIMP.RED. ESG. SER. REFORC. DN75X50</t>
  </si>
  <si>
    <t>LUVA CORRER P/ TUBO ESGOTO SERIE REFORCADA DN 50</t>
  </si>
  <si>
    <t>TE ESGOTO SERIE REFORCADA DN150</t>
  </si>
  <si>
    <t>CURVA 90° CURTA PE COLUNA ESG SER REF DN75</t>
  </si>
  <si>
    <t>JOELHO 45° ESGOTO SERIE REFORCADA DN50</t>
  </si>
  <si>
    <t>JUNCAO SIMPLES ESGOTO SERIE REFORCADA DN75</t>
  </si>
  <si>
    <t>TE DE REDUÇÃO SÉRIE REFORÇADA 75X50</t>
  </si>
  <si>
    <t>RED. EXCÊNTRICA ESGOTO SÉRIE REFOC. DN200X150</t>
  </si>
  <si>
    <t>LUVA SIMPLES ESGOTO SERIE REFORCADA DN 150</t>
  </si>
  <si>
    <t>LUVA CORRER P/ TUBO ESGOTO SÉRIE REFORCADA DN 40</t>
  </si>
  <si>
    <t>JUNCAO SIMPLES ESGOTO SERIE REFORÇADA DN 150</t>
  </si>
  <si>
    <t>JOELHO 90° ESGOTO SÉRIE REFORCADA DN 150</t>
  </si>
  <si>
    <t>JOELHO 45° ESGOTO SÉRIE REFORÇADA DN 150</t>
  </si>
  <si>
    <t>CURVA 90° CURTA PE COLUNA SÉRIE REFORC. DN150</t>
  </si>
  <si>
    <t>CAP ESGOTO SÉRIE REFORÇADA DN 150</t>
  </si>
  <si>
    <t>CONEXOES ESGOTO PRIMARIO</t>
  </si>
  <si>
    <t>CONEXOES SOLDAVEIS</t>
  </si>
  <si>
    <t>QUADRO DE DISTRIBUICAO</t>
  </si>
  <si>
    <t>CONEXOES PPR</t>
  </si>
  <si>
    <t>VALVULAS DE RETENCAO PARA ESGOTO</t>
  </si>
  <si>
    <t>TORNEIRAS</t>
  </si>
  <si>
    <t>CONEXOES ROSCAVEIS</t>
  </si>
  <si>
    <t>REGISTROS ESFERA C/UNIAO</t>
  </si>
  <si>
    <t>FERRAMENTAS PPR</t>
  </si>
  <si>
    <t>TUBOS PVC ESGOTO</t>
  </si>
  <si>
    <t>CAIXAS DE GORDURA</t>
  </si>
  <si>
    <t>CAIXAS DE PASSAGEM PAREDE E PISO</t>
  </si>
  <si>
    <t>CONEXOES LR</t>
  </si>
  <si>
    <t>TUBOS PVC BRANCO</t>
  </si>
  <si>
    <t>CPVC - ULTRATERM - CONEXOES</t>
  </si>
  <si>
    <t>KIT ACESSORIOS P/ BANHEIRO</t>
  </si>
  <si>
    <t>ESGUICHOS</t>
  </si>
  <si>
    <t>VALVULAS P/ PIA E LAVATORIO</t>
  </si>
  <si>
    <t>CONEXOES ELETRODUTO RIGIDOS</t>
  </si>
  <si>
    <t>REGISTROS ESFERA COMPACTO</t>
  </si>
  <si>
    <t>TUBOS PVC SOLDAVEL</t>
  </si>
  <si>
    <t>TUBOS PPR</t>
  </si>
  <si>
    <t>CONEXOES ELETRODUTO CORRUGADO</t>
  </si>
  <si>
    <t>REGISTROS PRESSAO</t>
  </si>
  <si>
    <t>CAIXAS E RALOS</t>
  </si>
  <si>
    <t>CAIXAS DE LUZ</t>
  </si>
  <si>
    <t>TORNEIRAS BOIA</t>
  </si>
  <si>
    <t>TUBOS DESCIDA</t>
  </si>
  <si>
    <t>HASTE PARA CHUVEIRO</t>
  </si>
  <si>
    <t>QUADRO SISTEMA VDI</t>
  </si>
  <si>
    <t>ADAP.P/CX.D AGUA ROSC.</t>
  </si>
  <si>
    <t>SIFOES</t>
  </si>
  <si>
    <t>TORNEIRAS ESFERA P/JARDIM /TANQUE</t>
  </si>
  <si>
    <t>CONEXOES ESGOSTO 150/200</t>
  </si>
  <si>
    <t>CONEXOES SOLD.C/ BUCHA DE LATAO</t>
  </si>
  <si>
    <t>ANEIS VEDACAO P/ESGOTO</t>
  </si>
  <si>
    <t>ADESIVOS PLASTICOS</t>
  </si>
  <si>
    <t>TUBOS ELETRODUTO CORRUGADO</t>
  </si>
  <si>
    <t>FITA VEDA ROSCA</t>
  </si>
  <si>
    <t>ASSENTOS SANITARIOS</t>
  </si>
  <si>
    <t>TUBOS ELETRODUTO RIGIDOS</t>
  </si>
  <si>
    <t>CONEXOES ESGOTO SECUNDARIO</t>
  </si>
  <si>
    <t>PROLONGAMENTOS P/ CAIXA SIFONADA</t>
  </si>
  <si>
    <t>VALVULAS P/ POCO COM FILTRO</t>
  </si>
  <si>
    <t>COLAR DE TOMADA</t>
  </si>
  <si>
    <t>REGISTROS ESFERA ROSCA EXT.</t>
  </si>
  <si>
    <t>CPVC - ULTRATERM - TUBOS</t>
  </si>
  <si>
    <t>ADAP.P/CX.D AGUA SOLD.</t>
  </si>
  <si>
    <t>FITAS ISOLANTES</t>
  </si>
  <si>
    <t>ENGATES</t>
  </si>
  <si>
    <t>LAVATORIOS</t>
  </si>
  <si>
    <t>ESPUDE</t>
  </si>
  <si>
    <t>CONEXOES ESGOTO 150/200</t>
  </si>
  <si>
    <t>ADESIVO PLÁSTICO EXTRAFORTE PARA PVC 175g C/ PINCEL APLICADOR</t>
  </si>
  <si>
    <t>-</t>
  </si>
  <si>
    <t>ADESIVO PLÁSTICO EXTRAFORTE PARA PVC 850g</t>
  </si>
  <si>
    <t>ADESIVOS E COMPLEMENTOS</t>
  </si>
  <si>
    <t>BUCHA REDU ESGOTO SERIE REFORCADA DN50X40</t>
  </si>
  <si>
    <t>JUNCAO SIMPLES ESGOTO SERIE REFORCADA DN50</t>
  </si>
  <si>
    <t>LUVA SIMPLES ESGOTO SERIE REFORCADA DN75</t>
  </si>
  <si>
    <t>RED. EXCENTRICA ESGOTO SERIE REFOC. DN75X50</t>
  </si>
  <si>
    <t>TE ESGOTO SERIE REFORCADA DN50</t>
  </si>
  <si>
    <t>TE DE REDUCAO ESGOTO SERIE REFORCADA DN100X75</t>
  </si>
  <si>
    <t>TE DE REDUÇÃO ESGOTO SÉRIE REFORÇADA 150x100</t>
  </si>
  <si>
    <t>JUNCAO SIMP.RED. ESG. SER. REFORC. DN100X50</t>
  </si>
  <si>
    <t>CURVA 90 R.LONGO P/ELETRO ROSC. 1.1/4</t>
  </si>
  <si>
    <t>TE DE RED SR 100x50mm</t>
  </si>
  <si>
    <t>ADAPTADOR TRANS F/F PPR 75X2.1/2</t>
  </si>
  <si>
    <t>ADAPTADOR TRANS F/F PPR 90X3</t>
  </si>
  <si>
    <t>ADAPTADOR TRANS F/M PPR 75X2 1.2</t>
  </si>
  <si>
    <t>ADAPTADOR TRANS F/M PPR 90X3</t>
  </si>
  <si>
    <t>TERMOFUSOR 110V R63</t>
  </si>
  <si>
    <t>TERMOFUSOR 800W/110V R63</t>
  </si>
  <si>
    <t>JOELHO 90° ESGOTO SÉRIE REFORÇADA DN 75</t>
  </si>
  <si>
    <t>CURVA 90 ESGOTO SÉRIE REFORÇADA DN 75</t>
  </si>
  <si>
    <t>LUVA SIMPLES ESGOTO SERIE REFORCADA DN50</t>
  </si>
  <si>
    <t>Função</t>
  </si>
  <si>
    <t>Aplicação</t>
  </si>
  <si>
    <t>Características técnicas</t>
  </si>
  <si>
    <t>Normas de referência</t>
  </si>
  <si>
    <t>Benefícios</t>
  </si>
  <si>
    <t>Controlar a passagem do líquido pela tubulação, e assim, permitir intervenção para manutenção do trecho hidráulico.</t>
  </si>
  <si>
    <t>Utilizado em instalação hidráulica residencial, comercial e industrial aparente. Por exemplo: Barrilete de edificação, piscina, banheira de hidromassagem, sauna, ou qualquer outro projeto de infraestrutura hidráulica na condução de água fria potável.</t>
  </si>
  <si>
    <t>*ABNT NBR 5626</t>
  </si>
  <si>
    <t>*Processo: Injeção</t>
  </si>
  <si>
    <t>* ABNT NBR 11306</t>
  </si>
  <si>
    <t>*ABNT NBR 15704</t>
  </si>
  <si>
    <t xml:space="preserve">Controlar a passagem do líquido pela tubulação, e assim, permitir intervenção para manutenção do trecho hidráulico. </t>
  </si>
  <si>
    <t xml:space="preserve">Utilizada em instalação hidráulica residencial, comercial e industrial aparente. Por exemplo: Barrilete de edificação, piscina, banheira de hidromassagem, sauna, ou qualquer outro projeto de infraestrutura hidráulica na condução de água fria potável. </t>
  </si>
  <si>
    <t>* Matéria Prima PVC (Policloreto de Vinila)</t>
  </si>
  <si>
    <t>*Temperatura Nominal: 25 ͦC</t>
  </si>
  <si>
    <t>*Pressão Nominal: 7,5 kgf/cm²</t>
  </si>
  <si>
    <t>*Simples Manejo, apenas ¼ de volta.</t>
  </si>
  <si>
    <t>*Resistente a Corrosão, não enferruja</t>
  </si>
  <si>
    <t>*Fácil manutenção, registro desmontável</t>
  </si>
  <si>
    <t>Utilizada em instalação hidráulica residencial, comercial e industrial embutidas ou aparentes. Por exemplo: Chuveiros, piscina, duchas, lavatórios, banheiros, ou qualquer outra instalação hidráulica de regulagem de água fria potável.</t>
  </si>
  <si>
    <t>CAP ESGOTO SEC. - DN 40</t>
  </si>
  <si>
    <t>CURVA 90 CURTA P/ESG.SEC - DN 40</t>
  </si>
  <si>
    <t>JOELHO 45 ESGOTO SEC - DN 40</t>
  </si>
  <si>
    <t>JOELHO 90 ESGOTO SEC. - DN 40</t>
  </si>
  <si>
    <t>JOELHO 90 BRANCO C/ANEL - DN 40 X 40</t>
  </si>
  <si>
    <t>JUNCAO 45 SIMPLES P/ESGOTO SEC. - DN 40MM</t>
  </si>
  <si>
    <t>pressão e ventilação.</t>
  </si>
  <si>
    <t>LUVA ESGOTO SEC. - DN 40</t>
  </si>
  <si>
    <t>REDUCAO EXCENTRICA ESGOTO PRIM - DN 75X50</t>
  </si>
  <si>
    <t>CX.SIFONADA NR.07 RED.BRANCA 100 X 100 X 50</t>
  </si>
  <si>
    <t>GRELHA NR.52 QUADR.BRANCA CX.SIF.150</t>
  </si>
  <si>
    <t>GRELHA NR.53 QUADR.CROMADA CX.SIF.150</t>
  </si>
  <si>
    <t>GRELHA NR.54 REDONDA BRANCA CX.SIF.100</t>
  </si>
  <si>
    <t>GRELHA NR.55 REDONDA CROMADA CX.SIF.100</t>
  </si>
  <si>
    <t>GRELHA NR.56 REDONDA BRANCA CX.SIF.150</t>
  </si>
  <si>
    <t>GRELHA NR.57 REDONDA CROMADA CX.SIF.150</t>
  </si>
  <si>
    <t>PORTA GRELHA NR.58 QUADR.BRANCA CX.SIF. 100</t>
  </si>
  <si>
    <t>TUBO ELETRODUTO ROSC.ANTICHAMA - 1/2</t>
  </si>
  <si>
    <t>TUBOS ELETRODUTO RÍGIDOS</t>
  </si>
  <si>
    <t>TUBO ELETRODUTO ROSC.ANTICHAMA - 3/4</t>
  </si>
  <si>
    <t>TUBO ELETRODUTO ROSC.ANTICHAMA - 1</t>
  </si>
  <si>
    <t>TUBO ELETRODUTO ROSC.ANTICHAMA - 2</t>
  </si>
  <si>
    <t>TUBO ELETRODUTO ROSC.ANTICHAMA - 3</t>
  </si>
  <si>
    <t>TUBO ELETRODUTO ROSC.ANTICHAMA - 4</t>
  </si>
  <si>
    <t>TUBO ELETRODUTO ROSC.ANTICHAMA - 2.1/2</t>
  </si>
  <si>
    <t>FITA ISOLANTE ANTI-CHAMA C/CELOF.19MM X 5M</t>
  </si>
  <si>
    <t>LUVA DE CORRER ULTRATERM - 15MM</t>
  </si>
  <si>
    <t>LUVA DE CORRER ULTRATERM - 22MM</t>
  </si>
  <si>
    <t>LUVA DE CORRER ULTRATERM - 28MM</t>
  </si>
  <si>
    <t>TE DE REDUCAO ULTRATERM - 22 X 15</t>
  </si>
  <si>
    <t>TE DE REDUCAO ULTRATERM - 28 X 15</t>
  </si>
  <si>
    <t>MISTURADOR M/F/M PPR 20MM</t>
  </si>
  <si>
    <t>MISTURADOR M/F/M PPR 25MM</t>
  </si>
  <si>
    <t>ADAPTADOR SOLD. P/CX.DAGUA 50MM X 1.1/2 AZUL</t>
  </si>
  <si>
    <t>BUCHA RED.SOLD.CURTA 40 X 32MM AZUL</t>
  </si>
  <si>
    <t>TE SOLDAVEL - 40MM AZUL</t>
  </si>
  <si>
    <t xml:space="preserve">* Cor: Laranja;
*Bitolas: 20mm,25mm e 32mm;
*Grau de Proteção: IP40.
</t>
  </si>
  <si>
    <t xml:space="preserve">*NBR 15465
*NBR 5410
</t>
  </si>
  <si>
    <t xml:space="preserve">* PVC-U (Policloreto de Vinila Rígido)
*Processo: Injeção
*Cor: Laranja
* Instalações elétricas de baixa tensão,
alimentadas sob uma tensão nominal igual
ou inferior a 1000V em corrente alternada ou
1500V em corrente contínua, telefonia e
dados, garantindo segurança e qualidade à
obra.
</t>
  </si>
  <si>
    <t xml:space="preserve">* Gera maior economia com o aproveitamento
de trechos de Eletroduto Flexível que foram
cortados;
*Maior resistência química;
*Superfície interna lisa o que facilita a
passagem dos cabos elétricos
* Trava 100% segura
</t>
  </si>
  <si>
    <t>Conduzir por longos trechos o fluido em elevadas temperaturas ou pressões sem comprometer a instalação e suas propriedades.</t>
  </si>
  <si>
    <t>Utilizada em instalação hidráulica residencial, comercial e industrial na geração de água quente ou sistemas de água fria com alta pressão, Por exemplo: Ramais de água quente, linhas de prumada de água fria.</t>
  </si>
  <si>
    <t xml:space="preserve">*Material: CPVC (Policloreto de Vinila Clorado).
*Processo: Extrusão 
* Cor: Bege 
*Conexão: Ponta / Ponta 
*Temperatura x Pressão:
*20 ͦC x 24 kgf/cm² 
*70 ͦC x 9 kgf/cm² 
</t>
  </si>
  <si>
    <t xml:space="preserve">*ABNT NBR 15884 
*ABNT NBR 5626 
</t>
  </si>
  <si>
    <t xml:space="preserve">*Sem efeito nocivo ao organismo, atóxico. 
*Baixa condutividade térmica, isolante. 
* Resistente a corrosão, não enferruja.
*Superfície interna lisa, não incrusta. 
</t>
  </si>
  <si>
    <t>TUBO PVC ROSC 1</t>
  </si>
  <si>
    <t>TUBO PVC ROSC 1.1/4</t>
  </si>
  <si>
    <t>TUBO PVC ROSC 1.1/2</t>
  </si>
  <si>
    <t>Instalações prediais industriais, comerciais e residenciais, principalmente quando se exige maiores esforços.</t>
  </si>
  <si>
    <t>A linha de Esgoto Série Reforçada é utilizada em instalações prediais de esgoto sanitário, água pluvial e ventilação na qual se necessita de uma maior classe de rigidez. Geralmente utilizada em obras verticais com mais de três pavimentos, como: tubos de queda e subcoletores.</t>
  </si>
  <si>
    <t>*Matéria Prima PVC (Policloreto de Vinila) 
*Cor: Cinza Claro
*Processo: Extrusão 
*Temperatura Nominal: 75 ͦC (regime não
contínuo) 
*Escoamento por gravidade, não submetida
a pressão e ventilação. 
*Resistência a classe de rigidez de 3.200Pa para
os tubos esgoto DN 100 e 150 mm.</t>
  </si>
  <si>
    <t xml:space="preserve">*ABNT NBR 5688 
*ABNT NBR 8160
</t>
  </si>
  <si>
    <t>*Resistente a esforços mecânicos e a
temperatura. 
*Fácil instalação. 
*Simples execução das juntas, leveza dos
materiais. 
*Estanqueidade em junta elástica. 
*Bolsa com dupla ação: junta elástica e
soldável.</t>
  </si>
  <si>
    <t>Os Tubos PN20 e PN25 são produzidos em PPR e sua instalação permite encaminhar água quente ou fria aos pontos de consumo</t>
  </si>
  <si>
    <t>Utilizado em instalação de água quente residencial, comercial, industrial e pode ser embutida em parede de alvenaria, enterrada, parede oca (drywall) e instalações aparentes.</t>
  </si>
  <si>
    <t xml:space="preserve">*Material: Polipropileno Copolímero Random
PPR. 
*Material: Polipropileno Copolímero Random
PPR. 
</t>
  </si>
  <si>
    <t xml:space="preserve">*ABNT NBR 15813
○ Parte 1
○ Parte 2
○ Parte 3
*ABNT NBR 7198
* DIN 8077
*DIN 8078
*DIN 16962
</t>
  </si>
  <si>
    <t xml:space="preserve">*Consulte a tabela de resistência química do
PPR disponível no catálogo técnico da linha.
*Fácil instalação. 
* Baixa condutividade térmica.
*Economia de energia. 
</t>
  </si>
  <si>
    <t>TUBO PVC BRANCO - 6M - 25MM</t>
  </si>
  <si>
    <t>TUBO PVC BRANCO - 6M - 40MM</t>
  </si>
  <si>
    <t>TUBO PVC BRANCO - 6M - 50MM</t>
  </si>
  <si>
    <t>TUBO PVC BRANCO - 6M - 75MM</t>
  </si>
  <si>
    <t>ADAPTADOR ROSC. P/CX.DAGUA 1/2</t>
  </si>
  <si>
    <t>ADAPTADOR ROSC. P/CX.DAGUA 3/4</t>
  </si>
  <si>
    <t>ADAPTADOR ROSC. P/CX.DAGUA 1</t>
  </si>
  <si>
    <t>LUVA REDUCAO ROSCAVEL 1 X 3/4</t>
  </si>
  <si>
    <t>UNIAO ROSCAVEL 3/4</t>
  </si>
  <si>
    <t>UNIAO ROSCAVEL 1</t>
  </si>
  <si>
    <t>UNIAO ROSCAVEL 1.1/4</t>
  </si>
  <si>
    <t>UNIAO ROSCAVEL 1.1/2</t>
  </si>
  <si>
    <t>UNIAO ROSCAVEL 2</t>
  </si>
  <si>
    <t>UNIAO ROSCAVEL 2.1/2</t>
  </si>
  <si>
    <t>UNIAO ROSCAVEL 3</t>
  </si>
  <si>
    <t>UNIAO ROSCAVEL 4</t>
  </si>
  <si>
    <t>Efetuar a adaptação entre a linha soldável e roscável, adaptando a ponta do tubo para receber uma ligação ou conexão roscável.</t>
  </si>
  <si>
    <t>Utilizada em instalação hidráulica residencial, comercial e industrial nas tubulações de água fria, Por exemplo: em ligações que tenham a necessidade de conectar uma peça com rosca fêmea.</t>
  </si>
  <si>
    <t xml:space="preserve">*Material: PVC (Policloreto de Vinila). 
*Processo: Injeção 
* Cor: Marrom 
*Conexão: Ponta Rosca / Bolsa Solda 
*Temperatura x Pressão 
*45 ͦC x 7,5 kgf/cm² 
</t>
  </si>
  <si>
    <t xml:space="preserve">*ABNT NBR 5648 
*ABNT NBR 5626 
</t>
  </si>
  <si>
    <t xml:space="preserve">*Sem efeito nocivo ao organismo, atóxico. 
*Resistente a corrosão, não enferruja. 
* Superfície interna lisa, não incrusta. 
</t>
  </si>
  <si>
    <t>Efetua a adaptação na entrada e saída de caixa d’água, possuí gabarito, fundo fixo, móvel e vedação.</t>
  </si>
  <si>
    <t>Utilizada em instalação hidráulica residencial, comercial e industrial nas tubulações de água fria, indicado para utilização em entrada e saída de caixa d’água.</t>
  </si>
  <si>
    <t xml:space="preserve">*ABNT NBR 5648
*ABNT NBR 5626
</t>
  </si>
  <si>
    <t xml:space="preserve">*Sem efeito nocivo ao organismo, atóxico. 
* Resistente a corrosão, não enferruja. 
* Juntas soldáveis a frio. 
*Longa vida útil. 
*Dispensa o uso de ferramentas. 
</t>
  </si>
  <si>
    <t>ADAPTADOR SOLD. P/CX.DAGUA 32MM X 1</t>
  </si>
  <si>
    <t>BUCHA RED.SOLD.CURTA 110 X 85MM</t>
  </si>
  <si>
    <t>BUCHA RED.SOLD.CURTA 25 X 20MM</t>
  </si>
  <si>
    <t>BUCHA RED.SOLD.CURTA 32 X 25MM</t>
  </si>
  <si>
    <t>BUCHA RED.SOLD.CURTA 40 X 32MM</t>
  </si>
  <si>
    <t>BUCHA RED.SOLD.CURTA 50 X 40MM</t>
  </si>
  <si>
    <t>BUCHA RED.SOLD.CURTA 60 X 50MM</t>
  </si>
  <si>
    <t>BUCHA RED.SOLD.CURTA 75 X 60MM</t>
  </si>
  <si>
    <t>BUCHA RED.SOLD.CURTA 85 X 75MM</t>
  </si>
  <si>
    <t>Efetuar sobreposição de tubulações, através de seu desenho exclusivo, reduzindo emendas e garantindo a estanqueidade.</t>
  </si>
  <si>
    <t>Utilizada em instalação hidráulica residencial, comercial e industrial nas tubulações de água fria, indicado para utilização em instalações sobrepostas.</t>
  </si>
  <si>
    <t xml:space="preserve">*Material: PVC (Policloreto de Vinila). 
*Processo: Injeção 
* Cor: Marrom 
*Conexão: Bolsas Soldáveis 
*Temperatura x Pressão 
*45 ͦC x 7,5 kgf/cm² 
</t>
  </si>
  <si>
    <t xml:space="preserve">*ABNT NBR 5648 
*ABNT NBR 5626 
</t>
  </si>
  <si>
    <t xml:space="preserve">*Sem efeito nocivo ao organismo, atóxico. 
*Resistente a corrosão, não enferruja. 
*Juntas soldáveis a frio. 
*Longa vida útil. 
</t>
  </si>
  <si>
    <t>Reparar ramais e sub-ramais de PVC, instalados de forma embutida. A Estanqueidade é garantida pelos anéis deslizantes.</t>
  </si>
  <si>
    <t>Utilizada em instalação hidráulica residencial, comercial e industrial nas tubulações de água fria, Por exemplo: em reparos provenientes de perfuração ou rupturas.</t>
  </si>
  <si>
    <t>*Material: PVC (Policloreto de Vinila). 
*Processo: Injeção 
*Cor: Marrom
*Conexão: Ponta Rosca / Bolsa Solda 
*Temperatura x Pressão 
*45 ͦC x 7,5 kgf/cm²</t>
  </si>
  <si>
    <t>*ABNT NBR 5648
*ABNT NBR 5626</t>
  </si>
  <si>
    <t>*Sem efeito nocivo ao organismo, atóxico. 
*Resistente a corrosão, não enferruja. 
*Juntas soldáveis a frio. 
*Longa vida útil.</t>
  </si>
  <si>
    <t>Efetuar a união de trechos de tubulações, através de seu engate roscável estanque. Permitir a desmontagens desses trechos de tubulação para futuras intervenções de manutenção.</t>
  </si>
  <si>
    <t>Utilizada em instalação hidráulica residencial, comercial e industrial nas tubulações de água fria, indicado para utilização em casa de máquinas, boilers, etc.</t>
  </si>
  <si>
    <t xml:space="preserve">*ABNT NBR 5648 
*ABNT NBR 5626 
</t>
  </si>
  <si>
    <t>Conexão utilizada em ponto de final da instalação que promove a ligação de água da parede ao metal sanitário, torneiras, chuveiros, etc.</t>
  </si>
  <si>
    <t>Utilizada em instalação hidráulica residencial, comercial e industrial nos pontos de água fria que recebem a ligação de metais sanitários, chuveiros, registros, torneiras, etc.</t>
  </si>
  <si>
    <t>*Material: PVC (Policloreto de Vinila). 
*Processo: Injeção 
*Cor: Azul 
*Conexão: Rosca Fêmea NBR ISO-7 / Bolsa
Soldável 
*Temperatura x Pressão
45 ͦC x 7,5 kgf/cm²</t>
  </si>
  <si>
    <t>*ABNT NBR 5648 
*ABNT NBR 5626</t>
  </si>
  <si>
    <t>*Sem efeito nocivo ao organismo, atóxico. 
* Resistente a corrosão, não enferruja. 
*Juntas soldáveis a frio.
* Longa vida útil.</t>
  </si>
  <si>
    <t>*ABNT NBR 5648 
* ABNT NBR 5626</t>
  </si>
  <si>
    <t>*Temperatura máxima de serviço 25°C.
*Matéria prima PVC - Policloreto de Vinila.
*Processo: Injeção.
*Pressão máxima de serviço: 7,5 Kgf/cm².</t>
  </si>
  <si>
    <t xml:space="preserve">* ABNT NBR 11306
*ABNT NBR 15704
* ABNT NBR 5626
</t>
  </si>
  <si>
    <t>*Resistente a Corrosão, não enferruja.
*Fácil instalação e manutenção.
*Ergonômico e simples manejo.
*Seguro e vem com orientação de abre e
fecha na borboleta (Manípulo).</t>
  </si>
  <si>
    <t>*Temperatura máxima de serviço 25°C.
* Matéria prima PVC – Policloreto de Vinila.
* Processo: Injeção.
* Pressão máxima de serviço: 7,5Kgf/cm².</t>
  </si>
  <si>
    <t>* ABNT NBR 11306
* ABNT NBR 15704
* ABNT NBR 5626</t>
  </si>
  <si>
    <t>* Resistente a corrosão, não enferruja.
* Fácil instalação e manutenção.
* Ergonômico e Simples Manejo.
* Seguro e vem com orientação de abre e
fecha na borboleta (volante).</t>
  </si>
  <si>
    <t>Utilizada em instalação hidráulica residencial, comercial e industrial aparente. Por exemplo: Barrilete de edificação, piscina, banheira de hidromassagem, sauna, ou qualquer outro projeto de infraestrutura hidráulica na condução de água fria potável.</t>
  </si>
  <si>
    <t>* Matéria Prima PVC (Policloreto de Vinila)
*Processo: Injeção
*Temperatura Nominal: 25 ͦC
*Pressão Nominal: 7,5 kgf/cm²</t>
  </si>
  <si>
    <t xml:space="preserve">* ABNT NBR 11306
*ABNT NBR 15704
*ABNT NBR 5626
</t>
  </si>
  <si>
    <t xml:space="preserve">* ABNT NBR 11306
*ABNT NBR 15704
*ABNT NBR 5626
</t>
  </si>
  <si>
    <t>*Resistente a Corrosão, não enferruja
*Fácil manutenção, registro desmontável
*Simples Manejo, apenas ¼ de volta.</t>
  </si>
  <si>
    <t>Controlar a passagem do líquido pela tubulação, e assim, permitir regulagem para consumo no ponto desejado.</t>
  </si>
  <si>
    <t>* Matéria Prima PVC (Policloreto de Vinila)
*Processo: Injeção
*Fechamento por compressão
*Temperatura Nominal: 25 ͦC
*Pressão Nominal: 7,5 kgf/cm²</t>
  </si>
  <si>
    <t xml:space="preserve">*ABNT NBR 11306
*ABNT NBR 15704
*ABNT NBR 5626
</t>
  </si>
  <si>
    <t>* Resistente a Corrosão, não enferruja.
*Fácil manutenção, troca rápida de reparo.
*Controle de vazão, movimentos lentos.</t>
  </si>
  <si>
    <t>Utilizada em instalação hidráulica residencial, comercial e industrial aparente. Por exemplo: Ramal de entrada predial, kit cavalete, refrigeração de maquinas industrial ou qualquer ponto hidráulico na condução de água fria potável.</t>
  </si>
  <si>
    <t>*Matéria Prima PVC (Policloreto de Vinila)
*Processo: Injeção
*Temperatura Nominal: 25 ͦC
*Pressão Nominal: 7,5 kgf/cm²</t>
  </si>
  <si>
    <t xml:space="preserve">*ABNT NBR 11306
*ABNT NBR 15704
*ABNT NBR 5626
</t>
  </si>
  <si>
    <t>*Resistente a Corrosão, não enferruja.
*Fácil instalação, registro compacto
*Manejo exclusivo, cabeça quadrada</t>
  </si>
  <si>
    <t>Permite a junção em 45° de uma instalação secundária de esgoto sanitário e águas pluviais na instalação primária.</t>
  </si>
  <si>
    <t>Utilizada em sistema de esgoto residencial, comercial e industrial, coletando águas pluviais, esgoto sanitário e conduzindo até a rede principal da edificação.</t>
  </si>
  <si>
    <t xml:space="preserve">*Material: PVC (Policloreto de Vinila). 
*Processo: Injeção. 
*Cor: Branco 
*Escoamento por gravidade não submetida à
pressão e ventilação. 
* Temperatura: 45° C 
</t>
  </si>
  <si>
    <t xml:space="preserve">*ABNT NBR 5681 
*ABNT NBR 5688
</t>
  </si>
  <si>
    <t xml:space="preserve">*Bolsa soldável e Bolsa com junta elástica. 
*Leve. 
*Resistente. 
*Estanque. 
* Segura 
</t>
  </si>
  <si>
    <t>Permite a junção em 45° de uma instalação secundária de esgoto sanitário ou águas pluviais na instalação primária, ainda sim reduzindo o diâmetro.</t>
  </si>
  <si>
    <t xml:space="preserve">* Material: PVC (Policloreto de Vinila). 
* Processo: Injeção. 
*Cor: Branco 
*Escoamento por gravidade não submetida à
pressão e ventilação. 
* Temperatura: 45° C 
</t>
  </si>
  <si>
    <t xml:space="preserve">* ABNT NBR 5681 
* ABNT NBR 5688
</t>
  </si>
  <si>
    <t xml:space="preserve">* Bolsa com junta elástica. 
* Leve.
*Resistente.
*Estanque.
* Segura.
</t>
  </si>
  <si>
    <t>A Luva de Correr Esgoto é utilizada para reparar vazamento de pequenos furos, trincas, em juntas mal executadas ou emendas. Fácil instalação em instalações existentes e dispensa o uso do adesivo ou rosca por possuir nas duas extremidades anéis de borracha para vedação.</t>
  </si>
  <si>
    <t>Podem ser aplicadas na manutenção de fissuras nas tubulações hidro sanitária de modo a corrigir a não conformidade apresentado no sistema de escoar os efluentes de aparelhos sanitários, para conduzir água pluvial ou até mesmo para instalações prediais de esgoto e ventilação; inseridos na vertical ou na horizontal de obras residenciais, comerciais e industriais.</t>
  </si>
  <si>
    <t xml:space="preserve">*Material: PVC (Policloreto de Vinila). 
*Processo: Injeção. 
*Cor: Branco 
*Escoamento por gravidade não submetida à
pressão e ventilação. 
* Temperatura: 45° C
</t>
  </si>
  <si>
    <t xml:space="preserve">* ABNT NBR 5681 
*ABNT NBR 5688
</t>
  </si>
  <si>
    <t xml:space="preserve">*Fácil aplicação, não necessita o uso de
adesivo plástico, ótima durabilidade e
versatilidade. 
*Total estanque devido aos anéis de
vedação. 
* Material não corrosivo. 
</t>
  </si>
  <si>
    <t>Evitar o retorno e o refluxo nas instalações prediais de esgoto e águas pluviais, principalmente nos casos de inundações, enchentes, entupimentos ou ainda vazões elevadas nos períodos de fortes chuvas.</t>
  </si>
  <si>
    <t>Utilizada em sistemas prediais de esgoto sanitário impossibilitando retorno de efluentes para o ambiente da edificação, através da diferença de nível existente entre logradouro e residência, antes da saída do esgoto na rede coletora pública ou em fossas sépticas.</t>
  </si>
  <si>
    <t>*Material: PVC (Policloreto de Vinila). 
*Processo: Injeção. 
*Cor: Branco. 
*Conexão Bolsa / Bolsa. 
* Temperatura: 45° C. 
*Portinhola de fechamento com vedação em
borracha.</t>
  </si>
  <si>
    <t xml:space="preserve">*ABNT NBR 8110 
*ABNT NBR 5688
</t>
  </si>
  <si>
    <t>*Facilidade de instalação. 
*Estanqueidade em junta elástica. 
*Fácil solução para limpeza e desobstrução
Da rede devido sua tampa roscável. 
*Impede o retorno do mau cheiro para o
interior da edificação. 
*Superfície interna lisa, não incrusta.</t>
  </si>
  <si>
    <t>Proporcionar acabamento a louça sanitária garantindo conforto e higiene ao usuário.</t>
  </si>
  <si>
    <t>Compatível com louças sanitárias de padrão oval e que possuem furos entre 140mm a 150mm, em instalação sanitária residencial, comercial e industrial.</t>
  </si>
  <si>
    <t xml:space="preserve">*Material: Assento e Tampa em polipropileno
(PP) e o parafuso de fixação é Polietileno de
alta densidade (PEAD). 
*Processo: Injeção.
*Cor: Branco.
*Componentes: Tampa, assento e parafusos. 
</t>
  </si>
  <si>
    <t xml:space="preserve">*ABNT NBR 16729
</t>
  </si>
  <si>
    <t>*Embalagem termoencolhível.
*Assento com tampa envolvente. 
* Acompanha o conjunto de fixação. 
*Estrutura mais firme.
*Instalação simples e rápida.
*Durável e resistente, não racha. 
*Superfície lisa, fácil de limpar.
*Diversas opções de cores: branco, caramelo,
cinza claro e bege.</t>
  </si>
  <si>
    <t xml:space="preserve">*Material: PVC (Policloreto de Vinila). 
*Processo: Injeção. 
*Cor: Branco
*Escoamento por gravidade não submetida à
pressão e ventilação. 
* Temperatura: 45° C 
</t>
  </si>
  <si>
    <t xml:space="preserve">*Bolsa com junta elástica. 
*Leve. 
*Resistente. 
*Estanque. 
* Segura 
</t>
  </si>
  <si>
    <t>Permite a junção em 45° de uma instalação secundária de esgoto sanitário ou águas pluviais na instalação primária.</t>
  </si>
  <si>
    <t xml:space="preserve">*ABNT NBR 5681
*ABNT NBR 5688
</t>
  </si>
  <si>
    <t xml:space="preserve">*Bolsa com junta elástica. 
*Leve. 
*Leve. 
* Estanque. 
* Segura 
</t>
  </si>
  <si>
    <t>Permite a junção em 45° de uma instalação secundária de esgoto sanitário ou águas pluviais na instalação primária, ainda sim com dupla ligação.</t>
  </si>
  <si>
    <t xml:space="preserve">*Material: PVC (Policloreto de Vinila). 
*Processo: Injeção. 
*Cor: Branco
*Escoamento por gravidade não submetida à
pressão e ventilação. 
* Temperatura: 45° C
</t>
  </si>
  <si>
    <t>Permitir o acesso para limpeza e inspeção nas colunas ou linhas em (trechos horizontais) aparentes, que ficam suspensas no subsolo de prédios além de conduzir efluentes em seções críticas: ramais de despejo, condutores verticais, subcoletores e tubos de queda suscetíveis a danos físicos externos ou internos, como impactos e altas temperaturas</t>
  </si>
  <si>
    <t>No projeto hidráulico, com todos os pontos de água definidos, é possível saber onde passarão e quais as características e tipos dos tubos e conexões do sistema. O Tê de inspeção se torna importante porque é a peça que permite a busca, limpeza e desobstrução das tubulações.</t>
  </si>
  <si>
    <t xml:space="preserve">*Material: PVC (Policloreto de Vinila). 
*Processo: Injeção. 
*Cor: Branco 
*Escoamento por gravidade não submetida à
pressão e ventilação.
*Temperatura: 45° C 
</t>
  </si>
  <si>
    <t>*Facilidade de instalação. 
*Simples execução das juntas, leveza dos
materiais. 
* Estanqueidade em junta elástica. 
*Fácil solução para limpeza e desobstrução
da rede devido sua tampa roscável. 
*Bolsa dupla ação 
*Tampa roscável que facilita o acesso ao
interior da tubulação</t>
  </si>
  <si>
    <t>Produto projetado para instalação em reservatórios ou cisternas prediais com função mecânica de liberar ou bloquear a passagem de água.</t>
  </si>
  <si>
    <t>Utilizada em sistema de água fria residencial, comercial e industrial e deve ser instalado em sistemas de água fria em reservatórios ou cisternas, o mesmo é compatível com todos os modelos existentes no mercado.</t>
  </si>
  <si>
    <t>*Material: a boia é polietileno, a haste em
alumínio e o corpo é polipropileno. 
*Processo: Sopro e Injeção. 
*Cor: Vermelho. 
*Componentes: porca de aperto, corpo, haste
e a boia. 
*Pressão de serviço – 7,5 Kgf/cm². 
* Temperatura máxima 45°C.</t>
  </si>
  <si>
    <t xml:space="preserve">*ABNT NBR 14534
*ABNT NBR 5626
</t>
  </si>
  <si>
    <t xml:space="preserve">*Fácil instalação, versátil, adaptável a
reservatório de água fria.
*Não é necessário uso de ferramenta para a
Instalação
</t>
  </si>
  <si>
    <t>Controlar e interromper a entrada da água nos reservatórios quando se atinge o nível operacional previsto</t>
  </si>
  <si>
    <t>Devem ser aplicados em reservatórios de água fria que não ultrapasse a pressão e temperatura máxima de serviço.</t>
  </si>
  <si>
    <t xml:space="preserve">*ABNT NBR 14534
</t>
  </si>
  <si>
    <t>Proporcionar o escoamento de fluídos provenientes de pias, tanques e cubas até um desconector.</t>
  </si>
  <si>
    <t>Utilizada em sistema de esgoto residencial, comercial e industrial, coletando fluídos provenientes de lavação em louças sanitárias, pias e tanques e destinando ao ponto de espera do esgoto sanitário.</t>
  </si>
  <si>
    <t xml:space="preserve">*Material: PP (polipropileno). 
*Processo: Injeção. 
* Cor: Branco. 
*Conexão: aplicação para pia e lavatório com
ladrão.
*Temperatura: resistente à temperatura de
até 60°C. 
</t>
  </si>
  <si>
    <t xml:space="preserve">*ABNT NBR 15423
</t>
  </si>
  <si>
    <t xml:space="preserve">*Embalagem autoexplicativa. 
*Fácil instalação, versátil, adaptável a qualquer
pia e lavatório. 
* Evita improviso na instalação de válvula de
escoamento. 
</t>
  </si>
  <si>
    <t xml:space="preserve">*Material: PP (polipropileno). 
*Processo: Injeção. 
* Cor: Branco.
*Conexão: aplicação para pia e lavatório com
ladrão. 
*Temperatura: resistente à temperatura de
até 60°C. 
</t>
  </si>
  <si>
    <t xml:space="preserve">*ABNT NBR 15423
</t>
  </si>
  <si>
    <t xml:space="preserve">*Embalagem autoexplicativa. 
*Fácil instalação, versátil, adaptável a qualquer
pia e lavatório. 
*Evita improviso na instalação de válvula de
escoamento. 
</t>
  </si>
  <si>
    <t>Produto criado para integrar sistemas hidráulicos de água fria, interligando os pontos de espera aos aparelhos sanitários.</t>
  </si>
  <si>
    <t>O engate deve ser aplicado em sistemas prediais de água fria que não ultrapassem a pressão máxima de serviço. Ex: caixa acoplada, caixas de descarga aparentes, pias e bidês.</t>
  </si>
  <si>
    <t>* Material: Engate fabricado em PVC flexível e o nípel fabricado em PVC Rígido.
*Processo: Extrusão e Injeção. 
*Cor: Branco. 
*Pressão máxima de serviço: 4,078 Kgf/cm² 
*Temperatura de trabalho 20°C a 30°C. 
* Rosca padrão BSP. 
*Composição: terminal, mangueira flexível,
anel de vedação, anel deslizante e nípel.</t>
  </si>
  <si>
    <t xml:space="preserve">* ABNT NBR 14878 
*ABNT NBR 5626
</t>
  </si>
  <si>
    <t xml:space="preserve">* Produto de fácil instalação. 
*Resistente a corrosão. 
*Estanqueidade garantida. 
* Flexível. 
</t>
  </si>
  <si>
    <t>Dispositivo constituído de corpo, crivo e elemento de ligação, cuja função é fornecer água fria com vazão e de forma adequada a higiene pessoal.</t>
  </si>
  <si>
    <t>Utilizada em sistema de esgoto residencial, comercial e industrial de água fria, podendo ser instalado em locais como: área externa da residência, área de banho em piscina, residência de praia onde se lava o corpo, etc.</t>
  </si>
  <si>
    <t xml:space="preserve">* Material: Haste em PVC (Policloreto de
Vinila), corpo, canopla e crivo em PP
(Polipropileno). 
*Processo: Injeção. 
*Cor: Branco. 
*Conexão: Rosca Macho x Rosca Fêmea padrão
BSP. 
*Temperatura x Pressão
45 ͦC x 4,0 kgf/cm² 
</t>
  </si>
  <si>
    <t xml:space="preserve">* ABNT NBR 15206
* ABNT NBR 5626 
</t>
  </si>
  <si>
    <t xml:space="preserve">*Embalagem autoexplicativa.
*Fácil instalação, versátil, adaptável a qualquer
chuveiro elétrico. 
*Moderno e Resistente a corrosão.
</t>
  </si>
  <si>
    <t>Haste utilizada para ligação de chuveiros elétricos, cuja função é fornecer água fria com vazão e de forma adequada a higiene pessoal.</t>
  </si>
  <si>
    <t>Utilizada em sistema de esgoto residencial, comercial e industrial, ligando o ponto de espera na parede com o chuveiro elétrico.</t>
  </si>
  <si>
    <t xml:space="preserve">* Material: Haste em PVC (Policloreto de Vinila)
e canopla em PP (Polipropileno). 
*Processo: Injeção. 
*Cor: Branco. 
*Conexão: Rosca Macho x Rosca Fêmea padrão
BSP. 
*Temperatura x Pressão
45 ͦC x 4,0 kgf/cm² 
</t>
  </si>
  <si>
    <t xml:space="preserve">* ABNT NBR 15206
* ABNT NBR 5626
</t>
  </si>
  <si>
    <t xml:space="preserve">* Embalagem autoexplicativa. 
*Fácil instalação, versátil, adaptável a qualquer
chuveiro elétrico. 
*Resistente a corrosão. 
</t>
  </si>
  <si>
    <t>Proporcionar a fixação do assento sanitário premier Krona em um vaso sanitário de louça com formato oval.</t>
  </si>
  <si>
    <t>Aplica-se apenas no assento Premier Krona e é compatível com louças sanitárias de padrão oval que possuem furos entre 140mm a 150mm.</t>
  </si>
  <si>
    <t xml:space="preserve">*Material: Polietileno de Alta Densidade (PEAD). 
*Processo: Injeção. 
* Cor: Branco.
*Conexão: aplicação assento premier Krona
</t>
  </si>
  <si>
    <t xml:space="preserve">*ABNT NBR 16729
</t>
  </si>
  <si>
    <t>* Embalagem autoexplicativa. 
*Fácil instalação, versátil, adaptável apenas ao
assento premier Krona. 
*Não é necessário uso de ferramenta para a
instalação.
*Resistente a ataques químicos.
*Diversas opções de cores: branco, caramelo,
cinza claro e bege.</t>
  </si>
  <si>
    <t>Obstruir, interromper e controlar o fluxo de água decorrente da instalação hidráulica.</t>
  </si>
  <si>
    <t>Sendo altamente testado pode ser utilizado na instalação de água fria residencial, comercial e industrial.</t>
  </si>
  <si>
    <t>*Material: PP (polipropileno).
*Processo: Injeção
*Cor: Corpo branco e Manípulo azul. 
*A pressão máxima de trabalho é 40mca
(4kgf/cm²). 
*A temperatura máxima de trabalho é de 45°C. 
*Componentes: corpo, ponteira, abraçadeira,
bucha de redução, haste(interna) e anel de
vedação(interno).</t>
  </si>
  <si>
    <t xml:space="preserve">*ABNT NBR 10281
</t>
  </si>
  <si>
    <t>*Design clean;
*Manípulo com melhor ergonomia para abertura
e fechamento em ¼ de volta
*Possui duas ponteiras para instalação de
mangueira ½” e ¾”.
* Acompanha bucha de redução com rosca de
¾” e ½”.
*Instale o produto manualmente, uso de
ferramentas podem danificá-los.
*Instalação simples e rápida. 
*Superfície lisa, fácil de limpar.</t>
  </si>
  <si>
    <t xml:space="preserve">*Material: PP (polipropileno)
*Processo: Injeção. 
*Cor: Preto.
*A pressão máxima de trabalho é 40mca
(4kgf/cm²). 
*A temperatura máxima de trabalho é de 45°C.
*Componentes: torneira, adaptador para
mangueira e bucha de redução ¾ e ½.
</t>
  </si>
  <si>
    <t xml:space="preserve">*ABNT NBR 10281
</t>
  </si>
  <si>
    <t>*Design clean;
*Novo manípulo com melhor ergonomia para
abertura e fechamento 
*Possui ponteira para instalação de mangueira. 
*Acompanha bucha de redução com rosca de
¾” e ½”. 
* Instale o produto manualmente, uso de
ferramentas podem danificá-los. 
*Instalação simples e rápida.
*Superfície lisa, fácil de limpar.</t>
  </si>
  <si>
    <t xml:space="preserve">*Material: PP (polipropileno).
*Processo: Injeção. 
*Cor: Corpo Branco e manípulo preto. 
*A pressão máxima de trabalho é 40mca
(4kgf/cm²).
*A temperatura máxima de trabalho é de 45°C. 
*Componentes: torneira e bucha de redução ¾
e ½.
</t>
  </si>
  <si>
    <t>Utilizado em instalação de água fria residencial, comercial e industrial.</t>
  </si>
  <si>
    <t xml:space="preserve">*Material: PP (polipropileno).
*Processo: Injeção. 
*Cor: Corpo Branco e manípulo preto
*A pressão máxima de trabalho é 40mca
(4kgf/cm²).
*A temperatura máxima de trabalho é de 45°C.
*Componentes: torneira e bucha de redução ¾
E ½.
</t>
  </si>
  <si>
    <t xml:space="preserve">*ABNT NBR 10281
</t>
  </si>
  <si>
    <t>Produto projetado para fazer a ligação de forma aparente da caixa de descarga à bacia sanitária.</t>
  </si>
  <si>
    <t xml:space="preserve">*Material: PVC.
*Processo: Extrusão.
*Cor: Branco.
*Temperatura: resistente á temperatura de
até 45°C
</t>
  </si>
  <si>
    <t xml:space="preserve">*ABNT NBR 8160
</t>
  </si>
  <si>
    <t xml:space="preserve">*Produto de fácil instalação.
*Resistente a corrosão e impacto.
</t>
  </si>
  <si>
    <t>Produto projetado para fazer a ligação de forma embutida da caixa de descarga a bacia sanitária.</t>
  </si>
  <si>
    <t>Instalado de forma embutida o tubo é utilizado para fazer a ligação da caixa de descarga com a bacia sanitária.</t>
  </si>
  <si>
    <t xml:space="preserve">*Material: PVC.
*Processo: Extrusão.
*Cor: Branco.
*Temperatura: resistente à temperatura de
até 45°C.
</t>
  </si>
  <si>
    <t xml:space="preserve">*ABNT NBR 8160
</t>
  </si>
  <si>
    <t xml:space="preserve">*Produto de fácil instalação.
*Resistente a corrosão e impacto.
</t>
  </si>
  <si>
    <t>Produto projetado para fazer a ligação da válvula de descarga ao tubo de ligação da bacia sanitária.</t>
  </si>
  <si>
    <t>Instalado de forma embutida, ou seja, dentro da parede. A peça é utilizada para fazer a ligação da válvula de descarga com o tubo de ligação da bacia sanitária.</t>
  </si>
  <si>
    <t xml:space="preserve">*Material: PVC.
*Processo: Extrusão.
*Cor: Branco.
*Temperatura: resistente à temperatura de
até 45°C.
*Acompanha anéis de vedação em borracha e
anel de vedação achatado do tubo com a
válvula 
</t>
  </si>
  <si>
    <t xml:space="preserve">*ABNT NBR 8160
</t>
  </si>
  <si>
    <t xml:space="preserve">*Produto de fácil instalação; 
*Resistente a corrosão;.
*Estanqueidade garantida através dos anéis de
vedação em borracha; 
</t>
  </si>
  <si>
    <t>Conectar o tubo de descida da caixa de descarga aparente com a bacia sanitária.</t>
  </si>
  <si>
    <t>Utilizada em sistema de esgoto residencial, comercial e industrial, ligando o tubo de descida da caixa de descarga aparente com a bacia sanitária.</t>
  </si>
  <si>
    <t xml:space="preserve">*Material: PVC (Policloreto de Vinila). 
*Processo: Injeção.
*Cor: Branco. .
*Conexão: ponta bolsa x ponta. 
*Temperatura: resistente à temperatura de
até 45°C. 
</t>
  </si>
  <si>
    <t xml:space="preserve">*ABNT NBR 5681 
*ABNT NBR 5688
</t>
  </si>
  <si>
    <t xml:space="preserve">*Embalagem autoexplicativa. 
*Fácil instalação, versátil, adaptável bacia
sanitária. 
</t>
  </si>
  <si>
    <t>Coletar ou manter confinado os fluidos provenientes da lavação em cuba de pia e destinar até o sifão de escoamento, conforme a necessidade do usuário.</t>
  </si>
  <si>
    <t>Utilizado em instalação de esgoto residencial, comercial e industrial.</t>
  </si>
  <si>
    <t>*Material: Corpo é PP (polipropileno), Flange é
PEAD (polietileno de alta densidade), Junta e
Arruela são PVCF (pvc flexível) e a Tampa é
PEBD (polietileno de baixa densidade). 
*Processo: Injeção.
* Cor: Branco. 
*Conexão: aplicação para pia. 
*Temperatura: resistente à temperatura de até
60°C.
*Componentes: Tampa, Aba, Corpo, Junta de
vedação, arruela de aperto, flange e o unho*.
*exclusivo no modelo V1.</t>
  </si>
  <si>
    <t xml:space="preserve">*ABNT NBR 15423
</t>
  </si>
  <si>
    <t xml:space="preserve">* Embalagem autoexplicativa. 
*Fácil instalação, versátil, adaptável a qualquer
pia.
* Não é necessário uso de ferramenta para a
Instalação.
</t>
  </si>
  <si>
    <t>Coletar ou manter confinado os fluidos provenientes da lavação em cuba de lavatório e destinar até o sifão de escoamento, conforme a necessidade do usuário.</t>
  </si>
  <si>
    <t xml:space="preserve">*ABNT NBR 15423
</t>
  </si>
  <si>
    <t xml:space="preserve">*Embalagem auto explicativa.
*Fácil instalação, versátil, adaptável a qualquer
lavatório (com ladrão)
*Não é necessário uso de ferramenta para a
instalação. 
</t>
  </si>
  <si>
    <t>Coletar ou manter confinado os fluidos provenientes da lavação em cuba de lavatório e tanque e destinar até o sifão de escoamento, conforme a necessidade do usuário.</t>
  </si>
  <si>
    <t xml:space="preserve">*ABNT NBR 15423 
</t>
  </si>
  <si>
    <t xml:space="preserve">*Embalagem autoexplicativa
*Fácil instalação, versátil, adaptável a qualquer
pia (sem ladrão).
* Não é necessário uso de ferramenta para a
instalação. 
</t>
  </si>
  <si>
    <t>Coletar ou manter confinado os fluidos provenientes da lavação em cuba de tanque e destinar até o sifão de escoamento, conforme a necessidade do usuário.</t>
  </si>
  <si>
    <t xml:space="preserve">*ABNT NBR 15423
</t>
  </si>
  <si>
    <t xml:space="preserve">*Embalagem autoexplicativa. 
*Fácil instalação, versátil, adaptável a qualquer
tanque (sem ladrão).
* Não é necessário uso de ferramenta para a
Instalação.
</t>
  </si>
  <si>
    <t>Coletar ou manter confinado os fluidos provenientes da lavação em tanques de concreto e destinar até o sifão de escoamento, conforme a necessidade do usuário.</t>
  </si>
  <si>
    <t>Utilizado em instalação de água fria residencial, comercial e industrial, especialmente em tanque de concreto.</t>
  </si>
  <si>
    <t xml:space="preserve">*ABNT NBR 15423 
</t>
  </si>
  <si>
    <t xml:space="preserve">* Embalagem autoexplicativa. 
*Fácil instalação, versátil, adaptável apenas em
tanque de concreto.
* Não é necessário uso de ferramenta para a
Instalação
</t>
  </si>
  <si>
    <t>Adaptar a saída da válvula de escoamento de pias, lavatórios e tanques para a conexão com mangueiras flexíveis</t>
  </si>
  <si>
    <t xml:space="preserve">*Material: Corpo é PP (polipropileno).
*Processo: Injeção.
* Cor: Branco.
*Temperatura: resistente à temperatura de até
60°C. 
</t>
  </si>
  <si>
    <t xml:space="preserve">*Embalagem autoexplicativa.
*Fácil instalação, versátil, adaptável as válvulas
V1, V5 e V7.
* Não é necessário uso de ferramenta para a
Instalação
</t>
  </si>
  <si>
    <t>Coletar os fluidos provenientes da lavação e destinar até a válvula de escoamento que faz a ligação do lavatório até o ponto de saída para a rede de esgoto. Podendo ter a característica de manter a água confinada por um determinado período de tempo, conforme a necessidade do usuário.</t>
  </si>
  <si>
    <t xml:space="preserve">* Material: PP (polipropileno). 
*Processo: Injeção. 
*Cor: Branco. 
*Capacidade: 4,3 litros.
*Componentes: Lavatório, tampa para válvula
⅞, válvula ⅞ acoplada, bucha n°6 e parafuso
fenda combinada n°6.
</t>
  </si>
  <si>
    <t>*ABNT NBR 16728</t>
  </si>
  <si>
    <t xml:space="preserve">* Embalagem autoexplicativa.
*Fácil instalação, versátil, possibilita a
instalação de duas opções de torneira,
saboneteira acoplada
*Acompanha kit instalação e válvula integrada
ao produto.
</t>
  </si>
  <si>
    <t>*</t>
  </si>
  <si>
    <t>Projetado para ligar a válvula de escoamento ao ponto de esgoto mesmo estando desalinhado do eixo simétrico da válvula.</t>
  </si>
  <si>
    <t>Utilizada em sistema de esgoto residencial, comercial e industrial de esgoto, podendo ser instalado em locais como: cuba de pia, lavatório e tanque, etc, sendo duplo ou simples.</t>
  </si>
  <si>
    <t xml:space="preserve">*ABNT NBR 14162 
*ABNT NBR 8133
</t>
  </si>
  <si>
    <t xml:space="preserve">*Embalagem autoexplicativa. 
*Fácil instalação, versátil, adaptável a qualquer
válvula. 
*Resistente a corrosão, as solicitações de
esforços mecânicos e altas temperaturas. 
</t>
  </si>
  <si>
    <t>Permitir a passagem de água em apenas uma direção e assim proporcionar um tubo de sucção repleto de água. Sobre a bomba, ela tem a função de evitar a cavitação (ar na bomba) além de restringir a presença de resíduos sólidos no seu rotor.</t>
  </si>
  <si>
    <t>Utilizada em instalação hidráulica residencial, comercial e industrial de forma submersa. Por exemplo: Cisternas, reservatórios, poços ou qualquer outra tubulação vertical de sucção de água fria potável.</t>
  </si>
  <si>
    <t>*Matéria Prima: PVC (Policloreto de Vinila)
*Processo: Injeção
*Bloqueio por obturador
*Temperatura Nominal: 25 ͦC
*Pressão Nominal: 7,5 kgf/cm²</t>
  </si>
  <si>
    <t xml:space="preserve">*ABNT NBR ISO7
*ABNT NBR 5626
</t>
  </si>
  <si>
    <t>*Não utiliza anel de vedação, obturador.
* Fechamento hermético e unidirecional.
*Fácil manutenção, crivo roscável.</t>
  </si>
  <si>
    <t>Utilizado para distribuição e ajuste de pressão no jato e obstrução da saída de água</t>
  </si>
  <si>
    <t>Utilizado em mangueiras de jardim ½ para a regulagem do jato de água.</t>
  </si>
  <si>
    <t>Não tem</t>
  </si>
  <si>
    <t>* Instale o produto manualmente,
ferramentas podem danificá-lo.
* Não armazenar em locais acima de 30°C
por longos períodos.
*Nas operações de carga e descarga,
evitar impactos que poderão danificar o
Produto.
* Em caminhões baú a temperatura interna
não deverá ser superior a 60ºC para não
comprometer a qualidade do produto.</t>
  </si>
  <si>
    <t>Conduzir fios e cabos elétricos de baixa tensão.</t>
  </si>
  <si>
    <t>Utilizada em instalação elétrica residencial, comercial e industrial de forma embutida ou enterrada, para aplicações de grandes esforços. Por exemplo: canteiros de obra, ramais de entrada (medidor de energia entrada e saída).</t>
  </si>
  <si>
    <t>*Material: PVC antichama (Policloreto de Vinila
com aditivos não propagante de chama).
*Processo: Extrusão
*Cor: Negro.
*Padrão de Rosca: ISO-7
*Classe: Pesada, 1250 N/5cm.</t>
  </si>
  <si>
    <t xml:space="preserve">*ABNT NBR 5431
*ABNT NBR 60670
</t>
  </si>
  <si>
    <t xml:space="preserve">*Fácil manuseio, produto leve e prático.
*Resistente a corrosão, não enferruja.
*Auto extinguível, não propaga chama.
*Elevada resistência mecânica.
</t>
  </si>
  <si>
    <t>Conduzir e direcionar fios e cabos elétricos de baixa tensão.</t>
  </si>
  <si>
    <t>*Material: PVC antichama (Policloreto de Vinila
com aditivos não propagante de chama).
*Material: PVC antichama (Policloreto de Vinila
com aditivos não propagante de chama).
*Cor: Negro.
*Padrão de Rosca: ISO-7
*Classe: Pesada, 1250 N/5cm.</t>
  </si>
  <si>
    <t xml:space="preserve">*ABNT NBR 5431
*ABNT NBR 60670
</t>
  </si>
  <si>
    <t xml:space="preserve">*Fácil manuseio, produto leve e prático.
*Resistente a corrosão, não enferruja.
*Auto extinguível, não propaga chama
*Elevada resistência mecânica
</t>
  </si>
  <si>
    <t>Conduzir e direcionar fios e cabos elétricos de baixa tensão</t>
  </si>
  <si>
    <t xml:space="preserve">*.Fácil manuseio, produto leve e prático.
*Resistente a corrosão, não enferruja.
*Auto extinguível, não propaga chama.
*Elevada resistência mecânica.
</t>
  </si>
  <si>
    <t xml:space="preserve">* ABNT NBR 5431
*ABNT NBR 60670
</t>
  </si>
  <si>
    <t xml:space="preserve">*Fácil manuseio, produto leve e prático.
*Resistente a corrosão, não enferruja.
*Auto extinguível, não propaga chama.
*Elevada resistência mecânica.
</t>
  </si>
  <si>
    <t>Unir eletrodutos e guiar fios e cabos elétricos de baixa tensão.</t>
  </si>
  <si>
    <t>*Material: PVC antichama (Policloreto de Vinila
com aditivos não propagante de chama).
*Processo: Injeção.
*Cor: Negro.
*Padrão de Rosca: ISO-7
*Classe: Pesada, 1250 N/5cm.</t>
  </si>
  <si>
    <t xml:space="preserve">*Fácil manuseio, produto leve e prático.
*Resistente a corrosão, não enferruja.
*Auto extinguível, não propaga chama.
*Elevada resistência mecânica
</t>
  </si>
  <si>
    <t>*Material: PVC antichama (Policloreto de Vinila
com aditivos não propagante de chama).
*Processo: Extrusão.
*Comprimento: 3 metros.
*Cor: Negro.
*Conexão: Ponta e Bolsa.
*Classe: Pesada, 1250 N/5cm</t>
  </si>
  <si>
    <t xml:space="preserve">*Fácil manuseio, produto leve e prático.
*Resistente a corrosão, não enferruja.
*Auto extinguível, não propaga chama.
*Elevada resistência mecânica.
</t>
  </si>
  <si>
    <t xml:space="preserve">*ABNT NBR 5431
*ABNT NBR 60670
</t>
  </si>
  <si>
    <t xml:space="preserve">*Fácil manuseio, produto leve e prático.
*Resistente a corrosão, não enferruja.
*Auto extinguível, não propaga chama.
*Elevada resistência mecânica
</t>
  </si>
  <si>
    <t>*Material: PVC antichama (Policloreto de Vinila
com aditivos não propagante de chama).
*Processo: Injeção.
*Cor: Negro.
*Conexão: Bolsa e Bolsa.
*Classe: Pesada, 1250 N/5cm</t>
  </si>
  <si>
    <t xml:space="preserve">* ABNT NBR 5431
*ABNT NBR 60670
</t>
  </si>
  <si>
    <t>Produzido em PVC antichamas o Eletroduto Flexível Corrugado Leve é produzido de acordo com as normas de referência - NBR 15465 e NBR 5410 - trazendo mais segurança e confiabilidade para a obra.</t>
  </si>
  <si>
    <t>Proteção mecânica para fios e cabos elétricos nas instalações de baixa tensão.</t>
  </si>
  <si>
    <t xml:space="preserve">*Cor: Amarela
*Bitolas: 20mm,25mm e 32mm
*Grau de Proteção: IP40
*Bobinas: 10m, 25m e 50m.
</t>
  </si>
  <si>
    <t xml:space="preserve">*NBR 15465
*NBR 5410.
</t>
  </si>
  <si>
    <t xml:space="preserve">*Não propaga chama
*Maior resistência química
*Bobinas de 10m que facilitam o
transporte e o uso para pequenos
Reparos.
</t>
  </si>
  <si>
    <t>Produzido em PVC antichamas o Eletroduto Flexível Corrugado Reforçado é produzido de acordo com as normas de referência - NBR 15465 e NBR 5410 - trazendo mais segurança e confiabilidade para a obra.</t>
  </si>
  <si>
    <t xml:space="preserve">*Cor: Laranja;
*Bitolas: 20mm,25mm e 32mm;
*Grau de Proteção: IP40.
*Bobinas: 25m e 50m.
</t>
  </si>
  <si>
    <t xml:space="preserve">*NBR 15465
*NBR 5410.
</t>
  </si>
  <si>
    <t xml:space="preserve">*Não propaga chama;
*Maior resistência química;
*Superfície interna lisa o que facilita a
passagem dos cabos elétricos.
</t>
  </si>
  <si>
    <t>Produzido em PVC antichamas a Luva de Pressão para Eletroduto Flexível Corrugado é produzida de acordo com as normas de referência - NBR 15465 e NBR 5410 - trazendo mais segurança e confiabilidade para a obra</t>
  </si>
  <si>
    <t>Realizar a união perfeita entre dois trechos do Eletroduto PVC Corrugado Flexível. Evitando o entupimento do Eletroduto Corrugado por massa ou detritos da obra.</t>
  </si>
  <si>
    <t xml:space="preserve">*Cor: Amarelo;
*Bitolas: 20mm,25mm e 32mm;
* Grau de Proteção: IP40.
</t>
  </si>
  <si>
    <t xml:space="preserve">*NBR 15465
*NBR 5410.
</t>
  </si>
  <si>
    <t>*Gera maior economia com o aproveitamento
de trechos de Eletroduto Flexível que foram
cortados;
*Maior resistência química;
* Superfície interna lisa o que facilita a
passagem dos cabos elétricos;
*Trava 100% segura.</t>
  </si>
  <si>
    <t>Produzido em PVC antichamas a Luva de Pressão Reforçada para Eletroduto Flexível Corrugado Reforçado é produzida de acordo com as normas de referência - NBR 15465 e NBR 5410 - trazendo mais segurança e confiabilidade para a obra.</t>
  </si>
  <si>
    <t>Realizar a união perfeita entre dois trechos do Eletroduto PVC Corrugado Flexível Reforçado. Evitando o entupimento do Eletroduto Corrugado por massa ou detritos da obra.</t>
  </si>
  <si>
    <t xml:space="preserve">*Cor: Laranja;
*Bitolas: 20mm,25mm e 32mm;
*Grau de Proteção: IP40.
</t>
  </si>
  <si>
    <t xml:space="preserve">*NBR 15465
*NBR 5410.
</t>
  </si>
  <si>
    <t>*Gera maior economia com o aproveitamento
de trechos de Eletroduto Flexível que foram
cortados;
*Maior resistência química;
*Superfície interna lisa o que facilita a
passagem dos cabos elétricos;
*Trava 100% segura.</t>
  </si>
  <si>
    <t>Conduzir os fios ou cabos elétricos até o centro da peça para efetuar a ligação entre a tecla e o plafon, bocal, spot, etc</t>
  </si>
  <si>
    <t>Utilizado em instalações elétricas residenciais, prediais, comerciais de baixa tensão e devem ser direcionados a aplicações conforme sua classe de resistência mecânica. Exemplo: abrigar cabos elétricos para realizar a ligação na instalação de iluminação em lajes.</t>
  </si>
  <si>
    <t xml:space="preserve">* ABNT NBR 15465
*ABNT NBR 5410
*ABNT NBR 5431
*ABNT NBR 6067
</t>
  </si>
  <si>
    <t>* Elevada resistência química e não sofrem
corrosão.
*Junta por simples encaixe para eletroduto
flexível
*Entradas ½ DN20, ¾ DN25 e 1” DN32 na
caixa de interligação.
* Possui uma tampa no fundo que pode ser
retirada para montagem de prolongador
* Não propaga chamas.</t>
  </si>
  <si>
    <t>Produzido em PVC antichamas a Caixa de Luz Centro Laje é produzida de acordo com as normas de referência - NBR 15465 e NBR 5410 - trazendo mais segurança e confiabilidade para a obra.</t>
  </si>
  <si>
    <t>Prolongar a caixa que vai conduzir os fios ou cabos elétricos até o centro da peça para efetuar a ligação entre a tecla e o plafon, bocal, spot, etc.</t>
  </si>
  <si>
    <t>Utilizado para aumentar a profundidade da caixa.</t>
  </si>
  <si>
    <t>* PVC-U (Policloreto de Vinila Rígido)
*Processo: Injeção
*Cor: Amarelo
*Instalações elétricas de baixa tensão,
alimentadas sob uma tensão nominal igual
ou inferior a 1000V em corrente alternada ou
1500V em corrente contínua, telefonia dados,
garantindo segurança e qualidade à obra.
*Caixa octogonal de classe leve indicada para
aplicações em paredes de alvenaria.
*O classe média 320N/5cm.</t>
  </si>
  <si>
    <t xml:space="preserve">* ABNT NBR 15465
*ABNT NBR 5410
*ABNT NBR 5431
</t>
  </si>
  <si>
    <t xml:space="preserve">* Elevada resistência química e não sofrem
corrosão
*Junta por simples encaixe para eletroduto
flexível.
*Entradas ½ DN20, ¾ DN25 e 1” DN32 na
caixa de interligação.
*Não propaga chamas.
</t>
  </si>
  <si>
    <t>Conduzir os fios ou cabos elétricos e abrigá-los no centro da peça para efetuar a conexão das tomadas, interruptores, sensores etc.</t>
  </si>
  <si>
    <t>Utilizado em paredes de alvenaria ou parede de gesso (Drywall).</t>
  </si>
  <si>
    <t>* PVC-U (Policloreto de Vinila Rígido)
*Processo: Injeção
*Cor: Amarelo
* Instalações elétricas de baixa tensão,
alimentadas sob uma tensão nominal igual
ou inferior a 1000V em corrente alternada ou
1500V em corrente contínua, telefonia dados,
garantindo segurança e qualidade à obra.
*Caixa de classe leve indicada para
aplicações em paredes de alvenaria.
*O classe média 320N/5cm.</t>
  </si>
  <si>
    <t xml:space="preserve">* ABNT NBR 15465
* ABNT NBR 5410
*ABNT NBR 5431
</t>
  </si>
  <si>
    <t>* Elevada resistência química e não sofrem
corrosão.
*Junta por simples encaixe para eletroduto
flexível.
*Entradas ½ DN20, ¾ DN25 e 1” DN32 na
caixa de interligação
* Não propaga chamas.
* Ocupa menor espaço em estoque,
produto empilhável.
*Maior espaço interno, facilitando o
processo de instalação dos componentes
elétricos.</t>
  </si>
  <si>
    <t>Produzido em PVC antichamas a Caixa de Proteção com Tomada é produzida em PVC de acordo com as normas de referência, trazendo mais segurança e confiabilidade para a obra</t>
  </si>
  <si>
    <t xml:space="preserve">*Cor: Branca
* Material: PVC Antichama;
* Tamanhos: 86x65x154mm;
*Fabricação: PVC antichama;
*Modelo: Tomada e disjuntor conjugados
(disjuntor não incluído).
</t>
  </si>
  <si>
    <t xml:space="preserve">*ABNT NBR 5410 
* ABNT NBR IEC 15465
</t>
  </si>
  <si>
    <t>*Feito em PVC antichama;
*Regulagem do trilho;
* Disjuntor DIM e NEMA
*Maior espaço interno;
*Tomada na versão 2P+T;
*Comporta 1 disjuntor bipolar ou 2 monopolar;
*Grau de proteção IP40;
* Tomada e disjuntor conjugados;
*Fendas que facilitam a abertura;
*Comporta lateral móvel;
*Entrada para canaleta e eletroduto de ¾”.</t>
  </si>
  <si>
    <t>Produzido em PVC antichamas a Caixa de Passagem Elétrica Krona é produzida em PVC de acordo com as normas de referência, trazendo mais segurança e confiabilidade para a obra.</t>
  </si>
  <si>
    <t>As Caixas de Passagem Elétrica Krona são destinadas a abrigar pontos de entrada e/ou saída de condutores da tubulação, bem como suas emendas e junções, de modo a facilitar a instalação e inspeções;</t>
  </si>
  <si>
    <t xml:space="preserve">*Cor: Branca;
*Material: PVC Antichama;
* Tamanhos: 25x20, 30x20, 30x35, 30x50cm;
*Fabricação: PVC antichama.
</t>
  </si>
  <si>
    <t xml:space="preserve">*ABNT NBR 5410
*ABNT NBR IEC 62208 
* ABNT NBR IEC 60670-1 
</t>
  </si>
  <si>
    <t>*Feita em PVC antichama.
*Maior número de entradas;
* Abertura de entrada de até 45mm;
*Abertura de entrada de até 45mm;
* Grau de proteção IP40;
* Tampa com fixação por parafusos;</t>
  </si>
  <si>
    <t>Efetuar a redução no diâmetro do tubo, através de sua ponta e bolsa soldável, para assim garantir a vazão conforme projeto.</t>
  </si>
  <si>
    <t>Utilizada em instalação hidráulica residencial, comercial e industrial nas tubulações de água quente ou trechos de água fria com alta pressão, Por exemplo: sub-ramais de água quente, derivações de prumadas de água fria.</t>
  </si>
  <si>
    <t>*Material: CPVC (Policloreto de Vinila Clorado).
*Processo: Injeção 
*Cor: Bege 
*Conexão: Ponta / Bolsa 
*Temperatura x Pressão 
* 20 ͦC x 24 kgf/cm² 
*70 ͦC x 9 kgf/cm²</t>
  </si>
  <si>
    <t xml:space="preserve">*ABNT NBR 15884 
*ABNT NBR 562
</t>
  </si>
  <si>
    <t>*Sem efeito nocivo ao organismo, atóxico. 
*Baixa condutividade térmica, isolante
*Baixa condutividade térmica, isolante
*Superfície interna lisa, não incrusta.</t>
  </si>
  <si>
    <t>Efetuar o bloqueio da passagem do fluido, através de sua bolsa soldável e assim garantir a estanqueidade nos pontos de projeto.</t>
  </si>
  <si>
    <t>Utilizada em instalação hidráulica residencial, comercial e industrial nas tubulações de água quente ou trechos de água fria com alta pressão, Por exemplo: No final de ramais de água quente, no término de derivações de prumadas de água fria.</t>
  </si>
  <si>
    <t>*Material: CPVC (Policloreto de Vinila Clorado).
*Processo: Injeção 
* Cor: Bege 
*Conexão: Ponta / Bolsa 
*Temperatura x Pressão 
* 20 ͦC x 24 kgf/cm² 
*70 ͦC x 9 kgf/cm²</t>
  </si>
  <si>
    <t xml:space="preserve">*ABNT NBR 15884
*ABNT NBR 5626 
</t>
  </si>
  <si>
    <t>*Sem efeito nocivo ao organismo, atóxico. 
*Baixa condutividade térmica, isolante. 
* Resistente a corrosão, não enferruja. 
*Superfície interna lisa, não incrusta.</t>
  </si>
  <si>
    <t>Efetuar a transição do CPVC para outros matérias através de um inserto metálico com rosca macho que garante a estanqueidade.</t>
  </si>
  <si>
    <t>Utilizada em instalação hidráulica residencial, comercial e industrial nas tubulações de água quente ou trechos de água fria com alta pressão, Por exemplo: engate em boilers de água quente, registro de linha de prumada de água fria.</t>
  </si>
  <si>
    <t>*Material: CPVC (Policloreto de Vinila Clorado).
*Processo: Injeção. 
* Cor: Bege 
*Rosca Macho: NBR ISO-7 Cônica 
*Temperatura x Pressão:
o 20 ͦC x 24 kgf/cm².
o 70 ͦC x 9 kgf/cm²</t>
  </si>
  <si>
    <t xml:space="preserve">*ABNT NBR 15884 
* ABNT NBR 5626 
</t>
  </si>
  <si>
    <t>Efetuar a mudança de direção do fluido com ângulo 45 ͦ, através de suas bolsas soldáveis, garantindo estanqueidade na conexão.</t>
  </si>
  <si>
    <t>*Material: CPVC (Policloreto de Vinila Clorado).
*Processo: Injeção. 
* Cor: Bege 
*Conexão: Bolsa / Bolsa 
*Temperatura x Pressão 
*20 ͦC x 24 kgf/cm². 
*70 ͦC x 9 kgf/cm²</t>
  </si>
  <si>
    <t xml:space="preserve">*ABNT NBR 15884 
*ABNT NBR 5626 
</t>
  </si>
  <si>
    <t xml:space="preserve">*Sem efeito nocivo ao organismo, atóxico. 
*Baixa condutividade térmica, isolante. 
* Resistente a corrosão, não enferruja. 
*Superfície interna lisa, não incrusta. 
</t>
  </si>
  <si>
    <t>Efetuar a mudança de direção do fluido com ângulo 90 ͦ, através de suas bolsas soldáveis, garantindo estanqueidade na conexão.</t>
  </si>
  <si>
    <t xml:space="preserve">*Material: CPVC (Policloreto de Vinila Clorado).
* Processo: Injeção. 
* Cor: Bege 
*Conexão: Bolsa / Bolsa 
*Temperatura x Pressão 
*20 ͦC x 24 kgf/cm². 
* 70 ͦC x 9 kgf/cm² 
</t>
  </si>
  <si>
    <t xml:space="preserve">*ABNT NBR 15884 
* ABNT NBR 5626
</t>
  </si>
  <si>
    <t xml:space="preserve">*Sem efeito nocivo ao organismo, atóxico. 
* Baixa condutividade térmica, isolante
*Resistente a corrosão, não enferruja. 
*Superfície interna lisa, não incrusta. 
</t>
  </si>
  <si>
    <t>Efetuar a transição do CPVC para outros matérias através de um inserto metálico com rosca fêmea que garante a estanqueidade.</t>
  </si>
  <si>
    <t>Utilizada em instalação hidráulica residencial, comercial e industrial nas tubulações de água quente ou trechos de água fria com alta pressão, Por exemplo: engate em boilers de água quente, registro de misturadores de água.</t>
  </si>
  <si>
    <t>*Material: CPVC (Policloreto de Vinila Clorado).
*Processo: Injeção. 
* Cor: Bege 
*Rosca Fêmea: NBR ISO-7 / NBR 8133
*Temperatura x Pressão:
o 20 ͦC x 24 kgf/cm².
o 70 ͦC x 9 kgf/cm²</t>
  </si>
  <si>
    <t xml:space="preserve">*ABNT NBR 15884 
*ABNT NBR 5626 
</t>
  </si>
  <si>
    <t>Reparar ramais e sub-ramais de CPVC, instalados de forma embutida. A Estanqueidade é garantida pelos anéis deslizantes.</t>
  </si>
  <si>
    <t>*Material: CPVC (Policloreto de Vinila Clorado).
*Processo: Injeção 
*Cor: Bege 
* Conexão: Bolsa / Bolsa 
*Temperatura x Pressão:
o 20 ͦC x 24 kgf/cm²
o 70 ͦC x 9 kgf/cm²</t>
  </si>
  <si>
    <t xml:space="preserve">*ABNT NBR 15884 
*ABNT NBR 5626 
</t>
  </si>
  <si>
    <t xml:space="preserve">*Sem efeito nocivo ao organismo, atóxico. 
*Baixa condutividade térmica, isolante. 
*Resistente a corrosão, não enferruja. 
*Superfície interna lisa, não incrusta. 
</t>
  </si>
  <si>
    <t>Efetuar a emenda entre tubos, através de suas bolsas soldáveis, para garantir a estanqueidade e conformidade do trecho.</t>
  </si>
  <si>
    <t>Utilizada em instalação hidráulica residencial, comercial e industrial na geração de água quente ou sistemas de água fria com alta pressão, Por exemplo: Ramais de água quente, linhas de prumada de água fria</t>
  </si>
  <si>
    <t xml:space="preserve">*ABNT NBR 15884 
* ABNT NBR 5626 
</t>
  </si>
  <si>
    <t>*Sem efeito nocivo ao organismo, atóxico. 
*Baixa condutividade térmica, isolante. 
*Resistente a corrosão, não enferruja.
* Superfície interna lisa, não incrusta.</t>
  </si>
  <si>
    <t>Efetuar a transição do CPVC para o PVC soldável através de bolsas em CPVC que garantem a estanqueidade da transição.</t>
  </si>
  <si>
    <t>Utilizada em instalação hidráulica residencial, comercial e industrial na geração de água quente ou sistemas de água fria com alta pressão, Por exemplo: Misturadores de água quente e fria, linhas de brumada de água fria.</t>
  </si>
  <si>
    <t>*Material: CPVC (Policloreto de Vinila Clorado).
*Processo: Injeção. 
*Cor: Bege 
*Conexão: Bolsa / Bolsa 
*Temperatura x Pressão 
*20 ͦC x 24 kgf/cm². 
*70 ͦC x 9 kgf/cm²</t>
  </si>
  <si>
    <t xml:space="preserve">* ABNT NBR 15884 
*ABNT NBR 5626 
</t>
  </si>
  <si>
    <t xml:space="preserve">*ABNT NBR 15884 
*ABNT NBR 5626 
</t>
  </si>
  <si>
    <t>Efetuar a ramificação de tubulações sem alterar o diâmetro, para garantir a distribuição de pontos conforme projeto.</t>
  </si>
  <si>
    <t>*Material: CPVC (Policloreto de Vinila Clorado).
*Processo: Injeção 
*Cor: Bege 
*Conexão: Bolsa / Bolsa / Bolsa 
*Temperatura x Pressão:
o 20 ͦC x 24 kgf/cm²
o 70 ͦC x 9 kgf/cm²</t>
  </si>
  <si>
    <t xml:space="preserve">*Sem efeito nocivo ao organismo, atóxico.
*Baixa condutividade térmica, isolante.
*Resistente a corrosão, não enferruja. 
*Superfície interna lisa, não incrusta.
</t>
  </si>
  <si>
    <t>Promover a mistura de água quente e fria por meio dos registros instalados em seus insertos metálicos com rosca fêmea.</t>
  </si>
  <si>
    <t>Utilizada em instalação hidráulica residencial, comercial e industrial em pontos de mistura dos sistemas de água quente e água fria. Por exemplo: Chuveiros, linhas de recirculação com controle de temperatura, misturadores, pias.</t>
  </si>
  <si>
    <t xml:space="preserve">*Material: CPVC (Policloreto de Vinila Clorado).
* Processo: Injeção. 
*Cor: Bege
*Rosca Fêmea: NBR ISO-7 / NBR 8133 
*Temperatura x Pressão:
o 20 ͦC x 24 kgf/cm².
o 70 ͦC x 9 kgf/cm² 
</t>
  </si>
  <si>
    <t>*ABNT NBR 15884 
*ABNT NBR 5626</t>
  </si>
  <si>
    <t xml:space="preserve">*Sem efeito nocivo ao organismo, atóxico. 
*Sem efeito nocivo ao organismo, atóxico. 
* Resistente a corrosão, não enferruja
*Superfície interna lisa, não incrusta. 
</t>
  </si>
  <si>
    <t xml:space="preserve">*ABNT NBR 15884 
*ABNT NBR 5626 
</t>
  </si>
  <si>
    <t>Efetuar a ramificação de tubulações reduzindo o diâmetro, para garantir a vazão nos pontos conforme projeto.</t>
  </si>
  <si>
    <t xml:space="preserve">*Material: CPVC (Policloreto de Vinila Clorado).
* Processo: Injeção 
*Cor: Bege 
*Conexão: Bolsa / Bolsa / Bolsa 
*Temperatura x Pressão:
o 20 ͦC x 24 kgf/cm²
o 70 ͦC x 9 kgf/cm² 
</t>
  </si>
  <si>
    <t xml:space="preserve">*ABNT NBR 15884 
*ABNT NBR 5626 
</t>
  </si>
  <si>
    <t xml:space="preserve">*Sem efeito nocivo ao organismo, atóxico. 
*Baixa condutividade térmica, isolante. 
*Resistente a corrosão, não enferruja. 
*Superfície interna lisa, não incrusta. 
</t>
  </si>
  <si>
    <t>Utilizada em instalação hidráulica residencial, comercial e industrial nas tubulações de água quente ou trechos de água fria com alta pressão, Por exemplo: sub-ramais de água quente, trechos de controle e aferição pressostática.</t>
  </si>
  <si>
    <t xml:space="preserve">*Material: CPVC (Policloreto de Vinila Clorado).
*Processo: Injeção. 
* Cor: Bege 
*Rosca Fêmea: NBR ISO-7 / NBR 8133 
*Temperatura x Pressão:
o 20 ͦC x 24 kgf/cm².
o 70 ͦC x 9 kgf/cm² 
</t>
  </si>
  <si>
    <t>Promover a mistura de água quente e fria e permitir a instalação direta de registros em CPVC em suas bolsas fêmeas.</t>
  </si>
  <si>
    <t xml:space="preserve">* Material: CPVC (Policloreto de Vinila Clorado).
*Processo: Injeção.
*Cor: Bege 
*Conexão: Ponta / Bolsa / Ponta 
*Temperatura x Pressão
*20 ͦC x 24 kgf/cm². 
*70 ͦC x 9 kgf/cm² 
</t>
  </si>
  <si>
    <t xml:space="preserve">* ABNT NBR 15884 
*ABNT NBR 5626 
</t>
  </si>
  <si>
    <t>Utilizada em instalação hidráulica residencial, comercial e industrial na geração de água quente ou sistemas de água fria com alta pressão, Por exemplo: Ramais de água quente, linhas de prumada de água fria, casa de maquinas, boilers.</t>
  </si>
  <si>
    <t xml:space="preserve">*Material: CPVC (Policloreto de Vinila Clorado).
*Processo: Injeção 
* Cor: Bege 
*Conexão: Bolsa / Bolsa 
*Temperatura x Pressão:
o 20 ͦC x 24 kgf/cm²
o 70 ͦC x 9 kgf/cm² 
</t>
  </si>
  <si>
    <t xml:space="preserve">*ABNT NBR 15884 
*ABNT NBR 5626 
</t>
  </si>
  <si>
    <t xml:space="preserve">*Sem efeito nocivo ao organismo, atóxico. 
* Baixa condutividade térmica, isolante. 
* Resistente a corrosão, não enferruja. 
*Superfície interna lisa, não incrusta. 
</t>
  </si>
  <si>
    <t>Efetuar a mudança de direção do fluido com ângulo 90 ͦ, através de uma curvatura suave, para gerar uma menor perda de carga.</t>
  </si>
  <si>
    <t>*Material: CPVC (Policloreto de Vinila Clorado).
*Processo: Extrusão / Conformação.
* Cor: Bege 
*Conexão: Bolsa / Bolsa 
*Temperatura x Pressão 
*20 ͦC x 24 kgf/cm². 
*70 ͦC x 9 kgf/cm²</t>
  </si>
  <si>
    <t xml:space="preserve">*ABNT NBR 15884 
*ABNT NBR 5626 
</t>
  </si>
  <si>
    <t xml:space="preserve">*Sem efeito nocivo ao organismo, atóxico. 
*Baixa condutividade térmica, isolante.
* Resistente a corrosão, não enferruja. 
*Superfície interna lisa, não incrusta. 
</t>
  </si>
  <si>
    <t>Utilizada em instalação hidráulica residencial, comercial e industrial na geração de água quente ou sistemas de água fria com alta pressão, Por exemplo: Ramais de água quente, linhas de brumada de água fria.</t>
  </si>
  <si>
    <t>*Material: CPVC (Policloreto de Vinila Clorado).
*Processo: Injeção 
* Cor: Bege 
*Conexão: Bolsa / Bolsa 
*Temperatura x Pressão:
o 20 ͦC x 24 kgf/cm²
o 70 ͦC x 9 kgf/cm²</t>
  </si>
  <si>
    <t xml:space="preserve">*ABNT NBR 15884 
*ABNT NBR 5626 
</t>
  </si>
  <si>
    <t xml:space="preserve">* Sem efeito nocivo ao organismo, atóxico. 
*Baixa condutividade térmica, isolante. 
* Resistente a corrosão, não enferruja
*Superfície interna lisa, não incrusta. 
</t>
  </si>
  <si>
    <t xml:space="preserve">* Sem efeito nocivo ao organismo, atóxico. 
*Baixa condutividade térmica, isolante. 
* Resistente a corrosão, não enferruja
*Superfície interna lisa, não incrusta. 
</t>
  </si>
  <si>
    <t>Permiti a mudança do ângulo da tubulação horizontal, a uma declividade apropriada, sem que seja necessário curvar o tubo junto à bolsa.</t>
  </si>
  <si>
    <t>Nos pés-de-coluna, onde ocorrer impactos provocados pela queda de resíduos sólidos, normalmente lançados nos esgotos, devem ser utilizadas conexões reforçadas.</t>
  </si>
  <si>
    <t xml:space="preserve">* Material: PVC (Policloreto de Vinila). 
*Processo: Injeção. 
*Cor: Cinza claro 
*Escoamento por gravidade, não submetida a
pressão e ventilação. 
* Temperatura: 75°C 
</t>
  </si>
  <si>
    <t xml:space="preserve">* ABNT NBR 5688 
* ABNT NBR 5681
</t>
  </si>
  <si>
    <t>*Resistência a esforços mecânicos e à
temperatura.
* Facilidade de instalação:
*Simples execução das juntas, leveza dos
materiais. 
*Estanqueidade em junta elástica. 
*Bolsa dupla ação – junta elástica e soldável.</t>
  </si>
  <si>
    <t xml:space="preserve">*ABNT NBR 8160
*ABNT NBR 7367
*ABNT NBR 5688
</t>
  </si>
  <si>
    <t>*Facilidade de instalação.
*Leve.
*Resistente.
*Segura .
*Estanque.
* Ajustável.
*Racional.</t>
  </si>
  <si>
    <t>* Material: PVC rígido (Policloreto de Vinila)
*Processo Injeção.
*Cor: Cinza.
*Capacidade: não armazena água, pois seu
fundo possui declividade para dar vazão
aos líquidos.
*Tampa para tráfego: 650kg.
* Formato Tampa: Quadrado para facilitar a
instalação de acabamentos.
*3 entradas em bolsa soldável bitola de
100mm e 1 saída em ponta 100mm.
*Tamanho (diâmetro): 300mm
*Temperatura: 45°</t>
  </si>
  <si>
    <t xml:space="preserve">* ABNT NBR 8160
*ABNT NBR 7367
*ABNT NBR 5688
</t>
  </si>
  <si>
    <t>* Material: PVC rígido (Policloreto de Vinila)
*Processo Injeção.
*Cor: Cinza.
*Capacidade: armazena aprox. 7,5l no
fundo da caixa.
*Grelha para tráfego: 500kg.
* Formato Tampa: Quadrado para facilitar
a instalação de acabamentos,
acompanha tela anti-mosquito.
*3 entradas em bolsa soldável bitola de
100mm e 1 saída em ponta 100mm.
*Tamanho (diâmetro): 300mm
*Temperatura: 45°</t>
  </si>
  <si>
    <t xml:space="preserve">*ABNT NBR 10844
*ABNT NBR 5688
</t>
  </si>
  <si>
    <t>* Facilidade de instalação.
*Leve.
*Resistente.
*Segura .
*Estanque.
*Ajustável.
*Protegida.</t>
  </si>
  <si>
    <t>* Material: PVC rígido (Policloreto de Vinila)
*Processo Injeção.
*Cor: Cinza.
*Capacidade: não armazena água, pois seu
fundo possui declividade para dar vazão
aos líquidos.
*Tampa para tráfego: 500kg.
* Formato Tampa: Quadrado para facilitar
a instalação de acabamentos.
*3 entradas em bolsa soldável bitola de
100mm e 1 saída em ponta 100mm.
*Tamanho (diâmetro): 300mm
*Temperatura: 45°</t>
  </si>
  <si>
    <t xml:space="preserve">* ABNT NBR 10844
*ABNT NBR 5688
</t>
  </si>
  <si>
    <t>* Facilidade de instalação.
*Leve.
*Resistente.
*Segura .
*Estanque.
* Ajustável.
*Protegida.</t>
  </si>
  <si>
    <t>*ABNT NBR 10844
*ABNT NBR 5688</t>
  </si>
  <si>
    <t>Transpõe uma instalação em determinado ponto que que a mesma cruza com outra instalação.</t>
  </si>
  <si>
    <t xml:space="preserve">*Material: Polipropileno Copolímero Random
PPR. 
*Temperatura x Pressão Nominal:
</t>
  </si>
  <si>
    <t xml:space="preserve">*Consulte a tabela de resistência química do
PPR disponível no catálogo técnico da linha.
*Fácil instalação
* Baixa condutividade térmica. 
*Economia de energia. 
</t>
  </si>
  <si>
    <t>Permite fazer ligações onde é necessário promover a mistura de água quente e fria</t>
  </si>
  <si>
    <t xml:space="preserve">*Material: Polipropileno Copolímero Random
PPR
*Temperatura x Pressão Nominal:
</t>
  </si>
  <si>
    <t xml:space="preserve">*ABNT NBR 15813
○ Parte 1
○ Parte 2
○ Parte 3
*ABNT NBR 7198
* DIN 8077
* DIN 8078
*DIN 16962 
</t>
  </si>
  <si>
    <t xml:space="preserve">*Consulte a tabela de resistência química do
PPR disponível no catálogo técnico da linha
*Fácil instalação
* Baixa condutividade térmica. 
*Economia de energia.
</t>
  </si>
  <si>
    <t xml:space="preserve">*Material: Polipropileno Copolímero Random
PPR.
*Temperatura x Pressão Nominal: 
</t>
  </si>
  <si>
    <t>Permite a manutenção da rede estando as extremidades fixas. Ideal para acoplar à dispositivos que necessitam de manutenção após a instalação junto ao sistema de água quente ou fria.</t>
  </si>
  <si>
    <t xml:space="preserve">*Material: Polipropileno Copolímero Random
PPR. 
*Temperatura x Pressão Nominal: 
</t>
  </si>
  <si>
    <t xml:space="preserve">*ABNT NBR 15813
○ Parte 1
○ Parte 2
○ Parte 3
*ABNT NBR 7198
* DIN 8077
*DIN 8078
*DIN 16962
</t>
  </si>
  <si>
    <t>Executa com exclusividade a termofusão de tubos e conexões em PPR seguindo as instruções no manual de uso.</t>
  </si>
  <si>
    <t>O processo de termofusão é simples e de fácil aplicação, conforme o passo a passo que consta no catálogo técnico da linha PPR disponível em nosso site no link DOWNLOADS.</t>
  </si>
  <si>
    <t xml:space="preserve">*
</t>
  </si>
  <si>
    <t xml:space="preserve">*Consulte a tabela de resistência química do
PPR disponível no catálogo técnico da linha. 
*Fácil instalação. 
* Baixa condutividade térmica.
*Economia de energia. 
</t>
  </si>
  <si>
    <t>Executa com exclusividade o corte em tubos da linha PPR 20 a 40mm e 50 a 110mm seguindo as instruções no manual de uso.</t>
  </si>
  <si>
    <t xml:space="preserve">*Material: Polipropileno Copolímero Random
PPR.
*Temperatura x Pressão Nominal: 
</t>
  </si>
  <si>
    <t xml:space="preserve">*Consulte a tabela de resistência química do
PPR disponível no catálogo técnico da linha.
*Fácil instalação. 
* Baixa condutividade térmica. 
*Economia de energia.
</t>
  </si>
  <si>
    <t xml:space="preserve">*Consulte a tabela de resistência química do
PPR disponível no catálogo técnico da linha. 
*Fácil instalação.
* Baixa condutividade térmica. 
*Economia de energia.
</t>
  </si>
  <si>
    <t>Executa com exclusividade o reparo em tubos da linha PPR, bitola de 7 e 11 mm seguindo as instruções de montagem.</t>
  </si>
  <si>
    <t>Utilizado em instalação de água quente residencial, comercial e industrial.</t>
  </si>
  <si>
    <t xml:space="preserve">*ABNT NBR 15813
○ Parte 1
○ Parte 2
○ Parte 3
*ABNT NBR 7198
* DIN 8077
*DIN 8078
*DIN 16962 
</t>
  </si>
  <si>
    <t xml:space="preserve">*Consulte a tabela de resistência química do
PPR disponível no catálogo técnico da linha. 
*Fácil instalação.
* Baixa condutividade térmica.
*Economia de energia
</t>
  </si>
  <si>
    <t>AF</t>
  </si>
  <si>
    <t>AQ</t>
  </si>
  <si>
    <t>ESGOTO</t>
  </si>
  <si>
    <t>ELETRICA</t>
  </si>
  <si>
    <t>ACESSÓRIOS</t>
  </si>
  <si>
    <t>Família</t>
  </si>
  <si>
    <t>N° SKUS</t>
  </si>
  <si>
    <t>* Material: PVC rígido (Policloreto de Vinila)
*Processo Injeção.
*Cor: Cinza.
*Volume útil: 18 litros, conforme norma.
*Tampa para tráfego: 650kg.
* Formato Tampa: Quadrado para facilitar a
instalação de acabamentos cerâmicos.
*3 entradas em bolsa soldável bitola de
50mm e 3 de 75mm e 1 saída em ponta
100mm.
*Tamanho (diâmetro): 300mm
*Temperatura: 45°</t>
  </si>
  <si>
    <t xml:space="preserve">*Material: PVC (Policloreto de Vinila). 
*Processo: Injeção 
* Cor: Marrom 
*Conexão: Bolsa Roscável BSP para a boia /
Bolsa Soldável 
*Temperatura x Pressão 
*45 ͦC x 7,5 kgf/cm
</t>
  </si>
  <si>
    <t>*Material: PVC (Policloreto de Vinila). 
*Processo: Injeção 
*Cor: Marrom 
*Conexão: Bolsas Soldáveis 
*Temperatura x Pressão 
*45 ͦC x 7,5 kgf/cm²</t>
  </si>
  <si>
    <t>Utilizado em instalação hidráulica residencial, comercial e industrial aparente. Por exemplo: Barrilete de edificação, banheira de hidromassagem, sauna, ou qualquer outro projeto de infraestrutura hidráulica na condução de água fria potável.</t>
  </si>
  <si>
    <t>Responsável por permitir a inspeção, limpeza, desobstrução, junção, mudanças de declividade e/ou direção das tubulações dos sistemas pluviais/água da chuva.</t>
  </si>
  <si>
    <t>Instalado de forma aparente, o tubo é Utilizado para fazer a ligação da caixa de descarga com a bacia sanitária.</t>
  </si>
  <si>
    <t>* Resistente a Corrosão, não enferruja.
*Fácil manutenção, registro desmontável
*Simples Manejo, apenas ¼ de volta.</t>
  </si>
  <si>
    <t>Utilizado em instalação de água fria residencial, comercial e indústria</t>
  </si>
  <si>
    <t>* Material: mangueira corrugada, adaptador,
abraçadeira, terminal escalonado em PP
(Polipropileno) e vedações TPE-V
(Termoplástico Vulcanizado). 
*Processo: Injeção. 
*Cor: Branco. 
*Conexão: terminal escalonado (mm) x
entrada (pol)
*Temperatura: 80 ͦC em regime não contínuo.</t>
  </si>
  <si>
    <t>* Ponteira (PP:Polipropileno)
* Porca(PP:Polipropileno)
* Vedação do adaptador(PVCE)
* Anel de Vedação (Borracha)
* Bucha de redução do Adaptador(PEAD)
* Processo; Injeção
*Cor: Preto/Amarelo</t>
  </si>
  <si>
    <t>As Caixas de Proteção Krona são destinadas à abrigar disjuntores e tomadas que controlam dispositivos elétricos e eletrônicos garantindo uma proteção individual contra sobrecargas e curto-circuito.</t>
  </si>
  <si>
    <t>Utilizada em sistema de esgoto residencial, comercial e industrial, sempre ao lado externo da edificação e enterrada. Ela recebe as águas servidas (lavatório e chuveiros) e águas negras (vasos sanitários)</t>
  </si>
  <si>
    <t>Utilizada em sistema de esgoto residencial, comercial e industrial, coletando resíduos provenientes de uma pia de cozinha e retendo no cesto interno as partículas de gordura evitando que estes escoam livre pela rede e poluindo o meio ambiente.</t>
  </si>
  <si>
    <t>Destinada a permitir a inspeção, limpeza, desobstrução, junção, mudanças de declividade e/ou direção das tubulações.</t>
  </si>
  <si>
    <t>Reter partículas de gorduras, graxas e óleos provenientes de pias de cozinha. A retenção e acúmulo são realizados pelo sifão e cesto interno da caixa, onde se formam camadas que devem ser removidas periodicamente, evitando que estes componentes escoem livremente pela rede, podendo obstruir a mesma.</t>
  </si>
  <si>
    <t xml:space="preserve">* Facilidade de instalação.
*Leve.
*Resistente.
*Segura .
* Estanque.
* Ajustável
</t>
  </si>
  <si>
    <t>Destinada a recolher e conduzir águas superficiais bem como permitir deposição de detritos por folhas, areia em seu fundo, onde se formam camadas que devem ser removidas periodicamente, evitando que estes componentes escoam livremente pela rede, podendo obstruir a mesma.</t>
  </si>
  <si>
    <t>Utilizada em sistema de esgoto residencial, comercial e industrial, coletando resíduos provenientes de água superficial, calçadas, terreno, horta e destinando ao sistema de coleta pluvial do município.</t>
  </si>
  <si>
    <t>Utilizada em sistema água pluvial residencial, comercial ou industrial, coletando líquidos de água superficial como: jardim, calçadas, terreno, calhas e destinando ao sistema de coleta pluvial urbano.</t>
  </si>
  <si>
    <t xml:space="preserve">TORNEIRA BOIA PARA CAIXA D AGUA 1/2" E 3/4"    </t>
  </si>
  <si>
    <t>TERMINAL VENTILAÇÃO ESGOTO DN50</t>
  </si>
  <si>
    <t>TERMINAL VENTILAÇÃO ESGOTO DN75</t>
  </si>
  <si>
    <t>TERMINAL VENTILAÇÃO ESGOTO DN100</t>
  </si>
  <si>
    <t>ELETROD PVC FLEX CORRUG REF AZUL 25MM x 50M</t>
  </si>
  <si>
    <t>ELETROD PVC FLEX CORRUG REF AZUL 32MM x 25M</t>
  </si>
  <si>
    <t>LUVA ESGOTO COM FIXADOR DN 100</t>
  </si>
  <si>
    <t>LUVA ESGOTO COM FIXADOR DN 150</t>
  </si>
  <si>
    <t>3917.22.90</t>
  </si>
  <si>
    <t>Blister</t>
  </si>
  <si>
    <t>Filme</t>
  </si>
  <si>
    <t xml:space="preserve">MULTISSIFAO SIMPLES 730MM PRETO                                            </t>
  </si>
  <si>
    <t xml:space="preserve">MULTISSIFAO DUPLO 710MM PRETO                                              </t>
  </si>
  <si>
    <t>MULTISIFAO SIMPLES (TUBO EXTENSIVEL) PRETO</t>
  </si>
  <si>
    <t>MULTISIFAO DUPLO (TUBO EXTENSIVEL) PRETO</t>
  </si>
  <si>
    <t>CAIXA DE LUZ EMP. P/ELETR. FLEXIVEL CORRUGADO 4X2</t>
  </si>
  <si>
    <t>RALO QUADRADO OCULTO 10x10 cm KRONA</t>
  </si>
  <si>
    <t>RALO QUADRADO OCULTO 15x15 cm KRONA</t>
  </si>
  <si>
    <t>RALO LINEAR PVC SECO 50CM OCULTO KRONA</t>
  </si>
  <si>
    <t>RALO LINEAR PVC SECO 50CM ACAB. POLIDO KRONA</t>
  </si>
  <si>
    <t>RALO LINEAR PVC SIFONADO 50CM OCULTO KRONA</t>
  </si>
  <si>
    <t>RALO LINEAR PVC SIFONADO 50CM ACAB. POLIDO KRONA</t>
  </si>
  <si>
    <t>RALO LINEAR PVC SECO 75CM SAIDA CENTRAL OCULTO KRONA</t>
  </si>
  <si>
    <t>RALO LINEAR PVC SECO 75CM SAIDA CENTRAL POLIDO KRONA</t>
  </si>
  <si>
    <t>RALO LINEAR PVC SIFONADO 75CM SAIDA CENTRAL OCULTO KRONA</t>
  </si>
  <si>
    <t>RALO LINEAR PVC SIFONADO 75CM SAIDA CENTRAL POLIDO KRONA</t>
  </si>
  <si>
    <t>SIFAO 50MM PARA RALOS KRONA</t>
  </si>
  <si>
    <t>BOLSA ACOPLAVEL CX SIFONADA 100MM PVC</t>
  </si>
  <si>
    <t>BOLSA ACOPLAVEL CX SIFONADA 150MM PVC</t>
  </si>
  <si>
    <t>CAIXA DE LUZ EMPILHÁVEL P/ELETR. FLEXIVEL CORRUGADO 4X2</t>
  </si>
  <si>
    <t>CAIXA DE EMBUTIR PARA LAVANDERIA</t>
  </si>
  <si>
    <t>COMPLEMENTOS</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</si>
</sst>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 #,##0.00_-;_-* &quot;-&quot;??_-;_-@_-"/>
    <numFmt numFmtId="164" formatCode="0000"/>
    <numFmt numFmtId="165" formatCode="_-* #,##0.0000_-;\-* #,##0.0000_-;_-* &quot;-&quot;??_-;_-@_-"/>
    <numFmt numFmtId="166" formatCode="_-* #,##0_-;\-* #,##0_-;_-* &quot;-&quot;??_-;_-@_-"/>
    <numFmt numFmtId="167" formatCode="_-* #,##0.00000_-;\-* #,##0.00000_-;_-* &quot;-&quot;??_-;_-@_-"/>
    <numFmt numFmtId="168" formatCode="_-* #,##0.0000_-;\-* #,##0.0000_-;_-* &quot;-&quot;??_-;_-@"/>
    <numFmt numFmtId="169" formatCode="_-* #,##0_-;\-* #,##0_-;_-* &quot;-&quot;??_-;_-@"/>
    <numFmt numFmtId="170" formatCode="_-* #,##0.00_-;\-* #,##0.00_-;_-* &quot;-&quot;??_-;_-@"/>
    <numFmt numFmtId="171" formatCode="_-* #,##0.0000000_-;\-* #,##0.0000000_-;_-* &quot;-&quot;??_-;_-@"/>
    <numFmt numFmtId="172" formatCode="_-* #,##0.0000_-;\-* #,##0.0000_-;_-* &quot;-&quot;????_-;_-@_-"/>
  </numFmts>
  <fonts count="9" x14ac:knownFonts="1">
    <font>
      <sz val="11"/>
      <color theme="1"/>
      <name val="Calibri"/>
      <family val="2"/>
      <scheme val="minor"/>
    </font>
    <font>
      <sz val="11"/>
      <color theme="1"/>
      <name val="Calibri"/>
      <family val="2"/>
      <scheme val="minor"/>
    </font>
    <font>
      <b/>
      <sz val="11"/>
      <color rgb="FFFFFFFF"/>
      <name val="Calibri"/>
      <family val="2"/>
    </font>
    <font>
      <sz val="11"/>
      <color theme="1"/>
      <name val="Calibri"/>
      <family val="2"/>
    </font>
    <font>
      <sz val="11"/>
      <color theme="1"/>
      <name val="Arial"/>
      <family val="2"/>
    </font>
    <font>
      <b/>
      <sz val="8"/>
      <color rgb="FFFFFFFF"/>
      <name val="Calibri"/>
      <family val="2"/>
    </font>
    <font>
      <sz val="9"/>
      <color indexed="81"/>
      <name val="Segoe UI"/>
      <family val="2"/>
    </font>
    <font>
      <b/>
      <sz val="9"/>
      <color indexed="81"/>
      <name val="Segoe UI"/>
      <family val="2"/>
    </font>
    <font>
      <b/>
      <sz val="11"/>
      <color theme="1"/>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CC0000"/>
        <bgColor rgb="FFFF0000"/>
      </patternFill>
    </fill>
    <fill>
      <patternFill patternType="solid">
        <fgColor theme="0"/>
        <bgColor indexed="64"/>
      </patternFill>
    </fill>
    <fill>
      <patternFill patternType="solid">
        <fgColor theme="0"/>
        <bgColor rgb="FFFFFF00"/>
      </patternFill>
    </fill>
    <fill>
      <patternFill patternType="solid">
        <fgColor theme="8" tint="-0.249977111117893"/>
        <bgColor rgb="FFFF0000"/>
      </patternFill>
    </fill>
    <fill>
      <patternFill patternType="solid">
        <fgColor rgb="FFFFFFFF"/>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2">
    <xf numFmtId="0" fontId="0" fillId="0" borderId="0" xfId="0"/>
    <xf numFmtId="164" fontId="0" fillId="0" borderId="0" xfId="0" applyNumberFormat="1"/>
    <xf numFmtId="165" fontId="0" fillId="0" borderId="0" xfId="1" applyNumberFormat="1" applyFont="1"/>
    <xf numFmtId="43" fontId="0" fillId="0" borderId="0" xfId="1" applyFont="1"/>
    <xf numFmtId="0" fontId="0" fillId="0" borderId="1" xfId="0" applyBorder="1"/>
    <xf numFmtId="43" fontId="0" fillId="0" borderId="1" xfId="1" applyFont="1" applyBorder="1"/>
    <xf numFmtId="165" fontId="0" fillId="0" borderId="1" xfId="1" applyNumberFormat="1" applyFont="1" applyBorder="1"/>
    <xf numFmtId="166" fontId="0" fillId="0" borderId="0" xfId="1" applyNumberFormat="1" applyFont="1"/>
    <xf numFmtId="166" fontId="0" fillId="0" borderId="1" xfId="1" applyNumberFormat="1" applyFont="1" applyBorder="1"/>
    <xf numFmtId="0" fontId="2" fillId="6" borderId="1" xfId="0" applyFont="1" applyFill="1" applyBorder="1" applyAlignment="1">
      <alignment horizontal="center" vertical="center" wrapText="1"/>
    </xf>
    <xf numFmtId="1" fontId="2" fillId="6" borderId="1" xfId="0" applyNumberFormat="1" applyFont="1" applyFill="1" applyBorder="1" applyAlignment="1">
      <alignment horizontal="center" vertical="center" wrapText="1"/>
    </xf>
    <xf numFmtId="2" fontId="2" fillId="6" borderId="1" xfId="0" applyNumberFormat="1" applyFont="1" applyFill="1" applyBorder="1" applyAlignment="1">
      <alignment horizontal="center" vertical="center" wrapText="1"/>
    </xf>
    <xf numFmtId="164" fontId="0" fillId="0" borderId="2" xfId="0" applyNumberFormat="1" applyBorder="1"/>
    <xf numFmtId="0" fontId="0" fillId="0" borderId="3" xfId="0" applyBorder="1"/>
    <xf numFmtId="164" fontId="0" fillId="0" borderId="1" xfId="0" applyNumberFormat="1" applyBorder="1"/>
    <xf numFmtId="1" fontId="0" fillId="0" borderId="1" xfId="0" applyNumberFormat="1" applyBorder="1"/>
    <xf numFmtId="166" fontId="2" fillId="6" borderId="1" xfId="0" applyNumberFormat="1" applyFont="1" applyFill="1" applyBorder="1" applyAlignment="1">
      <alignment horizontal="center" vertical="center" wrapText="1"/>
    </xf>
    <xf numFmtId="167" fontId="0" fillId="0" borderId="1" xfId="1" applyNumberFormat="1" applyFont="1" applyBorder="1"/>
    <xf numFmtId="164" fontId="0" fillId="7" borderId="1" xfId="0" applyNumberFormat="1" applyFill="1" applyBorder="1"/>
    <xf numFmtId="164" fontId="0" fillId="0" borderId="1" xfId="0" applyNumberFormat="1" applyFont="1" applyBorder="1"/>
    <xf numFmtId="14" fontId="0" fillId="0" borderId="0" xfId="0" applyNumberFormat="1"/>
    <xf numFmtId="165" fontId="0" fillId="0" borderId="1" xfId="1" applyNumberFormat="1" applyFont="1" applyFill="1" applyBorder="1"/>
    <xf numFmtId="0" fontId="0" fillId="0" borderId="1" xfId="0" applyFont="1" applyBorder="1"/>
    <xf numFmtId="164" fontId="0" fillId="7" borderId="1" xfId="0" applyNumberFormat="1" applyFont="1" applyFill="1" applyBorder="1"/>
    <xf numFmtId="0" fontId="0" fillId="7" borderId="1" xfId="0" applyFill="1" applyBorder="1"/>
    <xf numFmtId="0" fontId="0" fillId="7" borderId="1" xfId="0" applyFill="1" applyBorder="1" applyAlignment="1">
      <alignment wrapText="1"/>
    </xf>
    <xf numFmtId="172" fontId="0" fillId="0" borderId="0" xfId="0" applyNumberFormat="1"/>
    <xf numFmtId="165" fontId="0" fillId="7" borderId="1" xfId="1" applyNumberFormat="1" applyFont="1" applyFill="1" applyBorder="1"/>
    <xf numFmtId="166" fontId="0" fillId="7" borderId="1" xfId="1" applyNumberFormat="1" applyFont="1" applyFill="1" applyBorder="1"/>
    <xf numFmtId="1" fontId="0" fillId="7" borderId="1" xfId="0" applyNumberFormat="1" applyFill="1" applyBorder="1"/>
    <xf numFmtId="0" fontId="3" fillId="8" borderId="1" xfId="0" applyNumberFormat="1" applyFont="1" applyFill="1" applyBorder="1" applyAlignment="1">
      <alignment horizontal="right"/>
    </xf>
    <xf numFmtId="0" fontId="3" fillId="0" borderId="1" xfId="0" applyFont="1" applyBorder="1"/>
    <xf numFmtId="0" fontId="0" fillId="0" borderId="5" xfId="0" applyBorder="1"/>
    <xf numFmtId="0" fontId="3" fillId="0" borderId="1" xfId="0" applyFont="1" applyBorder="1" applyAlignment="1"/>
    <xf numFmtId="168" fontId="3" fillId="0" borderId="1" xfId="0" applyNumberFormat="1" applyFont="1" applyBorder="1" applyAlignment="1"/>
    <xf numFmtId="165" fontId="0" fillId="0" borderId="5" xfId="1" applyNumberFormat="1" applyFont="1" applyBorder="1"/>
    <xf numFmtId="169" fontId="4" fillId="0" borderId="1" xfId="0" applyNumberFormat="1" applyFont="1" applyBorder="1" applyAlignment="1">
      <alignment horizontal="center"/>
    </xf>
    <xf numFmtId="166" fontId="0" fillId="0" borderId="5" xfId="1" applyNumberFormat="1" applyFont="1" applyBorder="1"/>
    <xf numFmtId="169" fontId="3" fillId="0" borderId="1" xfId="0" applyNumberFormat="1" applyFont="1" applyBorder="1"/>
    <xf numFmtId="1" fontId="3" fillId="0" borderId="1" xfId="0" applyNumberFormat="1" applyFont="1" applyBorder="1" applyAlignment="1"/>
    <xf numFmtId="1" fontId="0" fillId="0" borderId="5" xfId="0" applyNumberFormat="1" applyBorder="1"/>
    <xf numFmtId="168" fontId="3" fillId="0" borderId="1" xfId="0" applyNumberFormat="1" applyFont="1" applyBorder="1"/>
    <xf numFmtId="43" fontId="0" fillId="0" borderId="5" xfId="1" applyFont="1" applyBorder="1"/>
    <xf numFmtId="0" fontId="0" fillId="7" borderId="1" xfId="0" applyFont="1" applyFill="1" applyBorder="1"/>
    <xf numFmtId="164" fontId="0" fillId="7" borderId="5" xfId="0" applyNumberFormat="1" applyFill="1" applyBorder="1"/>
    <xf numFmtId="164" fontId="3" fillId="8" borderId="1" xfId="0" applyNumberFormat="1" applyFont="1" applyFill="1" applyBorder="1"/>
    <xf numFmtId="164" fontId="0" fillId="0" borderId="5" xfId="0" applyNumberFormat="1" applyBorder="1"/>
    <xf numFmtId="171" fontId="3" fillId="0" borderId="1" xfId="0" applyNumberFormat="1" applyFont="1" applyBorder="1"/>
    <xf numFmtId="1" fontId="3" fillId="0" borderId="1" xfId="0" applyNumberFormat="1" applyFont="1" applyBorder="1"/>
    <xf numFmtId="170" fontId="3" fillId="0" borderId="1" xfId="0" applyNumberFormat="1" applyFont="1" applyBorder="1"/>
    <xf numFmtId="168" fontId="3" fillId="7" borderId="1" xfId="0" applyNumberFormat="1" applyFont="1" applyFill="1" applyBorder="1"/>
    <xf numFmtId="169" fontId="3" fillId="7" borderId="1" xfId="0" applyNumberFormat="1" applyFont="1" applyFill="1" applyBorder="1"/>
    <xf numFmtId="0" fontId="2" fillId="9" borderId="1" xfId="0" applyFont="1" applyFill="1" applyBorder="1" applyAlignment="1">
      <alignment horizontal="center" vertical="center" wrapText="1"/>
    </xf>
    <xf numFmtId="0" fontId="0" fillId="0" borderId="1" xfId="0" applyBorder="1" applyAlignment="1">
      <alignment wrapText="1"/>
    </xf>
    <xf numFmtId="165" fontId="0" fillId="0" borderId="1" xfId="1" applyNumberFormat="1" applyFont="1" applyBorder="1" applyAlignment="1">
      <alignment wrapText="1"/>
    </xf>
    <xf numFmtId="166" fontId="0" fillId="0" borderId="1" xfId="1" applyNumberFormat="1" applyFont="1" applyBorder="1" applyAlignment="1">
      <alignment wrapText="1"/>
    </xf>
    <xf numFmtId="0" fontId="0" fillId="0" borderId="0" xfId="0" applyAlignment="1">
      <alignment wrapText="1"/>
    </xf>
    <xf numFmtId="165" fontId="0" fillId="0" borderId="0" xfId="1" applyNumberFormat="1" applyFont="1" applyAlignment="1">
      <alignment wrapText="1"/>
    </xf>
    <xf numFmtId="166" fontId="0" fillId="0" borderId="0" xfId="1" applyNumberFormat="1" applyFont="1" applyAlignment="1">
      <alignment wrapText="1"/>
    </xf>
    <xf numFmtId="0" fontId="0" fillId="0" borderId="1" xfId="0" applyBorder="1" applyAlignment="1">
      <alignment horizontal="center" vertical="top" wrapText="1"/>
    </xf>
    <xf numFmtId="0" fontId="0" fillId="0" borderId="1" xfId="0" applyBorder="1" applyAlignment="1">
      <alignment vertical="top" wrapText="1"/>
    </xf>
    <xf numFmtId="0" fontId="0" fillId="10" borderId="1" xfId="0" applyFill="1" applyBorder="1" applyAlignment="1">
      <alignment horizontal="center" vertical="top" wrapText="1"/>
    </xf>
    <xf numFmtId="0" fontId="0" fillId="10" borderId="1" xfId="0" applyFill="1" applyBorder="1" applyAlignment="1">
      <alignment vertical="top" wrapText="1"/>
    </xf>
    <xf numFmtId="0" fontId="0" fillId="0" borderId="1" xfId="0" applyBorder="1" applyAlignment="1">
      <alignment vertical="center"/>
    </xf>
    <xf numFmtId="0" fontId="4" fillId="0" borderId="1" xfId="0" applyFont="1" applyBorder="1" applyAlignment="1">
      <alignment vertical="top" wrapText="1"/>
    </xf>
    <xf numFmtId="0" fontId="0" fillId="10" borderId="1" xfId="0" applyFill="1" applyBorder="1" applyAlignment="1">
      <alignment wrapText="1"/>
    </xf>
    <xf numFmtId="0" fontId="8" fillId="0" borderId="0" xfId="0" applyFont="1"/>
    <xf numFmtId="0" fontId="0" fillId="0" borderId="1" xfId="0" applyFill="1" applyBorder="1"/>
    <xf numFmtId="0" fontId="0" fillId="0" borderId="1" xfId="0" applyFont="1" applyFill="1" applyBorder="1"/>
    <xf numFmtId="0" fontId="3" fillId="0" borderId="1" xfId="0" applyFont="1" applyFill="1" applyBorder="1"/>
    <xf numFmtId="0" fontId="0" fillId="0" borderId="5" xfId="0" applyFill="1" applyBorder="1"/>
    <xf numFmtId="0" fontId="0" fillId="7" borderId="1" xfId="0" applyFill="1" applyBorder="1" applyAlignment="1">
      <alignment vertical="top" wrapText="1"/>
    </xf>
    <xf numFmtId="0" fontId="0" fillId="7" borderId="0" xfId="0" applyFill="1"/>
    <xf numFmtId="164" fontId="0" fillId="11" borderId="1" xfId="0" applyNumberFormat="1" applyFill="1" applyBorder="1"/>
    <xf numFmtId="0" fontId="0" fillId="11" borderId="1" xfId="0" applyFill="1" applyBorder="1"/>
    <xf numFmtId="165" fontId="0" fillId="7" borderId="5" xfId="1" applyNumberFormat="1" applyFont="1" applyFill="1" applyBorder="1"/>
    <xf numFmtId="165" fontId="0" fillId="7" borderId="0" xfId="1" applyNumberFormat="1" applyFont="1" applyFill="1"/>
    <xf numFmtId="0" fontId="3" fillId="8" borderId="5" xfId="0" applyNumberFormat="1" applyFont="1" applyFill="1" applyBorder="1" applyAlignment="1">
      <alignment horizontal="right"/>
    </xf>
    <xf numFmtId="0" fontId="3" fillId="0" borderId="5" xfId="0" applyFont="1" applyFill="1" applyBorder="1"/>
    <xf numFmtId="0" fontId="3" fillId="0" borderId="5" xfId="0" applyFont="1" applyBorder="1"/>
    <xf numFmtId="0" fontId="3" fillId="0" borderId="5" xfId="0" applyFont="1" applyBorder="1" applyAlignment="1"/>
    <xf numFmtId="168" fontId="3" fillId="0" borderId="5" xfId="0" applyNumberFormat="1" applyFont="1" applyBorder="1" applyAlignment="1"/>
    <xf numFmtId="169" fontId="4" fillId="0" borderId="5" xfId="0" applyNumberFormat="1" applyFont="1" applyBorder="1" applyAlignment="1">
      <alignment horizontal="center"/>
    </xf>
    <xf numFmtId="171" fontId="3" fillId="0" borderId="5" xfId="0" applyNumberFormat="1" applyFont="1" applyBorder="1"/>
    <xf numFmtId="169" fontId="3" fillId="0" borderId="5" xfId="0" applyNumberFormat="1" applyFont="1" applyBorder="1"/>
    <xf numFmtId="1" fontId="3" fillId="0" borderId="5" xfId="0" applyNumberFormat="1" applyFont="1" applyBorder="1" applyAlignment="1"/>
    <xf numFmtId="168" fontId="3" fillId="0" borderId="5" xfId="0" applyNumberFormat="1" applyFont="1" applyBorder="1"/>
    <xf numFmtId="10" fontId="0" fillId="0" borderId="0" xfId="2" applyNumberFormat="1" applyFont="1"/>
    <xf numFmtId="10" fontId="2" fillId="6" borderId="1" xfId="2" applyNumberFormat="1" applyFont="1" applyFill="1" applyBorder="1" applyAlignment="1">
      <alignment horizontal="center" vertical="center" wrapText="1"/>
    </xf>
    <xf numFmtId="10" fontId="0" fillId="0" borderId="1" xfId="2" applyNumberFormat="1" applyFont="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65" fontId="0" fillId="3" borderId="2" xfId="1" applyNumberFormat="1" applyFont="1" applyFill="1" applyBorder="1" applyAlignment="1">
      <alignment horizontal="center"/>
    </xf>
    <xf numFmtId="165" fontId="0" fillId="3" borderId="3" xfId="1" applyNumberFormat="1" applyFont="1" applyFill="1" applyBorder="1" applyAlignment="1">
      <alignment horizontal="center"/>
    </xf>
    <xf numFmtId="165" fontId="0" fillId="3" borderId="4" xfId="1" applyNumberFormat="1"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cellXfs>
  <cellStyles count="3">
    <cellStyle name="Normal" xfId="0" builtinId="0"/>
    <cellStyle name="Porcentagem" xfId="2" builtinId="5"/>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D1079"/>
  <sheetViews>
    <sheetView showGridLines="0" tabSelected="1" zoomScale="90" zoomScaleNormal="90" workbookViewId="0">
      <selection activeCell="C11" sqref="C11"/>
    </sheetView>
  </sheetViews>
  <sheetFormatPr defaultColWidth="10.54296875" defaultRowHeight="14.5" x14ac:dyDescent="0.35"/>
  <cols>
    <col min="1" max="1" width="3.81640625" customWidth="1"/>
    <col min="2" max="2" width="10.453125" style="1" bestFit="1" customWidth="1"/>
    <col min="3" max="3" width="60.26953125" customWidth="1"/>
    <col min="4" max="4" width="30.7265625" customWidth="1"/>
    <col min="5" max="5" width="12" customWidth="1"/>
    <col min="6" max="6" width="10.7265625" bestFit="1" customWidth="1"/>
    <col min="7" max="7" width="12.81640625" customWidth="1"/>
    <col min="8" max="8" width="12.1796875" style="2" customWidth="1"/>
    <col min="9" max="9" width="15.81640625" style="7" bestFit="1" customWidth="1"/>
    <col min="10" max="10" width="9.54296875" style="7" bestFit="1" customWidth="1"/>
    <col min="11" max="11" width="9.81640625" style="7" bestFit="1" customWidth="1"/>
    <col min="12" max="12" width="14.1796875" style="3" customWidth="1"/>
    <col min="13" max="13" width="22.7265625" bestFit="1" customWidth="1"/>
    <col min="14" max="14" width="15.26953125" style="2" bestFit="1" customWidth="1"/>
    <col min="15" max="15" width="16.81640625" style="2" bestFit="1" customWidth="1"/>
    <col min="16" max="16" width="15.7265625" style="2" bestFit="1" customWidth="1"/>
    <col min="17" max="18" width="11.54296875" style="2" bestFit="1" customWidth="1"/>
    <col min="19" max="19" width="13.81640625" style="2" bestFit="1" customWidth="1"/>
    <col min="20" max="20" width="16.453125" style="7" bestFit="1" customWidth="1"/>
    <col min="21" max="21" width="13.54296875" style="3" customWidth="1"/>
    <col min="22" max="22" width="13.54296875" style="87" customWidth="1"/>
    <col min="23" max="23" width="18.1796875" bestFit="1" customWidth="1"/>
    <col min="24" max="24" width="16.7265625" style="2" customWidth="1"/>
    <col min="25" max="25" width="12.7265625" style="2" bestFit="1" customWidth="1"/>
    <col min="26" max="26" width="16.1796875" style="2" bestFit="1" customWidth="1"/>
    <col min="27" max="27" width="16.1796875" style="2" customWidth="1"/>
    <col min="28" max="28" width="12.453125" style="7" customWidth="1"/>
    <col min="29" max="29" width="25.54296875" customWidth="1"/>
    <col min="30" max="30" width="22.7265625" customWidth="1"/>
  </cols>
  <sheetData>
    <row r="1" spans="2:30" ht="15" thickBot="1" x14ac:dyDescent="0.4">
      <c r="AD1" s="26"/>
    </row>
    <row r="2" spans="2:30" x14ac:dyDescent="0.35">
      <c r="B2" s="12"/>
      <c r="C2" s="13"/>
      <c r="D2" s="13"/>
      <c r="E2" s="13"/>
      <c r="F2" s="13"/>
      <c r="G2" s="13"/>
      <c r="H2" s="90" t="s">
        <v>0</v>
      </c>
      <c r="I2" s="91"/>
      <c r="J2" s="91"/>
      <c r="K2" s="91"/>
      <c r="L2" s="91"/>
      <c r="M2" s="92"/>
      <c r="N2" s="93" t="s">
        <v>982</v>
      </c>
      <c r="O2" s="94"/>
      <c r="P2" s="95"/>
      <c r="Q2" s="96" t="s">
        <v>983</v>
      </c>
      <c r="R2" s="97"/>
      <c r="S2" s="97"/>
      <c r="T2" s="97"/>
      <c r="U2" s="97"/>
      <c r="V2" s="97"/>
      <c r="W2" s="98"/>
      <c r="X2" s="99" t="s">
        <v>984</v>
      </c>
      <c r="Y2" s="100"/>
      <c r="Z2" s="100"/>
      <c r="AA2" s="100"/>
      <c r="AB2" s="100"/>
      <c r="AC2" s="101"/>
    </row>
    <row r="3" spans="2:30" ht="39" customHeight="1" x14ac:dyDescent="0.35">
      <c r="B3" s="9" t="s">
        <v>1</v>
      </c>
      <c r="C3" s="9" t="s">
        <v>2</v>
      </c>
      <c r="D3" s="9" t="s">
        <v>1949</v>
      </c>
      <c r="E3" s="9" t="s">
        <v>2916</v>
      </c>
      <c r="F3" s="9" t="s">
        <v>3</v>
      </c>
      <c r="G3" s="9" t="s">
        <v>986</v>
      </c>
      <c r="H3" s="9" t="s">
        <v>2330</v>
      </c>
      <c r="I3" s="9" t="s">
        <v>4</v>
      </c>
      <c r="J3" s="9" t="s">
        <v>5</v>
      </c>
      <c r="K3" s="9" t="s">
        <v>6</v>
      </c>
      <c r="L3" s="9" t="s">
        <v>985</v>
      </c>
      <c r="M3" s="9" t="s">
        <v>7</v>
      </c>
      <c r="N3" s="9" t="s">
        <v>8</v>
      </c>
      <c r="O3" s="9" t="s">
        <v>9</v>
      </c>
      <c r="P3" s="9" t="s">
        <v>10</v>
      </c>
      <c r="Q3" s="9" t="s">
        <v>11</v>
      </c>
      <c r="R3" s="9" t="s">
        <v>12</v>
      </c>
      <c r="S3" s="9" t="s">
        <v>13</v>
      </c>
      <c r="T3" s="16" t="s">
        <v>1023</v>
      </c>
      <c r="U3" s="9" t="s">
        <v>987</v>
      </c>
      <c r="V3" s="88" t="s">
        <v>988</v>
      </c>
      <c r="W3" s="10" t="s">
        <v>7</v>
      </c>
      <c r="X3" s="10" t="s">
        <v>14</v>
      </c>
      <c r="Y3" s="10" t="s">
        <v>15</v>
      </c>
      <c r="Z3" s="10" t="s">
        <v>16</v>
      </c>
      <c r="AA3" s="10" t="s">
        <v>985</v>
      </c>
      <c r="AB3" s="10" t="s">
        <v>17</v>
      </c>
      <c r="AC3" s="10" t="s">
        <v>7</v>
      </c>
      <c r="AD3" s="10" t="s">
        <v>989</v>
      </c>
    </row>
    <row r="4" spans="2:30" x14ac:dyDescent="0.35">
      <c r="B4" s="14">
        <v>23</v>
      </c>
      <c r="C4" s="4" t="s">
        <v>18</v>
      </c>
      <c r="D4" s="4" t="s">
        <v>2390</v>
      </c>
      <c r="E4" s="4" t="s">
        <v>2911</v>
      </c>
      <c r="F4" s="4" t="s">
        <v>19</v>
      </c>
      <c r="G4" s="4" t="s">
        <v>990</v>
      </c>
      <c r="H4" s="6">
        <v>0.82</v>
      </c>
      <c r="I4" s="8">
        <v>6000</v>
      </c>
      <c r="J4" s="8">
        <v>20</v>
      </c>
      <c r="K4" s="8">
        <v>20</v>
      </c>
      <c r="L4" s="8">
        <f t="shared" ref="L4:L67" si="0">J4*I4*K4</f>
        <v>2400000</v>
      </c>
      <c r="M4" s="15">
        <v>7897801304009</v>
      </c>
      <c r="N4" s="6">
        <v>2.3E-2</v>
      </c>
      <c r="O4" s="6">
        <v>6</v>
      </c>
      <c r="P4" s="6">
        <v>2.3E-2</v>
      </c>
      <c r="Q4" s="6">
        <v>8.5000000000000006E-2</v>
      </c>
      <c r="R4" s="6">
        <v>8.5000000000000006E-2</v>
      </c>
      <c r="S4" s="6">
        <v>6</v>
      </c>
      <c r="T4" s="8">
        <v>12</v>
      </c>
      <c r="U4" s="5" t="s">
        <v>991</v>
      </c>
      <c r="V4" s="89">
        <v>0</v>
      </c>
      <c r="W4" s="15">
        <v>17897801304006</v>
      </c>
      <c r="X4" s="6" t="s">
        <v>20</v>
      </c>
      <c r="Y4" s="6" t="s">
        <v>20</v>
      </c>
      <c r="Z4" s="6" t="s">
        <v>20</v>
      </c>
      <c r="AA4" s="8"/>
      <c r="AB4" s="8">
        <v>0</v>
      </c>
      <c r="AC4" s="15">
        <v>27897801304003</v>
      </c>
      <c r="AD4" s="4" t="s">
        <v>992</v>
      </c>
    </row>
    <row r="5" spans="2:30" x14ac:dyDescent="0.35">
      <c r="B5" s="14">
        <v>24</v>
      </c>
      <c r="C5" s="4" t="s">
        <v>21</v>
      </c>
      <c r="D5" s="4" t="s">
        <v>2390</v>
      </c>
      <c r="E5" s="4" t="s">
        <v>2911</v>
      </c>
      <c r="F5" s="4" t="s">
        <v>19</v>
      </c>
      <c r="G5" s="4" t="s">
        <v>990</v>
      </c>
      <c r="H5" s="6">
        <v>1.1719999999999999</v>
      </c>
      <c r="I5" s="8">
        <v>6000</v>
      </c>
      <c r="J5" s="8">
        <v>25</v>
      </c>
      <c r="K5" s="8">
        <v>25</v>
      </c>
      <c r="L5" s="8">
        <f t="shared" si="0"/>
        <v>3750000</v>
      </c>
      <c r="M5" s="15">
        <v>7897801304016</v>
      </c>
      <c r="N5" s="6">
        <v>2.7E-2</v>
      </c>
      <c r="O5" s="6">
        <v>6</v>
      </c>
      <c r="P5" s="6">
        <v>2.7E-2</v>
      </c>
      <c r="Q5" s="6">
        <v>8.5000000000000006E-2</v>
      </c>
      <c r="R5" s="6">
        <v>8.5000000000000006E-2</v>
      </c>
      <c r="S5" s="6">
        <v>6</v>
      </c>
      <c r="T5" s="8">
        <v>8</v>
      </c>
      <c r="U5" s="5" t="s">
        <v>991</v>
      </c>
      <c r="V5" s="89">
        <v>0</v>
      </c>
      <c r="W5" s="15">
        <v>17897801304013</v>
      </c>
      <c r="X5" s="6" t="s">
        <v>20</v>
      </c>
      <c r="Y5" s="6" t="s">
        <v>20</v>
      </c>
      <c r="Z5" s="6" t="s">
        <v>20</v>
      </c>
      <c r="AA5" s="6"/>
      <c r="AB5" s="8">
        <v>0</v>
      </c>
      <c r="AC5" s="15">
        <v>27897801304010</v>
      </c>
      <c r="AD5" s="4" t="s">
        <v>992</v>
      </c>
    </row>
    <row r="6" spans="2:30" x14ac:dyDescent="0.35">
      <c r="B6" s="14">
        <v>25</v>
      </c>
      <c r="C6" s="4" t="s">
        <v>22</v>
      </c>
      <c r="D6" s="4" t="s">
        <v>2390</v>
      </c>
      <c r="E6" s="4" t="s">
        <v>2911</v>
      </c>
      <c r="F6" s="4" t="s">
        <v>19</v>
      </c>
      <c r="G6" s="4" t="s">
        <v>990</v>
      </c>
      <c r="H6" s="6">
        <v>1.845</v>
      </c>
      <c r="I6" s="8">
        <v>6000</v>
      </c>
      <c r="J6" s="8">
        <v>32</v>
      </c>
      <c r="K6" s="8">
        <v>32</v>
      </c>
      <c r="L6" s="8">
        <f t="shared" si="0"/>
        <v>6144000</v>
      </c>
      <c r="M6" s="15">
        <v>7897801304023</v>
      </c>
      <c r="N6" s="6">
        <v>3.5000000000000003E-2</v>
      </c>
      <c r="O6" s="6">
        <v>6</v>
      </c>
      <c r="P6" s="6">
        <v>3.5000000000000003E-2</v>
      </c>
      <c r="Q6" s="6">
        <v>0.13</v>
      </c>
      <c r="R6" s="6">
        <v>0.09</v>
      </c>
      <c r="S6" s="6">
        <v>6</v>
      </c>
      <c r="T6" s="8">
        <v>10</v>
      </c>
      <c r="U6" s="5" t="s">
        <v>991</v>
      </c>
      <c r="V6" s="89">
        <v>0</v>
      </c>
      <c r="W6" s="15">
        <v>17897801304020</v>
      </c>
      <c r="X6" s="6" t="s">
        <v>20</v>
      </c>
      <c r="Y6" s="6" t="s">
        <v>20</v>
      </c>
      <c r="Z6" s="6" t="s">
        <v>20</v>
      </c>
      <c r="AA6" s="6"/>
      <c r="AB6" s="8">
        <v>0</v>
      </c>
      <c r="AC6" s="15">
        <v>27897801304027</v>
      </c>
      <c r="AD6" s="4" t="s">
        <v>992</v>
      </c>
    </row>
    <row r="7" spans="2:30" x14ac:dyDescent="0.35">
      <c r="B7" s="14">
        <v>26</v>
      </c>
      <c r="C7" s="4" t="s">
        <v>23</v>
      </c>
      <c r="D7" s="4" t="s">
        <v>2390</v>
      </c>
      <c r="E7" s="4" t="s">
        <v>2911</v>
      </c>
      <c r="F7" s="4" t="s">
        <v>19</v>
      </c>
      <c r="G7" s="4" t="s">
        <v>990</v>
      </c>
      <c r="H7" s="6">
        <v>2.645</v>
      </c>
      <c r="I7" s="8">
        <v>6000</v>
      </c>
      <c r="J7" s="8">
        <v>40</v>
      </c>
      <c r="K7" s="8">
        <v>40</v>
      </c>
      <c r="L7" s="8">
        <f t="shared" si="0"/>
        <v>9600000</v>
      </c>
      <c r="M7" s="15">
        <v>7897801304030</v>
      </c>
      <c r="N7" s="6">
        <v>4.4999999999999998E-2</v>
      </c>
      <c r="O7" s="6">
        <v>6</v>
      </c>
      <c r="P7" s="6">
        <v>4.4999999999999998E-2</v>
      </c>
      <c r="Q7" s="6">
        <v>0.12</v>
      </c>
      <c r="R7" s="6">
        <v>7.4999999999999997E-2</v>
      </c>
      <c r="S7" s="6">
        <v>6</v>
      </c>
      <c r="T7" s="8">
        <v>5</v>
      </c>
      <c r="U7" s="5" t="s">
        <v>991</v>
      </c>
      <c r="V7" s="89">
        <v>0</v>
      </c>
      <c r="W7" s="15">
        <v>17897801304037</v>
      </c>
      <c r="X7" s="6" t="s">
        <v>20</v>
      </c>
      <c r="Y7" s="6" t="s">
        <v>20</v>
      </c>
      <c r="Z7" s="6" t="s">
        <v>20</v>
      </c>
      <c r="AA7" s="6"/>
      <c r="AB7" s="8">
        <v>0</v>
      </c>
      <c r="AC7" s="15">
        <v>27897801304034</v>
      </c>
      <c r="AD7" s="4" t="s">
        <v>992</v>
      </c>
    </row>
    <row r="8" spans="2:30" x14ac:dyDescent="0.35">
      <c r="B8" s="14">
        <v>27</v>
      </c>
      <c r="C8" s="4" t="s">
        <v>24</v>
      </c>
      <c r="D8" s="4" t="s">
        <v>2390</v>
      </c>
      <c r="E8" s="4" t="s">
        <v>2911</v>
      </c>
      <c r="F8" s="4" t="s">
        <v>19</v>
      </c>
      <c r="G8" s="4" t="s">
        <v>990</v>
      </c>
      <c r="H8" s="6">
        <v>4.1219999999999999</v>
      </c>
      <c r="I8" s="8">
        <v>6000</v>
      </c>
      <c r="J8" s="8">
        <v>50</v>
      </c>
      <c r="K8" s="8">
        <v>50</v>
      </c>
      <c r="L8" s="8">
        <f t="shared" si="0"/>
        <v>15000000</v>
      </c>
      <c r="M8" s="15">
        <v>7897801304047</v>
      </c>
      <c r="N8" s="6">
        <v>5.5E-2</v>
      </c>
      <c r="O8" s="6">
        <v>6</v>
      </c>
      <c r="P8" s="6">
        <v>5.5E-2</v>
      </c>
      <c r="Q8" s="6">
        <v>0.17</v>
      </c>
      <c r="R8" s="6">
        <v>0.11</v>
      </c>
      <c r="S8" s="6">
        <v>6</v>
      </c>
      <c r="T8" s="8">
        <v>5</v>
      </c>
      <c r="U8" s="5" t="s">
        <v>991</v>
      </c>
      <c r="V8" s="89">
        <v>0</v>
      </c>
      <c r="W8" s="15">
        <v>17897801304044</v>
      </c>
      <c r="X8" s="6" t="s">
        <v>20</v>
      </c>
      <c r="Y8" s="6" t="s">
        <v>20</v>
      </c>
      <c r="Z8" s="6" t="s">
        <v>20</v>
      </c>
      <c r="AA8" s="6"/>
      <c r="AB8" s="8">
        <v>0</v>
      </c>
      <c r="AC8" s="15">
        <v>27897801304041</v>
      </c>
      <c r="AD8" s="4" t="s">
        <v>992</v>
      </c>
    </row>
    <row r="9" spans="2:30" x14ac:dyDescent="0.35">
      <c r="B9" s="14">
        <v>28</v>
      </c>
      <c r="C9" s="4" t="s">
        <v>25</v>
      </c>
      <c r="D9" s="4" t="s">
        <v>2390</v>
      </c>
      <c r="E9" s="4" t="s">
        <v>2911</v>
      </c>
      <c r="F9" s="4" t="s">
        <v>19</v>
      </c>
      <c r="G9" s="4" t="s">
        <v>990</v>
      </c>
      <c r="H9" s="6">
        <v>5.3819999999999997</v>
      </c>
      <c r="I9" s="8">
        <v>6000</v>
      </c>
      <c r="J9" s="8">
        <v>60</v>
      </c>
      <c r="K9" s="8">
        <v>60</v>
      </c>
      <c r="L9" s="8">
        <f t="shared" si="0"/>
        <v>21600000</v>
      </c>
      <c r="M9" s="15">
        <v>7897801304054</v>
      </c>
      <c r="N9" s="6">
        <v>6.7000000000000004E-2</v>
      </c>
      <c r="O9" s="6">
        <v>6</v>
      </c>
      <c r="P9" s="6">
        <v>6.7000000000000004E-2</v>
      </c>
      <c r="Q9" s="6">
        <v>0.125</v>
      </c>
      <c r="R9" s="6">
        <v>0.12</v>
      </c>
      <c r="S9" s="6">
        <v>6</v>
      </c>
      <c r="T9" s="8">
        <v>3</v>
      </c>
      <c r="U9" s="5" t="s">
        <v>991</v>
      </c>
      <c r="V9" s="89">
        <v>0</v>
      </c>
      <c r="W9" s="15">
        <v>17897801304051</v>
      </c>
      <c r="X9" s="6" t="s">
        <v>20</v>
      </c>
      <c r="Y9" s="6" t="s">
        <v>20</v>
      </c>
      <c r="Z9" s="6" t="s">
        <v>20</v>
      </c>
      <c r="AA9" s="6"/>
      <c r="AB9" s="8">
        <v>0</v>
      </c>
      <c r="AC9" s="15">
        <v>27897801304058</v>
      </c>
      <c r="AD9" s="4" t="s">
        <v>992</v>
      </c>
    </row>
    <row r="10" spans="2:30" x14ac:dyDescent="0.35">
      <c r="B10" s="14">
        <v>29</v>
      </c>
      <c r="C10" s="4" t="s">
        <v>26</v>
      </c>
      <c r="D10" s="4" t="s">
        <v>2390</v>
      </c>
      <c r="E10" s="4" t="s">
        <v>2911</v>
      </c>
      <c r="F10" s="4" t="s">
        <v>19</v>
      </c>
      <c r="G10" s="4" t="s">
        <v>990</v>
      </c>
      <c r="H10" s="6">
        <v>8.5299999999999994</v>
      </c>
      <c r="I10" s="8">
        <v>6000</v>
      </c>
      <c r="J10" s="8">
        <v>75</v>
      </c>
      <c r="K10" s="8">
        <v>75</v>
      </c>
      <c r="L10" s="8">
        <f t="shared" si="0"/>
        <v>33750000</v>
      </c>
      <c r="M10" s="15">
        <v>7897801308564</v>
      </c>
      <c r="N10" s="6">
        <v>8.3000000000000004E-2</v>
      </c>
      <c r="O10" s="6">
        <v>6</v>
      </c>
      <c r="P10" s="6">
        <v>8.3000000000000004E-2</v>
      </c>
      <c r="Q10" s="6">
        <v>7.5200000000000003E-2</v>
      </c>
      <c r="R10" s="6">
        <v>7.5200000000000003E-2</v>
      </c>
      <c r="S10" s="6">
        <v>6</v>
      </c>
      <c r="T10" s="8">
        <v>1</v>
      </c>
      <c r="U10" s="5" t="s">
        <v>991</v>
      </c>
      <c r="V10" s="89">
        <v>0</v>
      </c>
      <c r="W10" s="15">
        <v>17897801308561</v>
      </c>
      <c r="X10" s="6" t="s">
        <v>20</v>
      </c>
      <c r="Y10" s="6" t="s">
        <v>20</v>
      </c>
      <c r="Z10" s="6" t="s">
        <v>20</v>
      </c>
      <c r="AA10" s="6"/>
      <c r="AB10" s="8">
        <v>0</v>
      </c>
      <c r="AC10" s="15">
        <v>27897801308568</v>
      </c>
      <c r="AD10" s="4" t="s">
        <v>992</v>
      </c>
    </row>
    <row r="11" spans="2:30" x14ac:dyDescent="0.35">
      <c r="B11" s="14">
        <v>30</v>
      </c>
      <c r="C11" s="4" t="s">
        <v>27</v>
      </c>
      <c r="D11" s="4" t="s">
        <v>2390</v>
      </c>
      <c r="E11" s="4" t="s">
        <v>2911</v>
      </c>
      <c r="F11" s="4" t="s">
        <v>19</v>
      </c>
      <c r="G11" s="4" t="s">
        <v>990</v>
      </c>
      <c r="H11" s="6">
        <v>10.85</v>
      </c>
      <c r="I11" s="8">
        <v>6000</v>
      </c>
      <c r="J11" s="8">
        <v>85</v>
      </c>
      <c r="K11" s="8">
        <v>85</v>
      </c>
      <c r="L11" s="8">
        <f t="shared" si="0"/>
        <v>43350000</v>
      </c>
      <c r="M11" s="15">
        <v>7897801308588</v>
      </c>
      <c r="N11" s="6">
        <v>9.5000000000000001E-2</v>
      </c>
      <c r="O11" s="6">
        <v>6</v>
      </c>
      <c r="P11" s="6">
        <v>9.5000000000000001E-2</v>
      </c>
      <c r="Q11" s="6">
        <v>8.5199999999999998E-2</v>
      </c>
      <c r="R11" s="6">
        <v>8.5199999999999998E-2</v>
      </c>
      <c r="S11" s="6">
        <v>6</v>
      </c>
      <c r="T11" s="8">
        <v>1</v>
      </c>
      <c r="U11" s="5" t="s">
        <v>991</v>
      </c>
      <c r="V11" s="89">
        <v>0</v>
      </c>
      <c r="W11" s="15">
        <v>17897801308585</v>
      </c>
      <c r="X11" s="6" t="s">
        <v>20</v>
      </c>
      <c r="Y11" s="6" t="s">
        <v>20</v>
      </c>
      <c r="Z11" s="6" t="s">
        <v>20</v>
      </c>
      <c r="AA11" s="6"/>
      <c r="AB11" s="8">
        <v>0</v>
      </c>
      <c r="AC11" s="15">
        <v>27897801308582</v>
      </c>
      <c r="AD11" s="4" t="s">
        <v>992</v>
      </c>
    </row>
    <row r="12" spans="2:30" x14ac:dyDescent="0.35">
      <c r="B12" s="14">
        <v>31</v>
      </c>
      <c r="C12" s="4" t="s">
        <v>28</v>
      </c>
      <c r="D12" s="4" t="s">
        <v>2390</v>
      </c>
      <c r="E12" s="4" t="s">
        <v>2911</v>
      </c>
      <c r="F12" s="4" t="s">
        <v>19</v>
      </c>
      <c r="G12" s="4" t="s">
        <v>990</v>
      </c>
      <c r="H12" s="6">
        <v>18.25</v>
      </c>
      <c r="I12" s="8">
        <v>6000</v>
      </c>
      <c r="J12" s="8">
        <v>110</v>
      </c>
      <c r="K12" s="8">
        <v>110</v>
      </c>
      <c r="L12" s="8">
        <f t="shared" si="0"/>
        <v>72600000</v>
      </c>
      <c r="M12" s="15">
        <v>7897801308595</v>
      </c>
      <c r="N12" s="6">
        <v>0.122</v>
      </c>
      <c r="O12" s="6">
        <v>6</v>
      </c>
      <c r="P12" s="6">
        <v>0.122</v>
      </c>
      <c r="Q12" s="6">
        <v>0.11020000000000001</v>
      </c>
      <c r="R12" s="6">
        <v>0.11020000000000001</v>
      </c>
      <c r="S12" s="6">
        <v>6</v>
      </c>
      <c r="T12" s="8">
        <v>1</v>
      </c>
      <c r="U12" s="5" t="s">
        <v>991</v>
      </c>
      <c r="V12" s="89">
        <v>0</v>
      </c>
      <c r="W12" s="15">
        <v>17897801308592</v>
      </c>
      <c r="X12" s="6" t="s">
        <v>20</v>
      </c>
      <c r="Y12" s="6" t="s">
        <v>20</v>
      </c>
      <c r="Z12" s="6" t="s">
        <v>20</v>
      </c>
      <c r="AA12" s="6"/>
      <c r="AB12" s="8">
        <v>0</v>
      </c>
      <c r="AC12" s="15">
        <v>27897801308599</v>
      </c>
      <c r="AD12" s="4" t="s">
        <v>992</v>
      </c>
    </row>
    <row r="13" spans="2:30" x14ac:dyDescent="0.35">
      <c r="B13" s="14">
        <v>32</v>
      </c>
      <c r="C13" s="4" t="s">
        <v>29</v>
      </c>
      <c r="D13" s="4" t="s">
        <v>2390</v>
      </c>
      <c r="E13" s="4" t="s">
        <v>2911</v>
      </c>
      <c r="F13" s="4" t="s">
        <v>19</v>
      </c>
      <c r="G13" s="4" t="s">
        <v>990</v>
      </c>
      <c r="H13" s="6">
        <v>0.42</v>
      </c>
      <c r="I13" s="8">
        <v>3000</v>
      </c>
      <c r="J13" s="8">
        <v>20</v>
      </c>
      <c r="K13" s="8">
        <v>20</v>
      </c>
      <c r="L13" s="8">
        <f t="shared" si="0"/>
        <v>1200000</v>
      </c>
      <c r="M13" s="15">
        <v>7897801304306</v>
      </c>
      <c r="N13" s="6">
        <v>2.0199999999999999E-2</v>
      </c>
      <c r="O13" s="6">
        <v>3</v>
      </c>
      <c r="P13" s="6">
        <v>2.0199999999999999E-2</v>
      </c>
      <c r="Q13" s="6">
        <v>8.5000000000000006E-2</v>
      </c>
      <c r="R13" s="6">
        <v>8.5000000000000006E-2</v>
      </c>
      <c r="S13" s="6">
        <v>3</v>
      </c>
      <c r="T13" s="8">
        <v>12</v>
      </c>
      <c r="U13" s="5" t="s">
        <v>991</v>
      </c>
      <c r="V13" s="89">
        <v>0</v>
      </c>
      <c r="W13" s="15">
        <v>17897801304303</v>
      </c>
      <c r="X13" s="6" t="s">
        <v>20</v>
      </c>
      <c r="Y13" s="6" t="s">
        <v>20</v>
      </c>
      <c r="Z13" s="6" t="s">
        <v>20</v>
      </c>
      <c r="AA13" s="6"/>
      <c r="AB13" s="8">
        <v>0</v>
      </c>
      <c r="AC13" s="15">
        <v>27897801304300</v>
      </c>
      <c r="AD13" s="4" t="s">
        <v>992</v>
      </c>
    </row>
    <row r="14" spans="2:30" x14ac:dyDescent="0.35">
      <c r="B14" s="14">
        <v>33</v>
      </c>
      <c r="C14" s="4" t="s">
        <v>30</v>
      </c>
      <c r="D14" s="4" t="s">
        <v>2390</v>
      </c>
      <c r="E14" s="4" t="s">
        <v>2911</v>
      </c>
      <c r="F14" s="4" t="s">
        <v>19</v>
      </c>
      <c r="G14" s="4" t="s">
        <v>990</v>
      </c>
      <c r="H14" s="6">
        <v>0.57899999999999996</v>
      </c>
      <c r="I14" s="8">
        <v>3000</v>
      </c>
      <c r="J14" s="8">
        <v>25</v>
      </c>
      <c r="K14" s="8">
        <v>25</v>
      </c>
      <c r="L14" s="8">
        <f t="shared" si="0"/>
        <v>1875000</v>
      </c>
      <c r="M14" s="15">
        <v>7897801304313</v>
      </c>
      <c r="N14" s="6">
        <v>2.52E-2</v>
      </c>
      <c r="O14" s="6">
        <v>3</v>
      </c>
      <c r="P14" s="6">
        <v>2.52E-2</v>
      </c>
      <c r="Q14" s="6">
        <v>0.1</v>
      </c>
      <c r="R14" s="6">
        <v>0.09</v>
      </c>
      <c r="S14" s="6">
        <v>3</v>
      </c>
      <c r="T14" s="8">
        <v>8</v>
      </c>
      <c r="U14" s="5" t="s">
        <v>991</v>
      </c>
      <c r="V14" s="89">
        <v>0</v>
      </c>
      <c r="W14" s="15">
        <v>17897801304310</v>
      </c>
      <c r="X14" s="6" t="s">
        <v>20</v>
      </c>
      <c r="Y14" s="6" t="s">
        <v>20</v>
      </c>
      <c r="Z14" s="6" t="s">
        <v>20</v>
      </c>
      <c r="AA14" s="6"/>
      <c r="AB14" s="8">
        <v>0</v>
      </c>
      <c r="AC14" s="15">
        <v>27897801304317</v>
      </c>
      <c r="AD14" s="4" t="s">
        <v>992</v>
      </c>
    </row>
    <row r="15" spans="2:30" x14ac:dyDescent="0.35">
      <c r="B15" s="14">
        <v>34</v>
      </c>
      <c r="C15" s="4" t="s">
        <v>31</v>
      </c>
      <c r="D15" s="4" t="s">
        <v>2390</v>
      </c>
      <c r="E15" s="4" t="s">
        <v>2911</v>
      </c>
      <c r="F15" s="4" t="s">
        <v>19</v>
      </c>
      <c r="G15" s="4" t="s">
        <v>990</v>
      </c>
      <c r="H15" s="6">
        <v>0.92500000000000004</v>
      </c>
      <c r="I15" s="8">
        <v>3000</v>
      </c>
      <c r="J15" s="8">
        <v>32</v>
      </c>
      <c r="K15" s="8">
        <v>32</v>
      </c>
      <c r="L15" s="8">
        <f t="shared" si="0"/>
        <v>3072000</v>
      </c>
      <c r="M15" s="15">
        <v>7897801308991</v>
      </c>
      <c r="N15" s="6">
        <v>3.2199999999999999E-2</v>
      </c>
      <c r="O15" s="6">
        <v>3</v>
      </c>
      <c r="P15" s="6">
        <v>3.2199999999999999E-2</v>
      </c>
      <c r="Q15" s="6">
        <v>0.13</v>
      </c>
      <c r="R15" s="6">
        <v>0.09</v>
      </c>
      <c r="S15" s="6">
        <v>3</v>
      </c>
      <c r="T15" s="8">
        <v>10</v>
      </c>
      <c r="U15" s="5" t="s">
        <v>991</v>
      </c>
      <c r="V15" s="89">
        <v>0</v>
      </c>
      <c r="W15" s="15">
        <v>17897801308998</v>
      </c>
      <c r="X15" s="6" t="s">
        <v>20</v>
      </c>
      <c r="Y15" s="6" t="s">
        <v>20</v>
      </c>
      <c r="Z15" s="6" t="s">
        <v>20</v>
      </c>
      <c r="AA15" s="6"/>
      <c r="AB15" s="8">
        <v>0</v>
      </c>
      <c r="AC15" s="15">
        <v>27897801308995</v>
      </c>
      <c r="AD15" s="4" t="s">
        <v>992</v>
      </c>
    </row>
    <row r="16" spans="2:30" x14ac:dyDescent="0.35">
      <c r="B16" s="14">
        <v>35</v>
      </c>
      <c r="C16" s="4" t="s">
        <v>32</v>
      </c>
      <c r="D16" s="4" t="s">
        <v>2390</v>
      </c>
      <c r="E16" s="4" t="s">
        <v>2911</v>
      </c>
      <c r="F16" s="4" t="s">
        <v>19</v>
      </c>
      <c r="G16" s="4" t="s">
        <v>990</v>
      </c>
      <c r="H16" s="6">
        <v>1.32</v>
      </c>
      <c r="I16" s="8">
        <v>3000</v>
      </c>
      <c r="J16" s="8">
        <v>40</v>
      </c>
      <c r="K16" s="8">
        <v>40</v>
      </c>
      <c r="L16" s="8">
        <f t="shared" si="0"/>
        <v>4800000</v>
      </c>
      <c r="M16" s="15">
        <v>7897801309004</v>
      </c>
      <c r="N16" s="6">
        <v>4.02E-2</v>
      </c>
      <c r="O16" s="6">
        <v>3</v>
      </c>
      <c r="P16" s="6">
        <v>4.02E-2</v>
      </c>
      <c r="Q16" s="6">
        <v>0.12</v>
      </c>
      <c r="R16" s="6">
        <v>7.4999999999999997E-2</v>
      </c>
      <c r="S16" s="6">
        <v>3</v>
      </c>
      <c r="T16" s="8">
        <v>5</v>
      </c>
      <c r="U16" s="5" t="s">
        <v>991</v>
      </c>
      <c r="V16" s="89">
        <v>0</v>
      </c>
      <c r="W16" s="15">
        <v>17897801309001</v>
      </c>
      <c r="X16" s="6" t="s">
        <v>20</v>
      </c>
      <c r="Y16" s="6" t="s">
        <v>20</v>
      </c>
      <c r="Z16" s="6" t="s">
        <v>20</v>
      </c>
      <c r="AA16" s="6"/>
      <c r="AB16" s="8">
        <v>0</v>
      </c>
      <c r="AC16" s="15">
        <v>27897801309008</v>
      </c>
      <c r="AD16" s="4" t="s">
        <v>992</v>
      </c>
    </row>
    <row r="17" spans="2:30" x14ac:dyDescent="0.35">
      <c r="B17" s="14">
        <v>36</v>
      </c>
      <c r="C17" s="4" t="s">
        <v>33</v>
      </c>
      <c r="D17" s="4" t="s">
        <v>2390</v>
      </c>
      <c r="E17" s="4" t="s">
        <v>2911</v>
      </c>
      <c r="F17" s="4" t="s">
        <v>19</v>
      </c>
      <c r="G17" s="4" t="s">
        <v>990</v>
      </c>
      <c r="H17" s="6">
        <v>2.0699999999999998</v>
      </c>
      <c r="I17" s="8">
        <v>3000</v>
      </c>
      <c r="J17" s="8">
        <v>50</v>
      </c>
      <c r="K17" s="8">
        <v>50</v>
      </c>
      <c r="L17" s="8">
        <f t="shared" si="0"/>
        <v>7500000</v>
      </c>
      <c r="M17" s="15">
        <v>7897801309011</v>
      </c>
      <c r="N17" s="6">
        <v>5.0200000000000002E-2</v>
      </c>
      <c r="O17" s="6">
        <v>3</v>
      </c>
      <c r="P17" s="6">
        <v>5.0200000000000002E-2</v>
      </c>
      <c r="Q17" s="6">
        <v>0.17</v>
      </c>
      <c r="R17" s="6">
        <v>0.11</v>
      </c>
      <c r="S17" s="6">
        <v>3</v>
      </c>
      <c r="T17" s="8">
        <v>5</v>
      </c>
      <c r="U17" s="5" t="s">
        <v>991</v>
      </c>
      <c r="V17" s="89">
        <v>0</v>
      </c>
      <c r="W17" s="15">
        <v>17897801309018</v>
      </c>
      <c r="X17" s="6" t="s">
        <v>20</v>
      </c>
      <c r="Y17" s="6" t="s">
        <v>20</v>
      </c>
      <c r="Z17" s="6" t="s">
        <v>20</v>
      </c>
      <c r="AA17" s="6"/>
      <c r="AB17" s="8">
        <v>0</v>
      </c>
      <c r="AC17" s="15">
        <v>27897801309015</v>
      </c>
      <c r="AD17" s="4" t="s">
        <v>992</v>
      </c>
    </row>
    <row r="18" spans="2:30" x14ac:dyDescent="0.35">
      <c r="B18" s="14">
        <v>37</v>
      </c>
      <c r="C18" s="4" t="s">
        <v>34</v>
      </c>
      <c r="D18" s="4" t="s">
        <v>2390</v>
      </c>
      <c r="E18" s="4" t="s">
        <v>2911</v>
      </c>
      <c r="F18" s="4" t="s">
        <v>19</v>
      </c>
      <c r="G18" s="4" t="s">
        <v>990</v>
      </c>
      <c r="H18" s="6">
        <v>2.75</v>
      </c>
      <c r="I18" s="8">
        <v>3000</v>
      </c>
      <c r="J18" s="8">
        <v>60</v>
      </c>
      <c r="K18" s="8">
        <v>60</v>
      </c>
      <c r="L18" s="8">
        <f t="shared" si="0"/>
        <v>10800000</v>
      </c>
      <c r="M18" s="15">
        <v>7897801309028</v>
      </c>
      <c r="N18" s="6">
        <v>6.0199999999999997E-2</v>
      </c>
      <c r="O18" s="6">
        <v>3</v>
      </c>
      <c r="P18" s="6">
        <v>6.0199999999999997E-2</v>
      </c>
      <c r="Q18" s="6">
        <v>0.125</v>
      </c>
      <c r="R18" s="6">
        <v>0.12</v>
      </c>
      <c r="S18" s="6">
        <v>3</v>
      </c>
      <c r="T18" s="8">
        <v>3</v>
      </c>
      <c r="U18" s="5" t="s">
        <v>991</v>
      </c>
      <c r="V18" s="89">
        <v>0</v>
      </c>
      <c r="W18" s="15">
        <v>17897801309025</v>
      </c>
      <c r="X18" s="6" t="s">
        <v>20</v>
      </c>
      <c r="Y18" s="6" t="s">
        <v>20</v>
      </c>
      <c r="Z18" s="6" t="s">
        <v>20</v>
      </c>
      <c r="AA18" s="6"/>
      <c r="AB18" s="8">
        <v>0</v>
      </c>
      <c r="AC18" s="15">
        <v>27897801309022</v>
      </c>
      <c r="AD18" s="4" t="s">
        <v>992</v>
      </c>
    </row>
    <row r="19" spans="2:30" x14ac:dyDescent="0.35">
      <c r="B19" s="14">
        <v>38</v>
      </c>
      <c r="C19" s="4" t="s">
        <v>35</v>
      </c>
      <c r="D19" s="4" t="s">
        <v>2390</v>
      </c>
      <c r="E19" s="4" t="s">
        <v>2911</v>
      </c>
      <c r="F19" s="4" t="s">
        <v>19</v>
      </c>
      <c r="G19" s="4" t="s">
        <v>990</v>
      </c>
      <c r="H19" s="6">
        <v>4.2249999999999996</v>
      </c>
      <c r="I19" s="8">
        <v>3000</v>
      </c>
      <c r="J19" s="8">
        <v>75</v>
      </c>
      <c r="K19" s="8">
        <v>75</v>
      </c>
      <c r="L19" s="8">
        <f t="shared" si="0"/>
        <v>16875000</v>
      </c>
      <c r="M19" s="15">
        <v>7897801309035</v>
      </c>
      <c r="N19" s="6">
        <v>7.4999999999999997E-2</v>
      </c>
      <c r="O19" s="6">
        <v>3</v>
      </c>
      <c r="P19" s="6">
        <v>7.4999999999999997E-2</v>
      </c>
      <c r="Q19" s="6">
        <v>0.08</v>
      </c>
      <c r="R19" s="6">
        <v>0.08</v>
      </c>
      <c r="S19" s="6">
        <v>3</v>
      </c>
      <c r="T19" s="8">
        <v>1</v>
      </c>
      <c r="U19" s="5" t="s">
        <v>991</v>
      </c>
      <c r="V19" s="89">
        <v>0</v>
      </c>
      <c r="W19" s="15">
        <v>17897801309032</v>
      </c>
      <c r="X19" s="6" t="s">
        <v>20</v>
      </c>
      <c r="Y19" s="6" t="s">
        <v>20</v>
      </c>
      <c r="Z19" s="6" t="s">
        <v>20</v>
      </c>
      <c r="AA19" s="6"/>
      <c r="AB19" s="8">
        <v>0</v>
      </c>
      <c r="AC19" s="15">
        <v>27897801309039</v>
      </c>
      <c r="AD19" s="4" t="s">
        <v>992</v>
      </c>
    </row>
    <row r="20" spans="2:30" x14ac:dyDescent="0.35">
      <c r="B20" s="14">
        <v>50</v>
      </c>
      <c r="C20" s="4" t="s">
        <v>36</v>
      </c>
      <c r="D20" s="4" t="s">
        <v>2416</v>
      </c>
      <c r="E20" s="4" t="s">
        <v>2912</v>
      </c>
      <c r="F20" s="4" t="s">
        <v>19</v>
      </c>
      <c r="G20" s="4" t="s">
        <v>990</v>
      </c>
      <c r="H20" s="6">
        <v>0.32</v>
      </c>
      <c r="I20" s="8">
        <v>3000</v>
      </c>
      <c r="J20" s="8">
        <v>15</v>
      </c>
      <c r="K20" s="8">
        <v>15</v>
      </c>
      <c r="L20" s="8">
        <f t="shared" si="0"/>
        <v>675000</v>
      </c>
      <c r="M20" s="15">
        <v>7897801320269</v>
      </c>
      <c r="N20" s="6">
        <v>1.4999999999999999E-2</v>
      </c>
      <c r="O20" s="6">
        <v>3</v>
      </c>
      <c r="P20" s="6">
        <v>1.4999999999999999E-2</v>
      </c>
      <c r="Q20" s="6">
        <v>1.4999999999999999E-2</v>
      </c>
      <c r="R20" s="6">
        <v>1.4999999999999999E-2</v>
      </c>
      <c r="S20" s="6">
        <v>3</v>
      </c>
      <c r="T20" s="8">
        <v>20</v>
      </c>
      <c r="U20" s="5" t="s">
        <v>991</v>
      </c>
      <c r="V20" s="89">
        <v>0</v>
      </c>
      <c r="W20" s="15">
        <v>17897801320266</v>
      </c>
      <c r="X20" s="6" t="s">
        <v>20</v>
      </c>
      <c r="Y20" s="6" t="s">
        <v>20</v>
      </c>
      <c r="Z20" s="6" t="s">
        <v>20</v>
      </c>
      <c r="AA20" s="6"/>
      <c r="AB20" s="8">
        <v>0</v>
      </c>
      <c r="AC20" s="15">
        <v>27897801320263</v>
      </c>
      <c r="AD20" s="4" t="s">
        <v>992</v>
      </c>
    </row>
    <row r="21" spans="2:30" x14ac:dyDescent="0.35">
      <c r="B21" s="18">
        <v>51</v>
      </c>
      <c r="C21" s="24" t="s">
        <v>37</v>
      </c>
      <c r="D21" s="4" t="s">
        <v>2416</v>
      </c>
      <c r="E21" s="4" t="s">
        <v>2912</v>
      </c>
      <c r="F21" s="4" t="s">
        <v>19</v>
      </c>
      <c r="G21" s="4" t="s">
        <v>990</v>
      </c>
      <c r="H21" s="6">
        <v>0.61</v>
      </c>
      <c r="I21" s="8">
        <v>3000</v>
      </c>
      <c r="J21" s="8">
        <v>22</v>
      </c>
      <c r="K21" s="8">
        <v>22</v>
      </c>
      <c r="L21" s="8">
        <f t="shared" si="0"/>
        <v>1452000</v>
      </c>
      <c r="M21" s="15">
        <v>7897801320276</v>
      </c>
      <c r="N21" s="6">
        <v>2.1999999999999999E-2</v>
      </c>
      <c r="O21" s="6">
        <v>3</v>
      </c>
      <c r="P21" s="6">
        <v>2.1999999999999999E-2</v>
      </c>
      <c r="Q21" s="6">
        <v>2.1999999999999999E-2</v>
      </c>
      <c r="R21" s="6">
        <v>3</v>
      </c>
      <c r="S21" s="6">
        <v>2.1999999999999999E-2</v>
      </c>
      <c r="T21" s="8">
        <v>20</v>
      </c>
      <c r="U21" s="5" t="s">
        <v>991</v>
      </c>
      <c r="V21" s="89">
        <v>0</v>
      </c>
      <c r="W21" s="15">
        <v>17897801320273</v>
      </c>
      <c r="X21" s="6" t="s">
        <v>20</v>
      </c>
      <c r="Y21" s="6" t="s">
        <v>20</v>
      </c>
      <c r="Z21" s="6" t="s">
        <v>20</v>
      </c>
      <c r="AA21" s="6"/>
      <c r="AB21" s="8">
        <v>0</v>
      </c>
      <c r="AC21" s="15">
        <v>27897801320270</v>
      </c>
      <c r="AD21" s="4" t="s">
        <v>992</v>
      </c>
    </row>
    <row r="22" spans="2:30" x14ac:dyDescent="0.35">
      <c r="B22" s="18">
        <v>52</v>
      </c>
      <c r="C22" s="24" t="s">
        <v>38</v>
      </c>
      <c r="D22" s="4" t="s">
        <v>2416</v>
      </c>
      <c r="E22" s="4" t="s">
        <v>2912</v>
      </c>
      <c r="F22" s="4" t="s">
        <v>19</v>
      </c>
      <c r="G22" s="4" t="s">
        <v>990</v>
      </c>
      <c r="H22" s="6">
        <v>0.95</v>
      </c>
      <c r="I22" s="8">
        <v>3000</v>
      </c>
      <c r="J22" s="8">
        <v>28</v>
      </c>
      <c r="K22" s="8">
        <v>28</v>
      </c>
      <c r="L22" s="8">
        <f t="shared" si="0"/>
        <v>2352000</v>
      </c>
      <c r="M22" s="15">
        <v>7897801320283</v>
      </c>
      <c r="N22" s="6">
        <v>2.8000000000000001E-2</v>
      </c>
      <c r="O22" s="6">
        <v>3</v>
      </c>
      <c r="P22" s="6">
        <v>2.8000000000000001E-2</v>
      </c>
      <c r="Q22" s="6">
        <v>2.8000000000000001E-2</v>
      </c>
      <c r="R22" s="6">
        <v>3</v>
      </c>
      <c r="S22" s="6">
        <v>2.8000000000000001E-2</v>
      </c>
      <c r="T22" s="8">
        <v>10</v>
      </c>
      <c r="U22" s="5" t="s">
        <v>991</v>
      </c>
      <c r="V22" s="89">
        <v>0</v>
      </c>
      <c r="W22" s="15">
        <v>17897801320280</v>
      </c>
      <c r="X22" s="6" t="s">
        <v>20</v>
      </c>
      <c r="Y22" s="6" t="s">
        <v>20</v>
      </c>
      <c r="Z22" s="6" t="s">
        <v>20</v>
      </c>
      <c r="AA22" s="6"/>
      <c r="AB22" s="8">
        <v>0</v>
      </c>
      <c r="AC22" s="15">
        <v>27897801320287</v>
      </c>
      <c r="AD22" s="4" t="s">
        <v>992</v>
      </c>
    </row>
    <row r="23" spans="2:30" x14ac:dyDescent="0.35">
      <c r="B23" s="73">
        <v>78</v>
      </c>
      <c r="C23" s="24" t="s">
        <v>2953</v>
      </c>
      <c r="D23" s="4" t="s">
        <v>2394</v>
      </c>
      <c r="E23" s="4" t="s">
        <v>2913</v>
      </c>
      <c r="F23" s="4" t="s">
        <v>85</v>
      </c>
      <c r="G23" s="4" t="s">
        <v>2946</v>
      </c>
      <c r="H23" s="6">
        <v>0.71499999999999997</v>
      </c>
      <c r="I23" s="8">
        <v>125</v>
      </c>
      <c r="J23" s="8">
        <v>48</v>
      </c>
      <c r="K23" s="8">
        <v>125</v>
      </c>
      <c r="L23" s="8">
        <f t="shared" si="0"/>
        <v>750000</v>
      </c>
      <c r="M23" s="15">
        <v>7898708518384</v>
      </c>
      <c r="N23" s="6" t="s">
        <v>20</v>
      </c>
      <c r="O23" s="6" t="s">
        <v>20</v>
      </c>
      <c r="P23" s="6" t="s">
        <v>20</v>
      </c>
      <c r="Q23" s="6">
        <v>0.1</v>
      </c>
      <c r="R23" s="6">
        <v>2.4E-2</v>
      </c>
      <c r="S23" s="6">
        <v>0.1</v>
      </c>
      <c r="T23" s="8">
        <v>1</v>
      </c>
      <c r="U23" s="5" t="s">
        <v>994</v>
      </c>
      <c r="V23" s="89">
        <v>0</v>
      </c>
      <c r="W23" s="15">
        <v>17898708518381</v>
      </c>
      <c r="X23" s="6">
        <v>6.6000000000000003E-2</v>
      </c>
      <c r="Y23" s="6">
        <v>0.25</v>
      </c>
      <c r="Z23" s="6">
        <v>0.16500000000000001</v>
      </c>
      <c r="AA23" s="6">
        <f t="shared" ref="AA23:AA35" si="1">Y23*X23*Z23</f>
        <v>2.7225000000000001E-3</v>
      </c>
      <c r="AB23" s="8">
        <v>20</v>
      </c>
      <c r="AC23" s="15">
        <v>27898708518388</v>
      </c>
      <c r="AD23" s="4" t="s">
        <v>992</v>
      </c>
    </row>
    <row r="24" spans="2:30" x14ac:dyDescent="0.35">
      <c r="B24" s="73">
        <v>79</v>
      </c>
      <c r="C24" s="24" t="s">
        <v>2954</v>
      </c>
      <c r="D24" s="4" t="s">
        <v>2394</v>
      </c>
      <c r="E24" s="4" t="s">
        <v>2913</v>
      </c>
      <c r="F24" s="4" t="s">
        <v>85</v>
      </c>
      <c r="G24" s="4" t="s">
        <v>2946</v>
      </c>
      <c r="H24" s="6">
        <v>1.083</v>
      </c>
      <c r="I24" s="8">
        <v>195</v>
      </c>
      <c r="J24" s="8">
        <v>39</v>
      </c>
      <c r="K24" s="8">
        <v>195</v>
      </c>
      <c r="L24" s="8">
        <f t="shared" si="0"/>
        <v>1482975</v>
      </c>
      <c r="M24" s="15">
        <v>7898708518391</v>
      </c>
      <c r="N24" s="6" t="s">
        <v>20</v>
      </c>
      <c r="O24" s="6" t="s">
        <v>20</v>
      </c>
      <c r="P24" s="6" t="s">
        <v>20</v>
      </c>
      <c r="Q24" s="6">
        <v>0.152</v>
      </c>
      <c r="R24" s="6">
        <v>0.02</v>
      </c>
      <c r="S24" s="6">
        <v>0.152</v>
      </c>
      <c r="T24" s="8">
        <v>1</v>
      </c>
      <c r="U24" s="5" t="s">
        <v>994</v>
      </c>
      <c r="V24" s="89">
        <v>0</v>
      </c>
      <c r="W24" s="15">
        <v>17898708518398</v>
      </c>
      <c r="X24" s="6">
        <v>4.4999999999999998E-2</v>
      </c>
      <c r="Y24" s="6">
        <v>0.222</v>
      </c>
      <c r="Z24" s="6">
        <v>0.223</v>
      </c>
      <c r="AA24" s="6">
        <f t="shared" si="1"/>
        <v>2.22777E-3</v>
      </c>
      <c r="AB24" s="8">
        <v>45</v>
      </c>
      <c r="AC24" s="15">
        <v>27898708518395</v>
      </c>
      <c r="AD24" s="4" t="s">
        <v>992</v>
      </c>
    </row>
    <row r="25" spans="2:30" x14ac:dyDescent="0.35">
      <c r="B25" s="73">
        <v>80</v>
      </c>
      <c r="C25" s="24" t="s">
        <v>2955</v>
      </c>
      <c r="D25" s="4" t="s">
        <v>2394</v>
      </c>
      <c r="E25" s="4" t="s">
        <v>2913</v>
      </c>
      <c r="F25" s="4" t="s">
        <v>85</v>
      </c>
      <c r="G25" s="4" t="s">
        <v>2947</v>
      </c>
      <c r="H25" s="6">
        <v>0.69599999999999995</v>
      </c>
      <c r="I25" s="8">
        <v>523</v>
      </c>
      <c r="J25" s="8">
        <v>25</v>
      </c>
      <c r="K25" s="8">
        <v>100</v>
      </c>
      <c r="L25" s="8">
        <f t="shared" si="0"/>
        <v>1307500</v>
      </c>
      <c r="M25" s="15">
        <v>7898708518407</v>
      </c>
      <c r="N25" s="6" t="s">
        <v>20</v>
      </c>
      <c r="O25" s="6" t="s">
        <v>20</v>
      </c>
      <c r="P25" s="6" t="s">
        <v>20</v>
      </c>
      <c r="Q25" s="6">
        <v>7.5999999999999998E-2</v>
      </c>
      <c r="R25" s="6">
        <v>1.2E-2</v>
      </c>
      <c r="S25" s="6">
        <v>0.248</v>
      </c>
      <c r="T25" s="8">
        <v>1</v>
      </c>
      <c r="U25" s="5" t="s">
        <v>994</v>
      </c>
      <c r="V25" s="89">
        <v>0</v>
      </c>
      <c r="W25" s="15">
        <v>17898708518404</v>
      </c>
      <c r="X25" s="6">
        <v>0.105</v>
      </c>
      <c r="Y25" s="6">
        <v>7.4999999999999997E-2</v>
      </c>
      <c r="Z25" s="6">
        <v>0.53</v>
      </c>
      <c r="AA25" s="6">
        <f t="shared" si="1"/>
        <v>4.1737500000000004E-3</v>
      </c>
      <c r="AB25" s="8">
        <v>30</v>
      </c>
      <c r="AC25" s="15">
        <v>27898708518401</v>
      </c>
      <c r="AD25" s="4" t="s">
        <v>992</v>
      </c>
    </row>
    <row r="26" spans="2:30" x14ac:dyDescent="0.35">
      <c r="B26" s="73">
        <v>81</v>
      </c>
      <c r="C26" s="24" t="s">
        <v>2956</v>
      </c>
      <c r="D26" s="4" t="s">
        <v>2394</v>
      </c>
      <c r="E26" s="4" t="s">
        <v>2913</v>
      </c>
      <c r="F26" s="4" t="s">
        <v>85</v>
      </c>
      <c r="G26" s="4" t="s">
        <v>1004</v>
      </c>
      <c r="H26" s="6">
        <v>0.51400000000000001</v>
      </c>
      <c r="I26" s="8">
        <v>523</v>
      </c>
      <c r="J26" s="8">
        <v>25</v>
      </c>
      <c r="K26" s="8">
        <v>100</v>
      </c>
      <c r="L26" s="8">
        <f t="shared" si="0"/>
        <v>1307500</v>
      </c>
      <c r="M26" s="15">
        <v>7898708518414</v>
      </c>
      <c r="N26" s="6" t="s">
        <v>20</v>
      </c>
      <c r="O26" s="6" t="s">
        <v>20</v>
      </c>
      <c r="P26" s="6" t="s">
        <v>20</v>
      </c>
      <c r="Q26" s="6">
        <v>7.5999999999999998E-2</v>
      </c>
      <c r="R26" s="6">
        <v>2.5999999999999999E-2</v>
      </c>
      <c r="S26" s="6">
        <v>0.248</v>
      </c>
      <c r="T26" s="8">
        <v>1</v>
      </c>
      <c r="U26" s="5" t="s">
        <v>994</v>
      </c>
      <c r="V26" s="89">
        <v>0</v>
      </c>
      <c r="W26" s="15">
        <v>17898708518411</v>
      </c>
      <c r="X26" s="6">
        <v>0.105</v>
      </c>
      <c r="Y26" s="6">
        <v>7.4999999999999997E-2</v>
      </c>
      <c r="Z26" s="6">
        <v>0.53</v>
      </c>
      <c r="AA26" s="6">
        <f t="shared" si="1"/>
        <v>4.1737500000000004E-3</v>
      </c>
      <c r="AB26" s="8">
        <v>24</v>
      </c>
      <c r="AC26" s="15">
        <v>27898708518418</v>
      </c>
      <c r="AD26" s="4" t="s">
        <v>992</v>
      </c>
    </row>
    <row r="27" spans="2:30" x14ac:dyDescent="0.35">
      <c r="B27" s="73">
        <v>82</v>
      </c>
      <c r="C27" s="24" t="s">
        <v>2957</v>
      </c>
      <c r="D27" s="4" t="s">
        <v>2394</v>
      </c>
      <c r="E27" s="4" t="s">
        <v>2913</v>
      </c>
      <c r="F27" s="4" t="s">
        <v>85</v>
      </c>
      <c r="G27" s="4" t="s">
        <v>2947</v>
      </c>
      <c r="H27" s="6">
        <v>1.0640000000000001</v>
      </c>
      <c r="I27" s="8">
        <v>523</v>
      </c>
      <c r="J27" s="8">
        <v>25</v>
      </c>
      <c r="K27" s="8">
        <v>100</v>
      </c>
      <c r="L27" s="8">
        <f t="shared" si="0"/>
        <v>1307500</v>
      </c>
      <c r="M27" s="15">
        <v>7898708518421</v>
      </c>
      <c r="N27" s="6" t="s">
        <v>20</v>
      </c>
      <c r="O27" s="6" t="s">
        <v>20</v>
      </c>
      <c r="P27" s="6" t="s">
        <v>20</v>
      </c>
      <c r="Q27" s="6">
        <v>7.5999999999999998E-2</v>
      </c>
      <c r="R27" s="6">
        <v>1.2E-2</v>
      </c>
      <c r="S27" s="6">
        <v>0.248</v>
      </c>
      <c r="T27" s="8">
        <v>1</v>
      </c>
      <c r="U27" s="5" t="s">
        <v>994</v>
      </c>
      <c r="V27" s="89">
        <v>0</v>
      </c>
      <c r="W27" s="15">
        <v>17898708518428</v>
      </c>
      <c r="X27" s="6">
        <v>0.105</v>
      </c>
      <c r="Y27" s="6">
        <v>7.4999999999999997E-2</v>
      </c>
      <c r="Z27" s="6">
        <v>0.53</v>
      </c>
      <c r="AA27" s="6">
        <f t="shared" si="1"/>
        <v>4.1737500000000004E-3</v>
      </c>
      <c r="AB27" s="8">
        <v>30</v>
      </c>
      <c r="AC27" s="15">
        <v>27898708518425</v>
      </c>
      <c r="AD27" s="4" t="s">
        <v>992</v>
      </c>
    </row>
    <row r="28" spans="2:30" x14ac:dyDescent="0.35">
      <c r="B28" s="73">
        <v>83</v>
      </c>
      <c r="C28" s="24" t="s">
        <v>2958</v>
      </c>
      <c r="D28" s="4" t="s">
        <v>2394</v>
      </c>
      <c r="E28" s="4" t="s">
        <v>2913</v>
      </c>
      <c r="F28" s="4" t="s">
        <v>85</v>
      </c>
      <c r="G28" s="4" t="s">
        <v>1004</v>
      </c>
      <c r="H28" s="6">
        <v>0.72899999999999998</v>
      </c>
      <c r="I28" s="8">
        <v>523</v>
      </c>
      <c r="J28" s="8">
        <v>25</v>
      </c>
      <c r="K28" s="8">
        <v>100</v>
      </c>
      <c r="L28" s="8">
        <f t="shared" si="0"/>
        <v>1307500</v>
      </c>
      <c r="M28" s="15">
        <v>7898708518438</v>
      </c>
      <c r="N28" s="6" t="s">
        <v>20</v>
      </c>
      <c r="O28" s="6" t="s">
        <v>20</v>
      </c>
      <c r="P28" s="6" t="s">
        <v>20</v>
      </c>
      <c r="Q28" s="6">
        <v>7.5999999999999998E-2</v>
      </c>
      <c r="R28" s="6">
        <v>2.5999999999999999E-2</v>
      </c>
      <c r="S28" s="6">
        <v>0.248</v>
      </c>
      <c r="T28" s="8">
        <v>1</v>
      </c>
      <c r="U28" s="5" t="s">
        <v>994</v>
      </c>
      <c r="V28" s="89">
        <v>0</v>
      </c>
      <c r="W28" s="15">
        <v>17898708518435</v>
      </c>
      <c r="X28" s="6">
        <v>0.105</v>
      </c>
      <c r="Y28" s="6">
        <v>7.4999999999999997E-2</v>
      </c>
      <c r="Z28" s="6">
        <v>0.53</v>
      </c>
      <c r="AA28" s="6">
        <f t="shared" si="1"/>
        <v>4.1737500000000004E-3</v>
      </c>
      <c r="AB28" s="8">
        <v>24</v>
      </c>
      <c r="AC28" s="15">
        <v>27898708518432</v>
      </c>
      <c r="AD28" s="4" t="s">
        <v>992</v>
      </c>
    </row>
    <row r="29" spans="2:30" x14ac:dyDescent="0.35">
      <c r="B29" s="73">
        <v>84</v>
      </c>
      <c r="C29" s="24" t="s">
        <v>2959</v>
      </c>
      <c r="D29" s="4" t="s">
        <v>2394</v>
      </c>
      <c r="E29" s="4" t="s">
        <v>2913</v>
      </c>
      <c r="F29" s="4" t="s">
        <v>85</v>
      </c>
      <c r="G29" s="4" t="s">
        <v>2947</v>
      </c>
      <c r="H29" s="6">
        <v>0.495</v>
      </c>
      <c r="I29" s="8">
        <v>773</v>
      </c>
      <c r="J29" s="8">
        <v>33</v>
      </c>
      <c r="K29" s="8">
        <v>100</v>
      </c>
      <c r="L29" s="8">
        <f t="shared" si="0"/>
        <v>2550900</v>
      </c>
      <c r="M29" s="15">
        <v>7898708518445</v>
      </c>
      <c r="N29" s="6" t="s">
        <v>20</v>
      </c>
      <c r="O29" s="6" t="s">
        <v>20</v>
      </c>
      <c r="P29" s="6" t="s">
        <v>20</v>
      </c>
      <c r="Q29" s="6">
        <v>7.5999999999999998E-2</v>
      </c>
      <c r="R29" s="6">
        <v>1.2E-2</v>
      </c>
      <c r="S29" s="6">
        <v>0.248</v>
      </c>
      <c r="T29" s="8">
        <v>1</v>
      </c>
      <c r="U29" s="5" t="s">
        <v>994</v>
      </c>
      <c r="V29" s="89">
        <v>0</v>
      </c>
      <c r="W29" s="15">
        <v>17898708518442</v>
      </c>
      <c r="X29" s="6">
        <v>0.105</v>
      </c>
      <c r="Y29" s="6">
        <v>7.4999999999999997E-2</v>
      </c>
      <c r="Z29" s="6">
        <v>0.77500000000000002</v>
      </c>
      <c r="AA29" s="6">
        <f t="shared" si="1"/>
        <v>6.103125E-3</v>
      </c>
      <c r="AB29" s="8">
        <v>20</v>
      </c>
      <c r="AC29" s="15">
        <v>27898708518449</v>
      </c>
      <c r="AD29" s="4" t="s">
        <v>992</v>
      </c>
    </row>
    <row r="30" spans="2:30" x14ac:dyDescent="0.35">
      <c r="B30" s="73">
        <v>85</v>
      </c>
      <c r="C30" s="24" t="s">
        <v>2960</v>
      </c>
      <c r="D30" s="4" t="s">
        <v>2394</v>
      </c>
      <c r="E30" s="4" t="s">
        <v>2913</v>
      </c>
      <c r="F30" s="4" t="s">
        <v>85</v>
      </c>
      <c r="G30" s="4" t="s">
        <v>1004</v>
      </c>
      <c r="H30" s="6">
        <v>0.19700000000000001</v>
      </c>
      <c r="I30" s="8">
        <v>773</v>
      </c>
      <c r="J30" s="8">
        <v>33</v>
      </c>
      <c r="K30" s="8">
        <v>100</v>
      </c>
      <c r="L30" s="8">
        <f t="shared" si="0"/>
        <v>2550900</v>
      </c>
      <c r="M30" s="15">
        <v>7898708518452</v>
      </c>
      <c r="N30" s="6" t="s">
        <v>20</v>
      </c>
      <c r="O30" s="6" t="s">
        <v>20</v>
      </c>
      <c r="P30" s="6" t="s">
        <v>20</v>
      </c>
      <c r="Q30" s="6">
        <v>7.5999999999999998E-2</v>
      </c>
      <c r="R30" s="6">
        <v>2.5999999999999999E-2</v>
      </c>
      <c r="S30" s="6">
        <v>0.748</v>
      </c>
      <c r="T30" s="8">
        <v>1</v>
      </c>
      <c r="U30" s="5" t="s">
        <v>994</v>
      </c>
      <c r="V30" s="89">
        <v>0</v>
      </c>
      <c r="W30" s="15">
        <v>17898708518459</v>
      </c>
      <c r="X30" s="6">
        <v>0.105</v>
      </c>
      <c r="Y30" s="6">
        <v>7.4999999999999997E-2</v>
      </c>
      <c r="Z30" s="6">
        <v>0.77500000000000002</v>
      </c>
      <c r="AA30" s="6">
        <f t="shared" si="1"/>
        <v>6.103125E-3</v>
      </c>
      <c r="AB30" s="8">
        <v>18</v>
      </c>
      <c r="AC30" s="15">
        <v>27898708518456</v>
      </c>
      <c r="AD30" s="4" t="s">
        <v>992</v>
      </c>
    </row>
    <row r="31" spans="2:30" x14ac:dyDescent="0.35">
      <c r="B31" s="73">
        <v>86</v>
      </c>
      <c r="C31" s="24" t="s">
        <v>2961</v>
      </c>
      <c r="D31" s="4" t="s">
        <v>2394</v>
      </c>
      <c r="E31" s="4" t="s">
        <v>2913</v>
      </c>
      <c r="F31" s="4" t="s">
        <v>85</v>
      </c>
      <c r="G31" s="4" t="s">
        <v>2947</v>
      </c>
      <c r="H31" s="6">
        <v>0.71</v>
      </c>
      <c r="I31" s="8">
        <v>773</v>
      </c>
      <c r="J31" s="8">
        <v>33</v>
      </c>
      <c r="K31" s="8">
        <v>100</v>
      </c>
      <c r="L31" s="8">
        <f t="shared" si="0"/>
        <v>2550900</v>
      </c>
      <c r="M31" s="15">
        <v>7898708518469</v>
      </c>
      <c r="N31" s="6" t="s">
        <v>20</v>
      </c>
      <c r="O31" s="6" t="s">
        <v>20</v>
      </c>
      <c r="P31" s="6" t="s">
        <v>20</v>
      </c>
      <c r="Q31" s="6">
        <v>7.5999999999999998E-2</v>
      </c>
      <c r="R31" s="6">
        <v>1.2E-2</v>
      </c>
      <c r="S31" s="6">
        <v>0.248</v>
      </c>
      <c r="T31" s="8">
        <v>1</v>
      </c>
      <c r="U31" s="5" t="s">
        <v>994</v>
      </c>
      <c r="V31" s="89">
        <v>0</v>
      </c>
      <c r="W31" s="15">
        <v>17898708518466</v>
      </c>
      <c r="X31" s="6">
        <v>0.105</v>
      </c>
      <c r="Y31" s="6">
        <v>7.4999999999999997E-2</v>
      </c>
      <c r="Z31" s="6">
        <v>0.77500000000000002</v>
      </c>
      <c r="AA31" s="6">
        <f t="shared" si="1"/>
        <v>6.103125E-3</v>
      </c>
      <c r="AB31" s="8">
        <v>20</v>
      </c>
      <c r="AC31" s="15">
        <v>27898708518463</v>
      </c>
      <c r="AD31" s="4" t="s">
        <v>992</v>
      </c>
    </row>
    <row r="32" spans="2:30" x14ac:dyDescent="0.35">
      <c r="B32" s="73">
        <v>87</v>
      </c>
      <c r="C32" s="24" t="s">
        <v>2962</v>
      </c>
      <c r="D32" s="4" t="s">
        <v>2394</v>
      </c>
      <c r="E32" s="4" t="s">
        <v>2913</v>
      </c>
      <c r="F32" s="4" t="s">
        <v>85</v>
      </c>
      <c r="G32" s="4" t="s">
        <v>1004</v>
      </c>
      <c r="H32" s="6">
        <v>0.42399999999999999</v>
      </c>
      <c r="I32" s="8">
        <v>773</v>
      </c>
      <c r="J32" s="8">
        <v>33</v>
      </c>
      <c r="K32" s="8">
        <v>100</v>
      </c>
      <c r="L32" s="8">
        <f t="shared" si="0"/>
        <v>2550900</v>
      </c>
      <c r="M32" s="15">
        <v>7898708518476</v>
      </c>
      <c r="N32" s="6" t="s">
        <v>20</v>
      </c>
      <c r="O32" s="6" t="s">
        <v>20</v>
      </c>
      <c r="P32" s="6" t="s">
        <v>20</v>
      </c>
      <c r="Q32" s="6">
        <v>7.5999999999999998E-2</v>
      </c>
      <c r="R32" s="6">
        <v>2.5999999999999999E-2</v>
      </c>
      <c r="S32" s="6">
        <v>0.748</v>
      </c>
      <c r="T32" s="8">
        <v>1</v>
      </c>
      <c r="U32" s="5" t="s">
        <v>994</v>
      </c>
      <c r="V32" s="89">
        <v>0</v>
      </c>
      <c r="W32" s="15">
        <v>17898708518473</v>
      </c>
      <c r="X32" s="6">
        <v>0.105</v>
      </c>
      <c r="Y32" s="6">
        <v>7.4999999999999997E-2</v>
      </c>
      <c r="Z32" s="6">
        <v>0.77500000000000002</v>
      </c>
      <c r="AA32" s="6">
        <f t="shared" si="1"/>
        <v>6.103125E-3</v>
      </c>
      <c r="AB32" s="8">
        <v>18</v>
      </c>
      <c r="AC32" s="15">
        <v>27898708518470</v>
      </c>
      <c r="AD32" s="4" t="s">
        <v>992</v>
      </c>
    </row>
    <row r="33" spans="2:30" x14ac:dyDescent="0.35">
      <c r="B33" s="73">
        <v>88</v>
      </c>
      <c r="C33" s="24" t="s">
        <v>2963</v>
      </c>
      <c r="D33" s="4" t="s">
        <v>2394</v>
      </c>
      <c r="E33" s="4" t="s">
        <v>2913</v>
      </c>
      <c r="F33" s="4" t="s">
        <v>85</v>
      </c>
      <c r="G33" s="4" t="s">
        <v>2946</v>
      </c>
      <c r="H33" s="6">
        <v>5.8999999999999997E-2</v>
      </c>
      <c r="I33" s="8">
        <v>50</v>
      </c>
      <c r="J33" s="8">
        <v>80</v>
      </c>
      <c r="K33" s="8">
        <v>50</v>
      </c>
      <c r="L33" s="8">
        <f t="shared" si="0"/>
        <v>200000</v>
      </c>
      <c r="M33" s="15">
        <v>7898708518483</v>
      </c>
      <c r="N33" s="6" t="s">
        <v>20</v>
      </c>
      <c r="O33" s="6" t="s">
        <v>20</v>
      </c>
      <c r="P33" s="6" t="s">
        <v>20</v>
      </c>
      <c r="Q33" s="6">
        <v>5.3999999999999999E-2</v>
      </c>
      <c r="R33" s="6">
        <v>0.185</v>
      </c>
      <c r="S33" s="6">
        <v>0.13100000000000001</v>
      </c>
      <c r="T33" s="8">
        <v>1</v>
      </c>
      <c r="U33" s="5" t="s">
        <v>994</v>
      </c>
      <c r="V33" s="89">
        <v>0</v>
      </c>
      <c r="W33" s="15">
        <v>17898708518480</v>
      </c>
      <c r="X33" s="6">
        <v>0.27</v>
      </c>
      <c r="Y33" s="6">
        <v>0.27</v>
      </c>
      <c r="Z33" s="6">
        <v>0.33</v>
      </c>
      <c r="AA33" s="6">
        <f t="shared" si="1"/>
        <v>2.4057000000000002E-2</v>
      </c>
      <c r="AB33" s="8">
        <v>20</v>
      </c>
      <c r="AC33" s="15">
        <v>27898708518487</v>
      </c>
      <c r="AD33" s="4" t="s">
        <v>992</v>
      </c>
    </row>
    <row r="34" spans="2:30" x14ac:dyDescent="0.35">
      <c r="B34" s="73">
        <v>89</v>
      </c>
      <c r="C34" s="24" t="s">
        <v>2964</v>
      </c>
      <c r="D34" s="4" t="s">
        <v>2394</v>
      </c>
      <c r="E34" s="4" t="s">
        <v>2913</v>
      </c>
      <c r="F34" s="4" t="s">
        <v>85</v>
      </c>
      <c r="G34" s="4" t="s">
        <v>1012</v>
      </c>
      <c r="H34" s="6">
        <v>5.6000000000000001E-2</v>
      </c>
      <c r="I34" s="8">
        <v>95</v>
      </c>
      <c r="J34" s="8">
        <v>30</v>
      </c>
      <c r="K34" s="8">
        <v>95</v>
      </c>
      <c r="L34" s="8">
        <f t="shared" si="0"/>
        <v>270750</v>
      </c>
      <c r="M34" s="15">
        <v>7898708518490</v>
      </c>
      <c r="N34" s="6" t="s">
        <v>20</v>
      </c>
      <c r="O34" s="6" t="s">
        <v>20</v>
      </c>
      <c r="P34" s="6" t="s">
        <v>20</v>
      </c>
      <c r="Q34" s="6">
        <v>0.19</v>
      </c>
      <c r="R34" s="6">
        <v>0.03</v>
      </c>
      <c r="S34" s="6">
        <v>0.26500000000000001</v>
      </c>
      <c r="T34" s="8">
        <v>1</v>
      </c>
      <c r="U34" s="5" t="s">
        <v>994</v>
      </c>
      <c r="V34" s="89">
        <v>0</v>
      </c>
      <c r="W34" s="15">
        <v>17898708518497</v>
      </c>
      <c r="X34" s="6">
        <v>0.27</v>
      </c>
      <c r="Y34" s="6">
        <v>0.27</v>
      </c>
      <c r="Z34" s="6">
        <v>0.33</v>
      </c>
      <c r="AA34" s="6">
        <f t="shared" si="1"/>
        <v>2.4057000000000002E-2</v>
      </c>
      <c r="AB34" s="8">
        <v>20</v>
      </c>
      <c r="AC34" s="15">
        <v>27898708518494</v>
      </c>
      <c r="AD34" s="4" t="s">
        <v>992</v>
      </c>
    </row>
    <row r="35" spans="2:30" x14ac:dyDescent="0.35">
      <c r="B35" s="73">
        <v>90</v>
      </c>
      <c r="C35" s="24" t="s">
        <v>2965</v>
      </c>
      <c r="D35" s="4" t="s">
        <v>2394</v>
      </c>
      <c r="E35" s="4" t="s">
        <v>2913</v>
      </c>
      <c r="F35" s="4" t="s">
        <v>85</v>
      </c>
      <c r="G35" s="4" t="s">
        <v>1012</v>
      </c>
      <c r="H35" s="6">
        <v>9.1999999999999998E-2</v>
      </c>
      <c r="I35" s="8">
        <v>143</v>
      </c>
      <c r="J35" s="8">
        <v>30</v>
      </c>
      <c r="K35" s="8">
        <v>143</v>
      </c>
      <c r="L35" s="8">
        <f t="shared" si="0"/>
        <v>613470</v>
      </c>
      <c r="M35" s="15">
        <v>7898708518506</v>
      </c>
      <c r="N35" s="6" t="s">
        <v>20</v>
      </c>
      <c r="O35" s="6" t="s">
        <v>20</v>
      </c>
      <c r="P35" s="6" t="s">
        <v>20</v>
      </c>
      <c r="Q35" s="6">
        <v>0.19</v>
      </c>
      <c r="R35" s="6">
        <v>0.03</v>
      </c>
      <c r="S35" s="6">
        <v>0.26500000000000001</v>
      </c>
      <c r="T35" s="8">
        <v>1</v>
      </c>
      <c r="U35" s="5" t="s">
        <v>994</v>
      </c>
      <c r="V35" s="89">
        <v>0</v>
      </c>
      <c r="W35" s="15">
        <v>17898708518503</v>
      </c>
      <c r="X35" s="6">
        <v>0.27</v>
      </c>
      <c r="Y35" s="6">
        <v>0.27</v>
      </c>
      <c r="Z35" s="6">
        <v>0.33</v>
      </c>
      <c r="AA35" s="6">
        <f t="shared" si="1"/>
        <v>2.4057000000000002E-2</v>
      </c>
      <c r="AB35" s="8">
        <v>20</v>
      </c>
      <c r="AC35" s="15">
        <v>27898708518500</v>
      </c>
      <c r="AD35" s="4" t="s">
        <v>992</v>
      </c>
    </row>
    <row r="36" spans="2:30" x14ac:dyDescent="0.35">
      <c r="B36" s="18">
        <v>100</v>
      </c>
      <c r="C36" s="24" t="s">
        <v>39</v>
      </c>
      <c r="D36" s="4" t="s">
        <v>2379</v>
      </c>
      <c r="E36" s="4" t="s">
        <v>2913</v>
      </c>
      <c r="F36" s="4" t="s">
        <v>19</v>
      </c>
      <c r="G36" s="4" t="s">
        <v>990</v>
      </c>
      <c r="H36" s="6">
        <v>1.415</v>
      </c>
      <c r="I36" s="8">
        <v>6000</v>
      </c>
      <c r="J36" s="8">
        <v>40</v>
      </c>
      <c r="K36" s="8">
        <v>40</v>
      </c>
      <c r="L36" s="8">
        <f t="shared" si="0"/>
        <v>9600000</v>
      </c>
      <c r="M36" s="15">
        <v>7897801304108</v>
      </c>
      <c r="N36" s="6">
        <v>4.2599999999999999E-2</v>
      </c>
      <c r="O36" s="6">
        <v>6</v>
      </c>
      <c r="P36" s="6">
        <v>4.2599999999999999E-2</v>
      </c>
      <c r="Q36" s="6">
        <v>0.17</v>
      </c>
      <c r="R36" s="6">
        <v>0.12</v>
      </c>
      <c r="S36" s="6">
        <v>6</v>
      </c>
      <c r="T36" s="8">
        <v>10</v>
      </c>
      <c r="U36" s="5" t="s">
        <v>991</v>
      </c>
      <c r="V36" s="89">
        <v>0</v>
      </c>
      <c r="W36" s="15">
        <v>17897801304105</v>
      </c>
      <c r="X36" s="6" t="s">
        <v>20</v>
      </c>
      <c r="Y36" s="6" t="s">
        <v>20</v>
      </c>
      <c r="Z36" s="6" t="s">
        <v>20</v>
      </c>
      <c r="AA36" s="6"/>
      <c r="AB36" s="8">
        <v>0</v>
      </c>
      <c r="AC36" s="15">
        <v>27897801304102</v>
      </c>
      <c r="AD36" s="4" t="s">
        <v>992</v>
      </c>
    </row>
    <row r="37" spans="2:30" x14ac:dyDescent="0.35">
      <c r="B37" s="18">
        <v>101</v>
      </c>
      <c r="C37" s="24" t="s">
        <v>40</v>
      </c>
      <c r="D37" s="4" t="s">
        <v>2379</v>
      </c>
      <c r="E37" s="4" t="s">
        <v>2913</v>
      </c>
      <c r="F37" s="4" t="s">
        <v>19</v>
      </c>
      <c r="G37" s="4" t="s">
        <v>990</v>
      </c>
      <c r="H37" s="6">
        <v>2.3450000000000002</v>
      </c>
      <c r="I37" s="8">
        <v>6000</v>
      </c>
      <c r="J37" s="8">
        <v>50</v>
      </c>
      <c r="K37" s="8">
        <v>50</v>
      </c>
      <c r="L37" s="8">
        <f t="shared" si="0"/>
        <v>15000000</v>
      </c>
      <c r="M37" s="15">
        <v>7897801304115</v>
      </c>
      <c r="N37" s="6">
        <v>6.2E-2</v>
      </c>
      <c r="O37" s="6">
        <v>6</v>
      </c>
      <c r="P37" s="6">
        <v>6.2E-2</v>
      </c>
      <c r="Q37" s="6">
        <v>0.24</v>
      </c>
      <c r="R37" s="6">
        <v>0.16</v>
      </c>
      <c r="S37" s="6">
        <v>6.0019999999999998</v>
      </c>
      <c r="T37" s="8">
        <v>10</v>
      </c>
      <c r="U37" s="5" t="s">
        <v>991</v>
      </c>
      <c r="V37" s="89">
        <v>0</v>
      </c>
      <c r="W37" s="15">
        <v>17897801304112</v>
      </c>
      <c r="X37" s="6" t="s">
        <v>20</v>
      </c>
      <c r="Y37" s="6" t="s">
        <v>20</v>
      </c>
      <c r="Z37" s="6" t="s">
        <v>20</v>
      </c>
      <c r="AA37" s="6"/>
      <c r="AB37" s="8">
        <v>0</v>
      </c>
      <c r="AC37" s="15">
        <v>27897801304119</v>
      </c>
      <c r="AD37" s="4" t="s">
        <v>992</v>
      </c>
    </row>
    <row r="38" spans="2:30" x14ac:dyDescent="0.35">
      <c r="B38" s="18">
        <v>102</v>
      </c>
      <c r="C38" s="24" t="s">
        <v>41</v>
      </c>
      <c r="D38" s="4" t="s">
        <v>2379</v>
      </c>
      <c r="E38" s="4" t="s">
        <v>2913</v>
      </c>
      <c r="F38" s="4" t="s">
        <v>19</v>
      </c>
      <c r="G38" s="4" t="s">
        <v>990</v>
      </c>
      <c r="H38" s="6">
        <v>3.74</v>
      </c>
      <c r="I38" s="8">
        <v>6000</v>
      </c>
      <c r="J38" s="8">
        <v>75</v>
      </c>
      <c r="K38" s="8">
        <v>75</v>
      </c>
      <c r="L38" s="8">
        <f t="shared" si="0"/>
        <v>33750000</v>
      </c>
      <c r="M38" s="15">
        <v>7897801304122</v>
      </c>
      <c r="N38" s="6">
        <v>8.3599999999999994E-2</v>
      </c>
      <c r="O38" s="6">
        <v>6</v>
      </c>
      <c r="P38" s="6">
        <v>8.3599999999999994E-2</v>
      </c>
      <c r="Q38" s="6">
        <v>0.25</v>
      </c>
      <c r="R38" s="6">
        <v>0.16</v>
      </c>
      <c r="S38" s="6">
        <v>6.0019999999999998</v>
      </c>
      <c r="T38" s="8">
        <v>5</v>
      </c>
      <c r="U38" s="5" t="s">
        <v>991</v>
      </c>
      <c r="V38" s="89">
        <v>0</v>
      </c>
      <c r="W38" s="15">
        <v>17897801304129</v>
      </c>
      <c r="X38" s="6" t="s">
        <v>20</v>
      </c>
      <c r="Y38" s="6" t="s">
        <v>20</v>
      </c>
      <c r="Z38" s="6" t="s">
        <v>20</v>
      </c>
      <c r="AA38" s="6"/>
      <c r="AB38" s="8">
        <v>0</v>
      </c>
      <c r="AC38" s="15">
        <v>27897801304126</v>
      </c>
      <c r="AD38" s="4" t="s">
        <v>992</v>
      </c>
    </row>
    <row r="39" spans="2:30" x14ac:dyDescent="0.35">
      <c r="B39" s="18">
        <v>103</v>
      </c>
      <c r="C39" s="24" t="s">
        <v>42</v>
      </c>
      <c r="D39" s="4" t="s">
        <v>2379</v>
      </c>
      <c r="E39" s="4" t="s">
        <v>2913</v>
      </c>
      <c r="F39" s="4" t="s">
        <v>19</v>
      </c>
      <c r="G39" s="4" t="s">
        <v>990</v>
      </c>
      <c r="H39" s="6">
        <v>5.3170000000000002</v>
      </c>
      <c r="I39" s="8">
        <v>6000</v>
      </c>
      <c r="J39" s="8">
        <v>101</v>
      </c>
      <c r="K39" s="8">
        <v>101</v>
      </c>
      <c r="L39" s="8">
        <f t="shared" si="0"/>
        <v>61206000</v>
      </c>
      <c r="M39" s="15">
        <v>7897801304139</v>
      </c>
      <c r="N39" s="6">
        <v>0.1066</v>
      </c>
      <c r="O39" s="6">
        <v>6</v>
      </c>
      <c r="P39" s="6">
        <v>0.1066</v>
      </c>
      <c r="Q39" s="6">
        <v>0.33500000000000002</v>
      </c>
      <c r="R39" s="6">
        <v>0.2</v>
      </c>
      <c r="S39" s="6">
        <v>6.0019999999999998</v>
      </c>
      <c r="T39" s="8">
        <v>5</v>
      </c>
      <c r="U39" s="5" t="s">
        <v>991</v>
      </c>
      <c r="V39" s="89">
        <v>0</v>
      </c>
      <c r="W39" s="15">
        <v>17897801304136</v>
      </c>
      <c r="X39" s="6" t="s">
        <v>20</v>
      </c>
      <c r="Y39" s="6" t="s">
        <v>20</v>
      </c>
      <c r="Z39" s="6" t="s">
        <v>20</v>
      </c>
      <c r="AA39" s="6"/>
      <c r="AB39" s="8">
        <v>0</v>
      </c>
      <c r="AC39" s="15">
        <v>27897801304133</v>
      </c>
      <c r="AD39" s="4" t="s">
        <v>992</v>
      </c>
    </row>
    <row r="40" spans="2:30" x14ac:dyDescent="0.35">
      <c r="B40" s="18">
        <v>104</v>
      </c>
      <c r="C40" s="24" t="s">
        <v>43</v>
      </c>
      <c r="D40" s="4" t="s">
        <v>2379</v>
      </c>
      <c r="E40" s="4" t="s">
        <v>2913</v>
      </c>
      <c r="F40" s="4" t="s">
        <v>19</v>
      </c>
      <c r="G40" s="4" t="s">
        <v>990</v>
      </c>
      <c r="H40" s="6">
        <v>11.55</v>
      </c>
      <c r="I40" s="8">
        <v>6000</v>
      </c>
      <c r="J40" s="8">
        <v>150</v>
      </c>
      <c r="K40" s="8">
        <v>150</v>
      </c>
      <c r="L40" s="8">
        <f t="shared" si="0"/>
        <v>135000000</v>
      </c>
      <c r="M40" s="15">
        <v>7897801304146</v>
      </c>
      <c r="N40" s="6">
        <v>0.155</v>
      </c>
      <c r="O40" s="6">
        <v>6</v>
      </c>
      <c r="P40" s="6">
        <v>0.155</v>
      </c>
      <c r="Q40" s="6">
        <v>0.15040000000000001</v>
      </c>
      <c r="R40" s="6">
        <v>0.15040000000000001</v>
      </c>
      <c r="S40" s="6">
        <v>6</v>
      </c>
      <c r="T40" s="8">
        <v>1</v>
      </c>
      <c r="U40" s="5" t="s">
        <v>991</v>
      </c>
      <c r="V40" s="89">
        <v>0</v>
      </c>
      <c r="W40" s="15">
        <v>17897801304143</v>
      </c>
      <c r="X40" s="6" t="s">
        <v>20</v>
      </c>
      <c r="Y40" s="6" t="s">
        <v>20</v>
      </c>
      <c r="Z40" s="6" t="s">
        <v>20</v>
      </c>
      <c r="AA40" s="6"/>
      <c r="AB40" s="8">
        <v>0</v>
      </c>
      <c r="AC40" s="15">
        <v>27897801304140</v>
      </c>
      <c r="AD40" s="4" t="s">
        <v>992</v>
      </c>
    </row>
    <row r="41" spans="2:30" x14ac:dyDescent="0.35">
      <c r="B41" s="18">
        <v>105</v>
      </c>
      <c r="C41" s="24" t="s">
        <v>44</v>
      </c>
      <c r="D41" s="4" t="s">
        <v>2379</v>
      </c>
      <c r="E41" s="4" t="s">
        <v>2913</v>
      </c>
      <c r="F41" s="4" t="s">
        <v>19</v>
      </c>
      <c r="G41" s="4" t="s">
        <v>990</v>
      </c>
      <c r="H41" s="6">
        <v>20.440000000000001</v>
      </c>
      <c r="I41" s="8">
        <v>6000</v>
      </c>
      <c r="J41" s="8">
        <v>200</v>
      </c>
      <c r="K41" s="8">
        <v>200</v>
      </c>
      <c r="L41" s="8">
        <f t="shared" si="0"/>
        <v>240000000</v>
      </c>
      <c r="M41" s="15">
        <v>7897801308557</v>
      </c>
      <c r="N41" s="6">
        <v>0.20799999999999999</v>
      </c>
      <c r="O41" s="6">
        <v>6</v>
      </c>
      <c r="P41" s="6">
        <v>0.20799999999999999</v>
      </c>
      <c r="Q41" s="6">
        <v>0.20039999999999999</v>
      </c>
      <c r="R41" s="6">
        <v>0.20039999999999999</v>
      </c>
      <c r="S41" s="6">
        <v>6</v>
      </c>
      <c r="T41" s="8">
        <v>1</v>
      </c>
      <c r="U41" s="5" t="s">
        <v>991</v>
      </c>
      <c r="V41" s="89">
        <v>0</v>
      </c>
      <c r="W41" s="15">
        <v>17897801308554</v>
      </c>
      <c r="X41" s="6" t="s">
        <v>20</v>
      </c>
      <c r="Y41" s="6" t="s">
        <v>20</v>
      </c>
      <c r="Z41" s="6" t="s">
        <v>20</v>
      </c>
      <c r="AA41" s="6"/>
      <c r="AB41" s="8">
        <v>0</v>
      </c>
      <c r="AC41" s="15">
        <v>27897801308551</v>
      </c>
      <c r="AD41" s="4" t="s">
        <v>992</v>
      </c>
    </row>
    <row r="42" spans="2:30" x14ac:dyDescent="0.35">
      <c r="B42" s="18">
        <v>106</v>
      </c>
      <c r="C42" s="24" t="s">
        <v>45</v>
      </c>
      <c r="D42" s="4" t="s">
        <v>2379</v>
      </c>
      <c r="E42" s="4" t="s">
        <v>2913</v>
      </c>
      <c r="F42" s="4" t="s">
        <v>19</v>
      </c>
      <c r="G42" s="4" t="s">
        <v>990</v>
      </c>
      <c r="H42" s="6">
        <v>20.77</v>
      </c>
      <c r="I42" s="8">
        <v>6000</v>
      </c>
      <c r="J42" s="8">
        <v>250</v>
      </c>
      <c r="K42" s="8">
        <v>250</v>
      </c>
      <c r="L42" s="8">
        <f t="shared" si="0"/>
        <v>375000000</v>
      </c>
      <c r="M42" s="15">
        <v>7897801308571</v>
      </c>
      <c r="N42" s="6">
        <v>0.25600000000000001</v>
      </c>
      <c r="O42" s="6">
        <v>6</v>
      </c>
      <c r="P42" s="6">
        <v>0.25600000000000001</v>
      </c>
      <c r="Q42" s="6">
        <v>0.25040000000000001</v>
      </c>
      <c r="R42" s="6">
        <v>0.25040000000000001</v>
      </c>
      <c r="S42" s="6">
        <v>6</v>
      </c>
      <c r="T42" s="8">
        <v>1</v>
      </c>
      <c r="U42" s="5" t="s">
        <v>991</v>
      </c>
      <c r="V42" s="89">
        <v>0</v>
      </c>
      <c r="W42" s="15">
        <v>17897801308578</v>
      </c>
      <c r="X42" s="6" t="s">
        <v>20</v>
      </c>
      <c r="Y42" s="6" t="s">
        <v>20</v>
      </c>
      <c r="Z42" s="6" t="s">
        <v>20</v>
      </c>
      <c r="AA42" s="6"/>
      <c r="AB42" s="8">
        <v>0</v>
      </c>
      <c r="AC42" s="15">
        <v>27897801308575</v>
      </c>
      <c r="AD42" s="4" t="s">
        <v>992</v>
      </c>
    </row>
    <row r="43" spans="2:30" x14ac:dyDescent="0.35">
      <c r="B43" s="18">
        <v>110</v>
      </c>
      <c r="C43" s="24" t="s">
        <v>46</v>
      </c>
      <c r="D43" s="4" t="s">
        <v>2379</v>
      </c>
      <c r="E43" s="4" t="s">
        <v>2913</v>
      </c>
      <c r="F43" s="4" t="s">
        <v>19</v>
      </c>
      <c r="G43" s="4" t="s">
        <v>990</v>
      </c>
      <c r="H43" s="6">
        <v>0.70550000000000002</v>
      </c>
      <c r="I43" s="8">
        <v>3000</v>
      </c>
      <c r="J43" s="8">
        <v>40</v>
      </c>
      <c r="K43" s="8">
        <v>40</v>
      </c>
      <c r="L43" s="8">
        <f t="shared" si="0"/>
        <v>4800000</v>
      </c>
      <c r="M43" s="15">
        <v>7897801308625</v>
      </c>
      <c r="N43" s="6">
        <v>4.02E-2</v>
      </c>
      <c r="O43" s="6">
        <v>3</v>
      </c>
      <c r="P43" s="6">
        <v>4.02E-2</v>
      </c>
      <c r="Q43" s="6">
        <v>0.17</v>
      </c>
      <c r="R43" s="6">
        <v>0.12</v>
      </c>
      <c r="S43" s="6">
        <v>3</v>
      </c>
      <c r="T43" s="8">
        <v>10</v>
      </c>
      <c r="U43" s="5" t="s">
        <v>991</v>
      </c>
      <c r="V43" s="89">
        <v>0</v>
      </c>
      <c r="W43" s="15">
        <v>17897801308622</v>
      </c>
      <c r="X43" s="6" t="s">
        <v>20</v>
      </c>
      <c r="Y43" s="6" t="s">
        <v>20</v>
      </c>
      <c r="Z43" s="6" t="s">
        <v>20</v>
      </c>
      <c r="AA43" s="6"/>
      <c r="AB43" s="8">
        <v>0</v>
      </c>
      <c r="AC43" s="15">
        <v>27897801308629</v>
      </c>
      <c r="AD43" s="4" t="s">
        <v>992</v>
      </c>
    </row>
    <row r="44" spans="2:30" x14ac:dyDescent="0.35">
      <c r="B44" s="18">
        <v>111</v>
      </c>
      <c r="C44" s="24" t="s">
        <v>47</v>
      </c>
      <c r="D44" s="4" t="s">
        <v>2379</v>
      </c>
      <c r="E44" s="4" t="s">
        <v>2913</v>
      </c>
      <c r="F44" s="4" t="s">
        <v>19</v>
      </c>
      <c r="G44" s="4" t="s">
        <v>990</v>
      </c>
      <c r="H44" s="6">
        <v>1.1850000000000001</v>
      </c>
      <c r="I44" s="8">
        <v>3000</v>
      </c>
      <c r="J44" s="8">
        <v>50</v>
      </c>
      <c r="K44" s="8">
        <v>50</v>
      </c>
      <c r="L44" s="8">
        <f t="shared" si="0"/>
        <v>7500000</v>
      </c>
      <c r="M44" s="15">
        <v>7897801308632</v>
      </c>
      <c r="N44" s="6">
        <v>5.0999999999999997E-2</v>
      </c>
      <c r="O44" s="6">
        <v>3</v>
      </c>
      <c r="P44" s="6">
        <v>5.0999999999999997E-2</v>
      </c>
      <c r="Q44" s="6">
        <v>0.20499999999999999</v>
      </c>
      <c r="R44" s="6">
        <v>0.14000000000000001</v>
      </c>
      <c r="S44" s="6">
        <v>3.0019999999999998</v>
      </c>
      <c r="T44" s="8">
        <v>10</v>
      </c>
      <c r="U44" s="5" t="s">
        <v>991</v>
      </c>
      <c r="V44" s="89">
        <v>0</v>
      </c>
      <c r="W44" s="15">
        <v>17897801308639</v>
      </c>
      <c r="X44" s="6" t="s">
        <v>20</v>
      </c>
      <c r="Y44" s="6" t="s">
        <v>20</v>
      </c>
      <c r="Z44" s="6" t="s">
        <v>20</v>
      </c>
      <c r="AA44" s="6"/>
      <c r="AB44" s="8">
        <v>0</v>
      </c>
      <c r="AC44" s="15">
        <v>27897801308636</v>
      </c>
      <c r="AD44" s="4" t="s">
        <v>992</v>
      </c>
    </row>
    <row r="45" spans="2:30" x14ac:dyDescent="0.35">
      <c r="B45" s="18">
        <v>112</v>
      </c>
      <c r="C45" s="24" t="s">
        <v>48</v>
      </c>
      <c r="D45" s="4" t="s">
        <v>2379</v>
      </c>
      <c r="E45" s="4" t="s">
        <v>2913</v>
      </c>
      <c r="F45" s="4" t="s">
        <v>19</v>
      </c>
      <c r="G45" s="4" t="s">
        <v>990</v>
      </c>
      <c r="H45" s="6">
        <v>1.855</v>
      </c>
      <c r="I45" s="8">
        <v>3000</v>
      </c>
      <c r="J45" s="8">
        <v>75</v>
      </c>
      <c r="K45" s="8">
        <v>75</v>
      </c>
      <c r="L45" s="8">
        <f t="shared" si="0"/>
        <v>16875000</v>
      </c>
      <c r="M45" s="15">
        <v>7897801308649</v>
      </c>
      <c r="N45" s="6">
        <v>7.5899999999999995E-2</v>
      </c>
      <c r="O45" s="6">
        <v>3</v>
      </c>
      <c r="P45" s="6">
        <v>7.5899999999999995E-2</v>
      </c>
      <c r="Q45" s="6">
        <v>0.27</v>
      </c>
      <c r="R45" s="6">
        <v>0.16</v>
      </c>
      <c r="S45" s="6">
        <v>3.0019999999999998</v>
      </c>
      <c r="T45" s="8">
        <v>5</v>
      </c>
      <c r="U45" s="5" t="s">
        <v>991</v>
      </c>
      <c r="V45" s="89">
        <v>0</v>
      </c>
      <c r="W45" s="15">
        <v>17897801308646</v>
      </c>
      <c r="X45" s="6" t="s">
        <v>20</v>
      </c>
      <c r="Y45" s="6" t="s">
        <v>20</v>
      </c>
      <c r="Z45" s="6" t="s">
        <v>20</v>
      </c>
      <c r="AA45" s="6"/>
      <c r="AB45" s="8">
        <v>0</v>
      </c>
      <c r="AC45" s="15">
        <v>27897801308643</v>
      </c>
      <c r="AD45" s="4" t="s">
        <v>992</v>
      </c>
    </row>
    <row r="46" spans="2:30" x14ac:dyDescent="0.35">
      <c r="B46" s="18">
        <v>113</v>
      </c>
      <c r="C46" s="24" t="s">
        <v>49</v>
      </c>
      <c r="D46" s="4" t="s">
        <v>2379</v>
      </c>
      <c r="E46" s="4" t="s">
        <v>2913</v>
      </c>
      <c r="F46" s="4" t="s">
        <v>19</v>
      </c>
      <c r="G46" s="4" t="s">
        <v>990</v>
      </c>
      <c r="H46" s="6">
        <v>2.6579999999999999</v>
      </c>
      <c r="I46" s="8">
        <v>3000</v>
      </c>
      <c r="J46" s="8">
        <v>100</v>
      </c>
      <c r="K46" s="8">
        <v>100</v>
      </c>
      <c r="L46" s="8">
        <f t="shared" si="0"/>
        <v>30000000</v>
      </c>
      <c r="M46" s="15">
        <v>7897801308656</v>
      </c>
      <c r="N46" s="6">
        <v>0.10199999999999999</v>
      </c>
      <c r="O46" s="6">
        <v>3</v>
      </c>
      <c r="P46" s="6">
        <v>0.10199999999999999</v>
      </c>
      <c r="Q46" s="6">
        <v>0.33500000000000002</v>
      </c>
      <c r="R46" s="6">
        <v>0.2</v>
      </c>
      <c r="S46" s="6">
        <v>3.0019999999999998</v>
      </c>
      <c r="T46" s="8">
        <v>5</v>
      </c>
      <c r="U46" s="5" t="s">
        <v>991</v>
      </c>
      <c r="V46" s="89">
        <v>0</v>
      </c>
      <c r="W46" s="15">
        <v>17897801308653</v>
      </c>
      <c r="X46" s="6" t="s">
        <v>20</v>
      </c>
      <c r="Y46" s="6" t="s">
        <v>20</v>
      </c>
      <c r="Z46" s="6" t="s">
        <v>20</v>
      </c>
      <c r="AA46" s="6"/>
      <c r="AB46" s="8">
        <v>0</v>
      </c>
      <c r="AC46" s="15">
        <v>27897801308650</v>
      </c>
      <c r="AD46" s="4" t="s">
        <v>992</v>
      </c>
    </row>
    <row r="47" spans="2:30" x14ac:dyDescent="0.35">
      <c r="B47" s="18">
        <v>114</v>
      </c>
      <c r="C47" s="24" t="s">
        <v>50</v>
      </c>
      <c r="D47" s="4" t="s">
        <v>2379</v>
      </c>
      <c r="E47" s="4" t="s">
        <v>2913</v>
      </c>
      <c r="F47" s="4" t="s">
        <v>19</v>
      </c>
      <c r="G47" s="4" t="s">
        <v>990</v>
      </c>
      <c r="H47" s="6">
        <v>5.82</v>
      </c>
      <c r="I47" s="8">
        <v>3000</v>
      </c>
      <c r="J47" s="8">
        <v>150</v>
      </c>
      <c r="K47" s="8">
        <v>150</v>
      </c>
      <c r="L47" s="8">
        <f t="shared" si="0"/>
        <v>67500000</v>
      </c>
      <c r="M47" s="15">
        <v>7897801308663</v>
      </c>
      <c r="N47" s="6">
        <v>0.15040000000000001</v>
      </c>
      <c r="O47" s="6">
        <v>3.0009999999999999</v>
      </c>
      <c r="P47" s="6">
        <v>0.15040000000000001</v>
      </c>
      <c r="Q47" s="6">
        <v>0.15040000000000001</v>
      </c>
      <c r="R47" s="6">
        <v>0.15040000000000001</v>
      </c>
      <c r="S47" s="6">
        <v>3.0009999999999999</v>
      </c>
      <c r="T47" s="8">
        <v>1</v>
      </c>
      <c r="U47" s="5" t="s">
        <v>991</v>
      </c>
      <c r="V47" s="89">
        <v>0</v>
      </c>
      <c r="W47" s="15">
        <v>17897801308660</v>
      </c>
      <c r="X47" s="6" t="s">
        <v>20</v>
      </c>
      <c r="Y47" s="6" t="s">
        <v>20</v>
      </c>
      <c r="Z47" s="6" t="s">
        <v>20</v>
      </c>
      <c r="AA47" s="6"/>
      <c r="AB47" s="8">
        <v>0</v>
      </c>
      <c r="AC47" s="15">
        <v>27897801308667</v>
      </c>
      <c r="AD47" s="4" t="s">
        <v>992</v>
      </c>
    </row>
    <row r="48" spans="2:30" x14ac:dyDescent="0.35">
      <c r="B48" s="18">
        <v>115</v>
      </c>
      <c r="C48" s="24" t="s">
        <v>51</v>
      </c>
      <c r="D48" s="4" t="s">
        <v>2379</v>
      </c>
      <c r="E48" s="4" t="s">
        <v>2913</v>
      </c>
      <c r="F48" s="4" t="s">
        <v>19</v>
      </c>
      <c r="G48" s="4" t="s">
        <v>990</v>
      </c>
      <c r="H48" s="6">
        <v>10.220000000000001</v>
      </c>
      <c r="I48" s="8">
        <v>3000</v>
      </c>
      <c r="J48" s="8">
        <v>200</v>
      </c>
      <c r="K48" s="8">
        <v>200</v>
      </c>
      <c r="L48" s="8">
        <f t="shared" si="0"/>
        <v>120000000</v>
      </c>
      <c r="M48" s="15">
        <v>7897801309042</v>
      </c>
      <c r="N48" s="6">
        <v>0.20039999999999999</v>
      </c>
      <c r="O48" s="6">
        <v>3</v>
      </c>
      <c r="P48" s="6">
        <v>0.20039999999999999</v>
      </c>
      <c r="Q48" s="6">
        <v>0.20039999999999999</v>
      </c>
      <c r="R48" s="6">
        <v>0.20039999999999999</v>
      </c>
      <c r="S48" s="6">
        <v>3</v>
      </c>
      <c r="T48" s="8">
        <v>1</v>
      </c>
      <c r="U48" s="5" t="s">
        <v>991</v>
      </c>
      <c r="V48" s="89">
        <v>0</v>
      </c>
      <c r="W48" s="15">
        <v>17897801309049</v>
      </c>
      <c r="X48" s="6" t="s">
        <v>20</v>
      </c>
      <c r="Y48" s="6" t="s">
        <v>20</v>
      </c>
      <c r="Z48" s="6" t="s">
        <v>20</v>
      </c>
      <c r="AA48" s="6"/>
      <c r="AB48" s="8">
        <v>0</v>
      </c>
      <c r="AC48" s="15">
        <v>27897801309046</v>
      </c>
      <c r="AD48" s="4" t="s">
        <v>992</v>
      </c>
    </row>
    <row r="49" spans="2:30" x14ac:dyDescent="0.35">
      <c r="B49" s="18">
        <v>116</v>
      </c>
      <c r="C49" s="24" t="s">
        <v>52</v>
      </c>
      <c r="D49" s="4" t="s">
        <v>2379</v>
      </c>
      <c r="E49" s="4" t="s">
        <v>2913</v>
      </c>
      <c r="F49" s="4" t="s">
        <v>19</v>
      </c>
      <c r="G49" s="4" t="s">
        <v>990</v>
      </c>
      <c r="H49" s="6">
        <v>10.39</v>
      </c>
      <c r="I49" s="8">
        <v>3000</v>
      </c>
      <c r="J49" s="8">
        <v>250</v>
      </c>
      <c r="K49" s="8">
        <v>250</v>
      </c>
      <c r="L49" s="8">
        <f t="shared" si="0"/>
        <v>187500000</v>
      </c>
      <c r="M49" s="15">
        <v>7897801309059</v>
      </c>
      <c r="N49" s="6">
        <v>0.25030000000000002</v>
      </c>
      <c r="O49" s="6">
        <v>3</v>
      </c>
      <c r="P49" s="6">
        <v>0.25030000000000002</v>
      </c>
      <c r="Q49" s="6">
        <v>0.25030000000000002</v>
      </c>
      <c r="R49" s="6">
        <v>0.25030000000000002</v>
      </c>
      <c r="S49" s="6">
        <v>3</v>
      </c>
      <c r="T49" s="8">
        <v>1</v>
      </c>
      <c r="U49" s="5" t="s">
        <v>991</v>
      </c>
      <c r="V49" s="89">
        <v>0</v>
      </c>
      <c r="W49" s="15">
        <v>17897801309056</v>
      </c>
      <c r="X49" s="6" t="s">
        <v>20</v>
      </c>
      <c r="Y49" s="6" t="s">
        <v>20</v>
      </c>
      <c r="Z49" s="6" t="s">
        <v>20</v>
      </c>
      <c r="AA49" s="6"/>
      <c r="AB49" s="8">
        <v>0</v>
      </c>
      <c r="AC49" s="15">
        <v>27897801309053</v>
      </c>
      <c r="AD49" s="4" t="s">
        <v>992</v>
      </c>
    </row>
    <row r="50" spans="2:30" x14ac:dyDescent="0.35">
      <c r="B50" s="18">
        <v>117</v>
      </c>
      <c r="C50" s="24" t="s">
        <v>53</v>
      </c>
      <c r="D50" s="4" t="s">
        <v>2383</v>
      </c>
      <c r="E50" s="4" t="s">
        <v>2911</v>
      </c>
      <c r="F50" s="4" t="s">
        <v>19</v>
      </c>
      <c r="G50" s="4" t="s">
        <v>990</v>
      </c>
      <c r="H50" s="6">
        <v>1.34</v>
      </c>
      <c r="I50" s="8">
        <v>6000</v>
      </c>
      <c r="J50" s="8">
        <v>20.8</v>
      </c>
      <c r="K50" s="8">
        <v>20.8</v>
      </c>
      <c r="L50" s="8">
        <f t="shared" si="0"/>
        <v>2595840</v>
      </c>
      <c r="M50" s="15">
        <v>7897801313254</v>
      </c>
      <c r="N50" s="6">
        <v>2.1299999999999999E-2</v>
      </c>
      <c r="O50" s="6">
        <v>6</v>
      </c>
      <c r="P50" s="6">
        <v>2.1299999999999999E-2</v>
      </c>
      <c r="Q50" s="6">
        <v>8.5000000000000006E-2</v>
      </c>
      <c r="R50" s="6">
        <v>0.06</v>
      </c>
      <c r="S50" s="6">
        <v>6</v>
      </c>
      <c r="T50" s="8">
        <v>10</v>
      </c>
      <c r="U50" s="5" t="s">
        <v>991</v>
      </c>
      <c r="V50" s="89">
        <v>0</v>
      </c>
      <c r="W50" s="15">
        <v>17897801313251</v>
      </c>
      <c r="X50" s="6" t="s">
        <v>20</v>
      </c>
      <c r="Y50" s="6" t="s">
        <v>20</v>
      </c>
      <c r="Z50" s="6" t="s">
        <v>20</v>
      </c>
      <c r="AA50" s="6"/>
      <c r="AB50" s="8">
        <v>0</v>
      </c>
      <c r="AC50" s="15">
        <v>27897801313258</v>
      </c>
      <c r="AD50" s="4" t="s">
        <v>992</v>
      </c>
    </row>
    <row r="51" spans="2:30" x14ac:dyDescent="0.35">
      <c r="B51" s="14">
        <v>118</v>
      </c>
      <c r="C51" s="4" t="s">
        <v>54</v>
      </c>
      <c r="D51" s="4" t="s">
        <v>2383</v>
      </c>
      <c r="E51" s="4" t="s">
        <v>2911</v>
      </c>
      <c r="F51" s="4" t="s">
        <v>19</v>
      </c>
      <c r="G51" s="4" t="s">
        <v>990</v>
      </c>
      <c r="H51" s="6">
        <v>1.86</v>
      </c>
      <c r="I51" s="8">
        <v>6000</v>
      </c>
      <c r="J51" s="8">
        <v>36</v>
      </c>
      <c r="K51" s="8">
        <v>36</v>
      </c>
      <c r="L51" s="8">
        <f t="shared" si="0"/>
        <v>7776000</v>
      </c>
      <c r="M51" s="15">
        <v>7897801313261</v>
      </c>
      <c r="N51" s="6">
        <v>2.7E-2</v>
      </c>
      <c r="O51" s="6">
        <v>6</v>
      </c>
      <c r="P51" s="6">
        <v>2.7E-2</v>
      </c>
      <c r="Q51" s="6">
        <v>0.105</v>
      </c>
      <c r="R51" s="6">
        <v>7.4999999999999997E-2</v>
      </c>
      <c r="S51" s="6">
        <v>6</v>
      </c>
      <c r="T51" s="8">
        <v>10</v>
      </c>
      <c r="U51" s="5" t="s">
        <v>991</v>
      </c>
      <c r="V51" s="89">
        <v>0</v>
      </c>
      <c r="W51" s="15">
        <v>17897801313268</v>
      </c>
      <c r="X51" s="6" t="s">
        <v>20</v>
      </c>
      <c r="Y51" s="6" t="s">
        <v>20</v>
      </c>
      <c r="Z51" s="6" t="s">
        <v>20</v>
      </c>
      <c r="AA51" s="6"/>
      <c r="AB51" s="8">
        <v>0</v>
      </c>
      <c r="AC51" s="15">
        <v>27897801313265</v>
      </c>
      <c r="AD51" s="4" t="s">
        <v>992</v>
      </c>
    </row>
    <row r="52" spans="2:30" x14ac:dyDescent="0.35">
      <c r="B52" s="14">
        <v>119</v>
      </c>
      <c r="C52" s="4" t="s">
        <v>55</v>
      </c>
      <c r="D52" s="4" t="s">
        <v>2383</v>
      </c>
      <c r="E52" s="4" t="s">
        <v>2911</v>
      </c>
      <c r="F52" s="4" t="s">
        <v>19</v>
      </c>
      <c r="G52" s="4" t="s">
        <v>990</v>
      </c>
      <c r="H52" s="6">
        <v>2.92</v>
      </c>
      <c r="I52" s="8">
        <v>6000</v>
      </c>
      <c r="J52" s="8">
        <v>32.799999999999997</v>
      </c>
      <c r="K52" s="8">
        <v>32.799999999999997</v>
      </c>
      <c r="L52" s="8">
        <f t="shared" si="0"/>
        <v>6455039.9999999981</v>
      </c>
      <c r="M52" s="15">
        <v>7897801313278</v>
      </c>
      <c r="N52" s="6">
        <v>3.3799999999999997E-2</v>
      </c>
      <c r="O52" s="6">
        <v>6</v>
      </c>
      <c r="P52" s="6">
        <v>3.3799999999999997E-2</v>
      </c>
      <c r="Q52" s="6">
        <v>0.1</v>
      </c>
      <c r="R52" s="6">
        <v>6.5000000000000002E-2</v>
      </c>
      <c r="S52" s="6">
        <v>6</v>
      </c>
      <c r="T52" s="8">
        <v>5</v>
      </c>
      <c r="U52" s="5" t="s">
        <v>991</v>
      </c>
      <c r="V52" s="89">
        <v>0</v>
      </c>
      <c r="W52" s="15">
        <v>17897801313275</v>
      </c>
      <c r="X52" s="6" t="s">
        <v>20</v>
      </c>
      <c r="Y52" s="6" t="s">
        <v>20</v>
      </c>
      <c r="Z52" s="6" t="s">
        <v>20</v>
      </c>
      <c r="AA52" s="6"/>
      <c r="AB52" s="8">
        <v>0</v>
      </c>
      <c r="AC52" s="15">
        <v>27897801313272</v>
      </c>
      <c r="AD52" s="4" t="s">
        <v>992</v>
      </c>
    </row>
    <row r="53" spans="2:30" x14ac:dyDescent="0.35">
      <c r="B53" s="14">
        <v>120</v>
      </c>
      <c r="C53" s="4" t="s">
        <v>56</v>
      </c>
      <c r="D53" s="4" t="s">
        <v>2383</v>
      </c>
      <c r="E53" s="4" t="s">
        <v>2911</v>
      </c>
      <c r="F53" s="4" t="s">
        <v>19</v>
      </c>
      <c r="G53" s="4" t="s">
        <v>990</v>
      </c>
      <c r="H53" s="6">
        <v>3.98</v>
      </c>
      <c r="I53" s="8">
        <v>6000</v>
      </c>
      <c r="J53" s="8">
        <v>41.8</v>
      </c>
      <c r="K53" s="8">
        <v>41.8</v>
      </c>
      <c r="L53" s="8">
        <f t="shared" si="0"/>
        <v>10483439.999999998</v>
      </c>
      <c r="M53" s="15">
        <v>7897801313285</v>
      </c>
      <c r="N53" s="6">
        <v>4.2500000000000003E-2</v>
      </c>
      <c r="O53" s="6">
        <v>6</v>
      </c>
      <c r="P53" s="6">
        <v>4.2500000000000003E-2</v>
      </c>
      <c r="Q53" s="6">
        <v>0.129</v>
      </c>
      <c r="R53" s="6">
        <v>0.08</v>
      </c>
      <c r="S53" s="6">
        <v>6</v>
      </c>
      <c r="T53" s="8">
        <v>5</v>
      </c>
      <c r="U53" s="5" t="s">
        <v>991</v>
      </c>
      <c r="V53" s="89">
        <v>0</v>
      </c>
      <c r="W53" s="15">
        <v>17897801313282</v>
      </c>
      <c r="X53" s="6" t="s">
        <v>20</v>
      </c>
      <c r="Y53" s="6" t="s">
        <v>20</v>
      </c>
      <c r="Z53" s="6" t="s">
        <v>20</v>
      </c>
      <c r="AA53" s="6"/>
      <c r="AB53" s="8">
        <v>0</v>
      </c>
      <c r="AC53" s="15">
        <v>27897801313289</v>
      </c>
      <c r="AD53" s="4" t="s">
        <v>992</v>
      </c>
    </row>
    <row r="54" spans="2:30" x14ac:dyDescent="0.35">
      <c r="B54" s="14">
        <v>121</v>
      </c>
      <c r="C54" s="4" t="s">
        <v>57</v>
      </c>
      <c r="D54" s="4" t="s">
        <v>2383</v>
      </c>
      <c r="E54" s="4" t="s">
        <v>2911</v>
      </c>
      <c r="F54" s="4" t="s">
        <v>19</v>
      </c>
      <c r="G54" s="4" t="s">
        <v>990</v>
      </c>
      <c r="H54" s="6">
        <v>5.22</v>
      </c>
      <c r="I54" s="8">
        <v>6000</v>
      </c>
      <c r="J54" s="8">
        <v>47.5</v>
      </c>
      <c r="K54" s="8">
        <v>47.5</v>
      </c>
      <c r="L54" s="8">
        <f t="shared" si="0"/>
        <v>13537500</v>
      </c>
      <c r="M54" s="15">
        <v>7897801313292</v>
      </c>
      <c r="N54" s="6">
        <v>4.8500000000000001E-2</v>
      </c>
      <c r="O54" s="6">
        <v>6</v>
      </c>
      <c r="P54" s="6">
        <v>4.8500000000000001E-2</v>
      </c>
      <c r="Q54" s="6">
        <v>0.1</v>
      </c>
      <c r="R54" s="6">
        <v>9.5000000000000001E-2</v>
      </c>
      <c r="S54" s="6">
        <v>6</v>
      </c>
      <c r="T54" s="8">
        <v>5</v>
      </c>
      <c r="U54" s="5" t="s">
        <v>991</v>
      </c>
      <c r="V54" s="89">
        <v>0</v>
      </c>
      <c r="W54" s="15">
        <v>17897801313299</v>
      </c>
      <c r="X54" s="6" t="s">
        <v>20</v>
      </c>
      <c r="Y54" s="6" t="s">
        <v>20</v>
      </c>
      <c r="Z54" s="6" t="s">
        <v>20</v>
      </c>
      <c r="AA54" s="6"/>
      <c r="AB54" s="8">
        <v>0</v>
      </c>
      <c r="AC54" s="15">
        <v>27897801313296</v>
      </c>
      <c r="AD54" s="4" t="s">
        <v>992</v>
      </c>
    </row>
    <row r="55" spans="2:30" x14ac:dyDescent="0.35">
      <c r="B55" s="14">
        <v>122</v>
      </c>
      <c r="C55" s="4" t="s">
        <v>58</v>
      </c>
      <c r="D55" s="4" t="s">
        <v>2383</v>
      </c>
      <c r="E55" s="4" t="s">
        <v>2911</v>
      </c>
      <c r="F55" s="4" t="s">
        <v>19</v>
      </c>
      <c r="G55" s="4" t="s">
        <v>990</v>
      </c>
      <c r="H55" s="6">
        <v>6.12</v>
      </c>
      <c r="I55" s="8">
        <v>6000</v>
      </c>
      <c r="J55" s="8">
        <v>55</v>
      </c>
      <c r="K55" s="8">
        <v>55</v>
      </c>
      <c r="L55" s="8">
        <f t="shared" si="0"/>
        <v>18150000</v>
      </c>
      <c r="M55" s="15">
        <v>7897801313308</v>
      </c>
      <c r="N55" s="6">
        <v>6.0299999999999999E-2</v>
      </c>
      <c r="O55" s="6">
        <v>6</v>
      </c>
      <c r="P55" s="6">
        <v>6.0299999999999999E-2</v>
      </c>
      <c r="Q55" s="6">
        <v>0.12</v>
      </c>
      <c r="R55" s="6">
        <v>0.11</v>
      </c>
      <c r="S55" s="6">
        <v>6</v>
      </c>
      <c r="T55" s="8">
        <v>3</v>
      </c>
      <c r="U55" s="5" t="s">
        <v>991</v>
      </c>
      <c r="V55" s="89">
        <v>0</v>
      </c>
      <c r="W55" s="15">
        <v>17897801313305</v>
      </c>
      <c r="X55" s="6" t="s">
        <v>20</v>
      </c>
      <c r="Y55" s="6" t="s">
        <v>20</v>
      </c>
      <c r="Z55" s="6" t="s">
        <v>20</v>
      </c>
      <c r="AA55" s="6"/>
      <c r="AB55" s="8">
        <v>0</v>
      </c>
      <c r="AC55" s="15">
        <v>27897801313302</v>
      </c>
      <c r="AD55" s="4" t="s">
        <v>992</v>
      </c>
    </row>
    <row r="56" spans="2:30" x14ac:dyDescent="0.35">
      <c r="B56" s="14">
        <v>135</v>
      </c>
      <c r="C56" s="4" t="s">
        <v>59</v>
      </c>
      <c r="D56" s="4" t="s">
        <v>2379</v>
      </c>
      <c r="E56" s="4" t="s">
        <v>2913</v>
      </c>
      <c r="F56" s="4" t="s">
        <v>19</v>
      </c>
      <c r="G56" s="4" t="s">
        <v>990</v>
      </c>
      <c r="H56" s="6">
        <v>2.4</v>
      </c>
      <c r="I56" s="8">
        <v>6000</v>
      </c>
      <c r="J56" s="8">
        <v>40</v>
      </c>
      <c r="K56" s="8">
        <v>40</v>
      </c>
      <c r="L56" s="8">
        <f t="shared" si="0"/>
        <v>9600000</v>
      </c>
      <c r="M56" s="15">
        <v>7897801313759</v>
      </c>
      <c r="N56" s="6">
        <v>4.02E-2</v>
      </c>
      <c r="O56" s="6">
        <v>6</v>
      </c>
      <c r="P56" s="6">
        <v>4.02E-2</v>
      </c>
      <c r="Q56" s="6">
        <v>0.13</v>
      </c>
      <c r="R56" s="6">
        <v>0.09</v>
      </c>
      <c r="S56" s="6">
        <v>6</v>
      </c>
      <c r="T56" s="8">
        <v>5</v>
      </c>
      <c r="U56" s="5" t="s">
        <v>991</v>
      </c>
      <c r="V56" s="89">
        <v>0</v>
      </c>
      <c r="W56" s="15">
        <v>17897801313756</v>
      </c>
      <c r="X56" s="6" t="s">
        <v>20</v>
      </c>
      <c r="Y56" s="6" t="s">
        <v>20</v>
      </c>
      <c r="Z56" s="6" t="s">
        <v>20</v>
      </c>
      <c r="AA56" s="6"/>
      <c r="AB56" s="8">
        <v>0</v>
      </c>
      <c r="AC56" s="15">
        <v>27897801313753</v>
      </c>
      <c r="AD56" s="4" t="s">
        <v>992</v>
      </c>
    </row>
    <row r="57" spans="2:30" x14ac:dyDescent="0.35">
      <c r="B57" s="14">
        <v>136</v>
      </c>
      <c r="C57" s="4" t="s">
        <v>60</v>
      </c>
      <c r="D57" s="4" t="s">
        <v>2379</v>
      </c>
      <c r="E57" s="4" t="s">
        <v>2913</v>
      </c>
      <c r="F57" s="4" t="s">
        <v>19</v>
      </c>
      <c r="G57" s="4" t="s">
        <v>990</v>
      </c>
      <c r="H57" s="6">
        <v>2.66</v>
      </c>
      <c r="I57" s="8">
        <v>6000</v>
      </c>
      <c r="J57" s="8">
        <v>54</v>
      </c>
      <c r="K57" s="8">
        <v>54</v>
      </c>
      <c r="L57" s="8">
        <f t="shared" si="0"/>
        <v>17496000</v>
      </c>
      <c r="M57" s="15">
        <v>7897801313766</v>
      </c>
      <c r="N57" s="6">
        <v>5.0900000000000001E-2</v>
      </c>
      <c r="O57" s="6">
        <v>6</v>
      </c>
      <c r="P57" s="6">
        <v>5.0900000000000001E-2</v>
      </c>
      <c r="Q57" s="6">
        <v>0.19</v>
      </c>
      <c r="R57" s="6">
        <v>0.12</v>
      </c>
      <c r="S57" s="6">
        <v>6.0019999999999998</v>
      </c>
      <c r="T57" s="8">
        <v>5</v>
      </c>
      <c r="U57" s="5" t="s">
        <v>991</v>
      </c>
      <c r="V57" s="89">
        <v>0</v>
      </c>
      <c r="W57" s="15">
        <v>17897801313763</v>
      </c>
      <c r="X57" s="6" t="s">
        <v>20</v>
      </c>
      <c r="Y57" s="6" t="s">
        <v>20</v>
      </c>
      <c r="Z57" s="6" t="s">
        <v>20</v>
      </c>
      <c r="AA57" s="6"/>
      <c r="AB57" s="8">
        <v>0</v>
      </c>
      <c r="AC57" s="15">
        <v>27897801313760</v>
      </c>
      <c r="AD57" s="4" t="s">
        <v>992</v>
      </c>
    </row>
    <row r="58" spans="2:30" x14ac:dyDescent="0.35">
      <c r="B58" s="14">
        <v>137</v>
      </c>
      <c r="C58" s="4" t="s">
        <v>61</v>
      </c>
      <c r="D58" s="4" t="s">
        <v>2379</v>
      </c>
      <c r="E58" s="4" t="s">
        <v>2913</v>
      </c>
      <c r="F58" s="4" t="s">
        <v>19</v>
      </c>
      <c r="G58" s="4" t="s">
        <v>990</v>
      </c>
      <c r="H58" s="6">
        <v>4.5</v>
      </c>
      <c r="I58" s="8">
        <v>6000</v>
      </c>
      <c r="J58" s="8">
        <v>88</v>
      </c>
      <c r="K58" s="8">
        <v>88</v>
      </c>
      <c r="L58" s="8">
        <f t="shared" si="0"/>
        <v>46464000</v>
      </c>
      <c r="M58" s="15">
        <v>7897801313773</v>
      </c>
      <c r="N58" s="6">
        <v>7.5899999999999995E-2</v>
      </c>
      <c r="O58" s="6">
        <v>6</v>
      </c>
      <c r="P58" s="6">
        <v>7.5899999999999995E-2</v>
      </c>
      <c r="Q58" s="6">
        <v>0.255</v>
      </c>
      <c r="R58" s="6">
        <v>0.16500000000000001</v>
      </c>
      <c r="S58" s="6">
        <v>6.0019999999999998</v>
      </c>
      <c r="T58" s="8">
        <v>5</v>
      </c>
      <c r="U58" s="5" t="s">
        <v>991</v>
      </c>
      <c r="V58" s="89">
        <v>0</v>
      </c>
      <c r="W58" s="15">
        <v>17897801313770</v>
      </c>
      <c r="X58" s="6" t="s">
        <v>20</v>
      </c>
      <c r="Y58" s="6" t="s">
        <v>20</v>
      </c>
      <c r="Z58" s="6" t="s">
        <v>20</v>
      </c>
      <c r="AA58" s="6"/>
      <c r="AB58" s="8">
        <v>0</v>
      </c>
      <c r="AC58" s="15">
        <v>27897801313777</v>
      </c>
      <c r="AD58" s="4" t="s">
        <v>992</v>
      </c>
    </row>
    <row r="59" spans="2:30" x14ac:dyDescent="0.35">
      <c r="B59" s="14">
        <v>138</v>
      </c>
      <c r="C59" s="4" t="s">
        <v>62</v>
      </c>
      <c r="D59" s="4" t="s">
        <v>2379</v>
      </c>
      <c r="E59" s="4" t="s">
        <v>2913</v>
      </c>
      <c r="F59" s="4" t="s">
        <v>19</v>
      </c>
      <c r="G59" s="4" t="s">
        <v>990</v>
      </c>
      <c r="H59" s="6">
        <v>7.45</v>
      </c>
      <c r="I59" s="8">
        <v>6000</v>
      </c>
      <c r="J59" s="8">
        <v>101.6</v>
      </c>
      <c r="K59" s="8">
        <v>101.6</v>
      </c>
      <c r="L59" s="8">
        <f t="shared" si="0"/>
        <v>61935360</v>
      </c>
      <c r="M59" s="15">
        <v>7897801313742</v>
      </c>
      <c r="N59" s="6">
        <v>0.10199999999999999</v>
      </c>
      <c r="O59" s="6">
        <v>6</v>
      </c>
      <c r="P59" s="6">
        <v>0.10199999999999999</v>
      </c>
      <c r="Q59" s="6">
        <v>0.23</v>
      </c>
      <c r="R59" s="6">
        <v>0.22</v>
      </c>
      <c r="S59" s="6">
        <v>6.0049999999999999</v>
      </c>
      <c r="T59" s="8">
        <v>3</v>
      </c>
      <c r="U59" s="5" t="s">
        <v>991</v>
      </c>
      <c r="V59" s="89">
        <v>0</v>
      </c>
      <c r="W59" s="15">
        <v>17897801313749</v>
      </c>
      <c r="X59" s="6" t="s">
        <v>20</v>
      </c>
      <c r="Y59" s="6" t="s">
        <v>20</v>
      </c>
      <c r="Z59" s="6" t="s">
        <v>20</v>
      </c>
      <c r="AA59" s="6"/>
      <c r="AB59" s="8">
        <v>0</v>
      </c>
      <c r="AC59" s="15">
        <v>27897801313746</v>
      </c>
      <c r="AD59" s="4" t="s">
        <v>992</v>
      </c>
    </row>
    <row r="60" spans="2:30" x14ac:dyDescent="0.35">
      <c r="B60" s="14">
        <v>139</v>
      </c>
      <c r="C60" s="4" t="s">
        <v>63</v>
      </c>
      <c r="D60" s="4" t="s">
        <v>2379</v>
      </c>
      <c r="E60" s="4" t="s">
        <v>2913</v>
      </c>
      <c r="F60" s="4" t="s">
        <v>19</v>
      </c>
      <c r="G60" s="4" t="s">
        <v>990</v>
      </c>
      <c r="H60" s="6">
        <v>15.6</v>
      </c>
      <c r="I60" s="8">
        <v>6000</v>
      </c>
      <c r="J60" s="8">
        <v>151</v>
      </c>
      <c r="K60" s="8">
        <v>151</v>
      </c>
      <c r="L60" s="8">
        <f t="shared" si="0"/>
        <v>136806000</v>
      </c>
      <c r="M60" s="15">
        <v>7897801313780</v>
      </c>
      <c r="N60" s="6">
        <v>0.15040000000000001</v>
      </c>
      <c r="O60" s="6">
        <v>6</v>
      </c>
      <c r="P60" s="6">
        <v>0.15040000000000001</v>
      </c>
      <c r="Q60" s="6">
        <v>0.15040000000000001</v>
      </c>
      <c r="R60" s="6">
        <v>0.15040000000000001</v>
      </c>
      <c r="S60" s="6">
        <v>6</v>
      </c>
      <c r="T60" s="8">
        <v>1</v>
      </c>
      <c r="U60" s="5" t="s">
        <v>991</v>
      </c>
      <c r="V60" s="89">
        <v>0</v>
      </c>
      <c r="W60" s="15">
        <v>17897801313787</v>
      </c>
      <c r="X60" s="6" t="s">
        <v>20</v>
      </c>
      <c r="Y60" s="6" t="s">
        <v>20</v>
      </c>
      <c r="Z60" s="6" t="s">
        <v>20</v>
      </c>
      <c r="AA60" s="6"/>
      <c r="AB60" s="8">
        <v>0</v>
      </c>
      <c r="AC60" s="15">
        <v>27897801313784</v>
      </c>
      <c r="AD60" s="4" t="s">
        <v>992</v>
      </c>
    </row>
    <row r="61" spans="2:30" x14ac:dyDescent="0.35">
      <c r="B61" s="14">
        <v>147</v>
      </c>
      <c r="C61" s="4" t="s">
        <v>64</v>
      </c>
      <c r="D61" s="4" t="s">
        <v>2391</v>
      </c>
      <c r="E61" s="4" t="s">
        <v>2912</v>
      </c>
      <c r="F61" s="4" t="s">
        <v>19</v>
      </c>
      <c r="G61" s="4" t="s">
        <v>990</v>
      </c>
      <c r="H61" s="6">
        <v>0.441</v>
      </c>
      <c r="I61" s="8">
        <v>3000</v>
      </c>
      <c r="J61" s="8">
        <v>20.3</v>
      </c>
      <c r="K61" s="8">
        <v>20.3</v>
      </c>
      <c r="L61" s="8">
        <f t="shared" si="0"/>
        <v>1236270</v>
      </c>
      <c r="M61" s="15">
        <v>7897801314114</v>
      </c>
      <c r="N61" s="6">
        <v>2.0299999999999999E-2</v>
      </c>
      <c r="O61" s="6">
        <v>3</v>
      </c>
      <c r="P61" s="6">
        <v>2.0299999999999999E-2</v>
      </c>
      <c r="Q61" s="6">
        <v>0.22</v>
      </c>
      <c r="R61" s="6">
        <v>0.11</v>
      </c>
      <c r="S61" s="6">
        <v>3.0030000000000001</v>
      </c>
      <c r="T61" s="8">
        <v>30</v>
      </c>
      <c r="U61" s="5" t="s">
        <v>2945</v>
      </c>
      <c r="V61" s="89">
        <v>0</v>
      </c>
      <c r="W61" s="15">
        <v>17897801314111</v>
      </c>
      <c r="X61" s="6" t="s">
        <v>20</v>
      </c>
      <c r="Y61" s="6" t="s">
        <v>20</v>
      </c>
      <c r="Z61" s="6" t="s">
        <v>20</v>
      </c>
      <c r="AA61" s="6"/>
      <c r="AB61" s="8">
        <v>0</v>
      </c>
      <c r="AC61" s="15">
        <v>27897801314118</v>
      </c>
      <c r="AD61" s="4" t="s">
        <v>992</v>
      </c>
    </row>
    <row r="62" spans="2:30" x14ac:dyDescent="0.35">
      <c r="B62" s="14">
        <v>148</v>
      </c>
      <c r="C62" s="4" t="s">
        <v>65</v>
      </c>
      <c r="D62" s="4" t="s">
        <v>2391</v>
      </c>
      <c r="E62" s="4" t="s">
        <v>2912</v>
      </c>
      <c r="F62" s="4" t="s">
        <v>19</v>
      </c>
      <c r="G62" s="4" t="s">
        <v>990</v>
      </c>
      <c r="H62" s="6">
        <v>0.68700000000000006</v>
      </c>
      <c r="I62" s="8">
        <v>3000</v>
      </c>
      <c r="J62" s="8">
        <v>25.3</v>
      </c>
      <c r="K62" s="8">
        <v>25.3</v>
      </c>
      <c r="L62" s="8">
        <f t="shared" si="0"/>
        <v>1920270</v>
      </c>
      <c r="M62" s="15">
        <v>7897801314121</v>
      </c>
      <c r="N62" s="6">
        <v>2.53E-2</v>
      </c>
      <c r="O62" s="6">
        <v>3</v>
      </c>
      <c r="P62" s="6">
        <v>2.53E-2</v>
      </c>
      <c r="Q62" s="6">
        <v>0.22</v>
      </c>
      <c r="R62" s="6">
        <v>0.11</v>
      </c>
      <c r="S62" s="6">
        <v>3.0030000000000001</v>
      </c>
      <c r="T62" s="8">
        <v>25</v>
      </c>
      <c r="U62" s="5" t="s">
        <v>2945</v>
      </c>
      <c r="V62" s="89">
        <v>0</v>
      </c>
      <c r="W62" s="15">
        <v>17897801314128</v>
      </c>
      <c r="X62" s="6" t="s">
        <v>20</v>
      </c>
      <c r="Y62" s="6" t="s">
        <v>20</v>
      </c>
      <c r="Z62" s="6" t="s">
        <v>20</v>
      </c>
      <c r="AA62" s="6"/>
      <c r="AB62" s="8">
        <v>0</v>
      </c>
      <c r="AC62" s="15">
        <v>27897801314125</v>
      </c>
      <c r="AD62" s="4" t="s">
        <v>992</v>
      </c>
    </row>
    <row r="63" spans="2:30" x14ac:dyDescent="0.35">
      <c r="B63" s="14">
        <v>149</v>
      </c>
      <c r="C63" s="4" t="s">
        <v>66</v>
      </c>
      <c r="D63" s="4" t="s">
        <v>2391</v>
      </c>
      <c r="E63" s="4" t="s">
        <v>2912</v>
      </c>
      <c r="F63" s="4" t="s">
        <v>19</v>
      </c>
      <c r="G63" s="4" t="s">
        <v>990</v>
      </c>
      <c r="H63" s="6">
        <v>1.101</v>
      </c>
      <c r="I63" s="8">
        <v>3000</v>
      </c>
      <c r="J63" s="8">
        <v>32.299999999999997</v>
      </c>
      <c r="K63" s="8">
        <v>32.299999999999997</v>
      </c>
      <c r="L63" s="8">
        <f t="shared" si="0"/>
        <v>3129869.9999999991</v>
      </c>
      <c r="M63" s="15">
        <v>7897801314138</v>
      </c>
      <c r="N63" s="6">
        <v>3.2300000000000002E-2</v>
      </c>
      <c r="O63" s="6">
        <v>3</v>
      </c>
      <c r="P63" s="6">
        <v>3.2300000000000002E-2</v>
      </c>
      <c r="Q63" s="6">
        <v>0.23499999999999999</v>
      </c>
      <c r="R63" s="6">
        <v>0.1</v>
      </c>
      <c r="S63" s="6">
        <v>3.0030000000000001</v>
      </c>
      <c r="T63" s="8">
        <v>15</v>
      </c>
      <c r="U63" s="5" t="s">
        <v>2945</v>
      </c>
      <c r="V63" s="89">
        <v>0</v>
      </c>
      <c r="W63" s="15">
        <v>17897801314135</v>
      </c>
      <c r="X63" s="6" t="s">
        <v>20</v>
      </c>
      <c r="Y63" s="6" t="s">
        <v>20</v>
      </c>
      <c r="Z63" s="6" t="s">
        <v>20</v>
      </c>
      <c r="AA63" s="6"/>
      <c r="AB63" s="8">
        <v>0</v>
      </c>
      <c r="AC63" s="15">
        <v>27897801314132</v>
      </c>
      <c r="AD63" s="4" t="s">
        <v>992</v>
      </c>
    </row>
    <row r="64" spans="2:30" x14ac:dyDescent="0.35">
      <c r="B64" s="14">
        <v>150</v>
      </c>
      <c r="C64" s="4" t="s">
        <v>67</v>
      </c>
      <c r="D64" s="4" t="s">
        <v>2391</v>
      </c>
      <c r="E64" s="4" t="s">
        <v>2912</v>
      </c>
      <c r="F64" s="4" t="s">
        <v>19</v>
      </c>
      <c r="G64" s="4" t="s">
        <v>990</v>
      </c>
      <c r="H64" s="6">
        <v>1.7070000000000001</v>
      </c>
      <c r="I64" s="8">
        <v>3000</v>
      </c>
      <c r="J64" s="8">
        <v>40.4</v>
      </c>
      <c r="K64" s="8">
        <v>40.4</v>
      </c>
      <c r="L64" s="8">
        <f t="shared" si="0"/>
        <v>4896480</v>
      </c>
      <c r="M64" s="15">
        <v>7897801314145</v>
      </c>
      <c r="N64" s="6">
        <v>4.0399999999999998E-2</v>
      </c>
      <c r="O64" s="6">
        <v>3</v>
      </c>
      <c r="P64" s="6">
        <v>4.0399999999999998E-2</v>
      </c>
      <c r="Q64" s="6">
        <v>0.23</v>
      </c>
      <c r="R64" s="6">
        <v>0.11</v>
      </c>
      <c r="S64" s="6">
        <v>3.0030000000000001</v>
      </c>
      <c r="T64" s="8">
        <v>10</v>
      </c>
      <c r="U64" s="5" t="s">
        <v>2945</v>
      </c>
      <c r="V64" s="89">
        <v>0</v>
      </c>
      <c r="W64" s="15">
        <v>17897801314142</v>
      </c>
      <c r="X64" s="6" t="s">
        <v>20</v>
      </c>
      <c r="Y64" s="6" t="s">
        <v>20</v>
      </c>
      <c r="Z64" s="6" t="s">
        <v>20</v>
      </c>
      <c r="AA64" s="6"/>
      <c r="AB64" s="8">
        <v>0</v>
      </c>
      <c r="AC64" s="15">
        <v>27897801314149</v>
      </c>
      <c r="AD64" s="4" t="s">
        <v>992</v>
      </c>
    </row>
    <row r="65" spans="2:30" x14ac:dyDescent="0.35">
      <c r="B65" s="14">
        <v>151</v>
      </c>
      <c r="C65" s="4" t="s">
        <v>68</v>
      </c>
      <c r="D65" s="4" t="s">
        <v>2391</v>
      </c>
      <c r="E65" s="4" t="s">
        <v>2912</v>
      </c>
      <c r="F65" s="4" t="s">
        <v>19</v>
      </c>
      <c r="G65" s="4" t="s">
        <v>990</v>
      </c>
      <c r="H65" s="6">
        <v>2.67</v>
      </c>
      <c r="I65" s="8">
        <v>3000</v>
      </c>
      <c r="J65" s="8">
        <v>50.5</v>
      </c>
      <c r="K65" s="8">
        <v>50.5</v>
      </c>
      <c r="L65" s="8">
        <f t="shared" si="0"/>
        <v>7650750</v>
      </c>
      <c r="M65" s="15">
        <v>7897801314152</v>
      </c>
      <c r="N65" s="6">
        <v>5.0500000000000003E-2</v>
      </c>
      <c r="O65" s="6">
        <v>3</v>
      </c>
      <c r="P65" s="6">
        <v>5.0500000000000003E-2</v>
      </c>
      <c r="Q65" s="6">
        <v>0.21</v>
      </c>
      <c r="R65" s="6">
        <v>0.09</v>
      </c>
      <c r="S65" s="6">
        <v>3.0030000000000001</v>
      </c>
      <c r="T65" s="8">
        <v>5</v>
      </c>
      <c r="U65" s="5" t="s">
        <v>2945</v>
      </c>
      <c r="V65" s="89">
        <v>0</v>
      </c>
      <c r="W65" s="15">
        <v>17897801314159</v>
      </c>
      <c r="X65" s="6" t="s">
        <v>20</v>
      </c>
      <c r="Y65" s="6" t="s">
        <v>20</v>
      </c>
      <c r="Z65" s="6" t="s">
        <v>20</v>
      </c>
      <c r="AA65" s="6"/>
      <c r="AB65" s="8">
        <v>0</v>
      </c>
      <c r="AC65" s="15">
        <v>27897801314156</v>
      </c>
      <c r="AD65" s="4" t="s">
        <v>992</v>
      </c>
    </row>
    <row r="66" spans="2:30" x14ac:dyDescent="0.35">
      <c r="B66" s="14">
        <v>152</v>
      </c>
      <c r="C66" s="4" t="s">
        <v>69</v>
      </c>
      <c r="D66" s="4" t="s">
        <v>2391</v>
      </c>
      <c r="E66" s="4" t="s">
        <v>2912</v>
      </c>
      <c r="F66" s="4" t="s">
        <v>19</v>
      </c>
      <c r="G66" s="4" t="s">
        <v>990</v>
      </c>
      <c r="H66" s="6">
        <v>4.173</v>
      </c>
      <c r="I66" s="8">
        <v>3000</v>
      </c>
      <c r="J66" s="8">
        <v>63.6</v>
      </c>
      <c r="K66" s="8">
        <v>63.6</v>
      </c>
      <c r="L66" s="8">
        <f t="shared" si="0"/>
        <v>12134880</v>
      </c>
      <c r="M66" s="15">
        <v>7897801314169</v>
      </c>
      <c r="N66" s="6">
        <v>6.3600000000000004E-2</v>
      </c>
      <c r="O66" s="6">
        <v>3</v>
      </c>
      <c r="P66" s="6">
        <v>6.3600000000000004E-2</v>
      </c>
      <c r="Q66" s="6">
        <v>0.21</v>
      </c>
      <c r="R66" s="6">
        <v>0.12</v>
      </c>
      <c r="S66" s="6">
        <v>3.0030000000000001</v>
      </c>
      <c r="T66" s="8">
        <v>4</v>
      </c>
      <c r="U66" s="5" t="s">
        <v>2945</v>
      </c>
      <c r="V66" s="89">
        <v>0</v>
      </c>
      <c r="W66" s="15">
        <v>17897801314166</v>
      </c>
      <c r="X66" s="6" t="s">
        <v>20</v>
      </c>
      <c r="Y66" s="6" t="s">
        <v>20</v>
      </c>
      <c r="Z66" s="6" t="s">
        <v>20</v>
      </c>
      <c r="AA66" s="6"/>
      <c r="AB66" s="8">
        <v>0</v>
      </c>
      <c r="AC66" s="15">
        <v>27897801314163</v>
      </c>
      <c r="AD66" s="4" t="s">
        <v>992</v>
      </c>
    </row>
    <row r="67" spans="2:30" x14ac:dyDescent="0.35">
      <c r="B67" s="14">
        <v>153</v>
      </c>
      <c r="C67" s="4" t="s">
        <v>70</v>
      </c>
      <c r="D67" s="4" t="s">
        <v>2391</v>
      </c>
      <c r="E67" s="4" t="s">
        <v>2912</v>
      </c>
      <c r="F67" s="4" t="s">
        <v>19</v>
      </c>
      <c r="G67" s="4" t="s">
        <v>990</v>
      </c>
      <c r="H67" s="6">
        <v>5.88</v>
      </c>
      <c r="I67" s="8">
        <v>3000</v>
      </c>
      <c r="J67" s="8">
        <v>75.7</v>
      </c>
      <c r="K67" s="8">
        <v>75.7</v>
      </c>
      <c r="L67" s="8">
        <f t="shared" si="0"/>
        <v>17191470</v>
      </c>
      <c r="M67" s="15">
        <v>7897801314176</v>
      </c>
      <c r="N67" s="6">
        <v>7.5700000000000003E-2</v>
      </c>
      <c r="O67" s="6">
        <v>3</v>
      </c>
      <c r="P67" s="6">
        <v>7.5700000000000003E-2</v>
      </c>
      <c r="Q67" s="6">
        <v>0.23</v>
      </c>
      <c r="R67" s="6">
        <v>0.08</v>
      </c>
      <c r="S67" s="6">
        <v>3.0030000000000001</v>
      </c>
      <c r="T67" s="8">
        <v>3</v>
      </c>
      <c r="U67" s="5" t="s">
        <v>2945</v>
      </c>
      <c r="V67" s="89">
        <v>0</v>
      </c>
      <c r="W67" s="15">
        <v>17897801314173</v>
      </c>
      <c r="X67" s="6" t="s">
        <v>20</v>
      </c>
      <c r="Y67" s="6" t="s">
        <v>20</v>
      </c>
      <c r="Z67" s="6" t="s">
        <v>20</v>
      </c>
      <c r="AA67" s="6"/>
      <c r="AB67" s="8">
        <v>0</v>
      </c>
      <c r="AC67" s="15">
        <v>27897801314170</v>
      </c>
      <c r="AD67" s="4" t="s">
        <v>992</v>
      </c>
    </row>
    <row r="68" spans="2:30" x14ac:dyDescent="0.35">
      <c r="B68" s="14">
        <v>154</v>
      </c>
      <c r="C68" s="4" t="s">
        <v>71</v>
      </c>
      <c r="D68" s="4" t="s">
        <v>2391</v>
      </c>
      <c r="E68" s="4" t="s">
        <v>2912</v>
      </c>
      <c r="F68" s="4" t="s">
        <v>19</v>
      </c>
      <c r="G68" s="4" t="s">
        <v>990</v>
      </c>
      <c r="H68" s="6">
        <v>8.49</v>
      </c>
      <c r="I68" s="8">
        <v>3000</v>
      </c>
      <c r="J68" s="8">
        <v>90.9</v>
      </c>
      <c r="K68" s="8">
        <v>90.9</v>
      </c>
      <c r="L68" s="8">
        <f t="shared" ref="L68:L125" si="2">J68*I68*K68</f>
        <v>24788430</v>
      </c>
      <c r="M68" s="15">
        <v>7897801314183</v>
      </c>
      <c r="N68" s="6">
        <v>9.0899999999999995E-2</v>
      </c>
      <c r="O68" s="6">
        <v>3</v>
      </c>
      <c r="P68" s="6">
        <v>9.0899999999999995E-2</v>
      </c>
      <c r="Q68" s="6">
        <v>0.2</v>
      </c>
      <c r="R68" s="6">
        <v>0.09</v>
      </c>
      <c r="S68" s="6">
        <v>3.0030000000000001</v>
      </c>
      <c r="T68" s="8">
        <v>2</v>
      </c>
      <c r="U68" s="5" t="s">
        <v>2945</v>
      </c>
      <c r="V68" s="89">
        <v>0</v>
      </c>
      <c r="W68" s="15">
        <v>17897801314180</v>
      </c>
      <c r="X68" s="6" t="s">
        <v>20</v>
      </c>
      <c r="Y68" s="6" t="s">
        <v>20</v>
      </c>
      <c r="Z68" s="6" t="s">
        <v>20</v>
      </c>
      <c r="AA68" s="6"/>
      <c r="AB68" s="8">
        <v>0</v>
      </c>
      <c r="AC68" s="15">
        <v>27897801314187</v>
      </c>
      <c r="AD68" s="4" t="s">
        <v>992</v>
      </c>
    </row>
    <row r="69" spans="2:30" x14ac:dyDescent="0.35">
      <c r="B69" s="14">
        <v>155</v>
      </c>
      <c r="C69" s="4" t="s">
        <v>72</v>
      </c>
      <c r="D69" s="4" t="s">
        <v>2391</v>
      </c>
      <c r="E69" s="4" t="s">
        <v>2912</v>
      </c>
      <c r="F69" s="4" t="s">
        <v>19</v>
      </c>
      <c r="G69" s="4" t="s">
        <v>990</v>
      </c>
      <c r="H69" s="6">
        <v>12.69</v>
      </c>
      <c r="I69" s="8">
        <v>3000</v>
      </c>
      <c r="J69" s="8">
        <v>11.4</v>
      </c>
      <c r="K69" s="8">
        <v>11.4</v>
      </c>
      <c r="L69" s="8">
        <f t="shared" si="2"/>
        <v>389880</v>
      </c>
      <c r="M69" s="15">
        <v>7897801314190</v>
      </c>
      <c r="N69" s="6">
        <v>0.111</v>
      </c>
      <c r="O69" s="6">
        <v>3</v>
      </c>
      <c r="P69" s="6">
        <v>0.111</v>
      </c>
      <c r="Q69" s="6">
        <v>0.111</v>
      </c>
      <c r="R69" s="6">
        <v>0.111</v>
      </c>
      <c r="S69" s="6">
        <v>3.0030000000000001</v>
      </c>
      <c r="T69" s="8">
        <v>1</v>
      </c>
      <c r="U69" s="5" t="s">
        <v>2945</v>
      </c>
      <c r="V69" s="89">
        <v>0</v>
      </c>
      <c r="W69" s="15">
        <v>17897801314197</v>
      </c>
      <c r="X69" s="6" t="s">
        <v>20</v>
      </c>
      <c r="Y69" s="6" t="s">
        <v>20</v>
      </c>
      <c r="Z69" s="6" t="s">
        <v>20</v>
      </c>
      <c r="AA69" s="6"/>
      <c r="AB69" s="8">
        <v>0</v>
      </c>
      <c r="AC69" s="15">
        <v>27897801314194</v>
      </c>
      <c r="AD69" s="4" t="s">
        <v>992</v>
      </c>
    </row>
    <row r="70" spans="2:30" x14ac:dyDescent="0.35">
      <c r="B70" s="14">
        <v>156</v>
      </c>
      <c r="C70" s="4" t="s">
        <v>73</v>
      </c>
      <c r="D70" s="4" t="s">
        <v>2391</v>
      </c>
      <c r="E70" s="4" t="s">
        <v>2912</v>
      </c>
      <c r="F70" s="4" t="s">
        <v>19</v>
      </c>
      <c r="G70" s="4" t="s">
        <v>990</v>
      </c>
      <c r="H70" s="6">
        <v>0.51</v>
      </c>
      <c r="I70" s="8">
        <v>3000</v>
      </c>
      <c r="J70" s="8">
        <v>20.3</v>
      </c>
      <c r="K70" s="8">
        <v>20.3</v>
      </c>
      <c r="L70" s="8">
        <f t="shared" si="2"/>
        <v>1236270</v>
      </c>
      <c r="M70" s="15">
        <v>7897801314206</v>
      </c>
      <c r="N70" s="6">
        <v>2.0299999999999999E-2</v>
      </c>
      <c r="O70" s="6">
        <v>3</v>
      </c>
      <c r="P70" s="6">
        <v>2.0299999999999999E-2</v>
      </c>
      <c r="Q70" s="6">
        <v>0.23</v>
      </c>
      <c r="R70" s="6">
        <v>0.16</v>
      </c>
      <c r="S70" s="6">
        <v>3.0030000000000001</v>
      </c>
      <c r="T70" s="8">
        <v>30</v>
      </c>
      <c r="U70" s="5" t="s">
        <v>2945</v>
      </c>
      <c r="V70" s="89">
        <v>0</v>
      </c>
      <c r="W70" s="15">
        <v>17897801314203</v>
      </c>
      <c r="X70" s="6" t="s">
        <v>20</v>
      </c>
      <c r="Y70" s="6" t="s">
        <v>20</v>
      </c>
      <c r="Z70" s="6" t="s">
        <v>20</v>
      </c>
      <c r="AA70" s="6"/>
      <c r="AB70" s="8">
        <v>0</v>
      </c>
      <c r="AC70" s="15">
        <v>27897801314200</v>
      </c>
      <c r="AD70" s="4" t="s">
        <v>992</v>
      </c>
    </row>
    <row r="71" spans="2:30" x14ac:dyDescent="0.35">
      <c r="B71" s="14">
        <v>157</v>
      </c>
      <c r="C71" s="4" t="s">
        <v>74</v>
      </c>
      <c r="D71" s="4" t="s">
        <v>2391</v>
      </c>
      <c r="E71" s="4" t="s">
        <v>2912</v>
      </c>
      <c r="F71" s="4" t="s">
        <v>19</v>
      </c>
      <c r="G71" s="4" t="s">
        <v>990</v>
      </c>
      <c r="H71" s="6">
        <v>0.79200000000000004</v>
      </c>
      <c r="I71" s="8">
        <v>3000</v>
      </c>
      <c r="J71" s="8">
        <v>25.3</v>
      </c>
      <c r="K71" s="8">
        <v>25.3</v>
      </c>
      <c r="L71" s="8">
        <f t="shared" si="2"/>
        <v>1920270</v>
      </c>
      <c r="M71" s="15">
        <v>7897801314213</v>
      </c>
      <c r="N71" s="6">
        <v>2.53E-2</v>
      </c>
      <c r="O71" s="6">
        <v>3</v>
      </c>
      <c r="P71" s="6">
        <v>2.53E-2</v>
      </c>
      <c r="Q71" s="6">
        <v>0.22</v>
      </c>
      <c r="R71" s="6">
        <v>0.11</v>
      </c>
      <c r="S71" s="6">
        <v>3.0030000000000001</v>
      </c>
      <c r="T71" s="8">
        <v>25</v>
      </c>
      <c r="U71" s="5" t="s">
        <v>2945</v>
      </c>
      <c r="V71" s="89">
        <v>0</v>
      </c>
      <c r="W71" s="15">
        <v>17897801314210</v>
      </c>
      <c r="X71" s="6" t="s">
        <v>20</v>
      </c>
      <c r="Y71" s="6" t="s">
        <v>20</v>
      </c>
      <c r="Z71" s="6" t="s">
        <v>20</v>
      </c>
      <c r="AA71" s="6"/>
      <c r="AB71" s="8">
        <v>0</v>
      </c>
      <c r="AC71" s="15">
        <v>27897801314217</v>
      </c>
      <c r="AD71" s="4" t="s">
        <v>992</v>
      </c>
    </row>
    <row r="72" spans="2:30" x14ac:dyDescent="0.35">
      <c r="B72" s="14">
        <v>158</v>
      </c>
      <c r="C72" s="4" t="s">
        <v>75</v>
      </c>
      <c r="D72" s="4" t="s">
        <v>2391</v>
      </c>
      <c r="E72" s="4" t="s">
        <v>2912</v>
      </c>
      <c r="F72" s="4" t="s">
        <v>19</v>
      </c>
      <c r="G72" s="4" t="s">
        <v>990</v>
      </c>
      <c r="H72" s="6">
        <v>1.29</v>
      </c>
      <c r="I72" s="8">
        <v>3000</v>
      </c>
      <c r="J72" s="8">
        <v>32.299999999999997</v>
      </c>
      <c r="K72" s="8">
        <v>32.299999999999997</v>
      </c>
      <c r="L72" s="8">
        <f t="shared" si="2"/>
        <v>3129869.9999999991</v>
      </c>
      <c r="M72" s="15">
        <v>7897801314220</v>
      </c>
      <c r="N72" s="6">
        <v>3.2300000000000002E-2</v>
      </c>
      <c r="O72" s="6">
        <v>3</v>
      </c>
      <c r="P72" s="6">
        <v>3.2300000000000002E-2</v>
      </c>
      <c r="Q72" s="6">
        <v>0.23499999999999999</v>
      </c>
      <c r="R72" s="6">
        <v>0.1</v>
      </c>
      <c r="S72" s="6">
        <v>3.0030000000000001</v>
      </c>
      <c r="T72" s="8">
        <v>15</v>
      </c>
      <c r="U72" s="5" t="s">
        <v>2945</v>
      </c>
      <c r="V72" s="89">
        <v>0</v>
      </c>
      <c r="W72" s="15">
        <v>17897801314227</v>
      </c>
      <c r="X72" s="6" t="s">
        <v>20</v>
      </c>
      <c r="Y72" s="6" t="s">
        <v>20</v>
      </c>
      <c r="Z72" s="6" t="s">
        <v>20</v>
      </c>
      <c r="AA72" s="6"/>
      <c r="AB72" s="8">
        <v>0</v>
      </c>
      <c r="AC72" s="15">
        <v>27897801314224</v>
      </c>
      <c r="AD72" s="4" t="s">
        <v>992</v>
      </c>
    </row>
    <row r="73" spans="2:30" x14ac:dyDescent="0.35">
      <c r="B73" s="14">
        <v>159</v>
      </c>
      <c r="C73" s="4" t="s">
        <v>76</v>
      </c>
      <c r="D73" s="4" t="s">
        <v>2391</v>
      </c>
      <c r="E73" s="4" t="s">
        <v>2912</v>
      </c>
      <c r="F73" s="4" t="s">
        <v>19</v>
      </c>
      <c r="G73" s="4" t="s">
        <v>990</v>
      </c>
      <c r="H73" s="6">
        <v>1.992</v>
      </c>
      <c r="I73" s="8">
        <v>3000</v>
      </c>
      <c r="J73" s="8">
        <v>40.4</v>
      </c>
      <c r="K73" s="8">
        <v>40.4</v>
      </c>
      <c r="L73" s="8">
        <f t="shared" si="2"/>
        <v>4896480</v>
      </c>
      <c r="M73" s="15">
        <v>7897801314237</v>
      </c>
      <c r="N73" s="6">
        <v>4.0399999999999998E-2</v>
      </c>
      <c r="O73" s="6">
        <v>3</v>
      </c>
      <c r="P73" s="6">
        <v>4.0399999999999998E-2</v>
      </c>
      <c r="Q73" s="6">
        <v>0.22</v>
      </c>
      <c r="R73" s="6">
        <v>0.115</v>
      </c>
      <c r="S73" s="6">
        <v>3.0030000000000001</v>
      </c>
      <c r="T73" s="8">
        <v>10</v>
      </c>
      <c r="U73" s="5" t="s">
        <v>2945</v>
      </c>
      <c r="V73" s="89">
        <v>0</v>
      </c>
      <c r="W73" s="15">
        <v>17897801314234</v>
      </c>
      <c r="X73" s="6" t="s">
        <v>20</v>
      </c>
      <c r="Y73" s="6" t="s">
        <v>20</v>
      </c>
      <c r="Z73" s="6" t="s">
        <v>20</v>
      </c>
      <c r="AA73" s="6"/>
      <c r="AB73" s="8">
        <v>0</v>
      </c>
      <c r="AC73" s="15">
        <v>27897801314231</v>
      </c>
      <c r="AD73" s="4" t="s">
        <v>992</v>
      </c>
    </row>
    <row r="74" spans="2:30" x14ac:dyDescent="0.35">
      <c r="B74" s="14">
        <v>160</v>
      </c>
      <c r="C74" s="4" t="s">
        <v>77</v>
      </c>
      <c r="D74" s="4" t="s">
        <v>2391</v>
      </c>
      <c r="E74" s="4" t="s">
        <v>2912</v>
      </c>
      <c r="F74" s="4" t="s">
        <v>19</v>
      </c>
      <c r="G74" s="4" t="s">
        <v>990</v>
      </c>
      <c r="H74" s="6">
        <v>3.09</v>
      </c>
      <c r="I74" s="8">
        <v>3000</v>
      </c>
      <c r="J74" s="8">
        <v>50.5</v>
      </c>
      <c r="K74" s="8">
        <v>50.5</v>
      </c>
      <c r="L74" s="8">
        <f t="shared" si="2"/>
        <v>7650750</v>
      </c>
      <c r="M74" s="15">
        <v>7897801314244</v>
      </c>
      <c r="N74" s="6">
        <v>5.0500000000000003E-2</v>
      </c>
      <c r="O74" s="6">
        <v>3</v>
      </c>
      <c r="P74" s="6">
        <v>5.0500000000000003E-2</v>
      </c>
      <c r="Q74" s="6">
        <v>0.17</v>
      </c>
      <c r="R74" s="6">
        <v>0.1</v>
      </c>
      <c r="S74" s="6">
        <v>3.0030000000000001</v>
      </c>
      <c r="T74" s="8">
        <v>5</v>
      </c>
      <c r="U74" s="5" t="s">
        <v>2945</v>
      </c>
      <c r="V74" s="89">
        <v>0</v>
      </c>
      <c r="W74" s="15">
        <v>17897801314241</v>
      </c>
      <c r="X74" s="6" t="s">
        <v>20</v>
      </c>
      <c r="Y74" s="6" t="s">
        <v>20</v>
      </c>
      <c r="Z74" s="6" t="s">
        <v>20</v>
      </c>
      <c r="AA74" s="6"/>
      <c r="AB74" s="8">
        <v>0</v>
      </c>
      <c r="AC74" s="15">
        <v>27897801314248</v>
      </c>
      <c r="AD74" s="4" t="s">
        <v>992</v>
      </c>
    </row>
    <row r="75" spans="2:30" x14ac:dyDescent="0.35">
      <c r="B75" s="14">
        <v>161</v>
      </c>
      <c r="C75" s="4" t="s">
        <v>78</v>
      </c>
      <c r="D75" s="4" t="s">
        <v>2391</v>
      </c>
      <c r="E75" s="4" t="s">
        <v>2912</v>
      </c>
      <c r="F75" s="4" t="s">
        <v>19</v>
      </c>
      <c r="G75" s="4" t="s">
        <v>990</v>
      </c>
      <c r="H75" s="6">
        <v>4.9109999999999996</v>
      </c>
      <c r="I75" s="8">
        <v>3000</v>
      </c>
      <c r="J75" s="8">
        <v>63.6</v>
      </c>
      <c r="K75" s="8">
        <v>63.6</v>
      </c>
      <c r="L75" s="8">
        <f t="shared" si="2"/>
        <v>12134880</v>
      </c>
      <c r="M75" s="15">
        <v>7897801314251</v>
      </c>
      <c r="N75" s="6">
        <v>6.3600000000000004E-2</v>
      </c>
      <c r="O75" s="6">
        <v>3</v>
      </c>
      <c r="P75" s="6">
        <v>6.3600000000000004E-2</v>
      </c>
      <c r="Q75" s="6">
        <v>0.18</v>
      </c>
      <c r="R75" s="6">
        <v>0.13500000000000001</v>
      </c>
      <c r="S75" s="6">
        <v>3.0030000000000001</v>
      </c>
      <c r="T75" s="8">
        <v>4</v>
      </c>
      <c r="U75" s="5" t="s">
        <v>2945</v>
      </c>
      <c r="V75" s="89">
        <v>0</v>
      </c>
      <c r="W75" s="15">
        <v>17897801314258</v>
      </c>
      <c r="X75" s="6" t="s">
        <v>20</v>
      </c>
      <c r="Y75" s="6" t="s">
        <v>20</v>
      </c>
      <c r="Z75" s="6" t="s">
        <v>20</v>
      </c>
      <c r="AA75" s="6"/>
      <c r="AB75" s="8">
        <v>0</v>
      </c>
      <c r="AC75" s="15">
        <v>27897801314255</v>
      </c>
      <c r="AD75" s="4" t="s">
        <v>992</v>
      </c>
    </row>
    <row r="76" spans="2:30" x14ac:dyDescent="0.35">
      <c r="B76" s="14">
        <v>162</v>
      </c>
      <c r="C76" s="4" t="s">
        <v>79</v>
      </c>
      <c r="D76" s="4" t="s">
        <v>2391</v>
      </c>
      <c r="E76" s="4" t="s">
        <v>2912</v>
      </c>
      <c r="F76" s="4" t="s">
        <v>19</v>
      </c>
      <c r="G76" s="4" t="s">
        <v>990</v>
      </c>
      <c r="H76" s="6">
        <v>6.93</v>
      </c>
      <c r="I76" s="8">
        <v>3000</v>
      </c>
      <c r="J76" s="8">
        <v>75.7</v>
      </c>
      <c r="K76" s="8">
        <v>75.7</v>
      </c>
      <c r="L76" s="8">
        <f t="shared" si="2"/>
        <v>17191470</v>
      </c>
      <c r="M76" s="15">
        <v>7897801314268</v>
      </c>
      <c r="N76" s="6">
        <v>7.5700000000000003E-2</v>
      </c>
      <c r="O76" s="6">
        <v>3</v>
      </c>
      <c r="P76" s="6">
        <v>7.5700000000000003E-2</v>
      </c>
      <c r="Q76" s="6">
        <v>0.23</v>
      </c>
      <c r="R76" s="6">
        <v>0.08</v>
      </c>
      <c r="S76" s="6">
        <v>3.0030000000000001</v>
      </c>
      <c r="T76" s="8">
        <v>3</v>
      </c>
      <c r="U76" s="5" t="s">
        <v>2945</v>
      </c>
      <c r="V76" s="89">
        <v>0</v>
      </c>
      <c r="W76" s="15">
        <v>17897801314265</v>
      </c>
      <c r="X76" s="6" t="s">
        <v>20</v>
      </c>
      <c r="Y76" s="6" t="s">
        <v>20</v>
      </c>
      <c r="Z76" s="6" t="s">
        <v>20</v>
      </c>
      <c r="AA76" s="6"/>
      <c r="AB76" s="8">
        <v>0</v>
      </c>
      <c r="AC76" s="15">
        <v>27897801314262</v>
      </c>
      <c r="AD76" s="4" t="s">
        <v>992</v>
      </c>
    </row>
    <row r="77" spans="2:30" x14ac:dyDescent="0.35">
      <c r="B77" s="14">
        <v>163</v>
      </c>
      <c r="C77" s="4" t="s">
        <v>80</v>
      </c>
      <c r="D77" s="4" t="s">
        <v>2391</v>
      </c>
      <c r="E77" s="4" t="s">
        <v>2912</v>
      </c>
      <c r="F77" s="4" t="s">
        <v>19</v>
      </c>
      <c r="G77" s="4" t="s">
        <v>990</v>
      </c>
      <c r="H77" s="6">
        <v>9.93</v>
      </c>
      <c r="I77" s="8">
        <v>3000</v>
      </c>
      <c r="J77" s="8">
        <v>90</v>
      </c>
      <c r="K77" s="8">
        <v>90</v>
      </c>
      <c r="L77" s="8">
        <f t="shared" si="2"/>
        <v>24300000</v>
      </c>
      <c r="M77" s="15">
        <v>7897801314275</v>
      </c>
      <c r="N77" s="6">
        <v>0.9</v>
      </c>
      <c r="O77" s="6">
        <v>3</v>
      </c>
      <c r="P77" s="6">
        <v>0.9</v>
      </c>
      <c r="Q77" s="6">
        <v>0.18</v>
      </c>
      <c r="R77" s="6">
        <v>0.9</v>
      </c>
      <c r="S77" s="6">
        <v>3</v>
      </c>
      <c r="T77" s="8">
        <v>2</v>
      </c>
      <c r="U77" s="5" t="s">
        <v>2945</v>
      </c>
      <c r="V77" s="89">
        <v>0</v>
      </c>
      <c r="W77" s="15">
        <v>17897801314272</v>
      </c>
      <c r="X77" s="6" t="s">
        <v>20</v>
      </c>
      <c r="Y77" s="6" t="s">
        <v>20</v>
      </c>
      <c r="Z77" s="6" t="s">
        <v>20</v>
      </c>
      <c r="AA77" s="6"/>
      <c r="AB77" s="8">
        <v>0</v>
      </c>
      <c r="AC77" s="15">
        <v>27897801314279</v>
      </c>
      <c r="AD77" s="4" t="s">
        <v>992</v>
      </c>
    </row>
    <row r="78" spans="2:30" x14ac:dyDescent="0.35">
      <c r="B78" s="14">
        <v>164</v>
      </c>
      <c r="C78" s="4" t="s">
        <v>81</v>
      </c>
      <c r="D78" s="4" t="s">
        <v>2391</v>
      </c>
      <c r="E78" s="4" t="s">
        <v>2912</v>
      </c>
      <c r="F78" s="4" t="s">
        <v>19</v>
      </c>
      <c r="G78" s="4" t="s">
        <v>990</v>
      </c>
      <c r="H78" s="6">
        <v>14.79</v>
      </c>
      <c r="I78" s="8">
        <v>2980</v>
      </c>
      <c r="J78" s="8">
        <v>110</v>
      </c>
      <c r="K78" s="8">
        <v>110</v>
      </c>
      <c r="L78" s="8">
        <f t="shared" si="2"/>
        <v>36058000</v>
      </c>
      <c r="M78" s="15">
        <v>7897801314282</v>
      </c>
      <c r="N78" s="6">
        <v>0.115</v>
      </c>
      <c r="O78" s="6">
        <v>2.98</v>
      </c>
      <c r="P78" s="6">
        <v>0.115</v>
      </c>
      <c r="Q78" s="6">
        <v>0.115</v>
      </c>
      <c r="R78" s="6">
        <v>2.98</v>
      </c>
      <c r="S78" s="6">
        <v>0.115</v>
      </c>
      <c r="T78" s="8">
        <v>1</v>
      </c>
      <c r="U78" s="5" t="s">
        <v>2945</v>
      </c>
      <c r="V78" s="89">
        <v>0</v>
      </c>
      <c r="W78" s="15">
        <v>17897801314289</v>
      </c>
      <c r="X78" s="6" t="s">
        <v>20</v>
      </c>
      <c r="Y78" s="6" t="s">
        <v>20</v>
      </c>
      <c r="Z78" s="6" t="s">
        <v>20</v>
      </c>
      <c r="AA78" s="6"/>
      <c r="AB78" s="8">
        <v>0</v>
      </c>
      <c r="AC78" s="15">
        <v>27897801314286</v>
      </c>
      <c r="AD78" s="4" t="s">
        <v>992</v>
      </c>
    </row>
    <row r="79" spans="2:30" x14ac:dyDescent="0.35">
      <c r="B79" s="14">
        <v>200</v>
      </c>
      <c r="C79" s="4" t="s">
        <v>84</v>
      </c>
      <c r="D79" s="4" t="s">
        <v>2400</v>
      </c>
      <c r="E79" s="4" t="s">
        <v>2911</v>
      </c>
      <c r="F79" s="4" t="s">
        <v>85</v>
      </c>
      <c r="G79" s="4" t="s">
        <v>993</v>
      </c>
      <c r="H79" s="6">
        <v>7.8200000000000006E-2</v>
      </c>
      <c r="I79" s="8">
        <v>70</v>
      </c>
      <c r="J79" s="8">
        <v>60</v>
      </c>
      <c r="K79" s="8">
        <v>70</v>
      </c>
      <c r="L79" s="8">
        <f t="shared" si="2"/>
        <v>294000</v>
      </c>
      <c r="M79" s="15">
        <v>7897801312806</v>
      </c>
      <c r="N79" s="6" t="s">
        <v>20</v>
      </c>
      <c r="O79" s="6" t="s">
        <v>20</v>
      </c>
      <c r="P79" s="6" t="s">
        <v>20</v>
      </c>
      <c r="Q79" s="6">
        <v>0.14000000000000001</v>
      </c>
      <c r="R79" s="6">
        <v>7.0000000000000007E-2</v>
      </c>
      <c r="S79" s="6">
        <v>0.25</v>
      </c>
      <c r="T79" s="8">
        <v>10</v>
      </c>
      <c r="U79" s="5" t="s">
        <v>994</v>
      </c>
      <c r="V79" s="89">
        <v>0</v>
      </c>
      <c r="W79" s="15">
        <v>17897801312803</v>
      </c>
      <c r="X79" s="6">
        <v>0.48</v>
      </c>
      <c r="Y79" s="6">
        <v>0.2</v>
      </c>
      <c r="Z79" s="6">
        <v>0.73</v>
      </c>
      <c r="AA79" s="6">
        <f t="shared" ref="AA79:AA142" si="3">Y79*X79*Z79</f>
        <v>7.0080000000000003E-2</v>
      </c>
      <c r="AB79" s="8">
        <v>300</v>
      </c>
      <c r="AC79" s="15">
        <v>27897801312800</v>
      </c>
      <c r="AD79" s="4" t="s">
        <v>992</v>
      </c>
    </row>
    <row r="80" spans="2:30" x14ac:dyDescent="0.35">
      <c r="B80" s="14">
        <v>201</v>
      </c>
      <c r="C80" s="4" t="s">
        <v>86</v>
      </c>
      <c r="D80" s="4" t="s">
        <v>2400</v>
      </c>
      <c r="E80" s="4" t="s">
        <v>2911</v>
      </c>
      <c r="F80" s="4" t="s">
        <v>85</v>
      </c>
      <c r="G80" s="4" t="s">
        <v>993</v>
      </c>
      <c r="H80" s="6">
        <v>9.7199999999999995E-2</v>
      </c>
      <c r="I80" s="8">
        <v>60</v>
      </c>
      <c r="J80" s="8">
        <v>60</v>
      </c>
      <c r="K80" s="8">
        <v>70</v>
      </c>
      <c r="L80" s="8">
        <f t="shared" si="2"/>
        <v>252000</v>
      </c>
      <c r="M80" s="15">
        <v>7897801312820</v>
      </c>
      <c r="N80" s="6" t="s">
        <v>20</v>
      </c>
      <c r="O80" s="6" t="s">
        <v>20</v>
      </c>
      <c r="P80" s="6" t="s">
        <v>20</v>
      </c>
      <c r="Q80" s="6">
        <v>0.17</v>
      </c>
      <c r="R80" s="6">
        <v>7.0000000000000007E-2</v>
      </c>
      <c r="S80" s="6">
        <v>0.26</v>
      </c>
      <c r="T80" s="8">
        <v>10</v>
      </c>
      <c r="U80" s="5" t="s">
        <v>994</v>
      </c>
      <c r="V80" s="89">
        <v>0</v>
      </c>
      <c r="W80" s="15">
        <v>17897801312827</v>
      </c>
      <c r="X80" s="6">
        <v>0.49</v>
      </c>
      <c r="Y80" s="6">
        <v>0.17</v>
      </c>
      <c r="Z80" s="6">
        <v>0.65</v>
      </c>
      <c r="AA80" s="6">
        <f t="shared" si="3"/>
        <v>5.4144999999999999E-2</v>
      </c>
      <c r="AB80" s="8">
        <v>200</v>
      </c>
      <c r="AC80" s="15">
        <v>27897801312824</v>
      </c>
      <c r="AD80" s="4" t="s">
        <v>992</v>
      </c>
    </row>
    <row r="81" spans="2:30" x14ac:dyDescent="0.35">
      <c r="B81" s="14">
        <v>202</v>
      </c>
      <c r="C81" s="4" t="s">
        <v>87</v>
      </c>
      <c r="D81" s="4" t="s">
        <v>2400</v>
      </c>
      <c r="E81" s="4" t="s">
        <v>2911</v>
      </c>
      <c r="F81" s="4" t="s">
        <v>85</v>
      </c>
      <c r="G81" s="4" t="s">
        <v>993</v>
      </c>
      <c r="H81" s="6">
        <v>0.13439999999999999</v>
      </c>
      <c r="I81" s="8">
        <v>70</v>
      </c>
      <c r="J81" s="8">
        <v>70</v>
      </c>
      <c r="K81" s="8">
        <v>80</v>
      </c>
      <c r="L81" s="8">
        <f t="shared" si="2"/>
        <v>392000</v>
      </c>
      <c r="M81" s="15">
        <v>7897801312851</v>
      </c>
      <c r="N81" s="6" t="s">
        <v>20</v>
      </c>
      <c r="O81" s="6" t="s">
        <v>20</v>
      </c>
      <c r="P81" s="6" t="s">
        <v>20</v>
      </c>
      <c r="Q81" s="6">
        <v>0.2</v>
      </c>
      <c r="R81" s="6">
        <v>0.7</v>
      </c>
      <c r="S81" s="6">
        <v>0.3</v>
      </c>
      <c r="T81" s="8">
        <v>10</v>
      </c>
      <c r="U81" s="5" t="s">
        <v>994</v>
      </c>
      <c r="V81" s="89">
        <v>0</v>
      </c>
      <c r="W81" s="15">
        <v>17897801312858</v>
      </c>
      <c r="X81" s="6">
        <v>0.45</v>
      </c>
      <c r="Y81" s="6">
        <v>0.23</v>
      </c>
      <c r="Z81" s="6">
        <v>0.6</v>
      </c>
      <c r="AA81" s="6">
        <f t="shared" si="3"/>
        <v>6.2100000000000002E-2</v>
      </c>
      <c r="AB81" s="8">
        <v>120</v>
      </c>
      <c r="AC81" s="15">
        <v>27897801312855</v>
      </c>
      <c r="AD81" s="4" t="s">
        <v>992</v>
      </c>
    </row>
    <row r="82" spans="2:30" x14ac:dyDescent="0.35">
      <c r="B82" s="14">
        <v>203</v>
      </c>
      <c r="C82" s="4" t="s">
        <v>88</v>
      </c>
      <c r="D82" s="4" t="s">
        <v>2400</v>
      </c>
      <c r="E82" s="4" t="s">
        <v>2911</v>
      </c>
      <c r="F82" s="4" t="s">
        <v>85</v>
      </c>
      <c r="G82" s="4" t="s">
        <v>993</v>
      </c>
      <c r="H82" s="6">
        <v>0.15620000000000001</v>
      </c>
      <c r="I82" s="8">
        <v>70</v>
      </c>
      <c r="J82" s="8">
        <v>70</v>
      </c>
      <c r="K82" s="8">
        <v>90</v>
      </c>
      <c r="L82" s="8">
        <f t="shared" si="2"/>
        <v>441000</v>
      </c>
      <c r="M82" s="15">
        <v>7897801312844</v>
      </c>
      <c r="N82" s="6" t="s">
        <v>20</v>
      </c>
      <c r="O82" s="6" t="s">
        <v>20</v>
      </c>
      <c r="P82" s="6" t="s">
        <v>20</v>
      </c>
      <c r="Q82" s="6">
        <v>0.185</v>
      </c>
      <c r="R82" s="6">
        <v>0.09</v>
      </c>
      <c r="S82" s="6">
        <v>0.25</v>
      </c>
      <c r="T82" s="8">
        <v>5</v>
      </c>
      <c r="U82" s="5" t="s">
        <v>994</v>
      </c>
      <c r="V82" s="89">
        <v>0</v>
      </c>
      <c r="W82" s="15">
        <v>17897801312841</v>
      </c>
      <c r="X82" s="6">
        <v>0.49</v>
      </c>
      <c r="Y82" s="6">
        <v>0.22</v>
      </c>
      <c r="Z82" s="6">
        <v>0.7</v>
      </c>
      <c r="AA82" s="6">
        <f t="shared" si="3"/>
        <v>7.5459999999999985E-2</v>
      </c>
      <c r="AB82" s="8">
        <v>125</v>
      </c>
      <c r="AC82" s="15">
        <v>27897801312848</v>
      </c>
      <c r="AD82" s="4" t="s">
        <v>992</v>
      </c>
    </row>
    <row r="83" spans="2:30" x14ac:dyDescent="0.35">
      <c r="B83" s="14">
        <v>204</v>
      </c>
      <c r="C83" s="4" t="s">
        <v>89</v>
      </c>
      <c r="D83" s="4" t="s">
        <v>2400</v>
      </c>
      <c r="E83" s="4" t="s">
        <v>2911</v>
      </c>
      <c r="F83" s="4" t="s">
        <v>85</v>
      </c>
      <c r="G83" s="4" t="s">
        <v>993</v>
      </c>
      <c r="H83" s="6">
        <v>0.19409999999999999</v>
      </c>
      <c r="I83" s="8">
        <v>80</v>
      </c>
      <c r="J83" s="8">
        <v>90</v>
      </c>
      <c r="K83" s="8">
        <v>80</v>
      </c>
      <c r="L83" s="8">
        <f t="shared" si="2"/>
        <v>576000</v>
      </c>
      <c r="M83" s="15">
        <v>7897801312837</v>
      </c>
      <c r="N83" s="6" t="s">
        <v>20</v>
      </c>
      <c r="O83" s="6" t="s">
        <v>20</v>
      </c>
      <c r="P83" s="6" t="s">
        <v>20</v>
      </c>
      <c r="Q83" s="6">
        <v>0.18</v>
      </c>
      <c r="R83" s="6">
        <v>7.0000000000000007E-2</v>
      </c>
      <c r="S83" s="6">
        <v>0.21</v>
      </c>
      <c r="T83" s="8">
        <v>5</v>
      </c>
      <c r="U83" s="5" t="s">
        <v>994</v>
      </c>
      <c r="V83" s="89">
        <v>0</v>
      </c>
      <c r="W83" s="15">
        <v>17897801312834</v>
      </c>
      <c r="X83" s="6">
        <v>0.5</v>
      </c>
      <c r="Y83" s="6">
        <v>0.21</v>
      </c>
      <c r="Z83" s="6">
        <v>0.65</v>
      </c>
      <c r="AA83" s="6">
        <f t="shared" si="3"/>
        <v>6.8250000000000005E-2</v>
      </c>
      <c r="AB83" s="8">
        <v>100</v>
      </c>
      <c r="AC83" s="15">
        <v>27897801312831</v>
      </c>
      <c r="AD83" s="4" t="s">
        <v>992</v>
      </c>
    </row>
    <row r="84" spans="2:30" x14ac:dyDescent="0.35">
      <c r="B84" s="14">
        <v>205</v>
      </c>
      <c r="C84" s="4" t="s">
        <v>90</v>
      </c>
      <c r="D84" s="4" t="s">
        <v>2400</v>
      </c>
      <c r="E84" s="4" t="s">
        <v>2911</v>
      </c>
      <c r="F84" s="4" t="s">
        <v>85</v>
      </c>
      <c r="G84" s="4" t="s">
        <v>993</v>
      </c>
      <c r="H84" s="6">
        <v>0.25409999999999999</v>
      </c>
      <c r="I84" s="8">
        <v>100</v>
      </c>
      <c r="J84" s="8">
        <v>90</v>
      </c>
      <c r="K84" s="8">
        <v>10</v>
      </c>
      <c r="L84" s="8">
        <f t="shared" si="2"/>
        <v>90000</v>
      </c>
      <c r="M84" s="15">
        <v>7897801312868</v>
      </c>
      <c r="N84" s="6" t="s">
        <v>20</v>
      </c>
      <c r="O84" s="6" t="s">
        <v>20</v>
      </c>
      <c r="P84" s="6" t="s">
        <v>20</v>
      </c>
      <c r="Q84" s="6">
        <v>0.22500000000000001</v>
      </c>
      <c r="R84" s="6">
        <v>8.5000000000000006E-2</v>
      </c>
      <c r="S84" s="6">
        <v>0.27500000000000002</v>
      </c>
      <c r="T84" s="8">
        <v>5</v>
      </c>
      <c r="U84" s="5" t="s">
        <v>994</v>
      </c>
      <c r="V84" s="89">
        <v>0</v>
      </c>
      <c r="W84" s="15">
        <v>17897801312865</v>
      </c>
      <c r="X84" s="6">
        <v>0.42</v>
      </c>
      <c r="Y84" s="6">
        <v>0.22</v>
      </c>
      <c r="Z84" s="6">
        <v>0.64</v>
      </c>
      <c r="AA84" s="6">
        <f t="shared" si="3"/>
        <v>5.9136000000000001E-2</v>
      </c>
      <c r="AB84" s="8">
        <v>60</v>
      </c>
      <c r="AC84" s="15">
        <v>27897801312862</v>
      </c>
      <c r="AD84" s="4" t="s">
        <v>992</v>
      </c>
    </row>
    <row r="85" spans="2:30" x14ac:dyDescent="0.35">
      <c r="B85" s="14">
        <v>208</v>
      </c>
      <c r="C85" s="4" t="s">
        <v>91</v>
      </c>
      <c r="D85" s="4" t="s">
        <v>2376</v>
      </c>
      <c r="E85" s="4" t="s">
        <v>2911</v>
      </c>
      <c r="F85" s="4" t="s">
        <v>85</v>
      </c>
      <c r="G85" s="4" t="s">
        <v>993</v>
      </c>
      <c r="H85" s="6">
        <v>0.01</v>
      </c>
      <c r="I85" s="8">
        <v>30</v>
      </c>
      <c r="J85" s="8">
        <v>30</v>
      </c>
      <c r="K85" s="8">
        <v>27</v>
      </c>
      <c r="L85" s="8">
        <f t="shared" si="2"/>
        <v>24300</v>
      </c>
      <c r="M85" s="15">
        <v>7897801302128</v>
      </c>
      <c r="N85" s="6" t="s">
        <v>20</v>
      </c>
      <c r="O85" s="6" t="s">
        <v>20</v>
      </c>
      <c r="P85" s="6" t="s">
        <v>20</v>
      </c>
      <c r="Q85" s="6">
        <v>0.23</v>
      </c>
      <c r="R85" s="6">
        <v>0.04</v>
      </c>
      <c r="S85" s="6">
        <v>0.24</v>
      </c>
      <c r="T85" s="8">
        <v>50</v>
      </c>
      <c r="U85" s="5" t="s">
        <v>994</v>
      </c>
      <c r="V85" s="89">
        <v>0</v>
      </c>
      <c r="W85" s="15">
        <v>17897801302125</v>
      </c>
      <c r="X85" s="6">
        <v>0.42</v>
      </c>
      <c r="Y85" s="6">
        <v>0.22</v>
      </c>
      <c r="Z85" s="6">
        <v>0.67</v>
      </c>
      <c r="AA85" s="6">
        <f t="shared" si="3"/>
        <v>6.1907999999999998E-2</v>
      </c>
      <c r="AB85" s="8">
        <v>2000</v>
      </c>
      <c r="AC85" s="15">
        <v>47897801302126</v>
      </c>
      <c r="AD85" s="4" t="s">
        <v>992</v>
      </c>
    </row>
    <row r="86" spans="2:30" x14ac:dyDescent="0.35">
      <c r="B86" s="14">
        <v>209</v>
      </c>
      <c r="C86" s="4" t="s">
        <v>92</v>
      </c>
      <c r="D86" s="4" t="s">
        <v>2376</v>
      </c>
      <c r="E86" s="4" t="s">
        <v>2911</v>
      </c>
      <c r="F86" s="4" t="s">
        <v>85</v>
      </c>
      <c r="G86" s="4" t="s">
        <v>993</v>
      </c>
      <c r="H86" s="6">
        <v>2.23E-2</v>
      </c>
      <c r="I86" s="8">
        <v>30</v>
      </c>
      <c r="J86" s="8">
        <v>30</v>
      </c>
      <c r="K86" s="8">
        <v>40</v>
      </c>
      <c r="L86" s="8">
        <f t="shared" si="2"/>
        <v>36000</v>
      </c>
      <c r="M86" s="15">
        <v>7897801312189</v>
      </c>
      <c r="N86" s="6" t="s">
        <v>20</v>
      </c>
      <c r="O86" s="6" t="s">
        <v>20</v>
      </c>
      <c r="P86" s="6" t="s">
        <v>20</v>
      </c>
      <c r="Q86" s="6">
        <v>0.19</v>
      </c>
      <c r="R86" s="6">
        <v>0.04</v>
      </c>
      <c r="S86" s="6">
        <v>0.23499999999999999</v>
      </c>
      <c r="T86" s="8">
        <v>16</v>
      </c>
      <c r="U86" s="5" t="s">
        <v>994</v>
      </c>
      <c r="V86" s="89">
        <v>0</v>
      </c>
      <c r="W86" s="15">
        <v>17897801312186</v>
      </c>
      <c r="X86" s="6">
        <v>0.53</v>
      </c>
      <c r="Y86" s="6">
        <v>0.21</v>
      </c>
      <c r="Z86" s="6">
        <v>0.79</v>
      </c>
      <c r="AA86" s="6">
        <f t="shared" si="3"/>
        <v>8.7927000000000005E-2</v>
      </c>
      <c r="AB86" s="8">
        <v>960</v>
      </c>
      <c r="AC86" s="15">
        <v>27897801312183</v>
      </c>
      <c r="AD86" s="4" t="s">
        <v>992</v>
      </c>
    </row>
    <row r="87" spans="2:30" x14ac:dyDescent="0.35">
      <c r="B87" s="14">
        <v>210</v>
      </c>
      <c r="C87" s="4" t="s">
        <v>93</v>
      </c>
      <c r="D87" s="4" t="s">
        <v>2376</v>
      </c>
      <c r="E87" s="4" t="s">
        <v>2911</v>
      </c>
      <c r="F87" s="4" t="s">
        <v>85</v>
      </c>
      <c r="G87" s="4" t="s">
        <v>993</v>
      </c>
      <c r="H87" s="6">
        <v>1.6199999999999999E-2</v>
      </c>
      <c r="I87" s="8">
        <v>36</v>
      </c>
      <c r="J87" s="8">
        <v>30</v>
      </c>
      <c r="K87" s="8">
        <v>36</v>
      </c>
      <c r="L87" s="8">
        <f t="shared" si="2"/>
        <v>38880</v>
      </c>
      <c r="M87" s="15">
        <v>7897801307673</v>
      </c>
      <c r="N87" s="6" t="s">
        <v>20</v>
      </c>
      <c r="O87" s="6" t="s">
        <v>20</v>
      </c>
      <c r="P87" s="6" t="s">
        <v>20</v>
      </c>
      <c r="Q87" s="6">
        <v>0.16</v>
      </c>
      <c r="R87" s="6">
        <v>3.5000000000000003E-2</v>
      </c>
      <c r="S87" s="6">
        <v>0.2</v>
      </c>
      <c r="T87" s="8">
        <v>24</v>
      </c>
      <c r="U87" s="5" t="s">
        <v>994</v>
      </c>
      <c r="V87" s="89">
        <v>0</v>
      </c>
      <c r="W87" s="15">
        <v>17897801307670</v>
      </c>
      <c r="X87" s="6">
        <v>0.5</v>
      </c>
      <c r="Y87" s="6">
        <v>0.18</v>
      </c>
      <c r="Z87" s="6">
        <v>0.7</v>
      </c>
      <c r="AA87" s="6">
        <f t="shared" si="3"/>
        <v>6.3E-2</v>
      </c>
      <c r="AB87" s="8">
        <v>1320</v>
      </c>
      <c r="AC87" s="15">
        <v>47897801307671</v>
      </c>
      <c r="AD87" s="4" t="s">
        <v>992</v>
      </c>
    </row>
    <row r="88" spans="2:30" x14ac:dyDescent="0.35">
      <c r="B88" s="14">
        <v>211</v>
      </c>
      <c r="C88" s="4" t="s">
        <v>94</v>
      </c>
      <c r="D88" s="4" t="s">
        <v>2376</v>
      </c>
      <c r="E88" s="4" t="s">
        <v>2911</v>
      </c>
      <c r="F88" s="4" t="s">
        <v>85</v>
      </c>
      <c r="G88" s="4" t="s">
        <v>993</v>
      </c>
      <c r="H88" s="6">
        <v>2.58E-2</v>
      </c>
      <c r="I88" s="8">
        <v>30</v>
      </c>
      <c r="J88" s="8">
        <v>50</v>
      </c>
      <c r="K88" s="8">
        <v>40</v>
      </c>
      <c r="L88" s="8">
        <f t="shared" si="2"/>
        <v>60000</v>
      </c>
      <c r="M88" s="15">
        <v>7897801312196</v>
      </c>
      <c r="N88" s="6" t="s">
        <v>20</v>
      </c>
      <c r="O88" s="6" t="s">
        <v>20</v>
      </c>
      <c r="P88" s="6" t="s">
        <v>20</v>
      </c>
      <c r="Q88" s="6">
        <v>0.15</v>
      </c>
      <c r="R88" s="6">
        <v>0.06</v>
      </c>
      <c r="S88" s="6">
        <v>0.2</v>
      </c>
      <c r="T88" s="8">
        <v>16</v>
      </c>
      <c r="U88" s="5" t="s">
        <v>994</v>
      </c>
      <c r="V88" s="89">
        <v>0</v>
      </c>
      <c r="W88" s="15">
        <v>17897801312193</v>
      </c>
      <c r="X88" s="6">
        <v>0.56000000000000005</v>
      </c>
      <c r="Y88" s="6">
        <v>0.215</v>
      </c>
      <c r="Z88" s="6">
        <v>0.65</v>
      </c>
      <c r="AA88" s="6">
        <f t="shared" si="3"/>
        <v>7.826000000000001E-2</v>
      </c>
      <c r="AB88" s="8">
        <v>720</v>
      </c>
      <c r="AC88" s="15">
        <v>27897801312190</v>
      </c>
      <c r="AD88" s="4" t="s">
        <v>992</v>
      </c>
    </row>
    <row r="89" spans="2:30" x14ac:dyDescent="0.35">
      <c r="B89" s="14">
        <v>212</v>
      </c>
      <c r="C89" s="4" t="s">
        <v>95</v>
      </c>
      <c r="D89" s="4" t="s">
        <v>2376</v>
      </c>
      <c r="E89" s="4" t="s">
        <v>2911</v>
      </c>
      <c r="F89" s="4" t="s">
        <v>85</v>
      </c>
      <c r="G89" s="4" t="s">
        <v>993</v>
      </c>
      <c r="H89" s="6">
        <v>3.0800000000000001E-2</v>
      </c>
      <c r="I89" s="8">
        <v>30</v>
      </c>
      <c r="J89" s="8">
        <v>30</v>
      </c>
      <c r="K89" s="8">
        <v>40</v>
      </c>
      <c r="L89" s="8">
        <f t="shared" si="2"/>
        <v>36000</v>
      </c>
      <c r="M89" s="15">
        <v>7897801312202</v>
      </c>
      <c r="N89" s="6" t="s">
        <v>20</v>
      </c>
      <c r="O89" s="6" t="s">
        <v>20</v>
      </c>
      <c r="P89" s="6" t="s">
        <v>20</v>
      </c>
      <c r="Q89" s="6">
        <v>0.15</v>
      </c>
      <c r="R89" s="6">
        <v>0.05</v>
      </c>
      <c r="S89" s="6">
        <v>0.2</v>
      </c>
      <c r="T89" s="8">
        <v>16</v>
      </c>
      <c r="U89" s="5" t="s">
        <v>994</v>
      </c>
      <c r="V89" s="89">
        <v>0</v>
      </c>
      <c r="W89" s="15">
        <v>17897801312209</v>
      </c>
      <c r="X89" s="6">
        <v>0.45</v>
      </c>
      <c r="Y89" s="6">
        <v>0.2</v>
      </c>
      <c r="Z89" s="6">
        <v>0.65</v>
      </c>
      <c r="AA89" s="6">
        <f t="shared" si="3"/>
        <v>5.850000000000001E-2</v>
      </c>
      <c r="AB89" s="8">
        <v>720</v>
      </c>
      <c r="AC89" s="15">
        <v>27897801312206</v>
      </c>
      <c r="AD89" s="4" t="s">
        <v>992</v>
      </c>
    </row>
    <row r="90" spans="2:30" x14ac:dyDescent="0.35">
      <c r="B90" s="14">
        <v>213</v>
      </c>
      <c r="C90" s="4" t="s">
        <v>96</v>
      </c>
      <c r="D90" s="4" t="s">
        <v>2376</v>
      </c>
      <c r="E90" s="4" t="s">
        <v>2911</v>
      </c>
      <c r="F90" s="4" t="s">
        <v>85</v>
      </c>
      <c r="G90" s="4" t="s">
        <v>993</v>
      </c>
      <c r="H90" s="6">
        <v>4.07E-2</v>
      </c>
      <c r="I90" s="8">
        <v>50</v>
      </c>
      <c r="J90" s="8">
        <v>30</v>
      </c>
      <c r="K90" s="8">
        <v>50</v>
      </c>
      <c r="L90" s="8">
        <f t="shared" si="2"/>
        <v>75000</v>
      </c>
      <c r="M90" s="15">
        <v>7897801311533</v>
      </c>
      <c r="N90" s="6" t="s">
        <v>20</v>
      </c>
      <c r="O90" s="6" t="s">
        <v>20</v>
      </c>
      <c r="P90" s="6" t="s">
        <v>20</v>
      </c>
      <c r="Q90" s="6">
        <v>0.15</v>
      </c>
      <c r="R90" s="6">
        <v>7.0000000000000007E-2</v>
      </c>
      <c r="S90" s="6">
        <v>0.18</v>
      </c>
      <c r="T90" s="8">
        <v>16</v>
      </c>
      <c r="U90" s="5" t="s">
        <v>994</v>
      </c>
      <c r="V90" s="89">
        <v>0</v>
      </c>
      <c r="W90" s="15">
        <v>17897801311530</v>
      </c>
      <c r="X90" s="6">
        <v>0.45</v>
      </c>
      <c r="Y90" s="6">
        <v>0.2</v>
      </c>
      <c r="Z90" s="6">
        <v>0.7</v>
      </c>
      <c r="AA90" s="6">
        <f t="shared" si="3"/>
        <v>6.3E-2</v>
      </c>
      <c r="AB90" s="8">
        <v>480</v>
      </c>
      <c r="AC90" s="15">
        <v>27897801311537</v>
      </c>
      <c r="AD90" s="4" t="s">
        <v>992</v>
      </c>
    </row>
    <row r="91" spans="2:30" x14ac:dyDescent="0.35">
      <c r="B91" s="14">
        <v>214</v>
      </c>
      <c r="C91" s="4" t="s">
        <v>97</v>
      </c>
      <c r="D91" s="4" t="s">
        <v>2376</v>
      </c>
      <c r="E91" s="4" t="s">
        <v>2911</v>
      </c>
      <c r="F91" s="4" t="s">
        <v>85</v>
      </c>
      <c r="G91" s="4" t="s">
        <v>993</v>
      </c>
      <c r="H91" s="6">
        <v>3.5000000000000003E-2</v>
      </c>
      <c r="I91" s="8">
        <v>50</v>
      </c>
      <c r="J91" s="8">
        <v>31</v>
      </c>
      <c r="K91" s="8">
        <v>50</v>
      </c>
      <c r="L91" s="8">
        <f t="shared" si="2"/>
        <v>77500</v>
      </c>
      <c r="M91" s="15">
        <v>7897801311649</v>
      </c>
      <c r="N91" s="6" t="s">
        <v>20</v>
      </c>
      <c r="O91" s="6" t="s">
        <v>20</v>
      </c>
      <c r="P91" s="6" t="s">
        <v>20</v>
      </c>
      <c r="Q91" s="6">
        <v>0.25</v>
      </c>
      <c r="R91" s="6">
        <v>0.06</v>
      </c>
      <c r="S91" s="6">
        <v>0.27</v>
      </c>
      <c r="T91" s="8">
        <v>16</v>
      </c>
      <c r="U91" s="5" t="s">
        <v>994</v>
      </c>
      <c r="V91" s="89">
        <v>0</v>
      </c>
      <c r="W91" s="15">
        <v>17897801311646</v>
      </c>
      <c r="X91" s="6">
        <v>0.56999999999999995</v>
      </c>
      <c r="Y91" s="6">
        <v>0.2</v>
      </c>
      <c r="Z91" s="6">
        <v>0.84</v>
      </c>
      <c r="AA91" s="6">
        <f t="shared" si="3"/>
        <v>9.5759999999999984E-2</v>
      </c>
      <c r="AB91" s="8">
        <v>576</v>
      </c>
      <c r="AC91" s="15">
        <v>27897801311643</v>
      </c>
      <c r="AD91" s="4" t="s">
        <v>992</v>
      </c>
    </row>
    <row r="92" spans="2:30" x14ac:dyDescent="0.35">
      <c r="B92" s="14">
        <v>215</v>
      </c>
      <c r="C92" s="4" t="s">
        <v>98</v>
      </c>
      <c r="D92" s="4" t="s">
        <v>2376</v>
      </c>
      <c r="E92" s="4" t="s">
        <v>2911</v>
      </c>
      <c r="F92" s="4" t="s">
        <v>85</v>
      </c>
      <c r="G92" s="4" t="s">
        <v>993</v>
      </c>
      <c r="H92" s="6">
        <v>3.3500000000000002E-2</v>
      </c>
      <c r="I92" s="8">
        <v>50</v>
      </c>
      <c r="J92" s="8">
        <v>30</v>
      </c>
      <c r="K92" s="8">
        <v>50</v>
      </c>
      <c r="L92" s="8">
        <f t="shared" si="2"/>
        <v>75000</v>
      </c>
      <c r="M92" s="15">
        <v>7897801311755</v>
      </c>
      <c r="N92" s="6" t="s">
        <v>20</v>
      </c>
      <c r="O92" s="6" t="s">
        <v>20</v>
      </c>
      <c r="P92" s="6" t="s">
        <v>20</v>
      </c>
      <c r="Q92" s="6">
        <v>0.14000000000000001</v>
      </c>
      <c r="R92" s="6">
        <v>0.05</v>
      </c>
      <c r="S92" s="6">
        <v>0.24</v>
      </c>
      <c r="T92" s="8">
        <v>16</v>
      </c>
      <c r="U92" s="5" t="s">
        <v>994</v>
      </c>
      <c r="V92" s="89">
        <v>0</v>
      </c>
      <c r="W92" s="15">
        <v>17897801311752</v>
      </c>
      <c r="X92" s="6">
        <v>0.45</v>
      </c>
      <c r="Y92" s="6">
        <v>0.19</v>
      </c>
      <c r="Z92" s="6">
        <v>0.65</v>
      </c>
      <c r="AA92" s="6">
        <f t="shared" si="3"/>
        <v>5.5575000000000006E-2</v>
      </c>
      <c r="AB92" s="8">
        <v>576</v>
      </c>
      <c r="AC92" s="15">
        <v>27897801311759</v>
      </c>
      <c r="AD92" s="4" t="s">
        <v>992</v>
      </c>
    </row>
    <row r="93" spans="2:30" x14ac:dyDescent="0.35">
      <c r="B93" s="14">
        <v>216</v>
      </c>
      <c r="C93" s="4" t="s">
        <v>99</v>
      </c>
      <c r="D93" s="4" t="s">
        <v>2376</v>
      </c>
      <c r="E93" s="4" t="s">
        <v>2911</v>
      </c>
      <c r="F93" s="4" t="s">
        <v>85</v>
      </c>
      <c r="G93" s="4" t="s">
        <v>993</v>
      </c>
      <c r="H93" s="6">
        <v>2.75E-2</v>
      </c>
      <c r="I93" s="8">
        <v>40</v>
      </c>
      <c r="J93" s="8">
        <v>50</v>
      </c>
      <c r="K93" s="8">
        <v>40</v>
      </c>
      <c r="L93" s="8">
        <f t="shared" si="2"/>
        <v>80000</v>
      </c>
      <c r="M93" s="15">
        <v>7897801312219</v>
      </c>
      <c r="N93" s="6" t="s">
        <v>20</v>
      </c>
      <c r="O93" s="6" t="s">
        <v>20</v>
      </c>
      <c r="P93" s="6" t="s">
        <v>20</v>
      </c>
      <c r="Q93" s="6">
        <v>0.23</v>
      </c>
      <c r="R93" s="6">
        <v>6.0999999999999999E-2</v>
      </c>
      <c r="S93" s="6">
        <v>0.16500000000000001</v>
      </c>
      <c r="T93" s="8">
        <v>12</v>
      </c>
      <c r="U93" s="5" t="s">
        <v>994</v>
      </c>
      <c r="V93" s="89">
        <v>0</v>
      </c>
      <c r="W93" s="15">
        <v>17897801312216</v>
      </c>
      <c r="X93" s="6">
        <v>0.59</v>
      </c>
      <c r="Y93" s="6">
        <v>0.21</v>
      </c>
      <c r="Z93" s="6">
        <v>0.84</v>
      </c>
      <c r="AA93" s="6">
        <f t="shared" si="3"/>
        <v>0.10407599999999999</v>
      </c>
      <c r="AB93" s="8">
        <v>600</v>
      </c>
      <c r="AC93" s="15">
        <v>27897801312213</v>
      </c>
      <c r="AD93" s="4" t="s">
        <v>992</v>
      </c>
    </row>
    <row r="94" spans="2:30" x14ac:dyDescent="0.35">
      <c r="B94" s="14">
        <v>217</v>
      </c>
      <c r="C94" s="4" t="s">
        <v>100</v>
      </c>
      <c r="D94" s="4" t="s">
        <v>2376</v>
      </c>
      <c r="E94" s="4" t="s">
        <v>2911</v>
      </c>
      <c r="F94" s="4" t="s">
        <v>85</v>
      </c>
      <c r="G94" s="4" t="s">
        <v>993</v>
      </c>
      <c r="H94" s="6">
        <v>7.0800000000000002E-2</v>
      </c>
      <c r="I94" s="8">
        <v>40</v>
      </c>
      <c r="J94" s="8">
        <v>40</v>
      </c>
      <c r="K94" s="8">
        <v>60</v>
      </c>
      <c r="L94" s="8">
        <f t="shared" si="2"/>
        <v>96000</v>
      </c>
      <c r="M94" s="15">
        <v>7897801312226</v>
      </c>
      <c r="N94" s="6" t="s">
        <v>20</v>
      </c>
      <c r="O94" s="6" t="s">
        <v>20</v>
      </c>
      <c r="P94" s="6" t="s">
        <v>20</v>
      </c>
      <c r="Q94" s="6">
        <v>0.18</v>
      </c>
      <c r="R94" s="6">
        <v>0.06</v>
      </c>
      <c r="S94" s="6">
        <v>0.21</v>
      </c>
      <c r="T94" s="8">
        <v>8</v>
      </c>
      <c r="U94" s="5" t="s">
        <v>994</v>
      </c>
      <c r="V94" s="89">
        <v>0</v>
      </c>
      <c r="W94" s="15">
        <v>17897801312223</v>
      </c>
      <c r="X94" s="6">
        <v>0.45</v>
      </c>
      <c r="Y94" s="6">
        <v>0.28999999999999998</v>
      </c>
      <c r="Z94" s="6">
        <v>0.72</v>
      </c>
      <c r="AA94" s="6">
        <f t="shared" si="3"/>
        <v>9.3960000000000002E-2</v>
      </c>
      <c r="AB94" s="8">
        <v>320</v>
      </c>
      <c r="AC94" s="15">
        <v>27897801312220</v>
      </c>
      <c r="AD94" s="4" t="s">
        <v>992</v>
      </c>
    </row>
    <row r="95" spans="2:30" x14ac:dyDescent="0.35">
      <c r="B95" s="14">
        <v>218</v>
      </c>
      <c r="C95" s="4" t="s">
        <v>101</v>
      </c>
      <c r="D95" s="4" t="s">
        <v>2376</v>
      </c>
      <c r="E95" s="4" t="s">
        <v>2911</v>
      </c>
      <c r="F95" s="4" t="s">
        <v>85</v>
      </c>
      <c r="G95" s="4" t="s">
        <v>993</v>
      </c>
      <c r="H95" s="6">
        <v>5.4699999999999999E-2</v>
      </c>
      <c r="I95" s="8">
        <v>40</v>
      </c>
      <c r="J95" s="8">
        <v>40</v>
      </c>
      <c r="K95" s="8">
        <v>60</v>
      </c>
      <c r="L95" s="8">
        <f t="shared" si="2"/>
        <v>96000</v>
      </c>
      <c r="M95" s="15">
        <v>7897801312233</v>
      </c>
      <c r="N95" s="6" t="s">
        <v>20</v>
      </c>
      <c r="O95" s="6" t="s">
        <v>20</v>
      </c>
      <c r="P95" s="6" t="s">
        <v>20</v>
      </c>
      <c r="Q95" s="6">
        <v>0.114</v>
      </c>
      <c r="R95" s="6">
        <v>6.5000000000000002E-2</v>
      </c>
      <c r="S95" s="6">
        <v>0.11899999999999999</v>
      </c>
      <c r="T95" s="8">
        <v>8</v>
      </c>
      <c r="U95" s="5" t="s">
        <v>994</v>
      </c>
      <c r="V95" s="89">
        <v>0</v>
      </c>
      <c r="W95" s="15">
        <v>17897801312230</v>
      </c>
      <c r="X95" s="6">
        <v>0.45</v>
      </c>
      <c r="Y95" s="6">
        <v>0.21</v>
      </c>
      <c r="Z95" s="6">
        <v>0.65</v>
      </c>
      <c r="AA95" s="6">
        <f t="shared" si="3"/>
        <v>6.1425E-2</v>
      </c>
      <c r="AB95" s="8">
        <v>320</v>
      </c>
      <c r="AC95" s="15">
        <v>27897801312237</v>
      </c>
      <c r="AD95" s="4" t="s">
        <v>992</v>
      </c>
    </row>
    <row r="96" spans="2:30" x14ac:dyDescent="0.35">
      <c r="B96" s="14">
        <v>220</v>
      </c>
      <c r="C96" s="4" t="s">
        <v>102</v>
      </c>
      <c r="D96" s="4" t="s">
        <v>2376</v>
      </c>
      <c r="E96" s="4" t="s">
        <v>2911</v>
      </c>
      <c r="F96" s="4" t="s">
        <v>85</v>
      </c>
      <c r="G96" s="4" t="s">
        <v>993</v>
      </c>
      <c r="H96" s="6">
        <v>1.24E-2</v>
      </c>
      <c r="I96" s="8">
        <v>32</v>
      </c>
      <c r="J96" s="8">
        <v>28</v>
      </c>
      <c r="K96" s="8">
        <v>32</v>
      </c>
      <c r="L96" s="8">
        <f t="shared" si="2"/>
        <v>28672</v>
      </c>
      <c r="M96" s="15">
        <v>7897801309592</v>
      </c>
      <c r="N96" s="6" t="s">
        <v>20</v>
      </c>
      <c r="O96" s="6" t="s">
        <v>20</v>
      </c>
      <c r="P96" s="6" t="s">
        <v>20</v>
      </c>
      <c r="Q96" s="6">
        <v>0.21</v>
      </c>
      <c r="R96" s="6">
        <v>0.04</v>
      </c>
      <c r="S96" s="6">
        <v>0.255</v>
      </c>
      <c r="T96" s="8">
        <v>30</v>
      </c>
      <c r="U96" s="5" t="s">
        <v>994</v>
      </c>
      <c r="V96" s="89">
        <v>0</v>
      </c>
      <c r="W96" s="15">
        <v>17897801309599</v>
      </c>
      <c r="X96" s="6">
        <v>0.52</v>
      </c>
      <c r="Y96" s="6">
        <v>0.18</v>
      </c>
      <c r="Z96" s="6">
        <v>0.77</v>
      </c>
      <c r="AA96" s="6">
        <f t="shared" si="3"/>
        <v>7.2071999999999997E-2</v>
      </c>
      <c r="AB96" s="8">
        <v>1500</v>
      </c>
      <c r="AC96" s="15">
        <v>27897801309596</v>
      </c>
      <c r="AD96" s="4" t="s">
        <v>992</v>
      </c>
    </row>
    <row r="97" spans="2:30" x14ac:dyDescent="0.35">
      <c r="B97" s="14">
        <v>221</v>
      </c>
      <c r="C97" s="4" t="s">
        <v>103</v>
      </c>
      <c r="D97" s="4" t="s">
        <v>2376</v>
      </c>
      <c r="E97" s="4" t="s">
        <v>2911</v>
      </c>
      <c r="F97" s="4" t="s">
        <v>85</v>
      </c>
      <c r="G97" s="4" t="s">
        <v>993</v>
      </c>
      <c r="H97" s="6">
        <v>1.67E-2</v>
      </c>
      <c r="I97" s="8">
        <v>36</v>
      </c>
      <c r="J97" s="8">
        <v>23</v>
      </c>
      <c r="K97" s="8">
        <v>36</v>
      </c>
      <c r="L97" s="8">
        <f t="shared" si="2"/>
        <v>29808</v>
      </c>
      <c r="M97" s="15">
        <v>7897801309608</v>
      </c>
      <c r="N97" s="6" t="s">
        <v>20</v>
      </c>
      <c r="O97" s="6" t="s">
        <v>20</v>
      </c>
      <c r="P97" s="6" t="s">
        <v>20</v>
      </c>
      <c r="Q97" s="6">
        <v>0.24</v>
      </c>
      <c r="R97" s="6">
        <v>0.04</v>
      </c>
      <c r="S97" s="6">
        <v>0.245</v>
      </c>
      <c r="T97" s="8">
        <v>30</v>
      </c>
      <c r="U97" s="5" t="s">
        <v>994</v>
      </c>
      <c r="V97" s="89">
        <v>0</v>
      </c>
      <c r="W97" s="15">
        <v>17897801309605</v>
      </c>
      <c r="X97" s="6">
        <v>0.505</v>
      </c>
      <c r="Y97" s="6">
        <v>0.17</v>
      </c>
      <c r="Z97" s="6">
        <v>0.8</v>
      </c>
      <c r="AA97" s="6">
        <f t="shared" si="3"/>
        <v>6.8680000000000005E-2</v>
      </c>
      <c r="AB97" s="8">
        <v>1200</v>
      </c>
      <c r="AC97" s="15">
        <v>27897801309602</v>
      </c>
      <c r="AD97" s="4" t="s">
        <v>992</v>
      </c>
    </row>
    <row r="98" spans="2:30" x14ac:dyDescent="0.35">
      <c r="B98" s="14">
        <v>222</v>
      </c>
      <c r="C98" s="4" t="s">
        <v>104</v>
      </c>
      <c r="D98" s="4" t="s">
        <v>2376</v>
      </c>
      <c r="E98" s="4" t="s">
        <v>2911</v>
      </c>
      <c r="F98" s="4" t="s">
        <v>85</v>
      </c>
      <c r="G98" s="4" t="s">
        <v>993</v>
      </c>
      <c r="H98" s="6">
        <v>3.1099999999999999E-2</v>
      </c>
      <c r="I98" s="8">
        <v>44</v>
      </c>
      <c r="J98" s="8">
        <v>30</v>
      </c>
      <c r="K98" s="8">
        <v>42</v>
      </c>
      <c r="L98" s="8">
        <f t="shared" si="2"/>
        <v>55440</v>
      </c>
      <c r="M98" s="15">
        <v>7897801309714</v>
      </c>
      <c r="N98" s="6" t="s">
        <v>20</v>
      </c>
      <c r="O98" s="6" t="s">
        <v>20</v>
      </c>
      <c r="P98" s="6" t="s">
        <v>20</v>
      </c>
      <c r="Q98" s="6">
        <v>0.17</v>
      </c>
      <c r="R98" s="6">
        <v>4.4999999999999998E-2</v>
      </c>
      <c r="S98" s="6">
        <v>0.22</v>
      </c>
      <c r="T98" s="8">
        <v>15</v>
      </c>
      <c r="U98" s="5" t="s">
        <v>994</v>
      </c>
      <c r="V98" s="89">
        <v>0</v>
      </c>
      <c r="W98" s="15">
        <v>17897801309711</v>
      </c>
      <c r="X98" s="6">
        <v>0.4</v>
      </c>
      <c r="Y98" s="6">
        <v>0.18</v>
      </c>
      <c r="Z98" s="6">
        <v>0.6</v>
      </c>
      <c r="AA98" s="6">
        <f t="shared" si="3"/>
        <v>4.3199999999999995E-2</v>
      </c>
      <c r="AB98" s="8">
        <v>675</v>
      </c>
      <c r="AC98" s="15">
        <v>27897801309718</v>
      </c>
      <c r="AD98" s="4" t="s">
        <v>992</v>
      </c>
    </row>
    <row r="99" spans="2:30" x14ac:dyDescent="0.35">
      <c r="B99" s="14">
        <v>223</v>
      </c>
      <c r="C99" s="4" t="s">
        <v>105</v>
      </c>
      <c r="D99" s="4" t="s">
        <v>2376</v>
      </c>
      <c r="E99" s="4" t="s">
        <v>2911</v>
      </c>
      <c r="F99" s="4" t="s">
        <v>85</v>
      </c>
      <c r="G99" s="4" t="s">
        <v>993</v>
      </c>
      <c r="H99" s="6">
        <v>6.4100000000000004E-2</v>
      </c>
      <c r="I99" s="8">
        <v>60</v>
      </c>
      <c r="J99" s="8">
        <v>40</v>
      </c>
      <c r="K99" s="8">
        <v>60</v>
      </c>
      <c r="L99" s="8">
        <f t="shared" si="2"/>
        <v>144000</v>
      </c>
      <c r="M99" s="15">
        <v>7897801311434</v>
      </c>
      <c r="N99" s="6" t="s">
        <v>20</v>
      </c>
      <c r="O99" s="6" t="s">
        <v>20</v>
      </c>
      <c r="P99" s="6" t="s">
        <v>20</v>
      </c>
      <c r="Q99" s="6">
        <v>0.185</v>
      </c>
      <c r="R99" s="6">
        <v>6.3E-2</v>
      </c>
      <c r="S99" s="6">
        <v>0.215</v>
      </c>
      <c r="T99" s="8">
        <v>10</v>
      </c>
      <c r="U99" s="5" t="s">
        <v>994</v>
      </c>
      <c r="V99" s="89">
        <v>0</v>
      </c>
      <c r="W99" s="15">
        <v>17897801311431</v>
      </c>
      <c r="X99" s="6">
        <v>0.52</v>
      </c>
      <c r="Y99" s="6">
        <v>0.2</v>
      </c>
      <c r="Z99" s="6">
        <v>0.8</v>
      </c>
      <c r="AA99" s="6">
        <f t="shared" si="3"/>
        <v>8.320000000000001E-2</v>
      </c>
      <c r="AB99" s="8">
        <v>350</v>
      </c>
      <c r="AC99" s="15">
        <v>27897801311438</v>
      </c>
      <c r="AD99" s="4" t="s">
        <v>992</v>
      </c>
    </row>
    <row r="100" spans="2:30" x14ac:dyDescent="0.35">
      <c r="B100" s="14">
        <v>224</v>
      </c>
      <c r="C100" s="4" t="s">
        <v>106</v>
      </c>
      <c r="D100" s="4" t="s">
        <v>2376</v>
      </c>
      <c r="E100" s="4" t="s">
        <v>2911</v>
      </c>
      <c r="F100" s="4" t="s">
        <v>85</v>
      </c>
      <c r="G100" s="4" t="s">
        <v>993</v>
      </c>
      <c r="H100" s="6">
        <v>3.8300000000000001E-2</v>
      </c>
      <c r="I100" s="8">
        <v>16</v>
      </c>
      <c r="J100" s="8">
        <v>15</v>
      </c>
      <c r="K100" s="8">
        <v>4</v>
      </c>
      <c r="L100" s="8">
        <f t="shared" si="2"/>
        <v>960</v>
      </c>
      <c r="M100" s="15">
        <v>7897801319423</v>
      </c>
      <c r="N100" s="6">
        <v>0.16</v>
      </c>
      <c r="O100" s="6">
        <v>0.66</v>
      </c>
      <c r="P100" s="6">
        <v>0.47</v>
      </c>
      <c r="Q100" s="6">
        <v>0.15</v>
      </c>
      <c r="R100" s="6">
        <v>0.04</v>
      </c>
      <c r="S100" s="6">
        <v>0.16</v>
      </c>
      <c r="T100" s="8">
        <v>10</v>
      </c>
      <c r="U100" s="5" t="s">
        <v>994</v>
      </c>
      <c r="V100" s="89">
        <v>0</v>
      </c>
      <c r="W100" s="15">
        <v>17897801319420</v>
      </c>
      <c r="X100" s="6">
        <v>0.47</v>
      </c>
      <c r="Y100" s="6">
        <v>0.16</v>
      </c>
      <c r="Z100" s="6">
        <v>0.16</v>
      </c>
      <c r="AA100" s="6">
        <f t="shared" si="3"/>
        <v>1.2032000000000001E-2</v>
      </c>
      <c r="AB100" s="8">
        <v>500</v>
      </c>
      <c r="AC100" s="15">
        <v>27897801319427</v>
      </c>
      <c r="AD100" s="4" t="s">
        <v>992</v>
      </c>
    </row>
    <row r="101" spans="2:30" x14ac:dyDescent="0.35">
      <c r="B101" s="14">
        <v>225</v>
      </c>
      <c r="C101" s="4" t="s">
        <v>107</v>
      </c>
      <c r="D101" s="4" t="s">
        <v>2376</v>
      </c>
      <c r="E101" s="4" t="s">
        <v>2911</v>
      </c>
      <c r="F101" s="4" t="s">
        <v>85</v>
      </c>
      <c r="G101" s="4" t="s">
        <v>993</v>
      </c>
      <c r="H101" s="6">
        <v>7.0000000000000007E-2</v>
      </c>
      <c r="I101" s="8">
        <v>71</v>
      </c>
      <c r="J101" s="8">
        <v>17</v>
      </c>
      <c r="K101" s="8">
        <v>50</v>
      </c>
      <c r="L101" s="8">
        <f t="shared" si="2"/>
        <v>60350</v>
      </c>
      <c r="M101" s="15">
        <v>7897801319430</v>
      </c>
      <c r="N101" s="6" t="s">
        <v>20</v>
      </c>
      <c r="O101" s="6" t="s">
        <v>20</v>
      </c>
      <c r="P101" s="6" t="s">
        <v>20</v>
      </c>
      <c r="Q101" s="6">
        <v>0.155</v>
      </c>
      <c r="R101" s="6">
        <v>0.05</v>
      </c>
      <c r="S101" s="6">
        <v>0.19</v>
      </c>
      <c r="T101" s="8">
        <v>5</v>
      </c>
      <c r="U101" s="5" t="s">
        <v>994</v>
      </c>
      <c r="V101" s="89">
        <v>0</v>
      </c>
      <c r="W101" s="15">
        <v>17897801319437</v>
      </c>
      <c r="X101" s="6">
        <v>0.49</v>
      </c>
      <c r="Y101" s="6">
        <v>0.22</v>
      </c>
      <c r="Z101" s="6">
        <v>0.71</v>
      </c>
      <c r="AA101" s="6">
        <f t="shared" si="3"/>
        <v>7.6537999999999995E-2</v>
      </c>
      <c r="AB101" s="8">
        <v>250</v>
      </c>
      <c r="AC101" s="15">
        <v>27897801319434</v>
      </c>
      <c r="AD101" s="4" t="s">
        <v>992</v>
      </c>
    </row>
    <row r="102" spans="2:30" x14ac:dyDescent="0.35">
      <c r="B102" s="14">
        <v>226</v>
      </c>
      <c r="C102" s="4" t="s">
        <v>108</v>
      </c>
      <c r="D102" s="4" t="s">
        <v>2376</v>
      </c>
      <c r="E102" s="4" t="s">
        <v>2911</v>
      </c>
      <c r="F102" s="4" t="s">
        <v>85</v>
      </c>
      <c r="G102" s="4" t="s">
        <v>993</v>
      </c>
      <c r="H102" s="6">
        <v>1.9E-2</v>
      </c>
      <c r="I102" s="8">
        <v>60</v>
      </c>
      <c r="J102" s="8">
        <v>20</v>
      </c>
      <c r="K102" s="8">
        <v>60</v>
      </c>
      <c r="L102" s="8">
        <f t="shared" si="2"/>
        <v>72000</v>
      </c>
      <c r="M102" s="15">
        <v>7897801312721</v>
      </c>
      <c r="N102" s="6" t="s">
        <v>20</v>
      </c>
      <c r="O102" s="6" t="s">
        <v>20</v>
      </c>
      <c r="P102" s="6" t="s">
        <v>20</v>
      </c>
      <c r="Q102" s="6">
        <v>0.15</v>
      </c>
      <c r="R102" s="6">
        <v>0.05</v>
      </c>
      <c r="S102" s="6">
        <v>0.2</v>
      </c>
      <c r="T102" s="8">
        <v>24</v>
      </c>
      <c r="U102" s="5" t="s">
        <v>994</v>
      </c>
      <c r="V102" s="89">
        <v>0</v>
      </c>
      <c r="W102" s="15">
        <v>17897801312728</v>
      </c>
      <c r="X102" s="6">
        <v>0.5</v>
      </c>
      <c r="Y102" s="6">
        <v>0.2</v>
      </c>
      <c r="Z102" s="6">
        <v>0.65</v>
      </c>
      <c r="AA102" s="6">
        <f t="shared" si="3"/>
        <v>6.5000000000000002E-2</v>
      </c>
      <c r="AB102" s="8">
        <v>960</v>
      </c>
      <c r="AC102" s="15">
        <v>27897801312725</v>
      </c>
      <c r="AD102" s="4" t="s">
        <v>992</v>
      </c>
    </row>
    <row r="103" spans="2:30" x14ac:dyDescent="0.35">
      <c r="B103" s="14">
        <v>227</v>
      </c>
      <c r="C103" s="4" t="s">
        <v>109</v>
      </c>
      <c r="D103" s="4" t="s">
        <v>2376</v>
      </c>
      <c r="E103" s="4" t="s">
        <v>2911</v>
      </c>
      <c r="F103" s="4" t="s">
        <v>85</v>
      </c>
      <c r="G103" s="4" t="s">
        <v>993</v>
      </c>
      <c r="H103" s="6">
        <v>3.1E-2</v>
      </c>
      <c r="I103" s="8">
        <v>130</v>
      </c>
      <c r="J103" s="8">
        <v>20</v>
      </c>
      <c r="K103" s="8">
        <v>80</v>
      </c>
      <c r="L103" s="8">
        <f t="shared" si="2"/>
        <v>208000</v>
      </c>
      <c r="M103" s="15">
        <v>7897801312738</v>
      </c>
      <c r="N103" s="6" t="s">
        <v>20</v>
      </c>
      <c r="O103" s="6" t="s">
        <v>20</v>
      </c>
      <c r="P103" s="6" t="s">
        <v>20</v>
      </c>
      <c r="Q103" s="6">
        <v>0.23</v>
      </c>
      <c r="R103" s="6">
        <v>7.0000000000000007E-2</v>
      </c>
      <c r="S103" s="6">
        <v>0.3</v>
      </c>
      <c r="T103" s="8">
        <v>24</v>
      </c>
      <c r="U103" s="5" t="s">
        <v>994</v>
      </c>
      <c r="V103" s="89">
        <v>0</v>
      </c>
      <c r="W103" s="15">
        <v>17897801312735</v>
      </c>
      <c r="X103" s="6">
        <v>0.5</v>
      </c>
      <c r="Y103" s="6">
        <v>0.25</v>
      </c>
      <c r="Z103" s="6">
        <v>0.7</v>
      </c>
      <c r="AA103" s="6">
        <f t="shared" si="3"/>
        <v>8.7499999999999994E-2</v>
      </c>
      <c r="AB103" s="8">
        <v>480</v>
      </c>
      <c r="AC103" s="15">
        <v>27897801312732</v>
      </c>
      <c r="AD103" s="4" t="s">
        <v>992</v>
      </c>
    </row>
    <row r="104" spans="2:30" x14ac:dyDescent="0.35">
      <c r="B104" s="14">
        <v>228</v>
      </c>
      <c r="C104" s="4" t="s">
        <v>110</v>
      </c>
      <c r="D104" s="4" t="s">
        <v>2376</v>
      </c>
      <c r="E104" s="4" t="s">
        <v>2911</v>
      </c>
      <c r="F104" s="4" t="s">
        <v>85</v>
      </c>
      <c r="G104" s="4" t="s">
        <v>993</v>
      </c>
      <c r="H104" s="6">
        <v>9.4700000000000006E-2</v>
      </c>
      <c r="I104" s="8">
        <v>150</v>
      </c>
      <c r="J104" s="8">
        <v>40</v>
      </c>
      <c r="K104" s="8">
        <v>40</v>
      </c>
      <c r="L104" s="8">
        <f t="shared" si="2"/>
        <v>240000</v>
      </c>
      <c r="M104" s="15">
        <v>7897801312639</v>
      </c>
      <c r="N104" s="6" t="s">
        <v>20</v>
      </c>
      <c r="O104" s="6" t="s">
        <v>20</v>
      </c>
      <c r="P104" s="6" t="s">
        <v>20</v>
      </c>
      <c r="Q104" s="6">
        <v>0.18</v>
      </c>
      <c r="R104" s="6">
        <v>0.09</v>
      </c>
      <c r="S104" s="6">
        <v>0.26</v>
      </c>
      <c r="T104" s="8">
        <v>8</v>
      </c>
      <c r="U104" s="5" t="s">
        <v>994</v>
      </c>
      <c r="V104" s="89">
        <v>0</v>
      </c>
      <c r="W104" s="15">
        <v>17897801312636</v>
      </c>
      <c r="X104" s="6">
        <v>0.45</v>
      </c>
      <c r="Y104" s="6">
        <v>0.25</v>
      </c>
      <c r="Z104" s="6">
        <v>0.65</v>
      </c>
      <c r="AA104" s="6">
        <f t="shared" si="3"/>
        <v>7.3125000000000009E-2</v>
      </c>
      <c r="AB104" s="8">
        <v>160</v>
      </c>
      <c r="AC104" s="15">
        <v>27897801312633</v>
      </c>
      <c r="AD104" s="4" t="s">
        <v>992</v>
      </c>
    </row>
    <row r="105" spans="2:30" x14ac:dyDescent="0.35">
      <c r="B105" s="14">
        <v>229</v>
      </c>
      <c r="C105" s="4" t="s">
        <v>111</v>
      </c>
      <c r="D105" s="4" t="s">
        <v>2376</v>
      </c>
      <c r="E105" s="4" t="s">
        <v>2911</v>
      </c>
      <c r="F105" s="4" t="s">
        <v>85</v>
      </c>
      <c r="G105" s="4" t="s">
        <v>993</v>
      </c>
      <c r="H105" s="6">
        <v>0.151</v>
      </c>
      <c r="I105" s="8">
        <v>30</v>
      </c>
      <c r="J105" s="8">
        <v>30</v>
      </c>
      <c r="K105" s="8">
        <v>40</v>
      </c>
      <c r="L105" s="8">
        <f t="shared" si="2"/>
        <v>36000</v>
      </c>
      <c r="M105" s="15">
        <v>7897801312646</v>
      </c>
      <c r="N105" s="6" t="s">
        <v>20</v>
      </c>
      <c r="O105" s="6" t="s">
        <v>20</v>
      </c>
      <c r="P105" s="6" t="s">
        <v>20</v>
      </c>
      <c r="Q105" s="6">
        <v>0.25</v>
      </c>
      <c r="R105" s="6">
        <v>0.1</v>
      </c>
      <c r="S105" s="6">
        <v>0.38500000000000001</v>
      </c>
      <c r="T105" s="8">
        <v>10</v>
      </c>
      <c r="U105" s="5" t="s">
        <v>994</v>
      </c>
      <c r="V105" s="89">
        <v>0</v>
      </c>
      <c r="W105" s="15">
        <v>17897801312643</v>
      </c>
      <c r="X105" s="6">
        <v>0.59</v>
      </c>
      <c r="Y105" s="6">
        <v>0.2</v>
      </c>
      <c r="Z105" s="6">
        <v>0.86</v>
      </c>
      <c r="AA105" s="6">
        <f t="shared" si="3"/>
        <v>0.10147999999999999</v>
      </c>
      <c r="AB105" s="8">
        <v>100</v>
      </c>
      <c r="AC105" s="15">
        <v>27897801312640</v>
      </c>
      <c r="AD105" s="4" t="s">
        <v>992</v>
      </c>
    </row>
    <row r="106" spans="2:30" x14ac:dyDescent="0.35">
      <c r="B106" s="14">
        <v>230</v>
      </c>
      <c r="C106" s="4" t="s">
        <v>112</v>
      </c>
      <c r="D106" s="4" t="s">
        <v>2376</v>
      </c>
      <c r="E106" s="4" t="s">
        <v>2911</v>
      </c>
      <c r="F106" s="4" t="s">
        <v>85</v>
      </c>
      <c r="G106" s="4" t="s">
        <v>993</v>
      </c>
      <c r="H106" s="6">
        <v>5.8799999999999998E-2</v>
      </c>
      <c r="I106" s="8">
        <v>10</v>
      </c>
      <c r="J106" s="8">
        <v>30</v>
      </c>
      <c r="K106" s="8">
        <v>30</v>
      </c>
      <c r="L106" s="8">
        <f t="shared" si="2"/>
        <v>9000</v>
      </c>
      <c r="M106" s="15">
        <v>7897801312745</v>
      </c>
      <c r="N106" s="6" t="s">
        <v>20</v>
      </c>
      <c r="O106" s="6" t="s">
        <v>20</v>
      </c>
      <c r="P106" s="6" t="s">
        <v>20</v>
      </c>
      <c r="Q106" s="6">
        <v>0.2</v>
      </c>
      <c r="R106" s="6">
        <v>5.5E-2</v>
      </c>
      <c r="S106" s="6">
        <v>0.25</v>
      </c>
      <c r="T106" s="8">
        <v>12</v>
      </c>
      <c r="U106" s="5" t="s">
        <v>994</v>
      </c>
      <c r="V106" s="89">
        <v>0</v>
      </c>
      <c r="W106" s="15">
        <v>17897801312742</v>
      </c>
      <c r="X106" s="6">
        <v>0.45</v>
      </c>
      <c r="Y106" s="6">
        <v>0.2</v>
      </c>
      <c r="Z106" s="6">
        <v>0.68</v>
      </c>
      <c r="AA106" s="6">
        <f t="shared" si="3"/>
        <v>6.1200000000000011E-2</v>
      </c>
      <c r="AB106" s="8">
        <v>240</v>
      </c>
      <c r="AC106" s="15">
        <v>27897801312749</v>
      </c>
      <c r="AD106" s="4" t="s">
        <v>992</v>
      </c>
    </row>
    <row r="107" spans="2:30" x14ac:dyDescent="0.35">
      <c r="B107" s="14">
        <v>250</v>
      </c>
      <c r="C107" s="4" t="s">
        <v>113</v>
      </c>
      <c r="D107" s="4" t="s">
        <v>2376</v>
      </c>
      <c r="E107" s="4" t="s">
        <v>2911</v>
      </c>
      <c r="F107" s="4" t="s">
        <v>85</v>
      </c>
      <c r="G107" s="4" t="s">
        <v>993</v>
      </c>
      <c r="H107" s="6">
        <v>2.6499999999999999E-2</v>
      </c>
      <c r="I107" s="8">
        <v>50</v>
      </c>
      <c r="J107" s="8">
        <v>35</v>
      </c>
      <c r="K107" s="8">
        <v>30</v>
      </c>
      <c r="L107" s="8">
        <f t="shared" si="2"/>
        <v>52500</v>
      </c>
      <c r="M107" s="15">
        <v>7897801311656</v>
      </c>
      <c r="N107" s="6" t="s">
        <v>20</v>
      </c>
      <c r="O107" s="6" t="s">
        <v>20</v>
      </c>
      <c r="P107" s="6" t="s">
        <v>20</v>
      </c>
      <c r="Q107" s="6">
        <v>0.16</v>
      </c>
      <c r="R107" s="6">
        <v>3.1E-2</v>
      </c>
      <c r="S107" s="6">
        <v>0.19500000000000001</v>
      </c>
      <c r="T107" s="8">
        <v>15</v>
      </c>
      <c r="U107" s="5" t="s">
        <v>994</v>
      </c>
      <c r="V107" s="89">
        <v>0</v>
      </c>
      <c r="W107" s="15">
        <v>17897801311653</v>
      </c>
      <c r="X107" s="6">
        <v>0.54</v>
      </c>
      <c r="Y107" s="6">
        <v>0.17499999999999999</v>
      </c>
      <c r="Z107" s="6">
        <v>0.79</v>
      </c>
      <c r="AA107" s="6">
        <f t="shared" si="3"/>
        <v>7.4654999999999999E-2</v>
      </c>
      <c r="AB107" s="8">
        <v>825</v>
      </c>
      <c r="AC107" s="15">
        <v>27897801311650</v>
      </c>
      <c r="AD107" s="4" t="s">
        <v>992</v>
      </c>
    </row>
    <row r="108" spans="2:30" x14ac:dyDescent="0.35">
      <c r="B108" s="14">
        <v>251</v>
      </c>
      <c r="C108" s="4" t="s">
        <v>114</v>
      </c>
      <c r="D108" s="4" t="s">
        <v>2376</v>
      </c>
      <c r="E108" s="4" t="s">
        <v>2911</v>
      </c>
      <c r="F108" s="4" t="s">
        <v>85</v>
      </c>
      <c r="G108" s="4" t="s">
        <v>993</v>
      </c>
      <c r="H108" s="6">
        <v>3.6999999999999998E-2</v>
      </c>
      <c r="I108" s="8">
        <v>65</v>
      </c>
      <c r="J108" s="8">
        <v>45</v>
      </c>
      <c r="K108" s="8">
        <v>35</v>
      </c>
      <c r="L108" s="8">
        <f t="shared" si="2"/>
        <v>102375</v>
      </c>
      <c r="M108" s="15">
        <v>7897801311496</v>
      </c>
      <c r="N108" s="6" t="s">
        <v>20</v>
      </c>
      <c r="O108" s="6" t="s">
        <v>20</v>
      </c>
      <c r="P108" s="6" t="s">
        <v>20</v>
      </c>
      <c r="Q108" s="6">
        <v>0.24</v>
      </c>
      <c r="R108" s="6">
        <v>0.05</v>
      </c>
      <c r="S108" s="6">
        <v>0.24</v>
      </c>
      <c r="T108" s="8">
        <v>15</v>
      </c>
      <c r="U108" s="5" t="s">
        <v>994</v>
      </c>
      <c r="V108" s="89">
        <v>0</v>
      </c>
      <c r="W108" s="15">
        <v>17897801311493</v>
      </c>
      <c r="X108" s="6">
        <v>0.56000000000000005</v>
      </c>
      <c r="Y108" s="6">
        <v>0.21</v>
      </c>
      <c r="Z108" s="6">
        <v>0.81</v>
      </c>
      <c r="AA108" s="6">
        <f t="shared" si="3"/>
        <v>9.5256000000000021E-2</v>
      </c>
      <c r="AB108" s="8">
        <v>600</v>
      </c>
      <c r="AC108" s="15">
        <v>27897801311490</v>
      </c>
      <c r="AD108" s="4" t="s">
        <v>992</v>
      </c>
    </row>
    <row r="109" spans="2:30" x14ac:dyDescent="0.35">
      <c r="B109" s="14">
        <v>252</v>
      </c>
      <c r="C109" s="4" t="s">
        <v>115</v>
      </c>
      <c r="D109" s="4" t="s">
        <v>2376</v>
      </c>
      <c r="E109" s="4" t="s">
        <v>2911</v>
      </c>
      <c r="F109" s="4" t="s">
        <v>85</v>
      </c>
      <c r="G109" s="4" t="s">
        <v>993</v>
      </c>
      <c r="H109" s="6">
        <v>3.8699999999999998E-2</v>
      </c>
      <c r="I109" s="8">
        <v>78</v>
      </c>
      <c r="J109" s="8">
        <v>50</v>
      </c>
      <c r="K109" s="8">
        <v>44</v>
      </c>
      <c r="L109" s="8">
        <f t="shared" si="2"/>
        <v>171600</v>
      </c>
      <c r="M109" s="15">
        <v>7897801312240</v>
      </c>
      <c r="N109" s="6" t="s">
        <v>20</v>
      </c>
      <c r="O109" s="6" t="s">
        <v>20</v>
      </c>
      <c r="P109" s="6" t="s">
        <v>20</v>
      </c>
      <c r="Q109" s="6">
        <v>0.14000000000000001</v>
      </c>
      <c r="R109" s="6">
        <v>0.08</v>
      </c>
      <c r="S109" s="6">
        <v>0.18</v>
      </c>
      <c r="T109" s="8">
        <v>8</v>
      </c>
      <c r="U109" s="5" t="s">
        <v>994</v>
      </c>
      <c r="V109" s="89">
        <v>0</v>
      </c>
      <c r="W109" s="15">
        <v>17897801312247</v>
      </c>
      <c r="X109" s="6">
        <v>0.45</v>
      </c>
      <c r="Y109" s="6">
        <v>0.18</v>
      </c>
      <c r="Z109" s="6">
        <v>0.65</v>
      </c>
      <c r="AA109" s="6">
        <f t="shared" si="3"/>
        <v>5.2650000000000002E-2</v>
      </c>
      <c r="AB109" s="8">
        <v>336</v>
      </c>
      <c r="AC109" s="15">
        <v>27897801312244</v>
      </c>
      <c r="AD109" s="4" t="s">
        <v>992</v>
      </c>
    </row>
    <row r="110" spans="2:30" x14ac:dyDescent="0.35">
      <c r="B110" s="14">
        <v>254</v>
      </c>
      <c r="C110" s="4" t="s">
        <v>116</v>
      </c>
      <c r="D110" s="4" t="s">
        <v>2376</v>
      </c>
      <c r="E110" s="4" t="s">
        <v>2911</v>
      </c>
      <c r="F110" s="4" t="s">
        <v>85</v>
      </c>
      <c r="G110" s="4" t="s">
        <v>993</v>
      </c>
      <c r="H110" s="6">
        <v>0.114</v>
      </c>
      <c r="I110" s="8">
        <v>90</v>
      </c>
      <c r="J110" s="8">
        <v>60</v>
      </c>
      <c r="K110" s="8">
        <v>60</v>
      </c>
      <c r="L110" s="8">
        <f t="shared" si="2"/>
        <v>324000</v>
      </c>
      <c r="M110" s="15">
        <v>7897801312257</v>
      </c>
      <c r="N110" s="6" t="s">
        <v>20</v>
      </c>
      <c r="O110" s="6" t="s">
        <v>20</v>
      </c>
      <c r="P110" s="6" t="s">
        <v>20</v>
      </c>
      <c r="Q110" s="6">
        <v>0.2</v>
      </c>
      <c r="R110" s="6">
        <v>0.08</v>
      </c>
      <c r="S110" s="6">
        <v>0.26</v>
      </c>
      <c r="T110" s="8">
        <v>8</v>
      </c>
      <c r="U110" s="5" t="s">
        <v>994</v>
      </c>
      <c r="V110" s="89">
        <v>0</v>
      </c>
      <c r="W110" s="15">
        <v>17897801312254</v>
      </c>
      <c r="X110" s="6">
        <v>0.45</v>
      </c>
      <c r="Y110" s="6">
        <v>0.24</v>
      </c>
      <c r="Z110" s="6">
        <v>0.65</v>
      </c>
      <c r="AA110" s="6">
        <f t="shared" si="3"/>
        <v>7.0199999999999999E-2</v>
      </c>
      <c r="AB110" s="8">
        <v>192</v>
      </c>
      <c r="AC110" s="15">
        <v>27897801312251</v>
      </c>
      <c r="AD110" s="4" t="s">
        <v>992</v>
      </c>
    </row>
    <row r="111" spans="2:30" x14ac:dyDescent="0.35">
      <c r="B111" s="14">
        <v>256</v>
      </c>
      <c r="C111" s="4" t="s">
        <v>117</v>
      </c>
      <c r="D111" s="4" t="s">
        <v>2376</v>
      </c>
      <c r="E111" s="4" t="s">
        <v>2911</v>
      </c>
      <c r="F111" s="4" t="s">
        <v>85</v>
      </c>
      <c r="G111" s="4" t="s">
        <v>993</v>
      </c>
      <c r="H111" s="6">
        <v>2.6700000000000002E-2</v>
      </c>
      <c r="I111" s="8">
        <v>43</v>
      </c>
      <c r="J111" s="8">
        <v>30</v>
      </c>
      <c r="K111" s="8">
        <v>43</v>
      </c>
      <c r="L111" s="8">
        <f t="shared" si="2"/>
        <v>55470</v>
      </c>
      <c r="M111" s="15">
        <v>7897801302418</v>
      </c>
      <c r="N111" s="6" t="s">
        <v>20</v>
      </c>
      <c r="O111" s="6" t="s">
        <v>20</v>
      </c>
      <c r="P111" s="6" t="s">
        <v>20</v>
      </c>
      <c r="Q111" s="6">
        <v>0.21</v>
      </c>
      <c r="R111" s="6">
        <v>0.05</v>
      </c>
      <c r="S111" s="6">
        <v>0.25</v>
      </c>
      <c r="T111" s="8">
        <v>20</v>
      </c>
      <c r="U111" s="5" t="s">
        <v>994</v>
      </c>
      <c r="V111" s="89">
        <v>0</v>
      </c>
      <c r="W111" s="15">
        <v>17897801302415</v>
      </c>
      <c r="X111" s="6">
        <v>0.55000000000000004</v>
      </c>
      <c r="Y111" s="6">
        <v>0.21</v>
      </c>
      <c r="Z111" s="6">
        <v>0.74</v>
      </c>
      <c r="AA111" s="6">
        <f t="shared" si="3"/>
        <v>8.5470000000000004E-2</v>
      </c>
      <c r="AB111" s="8">
        <v>800</v>
      </c>
      <c r="AC111" s="15">
        <v>47897801302416</v>
      </c>
      <c r="AD111" s="4" t="s">
        <v>992</v>
      </c>
    </row>
    <row r="112" spans="2:30" x14ac:dyDescent="0.35">
      <c r="B112" s="14">
        <v>257</v>
      </c>
      <c r="C112" s="4" t="s">
        <v>118</v>
      </c>
      <c r="D112" s="4" t="s">
        <v>2376</v>
      </c>
      <c r="E112" s="4" t="s">
        <v>2911</v>
      </c>
      <c r="F112" s="4" t="s">
        <v>85</v>
      </c>
      <c r="G112" s="4" t="s">
        <v>993</v>
      </c>
      <c r="H112" s="6">
        <v>3.85E-2</v>
      </c>
      <c r="I112" s="8">
        <v>48</v>
      </c>
      <c r="J112" s="8">
        <v>36</v>
      </c>
      <c r="K112" s="8">
        <v>48</v>
      </c>
      <c r="L112" s="8">
        <f t="shared" si="2"/>
        <v>82944</v>
      </c>
      <c r="M112" s="15">
        <v>7897801301404</v>
      </c>
      <c r="N112" s="6" t="s">
        <v>20</v>
      </c>
      <c r="O112" s="6" t="s">
        <v>20</v>
      </c>
      <c r="P112" s="6" t="s">
        <v>20</v>
      </c>
      <c r="Q112" s="6">
        <v>0.22</v>
      </c>
      <c r="R112" s="6">
        <v>0.06</v>
      </c>
      <c r="S112" s="6">
        <v>0.24</v>
      </c>
      <c r="T112" s="8">
        <v>20</v>
      </c>
      <c r="U112" s="5" t="s">
        <v>994</v>
      </c>
      <c r="V112" s="89">
        <v>0</v>
      </c>
      <c r="W112" s="15">
        <v>17897801301401</v>
      </c>
      <c r="X112" s="6">
        <v>0.52</v>
      </c>
      <c r="Y112" s="6">
        <v>0.18</v>
      </c>
      <c r="Z112" s="6">
        <v>0.78</v>
      </c>
      <c r="AA112" s="6">
        <f t="shared" si="3"/>
        <v>7.3008000000000003E-2</v>
      </c>
      <c r="AB112" s="8">
        <v>560</v>
      </c>
      <c r="AC112" s="15">
        <v>47897801301402</v>
      </c>
      <c r="AD112" s="4" t="s">
        <v>992</v>
      </c>
    </row>
    <row r="113" spans="2:30" x14ac:dyDescent="0.35">
      <c r="B113" s="14">
        <v>258</v>
      </c>
      <c r="C113" s="4" t="s">
        <v>119</v>
      </c>
      <c r="D113" s="4" t="s">
        <v>2376</v>
      </c>
      <c r="E113" s="4" t="s">
        <v>2911</v>
      </c>
      <c r="F113" s="4" t="s">
        <v>85</v>
      </c>
      <c r="G113" s="4" t="s">
        <v>993</v>
      </c>
      <c r="H113" s="6">
        <v>6.5799999999999997E-2</v>
      </c>
      <c r="I113" s="8">
        <v>61</v>
      </c>
      <c r="J113" s="8">
        <v>44</v>
      </c>
      <c r="K113" s="8">
        <v>61</v>
      </c>
      <c r="L113" s="8">
        <f t="shared" si="2"/>
        <v>163724</v>
      </c>
      <c r="M113" s="15">
        <v>7897801308854</v>
      </c>
      <c r="N113" s="6" t="s">
        <v>20</v>
      </c>
      <c r="O113" s="6" t="s">
        <v>20</v>
      </c>
      <c r="P113" s="6" t="s">
        <v>20</v>
      </c>
      <c r="Q113" s="6">
        <v>0.23</v>
      </c>
      <c r="R113" s="6">
        <v>0.09</v>
      </c>
      <c r="S113" s="6">
        <v>0.27</v>
      </c>
      <c r="T113" s="8">
        <v>24</v>
      </c>
      <c r="U113" s="5" t="s">
        <v>994</v>
      </c>
      <c r="V113" s="89">
        <v>0</v>
      </c>
      <c r="W113" s="15">
        <v>17897801308851</v>
      </c>
      <c r="X113" s="6">
        <v>0.53</v>
      </c>
      <c r="Y113" s="6">
        <v>0.23</v>
      </c>
      <c r="Z113" s="6">
        <v>0.78</v>
      </c>
      <c r="AA113" s="6">
        <f t="shared" si="3"/>
        <v>9.5082000000000014E-2</v>
      </c>
      <c r="AB113" s="8">
        <v>360</v>
      </c>
      <c r="AC113" s="15">
        <v>47897801308852</v>
      </c>
      <c r="AD113" s="4" t="s">
        <v>992</v>
      </c>
    </row>
    <row r="114" spans="2:30" x14ac:dyDescent="0.35">
      <c r="B114" s="14">
        <v>259</v>
      </c>
      <c r="C114" s="4" t="s">
        <v>120</v>
      </c>
      <c r="D114" s="4" t="s">
        <v>2376</v>
      </c>
      <c r="E114" s="4" t="s">
        <v>2911</v>
      </c>
      <c r="F114" s="4" t="s">
        <v>85</v>
      </c>
      <c r="G114" s="4" t="s">
        <v>993</v>
      </c>
      <c r="H114" s="6">
        <v>0.1087</v>
      </c>
      <c r="I114" s="8">
        <v>55</v>
      </c>
      <c r="J114" s="8">
        <v>75</v>
      </c>
      <c r="K114" s="8">
        <v>75</v>
      </c>
      <c r="L114" s="8">
        <f t="shared" si="2"/>
        <v>309375</v>
      </c>
      <c r="M114" s="15">
        <v>7897801311854</v>
      </c>
      <c r="N114" s="6" t="s">
        <v>20</v>
      </c>
      <c r="O114" s="6" t="s">
        <v>20</v>
      </c>
      <c r="P114" s="6" t="s">
        <v>20</v>
      </c>
      <c r="Q114" s="6">
        <v>0.16</v>
      </c>
      <c r="R114" s="6">
        <v>7.0000000000000007E-2</v>
      </c>
      <c r="S114" s="6">
        <v>0.28000000000000003</v>
      </c>
      <c r="T114" s="8">
        <v>8</v>
      </c>
      <c r="U114" s="5" t="s">
        <v>994</v>
      </c>
      <c r="V114" s="89">
        <v>0</v>
      </c>
      <c r="W114" s="15">
        <v>17897801311851</v>
      </c>
      <c r="X114" s="6">
        <v>0.45</v>
      </c>
      <c r="Y114" s="6">
        <v>0.18</v>
      </c>
      <c r="Z114" s="6">
        <v>0.65</v>
      </c>
      <c r="AA114" s="6">
        <f t="shared" si="3"/>
        <v>5.2650000000000002E-2</v>
      </c>
      <c r="AB114" s="8">
        <v>160</v>
      </c>
      <c r="AC114" s="15">
        <v>27897801311858</v>
      </c>
      <c r="AD114" s="4" t="s">
        <v>992</v>
      </c>
    </row>
    <row r="115" spans="2:30" x14ac:dyDescent="0.35">
      <c r="B115" s="14">
        <v>260</v>
      </c>
      <c r="C115" s="4" t="s">
        <v>121</v>
      </c>
      <c r="D115" s="4" t="s">
        <v>2376</v>
      </c>
      <c r="E115" s="4" t="s">
        <v>2911</v>
      </c>
      <c r="F115" s="4" t="s">
        <v>85</v>
      </c>
      <c r="G115" s="4" t="s">
        <v>993</v>
      </c>
      <c r="H115" s="6">
        <v>0.14460000000000001</v>
      </c>
      <c r="I115" s="8">
        <v>60</v>
      </c>
      <c r="J115" s="8">
        <v>85</v>
      </c>
      <c r="K115" s="8">
        <v>85</v>
      </c>
      <c r="L115" s="8">
        <f t="shared" si="2"/>
        <v>433500</v>
      </c>
      <c r="M115" s="15">
        <v>7897801311618</v>
      </c>
      <c r="N115" s="6" t="s">
        <v>20</v>
      </c>
      <c r="O115" s="6" t="s">
        <v>20</v>
      </c>
      <c r="P115" s="6" t="s">
        <v>20</v>
      </c>
      <c r="Q115" s="6">
        <v>0.21</v>
      </c>
      <c r="R115" s="6">
        <v>8.5000000000000006E-2</v>
      </c>
      <c r="S115" s="6">
        <v>0.33</v>
      </c>
      <c r="T115" s="8">
        <v>10</v>
      </c>
      <c r="U115" s="5" t="s">
        <v>994</v>
      </c>
      <c r="V115" s="89">
        <v>0</v>
      </c>
      <c r="W115" s="15">
        <v>17897801311615</v>
      </c>
      <c r="X115" s="6">
        <v>0.5</v>
      </c>
      <c r="Y115" s="6">
        <v>0.21</v>
      </c>
      <c r="Z115" s="6">
        <v>0.75</v>
      </c>
      <c r="AA115" s="6">
        <f t="shared" si="3"/>
        <v>7.8750000000000001E-2</v>
      </c>
      <c r="AB115" s="8">
        <v>120</v>
      </c>
      <c r="AC115" s="15">
        <v>27897801311612</v>
      </c>
      <c r="AD115" s="4" t="s">
        <v>992</v>
      </c>
    </row>
    <row r="116" spans="2:30" x14ac:dyDescent="0.35">
      <c r="B116" s="14">
        <v>261</v>
      </c>
      <c r="C116" s="4" t="s">
        <v>122</v>
      </c>
      <c r="D116" s="4" t="s">
        <v>2376</v>
      </c>
      <c r="E116" s="4" t="s">
        <v>2911</v>
      </c>
      <c r="F116" s="4" t="s">
        <v>85</v>
      </c>
      <c r="G116" s="4" t="s">
        <v>993</v>
      </c>
      <c r="H116" s="6">
        <v>0.2072</v>
      </c>
      <c r="I116" s="8">
        <v>100</v>
      </c>
      <c r="J116" s="8">
        <v>100</v>
      </c>
      <c r="K116" s="8">
        <v>75</v>
      </c>
      <c r="L116" s="8">
        <f t="shared" si="2"/>
        <v>750000</v>
      </c>
      <c r="M116" s="15">
        <v>7897801311892</v>
      </c>
      <c r="N116" s="6" t="s">
        <v>20</v>
      </c>
      <c r="O116" s="6" t="s">
        <v>20</v>
      </c>
      <c r="P116" s="6" t="s">
        <v>20</v>
      </c>
      <c r="Q116" s="6">
        <v>0.26</v>
      </c>
      <c r="R116" s="6">
        <v>0.1</v>
      </c>
      <c r="S116" s="6">
        <v>0.27</v>
      </c>
      <c r="T116" s="8">
        <v>8</v>
      </c>
      <c r="U116" s="5" t="s">
        <v>994</v>
      </c>
      <c r="V116" s="89">
        <v>0</v>
      </c>
      <c r="W116" s="15">
        <v>17897801311899</v>
      </c>
      <c r="X116" s="6">
        <v>0.5</v>
      </c>
      <c r="Y116" s="6">
        <v>0.25</v>
      </c>
      <c r="Z116" s="6">
        <v>0.65</v>
      </c>
      <c r="AA116" s="6">
        <f t="shared" si="3"/>
        <v>8.1250000000000003E-2</v>
      </c>
      <c r="AB116" s="8">
        <v>80</v>
      </c>
      <c r="AC116" s="15">
        <v>27897801311896</v>
      </c>
      <c r="AD116" s="4" t="s">
        <v>992</v>
      </c>
    </row>
    <row r="117" spans="2:30" x14ac:dyDescent="0.35">
      <c r="B117" s="14">
        <v>262</v>
      </c>
      <c r="C117" s="4" t="s">
        <v>123</v>
      </c>
      <c r="D117" s="4" t="s">
        <v>2376</v>
      </c>
      <c r="E117" s="4" t="s">
        <v>2911</v>
      </c>
      <c r="F117" s="4" t="s">
        <v>85</v>
      </c>
      <c r="G117" s="4" t="s">
        <v>993</v>
      </c>
      <c r="H117" s="6">
        <v>3.1300000000000001E-2</v>
      </c>
      <c r="I117" s="8">
        <v>43</v>
      </c>
      <c r="J117" s="8">
        <v>38</v>
      </c>
      <c r="K117" s="8">
        <v>48</v>
      </c>
      <c r="L117" s="8">
        <f t="shared" si="2"/>
        <v>78432</v>
      </c>
      <c r="M117" s="15">
        <v>7897801307680</v>
      </c>
      <c r="N117" s="6" t="s">
        <v>20</v>
      </c>
      <c r="O117" s="6" t="s">
        <v>20</v>
      </c>
      <c r="P117" s="6" t="s">
        <v>20</v>
      </c>
      <c r="Q117" s="6">
        <v>0.18</v>
      </c>
      <c r="R117" s="6">
        <v>0.05</v>
      </c>
      <c r="S117" s="6">
        <v>0.3</v>
      </c>
      <c r="T117" s="8">
        <v>20</v>
      </c>
      <c r="U117" s="5" t="s">
        <v>994</v>
      </c>
      <c r="V117" s="89">
        <v>0</v>
      </c>
      <c r="W117" s="15">
        <v>17897801307687</v>
      </c>
      <c r="X117" s="6">
        <v>0.45</v>
      </c>
      <c r="Y117" s="6">
        <v>0.22</v>
      </c>
      <c r="Z117" s="6">
        <v>0.65</v>
      </c>
      <c r="AA117" s="6">
        <f t="shared" si="3"/>
        <v>6.4350000000000004E-2</v>
      </c>
      <c r="AB117" s="8">
        <v>700</v>
      </c>
      <c r="AC117" s="15">
        <v>47897801307688</v>
      </c>
      <c r="AD117" s="4" t="s">
        <v>992</v>
      </c>
    </row>
    <row r="118" spans="2:30" x14ac:dyDescent="0.35">
      <c r="B118" s="14">
        <v>263</v>
      </c>
      <c r="C118" s="4" t="s">
        <v>124</v>
      </c>
      <c r="D118" s="4" t="s">
        <v>2376</v>
      </c>
      <c r="E118" s="4" t="s">
        <v>2911</v>
      </c>
      <c r="F118" s="4" t="s">
        <v>85</v>
      </c>
      <c r="G118" s="4" t="s">
        <v>993</v>
      </c>
      <c r="H118" s="6">
        <v>5.4699999999999999E-2</v>
      </c>
      <c r="I118" s="8">
        <v>58</v>
      </c>
      <c r="J118" s="8">
        <v>44</v>
      </c>
      <c r="K118" s="8">
        <v>58</v>
      </c>
      <c r="L118" s="8">
        <f t="shared" si="2"/>
        <v>148016</v>
      </c>
      <c r="M118" s="15">
        <v>7897801308847</v>
      </c>
      <c r="N118" s="6" t="s">
        <v>20</v>
      </c>
      <c r="O118" s="6" t="s">
        <v>20</v>
      </c>
      <c r="P118" s="6" t="s">
        <v>20</v>
      </c>
      <c r="Q118" s="6">
        <v>0.2</v>
      </c>
      <c r="R118" s="6">
        <v>0.06</v>
      </c>
      <c r="S118" s="6">
        <v>0.24</v>
      </c>
      <c r="T118" s="8">
        <v>20</v>
      </c>
      <c r="U118" s="5" t="s">
        <v>994</v>
      </c>
      <c r="V118" s="89">
        <v>0</v>
      </c>
      <c r="W118" s="15">
        <v>17897801308844</v>
      </c>
      <c r="X118" s="6">
        <v>0.5</v>
      </c>
      <c r="Y118" s="6">
        <v>0.23</v>
      </c>
      <c r="Z118" s="6">
        <v>0.65</v>
      </c>
      <c r="AA118" s="6">
        <f t="shared" si="3"/>
        <v>7.4750000000000011E-2</v>
      </c>
      <c r="AB118" s="8">
        <v>400</v>
      </c>
      <c r="AC118" s="15">
        <v>47897801308845</v>
      </c>
      <c r="AD118" s="4" t="s">
        <v>992</v>
      </c>
    </row>
    <row r="119" spans="2:30" x14ac:dyDescent="0.35">
      <c r="B119" s="14">
        <v>270</v>
      </c>
      <c r="C119" s="4" t="s">
        <v>125</v>
      </c>
      <c r="D119" s="4" t="s">
        <v>2376</v>
      </c>
      <c r="E119" s="4" t="s">
        <v>2911</v>
      </c>
      <c r="F119" s="4" t="s">
        <v>85</v>
      </c>
      <c r="G119" s="4" t="s">
        <v>993</v>
      </c>
      <c r="H119" s="6">
        <v>1.32E-2</v>
      </c>
      <c r="I119" s="8">
        <v>30</v>
      </c>
      <c r="J119" s="8">
        <v>30</v>
      </c>
      <c r="K119" s="8">
        <v>35.5</v>
      </c>
      <c r="L119" s="8">
        <f t="shared" si="2"/>
        <v>31950</v>
      </c>
      <c r="M119" s="15">
        <v>7897801302494</v>
      </c>
      <c r="N119" s="6" t="s">
        <v>20</v>
      </c>
      <c r="O119" s="6" t="s">
        <v>20</v>
      </c>
      <c r="P119" s="6" t="s">
        <v>20</v>
      </c>
      <c r="Q119" s="6">
        <v>0.23499999999999999</v>
      </c>
      <c r="R119" s="6">
        <v>3.7999999999999999E-2</v>
      </c>
      <c r="S119" s="6">
        <v>0.255</v>
      </c>
      <c r="T119" s="8">
        <v>50</v>
      </c>
      <c r="U119" s="5" t="s">
        <v>994</v>
      </c>
      <c r="V119" s="89">
        <v>0</v>
      </c>
      <c r="W119" s="15">
        <v>17897801302491</v>
      </c>
      <c r="X119" s="6">
        <v>0.54</v>
      </c>
      <c r="Y119" s="6">
        <v>0.12</v>
      </c>
      <c r="Z119" s="6">
        <v>0.77</v>
      </c>
      <c r="AA119" s="6">
        <f t="shared" si="3"/>
        <v>4.9895999999999996E-2</v>
      </c>
      <c r="AB119" s="8">
        <v>1000</v>
      </c>
      <c r="AC119" s="15">
        <v>47897801302492</v>
      </c>
      <c r="AD119" s="4" t="s">
        <v>992</v>
      </c>
    </row>
    <row r="120" spans="2:30" x14ac:dyDescent="0.35">
      <c r="B120" s="14">
        <v>271</v>
      </c>
      <c r="C120" s="4" t="s">
        <v>126</v>
      </c>
      <c r="D120" s="4" t="s">
        <v>2376</v>
      </c>
      <c r="E120" s="4" t="s">
        <v>2911</v>
      </c>
      <c r="F120" s="4" t="s">
        <v>85</v>
      </c>
      <c r="G120" s="4" t="s">
        <v>993</v>
      </c>
      <c r="H120" s="6">
        <v>1.7600000000000001E-2</v>
      </c>
      <c r="I120" s="8">
        <v>36</v>
      </c>
      <c r="J120" s="8">
        <v>36</v>
      </c>
      <c r="K120" s="8">
        <v>35.5</v>
      </c>
      <c r="L120" s="8">
        <f t="shared" si="2"/>
        <v>46008</v>
      </c>
      <c r="M120" s="15">
        <v>7897801302500</v>
      </c>
      <c r="N120" s="6" t="s">
        <v>20</v>
      </c>
      <c r="O120" s="6" t="s">
        <v>20</v>
      </c>
      <c r="P120" s="6" t="s">
        <v>20</v>
      </c>
      <c r="Q120" s="6">
        <v>0.24</v>
      </c>
      <c r="R120" s="6">
        <v>6.5000000000000002E-2</v>
      </c>
      <c r="S120" s="6">
        <v>0.27</v>
      </c>
      <c r="T120" s="8">
        <v>50</v>
      </c>
      <c r="U120" s="5" t="s">
        <v>994</v>
      </c>
      <c r="V120" s="89">
        <v>0</v>
      </c>
      <c r="W120" s="15">
        <v>17897801302507</v>
      </c>
      <c r="X120" s="6">
        <v>0.52</v>
      </c>
      <c r="Y120" s="6">
        <v>0.14000000000000001</v>
      </c>
      <c r="Z120" s="6">
        <v>0.73</v>
      </c>
      <c r="AA120" s="6">
        <f t="shared" si="3"/>
        <v>5.3144000000000004E-2</v>
      </c>
      <c r="AB120" s="8">
        <v>800</v>
      </c>
      <c r="AC120" s="15">
        <v>47897801302508</v>
      </c>
      <c r="AD120" s="4" t="s">
        <v>992</v>
      </c>
    </row>
    <row r="121" spans="2:30" x14ac:dyDescent="0.35">
      <c r="B121" s="14">
        <v>272</v>
      </c>
      <c r="C121" s="4" t="s">
        <v>127</v>
      </c>
      <c r="D121" s="4" t="s">
        <v>2376</v>
      </c>
      <c r="E121" s="4" t="s">
        <v>2911</v>
      </c>
      <c r="F121" s="4" t="s">
        <v>85</v>
      </c>
      <c r="G121" s="4" t="s">
        <v>993</v>
      </c>
      <c r="H121" s="6">
        <v>3.4599999999999999E-2</v>
      </c>
      <c r="I121" s="8">
        <v>44</v>
      </c>
      <c r="J121" s="8">
        <v>47</v>
      </c>
      <c r="K121" s="8">
        <v>44</v>
      </c>
      <c r="L121" s="8">
        <f t="shared" si="2"/>
        <v>90992</v>
      </c>
      <c r="M121" s="15">
        <v>7897801308670</v>
      </c>
      <c r="N121" s="6" t="s">
        <v>20</v>
      </c>
      <c r="O121" s="6" t="s">
        <v>20</v>
      </c>
      <c r="P121" s="6" t="s">
        <v>20</v>
      </c>
      <c r="Q121" s="6">
        <v>0.23</v>
      </c>
      <c r="R121" s="6">
        <v>0.05</v>
      </c>
      <c r="S121" s="6">
        <v>0.255</v>
      </c>
      <c r="T121" s="8">
        <v>24</v>
      </c>
      <c r="U121" s="5" t="s">
        <v>994</v>
      </c>
      <c r="V121" s="89">
        <v>0</v>
      </c>
      <c r="W121" s="15">
        <v>17897801308677</v>
      </c>
      <c r="X121" s="6">
        <v>0.51</v>
      </c>
      <c r="Y121" s="6">
        <v>0.17499999999999999</v>
      </c>
      <c r="Z121" s="6">
        <v>0.73</v>
      </c>
      <c r="AA121" s="6">
        <f t="shared" si="3"/>
        <v>6.5152500000000002E-2</v>
      </c>
      <c r="AB121" s="8">
        <v>360</v>
      </c>
      <c r="AC121" s="15">
        <v>47897801308678</v>
      </c>
      <c r="AD121" s="4" t="s">
        <v>992</v>
      </c>
    </row>
    <row r="122" spans="2:30" x14ac:dyDescent="0.35">
      <c r="B122" s="14">
        <v>273</v>
      </c>
      <c r="C122" s="4" t="s">
        <v>128</v>
      </c>
      <c r="D122" s="4" t="s">
        <v>2376</v>
      </c>
      <c r="E122" s="4" t="s">
        <v>2911</v>
      </c>
      <c r="F122" s="4" t="s">
        <v>85</v>
      </c>
      <c r="G122" s="4" t="s">
        <v>993</v>
      </c>
      <c r="H122" s="6">
        <v>5.5599999999999997E-2</v>
      </c>
      <c r="I122" s="8">
        <v>60</v>
      </c>
      <c r="J122" s="8">
        <v>50</v>
      </c>
      <c r="K122" s="8">
        <v>50</v>
      </c>
      <c r="L122" s="8">
        <f t="shared" si="2"/>
        <v>150000</v>
      </c>
      <c r="M122" s="15">
        <v>7897801312264</v>
      </c>
      <c r="N122" s="6" t="s">
        <v>20</v>
      </c>
      <c r="O122" s="6" t="s">
        <v>20</v>
      </c>
      <c r="P122" s="6" t="s">
        <v>20</v>
      </c>
      <c r="Q122" s="6">
        <v>0.11</v>
      </c>
      <c r="R122" s="6">
        <v>0.06</v>
      </c>
      <c r="S122" s="6">
        <v>0.22</v>
      </c>
      <c r="T122" s="8">
        <v>8</v>
      </c>
      <c r="U122" s="5" t="s">
        <v>994</v>
      </c>
      <c r="V122" s="89">
        <v>0</v>
      </c>
      <c r="W122" s="15">
        <v>17897801312261</v>
      </c>
      <c r="X122" s="6">
        <v>0.43</v>
      </c>
      <c r="Y122" s="6">
        <v>0.24</v>
      </c>
      <c r="Z122" s="6">
        <v>0.7</v>
      </c>
      <c r="AA122" s="6">
        <f t="shared" si="3"/>
        <v>7.2239999999999999E-2</v>
      </c>
      <c r="AB122" s="8">
        <v>280</v>
      </c>
      <c r="AC122" s="15">
        <v>27897801312268</v>
      </c>
      <c r="AD122" s="4" t="s">
        <v>992</v>
      </c>
    </row>
    <row r="123" spans="2:30" x14ac:dyDescent="0.35">
      <c r="B123" s="14">
        <v>274</v>
      </c>
      <c r="C123" s="4" t="s">
        <v>129</v>
      </c>
      <c r="D123" s="4" t="s">
        <v>2376</v>
      </c>
      <c r="E123" s="4" t="s">
        <v>2911</v>
      </c>
      <c r="F123" s="4" t="s">
        <v>85</v>
      </c>
      <c r="G123" s="4" t="s">
        <v>993</v>
      </c>
      <c r="H123" s="6">
        <v>7.0400000000000004E-2</v>
      </c>
      <c r="I123" s="8">
        <v>56</v>
      </c>
      <c r="J123" s="8">
        <v>54</v>
      </c>
      <c r="K123" s="8">
        <v>56</v>
      </c>
      <c r="L123" s="8">
        <f t="shared" si="2"/>
        <v>169344</v>
      </c>
      <c r="M123" s="15">
        <v>7897801311250</v>
      </c>
      <c r="N123" s="6" t="s">
        <v>20</v>
      </c>
      <c r="O123" s="6" t="s">
        <v>20</v>
      </c>
      <c r="P123" s="6" t="s">
        <v>20</v>
      </c>
      <c r="Q123" s="6">
        <v>0.23</v>
      </c>
      <c r="R123" s="6">
        <v>6</v>
      </c>
      <c r="S123" s="6">
        <v>0.28000000000000003</v>
      </c>
      <c r="T123" s="8">
        <v>10</v>
      </c>
      <c r="U123" s="5" t="s">
        <v>994</v>
      </c>
      <c r="V123" s="89">
        <v>0</v>
      </c>
      <c r="W123" s="15">
        <v>17897801311257</v>
      </c>
      <c r="X123" s="6">
        <v>0.43</v>
      </c>
      <c r="Y123" s="6">
        <v>0.23</v>
      </c>
      <c r="Z123" s="6">
        <v>0.61</v>
      </c>
      <c r="AA123" s="6">
        <f t="shared" si="3"/>
        <v>6.0329000000000001E-2</v>
      </c>
      <c r="AB123" s="8">
        <v>200</v>
      </c>
      <c r="AC123" s="15">
        <v>27897801311254</v>
      </c>
      <c r="AD123" s="4" t="s">
        <v>992</v>
      </c>
    </row>
    <row r="124" spans="2:30" x14ac:dyDescent="0.35">
      <c r="B124" s="14">
        <v>275</v>
      </c>
      <c r="C124" s="4" t="s">
        <v>130</v>
      </c>
      <c r="D124" s="4" t="s">
        <v>2376</v>
      </c>
      <c r="E124" s="4" t="s">
        <v>2911</v>
      </c>
      <c r="F124" s="4" t="s">
        <v>85</v>
      </c>
      <c r="G124" s="4" t="s">
        <v>993</v>
      </c>
      <c r="H124" s="6">
        <v>0.15629999999999999</v>
      </c>
      <c r="I124" s="8">
        <v>60</v>
      </c>
      <c r="J124" s="8">
        <v>70</v>
      </c>
      <c r="K124" s="8">
        <v>70</v>
      </c>
      <c r="L124" s="8">
        <f t="shared" si="2"/>
        <v>294000</v>
      </c>
      <c r="M124" s="15">
        <v>7897801312271</v>
      </c>
      <c r="N124" s="6" t="s">
        <v>20</v>
      </c>
      <c r="O124" s="6" t="s">
        <v>20</v>
      </c>
      <c r="P124" s="6" t="s">
        <v>20</v>
      </c>
      <c r="Q124" s="6">
        <v>0.2</v>
      </c>
      <c r="R124" s="6">
        <v>7.0000000000000007E-2</v>
      </c>
      <c r="S124" s="6">
        <v>0.24</v>
      </c>
      <c r="T124" s="8">
        <v>8</v>
      </c>
      <c r="U124" s="5" t="s">
        <v>994</v>
      </c>
      <c r="V124" s="89">
        <v>0</v>
      </c>
      <c r="W124" s="15">
        <v>17897801312278</v>
      </c>
      <c r="X124" s="6">
        <v>0.4</v>
      </c>
      <c r="Y124" s="6">
        <v>0.25</v>
      </c>
      <c r="Z124" s="6">
        <v>0.65</v>
      </c>
      <c r="AA124" s="6">
        <f t="shared" si="3"/>
        <v>6.5000000000000002E-2</v>
      </c>
      <c r="AB124" s="8">
        <v>120</v>
      </c>
      <c r="AC124" s="15">
        <v>27897801312275</v>
      </c>
      <c r="AD124" s="4" t="s">
        <v>992</v>
      </c>
    </row>
    <row r="125" spans="2:30" x14ac:dyDescent="0.35">
      <c r="B125" s="14">
        <v>285</v>
      </c>
      <c r="C125" s="4" t="s">
        <v>131</v>
      </c>
      <c r="D125" s="4" t="s">
        <v>2376</v>
      </c>
      <c r="E125" s="4" t="s">
        <v>2911</v>
      </c>
      <c r="F125" s="4" t="s">
        <v>85</v>
      </c>
      <c r="G125" s="4" t="s">
        <v>993</v>
      </c>
      <c r="H125" s="6">
        <v>1.5699999999999999E-2</v>
      </c>
      <c r="I125" s="8">
        <v>36</v>
      </c>
      <c r="J125" s="8">
        <v>35</v>
      </c>
      <c r="K125" s="8">
        <v>36</v>
      </c>
      <c r="L125" s="8">
        <f t="shared" si="2"/>
        <v>45360</v>
      </c>
      <c r="M125" s="15">
        <v>7897801307697</v>
      </c>
      <c r="N125" s="6" t="s">
        <v>20</v>
      </c>
      <c r="O125" s="6" t="s">
        <v>20</v>
      </c>
      <c r="P125" s="6" t="s">
        <v>20</v>
      </c>
      <c r="Q125" s="6">
        <v>0.17</v>
      </c>
      <c r="R125" s="6">
        <v>0.04</v>
      </c>
      <c r="S125" s="6">
        <v>0.2</v>
      </c>
      <c r="T125" s="8">
        <v>25</v>
      </c>
      <c r="U125" s="5" t="s">
        <v>994</v>
      </c>
      <c r="V125" s="89">
        <v>0</v>
      </c>
      <c r="W125" s="15">
        <v>17897801307694</v>
      </c>
      <c r="X125" s="6">
        <v>0.48</v>
      </c>
      <c r="Y125" s="6">
        <v>0.17</v>
      </c>
      <c r="Z125" s="6">
        <v>0.73</v>
      </c>
      <c r="AA125" s="6">
        <f t="shared" si="3"/>
        <v>5.9568000000000003E-2</v>
      </c>
      <c r="AB125" s="8">
        <v>875</v>
      </c>
      <c r="AC125" s="15">
        <v>27897801307691</v>
      </c>
      <c r="AD125" s="4" t="s">
        <v>992</v>
      </c>
    </row>
    <row r="126" spans="2:30" x14ac:dyDescent="0.35">
      <c r="B126" s="14">
        <v>286</v>
      </c>
      <c r="C126" s="4" t="s">
        <v>132</v>
      </c>
      <c r="D126" s="4" t="s">
        <v>2376</v>
      </c>
      <c r="E126" s="4" t="s">
        <v>2911</v>
      </c>
      <c r="F126" s="4" t="s">
        <v>85</v>
      </c>
      <c r="G126" s="4" t="s">
        <v>993</v>
      </c>
      <c r="H126" s="6">
        <v>2.87E-2</v>
      </c>
      <c r="I126" s="8">
        <v>44</v>
      </c>
      <c r="J126" s="8">
        <v>44</v>
      </c>
      <c r="K126" s="8">
        <v>44</v>
      </c>
      <c r="L126" s="8">
        <f t="shared" ref="L126:L189" si="4">J126*I126*K126</f>
        <v>85184</v>
      </c>
      <c r="M126" s="15">
        <v>7897801308687</v>
      </c>
      <c r="N126" s="6" t="s">
        <v>20</v>
      </c>
      <c r="O126" s="6" t="s">
        <v>20</v>
      </c>
      <c r="P126" s="6" t="s">
        <v>20</v>
      </c>
      <c r="Q126" s="6">
        <v>0.22500000000000001</v>
      </c>
      <c r="R126" s="6">
        <v>4.5999999999999999E-2</v>
      </c>
      <c r="S126" s="6">
        <v>0.21</v>
      </c>
      <c r="T126" s="8">
        <v>16</v>
      </c>
      <c r="U126" s="5" t="s">
        <v>994</v>
      </c>
      <c r="V126" s="89">
        <v>0</v>
      </c>
      <c r="W126" s="15">
        <v>17897801308684</v>
      </c>
      <c r="X126" s="6">
        <v>0.5</v>
      </c>
      <c r="Y126" s="6">
        <v>0.16</v>
      </c>
      <c r="Z126" s="6">
        <v>0.71</v>
      </c>
      <c r="AA126" s="6">
        <f t="shared" si="3"/>
        <v>5.6799999999999996E-2</v>
      </c>
      <c r="AB126" s="8">
        <v>448</v>
      </c>
      <c r="AC126" s="15">
        <v>27897801308681</v>
      </c>
      <c r="AD126" s="4" t="s">
        <v>992</v>
      </c>
    </row>
    <row r="127" spans="2:30" x14ac:dyDescent="0.35">
      <c r="B127" s="14">
        <v>287</v>
      </c>
      <c r="C127" s="4" t="s">
        <v>133</v>
      </c>
      <c r="D127" s="4" t="s">
        <v>2376</v>
      </c>
      <c r="E127" s="4" t="s">
        <v>2911</v>
      </c>
      <c r="F127" s="4" t="s">
        <v>85</v>
      </c>
      <c r="G127" s="4" t="s">
        <v>993</v>
      </c>
      <c r="H127" s="6">
        <v>1.0500000000000001E-2</v>
      </c>
      <c r="I127" s="8">
        <v>24.8</v>
      </c>
      <c r="J127" s="8">
        <v>24.8</v>
      </c>
      <c r="K127" s="8">
        <v>41</v>
      </c>
      <c r="L127" s="8">
        <f t="shared" si="4"/>
        <v>25216.640000000003</v>
      </c>
      <c r="M127" s="15">
        <v>7897801301282</v>
      </c>
      <c r="N127" s="6" t="s">
        <v>20</v>
      </c>
      <c r="O127" s="6" t="s">
        <v>20</v>
      </c>
      <c r="P127" s="6" t="s">
        <v>20</v>
      </c>
      <c r="Q127" s="6">
        <v>0.25</v>
      </c>
      <c r="R127" s="6">
        <v>4.4999999999999998E-2</v>
      </c>
      <c r="S127" s="6">
        <v>0.215</v>
      </c>
      <c r="T127" s="8">
        <v>50</v>
      </c>
      <c r="U127" s="5" t="s">
        <v>994</v>
      </c>
      <c r="V127" s="89">
        <v>0</v>
      </c>
      <c r="W127" s="15">
        <v>17897801301289</v>
      </c>
      <c r="X127" s="6">
        <v>0.51</v>
      </c>
      <c r="Y127" s="6">
        <v>0.17499999999999999</v>
      </c>
      <c r="Z127" s="6">
        <v>0.75</v>
      </c>
      <c r="AA127" s="6">
        <f t="shared" si="3"/>
        <v>6.6937499999999997E-2</v>
      </c>
      <c r="AB127" s="8">
        <v>1900</v>
      </c>
      <c r="AC127" s="15">
        <v>27897801301286</v>
      </c>
      <c r="AD127" s="4" t="s">
        <v>992</v>
      </c>
    </row>
    <row r="128" spans="2:30" x14ac:dyDescent="0.35">
      <c r="B128" s="14">
        <v>288</v>
      </c>
      <c r="C128" s="4" t="s">
        <v>134</v>
      </c>
      <c r="D128" s="4" t="s">
        <v>2376</v>
      </c>
      <c r="E128" s="4" t="s">
        <v>2911</v>
      </c>
      <c r="F128" s="4" t="s">
        <v>85</v>
      </c>
      <c r="G128" s="4" t="s">
        <v>993</v>
      </c>
      <c r="H128" s="6">
        <v>1.89E-2</v>
      </c>
      <c r="I128" s="8">
        <v>32</v>
      </c>
      <c r="J128" s="8">
        <v>32</v>
      </c>
      <c r="K128" s="8">
        <v>44</v>
      </c>
      <c r="L128" s="8">
        <f t="shared" si="4"/>
        <v>45056</v>
      </c>
      <c r="M128" s="15">
        <v>7897801301299</v>
      </c>
      <c r="N128" s="6" t="s">
        <v>20</v>
      </c>
      <c r="O128" s="6" t="s">
        <v>20</v>
      </c>
      <c r="P128" s="6" t="s">
        <v>20</v>
      </c>
      <c r="Q128" s="6">
        <v>0.23499999999999999</v>
      </c>
      <c r="R128" s="6">
        <v>5.5E-2</v>
      </c>
      <c r="S128" s="6">
        <v>0.25</v>
      </c>
      <c r="T128" s="8">
        <v>50</v>
      </c>
      <c r="U128" s="5" t="s">
        <v>994</v>
      </c>
      <c r="V128" s="89">
        <v>0</v>
      </c>
      <c r="W128" s="15">
        <v>17897801301296</v>
      </c>
      <c r="X128" s="6">
        <v>0.52</v>
      </c>
      <c r="Y128" s="6">
        <v>0.18</v>
      </c>
      <c r="Z128" s="6">
        <v>0.71</v>
      </c>
      <c r="AA128" s="6">
        <f t="shared" si="3"/>
        <v>6.6456000000000001E-2</v>
      </c>
      <c r="AB128" s="8">
        <v>1200</v>
      </c>
      <c r="AC128" s="15">
        <v>47897801301297</v>
      </c>
      <c r="AD128" s="4" t="s">
        <v>992</v>
      </c>
    </row>
    <row r="129" spans="2:30" x14ac:dyDescent="0.35">
      <c r="B129" s="14">
        <v>289</v>
      </c>
      <c r="C129" s="4" t="s">
        <v>135</v>
      </c>
      <c r="D129" s="4" t="s">
        <v>2376</v>
      </c>
      <c r="E129" s="4" t="s">
        <v>2911</v>
      </c>
      <c r="F129" s="4" t="s">
        <v>85</v>
      </c>
      <c r="G129" s="4" t="s">
        <v>993</v>
      </c>
      <c r="H129" s="6">
        <v>3.4799999999999998E-2</v>
      </c>
      <c r="I129" s="8">
        <v>53</v>
      </c>
      <c r="J129" s="8">
        <v>41</v>
      </c>
      <c r="K129" s="8">
        <v>41</v>
      </c>
      <c r="L129" s="8">
        <f t="shared" si="4"/>
        <v>89093</v>
      </c>
      <c r="M129" s="15">
        <v>7897801308618</v>
      </c>
      <c r="N129" s="6" t="s">
        <v>20</v>
      </c>
      <c r="O129" s="6" t="s">
        <v>20</v>
      </c>
      <c r="P129" s="6" t="s">
        <v>20</v>
      </c>
      <c r="Q129" s="6">
        <v>0.23</v>
      </c>
      <c r="R129" s="6">
        <v>0.06</v>
      </c>
      <c r="S129" s="6">
        <v>0.24</v>
      </c>
      <c r="T129" s="8">
        <v>24</v>
      </c>
      <c r="U129" s="5" t="s">
        <v>994</v>
      </c>
      <c r="V129" s="89">
        <v>0</v>
      </c>
      <c r="W129" s="15">
        <v>17897801308615</v>
      </c>
      <c r="X129" s="6">
        <v>0.51</v>
      </c>
      <c r="Y129" s="6">
        <v>0.18</v>
      </c>
      <c r="Z129" s="6">
        <v>0.78</v>
      </c>
      <c r="AA129" s="6">
        <f t="shared" si="3"/>
        <v>7.1604000000000001E-2</v>
      </c>
      <c r="AB129" s="8">
        <v>576</v>
      </c>
      <c r="AC129" s="15">
        <v>47897801308616</v>
      </c>
      <c r="AD129" s="4" t="s">
        <v>992</v>
      </c>
    </row>
    <row r="130" spans="2:30" x14ac:dyDescent="0.35">
      <c r="B130" s="14">
        <v>290</v>
      </c>
      <c r="C130" s="4" t="s">
        <v>136</v>
      </c>
      <c r="D130" s="4" t="s">
        <v>2376</v>
      </c>
      <c r="E130" s="4" t="s">
        <v>2911</v>
      </c>
      <c r="F130" s="4" t="s">
        <v>85</v>
      </c>
      <c r="G130" s="4" t="s">
        <v>993</v>
      </c>
      <c r="H130" s="6">
        <v>6.3600000000000004E-2</v>
      </c>
      <c r="I130" s="8">
        <v>80</v>
      </c>
      <c r="J130" s="8">
        <v>56</v>
      </c>
      <c r="K130" s="8">
        <v>56</v>
      </c>
      <c r="L130" s="8">
        <f t="shared" si="4"/>
        <v>250880</v>
      </c>
      <c r="M130" s="15">
        <v>7897801308601</v>
      </c>
      <c r="N130" s="6" t="s">
        <v>20</v>
      </c>
      <c r="O130" s="6" t="s">
        <v>20</v>
      </c>
      <c r="P130" s="6" t="s">
        <v>20</v>
      </c>
      <c r="Q130" s="6">
        <v>0.22</v>
      </c>
      <c r="R130" s="6">
        <v>5.1999999999999998E-2</v>
      </c>
      <c r="S130" s="6">
        <v>0.2</v>
      </c>
      <c r="T130" s="8">
        <v>10</v>
      </c>
      <c r="U130" s="5" t="s">
        <v>994</v>
      </c>
      <c r="V130" s="89">
        <v>0</v>
      </c>
      <c r="W130" s="15">
        <v>17897801308608</v>
      </c>
      <c r="X130" s="6">
        <v>0.6</v>
      </c>
      <c r="Y130" s="6">
        <v>0.19</v>
      </c>
      <c r="Z130" s="6">
        <v>0.83</v>
      </c>
      <c r="AA130" s="6">
        <f t="shared" si="3"/>
        <v>9.4619999999999982E-2</v>
      </c>
      <c r="AB130" s="8">
        <v>350</v>
      </c>
      <c r="AC130" s="15">
        <v>47897801308609</v>
      </c>
      <c r="AD130" s="4" t="s">
        <v>992</v>
      </c>
    </row>
    <row r="131" spans="2:30" x14ac:dyDescent="0.35">
      <c r="B131" s="14">
        <v>291</v>
      </c>
      <c r="C131" s="4" t="s">
        <v>137</v>
      </c>
      <c r="D131" s="4" t="s">
        <v>2376</v>
      </c>
      <c r="E131" s="4" t="s">
        <v>2911</v>
      </c>
      <c r="F131" s="4" t="s">
        <v>85</v>
      </c>
      <c r="G131" s="4" t="s">
        <v>993</v>
      </c>
      <c r="H131" s="6">
        <v>4.0899999999999999E-2</v>
      </c>
      <c r="I131" s="8">
        <v>76</v>
      </c>
      <c r="J131" s="8">
        <v>21</v>
      </c>
      <c r="K131" s="8">
        <v>48</v>
      </c>
      <c r="L131" s="8">
        <f t="shared" si="4"/>
        <v>76608</v>
      </c>
      <c r="M131" s="15">
        <v>7897801319447</v>
      </c>
      <c r="N131" s="6">
        <v>0.76</v>
      </c>
      <c r="O131" s="6">
        <v>0.76</v>
      </c>
      <c r="P131" s="6">
        <v>0.48</v>
      </c>
      <c r="Q131" s="6">
        <v>0.05</v>
      </c>
      <c r="R131" s="6">
        <v>0.16</v>
      </c>
      <c r="S131" s="6">
        <v>0.19</v>
      </c>
      <c r="T131" s="8">
        <v>10</v>
      </c>
      <c r="U131" s="5" t="s">
        <v>994</v>
      </c>
      <c r="V131" s="89">
        <v>0</v>
      </c>
      <c r="W131" s="15">
        <v>17897801319444</v>
      </c>
      <c r="X131" s="6">
        <v>0.19</v>
      </c>
      <c r="Y131" s="6">
        <v>0.49</v>
      </c>
      <c r="Z131" s="6">
        <v>0.7</v>
      </c>
      <c r="AA131" s="6">
        <f t="shared" si="3"/>
        <v>6.5169999999999992E-2</v>
      </c>
      <c r="AB131" s="8">
        <v>420</v>
      </c>
      <c r="AC131" s="15">
        <v>27897801319441</v>
      </c>
      <c r="AD131" s="4" t="s">
        <v>992</v>
      </c>
    </row>
    <row r="132" spans="2:30" x14ac:dyDescent="0.35">
      <c r="B132" s="14">
        <v>292</v>
      </c>
      <c r="C132" s="4" t="s">
        <v>138</v>
      </c>
      <c r="D132" s="4" t="s">
        <v>2376</v>
      </c>
      <c r="E132" s="4" t="s">
        <v>2911</v>
      </c>
      <c r="F132" s="4" t="s">
        <v>85</v>
      </c>
      <c r="G132" s="4" t="s">
        <v>993</v>
      </c>
      <c r="H132" s="6">
        <v>8.3900000000000002E-2</v>
      </c>
      <c r="I132" s="8">
        <v>60</v>
      </c>
      <c r="J132" s="8">
        <v>30</v>
      </c>
      <c r="K132" s="8">
        <v>200</v>
      </c>
      <c r="L132" s="8">
        <f t="shared" si="4"/>
        <v>360000</v>
      </c>
      <c r="M132" s="15">
        <v>7897801319454</v>
      </c>
      <c r="N132" s="6">
        <v>0.21</v>
      </c>
      <c r="O132" s="6">
        <v>0.69</v>
      </c>
      <c r="P132" s="6">
        <v>0.48</v>
      </c>
      <c r="Q132" s="6">
        <v>0.2</v>
      </c>
      <c r="R132" s="6">
        <v>0.06</v>
      </c>
      <c r="S132" s="6">
        <v>0.25</v>
      </c>
      <c r="T132" s="8">
        <v>10</v>
      </c>
      <c r="U132" s="5" t="s">
        <v>994</v>
      </c>
      <c r="V132" s="89">
        <v>0</v>
      </c>
      <c r="W132" s="15">
        <v>17897801319451</v>
      </c>
      <c r="X132" s="6">
        <v>0.48</v>
      </c>
      <c r="Y132" s="6">
        <v>0.21</v>
      </c>
      <c r="Z132" s="6">
        <v>0.69</v>
      </c>
      <c r="AA132" s="6">
        <f t="shared" si="3"/>
        <v>6.9551999999999989E-2</v>
      </c>
      <c r="AB132" s="8">
        <v>200</v>
      </c>
      <c r="AC132" s="15">
        <v>27897801319458</v>
      </c>
      <c r="AD132" s="4" t="s">
        <v>992</v>
      </c>
    </row>
    <row r="133" spans="2:30" x14ac:dyDescent="0.35">
      <c r="B133" s="14">
        <v>293</v>
      </c>
      <c r="C133" s="4" t="s">
        <v>139</v>
      </c>
      <c r="D133" s="4" t="s">
        <v>2376</v>
      </c>
      <c r="E133" s="4" t="s">
        <v>2911</v>
      </c>
      <c r="F133" s="4" t="s">
        <v>85</v>
      </c>
      <c r="G133" s="4" t="s">
        <v>993</v>
      </c>
      <c r="H133" s="6">
        <v>5.4999999999999997E-3</v>
      </c>
      <c r="I133" s="8">
        <v>23.5</v>
      </c>
      <c r="J133" s="8">
        <v>23.5</v>
      </c>
      <c r="K133" s="8">
        <v>21.5</v>
      </c>
      <c r="L133" s="8">
        <f t="shared" si="4"/>
        <v>11873.375</v>
      </c>
      <c r="M133" s="15">
        <v>7897801301473</v>
      </c>
      <c r="N133" s="6" t="s">
        <v>20</v>
      </c>
      <c r="O133" s="6" t="s">
        <v>20</v>
      </c>
      <c r="P133" s="6" t="s">
        <v>20</v>
      </c>
      <c r="Q133" s="6">
        <v>0.255</v>
      </c>
      <c r="R133" s="6">
        <v>2.5000000000000001E-2</v>
      </c>
      <c r="S133" s="6">
        <v>0.22500000000000001</v>
      </c>
      <c r="T133" s="8">
        <v>50</v>
      </c>
      <c r="U133" s="5" t="s">
        <v>994</v>
      </c>
      <c r="V133" s="89">
        <v>0</v>
      </c>
      <c r="W133" s="15">
        <v>17897801301470</v>
      </c>
      <c r="X133" s="6">
        <v>0.52</v>
      </c>
      <c r="Y133" s="6">
        <v>0.17</v>
      </c>
      <c r="Z133" s="6">
        <v>0.77</v>
      </c>
      <c r="AA133" s="6">
        <f t="shared" si="3"/>
        <v>6.8068000000000004E-2</v>
      </c>
      <c r="AB133" s="8">
        <v>3750</v>
      </c>
      <c r="AC133" s="15">
        <v>47897801301471</v>
      </c>
      <c r="AD133" s="4" t="s">
        <v>992</v>
      </c>
    </row>
    <row r="134" spans="2:30" x14ac:dyDescent="0.35">
      <c r="B134" s="14">
        <v>294</v>
      </c>
      <c r="C134" s="4" t="s">
        <v>140</v>
      </c>
      <c r="D134" s="4" t="s">
        <v>2376</v>
      </c>
      <c r="E134" s="4" t="s">
        <v>2911</v>
      </c>
      <c r="F134" s="4" t="s">
        <v>85</v>
      </c>
      <c r="G134" s="4" t="s">
        <v>993</v>
      </c>
      <c r="H134" s="6">
        <v>9.1999999999999998E-3</v>
      </c>
      <c r="I134" s="8">
        <v>26.9</v>
      </c>
      <c r="J134" s="8">
        <v>26.9</v>
      </c>
      <c r="K134" s="8">
        <v>27</v>
      </c>
      <c r="L134" s="8">
        <f t="shared" si="4"/>
        <v>19537.469999999998</v>
      </c>
      <c r="M134" s="15">
        <v>7897801302111</v>
      </c>
      <c r="N134" s="6" t="s">
        <v>20</v>
      </c>
      <c r="O134" s="6" t="s">
        <v>20</v>
      </c>
      <c r="P134" s="6" t="s">
        <v>20</v>
      </c>
      <c r="Q134" s="6">
        <v>0.16</v>
      </c>
      <c r="R134" s="6">
        <v>0.04</v>
      </c>
      <c r="S134" s="6">
        <v>0.2</v>
      </c>
      <c r="T134" s="8">
        <v>50</v>
      </c>
      <c r="U134" s="5" t="s">
        <v>994</v>
      </c>
      <c r="V134" s="89">
        <v>0</v>
      </c>
      <c r="W134" s="15">
        <v>17897801302118</v>
      </c>
      <c r="X134" s="6">
        <v>0.45</v>
      </c>
      <c r="Y134" s="6">
        <v>0.18</v>
      </c>
      <c r="Z134" s="6">
        <v>0.65</v>
      </c>
      <c r="AA134" s="6">
        <f t="shared" si="3"/>
        <v>5.2650000000000002E-2</v>
      </c>
      <c r="AB134" s="8">
        <v>2200</v>
      </c>
      <c r="AC134" s="15">
        <v>47897801302119</v>
      </c>
      <c r="AD134" s="4" t="s">
        <v>992</v>
      </c>
    </row>
    <row r="135" spans="2:30" x14ac:dyDescent="0.35">
      <c r="B135" s="14">
        <v>295</v>
      </c>
      <c r="C135" s="4" t="s">
        <v>141</v>
      </c>
      <c r="D135" s="4" t="s">
        <v>2376</v>
      </c>
      <c r="E135" s="4" t="s">
        <v>2911</v>
      </c>
      <c r="F135" s="4" t="s">
        <v>85</v>
      </c>
      <c r="G135" s="4" t="s">
        <v>993</v>
      </c>
      <c r="H135" s="6">
        <v>1.61E-2</v>
      </c>
      <c r="I135" s="8">
        <v>34</v>
      </c>
      <c r="J135" s="8">
        <v>34</v>
      </c>
      <c r="K135" s="8">
        <v>34</v>
      </c>
      <c r="L135" s="8">
        <f t="shared" si="4"/>
        <v>39304</v>
      </c>
      <c r="M135" s="15">
        <v>7897801308694</v>
      </c>
      <c r="N135" s="6" t="s">
        <v>20</v>
      </c>
      <c r="O135" s="6" t="s">
        <v>20</v>
      </c>
      <c r="P135" s="6" t="s">
        <v>20</v>
      </c>
      <c r="Q135" s="6">
        <v>0.25</v>
      </c>
      <c r="R135" s="6">
        <v>5.5E-2</v>
      </c>
      <c r="S135" s="6">
        <v>0.26</v>
      </c>
      <c r="T135" s="8">
        <v>50</v>
      </c>
      <c r="U135" s="5" t="s">
        <v>994</v>
      </c>
      <c r="V135" s="89">
        <v>0</v>
      </c>
      <c r="W135" s="15">
        <v>17897801308691</v>
      </c>
      <c r="X135" s="6">
        <v>0.5</v>
      </c>
      <c r="Y135" s="6">
        <v>0.19</v>
      </c>
      <c r="Z135" s="6">
        <v>0.81</v>
      </c>
      <c r="AA135" s="6">
        <f t="shared" si="3"/>
        <v>7.6950000000000005E-2</v>
      </c>
      <c r="AB135" s="8">
        <v>1400</v>
      </c>
      <c r="AC135" s="15">
        <v>47897801308692</v>
      </c>
      <c r="AD135" s="4" t="s">
        <v>992</v>
      </c>
    </row>
    <row r="136" spans="2:30" x14ac:dyDescent="0.35">
      <c r="B136" s="14">
        <v>296</v>
      </c>
      <c r="C136" s="4" t="s">
        <v>142</v>
      </c>
      <c r="D136" s="4" t="s">
        <v>2376</v>
      </c>
      <c r="E136" s="4" t="s">
        <v>2911</v>
      </c>
      <c r="F136" s="4" t="s">
        <v>85</v>
      </c>
      <c r="G136" s="4" t="s">
        <v>993</v>
      </c>
      <c r="H136" s="6">
        <v>5.21E-2</v>
      </c>
      <c r="I136" s="8">
        <v>51</v>
      </c>
      <c r="J136" s="8">
        <v>45</v>
      </c>
      <c r="K136" s="8">
        <v>51</v>
      </c>
      <c r="L136" s="8">
        <f t="shared" si="4"/>
        <v>117045</v>
      </c>
      <c r="M136" s="15">
        <v>7897801311465</v>
      </c>
      <c r="N136" s="6" t="s">
        <v>20</v>
      </c>
      <c r="O136" s="6" t="s">
        <v>20</v>
      </c>
      <c r="P136" s="6" t="s">
        <v>20</v>
      </c>
      <c r="Q136" s="6">
        <v>0.23499999999999999</v>
      </c>
      <c r="R136" s="6">
        <v>0.06</v>
      </c>
      <c r="S136" s="6">
        <v>0.26</v>
      </c>
      <c r="T136" s="8">
        <v>20</v>
      </c>
      <c r="U136" s="5" t="s">
        <v>994</v>
      </c>
      <c r="V136" s="89">
        <v>0</v>
      </c>
      <c r="W136" s="15">
        <v>17897801311462</v>
      </c>
      <c r="X136" s="6">
        <v>0.49</v>
      </c>
      <c r="Y136" s="6">
        <v>0.18</v>
      </c>
      <c r="Z136" s="6">
        <v>0.79</v>
      </c>
      <c r="AA136" s="6">
        <f t="shared" si="3"/>
        <v>6.9678000000000004E-2</v>
      </c>
      <c r="AB136" s="8">
        <v>400</v>
      </c>
      <c r="AC136" s="15">
        <v>27897801311469</v>
      </c>
      <c r="AD136" s="4" t="s">
        <v>992</v>
      </c>
    </row>
    <row r="137" spans="2:30" x14ac:dyDescent="0.35">
      <c r="B137" s="14">
        <v>297</v>
      </c>
      <c r="C137" s="4" t="s">
        <v>143</v>
      </c>
      <c r="D137" s="4" t="s">
        <v>2376</v>
      </c>
      <c r="E137" s="4" t="s">
        <v>2911</v>
      </c>
      <c r="F137" s="4" t="s">
        <v>85</v>
      </c>
      <c r="G137" s="4" t="s">
        <v>993</v>
      </c>
      <c r="H137" s="6">
        <v>3.0800000000000001E-2</v>
      </c>
      <c r="I137" s="8">
        <v>40</v>
      </c>
      <c r="J137" s="8">
        <v>40</v>
      </c>
      <c r="K137" s="8">
        <v>40</v>
      </c>
      <c r="L137" s="8">
        <f t="shared" si="4"/>
        <v>64000</v>
      </c>
      <c r="M137" s="15">
        <v>7897801312288</v>
      </c>
      <c r="N137" s="6" t="s">
        <v>20</v>
      </c>
      <c r="O137" s="6" t="s">
        <v>20</v>
      </c>
      <c r="P137" s="6" t="s">
        <v>20</v>
      </c>
      <c r="Q137" s="6">
        <v>0.21</v>
      </c>
      <c r="R137" s="6">
        <v>0.05</v>
      </c>
      <c r="S137" s="6">
        <v>0.23499999999999999</v>
      </c>
      <c r="T137" s="8">
        <v>20</v>
      </c>
      <c r="U137" s="5" t="s">
        <v>994</v>
      </c>
      <c r="V137" s="89">
        <v>0</v>
      </c>
      <c r="W137" s="15">
        <v>17897801312285</v>
      </c>
      <c r="X137" s="6">
        <v>0.49</v>
      </c>
      <c r="Y137" s="6">
        <v>0.21</v>
      </c>
      <c r="Z137" s="6">
        <v>0.79</v>
      </c>
      <c r="AA137" s="6">
        <f t="shared" si="3"/>
        <v>8.1291000000000002E-2</v>
      </c>
      <c r="AB137" s="8">
        <v>700</v>
      </c>
      <c r="AC137" s="15">
        <v>27897801312282</v>
      </c>
      <c r="AD137" s="4" t="s">
        <v>992</v>
      </c>
    </row>
    <row r="138" spans="2:30" x14ac:dyDescent="0.35">
      <c r="B138" s="14">
        <v>298</v>
      </c>
      <c r="C138" s="4" t="s">
        <v>144</v>
      </c>
      <c r="D138" s="4" t="s">
        <v>2376</v>
      </c>
      <c r="E138" s="4" t="s">
        <v>2911</v>
      </c>
      <c r="F138" s="4" t="s">
        <v>85</v>
      </c>
      <c r="G138" s="4" t="s">
        <v>993</v>
      </c>
      <c r="H138" s="6">
        <v>6.1199999999999997E-2</v>
      </c>
      <c r="I138" s="8">
        <v>60</v>
      </c>
      <c r="J138" s="8">
        <v>60</v>
      </c>
      <c r="K138" s="8">
        <v>50</v>
      </c>
      <c r="L138" s="8">
        <f t="shared" si="4"/>
        <v>180000</v>
      </c>
      <c r="M138" s="15">
        <v>7897801312295</v>
      </c>
      <c r="N138" s="6" t="s">
        <v>20</v>
      </c>
      <c r="O138" s="6" t="s">
        <v>20</v>
      </c>
      <c r="P138" s="6" t="s">
        <v>20</v>
      </c>
      <c r="Q138" s="6">
        <v>0.12</v>
      </c>
      <c r="R138" s="6">
        <v>0.05</v>
      </c>
      <c r="S138" s="6">
        <v>0.17</v>
      </c>
      <c r="T138" s="8">
        <v>5</v>
      </c>
      <c r="U138" s="5" t="s">
        <v>994</v>
      </c>
      <c r="V138" s="89">
        <v>0</v>
      </c>
      <c r="W138" s="15">
        <v>17897801312292</v>
      </c>
      <c r="X138" s="6">
        <v>0.5</v>
      </c>
      <c r="Y138" s="6">
        <v>0.17</v>
      </c>
      <c r="Z138" s="6">
        <v>0.65</v>
      </c>
      <c r="AA138" s="6">
        <f t="shared" si="3"/>
        <v>5.5250000000000007E-2</v>
      </c>
      <c r="AB138" s="8">
        <v>250</v>
      </c>
      <c r="AC138" s="15">
        <v>27897801312299</v>
      </c>
      <c r="AD138" s="4" t="s">
        <v>992</v>
      </c>
    </row>
    <row r="139" spans="2:30" x14ac:dyDescent="0.35">
      <c r="B139" s="14">
        <v>299</v>
      </c>
      <c r="C139" s="4" t="s">
        <v>145</v>
      </c>
      <c r="D139" s="4" t="s">
        <v>2376</v>
      </c>
      <c r="E139" s="4" t="s">
        <v>2911</v>
      </c>
      <c r="F139" s="4" t="s">
        <v>85</v>
      </c>
      <c r="G139" s="4" t="s">
        <v>993</v>
      </c>
      <c r="H139" s="6">
        <v>3.6400000000000002E-2</v>
      </c>
      <c r="I139" s="8">
        <v>56</v>
      </c>
      <c r="J139" s="8">
        <v>30</v>
      </c>
      <c r="K139" s="8">
        <v>43</v>
      </c>
      <c r="L139" s="8">
        <f t="shared" si="4"/>
        <v>72240</v>
      </c>
      <c r="M139" s="15">
        <v>7897801302517</v>
      </c>
      <c r="N139" s="6" t="s">
        <v>20</v>
      </c>
      <c r="O139" s="6" t="s">
        <v>20</v>
      </c>
      <c r="P139" s="6" t="s">
        <v>20</v>
      </c>
      <c r="Q139" s="6">
        <v>0.25</v>
      </c>
      <c r="R139" s="6">
        <v>0.05</v>
      </c>
      <c r="S139" s="6">
        <v>0.25</v>
      </c>
      <c r="T139" s="8">
        <v>20</v>
      </c>
      <c r="U139" s="5" t="s">
        <v>994</v>
      </c>
      <c r="V139" s="89">
        <v>0</v>
      </c>
      <c r="W139" s="15">
        <v>17897801302514</v>
      </c>
      <c r="X139" s="6">
        <v>0.52</v>
      </c>
      <c r="Y139" s="6">
        <v>0.22</v>
      </c>
      <c r="Z139" s="6">
        <v>0.76</v>
      </c>
      <c r="AA139" s="6">
        <f t="shared" si="3"/>
        <v>8.6944000000000007E-2</v>
      </c>
      <c r="AB139" s="8">
        <v>640</v>
      </c>
      <c r="AC139" s="15">
        <v>47897801302515</v>
      </c>
      <c r="AD139" s="4" t="s">
        <v>992</v>
      </c>
    </row>
    <row r="140" spans="2:30" x14ac:dyDescent="0.35">
      <c r="B140" s="14">
        <v>300</v>
      </c>
      <c r="C140" s="4" t="s">
        <v>146</v>
      </c>
      <c r="D140" s="4" t="s">
        <v>2376</v>
      </c>
      <c r="E140" s="4" t="s">
        <v>2911</v>
      </c>
      <c r="F140" s="4" t="s">
        <v>85</v>
      </c>
      <c r="G140" s="4" t="s">
        <v>993</v>
      </c>
      <c r="H140" s="6">
        <v>5.1200000000000002E-2</v>
      </c>
      <c r="I140" s="8">
        <v>60</v>
      </c>
      <c r="J140" s="8">
        <v>36</v>
      </c>
      <c r="K140" s="8">
        <v>48</v>
      </c>
      <c r="L140" s="8">
        <f t="shared" si="4"/>
        <v>103680</v>
      </c>
      <c r="M140" s="15">
        <v>7897801301350</v>
      </c>
      <c r="N140" s="6" t="s">
        <v>20</v>
      </c>
      <c r="O140" s="6" t="s">
        <v>20</v>
      </c>
      <c r="P140" s="6" t="s">
        <v>20</v>
      </c>
      <c r="Q140" s="6">
        <v>0.23</v>
      </c>
      <c r="R140" s="6">
        <v>7.0000000000000007E-2</v>
      </c>
      <c r="S140" s="6">
        <v>0.27</v>
      </c>
      <c r="T140" s="8">
        <v>20</v>
      </c>
      <c r="U140" s="5" t="s">
        <v>994</v>
      </c>
      <c r="V140" s="89">
        <v>0</v>
      </c>
      <c r="W140" s="15">
        <v>17897801301357</v>
      </c>
      <c r="X140" s="6">
        <v>0.51</v>
      </c>
      <c r="Y140" s="6">
        <v>0.19</v>
      </c>
      <c r="Z140" s="6">
        <v>0.79</v>
      </c>
      <c r="AA140" s="6">
        <f t="shared" si="3"/>
        <v>7.6551000000000008E-2</v>
      </c>
      <c r="AB140" s="8">
        <v>400</v>
      </c>
      <c r="AC140" s="15">
        <v>27897801301354</v>
      </c>
      <c r="AD140" s="4" t="s">
        <v>992</v>
      </c>
    </row>
    <row r="141" spans="2:30" x14ac:dyDescent="0.35">
      <c r="B141" s="14">
        <v>301</v>
      </c>
      <c r="C141" s="4" t="s">
        <v>147</v>
      </c>
      <c r="D141" s="4" t="s">
        <v>2376</v>
      </c>
      <c r="E141" s="4" t="s">
        <v>2911</v>
      </c>
      <c r="F141" s="4" t="s">
        <v>85</v>
      </c>
      <c r="G141" s="4" t="s">
        <v>993</v>
      </c>
      <c r="H141" s="6">
        <v>9.1600000000000001E-2</v>
      </c>
      <c r="I141" s="8">
        <v>61</v>
      </c>
      <c r="J141" s="8">
        <v>78</v>
      </c>
      <c r="K141" s="8">
        <v>78</v>
      </c>
      <c r="L141" s="8">
        <f t="shared" si="4"/>
        <v>371124</v>
      </c>
      <c r="M141" s="15">
        <v>7897801308953</v>
      </c>
      <c r="N141" s="6" t="s">
        <v>20</v>
      </c>
      <c r="O141" s="6" t="s">
        <v>20</v>
      </c>
      <c r="P141" s="6" t="s">
        <v>20</v>
      </c>
      <c r="Q141" s="6">
        <v>0.2</v>
      </c>
      <c r="R141" s="6">
        <v>0.08</v>
      </c>
      <c r="S141" s="6">
        <v>0.3</v>
      </c>
      <c r="T141" s="8">
        <v>16</v>
      </c>
      <c r="U141" s="5" t="s">
        <v>994</v>
      </c>
      <c r="V141" s="89">
        <v>0</v>
      </c>
      <c r="W141" s="15">
        <v>17897801308950</v>
      </c>
      <c r="X141" s="6">
        <v>0.42</v>
      </c>
      <c r="Y141" s="6">
        <v>0.23</v>
      </c>
      <c r="Z141" s="6">
        <v>0.6</v>
      </c>
      <c r="AA141" s="6">
        <f t="shared" si="3"/>
        <v>5.7959999999999998E-2</v>
      </c>
      <c r="AB141" s="8">
        <v>224</v>
      </c>
      <c r="AC141" s="15">
        <v>27897801308957</v>
      </c>
      <c r="AD141" s="4" t="s">
        <v>992</v>
      </c>
    </row>
    <row r="142" spans="2:30" x14ac:dyDescent="0.35">
      <c r="B142" s="14">
        <v>302</v>
      </c>
      <c r="C142" s="4" t="s">
        <v>148</v>
      </c>
      <c r="D142" s="4" t="s">
        <v>2376</v>
      </c>
      <c r="E142" s="4" t="s">
        <v>2911</v>
      </c>
      <c r="F142" s="4" t="s">
        <v>85</v>
      </c>
      <c r="G142" s="4" t="s">
        <v>993</v>
      </c>
      <c r="H142" s="6">
        <v>0.14979999999999999</v>
      </c>
      <c r="I142" s="8">
        <v>60</v>
      </c>
      <c r="J142" s="8">
        <v>80</v>
      </c>
      <c r="K142" s="8">
        <v>10</v>
      </c>
      <c r="L142" s="8">
        <f t="shared" si="4"/>
        <v>48000</v>
      </c>
      <c r="M142" s="15">
        <v>7897801311861</v>
      </c>
      <c r="N142" s="6" t="s">
        <v>20</v>
      </c>
      <c r="O142" s="6" t="s">
        <v>20</v>
      </c>
      <c r="P142" s="6" t="s">
        <v>20</v>
      </c>
      <c r="Q142" s="6">
        <v>0.2</v>
      </c>
      <c r="R142" s="6">
        <v>0.12</v>
      </c>
      <c r="S142" s="6">
        <v>0.3</v>
      </c>
      <c r="T142" s="8">
        <v>12</v>
      </c>
      <c r="U142" s="5" t="s">
        <v>994</v>
      </c>
      <c r="V142" s="89">
        <v>0</v>
      </c>
      <c r="W142" s="15">
        <v>17897801311868</v>
      </c>
      <c r="X142" s="6">
        <v>0.42</v>
      </c>
      <c r="Y142" s="6">
        <v>0.23</v>
      </c>
      <c r="Z142" s="6">
        <v>0.65</v>
      </c>
      <c r="AA142" s="6">
        <f t="shared" si="3"/>
        <v>6.2790000000000012E-2</v>
      </c>
      <c r="AB142" s="8">
        <v>108</v>
      </c>
      <c r="AC142" s="15">
        <v>27897801311865</v>
      </c>
      <c r="AD142" s="4" t="s">
        <v>992</v>
      </c>
    </row>
    <row r="143" spans="2:30" x14ac:dyDescent="0.35">
      <c r="B143" s="14">
        <v>303</v>
      </c>
      <c r="C143" s="4" t="s">
        <v>149</v>
      </c>
      <c r="D143" s="4" t="s">
        <v>2376</v>
      </c>
      <c r="E143" s="4" t="s">
        <v>2911</v>
      </c>
      <c r="F143" s="4" t="s">
        <v>85</v>
      </c>
      <c r="G143" s="4" t="s">
        <v>993</v>
      </c>
      <c r="H143" s="6">
        <v>0.19700000000000001</v>
      </c>
      <c r="I143" s="8">
        <v>61</v>
      </c>
      <c r="J143" s="8">
        <v>104</v>
      </c>
      <c r="K143" s="8">
        <v>84</v>
      </c>
      <c r="L143" s="8">
        <f t="shared" si="4"/>
        <v>532896</v>
      </c>
      <c r="M143" s="15">
        <v>7897801311632</v>
      </c>
      <c r="N143" s="6" t="s">
        <v>20</v>
      </c>
      <c r="O143" s="6" t="s">
        <v>20</v>
      </c>
      <c r="P143" s="6" t="s">
        <v>20</v>
      </c>
      <c r="Q143" s="6">
        <v>0.25</v>
      </c>
      <c r="R143" s="6">
        <v>0.105</v>
      </c>
      <c r="S143" s="6">
        <v>0.37</v>
      </c>
      <c r="T143" s="8">
        <v>10</v>
      </c>
      <c r="U143" s="5" t="s">
        <v>994</v>
      </c>
      <c r="V143" s="89">
        <v>0</v>
      </c>
      <c r="W143" s="15">
        <v>17897801311639</v>
      </c>
      <c r="X143" s="6">
        <v>0.57999999999999996</v>
      </c>
      <c r="Y143" s="6">
        <v>0.22</v>
      </c>
      <c r="Z143" s="6">
        <v>0.76</v>
      </c>
      <c r="AA143" s="6">
        <f t="shared" ref="AA143:AA206" si="5">Y143*X143*Z143</f>
        <v>9.6975999999999993E-2</v>
      </c>
      <c r="AB143" s="8">
        <v>100</v>
      </c>
      <c r="AC143" s="15">
        <v>27897801311636</v>
      </c>
      <c r="AD143" s="4" t="s">
        <v>992</v>
      </c>
    </row>
    <row r="144" spans="2:30" x14ac:dyDescent="0.35">
      <c r="B144" s="14">
        <v>304</v>
      </c>
      <c r="C144" s="4" t="s">
        <v>150</v>
      </c>
      <c r="D144" s="4" t="s">
        <v>2376</v>
      </c>
      <c r="E144" s="4" t="s">
        <v>2911</v>
      </c>
      <c r="F144" s="4" t="s">
        <v>85</v>
      </c>
      <c r="G144" s="4" t="s">
        <v>993</v>
      </c>
      <c r="H144" s="6">
        <v>0.30109999999999998</v>
      </c>
      <c r="I144" s="8">
        <v>10</v>
      </c>
      <c r="J144" s="8">
        <v>70</v>
      </c>
      <c r="K144" s="8">
        <v>70</v>
      </c>
      <c r="L144" s="8">
        <f t="shared" si="4"/>
        <v>49000</v>
      </c>
      <c r="M144" s="15">
        <v>7897801311878</v>
      </c>
      <c r="N144" s="6" t="s">
        <v>20</v>
      </c>
      <c r="O144" s="6" t="s">
        <v>20</v>
      </c>
      <c r="P144" s="6" t="s">
        <v>20</v>
      </c>
      <c r="Q144" s="6">
        <v>0.24</v>
      </c>
      <c r="R144" s="6">
        <v>0.12</v>
      </c>
      <c r="S144" s="6">
        <v>0.33</v>
      </c>
      <c r="T144" s="8">
        <v>6</v>
      </c>
      <c r="U144" s="5" t="s">
        <v>994</v>
      </c>
      <c r="V144" s="89">
        <v>0</v>
      </c>
      <c r="W144" s="15">
        <v>17897801311875</v>
      </c>
      <c r="X144" s="6">
        <v>0.4</v>
      </c>
      <c r="Y144" s="6">
        <v>0.25</v>
      </c>
      <c r="Z144" s="6">
        <v>0.65</v>
      </c>
      <c r="AA144" s="6">
        <f t="shared" si="5"/>
        <v>6.5000000000000002E-2</v>
      </c>
      <c r="AB144" s="8">
        <v>54</v>
      </c>
      <c r="AC144" s="15">
        <v>27897801311872</v>
      </c>
      <c r="AD144" s="4" t="s">
        <v>992</v>
      </c>
    </row>
    <row r="145" spans="2:30" x14ac:dyDescent="0.35">
      <c r="B145" s="14">
        <v>305</v>
      </c>
      <c r="C145" s="4" t="s">
        <v>151</v>
      </c>
      <c r="D145" s="4" t="s">
        <v>2376</v>
      </c>
      <c r="E145" s="4" t="s">
        <v>2911</v>
      </c>
      <c r="F145" s="4" t="s">
        <v>85</v>
      </c>
      <c r="G145" s="4" t="s">
        <v>993</v>
      </c>
      <c r="H145" s="6">
        <v>4.8800000000000003E-2</v>
      </c>
      <c r="I145" s="8">
        <v>60</v>
      </c>
      <c r="J145" s="8">
        <v>40</v>
      </c>
      <c r="K145" s="8">
        <v>37</v>
      </c>
      <c r="L145" s="8">
        <f t="shared" si="4"/>
        <v>88800</v>
      </c>
      <c r="M145" s="15">
        <v>7897801311502</v>
      </c>
      <c r="N145" s="6" t="s">
        <v>20</v>
      </c>
      <c r="O145" s="6" t="s">
        <v>20</v>
      </c>
      <c r="P145" s="6" t="s">
        <v>20</v>
      </c>
      <c r="Q145" s="6">
        <v>0.19</v>
      </c>
      <c r="R145" s="6">
        <v>0.06</v>
      </c>
      <c r="S145" s="6">
        <v>0.3</v>
      </c>
      <c r="T145" s="8">
        <v>15</v>
      </c>
      <c r="U145" s="5" t="s">
        <v>994</v>
      </c>
      <c r="V145" s="89">
        <v>0</v>
      </c>
      <c r="W145" s="15">
        <v>17897801311509</v>
      </c>
      <c r="X145" s="6">
        <v>0.44</v>
      </c>
      <c r="Y145" s="6">
        <v>0.22</v>
      </c>
      <c r="Z145" s="6">
        <v>0.73</v>
      </c>
      <c r="AA145" s="6">
        <f t="shared" si="5"/>
        <v>7.0663999999999991E-2</v>
      </c>
      <c r="AB145" s="8">
        <v>420</v>
      </c>
      <c r="AC145" s="15">
        <v>27897801311506</v>
      </c>
      <c r="AD145" s="4" t="s">
        <v>992</v>
      </c>
    </row>
    <row r="146" spans="2:30" x14ac:dyDescent="0.35">
      <c r="B146" s="14">
        <v>306</v>
      </c>
      <c r="C146" s="4" t="s">
        <v>152</v>
      </c>
      <c r="D146" s="4" t="s">
        <v>2376</v>
      </c>
      <c r="E146" s="4" t="s">
        <v>2911</v>
      </c>
      <c r="F146" s="4" t="s">
        <v>85</v>
      </c>
      <c r="G146" s="4" t="s">
        <v>993</v>
      </c>
      <c r="H146" s="6">
        <v>8.1299999999999997E-2</v>
      </c>
      <c r="I146" s="8">
        <v>64</v>
      </c>
      <c r="J146" s="8">
        <v>71</v>
      </c>
      <c r="K146" s="8">
        <v>44</v>
      </c>
      <c r="L146" s="8">
        <f t="shared" si="4"/>
        <v>199936</v>
      </c>
      <c r="M146" s="15">
        <v>7897801311489</v>
      </c>
      <c r="N146" s="6" t="s">
        <v>20</v>
      </c>
      <c r="O146" s="6" t="s">
        <v>20</v>
      </c>
      <c r="P146" s="6" t="s">
        <v>20</v>
      </c>
      <c r="Q146" s="6">
        <v>0.23</v>
      </c>
      <c r="R146" s="6">
        <v>0.1</v>
      </c>
      <c r="S146" s="6">
        <v>0.38</v>
      </c>
      <c r="T146" s="8">
        <v>20</v>
      </c>
      <c r="U146" s="5" t="s">
        <v>994</v>
      </c>
      <c r="V146" s="89">
        <v>0</v>
      </c>
      <c r="W146" s="15">
        <v>17897801311486</v>
      </c>
      <c r="X146" s="6">
        <v>0.51</v>
      </c>
      <c r="Y146" s="6">
        <v>0.2</v>
      </c>
      <c r="Z146" s="6">
        <v>0.78</v>
      </c>
      <c r="AA146" s="6">
        <f t="shared" si="5"/>
        <v>7.9560000000000006E-2</v>
      </c>
      <c r="AB146" s="8">
        <v>240</v>
      </c>
      <c r="AC146" s="15">
        <v>27897801311483</v>
      </c>
      <c r="AD146" s="4" t="s">
        <v>992</v>
      </c>
    </row>
    <row r="147" spans="2:30" x14ac:dyDescent="0.35">
      <c r="B147" s="14">
        <v>307</v>
      </c>
      <c r="C147" s="4" t="s">
        <v>153</v>
      </c>
      <c r="D147" s="4" t="s">
        <v>2376</v>
      </c>
      <c r="E147" s="4" t="s">
        <v>2911</v>
      </c>
      <c r="F147" s="4" t="s">
        <v>85</v>
      </c>
      <c r="G147" s="4" t="s">
        <v>993</v>
      </c>
      <c r="H147" s="6">
        <v>0.1368</v>
      </c>
      <c r="I147" s="8">
        <v>61</v>
      </c>
      <c r="J147" s="8">
        <v>81</v>
      </c>
      <c r="K147" s="8">
        <v>75</v>
      </c>
      <c r="L147" s="8">
        <f t="shared" si="4"/>
        <v>370575</v>
      </c>
      <c r="M147" s="15">
        <v>7897801311885</v>
      </c>
      <c r="N147" s="6" t="s">
        <v>20</v>
      </c>
      <c r="O147" s="6" t="s">
        <v>20</v>
      </c>
      <c r="P147" s="6" t="s">
        <v>20</v>
      </c>
      <c r="Q147" s="6">
        <v>0.2</v>
      </c>
      <c r="R147" s="6">
        <v>0.08</v>
      </c>
      <c r="S147" s="6">
        <v>0.28999999999999998</v>
      </c>
      <c r="T147" s="8">
        <v>8</v>
      </c>
      <c r="U147" s="5" t="s">
        <v>994</v>
      </c>
      <c r="V147" s="89">
        <v>0</v>
      </c>
      <c r="W147" s="15">
        <v>17897801311882</v>
      </c>
      <c r="X147" s="6">
        <v>0.51</v>
      </c>
      <c r="Y147" s="6">
        <v>0.19</v>
      </c>
      <c r="Z147" s="6">
        <v>0.76</v>
      </c>
      <c r="AA147" s="6">
        <f t="shared" si="5"/>
        <v>7.3644000000000001E-2</v>
      </c>
      <c r="AB147" s="8">
        <v>120</v>
      </c>
      <c r="AC147" s="15">
        <v>27897801311889</v>
      </c>
      <c r="AD147" s="4" t="s">
        <v>992</v>
      </c>
    </row>
    <row r="148" spans="2:30" x14ac:dyDescent="0.35">
      <c r="B148" s="14">
        <v>308</v>
      </c>
      <c r="C148" s="4" t="s">
        <v>154</v>
      </c>
      <c r="D148" s="4" t="s">
        <v>2376</v>
      </c>
      <c r="E148" s="4" t="s">
        <v>2911</v>
      </c>
      <c r="F148" s="4" t="s">
        <v>85</v>
      </c>
      <c r="G148" s="4" t="s">
        <v>993</v>
      </c>
      <c r="H148" s="6">
        <v>3.1E-2</v>
      </c>
      <c r="I148" s="8">
        <v>43</v>
      </c>
      <c r="J148" s="8">
        <v>43</v>
      </c>
      <c r="K148" s="8">
        <v>41</v>
      </c>
      <c r="L148" s="8">
        <f t="shared" si="4"/>
        <v>75809</v>
      </c>
      <c r="M148" s="15">
        <v>7897801302869</v>
      </c>
      <c r="N148" s="6" t="s">
        <v>20</v>
      </c>
      <c r="O148" s="6" t="s">
        <v>20</v>
      </c>
      <c r="P148" s="6" t="s">
        <v>20</v>
      </c>
      <c r="Q148" s="6">
        <v>0.17</v>
      </c>
      <c r="R148" s="6">
        <v>0.04</v>
      </c>
      <c r="S148" s="6">
        <v>0.22</v>
      </c>
      <c r="T148" s="8">
        <v>20</v>
      </c>
      <c r="U148" s="5" t="s">
        <v>994</v>
      </c>
      <c r="V148" s="89">
        <v>0</v>
      </c>
      <c r="W148" s="15">
        <v>17897801302866</v>
      </c>
      <c r="X148" s="6">
        <v>0.45</v>
      </c>
      <c r="Y148" s="6">
        <v>0.21</v>
      </c>
      <c r="Z148" s="6">
        <v>0.67</v>
      </c>
      <c r="AA148" s="6">
        <f t="shared" si="5"/>
        <v>6.331500000000001E-2</v>
      </c>
      <c r="AB148" s="8">
        <v>700</v>
      </c>
      <c r="AC148" s="15">
        <v>47897801302867</v>
      </c>
      <c r="AD148" s="4" t="s">
        <v>992</v>
      </c>
    </row>
    <row r="149" spans="2:30" x14ac:dyDescent="0.35">
      <c r="B149" s="14">
        <v>309</v>
      </c>
      <c r="C149" s="4" t="s">
        <v>155</v>
      </c>
      <c r="D149" s="4" t="s">
        <v>2376</v>
      </c>
      <c r="E149" s="4" t="s">
        <v>2911</v>
      </c>
      <c r="F149" s="4" t="s">
        <v>85</v>
      </c>
      <c r="G149" s="4" t="s">
        <v>993</v>
      </c>
      <c r="H149" s="6">
        <v>0.05</v>
      </c>
      <c r="I149" s="8">
        <v>52</v>
      </c>
      <c r="J149" s="8">
        <v>52</v>
      </c>
      <c r="K149" s="8">
        <v>44.5</v>
      </c>
      <c r="L149" s="8">
        <f t="shared" si="4"/>
        <v>120328</v>
      </c>
      <c r="M149" s="15">
        <v>7897801302883</v>
      </c>
      <c r="N149" s="6" t="s">
        <v>20</v>
      </c>
      <c r="O149" s="6" t="s">
        <v>20</v>
      </c>
      <c r="P149" s="6" t="s">
        <v>20</v>
      </c>
      <c r="Q149" s="6">
        <v>0.185</v>
      </c>
      <c r="R149" s="6">
        <v>5.5E-2</v>
      </c>
      <c r="S149" s="6">
        <v>0.28999999999999998</v>
      </c>
      <c r="T149" s="8">
        <v>20</v>
      </c>
      <c r="U149" s="5" t="s">
        <v>994</v>
      </c>
      <c r="V149" s="89">
        <v>0</v>
      </c>
      <c r="W149" s="15">
        <v>17897801302880</v>
      </c>
      <c r="X149" s="6">
        <v>0.49</v>
      </c>
      <c r="Y149" s="6">
        <v>0.215</v>
      </c>
      <c r="Z149" s="6">
        <v>0.69499999999999995</v>
      </c>
      <c r="AA149" s="6">
        <f t="shared" si="5"/>
        <v>7.3218249999999999E-2</v>
      </c>
      <c r="AB149" s="8">
        <v>400</v>
      </c>
      <c r="AC149" s="15">
        <v>47897801302881</v>
      </c>
      <c r="AD149" s="4" t="s">
        <v>992</v>
      </c>
    </row>
    <row r="150" spans="2:30" x14ac:dyDescent="0.35">
      <c r="B150" s="14">
        <v>310</v>
      </c>
      <c r="C150" s="4" t="s">
        <v>156</v>
      </c>
      <c r="D150" s="4" t="s">
        <v>2376</v>
      </c>
      <c r="E150" s="4" t="s">
        <v>2911</v>
      </c>
      <c r="F150" s="4" t="s">
        <v>85</v>
      </c>
      <c r="G150" s="4" t="s">
        <v>993</v>
      </c>
      <c r="H150" s="6">
        <v>8.1100000000000005E-2</v>
      </c>
      <c r="I150" s="8">
        <v>62</v>
      </c>
      <c r="J150" s="8">
        <v>53</v>
      </c>
      <c r="K150" s="8">
        <v>62</v>
      </c>
      <c r="L150" s="8">
        <f t="shared" si="4"/>
        <v>203732</v>
      </c>
      <c r="M150" s="15">
        <v>7897801307420</v>
      </c>
      <c r="N150" s="6" t="s">
        <v>20</v>
      </c>
      <c r="O150" s="6" t="s">
        <v>20</v>
      </c>
      <c r="P150" s="6" t="s">
        <v>20</v>
      </c>
      <c r="Q150" s="6">
        <v>0.18</v>
      </c>
      <c r="R150" s="6">
        <v>6.5000000000000002E-2</v>
      </c>
      <c r="S150" s="6">
        <v>0.26</v>
      </c>
      <c r="T150" s="8">
        <v>10</v>
      </c>
      <c r="U150" s="5" t="s">
        <v>994</v>
      </c>
      <c r="V150" s="89">
        <v>0</v>
      </c>
      <c r="W150" s="15">
        <v>17897801307427</v>
      </c>
      <c r="X150" s="6">
        <v>0.48</v>
      </c>
      <c r="Y150" s="6">
        <v>0.19</v>
      </c>
      <c r="Z150" s="6">
        <v>0.7</v>
      </c>
      <c r="AA150" s="6">
        <f t="shared" si="5"/>
        <v>6.3839999999999994E-2</v>
      </c>
      <c r="AB150" s="8">
        <v>240</v>
      </c>
      <c r="AC150" s="15">
        <v>47897801307428</v>
      </c>
      <c r="AD150" s="4" t="s">
        <v>992</v>
      </c>
    </row>
    <row r="151" spans="2:30" x14ac:dyDescent="0.35">
      <c r="B151" s="14">
        <v>311</v>
      </c>
      <c r="C151" s="4" t="s">
        <v>157</v>
      </c>
      <c r="D151" s="4" t="s">
        <v>2376</v>
      </c>
      <c r="E151" s="4" t="s">
        <v>2911</v>
      </c>
      <c r="F151" s="4" t="s">
        <v>85</v>
      </c>
      <c r="G151" s="4" t="s">
        <v>993</v>
      </c>
      <c r="H151" s="6">
        <v>0.14199999999999999</v>
      </c>
      <c r="I151" s="8">
        <v>75</v>
      </c>
      <c r="J151" s="8">
        <v>63</v>
      </c>
      <c r="K151" s="8">
        <v>75</v>
      </c>
      <c r="L151" s="8">
        <f t="shared" si="4"/>
        <v>354375</v>
      </c>
      <c r="M151" s="15">
        <v>7897801307406</v>
      </c>
      <c r="N151" s="6" t="s">
        <v>20</v>
      </c>
      <c r="O151" s="6" t="s">
        <v>20</v>
      </c>
      <c r="P151" s="6" t="s">
        <v>20</v>
      </c>
      <c r="Q151" s="6">
        <v>0.2</v>
      </c>
      <c r="R151" s="6">
        <v>0.08</v>
      </c>
      <c r="S151" s="6">
        <v>0.3</v>
      </c>
      <c r="T151" s="8">
        <v>8</v>
      </c>
      <c r="U151" s="5" t="s">
        <v>994</v>
      </c>
      <c r="V151" s="89">
        <v>0</v>
      </c>
      <c r="W151" s="15">
        <v>17897801307403</v>
      </c>
      <c r="X151" s="6">
        <v>0.5</v>
      </c>
      <c r="Y151" s="6">
        <v>0.21</v>
      </c>
      <c r="Z151" s="6">
        <v>0.65</v>
      </c>
      <c r="AA151" s="6">
        <f t="shared" si="5"/>
        <v>6.8250000000000005E-2</v>
      </c>
      <c r="AB151" s="8">
        <v>120</v>
      </c>
      <c r="AC151" s="15">
        <v>47897801307404</v>
      </c>
      <c r="AD151" s="4" t="s">
        <v>992</v>
      </c>
    </row>
    <row r="152" spans="2:30" x14ac:dyDescent="0.35">
      <c r="B152" s="14">
        <v>312</v>
      </c>
      <c r="C152" s="4" t="s">
        <v>158</v>
      </c>
      <c r="D152" s="4" t="s">
        <v>2376</v>
      </c>
      <c r="E152" s="4" t="s">
        <v>2911</v>
      </c>
      <c r="F152" s="4" t="s">
        <v>85</v>
      </c>
      <c r="G152" s="4" t="s">
        <v>993</v>
      </c>
      <c r="H152" s="6">
        <v>0.26</v>
      </c>
      <c r="I152" s="8">
        <v>92</v>
      </c>
      <c r="J152" s="8">
        <v>92</v>
      </c>
      <c r="K152" s="8">
        <v>75.5</v>
      </c>
      <c r="L152" s="8">
        <f t="shared" si="4"/>
        <v>639032</v>
      </c>
      <c r="M152" s="15">
        <v>7897801302906</v>
      </c>
      <c r="N152" s="6" t="s">
        <v>20</v>
      </c>
      <c r="O152" s="6" t="s">
        <v>20</v>
      </c>
      <c r="P152" s="6" t="s">
        <v>20</v>
      </c>
      <c r="Q152" s="6">
        <v>0.26</v>
      </c>
      <c r="R152" s="6">
        <v>0.15</v>
      </c>
      <c r="S152" s="6">
        <v>0.35</v>
      </c>
      <c r="T152" s="8">
        <v>10</v>
      </c>
      <c r="U152" s="5" t="s">
        <v>994</v>
      </c>
      <c r="V152" s="89">
        <v>0</v>
      </c>
      <c r="W152" s="15">
        <v>17897801302903</v>
      </c>
      <c r="X152" s="6">
        <v>0.45</v>
      </c>
      <c r="Y152" s="6">
        <v>0.19</v>
      </c>
      <c r="Z152" s="6">
        <v>0.65</v>
      </c>
      <c r="AA152" s="6">
        <f t="shared" si="5"/>
        <v>5.5575000000000006E-2</v>
      </c>
      <c r="AB152" s="8">
        <v>80</v>
      </c>
      <c r="AC152" s="15">
        <v>47897801302904</v>
      </c>
      <c r="AD152" s="4" t="s">
        <v>992</v>
      </c>
    </row>
    <row r="153" spans="2:30" x14ac:dyDescent="0.35">
      <c r="B153" s="14">
        <v>313</v>
      </c>
      <c r="C153" s="4" t="s">
        <v>159</v>
      </c>
      <c r="D153" s="4" t="s">
        <v>2376</v>
      </c>
      <c r="E153" s="4" t="s">
        <v>2911</v>
      </c>
      <c r="F153" s="4" t="s">
        <v>85</v>
      </c>
      <c r="G153" s="4" t="s">
        <v>993</v>
      </c>
      <c r="H153" s="6">
        <v>0.35360000000000003</v>
      </c>
      <c r="I153" s="8">
        <v>103</v>
      </c>
      <c r="J153" s="8">
        <v>87</v>
      </c>
      <c r="K153" s="8">
        <v>103</v>
      </c>
      <c r="L153" s="8">
        <f t="shared" si="4"/>
        <v>922983</v>
      </c>
      <c r="M153" s="15">
        <v>7897801308434</v>
      </c>
      <c r="N153" s="6" t="s">
        <v>20</v>
      </c>
      <c r="O153" s="6" t="s">
        <v>20</v>
      </c>
      <c r="P153" s="6" t="s">
        <v>20</v>
      </c>
      <c r="Q153" s="6">
        <v>0.2</v>
      </c>
      <c r="R153" s="6">
        <v>0.12</v>
      </c>
      <c r="S153" s="6">
        <v>0.28999999999999998</v>
      </c>
      <c r="T153" s="8">
        <v>5</v>
      </c>
      <c r="U153" s="5" t="s">
        <v>994</v>
      </c>
      <c r="V153" s="89">
        <v>0</v>
      </c>
      <c r="W153" s="15">
        <v>17897801308431</v>
      </c>
      <c r="X153" s="6">
        <v>0.47</v>
      </c>
      <c r="Y153" s="6">
        <v>0.67</v>
      </c>
      <c r="Z153" s="6">
        <v>0.8</v>
      </c>
      <c r="AA153" s="6">
        <f t="shared" si="5"/>
        <v>0.25192000000000003</v>
      </c>
      <c r="AB153" s="8">
        <v>50</v>
      </c>
      <c r="AC153" s="15">
        <v>47897801308432</v>
      </c>
      <c r="AD153" s="4" t="s">
        <v>992</v>
      </c>
    </row>
    <row r="154" spans="2:30" x14ac:dyDescent="0.35">
      <c r="B154" s="14">
        <v>314</v>
      </c>
      <c r="C154" s="4" t="s">
        <v>160</v>
      </c>
      <c r="D154" s="4" t="s">
        <v>2376</v>
      </c>
      <c r="E154" s="4" t="s">
        <v>2911</v>
      </c>
      <c r="F154" s="4" t="s">
        <v>85</v>
      </c>
      <c r="G154" s="4" t="s">
        <v>993</v>
      </c>
      <c r="H154" s="6">
        <v>0.73440000000000005</v>
      </c>
      <c r="I154" s="8">
        <v>150</v>
      </c>
      <c r="J154" s="8">
        <v>120</v>
      </c>
      <c r="K154" s="8">
        <v>150</v>
      </c>
      <c r="L154" s="8">
        <f t="shared" si="4"/>
        <v>2700000</v>
      </c>
      <c r="M154" s="15">
        <v>7897801312301</v>
      </c>
      <c r="N154" s="6" t="s">
        <v>20</v>
      </c>
      <c r="O154" s="6" t="s">
        <v>20</v>
      </c>
      <c r="P154" s="6" t="s">
        <v>20</v>
      </c>
      <c r="Q154" s="6">
        <v>0.245</v>
      </c>
      <c r="R154" s="6">
        <v>0.14000000000000001</v>
      </c>
      <c r="S154" s="6">
        <v>0.26</v>
      </c>
      <c r="T154" s="8">
        <v>3</v>
      </c>
      <c r="U154" s="5" t="s">
        <v>994</v>
      </c>
      <c r="V154" s="89">
        <v>0</v>
      </c>
      <c r="W154" s="15">
        <v>17897801312308</v>
      </c>
      <c r="X154" s="6">
        <v>0.51</v>
      </c>
      <c r="Y154" s="6">
        <v>0.22</v>
      </c>
      <c r="Z154" s="6">
        <v>0.73</v>
      </c>
      <c r="AA154" s="6">
        <f t="shared" si="5"/>
        <v>8.1906000000000007E-2</v>
      </c>
      <c r="AB154" s="8">
        <v>30</v>
      </c>
      <c r="AC154" s="15">
        <v>27897801312305</v>
      </c>
      <c r="AD154" s="4" t="s">
        <v>992</v>
      </c>
    </row>
    <row r="155" spans="2:30" x14ac:dyDescent="0.35">
      <c r="B155" s="14">
        <v>315</v>
      </c>
      <c r="C155" s="4" t="s">
        <v>161</v>
      </c>
      <c r="D155" s="4" t="s">
        <v>2376</v>
      </c>
      <c r="E155" s="4" t="s">
        <v>2911</v>
      </c>
      <c r="F155" s="4" t="s">
        <v>85</v>
      </c>
      <c r="G155" s="4" t="s">
        <v>993</v>
      </c>
      <c r="H155" s="6">
        <v>0.85370000000000001</v>
      </c>
      <c r="I155" s="8">
        <v>180</v>
      </c>
      <c r="J155" s="8">
        <v>120</v>
      </c>
      <c r="K155" s="8">
        <v>180</v>
      </c>
      <c r="L155" s="8">
        <f t="shared" si="4"/>
        <v>3888000</v>
      </c>
      <c r="M155" s="15">
        <v>7897801312318</v>
      </c>
      <c r="N155" s="6" t="s">
        <v>20</v>
      </c>
      <c r="O155" s="6" t="s">
        <v>20</v>
      </c>
      <c r="P155" s="6" t="s">
        <v>20</v>
      </c>
      <c r="Q155" s="6">
        <v>0.11</v>
      </c>
      <c r="R155" s="6">
        <v>0.11</v>
      </c>
      <c r="S155" s="6">
        <v>0.16</v>
      </c>
      <c r="T155" s="8">
        <v>1</v>
      </c>
      <c r="U155" s="5" t="s">
        <v>994</v>
      </c>
      <c r="V155" s="89">
        <v>0</v>
      </c>
      <c r="W155" s="15">
        <v>17897801312315</v>
      </c>
      <c r="X155" s="6">
        <v>0.43</v>
      </c>
      <c r="Y155" s="6">
        <v>0.17</v>
      </c>
      <c r="Z155" s="6">
        <v>0.68</v>
      </c>
      <c r="AA155" s="6">
        <f t="shared" si="5"/>
        <v>4.9708000000000002E-2</v>
      </c>
      <c r="AB155" s="8">
        <v>20</v>
      </c>
      <c r="AC155" s="15">
        <v>27897801312312</v>
      </c>
      <c r="AD155" s="4" t="s">
        <v>992</v>
      </c>
    </row>
    <row r="156" spans="2:30" x14ac:dyDescent="0.35">
      <c r="B156" s="14">
        <v>316</v>
      </c>
      <c r="C156" s="4" t="s">
        <v>162</v>
      </c>
      <c r="D156" s="4" t="s">
        <v>2376</v>
      </c>
      <c r="E156" s="4" t="s">
        <v>2911</v>
      </c>
      <c r="F156" s="4" t="s">
        <v>85</v>
      </c>
      <c r="G156" s="4" t="s">
        <v>993</v>
      </c>
      <c r="H156" s="6">
        <v>1.4762999999999999</v>
      </c>
      <c r="I156" s="8">
        <v>140</v>
      </c>
      <c r="J156" s="8">
        <v>190</v>
      </c>
      <c r="K156" s="8">
        <v>190</v>
      </c>
      <c r="L156" s="8">
        <f t="shared" si="4"/>
        <v>5054000</v>
      </c>
      <c r="M156" s="15">
        <v>7897801312325</v>
      </c>
      <c r="N156" s="6" t="s">
        <v>20</v>
      </c>
      <c r="O156" s="6" t="s">
        <v>20</v>
      </c>
      <c r="P156" s="6" t="s">
        <v>20</v>
      </c>
      <c r="Q156" s="6">
        <v>0.19</v>
      </c>
      <c r="R156" s="6">
        <v>0.19</v>
      </c>
      <c r="S156" s="6">
        <v>0.14000000000000001</v>
      </c>
      <c r="T156" s="8">
        <v>1</v>
      </c>
      <c r="U156" s="5" t="s">
        <v>994</v>
      </c>
      <c r="V156" s="89">
        <v>0</v>
      </c>
      <c r="W156" s="15">
        <v>17897801312322</v>
      </c>
      <c r="X156" s="6">
        <v>0.49</v>
      </c>
      <c r="Y156" s="6">
        <v>0.18</v>
      </c>
      <c r="Z156" s="6">
        <v>0.74</v>
      </c>
      <c r="AA156" s="6">
        <f t="shared" si="5"/>
        <v>6.5268000000000007E-2</v>
      </c>
      <c r="AB156" s="8">
        <v>10</v>
      </c>
      <c r="AC156" s="15">
        <v>27897801312329</v>
      </c>
      <c r="AD156" s="4" t="s">
        <v>992</v>
      </c>
    </row>
    <row r="157" spans="2:30" x14ac:dyDescent="0.35">
      <c r="B157" s="14">
        <v>320</v>
      </c>
      <c r="C157" s="4" t="s">
        <v>163</v>
      </c>
      <c r="D157" s="4" t="s">
        <v>2408</v>
      </c>
      <c r="E157" s="4" t="s">
        <v>2911</v>
      </c>
      <c r="F157" s="4" t="s">
        <v>164</v>
      </c>
      <c r="G157" s="4" t="s">
        <v>995</v>
      </c>
      <c r="H157" s="6">
        <v>4.0000000000000001E-3</v>
      </c>
      <c r="I157" s="8">
        <v>12</v>
      </c>
      <c r="J157" s="8">
        <v>42</v>
      </c>
      <c r="K157" s="8">
        <v>42</v>
      </c>
      <c r="L157" s="8">
        <f t="shared" si="4"/>
        <v>21168</v>
      </c>
      <c r="M157" s="15">
        <v>7897801300063</v>
      </c>
      <c r="N157" s="6" t="s">
        <v>20</v>
      </c>
      <c r="O157" s="6" t="s">
        <v>20</v>
      </c>
      <c r="P157" s="6" t="s">
        <v>20</v>
      </c>
      <c r="Q157" s="6">
        <v>0.115</v>
      </c>
      <c r="R157" s="6">
        <v>0.16700000000000001</v>
      </c>
      <c r="S157" s="6">
        <v>0.19500000000000001</v>
      </c>
      <c r="T157" s="8">
        <v>60</v>
      </c>
      <c r="U157" s="5" t="s">
        <v>996</v>
      </c>
      <c r="V157" s="89">
        <v>0</v>
      </c>
      <c r="W157" s="15">
        <v>17897801300060</v>
      </c>
      <c r="X157" s="6">
        <v>0.22</v>
      </c>
      <c r="Y157" s="6">
        <v>0.36499999999999999</v>
      </c>
      <c r="Z157" s="6">
        <v>0.61</v>
      </c>
      <c r="AA157" s="6">
        <f t="shared" si="5"/>
        <v>4.8982999999999999E-2</v>
      </c>
      <c r="AB157" s="8">
        <v>600</v>
      </c>
      <c r="AC157" s="15">
        <v>27897801300067</v>
      </c>
      <c r="AD157" s="4" t="s">
        <v>992</v>
      </c>
    </row>
    <row r="158" spans="2:30" x14ac:dyDescent="0.35">
      <c r="B158" s="14">
        <v>321</v>
      </c>
      <c r="C158" s="4" t="s">
        <v>165</v>
      </c>
      <c r="D158" s="4" t="s">
        <v>2408</v>
      </c>
      <c r="E158" s="4" t="s">
        <v>2911</v>
      </c>
      <c r="F158" s="4" t="s">
        <v>164</v>
      </c>
      <c r="G158" s="4" t="s">
        <v>995</v>
      </c>
      <c r="H158" s="6">
        <v>8.9999999999999993E-3</v>
      </c>
      <c r="I158" s="8">
        <v>12</v>
      </c>
      <c r="J158" s="8">
        <v>50</v>
      </c>
      <c r="K158" s="8">
        <v>50</v>
      </c>
      <c r="L158" s="8">
        <f t="shared" si="4"/>
        <v>30000</v>
      </c>
      <c r="M158" s="15">
        <v>7897801300070</v>
      </c>
      <c r="N158" s="6" t="s">
        <v>20</v>
      </c>
      <c r="O158" s="6" t="s">
        <v>20</v>
      </c>
      <c r="P158" s="6" t="s">
        <v>20</v>
      </c>
      <c r="Q158" s="6">
        <v>0.16</v>
      </c>
      <c r="R158" s="6">
        <v>0.115</v>
      </c>
      <c r="S158" s="6">
        <v>0.24</v>
      </c>
      <c r="T158" s="8">
        <v>30</v>
      </c>
      <c r="U158" s="5" t="s">
        <v>996</v>
      </c>
      <c r="V158" s="89">
        <v>0</v>
      </c>
      <c r="W158" s="15">
        <v>17897801300077</v>
      </c>
      <c r="X158" s="6">
        <v>0.26</v>
      </c>
      <c r="Y158" s="6">
        <v>0.35</v>
      </c>
      <c r="Z158" s="6">
        <v>0.65500000000000003</v>
      </c>
      <c r="AA158" s="6">
        <f t="shared" si="5"/>
        <v>5.9604999999999998E-2</v>
      </c>
      <c r="AB158" s="8">
        <v>300</v>
      </c>
      <c r="AC158" s="15">
        <v>27897801300074</v>
      </c>
      <c r="AD158" s="4" t="s">
        <v>992</v>
      </c>
    </row>
    <row r="159" spans="2:30" x14ac:dyDescent="0.35">
      <c r="B159" s="14">
        <v>323</v>
      </c>
      <c r="C159" s="4" t="s">
        <v>166</v>
      </c>
      <c r="D159" s="4" t="s">
        <v>2408</v>
      </c>
      <c r="E159" s="4" t="s">
        <v>2911</v>
      </c>
      <c r="F159" s="4" t="s">
        <v>164</v>
      </c>
      <c r="G159" s="4" t="s">
        <v>995</v>
      </c>
      <c r="H159" s="6">
        <v>6.0000000000000001E-3</v>
      </c>
      <c r="I159" s="8">
        <v>18</v>
      </c>
      <c r="J159" s="8">
        <v>40</v>
      </c>
      <c r="K159" s="8">
        <v>40</v>
      </c>
      <c r="L159" s="8">
        <f t="shared" si="4"/>
        <v>28800</v>
      </c>
      <c r="M159" s="15">
        <v>7897801300094</v>
      </c>
      <c r="N159" s="6" t="s">
        <v>20</v>
      </c>
      <c r="O159" s="6" t="s">
        <v>20</v>
      </c>
      <c r="P159" s="6" t="s">
        <v>20</v>
      </c>
      <c r="Q159" s="6">
        <v>0.115</v>
      </c>
      <c r="R159" s="6">
        <v>0.16700000000000001</v>
      </c>
      <c r="S159" s="6">
        <v>0.19500000000000001</v>
      </c>
      <c r="T159" s="8">
        <v>60</v>
      </c>
      <c r="U159" s="5" t="s">
        <v>996</v>
      </c>
      <c r="V159" s="89">
        <v>0</v>
      </c>
      <c r="W159" s="15">
        <v>17897801300091</v>
      </c>
      <c r="X159" s="6">
        <v>0.21</v>
      </c>
      <c r="Y159" s="6">
        <v>0.35</v>
      </c>
      <c r="Z159" s="6">
        <v>0.625</v>
      </c>
      <c r="AA159" s="6">
        <f t="shared" si="5"/>
        <v>4.5937499999999999E-2</v>
      </c>
      <c r="AB159" s="8">
        <v>600</v>
      </c>
      <c r="AC159" s="15">
        <v>27897801300098</v>
      </c>
      <c r="AD159" s="4" t="s">
        <v>992</v>
      </c>
    </row>
    <row r="160" spans="2:30" x14ac:dyDescent="0.35">
      <c r="B160" s="14">
        <v>324</v>
      </c>
      <c r="C160" s="4" t="s">
        <v>167</v>
      </c>
      <c r="D160" s="4" t="s">
        <v>2408</v>
      </c>
      <c r="E160" s="4" t="s">
        <v>2911</v>
      </c>
      <c r="F160" s="4" t="s">
        <v>164</v>
      </c>
      <c r="G160" s="4" t="s">
        <v>995</v>
      </c>
      <c r="H160" s="6">
        <v>1.2999999999999999E-2</v>
      </c>
      <c r="I160" s="8">
        <v>18</v>
      </c>
      <c r="J160" s="8">
        <v>52</v>
      </c>
      <c r="K160" s="8">
        <v>52</v>
      </c>
      <c r="L160" s="8">
        <f t="shared" si="4"/>
        <v>48672</v>
      </c>
      <c r="M160" s="15">
        <v>7897801300100</v>
      </c>
      <c r="N160" s="6" t="s">
        <v>20</v>
      </c>
      <c r="O160" s="6" t="s">
        <v>20</v>
      </c>
      <c r="P160" s="6" t="s">
        <v>20</v>
      </c>
      <c r="Q160" s="6">
        <v>0.16</v>
      </c>
      <c r="R160" s="6">
        <v>0.115</v>
      </c>
      <c r="S160" s="6">
        <v>0.24</v>
      </c>
      <c r="T160" s="8">
        <v>30</v>
      </c>
      <c r="U160" s="5" t="s">
        <v>996</v>
      </c>
      <c r="V160" s="89">
        <v>0</v>
      </c>
      <c r="W160" s="15">
        <v>17897801300107</v>
      </c>
      <c r="X160" s="6">
        <v>0.26</v>
      </c>
      <c r="Y160" s="6">
        <v>0.35</v>
      </c>
      <c r="Z160" s="6">
        <v>0.65500000000000003</v>
      </c>
      <c r="AA160" s="6">
        <f t="shared" si="5"/>
        <v>5.9604999999999998E-2</v>
      </c>
      <c r="AB160" s="8">
        <v>300</v>
      </c>
      <c r="AC160" s="15">
        <v>27897801300104</v>
      </c>
      <c r="AD160" s="4" t="s">
        <v>992</v>
      </c>
    </row>
    <row r="161" spans="2:30" x14ac:dyDescent="0.35">
      <c r="B161" s="14">
        <v>325</v>
      </c>
      <c r="C161" s="4" t="s">
        <v>168</v>
      </c>
      <c r="D161" s="4" t="s">
        <v>2408</v>
      </c>
      <c r="E161" s="4" t="s">
        <v>2911</v>
      </c>
      <c r="F161" s="4" t="s">
        <v>164</v>
      </c>
      <c r="G161" s="4" t="s">
        <v>995</v>
      </c>
      <c r="H161" s="6">
        <v>2.5999999999999999E-2</v>
      </c>
      <c r="I161" s="8">
        <v>18</v>
      </c>
      <c r="J161" s="8">
        <v>68</v>
      </c>
      <c r="K161" s="8">
        <v>68</v>
      </c>
      <c r="L161" s="8">
        <f t="shared" si="4"/>
        <v>83232</v>
      </c>
      <c r="M161" s="15">
        <v>7897801300117</v>
      </c>
      <c r="N161" s="6" t="s">
        <v>20</v>
      </c>
      <c r="O161" s="6" t="s">
        <v>20</v>
      </c>
      <c r="P161" s="6" t="s">
        <v>20</v>
      </c>
      <c r="Q161" s="6">
        <v>0.16</v>
      </c>
      <c r="R161" s="6">
        <v>0.115</v>
      </c>
      <c r="S161" s="6">
        <v>0.24</v>
      </c>
      <c r="T161" s="8">
        <v>30</v>
      </c>
      <c r="U161" s="5" t="s">
        <v>996</v>
      </c>
      <c r="V161" s="89">
        <v>0</v>
      </c>
      <c r="W161" s="15">
        <v>17897801300114</v>
      </c>
      <c r="X161" s="6">
        <v>0.25</v>
      </c>
      <c r="Y161" s="6">
        <v>0.35</v>
      </c>
      <c r="Z161" s="6">
        <v>0.65</v>
      </c>
      <c r="AA161" s="6">
        <f t="shared" si="5"/>
        <v>5.6874999999999995E-2</v>
      </c>
      <c r="AB161" s="8">
        <v>300</v>
      </c>
      <c r="AC161" s="15">
        <v>27897801300111</v>
      </c>
      <c r="AD161" s="4" t="s">
        <v>992</v>
      </c>
    </row>
    <row r="162" spans="2:30" x14ac:dyDescent="0.35">
      <c r="B162" s="14">
        <v>326</v>
      </c>
      <c r="C162" s="4" t="s">
        <v>169</v>
      </c>
      <c r="D162" s="4" t="s">
        <v>2376</v>
      </c>
      <c r="E162" s="4" t="s">
        <v>2911</v>
      </c>
      <c r="F162" s="4" t="s">
        <v>85</v>
      </c>
      <c r="G162" s="4" t="s">
        <v>993</v>
      </c>
      <c r="H162" s="6">
        <v>3.8399999999999997E-2</v>
      </c>
      <c r="I162" s="8">
        <v>59</v>
      </c>
      <c r="J162" s="8">
        <v>45</v>
      </c>
      <c r="K162" s="8">
        <v>45</v>
      </c>
      <c r="L162" s="8">
        <f t="shared" si="4"/>
        <v>119475</v>
      </c>
      <c r="M162" s="15">
        <v>7897801312615</v>
      </c>
      <c r="N162" s="6" t="s">
        <v>20</v>
      </c>
      <c r="O162" s="6" t="s">
        <v>20</v>
      </c>
      <c r="P162" s="6" t="s">
        <v>20</v>
      </c>
      <c r="Q162" s="6">
        <v>0.16</v>
      </c>
      <c r="R162" s="6">
        <v>0.06</v>
      </c>
      <c r="S162" s="6">
        <v>0.17</v>
      </c>
      <c r="T162" s="8">
        <v>6</v>
      </c>
      <c r="U162" s="5" t="s">
        <v>994</v>
      </c>
      <c r="V162" s="89">
        <v>0</v>
      </c>
      <c r="W162" s="15">
        <v>17897801312612</v>
      </c>
      <c r="X162" s="6">
        <v>0.62</v>
      </c>
      <c r="Y162" s="6">
        <v>0.21</v>
      </c>
      <c r="Z162" s="6">
        <v>0.83499999999999996</v>
      </c>
      <c r="AA162" s="6">
        <f t="shared" si="5"/>
        <v>0.10871699999999998</v>
      </c>
      <c r="AB162" s="8">
        <v>480</v>
      </c>
      <c r="AC162" s="15">
        <v>27897801312619</v>
      </c>
      <c r="AD162" s="4" t="s">
        <v>992</v>
      </c>
    </row>
    <row r="163" spans="2:30" x14ac:dyDescent="0.35">
      <c r="B163" s="14">
        <v>327</v>
      </c>
      <c r="C163" s="4" t="s">
        <v>170</v>
      </c>
      <c r="D163" s="4" t="s">
        <v>2376</v>
      </c>
      <c r="E163" s="4" t="s">
        <v>2911</v>
      </c>
      <c r="F163" s="4" t="s">
        <v>85</v>
      </c>
      <c r="G163" s="4" t="s">
        <v>993</v>
      </c>
      <c r="H163" s="6">
        <v>0.1235</v>
      </c>
      <c r="I163" s="8">
        <v>80</v>
      </c>
      <c r="J163" s="8">
        <v>60</v>
      </c>
      <c r="K163" s="8">
        <v>60</v>
      </c>
      <c r="L163" s="8">
        <f t="shared" si="4"/>
        <v>288000</v>
      </c>
      <c r="M163" s="15">
        <v>7897801312752</v>
      </c>
      <c r="N163" s="6" t="s">
        <v>20</v>
      </c>
      <c r="O163" s="6" t="s">
        <v>20</v>
      </c>
      <c r="P163" s="6" t="s">
        <v>20</v>
      </c>
      <c r="Q163" s="6">
        <v>0.16</v>
      </c>
      <c r="R163" s="6">
        <v>7.0000000000000007E-2</v>
      </c>
      <c r="S163" s="6">
        <v>0.26</v>
      </c>
      <c r="T163" s="8">
        <v>6</v>
      </c>
      <c r="U163" s="5" t="s">
        <v>994</v>
      </c>
      <c r="V163" s="89">
        <v>0</v>
      </c>
      <c r="W163" s="15">
        <v>17897801312759</v>
      </c>
      <c r="X163" s="6">
        <v>0.5</v>
      </c>
      <c r="Y163" s="6">
        <v>0.2</v>
      </c>
      <c r="Z163" s="6">
        <v>0.78</v>
      </c>
      <c r="AA163" s="6">
        <f t="shared" si="5"/>
        <v>7.8000000000000014E-2</v>
      </c>
      <c r="AB163" s="8">
        <v>120</v>
      </c>
      <c r="AC163" s="15">
        <v>27897801312756</v>
      </c>
      <c r="AD163" s="4" t="s">
        <v>992</v>
      </c>
    </row>
    <row r="164" spans="2:30" x14ac:dyDescent="0.35">
      <c r="B164" s="14">
        <v>328</v>
      </c>
      <c r="C164" s="4" t="s">
        <v>171</v>
      </c>
      <c r="D164" s="4" t="s">
        <v>2376</v>
      </c>
      <c r="E164" s="4" t="s">
        <v>2911</v>
      </c>
      <c r="F164" s="4" t="s">
        <v>85</v>
      </c>
      <c r="G164" s="4" t="s">
        <v>993</v>
      </c>
      <c r="H164" s="6">
        <v>6.2E-2</v>
      </c>
      <c r="I164" s="8">
        <v>80</v>
      </c>
      <c r="J164" s="8">
        <v>60</v>
      </c>
      <c r="K164" s="8">
        <v>60</v>
      </c>
      <c r="L164" s="8">
        <f t="shared" si="4"/>
        <v>288000</v>
      </c>
      <c r="M164" s="15">
        <v>7897801312622</v>
      </c>
      <c r="N164" s="6" t="s">
        <v>20</v>
      </c>
      <c r="O164" s="6" t="s">
        <v>20</v>
      </c>
      <c r="P164" s="6" t="s">
        <v>20</v>
      </c>
      <c r="Q164" s="6">
        <v>0.16</v>
      </c>
      <c r="R164" s="6">
        <v>0.06</v>
      </c>
      <c r="S164" s="6">
        <v>0.23</v>
      </c>
      <c r="T164" s="8">
        <v>6</v>
      </c>
      <c r="U164" s="5" t="s">
        <v>994</v>
      </c>
      <c r="V164" s="89">
        <v>0</v>
      </c>
      <c r="W164" s="15">
        <v>17897801312629</v>
      </c>
      <c r="X164" s="6">
        <v>0.6</v>
      </c>
      <c r="Y164" s="6">
        <v>0.23499999999999999</v>
      </c>
      <c r="Z164" s="6">
        <v>0.86</v>
      </c>
      <c r="AA164" s="6">
        <f t="shared" si="5"/>
        <v>0.12125999999999999</v>
      </c>
      <c r="AB164" s="8">
        <v>300</v>
      </c>
      <c r="AC164" s="15">
        <v>27897801312626</v>
      </c>
      <c r="AD164" s="4" t="s">
        <v>992</v>
      </c>
    </row>
    <row r="165" spans="2:30" x14ac:dyDescent="0.35">
      <c r="B165" s="14">
        <v>329</v>
      </c>
      <c r="C165" s="4" t="s">
        <v>172</v>
      </c>
      <c r="D165" s="4" t="s">
        <v>2376</v>
      </c>
      <c r="E165" s="4" t="s">
        <v>2911</v>
      </c>
      <c r="F165" s="4" t="s">
        <v>85</v>
      </c>
      <c r="G165" s="4" t="s">
        <v>993</v>
      </c>
      <c r="H165" s="6">
        <v>0.13900000000000001</v>
      </c>
      <c r="I165" s="8">
        <v>90</v>
      </c>
      <c r="J165" s="8">
        <v>80</v>
      </c>
      <c r="K165" s="8">
        <v>80</v>
      </c>
      <c r="L165" s="8">
        <f t="shared" si="4"/>
        <v>576000</v>
      </c>
      <c r="M165" s="15">
        <v>7897801312769</v>
      </c>
      <c r="N165" s="6" t="s">
        <v>20</v>
      </c>
      <c r="O165" s="6" t="s">
        <v>20</v>
      </c>
      <c r="P165" s="6" t="s">
        <v>20</v>
      </c>
      <c r="Q165" s="6">
        <v>0.18</v>
      </c>
      <c r="R165" s="6">
        <v>9.5000000000000001E-2</v>
      </c>
      <c r="S165" s="6">
        <v>0.3</v>
      </c>
      <c r="T165" s="8">
        <v>6</v>
      </c>
      <c r="U165" s="5" t="s">
        <v>994</v>
      </c>
      <c r="V165" s="89">
        <v>0</v>
      </c>
      <c r="W165" s="15">
        <v>17897801312766</v>
      </c>
      <c r="X165" s="6">
        <v>0.62</v>
      </c>
      <c r="Y165" s="6">
        <v>0.24</v>
      </c>
      <c r="Z165" s="6">
        <v>0.78</v>
      </c>
      <c r="AA165" s="6">
        <f t="shared" si="5"/>
        <v>0.116064</v>
      </c>
      <c r="AB165" s="8">
        <v>108</v>
      </c>
      <c r="AC165" s="15">
        <v>27897801312763</v>
      </c>
      <c r="AD165" s="4" t="s">
        <v>992</v>
      </c>
    </row>
    <row r="166" spans="2:30" x14ac:dyDescent="0.35">
      <c r="B166" s="14">
        <v>330</v>
      </c>
      <c r="C166" s="4" t="s">
        <v>173</v>
      </c>
      <c r="D166" s="4" t="s">
        <v>2371</v>
      </c>
      <c r="E166" s="4" t="s">
        <v>2911</v>
      </c>
      <c r="F166" s="4" t="s">
        <v>85</v>
      </c>
      <c r="G166" s="4" t="s">
        <v>993</v>
      </c>
      <c r="H166" s="6">
        <v>1.0200000000000001E-2</v>
      </c>
      <c r="I166" s="8">
        <v>28</v>
      </c>
      <c r="J166" s="8">
        <v>28</v>
      </c>
      <c r="K166" s="8">
        <v>36</v>
      </c>
      <c r="L166" s="8">
        <f t="shared" si="4"/>
        <v>28224</v>
      </c>
      <c r="M166" s="15">
        <v>7897801300520</v>
      </c>
      <c r="N166" s="6" t="s">
        <v>20</v>
      </c>
      <c r="O166" s="6" t="s">
        <v>20</v>
      </c>
      <c r="P166" s="6" t="s">
        <v>20</v>
      </c>
      <c r="Q166" s="6">
        <v>0.15</v>
      </c>
      <c r="R166" s="6">
        <v>0.05</v>
      </c>
      <c r="S166" s="6">
        <v>0.19</v>
      </c>
      <c r="T166" s="8">
        <v>50</v>
      </c>
      <c r="U166" s="5" t="s">
        <v>994</v>
      </c>
      <c r="V166" s="89">
        <v>0</v>
      </c>
      <c r="W166" s="15">
        <v>17897801300527</v>
      </c>
      <c r="X166" s="6">
        <v>0.45</v>
      </c>
      <c r="Y166" s="6">
        <v>0.2</v>
      </c>
      <c r="Z166" s="6">
        <v>0.7</v>
      </c>
      <c r="AA166" s="6">
        <f t="shared" si="5"/>
        <v>6.3E-2</v>
      </c>
      <c r="AB166" s="8">
        <v>2000</v>
      </c>
      <c r="AC166" s="15">
        <v>47897801300528</v>
      </c>
      <c r="AD166" s="4" t="s">
        <v>992</v>
      </c>
    </row>
    <row r="167" spans="2:30" x14ac:dyDescent="0.35">
      <c r="B167" s="14">
        <v>331</v>
      </c>
      <c r="C167" s="4" t="s">
        <v>174</v>
      </c>
      <c r="D167" s="4" t="s">
        <v>2371</v>
      </c>
      <c r="E167" s="4" t="s">
        <v>2911</v>
      </c>
      <c r="F167" s="4" t="s">
        <v>85</v>
      </c>
      <c r="G167" s="4" t="s">
        <v>993</v>
      </c>
      <c r="H167" s="6">
        <v>1.4E-2</v>
      </c>
      <c r="I167" s="8">
        <v>33.799999999999997</v>
      </c>
      <c r="J167" s="8">
        <v>33.799999999999997</v>
      </c>
      <c r="K167" s="8">
        <v>40</v>
      </c>
      <c r="L167" s="8">
        <f t="shared" si="4"/>
        <v>45697.599999999991</v>
      </c>
      <c r="M167" s="15">
        <v>7897801300490</v>
      </c>
      <c r="N167" s="6" t="s">
        <v>20</v>
      </c>
      <c r="O167" s="6" t="s">
        <v>20</v>
      </c>
      <c r="P167" s="6" t="s">
        <v>20</v>
      </c>
      <c r="Q167" s="6">
        <v>0.24</v>
      </c>
      <c r="R167" s="6">
        <v>5.5E-2</v>
      </c>
      <c r="S167" s="6">
        <v>0.25</v>
      </c>
      <c r="T167" s="8">
        <v>50</v>
      </c>
      <c r="U167" s="5" t="s">
        <v>994</v>
      </c>
      <c r="V167" s="89">
        <v>0</v>
      </c>
      <c r="W167" s="15">
        <v>17897801300497</v>
      </c>
      <c r="X167" s="6">
        <v>0.54</v>
      </c>
      <c r="Y167" s="6">
        <v>0.17499999999999999</v>
      </c>
      <c r="Z167" s="6">
        <v>0.79</v>
      </c>
      <c r="AA167" s="6">
        <f t="shared" si="5"/>
        <v>7.4654999999999999E-2</v>
      </c>
      <c r="AB167" s="8">
        <v>1200</v>
      </c>
      <c r="AC167" s="15">
        <v>47897801300498</v>
      </c>
      <c r="AD167" s="4" t="s">
        <v>992</v>
      </c>
    </row>
    <row r="168" spans="2:30" x14ac:dyDescent="0.35">
      <c r="B168" s="14">
        <v>332</v>
      </c>
      <c r="C168" s="4" t="s">
        <v>175</v>
      </c>
      <c r="D168" s="4" t="s">
        <v>2371</v>
      </c>
      <c r="E168" s="4" t="s">
        <v>2911</v>
      </c>
      <c r="F168" s="4" t="s">
        <v>85</v>
      </c>
      <c r="G168" s="4" t="s">
        <v>993</v>
      </c>
      <c r="H168" s="6">
        <v>2.5700000000000001E-2</v>
      </c>
      <c r="I168" s="8">
        <v>42</v>
      </c>
      <c r="J168" s="8">
        <v>42</v>
      </c>
      <c r="K168" s="8">
        <v>47</v>
      </c>
      <c r="L168" s="8">
        <f t="shared" si="4"/>
        <v>82908</v>
      </c>
      <c r="M168" s="15">
        <v>7897801302333</v>
      </c>
      <c r="N168" s="6" t="s">
        <v>20</v>
      </c>
      <c r="O168" s="6" t="s">
        <v>20</v>
      </c>
      <c r="P168" s="6" t="s">
        <v>20</v>
      </c>
      <c r="Q168" s="6">
        <v>0.18</v>
      </c>
      <c r="R168" s="6">
        <v>0.09</v>
      </c>
      <c r="S168" s="6">
        <v>0.26</v>
      </c>
      <c r="T168" s="8">
        <v>25</v>
      </c>
      <c r="U168" s="5" t="s">
        <v>994</v>
      </c>
      <c r="V168" s="89">
        <v>0</v>
      </c>
      <c r="W168" s="15">
        <v>17897801302330</v>
      </c>
      <c r="X168" s="6">
        <v>0.55000000000000004</v>
      </c>
      <c r="Y168" s="6">
        <v>0.19</v>
      </c>
      <c r="Z168" s="6">
        <v>0.7</v>
      </c>
      <c r="AA168" s="6">
        <f t="shared" si="5"/>
        <v>7.3150000000000007E-2</v>
      </c>
      <c r="AB168" s="8">
        <v>800</v>
      </c>
      <c r="AC168" s="15">
        <v>47897801302331</v>
      </c>
      <c r="AD168" s="4" t="s">
        <v>992</v>
      </c>
    </row>
    <row r="169" spans="2:30" x14ac:dyDescent="0.35">
      <c r="B169" s="14">
        <v>333</v>
      </c>
      <c r="C169" s="4" t="s">
        <v>176</v>
      </c>
      <c r="D169" s="4" t="s">
        <v>2371</v>
      </c>
      <c r="E169" s="4" t="s">
        <v>2911</v>
      </c>
      <c r="F169" s="4" t="s">
        <v>85</v>
      </c>
      <c r="G169" s="4" t="s">
        <v>993</v>
      </c>
      <c r="H169" s="6">
        <v>4.2500000000000003E-2</v>
      </c>
      <c r="I169" s="8">
        <v>51.6</v>
      </c>
      <c r="J169" s="8">
        <v>51.6</v>
      </c>
      <c r="K169" s="8">
        <v>53.8</v>
      </c>
      <c r="L169" s="8">
        <f t="shared" si="4"/>
        <v>143245.728</v>
      </c>
      <c r="M169" s="15">
        <v>7897801302562</v>
      </c>
      <c r="N169" s="6" t="s">
        <v>20</v>
      </c>
      <c r="O169" s="6" t="s">
        <v>20</v>
      </c>
      <c r="P169" s="6" t="s">
        <v>20</v>
      </c>
      <c r="Q169" s="6">
        <v>0.15</v>
      </c>
      <c r="R169" s="6">
        <v>5.5E-2</v>
      </c>
      <c r="S169" s="6">
        <v>0.2</v>
      </c>
      <c r="T169" s="8">
        <v>10</v>
      </c>
      <c r="U169" s="5" t="s">
        <v>994</v>
      </c>
      <c r="V169" s="89">
        <v>0</v>
      </c>
      <c r="W169" s="15">
        <v>17897801302569</v>
      </c>
      <c r="X169" s="6">
        <v>0.6</v>
      </c>
      <c r="Y169" s="6">
        <v>0.23</v>
      </c>
      <c r="Z169" s="6">
        <v>0.79</v>
      </c>
      <c r="AA169" s="6">
        <f t="shared" si="5"/>
        <v>0.10902000000000002</v>
      </c>
      <c r="AB169" s="8">
        <v>500</v>
      </c>
      <c r="AC169" s="15">
        <v>27897801302566</v>
      </c>
      <c r="AD169" s="4" t="s">
        <v>992</v>
      </c>
    </row>
    <row r="170" spans="2:30" x14ac:dyDescent="0.35">
      <c r="B170" s="14">
        <v>336</v>
      </c>
      <c r="C170" s="4" t="s">
        <v>177</v>
      </c>
      <c r="D170" s="4" t="s">
        <v>2371</v>
      </c>
      <c r="E170" s="4" t="s">
        <v>2911</v>
      </c>
      <c r="F170" s="4" t="s">
        <v>85</v>
      </c>
      <c r="G170" s="4" t="s">
        <v>993</v>
      </c>
      <c r="H170" s="6">
        <v>6.6199999999999995E-2</v>
      </c>
      <c r="I170" s="8">
        <v>63</v>
      </c>
      <c r="J170" s="8">
        <v>63</v>
      </c>
      <c r="K170" s="8">
        <v>63.2</v>
      </c>
      <c r="L170" s="8">
        <f t="shared" si="4"/>
        <v>250840.80000000002</v>
      </c>
      <c r="M170" s="15">
        <v>7897801300667</v>
      </c>
      <c r="N170" s="6" t="s">
        <v>20</v>
      </c>
      <c r="O170" s="6" t="s">
        <v>20</v>
      </c>
      <c r="P170" s="6" t="s">
        <v>20</v>
      </c>
      <c r="Q170" s="6">
        <v>0.26</v>
      </c>
      <c r="R170" s="6">
        <v>6.5000000000000002E-2</v>
      </c>
      <c r="S170" s="6">
        <v>0.36</v>
      </c>
      <c r="T170" s="8">
        <v>25</v>
      </c>
      <c r="U170" s="5" t="s">
        <v>994</v>
      </c>
      <c r="V170" s="89">
        <v>0</v>
      </c>
      <c r="W170" s="15">
        <v>17897801300664</v>
      </c>
      <c r="X170" s="6">
        <v>0.55000000000000004</v>
      </c>
      <c r="Y170" s="6">
        <v>0.21</v>
      </c>
      <c r="Z170" s="6">
        <v>0.75</v>
      </c>
      <c r="AA170" s="6">
        <f t="shared" si="5"/>
        <v>8.6625000000000008E-2</v>
      </c>
      <c r="AB170" s="8">
        <v>350</v>
      </c>
      <c r="AC170" s="15">
        <v>27897801300661</v>
      </c>
      <c r="AD170" s="4" t="s">
        <v>992</v>
      </c>
    </row>
    <row r="171" spans="2:30" x14ac:dyDescent="0.35">
      <c r="B171" s="14">
        <v>337</v>
      </c>
      <c r="C171" s="4" t="s">
        <v>178</v>
      </c>
      <c r="D171" s="4" t="s">
        <v>2371</v>
      </c>
      <c r="E171" s="4" t="s">
        <v>2911</v>
      </c>
      <c r="F171" s="4" t="s">
        <v>85</v>
      </c>
      <c r="G171" s="4" t="s">
        <v>993</v>
      </c>
      <c r="H171" s="6">
        <v>9.0800000000000006E-2</v>
      </c>
      <c r="I171" s="8">
        <v>74</v>
      </c>
      <c r="J171" s="8">
        <v>74</v>
      </c>
      <c r="K171" s="8">
        <v>68.7</v>
      </c>
      <c r="L171" s="8">
        <f t="shared" si="4"/>
        <v>376201.2</v>
      </c>
      <c r="M171" s="15">
        <v>7897801302944</v>
      </c>
      <c r="N171" s="6" t="s">
        <v>20</v>
      </c>
      <c r="O171" s="6" t="s">
        <v>20</v>
      </c>
      <c r="P171" s="6" t="s">
        <v>20</v>
      </c>
      <c r="Q171" s="6">
        <v>0.2</v>
      </c>
      <c r="R171" s="6">
        <v>7.4999999999999997E-2</v>
      </c>
      <c r="S171" s="6">
        <v>0.32</v>
      </c>
      <c r="T171" s="8">
        <v>10</v>
      </c>
      <c r="U171" s="5" t="s">
        <v>994</v>
      </c>
      <c r="V171" s="89">
        <v>0</v>
      </c>
      <c r="W171" s="15">
        <v>17897801302941</v>
      </c>
      <c r="X171" s="6">
        <v>0.54</v>
      </c>
      <c r="Y171" s="6">
        <v>0.23</v>
      </c>
      <c r="Z171" s="6">
        <v>0.74</v>
      </c>
      <c r="AA171" s="6">
        <f t="shared" si="5"/>
        <v>9.1908000000000017E-2</v>
      </c>
      <c r="AB171" s="8">
        <v>200</v>
      </c>
      <c r="AC171" s="15">
        <v>27897801302948</v>
      </c>
      <c r="AD171" s="4" t="s">
        <v>992</v>
      </c>
    </row>
    <row r="172" spans="2:30" x14ac:dyDescent="0.35">
      <c r="B172" s="14">
        <v>338</v>
      </c>
      <c r="C172" s="4" t="s">
        <v>179</v>
      </c>
      <c r="D172" s="4" t="s">
        <v>2371</v>
      </c>
      <c r="E172" s="4" t="s">
        <v>2911</v>
      </c>
      <c r="F172" s="4" t="s">
        <v>85</v>
      </c>
      <c r="G172" s="4" t="s">
        <v>993</v>
      </c>
      <c r="H172" s="6">
        <v>0.18049999999999999</v>
      </c>
      <c r="I172" s="8">
        <v>85</v>
      </c>
      <c r="J172" s="8">
        <v>92</v>
      </c>
      <c r="K172" s="8">
        <v>92</v>
      </c>
      <c r="L172" s="8">
        <f t="shared" si="4"/>
        <v>719440</v>
      </c>
      <c r="M172" s="15">
        <v>7897801308946</v>
      </c>
      <c r="N172" s="6" t="s">
        <v>20</v>
      </c>
      <c r="O172" s="6" t="s">
        <v>20</v>
      </c>
      <c r="P172" s="6" t="s">
        <v>20</v>
      </c>
      <c r="Q172" s="6">
        <v>0.18</v>
      </c>
      <c r="R172" s="6">
        <v>0.09</v>
      </c>
      <c r="S172" s="6">
        <v>0.22</v>
      </c>
      <c r="T172" s="8">
        <v>5</v>
      </c>
      <c r="U172" s="5" t="s">
        <v>994</v>
      </c>
      <c r="V172" s="89">
        <v>0</v>
      </c>
      <c r="W172" s="15">
        <v>17897801308943</v>
      </c>
      <c r="X172" s="6">
        <v>0.45</v>
      </c>
      <c r="Y172" s="6">
        <v>0.18</v>
      </c>
      <c r="Z172" s="6">
        <v>0.71</v>
      </c>
      <c r="AA172" s="6">
        <f t="shared" si="5"/>
        <v>5.7509999999999999E-2</v>
      </c>
      <c r="AB172" s="8">
        <v>75</v>
      </c>
      <c r="AC172" s="15">
        <v>27897801308940</v>
      </c>
      <c r="AD172" s="4" t="s">
        <v>992</v>
      </c>
    </row>
    <row r="173" spans="2:30" x14ac:dyDescent="0.35">
      <c r="B173" s="14">
        <v>339</v>
      </c>
      <c r="C173" s="4" t="s">
        <v>180</v>
      </c>
      <c r="D173" s="4" t="s">
        <v>2371</v>
      </c>
      <c r="E173" s="4" t="s">
        <v>2911</v>
      </c>
      <c r="F173" s="4" t="s">
        <v>85</v>
      </c>
      <c r="G173" s="4" t="s">
        <v>993</v>
      </c>
      <c r="H173" s="6">
        <v>0.23069999999999999</v>
      </c>
      <c r="I173" s="8">
        <v>95</v>
      </c>
      <c r="J173" s="8">
        <v>103</v>
      </c>
      <c r="K173" s="8">
        <v>103</v>
      </c>
      <c r="L173" s="8">
        <f t="shared" si="4"/>
        <v>1007855</v>
      </c>
      <c r="M173" s="15">
        <v>7897801308915</v>
      </c>
      <c r="N173" s="6" t="s">
        <v>20</v>
      </c>
      <c r="O173" s="6" t="s">
        <v>20</v>
      </c>
      <c r="P173" s="6" t="s">
        <v>20</v>
      </c>
      <c r="Q173" s="6">
        <v>0.2</v>
      </c>
      <c r="R173" s="6">
        <v>0.11</v>
      </c>
      <c r="S173" s="6">
        <v>0.22</v>
      </c>
      <c r="T173" s="8">
        <v>3</v>
      </c>
      <c r="U173" s="5" t="s">
        <v>994</v>
      </c>
      <c r="V173" s="89">
        <v>0</v>
      </c>
      <c r="W173" s="15">
        <v>17897801308912</v>
      </c>
      <c r="X173" s="6">
        <v>0.46</v>
      </c>
      <c r="Y173" s="6">
        <v>0.22</v>
      </c>
      <c r="Z173" s="6">
        <v>0.68</v>
      </c>
      <c r="AA173" s="6">
        <f t="shared" si="5"/>
        <v>6.8816000000000002E-2</v>
      </c>
      <c r="AB173" s="8">
        <v>45</v>
      </c>
      <c r="AC173" s="15">
        <v>27897801308919</v>
      </c>
      <c r="AD173" s="4" t="s">
        <v>992</v>
      </c>
    </row>
    <row r="174" spans="2:30" x14ac:dyDescent="0.35">
      <c r="B174" s="14">
        <v>340</v>
      </c>
      <c r="C174" s="4" t="s">
        <v>181</v>
      </c>
      <c r="D174" s="4" t="s">
        <v>2371</v>
      </c>
      <c r="E174" s="4" t="s">
        <v>2911</v>
      </c>
      <c r="F174" s="4" t="s">
        <v>85</v>
      </c>
      <c r="G174" s="4" t="s">
        <v>993</v>
      </c>
      <c r="H174" s="6">
        <v>0.38600000000000001</v>
      </c>
      <c r="I174" s="8">
        <v>130</v>
      </c>
      <c r="J174" s="8">
        <v>120</v>
      </c>
      <c r="K174" s="8">
        <v>130</v>
      </c>
      <c r="L174" s="8">
        <f t="shared" si="4"/>
        <v>2028000</v>
      </c>
      <c r="M174" s="15">
        <v>7897801309288</v>
      </c>
      <c r="N174" s="6" t="s">
        <v>20</v>
      </c>
      <c r="O174" s="6" t="s">
        <v>20</v>
      </c>
      <c r="P174" s="6" t="s">
        <v>20</v>
      </c>
      <c r="Q174" s="6">
        <v>0.128</v>
      </c>
      <c r="R174" s="6">
        <v>0.128</v>
      </c>
      <c r="S174" s="6">
        <v>0.11600000000000001</v>
      </c>
      <c r="T174" s="8">
        <v>1</v>
      </c>
      <c r="U174" s="5" t="s">
        <v>994</v>
      </c>
      <c r="V174" s="89">
        <v>0</v>
      </c>
      <c r="W174" s="15">
        <v>17897801309285</v>
      </c>
      <c r="X174" s="6">
        <v>0.54</v>
      </c>
      <c r="Y174" s="6">
        <v>0.19</v>
      </c>
      <c r="Z174" s="6">
        <v>0.77</v>
      </c>
      <c r="AA174" s="6">
        <f t="shared" si="5"/>
        <v>7.9002000000000017E-2</v>
      </c>
      <c r="AB174" s="8">
        <v>20</v>
      </c>
      <c r="AC174" s="15">
        <v>27897801309282</v>
      </c>
      <c r="AD174" s="4" t="s">
        <v>992</v>
      </c>
    </row>
    <row r="175" spans="2:30" x14ac:dyDescent="0.35">
      <c r="B175" s="14">
        <v>341</v>
      </c>
      <c r="C175" s="4" t="s">
        <v>182</v>
      </c>
      <c r="D175" s="4" t="s">
        <v>2417</v>
      </c>
      <c r="E175" s="4" t="s">
        <v>2911</v>
      </c>
      <c r="F175" s="4" t="s">
        <v>85</v>
      </c>
      <c r="G175" s="4" t="s">
        <v>993</v>
      </c>
      <c r="H175" s="6">
        <v>7.9600000000000004E-2</v>
      </c>
      <c r="I175" s="8">
        <v>64</v>
      </c>
      <c r="J175" s="8">
        <v>64</v>
      </c>
      <c r="K175" s="8">
        <v>61</v>
      </c>
      <c r="L175" s="8">
        <f t="shared" si="4"/>
        <v>249856</v>
      </c>
      <c r="M175" s="15">
        <v>7897801300353</v>
      </c>
      <c r="N175" s="6" t="s">
        <v>20</v>
      </c>
      <c r="O175" s="6" t="s">
        <v>20</v>
      </c>
      <c r="P175" s="6" t="s">
        <v>20</v>
      </c>
      <c r="Q175" s="6">
        <v>0.16</v>
      </c>
      <c r="R175" s="6">
        <v>0.09</v>
      </c>
      <c r="S175" s="6">
        <v>0.27</v>
      </c>
      <c r="T175" s="8">
        <v>12</v>
      </c>
      <c r="U175" s="5" t="s">
        <v>994</v>
      </c>
      <c r="V175" s="89">
        <v>0</v>
      </c>
      <c r="W175" s="15">
        <v>17897801300350</v>
      </c>
      <c r="X175" s="6">
        <v>0.46</v>
      </c>
      <c r="Y175" s="6">
        <v>0.19</v>
      </c>
      <c r="Z175" s="6">
        <v>0.67</v>
      </c>
      <c r="AA175" s="6">
        <f t="shared" si="5"/>
        <v>5.8558000000000006E-2</v>
      </c>
      <c r="AB175" s="8">
        <v>240</v>
      </c>
      <c r="AC175" s="15">
        <v>47897801300351</v>
      </c>
      <c r="AD175" s="4" t="s">
        <v>992</v>
      </c>
    </row>
    <row r="176" spans="2:30" x14ac:dyDescent="0.35">
      <c r="B176" s="14">
        <v>342</v>
      </c>
      <c r="C176" s="4" t="s">
        <v>183</v>
      </c>
      <c r="D176" s="4" t="s">
        <v>2417</v>
      </c>
      <c r="E176" s="4" t="s">
        <v>2911</v>
      </c>
      <c r="F176" s="4" t="s">
        <v>85</v>
      </c>
      <c r="G176" s="4" t="s">
        <v>993</v>
      </c>
      <c r="H176" s="6">
        <v>6.0600000000000001E-2</v>
      </c>
      <c r="I176" s="8">
        <v>70</v>
      </c>
      <c r="J176" s="8">
        <v>70</v>
      </c>
      <c r="K176" s="8">
        <v>61</v>
      </c>
      <c r="L176" s="8">
        <f t="shared" si="4"/>
        <v>298900</v>
      </c>
      <c r="M176" s="15">
        <v>7897801300360</v>
      </c>
      <c r="N176" s="6" t="s">
        <v>20</v>
      </c>
      <c r="O176" s="6" t="s">
        <v>20</v>
      </c>
      <c r="P176" s="6" t="s">
        <v>20</v>
      </c>
      <c r="Q176" s="6">
        <v>0.21</v>
      </c>
      <c r="R176" s="6">
        <v>6.2E-2</v>
      </c>
      <c r="S176" s="6">
        <v>0.27</v>
      </c>
      <c r="T176" s="8">
        <v>12</v>
      </c>
      <c r="U176" s="5" t="s">
        <v>994</v>
      </c>
      <c r="V176" s="89">
        <v>0</v>
      </c>
      <c r="W176" s="15">
        <v>17897801300367</v>
      </c>
      <c r="X176" s="6">
        <v>0.5</v>
      </c>
      <c r="Y176" s="6">
        <v>0.17499999999999999</v>
      </c>
      <c r="Z176" s="6">
        <v>0.73499999999999999</v>
      </c>
      <c r="AA176" s="6">
        <f t="shared" si="5"/>
        <v>6.4312499999999995E-2</v>
      </c>
      <c r="AB176" s="8">
        <v>216</v>
      </c>
      <c r="AC176" s="15">
        <v>47897801300368</v>
      </c>
      <c r="AD176" s="4" t="s">
        <v>992</v>
      </c>
    </row>
    <row r="177" spans="2:30" x14ac:dyDescent="0.35">
      <c r="B177" s="14">
        <v>343</v>
      </c>
      <c r="C177" s="4" t="s">
        <v>184</v>
      </c>
      <c r="D177" s="4" t="s">
        <v>2417</v>
      </c>
      <c r="E177" s="4" t="s">
        <v>2911</v>
      </c>
      <c r="F177" s="4" t="s">
        <v>85</v>
      </c>
      <c r="G177" s="4" t="s">
        <v>993</v>
      </c>
      <c r="H177" s="6">
        <v>0.1318</v>
      </c>
      <c r="I177" s="8">
        <v>81</v>
      </c>
      <c r="J177" s="8">
        <v>81</v>
      </c>
      <c r="K177" s="8">
        <v>70</v>
      </c>
      <c r="L177" s="8">
        <f t="shared" si="4"/>
        <v>459270</v>
      </c>
      <c r="M177" s="15">
        <v>7897801300988</v>
      </c>
      <c r="N177" s="6" t="s">
        <v>20</v>
      </c>
      <c r="O177" s="6" t="s">
        <v>20</v>
      </c>
      <c r="P177" s="6" t="s">
        <v>20</v>
      </c>
      <c r="Q177" s="6">
        <v>0.18</v>
      </c>
      <c r="R177" s="6">
        <v>0.06</v>
      </c>
      <c r="S177" s="6">
        <v>0.25</v>
      </c>
      <c r="T177" s="8">
        <v>6</v>
      </c>
      <c r="U177" s="5" t="s">
        <v>994</v>
      </c>
      <c r="V177" s="89">
        <v>0</v>
      </c>
      <c r="W177" s="15">
        <v>17897801300985</v>
      </c>
      <c r="X177" s="6">
        <v>0.5</v>
      </c>
      <c r="Y177" s="6">
        <v>0.18</v>
      </c>
      <c r="Z177" s="6">
        <v>0.68</v>
      </c>
      <c r="AA177" s="6">
        <f t="shared" si="5"/>
        <v>6.1200000000000004E-2</v>
      </c>
      <c r="AB177" s="8">
        <v>144</v>
      </c>
      <c r="AC177" s="15">
        <v>47897801300986</v>
      </c>
      <c r="AD177" s="4" t="s">
        <v>992</v>
      </c>
    </row>
    <row r="178" spans="2:30" x14ac:dyDescent="0.35">
      <c r="B178" s="14">
        <v>344</v>
      </c>
      <c r="C178" s="4" t="s">
        <v>185</v>
      </c>
      <c r="D178" s="4" t="s">
        <v>2417</v>
      </c>
      <c r="E178" s="4" t="s">
        <v>2911</v>
      </c>
      <c r="F178" s="4" t="s">
        <v>85</v>
      </c>
      <c r="G178" s="4" t="s">
        <v>993</v>
      </c>
      <c r="H178" s="6">
        <v>0.15870000000000001</v>
      </c>
      <c r="I178" s="8">
        <v>89</v>
      </c>
      <c r="J178" s="8">
        <v>89</v>
      </c>
      <c r="K178" s="8">
        <v>70</v>
      </c>
      <c r="L178" s="8">
        <f t="shared" si="4"/>
        <v>554470</v>
      </c>
      <c r="M178" s="15">
        <v>7897801302579</v>
      </c>
      <c r="N178" s="6" t="s">
        <v>20</v>
      </c>
      <c r="O178" s="6" t="s">
        <v>20</v>
      </c>
      <c r="P178" s="6" t="s">
        <v>20</v>
      </c>
      <c r="Q178" s="6">
        <v>0.18</v>
      </c>
      <c r="R178" s="6">
        <v>0.09</v>
      </c>
      <c r="S178" s="6">
        <v>0.25</v>
      </c>
      <c r="T178" s="8">
        <v>6</v>
      </c>
      <c r="U178" s="5" t="s">
        <v>994</v>
      </c>
      <c r="V178" s="89">
        <v>0</v>
      </c>
      <c r="W178" s="15">
        <v>17897801302576</v>
      </c>
      <c r="X178" s="6">
        <v>0.49</v>
      </c>
      <c r="Y178" s="6">
        <v>0.22</v>
      </c>
      <c r="Z178" s="6">
        <v>0.7</v>
      </c>
      <c r="AA178" s="6">
        <f t="shared" si="5"/>
        <v>7.5459999999999985E-2</v>
      </c>
      <c r="AB178" s="8">
        <v>120</v>
      </c>
      <c r="AC178" s="15">
        <v>47897801302577</v>
      </c>
      <c r="AD178" s="4" t="s">
        <v>992</v>
      </c>
    </row>
    <row r="179" spans="2:30" x14ac:dyDescent="0.35">
      <c r="B179" s="14">
        <v>345</v>
      </c>
      <c r="C179" s="4" t="s">
        <v>186</v>
      </c>
      <c r="D179" s="4" t="s">
        <v>2417</v>
      </c>
      <c r="E179" s="4" t="s">
        <v>2911</v>
      </c>
      <c r="F179" s="4" t="s">
        <v>85</v>
      </c>
      <c r="G179" s="4" t="s">
        <v>993</v>
      </c>
      <c r="H179" s="6">
        <v>0.17330000000000001</v>
      </c>
      <c r="I179" s="8">
        <v>95</v>
      </c>
      <c r="J179" s="8">
        <v>95</v>
      </c>
      <c r="K179" s="8">
        <v>67.5</v>
      </c>
      <c r="L179" s="8">
        <f t="shared" si="4"/>
        <v>609187.5</v>
      </c>
      <c r="M179" s="15">
        <v>7897801300377</v>
      </c>
      <c r="N179" s="6" t="s">
        <v>20</v>
      </c>
      <c r="O179" s="6" t="s">
        <v>20</v>
      </c>
      <c r="P179" s="6" t="s">
        <v>20</v>
      </c>
      <c r="Q179" s="6">
        <v>0.17</v>
      </c>
      <c r="R179" s="6">
        <v>0.1</v>
      </c>
      <c r="S179" s="6">
        <v>0.26</v>
      </c>
      <c r="T179" s="8">
        <v>6</v>
      </c>
      <c r="U179" s="5" t="s">
        <v>994</v>
      </c>
      <c r="V179" s="89">
        <v>0</v>
      </c>
      <c r="W179" s="15">
        <v>17897801300374</v>
      </c>
      <c r="X179" s="6">
        <v>0.55000000000000004</v>
      </c>
      <c r="Y179" s="6">
        <v>0.17</v>
      </c>
      <c r="Z179" s="6">
        <v>0.73</v>
      </c>
      <c r="AA179" s="6">
        <f t="shared" si="5"/>
        <v>6.825500000000001E-2</v>
      </c>
      <c r="AB179" s="8">
        <v>120</v>
      </c>
      <c r="AC179" s="15">
        <v>47897801300375</v>
      </c>
      <c r="AD179" s="4" t="s">
        <v>992</v>
      </c>
    </row>
    <row r="180" spans="2:30" x14ac:dyDescent="0.35">
      <c r="B180" s="14">
        <v>346</v>
      </c>
      <c r="C180" s="4" t="s">
        <v>187</v>
      </c>
      <c r="D180" s="4" t="s">
        <v>2417</v>
      </c>
      <c r="E180" s="4" t="s">
        <v>2911</v>
      </c>
      <c r="F180" s="4" t="s">
        <v>85</v>
      </c>
      <c r="G180" s="4" t="s">
        <v>993</v>
      </c>
      <c r="H180" s="6">
        <v>0.2399</v>
      </c>
      <c r="I180" s="8">
        <v>109</v>
      </c>
      <c r="J180" s="8">
        <v>109</v>
      </c>
      <c r="K180" s="8">
        <v>75</v>
      </c>
      <c r="L180" s="8">
        <f t="shared" si="4"/>
        <v>891075</v>
      </c>
      <c r="M180" s="15">
        <v>7897801303002</v>
      </c>
      <c r="N180" s="6" t="s">
        <v>20</v>
      </c>
      <c r="O180" s="6" t="s">
        <v>20</v>
      </c>
      <c r="P180" s="6" t="s">
        <v>20</v>
      </c>
      <c r="Q180" s="6">
        <v>0.26</v>
      </c>
      <c r="R180" s="6">
        <v>7.4999999999999997E-2</v>
      </c>
      <c r="S180" s="6">
        <v>0.26</v>
      </c>
      <c r="T180" s="8">
        <v>6</v>
      </c>
      <c r="U180" s="5" t="s">
        <v>994</v>
      </c>
      <c r="V180" s="89">
        <v>0</v>
      </c>
      <c r="W180" s="15">
        <v>17897801303009</v>
      </c>
      <c r="X180" s="6">
        <v>0.48</v>
      </c>
      <c r="Y180" s="6">
        <v>0.24</v>
      </c>
      <c r="Z180" s="6">
        <v>0.73</v>
      </c>
      <c r="AA180" s="6">
        <f t="shared" si="5"/>
        <v>8.409599999999999E-2</v>
      </c>
      <c r="AB180" s="8">
        <v>90</v>
      </c>
      <c r="AC180" s="15">
        <v>47897801303000</v>
      </c>
      <c r="AD180" s="4" t="s">
        <v>992</v>
      </c>
    </row>
    <row r="181" spans="2:30" x14ac:dyDescent="0.35">
      <c r="B181" s="14">
        <v>347</v>
      </c>
      <c r="C181" s="4" t="s">
        <v>188</v>
      </c>
      <c r="D181" s="4" t="s">
        <v>2417</v>
      </c>
      <c r="E181" s="4" t="s">
        <v>2911</v>
      </c>
      <c r="F181" s="4" t="s">
        <v>85</v>
      </c>
      <c r="G181" s="4" t="s">
        <v>993</v>
      </c>
      <c r="H181" s="6">
        <v>0.44429999999999997</v>
      </c>
      <c r="I181" s="8">
        <v>140</v>
      </c>
      <c r="J181" s="8">
        <v>100</v>
      </c>
      <c r="K181" s="8">
        <v>140</v>
      </c>
      <c r="L181" s="8">
        <f t="shared" si="4"/>
        <v>1960000</v>
      </c>
      <c r="M181" s="15">
        <v>7897801311908</v>
      </c>
      <c r="N181" s="6" t="s">
        <v>20</v>
      </c>
      <c r="O181" s="6" t="s">
        <v>20</v>
      </c>
      <c r="P181" s="6" t="s">
        <v>20</v>
      </c>
      <c r="Q181" s="6">
        <v>0.155</v>
      </c>
      <c r="R181" s="6">
        <v>0.1</v>
      </c>
      <c r="S181" s="6">
        <v>0.155</v>
      </c>
      <c r="T181" s="8">
        <v>1</v>
      </c>
      <c r="U181" s="5" t="s">
        <v>994</v>
      </c>
      <c r="V181" s="89">
        <v>0</v>
      </c>
      <c r="W181" s="15">
        <v>17897801311905</v>
      </c>
      <c r="X181" s="6">
        <v>0.42</v>
      </c>
      <c r="Y181" s="6">
        <v>0.17</v>
      </c>
      <c r="Z181" s="6">
        <v>0.7</v>
      </c>
      <c r="AA181" s="6">
        <f t="shared" si="5"/>
        <v>4.9980000000000004E-2</v>
      </c>
      <c r="AB181" s="8">
        <v>40</v>
      </c>
      <c r="AC181" s="15">
        <v>27897801311902</v>
      </c>
      <c r="AD181" s="4" t="s">
        <v>992</v>
      </c>
    </row>
    <row r="182" spans="2:30" x14ac:dyDescent="0.35">
      <c r="B182" s="14">
        <v>348</v>
      </c>
      <c r="C182" s="4" t="s">
        <v>189</v>
      </c>
      <c r="D182" s="4" t="s">
        <v>2417</v>
      </c>
      <c r="E182" s="4" t="s">
        <v>2911</v>
      </c>
      <c r="F182" s="4" t="s">
        <v>85</v>
      </c>
      <c r="G182" s="4" t="s">
        <v>993</v>
      </c>
      <c r="H182" s="6">
        <v>0.61750000000000005</v>
      </c>
      <c r="I182" s="8">
        <v>100</v>
      </c>
      <c r="J182" s="8">
        <v>100</v>
      </c>
      <c r="K182" s="8">
        <v>160</v>
      </c>
      <c r="L182" s="8">
        <f t="shared" si="4"/>
        <v>1600000</v>
      </c>
      <c r="M182" s="15">
        <v>7897801311915</v>
      </c>
      <c r="N182" s="6" t="s">
        <v>20</v>
      </c>
      <c r="O182" s="6" t="s">
        <v>20</v>
      </c>
      <c r="P182" s="6" t="s">
        <v>20</v>
      </c>
      <c r="Q182" s="6">
        <v>0.1</v>
      </c>
      <c r="R182" s="6">
        <v>0.16</v>
      </c>
      <c r="S182" s="6">
        <v>0.16</v>
      </c>
      <c r="T182" s="8">
        <v>1</v>
      </c>
      <c r="U182" s="5" t="s">
        <v>994</v>
      </c>
      <c r="V182" s="89">
        <v>0</v>
      </c>
      <c r="W182" s="15">
        <v>17897801311912</v>
      </c>
      <c r="X182" s="6">
        <v>0.4</v>
      </c>
      <c r="Y182" s="6">
        <v>0.17</v>
      </c>
      <c r="Z182" s="6">
        <v>0.7</v>
      </c>
      <c r="AA182" s="6">
        <f t="shared" si="5"/>
        <v>4.7600000000000003E-2</v>
      </c>
      <c r="AB182" s="8">
        <v>21</v>
      </c>
      <c r="AC182" s="15">
        <v>27897801311919</v>
      </c>
      <c r="AD182" s="4" t="s">
        <v>992</v>
      </c>
    </row>
    <row r="183" spans="2:30" x14ac:dyDescent="0.35">
      <c r="B183" s="14">
        <v>349</v>
      </c>
      <c r="C183" s="4" t="s">
        <v>190</v>
      </c>
      <c r="D183" s="4" t="s">
        <v>2417</v>
      </c>
      <c r="E183" s="4" t="s">
        <v>2911</v>
      </c>
      <c r="F183" s="4" t="s">
        <v>85</v>
      </c>
      <c r="G183" s="4" t="s">
        <v>993</v>
      </c>
      <c r="H183" s="6">
        <v>0.91739999999999999</v>
      </c>
      <c r="I183" s="8">
        <v>200</v>
      </c>
      <c r="J183" s="8">
        <v>140</v>
      </c>
      <c r="K183" s="8">
        <v>200</v>
      </c>
      <c r="L183" s="8">
        <f t="shared" si="4"/>
        <v>5600000</v>
      </c>
      <c r="M183" s="15">
        <v>7897801311922</v>
      </c>
      <c r="N183" s="6" t="s">
        <v>20</v>
      </c>
      <c r="O183" s="6" t="s">
        <v>20</v>
      </c>
      <c r="P183" s="6" t="s">
        <v>20</v>
      </c>
      <c r="Q183" s="6">
        <v>0.2</v>
      </c>
      <c r="R183" s="6">
        <v>0.15</v>
      </c>
      <c r="S183" s="6">
        <v>0.2</v>
      </c>
      <c r="T183" s="8">
        <v>1</v>
      </c>
      <c r="U183" s="5" t="s">
        <v>994</v>
      </c>
      <c r="V183" s="89">
        <v>0</v>
      </c>
      <c r="W183" s="15">
        <v>17897801311929</v>
      </c>
      <c r="X183" s="6">
        <v>0.45</v>
      </c>
      <c r="Y183" s="6">
        <v>0.2</v>
      </c>
      <c r="Z183" s="6">
        <v>0.65</v>
      </c>
      <c r="AA183" s="6">
        <f t="shared" si="5"/>
        <v>5.850000000000001E-2</v>
      </c>
      <c r="AB183" s="8">
        <v>10</v>
      </c>
      <c r="AC183" s="15">
        <v>27897801311926</v>
      </c>
      <c r="AD183" s="4" t="s">
        <v>992</v>
      </c>
    </row>
    <row r="184" spans="2:30" x14ac:dyDescent="0.35">
      <c r="B184" s="14">
        <v>359</v>
      </c>
      <c r="C184" s="4" t="s">
        <v>191</v>
      </c>
      <c r="D184" s="4" t="s">
        <v>2371</v>
      </c>
      <c r="E184" s="4" t="s">
        <v>2911</v>
      </c>
      <c r="F184" s="4" t="s">
        <v>85</v>
      </c>
      <c r="G184" s="4" t="s">
        <v>993</v>
      </c>
      <c r="H184" s="6">
        <v>0.35449999999999998</v>
      </c>
      <c r="I184" s="8">
        <v>110</v>
      </c>
      <c r="J184" s="8">
        <v>60</v>
      </c>
      <c r="K184" s="8">
        <v>110</v>
      </c>
      <c r="L184" s="8">
        <f t="shared" si="4"/>
        <v>726000</v>
      </c>
      <c r="M184" s="15">
        <v>7897801311816</v>
      </c>
      <c r="N184" s="6" t="s">
        <v>20</v>
      </c>
      <c r="O184" s="6" t="s">
        <v>20</v>
      </c>
      <c r="P184" s="6" t="s">
        <v>20</v>
      </c>
      <c r="Q184" s="6">
        <v>0.21</v>
      </c>
      <c r="R184" s="6">
        <v>0.06</v>
      </c>
      <c r="S184" s="6">
        <v>0.37</v>
      </c>
      <c r="T184" s="8">
        <v>5</v>
      </c>
      <c r="U184" s="5" t="s">
        <v>994</v>
      </c>
      <c r="V184" s="89">
        <v>0</v>
      </c>
      <c r="W184" s="15">
        <v>17897801311813</v>
      </c>
      <c r="X184" s="6">
        <v>0.42</v>
      </c>
      <c r="Y184" s="6">
        <v>0.21</v>
      </c>
      <c r="Z184" s="6">
        <v>0.59</v>
      </c>
      <c r="AA184" s="6">
        <f t="shared" si="5"/>
        <v>5.2037999999999987E-2</v>
      </c>
      <c r="AB184" s="8">
        <v>60</v>
      </c>
      <c r="AC184" s="15">
        <v>27897801311810</v>
      </c>
      <c r="AD184" s="4" t="s">
        <v>992</v>
      </c>
    </row>
    <row r="185" spans="2:30" x14ac:dyDescent="0.35">
      <c r="B185" s="14">
        <v>360</v>
      </c>
      <c r="C185" s="4" t="s">
        <v>192</v>
      </c>
      <c r="D185" s="4" t="s">
        <v>2371</v>
      </c>
      <c r="E185" s="4" t="s">
        <v>2911</v>
      </c>
      <c r="F185" s="4" t="s">
        <v>85</v>
      </c>
      <c r="G185" s="4" t="s">
        <v>993</v>
      </c>
      <c r="H185" s="6">
        <v>5.0000000000000001E-3</v>
      </c>
      <c r="I185" s="8">
        <v>25</v>
      </c>
      <c r="J185" s="8">
        <v>25</v>
      </c>
      <c r="K185" s="8">
        <v>18</v>
      </c>
      <c r="L185" s="8">
        <f t="shared" si="4"/>
        <v>11250</v>
      </c>
      <c r="M185" s="15">
        <v>7897801301466</v>
      </c>
      <c r="N185" s="6" t="s">
        <v>20</v>
      </c>
      <c r="O185" s="6" t="s">
        <v>20</v>
      </c>
      <c r="P185" s="6" t="s">
        <v>20</v>
      </c>
      <c r="Q185" s="6">
        <v>0.16</v>
      </c>
      <c r="R185" s="6">
        <v>0.03</v>
      </c>
      <c r="S185" s="6">
        <v>0.185</v>
      </c>
      <c r="T185" s="8">
        <v>50</v>
      </c>
      <c r="U185" s="5" t="s">
        <v>994</v>
      </c>
      <c r="V185" s="89">
        <v>0</v>
      </c>
      <c r="W185" s="15">
        <v>17897801301463</v>
      </c>
      <c r="X185" s="6">
        <v>0.59</v>
      </c>
      <c r="Y185" s="6">
        <v>0.16</v>
      </c>
      <c r="Z185" s="6">
        <v>0.76</v>
      </c>
      <c r="AA185" s="6">
        <f t="shared" si="5"/>
        <v>7.1744000000000002E-2</v>
      </c>
      <c r="AB185" s="8">
        <v>4000</v>
      </c>
      <c r="AC185" s="15">
        <v>47897801301464</v>
      </c>
      <c r="AD185" s="4" t="s">
        <v>992</v>
      </c>
    </row>
    <row r="186" spans="2:30" x14ac:dyDescent="0.35">
      <c r="B186" s="14">
        <v>361</v>
      </c>
      <c r="C186" s="4" t="s">
        <v>193</v>
      </c>
      <c r="D186" s="4" t="s">
        <v>2371</v>
      </c>
      <c r="E186" s="4" t="s">
        <v>2911</v>
      </c>
      <c r="F186" s="4" t="s">
        <v>85</v>
      </c>
      <c r="G186" s="4" t="s">
        <v>993</v>
      </c>
      <c r="H186" s="6">
        <v>1.04E-2</v>
      </c>
      <c r="I186" s="8">
        <v>32</v>
      </c>
      <c r="J186" s="8">
        <v>32</v>
      </c>
      <c r="K186" s="8">
        <v>21.5</v>
      </c>
      <c r="L186" s="8">
        <f t="shared" si="4"/>
        <v>22016</v>
      </c>
      <c r="M186" s="15">
        <v>7897801302210</v>
      </c>
      <c r="N186" s="6" t="s">
        <v>20</v>
      </c>
      <c r="O186" s="6" t="s">
        <v>20</v>
      </c>
      <c r="P186" s="6" t="s">
        <v>20</v>
      </c>
      <c r="Q186" s="6">
        <v>0.23</v>
      </c>
      <c r="R186" s="6">
        <v>0.05</v>
      </c>
      <c r="S186" s="6">
        <v>0.24</v>
      </c>
      <c r="T186" s="8">
        <v>50</v>
      </c>
      <c r="U186" s="5" t="s">
        <v>994</v>
      </c>
      <c r="V186" s="89">
        <v>0</v>
      </c>
      <c r="W186" s="15">
        <v>17897801302217</v>
      </c>
      <c r="X186" s="6">
        <v>0.56999999999999995</v>
      </c>
      <c r="Y186" s="6">
        <v>0.21</v>
      </c>
      <c r="Z186" s="6">
        <v>0.77</v>
      </c>
      <c r="AA186" s="6">
        <f t="shared" si="5"/>
        <v>9.2168999999999987E-2</v>
      </c>
      <c r="AB186" s="8">
        <v>2000</v>
      </c>
      <c r="AC186" s="15">
        <v>47897801302218</v>
      </c>
      <c r="AD186" s="4" t="s">
        <v>992</v>
      </c>
    </row>
    <row r="187" spans="2:30" x14ac:dyDescent="0.35">
      <c r="B187" s="14">
        <v>362</v>
      </c>
      <c r="C187" s="4" t="s">
        <v>194</v>
      </c>
      <c r="D187" s="4" t="s">
        <v>2371</v>
      </c>
      <c r="E187" s="4" t="s">
        <v>2911</v>
      </c>
      <c r="F187" s="4" t="s">
        <v>85</v>
      </c>
      <c r="G187" s="4" t="s">
        <v>993</v>
      </c>
      <c r="H187" s="6">
        <v>1.72E-2</v>
      </c>
      <c r="I187" s="8">
        <v>40</v>
      </c>
      <c r="J187" s="8">
        <v>40</v>
      </c>
      <c r="K187" s="8">
        <v>24.5</v>
      </c>
      <c r="L187" s="8">
        <f t="shared" si="4"/>
        <v>39200</v>
      </c>
      <c r="M187" s="15">
        <v>7897801302807</v>
      </c>
      <c r="N187" s="6" t="s">
        <v>20</v>
      </c>
      <c r="O187" s="6" t="s">
        <v>20</v>
      </c>
      <c r="P187" s="6" t="s">
        <v>20</v>
      </c>
      <c r="Q187" s="6">
        <v>0.18</v>
      </c>
      <c r="R187" s="6">
        <v>0.05</v>
      </c>
      <c r="S187" s="6">
        <v>0.24</v>
      </c>
      <c r="T187" s="8">
        <v>10</v>
      </c>
      <c r="U187" s="5" t="s">
        <v>994</v>
      </c>
      <c r="V187" s="89">
        <v>0</v>
      </c>
      <c r="W187" s="15">
        <v>17897801302804</v>
      </c>
      <c r="X187" s="6">
        <v>0.53</v>
      </c>
      <c r="Y187" s="6">
        <v>0.19</v>
      </c>
      <c r="Z187" s="6">
        <v>0.74</v>
      </c>
      <c r="AA187" s="6">
        <f t="shared" si="5"/>
        <v>7.4518000000000001E-2</v>
      </c>
      <c r="AB187" s="8">
        <v>1000</v>
      </c>
      <c r="AC187" s="15">
        <v>27897801302801</v>
      </c>
      <c r="AD187" s="4" t="s">
        <v>992</v>
      </c>
    </row>
    <row r="188" spans="2:30" x14ac:dyDescent="0.35">
      <c r="B188" s="14">
        <v>363</v>
      </c>
      <c r="C188" s="4" t="s">
        <v>195</v>
      </c>
      <c r="D188" s="4" t="s">
        <v>2371</v>
      </c>
      <c r="E188" s="4" t="s">
        <v>2911</v>
      </c>
      <c r="F188" s="4" t="s">
        <v>85</v>
      </c>
      <c r="G188" s="4" t="s">
        <v>993</v>
      </c>
      <c r="H188" s="6">
        <v>3.2000000000000001E-2</v>
      </c>
      <c r="I188" s="8">
        <v>50</v>
      </c>
      <c r="J188" s="8">
        <v>50</v>
      </c>
      <c r="K188" s="8">
        <v>30</v>
      </c>
      <c r="L188" s="8">
        <f t="shared" si="4"/>
        <v>75000</v>
      </c>
      <c r="M188" s="15">
        <v>7897801302814</v>
      </c>
      <c r="N188" s="6" t="s">
        <v>20</v>
      </c>
      <c r="O188" s="6" t="s">
        <v>20</v>
      </c>
      <c r="P188" s="6" t="s">
        <v>20</v>
      </c>
      <c r="Q188" s="6">
        <v>0.185</v>
      </c>
      <c r="R188" s="6">
        <v>0.06</v>
      </c>
      <c r="S188" s="6">
        <v>0.22500000000000001</v>
      </c>
      <c r="T188" s="8">
        <v>10</v>
      </c>
      <c r="U188" s="5" t="s">
        <v>994</v>
      </c>
      <c r="V188" s="89">
        <v>0</v>
      </c>
      <c r="W188" s="15">
        <v>17897801302811</v>
      </c>
      <c r="X188" s="6">
        <v>0.56999999999999995</v>
      </c>
      <c r="Y188" s="6">
        <v>0.21</v>
      </c>
      <c r="Z188" s="6">
        <v>0.8</v>
      </c>
      <c r="AA188" s="6">
        <f t="shared" si="5"/>
        <v>9.5759999999999998E-2</v>
      </c>
      <c r="AB188" s="8">
        <v>650</v>
      </c>
      <c r="AC188" s="15">
        <v>47897801302812</v>
      </c>
      <c r="AD188" s="4" t="s">
        <v>992</v>
      </c>
    </row>
    <row r="189" spans="2:30" x14ac:dyDescent="0.35">
      <c r="B189" s="14">
        <v>364</v>
      </c>
      <c r="C189" s="4" t="s">
        <v>196</v>
      </c>
      <c r="D189" s="4" t="s">
        <v>2371</v>
      </c>
      <c r="E189" s="4" t="s">
        <v>2911</v>
      </c>
      <c r="F189" s="4" t="s">
        <v>85</v>
      </c>
      <c r="G189" s="4" t="s">
        <v>993</v>
      </c>
      <c r="H189" s="6">
        <v>4.5400000000000003E-2</v>
      </c>
      <c r="I189" s="8">
        <v>60</v>
      </c>
      <c r="J189" s="8">
        <v>35</v>
      </c>
      <c r="K189" s="8">
        <v>60</v>
      </c>
      <c r="L189" s="8">
        <f t="shared" si="4"/>
        <v>126000</v>
      </c>
      <c r="M189" s="15">
        <v>7897801307703</v>
      </c>
      <c r="N189" s="6" t="s">
        <v>20</v>
      </c>
      <c r="O189" s="6" t="s">
        <v>20</v>
      </c>
      <c r="P189" s="6" t="s">
        <v>20</v>
      </c>
      <c r="Q189" s="6">
        <v>0.22</v>
      </c>
      <c r="R189" s="6">
        <v>7.0000000000000007E-2</v>
      </c>
      <c r="S189" s="6">
        <v>0.23499999999999999</v>
      </c>
      <c r="T189" s="8">
        <v>12</v>
      </c>
      <c r="U189" s="5" t="s">
        <v>994</v>
      </c>
      <c r="V189" s="89">
        <v>0</v>
      </c>
      <c r="W189" s="15">
        <v>17897801307700</v>
      </c>
      <c r="X189" s="6">
        <v>0.57999999999999996</v>
      </c>
      <c r="Y189" s="6">
        <v>0.24</v>
      </c>
      <c r="Z189" s="6">
        <v>0.84</v>
      </c>
      <c r="AA189" s="6">
        <f t="shared" si="5"/>
        <v>0.11692799999999999</v>
      </c>
      <c r="AB189" s="8">
        <v>480</v>
      </c>
      <c r="AC189" s="15">
        <v>27897801307707</v>
      </c>
      <c r="AD189" s="4" t="s">
        <v>992</v>
      </c>
    </row>
    <row r="190" spans="2:30" x14ac:dyDescent="0.35">
      <c r="B190" s="14">
        <v>365</v>
      </c>
      <c r="C190" s="4" t="s">
        <v>197</v>
      </c>
      <c r="D190" s="4" t="s">
        <v>2371</v>
      </c>
      <c r="E190" s="4" t="s">
        <v>2911</v>
      </c>
      <c r="F190" s="4" t="s">
        <v>85</v>
      </c>
      <c r="G190" s="4" t="s">
        <v>993</v>
      </c>
      <c r="H190" s="6">
        <v>0.1042</v>
      </c>
      <c r="I190" s="8">
        <v>43</v>
      </c>
      <c r="J190" s="8">
        <v>75</v>
      </c>
      <c r="K190" s="8">
        <v>75</v>
      </c>
      <c r="L190" s="8">
        <f t="shared" ref="L190:L253" si="6">J190*I190*K190</f>
        <v>241875</v>
      </c>
      <c r="M190" s="15">
        <v>7897801311267</v>
      </c>
      <c r="N190" s="6" t="s">
        <v>20</v>
      </c>
      <c r="O190" s="6" t="s">
        <v>20</v>
      </c>
      <c r="P190" s="6" t="s">
        <v>20</v>
      </c>
      <c r="Q190" s="6">
        <v>0.15</v>
      </c>
      <c r="R190" s="6">
        <v>0.08</v>
      </c>
      <c r="S190" s="6">
        <v>0.25</v>
      </c>
      <c r="T190" s="8">
        <v>5</v>
      </c>
      <c r="U190" s="5" t="s">
        <v>994</v>
      </c>
      <c r="V190" s="89">
        <v>0</v>
      </c>
      <c r="W190" s="15">
        <v>17897801311264</v>
      </c>
      <c r="X190" s="6">
        <v>0.46</v>
      </c>
      <c r="Y190" s="6">
        <v>0.23</v>
      </c>
      <c r="Z190" s="6">
        <v>0.75</v>
      </c>
      <c r="AA190" s="6">
        <f t="shared" si="5"/>
        <v>7.9350000000000004E-2</v>
      </c>
      <c r="AB190" s="8">
        <v>150</v>
      </c>
      <c r="AC190" s="15">
        <v>27897801311261</v>
      </c>
      <c r="AD190" s="4" t="s">
        <v>992</v>
      </c>
    </row>
    <row r="191" spans="2:30" x14ac:dyDescent="0.35">
      <c r="B191" s="14">
        <v>366</v>
      </c>
      <c r="C191" s="4" t="s">
        <v>198</v>
      </c>
      <c r="D191" s="4" t="s">
        <v>2371</v>
      </c>
      <c r="E191" s="4" t="s">
        <v>2911</v>
      </c>
      <c r="F191" s="4" t="s">
        <v>85</v>
      </c>
      <c r="G191" s="4" t="s">
        <v>993</v>
      </c>
      <c r="H191" s="6">
        <v>9.2200000000000004E-2</v>
      </c>
      <c r="I191" s="8">
        <v>50</v>
      </c>
      <c r="J191" s="8">
        <v>85</v>
      </c>
      <c r="K191" s="8">
        <v>85</v>
      </c>
      <c r="L191" s="8">
        <f t="shared" si="6"/>
        <v>361250</v>
      </c>
      <c r="M191" s="15">
        <v>7897801311243</v>
      </c>
      <c r="N191" s="6" t="s">
        <v>20</v>
      </c>
      <c r="O191" s="6" t="s">
        <v>20</v>
      </c>
      <c r="P191" s="6" t="s">
        <v>20</v>
      </c>
      <c r="Q191" s="6">
        <v>0.16</v>
      </c>
      <c r="R191" s="6">
        <v>0.06</v>
      </c>
      <c r="S191" s="6">
        <v>0.25</v>
      </c>
      <c r="T191" s="8">
        <v>5</v>
      </c>
      <c r="U191" s="5" t="s">
        <v>994</v>
      </c>
      <c r="V191" s="89">
        <v>0</v>
      </c>
      <c r="W191" s="15">
        <v>17897801311240</v>
      </c>
      <c r="X191" s="6">
        <v>0.4</v>
      </c>
      <c r="Y191" s="6">
        <v>0.26</v>
      </c>
      <c r="Z191" s="6">
        <v>0.6</v>
      </c>
      <c r="AA191" s="6">
        <f t="shared" si="5"/>
        <v>6.2400000000000004E-2</v>
      </c>
      <c r="AB191" s="8">
        <v>140</v>
      </c>
      <c r="AC191" s="15">
        <v>27897801311247</v>
      </c>
      <c r="AD191" s="4" t="s">
        <v>992</v>
      </c>
    </row>
    <row r="192" spans="2:30" x14ac:dyDescent="0.35">
      <c r="B192" s="14">
        <v>367</v>
      </c>
      <c r="C192" s="4" t="s">
        <v>199</v>
      </c>
      <c r="D192" s="4" t="s">
        <v>2371</v>
      </c>
      <c r="E192" s="4" t="s">
        <v>2911</v>
      </c>
      <c r="F192" s="4" t="s">
        <v>85</v>
      </c>
      <c r="G192" s="4" t="s">
        <v>993</v>
      </c>
      <c r="H192" s="6">
        <v>1.6199999999999999E-2</v>
      </c>
      <c r="I192" s="8">
        <v>32</v>
      </c>
      <c r="J192" s="8">
        <v>44</v>
      </c>
      <c r="K192" s="8">
        <v>32</v>
      </c>
      <c r="L192" s="8">
        <f t="shared" si="6"/>
        <v>45056</v>
      </c>
      <c r="M192" s="15">
        <v>7897801307253</v>
      </c>
      <c r="N192" s="6" t="s">
        <v>20</v>
      </c>
      <c r="O192" s="6" t="s">
        <v>20</v>
      </c>
      <c r="P192" s="6" t="s">
        <v>20</v>
      </c>
      <c r="Q192" s="6">
        <v>0.14000000000000001</v>
      </c>
      <c r="R192" s="6">
        <v>0.05</v>
      </c>
      <c r="S192" s="6">
        <v>0.14000000000000001</v>
      </c>
      <c r="T192" s="8">
        <v>15</v>
      </c>
      <c r="U192" s="5" t="s">
        <v>994</v>
      </c>
      <c r="V192" s="89">
        <v>0</v>
      </c>
      <c r="W192" s="15">
        <v>17897801307250</v>
      </c>
      <c r="X192" s="6">
        <v>0.45</v>
      </c>
      <c r="Y192" s="6">
        <v>0.2</v>
      </c>
      <c r="Z192" s="6">
        <v>0.7</v>
      </c>
      <c r="AA192" s="6">
        <f t="shared" si="5"/>
        <v>6.3E-2</v>
      </c>
      <c r="AB192" s="8">
        <v>1125</v>
      </c>
      <c r="AC192" s="15">
        <v>27897801307257</v>
      </c>
      <c r="AD192" s="4" t="s">
        <v>992</v>
      </c>
    </row>
    <row r="193" spans="2:30" x14ac:dyDescent="0.35">
      <c r="B193" s="14">
        <v>368</v>
      </c>
      <c r="C193" s="4" t="s">
        <v>200</v>
      </c>
      <c r="D193" s="4" t="s">
        <v>2371</v>
      </c>
      <c r="E193" s="4" t="s">
        <v>2911</v>
      </c>
      <c r="F193" s="4" t="s">
        <v>85</v>
      </c>
      <c r="G193" s="4" t="s">
        <v>993</v>
      </c>
      <c r="H193" s="6">
        <v>2.2499999999999999E-2</v>
      </c>
      <c r="I193" s="8">
        <v>40</v>
      </c>
      <c r="J193" s="8">
        <v>52</v>
      </c>
      <c r="K193" s="8">
        <v>40</v>
      </c>
      <c r="L193" s="8">
        <f t="shared" si="6"/>
        <v>83200</v>
      </c>
      <c r="M193" s="15">
        <v>7897801307222</v>
      </c>
      <c r="N193" s="6" t="s">
        <v>20</v>
      </c>
      <c r="O193" s="6" t="s">
        <v>20</v>
      </c>
      <c r="P193" s="6" t="s">
        <v>20</v>
      </c>
      <c r="Q193" s="6">
        <v>0.15</v>
      </c>
      <c r="R193" s="6">
        <v>5.5E-2</v>
      </c>
      <c r="S193" s="6">
        <v>0.2</v>
      </c>
      <c r="T193" s="8">
        <v>15</v>
      </c>
      <c r="U193" s="5" t="s">
        <v>994</v>
      </c>
      <c r="V193" s="89">
        <v>0</v>
      </c>
      <c r="W193" s="15">
        <v>17897801307229</v>
      </c>
      <c r="X193" s="6">
        <v>0.5</v>
      </c>
      <c r="Y193" s="6">
        <v>0.2</v>
      </c>
      <c r="Z193" s="6">
        <v>0.75</v>
      </c>
      <c r="AA193" s="6">
        <f t="shared" si="5"/>
        <v>7.5000000000000011E-2</v>
      </c>
      <c r="AB193" s="8">
        <v>900</v>
      </c>
      <c r="AC193" s="15">
        <v>27897801307226</v>
      </c>
      <c r="AD193" s="4" t="s">
        <v>992</v>
      </c>
    </row>
    <row r="194" spans="2:30" x14ac:dyDescent="0.35">
      <c r="B194" s="14">
        <v>369</v>
      </c>
      <c r="C194" s="4" t="s">
        <v>201</v>
      </c>
      <c r="D194" s="4" t="s">
        <v>2371</v>
      </c>
      <c r="E194" s="4" t="s">
        <v>2911</v>
      </c>
      <c r="F194" s="4" t="s">
        <v>85</v>
      </c>
      <c r="G194" s="4" t="s">
        <v>993</v>
      </c>
      <c r="H194" s="6">
        <v>2.63E-2</v>
      </c>
      <c r="I194" s="8">
        <v>40</v>
      </c>
      <c r="J194" s="8">
        <v>51</v>
      </c>
      <c r="K194" s="8">
        <v>40</v>
      </c>
      <c r="L194" s="8">
        <f t="shared" si="6"/>
        <v>81600</v>
      </c>
      <c r="M194" s="15">
        <v>7897801302821</v>
      </c>
      <c r="N194" s="6" t="s">
        <v>20</v>
      </c>
      <c r="O194" s="6" t="s">
        <v>20</v>
      </c>
      <c r="P194" s="6" t="s">
        <v>20</v>
      </c>
      <c r="Q194" s="6">
        <v>0.13</v>
      </c>
      <c r="R194" s="6">
        <v>0.04</v>
      </c>
      <c r="S194" s="6">
        <v>0.13</v>
      </c>
      <c r="T194" s="8">
        <v>10</v>
      </c>
      <c r="U194" s="5" t="s">
        <v>994</v>
      </c>
      <c r="V194" s="89">
        <v>0</v>
      </c>
      <c r="W194" s="15">
        <v>17897801302828</v>
      </c>
      <c r="X194" s="6">
        <v>0.55000000000000004</v>
      </c>
      <c r="Y194" s="6">
        <v>0.17</v>
      </c>
      <c r="Z194" s="6">
        <v>0.7</v>
      </c>
      <c r="AA194" s="6">
        <f t="shared" si="5"/>
        <v>6.5450000000000008E-2</v>
      </c>
      <c r="AB194" s="8">
        <v>800</v>
      </c>
      <c r="AC194" s="15">
        <v>27897801302825</v>
      </c>
      <c r="AD194" s="4" t="s">
        <v>992</v>
      </c>
    </row>
    <row r="195" spans="2:30" x14ac:dyDescent="0.35">
      <c r="B195" s="14">
        <v>370</v>
      </c>
      <c r="C195" s="4" t="s">
        <v>202</v>
      </c>
      <c r="D195" s="4" t="s">
        <v>2371</v>
      </c>
      <c r="E195" s="4" t="s">
        <v>2911</v>
      </c>
      <c r="F195" s="4" t="s">
        <v>85</v>
      </c>
      <c r="G195" s="4" t="s">
        <v>993</v>
      </c>
      <c r="H195" s="6">
        <v>3.3000000000000002E-2</v>
      </c>
      <c r="I195" s="8">
        <v>50</v>
      </c>
      <c r="J195" s="8">
        <v>60</v>
      </c>
      <c r="K195" s="8">
        <v>50</v>
      </c>
      <c r="L195" s="8">
        <f t="shared" si="6"/>
        <v>150000</v>
      </c>
      <c r="M195" s="15">
        <v>7897801307239</v>
      </c>
      <c r="N195" s="6" t="s">
        <v>20</v>
      </c>
      <c r="O195" s="6" t="s">
        <v>20</v>
      </c>
      <c r="P195" s="6" t="s">
        <v>20</v>
      </c>
      <c r="Q195" s="6">
        <v>0.15</v>
      </c>
      <c r="R195" s="6">
        <v>0.06</v>
      </c>
      <c r="S195" s="6">
        <v>0.2</v>
      </c>
      <c r="T195" s="8">
        <v>10</v>
      </c>
      <c r="U195" s="5" t="s">
        <v>994</v>
      </c>
      <c r="V195" s="89">
        <v>0</v>
      </c>
      <c r="W195" s="15">
        <v>17897801307236</v>
      </c>
      <c r="X195" s="6">
        <v>0.55000000000000004</v>
      </c>
      <c r="Y195" s="6">
        <v>0.16</v>
      </c>
      <c r="Z195" s="6">
        <v>0.73</v>
      </c>
      <c r="AA195" s="6">
        <f t="shared" si="5"/>
        <v>6.4240000000000005E-2</v>
      </c>
      <c r="AB195" s="8">
        <v>500</v>
      </c>
      <c r="AC195" s="15">
        <v>27897801307233</v>
      </c>
      <c r="AD195" s="4" t="s">
        <v>992</v>
      </c>
    </row>
    <row r="196" spans="2:30" x14ac:dyDescent="0.35">
      <c r="B196" s="14">
        <v>371</v>
      </c>
      <c r="C196" s="4" t="s">
        <v>203</v>
      </c>
      <c r="D196" s="4" t="s">
        <v>2371</v>
      </c>
      <c r="E196" s="4" t="s">
        <v>2911</v>
      </c>
      <c r="F196" s="4" t="s">
        <v>85</v>
      </c>
      <c r="G196" s="4" t="s">
        <v>993</v>
      </c>
      <c r="H196" s="6">
        <v>3.7199999999999997E-2</v>
      </c>
      <c r="I196" s="8">
        <v>50</v>
      </c>
      <c r="J196" s="8">
        <v>50</v>
      </c>
      <c r="K196" s="8">
        <v>61</v>
      </c>
      <c r="L196" s="8">
        <f t="shared" si="6"/>
        <v>152500</v>
      </c>
      <c r="M196" s="15">
        <v>7897801300803</v>
      </c>
      <c r="N196" s="6" t="s">
        <v>20</v>
      </c>
      <c r="O196" s="6" t="s">
        <v>20</v>
      </c>
      <c r="P196" s="6" t="s">
        <v>20</v>
      </c>
      <c r="Q196" s="6">
        <v>0.23</v>
      </c>
      <c r="R196" s="6">
        <v>0.1</v>
      </c>
      <c r="S196" s="6">
        <v>0.3</v>
      </c>
      <c r="T196" s="8">
        <v>25</v>
      </c>
      <c r="U196" s="5" t="s">
        <v>994</v>
      </c>
      <c r="V196" s="89">
        <v>0</v>
      </c>
      <c r="W196" s="15">
        <v>17897801300800</v>
      </c>
      <c r="X196" s="6">
        <v>0.59</v>
      </c>
      <c r="Y196" s="6">
        <v>0.2</v>
      </c>
      <c r="Z196" s="6">
        <v>0.73</v>
      </c>
      <c r="AA196" s="6">
        <f t="shared" si="5"/>
        <v>8.6139999999999994E-2</v>
      </c>
      <c r="AB196" s="8">
        <v>500</v>
      </c>
      <c r="AC196" s="15">
        <v>27897801300807</v>
      </c>
      <c r="AD196" s="4" t="s">
        <v>992</v>
      </c>
    </row>
    <row r="197" spans="2:30" x14ac:dyDescent="0.35">
      <c r="B197" s="14">
        <v>372</v>
      </c>
      <c r="C197" s="4" t="s">
        <v>204</v>
      </c>
      <c r="D197" s="4" t="s">
        <v>2371</v>
      </c>
      <c r="E197" s="4" t="s">
        <v>2911</v>
      </c>
      <c r="F197" s="4" t="s">
        <v>85</v>
      </c>
      <c r="G197" s="4" t="s">
        <v>993</v>
      </c>
      <c r="H197" s="6">
        <v>4.4400000000000002E-2</v>
      </c>
      <c r="I197" s="8">
        <v>50</v>
      </c>
      <c r="J197" s="8">
        <v>50</v>
      </c>
      <c r="K197" s="8">
        <v>60.5</v>
      </c>
      <c r="L197" s="8">
        <f t="shared" si="6"/>
        <v>151250</v>
      </c>
      <c r="M197" s="15">
        <v>7897801302838</v>
      </c>
      <c r="N197" s="6" t="s">
        <v>20</v>
      </c>
      <c r="O197" s="6" t="s">
        <v>20</v>
      </c>
      <c r="P197" s="6" t="s">
        <v>20</v>
      </c>
      <c r="Q197" s="6">
        <v>0.15</v>
      </c>
      <c r="R197" s="6">
        <v>0.06</v>
      </c>
      <c r="S197" s="6">
        <v>0.2</v>
      </c>
      <c r="T197" s="8">
        <v>10</v>
      </c>
      <c r="U197" s="5" t="s">
        <v>994</v>
      </c>
      <c r="V197" s="89">
        <v>0</v>
      </c>
      <c r="W197" s="15">
        <v>17897801302835</v>
      </c>
      <c r="X197" s="6">
        <v>0.51</v>
      </c>
      <c r="Y197" s="6">
        <v>0.23</v>
      </c>
      <c r="Z197" s="6">
        <v>0.73</v>
      </c>
      <c r="AA197" s="6">
        <f t="shared" si="5"/>
        <v>8.5628999999999997E-2</v>
      </c>
      <c r="AB197" s="8">
        <v>480</v>
      </c>
      <c r="AC197" s="15">
        <v>27897801302832</v>
      </c>
      <c r="AD197" s="4" t="s">
        <v>992</v>
      </c>
    </row>
    <row r="198" spans="2:30" x14ac:dyDescent="0.35">
      <c r="B198" s="14">
        <v>373</v>
      </c>
      <c r="C198" s="4" t="s">
        <v>205</v>
      </c>
      <c r="D198" s="4" t="s">
        <v>2371</v>
      </c>
      <c r="E198" s="4" t="s">
        <v>2911</v>
      </c>
      <c r="F198" s="4" t="s">
        <v>85</v>
      </c>
      <c r="G198" s="4" t="s">
        <v>993</v>
      </c>
      <c r="H198" s="6">
        <v>5.6099999999999997E-2</v>
      </c>
      <c r="I198" s="8">
        <v>60</v>
      </c>
      <c r="J198" s="8">
        <v>72</v>
      </c>
      <c r="K198" s="8">
        <v>60</v>
      </c>
      <c r="L198" s="8">
        <f t="shared" si="6"/>
        <v>259200</v>
      </c>
      <c r="M198" s="15">
        <v>7897801307581</v>
      </c>
      <c r="N198" s="6" t="s">
        <v>20</v>
      </c>
      <c r="O198" s="6" t="s">
        <v>20</v>
      </c>
      <c r="P198" s="6" t="s">
        <v>20</v>
      </c>
      <c r="Q198" s="6">
        <v>0.22</v>
      </c>
      <c r="R198" s="6">
        <v>0.06</v>
      </c>
      <c r="S198" s="6">
        <v>0.23499999999999999</v>
      </c>
      <c r="T198" s="8">
        <v>10</v>
      </c>
      <c r="U198" s="5" t="s">
        <v>994</v>
      </c>
      <c r="V198" s="89">
        <v>0</v>
      </c>
      <c r="W198" s="15">
        <v>17897801307588</v>
      </c>
      <c r="X198" s="6">
        <v>0.6</v>
      </c>
      <c r="Y198" s="6">
        <v>0.21</v>
      </c>
      <c r="Z198" s="6">
        <v>0.81</v>
      </c>
      <c r="AA198" s="6">
        <f t="shared" si="5"/>
        <v>0.10206000000000001</v>
      </c>
      <c r="AB198" s="8">
        <v>280</v>
      </c>
      <c r="AC198" s="15">
        <v>27897801307585</v>
      </c>
      <c r="AD198" s="4" t="s">
        <v>992</v>
      </c>
    </row>
    <row r="199" spans="2:30" x14ac:dyDescent="0.35">
      <c r="B199" s="14">
        <v>374</v>
      </c>
      <c r="C199" s="4" t="s">
        <v>206</v>
      </c>
      <c r="D199" s="4" t="s">
        <v>2371</v>
      </c>
      <c r="E199" s="4" t="s">
        <v>2911</v>
      </c>
      <c r="F199" s="4" t="s">
        <v>85</v>
      </c>
      <c r="G199" s="4" t="s">
        <v>993</v>
      </c>
      <c r="H199" s="6">
        <v>0.06</v>
      </c>
      <c r="I199" s="8">
        <v>60</v>
      </c>
      <c r="J199" s="8">
        <v>69</v>
      </c>
      <c r="K199" s="8">
        <v>60</v>
      </c>
      <c r="L199" s="8">
        <f t="shared" si="6"/>
        <v>248400</v>
      </c>
      <c r="M199" s="15">
        <v>7897801308243</v>
      </c>
      <c r="N199" s="6" t="s">
        <v>20</v>
      </c>
      <c r="O199" s="6" t="s">
        <v>20</v>
      </c>
      <c r="P199" s="6" t="s">
        <v>20</v>
      </c>
      <c r="Q199" s="6">
        <v>0.2</v>
      </c>
      <c r="R199" s="6">
        <v>7.0000000000000007E-2</v>
      </c>
      <c r="S199" s="6">
        <v>0.25</v>
      </c>
      <c r="T199" s="8">
        <v>10</v>
      </c>
      <c r="U199" s="5" t="s">
        <v>994</v>
      </c>
      <c r="V199" s="89">
        <v>0</v>
      </c>
      <c r="W199" s="15">
        <v>17897801308240</v>
      </c>
      <c r="X199" s="6">
        <v>0.5</v>
      </c>
      <c r="Y199" s="6">
        <v>0.19</v>
      </c>
      <c r="Z199" s="6">
        <v>0.7</v>
      </c>
      <c r="AA199" s="6">
        <f t="shared" si="5"/>
        <v>6.649999999999999E-2</v>
      </c>
      <c r="AB199" s="8">
        <v>320</v>
      </c>
      <c r="AC199" s="15">
        <v>27897801308247</v>
      </c>
      <c r="AD199" s="4" t="s">
        <v>992</v>
      </c>
    </row>
    <row r="200" spans="2:30" x14ac:dyDescent="0.35">
      <c r="B200" s="14">
        <v>375</v>
      </c>
      <c r="C200" s="4" t="s">
        <v>207</v>
      </c>
      <c r="D200" s="4" t="s">
        <v>2371</v>
      </c>
      <c r="E200" s="4" t="s">
        <v>2911</v>
      </c>
      <c r="F200" s="4" t="s">
        <v>85</v>
      </c>
      <c r="G200" s="4" t="s">
        <v>993</v>
      </c>
      <c r="H200" s="6">
        <v>6.9400000000000003E-2</v>
      </c>
      <c r="I200" s="8">
        <v>60</v>
      </c>
      <c r="J200" s="8">
        <v>70.5</v>
      </c>
      <c r="K200" s="8">
        <v>60</v>
      </c>
      <c r="L200" s="8">
        <f t="shared" si="6"/>
        <v>253800</v>
      </c>
      <c r="M200" s="15">
        <v>7897801308250</v>
      </c>
      <c r="N200" s="6" t="s">
        <v>20</v>
      </c>
      <c r="O200" s="6" t="s">
        <v>20</v>
      </c>
      <c r="P200" s="6" t="s">
        <v>20</v>
      </c>
      <c r="Q200" s="6">
        <v>0.22</v>
      </c>
      <c r="R200" s="6">
        <v>7.0000000000000007E-2</v>
      </c>
      <c r="S200" s="6">
        <v>0.27</v>
      </c>
      <c r="T200" s="8">
        <v>10</v>
      </c>
      <c r="U200" s="5" t="s">
        <v>994</v>
      </c>
      <c r="V200" s="89">
        <v>0</v>
      </c>
      <c r="W200" s="15">
        <v>17897801308257</v>
      </c>
      <c r="X200" s="6">
        <v>0.56000000000000005</v>
      </c>
      <c r="Y200" s="6">
        <v>0.25</v>
      </c>
      <c r="Z200" s="6">
        <v>0.83</v>
      </c>
      <c r="AA200" s="6">
        <f t="shared" si="5"/>
        <v>0.11620000000000001</v>
      </c>
      <c r="AB200" s="8">
        <v>280</v>
      </c>
      <c r="AC200" s="15">
        <v>27897801308254</v>
      </c>
      <c r="AD200" s="4" t="s">
        <v>992</v>
      </c>
    </row>
    <row r="201" spans="2:30" x14ac:dyDescent="0.35">
      <c r="B201" s="14">
        <v>376</v>
      </c>
      <c r="C201" s="4" t="s">
        <v>208</v>
      </c>
      <c r="D201" s="4" t="s">
        <v>2371</v>
      </c>
      <c r="E201" s="4" t="s">
        <v>2911</v>
      </c>
      <c r="F201" s="4" t="s">
        <v>85</v>
      </c>
      <c r="G201" s="4" t="s">
        <v>993</v>
      </c>
      <c r="H201" s="6">
        <v>8.5599999999999996E-2</v>
      </c>
      <c r="I201" s="8">
        <v>63</v>
      </c>
      <c r="J201" s="8">
        <v>73</v>
      </c>
      <c r="K201" s="8">
        <v>63</v>
      </c>
      <c r="L201" s="8">
        <f t="shared" si="6"/>
        <v>289737</v>
      </c>
      <c r="M201" s="15">
        <v>7897801307598</v>
      </c>
      <c r="N201" s="6" t="s">
        <v>20</v>
      </c>
      <c r="O201" s="6" t="s">
        <v>20</v>
      </c>
      <c r="P201" s="6" t="s">
        <v>20</v>
      </c>
      <c r="Q201" s="6">
        <v>0.22</v>
      </c>
      <c r="R201" s="6">
        <v>0.08</v>
      </c>
      <c r="S201" s="6">
        <v>0.27</v>
      </c>
      <c r="T201" s="8">
        <v>10</v>
      </c>
      <c r="U201" s="5" t="s">
        <v>994</v>
      </c>
      <c r="V201" s="89">
        <v>0</v>
      </c>
      <c r="W201" s="15">
        <v>17897801307595</v>
      </c>
      <c r="X201" s="6">
        <v>0.56000000000000005</v>
      </c>
      <c r="Y201" s="6">
        <v>0.23499999999999999</v>
      </c>
      <c r="Z201" s="6">
        <v>0.8</v>
      </c>
      <c r="AA201" s="6">
        <f t="shared" si="5"/>
        <v>0.10528</v>
      </c>
      <c r="AB201" s="8">
        <v>200</v>
      </c>
      <c r="AC201" s="15">
        <v>27897801307592</v>
      </c>
      <c r="AD201" s="4" t="s">
        <v>992</v>
      </c>
    </row>
    <row r="202" spans="2:30" x14ac:dyDescent="0.35">
      <c r="B202" s="14">
        <v>377</v>
      </c>
      <c r="C202" s="4" t="s">
        <v>209</v>
      </c>
      <c r="D202" s="4" t="s">
        <v>2371</v>
      </c>
      <c r="E202" s="4" t="s">
        <v>2911</v>
      </c>
      <c r="F202" s="4" t="s">
        <v>85</v>
      </c>
      <c r="G202" s="4" t="s">
        <v>993</v>
      </c>
      <c r="H202" s="6">
        <v>0.114</v>
      </c>
      <c r="I202" s="8">
        <v>75</v>
      </c>
      <c r="J202" s="8">
        <v>85</v>
      </c>
      <c r="K202" s="8">
        <v>75</v>
      </c>
      <c r="L202" s="8">
        <f t="shared" si="6"/>
        <v>478125</v>
      </c>
      <c r="M202" s="15">
        <v>7897801311472</v>
      </c>
      <c r="N202" s="6" t="s">
        <v>20</v>
      </c>
      <c r="O202" s="6" t="s">
        <v>20</v>
      </c>
      <c r="P202" s="6" t="s">
        <v>20</v>
      </c>
      <c r="Q202" s="6">
        <v>0.16</v>
      </c>
      <c r="R202" s="6">
        <v>0.08</v>
      </c>
      <c r="S202" s="6">
        <v>0.2</v>
      </c>
      <c r="T202" s="8">
        <v>5</v>
      </c>
      <c r="U202" s="5" t="s">
        <v>994</v>
      </c>
      <c r="V202" s="89">
        <v>0</v>
      </c>
      <c r="W202" s="15">
        <v>17897801311479</v>
      </c>
      <c r="X202" s="6">
        <v>0.44</v>
      </c>
      <c r="Y202" s="6">
        <v>0.2</v>
      </c>
      <c r="Z202" s="6">
        <v>0.7</v>
      </c>
      <c r="AA202" s="6">
        <f t="shared" si="5"/>
        <v>6.1600000000000002E-2</v>
      </c>
      <c r="AB202" s="8">
        <v>120</v>
      </c>
      <c r="AC202" s="15">
        <v>27897801311476</v>
      </c>
      <c r="AD202" s="4" t="s">
        <v>992</v>
      </c>
    </row>
    <row r="203" spans="2:30" x14ac:dyDescent="0.35">
      <c r="B203" s="14">
        <v>378</v>
      </c>
      <c r="C203" s="4" t="s">
        <v>210</v>
      </c>
      <c r="D203" s="4" t="s">
        <v>2371</v>
      </c>
      <c r="E203" s="4" t="s">
        <v>2911</v>
      </c>
      <c r="F203" s="4" t="s">
        <v>85</v>
      </c>
      <c r="G203" s="4" t="s">
        <v>993</v>
      </c>
      <c r="H203" s="6">
        <v>0.16439999999999999</v>
      </c>
      <c r="I203" s="8">
        <v>100</v>
      </c>
      <c r="J203" s="8">
        <v>84</v>
      </c>
      <c r="K203" s="8">
        <v>84</v>
      </c>
      <c r="L203" s="8">
        <f t="shared" si="6"/>
        <v>705600</v>
      </c>
      <c r="M203" s="15">
        <v>7897801311236</v>
      </c>
      <c r="N203" s="6" t="s">
        <v>20</v>
      </c>
      <c r="O203" s="6" t="s">
        <v>20</v>
      </c>
      <c r="P203" s="6" t="s">
        <v>20</v>
      </c>
      <c r="Q203" s="6">
        <v>0.16500000000000001</v>
      </c>
      <c r="R203" s="6">
        <v>8.5000000000000006E-2</v>
      </c>
      <c r="S203" s="6">
        <v>0.27</v>
      </c>
      <c r="T203" s="8">
        <v>5</v>
      </c>
      <c r="U203" s="5" t="s">
        <v>994</v>
      </c>
      <c r="V203" s="89">
        <v>0</v>
      </c>
      <c r="W203" s="15">
        <v>17897801311233</v>
      </c>
      <c r="X203" s="6">
        <v>0.5</v>
      </c>
      <c r="Y203" s="6">
        <v>0.19</v>
      </c>
      <c r="Z203" s="6">
        <v>0.74</v>
      </c>
      <c r="AA203" s="6">
        <f t="shared" si="5"/>
        <v>7.0300000000000001E-2</v>
      </c>
      <c r="AB203" s="8">
        <v>80</v>
      </c>
      <c r="AC203" s="15">
        <v>27897801311230</v>
      </c>
      <c r="AD203" s="4" t="s">
        <v>992</v>
      </c>
    </row>
    <row r="204" spans="2:30" x14ac:dyDescent="0.35">
      <c r="B204" s="14">
        <v>379</v>
      </c>
      <c r="C204" s="4" t="s">
        <v>211</v>
      </c>
      <c r="D204" s="4" t="s">
        <v>2371</v>
      </c>
      <c r="E204" s="4" t="s">
        <v>2911</v>
      </c>
      <c r="F204" s="4" t="s">
        <v>85</v>
      </c>
      <c r="G204" s="4" t="s">
        <v>993</v>
      </c>
      <c r="H204" s="6">
        <v>0.46489999999999998</v>
      </c>
      <c r="I204" s="8">
        <v>111</v>
      </c>
      <c r="J204" s="8">
        <v>135</v>
      </c>
      <c r="K204" s="8">
        <v>111</v>
      </c>
      <c r="L204" s="8">
        <f t="shared" si="6"/>
        <v>1663335</v>
      </c>
      <c r="M204" s="15">
        <v>7897801311571</v>
      </c>
      <c r="N204" s="6" t="s">
        <v>20</v>
      </c>
      <c r="O204" s="6" t="s">
        <v>20</v>
      </c>
      <c r="P204" s="6" t="s">
        <v>20</v>
      </c>
      <c r="Q204" s="6">
        <v>0.22500000000000001</v>
      </c>
      <c r="R204" s="6">
        <v>0.11</v>
      </c>
      <c r="S204" s="6">
        <v>0.26</v>
      </c>
      <c r="T204" s="8">
        <v>5</v>
      </c>
      <c r="U204" s="5" t="s">
        <v>994</v>
      </c>
      <c r="V204" s="89">
        <v>0</v>
      </c>
      <c r="W204" s="15">
        <v>17897801311578</v>
      </c>
      <c r="X204" s="6">
        <v>0.43</v>
      </c>
      <c r="Y204" s="6">
        <v>0.18</v>
      </c>
      <c r="Z204" s="6">
        <v>0.65</v>
      </c>
      <c r="AA204" s="6">
        <f t="shared" si="5"/>
        <v>5.0310000000000001E-2</v>
      </c>
      <c r="AB204" s="8">
        <v>40</v>
      </c>
      <c r="AC204" s="15">
        <v>27897801311575</v>
      </c>
      <c r="AD204" s="4" t="s">
        <v>992</v>
      </c>
    </row>
    <row r="205" spans="2:30" x14ac:dyDescent="0.35">
      <c r="B205" s="14">
        <v>380</v>
      </c>
      <c r="C205" s="4" t="s">
        <v>212</v>
      </c>
      <c r="D205" s="4" t="s">
        <v>2371</v>
      </c>
      <c r="E205" s="4" t="s">
        <v>2911</v>
      </c>
      <c r="F205" s="4" t="s">
        <v>85</v>
      </c>
      <c r="G205" s="4" t="s">
        <v>993</v>
      </c>
      <c r="H205" s="6">
        <v>0.36220000000000002</v>
      </c>
      <c r="I205" s="8">
        <v>130</v>
      </c>
      <c r="J205" s="8">
        <v>112</v>
      </c>
      <c r="K205" s="8">
        <v>112</v>
      </c>
      <c r="L205" s="8">
        <f t="shared" si="6"/>
        <v>1630720</v>
      </c>
      <c r="M205" s="15">
        <v>7897801311588</v>
      </c>
      <c r="N205" s="6" t="s">
        <v>20</v>
      </c>
      <c r="O205" s="6" t="s">
        <v>20</v>
      </c>
      <c r="P205" s="6" t="s">
        <v>20</v>
      </c>
      <c r="Q205" s="6">
        <v>0.23499999999999999</v>
      </c>
      <c r="R205" s="6">
        <v>0.11</v>
      </c>
      <c r="S205" s="6">
        <v>0.28000000000000003</v>
      </c>
      <c r="T205" s="8">
        <v>5</v>
      </c>
      <c r="U205" s="5" t="s">
        <v>994</v>
      </c>
      <c r="V205" s="89">
        <v>0</v>
      </c>
      <c r="W205" s="15">
        <v>17897801311585</v>
      </c>
      <c r="X205" s="6">
        <v>0.53</v>
      </c>
      <c r="Y205" s="6">
        <v>0.22</v>
      </c>
      <c r="Z205" s="6">
        <v>0.73</v>
      </c>
      <c r="AA205" s="6">
        <f t="shared" si="5"/>
        <v>8.5117999999999999E-2</v>
      </c>
      <c r="AB205" s="8">
        <v>40</v>
      </c>
      <c r="AC205" s="15">
        <v>27897801311582</v>
      </c>
      <c r="AD205" s="4" t="s">
        <v>992</v>
      </c>
    </row>
    <row r="206" spans="2:30" x14ac:dyDescent="0.35">
      <c r="B206" s="14">
        <v>382</v>
      </c>
      <c r="C206" s="4" t="s">
        <v>213</v>
      </c>
      <c r="D206" s="4" t="s">
        <v>2371</v>
      </c>
      <c r="E206" s="4" t="s">
        <v>2911</v>
      </c>
      <c r="F206" s="4" t="s">
        <v>85</v>
      </c>
      <c r="G206" s="4" t="s">
        <v>993</v>
      </c>
      <c r="H206" s="6">
        <v>6.8999999999999999E-3</v>
      </c>
      <c r="I206" s="8">
        <v>28</v>
      </c>
      <c r="J206" s="8">
        <v>28</v>
      </c>
      <c r="K206" s="8">
        <v>20</v>
      </c>
      <c r="L206" s="8">
        <f t="shared" si="6"/>
        <v>15680</v>
      </c>
      <c r="M206" s="15">
        <v>7897801300483</v>
      </c>
      <c r="N206" s="6" t="s">
        <v>20</v>
      </c>
      <c r="O206" s="6" t="s">
        <v>20</v>
      </c>
      <c r="P206" s="6" t="s">
        <v>20</v>
      </c>
      <c r="Q206" s="6">
        <v>0.17</v>
      </c>
      <c r="R206" s="6">
        <v>2.5000000000000001E-2</v>
      </c>
      <c r="S206" s="6">
        <v>0.21</v>
      </c>
      <c r="T206" s="8">
        <v>50</v>
      </c>
      <c r="U206" s="5" t="s">
        <v>994</v>
      </c>
      <c r="V206" s="89">
        <v>0</v>
      </c>
      <c r="W206" s="15">
        <v>17897801300480</v>
      </c>
      <c r="X206" s="6">
        <v>0.5</v>
      </c>
      <c r="Y206" s="6">
        <v>0.15</v>
      </c>
      <c r="Z206" s="6">
        <v>0.69</v>
      </c>
      <c r="AA206" s="6">
        <f t="shared" si="5"/>
        <v>5.1749999999999997E-2</v>
      </c>
      <c r="AB206" s="8">
        <v>3000</v>
      </c>
      <c r="AC206" s="15">
        <v>47897801300481</v>
      </c>
      <c r="AD206" s="4" t="s">
        <v>992</v>
      </c>
    </row>
    <row r="207" spans="2:30" x14ac:dyDescent="0.35">
      <c r="B207" s="14">
        <v>383</v>
      </c>
      <c r="C207" s="4" t="s">
        <v>214</v>
      </c>
      <c r="D207" s="4" t="s">
        <v>2371</v>
      </c>
      <c r="E207" s="4" t="s">
        <v>2911</v>
      </c>
      <c r="F207" s="4" t="s">
        <v>85</v>
      </c>
      <c r="G207" s="4" t="s">
        <v>993</v>
      </c>
      <c r="H207" s="6">
        <v>1.12E-2</v>
      </c>
      <c r="I207" s="8">
        <v>25</v>
      </c>
      <c r="J207" s="8">
        <v>25</v>
      </c>
      <c r="K207" s="8">
        <v>33.799999999999997</v>
      </c>
      <c r="L207" s="8">
        <f t="shared" si="6"/>
        <v>21125</v>
      </c>
      <c r="M207" s="15">
        <v>7897801300513</v>
      </c>
      <c r="N207" s="6" t="s">
        <v>20</v>
      </c>
      <c r="O207" s="6" t="s">
        <v>20</v>
      </c>
      <c r="P207" s="6" t="s">
        <v>20</v>
      </c>
      <c r="Q207" s="6">
        <v>0.18</v>
      </c>
      <c r="R207" s="6">
        <v>0.04</v>
      </c>
      <c r="S207" s="6">
        <v>0.21</v>
      </c>
      <c r="T207" s="8">
        <v>50</v>
      </c>
      <c r="U207" s="5" t="s">
        <v>994</v>
      </c>
      <c r="V207" s="89">
        <v>0</v>
      </c>
      <c r="W207" s="15">
        <v>17897801300510</v>
      </c>
      <c r="X207" s="6">
        <v>0.59</v>
      </c>
      <c r="Y207" s="6">
        <v>0.17</v>
      </c>
      <c r="Z207" s="6">
        <v>0.8</v>
      </c>
      <c r="AA207" s="6">
        <f t="shared" ref="AA207:AA270" si="7">Y207*X207*Z207</f>
        <v>8.0240000000000006E-2</v>
      </c>
      <c r="AB207" s="8">
        <v>2000</v>
      </c>
      <c r="AC207" s="15">
        <v>47897801300511</v>
      </c>
      <c r="AD207" s="4" t="s">
        <v>992</v>
      </c>
    </row>
    <row r="208" spans="2:30" x14ac:dyDescent="0.35">
      <c r="B208" s="14">
        <v>384</v>
      </c>
      <c r="C208" s="4" t="s">
        <v>215</v>
      </c>
      <c r="D208" s="4" t="s">
        <v>2371</v>
      </c>
      <c r="E208" s="4" t="s">
        <v>2911</v>
      </c>
      <c r="F208" s="4" t="s">
        <v>85</v>
      </c>
      <c r="G208" s="4" t="s">
        <v>993</v>
      </c>
      <c r="H208" s="6">
        <v>1.95E-2</v>
      </c>
      <c r="I208" s="8">
        <v>42</v>
      </c>
      <c r="J208" s="8">
        <v>42</v>
      </c>
      <c r="K208" s="8">
        <v>30</v>
      </c>
      <c r="L208" s="8">
        <f t="shared" si="6"/>
        <v>52920</v>
      </c>
      <c r="M208" s="15">
        <v>7897801302845</v>
      </c>
      <c r="N208" s="6" t="s">
        <v>20</v>
      </c>
      <c r="O208" s="6" t="s">
        <v>20</v>
      </c>
      <c r="P208" s="6" t="s">
        <v>20</v>
      </c>
      <c r="Q208" s="6">
        <v>0.18</v>
      </c>
      <c r="R208" s="6">
        <v>4.4999999999999998E-2</v>
      </c>
      <c r="S208" s="6">
        <v>0.22</v>
      </c>
      <c r="T208" s="8">
        <v>25</v>
      </c>
      <c r="U208" s="5" t="s">
        <v>994</v>
      </c>
      <c r="V208" s="89">
        <v>0</v>
      </c>
      <c r="W208" s="15">
        <v>17897801302842</v>
      </c>
      <c r="X208" s="6">
        <v>0.49</v>
      </c>
      <c r="Y208" s="6">
        <v>0.2</v>
      </c>
      <c r="Z208" s="6">
        <v>0.69</v>
      </c>
      <c r="AA208" s="6">
        <f t="shared" si="7"/>
        <v>6.762E-2</v>
      </c>
      <c r="AB208" s="8">
        <v>1000</v>
      </c>
      <c r="AC208" s="15">
        <v>47897801302843</v>
      </c>
      <c r="AD208" s="4" t="s">
        <v>992</v>
      </c>
    </row>
    <row r="209" spans="2:30" x14ac:dyDescent="0.35">
      <c r="B209" s="14">
        <v>385</v>
      </c>
      <c r="C209" s="4" t="s">
        <v>216</v>
      </c>
      <c r="D209" s="4" t="s">
        <v>2371</v>
      </c>
      <c r="E209" s="4" t="s">
        <v>2911</v>
      </c>
      <c r="F209" s="4" t="s">
        <v>85</v>
      </c>
      <c r="G209" s="4" t="s">
        <v>993</v>
      </c>
      <c r="H209" s="6">
        <v>3.2300000000000002E-2</v>
      </c>
      <c r="I209" s="8">
        <v>51.6</v>
      </c>
      <c r="J209" s="8">
        <v>36</v>
      </c>
      <c r="K209" s="8">
        <v>51.6</v>
      </c>
      <c r="L209" s="8">
        <f t="shared" si="6"/>
        <v>95852.160000000003</v>
      </c>
      <c r="M209" s="15">
        <v>7897801307208</v>
      </c>
      <c r="N209" s="6" t="s">
        <v>20</v>
      </c>
      <c r="O209" s="6" t="s">
        <v>20</v>
      </c>
      <c r="P209" s="6" t="s">
        <v>20</v>
      </c>
      <c r="Q209" s="6">
        <v>0.2</v>
      </c>
      <c r="R209" s="6">
        <v>0.06</v>
      </c>
      <c r="S209" s="6">
        <v>0.13</v>
      </c>
      <c r="T209" s="8">
        <v>10</v>
      </c>
      <c r="U209" s="5" t="s">
        <v>994</v>
      </c>
      <c r="V209" s="89">
        <v>0</v>
      </c>
      <c r="W209" s="15">
        <v>17897801307205</v>
      </c>
      <c r="X209" s="6">
        <v>0.6</v>
      </c>
      <c r="Y209" s="6">
        <v>0.2</v>
      </c>
      <c r="Z209" s="6">
        <v>0.81</v>
      </c>
      <c r="AA209" s="6">
        <f t="shared" si="7"/>
        <v>9.7200000000000009E-2</v>
      </c>
      <c r="AB209" s="8">
        <v>600</v>
      </c>
      <c r="AC209" s="15">
        <v>27897801307202</v>
      </c>
      <c r="AD209" s="4" t="s">
        <v>992</v>
      </c>
    </row>
    <row r="210" spans="2:30" x14ac:dyDescent="0.35">
      <c r="B210" s="14">
        <v>386</v>
      </c>
      <c r="C210" s="4" t="s">
        <v>217</v>
      </c>
      <c r="D210" s="4" t="s">
        <v>2371</v>
      </c>
      <c r="E210" s="4" t="s">
        <v>2911</v>
      </c>
      <c r="F210" s="4" t="s">
        <v>85</v>
      </c>
      <c r="G210" s="4" t="s">
        <v>993</v>
      </c>
      <c r="H210" s="6">
        <v>4.87E-2</v>
      </c>
      <c r="I210" s="8">
        <v>63</v>
      </c>
      <c r="J210" s="8">
        <v>63</v>
      </c>
      <c r="K210" s="8">
        <v>41.5</v>
      </c>
      <c r="L210" s="8">
        <f t="shared" si="6"/>
        <v>164713.5</v>
      </c>
      <c r="M210" s="15">
        <v>7897801301961</v>
      </c>
      <c r="N210" s="6" t="s">
        <v>20</v>
      </c>
      <c r="O210" s="6" t="s">
        <v>20</v>
      </c>
      <c r="P210" s="6" t="s">
        <v>20</v>
      </c>
      <c r="Q210" s="6">
        <v>0.16</v>
      </c>
      <c r="R210" s="6">
        <v>7.0000000000000007E-2</v>
      </c>
      <c r="S210" s="6">
        <v>0.22</v>
      </c>
      <c r="T210" s="8">
        <v>10</v>
      </c>
      <c r="U210" s="5" t="s">
        <v>994</v>
      </c>
      <c r="V210" s="89">
        <v>0</v>
      </c>
      <c r="W210" s="15">
        <v>17897801301968</v>
      </c>
      <c r="X210" s="6">
        <v>0.5</v>
      </c>
      <c r="Y210" s="6">
        <v>0.2</v>
      </c>
      <c r="Z210" s="6">
        <v>0.75</v>
      </c>
      <c r="AA210" s="6">
        <f t="shared" si="7"/>
        <v>7.5000000000000011E-2</v>
      </c>
      <c r="AB210" s="8">
        <v>450</v>
      </c>
      <c r="AC210" s="15">
        <v>47897801301969</v>
      </c>
      <c r="AD210" s="4" t="s">
        <v>992</v>
      </c>
    </row>
    <row r="211" spans="2:30" x14ac:dyDescent="0.35">
      <c r="B211" s="14">
        <v>387</v>
      </c>
      <c r="C211" s="4" t="s">
        <v>218</v>
      </c>
      <c r="D211" s="4" t="s">
        <v>2371</v>
      </c>
      <c r="E211" s="4" t="s">
        <v>2911</v>
      </c>
      <c r="F211" s="4" t="s">
        <v>85</v>
      </c>
      <c r="G211" s="4" t="s">
        <v>993</v>
      </c>
      <c r="H211" s="6">
        <v>7.8600000000000003E-2</v>
      </c>
      <c r="I211" s="8">
        <v>74</v>
      </c>
      <c r="J211" s="8">
        <v>50</v>
      </c>
      <c r="K211" s="8">
        <v>74</v>
      </c>
      <c r="L211" s="8">
        <f t="shared" si="6"/>
        <v>273800</v>
      </c>
      <c r="M211" s="15">
        <v>7897801307543</v>
      </c>
      <c r="N211" s="6" t="s">
        <v>20</v>
      </c>
      <c r="O211" s="6" t="s">
        <v>20</v>
      </c>
      <c r="P211" s="6" t="s">
        <v>20</v>
      </c>
      <c r="Q211" s="6">
        <v>0.2</v>
      </c>
      <c r="R211" s="6">
        <v>0.08</v>
      </c>
      <c r="S211" s="6">
        <v>0.25</v>
      </c>
      <c r="T211" s="8">
        <v>10</v>
      </c>
      <c r="U211" s="5" t="s">
        <v>994</v>
      </c>
      <c r="V211" s="89">
        <v>0</v>
      </c>
      <c r="W211" s="15">
        <v>17897801307540</v>
      </c>
      <c r="X211" s="6">
        <v>0.5</v>
      </c>
      <c r="Y211" s="6">
        <v>0.2</v>
      </c>
      <c r="Z211" s="6">
        <v>0.7</v>
      </c>
      <c r="AA211" s="6">
        <f t="shared" si="7"/>
        <v>6.9999999999999993E-2</v>
      </c>
      <c r="AB211" s="8">
        <v>250</v>
      </c>
      <c r="AC211" s="15">
        <v>47897801307541</v>
      </c>
      <c r="AD211" s="4" t="s">
        <v>992</v>
      </c>
    </row>
    <row r="212" spans="2:30" x14ac:dyDescent="0.35">
      <c r="B212" s="14">
        <v>388</v>
      </c>
      <c r="C212" s="4" t="s">
        <v>219</v>
      </c>
      <c r="D212" s="4" t="s">
        <v>2371</v>
      </c>
      <c r="E212" s="4" t="s">
        <v>2911</v>
      </c>
      <c r="F212" s="4" t="s">
        <v>85</v>
      </c>
      <c r="G212" s="4" t="s">
        <v>993</v>
      </c>
      <c r="H212" s="6">
        <v>0.1484</v>
      </c>
      <c r="I212" s="8">
        <v>60</v>
      </c>
      <c r="J212" s="8">
        <v>90</v>
      </c>
      <c r="K212" s="8">
        <v>90</v>
      </c>
      <c r="L212" s="8">
        <f t="shared" si="6"/>
        <v>486000</v>
      </c>
      <c r="M212" s="15">
        <v>7897801311090</v>
      </c>
      <c r="N212" s="6" t="s">
        <v>20</v>
      </c>
      <c r="O212" s="6" t="s">
        <v>20</v>
      </c>
      <c r="P212" s="6" t="s">
        <v>20</v>
      </c>
      <c r="Q212" s="6">
        <v>0.23</v>
      </c>
      <c r="R212" s="6">
        <v>0.05</v>
      </c>
      <c r="S212" s="6">
        <v>0.24</v>
      </c>
      <c r="T212" s="8">
        <v>5</v>
      </c>
      <c r="U212" s="5" t="s">
        <v>994</v>
      </c>
      <c r="V212" s="89">
        <v>0</v>
      </c>
      <c r="W212" s="15">
        <v>17897801311097</v>
      </c>
      <c r="X212" s="6">
        <v>0.49</v>
      </c>
      <c r="Y212" s="6">
        <v>0.21</v>
      </c>
      <c r="Z212" s="6">
        <v>0.7</v>
      </c>
      <c r="AA212" s="6">
        <f t="shared" si="7"/>
        <v>7.2029999999999983E-2</v>
      </c>
      <c r="AB212" s="8">
        <v>100</v>
      </c>
      <c r="AC212" s="15">
        <v>27897801311094</v>
      </c>
      <c r="AD212" s="4" t="s">
        <v>992</v>
      </c>
    </row>
    <row r="213" spans="2:30" x14ac:dyDescent="0.35">
      <c r="B213" s="14">
        <v>389</v>
      </c>
      <c r="C213" s="4" t="s">
        <v>220</v>
      </c>
      <c r="D213" s="4" t="s">
        <v>2371</v>
      </c>
      <c r="E213" s="4" t="s">
        <v>2911</v>
      </c>
      <c r="F213" s="4" t="s">
        <v>85</v>
      </c>
      <c r="G213" s="4" t="s">
        <v>993</v>
      </c>
      <c r="H213" s="6">
        <v>0.19869999999999999</v>
      </c>
      <c r="I213" s="8">
        <v>55</v>
      </c>
      <c r="J213" s="8">
        <v>102</v>
      </c>
      <c r="K213" s="8">
        <v>102</v>
      </c>
      <c r="L213" s="8">
        <f t="shared" si="6"/>
        <v>572220</v>
      </c>
      <c r="M213" s="15">
        <v>7897801311106</v>
      </c>
      <c r="N213" s="6" t="s">
        <v>20</v>
      </c>
      <c r="O213" s="6" t="s">
        <v>20</v>
      </c>
      <c r="P213" s="6" t="s">
        <v>20</v>
      </c>
      <c r="Q213" s="6">
        <v>0.23</v>
      </c>
      <c r="R213" s="6">
        <v>0.1</v>
      </c>
      <c r="S213" s="6">
        <v>0.27</v>
      </c>
      <c r="T213" s="8">
        <v>5</v>
      </c>
      <c r="U213" s="5" t="s">
        <v>994</v>
      </c>
      <c r="V213" s="89">
        <v>0</v>
      </c>
      <c r="W213" s="15">
        <v>17897801311103</v>
      </c>
      <c r="X213" s="6">
        <v>0.48</v>
      </c>
      <c r="Y213" s="6">
        <v>0.21</v>
      </c>
      <c r="Z213" s="6">
        <v>0.74</v>
      </c>
      <c r="AA213" s="6">
        <f t="shared" si="7"/>
        <v>7.4591999999999992E-2</v>
      </c>
      <c r="AB213" s="8">
        <v>80</v>
      </c>
      <c r="AC213" s="15">
        <v>27897801311100</v>
      </c>
      <c r="AD213" s="4" t="s">
        <v>992</v>
      </c>
    </row>
    <row r="214" spans="2:30" x14ac:dyDescent="0.35">
      <c r="B214" s="14">
        <v>390</v>
      </c>
      <c r="C214" s="4" t="s">
        <v>221</v>
      </c>
      <c r="D214" s="4" t="s">
        <v>2371</v>
      </c>
      <c r="E214" s="4" t="s">
        <v>2911</v>
      </c>
      <c r="F214" s="4" t="s">
        <v>85</v>
      </c>
      <c r="G214" s="4" t="s">
        <v>993</v>
      </c>
      <c r="H214" s="6">
        <v>0.34429999999999999</v>
      </c>
      <c r="I214" s="8">
        <v>75</v>
      </c>
      <c r="J214" s="8">
        <v>130</v>
      </c>
      <c r="K214" s="8">
        <v>130</v>
      </c>
      <c r="L214" s="8">
        <f t="shared" si="6"/>
        <v>1267500</v>
      </c>
      <c r="M214" s="15">
        <v>7897801311113</v>
      </c>
      <c r="N214" s="6" t="s">
        <v>20</v>
      </c>
      <c r="O214" s="6" t="s">
        <v>20</v>
      </c>
      <c r="P214" s="6" t="s">
        <v>20</v>
      </c>
      <c r="Q214" s="6">
        <v>0.23</v>
      </c>
      <c r="R214" s="6">
        <v>0.13</v>
      </c>
      <c r="S214" s="6">
        <v>0.34</v>
      </c>
      <c r="T214" s="8">
        <v>5</v>
      </c>
      <c r="U214" s="5" t="s">
        <v>994</v>
      </c>
      <c r="V214" s="89">
        <v>0</v>
      </c>
      <c r="W214" s="15">
        <v>17897801311110</v>
      </c>
      <c r="X214" s="6">
        <v>0.5</v>
      </c>
      <c r="Y214" s="6">
        <v>0.27</v>
      </c>
      <c r="Z214" s="6">
        <v>0.76</v>
      </c>
      <c r="AA214" s="6">
        <f t="shared" si="7"/>
        <v>0.10260000000000001</v>
      </c>
      <c r="AB214" s="8">
        <v>45</v>
      </c>
      <c r="AC214" s="15">
        <v>27897801311117</v>
      </c>
      <c r="AD214" s="4" t="s">
        <v>992</v>
      </c>
    </row>
    <row r="215" spans="2:30" x14ac:dyDescent="0.35">
      <c r="B215" s="14">
        <v>393</v>
      </c>
      <c r="C215" s="4" t="s">
        <v>222</v>
      </c>
      <c r="D215" s="4" t="s">
        <v>2371</v>
      </c>
      <c r="E215" s="4" t="s">
        <v>2911</v>
      </c>
      <c r="F215" s="4" t="s">
        <v>85</v>
      </c>
      <c r="G215" s="4" t="s">
        <v>993</v>
      </c>
      <c r="H215" s="6">
        <v>1.44E-2</v>
      </c>
      <c r="I215" s="8">
        <v>92</v>
      </c>
      <c r="J215" s="8">
        <v>32</v>
      </c>
      <c r="K215" s="8">
        <v>25</v>
      </c>
      <c r="L215" s="8">
        <f t="shared" si="6"/>
        <v>73600</v>
      </c>
      <c r="M215" s="15">
        <v>7897801310765</v>
      </c>
      <c r="N215" s="6" t="s">
        <v>20</v>
      </c>
      <c r="O215" s="6" t="s">
        <v>20</v>
      </c>
      <c r="P215" s="6" t="s">
        <v>20</v>
      </c>
      <c r="Q215" s="6">
        <v>0.15</v>
      </c>
      <c r="R215" s="6">
        <v>7.0000000000000007E-2</v>
      </c>
      <c r="S215" s="6">
        <v>0.245</v>
      </c>
      <c r="T215" s="8">
        <v>20</v>
      </c>
      <c r="U215" s="5" t="s">
        <v>994</v>
      </c>
      <c r="V215" s="89">
        <v>0</v>
      </c>
      <c r="W215" s="15">
        <v>17897801310762</v>
      </c>
      <c r="X215" s="6">
        <v>0.4</v>
      </c>
      <c r="Y215" s="6">
        <v>0.12</v>
      </c>
      <c r="Z215" s="6">
        <v>0.49</v>
      </c>
      <c r="AA215" s="6">
        <f t="shared" si="7"/>
        <v>2.3519999999999999E-2</v>
      </c>
      <c r="AB215" s="8">
        <v>200</v>
      </c>
      <c r="AC215" s="15">
        <v>27897801310769</v>
      </c>
      <c r="AD215" s="4" t="s">
        <v>992</v>
      </c>
    </row>
    <row r="216" spans="2:30" x14ac:dyDescent="0.35">
      <c r="B216" s="14">
        <v>394</v>
      </c>
      <c r="C216" s="4" t="s">
        <v>223</v>
      </c>
      <c r="D216" s="4" t="s">
        <v>2371</v>
      </c>
      <c r="E216" s="4" t="s">
        <v>2911</v>
      </c>
      <c r="F216" s="4" t="s">
        <v>85</v>
      </c>
      <c r="G216" s="4" t="s">
        <v>993</v>
      </c>
      <c r="H216" s="6">
        <v>4.4499999999999998E-2</v>
      </c>
      <c r="I216" s="8">
        <v>120</v>
      </c>
      <c r="J216" s="8">
        <v>40</v>
      </c>
      <c r="K216" s="8">
        <v>30</v>
      </c>
      <c r="L216" s="8">
        <f t="shared" si="6"/>
        <v>144000</v>
      </c>
      <c r="M216" s="15">
        <v>7897801310772</v>
      </c>
      <c r="N216" s="6" t="s">
        <v>20</v>
      </c>
      <c r="O216" s="6" t="s">
        <v>20</v>
      </c>
      <c r="P216" s="6" t="s">
        <v>20</v>
      </c>
      <c r="Q216" s="6">
        <v>0.25</v>
      </c>
      <c r="R216" s="6">
        <v>0.09</v>
      </c>
      <c r="S216" s="6">
        <v>0.28999999999999998</v>
      </c>
      <c r="T216" s="8">
        <v>25</v>
      </c>
      <c r="U216" s="5" t="s">
        <v>994</v>
      </c>
      <c r="V216" s="89">
        <v>0</v>
      </c>
      <c r="W216" s="15">
        <v>17897801310779</v>
      </c>
      <c r="X216" s="6">
        <v>0.53</v>
      </c>
      <c r="Y216" s="6">
        <v>0.18</v>
      </c>
      <c r="Z216" s="6">
        <v>0.77</v>
      </c>
      <c r="AA216" s="6">
        <f t="shared" si="7"/>
        <v>7.3457999999999996E-2</v>
      </c>
      <c r="AB216" s="8">
        <v>375</v>
      </c>
      <c r="AC216" s="15">
        <v>27897801310776</v>
      </c>
      <c r="AD216" s="4" t="s">
        <v>992</v>
      </c>
    </row>
    <row r="217" spans="2:30" x14ac:dyDescent="0.35">
      <c r="B217" s="14">
        <v>395</v>
      </c>
      <c r="C217" s="4" t="s">
        <v>224</v>
      </c>
      <c r="D217" s="4" t="s">
        <v>2371</v>
      </c>
      <c r="E217" s="4" t="s">
        <v>2911</v>
      </c>
      <c r="F217" s="4" t="s">
        <v>85</v>
      </c>
      <c r="G217" s="4" t="s">
        <v>993</v>
      </c>
      <c r="H217" s="6">
        <v>4.3999999999999997E-2</v>
      </c>
      <c r="I217" s="8">
        <v>35</v>
      </c>
      <c r="J217" s="8">
        <v>125</v>
      </c>
      <c r="K217" s="8">
        <v>75</v>
      </c>
      <c r="L217" s="8">
        <f t="shared" si="6"/>
        <v>328125</v>
      </c>
      <c r="M217" s="15">
        <v>7897801310789</v>
      </c>
      <c r="N217" s="6" t="s">
        <v>20</v>
      </c>
      <c r="O217" s="6" t="s">
        <v>20</v>
      </c>
      <c r="P217" s="6" t="s">
        <v>20</v>
      </c>
      <c r="Q217" s="6">
        <v>0.2</v>
      </c>
      <c r="R217" s="6">
        <v>0.1</v>
      </c>
      <c r="S217" s="6">
        <v>0.24</v>
      </c>
      <c r="T217" s="8">
        <v>10</v>
      </c>
      <c r="U217" s="5" t="s">
        <v>994</v>
      </c>
      <c r="V217" s="89">
        <v>0</v>
      </c>
      <c r="W217" s="15">
        <v>17897801310786</v>
      </c>
      <c r="X217" s="6">
        <v>0.44</v>
      </c>
      <c r="Y217" s="6">
        <v>0.15</v>
      </c>
      <c r="Z217" s="6">
        <v>0.55000000000000004</v>
      </c>
      <c r="AA217" s="6">
        <f t="shared" si="7"/>
        <v>3.6300000000000006E-2</v>
      </c>
      <c r="AB217" s="8">
        <v>120</v>
      </c>
      <c r="AC217" s="15">
        <v>27897801310783</v>
      </c>
      <c r="AD217" s="4" t="s">
        <v>992</v>
      </c>
    </row>
    <row r="218" spans="2:30" x14ac:dyDescent="0.35">
      <c r="B218" s="14">
        <v>396</v>
      </c>
      <c r="C218" s="4" t="s">
        <v>225</v>
      </c>
      <c r="D218" s="4" t="s">
        <v>2371</v>
      </c>
      <c r="E218" s="4" t="s">
        <v>2911</v>
      </c>
      <c r="F218" s="4" t="s">
        <v>85</v>
      </c>
      <c r="G218" s="4" t="s">
        <v>993</v>
      </c>
      <c r="H218" s="6">
        <v>8.2400000000000001E-2</v>
      </c>
      <c r="I218" s="8">
        <v>45</v>
      </c>
      <c r="J218" s="8">
        <v>158</v>
      </c>
      <c r="K218" s="8">
        <v>110</v>
      </c>
      <c r="L218" s="8">
        <f t="shared" si="6"/>
        <v>782100</v>
      </c>
      <c r="M218" s="15">
        <v>7897801310796</v>
      </c>
      <c r="N218" s="6" t="s">
        <v>20</v>
      </c>
      <c r="O218" s="6" t="s">
        <v>20</v>
      </c>
      <c r="P218" s="6" t="s">
        <v>20</v>
      </c>
      <c r="Q218" s="6">
        <v>0.17</v>
      </c>
      <c r="R218" s="6">
        <v>0.05</v>
      </c>
      <c r="S218" s="6">
        <v>0.21</v>
      </c>
      <c r="T218" s="8">
        <v>5</v>
      </c>
      <c r="U218" s="5" t="s">
        <v>994</v>
      </c>
      <c r="V218" s="89">
        <v>0</v>
      </c>
      <c r="W218" s="15">
        <v>17897801310793</v>
      </c>
      <c r="X218" s="6">
        <v>0.39</v>
      </c>
      <c r="Y218" s="6">
        <v>0.17</v>
      </c>
      <c r="Z218" s="6">
        <v>0.65</v>
      </c>
      <c r="AA218" s="6">
        <f t="shared" si="7"/>
        <v>4.3095000000000008E-2</v>
      </c>
      <c r="AB218" s="8">
        <v>60</v>
      </c>
      <c r="AC218" s="15">
        <v>27897801310790</v>
      </c>
      <c r="AD218" s="4" t="s">
        <v>992</v>
      </c>
    </row>
    <row r="219" spans="2:30" x14ac:dyDescent="0.35">
      <c r="B219" s="14">
        <v>397</v>
      </c>
      <c r="C219" s="4" t="s">
        <v>226</v>
      </c>
      <c r="D219" s="4" t="s">
        <v>2371</v>
      </c>
      <c r="E219" s="4" t="s">
        <v>2911</v>
      </c>
      <c r="F219" s="4" t="s">
        <v>85</v>
      </c>
      <c r="G219" s="4" t="s">
        <v>993</v>
      </c>
      <c r="H219" s="6">
        <v>0.1469</v>
      </c>
      <c r="I219" s="8">
        <v>190</v>
      </c>
      <c r="J219" s="8">
        <v>54</v>
      </c>
      <c r="K219" s="8">
        <v>75</v>
      </c>
      <c r="L219" s="8">
        <f t="shared" si="6"/>
        <v>769500</v>
      </c>
      <c r="M219" s="15">
        <v>7897801310802</v>
      </c>
      <c r="N219" s="6" t="s">
        <v>20</v>
      </c>
      <c r="O219" s="6" t="s">
        <v>20</v>
      </c>
      <c r="P219" s="6" t="s">
        <v>20</v>
      </c>
      <c r="Q219" s="6">
        <v>0.22</v>
      </c>
      <c r="R219" s="6">
        <v>0.06</v>
      </c>
      <c r="S219" s="6">
        <v>0.33</v>
      </c>
      <c r="T219" s="8">
        <v>5</v>
      </c>
      <c r="U219" s="5" t="s">
        <v>994</v>
      </c>
      <c r="V219" s="89">
        <v>0</v>
      </c>
      <c r="W219" s="15">
        <v>17897801310809</v>
      </c>
      <c r="X219" s="6">
        <v>0.44</v>
      </c>
      <c r="Y219" s="6">
        <v>0.15</v>
      </c>
      <c r="Z219" s="6">
        <v>0.56000000000000005</v>
      </c>
      <c r="AA219" s="6">
        <f t="shared" si="7"/>
        <v>3.6960000000000007E-2</v>
      </c>
      <c r="AB219" s="8">
        <v>30</v>
      </c>
      <c r="AC219" s="15">
        <v>27897801310806</v>
      </c>
      <c r="AD219" s="4" t="s">
        <v>992</v>
      </c>
    </row>
    <row r="220" spans="2:30" x14ac:dyDescent="0.35">
      <c r="B220" s="14">
        <v>398</v>
      </c>
      <c r="C220" s="4" t="s">
        <v>227</v>
      </c>
      <c r="D220" s="4" t="s">
        <v>2371</v>
      </c>
      <c r="E220" s="4" t="s">
        <v>2911</v>
      </c>
      <c r="F220" s="4" t="s">
        <v>85</v>
      </c>
      <c r="G220" s="4" t="s">
        <v>993</v>
      </c>
      <c r="H220" s="6">
        <v>0.2024</v>
      </c>
      <c r="I220" s="8">
        <v>240</v>
      </c>
      <c r="J220" s="8">
        <v>11</v>
      </c>
      <c r="K220" s="8">
        <v>70</v>
      </c>
      <c r="L220" s="8">
        <f t="shared" si="6"/>
        <v>184800</v>
      </c>
      <c r="M220" s="15">
        <v>7897801310819</v>
      </c>
      <c r="N220" s="6" t="s">
        <v>20</v>
      </c>
      <c r="O220" s="6" t="s">
        <v>20</v>
      </c>
      <c r="P220" s="6" t="s">
        <v>20</v>
      </c>
      <c r="Q220" s="6">
        <v>0.23499999999999999</v>
      </c>
      <c r="R220" s="6">
        <v>0.13500000000000001</v>
      </c>
      <c r="S220" s="6">
        <v>0.28000000000000003</v>
      </c>
      <c r="T220" s="8">
        <v>5</v>
      </c>
      <c r="U220" s="5" t="s">
        <v>994</v>
      </c>
      <c r="V220" s="89">
        <v>0</v>
      </c>
      <c r="W220" s="15">
        <v>17897801310816</v>
      </c>
      <c r="X220" s="6">
        <v>0.42</v>
      </c>
      <c r="Y220" s="6">
        <v>0.13500000000000001</v>
      </c>
      <c r="Z220" s="6">
        <v>0.56999999999999995</v>
      </c>
      <c r="AA220" s="6">
        <f t="shared" si="7"/>
        <v>3.2319000000000001E-2</v>
      </c>
      <c r="AB220" s="8">
        <v>15</v>
      </c>
      <c r="AC220" s="15">
        <v>27897801310813</v>
      </c>
      <c r="AD220" s="4" t="s">
        <v>992</v>
      </c>
    </row>
    <row r="221" spans="2:30" x14ac:dyDescent="0.35">
      <c r="B221" s="14">
        <v>399</v>
      </c>
      <c r="C221" s="4" t="s">
        <v>228</v>
      </c>
      <c r="D221" s="4" t="s">
        <v>2371</v>
      </c>
      <c r="E221" s="4" t="s">
        <v>2911</v>
      </c>
      <c r="F221" s="4" t="s">
        <v>85</v>
      </c>
      <c r="G221" s="4" t="s">
        <v>993</v>
      </c>
      <c r="H221" s="6">
        <v>0.39600000000000002</v>
      </c>
      <c r="I221" s="8">
        <v>83</v>
      </c>
      <c r="J221" s="8">
        <v>260</v>
      </c>
      <c r="K221" s="8">
        <v>170</v>
      </c>
      <c r="L221" s="8">
        <f t="shared" si="6"/>
        <v>3668600</v>
      </c>
      <c r="M221" s="15">
        <v>7897801310826</v>
      </c>
      <c r="N221" s="6" t="s">
        <v>20</v>
      </c>
      <c r="O221" s="6" t="s">
        <v>20</v>
      </c>
      <c r="P221" s="6" t="s">
        <v>20</v>
      </c>
      <c r="Q221" s="6">
        <v>0.17</v>
      </c>
      <c r="R221" s="6">
        <v>8.5000000000000006E-2</v>
      </c>
      <c r="S221" s="6">
        <v>0.26500000000000001</v>
      </c>
      <c r="T221" s="8">
        <v>1</v>
      </c>
      <c r="U221" s="5" t="s">
        <v>994</v>
      </c>
      <c r="V221" s="89">
        <v>0</v>
      </c>
      <c r="W221" s="15">
        <v>17897801310823</v>
      </c>
      <c r="X221" s="6">
        <v>0.43</v>
      </c>
      <c r="Y221" s="6">
        <v>0.17</v>
      </c>
      <c r="Z221" s="6">
        <v>0.5</v>
      </c>
      <c r="AA221" s="6">
        <f t="shared" si="7"/>
        <v>3.6549999999999999E-2</v>
      </c>
      <c r="AB221" s="8">
        <v>10</v>
      </c>
      <c r="AC221" s="15">
        <v>27897801310820</v>
      </c>
      <c r="AD221" s="4" t="s">
        <v>992</v>
      </c>
    </row>
    <row r="222" spans="2:30" x14ac:dyDescent="0.35">
      <c r="B222" s="14">
        <v>400</v>
      </c>
      <c r="C222" s="4" t="s">
        <v>229</v>
      </c>
      <c r="D222" s="4" t="s">
        <v>2371</v>
      </c>
      <c r="E222" s="4" t="s">
        <v>2911</v>
      </c>
      <c r="F222" s="4" t="s">
        <v>85</v>
      </c>
      <c r="G222" s="4" t="s">
        <v>993</v>
      </c>
      <c r="H222" s="6">
        <v>0.61419999999999997</v>
      </c>
      <c r="I222" s="8">
        <v>30</v>
      </c>
      <c r="J222" s="8">
        <v>130</v>
      </c>
      <c r="K222" s="8">
        <v>95</v>
      </c>
      <c r="L222" s="8">
        <f t="shared" si="6"/>
        <v>370500</v>
      </c>
      <c r="M222" s="15">
        <v>7897801310833</v>
      </c>
      <c r="N222" s="6" t="s">
        <v>20</v>
      </c>
      <c r="O222" s="6" t="s">
        <v>20</v>
      </c>
      <c r="P222" s="6" t="s">
        <v>20</v>
      </c>
      <c r="Q222" s="6">
        <v>0.19500000000000001</v>
      </c>
      <c r="R222" s="6">
        <v>9.5000000000000001E-2</v>
      </c>
      <c r="S222" s="6">
        <v>0.3</v>
      </c>
      <c r="T222" s="8">
        <v>1</v>
      </c>
      <c r="U222" s="5" t="s">
        <v>994</v>
      </c>
      <c r="V222" s="89">
        <v>0</v>
      </c>
      <c r="W222" s="15">
        <v>17897801310830</v>
      </c>
      <c r="X222" s="6">
        <v>0.43</v>
      </c>
      <c r="Y222" s="6">
        <v>0.19</v>
      </c>
      <c r="Z222" s="6">
        <v>0.68500000000000005</v>
      </c>
      <c r="AA222" s="6">
        <f t="shared" si="7"/>
        <v>5.59645E-2</v>
      </c>
      <c r="AB222" s="8">
        <v>10</v>
      </c>
      <c r="AC222" s="15">
        <v>27897801310837</v>
      </c>
      <c r="AD222" s="4" t="s">
        <v>992</v>
      </c>
    </row>
    <row r="223" spans="2:30" x14ac:dyDescent="0.35">
      <c r="B223" s="14">
        <v>401</v>
      </c>
      <c r="C223" s="4" t="s">
        <v>230</v>
      </c>
      <c r="D223" s="4" t="s">
        <v>2371</v>
      </c>
      <c r="E223" s="4" t="s">
        <v>2911</v>
      </c>
      <c r="F223" s="4" t="s">
        <v>85</v>
      </c>
      <c r="G223" s="4" t="s">
        <v>993</v>
      </c>
      <c r="H223" s="6">
        <v>1.3180000000000001</v>
      </c>
      <c r="I223" s="8">
        <v>122</v>
      </c>
      <c r="J223" s="8">
        <v>420</v>
      </c>
      <c r="K223" s="8">
        <v>250</v>
      </c>
      <c r="L223" s="8">
        <f t="shared" si="6"/>
        <v>12810000</v>
      </c>
      <c r="M223" s="15">
        <v>7897801310840</v>
      </c>
      <c r="N223" s="6" t="s">
        <v>20</v>
      </c>
      <c r="O223" s="6" t="s">
        <v>20</v>
      </c>
      <c r="P223" s="6" t="s">
        <v>20</v>
      </c>
      <c r="Q223" s="6">
        <v>0.5</v>
      </c>
      <c r="R223" s="6">
        <v>0.22</v>
      </c>
      <c r="S223" s="6">
        <v>0.77</v>
      </c>
      <c r="T223" s="8">
        <v>1</v>
      </c>
      <c r="U223" s="5" t="s">
        <v>994</v>
      </c>
      <c r="V223" s="89">
        <v>0</v>
      </c>
      <c r="W223" s="15">
        <v>17897801310847</v>
      </c>
      <c r="X223" s="6">
        <v>0.5</v>
      </c>
      <c r="Y223" s="6">
        <v>0.22</v>
      </c>
      <c r="Z223" s="6">
        <v>0.77</v>
      </c>
      <c r="AA223" s="6">
        <f t="shared" si="7"/>
        <v>8.4699999999999998E-2</v>
      </c>
      <c r="AB223" s="8">
        <v>8</v>
      </c>
      <c r="AC223" s="15">
        <v>27897801310844</v>
      </c>
      <c r="AD223" s="4" t="s">
        <v>992</v>
      </c>
    </row>
    <row r="224" spans="2:30" x14ac:dyDescent="0.35">
      <c r="B224" s="14">
        <v>402</v>
      </c>
      <c r="C224" s="4" t="s">
        <v>231</v>
      </c>
      <c r="D224" s="4" t="s">
        <v>2371</v>
      </c>
      <c r="E224" s="4" t="s">
        <v>2911</v>
      </c>
      <c r="F224" s="4" t="s">
        <v>85</v>
      </c>
      <c r="G224" s="4" t="s">
        <v>993</v>
      </c>
      <c r="H224" s="6">
        <v>2.0400000000000001E-2</v>
      </c>
      <c r="I224" s="8">
        <v>22</v>
      </c>
      <c r="J224" s="8">
        <v>40</v>
      </c>
      <c r="K224" s="8">
        <v>140</v>
      </c>
      <c r="L224" s="8">
        <f t="shared" si="6"/>
        <v>123200</v>
      </c>
      <c r="M224" s="15">
        <v>7897801310857</v>
      </c>
      <c r="N224" s="6" t="s">
        <v>20</v>
      </c>
      <c r="O224" s="6" t="s">
        <v>20</v>
      </c>
      <c r="P224" s="6" t="s">
        <v>20</v>
      </c>
      <c r="Q224" s="6">
        <v>0.18</v>
      </c>
      <c r="R224" s="6">
        <v>0.1</v>
      </c>
      <c r="S224" s="6">
        <v>0.22</v>
      </c>
      <c r="T224" s="8">
        <v>20</v>
      </c>
      <c r="U224" s="5" t="s">
        <v>994</v>
      </c>
      <c r="V224" s="89">
        <v>0</v>
      </c>
      <c r="W224" s="15">
        <v>17897801310854</v>
      </c>
      <c r="X224" s="6">
        <v>0.51</v>
      </c>
      <c r="Y224" s="6">
        <v>0.17</v>
      </c>
      <c r="Z224" s="6">
        <v>0.74</v>
      </c>
      <c r="AA224" s="6">
        <f t="shared" si="7"/>
        <v>6.4158000000000007E-2</v>
      </c>
      <c r="AB224" s="8">
        <v>400</v>
      </c>
      <c r="AC224" s="15">
        <v>27897801310851</v>
      </c>
      <c r="AD224" s="4" t="s">
        <v>992</v>
      </c>
    </row>
    <row r="225" spans="2:30" x14ac:dyDescent="0.35">
      <c r="B225" s="14">
        <v>403</v>
      </c>
      <c r="C225" s="4" t="s">
        <v>232</v>
      </c>
      <c r="D225" s="4" t="s">
        <v>2371</v>
      </c>
      <c r="E225" s="4" t="s">
        <v>2911</v>
      </c>
      <c r="F225" s="4" t="s">
        <v>85</v>
      </c>
      <c r="G225" s="4" t="s">
        <v>993</v>
      </c>
      <c r="H225" s="6">
        <v>3.6499999999999998E-2</v>
      </c>
      <c r="I225" s="8">
        <v>28</v>
      </c>
      <c r="J225" s="8">
        <v>50</v>
      </c>
      <c r="K225" s="8">
        <v>175</v>
      </c>
      <c r="L225" s="8">
        <f t="shared" si="6"/>
        <v>245000</v>
      </c>
      <c r="M225" s="15">
        <v>7897801310864</v>
      </c>
      <c r="N225" s="6" t="s">
        <v>20</v>
      </c>
      <c r="O225" s="6" t="s">
        <v>20</v>
      </c>
      <c r="P225" s="6" t="s">
        <v>20</v>
      </c>
      <c r="Q225" s="6">
        <v>0.2</v>
      </c>
      <c r="R225" s="6">
        <v>0.11</v>
      </c>
      <c r="S225" s="6">
        <v>0.25</v>
      </c>
      <c r="T225" s="8">
        <v>20</v>
      </c>
      <c r="U225" s="5" t="s">
        <v>994</v>
      </c>
      <c r="V225" s="89">
        <v>0</v>
      </c>
      <c r="W225" s="15">
        <v>17897801310861</v>
      </c>
      <c r="X225" s="6">
        <v>0.46</v>
      </c>
      <c r="Y225" s="6">
        <v>0.255</v>
      </c>
      <c r="Z225" s="6">
        <v>0.7</v>
      </c>
      <c r="AA225" s="6">
        <f t="shared" si="7"/>
        <v>8.2110000000000002E-2</v>
      </c>
      <c r="AB225" s="8">
        <v>240</v>
      </c>
      <c r="AC225" s="15">
        <v>27897801310868</v>
      </c>
      <c r="AD225" s="4" t="s">
        <v>992</v>
      </c>
    </row>
    <row r="226" spans="2:30" x14ac:dyDescent="0.35">
      <c r="B226" s="14">
        <v>404</v>
      </c>
      <c r="C226" s="4" t="s">
        <v>233</v>
      </c>
      <c r="D226" s="4" t="s">
        <v>2371</v>
      </c>
      <c r="E226" s="4" t="s">
        <v>2911</v>
      </c>
      <c r="F226" s="4" t="s">
        <v>85</v>
      </c>
      <c r="G226" s="4" t="s">
        <v>993</v>
      </c>
      <c r="H226" s="6">
        <v>7.3400000000000007E-2</v>
      </c>
      <c r="I226" s="8">
        <v>38</v>
      </c>
      <c r="J226" s="8">
        <v>60</v>
      </c>
      <c r="K226" s="8">
        <v>220</v>
      </c>
      <c r="L226" s="8">
        <f t="shared" si="6"/>
        <v>501600</v>
      </c>
      <c r="M226" s="15">
        <v>7897801310871</v>
      </c>
      <c r="N226" s="6" t="s">
        <v>20</v>
      </c>
      <c r="O226" s="6" t="s">
        <v>20</v>
      </c>
      <c r="P226" s="6" t="s">
        <v>20</v>
      </c>
      <c r="Q226" s="6">
        <v>0.26500000000000001</v>
      </c>
      <c r="R226" s="6">
        <v>0.12</v>
      </c>
      <c r="S226" s="6">
        <v>0.28000000000000003</v>
      </c>
      <c r="T226" s="8">
        <v>10</v>
      </c>
      <c r="U226" s="5" t="s">
        <v>994</v>
      </c>
      <c r="V226" s="89">
        <v>0</v>
      </c>
      <c r="W226" s="15">
        <v>17897801310878</v>
      </c>
      <c r="X226" s="6">
        <v>0.6</v>
      </c>
      <c r="Y226" s="6">
        <v>0.22</v>
      </c>
      <c r="Z226" s="6">
        <v>0.8</v>
      </c>
      <c r="AA226" s="6">
        <f t="shared" si="7"/>
        <v>0.10560000000000001</v>
      </c>
      <c r="AB226" s="8">
        <v>160</v>
      </c>
      <c r="AC226" s="15">
        <v>27897801310875</v>
      </c>
      <c r="AD226" s="4" t="s">
        <v>992</v>
      </c>
    </row>
    <row r="227" spans="2:30" x14ac:dyDescent="0.35">
      <c r="B227" s="14">
        <v>406</v>
      </c>
      <c r="C227" s="4" t="s">
        <v>234</v>
      </c>
      <c r="D227" s="4" t="s">
        <v>2371</v>
      </c>
      <c r="E227" s="4" t="s">
        <v>2911</v>
      </c>
      <c r="F227" s="4" t="s">
        <v>85</v>
      </c>
      <c r="G227" s="4" t="s">
        <v>993</v>
      </c>
      <c r="H227" s="6">
        <v>2.3800000000000002E-2</v>
      </c>
      <c r="I227" s="8">
        <v>99</v>
      </c>
      <c r="J227" s="8">
        <v>70</v>
      </c>
      <c r="K227" s="8">
        <v>28</v>
      </c>
      <c r="L227" s="8">
        <f t="shared" si="6"/>
        <v>194040</v>
      </c>
      <c r="M227" s="15">
        <v>7897801301626</v>
      </c>
      <c r="N227" s="6" t="s">
        <v>20</v>
      </c>
      <c r="O227" s="6" t="s">
        <v>20</v>
      </c>
      <c r="P227" s="6" t="s">
        <v>20</v>
      </c>
      <c r="Q227" s="6">
        <v>0.24</v>
      </c>
      <c r="R227" s="6">
        <v>0.06</v>
      </c>
      <c r="S227" s="6">
        <v>0.26</v>
      </c>
      <c r="T227" s="8">
        <v>20</v>
      </c>
      <c r="U227" s="5" t="s">
        <v>994</v>
      </c>
      <c r="V227" s="89">
        <v>0</v>
      </c>
      <c r="W227" s="15">
        <v>17897801301623</v>
      </c>
      <c r="X227" s="6">
        <v>0.57999999999999996</v>
      </c>
      <c r="Y227" s="6">
        <v>0.17</v>
      </c>
      <c r="Z227" s="6">
        <v>0.78</v>
      </c>
      <c r="AA227" s="6">
        <f t="shared" si="7"/>
        <v>7.6908000000000004E-2</v>
      </c>
      <c r="AB227" s="8">
        <v>800</v>
      </c>
      <c r="AC227" s="15">
        <v>27897801301620</v>
      </c>
      <c r="AD227" s="4" t="s">
        <v>992</v>
      </c>
    </row>
    <row r="228" spans="2:30" x14ac:dyDescent="0.35">
      <c r="B228" s="14">
        <v>407</v>
      </c>
      <c r="C228" s="4" t="s">
        <v>235</v>
      </c>
      <c r="D228" s="4" t="s">
        <v>2371</v>
      </c>
      <c r="E228" s="4" t="s">
        <v>2911</v>
      </c>
      <c r="F228" s="4" t="s">
        <v>85</v>
      </c>
      <c r="G228" s="4" t="s">
        <v>993</v>
      </c>
      <c r="H228" s="6">
        <v>4.4999999999999998E-2</v>
      </c>
      <c r="I228" s="8">
        <v>119</v>
      </c>
      <c r="J228" s="8">
        <v>51</v>
      </c>
      <c r="K228" s="8">
        <v>34</v>
      </c>
      <c r="L228" s="8">
        <f t="shared" si="6"/>
        <v>206346</v>
      </c>
      <c r="M228" s="15">
        <v>7897801301619</v>
      </c>
      <c r="N228" s="6" t="s">
        <v>20</v>
      </c>
      <c r="O228" s="6" t="s">
        <v>20</v>
      </c>
      <c r="P228" s="6" t="s">
        <v>20</v>
      </c>
      <c r="Q228" s="6">
        <v>0.26500000000000001</v>
      </c>
      <c r="R228" s="6">
        <v>0.22</v>
      </c>
      <c r="S228" s="6">
        <v>0.7</v>
      </c>
      <c r="T228" s="8">
        <v>20</v>
      </c>
      <c r="U228" s="5" t="s">
        <v>994</v>
      </c>
      <c r="V228" s="89">
        <v>0</v>
      </c>
      <c r="W228" s="15">
        <v>17897801301616</v>
      </c>
      <c r="X228" s="6">
        <v>0.65</v>
      </c>
      <c r="Y228" s="6">
        <v>0.20499999999999999</v>
      </c>
      <c r="Z228" s="6">
        <v>0.74</v>
      </c>
      <c r="AA228" s="6">
        <f t="shared" si="7"/>
        <v>9.8604999999999998E-2</v>
      </c>
      <c r="AB228" s="8">
        <v>500</v>
      </c>
      <c r="AC228" s="15">
        <v>47897801301617</v>
      </c>
      <c r="AD228" s="4" t="s">
        <v>992</v>
      </c>
    </row>
    <row r="229" spans="2:30" x14ac:dyDescent="0.35">
      <c r="B229" s="14">
        <v>408</v>
      </c>
      <c r="C229" s="4" t="s">
        <v>236</v>
      </c>
      <c r="D229" s="4" t="s">
        <v>2371</v>
      </c>
      <c r="E229" s="4" t="s">
        <v>2911</v>
      </c>
      <c r="F229" s="4" t="s">
        <v>85</v>
      </c>
      <c r="G229" s="4" t="s">
        <v>993</v>
      </c>
      <c r="H229" s="6">
        <v>6.9900000000000004E-2</v>
      </c>
      <c r="I229" s="8">
        <v>137</v>
      </c>
      <c r="J229" s="8">
        <v>97</v>
      </c>
      <c r="K229" s="8">
        <v>42</v>
      </c>
      <c r="L229" s="8">
        <f t="shared" si="6"/>
        <v>558138</v>
      </c>
      <c r="M229" s="15">
        <v>7897801302784</v>
      </c>
      <c r="N229" s="6" t="s">
        <v>20</v>
      </c>
      <c r="O229" s="6" t="s">
        <v>20</v>
      </c>
      <c r="P229" s="6" t="s">
        <v>20</v>
      </c>
      <c r="Q229" s="6">
        <v>0.22</v>
      </c>
      <c r="R229" s="6">
        <v>7.0000000000000007E-2</v>
      </c>
      <c r="S229" s="6">
        <v>0.27</v>
      </c>
      <c r="T229" s="8">
        <v>10</v>
      </c>
      <c r="U229" s="5" t="s">
        <v>994</v>
      </c>
      <c r="V229" s="89">
        <v>0</v>
      </c>
      <c r="W229" s="15">
        <v>17897801302781</v>
      </c>
      <c r="X229" s="6">
        <v>0.51</v>
      </c>
      <c r="Y229" s="6">
        <v>0.18</v>
      </c>
      <c r="Z229" s="6">
        <v>0.78</v>
      </c>
      <c r="AA229" s="6">
        <f t="shared" si="7"/>
        <v>7.1604000000000001E-2</v>
      </c>
      <c r="AB229" s="8">
        <v>300</v>
      </c>
      <c r="AC229" s="15">
        <v>47897801302782</v>
      </c>
      <c r="AD229" s="4" t="s">
        <v>992</v>
      </c>
    </row>
    <row r="230" spans="2:30" x14ac:dyDescent="0.35">
      <c r="B230" s="14">
        <v>409</v>
      </c>
      <c r="C230" s="4" t="s">
        <v>237</v>
      </c>
      <c r="D230" s="4" t="s">
        <v>2371</v>
      </c>
      <c r="E230" s="4" t="s">
        <v>2911</v>
      </c>
      <c r="F230" s="4" t="s">
        <v>85</v>
      </c>
      <c r="G230" s="4" t="s">
        <v>993</v>
      </c>
      <c r="H230" s="6">
        <v>0.1318</v>
      </c>
      <c r="I230" s="8">
        <v>133</v>
      </c>
      <c r="J230" s="8">
        <v>51.6</v>
      </c>
      <c r="K230" s="8">
        <v>133</v>
      </c>
      <c r="L230" s="8">
        <f t="shared" si="6"/>
        <v>912752.4</v>
      </c>
      <c r="M230" s="15">
        <v>7897801307185</v>
      </c>
      <c r="N230" s="6" t="s">
        <v>20</v>
      </c>
      <c r="O230" s="6" t="s">
        <v>20</v>
      </c>
      <c r="P230" s="6" t="s">
        <v>20</v>
      </c>
      <c r="Q230" s="6">
        <v>0.22</v>
      </c>
      <c r="R230" s="6">
        <v>0.13</v>
      </c>
      <c r="S230" s="6">
        <v>0.36</v>
      </c>
      <c r="T230" s="8">
        <v>10</v>
      </c>
      <c r="U230" s="5" t="s">
        <v>994</v>
      </c>
      <c r="V230" s="89">
        <v>0</v>
      </c>
      <c r="W230" s="15">
        <v>17897801307182</v>
      </c>
      <c r="X230" s="6">
        <v>0.5</v>
      </c>
      <c r="Y230" s="6">
        <v>0.24</v>
      </c>
      <c r="Z230" s="6">
        <v>0.7</v>
      </c>
      <c r="AA230" s="6">
        <f t="shared" si="7"/>
        <v>8.3999999999999991E-2</v>
      </c>
      <c r="AB230" s="8">
        <v>150</v>
      </c>
      <c r="AC230" s="15">
        <v>27897801307189</v>
      </c>
      <c r="AD230" s="4" t="s">
        <v>992</v>
      </c>
    </row>
    <row r="231" spans="2:30" x14ac:dyDescent="0.35">
      <c r="B231" s="14">
        <v>410</v>
      </c>
      <c r="C231" s="4" t="s">
        <v>238</v>
      </c>
      <c r="D231" s="4" t="s">
        <v>2371</v>
      </c>
      <c r="E231" s="4" t="s">
        <v>2911</v>
      </c>
      <c r="F231" s="4" t="s">
        <v>85</v>
      </c>
      <c r="G231" s="4" t="s">
        <v>993</v>
      </c>
      <c r="H231" s="6">
        <v>0.2195</v>
      </c>
      <c r="I231" s="8">
        <v>230</v>
      </c>
      <c r="J231" s="8">
        <v>163</v>
      </c>
      <c r="K231" s="8">
        <v>63</v>
      </c>
      <c r="L231" s="8">
        <f t="shared" si="6"/>
        <v>2361870</v>
      </c>
      <c r="M231" s="15">
        <v>7897801301633</v>
      </c>
      <c r="N231" s="6" t="s">
        <v>20</v>
      </c>
      <c r="O231" s="6" t="s">
        <v>20</v>
      </c>
      <c r="P231" s="6" t="s">
        <v>20</v>
      </c>
      <c r="Q231" s="6">
        <v>0.28000000000000003</v>
      </c>
      <c r="R231" s="6">
        <v>0.115</v>
      </c>
      <c r="S231" s="6">
        <v>0.39</v>
      </c>
      <c r="T231" s="8">
        <v>10</v>
      </c>
      <c r="U231" s="5" t="s">
        <v>994</v>
      </c>
      <c r="V231" s="89">
        <v>0</v>
      </c>
      <c r="W231" s="15">
        <v>17897801301630</v>
      </c>
      <c r="X231" s="6">
        <v>0.5</v>
      </c>
      <c r="Y231" s="6">
        <v>0.33</v>
      </c>
      <c r="Z231" s="6">
        <v>0.79</v>
      </c>
      <c r="AA231" s="6">
        <f t="shared" si="7"/>
        <v>0.13035000000000002</v>
      </c>
      <c r="AB231" s="8">
        <v>80</v>
      </c>
      <c r="AC231" s="15">
        <v>27897801301637</v>
      </c>
      <c r="AD231" s="4" t="s">
        <v>992</v>
      </c>
    </row>
    <row r="232" spans="2:30" x14ac:dyDescent="0.35">
      <c r="B232" s="14">
        <v>411</v>
      </c>
      <c r="C232" s="4" t="s">
        <v>239</v>
      </c>
      <c r="D232" s="4" t="s">
        <v>2371</v>
      </c>
      <c r="E232" s="4" t="s">
        <v>2911</v>
      </c>
      <c r="F232" s="4" t="s">
        <v>85</v>
      </c>
      <c r="G232" s="4" t="s">
        <v>993</v>
      </c>
      <c r="H232" s="6">
        <v>0.313</v>
      </c>
      <c r="I232" s="8">
        <v>176</v>
      </c>
      <c r="J232" s="8">
        <v>74</v>
      </c>
      <c r="K232" s="8">
        <v>176</v>
      </c>
      <c r="L232" s="8">
        <f t="shared" si="6"/>
        <v>2292224</v>
      </c>
      <c r="M232" s="15">
        <v>7897801307550</v>
      </c>
      <c r="N232" s="6" t="s">
        <v>20</v>
      </c>
      <c r="O232" s="6" t="s">
        <v>20</v>
      </c>
      <c r="P232" s="6" t="s">
        <v>20</v>
      </c>
      <c r="Q232" s="6">
        <v>0.25</v>
      </c>
      <c r="R232" s="6">
        <v>0.05</v>
      </c>
      <c r="S232" s="6">
        <v>0.48</v>
      </c>
      <c r="T232" s="8">
        <v>5</v>
      </c>
      <c r="U232" s="5" t="s">
        <v>994</v>
      </c>
      <c r="V232" s="89">
        <v>0</v>
      </c>
      <c r="W232" s="15">
        <v>17897801307557</v>
      </c>
      <c r="X232" s="6">
        <v>0.6</v>
      </c>
      <c r="Y232" s="6">
        <v>0.31</v>
      </c>
      <c r="Z232" s="6">
        <v>0.76</v>
      </c>
      <c r="AA232" s="6">
        <f t="shared" si="7"/>
        <v>0.14136000000000001</v>
      </c>
      <c r="AB232" s="8">
        <v>50</v>
      </c>
      <c r="AC232" s="15">
        <v>27897801307554</v>
      </c>
      <c r="AD232" s="4" t="s">
        <v>992</v>
      </c>
    </row>
    <row r="233" spans="2:30" x14ac:dyDescent="0.35">
      <c r="B233" s="14">
        <v>412</v>
      </c>
      <c r="C233" s="4" t="s">
        <v>240</v>
      </c>
      <c r="D233" s="4" t="s">
        <v>2371</v>
      </c>
      <c r="E233" s="4" t="s">
        <v>2911</v>
      </c>
      <c r="F233" s="4" t="s">
        <v>85</v>
      </c>
      <c r="G233" s="4" t="s">
        <v>993</v>
      </c>
      <c r="H233" s="6">
        <v>0.52</v>
      </c>
      <c r="I233" s="8">
        <v>250</v>
      </c>
      <c r="J233" s="8">
        <v>250</v>
      </c>
      <c r="K233" s="8">
        <v>85</v>
      </c>
      <c r="L233" s="8">
        <f t="shared" si="6"/>
        <v>5312500</v>
      </c>
      <c r="M233" s="15">
        <v>7897801310987</v>
      </c>
      <c r="N233" s="6" t="s">
        <v>20</v>
      </c>
      <c r="O233" s="6" t="s">
        <v>20</v>
      </c>
      <c r="P233" s="6" t="s">
        <v>20</v>
      </c>
      <c r="Q233" s="6">
        <v>0.22500000000000001</v>
      </c>
      <c r="R233" s="6">
        <v>9.5000000000000001E-2</v>
      </c>
      <c r="S233" s="6">
        <v>0.22500000000000001</v>
      </c>
      <c r="T233" s="8">
        <v>1</v>
      </c>
      <c r="U233" s="5" t="s">
        <v>994</v>
      </c>
      <c r="V233" s="89">
        <v>0</v>
      </c>
      <c r="W233" s="15">
        <v>17897801310984</v>
      </c>
      <c r="X233" s="6">
        <v>0.5</v>
      </c>
      <c r="Y233" s="6">
        <v>0.2</v>
      </c>
      <c r="Z233" s="6">
        <v>0.78</v>
      </c>
      <c r="AA233" s="6">
        <f t="shared" si="7"/>
        <v>7.8000000000000014E-2</v>
      </c>
      <c r="AB233" s="8">
        <v>15</v>
      </c>
      <c r="AC233" s="15">
        <v>27897801310981</v>
      </c>
      <c r="AD233" s="4" t="s">
        <v>992</v>
      </c>
    </row>
    <row r="234" spans="2:30" x14ac:dyDescent="0.35">
      <c r="B234" s="14">
        <v>413</v>
      </c>
      <c r="C234" s="4" t="s">
        <v>241</v>
      </c>
      <c r="D234" s="4" t="s">
        <v>2371</v>
      </c>
      <c r="E234" s="4" t="s">
        <v>2911</v>
      </c>
      <c r="F234" s="4" t="s">
        <v>85</v>
      </c>
      <c r="G234" s="4" t="s">
        <v>993</v>
      </c>
      <c r="H234" s="6">
        <v>0.81</v>
      </c>
      <c r="I234" s="8">
        <v>290</v>
      </c>
      <c r="J234" s="8">
        <v>290</v>
      </c>
      <c r="K234" s="8">
        <v>95</v>
      </c>
      <c r="L234" s="8">
        <f t="shared" si="6"/>
        <v>7989500</v>
      </c>
      <c r="M234" s="15">
        <v>7897801310994</v>
      </c>
      <c r="N234" s="6" t="s">
        <v>20</v>
      </c>
      <c r="O234" s="6" t="s">
        <v>20</v>
      </c>
      <c r="P234" s="6" t="s">
        <v>20</v>
      </c>
      <c r="Q234" s="6">
        <v>0.3</v>
      </c>
      <c r="R234" s="6">
        <v>0.105</v>
      </c>
      <c r="S234" s="6">
        <v>0.3</v>
      </c>
      <c r="T234" s="8">
        <v>1</v>
      </c>
      <c r="U234" s="5" t="s">
        <v>994</v>
      </c>
      <c r="V234" s="89">
        <v>0</v>
      </c>
      <c r="W234" s="15">
        <v>17897801310991</v>
      </c>
      <c r="X234" s="6">
        <v>0.49</v>
      </c>
      <c r="Y234" s="6">
        <v>0.22</v>
      </c>
      <c r="Z234" s="6">
        <v>0.68</v>
      </c>
      <c r="AA234" s="6">
        <f t="shared" si="7"/>
        <v>7.3303999999999994E-2</v>
      </c>
      <c r="AB234" s="8">
        <v>12</v>
      </c>
      <c r="AC234" s="15">
        <v>27897801310998</v>
      </c>
      <c r="AD234" s="4" t="s">
        <v>992</v>
      </c>
    </row>
    <row r="235" spans="2:30" x14ac:dyDescent="0.35">
      <c r="B235" s="14">
        <v>414</v>
      </c>
      <c r="C235" s="4" t="s">
        <v>242</v>
      </c>
      <c r="D235" s="4" t="s">
        <v>2371</v>
      </c>
      <c r="E235" s="4" t="s">
        <v>2911</v>
      </c>
      <c r="F235" s="4" t="s">
        <v>85</v>
      </c>
      <c r="G235" s="4" t="s">
        <v>993</v>
      </c>
      <c r="H235" s="6">
        <v>1.6</v>
      </c>
      <c r="I235" s="8">
        <v>122</v>
      </c>
      <c r="J235" s="8">
        <v>410</v>
      </c>
      <c r="K235" s="8">
        <v>410</v>
      </c>
      <c r="L235" s="8">
        <f t="shared" si="6"/>
        <v>20508200</v>
      </c>
      <c r="M235" s="15">
        <v>7897801311007</v>
      </c>
      <c r="N235" s="6" t="s">
        <v>20</v>
      </c>
      <c r="O235" s="6" t="s">
        <v>20</v>
      </c>
      <c r="P235" s="6" t="s">
        <v>20</v>
      </c>
      <c r="Q235" s="6">
        <v>0.5</v>
      </c>
      <c r="R235" s="6">
        <v>0.23</v>
      </c>
      <c r="S235" s="6">
        <v>0.7</v>
      </c>
      <c r="T235" s="8">
        <v>1</v>
      </c>
      <c r="U235" s="5" t="s">
        <v>994</v>
      </c>
      <c r="V235" s="89">
        <v>0</v>
      </c>
      <c r="W235" s="15">
        <v>17897801311004</v>
      </c>
      <c r="X235" s="6">
        <v>0.55000000000000004</v>
      </c>
      <c r="Y235" s="6">
        <v>0.24</v>
      </c>
      <c r="Z235" s="6">
        <v>0.62</v>
      </c>
      <c r="AA235" s="6">
        <f t="shared" si="7"/>
        <v>8.184000000000001E-2</v>
      </c>
      <c r="AB235" s="8">
        <v>5</v>
      </c>
      <c r="AC235" s="15">
        <v>27897801311001</v>
      </c>
      <c r="AD235" s="4" t="s">
        <v>992</v>
      </c>
    </row>
    <row r="236" spans="2:30" x14ac:dyDescent="0.35">
      <c r="B236" s="14">
        <v>415</v>
      </c>
      <c r="C236" s="4" t="s">
        <v>243</v>
      </c>
      <c r="D236" s="4" t="s">
        <v>2371</v>
      </c>
      <c r="E236" s="4" t="s">
        <v>2911</v>
      </c>
      <c r="F236" s="4" t="s">
        <v>85</v>
      </c>
      <c r="G236" s="4" t="s">
        <v>993</v>
      </c>
      <c r="H236" s="6">
        <v>1.2500000000000001E-2</v>
      </c>
      <c r="I236" s="8">
        <v>38</v>
      </c>
      <c r="J236" s="8">
        <v>48</v>
      </c>
      <c r="K236" s="8">
        <v>28</v>
      </c>
      <c r="L236" s="8">
        <f t="shared" si="6"/>
        <v>51072</v>
      </c>
      <c r="M236" s="15">
        <v>7897801302234</v>
      </c>
      <c r="N236" s="6" t="s">
        <v>20</v>
      </c>
      <c r="O236" s="6" t="s">
        <v>20</v>
      </c>
      <c r="P236" s="6" t="s">
        <v>20</v>
      </c>
      <c r="Q236" s="6">
        <v>0.19500000000000001</v>
      </c>
      <c r="R236" s="6">
        <v>7.0000000000000007E-2</v>
      </c>
      <c r="S236" s="6">
        <v>0.26</v>
      </c>
      <c r="T236" s="8">
        <v>50</v>
      </c>
      <c r="U236" s="5" t="s">
        <v>994</v>
      </c>
      <c r="V236" s="89">
        <v>0</v>
      </c>
      <c r="W236" s="15">
        <v>17897801302231</v>
      </c>
      <c r="X236" s="6">
        <v>0.51</v>
      </c>
      <c r="Y236" s="6">
        <v>0.21</v>
      </c>
      <c r="Z236" s="6">
        <v>0.76</v>
      </c>
      <c r="AA236" s="6">
        <f t="shared" si="7"/>
        <v>8.1395999999999996E-2</v>
      </c>
      <c r="AB236" s="8">
        <v>1400</v>
      </c>
      <c r="AC236" s="15">
        <v>47897801302232</v>
      </c>
      <c r="AD236" s="4" t="s">
        <v>992</v>
      </c>
    </row>
    <row r="237" spans="2:30" x14ac:dyDescent="0.35">
      <c r="B237" s="14">
        <v>416</v>
      </c>
      <c r="C237" s="4" t="s">
        <v>244</v>
      </c>
      <c r="D237" s="4" t="s">
        <v>2371</v>
      </c>
      <c r="E237" s="4" t="s">
        <v>2911</v>
      </c>
      <c r="F237" s="4" t="s">
        <v>85</v>
      </c>
      <c r="G237" s="4" t="s">
        <v>993</v>
      </c>
      <c r="H237" s="6">
        <v>1.9900000000000001E-2</v>
      </c>
      <c r="I237" s="8">
        <v>45</v>
      </c>
      <c r="J237" s="8">
        <v>57</v>
      </c>
      <c r="K237" s="8">
        <v>34</v>
      </c>
      <c r="L237" s="8">
        <f t="shared" si="6"/>
        <v>87210</v>
      </c>
      <c r="M237" s="15">
        <v>7897801302241</v>
      </c>
      <c r="N237" s="6" t="s">
        <v>20</v>
      </c>
      <c r="O237" s="6" t="s">
        <v>20</v>
      </c>
      <c r="P237" s="6" t="s">
        <v>20</v>
      </c>
      <c r="Q237" s="6">
        <v>0.2</v>
      </c>
      <c r="R237" s="6">
        <v>5.5E-2</v>
      </c>
      <c r="S237" s="6">
        <v>0.31</v>
      </c>
      <c r="T237" s="8">
        <v>50</v>
      </c>
      <c r="U237" s="5" t="s">
        <v>994</v>
      </c>
      <c r="V237" s="89">
        <v>0</v>
      </c>
      <c r="W237" s="15">
        <v>17897801302248</v>
      </c>
      <c r="X237" s="6">
        <v>0.53</v>
      </c>
      <c r="Y237" s="6">
        <v>0.22</v>
      </c>
      <c r="Z237" s="6">
        <v>0.7</v>
      </c>
      <c r="AA237" s="6">
        <f t="shared" si="7"/>
        <v>8.1619999999999998E-2</v>
      </c>
      <c r="AB237" s="8">
        <v>1000</v>
      </c>
      <c r="AC237" s="15">
        <v>47897801302249</v>
      </c>
      <c r="AD237" s="4" t="s">
        <v>992</v>
      </c>
    </row>
    <row r="238" spans="2:30" x14ac:dyDescent="0.35">
      <c r="B238" s="14">
        <v>417</v>
      </c>
      <c r="C238" s="4" t="s">
        <v>245</v>
      </c>
      <c r="D238" s="4" t="s">
        <v>2371</v>
      </c>
      <c r="E238" s="4" t="s">
        <v>2911</v>
      </c>
      <c r="F238" s="4" t="s">
        <v>85</v>
      </c>
      <c r="G238" s="4" t="s">
        <v>993</v>
      </c>
      <c r="H238" s="6">
        <v>3.5799999999999998E-2</v>
      </c>
      <c r="I238" s="8">
        <v>58</v>
      </c>
      <c r="J238" s="8">
        <v>69</v>
      </c>
      <c r="K238" s="8">
        <v>42</v>
      </c>
      <c r="L238" s="8">
        <f t="shared" si="6"/>
        <v>168084</v>
      </c>
      <c r="M238" s="15">
        <v>7897801302791</v>
      </c>
      <c r="N238" s="6" t="s">
        <v>20</v>
      </c>
      <c r="O238" s="6" t="s">
        <v>20</v>
      </c>
      <c r="P238" s="6" t="s">
        <v>20</v>
      </c>
      <c r="Q238" s="6">
        <v>0.2</v>
      </c>
      <c r="R238" s="6">
        <v>0.08</v>
      </c>
      <c r="S238" s="6">
        <v>0.245</v>
      </c>
      <c r="T238" s="8">
        <v>10</v>
      </c>
      <c r="U238" s="5" t="s">
        <v>994</v>
      </c>
      <c r="V238" s="89">
        <v>0</v>
      </c>
      <c r="W238" s="15">
        <v>17897801302798</v>
      </c>
      <c r="X238" s="6">
        <v>0.57999999999999996</v>
      </c>
      <c r="Y238" s="6">
        <v>0.21</v>
      </c>
      <c r="Z238" s="6">
        <v>0.81</v>
      </c>
      <c r="AA238" s="6">
        <f t="shared" si="7"/>
        <v>9.8657999999999996E-2</v>
      </c>
      <c r="AB238" s="8">
        <v>600</v>
      </c>
      <c r="AC238" s="15">
        <v>27897801302795</v>
      </c>
      <c r="AD238" s="4" t="s">
        <v>992</v>
      </c>
    </row>
    <row r="239" spans="2:30" x14ac:dyDescent="0.35">
      <c r="B239" s="14">
        <v>418</v>
      </c>
      <c r="C239" s="4" t="s">
        <v>246</v>
      </c>
      <c r="D239" s="4" t="s">
        <v>2371</v>
      </c>
      <c r="E239" s="4" t="s">
        <v>2911</v>
      </c>
      <c r="F239" s="4" t="s">
        <v>85</v>
      </c>
      <c r="G239" s="4" t="s">
        <v>993</v>
      </c>
      <c r="H239" s="6">
        <v>5.9200000000000003E-2</v>
      </c>
      <c r="I239" s="8">
        <v>78</v>
      </c>
      <c r="J239" s="8">
        <v>52</v>
      </c>
      <c r="K239" s="8">
        <v>78</v>
      </c>
      <c r="L239" s="8">
        <f t="shared" si="6"/>
        <v>316368</v>
      </c>
      <c r="M239" s="15">
        <v>7897801307307</v>
      </c>
      <c r="N239" s="6" t="s">
        <v>20</v>
      </c>
      <c r="O239" s="6" t="s">
        <v>20</v>
      </c>
      <c r="P239" s="6" t="s">
        <v>20</v>
      </c>
      <c r="Q239" s="6">
        <v>0.2</v>
      </c>
      <c r="R239" s="6">
        <v>5.5E-2</v>
      </c>
      <c r="S239" s="6">
        <v>0.2</v>
      </c>
      <c r="T239" s="8">
        <v>10</v>
      </c>
      <c r="U239" s="5" t="s">
        <v>994</v>
      </c>
      <c r="V239" s="89">
        <v>0</v>
      </c>
      <c r="W239" s="15">
        <v>17897801307304</v>
      </c>
      <c r="X239" s="6">
        <v>0.57999999999999996</v>
      </c>
      <c r="Y239" s="6">
        <v>0.2</v>
      </c>
      <c r="Z239" s="6">
        <v>0.75</v>
      </c>
      <c r="AA239" s="6">
        <f t="shared" si="7"/>
        <v>8.6999999999999994E-2</v>
      </c>
      <c r="AB239" s="8">
        <v>300</v>
      </c>
      <c r="AC239" s="15">
        <v>27897801307301</v>
      </c>
      <c r="AD239" s="4" t="s">
        <v>992</v>
      </c>
    </row>
    <row r="240" spans="2:30" x14ac:dyDescent="0.35">
      <c r="B240" s="14">
        <v>419</v>
      </c>
      <c r="C240" s="4" t="s">
        <v>247</v>
      </c>
      <c r="D240" s="4" t="s">
        <v>2371</v>
      </c>
      <c r="E240" s="4" t="s">
        <v>2911</v>
      </c>
      <c r="F240" s="4" t="s">
        <v>85</v>
      </c>
      <c r="G240" s="4" t="s">
        <v>993</v>
      </c>
      <c r="H240" s="6">
        <v>9.8199999999999996E-2</v>
      </c>
      <c r="I240" s="8">
        <v>82</v>
      </c>
      <c r="J240" s="8">
        <v>101</v>
      </c>
      <c r="K240" s="8">
        <v>63</v>
      </c>
      <c r="L240" s="8">
        <f t="shared" si="6"/>
        <v>521766</v>
      </c>
      <c r="M240" s="15">
        <v>7897801302227</v>
      </c>
      <c r="N240" s="6" t="s">
        <v>20</v>
      </c>
      <c r="O240" s="6" t="s">
        <v>20</v>
      </c>
      <c r="P240" s="6" t="s">
        <v>20</v>
      </c>
      <c r="Q240" s="6">
        <v>0.21</v>
      </c>
      <c r="R240" s="6">
        <v>7.4999999999999997E-2</v>
      </c>
      <c r="S240" s="6">
        <v>0.36</v>
      </c>
      <c r="T240" s="8">
        <v>10</v>
      </c>
      <c r="U240" s="5" t="s">
        <v>994</v>
      </c>
      <c r="V240" s="89">
        <v>0</v>
      </c>
      <c r="W240" s="15">
        <v>17897801302224</v>
      </c>
      <c r="X240" s="6">
        <v>0.56999999999999995</v>
      </c>
      <c r="Y240" s="6">
        <v>0.23</v>
      </c>
      <c r="Z240" s="6">
        <v>0.75</v>
      </c>
      <c r="AA240" s="6">
        <f t="shared" si="7"/>
        <v>9.8324999999999996E-2</v>
      </c>
      <c r="AB240" s="8">
        <v>200</v>
      </c>
      <c r="AC240" s="15">
        <v>27897801302221</v>
      </c>
      <c r="AD240" s="4" t="s">
        <v>992</v>
      </c>
    </row>
    <row r="241" spans="2:30" x14ac:dyDescent="0.35">
      <c r="B241" s="14">
        <v>420</v>
      </c>
      <c r="C241" s="4" t="s">
        <v>248</v>
      </c>
      <c r="D241" s="4" t="s">
        <v>2371</v>
      </c>
      <c r="E241" s="4" t="s">
        <v>2911</v>
      </c>
      <c r="F241" s="4" t="s">
        <v>85</v>
      </c>
      <c r="G241" s="4" t="s">
        <v>993</v>
      </c>
      <c r="H241" s="6">
        <v>0.1487</v>
      </c>
      <c r="I241" s="8">
        <v>117</v>
      </c>
      <c r="J241" s="8">
        <v>74</v>
      </c>
      <c r="K241" s="8">
        <v>117</v>
      </c>
      <c r="L241" s="8">
        <f t="shared" si="6"/>
        <v>1012986</v>
      </c>
      <c r="M241" s="15">
        <v>7897801307567</v>
      </c>
      <c r="N241" s="6" t="s">
        <v>20</v>
      </c>
      <c r="O241" s="6" t="s">
        <v>20</v>
      </c>
      <c r="P241" s="6" t="s">
        <v>20</v>
      </c>
      <c r="Q241" s="6">
        <v>0.3</v>
      </c>
      <c r="R241" s="6">
        <v>0.13</v>
      </c>
      <c r="S241" s="6">
        <v>0.4</v>
      </c>
      <c r="T241" s="8">
        <v>10</v>
      </c>
      <c r="U241" s="5" t="s">
        <v>994</v>
      </c>
      <c r="V241" s="89">
        <v>0</v>
      </c>
      <c r="W241" s="15">
        <v>17897801307564</v>
      </c>
      <c r="X241" s="6">
        <v>0.5</v>
      </c>
      <c r="Y241" s="6">
        <v>0.23</v>
      </c>
      <c r="Z241" s="6">
        <v>0.75</v>
      </c>
      <c r="AA241" s="6">
        <f t="shared" si="7"/>
        <v>8.6250000000000007E-2</v>
      </c>
      <c r="AB241" s="8">
        <v>120</v>
      </c>
      <c r="AC241" s="15">
        <v>27897801307561</v>
      </c>
      <c r="AD241" s="4" t="s">
        <v>992</v>
      </c>
    </row>
    <row r="242" spans="2:30" x14ac:dyDescent="0.35">
      <c r="B242" s="14">
        <v>421</v>
      </c>
      <c r="C242" s="4" t="s">
        <v>249</v>
      </c>
      <c r="D242" s="4" t="s">
        <v>2371</v>
      </c>
      <c r="E242" s="4" t="s">
        <v>2911</v>
      </c>
      <c r="F242" s="4" t="s">
        <v>85</v>
      </c>
      <c r="G242" s="4" t="s">
        <v>993</v>
      </c>
      <c r="H242" s="6">
        <v>0.27229999999999999</v>
      </c>
      <c r="I242" s="8">
        <v>125</v>
      </c>
      <c r="J242" s="8">
        <v>100</v>
      </c>
      <c r="K242" s="8">
        <v>90</v>
      </c>
      <c r="L242" s="8">
        <f t="shared" si="6"/>
        <v>1125000</v>
      </c>
      <c r="M242" s="15">
        <v>7897801311274</v>
      </c>
      <c r="N242" s="6" t="s">
        <v>20</v>
      </c>
      <c r="O242" s="6" t="s">
        <v>20</v>
      </c>
      <c r="P242" s="6" t="s">
        <v>20</v>
      </c>
      <c r="Q242" s="6">
        <v>0.215</v>
      </c>
      <c r="R242" s="6">
        <v>0.14000000000000001</v>
      </c>
      <c r="S242" s="6">
        <v>0.35</v>
      </c>
      <c r="T242" s="8">
        <v>5</v>
      </c>
      <c r="U242" s="5" t="s">
        <v>994</v>
      </c>
      <c r="V242" s="89">
        <v>0</v>
      </c>
      <c r="W242" s="15">
        <v>17897801311271</v>
      </c>
      <c r="X242" s="6">
        <v>0.59</v>
      </c>
      <c r="Y242" s="6">
        <v>0.25</v>
      </c>
      <c r="Z242" s="6">
        <v>0.82</v>
      </c>
      <c r="AA242" s="6">
        <f t="shared" si="7"/>
        <v>0.12094999999999999</v>
      </c>
      <c r="AB242" s="8">
        <v>70</v>
      </c>
      <c r="AC242" s="15">
        <v>27897801311278</v>
      </c>
      <c r="AD242" s="4" t="s">
        <v>992</v>
      </c>
    </row>
    <row r="243" spans="2:30" x14ac:dyDescent="0.35">
      <c r="B243" s="14">
        <v>422</v>
      </c>
      <c r="C243" s="4" t="s">
        <v>250</v>
      </c>
      <c r="D243" s="4" t="s">
        <v>2371</v>
      </c>
      <c r="E243" s="4" t="s">
        <v>2911</v>
      </c>
      <c r="F243" s="4" t="s">
        <v>85</v>
      </c>
      <c r="G243" s="4" t="s">
        <v>993</v>
      </c>
      <c r="H243" s="6">
        <v>0.35659999999999997</v>
      </c>
      <c r="I243" s="8">
        <v>105</v>
      </c>
      <c r="J243" s="8">
        <v>150</v>
      </c>
      <c r="K243" s="8">
        <v>130</v>
      </c>
      <c r="L243" s="8">
        <f t="shared" si="6"/>
        <v>2047500</v>
      </c>
      <c r="M243" s="15">
        <v>7897801311281</v>
      </c>
      <c r="N243" s="6" t="s">
        <v>20</v>
      </c>
      <c r="O243" s="6" t="s">
        <v>20</v>
      </c>
      <c r="P243" s="6" t="s">
        <v>20</v>
      </c>
      <c r="Q243" s="6">
        <v>0.17</v>
      </c>
      <c r="R243" s="6">
        <v>0.11</v>
      </c>
      <c r="S243" s="6">
        <v>0.34</v>
      </c>
      <c r="T243" s="8">
        <v>3</v>
      </c>
      <c r="U243" s="5" t="s">
        <v>994</v>
      </c>
      <c r="V243" s="89">
        <v>0</v>
      </c>
      <c r="W243" s="15">
        <v>17897801311288</v>
      </c>
      <c r="X243" s="6">
        <v>0.5</v>
      </c>
      <c r="Y243" s="6">
        <v>0.23</v>
      </c>
      <c r="Z243" s="6">
        <v>0.75</v>
      </c>
      <c r="AA243" s="6">
        <f t="shared" si="7"/>
        <v>8.6250000000000007E-2</v>
      </c>
      <c r="AB243" s="8">
        <v>48</v>
      </c>
      <c r="AC243" s="15">
        <v>27897801311285</v>
      </c>
      <c r="AD243" s="4" t="s">
        <v>992</v>
      </c>
    </row>
    <row r="244" spans="2:30" x14ac:dyDescent="0.35">
      <c r="B244" s="14">
        <v>423</v>
      </c>
      <c r="C244" s="4" t="s">
        <v>251</v>
      </c>
      <c r="D244" s="4" t="s">
        <v>2371</v>
      </c>
      <c r="E244" s="4" t="s">
        <v>2911</v>
      </c>
      <c r="F244" s="4" t="s">
        <v>85</v>
      </c>
      <c r="G244" s="4" t="s">
        <v>993</v>
      </c>
      <c r="H244" s="6">
        <v>0.60740000000000005</v>
      </c>
      <c r="I244" s="8">
        <v>125</v>
      </c>
      <c r="J244" s="8">
        <v>180</v>
      </c>
      <c r="K244" s="8">
        <v>170</v>
      </c>
      <c r="L244" s="8">
        <f t="shared" si="6"/>
        <v>3825000</v>
      </c>
      <c r="M244" s="15">
        <v>7897801311298</v>
      </c>
      <c r="N244" s="6" t="s">
        <v>20</v>
      </c>
      <c r="O244" s="6" t="s">
        <v>20</v>
      </c>
      <c r="P244" s="6" t="s">
        <v>20</v>
      </c>
      <c r="Q244" s="6">
        <v>0.17499999999999999</v>
      </c>
      <c r="R244" s="6">
        <v>0.13</v>
      </c>
      <c r="S244" s="6">
        <v>0.2</v>
      </c>
      <c r="T244" s="8">
        <v>1</v>
      </c>
      <c r="U244" s="5" t="s">
        <v>994</v>
      </c>
      <c r="V244" s="89">
        <v>0</v>
      </c>
      <c r="W244" s="15">
        <v>17897801311295</v>
      </c>
      <c r="X244" s="6">
        <v>0.45</v>
      </c>
      <c r="Y244" s="6">
        <v>0.2</v>
      </c>
      <c r="Z244" s="6">
        <v>0.65</v>
      </c>
      <c r="AA244" s="6">
        <f t="shared" si="7"/>
        <v>5.850000000000001E-2</v>
      </c>
      <c r="AB244" s="8">
        <v>15</v>
      </c>
      <c r="AC244" s="15">
        <v>27897801311292</v>
      </c>
      <c r="AD244" s="4" t="s">
        <v>992</v>
      </c>
    </row>
    <row r="245" spans="2:30" x14ac:dyDescent="0.35">
      <c r="B245" s="14">
        <v>424</v>
      </c>
      <c r="C245" s="4" t="s">
        <v>252</v>
      </c>
      <c r="D245" s="4" t="s">
        <v>2371</v>
      </c>
      <c r="E245" s="4" t="s">
        <v>2911</v>
      </c>
      <c r="F245" s="4" t="s">
        <v>85</v>
      </c>
      <c r="G245" s="4" t="s">
        <v>993</v>
      </c>
      <c r="H245" s="6">
        <v>1.52E-2</v>
      </c>
      <c r="I245" s="8">
        <v>41.4</v>
      </c>
      <c r="J245" s="8">
        <v>28</v>
      </c>
      <c r="K245" s="8">
        <v>41.4</v>
      </c>
      <c r="L245" s="8">
        <f t="shared" si="6"/>
        <v>47990.879999999997</v>
      </c>
      <c r="M245" s="15">
        <v>7897801300506</v>
      </c>
      <c r="N245" s="6" t="s">
        <v>20</v>
      </c>
      <c r="O245" s="6" t="s">
        <v>20</v>
      </c>
      <c r="P245" s="6" t="s">
        <v>20</v>
      </c>
      <c r="Q245" s="6">
        <v>0.22</v>
      </c>
      <c r="R245" s="6">
        <v>7.0000000000000007E-2</v>
      </c>
      <c r="S245" s="6">
        <v>0.24</v>
      </c>
      <c r="T245" s="8">
        <v>50</v>
      </c>
      <c r="U245" s="5" t="s">
        <v>994</v>
      </c>
      <c r="V245" s="89">
        <v>0</v>
      </c>
      <c r="W245" s="15">
        <v>17897801300503</v>
      </c>
      <c r="X245" s="6">
        <v>0.51</v>
      </c>
      <c r="Y245" s="6">
        <v>0.02</v>
      </c>
      <c r="Z245" s="6">
        <v>0.78</v>
      </c>
      <c r="AA245" s="6">
        <f t="shared" si="7"/>
        <v>7.9560000000000013E-3</v>
      </c>
      <c r="AB245" s="8">
        <v>1250</v>
      </c>
      <c r="AC245" s="15">
        <v>47897801300504</v>
      </c>
      <c r="AD245" s="4" t="s">
        <v>992</v>
      </c>
    </row>
    <row r="246" spans="2:30" x14ac:dyDescent="0.35">
      <c r="B246" s="14">
        <v>425</v>
      </c>
      <c r="C246" s="4" t="s">
        <v>253</v>
      </c>
      <c r="D246" s="4" t="s">
        <v>2371</v>
      </c>
      <c r="E246" s="4" t="s">
        <v>2911</v>
      </c>
      <c r="F246" s="4" t="s">
        <v>85</v>
      </c>
      <c r="G246" s="4" t="s">
        <v>993</v>
      </c>
      <c r="H246" s="6">
        <v>2.41E-2</v>
      </c>
      <c r="I246" s="8">
        <v>48.9</v>
      </c>
      <c r="J246" s="8">
        <v>33.799999999999997</v>
      </c>
      <c r="K246" s="8">
        <v>48.9</v>
      </c>
      <c r="L246" s="8">
        <f t="shared" si="6"/>
        <v>80822.897999999986</v>
      </c>
      <c r="M246" s="15">
        <v>7897801300308</v>
      </c>
      <c r="N246" s="6" t="s">
        <v>20</v>
      </c>
      <c r="O246" s="6" t="s">
        <v>20</v>
      </c>
      <c r="P246" s="6" t="s">
        <v>20</v>
      </c>
      <c r="Q246" s="6">
        <v>0.2</v>
      </c>
      <c r="R246" s="6">
        <v>0.08</v>
      </c>
      <c r="S246" s="6">
        <v>0.32</v>
      </c>
      <c r="T246" s="8">
        <v>50</v>
      </c>
      <c r="U246" s="5" t="s">
        <v>994</v>
      </c>
      <c r="V246" s="89">
        <v>0</v>
      </c>
      <c r="W246" s="15">
        <v>17897801300305</v>
      </c>
      <c r="X246" s="6">
        <v>0.47</v>
      </c>
      <c r="Y246" s="6">
        <v>0.24</v>
      </c>
      <c r="Z246" s="6">
        <v>0.66</v>
      </c>
      <c r="AA246" s="6">
        <f t="shared" si="7"/>
        <v>7.4447999999999986E-2</v>
      </c>
      <c r="AB246" s="8">
        <v>750</v>
      </c>
      <c r="AC246" s="15">
        <v>47897801300306</v>
      </c>
      <c r="AD246" s="4" t="s">
        <v>992</v>
      </c>
    </row>
    <row r="247" spans="2:30" x14ac:dyDescent="0.35">
      <c r="B247" s="14">
        <v>426</v>
      </c>
      <c r="C247" s="4" t="s">
        <v>254</v>
      </c>
      <c r="D247" s="4" t="s">
        <v>2371</v>
      </c>
      <c r="E247" s="4" t="s">
        <v>2911</v>
      </c>
      <c r="F247" s="4" t="s">
        <v>85</v>
      </c>
      <c r="G247" s="4" t="s">
        <v>993</v>
      </c>
      <c r="H247" s="6">
        <v>4.2700000000000002E-2</v>
      </c>
      <c r="I247" s="8">
        <v>61</v>
      </c>
      <c r="J247" s="8">
        <v>42</v>
      </c>
      <c r="K247" s="8">
        <v>61</v>
      </c>
      <c r="L247" s="8">
        <f t="shared" si="6"/>
        <v>156282</v>
      </c>
      <c r="M247" s="15">
        <v>7897801301565</v>
      </c>
      <c r="N247" s="6" t="s">
        <v>20</v>
      </c>
      <c r="O247" s="6" t="s">
        <v>20</v>
      </c>
      <c r="P247" s="6" t="s">
        <v>20</v>
      </c>
      <c r="Q247" s="6">
        <v>0.23</v>
      </c>
      <c r="R247" s="6">
        <v>0.08</v>
      </c>
      <c r="S247" s="6">
        <v>0.31</v>
      </c>
      <c r="T247" s="8">
        <v>25</v>
      </c>
      <c r="U247" s="5" t="s">
        <v>994</v>
      </c>
      <c r="V247" s="89">
        <v>0</v>
      </c>
      <c r="W247" s="15">
        <v>17897801301562</v>
      </c>
      <c r="X247" s="6">
        <v>0.57999999999999996</v>
      </c>
      <c r="Y247" s="6">
        <v>0.19</v>
      </c>
      <c r="Z247" s="6">
        <v>0.81</v>
      </c>
      <c r="AA247" s="6">
        <f t="shared" si="7"/>
        <v>8.9261999999999994E-2</v>
      </c>
      <c r="AB247" s="8">
        <v>500</v>
      </c>
      <c r="AC247" s="15">
        <v>27897801301569</v>
      </c>
      <c r="AD247" s="4" t="s">
        <v>992</v>
      </c>
    </row>
    <row r="248" spans="2:30" x14ac:dyDescent="0.35">
      <c r="B248" s="14">
        <v>427</v>
      </c>
      <c r="C248" s="4" t="s">
        <v>255</v>
      </c>
      <c r="D248" s="4" t="s">
        <v>2371</v>
      </c>
      <c r="E248" s="4" t="s">
        <v>2911</v>
      </c>
      <c r="F248" s="4" t="s">
        <v>85</v>
      </c>
      <c r="G248" s="4" t="s">
        <v>993</v>
      </c>
      <c r="H248" s="6">
        <v>7.0000000000000007E-2</v>
      </c>
      <c r="I248" s="8">
        <v>100</v>
      </c>
      <c r="J248" s="8">
        <v>70</v>
      </c>
      <c r="K248" s="8">
        <v>50</v>
      </c>
      <c r="L248" s="8">
        <f t="shared" si="6"/>
        <v>350000</v>
      </c>
      <c r="M248" s="15">
        <v>7897801301879</v>
      </c>
      <c r="N248" s="6" t="s">
        <v>20</v>
      </c>
      <c r="O248" s="6" t="s">
        <v>20</v>
      </c>
      <c r="P248" s="6" t="s">
        <v>20</v>
      </c>
      <c r="Q248" s="6">
        <v>0.22</v>
      </c>
      <c r="R248" s="6">
        <v>7.0000000000000007E-2</v>
      </c>
      <c r="S248" s="6">
        <v>0.23</v>
      </c>
      <c r="T248" s="8">
        <v>10</v>
      </c>
      <c r="U248" s="5" t="s">
        <v>994</v>
      </c>
      <c r="V248" s="89">
        <v>0</v>
      </c>
      <c r="W248" s="15">
        <v>17897801301876</v>
      </c>
      <c r="X248" s="6">
        <v>0.56999999999999995</v>
      </c>
      <c r="Y248" s="6">
        <v>0.2</v>
      </c>
      <c r="Z248" s="6">
        <v>0.84</v>
      </c>
      <c r="AA248" s="6">
        <f t="shared" si="7"/>
        <v>9.5759999999999984E-2</v>
      </c>
      <c r="AB248" s="8">
        <v>300</v>
      </c>
      <c r="AC248" s="15">
        <v>27897801301873</v>
      </c>
      <c r="AD248" s="4" t="s">
        <v>992</v>
      </c>
    </row>
    <row r="249" spans="2:30" x14ac:dyDescent="0.35">
      <c r="B249" s="14">
        <v>428</v>
      </c>
      <c r="C249" s="4" t="s">
        <v>256</v>
      </c>
      <c r="D249" s="4" t="s">
        <v>2371</v>
      </c>
      <c r="E249" s="4" t="s">
        <v>2911</v>
      </c>
      <c r="F249" s="4" t="s">
        <v>85</v>
      </c>
      <c r="G249" s="4" t="s">
        <v>993</v>
      </c>
      <c r="H249" s="6">
        <v>0.1179</v>
      </c>
      <c r="I249" s="8">
        <v>90</v>
      </c>
      <c r="J249" s="8">
        <v>63</v>
      </c>
      <c r="K249" s="8">
        <v>63</v>
      </c>
      <c r="L249" s="8">
        <f t="shared" si="6"/>
        <v>357210</v>
      </c>
      <c r="M249" s="15">
        <v>7897801300650</v>
      </c>
      <c r="N249" s="6" t="s">
        <v>20</v>
      </c>
      <c r="O249" s="6" t="s">
        <v>20</v>
      </c>
      <c r="P249" s="6" t="s">
        <v>20</v>
      </c>
      <c r="Q249" s="6">
        <v>0.12</v>
      </c>
      <c r="R249" s="6">
        <v>0.31</v>
      </c>
      <c r="S249" s="6">
        <v>0.6</v>
      </c>
      <c r="T249" s="8">
        <v>25</v>
      </c>
      <c r="U249" s="5" t="s">
        <v>994</v>
      </c>
      <c r="V249" s="89">
        <v>0</v>
      </c>
      <c r="W249" s="15">
        <v>17897801300657</v>
      </c>
      <c r="X249" s="6">
        <v>0.49</v>
      </c>
      <c r="Y249" s="6">
        <v>0.21</v>
      </c>
      <c r="Z249" s="6">
        <v>0.78</v>
      </c>
      <c r="AA249" s="6">
        <f t="shared" si="7"/>
        <v>8.0262E-2</v>
      </c>
      <c r="AB249" s="8">
        <v>150</v>
      </c>
      <c r="AC249" s="15">
        <v>27897801300654</v>
      </c>
      <c r="AD249" s="4" t="s">
        <v>992</v>
      </c>
    </row>
    <row r="250" spans="2:30" x14ac:dyDescent="0.35">
      <c r="B250" s="14">
        <v>429</v>
      </c>
      <c r="C250" s="4" t="s">
        <v>257</v>
      </c>
      <c r="D250" s="4" t="s">
        <v>2371</v>
      </c>
      <c r="E250" s="4" t="s">
        <v>2911</v>
      </c>
      <c r="F250" s="4" t="s">
        <v>85</v>
      </c>
      <c r="G250" s="4" t="s">
        <v>993</v>
      </c>
      <c r="H250" s="6">
        <v>0.17199999999999999</v>
      </c>
      <c r="I250" s="8">
        <v>105.9</v>
      </c>
      <c r="J250" s="8">
        <v>74</v>
      </c>
      <c r="K250" s="8">
        <v>105.9</v>
      </c>
      <c r="L250" s="8">
        <f t="shared" si="6"/>
        <v>829895.94000000006</v>
      </c>
      <c r="M250" s="15">
        <v>7897801302975</v>
      </c>
      <c r="N250" s="6" t="s">
        <v>20</v>
      </c>
      <c r="O250" s="6" t="s">
        <v>20</v>
      </c>
      <c r="P250" s="6" t="s">
        <v>20</v>
      </c>
      <c r="Q250" s="6">
        <v>0.24</v>
      </c>
      <c r="R250" s="6">
        <v>0.11</v>
      </c>
      <c r="S250" s="6">
        <v>0.4</v>
      </c>
      <c r="T250" s="8">
        <v>10</v>
      </c>
      <c r="U250" s="5" t="s">
        <v>994</v>
      </c>
      <c r="V250" s="89">
        <v>0</v>
      </c>
      <c r="W250" s="15">
        <v>17897801302972</v>
      </c>
      <c r="X250" s="6">
        <v>0.5</v>
      </c>
      <c r="Y250" s="6">
        <v>0.22</v>
      </c>
      <c r="Z250" s="6">
        <v>0.7</v>
      </c>
      <c r="AA250" s="6">
        <f t="shared" si="7"/>
        <v>7.6999999999999999E-2</v>
      </c>
      <c r="AB250" s="8">
        <v>100</v>
      </c>
      <c r="AC250" s="15">
        <v>27897801302979</v>
      </c>
      <c r="AD250" s="4" t="s">
        <v>992</v>
      </c>
    </row>
    <row r="251" spans="2:30" x14ac:dyDescent="0.35">
      <c r="B251" s="14">
        <v>430</v>
      </c>
      <c r="C251" s="4" t="s">
        <v>258</v>
      </c>
      <c r="D251" s="4" t="s">
        <v>2371</v>
      </c>
      <c r="E251" s="4" t="s">
        <v>2911</v>
      </c>
      <c r="F251" s="4" t="s">
        <v>85</v>
      </c>
      <c r="G251" s="4" t="s">
        <v>993</v>
      </c>
      <c r="H251" s="6">
        <v>0.35270000000000001</v>
      </c>
      <c r="I251" s="8">
        <v>130</v>
      </c>
      <c r="J251" s="8">
        <v>132</v>
      </c>
      <c r="K251" s="8">
        <v>94</v>
      </c>
      <c r="L251" s="8">
        <f t="shared" si="6"/>
        <v>1613040</v>
      </c>
      <c r="M251" s="15">
        <v>7897801309271</v>
      </c>
      <c r="N251" s="6" t="s">
        <v>20</v>
      </c>
      <c r="O251" s="6" t="s">
        <v>20</v>
      </c>
      <c r="P251" s="6" t="s">
        <v>20</v>
      </c>
      <c r="Q251" s="6">
        <v>0.24</v>
      </c>
      <c r="R251" s="6">
        <v>0.1</v>
      </c>
      <c r="S251" s="6">
        <v>0.44</v>
      </c>
      <c r="T251" s="8">
        <v>5</v>
      </c>
      <c r="U251" s="5" t="s">
        <v>994</v>
      </c>
      <c r="V251" s="89">
        <v>0</v>
      </c>
      <c r="W251" s="15">
        <v>17897801309278</v>
      </c>
      <c r="X251" s="6">
        <v>0.46</v>
      </c>
      <c r="Y251" s="6">
        <v>0.28999999999999998</v>
      </c>
      <c r="Z251" s="6">
        <v>0.65</v>
      </c>
      <c r="AA251" s="6">
        <f t="shared" si="7"/>
        <v>8.6709999999999995E-2</v>
      </c>
      <c r="AB251" s="8">
        <v>40</v>
      </c>
      <c r="AC251" s="15">
        <v>27897801309275</v>
      </c>
      <c r="AD251" s="4" t="s">
        <v>992</v>
      </c>
    </row>
    <row r="252" spans="2:30" x14ac:dyDescent="0.35">
      <c r="B252" s="14">
        <v>431</v>
      </c>
      <c r="C252" s="4" t="s">
        <v>259</v>
      </c>
      <c r="D252" s="4" t="s">
        <v>2371</v>
      </c>
      <c r="E252" s="4" t="s">
        <v>2911</v>
      </c>
      <c r="F252" s="4" t="s">
        <v>85</v>
      </c>
      <c r="G252" s="4" t="s">
        <v>993</v>
      </c>
      <c r="H252" s="6">
        <v>0.4904</v>
      </c>
      <c r="I252" s="8">
        <v>148</v>
      </c>
      <c r="J252" s="8">
        <v>103</v>
      </c>
      <c r="K252" s="8">
        <v>148</v>
      </c>
      <c r="L252" s="8">
        <f t="shared" si="6"/>
        <v>2256112</v>
      </c>
      <c r="M252" s="15">
        <v>7897801308823</v>
      </c>
      <c r="N252" s="6" t="s">
        <v>20</v>
      </c>
      <c r="O252" s="6" t="s">
        <v>20</v>
      </c>
      <c r="P252" s="6" t="s">
        <v>20</v>
      </c>
      <c r="Q252" s="6">
        <v>0.27</v>
      </c>
      <c r="R252" s="6">
        <v>0.11</v>
      </c>
      <c r="S252" s="6">
        <v>0.3</v>
      </c>
      <c r="T252" s="8">
        <v>3</v>
      </c>
      <c r="U252" s="5" t="s">
        <v>994</v>
      </c>
      <c r="V252" s="89">
        <v>0</v>
      </c>
      <c r="W252" s="15">
        <v>17897801308820</v>
      </c>
      <c r="X252" s="6">
        <v>0.5</v>
      </c>
      <c r="Y252" s="6">
        <v>0.25</v>
      </c>
      <c r="Z252" s="6">
        <v>0.7</v>
      </c>
      <c r="AA252" s="6">
        <f t="shared" si="7"/>
        <v>8.7499999999999994E-2</v>
      </c>
      <c r="AB252" s="8">
        <v>30</v>
      </c>
      <c r="AC252" s="15">
        <v>27897801308827</v>
      </c>
      <c r="AD252" s="4" t="s">
        <v>992</v>
      </c>
    </row>
    <row r="253" spans="2:30" x14ac:dyDescent="0.35">
      <c r="B253" s="14">
        <v>432</v>
      </c>
      <c r="C253" s="4" t="s">
        <v>260</v>
      </c>
      <c r="D253" s="4" t="s">
        <v>2371</v>
      </c>
      <c r="E253" s="4" t="s">
        <v>2911</v>
      </c>
      <c r="F253" s="4" t="s">
        <v>85</v>
      </c>
      <c r="G253" s="4" t="s">
        <v>993</v>
      </c>
      <c r="H253" s="6">
        <v>1.0217000000000001</v>
      </c>
      <c r="I253" s="8">
        <v>190</v>
      </c>
      <c r="J253" s="8">
        <v>130</v>
      </c>
      <c r="K253" s="8">
        <v>190</v>
      </c>
      <c r="L253" s="8">
        <f t="shared" si="6"/>
        <v>4693000</v>
      </c>
      <c r="M253" s="15">
        <v>7897801309349</v>
      </c>
      <c r="N253" s="6" t="s">
        <v>20</v>
      </c>
      <c r="O253" s="6" t="s">
        <v>20</v>
      </c>
      <c r="P253" s="6" t="s">
        <v>20</v>
      </c>
      <c r="Q253" s="6">
        <v>0.13</v>
      </c>
      <c r="R253" s="6">
        <v>0.2</v>
      </c>
      <c r="S253" s="6">
        <v>0.2</v>
      </c>
      <c r="T253" s="8">
        <v>1</v>
      </c>
      <c r="U253" s="5" t="s">
        <v>994</v>
      </c>
      <c r="V253" s="89">
        <v>0</v>
      </c>
      <c r="W253" s="15">
        <v>17897801309346</v>
      </c>
      <c r="X253" s="6">
        <v>0.5</v>
      </c>
      <c r="Y253" s="6">
        <v>0.245</v>
      </c>
      <c r="Z253" s="6">
        <v>0.75</v>
      </c>
      <c r="AA253" s="6">
        <f t="shared" si="7"/>
        <v>9.1874999999999998E-2</v>
      </c>
      <c r="AB253" s="8">
        <v>12</v>
      </c>
      <c r="AC253" s="15">
        <v>27897801309343</v>
      </c>
      <c r="AD253" s="4" t="s">
        <v>992</v>
      </c>
    </row>
    <row r="254" spans="2:30" x14ac:dyDescent="0.35">
      <c r="B254" s="14">
        <v>433</v>
      </c>
      <c r="C254" s="4" t="s">
        <v>261</v>
      </c>
      <c r="D254" s="4" t="s">
        <v>2371</v>
      </c>
      <c r="E254" s="4" t="s">
        <v>2911</v>
      </c>
      <c r="F254" s="4" t="s">
        <v>85</v>
      </c>
      <c r="G254" s="4" t="s">
        <v>993</v>
      </c>
      <c r="H254" s="6">
        <v>1.7999999999999999E-2</v>
      </c>
      <c r="I254" s="8">
        <v>47</v>
      </c>
      <c r="J254" s="8">
        <v>47</v>
      </c>
      <c r="K254" s="8">
        <v>34</v>
      </c>
      <c r="L254" s="8">
        <f t="shared" ref="L254:L317" si="8">J254*I254*K254</f>
        <v>75106</v>
      </c>
      <c r="M254" s="15">
        <v>7897801301152</v>
      </c>
      <c r="N254" s="6" t="s">
        <v>20</v>
      </c>
      <c r="O254" s="6" t="s">
        <v>20</v>
      </c>
      <c r="P254" s="6" t="s">
        <v>20</v>
      </c>
      <c r="Q254" s="6">
        <v>0.14000000000000001</v>
      </c>
      <c r="R254" s="6">
        <v>0.05</v>
      </c>
      <c r="S254" s="6">
        <v>0.2</v>
      </c>
      <c r="T254" s="8">
        <v>20</v>
      </c>
      <c r="U254" s="5" t="s">
        <v>994</v>
      </c>
      <c r="V254" s="89">
        <v>0</v>
      </c>
      <c r="W254" s="15">
        <v>17897801301159</v>
      </c>
      <c r="X254" s="6">
        <v>0.5</v>
      </c>
      <c r="Y254" s="6">
        <v>0.2</v>
      </c>
      <c r="Z254" s="6">
        <v>0.7</v>
      </c>
      <c r="AA254" s="6">
        <f t="shared" si="7"/>
        <v>6.9999999999999993E-2</v>
      </c>
      <c r="AB254" s="8">
        <v>1000</v>
      </c>
      <c r="AC254" s="15">
        <v>27897801301156</v>
      </c>
      <c r="AD254" s="4" t="s">
        <v>992</v>
      </c>
    </row>
    <row r="255" spans="2:30" x14ac:dyDescent="0.35">
      <c r="B255" s="14">
        <v>434</v>
      </c>
      <c r="C255" s="4" t="s">
        <v>262</v>
      </c>
      <c r="D255" s="4" t="s">
        <v>2371</v>
      </c>
      <c r="E255" s="4" t="s">
        <v>2911</v>
      </c>
      <c r="F255" s="4" t="s">
        <v>85</v>
      </c>
      <c r="G255" s="4" t="s">
        <v>993</v>
      </c>
      <c r="H255" s="6">
        <v>3.1899999999999998E-2</v>
      </c>
      <c r="I255" s="8">
        <v>40</v>
      </c>
      <c r="J255" s="8">
        <v>40</v>
      </c>
      <c r="K255" s="8">
        <v>60</v>
      </c>
      <c r="L255" s="8">
        <f t="shared" si="8"/>
        <v>96000</v>
      </c>
      <c r="M255" s="15">
        <v>7897801312332</v>
      </c>
      <c r="N255" s="6" t="s">
        <v>20</v>
      </c>
      <c r="O255" s="6" t="s">
        <v>20</v>
      </c>
      <c r="P255" s="6" t="s">
        <v>20</v>
      </c>
      <c r="Q255" s="6">
        <v>0.23499999999999999</v>
      </c>
      <c r="R255" s="6">
        <v>0.05</v>
      </c>
      <c r="S255" s="6">
        <v>0.215</v>
      </c>
      <c r="T255" s="8">
        <v>15</v>
      </c>
      <c r="U255" s="5" t="s">
        <v>994</v>
      </c>
      <c r="V255" s="89">
        <v>0</v>
      </c>
      <c r="W255" s="15">
        <v>17897801312339</v>
      </c>
      <c r="X255" s="6">
        <v>0.54</v>
      </c>
      <c r="Y255" s="6">
        <v>0.19</v>
      </c>
      <c r="Z255" s="6">
        <v>0.76500000000000001</v>
      </c>
      <c r="AA255" s="6">
        <f t="shared" si="7"/>
        <v>7.8489000000000003E-2</v>
      </c>
      <c r="AB255" s="8">
        <v>480</v>
      </c>
      <c r="AC255" s="15">
        <v>27897801312336</v>
      </c>
      <c r="AD255" s="4" t="s">
        <v>992</v>
      </c>
    </row>
    <row r="256" spans="2:30" x14ac:dyDescent="0.35">
      <c r="B256" s="14">
        <v>435</v>
      </c>
      <c r="C256" s="4" t="s">
        <v>263</v>
      </c>
      <c r="D256" s="4" t="s">
        <v>2371</v>
      </c>
      <c r="E256" s="4" t="s">
        <v>2911</v>
      </c>
      <c r="F256" s="4" t="s">
        <v>85</v>
      </c>
      <c r="G256" s="4" t="s">
        <v>993</v>
      </c>
      <c r="H256" s="6">
        <v>9.4000000000000004E-3</v>
      </c>
      <c r="I256" s="8">
        <v>28</v>
      </c>
      <c r="J256" s="8">
        <v>28</v>
      </c>
      <c r="K256" s="8">
        <v>34.5</v>
      </c>
      <c r="L256" s="8">
        <f t="shared" si="8"/>
        <v>27048</v>
      </c>
      <c r="M256" s="15">
        <v>7897801300537</v>
      </c>
      <c r="N256" s="6" t="s">
        <v>20</v>
      </c>
      <c r="O256" s="6" t="s">
        <v>20</v>
      </c>
      <c r="P256" s="6" t="s">
        <v>20</v>
      </c>
      <c r="Q256" s="6">
        <v>0.15</v>
      </c>
      <c r="R256" s="6">
        <v>0.05</v>
      </c>
      <c r="S256" s="6">
        <v>0.28000000000000003</v>
      </c>
      <c r="T256" s="8">
        <v>50</v>
      </c>
      <c r="U256" s="5" t="s">
        <v>994</v>
      </c>
      <c r="V256" s="89">
        <v>0</v>
      </c>
      <c r="W256" s="15">
        <v>17897801300534</v>
      </c>
      <c r="X256" s="6">
        <v>0.55000000000000004</v>
      </c>
      <c r="Y256" s="6">
        <v>0.22</v>
      </c>
      <c r="Z256" s="6">
        <v>0.72</v>
      </c>
      <c r="AA256" s="6">
        <f t="shared" si="7"/>
        <v>8.7120000000000003E-2</v>
      </c>
      <c r="AB256" s="8">
        <v>2000</v>
      </c>
      <c r="AC256" s="15">
        <v>47897801300535</v>
      </c>
      <c r="AD256" s="4" t="s">
        <v>992</v>
      </c>
    </row>
    <row r="257" spans="2:30" x14ac:dyDescent="0.35">
      <c r="B257" s="14">
        <v>436</v>
      </c>
      <c r="C257" s="4" t="s">
        <v>264</v>
      </c>
      <c r="D257" s="4" t="s">
        <v>2371</v>
      </c>
      <c r="E257" s="4" t="s">
        <v>2911</v>
      </c>
      <c r="F257" s="4" t="s">
        <v>85</v>
      </c>
      <c r="G257" s="4" t="s">
        <v>993</v>
      </c>
      <c r="H257" s="6">
        <v>1.5599999999999999E-2</v>
      </c>
      <c r="I257" s="8">
        <v>33.799999999999997</v>
      </c>
      <c r="J257" s="8">
        <v>38</v>
      </c>
      <c r="K257" s="8">
        <v>40</v>
      </c>
      <c r="L257" s="8">
        <f t="shared" si="8"/>
        <v>51375.999999999993</v>
      </c>
      <c r="M257" s="15">
        <v>7897801300315</v>
      </c>
      <c r="N257" s="6" t="s">
        <v>20</v>
      </c>
      <c r="O257" s="6" t="s">
        <v>20</v>
      </c>
      <c r="P257" s="6" t="s">
        <v>20</v>
      </c>
      <c r="Q257" s="6">
        <v>0.2</v>
      </c>
      <c r="R257" s="6">
        <v>0.06</v>
      </c>
      <c r="S257" s="6">
        <v>0.27</v>
      </c>
      <c r="T257" s="8">
        <v>50</v>
      </c>
      <c r="U257" s="5" t="s">
        <v>994</v>
      </c>
      <c r="V257" s="89">
        <v>0</v>
      </c>
      <c r="W257" s="15">
        <v>17897801300312</v>
      </c>
      <c r="X257" s="6">
        <v>0.59</v>
      </c>
      <c r="Y257" s="6">
        <v>0.19</v>
      </c>
      <c r="Z257" s="6">
        <v>0.76</v>
      </c>
      <c r="AA257" s="6">
        <f t="shared" si="7"/>
        <v>8.5195999999999994E-2</v>
      </c>
      <c r="AB257" s="8">
        <v>1400</v>
      </c>
      <c r="AC257" s="15">
        <v>27897801300319</v>
      </c>
      <c r="AD257" s="4" t="s">
        <v>992</v>
      </c>
    </row>
    <row r="258" spans="2:30" x14ac:dyDescent="0.35">
      <c r="B258" s="14">
        <v>437</v>
      </c>
      <c r="C258" s="4" t="s">
        <v>265</v>
      </c>
      <c r="D258" s="4" t="s">
        <v>2371</v>
      </c>
      <c r="E258" s="4" t="s">
        <v>2911</v>
      </c>
      <c r="F258" s="4" t="s">
        <v>85</v>
      </c>
      <c r="G258" s="4" t="s">
        <v>993</v>
      </c>
      <c r="H258" s="6">
        <v>2.8000000000000001E-2</v>
      </c>
      <c r="I258" s="8">
        <v>42</v>
      </c>
      <c r="J258" s="8">
        <v>48</v>
      </c>
      <c r="K258" s="8">
        <v>42</v>
      </c>
      <c r="L258" s="8">
        <f t="shared" si="8"/>
        <v>84672</v>
      </c>
      <c r="M258" s="15">
        <v>7897801301572</v>
      </c>
      <c r="N258" s="6" t="s">
        <v>20</v>
      </c>
      <c r="O258" s="6" t="s">
        <v>20</v>
      </c>
      <c r="P258" s="6" t="s">
        <v>20</v>
      </c>
      <c r="Q258" s="6">
        <v>0.2</v>
      </c>
      <c r="R258" s="6">
        <v>0.05</v>
      </c>
      <c r="S258" s="6">
        <v>0.3</v>
      </c>
      <c r="T258" s="8">
        <v>25</v>
      </c>
      <c r="U258" s="5" t="s">
        <v>994</v>
      </c>
      <c r="V258" s="89">
        <v>0</v>
      </c>
      <c r="W258" s="15">
        <v>17897801301579</v>
      </c>
      <c r="X258" s="6">
        <v>0.54</v>
      </c>
      <c r="Y258" s="6">
        <v>0.3</v>
      </c>
      <c r="Z258" s="6">
        <v>0.68</v>
      </c>
      <c r="AA258" s="6">
        <f t="shared" si="7"/>
        <v>0.11016000000000001</v>
      </c>
      <c r="AB258" s="8">
        <v>750</v>
      </c>
      <c r="AC258" s="15">
        <v>27897801301576</v>
      </c>
      <c r="AD258" s="4" t="s">
        <v>992</v>
      </c>
    </row>
    <row r="259" spans="2:30" x14ac:dyDescent="0.35">
      <c r="B259" s="14">
        <v>438</v>
      </c>
      <c r="C259" s="4" t="s">
        <v>266</v>
      </c>
      <c r="D259" s="4" t="s">
        <v>2371</v>
      </c>
      <c r="E259" s="4" t="s">
        <v>2911</v>
      </c>
      <c r="F259" s="4" t="s">
        <v>85</v>
      </c>
      <c r="G259" s="4" t="s">
        <v>993</v>
      </c>
      <c r="H259" s="6">
        <v>4.2999999999999997E-2</v>
      </c>
      <c r="I259" s="8">
        <v>51.6</v>
      </c>
      <c r="J259" s="8">
        <v>51.6</v>
      </c>
      <c r="K259" s="8">
        <v>55</v>
      </c>
      <c r="L259" s="8">
        <f t="shared" si="8"/>
        <v>146440.79999999999</v>
      </c>
      <c r="M259" s="15">
        <v>7897801301862</v>
      </c>
      <c r="N259" s="6" t="s">
        <v>20</v>
      </c>
      <c r="O259" s="6" t="s">
        <v>20</v>
      </c>
      <c r="P259" s="6" t="s">
        <v>20</v>
      </c>
      <c r="Q259" s="6">
        <v>0.16</v>
      </c>
      <c r="R259" s="6">
        <v>0.06</v>
      </c>
      <c r="S259" s="6">
        <v>0.22</v>
      </c>
      <c r="T259" s="8">
        <v>10</v>
      </c>
      <c r="U259" s="5" t="s">
        <v>994</v>
      </c>
      <c r="V259" s="89">
        <v>0</v>
      </c>
      <c r="W259" s="15">
        <v>17897801301869</v>
      </c>
      <c r="X259" s="6">
        <v>0.55000000000000004</v>
      </c>
      <c r="Y259" s="6">
        <v>0.22</v>
      </c>
      <c r="Z259" s="6">
        <v>0.7</v>
      </c>
      <c r="AA259" s="6">
        <f t="shared" si="7"/>
        <v>8.4699999999999998E-2</v>
      </c>
      <c r="AB259" s="8">
        <v>450</v>
      </c>
      <c r="AC259" s="15">
        <v>27897801301866</v>
      </c>
      <c r="AD259" s="4" t="s">
        <v>992</v>
      </c>
    </row>
    <row r="260" spans="2:30" x14ac:dyDescent="0.35">
      <c r="B260" s="14">
        <v>439</v>
      </c>
      <c r="C260" s="4" t="s">
        <v>267</v>
      </c>
      <c r="D260" s="4" t="s">
        <v>2371</v>
      </c>
      <c r="E260" s="4" t="s">
        <v>2911</v>
      </c>
      <c r="F260" s="4" t="s">
        <v>85</v>
      </c>
      <c r="G260" s="4" t="s">
        <v>993</v>
      </c>
      <c r="H260" s="6">
        <v>6.7799999999999999E-2</v>
      </c>
      <c r="I260" s="8">
        <v>63</v>
      </c>
      <c r="J260" s="8">
        <v>63</v>
      </c>
      <c r="K260" s="8">
        <v>65</v>
      </c>
      <c r="L260" s="8">
        <f t="shared" si="8"/>
        <v>257985</v>
      </c>
      <c r="M260" s="15">
        <v>7897801300810</v>
      </c>
      <c r="N260" s="6" t="s">
        <v>20</v>
      </c>
      <c r="O260" s="6" t="s">
        <v>20</v>
      </c>
      <c r="P260" s="6" t="s">
        <v>20</v>
      </c>
      <c r="Q260" s="6">
        <v>0.2</v>
      </c>
      <c r="R260" s="6">
        <v>7.0000000000000007E-2</v>
      </c>
      <c r="S260" s="6">
        <v>0.25</v>
      </c>
      <c r="T260" s="8">
        <v>10</v>
      </c>
      <c r="U260" s="5" t="s">
        <v>994</v>
      </c>
      <c r="V260" s="89">
        <v>0</v>
      </c>
      <c r="W260" s="15">
        <v>17897801300817</v>
      </c>
      <c r="X260" s="6">
        <v>0.5</v>
      </c>
      <c r="Y260" s="6">
        <v>0.2</v>
      </c>
      <c r="Z260" s="6">
        <v>0.74</v>
      </c>
      <c r="AA260" s="6">
        <f t="shared" si="7"/>
        <v>7.3999999999999996E-2</v>
      </c>
      <c r="AB260" s="8">
        <v>200</v>
      </c>
      <c r="AC260" s="15">
        <v>27897801300814</v>
      </c>
      <c r="AD260" s="4" t="s">
        <v>992</v>
      </c>
    </row>
    <row r="261" spans="2:30" x14ac:dyDescent="0.35">
      <c r="B261" s="14">
        <v>440</v>
      </c>
      <c r="C261" s="4" t="s">
        <v>268</v>
      </c>
      <c r="D261" s="4" t="s">
        <v>2371</v>
      </c>
      <c r="E261" s="4" t="s">
        <v>2911</v>
      </c>
      <c r="F261" s="4" t="s">
        <v>85</v>
      </c>
      <c r="G261" s="4" t="s">
        <v>993</v>
      </c>
      <c r="H261" s="6">
        <v>0.1082</v>
      </c>
      <c r="I261" s="8">
        <v>74</v>
      </c>
      <c r="J261" s="8">
        <v>74</v>
      </c>
      <c r="K261" s="8">
        <v>75.8</v>
      </c>
      <c r="L261" s="8">
        <f t="shared" si="8"/>
        <v>415080.8</v>
      </c>
      <c r="M261" s="15">
        <v>7897801302951</v>
      </c>
      <c r="N261" s="6" t="s">
        <v>20</v>
      </c>
      <c r="O261" s="6" t="s">
        <v>20</v>
      </c>
      <c r="P261" s="6" t="s">
        <v>20</v>
      </c>
      <c r="Q261" s="6">
        <v>0.21</v>
      </c>
      <c r="R261" s="6">
        <v>0.08</v>
      </c>
      <c r="S261" s="6">
        <v>0.3</v>
      </c>
      <c r="T261" s="8">
        <v>10</v>
      </c>
      <c r="U261" s="5" t="s">
        <v>994</v>
      </c>
      <c r="V261" s="89">
        <v>0</v>
      </c>
      <c r="W261" s="15">
        <v>17897801302958</v>
      </c>
      <c r="X261" s="6">
        <v>0.55000000000000004</v>
      </c>
      <c r="Y261" s="6">
        <v>0.21</v>
      </c>
      <c r="Z261" s="6">
        <v>0.74</v>
      </c>
      <c r="AA261" s="6">
        <f t="shared" si="7"/>
        <v>8.5470000000000004E-2</v>
      </c>
      <c r="AB261" s="8">
        <v>150</v>
      </c>
      <c r="AC261" s="15">
        <v>27897801302955</v>
      </c>
      <c r="AD261" s="4" t="s">
        <v>992</v>
      </c>
    </row>
    <row r="262" spans="2:30" x14ac:dyDescent="0.35">
      <c r="B262" s="14">
        <v>441</v>
      </c>
      <c r="C262" s="4" t="s">
        <v>269</v>
      </c>
      <c r="D262" s="4" t="s">
        <v>2371</v>
      </c>
      <c r="E262" s="4" t="s">
        <v>2911</v>
      </c>
      <c r="F262" s="4" t="s">
        <v>85</v>
      </c>
      <c r="G262" s="4" t="s">
        <v>993</v>
      </c>
      <c r="H262" s="6">
        <v>0.2049</v>
      </c>
      <c r="I262" s="8">
        <v>93</v>
      </c>
      <c r="J262" s="8">
        <v>92</v>
      </c>
      <c r="K262" s="8">
        <v>92</v>
      </c>
      <c r="L262" s="8">
        <f t="shared" si="8"/>
        <v>787152</v>
      </c>
      <c r="M262" s="15">
        <v>7897801308908</v>
      </c>
      <c r="N262" s="6" t="s">
        <v>20</v>
      </c>
      <c r="O262" s="6" t="s">
        <v>20</v>
      </c>
      <c r="P262" s="6" t="s">
        <v>20</v>
      </c>
      <c r="Q262" s="6">
        <v>0.19</v>
      </c>
      <c r="R262" s="6">
        <v>9.5000000000000001E-2</v>
      </c>
      <c r="S262" s="6">
        <v>0.31</v>
      </c>
      <c r="T262" s="8">
        <v>5</v>
      </c>
      <c r="U262" s="5" t="s">
        <v>994</v>
      </c>
      <c r="V262" s="89">
        <v>0</v>
      </c>
      <c r="W262" s="15">
        <v>17897801308905</v>
      </c>
      <c r="X262" s="6">
        <v>0.6</v>
      </c>
      <c r="Y262" s="6">
        <v>0.23</v>
      </c>
      <c r="Z262" s="6">
        <v>0.83</v>
      </c>
      <c r="AA262" s="6">
        <f t="shared" si="7"/>
        <v>0.11454</v>
      </c>
      <c r="AB262" s="8">
        <v>75</v>
      </c>
      <c r="AC262" s="15">
        <v>27897801308902</v>
      </c>
      <c r="AD262" s="4" t="s">
        <v>992</v>
      </c>
    </row>
    <row r="263" spans="2:30" x14ac:dyDescent="0.35">
      <c r="B263" s="14">
        <v>442</v>
      </c>
      <c r="C263" s="4" t="s">
        <v>270</v>
      </c>
      <c r="D263" s="4" t="s">
        <v>2371</v>
      </c>
      <c r="E263" s="4" t="s">
        <v>2911</v>
      </c>
      <c r="F263" s="4" t="s">
        <v>85</v>
      </c>
      <c r="G263" s="4" t="s">
        <v>993</v>
      </c>
      <c r="H263" s="6">
        <v>0.2707</v>
      </c>
      <c r="I263" s="8">
        <v>103</v>
      </c>
      <c r="J263" s="8">
        <v>103</v>
      </c>
      <c r="K263" s="8">
        <v>103</v>
      </c>
      <c r="L263" s="8">
        <f t="shared" si="8"/>
        <v>1092727</v>
      </c>
      <c r="M263" s="15">
        <v>7897801308922</v>
      </c>
      <c r="N263" s="6" t="s">
        <v>20</v>
      </c>
      <c r="O263" s="6" t="s">
        <v>20</v>
      </c>
      <c r="P263" s="6" t="s">
        <v>20</v>
      </c>
      <c r="Q263" s="6">
        <v>0.12</v>
      </c>
      <c r="R263" s="6">
        <v>0.1</v>
      </c>
      <c r="S263" s="6">
        <v>0.3</v>
      </c>
      <c r="T263" s="8">
        <v>3</v>
      </c>
      <c r="U263" s="5" t="s">
        <v>994</v>
      </c>
      <c r="V263" s="89">
        <v>0</v>
      </c>
      <c r="W263" s="15">
        <v>17897801308929</v>
      </c>
      <c r="X263" s="6">
        <v>0.4</v>
      </c>
      <c r="Y263" s="6">
        <v>0.26</v>
      </c>
      <c r="Z263" s="6">
        <v>0.69</v>
      </c>
      <c r="AA263" s="6">
        <f t="shared" si="7"/>
        <v>7.1760000000000004E-2</v>
      </c>
      <c r="AB263" s="8">
        <v>30</v>
      </c>
      <c r="AC263" s="15">
        <v>27897801308926</v>
      </c>
      <c r="AD263" s="4" t="s">
        <v>992</v>
      </c>
    </row>
    <row r="264" spans="2:30" x14ac:dyDescent="0.35">
      <c r="B264" s="14">
        <v>443</v>
      </c>
      <c r="C264" s="4" t="s">
        <v>271</v>
      </c>
      <c r="D264" s="4" t="s">
        <v>2371</v>
      </c>
      <c r="E264" s="4" t="s">
        <v>2911</v>
      </c>
      <c r="F264" s="4" t="s">
        <v>85</v>
      </c>
      <c r="G264" s="4" t="s">
        <v>993</v>
      </c>
      <c r="H264" s="6">
        <v>0.48039999999999999</v>
      </c>
      <c r="I264" s="8">
        <v>128</v>
      </c>
      <c r="J264" s="8">
        <v>131</v>
      </c>
      <c r="K264" s="8">
        <v>128</v>
      </c>
      <c r="L264" s="8">
        <f t="shared" si="8"/>
        <v>2146304</v>
      </c>
      <c r="M264" s="15">
        <v>7897801309257</v>
      </c>
      <c r="N264" s="6" t="s">
        <v>20</v>
      </c>
      <c r="O264" s="6" t="s">
        <v>20</v>
      </c>
      <c r="P264" s="6" t="s">
        <v>20</v>
      </c>
      <c r="Q264" s="6">
        <v>0.13</v>
      </c>
      <c r="R264" s="6">
        <v>0.13</v>
      </c>
      <c r="S264" s="6">
        <v>0.13</v>
      </c>
      <c r="T264" s="8">
        <v>1</v>
      </c>
      <c r="U264" s="5" t="s">
        <v>994</v>
      </c>
      <c r="V264" s="89">
        <v>0</v>
      </c>
      <c r="W264" s="15">
        <v>17897801309254</v>
      </c>
      <c r="X264" s="6">
        <v>0.61</v>
      </c>
      <c r="Y264" s="6">
        <v>0.23</v>
      </c>
      <c r="Z264" s="6">
        <v>0.73499999999999999</v>
      </c>
      <c r="AA264" s="6">
        <f t="shared" si="7"/>
        <v>0.1031205</v>
      </c>
      <c r="AB264" s="8">
        <v>24</v>
      </c>
      <c r="AC264" s="15">
        <v>27897801309251</v>
      </c>
      <c r="AD264" s="4" t="s">
        <v>992</v>
      </c>
    </row>
    <row r="265" spans="2:30" x14ac:dyDescent="0.35">
      <c r="B265" s="14">
        <v>444</v>
      </c>
      <c r="C265" s="4" t="s">
        <v>272</v>
      </c>
      <c r="D265" s="4" t="s">
        <v>2371</v>
      </c>
      <c r="E265" s="4" t="s">
        <v>2911</v>
      </c>
      <c r="F265" s="4" t="s">
        <v>85</v>
      </c>
      <c r="G265" s="4" t="s">
        <v>993</v>
      </c>
      <c r="H265" s="6">
        <v>1.5599999999999999E-2</v>
      </c>
      <c r="I265" s="8">
        <v>30.5</v>
      </c>
      <c r="J265" s="8">
        <v>30.5</v>
      </c>
      <c r="K265" s="8">
        <v>46</v>
      </c>
      <c r="L265" s="8">
        <f t="shared" si="8"/>
        <v>42791.5</v>
      </c>
      <c r="M265" s="15">
        <v>7897801302258</v>
      </c>
      <c r="N265" s="6" t="s">
        <v>20</v>
      </c>
      <c r="O265" s="6" t="s">
        <v>20</v>
      </c>
      <c r="P265" s="6" t="s">
        <v>20</v>
      </c>
      <c r="Q265" s="6">
        <v>0.14000000000000001</v>
      </c>
      <c r="R265" s="6">
        <v>0.03</v>
      </c>
      <c r="S265" s="6">
        <v>0.17</v>
      </c>
      <c r="T265" s="8">
        <v>12</v>
      </c>
      <c r="U265" s="5" t="s">
        <v>994</v>
      </c>
      <c r="V265" s="89">
        <v>0</v>
      </c>
      <c r="W265" s="15">
        <v>17897801302255</v>
      </c>
      <c r="X265" s="6">
        <v>0.56999999999999995</v>
      </c>
      <c r="Y265" s="6">
        <v>0.21</v>
      </c>
      <c r="Z265" s="6">
        <v>0.8</v>
      </c>
      <c r="AA265" s="6">
        <f t="shared" si="7"/>
        <v>9.5759999999999998E-2</v>
      </c>
      <c r="AB265" s="8">
        <v>1080</v>
      </c>
      <c r="AC265" s="15">
        <v>27897801302252</v>
      </c>
      <c r="AD265" s="4" t="s">
        <v>992</v>
      </c>
    </row>
    <row r="266" spans="2:30" x14ac:dyDescent="0.35">
      <c r="B266" s="14">
        <v>445</v>
      </c>
      <c r="C266" s="4" t="s">
        <v>273</v>
      </c>
      <c r="D266" s="4" t="s">
        <v>2371</v>
      </c>
      <c r="E266" s="4" t="s">
        <v>2911</v>
      </c>
      <c r="F266" s="4" t="s">
        <v>85</v>
      </c>
      <c r="G266" s="4" t="s">
        <v>993</v>
      </c>
      <c r="H266" s="6">
        <v>2.4199999999999999E-2</v>
      </c>
      <c r="I266" s="8">
        <v>36.5</v>
      </c>
      <c r="J266" s="8">
        <v>36.5</v>
      </c>
      <c r="K266" s="8">
        <v>53</v>
      </c>
      <c r="L266" s="8">
        <f t="shared" si="8"/>
        <v>70609.25</v>
      </c>
      <c r="M266" s="15">
        <v>7897801302197</v>
      </c>
      <c r="N266" s="6" t="s">
        <v>20</v>
      </c>
      <c r="O266" s="6" t="s">
        <v>20</v>
      </c>
      <c r="P266" s="6" t="s">
        <v>20</v>
      </c>
      <c r="Q266" s="6">
        <v>0.14000000000000001</v>
      </c>
      <c r="R266" s="6">
        <v>5.5E-2</v>
      </c>
      <c r="S266" s="6">
        <v>0.15</v>
      </c>
      <c r="T266" s="8">
        <v>12</v>
      </c>
      <c r="U266" s="5" t="s">
        <v>994</v>
      </c>
      <c r="V266" s="89">
        <v>0</v>
      </c>
      <c r="W266" s="15">
        <v>17897801302194</v>
      </c>
      <c r="X266" s="6">
        <v>0.52</v>
      </c>
      <c r="Y266" s="6">
        <v>0.17</v>
      </c>
      <c r="Z266" s="6">
        <v>0.73</v>
      </c>
      <c r="AA266" s="6">
        <f t="shared" si="7"/>
        <v>6.4532000000000006E-2</v>
      </c>
      <c r="AB266" s="8">
        <v>600</v>
      </c>
      <c r="AC266" s="15">
        <v>47897801302195</v>
      </c>
      <c r="AD266" s="4" t="s">
        <v>992</v>
      </c>
    </row>
    <row r="267" spans="2:30" x14ac:dyDescent="0.35">
      <c r="B267" s="14">
        <v>446</v>
      </c>
      <c r="C267" s="4" t="s">
        <v>274</v>
      </c>
      <c r="D267" s="4" t="s">
        <v>2371</v>
      </c>
      <c r="E267" s="4" t="s">
        <v>2911</v>
      </c>
      <c r="F267" s="4" t="s">
        <v>85</v>
      </c>
      <c r="G267" s="4" t="s">
        <v>993</v>
      </c>
      <c r="H267" s="6">
        <v>3.5999999999999997E-2</v>
      </c>
      <c r="I267" s="8">
        <v>44</v>
      </c>
      <c r="J267" s="8">
        <v>44</v>
      </c>
      <c r="K267" s="8">
        <v>59</v>
      </c>
      <c r="L267" s="8">
        <f t="shared" si="8"/>
        <v>114224</v>
      </c>
      <c r="M267" s="15">
        <v>7897801302265</v>
      </c>
      <c r="N267" s="6" t="s">
        <v>20</v>
      </c>
      <c r="O267" s="6" t="s">
        <v>20</v>
      </c>
      <c r="P267" s="6" t="s">
        <v>20</v>
      </c>
      <c r="Q267" s="6">
        <v>0.13</v>
      </c>
      <c r="R267" s="6">
        <v>0.05</v>
      </c>
      <c r="S267" s="6">
        <v>0.14000000000000001</v>
      </c>
      <c r="T267" s="8">
        <v>6</v>
      </c>
      <c r="U267" s="5" t="s">
        <v>994</v>
      </c>
      <c r="V267" s="89">
        <v>0</v>
      </c>
      <c r="W267" s="15">
        <v>17897801302262</v>
      </c>
      <c r="X267" s="6">
        <v>0.55000000000000004</v>
      </c>
      <c r="Y267" s="6">
        <v>0.2</v>
      </c>
      <c r="Z267" s="6">
        <v>0.7</v>
      </c>
      <c r="AA267" s="6">
        <f t="shared" si="7"/>
        <v>7.6999999999999999E-2</v>
      </c>
      <c r="AB267" s="8">
        <v>480</v>
      </c>
      <c r="AC267" s="15">
        <v>27897801302269</v>
      </c>
      <c r="AD267" s="4" t="s">
        <v>992</v>
      </c>
    </row>
    <row r="268" spans="2:30" x14ac:dyDescent="0.35">
      <c r="B268" s="14">
        <v>447</v>
      </c>
      <c r="C268" s="4" t="s">
        <v>275</v>
      </c>
      <c r="D268" s="4" t="s">
        <v>2371</v>
      </c>
      <c r="E268" s="4" t="s">
        <v>2911</v>
      </c>
      <c r="F268" s="4" t="s">
        <v>85</v>
      </c>
      <c r="G268" s="4" t="s">
        <v>993</v>
      </c>
      <c r="H268" s="6">
        <v>7.3099999999999998E-2</v>
      </c>
      <c r="I268" s="8">
        <v>56</v>
      </c>
      <c r="J268" s="8">
        <v>56</v>
      </c>
      <c r="K268" s="8">
        <v>74.8</v>
      </c>
      <c r="L268" s="8">
        <f t="shared" si="8"/>
        <v>234572.79999999999</v>
      </c>
      <c r="M268" s="15">
        <v>7897801302340</v>
      </c>
      <c r="N268" s="6" t="s">
        <v>20</v>
      </c>
      <c r="O268" s="6" t="s">
        <v>20</v>
      </c>
      <c r="P268" s="6" t="s">
        <v>20</v>
      </c>
      <c r="Q268" s="6">
        <v>0.15</v>
      </c>
      <c r="R268" s="6">
        <v>0.06</v>
      </c>
      <c r="S268" s="6">
        <v>0.2</v>
      </c>
      <c r="T268" s="8">
        <v>6</v>
      </c>
      <c r="U268" s="5" t="s">
        <v>994</v>
      </c>
      <c r="V268" s="89">
        <v>0</v>
      </c>
      <c r="W268" s="15">
        <v>17897801302347</v>
      </c>
      <c r="X268" s="6">
        <v>0.5</v>
      </c>
      <c r="Y268" s="6">
        <v>0.25</v>
      </c>
      <c r="Z268" s="6">
        <v>0.7</v>
      </c>
      <c r="AA268" s="6">
        <f t="shared" si="7"/>
        <v>8.7499999999999994E-2</v>
      </c>
      <c r="AB268" s="8">
        <v>300</v>
      </c>
      <c r="AC268" s="15">
        <v>27897801302344</v>
      </c>
      <c r="AD268" s="4" t="s">
        <v>992</v>
      </c>
    </row>
    <row r="269" spans="2:30" x14ac:dyDescent="0.35">
      <c r="B269" s="14">
        <v>448</v>
      </c>
      <c r="C269" s="4" t="s">
        <v>276</v>
      </c>
      <c r="D269" s="4" t="s">
        <v>2371</v>
      </c>
      <c r="E269" s="4" t="s">
        <v>2911</v>
      </c>
      <c r="F269" s="4" t="s">
        <v>85</v>
      </c>
      <c r="G269" s="4" t="s">
        <v>993</v>
      </c>
      <c r="H269" s="6">
        <v>0.10349999999999999</v>
      </c>
      <c r="I269" s="8">
        <v>66</v>
      </c>
      <c r="J269" s="8">
        <v>66</v>
      </c>
      <c r="K269" s="8">
        <v>82.8</v>
      </c>
      <c r="L269" s="8">
        <f t="shared" si="8"/>
        <v>360676.8</v>
      </c>
      <c r="M269" s="15">
        <v>7897801302203</v>
      </c>
      <c r="N269" s="6" t="s">
        <v>20</v>
      </c>
      <c r="O269" s="6" t="s">
        <v>20</v>
      </c>
      <c r="P269" s="6" t="s">
        <v>20</v>
      </c>
      <c r="Q269" s="6">
        <v>0.17</v>
      </c>
      <c r="R269" s="6">
        <v>7.0000000000000007E-2</v>
      </c>
      <c r="S269" s="6">
        <v>0.27</v>
      </c>
      <c r="T269" s="8">
        <v>8</v>
      </c>
      <c r="U269" s="5" t="s">
        <v>994</v>
      </c>
      <c r="V269" s="89">
        <v>0</v>
      </c>
      <c r="W269" s="15">
        <v>17897801302200</v>
      </c>
      <c r="X269" s="6">
        <v>0.5</v>
      </c>
      <c r="Y269" s="6">
        <v>0.2</v>
      </c>
      <c r="Z269" s="6">
        <v>0.65</v>
      </c>
      <c r="AA269" s="6">
        <f t="shared" si="7"/>
        <v>6.5000000000000002E-2</v>
      </c>
      <c r="AB269" s="8">
        <v>160</v>
      </c>
      <c r="AC269" s="15">
        <v>27897801302207</v>
      </c>
      <c r="AD269" s="4" t="s">
        <v>992</v>
      </c>
    </row>
    <row r="270" spans="2:30" x14ac:dyDescent="0.35">
      <c r="B270" s="14">
        <v>449</v>
      </c>
      <c r="C270" s="4" t="s">
        <v>277</v>
      </c>
      <c r="D270" s="4" t="s">
        <v>2371</v>
      </c>
      <c r="E270" s="4" t="s">
        <v>2911</v>
      </c>
      <c r="F270" s="4" t="s">
        <v>85</v>
      </c>
      <c r="G270" s="4" t="s">
        <v>993</v>
      </c>
      <c r="H270" s="6">
        <v>0.13500000000000001</v>
      </c>
      <c r="I270" s="8">
        <v>76.5</v>
      </c>
      <c r="J270" s="8">
        <v>92</v>
      </c>
      <c r="K270" s="8">
        <v>76.5</v>
      </c>
      <c r="L270" s="8">
        <f t="shared" si="8"/>
        <v>538407</v>
      </c>
      <c r="M270" s="15">
        <v>7897801306669</v>
      </c>
      <c r="N270" s="6" t="s">
        <v>20</v>
      </c>
      <c r="O270" s="6" t="s">
        <v>20</v>
      </c>
      <c r="P270" s="6" t="s">
        <v>20</v>
      </c>
      <c r="Q270" s="6">
        <v>0.19</v>
      </c>
      <c r="R270" s="6">
        <v>0.08</v>
      </c>
      <c r="S270" s="6">
        <v>0.24</v>
      </c>
      <c r="T270" s="8">
        <v>6</v>
      </c>
      <c r="U270" s="5" t="s">
        <v>994</v>
      </c>
      <c r="V270" s="89">
        <v>0</v>
      </c>
      <c r="W270" s="15">
        <v>17897801306666</v>
      </c>
      <c r="X270" s="6">
        <v>0.5</v>
      </c>
      <c r="Y270" s="6">
        <v>0.25</v>
      </c>
      <c r="Z270" s="6">
        <v>0.7</v>
      </c>
      <c r="AA270" s="6">
        <f t="shared" si="7"/>
        <v>8.7499999999999994E-2</v>
      </c>
      <c r="AB270" s="8">
        <v>108</v>
      </c>
      <c r="AC270" s="15">
        <v>27897801306663</v>
      </c>
      <c r="AD270" s="4" t="s">
        <v>992</v>
      </c>
    </row>
    <row r="271" spans="2:30" x14ac:dyDescent="0.35">
      <c r="B271" s="14">
        <v>450</v>
      </c>
      <c r="C271" s="4" t="s">
        <v>278</v>
      </c>
      <c r="D271" s="4" t="s">
        <v>2371</v>
      </c>
      <c r="E271" s="4" t="s">
        <v>2911</v>
      </c>
      <c r="F271" s="4" t="s">
        <v>85</v>
      </c>
      <c r="G271" s="4" t="s">
        <v>993</v>
      </c>
      <c r="H271" s="6">
        <v>1.4E-2</v>
      </c>
      <c r="I271" s="8">
        <v>33.799999999999997</v>
      </c>
      <c r="J271" s="8">
        <v>33.799999999999997</v>
      </c>
      <c r="K271" s="8">
        <v>35.700000000000003</v>
      </c>
      <c r="L271" s="8">
        <f t="shared" si="8"/>
        <v>40785.108</v>
      </c>
      <c r="M271" s="15">
        <v>7897801301985</v>
      </c>
      <c r="N271" s="6" t="s">
        <v>20</v>
      </c>
      <c r="O271" s="6" t="s">
        <v>20</v>
      </c>
      <c r="P271" s="6" t="s">
        <v>20</v>
      </c>
      <c r="Q271" s="6">
        <v>0.15</v>
      </c>
      <c r="R271" s="6">
        <v>7.0000000000000007E-2</v>
      </c>
      <c r="S271" s="6">
        <v>0.23</v>
      </c>
      <c r="T271" s="8">
        <v>50</v>
      </c>
      <c r="U271" s="5" t="s">
        <v>994</v>
      </c>
      <c r="V271" s="89">
        <v>0</v>
      </c>
      <c r="W271" s="15">
        <v>17897801301982</v>
      </c>
      <c r="X271" s="6">
        <v>0.56999999999999995</v>
      </c>
      <c r="Y271" s="6">
        <v>0.16</v>
      </c>
      <c r="Z271" s="6">
        <v>0.7</v>
      </c>
      <c r="AA271" s="6">
        <f t="shared" ref="AA271:AA330" si="9">Y271*X271*Z271</f>
        <v>6.3839999999999994E-2</v>
      </c>
      <c r="AB271" s="8">
        <v>1500</v>
      </c>
      <c r="AC271" s="15">
        <v>47897801301983</v>
      </c>
      <c r="AD271" s="4" t="s">
        <v>992</v>
      </c>
    </row>
    <row r="272" spans="2:30" x14ac:dyDescent="0.35">
      <c r="B272" s="14">
        <v>451</v>
      </c>
      <c r="C272" s="4" t="s">
        <v>279</v>
      </c>
      <c r="D272" s="4" t="s">
        <v>2371</v>
      </c>
      <c r="E272" s="4" t="s">
        <v>2911</v>
      </c>
      <c r="F272" s="4" t="s">
        <v>85</v>
      </c>
      <c r="G272" s="4" t="s">
        <v>993</v>
      </c>
      <c r="H272" s="6">
        <v>2.3199999999999998E-2</v>
      </c>
      <c r="I272" s="8">
        <v>42</v>
      </c>
      <c r="J272" s="8">
        <v>43.3</v>
      </c>
      <c r="K272" s="8">
        <v>42</v>
      </c>
      <c r="L272" s="8">
        <f t="shared" si="8"/>
        <v>76381.2</v>
      </c>
      <c r="M272" s="15">
        <v>7897801301992</v>
      </c>
      <c r="N272" s="6" t="s">
        <v>20</v>
      </c>
      <c r="O272" s="6" t="s">
        <v>20</v>
      </c>
      <c r="P272" s="6" t="s">
        <v>20</v>
      </c>
      <c r="Q272" s="6">
        <v>0.17</v>
      </c>
      <c r="R272" s="6">
        <v>0.04</v>
      </c>
      <c r="S272" s="6">
        <v>0.23</v>
      </c>
      <c r="T272" s="8">
        <v>20</v>
      </c>
      <c r="U272" s="5" t="s">
        <v>994</v>
      </c>
      <c r="V272" s="89">
        <v>0</v>
      </c>
      <c r="W272" s="15">
        <v>17897801301999</v>
      </c>
      <c r="X272" s="6">
        <v>0.55000000000000004</v>
      </c>
      <c r="Y272" s="6">
        <v>0.2</v>
      </c>
      <c r="Z272" s="6">
        <v>0.7</v>
      </c>
      <c r="AA272" s="6">
        <f t="shared" si="9"/>
        <v>7.6999999999999999E-2</v>
      </c>
      <c r="AB272" s="8">
        <v>900</v>
      </c>
      <c r="AC272" s="15">
        <v>47897801301990</v>
      </c>
      <c r="AD272" s="4" t="s">
        <v>992</v>
      </c>
    </row>
    <row r="273" spans="2:30" x14ac:dyDescent="0.35">
      <c r="B273" s="14">
        <v>452</v>
      </c>
      <c r="C273" s="4" t="s">
        <v>280</v>
      </c>
      <c r="D273" s="4" t="s">
        <v>2371</v>
      </c>
      <c r="E273" s="4" t="s">
        <v>2911</v>
      </c>
      <c r="F273" s="4" t="s">
        <v>85</v>
      </c>
      <c r="G273" s="4" t="s">
        <v>993</v>
      </c>
      <c r="H273" s="6">
        <v>4.0599999999999997E-2</v>
      </c>
      <c r="I273" s="8">
        <v>60</v>
      </c>
      <c r="J273" s="8">
        <v>50</v>
      </c>
      <c r="K273" s="8">
        <v>50</v>
      </c>
      <c r="L273" s="8">
        <f t="shared" si="8"/>
        <v>150000</v>
      </c>
      <c r="M273" s="15">
        <v>7897801311960</v>
      </c>
      <c r="N273" s="6" t="s">
        <v>20</v>
      </c>
      <c r="O273" s="6" t="s">
        <v>20</v>
      </c>
      <c r="P273" s="6" t="s">
        <v>20</v>
      </c>
      <c r="Q273" s="6">
        <v>0.22</v>
      </c>
      <c r="R273" s="6">
        <v>0.06</v>
      </c>
      <c r="S273" s="6">
        <v>0.23</v>
      </c>
      <c r="T273" s="8">
        <v>10</v>
      </c>
      <c r="U273" s="5" t="s">
        <v>994</v>
      </c>
      <c r="V273" s="89">
        <v>0</v>
      </c>
      <c r="W273" s="15">
        <v>17897801311967</v>
      </c>
      <c r="X273" s="6">
        <v>0.49</v>
      </c>
      <c r="Y273" s="6">
        <v>0.22</v>
      </c>
      <c r="Z273" s="6">
        <v>0.74</v>
      </c>
      <c r="AA273" s="6">
        <f t="shared" si="9"/>
        <v>7.9771999999999996E-2</v>
      </c>
      <c r="AB273" s="8">
        <v>320</v>
      </c>
      <c r="AC273" s="15">
        <v>27897801311964</v>
      </c>
      <c r="AD273" s="4" t="s">
        <v>992</v>
      </c>
    </row>
    <row r="274" spans="2:30" x14ac:dyDescent="0.35">
      <c r="B274" s="14">
        <v>453</v>
      </c>
      <c r="C274" s="4" t="s">
        <v>281</v>
      </c>
      <c r="D274" s="4" t="s">
        <v>2371</v>
      </c>
      <c r="E274" s="4" t="s">
        <v>2911</v>
      </c>
      <c r="F274" s="4" t="s">
        <v>85</v>
      </c>
      <c r="G274" s="4" t="s">
        <v>993</v>
      </c>
      <c r="H274" s="6">
        <v>6.8599999999999994E-2</v>
      </c>
      <c r="I274" s="8">
        <v>70</v>
      </c>
      <c r="J274" s="8">
        <v>60</v>
      </c>
      <c r="K274" s="8">
        <v>60</v>
      </c>
      <c r="L274" s="8">
        <f t="shared" si="8"/>
        <v>252000</v>
      </c>
      <c r="M274" s="15">
        <v>7897801311977</v>
      </c>
      <c r="N274" s="6" t="s">
        <v>20</v>
      </c>
      <c r="O274" s="6" t="s">
        <v>20</v>
      </c>
      <c r="P274" s="6" t="s">
        <v>20</v>
      </c>
      <c r="Q274" s="6">
        <v>0.15</v>
      </c>
      <c r="R274" s="6">
        <v>7.0000000000000007E-2</v>
      </c>
      <c r="S274" s="6">
        <v>0.25</v>
      </c>
      <c r="T274" s="8">
        <v>10</v>
      </c>
      <c r="U274" s="5" t="s">
        <v>994</v>
      </c>
      <c r="V274" s="89">
        <v>0</v>
      </c>
      <c r="W274" s="15">
        <v>17897801311974</v>
      </c>
      <c r="X274" s="6">
        <v>0.45</v>
      </c>
      <c r="Y274" s="6">
        <v>0.18</v>
      </c>
      <c r="Z274" s="6">
        <v>0.7</v>
      </c>
      <c r="AA274" s="6">
        <f t="shared" si="9"/>
        <v>5.67E-2</v>
      </c>
      <c r="AB274" s="8">
        <v>240</v>
      </c>
      <c r="AC274" s="15">
        <v>27897801311971</v>
      </c>
      <c r="AD274" s="4" t="s">
        <v>992</v>
      </c>
    </row>
    <row r="275" spans="2:30" x14ac:dyDescent="0.35">
      <c r="B275" s="14">
        <v>454</v>
      </c>
      <c r="C275" s="4" t="s">
        <v>282</v>
      </c>
      <c r="D275" s="4" t="s">
        <v>2371</v>
      </c>
      <c r="E275" s="4" t="s">
        <v>2911</v>
      </c>
      <c r="F275" s="4" t="s">
        <v>85</v>
      </c>
      <c r="G275" s="4" t="s">
        <v>993</v>
      </c>
      <c r="H275" s="6">
        <v>2.1100000000000001E-2</v>
      </c>
      <c r="I275" s="8">
        <v>54</v>
      </c>
      <c r="J275" s="8">
        <v>28</v>
      </c>
      <c r="K275" s="8">
        <v>41</v>
      </c>
      <c r="L275" s="8">
        <f t="shared" si="8"/>
        <v>61992</v>
      </c>
      <c r="M275" s="15">
        <v>7897801300346</v>
      </c>
      <c r="N275" s="6" t="s">
        <v>20</v>
      </c>
      <c r="O275" s="6" t="s">
        <v>20</v>
      </c>
      <c r="P275" s="6" t="s">
        <v>20</v>
      </c>
      <c r="Q275" s="6">
        <v>0.22</v>
      </c>
      <c r="R275" s="6">
        <v>0.08</v>
      </c>
      <c r="S275" s="6">
        <v>0.3</v>
      </c>
      <c r="T275" s="8">
        <v>50</v>
      </c>
      <c r="U275" s="5" t="s">
        <v>994</v>
      </c>
      <c r="V275" s="89">
        <v>0</v>
      </c>
      <c r="W275" s="15">
        <v>17897801300343</v>
      </c>
      <c r="X275" s="6">
        <v>0.53</v>
      </c>
      <c r="Y275" s="6">
        <v>0.25</v>
      </c>
      <c r="Z275" s="6">
        <v>0.72</v>
      </c>
      <c r="AA275" s="6">
        <f t="shared" si="9"/>
        <v>9.5399999999999999E-2</v>
      </c>
      <c r="AB275" s="8">
        <v>1000</v>
      </c>
      <c r="AC275" s="15">
        <v>27897801300340</v>
      </c>
      <c r="AD275" s="4" t="s">
        <v>992</v>
      </c>
    </row>
    <row r="276" spans="2:30" x14ac:dyDescent="0.35">
      <c r="B276" s="14">
        <v>455</v>
      </c>
      <c r="C276" s="4" t="s">
        <v>283</v>
      </c>
      <c r="D276" s="4" t="s">
        <v>2371</v>
      </c>
      <c r="E276" s="4" t="s">
        <v>2911</v>
      </c>
      <c r="F276" s="4" t="s">
        <v>85</v>
      </c>
      <c r="G276" s="4" t="s">
        <v>993</v>
      </c>
      <c r="H276" s="6">
        <v>3.1600000000000003E-2</v>
      </c>
      <c r="I276" s="8">
        <v>64</v>
      </c>
      <c r="J276" s="8">
        <v>33.799999999999997</v>
      </c>
      <c r="K276" s="8">
        <v>48.9</v>
      </c>
      <c r="L276" s="8">
        <f t="shared" si="8"/>
        <v>105780.47999999998</v>
      </c>
      <c r="M276" s="15">
        <v>7897801300322</v>
      </c>
      <c r="N276" s="6" t="s">
        <v>20</v>
      </c>
      <c r="O276" s="6" t="s">
        <v>20</v>
      </c>
      <c r="P276" s="6" t="s">
        <v>20</v>
      </c>
      <c r="Q276" s="6">
        <v>0.32</v>
      </c>
      <c r="R276" s="6">
        <v>7.0000000000000007E-2</v>
      </c>
      <c r="S276" s="6">
        <v>0.43</v>
      </c>
      <c r="T276" s="8">
        <v>50</v>
      </c>
      <c r="U276" s="5" t="s">
        <v>994</v>
      </c>
      <c r="V276" s="89">
        <v>0</v>
      </c>
      <c r="W276" s="15">
        <v>17897801300329</v>
      </c>
      <c r="X276" s="6">
        <v>0.57999999999999996</v>
      </c>
      <c r="Y276" s="6">
        <v>0.22</v>
      </c>
      <c r="Z276" s="6">
        <v>0.68</v>
      </c>
      <c r="AA276" s="6">
        <f t="shared" si="9"/>
        <v>8.6767999999999998E-2</v>
      </c>
      <c r="AB276" s="8">
        <v>600</v>
      </c>
      <c r="AC276" s="15">
        <v>27897801300326</v>
      </c>
      <c r="AD276" s="4" t="s">
        <v>992</v>
      </c>
    </row>
    <row r="277" spans="2:30" x14ac:dyDescent="0.35">
      <c r="B277" s="14">
        <v>456</v>
      </c>
      <c r="C277" s="4" t="s">
        <v>284</v>
      </c>
      <c r="D277" s="4" t="s">
        <v>2371</v>
      </c>
      <c r="E277" s="4" t="s">
        <v>2911</v>
      </c>
      <c r="F277" s="4" t="s">
        <v>85</v>
      </c>
      <c r="G277" s="4" t="s">
        <v>993</v>
      </c>
      <c r="H277" s="6">
        <v>5.5300000000000002E-2</v>
      </c>
      <c r="I277" s="8">
        <v>60</v>
      </c>
      <c r="J277" s="8">
        <v>42</v>
      </c>
      <c r="K277" s="8">
        <v>78</v>
      </c>
      <c r="L277" s="8">
        <f t="shared" si="8"/>
        <v>196560</v>
      </c>
      <c r="M277" s="15">
        <v>7897801301589</v>
      </c>
      <c r="N277" s="6" t="s">
        <v>20</v>
      </c>
      <c r="O277" s="6" t="s">
        <v>20</v>
      </c>
      <c r="P277" s="6" t="s">
        <v>20</v>
      </c>
      <c r="Q277" s="6">
        <v>0.35</v>
      </c>
      <c r="R277" s="6">
        <v>0.08</v>
      </c>
      <c r="S277" s="6">
        <v>0.38</v>
      </c>
      <c r="T277" s="8">
        <v>25</v>
      </c>
      <c r="U277" s="5" t="s">
        <v>994</v>
      </c>
      <c r="V277" s="89">
        <v>0</v>
      </c>
      <c r="W277" s="15">
        <v>17897801301586</v>
      </c>
      <c r="X277" s="6">
        <v>0.57999999999999996</v>
      </c>
      <c r="Y277" s="6">
        <v>0.23</v>
      </c>
      <c r="Z277" s="6">
        <v>0.8</v>
      </c>
      <c r="AA277" s="6">
        <f t="shared" si="9"/>
        <v>0.10672</v>
      </c>
      <c r="AB277" s="8">
        <v>350</v>
      </c>
      <c r="AC277" s="15">
        <v>27897801301583</v>
      </c>
      <c r="AD277" s="4" t="s">
        <v>992</v>
      </c>
    </row>
    <row r="278" spans="2:30" x14ac:dyDescent="0.35">
      <c r="B278" s="14">
        <v>457</v>
      </c>
      <c r="C278" s="4" t="s">
        <v>285</v>
      </c>
      <c r="D278" s="4" t="s">
        <v>2371</v>
      </c>
      <c r="E278" s="4" t="s">
        <v>2911</v>
      </c>
      <c r="F278" s="4" t="s">
        <v>85</v>
      </c>
      <c r="G278" s="4" t="s">
        <v>993</v>
      </c>
      <c r="H278" s="6">
        <v>0.09</v>
      </c>
      <c r="I278" s="8">
        <v>73.7</v>
      </c>
      <c r="J278" s="8">
        <v>51.6</v>
      </c>
      <c r="K278" s="8">
        <v>95.8</v>
      </c>
      <c r="L278" s="8">
        <f t="shared" si="8"/>
        <v>364319.73599999998</v>
      </c>
      <c r="M278" s="15">
        <v>7897801301886</v>
      </c>
      <c r="N278" s="6" t="s">
        <v>20</v>
      </c>
      <c r="O278" s="6" t="s">
        <v>20</v>
      </c>
      <c r="P278" s="6" t="s">
        <v>20</v>
      </c>
      <c r="Q278" s="6">
        <v>0.18</v>
      </c>
      <c r="R278" s="6">
        <v>0.1</v>
      </c>
      <c r="S278" s="6">
        <v>0.3</v>
      </c>
      <c r="T278" s="8">
        <v>10</v>
      </c>
      <c r="U278" s="5" t="s">
        <v>994</v>
      </c>
      <c r="V278" s="89">
        <v>0</v>
      </c>
      <c r="W278" s="15">
        <v>17897801301883</v>
      </c>
      <c r="X278" s="6">
        <v>0.5</v>
      </c>
      <c r="Y278" s="6">
        <v>0.2</v>
      </c>
      <c r="Z278" s="6">
        <v>0.7</v>
      </c>
      <c r="AA278" s="6">
        <f t="shared" si="9"/>
        <v>6.9999999999999993E-2</v>
      </c>
      <c r="AB278" s="8">
        <v>200</v>
      </c>
      <c r="AC278" s="15">
        <v>27897801301880</v>
      </c>
      <c r="AD278" s="4" t="s">
        <v>992</v>
      </c>
    </row>
    <row r="279" spans="2:30" x14ac:dyDescent="0.35">
      <c r="B279" s="14">
        <v>458</v>
      </c>
      <c r="C279" s="4" t="s">
        <v>286</v>
      </c>
      <c r="D279" s="4" t="s">
        <v>2371</v>
      </c>
      <c r="E279" s="4" t="s">
        <v>2911</v>
      </c>
      <c r="F279" s="4" t="s">
        <v>85</v>
      </c>
      <c r="G279" s="4" t="s">
        <v>993</v>
      </c>
      <c r="H279" s="6">
        <v>0.14299999999999999</v>
      </c>
      <c r="I279" s="8">
        <v>89</v>
      </c>
      <c r="J279" s="8">
        <v>63</v>
      </c>
      <c r="K279" s="8">
        <v>115</v>
      </c>
      <c r="L279" s="8">
        <f t="shared" si="8"/>
        <v>644805</v>
      </c>
      <c r="M279" s="15">
        <v>7897801300698</v>
      </c>
      <c r="N279" s="6" t="s">
        <v>20</v>
      </c>
      <c r="O279" s="6" t="s">
        <v>20</v>
      </c>
      <c r="P279" s="6" t="s">
        <v>20</v>
      </c>
      <c r="Q279" s="6">
        <v>0.28000000000000003</v>
      </c>
      <c r="R279" s="6">
        <v>0.12</v>
      </c>
      <c r="S279" s="6">
        <v>0.45</v>
      </c>
      <c r="T279" s="8">
        <v>10</v>
      </c>
      <c r="U279" s="5" t="s">
        <v>994</v>
      </c>
      <c r="V279" s="89">
        <v>0</v>
      </c>
      <c r="W279" s="15">
        <v>17897801300695</v>
      </c>
      <c r="X279" s="6">
        <v>0.53</v>
      </c>
      <c r="Y279" s="6">
        <v>0.25</v>
      </c>
      <c r="Z279" s="6">
        <v>0.8</v>
      </c>
      <c r="AA279" s="6">
        <f t="shared" si="9"/>
        <v>0.10600000000000001</v>
      </c>
      <c r="AB279" s="8">
        <v>100</v>
      </c>
      <c r="AC279" s="15">
        <v>27897801300692</v>
      </c>
      <c r="AD279" s="4" t="s">
        <v>992</v>
      </c>
    </row>
    <row r="280" spans="2:30" x14ac:dyDescent="0.35">
      <c r="B280" s="14">
        <v>459</v>
      </c>
      <c r="C280" s="4" t="s">
        <v>287</v>
      </c>
      <c r="D280" s="4" t="s">
        <v>2371</v>
      </c>
      <c r="E280" s="4" t="s">
        <v>2911</v>
      </c>
      <c r="F280" s="4" t="s">
        <v>85</v>
      </c>
      <c r="G280" s="4" t="s">
        <v>993</v>
      </c>
      <c r="H280" s="6">
        <v>0.23530000000000001</v>
      </c>
      <c r="I280" s="8">
        <v>105.9</v>
      </c>
      <c r="J280" s="8">
        <v>74</v>
      </c>
      <c r="K280" s="8">
        <v>137.80000000000001</v>
      </c>
      <c r="L280" s="8">
        <f t="shared" si="8"/>
        <v>1079883.4800000002</v>
      </c>
      <c r="M280" s="15">
        <v>7897801302968</v>
      </c>
      <c r="N280" s="6" t="s">
        <v>20</v>
      </c>
      <c r="O280" s="6" t="s">
        <v>20</v>
      </c>
      <c r="P280" s="6" t="s">
        <v>20</v>
      </c>
      <c r="Q280" s="6">
        <v>0.24</v>
      </c>
      <c r="R280" s="6">
        <v>0.11</v>
      </c>
      <c r="S280" s="6">
        <v>0.35</v>
      </c>
      <c r="T280" s="8">
        <v>5</v>
      </c>
      <c r="U280" s="5" t="s">
        <v>994</v>
      </c>
      <c r="V280" s="89">
        <v>0</v>
      </c>
      <c r="W280" s="15">
        <v>17897801302965</v>
      </c>
      <c r="X280" s="6">
        <v>0.5</v>
      </c>
      <c r="Y280" s="6">
        <v>0.28999999999999998</v>
      </c>
      <c r="Z280" s="6">
        <v>0.7</v>
      </c>
      <c r="AA280" s="6">
        <f t="shared" si="9"/>
        <v>0.10149999999999999</v>
      </c>
      <c r="AB280" s="8">
        <v>70</v>
      </c>
      <c r="AC280" s="15">
        <v>27897801302962</v>
      </c>
      <c r="AD280" s="4" t="s">
        <v>992</v>
      </c>
    </row>
    <row r="281" spans="2:30" x14ac:dyDescent="0.35">
      <c r="B281" s="14">
        <v>460</v>
      </c>
      <c r="C281" s="4" t="s">
        <v>288</v>
      </c>
      <c r="D281" s="4" t="s">
        <v>2371</v>
      </c>
      <c r="E281" s="4" t="s">
        <v>2911</v>
      </c>
      <c r="F281" s="4" t="s">
        <v>85</v>
      </c>
      <c r="G281" s="4" t="s">
        <v>993</v>
      </c>
      <c r="H281" s="6">
        <v>0.5444</v>
      </c>
      <c r="I281" s="8">
        <v>174</v>
      </c>
      <c r="J281" s="8">
        <v>174</v>
      </c>
      <c r="K281" s="8">
        <v>133</v>
      </c>
      <c r="L281" s="8">
        <f t="shared" si="8"/>
        <v>4026708</v>
      </c>
      <c r="M281" s="15">
        <v>7897801308939</v>
      </c>
      <c r="N281" s="6" t="s">
        <v>20</v>
      </c>
      <c r="O281" s="6" t="s">
        <v>20</v>
      </c>
      <c r="P281" s="6" t="s">
        <v>20</v>
      </c>
      <c r="Q281" s="6">
        <v>0.28000000000000003</v>
      </c>
      <c r="R281" s="6">
        <v>9.5000000000000001E-2</v>
      </c>
      <c r="S281" s="6">
        <v>0.45</v>
      </c>
      <c r="T281" s="8">
        <v>5</v>
      </c>
      <c r="U281" s="5" t="s">
        <v>994</v>
      </c>
      <c r="V281" s="89">
        <v>0</v>
      </c>
      <c r="W281" s="15">
        <v>17897801308936</v>
      </c>
      <c r="X281" s="6">
        <v>0.55000000000000004</v>
      </c>
      <c r="Y281" s="6">
        <v>0.2</v>
      </c>
      <c r="Z281" s="6">
        <v>0.7</v>
      </c>
      <c r="AA281" s="6">
        <f t="shared" si="9"/>
        <v>7.6999999999999999E-2</v>
      </c>
      <c r="AB281" s="8">
        <v>30</v>
      </c>
      <c r="AC281" s="15">
        <v>27897801308933</v>
      </c>
      <c r="AD281" s="4" t="s">
        <v>992</v>
      </c>
    </row>
    <row r="282" spans="2:30" x14ac:dyDescent="0.35">
      <c r="B282" s="14">
        <v>461</v>
      </c>
      <c r="C282" s="4" t="s">
        <v>289</v>
      </c>
      <c r="D282" s="4" t="s">
        <v>2371</v>
      </c>
      <c r="E282" s="4" t="s">
        <v>2911</v>
      </c>
      <c r="F282" s="4" t="s">
        <v>85</v>
      </c>
      <c r="G282" s="4" t="s">
        <v>993</v>
      </c>
      <c r="H282" s="6">
        <v>0.64</v>
      </c>
      <c r="I282" s="8">
        <v>197</v>
      </c>
      <c r="J282" s="8">
        <v>197</v>
      </c>
      <c r="K282" s="8">
        <v>148</v>
      </c>
      <c r="L282" s="8">
        <f t="shared" si="8"/>
        <v>5743732</v>
      </c>
      <c r="M282" s="15">
        <v>7897801308830</v>
      </c>
      <c r="N282" s="6" t="s">
        <v>20</v>
      </c>
      <c r="O282" s="6" t="s">
        <v>20</v>
      </c>
      <c r="P282" s="6" t="s">
        <v>20</v>
      </c>
      <c r="Q282" s="6">
        <v>0.19500000000000001</v>
      </c>
      <c r="R282" s="6">
        <v>1050</v>
      </c>
      <c r="S282" s="6">
        <v>0.44500000000000001</v>
      </c>
      <c r="T282" s="8">
        <v>3</v>
      </c>
      <c r="U282" s="5" t="s">
        <v>994</v>
      </c>
      <c r="V282" s="89">
        <v>0</v>
      </c>
      <c r="W282" s="15">
        <v>17897801308837</v>
      </c>
      <c r="X282" s="6">
        <v>0.46</v>
      </c>
      <c r="Y282" s="6">
        <v>0.2</v>
      </c>
      <c r="Z282" s="6">
        <v>0.65</v>
      </c>
      <c r="AA282" s="6">
        <f t="shared" si="9"/>
        <v>5.9800000000000013E-2</v>
      </c>
      <c r="AB282" s="8">
        <v>18</v>
      </c>
      <c r="AC282" s="15">
        <v>27897801308834</v>
      </c>
      <c r="AD282" s="4" t="s">
        <v>992</v>
      </c>
    </row>
    <row r="283" spans="2:30" x14ac:dyDescent="0.35">
      <c r="B283" s="14">
        <v>462</v>
      </c>
      <c r="C283" s="4" t="s">
        <v>290</v>
      </c>
      <c r="D283" s="4" t="s">
        <v>2371</v>
      </c>
      <c r="E283" s="4" t="s">
        <v>2911</v>
      </c>
      <c r="F283" s="4" t="s">
        <v>85</v>
      </c>
      <c r="G283" s="4" t="s">
        <v>993</v>
      </c>
      <c r="H283" s="6">
        <v>1.3361000000000001</v>
      </c>
      <c r="I283" s="8">
        <v>250</v>
      </c>
      <c r="J283" s="8">
        <v>190</v>
      </c>
      <c r="K283" s="8">
        <v>130</v>
      </c>
      <c r="L283" s="8">
        <f t="shared" si="8"/>
        <v>6175000</v>
      </c>
      <c r="M283" s="15">
        <v>7897801309356</v>
      </c>
      <c r="N283" s="6" t="s">
        <v>20</v>
      </c>
      <c r="O283" s="6" t="s">
        <v>20</v>
      </c>
      <c r="P283" s="6" t="s">
        <v>20</v>
      </c>
      <c r="Q283" s="6">
        <v>0.19</v>
      </c>
      <c r="R283" s="6">
        <v>0.13</v>
      </c>
      <c r="S283" s="6">
        <v>0.25</v>
      </c>
      <c r="T283" s="8">
        <v>1</v>
      </c>
      <c r="U283" s="5" t="s">
        <v>994</v>
      </c>
      <c r="V283" s="89">
        <v>0</v>
      </c>
      <c r="W283" s="15">
        <v>17897801309353</v>
      </c>
      <c r="X283" s="6">
        <v>0.49</v>
      </c>
      <c r="Y283" s="6">
        <v>0.25</v>
      </c>
      <c r="Z283" s="6">
        <v>0.66</v>
      </c>
      <c r="AA283" s="6">
        <f t="shared" si="9"/>
        <v>8.0850000000000005E-2</v>
      </c>
      <c r="AB283" s="8">
        <v>10</v>
      </c>
      <c r="AC283" s="15">
        <v>27897801309350</v>
      </c>
      <c r="AD283" s="4" t="s">
        <v>992</v>
      </c>
    </row>
    <row r="284" spans="2:30" x14ac:dyDescent="0.35">
      <c r="B284" s="14">
        <v>463</v>
      </c>
      <c r="C284" s="4" t="s">
        <v>291</v>
      </c>
      <c r="D284" s="4" t="s">
        <v>2371</v>
      </c>
      <c r="E284" s="4" t="s">
        <v>2911</v>
      </c>
      <c r="F284" s="4" t="s">
        <v>85</v>
      </c>
      <c r="G284" s="4" t="s">
        <v>993</v>
      </c>
      <c r="H284" s="6">
        <v>2.8000000000000001E-2</v>
      </c>
      <c r="I284" s="8">
        <v>46.8</v>
      </c>
      <c r="J284" s="8">
        <v>33.799999999999997</v>
      </c>
      <c r="K284" s="8">
        <v>60</v>
      </c>
      <c r="L284" s="8">
        <f t="shared" si="8"/>
        <v>94910.39999999998</v>
      </c>
      <c r="M284" s="15">
        <v>7897801302005</v>
      </c>
      <c r="N284" s="6" t="s">
        <v>20</v>
      </c>
      <c r="O284" s="6" t="s">
        <v>20</v>
      </c>
      <c r="P284" s="6" t="s">
        <v>20</v>
      </c>
      <c r="Q284" s="6">
        <v>0.17</v>
      </c>
      <c r="R284" s="6">
        <v>5.5E-2</v>
      </c>
      <c r="S284" s="6">
        <v>0.26</v>
      </c>
      <c r="T284" s="8">
        <v>20</v>
      </c>
      <c r="U284" s="5" t="s">
        <v>994</v>
      </c>
      <c r="V284" s="89">
        <v>0</v>
      </c>
      <c r="W284" s="15">
        <v>17897801302002</v>
      </c>
      <c r="X284" s="6">
        <v>0.55000000000000004</v>
      </c>
      <c r="Y284" s="6">
        <v>0.215</v>
      </c>
      <c r="Z284" s="6">
        <v>0.75</v>
      </c>
      <c r="AA284" s="6">
        <f t="shared" si="9"/>
        <v>8.8687500000000002E-2</v>
      </c>
      <c r="AB284" s="8">
        <v>800</v>
      </c>
      <c r="AC284" s="15">
        <v>27897801302009</v>
      </c>
      <c r="AD284" s="4" t="s">
        <v>992</v>
      </c>
    </row>
    <row r="285" spans="2:30" x14ac:dyDescent="0.35">
      <c r="B285" s="14">
        <v>464</v>
      </c>
      <c r="C285" s="4" t="s">
        <v>292</v>
      </c>
      <c r="D285" s="4" t="s">
        <v>2371</v>
      </c>
      <c r="E285" s="4" t="s">
        <v>2911</v>
      </c>
      <c r="F285" s="4" t="s">
        <v>85</v>
      </c>
      <c r="G285" s="4" t="s">
        <v>993</v>
      </c>
      <c r="H285" s="6">
        <v>4.8500000000000001E-2</v>
      </c>
      <c r="I285" s="8">
        <v>56</v>
      </c>
      <c r="J285" s="8">
        <v>72</v>
      </c>
      <c r="K285" s="8">
        <v>56</v>
      </c>
      <c r="L285" s="8">
        <f t="shared" si="8"/>
        <v>225792</v>
      </c>
      <c r="M285" s="15">
        <v>7897801307130</v>
      </c>
      <c r="N285" s="6" t="s">
        <v>20</v>
      </c>
      <c r="O285" s="6" t="s">
        <v>20</v>
      </c>
      <c r="P285" s="6" t="s">
        <v>20</v>
      </c>
      <c r="Q285" s="6">
        <v>0.27</v>
      </c>
      <c r="R285" s="6">
        <v>0.08</v>
      </c>
      <c r="S285" s="6">
        <v>0.35</v>
      </c>
      <c r="T285" s="8">
        <v>20</v>
      </c>
      <c r="U285" s="5" t="s">
        <v>994</v>
      </c>
      <c r="V285" s="89">
        <v>0</v>
      </c>
      <c r="W285" s="15">
        <v>17897801307137</v>
      </c>
      <c r="X285" s="6">
        <v>0.6</v>
      </c>
      <c r="Y285" s="6">
        <v>0.19</v>
      </c>
      <c r="Z285" s="6">
        <v>0.81</v>
      </c>
      <c r="AA285" s="6">
        <f t="shared" si="9"/>
        <v>9.2339999999999992E-2</v>
      </c>
      <c r="AB285" s="8">
        <v>400</v>
      </c>
      <c r="AC285" s="15">
        <v>27897801307134</v>
      </c>
      <c r="AD285" s="4" t="s">
        <v>992</v>
      </c>
    </row>
    <row r="286" spans="2:30" x14ac:dyDescent="0.35">
      <c r="B286" s="14">
        <v>465</v>
      </c>
      <c r="C286" s="4" t="s">
        <v>293</v>
      </c>
      <c r="D286" s="4" t="s">
        <v>2371</v>
      </c>
      <c r="E286" s="4" t="s">
        <v>2911</v>
      </c>
      <c r="F286" s="4" t="s">
        <v>85</v>
      </c>
      <c r="G286" s="4" t="s">
        <v>993</v>
      </c>
      <c r="H286" s="6">
        <v>6.8000000000000005E-2</v>
      </c>
      <c r="I286" s="8">
        <v>66</v>
      </c>
      <c r="J286" s="8">
        <v>71.5</v>
      </c>
      <c r="K286" s="8">
        <v>66</v>
      </c>
      <c r="L286" s="8">
        <f t="shared" si="8"/>
        <v>311454</v>
      </c>
      <c r="M286" s="15">
        <v>7897801307284</v>
      </c>
      <c r="N286" s="6" t="s">
        <v>20</v>
      </c>
      <c r="O286" s="6" t="s">
        <v>20</v>
      </c>
      <c r="P286" s="6" t="s">
        <v>20</v>
      </c>
      <c r="Q286" s="6">
        <v>0.19</v>
      </c>
      <c r="R286" s="6">
        <v>8.2000000000000003E-2</v>
      </c>
      <c r="S286" s="6">
        <v>0.26</v>
      </c>
      <c r="T286" s="8">
        <v>10</v>
      </c>
      <c r="U286" s="5" t="s">
        <v>994</v>
      </c>
      <c r="V286" s="89">
        <v>0</v>
      </c>
      <c r="W286" s="15">
        <v>17897801307281</v>
      </c>
      <c r="X286" s="6">
        <v>0.54</v>
      </c>
      <c r="Y286" s="6">
        <v>0.27</v>
      </c>
      <c r="Z286" s="6">
        <v>0.75</v>
      </c>
      <c r="AA286" s="6">
        <f t="shared" si="9"/>
        <v>0.10935</v>
      </c>
      <c r="AB286" s="8">
        <v>280</v>
      </c>
      <c r="AC286" s="15">
        <v>27897801307288</v>
      </c>
      <c r="AD286" s="4" t="s">
        <v>992</v>
      </c>
    </row>
    <row r="287" spans="2:30" x14ac:dyDescent="0.35">
      <c r="B287" s="14">
        <v>466</v>
      </c>
      <c r="C287" s="4" t="s">
        <v>294</v>
      </c>
      <c r="D287" s="4" t="s">
        <v>2371</v>
      </c>
      <c r="E287" s="4" t="s">
        <v>2911</v>
      </c>
      <c r="F287" s="4" t="s">
        <v>85</v>
      </c>
      <c r="G287" s="4" t="s">
        <v>993</v>
      </c>
      <c r="H287" s="6">
        <v>8.6699999999999999E-2</v>
      </c>
      <c r="I287" s="8">
        <v>71</v>
      </c>
      <c r="J287" s="8">
        <v>91.5</v>
      </c>
      <c r="K287" s="8">
        <v>71</v>
      </c>
      <c r="L287" s="8">
        <f t="shared" si="8"/>
        <v>461251.5</v>
      </c>
      <c r="M287" s="15">
        <v>7897801307291</v>
      </c>
      <c r="N287" s="6" t="s">
        <v>20</v>
      </c>
      <c r="O287" s="6" t="s">
        <v>20</v>
      </c>
      <c r="P287" s="6" t="s">
        <v>20</v>
      </c>
      <c r="Q287" s="6">
        <v>0.21</v>
      </c>
      <c r="R287" s="6">
        <v>0.12</v>
      </c>
      <c r="S287" s="6">
        <v>0.32</v>
      </c>
      <c r="T287" s="8">
        <v>10</v>
      </c>
      <c r="U287" s="5" t="s">
        <v>994</v>
      </c>
      <c r="V287" s="89">
        <v>0</v>
      </c>
      <c r="W287" s="15">
        <v>17897801307298</v>
      </c>
      <c r="X287" s="6">
        <v>0.52</v>
      </c>
      <c r="Y287" s="6">
        <v>0.34</v>
      </c>
      <c r="Z287" s="6">
        <v>0.83</v>
      </c>
      <c r="AA287" s="6">
        <f t="shared" si="9"/>
        <v>0.14674400000000001</v>
      </c>
      <c r="AB287" s="8">
        <v>250</v>
      </c>
      <c r="AC287" s="15">
        <v>27897801307295</v>
      </c>
      <c r="AD287" s="4" t="s">
        <v>992</v>
      </c>
    </row>
    <row r="288" spans="2:30" x14ac:dyDescent="0.35">
      <c r="B288" s="14">
        <v>468</v>
      </c>
      <c r="C288" s="4" t="s">
        <v>295</v>
      </c>
      <c r="D288" s="4" t="s">
        <v>2371</v>
      </c>
      <c r="E288" s="4" t="s">
        <v>2911</v>
      </c>
      <c r="F288" s="4" t="s">
        <v>85</v>
      </c>
      <c r="G288" s="4" t="s">
        <v>993</v>
      </c>
      <c r="H288" s="6">
        <v>0.10100000000000001</v>
      </c>
      <c r="I288" s="8">
        <v>76.5</v>
      </c>
      <c r="J288" s="8">
        <v>63</v>
      </c>
      <c r="K288" s="8">
        <v>88.5</v>
      </c>
      <c r="L288" s="8">
        <f t="shared" si="8"/>
        <v>426525.75</v>
      </c>
      <c r="M288" s="15">
        <v>7897801300704</v>
      </c>
      <c r="N288" s="6" t="s">
        <v>20</v>
      </c>
      <c r="O288" s="6" t="s">
        <v>20</v>
      </c>
      <c r="P288" s="6" t="s">
        <v>20</v>
      </c>
      <c r="Q288" s="6">
        <v>0.2</v>
      </c>
      <c r="R288" s="6">
        <v>0.1</v>
      </c>
      <c r="S288" s="6">
        <v>0.4</v>
      </c>
      <c r="T288" s="8">
        <v>10</v>
      </c>
      <c r="U288" s="5" t="s">
        <v>994</v>
      </c>
      <c r="V288" s="89">
        <v>0</v>
      </c>
      <c r="W288" s="15">
        <v>17897801300701</v>
      </c>
      <c r="X288" s="6">
        <v>0.55000000000000004</v>
      </c>
      <c r="Y288" s="6">
        <v>0.2</v>
      </c>
      <c r="Z288" s="6">
        <v>0.75</v>
      </c>
      <c r="AA288" s="6">
        <f t="shared" si="9"/>
        <v>8.2500000000000018E-2</v>
      </c>
      <c r="AB288" s="8">
        <v>150</v>
      </c>
      <c r="AC288" s="15">
        <v>27897801300708</v>
      </c>
      <c r="AD288" s="4" t="s">
        <v>992</v>
      </c>
    </row>
    <row r="289" spans="2:30" x14ac:dyDescent="0.35">
      <c r="B289" s="14">
        <v>469</v>
      </c>
      <c r="C289" s="4" t="s">
        <v>296</v>
      </c>
      <c r="D289" s="4" t="s">
        <v>2371</v>
      </c>
      <c r="E289" s="4" t="s">
        <v>2911</v>
      </c>
      <c r="F289" s="4" t="s">
        <v>85</v>
      </c>
      <c r="G289" s="4" t="s">
        <v>993</v>
      </c>
      <c r="H289" s="6">
        <v>0.12</v>
      </c>
      <c r="I289" s="8">
        <v>81.2</v>
      </c>
      <c r="J289" s="8">
        <v>100.4</v>
      </c>
      <c r="K289" s="8">
        <v>81.2</v>
      </c>
      <c r="L289" s="8">
        <f t="shared" si="8"/>
        <v>661981.37600000005</v>
      </c>
      <c r="M289" s="15">
        <v>7897801307314</v>
      </c>
      <c r="N289" s="6" t="s">
        <v>20</v>
      </c>
      <c r="O289" s="6" t="s">
        <v>20</v>
      </c>
      <c r="P289" s="6" t="s">
        <v>20</v>
      </c>
      <c r="Q289" s="6">
        <v>0.18</v>
      </c>
      <c r="R289" s="6">
        <v>7.0000000000000007E-2</v>
      </c>
      <c r="S289" s="6">
        <v>0.28000000000000003</v>
      </c>
      <c r="T289" s="8">
        <v>6</v>
      </c>
      <c r="U289" s="5" t="s">
        <v>994</v>
      </c>
      <c r="V289" s="89">
        <v>0</v>
      </c>
      <c r="W289" s="15">
        <v>17897801307311</v>
      </c>
      <c r="X289" s="6">
        <v>0.5</v>
      </c>
      <c r="Y289" s="6">
        <v>0.21</v>
      </c>
      <c r="Z289" s="6">
        <v>0.7</v>
      </c>
      <c r="AA289" s="6">
        <f t="shared" si="9"/>
        <v>7.3499999999999996E-2</v>
      </c>
      <c r="AB289" s="8">
        <v>120</v>
      </c>
      <c r="AC289" s="15">
        <v>27897801307318</v>
      </c>
      <c r="AD289" s="4" t="s">
        <v>992</v>
      </c>
    </row>
    <row r="290" spans="2:30" x14ac:dyDescent="0.35">
      <c r="B290" s="14">
        <v>470</v>
      </c>
      <c r="C290" s="4" t="s">
        <v>297</v>
      </c>
      <c r="D290" s="4" t="s">
        <v>2371</v>
      </c>
      <c r="E290" s="4" t="s">
        <v>2911</v>
      </c>
      <c r="F290" s="4" t="s">
        <v>85</v>
      </c>
      <c r="G290" s="4" t="s">
        <v>993</v>
      </c>
      <c r="H290" s="6">
        <v>0.13589999999999999</v>
      </c>
      <c r="I290" s="8">
        <v>84.6</v>
      </c>
      <c r="J290" s="8">
        <v>107.6</v>
      </c>
      <c r="K290" s="8">
        <v>84.6</v>
      </c>
      <c r="L290" s="8">
        <f t="shared" si="8"/>
        <v>770110.41599999985</v>
      </c>
      <c r="M290" s="15">
        <v>7897801307321</v>
      </c>
      <c r="N290" s="6" t="s">
        <v>20</v>
      </c>
      <c r="O290" s="6" t="s">
        <v>20</v>
      </c>
      <c r="P290" s="6" t="s">
        <v>20</v>
      </c>
      <c r="Q290" s="6">
        <v>0.19</v>
      </c>
      <c r="R290" s="6">
        <v>0.09</v>
      </c>
      <c r="S290" s="6">
        <v>0.32</v>
      </c>
      <c r="T290" s="8">
        <v>6</v>
      </c>
      <c r="U290" s="5" t="s">
        <v>994</v>
      </c>
      <c r="V290" s="89">
        <v>0</v>
      </c>
      <c r="W290" s="15">
        <v>17897801307328</v>
      </c>
      <c r="X290" s="6">
        <v>0.5</v>
      </c>
      <c r="Y290" s="6">
        <v>0.25</v>
      </c>
      <c r="Z290" s="6">
        <v>0.7</v>
      </c>
      <c r="AA290" s="6">
        <f t="shared" si="9"/>
        <v>8.7499999999999994E-2</v>
      </c>
      <c r="AB290" s="8">
        <v>120</v>
      </c>
      <c r="AC290" s="15">
        <v>27897801307325</v>
      </c>
      <c r="AD290" s="4" t="s">
        <v>992</v>
      </c>
    </row>
    <row r="291" spans="2:30" x14ac:dyDescent="0.35">
      <c r="B291" s="14">
        <v>472</v>
      </c>
      <c r="C291" s="4" t="s">
        <v>298</v>
      </c>
      <c r="D291" s="4" t="s">
        <v>2371</v>
      </c>
      <c r="E291" s="4" t="s">
        <v>2911</v>
      </c>
      <c r="F291" s="4" t="s">
        <v>85</v>
      </c>
      <c r="G291" s="4" t="s">
        <v>993</v>
      </c>
      <c r="H291" s="6">
        <v>0.35460000000000003</v>
      </c>
      <c r="I291" s="8">
        <v>143</v>
      </c>
      <c r="J291" s="8">
        <v>125</v>
      </c>
      <c r="K291" s="8">
        <v>97</v>
      </c>
      <c r="L291" s="8">
        <f t="shared" si="8"/>
        <v>1733875</v>
      </c>
      <c r="M291" s="15">
        <v>7897801311953</v>
      </c>
      <c r="N291" s="6" t="s">
        <v>20</v>
      </c>
      <c r="O291" s="6" t="s">
        <v>20</v>
      </c>
      <c r="P291" s="6" t="s">
        <v>20</v>
      </c>
      <c r="Q291" s="6">
        <v>0.24</v>
      </c>
      <c r="R291" s="6">
        <v>0.09</v>
      </c>
      <c r="S291" s="6">
        <v>0.39</v>
      </c>
      <c r="T291" s="8">
        <v>5</v>
      </c>
      <c r="U291" s="5" t="s">
        <v>994</v>
      </c>
      <c r="V291" s="89">
        <v>0</v>
      </c>
      <c r="W291" s="15">
        <v>17897801311950</v>
      </c>
      <c r="X291" s="6">
        <v>0.42</v>
      </c>
      <c r="Y291" s="6">
        <v>0.26</v>
      </c>
      <c r="Z291" s="6">
        <v>0.62</v>
      </c>
      <c r="AA291" s="6">
        <f t="shared" si="9"/>
        <v>6.7704E-2</v>
      </c>
      <c r="AB291" s="8">
        <v>35</v>
      </c>
      <c r="AC291" s="15">
        <v>27897801311957</v>
      </c>
      <c r="AD291" s="4" t="s">
        <v>992</v>
      </c>
    </row>
    <row r="292" spans="2:30" x14ac:dyDescent="0.35">
      <c r="B292" s="14">
        <v>473</v>
      </c>
      <c r="C292" s="4" t="s">
        <v>299</v>
      </c>
      <c r="D292" s="4" t="s">
        <v>2371</v>
      </c>
      <c r="E292" s="4" t="s">
        <v>2911</v>
      </c>
      <c r="F292" s="4" t="s">
        <v>85</v>
      </c>
      <c r="G292" s="4" t="s">
        <v>993</v>
      </c>
      <c r="H292" s="6">
        <v>0.40189999999999998</v>
      </c>
      <c r="I292" s="8">
        <v>154</v>
      </c>
      <c r="J292" s="8">
        <v>118</v>
      </c>
      <c r="K292" s="8">
        <v>74</v>
      </c>
      <c r="L292" s="8">
        <f t="shared" si="8"/>
        <v>1344728</v>
      </c>
      <c r="M292" s="15">
        <v>7897801311991</v>
      </c>
      <c r="N292" s="6" t="s">
        <v>20</v>
      </c>
      <c r="O292" s="6" t="s">
        <v>20</v>
      </c>
      <c r="P292" s="6" t="s">
        <v>20</v>
      </c>
      <c r="Q292" s="6">
        <v>0.25</v>
      </c>
      <c r="R292" s="6">
        <v>9</v>
      </c>
      <c r="S292" s="6">
        <v>0.37</v>
      </c>
      <c r="T292" s="8">
        <v>4</v>
      </c>
      <c r="U292" s="5" t="s">
        <v>994</v>
      </c>
      <c r="V292" s="89">
        <v>0</v>
      </c>
      <c r="W292" s="15">
        <v>17897801311998</v>
      </c>
      <c r="X292" s="6">
        <v>0.56999999999999995</v>
      </c>
      <c r="Y292" s="6">
        <v>0.28999999999999998</v>
      </c>
      <c r="Z292" s="6">
        <v>0.7</v>
      </c>
      <c r="AA292" s="6">
        <f t="shared" si="9"/>
        <v>0.11570999999999998</v>
      </c>
      <c r="AB292" s="8">
        <v>48</v>
      </c>
      <c r="AC292" s="15">
        <v>27897801311995</v>
      </c>
      <c r="AD292" s="4" t="s">
        <v>992</v>
      </c>
    </row>
    <row r="293" spans="2:30" x14ac:dyDescent="0.35">
      <c r="B293" s="14">
        <v>474</v>
      </c>
      <c r="C293" s="4" t="s">
        <v>300</v>
      </c>
      <c r="D293" s="4" t="s">
        <v>2371</v>
      </c>
      <c r="E293" s="4" t="s">
        <v>2911</v>
      </c>
      <c r="F293" s="4" t="s">
        <v>85</v>
      </c>
      <c r="G293" s="4" t="s">
        <v>993</v>
      </c>
      <c r="H293" s="6">
        <v>3.15E-2</v>
      </c>
      <c r="I293" s="8">
        <v>43</v>
      </c>
      <c r="J293" s="8">
        <v>43</v>
      </c>
      <c r="K293" s="8">
        <v>41</v>
      </c>
      <c r="L293" s="8">
        <f t="shared" si="8"/>
        <v>75809</v>
      </c>
      <c r="M293" s="15">
        <v>7897801302852</v>
      </c>
      <c r="N293" s="6" t="s">
        <v>20</v>
      </c>
      <c r="O293" s="6" t="s">
        <v>20</v>
      </c>
      <c r="P293" s="6" t="s">
        <v>20</v>
      </c>
      <c r="Q293" s="6">
        <v>0.185</v>
      </c>
      <c r="R293" s="6">
        <v>0.08</v>
      </c>
      <c r="S293" s="6">
        <v>0.21</v>
      </c>
      <c r="T293" s="8">
        <v>20</v>
      </c>
      <c r="U293" s="5" t="s">
        <v>994</v>
      </c>
      <c r="V293" s="89">
        <v>0</v>
      </c>
      <c r="W293" s="15">
        <v>17897801302859</v>
      </c>
      <c r="X293" s="6">
        <v>0.5</v>
      </c>
      <c r="Y293" s="6">
        <v>0.20499999999999999</v>
      </c>
      <c r="Z293" s="6">
        <v>0.65</v>
      </c>
      <c r="AA293" s="6">
        <f t="shared" si="9"/>
        <v>6.6625000000000004E-2</v>
      </c>
      <c r="AB293" s="8">
        <v>700</v>
      </c>
      <c r="AC293" s="15">
        <v>47897801302850</v>
      </c>
      <c r="AD293" s="4" t="s">
        <v>992</v>
      </c>
    </row>
    <row r="294" spans="2:30" x14ac:dyDescent="0.35">
      <c r="B294" s="14">
        <v>475</v>
      </c>
      <c r="C294" s="4" t="s">
        <v>301</v>
      </c>
      <c r="D294" s="4" t="s">
        <v>2371</v>
      </c>
      <c r="E294" s="4" t="s">
        <v>2911</v>
      </c>
      <c r="F294" s="4" t="s">
        <v>85</v>
      </c>
      <c r="G294" s="4" t="s">
        <v>993</v>
      </c>
      <c r="H294" s="6">
        <v>4.9399999999999999E-2</v>
      </c>
      <c r="I294" s="8">
        <v>52</v>
      </c>
      <c r="J294" s="8">
        <v>52</v>
      </c>
      <c r="K294" s="8">
        <v>44.5</v>
      </c>
      <c r="L294" s="8">
        <f t="shared" si="8"/>
        <v>120328</v>
      </c>
      <c r="M294" s="15">
        <v>7897801302876</v>
      </c>
      <c r="N294" s="6" t="s">
        <v>20</v>
      </c>
      <c r="O294" s="6" t="s">
        <v>20</v>
      </c>
      <c r="P294" s="6" t="s">
        <v>20</v>
      </c>
      <c r="Q294" s="6">
        <v>0.19</v>
      </c>
      <c r="R294" s="6">
        <v>7.0000000000000007E-2</v>
      </c>
      <c r="S294" s="6">
        <v>0.26</v>
      </c>
      <c r="T294" s="8">
        <v>20</v>
      </c>
      <c r="U294" s="5" t="s">
        <v>994</v>
      </c>
      <c r="V294" s="89">
        <v>0</v>
      </c>
      <c r="W294" s="15">
        <v>17897801302873</v>
      </c>
      <c r="X294" s="6">
        <v>0.49</v>
      </c>
      <c r="Y294" s="6">
        <v>0.18</v>
      </c>
      <c r="Z294" s="6">
        <v>0.62</v>
      </c>
      <c r="AA294" s="6">
        <f t="shared" si="9"/>
        <v>5.4684000000000003E-2</v>
      </c>
      <c r="AB294" s="8">
        <v>400</v>
      </c>
      <c r="AC294" s="15">
        <v>47897801302874</v>
      </c>
      <c r="AD294" s="4" t="s">
        <v>992</v>
      </c>
    </row>
    <row r="295" spans="2:30" x14ac:dyDescent="0.35">
      <c r="B295" s="14">
        <v>476</v>
      </c>
      <c r="C295" s="4" t="s">
        <v>302</v>
      </c>
      <c r="D295" s="4" t="s">
        <v>2371</v>
      </c>
      <c r="E295" s="4" t="s">
        <v>2911</v>
      </c>
      <c r="F295" s="4" t="s">
        <v>85</v>
      </c>
      <c r="G295" s="4" t="s">
        <v>993</v>
      </c>
      <c r="H295" s="6">
        <v>8.2199999999999995E-2</v>
      </c>
      <c r="I295" s="8">
        <v>62</v>
      </c>
      <c r="J295" s="8">
        <v>53</v>
      </c>
      <c r="K295" s="8">
        <v>62</v>
      </c>
      <c r="L295" s="8">
        <f t="shared" si="8"/>
        <v>203732</v>
      </c>
      <c r="M295" s="15">
        <v>7897801307413</v>
      </c>
      <c r="N295" s="6" t="s">
        <v>20</v>
      </c>
      <c r="O295" s="6" t="s">
        <v>20</v>
      </c>
      <c r="P295" s="6" t="s">
        <v>20</v>
      </c>
      <c r="Q295" s="6">
        <v>0.16</v>
      </c>
      <c r="R295" s="6">
        <v>7.0000000000000007E-2</v>
      </c>
      <c r="S295" s="6">
        <v>0.27</v>
      </c>
      <c r="T295" s="8">
        <v>10</v>
      </c>
      <c r="U295" s="5" t="s">
        <v>994</v>
      </c>
      <c r="V295" s="89">
        <v>0</v>
      </c>
      <c r="W295" s="15">
        <v>17897801307410</v>
      </c>
      <c r="X295" s="6">
        <v>0.46</v>
      </c>
      <c r="Y295" s="6">
        <v>0.25</v>
      </c>
      <c r="Z295" s="6">
        <v>0.6</v>
      </c>
      <c r="AA295" s="6">
        <f t="shared" si="9"/>
        <v>6.9000000000000006E-2</v>
      </c>
      <c r="AB295" s="8">
        <v>240</v>
      </c>
      <c r="AC295" s="15">
        <v>47897801307411</v>
      </c>
      <c r="AD295" s="4" t="s">
        <v>992</v>
      </c>
    </row>
    <row r="296" spans="2:30" x14ac:dyDescent="0.35">
      <c r="B296" s="14">
        <v>477</v>
      </c>
      <c r="C296" s="4" t="s">
        <v>303</v>
      </c>
      <c r="D296" s="4" t="s">
        <v>2371</v>
      </c>
      <c r="E296" s="4" t="s">
        <v>2911</v>
      </c>
      <c r="F296" s="4" t="s">
        <v>85</v>
      </c>
      <c r="G296" s="4" t="s">
        <v>993</v>
      </c>
      <c r="H296" s="6">
        <v>0.13880000000000001</v>
      </c>
      <c r="I296" s="8">
        <v>75</v>
      </c>
      <c r="J296" s="8">
        <v>63</v>
      </c>
      <c r="K296" s="8">
        <v>75</v>
      </c>
      <c r="L296" s="8">
        <f t="shared" si="8"/>
        <v>354375</v>
      </c>
      <c r="M296" s="15">
        <v>7897801307390</v>
      </c>
      <c r="N296" s="6" t="s">
        <v>20</v>
      </c>
      <c r="O296" s="6" t="s">
        <v>20</v>
      </c>
      <c r="P296" s="6" t="s">
        <v>20</v>
      </c>
      <c r="Q296" s="6">
        <v>0.2</v>
      </c>
      <c r="R296" s="6">
        <v>7.0000000000000007E-2</v>
      </c>
      <c r="S296" s="6">
        <v>0.31</v>
      </c>
      <c r="T296" s="8">
        <v>10</v>
      </c>
      <c r="U296" s="5" t="s">
        <v>994</v>
      </c>
      <c r="V296" s="89">
        <v>0</v>
      </c>
      <c r="W296" s="15">
        <v>17897801307397</v>
      </c>
      <c r="X296" s="6">
        <v>0.51</v>
      </c>
      <c r="Y296" s="6">
        <v>0.23</v>
      </c>
      <c r="Z296" s="6">
        <v>0.66</v>
      </c>
      <c r="AA296" s="6">
        <f t="shared" si="9"/>
        <v>7.7418000000000001E-2</v>
      </c>
      <c r="AB296" s="8">
        <v>150</v>
      </c>
      <c r="AC296" s="15">
        <v>47897801307398</v>
      </c>
      <c r="AD296" s="4" t="s">
        <v>992</v>
      </c>
    </row>
    <row r="297" spans="2:30" x14ac:dyDescent="0.35">
      <c r="B297" s="14">
        <v>478</v>
      </c>
      <c r="C297" s="4" t="s">
        <v>304</v>
      </c>
      <c r="D297" s="4" t="s">
        <v>2371</v>
      </c>
      <c r="E297" s="4" t="s">
        <v>2911</v>
      </c>
      <c r="F297" s="4" t="s">
        <v>85</v>
      </c>
      <c r="G297" s="4" t="s">
        <v>993</v>
      </c>
      <c r="H297" s="6">
        <v>0.23880000000000001</v>
      </c>
      <c r="I297" s="8">
        <v>92</v>
      </c>
      <c r="J297" s="8">
        <v>92</v>
      </c>
      <c r="K297" s="8">
        <v>75.5</v>
      </c>
      <c r="L297" s="8">
        <f t="shared" si="8"/>
        <v>639032</v>
      </c>
      <c r="M297" s="15">
        <v>7897801302890</v>
      </c>
      <c r="N297" s="6" t="s">
        <v>20</v>
      </c>
      <c r="O297" s="6" t="s">
        <v>20</v>
      </c>
      <c r="P297" s="6" t="s">
        <v>20</v>
      </c>
      <c r="Q297" s="6">
        <v>0.28999999999999998</v>
      </c>
      <c r="R297" s="6">
        <v>9.5000000000000001E-2</v>
      </c>
      <c r="S297" s="6">
        <v>0.34</v>
      </c>
      <c r="T297" s="8">
        <v>10</v>
      </c>
      <c r="U297" s="5" t="s">
        <v>994</v>
      </c>
      <c r="V297" s="89">
        <v>0</v>
      </c>
      <c r="W297" s="15">
        <v>17897801302897</v>
      </c>
      <c r="X297" s="6">
        <v>0.48</v>
      </c>
      <c r="Y297" s="6">
        <v>0.19500000000000001</v>
      </c>
      <c r="Z297" s="6">
        <v>0.7</v>
      </c>
      <c r="AA297" s="6">
        <f t="shared" si="9"/>
        <v>6.5519999999999995E-2</v>
      </c>
      <c r="AB297" s="8">
        <v>80</v>
      </c>
      <c r="AC297" s="15">
        <v>47897801302898</v>
      </c>
      <c r="AD297" s="4" t="s">
        <v>992</v>
      </c>
    </row>
    <row r="298" spans="2:30" x14ac:dyDescent="0.35">
      <c r="B298" s="14">
        <v>479</v>
      </c>
      <c r="C298" s="4" t="s">
        <v>305</v>
      </c>
      <c r="D298" s="4" t="s">
        <v>2371</v>
      </c>
      <c r="E298" s="4" t="s">
        <v>2911</v>
      </c>
      <c r="F298" s="4" t="s">
        <v>85</v>
      </c>
      <c r="G298" s="4" t="s">
        <v>993</v>
      </c>
      <c r="H298" s="6">
        <v>0.33069999999999999</v>
      </c>
      <c r="I298" s="8">
        <v>103</v>
      </c>
      <c r="J298" s="8">
        <v>87</v>
      </c>
      <c r="K298" s="8">
        <v>103</v>
      </c>
      <c r="L298" s="8">
        <f t="shared" si="8"/>
        <v>922983</v>
      </c>
      <c r="M298" s="15">
        <v>7897801308403</v>
      </c>
      <c r="N298" s="6" t="s">
        <v>20</v>
      </c>
      <c r="O298" s="6" t="s">
        <v>20</v>
      </c>
      <c r="P298" s="6" t="s">
        <v>20</v>
      </c>
      <c r="Q298" s="6">
        <v>0.21</v>
      </c>
      <c r="R298" s="6">
        <v>0.105</v>
      </c>
      <c r="S298" s="6">
        <v>0.3</v>
      </c>
      <c r="T298" s="8">
        <v>5</v>
      </c>
      <c r="U298" s="5" t="s">
        <v>994</v>
      </c>
      <c r="V298" s="89">
        <v>0</v>
      </c>
      <c r="W298" s="15">
        <v>17897801308400</v>
      </c>
      <c r="X298" s="6">
        <v>0.46</v>
      </c>
      <c r="Y298" s="6">
        <v>0.25</v>
      </c>
      <c r="Z298" s="6">
        <v>0.64</v>
      </c>
      <c r="AA298" s="6">
        <f t="shared" si="9"/>
        <v>7.3599999999999999E-2</v>
      </c>
      <c r="AB298" s="8">
        <v>60</v>
      </c>
      <c r="AC298" s="15">
        <v>47897801308401</v>
      </c>
      <c r="AD298" s="4" t="s">
        <v>992</v>
      </c>
    </row>
    <row r="299" spans="2:30" x14ac:dyDescent="0.35">
      <c r="B299" s="14">
        <v>480</v>
      </c>
      <c r="C299" s="4" t="s">
        <v>306</v>
      </c>
      <c r="D299" s="4" t="s">
        <v>2371</v>
      </c>
      <c r="E299" s="4" t="s">
        <v>2911</v>
      </c>
      <c r="F299" s="4" t="s">
        <v>85</v>
      </c>
      <c r="G299" s="4" t="s">
        <v>993</v>
      </c>
      <c r="H299" s="6">
        <v>0.68859999999999999</v>
      </c>
      <c r="I299" s="8">
        <v>130</v>
      </c>
      <c r="J299" s="8">
        <v>110</v>
      </c>
      <c r="K299" s="8">
        <v>130</v>
      </c>
      <c r="L299" s="8">
        <f t="shared" si="8"/>
        <v>1859000</v>
      </c>
      <c r="M299" s="15">
        <v>7897801312370</v>
      </c>
      <c r="N299" s="6" t="s">
        <v>20</v>
      </c>
      <c r="O299" s="6" t="s">
        <v>20</v>
      </c>
      <c r="P299" s="6" t="s">
        <v>20</v>
      </c>
      <c r="Q299" s="6">
        <v>0.26</v>
      </c>
      <c r="R299" s="6">
        <v>0.14000000000000001</v>
      </c>
      <c r="S299" s="6">
        <v>0.3</v>
      </c>
      <c r="T299" s="8">
        <v>4</v>
      </c>
      <c r="U299" s="5" t="s">
        <v>994</v>
      </c>
      <c r="V299" s="89">
        <v>0</v>
      </c>
      <c r="W299" s="15">
        <v>17897801312377</v>
      </c>
      <c r="X299" s="6">
        <v>0.5</v>
      </c>
      <c r="Y299" s="6">
        <v>0.27</v>
      </c>
      <c r="Z299" s="6">
        <v>0.7</v>
      </c>
      <c r="AA299" s="6">
        <f t="shared" si="9"/>
        <v>9.4500000000000001E-2</v>
      </c>
      <c r="AB299" s="8">
        <v>28</v>
      </c>
      <c r="AC299" s="15">
        <v>27897801312374</v>
      </c>
      <c r="AD299" s="4" t="s">
        <v>992</v>
      </c>
    </row>
    <row r="300" spans="2:30" x14ac:dyDescent="0.35">
      <c r="B300" s="14">
        <v>481</v>
      </c>
      <c r="C300" s="4" t="s">
        <v>307</v>
      </c>
      <c r="D300" s="4" t="s">
        <v>2371</v>
      </c>
      <c r="E300" s="4" t="s">
        <v>2911</v>
      </c>
      <c r="F300" s="4" t="s">
        <v>85</v>
      </c>
      <c r="G300" s="4" t="s">
        <v>993</v>
      </c>
      <c r="H300" s="6">
        <v>0.82479999999999998</v>
      </c>
      <c r="I300" s="8">
        <v>190</v>
      </c>
      <c r="J300" s="8">
        <v>190</v>
      </c>
      <c r="K300" s="8">
        <v>130</v>
      </c>
      <c r="L300" s="8">
        <f t="shared" si="8"/>
        <v>4693000</v>
      </c>
      <c r="M300" s="15">
        <v>7897801312387</v>
      </c>
      <c r="N300" s="6" t="s">
        <v>20</v>
      </c>
      <c r="O300" s="6" t="s">
        <v>20</v>
      </c>
      <c r="P300" s="6" t="s">
        <v>20</v>
      </c>
      <c r="Q300" s="6">
        <v>0.3</v>
      </c>
      <c r="R300" s="6">
        <v>0.15</v>
      </c>
      <c r="S300" s="6">
        <v>0.3</v>
      </c>
      <c r="T300" s="8">
        <v>3</v>
      </c>
      <c r="U300" s="5" t="s">
        <v>994</v>
      </c>
      <c r="V300" s="89">
        <v>0</v>
      </c>
      <c r="W300" s="15">
        <v>17897801312384</v>
      </c>
      <c r="X300" s="6">
        <v>0.45</v>
      </c>
      <c r="Y300" s="6">
        <v>0.2</v>
      </c>
      <c r="Z300" s="6">
        <v>0.65</v>
      </c>
      <c r="AA300" s="6">
        <f t="shared" si="9"/>
        <v>5.850000000000001E-2</v>
      </c>
      <c r="AB300" s="8">
        <v>24</v>
      </c>
      <c r="AC300" s="15">
        <v>27897801312381</v>
      </c>
      <c r="AD300" s="4" t="s">
        <v>992</v>
      </c>
    </row>
    <row r="301" spans="2:30" x14ac:dyDescent="0.35">
      <c r="B301" s="14">
        <v>482</v>
      </c>
      <c r="C301" s="4" t="s">
        <v>308</v>
      </c>
      <c r="D301" s="4" t="s">
        <v>2371</v>
      </c>
      <c r="E301" s="4" t="s">
        <v>2911</v>
      </c>
      <c r="F301" s="4" t="s">
        <v>85</v>
      </c>
      <c r="G301" s="4" t="s">
        <v>993</v>
      </c>
      <c r="H301" s="6">
        <v>1.5474000000000001</v>
      </c>
      <c r="I301" s="8">
        <v>200</v>
      </c>
      <c r="J301" s="8">
        <v>170</v>
      </c>
      <c r="K301" s="8">
        <v>20</v>
      </c>
      <c r="L301" s="8">
        <f t="shared" si="8"/>
        <v>680000</v>
      </c>
      <c r="M301" s="15">
        <v>7897801312394</v>
      </c>
      <c r="N301" s="6" t="s">
        <v>20</v>
      </c>
      <c r="O301" s="6" t="s">
        <v>20</v>
      </c>
      <c r="P301" s="6" t="s">
        <v>20</v>
      </c>
      <c r="Q301" s="6">
        <v>0.19500000000000001</v>
      </c>
      <c r="R301" s="6">
        <v>0.19500000000000001</v>
      </c>
      <c r="S301" s="6">
        <v>0.14000000000000001</v>
      </c>
      <c r="T301" s="8">
        <v>1</v>
      </c>
      <c r="U301" s="5" t="s">
        <v>994</v>
      </c>
      <c r="V301" s="89">
        <v>0</v>
      </c>
      <c r="W301" s="15">
        <v>17897801312391</v>
      </c>
      <c r="X301" s="6">
        <v>0.5</v>
      </c>
      <c r="Y301" s="6">
        <v>0.17</v>
      </c>
      <c r="Z301" s="6">
        <v>0.79</v>
      </c>
      <c r="AA301" s="6">
        <f t="shared" si="9"/>
        <v>6.7150000000000001E-2</v>
      </c>
      <c r="AB301" s="8">
        <v>10</v>
      </c>
      <c r="AC301" s="15">
        <v>27897801312398</v>
      </c>
      <c r="AD301" s="4" t="s">
        <v>992</v>
      </c>
    </row>
    <row r="302" spans="2:30" x14ac:dyDescent="0.35">
      <c r="B302" s="14">
        <v>483</v>
      </c>
      <c r="C302" s="4" t="s">
        <v>309</v>
      </c>
      <c r="D302" s="4" t="s">
        <v>2382</v>
      </c>
      <c r="E302" s="4" t="s">
        <v>2911</v>
      </c>
      <c r="F302" s="4" t="s">
        <v>85</v>
      </c>
      <c r="G302" s="4" t="s">
        <v>993</v>
      </c>
      <c r="H302" s="6">
        <v>2.5399999999999999E-2</v>
      </c>
      <c r="I302" s="8">
        <v>41.9</v>
      </c>
      <c r="J302" s="8">
        <v>28</v>
      </c>
      <c r="K302" s="8">
        <v>41.9</v>
      </c>
      <c r="L302" s="8">
        <f t="shared" si="8"/>
        <v>49157.08</v>
      </c>
      <c r="M302" s="15">
        <v>7897801300711</v>
      </c>
      <c r="N302" s="6" t="s">
        <v>20</v>
      </c>
      <c r="O302" s="6" t="s">
        <v>20</v>
      </c>
      <c r="P302" s="6" t="s">
        <v>20</v>
      </c>
      <c r="Q302" s="6">
        <v>0.21</v>
      </c>
      <c r="R302" s="6">
        <v>0.06</v>
      </c>
      <c r="S302" s="6">
        <v>0.23</v>
      </c>
      <c r="T302" s="8">
        <v>30</v>
      </c>
      <c r="U302" s="5" t="s">
        <v>994</v>
      </c>
      <c r="V302" s="89">
        <v>0</v>
      </c>
      <c r="W302" s="15">
        <v>17897801300718</v>
      </c>
      <c r="X302" s="6">
        <v>0.5</v>
      </c>
      <c r="Y302" s="6">
        <v>0.2</v>
      </c>
      <c r="Z302" s="6">
        <v>0.74</v>
      </c>
      <c r="AA302" s="6">
        <f t="shared" si="9"/>
        <v>7.3999999999999996E-2</v>
      </c>
      <c r="AB302" s="8">
        <v>1050</v>
      </c>
      <c r="AC302" s="15">
        <v>47897801300719</v>
      </c>
      <c r="AD302" s="4" t="s">
        <v>992</v>
      </c>
    </row>
    <row r="303" spans="2:30" x14ac:dyDescent="0.35">
      <c r="B303" s="14">
        <v>484</v>
      </c>
      <c r="C303" s="4" t="s">
        <v>310</v>
      </c>
      <c r="D303" s="4" t="s">
        <v>2382</v>
      </c>
      <c r="E303" s="4" t="s">
        <v>2911</v>
      </c>
      <c r="F303" s="4" t="s">
        <v>85</v>
      </c>
      <c r="G303" s="4" t="s">
        <v>993</v>
      </c>
      <c r="H303" s="6">
        <v>3.1E-2</v>
      </c>
      <c r="I303" s="8">
        <v>47.9</v>
      </c>
      <c r="J303" s="8">
        <v>36</v>
      </c>
      <c r="K303" s="8">
        <v>47.9</v>
      </c>
      <c r="L303" s="8">
        <f t="shared" si="8"/>
        <v>82598.759999999995</v>
      </c>
      <c r="M303" s="15">
        <v>7897801300735</v>
      </c>
      <c r="N303" s="6" t="s">
        <v>20</v>
      </c>
      <c r="O303" s="6" t="s">
        <v>20</v>
      </c>
      <c r="P303" s="6" t="s">
        <v>20</v>
      </c>
      <c r="Q303" s="6">
        <v>0.17</v>
      </c>
      <c r="R303" s="6">
        <v>7.0000000000000007E-2</v>
      </c>
      <c r="S303" s="6">
        <v>0.24</v>
      </c>
      <c r="T303" s="8">
        <v>30</v>
      </c>
      <c r="U303" s="5" t="s">
        <v>994</v>
      </c>
      <c r="V303" s="89">
        <v>0</v>
      </c>
      <c r="W303" s="15">
        <v>17897801300732</v>
      </c>
      <c r="X303" s="6">
        <v>0.45</v>
      </c>
      <c r="Y303" s="6">
        <v>0.19</v>
      </c>
      <c r="Z303" s="6">
        <v>0.7</v>
      </c>
      <c r="AA303" s="6">
        <f t="shared" si="9"/>
        <v>5.985E-2</v>
      </c>
      <c r="AB303" s="8">
        <v>600</v>
      </c>
      <c r="AC303" s="15">
        <v>47897801300733</v>
      </c>
      <c r="AD303" s="4" t="s">
        <v>992</v>
      </c>
    </row>
    <row r="304" spans="2:30" x14ac:dyDescent="0.35">
      <c r="B304" s="14">
        <v>485</v>
      </c>
      <c r="C304" s="4" t="s">
        <v>311</v>
      </c>
      <c r="D304" s="4" t="s">
        <v>2382</v>
      </c>
      <c r="E304" s="4" t="s">
        <v>2911</v>
      </c>
      <c r="F304" s="4" t="s">
        <v>85</v>
      </c>
      <c r="G304" s="4" t="s">
        <v>993</v>
      </c>
      <c r="H304" s="6">
        <v>2.4E-2</v>
      </c>
      <c r="I304" s="8">
        <v>46.3</v>
      </c>
      <c r="J304" s="8">
        <v>33.799999999999997</v>
      </c>
      <c r="K304" s="8">
        <v>46.3</v>
      </c>
      <c r="L304" s="8">
        <f t="shared" si="8"/>
        <v>72456.721999999994</v>
      </c>
      <c r="M304" s="15">
        <v>7897801300728</v>
      </c>
      <c r="N304" s="6" t="s">
        <v>20</v>
      </c>
      <c r="O304" s="6" t="s">
        <v>20</v>
      </c>
      <c r="P304" s="6" t="s">
        <v>20</v>
      </c>
      <c r="Q304" s="6">
        <v>0.26</v>
      </c>
      <c r="R304" s="6">
        <v>7.0000000000000007E-2</v>
      </c>
      <c r="S304" s="6">
        <v>0.31</v>
      </c>
      <c r="T304" s="8">
        <v>30</v>
      </c>
      <c r="U304" s="5" t="s">
        <v>994</v>
      </c>
      <c r="V304" s="89">
        <v>0</v>
      </c>
      <c r="W304" s="15">
        <v>17897801300725</v>
      </c>
      <c r="X304" s="6">
        <v>0.51</v>
      </c>
      <c r="Y304" s="6">
        <v>0.19</v>
      </c>
      <c r="Z304" s="6">
        <v>0.76</v>
      </c>
      <c r="AA304" s="6">
        <f t="shared" si="9"/>
        <v>7.3644000000000001E-2</v>
      </c>
      <c r="AB304" s="8">
        <v>840</v>
      </c>
      <c r="AC304" s="15">
        <v>47897801300726</v>
      </c>
      <c r="AD304" s="4" t="s">
        <v>992</v>
      </c>
    </row>
    <row r="305" spans="2:30" x14ac:dyDescent="0.35">
      <c r="B305" s="14">
        <v>486</v>
      </c>
      <c r="C305" s="4" t="s">
        <v>312</v>
      </c>
      <c r="D305" s="4" t="s">
        <v>2382</v>
      </c>
      <c r="E305" s="4" t="s">
        <v>2911</v>
      </c>
      <c r="F305" s="4" t="s">
        <v>85</v>
      </c>
      <c r="G305" s="4" t="s">
        <v>993</v>
      </c>
      <c r="H305" s="6">
        <v>4.2599999999999999E-2</v>
      </c>
      <c r="I305" s="8">
        <v>60</v>
      </c>
      <c r="J305" s="8">
        <v>40</v>
      </c>
      <c r="K305" s="8">
        <v>60</v>
      </c>
      <c r="L305" s="8">
        <f t="shared" si="8"/>
        <v>144000</v>
      </c>
      <c r="M305" s="15">
        <v>7897801312165</v>
      </c>
      <c r="N305" s="6" t="s">
        <v>20</v>
      </c>
      <c r="O305" s="6" t="s">
        <v>20</v>
      </c>
      <c r="P305" s="6" t="s">
        <v>20</v>
      </c>
      <c r="Q305" s="6">
        <v>0.16500000000000001</v>
      </c>
      <c r="R305" s="6">
        <v>0.5</v>
      </c>
      <c r="S305" s="6">
        <v>0.19500000000000001</v>
      </c>
      <c r="T305" s="8">
        <v>10</v>
      </c>
      <c r="U305" s="5" t="s">
        <v>994</v>
      </c>
      <c r="V305" s="89">
        <v>0</v>
      </c>
      <c r="W305" s="15">
        <v>17897801312162</v>
      </c>
      <c r="X305" s="6">
        <v>0.5</v>
      </c>
      <c r="Y305" s="6">
        <v>0.16</v>
      </c>
      <c r="Z305" s="6">
        <v>0.745</v>
      </c>
      <c r="AA305" s="6">
        <f t="shared" si="9"/>
        <v>5.96E-2</v>
      </c>
      <c r="AB305" s="8">
        <v>400</v>
      </c>
      <c r="AC305" s="15">
        <v>27897801312169</v>
      </c>
      <c r="AD305" s="4" t="s">
        <v>992</v>
      </c>
    </row>
    <row r="306" spans="2:30" x14ac:dyDescent="0.35">
      <c r="B306" s="14">
        <v>487</v>
      </c>
      <c r="C306" s="4" t="s">
        <v>313</v>
      </c>
      <c r="D306" s="4" t="s">
        <v>2382</v>
      </c>
      <c r="E306" s="4" t="s">
        <v>2911</v>
      </c>
      <c r="F306" s="4" t="s">
        <v>85</v>
      </c>
      <c r="G306" s="4" t="s">
        <v>993</v>
      </c>
      <c r="H306" s="6">
        <v>1.21E-2</v>
      </c>
      <c r="I306" s="8">
        <v>32</v>
      </c>
      <c r="J306" s="8">
        <v>32</v>
      </c>
      <c r="K306" s="8">
        <v>34.799999999999997</v>
      </c>
      <c r="L306" s="8">
        <f t="shared" si="8"/>
        <v>35635.199999999997</v>
      </c>
      <c r="M306" s="15">
        <v>7897801300742</v>
      </c>
      <c r="N306" s="6" t="s">
        <v>20</v>
      </c>
      <c r="O306" s="6" t="s">
        <v>20</v>
      </c>
      <c r="P306" s="6" t="s">
        <v>20</v>
      </c>
      <c r="Q306" s="6">
        <v>0.16</v>
      </c>
      <c r="R306" s="6">
        <v>0.06</v>
      </c>
      <c r="S306" s="6">
        <v>0.28000000000000003</v>
      </c>
      <c r="T306" s="8">
        <v>50</v>
      </c>
      <c r="U306" s="5" t="s">
        <v>994</v>
      </c>
      <c r="V306" s="89">
        <v>0</v>
      </c>
      <c r="W306" s="15">
        <v>17897801300749</v>
      </c>
      <c r="X306" s="6">
        <v>0.45</v>
      </c>
      <c r="Y306" s="6">
        <v>0.17</v>
      </c>
      <c r="Z306" s="6">
        <v>0.74</v>
      </c>
      <c r="AA306" s="6">
        <f t="shared" si="9"/>
        <v>5.6610000000000008E-2</v>
      </c>
      <c r="AB306" s="8">
        <v>1250</v>
      </c>
      <c r="AC306" s="15">
        <v>47897801300740</v>
      </c>
      <c r="AD306" s="4" t="s">
        <v>992</v>
      </c>
    </row>
    <row r="307" spans="2:30" x14ac:dyDescent="0.35">
      <c r="B307" s="14">
        <v>488</v>
      </c>
      <c r="C307" s="4" t="s">
        <v>314</v>
      </c>
      <c r="D307" s="4" t="s">
        <v>2382</v>
      </c>
      <c r="E307" s="4" t="s">
        <v>2911</v>
      </c>
      <c r="F307" s="4" t="s">
        <v>85</v>
      </c>
      <c r="G307" s="4" t="s">
        <v>993</v>
      </c>
      <c r="H307" s="6">
        <v>2.5000000000000001E-2</v>
      </c>
      <c r="I307" s="8">
        <v>38</v>
      </c>
      <c r="J307" s="8">
        <v>38</v>
      </c>
      <c r="K307" s="8">
        <v>39.299999999999997</v>
      </c>
      <c r="L307" s="8">
        <f t="shared" si="8"/>
        <v>56749.2</v>
      </c>
      <c r="M307" s="15">
        <v>7897801300766</v>
      </c>
      <c r="N307" s="6" t="s">
        <v>20</v>
      </c>
      <c r="O307" s="6" t="s">
        <v>20</v>
      </c>
      <c r="P307" s="6" t="s">
        <v>20</v>
      </c>
      <c r="Q307" s="6">
        <v>0.2</v>
      </c>
      <c r="R307" s="6">
        <v>7.4999999999999997E-2</v>
      </c>
      <c r="S307" s="6">
        <v>0.32</v>
      </c>
      <c r="T307" s="8">
        <v>50</v>
      </c>
      <c r="U307" s="5" t="s">
        <v>994</v>
      </c>
      <c r="V307" s="89">
        <v>0</v>
      </c>
      <c r="W307" s="15">
        <v>17897801300763</v>
      </c>
      <c r="X307" s="6">
        <v>0.45</v>
      </c>
      <c r="Y307" s="6">
        <v>0.24</v>
      </c>
      <c r="Z307" s="6">
        <v>0.7</v>
      </c>
      <c r="AA307" s="6">
        <f t="shared" si="9"/>
        <v>7.5600000000000001E-2</v>
      </c>
      <c r="AB307" s="8">
        <v>800</v>
      </c>
      <c r="AC307" s="15">
        <v>47897801300764</v>
      </c>
      <c r="AD307" s="4" t="s">
        <v>992</v>
      </c>
    </row>
    <row r="308" spans="2:30" x14ac:dyDescent="0.35">
      <c r="B308" s="14">
        <v>489</v>
      </c>
      <c r="C308" s="4" t="s">
        <v>315</v>
      </c>
      <c r="D308" s="4" t="s">
        <v>2382</v>
      </c>
      <c r="E308" s="4" t="s">
        <v>2911</v>
      </c>
      <c r="F308" s="4" t="s">
        <v>85</v>
      </c>
      <c r="G308" s="4" t="s">
        <v>993</v>
      </c>
      <c r="H308" s="6">
        <v>1.7299999999999999E-2</v>
      </c>
      <c r="I308" s="8">
        <v>33</v>
      </c>
      <c r="J308" s="8">
        <v>38</v>
      </c>
      <c r="K308" s="8">
        <v>33</v>
      </c>
      <c r="L308" s="8">
        <f t="shared" si="8"/>
        <v>41382</v>
      </c>
      <c r="M308" s="15">
        <v>7897801300759</v>
      </c>
      <c r="N308" s="6" t="s">
        <v>20</v>
      </c>
      <c r="O308" s="6" t="s">
        <v>20</v>
      </c>
      <c r="P308" s="6" t="s">
        <v>20</v>
      </c>
      <c r="Q308" s="6">
        <v>0.18</v>
      </c>
      <c r="R308" s="6">
        <v>7.0000000000000007E-2</v>
      </c>
      <c r="S308" s="6">
        <v>0.28000000000000003</v>
      </c>
      <c r="T308" s="8">
        <v>50</v>
      </c>
      <c r="U308" s="5" t="s">
        <v>994</v>
      </c>
      <c r="V308" s="89">
        <v>0</v>
      </c>
      <c r="W308" s="15">
        <v>17897801300756</v>
      </c>
      <c r="X308" s="6">
        <v>0.47</v>
      </c>
      <c r="Y308" s="6">
        <v>0.2</v>
      </c>
      <c r="Z308" s="6">
        <v>0.65</v>
      </c>
      <c r="AA308" s="6">
        <f t="shared" si="9"/>
        <v>6.1100000000000002E-2</v>
      </c>
      <c r="AB308" s="8">
        <v>1000</v>
      </c>
      <c r="AC308" s="15">
        <v>47897801300757</v>
      </c>
      <c r="AD308" s="4" t="s">
        <v>992</v>
      </c>
    </row>
    <row r="309" spans="2:30" x14ac:dyDescent="0.35">
      <c r="B309" s="14">
        <v>490</v>
      </c>
      <c r="C309" s="4" t="s">
        <v>316</v>
      </c>
      <c r="D309" s="4" t="s">
        <v>2382</v>
      </c>
      <c r="E309" s="4" t="s">
        <v>2911</v>
      </c>
      <c r="F309" s="4" t="s">
        <v>85</v>
      </c>
      <c r="G309" s="4" t="s">
        <v>993</v>
      </c>
      <c r="H309" s="6">
        <v>4.24E-2</v>
      </c>
      <c r="I309" s="8">
        <v>44</v>
      </c>
      <c r="J309" s="8">
        <v>47</v>
      </c>
      <c r="K309" s="8">
        <v>44</v>
      </c>
      <c r="L309" s="8">
        <f t="shared" si="8"/>
        <v>90992</v>
      </c>
      <c r="M309" s="15">
        <v>7897801307215</v>
      </c>
      <c r="N309" s="6" t="s">
        <v>20</v>
      </c>
      <c r="O309" s="6" t="s">
        <v>20</v>
      </c>
      <c r="P309" s="6" t="s">
        <v>20</v>
      </c>
      <c r="Q309" s="6">
        <v>0.2</v>
      </c>
      <c r="R309" s="6">
        <v>0.05</v>
      </c>
      <c r="S309" s="6">
        <v>0.25</v>
      </c>
      <c r="T309" s="8">
        <v>20</v>
      </c>
      <c r="U309" s="5" t="s">
        <v>994</v>
      </c>
      <c r="V309" s="89">
        <v>0</v>
      </c>
      <c r="W309" s="15">
        <v>17897801307212</v>
      </c>
      <c r="X309" s="6">
        <v>0.45</v>
      </c>
      <c r="Y309" s="6">
        <v>0.18</v>
      </c>
      <c r="Z309" s="6">
        <v>0.7</v>
      </c>
      <c r="AA309" s="6">
        <f t="shared" si="9"/>
        <v>5.67E-2</v>
      </c>
      <c r="AB309" s="8">
        <v>500</v>
      </c>
      <c r="AC309" s="15">
        <v>47897801307213</v>
      </c>
      <c r="AD309" s="4" t="s">
        <v>992</v>
      </c>
    </row>
    <row r="310" spans="2:30" x14ac:dyDescent="0.35">
      <c r="B310" s="14">
        <v>491</v>
      </c>
      <c r="C310" s="4" t="s">
        <v>317</v>
      </c>
      <c r="D310" s="4" t="s">
        <v>2382</v>
      </c>
      <c r="E310" s="4" t="s">
        <v>2911</v>
      </c>
      <c r="F310" s="4" t="s">
        <v>85</v>
      </c>
      <c r="G310" s="4" t="s">
        <v>993</v>
      </c>
      <c r="H310" s="6">
        <v>6.2199999999999998E-2</v>
      </c>
      <c r="I310" s="8">
        <v>54</v>
      </c>
      <c r="J310" s="8">
        <v>54.3</v>
      </c>
      <c r="K310" s="8">
        <v>54</v>
      </c>
      <c r="L310" s="8">
        <f t="shared" si="8"/>
        <v>158338.79999999999</v>
      </c>
      <c r="M310" s="15">
        <v>7897801307734</v>
      </c>
      <c r="N310" s="6" t="s">
        <v>20</v>
      </c>
      <c r="O310" s="6" t="s">
        <v>20</v>
      </c>
      <c r="P310" s="6" t="s">
        <v>20</v>
      </c>
      <c r="Q310" s="6">
        <v>0.18</v>
      </c>
      <c r="R310" s="6">
        <v>5.5E-2</v>
      </c>
      <c r="S310" s="6">
        <v>0.27</v>
      </c>
      <c r="T310" s="8">
        <v>15</v>
      </c>
      <c r="U310" s="5" t="s">
        <v>994</v>
      </c>
      <c r="V310" s="89">
        <v>0</v>
      </c>
      <c r="W310" s="15">
        <v>17897801307731</v>
      </c>
      <c r="X310" s="6">
        <v>0.45</v>
      </c>
      <c r="Y310" s="6">
        <v>0.2</v>
      </c>
      <c r="Z310" s="6">
        <v>0.7</v>
      </c>
      <c r="AA310" s="6">
        <f t="shared" si="9"/>
        <v>6.3E-2</v>
      </c>
      <c r="AB310" s="8">
        <v>300</v>
      </c>
      <c r="AC310" s="15">
        <v>47897801307732</v>
      </c>
      <c r="AD310" s="4" t="s">
        <v>992</v>
      </c>
    </row>
    <row r="311" spans="2:30" x14ac:dyDescent="0.35">
      <c r="B311" s="14">
        <v>492</v>
      </c>
      <c r="C311" s="4" t="s">
        <v>318</v>
      </c>
      <c r="D311" s="4" t="s">
        <v>2382</v>
      </c>
      <c r="E311" s="4" t="s">
        <v>2911</v>
      </c>
      <c r="F311" s="4" t="s">
        <v>85</v>
      </c>
      <c r="G311" s="4" t="s">
        <v>993</v>
      </c>
      <c r="H311" s="6">
        <v>9.0499999999999997E-2</v>
      </c>
      <c r="I311" s="8">
        <v>61</v>
      </c>
      <c r="J311" s="8">
        <v>60</v>
      </c>
      <c r="K311" s="8">
        <v>61</v>
      </c>
      <c r="L311" s="8">
        <f t="shared" si="8"/>
        <v>223260</v>
      </c>
      <c r="M311" s="15">
        <v>7897801307178</v>
      </c>
      <c r="N311" s="6" t="s">
        <v>20</v>
      </c>
      <c r="O311" s="6" t="s">
        <v>20</v>
      </c>
      <c r="P311" s="6" t="s">
        <v>20</v>
      </c>
      <c r="Q311" s="6">
        <v>0.21</v>
      </c>
      <c r="R311" s="6">
        <v>0.06</v>
      </c>
      <c r="S311" s="6">
        <v>0.3</v>
      </c>
      <c r="T311" s="8">
        <v>10</v>
      </c>
      <c r="U311" s="5" t="s">
        <v>994</v>
      </c>
      <c r="V311" s="89">
        <v>0</v>
      </c>
      <c r="W311" s="15">
        <v>17897801307175</v>
      </c>
      <c r="X311" s="6">
        <v>0.49</v>
      </c>
      <c r="Y311" s="6">
        <v>0.22</v>
      </c>
      <c r="Z311" s="6">
        <v>0.69</v>
      </c>
      <c r="AA311" s="6">
        <f t="shared" si="9"/>
        <v>7.438199999999999E-2</v>
      </c>
      <c r="AB311" s="8">
        <v>200</v>
      </c>
      <c r="AC311" s="15">
        <v>47897801307176</v>
      </c>
      <c r="AD311" s="4" t="s">
        <v>992</v>
      </c>
    </row>
    <row r="312" spans="2:30" x14ac:dyDescent="0.35">
      <c r="B312" s="14">
        <v>493</v>
      </c>
      <c r="C312" s="4" t="s">
        <v>319</v>
      </c>
      <c r="D312" s="4" t="s">
        <v>2382</v>
      </c>
      <c r="E312" s="4" t="s">
        <v>2911</v>
      </c>
      <c r="F312" s="4" t="s">
        <v>85</v>
      </c>
      <c r="G312" s="4" t="s">
        <v>993</v>
      </c>
      <c r="H312" s="6">
        <v>2.5000000000000001E-2</v>
      </c>
      <c r="I312" s="8">
        <v>41.9</v>
      </c>
      <c r="J312" s="8">
        <v>30</v>
      </c>
      <c r="K312" s="8">
        <v>54</v>
      </c>
      <c r="L312" s="8">
        <f t="shared" si="8"/>
        <v>67878</v>
      </c>
      <c r="M312" s="15">
        <v>7897801300773</v>
      </c>
      <c r="N312" s="6" t="s">
        <v>20</v>
      </c>
      <c r="O312" s="6" t="s">
        <v>20</v>
      </c>
      <c r="P312" s="6" t="s">
        <v>20</v>
      </c>
      <c r="Q312" s="6">
        <v>0.18</v>
      </c>
      <c r="R312" s="6">
        <v>5.5E-2</v>
      </c>
      <c r="S312" s="6">
        <v>0.215</v>
      </c>
      <c r="T312" s="8">
        <v>20</v>
      </c>
      <c r="U312" s="5" t="s">
        <v>994</v>
      </c>
      <c r="V312" s="89">
        <v>0</v>
      </c>
      <c r="W312" s="15">
        <v>17897801300770</v>
      </c>
      <c r="X312" s="6">
        <v>0.6</v>
      </c>
      <c r="Y312" s="6">
        <v>0.18</v>
      </c>
      <c r="Z312" s="6">
        <v>0.72</v>
      </c>
      <c r="AA312" s="6">
        <f t="shared" si="9"/>
        <v>7.7759999999999996E-2</v>
      </c>
      <c r="AB312" s="8">
        <v>800</v>
      </c>
      <c r="AC312" s="15">
        <v>47897801300771</v>
      </c>
      <c r="AD312" s="4" t="s">
        <v>992</v>
      </c>
    </row>
    <row r="313" spans="2:30" x14ac:dyDescent="0.35">
      <c r="B313" s="14">
        <v>494</v>
      </c>
      <c r="C313" s="4" t="s">
        <v>320</v>
      </c>
      <c r="D313" s="4" t="s">
        <v>2382</v>
      </c>
      <c r="E313" s="4" t="s">
        <v>2911</v>
      </c>
      <c r="F313" s="4" t="s">
        <v>85</v>
      </c>
      <c r="G313" s="4" t="s">
        <v>993</v>
      </c>
      <c r="H313" s="6">
        <v>3.9E-2</v>
      </c>
      <c r="I313" s="8">
        <v>46.3</v>
      </c>
      <c r="J313" s="8">
        <v>36</v>
      </c>
      <c r="K313" s="8">
        <v>62</v>
      </c>
      <c r="L313" s="8">
        <f t="shared" si="8"/>
        <v>103341.59999999999</v>
      </c>
      <c r="M313" s="15">
        <v>7897801300797</v>
      </c>
      <c r="N313" s="6" t="s">
        <v>20</v>
      </c>
      <c r="O313" s="6" t="s">
        <v>20</v>
      </c>
      <c r="P313" s="6" t="s">
        <v>20</v>
      </c>
      <c r="Q313" s="6">
        <v>0.18</v>
      </c>
      <c r="R313" s="6">
        <v>7.0000000000000007E-2</v>
      </c>
      <c r="S313" s="6">
        <v>0.26</v>
      </c>
      <c r="T313" s="8">
        <v>20</v>
      </c>
      <c r="U313" s="5" t="s">
        <v>994</v>
      </c>
      <c r="V313" s="89">
        <v>0</v>
      </c>
      <c r="W313" s="15">
        <v>17897801300794</v>
      </c>
      <c r="X313" s="6">
        <v>0.53</v>
      </c>
      <c r="Y313" s="6">
        <v>0.23</v>
      </c>
      <c r="Z313" s="6">
        <v>0.72</v>
      </c>
      <c r="AA313" s="6">
        <f t="shared" si="9"/>
        <v>8.7767999999999999E-2</v>
      </c>
      <c r="AB313" s="8">
        <v>500</v>
      </c>
      <c r="AC313" s="15">
        <v>47897801300795</v>
      </c>
      <c r="AD313" s="4" t="s">
        <v>992</v>
      </c>
    </row>
    <row r="314" spans="2:30" x14ac:dyDescent="0.35">
      <c r="B314" s="14">
        <v>495</v>
      </c>
      <c r="C314" s="4" t="s">
        <v>321</v>
      </c>
      <c r="D314" s="4" t="s">
        <v>2382</v>
      </c>
      <c r="E314" s="4" t="s">
        <v>2911</v>
      </c>
      <c r="F314" s="4" t="s">
        <v>85</v>
      </c>
      <c r="G314" s="4" t="s">
        <v>993</v>
      </c>
      <c r="H314" s="6">
        <v>3.2099999999999997E-2</v>
      </c>
      <c r="I314" s="8">
        <v>46.3</v>
      </c>
      <c r="J314" s="8">
        <v>33.799999999999997</v>
      </c>
      <c r="K314" s="8">
        <v>57.5</v>
      </c>
      <c r="L314" s="8">
        <f t="shared" si="8"/>
        <v>89984.049999999988</v>
      </c>
      <c r="M314" s="15">
        <v>7897801300780</v>
      </c>
      <c r="N314" s="6" t="s">
        <v>20</v>
      </c>
      <c r="O314" s="6" t="s">
        <v>20</v>
      </c>
      <c r="P314" s="6" t="s">
        <v>20</v>
      </c>
      <c r="Q314" s="6">
        <v>0.16</v>
      </c>
      <c r="R314" s="6">
        <v>0.06</v>
      </c>
      <c r="S314" s="6">
        <v>0.26</v>
      </c>
      <c r="T314" s="8">
        <v>20</v>
      </c>
      <c r="U314" s="5" t="s">
        <v>994</v>
      </c>
      <c r="V314" s="89">
        <v>0</v>
      </c>
      <c r="W314" s="15">
        <v>17897801300787</v>
      </c>
      <c r="X314" s="6">
        <v>0.5</v>
      </c>
      <c r="Y314" s="6">
        <v>0.2</v>
      </c>
      <c r="Z314" s="6">
        <v>0.7</v>
      </c>
      <c r="AA314" s="6">
        <f t="shared" si="9"/>
        <v>6.9999999999999993E-2</v>
      </c>
      <c r="AB314" s="8">
        <v>600</v>
      </c>
      <c r="AC314" s="15">
        <v>27897801300784</v>
      </c>
      <c r="AD314" s="4" t="s">
        <v>992</v>
      </c>
    </row>
    <row r="315" spans="2:30" x14ac:dyDescent="0.35">
      <c r="B315" s="14">
        <v>496</v>
      </c>
      <c r="C315" s="4" t="s">
        <v>322</v>
      </c>
      <c r="D315" s="4" t="s">
        <v>2382</v>
      </c>
      <c r="E315" s="4" t="s">
        <v>2911</v>
      </c>
      <c r="F315" s="4" t="s">
        <v>85</v>
      </c>
      <c r="G315" s="4" t="s">
        <v>993</v>
      </c>
      <c r="H315" s="6">
        <v>5.2900000000000003E-2</v>
      </c>
      <c r="I315" s="8">
        <v>70</v>
      </c>
      <c r="J315" s="8">
        <v>60</v>
      </c>
      <c r="K315" s="8">
        <v>40</v>
      </c>
      <c r="L315" s="8">
        <f t="shared" si="8"/>
        <v>168000</v>
      </c>
      <c r="M315" s="15">
        <v>7897801312172</v>
      </c>
      <c r="N315" s="6" t="s">
        <v>20</v>
      </c>
      <c r="O315" s="6" t="s">
        <v>20</v>
      </c>
      <c r="P315" s="6" t="s">
        <v>20</v>
      </c>
      <c r="Q315" s="6">
        <v>0.14000000000000001</v>
      </c>
      <c r="R315" s="6">
        <v>7.0000000000000007E-2</v>
      </c>
      <c r="S315" s="6">
        <v>0.23</v>
      </c>
      <c r="T315" s="8">
        <v>10</v>
      </c>
      <c r="U315" s="5" t="s">
        <v>994</v>
      </c>
      <c r="V315" s="89">
        <v>0</v>
      </c>
      <c r="W315" s="15">
        <v>17897801312179</v>
      </c>
      <c r="X315" s="6">
        <v>0.5</v>
      </c>
      <c r="Y315" s="6">
        <v>0.2</v>
      </c>
      <c r="Z315" s="6">
        <v>0.7</v>
      </c>
      <c r="AA315" s="6">
        <f t="shared" si="9"/>
        <v>6.9999999999999993E-2</v>
      </c>
      <c r="AB315" s="8">
        <v>280</v>
      </c>
      <c r="AC315" s="15">
        <v>27897801312176</v>
      </c>
      <c r="AD315" s="4" t="s">
        <v>992</v>
      </c>
    </row>
    <row r="316" spans="2:30" x14ac:dyDescent="0.35">
      <c r="B316" s="14">
        <v>497</v>
      </c>
      <c r="C316" s="4" t="s">
        <v>323</v>
      </c>
      <c r="D316" s="4" t="s">
        <v>2404</v>
      </c>
      <c r="E316" s="4" t="s">
        <v>2911</v>
      </c>
      <c r="F316" s="4" t="s">
        <v>85</v>
      </c>
      <c r="G316" s="4" t="s">
        <v>993</v>
      </c>
      <c r="H316" s="6">
        <v>2.8000000000000001E-2</v>
      </c>
      <c r="I316" s="8">
        <v>41.9</v>
      </c>
      <c r="J316" s="8">
        <v>31</v>
      </c>
      <c r="K316" s="8">
        <v>41.9</v>
      </c>
      <c r="L316" s="8">
        <f t="shared" si="8"/>
        <v>54423.909999999989</v>
      </c>
      <c r="M316" s="15">
        <v>7897801300544</v>
      </c>
      <c r="N316" s="6" t="s">
        <v>20</v>
      </c>
      <c r="O316" s="6" t="s">
        <v>20</v>
      </c>
      <c r="P316" s="6" t="s">
        <v>20</v>
      </c>
      <c r="Q316" s="6">
        <v>0.25</v>
      </c>
      <c r="R316" s="6">
        <v>0.06</v>
      </c>
      <c r="S316" s="6">
        <v>0.24</v>
      </c>
      <c r="T316" s="8">
        <v>20</v>
      </c>
      <c r="U316" s="5" t="s">
        <v>994</v>
      </c>
      <c r="V316" s="89">
        <v>0</v>
      </c>
      <c r="W316" s="15">
        <v>17897801300541</v>
      </c>
      <c r="X316" s="6">
        <v>0.48</v>
      </c>
      <c r="Y316" s="6">
        <v>0.19</v>
      </c>
      <c r="Z316" s="6">
        <v>0.73</v>
      </c>
      <c r="AA316" s="6">
        <f t="shared" si="9"/>
        <v>6.6575999999999996E-2</v>
      </c>
      <c r="AB316" s="8">
        <v>800</v>
      </c>
      <c r="AC316" s="15">
        <v>47897801300542</v>
      </c>
      <c r="AD316" s="4" t="s">
        <v>992</v>
      </c>
    </row>
    <row r="317" spans="2:30" x14ac:dyDescent="0.35">
      <c r="B317" s="14">
        <v>498</v>
      </c>
      <c r="C317" s="4" t="s">
        <v>324</v>
      </c>
      <c r="D317" s="4" t="s">
        <v>2404</v>
      </c>
      <c r="E317" s="4" t="s">
        <v>2911</v>
      </c>
      <c r="F317" s="4" t="s">
        <v>85</v>
      </c>
      <c r="G317" s="4" t="s">
        <v>993</v>
      </c>
      <c r="H317" s="6">
        <v>3.7199999999999997E-2</v>
      </c>
      <c r="I317" s="8">
        <v>41.9</v>
      </c>
      <c r="J317" s="8">
        <v>31</v>
      </c>
      <c r="K317" s="8">
        <v>41.9</v>
      </c>
      <c r="L317" s="8">
        <f t="shared" si="8"/>
        <v>54423.909999999989</v>
      </c>
      <c r="M317" s="15">
        <v>7897801300568</v>
      </c>
      <c r="N317" s="6" t="s">
        <v>20</v>
      </c>
      <c r="O317" s="6" t="s">
        <v>20</v>
      </c>
      <c r="P317" s="6" t="s">
        <v>20</v>
      </c>
      <c r="Q317" s="6">
        <v>0.23</v>
      </c>
      <c r="R317" s="6">
        <v>0.06</v>
      </c>
      <c r="S317" s="6">
        <v>0.24</v>
      </c>
      <c r="T317" s="8">
        <v>20</v>
      </c>
      <c r="U317" s="5" t="s">
        <v>994</v>
      </c>
      <c r="V317" s="89">
        <v>0</v>
      </c>
      <c r="W317" s="15">
        <v>17897801300565</v>
      </c>
      <c r="X317" s="6">
        <v>0.21</v>
      </c>
      <c r="Y317" s="6">
        <v>0.18</v>
      </c>
      <c r="Z317" s="6">
        <v>0.74</v>
      </c>
      <c r="AA317" s="6">
        <f t="shared" si="9"/>
        <v>2.7972E-2</v>
      </c>
      <c r="AB317" s="8">
        <v>600</v>
      </c>
      <c r="AC317" s="15">
        <v>47897801300566</v>
      </c>
      <c r="AD317" s="4" t="s">
        <v>992</v>
      </c>
    </row>
    <row r="318" spans="2:30" x14ac:dyDescent="0.35">
      <c r="B318" s="14">
        <v>499</v>
      </c>
      <c r="C318" s="4" t="s">
        <v>325</v>
      </c>
      <c r="D318" s="4" t="s">
        <v>2404</v>
      </c>
      <c r="E318" s="4" t="s">
        <v>2911</v>
      </c>
      <c r="F318" s="4" t="s">
        <v>85</v>
      </c>
      <c r="G318" s="4" t="s">
        <v>993</v>
      </c>
      <c r="H318" s="6">
        <v>2.9700000000000001E-2</v>
      </c>
      <c r="I318" s="8">
        <v>46.3</v>
      </c>
      <c r="J318" s="8">
        <v>33.799999999999997</v>
      </c>
      <c r="K318" s="8">
        <v>46.3</v>
      </c>
      <c r="L318" s="8">
        <f t="shared" ref="L318:L332" si="10">J318*I318*K318</f>
        <v>72456.721999999994</v>
      </c>
      <c r="M318" s="15">
        <v>7897801300551</v>
      </c>
      <c r="N318" s="6" t="s">
        <v>20</v>
      </c>
      <c r="O318" s="6" t="s">
        <v>20</v>
      </c>
      <c r="P318" s="6" t="s">
        <v>20</v>
      </c>
      <c r="Q318" s="6">
        <v>0.23</v>
      </c>
      <c r="R318" s="6">
        <v>0.05</v>
      </c>
      <c r="S318" s="6">
        <v>0.23</v>
      </c>
      <c r="T318" s="8">
        <v>20</v>
      </c>
      <c r="U318" s="5" t="s">
        <v>994</v>
      </c>
      <c r="V318" s="89">
        <v>0</v>
      </c>
      <c r="W318" s="15">
        <v>17897801300558</v>
      </c>
      <c r="X318" s="6">
        <v>0.46</v>
      </c>
      <c r="Y318" s="6">
        <v>0.18</v>
      </c>
      <c r="Z318" s="6">
        <v>0.73</v>
      </c>
      <c r="AA318" s="6">
        <f t="shared" si="9"/>
        <v>6.0443999999999998E-2</v>
      </c>
      <c r="AB318" s="8">
        <v>700</v>
      </c>
      <c r="AC318" s="15">
        <v>47897801300559</v>
      </c>
      <c r="AD318" s="4" t="s">
        <v>992</v>
      </c>
    </row>
    <row r="319" spans="2:30" x14ac:dyDescent="0.35">
      <c r="B319" s="14">
        <v>500</v>
      </c>
      <c r="C319" s="4" t="s">
        <v>326</v>
      </c>
      <c r="D319" s="4" t="s">
        <v>2404</v>
      </c>
      <c r="E319" s="4" t="s">
        <v>2911</v>
      </c>
      <c r="F319" s="4" t="s">
        <v>85</v>
      </c>
      <c r="G319" s="4" t="s">
        <v>993</v>
      </c>
      <c r="H319" s="6">
        <v>5.1700000000000003E-2</v>
      </c>
      <c r="I319" s="8">
        <v>41</v>
      </c>
      <c r="J319" s="8">
        <v>50</v>
      </c>
      <c r="K319" s="8">
        <v>60</v>
      </c>
      <c r="L319" s="8">
        <f t="shared" si="10"/>
        <v>123000</v>
      </c>
      <c r="M319" s="15">
        <v>7897801311762</v>
      </c>
      <c r="N319" s="6" t="s">
        <v>20</v>
      </c>
      <c r="O319" s="6" t="s">
        <v>20</v>
      </c>
      <c r="P319" s="6" t="s">
        <v>20</v>
      </c>
      <c r="Q319" s="6">
        <v>0.18</v>
      </c>
      <c r="R319" s="6">
        <v>0.06</v>
      </c>
      <c r="S319" s="6">
        <v>0.28000000000000003</v>
      </c>
      <c r="T319" s="8">
        <v>10</v>
      </c>
      <c r="U319" s="5" t="s">
        <v>994</v>
      </c>
      <c r="V319" s="89">
        <v>0</v>
      </c>
      <c r="W319" s="15">
        <v>17897801311769</v>
      </c>
      <c r="X319" s="6">
        <v>0.51</v>
      </c>
      <c r="Y319" s="6">
        <v>0.17</v>
      </c>
      <c r="Z319" s="6">
        <v>0.76</v>
      </c>
      <c r="AA319" s="6">
        <f t="shared" si="9"/>
        <v>6.5892000000000006E-2</v>
      </c>
      <c r="AB319" s="8">
        <v>400</v>
      </c>
      <c r="AC319" s="15">
        <v>27897801311766</v>
      </c>
      <c r="AD319" s="4" t="s">
        <v>992</v>
      </c>
    </row>
    <row r="320" spans="2:30" x14ac:dyDescent="0.35">
      <c r="B320" s="14">
        <v>501</v>
      </c>
      <c r="C320" s="4" t="s">
        <v>327</v>
      </c>
      <c r="D320" s="4" t="s">
        <v>2404</v>
      </c>
      <c r="E320" s="4" t="s">
        <v>2911</v>
      </c>
      <c r="F320" s="4" t="s">
        <v>85</v>
      </c>
      <c r="G320" s="4" t="s">
        <v>993</v>
      </c>
      <c r="H320" s="6">
        <v>2.4400000000000002E-2</v>
      </c>
      <c r="I320" s="8">
        <v>31</v>
      </c>
      <c r="J320" s="8">
        <v>31</v>
      </c>
      <c r="K320" s="8">
        <v>34.5</v>
      </c>
      <c r="L320" s="8">
        <f t="shared" si="10"/>
        <v>33154.5</v>
      </c>
      <c r="M320" s="15">
        <v>7897801300605</v>
      </c>
      <c r="N320" s="6" t="s">
        <v>20</v>
      </c>
      <c r="O320" s="6" t="s">
        <v>20</v>
      </c>
      <c r="P320" s="6" t="s">
        <v>20</v>
      </c>
      <c r="Q320" s="6">
        <v>0.05</v>
      </c>
      <c r="R320" s="6">
        <v>0.04</v>
      </c>
      <c r="S320" s="6">
        <v>0.08</v>
      </c>
      <c r="T320" s="8">
        <v>20</v>
      </c>
      <c r="U320" s="5" t="s">
        <v>994</v>
      </c>
      <c r="V320" s="89">
        <v>0</v>
      </c>
      <c r="W320" s="15">
        <v>17897801300602</v>
      </c>
      <c r="X320" s="6">
        <v>0.5</v>
      </c>
      <c r="Y320" s="6">
        <v>0.13</v>
      </c>
      <c r="Z320" s="6">
        <v>0.7</v>
      </c>
      <c r="AA320" s="6">
        <f t="shared" si="9"/>
        <v>4.5499999999999999E-2</v>
      </c>
      <c r="AB320" s="8">
        <v>900</v>
      </c>
      <c r="AC320" s="15">
        <v>47897801300603</v>
      </c>
      <c r="AD320" s="4" t="s">
        <v>992</v>
      </c>
    </row>
    <row r="321" spans="2:30" x14ac:dyDescent="0.35">
      <c r="B321" s="14">
        <v>502</v>
      </c>
      <c r="C321" s="4" t="s">
        <v>328</v>
      </c>
      <c r="D321" s="4" t="s">
        <v>2404</v>
      </c>
      <c r="E321" s="4" t="s">
        <v>2911</v>
      </c>
      <c r="F321" s="4" t="s">
        <v>85</v>
      </c>
      <c r="G321" s="4" t="s">
        <v>993</v>
      </c>
      <c r="H321" s="6">
        <v>3.2800000000000003E-2</v>
      </c>
      <c r="I321" s="8">
        <v>39</v>
      </c>
      <c r="J321" s="8">
        <v>39</v>
      </c>
      <c r="K321" s="8">
        <v>39</v>
      </c>
      <c r="L321" s="8">
        <f t="shared" si="10"/>
        <v>59319</v>
      </c>
      <c r="M321" s="15">
        <v>7897801300629</v>
      </c>
      <c r="N321" s="6" t="s">
        <v>20</v>
      </c>
      <c r="O321" s="6" t="s">
        <v>20</v>
      </c>
      <c r="P321" s="6" t="s">
        <v>20</v>
      </c>
      <c r="Q321" s="6">
        <v>0.23</v>
      </c>
      <c r="R321" s="6">
        <v>0.04</v>
      </c>
      <c r="S321" s="6">
        <v>0.245</v>
      </c>
      <c r="T321" s="8">
        <v>20</v>
      </c>
      <c r="U321" s="5" t="s">
        <v>994</v>
      </c>
      <c r="V321" s="89">
        <v>0</v>
      </c>
      <c r="W321" s="15">
        <v>17897801300626</v>
      </c>
      <c r="X321" s="6">
        <v>0.56000000000000005</v>
      </c>
      <c r="Y321" s="6">
        <v>0.17</v>
      </c>
      <c r="Z321" s="6">
        <v>0.71</v>
      </c>
      <c r="AA321" s="6">
        <f t="shared" si="9"/>
        <v>6.7592000000000013E-2</v>
      </c>
      <c r="AB321" s="8">
        <v>600</v>
      </c>
      <c r="AC321" s="15">
        <v>47897801300627</v>
      </c>
      <c r="AD321" s="4" t="s">
        <v>992</v>
      </c>
    </row>
    <row r="322" spans="2:30" x14ac:dyDescent="0.35">
      <c r="B322" s="14">
        <v>503</v>
      </c>
      <c r="C322" s="4" t="s">
        <v>329</v>
      </c>
      <c r="D322" s="4" t="s">
        <v>2404</v>
      </c>
      <c r="E322" s="4" t="s">
        <v>2911</v>
      </c>
      <c r="F322" s="4" t="s">
        <v>85</v>
      </c>
      <c r="G322" s="4" t="s">
        <v>993</v>
      </c>
      <c r="H322" s="6">
        <v>2.93E-2</v>
      </c>
      <c r="I322" s="8">
        <v>38</v>
      </c>
      <c r="J322" s="8">
        <v>33.799999999999997</v>
      </c>
      <c r="K322" s="8">
        <v>39</v>
      </c>
      <c r="L322" s="8">
        <f t="shared" si="10"/>
        <v>50091.599999999991</v>
      </c>
      <c r="M322" s="15">
        <v>7897801300612</v>
      </c>
      <c r="N322" s="6" t="s">
        <v>20</v>
      </c>
      <c r="O322" s="6" t="s">
        <v>20</v>
      </c>
      <c r="P322" s="6" t="s">
        <v>20</v>
      </c>
      <c r="Q322" s="6">
        <v>0.21</v>
      </c>
      <c r="R322" s="6">
        <v>0.04</v>
      </c>
      <c r="S322" s="6">
        <v>0.24</v>
      </c>
      <c r="T322" s="8">
        <v>20</v>
      </c>
      <c r="U322" s="5" t="s">
        <v>994</v>
      </c>
      <c r="V322" s="89">
        <v>0</v>
      </c>
      <c r="W322" s="15">
        <v>17897801300619</v>
      </c>
      <c r="X322" s="6">
        <v>0.51</v>
      </c>
      <c r="Y322" s="6">
        <v>0.17</v>
      </c>
      <c r="Z322" s="6">
        <v>0.74</v>
      </c>
      <c r="AA322" s="6">
        <f t="shared" si="9"/>
        <v>6.4158000000000007E-2</v>
      </c>
      <c r="AB322" s="8">
        <v>700</v>
      </c>
      <c r="AC322" s="15">
        <v>47897801300610</v>
      </c>
      <c r="AD322" s="4" t="s">
        <v>992</v>
      </c>
    </row>
    <row r="323" spans="2:30" x14ac:dyDescent="0.35">
      <c r="B323" s="14">
        <v>504</v>
      </c>
      <c r="C323" s="4" t="s">
        <v>330</v>
      </c>
      <c r="D323" s="4" t="s">
        <v>2404</v>
      </c>
      <c r="E323" s="4" t="s">
        <v>2911</v>
      </c>
      <c r="F323" s="4" t="s">
        <v>85</v>
      </c>
      <c r="G323" s="4" t="s">
        <v>993</v>
      </c>
      <c r="H323" s="6">
        <v>3.2500000000000001E-2</v>
      </c>
      <c r="I323" s="8">
        <v>41.9</v>
      </c>
      <c r="J323" s="8">
        <v>31</v>
      </c>
      <c r="K323" s="8">
        <v>54</v>
      </c>
      <c r="L323" s="8">
        <f t="shared" si="10"/>
        <v>70140.599999999991</v>
      </c>
      <c r="M323" s="15">
        <v>7897801300575</v>
      </c>
      <c r="N323" s="6" t="s">
        <v>20</v>
      </c>
      <c r="O323" s="6" t="s">
        <v>20</v>
      </c>
      <c r="P323" s="6" t="s">
        <v>20</v>
      </c>
      <c r="Q323" s="6">
        <v>0.2</v>
      </c>
      <c r="R323" s="6">
        <v>7.0000000000000007E-2</v>
      </c>
      <c r="S323" s="6">
        <v>0.23</v>
      </c>
      <c r="T323" s="8">
        <v>20</v>
      </c>
      <c r="U323" s="5" t="s">
        <v>994</v>
      </c>
      <c r="V323" s="89">
        <v>0</v>
      </c>
      <c r="W323" s="15">
        <v>17897801300572</v>
      </c>
      <c r="X323" s="6">
        <v>0.53</v>
      </c>
      <c r="Y323" s="6">
        <v>0.19</v>
      </c>
      <c r="Z323" s="6">
        <v>0.78</v>
      </c>
      <c r="AA323" s="6">
        <f t="shared" si="9"/>
        <v>7.8546000000000019E-2</v>
      </c>
      <c r="AB323" s="8">
        <v>640</v>
      </c>
      <c r="AC323" s="15">
        <v>47897801300573</v>
      </c>
      <c r="AD323" s="4" t="s">
        <v>992</v>
      </c>
    </row>
    <row r="324" spans="2:30" x14ac:dyDescent="0.35">
      <c r="B324" s="14">
        <v>505</v>
      </c>
      <c r="C324" s="4" t="s">
        <v>331</v>
      </c>
      <c r="D324" s="4" t="s">
        <v>2404</v>
      </c>
      <c r="E324" s="4" t="s">
        <v>2911</v>
      </c>
      <c r="F324" s="4" t="s">
        <v>85</v>
      </c>
      <c r="G324" s="4" t="s">
        <v>993</v>
      </c>
      <c r="H324" s="6">
        <v>4.4699999999999997E-2</v>
      </c>
      <c r="I324" s="8">
        <v>46.3</v>
      </c>
      <c r="J324" s="8">
        <v>37</v>
      </c>
      <c r="K324" s="8">
        <v>62</v>
      </c>
      <c r="L324" s="8">
        <f t="shared" si="10"/>
        <v>106212.2</v>
      </c>
      <c r="M324" s="15">
        <v>7897801300599</v>
      </c>
      <c r="N324" s="6" t="s">
        <v>20</v>
      </c>
      <c r="O324" s="6" t="s">
        <v>20</v>
      </c>
      <c r="P324" s="6" t="s">
        <v>20</v>
      </c>
      <c r="Q324" s="6">
        <v>0.23</v>
      </c>
      <c r="R324" s="6">
        <v>7.0000000000000007E-2</v>
      </c>
      <c r="S324" s="6">
        <v>0.28999999999999998</v>
      </c>
      <c r="T324" s="8">
        <v>20</v>
      </c>
      <c r="U324" s="5" t="s">
        <v>994</v>
      </c>
      <c r="V324" s="89">
        <v>0</v>
      </c>
      <c r="W324" s="15">
        <v>17897801300596</v>
      </c>
      <c r="X324" s="6">
        <v>0.51</v>
      </c>
      <c r="Y324" s="6">
        <v>0.21</v>
      </c>
      <c r="Z324" s="6">
        <v>0.73</v>
      </c>
      <c r="AA324" s="6">
        <f t="shared" si="9"/>
        <v>7.8183000000000002E-2</v>
      </c>
      <c r="AB324" s="8">
        <v>480</v>
      </c>
      <c r="AC324" s="15">
        <v>47897801300597</v>
      </c>
      <c r="AD324" s="4" t="s">
        <v>992</v>
      </c>
    </row>
    <row r="325" spans="2:30" x14ac:dyDescent="0.35">
      <c r="B325" s="14">
        <v>506</v>
      </c>
      <c r="C325" s="4" t="s">
        <v>332</v>
      </c>
      <c r="D325" s="4" t="s">
        <v>2404</v>
      </c>
      <c r="E325" s="4" t="s">
        <v>2911</v>
      </c>
      <c r="F325" s="4" t="s">
        <v>85</v>
      </c>
      <c r="G325" s="4" t="s">
        <v>993</v>
      </c>
      <c r="H325" s="6">
        <v>3.8199999999999998E-2</v>
      </c>
      <c r="I325" s="8">
        <v>46.3</v>
      </c>
      <c r="J325" s="8">
        <v>38.799999999999997</v>
      </c>
      <c r="K325" s="8">
        <v>57.5</v>
      </c>
      <c r="L325" s="8">
        <f t="shared" si="10"/>
        <v>103295.29999999999</v>
      </c>
      <c r="M325" s="15">
        <v>7897801300582</v>
      </c>
      <c r="N325" s="6" t="s">
        <v>20</v>
      </c>
      <c r="O325" s="6" t="s">
        <v>20</v>
      </c>
      <c r="P325" s="6" t="s">
        <v>20</v>
      </c>
      <c r="Q325" s="6">
        <v>0.23</v>
      </c>
      <c r="R325" s="6">
        <v>0.06</v>
      </c>
      <c r="S325" s="6">
        <v>0.23499999999999999</v>
      </c>
      <c r="T325" s="8">
        <v>20</v>
      </c>
      <c r="U325" s="5" t="s">
        <v>994</v>
      </c>
      <c r="V325" s="89">
        <v>0</v>
      </c>
      <c r="W325" s="15">
        <v>17897801300589</v>
      </c>
      <c r="X325" s="6">
        <v>0.49</v>
      </c>
      <c r="Y325" s="6">
        <v>0.22</v>
      </c>
      <c r="Z325" s="6">
        <v>0.8</v>
      </c>
      <c r="AA325" s="6">
        <f t="shared" si="9"/>
        <v>8.6239999999999997E-2</v>
      </c>
      <c r="AB325" s="8">
        <v>560</v>
      </c>
      <c r="AC325" s="15">
        <v>47897801300580</v>
      </c>
      <c r="AD325" s="4" t="s">
        <v>992</v>
      </c>
    </row>
    <row r="326" spans="2:30" x14ac:dyDescent="0.35">
      <c r="B326" s="14">
        <v>507</v>
      </c>
      <c r="C326" s="4" t="s">
        <v>333</v>
      </c>
      <c r="D326" s="4" t="s">
        <v>2404</v>
      </c>
      <c r="E326" s="4" t="s">
        <v>2911</v>
      </c>
      <c r="F326" s="4" t="s">
        <v>85</v>
      </c>
      <c r="G326" s="4" t="s">
        <v>993</v>
      </c>
      <c r="H326" s="6">
        <v>6.5799999999999997E-2</v>
      </c>
      <c r="I326" s="8">
        <v>42</v>
      </c>
      <c r="J326" s="8">
        <v>80</v>
      </c>
      <c r="K326" s="8">
        <v>52</v>
      </c>
      <c r="L326" s="8">
        <f t="shared" si="10"/>
        <v>174720</v>
      </c>
      <c r="M326" s="15">
        <v>7897801311748</v>
      </c>
      <c r="N326" s="6" t="s">
        <v>20</v>
      </c>
      <c r="O326" s="6" t="s">
        <v>20</v>
      </c>
      <c r="P326" s="6" t="s">
        <v>20</v>
      </c>
      <c r="Q326" s="6">
        <v>0.23</v>
      </c>
      <c r="R326" s="6">
        <v>5.5E-2</v>
      </c>
      <c r="S326" s="6">
        <v>0.23</v>
      </c>
      <c r="T326" s="8">
        <v>10</v>
      </c>
      <c r="U326" s="5" t="s">
        <v>994</v>
      </c>
      <c r="V326" s="89">
        <v>0</v>
      </c>
      <c r="W326" s="15">
        <v>17897801311745</v>
      </c>
      <c r="X326" s="6">
        <v>0.51</v>
      </c>
      <c r="Y326" s="6">
        <v>0.19</v>
      </c>
      <c r="Z326" s="6">
        <v>0.73</v>
      </c>
      <c r="AA326" s="6">
        <f t="shared" si="9"/>
        <v>7.0736999999999994E-2</v>
      </c>
      <c r="AB326" s="8">
        <v>250</v>
      </c>
      <c r="AC326" s="15">
        <v>27897801311742</v>
      </c>
      <c r="AD326" s="4" t="s">
        <v>992</v>
      </c>
    </row>
    <row r="327" spans="2:30" x14ac:dyDescent="0.35">
      <c r="B327" s="14">
        <v>516</v>
      </c>
      <c r="C327" s="4" t="s">
        <v>334</v>
      </c>
      <c r="D327" s="4" t="s">
        <v>2426</v>
      </c>
      <c r="E327" s="4" t="s">
        <v>2911</v>
      </c>
      <c r="F327" s="4" t="s">
        <v>85</v>
      </c>
      <c r="G327" s="4" t="s">
        <v>995</v>
      </c>
      <c r="H327" s="6">
        <v>0.02</v>
      </c>
      <c r="I327" s="8">
        <v>20</v>
      </c>
      <c r="J327" s="8">
        <v>120</v>
      </c>
      <c r="K327" s="8">
        <v>30</v>
      </c>
      <c r="L327" s="8">
        <f t="shared" si="10"/>
        <v>72000</v>
      </c>
      <c r="M327" s="15">
        <v>7897801300674</v>
      </c>
      <c r="N327" s="6" t="s">
        <v>20</v>
      </c>
      <c r="O327" s="6" t="s">
        <v>20</v>
      </c>
      <c r="P327" s="6" t="s">
        <v>20</v>
      </c>
      <c r="Q327" s="6">
        <v>0.115</v>
      </c>
      <c r="R327" s="6">
        <v>0.125</v>
      </c>
      <c r="S327" s="6">
        <v>0.215</v>
      </c>
      <c r="T327" s="8">
        <v>48</v>
      </c>
      <c r="U327" s="5" t="s">
        <v>1022</v>
      </c>
      <c r="V327" s="89">
        <v>0</v>
      </c>
      <c r="W327" s="15">
        <v>17897801300671</v>
      </c>
      <c r="X327" s="6">
        <v>0.45</v>
      </c>
      <c r="Y327" s="6">
        <v>0.27</v>
      </c>
      <c r="Z327" s="6">
        <v>0.59</v>
      </c>
      <c r="AA327" s="6">
        <f t="shared" si="9"/>
        <v>7.1684999999999999E-2</v>
      </c>
      <c r="AB327" s="8">
        <v>960</v>
      </c>
      <c r="AC327" s="15">
        <v>27897801300678</v>
      </c>
      <c r="AD327" s="4" t="s">
        <v>998</v>
      </c>
    </row>
    <row r="328" spans="2:30" x14ac:dyDescent="0.35">
      <c r="B328" s="14">
        <v>517</v>
      </c>
      <c r="C328" s="4" t="s">
        <v>335</v>
      </c>
      <c r="D328" s="4" t="s">
        <v>2426</v>
      </c>
      <c r="E328" s="4" t="s">
        <v>2911</v>
      </c>
      <c r="F328" s="4" t="s">
        <v>85</v>
      </c>
      <c r="G328" s="4" t="s">
        <v>995</v>
      </c>
      <c r="H328" s="6">
        <v>0.08</v>
      </c>
      <c r="I328" s="8">
        <v>30</v>
      </c>
      <c r="J328" s="8">
        <v>185</v>
      </c>
      <c r="K328" s="8">
        <v>45</v>
      </c>
      <c r="L328" s="8">
        <f t="shared" si="10"/>
        <v>249750</v>
      </c>
      <c r="M328" s="15">
        <v>7897801300681</v>
      </c>
      <c r="N328" s="6" t="s">
        <v>20</v>
      </c>
      <c r="O328" s="6" t="s">
        <v>20</v>
      </c>
      <c r="P328" s="6" t="s">
        <v>20</v>
      </c>
      <c r="Q328" s="6">
        <v>0.14000000000000001</v>
      </c>
      <c r="R328" s="6">
        <v>0.185</v>
      </c>
      <c r="S328" s="6">
        <v>0.27</v>
      </c>
      <c r="T328" s="8">
        <v>30</v>
      </c>
      <c r="U328" s="5" t="s">
        <v>1022</v>
      </c>
      <c r="V328" s="89">
        <v>0</v>
      </c>
      <c r="W328" s="15">
        <v>17897801300688</v>
      </c>
      <c r="X328" s="6">
        <v>0.31</v>
      </c>
      <c r="Y328" s="6">
        <v>0.40500000000000003</v>
      </c>
      <c r="Z328" s="6">
        <v>0.56000000000000005</v>
      </c>
      <c r="AA328" s="6">
        <f t="shared" si="9"/>
        <v>7.0308000000000009E-2</v>
      </c>
      <c r="AB328" s="8">
        <v>240</v>
      </c>
      <c r="AC328" s="15">
        <v>27897801300685</v>
      </c>
      <c r="AD328" s="4" t="s">
        <v>998</v>
      </c>
    </row>
    <row r="329" spans="2:30" x14ac:dyDescent="0.35">
      <c r="B329" s="14">
        <v>518</v>
      </c>
      <c r="C329" s="4" t="s">
        <v>336</v>
      </c>
      <c r="D329" s="4" t="s">
        <v>2426</v>
      </c>
      <c r="E329" s="4" t="s">
        <v>2911</v>
      </c>
      <c r="F329" s="4" t="s">
        <v>85</v>
      </c>
      <c r="G329" s="4" t="s">
        <v>995</v>
      </c>
      <c r="H329" s="6">
        <v>0.17499999999999999</v>
      </c>
      <c r="I329" s="8">
        <v>70</v>
      </c>
      <c r="J329" s="8">
        <v>88</v>
      </c>
      <c r="K329" s="8">
        <v>70</v>
      </c>
      <c r="L329" s="8">
        <f t="shared" si="10"/>
        <v>431200</v>
      </c>
      <c r="M329" s="15">
        <v>7897801302661</v>
      </c>
      <c r="N329" s="6" t="s">
        <v>20</v>
      </c>
      <c r="O329" s="6" t="s">
        <v>20</v>
      </c>
      <c r="P329" s="6" t="s">
        <v>20</v>
      </c>
      <c r="Q329" s="6">
        <v>0.15</v>
      </c>
      <c r="R329" s="6">
        <v>0.2</v>
      </c>
      <c r="S329" s="6">
        <v>0.2</v>
      </c>
      <c r="T329" s="8">
        <v>12</v>
      </c>
      <c r="U329" s="5" t="s">
        <v>1022</v>
      </c>
      <c r="V329" s="89">
        <v>0</v>
      </c>
      <c r="W329" s="15">
        <v>17897801302668</v>
      </c>
      <c r="X329" s="6">
        <v>0.38</v>
      </c>
      <c r="Y329" s="6">
        <v>0.44</v>
      </c>
      <c r="Z329" s="6">
        <v>0.47</v>
      </c>
      <c r="AA329" s="6">
        <f t="shared" si="9"/>
        <v>7.8584000000000001E-2</v>
      </c>
      <c r="AB329" s="8">
        <v>120</v>
      </c>
      <c r="AC329" s="15">
        <v>27897801302665</v>
      </c>
      <c r="AD329" s="4" t="s">
        <v>999</v>
      </c>
    </row>
    <row r="330" spans="2:30" x14ac:dyDescent="0.35">
      <c r="B330" s="14">
        <v>519</v>
      </c>
      <c r="C330" s="4" t="s">
        <v>337</v>
      </c>
      <c r="D330" s="4" t="s">
        <v>2426</v>
      </c>
      <c r="E330" s="4" t="s">
        <v>2911</v>
      </c>
      <c r="F330" s="4" t="s">
        <v>85</v>
      </c>
      <c r="G330" s="4" t="s">
        <v>995</v>
      </c>
      <c r="H330" s="6">
        <v>0.85</v>
      </c>
      <c r="I330" s="8">
        <v>95</v>
      </c>
      <c r="J330" s="8">
        <v>200</v>
      </c>
      <c r="K330" s="8">
        <v>95</v>
      </c>
      <c r="L330" s="8">
        <f t="shared" si="10"/>
        <v>1805000</v>
      </c>
      <c r="M330" s="15">
        <v>7897801302678</v>
      </c>
      <c r="N330" s="6" t="s">
        <v>20</v>
      </c>
      <c r="O330" s="6" t="s">
        <v>20</v>
      </c>
      <c r="P330" s="6" t="s">
        <v>20</v>
      </c>
      <c r="Q330" s="6">
        <v>0.19</v>
      </c>
      <c r="R330" s="6">
        <v>0.22</v>
      </c>
      <c r="S330" s="6">
        <v>0.28000000000000003</v>
      </c>
      <c r="T330" s="8">
        <v>6</v>
      </c>
      <c r="U330" s="5" t="s">
        <v>1022</v>
      </c>
      <c r="V330" s="89">
        <v>0</v>
      </c>
      <c r="W330" s="15">
        <v>17897801302675</v>
      </c>
      <c r="X330" s="6">
        <v>0.3</v>
      </c>
      <c r="Y330" s="6">
        <v>0.25</v>
      </c>
      <c r="Z330" s="6">
        <v>0.6</v>
      </c>
      <c r="AA330" s="6">
        <f t="shared" si="9"/>
        <v>4.4999999999999998E-2</v>
      </c>
      <c r="AB330" s="8">
        <v>18</v>
      </c>
      <c r="AC330" s="15">
        <v>27897801302672</v>
      </c>
      <c r="AD330" s="4" t="s">
        <v>999</v>
      </c>
    </row>
    <row r="331" spans="2:30" x14ac:dyDescent="0.35">
      <c r="B331" s="14">
        <v>520</v>
      </c>
      <c r="C331" s="4" t="s">
        <v>338</v>
      </c>
      <c r="D331" s="4" t="s">
        <v>2426</v>
      </c>
      <c r="E331" s="4" t="s">
        <v>2911</v>
      </c>
      <c r="F331" s="4" t="s">
        <v>85</v>
      </c>
      <c r="G331" s="4" t="s">
        <v>995</v>
      </c>
      <c r="H331" s="6">
        <v>0.158</v>
      </c>
      <c r="I331" s="8">
        <v>70</v>
      </c>
      <c r="J331" s="8">
        <v>83</v>
      </c>
      <c r="K331" s="8">
        <v>70</v>
      </c>
      <c r="L331" s="8">
        <f t="shared" si="10"/>
        <v>406700</v>
      </c>
      <c r="M331" s="15">
        <v>7897801302685</v>
      </c>
      <c r="N331" s="6" t="s">
        <v>20</v>
      </c>
      <c r="O331" s="6" t="s">
        <v>20</v>
      </c>
      <c r="P331" s="6" t="s">
        <v>20</v>
      </c>
      <c r="Q331" s="6">
        <v>0.14499999999999999</v>
      </c>
      <c r="R331" s="6">
        <v>0.23499999999999999</v>
      </c>
      <c r="S331" s="6">
        <v>0.20499999999999999</v>
      </c>
      <c r="T331" s="8">
        <v>12</v>
      </c>
      <c r="U331" s="5" t="s">
        <v>1000</v>
      </c>
      <c r="V331" s="89">
        <v>0</v>
      </c>
      <c r="W331" s="15">
        <v>17897801302682</v>
      </c>
      <c r="X331" s="6" t="s">
        <v>20</v>
      </c>
      <c r="Y331" s="6" t="s">
        <v>20</v>
      </c>
      <c r="Z331" s="6" t="s">
        <v>20</v>
      </c>
      <c r="AA331" s="6"/>
      <c r="AB331" s="8">
        <v>120</v>
      </c>
      <c r="AC331" s="15">
        <v>27897801302689</v>
      </c>
      <c r="AD331" s="4" t="s">
        <v>1001</v>
      </c>
    </row>
    <row r="332" spans="2:30" x14ac:dyDescent="0.35">
      <c r="B332" s="14">
        <v>521</v>
      </c>
      <c r="C332" s="4" t="s">
        <v>339</v>
      </c>
      <c r="D332" s="4" t="s">
        <v>2426</v>
      </c>
      <c r="E332" s="4" t="s">
        <v>2911</v>
      </c>
      <c r="F332" s="4" t="s">
        <v>85</v>
      </c>
      <c r="G332" s="4" t="s">
        <v>995</v>
      </c>
      <c r="H332" s="6">
        <v>0.79</v>
      </c>
      <c r="I332" s="8">
        <v>98</v>
      </c>
      <c r="J332" s="8">
        <v>190</v>
      </c>
      <c r="K332" s="8">
        <v>98</v>
      </c>
      <c r="L332" s="8">
        <f t="shared" si="10"/>
        <v>1824760</v>
      </c>
      <c r="M332" s="15">
        <v>7897801302692</v>
      </c>
      <c r="N332" s="6" t="s">
        <v>20</v>
      </c>
      <c r="O332" s="6" t="s">
        <v>20</v>
      </c>
      <c r="P332" s="6" t="s">
        <v>20</v>
      </c>
      <c r="Q332" s="6">
        <v>0.19500000000000001</v>
      </c>
      <c r="R332" s="6">
        <v>0.23499999999999999</v>
      </c>
      <c r="S332" s="6">
        <v>0.28000000000000003</v>
      </c>
      <c r="T332" s="8">
        <v>6</v>
      </c>
      <c r="U332" s="5" t="s">
        <v>1000</v>
      </c>
      <c r="V332" s="89">
        <v>0</v>
      </c>
      <c r="W332" s="15">
        <v>17897801302699</v>
      </c>
      <c r="X332" s="6">
        <v>0.3</v>
      </c>
      <c r="Y332" s="6">
        <v>0.24</v>
      </c>
      <c r="Z332" s="6">
        <v>0.59499999999999997</v>
      </c>
      <c r="AA332" s="6">
        <f>Y332*X332*Z332</f>
        <v>4.2839999999999996E-2</v>
      </c>
      <c r="AB332" s="8">
        <v>18</v>
      </c>
      <c r="AC332" s="15">
        <v>27897801302696</v>
      </c>
      <c r="AD332" s="4" t="s">
        <v>1001</v>
      </c>
    </row>
    <row r="333" spans="2:30" x14ac:dyDescent="0.35">
      <c r="B333" s="18">
        <v>522</v>
      </c>
      <c r="C333" s="24" t="s">
        <v>2423</v>
      </c>
      <c r="D333" s="4" t="s">
        <v>2426</v>
      </c>
      <c r="E333" s="4" t="s">
        <v>2911</v>
      </c>
      <c r="F333" s="4" t="s">
        <v>85</v>
      </c>
      <c r="G333" s="4" t="s">
        <v>1014</v>
      </c>
      <c r="H333" s="6">
        <v>0.17499999999999999</v>
      </c>
      <c r="I333" s="8">
        <v>68</v>
      </c>
      <c r="J333" s="8">
        <v>103</v>
      </c>
      <c r="K333" s="8">
        <v>68</v>
      </c>
      <c r="L333" s="8">
        <v>431200</v>
      </c>
      <c r="M333" s="15">
        <v>7897801320894</v>
      </c>
      <c r="N333" s="6" t="s">
        <v>20</v>
      </c>
      <c r="O333" s="6" t="s">
        <v>20</v>
      </c>
      <c r="P333" s="6" t="s">
        <v>20</v>
      </c>
      <c r="Q333" s="6">
        <v>0.16</v>
      </c>
      <c r="R333" s="6">
        <v>0.21</v>
      </c>
      <c r="S333" s="6">
        <v>0.20499999999999999</v>
      </c>
      <c r="T333" s="8">
        <v>12</v>
      </c>
      <c r="U333" s="5" t="s">
        <v>1022</v>
      </c>
      <c r="V333" s="89">
        <v>0</v>
      </c>
      <c r="W333" s="15">
        <v>17897801320891</v>
      </c>
      <c r="X333" s="6">
        <v>0.37</v>
      </c>
      <c r="Y333" s="6">
        <v>0.44</v>
      </c>
      <c r="Z333" s="6">
        <v>0.48499999999999999</v>
      </c>
      <c r="AA333" s="6">
        <v>7.9000000000000001E-2</v>
      </c>
      <c r="AB333" s="8">
        <v>120</v>
      </c>
      <c r="AC333" s="15">
        <v>27897801320898</v>
      </c>
      <c r="AD333" s="4" t="s">
        <v>999</v>
      </c>
    </row>
    <row r="334" spans="2:30" x14ac:dyDescent="0.35">
      <c r="B334" s="18">
        <v>523</v>
      </c>
      <c r="C334" s="24" t="s">
        <v>2425</v>
      </c>
      <c r="D334" s="4" t="s">
        <v>2426</v>
      </c>
      <c r="E334" s="4" t="s">
        <v>2911</v>
      </c>
      <c r="F334" s="4" t="s">
        <v>85</v>
      </c>
      <c r="G334" s="4" t="s">
        <v>1014</v>
      </c>
      <c r="H334" s="6">
        <v>0.85</v>
      </c>
      <c r="I334" s="8">
        <v>94</v>
      </c>
      <c r="J334" s="8">
        <v>220</v>
      </c>
      <c r="K334" s="8">
        <v>94</v>
      </c>
      <c r="L334" s="8">
        <v>1805000</v>
      </c>
      <c r="M334" s="15">
        <v>7897801320900</v>
      </c>
      <c r="N334" s="6" t="s">
        <v>20</v>
      </c>
      <c r="O334" s="6" t="s">
        <v>20</v>
      </c>
      <c r="P334" s="6" t="s">
        <v>20</v>
      </c>
      <c r="Q334" s="6">
        <v>0.20499999999999999</v>
      </c>
      <c r="R334" s="6">
        <v>0.24199999999999999</v>
      </c>
      <c r="S334" s="6">
        <v>0.28499999999999998</v>
      </c>
      <c r="T334" s="8">
        <v>6</v>
      </c>
      <c r="U334" s="5" t="s">
        <v>1022</v>
      </c>
      <c r="V334" s="89">
        <v>0</v>
      </c>
      <c r="W334" s="15">
        <v>17897801320907</v>
      </c>
      <c r="X334" s="6">
        <v>0.29499999999999998</v>
      </c>
      <c r="Y334" s="6">
        <v>0.255</v>
      </c>
      <c r="Z334" s="6">
        <v>0.60499999999999998</v>
      </c>
      <c r="AA334" s="6">
        <v>4.5499999999999999E-2</v>
      </c>
      <c r="AB334" s="8">
        <v>18</v>
      </c>
      <c r="AC334" s="15">
        <v>27897801320904</v>
      </c>
      <c r="AD334" s="4" t="s">
        <v>999</v>
      </c>
    </row>
    <row r="335" spans="2:30" x14ac:dyDescent="0.35">
      <c r="B335" s="14">
        <v>540</v>
      </c>
      <c r="C335" s="4" t="s">
        <v>340</v>
      </c>
      <c r="D335" s="4" t="s">
        <v>2389</v>
      </c>
      <c r="E335" s="4" t="s">
        <v>2911</v>
      </c>
      <c r="F335" s="4" t="s">
        <v>85</v>
      </c>
      <c r="G335" s="4" t="s">
        <v>993</v>
      </c>
      <c r="H335" s="6">
        <v>4.19E-2</v>
      </c>
      <c r="I335" s="8">
        <v>66</v>
      </c>
      <c r="J335" s="8">
        <v>58</v>
      </c>
      <c r="K335" s="8">
        <v>33</v>
      </c>
      <c r="L335" s="8">
        <f t="shared" ref="L335:L366" si="11">J335*I335*K335</f>
        <v>126324</v>
      </c>
      <c r="M335" s="15">
        <v>7897801301008</v>
      </c>
      <c r="N335" s="6" t="s">
        <v>20</v>
      </c>
      <c r="O335" s="6" t="s">
        <v>20</v>
      </c>
      <c r="P335" s="6" t="s">
        <v>20</v>
      </c>
      <c r="Q335" s="6">
        <v>0.13</v>
      </c>
      <c r="R335" s="6">
        <v>5.5E-2</v>
      </c>
      <c r="S335" s="6">
        <v>0.16</v>
      </c>
      <c r="T335" s="8">
        <v>6</v>
      </c>
      <c r="U335" s="5" t="s">
        <v>1002</v>
      </c>
      <c r="V335" s="89">
        <v>0</v>
      </c>
      <c r="W335" s="15">
        <v>17897801301005</v>
      </c>
      <c r="X335" s="6">
        <v>0.49</v>
      </c>
      <c r="Y335" s="6">
        <v>0.19</v>
      </c>
      <c r="Z335" s="6">
        <v>0.65</v>
      </c>
      <c r="AA335" s="6">
        <f t="shared" ref="AA335:AA340" si="12">Y335*X335*Z335</f>
        <v>6.0515000000000006E-2</v>
      </c>
      <c r="AB335" s="8">
        <v>390</v>
      </c>
      <c r="AC335" s="15">
        <v>27897801301002</v>
      </c>
      <c r="AD335" s="4" t="s">
        <v>992</v>
      </c>
    </row>
    <row r="336" spans="2:30" x14ac:dyDescent="0.35">
      <c r="B336" s="14">
        <v>541</v>
      </c>
      <c r="C336" s="4" t="s">
        <v>341</v>
      </c>
      <c r="D336" s="4" t="s">
        <v>2389</v>
      </c>
      <c r="E336" s="4" t="s">
        <v>2911</v>
      </c>
      <c r="F336" s="4" t="s">
        <v>85</v>
      </c>
      <c r="G336" s="4" t="s">
        <v>993</v>
      </c>
      <c r="H336" s="6">
        <v>5.4600000000000003E-2</v>
      </c>
      <c r="I336" s="8">
        <v>66</v>
      </c>
      <c r="J336" s="8">
        <v>65</v>
      </c>
      <c r="K336" s="8">
        <v>38</v>
      </c>
      <c r="L336" s="8">
        <f t="shared" si="11"/>
        <v>163020</v>
      </c>
      <c r="M336" s="15">
        <v>7897801301015</v>
      </c>
      <c r="N336" s="6" t="s">
        <v>20</v>
      </c>
      <c r="O336" s="6" t="s">
        <v>20</v>
      </c>
      <c r="P336" s="6" t="s">
        <v>20</v>
      </c>
      <c r="Q336" s="6">
        <v>0.15</v>
      </c>
      <c r="R336" s="6">
        <v>0.04</v>
      </c>
      <c r="S336" s="6">
        <v>0.2</v>
      </c>
      <c r="T336" s="8">
        <v>6</v>
      </c>
      <c r="U336" s="5" t="s">
        <v>1002</v>
      </c>
      <c r="V336" s="89">
        <v>0</v>
      </c>
      <c r="W336" s="15">
        <v>17897801301012</v>
      </c>
      <c r="X336" s="6">
        <v>0.52</v>
      </c>
      <c r="Y336" s="6">
        <v>0.18</v>
      </c>
      <c r="Z336" s="6">
        <v>0.7</v>
      </c>
      <c r="AA336" s="6">
        <f t="shared" si="12"/>
        <v>6.5519999999999995E-2</v>
      </c>
      <c r="AB336" s="8">
        <v>330</v>
      </c>
      <c r="AC336" s="15">
        <v>27897801301019</v>
      </c>
      <c r="AD336" s="4" t="s">
        <v>992</v>
      </c>
    </row>
    <row r="337" spans="2:30" x14ac:dyDescent="0.35">
      <c r="B337" s="14">
        <v>542</v>
      </c>
      <c r="C337" s="4" t="s">
        <v>342</v>
      </c>
      <c r="D337" s="4" t="s">
        <v>2389</v>
      </c>
      <c r="E337" s="4" t="s">
        <v>2911</v>
      </c>
      <c r="F337" s="4" t="s">
        <v>85</v>
      </c>
      <c r="G337" s="4" t="s">
        <v>993</v>
      </c>
      <c r="H337" s="6">
        <v>0.1082</v>
      </c>
      <c r="I337" s="8">
        <v>82</v>
      </c>
      <c r="J337" s="8">
        <v>80</v>
      </c>
      <c r="K337" s="8">
        <v>47</v>
      </c>
      <c r="L337" s="8">
        <f t="shared" si="11"/>
        <v>308320</v>
      </c>
      <c r="M337" s="15">
        <v>7897801301022</v>
      </c>
      <c r="N337" s="6" t="s">
        <v>20</v>
      </c>
      <c r="O337" s="6" t="s">
        <v>20</v>
      </c>
      <c r="P337" s="6" t="s">
        <v>20</v>
      </c>
      <c r="Q337" s="6">
        <v>0.15</v>
      </c>
      <c r="R337" s="6">
        <v>0.05</v>
      </c>
      <c r="S337" s="6">
        <v>0.2</v>
      </c>
      <c r="T337" s="8">
        <v>4</v>
      </c>
      <c r="U337" s="5" t="s">
        <v>1002</v>
      </c>
      <c r="V337" s="89">
        <v>0</v>
      </c>
      <c r="W337" s="15">
        <v>17897801301029</v>
      </c>
      <c r="X337" s="6">
        <v>0.45</v>
      </c>
      <c r="Y337" s="6">
        <v>0.2</v>
      </c>
      <c r="Z337" s="6">
        <v>0.65</v>
      </c>
      <c r="AA337" s="6">
        <f t="shared" si="12"/>
        <v>5.850000000000001E-2</v>
      </c>
      <c r="AB337" s="8">
        <v>160</v>
      </c>
      <c r="AC337" s="15">
        <v>27897801301026</v>
      </c>
      <c r="AD337" s="4" t="s">
        <v>992</v>
      </c>
    </row>
    <row r="338" spans="2:30" x14ac:dyDescent="0.35">
      <c r="B338" s="14">
        <v>543</v>
      </c>
      <c r="C338" s="4" t="s">
        <v>343</v>
      </c>
      <c r="D338" s="4" t="s">
        <v>2389</v>
      </c>
      <c r="E338" s="4" t="s">
        <v>2911</v>
      </c>
      <c r="F338" s="4" t="s">
        <v>85</v>
      </c>
      <c r="G338" s="4" t="s">
        <v>993</v>
      </c>
      <c r="H338" s="6">
        <v>0.20369999999999999</v>
      </c>
      <c r="I338" s="8">
        <v>111</v>
      </c>
      <c r="J338" s="8">
        <v>102</v>
      </c>
      <c r="K338" s="8">
        <v>58</v>
      </c>
      <c r="L338" s="8">
        <f t="shared" si="11"/>
        <v>656676</v>
      </c>
      <c r="M338" s="15">
        <v>7897801301060</v>
      </c>
      <c r="N338" s="6" t="s">
        <v>20</v>
      </c>
      <c r="O338" s="6" t="s">
        <v>20</v>
      </c>
      <c r="P338" s="6" t="s">
        <v>20</v>
      </c>
      <c r="Q338" s="6">
        <v>0.23</v>
      </c>
      <c r="R338" s="6">
        <v>0.06</v>
      </c>
      <c r="S338" s="6">
        <v>0.23</v>
      </c>
      <c r="T338" s="8">
        <v>3</v>
      </c>
      <c r="U338" s="5" t="s">
        <v>1002</v>
      </c>
      <c r="V338" s="89">
        <v>0</v>
      </c>
      <c r="W338" s="15">
        <v>17897801301067</v>
      </c>
      <c r="X338" s="6">
        <v>0.51</v>
      </c>
      <c r="Y338" s="6">
        <v>0.19</v>
      </c>
      <c r="Z338" s="6">
        <v>0.74</v>
      </c>
      <c r="AA338" s="6">
        <f t="shared" si="12"/>
        <v>7.1706000000000006E-2</v>
      </c>
      <c r="AB338" s="8">
        <v>75</v>
      </c>
      <c r="AC338" s="15">
        <v>27897801301064</v>
      </c>
      <c r="AD338" s="4" t="s">
        <v>992</v>
      </c>
    </row>
    <row r="339" spans="2:30" x14ac:dyDescent="0.35">
      <c r="B339" s="14">
        <v>544</v>
      </c>
      <c r="C339" s="4" t="s">
        <v>344</v>
      </c>
      <c r="D339" s="4" t="s">
        <v>2389</v>
      </c>
      <c r="E339" s="4" t="s">
        <v>2911</v>
      </c>
      <c r="F339" s="4" t="s">
        <v>85</v>
      </c>
      <c r="G339" s="4" t="s">
        <v>993</v>
      </c>
      <c r="H339" s="6">
        <v>0.2697</v>
      </c>
      <c r="I339" s="8">
        <v>115</v>
      </c>
      <c r="J339" s="8">
        <v>109</v>
      </c>
      <c r="K339" s="8">
        <v>70</v>
      </c>
      <c r="L339" s="8">
        <f t="shared" si="11"/>
        <v>877450</v>
      </c>
      <c r="M339" s="15">
        <v>7897801301077</v>
      </c>
      <c r="N339" s="6" t="s">
        <v>20</v>
      </c>
      <c r="O339" s="6" t="s">
        <v>20</v>
      </c>
      <c r="P339" s="6" t="s">
        <v>20</v>
      </c>
      <c r="Q339" s="6">
        <v>0.2</v>
      </c>
      <c r="R339" s="6">
        <v>0.08</v>
      </c>
      <c r="S339" s="6">
        <v>0.2</v>
      </c>
      <c r="T339" s="8">
        <v>3</v>
      </c>
      <c r="U339" s="5" t="s">
        <v>1002</v>
      </c>
      <c r="V339" s="89">
        <v>0</v>
      </c>
      <c r="W339" s="15">
        <v>17897801301074</v>
      </c>
      <c r="X339" s="6">
        <v>0.45</v>
      </c>
      <c r="Y339" s="6">
        <v>0.17</v>
      </c>
      <c r="Z339" s="6">
        <v>0.7</v>
      </c>
      <c r="AA339" s="6">
        <f t="shared" si="12"/>
        <v>5.3550000000000007E-2</v>
      </c>
      <c r="AB339" s="8">
        <v>60</v>
      </c>
      <c r="AC339" s="15">
        <v>27897801301071</v>
      </c>
      <c r="AD339" s="4" t="s">
        <v>992</v>
      </c>
    </row>
    <row r="340" spans="2:30" x14ac:dyDescent="0.35">
      <c r="B340" s="14">
        <v>545</v>
      </c>
      <c r="C340" s="4" t="s">
        <v>345</v>
      </c>
      <c r="D340" s="4" t="s">
        <v>2389</v>
      </c>
      <c r="E340" s="4" t="s">
        <v>2911</v>
      </c>
      <c r="F340" s="4" t="s">
        <v>85</v>
      </c>
      <c r="G340" s="4" t="s">
        <v>993</v>
      </c>
      <c r="H340" s="6">
        <v>0.42259999999999998</v>
      </c>
      <c r="I340" s="8">
        <v>129</v>
      </c>
      <c r="J340" s="8">
        <v>125</v>
      </c>
      <c r="K340" s="8">
        <v>81</v>
      </c>
      <c r="L340" s="8">
        <f t="shared" si="11"/>
        <v>1306125</v>
      </c>
      <c r="M340" s="15">
        <v>7897801301084</v>
      </c>
      <c r="N340" s="6" t="s">
        <v>20</v>
      </c>
      <c r="O340" s="6" t="s">
        <v>20</v>
      </c>
      <c r="P340" s="6" t="s">
        <v>20</v>
      </c>
      <c r="Q340" s="6">
        <v>0.2</v>
      </c>
      <c r="R340" s="6">
        <v>0.08</v>
      </c>
      <c r="S340" s="6">
        <v>0.3</v>
      </c>
      <c r="T340" s="8">
        <v>2</v>
      </c>
      <c r="U340" s="5" t="s">
        <v>1002</v>
      </c>
      <c r="V340" s="89">
        <v>0</v>
      </c>
      <c r="W340" s="15">
        <v>17897801301081</v>
      </c>
      <c r="X340" s="6">
        <v>0.5</v>
      </c>
      <c r="Y340" s="6">
        <v>0.17</v>
      </c>
      <c r="Z340" s="6">
        <v>0.65</v>
      </c>
      <c r="AA340" s="6">
        <f t="shared" si="12"/>
        <v>5.5250000000000007E-2</v>
      </c>
      <c r="AB340" s="8">
        <v>38</v>
      </c>
      <c r="AC340" s="15">
        <v>27897801301088</v>
      </c>
      <c r="AD340" s="4" t="s">
        <v>992</v>
      </c>
    </row>
    <row r="341" spans="2:30" x14ac:dyDescent="0.35">
      <c r="B341" s="18">
        <v>546</v>
      </c>
      <c r="C341" s="4" t="s">
        <v>346</v>
      </c>
      <c r="D341" s="4" t="s">
        <v>2389</v>
      </c>
      <c r="E341" s="4" t="s">
        <v>2911</v>
      </c>
      <c r="F341" s="4" t="s">
        <v>85</v>
      </c>
      <c r="G341" s="4" t="s">
        <v>993</v>
      </c>
      <c r="H341" s="27">
        <v>1.0342</v>
      </c>
      <c r="I341" s="8">
        <v>180</v>
      </c>
      <c r="J341" s="8">
        <v>115</v>
      </c>
      <c r="K341" s="8">
        <v>165</v>
      </c>
      <c r="L341" s="8">
        <f t="shared" si="11"/>
        <v>3415500</v>
      </c>
      <c r="M341" s="15">
        <v>7897801312400</v>
      </c>
      <c r="N341" s="6" t="s">
        <v>20</v>
      </c>
      <c r="O341" s="6" t="s">
        <v>20</v>
      </c>
      <c r="P341" s="6" t="s">
        <v>20</v>
      </c>
      <c r="Q341" s="27">
        <v>0.17199999999999999</v>
      </c>
      <c r="R341" s="27">
        <v>0.20200000000000001</v>
      </c>
      <c r="S341" s="27">
        <v>0.23</v>
      </c>
      <c r="T341" s="28">
        <v>2</v>
      </c>
      <c r="U341" s="5" t="s">
        <v>1002</v>
      </c>
      <c r="V341" s="89">
        <v>0</v>
      </c>
      <c r="W341" s="15">
        <v>17897801312407</v>
      </c>
      <c r="X341" s="5">
        <v>0</v>
      </c>
      <c r="Y341" s="5">
        <v>0</v>
      </c>
      <c r="Z341" s="5">
        <v>0</v>
      </c>
      <c r="AA341" s="5">
        <v>0</v>
      </c>
      <c r="AB341" s="5">
        <v>0</v>
      </c>
      <c r="AC341" s="5">
        <v>0</v>
      </c>
      <c r="AD341" s="4" t="s">
        <v>992</v>
      </c>
    </row>
    <row r="342" spans="2:30" x14ac:dyDescent="0.35">
      <c r="B342" s="18">
        <v>547</v>
      </c>
      <c r="C342" s="4" t="s">
        <v>347</v>
      </c>
      <c r="D342" s="4" t="s">
        <v>2389</v>
      </c>
      <c r="E342" s="4" t="s">
        <v>2911</v>
      </c>
      <c r="F342" s="4" t="s">
        <v>85</v>
      </c>
      <c r="G342" s="4" t="s">
        <v>993</v>
      </c>
      <c r="H342" s="27">
        <v>1.5452999999999999</v>
      </c>
      <c r="I342" s="8">
        <v>205</v>
      </c>
      <c r="J342" s="8">
        <v>130</v>
      </c>
      <c r="K342" s="8">
        <v>180</v>
      </c>
      <c r="L342" s="8">
        <f t="shared" si="11"/>
        <v>4797000</v>
      </c>
      <c r="M342" s="15">
        <v>7897801312417</v>
      </c>
      <c r="N342" s="6" t="s">
        <v>20</v>
      </c>
      <c r="O342" s="6" t="s">
        <v>20</v>
      </c>
      <c r="P342" s="6" t="s">
        <v>20</v>
      </c>
      <c r="Q342" s="27">
        <v>0.255</v>
      </c>
      <c r="R342" s="27">
        <v>0.16200000000000001</v>
      </c>
      <c r="S342" s="27">
        <v>0.31</v>
      </c>
      <c r="T342" s="28">
        <v>2</v>
      </c>
      <c r="U342" s="5" t="s">
        <v>1002</v>
      </c>
      <c r="V342" s="89">
        <v>0</v>
      </c>
      <c r="W342" s="15">
        <v>17897801312414</v>
      </c>
      <c r="X342" s="5">
        <v>0</v>
      </c>
      <c r="Y342" s="5">
        <v>0</v>
      </c>
      <c r="Z342" s="5">
        <v>0</v>
      </c>
      <c r="AA342" s="5">
        <v>0</v>
      </c>
      <c r="AB342" s="5">
        <v>0</v>
      </c>
      <c r="AC342" s="5">
        <v>0</v>
      </c>
      <c r="AD342" s="4" t="s">
        <v>992</v>
      </c>
    </row>
    <row r="343" spans="2:30" x14ac:dyDescent="0.35">
      <c r="B343" s="18">
        <v>548</v>
      </c>
      <c r="C343" s="4" t="s">
        <v>348</v>
      </c>
      <c r="D343" s="4" t="s">
        <v>2389</v>
      </c>
      <c r="E343" s="4" t="s">
        <v>2911</v>
      </c>
      <c r="F343" s="4" t="s">
        <v>85</v>
      </c>
      <c r="G343" s="4" t="s">
        <v>993</v>
      </c>
      <c r="H343" s="27">
        <v>2.4062999999999999</v>
      </c>
      <c r="I343" s="8">
        <v>235</v>
      </c>
      <c r="J343" s="8">
        <v>160</v>
      </c>
      <c r="K343" s="8">
        <v>210</v>
      </c>
      <c r="L343" s="8">
        <f t="shared" si="11"/>
        <v>7896000</v>
      </c>
      <c r="M343" s="15">
        <v>7897801313858</v>
      </c>
      <c r="N343" s="6" t="s">
        <v>20</v>
      </c>
      <c r="O343" s="6" t="s">
        <v>20</v>
      </c>
      <c r="P343" s="6" t="s">
        <v>20</v>
      </c>
      <c r="Q343" s="27">
        <v>0.193</v>
      </c>
      <c r="R343" s="27">
        <v>0.16700000000000001</v>
      </c>
      <c r="S343" s="27">
        <v>0.26</v>
      </c>
      <c r="T343" s="28">
        <v>1</v>
      </c>
      <c r="U343" s="5" t="s">
        <v>1002</v>
      </c>
      <c r="V343" s="89">
        <v>0</v>
      </c>
      <c r="W343" s="15">
        <v>17897801313855</v>
      </c>
      <c r="X343" s="5">
        <v>0</v>
      </c>
      <c r="Y343" s="5">
        <v>0</v>
      </c>
      <c r="Z343" s="5">
        <v>0</v>
      </c>
      <c r="AA343" s="5">
        <v>0</v>
      </c>
      <c r="AB343" s="5">
        <v>0</v>
      </c>
      <c r="AC343" s="5">
        <v>0</v>
      </c>
      <c r="AD343" s="4" t="s">
        <v>992</v>
      </c>
    </row>
    <row r="344" spans="2:30" x14ac:dyDescent="0.35">
      <c r="B344" s="14">
        <v>551</v>
      </c>
      <c r="C344" s="4" t="s">
        <v>349</v>
      </c>
      <c r="D344" s="4" t="s">
        <v>2389</v>
      </c>
      <c r="E344" s="4" t="s">
        <v>2911</v>
      </c>
      <c r="F344" s="4" t="s">
        <v>85</v>
      </c>
      <c r="G344" s="4" t="s">
        <v>993</v>
      </c>
      <c r="H344" s="6">
        <v>5.11E-2</v>
      </c>
      <c r="I344" s="8">
        <v>66</v>
      </c>
      <c r="J344" s="8">
        <v>58</v>
      </c>
      <c r="K344" s="8">
        <v>33</v>
      </c>
      <c r="L344" s="8">
        <f t="shared" si="11"/>
        <v>126324</v>
      </c>
      <c r="M344" s="15">
        <v>7897801301039</v>
      </c>
      <c r="N344" s="6" t="s">
        <v>20</v>
      </c>
      <c r="O344" s="6" t="s">
        <v>20</v>
      </c>
      <c r="P344" s="6" t="s">
        <v>20</v>
      </c>
      <c r="Q344" s="6">
        <v>0.17499999999999999</v>
      </c>
      <c r="R344" s="6">
        <v>3.5000000000000003E-2</v>
      </c>
      <c r="S344" s="6">
        <v>0.17499999999999999</v>
      </c>
      <c r="T344" s="8">
        <v>6</v>
      </c>
      <c r="U344" s="5" t="s">
        <v>1002</v>
      </c>
      <c r="V344" s="89">
        <v>0</v>
      </c>
      <c r="W344" s="15">
        <v>17897801301036</v>
      </c>
      <c r="X344" s="6">
        <v>0.52500000000000002</v>
      </c>
      <c r="Y344" s="6">
        <v>0.16</v>
      </c>
      <c r="Z344" s="6">
        <v>0.78</v>
      </c>
      <c r="AA344" s="6">
        <f t="shared" ref="AA344:AA349" si="13">Y344*X344*Z344</f>
        <v>6.5520000000000009E-2</v>
      </c>
      <c r="AB344" s="8">
        <v>390</v>
      </c>
      <c r="AC344" s="15">
        <v>27897801301033</v>
      </c>
      <c r="AD344" s="4" t="s">
        <v>992</v>
      </c>
    </row>
    <row r="345" spans="2:30" x14ac:dyDescent="0.35">
      <c r="B345" s="14">
        <v>552</v>
      </c>
      <c r="C345" s="4" t="s">
        <v>350</v>
      </c>
      <c r="D345" s="4" t="s">
        <v>2389</v>
      </c>
      <c r="E345" s="4" t="s">
        <v>2911</v>
      </c>
      <c r="F345" s="4" t="s">
        <v>85</v>
      </c>
      <c r="G345" s="4" t="s">
        <v>993</v>
      </c>
      <c r="H345" s="6">
        <v>6.25E-2</v>
      </c>
      <c r="I345" s="8">
        <v>66</v>
      </c>
      <c r="J345" s="8">
        <v>65</v>
      </c>
      <c r="K345" s="8">
        <v>38</v>
      </c>
      <c r="L345" s="8">
        <f t="shared" si="11"/>
        <v>163020</v>
      </c>
      <c r="M345" s="15">
        <v>7897801301046</v>
      </c>
      <c r="N345" s="6" t="s">
        <v>20</v>
      </c>
      <c r="O345" s="6" t="s">
        <v>20</v>
      </c>
      <c r="P345" s="6" t="s">
        <v>20</v>
      </c>
      <c r="Q345" s="6">
        <v>0.15</v>
      </c>
      <c r="R345" s="6">
        <v>0.04</v>
      </c>
      <c r="S345" s="6">
        <v>0.2</v>
      </c>
      <c r="T345" s="8">
        <v>6</v>
      </c>
      <c r="U345" s="5" t="s">
        <v>1002</v>
      </c>
      <c r="V345" s="89">
        <v>0</v>
      </c>
      <c r="W345" s="15">
        <v>17897801301043</v>
      </c>
      <c r="X345" s="6">
        <v>0.52</v>
      </c>
      <c r="Y345" s="6">
        <v>0.18</v>
      </c>
      <c r="Z345" s="6">
        <v>0.7</v>
      </c>
      <c r="AA345" s="6">
        <f t="shared" si="13"/>
        <v>6.5519999999999995E-2</v>
      </c>
      <c r="AB345" s="8">
        <v>330</v>
      </c>
      <c r="AC345" s="15">
        <v>27897801301040</v>
      </c>
      <c r="AD345" s="4" t="s">
        <v>992</v>
      </c>
    </row>
    <row r="346" spans="2:30" x14ac:dyDescent="0.35">
      <c r="B346" s="14">
        <v>553</v>
      </c>
      <c r="C346" s="4" t="s">
        <v>351</v>
      </c>
      <c r="D346" s="4" t="s">
        <v>2389</v>
      </c>
      <c r="E346" s="4" t="s">
        <v>2911</v>
      </c>
      <c r="F346" s="4" t="s">
        <v>85</v>
      </c>
      <c r="G346" s="4" t="s">
        <v>993</v>
      </c>
      <c r="H346" s="6">
        <v>0.12</v>
      </c>
      <c r="I346" s="8">
        <v>82</v>
      </c>
      <c r="J346" s="8">
        <v>80</v>
      </c>
      <c r="K346" s="8">
        <v>47</v>
      </c>
      <c r="L346" s="8">
        <f t="shared" si="11"/>
        <v>308320</v>
      </c>
      <c r="M346" s="15">
        <v>7897801301053</v>
      </c>
      <c r="N346" s="6" t="s">
        <v>20</v>
      </c>
      <c r="O346" s="6" t="s">
        <v>20</v>
      </c>
      <c r="P346" s="6" t="s">
        <v>20</v>
      </c>
      <c r="Q346" s="6">
        <v>0.15</v>
      </c>
      <c r="R346" s="6">
        <v>0.05</v>
      </c>
      <c r="S346" s="6">
        <v>0.2</v>
      </c>
      <c r="T346" s="8">
        <v>2</v>
      </c>
      <c r="U346" s="5" t="s">
        <v>1002</v>
      </c>
      <c r="V346" s="89">
        <v>0</v>
      </c>
      <c r="W346" s="15">
        <v>17897801301050</v>
      </c>
      <c r="X346" s="6">
        <v>0.45</v>
      </c>
      <c r="Y346" s="6">
        <v>0.2</v>
      </c>
      <c r="Z346" s="6">
        <v>0.65</v>
      </c>
      <c r="AA346" s="6">
        <f t="shared" si="13"/>
        <v>5.850000000000001E-2</v>
      </c>
      <c r="AB346" s="8">
        <v>160</v>
      </c>
      <c r="AC346" s="15">
        <v>27897801301057</v>
      </c>
      <c r="AD346" s="4" t="s">
        <v>992</v>
      </c>
    </row>
    <row r="347" spans="2:30" x14ac:dyDescent="0.35">
      <c r="B347" s="14">
        <v>554</v>
      </c>
      <c r="C347" s="4" t="s">
        <v>352</v>
      </c>
      <c r="D347" s="4" t="s">
        <v>2389</v>
      </c>
      <c r="E347" s="4" t="s">
        <v>2911</v>
      </c>
      <c r="F347" s="4" t="s">
        <v>85</v>
      </c>
      <c r="G347" s="4" t="s">
        <v>993</v>
      </c>
      <c r="H347" s="6">
        <v>0.2059</v>
      </c>
      <c r="I347" s="8">
        <v>111</v>
      </c>
      <c r="J347" s="8">
        <v>70</v>
      </c>
      <c r="K347" s="8">
        <v>95</v>
      </c>
      <c r="L347" s="8">
        <f t="shared" si="11"/>
        <v>738150</v>
      </c>
      <c r="M347" s="15">
        <v>7897801301091</v>
      </c>
      <c r="N347" s="6" t="s">
        <v>20</v>
      </c>
      <c r="O347" s="6" t="s">
        <v>20</v>
      </c>
      <c r="P347" s="6" t="s">
        <v>20</v>
      </c>
      <c r="Q347" s="6">
        <v>0.14000000000000001</v>
      </c>
      <c r="R347" s="6">
        <v>0.08</v>
      </c>
      <c r="S347" s="6">
        <v>0.26</v>
      </c>
      <c r="T347" s="8">
        <v>3</v>
      </c>
      <c r="U347" s="5" t="s">
        <v>1002</v>
      </c>
      <c r="V347" s="89">
        <v>0</v>
      </c>
      <c r="W347" s="15">
        <v>17897801301098</v>
      </c>
      <c r="X347" s="6">
        <v>0.52</v>
      </c>
      <c r="Y347" s="6">
        <v>0.22</v>
      </c>
      <c r="Z347" s="6">
        <v>0.7</v>
      </c>
      <c r="AA347" s="6">
        <f t="shared" si="13"/>
        <v>8.0079999999999998E-2</v>
      </c>
      <c r="AB347" s="8">
        <v>75</v>
      </c>
      <c r="AC347" s="15">
        <v>27897801301095</v>
      </c>
      <c r="AD347" s="4" t="s">
        <v>992</v>
      </c>
    </row>
    <row r="348" spans="2:30" x14ac:dyDescent="0.35">
      <c r="B348" s="14">
        <v>555</v>
      </c>
      <c r="C348" s="4" t="s">
        <v>353</v>
      </c>
      <c r="D348" s="4" t="s">
        <v>2389</v>
      </c>
      <c r="E348" s="4" t="s">
        <v>2911</v>
      </c>
      <c r="F348" s="4" t="s">
        <v>85</v>
      </c>
      <c r="G348" s="4" t="s">
        <v>993</v>
      </c>
      <c r="H348" s="6">
        <v>0.29199999999999998</v>
      </c>
      <c r="I348" s="8">
        <v>115</v>
      </c>
      <c r="J348" s="8">
        <v>109</v>
      </c>
      <c r="K348" s="8">
        <v>70</v>
      </c>
      <c r="L348" s="8">
        <f t="shared" si="11"/>
        <v>877450</v>
      </c>
      <c r="M348" s="15">
        <v>7897801301107</v>
      </c>
      <c r="N348" s="6" t="s">
        <v>20</v>
      </c>
      <c r="O348" s="6" t="s">
        <v>20</v>
      </c>
      <c r="P348" s="6" t="s">
        <v>20</v>
      </c>
      <c r="Q348" s="6">
        <v>0.2</v>
      </c>
      <c r="R348" s="6">
        <v>7.4999999999999997E-2</v>
      </c>
      <c r="S348" s="6">
        <v>0.23</v>
      </c>
      <c r="T348" s="8">
        <v>3</v>
      </c>
      <c r="U348" s="5" t="s">
        <v>1002</v>
      </c>
      <c r="V348" s="89">
        <v>0</v>
      </c>
      <c r="W348" s="15">
        <v>17897801301104</v>
      </c>
      <c r="X348" s="6">
        <v>0.46</v>
      </c>
      <c r="Y348" s="6">
        <v>0.23</v>
      </c>
      <c r="Z348" s="6">
        <v>0.66</v>
      </c>
      <c r="AA348" s="6">
        <f t="shared" si="13"/>
        <v>6.9828000000000001E-2</v>
      </c>
      <c r="AB348" s="8">
        <v>60</v>
      </c>
      <c r="AC348" s="15">
        <v>27897801301101</v>
      </c>
      <c r="AD348" s="4" t="s">
        <v>992</v>
      </c>
    </row>
    <row r="349" spans="2:30" x14ac:dyDescent="0.35">
      <c r="B349" s="14">
        <v>556</v>
      </c>
      <c r="C349" s="4" t="s">
        <v>354</v>
      </c>
      <c r="D349" s="4" t="s">
        <v>2389</v>
      </c>
      <c r="E349" s="4" t="s">
        <v>2911</v>
      </c>
      <c r="F349" s="4" t="s">
        <v>85</v>
      </c>
      <c r="G349" s="4" t="s">
        <v>993</v>
      </c>
      <c r="H349" s="6">
        <v>0.44</v>
      </c>
      <c r="I349" s="8">
        <v>140</v>
      </c>
      <c r="J349" s="8">
        <v>80</v>
      </c>
      <c r="K349" s="8">
        <v>125</v>
      </c>
      <c r="L349" s="8">
        <f t="shared" si="11"/>
        <v>1400000</v>
      </c>
      <c r="M349" s="15">
        <v>7897801301114</v>
      </c>
      <c r="N349" s="6" t="s">
        <v>20</v>
      </c>
      <c r="O349" s="6" t="s">
        <v>20</v>
      </c>
      <c r="P349" s="6" t="s">
        <v>20</v>
      </c>
      <c r="Q349" s="6">
        <v>0.17</v>
      </c>
      <c r="R349" s="6">
        <v>0.08</v>
      </c>
      <c r="S349" s="6">
        <v>0.27</v>
      </c>
      <c r="T349" s="8">
        <v>2</v>
      </c>
      <c r="U349" s="5" t="s">
        <v>1002</v>
      </c>
      <c r="V349" s="89">
        <v>0</v>
      </c>
      <c r="W349" s="15">
        <v>17897801301111</v>
      </c>
      <c r="X349" s="6">
        <v>0.51</v>
      </c>
      <c r="Y349" s="6">
        <v>0.19</v>
      </c>
      <c r="Z349" s="6">
        <v>0.77</v>
      </c>
      <c r="AA349" s="6">
        <f t="shared" si="13"/>
        <v>7.4612999999999999E-2</v>
      </c>
      <c r="AB349" s="8">
        <v>38</v>
      </c>
      <c r="AC349" s="15">
        <v>27897801301118</v>
      </c>
      <c r="AD349" s="4" t="s">
        <v>992</v>
      </c>
    </row>
    <row r="350" spans="2:30" x14ac:dyDescent="0.35">
      <c r="B350" s="18">
        <v>557</v>
      </c>
      <c r="C350" s="4" t="s">
        <v>355</v>
      </c>
      <c r="D350" s="4" t="s">
        <v>2389</v>
      </c>
      <c r="E350" s="4" t="s">
        <v>2911</v>
      </c>
      <c r="F350" s="4" t="s">
        <v>85</v>
      </c>
      <c r="G350" s="4" t="s">
        <v>993</v>
      </c>
      <c r="H350" s="27">
        <v>1.0518000000000001</v>
      </c>
      <c r="I350" s="8">
        <v>180</v>
      </c>
      <c r="J350" s="8">
        <v>115</v>
      </c>
      <c r="K350" s="8">
        <v>165</v>
      </c>
      <c r="L350" s="8">
        <f t="shared" si="11"/>
        <v>3415500</v>
      </c>
      <c r="M350" s="15">
        <v>7897801312431</v>
      </c>
      <c r="N350" s="6" t="s">
        <v>20</v>
      </c>
      <c r="O350" s="6" t="s">
        <v>20</v>
      </c>
      <c r="P350" s="6" t="s">
        <v>20</v>
      </c>
      <c r="Q350" s="27">
        <v>0.17199999999999999</v>
      </c>
      <c r="R350" s="27">
        <v>0.20200000000000001</v>
      </c>
      <c r="S350" s="27">
        <v>0.23</v>
      </c>
      <c r="T350" s="28">
        <v>2</v>
      </c>
      <c r="U350" s="5" t="s">
        <v>1002</v>
      </c>
      <c r="V350" s="89">
        <v>0</v>
      </c>
      <c r="W350" s="15">
        <v>17897801312438</v>
      </c>
      <c r="X350" s="5">
        <v>0</v>
      </c>
      <c r="Y350" s="5">
        <v>0</v>
      </c>
      <c r="Z350" s="5">
        <v>0</v>
      </c>
      <c r="AA350" s="5">
        <v>0</v>
      </c>
      <c r="AB350" s="5">
        <v>0</v>
      </c>
      <c r="AC350" s="5">
        <v>0</v>
      </c>
      <c r="AD350" s="4" t="s">
        <v>992</v>
      </c>
    </row>
    <row r="351" spans="2:30" x14ac:dyDescent="0.35">
      <c r="B351" s="18">
        <v>558</v>
      </c>
      <c r="C351" s="4" t="s">
        <v>356</v>
      </c>
      <c r="D351" s="4" t="s">
        <v>2389</v>
      </c>
      <c r="E351" s="4" t="s">
        <v>2911</v>
      </c>
      <c r="F351" s="4" t="s">
        <v>85</v>
      </c>
      <c r="G351" s="4" t="s">
        <v>993</v>
      </c>
      <c r="H351" s="27">
        <v>1.5590999999999999</v>
      </c>
      <c r="I351" s="8">
        <v>205</v>
      </c>
      <c r="J351" s="8">
        <v>130</v>
      </c>
      <c r="K351" s="8">
        <v>180</v>
      </c>
      <c r="L351" s="8">
        <f t="shared" si="11"/>
        <v>4797000</v>
      </c>
      <c r="M351" s="15">
        <v>7897801312448</v>
      </c>
      <c r="N351" s="6" t="s">
        <v>20</v>
      </c>
      <c r="O351" s="6" t="s">
        <v>20</v>
      </c>
      <c r="P351" s="6" t="s">
        <v>20</v>
      </c>
      <c r="Q351" s="27">
        <v>0.255</v>
      </c>
      <c r="R351" s="27">
        <v>0.16200000000000001</v>
      </c>
      <c r="S351" s="27">
        <v>0.31</v>
      </c>
      <c r="T351" s="28">
        <v>2</v>
      </c>
      <c r="U351" s="5" t="s">
        <v>1002</v>
      </c>
      <c r="V351" s="89">
        <v>0</v>
      </c>
      <c r="W351" s="15">
        <v>17897801312445</v>
      </c>
      <c r="X351" s="5">
        <v>0</v>
      </c>
      <c r="Y351" s="5">
        <v>0</v>
      </c>
      <c r="Z351" s="5">
        <v>0</v>
      </c>
      <c r="AA351" s="5">
        <v>0</v>
      </c>
      <c r="AB351" s="5">
        <v>0</v>
      </c>
      <c r="AC351" s="5">
        <v>0</v>
      </c>
      <c r="AD351" s="4" t="s">
        <v>992</v>
      </c>
    </row>
    <row r="352" spans="2:30" x14ac:dyDescent="0.35">
      <c r="B352" s="18">
        <v>559</v>
      </c>
      <c r="C352" s="4" t="s">
        <v>357</v>
      </c>
      <c r="D352" s="4" t="s">
        <v>2389</v>
      </c>
      <c r="E352" s="4" t="s">
        <v>2911</v>
      </c>
      <c r="F352" s="4" t="s">
        <v>85</v>
      </c>
      <c r="G352" s="4" t="s">
        <v>993</v>
      </c>
      <c r="H352" s="27">
        <v>2.4163000000000001</v>
      </c>
      <c r="I352" s="8">
        <v>235</v>
      </c>
      <c r="J352" s="8">
        <v>160</v>
      </c>
      <c r="K352" s="8">
        <v>210</v>
      </c>
      <c r="L352" s="8">
        <f t="shared" si="11"/>
        <v>7896000</v>
      </c>
      <c r="M352" s="15">
        <v>7897801312455</v>
      </c>
      <c r="N352" s="6" t="s">
        <v>20</v>
      </c>
      <c r="O352" s="6" t="s">
        <v>20</v>
      </c>
      <c r="P352" s="6" t="s">
        <v>20</v>
      </c>
      <c r="Q352" s="27">
        <v>0.193</v>
      </c>
      <c r="R352" s="27">
        <v>0.16700000000000001</v>
      </c>
      <c r="S352" s="27">
        <v>0.26</v>
      </c>
      <c r="T352" s="28">
        <v>1</v>
      </c>
      <c r="U352" s="5" t="s">
        <v>1002</v>
      </c>
      <c r="V352" s="89">
        <v>0</v>
      </c>
      <c r="W352" s="15">
        <v>17897801312452</v>
      </c>
      <c r="X352" s="5">
        <v>0</v>
      </c>
      <c r="Y352" s="5">
        <v>0</v>
      </c>
      <c r="Z352" s="5">
        <v>0</v>
      </c>
      <c r="AA352" s="5">
        <v>0</v>
      </c>
      <c r="AB352" s="5">
        <v>0</v>
      </c>
      <c r="AC352" s="5">
        <v>0</v>
      </c>
      <c r="AD352" s="4" t="s">
        <v>992</v>
      </c>
    </row>
    <row r="353" spans="2:30" x14ac:dyDescent="0.35">
      <c r="B353" s="14">
        <v>561</v>
      </c>
      <c r="C353" s="4" t="s">
        <v>358</v>
      </c>
      <c r="D353" s="4" t="s">
        <v>2377</v>
      </c>
      <c r="E353" s="4" t="s">
        <v>2911</v>
      </c>
      <c r="F353" s="4" t="s">
        <v>85</v>
      </c>
      <c r="G353" s="4" t="s">
        <v>993</v>
      </c>
      <c r="H353" s="6">
        <v>8.7999999999999995E-2</v>
      </c>
      <c r="I353" s="8">
        <v>75</v>
      </c>
      <c r="J353" s="8">
        <v>48.5</v>
      </c>
      <c r="K353" s="8">
        <v>75</v>
      </c>
      <c r="L353" s="8">
        <f t="shared" si="11"/>
        <v>272812.5</v>
      </c>
      <c r="M353" s="15">
        <v>7897801302296</v>
      </c>
      <c r="N353" s="6" t="s">
        <v>20</v>
      </c>
      <c r="O353" s="6" t="s">
        <v>20</v>
      </c>
      <c r="P353" s="6" t="s">
        <v>20</v>
      </c>
      <c r="Q353" s="6">
        <v>0.16</v>
      </c>
      <c r="R353" s="6">
        <v>7.4999999999999997E-2</v>
      </c>
      <c r="S353" s="6">
        <v>0.24</v>
      </c>
      <c r="T353" s="8">
        <v>10</v>
      </c>
      <c r="U353" s="5" t="s">
        <v>1002</v>
      </c>
      <c r="V353" s="89">
        <v>0</v>
      </c>
      <c r="W353" s="15">
        <v>17897801302293</v>
      </c>
      <c r="X353" s="6">
        <v>0.48</v>
      </c>
      <c r="Y353" s="6">
        <v>0.17</v>
      </c>
      <c r="Z353" s="6">
        <v>0.7</v>
      </c>
      <c r="AA353" s="6">
        <f t="shared" ref="AA353:AA381" si="14">Y353*X353*Z353</f>
        <v>5.7119999999999997E-2</v>
      </c>
      <c r="AB353" s="8">
        <v>240</v>
      </c>
      <c r="AC353" s="15">
        <v>47897801302294</v>
      </c>
      <c r="AD353" s="4" t="s">
        <v>992</v>
      </c>
    </row>
    <row r="354" spans="2:30" x14ac:dyDescent="0.35">
      <c r="B354" s="14">
        <v>562</v>
      </c>
      <c r="C354" s="4" t="s">
        <v>359</v>
      </c>
      <c r="D354" s="4" t="s">
        <v>2377</v>
      </c>
      <c r="E354" s="4" t="s">
        <v>2911</v>
      </c>
      <c r="F354" s="4" t="s">
        <v>85</v>
      </c>
      <c r="G354" s="4" t="s">
        <v>993</v>
      </c>
      <c r="H354" s="6">
        <v>0.14360000000000001</v>
      </c>
      <c r="I354" s="8">
        <v>87</v>
      </c>
      <c r="J354" s="8">
        <v>58</v>
      </c>
      <c r="K354" s="8">
        <v>85</v>
      </c>
      <c r="L354" s="8">
        <f t="shared" si="11"/>
        <v>428910</v>
      </c>
      <c r="M354" s="15">
        <v>7897801302289</v>
      </c>
      <c r="N354" s="6" t="s">
        <v>20</v>
      </c>
      <c r="O354" s="6" t="s">
        <v>20</v>
      </c>
      <c r="P354" s="6" t="s">
        <v>20</v>
      </c>
      <c r="Q354" s="6">
        <v>0.2</v>
      </c>
      <c r="R354" s="6">
        <v>0.06</v>
      </c>
      <c r="S354" s="6">
        <v>0.28000000000000003</v>
      </c>
      <c r="T354" s="8">
        <v>10</v>
      </c>
      <c r="U354" s="5" t="s">
        <v>1002</v>
      </c>
      <c r="V354" s="89">
        <v>0</v>
      </c>
      <c r="W354" s="15">
        <v>17897801302286</v>
      </c>
      <c r="X354" s="6">
        <v>0.47</v>
      </c>
      <c r="Y354" s="6">
        <v>0.19</v>
      </c>
      <c r="Z354" s="6">
        <v>0.71</v>
      </c>
      <c r="AA354" s="6">
        <f t="shared" si="14"/>
        <v>6.3402999999999987E-2</v>
      </c>
      <c r="AB354" s="8">
        <v>150</v>
      </c>
      <c r="AC354" s="15">
        <v>47897801302287</v>
      </c>
      <c r="AD354" s="4" t="s">
        <v>992</v>
      </c>
    </row>
    <row r="355" spans="2:30" x14ac:dyDescent="0.35">
      <c r="B355" s="14">
        <v>563</v>
      </c>
      <c r="C355" s="4" t="s">
        <v>360</v>
      </c>
      <c r="D355" s="4" t="s">
        <v>2377</v>
      </c>
      <c r="E355" s="4" t="s">
        <v>2911</v>
      </c>
      <c r="F355" s="4" t="s">
        <v>85</v>
      </c>
      <c r="G355" s="4" t="s">
        <v>993</v>
      </c>
      <c r="H355" s="6">
        <v>0.21160000000000001</v>
      </c>
      <c r="I355" s="8">
        <v>99.5</v>
      </c>
      <c r="J355" s="8">
        <v>66</v>
      </c>
      <c r="K355" s="8">
        <v>96.5</v>
      </c>
      <c r="L355" s="8">
        <f t="shared" si="11"/>
        <v>633715.5</v>
      </c>
      <c r="M355" s="15">
        <v>7897801302760</v>
      </c>
      <c r="N355" s="6" t="s">
        <v>20</v>
      </c>
      <c r="O355" s="6" t="s">
        <v>20</v>
      </c>
      <c r="P355" s="6" t="s">
        <v>20</v>
      </c>
      <c r="Q355" s="6">
        <v>0.19</v>
      </c>
      <c r="R355" s="6">
        <v>0.08</v>
      </c>
      <c r="S355" s="6">
        <v>0.24</v>
      </c>
      <c r="T355" s="8">
        <v>5</v>
      </c>
      <c r="U355" s="5" t="s">
        <v>1002</v>
      </c>
      <c r="V355" s="89">
        <v>0</v>
      </c>
      <c r="W355" s="15">
        <v>17897801302767</v>
      </c>
      <c r="X355" s="6">
        <v>0.44</v>
      </c>
      <c r="Y355" s="6">
        <v>0.18</v>
      </c>
      <c r="Z355" s="6">
        <v>0.65</v>
      </c>
      <c r="AA355" s="6">
        <f t="shared" si="14"/>
        <v>5.1479999999999998E-2</v>
      </c>
      <c r="AB355" s="8">
        <v>100</v>
      </c>
      <c r="AC355" s="15">
        <v>47897801302768</v>
      </c>
      <c r="AD355" s="4" t="s">
        <v>992</v>
      </c>
    </row>
    <row r="356" spans="2:30" x14ac:dyDescent="0.35">
      <c r="B356" s="14">
        <v>564</v>
      </c>
      <c r="C356" s="4" t="s">
        <v>361</v>
      </c>
      <c r="D356" s="4" t="s">
        <v>2377</v>
      </c>
      <c r="E356" s="4" t="s">
        <v>2911</v>
      </c>
      <c r="F356" s="4" t="s">
        <v>85</v>
      </c>
      <c r="G356" s="4" t="s">
        <v>993</v>
      </c>
      <c r="H356" s="6">
        <v>0.30559999999999998</v>
      </c>
      <c r="I356" s="8">
        <v>110</v>
      </c>
      <c r="J356" s="8">
        <v>114</v>
      </c>
      <c r="K356" s="8">
        <v>110</v>
      </c>
      <c r="L356" s="8">
        <f t="shared" si="11"/>
        <v>1379400</v>
      </c>
      <c r="M356" s="15">
        <v>7897801306041</v>
      </c>
      <c r="N356" s="6" t="s">
        <v>20</v>
      </c>
      <c r="O356" s="6" t="s">
        <v>20</v>
      </c>
      <c r="P356" s="6" t="s">
        <v>20</v>
      </c>
      <c r="Q356" s="6">
        <v>0.19</v>
      </c>
      <c r="R356" s="6">
        <v>0.115</v>
      </c>
      <c r="S356" s="6">
        <v>0.3</v>
      </c>
      <c r="T356" s="8">
        <v>5</v>
      </c>
      <c r="U356" s="5" t="s">
        <v>1002</v>
      </c>
      <c r="V356" s="89">
        <v>0</v>
      </c>
      <c r="W356" s="15">
        <v>17897801306048</v>
      </c>
      <c r="X356" s="6">
        <v>0.46</v>
      </c>
      <c r="Y356" s="6">
        <v>0.22</v>
      </c>
      <c r="Z356" s="6">
        <v>0.65</v>
      </c>
      <c r="AA356" s="6">
        <f t="shared" si="14"/>
        <v>6.5780000000000005E-2</v>
      </c>
      <c r="AB356" s="8">
        <v>70</v>
      </c>
      <c r="AC356" s="15">
        <v>47897801306049</v>
      </c>
      <c r="AD356" s="4" t="s">
        <v>992</v>
      </c>
    </row>
    <row r="357" spans="2:30" x14ac:dyDescent="0.35">
      <c r="B357" s="14">
        <v>565</v>
      </c>
      <c r="C357" s="4" t="s">
        <v>362</v>
      </c>
      <c r="D357" s="4" t="s">
        <v>2377</v>
      </c>
      <c r="E357" s="4" t="s">
        <v>2911</v>
      </c>
      <c r="F357" s="4" t="s">
        <v>85</v>
      </c>
      <c r="G357" s="4" t="s">
        <v>993</v>
      </c>
      <c r="H357" s="6">
        <v>0.4929</v>
      </c>
      <c r="I357" s="8">
        <v>132.5</v>
      </c>
      <c r="J357" s="8">
        <v>92</v>
      </c>
      <c r="K357" s="8">
        <v>134.5</v>
      </c>
      <c r="L357" s="8">
        <f t="shared" si="11"/>
        <v>1639555</v>
      </c>
      <c r="M357" s="15">
        <v>7897801302319</v>
      </c>
      <c r="N357" s="6" t="s">
        <v>20</v>
      </c>
      <c r="O357" s="6" t="s">
        <v>20</v>
      </c>
      <c r="P357" s="6" t="s">
        <v>20</v>
      </c>
      <c r="Q357" s="6">
        <v>0.14499999999999999</v>
      </c>
      <c r="R357" s="6">
        <v>0.1</v>
      </c>
      <c r="S357" s="6">
        <v>0.25</v>
      </c>
      <c r="T357" s="8">
        <v>2</v>
      </c>
      <c r="U357" s="5" t="s">
        <v>1002</v>
      </c>
      <c r="V357" s="89">
        <v>0</v>
      </c>
      <c r="W357" s="15">
        <v>17897801302316</v>
      </c>
      <c r="X357" s="6">
        <v>0.48</v>
      </c>
      <c r="Y357" s="6">
        <v>0.21</v>
      </c>
      <c r="Z357" s="6">
        <v>0.75</v>
      </c>
      <c r="AA357" s="6">
        <f t="shared" si="14"/>
        <v>7.5599999999999987E-2</v>
      </c>
      <c r="AB357" s="8">
        <v>40</v>
      </c>
      <c r="AC357" s="15">
        <v>47897801302317</v>
      </c>
      <c r="AD357" s="4" t="s">
        <v>992</v>
      </c>
    </row>
    <row r="358" spans="2:30" x14ac:dyDescent="0.35">
      <c r="B358" s="14">
        <v>566</v>
      </c>
      <c r="C358" s="4" t="s">
        <v>363</v>
      </c>
      <c r="D358" s="4" t="s">
        <v>2377</v>
      </c>
      <c r="E358" s="4" t="s">
        <v>2911</v>
      </c>
      <c r="F358" s="4" t="s">
        <v>85</v>
      </c>
      <c r="G358" s="4" t="s">
        <v>993</v>
      </c>
      <c r="H358" s="6">
        <v>0.90190000000000003</v>
      </c>
      <c r="I358" s="8">
        <v>154</v>
      </c>
      <c r="J358" s="8">
        <v>161</v>
      </c>
      <c r="K358" s="8">
        <v>154</v>
      </c>
      <c r="L358" s="8">
        <f t="shared" si="11"/>
        <v>3818276</v>
      </c>
      <c r="M358" s="15">
        <v>7897801306065</v>
      </c>
      <c r="N358" s="6" t="s">
        <v>20</v>
      </c>
      <c r="O358" s="6" t="s">
        <v>20</v>
      </c>
      <c r="P358" s="6" t="s">
        <v>20</v>
      </c>
      <c r="Q358" s="6">
        <v>0.17</v>
      </c>
      <c r="R358" s="6">
        <v>0.13</v>
      </c>
      <c r="S358" s="6">
        <v>0.3</v>
      </c>
      <c r="T358" s="8">
        <v>2</v>
      </c>
      <c r="U358" s="5" t="s">
        <v>1002</v>
      </c>
      <c r="V358" s="89">
        <v>0</v>
      </c>
      <c r="W358" s="15">
        <v>17897801306062</v>
      </c>
      <c r="X358" s="6">
        <v>0.48</v>
      </c>
      <c r="Y358" s="6">
        <v>0.17</v>
      </c>
      <c r="Z358" s="6">
        <v>0.75</v>
      </c>
      <c r="AA358" s="6">
        <f t="shared" si="14"/>
        <v>6.1200000000000004E-2</v>
      </c>
      <c r="AB358" s="8">
        <v>20</v>
      </c>
      <c r="AC358" s="15">
        <v>47897801306063</v>
      </c>
      <c r="AD358" s="4" t="s">
        <v>992</v>
      </c>
    </row>
    <row r="359" spans="2:30" x14ac:dyDescent="0.35">
      <c r="B359" s="14">
        <v>567</v>
      </c>
      <c r="C359" s="4" t="s">
        <v>364</v>
      </c>
      <c r="D359" s="4" t="s">
        <v>2393</v>
      </c>
      <c r="E359" s="4" t="s">
        <v>2911</v>
      </c>
      <c r="F359" s="4" t="s">
        <v>85</v>
      </c>
      <c r="G359" s="4" t="s">
        <v>993</v>
      </c>
      <c r="H359" s="6">
        <v>6.5299999999999997E-2</v>
      </c>
      <c r="I359" s="8">
        <v>90</v>
      </c>
      <c r="J359" s="8">
        <v>50</v>
      </c>
      <c r="K359" s="8">
        <v>60</v>
      </c>
      <c r="L359" s="8">
        <f t="shared" si="11"/>
        <v>270000</v>
      </c>
      <c r="M359" s="15">
        <v>7897801317245</v>
      </c>
      <c r="N359" s="6" t="s">
        <v>20</v>
      </c>
      <c r="O359" s="6" t="s">
        <v>20</v>
      </c>
      <c r="P359" s="6" t="s">
        <v>20</v>
      </c>
      <c r="Q359" s="6">
        <v>0.17</v>
      </c>
      <c r="R359" s="6">
        <v>0.05</v>
      </c>
      <c r="S359" s="6">
        <v>0.22</v>
      </c>
      <c r="T359" s="8">
        <v>5</v>
      </c>
      <c r="U359" s="5" t="s">
        <v>1002</v>
      </c>
      <c r="V359" s="89">
        <v>0</v>
      </c>
      <c r="W359" s="15">
        <v>17897801317242</v>
      </c>
      <c r="X359" s="6">
        <v>0.5</v>
      </c>
      <c r="Y359" s="6">
        <v>0.15</v>
      </c>
      <c r="Z359" s="6">
        <v>0.75</v>
      </c>
      <c r="AA359" s="6">
        <f t="shared" si="14"/>
        <v>5.6249999999999994E-2</v>
      </c>
      <c r="AB359" s="8">
        <v>240</v>
      </c>
      <c r="AC359" s="15">
        <v>27897801317249</v>
      </c>
      <c r="AD359" s="4" t="s">
        <v>992</v>
      </c>
    </row>
    <row r="360" spans="2:30" x14ac:dyDescent="0.35">
      <c r="B360" s="14">
        <v>568</v>
      </c>
      <c r="C360" s="4" t="s">
        <v>365</v>
      </c>
      <c r="D360" s="4" t="s">
        <v>2393</v>
      </c>
      <c r="E360" s="4" t="s">
        <v>2911</v>
      </c>
      <c r="F360" s="4" t="s">
        <v>85</v>
      </c>
      <c r="G360" s="4" t="s">
        <v>993</v>
      </c>
      <c r="H360" s="6">
        <v>6.9699999999999998E-2</v>
      </c>
      <c r="I360" s="8">
        <v>90</v>
      </c>
      <c r="J360" s="8">
        <v>50</v>
      </c>
      <c r="K360" s="8">
        <v>60</v>
      </c>
      <c r="L360" s="8">
        <f t="shared" si="11"/>
        <v>270000</v>
      </c>
      <c r="M360" s="15">
        <v>7897801317252</v>
      </c>
      <c r="N360" s="6" t="s">
        <v>20</v>
      </c>
      <c r="O360" s="6" t="s">
        <v>20</v>
      </c>
      <c r="P360" s="6" t="s">
        <v>20</v>
      </c>
      <c r="Q360" s="6">
        <v>0.17</v>
      </c>
      <c r="R360" s="6">
        <v>0.05</v>
      </c>
      <c r="S360" s="6">
        <v>0.22</v>
      </c>
      <c r="T360" s="8">
        <v>5</v>
      </c>
      <c r="U360" s="5" t="s">
        <v>1002</v>
      </c>
      <c r="V360" s="89">
        <v>0</v>
      </c>
      <c r="W360" s="15">
        <v>17897801317259</v>
      </c>
      <c r="X360" s="6">
        <v>0.5</v>
      </c>
      <c r="Y360" s="6">
        <v>0.15</v>
      </c>
      <c r="Z360" s="6">
        <v>0.75</v>
      </c>
      <c r="AA360" s="6">
        <f t="shared" si="14"/>
        <v>5.6249999999999994E-2</v>
      </c>
      <c r="AB360" s="8">
        <v>240</v>
      </c>
      <c r="AC360" s="15">
        <v>27897801317256</v>
      </c>
      <c r="AD360" s="4" t="s">
        <v>992</v>
      </c>
    </row>
    <row r="361" spans="2:30" x14ac:dyDescent="0.35">
      <c r="B361" s="14">
        <v>569</v>
      </c>
      <c r="C361" s="4" t="s">
        <v>366</v>
      </c>
      <c r="D361" s="4" t="s">
        <v>2393</v>
      </c>
      <c r="E361" s="4" t="s">
        <v>2911</v>
      </c>
      <c r="F361" s="4" t="s">
        <v>85</v>
      </c>
      <c r="G361" s="4" t="s">
        <v>993</v>
      </c>
      <c r="H361" s="6">
        <v>3.1300000000000001E-2</v>
      </c>
      <c r="I361" s="8">
        <v>75</v>
      </c>
      <c r="J361" s="8">
        <v>50</v>
      </c>
      <c r="K361" s="8">
        <v>50</v>
      </c>
      <c r="L361" s="8">
        <f t="shared" si="11"/>
        <v>187500</v>
      </c>
      <c r="M361" s="15">
        <v>7897801317269</v>
      </c>
      <c r="N361" s="6" t="s">
        <v>20</v>
      </c>
      <c r="O361" s="6" t="s">
        <v>20</v>
      </c>
      <c r="P361" s="6" t="s">
        <v>20</v>
      </c>
      <c r="Q361" s="6">
        <v>0.14000000000000001</v>
      </c>
      <c r="R361" s="6">
        <v>0.05</v>
      </c>
      <c r="S361" s="6">
        <v>0.2</v>
      </c>
      <c r="T361" s="8">
        <v>5</v>
      </c>
      <c r="U361" s="5" t="s">
        <v>1002</v>
      </c>
      <c r="V361" s="89">
        <v>0</v>
      </c>
      <c r="W361" s="15">
        <v>17897801317266</v>
      </c>
      <c r="X361" s="6">
        <v>0.53</v>
      </c>
      <c r="Y361" s="6">
        <v>0.12</v>
      </c>
      <c r="Z361" s="6">
        <v>0.77</v>
      </c>
      <c r="AA361" s="6">
        <f t="shared" si="14"/>
        <v>4.8972000000000002E-2</v>
      </c>
      <c r="AB361" s="8">
        <v>400</v>
      </c>
      <c r="AC361" s="15">
        <v>27897801317263</v>
      </c>
      <c r="AD361" s="4" t="s">
        <v>992</v>
      </c>
    </row>
    <row r="362" spans="2:30" x14ac:dyDescent="0.35">
      <c r="B362" s="14">
        <v>570</v>
      </c>
      <c r="C362" s="4" t="s">
        <v>367</v>
      </c>
      <c r="D362" s="4" t="s">
        <v>2377</v>
      </c>
      <c r="E362" s="4" t="s">
        <v>2911</v>
      </c>
      <c r="F362" s="4" t="s">
        <v>85</v>
      </c>
      <c r="G362" s="4" t="s">
        <v>993</v>
      </c>
      <c r="H362" s="6">
        <v>8.9499999999999996E-2</v>
      </c>
      <c r="I362" s="8">
        <v>75</v>
      </c>
      <c r="J362" s="8">
        <v>48.5</v>
      </c>
      <c r="K362" s="8">
        <v>75</v>
      </c>
      <c r="L362" s="8">
        <f t="shared" si="11"/>
        <v>272812.5</v>
      </c>
      <c r="M362" s="15">
        <v>7897801302302</v>
      </c>
      <c r="N362" s="6" t="s">
        <v>20</v>
      </c>
      <c r="O362" s="6" t="s">
        <v>20</v>
      </c>
      <c r="P362" s="6" t="s">
        <v>20</v>
      </c>
      <c r="Q362" s="6">
        <v>0.16</v>
      </c>
      <c r="R362" s="6">
        <v>7.4999999999999997E-2</v>
      </c>
      <c r="S362" s="6">
        <v>0.24</v>
      </c>
      <c r="T362" s="8">
        <v>10</v>
      </c>
      <c r="U362" s="5" t="s">
        <v>1002</v>
      </c>
      <c r="V362" s="89">
        <v>0</v>
      </c>
      <c r="W362" s="15">
        <v>17897801302309</v>
      </c>
      <c r="X362" s="6">
        <v>0.48</v>
      </c>
      <c r="Y362" s="6">
        <v>0.17</v>
      </c>
      <c r="Z362" s="6">
        <v>0.7</v>
      </c>
      <c r="AA362" s="6">
        <f t="shared" si="14"/>
        <v>5.7119999999999997E-2</v>
      </c>
      <c r="AB362" s="8">
        <v>240</v>
      </c>
      <c r="AC362" s="15">
        <v>47897801302300</v>
      </c>
      <c r="AD362" s="4" t="s">
        <v>992</v>
      </c>
    </row>
    <row r="363" spans="2:30" x14ac:dyDescent="0.35">
      <c r="B363" s="14">
        <v>571</v>
      </c>
      <c r="C363" s="4" t="s">
        <v>368</v>
      </c>
      <c r="D363" s="4" t="s">
        <v>2377</v>
      </c>
      <c r="E363" s="4" t="s">
        <v>2911</v>
      </c>
      <c r="F363" s="4" t="s">
        <v>85</v>
      </c>
      <c r="G363" s="4" t="s">
        <v>993</v>
      </c>
      <c r="H363" s="6">
        <v>0.14860000000000001</v>
      </c>
      <c r="I363" s="8">
        <v>87</v>
      </c>
      <c r="J363" s="8">
        <v>58</v>
      </c>
      <c r="K363" s="8">
        <v>85</v>
      </c>
      <c r="L363" s="8">
        <f t="shared" si="11"/>
        <v>428910</v>
      </c>
      <c r="M363" s="15">
        <v>7897801302272</v>
      </c>
      <c r="N363" s="6" t="s">
        <v>20</v>
      </c>
      <c r="O363" s="6" t="s">
        <v>20</v>
      </c>
      <c r="P363" s="6" t="s">
        <v>20</v>
      </c>
      <c r="Q363" s="6">
        <v>0.21</v>
      </c>
      <c r="R363" s="6">
        <v>0.09</v>
      </c>
      <c r="S363" s="6">
        <v>0.32</v>
      </c>
      <c r="T363" s="8">
        <v>10</v>
      </c>
      <c r="U363" s="5" t="s">
        <v>1002</v>
      </c>
      <c r="V363" s="89">
        <v>0</v>
      </c>
      <c r="W363" s="15">
        <v>17897801302279</v>
      </c>
      <c r="X363" s="6">
        <v>0.5</v>
      </c>
      <c r="Y363" s="6">
        <v>0.17</v>
      </c>
      <c r="Z363" s="6">
        <v>0.73</v>
      </c>
      <c r="AA363" s="6">
        <f t="shared" si="14"/>
        <v>6.2050000000000001E-2</v>
      </c>
      <c r="AB363" s="8">
        <v>150</v>
      </c>
      <c r="AC363" s="15">
        <v>47897801302270</v>
      </c>
      <c r="AD363" s="4" t="s">
        <v>992</v>
      </c>
    </row>
    <row r="364" spans="2:30" x14ac:dyDescent="0.35">
      <c r="B364" s="14">
        <v>572</v>
      </c>
      <c r="C364" s="4" t="s">
        <v>369</v>
      </c>
      <c r="D364" s="4" t="s">
        <v>2377</v>
      </c>
      <c r="E364" s="4" t="s">
        <v>2911</v>
      </c>
      <c r="F364" s="4" t="s">
        <v>85</v>
      </c>
      <c r="G364" s="4" t="s">
        <v>993</v>
      </c>
      <c r="H364" s="6">
        <v>0.2195</v>
      </c>
      <c r="I364" s="8">
        <v>99.5</v>
      </c>
      <c r="J364" s="8">
        <v>66</v>
      </c>
      <c r="K364" s="8">
        <v>96.5</v>
      </c>
      <c r="L364" s="8">
        <f t="shared" si="11"/>
        <v>633715.5</v>
      </c>
      <c r="M364" s="15">
        <v>7897801302777</v>
      </c>
      <c r="N364" s="6" t="s">
        <v>20</v>
      </c>
      <c r="O364" s="6" t="s">
        <v>20</v>
      </c>
      <c r="P364" s="6" t="s">
        <v>20</v>
      </c>
      <c r="Q364" s="6">
        <v>0.22</v>
      </c>
      <c r="R364" s="6">
        <v>0.08</v>
      </c>
      <c r="S364" s="6">
        <v>0.27</v>
      </c>
      <c r="T364" s="8">
        <v>5</v>
      </c>
      <c r="U364" s="5" t="s">
        <v>1002</v>
      </c>
      <c r="V364" s="89">
        <v>0</v>
      </c>
      <c r="W364" s="15">
        <v>17897801302774</v>
      </c>
      <c r="X364" s="6">
        <v>0.49</v>
      </c>
      <c r="Y364" s="6">
        <v>0.21</v>
      </c>
      <c r="Z364" s="6">
        <v>0.78</v>
      </c>
      <c r="AA364" s="6">
        <f t="shared" si="14"/>
        <v>8.0262E-2</v>
      </c>
      <c r="AB364" s="8">
        <v>100</v>
      </c>
      <c r="AC364" s="15">
        <v>47897801302775</v>
      </c>
      <c r="AD364" s="4" t="s">
        <v>992</v>
      </c>
    </row>
    <row r="365" spans="2:30" x14ac:dyDescent="0.35">
      <c r="B365" s="14">
        <v>573</v>
      </c>
      <c r="C365" s="4" t="s">
        <v>370</v>
      </c>
      <c r="D365" s="4" t="s">
        <v>2377</v>
      </c>
      <c r="E365" s="4" t="s">
        <v>2911</v>
      </c>
      <c r="F365" s="4" t="s">
        <v>85</v>
      </c>
      <c r="G365" s="4" t="s">
        <v>993</v>
      </c>
      <c r="H365" s="6">
        <v>0.32390000000000002</v>
      </c>
      <c r="I365" s="8">
        <v>110</v>
      </c>
      <c r="J365" s="8">
        <v>114</v>
      </c>
      <c r="K365" s="8">
        <v>110</v>
      </c>
      <c r="L365" s="8">
        <f t="shared" si="11"/>
        <v>1379400</v>
      </c>
      <c r="M365" s="15">
        <v>7897801306058</v>
      </c>
      <c r="N365" s="6" t="s">
        <v>20</v>
      </c>
      <c r="O365" s="6" t="s">
        <v>20</v>
      </c>
      <c r="P365" s="6" t="s">
        <v>20</v>
      </c>
      <c r="Q365" s="6">
        <v>0.19</v>
      </c>
      <c r="R365" s="6">
        <v>0.115</v>
      </c>
      <c r="S365" s="6">
        <v>0.3</v>
      </c>
      <c r="T365" s="8">
        <v>5</v>
      </c>
      <c r="U365" s="5" t="s">
        <v>1002</v>
      </c>
      <c r="V365" s="89">
        <v>0</v>
      </c>
      <c r="W365" s="15">
        <v>17897801306055</v>
      </c>
      <c r="X365" s="6">
        <v>0.46</v>
      </c>
      <c r="Y365" s="6">
        <v>0.22</v>
      </c>
      <c r="Z365" s="6">
        <v>0.65</v>
      </c>
      <c r="AA365" s="6">
        <f t="shared" si="14"/>
        <v>6.5780000000000005E-2</v>
      </c>
      <c r="AB365" s="8">
        <v>75</v>
      </c>
      <c r="AC365" s="15">
        <v>47897801306056</v>
      </c>
      <c r="AD365" s="4" t="s">
        <v>992</v>
      </c>
    </row>
    <row r="366" spans="2:30" x14ac:dyDescent="0.35">
      <c r="B366" s="14">
        <v>574</v>
      </c>
      <c r="C366" s="4" t="s">
        <v>371</v>
      </c>
      <c r="D366" s="4" t="s">
        <v>2377</v>
      </c>
      <c r="E366" s="4" t="s">
        <v>2911</v>
      </c>
      <c r="F366" s="4" t="s">
        <v>85</v>
      </c>
      <c r="G366" s="4" t="s">
        <v>993</v>
      </c>
      <c r="H366" s="6">
        <v>0.52</v>
      </c>
      <c r="I366" s="8">
        <v>132.5</v>
      </c>
      <c r="J366" s="8">
        <v>92</v>
      </c>
      <c r="K366" s="8">
        <v>134.5</v>
      </c>
      <c r="L366" s="8">
        <f t="shared" si="11"/>
        <v>1639555</v>
      </c>
      <c r="M366" s="15">
        <v>7897801302326</v>
      </c>
      <c r="N366" s="6" t="s">
        <v>20</v>
      </c>
      <c r="O366" s="6" t="s">
        <v>20</v>
      </c>
      <c r="P366" s="6" t="s">
        <v>20</v>
      </c>
      <c r="Q366" s="6">
        <v>0.14000000000000001</v>
      </c>
      <c r="R366" s="6">
        <v>0.1</v>
      </c>
      <c r="S366" s="6">
        <v>0.21</v>
      </c>
      <c r="T366" s="8">
        <v>2</v>
      </c>
      <c r="U366" s="5" t="s">
        <v>1002</v>
      </c>
      <c r="V366" s="89">
        <v>0</v>
      </c>
      <c r="W366" s="15">
        <v>17897801302323</v>
      </c>
      <c r="X366" s="6">
        <v>0.45</v>
      </c>
      <c r="Y366" s="6">
        <v>0.21</v>
      </c>
      <c r="Z366" s="6">
        <v>0.65</v>
      </c>
      <c r="AA366" s="6">
        <f t="shared" si="14"/>
        <v>6.1425E-2</v>
      </c>
      <c r="AB366" s="8">
        <v>40</v>
      </c>
      <c r="AC366" s="15">
        <v>47897801302324</v>
      </c>
      <c r="AD366" s="4" t="s">
        <v>992</v>
      </c>
    </row>
    <row r="367" spans="2:30" x14ac:dyDescent="0.35">
      <c r="B367" s="14">
        <v>575</v>
      </c>
      <c r="C367" s="4" t="s">
        <v>372</v>
      </c>
      <c r="D367" s="4" t="s">
        <v>2377</v>
      </c>
      <c r="E367" s="4" t="s">
        <v>2911</v>
      </c>
      <c r="F367" s="4" t="s">
        <v>85</v>
      </c>
      <c r="G367" s="4" t="s">
        <v>993</v>
      </c>
      <c r="H367" s="6">
        <v>0.95660000000000001</v>
      </c>
      <c r="I367" s="8">
        <v>154</v>
      </c>
      <c r="J367" s="8">
        <v>161</v>
      </c>
      <c r="K367" s="8">
        <v>154</v>
      </c>
      <c r="L367" s="8">
        <f t="shared" ref="L367:L398" si="15">J367*I367*K367</f>
        <v>3818276</v>
      </c>
      <c r="M367" s="15">
        <v>7897801306072</v>
      </c>
      <c r="N367" s="6" t="s">
        <v>20</v>
      </c>
      <c r="O367" s="6" t="s">
        <v>20</v>
      </c>
      <c r="P367" s="6" t="s">
        <v>20</v>
      </c>
      <c r="Q367" s="6">
        <v>0.2</v>
      </c>
      <c r="R367" s="6">
        <v>0.11</v>
      </c>
      <c r="S367" s="6">
        <v>0.31</v>
      </c>
      <c r="T367" s="8">
        <v>2</v>
      </c>
      <c r="U367" s="5" t="s">
        <v>1002</v>
      </c>
      <c r="V367" s="89">
        <v>0</v>
      </c>
      <c r="W367" s="15">
        <v>17897801306079</v>
      </c>
      <c r="X367" s="6">
        <v>0.5</v>
      </c>
      <c r="Y367" s="6">
        <v>0.16</v>
      </c>
      <c r="Z367" s="6">
        <v>0.72</v>
      </c>
      <c r="AA367" s="6">
        <f t="shared" si="14"/>
        <v>5.7599999999999998E-2</v>
      </c>
      <c r="AB367" s="8">
        <v>20</v>
      </c>
      <c r="AC367" s="15">
        <v>47897801306070</v>
      </c>
      <c r="AD367" s="4" t="s">
        <v>992</v>
      </c>
    </row>
    <row r="368" spans="2:30" x14ac:dyDescent="0.35">
      <c r="B368" s="14">
        <v>577</v>
      </c>
      <c r="C368" s="4" t="s">
        <v>373</v>
      </c>
      <c r="D368" s="4" t="s">
        <v>2415</v>
      </c>
      <c r="E368" s="4" t="s">
        <v>2911</v>
      </c>
      <c r="F368" s="4" t="s">
        <v>85</v>
      </c>
      <c r="G368" s="4" t="s">
        <v>993</v>
      </c>
      <c r="H368" s="6">
        <v>3.6999999999999998E-2</v>
      </c>
      <c r="I368" s="8">
        <v>53</v>
      </c>
      <c r="J368" s="8">
        <v>59</v>
      </c>
      <c r="K368" s="8">
        <v>53</v>
      </c>
      <c r="L368" s="8">
        <f t="shared" si="15"/>
        <v>165731</v>
      </c>
      <c r="M368" s="15">
        <v>7897801307482</v>
      </c>
      <c r="N368" s="6" t="s">
        <v>20</v>
      </c>
      <c r="O368" s="6" t="s">
        <v>20</v>
      </c>
      <c r="P368" s="6" t="s">
        <v>20</v>
      </c>
      <c r="Q368" s="6">
        <v>0.2</v>
      </c>
      <c r="R368" s="6">
        <v>0.05</v>
      </c>
      <c r="S368" s="6">
        <v>0.3</v>
      </c>
      <c r="T368" s="8">
        <v>20</v>
      </c>
      <c r="U368" s="5" t="s">
        <v>1002</v>
      </c>
      <c r="V368" s="89">
        <v>0</v>
      </c>
      <c r="W368" s="15">
        <v>17897801307489</v>
      </c>
      <c r="X368" s="6">
        <v>0.52</v>
      </c>
      <c r="Y368" s="6">
        <v>0.13</v>
      </c>
      <c r="Z368" s="6">
        <v>0.78</v>
      </c>
      <c r="AA368" s="6">
        <f t="shared" si="14"/>
        <v>5.2728000000000004E-2</v>
      </c>
      <c r="AB368" s="8">
        <v>480</v>
      </c>
      <c r="AC368" s="15">
        <v>27897801307486</v>
      </c>
      <c r="AD368" s="4" t="s">
        <v>992</v>
      </c>
    </row>
    <row r="369" spans="2:30" x14ac:dyDescent="0.35">
      <c r="B369" s="14">
        <v>578</v>
      </c>
      <c r="C369" s="4" t="s">
        <v>374</v>
      </c>
      <c r="D369" s="4" t="s">
        <v>2415</v>
      </c>
      <c r="E369" s="4" t="s">
        <v>2911</v>
      </c>
      <c r="F369" s="4" t="s">
        <v>85</v>
      </c>
      <c r="G369" s="4" t="s">
        <v>993</v>
      </c>
      <c r="H369" s="6">
        <v>4.9299999999999997E-2</v>
      </c>
      <c r="I369" s="8">
        <v>57</v>
      </c>
      <c r="J369" s="8">
        <v>63</v>
      </c>
      <c r="K369" s="8">
        <v>57</v>
      </c>
      <c r="L369" s="8">
        <f t="shared" si="15"/>
        <v>204687</v>
      </c>
      <c r="M369" s="15">
        <v>7897801307499</v>
      </c>
      <c r="N369" s="6" t="s">
        <v>20</v>
      </c>
      <c r="O369" s="6" t="s">
        <v>20</v>
      </c>
      <c r="P369" s="6" t="s">
        <v>20</v>
      </c>
      <c r="Q369" s="6">
        <v>0.2</v>
      </c>
      <c r="R369" s="6">
        <v>0.06</v>
      </c>
      <c r="S369" s="6">
        <v>0.3</v>
      </c>
      <c r="T369" s="8">
        <v>20</v>
      </c>
      <c r="U369" s="5" t="s">
        <v>1002</v>
      </c>
      <c r="V369" s="89">
        <v>0</v>
      </c>
      <c r="W369" s="15">
        <v>17897801307496</v>
      </c>
      <c r="X369" s="6">
        <v>0.52</v>
      </c>
      <c r="Y369" s="6">
        <v>0.16</v>
      </c>
      <c r="Z369" s="6">
        <v>0.78</v>
      </c>
      <c r="AA369" s="6">
        <f t="shared" si="14"/>
        <v>6.4896000000000009E-2</v>
      </c>
      <c r="AB369" s="8">
        <v>400</v>
      </c>
      <c r="AC369" s="15">
        <v>27897801307493</v>
      </c>
      <c r="AD369" s="4" t="s">
        <v>992</v>
      </c>
    </row>
    <row r="370" spans="2:30" x14ac:dyDescent="0.35">
      <c r="B370" s="14">
        <v>581</v>
      </c>
      <c r="C370" s="4" t="s">
        <v>375</v>
      </c>
      <c r="D370" s="4" t="s">
        <v>2393</v>
      </c>
      <c r="E370" s="4" t="s">
        <v>2911</v>
      </c>
      <c r="F370" s="4" t="s">
        <v>85</v>
      </c>
      <c r="G370" s="4" t="s">
        <v>993</v>
      </c>
      <c r="H370" s="6">
        <v>6.4899999999999999E-2</v>
      </c>
      <c r="I370" s="8">
        <v>61</v>
      </c>
      <c r="J370" s="8">
        <v>90</v>
      </c>
      <c r="K370" s="8">
        <v>41</v>
      </c>
      <c r="L370" s="8">
        <f t="shared" si="15"/>
        <v>225090</v>
      </c>
      <c r="M370" s="15">
        <v>7897801300414</v>
      </c>
      <c r="N370" s="6" t="s">
        <v>20</v>
      </c>
      <c r="O370" s="6" t="s">
        <v>20</v>
      </c>
      <c r="P370" s="6" t="s">
        <v>20</v>
      </c>
      <c r="Q370" s="6">
        <v>0.17</v>
      </c>
      <c r="R370" s="6">
        <v>0.05</v>
      </c>
      <c r="S370" s="6">
        <v>0.22</v>
      </c>
      <c r="T370" s="8">
        <v>5</v>
      </c>
      <c r="U370" s="5" t="s">
        <v>1002</v>
      </c>
      <c r="V370" s="89">
        <v>0</v>
      </c>
      <c r="W370" s="15">
        <v>17897801300411</v>
      </c>
      <c r="X370" s="6">
        <v>0.5</v>
      </c>
      <c r="Y370" s="6">
        <v>0.15</v>
      </c>
      <c r="Z370" s="6">
        <v>0.75</v>
      </c>
      <c r="AA370" s="6">
        <f t="shared" si="14"/>
        <v>5.6249999999999994E-2</v>
      </c>
      <c r="AB370" s="8">
        <v>240</v>
      </c>
      <c r="AC370" s="15">
        <v>27897801300418</v>
      </c>
      <c r="AD370" s="4" t="s">
        <v>992</v>
      </c>
    </row>
    <row r="371" spans="2:30" x14ac:dyDescent="0.35">
      <c r="B371" s="14">
        <v>582</v>
      </c>
      <c r="C371" s="4" t="s">
        <v>376</v>
      </c>
      <c r="D371" s="4" t="s">
        <v>2393</v>
      </c>
      <c r="E371" s="4" t="s">
        <v>2911</v>
      </c>
      <c r="F371" s="4" t="s">
        <v>85</v>
      </c>
      <c r="G371" s="4" t="s">
        <v>993</v>
      </c>
      <c r="H371" s="6">
        <v>6.93E-2</v>
      </c>
      <c r="I371" s="8">
        <v>64</v>
      </c>
      <c r="J371" s="8">
        <v>93</v>
      </c>
      <c r="K371" s="8">
        <v>48</v>
      </c>
      <c r="L371" s="8">
        <f t="shared" si="15"/>
        <v>285696</v>
      </c>
      <c r="M371" s="15">
        <v>7897801300421</v>
      </c>
      <c r="N371" s="6" t="s">
        <v>20</v>
      </c>
      <c r="O371" s="6" t="s">
        <v>20</v>
      </c>
      <c r="P371" s="6" t="s">
        <v>20</v>
      </c>
      <c r="Q371" s="6">
        <v>0.17</v>
      </c>
      <c r="R371" s="6">
        <v>0.06</v>
      </c>
      <c r="S371" s="6">
        <v>0.21</v>
      </c>
      <c r="T371" s="8">
        <v>5</v>
      </c>
      <c r="U371" s="5" t="s">
        <v>1002</v>
      </c>
      <c r="V371" s="89">
        <v>0</v>
      </c>
      <c r="W371" s="15">
        <v>17897801300428</v>
      </c>
      <c r="X371" s="6">
        <v>0.48</v>
      </c>
      <c r="Y371" s="6">
        <v>0.18</v>
      </c>
      <c r="Z371" s="6">
        <v>0.7</v>
      </c>
      <c r="AA371" s="6">
        <f t="shared" si="14"/>
        <v>6.0479999999999992E-2</v>
      </c>
      <c r="AB371" s="8">
        <v>240</v>
      </c>
      <c r="AC371" s="15">
        <v>27897801300425</v>
      </c>
      <c r="AD371" s="4" t="s">
        <v>992</v>
      </c>
    </row>
    <row r="372" spans="2:30" x14ac:dyDescent="0.35">
      <c r="B372" s="14">
        <v>583</v>
      </c>
      <c r="C372" s="4" t="s">
        <v>377</v>
      </c>
      <c r="D372" s="4" t="s">
        <v>2393</v>
      </c>
      <c r="E372" s="4" t="s">
        <v>2911</v>
      </c>
      <c r="F372" s="4" t="s">
        <v>85</v>
      </c>
      <c r="G372" s="4" t="s">
        <v>993</v>
      </c>
      <c r="H372" s="6">
        <v>3.2300000000000002E-2</v>
      </c>
      <c r="I372" s="8">
        <v>55</v>
      </c>
      <c r="J372" s="8">
        <v>30</v>
      </c>
      <c r="K372" s="8">
        <v>60</v>
      </c>
      <c r="L372" s="8">
        <f t="shared" si="15"/>
        <v>99000</v>
      </c>
      <c r="M372" s="15">
        <v>7897801313360</v>
      </c>
      <c r="N372" s="6" t="s">
        <v>20</v>
      </c>
      <c r="O372" s="6" t="s">
        <v>20</v>
      </c>
      <c r="P372" s="6" t="s">
        <v>20</v>
      </c>
      <c r="Q372" s="6">
        <v>0.2</v>
      </c>
      <c r="R372" s="6">
        <v>0.04</v>
      </c>
      <c r="S372" s="6">
        <v>0.24</v>
      </c>
      <c r="T372" s="8">
        <v>20</v>
      </c>
      <c r="U372" s="5" t="s">
        <v>1002</v>
      </c>
      <c r="V372" s="89">
        <v>0</v>
      </c>
      <c r="W372" s="15">
        <v>17897801313367</v>
      </c>
      <c r="X372" s="6">
        <v>0.5</v>
      </c>
      <c r="Y372" s="6">
        <v>0.16</v>
      </c>
      <c r="Z372" s="6">
        <v>0.7</v>
      </c>
      <c r="AA372" s="6">
        <f t="shared" si="14"/>
        <v>5.5999999999999994E-2</v>
      </c>
      <c r="AB372" s="8">
        <v>640</v>
      </c>
      <c r="AC372" s="15">
        <v>27897801313364</v>
      </c>
      <c r="AD372" s="4" t="s">
        <v>992</v>
      </c>
    </row>
    <row r="373" spans="2:30" x14ac:dyDescent="0.35">
      <c r="B373" s="14">
        <v>584</v>
      </c>
      <c r="C373" s="4" t="s">
        <v>378</v>
      </c>
      <c r="D373" s="4" t="s">
        <v>2393</v>
      </c>
      <c r="E373" s="4" t="s">
        <v>2911</v>
      </c>
      <c r="F373" s="4" t="s">
        <v>85</v>
      </c>
      <c r="G373" s="4" t="s">
        <v>993</v>
      </c>
      <c r="H373" s="6">
        <v>4.7399999999999998E-2</v>
      </c>
      <c r="I373" s="8">
        <v>70</v>
      </c>
      <c r="J373" s="8">
        <v>60</v>
      </c>
      <c r="K373" s="8">
        <v>30</v>
      </c>
      <c r="L373" s="8">
        <f t="shared" si="15"/>
        <v>126000</v>
      </c>
      <c r="M373" s="15">
        <v>7897801313698</v>
      </c>
      <c r="N373" s="6" t="s">
        <v>20</v>
      </c>
      <c r="O373" s="6" t="s">
        <v>20</v>
      </c>
      <c r="P373" s="6" t="s">
        <v>20</v>
      </c>
      <c r="Q373" s="6">
        <v>0.18</v>
      </c>
      <c r="R373" s="6">
        <v>6.5000000000000002E-2</v>
      </c>
      <c r="S373" s="6">
        <v>0.24</v>
      </c>
      <c r="T373" s="8">
        <v>20</v>
      </c>
      <c r="U373" s="5" t="s">
        <v>1002</v>
      </c>
      <c r="V373" s="89">
        <v>0</v>
      </c>
      <c r="W373" s="15">
        <v>17897801313695</v>
      </c>
      <c r="X373" s="6">
        <v>0.52</v>
      </c>
      <c r="Y373" s="6">
        <v>0.16</v>
      </c>
      <c r="Z373" s="6">
        <v>0.78</v>
      </c>
      <c r="AA373" s="6">
        <f t="shared" si="14"/>
        <v>6.4896000000000009E-2</v>
      </c>
      <c r="AB373" s="8">
        <v>480</v>
      </c>
      <c r="AC373" s="15">
        <v>27897801313692</v>
      </c>
      <c r="AD373" s="4" t="s">
        <v>992</v>
      </c>
    </row>
    <row r="374" spans="2:30" x14ac:dyDescent="0.35">
      <c r="B374" s="14">
        <v>585</v>
      </c>
      <c r="C374" s="4" t="s">
        <v>379</v>
      </c>
      <c r="D374" s="4" t="s">
        <v>2393</v>
      </c>
      <c r="E374" s="4" t="s">
        <v>2911</v>
      </c>
      <c r="F374" s="4" t="s">
        <v>85</v>
      </c>
      <c r="G374" s="4" t="s">
        <v>993</v>
      </c>
      <c r="H374" s="6">
        <v>3.04E-2</v>
      </c>
      <c r="I374" s="8">
        <v>48</v>
      </c>
      <c r="J374" s="8">
        <v>75</v>
      </c>
      <c r="K374" s="8">
        <v>48</v>
      </c>
      <c r="L374" s="8">
        <f t="shared" si="15"/>
        <v>172800</v>
      </c>
      <c r="M374" s="15">
        <v>7897801300476</v>
      </c>
      <c r="N374" s="6" t="s">
        <v>20</v>
      </c>
      <c r="O374" s="6" t="s">
        <v>20</v>
      </c>
      <c r="P374" s="6" t="s">
        <v>20</v>
      </c>
      <c r="Q374" s="6">
        <v>0.17</v>
      </c>
      <c r="R374" s="6">
        <v>0.05</v>
      </c>
      <c r="S374" s="6">
        <v>0.2</v>
      </c>
      <c r="T374" s="8">
        <v>5</v>
      </c>
      <c r="U374" s="5" t="s">
        <v>1002</v>
      </c>
      <c r="V374" s="89">
        <v>0</v>
      </c>
      <c r="W374" s="15">
        <v>17897801300473</v>
      </c>
      <c r="X374" s="6">
        <v>0.53</v>
      </c>
      <c r="Y374" s="6">
        <v>0.12</v>
      </c>
      <c r="Z374" s="6">
        <v>0.77</v>
      </c>
      <c r="AA374" s="6">
        <f t="shared" si="14"/>
        <v>4.8972000000000002E-2</v>
      </c>
      <c r="AB374" s="8">
        <v>400</v>
      </c>
      <c r="AC374" s="15">
        <v>27897801300470</v>
      </c>
      <c r="AD374" s="4" t="s">
        <v>992</v>
      </c>
    </row>
    <row r="375" spans="2:30" x14ac:dyDescent="0.35">
      <c r="B375" s="14">
        <v>587</v>
      </c>
      <c r="C375" s="4" t="s">
        <v>380</v>
      </c>
      <c r="D375" s="4" t="s">
        <v>2371</v>
      </c>
      <c r="E375" s="4" t="s">
        <v>2911</v>
      </c>
      <c r="F375" s="4" t="s">
        <v>85</v>
      </c>
      <c r="G375" s="4" t="s">
        <v>993</v>
      </c>
      <c r="H375" s="6">
        <v>9.9900000000000003E-2</v>
      </c>
      <c r="I375" s="8">
        <v>74</v>
      </c>
      <c r="J375" s="8">
        <v>77</v>
      </c>
      <c r="K375" s="8">
        <v>74</v>
      </c>
      <c r="L375" s="8">
        <f t="shared" si="15"/>
        <v>421652</v>
      </c>
      <c r="M375" s="15">
        <v>7897801312004</v>
      </c>
      <c r="N375" s="6" t="s">
        <v>20</v>
      </c>
      <c r="O375" s="6" t="s">
        <v>20</v>
      </c>
      <c r="P375" s="6" t="s">
        <v>20</v>
      </c>
      <c r="Q375" s="6">
        <v>0.2</v>
      </c>
      <c r="R375" s="6">
        <v>0.08</v>
      </c>
      <c r="S375" s="6">
        <v>0.3</v>
      </c>
      <c r="T375" s="8">
        <v>10</v>
      </c>
      <c r="U375" s="5" t="s">
        <v>994</v>
      </c>
      <c r="V375" s="89">
        <v>0</v>
      </c>
      <c r="W375" s="15">
        <v>17897801312001</v>
      </c>
      <c r="X375" s="6">
        <v>0.45</v>
      </c>
      <c r="Y375" s="6">
        <v>0.18</v>
      </c>
      <c r="Z375" s="6">
        <v>0.7</v>
      </c>
      <c r="AA375" s="6">
        <f t="shared" si="14"/>
        <v>5.67E-2</v>
      </c>
      <c r="AB375" s="8">
        <v>120</v>
      </c>
      <c r="AC375" s="15">
        <v>27897801312008</v>
      </c>
      <c r="AD375" s="4" t="s">
        <v>992</v>
      </c>
    </row>
    <row r="376" spans="2:30" x14ac:dyDescent="0.35">
      <c r="B376" s="14">
        <v>588</v>
      </c>
      <c r="C376" s="4" t="s">
        <v>381</v>
      </c>
      <c r="D376" s="4" t="s">
        <v>2371</v>
      </c>
      <c r="E376" s="4" t="s">
        <v>2911</v>
      </c>
      <c r="F376" s="4" t="s">
        <v>85</v>
      </c>
      <c r="G376" s="4" t="s">
        <v>993</v>
      </c>
      <c r="H376" s="6">
        <v>0.18390000000000001</v>
      </c>
      <c r="I376" s="8">
        <v>90</v>
      </c>
      <c r="J376" s="8">
        <v>90</v>
      </c>
      <c r="K376" s="8">
        <v>90</v>
      </c>
      <c r="L376" s="8">
        <f t="shared" si="15"/>
        <v>729000</v>
      </c>
      <c r="M376" s="15">
        <v>7897801312011</v>
      </c>
      <c r="N376" s="6" t="s">
        <v>20</v>
      </c>
      <c r="O376" s="6" t="s">
        <v>20</v>
      </c>
      <c r="P376" s="6" t="s">
        <v>20</v>
      </c>
      <c r="Q376" s="6">
        <v>0.19</v>
      </c>
      <c r="R376" s="6">
        <v>0.09</v>
      </c>
      <c r="S376" s="6">
        <v>0.25</v>
      </c>
      <c r="T376" s="8">
        <v>8</v>
      </c>
      <c r="U376" s="5" t="s">
        <v>994</v>
      </c>
      <c r="V376" s="89">
        <v>0</v>
      </c>
      <c r="W376" s="15">
        <v>17897801312018</v>
      </c>
      <c r="X376" s="6">
        <v>0.45</v>
      </c>
      <c r="Y376" s="6">
        <v>0.2</v>
      </c>
      <c r="Z376" s="6">
        <v>0.6</v>
      </c>
      <c r="AA376" s="6">
        <f t="shared" si="14"/>
        <v>5.4000000000000006E-2</v>
      </c>
      <c r="AB376" s="8">
        <v>96</v>
      </c>
      <c r="AC376" s="15">
        <v>27897801312015</v>
      </c>
      <c r="AD376" s="4" t="s">
        <v>992</v>
      </c>
    </row>
    <row r="377" spans="2:30" x14ac:dyDescent="0.35">
      <c r="B377" s="14">
        <v>589</v>
      </c>
      <c r="C377" s="4" t="s">
        <v>382</v>
      </c>
      <c r="D377" s="4" t="s">
        <v>2371</v>
      </c>
      <c r="E377" s="4" t="s">
        <v>2911</v>
      </c>
      <c r="F377" s="4" t="s">
        <v>85</v>
      </c>
      <c r="G377" s="4" t="s">
        <v>993</v>
      </c>
      <c r="H377" s="6">
        <v>0.39710000000000001</v>
      </c>
      <c r="I377" s="8">
        <v>130</v>
      </c>
      <c r="J377" s="8">
        <v>130</v>
      </c>
      <c r="K377" s="8">
        <v>130</v>
      </c>
      <c r="L377" s="8">
        <f t="shared" si="15"/>
        <v>2197000</v>
      </c>
      <c r="M377" s="15">
        <v>7897801312127</v>
      </c>
      <c r="N377" s="6" t="s">
        <v>20</v>
      </c>
      <c r="O377" s="6" t="s">
        <v>20</v>
      </c>
      <c r="P377" s="6" t="s">
        <v>20</v>
      </c>
      <c r="Q377" s="6">
        <v>0.21</v>
      </c>
      <c r="R377" s="6">
        <v>0.13</v>
      </c>
      <c r="S377" s="6">
        <v>0.26</v>
      </c>
      <c r="T377" s="8">
        <v>4</v>
      </c>
      <c r="U377" s="5" t="s">
        <v>994</v>
      </c>
      <c r="V377" s="89">
        <v>0</v>
      </c>
      <c r="W377" s="15">
        <v>17897801312124</v>
      </c>
      <c r="X377" s="6">
        <v>0.42</v>
      </c>
      <c r="Y377" s="6">
        <v>0.26500000000000001</v>
      </c>
      <c r="Z377" s="6">
        <v>0.68</v>
      </c>
      <c r="AA377" s="6">
        <f t="shared" si="14"/>
        <v>7.5684000000000001E-2</v>
      </c>
      <c r="AB377" s="8">
        <v>36</v>
      </c>
      <c r="AC377" s="15">
        <v>27897801312121</v>
      </c>
      <c r="AD377" s="4" t="s">
        <v>992</v>
      </c>
    </row>
    <row r="378" spans="2:30" x14ac:dyDescent="0.35">
      <c r="B378" s="14">
        <v>592</v>
      </c>
      <c r="C378" s="4" t="s">
        <v>383</v>
      </c>
      <c r="D378" s="4" t="s">
        <v>2411</v>
      </c>
      <c r="E378" s="4" t="s">
        <v>2913</v>
      </c>
      <c r="F378" s="4" t="s">
        <v>85</v>
      </c>
      <c r="G378" s="4" t="s">
        <v>993</v>
      </c>
      <c r="H378" s="6">
        <v>2.8199999999999999E-2</v>
      </c>
      <c r="I378" s="8">
        <v>50.7</v>
      </c>
      <c r="J378" s="8">
        <v>50.7</v>
      </c>
      <c r="K378" s="8">
        <v>65</v>
      </c>
      <c r="L378" s="8">
        <f t="shared" si="15"/>
        <v>167081.85</v>
      </c>
      <c r="M378" s="15">
        <v>7897801300285</v>
      </c>
      <c r="N378" s="6" t="s">
        <v>20</v>
      </c>
      <c r="O378" s="6" t="s">
        <v>20</v>
      </c>
      <c r="P378" s="6" t="s">
        <v>20</v>
      </c>
      <c r="Q378" s="6">
        <v>0.28000000000000003</v>
      </c>
      <c r="R378" s="6">
        <v>0.1</v>
      </c>
      <c r="S378" s="6">
        <v>0.33</v>
      </c>
      <c r="T378" s="8">
        <v>25</v>
      </c>
      <c r="U378" s="5" t="s">
        <v>994</v>
      </c>
      <c r="V378" s="89">
        <v>0</v>
      </c>
      <c r="W378" s="15">
        <v>17897801300282</v>
      </c>
      <c r="X378" s="6">
        <v>0.57999999999999996</v>
      </c>
      <c r="Y378" s="6">
        <v>0.17</v>
      </c>
      <c r="Z378" s="6">
        <v>0.8</v>
      </c>
      <c r="AA378" s="6">
        <f t="shared" si="14"/>
        <v>7.8880000000000006E-2</v>
      </c>
      <c r="AB378" s="8">
        <v>400</v>
      </c>
      <c r="AC378" s="15">
        <v>27897801300289</v>
      </c>
      <c r="AD378" s="4" t="s">
        <v>992</v>
      </c>
    </row>
    <row r="379" spans="2:30" x14ac:dyDescent="0.35">
      <c r="B379" s="14">
        <v>593</v>
      </c>
      <c r="C379" s="4" t="s">
        <v>384</v>
      </c>
      <c r="D379" s="4" t="s">
        <v>2411</v>
      </c>
      <c r="E379" s="4" t="s">
        <v>2913</v>
      </c>
      <c r="F379" s="4" t="s">
        <v>85</v>
      </c>
      <c r="G379" s="4" t="s">
        <v>993</v>
      </c>
      <c r="H379" s="6">
        <v>1.4E-2</v>
      </c>
      <c r="I379" s="8">
        <v>48</v>
      </c>
      <c r="J379" s="8">
        <v>21</v>
      </c>
      <c r="K379" s="8">
        <v>48</v>
      </c>
      <c r="L379" s="8">
        <f t="shared" si="15"/>
        <v>48384</v>
      </c>
      <c r="M379" s="15">
        <v>7897801301411</v>
      </c>
      <c r="N379" s="6" t="s">
        <v>20</v>
      </c>
      <c r="O379" s="6" t="s">
        <v>20</v>
      </c>
      <c r="P379" s="6" t="s">
        <v>20</v>
      </c>
      <c r="Q379" s="6">
        <v>0.17</v>
      </c>
      <c r="R379" s="6">
        <v>0.05</v>
      </c>
      <c r="S379" s="6">
        <v>0.18</v>
      </c>
      <c r="T379" s="8">
        <v>10</v>
      </c>
      <c r="U379" s="5" t="s">
        <v>994</v>
      </c>
      <c r="V379" s="89">
        <v>0</v>
      </c>
      <c r="W379" s="15">
        <v>17897801301418</v>
      </c>
      <c r="X379" s="6">
        <v>0.55000000000000004</v>
      </c>
      <c r="Y379" s="6">
        <v>0.2</v>
      </c>
      <c r="Z379" s="6">
        <v>0.75</v>
      </c>
      <c r="AA379" s="6">
        <f t="shared" si="14"/>
        <v>8.2500000000000018E-2</v>
      </c>
      <c r="AB379" s="8">
        <v>1000</v>
      </c>
      <c r="AC379" s="15">
        <v>27897801301415</v>
      </c>
      <c r="AD379" s="4" t="s">
        <v>992</v>
      </c>
    </row>
    <row r="380" spans="2:30" x14ac:dyDescent="0.35">
      <c r="B380" s="14">
        <v>594</v>
      </c>
      <c r="C380" s="4" t="s">
        <v>385</v>
      </c>
      <c r="D380" s="4" t="s">
        <v>2370</v>
      </c>
      <c r="E380" s="4" t="s">
        <v>2913</v>
      </c>
      <c r="F380" s="4" t="s">
        <v>85</v>
      </c>
      <c r="G380" s="4" t="s">
        <v>993</v>
      </c>
      <c r="H380" s="6">
        <v>2.9000000000000001E-2</v>
      </c>
      <c r="I380" s="8">
        <v>63</v>
      </c>
      <c r="J380" s="8">
        <v>63</v>
      </c>
      <c r="K380" s="8">
        <v>41.1</v>
      </c>
      <c r="L380" s="8">
        <f t="shared" si="15"/>
        <v>163125.9</v>
      </c>
      <c r="M380" s="15">
        <v>7897801302425</v>
      </c>
      <c r="N380" s="6" t="s">
        <v>20</v>
      </c>
      <c r="O380" s="6" t="s">
        <v>20</v>
      </c>
      <c r="P380" s="6" t="s">
        <v>20</v>
      </c>
      <c r="Q380" s="6">
        <v>0.16</v>
      </c>
      <c r="R380" s="6">
        <v>6.5000000000000002E-2</v>
      </c>
      <c r="S380" s="6">
        <v>0.25</v>
      </c>
      <c r="T380" s="8">
        <v>10</v>
      </c>
      <c r="U380" s="5" t="s">
        <v>994</v>
      </c>
      <c r="V380" s="89">
        <v>0</v>
      </c>
      <c r="W380" s="15">
        <v>17897801302422</v>
      </c>
      <c r="X380" s="6">
        <v>0.45</v>
      </c>
      <c r="Y380" s="6">
        <v>0.3</v>
      </c>
      <c r="Z380" s="6">
        <v>0.78</v>
      </c>
      <c r="AA380" s="6">
        <f t="shared" si="14"/>
        <v>0.1053</v>
      </c>
      <c r="AB380" s="8">
        <v>420</v>
      </c>
      <c r="AC380" s="15">
        <v>27897801302429</v>
      </c>
      <c r="AD380" s="4" t="s">
        <v>992</v>
      </c>
    </row>
    <row r="381" spans="2:30" x14ac:dyDescent="0.35">
      <c r="B381" s="14">
        <v>595</v>
      </c>
      <c r="C381" s="4" t="s">
        <v>386</v>
      </c>
      <c r="D381" s="4" t="s">
        <v>2370</v>
      </c>
      <c r="E381" s="4" t="s">
        <v>2913</v>
      </c>
      <c r="F381" s="4" t="s">
        <v>85</v>
      </c>
      <c r="G381" s="4" t="s">
        <v>993</v>
      </c>
      <c r="H381" s="6">
        <v>5.0200000000000002E-2</v>
      </c>
      <c r="I381" s="8">
        <v>87.8</v>
      </c>
      <c r="J381" s="8">
        <v>87.8</v>
      </c>
      <c r="K381" s="8">
        <v>46.3</v>
      </c>
      <c r="L381" s="8">
        <f t="shared" si="15"/>
        <v>356919.29199999996</v>
      </c>
      <c r="M381" s="15">
        <v>7897801302432</v>
      </c>
      <c r="N381" s="6" t="s">
        <v>20</v>
      </c>
      <c r="O381" s="6" t="s">
        <v>20</v>
      </c>
      <c r="P381" s="6" t="s">
        <v>20</v>
      </c>
      <c r="Q381" s="6">
        <v>0.38</v>
      </c>
      <c r="R381" s="6">
        <v>8.5000000000000006E-2</v>
      </c>
      <c r="S381" s="6">
        <v>0.31</v>
      </c>
      <c r="T381" s="8">
        <v>10</v>
      </c>
      <c r="U381" s="5" t="s">
        <v>994</v>
      </c>
      <c r="V381" s="89">
        <v>0</v>
      </c>
      <c r="W381" s="15">
        <v>17897801302439</v>
      </c>
      <c r="X381" s="6">
        <v>0.52</v>
      </c>
      <c r="Y381" s="6">
        <v>0.24</v>
      </c>
      <c r="Z381" s="6">
        <v>0.84</v>
      </c>
      <c r="AA381" s="6">
        <f t="shared" si="14"/>
        <v>0.10483199999999999</v>
      </c>
      <c r="AB381" s="8">
        <v>200</v>
      </c>
      <c r="AC381" s="15">
        <v>27897801302436</v>
      </c>
      <c r="AD381" s="4" t="s">
        <v>992</v>
      </c>
    </row>
    <row r="382" spans="2:30" x14ac:dyDescent="0.35">
      <c r="B382" s="14">
        <v>596</v>
      </c>
      <c r="C382" s="4" t="s">
        <v>387</v>
      </c>
      <c r="D382" s="4" t="s">
        <v>2370</v>
      </c>
      <c r="E382" s="4" t="s">
        <v>2913</v>
      </c>
      <c r="F382" s="4" t="s">
        <v>85</v>
      </c>
      <c r="G382" s="4" t="s">
        <v>993</v>
      </c>
      <c r="H382" s="6">
        <v>8.3599999999999994E-2</v>
      </c>
      <c r="I382" s="8">
        <v>114.7</v>
      </c>
      <c r="J382" s="8">
        <v>114.7</v>
      </c>
      <c r="K382" s="8">
        <v>52.3</v>
      </c>
      <c r="L382" s="8">
        <f t="shared" si="15"/>
        <v>688063.50699999998</v>
      </c>
      <c r="M382" s="15">
        <v>7897801301831</v>
      </c>
      <c r="N382" s="6" t="s">
        <v>20</v>
      </c>
      <c r="O382" s="6" t="s">
        <v>20</v>
      </c>
      <c r="P382" s="6" t="s">
        <v>20</v>
      </c>
      <c r="Q382" s="6">
        <v>0.33</v>
      </c>
      <c r="R382" s="6">
        <v>0.12</v>
      </c>
      <c r="S382" s="6">
        <v>0.3</v>
      </c>
      <c r="T382" s="8">
        <v>10</v>
      </c>
      <c r="U382" s="5" t="s">
        <v>994</v>
      </c>
      <c r="V382" s="89">
        <v>0</v>
      </c>
      <c r="W382" s="15">
        <v>17897801301838</v>
      </c>
      <c r="X382" s="6" t="s">
        <v>20</v>
      </c>
      <c r="Y382" s="6" t="s">
        <v>20</v>
      </c>
      <c r="Z382" s="6" t="s">
        <v>20</v>
      </c>
      <c r="AA382" s="6"/>
      <c r="AB382" s="8">
        <v>0</v>
      </c>
      <c r="AC382" s="15">
        <v>27897801301835</v>
      </c>
      <c r="AD382" s="4" t="s">
        <v>992</v>
      </c>
    </row>
    <row r="383" spans="2:30" x14ac:dyDescent="0.35">
      <c r="B383" s="14">
        <v>597</v>
      </c>
      <c r="C383" s="4" t="s">
        <v>388</v>
      </c>
      <c r="D383" s="4" t="s">
        <v>2403</v>
      </c>
      <c r="E383" s="4" t="s">
        <v>2913</v>
      </c>
      <c r="F383" s="4" t="s">
        <v>85</v>
      </c>
      <c r="G383" s="4" t="s">
        <v>993</v>
      </c>
      <c r="H383" s="6">
        <v>0.25009999999999999</v>
      </c>
      <c r="I383" s="8">
        <v>174.2</v>
      </c>
      <c r="J383" s="8">
        <v>174.2</v>
      </c>
      <c r="K383" s="8">
        <v>66.5</v>
      </c>
      <c r="L383" s="8">
        <f t="shared" si="15"/>
        <v>2017985.0599999998</v>
      </c>
      <c r="M383" s="15">
        <v>7897801302913</v>
      </c>
      <c r="N383" s="6" t="s">
        <v>20</v>
      </c>
      <c r="O383" s="6" t="s">
        <v>20</v>
      </c>
      <c r="P383" s="6" t="s">
        <v>20</v>
      </c>
      <c r="Q383" s="6">
        <v>0.35</v>
      </c>
      <c r="R383" s="6">
        <v>0.08</v>
      </c>
      <c r="S383" s="6">
        <v>0.45</v>
      </c>
      <c r="T383" s="8">
        <v>5</v>
      </c>
      <c r="U383" s="5" t="s">
        <v>994</v>
      </c>
      <c r="V383" s="89">
        <v>0</v>
      </c>
      <c r="W383" s="15">
        <v>17897801302910</v>
      </c>
      <c r="X383" s="6" t="s">
        <v>20</v>
      </c>
      <c r="Y383" s="6" t="s">
        <v>20</v>
      </c>
      <c r="Z383" s="6" t="s">
        <v>20</v>
      </c>
      <c r="AA383" s="6"/>
      <c r="AB383" s="8">
        <v>0</v>
      </c>
      <c r="AC383" s="15">
        <v>27897801302917</v>
      </c>
      <c r="AD383" s="4" t="s">
        <v>992</v>
      </c>
    </row>
    <row r="384" spans="2:30" x14ac:dyDescent="0.35">
      <c r="B384" s="14">
        <v>598</v>
      </c>
      <c r="C384" s="4" t="s">
        <v>389</v>
      </c>
      <c r="D384" s="4" t="s">
        <v>2403</v>
      </c>
      <c r="E384" s="4" t="s">
        <v>2913</v>
      </c>
      <c r="F384" s="4" t="s">
        <v>85</v>
      </c>
      <c r="G384" s="4" t="s">
        <v>993</v>
      </c>
      <c r="H384" s="6">
        <v>0.47620000000000001</v>
      </c>
      <c r="I384" s="8">
        <v>235</v>
      </c>
      <c r="J384" s="8">
        <v>850</v>
      </c>
      <c r="K384" s="8">
        <v>235</v>
      </c>
      <c r="L384" s="8">
        <f t="shared" si="15"/>
        <v>46941250</v>
      </c>
      <c r="M384" s="15">
        <v>7897801312462</v>
      </c>
      <c r="N384" s="6" t="s">
        <v>20</v>
      </c>
      <c r="O384" s="6" t="s">
        <v>20</v>
      </c>
      <c r="P384" s="6" t="s">
        <v>20</v>
      </c>
      <c r="Q384" s="6">
        <v>0.45</v>
      </c>
      <c r="R384" s="6">
        <v>0.3</v>
      </c>
      <c r="S384" s="6">
        <v>0.68</v>
      </c>
      <c r="T384" s="8">
        <v>1</v>
      </c>
      <c r="U384" s="5" t="s">
        <v>994</v>
      </c>
      <c r="V384" s="89">
        <v>0</v>
      </c>
      <c r="W384" s="15">
        <v>17897801312469</v>
      </c>
      <c r="X384" s="6">
        <v>0.45</v>
      </c>
      <c r="Y384" s="6">
        <v>0.2</v>
      </c>
      <c r="Z384" s="6">
        <v>0.8</v>
      </c>
      <c r="AA384" s="6">
        <f>Y384*X384*Z384</f>
        <v>7.2000000000000008E-2</v>
      </c>
      <c r="AB384" s="8">
        <v>16</v>
      </c>
      <c r="AC384" s="15">
        <v>27897801312466</v>
      </c>
      <c r="AD384" s="4" t="s">
        <v>992</v>
      </c>
    </row>
    <row r="385" spans="2:30" x14ac:dyDescent="0.35">
      <c r="B385" s="14">
        <v>599</v>
      </c>
      <c r="C385" s="4" t="s">
        <v>390</v>
      </c>
      <c r="D385" s="4" t="s">
        <v>2411</v>
      </c>
      <c r="E385" s="4" t="s">
        <v>2913</v>
      </c>
      <c r="F385" s="4" t="s">
        <v>85</v>
      </c>
      <c r="G385" s="4" t="s">
        <v>993</v>
      </c>
      <c r="H385" s="6">
        <v>3.8899999999999997E-2</v>
      </c>
      <c r="I385" s="8">
        <v>87</v>
      </c>
      <c r="J385" s="8">
        <v>46</v>
      </c>
      <c r="K385" s="8">
        <v>87</v>
      </c>
      <c r="L385" s="8">
        <f t="shared" si="15"/>
        <v>348174</v>
      </c>
      <c r="M385" s="15">
        <v>7897801302449</v>
      </c>
      <c r="N385" s="6" t="s">
        <v>20</v>
      </c>
      <c r="O385" s="6" t="s">
        <v>20</v>
      </c>
      <c r="P385" s="6" t="s">
        <v>20</v>
      </c>
      <c r="Q385" s="6">
        <v>0.26</v>
      </c>
      <c r="R385" s="6">
        <v>0.08</v>
      </c>
      <c r="S385" s="6">
        <v>0.37</v>
      </c>
      <c r="T385" s="8">
        <v>25</v>
      </c>
      <c r="U385" s="5" t="s">
        <v>994</v>
      </c>
      <c r="V385" s="89">
        <v>0</v>
      </c>
      <c r="W385" s="15">
        <v>17897801302446</v>
      </c>
      <c r="X385" s="6">
        <v>0.5</v>
      </c>
      <c r="Y385" s="6">
        <v>0.25</v>
      </c>
      <c r="Z385" s="6">
        <v>0.8</v>
      </c>
      <c r="AA385" s="6">
        <f>Y385*X385*Z385</f>
        <v>0.1</v>
      </c>
      <c r="AB385" s="8">
        <v>300</v>
      </c>
      <c r="AC385" s="15">
        <v>27897801302443</v>
      </c>
      <c r="AD385" s="4" t="s">
        <v>992</v>
      </c>
    </row>
    <row r="386" spans="2:30" x14ac:dyDescent="0.35">
      <c r="B386" s="14">
        <v>600</v>
      </c>
      <c r="C386" s="4" t="s">
        <v>391</v>
      </c>
      <c r="D386" s="4" t="s">
        <v>2370</v>
      </c>
      <c r="E386" s="4" t="s">
        <v>2913</v>
      </c>
      <c r="F386" s="4" t="s">
        <v>85</v>
      </c>
      <c r="G386" s="4" t="s">
        <v>993</v>
      </c>
      <c r="H386" s="6">
        <v>7.1099999999999997E-2</v>
      </c>
      <c r="I386" s="8">
        <v>94.85</v>
      </c>
      <c r="J386" s="8">
        <v>63</v>
      </c>
      <c r="K386" s="8">
        <v>94.85</v>
      </c>
      <c r="L386" s="8">
        <f t="shared" si="15"/>
        <v>566780.91749999986</v>
      </c>
      <c r="M386" s="15">
        <v>7897801302401</v>
      </c>
      <c r="N386" s="6" t="s">
        <v>20</v>
      </c>
      <c r="O386" s="6" t="s">
        <v>20</v>
      </c>
      <c r="P386" s="6" t="s">
        <v>20</v>
      </c>
      <c r="Q386" s="6">
        <v>0.34</v>
      </c>
      <c r="R386" s="6">
        <v>0.12</v>
      </c>
      <c r="S386" s="6">
        <v>0.43</v>
      </c>
      <c r="T386" s="8">
        <v>20</v>
      </c>
      <c r="U386" s="5" t="s">
        <v>994</v>
      </c>
      <c r="V386" s="89">
        <v>0</v>
      </c>
      <c r="W386" s="15">
        <v>17897801302408</v>
      </c>
      <c r="X386" s="6">
        <v>0.56999999999999995</v>
      </c>
      <c r="Y386" s="6">
        <v>0.26</v>
      </c>
      <c r="Z386" s="6">
        <v>0.76</v>
      </c>
      <c r="AA386" s="6">
        <f>Y386*X386*Z386</f>
        <v>0.112632</v>
      </c>
      <c r="AB386" s="8">
        <v>140</v>
      </c>
      <c r="AC386" s="15">
        <v>27897801302405</v>
      </c>
      <c r="AD386" s="4" t="s">
        <v>992</v>
      </c>
    </row>
    <row r="387" spans="2:30" x14ac:dyDescent="0.35">
      <c r="B387" s="14">
        <v>601</v>
      </c>
      <c r="C387" s="4" t="s">
        <v>392</v>
      </c>
      <c r="D387" s="4" t="s">
        <v>2370</v>
      </c>
      <c r="E387" s="4" t="s">
        <v>2913</v>
      </c>
      <c r="F387" s="4" t="s">
        <v>85</v>
      </c>
      <c r="G387" s="4" t="s">
        <v>993</v>
      </c>
      <c r="H387" s="6">
        <v>0.1313</v>
      </c>
      <c r="I387" s="8">
        <v>148.75</v>
      </c>
      <c r="J387" s="8">
        <v>88.2</v>
      </c>
      <c r="K387" s="8">
        <v>148.75</v>
      </c>
      <c r="L387" s="8">
        <f t="shared" si="15"/>
        <v>1951562.8125</v>
      </c>
      <c r="M387" s="15">
        <v>7897801302616</v>
      </c>
      <c r="N387" s="6" t="s">
        <v>20</v>
      </c>
      <c r="O387" s="6" t="s">
        <v>20</v>
      </c>
      <c r="P387" s="6" t="s">
        <v>20</v>
      </c>
      <c r="Q387" s="6">
        <v>0.4</v>
      </c>
      <c r="R387" s="6">
        <v>0.15</v>
      </c>
      <c r="S387" s="6">
        <v>0.52</v>
      </c>
      <c r="T387" s="8">
        <v>10</v>
      </c>
      <c r="U387" s="5" t="s">
        <v>994</v>
      </c>
      <c r="V387" s="89">
        <v>0</v>
      </c>
      <c r="W387" s="15">
        <v>17897801302613</v>
      </c>
      <c r="X387" s="6" t="s">
        <v>20</v>
      </c>
      <c r="Y387" s="6" t="s">
        <v>20</v>
      </c>
      <c r="Z387" s="6" t="s">
        <v>20</v>
      </c>
      <c r="AA387" s="6"/>
      <c r="AB387" s="8">
        <v>0</v>
      </c>
      <c r="AC387" s="15">
        <v>27897801302610</v>
      </c>
      <c r="AD387" s="4" t="s">
        <v>992</v>
      </c>
    </row>
    <row r="388" spans="2:30" x14ac:dyDescent="0.35">
      <c r="B388" s="14">
        <v>602</v>
      </c>
      <c r="C388" s="4" t="s">
        <v>393</v>
      </c>
      <c r="D388" s="4" t="s">
        <v>2370</v>
      </c>
      <c r="E388" s="4" t="s">
        <v>2913</v>
      </c>
      <c r="F388" s="4" t="s">
        <v>85</v>
      </c>
      <c r="G388" s="4" t="s">
        <v>993</v>
      </c>
      <c r="H388" s="6">
        <v>0.25659999999999999</v>
      </c>
      <c r="I388" s="8">
        <v>240</v>
      </c>
      <c r="J388" s="8">
        <v>115</v>
      </c>
      <c r="K388" s="8">
        <v>180</v>
      </c>
      <c r="L388" s="8">
        <f t="shared" si="15"/>
        <v>4968000</v>
      </c>
      <c r="M388" s="15">
        <v>7897801302135</v>
      </c>
      <c r="N388" s="6" t="s">
        <v>20</v>
      </c>
      <c r="O388" s="6" t="s">
        <v>20</v>
      </c>
      <c r="P388" s="6" t="s">
        <v>20</v>
      </c>
      <c r="Q388" s="6">
        <v>0.4</v>
      </c>
      <c r="R388" s="6">
        <v>0.2</v>
      </c>
      <c r="S388" s="6">
        <v>0.56999999999999995</v>
      </c>
      <c r="T388" s="8">
        <v>10</v>
      </c>
      <c r="U388" s="5" t="s">
        <v>994</v>
      </c>
      <c r="V388" s="89">
        <v>0</v>
      </c>
      <c r="W388" s="15">
        <v>17897801302132</v>
      </c>
      <c r="X388" s="6" t="s">
        <v>20</v>
      </c>
      <c r="Y388" s="6" t="s">
        <v>20</v>
      </c>
      <c r="Z388" s="6" t="s">
        <v>20</v>
      </c>
      <c r="AA388" s="6"/>
      <c r="AB388" s="8">
        <v>0</v>
      </c>
      <c r="AC388" s="15">
        <v>27897801302139</v>
      </c>
      <c r="AD388" s="4" t="s">
        <v>992</v>
      </c>
    </row>
    <row r="389" spans="2:30" x14ac:dyDescent="0.35">
      <c r="B389" s="14">
        <v>606</v>
      </c>
      <c r="C389" s="4" t="s">
        <v>394</v>
      </c>
      <c r="D389" s="4" t="s">
        <v>2411</v>
      </c>
      <c r="E389" s="4" t="s">
        <v>2913</v>
      </c>
      <c r="F389" s="4" t="s">
        <v>85</v>
      </c>
      <c r="G389" s="4" t="s">
        <v>993</v>
      </c>
      <c r="H389" s="6">
        <v>6.0400000000000002E-2</v>
      </c>
      <c r="I389" s="8">
        <v>240</v>
      </c>
      <c r="J389" s="8">
        <v>80</v>
      </c>
      <c r="K389" s="8">
        <v>43</v>
      </c>
      <c r="L389" s="8">
        <f t="shared" si="15"/>
        <v>825600</v>
      </c>
      <c r="M389" s="15">
        <v>7897801310888</v>
      </c>
      <c r="N389" s="6" t="s">
        <v>20</v>
      </c>
      <c r="O389" s="6" t="s">
        <v>20</v>
      </c>
      <c r="P389" s="6" t="s">
        <v>20</v>
      </c>
      <c r="Q389" s="6">
        <v>0.25</v>
      </c>
      <c r="R389" s="6">
        <v>0.1</v>
      </c>
      <c r="S389" s="6">
        <v>0.28999999999999998</v>
      </c>
      <c r="T389" s="8">
        <v>10</v>
      </c>
      <c r="U389" s="5" t="s">
        <v>994</v>
      </c>
      <c r="V389" s="89">
        <v>0</v>
      </c>
      <c r="W389" s="15">
        <v>17897801310885</v>
      </c>
      <c r="X389" s="6">
        <v>0.41499999999999998</v>
      </c>
      <c r="Y389" s="6">
        <v>0.2</v>
      </c>
      <c r="Z389" s="6">
        <v>0.7</v>
      </c>
      <c r="AA389" s="6">
        <f>Y389*X389*Z389</f>
        <v>5.8099999999999999E-2</v>
      </c>
      <c r="AB389" s="8">
        <v>80</v>
      </c>
      <c r="AC389" s="15">
        <v>27897801310882</v>
      </c>
      <c r="AD389" s="4" t="s">
        <v>992</v>
      </c>
    </row>
    <row r="390" spans="2:30" x14ac:dyDescent="0.35">
      <c r="B390" s="14">
        <v>607</v>
      </c>
      <c r="C390" s="4" t="s">
        <v>395</v>
      </c>
      <c r="D390" s="4" t="s">
        <v>2370</v>
      </c>
      <c r="E390" s="4" t="s">
        <v>2913</v>
      </c>
      <c r="F390" s="4" t="s">
        <v>85</v>
      </c>
      <c r="G390" s="4" t="s">
        <v>993</v>
      </c>
      <c r="H390" s="6">
        <v>0.1051</v>
      </c>
      <c r="I390" s="8">
        <v>250</v>
      </c>
      <c r="J390" s="8">
        <v>51</v>
      </c>
      <c r="K390" s="8">
        <v>51</v>
      </c>
      <c r="L390" s="8">
        <f t="shared" si="15"/>
        <v>650250</v>
      </c>
      <c r="M390" s="15">
        <v>7897801310895</v>
      </c>
      <c r="N390" s="6" t="s">
        <v>20</v>
      </c>
      <c r="O390" s="6" t="s">
        <v>20</v>
      </c>
      <c r="P390" s="6" t="s">
        <v>20</v>
      </c>
      <c r="Q390" s="6">
        <v>0.26</v>
      </c>
      <c r="R390" s="6">
        <v>6.5000000000000002E-2</v>
      </c>
      <c r="S390" s="6">
        <v>0.35</v>
      </c>
      <c r="T390" s="8">
        <v>5</v>
      </c>
      <c r="U390" s="5" t="s">
        <v>994</v>
      </c>
      <c r="V390" s="89">
        <v>0</v>
      </c>
      <c r="W390" s="15">
        <v>17897801310892</v>
      </c>
      <c r="X390" s="6">
        <v>0.56999999999999995</v>
      </c>
      <c r="Y390" s="6">
        <v>0.25</v>
      </c>
      <c r="Z390" s="6">
        <v>0.75</v>
      </c>
      <c r="AA390" s="6">
        <f>Y390*X390*Z390</f>
        <v>0.106875</v>
      </c>
      <c r="AB390" s="8">
        <v>40</v>
      </c>
      <c r="AC390" s="15">
        <v>27897801310899</v>
      </c>
      <c r="AD390" s="4" t="s">
        <v>992</v>
      </c>
    </row>
    <row r="391" spans="2:30" x14ac:dyDescent="0.35">
      <c r="B391" s="14">
        <v>608</v>
      </c>
      <c r="C391" s="4" t="s">
        <v>396</v>
      </c>
      <c r="D391" s="4" t="s">
        <v>2370</v>
      </c>
      <c r="E391" s="4" t="s">
        <v>2913</v>
      </c>
      <c r="F391" s="4" t="s">
        <v>85</v>
      </c>
      <c r="G391" s="4" t="s">
        <v>993</v>
      </c>
      <c r="H391" s="6">
        <v>0.20899999999999999</v>
      </c>
      <c r="I391" s="8">
        <v>360</v>
      </c>
      <c r="J391" s="8">
        <v>100</v>
      </c>
      <c r="K391" s="8">
        <v>80</v>
      </c>
      <c r="L391" s="8">
        <f t="shared" si="15"/>
        <v>2880000</v>
      </c>
      <c r="M391" s="15">
        <v>7897801310901</v>
      </c>
      <c r="N391" s="6" t="s">
        <v>20</v>
      </c>
      <c r="O391" s="6" t="s">
        <v>20</v>
      </c>
      <c r="P391" s="6" t="s">
        <v>20</v>
      </c>
      <c r="Q391" s="6">
        <v>0.34</v>
      </c>
      <c r="R391" s="6">
        <v>0.155</v>
      </c>
      <c r="S391" s="6">
        <v>0.46</v>
      </c>
      <c r="T391" s="8">
        <v>5</v>
      </c>
      <c r="U391" s="5" t="s">
        <v>994</v>
      </c>
      <c r="V391" s="89">
        <v>0</v>
      </c>
      <c r="W391" s="15">
        <v>17897801310908</v>
      </c>
      <c r="X391" s="6" t="s">
        <v>20</v>
      </c>
      <c r="Y391" s="6" t="s">
        <v>20</v>
      </c>
      <c r="Z391" s="6" t="s">
        <v>20</v>
      </c>
      <c r="AA391" s="6"/>
      <c r="AB391" s="8">
        <v>0</v>
      </c>
      <c r="AC391" s="15">
        <v>27897801310905</v>
      </c>
      <c r="AD391" s="4" t="s">
        <v>992</v>
      </c>
    </row>
    <row r="392" spans="2:30" x14ac:dyDescent="0.35">
      <c r="B392" s="14">
        <v>609</v>
      </c>
      <c r="C392" s="4" t="s">
        <v>397</v>
      </c>
      <c r="D392" s="4" t="s">
        <v>2370</v>
      </c>
      <c r="E392" s="4" t="s">
        <v>2913</v>
      </c>
      <c r="F392" s="4" t="s">
        <v>85</v>
      </c>
      <c r="G392" s="4" t="s">
        <v>993</v>
      </c>
      <c r="H392" s="6">
        <v>0.37780000000000002</v>
      </c>
      <c r="I392" s="8">
        <v>102</v>
      </c>
      <c r="J392" s="8">
        <v>400</v>
      </c>
      <c r="K392" s="8">
        <v>210</v>
      </c>
      <c r="L392" s="8">
        <f t="shared" si="15"/>
        <v>8568000</v>
      </c>
      <c r="M392" s="15">
        <v>7897801310918</v>
      </c>
      <c r="N392" s="6" t="s">
        <v>20</v>
      </c>
      <c r="O392" s="6" t="s">
        <v>20</v>
      </c>
      <c r="P392" s="6" t="s">
        <v>20</v>
      </c>
      <c r="Q392" s="6">
        <v>0.47</v>
      </c>
      <c r="R392" s="6">
        <v>0.22</v>
      </c>
      <c r="S392" s="6">
        <v>0.67</v>
      </c>
      <c r="T392" s="8">
        <v>5</v>
      </c>
      <c r="U392" s="5" t="s">
        <v>994</v>
      </c>
      <c r="V392" s="89">
        <v>0</v>
      </c>
      <c r="W392" s="15">
        <v>17897801310915</v>
      </c>
      <c r="X392" s="6" t="s">
        <v>20</v>
      </c>
      <c r="Y392" s="6" t="s">
        <v>20</v>
      </c>
      <c r="Z392" s="6" t="s">
        <v>20</v>
      </c>
      <c r="AA392" s="6"/>
      <c r="AB392" s="8">
        <v>0</v>
      </c>
      <c r="AC392" s="15">
        <v>27897801310912</v>
      </c>
      <c r="AD392" s="4" t="s">
        <v>992</v>
      </c>
    </row>
    <row r="393" spans="2:30" x14ac:dyDescent="0.35">
      <c r="B393" s="14">
        <v>610</v>
      </c>
      <c r="C393" s="4" t="s">
        <v>398</v>
      </c>
      <c r="D393" s="4" t="s">
        <v>2422</v>
      </c>
      <c r="E393" s="4" t="s">
        <v>2913</v>
      </c>
      <c r="F393" s="4" t="s">
        <v>85</v>
      </c>
      <c r="G393" s="4" t="s">
        <v>993</v>
      </c>
      <c r="H393" s="6">
        <v>1.157</v>
      </c>
      <c r="I393" s="8">
        <v>152</v>
      </c>
      <c r="J393" s="8">
        <v>600</v>
      </c>
      <c r="K393" s="8">
        <v>610</v>
      </c>
      <c r="L393" s="8">
        <f t="shared" si="15"/>
        <v>55632000</v>
      </c>
      <c r="M393" s="15">
        <v>7897801310925</v>
      </c>
      <c r="N393" s="6" t="s">
        <v>20</v>
      </c>
      <c r="O393" s="6" t="s">
        <v>20</v>
      </c>
      <c r="P393" s="6" t="s">
        <v>20</v>
      </c>
      <c r="Q393" s="6">
        <v>0.375</v>
      </c>
      <c r="R393" s="6">
        <v>0.17</v>
      </c>
      <c r="S393" s="6">
        <v>0.61499999999999999</v>
      </c>
      <c r="T393" s="8">
        <v>1</v>
      </c>
      <c r="U393" s="5" t="s">
        <v>994</v>
      </c>
      <c r="V393" s="89">
        <v>0</v>
      </c>
      <c r="W393" s="15">
        <v>17897801310922</v>
      </c>
      <c r="X393" s="6">
        <v>56</v>
      </c>
      <c r="Y393" s="6">
        <v>23</v>
      </c>
      <c r="Z393" s="6">
        <v>79</v>
      </c>
      <c r="AA393" s="6">
        <f>Y393*X393*Z393</f>
        <v>101752</v>
      </c>
      <c r="AB393" s="8">
        <v>0</v>
      </c>
      <c r="AC393" s="15">
        <v>27897801310929</v>
      </c>
      <c r="AD393" s="4" t="s">
        <v>992</v>
      </c>
    </row>
    <row r="394" spans="2:30" x14ac:dyDescent="0.35">
      <c r="B394" s="14">
        <v>611</v>
      </c>
      <c r="C394" s="4" t="s">
        <v>399</v>
      </c>
      <c r="D394" s="4" t="s">
        <v>2411</v>
      </c>
      <c r="E394" s="4" t="s">
        <v>2913</v>
      </c>
      <c r="F394" s="4" t="s">
        <v>85</v>
      </c>
      <c r="G394" s="4" t="s">
        <v>993</v>
      </c>
      <c r="H394" s="6">
        <v>1.9599999999999999E-2</v>
      </c>
      <c r="I394" s="8">
        <v>60</v>
      </c>
      <c r="J394" s="8">
        <v>45</v>
      </c>
      <c r="K394" s="8">
        <v>45</v>
      </c>
      <c r="L394" s="8">
        <f t="shared" si="15"/>
        <v>121500</v>
      </c>
      <c r="M394" s="15">
        <v>7897801301275</v>
      </c>
      <c r="N394" s="6" t="s">
        <v>20</v>
      </c>
      <c r="O394" s="6" t="s">
        <v>20</v>
      </c>
      <c r="P394" s="6" t="s">
        <v>20</v>
      </c>
      <c r="Q394" s="6">
        <v>0.26</v>
      </c>
      <c r="R394" s="6">
        <v>0.06</v>
      </c>
      <c r="S394" s="6">
        <v>0.31</v>
      </c>
      <c r="T394" s="8">
        <v>25</v>
      </c>
      <c r="U394" s="5" t="s">
        <v>994</v>
      </c>
      <c r="V394" s="89">
        <v>0</v>
      </c>
      <c r="W394" s="15">
        <v>17897801301272</v>
      </c>
      <c r="X394" s="6">
        <v>0.54</v>
      </c>
      <c r="Y394" s="6">
        <v>0.25</v>
      </c>
      <c r="Z394" s="6">
        <v>0.78</v>
      </c>
      <c r="AA394" s="6">
        <f>Y394*X394*Z394</f>
        <v>0.1053</v>
      </c>
      <c r="AB394" s="8">
        <v>500</v>
      </c>
      <c r="AC394" s="15">
        <v>27897801301279</v>
      </c>
      <c r="AD394" s="4" t="s">
        <v>992</v>
      </c>
    </row>
    <row r="395" spans="2:30" x14ac:dyDescent="0.35">
      <c r="B395" s="14">
        <v>612</v>
      </c>
      <c r="C395" s="4" t="s">
        <v>400</v>
      </c>
      <c r="D395" s="4" t="s">
        <v>2370</v>
      </c>
      <c r="E395" s="4" t="s">
        <v>2913</v>
      </c>
      <c r="F395" s="4" t="s">
        <v>85</v>
      </c>
      <c r="G395" s="4" t="s">
        <v>993</v>
      </c>
      <c r="H395" s="6">
        <v>5.0299999999999997E-2</v>
      </c>
      <c r="I395" s="8">
        <v>54.5</v>
      </c>
      <c r="J395" s="8">
        <v>63</v>
      </c>
      <c r="K395" s="8">
        <v>120</v>
      </c>
      <c r="L395" s="8">
        <f t="shared" si="15"/>
        <v>412020</v>
      </c>
      <c r="M395" s="15">
        <v>7897801301763</v>
      </c>
      <c r="N395" s="6" t="s">
        <v>20</v>
      </c>
      <c r="O395" s="6" t="s">
        <v>20</v>
      </c>
      <c r="P395" s="6" t="s">
        <v>20</v>
      </c>
      <c r="Q395" s="6">
        <v>0.34</v>
      </c>
      <c r="R395" s="6">
        <v>0.11</v>
      </c>
      <c r="S395" s="6">
        <v>0.42</v>
      </c>
      <c r="T395" s="8">
        <v>25</v>
      </c>
      <c r="U395" s="5" t="s">
        <v>994</v>
      </c>
      <c r="V395" s="89">
        <v>0</v>
      </c>
      <c r="W395" s="15">
        <v>17897801301760</v>
      </c>
      <c r="X395" s="6">
        <v>0.5</v>
      </c>
      <c r="Y395" s="6">
        <v>0.2</v>
      </c>
      <c r="Z395" s="6">
        <v>0.75</v>
      </c>
      <c r="AA395" s="6">
        <f>Y395*X395*Z395</f>
        <v>7.5000000000000011E-2</v>
      </c>
      <c r="AB395" s="8">
        <v>200</v>
      </c>
      <c r="AC395" s="15">
        <v>27897801301767</v>
      </c>
      <c r="AD395" s="4" t="s">
        <v>992</v>
      </c>
    </row>
    <row r="396" spans="2:30" x14ac:dyDescent="0.35">
      <c r="B396" s="14">
        <v>613</v>
      </c>
      <c r="C396" s="4" t="s">
        <v>401</v>
      </c>
      <c r="D396" s="4" t="s">
        <v>2370</v>
      </c>
      <c r="E396" s="4" t="s">
        <v>2913</v>
      </c>
      <c r="F396" s="4" t="s">
        <v>85</v>
      </c>
      <c r="G396" s="4" t="s">
        <v>993</v>
      </c>
      <c r="H396" s="6">
        <v>8.2500000000000004E-2</v>
      </c>
      <c r="I396" s="8">
        <v>90</v>
      </c>
      <c r="J396" s="8">
        <v>110.5</v>
      </c>
      <c r="K396" s="8">
        <v>150</v>
      </c>
      <c r="L396" s="8">
        <f t="shared" si="15"/>
        <v>1491750</v>
      </c>
      <c r="M396" s="15">
        <v>7897801301770</v>
      </c>
      <c r="N396" s="6" t="s">
        <v>20</v>
      </c>
      <c r="O396" s="6" t="s">
        <v>20</v>
      </c>
      <c r="P396" s="6" t="s">
        <v>20</v>
      </c>
      <c r="Q396" s="6">
        <v>0.3</v>
      </c>
      <c r="R396" s="6">
        <v>0.1</v>
      </c>
      <c r="S396" s="6">
        <v>0.4</v>
      </c>
      <c r="T396" s="8">
        <v>10</v>
      </c>
      <c r="U396" s="5" t="s">
        <v>994</v>
      </c>
      <c r="V396" s="89">
        <v>0</v>
      </c>
      <c r="W396" s="15">
        <v>17897801301777</v>
      </c>
      <c r="X396" s="6" t="s">
        <v>20</v>
      </c>
      <c r="Y396" s="6" t="s">
        <v>20</v>
      </c>
      <c r="Z396" s="6" t="s">
        <v>20</v>
      </c>
      <c r="AA396" s="6"/>
      <c r="AB396" s="8">
        <v>0</v>
      </c>
      <c r="AC396" s="15">
        <v>27897801301774</v>
      </c>
      <c r="AD396" s="4" t="s">
        <v>992</v>
      </c>
    </row>
    <row r="397" spans="2:30" x14ac:dyDescent="0.35">
      <c r="B397" s="14">
        <v>614</v>
      </c>
      <c r="C397" s="4" t="s">
        <v>402</v>
      </c>
      <c r="D397" s="4" t="s">
        <v>2370</v>
      </c>
      <c r="E397" s="4" t="s">
        <v>2913</v>
      </c>
      <c r="F397" s="4" t="s">
        <v>85</v>
      </c>
      <c r="G397" s="4" t="s">
        <v>993</v>
      </c>
      <c r="H397" s="6">
        <v>0.16300000000000001</v>
      </c>
      <c r="I397" s="8">
        <v>115</v>
      </c>
      <c r="J397" s="8">
        <v>140.5</v>
      </c>
      <c r="K397" s="8">
        <v>180</v>
      </c>
      <c r="L397" s="8">
        <f t="shared" si="15"/>
        <v>2908350</v>
      </c>
      <c r="M397" s="15">
        <v>7897801301640</v>
      </c>
      <c r="N397" s="6" t="s">
        <v>20</v>
      </c>
      <c r="O397" s="6" t="s">
        <v>20</v>
      </c>
      <c r="P397" s="6" t="s">
        <v>20</v>
      </c>
      <c r="Q397" s="6">
        <v>0.43</v>
      </c>
      <c r="R397" s="6">
        <v>0.115</v>
      </c>
      <c r="S397" s="6">
        <v>0.53</v>
      </c>
      <c r="T397" s="8">
        <v>10</v>
      </c>
      <c r="U397" s="5" t="s">
        <v>994</v>
      </c>
      <c r="V397" s="89">
        <v>0</v>
      </c>
      <c r="W397" s="15">
        <v>17897801301647</v>
      </c>
      <c r="X397" s="6" t="s">
        <v>20</v>
      </c>
      <c r="Y397" s="6" t="s">
        <v>20</v>
      </c>
      <c r="Z397" s="6" t="s">
        <v>20</v>
      </c>
      <c r="AA397" s="6"/>
      <c r="AB397" s="8">
        <v>0</v>
      </c>
      <c r="AC397" s="15">
        <v>27897801301644</v>
      </c>
      <c r="AD397" s="4" t="s">
        <v>992</v>
      </c>
    </row>
    <row r="398" spans="2:30" x14ac:dyDescent="0.35">
      <c r="B398" s="14">
        <v>615</v>
      </c>
      <c r="C398" s="4" t="s">
        <v>403</v>
      </c>
      <c r="D398" s="4" t="s">
        <v>2403</v>
      </c>
      <c r="E398" s="4" t="s">
        <v>2913</v>
      </c>
      <c r="F398" s="4" t="s">
        <v>85</v>
      </c>
      <c r="G398" s="4" t="s">
        <v>993</v>
      </c>
      <c r="H398" s="6">
        <v>0.47270000000000001</v>
      </c>
      <c r="I398" s="8">
        <v>200.5</v>
      </c>
      <c r="J398" s="8">
        <v>169</v>
      </c>
      <c r="K398" s="8">
        <v>250</v>
      </c>
      <c r="L398" s="8">
        <f t="shared" si="15"/>
        <v>8471125</v>
      </c>
      <c r="M398" s="15">
        <v>7897801302920</v>
      </c>
      <c r="N398" s="6" t="s">
        <v>20</v>
      </c>
      <c r="O398" s="6" t="s">
        <v>20</v>
      </c>
      <c r="P398" s="6" t="s">
        <v>20</v>
      </c>
      <c r="Q398" s="6">
        <v>0.36</v>
      </c>
      <c r="R398" s="6">
        <v>0.18</v>
      </c>
      <c r="S398" s="6">
        <v>0.5</v>
      </c>
      <c r="T398" s="8">
        <v>5</v>
      </c>
      <c r="U398" s="5" t="s">
        <v>994</v>
      </c>
      <c r="V398" s="89">
        <v>0</v>
      </c>
      <c r="W398" s="15">
        <v>17897801302927</v>
      </c>
      <c r="X398" s="6" t="s">
        <v>20</v>
      </c>
      <c r="Y398" s="6" t="s">
        <v>20</v>
      </c>
      <c r="Z398" s="6" t="s">
        <v>20</v>
      </c>
      <c r="AA398" s="6"/>
      <c r="AB398" s="8">
        <v>0</v>
      </c>
      <c r="AC398" s="15">
        <v>27897801302924</v>
      </c>
      <c r="AD398" s="4" t="s">
        <v>992</v>
      </c>
    </row>
    <row r="399" spans="2:30" x14ac:dyDescent="0.35">
      <c r="B399" s="14">
        <v>616</v>
      </c>
      <c r="C399" s="4" t="s">
        <v>404</v>
      </c>
      <c r="D399" s="4" t="s">
        <v>2411</v>
      </c>
      <c r="E399" s="4" t="s">
        <v>2913</v>
      </c>
      <c r="F399" s="4" t="s">
        <v>85</v>
      </c>
      <c r="G399" s="4" t="s">
        <v>993</v>
      </c>
      <c r="H399" s="6">
        <v>2.7E-2</v>
      </c>
      <c r="I399" s="8">
        <v>67</v>
      </c>
      <c r="J399" s="8">
        <v>46</v>
      </c>
      <c r="K399" s="8">
        <v>67</v>
      </c>
      <c r="L399" s="8">
        <f t="shared" ref="L399:L408" si="16">J399*I399*K399</f>
        <v>206494</v>
      </c>
      <c r="M399" s="15">
        <v>7897801300339</v>
      </c>
      <c r="N399" s="6" t="s">
        <v>20</v>
      </c>
      <c r="O399" s="6" t="s">
        <v>20</v>
      </c>
      <c r="P399" s="6" t="s">
        <v>20</v>
      </c>
      <c r="Q399" s="6">
        <v>0.34</v>
      </c>
      <c r="R399" s="6">
        <v>0.13</v>
      </c>
      <c r="S399" s="6">
        <v>0.34</v>
      </c>
      <c r="T399" s="8">
        <v>50</v>
      </c>
      <c r="U399" s="5" t="s">
        <v>994</v>
      </c>
      <c r="V399" s="89">
        <v>0</v>
      </c>
      <c r="W399" s="15">
        <v>17897801300336</v>
      </c>
      <c r="X399" s="6">
        <v>0.53</v>
      </c>
      <c r="Y399" s="6">
        <v>0.25</v>
      </c>
      <c r="Z399" s="6">
        <v>0.75</v>
      </c>
      <c r="AA399" s="6">
        <f>Y399*X399*Z399</f>
        <v>9.9375000000000005E-2</v>
      </c>
      <c r="AB399" s="8">
        <v>400</v>
      </c>
      <c r="AC399" s="15">
        <v>27897801300333</v>
      </c>
      <c r="AD399" s="4" t="s">
        <v>992</v>
      </c>
    </row>
    <row r="400" spans="2:30" x14ac:dyDescent="0.35">
      <c r="B400" s="14">
        <v>617</v>
      </c>
      <c r="C400" s="4" t="s">
        <v>405</v>
      </c>
      <c r="D400" s="4" t="s">
        <v>2370</v>
      </c>
      <c r="E400" s="4" t="s">
        <v>2913</v>
      </c>
      <c r="F400" s="4" t="s">
        <v>85</v>
      </c>
      <c r="G400" s="4" t="s">
        <v>993</v>
      </c>
      <c r="H400" s="6">
        <v>6.2199999999999998E-2</v>
      </c>
      <c r="I400" s="8">
        <v>101.5</v>
      </c>
      <c r="J400" s="8">
        <v>63</v>
      </c>
      <c r="K400" s="8">
        <v>101.5</v>
      </c>
      <c r="L400" s="8">
        <f t="shared" si="16"/>
        <v>649041.75</v>
      </c>
      <c r="M400" s="15">
        <v>7897801301145</v>
      </c>
      <c r="N400" s="6" t="s">
        <v>20</v>
      </c>
      <c r="O400" s="6" t="s">
        <v>20</v>
      </c>
      <c r="P400" s="6" t="s">
        <v>20</v>
      </c>
      <c r="Q400" s="6">
        <v>0.31</v>
      </c>
      <c r="R400" s="6">
        <v>0.15</v>
      </c>
      <c r="S400" s="6">
        <v>0.41</v>
      </c>
      <c r="T400" s="8">
        <v>25</v>
      </c>
      <c r="U400" s="5" t="s">
        <v>994</v>
      </c>
      <c r="V400" s="89">
        <v>0</v>
      </c>
      <c r="W400" s="15">
        <v>17897801301142</v>
      </c>
      <c r="X400" s="6">
        <v>0.57999999999999996</v>
      </c>
      <c r="Y400" s="6">
        <v>0.23</v>
      </c>
      <c r="Z400" s="6">
        <v>0.81</v>
      </c>
      <c r="AA400" s="6">
        <f>Y400*X400*Z400</f>
        <v>0.108054</v>
      </c>
      <c r="AB400" s="8">
        <v>175</v>
      </c>
      <c r="AC400" s="15">
        <v>27897801301149</v>
      </c>
      <c r="AD400" s="4" t="s">
        <v>992</v>
      </c>
    </row>
    <row r="401" spans="2:30" x14ac:dyDescent="0.35">
      <c r="B401" s="14">
        <v>618</v>
      </c>
      <c r="C401" s="4" t="s">
        <v>406</v>
      </c>
      <c r="D401" s="4" t="s">
        <v>2370</v>
      </c>
      <c r="E401" s="4" t="s">
        <v>2913</v>
      </c>
      <c r="F401" s="4" t="s">
        <v>85</v>
      </c>
      <c r="G401" s="4" t="s">
        <v>993</v>
      </c>
      <c r="H401" s="6">
        <v>0.1217</v>
      </c>
      <c r="I401" s="8">
        <v>131.9</v>
      </c>
      <c r="J401" s="8">
        <v>87.8</v>
      </c>
      <c r="K401" s="8">
        <v>131.9</v>
      </c>
      <c r="L401" s="8">
        <f t="shared" si="16"/>
        <v>1527510.1580000001</v>
      </c>
      <c r="M401" s="15">
        <v>7897801301442</v>
      </c>
      <c r="N401" s="6" t="s">
        <v>20</v>
      </c>
      <c r="O401" s="6" t="s">
        <v>20</v>
      </c>
      <c r="P401" s="6" t="s">
        <v>20</v>
      </c>
      <c r="Q401" s="6">
        <v>0.38</v>
      </c>
      <c r="R401" s="6">
        <v>0.17</v>
      </c>
      <c r="S401" s="6">
        <v>0.55000000000000004</v>
      </c>
      <c r="T401" s="8">
        <v>20</v>
      </c>
      <c r="U401" s="5" t="s">
        <v>994</v>
      </c>
      <c r="V401" s="89">
        <v>0</v>
      </c>
      <c r="W401" s="15">
        <v>17897801301449</v>
      </c>
      <c r="X401" s="6" t="s">
        <v>20</v>
      </c>
      <c r="Y401" s="6" t="s">
        <v>20</v>
      </c>
      <c r="Z401" s="6" t="s">
        <v>20</v>
      </c>
      <c r="AA401" s="6"/>
      <c r="AB401" s="8">
        <v>0</v>
      </c>
      <c r="AC401" s="15">
        <v>27897801301446</v>
      </c>
      <c r="AD401" s="4" t="s">
        <v>992</v>
      </c>
    </row>
    <row r="402" spans="2:30" x14ac:dyDescent="0.35">
      <c r="B402" s="14">
        <v>619</v>
      </c>
      <c r="C402" s="4" t="s">
        <v>407</v>
      </c>
      <c r="D402" s="4" t="s">
        <v>2370</v>
      </c>
      <c r="E402" s="4" t="s">
        <v>2913</v>
      </c>
      <c r="F402" s="4" t="s">
        <v>85</v>
      </c>
      <c r="G402" s="4" t="s">
        <v>993</v>
      </c>
      <c r="H402" s="6">
        <v>0.21310000000000001</v>
      </c>
      <c r="I402" s="8">
        <v>165.3</v>
      </c>
      <c r="J402" s="8">
        <v>114.7</v>
      </c>
      <c r="K402" s="8">
        <v>165.3</v>
      </c>
      <c r="L402" s="8">
        <f t="shared" si="16"/>
        <v>3134073.1230000006</v>
      </c>
      <c r="M402" s="15">
        <v>7897801300223</v>
      </c>
      <c r="N402" s="6" t="s">
        <v>20</v>
      </c>
      <c r="O402" s="6" t="s">
        <v>20</v>
      </c>
      <c r="P402" s="6" t="s">
        <v>20</v>
      </c>
      <c r="Q402" s="6">
        <v>0.5</v>
      </c>
      <c r="R402" s="6">
        <v>0.26</v>
      </c>
      <c r="S402" s="6">
        <v>0.7</v>
      </c>
      <c r="T402" s="8">
        <v>20</v>
      </c>
      <c r="U402" s="5" t="s">
        <v>994</v>
      </c>
      <c r="V402" s="89">
        <v>0</v>
      </c>
      <c r="W402" s="15">
        <v>17897801300220</v>
      </c>
      <c r="X402" s="6" t="s">
        <v>20</v>
      </c>
      <c r="Y402" s="6" t="s">
        <v>20</v>
      </c>
      <c r="Z402" s="6" t="s">
        <v>20</v>
      </c>
      <c r="AA402" s="6"/>
      <c r="AB402" s="8">
        <v>0</v>
      </c>
      <c r="AC402" s="15">
        <v>27897801300227</v>
      </c>
      <c r="AD402" s="4" t="s">
        <v>992</v>
      </c>
    </row>
    <row r="403" spans="2:30" x14ac:dyDescent="0.35">
      <c r="B403" s="14">
        <v>621</v>
      </c>
      <c r="C403" s="4" t="s">
        <v>408</v>
      </c>
      <c r="D403" s="4" t="s">
        <v>2403</v>
      </c>
      <c r="E403" s="4" t="s">
        <v>2913</v>
      </c>
      <c r="F403" s="4" t="s">
        <v>85</v>
      </c>
      <c r="G403" s="4" t="s">
        <v>993</v>
      </c>
      <c r="H403" s="6">
        <v>0.59230000000000005</v>
      </c>
      <c r="I403" s="8">
        <v>226.5</v>
      </c>
      <c r="J403" s="8">
        <v>169</v>
      </c>
      <c r="K403" s="8">
        <v>226.5</v>
      </c>
      <c r="L403" s="8">
        <f t="shared" si="16"/>
        <v>8670080.25</v>
      </c>
      <c r="M403" s="15">
        <v>7897801300230</v>
      </c>
      <c r="N403" s="6" t="s">
        <v>20</v>
      </c>
      <c r="O403" s="6" t="s">
        <v>20</v>
      </c>
      <c r="P403" s="6" t="s">
        <v>20</v>
      </c>
      <c r="Q403" s="6">
        <v>0.56999999999999995</v>
      </c>
      <c r="R403" s="6">
        <v>0.17</v>
      </c>
      <c r="S403" s="6">
        <v>0.6</v>
      </c>
      <c r="T403" s="8">
        <v>5</v>
      </c>
      <c r="U403" s="5" t="s">
        <v>994</v>
      </c>
      <c r="V403" s="89">
        <v>0</v>
      </c>
      <c r="W403" s="15">
        <v>17897801300237</v>
      </c>
      <c r="X403" s="6" t="s">
        <v>20</v>
      </c>
      <c r="Y403" s="6" t="s">
        <v>20</v>
      </c>
      <c r="Z403" s="6" t="s">
        <v>20</v>
      </c>
      <c r="AA403" s="6"/>
      <c r="AB403" s="8">
        <v>0</v>
      </c>
      <c r="AC403" s="15">
        <v>27897801300234</v>
      </c>
      <c r="AD403" s="4" t="s">
        <v>992</v>
      </c>
    </row>
    <row r="404" spans="2:30" x14ac:dyDescent="0.35">
      <c r="B404" s="14">
        <v>622</v>
      </c>
      <c r="C404" s="4" t="s">
        <v>409</v>
      </c>
      <c r="D404" s="4" t="s">
        <v>2370</v>
      </c>
      <c r="E404" s="4" t="s">
        <v>2913</v>
      </c>
      <c r="F404" s="4" t="s">
        <v>85</v>
      </c>
      <c r="G404" s="4" t="s">
        <v>993</v>
      </c>
      <c r="H404" s="6">
        <v>0.23499999999999999</v>
      </c>
      <c r="I404" s="8">
        <v>158.80000000000001</v>
      </c>
      <c r="J404" s="8">
        <v>114.7</v>
      </c>
      <c r="K404" s="8">
        <v>200</v>
      </c>
      <c r="L404" s="8">
        <f t="shared" si="16"/>
        <v>3642872</v>
      </c>
      <c r="M404" s="15">
        <v>7897801302470</v>
      </c>
      <c r="N404" s="6" t="s">
        <v>20</v>
      </c>
      <c r="O404" s="6" t="s">
        <v>20</v>
      </c>
      <c r="P404" s="6" t="s">
        <v>20</v>
      </c>
      <c r="Q404" s="6">
        <v>0.4</v>
      </c>
      <c r="R404" s="6">
        <v>0.21</v>
      </c>
      <c r="S404" s="6">
        <v>0.6</v>
      </c>
      <c r="T404" s="8">
        <v>10</v>
      </c>
      <c r="U404" s="5" t="s">
        <v>994</v>
      </c>
      <c r="V404" s="89">
        <v>0</v>
      </c>
      <c r="W404" s="15">
        <v>17897801302477</v>
      </c>
      <c r="X404" s="6" t="s">
        <v>20</v>
      </c>
      <c r="Y404" s="6" t="s">
        <v>20</v>
      </c>
      <c r="Z404" s="6" t="s">
        <v>20</v>
      </c>
      <c r="AA404" s="6"/>
      <c r="AB404" s="8">
        <v>0</v>
      </c>
      <c r="AC404" s="15">
        <v>27897801302474</v>
      </c>
      <c r="AD404" s="4" t="s">
        <v>992</v>
      </c>
    </row>
    <row r="405" spans="2:30" x14ac:dyDescent="0.35">
      <c r="B405" s="14">
        <v>623</v>
      </c>
      <c r="C405" s="4" t="s">
        <v>410</v>
      </c>
      <c r="D405" s="4" t="s">
        <v>2370</v>
      </c>
      <c r="E405" s="4" t="s">
        <v>2913</v>
      </c>
      <c r="F405" s="4" t="s">
        <v>85</v>
      </c>
      <c r="G405" s="4" t="s">
        <v>993</v>
      </c>
      <c r="H405" s="6">
        <v>3.44E-2</v>
      </c>
      <c r="I405" s="8">
        <v>70</v>
      </c>
      <c r="J405" s="8">
        <v>70</v>
      </c>
      <c r="K405" s="8">
        <v>46</v>
      </c>
      <c r="L405" s="8">
        <f t="shared" si="16"/>
        <v>225400</v>
      </c>
      <c r="M405" s="15">
        <v>7897801308786</v>
      </c>
      <c r="N405" s="6" t="s">
        <v>20</v>
      </c>
      <c r="O405" s="6" t="s">
        <v>20</v>
      </c>
      <c r="P405" s="6" t="s">
        <v>20</v>
      </c>
      <c r="Q405" s="6">
        <v>0.28999999999999998</v>
      </c>
      <c r="R405" s="6">
        <v>0.09</v>
      </c>
      <c r="S405" s="6">
        <v>0.43</v>
      </c>
      <c r="T405" s="8">
        <v>25</v>
      </c>
      <c r="U405" s="5" t="s">
        <v>994</v>
      </c>
      <c r="V405" s="89">
        <v>0</v>
      </c>
      <c r="W405" s="15">
        <v>17897801308783</v>
      </c>
      <c r="X405" s="6">
        <v>0.53</v>
      </c>
      <c r="Y405" s="6">
        <v>0.27</v>
      </c>
      <c r="Z405" s="6">
        <v>0.84</v>
      </c>
      <c r="AA405" s="6">
        <f>Y405*X405*Z405</f>
        <v>0.12020400000000001</v>
      </c>
      <c r="AB405" s="8">
        <v>375</v>
      </c>
      <c r="AC405" s="15">
        <v>27897801308780</v>
      </c>
      <c r="AD405" s="4" t="s">
        <v>992</v>
      </c>
    </row>
    <row r="406" spans="2:30" x14ac:dyDescent="0.35">
      <c r="B406" s="14">
        <v>624</v>
      </c>
      <c r="C406" s="4" t="s">
        <v>411</v>
      </c>
      <c r="D406" s="4" t="s">
        <v>2370</v>
      </c>
      <c r="E406" s="4" t="s">
        <v>2913</v>
      </c>
      <c r="F406" s="4" t="s">
        <v>85</v>
      </c>
      <c r="G406" s="4" t="s">
        <v>993</v>
      </c>
      <c r="H406" s="6">
        <v>3.3500000000000002E-2</v>
      </c>
      <c r="I406" s="8">
        <v>65</v>
      </c>
      <c r="J406" s="8">
        <v>50</v>
      </c>
      <c r="K406" s="8">
        <v>65</v>
      </c>
      <c r="L406" s="8">
        <f t="shared" si="16"/>
        <v>211250</v>
      </c>
      <c r="M406" s="15">
        <v>7897801307529</v>
      </c>
      <c r="N406" s="6" t="s">
        <v>20</v>
      </c>
      <c r="O406" s="6" t="s">
        <v>20</v>
      </c>
      <c r="P406" s="6" t="s">
        <v>20</v>
      </c>
      <c r="Q406" s="6">
        <v>0.22</v>
      </c>
      <c r="R406" s="6">
        <v>0.09</v>
      </c>
      <c r="S406" s="6">
        <v>0.38</v>
      </c>
      <c r="T406" s="8">
        <v>25</v>
      </c>
      <c r="U406" s="5" t="s">
        <v>994</v>
      </c>
      <c r="V406" s="89">
        <v>0</v>
      </c>
      <c r="W406" s="15">
        <v>17897801307526</v>
      </c>
      <c r="X406" s="6">
        <v>0.6</v>
      </c>
      <c r="Y406" s="6">
        <v>0.19</v>
      </c>
      <c r="Z406" s="6">
        <v>0.88</v>
      </c>
      <c r="AA406" s="6">
        <f>Y406*X406*Z406</f>
        <v>0.10031999999999999</v>
      </c>
      <c r="AB406" s="8">
        <v>375</v>
      </c>
      <c r="AC406" s="15">
        <v>27897801307523</v>
      </c>
      <c r="AD406" s="4" t="s">
        <v>992</v>
      </c>
    </row>
    <row r="407" spans="2:30" x14ac:dyDescent="0.35">
      <c r="B407" s="14">
        <v>626</v>
      </c>
      <c r="C407" s="4" t="s">
        <v>412</v>
      </c>
      <c r="D407" s="4" t="s">
        <v>2411</v>
      </c>
      <c r="E407" s="4" t="s">
        <v>2913</v>
      </c>
      <c r="F407" s="4" t="s">
        <v>85</v>
      </c>
      <c r="G407" s="4" t="s">
        <v>993</v>
      </c>
      <c r="H407" s="6">
        <v>4.9299999999999997E-2</v>
      </c>
      <c r="I407" s="8">
        <v>90</v>
      </c>
      <c r="J407" s="8">
        <v>46</v>
      </c>
      <c r="K407" s="8">
        <v>106</v>
      </c>
      <c r="L407" s="8">
        <f t="shared" si="16"/>
        <v>438840</v>
      </c>
      <c r="M407" s="15">
        <v>7897801302074</v>
      </c>
      <c r="N407" s="6" t="s">
        <v>20</v>
      </c>
      <c r="O407" s="6" t="s">
        <v>20</v>
      </c>
      <c r="P407" s="6" t="s">
        <v>20</v>
      </c>
      <c r="Q407" s="6">
        <v>0.25</v>
      </c>
      <c r="R407" s="6">
        <v>0.14000000000000001</v>
      </c>
      <c r="S407" s="6">
        <v>0.45</v>
      </c>
      <c r="T407" s="8">
        <v>25</v>
      </c>
      <c r="U407" s="5" t="s">
        <v>994</v>
      </c>
      <c r="V407" s="89">
        <v>0</v>
      </c>
      <c r="W407" s="15">
        <v>17897801302071</v>
      </c>
      <c r="X407" s="6">
        <v>0.56000000000000005</v>
      </c>
      <c r="Y407" s="6">
        <v>0.27</v>
      </c>
      <c r="Z407" s="6">
        <v>0.74</v>
      </c>
      <c r="AA407" s="6">
        <f>Y407*X407*Z407</f>
        <v>0.11188800000000002</v>
      </c>
      <c r="AB407" s="8">
        <v>200</v>
      </c>
      <c r="AC407" s="15">
        <v>27897801302078</v>
      </c>
      <c r="AD407" s="4" t="s">
        <v>992</v>
      </c>
    </row>
    <row r="408" spans="2:30" x14ac:dyDescent="0.35">
      <c r="B408" s="14">
        <v>627</v>
      </c>
      <c r="C408" s="4" t="s">
        <v>413</v>
      </c>
      <c r="D408" s="4" t="s">
        <v>2370</v>
      </c>
      <c r="E408" s="4" t="s">
        <v>2913</v>
      </c>
      <c r="F408" s="4" t="s">
        <v>85</v>
      </c>
      <c r="G408" s="4" t="s">
        <v>993</v>
      </c>
      <c r="H408" s="6">
        <v>0.1115</v>
      </c>
      <c r="I408" s="8">
        <v>120</v>
      </c>
      <c r="J408" s="8">
        <v>63</v>
      </c>
      <c r="K408" s="8">
        <v>160</v>
      </c>
      <c r="L408" s="8">
        <f t="shared" si="16"/>
        <v>1209600</v>
      </c>
      <c r="M408" s="15">
        <v>7897801302456</v>
      </c>
      <c r="N408" s="6" t="s">
        <v>20</v>
      </c>
      <c r="O408" s="6" t="s">
        <v>20</v>
      </c>
      <c r="P408" s="6" t="s">
        <v>20</v>
      </c>
      <c r="Q408" s="6">
        <v>0.35</v>
      </c>
      <c r="R408" s="6">
        <v>0.09</v>
      </c>
      <c r="S408" s="6">
        <v>0.45</v>
      </c>
      <c r="T408" s="8">
        <v>10</v>
      </c>
      <c r="U408" s="5" t="s">
        <v>994</v>
      </c>
      <c r="V408" s="89">
        <v>0</v>
      </c>
      <c r="W408" s="15">
        <v>17897801302453</v>
      </c>
      <c r="X408" s="6">
        <v>0.64</v>
      </c>
      <c r="Y408" s="6">
        <v>0.23</v>
      </c>
      <c r="Z408" s="6">
        <v>0.9</v>
      </c>
      <c r="AA408" s="6">
        <f>Y408*X408*Z408</f>
        <v>0.13248000000000001</v>
      </c>
      <c r="AB408" s="8">
        <v>80</v>
      </c>
      <c r="AC408" s="15">
        <v>27897801302450</v>
      </c>
      <c r="AD408" s="4" t="s">
        <v>992</v>
      </c>
    </row>
    <row r="409" spans="2:30" x14ac:dyDescent="0.35">
      <c r="B409" s="14">
        <v>628</v>
      </c>
      <c r="C409" s="4" t="s">
        <v>414</v>
      </c>
      <c r="D409" s="4" t="s">
        <v>2370</v>
      </c>
      <c r="E409" s="4" t="s">
        <v>2913</v>
      </c>
      <c r="F409" s="4" t="s">
        <v>85</v>
      </c>
      <c r="G409" s="4" t="s">
        <v>993</v>
      </c>
      <c r="H409" s="6">
        <v>0.21253</v>
      </c>
      <c r="I409" s="8">
        <v>205</v>
      </c>
      <c r="J409" s="8">
        <v>90</v>
      </c>
      <c r="K409" s="8">
        <v>170</v>
      </c>
      <c r="L409" s="8">
        <v>3136500</v>
      </c>
      <c r="M409" s="15">
        <v>7897801302593</v>
      </c>
      <c r="N409" s="6" t="s">
        <v>20</v>
      </c>
      <c r="O409" s="6" t="s">
        <v>20</v>
      </c>
      <c r="P409" s="6" t="s">
        <v>20</v>
      </c>
      <c r="Q409" s="6">
        <v>0.4</v>
      </c>
      <c r="R409" s="6">
        <v>0.21</v>
      </c>
      <c r="S409" s="6">
        <v>0.62</v>
      </c>
      <c r="T409" s="8">
        <v>10</v>
      </c>
      <c r="U409" s="5" t="s">
        <v>994</v>
      </c>
      <c r="V409" s="89">
        <v>0</v>
      </c>
      <c r="W409" s="15">
        <v>17897801302590</v>
      </c>
      <c r="X409" s="6">
        <v>0</v>
      </c>
      <c r="Y409" s="6">
        <v>0</v>
      </c>
      <c r="Z409" s="6">
        <v>0</v>
      </c>
      <c r="AA409" s="6">
        <v>0</v>
      </c>
      <c r="AB409" s="8">
        <v>0</v>
      </c>
      <c r="AC409" s="15">
        <v>27897801302597</v>
      </c>
      <c r="AD409" s="4" t="s">
        <v>992</v>
      </c>
    </row>
    <row r="410" spans="2:30" x14ac:dyDescent="0.35">
      <c r="B410" s="14">
        <v>629</v>
      </c>
      <c r="C410" s="4" t="s">
        <v>415</v>
      </c>
      <c r="D410" s="4" t="s">
        <v>2370</v>
      </c>
      <c r="E410" s="4" t="s">
        <v>2913</v>
      </c>
      <c r="F410" s="4" t="s">
        <v>85</v>
      </c>
      <c r="G410" s="4" t="s">
        <v>993</v>
      </c>
      <c r="H410" s="6">
        <v>0.3785</v>
      </c>
      <c r="I410" s="8">
        <v>230</v>
      </c>
      <c r="J410" s="8">
        <v>115</v>
      </c>
      <c r="K410" s="8">
        <v>265</v>
      </c>
      <c r="L410" s="8">
        <f t="shared" ref="L410:L441" si="17">J410*I410*K410</f>
        <v>7009250</v>
      </c>
      <c r="M410" s="15">
        <v>7897801301954</v>
      </c>
      <c r="N410" s="6" t="s">
        <v>20</v>
      </c>
      <c r="O410" s="6" t="s">
        <v>20</v>
      </c>
      <c r="P410" s="6" t="s">
        <v>20</v>
      </c>
      <c r="Q410" s="6">
        <v>0.6</v>
      </c>
      <c r="R410" s="6">
        <v>0.2</v>
      </c>
      <c r="S410" s="6">
        <v>0.79</v>
      </c>
      <c r="T410" s="8">
        <v>10</v>
      </c>
      <c r="U410" s="5" t="s">
        <v>994</v>
      </c>
      <c r="V410" s="89">
        <v>0</v>
      </c>
      <c r="W410" s="15">
        <v>17897801301951</v>
      </c>
      <c r="X410" s="6" t="s">
        <v>20</v>
      </c>
      <c r="Y410" s="6" t="s">
        <v>20</v>
      </c>
      <c r="Z410" s="6" t="s">
        <v>20</v>
      </c>
      <c r="AA410" s="6"/>
      <c r="AB410" s="8">
        <v>0</v>
      </c>
      <c r="AC410" s="15">
        <v>27897801301958</v>
      </c>
      <c r="AD410" s="4" t="s">
        <v>992</v>
      </c>
    </row>
    <row r="411" spans="2:30" x14ac:dyDescent="0.35">
      <c r="B411" s="14">
        <v>630</v>
      </c>
      <c r="C411" s="4" t="s">
        <v>416</v>
      </c>
      <c r="D411" s="4" t="s">
        <v>2403</v>
      </c>
      <c r="E411" s="4" t="s">
        <v>2913</v>
      </c>
      <c r="F411" s="4" t="s">
        <v>85</v>
      </c>
      <c r="G411" s="4" t="s">
        <v>993</v>
      </c>
      <c r="H411" s="6">
        <v>1.0728</v>
      </c>
      <c r="I411" s="8">
        <v>308</v>
      </c>
      <c r="J411" s="8">
        <v>350</v>
      </c>
      <c r="K411" s="8">
        <v>308</v>
      </c>
      <c r="L411" s="8">
        <f t="shared" si="17"/>
        <v>33202400</v>
      </c>
      <c r="M411" s="15">
        <v>7897801307888</v>
      </c>
      <c r="N411" s="6" t="s">
        <v>20</v>
      </c>
      <c r="O411" s="6" t="s">
        <v>20</v>
      </c>
      <c r="P411" s="6" t="s">
        <v>20</v>
      </c>
      <c r="Q411" s="6">
        <v>0.5</v>
      </c>
      <c r="R411" s="6">
        <v>0.4</v>
      </c>
      <c r="S411" s="6">
        <v>0.75</v>
      </c>
      <c r="T411" s="8">
        <v>5</v>
      </c>
      <c r="U411" s="5" t="s">
        <v>994</v>
      </c>
      <c r="V411" s="89">
        <v>0</v>
      </c>
      <c r="W411" s="15">
        <v>17897801307885</v>
      </c>
      <c r="X411" s="6" t="s">
        <v>20</v>
      </c>
      <c r="Y411" s="6" t="s">
        <v>20</v>
      </c>
      <c r="Z411" s="6" t="s">
        <v>20</v>
      </c>
      <c r="AA411" s="6"/>
      <c r="AB411" s="8">
        <v>0</v>
      </c>
      <c r="AC411" s="15">
        <v>27897801307882</v>
      </c>
      <c r="AD411" s="4" t="s">
        <v>992</v>
      </c>
    </row>
    <row r="412" spans="2:30" x14ac:dyDescent="0.35">
      <c r="B412" s="14">
        <v>633</v>
      </c>
      <c r="C412" s="4" t="s">
        <v>417</v>
      </c>
      <c r="D412" s="4" t="s">
        <v>2411</v>
      </c>
      <c r="E412" s="4" t="s">
        <v>2913</v>
      </c>
      <c r="F412" s="4" t="s">
        <v>85</v>
      </c>
      <c r="G412" s="4" t="s">
        <v>993</v>
      </c>
      <c r="H412" s="6">
        <v>6.8599999999999994E-2</v>
      </c>
      <c r="I412" s="8">
        <v>42</v>
      </c>
      <c r="J412" s="8">
        <v>180</v>
      </c>
      <c r="K412" s="8">
        <v>180</v>
      </c>
      <c r="L412" s="8">
        <f t="shared" si="17"/>
        <v>1360800</v>
      </c>
      <c r="M412" s="15">
        <v>7897801310932</v>
      </c>
      <c r="N412" s="6" t="s">
        <v>20</v>
      </c>
      <c r="O412" s="6" t="s">
        <v>20</v>
      </c>
      <c r="P412" s="6" t="s">
        <v>20</v>
      </c>
      <c r="Q412" s="6">
        <v>0.17</v>
      </c>
      <c r="R412" s="6">
        <v>0.1</v>
      </c>
      <c r="S412" s="6">
        <v>0.38</v>
      </c>
      <c r="T412" s="8">
        <v>10</v>
      </c>
      <c r="U412" s="5" t="s">
        <v>994</v>
      </c>
      <c r="V412" s="89">
        <v>0</v>
      </c>
      <c r="W412" s="15">
        <v>17897801310939</v>
      </c>
      <c r="X412" s="6">
        <v>0.55000000000000004</v>
      </c>
      <c r="Y412" s="6">
        <v>0.2</v>
      </c>
      <c r="Z412" s="6">
        <v>0.75</v>
      </c>
      <c r="AA412" s="6">
        <f>Y412*X412*Z412</f>
        <v>8.2500000000000018E-2</v>
      </c>
      <c r="AB412" s="8">
        <v>140</v>
      </c>
      <c r="AC412" s="15">
        <v>27897801310936</v>
      </c>
      <c r="AD412" s="4" t="s">
        <v>992</v>
      </c>
    </row>
    <row r="413" spans="2:30" x14ac:dyDescent="0.35">
      <c r="B413" s="14">
        <v>634</v>
      </c>
      <c r="C413" s="4" t="s">
        <v>418</v>
      </c>
      <c r="D413" s="4" t="s">
        <v>2370</v>
      </c>
      <c r="E413" s="4" t="s">
        <v>2913</v>
      </c>
      <c r="F413" s="4" t="s">
        <v>85</v>
      </c>
      <c r="G413" s="4" t="s">
        <v>993</v>
      </c>
      <c r="H413" s="6">
        <v>0.1066</v>
      </c>
      <c r="I413" s="8">
        <v>153</v>
      </c>
      <c r="J413" s="8">
        <v>181</v>
      </c>
      <c r="K413" s="8">
        <v>60</v>
      </c>
      <c r="L413" s="8">
        <f t="shared" si="17"/>
        <v>1661580</v>
      </c>
      <c r="M413" s="15">
        <v>7897801310949</v>
      </c>
      <c r="N413" s="6" t="s">
        <v>20</v>
      </c>
      <c r="O413" s="6" t="s">
        <v>20</v>
      </c>
      <c r="P413" s="6" t="s">
        <v>20</v>
      </c>
      <c r="Q413" s="6">
        <v>0.35</v>
      </c>
      <c r="R413" s="6">
        <v>0.09</v>
      </c>
      <c r="S413" s="6">
        <v>0.38</v>
      </c>
      <c r="T413" s="8">
        <v>12</v>
      </c>
      <c r="U413" s="5" t="s">
        <v>994</v>
      </c>
      <c r="V413" s="89">
        <v>0</v>
      </c>
      <c r="W413" s="15">
        <v>17897801310946</v>
      </c>
      <c r="X413" s="6" t="s">
        <v>20</v>
      </c>
      <c r="Y413" s="6" t="s">
        <v>20</v>
      </c>
      <c r="Z413" s="6" t="s">
        <v>20</v>
      </c>
      <c r="AA413" s="6"/>
      <c r="AB413" s="8">
        <v>0</v>
      </c>
      <c r="AC413" s="15">
        <v>27897801310943</v>
      </c>
      <c r="AD413" s="4" t="s">
        <v>992</v>
      </c>
    </row>
    <row r="414" spans="2:30" x14ac:dyDescent="0.35">
      <c r="B414" s="14">
        <v>635</v>
      </c>
      <c r="C414" s="4" t="s">
        <v>419</v>
      </c>
      <c r="D414" s="4" t="s">
        <v>2370</v>
      </c>
      <c r="E414" s="4" t="s">
        <v>2913</v>
      </c>
      <c r="F414" s="4" t="s">
        <v>85</v>
      </c>
      <c r="G414" s="4" t="s">
        <v>993</v>
      </c>
      <c r="H414" s="6">
        <v>0.23380000000000001</v>
      </c>
      <c r="I414" s="8">
        <v>390</v>
      </c>
      <c r="J414" s="8">
        <v>90</v>
      </c>
      <c r="K414" s="8">
        <v>90</v>
      </c>
      <c r="L414" s="8">
        <f t="shared" si="17"/>
        <v>3159000</v>
      </c>
      <c r="M414" s="15">
        <v>7897801310956</v>
      </c>
      <c r="N414" s="6" t="s">
        <v>20</v>
      </c>
      <c r="O414" s="6" t="s">
        <v>20</v>
      </c>
      <c r="P414" s="6" t="s">
        <v>20</v>
      </c>
      <c r="Q414" s="6">
        <v>0.45</v>
      </c>
      <c r="R414" s="6">
        <v>0.14499999999999999</v>
      </c>
      <c r="S414" s="6">
        <v>0.69</v>
      </c>
      <c r="T414" s="8">
        <v>10</v>
      </c>
      <c r="U414" s="5" t="s">
        <v>994</v>
      </c>
      <c r="V414" s="89">
        <v>0</v>
      </c>
      <c r="W414" s="15">
        <v>17897801310953</v>
      </c>
      <c r="X414" s="6" t="s">
        <v>20</v>
      </c>
      <c r="Y414" s="6" t="s">
        <v>20</v>
      </c>
      <c r="Z414" s="6" t="s">
        <v>20</v>
      </c>
      <c r="AA414" s="6"/>
      <c r="AB414" s="8">
        <v>0</v>
      </c>
      <c r="AC414" s="15">
        <v>27897801310950</v>
      </c>
      <c r="AD414" s="4" t="s">
        <v>992</v>
      </c>
    </row>
    <row r="415" spans="2:30" x14ac:dyDescent="0.35">
      <c r="B415" s="14">
        <v>636</v>
      </c>
      <c r="C415" s="4" t="s">
        <v>420</v>
      </c>
      <c r="D415" s="4" t="s">
        <v>2370</v>
      </c>
      <c r="E415" s="4" t="s">
        <v>2913</v>
      </c>
      <c r="F415" s="4" t="s">
        <v>85</v>
      </c>
      <c r="G415" s="4" t="s">
        <v>993</v>
      </c>
      <c r="H415" s="6">
        <v>0.4259</v>
      </c>
      <c r="I415" s="8">
        <v>580</v>
      </c>
      <c r="J415" s="8">
        <v>110</v>
      </c>
      <c r="K415" s="8">
        <v>170</v>
      </c>
      <c r="L415" s="8">
        <f t="shared" si="17"/>
        <v>10846000</v>
      </c>
      <c r="M415" s="15">
        <v>7897801310963</v>
      </c>
      <c r="N415" s="6" t="s">
        <v>20</v>
      </c>
      <c r="O415" s="6" t="s">
        <v>20</v>
      </c>
      <c r="P415" s="6" t="s">
        <v>20</v>
      </c>
      <c r="Q415" s="6">
        <v>0.53</v>
      </c>
      <c r="R415" s="6">
        <v>0.21</v>
      </c>
      <c r="S415" s="6">
        <v>0.79</v>
      </c>
      <c r="T415" s="8">
        <v>8</v>
      </c>
      <c r="U415" s="5" t="s">
        <v>994</v>
      </c>
      <c r="V415" s="89">
        <v>0</v>
      </c>
      <c r="W415" s="15">
        <v>17897801310960</v>
      </c>
      <c r="X415" s="6" t="s">
        <v>20</v>
      </c>
      <c r="Y415" s="6" t="s">
        <v>20</v>
      </c>
      <c r="Z415" s="6" t="s">
        <v>20</v>
      </c>
      <c r="AA415" s="6"/>
      <c r="AB415" s="8">
        <v>0</v>
      </c>
      <c r="AC415" s="15">
        <v>27897801310967</v>
      </c>
      <c r="AD415" s="4" t="s">
        <v>992</v>
      </c>
    </row>
    <row r="416" spans="2:30" x14ac:dyDescent="0.35">
      <c r="B416" s="14">
        <v>637</v>
      </c>
      <c r="C416" s="4" t="s">
        <v>421</v>
      </c>
      <c r="D416" s="4" t="s">
        <v>2422</v>
      </c>
      <c r="E416" s="4" t="s">
        <v>2913</v>
      </c>
      <c r="F416" s="4" t="s">
        <v>85</v>
      </c>
      <c r="G416" s="4" t="s">
        <v>993</v>
      </c>
      <c r="H416" s="6">
        <v>1.6852</v>
      </c>
      <c r="I416" s="8">
        <v>152</v>
      </c>
      <c r="J416" s="8">
        <v>590</v>
      </c>
      <c r="K416" s="8">
        <v>590</v>
      </c>
      <c r="L416" s="8">
        <f t="shared" si="17"/>
        <v>52911200</v>
      </c>
      <c r="M416" s="15">
        <v>7897801310970</v>
      </c>
      <c r="N416" s="6" t="s">
        <v>20</v>
      </c>
      <c r="O416" s="6" t="s">
        <v>20</v>
      </c>
      <c r="P416" s="6" t="s">
        <v>20</v>
      </c>
      <c r="Q416" s="6">
        <v>0.56999999999999995</v>
      </c>
      <c r="R416" s="6">
        <v>0.17</v>
      </c>
      <c r="S416" s="6">
        <v>0.63</v>
      </c>
      <c r="T416" s="8">
        <v>1</v>
      </c>
      <c r="U416" s="5" t="s">
        <v>994</v>
      </c>
      <c r="V416" s="89">
        <v>0</v>
      </c>
      <c r="W416" s="15">
        <v>17897801310977</v>
      </c>
      <c r="X416" s="6" t="s">
        <v>20</v>
      </c>
      <c r="Y416" s="6" t="s">
        <v>20</v>
      </c>
      <c r="Z416" s="6" t="s">
        <v>20</v>
      </c>
      <c r="AA416" s="6"/>
      <c r="AB416" s="8">
        <v>0</v>
      </c>
      <c r="AC416" s="15">
        <v>27897801310974</v>
      </c>
      <c r="AD416" s="4" t="s">
        <v>992</v>
      </c>
    </row>
    <row r="417" spans="2:30" x14ac:dyDescent="0.35">
      <c r="B417" s="14">
        <v>638</v>
      </c>
      <c r="C417" s="4" t="s">
        <v>422</v>
      </c>
      <c r="D417" s="4" t="s">
        <v>2370</v>
      </c>
      <c r="E417" s="4" t="s">
        <v>2913</v>
      </c>
      <c r="F417" s="4" t="s">
        <v>85</v>
      </c>
      <c r="G417" s="4" t="s">
        <v>993</v>
      </c>
      <c r="H417" s="6">
        <v>0.1502</v>
      </c>
      <c r="I417" s="8">
        <v>153</v>
      </c>
      <c r="J417" s="8">
        <v>175</v>
      </c>
      <c r="K417" s="8">
        <v>88</v>
      </c>
      <c r="L417" s="8">
        <f t="shared" si="17"/>
        <v>2356200</v>
      </c>
      <c r="M417" s="15">
        <v>7897801302609</v>
      </c>
      <c r="N417" s="6" t="s">
        <v>20</v>
      </c>
      <c r="O417" s="6" t="s">
        <v>20</v>
      </c>
      <c r="P417" s="6" t="s">
        <v>20</v>
      </c>
      <c r="Q417" s="6">
        <v>0.46</v>
      </c>
      <c r="R417" s="6">
        <v>0.12</v>
      </c>
      <c r="S417" s="6">
        <v>0.59</v>
      </c>
      <c r="T417" s="8">
        <v>10</v>
      </c>
      <c r="U417" s="5" t="s">
        <v>994</v>
      </c>
      <c r="V417" s="89">
        <v>0</v>
      </c>
      <c r="W417" s="15">
        <v>17897801302606</v>
      </c>
      <c r="X417" s="6" t="s">
        <v>20</v>
      </c>
      <c r="Y417" s="6" t="s">
        <v>20</v>
      </c>
      <c r="Z417" s="6" t="s">
        <v>20</v>
      </c>
      <c r="AA417" s="6"/>
      <c r="AB417" s="8">
        <v>0</v>
      </c>
      <c r="AC417" s="15">
        <v>27897801302603</v>
      </c>
      <c r="AD417" s="4" t="s">
        <v>992</v>
      </c>
    </row>
    <row r="418" spans="2:30" x14ac:dyDescent="0.35">
      <c r="B418" s="14">
        <v>639</v>
      </c>
      <c r="C418" s="4" t="s">
        <v>423</v>
      </c>
      <c r="D418" s="4" t="s">
        <v>2370</v>
      </c>
      <c r="E418" s="4" t="s">
        <v>2913</v>
      </c>
      <c r="F418" s="4" t="s">
        <v>85</v>
      </c>
      <c r="G418" s="4" t="s">
        <v>993</v>
      </c>
      <c r="H418" s="6">
        <v>0.24929999999999999</v>
      </c>
      <c r="I418" s="8">
        <v>175.5</v>
      </c>
      <c r="J418" s="8">
        <v>115</v>
      </c>
      <c r="K418" s="8">
        <v>185</v>
      </c>
      <c r="L418" s="8">
        <f t="shared" si="17"/>
        <v>3733762.5</v>
      </c>
      <c r="M418" s="15">
        <v>7897801301978</v>
      </c>
      <c r="N418" s="6" t="s">
        <v>20</v>
      </c>
      <c r="O418" s="6" t="s">
        <v>20</v>
      </c>
      <c r="P418" s="6" t="s">
        <v>20</v>
      </c>
      <c r="Q418" s="6">
        <v>0.4</v>
      </c>
      <c r="R418" s="6">
        <v>0.19</v>
      </c>
      <c r="S418" s="6">
        <v>0.55000000000000004</v>
      </c>
      <c r="T418" s="8">
        <v>10</v>
      </c>
      <c r="U418" s="5" t="s">
        <v>994</v>
      </c>
      <c r="V418" s="89">
        <v>0</v>
      </c>
      <c r="W418" s="15">
        <v>17897801301975</v>
      </c>
      <c r="X418" s="6" t="s">
        <v>20</v>
      </c>
      <c r="Y418" s="6" t="s">
        <v>20</v>
      </c>
      <c r="Z418" s="6" t="s">
        <v>20</v>
      </c>
      <c r="AA418" s="6"/>
      <c r="AB418" s="8">
        <v>0</v>
      </c>
      <c r="AC418" s="15">
        <v>27897801301972</v>
      </c>
      <c r="AD418" s="4" t="s">
        <v>992</v>
      </c>
    </row>
    <row r="419" spans="2:30" x14ac:dyDescent="0.35">
      <c r="B419" s="14">
        <v>640</v>
      </c>
      <c r="C419" s="4" t="s">
        <v>424</v>
      </c>
      <c r="D419" s="4" t="s">
        <v>2370</v>
      </c>
      <c r="E419" s="4" t="s">
        <v>2913</v>
      </c>
      <c r="F419" s="4" t="s">
        <v>85</v>
      </c>
      <c r="G419" s="4" t="s">
        <v>993</v>
      </c>
      <c r="H419" s="6">
        <v>0.30599999999999999</v>
      </c>
      <c r="I419" s="8">
        <v>200</v>
      </c>
      <c r="J419" s="8">
        <v>115</v>
      </c>
      <c r="K419" s="8">
        <v>220</v>
      </c>
      <c r="L419" s="8">
        <f t="shared" si="17"/>
        <v>5060000</v>
      </c>
      <c r="M419" s="15">
        <v>7897801302586</v>
      </c>
      <c r="N419" s="6" t="s">
        <v>20</v>
      </c>
      <c r="O419" s="6" t="s">
        <v>20</v>
      </c>
      <c r="P419" s="6" t="s">
        <v>20</v>
      </c>
      <c r="Q419" s="6">
        <v>0.4</v>
      </c>
      <c r="R419" s="6">
        <v>0.18</v>
      </c>
      <c r="S419" s="6">
        <v>0.65</v>
      </c>
      <c r="T419" s="8">
        <v>10</v>
      </c>
      <c r="U419" s="5" t="s">
        <v>994</v>
      </c>
      <c r="V419" s="89">
        <v>0</v>
      </c>
      <c r="W419" s="15">
        <v>17897801302583</v>
      </c>
      <c r="X419" s="6" t="s">
        <v>20</v>
      </c>
      <c r="Y419" s="6" t="s">
        <v>20</v>
      </c>
      <c r="Z419" s="6" t="s">
        <v>20</v>
      </c>
      <c r="AA419" s="6"/>
      <c r="AB419" s="8">
        <v>0</v>
      </c>
      <c r="AC419" s="15">
        <v>27897801302580</v>
      </c>
      <c r="AD419" s="4" t="s">
        <v>992</v>
      </c>
    </row>
    <row r="420" spans="2:30" x14ac:dyDescent="0.35">
      <c r="B420" s="14">
        <v>641</v>
      </c>
      <c r="C420" s="4" t="s">
        <v>425</v>
      </c>
      <c r="D420" s="4" t="s">
        <v>2403</v>
      </c>
      <c r="E420" s="4" t="s">
        <v>2913</v>
      </c>
      <c r="F420" s="4" t="s">
        <v>85</v>
      </c>
      <c r="G420" s="4" t="s">
        <v>993</v>
      </c>
      <c r="H420" s="6">
        <v>0.77159999999999995</v>
      </c>
      <c r="I420" s="8">
        <v>300</v>
      </c>
      <c r="J420" s="8">
        <v>276</v>
      </c>
      <c r="K420" s="8">
        <v>276</v>
      </c>
      <c r="L420" s="8">
        <f t="shared" si="17"/>
        <v>22852800</v>
      </c>
      <c r="M420" s="15">
        <v>7897801308700</v>
      </c>
      <c r="N420" s="6" t="s">
        <v>20</v>
      </c>
      <c r="O420" s="6" t="s">
        <v>20</v>
      </c>
      <c r="P420" s="6" t="s">
        <v>20</v>
      </c>
      <c r="Q420" s="6">
        <v>0.56000000000000005</v>
      </c>
      <c r="R420" s="6">
        <v>0.22</v>
      </c>
      <c r="S420" s="6">
        <v>0.77</v>
      </c>
      <c r="T420" s="8">
        <v>5</v>
      </c>
      <c r="U420" s="5" t="s">
        <v>994</v>
      </c>
      <c r="V420" s="89">
        <v>0</v>
      </c>
      <c r="W420" s="15">
        <v>17897801308707</v>
      </c>
      <c r="X420" s="6" t="s">
        <v>20</v>
      </c>
      <c r="Y420" s="6" t="s">
        <v>20</v>
      </c>
      <c r="Z420" s="6" t="s">
        <v>20</v>
      </c>
      <c r="AA420" s="6"/>
      <c r="AB420" s="8">
        <v>0</v>
      </c>
      <c r="AC420" s="15">
        <v>27897801308704</v>
      </c>
      <c r="AD420" s="4" t="s">
        <v>992</v>
      </c>
    </row>
    <row r="421" spans="2:30" x14ac:dyDescent="0.35">
      <c r="B421" s="14">
        <v>644</v>
      </c>
      <c r="C421" s="4" t="s">
        <v>426</v>
      </c>
      <c r="D421" s="4" t="s">
        <v>2411</v>
      </c>
      <c r="E421" s="4" t="s">
        <v>2913</v>
      </c>
      <c r="F421" s="4" t="s">
        <v>85</v>
      </c>
      <c r="G421" s="4" t="s">
        <v>993</v>
      </c>
      <c r="H421" s="6">
        <v>1.7500000000000002E-2</v>
      </c>
      <c r="I421" s="8">
        <v>46</v>
      </c>
      <c r="J421" s="8">
        <v>46</v>
      </c>
      <c r="K421" s="8">
        <v>46</v>
      </c>
      <c r="L421" s="8">
        <f t="shared" si="17"/>
        <v>97336</v>
      </c>
      <c r="M421" s="15">
        <v>7897801300292</v>
      </c>
      <c r="N421" s="6" t="s">
        <v>20</v>
      </c>
      <c r="O421" s="6" t="s">
        <v>20</v>
      </c>
      <c r="P421" s="6" t="s">
        <v>20</v>
      </c>
      <c r="Q421" s="6">
        <v>0.24</v>
      </c>
      <c r="R421" s="6">
        <v>0.06</v>
      </c>
      <c r="S421" s="6">
        <v>0.28000000000000003</v>
      </c>
      <c r="T421" s="8">
        <v>25</v>
      </c>
      <c r="U421" s="5" t="s">
        <v>994</v>
      </c>
      <c r="V421" s="89">
        <v>0</v>
      </c>
      <c r="W421" s="15">
        <v>17897801300299</v>
      </c>
      <c r="X421" s="6">
        <v>0.47</v>
      </c>
      <c r="Y421" s="6">
        <v>0.23</v>
      </c>
      <c r="Z421" s="6">
        <v>0.77</v>
      </c>
      <c r="AA421" s="6">
        <f>Y421*X421*Z421</f>
        <v>8.3237000000000005E-2</v>
      </c>
      <c r="AB421" s="8">
        <v>500</v>
      </c>
      <c r="AC421" s="15">
        <v>27897801300296</v>
      </c>
      <c r="AD421" s="4" t="s">
        <v>992</v>
      </c>
    </row>
    <row r="422" spans="2:30" x14ac:dyDescent="0.35">
      <c r="B422" s="14">
        <v>645</v>
      </c>
      <c r="C422" s="4" t="s">
        <v>427</v>
      </c>
      <c r="D422" s="4" t="s">
        <v>2370</v>
      </c>
      <c r="E422" s="4" t="s">
        <v>2913</v>
      </c>
      <c r="F422" s="4" t="s">
        <v>85</v>
      </c>
      <c r="G422" s="4" t="s">
        <v>993</v>
      </c>
      <c r="H422" s="6">
        <v>2.93E-2</v>
      </c>
      <c r="I422" s="8">
        <v>63</v>
      </c>
      <c r="J422" s="8">
        <v>63</v>
      </c>
      <c r="K422" s="8">
        <v>62.5</v>
      </c>
      <c r="L422" s="8">
        <f t="shared" si="17"/>
        <v>248062.5</v>
      </c>
      <c r="M422" s="15">
        <v>7897801301824</v>
      </c>
      <c r="N422" s="6" t="s">
        <v>20</v>
      </c>
      <c r="O422" s="6" t="s">
        <v>20</v>
      </c>
      <c r="P422" s="6" t="s">
        <v>20</v>
      </c>
      <c r="Q422" s="6">
        <v>0.26</v>
      </c>
      <c r="R422" s="6">
        <v>0.1</v>
      </c>
      <c r="S422" s="6">
        <v>0.37</v>
      </c>
      <c r="T422" s="8">
        <v>25</v>
      </c>
      <c r="U422" s="5" t="s">
        <v>994</v>
      </c>
      <c r="V422" s="89">
        <v>0</v>
      </c>
      <c r="W422" s="15">
        <v>17897801301821</v>
      </c>
      <c r="X422" s="6">
        <v>0.52</v>
      </c>
      <c r="Y422" s="6">
        <v>0.24</v>
      </c>
      <c r="Z422" s="6">
        <v>0.82</v>
      </c>
      <c r="AA422" s="6">
        <f>Y422*X422*Z422</f>
        <v>0.10233599999999998</v>
      </c>
      <c r="AB422" s="8">
        <v>300</v>
      </c>
      <c r="AC422" s="15">
        <v>27897801301828</v>
      </c>
      <c r="AD422" s="4" t="s">
        <v>992</v>
      </c>
    </row>
    <row r="423" spans="2:30" x14ac:dyDescent="0.35">
      <c r="B423" s="14">
        <v>646</v>
      </c>
      <c r="C423" s="4" t="s">
        <v>428</v>
      </c>
      <c r="D423" s="4" t="s">
        <v>2370</v>
      </c>
      <c r="E423" s="4" t="s">
        <v>2913</v>
      </c>
      <c r="F423" s="4" t="s">
        <v>85</v>
      </c>
      <c r="G423" s="4" t="s">
        <v>993</v>
      </c>
      <c r="H423" s="6">
        <v>5.5399999999999998E-2</v>
      </c>
      <c r="I423" s="8">
        <v>87.8</v>
      </c>
      <c r="J423" s="8">
        <v>87.8</v>
      </c>
      <c r="K423" s="8">
        <v>73</v>
      </c>
      <c r="L423" s="8">
        <f t="shared" si="17"/>
        <v>562745.31999999995</v>
      </c>
      <c r="M423" s="15">
        <v>7897801302142</v>
      </c>
      <c r="N423" s="6" t="s">
        <v>20</v>
      </c>
      <c r="O423" s="6" t="s">
        <v>20</v>
      </c>
      <c r="P423" s="6" t="s">
        <v>20</v>
      </c>
      <c r="Q423" s="6">
        <v>0.2</v>
      </c>
      <c r="R423" s="6">
        <v>0.08</v>
      </c>
      <c r="S423" s="6">
        <v>0.35</v>
      </c>
      <c r="T423" s="8">
        <v>10</v>
      </c>
      <c r="U423" s="5" t="s">
        <v>994</v>
      </c>
      <c r="V423" s="89">
        <v>0</v>
      </c>
      <c r="W423" s="15">
        <v>17897801302149</v>
      </c>
      <c r="X423" s="6" t="s">
        <v>20</v>
      </c>
      <c r="Y423" s="6" t="s">
        <v>20</v>
      </c>
      <c r="Z423" s="6" t="s">
        <v>20</v>
      </c>
      <c r="AA423" s="6"/>
      <c r="AB423" s="8">
        <v>0</v>
      </c>
      <c r="AC423" s="15">
        <v>27897801302146</v>
      </c>
      <c r="AD423" s="4" t="s">
        <v>992</v>
      </c>
    </row>
    <row r="424" spans="2:30" x14ac:dyDescent="0.35">
      <c r="B424" s="14">
        <v>647</v>
      </c>
      <c r="C424" s="4" t="s">
        <v>429</v>
      </c>
      <c r="D424" s="4" t="s">
        <v>2370</v>
      </c>
      <c r="E424" s="4" t="s">
        <v>2913</v>
      </c>
      <c r="F424" s="4" t="s">
        <v>85</v>
      </c>
      <c r="G424" s="4" t="s">
        <v>993</v>
      </c>
      <c r="H424" s="6">
        <v>9.1499999999999998E-2</v>
      </c>
      <c r="I424" s="8">
        <v>114.7</v>
      </c>
      <c r="J424" s="8">
        <v>114.7</v>
      </c>
      <c r="K424" s="8">
        <v>84</v>
      </c>
      <c r="L424" s="8">
        <f t="shared" si="17"/>
        <v>1105111.56</v>
      </c>
      <c r="M424" s="15">
        <v>7897801301800</v>
      </c>
      <c r="N424" s="6" t="s">
        <v>20</v>
      </c>
      <c r="O424" s="6" t="s">
        <v>20</v>
      </c>
      <c r="P424" s="6" t="s">
        <v>20</v>
      </c>
      <c r="Q424" s="6">
        <v>0.4</v>
      </c>
      <c r="R424" s="6">
        <v>0.11</v>
      </c>
      <c r="S424" s="6">
        <v>0.52</v>
      </c>
      <c r="T424" s="8">
        <v>10</v>
      </c>
      <c r="U424" s="5" t="s">
        <v>994</v>
      </c>
      <c r="V424" s="89">
        <v>0</v>
      </c>
      <c r="W424" s="15">
        <v>17897801301807</v>
      </c>
      <c r="X424" s="6" t="s">
        <v>20</v>
      </c>
      <c r="Y424" s="6" t="s">
        <v>20</v>
      </c>
      <c r="Z424" s="6" t="s">
        <v>20</v>
      </c>
      <c r="AA424" s="6"/>
      <c r="AB424" s="8">
        <v>0</v>
      </c>
      <c r="AC424" s="15">
        <v>27897801301804</v>
      </c>
      <c r="AD424" s="4" t="s">
        <v>992</v>
      </c>
    </row>
    <row r="425" spans="2:30" x14ac:dyDescent="0.35">
      <c r="B425" s="14">
        <v>648</v>
      </c>
      <c r="C425" s="4" t="s">
        <v>430</v>
      </c>
      <c r="D425" s="4" t="s">
        <v>2403</v>
      </c>
      <c r="E425" s="4" t="s">
        <v>2913</v>
      </c>
      <c r="F425" s="4" t="s">
        <v>85</v>
      </c>
      <c r="G425" s="4" t="s">
        <v>993</v>
      </c>
      <c r="H425" s="6">
        <v>0.28120000000000001</v>
      </c>
      <c r="I425" s="8">
        <v>115</v>
      </c>
      <c r="J425" s="8">
        <v>169</v>
      </c>
      <c r="K425" s="8">
        <v>169</v>
      </c>
      <c r="L425" s="8">
        <f t="shared" si="17"/>
        <v>3284515</v>
      </c>
      <c r="M425" s="15">
        <v>7897801302937</v>
      </c>
      <c r="N425" s="6" t="s">
        <v>20</v>
      </c>
      <c r="O425" s="6" t="s">
        <v>20</v>
      </c>
      <c r="P425" s="6" t="s">
        <v>20</v>
      </c>
      <c r="Q425" s="6">
        <v>0.3</v>
      </c>
      <c r="R425" s="6">
        <v>0.17</v>
      </c>
      <c r="S425" s="6">
        <v>0.4</v>
      </c>
      <c r="T425" s="8">
        <v>5</v>
      </c>
      <c r="U425" s="5" t="s">
        <v>994</v>
      </c>
      <c r="V425" s="89">
        <v>0</v>
      </c>
      <c r="W425" s="15">
        <v>17897801302934</v>
      </c>
      <c r="X425" s="6" t="s">
        <v>20</v>
      </c>
      <c r="Y425" s="6" t="s">
        <v>20</v>
      </c>
      <c r="Z425" s="6" t="s">
        <v>20</v>
      </c>
      <c r="AA425" s="6"/>
      <c r="AB425" s="8">
        <v>0</v>
      </c>
      <c r="AC425" s="15">
        <v>27897801302931</v>
      </c>
      <c r="AD425" s="4" t="s">
        <v>992</v>
      </c>
    </row>
    <row r="426" spans="2:30" x14ac:dyDescent="0.35">
      <c r="B426" s="14">
        <v>649</v>
      </c>
      <c r="C426" s="4" t="s">
        <v>431</v>
      </c>
      <c r="D426" s="4" t="s">
        <v>2411</v>
      </c>
      <c r="E426" s="4" t="s">
        <v>2913</v>
      </c>
      <c r="F426" s="4" t="s">
        <v>85</v>
      </c>
      <c r="G426" s="4" t="s">
        <v>993</v>
      </c>
      <c r="H426" s="6">
        <v>3.5900000000000001E-2</v>
      </c>
      <c r="I426" s="8">
        <v>50.1</v>
      </c>
      <c r="J426" s="8">
        <v>50.1</v>
      </c>
      <c r="K426" s="8">
        <v>66.5</v>
      </c>
      <c r="L426" s="8">
        <f t="shared" si="17"/>
        <v>166915.66500000001</v>
      </c>
      <c r="M426" s="15">
        <v>7897801302524</v>
      </c>
      <c r="N426" s="6" t="s">
        <v>20</v>
      </c>
      <c r="O426" s="6" t="s">
        <v>20</v>
      </c>
      <c r="P426" s="6" t="s">
        <v>20</v>
      </c>
      <c r="Q426" s="6">
        <v>0.15</v>
      </c>
      <c r="R426" s="6">
        <v>0.05</v>
      </c>
      <c r="S426" s="6">
        <v>0.25</v>
      </c>
      <c r="T426" s="8">
        <v>10</v>
      </c>
      <c r="U426" s="5" t="s">
        <v>994</v>
      </c>
      <c r="V426" s="89">
        <v>0</v>
      </c>
      <c r="W426" s="15">
        <v>17897801302521</v>
      </c>
      <c r="X426" s="6">
        <v>0.5</v>
      </c>
      <c r="Y426" s="6">
        <v>0.2</v>
      </c>
      <c r="Z426" s="6">
        <v>0.7</v>
      </c>
      <c r="AA426" s="6">
        <f>Y426*X426*Z426</f>
        <v>6.9999999999999993E-2</v>
      </c>
      <c r="AB426" s="8">
        <v>400</v>
      </c>
      <c r="AC426" s="15">
        <v>27897801302528</v>
      </c>
      <c r="AD426" s="4" t="s">
        <v>992</v>
      </c>
    </row>
    <row r="427" spans="2:30" x14ac:dyDescent="0.35">
      <c r="B427" s="14">
        <v>650</v>
      </c>
      <c r="C427" s="4" t="s">
        <v>432</v>
      </c>
      <c r="D427" s="4" t="s">
        <v>2370</v>
      </c>
      <c r="E427" s="4" t="s">
        <v>2913</v>
      </c>
      <c r="F427" s="4" t="s">
        <v>85</v>
      </c>
      <c r="G427" s="4" t="s">
        <v>993</v>
      </c>
      <c r="H427" s="6">
        <v>6.6699999999999995E-2</v>
      </c>
      <c r="I427" s="8">
        <v>65</v>
      </c>
      <c r="J427" s="8">
        <v>65</v>
      </c>
      <c r="K427" s="8">
        <v>80</v>
      </c>
      <c r="L427" s="8">
        <f t="shared" si="17"/>
        <v>338000</v>
      </c>
      <c r="M427" s="15">
        <v>7897801302531</v>
      </c>
      <c r="N427" s="6" t="s">
        <v>20</v>
      </c>
      <c r="O427" s="6" t="s">
        <v>20</v>
      </c>
      <c r="P427" s="6" t="s">
        <v>20</v>
      </c>
      <c r="Q427" s="6">
        <v>0.18</v>
      </c>
      <c r="R427" s="6">
        <v>7.0000000000000007E-2</v>
      </c>
      <c r="S427" s="6">
        <v>0.32</v>
      </c>
      <c r="T427" s="8">
        <v>10</v>
      </c>
      <c r="U427" s="5" t="s">
        <v>994</v>
      </c>
      <c r="V427" s="89">
        <v>0</v>
      </c>
      <c r="W427" s="15">
        <v>17897801302538</v>
      </c>
      <c r="X427" s="6">
        <v>0.5</v>
      </c>
      <c r="Y427" s="6">
        <v>0.2</v>
      </c>
      <c r="Z427" s="6">
        <v>0.7</v>
      </c>
      <c r="AA427" s="6">
        <f>Y427*X427*Z427</f>
        <v>6.9999999999999993E-2</v>
      </c>
      <c r="AB427" s="8">
        <v>200</v>
      </c>
      <c r="AC427" s="15">
        <v>27897801302535</v>
      </c>
      <c r="AD427" s="4" t="s">
        <v>992</v>
      </c>
    </row>
    <row r="428" spans="2:30" x14ac:dyDescent="0.35">
      <c r="B428" s="14">
        <v>651</v>
      </c>
      <c r="C428" s="4" t="s">
        <v>433</v>
      </c>
      <c r="D428" s="4" t="s">
        <v>2370</v>
      </c>
      <c r="E428" s="4" t="s">
        <v>2913</v>
      </c>
      <c r="F428" s="4" t="s">
        <v>85</v>
      </c>
      <c r="G428" s="4" t="s">
        <v>993</v>
      </c>
      <c r="H428" s="6">
        <v>8.7499999999999994E-2</v>
      </c>
      <c r="I428" s="8">
        <v>88</v>
      </c>
      <c r="J428" s="8">
        <v>88</v>
      </c>
      <c r="K428" s="8">
        <v>90</v>
      </c>
      <c r="L428" s="8">
        <f t="shared" si="17"/>
        <v>696960</v>
      </c>
      <c r="M428" s="15">
        <v>7897801302548</v>
      </c>
      <c r="N428" s="6" t="s">
        <v>20</v>
      </c>
      <c r="O428" s="6" t="s">
        <v>20</v>
      </c>
      <c r="P428" s="6" t="s">
        <v>20</v>
      </c>
      <c r="Q428" s="6">
        <v>0.23</v>
      </c>
      <c r="R428" s="6">
        <v>0.11</v>
      </c>
      <c r="S428" s="6">
        <v>0.43</v>
      </c>
      <c r="T428" s="8">
        <v>10</v>
      </c>
      <c r="U428" s="5" t="s">
        <v>994</v>
      </c>
      <c r="V428" s="89">
        <v>0</v>
      </c>
      <c r="W428" s="15">
        <v>17897801302545</v>
      </c>
      <c r="X428" s="6">
        <v>0.49</v>
      </c>
      <c r="Y428" s="6">
        <v>0.24</v>
      </c>
      <c r="Z428" s="6">
        <v>0.75</v>
      </c>
      <c r="AA428" s="6">
        <f>Y428*X428*Z428</f>
        <v>8.8200000000000001E-2</v>
      </c>
      <c r="AB428" s="8">
        <v>100</v>
      </c>
      <c r="AC428" s="15">
        <v>27897801302542</v>
      </c>
      <c r="AD428" s="4" t="s">
        <v>992</v>
      </c>
    </row>
    <row r="429" spans="2:30" x14ac:dyDescent="0.35">
      <c r="B429" s="14">
        <v>652</v>
      </c>
      <c r="C429" s="4" t="s">
        <v>434</v>
      </c>
      <c r="D429" s="4" t="s">
        <v>2370</v>
      </c>
      <c r="E429" s="4" t="s">
        <v>2913</v>
      </c>
      <c r="F429" s="4" t="s">
        <v>85</v>
      </c>
      <c r="G429" s="4" t="s">
        <v>993</v>
      </c>
      <c r="H429" s="6">
        <v>0.18029999999999999</v>
      </c>
      <c r="I429" s="8">
        <v>114.7</v>
      </c>
      <c r="J429" s="8">
        <v>114.7</v>
      </c>
      <c r="K429" s="8">
        <v>133</v>
      </c>
      <c r="L429" s="8">
        <f t="shared" si="17"/>
        <v>1749759.97</v>
      </c>
      <c r="M429" s="15">
        <v>7897801302555</v>
      </c>
      <c r="N429" s="6" t="s">
        <v>20</v>
      </c>
      <c r="O429" s="6" t="s">
        <v>20</v>
      </c>
      <c r="P429" s="6" t="s">
        <v>20</v>
      </c>
      <c r="Q429" s="6">
        <v>0.42</v>
      </c>
      <c r="R429" s="6">
        <v>0.13300000000000001</v>
      </c>
      <c r="S429" s="6">
        <v>0.51</v>
      </c>
      <c r="T429" s="8">
        <v>10</v>
      </c>
      <c r="U429" s="5" t="s">
        <v>994</v>
      </c>
      <c r="V429" s="89">
        <v>0</v>
      </c>
      <c r="W429" s="15">
        <v>17897801302552</v>
      </c>
      <c r="X429" s="6" t="s">
        <v>20</v>
      </c>
      <c r="Y429" s="6" t="s">
        <v>20</v>
      </c>
      <c r="Z429" s="6" t="s">
        <v>20</v>
      </c>
      <c r="AA429" s="6"/>
      <c r="AB429" s="8">
        <v>0</v>
      </c>
      <c r="AC429" s="15">
        <v>27897801302559</v>
      </c>
      <c r="AD429" s="4" t="s">
        <v>992</v>
      </c>
    </row>
    <row r="430" spans="2:30" x14ac:dyDescent="0.35">
      <c r="B430" s="14">
        <v>653</v>
      </c>
      <c r="C430" s="4" t="s">
        <v>435</v>
      </c>
      <c r="D430" s="4" t="s">
        <v>2403</v>
      </c>
      <c r="E430" s="4" t="s">
        <v>2913</v>
      </c>
      <c r="F430" s="4" t="s">
        <v>85</v>
      </c>
      <c r="G430" s="4" t="s">
        <v>993</v>
      </c>
      <c r="H430" s="6">
        <v>0.4284</v>
      </c>
      <c r="I430" s="8">
        <v>163.80000000000001</v>
      </c>
      <c r="J430" s="8">
        <v>140</v>
      </c>
      <c r="K430" s="8">
        <v>163.80000000000001</v>
      </c>
      <c r="L430" s="8">
        <f t="shared" si="17"/>
        <v>3756261.6</v>
      </c>
      <c r="M430" s="15">
        <v>7897801308090</v>
      </c>
      <c r="N430" s="6" t="s">
        <v>20</v>
      </c>
      <c r="O430" s="6" t="s">
        <v>20</v>
      </c>
      <c r="P430" s="6" t="s">
        <v>20</v>
      </c>
      <c r="Q430" s="6">
        <v>0.38</v>
      </c>
      <c r="R430" s="6">
        <v>0.14000000000000001</v>
      </c>
      <c r="S430" s="6">
        <v>0.62</v>
      </c>
      <c r="T430" s="8">
        <v>5</v>
      </c>
      <c r="U430" s="5" t="s">
        <v>994</v>
      </c>
      <c r="V430" s="89">
        <v>0</v>
      </c>
      <c r="W430" s="15">
        <v>17897801308097</v>
      </c>
      <c r="X430" s="6" t="s">
        <v>20</v>
      </c>
      <c r="Y430" s="6" t="s">
        <v>20</v>
      </c>
      <c r="Z430" s="6" t="s">
        <v>20</v>
      </c>
      <c r="AA430" s="6"/>
      <c r="AB430" s="8">
        <v>0</v>
      </c>
      <c r="AC430" s="15">
        <v>27897801308094</v>
      </c>
      <c r="AD430" s="4" t="s">
        <v>992</v>
      </c>
    </row>
    <row r="431" spans="2:30" x14ac:dyDescent="0.35">
      <c r="B431" s="14">
        <v>654</v>
      </c>
      <c r="C431" s="4" t="s">
        <v>436</v>
      </c>
      <c r="D431" s="4" t="s">
        <v>2370</v>
      </c>
      <c r="E431" s="4" t="s">
        <v>2913</v>
      </c>
      <c r="F431" s="4" t="s">
        <v>85</v>
      </c>
      <c r="G431" s="4" t="s">
        <v>993</v>
      </c>
      <c r="H431" s="6">
        <v>6.8599999999999994E-2</v>
      </c>
      <c r="I431" s="8">
        <v>75.5</v>
      </c>
      <c r="J431" s="8">
        <v>75.5</v>
      </c>
      <c r="K431" s="8">
        <v>107.5</v>
      </c>
      <c r="L431" s="8">
        <f t="shared" si="17"/>
        <v>612776.875</v>
      </c>
      <c r="M431" s="15">
        <v>7897801302104</v>
      </c>
      <c r="N431" s="6" t="s">
        <v>20</v>
      </c>
      <c r="O431" s="6" t="s">
        <v>20</v>
      </c>
      <c r="P431" s="6" t="s">
        <v>20</v>
      </c>
      <c r="Q431" s="6">
        <v>0.25</v>
      </c>
      <c r="R431" s="6">
        <v>7.8E-2</v>
      </c>
      <c r="S431" s="6">
        <v>0.28000000000000003</v>
      </c>
      <c r="T431" s="8">
        <v>10</v>
      </c>
      <c r="U431" s="5" t="s">
        <v>994</v>
      </c>
      <c r="V431" s="89">
        <v>0</v>
      </c>
      <c r="W431" s="15">
        <v>17897801302101</v>
      </c>
      <c r="X431" s="6">
        <v>0.6</v>
      </c>
      <c r="Y431" s="6">
        <v>0.26</v>
      </c>
      <c r="Z431" s="6">
        <v>0.65</v>
      </c>
      <c r="AA431" s="6">
        <f>Y431*X431*Z431</f>
        <v>0.1014</v>
      </c>
      <c r="AB431" s="8">
        <v>140</v>
      </c>
      <c r="AC431" s="15">
        <v>27897801302108</v>
      </c>
      <c r="AD431" s="4" t="s">
        <v>992</v>
      </c>
    </row>
    <row r="432" spans="2:30" x14ac:dyDescent="0.35">
      <c r="B432" s="14">
        <v>655</v>
      </c>
      <c r="C432" s="4" t="s">
        <v>437</v>
      </c>
      <c r="D432" s="4" t="s">
        <v>2370</v>
      </c>
      <c r="E432" s="4" t="s">
        <v>2913</v>
      </c>
      <c r="F432" s="4" t="s">
        <v>85</v>
      </c>
      <c r="G432" s="4" t="s">
        <v>993</v>
      </c>
      <c r="H432" s="6">
        <v>0.11070000000000001</v>
      </c>
      <c r="I432" s="8">
        <v>100</v>
      </c>
      <c r="J432" s="8">
        <v>135</v>
      </c>
      <c r="K432" s="8">
        <v>100</v>
      </c>
      <c r="L432" s="8">
        <f t="shared" si="17"/>
        <v>1350000</v>
      </c>
      <c r="M432" s="15">
        <v>7897801301657</v>
      </c>
      <c r="N432" s="6" t="s">
        <v>20</v>
      </c>
      <c r="O432" s="6" t="s">
        <v>20</v>
      </c>
      <c r="P432" s="6" t="s">
        <v>20</v>
      </c>
      <c r="Q432" s="6">
        <v>0.3</v>
      </c>
      <c r="R432" s="6">
        <v>0.11</v>
      </c>
      <c r="S432" s="6">
        <v>0.4</v>
      </c>
      <c r="T432" s="8">
        <v>10</v>
      </c>
      <c r="U432" s="5" t="s">
        <v>994</v>
      </c>
      <c r="V432" s="89">
        <v>0</v>
      </c>
      <c r="W432" s="15">
        <v>17897801301654</v>
      </c>
      <c r="X432" s="6" t="s">
        <v>20</v>
      </c>
      <c r="Y432" s="6" t="s">
        <v>20</v>
      </c>
      <c r="Z432" s="6" t="s">
        <v>20</v>
      </c>
      <c r="AA432" s="6"/>
      <c r="AB432" s="8">
        <v>0</v>
      </c>
      <c r="AC432" s="15">
        <v>27897801301651</v>
      </c>
      <c r="AD432" s="4" t="s">
        <v>992</v>
      </c>
    </row>
    <row r="433" spans="2:30" x14ac:dyDescent="0.35">
      <c r="B433" s="14">
        <v>656</v>
      </c>
      <c r="C433" s="4" t="s">
        <v>438</v>
      </c>
      <c r="D433" s="4" t="s">
        <v>2370</v>
      </c>
      <c r="E433" s="4" t="s">
        <v>2913</v>
      </c>
      <c r="F433" s="4" t="s">
        <v>85</v>
      </c>
      <c r="G433" s="4" t="s">
        <v>993</v>
      </c>
      <c r="H433" s="6">
        <v>0.1206</v>
      </c>
      <c r="I433" s="8">
        <v>101.6</v>
      </c>
      <c r="J433" s="8">
        <v>101.6</v>
      </c>
      <c r="K433" s="8">
        <v>122</v>
      </c>
      <c r="L433" s="8">
        <f t="shared" si="17"/>
        <v>1259352.3199999998</v>
      </c>
      <c r="M433" s="15">
        <v>7897801302159</v>
      </c>
      <c r="N433" s="6" t="s">
        <v>20</v>
      </c>
      <c r="O433" s="6" t="s">
        <v>20</v>
      </c>
      <c r="P433" s="6" t="s">
        <v>20</v>
      </c>
      <c r="Q433" s="6">
        <v>0.4</v>
      </c>
      <c r="R433" s="6">
        <v>0.11</v>
      </c>
      <c r="S433" s="6">
        <v>0.43</v>
      </c>
      <c r="T433" s="8">
        <v>10</v>
      </c>
      <c r="U433" s="5" t="s">
        <v>994</v>
      </c>
      <c r="V433" s="89">
        <v>0</v>
      </c>
      <c r="W433" s="15">
        <v>17897801302156</v>
      </c>
      <c r="X433" s="6" t="s">
        <v>20</v>
      </c>
      <c r="Y433" s="6" t="s">
        <v>20</v>
      </c>
      <c r="Z433" s="6" t="s">
        <v>20</v>
      </c>
      <c r="AA433" s="6"/>
      <c r="AB433" s="8">
        <v>0</v>
      </c>
      <c r="AC433" s="15">
        <v>27897801302153</v>
      </c>
      <c r="AD433" s="4" t="s">
        <v>992</v>
      </c>
    </row>
    <row r="434" spans="2:30" x14ac:dyDescent="0.35">
      <c r="B434" s="14">
        <v>657</v>
      </c>
      <c r="C434" s="4" t="s">
        <v>439</v>
      </c>
      <c r="D434" s="4" t="s">
        <v>2403</v>
      </c>
      <c r="E434" s="4" t="s">
        <v>2913</v>
      </c>
      <c r="F434" s="4" t="s">
        <v>85</v>
      </c>
      <c r="G434" s="4" t="s">
        <v>993</v>
      </c>
      <c r="H434" s="6">
        <v>0.2888</v>
      </c>
      <c r="I434" s="8">
        <v>150</v>
      </c>
      <c r="J434" s="8">
        <v>150</v>
      </c>
      <c r="K434" s="8">
        <v>150</v>
      </c>
      <c r="L434" s="8">
        <f t="shared" si="17"/>
        <v>3375000</v>
      </c>
      <c r="M434" s="15">
        <v>7897801301459</v>
      </c>
      <c r="N434" s="6" t="s">
        <v>20</v>
      </c>
      <c r="O434" s="6" t="s">
        <v>20</v>
      </c>
      <c r="P434" s="6" t="s">
        <v>20</v>
      </c>
      <c r="Q434" s="6">
        <v>0.4</v>
      </c>
      <c r="R434" s="6">
        <v>0.15</v>
      </c>
      <c r="S434" s="6">
        <v>0.49</v>
      </c>
      <c r="T434" s="8">
        <v>5</v>
      </c>
      <c r="U434" s="5" t="s">
        <v>994</v>
      </c>
      <c r="V434" s="89">
        <v>0</v>
      </c>
      <c r="W434" s="15">
        <v>17897801301456</v>
      </c>
      <c r="X434" s="6" t="s">
        <v>20</v>
      </c>
      <c r="Y434" s="6" t="s">
        <v>20</v>
      </c>
      <c r="Z434" s="6" t="s">
        <v>20</v>
      </c>
      <c r="AA434" s="6"/>
      <c r="AB434" s="8">
        <v>0</v>
      </c>
      <c r="AC434" s="15">
        <v>27897801301453</v>
      </c>
      <c r="AD434" s="4" t="s">
        <v>992</v>
      </c>
    </row>
    <row r="435" spans="2:30" x14ac:dyDescent="0.35">
      <c r="B435" s="14">
        <v>658</v>
      </c>
      <c r="C435" s="4" t="s">
        <v>440</v>
      </c>
      <c r="D435" s="4" t="s">
        <v>2411</v>
      </c>
      <c r="E435" s="4" t="s">
        <v>2913</v>
      </c>
      <c r="F435" s="4" t="s">
        <v>85</v>
      </c>
      <c r="G435" s="4" t="s">
        <v>993</v>
      </c>
      <c r="H435" s="6">
        <v>3.9100000000000003E-2</v>
      </c>
      <c r="I435" s="8">
        <v>88</v>
      </c>
      <c r="J435" s="8">
        <v>46</v>
      </c>
      <c r="K435" s="8">
        <v>67</v>
      </c>
      <c r="L435" s="8">
        <f t="shared" si="17"/>
        <v>271216</v>
      </c>
      <c r="M435" s="15">
        <v>7897801300278</v>
      </c>
      <c r="N435" s="6" t="s">
        <v>20</v>
      </c>
      <c r="O435" s="6" t="s">
        <v>20</v>
      </c>
      <c r="P435" s="6" t="s">
        <v>20</v>
      </c>
      <c r="Q435" s="6">
        <v>0.25</v>
      </c>
      <c r="R435" s="6">
        <v>0.1</v>
      </c>
      <c r="S435" s="6">
        <v>0.47</v>
      </c>
      <c r="T435" s="8">
        <v>25</v>
      </c>
      <c r="U435" s="5" t="s">
        <v>994</v>
      </c>
      <c r="V435" s="89">
        <v>0</v>
      </c>
      <c r="W435" s="15">
        <v>17897801300275</v>
      </c>
      <c r="X435" s="6">
        <v>0.56000000000000005</v>
      </c>
      <c r="Y435" s="6">
        <v>0.17</v>
      </c>
      <c r="Z435" s="6">
        <v>0.75</v>
      </c>
      <c r="AA435" s="6">
        <f>Y435*X435*Z435</f>
        <v>7.1400000000000019E-2</v>
      </c>
      <c r="AB435" s="8">
        <v>200</v>
      </c>
      <c r="AC435" s="15">
        <v>27897801300272</v>
      </c>
      <c r="AD435" s="4" t="s">
        <v>992</v>
      </c>
    </row>
    <row r="436" spans="2:30" x14ac:dyDescent="0.35">
      <c r="B436" s="14">
        <v>659</v>
      </c>
      <c r="C436" s="4" t="s">
        <v>441</v>
      </c>
      <c r="D436" s="4" t="s">
        <v>2370</v>
      </c>
      <c r="E436" s="4" t="s">
        <v>2913</v>
      </c>
      <c r="F436" s="4" t="s">
        <v>85</v>
      </c>
      <c r="G436" s="4" t="s">
        <v>993</v>
      </c>
      <c r="H436" s="6">
        <v>9.5899999999999999E-2</v>
      </c>
      <c r="I436" s="8">
        <v>110.5</v>
      </c>
      <c r="J436" s="8">
        <v>63</v>
      </c>
      <c r="K436" s="8">
        <v>152.5</v>
      </c>
      <c r="L436" s="8">
        <f t="shared" si="17"/>
        <v>1061628.75</v>
      </c>
      <c r="M436" s="15">
        <v>7897801301497</v>
      </c>
      <c r="N436" s="6" t="s">
        <v>20</v>
      </c>
      <c r="O436" s="6" t="s">
        <v>20</v>
      </c>
      <c r="P436" s="6" t="s">
        <v>20</v>
      </c>
      <c r="Q436" s="6">
        <v>0.27</v>
      </c>
      <c r="R436" s="6">
        <v>0.1</v>
      </c>
      <c r="S436" s="6">
        <v>0.4</v>
      </c>
      <c r="T436" s="8">
        <v>10</v>
      </c>
      <c r="U436" s="5" t="s">
        <v>994</v>
      </c>
      <c r="V436" s="89">
        <v>0</v>
      </c>
      <c r="W436" s="15">
        <v>17897801301494</v>
      </c>
      <c r="X436" s="6">
        <v>0.5</v>
      </c>
      <c r="Y436" s="6">
        <v>0.28000000000000003</v>
      </c>
      <c r="Z436" s="6">
        <v>0.66</v>
      </c>
      <c r="AA436" s="6">
        <f>Y436*X436*Z436</f>
        <v>9.240000000000001E-2</v>
      </c>
      <c r="AB436" s="8">
        <v>90</v>
      </c>
      <c r="AC436" s="15">
        <v>27897801301491</v>
      </c>
      <c r="AD436" s="4" t="s">
        <v>992</v>
      </c>
    </row>
    <row r="437" spans="2:30" x14ac:dyDescent="0.35">
      <c r="B437" s="14">
        <v>660</v>
      </c>
      <c r="C437" s="4" t="s">
        <v>442</v>
      </c>
      <c r="D437" s="4" t="s">
        <v>2370</v>
      </c>
      <c r="E437" s="4" t="s">
        <v>2913</v>
      </c>
      <c r="F437" s="4" t="s">
        <v>85</v>
      </c>
      <c r="G437" s="4" t="s">
        <v>993</v>
      </c>
      <c r="H437" s="6">
        <v>0.1855</v>
      </c>
      <c r="I437" s="8">
        <v>143.9</v>
      </c>
      <c r="J437" s="8">
        <v>87.8</v>
      </c>
      <c r="K437" s="8">
        <v>184</v>
      </c>
      <c r="L437" s="8">
        <f t="shared" si="17"/>
        <v>2324733.2799999998</v>
      </c>
      <c r="M437" s="15">
        <v>7897801301756</v>
      </c>
      <c r="N437" s="6" t="s">
        <v>20</v>
      </c>
      <c r="O437" s="6" t="s">
        <v>20</v>
      </c>
      <c r="P437" s="6" t="s">
        <v>20</v>
      </c>
      <c r="Q437" s="6">
        <v>0.38</v>
      </c>
      <c r="R437" s="6">
        <v>0.18</v>
      </c>
      <c r="S437" s="6">
        <v>0.6</v>
      </c>
      <c r="T437" s="8">
        <v>10</v>
      </c>
      <c r="U437" s="5" t="s">
        <v>994</v>
      </c>
      <c r="V437" s="89">
        <v>0</v>
      </c>
      <c r="W437" s="15">
        <v>17897801301753</v>
      </c>
      <c r="X437" s="6" t="s">
        <v>20</v>
      </c>
      <c r="Y437" s="6" t="s">
        <v>20</v>
      </c>
      <c r="Z437" s="6" t="s">
        <v>20</v>
      </c>
      <c r="AA437" s="6"/>
      <c r="AB437" s="8">
        <v>0</v>
      </c>
      <c r="AC437" s="15">
        <v>27897801301750</v>
      </c>
      <c r="AD437" s="4" t="s">
        <v>992</v>
      </c>
    </row>
    <row r="438" spans="2:30" x14ac:dyDescent="0.35">
      <c r="B438" s="14">
        <v>661</v>
      </c>
      <c r="C438" s="4" t="s">
        <v>443</v>
      </c>
      <c r="D438" s="4" t="s">
        <v>2370</v>
      </c>
      <c r="E438" s="4" t="s">
        <v>2913</v>
      </c>
      <c r="F438" s="4" t="s">
        <v>85</v>
      </c>
      <c r="G438" s="4" t="s">
        <v>993</v>
      </c>
      <c r="H438" s="6">
        <v>0.30299999999999999</v>
      </c>
      <c r="I438" s="8">
        <v>177.3</v>
      </c>
      <c r="J438" s="8">
        <v>114.7</v>
      </c>
      <c r="K438" s="8">
        <v>224</v>
      </c>
      <c r="L438" s="8">
        <f t="shared" si="17"/>
        <v>4555333.4400000004</v>
      </c>
      <c r="M438" s="15">
        <v>7897801301268</v>
      </c>
      <c r="N438" s="6" t="s">
        <v>20</v>
      </c>
      <c r="O438" s="6" t="s">
        <v>20</v>
      </c>
      <c r="P438" s="6" t="s">
        <v>20</v>
      </c>
      <c r="Q438" s="6">
        <v>0.5</v>
      </c>
      <c r="R438" s="6">
        <v>0.21</v>
      </c>
      <c r="S438" s="6">
        <v>0.67</v>
      </c>
      <c r="T438" s="8">
        <v>10</v>
      </c>
      <c r="U438" s="5" t="s">
        <v>994</v>
      </c>
      <c r="V438" s="89">
        <v>0</v>
      </c>
      <c r="W438" s="15">
        <v>17897801301265</v>
      </c>
      <c r="X438" s="6" t="s">
        <v>20</v>
      </c>
      <c r="Y438" s="6" t="s">
        <v>20</v>
      </c>
      <c r="Z438" s="6" t="s">
        <v>20</v>
      </c>
      <c r="AA438" s="6"/>
      <c r="AB438" s="8">
        <v>0</v>
      </c>
      <c r="AC438" s="15">
        <v>27897801301262</v>
      </c>
      <c r="AD438" s="4" t="s">
        <v>992</v>
      </c>
    </row>
    <row r="439" spans="2:30" x14ac:dyDescent="0.35">
      <c r="B439" s="14">
        <v>662</v>
      </c>
      <c r="C439" s="4" t="s">
        <v>444</v>
      </c>
      <c r="D439" s="4" t="s">
        <v>2403</v>
      </c>
      <c r="E439" s="4" t="s">
        <v>2913</v>
      </c>
      <c r="F439" s="4" t="s">
        <v>85</v>
      </c>
      <c r="G439" s="4" t="s">
        <v>993</v>
      </c>
      <c r="H439" s="6">
        <v>0.86729999999999996</v>
      </c>
      <c r="I439" s="8">
        <v>259.5</v>
      </c>
      <c r="J439" s="8">
        <v>169</v>
      </c>
      <c r="K439" s="8">
        <v>296</v>
      </c>
      <c r="L439" s="8">
        <f t="shared" si="17"/>
        <v>12981228</v>
      </c>
      <c r="M439" s="15">
        <v>7897801303019</v>
      </c>
      <c r="N439" s="6" t="s">
        <v>20</v>
      </c>
      <c r="O439" s="6" t="s">
        <v>20</v>
      </c>
      <c r="P439" s="6" t="s">
        <v>20</v>
      </c>
      <c r="Q439" s="6">
        <v>0.53</v>
      </c>
      <c r="R439" s="6">
        <v>0.3</v>
      </c>
      <c r="S439" s="6">
        <v>0.77</v>
      </c>
      <c r="T439" s="8">
        <v>5</v>
      </c>
      <c r="U439" s="5" t="s">
        <v>994</v>
      </c>
      <c r="V439" s="89">
        <v>0</v>
      </c>
      <c r="W439" s="15">
        <v>17897801303016</v>
      </c>
      <c r="X439" s="6" t="s">
        <v>20</v>
      </c>
      <c r="Y439" s="6" t="s">
        <v>20</v>
      </c>
      <c r="Z439" s="6" t="s">
        <v>20</v>
      </c>
      <c r="AA439" s="6"/>
      <c r="AB439" s="8">
        <v>0</v>
      </c>
      <c r="AC439" s="15">
        <v>27897801303013</v>
      </c>
      <c r="AD439" s="4" t="s">
        <v>992</v>
      </c>
    </row>
    <row r="440" spans="2:30" x14ac:dyDescent="0.35">
      <c r="B440" s="14">
        <v>663</v>
      </c>
      <c r="C440" s="4" t="s">
        <v>445</v>
      </c>
      <c r="D440" s="4" t="s">
        <v>2370</v>
      </c>
      <c r="E440" s="4" t="s">
        <v>2913</v>
      </c>
      <c r="F440" s="4" t="s">
        <v>85</v>
      </c>
      <c r="G440" s="4" t="s">
        <v>993</v>
      </c>
      <c r="H440" s="6">
        <v>0.1389</v>
      </c>
      <c r="I440" s="8">
        <v>133.9</v>
      </c>
      <c r="J440" s="8">
        <v>87.8</v>
      </c>
      <c r="K440" s="8">
        <v>160</v>
      </c>
      <c r="L440" s="8">
        <f t="shared" si="17"/>
        <v>1881027.2</v>
      </c>
      <c r="M440" s="15">
        <v>7897801302487</v>
      </c>
      <c r="N440" s="6" t="s">
        <v>20</v>
      </c>
      <c r="O440" s="6" t="s">
        <v>20</v>
      </c>
      <c r="P440" s="6" t="s">
        <v>20</v>
      </c>
      <c r="Q440" s="6">
        <v>0.33</v>
      </c>
      <c r="R440" s="6">
        <v>0.12</v>
      </c>
      <c r="S440" s="6">
        <v>0.4</v>
      </c>
      <c r="T440" s="8">
        <v>10</v>
      </c>
      <c r="U440" s="5" t="s">
        <v>994</v>
      </c>
      <c r="V440" s="89">
        <v>0</v>
      </c>
      <c r="W440" s="15">
        <v>17897801302484</v>
      </c>
      <c r="X440" s="6" t="s">
        <v>20</v>
      </c>
      <c r="Y440" s="6" t="s">
        <v>20</v>
      </c>
      <c r="Z440" s="6" t="s">
        <v>20</v>
      </c>
      <c r="AA440" s="6"/>
      <c r="AB440" s="8">
        <v>0</v>
      </c>
      <c r="AC440" s="15">
        <v>27897801302481</v>
      </c>
      <c r="AD440" s="4" t="s">
        <v>992</v>
      </c>
    </row>
    <row r="441" spans="2:30" x14ac:dyDescent="0.35">
      <c r="B441" s="14">
        <v>664</v>
      </c>
      <c r="C441" s="4" t="s">
        <v>446</v>
      </c>
      <c r="D441" s="4" t="s">
        <v>2370</v>
      </c>
      <c r="E441" s="4" t="s">
        <v>2913</v>
      </c>
      <c r="F441" s="4" t="s">
        <v>85</v>
      </c>
      <c r="G441" s="4" t="s">
        <v>993</v>
      </c>
      <c r="H441" s="6">
        <v>0.1961</v>
      </c>
      <c r="I441" s="8">
        <v>160</v>
      </c>
      <c r="J441" s="8">
        <v>114.7</v>
      </c>
      <c r="K441" s="8">
        <v>167</v>
      </c>
      <c r="L441" s="8">
        <f t="shared" si="17"/>
        <v>3064784</v>
      </c>
      <c r="M441" s="15">
        <v>7897801301480</v>
      </c>
      <c r="N441" s="6" t="s">
        <v>20</v>
      </c>
      <c r="O441" s="6" t="s">
        <v>20</v>
      </c>
      <c r="P441" s="6" t="s">
        <v>20</v>
      </c>
      <c r="Q441" s="6">
        <v>0.4</v>
      </c>
      <c r="R441" s="6">
        <v>0.17</v>
      </c>
      <c r="S441" s="6">
        <v>0.6</v>
      </c>
      <c r="T441" s="8">
        <v>10</v>
      </c>
      <c r="U441" s="5" t="s">
        <v>994</v>
      </c>
      <c r="V441" s="89">
        <v>0</v>
      </c>
      <c r="W441" s="15">
        <v>17897801301487</v>
      </c>
      <c r="X441" s="6" t="s">
        <v>20</v>
      </c>
      <c r="Y441" s="6" t="s">
        <v>20</v>
      </c>
      <c r="Z441" s="6" t="s">
        <v>20</v>
      </c>
      <c r="AA441" s="6"/>
      <c r="AB441" s="8">
        <v>0</v>
      </c>
      <c r="AC441" s="15">
        <v>27897801301484</v>
      </c>
      <c r="AD441" s="4" t="s">
        <v>992</v>
      </c>
    </row>
    <row r="442" spans="2:30" x14ac:dyDescent="0.35">
      <c r="B442" s="14">
        <v>665</v>
      </c>
      <c r="C442" s="4" t="s">
        <v>447</v>
      </c>
      <c r="D442" s="4" t="s">
        <v>2370</v>
      </c>
      <c r="E442" s="4" t="s">
        <v>2913</v>
      </c>
      <c r="F442" s="4" t="s">
        <v>85</v>
      </c>
      <c r="G442" s="4" t="s">
        <v>993</v>
      </c>
      <c r="H442" s="6">
        <v>0.26750000000000002</v>
      </c>
      <c r="I442" s="8">
        <v>168.8</v>
      </c>
      <c r="J442" s="8">
        <v>114.7</v>
      </c>
      <c r="K442" s="8">
        <v>197</v>
      </c>
      <c r="L442" s="8">
        <f t="shared" ref="L442:L472" si="18">J442*I442*K442</f>
        <v>3814187.92</v>
      </c>
      <c r="M442" s="15">
        <v>7897801302463</v>
      </c>
      <c r="N442" s="6" t="s">
        <v>20</v>
      </c>
      <c r="O442" s="6" t="s">
        <v>20</v>
      </c>
      <c r="P442" s="6" t="s">
        <v>20</v>
      </c>
      <c r="Q442" s="6">
        <v>0.55000000000000004</v>
      </c>
      <c r="R442" s="6">
        <v>0.18</v>
      </c>
      <c r="S442" s="6">
        <v>0.81</v>
      </c>
      <c r="T442" s="8">
        <v>10</v>
      </c>
      <c r="U442" s="5" t="s">
        <v>994</v>
      </c>
      <c r="V442" s="89">
        <v>0</v>
      </c>
      <c r="W442" s="15">
        <v>17897801302460</v>
      </c>
      <c r="X442" s="6" t="s">
        <v>20</v>
      </c>
      <c r="Y442" s="6" t="s">
        <v>20</v>
      </c>
      <c r="Z442" s="6" t="s">
        <v>20</v>
      </c>
      <c r="AA442" s="6"/>
      <c r="AB442" s="8">
        <v>0</v>
      </c>
      <c r="AC442" s="15">
        <v>27897801302467</v>
      </c>
      <c r="AD442" s="4" t="s">
        <v>992</v>
      </c>
    </row>
    <row r="443" spans="2:30" x14ac:dyDescent="0.35">
      <c r="B443" s="14">
        <v>666</v>
      </c>
      <c r="C443" s="4" t="s">
        <v>448</v>
      </c>
      <c r="D443" s="4" t="s">
        <v>2403</v>
      </c>
      <c r="E443" s="4" t="s">
        <v>2913</v>
      </c>
      <c r="F443" s="4" t="s">
        <v>85</v>
      </c>
      <c r="G443" s="4" t="s">
        <v>993</v>
      </c>
      <c r="H443" s="6">
        <v>0.61650000000000005</v>
      </c>
      <c r="I443" s="8">
        <v>218.2</v>
      </c>
      <c r="J443" s="8">
        <v>246</v>
      </c>
      <c r="K443" s="8">
        <v>218.2</v>
      </c>
      <c r="L443" s="8">
        <f t="shared" si="18"/>
        <v>11712365.039999999</v>
      </c>
      <c r="M443" s="15">
        <v>7897801307451</v>
      </c>
      <c r="N443" s="6" t="s">
        <v>20</v>
      </c>
      <c r="O443" s="6" t="s">
        <v>20</v>
      </c>
      <c r="P443" s="6" t="s">
        <v>20</v>
      </c>
      <c r="Q443" s="6">
        <v>0.46</v>
      </c>
      <c r="R443" s="6">
        <v>0.28999999999999998</v>
      </c>
      <c r="S443" s="6">
        <v>0.64</v>
      </c>
      <c r="T443" s="8">
        <v>5</v>
      </c>
      <c r="U443" s="5" t="s">
        <v>994</v>
      </c>
      <c r="V443" s="89">
        <v>0</v>
      </c>
      <c r="W443" s="15">
        <v>17897801307458</v>
      </c>
      <c r="X443" s="6" t="s">
        <v>20</v>
      </c>
      <c r="Y443" s="6" t="s">
        <v>20</v>
      </c>
      <c r="Z443" s="6" t="s">
        <v>20</v>
      </c>
      <c r="AA443" s="6"/>
      <c r="AB443" s="8">
        <v>0</v>
      </c>
      <c r="AC443" s="15">
        <v>27897801307455</v>
      </c>
      <c r="AD443" s="4" t="s">
        <v>992</v>
      </c>
    </row>
    <row r="444" spans="2:30" x14ac:dyDescent="0.35">
      <c r="B444" s="14">
        <v>668</v>
      </c>
      <c r="C444" s="4" t="s">
        <v>449</v>
      </c>
      <c r="D444" s="4" t="s">
        <v>2374</v>
      </c>
      <c r="E444" s="4" t="s">
        <v>2913</v>
      </c>
      <c r="F444" s="4" t="s">
        <v>85</v>
      </c>
      <c r="G444" s="4" t="s">
        <v>993</v>
      </c>
      <c r="H444" s="6">
        <v>0.89649999999999996</v>
      </c>
      <c r="I444" s="8">
        <v>167</v>
      </c>
      <c r="J444" s="8">
        <v>195</v>
      </c>
      <c r="K444" s="8">
        <v>203</v>
      </c>
      <c r="L444" s="8">
        <f t="shared" si="18"/>
        <v>6610695</v>
      </c>
      <c r="M444" s="15">
        <v>7897801311199</v>
      </c>
      <c r="N444" s="6" t="s">
        <v>20</v>
      </c>
      <c r="O444" s="6" t="s">
        <v>20</v>
      </c>
      <c r="P444" s="6" t="s">
        <v>20</v>
      </c>
      <c r="Q444" s="6">
        <v>0.17</v>
      </c>
      <c r="R444" s="6">
        <v>0.2</v>
      </c>
      <c r="S444" s="6">
        <v>0.23</v>
      </c>
      <c r="T444" s="8">
        <v>1</v>
      </c>
      <c r="U444" s="5" t="s">
        <v>1003</v>
      </c>
      <c r="V444" s="89">
        <v>0</v>
      </c>
      <c r="W444" s="15">
        <v>17897801311196</v>
      </c>
      <c r="X444" s="6">
        <v>0.4</v>
      </c>
      <c r="Y444" s="6">
        <v>0.2</v>
      </c>
      <c r="Z444" s="6">
        <v>0.65</v>
      </c>
      <c r="AA444" s="6">
        <f>Y444*X444*Z444</f>
        <v>5.2000000000000011E-2</v>
      </c>
      <c r="AB444" s="8">
        <v>0</v>
      </c>
      <c r="AC444" s="15">
        <v>27897801311193</v>
      </c>
      <c r="AD444" s="4" t="s">
        <v>992</v>
      </c>
    </row>
    <row r="445" spans="2:30" x14ac:dyDescent="0.35">
      <c r="B445" s="14">
        <v>669</v>
      </c>
      <c r="C445" s="4" t="s">
        <v>450</v>
      </c>
      <c r="D445" s="4" t="s">
        <v>2374</v>
      </c>
      <c r="E445" s="4" t="s">
        <v>2913</v>
      </c>
      <c r="F445" s="4" t="s">
        <v>85</v>
      </c>
      <c r="G445" s="4" t="s">
        <v>1004</v>
      </c>
      <c r="H445" s="6">
        <v>1.2074</v>
      </c>
      <c r="I445" s="8">
        <v>305</v>
      </c>
      <c r="J445" s="8">
        <v>230</v>
      </c>
      <c r="K445" s="8">
        <v>220</v>
      </c>
      <c r="L445" s="8">
        <f t="shared" si="18"/>
        <v>15433000</v>
      </c>
      <c r="M445" s="15">
        <v>7897801316774</v>
      </c>
      <c r="N445" s="6" t="s">
        <v>20</v>
      </c>
      <c r="O445" s="6" t="s">
        <v>20</v>
      </c>
      <c r="P445" s="6" t="s">
        <v>20</v>
      </c>
      <c r="Q445" s="6">
        <v>0.25</v>
      </c>
      <c r="R445" s="6">
        <v>0.22</v>
      </c>
      <c r="S445" s="6">
        <v>0.32</v>
      </c>
      <c r="T445" s="8">
        <v>1</v>
      </c>
      <c r="U445" s="5" t="s">
        <v>1003</v>
      </c>
      <c r="V445" s="89">
        <v>0</v>
      </c>
      <c r="W445" s="15">
        <v>17897801316771</v>
      </c>
      <c r="X445" s="6" t="s">
        <v>20</v>
      </c>
      <c r="Y445" s="6" t="s">
        <v>20</v>
      </c>
      <c r="Z445" s="6" t="s">
        <v>20</v>
      </c>
      <c r="AA445" s="6"/>
      <c r="AB445" s="8">
        <v>0</v>
      </c>
      <c r="AC445" s="15">
        <v>27897801316778</v>
      </c>
      <c r="AD445" s="4" t="s">
        <v>992</v>
      </c>
    </row>
    <row r="446" spans="2:30" x14ac:dyDescent="0.35">
      <c r="B446" s="14">
        <v>670</v>
      </c>
      <c r="C446" s="4" t="s">
        <v>451</v>
      </c>
      <c r="D446" s="4" t="s">
        <v>2405</v>
      </c>
      <c r="E446" s="4" t="s">
        <v>2913</v>
      </c>
      <c r="F446" s="4" t="s">
        <v>85</v>
      </c>
      <c r="G446" s="4" t="s">
        <v>993</v>
      </c>
      <c r="H446" s="6">
        <v>3.2000000000000002E-3</v>
      </c>
      <c r="I446" s="8">
        <v>48</v>
      </c>
      <c r="J446" s="8">
        <v>48</v>
      </c>
      <c r="K446" s="8">
        <v>5</v>
      </c>
      <c r="L446" s="8">
        <f t="shared" si="18"/>
        <v>11520</v>
      </c>
      <c r="M446" s="15">
        <v>7897801302357</v>
      </c>
      <c r="N446" s="6" t="s">
        <v>20</v>
      </c>
      <c r="O446" s="6" t="s">
        <v>20</v>
      </c>
      <c r="P446" s="6" t="s">
        <v>20</v>
      </c>
      <c r="Q446" s="6">
        <v>0.15</v>
      </c>
      <c r="R446" s="6">
        <v>0.04</v>
      </c>
      <c r="S446" s="6">
        <v>0.2</v>
      </c>
      <c r="T446" s="8">
        <v>50</v>
      </c>
      <c r="U446" s="5" t="s">
        <v>1005</v>
      </c>
      <c r="V446" s="89">
        <v>0</v>
      </c>
      <c r="W446" s="15">
        <v>17897801302354</v>
      </c>
      <c r="X446" s="6">
        <v>0.5</v>
      </c>
      <c r="Y446" s="6">
        <v>0.15</v>
      </c>
      <c r="Z446" s="6">
        <v>0.75</v>
      </c>
      <c r="AA446" s="6">
        <f>Y446*X446*Z446</f>
        <v>5.6249999999999994E-2</v>
      </c>
      <c r="AB446" s="8">
        <v>4000</v>
      </c>
      <c r="AC446" s="15">
        <v>27897801302351</v>
      </c>
      <c r="AD446" s="4" t="s">
        <v>992</v>
      </c>
    </row>
    <row r="447" spans="2:30" x14ac:dyDescent="0.35">
      <c r="B447" s="14">
        <v>671</v>
      </c>
      <c r="C447" s="4" t="s">
        <v>452</v>
      </c>
      <c r="D447" s="4" t="s">
        <v>2405</v>
      </c>
      <c r="E447" s="4" t="s">
        <v>2913</v>
      </c>
      <c r="F447" s="4" t="s">
        <v>85</v>
      </c>
      <c r="G447" s="4" t="s">
        <v>993</v>
      </c>
      <c r="H447" s="6">
        <v>6.4000000000000003E-3</v>
      </c>
      <c r="I447" s="8">
        <v>63</v>
      </c>
      <c r="J447" s="8">
        <v>63</v>
      </c>
      <c r="K447" s="8">
        <v>6</v>
      </c>
      <c r="L447" s="8">
        <f t="shared" si="18"/>
        <v>23814</v>
      </c>
      <c r="M447" s="15">
        <v>7897801302364</v>
      </c>
      <c r="N447" s="6" t="s">
        <v>20</v>
      </c>
      <c r="O447" s="6" t="s">
        <v>20</v>
      </c>
      <c r="P447" s="6" t="s">
        <v>20</v>
      </c>
      <c r="Q447" s="6">
        <v>0.17</v>
      </c>
      <c r="R447" s="6">
        <v>3.5000000000000003E-2</v>
      </c>
      <c r="S447" s="6">
        <v>0.25</v>
      </c>
      <c r="T447" s="8">
        <v>50</v>
      </c>
      <c r="U447" s="5" t="s">
        <v>1005</v>
      </c>
      <c r="V447" s="89">
        <v>0</v>
      </c>
      <c r="W447" s="15">
        <v>17897801302361</v>
      </c>
      <c r="X447" s="6">
        <v>0.48</v>
      </c>
      <c r="Y447" s="6">
        <v>0.14000000000000001</v>
      </c>
      <c r="Z447" s="6">
        <v>0.75</v>
      </c>
      <c r="AA447" s="6">
        <f>Y447*X447*Z447</f>
        <v>5.0400000000000007E-2</v>
      </c>
      <c r="AB447" s="8">
        <v>2500</v>
      </c>
      <c r="AC447" s="15">
        <v>27897801302368</v>
      </c>
      <c r="AD447" s="4" t="s">
        <v>992</v>
      </c>
    </row>
    <row r="448" spans="2:30" x14ac:dyDescent="0.35">
      <c r="B448" s="14">
        <v>672</v>
      </c>
      <c r="C448" s="4" t="s">
        <v>453</v>
      </c>
      <c r="D448" s="4" t="s">
        <v>2405</v>
      </c>
      <c r="E448" s="4" t="s">
        <v>2913</v>
      </c>
      <c r="F448" s="4" t="s">
        <v>85</v>
      </c>
      <c r="G448" s="4" t="s">
        <v>993</v>
      </c>
      <c r="H448" s="6">
        <v>9.7999999999999997E-3</v>
      </c>
      <c r="I448" s="8">
        <v>89</v>
      </c>
      <c r="J448" s="8">
        <v>89</v>
      </c>
      <c r="K448" s="8">
        <v>6</v>
      </c>
      <c r="L448" s="8">
        <f t="shared" si="18"/>
        <v>47526</v>
      </c>
      <c r="M448" s="15">
        <v>7897801302371</v>
      </c>
      <c r="N448" s="6" t="s">
        <v>20</v>
      </c>
      <c r="O448" s="6" t="s">
        <v>20</v>
      </c>
      <c r="P448" s="6" t="s">
        <v>20</v>
      </c>
      <c r="Q448" s="6">
        <v>0.11</v>
      </c>
      <c r="R448" s="6">
        <v>0.05</v>
      </c>
      <c r="S448" s="6">
        <v>0.18</v>
      </c>
      <c r="T448" s="8">
        <v>25</v>
      </c>
      <c r="U448" s="5" t="s">
        <v>1005</v>
      </c>
      <c r="V448" s="89">
        <v>0</v>
      </c>
      <c r="W448" s="15">
        <v>17897801302378</v>
      </c>
      <c r="X448" s="6">
        <v>0.49</v>
      </c>
      <c r="Y448" s="6">
        <v>0.17</v>
      </c>
      <c r="Z448" s="6">
        <v>0.68</v>
      </c>
      <c r="AA448" s="6">
        <f>Y448*X448*Z448</f>
        <v>5.6644000000000007E-2</v>
      </c>
      <c r="AB448" s="8">
        <v>2000</v>
      </c>
      <c r="AC448" s="15">
        <v>27897801302375</v>
      </c>
      <c r="AD448" s="4" t="s">
        <v>992</v>
      </c>
    </row>
    <row r="449" spans="2:30" x14ac:dyDescent="0.35">
      <c r="B449" s="14">
        <v>673</v>
      </c>
      <c r="C449" s="4" t="s">
        <v>454</v>
      </c>
      <c r="D449" s="4" t="s">
        <v>2405</v>
      </c>
      <c r="E449" s="4" t="s">
        <v>2913</v>
      </c>
      <c r="F449" s="4" t="s">
        <v>85</v>
      </c>
      <c r="G449" s="4" t="s">
        <v>993</v>
      </c>
      <c r="H449" s="6">
        <v>1.2699999999999999E-2</v>
      </c>
      <c r="I449" s="8">
        <v>116</v>
      </c>
      <c r="J449" s="8">
        <v>116</v>
      </c>
      <c r="K449" s="8">
        <v>6</v>
      </c>
      <c r="L449" s="8">
        <f t="shared" si="18"/>
        <v>80736</v>
      </c>
      <c r="M449" s="15">
        <v>7897801302388</v>
      </c>
      <c r="N449" s="6" t="s">
        <v>20</v>
      </c>
      <c r="O449" s="6" t="s">
        <v>20</v>
      </c>
      <c r="P449" s="6" t="s">
        <v>20</v>
      </c>
      <c r="Q449" s="6">
        <v>0.15</v>
      </c>
      <c r="R449" s="6">
        <v>0.06</v>
      </c>
      <c r="S449" s="6">
        <v>0.2</v>
      </c>
      <c r="T449" s="8">
        <v>25</v>
      </c>
      <c r="U449" s="5" t="s">
        <v>1005</v>
      </c>
      <c r="V449" s="89">
        <v>0</v>
      </c>
      <c r="W449" s="15">
        <v>17897801302385</v>
      </c>
      <c r="X449" s="6">
        <v>0.48</v>
      </c>
      <c r="Y449" s="6">
        <v>0.12</v>
      </c>
      <c r="Z449" s="6">
        <v>0.72</v>
      </c>
      <c r="AA449" s="6">
        <f>Y449*X449*Z449</f>
        <v>4.1471999999999995E-2</v>
      </c>
      <c r="AB449" s="8">
        <v>1500</v>
      </c>
      <c r="AC449" s="15">
        <v>27897801302382</v>
      </c>
      <c r="AD449" s="4" t="s">
        <v>992</v>
      </c>
    </row>
    <row r="450" spans="2:30" x14ac:dyDescent="0.35">
      <c r="B450" s="14">
        <v>674</v>
      </c>
      <c r="C450" s="4" t="s">
        <v>455</v>
      </c>
      <c r="D450" s="4" t="s">
        <v>2405</v>
      </c>
      <c r="E450" s="4" t="s">
        <v>2913</v>
      </c>
      <c r="F450" s="4" t="s">
        <v>85</v>
      </c>
      <c r="G450" s="4" t="s">
        <v>993</v>
      </c>
      <c r="H450" s="6">
        <v>4.2000000000000003E-2</v>
      </c>
      <c r="I450" s="8">
        <v>163</v>
      </c>
      <c r="J450" s="8">
        <v>163</v>
      </c>
      <c r="K450" s="8">
        <v>9</v>
      </c>
      <c r="L450" s="8">
        <f t="shared" si="18"/>
        <v>239121</v>
      </c>
      <c r="M450" s="15">
        <v>7897801302395</v>
      </c>
      <c r="N450" s="6" t="s">
        <v>20</v>
      </c>
      <c r="O450" s="6" t="s">
        <v>20</v>
      </c>
      <c r="P450" s="6" t="s">
        <v>20</v>
      </c>
      <c r="Q450" s="6">
        <v>0.18</v>
      </c>
      <c r="R450" s="6">
        <v>0.05</v>
      </c>
      <c r="S450" s="6">
        <v>0.26</v>
      </c>
      <c r="T450" s="8">
        <v>15</v>
      </c>
      <c r="U450" s="5" t="s">
        <v>1005</v>
      </c>
      <c r="V450" s="89">
        <v>0</v>
      </c>
      <c r="W450" s="15">
        <v>17897801302392</v>
      </c>
      <c r="X450" s="6">
        <v>0.53</v>
      </c>
      <c r="Y450" s="6">
        <v>0.18</v>
      </c>
      <c r="Z450" s="6">
        <v>0.76</v>
      </c>
      <c r="AA450" s="6">
        <f>Y450*X450*Z450</f>
        <v>7.2503999999999999E-2</v>
      </c>
      <c r="AB450" s="8">
        <v>450</v>
      </c>
      <c r="AC450" s="15">
        <v>27897801302399</v>
      </c>
      <c r="AD450" s="4" t="s">
        <v>992</v>
      </c>
    </row>
    <row r="451" spans="2:30" x14ac:dyDescent="0.35">
      <c r="B451" s="14">
        <v>675</v>
      </c>
      <c r="C451" s="4" t="s">
        <v>456</v>
      </c>
      <c r="D451" s="4" t="s">
        <v>2406</v>
      </c>
      <c r="E451" s="4" t="s">
        <v>2913</v>
      </c>
      <c r="F451" s="4" t="s">
        <v>85</v>
      </c>
      <c r="G451" s="4" t="s">
        <v>995</v>
      </c>
      <c r="H451" s="6">
        <v>0.16</v>
      </c>
      <c r="I451" s="8">
        <v>150</v>
      </c>
      <c r="J451" s="8">
        <v>45</v>
      </c>
      <c r="K451" s="8">
        <v>70</v>
      </c>
      <c r="L451" s="8">
        <f t="shared" si="18"/>
        <v>472500</v>
      </c>
      <c r="M451" s="15">
        <v>7897801302708</v>
      </c>
      <c r="N451" s="6" t="s">
        <v>20</v>
      </c>
      <c r="O451" s="6" t="s">
        <v>20</v>
      </c>
      <c r="P451" s="6" t="s">
        <v>20</v>
      </c>
      <c r="Q451" s="6">
        <v>0.215</v>
      </c>
      <c r="R451" s="6">
        <v>0.14499999999999999</v>
      </c>
      <c r="S451" s="6">
        <v>0.24</v>
      </c>
      <c r="T451" s="8">
        <v>24</v>
      </c>
      <c r="U451" s="5" t="s">
        <v>1006</v>
      </c>
      <c r="V451" s="89">
        <v>0</v>
      </c>
      <c r="W451" s="15">
        <v>17897801302705</v>
      </c>
      <c r="X451" s="6" t="s">
        <v>20</v>
      </c>
      <c r="Y451" s="6" t="s">
        <v>20</v>
      </c>
      <c r="Z451" s="6" t="s">
        <v>20</v>
      </c>
      <c r="AA451" s="6"/>
      <c r="AB451" s="8">
        <v>0</v>
      </c>
      <c r="AC451" s="15">
        <v>27897801302702</v>
      </c>
      <c r="AD451" s="4" t="s">
        <v>1001</v>
      </c>
    </row>
    <row r="452" spans="2:30" x14ac:dyDescent="0.35">
      <c r="B452" s="14">
        <v>676</v>
      </c>
      <c r="C452" s="4" t="s">
        <v>457</v>
      </c>
      <c r="D452" s="4" t="s">
        <v>2406</v>
      </c>
      <c r="E452" s="4" t="s">
        <v>2913</v>
      </c>
      <c r="F452" s="4" t="s">
        <v>85</v>
      </c>
      <c r="G452" s="4" t="s">
        <v>995</v>
      </c>
      <c r="H452" s="6">
        <v>0.4</v>
      </c>
      <c r="I452" s="8">
        <v>180</v>
      </c>
      <c r="J452" s="8">
        <v>70</v>
      </c>
      <c r="K452" s="8">
        <v>100</v>
      </c>
      <c r="L452" s="8">
        <f t="shared" si="18"/>
        <v>1260000</v>
      </c>
      <c r="M452" s="15">
        <v>7897801302715</v>
      </c>
      <c r="N452" s="6" t="s">
        <v>20</v>
      </c>
      <c r="O452" s="6" t="s">
        <v>20</v>
      </c>
      <c r="P452" s="6" t="s">
        <v>20</v>
      </c>
      <c r="Q452" s="6">
        <v>0.17</v>
      </c>
      <c r="R452" s="6">
        <v>0.19500000000000001</v>
      </c>
      <c r="S452" s="6">
        <v>0.3</v>
      </c>
      <c r="T452" s="8">
        <v>12</v>
      </c>
      <c r="U452" s="5" t="s">
        <v>1006</v>
      </c>
      <c r="V452" s="89">
        <v>0</v>
      </c>
      <c r="W452" s="15">
        <v>17897801302712</v>
      </c>
      <c r="X452" s="6" t="s">
        <v>20</v>
      </c>
      <c r="Y452" s="6" t="s">
        <v>20</v>
      </c>
      <c r="Z452" s="6" t="s">
        <v>20</v>
      </c>
      <c r="AA452" s="6"/>
      <c r="AB452" s="8">
        <v>0</v>
      </c>
      <c r="AC452" s="15">
        <v>27897801302719</v>
      </c>
      <c r="AD452" s="4" t="s">
        <v>1001</v>
      </c>
    </row>
    <row r="453" spans="2:30" x14ac:dyDescent="0.35">
      <c r="B453" s="14">
        <v>677</v>
      </c>
      <c r="C453" s="4" t="s">
        <v>458</v>
      </c>
      <c r="D453" s="4" t="s">
        <v>2406</v>
      </c>
      <c r="E453" s="4" t="s">
        <v>2913</v>
      </c>
      <c r="F453" s="4" t="s">
        <v>85</v>
      </c>
      <c r="G453" s="4" t="s">
        <v>995</v>
      </c>
      <c r="H453" s="6">
        <v>1</v>
      </c>
      <c r="I453" s="8">
        <v>170</v>
      </c>
      <c r="J453" s="8">
        <v>40</v>
      </c>
      <c r="K453" s="8">
        <v>100</v>
      </c>
      <c r="L453" s="8">
        <f t="shared" si="18"/>
        <v>680000</v>
      </c>
      <c r="M453" s="15">
        <v>7897801302722</v>
      </c>
      <c r="N453" s="6" t="s">
        <v>20</v>
      </c>
      <c r="O453" s="6" t="s">
        <v>20</v>
      </c>
      <c r="P453" s="6" t="s">
        <v>20</v>
      </c>
      <c r="Q453" s="6">
        <v>0.23499999999999999</v>
      </c>
      <c r="R453" s="6">
        <v>0.16</v>
      </c>
      <c r="S453" s="6">
        <v>0.30499999999999999</v>
      </c>
      <c r="T453" s="8">
        <v>6</v>
      </c>
      <c r="U453" s="5" t="s">
        <v>1006</v>
      </c>
      <c r="V453" s="89">
        <v>0</v>
      </c>
      <c r="W453" s="15">
        <v>17897801302729</v>
      </c>
      <c r="X453" s="6" t="s">
        <v>20</v>
      </c>
      <c r="Y453" s="6" t="s">
        <v>20</v>
      </c>
      <c r="Z453" s="6" t="s">
        <v>20</v>
      </c>
      <c r="AA453" s="6"/>
      <c r="AB453" s="8">
        <v>0</v>
      </c>
      <c r="AC453" s="15">
        <v>27897801302726</v>
      </c>
      <c r="AD453" s="4" t="s">
        <v>1001</v>
      </c>
    </row>
    <row r="454" spans="2:30" x14ac:dyDescent="0.35">
      <c r="B454" s="14">
        <v>678</v>
      </c>
      <c r="C454" s="4" t="s">
        <v>459</v>
      </c>
      <c r="D454" s="4" t="s">
        <v>2405</v>
      </c>
      <c r="E454" s="4" t="s">
        <v>2913</v>
      </c>
      <c r="F454" s="4" t="s">
        <v>85</v>
      </c>
      <c r="G454" s="4" t="s">
        <v>993</v>
      </c>
      <c r="H454" s="6">
        <v>4.2000000000000003E-2</v>
      </c>
      <c r="I454" s="8">
        <v>210</v>
      </c>
      <c r="J454" s="8">
        <v>12</v>
      </c>
      <c r="K454" s="8">
        <v>210</v>
      </c>
      <c r="L454" s="8">
        <f t="shared" si="18"/>
        <v>529200</v>
      </c>
      <c r="M454" s="15">
        <v>7897801309233</v>
      </c>
      <c r="N454" s="6" t="s">
        <v>20</v>
      </c>
      <c r="O454" s="6" t="s">
        <v>20</v>
      </c>
      <c r="P454" s="6" t="s">
        <v>20</v>
      </c>
      <c r="Q454" s="6">
        <v>0.19500000000000001</v>
      </c>
      <c r="R454" s="6">
        <v>0.03</v>
      </c>
      <c r="S454" s="6">
        <v>0.28999999999999998</v>
      </c>
      <c r="T454" s="8">
        <v>5</v>
      </c>
      <c r="U454" s="5" t="s">
        <v>1005</v>
      </c>
      <c r="V454" s="89">
        <v>0</v>
      </c>
      <c r="W454" s="15">
        <v>17897801309230</v>
      </c>
      <c r="X454" s="6">
        <v>0.49</v>
      </c>
      <c r="Y454" s="6">
        <v>0.15</v>
      </c>
      <c r="Z454" s="6">
        <v>0.65</v>
      </c>
      <c r="AA454" s="6">
        <f>Y454*X454*Z454</f>
        <v>4.7774999999999998E-2</v>
      </c>
      <c r="AB454" s="8">
        <v>300</v>
      </c>
      <c r="AC454" s="15">
        <v>27897801309237</v>
      </c>
      <c r="AD454" s="4" t="s">
        <v>992</v>
      </c>
    </row>
    <row r="455" spans="2:30" x14ac:dyDescent="0.35">
      <c r="B455" s="14">
        <v>680</v>
      </c>
      <c r="C455" s="4" t="s">
        <v>460</v>
      </c>
      <c r="D455" s="4" t="s">
        <v>2409</v>
      </c>
      <c r="E455" s="4" t="s">
        <v>2915</v>
      </c>
      <c r="F455" s="4" t="s">
        <v>85</v>
      </c>
      <c r="G455" s="4" t="s">
        <v>995</v>
      </c>
      <c r="H455" s="6">
        <v>0.625</v>
      </c>
      <c r="I455" s="8">
        <v>447</v>
      </c>
      <c r="J455" s="8">
        <v>28</v>
      </c>
      <c r="K455" s="8">
        <v>360</v>
      </c>
      <c r="L455" s="8">
        <f t="shared" si="18"/>
        <v>4505760</v>
      </c>
      <c r="M455" s="15">
        <v>7897801308175</v>
      </c>
      <c r="N455" s="6" t="s">
        <v>20</v>
      </c>
      <c r="O455" s="6" t="s">
        <v>20</v>
      </c>
      <c r="P455" s="6" t="s">
        <v>20</v>
      </c>
      <c r="Q455" s="6">
        <v>0.2</v>
      </c>
      <c r="R455" s="6">
        <v>0.46500000000000002</v>
      </c>
      <c r="S455" s="6">
        <v>0.38500000000000001</v>
      </c>
      <c r="T455" s="8">
        <v>6</v>
      </c>
      <c r="U455" s="5" t="s">
        <v>1007</v>
      </c>
      <c r="V455" s="89">
        <v>0</v>
      </c>
      <c r="W455" s="15">
        <v>17897801308172</v>
      </c>
      <c r="X455" s="6" t="s">
        <v>20</v>
      </c>
      <c r="Y455" s="6" t="s">
        <v>20</v>
      </c>
      <c r="Z455" s="6" t="s">
        <v>20</v>
      </c>
      <c r="AA455" s="6"/>
      <c r="AB455" s="8">
        <v>0</v>
      </c>
      <c r="AC455" s="15">
        <v>27897801308179</v>
      </c>
      <c r="AD455" s="4" t="s">
        <v>992</v>
      </c>
    </row>
    <row r="456" spans="2:30" x14ac:dyDescent="0.35">
      <c r="B456" s="14">
        <v>681</v>
      </c>
      <c r="C456" s="4" t="s">
        <v>461</v>
      </c>
      <c r="D456" s="4" t="s">
        <v>2409</v>
      </c>
      <c r="E456" s="4" t="s">
        <v>2915</v>
      </c>
      <c r="F456" s="4" t="s">
        <v>85</v>
      </c>
      <c r="G456" s="4" t="s">
        <v>995</v>
      </c>
      <c r="H456" s="6">
        <v>0.625</v>
      </c>
      <c r="I456" s="8">
        <v>447</v>
      </c>
      <c r="J456" s="8">
        <v>28</v>
      </c>
      <c r="K456" s="8">
        <v>360</v>
      </c>
      <c r="L456" s="8">
        <f t="shared" si="18"/>
        <v>4505760</v>
      </c>
      <c r="M456" s="15">
        <v>7897801308182</v>
      </c>
      <c r="N456" s="6" t="s">
        <v>20</v>
      </c>
      <c r="O456" s="6" t="s">
        <v>20</v>
      </c>
      <c r="P456" s="6" t="s">
        <v>20</v>
      </c>
      <c r="Q456" s="6">
        <v>0.2</v>
      </c>
      <c r="R456" s="6">
        <v>0.46500000000000002</v>
      </c>
      <c r="S456" s="6">
        <v>0.38500000000000001</v>
      </c>
      <c r="T456" s="8">
        <v>6</v>
      </c>
      <c r="U456" s="5" t="s">
        <v>1007</v>
      </c>
      <c r="V456" s="89">
        <v>0</v>
      </c>
      <c r="W456" s="15">
        <v>17897801308189</v>
      </c>
      <c r="X456" s="6" t="s">
        <v>20</v>
      </c>
      <c r="Y456" s="6" t="s">
        <v>20</v>
      </c>
      <c r="Z456" s="6" t="s">
        <v>20</v>
      </c>
      <c r="AA456" s="6"/>
      <c r="AB456" s="8">
        <v>0</v>
      </c>
      <c r="AC456" s="15">
        <v>27897801308186</v>
      </c>
      <c r="AD456" s="4" t="s">
        <v>992</v>
      </c>
    </row>
    <row r="457" spans="2:30" x14ac:dyDescent="0.35">
      <c r="B457" s="14">
        <v>682</v>
      </c>
      <c r="C457" s="4" t="s">
        <v>462</v>
      </c>
      <c r="D457" s="4" t="s">
        <v>2409</v>
      </c>
      <c r="E457" s="4" t="s">
        <v>2915</v>
      </c>
      <c r="F457" s="4" t="s">
        <v>85</v>
      </c>
      <c r="G457" s="4" t="s">
        <v>995</v>
      </c>
      <c r="H457" s="6">
        <v>0.625</v>
      </c>
      <c r="I457" s="8">
        <v>447</v>
      </c>
      <c r="J457" s="8">
        <v>28</v>
      </c>
      <c r="K457" s="8">
        <v>360</v>
      </c>
      <c r="L457" s="8">
        <f t="shared" si="18"/>
        <v>4505760</v>
      </c>
      <c r="M457" s="15">
        <v>7897801308199</v>
      </c>
      <c r="N457" s="6" t="s">
        <v>20</v>
      </c>
      <c r="O457" s="6" t="s">
        <v>20</v>
      </c>
      <c r="P457" s="6" t="s">
        <v>20</v>
      </c>
      <c r="Q457" s="6">
        <v>0.2</v>
      </c>
      <c r="R457" s="6">
        <v>0.46500000000000002</v>
      </c>
      <c r="S457" s="6">
        <v>0.38500000000000001</v>
      </c>
      <c r="T457" s="8">
        <v>6</v>
      </c>
      <c r="U457" s="5" t="s">
        <v>1007</v>
      </c>
      <c r="V457" s="89">
        <v>0</v>
      </c>
      <c r="W457" s="15">
        <v>17897801308196</v>
      </c>
      <c r="X457" s="6" t="s">
        <v>20</v>
      </c>
      <c r="Y457" s="6" t="s">
        <v>20</v>
      </c>
      <c r="Z457" s="6" t="s">
        <v>20</v>
      </c>
      <c r="AA457" s="6"/>
      <c r="AB457" s="8">
        <v>0</v>
      </c>
      <c r="AC457" s="15">
        <v>27897801308193</v>
      </c>
      <c r="AD457" s="4" t="s">
        <v>992</v>
      </c>
    </row>
    <row r="458" spans="2:30" x14ac:dyDescent="0.35">
      <c r="B458" s="14">
        <v>683</v>
      </c>
      <c r="C458" s="4" t="s">
        <v>463</v>
      </c>
      <c r="D458" s="4" t="s">
        <v>2409</v>
      </c>
      <c r="E458" s="4" t="s">
        <v>2915</v>
      </c>
      <c r="F458" s="4" t="s">
        <v>85</v>
      </c>
      <c r="G458" s="4" t="s">
        <v>995</v>
      </c>
      <c r="H458" s="6">
        <v>0.625</v>
      </c>
      <c r="I458" s="8">
        <v>447</v>
      </c>
      <c r="J458" s="8">
        <v>28</v>
      </c>
      <c r="K458" s="8">
        <v>360</v>
      </c>
      <c r="L458" s="8">
        <f t="shared" si="18"/>
        <v>4505760</v>
      </c>
      <c r="M458" s="15">
        <v>7897801308205</v>
      </c>
      <c r="N458" s="6" t="s">
        <v>20</v>
      </c>
      <c r="O458" s="6" t="s">
        <v>20</v>
      </c>
      <c r="P458" s="6" t="s">
        <v>20</v>
      </c>
      <c r="Q458" s="6">
        <v>0.2</v>
      </c>
      <c r="R458" s="6">
        <v>0.46500000000000002</v>
      </c>
      <c r="S458" s="6">
        <v>0.38500000000000001</v>
      </c>
      <c r="T458" s="8">
        <v>6</v>
      </c>
      <c r="U458" s="5" t="s">
        <v>1007</v>
      </c>
      <c r="V458" s="89">
        <v>0</v>
      </c>
      <c r="W458" s="15">
        <v>17897801308202</v>
      </c>
      <c r="X458" s="6" t="s">
        <v>20</v>
      </c>
      <c r="Y458" s="6" t="s">
        <v>20</v>
      </c>
      <c r="Z458" s="6" t="s">
        <v>20</v>
      </c>
      <c r="AA458" s="6"/>
      <c r="AB458" s="8">
        <v>0</v>
      </c>
      <c r="AC458" s="15">
        <v>27897801308209</v>
      </c>
      <c r="AD458" s="4" t="s">
        <v>992</v>
      </c>
    </row>
    <row r="459" spans="2:30" x14ac:dyDescent="0.35">
      <c r="B459" s="14">
        <v>700</v>
      </c>
      <c r="C459" s="4" t="s">
        <v>464</v>
      </c>
      <c r="D459" s="4" t="s">
        <v>2370</v>
      </c>
      <c r="E459" s="4" t="s">
        <v>2913</v>
      </c>
      <c r="F459" s="4" t="s">
        <v>85</v>
      </c>
      <c r="G459" s="4" t="s">
        <v>993</v>
      </c>
      <c r="H459" s="6">
        <v>0.1487</v>
      </c>
      <c r="I459" s="8">
        <v>420</v>
      </c>
      <c r="J459" s="8">
        <v>140</v>
      </c>
      <c r="K459" s="8">
        <v>460</v>
      </c>
      <c r="L459" s="8">
        <f t="shared" si="18"/>
        <v>27048000</v>
      </c>
      <c r="M459" s="15">
        <v>7897801312110</v>
      </c>
      <c r="N459" s="6" t="s">
        <v>20</v>
      </c>
      <c r="O459" s="6" t="s">
        <v>20</v>
      </c>
      <c r="P459" s="6" t="s">
        <v>20</v>
      </c>
      <c r="Q459" s="6">
        <v>0.35</v>
      </c>
      <c r="R459" s="6">
        <v>0.1</v>
      </c>
      <c r="S459" s="6">
        <v>0.42</v>
      </c>
      <c r="T459" s="8">
        <v>5</v>
      </c>
      <c r="U459" s="5" t="s">
        <v>994</v>
      </c>
      <c r="V459" s="89">
        <v>0</v>
      </c>
      <c r="W459" s="15">
        <v>17897801312117</v>
      </c>
      <c r="X459" s="6" t="s">
        <v>20</v>
      </c>
      <c r="Y459" s="6" t="s">
        <v>20</v>
      </c>
      <c r="Z459" s="6" t="s">
        <v>20</v>
      </c>
      <c r="AA459" s="6"/>
      <c r="AB459" s="8">
        <v>0</v>
      </c>
      <c r="AC459" s="15">
        <v>27897801312114</v>
      </c>
      <c r="AD459" s="4" t="s">
        <v>992</v>
      </c>
    </row>
    <row r="460" spans="2:30" x14ac:dyDescent="0.35">
      <c r="B460" s="14">
        <v>701</v>
      </c>
      <c r="C460" s="4" t="s">
        <v>465</v>
      </c>
      <c r="D460" s="4" t="s">
        <v>2370</v>
      </c>
      <c r="E460" s="4" t="s">
        <v>2913</v>
      </c>
      <c r="F460" s="4" t="s">
        <v>85</v>
      </c>
      <c r="G460" s="4" t="s">
        <v>993</v>
      </c>
      <c r="H460" s="6">
        <v>0.22120000000000001</v>
      </c>
      <c r="I460" s="8">
        <v>190</v>
      </c>
      <c r="J460" s="8">
        <v>110</v>
      </c>
      <c r="K460" s="8">
        <v>170</v>
      </c>
      <c r="L460" s="8">
        <f t="shared" si="18"/>
        <v>3553000</v>
      </c>
      <c r="M460" s="15">
        <v>7897801312547</v>
      </c>
      <c r="N460" s="6" t="s">
        <v>20</v>
      </c>
      <c r="O460" s="6" t="s">
        <v>20</v>
      </c>
      <c r="P460" s="6" t="s">
        <v>20</v>
      </c>
      <c r="Q460" s="6">
        <v>0.39</v>
      </c>
      <c r="R460" s="6">
        <v>0.15</v>
      </c>
      <c r="S460" s="6">
        <v>0.51</v>
      </c>
      <c r="T460" s="8">
        <v>5</v>
      </c>
      <c r="U460" s="5" t="s">
        <v>994</v>
      </c>
      <c r="V460" s="89">
        <v>0</v>
      </c>
      <c r="W460" s="15">
        <v>17897801312544</v>
      </c>
      <c r="X460" s="6" t="s">
        <v>20</v>
      </c>
      <c r="Y460" s="6" t="s">
        <v>20</v>
      </c>
      <c r="Z460" s="6" t="s">
        <v>20</v>
      </c>
      <c r="AA460" s="6"/>
      <c r="AB460" s="8">
        <v>0</v>
      </c>
      <c r="AC460" s="15">
        <v>27897801312541</v>
      </c>
      <c r="AD460" s="4" t="s">
        <v>992</v>
      </c>
    </row>
    <row r="461" spans="2:30" x14ac:dyDescent="0.35">
      <c r="B461" s="14">
        <v>702</v>
      </c>
      <c r="C461" s="4" t="s">
        <v>466</v>
      </c>
      <c r="D461" s="4" t="s">
        <v>2370</v>
      </c>
      <c r="E461" s="4" t="s">
        <v>2913</v>
      </c>
      <c r="F461" s="4" t="s">
        <v>85</v>
      </c>
      <c r="G461" s="4" t="s">
        <v>993</v>
      </c>
      <c r="H461" s="6">
        <v>0.28100000000000003</v>
      </c>
      <c r="I461" s="8">
        <v>220</v>
      </c>
      <c r="J461" s="8">
        <v>100</v>
      </c>
      <c r="K461" s="8">
        <v>220</v>
      </c>
      <c r="L461" s="8">
        <f t="shared" si="18"/>
        <v>4840000</v>
      </c>
      <c r="M461" s="15">
        <v>7897801312554</v>
      </c>
      <c r="N461" s="6" t="s">
        <v>20</v>
      </c>
      <c r="O461" s="6" t="s">
        <v>20</v>
      </c>
      <c r="P461" s="6" t="s">
        <v>20</v>
      </c>
      <c r="Q461" s="6">
        <v>0.43</v>
      </c>
      <c r="R461" s="6">
        <v>9.5000000000000001E-2</v>
      </c>
      <c r="S461" s="6">
        <v>0.6</v>
      </c>
      <c r="T461" s="8">
        <v>5</v>
      </c>
      <c r="U461" s="5" t="s">
        <v>994</v>
      </c>
      <c r="V461" s="89">
        <v>0</v>
      </c>
      <c r="W461" s="15">
        <v>17897801312551</v>
      </c>
      <c r="X461" s="6" t="s">
        <v>20</v>
      </c>
      <c r="Y461" s="6" t="s">
        <v>20</v>
      </c>
      <c r="Z461" s="6" t="s">
        <v>20</v>
      </c>
      <c r="AA461" s="6"/>
      <c r="AB461" s="8">
        <v>0</v>
      </c>
      <c r="AC461" s="15">
        <v>27897801312558</v>
      </c>
      <c r="AD461" s="4" t="s">
        <v>992</v>
      </c>
    </row>
    <row r="462" spans="2:30" x14ac:dyDescent="0.35">
      <c r="B462" s="14">
        <v>704</v>
      </c>
      <c r="C462" s="4" t="s">
        <v>467</v>
      </c>
      <c r="D462" s="4" t="s">
        <v>2370</v>
      </c>
      <c r="E462" s="4" t="s">
        <v>2913</v>
      </c>
      <c r="F462" s="4" t="s">
        <v>85</v>
      </c>
      <c r="G462" s="4" t="s">
        <v>993</v>
      </c>
      <c r="H462" s="6">
        <v>0.19769999999999999</v>
      </c>
      <c r="I462" s="8">
        <v>380</v>
      </c>
      <c r="J462" s="8">
        <v>150</v>
      </c>
      <c r="K462" s="8">
        <v>500</v>
      </c>
      <c r="L462" s="8">
        <f t="shared" si="18"/>
        <v>28500000</v>
      </c>
      <c r="M462" s="15">
        <v>7897801312103</v>
      </c>
      <c r="N462" s="6" t="s">
        <v>20</v>
      </c>
      <c r="O462" s="6" t="s">
        <v>20</v>
      </c>
      <c r="P462" s="6" t="s">
        <v>20</v>
      </c>
      <c r="Q462" s="6">
        <v>0.39</v>
      </c>
      <c r="R462" s="6">
        <v>0.14000000000000001</v>
      </c>
      <c r="S462" s="6">
        <v>0.49</v>
      </c>
      <c r="T462" s="8">
        <v>5</v>
      </c>
      <c r="U462" s="5" t="s">
        <v>994</v>
      </c>
      <c r="V462" s="89">
        <v>0</v>
      </c>
      <c r="W462" s="15">
        <v>17897801312100</v>
      </c>
      <c r="X462" s="6" t="s">
        <v>20</v>
      </c>
      <c r="Y462" s="6" t="s">
        <v>20</v>
      </c>
      <c r="Z462" s="6" t="s">
        <v>20</v>
      </c>
      <c r="AA462" s="6"/>
      <c r="AB462" s="8">
        <v>0</v>
      </c>
      <c r="AC462" s="15">
        <v>27897801312107</v>
      </c>
      <c r="AD462" s="4" t="s">
        <v>992</v>
      </c>
    </row>
    <row r="463" spans="2:30" x14ac:dyDescent="0.35">
      <c r="B463" s="14">
        <v>708</v>
      </c>
      <c r="C463" s="4" t="s">
        <v>468</v>
      </c>
      <c r="D463" s="4" t="s">
        <v>2370</v>
      </c>
      <c r="E463" s="4" t="s">
        <v>2913</v>
      </c>
      <c r="F463" s="4" t="s">
        <v>85</v>
      </c>
      <c r="G463" s="4" t="s">
        <v>993</v>
      </c>
      <c r="H463" s="6">
        <v>0.2626</v>
      </c>
      <c r="I463" s="8">
        <v>370</v>
      </c>
      <c r="J463" s="8">
        <v>160</v>
      </c>
      <c r="K463" s="8">
        <v>570</v>
      </c>
      <c r="L463" s="8">
        <f t="shared" si="18"/>
        <v>33744000</v>
      </c>
      <c r="M463" s="15">
        <v>7897801312097</v>
      </c>
      <c r="N463" s="6" t="s">
        <v>20</v>
      </c>
      <c r="O463" s="6" t="s">
        <v>20</v>
      </c>
      <c r="P463" s="6" t="s">
        <v>20</v>
      </c>
      <c r="Q463" s="6">
        <v>0.47</v>
      </c>
      <c r="R463" s="6">
        <v>0.2</v>
      </c>
      <c r="S463" s="6">
        <v>0.64</v>
      </c>
      <c r="T463" s="8">
        <v>8</v>
      </c>
      <c r="U463" s="5" t="s">
        <v>994</v>
      </c>
      <c r="V463" s="89">
        <v>0</v>
      </c>
      <c r="W463" s="15">
        <v>17897801312094</v>
      </c>
      <c r="X463" s="6" t="s">
        <v>20</v>
      </c>
      <c r="Y463" s="6" t="s">
        <v>20</v>
      </c>
      <c r="Z463" s="6" t="s">
        <v>20</v>
      </c>
      <c r="AA463" s="6"/>
      <c r="AB463" s="8">
        <v>0</v>
      </c>
      <c r="AC463" s="15">
        <v>27897801312091</v>
      </c>
      <c r="AD463" s="4" t="s">
        <v>992</v>
      </c>
    </row>
    <row r="464" spans="2:30" x14ac:dyDescent="0.35">
      <c r="B464" s="14">
        <v>709</v>
      </c>
      <c r="C464" s="4" t="s">
        <v>469</v>
      </c>
      <c r="D464" s="4" t="s">
        <v>2370</v>
      </c>
      <c r="E464" s="4" t="s">
        <v>2913</v>
      </c>
      <c r="F464" s="4" t="s">
        <v>85</v>
      </c>
      <c r="G464" s="4" t="s">
        <v>993</v>
      </c>
      <c r="H464" s="6">
        <v>0.37959999999999999</v>
      </c>
      <c r="I464" s="8">
        <v>260</v>
      </c>
      <c r="J464" s="8">
        <v>110</v>
      </c>
      <c r="K464" s="8">
        <v>220</v>
      </c>
      <c r="L464" s="8">
        <f t="shared" si="18"/>
        <v>6292000</v>
      </c>
      <c r="M464" s="15">
        <v>7897801312134</v>
      </c>
      <c r="N464" s="6" t="s">
        <v>20</v>
      </c>
      <c r="O464" s="6" t="s">
        <v>20</v>
      </c>
      <c r="P464" s="6" t="s">
        <v>20</v>
      </c>
      <c r="Q464" s="6">
        <v>0.42</v>
      </c>
      <c r="R464" s="6">
        <v>0.22</v>
      </c>
      <c r="S464" s="6">
        <v>0.64</v>
      </c>
      <c r="T464" s="8">
        <v>5</v>
      </c>
      <c r="U464" s="5" t="s">
        <v>994</v>
      </c>
      <c r="V464" s="89">
        <v>0</v>
      </c>
      <c r="W464" s="15">
        <v>17897801312131</v>
      </c>
      <c r="X464" s="6" t="s">
        <v>20</v>
      </c>
      <c r="Y464" s="6" t="s">
        <v>20</v>
      </c>
      <c r="Z464" s="6" t="s">
        <v>20</v>
      </c>
      <c r="AA464" s="6"/>
      <c r="AB464" s="8">
        <v>0</v>
      </c>
      <c r="AC464" s="15">
        <v>27897801312138</v>
      </c>
      <c r="AD464" s="4" t="s">
        <v>992</v>
      </c>
    </row>
    <row r="465" spans="2:30" x14ac:dyDescent="0.35">
      <c r="B465" s="14">
        <v>710</v>
      </c>
      <c r="C465" s="4" t="s">
        <v>470</v>
      </c>
      <c r="D465" s="4" t="s">
        <v>2370</v>
      </c>
      <c r="E465" s="4" t="s">
        <v>2913</v>
      </c>
      <c r="F465" s="4" t="s">
        <v>85</v>
      </c>
      <c r="G465" s="4" t="s">
        <v>993</v>
      </c>
      <c r="H465" s="6">
        <v>0.4874</v>
      </c>
      <c r="I465" s="8">
        <v>260</v>
      </c>
      <c r="J465" s="8">
        <v>100</v>
      </c>
      <c r="K465" s="8">
        <v>330</v>
      </c>
      <c r="L465" s="8">
        <f t="shared" si="18"/>
        <v>8580000</v>
      </c>
      <c r="M465" s="15">
        <v>7897801312561</v>
      </c>
      <c r="N465" s="6" t="s">
        <v>20</v>
      </c>
      <c r="O465" s="6" t="s">
        <v>20</v>
      </c>
      <c r="P465" s="6" t="s">
        <v>20</v>
      </c>
      <c r="Q465" s="6">
        <v>0.5</v>
      </c>
      <c r="R465" s="6">
        <v>0.11</v>
      </c>
      <c r="S465" s="6">
        <v>0.65</v>
      </c>
      <c r="T465" s="8">
        <v>5</v>
      </c>
      <c r="U465" s="5" t="s">
        <v>994</v>
      </c>
      <c r="V465" s="89">
        <v>0</v>
      </c>
      <c r="W465" s="15">
        <v>17897801312568</v>
      </c>
      <c r="X465" s="6" t="s">
        <v>20</v>
      </c>
      <c r="Y465" s="6" t="s">
        <v>20</v>
      </c>
      <c r="Z465" s="6" t="s">
        <v>20</v>
      </c>
      <c r="AA465" s="6"/>
      <c r="AB465" s="8">
        <v>0</v>
      </c>
      <c r="AC465" s="15">
        <v>27897801312565</v>
      </c>
      <c r="AD465" s="4" t="s">
        <v>992</v>
      </c>
    </row>
    <row r="466" spans="2:30" x14ac:dyDescent="0.35">
      <c r="B466" s="14">
        <v>714</v>
      </c>
      <c r="C466" s="4" t="s">
        <v>471</v>
      </c>
      <c r="D466" s="4" t="s">
        <v>2403</v>
      </c>
      <c r="E466" s="4" t="s">
        <v>2913</v>
      </c>
      <c r="F466" s="4" t="s">
        <v>85</v>
      </c>
      <c r="G466" s="4" t="s">
        <v>993</v>
      </c>
      <c r="H466" s="6">
        <v>0.92420000000000002</v>
      </c>
      <c r="I466" s="8">
        <v>260</v>
      </c>
      <c r="J466" s="8">
        <v>220</v>
      </c>
      <c r="K466" s="8">
        <v>270</v>
      </c>
      <c r="L466" s="8">
        <f t="shared" si="18"/>
        <v>15444000</v>
      </c>
      <c r="M466" s="15">
        <v>7897801312479</v>
      </c>
      <c r="N466" s="6" t="s">
        <v>20</v>
      </c>
      <c r="O466" s="6" t="s">
        <v>20</v>
      </c>
      <c r="P466" s="6" t="s">
        <v>20</v>
      </c>
      <c r="Q466" s="6">
        <v>0.52</v>
      </c>
      <c r="R466" s="6">
        <v>0.22</v>
      </c>
      <c r="S466" s="6">
        <v>0.65</v>
      </c>
      <c r="T466" s="8">
        <v>1</v>
      </c>
      <c r="U466" s="5" t="s">
        <v>994</v>
      </c>
      <c r="V466" s="89">
        <v>0</v>
      </c>
      <c r="W466" s="15">
        <v>17897801312476</v>
      </c>
      <c r="X466" s="6">
        <v>0.48</v>
      </c>
      <c r="Y466" s="6">
        <v>0.23</v>
      </c>
      <c r="Z466" s="6">
        <v>0.7</v>
      </c>
      <c r="AA466" s="6">
        <f t="shared" ref="AA466:AA472" si="19">Y466*X466*Z466</f>
        <v>7.7279999999999988E-2</v>
      </c>
      <c r="AB466" s="8">
        <v>6</v>
      </c>
      <c r="AC466" s="15">
        <v>27897801312473</v>
      </c>
      <c r="AD466" s="4" t="s">
        <v>992</v>
      </c>
    </row>
    <row r="467" spans="2:30" x14ac:dyDescent="0.35">
      <c r="B467" s="14">
        <v>716</v>
      </c>
      <c r="C467" s="4" t="s">
        <v>472</v>
      </c>
      <c r="D467" s="4" t="s">
        <v>2403</v>
      </c>
      <c r="E467" s="4" t="s">
        <v>2913</v>
      </c>
      <c r="F467" s="4" t="s">
        <v>85</v>
      </c>
      <c r="G467" s="4" t="s">
        <v>993</v>
      </c>
      <c r="H467" s="6">
        <v>1.23</v>
      </c>
      <c r="I467" s="8">
        <v>310</v>
      </c>
      <c r="J467" s="8">
        <v>310</v>
      </c>
      <c r="K467" s="8">
        <v>210</v>
      </c>
      <c r="L467" s="8">
        <f t="shared" si="18"/>
        <v>20181000</v>
      </c>
      <c r="M467" s="15">
        <v>7897801312486</v>
      </c>
      <c r="N467" s="6" t="s">
        <v>20</v>
      </c>
      <c r="O467" s="6" t="s">
        <v>20</v>
      </c>
      <c r="P467" s="6" t="s">
        <v>20</v>
      </c>
      <c r="Q467" s="6">
        <v>0.28000000000000003</v>
      </c>
      <c r="R467" s="6">
        <v>0.23</v>
      </c>
      <c r="S467" s="6">
        <v>0.28000000000000003</v>
      </c>
      <c r="T467" s="8">
        <v>1</v>
      </c>
      <c r="U467" s="5" t="s">
        <v>994</v>
      </c>
      <c r="V467" s="89">
        <v>0</v>
      </c>
      <c r="W467" s="15">
        <v>17897801312483</v>
      </c>
      <c r="X467" s="6">
        <v>0.27</v>
      </c>
      <c r="Y467" s="6">
        <v>0.65</v>
      </c>
      <c r="Z467" s="6">
        <v>0.78</v>
      </c>
      <c r="AA467" s="6">
        <f t="shared" si="19"/>
        <v>0.13689000000000001</v>
      </c>
      <c r="AB467" s="8">
        <v>0</v>
      </c>
      <c r="AC467" s="15">
        <v>27897801312480</v>
      </c>
      <c r="AD467" s="4" t="s">
        <v>992</v>
      </c>
    </row>
    <row r="468" spans="2:30" x14ac:dyDescent="0.35">
      <c r="B468" s="14">
        <v>718</v>
      </c>
      <c r="C468" s="4" t="s">
        <v>473</v>
      </c>
      <c r="D468" s="4" t="s">
        <v>2403</v>
      </c>
      <c r="E468" s="4" t="s">
        <v>2913</v>
      </c>
      <c r="F468" s="4" t="s">
        <v>85</v>
      </c>
      <c r="G468" s="4" t="s">
        <v>993</v>
      </c>
      <c r="H468" s="6">
        <v>22.614999999999998</v>
      </c>
      <c r="I468" s="8">
        <v>440</v>
      </c>
      <c r="J468" s="8">
        <v>240</v>
      </c>
      <c r="K468" s="8">
        <v>440</v>
      </c>
      <c r="L468" s="8">
        <f t="shared" si="18"/>
        <v>46464000</v>
      </c>
      <c r="M468" s="15">
        <v>7897801312493</v>
      </c>
      <c r="N468" s="6" t="s">
        <v>20</v>
      </c>
      <c r="O468" s="6" t="s">
        <v>20</v>
      </c>
      <c r="P468" s="6" t="s">
        <v>20</v>
      </c>
      <c r="Q468" s="6">
        <v>0.40500000000000003</v>
      </c>
      <c r="R468" s="6">
        <v>0.21</v>
      </c>
      <c r="S468" s="6">
        <v>0.48</v>
      </c>
      <c r="T468" s="8">
        <v>1</v>
      </c>
      <c r="U468" s="5" t="s">
        <v>994</v>
      </c>
      <c r="V468" s="89">
        <v>0</v>
      </c>
      <c r="W468" s="15">
        <v>17897801312490</v>
      </c>
      <c r="X468" s="6">
        <v>0.55000000000000004</v>
      </c>
      <c r="Y468" s="6">
        <v>0.23</v>
      </c>
      <c r="Z468" s="6">
        <v>0.65500000000000003</v>
      </c>
      <c r="AA468" s="6">
        <f t="shared" si="19"/>
        <v>8.2857500000000028E-2</v>
      </c>
      <c r="AB468" s="8">
        <v>2</v>
      </c>
      <c r="AC468" s="15">
        <v>27897801312497</v>
      </c>
      <c r="AD468" s="4" t="s">
        <v>992</v>
      </c>
    </row>
    <row r="469" spans="2:30" x14ac:dyDescent="0.35">
      <c r="B469" s="14">
        <v>720</v>
      </c>
      <c r="C469" s="4" t="s">
        <v>474</v>
      </c>
      <c r="D469" s="4" t="s">
        <v>2403</v>
      </c>
      <c r="E469" s="4" t="s">
        <v>2913</v>
      </c>
      <c r="F469" s="4" t="s">
        <v>85</v>
      </c>
      <c r="G469" s="4" t="s">
        <v>993</v>
      </c>
      <c r="H469" s="6">
        <v>0.47589999999999999</v>
      </c>
      <c r="I469" s="8">
        <v>210</v>
      </c>
      <c r="J469" s="8">
        <v>140</v>
      </c>
      <c r="K469" s="8">
        <v>210</v>
      </c>
      <c r="L469" s="8">
        <f t="shared" si="18"/>
        <v>6174000</v>
      </c>
      <c r="M469" s="15">
        <v>7897801312509</v>
      </c>
      <c r="N469" s="6" t="s">
        <v>20</v>
      </c>
      <c r="O469" s="6" t="s">
        <v>20</v>
      </c>
      <c r="P469" s="6" t="s">
        <v>20</v>
      </c>
      <c r="Q469" s="6">
        <v>0.42</v>
      </c>
      <c r="R469" s="6">
        <v>0.215</v>
      </c>
      <c r="S469" s="6">
        <v>0.68</v>
      </c>
      <c r="T469" s="8">
        <v>1</v>
      </c>
      <c r="U469" s="5" t="s">
        <v>994</v>
      </c>
      <c r="V469" s="89">
        <v>0</v>
      </c>
      <c r="W469" s="15">
        <v>17897801312506</v>
      </c>
      <c r="X469" s="6">
        <v>0.41</v>
      </c>
      <c r="Y469" s="6">
        <v>0.22</v>
      </c>
      <c r="Z469" s="6">
        <v>0.66</v>
      </c>
      <c r="AA469" s="6">
        <f t="shared" si="19"/>
        <v>5.9531999999999995E-2</v>
      </c>
      <c r="AB469" s="8">
        <v>9</v>
      </c>
      <c r="AC469" s="15">
        <v>27897801312503</v>
      </c>
      <c r="AD469" s="4" t="s">
        <v>992</v>
      </c>
    </row>
    <row r="470" spans="2:30" x14ac:dyDescent="0.35">
      <c r="B470" s="14">
        <v>722</v>
      </c>
      <c r="C470" s="4" t="s">
        <v>475</v>
      </c>
      <c r="D470" s="4" t="s">
        <v>2403</v>
      </c>
      <c r="E470" s="4" t="s">
        <v>2913</v>
      </c>
      <c r="F470" s="4" t="s">
        <v>85</v>
      </c>
      <c r="G470" s="4" t="s">
        <v>993</v>
      </c>
      <c r="H470" s="6">
        <v>0.83279999999999998</v>
      </c>
      <c r="I470" s="8">
        <v>230</v>
      </c>
      <c r="J470" s="8">
        <v>230</v>
      </c>
      <c r="K470" s="8">
        <v>230</v>
      </c>
      <c r="L470" s="8">
        <f t="shared" si="18"/>
        <v>12167000</v>
      </c>
      <c r="M470" s="15">
        <v>7897801312516</v>
      </c>
      <c r="N470" s="6" t="s">
        <v>20</v>
      </c>
      <c r="O470" s="6" t="s">
        <v>20</v>
      </c>
      <c r="P470" s="6" t="s">
        <v>20</v>
      </c>
      <c r="Q470" s="6">
        <v>0.23</v>
      </c>
      <c r="R470" s="6">
        <v>0.22500000000000001</v>
      </c>
      <c r="S470" s="6">
        <v>0.23</v>
      </c>
      <c r="T470" s="8">
        <v>1</v>
      </c>
      <c r="U470" s="5" t="s">
        <v>994</v>
      </c>
      <c r="V470" s="89">
        <v>0</v>
      </c>
      <c r="W470" s="15">
        <v>17897801312513</v>
      </c>
      <c r="X470" s="6">
        <v>0.48</v>
      </c>
      <c r="Y470" s="6">
        <v>0.23</v>
      </c>
      <c r="Z470" s="6">
        <v>0.7</v>
      </c>
      <c r="AA470" s="6">
        <f t="shared" si="19"/>
        <v>7.7279999999999988E-2</v>
      </c>
      <c r="AB470" s="8">
        <v>6</v>
      </c>
      <c r="AC470" s="15">
        <v>27897801312510</v>
      </c>
      <c r="AD470" s="4" t="s">
        <v>992</v>
      </c>
    </row>
    <row r="471" spans="2:30" x14ac:dyDescent="0.35">
      <c r="B471" s="14">
        <v>724</v>
      </c>
      <c r="C471" s="4" t="s">
        <v>476</v>
      </c>
      <c r="D471" s="4" t="s">
        <v>2403</v>
      </c>
      <c r="E471" s="4" t="s">
        <v>2913</v>
      </c>
      <c r="F471" s="4" t="s">
        <v>85</v>
      </c>
      <c r="G471" s="4" t="s">
        <v>993</v>
      </c>
      <c r="H471" s="6">
        <v>0.57989999999999997</v>
      </c>
      <c r="I471" s="8">
        <v>180</v>
      </c>
      <c r="J471" s="8">
        <v>180</v>
      </c>
      <c r="K471" s="8">
        <v>200</v>
      </c>
      <c r="L471" s="8">
        <f t="shared" si="18"/>
        <v>6480000</v>
      </c>
      <c r="M471" s="15">
        <v>7897801312523</v>
      </c>
      <c r="N471" s="6" t="s">
        <v>20</v>
      </c>
      <c r="O471" s="6" t="s">
        <v>20</v>
      </c>
      <c r="P471" s="6" t="s">
        <v>20</v>
      </c>
      <c r="Q471" s="6">
        <v>0.45</v>
      </c>
      <c r="R471" s="6">
        <v>0.2</v>
      </c>
      <c r="S471" s="6">
        <v>0.61499999999999999</v>
      </c>
      <c r="T471" s="8">
        <v>1</v>
      </c>
      <c r="U471" s="5" t="s">
        <v>994</v>
      </c>
      <c r="V471" s="89">
        <v>0</v>
      </c>
      <c r="W471" s="15">
        <v>17897801312520</v>
      </c>
      <c r="X471" s="6">
        <v>0.47</v>
      </c>
      <c r="Y471" s="6">
        <v>0.2</v>
      </c>
      <c r="Z471" s="6">
        <v>0.8</v>
      </c>
      <c r="AA471" s="6">
        <f t="shared" si="19"/>
        <v>7.5200000000000003E-2</v>
      </c>
      <c r="AB471" s="8">
        <v>12</v>
      </c>
      <c r="AC471" s="15">
        <v>27897801312527</v>
      </c>
      <c r="AD471" s="4" t="s">
        <v>992</v>
      </c>
    </row>
    <row r="472" spans="2:30" x14ac:dyDescent="0.35">
      <c r="B472" s="14">
        <v>726</v>
      </c>
      <c r="C472" s="4" t="s">
        <v>477</v>
      </c>
      <c r="D472" s="4" t="s">
        <v>2403</v>
      </c>
      <c r="E472" s="4" t="s">
        <v>2913</v>
      </c>
      <c r="F472" s="4" t="s">
        <v>85</v>
      </c>
      <c r="G472" s="4" t="s">
        <v>993</v>
      </c>
      <c r="H472" s="6">
        <v>1.8875999999999999</v>
      </c>
      <c r="I472" s="8">
        <v>400</v>
      </c>
      <c r="J472" s="8">
        <v>200</v>
      </c>
      <c r="K472" s="8">
        <v>350</v>
      </c>
      <c r="L472" s="8">
        <f t="shared" si="18"/>
        <v>28000000</v>
      </c>
      <c r="M472" s="15">
        <v>7897801312530</v>
      </c>
      <c r="N472" s="6" t="s">
        <v>20</v>
      </c>
      <c r="O472" s="6" t="s">
        <v>20</v>
      </c>
      <c r="P472" s="6" t="s">
        <v>20</v>
      </c>
      <c r="Q472" s="6">
        <v>0.39500000000000002</v>
      </c>
      <c r="R472" s="6">
        <v>0.22</v>
      </c>
      <c r="S472" s="6">
        <v>0.66500000000000004</v>
      </c>
      <c r="T472" s="8">
        <v>1</v>
      </c>
      <c r="U472" s="5" t="s">
        <v>994</v>
      </c>
      <c r="V472" s="89">
        <v>0</v>
      </c>
      <c r="W472" s="15">
        <v>17897801312537</v>
      </c>
      <c r="X472" s="6">
        <v>0.45</v>
      </c>
      <c r="Y472" s="6">
        <v>0.21</v>
      </c>
      <c r="Z472" s="6">
        <v>0.76</v>
      </c>
      <c r="AA472" s="6">
        <f t="shared" si="19"/>
        <v>7.1819999999999995E-2</v>
      </c>
      <c r="AB472" s="8">
        <v>2</v>
      </c>
      <c r="AC472" s="15">
        <v>27897801312534</v>
      </c>
      <c r="AD472" s="4" t="s">
        <v>992</v>
      </c>
    </row>
    <row r="473" spans="2:30" x14ac:dyDescent="0.35">
      <c r="B473" s="18">
        <v>727</v>
      </c>
      <c r="C473" s="4" t="s">
        <v>2937</v>
      </c>
      <c r="D473" s="4" t="s">
        <v>2396</v>
      </c>
      <c r="E473" s="4" t="s">
        <v>2915</v>
      </c>
      <c r="F473" s="4" t="s">
        <v>85</v>
      </c>
      <c r="G473" s="4" t="s">
        <v>993</v>
      </c>
      <c r="H473" s="6">
        <v>7.8899999999999998E-2</v>
      </c>
      <c r="I473" s="8">
        <v>435</v>
      </c>
      <c r="J473" s="8">
        <v>80</v>
      </c>
      <c r="K473" s="8">
        <v>80</v>
      </c>
      <c r="L473" s="8">
        <v>2784000</v>
      </c>
      <c r="M473" s="15">
        <v>7897801319041</v>
      </c>
      <c r="N473" s="6" t="s">
        <v>20</v>
      </c>
      <c r="O473" s="6" t="s">
        <v>20</v>
      </c>
      <c r="P473" s="6" t="s">
        <v>20</v>
      </c>
      <c r="Q473" s="6">
        <v>0.32</v>
      </c>
      <c r="R473" s="6">
        <v>0.26700000000000002</v>
      </c>
      <c r="S473" s="6">
        <v>0.43</v>
      </c>
      <c r="T473" s="8">
        <v>20</v>
      </c>
      <c r="U473" s="5" t="s">
        <v>1008</v>
      </c>
      <c r="V473" s="89">
        <v>0</v>
      </c>
      <c r="W473" s="15">
        <v>17897801319048</v>
      </c>
      <c r="X473" s="6">
        <v>0</v>
      </c>
      <c r="Y473" s="6">
        <v>0</v>
      </c>
      <c r="Z473" s="6">
        <v>0</v>
      </c>
      <c r="AA473" s="6">
        <v>0</v>
      </c>
      <c r="AB473" s="8">
        <v>0</v>
      </c>
      <c r="AC473" s="15">
        <v>27897801319045</v>
      </c>
      <c r="AD473" s="4" t="s">
        <v>992</v>
      </c>
    </row>
    <row r="474" spans="2:30" x14ac:dyDescent="0.35">
      <c r="B474" s="14">
        <v>728</v>
      </c>
      <c r="C474" s="4" t="s">
        <v>478</v>
      </c>
      <c r="D474" s="4" t="s">
        <v>2370</v>
      </c>
      <c r="E474" s="4" t="s">
        <v>2913</v>
      </c>
      <c r="F474" s="4" t="s">
        <v>85</v>
      </c>
      <c r="G474" s="4" t="s">
        <v>993</v>
      </c>
      <c r="H474" s="6">
        <v>0.24010000000000001</v>
      </c>
      <c r="I474" s="8">
        <v>190</v>
      </c>
      <c r="J474" s="8">
        <v>190</v>
      </c>
      <c r="K474" s="8">
        <v>130</v>
      </c>
      <c r="L474" s="8">
        <f t="shared" ref="L474:L479" si="20">J474*I474*K474</f>
        <v>4693000</v>
      </c>
      <c r="M474" s="15">
        <v>7897801312592</v>
      </c>
      <c r="N474" s="6" t="s">
        <v>20</v>
      </c>
      <c r="O474" s="6" t="s">
        <v>20</v>
      </c>
      <c r="P474" s="6" t="s">
        <v>20</v>
      </c>
      <c r="Q474" s="6">
        <v>0.4</v>
      </c>
      <c r="R474" s="6">
        <v>0.2</v>
      </c>
      <c r="S474" s="6">
        <v>0.6</v>
      </c>
      <c r="T474" s="8">
        <v>12</v>
      </c>
      <c r="U474" s="5" t="s">
        <v>994</v>
      </c>
      <c r="V474" s="89">
        <v>0</v>
      </c>
      <c r="W474" s="15">
        <v>17897801312599</v>
      </c>
      <c r="X474" s="6" t="s">
        <v>20</v>
      </c>
      <c r="Y474" s="6" t="s">
        <v>20</v>
      </c>
      <c r="Z474" s="6" t="s">
        <v>20</v>
      </c>
      <c r="AA474" s="6"/>
      <c r="AB474" s="8">
        <v>0</v>
      </c>
      <c r="AC474" s="15">
        <v>27897801312596</v>
      </c>
      <c r="AD474" s="4" t="s">
        <v>992</v>
      </c>
    </row>
    <row r="475" spans="2:30" x14ac:dyDescent="0.35">
      <c r="B475" s="46">
        <v>729</v>
      </c>
      <c r="C475" s="32" t="s">
        <v>479</v>
      </c>
      <c r="D475" s="4" t="s">
        <v>2370</v>
      </c>
      <c r="E475" s="4" t="s">
        <v>2913</v>
      </c>
      <c r="F475" s="32" t="s">
        <v>85</v>
      </c>
      <c r="G475" s="32" t="s">
        <v>993</v>
      </c>
      <c r="H475" s="35">
        <v>0.20930000000000001</v>
      </c>
      <c r="I475" s="37">
        <v>230</v>
      </c>
      <c r="J475" s="37">
        <v>230</v>
      </c>
      <c r="K475" s="37">
        <v>110</v>
      </c>
      <c r="L475" s="37">
        <f t="shared" si="20"/>
        <v>5819000</v>
      </c>
      <c r="M475" s="40">
        <v>7897801312608</v>
      </c>
      <c r="N475" s="35" t="s">
        <v>20</v>
      </c>
      <c r="O475" s="35" t="s">
        <v>20</v>
      </c>
      <c r="P475" s="35" t="s">
        <v>20</v>
      </c>
      <c r="Q475" s="35">
        <v>0.4</v>
      </c>
      <c r="R475" s="35">
        <v>0.22</v>
      </c>
      <c r="S475" s="35">
        <v>0.6</v>
      </c>
      <c r="T475" s="37">
        <v>20</v>
      </c>
      <c r="U475" s="42" t="s">
        <v>994</v>
      </c>
      <c r="V475" s="89">
        <v>0</v>
      </c>
      <c r="W475" s="40">
        <v>17897801312605</v>
      </c>
      <c r="X475" s="35" t="s">
        <v>20</v>
      </c>
      <c r="Y475" s="35" t="s">
        <v>20</v>
      </c>
      <c r="Z475" s="35" t="s">
        <v>20</v>
      </c>
      <c r="AA475" s="35"/>
      <c r="AB475" s="37">
        <v>0</v>
      </c>
      <c r="AC475" s="40">
        <v>27897801312602</v>
      </c>
      <c r="AD475" s="32" t="s">
        <v>992</v>
      </c>
    </row>
    <row r="476" spans="2:30" x14ac:dyDescent="0.35">
      <c r="B476" s="46">
        <v>732</v>
      </c>
      <c r="C476" s="32" t="s">
        <v>482</v>
      </c>
      <c r="D476" s="4" t="s">
        <v>2396</v>
      </c>
      <c r="E476" s="4" t="s">
        <v>2915</v>
      </c>
      <c r="F476" s="32" t="s">
        <v>85</v>
      </c>
      <c r="G476" s="32" t="s">
        <v>993</v>
      </c>
      <c r="H476" s="35">
        <v>5.1499999999999997E-2</v>
      </c>
      <c r="I476" s="37">
        <v>280</v>
      </c>
      <c r="J476" s="37">
        <v>70</v>
      </c>
      <c r="K476" s="37">
        <v>60</v>
      </c>
      <c r="L476" s="37">
        <f t="shared" si="20"/>
        <v>1176000</v>
      </c>
      <c r="M476" s="40">
        <v>7897801312059</v>
      </c>
      <c r="N476" s="35" t="s">
        <v>20</v>
      </c>
      <c r="O476" s="35" t="s">
        <v>20</v>
      </c>
      <c r="P476" s="35" t="s">
        <v>20</v>
      </c>
      <c r="Q476" s="35">
        <v>0.24</v>
      </c>
      <c r="R476" s="35">
        <v>0.2</v>
      </c>
      <c r="S476" s="35">
        <v>0.28000000000000003</v>
      </c>
      <c r="T476" s="37">
        <v>20</v>
      </c>
      <c r="U476" s="42" t="s">
        <v>1008</v>
      </c>
      <c r="V476" s="89">
        <v>0</v>
      </c>
      <c r="W476" s="40">
        <v>17897801312056</v>
      </c>
      <c r="X476" s="35">
        <v>0.28000000000000003</v>
      </c>
      <c r="Y476" s="35">
        <v>0.215</v>
      </c>
      <c r="Z476" s="35">
        <v>0.42</v>
      </c>
      <c r="AA476" s="35">
        <f>Y476*X476*Z476</f>
        <v>2.5284000000000001E-2</v>
      </c>
      <c r="AB476" s="37">
        <v>0</v>
      </c>
      <c r="AC476" s="40">
        <v>27897801312053</v>
      </c>
      <c r="AD476" s="32" t="s">
        <v>992</v>
      </c>
    </row>
    <row r="477" spans="2:30" x14ac:dyDescent="0.35">
      <c r="B477" s="46">
        <v>733</v>
      </c>
      <c r="C477" s="32" t="s">
        <v>483</v>
      </c>
      <c r="D477" s="4" t="s">
        <v>2396</v>
      </c>
      <c r="E477" s="4" t="s">
        <v>2915</v>
      </c>
      <c r="F477" s="32" t="s">
        <v>85</v>
      </c>
      <c r="G477" s="32" t="s">
        <v>1014</v>
      </c>
      <c r="H477" s="35">
        <v>6.2600000000000003E-2</v>
      </c>
      <c r="I477" s="37">
        <v>420</v>
      </c>
      <c r="J477" s="37">
        <v>80</v>
      </c>
      <c r="K477" s="37">
        <v>80</v>
      </c>
      <c r="L477" s="37">
        <f t="shared" si="20"/>
        <v>2688000</v>
      </c>
      <c r="M477" s="40">
        <v>7897801313179</v>
      </c>
      <c r="N477" s="35" t="s">
        <v>20</v>
      </c>
      <c r="O477" s="35" t="s">
        <v>20</v>
      </c>
      <c r="P477" s="35" t="s">
        <v>20</v>
      </c>
      <c r="Q477" s="35">
        <v>0.45</v>
      </c>
      <c r="R477" s="35">
        <v>0.22500000000000001</v>
      </c>
      <c r="S477" s="35">
        <v>0.67500000000000004</v>
      </c>
      <c r="T477" s="37">
        <v>30</v>
      </c>
      <c r="U477" s="42" t="s">
        <v>1008</v>
      </c>
      <c r="V477" s="89">
        <v>0</v>
      </c>
      <c r="W477" s="40">
        <v>17897801313176</v>
      </c>
      <c r="X477" s="35" t="s">
        <v>20</v>
      </c>
      <c r="Y477" s="35" t="s">
        <v>20</v>
      </c>
      <c r="Z477" s="35" t="s">
        <v>20</v>
      </c>
      <c r="AA477" s="35"/>
      <c r="AB477" s="37">
        <v>0</v>
      </c>
      <c r="AC477" s="40">
        <v>27897801313173</v>
      </c>
      <c r="AD477" s="32" t="s">
        <v>992</v>
      </c>
    </row>
    <row r="478" spans="2:30" x14ac:dyDescent="0.35">
      <c r="B478" s="46">
        <v>737</v>
      </c>
      <c r="C478" s="32" t="s">
        <v>484</v>
      </c>
      <c r="D478" s="4" t="s">
        <v>2387</v>
      </c>
      <c r="E478" s="4" t="s">
        <v>2915</v>
      </c>
      <c r="F478" s="32" t="s">
        <v>85</v>
      </c>
      <c r="G478" s="32" t="s">
        <v>993</v>
      </c>
      <c r="H478" s="35">
        <v>2.6499999999999999E-2</v>
      </c>
      <c r="I478" s="37">
        <v>61</v>
      </c>
      <c r="J478" s="37">
        <v>42</v>
      </c>
      <c r="K478" s="37">
        <v>42</v>
      </c>
      <c r="L478" s="37">
        <f t="shared" si="20"/>
        <v>107604</v>
      </c>
      <c r="M478" s="40">
        <v>7897801312899</v>
      </c>
      <c r="N478" s="35" t="s">
        <v>20</v>
      </c>
      <c r="O478" s="35" t="s">
        <v>20</v>
      </c>
      <c r="P478" s="35" t="s">
        <v>20</v>
      </c>
      <c r="Q478" s="35">
        <v>0.2</v>
      </c>
      <c r="R478" s="35">
        <v>0.14000000000000001</v>
      </c>
      <c r="S478" s="35">
        <v>0.38</v>
      </c>
      <c r="T478" s="37">
        <v>50</v>
      </c>
      <c r="U478" s="42" t="s">
        <v>994</v>
      </c>
      <c r="V478" s="89">
        <v>0</v>
      </c>
      <c r="W478" s="40">
        <v>17897801312896</v>
      </c>
      <c r="X478" s="35">
        <v>0.48</v>
      </c>
      <c r="Y478" s="35">
        <v>0.22</v>
      </c>
      <c r="Z478" s="35">
        <v>0.7</v>
      </c>
      <c r="AA478" s="35">
        <f>Y478*X478*Z478</f>
        <v>7.392E-2</v>
      </c>
      <c r="AB478" s="37">
        <v>750</v>
      </c>
      <c r="AC478" s="40">
        <v>27897801312893</v>
      </c>
      <c r="AD478" s="32" t="s">
        <v>992</v>
      </c>
    </row>
    <row r="479" spans="2:30" x14ac:dyDescent="0.35">
      <c r="B479" s="46">
        <v>738</v>
      </c>
      <c r="C479" s="32" t="s">
        <v>485</v>
      </c>
      <c r="D479" s="4" t="s">
        <v>2387</v>
      </c>
      <c r="E479" s="4" t="s">
        <v>2915</v>
      </c>
      <c r="F479" s="32" t="s">
        <v>85</v>
      </c>
      <c r="G479" s="32" t="s">
        <v>993</v>
      </c>
      <c r="H479" s="35">
        <v>1.6E-2</v>
      </c>
      <c r="I479" s="37">
        <v>42</v>
      </c>
      <c r="J479" s="37">
        <v>36</v>
      </c>
      <c r="K479" s="37">
        <v>42</v>
      </c>
      <c r="L479" s="37">
        <f t="shared" si="20"/>
        <v>63504</v>
      </c>
      <c r="M479" s="40">
        <v>7897801310567</v>
      </c>
      <c r="N479" s="35" t="s">
        <v>20</v>
      </c>
      <c r="O479" s="35" t="s">
        <v>20</v>
      </c>
      <c r="P479" s="35" t="s">
        <v>20</v>
      </c>
      <c r="Q479" s="35">
        <v>0.22</v>
      </c>
      <c r="R479" s="35">
        <v>0.08</v>
      </c>
      <c r="S479" s="35">
        <v>0.27</v>
      </c>
      <c r="T479" s="37">
        <v>50</v>
      </c>
      <c r="U479" s="42" t="s">
        <v>994</v>
      </c>
      <c r="V479" s="89">
        <v>0</v>
      </c>
      <c r="W479" s="40">
        <v>17897801310564</v>
      </c>
      <c r="X479" s="35">
        <v>0.4</v>
      </c>
      <c r="Y479" s="35">
        <v>0.2</v>
      </c>
      <c r="Z479" s="35">
        <v>0.63</v>
      </c>
      <c r="AA479" s="35">
        <f>Y479*X479*Z479</f>
        <v>5.0400000000000007E-2</v>
      </c>
      <c r="AB479" s="37">
        <v>800</v>
      </c>
      <c r="AC479" s="40">
        <v>27897801310561</v>
      </c>
      <c r="AD479" s="32" t="s">
        <v>992</v>
      </c>
    </row>
    <row r="480" spans="2:30" x14ac:dyDescent="0.35">
      <c r="B480" s="45">
        <v>741</v>
      </c>
      <c r="C480" s="31" t="s">
        <v>486</v>
      </c>
      <c r="D480" s="4" t="s">
        <v>2419</v>
      </c>
      <c r="E480" s="4" t="s">
        <v>2915</v>
      </c>
      <c r="F480" s="31" t="s">
        <v>85</v>
      </c>
      <c r="G480" s="31" t="s">
        <v>993</v>
      </c>
      <c r="H480" s="41">
        <v>8.7900000000000006E-2</v>
      </c>
      <c r="I480" s="38">
        <v>350</v>
      </c>
      <c r="J480" s="38">
        <v>35</v>
      </c>
      <c r="K480" s="38">
        <v>35</v>
      </c>
      <c r="L480" s="38">
        <v>428750</v>
      </c>
      <c r="M480" s="48">
        <v>7897801300827</v>
      </c>
      <c r="N480" s="41" t="s">
        <v>20</v>
      </c>
      <c r="O480" s="41" t="s">
        <v>20</v>
      </c>
      <c r="P480" s="41" t="s">
        <v>20</v>
      </c>
      <c r="Q480" s="41">
        <v>0.2</v>
      </c>
      <c r="R480" s="41">
        <v>0.8</v>
      </c>
      <c r="S480" s="41">
        <v>0.35</v>
      </c>
      <c r="T480" s="38">
        <v>20</v>
      </c>
      <c r="U480" s="49" t="s">
        <v>1009</v>
      </c>
      <c r="V480" s="89">
        <v>0</v>
      </c>
      <c r="W480" s="48">
        <v>17897801300824</v>
      </c>
      <c r="X480" s="41">
        <v>0.6</v>
      </c>
      <c r="Y480" s="41">
        <v>0.14000000000000001</v>
      </c>
      <c r="Z480" s="41">
        <v>0.8</v>
      </c>
      <c r="AA480" s="41">
        <v>6.720000000000001E-2</v>
      </c>
      <c r="AB480" s="38">
        <v>300</v>
      </c>
      <c r="AC480" s="48">
        <v>47897801300825</v>
      </c>
      <c r="AD480" s="31" t="s">
        <v>992</v>
      </c>
    </row>
    <row r="481" spans="2:30" x14ac:dyDescent="0.35">
      <c r="B481" s="45">
        <v>742</v>
      </c>
      <c r="C481" s="31" t="s">
        <v>487</v>
      </c>
      <c r="D481" s="4" t="s">
        <v>2419</v>
      </c>
      <c r="E481" s="4" t="s">
        <v>2915</v>
      </c>
      <c r="F481" s="31" t="s">
        <v>85</v>
      </c>
      <c r="G481" s="31" t="s">
        <v>993</v>
      </c>
      <c r="H481" s="41">
        <v>0.1046</v>
      </c>
      <c r="I481" s="38">
        <v>450</v>
      </c>
      <c r="J481" s="38">
        <v>35</v>
      </c>
      <c r="K481" s="38">
        <v>35</v>
      </c>
      <c r="L481" s="38">
        <v>551250</v>
      </c>
      <c r="M481" s="48">
        <v>7897801300834</v>
      </c>
      <c r="N481" s="41" t="s">
        <v>20</v>
      </c>
      <c r="O481" s="41" t="s">
        <v>20</v>
      </c>
      <c r="P481" s="41" t="s">
        <v>20</v>
      </c>
      <c r="Q481" s="41">
        <v>0.3</v>
      </c>
      <c r="R481" s="41">
        <v>0.9</v>
      </c>
      <c r="S481" s="41">
        <v>0.52</v>
      </c>
      <c r="T481" s="38">
        <v>20</v>
      </c>
      <c r="U481" s="49" t="s">
        <v>1009</v>
      </c>
      <c r="V481" s="89">
        <v>0</v>
      </c>
      <c r="W481" s="48">
        <v>17897801300831</v>
      </c>
      <c r="X481" s="41">
        <v>0.52</v>
      </c>
      <c r="Y481" s="41">
        <v>0.25</v>
      </c>
      <c r="Z481" s="41">
        <v>0.76</v>
      </c>
      <c r="AA481" s="41">
        <v>9.8799999999999999E-2</v>
      </c>
      <c r="AB481" s="38">
        <v>260</v>
      </c>
      <c r="AC481" s="48">
        <v>47897801300832</v>
      </c>
      <c r="AD481" s="31" t="s">
        <v>992</v>
      </c>
    </row>
    <row r="482" spans="2:30" x14ac:dyDescent="0.35">
      <c r="B482" s="45">
        <v>743</v>
      </c>
      <c r="C482" s="31" t="s">
        <v>488</v>
      </c>
      <c r="D482" s="4" t="s">
        <v>2419</v>
      </c>
      <c r="E482" s="4" t="s">
        <v>2915</v>
      </c>
      <c r="F482" s="31" t="s">
        <v>85</v>
      </c>
      <c r="G482" s="31" t="s">
        <v>993</v>
      </c>
      <c r="H482" s="41">
        <v>0.11849999999999999</v>
      </c>
      <c r="I482" s="38">
        <v>560</v>
      </c>
      <c r="J482" s="38">
        <v>35</v>
      </c>
      <c r="K482" s="38">
        <v>35</v>
      </c>
      <c r="L482" s="38">
        <v>686000</v>
      </c>
      <c r="M482" s="48">
        <v>7897801300841</v>
      </c>
      <c r="N482" s="41" t="s">
        <v>20</v>
      </c>
      <c r="O482" s="41" t="s">
        <v>20</v>
      </c>
      <c r="P482" s="41" t="s">
        <v>20</v>
      </c>
      <c r="Q482" s="41">
        <v>0.22</v>
      </c>
      <c r="R482" s="41">
        <v>0.05</v>
      </c>
      <c r="S482" s="41">
        <v>0.7</v>
      </c>
      <c r="T482" s="38">
        <v>20</v>
      </c>
      <c r="U482" s="49" t="s">
        <v>1009</v>
      </c>
      <c r="V482" s="89">
        <v>0</v>
      </c>
      <c r="W482" s="48">
        <v>17897801300848</v>
      </c>
      <c r="X482" s="41">
        <v>0.62</v>
      </c>
      <c r="Y482" s="41">
        <v>0.14000000000000001</v>
      </c>
      <c r="Z482" s="41">
        <v>0.83</v>
      </c>
      <c r="AA482" s="41">
        <v>7.2043999999999997E-2</v>
      </c>
      <c r="AB482" s="38">
        <v>200</v>
      </c>
      <c r="AC482" s="48">
        <v>27897801300845</v>
      </c>
      <c r="AD482" s="31" t="s">
        <v>992</v>
      </c>
    </row>
    <row r="483" spans="2:30" x14ac:dyDescent="0.35">
      <c r="B483" s="45">
        <v>744</v>
      </c>
      <c r="C483" s="31" t="s">
        <v>489</v>
      </c>
      <c r="D483" s="4" t="s">
        <v>2419</v>
      </c>
      <c r="E483" s="4" t="s">
        <v>2915</v>
      </c>
      <c r="F483" s="31" t="s">
        <v>85</v>
      </c>
      <c r="G483" s="31" t="s">
        <v>993</v>
      </c>
      <c r="H483" s="41">
        <v>0.13869999999999999</v>
      </c>
      <c r="I483" s="38">
        <v>665</v>
      </c>
      <c r="J483" s="38">
        <v>35</v>
      </c>
      <c r="K483" s="38">
        <v>35</v>
      </c>
      <c r="L483" s="38">
        <v>814625</v>
      </c>
      <c r="M483" s="48">
        <v>7897801303026</v>
      </c>
      <c r="N483" s="41" t="s">
        <v>20</v>
      </c>
      <c r="O483" s="41" t="s">
        <v>20</v>
      </c>
      <c r="P483" s="41" t="s">
        <v>20</v>
      </c>
      <c r="Q483" s="41">
        <v>0.32</v>
      </c>
      <c r="R483" s="41">
        <v>0.15</v>
      </c>
      <c r="S483" s="41">
        <v>0.52</v>
      </c>
      <c r="T483" s="38">
        <v>20</v>
      </c>
      <c r="U483" s="49" t="s">
        <v>1009</v>
      </c>
      <c r="V483" s="89">
        <v>0</v>
      </c>
      <c r="W483" s="48">
        <v>17897801303023</v>
      </c>
      <c r="X483" s="41">
        <v>0.6</v>
      </c>
      <c r="Y483" s="41">
        <v>0.19</v>
      </c>
      <c r="Z483" s="41">
        <v>0.7</v>
      </c>
      <c r="AA483" s="41">
        <v>7.9799999999999982E-2</v>
      </c>
      <c r="AB483" s="38">
        <v>160</v>
      </c>
      <c r="AC483" s="48">
        <v>27897801303020</v>
      </c>
      <c r="AD483" s="31" t="s">
        <v>992</v>
      </c>
    </row>
    <row r="484" spans="2:30" x14ac:dyDescent="0.35">
      <c r="B484" s="45">
        <v>745</v>
      </c>
      <c r="C484" s="31" t="s">
        <v>490</v>
      </c>
      <c r="D484" s="4" t="s">
        <v>2419</v>
      </c>
      <c r="E484" s="4" t="s">
        <v>2915</v>
      </c>
      <c r="F484" s="31" t="s">
        <v>85</v>
      </c>
      <c r="G484" s="31" t="s">
        <v>993</v>
      </c>
      <c r="H484" s="41">
        <v>0.2009</v>
      </c>
      <c r="I484" s="38">
        <v>1060</v>
      </c>
      <c r="J484" s="38">
        <v>35</v>
      </c>
      <c r="K484" s="38">
        <v>35</v>
      </c>
      <c r="L484" s="38">
        <v>1298500</v>
      </c>
      <c r="M484" s="48">
        <v>7897801303033</v>
      </c>
      <c r="N484" s="41" t="s">
        <v>20</v>
      </c>
      <c r="O484" s="41" t="s">
        <v>20</v>
      </c>
      <c r="P484" s="41" t="s">
        <v>20</v>
      </c>
      <c r="Q484" s="41">
        <v>0.23</v>
      </c>
      <c r="R484" s="41">
        <v>3.5000000000000003E-2</v>
      </c>
      <c r="S484" s="41">
        <v>0.55000000000000004</v>
      </c>
      <c r="T484" s="38">
        <v>5</v>
      </c>
      <c r="U484" s="49" t="s">
        <v>1009</v>
      </c>
      <c r="V484" s="89">
        <v>0</v>
      </c>
      <c r="W484" s="48">
        <v>17897801303030</v>
      </c>
      <c r="X484" s="50">
        <v>0.61</v>
      </c>
      <c r="Y484" s="50">
        <v>0.23</v>
      </c>
      <c r="Z484" s="50">
        <v>0.89</v>
      </c>
      <c r="AA484" s="50">
        <v>0.1249</v>
      </c>
      <c r="AB484" s="51">
        <v>100</v>
      </c>
      <c r="AC484" s="48">
        <v>27897801303037</v>
      </c>
      <c r="AD484" s="31" t="s">
        <v>992</v>
      </c>
    </row>
    <row r="485" spans="2:30" x14ac:dyDescent="0.35">
      <c r="B485" s="14">
        <v>750</v>
      </c>
      <c r="C485" s="4" t="s">
        <v>491</v>
      </c>
      <c r="D485" s="4" t="s">
        <v>492</v>
      </c>
      <c r="E485" s="4" t="s">
        <v>2915</v>
      </c>
      <c r="F485" s="4" t="s">
        <v>85</v>
      </c>
      <c r="G485" s="4" t="s">
        <v>993</v>
      </c>
      <c r="H485" s="6">
        <v>0.15329999999999999</v>
      </c>
      <c r="I485" s="8">
        <v>410</v>
      </c>
      <c r="J485" s="8">
        <v>120</v>
      </c>
      <c r="K485" s="8">
        <v>120</v>
      </c>
      <c r="L485" s="8">
        <f t="shared" ref="L485:L494" si="21">J485*I485*K485</f>
        <v>5904000</v>
      </c>
      <c r="M485" s="15">
        <v>7897801310208</v>
      </c>
      <c r="N485" s="6" t="s">
        <v>20</v>
      </c>
      <c r="O485" s="6" t="s">
        <v>20</v>
      </c>
      <c r="P485" s="6" t="s">
        <v>20</v>
      </c>
      <c r="Q485" s="6">
        <v>0.19</v>
      </c>
      <c r="R485" s="6">
        <v>0.08</v>
      </c>
      <c r="S485" s="6">
        <v>0.46</v>
      </c>
      <c r="T485" s="8">
        <v>10</v>
      </c>
      <c r="U485" s="5" t="s">
        <v>1010</v>
      </c>
      <c r="V485" s="89">
        <v>0</v>
      </c>
      <c r="W485" s="15">
        <v>17897801310205</v>
      </c>
      <c r="X485" s="6">
        <v>0.61</v>
      </c>
      <c r="Y485" s="6">
        <v>0.25</v>
      </c>
      <c r="Z485" s="6">
        <v>0.83</v>
      </c>
      <c r="AA485" s="6">
        <f t="shared" ref="AA485:AA494" si="22">Y485*X485*Z485</f>
        <v>0.12657499999999999</v>
      </c>
      <c r="AB485" s="8">
        <v>60</v>
      </c>
      <c r="AC485" s="15">
        <v>27897801310202</v>
      </c>
      <c r="AD485" s="4" t="s">
        <v>992</v>
      </c>
    </row>
    <row r="486" spans="2:30" x14ac:dyDescent="0.35">
      <c r="B486" s="14">
        <v>751</v>
      </c>
      <c r="C486" s="4" t="s">
        <v>492</v>
      </c>
      <c r="D486" s="4" t="s">
        <v>492</v>
      </c>
      <c r="E486" s="4" t="s">
        <v>2915</v>
      </c>
      <c r="F486" s="4" t="s">
        <v>85</v>
      </c>
      <c r="G486" s="4" t="s">
        <v>993</v>
      </c>
      <c r="H486" s="6">
        <v>5.9799999999999999E-2</v>
      </c>
      <c r="I486" s="8">
        <v>120</v>
      </c>
      <c r="J486" s="8">
        <v>80</v>
      </c>
      <c r="K486" s="8">
        <v>120</v>
      </c>
      <c r="L486" s="8">
        <f t="shared" si="21"/>
        <v>1152000</v>
      </c>
      <c r="M486" s="15">
        <v>7897801309455</v>
      </c>
      <c r="N486" s="6" t="s">
        <v>20</v>
      </c>
      <c r="O486" s="6" t="s">
        <v>20</v>
      </c>
      <c r="P486" s="6" t="s">
        <v>20</v>
      </c>
      <c r="Q486" s="6">
        <v>0.19</v>
      </c>
      <c r="R486" s="6">
        <v>0.08</v>
      </c>
      <c r="S486" s="6">
        <v>0.24</v>
      </c>
      <c r="T486" s="8">
        <v>20</v>
      </c>
      <c r="U486" s="5" t="s">
        <v>1010</v>
      </c>
      <c r="V486" s="89">
        <v>0</v>
      </c>
      <c r="W486" s="15">
        <v>17897801309452</v>
      </c>
      <c r="X486" s="6">
        <v>0.5</v>
      </c>
      <c r="Y486" s="6">
        <v>0.17</v>
      </c>
      <c r="Z486" s="6">
        <v>0.7</v>
      </c>
      <c r="AA486" s="6">
        <f t="shared" si="22"/>
        <v>5.9499999999999997E-2</v>
      </c>
      <c r="AB486" s="8">
        <v>100</v>
      </c>
      <c r="AC486" s="15">
        <v>27897801309459</v>
      </c>
      <c r="AD486" s="4" t="s">
        <v>992</v>
      </c>
    </row>
    <row r="487" spans="2:30" x14ac:dyDescent="0.35">
      <c r="B487" s="14">
        <v>752</v>
      </c>
      <c r="C487" s="4" t="s">
        <v>493</v>
      </c>
      <c r="D487" s="4" t="s">
        <v>2398</v>
      </c>
      <c r="E487" s="4" t="s">
        <v>2915</v>
      </c>
      <c r="F487" s="4" t="s">
        <v>85</v>
      </c>
      <c r="G487" s="4" t="s">
        <v>993</v>
      </c>
      <c r="H487" s="6">
        <v>9.5600000000000004E-2</v>
      </c>
      <c r="I487" s="8">
        <v>350</v>
      </c>
      <c r="J487" s="8">
        <v>20</v>
      </c>
      <c r="K487" s="8">
        <v>20</v>
      </c>
      <c r="L487" s="8">
        <f t="shared" si="21"/>
        <v>140000</v>
      </c>
      <c r="M487" s="15">
        <v>7897801309462</v>
      </c>
      <c r="N487" s="6" t="s">
        <v>20</v>
      </c>
      <c r="O487" s="6" t="s">
        <v>20</v>
      </c>
      <c r="P487" s="6" t="s">
        <v>20</v>
      </c>
      <c r="Q487" s="6">
        <v>0.125</v>
      </c>
      <c r="R487" s="6">
        <v>0.02</v>
      </c>
      <c r="S487" s="6">
        <v>0.45</v>
      </c>
      <c r="T487" s="8">
        <v>20</v>
      </c>
      <c r="U487" s="5" t="s">
        <v>1010</v>
      </c>
      <c r="V487" s="89">
        <v>0</v>
      </c>
      <c r="W487" s="15">
        <v>17897801309469</v>
      </c>
      <c r="X487" s="6">
        <v>0.59</v>
      </c>
      <c r="Y487" s="6">
        <v>0.19</v>
      </c>
      <c r="Z487" s="6">
        <v>0.82</v>
      </c>
      <c r="AA487" s="6">
        <f t="shared" si="22"/>
        <v>9.192199999999999E-2</v>
      </c>
      <c r="AB487" s="8">
        <v>180</v>
      </c>
      <c r="AC487" s="15">
        <v>27897801309466</v>
      </c>
      <c r="AD487" s="4" t="s">
        <v>992</v>
      </c>
    </row>
    <row r="488" spans="2:30" x14ac:dyDescent="0.35">
      <c r="B488" s="14">
        <v>753</v>
      </c>
      <c r="C488" s="4" t="s">
        <v>494</v>
      </c>
      <c r="D488" s="4" t="s">
        <v>2398</v>
      </c>
      <c r="E488" s="4" t="s">
        <v>2915</v>
      </c>
      <c r="F488" s="4" t="s">
        <v>85</v>
      </c>
      <c r="G488" s="4" t="s">
        <v>993</v>
      </c>
      <c r="H488" s="6">
        <v>0.10440000000000001</v>
      </c>
      <c r="I488" s="8">
        <v>395</v>
      </c>
      <c r="J488" s="8">
        <v>30</v>
      </c>
      <c r="K488" s="8">
        <v>30</v>
      </c>
      <c r="L488" s="8">
        <f t="shared" si="21"/>
        <v>355500</v>
      </c>
      <c r="M488" s="15">
        <v>7897801309479</v>
      </c>
      <c r="N488" s="6" t="s">
        <v>20</v>
      </c>
      <c r="O488" s="6" t="s">
        <v>20</v>
      </c>
      <c r="P488" s="6" t="s">
        <v>20</v>
      </c>
      <c r="Q488" s="6">
        <v>0.28000000000000003</v>
      </c>
      <c r="R488" s="6">
        <v>0.09</v>
      </c>
      <c r="S488" s="6">
        <v>0.45</v>
      </c>
      <c r="T488" s="8">
        <v>20</v>
      </c>
      <c r="U488" s="5" t="s">
        <v>1010</v>
      </c>
      <c r="V488" s="89">
        <v>0</v>
      </c>
      <c r="W488" s="15">
        <v>17897801309476</v>
      </c>
      <c r="X488" s="6">
        <v>0.45</v>
      </c>
      <c r="Y488" s="6">
        <v>0.22</v>
      </c>
      <c r="Z488" s="6">
        <v>0.75</v>
      </c>
      <c r="AA488" s="6">
        <f t="shared" si="22"/>
        <v>7.425000000000001E-2</v>
      </c>
      <c r="AB488" s="8">
        <v>200</v>
      </c>
      <c r="AC488" s="15">
        <v>27897801309473</v>
      </c>
      <c r="AD488" s="4" t="s">
        <v>992</v>
      </c>
    </row>
    <row r="489" spans="2:30" x14ac:dyDescent="0.35">
      <c r="B489" s="14">
        <v>770</v>
      </c>
      <c r="C489" s="4" t="s">
        <v>495</v>
      </c>
      <c r="D489" s="4" t="s">
        <v>2385</v>
      </c>
      <c r="E489" s="4" t="s">
        <v>2915</v>
      </c>
      <c r="F489" s="4" t="s">
        <v>85</v>
      </c>
      <c r="G489" s="4" t="s">
        <v>993</v>
      </c>
      <c r="H489" s="6">
        <v>1.72E-2</v>
      </c>
      <c r="I489" s="8">
        <v>28</v>
      </c>
      <c r="J489" s="8">
        <v>78</v>
      </c>
      <c r="K489" s="8">
        <v>86</v>
      </c>
      <c r="L489" s="8">
        <f t="shared" si="21"/>
        <v>187824</v>
      </c>
      <c r="M489" s="15">
        <v>7897801310260</v>
      </c>
      <c r="N489" s="6" t="s">
        <v>20</v>
      </c>
      <c r="O489" s="6" t="s">
        <v>20</v>
      </c>
      <c r="P489" s="6" t="s">
        <v>20</v>
      </c>
      <c r="Q489" s="6">
        <v>0.15</v>
      </c>
      <c r="R489" s="6">
        <v>0.1</v>
      </c>
      <c r="S489" s="6">
        <v>0.32</v>
      </c>
      <c r="T489" s="8">
        <v>10</v>
      </c>
      <c r="U489" s="5" t="s">
        <v>1007</v>
      </c>
      <c r="V489" s="89">
        <v>0</v>
      </c>
      <c r="W489" s="15">
        <v>17897801310267</v>
      </c>
      <c r="X489" s="6">
        <v>0.56000000000000005</v>
      </c>
      <c r="Y489" s="6">
        <v>0.15</v>
      </c>
      <c r="Z489" s="6">
        <v>0.78</v>
      </c>
      <c r="AA489" s="6">
        <f t="shared" si="22"/>
        <v>6.5520000000000009E-2</v>
      </c>
      <c r="AB489" s="8">
        <v>300</v>
      </c>
      <c r="AC489" s="15">
        <v>27897801310264</v>
      </c>
      <c r="AD489" s="4" t="s">
        <v>992</v>
      </c>
    </row>
    <row r="490" spans="2:30" x14ac:dyDescent="0.35">
      <c r="B490" s="14">
        <v>771</v>
      </c>
      <c r="C490" s="4" t="s">
        <v>496</v>
      </c>
      <c r="D490" s="4" t="s">
        <v>2385</v>
      </c>
      <c r="E490" s="4" t="s">
        <v>2915</v>
      </c>
      <c r="F490" s="4" t="s">
        <v>85</v>
      </c>
      <c r="G490" s="4" t="s">
        <v>993</v>
      </c>
      <c r="H490" s="6">
        <v>1.8200000000000001E-2</v>
      </c>
      <c r="I490" s="8">
        <v>28</v>
      </c>
      <c r="J490" s="8">
        <v>78</v>
      </c>
      <c r="K490" s="8">
        <v>86</v>
      </c>
      <c r="L490" s="8">
        <f t="shared" si="21"/>
        <v>187824</v>
      </c>
      <c r="M490" s="15">
        <v>7897801310277</v>
      </c>
      <c r="N490" s="6" t="s">
        <v>20</v>
      </c>
      <c r="O490" s="6" t="s">
        <v>20</v>
      </c>
      <c r="P490" s="6" t="s">
        <v>20</v>
      </c>
      <c r="Q490" s="6">
        <v>0.2</v>
      </c>
      <c r="R490" s="6">
        <v>0.1</v>
      </c>
      <c r="S490" s="6">
        <v>0.33</v>
      </c>
      <c r="T490" s="8">
        <v>10</v>
      </c>
      <c r="U490" s="5" t="s">
        <v>1007</v>
      </c>
      <c r="V490" s="89">
        <v>0</v>
      </c>
      <c r="W490" s="15">
        <v>17897801310274</v>
      </c>
      <c r="X490" s="6">
        <v>0.5</v>
      </c>
      <c r="Y490" s="6">
        <v>0.22</v>
      </c>
      <c r="Z490" s="6">
        <v>0.76</v>
      </c>
      <c r="AA490" s="6">
        <f t="shared" si="22"/>
        <v>8.3600000000000008E-2</v>
      </c>
      <c r="AB490" s="8">
        <v>300</v>
      </c>
      <c r="AC490" s="15">
        <v>27897801310271</v>
      </c>
      <c r="AD490" s="4" t="s">
        <v>992</v>
      </c>
    </row>
    <row r="491" spans="2:30" x14ac:dyDescent="0.35">
      <c r="B491" s="14">
        <v>772</v>
      </c>
      <c r="C491" s="4" t="s">
        <v>497</v>
      </c>
      <c r="D491" s="4" t="s">
        <v>2385</v>
      </c>
      <c r="E491" s="4" t="s">
        <v>2915</v>
      </c>
      <c r="F491" s="4" t="s">
        <v>85</v>
      </c>
      <c r="G491" s="4" t="s">
        <v>993</v>
      </c>
      <c r="H491" s="6">
        <v>1.72E-2</v>
      </c>
      <c r="I491" s="8">
        <v>28</v>
      </c>
      <c r="J491" s="8">
        <v>78</v>
      </c>
      <c r="K491" s="8">
        <v>86</v>
      </c>
      <c r="L491" s="8">
        <f t="shared" si="21"/>
        <v>187824</v>
      </c>
      <c r="M491" s="15">
        <v>7897801310284</v>
      </c>
      <c r="N491" s="6" t="s">
        <v>20</v>
      </c>
      <c r="O491" s="6" t="s">
        <v>20</v>
      </c>
      <c r="P491" s="6" t="s">
        <v>20</v>
      </c>
      <c r="Q491" s="6">
        <v>0.2</v>
      </c>
      <c r="R491" s="6">
        <v>0.1</v>
      </c>
      <c r="S491" s="6">
        <v>0.33</v>
      </c>
      <c r="T491" s="8">
        <v>10</v>
      </c>
      <c r="U491" s="5" t="s">
        <v>1007</v>
      </c>
      <c r="V491" s="89">
        <v>0</v>
      </c>
      <c r="W491" s="15">
        <v>17897801310281</v>
      </c>
      <c r="X491" s="6">
        <v>0.5</v>
      </c>
      <c r="Y491" s="6">
        <v>0.22</v>
      </c>
      <c r="Z491" s="6">
        <v>0.76</v>
      </c>
      <c r="AA491" s="6">
        <f t="shared" si="22"/>
        <v>8.3600000000000008E-2</v>
      </c>
      <c r="AB491" s="8">
        <v>300</v>
      </c>
      <c r="AC491" s="15">
        <v>27897801310288</v>
      </c>
      <c r="AD491" s="4" t="s">
        <v>992</v>
      </c>
    </row>
    <row r="492" spans="2:30" x14ac:dyDescent="0.35">
      <c r="B492" s="14">
        <v>773</v>
      </c>
      <c r="C492" s="4" t="s">
        <v>498</v>
      </c>
      <c r="D492" s="4" t="s">
        <v>2385</v>
      </c>
      <c r="E492" s="4" t="s">
        <v>2915</v>
      </c>
      <c r="F492" s="4" t="s">
        <v>85</v>
      </c>
      <c r="G492" s="4" t="s">
        <v>993</v>
      </c>
      <c r="H492" s="6">
        <v>1.72E-2</v>
      </c>
      <c r="I492" s="8">
        <v>28</v>
      </c>
      <c r="J492" s="8">
        <v>78</v>
      </c>
      <c r="K492" s="8">
        <v>86</v>
      </c>
      <c r="L492" s="8">
        <f t="shared" si="21"/>
        <v>187824</v>
      </c>
      <c r="M492" s="15">
        <v>7897801310291</v>
      </c>
      <c r="N492" s="6" t="s">
        <v>20</v>
      </c>
      <c r="O492" s="6" t="s">
        <v>20</v>
      </c>
      <c r="P492" s="6" t="s">
        <v>20</v>
      </c>
      <c r="Q492" s="6">
        <v>0.2</v>
      </c>
      <c r="R492" s="6">
        <v>0.1</v>
      </c>
      <c r="S492" s="6">
        <v>0.33</v>
      </c>
      <c r="T492" s="8">
        <v>10</v>
      </c>
      <c r="U492" s="5" t="s">
        <v>1007</v>
      </c>
      <c r="V492" s="89">
        <v>0</v>
      </c>
      <c r="W492" s="15">
        <v>17897801310298</v>
      </c>
      <c r="X492" s="6">
        <v>0.5</v>
      </c>
      <c r="Y492" s="6">
        <v>0.22</v>
      </c>
      <c r="Z492" s="6">
        <v>0.76</v>
      </c>
      <c r="AA492" s="6">
        <f t="shared" si="22"/>
        <v>8.3600000000000008E-2</v>
      </c>
      <c r="AB492" s="8">
        <v>300</v>
      </c>
      <c r="AC492" s="15">
        <v>27897801310295</v>
      </c>
      <c r="AD492" s="4" t="s">
        <v>992</v>
      </c>
    </row>
    <row r="493" spans="2:30" x14ac:dyDescent="0.35">
      <c r="B493" s="14">
        <v>781</v>
      </c>
      <c r="C493" s="4" t="s">
        <v>503</v>
      </c>
      <c r="D493" s="4" t="s">
        <v>2402</v>
      </c>
      <c r="E493" s="4" t="s">
        <v>2915</v>
      </c>
      <c r="F493" s="4" t="s">
        <v>85</v>
      </c>
      <c r="G493" s="4" t="s">
        <v>993</v>
      </c>
      <c r="H493" s="6">
        <v>7.1400000000000005E-2</v>
      </c>
      <c r="I493" s="8">
        <v>100</v>
      </c>
      <c r="J493" s="8">
        <v>70</v>
      </c>
      <c r="K493" s="8">
        <v>25</v>
      </c>
      <c r="L493" s="8">
        <f t="shared" si="21"/>
        <v>175000</v>
      </c>
      <c r="M493" s="15">
        <v>7897801307901</v>
      </c>
      <c r="N493" s="6" t="s">
        <v>20</v>
      </c>
      <c r="O493" s="6" t="s">
        <v>20</v>
      </c>
      <c r="P493" s="6" t="s">
        <v>20</v>
      </c>
      <c r="Q493" s="6">
        <v>0.16500000000000001</v>
      </c>
      <c r="R493" s="6">
        <v>0.06</v>
      </c>
      <c r="S493" s="6">
        <v>0.28499999999999998</v>
      </c>
      <c r="T493" s="8">
        <v>6</v>
      </c>
      <c r="U493" s="5" t="s">
        <v>1011</v>
      </c>
      <c r="V493" s="89">
        <v>3.2500000000000001E-2</v>
      </c>
      <c r="W493" s="15">
        <v>17897801307908</v>
      </c>
      <c r="X493" s="6">
        <v>0.53</v>
      </c>
      <c r="Y493" s="6">
        <v>0.16</v>
      </c>
      <c r="Z493" s="6">
        <v>0.77</v>
      </c>
      <c r="AA493" s="6">
        <f t="shared" si="22"/>
        <v>6.5296000000000007E-2</v>
      </c>
      <c r="AB493" s="8">
        <v>168</v>
      </c>
      <c r="AC493" s="15">
        <v>27897801307905</v>
      </c>
      <c r="AD493" s="4" t="s">
        <v>992</v>
      </c>
    </row>
    <row r="494" spans="2:30" x14ac:dyDescent="0.35">
      <c r="B494" s="14">
        <v>786</v>
      </c>
      <c r="C494" s="4" t="s">
        <v>505</v>
      </c>
      <c r="D494" s="4" t="s">
        <v>2375</v>
      </c>
      <c r="E494" s="4" t="s">
        <v>2915</v>
      </c>
      <c r="F494" s="4" t="s">
        <v>85</v>
      </c>
      <c r="G494" s="4" t="s">
        <v>1012</v>
      </c>
      <c r="H494" s="6">
        <v>2.9000000000000001E-2</v>
      </c>
      <c r="I494" s="8">
        <v>90</v>
      </c>
      <c r="J494" s="8">
        <v>32</v>
      </c>
      <c r="K494" s="8">
        <v>70</v>
      </c>
      <c r="L494" s="8">
        <f t="shared" si="21"/>
        <v>201600</v>
      </c>
      <c r="M494" s="15">
        <v>7897801319188</v>
      </c>
      <c r="N494" s="6" t="s">
        <v>20</v>
      </c>
      <c r="O494" s="6" t="s">
        <v>20</v>
      </c>
      <c r="P494" s="6" t="s">
        <v>20</v>
      </c>
      <c r="Q494" s="6">
        <v>0.57999999999999996</v>
      </c>
      <c r="R494" s="6">
        <v>0.17</v>
      </c>
      <c r="S494" s="6">
        <v>0.8</v>
      </c>
      <c r="T494" s="8">
        <v>12</v>
      </c>
      <c r="U494" s="5" t="s">
        <v>1011</v>
      </c>
      <c r="V494" s="89">
        <v>0</v>
      </c>
      <c r="W494" s="15">
        <v>17897801319185</v>
      </c>
      <c r="X494" s="6">
        <v>0.57999999999999996</v>
      </c>
      <c r="Y494" s="6">
        <v>0.17</v>
      </c>
      <c r="Z494" s="6">
        <v>0.8</v>
      </c>
      <c r="AA494" s="6">
        <f t="shared" si="22"/>
        <v>7.8880000000000006E-2</v>
      </c>
      <c r="AB494" s="8">
        <v>336</v>
      </c>
      <c r="AC494" s="15">
        <v>27897801319182</v>
      </c>
      <c r="AD494" s="4" t="s">
        <v>992</v>
      </c>
    </row>
    <row r="495" spans="2:30" x14ac:dyDescent="0.35">
      <c r="B495" s="14">
        <v>787</v>
      </c>
      <c r="C495" s="4" t="s">
        <v>506</v>
      </c>
      <c r="D495" s="4" t="s">
        <v>2375</v>
      </c>
      <c r="E495" s="4" t="s">
        <v>2915</v>
      </c>
      <c r="F495" s="4" t="s">
        <v>85</v>
      </c>
      <c r="G495" s="4" t="s">
        <v>993</v>
      </c>
      <c r="H495" s="6">
        <v>2.9000000000000001E-2</v>
      </c>
      <c r="I495" s="8">
        <v>180</v>
      </c>
      <c r="J495" s="8">
        <v>78</v>
      </c>
      <c r="K495" s="8">
        <v>40</v>
      </c>
      <c r="L495" s="8">
        <v>561600</v>
      </c>
      <c r="M495" s="15">
        <v>7897801319195</v>
      </c>
      <c r="N495" s="6" t="s">
        <v>20</v>
      </c>
      <c r="O495" s="6" t="s">
        <v>20</v>
      </c>
      <c r="P495" s="6" t="s">
        <v>20</v>
      </c>
      <c r="Q495" s="6">
        <v>0.18</v>
      </c>
      <c r="R495" s="6">
        <v>0.1</v>
      </c>
      <c r="S495" s="6">
        <v>0.33</v>
      </c>
      <c r="T495" s="8">
        <v>12</v>
      </c>
      <c r="U495" s="5" t="s">
        <v>1008</v>
      </c>
      <c r="V495" s="89">
        <v>0</v>
      </c>
      <c r="W495" s="15">
        <v>17897801319192</v>
      </c>
      <c r="X495" s="6">
        <v>0.52</v>
      </c>
      <c r="Y495" s="6">
        <v>0.23</v>
      </c>
      <c r="Z495" s="6">
        <v>0.75</v>
      </c>
      <c r="AA495" s="6">
        <v>8.9700000000000002E-2</v>
      </c>
      <c r="AB495" s="8">
        <v>240</v>
      </c>
      <c r="AC495" s="15">
        <v>27897801319199</v>
      </c>
      <c r="AD495" s="4" t="s">
        <v>992</v>
      </c>
    </row>
    <row r="496" spans="2:30" x14ac:dyDescent="0.35">
      <c r="B496" s="14">
        <v>788</v>
      </c>
      <c r="C496" s="4" t="s">
        <v>507</v>
      </c>
      <c r="D496" s="4" t="s">
        <v>2375</v>
      </c>
      <c r="E496" s="4" t="s">
        <v>2915</v>
      </c>
      <c r="F496" s="4" t="s">
        <v>85</v>
      </c>
      <c r="G496" s="4" t="s">
        <v>993</v>
      </c>
      <c r="H496" s="6">
        <v>2.9000000000000001E-2</v>
      </c>
      <c r="I496" s="8">
        <v>117</v>
      </c>
      <c r="J496" s="8">
        <v>75</v>
      </c>
      <c r="K496" s="8">
        <v>40</v>
      </c>
      <c r="L496" s="8">
        <v>351000</v>
      </c>
      <c r="M496" s="15">
        <v>7897801319201</v>
      </c>
      <c r="N496" s="6" t="s">
        <v>20</v>
      </c>
      <c r="O496" s="6" t="s">
        <v>20</v>
      </c>
      <c r="P496" s="6" t="s">
        <v>20</v>
      </c>
      <c r="Q496" s="6">
        <v>0.18</v>
      </c>
      <c r="R496" s="6">
        <v>0.12</v>
      </c>
      <c r="S496" s="6">
        <v>0.33</v>
      </c>
      <c r="T496" s="8">
        <v>12</v>
      </c>
      <c r="U496" s="5" t="s">
        <v>1011</v>
      </c>
      <c r="V496" s="89">
        <v>0</v>
      </c>
      <c r="W496" s="15">
        <v>17897801319208</v>
      </c>
      <c r="X496" s="6">
        <v>0.52</v>
      </c>
      <c r="Y496" s="6">
        <v>0.23</v>
      </c>
      <c r="Z496" s="6">
        <v>0.75</v>
      </c>
      <c r="AA496" s="6">
        <v>8.9700000000000002E-2</v>
      </c>
      <c r="AB496" s="8">
        <v>360</v>
      </c>
      <c r="AC496" s="15">
        <v>27897801319205</v>
      </c>
      <c r="AD496" s="4" t="s">
        <v>992</v>
      </c>
    </row>
    <row r="497" spans="2:30" x14ac:dyDescent="0.35">
      <c r="B497" s="14">
        <v>790</v>
      </c>
      <c r="C497" s="4" t="s">
        <v>508</v>
      </c>
      <c r="D497" s="4" t="s">
        <v>2397</v>
      </c>
      <c r="E497" s="4" t="s">
        <v>2915</v>
      </c>
      <c r="F497" s="4" t="s">
        <v>85</v>
      </c>
      <c r="G497" s="4" t="s">
        <v>993</v>
      </c>
      <c r="H497" s="6">
        <v>0.45</v>
      </c>
      <c r="I497" s="8">
        <v>400</v>
      </c>
      <c r="J497" s="8">
        <v>1600</v>
      </c>
      <c r="K497" s="8">
        <v>400</v>
      </c>
      <c r="L497" s="8">
        <f t="shared" ref="L497:L515" si="23">J497*I497*K497</f>
        <v>256000000</v>
      </c>
      <c r="M497" s="15">
        <v>7897801300254</v>
      </c>
      <c r="N497" s="6" t="s">
        <v>20</v>
      </c>
      <c r="O497" s="6" t="s">
        <v>20</v>
      </c>
      <c r="P497" s="6" t="s">
        <v>20</v>
      </c>
      <c r="Q497" s="6">
        <v>0.37</v>
      </c>
      <c r="R497" s="6">
        <v>0.18</v>
      </c>
      <c r="S497" s="6">
        <v>1.35</v>
      </c>
      <c r="T497" s="8">
        <v>10</v>
      </c>
      <c r="U497" s="5" t="s">
        <v>991</v>
      </c>
      <c r="V497" s="89">
        <v>0</v>
      </c>
      <c r="W497" s="15">
        <v>17897801300251</v>
      </c>
      <c r="X497" s="6" t="s">
        <v>20</v>
      </c>
      <c r="Y497" s="6" t="s">
        <v>20</v>
      </c>
      <c r="Z497" s="6" t="s">
        <v>20</v>
      </c>
      <c r="AA497" s="6"/>
      <c r="AB497" s="8">
        <v>0</v>
      </c>
      <c r="AC497" s="15">
        <v>27897801300258</v>
      </c>
      <c r="AD497" s="4" t="s">
        <v>992</v>
      </c>
    </row>
    <row r="498" spans="2:30" x14ac:dyDescent="0.35">
      <c r="B498" s="14">
        <v>791</v>
      </c>
      <c r="C498" s="4" t="s">
        <v>509</v>
      </c>
      <c r="D498" s="4" t="s">
        <v>2397</v>
      </c>
      <c r="E498" s="4" t="s">
        <v>2915</v>
      </c>
      <c r="F498" s="4" t="s">
        <v>85</v>
      </c>
      <c r="G498" s="4" t="s">
        <v>993</v>
      </c>
      <c r="H498" s="6">
        <v>0.35</v>
      </c>
      <c r="I498" s="8">
        <v>400</v>
      </c>
      <c r="J498" s="8">
        <v>1200</v>
      </c>
      <c r="K498" s="8">
        <v>400</v>
      </c>
      <c r="L498" s="8">
        <f t="shared" si="23"/>
        <v>192000000</v>
      </c>
      <c r="M498" s="15">
        <v>7897801300261</v>
      </c>
      <c r="N498" s="6" t="s">
        <v>20</v>
      </c>
      <c r="O498" s="6" t="s">
        <v>20</v>
      </c>
      <c r="P498" s="6" t="s">
        <v>20</v>
      </c>
      <c r="Q498" s="6">
        <v>0.4</v>
      </c>
      <c r="R498" s="6">
        <v>0.1</v>
      </c>
      <c r="S498" s="6">
        <v>0.95</v>
      </c>
      <c r="T498" s="8">
        <v>10</v>
      </c>
      <c r="U498" s="5" t="s">
        <v>991</v>
      </c>
      <c r="V498" s="89">
        <v>0</v>
      </c>
      <c r="W498" s="15">
        <v>17897801300268</v>
      </c>
      <c r="X498" s="6" t="s">
        <v>20</v>
      </c>
      <c r="Y498" s="6" t="s">
        <v>20</v>
      </c>
      <c r="Z498" s="6" t="s">
        <v>20</v>
      </c>
      <c r="AA498" s="6"/>
      <c r="AB498" s="8">
        <v>0</v>
      </c>
      <c r="AC498" s="15">
        <v>27897801300265</v>
      </c>
      <c r="AD498" s="4" t="s">
        <v>992</v>
      </c>
    </row>
    <row r="499" spans="2:30" x14ac:dyDescent="0.35">
      <c r="B499" s="14">
        <v>792</v>
      </c>
      <c r="C499" s="4" t="s">
        <v>510</v>
      </c>
      <c r="D499" s="4" t="s">
        <v>2397</v>
      </c>
      <c r="E499" s="4" t="s">
        <v>2915</v>
      </c>
      <c r="F499" s="4" t="s">
        <v>85</v>
      </c>
      <c r="G499" s="4" t="s">
        <v>993</v>
      </c>
      <c r="H499" s="6">
        <v>0.42099999999999999</v>
      </c>
      <c r="I499" s="8">
        <v>400</v>
      </c>
      <c r="J499" s="8">
        <v>1600</v>
      </c>
      <c r="K499" s="8">
        <v>400</v>
      </c>
      <c r="L499" s="8">
        <f t="shared" si="23"/>
        <v>256000000</v>
      </c>
      <c r="M499" s="15">
        <v>7897801301787</v>
      </c>
      <c r="N499" s="6" t="s">
        <v>20</v>
      </c>
      <c r="O499" s="6" t="s">
        <v>20</v>
      </c>
      <c r="P499" s="6" t="s">
        <v>20</v>
      </c>
      <c r="Q499" s="6">
        <v>0.34</v>
      </c>
      <c r="R499" s="6">
        <v>0.22</v>
      </c>
      <c r="S499" s="6">
        <v>1.4</v>
      </c>
      <c r="T499" s="8">
        <v>10</v>
      </c>
      <c r="U499" s="5" t="s">
        <v>991</v>
      </c>
      <c r="V499" s="89">
        <v>0</v>
      </c>
      <c r="W499" s="15">
        <v>17897801301784</v>
      </c>
      <c r="X499" s="6" t="s">
        <v>20</v>
      </c>
      <c r="Y499" s="6" t="s">
        <v>20</v>
      </c>
      <c r="Z499" s="6" t="s">
        <v>20</v>
      </c>
      <c r="AA499" s="6"/>
      <c r="AB499" s="8">
        <v>0</v>
      </c>
      <c r="AC499" s="15">
        <v>27897801301781</v>
      </c>
      <c r="AD499" s="4" t="s">
        <v>992</v>
      </c>
    </row>
    <row r="500" spans="2:30" x14ac:dyDescent="0.35">
      <c r="B500" s="14">
        <v>793</v>
      </c>
      <c r="C500" s="4" t="s">
        <v>511</v>
      </c>
      <c r="D500" s="4" t="s">
        <v>2397</v>
      </c>
      <c r="E500" s="4" t="s">
        <v>2915</v>
      </c>
      <c r="F500" s="4" t="s">
        <v>85</v>
      </c>
      <c r="G500" s="4" t="s">
        <v>993</v>
      </c>
      <c r="H500" s="6">
        <v>0.19550000000000001</v>
      </c>
      <c r="I500" s="8">
        <v>38</v>
      </c>
      <c r="J500" s="8">
        <v>800</v>
      </c>
      <c r="K500" s="8">
        <v>38</v>
      </c>
      <c r="L500" s="8">
        <f t="shared" si="23"/>
        <v>1155200</v>
      </c>
      <c r="M500" s="15">
        <v>7897801307635</v>
      </c>
      <c r="N500" s="6" t="s">
        <v>20</v>
      </c>
      <c r="O500" s="6" t="s">
        <v>20</v>
      </c>
      <c r="P500" s="6" t="s">
        <v>20</v>
      </c>
      <c r="Q500" s="6">
        <v>0.35</v>
      </c>
      <c r="R500" s="6">
        <v>0.1</v>
      </c>
      <c r="S500" s="6">
        <v>0.93</v>
      </c>
      <c r="T500" s="8">
        <v>20</v>
      </c>
      <c r="U500" s="5" t="s">
        <v>991</v>
      </c>
      <c r="V500" s="89">
        <v>0</v>
      </c>
      <c r="W500" s="15">
        <v>17897801307632</v>
      </c>
      <c r="X500" s="6" t="s">
        <v>20</v>
      </c>
      <c r="Y500" s="6" t="s">
        <v>20</v>
      </c>
      <c r="Z500" s="6" t="s">
        <v>20</v>
      </c>
      <c r="AA500" s="6"/>
      <c r="AB500" s="8">
        <v>0</v>
      </c>
      <c r="AC500" s="15">
        <v>27897801307639</v>
      </c>
      <c r="AD500" s="4" t="s">
        <v>992</v>
      </c>
    </row>
    <row r="501" spans="2:30" x14ac:dyDescent="0.35">
      <c r="B501" s="14">
        <v>794</v>
      </c>
      <c r="C501" s="4" t="s">
        <v>512</v>
      </c>
      <c r="D501" s="4" t="s">
        <v>2397</v>
      </c>
      <c r="E501" s="4" t="s">
        <v>2915</v>
      </c>
      <c r="F501" s="4" t="s">
        <v>85</v>
      </c>
      <c r="G501" s="4" t="s">
        <v>993</v>
      </c>
      <c r="H501" s="6">
        <v>0.125</v>
      </c>
      <c r="I501" s="8">
        <v>400</v>
      </c>
      <c r="J501" s="8">
        <v>300</v>
      </c>
      <c r="K501" s="8">
        <v>400</v>
      </c>
      <c r="L501" s="8">
        <f t="shared" si="23"/>
        <v>48000000</v>
      </c>
      <c r="M501" s="15">
        <v>7897801301602</v>
      </c>
      <c r="N501" s="6" t="s">
        <v>20</v>
      </c>
      <c r="O501" s="6" t="s">
        <v>20</v>
      </c>
      <c r="P501" s="6" t="s">
        <v>20</v>
      </c>
      <c r="Q501" s="6">
        <v>0.4</v>
      </c>
      <c r="R501" s="6">
        <v>0.14000000000000001</v>
      </c>
      <c r="S501" s="6">
        <v>0.5</v>
      </c>
      <c r="T501" s="8">
        <v>10</v>
      </c>
      <c r="U501" s="5" t="s">
        <v>991</v>
      </c>
      <c r="V501" s="89">
        <v>0</v>
      </c>
      <c r="W501" s="15">
        <v>17897801301609</v>
      </c>
      <c r="X501" s="6" t="s">
        <v>20</v>
      </c>
      <c r="Y501" s="6" t="s">
        <v>20</v>
      </c>
      <c r="Z501" s="6" t="s">
        <v>20</v>
      </c>
      <c r="AA501" s="6"/>
      <c r="AB501" s="8">
        <v>0</v>
      </c>
      <c r="AC501" s="15">
        <v>27897801301606</v>
      </c>
      <c r="AD501" s="4" t="s">
        <v>992</v>
      </c>
    </row>
    <row r="502" spans="2:30" x14ac:dyDescent="0.35">
      <c r="B502" s="14">
        <v>798</v>
      </c>
      <c r="C502" s="4" t="s">
        <v>513</v>
      </c>
      <c r="D502" s="4" t="s">
        <v>2421</v>
      </c>
      <c r="E502" s="4" t="s">
        <v>2915</v>
      </c>
      <c r="F502" s="4" t="s">
        <v>85</v>
      </c>
      <c r="G502" s="4" t="s">
        <v>993</v>
      </c>
      <c r="H502" s="6">
        <v>2.1000000000000001E-2</v>
      </c>
      <c r="I502" s="8">
        <v>65</v>
      </c>
      <c r="J502" s="8">
        <v>22</v>
      </c>
      <c r="K502" s="8">
        <v>65</v>
      </c>
      <c r="L502" s="8">
        <f t="shared" si="23"/>
        <v>92950</v>
      </c>
      <c r="M502" s="15">
        <v>7897801302012</v>
      </c>
      <c r="N502" s="6" t="s">
        <v>20</v>
      </c>
      <c r="O502" s="6" t="s">
        <v>20</v>
      </c>
      <c r="P502" s="6" t="s">
        <v>20</v>
      </c>
      <c r="Q502" s="6">
        <v>0.22</v>
      </c>
      <c r="R502" s="6">
        <v>0.06</v>
      </c>
      <c r="S502" s="6">
        <v>0.25</v>
      </c>
      <c r="T502" s="8">
        <v>20</v>
      </c>
      <c r="U502" s="5" t="s">
        <v>994</v>
      </c>
      <c r="V502" s="89">
        <v>0</v>
      </c>
      <c r="W502" s="15">
        <v>17897801302019</v>
      </c>
      <c r="X502" s="6">
        <v>0.54</v>
      </c>
      <c r="Y502" s="6">
        <v>0.23</v>
      </c>
      <c r="Z502" s="6">
        <v>0.7</v>
      </c>
      <c r="AA502" s="6">
        <f t="shared" ref="AA502:AA514" si="24">Y502*X502*Z502</f>
        <v>8.6940000000000003E-2</v>
      </c>
      <c r="AB502" s="8">
        <v>600</v>
      </c>
      <c r="AC502" s="15">
        <v>27897801302016</v>
      </c>
      <c r="AD502" s="4" t="s">
        <v>992</v>
      </c>
    </row>
    <row r="503" spans="2:30" x14ac:dyDescent="0.35">
      <c r="B503" s="14">
        <v>806</v>
      </c>
      <c r="C503" s="4" t="s">
        <v>514</v>
      </c>
      <c r="D503" s="4" t="s">
        <v>2387</v>
      </c>
      <c r="E503" s="4" t="s">
        <v>2915</v>
      </c>
      <c r="F503" s="4" t="s">
        <v>85</v>
      </c>
      <c r="G503" s="4" t="s">
        <v>993</v>
      </c>
      <c r="H503" s="6">
        <v>3.2800000000000003E-2</v>
      </c>
      <c r="I503" s="8">
        <v>90</v>
      </c>
      <c r="J503" s="8">
        <v>52</v>
      </c>
      <c r="K503" s="8">
        <v>52</v>
      </c>
      <c r="L503" s="8">
        <f t="shared" si="23"/>
        <v>243360</v>
      </c>
      <c r="M503" s="15">
        <v>7897801301176</v>
      </c>
      <c r="N503" s="6" t="s">
        <v>20</v>
      </c>
      <c r="O503" s="6" t="s">
        <v>20</v>
      </c>
      <c r="P503" s="6" t="s">
        <v>20</v>
      </c>
      <c r="Q503" s="6">
        <v>0.18</v>
      </c>
      <c r="R503" s="6">
        <v>0.13</v>
      </c>
      <c r="S503" s="6">
        <v>0.33</v>
      </c>
      <c r="T503" s="8">
        <v>20</v>
      </c>
      <c r="U503" s="5" t="s">
        <v>994</v>
      </c>
      <c r="V503" s="89">
        <v>0</v>
      </c>
      <c r="W503" s="15">
        <v>17897801301173</v>
      </c>
      <c r="X503" s="6">
        <v>0.45</v>
      </c>
      <c r="Y503" s="6">
        <v>0.25</v>
      </c>
      <c r="Z503" s="6">
        <v>0.7</v>
      </c>
      <c r="AA503" s="6">
        <f t="shared" si="24"/>
        <v>7.8750000000000001E-2</v>
      </c>
      <c r="AB503" s="8">
        <v>400</v>
      </c>
      <c r="AC503" s="15">
        <v>27897801301170</v>
      </c>
      <c r="AD503" s="4" t="s">
        <v>992</v>
      </c>
    </row>
    <row r="504" spans="2:30" x14ac:dyDescent="0.35">
      <c r="B504" s="14">
        <v>807</v>
      </c>
      <c r="C504" s="4" t="s">
        <v>515</v>
      </c>
      <c r="D504" s="4" t="s">
        <v>2387</v>
      </c>
      <c r="E504" s="4" t="s">
        <v>2915</v>
      </c>
      <c r="F504" s="4" t="s">
        <v>85</v>
      </c>
      <c r="G504" s="4" t="s">
        <v>993</v>
      </c>
      <c r="H504" s="6">
        <v>2.18E-2</v>
      </c>
      <c r="I504" s="8">
        <v>62</v>
      </c>
      <c r="J504" s="8">
        <v>52</v>
      </c>
      <c r="K504" s="8">
        <v>52</v>
      </c>
      <c r="L504" s="8">
        <f t="shared" si="23"/>
        <v>167648</v>
      </c>
      <c r="M504" s="15">
        <v>7897801301183</v>
      </c>
      <c r="N504" s="6" t="s">
        <v>20</v>
      </c>
      <c r="O504" s="6" t="s">
        <v>20</v>
      </c>
      <c r="P504" s="6" t="s">
        <v>20</v>
      </c>
      <c r="Q504" s="6">
        <v>0.18</v>
      </c>
      <c r="R504" s="6">
        <v>0.11</v>
      </c>
      <c r="S504" s="6">
        <v>0.32</v>
      </c>
      <c r="T504" s="8">
        <v>20</v>
      </c>
      <c r="U504" s="5" t="s">
        <v>994</v>
      </c>
      <c r="V504" s="89">
        <v>0</v>
      </c>
      <c r="W504" s="15">
        <v>17897801301180</v>
      </c>
      <c r="X504" s="6">
        <v>0.5</v>
      </c>
      <c r="Y504" s="6">
        <v>0.25</v>
      </c>
      <c r="Z504" s="6">
        <v>0.72</v>
      </c>
      <c r="AA504" s="6">
        <f t="shared" si="24"/>
        <v>0.09</v>
      </c>
      <c r="AB504" s="8">
        <v>460</v>
      </c>
      <c r="AC504" s="15">
        <v>27897801301187</v>
      </c>
      <c r="AD504" s="4" t="s">
        <v>992</v>
      </c>
    </row>
    <row r="505" spans="2:30" x14ac:dyDescent="0.35">
      <c r="B505" s="14">
        <v>808</v>
      </c>
      <c r="C505" s="4" t="s">
        <v>516</v>
      </c>
      <c r="D505" s="4" t="s">
        <v>2387</v>
      </c>
      <c r="E505" s="4" t="s">
        <v>2915</v>
      </c>
      <c r="F505" s="4" t="s">
        <v>85</v>
      </c>
      <c r="G505" s="4" t="s">
        <v>993</v>
      </c>
      <c r="H505" s="6">
        <v>1.37E-2</v>
      </c>
      <c r="I505" s="8">
        <v>62</v>
      </c>
      <c r="J505" s="8">
        <v>52</v>
      </c>
      <c r="K505" s="8">
        <v>52</v>
      </c>
      <c r="L505" s="8">
        <f t="shared" si="23"/>
        <v>167648</v>
      </c>
      <c r="M505" s="15">
        <v>7897801301190</v>
      </c>
      <c r="N505" s="6" t="s">
        <v>20</v>
      </c>
      <c r="O505" s="6" t="s">
        <v>20</v>
      </c>
      <c r="P505" s="6" t="s">
        <v>20</v>
      </c>
      <c r="Q505" s="6">
        <v>0.2</v>
      </c>
      <c r="R505" s="6">
        <v>0.06</v>
      </c>
      <c r="S505" s="6">
        <v>0.35</v>
      </c>
      <c r="T505" s="8">
        <v>20</v>
      </c>
      <c r="U505" s="5" t="s">
        <v>994</v>
      </c>
      <c r="V505" s="89">
        <v>0</v>
      </c>
      <c r="W505" s="15">
        <v>17897801301197</v>
      </c>
      <c r="X505" s="6">
        <v>0.55000000000000004</v>
      </c>
      <c r="Y505" s="6">
        <v>0.25</v>
      </c>
      <c r="Z505" s="6">
        <v>0.75</v>
      </c>
      <c r="AA505" s="6">
        <f t="shared" si="24"/>
        <v>0.10312500000000001</v>
      </c>
      <c r="AB505" s="8">
        <v>500</v>
      </c>
      <c r="AC505" s="15">
        <v>27897801301194</v>
      </c>
      <c r="AD505" s="4" t="s">
        <v>992</v>
      </c>
    </row>
    <row r="506" spans="2:30" x14ac:dyDescent="0.35">
      <c r="B506" s="14">
        <v>809</v>
      </c>
      <c r="C506" s="4" t="s">
        <v>517</v>
      </c>
      <c r="D506" s="4" t="s">
        <v>2387</v>
      </c>
      <c r="E506" s="4" t="s">
        <v>2915</v>
      </c>
      <c r="F506" s="4" t="s">
        <v>85</v>
      </c>
      <c r="G506" s="4" t="s">
        <v>993</v>
      </c>
      <c r="H506" s="6">
        <v>4.7100000000000003E-2</v>
      </c>
      <c r="I506" s="8">
        <v>110</v>
      </c>
      <c r="J506" s="8">
        <v>60</v>
      </c>
      <c r="K506" s="8">
        <v>60</v>
      </c>
      <c r="L506" s="8">
        <f t="shared" si="23"/>
        <v>396000</v>
      </c>
      <c r="M506" s="15">
        <v>7897801301206</v>
      </c>
      <c r="N506" s="6" t="s">
        <v>20</v>
      </c>
      <c r="O506" s="6" t="s">
        <v>20</v>
      </c>
      <c r="P506" s="6" t="s">
        <v>20</v>
      </c>
      <c r="Q506" s="6">
        <v>0.22</v>
      </c>
      <c r="R506" s="6">
        <v>0.08</v>
      </c>
      <c r="S506" s="6">
        <v>0.35</v>
      </c>
      <c r="T506" s="8">
        <v>20</v>
      </c>
      <c r="U506" s="5" t="s">
        <v>994</v>
      </c>
      <c r="V506" s="89">
        <v>0</v>
      </c>
      <c r="W506" s="15">
        <v>17897801301203</v>
      </c>
      <c r="X506" s="6">
        <v>0.52</v>
      </c>
      <c r="Y506" s="6">
        <v>0.26</v>
      </c>
      <c r="Z506" s="6">
        <v>0.73</v>
      </c>
      <c r="AA506" s="6">
        <f t="shared" si="24"/>
        <v>9.8696000000000006E-2</v>
      </c>
      <c r="AB506" s="8">
        <v>260</v>
      </c>
      <c r="AC506" s="15">
        <v>27897801301200</v>
      </c>
      <c r="AD506" s="4" t="s">
        <v>992</v>
      </c>
    </row>
    <row r="507" spans="2:30" x14ac:dyDescent="0.35">
      <c r="B507" s="14">
        <v>810</v>
      </c>
      <c r="C507" s="4" t="s">
        <v>518</v>
      </c>
      <c r="D507" s="4" t="s">
        <v>2387</v>
      </c>
      <c r="E507" s="4" t="s">
        <v>2915</v>
      </c>
      <c r="F507" s="4" t="s">
        <v>85</v>
      </c>
      <c r="G507" s="4" t="s">
        <v>993</v>
      </c>
      <c r="H507" s="6">
        <v>3.5999999999999997E-2</v>
      </c>
      <c r="I507" s="8">
        <v>84</v>
      </c>
      <c r="J507" s="8">
        <v>60</v>
      </c>
      <c r="K507" s="8">
        <v>60</v>
      </c>
      <c r="L507" s="8">
        <f t="shared" si="23"/>
        <v>302400</v>
      </c>
      <c r="M507" s="15">
        <v>7897801301213</v>
      </c>
      <c r="N507" s="6" t="s">
        <v>20</v>
      </c>
      <c r="O507" s="6" t="s">
        <v>20</v>
      </c>
      <c r="P507" s="6" t="s">
        <v>20</v>
      </c>
      <c r="Q507" s="6">
        <v>0.26</v>
      </c>
      <c r="R507" s="6">
        <v>8.5000000000000006E-2</v>
      </c>
      <c r="S507" s="6">
        <v>0.35</v>
      </c>
      <c r="T507" s="8">
        <v>20</v>
      </c>
      <c r="U507" s="5" t="s">
        <v>994</v>
      </c>
      <c r="V507" s="89">
        <v>0</v>
      </c>
      <c r="W507" s="15">
        <v>17897801301210</v>
      </c>
      <c r="X507" s="6">
        <v>0.53</v>
      </c>
      <c r="Y507" s="6">
        <v>0.25</v>
      </c>
      <c r="Z507" s="6">
        <v>0.74</v>
      </c>
      <c r="AA507" s="6">
        <f t="shared" si="24"/>
        <v>9.8049999999999998E-2</v>
      </c>
      <c r="AB507" s="8">
        <v>320</v>
      </c>
      <c r="AC507" s="15">
        <v>27897801301217</v>
      </c>
      <c r="AD507" s="4" t="s">
        <v>992</v>
      </c>
    </row>
    <row r="508" spans="2:30" x14ac:dyDescent="0.35">
      <c r="B508" s="14">
        <v>811</v>
      </c>
      <c r="C508" s="4" t="s">
        <v>519</v>
      </c>
      <c r="D508" s="4" t="s">
        <v>2387</v>
      </c>
      <c r="E508" s="4" t="s">
        <v>2915</v>
      </c>
      <c r="F508" s="4" t="s">
        <v>85</v>
      </c>
      <c r="G508" s="4" t="s">
        <v>993</v>
      </c>
      <c r="H508" s="6">
        <v>4.2599999999999999E-2</v>
      </c>
      <c r="I508" s="8">
        <v>60</v>
      </c>
      <c r="J508" s="8">
        <v>112</v>
      </c>
      <c r="K508" s="8">
        <v>60</v>
      </c>
      <c r="L508" s="8">
        <f t="shared" si="23"/>
        <v>403200</v>
      </c>
      <c r="M508" s="15">
        <v>7897801301220</v>
      </c>
      <c r="N508" s="6" t="s">
        <v>20</v>
      </c>
      <c r="O508" s="6" t="s">
        <v>20</v>
      </c>
      <c r="P508" s="6" t="s">
        <v>20</v>
      </c>
      <c r="Q508" s="6">
        <v>0.26</v>
      </c>
      <c r="R508" s="6">
        <v>0.11</v>
      </c>
      <c r="S508" s="6">
        <v>0.35</v>
      </c>
      <c r="T508" s="8">
        <v>20</v>
      </c>
      <c r="U508" s="5" t="s">
        <v>994</v>
      </c>
      <c r="V508" s="89">
        <v>0</v>
      </c>
      <c r="W508" s="15">
        <v>17897801301227</v>
      </c>
      <c r="X508" s="6">
        <v>0.5</v>
      </c>
      <c r="Y508" s="6">
        <v>0.35</v>
      </c>
      <c r="Z508" s="6">
        <v>0.75</v>
      </c>
      <c r="AA508" s="6">
        <f t="shared" si="24"/>
        <v>0.13124999999999998</v>
      </c>
      <c r="AB508" s="8">
        <v>260</v>
      </c>
      <c r="AC508" s="15">
        <v>27897801301224</v>
      </c>
      <c r="AD508" s="4" t="s">
        <v>992</v>
      </c>
    </row>
    <row r="509" spans="2:30" x14ac:dyDescent="0.35">
      <c r="B509" s="14">
        <v>812</v>
      </c>
      <c r="C509" s="4" t="s">
        <v>520</v>
      </c>
      <c r="D509" s="4" t="s">
        <v>2387</v>
      </c>
      <c r="E509" s="4" t="s">
        <v>2915</v>
      </c>
      <c r="F509" s="4" t="s">
        <v>85</v>
      </c>
      <c r="G509" s="4" t="s">
        <v>993</v>
      </c>
      <c r="H509" s="6">
        <v>3.15E-2</v>
      </c>
      <c r="I509" s="8">
        <v>82</v>
      </c>
      <c r="J509" s="8">
        <v>60</v>
      </c>
      <c r="K509" s="8">
        <v>60</v>
      </c>
      <c r="L509" s="8">
        <f t="shared" si="23"/>
        <v>295200</v>
      </c>
      <c r="M509" s="15">
        <v>7897801301237</v>
      </c>
      <c r="N509" s="6" t="s">
        <v>20</v>
      </c>
      <c r="O509" s="6" t="s">
        <v>20</v>
      </c>
      <c r="P509" s="6" t="s">
        <v>20</v>
      </c>
      <c r="Q509" s="6">
        <v>0.25</v>
      </c>
      <c r="R509" s="6">
        <v>0.13</v>
      </c>
      <c r="S509" s="6">
        <v>0.35</v>
      </c>
      <c r="T509" s="8">
        <v>20</v>
      </c>
      <c r="U509" s="5" t="s">
        <v>994</v>
      </c>
      <c r="V509" s="89">
        <v>0</v>
      </c>
      <c r="W509" s="15">
        <v>17897801301234</v>
      </c>
      <c r="X509" s="6">
        <v>0.53</v>
      </c>
      <c r="Y509" s="6">
        <v>0.25</v>
      </c>
      <c r="Z509" s="6">
        <v>0.76</v>
      </c>
      <c r="AA509" s="6">
        <f t="shared" si="24"/>
        <v>0.10070000000000001</v>
      </c>
      <c r="AB509" s="8">
        <v>320</v>
      </c>
      <c r="AC509" s="15">
        <v>27897801301231</v>
      </c>
      <c r="AD509" s="4" t="s">
        <v>992</v>
      </c>
    </row>
    <row r="510" spans="2:30" x14ac:dyDescent="0.35">
      <c r="B510" s="14">
        <v>813</v>
      </c>
      <c r="C510" s="4" t="s">
        <v>521</v>
      </c>
      <c r="D510" s="4" t="s">
        <v>2387</v>
      </c>
      <c r="E510" s="4" t="s">
        <v>2915</v>
      </c>
      <c r="F510" s="4" t="s">
        <v>85</v>
      </c>
      <c r="G510" s="4" t="s">
        <v>993</v>
      </c>
      <c r="H510" s="6">
        <v>4.65E-2</v>
      </c>
      <c r="I510" s="8">
        <v>100</v>
      </c>
      <c r="J510" s="8">
        <v>62</v>
      </c>
      <c r="K510" s="8">
        <v>62</v>
      </c>
      <c r="L510" s="8">
        <f t="shared" si="23"/>
        <v>384400</v>
      </c>
      <c r="M510" s="15">
        <v>7897801302043</v>
      </c>
      <c r="N510" s="6" t="s">
        <v>20</v>
      </c>
      <c r="O510" s="6" t="s">
        <v>20</v>
      </c>
      <c r="P510" s="6" t="s">
        <v>20</v>
      </c>
      <c r="Q510" s="6">
        <v>0.22</v>
      </c>
      <c r="R510" s="6">
        <v>0.155</v>
      </c>
      <c r="S510" s="6">
        <v>0.35</v>
      </c>
      <c r="T510" s="8">
        <v>20</v>
      </c>
      <c r="U510" s="5" t="s">
        <v>994</v>
      </c>
      <c r="V510" s="89">
        <v>0</v>
      </c>
      <c r="W510" s="15">
        <v>17897801302040</v>
      </c>
      <c r="X510" s="6">
        <v>0.45</v>
      </c>
      <c r="Y510" s="6">
        <v>0.28000000000000003</v>
      </c>
      <c r="Z510" s="6">
        <v>0.74</v>
      </c>
      <c r="AA510" s="6">
        <f t="shared" si="24"/>
        <v>9.3240000000000017E-2</v>
      </c>
      <c r="AB510" s="8">
        <v>220</v>
      </c>
      <c r="AC510" s="15">
        <v>27897801302047</v>
      </c>
      <c r="AD510" s="4" t="s">
        <v>992</v>
      </c>
    </row>
    <row r="511" spans="2:30" x14ac:dyDescent="0.35">
      <c r="B511" s="14">
        <v>814</v>
      </c>
      <c r="C511" s="4" t="s">
        <v>522</v>
      </c>
      <c r="D511" s="4" t="s">
        <v>2387</v>
      </c>
      <c r="E511" s="4" t="s">
        <v>2915</v>
      </c>
      <c r="F511" s="4" t="s">
        <v>85</v>
      </c>
      <c r="G511" s="4" t="s">
        <v>993</v>
      </c>
      <c r="H511" s="6">
        <v>1.9400000000000001E-2</v>
      </c>
      <c r="I511" s="8">
        <v>64</v>
      </c>
      <c r="J511" s="8">
        <v>47</v>
      </c>
      <c r="K511" s="8">
        <v>47</v>
      </c>
      <c r="L511" s="8">
        <f t="shared" si="23"/>
        <v>141376</v>
      </c>
      <c r="M511" s="15">
        <v>7897801302050</v>
      </c>
      <c r="N511" s="6" t="s">
        <v>20</v>
      </c>
      <c r="O511" s="6" t="s">
        <v>20</v>
      </c>
      <c r="P511" s="6" t="s">
        <v>20</v>
      </c>
      <c r="Q511" s="6">
        <v>0.2</v>
      </c>
      <c r="R511" s="6">
        <v>7.0000000000000007E-2</v>
      </c>
      <c r="S511" s="6">
        <v>0.35</v>
      </c>
      <c r="T511" s="8">
        <v>20</v>
      </c>
      <c r="U511" s="5" t="s">
        <v>994</v>
      </c>
      <c r="V511" s="89">
        <v>0</v>
      </c>
      <c r="W511" s="15">
        <v>17897801302057</v>
      </c>
      <c r="X511" s="6">
        <v>0.5</v>
      </c>
      <c r="Y511" s="6">
        <v>0.32</v>
      </c>
      <c r="Z511" s="6">
        <v>0.7</v>
      </c>
      <c r="AA511" s="6">
        <f t="shared" si="24"/>
        <v>0.11199999999999999</v>
      </c>
      <c r="AB511" s="8">
        <v>500</v>
      </c>
      <c r="AC511" s="15">
        <v>27897801302054</v>
      </c>
      <c r="AD511" s="4" t="s">
        <v>992</v>
      </c>
    </row>
    <row r="512" spans="2:30" x14ac:dyDescent="0.35">
      <c r="B512" s="14">
        <v>815</v>
      </c>
      <c r="C512" s="4" t="s">
        <v>523</v>
      </c>
      <c r="D512" s="4" t="s">
        <v>2387</v>
      </c>
      <c r="E512" s="4" t="s">
        <v>2915</v>
      </c>
      <c r="F512" s="4" t="s">
        <v>85</v>
      </c>
      <c r="G512" s="4" t="s">
        <v>993</v>
      </c>
      <c r="H512" s="6">
        <v>1.9E-3</v>
      </c>
      <c r="I512" s="8">
        <v>22</v>
      </c>
      <c r="J512" s="8">
        <v>27</v>
      </c>
      <c r="K512" s="8">
        <v>27</v>
      </c>
      <c r="L512" s="8">
        <f t="shared" si="23"/>
        <v>16038</v>
      </c>
      <c r="M512" s="15">
        <v>7897801301244</v>
      </c>
      <c r="N512" s="6" t="s">
        <v>20</v>
      </c>
      <c r="O512" s="6" t="s">
        <v>20</v>
      </c>
      <c r="P512" s="6" t="s">
        <v>20</v>
      </c>
      <c r="Q512" s="6">
        <v>0.17</v>
      </c>
      <c r="R512" s="6">
        <v>0.05</v>
      </c>
      <c r="S512" s="6">
        <v>0.2</v>
      </c>
      <c r="T512" s="8">
        <v>100</v>
      </c>
      <c r="U512" s="5" t="s">
        <v>994</v>
      </c>
      <c r="V512" s="89">
        <v>0</v>
      </c>
      <c r="W512" s="15">
        <v>17897801301241</v>
      </c>
      <c r="X512" s="6">
        <v>0.55000000000000004</v>
      </c>
      <c r="Y512" s="6">
        <v>0.17</v>
      </c>
      <c r="Z512" s="6">
        <v>0.71</v>
      </c>
      <c r="AA512" s="6">
        <f t="shared" si="24"/>
        <v>6.6385E-2</v>
      </c>
      <c r="AB512" s="8">
        <v>6000</v>
      </c>
      <c r="AC512" s="15">
        <v>27897801301248</v>
      </c>
      <c r="AD512" s="4" t="s">
        <v>992</v>
      </c>
    </row>
    <row r="513" spans="2:30" x14ac:dyDescent="0.35">
      <c r="B513" s="14">
        <v>816</v>
      </c>
      <c r="C513" s="4" t="s">
        <v>524</v>
      </c>
      <c r="D513" s="4" t="s">
        <v>2387</v>
      </c>
      <c r="E513" s="4" t="s">
        <v>2915</v>
      </c>
      <c r="F513" s="4" t="s">
        <v>85</v>
      </c>
      <c r="G513" s="4" t="s">
        <v>993</v>
      </c>
      <c r="H513" s="6">
        <v>3.8E-3</v>
      </c>
      <c r="I513" s="8">
        <v>22</v>
      </c>
      <c r="J513" s="8">
        <v>37</v>
      </c>
      <c r="K513" s="8">
        <v>37</v>
      </c>
      <c r="L513" s="8">
        <f t="shared" si="23"/>
        <v>30118</v>
      </c>
      <c r="M513" s="15">
        <v>7897801302067</v>
      </c>
      <c r="N513" s="6" t="s">
        <v>20</v>
      </c>
      <c r="O513" s="6" t="s">
        <v>20</v>
      </c>
      <c r="P513" s="6" t="s">
        <v>20</v>
      </c>
      <c r="Q513" s="6">
        <v>0.16</v>
      </c>
      <c r="R513" s="6">
        <v>7.4999999999999997E-2</v>
      </c>
      <c r="S513" s="6">
        <v>0.27</v>
      </c>
      <c r="T513" s="8">
        <v>100</v>
      </c>
      <c r="U513" s="5" t="s">
        <v>994</v>
      </c>
      <c r="V513" s="89">
        <v>0</v>
      </c>
      <c r="W513" s="15">
        <v>17897801302064</v>
      </c>
      <c r="X513" s="6">
        <v>0.54</v>
      </c>
      <c r="Y513" s="6">
        <v>0.17</v>
      </c>
      <c r="Z513" s="6">
        <v>0.66</v>
      </c>
      <c r="AA513" s="6">
        <f t="shared" si="24"/>
        <v>6.058800000000001E-2</v>
      </c>
      <c r="AB513" s="8">
        <v>3500</v>
      </c>
      <c r="AC513" s="15">
        <v>27897801302061</v>
      </c>
      <c r="AD513" s="4" t="s">
        <v>992</v>
      </c>
    </row>
    <row r="514" spans="2:30" x14ac:dyDescent="0.35">
      <c r="B514" s="14">
        <v>817</v>
      </c>
      <c r="C514" s="4" t="s">
        <v>525</v>
      </c>
      <c r="D514" s="4" t="s">
        <v>2387</v>
      </c>
      <c r="E514" s="4" t="s">
        <v>2915</v>
      </c>
      <c r="F514" s="4" t="s">
        <v>85</v>
      </c>
      <c r="G514" s="4" t="s">
        <v>993</v>
      </c>
      <c r="H514" s="6">
        <v>1.11E-2</v>
      </c>
      <c r="I514" s="8">
        <v>38</v>
      </c>
      <c r="J514" s="8">
        <v>41</v>
      </c>
      <c r="K514" s="8">
        <v>41</v>
      </c>
      <c r="L514" s="8">
        <f t="shared" si="23"/>
        <v>63878</v>
      </c>
      <c r="M514" s="15">
        <v>7897801301251</v>
      </c>
      <c r="N514" s="6" t="s">
        <v>20</v>
      </c>
      <c r="O514" s="6" t="s">
        <v>20</v>
      </c>
      <c r="P514" s="6" t="s">
        <v>20</v>
      </c>
      <c r="Q514" s="6">
        <v>0.15</v>
      </c>
      <c r="R514" s="6">
        <v>4.4999999999999998E-2</v>
      </c>
      <c r="S514" s="6">
        <v>0.17499999999999999</v>
      </c>
      <c r="T514" s="8">
        <v>20</v>
      </c>
      <c r="U514" s="5" t="s">
        <v>994</v>
      </c>
      <c r="V514" s="89">
        <v>0</v>
      </c>
      <c r="W514" s="15">
        <v>17897801301258</v>
      </c>
      <c r="X514" s="6">
        <v>0.52</v>
      </c>
      <c r="Y514" s="6">
        <v>0.21</v>
      </c>
      <c r="Z514" s="6">
        <v>0.7</v>
      </c>
      <c r="AA514" s="6">
        <f t="shared" si="24"/>
        <v>7.6439999999999994E-2</v>
      </c>
      <c r="AB514" s="8">
        <v>1600</v>
      </c>
      <c r="AC514" s="15">
        <v>27897801301255</v>
      </c>
      <c r="AD514" s="4" t="s">
        <v>992</v>
      </c>
    </row>
    <row r="515" spans="2:30" x14ac:dyDescent="0.35">
      <c r="B515" s="14">
        <v>822</v>
      </c>
      <c r="C515" s="4" t="s">
        <v>526</v>
      </c>
      <c r="D515" s="4" t="s">
        <v>2420</v>
      </c>
      <c r="E515" s="4" t="s">
        <v>2915</v>
      </c>
      <c r="F515" s="4" t="s">
        <v>85</v>
      </c>
      <c r="G515" s="4" t="s">
        <v>995</v>
      </c>
      <c r="H515" s="6">
        <v>0.37119999999999997</v>
      </c>
      <c r="I515" s="8">
        <v>260</v>
      </c>
      <c r="J515" s="8">
        <v>150</v>
      </c>
      <c r="K515" s="8">
        <v>340</v>
      </c>
      <c r="L515" s="8">
        <f t="shared" si="23"/>
        <v>13260000</v>
      </c>
      <c r="M515" s="15">
        <v>7897801302623</v>
      </c>
      <c r="N515" s="6" t="s">
        <v>20</v>
      </c>
      <c r="O515" s="6" t="s">
        <v>20</v>
      </c>
      <c r="P515" s="6" t="s">
        <v>20</v>
      </c>
      <c r="Q515" s="6">
        <v>0.28000000000000003</v>
      </c>
      <c r="R515" s="6">
        <v>0.375</v>
      </c>
      <c r="S515" s="6">
        <v>0.38500000000000001</v>
      </c>
      <c r="T515" s="8">
        <v>6</v>
      </c>
      <c r="U515" s="5" t="s">
        <v>1013</v>
      </c>
      <c r="V515" s="89">
        <v>0</v>
      </c>
      <c r="W515" s="15">
        <v>17897801302620</v>
      </c>
      <c r="X515" s="6" t="s">
        <v>20</v>
      </c>
      <c r="Y515" s="6" t="s">
        <v>20</v>
      </c>
      <c r="Z515" s="6" t="s">
        <v>20</v>
      </c>
      <c r="AA515" s="6"/>
      <c r="AB515" s="8">
        <v>0</v>
      </c>
      <c r="AC515" s="15">
        <v>27897801302627</v>
      </c>
      <c r="AD515" s="4" t="s">
        <v>992</v>
      </c>
    </row>
    <row r="516" spans="2:30" x14ac:dyDescent="0.35">
      <c r="B516" s="23">
        <v>836</v>
      </c>
      <c r="C516" s="22" t="s">
        <v>1025</v>
      </c>
      <c r="D516" s="4" t="s">
        <v>2374</v>
      </c>
      <c r="E516" s="4" t="s">
        <v>2913</v>
      </c>
      <c r="F516" s="4" t="s">
        <v>85</v>
      </c>
      <c r="G516" s="4" t="s">
        <v>993</v>
      </c>
      <c r="H516" s="6">
        <v>0.15</v>
      </c>
      <c r="I516" s="8">
        <v>114</v>
      </c>
      <c r="J516" s="8">
        <v>20</v>
      </c>
      <c r="K516" s="8">
        <v>113</v>
      </c>
      <c r="L516" s="17">
        <v>3.4000000000000002E-4</v>
      </c>
      <c r="M516" s="15">
        <v>7897801321211</v>
      </c>
      <c r="N516" s="6" t="s">
        <v>20</v>
      </c>
      <c r="O516" s="6" t="s">
        <v>20</v>
      </c>
      <c r="P516" s="6" t="s">
        <v>20</v>
      </c>
      <c r="Q516" s="6">
        <v>0.12</v>
      </c>
      <c r="R516" s="6">
        <v>0.02</v>
      </c>
      <c r="S516" s="6">
        <v>0.14000000000000001</v>
      </c>
      <c r="T516" s="8">
        <v>2</v>
      </c>
      <c r="U516" s="5" t="s">
        <v>1003</v>
      </c>
      <c r="V516" s="89">
        <v>0</v>
      </c>
      <c r="W516" s="15">
        <v>17897801321218</v>
      </c>
      <c r="X516" s="6">
        <v>0.33</v>
      </c>
      <c r="Y516" s="6">
        <v>0.25</v>
      </c>
      <c r="Z516" s="6">
        <v>0.44</v>
      </c>
      <c r="AA516" s="6">
        <v>3.6299999999999999E-2</v>
      </c>
      <c r="AB516" s="8">
        <v>200</v>
      </c>
      <c r="AC516" s="15">
        <v>27897801321215</v>
      </c>
      <c r="AD516" s="4" t="s">
        <v>992</v>
      </c>
    </row>
    <row r="517" spans="2:30" x14ac:dyDescent="0.35">
      <c r="B517" s="23">
        <v>837</v>
      </c>
      <c r="C517" s="22" t="s">
        <v>1026</v>
      </c>
      <c r="D517" s="4" t="s">
        <v>2374</v>
      </c>
      <c r="E517" s="4" t="s">
        <v>2913</v>
      </c>
      <c r="F517" s="4" t="s">
        <v>85</v>
      </c>
      <c r="G517" s="4" t="s">
        <v>993</v>
      </c>
      <c r="H517" s="6">
        <v>0.23</v>
      </c>
      <c r="I517" s="8">
        <v>178</v>
      </c>
      <c r="J517" s="8">
        <v>17</v>
      </c>
      <c r="K517" s="8">
        <v>163</v>
      </c>
      <c r="L517" s="17">
        <v>4.8999999999999998E-4</v>
      </c>
      <c r="M517" s="15">
        <v>7897801321228</v>
      </c>
      <c r="N517" s="6" t="s">
        <v>20</v>
      </c>
      <c r="O517" s="6" t="s">
        <v>20</v>
      </c>
      <c r="P517" s="6" t="s">
        <v>20</v>
      </c>
      <c r="Q517" s="6">
        <v>0.16300000000000001</v>
      </c>
      <c r="R517" s="6">
        <v>1.7000000000000001E-2</v>
      </c>
      <c r="S517" s="6">
        <v>0.17799999999999999</v>
      </c>
      <c r="T517" s="8">
        <v>2</v>
      </c>
      <c r="U517" s="5" t="s">
        <v>1003</v>
      </c>
      <c r="V517" s="89">
        <v>0</v>
      </c>
      <c r="W517" s="15">
        <v>17897801321225</v>
      </c>
      <c r="X517" s="6">
        <v>0.34</v>
      </c>
      <c r="Y517" s="6">
        <v>0.28999999999999998</v>
      </c>
      <c r="Z517" s="6">
        <v>0.45</v>
      </c>
      <c r="AA517" s="6">
        <v>4.437E-2</v>
      </c>
      <c r="AB517" s="8">
        <v>100</v>
      </c>
      <c r="AC517" s="15">
        <v>27897801321222</v>
      </c>
      <c r="AD517" s="4" t="s">
        <v>992</v>
      </c>
    </row>
    <row r="518" spans="2:30" x14ac:dyDescent="0.35">
      <c r="B518" s="23">
        <v>838</v>
      </c>
      <c r="C518" s="22" t="s">
        <v>1027</v>
      </c>
      <c r="D518" s="4" t="s">
        <v>2374</v>
      </c>
      <c r="E518" s="4" t="s">
        <v>2913</v>
      </c>
      <c r="F518" s="4" t="s">
        <v>85</v>
      </c>
      <c r="G518" s="4" t="s">
        <v>993</v>
      </c>
      <c r="H518" s="6">
        <v>0.61499999999999999</v>
      </c>
      <c r="I518" s="8">
        <v>167</v>
      </c>
      <c r="J518" s="8">
        <v>47</v>
      </c>
      <c r="K518" s="8">
        <v>167</v>
      </c>
      <c r="L518" s="17">
        <v>1.31E-3</v>
      </c>
      <c r="M518" s="15">
        <v>7897801321235</v>
      </c>
      <c r="N518" s="6" t="s">
        <v>20</v>
      </c>
      <c r="O518" s="6" t="s">
        <v>20</v>
      </c>
      <c r="P518" s="6" t="s">
        <v>20</v>
      </c>
      <c r="Q518" s="6">
        <v>0.16700000000000001</v>
      </c>
      <c r="R518" s="6">
        <v>4.7E-2</v>
      </c>
      <c r="S518" s="6">
        <v>0.16700000000000001</v>
      </c>
      <c r="T518" s="8">
        <v>2</v>
      </c>
      <c r="U518" s="5" t="s">
        <v>1003</v>
      </c>
      <c r="V518" s="89">
        <v>0</v>
      </c>
      <c r="W518" s="15">
        <v>17897801321232</v>
      </c>
      <c r="X518" s="6">
        <v>0.37</v>
      </c>
      <c r="Y518" s="6">
        <v>0.3</v>
      </c>
      <c r="Z518" s="6">
        <v>0.59</v>
      </c>
      <c r="AA518" s="6">
        <v>6.5490000000000007E-2</v>
      </c>
      <c r="AB518" s="8">
        <v>36</v>
      </c>
      <c r="AC518" s="15">
        <v>27897801321239</v>
      </c>
      <c r="AD518" s="4" t="s">
        <v>992</v>
      </c>
    </row>
    <row r="519" spans="2:30" x14ac:dyDescent="0.35">
      <c r="B519" s="23">
        <v>839</v>
      </c>
      <c r="C519" s="22" t="s">
        <v>1028</v>
      </c>
      <c r="D519" s="4" t="s">
        <v>2374</v>
      </c>
      <c r="E519" s="4" t="s">
        <v>2913</v>
      </c>
      <c r="F519" s="4" t="s">
        <v>85</v>
      </c>
      <c r="G519" s="4" t="s">
        <v>993</v>
      </c>
      <c r="H519" s="6">
        <v>0.79500000000000004</v>
      </c>
      <c r="I519" s="8">
        <v>210</v>
      </c>
      <c r="J519" s="8">
        <v>44</v>
      </c>
      <c r="K519" s="8">
        <v>210</v>
      </c>
      <c r="L519" s="17">
        <v>1.9400000000000001E-3</v>
      </c>
      <c r="M519" s="15">
        <v>7897801321242</v>
      </c>
      <c r="N519" s="6" t="s">
        <v>20</v>
      </c>
      <c r="O519" s="6" t="s">
        <v>20</v>
      </c>
      <c r="P519" s="6" t="s">
        <v>20</v>
      </c>
      <c r="Q519" s="6">
        <v>0.21</v>
      </c>
      <c r="R519" s="6">
        <v>4.3999999999999997E-2</v>
      </c>
      <c r="S519" s="6">
        <v>0.21</v>
      </c>
      <c r="T519" s="8">
        <v>2</v>
      </c>
      <c r="U519" s="5" t="s">
        <v>1003</v>
      </c>
      <c r="V519" s="89">
        <v>0</v>
      </c>
      <c r="W519" s="15">
        <v>17897801321249</v>
      </c>
      <c r="X519" s="6">
        <v>0.47</v>
      </c>
      <c r="Y519" s="6">
        <v>0.23</v>
      </c>
      <c r="Z519" s="6">
        <v>0.5</v>
      </c>
      <c r="AA519" s="6">
        <v>5.4050000000000001E-2</v>
      </c>
      <c r="AB519" s="8">
        <v>24</v>
      </c>
      <c r="AC519" s="15">
        <v>27897801321246</v>
      </c>
      <c r="AD519" s="4" t="s">
        <v>992</v>
      </c>
    </row>
    <row r="520" spans="2:30" x14ac:dyDescent="0.35">
      <c r="B520" s="18">
        <v>840</v>
      </c>
      <c r="C520" s="4" t="s">
        <v>1029</v>
      </c>
      <c r="D520" s="4" t="s">
        <v>2374</v>
      </c>
      <c r="E520" s="4" t="s">
        <v>2913</v>
      </c>
      <c r="F520" s="4" t="s">
        <v>85</v>
      </c>
      <c r="G520" s="4" t="s">
        <v>993</v>
      </c>
      <c r="H520" s="6">
        <v>0.08</v>
      </c>
      <c r="I520" s="8">
        <v>65</v>
      </c>
      <c r="J520" s="8">
        <v>51</v>
      </c>
      <c r="K520" s="8">
        <v>55</v>
      </c>
      <c r="L520" s="17">
        <v>1.4400000000000001E-3</v>
      </c>
      <c r="M520" s="15">
        <v>7897801321259</v>
      </c>
      <c r="N520" s="6" t="s">
        <v>20</v>
      </c>
      <c r="O520" s="6" t="s">
        <v>20</v>
      </c>
      <c r="P520" s="6" t="s">
        <v>20</v>
      </c>
      <c r="Q520" s="6">
        <v>0.15</v>
      </c>
      <c r="R520" s="6">
        <v>5.5E-2</v>
      </c>
      <c r="S520" s="6">
        <v>0.17499999999999999</v>
      </c>
      <c r="T520" s="8">
        <v>5</v>
      </c>
      <c r="U520" s="5" t="s">
        <v>994</v>
      </c>
      <c r="V520" s="89">
        <v>0</v>
      </c>
      <c r="W520" s="15">
        <v>17897801321256</v>
      </c>
      <c r="X520" s="6">
        <v>0.47</v>
      </c>
      <c r="Y520" s="6">
        <v>0.22</v>
      </c>
      <c r="Z520" s="6">
        <v>0.7</v>
      </c>
      <c r="AA520" s="6">
        <v>7.238E-2</v>
      </c>
      <c r="AB520" s="8">
        <v>240</v>
      </c>
      <c r="AC520" s="15">
        <v>27897801321253</v>
      </c>
      <c r="AD520" s="4" t="s">
        <v>992</v>
      </c>
    </row>
    <row r="521" spans="2:30" x14ac:dyDescent="0.35">
      <c r="B521" s="18">
        <v>841</v>
      </c>
      <c r="C521" s="4" t="s">
        <v>1030</v>
      </c>
      <c r="D521" s="4" t="s">
        <v>2374</v>
      </c>
      <c r="E521" s="4" t="s">
        <v>2913</v>
      </c>
      <c r="F521" s="4" t="s">
        <v>85</v>
      </c>
      <c r="G521" s="4" t="s">
        <v>993</v>
      </c>
      <c r="H521" s="6">
        <v>0.125</v>
      </c>
      <c r="I521" s="8">
        <v>106</v>
      </c>
      <c r="J521" s="8">
        <v>50</v>
      </c>
      <c r="K521" s="8">
        <v>60</v>
      </c>
      <c r="L521" s="17">
        <v>2.0799999999999999E-2</v>
      </c>
      <c r="M521" s="15">
        <v>7897801321266</v>
      </c>
      <c r="N521" s="6" t="s">
        <v>20</v>
      </c>
      <c r="O521" s="6" t="s">
        <v>20</v>
      </c>
      <c r="P521" s="6" t="s">
        <v>20</v>
      </c>
      <c r="Q521" s="6">
        <v>0.16</v>
      </c>
      <c r="R521" s="6">
        <v>0.65</v>
      </c>
      <c r="S521" s="6">
        <v>0.2</v>
      </c>
      <c r="T521" s="8">
        <v>5</v>
      </c>
      <c r="U521" s="5" t="s">
        <v>994</v>
      </c>
      <c r="V521" s="89">
        <v>0</v>
      </c>
      <c r="W521" s="15">
        <v>17897801321263</v>
      </c>
      <c r="X521" s="6">
        <v>0.45</v>
      </c>
      <c r="Y521" s="6">
        <v>0.22</v>
      </c>
      <c r="Z521" s="6">
        <v>0.63</v>
      </c>
      <c r="AA521" s="6">
        <v>6.2370000000000002E-2</v>
      </c>
      <c r="AB521" s="8">
        <v>150</v>
      </c>
      <c r="AC521" s="15">
        <v>27897801321260</v>
      </c>
      <c r="AD521" s="4" t="s">
        <v>992</v>
      </c>
    </row>
    <row r="522" spans="2:30" x14ac:dyDescent="0.35">
      <c r="B522" s="14">
        <v>859</v>
      </c>
      <c r="C522" s="4" t="s">
        <v>527</v>
      </c>
      <c r="D522" s="4" t="s">
        <v>2401</v>
      </c>
      <c r="E522" s="4" t="s">
        <v>2915</v>
      </c>
      <c r="F522" s="4" t="s">
        <v>85</v>
      </c>
      <c r="G522" s="4" t="s">
        <v>993</v>
      </c>
      <c r="H522" s="6">
        <v>0.17199999999999999</v>
      </c>
      <c r="I522" s="8">
        <v>51.6</v>
      </c>
      <c r="J522" s="8">
        <v>26.6</v>
      </c>
      <c r="K522" s="8">
        <v>42.5</v>
      </c>
      <c r="L522" s="8">
        <f t="shared" ref="L522:L539" si="25">J522*I522*K522</f>
        <v>58333.80000000001</v>
      </c>
      <c r="M522" s="15">
        <v>7897801311229</v>
      </c>
      <c r="N522" s="6" t="s">
        <v>20</v>
      </c>
      <c r="O522" s="6" t="s">
        <v>20</v>
      </c>
      <c r="P522" s="6" t="s">
        <v>20</v>
      </c>
      <c r="Q522" s="6">
        <v>0.255</v>
      </c>
      <c r="R522" s="6">
        <v>0.16</v>
      </c>
      <c r="S522" s="6">
        <v>0.31</v>
      </c>
      <c r="T522" s="8">
        <v>6</v>
      </c>
      <c r="U522" s="5" t="s">
        <v>994</v>
      </c>
      <c r="V522" s="89">
        <v>0</v>
      </c>
      <c r="W522" s="15">
        <v>17897801311226</v>
      </c>
      <c r="X522" s="6" t="s">
        <v>20</v>
      </c>
      <c r="Y522" s="6" t="s">
        <v>20</v>
      </c>
      <c r="Z522" s="6" t="s">
        <v>20</v>
      </c>
      <c r="AA522" s="6"/>
      <c r="AB522" s="8">
        <v>0</v>
      </c>
      <c r="AC522" s="15">
        <v>27897801311223</v>
      </c>
      <c r="AD522" s="4" t="s">
        <v>992</v>
      </c>
    </row>
    <row r="523" spans="2:30" x14ac:dyDescent="0.35">
      <c r="B523" s="14">
        <v>860</v>
      </c>
      <c r="C523" s="4" t="s">
        <v>528</v>
      </c>
      <c r="D523" s="4" t="s">
        <v>2401</v>
      </c>
      <c r="E523" s="4" t="s">
        <v>2915</v>
      </c>
      <c r="F523" s="4" t="s">
        <v>85</v>
      </c>
      <c r="G523" s="4" t="s">
        <v>993</v>
      </c>
      <c r="H523" s="6">
        <v>0.1065</v>
      </c>
      <c r="I523" s="8">
        <v>330</v>
      </c>
      <c r="J523" s="8">
        <v>54</v>
      </c>
      <c r="K523" s="8">
        <v>54</v>
      </c>
      <c r="L523" s="8">
        <f t="shared" si="25"/>
        <v>962280</v>
      </c>
      <c r="M523" s="15">
        <v>7897801301596</v>
      </c>
      <c r="N523" s="6" t="s">
        <v>20</v>
      </c>
      <c r="O523" s="6" t="s">
        <v>20</v>
      </c>
      <c r="P523" s="6" t="s">
        <v>20</v>
      </c>
      <c r="Q523" s="6">
        <v>0.24</v>
      </c>
      <c r="R523" s="6">
        <v>0.16</v>
      </c>
      <c r="S523" s="6">
        <v>0.35499999999999998</v>
      </c>
      <c r="T523" s="8">
        <v>12</v>
      </c>
      <c r="U523" s="5" t="s">
        <v>994</v>
      </c>
      <c r="V523" s="89">
        <v>0</v>
      </c>
      <c r="W523" s="15">
        <v>17897801301593</v>
      </c>
      <c r="X523" s="6" t="s">
        <v>20</v>
      </c>
      <c r="Y523" s="6" t="s">
        <v>20</v>
      </c>
      <c r="Z523" s="6" t="s">
        <v>20</v>
      </c>
      <c r="AA523" s="6"/>
      <c r="AB523" s="8">
        <v>0</v>
      </c>
      <c r="AC523" s="15">
        <v>27897801301590</v>
      </c>
      <c r="AD523" s="4" t="s">
        <v>992</v>
      </c>
    </row>
    <row r="524" spans="2:30" x14ac:dyDescent="0.35">
      <c r="B524" s="14">
        <v>861</v>
      </c>
      <c r="C524" s="4" t="s">
        <v>529</v>
      </c>
      <c r="D524" s="4" t="s">
        <v>2401</v>
      </c>
      <c r="E524" s="4" t="s">
        <v>2915</v>
      </c>
      <c r="F524" s="4" t="s">
        <v>85</v>
      </c>
      <c r="G524" s="4" t="s">
        <v>993</v>
      </c>
      <c r="H524" s="6">
        <v>0.19980000000000001</v>
      </c>
      <c r="I524" s="8">
        <v>340</v>
      </c>
      <c r="J524" s="8">
        <v>140</v>
      </c>
      <c r="K524" s="8">
        <v>140</v>
      </c>
      <c r="L524" s="8">
        <f t="shared" si="25"/>
        <v>6664000</v>
      </c>
      <c r="M524" s="15">
        <v>7897801301817</v>
      </c>
      <c r="N524" s="6" t="s">
        <v>20</v>
      </c>
      <c r="O524" s="6" t="s">
        <v>20</v>
      </c>
      <c r="P524" s="6" t="s">
        <v>20</v>
      </c>
      <c r="Q524" s="6">
        <v>0.26500000000000001</v>
      </c>
      <c r="R524" s="6">
        <v>0.28000000000000003</v>
      </c>
      <c r="S524" s="6">
        <v>0.40500000000000003</v>
      </c>
      <c r="T524" s="8">
        <v>12</v>
      </c>
      <c r="U524" s="5" t="s">
        <v>994</v>
      </c>
      <c r="V524" s="89">
        <v>0</v>
      </c>
      <c r="W524" s="15">
        <v>17897801301814</v>
      </c>
      <c r="X524" s="6" t="s">
        <v>20</v>
      </c>
      <c r="Y524" s="6" t="s">
        <v>20</v>
      </c>
      <c r="Z524" s="6" t="s">
        <v>20</v>
      </c>
      <c r="AA524" s="6"/>
      <c r="AB524" s="8">
        <v>0</v>
      </c>
      <c r="AC524" s="15">
        <v>27897801301811</v>
      </c>
      <c r="AD524" s="4" t="s">
        <v>992</v>
      </c>
    </row>
    <row r="525" spans="2:30" x14ac:dyDescent="0.35">
      <c r="B525" s="14">
        <v>862</v>
      </c>
      <c r="C525" s="4" t="s">
        <v>530</v>
      </c>
      <c r="D525" s="4" t="s">
        <v>2401</v>
      </c>
      <c r="E525" s="4" t="s">
        <v>2915</v>
      </c>
      <c r="F525" s="4" t="s">
        <v>85</v>
      </c>
      <c r="G525" s="4" t="s">
        <v>993</v>
      </c>
      <c r="H525" s="6">
        <v>0.1065</v>
      </c>
      <c r="I525" s="8">
        <v>330</v>
      </c>
      <c r="J525" s="8">
        <v>54</v>
      </c>
      <c r="K525" s="8">
        <v>54</v>
      </c>
      <c r="L525" s="8">
        <f t="shared" si="25"/>
        <v>962280</v>
      </c>
      <c r="M525" s="15">
        <v>7897801318013</v>
      </c>
      <c r="N525" s="6" t="s">
        <v>20</v>
      </c>
      <c r="O525" s="6" t="s">
        <v>20</v>
      </c>
      <c r="P525" s="6" t="s">
        <v>20</v>
      </c>
      <c r="Q525" s="6">
        <v>0.34</v>
      </c>
      <c r="R525" s="6">
        <v>0.44</v>
      </c>
      <c r="S525" s="6">
        <v>0.36</v>
      </c>
      <c r="T525" s="8">
        <v>48</v>
      </c>
      <c r="U525" s="5" t="s">
        <v>994</v>
      </c>
      <c r="V525" s="89">
        <v>0</v>
      </c>
      <c r="W525" s="15">
        <v>17897801318010</v>
      </c>
      <c r="X525" s="6" t="s">
        <v>20</v>
      </c>
      <c r="Y525" s="6" t="s">
        <v>20</v>
      </c>
      <c r="Z525" s="6" t="s">
        <v>20</v>
      </c>
      <c r="AA525" s="6"/>
      <c r="AB525" s="8">
        <v>0</v>
      </c>
      <c r="AC525" s="15">
        <v>27897801318017</v>
      </c>
      <c r="AD525" s="4" t="s">
        <v>992</v>
      </c>
    </row>
    <row r="526" spans="2:30" x14ac:dyDescent="0.35">
      <c r="B526" s="14">
        <v>870</v>
      </c>
      <c r="C526" s="4" t="s">
        <v>531</v>
      </c>
      <c r="D526" s="4" t="s">
        <v>2371</v>
      </c>
      <c r="E526" s="4" t="s">
        <v>2911</v>
      </c>
      <c r="F526" s="4" t="s">
        <v>85</v>
      </c>
      <c r="G526" s="4" t="s">
        <v>993</v>
      </c>
      <c r="H526" s="6">
        <v>0.4733</v>
      </c>
      <c r="I526" s="8">
        <v>170</v>
      </c>
      <c r="J526" s="8">
        <v>100</v>
      </c>
      <c r="K526" s="8">
        <v>130</v>
      </c>
      <c r="L526" s="8">
        <f t="shared" si="25"/>
        <v>2210000</v>
      </c>
      <c r="M526" s="15">
        <v>7897801312349</v>
      </c>
      <c r="N526" s="6" t="s">
        <v>20</v>
      </c>
      <c r="O526" s="6" t="s">
        <v>20</v>
      </c>
      <c r="P526" s="6" t="s">
        <v>20</v>
      </c>
      <c r="Q526" s="6">
        <v>0.17</v>
      </c>
      <c r="R526" s="6">
        <v>0.11</v>
      </c>
      <c r="S526" s="6">
        <v>0.28000000000000003</v>
      </c>
      <c r="T526" s="8">
        <v>2</v>
      </c>
      <c r="U526" s="5" t="s">
        <v>994</v>
      </c>
      <c r="V526" s="89">
        <v>0</v>
      </c>
      <c r="W526" s="15">
        <v>17897801312346</v>
      </c>
      <c r="X526" s="6">
        <v>0.45</v>
      </c>
      <c r="Y526" s="6">
        <v>0.27</v>
      </c>
      <c r="Z526" s="6">
        <v>0.66</v>
      </c>
      <c r="AA526" s="6">
        <f t="shared" ref="AA526:AA531" si="26">Y526*X526*Z526</f>
        <v>8.0190000000000011E-2</v>
      </c>
      <c r="AB526" s="8">
        <v>20</v>
      </c>
      <c r="AC526" s="15">
        <v>27897801312343</v>
      </c>
      <c r="AD526" s="4" t="s">
        <v>992</v>
      </c>
    </row>
    <row r="527" spans="2:30" x14ac:dyDescent="0.35">
      <c r="B527" s="14">
        <v>872</v>
      </c>
      <c r="C527" s="4" t="s">
        <v>532</v>
      </c>
      <c r="D527" s="4" t="s">
        <v>2371</v>
      </c>
      <c r="E527" s="4" t="s">
        <v>2911</v>
      </c>
      <c r="F527" s="4" t="s">
        <v>85</v>
      </c>
      <c r="G527" s="4" t="s">
        <v>993</v>
      </c>
      <c r="H527" s="6">
        <v>0.78910000000000002</v>
      </c>
      <c r="I527" s="8">
        <v>130</v>
      </c>
      <c r="J527" s="8">
        <v>200</v>
      </c>
      <c r="K527" s="8">
        <v>180</v>
      </c>
      <c r="L527" s="8">
        <f t="shared" si="25"/>
        <v>4680000</v>
      </c>
      <c r="M527" s="15">
        <v>7897801312356</v>
      </c>
      <c r="N527" s="6" t="s">
        <v>20</v>
      </c>
      <c r="O527" s="6" t="s">
        <v>20</v>
      </c>
      <c r="P527" s="6" t="s">
        <v>20</v>
      </c>
      <c r="Q527" s="6">
        <v>0.16</v>
      </c>
      <c r="R527" s="6">
        <v>0.13</v>
      </c>
      <c r="S527" s="6">
        <v>0.2</v>
      </c>
      <c r="T527" s="8">
        <v>1</v>
      </c>
      <c r="U527" s="5" t="s">
        <v>994</v>
      </c>
      <c r="V527" s="89">
        <v>0</v>
      </c>
      <c r="W527" s="15">
        <v>17897801312353</v>
      </c>
      <c r="X527" s="6">
        <v>0.48</v>
      </c>
      <c r="Y527" s="6">
        <v>0.25</v>
      </c>
      <c r="Z527" s="6">
        <v>0.75</v>
      </c>
      <c r="AA527" s="6">
        <f t="shared" si="26"/>
        <v>0.09</v>
      </c>
      <c r="AB527" s="8">
        <v>10</v>
      </c>
      <c r="AC527" s="15">
        <v>27897801312350</v>
      </c>
      <c r="AD527" s="4" t="s">
        <v>992</v>
      </c>
    </row>
    <row r="528" spans="2:30" x14ac:dyDescent="0.35">
      <c r="B528" s="14">
        <v>873</v>
      </c>
      <c r="C528" s="4" t="s">
        <v>533</v>
      </c>
      <c r="D528" s="4" t="s">
        <v>2371</v>
      </c>
      <c r="E528" s="4" t="s">
        <v>2911</v>
      </c>
      <c r="F528" s="4" t="s">
        <v>85</v>
      </c>
      <c r="G528" s="4" t="s">
        <v>993</v>
      </c>
      <c r="H528" s="6">
        <v>0.86860000000000004</v>
      </c>
      <c r="I528" s="8">
        <v>210</v>
      </c>
      <c r="J528" s="8">
        <v>130</v>
      </c>
      <c r="K528" s="8">
        <v>200</v>
      </c>
      <c r="L528" s="8">
        <f t="shared" si="25"/>
        <v>5460000</v>
      </c>
      <c r="M528" s="15">
        <v>7897801312363</v>
      </c>
      <c r="N528" s="6" t="s">
        <v>20</v>
      </c>
      <c r="O528" s="6" t="s">
        <v>20</v>
      </c>
      <c r="P528" s="6" t="s">
        <v>20</v>
      </c>
      <c r="Q528" s="6">
        <v>0.17</v>
      </c>
      <c r="R528" s="6">
        <v>0.13</v>
      </c>
      <c r="S528" s="6">
        <v>0.215</v>
      </c>
      <c r="T528" s="8">
        <v>1</v>
      </c>
      <c r="U528" s="5" t="s">
        <v>994</v>
      </c>
      <c r="V528" s="89">
        <v>0</v>
      </c>
      <c r="W528" s="15">
        <v>17897801312360</v>
      </c>
      <c r="X528" s="6">
        <v>0.47</v>
      </c>
      <c r="Y528" s="6">
        <v>0.25</v>
      </c>
      <c r="Z528" s="6">
        <v>0.74</v>
      </c>
      <c r="AA528" s="6">
        <f t="shared" si="26"/>
        <v>8.695E-2</v>
      </c>
      <c r="AB528" s="8">
        <v>10</v>
      </c>
      <c r="AC528" s="15">
        <v>27897801312367</v>
      </c>
      <c r="AD528" s="4" t="s">
        <v>992</v>
      </c>
    </row>
    <row r="529" spans="2:30" x14ac:dyDescent="0.35">
      <c r="B529" s="14">
        <v>874</v>
      </c>
      <c r="C529" s="4" t="s">
        <v>534</v>
      </c>
      <c r="D529" s="4" t="s">
        <v>2371</v>
      </c>
      <c r="E529" s="4" t="s">
        <v>2911</v>
      </c>
      <c r="F529" s="4" t="s">
        <v>85</v>
      </c>
      <c r="G529" s="4" t="s">
        <v>993</v>
      </c>
      <c r="H529" s="6">
        <v>0.1537</v>
      </c>
      <c r="I529" s="8">
        <v>100</v>
      </c>
      <c r="J529" s="8">
        <v>100</v>
      </c>
      <c r="K529" s="8">
        <v>90</v>
      </c>
      <c r="L529" s="8">
        <f t="shared" si="25"/>
        <v>900000</v>
      </c>
      <c r="M529" s="15">
        <v>7897801312714</v>
      </c>
      <c r="N529" s="6" t="s">
        <v>20</v>
      </c>
      <c r="O529" s="6" t="s">
        <v>20</v>
      </c>
      <c r="P529" s="6" t="s">
        <v>20</v>
      </c>
      <c r="Q529" s="6">
        <v>0.25</v>
      </c>
      <c r="R529" s="6">
        <v>0.14000000000000001</v>
      </c>
      <c r="S529" s="6">
        <v>0.33</v>
      </c>
      <c r="T529" s="8">
        <v>10</v>
      </c>
      <c r="U529" s="5" t="s">
        <v>994</v>
      </c>
      <c r="V529" s="89">
        <v>0</v>
      </c>
      <c r="W529" s="15">
        <v>17897801312711</v>
      </c>
      <c r="X529" s="6">
        <v>0.45</v>
      </c>
      <c r="Y529" s="6">
        <v>0.3</v>
      </c>
      <c r="Z529" s="6">
        <v>0.7</v>
      </c>
      <c r="AA529" s="6">
        <f t="shared" si="26"/>
        <v>9.4500000000000001E-2</v>
      </c>
      <c r="AB529" s="8">
        <v>100</v>
      </c>
      <c r="AC529" s="15">
        <v>27897801312718</v>
      </c>
      <c r="AD529" s="4" t="s">
        <v>992</v>
      </c>
    </row>
    <row r="530" spans="2:30" x14ac:dyDescent="0.35">
      <c r="B530" s="14">
        <v>875</v>
      </c>
      <c r="C530" s="4" t="s">
        <v>535</v>
      </c>
      <c r="D530" s="4" t="s">
        <v>2376</v>
      </c>
      <c r="E530" s="4" t="s">
        <v>2911</v>
      </c>
      <c r="F530" s="4" t="s">
        <v>85</v>
      </c>
      <c r="G530" s="4" t="s">
        <v>993</v>
      </c>
      <c r="H530" s="6">
        <v>1.7999999999999999E-2</v>
      </c>
      <c r="I530" s="8">
        <v>45</v>
      </c>
      <c r="J530" s="8">
        <v>30</v>
      </c>
      <c r="K530" s="8">
        <v>30</v>
      </c>
      <c r="L530" s="8">
        <f t="shared" si="25"/>
        <v>40500</v>
      </c>
      <c r="M530" s="15">
        <v>7897801312776</v>
      </c>
      <c r="N530" s="6" t="s">
        <v>20</v>
      </c>
      <c r="O530" s="6" t="s">
        <v>20</v>
      </c>
      <c r="P530" s="6" t="s">
        <v>20</v>
      </c>
      <c r="Q530" s="6">
        <v>0.13</v>
      </c>
      <c r="R530" s="6">
        <v>3.5000000000000003E-2</v>
      </c>
      <c r="S530" s="6">
        <v>0.15</v>
      </c>
      <c r="T530" s="8">
        <v>12</v>
      </c>
      <c r="U530" s="5" t="s">
        <v>994</v>
      </c>
      <c r="V530" s="89">
        <v>0</v>
      </c>
      <c r="W530" s="15">
        <v>17897801312773</v>
      </c>
      <c r="X530" s="6">
        <v>0.45</v>
      </c>
      <c r="Y530" s="6">
        <v>0.2</v>
      </c>
      <c r="Z530" s="6">
        <v>0.65</v>
      </c>
      <c r="AA530" s="6">
        <f t="shared" si="26"/>
        <v>5.850000000000001E-2</v>
      </c>
      <c r="AB530" s="8">
        <v>840</v>
      </c>
      <c r="AC530" s="15">
        <v>27897801312770</v>
      </c>
      <c r="AD530" s="4" t="s">
        <v>992</v>
      </c>
    </row>
    <row r="531" spans="2:30" x14ac:dyDescent="0.35">
      <c r="B531" s="14">
        <v>876</v>
      </c>
      <c r="C531" s="4" t="s">
        <v>536</v>
      </c>
      <c r="D531" s="4" t="s">
        <v>2376</v>
      </c>
      <c r="E531" s="4" t="s">
        <v>2911</v>
      </c>
      <c r="F531" s="4" t="s">
        <v>85</v>
      </c>
      <c r="G531" s="4" t="s">
        <v>993</v>
      </c>
      <c r="H531" s="6">
        <v>2.8199999999999999E-2</v>
      </c>
      <c r="I531" s="8">
        <v>50</v>
      </c>
      <c r="J531" s="8">
        <v>40</v>
      </c>
      <c r="K531" s="8">
        <v>40</v>
      </c>
      <c r="L531" s="8">
        <f t="shared" si="25"/>
        <v>80000</v>
      </c>
      <c r="M531" s="15">
        <v>7897801312783</v>
      </c>
      <c r="N531" s="6" t="s">
        <v>20</v>
      </c>
      <c r="O531" s="6" t="s">
        <v>20</v>
      </c>
      <c r="P531" s="6" t="s">
        <v>20</v>
      </c>
      <c r="Q531" s="6">
        <v>0.2</v>
      </c>
      <c r="R531" s="6">
        <v>9.5000000000000001E-2</v>
      </c>
      <c r="S531" s="6">
        <v>0.23</v>
      </c>
      <c r="T531" s="8">
        <v>12</v>
      </c>
      <c r="U531" s="5" t="s">
        <v>994</v>
      </c>
      <c r="V531" s="89">
        <v>0</v>
      </c>
      <c r="W531" s="15">
        <v>17897801312780</v>
      </c>
      <c r="X531" s="6">
        <v>0.52</v>
      </c>
      <c r="Y531" s="6">
        <v>0.17</v>
      </c>
      <c r="Z531" s="6">
        <v>0.75</v>
      </c>
      <c r="AA531" s="6">
        <f t="shared" si="26"/>
        <v>6.6299999999999998E-2</v>
      </c>
      <c r="AB531" s="8">
        <v>600</v>
      </c>
      <c r="AC531" s="15">
        <v>27897801312787</v>
      </c>
      <c r="AD531" s="4" t="s">
        <v>992</v>
      </c>
    </row>
    <row r="532" spans="2:30" x14ac:dyDescent="0.35">
      <c r="B532" s="14">
        <v>904</v>
      </c>
      <c r="C532" s="4" t="s">
        <v>537</v>
      </c>
      <c r="D532" s="4" t="s">
        <v>2394</v>
      </c>
      <c r="E532" s="4" t="s">
        <v>2913</v>
      </c>
      <c r="F532" s="4" t="s">
        <v>85</v>
      </c>
      <c r="G532" s="4" t="s">
        <v>995</v>
      </c>
      <c r="H532" s="6">
        <v>0.24790000000000001</v>
      </c>
      <c r="I532" s="8">
        <v>143</v>
      </c>
      <c r="J532" s="8">
        <v>104</v>
      </c>
      <c r="K532" s="8">
        <v>143</v>
      </c>
      <c r="L532" s="8">
        <f t="shared" si="25"/>
        <v>2126696</v>
      </c>
      <c r="M532" s="15">
        <v>7897801302180</v>
      </c>
      <c r="N532" s="6" t="s">
        <v>20</v>
      </c>
      <c r="O532" s="6" t="s">
        <v>20</v>
      </c>
      <c r="P532" s="6" t="s">
        <v>20</v>
      </c>
      <c r="Q532" s="6">
        <v>0.31</v>
      </c>
      <c r="R532" s="6">
        <v>0.22</v>
      </c>
      <c r="S532" s="6">
        <v>0.41499999999999998</v>
      </c>
      <c r="T532" s="8">
        <v>12</v>
      </c>
      <c r="U532" s="5" t="s">
        <v>994</v>
      </c>
      <c r="V532" s="89">
        <v>0</v>
      </c>
      <c r="W532" s="15">
        <v>17897801302187</v>
      </c>
      <c r="X532" s="6" t="s">
        <v>20</v>
      </c>
      <c r="Y532" s="6" t="s">
        <v>20</v>
      </c>
      <c r="Z532" s="6" t="s">
        <v>20</v>
      </c>
      <c r="AA532" s="6"/>
      <c r="AB532" s="8">
        <v>0</v>
      </c>
      <c r="AC532" s="15">
        <v>27897801302184</v>
      </c>
      <c r="AD532" s="4" t="s">
        <v>992</v>
      </c>
    </row>
    <row r="533" spans="2:30" x14ac:dyDescent="0.35">
      <c r="B533" s="14">
        <v>906</v>
      </c>
      <c r="C533" s="4" t="s">
        <v>538</v>
      </c>
      <c r="D533" s="4" t="s">
        <v>2394</v>
      </c>
      <c r="E533" s="4" t="s">
        <v>2913</v>
      </c>
      <c r="F533" s="4" t="s">
        <v>85</v>
      </c>
      <c r="G533" s="4" t="s">
        <v>995</v>
      </c>
      <c r="H533" s="6">
        <v>0.23860000000000001</v>
      </c>
      <c r="I533" s="8">
        <v>143</v>
      </c>
      <c r="J533" s="8">
        <v>104</v>
      </c>
      <c r="K533" s="8">
        <v>143</v>
      </c>
      <c r="L533" s="8">
        <f t="shared" si="25"/>
        <v>2126696</v>
      </c>
      <c r="M533" s="15">
        <v>7897801302173</v>
      </c>
      <c r="N533" s="6" t="s">
        <v>20</v>
      </c>
      <c r="O533" s="6" t="s">
        <v>20</v>
      </c>
      <c r="P533" s="6" t="s">
        <v>20</v>
      </c>
      <c r="Q533" s="6">
        <v>0.15</v>
      </c>
      <c r="R533" s="6">
        <v>0.11</v>
      </c>
      <c r="S533" s="6">
        <v>0.185</v>
      </c>
      <c r="T533" s="8">
        <v>12</v>
      </c>
      <c r="U533" s="5" t="s">
        <v>994</v>
      </c>
      <c r="V533" s="89">
        <v>0</v>
      </c>
      <c r="W533" s="15">
        <v>17897801302170</v>
      </c>
      <c r="X533" s="6">
        <v>0.31</v>
      </c>
      <c r="Y533" s="6">
        <v>0.22</v>
      </c>
      <c r="Z533" s="6">
        <v>0.41499999999999998</v>
      </c>
      <c r="AA533" s="6">
        <f>Y533*X533*Z533</f>
        <v>2.8302999999999998E-2</v>
      </c>
      <c r="AB533" s="8">
        <v>0</v>
      </c>
      <c r="AC533" s="15">
        <v>27897801302177</v>
      </c>
      <c r="AD533" s="4" t="s">
        <v>992</v>
      </c>
    </row>
    <row r="534" spans="2:30" x14ac:dyDescent="0.35">
      <c r="B534" s="14">
        <v>908</v>
      </c>
      <c r="C534" s="4" t="s">
        <v>539</v>
      </c>
      <c r="D534" s="4" t="s">
        <v>2394</v>
      </c>
      <c r="E534" s="4" t="s">
        <v>2913</v>
      </c>
      <c r="F534" s="4" t="s">
        <v>85</v>
      </c>
      <c r="G534" s="4" t="s">
        <v>995</v>
      </c>
      <c r="H534" s="6">
        <v>0.31230000000000002</v>
      </c>
      <c r="I534" s="8">
        <v>145</v>
      </c>
      <c r="J534" s="8">
        <v>158</v>
      </c>
      <c r="K534" s="8">
        <v>145</v>
      </c>
      <c r="L534" s="8">
        <f t="shared" si="25"/>
        <v>3321950</v>
      </c>
      <c r="M534" s="15">
        <v>7897801311052</v>
      </c>
      <c r="N534" s="6" t="s">
        <v>20</v>
      </c>
      <c r="O534" s="6" t="s">
        <v>20</v>
      </c>
      <c r="P534" s="6" t="s">
        <v>20</v>
      </c>
      <c r="Q534" s="6">
        <v>0.315</v>
      </c>
      <c r="R534" s="6">
        <v>0.17</v>
      </c>
      <c r="S534" s="6">
        <v>0.41499999999999998</v>
      </c>
      <c r="T534" s="8">
        <v>6</v>
      </c>
      <c r="U534" s="5" t="s">
        <v>994</v>
      </c>
      <c r="V534" s="89">
        <v>0</v>
      </c>
      <c r="W534" s="15">
        <v>17897801311059</v>
      </c>
      <c r="X534" s="6" t="s">
        <v>20</v>
      </c>
      <c r="Y534" s="6" t="s">
        <v>20</v>
      </c>
      <c r="Z534" s="6" t="s">
        <v>20</v>
      </c>
      <c r="AA534" s="6"/>
      <c r="AB534" s="8">
        <v>0</v>
      </c>
      <c r="AC534" s="15">
        <v>27897801311056</v>
      </c>
      <c r="AD534" s="4" t="s">
        <v>992</v>
      </c>
    </row>
    <row r="535" spans="2:30" x14ac:dyDescent="0.35">
      <c r="B535" s="14">
        <v>910</v>
      </c>
      <c r="C535" s="4" t="s">
        <v>540</v>
      </c>
      <c r="D535" s="4" t="s">
        <v>2394</v>
      </c>
      <c r="E535" s="4" t="s">
        <v>2913</v>
      </c>
      <c r="F535" s="4" t="s">
        <v>85</v>
      </c>
      <c r="G535" s="4" t="s">
        <v>995</v>
      </c>
      <c r="H535" s="6">
        <v>0.36409999999999998</v>
      </c>
      <c r="I535" s="8">
        <v>190</v>
      </c>
      <c r="J535" s="8">
        <v>155</v>
      </c>
      <c r="K535" s="8">
        <v>150</v>
      </c>
      <c r="L535" s="8">
        <f t="shared" si="25"/>
        <v>4417500</v>
      </c>
      <c r="M535" s="15">
        <v>7897801311069</v>
      </c>
      <c r="N535" s="6" t="s">
        <v>20</v>
      </c>
      <c r="O535" s="6" t="s">
        <v>20</v>
      </c>
      <c r="P535" s="6" t="s">
        <v>20</v>
      </c>
      <c r="Q535" s="6">
        <v>0.30499999999999999</v>
      </c>
      <c r="R535" s="6">
        <v>0.17</v>
      </c>
      <c r="S535" s="6">
        <v>0.42</v>
      </c>
      <c r="T535" s="8">
        <v>6</v>
      </c>
      <c r="U535" s="5" t="s">
        <v>994</v>
      </c>
      <c r="V535" s="89">
        <v>0</v>
      </c>
      <c r="W535" s="15">
        <v>17897801311066</v>
      </c>
      <c r="X535" s="6" t="s">
        <v>20</v>
      </c>
      <c r="Y535" s="6" t="s">
        <v>20</v>
      </c>
      <c r="Z535" s="6" t="s">
        <v>20</v>
      </c>
      <c r="AA535" s="6"/>
      <c r="AB535" s="8">
        <v>0</v>
      </c>
      <c r="AC535" s="15">
        <v>27897801311063</v>
      </c>
      <c r="AD535" s="4" t="s">
        <v>992</v>
      </c>
    </row>
    <row r="536" spans="2:30" x14ac:dyDescent="0.35">
      <c r="B536" s="14">
        <v>912</v>
      </c>
      <c r="C536" s="4" t="s">
        <v>541</v>
      </c>
      <c r="D536" s="4" t="s">
        <v>2394</v>
      </c>
      <c r="E536" s="4" t="s">
        <v>2913</v>
      </c>
      <c r="F536" s="4" t="s">
        <v>85</v>
      </c>
      <c r="G536" s="4" t="s">
        <v>995</v>
      </c>
      <c r="H536" s="6">
        <v>0.53139999999999998</v>
      </c>
      <c r="I536" s="8">
        <v>155</v>
      </c>
      <c r="J536" s="8">
        <v>155</v>
      </c>
      <c r="K536" s="8">
        <v>22.5</v>
      </c>
      <c r="L536" s="8">
        <f t="shared" si="25"/>
        <v>540562.5</v>
      </c>
      <c r="M536" s="15">
        <v>7897801302982</v>
      </c>
      <c r="N536" s="6" t="s">
        <v>20</v>
      </c>
      <c r="O536" s="6" t="s">
        <v>20</v>
      </c>
      <c r="P536" s="6" t="s">
        <v>20</v>
      </c>
      <c r="Q536" s="6">
        <v>0.33</v>
      </c>
      <c r="R536" s="6">
        <v>0.23</v>
      </c>
      <c r="S536" s="6">
        <v>0.59</v>
      </c>
      <c r="T536" s="8">
        <v>6</v>
      </c>
      <c r="U536" s="5" t="s">
        <v>994</v>
      </c>
      <c r="V536" s="89">
        <v>0</v>
      </c>
      <c r="W536" s="15">
        <v>17897801302989</v>
      </c>
      <c r="X536" s="6" t="s">
        <v>20</v>
      </c>
      <c r="Y536" s="6" t="s">
        <v>20</v>
      </c>
      <c r="Z536" s="6" t="s">
        <v>20</v>
      </c>
      <c r="AA536" s="6"/>
      <c r="AB536" s="8">
        <v>0</v>
      </c>
      <c r="AC536" s="15">
        <v>27897801302986</v>
      </c>
      <c r="AD536" s="4" t="s">
        <v>992</v>
      </c>
    </row>
    <row r="537" spans="2:30" x14ac:dyDescent="0.35">
      <c r="B537" s="14">
        <v>914</v>
      </c>
      <c r="C537" s="4" t="s">
        <v>542</v>
      </c>
      <c r="D537" s="4" t="s">
        <v>2394</v>
      </c>
      <c r="E537" s="4" t="s">
        <v>2913</v>
      </c>
      <c r="F537" s="4" t="s">
        <v>85</v>
      </c>
      <c r="G537" s="4" t="s">
        <v>995</v>
      </c>
      <c r="H537" s="6">
        <v>0.52429999999999999</v>
      </c>
      <c r="I537" s="8">
        <v>225</v>
      </c>
      <c r="J537" s="8">
        <v>150</v>
      </c>
      <c r="K537" s="8">
        <v>213.5</v>
      </c>
      <c r="L537" s="8">
        <f t="shared" si="25"/>
        <v>7205625</v>
      </c>
      <c r="M537" s="15">
        <v>7897801302999</v>
      </c>
      <c r="N537" s="6" t="s">
        <v>20</v>
      </c>
      <c r="O537" s="6" t="s">
        <v>20</v>
      </c>
      <c r="P537" s="6" t="s">
        <v>20</v>
      </c>
      <c r="Q537" s="6">
        <v>0.22500000000000001</v>
      </c>
      <c r="R537" s="6">
        <v>0.34</v>
      </c>
      <c r="S537" s="6">
        <v>0.58499999999999996</v>
      </c>
      <c r="T537" s="8">
        <v>6</v>
      </c>
      <c r="U537" s="5" t="s">
        <v>994</v>
      </c>
      <c r="V537" s="89">
        <v>0</v>
      </c>
      <c r="W537" s="15">
        <v>17897801302996</v>
      </c>
      <c r="X537" s="6" t="s">
        <v>20</v>
      </c>
      <c r="Y537" s="6" t="s">
        <v>20</v>
      </c>
      <c r="Z537" s="6" t="s">
        <v>20</v>
      </c>
      <c r="AA537" s="6"/>
      <c r="AB537" s="8">
        <v>0</v>
      </c>
      <c r="AC537" s="15">
        <v>27897801302993</v>
      </c>
      <c r="AD537" s="4" t="s">
        <v>992</v>
      </c>
    </row>
    <row r="538" spans="2:30" x14ac:dyDescent="0.35">
      <c r="B538" s="14">
        <v>916</v>
      </c>
      <c r="C538" s="4" t="s">
        <v>543</v>
      </c>
      <c r="D538" s="4" t="s">
        <v>2394</v>
      </c>
      <c r="E538" s="4" t="s">
        <v>2913</v>
      </c>
      <c r="F538" s="4" t="s">
        <v>85</v>
      </c>
      <c r="G538" s="4" t="s">
        <v>995</v>
      </c>
      <c r="H538" s="6">
        <v>0.61509999999999998</v>
      </c>
      <c r="I538" s="8">
        <v>213.5</v>
      </c>
      <c r="J538" s="8">
        <v>185</v>
      </c>
      <c r="K538" s="8">
        <v>213.5</v>
      </c>
      <c r="L538" s="8">
        <f t="shared" si="25"/>
        <v>8432716.25</v>
      </c>
      <c r="M538" s="15">
        <v>7897801308267</v>
      </c>
      <c r="N538" s="6" t="s">
        <v>20</v>
      </c>
      <c r="O538" s="6" t="s">
        <v>20</v>
      </c>
      <c r="P538" s="6" t="s">
        <v>20</v>
      </c>
      <c r="Q538" s="6">
        <v>0.2</v>
      </c>
      <c r="R538" s="6">
        <v>0.2</v>
      </c>
      <c r="S538" s="6">
        <v>0.25</v>
      </c>
      <c r="T538" s="8">
        <v>6</v>
      </c>
      <c r="U538" s="5" t="s">
        <v>994</v>
      </c>
      <c r="V538" s="89">
        <v>0</v>
      </c>
      <c r="W538" s="15">
        <v>17897801308264</v>
      </c>
      <c r="X538" s="6">
        <v>0.4</v>
      </c>
      <c r="Y538" s="6">
        <v>0.24</v>
      </c>
      <c r="Z538" s="6">
        <v>0.57999999999999996</v>
      </c>
      <c r="AA538" s="6">
        <f>Y538*X538*Z538</f>
        <v>5.568E-2</v>
      </c>
      <c r="AB538" s="8">
        <v>0</v>
      </c>
      <c r="AC538" s="15">
        <v>27897801308261</v>
      </c>
      <c r="AD538" s="4" t="s">
        <v>992</v>
      </c>
    </row>
    <row r="539" spans="2:30" x14ac:dyDescent="0.35">
      <c r="B539" s="14">
        <v>918</v>
      </c>
      <c r="C539" s="4" t="s">
        <v>544</v>
      </c>
      <c r="D539" s="4" t="s">
        <v>2394</v>
      </c>
      <c r="E539" s="4" t="s">
        <v>2913</v>
      </c>
      <c r="F539" s="4" t="s">
        <v>85</v>
      </c>
      <c r="G539" s="4" t="s">
        <v>995</v>
      </c>
      <c r="H539" s="6">
        <v>0.63970000000000005</v>
      </c>
      <c r="I539" s="8">
        <v>213.5</v>
      </c>
      <c r="J539" s="8">
        <v>185</v>
      </c>
      <c r="K539" s="8">
        <v>213.5</v>
      </c>
      <c r="L539" s="8">
        <f t="shared" si="25"/>
        <v>8432716.25</v>
      </c>
      <c r="M539" s="15">
        <v>7897801308274</v>
      </c>
      <c r="N539" s="6" t="s">
        <v>20</v>
      </c>
      <c r="O539" s="6" t="s">
        <v>20</v>
      </c>
      <c r="P539" s="6" t="s">
        <v>20</v>
      </c>
      <c r="Q539" s="6">
        <v>0.24</v>
      </c>
      <c r="R539" s="6">
        <v>0.4</v>
      </c>
      <c r="S539" s="6">
        <v>0.57999999999999996</v>
      </c>
      <c r="T539" s="8">
        <v>6</v>
      </c>
      <c r="U539" s="5" t="s">
        <v>994</v>
      </c>
      <c r="V539" s="89">
        <v>0</v>
      </c>
      <c r="W539" s="15">
        <v>17897801308271</v>
      </c>
      <c r="X539" s="6" t="s">
        <v>20</v>
      </c>
      <c r="Y539" s="6" t="s">
        <v>20</v>
      </c>
      <c r="Z539" s="6" t="s">
        <v>20</v>
      </c>
      <c r="AA539" s="6"/>
      <c r="AB539" s="8">
        <v>0</v>
      </c>
      <c r="AC539" s="15">
        <v>27897801308278</v>
      </c>
      <c r="AD539" s="4" t="s">
        <v>992</v>
      </c>
    </row>
    <row r="540" spans="2:30" x14ac:dyDescent="0.35">
      <c r="B540" s="14">
        <v>922</v>
      </c>
      <c r="C540" s="4" t="s">
        <v>545</v>
      </c>
      <c r="D540" s="4" t="s">
        <v>2394</v>
      </c>
      <c r="E540" s="4" t="s">
        <v>2913</v>
      </c>
      <c r="F540" s="4" t="s">
        <v>85</v>
      </c>
      <c r="G540" s="4" t="s">
        <v>995</v>
      </c>
      <c r="H540" s="6">
        <v>8.3299999999999999E-2</v>
      </c>
      <c r="I540" s="8">
        <v>110</v>
      </c>
      <c r="J540" s="8">
        <v>60</v>
      </c>
      <c r="K540" s="8">
        <v>110</v>
      </c>
      <c r="L540" s="8">
        <v>726000</v>
      </c>
      <c r="M540" s="15">
        <v>7897801302753</v>
      </c>
      <c r="N540" s="6" t="s">
        <v>20</v>
      </c>
      <c r="O540" s="6" t="s">
        <v>20</v>
      </c>
      <c r="P540" s="6" t="s">
        <v>20</v>
      </c>
      <c r="Q540" s="6">
        <v>0.22</v>
      </c>
      <c r="R540" s="6">
        <v>0.23</v>
      </c>
      <c r="S540" s="6">
        <v>0.24</v>
      </c>
      <c r="T540" s="8">
        <v>20</v>
      </c>
      <c r="U540" s="5" t="s">
        <v>994</v>
      </c>
      <c r="V540" s="89">
        <v>0</v>
      </c>
      <c r="W540" s="15">
        <v>17897801302750</v>
      </c>
      <c r="X540" s="6">
        <v>0</v>
      </c>
      <c r="Y540" s="6">
        <v>0</v>
      </c>
      <c r="Z540" s="6">
        <v>0</v>
      </c>
      <c r="AA540" s="6">
        <v>0</v>
      </c>
      <c r="AB540" s="8">
        <v>0</v>
      </c>
      <c r="AC540" s="15">
        <v>27897801302757</v>
      </c>
      <c r="AD540" s="4" t="s">
        <v>992</v>
      </c>
    </row>
    <row r="541" spans="2:30" x14ac:dyDescent="0.35">
      <c r="B541" s="14">
        <v>924</v>
      </c>
      <c r="C541" s="4" t="s">
        <v>546</v>
      </c>
      <c r="D541" s="4" t="s">
        <v>2394</v>
      </c>
      <c r="E541" s="4" t="s">
        <v>2913</v>
      </c>
      <c r="F541" s="4" t="s">
        <v>85</v>
      </c>
      <c r="G541" s="4" t="s">
        <v>995</v>
      </c>
      <c r="H541" s="6">
        <v>1.4326000000000001</v>
      </c>
      <c r="I541" s="8">
        <v>305.7</v>
      </c>
      <c r="J541" s="8">
        <v>172</v>
      </c>
      <c r="K541" s="8">
        <v>305.7</v>
      </c>
      <c r="L541" s="8">
        <f t="shared" ref="L541:L579" si="27">J541*I541*K541</f>
        <v>16073828.279999999</v>
      </c>
      <c r="M541" s="15">
        <v>7897801308441</v>
      </c>
      <c r="N541" s="6" t="s">
        <v>20</v>
      </c>
      <c r="O541" s="6" t="s">
        <v>20</v>
      </c>
      <c r="P541" s="6" t="s">
        <v>20</v>
      </c>
      <c r="Q541" s="6">
        <v>0.27500000000000002</v>
      </c>
      <c r="R541" s="6">
        <v>0.36</v>
      </c>
      <c r="S541" s="6">
        <v>0.54</v>
      </c>
      <c r="T541" s="8">
        <v>4</v>
      </c>
      <c r="U541" s="5" t="s">
        <v>994</v>
      </c>
      <c r="V541" s="89">
        <v>0</v>
      </c>
      <c r="W541" s="15">
        <v>17897801308448</v>
      </c>
      <c r="X541" s="6">
        <v>0.28000000000000003</v>
      </c>
      <c r="Y541" s="6">
        <v>0.375</v>
      </c>
      <c r="Z541" s="6">
        <v>0.54500000000000004</v>
      </c>
      <c r="AA541" s="6">
        <f>Y541*X541*Z541</f>
        <v>5.7225000000000012E-2</v>
      </c>
      <c r="AB541" s="8">
        <v>0</v>
      </c>
      <c r="AC541" s="15">
        <v>27897801308445</v>
      </c>
      <c r="AD541" s="4" t="s">
        <v>992</v>
      </c>
    </row>
    <row r="542" spans="2:30" x14ac:dyDescent="0.35">
      <c r="B542" s="14">
        <v>925</v>
      </c>
      <c r="C542" s="4" t="s">
        <v>547</v>
      </c>
      <c r="D542" s="4" t="s">
        <v>2394</v>
      </c>
      <c r="E542" s="4" t="s">
        <v>2913</v>
      </c>
      <c r="F542" s="4" t="s">
        <v>85</v>
      </c>
      <c r="G542" s="4" t="s">
        <v>995</v>
      </c>
      <c r="H542" s="6">
        <v>1.6812</v>
      </c>
      <c r="I542" s="8">
        <v>305.7</v>
      </c>
      <c r="J542" s="8">
        <v>230</v>
      </c>
      <c r="K542" s="8">
        <v>305.7</v>
      </c>
      <c r="L542" s="8">
        <f t="shared" si="27"/>
        <v>21494072.699999999</v>
      </c>
      <c r="M542" s="15">
        <v>7897801308502</v>
      </c>
      <c r="N542" s="6" t="s">
        <v>20</v>
      </c>
      <c r="O542" s="6" t="s">
        <v>20</v>
      </c>
      <c r="P542" s="6" t="s">
        <v>20</v>
      </c>
      <c r="Q542" s="6">
        <v>0.28999999999999998</v>
      </c>
      <c r="R542" s="6">
        <v>0.48</v>
      </c>
      <c r="S542" s="6">
        <v>0.56000000000000005</v>
      </c>
      <c r="T542" s="8">
        <v>4</v>
      </c>
      <c r="U542" s="5" t="s">
        <v>994</v>
      </c>
      <c r="V542" s="89">
        <v>0</v>
      </c>
      <c r="W542" s="15">
        <v>17897801308509</v>
      </c>
      <c r="X542" s="6" t="s">
        <v>20</v>
      </c>
      <c r="Y542" s="6" t="s">
        <v>20</v>
      </c>
      <c r="Z542" s="6" t="s">
        <v>20</v>
      </c>
      <c r="AA542" s="6"/>
      <c r="AB542" s="8">
        <v>0</v>
      </c>
      <c r="AC542" s="15">
        <v>27897801308506</v>
      </c>
      <c r="AD542" s="4" t="s">
        <v>992</v>
      </c>
    </row>
    <row r="543" spans="2:30" x14ac:dyDescent="0.35">
      <c r="B543" s="14">
        <v>926</v>
      </c>
      <c r="C543" s="4" t="s">
        <v>548</v>
      </c>
      <c r="D543" s="4" t="s">
        <v>2394</v>
      </c>
      <c r="E543" s="4" t="s">
        <v>2913</v>
      </c>
      <c r="F543" s="4" t="s">
        <v>85</v>
      </c>
      <c r="G543" s="4" t="s">
        <v>995</v>
      </c>
      <c r="H543" s="6">
        <v>1.33</v>
      </c>
      <c r="I543" s="8">
        <v>305.7</v>
      </c>
      <c r="J543" s="8">
        <v>172</v>
      </c>
      <c r="K543" s="8">
        <v>305.7</v>
      </c>
      <c r="L543" s="8">
        <f t="shared" si="27"/>
        <v>16073828.279999999</v>
      </c>
      <c r="M543" s="15">
        <v>7897801308410</v>
      </c>
      <c r="N543" s="6" t="s">
        <v>20</v>
      </c>
      <c r="O543" s="6" t="s">
        <v>20</v>
      </c>
      <c r="P543" s="6" t="s">
        <v>20</v>
      </c>
      <c r="Q543" s="6">
        <v>0.28499999999999998</v>
      </c>
      <c r="R543" s="6">
        <v>0.36499999999999999</v>
      </c>
      <c r="S543" s="6">
        <v>0.53500000000000003</v>
      </c>
      <c r="T543" s="8">
        <v>4</v>
      </c>
      <c r="U543" s="5" t="s">
        <v>994</v>
      </c>
      <c r="V543" s="89">
        <v>0</v>
      </c>
      <c r="W543" s="15">
        <v>17897801308417</v>
      </c>
      <c r="X543" s="6" t="s">
        <v>20</v>
      </c>
      <c r="Y543" s="6" t="s">
        <v>20</v>
      </c>
      <c r="Z543" s="6" t="s">
        <v>20</v>
      </c>
      <c r="AA543" s="6"/>
      <c r="AB543" s="8">
        <v>0</v>
      </c>
      <c r="AC543" s="15">
        <v>27897801308414</v>
      </c>
      <c r="AD543" s="4" t="s">
        <v>992</v>
      </c>
    </row>
    <row r="544" spans="2:30" x14ac:dyDescent="0.35">
      <c r="B544" s="14">
        <v>927</v>
      </c>
      <c r="C544" s="4" t="s">
        <v>549</v>
      </c>
      <c r="D544" s="4" t="s">
        <v>2394</v>
      </c>
      <c r="E544" s="4" t="s">
        <v>2913</v>
      </c>
      <c r="F544" s="4" t="s">
        <v>85</v>
      </c>
      <c r="G544" s="4" t="s">
        <v>995</v>
      </c>
      <c r="H544" s="6">
        <v>1.6056999999999999</v>
      </c>
      <c r="I544" s="8">
        <v>305.7</v>
      </c>
      <c r="J544" s="8">
        <v>230</v>
      </c>
      <c r="K544" s="8">
        <v>305.7</v>
      </c>
      <c r="L544" s="8">
        <f t="shared" si="27"/>
        <v>21494072.699999999</v>
      </c>
      <c r="M544" s="15">
        <v>7897801308519</v>
      </c>
      <c r="N544" s="6" t="s">
        <v>20</v>
      </c>
      <c r="O544" s="6" t="s">
        <v>20</v>
      </c>
      <c r="P544" s="6" t="s">
        <v>20</v>
      </c>
      <c r="Q544" s="6">
        <v>0.3</v>
      </c>
      <c r="R544" s="6">
        <v>0.24</v>
      </c>
      <c r="S544" s="6">
        <v>0.34</v>
      </c>
      <c r="T544" s="8">
        <v>4</v>
      </c>
      <c r="U544" s="5" t="s">
        <v>994</v>
      </c>
      <c r="V544" s="89">
        <v>0</v>
      </c>
      <c r="W544" s="15">
        <v>17897801308516</v>
      </c>
      <c r="X544" s="6">
        <v>0.47</v>
      </c>
      <c r="Y544" s="6">
        <v>0.28999999999999998</v>
      </c>
      <c r="Z544" s="6">
        <v>0.56000000000000005</v>
      </c>
      <c r="AA544" s="6">
        <f>Y544*X544*Z544</f>
        <v>7.6327999999999993E-2</v>
      </c>
      <c r="AB544" s="8">
        <v>0</v>
      </c>
      <c r="AC544" s="15">
        <v>27897801308513</v>
      </c>
      <c r="AD544" s="4" t="s">
        <v>992</v>
      </c>
    </row>
    <row r="545" spans="2:30" x14ac:dyDescent="0.35">
      <c r="B545" s="14">
        <v>928</v>
      </c>
      <c r="C545" s="4" t="s">
        <v>550</v>
      </c>
      <c r="D545" s="4" t="s">
        <v>2394</v>
      </c>
      <c r="E545" s="4" t="s">
        <v>2913</v>
      </c>
      <c r="F545" s="4" t="s">
        <v>85</v>
      </c>
      <c r="G545" s="4" t="s">
        <v>995</v>
      </c>
      <c r="H545" s="6">
        <v>0.185</v>
      </c>
      <c r="I545" s="8">
        <v>100</v>
      </c>
      <c r="J545" s="8">
        <v>50</v>
      </c>
      <c r="K545" s="8">
        <v>100</v>
      </c>
      <c r="L545" s="8">
        <f t="shared" si="27"/>
        <v>500000</v>
      </c>
      <c r="M545" s="15">
        <v>7897801308489</v>
      </c>
      <c r="N545" s="6" t="s">
        <v>20</v>
      </c>
      <c r="O545" s="6" t="s">
        <v>20</v>
      </c>
      <c r="P545" s="6" t="s">
        <v>20</v>
      </c>
      <c r="Q545" s="6">
        <v>0.15</v>
      </c>
      <c r="R545" s="6">
        <v>0.11</v>
      </c>
      <c r="S545" s="6">
        <v>0.185</v>
      </c>
      <c r="T545" s="8">
        <v>6</v>
      </c>
      <c r="U545" s="5" t="s">
        <v>994</v>
      </c>
      <c r="V545" s="89">
        <v>0</v>
      </c>
      <c r="W545" s="15">
        <v>17897801308486</v>
      </c>
      <c r="X545" s="6">
        <v>0.31</v>
      </c>
      <c r="Y545" s="6">
        <v>0.22</v>
      </c>
      <c r="Z545" s="6">
        <v>0.41499999999999998</v>
      </c>
      <c r="AA545" s="6">
        <f>Y545*X545*Z545</f>
        <v>2.8302999999999998E-2</v>
      </c>
      <c r="AB545" s="8">
        <v>0</v>
      </c>
      <c r="AC545" s="15">
        <v>27897801308483</v>
      </c>
      <c r="AD545" s="4" t="s">
        <v>992</v>
      </c>
    </row>
    <row r="546" spans="2:30" x14ac:dyDescent="0.35">
      <c r="B546" s="14">
        <v>929</v>
      </c>
      <c r="C546" s="4" t="s">
        <v>551</v>
      </c>
      <c r="D546" s="4" t="s">
        <v>2394</v>
      </c>
      <c r="E546" s="4" t="s">
        <v>2913</v>
      </c>
      <c r="F546" s="4" t="s">
        <v>85</v>
      </c>
      <c r="G546" s="4" t="s">
        <v>995</v>
      </c>
      <c r="H546" s="6">
        <v>0.4047</v>
      </c>
      <c r="I546" s="8">
        <v>213.5</v>
      </c>
      <c r="J546" s="8">
        <v>150</v>
      </c>
      <c r="K546" s="8">
        <v>23.5</v>
      </c>
      <c r="L546" s="8">
        <f t="shared" si="27"/>
        <v>752587.5</v>
      </c>
      <c r="M546" s="15">
        <v>7897801308496</v>
      </c>
      <c r="N546" s="6" t="s">
        <v>20</v>
      </c>
      <c r="O546" s="6" t="s">
        <v>20</v>
      </c>
      <c r="P546" s="6" t="s">
        <v>20</v>
      </c>
      <c r="Q546" s="6">
        <v>0.22500000000000001</v>
      </c>
      <c r="R546" s="6">
        <v>0.32500000000000001</v>
      </c>
      <c r="S546" s="6">
        <v>0.58499999999999996</v>
      </c>
      <c r="T546" s="8">
        <v>6</v>
      </c>
      <c r="U546" s="5" t="s">
        <v>994</v>
      </c>
      <c r="V546" s="89">
        <v>0</v>
      </c>
      <c r="W546" s="15">
        <v>17897801308493</v>
      </c>
      <c r="X546" s="6" t="s">
        <v>20</v>
      </c>
      <c r="Y546" s="6" t="s">
        <v>20</v>
      </c>
      <c r="Z546" s="6" t="s">
        <v>20</v>
      </c>
      <c r="AA546" s="6"/>
      <c r="AB546" s="8">
        <v>0</v>
      </c>
      <c r="AC546" s="15">
        <v>27897801308490</v>
      </c>
      <c r="AD546" s="4" t="s">
        <v>992</v>
      </c>
    </row>
    <row r="547" spans="2:30" x14ac:dyDescent="0.35">
      <c r="B547" s="14">
        <v>930</v>
      </c>
      <c r="C547" s="4" t="s">
        <v>552</v>
      </c>
      <c r="D547" s="4" t="s">
        <v>2394</v>
      </c>
      <c r="E547" s="4" t="s">
        <v>2913</v>
      </c>
      <c r="F547" s="4" t="s">
        <v>85</v>
      </c>
      <c r="G547" s="4" t="s">
        <v>995</v>
      </c>
      <c r="H547" s="6">
        <v>0.30609999999999998</v>
      </c>
      <c r="I547" s="8">
        <v>176</v>
      </c>
      <c r="J547" s="8">
        <v>150</v>
      </c>
      <c r="K547" s="8">
        <v>176</v>
      </c>
      <c r="L547" s="8">
        <f t="shared" si="27"/>
        <v>4646400</v>
      </c>
      <c r="M547" s="15">
        <v>7897801311076</v>
      </c>
      <c r="N547" s="6" t="s">
        <v>20</v>
      </c>
      <c r="O547" s="6" t="s">
        <v>20</v>
      </c>
      <c r="P547" s="6" t="s">
        <v>20</v>
      </c>
      <c r="Q547" s="6">
        <v>0.23</v>
      </c>
      <c r="R547" s="6">
        <v>0.33</v>
      </c>
      <c r="S547" s="6">
        <v>0.59</v>
      </c>
      <c r="T547" s="8">
        <v>6</v>
      </c>
      <c r="U547" s="5" t="s">
        <v>994</v>
      </c>
      <c r="V547" s="89">
        <v>0</v>
      </c>
      <c r="W547" s="15">
        <v>17897801311073</v>
      </c>
      <c r="X547" s="6" t="s">
        <v>20</v>
      </c>
      <c r="Y547" s="6" t="s">
        <v>20</v>
      </c>
      <c r="Z547" s="6" t="s">
        <v>20</v>
      </c>
      <c r="AA547" s="6"/>
      <c r="AB547" s="8">
        <v>0</v>
      </c>
      <c r="AC547" s="15">
        <v>27897801311070</v>
      </c>
      <c r="AD547" s="4" t="s">
        <v>992</v>
      </c>
    </row>
    <row r="548" spans="2:30" x14ac:dyDescent="0.35">
      <c r="B548" s="14">
        <v>931</v>
      </c>
      <c r="C548" s="4" t="s">
        <v>553</v>
      </c>
      <c r="D548" s="4" t="s">
        <v>2394</v>
      </c>
      <c r="E548" s="4" t="s">
        <v>2913</v>
      </c>
      <c r="F548" s="4" t="s">
        <v>85</v>
      </c>
      <c r="G548" s="4" t="s">
        <v>995</v>
      </c>
      <c r="H548" s="6">
        <v>0.1163</v>
      </c>
      <c r="I548" s="8">
        <v>122</v>
      </c>
      <c r="J548" s="8">
        <v>53</v>
      </c>
      <c r="K548" s="8">
        <v>96</v>
      </c>
      <c r="L548" s="8">
        <f t="shared" si="27"/>
        <v>620736</v>
      </c>
      <c r="M548" s="15">
        <v>7897801302746</v>
      </c>
      <c r="N548" s="6" t="s">
        <v>20</v>
      </c>
      <c r="O548" s="6" t="s">
        <v>20</v>
      </c>
      <c r="P548" s="6" t="s">
        <v>20</v>
      </c>
      <c r="Q548" s="6">
        <v>0.255</v>
      </c>
      <c r="R548" s="6">
        <v>0.2</v>
      </c>
      <c r="S548" s="6">
        <v>0.28000000000000003</v>
      </c>
      <c r="T548" s="8">
        <v>20</v>
      </c>
      <c r="U548" s="5" t="s">
        <v>994</v>
      </c>
      <c r="V548" s="89">
        <v>0</v>
      </c>
      <c r="W548" s="15">
        <v>17897801302743</v>
      </c>
      <c r="X548" s="6" t="s">
        <v>20</v>
      </c>
      <c r="Y548" s="6" t="s">
        <v>20</v>
      </c>
      <c r="Z548" s="6" t="s">
        <v>20</v>
      </c>
      <c r="AA548" s="6"/>
      <c r="AB548" s="8">
        <v>0</v>
      </c>
      <c r="AC548" s="15">
        <v>27897801302740</v>
      </c>
      <c r="AD548" s="4" t="s">
        <v>992</v>
      </c>
    </row>
    <row r="549" spans="2:30" x14ac:dyDescent="0.35">
      <c r="B549" s="14">
        <v>936</v>
      </c>
      <c r="C549" s="4" t="s">
        <v>554</v>
      </c>
      <c r="D549" s="4" t="s">
        <v>2394</v>
      </c>
      <c r="E549" s="4" t="s">
        <v>2913</v>
      </c>
      <c r="F549" s="4" t="s">
        <v>85</v>
      </c>
      <c r="G549" s="4" t="s">
        <v>993</v>
      </c>
      <c r="H549" s="6">
        <v>2.18E-2</v>
      </c>
      <c r="I549" s="8">
        <v>100</v>
      </c>
      <c r="J549" s="8">
        <v>10</v>
      </c>
      <c r="K549" s="8">
        <v>100</v>
      </c>
      <c r="L549" s="8">
        <f t="shared" si="27"/>
        <v>100000</v>
      </c>
      <c r="M549" s="15">
        <v>7897801307093</v>
      </c>
      <c r="N549" s="6" t="s">
        <v>20</v>
      </c>
      <c r="O549" s="6" t="s">
        <v>20</v>
      </c>
      <c r="P549" s="6" t="s">
        <v>20</v>
      </c>
      <c r="Q549" s="6">
        <v>0.1</v>
      </c>
      <c r="R549" s="6">
        <v>0.09</v>
      </c>
      <c r="S549" s="6">
        <v>0.1</v>
      </c>
      <c r="T549" s="8">
        <v>12</v>
      </c>
      <c r="U549" s="5" t="s">
        <v>994</v>
      </c>
      <c r="V549" s="89">
        <v>0</v>
      </c>
      <c r="W549" s="15">
        <v>17897801307090</v>
      </c>
      <c r="X549" s="6">
        <v>0.5</v>
      </c>
      <c r="Y549" s="6">
        <v>0.1</v>
      </c>
      <c r="Z549" s="6">
        <v>0.7</v>
      </c>
      <c r="AA549" s="6">
        <f>Y549*X549*Z549</f>
        <v>3.4999999999999996E-2</v>
      </c>
      <c r="AB549" s="8">
        <v>480</v>
      </c>
      <c r="AC549" s="15">
        <v>27897801307097</v>
      </c>
      <c r="AD549" s="4" t="s">
        <v>992</v>
      </c>
    </row>
    <row r="550" spans="2:30" x14ac:dyDescent="0.35">
      <c r="B550" s="14">
        <v>937</v>
      </c>
      <c r="C550" s="4" t="s">
        <v>555</v>
      </c>
      <c r="D550" s="4" t="s">
        <v>2394</v>
      </c>
      <c r="E550" s="4" t="s">
        <v>2913</v>
      </c>
      <c r="F550" s="4" t="s">
        <v>85</v>
      </c>
      <c r="G550" s="4" t="s">
        <v>993</v>
      </c>
      <c r="H550" s="6">
        <v>6.8000000000000005E-2</v>
      </c>
      <c r="I550" s="8">
        <v>100</v>
      </c>
      <c r="J550" s="8">
        <v>10</v>
      </c>
      <c r="K550" s="8">
        <v>100</v>
      </c>
      <c r="L550" s="8">
        <f t="shared" si="27"/>
        <v>100000</v>
      </c>
      <c r="M550" s="15">
        <v>7897801306621</v>
      </c>
      <c r="N550" s="6" t="s">
        <v>20</v>
      </c>
      <c r="O550" s="6" t="s">
        <v>20</v>
      </c>
      <c r="P550" s="6" t="s">
        <v>20</v>
      </c>
      <c r="Q550" s="6">
        <v>9.5000000000000001E-2</v>
      </c>
      <c r="R550" s="6">
        <v>0.01</v>
      </c>
      <c r="S550" s="6">
        <v>9.5000000000000001E-2</v>
      </c>
      <c r="T550" s="8">
        <v>12</v>
      </c>
      <c r="U550" s="5" t="s">
        <v>994</v>
      </c>
      <c r="V550" s="89">
        <v>0</v>
      </c>
      <c r="W550" s="15">
        <v>17897801306628</v>
      </c>
      <c r="X550" s="6">
        <v>0.2</v>
      </c>
      <c r="Y550" s="6">
        <v>3.5000000000000003E-2</v>
      </c>
      <c r="Z550" s="6">
        <v>0.2</v>
      </c>
      <c r="AA550" s="6">
        <f>Y550*X550*Z550</f>
        <v>1.4000000000000002E-3</v>
      </c>
      <c r="AB550" s="8">
        <v>0</v>
      </c>
      <c r="AC550" s="15">
        <v>27897801306625</v>
      </c>
      <c r="AD550" s="4" t="s">
        <v>992</v>
      </c>
    </row>
    <row r="551" spans="2:30" x14ac:dyDescent="0.35">
      <c r="B551" s="14">
        <v>938</v>
      </c>
      <c r="C551" s="4" t="s">
        <v>556</v>
      </c>
      <c r="D551" s="4" t="s">
        <v>2394</v>
      </c>
      <c r="E551" s="4" t="s">
        <v>2913</v>
      </c>
      <c r="F551" s="4" t="s">
        <v>85</v>
      </c>
      <c r="G551" s="4" t="s">
        <v>993</v>
      </c>
      <c r="H551" s="6">
        <v>6.2899999999999998E-2</v>
      </c>
      <c r="I551" s="8">
        <v>150</v>
      </c>
      <c r="J551" s="8">
        <v>10</v>
      </c>
      <c r="K551" s="8">
        <v>150</v>
      </c>
      <c r="L551" s="8">
        <f t="shared" si="27"/>
        <v>225000</v>
      </c>
      <c r="M551" s="15">
        <v>7897801303897</v>
      </c>
      <c r="N551" s="6" t="s">
        <v>20</v>
      </c>
      <c r="O551" s="6" t="s">
        <v>20</v>
      </c>
      <c r="P551" s="6" t="s">
        <v>20</v>
      </c>
      <c r="Q551" s="6">
        <v>0.155</v>
      </c>
      <c r="R551" s="6">
        <v>0.115</v>
      </c>
      <c r="S551" s="6">
        <v>0.155</v>
      </c>
      <c r="T551" s="8">
        <v>12</v>
      </c>
      <c r="U551" s="5" t="s">
        <v>994</v>
      </c>
      <c r="V551" s="89">
        <v>0</v>
      </c>
      <c r="W551" s="15">
        <v>17897801303894</v>
      </c>
      <c r="X551" s="6">
        <v>0.43</v>
      </c>
      <c r="Y551" s="6">
        <v>0.16</v>
      </c>
      <c r="Z551" s="6">
        <v>0.64</v>
      </c>
      <c r="AA551" s="6">
        <f>Y551*X551*Z551</f>
        <v>4.4032000000000002E-2</v>
      </c>
      <c r="AB551" s="8">
        <v>192</v>
      </c>
      <c r="AC551" s="15">
        <v>27897801303891</v>
      </c>
      <c r="AD551" s="4" t="s">
        <v>992</v>
      </c>
    </row>
    <row r="552" spans="2:30" x14ac:dyDescent="0.35">
      <c r="B552" s="14">
        <v>939</v>
      </c>
      <c r="C552" s="4" t="s">
        <v>557</v>
      </c>
      <c r="D552" s="4" t="s">
        <v>2394</v>
      </c>
      <c r="E552" s="4" t="s">
        <v>2913</v>
      </c>
      <c r="F552" s="4" t="s">
        <v>85</v>
      </c>
      <c r="G552" s="4" t="s">
        <v>993</v>
      </c>
      <c r="H552" s="6">
        <v>7.8899999999999998E-2</v>
      </c>
      <c r="I552" s="8">
        <v>150</v>
      </c>
      <c r="J552" s="8">
        <v>10</v>
      </c>
      <c r="K552" s="8">
        <v>150</v>
      </c>
      <c r="L552" s="8">
        <f t="shared" si="27"/>
        <v>225000</v>
      </c>
      <c r="M552" s="15">
        <v>7897801303903</v>
      </c>
      <c r="N552" s="6" t="s">
        <v>20</v>
      </c>
      <c r="O552" s="6" t="s">
        <v>20</v>
      </c>
      <c r="P552" s="6" t="s">
        <v>20</v>
      </c>
      <c r="Q552" s="6">
        <v>0.15</v>
      </c>
      <c r="R552" s="6">
        <v>0.01</v>
      </c>
      <c r="S552" s="6">
        <v>0.15</v>
      </c>
      <c r="T552" s="8">
        <v>12</v>
      </c>
      <c r="U552" s="5" t="s">
        <v>994</v>
      </c>
      <c r="V552" s="89">
        <v>0</v>
      </c>
      <c r="W552" s="15">
        <v>17897801303900</v>
      </c>
      <c r="X552" s="6">
        <v>0.43</v>
      </c>
      <c r="Y552" s="6">
        <v>0.36499999999999999</v>
      </c>
      <c r="Z552" s="6">
        <v>0.53500000000000003</v>
      </c>
      <c r="AA552" s="6">
        <f>Y552*X552*Z552</f>
        <v>8.3968250000000008E-2</v>
      </c>
      <c r="AB552" s="8">
        <v>0</v>
      </c>
      <c r="AC552" s="15">
        <v>27897801303907</v>
      </c>
      <c r="AD552" s="4" t="s">
        <v>992</v>
      </c>
    </row>
    <row r="553" spans="2:30" x14ac:dyDescent="0.35">
      <c r="B553" s="14">
        <v>940</v>
      </c>
      <c r="C553" s="4" t="s">
        <v>558</v>
      </c>
      <c r="D553" s="4" t="s">
        <v>2394</v>
      </c>
      <c r="E553" s="4" t="s">
        <v>2913</v>
      </c>
      <c r="F553" s="4" t="s">
        <v>85</v>
      </c>
      <c r="G553" s="4" t="s">
        <v>993</v>
      </c>
      <c r="H553" s="6">
        <v>1.78E-2</v>
      </c>
      <c r="I553" s="8">
        <v>100</v>
      </c>
      <c r="J553" s="8">
        <v>100</v>
      </c>
      <c r="K553" s="8">
        <v>10</v>
      </c>
      <c r="L553" s="8">
        <f t="shared" si="27"/>
        <v>100000</v>
      </c>
      <c r="M553" s="15">
        <v>7897801307109</v>
      </c>
      <c r="N553" s="6" t="s">
        <v>20</v>
      </c>
      <c r="O553" s="6" t="s">
        <v>20</v>
      </c>
      <c r="P553" s="6" t="s">
        <v>20</v>
      </c>
      <c r="Q553" s="6">
        <v>8.5000000000000006E-2</v>
      </c>
      <c r="R553" s="6">
        <v>0.1</v>
      </c>
      <c r="S553" s="6">
        <v>0.1</v>
      </c>
      <c r="T553" s="8">
        <v>12</v>
      </c>
      <c r="U553" s="5" t="s">
        <v>994</v>
      </c>
      <c r="V553" s="89">
        <v>0</v>
      </c>
      <c r="W553" s="15">
        <v>17897801307106</v>
      </c>
      <c r="X553" s="6">
        <v>0.55000000000000004</v>
      </c>
      <c r="Y553" s="6">
        <v>0.2</v>
      </c>
      <c r="Z553" s="6">
        <v>0.55000000000000004</v>
      </c>
      <c r="AA553" s="6">
        <f>Y553*X553*Z553</f>
        <v>6.0500000000000012E-2</v>
      </c>
      <c r="AB553" s="8">
        <v>480</v>
      </c>
      <c r="AC553" s="15">
        <v>27897801307103</v>
      </c>
      <c r="AD553" s="4" t="s">
        <v>992</v>
      </c>
    </row>
    <row r="554" spans="2:30" x14ac:dyDescent="0.35">
      <c r="B554" s="14">
        <v>941</v>
      </c>
      <c r="C554" s="4" t="s">
        <v>559</v>
      </c>
      <c r="D554" s="4" t="s">
        <v>2394</v>
      </c>
      <c r="E554" s="4" t="s">
        <v>2913</v>
      </c>
      <c r="F554" s="4" t="s">
        <v>85</v>
      </c>
      <c r="G554" s="4" t="s">
        <v>993</v>
      </c>
      <c r="H554" s="6">
        <v>6.8000000000000005E-2</v>
      </c>
      <c r="I554" s="8">
        <v>100</v>
      </c>
      <c r="J554" s="8">
        <v>10</v>
      </c>
      <c r="K554" s="8">
        <v>100</v>
      </c>
      <c r="L554" s="8">
        <f t="shared" si="27"/>
        <v>100000</v>
      </c>
      <c r="M554" s="15">
        <v>7897801306638</v>
      </c>
      <c r="N554" s="6" t="s">
        <v>20</v>
      </c>
      <c r="O554" s="6" t="s">
        <v>20</v>
      </c>
      <c r="P554" s="6" t="s">
        <v>20</v>
      </c>
      <c r="Q554" s="6">
        <v>0.24</v>
      </c>
      <c r="R554" s="6">
        <v>0.04</v>
      </c>
      <c r="S554" s="6">
        <v>0.26</v>
      </c>
      <c r="T554" s="8">
        <v>12</v>
      </c>
      <c r="U554" s="5" t="s">
        <v>994</v>
      </c>
      <c r="V554" s="89">
        <v>0</v>
      </c>
      <c r="W554" s="15">
        <v>17897801306635</v>
      </c>
      <c r="X554" s="6" t="s">
        <v>20</v>
      </c>
      <c r="Y554" s="6" t="s">
        <v>20</v>
      </c>
      <c r="Z554" s="6" t="s">
        <v>20</v>
      </c>
      <c r="AA554" s="6"/>
      <c r="AB554" s="8">
        <v>0</v>
      </c>
      <c r="AC554" s="15">
        <v>27897801306632</v>
      </c>
      <c r="AD554" s="4" t="s">
        <v>992</v>
      </c>
    </row>
    <row r="555" spans="2:30" x14ac:dyDescent="0.35">
      <c r="B555" s="14">
        <v>942</v>
      </c>
      <c r="C555" s="4" t="s">
        <v>560</v>
      </c>
      <c r="D555" s="4" t="s">
        <v>2394</v>
      </c>
      <c r="E555" s="4" t="s">
        <v>2913</v>
      </c>
      <c r="F555" s="4" t="s">
        <v>85</v>
      </c>
      <c r="G555" s="4" t="s">
        <v>993</v>
      </c>
      <c r="H555" s="6">
        <v>5.0700000000000002E-2</v>
      </c>
      <c r="I555" s="8">
        <v>150</v>
      </c>
      <c r="J555" s="8">
        <v>10</v>
      </c>
      <c r="K555" s="8">
        <v>150</v>
      </c>
      <c r="L555" s="8">
        <f t="shared" si="27"/>
        <v>225000</v>
      </c>
      <c r="M555" s="15">
        <v>7897801303910</v>
      </c>
      <c r="N555" s="6" t="s">
        <v>20</v>
      </c>
      <c r="O555" s="6" t="s">
        <v>20</v>
      </c>
      <c r="P555" s="6" t="s">
        <v>20</v>
      </c>
      <c r="Q555" s="6">
        <v>0.11</v>
      </c>
      <c r="R555" s="6">
        <v>0.15</v>
      </c>
      <c r="S555" s="6">
        <v>0.15</v>
      </c>
      <c r="T555" s="8">
        <v>12</v>
      </c>
      <c r="U555" s="5" t="s">
        <v>994</v>
      </c>
      <c r="V555" s="89">
        <v>0</v>
      </c>
      <c r="W555" s="15">
        <v>17897801303917</v>
      </c>
      <c r="X555" s="6">
        <v>0.45</v>
      </c>
      <c r="Y555" s="6">
        <v>0.15</v>
      </c>
      <c r="Z555" s="6">
        <v>0.75</v>
      </c>
      <c r="AA555" s="6">
        <f t="shared" ref="AA555:AA565" si="28">Y555*X555*Z555</f>
        <v>5.0625000000000003E-2</v>
      </c>
      <c r="AB555" s="8">
        <v>240</v>
      </c>
      <c r="AC555" s="15">
        <v>27897801303914</v>
      </c>
      <c r="AD555" s="4" t="s">
        <v>992</v>
      </c>
    </row>
    <row r="556" spans="2:30" x14ac:dyDescent="0.35">
      <c r="B556" s="14">
        <v>943</v>
      </c>
      <c r="C556" s="4" t="s">
        <v>561</v>
      </c>
      <c r="D556" s="4" t="s">
        <v>2394</v>
      </c>
      <c r="E556" s="4" t="s">
        <v>2913</v>
      </c>
      <c r="F556" s="4" t="s">
        <v>85</v>
      </c>
      <c r="G556" s="4" t="s">
        <v>993</v>
      </c>
      <c r="H556" s="6">
        <v>6.3700000000000007E-2</v>
      </c>
      <c r="I556" s="8">
        <v>150</v>
      </c>
      <c r="J556" s="8">
        <v>10</v>
      </c>
      <c r="K556" s="8">
        <v>150</v>
      </c>
      <c r="L556" s="8">
        <f t="shared" si="27"/>
        <v>225000</v>
      </c>
      <c r="M556" s="15">
        <v>7897801303927</v>
      </c>
      <c r="N556" s="6" t="s">
        <v>20</v>
      </c>
      <c r="O556" s="6" t="s">
        <v>20</v>
      </c>
      <c r="P556" s="6" t="s">
        <v>20</v>
      </c>
      <c r="Q556" s="6">
        <v>0.25</v>
      </c>
      <c r="R556" s="6">
        <v>0.06</v>
      </c>
      <c r="S556" s="6">
        <v>0.36</v>
      </c>
      <c r="T556" s="8">
        <v>12</v>
      </c>
      <c r="U556" s="5" t="s">
        <v>994</v>
      </c>
      <c r="V556" s="89">
        <v>0</v>
      </c>
      <c r="W556" s="15">
        <v>17897801303924</v>
      </c>
      <c r="X556" s="6">
        <v>0.37</v>
      </c>
      <c r="Y556" s="6">
        <v>0.42</v>
      </c>
      <c r="Z556" s="6">
        <v>0.54</v>
      </c>
      <c r="AA556" s="6">
        <f t="shared" si="28"/>
        <v>8.3915999999999991E-2</v>
      </c>
      <c r="AB556" s="8">
        <v>0</v>
      </c>
      <c r="AC556" s="15">
        <v>27897801303921</v>
      </c>
      <c r="AD556" s="4" t="s">
        <v>992</v>
      </c>
    </row>
    <row r="557" spans="2:30" x14ac:dyDescent="0.35">
      <c r="B557" s="14">
        <v>944</v>
      </c>
      <c r="C557" s="4" t="s">
        <v>562</v>
      </c>
      <c r="D557" s="4" t="s">
        <v>2394</v>
      </c>
      <c r="E557" s="4" t="s">
        <v>2913</v>
      </c>
      <c r="F557" s="4" t="s">
        <v>85</v>
      </c>
      <c r="G557" s="4" t="s">
        <v>993</v>
      </c>
      <c r="H557" s="6">
        <v>4.0599999999999997E-2</v>
      </c>
      <c r="I557" s="8">
        <v>100</v>
      </c>
      <c r="J557" s="8">
        <v>10</v>
      </c>
      <c r="K557" s="8">
        <v>100</v>
      </c>
      <c r="L557" s="8">
        <f t="shared" si="27"/>
        <v>100000</v>
      </c>
      <c r="M557" s="15">
        <v>7897801307246</v>
      </c>
      <c r="N557" s="6" t="s">
        <v>20</v>
      </c>
      <c r="O557" s="6" t="s">
        <v>20</v>
      </c>
      <c r="P557" s="6" t="s">
        <v>20</v>
      </c>
      <c r="Q557" s="6">
        <v>0.21</v>
      </c>
      <c r="R557" s="6">
        <v>0.05</v>
      </c>
      <c r="S557" s="6">
        <v>0.32</v>
      </c>
      <c r="T557" s="8">
        <v>12</v>
      </c>
      <c r="U557" s="5" t="s">
        <v>994</v>
      </c>
      <c r="V557" s="89">
        <v>0</v>
      </c>
      <c r="W557" s="15">
        <v>17897801307243</v>
      </c>
      <c r="X557" s="6">
        <v>0.42</v>
      </c>
      <c r="Y557" s="6">
        <v>0.24</v>
      </c>
      <c r="Z557" s="6">
        <v>0.63</v>
      </c>
      <c r="AA557" s="6">
        <f t="shared" si="28"/>
        <v>6.3503999999999991E-2</v>
      </c>
      <c r="AB557" s="8">
        <v>216</v>
      </c>
      <c r="AC557" s="15">
        <v>27897801307240</v>
      </c>
      <c r="AD557" s="4" t="s">
        <v>992</v>
      </c>
    </row>
    <row r="558" spans="2:30" x14ac:dyDescent="0.35">
      <c r="B558" s="14">
        <v>946</v>
      </c>
      <c r="C558" s="4" t="s">
        <v>563</v>
      </c>
      <c r="D558" s="4" t="s">
        <v>2394</v>
      </c>
      <c r="E558" s="4" t="s">
        <v>2913</v>
      </c>
      <c r="F558" s="4" t="s">
        <v>85</v>
      </c>
      <c r="G558" s="4" t="s">
        <v>993</v>
      </c>
      <c r="H558" s="6">
        <v>6.4899999999999999E-2</v>
      </c>
      <c r="I558" s="8">
        <v>100</v>
      </c>
      <c r="J558" s="8">
        <v>10</v>
      </c>
      <c r="K558" s="8">
        <v>100</v>
      </c>
      <c r="L558" s="8">
        <f t="shared" si="27"/>
        <v>100000</v>
      </c>
      <c r="M558" s="15">
        <v>7897801306645</v>
      </c>
      <c r="N558" s="6" t="s">
        <v>20</v>
      </c>
      <c r="O558" s="6" t="s">
        <v>20</v>
      </c>
      <c r="P558" s="6" t="s">
        <v>20</v>
      </c>
      <c r="Q558" s="6">
        <v>0.23</v>
      </c>
      <c r="R558" s="6">
        <v>6.5000000000000002E-2</v>
      </c>
      <c r="S558" s="6">
        <v>0.23</v>
      </c>
      <c r="T558" s="8">
        <v>12</v>
      </c>
      <c r="U558" s="5" t="s">
        <v>994</v>
      </c>
      <c r="V558" s="89">
        <v>0</v>
      </c>
      <c r="W558" s="15">
        <v>17897801306642</v>
      </c>
      <c r="X558" s="6">
        <v>0.4</v>
      </c>
      <c r="Y558" s="6">
        <v>0.36499999999999999</v>
      </c>
      <c r="Z558" s="6">
        <v>0.495</v>
      </c>
      <c r="AA558" s="6">
        <f t="shared" si="28"/>
        <v>7.2270000000000001E-2</v>
      </c>
      <c r="AB558" s="8">
        <v>0</v>
      </c>
      <c r="AC558" s="15">
        <v>27897801306649</v>
      </c>
      <c r="AD558" s="4" t="s">
        <v>992</v>
      </c>
    </row>
    <row r="559" spans="2:30" x14ac:dyDescent="0.35">
      <c r="B559" s="14">
        <v>947</v>
      </c>
      <c r="C559" s="4" t="s">
        <v>564</v>
      </c>
      <c r="D559" s="4" t="s">
        <v>2394</v>
      </c>
      <c r="E559" s="4" t="s">
        <v>2913</v>
      </c>
      <c r="F559" s="4" t="s">
        <v>85</v>
      </c>
      <c r="G559" s="4" t="s">
        <v>993</v>
      </c>
      <c r="H559" s="6">
        <v>6.3799999999999996E-2</v>
      </c>
      <c r="I559" s="8">
        <v>150</v>
      </c>
      <c r="J559" s="8">
        <v>10</v>
      </c>
      <c r="K559" s="8">
        <v>150</v>
      </c>
      <c r="L559" s="8">
        <f t="shared" si="27"/>
        <v>225000</v>
      </c>
      <c r="M559" s="15">
        <v>7897801303941</v>
      </c>
      <c r="N559" s="6" t="s">
        <v>20</v>
      </c>
      <c r="O559" s="6" t="s">
        <v>20</v>
      </c>
      <c r="P559" s="6" t="s">
        <v>20</v>
      </c>
      <c r="Q559" s="6">
        <v>0.16</v>
      </c>
      <c r="R559" s="6">
        <v>0.1</v>
      </c>
      <c r="S559" s="6">
        <v>0.33</v>
      </c>
      <c r="T559" s="8">
        <v>12</v>
      </c>
      <c r="U559" s="5" t="s">
        <v>994</v>
      </c>
      <c r="V559" s="89">
        <v>0</v>
      </c>
      <c r="W559" s="15">
        <v>17897801303948</v>
      </c>
      <c r="X559" s="6">
        <v>0.48</v>
      </c>
      <c r="Y559" s="6">
        <v>0.17499999999999999</v>
      </c>
      <c r="Z559" s="6">
        <v>0.66</v>
      </c>
      <c r="AA559" s="6">
        <f t="shared" si="28"/>
        <v>5.5439999999999996E-2</v>
      </c>
      <c r="AB559" s="8">
        <v>120</v>
      </c>
      <c r="AC559" s="15">
        <v>27897801303945</v>
      </c>
      <c r="AD559" s="4" t="s">
        <v>992</v>
      </c>
    </row>
    <row r="560" spans="2:30" x14ac:dyDescent="0.35">
      <c r="B560" s="14">
        <v>949</v>
      </c>
      <c r="C560" s="4" t="s">
        <v>565</v>
      </c>
      <c r="D560" s="4" t="s">
        <v>2394</v>
      </c>
      <c r="E560" s="4" t="s">
        <v>2913</v>
      </c>
      <c r="F560" s="4" t="s">
        <v>85</v>
      </c>
      <c r="G560" s="4" t="s">
        <v>993</v>
      </c>
      <c r="H560" s="6">
        <v>5.11E-2</v>
      </c>
      <c r="I560" s="8">
        <v>150</v>
      </c>
      <c r="J560" s="8">
        <v>10</v>
      </c>
      <c r="K560" s="8">
        <v>150</v>
      </c>
      <c r="L560" s="8">
        <f t="shared" si="27"/>
        <v>225000</v>
      </c>
      <c r="M560" s="15">
        <v>7897801306591</v>
      </c>
      <c r="N560" s="6" t="s">
        <v>20</v>
      </c>
      <c r="O560" s="6" t="s">
        <v>20</v>
      </c>
      <c r="P560" s="6" t="s">
        <v>20</v>
      </c>
      <c r="Q560" s="6">
        <v>0.17</v>
      </c>
      <c r="R560" s="6">
        <v>0.11</v>
      </c>
      <c r="S560" s="6">
        <v>0.34</v>
      </c>
      <c r="T560" s="8">
        <v>12</v>
      </c>
      <c r="U560" s="5" t="s">
        <v>994</v>
      </c>
      <c r="V560" s="89">
        <v>0</v>
      </c>
      <c r="W560" s="15">
        <v>17897801306598</v>
      </c>
      <c r="X560" s="6">
        <v>0.42</v>
      </c>
      <c r="Y560" s="6">
        <v>0.37</v>
      </c>
      <c r="Z560" s="6">
        <v>0.5</v>
      </c>
      <c r="AA560" s="6">
        <f t="shared" si="28"/>
        <v>7.7699999999999991E-2</v>
      </c>
      <c r="AB560" s="8">
        <v>0</v>
      </c>
      <c r="AC560" s="15">
        <v>27897801306595</v>
      </c>
      <c r="AD560" s="4" t="s">
        <v>992</v>
      </c>
    </row>
    <row r="561" spans="2:30" x14ac:dyDescent="0.35">
      <c r="B561" s="14">
        <v>950</v>
      </c>
      <c r="C561" s="4" t="s">
        <v>566</v>
      </c>
      <c r="D561" s="4" t="s">
        <v>2394</v>
      </c>
      <c r="E561" s="4" t="s">
        <v>2913</v>
      </c>
      <c r="F561" s="4" t="s">
        <v>85</v>
      </c>
      <c r="G561" s="4" t="s">
        <v>993</v>
      </c>
      <c r="H561" s="6">
        <v>3.2800000000000003E-2</v>
      </c>
      <c r="I561" s="8">
        <v>100</v>
      </c>
      <c r="J561" s="8">
        <v>10</v>
      </c>
      <c r="K561" s="8">
        <v>100</v>
      </c>
      <c r="L561" s="8">
        <f t="shared" si="27"/>
        <v>100000</v>
      </c>
      <c r="M561" s="15">
        <v>7897801307116</v>
      </c>
      <c r="N561" s="6" t="s">
        <v>20</v>
      </c>
      <c r="O561" s="6" t="s">
        <v>20</v>
      </c>
      <c r="P561" s="6" t="s">
        <v>20</v>
      </c>
      <c r="Q561" s="6">
        <v>0.21</v>
      </c>
      <c r="R561" s="6">
        <v>0.05</v>
      </c>
      <c r="S561" s="6">
        <v>0.32500000000000001</v>
      </c>
      <c r="T561" s="8">
        <v>12</v>
      </c>
      <c r="U561" s="5" t="s">
        <v>994</v>
      </c>
      <c r="V561" s="89">
        <v>0</v>
      </c>
      <c r="W561" s="15">
        <v>17897801307113</v>
      </c>
      <c r="X561" s="6">
        <v>0.42</v>
      </c>
      <c r="Y561" s="6">
        <v>0.2</v>
      </c>
      <c r="Z561" s="6">
        <v>0.65</v>
      </c>
      <c r="AA561" s="6">
        <f t="shared" si="28"/>
        <v>5.4600000000000003E-2</v>
      </c>
      <c r="AB561" s="8">
        <v>216</v>
      </c>
      <c r="AC561" s="15">
        <v>27897801307110</v>
      </c>
      <c r="AD561" s="4" t="s">
        <v>992</v>
      </c>
    </row>
    <row r="562" spans="2:30" x14ac:dyDescent="0.35">
      <c r="B562" s="14">
        <v>952</v>
      </c>
      <c r="C562" s="4" t="s">
        <v>567</v>
      </c>
      <c r="D562" s="4" t="s">
        <v>2394</v>
      </c>
      <c r="E562" s="4" t="s">
        <v>2913</v>
      </c>
      <c r="F562" s="4" t="s">
        <v>85</v>
      </c>
      <c r="G562" s="4" t="s">
        <v>993</v>
      </c>
      <c r="H562" s="6">
        <v>4.53E-2</v>
      </c>
      <c r="I562" s="8">
        <v>100</v>
      </c>
      <c r="J562" s="8">
        <v>10</v>
      </c>
      <c r="K562" s="8">
        <v>100</v>
      </c>
      <c r="L562" s="8">
        <f t="shared" si="27"/>
        <v>100000</v>
      </c>
      <c r="M562" s="15">
        <v>7897801306652</v>
      </c>
      <c r="N562" s="6" t="s">
        <v>20</v>
      </c>
      <c r="O562" s="6" t="s">
        <v>20</v>
      </c>
      <c r="P562" s="6" t="s">
        <v>20</v>
      </c>
      <c r="Q562" s="6">
        <v>0.11</v>
      </c>
      <c r="R562" s="6">
        <v>2.5000000000000001E-2</v>
      </c>
      <c r="S562" s="6">
        <v>0.11</v>
      </c>
      <c r="T562" s="8">
        <v>12</v>
      </c>
      <c r="U562" s="5" t="s">
        <v>994</v>
      </c>
      <c r="V562" s="89">
        <v>0</v>
      </c>
      <c r="W562" s="15">
        <v>17897801306659</v>
      </c>
      <c r="X562" s="6">
        <v>0.4</v>
      </c>
      <c r="Y562" s="6">
        <v>0.38</v>
      </c>
      <c r="Z562" s="6">
        <v>0.5</v>
      </c>
      <c r="AA562" s="6">
        <f t="shared" si="28"/>
        <v>7.6000000000000012E-2</v>
      </c>
      <c r="AB562" s="8">
        <v>0</v>
      </c>
      <c r="AC562" s="15">
        <v>27897801306656</v>
      </c>
      <c r="AD562" s="4" t="s">
        <v>992</v>
      </c>
    </row>
    <row r="563" spans="2:30" x14ac:dyDescent="0.35">
      <c r="B563" s="14">
        <v>953</v>
      </c>
      <c r="C563" s="4" t="s">
        <v>568</v>
      </c>
      <c r="D563" s="4" t="s">
        <v>2394</v>
      </c>
      <c r="E563" s="4" t="s">
        <v>2913</v>
      </c>
      <c r="F563" s="4" t="s">
        <v>85</v>
      </c>
      <c r="G563" s="4" t="s">
        <v>993</v>
      </c>
      <c r="H563" s="6">
        <v>4.53E-2</v>
      </c>
      <c r="I563" s="8">
        <v>150</v>
      </c>
      <c r="J563" s="8">
        <v>10</v>
      </c>
      <c r="K563" s="8">
        <v>150</v>
      </c>
      <c r="L563" s="8">
        <f t="shared" si="27"/>
        <v>225000</v>
      </c>
      <c r="M563" s="15">
        <v>7897801303934</v>
      </c>
      <c r="N563" s="6" t="s">
        <v>20</v>
      </c>
      <c r="O563" s="6" t="s">
        <v>20</v>
      </c>
      <c r="P563" s="6" t="s">
        <v>20</v>
      </c>
      <c r="Q563" s="6">
        <v>0.2</v>
      </c>
      <c r="R563" s="6">
        <v>0.15</v>
      </c>
      <c r="S563" s="6">
        <v>0.32</v>
      </c>
      <c r="T563" s="8">
        <v>12</v>
      </c>
      <c r="U563" s="5" t="s">
        <v>994</v>
      </c>
      <c r="V563" s="89">
        <v>0</v>
      </c>
      <c r="W563" s="15">
        <v>17897801303931</v>
      </c>
      <c r="X563" s="6">
        <v>0.5</v>
      </c>
      <c r="Y563" s="6">
        <v>0.26</v>
      </c>
      <c r="Z563" s="6">
        <v>0.72</v>
      </c>
      <c r="AA563" s="6">
        <f t="shared" si="28"/>
        <v>9.3600000000000003E-2</v>
      </c>
      <c r="AB563" s="8">
        <v>120</v>
      </c>
      <c r="AC563" s="15">
        <v>27897801303938</v>
      </c>
      <c r="AD563" s="4" t="s">
        <v>992</v>
      </c>
    </row>
    <row r="564" spans="2:30" x14ac:dyDescent="0.35">
      <c r="B564" s="14">
        <v>955</v>
      </c>
      <c r="C564" s="4" t="s">
        <v>569</v>
      </c>
      <c r="D564" s="4" t="s">
        <v>2394</v>
      </c>
      <c r="E564" s="4" t="s">
        <v>2913</v>
      </c>
      <c r="F564" s="4" t="s">
        <v>85</v>
      </c>
      <c r="G564" s="4" t="s">
        <v>993</v>
      </c>
      <c r="H564" s="6">
        <v>3.4099999999999998E-2</v>
      </c>
      <c r="I564" s="8">
        <v>150</v>
      </c>
      <c r="J564" s="8">
        <v>10</v>
      </c>
      <c r="K564" s="8">
        <v>150</v>
      </c>
      <c r="L564" s="8">
        <f t="shared" si="27"/>
        <v>225000</v>
      </c>
      <c r="M564" s="15">
        <v>7897801306607</v>
      </c>
      <c r="N564" s="6" t="s">
        <v>20</v>
      </c>
      <c r="O564" s="6" t="s">
        <v>20</v>
      </c>
      <c r="P564" s="6" t="s">
        <v>20</v>
      </c>
      <c r="Q564" s="6">
        <v>0.2</v>
      </c>
      <c r="R564" s="6">
        <v>0.12</v>
      </c>
      <c r="S564" s="6">
        <v>0.35</v>
      </c>
      <c r="T564" s="8">
        <v>12</v>
      </c>
      <c r="U564" s="5" t="s">
        <v>994</v>
      </c>
      <c r="V564" s="89">
        <v>0</v>
      </c>
      <c r="W564" s="15">
        <v>17897801306604</v>
      </c>
      <c r="X564" s="6">
        <v>0.36</v>
      </c>
      <c r="Y564" s="6">
        <v>0.4</v>
      </c>
      <c r="Z564" s="6">
        <v>0.54</v>
      </c>
      <c r="AA564" s="6">
        <f t="shared" si="28"/>
        <v>7.7759999999999996E-2</v>
      </c>
      <c r="AB564" s="8">
        <v>0</v>
      </c>
      <c r="AC564" s="15">
        <v>27897801306601</v>
      </c>
      <c r="AD564" s="4" t="s">
        <v>992</v>
      </c>
    </row>
    <row r="565" spans="2:30" x14ac:dyDescent="0.35">
      <c r="B565" s="14">
        <v>956</v>
      </c>
      <c r="C565" s="4" t="s">
        <v>570</v>
      </c>
      <c r="D565" s="4" t="s">
        <v>2394</v>
      </c>
      <c r="E565" s="4" t="s">
        <v>2913</v>
      </c>
      <c r="F565" s="4" t="s">
        <v>85</v>
      </c>
      <c r="G565" s="4" t="s">
        <v>993</v>
      </c>
      <c r="H565" s="6">
        <v>0.1105</v>
      </c>
      <c r="I565" s="8">
        <v>250</v>
      </c>
      <c r="J565" s="8">
        <v>20</v>
      </c>
      <c r="K565" s="8">
        <v>250</v>
      </c>
      <c r="L565" s="8">
        <f t="shared" si="27"/>
        <v>1250000</v>
      </c>
      <c r="M565" s="15">
        <v>7897801308465</v>
      </c>
      <c r="N565" s="6" t="s">
        <v>20</v>
      </c>
      <c r="O565" s="6" t="s">
        <v>20</v>
      </c>
      <c r="P565" s="6" t="s">
        <v>20</v>
      </c>
      <c r="Q565" s="6">
        <v>0.28999999999999998</v>
      </c>
      <c r="R565" s="6">
        <v>0.1</v>
      </c>
      <c r="S565" s="6">
        <v>0.32</v>
      </c>
      <c r="T565" s="8">
        <v>4</v>
      </c>
      <c r="U565" s="5" t="s">
        <v>994</v>
      </c>
      <c r="V565" s="89">
        <v>0</v>
      </c>
      <c r="W565" s="15">
        <v>17897801308462</v>
      </c>
      <c r="X565" s="6">
        <v>0.4</v>
      </c>
      <c r="Y565" s="6">
        <v>0.26</v>
      </c>
      <c r="Z565" s="6">
        <v>0.68</v>
      </c>
      <c r="AA565" s="6">
        <f t="shared" si="28"/>
        <v>7.0720000000000005E-2</v>
      </c>
      <c r="AB565" s="8">
        <v>48</v>
      </c>
      <c r="AC565" s="15">
        <v>27897801308469</v>
      </c>
      <c r="AD565" s="4" t="s">
        <v>992</v>
      </c>
    </row>
    <row r="566" spans="2:30" x14ac:dyDescent="0.35">
      <c r="B566" s="14">
        <v>957</v>
      </c>
      <c r="C566" s="4" t="s">
        <v>571</v>
      </c>
      <c r="D566" s="4" t="s">
        <v>2394</v>
      </c>
      <c r="E566" s="4" t="s">
        <v>2913</v>
      </c>
      <c r="F566" s="4" t="s">
        <v>85</v>
      </c>
      <c r="G566" s="4" t="s">
        <v>993</v>
      </c>
      <c r="H566" s="6">
        <v>0.19550000000000001</v>
      </c>
      <c r="I566" s="8">
        <v>250</v>
      </c>
      <c r="J566" s="8">
        <v>20</v>
      </c>
      <c r="K566" s="8">
        <v>250</v>
      </c>
      <c r="L566" s="8">
        <f t="shared" si="27"/>
        <v>1250000</v>
      </c>
      <c r="M566" s="15">
        <v>7897801308472</v>
      </c>
      <c r="N566" s="6" t="s">
        <v>20</v>
      </c>
      <c r="O566" s="6" t="s">
        <v>20</v>
      </c>
      <c r="P566" s="6" t="s">
        <v>20</v>
      </c>
      <c r="Q566" s="6">
        <v>0.28000000000000003</v>
      </c>
      <c r="R566" s="6">
        <v>0.09</v>
      </c>
      <c r="S566" s="6">
        <v>0.28000000000000003</v>
      </c>
      <c r="T566" s="8">
        <v>4</v>
      </c>
      <c r="U566" s="5" t="s">
        <v>994</v>
      </c>
      <c r="V566" s="89">
        <v>0</v>
      </c>
      <c r="W566" s="15">
        <v>17897801308479</v>
      </c>
      <c r="X566" s="6" t="s">
        <v>20</v>
      </c>
      <c r="Y566" s="6" t="s">
        <v>20</v>
      </c>
      <c r="Z566" s="6" t="s">
        <v>20</v>
      </c>
      <c r="AA566" s="6"/>
      <c r="AB566" s="8">
        <v>32</v>
      </c>
      <c r="AC566" s="15">
        <v>27897801308476</v>
      </c>
      <c r="AD566" s="4" t="s">
        <v>992</v>
      </c>
    </row>
    <row r="567" spans="2:30" x14ac:dyDescent="0.35">
      <c r="B567" s="14">
        <v>958</v>
      </c>
      <c r="C567" s="4" t="s">
        <v>572</v>
      </c>
      <c r="D567" s="4" t="s">
        <v>2394</v>
      </c>
      <c r="E567" s="4" t="s">
        <v>2913</v>
      </c>
      <c r="F567" s="4" t="s">
        <v>85</v>
      </c>
      <c r="G567" s="4" t="s">
        <v>993</v>
      </c>
      <c r="H567" s="6">
        <v>0.27010000000000001</v>
      </c>
      <c r="I567" s="8">
        <v>250</v>
      </c>
      <c r="J567" s="8">
        <v>20</v>
      </c>
      <c r="K567" s="8">
        <v>250</v>
      </c>
      <c r="L567" s="8">
        <f t="shared" si="27"/>
        <v>1250000</v>
      </c>
      <c r="M567" s="15">
        <v>7897801308458</v>
      </c>
      <c r="N567" s="6" t="s">
        <v>20</v>
      </c>
      <c r="O567" s="6" t="s">
        <v>20</v>
      </c>
      <c r="P567" s="6" t="s">
        <v>20</v>
      </c>
      <c r="Q567" s="6">
        <v>0.25</v>
      </c>
      <c r="R567" s="6">
        <v>0.06</v>
      </c>
      <c r="S567" s="6">
        <v>0.25</v>
      </c>
      <c r="T567" s="8">
        <v>4</v>
      </c>
      <c r="U567" s="5" t="s">
        <v>994</v>
      </c>
      <c r="V567" s="89">
        <v>0</v>
      </c>
      <c r="W567" s="15">
        <v>17897801308455</v>
      </c>
      <c r="X567" s="6">
        <v>0.55000000000000004</v>
      </c>
      <c r="Y567" s="6">
        <v>0.21</v>
      </c>
      <c r="Z567" s="6">
        <v>0.78</v>
      </c>
      <c r="AA567" s="6">
        <f t="shared" ref="AA567:AA572" si="29">Y567*X567*Z567</f>
        <v>9.0090000000000003E-2</v>
      </c>
      <c r="AB567" s="8">
        <v>60</v>
      </c>
      <c r="AC567" s="15">
        <v>27897801308452</v>
      </c>
      <c r="AD567" s="4" t="s">
        <v>992</v>
      </c>
    </row>
    <row r="568" spans="2:30" x14ac:dyDescent="0.35">
      <c r="B568" s="14">
        <v>960</v>
      </c>
      <c r="C568" s="4" t="s">
        <v>573</v>
      </c>
      <c r="D568" s="4" t="s">
        <v>2413</v>
      </c>
      <c r="E568" s="4" t="s">
        <v>2913</v>
      </c>
      <c r="F568" s="4" t="s">
        <v>85</v>
      </c>
      <c r="G568" s="4" t="s">
        <v>993</v>
      </c>
      <c r="H568" s="6">
        <v>6.4000000000000001E-2</v>
      </c>
      <c r="I568" s="8">
        <v>87</v>
      </c>
      <c r="J568" s="8">
        <v>40</v>
      </c>
      <c r="K568" s="8">
        <v>40</v>
      </c>
      <c r="L568" s="8">
        <f t="shared" si="27"/>
        <v>139200</v>
      </c>
      <c r="M568" s="15">
        <v>7897801307918</v>
      </c>
      <c r="N568" s="6" t="s">
        <v>20</v>
      </c>
      <c r="O568" s="6" t="s">
        <v>20</v>
      </c>
      <c r="P568" s="6" t="s">
        <v>20</v>
      </c>
      <c r="Q568" s="6">
        <v>0.17</v>
      </c>
      <c r="R568" s="6">
        <v>0.06</v>
      </c>
      <c r="S568" s="6">
        <v>0.21</v>
      </c>
      <c r="T568" s="8">
        <v>6</v>
      </c>
      <c r="U568" s="5" t="s">
        <v>1003</v>
      </c>
      <c r="V568" s="89">
        <v>0</v>
      </c>
      <c r="W568" s="15">
        <v>17897801307915</v>
      </c>
      <c r="X568" s="6">
        <v>0.49</v>
      </c>
      <c r="Y568" s="6">
        <v>0.24</v>
      </c>
      <c r="Z568" s="6">
        <v>0.68</v>
      </c>
      <c r="AA568" s="6">
        <f t="shared" si="29"/>
        <v>7.9967999999999997E-2</v>
      </c>
      <c r="AB568" s="8">
        <v>300</v>
      </c>
      <c r="AC568" s="15">
        <v>27897801307912</v>
      </c>
      <c r="AD568" s="4" t="s">
        <v>992</v>
      </c>
    </row>
    <row r="569" spans="2:30" x14ac:dyDescent="0.35">
      <c r="B569" s="14">
        <v>961</v>
      </c>
      <c r="C569" s="4" t="s">
        <v>574</v>
      </c>
      <c r="D569" s="4" t="s">
        <v>2413</v>
      </c>
      <c r="E569" s="4" t="s">
        <v>2913</v>
      </c>
      <c r="F569" s="4" t="s">
        <v>85</v>
      </c>
      <c r="G569" s="4" t="s">
        <v>993</v>
      </c>
      <c r="H569" s="6">
        <v>9.6000000000000002E-2</v>
      </c>
      <c r="I569" s="8">
        <v>110</v>
      </c>
      <c r="J569" s="8">
        <v>47</v>
      </c>
      <c r="K569" s="8">
        <v>47</v>
      </c>
      <c r="L569" s="8">
        <f t="shared" si="27"/>
        <v>242990</v>
      </c>
      <c r="M569" s="15">
        <v>7897801307925</v>
      </c>
      <c r="N569" s="6" t="s">
        <v>20</v>
      </c>
      <c r="O569" s="6" t="s">
        <v>20</v>
      </c>
      <c r="P569" s="6" t="s">
        <v>20</v>
      </c>
      <c r="Q569" s="6">
        <v>0.15</v>
      </c>
      <c r="R569" s="6">
        <v>0.05</v>
      </c>
      <c r="S569" s="6">
        <v>0.25</v>
      </c>
      <c r="T569" s="8">
        <v>6</v>
      </c>
      <c r="U569" s="5" t="s">
        <v>1003</v>
      </c>
      <c r="V569" s="89">
        <v>0</v>
      </c>
      <c r="W569" s="15">
        <v>17897801307922</v>
      </c>
      <c r="X569" s="6">
        <v>0.45</v>
      </c>
      <c r="Y569" s="6">
        <v>0.23</v>
      </c>
      <c r="Z569" s="6">
        <v>0.7</v>
      </c>
      <c r="AA569" s="6">
        <f t="shared" si="29"/>
        <v>7.2450000000000001E-2</v>
      </c>
      <c r="AB569" s="8">
        <v>210</v>
      </c>
      <c r="AC569" s="15">
        <v>27897801307929</v>
      </c>
      <c r="AD569" s="4" t="s">
        <v>992</v>
      </c>
    </row>
    <row r="570" spans="2:30" x14ac:dyDescent="0.35">
      <c r="B570" s="14">
        <v>962</v>
      </c>
      <c r="C570" s="4" t="s">
        <v>575</v>
      </c>
      <c r="D570" s="4" t="s">
        <v>2413</v>
      </c>
      <c r="E570" s="4" t="s">
        <v>2913</v>
      </c>
      <c r="F570" s="4" t="s">
        <v>85</v>
      </c>
      <c r="G570" s="4" t="s">
        <v>993</v>
      </c>
      <c r="H570" s="6">
        <v>0.22</v>
      </c>
      <c r="I570" s="8">
        <v>123</v>
      </c>
      <c r="J570" s="8">
        <v>61</v>
      </c>
      <c r="K570" s="8">
        <v>61</v>
      </c>
      <c r="L570" s="8">
        <f t="shared" si="27"/>
        <v>457683</v>
      </c>
      <c r="M570" s="15">
        <v>7897801307932</v>
      </c>
      <c r="N570" s="6" t="s">
        <v>20</v>
      </c>
      <c r="O570" s="6" t="s">
        <v>20</v>
      </c>
      <c r="P570" s="6" t="s">
        <v>20</v>
      </c>
      <c r="Q570" s="6">
        <v>0.16</v>
      </c>
      <c r="R570" s="6">
        <v>0.1</v>
      </c>
      <c r="S570" s="6">
        <v>0.23</v>
      </c>
      <c r="T570" s="8">
        <v>3</v>
      </c>
      <c r="U570" s="5" t="s">
        <v>1003</v>
      </c>
      <c r="V570" s="89">
        <v>0</v>
      </c>
      <c r="W570" s="15">
        <v>17897801307939</v>
      </c>
      <c r="X570" s="6">
        <v>0.54</v>
      </c>
      <c r="Y570" s="6">
        <v>0.22</v>
      </c>
      <c r="Z570" s="6">
        <v>0.75</v>
      </c>
      <c r="AA570" s="6">
        <f t="shared" si="29"/>
        <v>8.9099999999999999E-2</v>
      </c>
      <c r="AB570" s="8">
        <v>96</v>
      </c>
      <c r="AC570" s="15">
        <v>27897801307936</v>
      </c>
      <c r="AD570" s="4" t="s">
        <v>992</v>
      </c>
    </row>
    <row r="571" spans="2:30" x14ac:dyDescent="0.35">
      <c r="B571" s="14">
        <v>963</v>
      </c>
      <c r="C571" s="4" t="s">
        <v>576</v>
      </c>
      <c r="D571" s="4" t="s">
        <v>2413</v>
      </c>
      <c r="E571" s="4" t="s">
        <v>2913</v>
      </c>
      <c r="F571" s="4" t="s">
        <v>85</v>
      </c>
      <c r="G571" s="4" t="s">
        <v>993</v>
      </c>
      <c r="H571" s="6">
        <v>0.35820000000000002</v>
      </c>
      <c r="I571" s="8">
        <v>138</v>
      </c>
      <c r="J571" s="8">
        <v>74</v>
      </c>
      <c r="K571" s="8">
        <v>74</v>
      </c>
      <c r="L571" s="8">
        <f t="shared" si="27"/>
        <v>755688</v>
      </c>
      <c r="M571" s="15">
        <v>7897801307949</v>
      </c>
      <c r="N571" s="6" t="s">
        <v>20</v>
      </c>
      <c r="O571" s="6" t="s">
        <v>20</v>
      </c>
      <c r="P571" s="6" t="s">
        <v>20</v>
      </c>
      <c r="Q571" s="6">
        <v>0.08</v>
      </c>
      <c r="R571" s="6">
        <v>0.09</v>
      </c>
      <c r="S571" s="6">
        <v>0.21</v>
      </c>
      <c r="T571" s="8">
        <v>2</v>
      </c>
      <c r="U571" s="5" t="s">
        <v>1003</v>
      </c>
      <c r="V571" s="89">
        <v>0</v>
      </c>
      <c r="W571" s="15">
        <v>17897801307946</v>
      </c>
      <c r="X571" s="6">
        <v>0.52</v>
      </c>
      <c r="Y571" s="6">
        <v>0.22</v>
      </c>
      <c r="Z571" s="6">
        <v>0.75</v>
      </c>
      <c r="AA571" s="6">
        <f t="shared" si="29"/>
        <v>8.5800000000000001E-2</v>
      </c>
      <c r="AB571" s="8">
        <v>60</v>
      </c>
      <c r="AC571" s="15">
        <v>27897801307943</v>
      </c>
      <c r="AD571" s="4" t="s">
        <v>992</v>
      </c>
    </row>
    <row r="572" spans="2:30" x14ac:dyDescent="0.35">
      <c r="B572" s="14">
        <v>964</v>
      </c>
      <c r="C572" s="4" t="s">
        <v>577</v>
      </c>
      <c r="D572" s="4" t="s">
        <v>2412</v>
      </c>
      <c r="E572" s="4" t="s">
        <v>2913</v>
      </c>
      <c r="F572" s="4" t="s">
        <v>85</v>
      </c>
      <c r="G572" s="4" t="s">
        <v>993</v>
      </c>
      <c r="H572" s="6">
        <v>0.70660000000000001</v>
      </c>
      <c r="I572" s="8">
        <v>246</v>
      </c>
      <c r="J572" s="8">
        <v>201</v>
      </c>
      <c r="K572" s="8">
        <v>246</v>
      </c>
      <c r="L572" s="8">
        <f t="shared" si="27"/>
        <v>12163716</v>
      </c>
      <c r="M572" s="15">
        <v>7897801311014</v>
      </c>
      <c r="N572" s="6" t="s">
        <v>20</v>
      </c>
      <c r="O572" s="6" t="s">
        <v>20</v>
      </c>
      <c r="P572" s="6" t="s">
        <v>20</v>
      </c>
      <c r="Q572" s="6">
        <v>0.5</v>
      </c>
      <c r="R572" s="6">
        <v>0.2</v>
      </c>
      <c r="S572" s="6">
        <v>0.75</v>
      </c>
      <c r="T572" s="8">
        <v>1</v>
      </c>
      <c r="U572" s="5" t="s">
        <v>991</v>
      </c>
      <c r="V572" s="89">
        <v>0</v>
      </c>
      <c r="W572" s="15">
        <v>17897801311011</v>
      </c>
      <c r="X572" s="6">
        <v>0.5</v>
      </c>
      <c r="Y572" s="6">
        <v>0.24</v>
      </c>
      <c r="Z572" s="6">
        <v>0.6</v>
      </c>
      <c r="AA572" s="6">
        <f t="shared" si="29"/>
        <v>7.1999999999999995E-2</v>
      </c>
      <c r="AB572" s="8">
        <v>6</v>
      </c>
      <c r="AC572" s="15">
        <v>27897801311018</v>
      </c>
      <c r="AD572" s="4" t="s">
        <v>992</v>
      </c>
    </row>
    <row r="573" spans="2:30" x14ac:dyDescent="0.35">
      <c r="B573" s="14">
        <v>965</v>
      </c>
      <c r="C573" s="4" t="s">
        <v>578</v>
      </c>
      <c r="D573" s="4" t="s">
        <v>2412</v>
      </c>
      <c r="E573" s="4" t="s">
        <v>2913</v>
      </c>
      <c r="F573" s="4" t="s">
        <v>85</v>
      </c>
      <c r="G573" s="4" t="s">
        <v>993</v>
      </c>
      <c r="H573" s="6">
        <v>0.28249999999999997</v>
      </c>
      <c r="I573" s="8">
        <v>150</v>
      </c>
      <c r="J573" s="8">
        <v>150</v>
      </c>
      <c r="K573" s="8">
        <v>150</v>
      </c>
      <c r="L573" s="8">
        <f t="shared" si="27"/>
        <v>3375000</v>
      </c>
      <c r="M573" s="15">
        <v>7897801308076</v>
      </c>
      <c r="N573" s="6" t="s">
        <v>20</v>
      </c>
      <c r="O573" s="6" t="s">
        <v>20</v>
      </c>
      <c r="P573" s="6" t="s">
        <v>20</v>
      </c>
      <c r="Q573" s="6">
        <v>0.31</v>
      </c>
      <c r="R573" s="6">
        <v>0.1502</v>
      </c>
      <c r="S573" s="6">
        <v>0.77</v>
      </c>
      <c r="T573" s="8">
        <v>10</v>
      </c>
      <c r="U573" s="5" t="s">
        <v>991</v>
      </c>
      <c r="V573" s="89">
        <v>0</v>
      </c>
      <c r="W573" s="15">
        <v>17897801308073</v>
      </c>
      <c r="X573" s="6" t="s">
        <v>20</v>
      </c>
      <c r="Y573" s="6" t="s">
        <v>20</v>
      </c>
      <c r="Z573" s="6" t="s">
        <v>20</v>
      </c>
      <c r="AA573" s="6"/>
      <c r="AB573" s="8">
        <v>0</v>
      </c>
      <c r="AC573" s="15">
        <v>27897801308070</v>
      </c>
      <c r="AD573" s="4" t="s">
        <v>992</v>
      </c>
    </row>
    <row r="574" spans="2:30" x14ac:dyDescent="0.35">
      <c r="B574" s="14">
        <v>966</v>
      </c>
      <c r="C574" s="4" t="s">
        <v>579</v>
      </c>
      <c r="D574" s="4" t="s">
        <v>2412</v>
      </c>
      <c r="E574" s="4" t="s">
        <v>2913</v>
      </c>
      <c r="F574" s="4" t="s">
        <v>85</v>
      </c>
      <c r="G574" s="4" t="s">
        <v>993</v>
      </c>
      <c r="H574" s="6">
        <v>0.37659999999999999</v>
      </c>
      <c r="I574" s="8">
        <v>150</v>
      </c>
      <c r="J574" s="8">
        <v>200</v>
      </c>
      <c r="K574" s="8">
        <v>150</v>
      </c>
      <c r="L574" s="8">
        <f t="shared" si="27"/>
        <v>4500000</v>
      </c>
      <c r="M574" s="15">
        <v>7897801308083</v>
      </c>
      <c r="N574" s="6" t="s">
        <v>20</v>
      </c>
      <c r="O574" s="6" t="s">
        <v>20</v>
      </c>
      <c r="P574" s="6" t="s">
        <v>20</v>
      </c>
      <c r="Q574" s="6">
        <v>0.28000000000000003</v>
      </c>
      <c r="R574" s="6">
        <v>0.2</v>
      </c>
      <c r="S574" s="6">
        <v>0.86499999999999999</v>
      </c>
      <c r="T574" s="8">
        <v>10</v>
      </c>
      <c r="U574" s="5" t="s">
        <v>991</v>
      </c>
      <c r="V574" s="89">
        <v>0</v>
      </c>
      <c r="W574" s="15">
        <v>17897801308080</v>
      </c>
      <c r="X574" s="6" t="s">
        <v>20</v>
      </c>
      <c r="Y574" s="6" t="s">
        <v>20</v>
      </c>
      <c r="Z574" s="6" t="s">
        <v>20</v>
      </c>
      <c r="AA574" s="6"/>
      <c r="AB574" s="8">
        <v>0</v>
      </c>
      <c r="AC574" s="15">
        <v>27897801308087</v>
      </c>
      <c r="AD574" s="4" t="s">
        <v>992</v>
      </c>
    </row>
    <row r="575" spans="2:30" x14ac:dyDescent="0.35">
      <c r="B575" s="14">
        <v>967</v>
      </c>
      <c r="C575" s="4" t="s">
        <v>580</v>
      </c>
      <c r="D575" s="4" t="s">
        <v>2394</v>
      </c>
      <c r="E575" s="4" t="s">
        <v>2913</v>
      </c>
      <c r="F575" s="4" t="s">
        <v>85</v>
      </c>
      <c r="G575" s="4" t="s">
        <v>995</v>
      </c>
      <c r="H575" s="6">
        <v>0.47649999999999998</v>
      </c>
      <c r="I575" s="8">
        <v>213.5</v>
      </c>
      <c r="J575" s="8">
        <v>185</v>
      </c>
      <c r="K575" s="8">
        <v>213.5</v>
      </c>
      <c r="L575" s="8">
        <f t="shared" si="27"/>
        <v>8432716.25</v>
      </c>
      <c r="M575" s="15">
        <v>7897801308540</v>
      </c>
      <c r="N575" s="6" t="s">
        <v>20</v>
      </c>
      <c r="O575" s="6" t="s">
        <v>20</v>
      </c>
      <c r="P575" s="6" t="s">
        <v>20</v>
      </c>
      <c r="Q575" s="6">
        <v>0.24</v>
      </c>
      <c r="R575" s="6">
        <v>0.4</v>
      </c>
      <c r="S575" s="6">
        <v>0.57999999999999996</v>
      </c>
      <c r="T575" s="8">
        <v>6</v>
      </c>
      <c r="U575" s="5" t="s">
        <v>994</v>
      </c>
      <c r="V575" s="89">
        <v>0</v>
      </c>
      <c r="W575" s="15">
        <v>17897801308547</v>
      </c>
      <c r="X575" s="6" t="s">
        <v>20</v>
      </c>
      <c r="Y575" s="6" t="s">
        <v>20</v>
      </c>
      <c r="Z575" s="6" t="s">
        <v>20</v>
      </c>
      <c r="AA575" s="6"/>
      <c r="AB575" s="8">
        <v>0</v>
      </c>
      <c r="AC575" s="15">
        <v>27897801308544</v>
      </c>
      <c r="AD575" s="4" t="s">
        <v>992</v>
      </c>
    </row>
    <row r="576" spans="2:30" x14ac:dyDescent="0.35">
      <c r="B576" s="14">
        <v>968</v>
      </c>
      <c r="C576" s="4" t="s">
        <v>581</v>
      </c>
      <c r="D576" s="4" t="s">
        <v>2394</v>
      </c>
      <c r="E576" s="4" t="s">
        <v>2913</v>
      </c>
      <c r="F576" s="4" t="s">
        <v>85</v>
      </c>
      <c r="G576" s="4" t="s">
        <v>995</v>
      </c>
      <c r="H576" s="6">
        <v>1.1000000000000001</v>
      </c>
      <c r="I576" s="8">
        <v>305.7</v>
      </c>
      <c r="J576" s="8">
        <v>172</v>
      </c>
      <c r="K576" s="8">
        <v>305.7</v>
      </c>
      <c r="L576" s="8">
        <f t="shared" si="27"/>
        <v>16073828.279999999</v>
      </c>
      <c r="M576" s="15">
        <v>7897801308533</v>
      </c>
      <c r="N576" s="6" t="s">
        <v>20</v>
      </c>
      <c r="O576" s="6" t="s">
        <v>20</v>
      </c>
      <c r="P576" s="6" t="s">
        <v>20</v>
      </c>
      <c r="Q576" s="6">
        <v>0.28000000000000003</v>
      </c>
      <c r="R576" s="6">
        <v>0.375</v>
      </c>
      <c r="S576" s="6">
        <v>0.54500000000000004</v>
      </c>
      <c r="T576" s="8">
        <v>4</v>
      </c>
      <c r="U576" s="5" t="s">
        <v>994</v>
      </c>
      <c r="V576" s="89">
        <v>0</v>
      </c>
      <c r="W576" s="15">
        <v>17897801308530</v>
      </c>
      <c r="X576" s="6" t="s">
        <v>20</v>
      </c>
      <c r="Y576" s="6" t="s">
        <v>20</v>
      </c>
      <c r="Z576" s="6" t="s">
        <v>20</v>
      </c>
      <c r="AA576" s="6"/>
      <c r="AB576" s="8">
        <v>0</v>
      </c>
      <c r="AC576" s="15">
        <v>27897801308537</v>
      </c>
      <c r="AD576" s="4" t="s">
        <v>992</v>
      </c>
    </row>
    <row r="577" spans="2:30" x14ac:dyDescent="0.35">
      <c r="B577" s="14">
        <v>969</v>
      </c>
      <c r="C577" s="4" t="s">
        <v>582</v>
      </c>
      <c r="D577" s="4" t="s">
        <v>2394</v>
      </c>
      <c r="E577" s="4" t="s">
        <v>2913</v>
      </c>
      <c r="F577" s="4" t="s">
        <v>85</v>
      </c>
      <c r="G577" s="4" t="s">
        <v>995</v>
      </c>
      <c r="H577" s="6">
        <v>1.4225000000000001</v>
      </c>
      <c r="I577" s="8">
        <v>305.7</v>
      </c>
      <c r="J577" s="8">
        <v>230</v>
      </c>
      <c r="K577" s="8">
        <v>305.7</v>
      </c>
      <c r="L577" s="8">
        <f t="shared" si="27"/>
        <v>21494072.699999999</v>
      </c>
      <c r="M577" s="15">
        <v>7897801308526</v>
      </c>
      <c r="N577" s="6" t="s">
        <v>20</v>
      </c>
      <c r="O577" s="6" t="s">
        <v>20</v>
      </c>
      <c r="P577" s="6" t="s">
        <v>20</v>
      </c>
      <c r="Q577" s="6">
        <v>0.28999999999999998</v>
      </c>
      <c r="R577" s="6">
        <v>0.47499999999999998</v>
      </c>
      <c r="S577" s="6">
        <v>0.56000000000000005</v>
      </c>
      <c r="T577" s="8">
        <v>4</v>
      </c>
      <c r="U577" s="5" t="s">
        <v>994</v>
      </c>
      <c r="V577" s="89">
        <v>0</v>
      </c>
      <c r="W577" s="15">
        <v>17897801308523</v>
      </c>
      <c r="X577" s="6" t="s">
        <v>20</v>
      </c>
      <c r="Y577" s="6" t="s">
        <v>20</v>
      </c>
      <c r="Z577" s="6" t="s">
        <v>20</v>
      </c>
      <c r="AA577" s="6"/>
      <c r="AB577" s="8">
        <v>0</v>
      </c>
      <c r="AC577" s="15">
        <v>27897801308520</v>
      </c>
      <c r="AD577" s="4" t="s">
        <v>992</v>
      </c>
    </row>
    <row r="578" spans="2:30" x14ac:dyDescent="0.35">
      <c r="B578" s="14">
        <v>983</v>
      </c>
      <c r="C578" s="4" t="s">
        <v>583</v>
      </c>
      <c r="D578" s="4" t="s">
        <v>2394</v>
      </c>
      <c r="E578" s="4" t="s">
        <v>2913</v>
      </c>
      <c r="F578" s="4" t="s">
        <v>85</v>
      </c>
      <c r="G578" s="4" t="s">
        <v>1015</v>
      </c>
      <c r="H578" s="6">
        <v>0.54500000000000004</v>
      </c>
      <c r="I578" s="8">
        <v>230</v>
      </c>
      <c r="J578" s="8">
        <v>170</v>
      </c>
      <c r="K578" s="8">
        <v>200</v>
      </c>
      <c r="L578" s="8">
        <f t="shared" si="27"/>
        <v>7820000</v>
      </c>
      <c r="M578" s="15">
        <v>7897801314046</v>
      </c>
      <c r="N578" s="6" t="s">
        <v>20</v>
      </c>
      <c r="O578" s="6" t="s">
        <v>20</v>
      </c>
      <c r="P578" s="6" t="s">
        <v>20</v>
      </c>
      <c r="Q578" s="6">
        <v>0.23499999999999999</v>
      </c>
      <c r="R578" s="6">
        <v>0.33</v>
      </c>
      <c r="S578" s="6">
        <v>0.59</v>
      </c>
      <c r="T578" s="8">
        <v>6</v>
      </c>
      <c r="U578" s="5" t="s">
        <v>994</v>
      </c>
      <c r="V578" s="89">
        <v>0</v>
      </c>
      <c r="W578" s="15">
        <v>17897801314043</v>
      </c>
      <c r="X578" s="6">
        <v>0.23</v>
      </c>
      <c r="Y578" s="6">
        <v>0.33</v>
      </c>
      <c r="Z578" s="6">
        <v>0.59</v>
      </c>
      <c r="AA578" s="6">
        <f>Y578*X578*Z578</f>
        <v>4.4781000000000001E-2</v>
      </c>
      <c r="AB578" s="8">
        <v>0</v>
      </c>
      <c r="AC578" s="15">
        <v>27897801314040</v>
      </c>
      <c r="AD578" s="4" t="s">
        <v>992</v>
      </c>
    </row>
    <row r="579" spans="2:30" x14ac:dyDescent="0.35">
      <c r="B579" s="14">
        <v>984</v>
      </c>
      <c r="C579" s="4" t="s">
        <v>584</v>
      </c>
      <c r="D579" s="4" t="s">
        <v>2394</v>
      </c>
      <c r="E579" s="4" t="s">
        <v>2913</v>
      </c>
      <c r="F579" s="4" t="s">
        <v>85</v>
      </c>
      <c r="G579" s="4" t="s">
        <v>1014</v>
      </c>
      <c r="H579" s="6">
        <v>0.5776</v>
      </c>
      <c r="I579" s="8">
        <v>230</v>
      </c>
      <c r="J579" s="8">
        <v>170</v>
      </c>
      <c r="K579" s="8">
        <v>200</v>
      </c>
      <c r="L579" s="8">
        <f t="shared" si="27"/>
        <v>7820000</v>
      </c>
      <c r="M579" s="15">
        <v>7897801314053</v>
      </c>
      <c r="N579" s="6" t="s">
        <v>20</v>
      </c>
      <c r="O579" s="6" t="s">
        <v>20</v>
      </c>
      <c r="P579" s="6" t="s">
        <v>20</v>
      </c>
      <c r="Q579" s="6">
        <v>0.23</v>
      </c>
      <c r="R579" s="6">
        <v>0.35</v>
      </c>
      <c r="S579" s="6">
        <v>0.59</v>
      </c>
      <c r="T579" s="8">
        <v>6</v>
      </c>
      <c r="U579" s="5" t="s">
        <v>994</v>
      </c>
      <c r="V579" s="89">
        <v>0</v>
      </c>
      <c r="W579" s="15">
        <v>17897801314050</v>
      </c>
      <c r="X579" s="6">
        <v>0.23</v>
      </c>
      <c r="Y579" s="6">
        <v>0.33</v>
      </c>
      <c r="Z579" s="6">
        <v>0.59</v>
      </c>
      <c r="AA579" s="6">
        <f>Y579*X579*Z579</f>
        <v>4.4781000000000001E-2</v>
      </c>
      <c r="AB579" s="8">
        <v>0</v>
      </c>
      <c r="AC579" s="15">
        <v>27897801314057</v>
      </c>
      <c r="AD579" s="4" t="s">
        <v>992</v>
      </c>
    </row>
    <row r="580" spans="2:30" x14ac:dyDescent="0.35">
      <c r="B580" s="14">
        <v>985</v>
      </c>
      <c r="C580" s="4" t="s">
        <v>585</v>
      </c>
      <c r="D580" s="4" t="s">
        <v>2394</v>
      </c>
      <c r="E580" s="4" t="s">
        <v>2913</v>
      </c>
      <c r="F580" s="4" t="s">
        <v>85</v>
      </c>
      <c r="G580" s="4" t="s">
        <v>1015</v>
      </c>
      <c r="H580" s="6">
        <v>0.17519999999999999</v>
      </c>
      <c r="I580" s="8">
        <v>180</v>
      </c>
      <c r="J580" s="8">
        <v>110</v>
      </c>
      <c r="K580" s="8">
        <v>150</v>
      </c>
      <c r="L580" s="8">
        <v>2970000</v>
      </c>
      <c r="M580" s="15">
        <v>7897801314060</v>
      </c>
      <c r="N580" s="6" t="s">
        <v>20</v>
      </c>
      <c r="O580" s="6" t="s">
        <v>20</v>
      </c>
      <c r="P580" s="6" t="s">
        <v>20</v>
      </c>
      <c r="Q580" s="6">
        <v>0.32</v>
      </c>
      <c r="R580" s="6">
        <v>0.22</v>
      </c>
      <c r="S580" s="6">
        <v>0.41</v>
      </c>
      <c r="T580" s="8">
        <v>985</v>
      </c>
      <c r="U580" s="5" t="s">
        <v>994</v>
      </c>
      <c r="V580" s="89">
        <v>0</v>
      </c>
      <c r="W580" s="15">
        <v>17897801314067</v>
      </c>
      <c r="X580" s="6">
        <v>0</v>
      </c>
      <c r="Y580" s="6">
        <v>0</v>
      </c>
      <c r="Z580" s="6">
        <v>0</v>
      </c>
      <c r="AA580" s="6">
        <v>0</v>
      </c>
      <c r="AB580" s="8">
        <v>0</v>
      </c>
      <c r="AC580" s="15">
        <v>27897801314064</v>
      </c>
      <c r="AD580" s="4" t="s">
        <v>992</v>
      </c>
    </row>
    <row r="581" spans="2:30" x14ac:dyDescent="0.35">
      <c r="B581" s="14">
        <v>986</v>
      </c>
      <c r="C581" s="4" t="s">
        <v>586</v>
      </c>
      <c r="D581" s="4" t="s">
        <v>2394</v>
      </c>
      <c r="E581" s="4" t="s">
        <v>2913</v>
      </c>
      <c r="F581" s="4" t="s">
        <v>85</v>
      </c>
      <c r="G581" s="4" t="s">
        <v>1014</v>
      </c>
      <c r="H581" s="6">
        <v>0.2555</v>
      </c>
      <c r="I581" s="8">
        <v>150</v>
      </c>
      <c r="J581" s="8">
        <v>110</v>
      </c>
      <c r="K581" s="8">
        <v>170</v>
      </c>
      <c r="L581" s="8">
        <f t="shared" ref="L581:L599" si="30">J581*I581*K581</f>
        <v>2805000</v>
      </c>
      <c r="M581" s="15">
        <v>7897801314077</v>
      </c>
      <c r="N581" s="6" t="s">
        <v>20</v>
      </c>
      <c r="O581" s="6" t="s">
        <v>20</v>
      </c>
      <c r="P581" s="6" t="s">
        <v>20</v>
      </c>
      <c r="Q581" s="6">
        <v>0.3</v>
      </c>
      <c r="R581" s="6">
        <v>0.23</v>
      </c>
      <c r="S581" s="6">
        <v>0.43</v>
      </c>
      <c r="T581" s="8">
        <v>12</v>
      </c>
      <c r="U581" s="5" t="s">
        <v>994</v>
      </c>
      <c r="V581" s="89">
        <v>0</v>
      </c>
      <c r="W581" s="15">
        <v>17897801314074</v>
      </c>
      <c r="X581" s="6">
        <v>0.3</v>
      </c>
      <c r="Y581" s="6">
        <v>0.23</v>
      </c>
      <c r="Z581" s="6">
        <v>0.42</v>
      </c>
      <c r="AA581" s="6">
        <f>Y581*X581*Z581</f>
        <v>2.8980000000000002E-2</v>
      </c>
      <c r="AB581" s="8">
        <v>0</v>
      </c>
      <c r="AC581" s="15">
        <v>27897801314071</v>
      </c>
      <c r="AD581" s="4" t="s">
        <v>992</v>
      </c>
    </row>
    <row r="582" spans="2:30" x14ac:dyDescent="0.35">
      <c r="B582" s="14">
        <v>1061</v>
      </c>
      <c r="C582" s="4" t="s">
        <v>588</v>
      </c>
      <c r="D582" s="4" t="s">
        <v>2386</v>
      </c>
      <c r="E582" s="4" t="s">
        <v>2915</v>
      </c>
      <c r="F582" s="4" t="s">
        <v>85</v>
      </c>
      <c r="G582" s="4" t="s">
        <v>993</v>
      </c>
      <c r="H582" s="6">
        <v>5.1999999999999998E-2</v>
      </c>
      <c r="I582" s="8">
        <v>29</v>
      </c>
      <c r="J582" s="8">
        <v>126</v>
      </c>
      <c r="K582" s="8">
        <v>29</v>
      </c>
      <c r="L582" s="8">
        <f t="shared" si="30"/>
        <v>105966</v>
      </c>
      <c r="M582" s="15">
        <v>7897801303620</v>
      </c>
      <c r="N582" s="6" t="s">
        <v>20</v>
      </c>
      <c r="O582" s="6" t="s">
        <v>20</v>
      </c>
      <c r="P582" s="6" t="s">
        <v>20</v>
      </c>
      <c r="Q582" s="6">
        <v>0.22</v>
      </c>
      <c r="R582" s="6">
        <v>7.0000000000000007E-2</v>
      </c>
      <c r="S582" s="6">
        <v>0.31</v>
      </c>
      <c r="T582" s="8">
        <v>12</v>
      </c>
      <c r="U582" s="5" t="s">
        <v>994</v>
      </c>
      <c r="V582" s="89">
        <v>0</v>
      </c>
      <c r="W582" s="15">
        <v>17897801303627</v>
      </c>
      <c r="X582" s="6">
        <v>0.55000000000000004</v>
      </c>
      <c r="Y582" s="6">
        <v>0.16</v>
      </c>
      <c r="Z582" s="6">
        <v>0.8</v>
      </c>
      <c r="AA582" s="6">
        <f>Y582*X582*Z582</f>
        <v>7.0400000000000004E-2</v>
      </c>
      <c r="AB582" s="8">
        <v>300</v>
      </c>
      <c r="AC582" s="15">
        <v>27897801303624</v>
      </c>
      <c r="AD582" s="4" t="s">
        <v>992</v>
      </c>
    </row>
    <row r="583" spans="2:30" x14ac:dyDescent="0.35">
      <c r="B583" s="14">
        <v>1100</v>
      </c>
      <c r="C583" s="4" t="s">
        <v>589</v>
      </c>
      <c r="D583" s="4" t="s">
        <v>2410</v>
      </c>
      <c r="E583" s="4" t="s">
        <v>2914</v>
      </c>
      <c r="F583" s="4" t="s">
        <v>19</v>
      </c>
      <c r="G583" s="4" t="s">
        <v>990</v>
      </c>
      <c r="H583" s="6">
        <v>0.56000000000000005</v>
      </c>
      <c r="I583" s="8">
        <v>3000</v>
      </c>
      <c r="J583" s="8">
        <v>20</v>
      </c>
      <c r="K583" s="8">
        <v>20</v>
      </c>
      <c r="L583" s="8">
        <f t="shared" si="30"/>
        <v>1200000</v>
      </c>
      <c r="M583" s="15">
        <v>7897801306218</v>
      </c>
      <c r="N583" s="6">
        <v>2.1399999999999999E-2</v>
      </c>
      <c r="O583" s="6">
        <v>3</v>
      </c>
      <c r="P583" s="6">
        <v>2.1399999999999999E-2</v>
      </c>
      <c r="Q583" s="6">
        <v>0.1115</v>
      </c>
      <c r="R583" s="6">
        <v>7.0300000000000001E-2</v>
      </c>
      <c r="S583" s="6">
        <v>3</v>
      </c>
      <c r="T583" s="8">
        <v>10</v>
      </c>
      <c r="U583" s="5" t="s">
        <v>991</v>
      </c>
      <c r="V583" s="89">
        <v>0</v>
      </c>
      <c r="W583" s="15">
        <v>17897801306215</v>
      </c>
      <c r="X583" s="6" t="s">
        <v>20</v>
      </c>
      <c r="Y583" s="6" t="s">
        <v>20</v>
      </c>
      <c r="Z583" s="6" t="s">
        <v>20</v>
      </c>
      <c r="AA583" s="6"/>
      <c r="AB583" s="8">
        <v>0</v>
      </c>
      <c r="AC583" s="15">
        <v>27897801306212</v>
      </c>
      <c r="AD583" s="4" t="s">
        <v>992</v>
      </c>
    </row>
    <row r="584" spans="2:30" x14ac:dyDescent="0.35">
      <c r="B584" s="14">
        <v>1101</v>
      </c>
      <c r="C584" s="4" t="s">
        <v>590</v>
      </c>
      <c r="D584" s="4" t="s">
        <v>2410</v>
      </c>
      <c r="E584" s="4" t="s">
        <v>2914</v>
      </c>
      <c r="F584" s="4" t="s">
        <v>19</v>
      </c>
      <c r="G584" s="4" t="s">
        <v>990</v>
      </c>
      <c r="H584" s="6">
        <v>0.8</v>
      </c>
      <c r="I584" s="8">
        <v>3000</v>
      </c>
      <c r="J584" s="8">
        <v>25</v>
      </c>
      <c r="K584" s="8">
        <v>25</v>
      </c>
      <c r="L584" s="8">
        <f t="shared" si="30"/>
        <v>1875000</v>
      </c>
      <c r="M584" s="15">
        <v>7897801306225</v>
      </c>
      <c r="N584" s="6">
        <v>2.58E-2</v>
      </c>
      <c r="O584" s="6">
        <v>3.0009999999999999</v>
      </c>
      <c r="P584" s="6">
        <v>2.58E-2</v>
      </c>
      <c r="Q584" s="6">
        <v>0.1052</v>
      </c>
      <c r="R584" s="6">
        <v>7.2999999999999995E-2</v>
      </c>
      <c r="S584" s="6">
        <v>3.0009999999999999</v>
      </c>
      <c r="T584" s="8">
        <v>10</v>
      </c>
      <c r="U584" s="5" t="s">
        <v>991</v>
      </c>
      <c r="V584" s="89">
        <v>0</v>
      </c>
      <c r="W584" s="15">
        <v>17897801306222</v>
      </c>
      <c r="X584" s="6" t="s">
        <v>20</v>
      </c>
      <c r="Y584" s="6" t="s">
        <v>20</v>
      </c>
      <c r="Z584" s="6" t="s">
        <v>20</v>
      </c>
      <c r="AA584" s="6"/>
      <c r="AB584" s="8">
        <v>0</v>
      </c>
      <c r="AC584" s="15">
        <v>27897801306229</v>
      </c>
      <c r="AD584" s="4" t="s">
        <v>992</v>
      </c>
    </row>
    <row r="585" spans="2:30" x14ac:dyDescent="0.35">
      <c r="B585" s="14">
        <v>1102</v>
      </c>
      <c r="C585" s="4" t="s">
        <v>591</v>
      </c>
      <c r="D585" s="4" t="s">
        <v>2410</v>
      </c>
      <c r="E585" s="4" t="s">
        <v>2914</v>
      </c>
      <c r="F585" s="4" t="s">
        <v>19</v>
      </c>
      <c r="G585" s="4" t="s">
        <v>990</v>
      </c>
      <c r="H585" s="6">
        <v>1.1499999999999999</v>
      </c>
      <c r="I585" s="8">
        <v>3000</v>
      </c>
      <c r="J585" s="8">
        <v>32</v>
      </c>
      <c r="K585" s="8">
        <v>32</v>
      </c>
      <c r="L585" s="8">
        <f t="shared" si="30"/>
        <v>3072000</v>
      </c>
      <c r="M585" s="15">
        <v>7897801306232</v>
      </c>
      <c r="N585" s="6">
        <v>3.3000000000000002E-2</v>
      </c>
      <c r="O585" s="6">
        <v>3.0009999999999999</v>
      </c>
      <c r="P585" s="6">
        <v>3.3000000000000002E-2</v>
      </c>
      <c r="Q585" s="6">
        <v>0.13245000000000001</v>
      </c>
      <c r="R585" s="6">
        <v>9.0899999999999995E-2</v>
      </c>
      <c r="S585" s="6">
        <v>3.0009999999999999</v>
      </c>
      <c r="T585" s="8">
        <v>10</v>
      </c>
      <c r="U585" s="5" t="s">
        <v>991</v>
      </c>
      <c r="V585" s="89">
        <v>0</v>
      </c>
      <c r="W585" s="15">
        <v>17897801306239</v>
      </c>
      <c r="X585" s="6" t="s">
        <v>20</v>
      </c>
      <c r="Y585" s="6" t="s">
        <v>20</v>
      </c>
      <c r="Z585" s="6" t="s">
        <v>20</v>
      </c>
      <c r="AA585" s="6"/>
      <c r="AB585" s="8">
        <v>0</v>
      </c>
      <c r="AC585" s="15">
        <v>27897801306236</v>
      </c>
      <c r="AD585" s="4" t="s">
        <v>992</v>
      </c>
    </row>
    <row r="586" spans="2:30" x14ac:dyDescent="0.35">
      <c r="B586" s="14">
        <v>1103</v>
      </c>
      <c r="C586" s="4" t="s">
        <v>592</v>
      </c>
      <c r="D586" s="4" t="s">
        <v>2410</v>
      </c>
      <c r="E586" s="4" t="s">
        <v>2914</v>
      </c>
      <c r="F586" s="4" t="s">
        <v>19</v>
      </c>
      <c r="G586" s="4" t="s">
        <v>990</v>
      </c>
      <c r="H586" s="6">
        <v>1.6</v>
      </c>
      <c r="I586" s="8">
        <v>3000</v>
      </c>
      <c r="J586" s="8">
        <v>40</v>
      </c>
      <c r="K586" s="8">
        <v>40</v>
      </c>
      <c r="L586" s="8">
        <f t="shared" si="30"/>
        <v>4800000</v>
      </c>
      <c r="M586" s="15">
        <v>7897801306249</v>
      </c>
      <c r="N586" s="6">
        <v>3.5999999999999997E-2</v>
      </c>
      <c r="O586" s="6">
        <v>3</v>
      </c>
      <c r="P586" s="6">
        <v>3.5999999999999997E-2</v>
      </c>
      <c r="Q586" s="6">
        <v>0.1128</v>
      </c>
      <c r="R586" s="6">
        <v>8.4000000000000005E-2</v>
      </c>
      <c r="S586" s="6">
        <v>3.0009999999999999</v>
      </c>
      <c r="T586" s="8">
        <v>5</v>
      </c>
      <c r="U586" s="5" t="s">
        <v>991</v>
      </c>
      <c r="V586" s="89">
        <v>0</v>
      </c>
      <c r="W586" s="15">
        <v>17897801306246</v>
      </c>
      <c r="X586" s="6" t="s">
        <v>20</v>
      </c>
      <c r="Y586" s="6" t="s">
        <v>20</v>
      </c>
      <c r="Z586" s="6" t="s">
        <v>20</v>
      </c>
      <c r="AA586" s="6"/>
      <c r="AB586" s="8">
        <v>0</v>
      </c>
      <c r="AC586" s="15">
        <v>27897801306243</v>
      </c>
      <c r="AD586" s="4" t="s">
        <v>992</v>
      </c>
    </row>
    <row r="587" spans="2:30" x14ac:dyDescent="0.35">
      <c r="B587" s="14">
        <v>1104</v>
      </c>
      <c r="C587" s="4" t="s">
        <v>593</v>
      </c>
      <c r="D587" s="4" t="s">
        <v>2410</v>
      </c>
      <c r="E587" s="4" t="s">
        <v>2914</v>
      </c>
      <c r="F587" s="4" t="s">
        <v>19</v>
      </c>
      <c r="G587" s="4" t="s">
        <v>990</v>
      </c>
      <c r="H587" s="6">
        <v>1.7509999999999999</v>
      </c>
      <c r="I587" s="8">
        <v>3000</v>
      </c>
      <c r="J587" s="8">
        <v>50</v>
      </c>
      <c r="K587" s="8">
        <v>50</v>
      </c>
      <c r="L587" s="8">
        <f t="shared" si="30"/>
        <v>7500000</v>
      </c>
      <c r="M587" s="15">
        <v>7897801306256</v>
      </c>
      <c r="N587" s="6">
        <v>0.04</v>
      </c>
      <c r="O587" s="6">
        <v>3</v>
      </c>
      <c r="P587" s="6">
        <v>0.04</v>
      </c>
      <c r="Q587" s="6">
        <v>0.14399999999999999</v>
      </c>
      <c r="R587" s="6">
        <v>0.09</v>
      </c>
      <c r="S587" s="6">
        <v>3.0009999999999999</v>
      </c>
      <c r="T587" s="8">
        <v>5</v>
      </c>
      <c r="U587" s="5" t="s">
        <v>991</v>
      </c>
      <c r="V587" s="89">
        <v>0</v>
      </c>
      <c r="W587" s="15">
        <v>17897801306253</v>
      </c>
      <c r="X587" s="6" t="s">
        <v>20</v>
      </c>
      <c r="Y587" s="6" t="s">
        <v>20</v>
      </c>
      <c r="Z587" s="6" t="s">
        <v>20</v>
      </c>
      <c r="AA587" s="6"/>
      <c r="AB587" s="8">
        <v>0</v>
      </c>
      <c r="AC587" s="15">
        <v>27897801306250</v>
      </c>
      <c r="AD587" s="4" t="s">
        <v>992</v>
      </c>
    </row>
    <row r="588" spans="2:30" ht="15" customHeight="1" x14ac:dyDescent="0.35">
      <c r="B588" s="14">
        <v>1105</v>
      </c>
      <c r="C588" s="4" t="s">
        <v>594</v>
      </c>
      <c r="D588" s="4" t="s">
        <v>2410</v>
      </c>
      <c r="E588" s="4" t="s">
        <v>2914</v>
      </c>
      <c r="F588" s="4" t="s">
        <v>19</v>
      </c>
      <c r="G588" s="4" t="s">
        <v>990</v>
      </c>
      <c r="H588" s="6">
        <v>2.17</v>
      </c>
      <c r="I588" s="8">
        <v>3000</v>
      </c>
      <c r="J588" s="8">
        <v>60</v>
      </c>
      <c r="K588" s="8">
        <v>60</v>
      </c>
      <c r="L588" s="8">
        <f t="shared" si="30"/>
        <v>10800000</v>
      </c>
      <c r="M588" s="15">
        <v>7897801306263</v>
      </c>
      <c r="N588" s="6">
        <v>6.0900000000000003E-2</v>
      </c>
      <c r="O588" s="6">
        <v>3</v>
      </c>
      <c r="P588" s="6">
        <v>6.0900000000000003E-2</v>
      </c>
      <c r="Q588" s="6">
        <v>0.11799999999999999</v>
      </c>
      <c r="R588" s="6">
        <v>0.1115</v>
      </c>
      <c r="S588" s="6">
        <v>3</v>
      </c>
      <c r="T588" s="8">
        <v>5</v>
      </c>
      <c r="U588" s="5" t="s">
        <v>991</v>
      </c>
      <c r="V588" s="89">
        <v>0</v>
      </c>
      <c r="W588" s="15">
        <v>17897801306260</v>
      </c>
      <c r="X588" s="6" t="s">
        <v>20</v>
      </c>
      <c r="Y588" s="6" t="s">
        <v>20</v>
      </c>
      <c r="Z588" s="6" t="s">
        <v>20</v>
      </c>
      <c r="AA588" s="6"/>
      <c r="AB588" s="8">
        <v>0</v>
      </c>
      <c r="AC588" s="15">
        <v>27897801306267</v>
      </c>
      <c r="AD588" s="4" t="s">
        <v>992</v>
      </c>
    </row>
    <row r="589" spans="2:30" ht="15" customHeight="1" x14ac:dyDescent="0.35">
      <c r="B589" s="14">
        <v>1106</v>
      </c>
      <c r="C589" s="4" t="s">
        <v>595</v>
      </c>
      <c r="D589" s="4" t="s">
        <v>2410</v>
      </c>
      <c r="E589" s="4" t="s">
        <v>2914</v>
      </c>
      <c r="F589" s="4" t="s">
        <v>19</v>
      </c>
      <c r="G589" s="4" t="s">
        <v>990</v>
      </c>
      <c r="H589" s="6">
        <v>4.1050000000000004</v>
      </c>
      <c r="I589" s="8">
        <v>3000</v>
      </c>
      <c r="J589" s="8">
        <v>85</v>
      </c>
      <c r="K589" s="8">
        <v>85</v>
      </c>
      <c r="L589" s="8">
        <f t="shared" si="30"/>
        <v>21675000</v>
      </c>
      <c r="M589" s="15">
        <v>7897801310215</v>
      </c>
      <c r="N589" s="6">
        <v>8.8400000000000006E-2</v>
      </c>
      <c r="O589" s="6">
        <v>3</v>
      </c>
      <c r="P589" s="6">
        <v>8.8400000000000006E-2</v>
      </c>
      <c r="Q589" s="6">
        <v>8.7999999999999995E-2</v>
      </c>
      <c r="R589" s="6">
        <v>8.7999999999999995E-2</v>
      </c>
      <c r="S589" s="6">
        <v>3</v>
      </c>
      <c r="T589" s="8">
        <v>1</v>
      </c>
      <c r="U589" s="5" t="s">
        <v>991</v>
      </c>
      <c r="V589" s="89">
        <v>0</v>
      </c>
      <c r="W589" s="15">
        <v>17897801310212</v>
      </c>
      <c r="X589" s="6" t="s">
        <v>20</v>
      </c>
      <c r="Y589" s="6" t="s">
        <v>20</v>
      </c>
      <c r="Z589" s="6" t="s">
        <v>20</v>
      </c>
      <c r="AA589" s="6"/>
      <c r="AB589" s="8">
        <v>0</v>
      </c>
      <c r="AC589" s="15">
        <v>27897801310219</v>
      </c>
      <c r="AD589" s="4" t="s">
        <v>992</v>
      </c>
    </row>
    <row r="590" spans="2:30" ht="15" customHeight="1" x14ac:dyDescent="0.35">
      <c r="B590" s="14">
        <v>1107</v>
      </c>
      <c r="C590" s="4" t="s">
        <v>596</v>
      </c>
      <c r="D590" s="4" t="s">
        <v>2410</v>
      </c>
      <c r="E590" s="4" t="s">
        <v>2914</v>
      </c>
      <c r="F590" s="4" t="s">
        <v>19</v>
      </c>
      <c r="G590" s="4" t="s">
        <v>990</v>
      </c>
      <c r="H590" s="6">
        <v>6.5</v>
      </c>
      <c r="I590" s="8">
        <v>3000</v>
      </c>
      <c r="J590" s="8">
        <v>110</v>
      </c>
      <c r="K590" s="8">
        <v>110</v>
      </c>
      <c r="L590" s="8">
        <f t="shared" si="30"/>
        <v>36300000</v>
      </c>
      <c r="M590" s="15">
        <v>7897801310222</v>
      </c>
      <c r="N590" s="6">
        <v>0.1135</v>
      </c>
      <c r="O590" s="6">
        <v>3</v>
      </c>
      <c r="P590" s="6">
        <v>0.1135</v>
      </c>
      <c r="Q590" s="6">
        <v>0.113</v>
      </c>
      <c r="R590" s="6">
        <v>0.113</v>
      </c>
      <c r="S590" s="6">
        <v>3</v>
      </c>
      <c r="T590" s="8">
        <v>1</v>
      </c>
      <c r="U590" s="5" t="s">
        <v>991</v>
      </c>
      <c r="V590" s="89">
        <v>0</v>
      </c>
      <c r="W590" s="15">
        <v>17897801310229</v>
      </c>
      <c r="X590" s="6" t="s">
        <v>20</v>
      </c>
      <c r="Y590" s="6" t="s">
        <v>20</v>
      </c>
      <c r="Z590" s="6" t="s">
        <v>20</v>
      </c>
      <c r="AA590" s="6"/>
      <c r="AB590" s="8">
        <v>0</v>
      </c>
      <c r="AC590" s="15">
        <v>27897801310226</v>
      </c>
      <c r="AD590" s="4" t="s">
        <v>992</v>
      </c>
    </row>
    <row r="591" spans="2:30" ht="15" customHeight="1" x14ac:dyDescent="0.35">
      <c r="B591" s="14">
        <v>1108</v>
      </c>
      <c r="C591" s="4" t="s">
        <v>597</v>
      </c>
      <c r="D591" s="4" t="s">
        <v>2410</v>
      </c>
      <c r="E591" s="4" t="s">
        <v>2914</v>
      </c>
      <c r="F591" s="4" t="s">
        <v>19</v>
      </c>
      <c r="G591" s="4" t="s">
        <v>990</v>
      </c>
      <c r="H591" s="6">
        <v>3.6</v>
      </c>
      <c r="I591" s="8">
        <v>3000</v>
      </c>
      <c r="J591" s="8">
        <v>75</v>
      </c>
      <c r="K591" s="8">
        <v>75</v>
      </c>
      <c r="L591" s="8">
        <f t="shared" si="30"/>
        <v>16875000</v>
      </c>
      <c r="M591" s="15">
        <v>7897801313476</v>
      </c>
      <c r="N591" s="6">
        <v>7.5499999999999998E-2</v>
      </c>
      <c r="O591" s="6">
        <v>3</v>
      </c>
      <c r="P591" s="6">
        <v>7.5499999999999998E-2</v>
      </c>
      <c r="Q591" s="6">
        <v>0.155</v>
      </c>
      <c r="R591" s="6">
        <v>0.14499999999999999</v>
      </c>
      <c r="S591" s="6">
        <v>3</v>
      </c>
      <c r="T591" s="8">
        <v>3</v>
      </c>
      <c r="U591" s="5" t="s">
        <v>991</v>
      </c>
      <c r="V591" s="89">
        <v>0</v>
      </c>
      <c r="W591" s="15">
        <v>17897801313473</v>
      </c>
      <c r="X591" s="6" t="s">
        <v>20</v>
      </c>
      <c r="Y591" s="6" t="s">
        <v>20</v>
      </c>
      <c r="Z591" s="6" t="s">
        <v>20</v>
      </c>
      <c r="AA591" s="6"/>
      <c r="AB591" s="8">
        <v>0</v>
      </c>
      <c r="AC591" s="15">
        <v>27897801313470</v>
      </c>
      <c r="AD591" s="4" t="s">
        <v>992</v>
      </c>
    </row>
    <row r="592" spans="2:30" ht="15" customHeight="1" x14ac:dyDescent="0.35">
      <c r="B592" s="14">
        <v>1142</v>
      </c>
      <c r="C592" s="4" t="s">
        <v>598</v>
      </c>
      <c r="D592" s="4" t="s">
        <v>2388</v>
      </c>
      <c r="E592" s="4" t="s">
        <v>2914</v>
      </c>
      <c r="F592" s="4" t="s">
        <v>85</v>
      </c>
      <c r="G592" s="4" t="s">
        <v>993</v>
      </c>
      <c r="H592" s="6">
        <v>1.7299999999999999E-2</v>
      </c>
      <c r="I592" s="8">
        <v>51</v>
      </c>
      <c r="J592" s="8">
        <v>21.45</v>
      </c>
      <c r="K592" s="8">
        <v>21.45</v>
      </c>
      <c r="L592" s="8">
        <f t="shared" si="30"/>
        <v>23465.227500000001</v>
      </c>
      <c r="M592" s="15">
        <v>7897801300858</v>
      </c>
      <c r="N592" s="6" t="s">
        <v>20</v>
      </c>
      <c r="O592" s="6" t="s">
        <v>20</v>
      </c>
      <c r="P592" s="6" t="s">
        <v>20</v>
      </c>
      <c r="Q592" s="6">
        <v>0.17</v>
      </c>
      <c r="R592" s="6">
        <v>4.4999999999999998E-2</v>
      </c>
      <c r="S592" s="6">
        <v>0.21</v>
      </c>
      <c r="T592" s="8">
        <v>24</v>
      </c>
      <c r="U592" s="5" t="s">
        <v>994</v>
      </c>
      <c r="V592" s="89">
        <v>0</v>
      </c>
      <c r="W592" s="15">
        <v>17897801300855</v>
      </c>
      <c r="X592" s="6">
        <v>0.5</v>
      </c>
      <c r="Y592" s="6">
        <v>0.2</v>
      </c>
      <c r="Z592" s="6">
        <v>0.68</v>
      </c>
      <c r="AA592" s="6">
        <f t="shared" ref="AA592:AA599" si="31">Y592*X592*Z592</f>
        <v>6.8000000000000005E-2</v>
      </c>
      <c r="AB592" s="8">
        <v>960</v>
      </c>
      <c r="AC592" s="15">
        <v>27897801300852</v>
      </c>
      <c r="AD592" s="4" t="s">
        <v>992</v>
      </c>
    </row>
    <row r="593" spans="2:30" ht="15" customHeight="1" x14ac:dyDescent="0.35">
      <c r="B593" s="14">
        <v>1143</v>
      </c>
      <c r="C593" s="4" t="s">
        <v>599</v>
      </c>
      <c r="D593" s="4" t="s">
        <v>2388</v>
      </c>
      <c r="E593" s="4" t="s">
        <v>2914</v>
      </c>
      <c r="F593" s="4" t="s">
        <v>85</v>
      </c>
      <c r="G593" s="4" t="s">
        <v>993</v>
      </c>
      <c r="H593" s="6">
        <v>3.1699999999999999E-2</v>
      </c>
      <c r="I593" s="8">
        <v>95</v>
      </c>
      <c r="J593" s="8">
        <v>27</v>
      </c>
      <c r="K593" s="8">
        <v>27</v>
      </c>
      <c r="L593" s="8">
        <f t="shared" si="30"/>
        <v>69255</v>
      </c>
      <c r="M593" s="15">
        <v>7897801300865</v>
      </c>
      <c r="N593" s="6" t="s">
        <v>20</v>
      </c>
      <c r="O593" s="6" t="s">
        <v>20</v>
      </c>
      <c r="P593" s="6" t="s">
        <v>20</v>
      </c>
      <c r="Q593" s="6">
        <v>0.22</v>
      </c>
      <c r="R593" s="6">
        <v>0.05</v>
      </c>
      <c r="S593" s="6">
        <v>0.28999999999999998</v>
      </c>
      <c r="T593" s="8">
        <v>24</v>
      </c>
      <c r="U593" s="5" t="s">
        <v>994</v>
      </c>
      <c r="V593" s="89">
        <v>0</v>
      </c>
      <c r="W593" s="15">
        <v>17897801300862</v>
      </c>
      <c r="X593" s="6">
        <v>0.5</v>
      </c>
      <c r="Y593" s="6">
        <v>0.2</v>
      </c>
      <c r="Z593" s="6">
        <v>0.68</v>
      </c>
      <c r="AA593" s="6">
        <f t="shared" si="31"/>
        <v>6.8000000000000005E-2</v>
      </c>
      <c r="AB593" s="8">
        <v>504</v>
      </c>
      <c r="AC593" s="15">
        <v>27897801300869</v>
      </c>
      <c r="AD593" s="4" t="s">
        <v>992</v>
      </c>
    </row>
    <row r="594" spans="2:30" ht="15" customHeight="1" x14ac:dyDescent="0.35">
      <c r="B594" s="14">
        <v>1144</v>
      </c>
      <c r="C594" s="4" t="s">
        <v>600</v>
      </c>
      <c r="D594" s="4" t="s">
        <v>2388</v>
      </c>
      <c r="E594" s="4" t="s">
        <v>2914</v>
      </c>
      <c r="F594" s="4" t="s">
        <v>85</v>
      </c>
      <c r="G594" s="4" t="s">
        <v>993</v>
      </c>
      <c r="H594" s="6">
        <v>5.1700000000000003E-2</v>
      </c>
      <c r="I594" s="8">
        <v>104</v>
      </c>
      <c r="J594" s="8">
        <v>34</v>
      </c>
      <c r="K594" s="8">
        <v>34</v>
      </c>
      <c r="L594" s="8">
        <f t="shared" si="30"/>
        <v>120224</v>
      </c>
      <c r="M594" s="15">
        <v>7897801300872</v>
      </c>
      <c r="N594" s="6" t="s">
        <v>20</v>
      </c>
      <c r="O594" s="6" t="s">
        <v>20</v>
      </c>
      <c r="P594" s="6" t="s">
        <v>20</v>
      </c>
      <c r="Q594" s="6">
        <v>0.2</v>
      </c>
      <c r="R594" s="6">
        <v>7.0000000000000007E-2</v>
      </c>
      <c r="S594" s="6">
        <v>0.25</v>
      </c>
      <c r="T594" s="8">
        <v>12</v>
      </c>
      <c r="U594" s="5" t="s">
        <v>994</v>
      </c>
      <c r="V594" s="89">
        <v>0</v>
      </c>
      <c r="W594" s="15">
        <v>17897801300879</v>
      </c>
      <c r="X594" s="6">
        <v>0.45</v>
      </c>
      <c r="Y594" s="6">
        <v>0.22</v>
      </c>
      <c r="Z594" s="6">
        <v>0.65</v>
      </c>
      <c r="AA594" s="6">
        <f t="shared" si="31"/>
        <v>6.4350000000000004E-2</v>
      </c>
      <c r="AB594" s="8">
        <v>240</v>
      </c>
      <c r="AC594" s="15">
        <v>27897801300876</v>
      </c>
      <c r="AD594" s="4" t="s">
        <v>992</v>
      </c>
    </row>
    <row r="595" spans="2:30" ht="15" customHeight="1" x14ac:dyDescent="0.35">
      <c r="B595" s="14">
        <v>1145</v>
      </c>
      <c r="C595" s="4" t="s">
        <v>601</v>
      </c>
      <c r="D595" s="4" t="s">
        <v>2388</v>
      </c>
      <c r="E595" s="4" t="s">
        <v>2914</v>
      </c>
      <c r="F595" s="4" t="s">
        <v>85</v>
      </c>
      <c r="G595" s="4" t="s">
        <v>993</v>
      </c>
      <c r="H595" s="6">
        <v>9.2700000000000005E-2</v>
      </c>
      <c r="I595" s="8">
        <v>190</v>
      </c>
      <c r="J595" s="8">
        <v>40</v>
      </c>
      <c r="K595" s="8">
        <v>40</v>
      </c>
      <c r="L595" s="8">
        <f t="shared" si="30"/>
        <v>304000</v>
      </c>
      <c r="M595" s="15">
        <v>7897801312790</v>
      </c>
      <c r="N595" s="6" t="s">
        <v>20</v>
      </c>
      <c r="O595" s="6" t="s">
        <v>20</v>
      </c>
      <c r="P595" s="6" t="s">
        <v>20</v>
      </c>
      <c r="Q595" s="6">
        <v>0.16</v>
      </c>
      <c r="R595" s="6">
        <v>0.09</v>
      </c>
      <c r="S595" s="6">
        <v>0.3</v>
      </c>
      <c r="T595" s="8">
        <v>6</v>
      </c>
      <c r="U595" s="5" t="s">
        <v>994</v>
      </c>
      <c r="V595" s="89">
        <v>0</v>
      </c>
      <c r="W595" s="15">
        <v>17897801312797</v>
      </c>
      <c r="X595" s="6">
        <v>0.46</v>
      </c>
      <c r="Y595" s="6">
        <v>0.23</v>
      </c>
      <c r="Z595" s="6">
        <v>0.68</v>
      </c>
      <c r="AA595" s="6">
        <f t="shared" si="31"/>
        <v>7.1944000000000008E-2</v>
      </c>
      <c r="AB595" s="8">
        <v>150</v>
      </c>
      <c r="AC595" s="15">
        <v>27897801312794</v>
      </c>
      <c r="AD595" s="4" t="s">
        <v>992</v>
      </c>
    </row>
    <row r="596" spans="2:30" ht="15" customHeight="1" x14ac:dyDescent="0.35">
      <c r="B596" s="14">
        <v>1146</v>
      </c>
      <c r="C596" s="4" t="s">
        <v>602</v>
      </c>
      <c r="D596" s="4" t="s">
        <v>2388</v>
      </c>
      <c r="E596" s="4" t="s">
        <v>2914</v>
      </c>
      <c r="F596" s="4" t="s">
        <v>85</v>
      </c>
      <c r="G596" s="4" t="s">
        <v>993</v>
      </c>
      <c r="H596" s="6">
        <v>0.1507</v>
      </c>
      <c r="I596" s="8">
        <v>240</v>
      </c>
      <c r="J596" s="8">
        <v>140</v>
      </c>
      <c r="K596" s="8">
        <v>50</v>
      </c>
      <c r="L596" s="8">
        <f t="shared" si="30"/>
        <v>1680000</v>
      </c>
      <c r="M596" s="15">
        <v>7897801313629</v>
      </c>
      <c r="N596" s="6" t="s">
        <v>20</v>
      </c>
      <c r="O596" s="6" t="s">
        <v>20</v>
      </c>
      <c r="P596" s="6" t="s">
        <v>20</v>
      </c>
      <c r="Q596" s="6">
        <v>0.09</v>
      </c>
      <c r="R596" s="6">
        <v>0.25</v>
      </c>
      <c r="S596" s="6">
        <v>0.2</v>
      </c>
      <c r="T596" s="8">
        <v>5</v>
      </c>
      <c r="U596" s="5" t="s">
        <v>994</v>
      </c>
      <c r="V596" s="89">
        <v>0</v>
      </c>
      <c r="W596" s="15">
        <v>17897801313626</v>
      </c>
      <c r="X596" s="6">
        <v>0.21</v>
      </c>
      <c r="Y596" s="6">
        <v>0.65</v>
      </c>
      <c r="Z596" s="6">
        <v>0.5</v>
      </c>
      <c r="AA596" s="6">
        <f t="shared" si="31"/>
        <v>6.8250000000000005E-2</v>
      </c>
      <c r="AB596" s="8">
        <v>100</v>
      </c>
      <c r="AC596" s="15">
        <v>27897801313623</v>
      </c>
      <c r="AD596" s="4" t="s">
        <v>992</v>
      </c>
    </row>
    <row r="597" spans="2:30" ht="15" customHeight="1" x14ac:dyDescent="0.35">
      <c r="B597" s="14">
        <v>1151</v>
      </c>
      <c r="C597" s="4" t="s">
        <v>603</v>
      </c>
      <c r="D597" s="4" t="s">
        <v>2388</v>
      </c>
      <c r="E597" s="4" t="s">
        <v>2914</v>
      </c>
      <c r="F597" s="4" t="s">
        <v>85</v>
      </c>
      <c r="G597" s="4" t="s">
        <v>993</v>
      </c>
      <c r="H597" s="6">
        <v>2.7099999999999999E-2</v>
      </c>
      <c r="I597" s="8">
        <v>100</v>
      </c>
      <c r="J597" s="8">
        <v>22</v>
      </c>
      <c r="K597" s="8">
        <v>22</v>
      </c>
      <c r="L597" s="8">
        <f t="shared" si="30"/>
        <v>48400</v>
      </c>
      <c r="M597" s="15">
        <v>7897801300889</v>
      </c>
      <c r="N597" s="6" t="s">
        <v>20</v>
      </c>
      <c r="O597" s="6" t="s">
        <v>20</v>
      </c>
      <c r="P597" s="6" t="s">
        <v>20</v>
      </c>
      <c r="Q597" s="6">
        <v>0.23</v>
      </c>
      <c r="R597" s="6">
        <v>0.05</v>
      </c>
      <c r="S597" s="6">
        <v>0.23</v>
      </c>
      <c r="T597" s="8">
        <v>24</v>
      </c>
      <c r="U597" s="5" t="s">
        <v>994</v>
      </c>
      <c r="V597" s="89">
        <v>0</v>
      </c>
      <c r="W597" s="15">
        <v>17897801300886</v>
      </c>
      <c r="X597" s="6">
        <v>0.49</v>
      </c>
      <c r="Y597" s="6">
        <v>0.19</v>
      </c>
      <c r="Z597" s="6">
        <v>0.72</v>
      </c>
      <c r="AA597" s="6">
        <f t="shared" si="31"/>
        <v>6.7031999999999994E-2</v>
      </c>
      <c r="AB597" s="8">
        <v>720</v>
      </c>
      <c r="AC597" s="15">
        <v>27897801300883</v>
      </c>
      <c r="AD597" s="4" t="s">
        <v>992</v>
      </c>
    </row>
    <row r="598" spans="2:30" ht="15" customHeight="1" x14ac:dyDescent="0.35">
      <c r="B598" s="14">
        <v>1152</v>
      </c>
      <c r="C598" s="4" t="s">
        <v>604</v>
      </c>
      <c r="D598" s="4" t="s">
        <v>2388</v>
      </c>
      <c r="E598" s="4" t="s">
        <v>2914</v>
      </c>
      <c r="F598" s="4" t="s">
        <v>85</v>
      </c>
      <c r="G598" s="4" t="s">
        <v>993</v>
      </c>
      <c r="H598" s="6">
        <v>4.6100000000000002E-2</v>
      </c>
      <c r="I598" s="8">
        <v>115</v>
      </c>
      <c r="J598" s="8">
        <v>27</v>
      </c>
      <c r="K598" s="8">
        <v>27</v>
      </c>
      <c r="L598" s="8">
        <f t="shared" si="30"/>
        <v>83835</v>
      </c>
      <c r="M598" s="15">
        <v>7897801300896</v>
      </c>
      <c r="N598" s="6" t="s">
        <v>20</v>
      </c>
      <c r="O598" s="6" t="s">
        <v>20</v>
      </c>
      <c r="P598" s="6" t="s">
        <v>20</v>
      </c>
      <c r="Q598" s="6">
        <v>0.23</v>
      </c>
      <c r="R598" s="6">
        <v>0.08</v>
      </c>
      <c r="S598" s="6">
        <v>0.28999999999999998</v>
      </c>
      <c r="T598" s="8">
        <v>24</v>
      </c>
      <c r="U598" s="5" t="s">
        <v>994</v>
      </c>
      <c r="V598" s="89">
        <v>0</v>
      </c>
      <c r="W598" s="15">
        <v>17897801300893</v>
      </c>
      <c r="X598" s="6">
        <v>0.5</v>
      </c>
      <c r="Y598" s="6">
        <v>0.2</v>
      </c>
      <c r="Z598" s="6">
        <v>0.75</v>
      </c>
      <c r="AA598" s="6">
        <f t="shared" si="31"/>
        <v>7.5000000000000011E-2</v>
      </c>
      <c r="AB598" s="8">
        <v>360</v>
      </c>
      <c r="AC598" s="15">
        <v>27897801300890</v>
      </c>
      <c r="AD598" s="4" t="s">
        <v>992</v>
      </c>
    </row>
    <row r="599" spans="2:30" ht="15" customHeight="1" x14ac:dyDescent="0.35">
      <c r="B599" s="14">
        <v>1153</v>
      </c>
      <c r="C599" s="4" t="s">
        <v>605</v>
      </c>
      <c r="D599" s="4" t="s">
        <v>2388</v>
      </c>
      <c r="E599" s="4" t="s">
        <v>2914</v>
      </c>
      <c r="F599" s="4" t="s">
        <v>85</v>
      </c>
      <c r="G599" s="4" t="s">
        <v>993</v>
      </c>
      <c r="H599" s="6">
        <v>6.8400000000000002E-2</v>
      </c>
      <c r="I599" s="8">
        <v>142</v>
      </c>
      <c r="J599" s="8">
        <v>34</v>
      </c>
      <c r="K599" s="8">
        <v>34</v>
      </c>
      <c r="L599" s="8">
        <f t="shared" si="30"/>
        <v>164152</v>
      </c>
      <c r="M599" s="15">
        <v>7897801300902</v>
      </c>
      <c r="N599" s="6" t="s">
        <v>20</v>
      </c>
      <c r="O599" s="6" t="s">
        <v>20</v>
      </c>
      <c r="P599" s="6" t="s">
        <v>20</v>
      </c>
      <c r="Q599" s="6">
        <v>0.21</v>
      </c>
      <c r="R599" s="6">
        <v>7.0000000000000007E-2</v>
      </c>
      <c r="S599" s="6">
        <v>0.28000000000000003</v>
      </c>
      <c r="T599" s="8">
        <v>12</v>
      </c>
      <c r="U599" s="5" t="s">
        <v>994</v>
      </c>
      <c r="V599" s="89">
        <v>0</v>
      </c>
      <c r="W599" s="15">
        <v>17897801300909</v>
      </c>
      <c r="X599" s="6">
        <v>0.45</v>
      </c>
      <c r="Y599" s="6">
        <v>0.22</v>
      </c>
      <c r="Z599" s="6">
        <v>0.7</v>
      </c>
      <c r="AA599" s="6">
        <f t="shared" si="31"/>
        <v>6.93E-2</v>
      </c>
      <c r="AB599" s="8">
        <v>240</v>
      </c>
      <c r="AC599" s="15">
        <v>27897801300906</v>
      </c>
      <c r="AD599" s="4" t="s">
        <v>992</v>
      </c>
    </row>
    <row r="600" spans="2:30" x14ac:dyDescent="0.35">
      <c r="B600" s="18">
        <v>1154</v>
      </c>
      <c r="C600" s="24" t="s">
        <v>2435</v>
      </c>
      <c r="D600" s="4" t="s">
        <v>2388</v>
      </c>
      <c r="E600" s="4" t="s">
        <v>2914</v>
      </c>
      <c r="F600" s="4" t="s">
        <v>85</v>
      </c>
      <c r="G600" s="4" t="s">
        <v>993</v>
      </c>
      <c r="H600" s="6">
        <v>0.14649999999999999</v>
      </c>
      <c r="I600" s="8">
        <v>160</v>
      </c>
      <c r="J600" s="8">
        <v>50</v>
      </c>
      <c r="K600" s="8">
        <v>50</v>
      </c>
      <c r="L600" s="8">
        <v>400000</v>
      </c>
      <c r="M600" s="15">
        <v>7897801318150</v>
      </c>
      <c r="N600" s="6" t="s">
        <v>20</v>
      </c>
      <c r="O600" s="6" t="s">
        <v>20</v>
      </c>
      <c r="P600" s="6" t="s">
        <v>20</v>
      </c>
      <c r="Q600" s="6">
        <v>0.16</v>
      </c>
      <c r="R600" s="6">
        <v>0.09</v>
      </c>
      <c r="S600" s="6">
        <v>0.3</v>
      </c>
      <c r="T600" s="8">
        <v>5</v>
      </c>
      <c r="U600" s="5" t="s">
        <v>994</v>
      </c>
      <c r="V600" s="89">
        <v>0</v>
      </c>
      <c r="W600" s="15">
        <v>17897801318157</v>
      </c>
      <c r="X600" s="6">
        <v>0.46</v>
      </c>
      <c r="Y600" s="6">
        <v>0.23</v>
      </c>
      <c r="Z600" s="6">
        <v>0.68</v>
      </c>
      <c r="AA600" s="6">
        <v>7.1943999999999994E-2</v>
      </c>
      <c r="AB600" s="8">
        <v>40</v>
      </c>
      <c r="AC600" s="15">
        <v>27897801318154</v>
      </c>
      <c r="AD600" s="4" t="s">
        <v>992</v>
      </c>
    </row>
    <row r="601" spans="2:30" x14ac:dyDescent="0.35">
      <c r="B601" s="14">
        <v>1155</v>
      </c>
      <c r="C601" s="4" t="s">
        <v>606</v>
      </c>
      <c r="D601" s="4" t="s">
        <v>2388</v>
      </c>
      <c r="E601" s="4" t="s">
        <v>2914</v>
      </c>
      <c r="F601" s="4" t="s">
        <v>85</v>
      </c>
      <c r="G601" s="4" t="s">
        <v>1012</v>
      </c>
      <c r="H601" s="6">
        <v>6.8000000000000005E-2</v>
      </c>
      <c r="I601" s="8">
        <v>51</v>
      </c>
      <c r="J601" s="8">
        <v>21.45</v>
      </c>
      <c r="K601" s="8">
        <v>21.45</v>
      </c>
      <c r="L601" s="8">
        <f t="shared" ref="L601:L609" si="32">J601*I601*K601</f>
        <v>23465.227500000001</v>
      </c>
      <c r="M601" s="15">
        <v>7897801318112</v>
      </c>
      <c r="N601" s="6" t="s">
        <v>20</v>
      </c>
      <c r="O601" s="6" t="s">
        <v>20</v>
      </c>
      <c r="P601" s="6" t="s">
        <v>20</v>
      </c>
      <c r="Q601" s="6">
        <v>0</v>
      </c>
      <c r="R601" s="6">
        <v>0</v>
      </c>
      <c r="S601" s="6">
        <v>0</v>
      </c>
      <c r="T601" s="8">
        <v>5</v>
      </c>
      <c r="U601" s="5" t="s">
        <v>994</v>
      </c>
      <c r="V601" s="89">
        <v>0</v>
      </c>
      <c r="W601" s="15">
        <v>17897801318119</v>
      </c>
      <c r="X601" s="6">
        <v>0.49</v>
      </c>
      <c r="Y601" s="6">
        <v>0.16</v>
      </c>
      <c r="Z601" s="6">
        <v>0.72</v>
      </c>
      <c r="AA601" s="6">
        <f t="shared" ref="AA601:AA609" si="33">Y601*X601*Z601</f>
        <v>5.6447999999999998E-2</v>
      </c>
      <c r="AB601" s="8">
        <v>40</v>
      </c>
      <c r="AC601" s="15">
        <v>27897801318116</v>
      </c>
      <c r="AD601" s="4" t="s">
        <v>992</v>
      </c>
    </row>
    <row r="602" spans="2:30" x14ac:dyDescent="0.35">
      <c r="B602" s="14">
        <v>1156</v>
      </c>
      <c r="C602" s="4" t="s">
        <v>607</v>
      </c>
      <c r="D602" s="4" t="s">
        <v>2388</v>
      </c>
      <c r="E602" s="4" t="s">
        <v>2914</v>
      </c>
      <c r="F602" s="4" t="s">
        <v>85</v>
      </c>
      <c r="G602" s="4" t="s">
        <v>993</v>
      </c>
      <c r="H602" s="6">
        <v>0.38500000000000001</v>
      </c>
      <c r="I602" s="8">
        <v>60</v>
      </c>
      <c r="J602" s="8">
        <v>210</v>
      </c>
      <c r="K602" s="8">
        <v>210</v>
      </c>
      <c r="L602" s="8">
        <f t="shared" si="32"/>
        <v>2646000</v>
      </c>
      <c r="M602" s="15">
        <v>7897801316651</v>
      </c>
      <c r="N602" s="6" t="s">
        <v>20</v>
      </c>
      <c r="O602" s="6" t="s">
        <v>20</v>
      </c>
      <c r="P602" s="6" t="s">
        <v>20</v>
      </c>
      <c r="Q602" s="6">
        <v>0.33</v>
      </c>
      <c r="R602" s="6">
        <v>0.12</v>
      </c>
      <c r="S602" s="6">
        <v>0.45</v>
      </c>
      <c r="T602" s="8">
        <v>5</v>
      </c>
      <c r="U602" s="5" t="s">
        <v>994</v>
      </c>
      <c r="V602" s="89">
        <v>0</v>
      </c>
      <c r="W602" s="15">
        <v>17897801316658</v>
      </c>
      <c r="X602" s="6">
        <v>0.45</v>
      </c>
      <c r="Y602" s="6">
        <v>0.25</v>
      </c>
      <c r="Z602" s="6">
        <v>0.6</v>
      </c>
      <c r="AA602" s="6">
        <f t="shared" si="33"/>
        <v>6.7500000000000004E-2</v>
      </c>
      <c r="AB602" s="8">
        <v>35</v>
      </c>
      <c r="AC602" s="15">
        <v>27897801316655</v>
      </c>
      <c r="AD602" s="4" t="s">
        <v>992</v>
      </c>
    </row>
    <row r="603" spans="2:30" x14ac:dyDescent="0.35">
      <c r="B603" s="14">
        <v>1157</v>
      </c>
      <c r="C603" s="4" t="s">
        <v>608</v>
      </c>
      <c r="D603" s="4" t="s">
        <v>2388</v>
      </c>
      <c r="E603" s="4" t="s">
        <v>2914</v>
      </c>
      <c r="F603" s="4" t="s">
        <v>85</v>
      </c>
      <c r="G603" s="4" t="s">
        <v>993</v>
      </c>
      <c r="H603" s="6">
        <v>0.47</v>
      </c>
      <c r="I603" s="8">
        <v>750</v>
      </c>
      <c r="J603" s="8">
        <v>240</v>
      </c>
      <c r="K603" s="8">
        <v>240</v>
      </c>
      <c r="L603" s="8">
        <f t="shared" si="32"/>
        <v>43200000</v>
      </c>
      <c r="M603" s="15">
        <v>7897801316668</v>
      </c>
      <c r="N603" s="6" t="s">
        <v>20</v>
      </c>
      <c r="O603" s="6" t="s">
        <v>20</v>
      </c>
      <c r="P603" s="6" t="s">
        <v>20</v>
      </c>
      <c r="Q603" s="6">
        <v>0.35</v>
      </c>
      <c r="R603" s="6">
        <v>0.14000000000000001</v>
      </c>
      <c r="S603" s="6">
        <v>0.45</v>
      </c>
      <c r="T603" s="8">
        <v>5</v>
      </c>
      <c r="U603" s="5" t="s">
        <v>994</v>
      </c>
      <c r="V603" s="89">
        <v>0</v>
      </c>
      <c r="W603" s="15">
        <v>17897801316665</v>
      </c>
      <c r="X603" s="6">
        <v>0.5</v>
      </c>
      <c r="Y603" s="6">
        <v>0.25</v>
      </c>
      <c r="Z603" s="6">
        <v>0.7</v>
      </c>
      <c r="AA603" s="6">
        <f t="shared" si="33"/>
        <v>8.7499999999999994E-2</v>
      </c>
      <c r="AB603" s="8">
        <v>0</v>
      </c>
      <c r="AC603" s="15">
        <v>27897801316662</v>
      </c>
      <c r="AD603" s="4" t="s">
        <v>992</v>
      </c>
    </row>
    <row r="604" spans="2:30" x14ac:dyDescent="0.35">
      <c r="B604" s="14">
        <v>1158</v>
      </c>
      <c r="C604" s="4" t="s">
        <v>609</v>
      </c>
      <c r="D604" s="4" t="s">
        <v>2388</v>
      </c>
      <c r="E604" s="4" t="s">
        <v>2914</v>
      </c>
      <c r="F604" s="4" t="s">
        <v>85</v>
      </c>
      <c r="G604" s="4" t="s">
        <v>993</v>
      </c>
      <c r="H604" s="6">
        <v>0.65500000000000003</v>
      </c>
      <c r="I604" s="8">
        <v>220</v>
      </c>
      <c r="J604" s="8">
        <v>57</v>
      </c>
      <c r="K604" s="8">
        <v>220</v>
      </c>
      <c r="L604" s="8">
        <f t="shared" si="32"/>
        <v>2758800</v>
      </c>
      <c r="M604" s="15">
        <v>7897801316644</v>
      </c>
      <c r="N604" s="6" t="s">
        <v>20</v>
      </c>
      <c r="O604" s="6" t="s">
        <v>20</v>
      </c>
      <c r="P604" s="6" t="s">
        <v>20</v>
      </c>
      <c r="Q604" s="6">
        <v>0.28000000000000003</v>
      </c>
      <c r="R604" s="6">
        <v>9.5000000000000001E-2</v>
      </c>
      <c r="S604" s="6">
        <v>0.28000000000000003</v>
      </c>
      <c r="T604" s="8">
        <v>1</v>
      </c>
      <c r="U604" s="5" t="s">
        <v>994</v>
      </c>
      <c r="V604" s="89">
        <v>0</v>
      </c>
      <c r="W604" s="15">
        <v>17897801316641</v>
      </c>
      <c r="X604" s="6">
        <v>0.55000000000000004</v>
      </c>
      <c r="Y604" s="6">
        <v>0.22</v>
      </c>
      <c r="Z604" s="6">
        <v>0.7</v>
      </c>
      <c r="AA604" s="6">
        <f t="shared" si="33"/>
        <v>8.4699999999999998E-2</v>
      </c>
      <c r="AB604" s="8">
        <v>12</v>
      </c>
      <c r="AC604" s="15">
        <v>27897801316648</v>
      </c>
      <c r="AD604" s="4" t="s">
        <v>992</v>
      </c>
    </row>
    <row r="605" spans="2:30" x14ac:dyDescent="0.35">
      <c r="B605" s="14">
        <v>1159</v>
      </c>
      <c r="C605" s="4" t="s">
        <v>610</v>
      </c>
      <c r="D605" s="4" t="s">
        <v>2388</v>
      </c>
      <c r="E605" s="4" t="s">
        <v>2914</v>
      </c>
      <c r="F605" s="4" t="s">
        <v>85</v>
      </c>
      <c r="G605" s="4" t="s">
        <v>993</v>
      </c>
      <c r="H605" s="6">
        <v>1.1000000000000001</v>
      </c>
      <c r="I605" s="8">
        <v>350</v>
      </c>
      <c r="J605" s="8">
        <v>350</v>
      </c>
      <c r="K605" s="8">
        <v>110</v>
      </c>
      <c r="L605" s="8">
        <f t="shared" si="32"/>
        <v>13475000</v>
      </c>
      <c r="M605" s="15">
        <v>7897801316637</v>
      </c>
      <c r="N605" s="6" t="s">
        <v>20</v>
      </c>
      <c r="O605" s="6" t="s">
        <v>20</v>
      </c>
      <c r="P605" s="6" t="s">
        <v>20</v>
      </c>
      <c r="Q605" s="6">
        <v>0.31</v>
      </c>
      <c r="R605" s="6">
        <v>0.115</v>
      </c>
      <c r="S605" s="6">
        <v>0.31</v>
      </c>
      <c r="T605" s="8">
        <v>1</v>
      </c>
      <c r="U605" s="5" t="s">
        <v>994</v>
      </c>
      <c r="V605" s="89">
        <v>0</v>
      </c>
      <c r="W605" s="15">
        <v>17897801316634</v>
      </c>
      <c r="X605" s="6">
        <v>0.6</v>
      </c>
      <c r="Y605" s="6">
        <v>0.3</v>
      </c>
      <c r="Z605" s="6">
        <v>0.8</v>
      </c>
      <c r="AA605" s="6">
        <f t="shared" si="33"/>
        <v>0.14399999999999999</v>
      </c>
      <c r="AB605" s="8">
        <v>10</v>
      </c>
      <c r="AC605" s="15">
        <v>27897801316631</v>
      </c>
      <c r="AD605" s="4" t="s">
        <v>992</v>
      </c>
    </row>
    <row r="606" spans="2:30" x14ac:dyDescent="0.35">
      <c r="B606" s="14">
        <v>1160</v>
      </c>
      <c r="C606" s="4" t="s">
        <v>611</v>
      </c>
      <c r="D606" s="4" t="s">
        <v>2388</v>
      </c>
      <c r="E606" s="4" t="s">
        <v>2914</v>
      </c>
      <c r="F606" s="4" t="s">
        <v>85</v>
      </c>
      <c r="G606" s="4" t="s">
        <v>993</v>
      </c>
      <c r="H606" s="6">
        <v>6.4600000000000005E-2</v>
      </c>
      <c r="I606" s="8">
        <v>180</v>
      </c>
      <c r="J606" s="8">
        <v>27</v>
      </c>
      <c r="K606" s="8">
        <v>27</v>
      </c>
      <c r="L606" s="8">
        <f t="shared" si="32"/>
        <v>131220</v>
      </c>
      <c r="M606" s="15">
        <v>7897801300919</v>
      </c>
      <c r="N606" s="6" t="s">
        <v>20</v>
      </c>
      <c r="O606" s="6" t="s">
        <v>20</v>
      </c>
      <c r="P606" s="6" t="s">
        <v>20</v>
      </c>
      <c r="Q606" s="6">
        <v>0.21</v>
      </c>
      <c r="R606" s="6">
        <v>7.4999999999999997E-2</v>
      </c>
      <c r="S606" s="6">
        <v>0.3</v>
      </c>
      <c r="T606" s="8">
        <v>10</v>
      </c>
      <c r="U606" s="5" t="s">
        <v>994</v>
      </c>
      <c r="V606" s="89">
        <v>0</v>
      </c>
      <c r="W606" s="15">
        <v>17897801300916</v>
      </c>
      <c r="X606" s="6">
        <v>0.5</v>
      </c>
      <c r="Y606" s="6">
        <v>0.25</v>
      </c>
      <c r="Z606" s="6">
        <v>0.72</v>
      </c>
      <c r="AA606" s="6">
        <f t="shared" si="33"/>
        <v>0.09</v>
      </c>
      <c r="AB606" s="8">
        <v>250</v>
      </c>
      <c r="AC606" s="15">
        <v>27897801300913</v>
      </c>
      <c r="AD606" s="4" t="s">
        <v>992</v>
      </c>
    </row>
    <row r="607" spans="2:30" x14ac:dyDescent="0.35">
      <c r="B607" s="14">
        <v>1161</v>
      </c>
      <c r="C607" s="4" t="s">
        <v>612</v>
      </c>
      <c r="D607" s="4" t="s">
        <v>2388</v>
      </c>
      <c r="E607" s="4" t="s">
        <v>2914</v>
      </c>
      <c r="F607" s="4" t="s">
        <v>85</v>
      </c>
      <c r="G607" s="4" t="s">
        <v>993</v>
      </c>
      <c r="H607" s="6">
        <v>0.1061</v>
      </c>
      <c r="I607" s="8">
        <v>198</v>
      </c>
      <c r="J607" s="8">
        <v>34</v>
      </c>
      <c r="K607" s="8">
        <v>34</v>
      </c>
      <c r="L607" s="8">
        <f t="shared" si="32"/>
        <v>228888</v>
      </c>
      <c r="M607" s="15">
        <v>7897801300926</v>
      </c>
      <c r="N607" s="6" t="s">
        <v>20</v>
      </c>
      <c r="O607" s="6" t="s">
        <v>20</v>
      </c>
      <c r="P607" s="6" t="s">
        <v>20</v>
      </c>
      <c r="Q607" s="6">
        <v>0.23</v>
      </c>
      <c r="R607" s="6">
        <v>0.12</v>
      </c>
      <c r="S607" s="6">
        <v>0.26</v>
      </c>
      <c r="T607" s="8">
        <v>6</v>
      </c>
      <c r="U607" s="5" t="s">
        <v>994</v>
      </c>
      <c r="V607" s="89">
        <v>0</v>
      </c>
      <c r="W607" s="15">
        <v>17897801300923</v>
      </c>
      <c r="X607" s="6">
        <v>0.52</v>
      </c>
      <c r="Y607" s="6">
        <v>0.22</v>
      </c>
      <c r="Z607" s="6">
        <v>0.67</v>
      </c>
      <c r="AA607" s="6">
        <f t="shared" si="33"/>
        <v>7.6648000000000008E-2</v>
      </c>
      <c r="AB607" s="8">
        <v>150</v>
      </c>
      <c r="AC607" s="15">
        <v>27897801300920</v>
      </c>
      <c r="AD607" s="4" t="s">
        <v>992</v>
      </c>
    </row>
    <row r="608" spans="2:30" x14ac:dyDescent="0.35">
      <c r="B608" s="14">
        <v>1162</v>
      </c>
      <c r="C608" s="4" t="s">
        <v>613</v>
      </c>
      <c r="D608" s="4" t="s">
        <v>2388</v>
      </c>
      <c r="E608" s="4" t="s">
        <v>2914</v>
      </c>
      <c r="F608" s="4" t="s">
        <v>85</v>
      </c>
      <c r="G608" s="4" t="s">
        <v>993</v>
      </c>
      <c r="H608" s="6">
        <v>9.1300000000000006E-2</v>
      </c>
      <c r="I608" s="8">
        <v>190</v>
      </c>
      <c r="J608" s="8">
        <v>25</v>
      </c>
      <c r="K608" s="8">
        <v>25</v>
      </c>
      <c r="L608" s="8">
        <f t="shared" si="32"/>
        <v>118750</v>
      </c>
      <c r="M608" s="15">
        <v>7897801300933</v>
      </c>
      <c r="N608" s="6" t="s">
        <v>20</v>
      </c>
      <c r="O608" s="6" t="s">
        <v>20</v>
      </c>
      <c r="P608" s="6" t="s">
        <v>20</v>
      </c>
      <c r="Q608" s="6">
        <v>0.28000000000000003</v>
      </c>
      <c r="R608" s="6">
        <v>7.0000000000000007E-2</v>
      </c>
      <c r="S608" s="6">
        <v>0.34</v>
      </c>
      <c r="T608" s="8">
        <v>10</v>
      </c>
      <c r="U608" s="5" t="s">
        <v>994</v>
      </c>
      <c r="V608" s="89">
        <v>0</v>
      </c>
      <c r="W608" s="15">
        <v>17897801300930</v>
      </c>
      <c r="X608" s="6">
        <v>0.55000000000000004</v>
      </c>
      <c r="Y608" s="6">
        <v>0.38</v>
      </c>
      <c r="Z608" s="6">
        <v>0.77</v>
      </c>
      <c r="AA608" s="6">
        <f t="shared" si="33"/>
        <v>0.16093000000000002</v>
      </c>
      <c r="AB608" s="8">
        <v>180</v>
      </c>
      <c r="AC608" s="15">
        <v>27897801300937</v>
      </c>
      <c r="AD608" s="4" t="s">
        <v>992</v>
      </c>
    </row>
    <row r="609" spans="2:30" x14ac:dyDescent="0.35">
      <c r="B609" s="14">
        <v>1163</v>
      </c>
      <c r="C609" s="4" t="s">
        <v>614</v>
      </c>
      <c r="D609" s="4" t="s">
        <v>2388</v>
      </c>
      <c r="E609" s="4" t="s">
        <v>2914</v>
      </c>
      <c r="F609" s="4" t="s">
        <v>85</v>
      </c>
      <c r="G609" s="4" t="s">
        <v>993</v>
      </c>
      <c r="H609" s="6">
        <v>0.1376</v>
      </c>
      <c r="I609" s="8">
        <v>205</v>
      </c>
      <c r="J609" s="8">
        <v>27</v>
      </c>
      <c r="K609" s="8">
        <v>27</v>
      </c>
      <c r="L609" s="8">
        <f t="shared" si="32"/>
        <v>149445</v>
      </c>
      <c r="M609" s="15">
        <v>7897801300940</v>
      </c>
      <c r="N609" s="6" t="s">
        <v>20</v>
      </c>
      <c r="O609" s="6" t="s">
        <v>20</v>
      </c>
      <c r="P609" s="6" t="s">
        <v>20</v>
      </c>
      <c r="Q609" s="6">
        <v>0.26</v>
      </c>
      <c r="R609" s="6">
        <v>0.1</v>
      </c>
      <c r="S609" s="6">
        <v>0.3</v>
      </c>
      <c r="T609" s="8">
        <v>6</v>
      </c>
      <c r="U609" s="5" t="s">
        <v>994</v>
      </c>
      <c r="V609" s="89">
        <v>0</v>
      </c>
      <c r="W609" s="15">
        <v>17897801300947</v>
      </c>
      <c r="X609" s="6">
        <v>0.55000000000000004</v>
      </c>
      <c r="Y609" s="6">
        <v>0.35</v>
      </c>
      <c r="Z609" s="6">
        <v>0.65</v>
      </c>
      <c r="AA609" s="6">
        <f t="shared" si="33"/>
        <v>0.12512500000000001</v>
      </c>
      <c r="AB609" s="8">
        <v>120</v>
      </c>
      <c r="AC609" s="15">
        <v>27897801300944</v>
      </c>
      <c r="AD609" s="4" t="s">
        <v>992</v>
      </c>
    </row>
    <row r="610" spans="2:30" x14ac:dyDescent="0.35">
      <c r="B610" s="18">
        <v>1165</v>
      </c>
      <c r="C610" s="24" t="s">
        <v>2938</v>
      </c>
      <c r="D610" s="4" t="s">
        <v>2370</v>
      </c>
      <c r="E610" s="4" t="s">
        <v>2913</v>
      </c>
      <c r="F610" s="4" t="s">
        <v>85</v>
      </c>
      <c r="G610" s="4" t="s">
        <v>993</v>
      </c>
      <c r="H610" s="6">
        <v>3.1E-2</v>
      </c>
      <c r="I610" s="8">
        <v>64</v>
      </c>
      <c r="J610" s="8">
        <v>57</v>
      </c>
      <c r="K610" s="8">
        <v>64</v>
      </c>
      <c r="L610" s="8">
        <v>233472</v>
      </c>
      <c r="M610" s="15">
        <v>7897801318723</v>
      </c>
      <c r="N610" s="6" t="s">
        <v>20</v>
      </c>
      <c r="O610" s="6" t="s">
        <v>20</v>
      </c>
      <c r="P610" s="6" t="s">
        <v>20</v>
      </c>
      <c r="Q610" s="6">
        <v>0.16500000000000001</v>
      </c>
      <c r="R610" s="6">
        <v>6.4000000000000001E-2</v>
      </c>
      <c r="S610" s="6">
        <v>0.25</v>
      </c>
      <c r="T610" s="8">
        <v>10</v>
      </c>
      <c r="U610" s="5" t="s">
        <v>994</v>
      </c>
      <c r="V610" s="89">
        <v>0</v>
      </c>
      <c r="W610" s="15">
        <v>17897801318720</v>
      </c>
      <c r="X610" s="6">
        <v>0.42</v>
      </c>
      <c r="Y610" s="6">
        <v>0.17</v>
      </c>
      <c r="Z610" s="6">
        <v>0.5</v>
      </c>
      <c r="AA610" s="6">
        <v>3.5700000000000003E-2</v>
      </c>
      <c r="AB610" s="8">
        <v>120</v>
      </c>
      <c r="AC610" s="15">
        <v>27897801318727</v>
      </c>
      <c r="AD610" s="4" t="s">
        <v>992</v>
      </c>
    </row>
    <row r="611" spans="2:30" x14ac:dyDescent="0.35">
      <c r="B611" s="18">
        <v>1166</v>
      </c>
      <c r="C611" s="24" t="s">
        <v>2939</v>
      </c>
      <c r="D611" s="4" t="s">
        <v>2370</v>
      </c>
      <c r="E611" s="4" t="s">
        <v>2913</v>
      </c>
      <c r="F611" s="4" t="s">
        <v>85</v>
      </c>
      <c r="G611" s="4" t="s">
        <v>993</v>
      </c>
      <c r="H611" s="6">
        <v>4.87E-2</v>
      </c>
      <c r="I611" s="8">
        <v>85</v>
      </c>
      <c r="J611" s="8">
        <v>65</v>
      </c>
      <c r="K611" s="8">
        <v>85</v>
      </c>
      <c r="L611" s="8">
        <v>469625</v>
      </c>
      <c r="M611" s="15">
        <v>7897801318730</v>
      </c>
      <c r="N611" s="6" t="s">
        <v>20</v>
      </c>
      <c r="O611" s="6" t="s">
        <v>20</v>
      </c>
      <c r="P611" s="6" t="s">
        <v>20</v>
      </c>
      <c r="Q611" s="6">
        <v>0.17</v>
      </c>
      <c r="R611" s="6">
        <v>8.5000000000000006E-2</v>
      </c>
      <c r="S611" s="6">
        <v>0.2</v>
      </c>
      <c r="T611" s="8">
        <v>4</v>
      </c>
      <c r="U611" s="5" t="s">
        <v>994</v>
      </c>
      <c r="V611" s="89">
        <v>0</v>
      </c>
      <c r="W611" s="15">
        <v>17897801318737</v>
      </c>
      <c r="X611" s="6">
        <v>0.4</v>
      </c>
      <c r="Y611" s="6">
        <v>0.22</v>
      </c>
      <c r="Z611" s="6">
        <v>0.55000000000000004</v>
      </c>
      <c r="AA611" s="6">
        <v>4.8399999999999999E-2</v>
      </c>
      <c r="AB611" s="8">
        <v>64</v>
      </c>
      <c r="AC611" s="15">
        <v>27897801318734</v>
      </c>
      <c r="AD611" s="4" t="s">
        <v>992</v>
      </c>
    </row>
    <row r="612" spans="2:30" x14ac:dyDescent="0.35">
      <c r="B612" s="18">
        <v>1167</v>
      </c>
      <c r="C612" s="24" t="s">
        <v>2940</v>
      </c>
      <c r="D612" s="4" t="s">
        <v>2370</v>
      </c>
      <c r="E612" s="4" t="s">
        <v>2913</v>
      </c>
      <c r="F612" s="4" t="s">
        <v>85</v>
      </c>
      <c r="G612" s="4" t="s">
        <v>993</v>
      </c>
      <c r="H612" s="6">
        <v>0.10059999999999999</v>
      </c>
      <c r="I612" s="8">
        <v>115</v>
      </c>
      <c r="J612" s="8">
        <v>74</v>
      </c>
      <c r="K612" s="8">
        <v>115</v>
      </c>
      <c r="L612" s="8">
        <v>973728</v>
      </c>
      <c r="M612" s="15">
        <v>7897801318921</v>
      </c>
      <c r="N612" s="6" t="s">
        <v>20</v>
      </c>
      <c r="O612" s="6" t="s">
        <v>20</v>
      </c>
      <c r="P612" s="6" t="s">
        <v>20</v>
      </c>
      <c r="Q612" s="6">
        <v>0.18</v>
      </c>
      <c r="R612" s="6">
        <v>7.3499999999999996E-2</v>
      </c>
      <c r="S612" s="6">
        <v>0.25</v>
      </c>
      <c r="T612" s="8">
        <v>5</v>
      </c>
      <c r="U612" s="5" t="s">
        <v>994</v>
      </c>
      <c r="V612" s="89">
        <v>0</v>
      </c>
      <c r="W612" s="15">
        <v>17897801318928</v>
      </c>
      <c r="X612" s="6">
        <v>0.35</v>
      </c>
      <c r="Y612" s="6">
        <v>0.16500000000000001</v>
      </c>
      <c r="Z612" s="6">
        <v>0.57999999999999996</v>
      </c>
      <c r="AA612" s="6">
        <v>3.3500000000000002E-2</v>
      </c>
      <c r="AB612" s="8">
        <v>30</v>
      </c>
      <c r="AC612" s="15">
        <v>27897801318925</v>
      </c>
      <c r="AD612" s="4" t="s">
        <v>992</v>
      </c>
    </row>
    <row r="613" spans="2:30" x14ac:dyDescent="0.35">
      <c r="B613" s="18">
        <v>1168</v>
      </c>
      <c r="C613" s="24" t="s">
        <v>2943</v>
      </c>
      <c r="D613" s="4" t="s">
        <v>2370</v>
      </c>
      <c r="E613" s="4" t="s">
        <v>2913</v>
      </c>
      <c r="F613" s="4" t="s">
        <v>85</v>
      </c>
      <c r="G613" s="4" t="s">
        <v>993</v>
      </c>
      <c r="H613" s="6">
        <v>7.7200000000000005E-2</v>
      </c>
      <c r="I613" s="8">
        <v>165</v>
      </c>
      <c r="J613" s="8">
        <v>63</v>
      </c>
      <c r="K613" s="8">
        <v>165</v>
      </c>
      <c r="L613" s="8">
        <v>1715175</v>
      </c>
      <c r="M613" s="15">
        <v>7897801318938</v>
      </c>
      <c r="N613" s="6" t="s">
        <v>20</v>
      </c>
      <c r="O613" s="6" t="s">
        <v>20</v>
      </c>
      <c r="P613" s="6" t="s">
        <v>20</v>
      </c>
      <c r="Q613" s="6">
        <v>0.21</v>
      </c>
      <c r="R613" s="6">
        <v>6.3E-2</v>
      </c>
      <c r="S613" s="6">
        <v>0.32500000000000001</v>
      </c>
      <c r="T613" s="8">
        <v>4</v>
      </c>
      <c r="U613" s="5" t="s">
        <v>994</v>
      </c>
      <c r="V613" s="89">
        <v>0</v>
      </c>
      <c r="W613" s="15">
        <v>17897801318935</v>
      </c>
      <c r="X613" s="6">
        <v>0.43</v>
      </c>
      <c r="Y613" s="6">
        <v>0.28000000000000003</v>
      </c>
      <c r="Z613" s="6">
        <v>0.63</v>
      </c>
      <c r="AA613" s="6">
        <v>7.5899999999999995E-2</v>
      </c>
      <c r="AB613" s="8">
        <v>48</v>
      </c>
      <c r="AC613" s="15">
        <v>27897801318932</v>
      </c>
      <c r="AD613" s="4" t="s">
        <v>992</v>
      </c>
    </row>
    <row r="614" spans="2:30" x14ac:dyDescent="0.35">
      <c r="B614" s="18">
        <v>1169</v>
      </c>
      <c r="C614" s="24" t="s">
        <v>2944</v>
      </c>
      <c r="D614" s="4" t="s">
        <v>2370</v>
      </c>
      <c r="E614" s="4" t="s">
        <v>2913</v>
      </c>
      <c r="F614" s="4" t="s">
        <v>85</v>
      </c>
      <c r="G614" s="4" t="s">
        <v>993</v>
      </c>
      <c r="H614" s="6">
        <v>0.15</v>
      </c>
      <c r="I614" s="8">
        <v>215</v>
      </c>
      <c r="J614" s="8">
        <v>65</v>
      </c>
      <c r="K614" s="8">
        <v>215</v>
      </c>
      <c r="L614" s="8">
        <v>3004625</v>
      </c>
      <c r="M614" s="15">
        <v>7897801318945</v>
      </c>
      <c r="N614" s="6" t="s">
        <v>20</v>
      </c>
      <c r="O614" s="6" t="s">
        <v>20</v>
      </c>
      <c r="P614" s="6" t="s">
        <v>20</v>
      </c>
      <c r="Q614" s="6">
        <v>0.3</v>
      </c>
      <c r="R614" s="6">
        <v>6.5000000000000002E-2</v>
      </c>
      <c r="S614" s="6">
        <v>0.44</v>
      </c>
      <c r="T614" s="8">
        <v>4</v>
      </c>
      <c r="U614" s="5" t="s">
        <v>994</v>
      </c>
      <c r="V614" s="89">
        <v>0</v>
      </c>
      <c r="W614" s="15">
        <v>17897801318942</v>
      </c>
      <c r="X614" s="6">
        <v>0.5</v>
      </c>
      <c r="Y614" s="6">
        <v>0.185</v>
      </c>
      <c r="Z614" s="6">
        <v>0.59</v>
      </c>
      <c r="AA614" s="6">
        <v>5.4600000000000003E-2</v>
      </c>
      <c r="AB614" s="8">
        <v>24</v>
      </c>
      <c r="AC614" s="15">
        <v>27897801318949</v>
      </c>
      <c r="AD614" s="4" t="s">
        <v>992</v>
      </c>
    </row>
    <row r="615" spans="2:30" x14ac:dyDescent="0.35">
      <c r="B615" s="14">
        <v>1181</v>
      </c>
      <c r="C615" s="4" t="s">
        <v>615</v>
      </c>
      <c r="D615" s="4" t="s">
        <v>2388</v>
      </c>
      <c r="E615" s="4" t="s">
        <v>2914</v>
      </c>
      <c r="F615" s="4" t="s">
        <v>85</v>
      </c>
      <c r="G615" s="4" t="s">
        <v>993</v>
      </c>
      <c r="H615" s="6">
        <v>1.41E-2</v>
      </c>
      <c r="I615" s="8">
        <v>27</v>
      </c>
      <c r="J615" s="8">
        <v>37</v>
      </c>
      <c r="K615" s="8">
        <v>27</v>
      </c>
      <c r="L615" s="8">
        <f t="shared" ref="L615:L640" si="34">J615*I615*K615</f>
        <v>26973</v>
      </c>
      <c r="M615" s="15">
        <v>7897801301688</v>
      </c>
      <c r="N615" s="6" t="s">
        <v>20</v>
      </c>
      <c r="O615" s="6" t="s">
        <v>20</v>
      </c>
      <c r="P615" s="6" t="s">
        <v>20</v>
      </c>
      <c r="Q615" s="6">
        <v>0.16500000000000001</v>
      </c>
      <c r="R615" s="6">
        <v>0.06</v>
      </c>
      <c r="S615" s="6">
        <v>0.26</v>
      </c>
      <c r="T615" s="8">
        <v>50</v>
      </c>
      <c r="U615" s="5" t="s">
        <v>994</v>
      </c>
      <c r="V615" s="89">
        <v>0</v>
      </c>
      <c r="W615" s="15">
        <v>17897801301685</v>
      </c>
      <c r="X615" s="6">
        <v>0.48</v>
      </c>
      <c r="Y615" s="6">
        <v>0.21</v>
      </c>
      <c r="Z615" s="6">
        <v>0.69</v>
      </c>
      <c r="AA615" s="6">
        <f t="shared" ref="AA615:AA622" si="35">Y615*X615*Z615</f>
        <v>6.9551999999999989E-2</v>
      </c>
      <c r="AB615" s="8">
        <v>1500</v>
      </c>
      <c r="AC615" s="15">
        <v>27897801301682</v>
      </c>
      <c r="AD615" s="4" t="s">
        <v>992</v>
      </c>
    </row>
    <row r="616" spans="2:30" x14ac:dyDescent="0.35">
      <c r="B616" s="14">
        <v>1182</v>
      </c>
      <c r="C616" s="4" t="s">
        <v>616</v>
      </c>
      <c r="D616" s="4" t="s">
        <v>2388</v>
      </c>
      <c r="E616" s="4" t="s">
        <v>2914</v>
      </c>
      <c r="F616" s="4" t="s">
        <v>85</v>
      </c>
      <c r="G616" s="4" t="s">
        <v>993</v>
      </c>
      <c r="H616" s="6">
        <v>1.7000000000000001E-2</v>
      </c>
      <c r="I616" s="8">
        <v>32</v>
      </c>
      <c r="J616" s="8">
        <v>37</v>
      </c>
      <c r="K616" s="8">
        <v>32</v>
      </c>
      <c r="L616" s="8">
        <f t="shared" si="34"/>
        <v>37888</v>
      </c>
      <c r="M616" s="15">
        <v>7897801301503</v>
      </c>
      <c r="N616" s="6" t="s">
        <v>20</v>
      </c>
      <c r="O616" s="6" t="s">
        <v>20</v>
      </c>
      <c r="P616" s="6" t="s">
        <v>20</v>
      </c>
      <c r="Q616" s="6">
        <v>0.21</v>
      </c>
      <c r="R616" s="6">
        <v>0.05</v>
      </c>
      <c r="S616" s="6">
        <v>0.3</v>
      </c>
      <c r="T616" s="8">
        <v>50</v>
      </c>
      <c r="U616" s="5" t="s">
        <v>994</v>
      </c>
      <c r="V616" s="89">
        <v>0</v>
      </c>
      <c r="W616" s="15">
        <v>17897801301500</v>
      </c>
      <c r="X616" s="6">
        <v>0.5</v>
      </c>
      <c r="Y616" s="6">
        <v>0.22</v>
      </c>
      <c r="Z616" s="6">
        <v>0.7</v>
      </c>
      <c r="AA616" s="6">
        <f t="shared" si="35"/>
        <v>7.6999999999999999E-2</v>
      </c>
      <c r="AB616" s="8">
        <v>1200</v>
      </c>
      <c r="AC616" s="15">
        <v>27897801301507</v>
      </c>
      <c r="AD616" s="4" t="s">
        <v>992</v>
      </c>
    </row>
    <row r="617" spans="2:30" x14ac:dyDescent="0.35">
      <c r="B617" s="14">
        <v>1183</v>
      </c>
      <c r="C617" s="4" t="s">
        <v>617</v>
      </c>
      <c r="D617" s="4" t="s">
        <v>2388</v>
      </c>
      <c r="E617" s="4" t="s">
        <v>2914</v>
      </c>
      <c r="F617" s="4" t="s">
        <v>85</v>
      </c>
      <c r="G617" s="4" t="s">
        <v>993</v>
      </c>
      <c r="H617" s="6">
        <v>3.6499999999999998E-2</v>
      </c>
      <c r="I617" s="8">
        <v>42</v>
      </c>
      <c r="J617" s="8">
        <v>46</v>
      </c>
      <c r="K617" s="8">
        <v>42</v>
      </c>
      <c r="L617" s="8">
        <f t="shared" si="34"/>
        <v>81144</v>
      </c>
      <c r="M617" s="15">
        <v>7897801301664</v>
      </c>
      <c r="N617" s="6" t="s">
        <v>20</v>
      </c>
      <c r="O617" s="6" t="s">
        <v>20</v>
      </c>
      <c r="P617" s="6" t="s">
        <v>20</v>
      </c>
      <c r="Q617" s="6">
        <v>0.2</v>
      </c>
      <c r="R617" s="6">
        <v>7.0000000000000007E-2</v>
      </c>
      <c r="S617" s="6">
        <v>0.26</v>
      </c>
      <c r="T617" s="8">
        <v>30</v>
      </c>
      <c r="U617" s="5" t="s">
        <v>994</v>
      </c>
      <c r="V617" s="89">
        <v>0</v>
      </c>
      <c r="W617" s="15">
        <v>17897801301661</v>
      </c>
      <c r="X617" s="6">
        <v>0.43</v>
      </c>
      <c r="Y617" s="6">
        <v>0.19</v>
      </c>
      <c r="Z617" s="6">
        <v>0.7</v>
      </c>
      <c r="AA617" s="6">
        <f t="shared" si="35"/>
        <v>5.7189999999999991E-2</v>
      </c>
      <c r="AB617" s="8">
        <v>540</v>
      </c>
      <c r="AC617" s="15">
        <v>27897801301668</v>
      </c>
      <c r="AD617" s="4" t="s">
        <v>992</v>
      </c>
    </row>
    <row r="618" spans="2:30" x14ac:dyDescent="0.35">
      <c r="B618" s="14">
        <v>1184</v>
      </c>
      <c r="C618" s="4" t="s">
        <v>618</v>
      </c>
      <c r="D618" s="4" t="s">
        <v>2388</v>
      </c>
      <c r="E618" s="4" t="s">
        <v>2914</v>
      </c>
      <c r="F618" s="4" t="s">
        <v>85</v>
      </c>
      <c r="G618" s="4" t="s">
        <v>993</v>
      </c>
      <c r="H618" s="6">
        <v>5.2499999999999998E-2</v>
      </c>
      <c r="I618" s="8">
        <v>50</v>
      </c>
      <c r="J618" s="8">
        <v>53</v>
      </c>
      <c r="K618" s="8">
        <v>50</v>
      </c>
      <c r="L618" s="8">
        <f t="shared" si="34"/>
        <v>132500</v>
      </c>
      <c r="M618" s="15">
        <v>7897801301695</v>
      </c>
      <c r="N618" s="6" t="s">
        <v>20</v>
      </c>
      <c r="O618" s="6" t="s">
        <v>20</v>
      </c>
      <c r="P618" s="6" t="s">
        <v>20</v>
      </c>
      <c r="Q618" s="6">
        <v>0.23</v>
      </c>
      <c r="R618" s="6">
        <v>0.05</v>
      </c>
      <c r="S618" s="6">
        <v>0.23</v>
      </c>
      <c r="T618" s="8">
        <v>10</v>
      </c>
      <c r="U618" s="5" t="s">
        <v>994</v>
      </c>
      <c r="V618" s="89">
        <v>0</v>
      </c>
      <c r="W618" s="15">
        <v>17897801301692</v>
      </c>
      <c r="X618" s="6">
        <v>0.61</v>
      </c>
      <c r="Y618" s="6">
        <v>0.21</v>
      </c>
      <c r="Z618" s="6">
        <v>0.83</v>
      </c>
      <c r="AA618" s="6">
        <f t="shared" si="35"/>
        <v>0.10632299999999999</v>
      </c>
      <c r="AB618" s="8">
        <v>400</v>
      </c>
      <c r="AC618" s="15">
        <v>27897801301699</v>
      </c>
      <c r="AD618" s="4" t="s">
        <v>992</v>
      </c>
    </row>
    <row r="619" spans="2:30" x14ac:dyDescent="0.35">
      <c r="B619" s="14">
        <v>1185</v>
      </c>
      <c r="C619" s="4" t="s">
        <v>619</v>
      </c>
      <c r="D619" s="4" t="s">
        <v>2388</v>
      </c>
      <c r="E619" s="4" t="s">
        <v>2914</v>
      </c>
      <c r="F619" s="4" t="s">
        <v>85</v>
      </c>
      <c r="G619" s="4" t="s">
        <v>993</v>
      </c>
      <c r="H619" s="6">
        <v>5.9299999999999999E-2</v>
      </c>
      <c r="I619" s="8">
        <v>56</v>
      </c>
      <c r="J619" s="8">
        <v>53</v>
      </c>
      <c r="K619" s="8">
        <v>56</v>
      </c>
      <c r="L619" s="8">
        <f t="shared" si="34"/>
        <v>166208</v>
      </c>
      <c r="M619" s="15">
        <v>7897801301701</v>
      </c>
      <c r="N619" s="6" t="s">
        <v>20</v>
      </c>
      <c r="O619" s="6" t="s">
        <v>20</v>
      </c>
      <c r="P619" s="6" t="s">
        <v>20</v>
      </c>
      <c r="Q619" s="6">
        <v>0.22</v>
      </c>
      <c r="R619" s="6">
        <v>0.06</v>
      </c>
      <c r="S619" s="6">
        <v>0.23</v>
      </c>
      <c r="T619" s="8">
        <v>8</v>
      </c>
      <c r="U619" s="5" t="s">
        <v>994</v>
      </c>
      <c r="V619" s="89">
        <v>0</v>
      </c>
      <c r="W619" s="15">
        <v>17897801301708</v>
      </c>
      <c r="X619" s="6">
        <v>0.6</v>
      </c>
      <c r="Y619" s="6">
        <v>0.22</v>
      </c>
      <c r="Z619" s="6">
        <v>0.85</v>
      </c>
      <c r="AA619" s="6">
        <f t="shared" si="35"/>
        <v>0.11220000000000001</v>
      </c>
      <c r="AB619" s="8">
        <v>320</v>
      </c>
      <c r="AC619" s="15">
        <v>27897801301705</v>
      </c>
      <c r="AD619" s="4" t="s">
        <v>992</v>
      </c>
    </row>
    <row r="620" spans="2:30" x14ac:dyDescent="0.35">
      <c r="B620" s="14">
        <v>1186</v>
      </c>
      <c r="C620" s="4" t="s">
        <v>620</v>
      </c>
      <c r="D620" s="4" t="s">
        <v>2388</v>
      </c>
      <c r="E620" s="4" t="s">
        <v>2914</v>
      </c>
      <c r="F620" s="4" t="s">
        <v>85</v>
      </c>
      <c r="G620" s="4" t="s">
        <v>993</v>
      </c>
      <c r="H620" s="6">
        <v>8.5800000000000001E-2</v>
      </c>
      <c r="I620" s="8">
        <v>68</v>
      </c>
      <c r="J620" s="8">
        <v>60</v>
      </c>
      <c r="K620" s="8">
        <v>60</v>
      </c>
      <c r="L620" s="8">
        <f t="shared" si="34"/>
        <v>244800</v>
      </c>
      <c r="M620" s="15">
        <v>7897801301671</v>
      </c>
      <c r="N620" s="6" t="s">
        <v>20</v>
      </c>
      <c r="O620" s="6" t="s">
        <v>20</v>
      </c>
      <c r="P620" s="6" t="s">
        <v>20</v>
      </c>
      <c r="Q620" s="6">
        <v>0.19</v>
      </c>
      <c r="R620" s="6">
        <v>7.0000000000000007E-2</v>
      </c>
      <c r="S620" s="6">
        <v>0.19</v>
      </c>
      <c r="T620" s="8">
        <v>8</v>
      </c>
      <c r="U620" s="5" t="s">
        <v>994</v>
      </c>
      <c r="V620" s="89">
        <v>0</v>
      </c>
      <c r="W620" s="15">
        <v>17897801301678</v>
      </c>
      <c r="X620" s="6">
        <v>0.5</v>
      </c>
      <c r="Y620" s="6">
        <v>0.23</v>
      </c>
      <c r="Z620" s="6">
        <v>0.7</v>
      </c>
      <c r="AA620" s="6">
        <f t="shared" si="35"/>
        <v>8.0500000000000002E-2</v>
      </c>
      <c r="AB620" s="8">
        <v>240</v>
      </c>
      <c r="AC620" s="15">
        <v>27897801301675</v>
      </c>
      <c r="AD620" s="4" t="s">
        <v>992</v>
      </c>
    </row>
    <row r="621" spans="2:30" x14ac:dyDescent="0.35">
      <c r="B621" s="14">
        <v>1187</v>
      </c>
      <c r="C621" s="4" t="s">
        <v>621</v>
      </c>
      <c r="D621" s="4" t="s">
        <v>2388</v>
      </c>
      <c r="E621" s="4" t="s">
        <v>2914</v>
      </c>
      <c r="F621" s="4" t="s">
        <v>85</v>
      </c>
      <c r="G621" s="4" t="s">
        <v>993</v>
      </c>
      <c r="H621" s="6">
        <v>0.2571</v>
      </c>
      <c r="I621" s="8">
        <v>100</v>
      </c>
      <c r="J621" s="8">
        <v>85</v>
      </c>
      <c r="K621" s="8">
        <v>109</v>
      </c>
      <c r="L621" s="8">
        <f t="shared" si="34"/>
        <v>926500</v>
      </c>
      <c r="M621" s="15">
        <v>7897801309523</v>
      </c>
      <c r="N621" s="6" t="s">
        <v>20</v>
      </c>
      <c r="O621" s="6" t="s">
        <v>20</v>
      </c>
      <c r="P621" s="6" t="s">
        <v>20</v>
      </c>
      <c r="Q621" s="6">
        <v>0.20499999999999999</v>
      </c>
      <c r="R621" s="6">
        <v>0.1</v>
      </c>
      <c r="S621" s="6">
        <v>0.27</v>
      </c>
      <c r="T621" s="8">
        <v>5</v>
      </c>
      <c r="U621" s="5" t="s">
        <v>994</v>
      </c>
      <c r="V621" s="89">
        <v>0</v>
      </c>
      <c r="W621" s="15">
        <v>17897801309520</v>
      </c>
      <c r="X621" s="6">
        <v>0.65</v>
      </c>
      <c r="Y621" s="6">
        <v>0.21</v>
      </c>
      <c r="Z621" s="6">
        <v>0.84</v>
      </c>
      <c r="AA621" s="6">
        <f t="shared" si="35"/>
        <v>0.11466</v>
      </c>
      <c r="AB621" s="8">
        <v>75</v>
      </c>
      <c r="AC621" s="15">
        <v>27897801309527</v>
      </c>
      <c r="AD621" s="4" t="s">
        <v>992</v>
      </c>
    </row>
    <row r="622" spans="2:30" x14ac:dyDescent="0.35">
      <c r="B622" s="14">
        <v>1188</v>
      </c>
      <c r="C622" s="4" t="s">
        <v>622</v>
      </c>
      <c r="D622" s="4" t="s">
        <v>2388</v>
      </c>
      <c r="E622" s="4" t="s">
        <v>2914</v>
      </c>
      <c r="F622" s="4" t="s">
        <v>85</v>
      </c>
      <c r="G622" s="4" t="s">
        <v>993</v>
      </c>
      <c r="H622" s="6">
        <v>0.36409999999999998</v>
      </c>
      <c r="I622" s="8">
        <v>125</v>
      </c>
      <c r="J622" s="8">
        <v>95</v>
      </c>
      <c r="K622" s="8">
        <v>125</v>
      </c>
      <c r="L622" s="8">
        <f t="shared" si="34"/>
        <v>1484375</v>
      </c>
      <c r="M622" s="15">
        <v>7897801309547</v>
      </c>
      <c r="N622" s="6" t="s">
        <v>20</v>
      </c>
      <c r="O622" s="6" t="s">
        <v>20</v>
      </c>
      <c r="P622" s="6" t="s">
        <v>20</v>
      </c>
      <c r="Q622" s="6">
        <v>0.25</v>
      </c>
      <c r="R622" s="6">
        <v>0.16</v>
      </c>
      <c r="S622" s="6">
        <v>0.34</v>
      </c>
      <c r="T622" s="8">
        <v>5</v>
      </c>
      <c r="U622" s="5" t="s">
        <v>994</v>
      </c>
      <c r="V622" s="89">
        <v>0</v>
      </c>
      <c r="W622" s="15">
        <v>17897801309544</v>
      </c>
      <c r="X622" s="6">
        <v>0.5</v>
      </c>
      <c r="Y622" s="6">
        <v>0.25</v>
      </c>
      <c r="Z622" s="6">
        <v>0.65</v>
      </c>
      <c r="AA622" s="6">
        <f t="shared" si="35"/>
        <v>8.1250000000000003E-2</v>
      </c>
      <c r="AB622" s="8">
        <v>40</v>
      </c>
      <c r="AC622" s="15">
        <v>27897801309541</v>
      </c>
      <c r="AD622" s="4" t="s">
        <v>992</v>
      </c>
    </row>
    <row r="623" spans="2:30" x14ac:dyDescent="0.35">
      <c r="B623" s="14">
        <v>1200</v>
      </c>
      <c r="C623" s="4" t="s">
        <v>623</v>
      </c>
      <c r="D623" s="4" t="s">
        <v>2410</v>
      </c>
      <c r="E623" s="4" t="s">
        <v>2914</v>
      </c>
      <c r="F623" s="4" t="s">
        <v>19</v>
      </c>
      <c r="G623" s="4" t="s">
        <v>990</v>
      </c>
      <c r="H623" s="6">
        <v>0.4536</v>
      </c>
      <c r="I623" s="8">
        <v>3000</v>
      </c>
      <c r="J623" s="8">
        <v>20</v>
      </c>
      <c r="K623" s="8">
        <v>20</v>
      </c>
      <c r="L623" s="8">
        <f t="shared" si="34"/>
        <v>1200000</v>
      </c>
      <c r="M623" s="15">
        <v>7897801309301</v>
      </c>
      <c r="N623" s="6">
        <v>2.3E-2</v>
      </c>
      <c r="O623" s="6">
        <v>3</v>
      </c>
      <c r="P623" s="6">
        <v>2.3E-2</v>
      </c>
      <c r="Q623" s="6">
        <v>8.5500000000000007E-2</v>
      </c>
      <c r="R623" s="6">
        <v>6.0999999999999999E-2</v>
      </c>
      <c r="S623" s="6">
        <v>3.0009999999999999</v>
      </c>
      <c r="T623" s="8">
        <v>10</v>
      </c>
      <c r="U623" s="5" t="s">
        <v>991</v>
      </c>
      <c r="V623" s="89">
        <v>0</v>
      </c>
      <c r="W623" s="15">
        <v>17897801309308</v>
      </c>
      <c r="X623" s="6" t="s">
        <v>20</v>
      </c>
      <c r="Y623" s="6" t="s">
        <v>20</v>
      </c>
      <c r="Z623" s="6" t="s">
        <v>20</v>
      </c>
      <c r="AA623" s="6"/>
      <c r="AB623" s="8">
        <v>0</v>
      </c>
      <c r="AC623" s="15">
        <v>27897801309305</v>
      </c>
      <c r="AD623" s="4" t="s">
        <v>992</v>
      </c>
    </row>
    <row r="624" spans="2:30" x14ac:dyDescent="0.35">
      <c r="B624" s="14">
        <v>1201</v>
      </c>
      <c r="C624" s="4" t="s">
        <v>624</v>
      </c>
      <c r="D624" s="4" t="s">
        <v>2410</v>
      </c>
      <c r="E624" s="4" t="s">
        <v>2914</v>
      </c>
      <c r="F624" s="4" t="s">
        <v>19</v>
      </c>
      <c r="G624" s="4" t="s">
        <v>990</v>
      </c>
      <c r="H624" s="6">
        <v>0.60099999999999998</v>
      </c>
      <c r="I624" s="8">
        <v>3000</v>
      </c>
      <c r="J624" s="8">
        <v>25</v>
      </c>
      <c r="K624" s="8">
        <v>25</v>
      </c>
      <c r="L624" s="8">
        <f t="shared" si="34"/>
        <v>1875000</v>
      </c>
      <c r="M624" s="15">
        <v>7897801309318</v>
      </c>
      <c r="N624" s="6">
        <v>2.8400000000000002E-2</v>
      </c>
      <c r="O624" s="6">
        <v>3</v>
      </c>
      <c r="P624" s="6">
        <v>2.8400000000000002E-2</v>
      </c>
      <c r="Q624" s="6">
        <v>0.1108</v>
      </c>
      <c r="R624" s="6">
        <v>7.1999999999999995E-2</v>
      </c>
      <c r="S624" s="6">
        <v>3.0009999999999999</v>
      </c>
      <c r="T624" s="8">
        <v>10</v>
      </c>
      <c r="U624" s="5" t="s">
        <v>991</v>
      </c>
      <c r="V624" s="89">
        <v>0</v>
      </c>
      <c r="W624" s="15">
        <v>17897801309315</v>
      </c>
      <c r="X624" s="6" t="s">
        <v>20</v>
      </c>
      <c r="Y624" s="6" t="s">
        <v>20</v>
      </c>
      <c r="Z624" s="6" t="s">
        <v>20</v>
      </c>
      <c r="AA624" s="6"/>
      <c r="AB624" s="8">
        <v>0</v>
      </c>
      <c r="AC624" s="15">
        <v>27897801309312</v>
      </c>
      <c r="AD624" s="4" t="s">
        <v>992</v>
      </c>
    </row>
    <row r="625" spans="2:30" x14ac:dyDescent="0.35">
      <c r="B625" s="14">
        <v>1202</v>
      </c>
      <c r="C625" s="4" t="s">
        <v>625</v>
      </c>
      <c r="D625" s="4" t="s">
        <v>2410</v>
      </c>
      <c r="E625" s="4" t="s">
        <v>2914</v>
      </c>
      <c r="F625" s="4" t="s">
        <v>19</v>
      </c>
      <c r="G625" s="4" t="s">
        <v>990</v>
      </c>
      <c r="H625" s="6">
        <v>0.91500000000000004</v>
      </c>
      <c r="I625" s="8">
        <v>3000</v>
      </c>
      <c r="J625" s="8">
        <v>32</v>
      </c>
      <c r="K625" s="8">
        <v>32</v>
      </c>
      <c r="L625" s="37">
        <f t="shared" si="34"/>
        <v>3072000</v>
      </c>
      <c r="M625" s="40">
        <v>7897801309325</v>
      </c>
      <c r="N625" s="35">
        <v>3.6200000000000003E-2</v>
      </c>
      <c r="O625" s="35">
        <v>3</v>
      </c>
      <c r="P625" s="35">
        <v>3.6200000000000003E-2</v>
      </c>
      <c r="Q625" s="6">
        <v>0.1135</v>
      </c>
      <c r="R625" s="6">
        <v>9.0800000000000006E-2</v>
      </c>
      <c r="S625" s="6">
        <v>3.0009999999999999</v>
      </c>
      <c r="T625" s="37">
        <v>10</v>
      </c>
      <c r="U625" s="42" t="s">
        <v>991</v>
      </c>
      <c r="V625" s="89">
        <v>0</v>
      </c>
      <c r="W625" s="40">
        <v>17897801309322</v>
      </c>
      <c r="X625" s="35" t="s">
        <v>20</v>
      </c>
      <c r="Y625" s="35" t="s">
        <v>20</v>
      </c>
      <c r="Z625" s="35" t="s">
        <v>20</v>
      </c>
      <c r="AA625" s="35"/>
      <c r="AB625" s="37">
        <v>0</v>
      </c>
      <c r="AC625" s="40">
        <v>27897801309329</v>
      </c>
      <c r="AD625" s="32" t="s">
        <v>992</v>
      </c>
    </row>
    <row r="626" spans="2:30" x14ac:dyDescent="0.35">
      <c r="B626" s="14">
        <v>1207</v>
      </c>
      <c r="C626" s="4" t="s">
        <v>626</v>
      </c>
      <c r="D626" s="4" t="s">
        <v>2388</v>
      </c>
      <c r="E626" s="4" t="s">
        <v>2914</v>
      </c>
      <c r="F626" s="4" t="s">
        <v>85</v>
      </c>
      <c r="G626" s="4" t="s">
        <v>993</v>
      </c>
      <c r="H626" s="6">
        <v>1.04E-2</v>
      </c>
      <c r="I626" s="8">
        <v>26</v>
      </c>
      <c r="J626" s="8">
        <v>26</v>
      </c>
      <c r="K626" s="8">
        <v>34</v>
      </c>
      <c r="L626" s="37">
        <f t="shared" si="34"/>
        <v>22984</v>
      </c>
      <c r="M626" s="40">
        <v>7897801309912</v>
      </c>
      <c r="N626" s="35" t="s">
        <v>20</v>
      </c>
      <c r="O626" s="35" t="s">
        <v>20</v>
      </c>
      <c r="P626" s="35" t="s">
        <v>20</v>
      </c>
      <c r="Q626" s="6">
        <v>0.18</v>
      </c>
      <c r="R626" s="6">
        <v>3.5000000000000003E-2</v>
      </c>
      <c r="S626" s="6">
        <v>0.22</v>
      </c>
      <c r="T626" s="37">
        <v>20</v>
      </c>
      <c r="U626" s="42" t="s">
        <v>994</v>
      </c>
      <c r="V626" s="89">
        <v>0</v>
      </c>
      <c r="W626" s="40">
        <v>17897801309919</v>
      </c>
      <c r="X626" s="35">
        <v>0.51</v>
      </c>
      <c r="Y626" s="35">
        <v>0.19</v>
      </c>
      <c r="Z626" s="35">
        <v>0.74</v>
      </c>
      <c r="AA626" s="35">
        <f>Y626*X626*Z626</f>
        <v>7.1706000000000006E-2</v>
      </c>
      <c r="AB626" s="37">
        <v>1600</v>
      </c>
      <c r="AC626" s="40">
        <v>27897801309916</v>
      </c>
      <c r="AD626" s="32" t="s">
        <v>992</v>
      </c>
    </row>
    <row r="627" spans="2:30" x14ac:dyDescent="0.35">
      <c r="B627" s="14">
        <v>1208</v>
      </c>
      <c r="C627" s="4" t="s">
        <v>627</v>
      </c>
      <c r="D627" s="4" t="s">
        <v>2388</v>
      </c>
      <c r="E627" s="4" t="s">
        <v>2914</v>
      </c>
      <c r="F627" s="4" t="s">
        <v>85</v>
      </c>
      <c r="G627" s="4" t="s">
        <v>993</v>
      </c>
      <c r="H627" s="6">
        <v>1.46E-2</v>
      </c>
      <c r="I627" s="8">
        <v>31</v>
      </c>
      <c r="J627" s="8">
        <v>31</v>
      </c>
      <c r="K627" s="8">
        <v>39</v>
      </c>
      <c r="L627" s="37">
        <f t="shared" si="34"/>
        <v>37479</v>
      </c>
      <c r="M627" s="40">
        <v>7897801309554</v>
      </c>
      <c r="N627" s="35" t="s">
        <v>20</v>
      </c>
      <c r="O627" s="35" t="s">
        <v>20</v>
      </c>
      <c r="P627" s="35" t="s">
        <v>20</v>
      </c>
      <c r="Q627" s="6">
        <v>0.25</v>
      </c>
      <c r="R627" s="6">
        <v>0.05</v>
      </c>
      <c r="S627" s="6">
        <v>0.26</v>
      </c>
      <c r="T627" s="37">
        <v>50</v>
      </c>
      <c r="U627" s="42" t="s">
        <v>994</v>
      </c>
      <c r="V627" s="89">
        <v>0</v>
      </c>
      <c r="W627" s="40">
        <v>17897801309551</v>
      </c>
      <c r="X627" s="35">
        <v>0.52</v>
      </c>
      <c r="Y627" s="35">
        <v>0.21</v>
      </c>
      <c r="Z627" s="35">
        <v>0.8</v>
      </c>
      <c r="AA627" s="35">
        <f>Y627*X627*Z627</f>
        <v>8.7360000000000007E-2</v>
      </c>
      <c r="AB627" s="37">
        <v>1200</v>
      </c>
      <c r="AC627" s="40">
        <v>27897801309558</v>
      </c>
      <c r="AD627" s="32" t="s">
        <v>992</v>
      </c>
    </row>
    <row r="628" spans="2:30" x14ac:dyDescent="0.35">
      <c r="B628" s="18">
        <v>1209</v>
      </c>
      <c r="C628" s="24" t="s">
        <v>2950</v>
      </c>
      <c r="D628" s="4" t="s">
        <v>2401</v>
      </c>
      <c r="E628" s="4" t="s">
        <v>2915</v>
      </c>
      <c r="F628" s="4" t="s">
        <v>85</v>
      </c>
      <c r="G628" s="4" t="s">
        <v>993</v>
      </c>
      <c r="H628" s="6">
        <v>0.114</v>
      </c>
      <c r="I628" s="8">
        <v>330</v>
      </c>
      <c r="J628" s="8">
        <v>54</v>
      </c>
      <c r="K628" s="8">
        <v>54</v>
      </c>
      <c r="L628" s="37">
        <f t="shared" si="34"/>
        <v>962280</v>
      </c>
      <c r="M628" s="40">
        <v>7897801325257</v>
      </c>
      <c r="N628" s="35" t="s">
        <v>20</v>
      </c>
      <c r="O628" s="35" t="s">
        <v>20</v>
      </c>
      <c r="P628" s="35" t="s">
        <v>20</v>
      </c>
      <c r="Q628" s="6">
        <v>0.24</v>
      </c>
      <c r="R628" s="6">
        <v>0.16</v>
      </c>
      <c r="S628" s="6">
        <v>0.35499999999999998</v>
      </c>
      <c r="T628" s="37">
        <v>12</v>
      </c>
      <c r="U628" s="42" t="s">
        <v>994</v>
      </c>
      <c r="V628" s="89">
        <v>0</v>
      </c>
      <c r="W628" s="40">
        <v>17897801325254</v>
      </c>
      <c r="X628" s="6" t="s">
        <v>20</v>
      </c>
      <c r="Y628" s="6" t="s">
        <v>20</v>
      </c>
      <c r="Z628" s="6" t="s">
        <v>20</v>
      </c>
      <c r="AA628" s="35"/>
      <c r="AB628" s="8">
        <v>0</v>
      </c>
      <c r="AC628" s="40">
        <v>27897801325251</v>
      </c>
      <c r="AD628" s="32" t="s">
        <v>992</v>
      </c>
    </row>
    <row r="629" spans="2:30" x14ac:dyDescent="0.35">
      <c r="B629" s="18">
        <v>1210</v>
      </c>
      <c r="C629" s="24" t="s">
        <v>2951</v>
      </c>
      <c r="D629" s="4" t="s">
        <v>2401</v>
      </c>
      <c r="E629" s="4" t="s">
        <v>2915</v>
      </c>
      <c r="F629" s="4" t="s">
        <v>85</v>
      </c>
      <c r="G629" s="4" t="s">
        <v>993</v>
      </c>
      <c r="H629" s="6">
        <v>0.21229999999999999</v>
      </c>
      <c r="I629" s="8">
        <v>340</v>
      </c>
      <c r="J629" s="8">
        <v>140</v>
      </c>
      <c r="K629" s="8">
        <v>140</v>
      </c>
      <c r="L629" s="37">
        <f t="shared" si="34"/>
        <v>6664000</v>
      </c>
      <c r="M629" s="40">
        <v>7897801325264</v>
      </c>
      <c r="N629" s="35" t="s">
        <v>20</v>
      </c>
      <c r="O629" s="35" t="s">
        <v>20</v>
      </c>
      <c r="P629" s="35" t="s">
        <v>20</v>
      </c>
      <c r="Q629" s="6">
        <v>0.26500000000000001</v>
      </c>
      <c r="R629" s="6">
        <v>0.28000000000000003</v>
      </c>
      <c r="S629" s="6">
        <v>0.40500000000000003</v>
      </c>
      <c r="T629" s="37">
        <v>12</v>
      </c>
      <c r="U629" s="42" t="s">
        <v>994</v>
      </c>
      <c r="V629" s="89">
        <v>0</v>
      </c>
      <c r="W629" s="40">
        <v>17897801325261</v>
      </c>
      <c r="X629" s="6" t="s">
        <v>20</v>
      </c>
      <c r="Y629" s="6" t="s">
        <v>20</v>
      </c>
      <c r="Z629" s="6" t="s">
        <v>20</v>
      </c>
      <c r="AA629" s="35"/>
      <c r="AB629" s="8">
        <v>0</v>
      </c>
      <c r="AC629" s="40">
        <v>27897801325268</v>
      </c>
      <c r="AD629" s="32" t="s">
        <v>992</v>
      </c>
    </row>
    <row r="630" spans="2:30" x14ac:dyDescent="0.35">
      <c r="B630" s="14">
        <v>1218</v>
      </c>
      <c r="C630" s="4" t="s">
        <v>628</v>
      </c>
      <c r="D630" s="4" t="s">
        <v>2388</v>
      </c>
      <c r="E630" s="4" t="s">
        <v>2914</v>
      </c>
      <c r="F630" s="4" t="s">
        <v>85</v>
      </c>
      <c r="G630" s="4" t="s">
        <v>993</v>
      </c>
      <c r="H630" s="6">
        <v>2.63E-2</v>
      </c>
      <c r="I630" s="8">
        <v>130</v>
      </c>
      <c r="J630" s="8">
        <v>30</v>
      </c>
      <c r="K630" s="8">
        <v>130</v>
      </c>
      <c r="L630" s="37">
        <f t="shared" si="34"/>
        <v>507000</v>
      </c>
      <c r="M630" s="40">
        <v>7897801309424</v>
      </c>
      <c r="N630" s="35" t="s">
        <v>20</v>
      </c>
      <c r="O630" s="35" t="s">
        <v>20</v>
      </c>
      <c r="P630" s="35" t="s">
        <v>20</v>
      </c>
      <c r="Q630" s="6">
        <v>0.19</v>
      </c>
      <c r="R630" s="6">
        <v>0.05</v>
      </c>
      <c r="S630" s="6">
        <v>0.25</v>
      </c>
      <c r="T630" s="37">
        <v>10</v>
      </c>
      <c r="U630" s="42" t="s">
        <v>994</v>
      </c>
      <c r="V630" s="89">
        <v>0</v>
      </c>
      <c r="W630" s="40">
        <v>17897801309421</v>
      </c>
      <c r="X630" s="35">
        <v>0.65</v>
      </c>
      <c r="Y630" s="35">
        <v>0.16</v>
      </c>
      <c r="Z630" s="35">
        <v>0.86</v>
      </c>
      <c r="AA630" s="35">
        <f>Y630*X630*Z630</f>
        <v>8.9440000000000006E-2</v>
      </c>
      <c r="AB630" s="37">
        <v>450</v>
      </c>
      <c r="AC630" s="40">
        <v>27897801309428</v>
      </c>
      <c r="AD630" s="32" t="s">
        <v>992</v>
      </c>
    </row>
    <row r="631" spans="2:30" x14ac:dyDescent="0.35">
      <c r="B631" s="14">
        <v>1219</v>
      </c>
      <c r="C631" s="4" t="s">
        <v>629</v>
      </c>
      <c r="D631" s="4" t="s">
        <v>2388</v>
      </c>
      <c r="E631" s="4" t="s">
        <v>2914</v>
      </c>
      <c r="F631" s="4" t="s">
        <v>85</v>
      </c>
      <c r="G631" s="4" t="s">
        <v>993</v>
      </c>
      <c r="H631" s="6">
        <v>4.2599999999999999E-2</v>
      </c>
      <c r="I631" s="8">
        <v>130</v>
      </c>
      <c r="J631" s="8">
        <v>30</v>
      </c>
      <c r="K631" s="8">
        <v>50</v>
      </c>
      <c r="L631" s="37">
        <f t="shared" si="34"/>
        <v>195000</v>
      </c>
      <c r="M631" s="40">
        <v>7897801309431</v>
      </c>
      <c r="N631" s="35" t="s">
        <v>20</v>
      </c>
      <c r="O631" s="35" t="s">
        <v>20</v>
      </c>
      <c r="P631" s="35" t="s">
        <v>20</v>
      </c>
      <c r="Q631" s="6">
        <v>0.23</v>
      </c>
      <c r="R631" s="6">
        <v>5.1999999999999998E-2</v>
      </c>
      <c r="S631" s="6">
        <v>0.23499999999999999</v>
      </c>
      <c r="T631" s="37">
        <v>10</v>
      </c>
      <c r="U631" s="42" t="s">
        <v>994</v>
      </c>
      <c r="V631" s="89">
        <v>0</v>
      </c>
      <c r="W631" s="40">
        <v>17897801309438</v>
      </c>
      <c r="X631" s="35">
        <v>0.52</v>
      </c>
      <c r="Y631" s="35">
        <v>0.14499999999999999</v>
      </c>
      <c r="Z631" s="35">
        <v>0.77500000000000002</v>
      </c>
      <c r="AA631" s="35">
        <f>Y631*X631*Z631</f>
        <v>5.8435000000000001E-2</v>
      </c>
      <c r="AB631" s="37">
        <v>240</v>
      </c>
      <c r="AC631" s="40">
        <v>27897801309435</v>
      </c>
      <c r="AD631" s="32" t="s">
        <v>992</v>
      </c>
    </row>
    <row r="632" spans="2:30" x14ac:dyDescent="0.35">
      <c r="B632" s="14">
        <v>1220</v>
      </c>
      <c r="C632" s="4" t="s">
        <v>630</v>
      </c>
      <c r="D632" s="4" t="s">
        <v>2388</v>
      </c>
      <c r="E632" s="4" t="s">
        <v>2914</v>
      </c>
      <c r="F632" s="4" t="s">
        <v>85</v>
      </c>
      <c r="G632" s="4" t="s">
        <v>993</v>
      </c>
      <c r="H632" s="6">
        <v>6.6799999999999998E-2</v>
      </c>
      <c r="I632" s="8">
        <v>230</v>
      </c>
      <c r="J632" s="8">
        <v>34</v>
      </c>
      <c r="K632" s="8">
        <v>230</v>
      </c>
      <c r="L632" s="37">
        <f t="shared" si="34"/>
        <v>1798600</v>
      </c>
      <c r="M632" s="40">
        <v>7897801309448</v>
      </c>
      <c r="N632" s="35" t="s">
        <v>20</v>
      </c>
      <c r="O632" s="35" t="s">
        <v>20</v>
      </c>
      <c r="P632" s="35" t="s">
        <v>20</v>
      </c>
      <c r="Q632" s="6">
        <v>0.2</v>
      </c>
      <c r="R632" s="6">
        <v>0.08</v>
      </c>
      <c r="S632" s="6">
        <v>0.28000000000000003</v>
      </c>
      <c r="T632" s="37">
        <v>10</v>
      </c>
      <c r="U632" s="42" t="s">
        <v>994</v>
      </c>
      <c r="V632" s="89">
        <v>0</v>
      </c>
      <c r="W632" s="40">
        <v>17897801309445</v>
      </c>
      <c r="X632" s="35">
        <v>0.45</v>
      </c>
      <c r="Y632" s="35">
        <v>0.22</v>
      </c>
      <c r="Z632" s="35">
        <v>0.65</v>
      </c>
      <c r="AA632" s="35">
        <f>Y632*X632*Z632</f>
        <v>6.4350000000000004E-2</v>
      </c>
      <c r="AB632" s="37">
        <v>200</v>
      </c>
      <c r="AC632" s="40">
        <v>27897801309442</v>
      </c>
      <c r="AD632" s="32" t="s">
        <v>992</v>
      </c>
    </row>
    <row r="633" spans="2:30" x14ac:dyDescent="0.35">
      <c r="B633" s="18">
        <v>1225</v>
      </c>
      <c r="C633" s="4" t="s">
        <v>1035</v>
      </c>
      <c r="D633" s="4" t="s">
        <v>2407</v>
      </c>
      <c r="E633" s="4" t="s">
        <v>2914</v>
      </c>
      <c r="F633" s="4" t="s">
        <v>587</v>
      </c>
      <c r="G633" s="4" t="s">
        <v>1016</v>
      </c>
      <c r="H633" s="6">
        <f>VLOOKUP($B633,'SB1'!$B:$LI,31,0)</f>
        <v>5.0999999999999997E-2</v>
      </c>
      <c r="I633" s="21">
        <v>0.27500000000000002</v>
      </c>
      <c r="J633" s="21">
        <v>0.12</v>
      </c>
      <c r="K633" s="21">
        <v>0.27500000000000002</v>
      </c>
      <c r="L633" s="83">
        <f t="shared" si="34"/>
        <v>9.0750000000000015E-3</v>
      </c>
      <c r="M633" s="85">
        <f>VLOOKUP($B633,'SB1'!$B:$LI,66,0)</f>
        <v>7897801317092</v>
      </c>
      <c r="N633" s="86" t="s">
        <v>20</v>
      </c>
      <c r="O633" s="86" t="s">
        <v>20</v>
      </c>
      <c r="P633" s="86" t="s">
        <v>20</v>
      </c>
      <c r="Q633" s="21">
        <v>0.27500000000000002</v>
      </c>
      <c r="R633" s="21">
        <v>0.12</v>
      </c>
      <c r="S633" s="21">
        <v>0.27500000000000002</v>
      </c>
      <c r="T633" s="85">
        <f>VLOOKUP($B633,'SB1'!$B:$LI,25,0)</f>
        <v>10</v>
      </c>
      <c r="U633" s="85" t="str">
        <f>VLOOKUP($B633,'SB1'!$B:$LI,8,0)</f>
        <v>3917.23.00</v>
      </c>
      <c r="V633" s="89">
        <v>0</v>
      </c>
      <c r="W633" s="85">
        <f>VLOOKUP($B633,'SB1'!$B:$LI,131,0)</f>
        <v>17897801317099</v>
      </c>
      <c r="X633" s="86" t="s">
        <v>20</v>
      </c>
      <c r="Y633" s="86" t="s">
        <v>20</v>
      </c>
      <c r="Z633" s="86" t="s">
        <v>20</v>
      </c>
      <c r="AA633" s="86" t="s">
        <v>20</v>
      </c>
      <c r="AB633" s="86" t="s">
        <v>20</v>
      </c>
      <c r="AC633" s="85">
        <f>VLOOKUP($B633,'SB1'!$B:$LI,163,0)</f>
        <v>27897801317096</v>
      </c>
      <c r="AD633" s="79" t="s">
        <v>992</v>
      </c>
    </row>
    <row r="634" spans="2:30" x14ac:dyDescent="0.35">
      <c r="B634" s="18">
        <v>1226</v>
      </c>
      <c r="C634" s="4" t="s">
        <v>1036</v>
      </c>
      <c r="D634" s="4" t="s">
        <v>2407</v>
      </c>
      <c r="E634" s="4" t="s">
        <v>2914</v>
      </c>
      <c r="F634" s="4" t="s">
        <v>587</v>
      </c>
      <c r="G634" s="4" t="s">
        <v>1016</v>
      </c>
      <c r="H634" s="6">
        <f>VLOOKUP($B634,'SB1'!$B:$LI,31,0)</f>
        <v>5.0999999999999997E-2</v>
      </c>
      <c r="I634" s="21">
        <v>0.38</v>
      </c>
      <c r="J634" s="21">
        <v>0.2</v>
      </c>
      <c r="K634" s="21">
        <v>0.38</v>
      </c>
      <c r="L634" s="47">
        <f t="shared" si="34"/>
        <v>2.8880000000000006E-2</v>
      </c>
      <c r="M634" s="39">
        <f>VLOOKUP($B634,'SB1'!$B:$LI,66,0)</f>
        <v>7897801317108</v>
      </c>
      <c r="N634" s="41" t="s">
        <v>20</v>
      </c>
      <c r="O634" s="41" t="s">
        <v>20</v>
      </c>
      <c r="P634" s="41" t="s">
        <v>20</v>
      </c>
      <c r="Q634" s="21">
        <v>0.38</v>
      </c>
      <c r="R634" s="21">
        <v>0.2</v>
      </c>
      <c r="S634" s="21">
        <v>0.38</v>
      </c>
      <c r="T634" s="39">
        <f>VLOOKUP($B634,'SB1'!$B:$LI,25,0)</f>
        <v>25</v>
      </c>
      <c r="U634" s="39" t="str">
        <f>VLOOKUP($B634,'SB1'!$B:$LI,8,0)</f>
        <v>3917.23.00</v>
      </c>
      <c r="V634" s="89">
        <v>0</v>
      </c>
      <c r="W634" s="39">
        <f>VLOOKUP($B634,'SB1'!$B:$LI,131,0)</f>
        <v>17897801317105</v>
      </c>
      <c r="X634" s="41" t="s">
        <v>20</v>
      </c>
      <c r="Y634" s="41" t="s">
        <v>20</v>
      </c>
      <c r="Z634" s="41" t="s">
        <v>20</v>
      </c>
      <c r="AA634" s="41" t="s">
        <v>20</v>
      </c>
      <c r="AB634" s="41" t="s">
        <v>20</v>
      </c>
      <c r="AC634" s="39">
        <f>VLOOKUP($B634,'SB1'!$B:$LI,163,0)</f>
        <v>27897801317102</v>
      </c>
      <c r="AD634" s="31" t="s">
        <v>992</v>
      </c>
    </row>
    <row r="635" spans="2:30" x14ac:dyDescent="0.35">
      <c r="B635" s="18">
        <v>1227</v>
      </c>
      <c r="C635" s="4" t="s">
        <v>1037</v>
      </c>
      <c r="D635" s="4" t="s">
        <v>2407</v>
      </c>
      <c r="E635" s="4" t="s">
        <v>2914</v>
      </c>
      <c r="F635" s="4" t="s">
        <v>587</v>
      </c>
      <c r="G635" s="4" t="s">
        <v>1016</v>
      </c>
      <c r="H635" s="6">
        <f>VLOOKUP($B635,'SB1'!$B:$LI,31,0)</f>
        <v>6.4699999999999994E-2</v>
      </c>
      <c r="I635" s="21">
        <v>0.30499999999999999</v>
      </c>
      <c r="J635" s="21">
        <v>0.125</v>
      </c>
      <c r="K635" s="21">
        <v>0.30499999999999999</v>
      </c>
      <c r="L635" s="47">
        <f t="shared" si="34"/>
        <v>1.1628125E-2</v>
      </c>
      <c r="M635" s="39">
        <f>VLOOKUP($B635,'SB1'!$B:$LI,66,0)</f>
        <v>7897801317115</v>
      </c>
      <c r="N635" s="41" t="s">
        <v>20</v>
      </c>
      <c r="O635" s="41" t="s">
        <v>20</v>
      </c>
      <c r="P635" s="41" t="s">
        <v>20</v>
      </c>
      <c r="Q635" s="21">
        <v>0.30499999999999999</v>
      </c>
      <c r="R635" s="21">
        <v>0.125</v>
      </c>
      <c r="S635" s="21">
        <v>0.30499999999999999</v>
      </c>
      <c r="T635" s="39">
        <f>VLOOKUP($B635,'SB1'!$B:$LI,25,0)</f>
        <v>10</v>
      </c>
      <c r="U635" s="39" t="str">
        <f>VLOOKUP($B635,'SB1'!$B:$LI,8,0)</f>
        <v>3917.23.00</v>
      </c>
      <c r="V635" s="89">
        <v>0</v>
      </c>
      <c r="W635" s="39">
        <f>VLOOKUP($B635,'SB1'!$B:$LI,131,0)</f>
        <v>17897801317112</v>
      </c>
      <c r="X635" s="41" t="s">
        <v>20</v>
      </c>
      <c r="Y635" s="41" t="s">
        <v>20</v>
      </c>
      <c r="Z635" s="41" t="s">
        <v>20</v>
      </c>
      <c r="AA635" s="41" t="s">
        <v>20</v>
      </c>
      <c r="AB635" s="41" t="s">
        <v>20</v>
      </c>
      <c r="AC635" s="39">
        <f>VLOOKUP($B635,'SB1'!$B:$LI,163,0)</f>
        <v>27897801317119</v>
      </c>
      <c r="AD635" s="31" t="s">
        <v>992</v>
      </c>
    </row>
    <row r="636" spans="2:30" x14ac:dyDescent="0.35">
      <c r="B636" s="18">
        <v>1228</v>
      </c>
      <c r="C636" s="4" t="s">
        <v>1038</v>
      </c>
      <c r="D636" s="4" t="s">
        <v>2407</v>
      </c>
      <c r="E636" s="4" t="s">
        <v>2914</v>
      </c>
      <c r="F636" s="4" t="s">
        <v>587</v>
      </c>
      <c r="G636" s="4" t="s">
        <v>1016</v>
      </c>
      <c r="H636" s="6">
        <f>VLOOKUP($B636,'SB1'!$B:$LI,31,0)</f>
        <v>6.5199999999999994E-2</v>
      </c>
      <c r="I636" s="21">
        <v>0.38</v>
      </c>
      <c r="J636" s="21">
        <v>0.2</v>
      </c>
      <c r="K636" s="21">
        <v>0.38</v>
      </c>
      <c r="L636" s="47">
        <f t="shared" si="34"/>
        <v>2.8880000000000006E-2</v>
      </c>
      <c r="M636" s="39">
        <f>VLOOKUP($B636,'SB1'!$B:$LI,66,0)</f>
        <v>7897801317122</v>
      </c>
      <c r="N636" s="41" t="s">
        <v>20</v>
      </c>
      <c r="O636" s="41" t="s">
        <v>20</v>
      </c>
      <c r="P636" s="41" t="s">
        <v>20</v>
      </c>
      <c r="Q636" s="21">
        <v>0.38</v>
      </c>
      <c r="R636" s="21">
        <v>0.2</v>
      </c>
      <c r="S636" s="21">
        <v>0.38</v>
      </c>
      <c r="T636" s="39">
        <f>VLOOKUP($B636,'SB1'!$B:$LI,25,0)</f>
        <v>25</v>
      </c>
      <c r="U636" s="39" t="str">
        <f>VLOOKUP($B636,'SB1'!$B:$LI,8,0)</f>
        <v>3917.23.00</v>
      </c>
      <c r="V636" s="89">
        <v>0</v>
      </c>
      <c r="W636" s="39">
        <f>VLOOKUP($B636,'SB1'!$B:$LI,131,0)</f>
        <v>17897801317129</v>
      </c>
      <c r="X636" s="41" t="s">
        <v>20</v>
      </c>
      <c r="Y636" s="41" t="s">
        <v>20</v>
      </c>
      <c r="Z636" s="41" t="s">
        <v>20</v>
      </c>
      <c r="AA636" s="41" t="s">
        <v>20</v>
      </c>
      <c r="AB636" s="41" t="s">
        <v>20</v>
      </c>
      <c r="AC636" s="39">
        <f>VLOOKUP($B636,'SB1'!$B:$LI,163,0)</f>
        <v>27897801317126</v>
      </c>
      <c r="AD636" s="31" t="s">
        <v>992</v>
      </c>
    </row>
    <row r="637" spans="2:30" x14ac:dyDescent="0.35">
      <c r="B637" s="18">
        <v>1229</v>
      </c>
      <c r="C637" s="4" t="s">
        <v>1039</v>
      </c>
      <c r="D637" s="4" t="s">
        <v>2407</v>
      </c>
      <c r="E637" s="4" t="s">
        <v>2914</v>
      </c>
      <c r="F637" s="4" t="s">
        <v>587</v>
      </c>
      <c r="G637" s="4" t="s">
        <v>1016</v>
      </c>
      <c r="H637" s="6">
        <f>VLOOKUP($B637,'SB1'!$B:$LI,31,0)</f>
        <v>0.1</v>
      </c>
      <c r="I637" s="21">
        <v>0.35499999999999998</v>
      </c>
      <c r="J637" s="21">
        <v>0.17</v>
      </c>
      <c r="K637" s="21">
        <v>0.35499999999999998</v>
      </c>
      <c r="L637" s="47">
        <f t="shared" si="34"/>
        <v>2.1424249999999999E-2</v>
      </c>
      <c r="M637" s="39">
        <f>VLOOKUP($B637,'SB1'!$B:$LI,66,0)</f>
        <v>7897801317139</v>
      </c>
      <c r="N637" s="41" t="s">
        <v>20</v>
      </c>
      <c r="O637" s="41" t="s">
        <v>20</v>
      </c>
      <c r="P637" s="41" t="s">
        <v>20</v>
      </c>
      <c r="Q637" s="21">
        <v>0.35499999999999998</v>
      </c>
      <c r="R637" s="21">
        <v>0.17</v>
      </c>
      <c r="S637" s="21">
        <v>0.35499999999999998</v>
      </c>
      <c r="T637" s="39">
        <f>VLOOKUP($B637,'SB1'!$B:$LI,25,0)</f>
        <v>10</v>
      </c>
      <c r="U637" s="39" t="str">
        <f>VLOOKUP($B637,'SB1'!$B:$LI,8,0)</f>
        <v>3917.23.00</v>
      </c>
      <c r="V637" s="89">
        <v>0</v>
      </c>
      <c r="W637" s="39">
        <f>VLOOKUP($B637,'SB1'!$B:$LI,131,0)</f>
        <v>17897801317136</v>
      </c>
      <c r="X637" s="41" t="s">
        <v>20</v>
      </c>
      <c r="Y637" s="41" t="s">
        <v>20</v>
      </c>
      <c r="Z637" s="41" t="s">
        <v>20</v>
      </c>
      <c r="AA637" s="41" t="s">
        <v>20</v>
      </c>
      <c r="AB637" s="41" t="s">
        <v>20</v>
      </c>
      <c r="AC637" s="39">
        <f>VLOOKUP($B637,'SB1'!$B:$LI,163,0)</f>
        <v>27897801317133</v>
      </c>
      <c r="AD637" s="31" t="s">
        <v>992</v>
      </c>
    </row>
    <row r="638" spans="2:30" x14ac:dyDescent="0.35">
      <c r="B638" s="19">
        <v>1230</v>
      </c>
      <c r="C638" s="4" t="s">
        <v>631</v>
      </c>
      <c r="D638" s="4" t="s">
        <v>2407</v>
      </c>
      <c r="E638" s="4" t="s">
        <v>2914</v>
      </c>
      <c r="F638" s="4" t="s">
        <v>587</v>
      </c>
      <c r="G638" s="4" t="s">
        <v>1016</v>
      </c>
      <c r="H638" s="6">
        <v>4.4999999999999998E-2</v>
      </c>
      <c r="I638" s="8">
        <v>500</v>
      </c>
      <c r="J638" s="8">
        <v>200</v>
      </c>
      <c r="K638" s="8">
        <v>200</v>
      </c>
      <c r="L638" s="8">
        <f t="shared" si="34"/>
        <v>20000000</v>
      </c>
      <c r="M638" s="15">
        <v>7897801309615</v>
      </c>
      <c r="N638" s="6" t="s">
        <v>20</v>
      </c>
      <c r="O638" s="6" t="s">
        <v>20</v>
      </c>
      <c r="P638" s="6" t="s">
        <v>20</v>
      </c>
      <c r="Q638" s="6">
        <v>0.39500000000000002</v>
      </c>
      <c r="R638" s="6">
        <v>0.245</v>
      </c>
      <c r="S638" s="6">
        <v>0.39500000000000002</v>
      </c>
      <c r="T638" s="8">
        <v>50</v>
      </c>
      <c r="U638" s="5" t="s">
        <v>991</v>
      </c>
      <c r="V638" s="89">
        <v>0</v>
      </c>
      <c r="W638" s="15">
        <v>17897801309612</v>
      </c>
      <c r="X638" s="6" t="s">
        <v>20</v>
      </c>
      <c r="Y638" s="6" t="s">
        <v>20</v>
      </c>
      <c r="Z638" s="6" t="s">
        <v>20</v>
      </c>
      <c r="AA638" s="6"/>
      <c r="AB638" s="8">
        <v>0</v>
      </c>
      <c r="AC638" s="15">
        <v>27897801309619</v>
      </c>
      <c r="AD638" s="4" t="s">
        <v>992</v>
      </c>
    </row>
    <row r="639" spans="2:30" x14ac:dyDescent="0.35">
      <c r="B639" s="19">
        <v>1231</v>
      </c>
      <c r="C639" s="4" t="s">
        <v>632</v>
      </c>
      <c r="D639" s="4" t="s">
        <v>2407</v>
      </c>
      <c r="E639" s="4" t="s">
        <v>2914</v>
      </c>
      <c r="F639" s="4" t="s">
        <v>587</v>
      </c>
      <c r="G639" s="4" t="s">
        <v>1016</v>
      </c>
      <c r="H639" s="6">
        <v>6.3600000000000004E-2</v>
      </c>
      <c r="I639" s="8">
        <v>250</v>
      </c>
      <c r="J639" s="8">
        <v>490</v>
      </c>
      <c r="K639" s="8">
        <v>490</v>
      </c>
      <c r="L639" s="8">
        <f t="shared" si="34"/>
        <v>60025000</v>
      </c>
      <c r="M639" s="15">
        <v>7897801309622</v>
      </c>
      <c r="N639" s="6" t="s">
        <v>20</v>
      </c>
      <c r="O639" s="6" t="s">
        <v>20</v>
      </c>
      <c r="P639" s="6" t="s">
        <v>20</v>
      </c>
      <c r="Q639" s="6">
        <v>0.495</v>
      </c>
      <c r="R639" s="6">
        <v>0.215</v>
      </c>
      <c r="S639" s="6">
        <v>0.495</v>
      </c>
      <c r="T639" s="8">
        <v>50</v>
      </c>
      <c r="U639" s="5" t="s">
        <v>991</v>
      </c>
      <c r="V639" s="89">
        <v>0</v>
      </c>
      <c r="W639" s="15">
        <v>17897801309629</v>
      </c>
      <c r="X639" s="6" t="s">
        <v>20</v>
      </c>
      <c r="Y639" s="6" t="s">
        <v>20</v>
      </c>
      <c r="Z639" s="6" t="s">
        <v>20</v>
      </c>
      <c r="AA639" s="6"/>
      <c r="AB639" s="8">
        <v>0</v>
      </c>
      <c r="AC639" s="15">
        <v>27897801309626</v>
      </c>
      <c r="AD639" s="4" t="s">
        <v>992</v>
      </c>
    </row>
    <row r="640" spans="2:30" x14ac:dyDescent="0.35">
      <c r="B640" s="19">
        <v>1232</v>
      </c>
      <c r="C640" s="4" t="s">
        <v>633</v>
      </c>
      <c r="D640" s="4" t="s">
        <v>2407</v>
      </c>
      <c r="E640" s="4" t="s">
        <v>2914</v>
      </c>
      <c r="F640" s="4" t="s">
        <v>587</v>
      </c>
      <c r="G640" s="4" t="s">
        <v>1016</v>
      </c>
      <c r="H640" s="6">
        <v>0.1</v>
      </c>
      <c r="I640" s="8">
        <v>190</v>
      </c>
      <c r="J640" s="8">
        <v>500</v>
      </c>
      <c r="K640" s="8">
        <v>500</v>
      </c>
      <c r="L640" s="8">
        <f t="shared" si="34"/>
        <v>47500000</v>
      </c>
      <c r="M640" s="15">
        <v>7897801309639</v>
      </c>
      <c r="N640" s="6" t="s">
        <v>20</v>
      </c>
      <c r="O640" s="6" t="s">
        <v>20</v>
      </c>
      <c r="P640" s="6" t="s">
        <v>20</v>
      </c>
      <c r="Q640" s="6">
        <v>0.44500000000000001</v>
      </c>
      <c r="R640" s="6">
        <v>0.23</v>
      </c>
      <c r="S640" s="6">
        <v>0.44500000000000001</v>
      </c>
      <c r="T640" s="8">
        <v>25</v>
      </c>
      <c r="U640" s="5" t="s">
        <v>991</v>
      </c>
      <c r="V640" s="89">
        <v>0</v>
      </c>
      <c r="W640" s="15">
        <v>17897801309636</v>
      </c>
      <c r="X640" s="6" t="s">
        <v>20</v>
      </c>
      <c r="Y640" s="6" t="s">
        <v>20</v>
      </c>
      <c r="Z640" s="6" t="s">
        <v>20</v>
      </c>
      <c r="AA640" s="6"/>
      <c r="AB640" s="8">
        <v>0</v>
      </c>
      <c r="AC640" s="15">
        <v>27897801309633</v>
      </c>
      <c r="AD640" s="4" t="s">
        <v>992</v>
      </c>
    </row>
    <row r="641" spans="2:30" x14ac:dyDescent="0.35">
      <c r="B641" s="23">
        <v>1233</v>
      </c>
      <c r="C641" s="24" t="s">
        <v>2941</v>
      </c>
      <c r="D641" s="4" t="s">
        <v>2407</v>
      </c>
      <c r="E641" s="4" t="s">
        <v>2914</v>
      </c>
      <c r="F641" s="4" t="s">
        <v>587</v>
      </c>
      <c r="G641" s="4" t="s">
        <v>1016</v>
      </c>
      <c r="H641" s="6">
        <v>0.1094</v>
      </c>
      <c r="I641" s="8">
        <v>500</v>
      </c>
      <c r="J641" s="8">
        <v>225</v>
      </c>
      <c r="K641" s="8">
        <v>500</v>
      </c>
      <c r="L641" s="8">
        <v>56250000</v>
      </c>
      <c r="M641" s="15">
        <v>7897801310598</v>
      </c>
      <c r="N641" s="6" t="s">
        <v>20</v>
      </c>
      <c r="O641" s="6" t="s">
        <v>20</v>
      </c>
      <c r="P641" s="6" t="s">
        <v>20</v>
      </c>
      <c r="Q641" s="6">
        <v>0.5</v>
      </c>
      <c r="R641" s="6">
        <v>0.22500000000000001</v>
      </c>
      <c r="S641" s="6">
        <v>0.5</v>
      </c>
      <c r="T641" s="8">
        <v>50</v>
      </c>
      <c r="U641" s="5" t="s">
        <v>991</v>
      </c>
      <c r="V641" s="89">
        <v>0</v>
      </c>
      <c r="W641" s="15">
        <v>17897801310595</v>
      </c>
      <c r="X641" s="6" t="s">
        <v>2424</v>
      </c>
      <c r="Y641" s="6" t="s">
        <v>2424</v>
      </c>
      <c r="Z641" s="6" t="s">
        <v>2424</v>
      </c>
      <c r="AA641" s="6" t="s">
        <v>2424</v>
      </c>
      <c r="AB641" s="8" t="s">
        <v>2424</v>
      </c>
      <c r="AC641" s="15">
        <v>27897801310592</v>
      </c>
      <c r="AD641" s="4" t="s">
        <v>992</v>
      </c>
    </row>
    <row r="642" spans="2:30" x14ac:dyDescent="0.35">
      <c r="B642" s="23">
        <v>1234</v>
      </c>
      <c r="C642" s="24" t="s">
        <v>2942</v>
      </c>
      <c r="D642" s="4" t="s">
        <v>2407</v>
      </c>
      <c r="E642" s="4" t="s">
        <v>2914</v>
      </c>
      <c r="F642" s="4" t="s">
        <v>587</v>
      </c>
      <c r="G642" s="4" t="s">
        <v>1016</v>
      </c>
      <c r="H642" s="6">
        <v>0.14630000000000001</v>
      </c>
      <c r="I642" s="8">
        <v>450</v>
      </c>
      <c r="J642" s="8">
        <v>230</v>
      </c>
      <c r="K642" s="8">
        <v>450</v>
      </c>
      <c r="L642" s="8">
        <v>46575000</v>
      </c>
      <c r="M642" s="15">
        <v>7897801310604</v>
      </c>
      <c r="N642" s="6" t="s">
        <v>20</v>
      </c>
      <c r="O642" s="6" t="s">
        <v>20</v>
      </c>
      <c r="P642" s="6" t="s">
        <v>20</v>
      </c>
      <c r="Q642" s="6">
        <v>0.45</v>
      </c>
      <c r="R642" s="6">
        <v>0.23</v>
      </c>
      <c r="S642" s="6">
        <v>0.45</v>
      </c>
      <c r="T642" s="8">
        <v>25</v>
      </c>
      <c r="U642" s="5" t="s">
        <v>991</v>
      </c>
      <c r="V642" s="89">
        <v>0</v>
      </c>
      <c r="W642" s="15">
        <v>17897801310601</v>
      </c>
      <c r="X642" s="6" t="s">
        <v>2424</v>
      </c>
      <c r="Y642" s="6" t="s">
        <v>2424</v>
      </c>
      <c r="Z642" s="6" t="s">
        <v>2424</v>
      </c>
      <c r="AA642" s="6" t="s">
        <v>2424</v>
      </c>
      <c r="AB642" s="8" t="s">
        <v>2424</v>
      </c>
      <c r="AC642" s="15">
        <v>27897801310608</v>
      </c>
      <c r="AD642" s="4" t="s">
        <v>992</v>
      </c>
    </row>
    <row r="643" spans="2:30" x14ac:dyDescent="0.35">
      <c r="B643" s="19">
        <v>1235</v>
      </c>
      <c r="C643" s="4" t="s">
        <v>634</v>
      </c>
      <c r="D643" s="4" t="s">
        <v>2407</v>
      </c>
      <c r="E643" s="4" t="s">
        <v>2914</v>
      </c>
      <c r="F643" s="4" t="s">
        <v>587</v>
      </c>
      <c r="G643" s="4" t="s">
        <v>1016</v>
      </c>
      <c r="H643" s="6">
        <v>9.1999999999999998E-2</v>
      </c>
      <c r="I643" s="8">
        <v>170</v>
      </c>
      <c r="J643" s="8">
        <v>460</v>
      </c>
      <c r="K643" s="8">
        <v>460</v>
      </c>
      <c r="L643" s="8">
        <f t="shared" ref="L643:L651" si="36">J643*I643*K643</f>
        <v>35972000</v>
      </c>
      <c r="M643" s="15">
        <v>7897801309646</v>
      </c>
      <c r="N643" s="6" t="s">
        <v>20</v>
      </c>
      <c r="O643" s="6" t="s">
        <v>20</v>
      </c>
      <c r="P643" s="6" t="s">
        <v>20</v>
      </c>
      <c r="Q643" s="6">
        <v>0.39500000000000002</v>
      </c>
      <c r="R643" s="6">
        <v>0.245</v>
      </c>
      <c r="S643" s="6">
        <v>0.39500000000000002</v>
      </c>
      <c r="T643" s="8">
        <v>50</v>
      </c>
      <c r="U643" s="5" t="s">
        <v>991</v>
      </c>
      <c r="V643" s="89">
        <v>0</v>
      </c>
      <c r="W643" s="15">
        <v>17897801309643</v>
      </c>
      <c r="X643" s="6" t="s">
        <v>20</v>
      </c>
      <c r="Y643" s="6" t="s">
        <v>20</v>
      </c>
      <c r="Z643" s="6" t="s">
        <v>20</v>
      </c>
      <c r="AA643" s="6"/>
      <c r="AB643" s="8">
        <v>0</v>
      </c>
      <c r="AC643" s="15">
        <v>27897801309640</v>
      </c>
      <c r="AD643" s="4" t="s">
        <v>992</v>
      </c>
    </row>
    <row r="644" spans="2:30" x14ac:dyDescent="0.35">
      <c r="B644" s="19">
        <v>1236</v>
      </c>
      <c r="C644" s="4" t="s">
        <v>635</v>
      </c>
      <c r="D644" s="4" t="s">
        <v>2407</v>
      </c>
      <c r="E644" s="4" t="s">
        <v>2914</v>
      </c>
      <c r="F644" s="4" t="s">
        <v>587</v>
      </c>
      <c r="G644" s="4" t="s">
        <v>1016</v>
      </c>
      <c r="H644" s="6">
        <v>0.1</v>
      </c>
      <c r="I644" s="8">
        <v>250</v>
      </c>
      <c r="J644" s="8">
        <v>490</v>
      </c>
      <c r="K644" s="8">
        <v>490</v>
      </c>
      <c r="L644" s="8">
        <f t="shared" si="36"/>
        <v>60025000</v>
      </c>
      <c r="M644" s="15">
        <v>7897801309653</v>
      </c>
      <c r="N644" s="6" t="s">
        <v>20</v>
      </c>
      <c r="O644" s="6" t="s">
        <v>20</v>
      </c>
      <c r="P644" s="6" t="s">
        <v>20</v>
      </c>
      <c r="Q644" s="6">
        <v>0.495</v>
      </c>
      <c r="R644" s="6">
        <v>0.215</v>
      </c>
      <c r="S644" s="6">
        <v>0.495</v>
      </c>
      <c r="T644" s="8">
        <v>50</v>
      </c>
      <c r="U644" s="5" t="s">
        <v>991</v>
      </c>
      <c r="V644" s="89">
        <v>0</v>
      </c>
      <c r="W644" s="15">
        <v>17897801309650</v>
      </c>
      <c r="X644" s="6" t="s">
        <v>20</v>
      </c>
      <c r="Y644" s="6" t="s">
        <v>20</v>
      </c>
      <c r="Z644" s="6" t="s">
        <v>20</v>
      </c>
      <c r="AA644" s="6"/>
      <c r="AB644" s="8">
        <v>0</v>
      </c>
      <c r="AC644" s="15">
        <v>27897801309657</v>
      </c>
      <c r="AD644" s="4" t="s">
        <v>992</v>
      </c>
    </row>
    <row r="645" spans="2:30" x14ac:dyDescent="0.35">
      <c r="B645" s="19">
        <v>1237</v>
      </c>
      <c r="C645" s="4" t="s">
        <v>636</v>
      </c>
      <c r="D645" s="4" t="s">
        <v>2407</v>
      </c>
      <c r="E645" s="4" t="s">
        <v>2914</v>
      </c>
      <c r="F645" s="4" t="s">
        <v>587</v>
      </c>
      <c r="G645" s="4" t="s">
        <v>1016</v>
      </c>
      <c r="H645" s="6">
        <v>0.14399999999999999</v>
      </c>
      <c r="I645" s="8">
        <v>190</v>
      </c>
      <c r="J645" s="8">
        <v>500</v>
      </c>
      <c r="K645" s="8">
        <v>500</v>
      </c>
      <c r="L645" s="8">
        <f t="shared" si="36"/>
        <v>47500000</v>
      </c>
      <c r="M645" s="15">
        <v>7897801309660</v>
      </c>
      <c r="N645" s="6" t="s">
        <v>20</v>
      </c>
      <c r="O645" s="6" t="s">
        <v>20</v>
      </c>
      <c r="P645" s="6" t="s">
        <v>20</v>
      </c>
      <c r="Q645" s="6">
        <v>0.46</v>
      </c>
      <c r="R645" s="6">
        <v>0.24</v>
      </c>
      <c r="S645" s="6">
        <v>0.46</v>
      </c>
      <c r="T645" s="8">
        <v>25</v>
      </c>
      <c r="U645" s="5" t="s">
        <v>991</v>
      </c>
      <c r="V645" s="89">
        <v>0</v>
      </c>
      <c r="W645" s="15">
        <v>17897801309667</v>
      </c>
      <c r="X645" s="6" t="s">
        <v>20</v>
      </c>
      <c r="Y645" s="6" t="s">
        <v>20</v>
      </c>
      <c r="Z645" s="6" t="s">
        <v>20</v>
      </c>
      <c r="AA645" s="6"/>
      <c r="AB645" s="8">
        <v>0</v>
      </c>
      <c r="AC645" s="15">
        <v>27897801309664</v>
      </c>
      <c r="AD645" s="4" t="s">
        <v>992</v>
      </c>
    </row>
    <row r="646" spans="2:30" x14ac:dyDescent="0.35">
      <c r="B646" s="19">
        <v>1245</v>
      </c>
      <c r="C646" s="4" t="s">
        <v>637</v>
      </c>
      <c r="D646" s="4" t="s">
        <v>2392</v>
      </c>
      <c r="E646" s="4" t="s">
        <v>2914</v>
      </c>
      <c r="F646" s="4" t="s">
        <v>85</v>
      </c>
      <c r="G646" s="4" t="s">
        <v>993</v>
      </c>
      <c r="H646" s="6">
        <v>6.1999999999999998E-3</v>
      </c>
      <c r="I646" s="8">
        <v>37</v>
      </c>
      <c r="J646" s="8">
        <v>26</v>
      </c>
      <c r="K646" s="8">
        <v>37</v>
      </c>
      <c r="L646" s="8">
        <f t="shared" si="36"/>
        <v>35594</v>
      </c>
      <c r="M646" s="15">
        <v>7897801309981</v>
      </c>
      <c r="N646" s="6" t="s">
        <v>20</v>
      </c>
      <c r="O646" s="6" t="s">
        <v>20</v>
      </c>
      <c r="P646" s="6" t="s">
        <v>20</v>
      </c>
      <c r="Q646" s="6">
        <v>0.17</v>
      </c>
      <c r="R646" s="6">
        <v>0.05</v>
      </c>
      <c r="S646" s="6">
        <v>0.24</v>
      </c>
      <c r="T646" s="8">
        <v>50</v>
      </c>
      <c r="U646" s="5" t="s">
        <v>994</v>
      </c>
      <c r="V646" s="89">
        <v>0</v>
      </c>
      <c r="W646" s="15">
        <v>17897801309988</v>
      </c>
      <c r="X646" s="6">
        <v>0.51</v>
      </c>
      <c r="Y646" s="6">
        <v>0.17</v>
      </c>
      <c r="Z646" s="6">
        <v>0.74</v>
      </c>
      <c r="AA646" s="6">
        <f t="shared" ref="AA646:AA651" si="37">Y646*X646*Z646</f>
        <v>6.4158000000000007E-2</v>
      </c>
      <c r="AB646" s="8">
        <v>1500</v>
      </c>
      <c r="AC646" s="15">
        <v>27897801309985</v>
      </c>
      <c r="AD646" s="4" t="s">
        <v>992</v>
      </c>
    </row>
    <row r="647" spans="2:30" x14ac:dyDescent="0.35">
      <c r="B647" s="14">
        <v>1246</v>
      </c>
      <c r="C647" s="4" t="s">
        <v>638</v>
      </c>
      <c r="D647" s="4" t="s">
        <v>2392</v>
      </c>
      <c r="E647" s="4" t="s">
        <v>2914</v>
      </c>
      <c r="F647" s="4" t="s">
        <v>85</v>
      </c>
      <c r="G647" s="4" t="s">
        <v>993</v>
      </c>
      <c r="H647" s="6">
        <v>9.1999999999999998E-3</v>
      </c>
      <c r="I647" s="8">
        <v>41</v>
      </c>
      <c r="J647" s="8">
        <v>30</v>
      </c>
      <c r="K647" s="8">
        <v>41</v>
      </c>
      <c r="L647" s="8">
        <f t="shared" si="36"/>
        <v>50430</v>
      </c>
      <c r="M647" s="15">
        <v>7897801309998</v>
      </c>
      <c r="N647" s="6" t="s">
        <v>20</v>
      </c>
      <c r="O647" s="6" t="s">
        <v>20</v>
      </c>
      <c r="P647" s="6" t="s">
        <v>20</v>
      </c>
      <c r="Q647" s="6">
        <v>0.18</v>
      </c>
      <c r="R647" s="6">
        <v>0.08</v>
      </c>
      <c r="S647" s="6">
        <v>0.25</v>
      </c>
      <c r="T647" s="8">
        <v>50</v>
      </c>
      <c r="U647" s="5" t="s">
        <v>994</v>
      </c>
      <c r="V647" s="89">
        <v>0</v>
      </c>
      <c r="W647" s="15">
        <v>17897801309995</v>
      </c>
      <c r="X647" s="6">
        <v>0.46</v>
      </c>
      <c r="Y647" s="6">
        <v>0.25</v>
      </c>
      <c r="Z647" s="6">
        <v>0.68</v>
      </c>
      <c r="AA647" s="6">
        <f t="shared" si="37"/>
        <v>7.8200000000000006E-2</v>
      </c>
      <c r="AB647" s="8">
        <v>1200</v>
      </c>
      <c r="AC647" s="15">
        <v>27897801309992</v>
      </c>
      <c r="AD647" s="4" t="s">
        <v>992</v>
      </c>
    </row>
    <row r="648" spans="2:30" x14ac:dyDescent="0.35">
      <c r="B648" s="14">
        <v>1247</v>
      </c>
      <c r="C648" s="4" t="s">
        <v>639</v>
      </c>
      <c r="D648" s="4" t="s">
        <v>2392</v>
      </c>
      <c r="E648" s="4" t="s">
        <v>2914</v>
      </c>
      <c r="F648" s="4" t="s">
        <v>85</v>
      </c>
      <c r="G648" s="4" t="s">
        <v>993</v>
      </c>
      <c r="H648" s="6">
        <v>1.5599999999999999E-2</v>
      </c>
      <c r="I648" s="8">
        <v>42</v>
      </c>
      <c r="J648" s="8">
        <v>37</v>
      </c>
      <c r="K648" s="8">
        <v>42</v>
      </c>
      <c r="L648" s="8">
        <f t="shared" si="36"/>
        <v>65268</v>
      </c>
      <c r="M648" s="15">
        <v>7897801310000</v>
      </c>
      <c r="N648" s="6" t="s">
        <v>20</v>
      </c>
      <c r="O648" s="6" t="s">
        <v>20</v>
      </c>
      <c r="P648" s="6" t="s">
        <v>20</v>
      </c>
      <c r="Q648" s="6">
        <v>0.23</v>
      </c>
      <c r="R648" s="6">
        <v>0.08</v>
      </c>
      <c r="S648" s="6">
        <v>0.26</v>
      </c>
      <c r="T648" s="8">
        <v>30</v>
      </c>
      <c r="U648" s="5" t="s">
        <v>994</v>
      </c>
      <c r="V648" s="89">
        <v>0</v>
      </c>
      <c r="W648" s="15">
        <v>17897801310007</v>
      </c>
      <c r="X648" s="6">
        <v>0.57999999999999996</v>
      </c>
      <c r="Y648" s="6">
        <v>0.24</v>
      </c>
      <c r="Z648" s="6">
        <v>0.83</v>
      </c>
      <c r="AA648" s="6">
        <f t="shared" si="37"/>
        <v>0.11553599999999999</v>
      </c>
      <c r="AB648" s="8">
        <v>900</v>
      </c>
      <c r="AC648" s="15">
        <v>27897801310004</v>
      </c>
      <c r="AD648" s="4" t="s">
        <v>992</v>
      </c>
    </row>
    <row r="649" spans="2:30" x14ac:dyDescent="0.35">
      <c r="B649" s="14">
        <v>1250</v>
      </c>
      <c r="C649" s="4" t="s">
        <v>640</v>
      </c>
      <c r="D649" s="4" t="s">
        <v>2392</v>
      </c>
      <c r="E649" s="4" t="s">
        <v>2914</v>
      </c>
      <c r="F649" s="4" t="s">
        <v>85</v>
      </c>
      <c r="G649" s="4" t="s">
        <v>993</v>
      </c>
      <c r="H649" s="6">
        <v>6.0000000000000001E-3</v>
      </c>
      <c r="I649" s="8">
        <v>37</v>
      </c>
      <c r="J649" s="8">
        <v>24</v>
      </c>
      <c r="K649" s="8">
        <v>37</v>
      </c>
      <c r="L649" s="8">
        <f t="shared" si="36"/>
        <v>32856</v>
      </c>
      <c r="M649" s="15">
        <v>7897801310239</v>
      </c>
      <c r="N649" s="6" t="s">
        <v>20</v>
      </c>
      <c r="O649" s="6" t="s">
        <v>20</v>
      </c>
      <c r="P649" s="6" t="s">
        <v>20</v>
      </c>
      <c r="Q649" s="6">
        <v>0.14000000000000001</v>
      </c>
      <c r="R649" s="6">
        <v>7.0000000000000007E-2</v>
      </c>
      <c r="S649" s="6">
        <v>0.2</v>
      </c>
      <c r="T649" s="8">
        <v>50</v>
      </c>
      <c r="U649" s="5" t="s">
        <v>994</v>
      </c>
      <c r="V649" s="89">
        <v>0</v>
      </c>
      <c r="W649" s="15">
        <v>17897801310236</v>
      </c>
      <c r="X649" s="6">
        <v>0.5</v>
      </c>
      <c r="Y649" s="6">
        <v>0.15</v>
      </c>
      <c r="Z649" s="6">
        <v>0.7</v>
      </c>
      <c r="AA649" s="6">
        <f t="shared" si="37"/>
        <v>5.2499999999999998E-2</v>
      </c>
      <c r="AB649" s="8">
        <v>1500</v>
      </c>
      <c r="AC649" s="15">
        <v>27897801310233</v>
      </c>
      <c r="AD649" s="4" t="s">
        <v>992</v>
      </c>
    </row>
    <row r="650" spans="2:30" x14ac:dyDescent="0.35">
      <c r="B650" s="14">
        <v>1251</v>
      </c>
      <c r="C650" s="4" t="s">
        <v>641</v>
      </c>
      <c r="D650" s="4" t="s">
        <v>2392</v>
      </c>
      <c r="E650" s="4" t="s">
        <v>2914</v>
      </c>
      <c r="F650" s="4" t="s">
        <v>85</v>
      </c>
      <c r="G650" s="4" t="s">
        <v>993</v>
      </c>
      <c r="H650" s="6">
        <v>8.9999999999999993E-3</v>
      </c>
      <c r="I650" s="8">
        <v>41</v>
      </c>
      <c r="J650" s="8">
        <v>29</v>
      </c>
      <c r="K650" s="8">
        <v>41</v>
      </c>
      <c r="L650" s="8">
        <f t="shared" si="36"/>
        <v>48749</v>
      </c>
      <c r="M650" s="15">
        <v>7897801310246</v>
      </c>
      <c r="N650" s="6" t="s">
        <v>20</v>
      </c>
      <c r="O650" s="6" t="s">
        <v>20</v>
      </c>
      <c r="P650" s="6" t="s">
        <v>20</v>
      </c>
      <c r="Q650" s="6">
        <v>0.15</v>
      </c>
      <c r="R650" s="6">
        <v>7.0000000000000007E-2</v>
      </c>
      <c r="S650" s="6">
        <v>0.25</v>
      </c>
      <c r="T650" s="8">
        <v>50</v>
      </c>
      <c r="U650" s="5" t="s">
        <v>994</v>
      </c>
      <c r="V650" s="89">
        <v>0</v>
      </c>
      <c r="W650" s="15">
        <v>17897801310243</v>
      </c>
      <c r="X650" s="6">
        <v>0.45</v>
      </c>
      <c r="Y650" s="6">
        <v>0.21</v>
      </c>
      <c r="Z650" s="6">
        <v>0.65</v>
      </c>
      <c r="AA650" s="6">
        <f t="shared" si="37"/>
        <v>6.1425E-2</v>
      </c>
      <c r="AB650" s="8">
        <v>1200</v>
      </c>
      <c r="AC650" s="15">
        <v>27897801310240</v>
      </c>
      <c r="AD650" s="4" t="s">
        <v>992</v>
      </c>
    </row>
    <row r="651" spans="2:30" x14ac:dyDescent="0.35">
      <c r="B651" s="14">
        <v>1252</v>
      </c>
      <c r="C651" s="4" t="s">
        <v>642</v>
      </c>
      <c r="D651" s="4" t="s">
        <v>2392</v>
      </c>
      <c r="E651" s="4" t="s">
        <v>2914</v>
      </c>
      <c r="F651" s="4" t="s">
        <v>85</v>
      </c>
      <c r="G651" s="4" t="s">
        <v>993</v>
      </c>
      <c r="H651" s="6">
        <v>1.55E-2</v>
      </c>
      <c r="I651" s="8">
        <v>42</v>
      </c>
      <c r="J651" s="8">
        <v>38</v>
      </c>
      <c r="K651" s="8">
        <v>38</v>
      </c>
      <c r="L651" s="8">
        <f t="shared" si="36"/>
        <v>60648</v>
      </c>
      <c r="M651" s="15">
        <v>7897801310253</v>
      </c>
      <c r="N651" s="6" t="s">
        <v>20</v>
      </c>
      <c r="O651" s="6" t="s">
        <v>20</v>
      </c>
      <c r="P651" s="6" t="s">
        <v>20</v>
      </c>
      <c r="Q651" s="6">
        <v>0.23499999999999999</v>
      </c>
      <c r="R651" s="6">
        <v>4.2999999999999997E-2</v>
      </c>
      <c r="S651" s="6">
        <v>0.26</v>
      </c>
      <c r="T651" s="8">
        <v>30</v>
      </c>
      <c r="U651" s="5" t="s">
        <v>994</v>
      </c>
      <c r="V651" s="89">
        <v>0</v>
      </c>
      <c r="W651" s="15">
        <v>17897801310250</v>
      </c>
      <c r="X651" s="6">
        <v>0.62</v>
      </c>
      <c r="Y651" s="6">
        <v>0.18</v>
      </c>
      <c r="Z651" s="6">
        <v>0.87</v>
      </c>
      <c r="AA651" s="6">
        <f t="shared" si="37"/>
        <v>9.7091999999999998E-2</v>
      </c>
      <c r="AB651" s="8">
        <v>900</v>
      </c>
      <c r="AC651" s="15">
        <v>27897801310257</v>
      </c>
      <c r="AD651" s="4" t="s">
        <v>992</v>
      </c>
    </row>
    <row r="652" spans="2:30" x14ac:dyDescent="0.35">
      <c r="B652" s="18">
        <v>1254</v>
      </c>
      <c r="C652" s="4" t="s">
        <v>1024</v>
      </c>
      <c r="D652" s="4" t="s">
        <v>2395</v>
      </c>
      <c r="E652" s="4" t="s">
        <v>2914</v>
      </c>
      <c r="F652" s="4" t="s">
        <v>85</v>
      </c>
      <c r="G652" s="4" t="s">
        <v>993</v>
      </c>
      <c r="H652" s="6">
        <v>7.3700000000000002E-2</v>
      </c>
      <c r="I652" s="8">
        <v>105</v>
      </c>
      <c r="J652" s="8">
        <v>57</v>
      </c>
      <c r="K652" s="8">
        <v>105</v>
      </c>
      <c r="L652" s="17">
        <v>7.7999999999999996E-3</v>
      </c>
      <c r="M652" s="15">
        <v>7897801319294</v>
      </c>
      <c r="N652" s="6" t="s">
        <v>20</v>
      </c>
      <c r="O652" s="6" t="s">
        <v>20</v>
      </c>
      <c r="P652" s="6" t="s">
        <v>20</v>
      </c>
      <c r="Q652" s="6">
        <v>0.215</v>
      </c>
      <c r="R652" s="6">
        <v>0.11</v>
      </c>
      <c r="S652" s="6">
        <v>0.33</v>
      </c>
      <c r="T652" s="8">
        <v>12</v>
      </c>
      <c r="U652" s="5" t="s">
        <v>2332</v>
      </c>
      <c r="V652" s="89">
        <v>3.2500000000000001E-2</v>
      </c>
      <c r="W652" s="15">
        <v>17897801319291</v>
      </c>
      <c r="X652" s="6">
        <v>0.7</v>
      </c>
      <c r="Y652" s="6">
        <v>0.25</v>
      </c>
      <c r="Z652" s="6">
        <v>1</v>
      </c>
      <c r="AA652" s="6">
        <v>0.17499999999999999</v>
      </c>
      <c r="AB652" s="8">
        <v>120</v>
      </c>
      <c r="AC652" s="15">
        <v>27897801319298</v>
      </c>
      <c r="AD652" s="4" t="s">
        <v>992</v>
      </c>
    </row>
    <row r="653" spans="2:30" x14ac:dyDescent="0.35">
      <c r="B653" s="14">
        <v>1255</v>
      </c>
      <c r="C653" s="4" t="s">
        <v>643</v>
      </c>
      <c r="D653" s="4" t="s">
        <v>2395</v>
      </c>
      <c r="E653" s="4" t="s">
        <v>2914</v>
      </c>
      <c r="F653" s="4" t="s">
        <v>85</v>
      </c>
      <c r="G653" s="4" t="s">
        <v>993</v>
      </c>
      <c r="H653" s="6">
        <v>7.0999999999999994E-2</v>
      </c>
      <c r="I653" s="8">
        <v>106</v>
      </c>
      <c r="J653" s="8">
        <v>570</v>
      </c>
      <c r="K653" s="8">
        <v>106</v>
      </c>
      <c r="L653" s="8">
        <f>J653*I653*K653</f>
        <v>6404520</v>
      </c>
      <c r="M653" s="15">
        <v>7897801310475</v>
      </c>
      <c r="N653" s="6" t="s">
        <v>20</v>
      </c>
      <c r="O653" s="6" t="s">
        <v>20</v>
      </c>
      <c r="P653" s="6" t="s">
        <v>20</v>
      </c>
      <c r="Q653" s="6">
        <v>0.22</v>
      </c>
      <c r="R653" s="6">
        <v>0.12</v>
      </c>
      <c r="S653" s="6">
        <v>0.33</v>
      </c>
      <c r="T653" s="8">
        <v>12</v>
      </c>
      <c r="U653" s="5" t="s">
        <v>2332</v>
      </c>
      <c r="V653" s="89">
        <v>3.2500000000000001E-2</v>
      </c>
      <c r="W653" s="15">
        <v>17897801310472</v>
      </c>
      <c r="X653" s="6">
        <v>0.49</v>
      </c>
      <c r="Y653" s="6">
        <v>0.22</v>
      </c>
      <c r="Z653" s="6">
        <v>0.68</v>
      </c>
      <c r="AA653" s="6">
        <f>Y653*X653*Z653</f>
        <v>7.3303999999999994E-2</v>
      </c>
      <c r="AB653" s="8">
        <v>120</v>
      </c>
      <c r="AC653" s="15">
        <v>27897801310479</v>
      </c>
      <c r="AD653" s="4" t="s">
        <v>992</v>
      </c>
    </row>
    <row r="654" spans="2:30" x14ac:dyDescent="0.35">
      <c r="B654" s="14">
        <v>1256</v>
      </c>
      <c r="C654" s="4" t="s">
        <v>644</v>
      </c>
      <c r="D654" s="4" t="s">
        <v>2395</v>
      </c>
      <c r="E654" s="4" t="s">
        <v>2914</v>
      </c>
      <c r="F654" s="4" t="s">
        <v>85</v>
      </c>
      <c r="G654" s="4" t="s">
        <v>993</v>
      </c>
      <c r="H654" s="6">
        <v>0.15359999999999999</v>
      </c>
      <c r="I654" s="8">
        <v>280</v>
      </c>
      <c r="J654" s="8">
        <v>60</v>
      </c>
      <c r="K654" s="8">
        <v>120</v>
      </c>
      <c r="L654" s="8">
        <f>J654*I654*K654</f>
        <v>2016000</v>
      </c>
      <c r="M654" s="15">
        <v>7897801312578</v>
      </c>
      <c r="N654" s="6" t="s">
        <v>20</v>
      </c>
      <c r="O654" s="6" t="s">
        <v>20</v>
      </c>
      <c r="P654" s="6" t="s">
        <v>20</v>
      </c>
      <c r="Q654" s="6">
        <v>0.38</v>
      </c>
      <c r="R654" s="6">
        <v>0.14000000000000001</v>
      </c>
      <c r="S654" s="6">
        <v>0.5</v>
      </c>
      <c r="T654" s="8">
        <v>10</v>
      </c>
      <c r="U654" s="5" t="s">
        <v>994</v>
      </c>
      <c r="V654" s="89">
        <v>3.2500000000000001E-2</v>
      </c>
      <c r="W654" s="15">
        <v>17897801312575</v>
      </c>
      <c r="X654" s="6" t="s">
        <v>20</v>
      </c>
      <c r="Y654" s="6" t="s">
        <v>20</v>
      </c>
      <c r="Z654" s="6" t="s">
        <v>20</v>
      </c>
      <c r="AA654" s="6"/>
      <c r="AB654" s="8">
        <v>0</v>
      </c>
      <c r="AC654" s="15">
        <v>27897801312572</v>
      </c>
      <c r="AD654" s="4" t="s">
        <v>992</v>
      </c>
    </row>
    <row r="655" spans="2:30" x14ac:dyDescent="0.35">
      <c r="B655" s="14">
        <v>1257</v>
      </c>
      <c r="C655" s="4" t="s">
        <v>645</v>
      </c>
      <c r="D655" s="4" t="s">
        <v>2395</v>
      </c>
      <c r="E655" s="4" t="s">
        <v>2914</v>
      </c>
      <c r="F655" s="4" t="s">
        <v>85</v>
      </c>
      <c r="G655" s="4" t="s">
        <v>993</v>
      </c>
      <c r="H655" s="6">
        <v>0.1648</v>
      </c>
      <c r="I655" s="8">
        <v>330</v>
      </c>
      <c r="J655" s="8">
        <v>60</v>
      </c>
      <c r="K655" s="8">
        <v>120</v>
      </c>
      <c r="L655" s="8">
        <f>J655*I655*K655</f>
        <v>2376000</v>
      </c>
      <c r="M655" s="15">
        <v>7897801312585</v>
      </c>
      <c r="N655" s="6" t="s">
        <v>20</v>
      </c>
      <c r="O655" s="6" t="s">
        <v>20</v>
      </c>
      <c r="P655" s="6" t="s">
        <v>20</v>
      </c>
      <c r="Q655" s="6">
        <v>0.42499999999999999</v>
      </c>
      <c r="R655" s="6">
        <v>0.11700000000000001</v>
      </c>
      <c r="S655" s="6">
        <v>0.55000000000000004</v>
      </c>
      <c r="T655" s="8">
        <v>10</v>
      </c>
      <c r="U655" s="5" t="s">
        <v>994</v>
      </c>
      <c r="V655" s="89">
        <v>3.2500000000000001E-2</v>
      </c>
      <c r="W655" s="15">
        <v>17897801312582</v>
      </c>
      <c r="X655" s="6" t="s">
        <v>20</v>
      </c>
      <c r="Y655" s="6" t="s">
        <v>20</v>
      </c>
      <c r="Z655" s="6" t="s">
        <v>20</v>
      </c>
      <c r="AA655" s="6"/>
      <c r="AB655" s="8">
        <v>0</v>
      </c>
      <c r="AC655" s="15">
        <v>27897801312589</v>
      </c>
      <c r="AD655" s="4" t="s">
        <v>992</v>
      </c>
    </row>
    <row r="656" spans="2:30" x14ac:dyDescent="0.35">
      <c r="B656" s="14">
        <v>1260</v>
      </c>
      <c r="C656" s="4" t="s">
        <v>646</v>
      </c>
      <c r="D656" s="4" t="s">
        <v>2395</v>
      </c>
      <c r="E656" s="4" t="s">
        <v>2914</v>
      </c>
      <c r="F656" s="4" t="s">
        <v>85</v>
      </c>
      <c r="G656" s="4" t="s">
        <v>993</v>
      </c>
      <c r="H656" s="6">
        <v>4.53E-2</v>
      </c>
      <c r="I656" s="8">
        <v>52</v>
      </c>
      <c r="J656" s="8">
        <v>120</v>
      </c>
      <c r="K656" s="8">
        <v>120</v>
      </c>
      <c r="L656" s="8">
        <f>J656*I656*K656</f>
        <v>748800</v>
      </c>
      <c r="M656" s="15">
        <v>7897801310468</v>
      </c>
      <c r="N656" s="6" t="s">
        <v>20</v>
      </c>
      <c r="O656" s="6" t="s">
        <v>20</v>
      </c>
      <c r="P656" s="6" t="s">
        <v>20</v>
      </c>
      <c r="Q656" s="6">
        <v>0.21</v>
      </c>
      <c r="R656" s="6">
        <v>0.11</v>
      </c>
      <c r="S656" s="6">
        <v>0.33</v>
      </c>
      <c r="T656" s="8">
        <v>12</v>
      </c>
      <c r="U656" s="5" t="s">
        <v>994</v>
      </c>
      <c r="V656" s="89">
        <v>3.2500000000000001E-2</v>
      </c>
      <c r="W656" s="15">
        <v>17897801310465</v>
      </c>
      <c r="X656" s="6">
        <v>0.5</v>
      </c>
      <c r="Y656" s="6">
        <v>0.24</v>
      </c>
      <c r="Z656" s="6">
        <v>0.7</v>
      </c>
      <c r="AA656" s="6">
        <f>Y656*X656*Z656</f>
        <v>8.3999999999999991E-2</v>
      </c>
      <c r="AB656" s="8">
        <v>120</v>
      </c>
      <c r="AC656" s="15">
        <v>27897801310462</v>
      </c>
      <c r="AD656" s="4" t="s">
        <v>992</v>
      </c>
    </row>
    <row r="657" spans="2:30" x14ac:dyDescent="0.35">
      <c r="B657" s="14">
        <v>1261</v>
      </c>
      <c r="C657" s="4" t="s">
        <v>647</v>
      </c>
      <c r="D657" s="4" t="s">
        <v>2395</v>
      </c>
      <c r="E657" s="4" t="s">
        <v>2914</v>
      </c>
      <c r="F657" s="4" t="s">
        <v>85</v>
      </c>
      <c r="G657" s="4" t="s">
        <v>993</v>
      </c>
      <c r="H657" s="6">
        <v>4.8399999999999999E-2</v>
      </c>
      <c r="I657" s="8">
        <v>100</v>
      </c>
      <c r="J657" s="8">
        <v>60</v>
      </c>
      <c r="K657" s="8">
        <v>100</v>
      </c>
      <c r="L657" s="8">
        <f>J657*I657*K657</f>
        <v>600000</v>
      </c>
      <c r="M657" s="15">
        <v>7897801312653</v>
      </c>
      <c r="N657" s="6" t="s">
        <v>20</v>
      </c>
      <c r="O657" s="6" t="s">
        <v>20</v>
      </c>
      <c r="P657" s="6" t="s">
        <v>20</v>
      </c>
      <c r="Q657" s="6">
        <v>0.22</v>
      </c>
      <c r="R657" s="6">
        <v>0.105</v>
      </c>
      <c r="S657" s="6">
        <v>0.33</v>
      </c>
      <c r="T657" s="8">
        <v>12</v>
      </c>
      <c r="U657" s="5" t="s">
        <v>994</v>
      </c>
      <c r="V657" s="89">
        <v>3.2500000000000001E-2</v>
      </c>
      <c r="W657" s="15">
        <v>17897801312650</v>
      </c>
      <c r="X657" s="6">
        <v>0.53</v>
      </c>
      <c r="Y657" s="6">
        <v>0.21</v>
      </c>
      <c r="Z657" s="6">
        <v>0.73</v>
      </c>
      <c r="AA657" s="6">
        <f>Y657*X657*Z657</f>
        <v>8.1249000000000002E-2</v>
      </c>
      <c r="AB657" s="8">
        <v>120</v>
      </c>
      <c r="AC657" s="15">
        <v>27897801312657</v>
      </c>
      <c r="AD657" s="4" t="s">
        <v>992</v>
      </c>
    </row>
    <row r="658" spans="2:30" x14ac:dyDescent="0.35">
      <c r="B658" s="14">
        <v>1265</v>
      </c>
      <c r="C658" s="24" t="s">
        <v>2966</v>
      </c>
      <c r="D658" s="4" t="s">
        <v>2395</v>
      </c>
      <c r="E658" s="4" t="s">
        <v>2914</v>
      </c>
      <c r="F658" s="4" t="s">
        <v>85</v>
      </c>
      <c r="G658" s="4" t="s">
        <v>993</v>
      </c>
      <c r="H658" s="6">
        <v>4.8239999999999998E-2</v>
      </c>
      <c r="I658" s="8">
        <v>115</v>
      </c>
      <c r="J658" s="8">
        <v>50</v>
      </c>
      <c r="K658" s="8">
        <v>75</v>
      </c>
      <c r="L658" s="8">
        <v>431250</v>
      </c>
      <c r="M658" s="15">
        <v>7897801310444</v>
      </c>
      <c r="N658" s="6" t="s">
        <v>20</v>
      </c>
      <c r="O658" s="6" t="s">
        <v>20</v>
      </c>
      <c r="P658" s="6" t="s">
        <v>20</v>
      </c>
      <c r="Q658" s="6">
        <v>0.115</v>
      </c>
      <c r="R658" s="6">
        <v>0.75</v>
      </c>
      <c r="S658" s="6">
        <v>0.54</v>
      </c>
      <c r="T658" s="8">
        <v>24</v>
      </c>
      <c r="U658" s="5" t="s">
        <v>2332</v>
      </c>
      <c r="V658" s="89">
        <v>3.2500000000000001E-2</v>
      </c>
      <c r="W658" s="15">
        <v>17897801310441</v>
      </c>
      <c r="X658" s="6">
        <v>0.53500000000000003</v>
      </c>
      <c r="Y658" s="6">
        <v>0.17</v>
      </c>
      <c r="Z658" s="6">
        <v>0.6</v>
      </c>
      <c r="AA658" s="6">
        <v>5.4570000000000007E-2</v>
      </c>
      <c r="AB658" s="8">
        <v>240</v>
      </c>
      <c r="AC658" s="15">
        <v>27897801310448</v>
      </c>
      <c r="AD658" s="4" t="s">
        <v>992</v>
      </c>
    </row>
    <row r="659" spans="2:30" x14ac:dyDescent="0.35">
      <c r="B659" s="14">
        <v>1266</v>
      </c>
      <c r="C659" s="4" t="s">
        <v>649</v>
      </c>
      <c r="D659" s="4" t="s">
        <v>2395</v>
      </c>
      <c r="E659" s="4" t="s">
        <v>2914</v>
      </c>
      <c r="F659" s="4" t="s">
        <v>85</v>
      </c>
      <c r="G659" s="4" t="s">
        <v>993</v>
      </c>
      <c r="H659" s="6">
        <v>6.3500000000000001E-2</v>
      </c>
      <c r="I659" s="8">
        <v>47</v>
      </c>
      <c r="J659" s="8">
        <v>115</v>
      </c>
      <c r="K659" s="8">
        <v>115</v>
      </c>
      <c r="L659" s="8">
        <f t="shared" ref="L659:L684" si="38">J659*I659*K659</f>
        <v>621575</v>
      </c>
      <c r="M659" s="15">
        <v>7897801310321</v>
      </c>
      <c r="N659" s="6" t="s">
        <v>20</v>
      </c>
      <c r="O659" s="6" t="s">
        <v>20</v>
      </c>
      <c r="P659" s="6" t="s">
        <v>20</v>
      </c>
      <c r="Q659" s="6">
        <v>0.22500000000000001</v>
      </c>
      <c r="R659" s="6">
        <v>0.11</v>
      </c>
      <c r="S659" s="6">
        <v>0.43</v>
      </c>
      <c r="T659" s="8">
        <v>20</v>
      </c>
      <c r="U659" s="5" t="s">
        <v>2332</v>
      </c>
      <c r="V659" s="89">
        <v>3.2500000000000001E-2</v>
      </c>
      <c r="W659" s="15">
        <v>17897801310328</v>
      </c>
      <c r="X659" s="6">
        <v>0.43</v>
      </c>
      <c r="Y659" s="6">
        <v>0.23</v>
      </c>
      <c r="Z659" s="6">
        <v>0.64</v>
      </c>
      <c r="AA659" s="6">
        <f>Y659*X659*Z659</f>
        <v>6.3296000000000005E-2</v>
      </c>
      <c r="AB659" s="8">
        <v>120</v>
      </c>
      <c r="AC659" s="15">
        <v>27897801310325</v>
      </c>
      <c r="AD659" s="4" t="s">
        <v>992</v>
      </c>
    </row>
    <row r="660" spans="2:30" x14ac:dyDescent="0.35">
      <c r="B660" s="73">
        <v>1269</v>
      </c>
      <c r="C660" s="24" t="s">
        <v>648</v>
      </c>
      <c r="D660" s="4" t="s">
        <v>2395</v>
      </c>
      <c r="E660" s="4" t="s">
        <v>2914</v>
      </c>
      <c r="F660" s="4" t="s">
        <v>85</v>
      </c>
      <c r="G660" s="4" t="s">
        <v>993</v>
      </c>
      <c r="H660" s="6">
        <v>4.7199999999999999E-2</v>
      </c>
      <c r="I660" s="8"/>
      <c r="J660" s="8"/>
      <c r="K660" s="8"/>
      <c r="L660" s="8"/>
      <c r="M660" s="15">
        <v>7897801325318</v>
      </c>
      <c r="N660" s="6" t="s">
        <v>20</v>
      </c>
      <c r="O660" s="6" t="s">
        <v>20</v>
      </c>
      <c r="P660" s="6" t="s">
        <v>20</v>
      </c>
      <c r="Q660" s="6"/>
      <c r="R660" s="6"/>
      <c r="S660" s="6"/>
      <c r="T660" s="8">
        <v>24</v>
      </c>
      <c r="U660" s="5" t="s">
        <v>2332</v>
      </c>
      <c r="V660" s="89">
        <v>3.2500000000000001E-2</v>
      </c>
      <c r="W660" s="15">
        <v>17897801325315</v>
      </c>
      <c r="X660" s="6"/>
      <c r="Y660" s="6"/>
      <c r="Z660" s="6"/>
      <c r="AA660" s="6"/>
      <c r="AB660" s="8">
        <v>240</v>
      </c>
      <c r="AC660" s="15">
        <v>27897801325312</v>
      </c>
      <c r="AD660" s="4" t="s">
        <v>992</v>
      </c>
    </row>
    <row r="661" spans="2:30" x14ac:dyDescent="0.35">
      <c r="B661" s="14">
        <v>1270</v>
      </c>
      <c r="C661" s="4" t="s">
        <v>650</v>
      </c>
      <c r="D661" s="4" t="s">
        <v>2372</v>
      </c>
      <c r="E661" s="4" t="s">
        <v>2914</v>
      </c>
      <c r="F661" s="4" t="s">
        <v>85</v>
      </c>
      <c r="G661" s="4" t="s">
        <v>1014</v>
      </c>
      <c r="H661" s="6">
        <v>0.58699999999999997</v>
      </c>
      <c r="I661" s="8">
        <v>20</v>
      </c>
      <c r="J661" s="8">
        <v>9.5</v>
      </c>
      <c r="K661" s="8">
        <v>18.5</v>
      </c>
      <c r="L661" s="8">
        <f t="shared" si="38"/>
        <v>3515</v>
      </c>
      <c r="M661" s="15">
        <v>7897801318167</v>
      </c>
      <c r="N661" s="6">
        <v>0.20499999999999999</v>
      </c>
      <c r="O661" s="6">
        <v>0.39500000000000002</v>
      </c>
      <c r="P661" s="6">
        <v>0.36499999999999999</v>
      </c>
      <c r="Q661" s="6">
        <v>0.185</v>
      </c>
      <c r="R661" s="6">
        <v>9.5000000000000001E-2</v>
      </c>
      <c r="S661" s="6">
        <v>0.2</v>
      </c>
      <c r="T661" s="8">
        <v>8</v>
      </c>
      <c r="U661" s="5" t="s">
        <v>1017</v>
      </c>
      <c r="V661" s="89">
        <v>9.7500000000000003E-2</v>
      </c>
      <c r="W661" s="15">
        <v>17897801318164</v>
      </c>
      <c r="X661" s="6">
        <v>0.40500000000000003</v>
      </c>
      <c r="Y661" s="6">
        <v>0.21</v>
      </c>
      <c r="Z661" s="6">
        <v>0.36499999999999999</v>
      </c>
      <c r="AA661" s="6">
        <f>Y661*X661*Z661</f>
        <v>3.1043249999999998E-2</v>
      </c>
      <c r="AB661" s="8">
        <v>0</v>
      </c>
      <c r="AC661" s="15">
        <v>27897801318161</v>
      </c>
      <c r="AD661" s="4" t="s">
        <v>992</v>
      </c>
    </row>
    <row r="662" spans="2:30" x14ac:dyDescent="0.35">
      <c r="B662" s="14">
        <v>1271</v>
      </c>
      <c r="C662" s="4" t="s">
        <v>651</v>
      </c>
      <c r="D662" s="4" t="s">
        <v>2372</v>
      </c>
      <c r="E662" s="4" t="s">
        <v>2914</v>
      </c>
      <c r="F662" s="4" t="s">
        <v>85</v>
      </c>
      <c r="G662" s="4" t="s">
        <v>1014</v>
      </c>
      <c r="H662" s="6">
        <v>0.88300000000000001</v>
      </c>
      <c r="I662" s="8">
        <v>27</v>
      </c>
      <c r="J662" s="8">
        <v>9.5</v>
      </c>
      <c r="K662" s="8">
        <v>21</v>
      </c>
      <c r="L662" s="8">
        <f t="shared" si="38"/>
        <v>5386.5</v>
      </c>
      <c r="M662" s="15">
        <v>7897801318174</v>
      </c>
      <c r="N662" s="6">
        <v>0.31</v>
      </c>
      <c r="O662" s="6">
        <v>0.42499999999999999</v>
      </c>
      <c r="P662" s="6">
        <v>0.375</v>
      </c>
      <c r="Q662" s="6">
        <v>0.37</v>
      </c>
      <c r="R662" s="6">
        <v>0.31</v>
      </c>
      <c r="S662" s="6">
        <v>0.435</v>
      </c>
      <c r="T662" s="8">
        <v>8</v>
      </c>
      <c r="U662" s="5" t="s">
        <v>1017</v>
      </c>
      <c r="V662" s="89">
        <v>9.7500000000000003E-2</v>
      </c>
      <c r="W662" s="15">
        <v>17897801318171</v>
      </c>
      <c r="X662" s="6" t="s">
        <v>20</v>
      </c>
      <c r="Y662" s="6" t="s">
        <v>20</v>
      </c>
      <c r="Z662" s="6" t="s">
        <v>20</v>
      </c>
      <c r="AA662" s="6"/>
      <c r="AB662" s="8">
        <v>0</v>
      </c>
      <c r="AC662" s="15">
        <v>27897801318178</v>
      </c>
      <c r="AD662" s="4" t="s">
        <v>992</v>
      </c>
    </row>
    <row r="663" spans="2:30" x14ac:dyDescent="0.35">
      <c r="B663" s="14">
        <v>1272</v>
      </c>
      <c r="C663" s="4" t="s">
        <v>652</v>
      </c>
      <c r="D663" s="4" t="s">
        <v>2372</v>
      </c>
      <c r="E663" s="4" t="s">
        <v>2914</v>
      </c>
      <c r="F663" s="4" t="s">
        <v>85</v>
      </c>
      <c r="G663" s="4" t="s">
        <v>1014</v>
      </c>
      <c r="H663" s="6">
        <v>1.1719999999999999</v>
      </c>
      <c r="I663" s="8">
        <v>34.799999999999997</v>
      </c>
      <c r="J663" s="8">
        <v>9.5</v>
      </c>
      <c r="K663" s="8">
        <v>22.8</v>
      </c>
      <c r="L663" s="8">
        <f t="shared" si="38"/>
        <v>7537.6799999999994</v>
      </c>
      <c r="M663" s="15">
        <v>7897801318181</v>
      </c>
      <c r="N663" s="6">
        <v>9.5000000000000001E-2</v>
      </c>
      <c r="O663" s="6">
        <v>0.35</v>
      </c>
      <c r="P663" s="6">
        <v>0.22800000000000001</v>
      </c>
      <c r="Q663" s="6">
        <v>0.21</v>
      </c>
      <c r="R663" s="6">
        <v>0.37</v>
      </c>
      <c r="S663" s="6">
        <v>0.44</v>
      </c>
      <c r="T663" s="8">
        <v>4</v>
      </c>
      <c r="U663" s="5" t="s">
        <v>1017</v>
      </c>
      <c r="V663" s="89">
        <v>9.7500000000000003E-2</v>
      </c>
      <c r="W663" s="15">
        <v>17897801318188</v>
      </c>
      <c r="X663" s="6">
        <v>0.20499999999999999</v>
      </c>
      <c r="Y663" s="6">
        <v>0.37</v>
      </c>
      <c r="Z663" s="6">
        <v>0.44</v>
      </c>
      <c r="AA663" s="6">
        <f>Y663*X663*Z663</f>
        <v>3.3374000000000001E-2</v>
      </c>
      <c r="AB663" s="8">
        <v>0</v>
      </c>
      <c r="AC663" s="15">
        <v>27897801318185</v>
      </c>
      <c r="AD663" s="4" t="s">
        <v>992</v>
      </c>
    </row>
    <row r="664" spans="2:30" x14ac:dyDescent="0.35">
      <c r="B664" s="14">
        <v>1273</v>
      </c>
      <c r="C664" s="4" t="s">
        <v>653</v>
      </c>
      <c r="D664" s="4" t="s">
        <v>2372</v>
      </c>
      <c r="E664" s="4" t="s">
        <v>2914</v>
      </c>
      <c r="F664" s="4" t="s">
        <v>85</v>
      </c>
      <c r="G664" s="4" t="s">
        <v>1014</v>
      </c>
      <c r="H664" s="6">
        <v>1.4758</v>
      </c>
      <c r="I664" s="8">
        <v>41.5</v>
      </c>
      <c r="J664" s="8">
        <v>9.5</v>
      </c>
      <c r="K664" s="8">
        <v>23.5</v>
      </c>
      <c r="L664" s="8">
        <f t="shared" si="38"/>
        <v>9264.875</v>
      </c>
      <c r="M664" s="15">
        <v>7897801318198</v>
      </c>
      <c r="N664" s="6">
        <v>0.42499999999999999</v>
      </c>
      <c r="O664" s="6">
        <v>0.46500000000000002</v>
      </c>
      <c r="P664" s="6">
        <v>0.20499999999999999</v>
      </c>
      <c r="Q664" s="6">
        <v>0.37</v>
      </c>
      <c r="R664" s="6">
        <v>0.31</v>
      </c>
      <c r="S664" s="6">
        <v>0.47499999999999998</v>
      </c>
      <c r="T664" s="8">
        <v>4</v>
      </c>
      <c r="U664" s="5" t="s">
        <v>1017</v>
      </c>
      <c r="V664" s="89">
        <v>9.7500000000000003E-2</v>
      </c>
      <c r="W664" s="15">
        <v>17897801318195</v>
      </c>
      <c r="X664" s="6" t="s">
        <v>20</v>
      </c>
      <c r="Y664" s="6" t="s">
        <v>20</v>
      </c>
      <c r="Z664" s="6" t="s">
        <v>20</v>
      </c>
      <c r="AA664" s="6"/>
      <c r="AB664" s="8">
        <v>0</v>
      </c>
      <c r="AC664" s="15">
        <v>27897801318192</v>
      </c>
      <c r="AD664" s="4" t="s">
        <v>992</v>
      </c>
    </row>
    <row r="665" spans="2:30" x14ac:dyDescent="0.35">
      <c r="B665" s="14">
        <v>1274</v>
      </c>
      <c r="C665" s="4" t="s">
        <v>654</v>
      </c>
      <c r="D665" s="4" t="s">
        <v>2372</v>
      </c>
      <c r="E665" s="4" t="s">
        <v>2914</v>
      </c>
      <c r="F665" s="4" t="s">
        <v>85</v>
      </c>
      <c r="G665" s="4" t="s">
        <v>1014</v>
      </c>
      <c r="H665" s="6">
        <v>2.1505999999999998</v>
      </c>
      <c r="I665" s="8">
        <v>38.5</v>
      </c>
      <c r="J665" s="8">
        <v>9.8000000000000007</v>
      </c>
      <c r="K665" s="8">
        <v>33.5</v>
      </c>
      <c r="L665" s="8">
        <f t="shared" si="38"/>
        <v>12639.550000000001</v>
      </c>
      <c r="M665" s="15">
        <v>7897801318204</v>
      </c>
      <c r="N665" s="6">
        <v>9.8000000000000004E-2</v>
      </c>
      <c r="O665" s="6">
        <v>0.38500000000000001</v>
      </c>
      <c r="P665" s="6">
        <v>0.33500000000000002</v>
      </c>
      <c r="Q665" s="6">
        <v>0.2</v>
      </c>
      <c r="R665" s="6">
        <v>0.37</v>
      </c>
      <c r="S665" s="6">
        <v>0.39</v>
      </c>
      <c r="T665" s="8">
        <v>2</v>
      </c>
      <c r="U665" s="5" t="s">
        <v>1017</v>
      </c>
      <c r="V665" s="89">
        <v>9.7500000000000003E-2</v>
      </c>
      <c r="W665" s="15">
        <v>17897801318201</v>
      </c>
      <c r="X665" s="6">
        <v>0.20499999999999999</v>
      </c>
      <c r="Y665" s="6">
        <v>0.36499999999999999</v>
      </c>
      <c r="Z665" s="6">
        <v>0.39</v>
      </c>
      <c r="AA665" s="6">
        <f>Y665*X665*Z665</f>
        <v>2.9181749999999996E-2</v>
      </c>
      <c r="AB665" s="8">
        <v>0</v>
      </c>
      <c r="AC665" s="15">
        <v>27897801318208</v>
      </c>
      <c r="AD665" s="4" t="s">
        <v>992</v>
      </c>
    </row>
    <row r="666" spans="2:30" x14ac:dyDescent="0.35">
      <c r="B666" s="14">
        <v>1275</v>
      </c>
      <c r="C666" s="4" t="s">
        <v>655</v>
      </c>
      <c r="D666" s="4" t="s">
        <v>2372</v>
      </c>
      <c r="E666" s="4" t="s">
        <v>2914</v>
      </c>
      <c r="F666" s="4" t="s">
        <v>85</v>
      </c>
      <c r="G666" s="4" t="s">
        <v>1014</v>
      </c>
      <c r="H666" s="6">
        <v>3.2290999999999999</v>
      </c>
      <c r="I666" s="8">
        <v>53</v>
      </c>
      <c r="J666" s="8">
        <v>9.6999999999999993</v>
      </c>
      <c r="K666" s="8">
        <v>35.5</v>
      </c>
      <c r="L666" s="8">
        <f t="shared" si="38"/>
        <v>18250.549999999996</v>
      </c>
      <c r="M666" s="15">
        <v>7897801318211</v>
      </c>
      <c r="N666" s="6" t="s">
        <v>20</v>
      </c>
      <c r="O666" s="6" t="s">
        <v>20</v>
      </c>
      <c r="P666" s="6" t="s">
        <v>20</v>
      </c>
      <c r="Q666" s="6">
        <v>0.21</v>
      </c>
      <c r="R666" s="6">
        <v>0.37</v>
      </c>
      <c r="S666" s="6">
        <v>0.53500000000000003</v>
      </c>
      <c r="T666" s="8">
        <v>2</v>
      </c>
      <c r="U666" s="5" t="s">
        <v>1017</v>
      </c>
      <c r="V666" s="89">
        <v>9.7500000000000003E-2</v>
      </c>
      <c r="W666" s="15">
        <v>17897801318218</v>
      </c>
      <c r="X666" s="6" t="s">
        <v>20</v>
      </c>
      <c r="Y666" s="6" t="s">
        <v>20</v>
      </c>
      <c r="Z666" s="6" t="s">
        <v>20</v>
      </c>
      <c r="AA666" s="6"/>
      <c r="AB666" s="8">
        <v>0</v>
      </c>
      <c r="AC666" s="15">
        <v>27897801318215</v>
      </c>
      <c r="AD666" s="4" t="s">
        <v>992</v>
      </c>
    </row>
    <row r="667" spans="2:30" x14ac:dyDescent="0.35">
      <c r="B667" s="14">
        <v>1277</v>
      </c>
      <c r="C667" s="4" t="s">
        <v>656</v>
      </c>
      <c r="D667" s="4" t="s">
        <v>2372</v>
      </c>
      <c r="E667" s="4" t="s">
        <v>2914</v>
      </c>
      <c r="F667" s="4" t="s">
        <v>85</v>
      </c>
      <c r="G667" s="4" t="s">
        <v>1014</v>
      </c>
      <c r="H667" s="6">
        <v>0.83819999999999995</v>
      </c>
      <c r="I667" s="8">
        <v>27</v>
      </c>
      <c r="J667" s="8">
        <v>9.5</v>
      </c>
      <c r="K667" s="8">
        <v>21</v>
      </c>
      <c r="L667" s="8">
        <f t="shared" si="38"/>
        <v>5386.5</v>
      </c>
      <c r="M667" s="15">
        <v>7897801318235</v>
      </c>
      <c r="N667" s="6">
        <v>0.30499999999999999</v>
      </c>
      <c r="O667" s="6">
        <v>0.42499999999999999</v>
      </c>
      <c r="P667" s="6">
        <v>0.36499999999999999</v>
      </c>
      <c r="Q667" s="6">
        <v>0.37</v>
      </c>
      <c r="R667" s="6">
        <v>0.31</v>
      </c>
      <c r="S667" s="6">
        <v>0.435</v>
      </c>
      <c r="T667" s="8">
        <v>8</v>
      </c>
      <c r="U667" s="5" t="s">
        <v>1017</v>
      </c>
      <c r="V667" s="89">
        <v>9.7500000000000003E-2</v>
      </c>
      <c r="W667" s="15">
        <v>17897801318232</v>
      </c>
      <c r="X667" s="6" t="s">
        <v>20</v>
      </c>
      <c r="Y667" s="6" t="s">
        <v>20</v>
      </c>
      <c r="Z667" s="6" t="s">
        <v>20</v>
      </c>
      <c r="AA667" s="6"/>
      <c r="AB667" s="8">
        <v>0</v>
      </c>
      <c r="AC667" s="15">
        <v>27897801318239</v>
      </c>
      <c r="AD667" s="4" t="s">
        <v>992</v>
      </c>
    </row>
    <row r="668" spans="2:30" x14ac:dyDescent="0.35">
      <c r="B668" s="14">
        <v>1278</v>
      </c>
      <c r="C668" s="4" t="s">
        <v>657</v>
      </c>
      <c r="D668" s="4" t="s">
        <v>2372</v>
      </c>
      <c r="E668" s="4" t="s">
        <v>2914</v>
      </c>
      <c r="F668" s="4" t="s">
        <v>85</v>
      </c>
      <c r="G668" s="4" t="s">
        <v>1014</v>
      </c>
      <c r="H668" s="6">
        <v>1.1720999999999999</v>
      </c>
      <c r="I668" s="8">
        <v>34.799999999999997</v>
      </c>
      <c r="J668" s="8">
        <v>9.5</v>
      </c>
      <c r="K668" s="8">
        <v>22.8</v>
      </c>
      <c r="L668" s="8">
        <f t="shared" si="38"/>
        <v>7537.6799999999994</v>
      </c>
      <c r="M668" s="15">
        <v>7897801318242</v>
      </c>
      <c r="N668" s="6" t="s">
        <v>20</v>
      </c>
      <c r="O668" s="6" t="s">
        <v>20</v>
      </c>
      <c r="P668" s="6" t="s">
        <v>20</v>
      </c>
      <c r="Q668" s="6">
        <v>0.20499999999999999</v>
      </c>
      <c r="R668" s="6">
        <v>0.37</v>
      </c>
      <c r="S668" s="6">
        <v>0.44</v>
      </c>
      <c r="T668" s="8">
        <v>4</v>
      </c>
      <c r="U668" s="5" t="s">
        <v>1017</v>
      </c>
      <c r="V668" s="89">
        <v>9.7500000000000003E-2</v>
      </c>
      <c r="W668" s="15">
        <v>17897801318249</v>
      </c>
      <c r="X668" s="6" t="s">
        <v>20</v>
      </c>
      <c r="Y668" s="6" t="s">
        <v>20</v>
      </c>
      <c r="Z668" s="6" t="s">
        <v>20</v>
      </c>
      <c r="AA668" s="6"/>
      <c r="AB668" s="8">
        <v>0</v>
      </c>
      <c r="AC668" s="15">
        <v>27897801318246</v>
      </c>
      <c r="AD668" s="4" t="s">
        <v>992</v>
      </c>
    </row>
    <row r="669" spans="2:30" x14ac:dyDescent="0.35">
      <c r="B669" s="14">
        <v>1279</v>
      </c>
      <c r="C669" s="4" t="s">
        <v>658</v>
      </c>
      <c r="D669" s="4" t="s">
        <v>2372</v>
      </c>
      <c r="E669" s="4" t="s">
        <v>2914</v>
      </c>
      <c r="F669" s="4" t="s">
        <v>85</v>
      </c>
      <c r="G669" s="4" t="s">
        <v>1014</v>
      </c>
      <c r="H669" s="6">
        <v>1.5664</v>
      </c>
      <c r="I669" s="8">
        <v>41.5</v>
      </c>
      <c r="J669" s="8">
        <v>9.5</v>
      </c>
      <c r="K669" s="8">
        <v>23.5</v>
      </c>
      <c r="L669" s="8">
        <f t="shared" si="38"/>
        <v>9264.875</v>
      </c>
      <c r="M669" s="15">
        <v>7897801318259</v>
      </c>
      <c r="N669" s="6">
        <v>0.42499999999999999</v>
      </c>
      <c r="O669" s="6">
        <v>0.46500000000000002</v>
      </c>
      <c r="P669" s="6">
        <v>0.2</v>
      </c>
      <c r="Q669" s="6">
        <v>0.37</v>
      </c>
      <c r="R669" s="6">
        <v>0.31</v>
      </c>
      <c r="S669" s="6">
        <v>0.47499999999999998</v>
      </c>
      <c r="T669" s="8">
        <v>4</v>
      </c>
      <c r="U669" s="5" t="s">
        <v>1017</v>
      </c>
      <c r="V669" s="89">
        <v>9.7500000000000003E-2</v>
      </c>
      <c r="W669" s="15">
        <v>17897801318256</v>
      </c>
      <c r="X669" s="6" t="s">
        <v>20</v>
      </c>
      <c r="Y669" s="6" t="s">
        <v>20</v>
      </c>
      <c r="Z669" s="6" t="s">
        <v>20</v>
      </c>
      <c r="AA669" s="6"/>
      <c r="AB669" s="8">
        <v>0</v>
      </c>
      <c r="AC669" s="15">
        <v>27897801318253</v>
      </c>
      <c r="AD669" s="4" t="s">
        <v>992</v>
      </c>
    </row>
    <row r="670" spans="2:30" x14ac:dyDescent="0.35">
      <c r="B670" s="14">
        <v>1280</v>
      </c>
      <c r="C670" s="4" t="s">
        <v>659</v>
      </c>
      <c r="D670" s="4" t="s">
        <v>2372</v>
      </c>
      <c r="E670" s="4" t="s">
        <v>2914</v>
      </c>
      <c r="F670" s="4" t="s">
        <v>85</v>
      </c>
      <c r="G670" s="4" t="s">
        <v>1014</v>
      </c>
      <c r="H670" s="6">
        <v>0.72270000000000001</v>
      </c>
      <c r="I670" s="8">
        <v>38.5</v>
      </c>
      <c r="J670" s="8">
        <v>9.8000000000000007</v>
      </c>
      <c r="K670" s="8">
        <v>33.5</v>
      </c>
      <c r="L670" s="8">
        <f t="shared" si="38"/>
        <v>12639.550000000001</v>
      </c>
      <c r="M670" s="15">
        <v>7897801318266</v>
      </c>
      <c r="N670" s="6">
        <v>9.8000000000000004E-2</v>
      </c>
      <c r="O670" s="6">
        <v>0.38500000000000001</v>
      </c>
      <c r="P670" s="6">
        <v>0.33500000000000002</v>
      </c>
      <c r="Q670" s="6">
        <v>0.2</v>
      </c>
      <c r="R670" s="6">
        <v>0.37</v>
      </c>
      <c r="S670" s="6">
        <v>0.39</v>
      </c>
      <c r="T670" s="8">
        <v>2</v>
      </c>
      <c r="U670" s="5" t="s">
        <v>1017</v>
      </c>
      <c r="V670" s="89">
        <v>9.7500000000000003E-2</v>
      </c>
      <c r="W670" s="15">
        <v>17897801318263</v>
      </c>
      <c r="X670" s="6">
        <v>0.2</v>
      </c>
      <c r="Y670" s="6">
        <v>0.37</v>
      </c>
      <c r="Z670" s="6">
        <v>0.39</v>
      </c>
      <c r="AA670" s="6">
        <f>Y670*X670*Z670</f>
        <v>2.886E-2</v>
      </c>
      <c r="AB670" s="8">
        <v>0</v>
      </c>
      <c r="AC670" s="15">
        <v>27897801318260</v>
      </c>
      <c r="AD670" s="4" t="s">
        <v>992</v>
      </c>
    </row>
    <row r="671" spans="2:30" x14ac:dyDescent="0.35">
      <c r="B671" s="14">
        <v>1281</v>
      </c>
      <c r="C671" s="4" t="s">
        <v>660</v>
      </c>
      <c r="D671" s="4" t="s">
        <v>2372</v>
      </c>
      <c r="E671" s="4" t="s">
        <v>2914</v>
      </c>
      <c r="F671" s="4" t="s">
        <v>85</v>
      </c>
      <c r="G671" s="4" t="s">
        <v>1014</v>
      </c>
      <c r="H671" s="6">
        <v>3.4575</v>
      </c>
      <c r="I671" s="8">
        <v>53</v>
      </c>
      <c r="J671" s="8">
        <v>9.6999999999999993</v>
      </c>
      <c r="K671" s="8">
        <v>35.5</v>
      </c>
      <c r="L671" s="8">
        <f t="shared" si="38"/>
        <v>18250.549999999996</v>
      </c>
      <c r="M671" s="15">
        <v>7897801318273</v>
      </c>
      <c r="N671" s="6" t="s">
        <v>20</v>
      </c>
      <c r="O671" s="6" t="s">
        <v>20</v>
      </c>
      <c r="P671" s="6" t="s">
        <v>20</v>
      </c>
      <c r="Q671" s="6">
        <v>0.21</v>
      </c>
      <c r="R671" s="6">
        <v>0.374</v>
      </c>
      <c r="S671" s="6">
        <v>0.53500000000000003</v>
      </c>
      <c r="T671" s="8">
        <v>2</v>
      </c>
      <c r="U671" s="5" t="s">
        <v>1017</v>
      </c>
      <c r="V671" s="89">
        <v>9.7500000000000003E-2</v>
      </c>
      <c r="W671" s="15">
        <v>17897801318270</v>
      </c>
      <c r="X671" s="6" t="s">
        <v>20</v>
      </c>
      <c r="Y671" s="6" t="s">
        <v>20</v>
      </c>
      <c r="Z671" s="6" t="s">
        <v>20</v>
      </c>
      <c r="AA671" s="6"/>
      <c r="AB671" s="8">
        <v>0</v>
      </c>
      <c r="AC671" s="15">
        <v>27897801318277</v>
      </c>
      <c r="AD671" s="4" t="s">
        <v>992</v>
      </c>
    </row>
    <row r="672" spans="2:30" x14ac:dyDescent="0.35">
      <c r="B672" s="14">
        <v>1283</v>
      </c>
      <c r="C672" s="4" t="s">
        <v>661</v>
      </c>
      <c r="D672" s="4" t="s">
        <v>2372</v>
      </c>
      <c r="E672" s="4" t="s">
        <v>2914</v>
      </c>
      <c r="F672" s="4" t="s">
        <v>85</v>
      </c>
      <c r="G672" s="4" t="s">
        <v>1014</v>
      </c>
      <c r="H672" s="6">
        <v>0.68269999999999997</v>
      </c>
      <c r="I672" s="8">
        <v>20</v>
      </c>
      <c r="J672" s="8">
        <v>9.5</v>
      </c>
      <c r="K672" s="8">
        <v>18.5</v>
      </c>
      <c r="L672" s="8">
        <f t="shared" si="38"/>
        <v>3515</v>
      </c>
      <c r="M672" s="15">
        <v>7897801320481</v>
      </c>
      <c r="N672" s="6" t="s">
        <v>20</v>
      </c>
      <c r="O672" s="6" t="s">
        <v>20</v>
      </c>
      <c r="P672" s="6" t="s">
        <v>20</v>
      </c>
      <c r="Q672" s="6">
        <v>0.185</v>
      </c>
      <c r="R672" s="6">
        <v>9.5000000000000001E-2</v>
      </c>
      <c r="S672" s="6">
        <v>0.2</v>
      </c>
      <c r="T672" s="8">
        <v>8</v>
      </c>
      <c r="U672" s="5" t="s">
        <v>1017</v>
      </c>
      <c r="V672" s="89">
        <v>9.7500000000000003E-2</v>
      </c>
      <c r="W672" s="15">
        <v>17897801320488</v>
      </c>
      <c r="X672" s="6" t="s">
        <v>20</v>
      </c>
      <c r="Y672" s="6" t="s">
        <v>20</v>
      </c>
      <c r="Z672" s="6" t="s">
        <v>20</v>
      </c>
      <c r="AA672" s="6"/>
      <c r="AB672" s="8">
        <v>0</v>
      </c>
      <c r="AC672" s="15">
        <v>27897801320485</v>
      </c>
      <c r="AD672" s="4" t="s">
        <v>992</v>
      </c>
    </row>
    <row r="673" spans="2:30" x14ac:dyDescent="0.35">
      <c r="B673" s="14">
        <v>1284</v>
      </c>
      <c r="C673" s="4" t="s">
        <v>662</v>
      </c>
      <c r="D673" s="4" t="s">
        <v>2372</v>
      </c>
      <c r="E673" s="4" t="s">
        <v>2914</v>
      </c>
      <c r="F673" s="4" t="s">
        <v>85</v>
      </c>
      <c r="G673" s="4" t="s">
        <v>1014</v>
      </c>
      <c r="H673" s="6">
        <v>1.0511999999999999</v>
      </c>
      <c r="I673" s="8">
        <v>27</v>
      </c>
      <c r="J673" s="8">
        <v>9.5</v>
      </c>
      <c r="K673" s="8">
        <v>21</v>
      </c>
      <c r="L673" s="8">
        <f t="shared" si="38"/>
        <v>5386.5</v>
      </c>
      <c r="M673" s="15">
        <v>7897801320498</v>
      </c>
      <c r="N673" s="6" t="s">
        <v>20</v>
      </c>
      <c r="O673" s="6" t="s">
        <v>20</v>
      </c>
      <c r="P673" s="6" t="s">
        <v>20</v>
      </c>
      <c r="Q673" s="6">
        <v>0.37</v>
      </c>
      <c r="R673" s="6">
        <v>0.31</v>
      </c>
      <c r="S673" s="6">
        <v>0.435</v>
      </c>
      <c r="T673" s="8">
        <v>8</v>
      </c>
      <c r="U673" s="5" t="s">
        <v>1017</v>
      </c>
      <c r="V673" s="89">
        <v>9.7500000000000003E-2</v>
      </c>
      <c r="W673" s="15">
        <v>17897801320495</v>
      </c>
      <c r="X673" s="6" t="s">
        <v>20</v>
      </c>
      <c r="Y673" s="6" t="s">
        <v>20</v>
      </c>
      <c r="Z673" s="6" t="s">
        <v>20</v>
      </c>
      <c r="AA673" s="6"/>
      <c r="AB673" s="8">
        <v>0</v>
      </c>
      <c r="AC673" s="15">
        <v>27897801320492</v>
      </c>
      <c r="AD673" s="4" t="s">
        <v>992</v>
      </c>
    </row>
    <row r="674" spans="2:30" x14ac:dyDescent="0.35">
      <c r="B674" s="14">
        <v>1285</v>
      </c>
      <c r="C674" s="4" t="s">
        <v>663</v>
      </c>
      <c r="D674" s="4" t="s">
        <v>2372</v>
      </c>
      <c r="E674" s="4" t="s">
        <v>2914</v>
      </c>
      <c r="F674" s="4" t="s">
        <v>85</v>
      </c>
      <c r="G674" s="4" t="s">
        <v>1014</v>
      </c>
      <c r="H674" s="6">
        <v>1.4401999999999999</v>
      </c>
      <c r="I674" s="8">
        <v>34.799999999999997</v>
      </c>
      <c r="J674" s="8">
        <v>9.5</v>
      </c>
      <c r="K674" s="8">
        <v>22.8</v>
      </c>
      <c r="L674" s="8">
        <f t="shared" si="38"/>
        <v>7537.6799999999994</v>
      </c>
      <c r="M674" s="15">
        <v>7897801320535</v>
      </c>
      <c r="N674" s="6" t="s">
        <v>20</v>
      </c>
      <c r="O674" s="6" t="s">
        <v>20</v>
      </c>
      <c r="P674" s="6" t="s">
        <v>20</v>
      </c>
      <c r="Q674" s="6">
        <v>0.21</v>
      </c>
      <c r="R674" s="6">
        <v>0.37</v>
      </c>
      <c r="S674" s="6">
        <v>0.44</v>
      </c>
      <c r="T674" s="8">
        <v>4</v>
      </c>
      <c r="U674" s="5" t="s">
        <v>1017</v>
      </c>
      <c r="V674" s="89">
        <v>9.7500000000000003E-2</v>
      </c>
      <c r="W674" s="15">
        <v>17897801320532</v>
      </c>
      <c r="X674" s="6" t="s">
        <v>20</v>
      </c>
      <c r="Y674" s="6" t="s">
        <v>20</v>
      </c>
      <c r="Z674" s="6" t="s">
        <v>20</v>
      </c>
      <c r="AA674" s="6"/>
      <c r="AB674" s="8">
        <v>0</v>
      </c>
      <c r="AC674" s="15">
        <v>27897801320539</v>
      </c>
      <c r="AD674" s="4" t="s">
        <v>992</v>
      </c>
    </row>
    <row r="675" spans="2:30" x14ac:dyDescent="0.35">
      <c r="B675" s="14">
        <v>1286</v>
      </c>
      <c r="C675" s="4" t="s">
        <v>664</v>
      </c>
      <c r="D675" s="4" t="s">
        <v>2372</v>
      </c>
      <c r="E675" s="4" t="s">
        <v>2914</v>
      </c>
      <c r="F675" s="4" t="s">
        <v>85</v>
      </c>
      <c r="G675" s="4" t="s">
        <v>1014</v>
      </c>
      <c r="H675" s="6">
        <v>1.964</v>
      </c>
      <c r="I675" s="8">
        <v>41.5</v>
      </c>
      <c r="J675" s="8">
        <v>9.5</v>
      </c>
      <c r="K675" s="8">
        <v>23.5</v>
      </c>
      <c r="L675" s="8">
        <f t="shared" si="38"/>
        <v>9264.875</v>
      </c>
      <c r="M675" s="15">
        <v>7897801320511</v>
      </c>
      <c r="N675" s="6" t="s">
        <v>20</v>
      </c>
      <c r="O675" s="6" t="s">
        <v>20</v>
      </c>
      <c r="P675" s="6" t="s">
        <v>20</v>
      </c>
      <c r="Q675" s="6">
        <v>0.37</v>
      </c>
      <c r="R675" s="6">
        <v>0.31</v>
      </c>
      <c r="S675" s="6">
        <v>0.47499999999999998</v>
      </c>
      <c r="T675" s="8">
        <v>4</v>
      </c>
      <c r="U675" s="5" t="s">
        <v>1017</v>
      </c>
      <c r="V675" s="89">
        <v>9.7500000000000003E-2</v>
      </c>
      <c r="W675" s="15">
        <v>17897801320518</v>
      </c>
      <c r="X675" s="6" t="s">
        <v>20</v>
      </c>
      <c r="Y675" s="6" t="s">
        <v>20</v>
      </c>
      <c r="Z675" s="6" t="s">
        <v>20</v>
      </c>
      <c r="AA675" s="6"/>
      <c r="AB675" s="8">
        <v>0</v>
      </c>
      <c r="AC675" s="15">
        <v>27897801320515</v>
      </c>
      <c r="AD675" s="4" t="s">
        <v>992</v>
      </c>
    </row>
    <row r="676" spans="2:30" x14ac:dyDescent="0.35">
      <c r="B676" s="14">
        <v>1287</v>
      </c>
      <c r="C676" s="4" t="s">
        <v>665</v>
      </c>
      <c r="D676" s="4" t="s">
        <v>2372</v>
      </c>
      <c r="E676" s="4" t="s">
        <v>2914</v>
      </c>
      <c r="F676" s="4" t="s">
        <v>85</v>
      </c>
      <c r="G676" s="4" t="s">
        <v>1014</v>
      </c>
      <c r="H676" s="6">
        <v>2.8650000000000002</v>
      </c>
      <c r="I676" s="8">
        <v>38.5</v>
      </c>
      <c r="J676" s="8">
        <v>9.8000000000000007</v>
      </c>
      <c r="K676" s="8">
        <v>33.5</v>
      </c>
      <c r="L676" s="8">
        <f t="shared" si="38"/>
        <v>12639.550000000001</v>
      </c>
      <c r="M676" s="15">
        <v>7897801320559</v>
      </c>
      <c r="N676" s="6" t="s">
        <v>20</v>
      </c>
      <c r="O676" s="6" t="s">
        <v>20</v>
      </c>
      <c r="P676" s="6" t="s">
        <v>20</v>
      </c>
      <c r="Q676" s="6">
        <v>0.2</v>
      </c>
      <c r="R676" s="6">
        <v>0.37</v>
      </c>
      <c r="S676" s="6">
        <v>0.39</v>
      </c>
      <c r="T676" s="8">
        <v>2</v>
      </c>
      <c r="U676" s="5" t="s">
        <v>1017</v>
      </c>
      <c r="V676" s="89">
        <v>9.7500000000000003E-2</v>
      </c>
      <c r="W676" s="15">
        <v>17897801320556</v>
      </c>
      <c r="X676" s="6" t="s">
        <v>20</v>
      </c>
      <c r="Y676" s="6" t="s">
        <v>20</v>
      </c>
      <c r="Z676" s="6" t="s">
        <v>20</v>
      </c>
      <c r="AA676" s="6"/>
      <c r="AB676" s="8">
        <v>0</v>
      </c>
      <c r="AC676" s="15">
        <v>27897801320553</v>
      </c>
      <c r="AD676" s="4" t="s">
        <v>992</v>
      </c>
    </row>
    <row r="677" spans="2:30" x14ac:dyDescent="0.35">
      <c r="B677" s="14">
        <v>1288</v>
      </c>
      <c r="C677" s="4" t="s">
        <v>666</v>
      </c>
      <c r="D677" s="4" t="s">
        <v>2372</v>
      </c>
      <c r="E677" s="4" t="s">
        <v>2914</v>
      </c>
      <c r="F677" s="4" t="s">
        <v>85</v>
      </c>
      <c r="G677" s="4" t="s">
        <v>1014</v>
      </c>
      <c r="H677" s="6">
        <v>3.8620000000000001</v>
      </c>
      <c r="I677" s="8">
        <v>53</v>
      </c>
      <c r="J677" s="8">
        <v>9.6999999999999993</v>
      </c>
      <c r="K677" s="8">
        <v>35.5</v>
      </c>
      <c r="L677" s="8">
        <f t="shared" si="38"/>
        <v>18250.549999999996</v>
      </c>
      <c r="M677" s="15">
        <v>7897801320573</v>
      </c>
      <c r="N677" s="6" t="s">
        <v>20</v>
      </c>
      <c r="O677" s="6" t="s">
        <v>20</v>
      </c>
      <c r="P677" s="6" t="s">
        <v>20</v>
      </c>
      <c r="Q677" s="6">
        <v>0.21</v>
      </c>
      <c r="R677" s="6">
        <v>0.37</v>
      </c>
      <c r="S677" s="6">
        <v>0.53500000000000003</v>
      </c>
      <c r="T677" s="8">
        <v>2</v>
      </c>
      <c r="U677" s="5" t="s">
        <v>1017</v>
      </c>
      <c r="V677" s="89">
        <v>9.7500000000000003E-2</v>
      </c>
      <c r="W677" s="15">
        <v>17897801320570</v>
      </c>
      <c r="X677" s="6" t="s">
        <v>20</v>
      </c>
      <c r="Y677" s="6" t="s">
        <v>20</v>
      </c>
      <c r="Z677" s="6" t="s">
        <v>20</v>
      </c>
      <c r="AA677" s="6"/>
      <c r="AB677" s="8">
        <v>0</v>
      </c>
      <c r="AC677" s="15">
        <v>27897801320577</v>
      </c>
      <c r="AD677" s="4" t="s">
        <v>992</v>
      </c>
    </row>
    <row r="678" spans="2:30" x14ac:dyDescent="0.35">
      <c r="B678" s="14">
        <v>1290</v>
      </c>
      <c r="C678" s="4" t="s">
        <v>667</v>
      </c>
      <c r="D678" s="4" t="s">
        <v>2372</v>
      </c>
      <c r="E678" s="4" t="s">
        <v>2914</v>
      </c>
      <c r="F678" s="4" t="s">
        <v>85</v>
      </c>
      <c r="G678" s="4" t="s">
        <v>1014</v>
      </c>
      <c r="H678" s="6">
        <v>1.0375000000000001</v>
      </c>
      <c r="I678" s="8">
        <v>27</v>
      </c>
      <c r="J678" s="8">
        <v>9.5</v>
      </c>
      <c r="K678" s="8">
        <v>21</v>
      </c>
      <c r="L678" s="8">
        <f t="shared" si="38"/>
        <v>5386.5</v>
      </c>
      <c r="M678" s="15">
        <v>7897801320504</v>
      </c>
      <c r="N678" s="6" t="s">
        <v>20</v>
      </c>
      <c r="O678" s="6" t="s">
        <v>20</v>
      </c>
      <c r="P678" s="6" t="s">
        <v>20</v>
      </c>
      <c r="Q678" s="6">
        <v>0.37</v>
      </c>
      <c r="R678" s="6">
        <v>0.31</v>
      </c>
      <c r="S678" s="6">
        <v>0.435</v>
      </c>
      <c r="T678" s="8">
        <v>8</v>
      </c>
      <c r="U678" s="5" t="s">
        <v>1017</v>
      </c>
      <c r="V678" s="89">
        <v>9.7500000000000003E-2</v>
      </c>
      <c r="W678" s="15">
        <v>17897801320501</v>
      </c>
      <c r="X678" s="6" t="s">
        <v>20</v>
      </c>
      <c r="Y678" s="6" t="s">
        <v>20</v>
      </c>
      <c r="Z678" s="6" t="s">
        <v>20</v>
      </c>
      <c r="AA678" s="6"/>
      <c r="AB678" s="8">
        <v>0</v>
      </c>
      <c r="AC678" s="15">
        <v>27897801320508</v>
      </c>
      <c r="AD678" s="4" t="s">
        <v>992</v>
      </c>
    </row>
    <row r="679" spans="2:30" x14ac:dyDescent="0.35">
      <c r="B679" s="14">
        <v>1291</v>
      </c>
      <c r="C679" s="4" t="s">
        <v>668</v>
      </c>
      <c r="D679" s="4" t="s">
        <v>2372</v>
      </c>
      <c r="E679" s="4" t="s">
        <v>2914</v>
      </c>
      <c r="F679" s="4" t="s">
        <v>85</v>
      </c>
      <c r="G679" s="4" t="s">
        <v>1014</v>
      </c>
      <c r="H679" s="6">
        <v>1.5069999999999999</v>
      </c>
      <c r="I679" s="8">
        <v>34.799999999999997</v>
      </c>
      <c r="J679" s="8">
        <v>9</v>
      </c>
      <c r="K679" s="8">
        <v>22.8</v>
      </c>
      <c r="L679" s="8">
        <f t="shared" si="38"/>
        <v>7140.96</v>
      </c>
      <c r="M679" s="15">
        <v>7897801320542</v>
      </c>
      <c r="N679" s="6" t="s">
        <v>20</v>
      </c>
      <c r="O679" s="6" t="s">
        <v>20</v>
      </c>
      <c r="P679" s="6" t="s">
        <v>20</v>
      </c>
      <c r="Q679" s="6">
        <v>0.20499999999999999</v>
      </c>
      <c r="R679" s="6">
        <v>0.37</v>
      </c>
      <c r="S679" s="6">
        <v>0.44</v>
      </c>
      <c r="T679" s="8">
        <v>4</v>
      </c>
      <c r="U679" s="5" t="s">
        <v>1017</v>
      </c>
      <c r="V679" s="89">
        <v>9.7500000000000003E-2</v>
      </c>
      <c r="W679" s="15">
        <v>17897801320549</v>
      </c>
      <c r="X679" s="6" t="s">
        <v>20</v>
      </c>
      <c r="Y679" s="6" t="s">
        <v>20</v>
      </c>
      <c r="Z679" s="6" t="s">
        <v>20</v>
      </c>
      <c r="AA679" s="6"/>
      <c r="AB679" s="8">
        <v>0</v>
      </c>
      <c r="AC679" s="15">
        <v>27897801320546</v>
      </c>
      <c r="AD679" s="4" t="s">
        <v>992</v>
      </c>
    </row>
    <row r="680" spans="2:30" x14ac:dyDescent="0.35">
      <c r="B680" s="14">
        <v>1292</v>
      </c>
      <c r="C680" s="4" t="s">
        <v>669</v>
      </c>
      <c r="D680" s="4" t="s">
        <v>2372</v>
      </c>
      <c r="E680" s="4" t="s">
        <v>2914</v>
      </c>
      <c r="F680" s="4" t="s">
        <v>85</v>
      </c>
      <c r="G680" s="4" t="s">
        <v>1014</v>
      </c>
      <c r="H680" s="6">
        <v>2.0819999999999999</v>
      </c>
      <c r="I680" s="8">
        <v>41.5</v>
      </c>
      <c r="J680" s="8">
        <v>9.5</v>
      </c>
      <c r="K680" s="8">
        <v>23.5</v>
      </c>
      <c r="L680" s="8">
        <f t="shared" si="38"/>
        <v>9264.875</v>
      </c>
      <c r="M680" s="15">
        <v>7897801320528</v>
      </c>
      <c r="N680" s="6" t="s">
        <v>20</v>
      </c>
      <c r="O680" s="6" t="s">
        <v>20</v>
      </c>
      <c r="P680" s="6" t="s">
        <v>20</v>
      </c>
      <c r="Q680" s="6">
        <v>0.37</v>
      </c>
      <c r="R680" s="6">
        <v>0.31</v>
      </c>
      <c r="S680" s="6">
        <v>0.47499999999999998</v>
      </c>
      <c r="T680" s="8">
        <v>4</v>
      </c>
      <c r="U680" s="5" t="s">
        <v>1017</v>
      </c>
      <c r="V680" s="89">
        <v>9.7500000000000003E-2</v>
      </c>
      <c r="W680" s="15">
        <v>17897801320525</v>
      </c>
      <c r="X680" s="6" t="s">
        <v>20</v>
      </c>
      <c r="Y680" s="6" t="s">
        <v>20</v>
      </c>
      <c r="Z680" s="6" t="s">
        <v>20</v>
      </c>
      <c r="AA680" s="6"/>
      <c r="AB680" s="8">
        <v>0</v>
      </c>
      <c r="AC680" s="15">
        <v>27897801320522</v>
      </c>
      <c r="AD680" s="4" t="s">
        <v>992</v>
      </c>
    </row>
    <row r="681" spans="2:30" x14ac:dyDescent="0.35">
      <c r="B681" s="14">
        <v>1293</v>
      </c>
      <c r="C681" s="4" t="s">
        <v>670</v>
      </c>
      <c r="D681" s="4" t="s">
        <v>2372</v>
      </c>
      <c r="E681" s="4" t="s">
        <v>2914</v>
      </c>
      <c r="F681" s="4" t="s">
        <v>85</v>
      </c>
      <c r="G681" s="4" t="s">
        <v>1014</v>
      </c>
      <c r="H681" s="6">
        <v>2.9119999999999999</v>
      </c>
      <c r="I681" s="8">
        <v>38.5</v>
      </c>
      <c r="J681" s="8">
        <v>9.8000000000000007</v>
      </c>
      <c r="K681" s="8">
        <v>33.5</v>
      </c>
      <c r="L681" s="8">
        <f t="shared" si="38"/>
        <v>12639.550000000001</v>
      </c>
      <c r="M681" s="15">
        <v>7897801320566</v>
      </c>
      <c r="N681" s="6" t="s">
        <v>20</v>
      </c>
      <c r="O681" s="6" t="s">
        <v>20</v>
      </c>
      <c r="P681" s="6" t="s">
        <v>20</v>
      </c>
      <c r="Q681" s="6">
        <v>0.2</v>
      </c>
      <c r="R681" s="6">
        <v>0.37</v>
      </c>
      <c r="S681" s="6">
        <v>0.39</v>
      </c>
      <c r="T681" s="8">
        <v>2</v>
      </c>
      <c r="U681" s="5" t="s">
        <v>1017</v>
      </c>
      <c r="V681" s="89">
        <v>9.7500000000000003E-2</v>
      </c>
      <c r="W681" s="15">
        <v>17897801320563</v>
      </c>
      <c r="X681" s="6" t="s">
        <v>20</v>
      </c>
      <c r="Y681" s="6" t="s">
        <v>20</v>
      </c>
      <c r="Z681" s="6" t="s">
        <v>20</v>
      </c>
      <c r="AA681" s="6"/>
      <c r="AB681" s="8">
        <v>0</v>
      </c>
      <c r="AC681" s="15">
        <v>27897801320560</v>
      </c>
      <c r="AD681" s="4" t="s">
        <v>992</v>
      </c>
    </row>
    <row r="682" spans="2:30" x14ac:dyDescent="0.35">
      <c r="B682" s="14">
        <v>1294</v>
      </c>
      <c r="C682" s="4" t="s">
        <v>671</v>
      </c>
      <c r="D682" s="4" t="s">
        <v>2372</v>
      </c>
      <c r="E682" s="4" t="s">
        <v>2914</v>
      </c>
      <c r="F682" s="4" t="s">
        <v>85</v>
      </c>
      <c r="G682" s="4" t="s">
        <v>1014</v>
      </c>
      <c r="H682" s="6">
        <v>4.0999999999999996</v>
      </c>
      <c r="I682" s="8">
        <v>53</v>
      </c>
      <c r="J682" s="8">
        <v>9.6999999999999993</v>
      </c>
      <c r="K682" s="8">
        <v>35.5</v>
      </c>
      <c r="L682" s="8">
        <f t="shared" si="38"/>
        <v>18250.549999999996</v>
      </c>
      <c r="M682" s="15">
        <v>7897801320580</v>
      </c>
      <c r="N682" s="6" t="s">
        <v>20</v>
      </c>
      <c r="O682" s="6" t="s">
        <v>20</v>
      </c>
      <c r="P682" s="6" t="s">
        <v>20</v>
      </c>
      <c r="Q682" s="6">
        <v>0.21</v>
      </c>
      <c r="R682" s="6">
        <v>0.374</v>
      </c>
      <c r="S682" s="6">
        <v>0.53500000000000003</v>
      </c>
      <c r="T682" s="8">
        <v>2</v>
      </c>
      <c r="U682" s="5" t="s">
        <v>1017</v>
      </c>
      <c r="V682" s="89">
        <v>9.7500000000000003E-2</v>
      </c>
      <c r="W682" s="15">
        <v>17897801320587</v>
      </c>
      <c r="X682" s="6" t="s">
        <v>20</v>
      </c>
      <c r="Y682" s="6" t="s">
        <v>20</v>
      </c>
      <c r="Z682" s="6" t="s">
        <v>20</v>
      </c>
      <c r="AA682" s="6"/>
      <c r="AB682" s="8">
        <v>0</v>
      </c>
      <c r="AC682" s="15">
        <v>27897801320584</v>
      </c>
      <c r="AD682" s="4" t="s">
        <v>992</v>
      </c>
    </row>
    <row r="683" spans="2:30" x14ac:dyDescent="0.35">
      <c r="B683" s="14">
        <v>1296</v>
      </c>
      <c r="C683" s="4" t="s">
        <v>672</v>
      </c>
      <c r="D683" s="4" t="s">
        <v>2372</v>
      </c>
      <c r="E683" s="4" t="s">
        <v>2914</v>
      </c>
      <c r="F683" s="4" t="s">
        <v>85</v>
      </c>
      <c r="G683" s="4" t="s">
        <v>1014</v>
      </c>
      <c r="H683" s="6">
        <v>0.19689999999999999</v>
      </c>
      <c r="I683" s="8">
        <v>26.5</v>
      </c>
      <c r="J683" s="8">
        <v>16.5</v>
      </c>
      <c r="K683" s="8">
        <v>18.5</v>
      </c>
      <c r="L683" s="8">
        <f t="shared" si="38"/>
        <v>8089.125</v>
      </c>
      <c r="M683" s="15">
        <v>7897801320474</v>
      </c>
      <c r="N683" s="6">
        <v>0.16500000000000001</v>
      </c>
      <c r="O683" s="6">
        <v>0.185</v>
      </c>
      <c r="P683" s="6">
        <v>0.26500000000000001</v>
      </c>
      <c r="Q683" s="6">
        <v>0.185</v>
      </c>
      <c r="R683" s="6">
        <v>0.16500000000000001</v>
      </c>
      <c r="S683" s="6">
        <v>0.26500000000000001</v>
      </c>
      <c r="T683" s="8">
        <v>8</v>
      </c>
      <c r="U683" s="5" t="s">
        <v>1017</v>
      </c>
      <c r="V683" s="89">
        <v>9.7500000000000003E-2</v>
      </c>
      <c r="W683" s="15">
        <v>17897801320471</v>
      </c>
      <c r="X683" s="6" t="s">
        <v>20</v>
      </c>
      <c r="Y683" s="6" t="s">
        <v>20</v>
      </c>
      <c r="Z683" s="6" t="s">
        <v>20</v>
      </c>
      <c r="AA683" s="6"/>
      <c r="AB683" s="8">
        <v>0</v>
      </c>
      <c r="AC683" s="15">
        <v>27897801320478</v>
      </c>
      <c r="AD683" s="4" t="s">
        <v>992</v>
      </c>
    </row>
    <row r="684" spans="2:30" x14ac:dyDescent="0.35">
      <c r="B684" s="14">
        <v>1298</v>
      </c>
      <c r="C684" s="4" t="s">
        <v>673</v>
      </c>
      <c r="D684" s="4" t="s">
        <v>2381</v>
      </c>
      <c r="E684" s="4" t="s">
        <v>2914</v>
      </c>
      <c r="F684" s="4" t="s">
        <v>85</v>
      </c>
      <c r="G684" s="4" t="s">
        <v>1014</v>
      </c>
      <c r="H684" s="6">
        <v>5.1688000000000001</v>
      </c>
      <c r="I684" s="8">
        <v>36</v>
      </c>
      <c r="J684" s="8">
        <v>34</v>
      </c>
      <c r="K684" s="8">
        <v>36</v>
      </c>
      <c r="L684" s="8">
        <f t="shared" si="38"/>
        <v>44064</v>
      </c>
      <c r="M684" s="15">
        <v>7897801320436</v>
      </c>
      <c r="N684" s="6" t="s">
        <v>20</v>
      </c>
      <c r="O684" s="6" t="s">
        <v>20</v>
      </c>
      <c r="P684" s="6" t="s">
        <v>20</v>
      </c>
      <c r="Q684" s="6">
        <v>0.37</v>
      </c>
      <c r="R684" s="6">
        <v>0.36499999999999999</v>
      </c>
      <c r="S684" s="6">
        <v>0.37</v>
      </c>
      <c r="T684" s="8">
        <v>1</v>
      </c>
      <c r="U684" s="5" t="s">
        <v>1017</v>
      </c>
      <c r="V684" s="89">
        <v>9.7500000000000003E-2</v>
      </c>
      <c r="W684" s="15">
        <v>17897801320433</v>
      </c>
      <c r="X684" s="6" t="s">
        <v>20</v>
      </c>
      <c r="Y684" s="6" t="s">
        <v>20</v>
      </c>
      <c r="Z684" s="6" t="s">
        <v>20</v>
      </c>
      <c r="AA684" s="6"/>
      <c r="AB684" s="8">
        <v>0</v>
      </c>
      <c r="AC684" s="15">
        <v>27897801320430</v>
      </c>
      <c r="AD684" s="4" t="s">
        <v>992</v>
      </c>
    </row>
    <row r="685" spans="2:30" x14ac:dyDescent="0.35">
      <c r="B685" s="18">
        <v>1299</v>
      </c>
      <c r="C685" s="24" t="s">
        <v>2324</v>
      </c>
      <c r="D685" s="4" t="s">
        <v>2381</v>
      </c>
      <c r="E685" s="4" t="s">
        <v>2914</v>
      </c>
      <c r="F685" s="4" t="s">
        <v>85</v>
      </c>
      <c r="G685" s="4" t="s">
        <v>993</v>
      </c>
      <c r="H685" s="6">
        <v>0.2853</v>
      </c>
      <c r="I685" s="8">
        <v>160</v>
      </c>
      <c r="J685" s="8">
        <v>500</v>
      </c>
      <c r="K685" s="8">
        <v>160</v>
      </c>
      <c r="L685" s="8">
        <v>12800000</v>
      </c>
      <c r="M685" s="15">
        <v>7897801321488</v>
      </c>
      <c r="N685" s="6" t="s">
        <v>20</v>
      </c>
      <c r="O685" s="6" t="s">
        <v>20</v>
      </c>
      <c r="P685" s="6" t="s">
        <v>20</v>
      </c>
      <c r="Q685" s="6">
        <v>0.16</v>
      </c>
      <c r="R685" s="6">
        <v>0.5</v>
      </c>
      <c r="S685" s="6">
        <v>0.16</v>
      </c>
      <c r="T685" s="8">
        <v>1</v>
      </c>
      <c r="U685" s="5" t="s">
        <v>1005</v>
      </c>
      <c r="V685" s="89">
        <v>5.2000000000000005E-2</v>
      </c>
      <c r="W685" s="15">
        <v>17897801321485</v>
      </c>
      <c r="X685" s="6">
        <v>0.43</v>
      </c>
      <c r="Y685" s="6">
        <v>0.14000000000000001</v>
      </c>
      <c r="Z685" s="6">
        <v>0.53</v>
      </c>
      <c r="AA685" s="6">
        <v>3.1906000000000004E-2</v>
      </c>
      <c r="AB685" s="8">
        <v>25</v>
      </c>
      <c r="AC685" s="15">
        <v>27897801321482</v>
      </c>
      <c r="AD685" s="4" t="s">
        <v>992</v>
      </c>
    </row>
    <row r="686" spans="2:30" x14ac:dyDescent="0.35">
      <c r="B686" s="14">
        <v>1300</v>
      </c>
      <c r="C686" s="4" t="s">
        <v>674</v>
      </c>
      <c r="D686" s="4" t="s">
        <v>2418</v>
      </c>
      <c r="E686" s="4" t="s">
        <v>2914</v>
      </c>
      <c r="F686" s="4" t="s">
        <v>164</v>
      </c>
      <c r="G686" s="4" t="s">
        <v>995</v>
      </c>
      <c r="H686" s="6">
        <v>2.1499999999999998E-2</v>
      </c>
      <c r="I686" s="8">
        <v>105</v>
      </c>
      <c r="J686" s="8">
        <v>105</v>
      </c>
      <c r="K686" s="8">
        <v>57</v>
      </c>
      <c r="L686" s="8">
        <f>J686*I686*K686</f>
        <v>628425</v>
      </c>
      <c r="M686" s="15">
        <v>7897801300957</v>
      </c>
      <c r="N686" s="6" t="s">
        <v>20</v>
      </c>
      <c r="O686" s="6" t="s">
        <v>20</v>
      </c>
      <c r="P686" s="6" t="s">
        <v>20</v>
      </c>
      <c r="Q686" s="6">
        <v>0.05</v>
      </c>
      <c r="R686" s="6">
        <v>0.19</v>
      </c>
      <c r="S686" s="6">
        <v>0.05</v>
      </c>
      <c r="T686" s="8">
        <v>10</v>
      </c>
      <c r="U686" s="5" t="s">
        <v>1018</v>
      </c>
      <c r="V686" s="89">
        <v>0.15</v>
      </c>
      <c r="W686" s="15">
        <v>17897801300954</v>
      </c>
      <c r="X686" s="6">
        <v>0.23</v>
      </c>
      <c r="Y686" s="6">
        <v>0.21</v>
      </c>
      <c r="Z686" s="6">
        <v>0.27</v>
      </c>
      <c r="AA686" s="6">
        <f>Y686*X686*Z686</f>
        <v>1.3041000000000002E-2</v>
      </c>
      <c r="AB686" s="8">
        <v>200</v>
      </c>
      <c r="AC686" s="15">
        <v>27897801300951</v>
      </c>
      <c r="AD686" s="4" t="s">
        <v>998</v>
      </c>
    </row>
    <row r="687" spans="2:30" x14ac:dyDescent="0.35">
      <c r="B687" s="14">
        <v>1301</v>
      </c>
      <c r="C687" s="4" t="s">
        <v>675</v>
      </c>
      <c r="D687" s="4" t="s">
        <v>2418</v>
      </c>
      <c r="E687" s="4" t="s">
        <v>2914</v>
      </c>
      <c r="F687" s="4" t="s">
        <v>164</v>
      </c>
      <c r="G687" s="4" t="s">
        <v>995</v>
      </c>
      <c r="H687" s="6">
        <v>0.04</v>
      </c>
      <c r="I687" s="8">
        <v>200</v>
      </c>
      <c r="J687" s="8">
        <v>200</v>
      </c>
      <c r="K687" s="8">
        <v>58</v>
      </c>
      <c r="L687" s="8">
        <f>J687*I687*K687</f>
        <v>2320000</v>
      </c>
      <c r="M687" s="15">
        <v>7897801300964</v>
      </c>
      <c r="N687" s="6" t="s">
        <v>20</v>
      </c>
      <c r="O687" s="6" t="s">
        <v>20</v>
      </c>
      <c r="P687" s="6" t="s">
        <v>20</v>
      </c>
      <c r="Q687" s="6">
        <v>0.06</v>
      </c>
      <c r="R687" s="6">
        <v>0.19</v>
      </c>
      <c r="S687" s="6">
        <v>0.06</v>
      </c>
      <c r="T687" s="8">
        <v>10</v>
      </c>
      <c r="U687" s="5" t="s">
        <v>1018</v>
      </c>
      <c r="V687" s="89">
        <v>0.15</v>
      </c>
      <c r="W687" s="15">
        <v>17897801300961</v>
      </c>
      <c r="X687" s="6">
        <v>0.23499999999999999</v>
      </c>
      <c r="Y687" s="6">
        <v>0.22</v>
      </c>
      <c r="Z687" s="6">
        <v>0.27</v>
      </c>
      <c r="AA687" s="6">
        <f>Y687*X687*Z687</f>
        <v>1.3958999999999999E-2</v>
      </c>
      <c r="AB687" s="8">
        <v>150</v>
      </c>
      <c r="AC687" s="15">
        <v>27897801300968</v>
      </c>
      <c r="AD687" s="4" t="s">
        <v>998</v>
      </c>
    </row>
    <row r="688" spans="2:30" x14ac:dyDescent="0.35">
      <c r="B688" s="14">
        <v>1302</v>
      </c>
      <c r="C688" s="4" t="s">
        <v>676</v>
      </c>
      <c r="D688" s="4" t="s">
        <v>2418</v>
      </c>
      <c r="E688" s="4" t="s">
        <v>2914</v>
      </c>
      <c r="F688" s="4" t="s">
        <v>164</v>
      </c>
      <c r="G688" s="4" t="s">
        <v>995</v>
      </c>
      <c r="H688" s="6">
        <v>7.6999999999999999E-2</v>
      </c>
      <c r="I688" s="8">
        <v>195</v>
      </c>
      <c r="J688" s="8">
        <v>195</v>
      </c>
      <c r="K688" s="8">
        <v>70</v>
      </c>
      <c r="L688" s="8">
        <f>J688*I688*K688</f>
        <v>2661750</v>
      </c>
      <c r="M688" s="15">
        <v>7897801300971</v>
      </c>
      <c r="N688" s="6" t="s">
        <v>20</v>
      </c>
      <c r="O688" s="6" t="s">
        <v>20</v>
      </c>
      <c r="P688" s="6" t="s">
        <v>20</v>
      </c>
      <c r="Q688" s="6">
        <v>7.0000000000000007E-2</v>
      </c>
      <c r="R688" s="6">
        <v>0.19</v>
      </c>
      <c r="S688" s="6">
        <v>7.0000000000000007E-2</v>
      </c>
      <c r="T688" s="8">
        <v>10</v>
      </c>
      <c r="U688" s="5" t="s">
        <v>1018</v>
      </c>
      <c r="V688" s="89">
        <v>0.15</v>
      </c>
      <c r="W688" s="15">
        <v>17897801300978</v>
      </c>
      <c r="X688" s="6">
        <v>0.23499999999999999</v>
      </c>
      <c r="Y688" s="6">
        <v>0.21</v>
      </c>
      <c r="Z688" s="6">
        <v>0.27</v>
      </c>
      <c r="AA688" s="6">
        <f>Y688*X688*Z688</f>
        <v>1.33245E-2</v>
      </c>
      <c r="AB688" s="8">
        <v>100</v>
      </c>
      <c r="AC688" s="15">
        <v>27897801300975</v>
      </c>
      <c r="AD688" s="4" t="s">
        <v>998</v>
      </c>
    </row>
    <row r="689" spans="2:30" x14ac:dyDescent="0.35">
      <c r="B689" s="18">
        <v>1303</v>
      </c>
      <c r="C689" s="25" t="s">
        <v>2325</v>
      </c>
      <c r="D689" s="4" t="s">
        <v>2372</v>
      </c>
      <c r="E689" s="4" t="s">
        <v>2914</v>
      </c>
      <c r="F689" s="4" t="s">
        <v>85</v>
      </c>
      <c r="G689" s="4" t="s">
        <v>1012</v>
      </c>
      <c r="H689" s="6">
        <v>6.9929000000000005E-2</v>
      </c>
      <c r="I689" s="8">
        <v>130</v>
      </c>
      <c r="J689" s="8">
        <v>15</v>
      </c>
      <c r="K689" s="8">
        <v>50</v>
      </c>
      <c r="L689" s="8">
        <v>97500</v>
      </c>
      <c r="M689" s="15">
        <v>7897801318464</v>
      </c>
      <c r="N689" s="6" t="s">
        <v>20</v>
      </c>
      <c r="O689" s="6" t="s">
        <v>20</v>
      </c>
      <c r="P689" s="6" t="s">
        <v>20</v>
      </c>
      <c r="Q689" s="6">
        <v>0.05</v>
      </c>
      <c r="R689" s="6">
        <v>1.4999999999999999E-2</v>
      </c>
      <c r="S689" s="6">
        <v>0.13</v>
      </c>
      <c r="T689" s="8">
        <v>1</v>
      </c>
      <c r="U689" s="5" t="s">
        <v>2331</v>
      </c>
      <c r="V689" s="89">
        <v>9.7500000000000003E-2</v>
      </c>
      <c r="W689" s="15">
        <v>17897801318461</v>
      </c>
      <c r="X689" s="6">
        <v>0.19</v>
      </c>
      <c r="Y689" s="6">
        <v>0.17</v>
      </c>
      <c r="Z689" s="6">
        <v>0.255</v>
      </c>
      <c r="AA689" s="6">
        <v>8.2365000000000008E-3</v>
      </c>
      <c r="AB689" s="8">
        <v>70</v>
      </c>
      <c r="AC689" s="15">
        <v>27897801318468</v>
      </c>
      <c r="AD689" s="4" t="s">
        <v>992</v>
      </c>
    </row>
    <row r="690" spans="2:30" x14ac:dyDescent="0.35">
      <c r="B690" s="18">
        <v>1304</v>
      </c>
      <c r="C690" s="24" t="s">
        <v>2326</v>
      </c>
      <c r="D690" s="4" t="s">
        <v>2372</v>
      </c>
      <c r="E690" s="4" t="s">
        <v>2914</v>
      </c>
      <c r="F690" s="4" t="s">
        <v>85</v>
      </c>
      <c r="G690" s="4" t="s">
        <v>1012</v>
      </c>
      <c r="H690" s="6">
        <v>9.0249999999999997E-2</v>
      </c>
      <c r="I690" s="8">
        <v>130</v>
      </c>
      <c r="J690" s="8">
        <v>15</v>
      </c>
      <c r="K690" s="8">
        <v>50</v>
      </c>
      <c r="L690" s="8">
        <v>97500</v>
      </c>
      <c r="M690" s="15">
        <v>7897801318471</v>
      </c>
      <c r="N690" s="6" t="s">
        <v>20</v>
      </c>
      <c r="O690" s="6" t="s">
        <v>20</v>
      </c>
      <c r="P690" s="6" t="s">
        <v>20</v>
      </c>
      <c r="Q690" s="6">
        <v>0.05</v>
      </c>
      <c r="R690" s="6">
        <v>1.4999999999999999E-2</v>
      </c>
      <c r="S690" s="6">
        <v>0.13</v>
      </c>
      <c r="T690" s="8">
        <v>1</v>
      </c>
      <c r="U690" s="5" t="s">
        <v>2331</v>
      </c>
      <c r="V690" s="89">
        <v>9.7500000000000003E-2</v>
      </c>
      <c r="W690" s="15">
        <v>17897801318471</v>
      </c>
      <c r="X690" s="6">
        <v>0.19</v>
      </c>
      <c r="Y690" s="6">
        <v>0.17</v>
      </c>
      <c r="Z690" s="6">
        <v>0.255</v>
      </c>
      <c r="AA690" s="6">
        <v>8.2365000000000008E-3</v>
      </c>
      <c r="AB690" s="8">
        <v>60</v>
      </c>
      <c r="AC690" s="15">
        <v>27897801318471</v>
      </c>
      <c r="AD690" s="4" t="s">
        <v>992</v>
      </c>
    </row>
    <row r="691" spans="2:30" x14ac:dyDescent="0.35">
      <c r="B691" s="18">
        <v>1305</v>
      </c>
      <c r="C691" s="24" t="s">
        <v>2327</v>
      </c>
      <c r="D691" s="4" t="s">
        <v>2372</v>
      </c>
      <c r="E691" s="4" t="s">
        <v>2914</v>
      </c>
      <c r="F691" s="4" t="s">
        <v>85</v>
      </c>
      <c r="G691" s="4" t="s">
        <v>1012</v>
      </c>
      <c r="H691" s="6">
        <v>0.1241</v>
      </c>
      <c r="I691" s="8">
        <v>130</v>
      </c>
      <c r="J691" s="8">
        <v>15</v>
      </c>
      <c r="K691" s="8">
        <v>50</v>
      </c>
      <c r="L691" s="8">
        <v>97500</v>
      </c>
      <c r="M691" s="15">
        <v>7897801318488</v>
      </c>
      <c r="N691" s="6" t="s">
        <v>20</v>
      </c>
      <c r="O691" s="6" t="s">
        <v>20</v>
      </c>
      <c r="P691" s="6" t="s">
        <v>20</v>
      </c>
      <c r="Q691" s="6">
        <v>0.05</v>
      </c>
      <c r="R691" s="6">
        <v>1.4999999999999999E-2</v>
      </c>
      <c r="S691" s="6">
        <v>0.13</v>
      </c>
      <c r="T691" s="8">
        <v>1</v>
      </c>
      <c r="U691" s="5" t="s">
        <v>2331</v>
      </c>
      <c r="V691" s="89">
        <v>9.7500000000000003E-2</v>
      </c>
      <c r="W691" s="15">
        <v>17897801318485</v>
      </c>
      <c r="X691" s="6">
        <v>0.19</v>
      </c>
      <c r="Y691" s="6">
        <v>0.17</v>
      </c>
      <c r="Z691" s="6">
        <v>0.255</v>
      </c>
      <c r="AA691" s="6">
        <v>8.2365000000000008E-3</v>
      </c>
      <c r="AB691" s="8">
        <v>50</v>
      </c>
      <c r="AC691" s="15">
        <v>27897801318482</v>
      </c>
      <c r="AD691" s="4" t="s">
        <v>992</v>
      </c>
    </row>
    <row r="692" spans="2:30" x14ac:dyDescent="0.35">
      <c r="B692" s="18">
        <v>1306</v>
      </c>
      <c r="C692" s="24" t="s">
        <v>2328</v>
      </c>
      <c r="D692" s="4" t="s">
        <v>2372</v>
      </c>
      <c r="E692" s="4" t="s">
        <v>2914</v>
      </c>
      <c r="F692" s="4" t="s">
        <v>85</v>
      </c>
      <c r="G692" s="4" t="s">
        <v>1012</v>
      </c>
      <c r="H692" s="6">
        <v>0.17100000000000001</v>
      </c>
      <c r="I692" s="8">
        <v>130</v>
      </c>
      <c r="J692" s="8">
        <v>15</v>
      </c>
      <c r="K692" s="8">
        <v>50</v>
      </c>
      <c r="L692" s="8">
        <v>97500</v>
      </c>
      <c r="M692" s="15">
        <v>7897801318495</v>
      </c>
      <c r="N692" s="6" t="s">
        <v>20</v>
      </c>
      <c r="O692" s="6" t="s">
        <v>20</v>
      </c>
      <c r="P692" s="6" t="s">
        <v>20</v>
      </c>
      <c r="Q692" s="6">
        <v>0.05</v>
      </c>
      <c r="R692" s="6">
        <v>1.4999999999999999E-2</v>
      </c>
      <c r="S692" s="6">
        <v>0.13</v>
      </c>
      <c r="T692" s="8">
        <v>1</v>
      </c>
      <c r="U692" s="5" t="s">
        <v>2331</v>
      </c>
      <c r="V692" s="89">
        <v>9.7500000000000003E-2</v>
      </c>
      <c r="W692" s="15">
        <v>17897801318495</v>
      </c>
      <c r="X692" s="6">
        <v>0.19</v>
      </c>
      <c r="Y692" s="6">
        <v>0.17</v>
      </c>
      <c r="Z692" s="6">
        <v>0.255</v>
      </c>
      <c r="AA692" s="6">
        <v>8.2365000000000008E-3</v>
      </c>
      <c r="AB692" s="8">
        <v>40</v>
      </c>
      <c r="AC692" s="15">
        <v>27897801318495</v>
      </c>
      <c r="AD692" s="4" t="s">
        <v>992</v>
      </c>
    </row>
    <row r="693" spans="2:30" x14ac:dyDescent="0.35">
      <c r="B693" s="18">
        <v>1307</v>
      </c>
      <c r="C693" s="24" t="s">
        <v>2329</v>
      </c>
      <c r="D693" s="4" t="s">
        <v>2372</v>
      </c>
      <c r="E693" s="4" t="s">
        <v>2914</v>
      </c>
      <c r="F693" s="4" t="s">
        <v>85</v>
      </c>
      <c r="G693" s="4" t="s">
        <v>1012</v>
      </c>
      <c r="H693" s="6">
        <v>0.27324999999999999</v>
      </c>
      <c r="I693" s="8">
        <v>130</v>
      </c>
      <c r="J693" s="8">
        <v>15</v>
      </c>
      <c r="K693" s="8">
        <v>50</v>
      </c>
      <c r="L693" s="8">
        <v>97500</v>
      </c>
      <c r="M693" s="15">
        <v>7897801318501</v>
      </c>
      <c r="N693" s="6" t="s">
        <v>20</v>
      </c>
      <c r="O693" s="6" t="s">
        <v>20</v>
      </c>
      <c r="P693" s="6" t="s">
        <v>20</v>
      </c>
      <c r="Q693" s="6">
        <v>0.05</v>
      </c>
      <c r="R693" s="6">
        <v>1.4999999999999999E-2</v>
      </c>
      <c r="S693" s="6">
        <v>0.13</v>
      </c>
      <c r="T693" s="8">
        <v>1</v>
      </c>
      <c r="U693" s="5" t="s">
        <v>2331</v>
      </c>
      <c r="V693" s="89">
        <v>9.7500000000000003E-2</v>
      </c>
      <c r="W693" s="15">
        <v>17897801318508</v>
      </c>
      <c r="X693" s="6">
        <v>0.19</v>
      </c>
      <c r="Y693" s="6">
        <v>0.17</v>
      </c>
      <c r="Z693" s="6">
        <v>0.255</v>
      </c>
      <c r="AA693" s="6">
        <v>8.2365000000000008E-3</v>
      </c>
      <c r="AB693" s="8">
        <v>20</v>
      </c>
      <c r="AC693" s="15">
        <v>27897801318505</v>
      </c>
      <c r="AD693" s="4" t="s">
        <v>992</v>
      </c>
    </row>
    <row r="694" spans="2:30" x14ac:dyDescent="0.35">
      <c r="B694" s="14">
        <v>1308</v>
      </c>
      <c r="C694" s="4" t="s">
        <v>677</v>
      </c>
      <c r="D694" s="4" t="s">
        <v>2399</v>
      </c>
      <c r="E694" s="4" t="s">
        <v>2914</v>
      </c>
      <c r="F694" s="4" t="s">
        <v>85</v>
      </c>
      <c r="G694" s="4" t="s">
        <v>1014</v>
      </c>
      <c r="H694" s="6">
        <v>1.143</v>
      </c>
      <c r="I694" s="8">
        <v>35</v>
      </c>
      <c r="J694" s="8">
        <v>9.5</v>
      </c>
      <c r="K694" s="8">
        <v>22.8</v>
      </c>
      <c r="L694" s="8">
        <f t="shared" ref="L694:L711" si="39">J694*I694*K694</f>
        <v>7581</v>
      </c>
      <c r="M694" s="15">
        <v>7897801319485</v>
      </c>
      <c r="N694" s="6" t="s">
        <v>20</v>
      </c>
      <c r="O694" s="6" t="s">
        <v>20</v>
      </c>
      <c r="P694" s="6" t="s">
        <v>20</v>
      </c>
      <c r="Q694" s="6">
        <v>0.20499999999999999</v>
      </c>
      <c r="R694" s="6">
        <v>0.37</v>
      </c>
      <c r="S694" s="6">
        <v>0.44</v>
      </c>
      <c r="T694" s="8">
        <v>4</v>
      </c>
      <c r="U694" s="5" t="s">
        <v>1017</v>
      </c>
      <c r="V694" s="89">
        <v>9.7500000000000003E-2</v>
      </c>
      <c r="W694" s="15">
        <v>17897801319482</v>
      </c>
      <c r="X694" s="6" t="s">
        <v>20</v>
      </c>
      <c r="Y694" s="6" t="s">
        <v>20</v>
      </c>
      <c r="Z694" s="6" t="s">
        <v>20</v>
      </c>
      <c r="AA694" s="6"/>
      <c r="AB694" s="8">
        <v>0</v>
      </c>
      <c r="AC694" s="15">
        <v>27897801319489</v>
      </c>
      <c r="AD694" s="4" t="s">
        <v>992</v>
      </c>
    </row>
    <row r="695" spans="2:30" x14ac:dyDescent="0.35">
      <c r="B695" s="14">
        <v>1309</v>
      </c>
      <c r="C695" s="4" t="s">
        <v>678</v>
      </c>
      <c r="D695" s="4" t="s">
        <v>2399</v>
      </c>
      <c r="E695" s="4" t="s">
        <v>2914</v>
      </c>
      <c r="F695" s="4" t="s">
        <v>85</v>
      </c>
      <c r="G695" s="4" t="s">
        <v>1014</v>
      </c>
      <c r="H695" s="6">
        <v>0.77059999999999995</v>
      </c>
      <c r="I695" s="8">
        <v>35.5</v>
      </c>
      <c r="J695" s="8">
        <v>9.5</v>
      </c>
      <c r="K695" s="8">
        <v>38</v>
      </c>
      <c r="L695" s="8">
        <f t="shared" si="39"/>
        <v>12815.5</v>
      </c>
      <c r="M695" s="15">
        <v>7897801319492</v>
      </c>
      <c r="N695" s="6" t="s">
        <v>20</v>
      </c>
      <c r="O695" s="6" t="s">
        <v>20</v>
      </c>
      <c r="P695" s="6" t="s">
        <v>20</v>
      </c>
      <c r="Q695" s="6">
        <v>0.21</v>
      </c>
      <c r="R695" s="6">
        <v>0.36499999999999999</v>
      </c>
      <c r="S695" s="6">
        <v>0.38500000000000001</v>
      </c>
      <c r="T695" s="8">
        <v>2</v>
      </c>
      <c r="U695" s="5" t="s">
        <v>1017</v>
      </c>
      <c r="V695" s="89">
        <v>9.7500000000000003E-2</v>
      </c>
      <c r="W695" s="15">
        <v>17897801319499</v>
      </c>
      <c r="X695" s="6" t="s">
        <v>20</v>
      </c>
      <c r="Y695" s="6" t="s">
        <v>20</v>
      </c>
      <c r="Z695" s="6" t="s">
        <v>20</v>
      </c>
      <c r="AA695" s="6"/>
      <c r="AB695" s="8">
        <v>0</v>
      </c>
      <c r="AC695" s="15">
        <v>27897801319496</v>
      </c>
      <c r="AD695" s="4" t="s">
        <v>992</v>
      </c>
    </row>
    <row r="696" spans="2:30" x14ac:dyDescent="0.35">
      <c r="B696" s="14">
        <v>1310</v>
      </c>
      <c r="C696" s="4" t="s">
        <v>679</v>
      </c>
      <c r="D696" s="4" t="s">
        <v>2399</v>
      </c>
      <c r="E696" s="4" t="s">
        <v>2914</v>
      </c>
      <c r="F696" s="4" t="s">
        <v>85</v>
      </c>
      <c r="G696" s="4" t="s">
        <v>1014</v>
      </c>
      <c r="H696" s="6">
        <v>3.1419999999999999</v>
      </c>
      <c r="I696" s="8">
        <v>53</v>
      </c>
      <c r="J696" s="8">
        <v>9.6999999999999993</v>
      </c>
      <c r="K696" s="8">
        <v>35.5</v>
      </c>
      <c r="L696" s="8">
        <f t="shared" si="39"/>
        <v>18250.549999999996</v>
      </c>
      <c r="M696" s="15">
        <v>7897801319508</v>
      </c>
      <c r="N696" s="6" t="s">
        <v>20</v>
      </c>
      <c r="O696" s="6" t="s">
        <v>20</v>
      </c>
      <c r="P696" s="6" t="s">
        <v>20</v>
      </c>
      <c r="Q696" s="6">
        <v>0.21</v>
      </c>
      <c r="R696" s="6">
        <v>0.37</v>
      </c>
      <c r="S696" s="6">
        <v>0.53500000000000003</v>
      </c>
      <c r="T696" s="8">
        <v>2</v>
      </c>
      <c r="U696" s="5" t="s">
        <v>1017</v>
      </c>
      <c r="V696" s="89">
        <v>9.7500000000000003E-2</v>
      </c>
      <c r="W696" s="15">
        <v>17897801319505</v>
      </c>
      <c r="X696" s="6" t="s">
        <v>20</v>
      </c>
      <c r="Y696" s="6" t="s">
        <v>20</v>
      </c>
      <c r="Z696" s="6" t="s">
        <v>20</v>
      </c>
      <c r="AA696" s="6"/>
      <c r="AB696" s="8">
        <v>0</v>
      </c>
      <c r="AC696" s="15">
        <v>27897801319502</v>
      </c>
      <c r="AD696" s="4" t="s">
        <v>992</v>
      </c>
    </row>
    <row r="697" spans="2:30" x14ac:dyDescent="0.35">
      <c r="B697" s="14">
        <v>1311</v>
      </c>
      <c r="C697" s="4" t="s">
        <v>680</v>
      </c>
      <c r="D697" s="4" t="s">
        <v>2399</v>
      </c>
      <c r="E697" s="4" t="s">
        <v>2914</v>
      </c>
      <c r="F697" s="4" t="s">
        <v>85</v>
      </c>
      <c r="G697" s="4" t="s">
        <v>1014</v>
      </c>
      <c r="H697" s="6">
        <v>0.56950000000000001</v>
      </c>
      <c r="I697" s="8">
        <v>35</v>
      </c>
      <c r="J697" s="8">
        <v>9.5</v>
      </c>
      <c r="K697" s="8">
        <v>22.8</v>
      </c>
      <c r="L697" s="8">
        <f t="shared" si="39"/>
        <v>7581</v>
      </c>
      <c r="M697" s="15">
        <v>7897801320344</v>
      </c>
      <c r="N697" s="6" t="s">
        <v>20</v>
      </c>
      <c r="O697" s="6" t="s">
        <v>20</v>
      </c>
      <c r="P697" s="6" t="s">
        <v>20</v>
      </c>
      <c r="Q697" s="6">
        <v>0.20499999999999999</v>
      </c>
      <c r="R697" s="6">
        <v>0.37</v>
      </c>
      <c r="S697" s="6">
        <v>0.44</v>
      </c>
      <c r="T697" s="8">
        <v>4</v>
      </c>
      <c r="U697" s="5" t="s">
        <v>1017</v>
      </c>
      <c r="V697" s="89">
        <v>9.7500000000000003E-2</v>
      </c>
      <c r="W697" s="15">
        <v>17897801320341</v>
      </c>
      <c r="X697" s="6" t="s">
        <v>20</v>
      </c>
      <c r="Y697" s="6" t="s">
        <v>20</v>
      </c>
      <c r="Z697" s="6" t="s">
        <v>20</v>
      </c>
      <c r="AA697" s="6"/>
      <c r="AB697" s="8">
        <v>0</v>
      </c>
      <c r="AC697" s="15">
        <v>27897801320348</v>
      </c>
      <c r="AD697" s="4" t="s">
        <v>992</v>
      </c>
    </row>
    <row r="698" spans="2:30" x14ac:dyDescent="0.35">
      <c r="B698" s="14">
        <v>1312</v>
      </c>
      <c r="C698" s="4" t="s">
        <v>681</v>
      </c>
      <c r="D698" s="4" t="s">
        <v>2399</v>
      </c>
      <c r="E698" s="4" t="s">
        <v>2914</v>
      </c>
      <c r="F698" s="4" t="s">
        <v>85</v>
      </c>
      <c r="G698" s="4" t="s">
        <v>1014</v>
      </c>
      <c r="H698" s="6">
        <v>1.1733</v>
      </c>
      <c r="I698" s="8">
        <v>35.5</v>
      </c>
      <c r="J698" s="8">
        <v>9.5</v>
      </c>
      <c r="K698" s="8">
        <v>38</v>
      </c>
      <c r="L698" s="8">
        <f t="shared" si="39"/>
        <v>12815.5</v>
      </c>
      <c r="M698" s="15">
        <v>7897801320351</v>
      </c>
      <c r="N698" s="6" t="s">
        <v>20</v>
      </c>
      <c r="O698" s="6" t="s">
        <v>20</v>
      </c>
      <c r="P698" s="6" t="s">
        <v>20</v>
      </c>
      <c r="Q698" s="6">
        <v>0.21</v>
      </c>
      <c r="R698" s="6">
        <v>0.36499999999999999</v>
      </c>
      <c r="S698" s="6">
        <v>0.38500000000000001</v>
      </c>
      <c r="T698" s="8">
        <v>2</v>
      </c>
      <c r="U698" s="5" t="s">
        <v>1017</v>
      </c>
      <c r="V698" s="89">
        <v>9.7500000000000003E-2</v>
      </c>
      <c r="W698" s="15">
        <v>17897801320358</v>
      </c>
      <c r="X698" s="6" t="s">
        <v>20</v>
      </c>
      <c r="Y698" s="6" t="s">
        <v>20</v>
      </c>
      <c r="Z698" s="6" t="s">
        <v>20</v>
      </c>
      <c r="AA698" s="6"/>
      <c r="AB698" s="8">
        <v>0</v>
      </c>
      <c r="AC698" s="15">
        <v>27897801320355</v>
      </c>
      <c r="AD698" s="4" t="s">
        <v>992</v>
      </c>
    </row>
    <row r="699" spans="2:30" x14ac:dyDescent="0.35">
      <c r="B699" s="14">
        <v>1313</v>
      </c>
      <c r="C699" s="4" t="s">
        <v>682</v>
      </c>
      <c r="D699" s="4" t="s">
        <v>2399</v>
      </c>
      <c r="E699" s="4" t="s">
        <v>2914</v>
      </c>
      <c r="F699" s="4" t="s">
        <v>85</v>
      </c>
      <c r="G699" s="4" t="s">
        <v>1014</v>
      </c>
      <c r="H699" s="6">
        <v>3.5870000000000002</v>
      </c>
      <c r="I699" s="8">
        <v>53</v>
      </c>
      <c r="J699" s="8">
        <v>9.6999999999999993</v>
      </c>
      <c r="K699" s="8">
        <v>35.5</v>
      </c>
      <c r="L699" s="8">
        <f t="shared" si="39"/>
        <v>18250.549999999996</v>
      </c>
      <c r="M699" s="15">
        <v>7897801320368</v>
      </c>
      <c r="N699" s="6" t="s">
        <v>20</v>
      </c>
      <c r="O699" s="6" t="s">
        <v>20</v>
      </c>
      <c r="P699" s="6" t="s">
        <v>20</v>
      </c>
      <c r="Q699" s="6">
        <v>0.21</v>
      </c>
      <c r="R699" s="6">
        <v>0.37</v>
      </c>
      <c r="S699" s="6">
        <v>0.53500000000000003</v>
      </c>
      <c r="T699" s="8">
        <v>2</v>
      </c>
      <c r="U699" s="5" t="s">
        <v>1017</v>
      </c>
      <c r="V699" s="89">
        <v>9.7500000000000003E-2</v>
      </c>
      <c r="W699" s="15">
        <v>17897801320365</v>
      </c>
      <c r="X699" s="6" t="s">
        <v>20</v>
      </c>
      <c r="Y699" s="6" t="s">
        <v>20</v>
      </c>
      <c r="Z699" s="6" t="s">
        <v>20</v>
      </c>
      <c r="AA699" s="6"/>
      <c r="AB699" s="8">
        <v>0</v>
      </c>
      <c r="AC699" s="15">
        <v>27897801320362</v>
      </c>
      <c r="AD699" s="4" t="s">
        <v>992</v>
      </c>
    </row>
    <row r="700" spans="2:30" x14ac:dyDescent="0.35">
      <c r="B700" s="14">
        <v>1314</v>
      </c>
      <c r="C700" s="4" t="s">
        <v>683</v>
      </c>
      <c r="D700" s="4" t="s">
        <v>2381</v>
      </c>
      <c r="E700" s="4" t="s">
        <v>2914</v>
      </c>
      <c r="F700" s="4" t="s">
        <v>85</v>
      </c>
      <c r="G700" s="4" t="s">
        <v>1014</v>
      </c>
      <c r="H700" s="6">
        <v>0.58960000000000001</v>
      </c>
      <c r="I700" s="8">
        <v>27</v>
      </c>
      <c r="J700" s="8">
        <v>9.5</v>
      </c>
      <c r="K700" s="8">
        <v>21</v>
      </c>
      <c r="L700" s="8">
        <f t="shared" si="39"/>
        <v>5386.5</v>
      </c>
      <c r="M700" s="15">
        <v>7897801319515</v>
      </c>
      <c r="N700" s="6" t="s">
        <v>20</v>
      </c>
      <c r="O700" s="6" t="s">
        <v>20</v>
      </c>
      <c r="P700" s="6" t="s">
        <v>20</v>
      </c>
      <c r="Q700" s="6">
        <v>0.37</v>
      </c>
      <c r="R700" s="6">
        <v>0.31</v>
      </c>
      <c r="S700" s="6">
        <v>0.435</v>
      </c>
      <c r="T700" s="8">
        <v>8</v>
      </c>
      <c r="U700" s="5" t="s">
        <v>1017</v>
      </c>
      <c r="V700" s="89">
        <v>9.7500000000000003E-2</v>
      </c>
      <c r="W700" s="15">
        <v>17897801319512</v>
      </c>
      <c r="X700" s="6" t="s">
        <v>20</v>
      </c>
      <c r="Y700" s="6" t="s">
        <v>20</v>
      </c>
      <c r="Z700" s="6" t="s">
        <v>20</v>
      </c>
      <c r="AA700" s="6"/>
      <c r="AB700" s="8">
        <v>0</v>
      </c>
      <c r="AC700" s="15">
        <v>27897801319519</v>
      </c>
      <c r="AD700" s="4" t="s">
        <v>992</v>
      </c>
    </row>
    <row r="701" spans="2:30" x14ac:dyDescent="0.35">
      <c r="B701" s="14">
        <v>1315</v>
      </c>
      <c r="C701" s="4" t="s">
        <v>684</v>
      </c>
      <c r="D701" s="4" t="s">
        <v>2381</v>
      </c>
      <c r="E701" s="4" t="s">
        <v>2914</v>
      </c>
      <c r="F701" s="4" t="s">
        <v>85</v>
      </c>
      <c r="G701" s="4" t="s">
        <v>1014</v>
      </c>
      <c r="H701" s="6">
        <v>0.88600000000000001</v>
      </c>
      <c r="I701" s="8">
        <v>35</v>
      </c>
      <c r="J701" s="8">
        <v>9.5</v>
      </c>
      <c r="K701" s="8">
        <v>22.8</v>
      </c>
      <c r="L701" s="8">
        <f t="shared" si="39"/>
        <v>7581</v>
      </c>
      <c r="M701" s="15">
        <v>7897801319522</v>
      </c>
      <c r="N701" s="6" t="s">
        <v>20</v>
      </c>
      <c r="O701" s="6" t="s">
        <v>20</v>
      </c>
      <c r="P701" s="6" t="s">
        <v>20</v>
      </c>
      <c r="Q701" s="6">
        <v>0.20499999999999999</v>
      </c>
      <c r="R701" s="6">
        <v>0.37</v>
      </c>
      <c r="S701" s="6">
        <v>0.44</v>
      </c>
      <c r="T701" s="8">
        <v>4</v>
      </c>
      <c r="U701" s="5" t="s">
        <v>1017</v>
      </c>
      <c r="V701" s="89">
        <v>9.7500000000000003E-2</v>
      </c>
      <c r="W701" s="15">
        <v>17897801319529</v>
      </c>
      <c r="X701" s="6" t="s">
        <v>20</v>
      </c>
      <c r="Y701" s="6" t="s">
        <v>20</v>
      </c>
      <c r="Z701" s="6" t="s">
        <v>20</v>
      </c>
      <c r="AA701" s="6"/>
      <c r="AB701" s="8">
        <v>0</v>
      </c>
      <c r="AC701" s="15">
        <v>27897801319526</v>
      </c>
      <c r="AD701" s="4" t="s">
        <v>992</v>
      </c>
    </row>
    <row r="702" spans="2:30" x14ac:dyDescent="0.35">
      <c r="B702" s="14">
        <v>1316</v>
      </c>
      <c r="C702" s="4" t="s">
        <v>685</v>
      </c>
      <c r="D702" s="4" t="s">
        <v>2381</v>
      </c>
      <c r="E702" s="4" t="s">
        <v>2914</v>
      </c>
      <c r="F702" s="4" t="s">
        <v>85</v>
      </c>
      <c r="G702" s="4" t="s">
        <v>1014</v>
      </c>
      <c r="H702" s="6">
        <v>0.72270000000000001</v>
      </c>
      <c r="I702" s="8">
        <v>27</v>
      </c>
      <c r="J702" s="8">
        <v>8.5</v>
      </c>
      <c r="K702" s="8">
        <v>21</v>
      </c>
      <c r="L702" s="8">
        <f t="shared" si="39"/>
        <v>4819.5</v>
      </c>
      <c r="M702" s="15">
        <v>7897801319539</v>
      </c>
      <c r="N702" s="6">
        <v>0.36</v>
      </c>
      <c r="O702" s="6">
        <v>0.21</v>
      </c>
      <c r="P702" s="6">
        <v>0.38500000000000001</v>
      </c>
      <c r="Q702" s="6">
        <v>0.38500000000000001</v>
      </c>
      <c r="R702" s="6">
        <v>0.36</v>
      </c>
      <c r="S702" s="6">
        <v>0.21</v>
      </c>
      <c r="T702" s="8">
        <v>2</v>
      </c>
      <c r="U702" s="5" t="s">
        <v>1017</v>
      </c>
      <c r="V702" s="89">
        <v>9.7500000000000003E-2</v>
      </c>
      <c r="W702" s="15">
        <v>17897801319536</v>
      </c>
      <c r="X702" s="6" t="s">
        <v>20</v>
      </c>
      <c r="Y702" s="6" t="s">
        <v>20</v>
      </c>
      <c r="Z702" s="6" t="s">
        <v>20</v>
      </c>
      <c r="AA702" s="6"/>
      <c r="AB702" s="8">
        <v>0</v>
      </c>
      <c r="AC702" s="15">
        <v>27897801319533</v>
      </c>
      <c r="AD702" s="4" t="s">
        <v>992</v>
      </c>
    </row>
    <row r="703" spans="2:30" x14ac:dyDescent="0.35">
      <c r="B703" s="14">
        <v>1317</v>
      </c>
      <c r="C703" s="4" t="s">
        <v>686</v>
      </c>
      <c r="D703" s="4" t="s">
        <v>2381</v>
      </c>
      <c r="E703" s="4" t="s">
        <v>2914</v>
      </c>
      <c r="F703" s="4" t="s">
        <v>85</v>
      </c>
      <c r="G703" s="4" t="s">
        <v>1014</v>
      </c>
      <c r="H703" s="6">
        <v>1.1990000000000001</v>
      </c>
      <c r="I703" s="8">
        <v>53</v>
      </c>
      <c r="J703" s="8">
        <v>8.5</v>
      </c>
      <c r="K703" s="8">
        <v>35.5</v>
      </c>
      <c r="L703" s="8">
        <f t="shared" si="39"/>
        <v>15992.75</v>
      </c>
      <c r="M703" s="15">
        <v>7897801319546</v>
      </c>
      <c r="N703" s="6">
        <v>0.37</v>
      </c>
      <c r="O703" s="6">
        <v>0.21</v>
      </c>
      <c r="P703" s="6">
        <v>0.53</v>
      </c>
      <c r="Q703" s="6">
        <v>0.21</v>
      </c>
      <c r="R703" s="6">
        <v>0.37</v>
      </c>
      <c r="S703" s="6">
        <v>0.53500000000000003</v>
      </c>
      <c r="T703" s="8">
        <v>2</v>
      </c>
      <c r="U703" s="5" t="s">
        <v>1017</v>
      </c>
      <c r="V703" s="89">
        <v>9.7500000000000003E-2</v>
      </c>
      <c r="W703" s="15">
        <v>17897801319543</v>
      </c>
      <c r="X703" s="6" t="s">
        <v>20</v>
      </c>
      <c r="Y703" s="6" t="s">
        <v>20</v>
      </c>
      <c r="Z703" s="6" t="s">
        <v>20</v>
      </c>
      <c r="AA703" s="6"/>
      <c r="AB703" s="8">
        <v>0</v>
      </c>
      <c r="AC703" s="15">
        <v>27897801319540</v>
      </c>
      <c r="AD703" s="4" t="s">
        <v>992</v>
      </c>
    </row>
    <row r="704" spans="2:30" x14ac:dyDescent="0.35">
      <c r="B704" s="14">
        <v>1318</v>
      </c>
      <c r="C704" s="4" t="s">
        <v>687</v>
      </c>
      <c r="D704" s="4" t="s">
        <v>2381</v>
      </c>
      <c r="E704" s="4" t="s">
        <v>2914</v>
      </c>
      <c r="F704" s="4" t="s">
        <v>85</v>
      </c>
      <c r="G704" s="4" t="s">
        <v>1014</v>
      </c>
      <c r="H704" s="6">
        <v>0.77449999999999997</v>
      </c>
      <c r="I704" s="8">
        <v>27</v>
      </c>
      <c r="J704" s="8">
        <v>9.5</v>
      </c>
      <c r="K704" s="8">
        <v>21</v>
      </c>
      <c r="L704" s="8">
        <f t="shared" si="39"/>
        <v>5386.5</v>
      </c>
      <c r="M704" s="15">
        <v>7897801319553</v>
      </c>
      <c r="N704" s="6" t="s">
        <v>20</v>
      </c>
      <c r="O704" s="6" t="s">
        <v>20</v>
      </c>
      <c r="P704" s="6" t="s">
        <v>20</v>
      </c>
      <c r="Q704" s="6">
        <v>0.37</v>
      </c>
      <c r="R704" s="6">
        <v>0.31</v>
      </c>
      <c r="S704" s="6">
        <v>0.435</v>
      </c>
      <c r="T704" s="8">
        <v>8</v>
      </c>
      <c r="U704" s="5" t="s">
        <v>1017</v>
      </c>
      <c r="V704" s="89">
        <v>9.7500000000000003E-2</v>
      </c>
      <c r="W704" s="15">
        <v>17897801319550</v>
      </c>
      <c r="X704" s="6" t="s">
        <v>20</v>
      </c>
      <c r="Y704" s="6" t="s">
        <v>20</v>
      </c>
      <c r="Z704" s="6" t="s">
        <v>20</v>
      </c>
      <c r="AA704" s="6"/>
      <c r="AB704" s="8">
        <v>0</v>
      </c>
      <c r="AC704" s="15">
        <v>27897801319557</v>
      </c>
      <c r="AD704" s="4" t="s">
        <v>992</v>
      </c>
    </row>
    <row r="705" spans="2:30" x14ac:dyDescent="0.35">
      <c r="B705" s="14">
        <v>1319</v>
      </c>
      <c r="C705" s="4" t="s">
        <v>688</v>
      </c>
      <c r="D705" s="4" t="s">
        <v>2381</v>
      </c>
      <c r="E705" s="4" t="s">
        <v>2914</v>
      </c>
      <c r="F705" s="4" t="s">
        <v>85</v>
      </c>
      <c r="G705" s="4" t="s">
        <v>1014</v>
      </c>
      <c r="H705" s="6">
        <v>0.62829999999999997</v>
      </c>
      <c r="I705" s="8">
        <v>35</v>
      </c>
      <c r="J705" s="8">
        <v>9.5</v>
      </c>
      <c r="K705" s="8">
        <v>22.8</v>
      </c>
      <c r="L705" s="8">
        <f t="shared" si="39"/>
        <v>7581</v>
      </c>
      <c r="M705" s="15">
        <v>7897801319560</v>
      </c>
      <c r="N705" s="6" t="s">
        <v>20</v>
      </c>
      <c r="O705" s="6" t="s">
        <v>20</v>
      </c>
      <c r="P705" s="6" t="s">
        <v>20</v>
      </c>
      <c r="Q705" s="6">
        <v>0.20499999999999999</v>
      </c>
      <c r="R705" s="6">
        <v>0.37</v>
      </c>
      <c r="S705" s="6">
        <v>0.44</v>
      </c>
      <c r="T705" s="8">
        <v>4</v>
      </c>
      <c r="U705" s="5" t="s">
        <v>1017</v>
      </c>
      <c r="V705" s="89">
        <v>9.7500000000000003E-2</v>
      </c>
      <c r="W705" s="15">
        <v>17897801319567</v>
      </c>
      <c r="X705" s="6" t="s">
        <v>20</v>
      </c>
      <c r="Y705" s="6" t="s">
        <v>20</v>
      </c>
      <c r="Z705" s="6" t="s">
        <v>20</v>
      </c>
      <c r="AA705" s="6"/>
      <c r="AB705" s="8">
        <v>0</v>
      </c>
      <c r="AC705" s="15">
        <v>27897801319564</v>
      </c>
      <c r="AD705" s="4" t="s">
        <v>992</v>
      </c>
    </row>
    <row r="706" spans="2:30" x14ac:dyDescent="0.35">
      <c r="B706" s="14">
        <v>1320</v>
      </c>
      <c r="C706" s="4" t="s">
        <v>689</v>
      </c>
      <c r="D706" s="4" t="s">
        <v>2381</v>
      </c>
      <c r="E706" s="4" t="s">
        <v>2914</v>
      </c>
      <c r="F706" s="4" t="s">
        <v>85</v>
      </c>
      <c r="G706" s="4" t="s">
        <v>1014</v>
      </c>
      <c r="H706" s="6">
        <v>1.1990000000000001</v>
      </c>
      <c r="I706" s="8">
        <v>27</v>
      </c>
      <c r="J706" s="8">
        <v>8.5</v>
      </c>
      <c r="K706" s="8">
        <v>21</v>
      </c>
      <c r="L706" s="8">
        <f t="shared" si="39"/>
        <v>4819.5</v>
      </c>
      <c r="M706" s="15">
        <v>7897801319577</v>
      </c>
      <c r="N706" s="6" t="s">
        <v>20</v>
      </c>
      <c r="O706" s="6" t="s">
        <v>20</v>
      </c>
      <c r="P706" s="6" t="s">
        <v>20</v>
      </c>
      <c r="Q706" s="6">
        <v>0.38500000000000001</v>
      </c>
      <c r="R706" s="6">
        <v>0.36</v>
      </c>
      <c r="S706" s="6">
        <v>0.21</v>
      </c>
      <c r="T706" s="8">
        <v>2</v>
      </c>
      <c r="U706" s="5" t="s">
        <v>1017</v>
      </c>
      <c r="V706" s="89">
        <v>9.7500000000000003E-2</v>
      </c>
      <c r="W706" s="15">
        <v>17897801319574</v>
      </c>
      <c r="X706" s="6" t="s">
        <v>20</v>
      </c>
      <c r="Y706" s="6" t="s">
        <v>20</v>
      </c>
      <c r="Z706" s="6" t="s">
        <v>20</v>
      </c>
      <c r="AA706" s="6"/>
      <c r="AB706" s="8">
        <v>0</v>
      </c>
      <c r="AC706" s="15">
        <v>27897801319571</v>
      </c>
      <c r="AD706" s="4" t="s">
        <v>992</v>
      </c>
    </row>
    <row r="707" spans="2:30" x14ac:dyDescent="0.35">
      <c r="B707" s="14">
        <v>1321</v>
      </c>
      <c r="C707" s="4" t="s">
        <v>690</v>
      </c>
      <c r="D707" s="4" t="s">
        <v>2381</v>
      </c>
      <c r="E707" s="4" t="s">
        <v>2914</v>
      </c>
      <c r="F707" s="4" t="s">
        <v>85</v>
      </c>
      <c r="G707" s="4" t="s">
        <v>1014</v>
      </c>
      <c r="H707" s="6">
        <v>2.7069999999999999</v>
      </c>
      <c r="I707" s="8">
        <v>53</v>
      </c>
      <c r="J707" s="8">
        <v>8.5</v>
      </c>
      <c r="K707" s="8">
        <v>35.5</v>
      </c>
      <c r="L707" s="8">
        <f t="shared" si="39"/>
        <v>15992.75</v>
      </c>
      <c r="M707" s="15">
        <v>7897801319584</v>
      </c>
      <c r="N707" s="6" t="s">
        <v>20</v>
      </c>
      <c r="O707" s="6" t="s">
        <v>20</v>
      </c>
      <c r="P707" s="6" t="s">
        <v>20</v>
      </c>
      <c r="Q707" s="6">
        <v>0.21</v>
      </c>
      <c r="R707" s="6">
        <v>0.37</v>
      </c>
      <c r="S707" s="6">
        <v>0.53500000000000003</v>
      </c>
      <c r="T707" s="8">
        <v>2</v>
      </c>
      <c r="U707" s="5" t="s">
        <v>1017</v>
      </c>
      <c r="V707" s="89">
        <v>9.7500000000000003E-2</v>
      </c>
      <c r="W707" s="15">
        <v>17897801319581</v>
      </c>
      <c r="X707" s="6" t="s">
        <v>20</v>
      </c>
      <c r="Y707" s="6" t="s">
        <v>20</v>
      </c>
      <c r="Z707" s="6" t="s">
        <v>20</v>
      </c>
      <c r="AA707" s="6"/>
      <c r="AB707" s="8">
        <v>0</v>
      </c>
      <c r="AC707" s="15">
        <v>27897801319588</v>
      </c>
      <c r="AD707" s="4" t="s">
        <v>992</v>
      </c>
    </row>
    <row r="708" spans="2:30" x14ac:dyDescent="0.35">
      <c r="B708" s="14">
        <v>1324</v>
      </c>
      <c r="C708" s="4" t="s">
        <v>691</v>
      </c>
      <c r="D708" s="4" t="s">
        <v>2414</v>
      </c>
      <c r="E708" s="4" t="s">
        <v>2911</v>
      </c>
      <c r="F708" s="4" t="s">
        <v>85</v>
      </c>
      <c r="G708" s="4" t="s">
        <v>993</v>
      </c>
      <c r="H708" s="6">
        <v>0.1</v>
      </c>
      <c r="I708" s="8">
        <v>80</v>
      </c>
      <c r="J708" s="8">
        <v>75</v>
      </c>
      <c r="K708" s="8">
        <v>50</v>
      </c>
      <c r="L708" s="8">
        <f t="shared" si="39"/>
        <v>300000</v>
      </c>
      <c r="M708" s="15">
        <v>7897801311823</v>
      </c>
      <c r="N708" s="6" t="s">
        <v>20</v>
      </c>
      <c r="O708" s="6" t="s">
        <v>20</v>
      </c>
      <c r="P708" s="6" t="s">
        <v>20</v>
      </c>
      <c r="Q708" s="6">
        <v>0.22</v>
      </c>
      <c r="R708" s="6">
        <v>5.5E-2</v>
      </c>
      <c r="S708" s="6">
        <v>0.28999999999999998</v>
      </c>
      <c r="T708" s="8">
        <v>10</v>
      </c>
      <c r="U708" s="5" t="s">
        <v>994</v>
      </c>
      <c r="V708" s="89">
        <v>0</v>
      </c>
      <c r="W708" s="15">
        <v>17897801311820</v>
      </c>
      <c r="X708" s="6">
        <v>0.4</v>
      </c>
      <c r="Y708" s="6">
        <v>0.25</v>
      </c>
      <c r="Z708" s="6">
        <v>0.7</v>
      </c>
      <c r="AA708" s="6">
        <f>Y708*X708*Z708</f>
        <v>6.9999999999999993E-2</v>
      </c>
      <c r="AB708" s="8">
        <v>160</v>
      </c>
      <c r="AC708" s="15">
        <v>27897801311827</v>
      </c>
      <c r="AD708" s="4" t="s">
        <v>992</v>
      </c>
    </row>
    <row r="709" spans="2:30" x14ac:dyDescent="0.35">
      <c r="B709" s="14">
        <v>1325</v>
      </c>
      <c r="C709" s="22" t="s">
        <v>692</v>
      </c>
      <c r="D709" s="4" t="s">
        <v>2414</v>
      </c>
      <c r="E709" s="4" t="s">
        <v>2911</v>
      </c>
      <c r="F709" s="4" t="s">
        <v>85</v>
      </c>
      <c r="G709" s="4" t="s">
        <v>993</v>
      </c>
      <c r="H709" s="6">
        <v>0.106</v>
      </c>
      <c r="I709" s="8">
        <v>80</v>
      </c>
      <c r="J709" s="8">
        <v>80</v>
      </c>
      <c r="K709" s="8">
        <v>50</v>
      </c>
      <c r="L709" s="8">
        <f t="shared" si="39"/>
        <v>320000</v>
      </c>
      <c r="M709" s="15">
        <v>7897801311830</v>
      </c>
      <c r="N709" s="6" t="s">
        <v>20</v>
      </c>
      <c r="O709" s="6" t="s">
        <v>20</v>
      </c>
      <c r="P709" s="6" t="s">
        <v>20</v>
      </c>
      <c r="Q709" s="6">
        <v>0.2</v>
      </c>
      <c r="R709" s="6">
        <v>0.06</v>
      </c>
      <c r="S709" s="6">
        <v>0.31</v>
      </c>
      <c r="T709" s="8">
        <v>10</v>
      </c>
      <c r="U709" s="5" t="s">
        <v>994</v>
      </c>
      <c r="V709" s="89">
        <v>0</v>
      </c>
      <c r="W709" s="15">
        <v>17897801311837</v>
      </c>
      <c r="X709" s="6">
        <v>0.48</v>
      </c>
      <c r="Y709" s="6">
        <v>0.15</v>
      </c>
      <c r="Z709" s="6">
        <v>0.6</v>
      </c>
      <c r="AA709" s="6">
        <f>Y709*X709*Z709</f>
        <v>4.3199999999999995E-2</v>
      </c>
      <c r="AB709" s="8">
        <v>160</v>
      </c>
      <c r="AC709" s="15">
        <v>27897801311834</v>
      </c>
      <c r="AD709" s="4" t="s">
        <v>992</v>
      </c>
    </row>
    <row r="710" spans="2:30" x14ac:dyDescent="0.35">
      <c r="B710" s="14">
        <v>1326</v>
      </c>
      <c r="C710" s="4" t="s">
        <v>693</v>
      </c>
      <c r="D710" s="4" t="s">
        <v>2414</v>
      </c>
      <c r="E710" s="4" t="s">
        <v>2911</v>
      </c>
      <c r="F710" s="4" t="s">
        <v>85</v>
      </c>
      <c r="G710" s="4" t="s">
        <v>993</v>
      </c>
      <c r="H710" s="6">
        <v>0.1105</v>
      </c>
      <c r="I710" s="8">
        <v>50</v>
      </c>
      <c r="J710" s="8">
        <v>100</v>
      </c>
      <c r="K710" s="8">
        <v>90</v>
      </c>
      <c r="L710" s="8">
        <f t="shared" si="39"/>
        <v>450000</v>
      </c>
      <c r="M710" s="15">
        <v>7897801311786</v>
      </c>
      <c r="N710" s="6" t="s">
        <v>20</v>
      </c>
      <c r="O710" s="6" t="s">
        <v>20</v>
      </c>
      <c r="P710" s="6" t="s">
        <v>20</v>
      </c>
      <c r="Q710" s="6">
        <v>0.21</v>
      </c>
      <c r="R710" s="6">
        <v>6.5000000000000002E-2</v>
      </c>
      <c r="S710" s="6">
        <v>0.32500000000000001</v>
      </c>
      <c r="T710" s="8">
        <v>10</v>
      </c>
      <c r="U710" s="5" t="s">
        <v>994</v>
      </c>
      <c r="V710" s="89">
        <v>0</v>
      </c>
      <c r="W710" s="15">
        <v>17897801311783</v>
      </c>
      <c r="X710" s="6">
        <v>0.52</v>
      </c>
      <c r="Y710" s="6">
        <v>0.22</v>
      </c>
      <c r="Z710" s="6">
        <v>0.65</v>
      </c>
      <c r="AA710" s="6">
        <f>Y710*X710*Z710</f>
        <v>7.4360000000000009E-2</v>
      </c>
      <c r="AB710" s="8">
        <v>180</v>
      </c>
      <c r="AC710" s="15">
        <v>27897801311780</v>
      </c>
      <c r="AD710" s="4" t="s">
        <v>992</v>
      </c>
    </row>
    <row r="711" spans="2:30" x14ac:dyDescent="0.35">
      <c r="B711" s="14">
        <v>1327</v>
      </c>
      <c r="C711" s="4" t="s">
        <v>694</v>
      </c>
      <c r="D711" s="4" t="s">
        <v>2414</v>
      </c>
      <c r="E711" s="4" t="s">
        <v>2911</v>
      </c>
      <c r="F711" s="4" t="s">
        <v>85</v>
      </c>
      <c r="G711" s="4" t="s">
        <v>993</v>
      </c>
      <c r="H711" s="6">
        <v>0.112</v>
      </c>
      <c r="I711" s="8">
        <v>50</v>
      </c>
      <c r="J711" s="8">
        <v>50</v>
      </c>
      <c r="K711" s="8">
        <v>90</v>
      </c>
      <c r="L711" s="8">
        <f t="shared" si="39"/>
        <v>225000</v>
      </c>
      <c r="M711" s="15">
        <v>7897801311793</v>
      </c>
      <c r="N711" s="6" t="s">
        <v>20</v>
      </c>
      <c r="O711" s="6" t="s">
        <v>20</v>
      </c>
      <c r="P711" s="6" t="s">
        <v>20</v>
      </c>
      <c r="Q711" s="6">
        <v>0.24</v>
      </c>
      <c r="R711" s="6">
        <v>0.06</v>
      </c>
      <c r="S711" s="6">
        <v>0.35</v>
      </c>
      <c r="T711" s="8">
        <v>10</v>
      </c>
      <c r="U711" s="5" t="s">
        <v>994</v>
      </c>
      <c r="V711" s="89">
        <v>0</v>
      </c>
      <c r="W711" s="15">
        <v>17897801311790</v>
      </c>
      <c r="X711" s="6">
        <v>0.53</v>
      </c>
      <c r="Y711" s="6">
        <v>0.24</v>
      </c>
      <c r="Z711" s="6">
        <v>0.68</v>
      </c>
      <c r="AA711" s="6">
        <f>Y711*X711*Z711</f>
        <v>8.6496000000000017E-2</v>
      </c>
      <c r="AB711" s="8">
        <v>180</v>
      </c>
      <c r="AC711" s="15">
        <v>27897801311797</v>
      </c>
      <c r="AD711" s="4" t="s">
        <v>992</v>
      </c>
    </row>
    <row r="712" spans="2:30" x14ac:dyDescent="0.35">
      <c r="B712" s="18">
        <v>1328</v>
      </c>
      <c r="C712" s="4" t="s">
        <v>2318</v>
      </c>
      <c r="D712" s="4" t="s">
        <v>2372</v>
      </c>
      <c r="E712" s="4" t="s">
        <v>2914</v>
      </c>
      <c r="F712" s="4" t="s">
        <v>85</v>
      </c>
      <c r="G712" s="4" t="s">
        <v>1004</v>
      </c>
      <c r="H712" s="6">
        <v>0.30636600000000003</v>
      </c>
      <c r="I712" s="8">
        <v>197</v>
      </c>
      <c r="J712" s="8">
        <v>60</v>
      </c>
      <c r="K712" s="8">
        <v>180</v>
      </c>
      <c r="L712" s="8">
        <v>2127600</v>
      </c>
      <c r="M712" s="15">
        <v>7897801319591</v>
      </c>
      <c r="N712" s="6">
        <v>0.06</v>
      </c>
      <c r="O712" s="6">
        <v>0.19700000000000001</v>
      </c>
      <c r="P712" s="6">
        <v>0.18</v>
      </c>
      <c r="Q712" s="6">
        <v>0.185</v>
      </c>
      <c r="R712" s="6">
        <v>6.2E-2</v>
      </c>
      <c r="S712" s="6">
        <v>0.2</v>
      </c>
      <c r="T712" s="8">
        <v>6</v>
      </c>
      <c r="U712" s="5" t="s">
        <v>1017</v>
      </c>
      <c r="V712" s="89">
        <v>9.7500000000000003E-2</v>
      </c>
      <c r="W712" s="15">
        <v>7897801319591</v>
      </c>
      <c r="X712" s="6">
        <v>0.23</v>
      </c>
      <c r="Y712" s="6">
        <v>0.26</v>
      </c>
      <c r="Z712" s="6">
        <v>0.3</v>
      </c>
      <c r="AA712" s="6">
        <v>1.7940000000000001E-2</v>
      </c>
      <c r="AB712" s="8">
        <v>0</v>
      </c>
      <c r="AC712" s="15">
        <v>27897801319595</v>
      </c>
      <c r="AD712" s="4" t="s">
        <v>992</v>
      </c>
    </row>
    <row r="713" spans="2:30" x14ac:dyDescent="0.35">
      <c r="B713" s="18">
        <v>1329</v>
      </c>
      <c r="C713" s="4" t="s">
        <v>2319</v>
      </c>
      <c r="D713" s="4" t="s">
        <v>2372</v>
      </c>
      <c r="E713" s="4" t="s">
        <v>2914</v>
      </c>
      <c r="F713" s="4" t="s">
        <v>85</v>
      </c>
      <c r="G713" s="4" t="s">
        <v>1004</v>
      </c>
      <c r="H713" s="6">
        <v>0.44374999999999998</v>
      </c>
      <c r="I713" s="8">
        <v>265</v>
      </c>
      <c r="J713" s="8">
        <v>60</v>
      </c>
      <c r="K713" s="8">
        <v>208</v>
      </c>
      <c r="L713" s="8">
        <v>3307200</v>
      </c>
      <c r="M713" s="15">
        <v>7897801319607</v>
      </c>
      <c r="N713" s="6">
        <v>0.06</v>
      </c>
      <c r="O713" s="6">
        <v>0.26500000000000001</v>
      </c>
      <c r="P713" s="6">
        <v>0.20799999999999999</v>
      </c>
      <c r="Q713" s="6">
        <v>0.21</v>
      </c>
      <c r="R713" s="6">
        <v>6.2E-2</v>
      </c>
      <c r="S713" s="6">
        <v>0.27</v>
      </c>
      <c r="T713" s="8">
        <v>6</v>
      </c>
      <c r="U713" s="5" t="s">
        <v>1017</v>
      </c>
      <c r="V713" s="89">
        <v>9.7500000000000003E-2</v>
      </c>
      <c r="W713" s="15">
        <v>7897801319607</v>
      </c>
      <c r="X713" s="6">
        <v>0.25</v>
      </c>
      <c r="Y713" s="6">
        <v>0.26500000000000001</v>
      </c>
      <c r="Z713" s="6">
        <v>0.28999999999999998</v>
      </c>
      <c r="AA713" s="6">
        <v>1.92125E-2</v>
      </c>
      <c r="AB713" s="8">
        <v>0</v>
      </c>
      <c r="AC713" s="15">
        <v>27897801319601</v>
      </c>
      <c r="AD713" s="4" t="s">
        <v>992</v>
      </c>
    </row>
    <row r="714" spans="2:30" x14ac:dyDescent="0.35">
      <c r="B714" s="18">
        <v>1330</v>
      </c>
      <c r="C714" s="4" t="s">
        <v>2320</v>
      </c>
      <c r="D714" s="4" t="s">
        <v>2372</v>
      </c>
      <c r="E714" s="4" t="s">
        <v>2914</v>
      </c>
      <c r="F714" s="4" t="s">
        <v>85</v>
      </c>
      <c r="G714" s="4" t="s">
        <v>1004</v>
      </c>
      <c r="H714" s="6">
        <v>0.65110500000000004</v>
      </c>
      <c r="I714" s="8">
        <v>350</v>
      </c>
      <c r="J714" s="8">
        <v>60</v>
      </c>
      <c r="K714" s="8">
        <v>218</v>
      </c>
      <c r="L714" s="8">
        <v>4578000</v>
      </c>
      <c r="M714" s="15">
        <v>7897801319614</v>
      </c>
      <c r="N714" s="6">
        <v>0.06</v>
      </c>
      <c r="O714" s="6">
        <v>0.35499999999999998</v>
      </c>
      <c r="P714" s="6">
        <v>0.218</v>
      </c>
      <c r="Q714" s="6">
        <v>0.22</v>
      </c>
      <c r="R714" s="6">
        <v>6.2E-2</v>
      </c>
      <c r="S714" s="6">
        <v>0.35499999999999998</v>
      </c>
      <c r="T714" s="8">
        <v>4</v>
      </c>
      <c r="U714" s="5" t="s">
        <v>1017</v>
      </c>
      <c r="V714" s="89">
        <v>9.7500000000000003E-2</v>
      </c>
      <c r="W714" s="15">
        <v>7897801319614</v>
      </c>
      <c r="X714" s="6">
        <v>0.37</v>
      </c>
      <c r="Y714" s="6">
        <v>0.13</v>
      </c>
      <c r="Z714" s="6">
        <v>0.41499999999999998</v>
      </c>
      <c r="AA714" s="6">
        <v>1.99615E-2</v>
      </c>
      <c r="AB714" s="8">
        <v>0</v>
      </c>
      <c r="AC714" s="15">
        <v>27897801319618</v>
      </c>
      <c r="AD714" s="4" t="s">
        <v>992</v>
      </c>
    </row>
    <row r="715" spans="2:30" x14ac:dyDescent="0.35">
      <c r="B715" s="18">
        <v>1331</v>
      </c>
      <c r="C715" s="4" t="s">
        <v>2321</v>
      </c>
      <c r="D715" s="4" t="s">
        <v>2372</v>
      </c>
      <c r="E715" s="4" t="s">
        <v>2914</v>
      </c>
      <c r="F715" s="4" t="s">
        <v>85</v>
      </c>
      <c r="G715" s="4" t="s">
        <v>1004</v>
      </c>
      <c r="H715" s="6">
        <v>0.88547699999999996</v>
      </c>
      <c r="I715" s="8">
        <v>410</v>
      </c>
      <c r="J715" s="8">
        <v>60</v>
      </c>
      <c r="K715" s="8">
        <v>230</v>
      </c>
      <c r="L715" s="8">
        <v>5658000</v>
      </c>
      <c r="M715" s="15">
        <v>7897801319621</v>
      </c>
      <c r="N715" s="6">
        <v>0.06</v>
      </c>
      <c r="O715" s="6">
        <v>0.41</v>
      </c>
      <c r="P715" s="6">
        <v>0.23</v>
      </c>
      <c r="Q715" s="6">
        <v>0.23</v>
      </c>
      <c r="R715" s="6">
        <v>6.2E-2</v>
      </c>
      <c r="S715" s="6">
        <v>0.41499999999999998</v>
      </c>
      <c r="T715" s="8">
        <v>4</v>
      </c>
      <c r="U715" s="5" t="s">
        <v>1017</v>
      </c>
      <c r="V715" s="89">
        <v>9.7500000000000003E-2</v>
      </c>
      <c r="W715" s="15">
        <v>7897801319621</v>
      </c>
      <c r="X715" s="6">
        <v>0.37</v>
      </c>
      <c r="Y715" s="6">
        <v>0.13</v>
      </c>
      <c r="Z715" s="6">
        <v>0.42</v>
      </c>
      <c r="AA715" s="6">
        <v>2.0202000000000001E-2</v>
      </c>
      <c r="AB715" s="8">
        <v>0</v>
      </c>
      <c r="AC715" s="15">
        <v>27897801319625</v>
      </c>
      <c r="AD715" s="4" t="s">
        <v>992</v>
      </c>
    </row>
    <row r="716" spans="2:30" x14ac:dyDescent="0.35">
      <c r="B716" s="18">
        <v>1332</v>
      </c>
      <c r="C716" s="4" t="s">
        <v>2322</v>
      </c>
      <c r="D716" s="4" t="s">
        <v>2372</v>
      </c>
      <c r="E716" s="4" t="s">
        <v>2914</v>
      </c>
      <c r="F716" s="4" t="s">
        <v>85</v>
      </c>
      <c r="G716" s="4" t="s">
        <v>1004</v>
      </c>
      <c r="H716" s="6">
        <v>1.2923899999999999</v>
      </c>
      <c r="I716" s="8">
        <v>380</v>
      </c>
      <c r="J716" s="8">
        <v>60</v>
      </c>
      <c r="K716" s="8">
        <v>350</v>
      </c>
      <c r="L716" s="8">
        <v>7980000</v>
      </c>
      <c r="M716" s="15">
        <v>7897801319638</v>
      </c>
      <c r="N716" s="6">
        <v>0.06</v>
      </c>
      <c r="O716" s="6">
        <v>0.38</v>
      </c>
      <c r="P716" s="6">
        <v>0.35</v>
      </c>
      <c r="Q716" s="6">
        <v>0.35499999999999998</v>
      </c>
      <c r="R716" s="6">
        <v>6.2E-2</v>
      </c>
      <c r="S716" s="6">
        <v>0.38500000000000001</v>
      </c>
      <c r="T716" s="8">
        <v>2</v>
      </c>
      <c r="U716" s="5" t="s">
        <v>1017</v>
      </c>
      <c r="V716" s="89">
        <v>9.7500000000000003E-2</v>
      </c>
      <c r="W716" s="15">
        <v>7897801319638</v>
      </c>
      <c r="X716" s="6">
        <v>0.37</v>
      </c>
      <c r="Y716" s="6">
        <v>0.13</v>
      </c>
      <c r="Z716" s="6">
        <v>0.42</v>
      </c>
      <c r="AA716" s="6">
        <v>2.0202000000000001E-2</v>
      </c>
      <c r="AB716" s="8">
        <v>0</v>
      </c>
      <c r="AC716" s="15">
        <v>27897801319632</v>
      </c>
      <c r="AD716" s="4" t="s">
        <v>992</v>
      </c>
    </row>
    <row r="717" spans="2:30" x14ac:dyDescent="0.35">
      <c r="B717" s="18">
        <v>1333</v>
      </c>
      <c r="C717" s="4" t="s">
        <v>2323</v>
      </c>
      <c r="D717" s="4" t="s">
        <v>2372</v>
      </c>
      <c r="E717" s="4" t="s">
        <v>2914</v>
      </c>
      <c r="F717" s="4" t="s">
        <v>85</v>
      </c>
      <c r="G717" s="4" t="s">
        <v>1004</v>
      </c>
      <c r="H717" s="6">
        <v>1.8774</v>
      </c>
      <c r="I717" s="8">
        <v>525</v>
      </c>
      <c r="J717" s="8">
        <v>60</v>
      </c>
      <c r="K717" s="8">
        <v>350</v>
      </c>
      <c r="L717" s="8">
        <v>11025000</v>
      </c>
      <c r="M717" s="15">
        <v>7897801319645</v>
      </c>
      <c r="N717" s="6">
        <v>0.06</v>
      </c>
      <c r="O717" s="6">
        <v>0.52500000000000002</v>
      </c>
      <c r="P717" s="6">
        <v>0.35</v>
      </c>
      <c r="Q717" s="6">
        <v>0.35499999999999998</v>
      </c>
      <c r="R717" s="6">
        <v>6.2E-2</v>
      </c>
      <c r="S717" s="6">
        <v>0.13500000000000001</v>
      </c>
      <c r="T717" s="8">
        <v>2</v>
      </c>
      <c r="U717" s="5" t="s">
        <v>1017</v>
      </c>
      <c r="V717" s="89">
        <v>9.7500000000000003E-2</v>
      </c>
      <c r="W717" s="15">
        <v>7897801319645</v>
      </c>
      <c r="X717" s="6">
        <v>0.36</v>
      </c>
      <c r="Y717" s="6">
        <v>0.13500000000000001</v>
      </c>
      <c r="Z717" s="6">
        <v>0.53500000000000003</v>
      </c>
      <c r="AA717" s="6">
        <v>2.6001000000000003E-2</v>
      </c>
      <c r="AB717" s="8">
        <v>0</v>
      </c>
      <c r="AC717" s="15">
        <v>27897801319649</v>
      </c>
      <c r="AD717" s="4" t="s">
        <v>992</v>
      </c>
    </row>
    <row r="718" spans="2:30" x14ac:dyDescent="0.35">
      <c r="B718" s="14">
        <v>1334</v>
      </c>
      <c r="C718" s="4" t="s">
        <v>695</v>
      </c>
      <c r="D718" s="4" t="s">
        <v>2384</v>
      </c>
      <c r="E718" s="4" t="s">
        <v>2912</v>
      </c>
      <c r="F718" s="4" t="s">
        <v>85</v>
      </c>
      <c r="G718" s="4" t="s">
        <v>993</v>
      </c>
      <c r="H718" s="6">
        <v>8.0999999999999996E-3</v>
      </c>
      <c r="I718" s="8">
        <v>27</v>
      </c>
      <c r="J718" s="8">
        <v>22</v>
      </c>
      <c r="K718" s="8">
        <v>27</v>
      </c>
      <c r="L718" s="8">
        <f t="shared" ref="L718:L749" si="40">J718*I718*K718</f>
        <v>16038</v>
      </c>
      <c r="M718" s="15">
        <v>7897801319669</v>
      </c>
      <c r="N718" s="6" t="s">
        <v>20</v>
      </c>
      <c r="O718" s="6" t="s">
        <v>20</v>
      </c>
      <c r="P718" s="6" t="s">
        <v>20</v>
      </c>
      <c r="Q718" s="6">
        <v>0.08</v>
      </c>
      <c r="R718" s="6">
        <v>0.03</v>
      </c>
      <c r="S718" s="6">
        <v>0.1</v>
      </c>
      <c r="T718" s="8">
        <v>10</v>
      </c>
      <c r="U718" s="5" t="s">
        <v>994</v>
      </c>
      <c r="V718" s="89">
        <v>0</v>
      </c>
      <c r="W718" s="15">
        <v>17897801319666</v>
      </c>
      <c r="X718" s="6">
        <v>0.71</v>
      </c>
      <c r="Y718" s="6">
        <v>0.17</v>
      </c>
      <c r="Z718" s="6">
        <v>0.48</v>
      </c>
      <c r="AA718" s="6">
        <f t="shared" ref="AA718:AA749" si="41">Y718*X718*Z718</f>
        <v>5.7936000000000001E-2</v>
      </c>
      <c r="AB718" s="8">
        <v>2000</v>
      </c>
      <c r="AC718" s="15">
        <v>27897801319663</v>
      </c>
      <c r="AD718" s="4" t="s">
        <v>992</v>
      </c>
    </row>
    <row r="719" spans="2:30" x14ac:dyDescent="0.35">
      <c r="B719" s="14">
        <v>1335</v>
      </c>
      <c r="C719" s="4" t="s">
        <v>696</v>
      </c>
      <c r="D719" s="4" t="s">
        <v>2384</v>
      </c>
      <c r="E719" s="4" t="s">
        <v>2912</v>
      </c>
      <c r="F719" s="4" t="s">
        <v>85</v>
      </c>
      <c r="G719" s="4" t="s">
        <v>993</v>
      </c>
      <c r="H719" s="6">
        <v>1.5299999999999999E-2</v>
      </c>
      <c r="I719" s="8">
        <v>34</v>
      </c>
      <c r="J719" s="8">
        <v>28</v>
      </c>
      <c r="K719" s="8">
        <v>34</v>
      </c>
      <c r="L719" s="8">
        <f t="shared" si="40"/>
        <v>32368</v>
      </c>
      <c r="M719" s="15">
        <v>7897801319676</v>
      </c>
      <c r="N719" s="6" t="s">
        <v>20</v>
      </c>
      <c r="O719" s="6" t="s">
        <v>20</v>
      </c>
      <c r="P719" s="6" t="s">
        <v>20</v>
      </c>
      <c r="Q719" s="6">
        <v>0.11</v>
      </c>
      <c r="R719" s="6">
        <v>0.04</v>
      </c>
      <c r="S719" s="6">
        <v>0.11</v>
      </c>
      <c r="T719" s="8">
        <v>10</v>
      </c>
      <c r="U719" s="5" t="s">
        <v>994</v>
      </c>
      <c r="V719" s="89">
        <v>0</v>
      </c>
      <c r="W719" s="15">
        <v>17897801319673</v>
      </c>
      <c r="X719" s="6">
        <v>0.73</v>
      </c>
      <c r="Y719" s="6">
        <v>0.19</v>
      </c>
      <c r="Z719" s="6">
        <v>0.49</v>
      </c>
      <c r="AA719" s="6">
        <f t="shared" si="41"/>
        <v>6.7962999999999996E-2</v>
      </c>
      <c r="AB719" s="8">
        <v>1000</v>
      </c>
      <c r="AC719" s="15">
        <v>27897801319670</v>
      </c>
      <c r="AD719" s="4" t="s">
        <v>992</v>
      </c>
    </row>
    <row r="720" spans="2:30" x14ac:dyDescent="0.35">
      <c r="B720" s="14">
        <v>1336</v>
      </c>
      <c r="C720" s="4" t="s">
        <v>697</v>
      </c>
      <c r="D720" s="4" t="s">
        <v>2384</v>
      </c>
      <c r="E720" s="4" t="s">
        <v>2912</v>
      </c>
      <c r="F720" s="4" t="s">
        <v>85</v>
      </c>
      <c r="G720" s="4" t="s">
        <v>993</v>
      </c>
      <c r="H720" s="6">
        <v>1.21E-2</v>
      </c>
      <c r="I720" s="8">
        <v>34</v>
      </c>
      <c r="J720" s="8">
        <v>28</v>
      </c>
      <c r="K720" s="8">
        <v>34</v>
      </c>
      <c r="L720" s="8">
        <f t="shared" si="40"/>
        <v>32368</v>
      </c>
      <c r="M720" s="15">
        <v>7897801319683</v>
      </c>
      <c r="N720" s="6" t="s">
        <v>20</v>
      </c>
      <c r="O720" s="6" t="s">
        <v>20</v>
      </c>
      <c r="P720" s="6" t="s">
        <v>20</v>
      </c>
      <c r="Q720" s="6">
        <v>0.11</v>
      </c>
      <c r="R720" s="6">
        <v>0.04</v>
      </c>
      <c r="S720" s="6">
        <v>0.11</v>
      </c>
      <c r="T720" s="8">
        <v>10</v>
      </c>
      <c r="U720" s="5" t="s">
        <v>994</v>
      </c>
      <c r="V720" s="89">
        <v>0</v>
      </c>
      <c r="W720" s="15">
        <v>17897801319680</v>
      </c>
      <c r="X720" s="6">
        <v>0.73</v>
      </c>
      <c r="Y720" s="6">
        <v>0.19</v>
      </c>
      <c r="Z720" s="6">
        <v>0.49</v>
      </c>
      <c r="AA720" s="6">
        <f t="shared" si="41"/>
        <v>6.7962999999999996E-2</v>
      </c>
      <c r="AB720" s="8">
        <v>1000</v>
      </c>
      <c r="AC720" s="15">
        <v>27897801319687</v>
      </c>
      <c r="AD720" s="4" t="s">
        <v>992</v>
      </c>
    </row>
    <row r="721" spans="2:30" x14ac:dyDescent="0.35">
      <c r="B721" s="14">
        <v>1337</v>
      </c>
      <c r="C721" s="4" t="s">
        <v>698</v>
      </c>
      <c r="D721" s="4" t="s">
        <v>2384</v>
      </c>
      <c r="E721" s="4" t="s">
        <v>2912</v>
      </c>
      <c r="F721" s="4" t="s">
        <v>85</v>
      </c>
      <c r="G721" s="4" t="s">
        <v>993</v>
      </c>
      <c r="H721" s="6">
        <v>5.4999999999999997E-3</v>
      </c>
      <c r="I721" s="8">
        <v>20</v>
      </c>
      <c r="J721" s="8">
        <v>20</v>
      </c>
      <c r="K721" s="8">
        <v>20</v>
      </c>
      <c r="L721" s="8">
        <f t="shared" si="40"/>
        <v>8000</v>
      </c>
      <c r="M721" s="15">
        <v>7897801319690</v>
      </c>
      <c r="N721" s="6" t="s">
        <v>20</v>
      </c>
      <c r="O721" s="6" t="s">
        <v>20</v>
      </c>
      <c r="P721" s="6" t="s">
        <v>20</v>
      </c>
      <c r="Q721" s="6">
        <v>0.08</v>
      </c>
      <c r="R721" s="6">
        <v>0.02</v>
      </c>
      <c r="S721" s="6">
        <v>0.08</v>
      </c>
      <c r="T721" s="8">
        <v>10</v>
      </c>
      <c r="U721" s="5" t="s">
        <v>994</v>
      </c>
      <c r="V721" s="89">
        <v>0</v>
      </c>
      <c r="W721" s="15">
        <v>17897801319697</v>
      </c>
      <c r="X721" s="6">
        <v>0.72</v>
      </c>
      <c r="Y721" s="6">
        <v>0.18</v>
      </c>
      <c r="Z721" s="6">
        <v>0.49</v>
      </c>
      <c r="AA721" s="6">
        <f t="shared" si="41"/>
        <v>6.3503999999999991E-2</v>
      </c>
      <c r="AB721" s="8">
        <v>3000</v>
      </c>
      <c r="AC721" s="15">
        <v>27897801319694</v>
      </c>
      <c r="AD721" s="4" t="s">
        <v>992</v>
      </c>
    </row>
    <row r="722" spans="2:30" x14ac:dyDescent="0.35">
      <c r="B722" s="14">
        <v>1338</v>
      </c>
      <c r="C722" s="4" t="s">
        <v>699</v>
      </c>
      <c r="D722" s="4" t="s">
        <v>2384</v>
      </c>
      <c r="E722" s="4" t="s">
        <v>2912</v>
      </c>
      <c r="F722" s="4" t="s">
        <v>85</v>
      </c>
      <c r="G722" s="4" t="s">
        <v>993</v>
      </c>
      <c r="H722" s="6">
        <v>1.0200000000000001E-2</v>
      </c>
      <c r="I722" s="8">
        <v>28</v>
      </c>
      <c r="J722" s="8">
        <v>26</v>
      </c>
      <c r="K722" s="8">
        <v>28</v>
      </c>
      <c r="L722" s="8">
        <f t="shared" si="40"/>
        <v>20384</v>
      </c>
      <c r="M722" s="15">
        <v>7897801319706</v>
      </c>
      <c r="N722" s="6" t="s">
        <v>20</v>
      </c>
      <c r="O722" s="6" t="s">
        <v>20</v>
      </c>
      <c r="P722" s="6" t="s">
        <v>20</v>
      </c>
      <c r="Q722" s="6">
        <v>0.08</v>
      </c>
      <c r="R722" s="6">
        <v>0.03</v>
      </c>
      <c r="S722" s="6">
        <v>0.1</v>
      </c>
      <c r="T722" s="8">
        <v>10</v>
      </c>
      <c r="U722" s="5" t="s">
        <v>994</v>
      </c>
      <c r="V722" s="89">
        <v>0</v>
      </c>
      <c r="W722" s="15">
        <v>17897801319703</v>
      </c>
      <c r="X722" s="6">
        <v>0.74</v>
      </c>
      <c r="Y722" s="6">
        <v>0.2</v>
      </c>
      <c r="Z722" s="6">
        <v>0.48</v>
      </c>
      <c r="AA722" s="6">
        <f t="shared" si="41"/>
        <v>7.1039999999999992E-2</v>
      </c>
      <c r="AB722" s="8">
        <v>2000</v>
      </c>
      <c r="AC722" s="15">
        <v>27897801319700</v>
      </c>
      <c r="AD722" s="4" t="s">
        <v>992</v>
      </c>
    </row>
    <row r="723" spans="2:30" x14ac:dyDescent="0.35">
      <c r="B723" s="14">
        <v>1339</v>
      </c>
      <c r="C723" s="4" t="s">
        <v>700</v>
      </c>
      <c r="D723" s="4" t="s">
        <v>2384</v>
      </c>
      <c r="E723" s="4" t="s">
        <v>2912</v>
      </c>
      <c r="F723" s="4" t="s">
        <v>85</v>
      </c>
      <c r="G723" s="4" t="s">
        <v>993</v>
      </c>
      <c r="H723" s="6">
        <v>1.72E-2</v>
      </c>
      <c r="I723" s="8">
        <v>34</v>
      </c>
      <c r="J723" s="8">
        <v>32</v>
      </c>
      <c r="K723" s="8">
        <v>34</v>
      </c>
      <c r="L723" s="8">
        <f t="shared" si="40"/>
        <v>36992</v>
      </c>
      <c r="M723" s="15">
        <v>7897801319713</v>
      </c>
      <c r="N723" s="6" t="s">
        <v>20</v>
      </c>
      <c r="O723" s="6" t="s">
        <v>20</v>
      </c>
      <c r="P723" s="6" t="s">
        <v>20</v>
      </c>
      <c r="Q723" s="6">
        <v>0.11</v>
      </c>
      <c r="R723" s="6">
        <v>0.04</v>
      </c>
      <c r="S723" s="6">
        <v>0.12</v>
      </c>
      <c r="T723" s="8">
        <v>10</v>
      </c>
      <c r="U723" s="5" t="s">
        <v>994</v>
      </c>
      <c r="V723" s="89">
        <v>0</v>
      </c>
      <c r="W723" s="15">
        <v>17897801319710</v>
      </c>
      <c r="X723" s="6">
        <v>0.74</v>
      </c>
      <c r="Y723" s="6">
        <v>0.17</v>
      </c>
      <c r="Z723" s="6">
        <v>0.5</v>
      </c>
      <c r="AA723" s="6">
        <f t="shared" si="41"/>
        <v>6.2899999999999998E-2</v>
      </c>
      <c r="AB723" s="8">
        <v>1000</v>
      </c>
      <c r="AC723" s="15">
        <v>27897801319717</v>
      </c>
      <c r="AD723" s="4" t="s">
        <v>992</v>
      </c>
    </row>
    <row r="724" spans="2:30" x14ac:dyDescent="0.35">
      <c r="B724" s="14">
        <v>1340</v>
      </c>
      <c r="C724" s="4" t="s">
        <v>701</v>
      </c>
      <c r="D724" s="4" t="s">
        <v>2384</v>
      </c>
      <c r="E724" s="4" t="s">
        <v>2912</v>
      </c>
      <c r="F724" s="4" t="s">
        <v>85</v>
      </c>
      <c r="G724" s="4" t="s">
        <v>1014</v>
      </c>
      <c r="H724" s="6">
        <v>5.0599999999999999E-2</v>
      </c>
      <c r="I724" s="8">
        <v>29</v>
      </c>
      <c r="J724" s="8">
        <v>46</v>
      </c>
      <c r="K724" s="8">
        <v>29</v>
      </c>
      <c r="L724" s="8">
        <f t="shared" si="40"/>
        <v>38686</v>
      </c>
      <c r="M724" s="15">
        <v>7897801319720</v>
      </c>
      <c r="N724" s="6" t="s">
        <v>20</v>
      </c>
      <c r="O724" s="6" t="s">
        <v>20</v>
      </c>
      <c r="P724" s="6" t="s">
        <v>20</v>
      </c>
      <c r="Q724" s="6">
        <v>0.12</v>
      </c>
      <c r="R724" s="6">
        <v>0.03</v>
      </c>
      <c r="S724" s="6">
        <v>0.12</v>
      </c>
      <c r="T724" s="8">
        <v>10</v>
      </c>
      <c r="U724" s="5" t="s">
        <v>994</v>
      </c>
      <c r="V724" s="89">
        <v>0</v>
      </c>
      <c r="W724" s="15">
        <v>17897801319727</v>
      </c>
      <c r="X724" s="6">
        <v>0.23</v>
      </c>
      <c r="Y724" s="6">
        <v>0.26</v>
      </c>
      <c r="Z724" s="6">
        <v>0.31</v>
      </c>
      <c r="AA724" s="6">
        <f t="shared" si="41"/>
        <v>1.8538000000000002E-2</v>
      </c>
      <c r="AB724" s="8">
        <v>360</v>
      </c>
      <c r="AC724" s="15">
        <v>27897801319724</v>
      </c>
      <c r="AD724" s="4" t="s">
        <v>992</v>
      </c>
    </row>
    <row r="725" spans="2:30" x14ac:dyDescent="0.35">
      <c r="B725" s="14">
        <v>1341</v>
      </c>
      <c r="C725" s="4" t="s">
        <v>702</v>
      </c>
      <c r="D725" s="4" t="s">
        <v>2384</v>
      </c>
      <c r="E725" s="4" t="s">
        <v>2912</v>
      </c>
      <c r="F725" s="4" t="s">
        <v>85</v>
      </c>
      <c r="G725" s="4" t="s">
        <v>1014</v>
      </c>
      <c r="H725" s="6">
        <v>5.57E-2</v>
      </c>
      <c r="I725" s="8">
        <v>29</v>
      </c>
      <c r="J725" s="8">
        <v>52</v>
      </c>
      <c r="K725" s="8">
        <v>29</v>
      </c>
      <c r="L725" s="8">
        <f t="shared" si="40"/>
        <v>43732</v>
      </c>
      <c r="M725" s="15">
        <v>7897801319737</v>
      </c>
      <c r="N725" s="6" t="s">
        <v>20</v>
      </c>
      <c r="O725" s="6" t="s">
        <v>20</v>
      </c>
      <c r="P725" s="6" t="s">
        <v>20</v>
      </c>
      <c r="Q725" s="6">
        <v>0.14000000000000001</v>
      </c>
      <c r="R725" s="6">
        <v>0.3</v>
      </c>
      <c r="S725" s="6">
        <v>0.14000000000000001</v>
      </c>
      <c r="T725" s="8">
        <v>10</v>
      </c>
      <c r="U725" s="5" t="s">
        <v>994</v>
      </c>
      <c r="V725" s="89">
        <v>0</v>
      </c>
      <c r="W725" s="15">
        <v>17897801319734</v>
      </c>
      <c r="X725" s="6">
        <v>0.23</v>
      </c>
      <c r="Y725" s="6">
        <v>0.26</v>
      </c>
      <c r="Z725" s="6">
        <v>0.31</v>
      </c>
      <c r="AA725" s="6">
        <f t="shared" si="41"/>
        <v>1.8538000000000002E-2</v>
      </c>
      <c r="AB725" s="8">
        <v>280</v>
      </c>
      <c r="AC725" s="15">
        <v>27897801319731</v>
      </c>
      <c r="AD725" s="4" t="s">
        <v>992</v>
      </c>
    </row>
    <row r="726" spans="2:30" x14ac:dyDescent="0.35">
      <c r="B726" s="14">
        <v>1342</v>
      </c>
      <c r="C726" s="4" t="s">
        <v>703</v>
      </c>
      <c r="D726" s="4" t="s">
        <v>2384</v>
      </c>
      <c r="E726" s="4" t="s">
        <v>2912</v>
      </c>
      <c r="F726" s="4" t="s">
        <v>85</v>
      </c>
      <c r="G726" s="4" t="s">
        <v>1014</v>
      </c>
      <c r="H726" s="6">
        <v>7.4499999999999997E-2</v>
      </c>
      <c r="I726" s="8">
        <v>35</v>
      </c>
      <c r="J726" s="8">
        <v>55</v>
      </c>
      <c r="K726" s="8">
        <v>35</v>
      </c>
      <c r="L726" s="8">
        <f t="shared" si="40"/>
        <v>67375</v>
      </c>
      <c r="M726" s="15">
        <v>7897801319744</v>
      </c>
      <c r="N726" s="6" t="s">
        <v>20</v>
      </c>
      <c r="O726" s="6" t="s">
        <v>20</v>
      </c>
      <c r="P726" s="6" t="s">
        <v>20</v>
      </c>
      <c r="Q726" s="6">
        <v>0.15</v>
      </c>
      <c r="R726" s="6">
        <v>0.04</v>
      </c>
      <c r="S726" s="6">
        <v>0.15</v>
      </c>
      <c r="T726" s="8">
        <v>10</v>
      </c>
      <c r="U726" s="5" t="s">
        <v>994</v>
      </c>
      <c r="V726" s="89">
        <v>0</v>
      </c>
      <c r="W726" s="15">
        <v>17897801319741</v>
      </c>
      <c r="X726" s="6">
        <v>0.23</v>
      </c>
      <c r="Y726" s="6">
        <v>0.26</v>
      </c>
      <c r="Z726" s="6">
        <v>0.31</v>
      </c>
      <c r="AA726" s="6">
        <f t="shared" si="41"/>
        <v>1.8538000000000002E-2</v>
      </c>
      <c r="AB726" s="8">
        <v>200</v>
      </c>
      <c r="AC726" s="15">
        <v>27897801319748</v>
      </c>
      <c r="AD726" s="4" t="s">
        <v>992</v>
      </c>
    </row>
    <row r="727" spans="2:30" x14ac:dyDescent="0.35">
      <c r="B727" s="14">
        <v>1343</v>
      </c>
      <c r="C727" s="4" t="s">
        <v>704</v>
      </c>
      <c r="D727" s="4" t="s">
        <v>2384</v>
      </c>
      <c r="E727" s="4" t="s">
        <v>2912</v>
      </c>
      <c r="F727" s="4" t="s">
        <v>85</v>
      </c>
      <c r="G727" s="4" t="s">
        <v>1014</v>
      </c>
      <c r="H727" s="6">
        <v>0.11899999999999999</v>
      </c>
      <c r="I727" s="8">
        <v>44</v>
      </c>
      <c r="J727" s="8">
        <v>64</v>
      </c>
      <c r="K727" s="8">
        <v>44</v>
      </c>
      <c r="L727" s="8">
        <f t="shared" si="40"/>
        <v>123904</v>
      </c>
      <c r="M727" s="15">
        <v>7897801319751</v>
      </c>
      <c r="N727" s="6" t="s">
        <v>20</v>
      </c>
      <c r="O727" s="6" t="s">
        <v>20</v>
      </c>
      <c r="P727" s="6" t="s">
        <v>20</v>
      </c>
      <c r="Q727" s="6">
        <v>0.18</v>
      </c>
      <c r="R727" s="6">
        <v>0.05</v>
      </c>
      <c r="S727" s="6">
        <v>0.2</v>
      </c>
      <c r="T727" s="8">
        <v>10</v>
      </c>
      <c r="U727" s="5" t="s">
        <v>994</v>
      </c>
      <c r="V727" s="89">
        <v>0</v>
      </c>
      <c r="W727" s="15">
        <v>17897801319758</v>
      </c>
      <c r="X727" s="6">
        <v>0.23</v>
      </c>
      <c r="Y727" s="6">
        <v>0.26</v>
      </c>
      <c r="Z727" s="6">
        <v>0.31</v>
      </c>
      <c r="AA727" s="6">
        <f t="shared" si="41"/>
        <v>1.8538000000000002E-2</v>
      </c>
      <c r="AB727" s="8">
        <v>100</v>
      </c>
      <c r="AC727" s="15">
        <v>27897801319755</v>
      </c>
      <c r="AD727" s="4" t="s">
        <v>992</v>
      </c>
    </row>
    <row r="728" spans="2:30" x14ac:dyDescent="0.35">
      <c r="B728" s="14">
        <v>1344</v>
      </c>
      <c r="C728" s="4" t="s">
        <v>705</v>
      </c>
      <c r="D728" s="4" t="s">
        <v>2384</v>
      </c>
      <c r="E728" s="4" t="s">
        <v>2912</v>
      </c>
      <c r="F728" s="4" t="s">
        <v>85</v>
      </c>
      <c r="G728" s="4" t="s">
        <v>993</v>
      </c>
      <c r="H728" s="6">
        <v>1.12E-2</v>
      </c>
      <c r="I728" s="8">
        <v>20</v>
      </c>
      <c r="J728" s="8">
        <v>45</v>
      </c>
      <c r="K728" s="8">
        <v>27</v>
      </c>
      <c r="L728" s="8">
        <f t="shared" si="40"/>
        <v>24300</v>
      </c>
      <c r="M728" s="15">
        <v>7897801319768</v>
      </c>
      <c r="N728" s="6" t="s">
        <v>20</v>
      </c>
      <c r="O728" s="6" t="s">
        <v>20</v>
      </c>
      <c r="P728" s="6" t="s">
        <v>20</v>
      </c>
      <c r="Q728" s="6">
        <v>0.12</v>
      </c>
      <c r="R728" s="6">
        <v>0.02</v>
      </c>
      <c r="S728" s="6">
        <v>0.1</v>
      </c>
      <c r="T728" s="8">
        <v>10</v>
      </c>
      <c r="U728" s="5" t="s">
        <v>994</v>
      </c>
      <c r="V728" s="89">
        <v>0</v>
      </c>
      <c r="W728" s="15">
        <v>17897801319765</v>
      </c>
      <c r="X728" s="6">
        <v>0.75</v>
      </c>
      <c r="Y728" s="6">
        <v>0.19</v>
      </c>
      <c r="Z728" s="6">
        <v>0.47</v>
      </c>
      <c r="AA728" s="6">
        <f t="shared" si="41"/>
        <v>6.6975000000000007E-2</v>
      </c>
      <c r="AB728" s="8">
        <v>2000</v>
      </c>
      <c r="AC728" s="15">
        <v>27897801319762</v>
      </c>
      <c r="AD728" s="4" t="s">
        <v>992</v>
      </c>
    </row>
    <row r="729" spans="2:30" x14ac:dyDescent="0.35">
      <c r="B729" s="14">
        <v>1345</v>
      </c>
      <c r="C729" s="4" t="s">
        <v>706</v>
      </c>
      <c r="D729" s="4" t="s">
        <v>2384</v>
      </c>
      <c r="E729" s="4" t="s">
        <v>2912</v>
      </c>
      <c r="F729" s="4" t="s">
        <v>85</v>
      </c>
      <c r="G729" s="4" t="s">
        <v>993</v>
      </c>
      <c r="H729" s="6">
        <v>1.7399999999999999E-2</v>
      </c>
      <c r="I729" s="8">
        <v>27</v>
      </c>
      <c r="J729" s="8">
        <v>57</v>
      </c>
      <c r="K729" s="8">
        <v>37</v>
      </c>
      <c r="L729" s="8">
        <f t="shared" si="40"/>
        <v>56943</v>
      </c>
      <c r="M729" s="15">
        <v>7897801319775</v>
      </c>
      <c r="N729" s="6" t="s">
        <v>20</v>
      </c>
      <c r="O729" s="6" t="s">
        <v>20</v>
      </c>
      <c r="P729" s="6" t="s">
        <v>20</v>
      </c>
      <c r="Q729" s="6">
        <v>0.12</v>
      </c>
      <c r="R729" s="6">
        <v>0.03</v>
      </c>
      <c r="S729" s="6">
        <v>0.18</v>
      </c>
      <c r="T729" s="8">
        <v>10</v>
      </c>
      <c r="U729" s="5" t="s">
        <v>994</v>
      </c>
      <c r="V729" s="89">
        <v>0</v>
      </c>
      <c r="W729" s="15">
        <v>17897801319772</v>
      </c>
      <c r="X729" s="6">
        <v>0.75</v>
      </c>
      <c r="Y729" s="6">
        <v>0.17</v>
      </c>
      <c r="Z729" s="6">
        <v>0.52</v>
      </c>
      <c r="AA729" s="6">
        <f t="shared" si="41"/>
        <v>6.6299999999999998E-2</v>
      </c>
      <c r="AB729" s="8">
        <v>1000</v>
      </c>
      <c r="AC729" s="15">
        <v>27897801319779</v>
      </c>
      <c r="AD729" s="4" t="s">
        <v>992</v>
      </c>
    </row>
    <row r="730" spans="2:30" x14ac:dyDescent="0.35">
      <c r="B730" s="14">
        <v>1346</v>
      </c>
      <c r="C730" s="4" t="s">
        <v>707</v>
      </c>
      <c r="D730" s="4" t="s">
        <v>2384</v>
      </c>
      <c r="E730" s="4" t="s">
        <v>2912</v>
      </c>
      <c r="F730" s="4" t="s">
        <v>85</v>
      </c>
      <c r="G730" s="4" t="s">
        <v>993</v>
      </c>
      <c r="H730" s="6">
        <v>3.3799999999999997E-2</v>
      </c>
      <c r="I730" s="8">
        <v>34</v>
      </c>
      <c r="J730" s="8">
        <v>76</v>
      </c>
      <c r="K730" s="8">
        <v>46</v>
      </c>
      <c r="L730" s="8">
        <f t="shared" si="40"/>
        <v>118864</v>
      </c>
      <c r="M730" s="15">
        <v>7897801319782</v>
      </c>
      <c r="N730" s="6" t="s">
        <v>20</v>
      </c>
      <c r="O730" s="6" t="s">
        <v>20</v>
      </c>
      <c r="P730" s="6" t="s">
        <v>20</v>
      </c>
      <c r="Q730" s="6">
        <v>0.18</v>
      </c>
      <c r="R730" s="6">
        <v>0.04</v>
      </c>
      <c r="S730" s="6">
        <v>0.18</v>
      </c>
      <c r="T730" s="8">
        <v>10</v>
      </c>
      <c r="U730" s="5" t="s">
        <v>994</v>
      </c>
      <c r="V730" s="89">
        <v>0</v>
      </c>
      <c r="W730" s="15">
        <v>17897801319789</v>
      </c>
      <c r="X730" s="6">
        <v>0.72</v>
      </c>
      <c r="Y730" s="6">
        <v>0.22</v>
      </c>
      <c r="Z730" s="6">
        <v>0.47</v>
      </c>
      <c r="AA730" s="6">
        <f t="shared" si="41"/>
        <v>7.4447999999999986E-2</v>
      </c>
      <c r="AB730" s="8">
        <v>500</v>
      </c>
      <c r="AC730" s="15">
        <v>27897801319786</v>
      </c>
      <c r="AD730" s="4" t="s">
        <v>992</v>
      </c>
    </row>
    <row r="731" spans="2:30" x14ac:dyDescent="0.35">
      <c r="B731" s="14">
        <v>1347</v>
      </c>
      <c r="C731" s="4" t="s">
        <v>708</v>
      </c>
      <c r="D731" s="4" t="s">
        <v>2384</v>
      </c>
      <c r="E731" s="4" t="s">
        <v>2912</v>
      </c>
      <c r="F731" s="4" t="s">
        <v>85</v>
      </c>
      <c r="G731" s="4" t="s">
        <v>993</v>
      </c>
      <c r="H731" s="6">
        <v>1.26E-2</v>
      </c>
      <c r="I731" s="8">
        <v>20</v>
      </c>
      <c r="J731" s="8">
        <v>35</v>
      </c>
      <c r="K731" s="8">
        <v>35</v>
      </c>
      <c r="L731" s="8">
        <f t="shared" si="40"/>
        <v>24500</v>
      </c>
      <c r="M731" s="15">
        <v>7897801319799</v>
      </c>
      <c r="N731" s="6" t="s">
        <v>20</v>
      </c>
      <c r="O731" s="6" t="s">
        <v>20</v>
      </c>
      <c r="P731" s="6" t="s">
        <v>20</v>
      </c>
      <c r="Q731" s="6">
        <v>0.11</v>
      </c>
      <c r="R731" s="6">
        <v>0.22</v>
      </c>
      <c r="S731" s="6">
        <v>0.13</v>
      </c>
      <c r="T731" s="8">
        <v>10</v>
      </c>
      <c r="U731" s="5" t="s">
        <v>994</v>
      </c>
      <c r="V731" s="89">
        <v>0</v>
      </c>
      <c r="W731" s="15">
        <v>17897801319796</v>
      </c>
      <c r="X731" s="6">
        <v>0.73</v>
      </c>
      <c r="Y731" s="6">
        <v>0.2</v>
      </c>
      <c r="Z731" s="6">
        <v>0.47</v>
      </c>
      <c r="AA731" s="6">
        <f t="shared" si="41"/>
        <v>6.8619999999999987E-2</v>
      </c>
      <c r="AB731" s="8">
        <v>2000</v>
      </c>
      <c r="AC731" s="15">
        <v>27897801319793</v>
      </c>
      <c r="AD731" s="4" t="s">
        <v>992</v>
      </c>
    </row>
    <row r="732" spans="2:30" x14ac:dyDescent="0.35">
      <c r="B732" s="14">
        <v>1348</v>
      </c>
      <c r="C732" s="4" t="s">
        <v>709</v>
      </c>
      <c r="D732" s="4" t="s">
        <v>2384</v>
      </c>
      <c r="E732" s="4" t="s">
        <v>2912</v>
      </c>
      <c r="F732" s="4" t="s">
        <v>85</v>
      </c>
      <c r="G732" s="4" t="s">
        <v>993</v>
      </c>
      <c r="H732" s="6">
        <v>2.47E-2</v>
      </c>
      <c r="I732" s="8">
        <v>27</v>
      </c>
      <c r="J732" s="8">
        <v>47</v>
      </c>
      <c r="K732" s="8">
        <v>47</v>
      </c>
      <c r="L732" s="8">
        <f t="shared" si="40"/>
        <v>59643</v>
      </c>
      <c r="M732" s="15">
        <v>7897801319805</v>
      </c>
      <c r="N732" s="6" t="s">
        <v>20</v>
      </c>
      <c r="O732" s="6" t="s">
        <v>20</v>
      </c>
      <c r="P732" s="6" t="s">
        <v>20</v>
      </c>
      <c r="Q732" s="6">
        <v>0.14000000000000001</v>
      </c>
      <c r="R732" s="6">
        <v>0.03</v>
      </c>
      <c r="S732" s="6">
        <v>0.18</v>
      </c>
      <c r="T732" s="8">
        <v>10</v>
      </c>
      <c r="U732" s="5" t="s">
        <v>994</v>
      </c>
      <c r="V732" s="89">
        <v>0</v>
      </c>
      <c r="W732" s="15">
        <v>17897801319802</v>
      </c>
      <c r="X732" s="6">
        <v>0.74</v>
      </c>
      <c r="Y732" s="6">
        <v>0.18</v>
      </c>
      <c r="Z732" s="6">
        <v>0.5</v>
      </c>
      <c r="AA732" s="6">
        <f t="shared" si="41"/>
        <v>6.6599999999999993E-2</v>
      </c>
      <c r="AB732" s="8">
        <v>700</v>
      </c>
      <c r="AC732" s="15">
        <v>27897801319809</v>
      </c>
      <c r="AD732" s="4" t="s">
        <v>992</v>
      </c>
    </row>
    <row r="733" spans="2:30" x14ac:dyDescent="0.35">
      <c r="B733" s="14">
        <v>1349</v>
      </c>
      <c r="C733" s="4" t="s">
        <v>710</v>
      </c>
      <c r="D733" s="4" t="s">
        <v>2384</v>
      </c>
      <c r="E733" s="4" t="s">
        <v>2912</v>
      </c>
      <c r="F733" s="4" t="s">
        <v>85</v>
      </c>
      <c r="G733" s="4" t="s">
        <v>993</v>
      </c>
      <c r="H733" s="6">
        <v>4.8000000000000001E-2</v>
      </c>
      <c r="I733" s="8">
        <v>34</v>
      </c>
      <c r="J733" s="8">
        <v>58</v>
      </c>
      <c r="K733" s="8">
        <v>58</v>
      </c>
      <c r="L733" s="8">
        <f t="shared" si="40"/>
        <v>114376</v>
      </c>
      <c r="M733" s="15">
        <v>7897801319812</v>
      </c>
      <c r="N733" s="6" t="s">
        <v>20</v>
      </c>
      <c r="O733" s="6" t="s">
        <v>20</v>
      </c>
      <c r="P733" s="6" t="s">
        <v>20</v>
      </c>
      <c r="Q733" s="6">
        <v>0.19</v>
      </c>
      <c r="R733" s="6">
        <v>0.36</v>
      </c>
      <c r="S733" s="6">
        <v>0.19</v>
      </c>
      <c r="T733" s="8">
        <v>10</v>
      </c>
      <c r="U733" s="5" t="s">
        <v>994</v>
      </c>
      <c r="V733" s="89">
        <v>0</v>
      </c>
      <c r="W733" s="15">
        <v>17897801319819</v>
      </c>
      <c r="X733" s="6">
        <v>0.75</v>
      </c>
      <c r="Y733" s="6">
        <v>0.21</v>
      </c>
      <c r="Z733" s="6">
        <v>0.48</v>
      </c>
      <c r="AA733" s="6">
        <f t="shared" si="41"/>
        <v>7.5600000000000001E-2</v>
      </c>
      <c r="AB733" s="8">
        <v>400</v>
      </c>
      <c r="AC733" s="15">
        <v>27897801319816</v>
      </c>
      <c r="AD733" s="4" t="s">
        <v>992</v>
      </c>
    </row>
    <row r="734" spans="2:30" x14ac:dyDescent="0.35">
      <c r="B734" s="14">
        <v>1350</v>
      </c>
      <c r="C734" s="4" t="s">
        <v>711</v>
      </c>
      <c r="D734" s="4" t="s">
        <v>2384</v>
      </c>
      <c r="E734" s="4" t="s">
        <v>2912</v>
      </c>
      <c r="F734" s="4" t="s">
        <v>85</v>
      </c>
      <c r="G734" s="4" t="s">
        <v>1014</v>
      </c>
      <c r="H734" s="6">
        <v>4.2000000000000003E-2</v>
      </c>
      <c r="I734" s="8">
        <v>32</v>
      </c>
      <c r="J734" s="8">
        <v>57</v>
      </c>
      <c r="K734" s="8">
        <v>40</v>
      </c>
      <c r="L734" s="8">
        <f t="shared" si="40"/>
        <v>72960</v>
      </c>
      <c r="M734" s="15">
        <v>7897801319829</v>
      </c>
      <c r="N734" s="6" t="s">
        <v>20</v>
      </c>
      <c r="O734" s="6" t="s">
        <v>20</v>
      </c>
      <c r="P734" s="6" t="s">
        <v>20</v>
      </c>
      <c r="Q734" s="6">
        <v>0.14000000000000001</v>
      </c>
      <c r="R734" s="6">
        <v>0.04</v>
      </c>
      <c r="S734" s="6">
        <v>0.14000000000000001</v>
      </c>
      <c r="T734" s="8">
        <v>10</v>
      </c>
      <c r="U734" s="5" t="s">
        <v>994</v>
      </c>
      <c r="V734" s="89">
        <v>0</v>
      </c>
      <c r="W734" s="15">
        <v>17897801319826</v>
      </c>
      <c r="X734" s="6">
        <v>0.23</v>
      </c>
      <c r="Y734" s="6">
        <v>0.26</v>
      </c>
      <c r="Z734" s="6">
        <v>0.31</v>
      </c>
      <c r="AA734" s="6">
        <f t="shared" si="41"/>
        <v>1.8538000000000002E-2</v>
      </c>
      <c r="AB734" s="8">
        <v>280</v>
      </c>
      <c r="AC734" s="15">
        <v>27897801319823</v>
      </c>
      <c r="AD734" s="4" t="s">
        <v>992</v>
      </c>
    </row>
    <row r="735" spans="2:30" x14ac:dyDescent="0.35">
      <c r="B735" s="14">
        <v>1351</v>
      </c>
      <c r="C735" s="4" t="s">
        <v>712</v>
      </c>
      <c r="D735" s="4" t="s">
        <v>2384</v>
      </c>
      <c r="E735" s="4" t="s">
        <v>2912</v>
      </c>
      <c r="F735" s="4" t="s">
        <v>85</v>
      </c>
      <c r="G735" s="4" t="s">
        <v>1014</v>
      </c>
      <c r="H735" s="6">
        <v>4.8300000000000003E-2</v>
      </c>
      <c r="I735" s="8">
        <v>32</v>
      </c>
      <c r="J735" s="8">
        <v>65</v>
      </c>
      <c r="K735" s="8">
        <v>48</v>
      </c>
      <c r="L735" s="8">
        <f t="shared" si="40"/>
        <v>99840</v>
      </c>
      <c r="M735" s="15">
        <v>7897801319836</v>
      </c>
      <c r="N735" s="6" t="s">
        <v>20</v>
      </c>
      <c r="O735" s="6" t="s">
        <v>20</v>
      </c>
      <c r="P735" s="6" t="s">
        <v>20</v>
      </c>
      <c r="Q735" s="6">
        <v>0.14000000000000001</v>
      </c>
      <c r="R735" s="6">
        <v>0.05</v>
      </c>
      <c r="S735" s="6">
        <v>0.16</v>
      </c>
      <c r="T735" s="8">
        <v>10</v>
      </c>
      <c r="U735" s="5" t="s">
        <v>994</v>
      </c>
      <c r="V735" s="89">
        <v>0</v>
      </c>
      <c r="W735" s="15">
        <v>17897801319833</v>
      </c>
      <c r="X735" s="6">
        <v>0.23</v>
      </c>
      <c r="Y735" s="6">
        <v>0.26</v>
      </c>
      <c r="Z735" s="6">
        <v>0.31</v>
      </c>
      <c r="AA735" s="6">
        <f t="shared" si="41"/>
        <v>1.8538000000000002E-2</v>
      </c>
      <c r="AB735" s="8">
        <v>200</v>
      </c>
      <c r="AC735" s="15">
        <v>27897801319830</v>
      </c>
      <c r="AD735" s="4" t="s">
        <v>992</v>
      </c>
    </row>
    <row r="736" spans="2:30" x14ac:dyDescent="0.35">
      <c r="B736" s="14">
        <v>1352</v>
      </c>
      <c r="C736" s="4" t="s">
        <v>713</v>
      </c>
      <c r="D736" s="4" t="s">
        <v>2384</v>
      </c>
      <c r="E736" s="4" t="s">
        <v>2912</v>
      </c>
      <c r="F736" s="4" t="s">
        <v>85</v>
      </c>
      <c r="G736" s="4" t="s">
        <v>1014</v>
      </c>
      <c r="H736" s="6">
        <v>6.5699999999999995E-2</v>
      </c>
      <c r="I736" s="8">
        <v>42</v>
      </c>
      <c r="J736" s="8">
        <v>70</v>
      </c>
      <c r="K736" s="8">
        <v>54</v>
      </c>
      <c r="L736" s="8">
        <f t="shared" si="40"/>
        <v>158760</v>
      </c>
      <c r="M736" s="15">
        <v>7897801319843</v>
      </c>
      <c r="N736" s="6" t="s">
        <v>20</v>
      </c>
      <c r="O736" s="6" t="s">
        <v>20</v>
      </c>
      <c r="P736" s="6" t="s">
        <v>20</v>
      </c>
      <c r="Q736" s="6">
        <v>0.17</v>
      </c>
      <c r="R736" s="6">
        <v>0.05</v>
      </c>
      <c r="S736" s="6">
        <v>0.17</v>
      </c>
      <c r="T736" s="8">
        <v>10</v>
      </c>
      <c r="U736" s="5" t="s">
        <v>994</v>
      </c>
      <c r="V736" s="89">
        <v>0</v>
      </c>
      <c r="W736" s="15">
        <v>17897801319840</v>
      </c>
      <c r="X736" s="6">
        <v>0.23</v>
      </c>
      <c r="Y736" s="6">
        <v>0.26</v>
      </c>
      <c r="Z736" s="6">
        <v>0.31</v>
      </c>
      <c r="AA736" s="6">
        <f t="shared" si="41"/>
        <v>1.8538000000000002E-2</v>
      </c>
      <c r="AB736" s="8">
        <v>160</v>
      </c>
      <c r="AC736" s="15">
        <v>27897801319847</v>
      </c>
      <c r="AD736" s="4" t="s">
        <v>992</v>
      </c>
    </row>
    <row r="737" spans="2:30" x14ac:dyDescent="0.35">
      <c r="B737" s="14">
        <v>1353</v>
      </c>
      <c r="C737" s="4" t="s">
        <v>714</v>
      </c>
      <c r="D737" s="4" t="s">
        <v>2384</v>
      </c>
      <c r="E737" s="4" t="s">
        <v>2912</v>
      </c>
      <c r="F737" s="4" t="s">
        <v>85</v>
      </c>
      <c r="G737" s="4" t="s">
        <v>1014</v>
      </c>
      <c r="H737" s="6">
        <v>0.1113</v>
      </c>
      <c r="I737" s="8">
        <v>50</v>
      </c>
      <c r="J737" s="8">
        <v>85</v>
      </c>
      <c r="K737" s="8">
        <v>57</v>
      </c>
      <c r="L737" s="8">
        <f t="shared" si="40"/>
        <v>242250</v>
      </c>
      <c r="M737" s="15">
        <v>7897801319850</v>
      </c>
      <c r="N737" s="6" t="s">
        <v>20</v>
      </c>
      <c r="O737" s="6" t="s">
        <v>20</v>
      </c>
      <c r="P737" s="6" t="s">
        <v>20</v>
      </c>
      <c r="Q737" s="6">
        <v>0.2</v>
      </c>
      <c r="R737" s="6">
        <v>0.06</v>
      </c>
      <c r="S737" s="6">
        <v>0.2</v>
      </c>
      <c r="T737" s="8">
        <v>10</v>
      </c>
      <c r="U737" s="5" t="s">
        <v>994</v>
      </c>
      <c r="V737" s="89">
        <v>0</v>
      </c>
      <c r="W737" s="15">
        <v>17897801319857</v>
      </c>
      <c r="X737" s="6">
        <v>0.23</v>
      </c>
      <c r="Y737" s="6">
        <v>0.26</v>
      </c>
      <c r="Z737" s="6">
        <v>0.31</v>
      </c>
      <c r="AA737" s="6">
        <f t="shared" si="41"/>
        <v>1.8538000000000002E-2</v>
      </c>
      <c r="AB737" s="8">
        <v>80</v>
      </c>
      <c r="AC737" s="15">
        <v>27897801319854</v>
      </c>
      <c r="AD737" s="4" t="s">
        <v>992</v>
      </c>
    </row>
    <row r="738" spans="2:30" x14ac:dyDescent="0.35">
      <c r="B738" s="14">
        <v>1354</v>
      </c>
      <c r="C738" s="4" t="s">
        <v>715</v>
      </c>
      <c r="D738" s="4" t="s">
        <v>2384</v>
      </c>
      <c r="E738" s="4" t="s">
        <v>2912</v>
      </c>
      <c r="F738" s="4" t="s">
        <v>85</v>
      </c>
      <c r="G738" s="4" t="s">
        <v>1014</v>
      </c>
      <c r="H738" s="6">
        <v>2.1999999999999999E-2</v>
      </c>
      <c r="I738" s="8">
        <v>27.2</v>
      </c>
      <c r="J738" s="8">
        <v>50</v>
      </c>
      <c r="K738" s="8">
        <v>27.2</v>
      </c>
      <c r="L738" s="8">
        <f t="shared" si="40"/>
        <v>36992</v>
      </c>
      <c r="M738" s="15">
        <v>7897801319867</v>
      </c>
      <c r="N738" s="6" t="s">
        <v>20</v>
      </c>
      <c r="O738" s="6" t="s">
        <v>20</v>
      </c>
      <c r="P738" s="6" t="s">
        <v>20</v>
      </c>
      <c r="Q738" s="6">
        <v>0.11</v>
      </c>
      <c r="R738" s="6">
        <v>0.03</v>
      </c>
      <c r="S738" s="6">
        <v>0.13</v>
      </c>
      <c r="T738" s="8">
        <v>10</v>
      </c>
      <c r="U738" s="5" t="s">
        <v>994</v>
      </c>
      <c r="V738" s="89">
        <v>0</v>
      </c>
      <c r="W738" s="15">
        <v>17897801319864</v>
      </c>
      <c r="X738" s="6">
        <v>0.255</v>
      </c>
      <c r="Y738" s="6">
        <v>0.255</v>
      </c>
      <c r="Z738" s="6">
        <v>0.33</v>
      </c>
      <c r="AA738" s="6">
        <f t="shared" si="41"/>
        <v>2.1458250000000002E-2</v>
      </c>
      <c r="AB738" s="8">
        <v>900</v>
      </c>
      <c r="AC738" s="15">
        <v>27897801319861</v>
      </c>
      <c r="AD738" s="4" t="s">
        <v>992</v>
      </c>
    </row>
    <row r="739" spans="2:30" x14ac:dyDescent="0.35">
      <c r="B739" s="14">
        <v>1355</v>
      </c>
      <c r="C739" s="4" t="s">
        <v>716</v>
      </c>
      <c r="D739" s="4" t="s">
        <v>2384</v>
      </c>
      <c r="E739" s="4" t="s">
        <v>2912</v>
      </c>
      <c r="F739" s="4" t="s">
        <v>85</v>
      </c>
      <c r="G739" s="4" t="s">
        <v>1014</v>
      </c>
      <c r="H739" s="6">
        <v>3.2300000000000002E-2</v>
      </c>
      <c r="I739" s="8">
        <v>33.6</v>
      </c>
      <c r="J739" s="8">
        <v>5.5</v>
      </c>
      <c r="K739" s="8">
        <v>33.6</v>
      </c>
      <c r="L739" s="8">
        <f t="shared" si="40"/>
        <v>6209.2800000000007</v>
      </c>
      <c r="M739" s="15">
        <v>7897801319874</v>
      </c>
      <c r="N739" s="6" t="s">
        <v>20</v>
      </c>
      <c r="O739" s="6" t="s">
        <v>20</v>
      </c>
      <c r="P739" s="6" t="s">
        <v>20</v>
      </c>
      <c r="Q739" s="6">
        <v>0.14000000000000001</v>
      </c>
      <c r="R739" s="6">
        <v>3.4000000000000002E-2</v>
      </c>
      <c r="S739" s="6">
        <v>0.155</v>
      </c>
      <c r="T739" s="8">
        <v>10</v>
      </c>
      <c r="U739" s="5" t="s">
        <v>994</v>
      </c>
      <c r="V739" s="89">
        <v>0</v>
      </c>
      <c r="W739" s="15">
        <v>17897801319871</v>
      </c>
      <c r="X739" s="6">
        <v>0.255</v>
      </c>
      <c r="Y739" s="6">
        <v>0.255</v>
      </c>
      <c r="Z739" s="6">
        <v>0.33</v>
      </c>
      <c r="AA739" s="6">
        <f t="shared" si="41"/>
        <v>2.1458250000000002E-2</v>
      </c>
      <c r="AB739" s="8">
        <v>640</v>
      </c>
      <c r="AC739" s="15">
        <v>27897801319878</v>
      </c>
      <c r="AD739" s="4" t="s">
        <v>992</v>
      </c>
    </row>
    <row r="740" spans="2:30" x14ac:dyDescent="0.35">
      <c r="B740" s="14">
        <v>1356</v>
      </c>
      <c r="C740" s="4" t="s">
        <v>717</v>
      </c>
      <c r="D740" s="4" t="s">
        <v>2384</v>
      </c>
      <c r="E740" s="4" t="s">
        <v>2912</v>
      </c>
      <c r="F740" s="4" t="s">
        <v>85</v>
      </c>
      <c r="G740" s="4" t="s">
        <v>1014</v>
      </c>
      <c r="H740" s="6">
        <v>4.3099999999999999E-2</v>
      </c>
      <c r="I740" s="8">
        <v>40</v>
      </c>
      <c r="J740" s="8">
        <v>60</v>
      </c>
      <c r="K740" s="8">
        <v>40</v>
      </c>
      <c r="L740" s="8">
        <f t="shared" si="40"/>
        <v>96000</v>
      </c>
      <c r="M740" s="15">
        <v>7897801319881</v>
      </c>
      <c r="N740" s="6" t="s">
        <v>20</v>
      </c>
      <c r="O740" s="6" t="s">
        <v>20</v>
      </c>
      <c r="P740" s="6" t="s">
        <v>20</v>
      </c>
      <c r="Q740" s="6">
        <v>0.19</v>
      </c>
      <c r="R740" s="6">
        <v>4.2999999999999997E-2</v>
      </c>
      <c r="S740" s="6">
        <v>0.14000000000000001</v>
      </c>
      <c r="T740" s="8">
        <v>10</v>
      </c>
      <c r="U740" s="5" t="s">
        <v>994</v>
      </c>
      <c r="V740" s="89">
        <v>0</v>
      </c>
      <c r="W740" s="15">
        <v>17897801319888</v>
      </c>
      <c r="X740" s="6">
        <v>0.255</v>
      </c>
      <c r="Y740" s="6">
        <v>0.255</v>
      </c>
      <c r="Z740" s="6">
        <v>0.33</v>
      </c>
      <c r="AA740" s="6">
        <f t="shared" si="41"/>
        <v>2.1458250000000002E-2</v>
      </c>
      <c r="AB740" s="8">
        <v>480</v>
      </c>
      <c r="AC740" s="15">
        <v>27897801319885</v>
      </c>
      <c r="AD740" s="4" t="s">
        <v>992</v>
      </c>
    </row>
    <row r="741" spans="2:30" x14ac:dyDescent="0.35">
      <c r="B741" s="14">
        <v>1357</v>
      </c>
      <c r="C741" s="4" t="s">
        <v>718</v>
      </c>
      <c r="D741" s="4" t="s">
        <v>2384</v>
      </c>
      <c r="E741" s="4" t="s">
        <v>2912</v>
      </c>
      <c r="F741" s="4" t="s">
        <v>85</v>
      </c>
      <c r="G741" s="4" t="s">
        <v>993</v>
      </c>
      <c r="H741" s="6">
        <v>7.7999999999999996E-3</v>
      </c>
      <c r="I741" s="8">
        <v>20</v>
      </c>
      <c r="J741" s="8">
        <v>32</v>
      </c>
      <c r="K741" s="8">
        <v>20</v>
      </c>
      <c r="L741" s="8">
        <f t="shared" si="40"/>
        <v>12800</v>
      </c>
      <c r="M741" s="15">
        <v>7897801319898</v>
      </c>
      <c r="N741" s="6" t="s">
        <v>20</v>
      </c>
      <c r="O741" s="6" t="s">
        <v>20</v>
      </c>
      <c r="P741" s="6" t="s">
        <v>20</v>
      </c>
      <c r="Q741" s="6">
        <v>7.4999999999999997E-2</v>
      </c>
      <c r="R741" s="6">
        <v>2.1999999999999999E-2</v>
      </c>
      <c r="S741" s="6">
        <v>0.11</v>
      </c>
      <c r="T741" s="8">
        <v>10</v>
      </c>
      <c r="U741" s="5" t="s">
        <v>994</v>
      </c>
      <c r="V741" s="89">
        <v>0</v>
      </c>
      <c r="W741" s="15">
        <v>17897801319895</v>
      </c>
      <c r="X741" s="6">
        <v>0.76</v>
      </c>
      <c r="Y741" s="6">
        <v>0.2</v>
      </c>
      <c r="Z741" s="6">
        <v>0.49</v>
      </c>
      <c r="AA741" s="6">
        <f t="shared" si="41"/>
        <v>7.4480000000000005E-2</v>
      </c>
      <c r="AB741" s="8">
        <v>2500</v>
      </c>
      <c r="AC741" s="15">
        <v>27897801319892</v>
      </c>
      <c r="AD741" s="4" t="s">
        <v>992</v>
      </c>
    </row>
    <row r="742" spans="2:30" x14ac:dyDescent="0.35">
      <c r="B742" s="14">
        <v>1358</v>
      </c>
      <c r="C742" s="4" t="s">
        <v>719</v>
      </c>
      <c r="D742" s="4" t="s">
        <v>2384</v>
      </c>
      <c r="E742" s="4" t="s">
        <v>2912</v>
      </c>
      <c r="F742" s="4" t="s">
        <v>85</v>
      </c>
      <c r="G742" s="4" t="s">
        <v>993</v>
      </c>
      <c r="H742" s="6">
        <v>1.37E-2</v>
      </c>
      <c r="I742" s="8">
        <v>27</v>
      </c>
      <c r="J742" s="8">
        <v>41</v>
      </c>
      <c r="K742" s="8">
        <v>27</v>
      </c>
      <c r="L742" s="8">
        <f t="shared" si="40"/>
        <v>29889</v>
      </c>
      <c r="M742" s="15">
        <v>7897801319904</v>
      </c>
      <c r="N742" s="6" t="s">
        <v>20</v>
      </c>
      <c r="O742" s="6" t="s">
        <v>20</v>
      </c>
      <c r="P742" s="6" t="s">
        <v>20</v>
      </c>
      <c r="Q742" s="6">
        <v>0.115</v>
      </c>
      <c r="R742" s="6">
        <v>2.8000000000000001E-2</v>
      </c>
      <c r="S742" s="6">
        <v>0.125</v>
      </c>
      <c r="T742" s="8">
        <v>10</v>
      </c>
      <c r="U742" s="5" t="s">
        <v>994</v>
      </c>
      <c r="V742" s="89">
        <v>0</v>
      </c>
      <c r="W742" s="15">
        <v>17897801319901</v>
      </c>
      <c r="X742" s="6">
        <v>0.75</v>
      </c>
      <c r="Y742" s="6">
        <v>0.18</v>
      </c>
      <c r="Z742" s="6">
        <v>0.5</v>
      </c>
      <c r="AA742" s="6">
        <f t="shared" si="41"/>
        <v>6.7500000000000004E-2</v>
      </c>
      <c r="AB742" s="8">
        <v>1000</v>
      </c>
      <c r="AC742" s="15">
        <v>27897801319908</v>
      </c>
      <c r="AD742" s="4" t="s">
        <v>992</v>
      </c>
    </row>
    <row r="743" spans="2:30" x14ac:dyDescent="0.35">
      <c r="B743" s="14">
        <v>1359</v>
      </c>
      <c r="C743" s="4" t="s">
        <v>720</v>
      </c>
      <c r="D743" s="4" t="s">
        <v>2384</v>
      </c>
      <c r="E743" s="4" t="s">
        <v>2912</v>
      </c>
      <c r="F743" s="4" t="s">
        <v>85</v>
      </c>
      <c r="G743" s="4" t="s">
        <v>993</v>
      </c>
      <c r="H743" s="6">
        <v>2.3300000000000001E-2</v>
      </c>
      <c r="I743" s="8">
        <v>34</v>
      </c>
      <c r="J743" s="8">
        <v>52</v>
      </c>
      <c r="K743" s="8">
        <v>34</v>
      </c>
      <c r="L743" s="8">
        <f t="shared" si="40"/>
        <v>60112</v>
      </c>
      <c r="M743" s="15">
        <v>7897801319911</v>
      </c>
      <c r="N743" s="6" t="s">
        <v>20</v>
      </c>
      <c r="O743" s="6" t="s">
        <v>20</v>
      </c>
      <c r="P743" s="6" t="s">
        <v>20</v>
      </c>
      <c r="Q743" s="6">
        <v>0.15</v>
      </c>
      <c r="R743" s="6">
        <v>3.5999999999999997E-2</v>
      </c>
      <c r="S743" s="6">
        <v>0.18</v>
      </c>
      <c r="T743" s="8">
        <v>10</v>
      </c>
      <c r="U743" s="5" t="s">
        <v>994</v>
      </c>
      <c r="V743" s="89">
        <v>0</v>
      </c>
      <c r="W743" s="15">
        <v>17897801319918</v>
      </c>
      <c r="X743" s="6">
        <v>0.75</v>
      </c>
      <c r="Y743" s="6">
        <v>0.19</v>
      </c>
      <c r="Z743" s="6">
        <v>0.49</v>
      </c>
      <c r="AA743" s="6">
        <f t="shared" si="41"/>
        <v>6.9825000000000012E-2</v>
      </c>
      <c r="AB743" s="8">
        <v>600</v>
      </c>
      <c r="AC743" s="15">
        <v>27897801319915</v>
      </c>
      <c r="AD743" s="4" t="s">
        <v>992</v>
      </c>
    </row>
    <row r="744" spans="2:30" x14ac:dyDescent="0.35">
      <c r="B744" s="14">
        <v>1360</v>
      </c>
      <c r="C744" s="4" t="s">
        <v>721</v>
      </c>
      <c r="D744" s="4" t="s">
        <v>2384</v>
      </c>
      <c r="E744" s="4" t="s">
        <v>2912</v>
      </c>
      <c r="F744" s="4" t="s">
        <v>85</v>
      </c>
      <c r="G744" s="4" t="s">
        <v>1014</v>
      </c>
      <c r="H744" s="6">
        <v>1.03E-2</v>
      </c>
      <c r="I744" s="8">
        <v>27</v>
      </c>
      <c r="J744" s="8">
        <v>31.5</v>
      </c>
      <c r="K744" s="8">
        <v>27</v>
      </c>
      <c r="L744" s="8">
        <f t="shared" si="40"/>
        <v>22963.5</v>
      </c>
      <c r="M744" s="15">
        <v>7897801319928</v>
      </c>
      <c r="N744" s="6" t="s">
        <v>20</v>
      </c>
      <c r="O744" s="6" t="s">
        <v>20</v>
      </c>
      <c r="P744" s="6" t="s">
        <v>20</v>
      </c>
      <c r="Q744" s="6">
        <v>0.1</v>
      </c>
      <c r="R744" s="6">
        <v>0.03</v>
      </c>
      <c r="S744" s="6">
        <v>0.95</v>
      </c>
      <c r="T744" s="8">
        <v>10</v>
      </c>
      <c r="U744" s="5" t="s">
        <v>994</v>
      </c>
      <c r="V744" s="89">
        <v>0</v>
      </c>
      <c r="W744" s="15">
        <v>17897801319925</v>
      </c>
      <c r="X744" s="6">
        <v>0.255</v>
      </c>
      <c r="Y744" s="6">
        <v>0.255</v>
      </c>
      <c r="Z744" s="6">
        <v>0.33</v>
      </c>
      <c r="AA744" s="6">
        <f t="shared" si="41"/>
        <v>2.1458250000000002E-2</v>
      </c>
      <c r="AB744" s="8">
        <v>2000</v>
      </c>
      <c r="AC744" s="15">
        <v>27897801319922</v>
      </c>
      <c r="AD744" s="4" t="s">
        <v>992</v>
      </c>
    </row>
    <row r="745" spans="2:30" x14ac:dyDescent="0.35">
      <c r="B745" s="14">
        <v>1361</v>
      </c>
      <c r="C745" s="4" t="s">
        <v>722</v>
      </c>
      <c r="D745" s="4" t="s">
        <v>2384</v>
      </c>
      <c r="E745" s="4" t="s">
        <v>2912</v>
      </c>
      <c r="F745" s="4" t="s">
        <v>85</v>
      </c>
      <c r="G745" s="4" t="s">
        <v>1014</v>
      </c>
      <c r="H745" s="6">
        <v>1.6400000000000001E-2</v>
      </c>
      <c r="I745" s="8">
        <v>32.5</v>
      </c>
      <c r="J745" s="8">
        <v>33.9</v>
      </c>
      <c r="K745" s="8">
        <v>32.5</v>
      </c>
      <c r="L745" s="8">
        <f t="shared" si="40"/>
        <v>35806.875</v>
      </c>
      <c r="M745" s="15">
        <v>7897801319935</v>
      </c>
      <c r="N745" s="6" t="s">
        <v>20</v>
      </c>
      <c r="O745" s="6" t="s">
        <v>20</v>
      </c>
      <c r="P745" s="6" t="s">
        <v>20</v>
      </c>
      <c r="Q745" s="6">
        <v>0.12</v>
      </c>
      <c r="R745" s="6">
        <v>3.5000000000000003E-2</v>
      </c>
      <c r="S745" s="6">
        <v>0.13</v>
      </c>
      <c r="T745" s="8">
        <v>10</v>
      </c>
      <c r="U745" s="5" t="s">
        <v>994</v>
      </c>
      <c r="V745" s="89">
        <v>0</v>
      </c>
      <c r="W745" s="15">
        <v>17897801319932</v>
      </c>
      <c r="X745" s="6">
        <v>0.255</v>
      </c>
      <c r="Y745" s="6">
        <v>0.255</v>
      </c>
      <c r="Z745" s="6">
        <v>0.33</v>
      </c>
      <c r="AA745" s="6">
        <f t="shared" si="41"/>
        <v>2.1458250000000002E-2</v>
      </c>
      <c r="AB745" s="8">
        <v>1200</v>
      </c>
      <c r="AC745" s="15">
        <v>27897801319939</v>
      </c>
      <c r="AD745" s="4" t="s">
        <v>992</v>
      </c>
    </row>
    <row r="746" spans="2:30" x14ac:dyDescent="0.35">
      <c r="B746" s="14">
        <v>1362</v>
      </c>
      <c r="C746" s="4" t="s">
        <v>723</v>
      </c>
      <c r="D746" s="4" t="s">
        <v>2384</v>
      </c>
      <c r="E746" s="4" t="s">
        <v>2912</v>
      </c>
      <c r="F746" s="4" t="s">
        <v>85</v>
      </c>
      <c r="G746" s="4" t="s">
        <v>1014</v>
      </c>
      <c r="H746" s="6">
        <v>3.4799999999999998E-2</v>
      </c>
      <c r="I746" s="8">
        <v>35</v>
      </c>
      <c r="J746" s="8">
        <v>33</v>
      </c>
      <c r="K746" s="8">
        <v>35</v>
      </c>
      <c r="L746" s="8">
        <f t="shared" si="40"/>
        <v>40425</v>
      </c>
      <c r="M746" s="15">
        <v>7897801319942</v>
      </c>
      <c r="N746" s="6" t="s">
        <v>20</v>
      </c>
      <c r="O746" s="6" t="s">
        <v>20</v>
      </c>
      <c r="P746" s="6" t="s">
        <v>20</v>
      </c>
      <c r="Q746" s="6">
        <v>0.11</v>
      </c>
      <c r="R746" s="6">
        <v>3.6999999999999998E-2</v>
      </c>
      <c r="S746" s="6">
        <v>0.12</v>
      </c>
      <c r="T746" s="8">
        <v>10</v>
      </c>
      <c r="U746" s="5" t="s">
        <v>994</v>
      </c>
      <c r="V746" s="89">
        <v>0</v>
      </c>
      <c r="W746" s="15">
        <v>17897801319949</v>
      </c>
      <c r="X746" s="6">
        <v>0.22500000000000001</v>
      </c>
      <c r="Y746" s="6">
        <v>0.26</v>
      </c>
      <c r="Z746" s="6">
        <v>0.30499999999999999</v>
      </c>
      <c r="AA746" s="6">
        <f t="shared" si="41"/>
        <v>1.7842500000000001E-2</v>
      </c>
      <c r="AB746" s="8">
        <v>420</v>
      </c>
      <c r="AC746" s="15">
        <v>27897801319946</v>
      </c>
      <c r="AD746" s="4" t="s">
        <v>992</v>
      </c>
    </row>
    <row r="747" spans="2:30" x14ac:dyDescent="0.35">
      <c r="B747" s="14">
        <v>1363</v>
      </c>
      <c r="C747" s="4" t="s">
        <v>724</v>
      </c>
      <c r="D747" s="4" t="s">
        <v>2384</v>
      </c>
      <c r="E747" s="4" t="s">
        <v>2912</v>
      </c>
      <c r="F747" s="4" t="s">
        <v>85</v>
      </c>
      <c r="G747" s="4" t="s">
        <v>1014</v>
      </c>
      <c r="H747" s="6">
        <v>3.9E-2</v>
      </c>
      <c r="I747" s="8">
        <v>35</v>
      </c>
      <c r="J747" s="8">
        <v>38</v>
      </c>
      <c r="K747" s="8">
        <v>35</v>
      </c>
      <c r="L747" s="8">
        <f t="shared" si="40"/>
        <v>46550</v>
      </c>
      <c r="M747" s="15">
        <v>7897801319959</v>
      </c>
      <c r="N747" s="6" t="s">
        <v>20</v>
      </c>
      <c r="O747" s="6" t="s">
        <v>20</v>
      </c>
      <c r="P747" s="6" t="s">
        <v>20</v>
      </c>
      <c r="Q747" s="6">
        <v>0.12</v>
      </c>
      <c r="R747" s="6">
        <v>0.04</v>
      </c>
      <c r="S747" s="6">
        <v>0.13</v>
      </c>
      <c r="T747" s="8">
        <v>10</v>
      </c>
      <c r="U747" s="5" t="s">
        <v>994</v>
      </c>
      <c r="V747" s="89">
        <v>0</v>
      </c>
      <c r="W747" s="15">
        <v>17897801319956</v>
      </c>
      <c r="X747" s="6">
        <v>0.22500000000000001</v>
      </c>
      <c r="Y747" s="6">
        <v>0.26</v>
      </c>
      <c r="Z747" s="6">
        <v>0.30499999999999999</v>
      </c>
      <c r="AA747" s="6">
        <f t="shared" si="41"/>
        <v>1.7842500000000001E-2</v>
      </c>
      <c r="AB747" s="8">
        <v>280</v>
      </c>
      <c r="AC747" s="15">
        <v>27897801319953</v>
      </c>
      <c r="AD747" s="4" t="s">
        <v>992</v>
      </c>
    </row>
    <row r="748" spans="2:30" x14ac:dyDescent="0.35">
      <c r="B748" s="14">
        <v>1364</v>
      </c>
      <c r="C748" s="4" t="s">
        <v>725</v>
      </c>
      <c r="D748" s="4" t="s">
        <v>2384</v>
      </c>
      <c r="E748" s="4" t="s">
        <v>2912</v>
      </c>
      <c r="F748" s="4" t="s">
        <v>85</v>
      </c>
      <c r="G748" s="4" t="s">
        <v>1014</v>
      </c>
      <c r="H748" s="6">
        <v>5.45E-2</v>
      </c>
      <c r="I748" s="8">
        <v>40</v>
      </c>
      <c r="J748" s="8">
        <v>40</v>
      </c>
      <c r="K748" s="8">
        <v>40</v>
      </c>
      <c r="L748" s="8">
        <f t="shared" si="40"/>
        <v>64000</v>
      </c>
      <c r="M748" s="15">
        <v>7897801319966</v>
      </c>
      <c r="N748" s="6" t="s">
        <v>20</v>
      </c>
      <c r="O748" s="6" t="s">
        <v>20</v>
      </c>
      <c r="P748" s="6" t="s">
        <v>20</v>
      </c>
      <c r="Q748" s="6">
        <v>0.14000000000000001</v>
      </c>
      <c r="R748" s="6">
        <v>4.4999999999999998E-2</v>
      </c>
      <c r="S748" s="6">
        <v>0.14000000000000001</v>
      </c>
      <c r="T748" s="8">
        <v>10</v>
      </c>
      <c r="U748" s="5" t="s">
        <v>994</v>
      </c>
      <c r="V748" s="89">
        <v>0</v>
      </c>
      <c r="W748" s="15">
        <v>17897801319963</v>
      </c>
      <c r="X748" s="6">
        <v>0.22500000000000001</v>
      </c>
      <c r="Y748" s="6">
        <v>0.26</v>
      </c>
      <c r="Z748" s="6">
        <v>0.30499999999999999</v>
      </c>
      <c r="AA748" s="6">
        <f t="shared" si="41"/>
        <v>1.7842500000000001E-2</v>
      </c>
      <c r="AB748" s="8">
        <v>200</v>
      </c>
      <c r="AC748" s="15">
        <v>27897801319960</v>
      </c>
      <c r="AD748" s="4" t="s">
        <v>992</v>
      </c>
    </row>
    <row r="749" spans="2:30" x14ac:dyDescent="0.35">
      <c r="B749" s="14">
        <v>1365</v>
      </c>
      <c r="C749" s="4" t="s">
        <v>726</v>
      </c>
      <c r="D749" s="4" t="s">
        <v>2384</v>
      </c>
      <c r="E749" s="4" t="s">
        <v>2912</v>
      </c>
      <c r="F749" s="4" t="s">
        <v>85</v>
      </c>
      <c r="G749" s="4" t="s">
        <v>1014</v>
      </c>
      <c r="H749" s="6">
        <v>9.0700000000000003E-2</v>
      </c>
      <c r="I749" s="8">
        <v>50</v>
      </c>
      <c r="J749" s="8">
        <v>48</v>
      </c>
      <c r="K749" s="8">
        <v>50</v>
      </c>
      <c r="L749" s="8">
        <f t="shared" si="40"/>
        <v>120000</v>
      </c>
      <c r="M749" s="15">
        <v>7897801319973</v>
      </c>
      <c r="N749" s="6" t="s">
        <v>20</v>
      </c>
      <c r="O749" s="6" t="s">
        <v>20</v>
      </c>
      <c r="P749" s="6" t="s">
        <v>20</v>
      </c>
      <c r="Q749" s="6">
        <v>0.18</v>
      </c>
      <c r="R749" s="6">
        <v>5.5E-2</v>
      </c>
      <c r="S749" s="6">
        <v>0.18</v>
      </c>
      <c r="T749" s="8">
        <v>10</v>
      </c>
      <c r="U749" s="5" t="s">
        <v>994</v>
      </c>
      <c r="V749" s="89">
        <v>0</v>
      </c>
      <c r="W749" s="15">
        <v>17897801319970</v>
      </c>
      <c r="X749" s="6">
        <v>0.22500000000000001</v>
      </c>
      <c r="Y749" s="6">
        <v>0.26</v>
      </c>
      <c r="Z749" s="6">
        <v>0.30499999999999999</v>
      </c>
      <c r="AA749" s="6">
        <f t="shared" si="41"/>
        <v>1.7842500000000001E-2</v>
      </c>
      <c r="AB749" s="8">
        <v>110</v>
      </c>
      <c r="AC749" s="15">
        <v>27897801319977</v>
      </c>
      <c r="AD749" s="4" t="s">
        <v>992</v>
      </c>
    </row>
    <row r="750" spans="2:30" x14ac:dyDescent="0.35">
      <c r="B750" s="14">
        <v>1366</v>
      </c>
      <c r="C750" s="4" t="s">
        <v>727</v>
      </c>
      <c r="D750" s="4" t="s">
        <v>2384</v>
      </c>
      <c r="E750" s="4" t="s">
        <v>2912</v>
      </c>
      <c r="F750" s="4" t="s">
        <v>85</v>
      </c>
      <c r="G750" s="4" t="s">
        <v>993</v>
      </c>
      <c r="H750" s="6">
        <v>1.61E-2</v>
      </c>
      <c r="I750" s="8">
        <v>20</v>
      </c>
      <c r="J750" s="8">
        <v>34.5</v>
      </c>
      <c r="K750" s="8">
        <v>48.5</v>
      </c>
      <c r="L750" s="8">
        <f t="shared" ref="L750:L774" si="42">J750*I750*K750</f>
        <v>33465</v>
      </c>
      <c r="M750" s="15">
        <v>7897801319980</v>
      </c>
      <c r="N750" s="6" t="s">
        <v>20</v>
      </c>
      <c r="O750" s="6" t="s">
        <v>20</v>
      </c>
      <c r="P750" s="6" t="s">
        <v>20</v>
      </c>
      <c r="Q750" s="6">
        <v>14</v>
      </c>
      <c r="R750" s="6">
        <v>2.1000000000000001E-2</v>
      </c>
      <c r="S750" s="6">
        <v>0.13500000000000001</v>
      </c>
      <c r="T750" s="8">
        <v>10</v>
      </c>
      <c r="U750" s="5" t="s">
        <v>994</v>
      </c>
      <c r="V750" s="89">
        <v>0</v>
      </c>
      <c r="W750" s="15">
        <v>17897801319987</v>
      </c>
      <c r="X750" s="6">
        <v>0.72</v>
      </c>
      <c r="Y750" s="6">
        <v>0.19</v>
      </c>
      <c r="Z750" s="6">
        <v>0.49</v>
      </c>
      <c r="AA750" s="6">
        <f t="shared" ref="AA750:AA774" si="43">Y750*X750*Z750</f>
        <v>6.7031999999999994E-2</v>
      </c>
      <c r="AB750" s="8">
        <v>1200</v>
      </c>
      <c r="AC750" s="15">
        <v>27897801319984</v>
      </c>
      <c r="AD750" s="4" t="s">
        <v>992</v>
      </c>
    </row>
    <row r="751" spans="2:30" x14ac:dyDescent="0.35">
      <c r="B751" s="14">
        <v>1367</v>
      </c>
      <c r="C751" s="4" t="s">
        <v>728</v>
      </c>
      <c r="D751" s="4" t="s">
        <v>2384</v>
      </c>
      <c r="E751" s="4" t="s">
        <v>2912</v>
      </c>
      <c r="F751" s="4" t="s">
        <v>85</v>
      </c>
      <c r="G751" s="4" t="s">
        <v>993</v>
      </c>
      <c r="H751" s="6">
        <v>3.2000000000000001E-2</v>
      </c>
      <c r="I751" s="8">
        <v>27</v>
      </c>
      <c r="J751" s="8">
        <v>65</v>
      </c>
      <c r="K751" s="8">
        <v>48</v>
      </c>
      <c r="L751" s="8">
        <f t="shared" si="42"/>
        <v>84240</v>
      </c>
      <c r="M751" s="15">
        <v>7897801319997</v>
      </c>
      <c r="N751" s="6" t="s">
        <v>20</v>
      </c>
      <c r="O751" s="6" t="s">
        <v>20</v>
      </c>
      <c r="P751" s="6" t="s">
        <v>20</v>
      </c>
      <c r="Q751" s="6">
        <v>0.18</v>
      </c>
      <c r="R751" s="6">
        <v>2.8000000000000001E-2</v>
      </c>
      <c r="S751" s="6">
        <v>0.18</v>
      </c>
      <c r="T751" s="8">
        <v>10</v>
      </c>
      <c r="U751" s="5" t="s">
        <v>994</v>
      </c>
      <c r="V751" s="89">
        <v>0</v>
      </c>
      <c r="W751" s="15">
        <v>17897801319994</v>
      </c>
      <c r="X751" s="6">
        <v>0.72</v>
      </c>
      <c r="Y751" s="6">
        <v>0.17</v>
      </c>
      <c r="Z751" s="6">
        <v>0.47</v>
      </c>
      <c r="AA751" s="6">
        <f t="shared" si="43"/>
        <v>5.7528000000000003E-2</v>
      </c>
      <c r="AB751" s="8">
        <v>500</v>
      </c>
      <c r="AC751" s="15">
        <v>27897801319991</v>
      </c>
      <c r="AD751" s="4" t="s">
        <v>992</v>
      </c>
    </row>
    <row r="752" spans="2:30" x14ac:dyDescent="0.35">
      <c r="B752" s="14">
        <v>1368</v>
      </c>
      <c r="C752" s="4" t="s">
        <v>729</v>
      </c>
      <c r="D752" s="4" t="s">
        <v>2384</v>
      </c>
      <c r="E752" s="4" t="s">
        <v>2912</v>
      </c>
      <c r="F752" s="4" t="s">
        <v>85</v>
      </c>
      <c r="G752" s="4" t="s">
        <v>993</v>
      </c>
      <c r="H752" s="6">
        <v>5.5E-2</v>
      </c>
      <c r="I752" s="8">
        <v>34</v>
      </c>
      <c r="J752" s="8">
        <v>81</v>
      </c>
      <c r="K752" s="8">
        <v>58</v>
      </c>
      <c r="L752" s="8">
        <f t="shared" si="42"/>
        <v>159732</v>
      </c>
      <c r="M752" s="15">
        <v>7897801320009</v>
      </c>
      <c r="N752" s="6" t="s">
        <v>20</v>
      </c>
      <c r="O752" s="6" t="s">
        <v>20</v>
      </c>
      <c r="P752" s="6" t="s">
        <v>20</v>
      </c>
      <c r="Q752" s="6">
        <v>0.23</v>
      </c>
      <c r="R752" s="6">
        <v>3.5999999999999997E-2</v>
      </c>
      <c r="S752" s="6">
        <v>0.23</v>
      </c>
      <c r="T752" s="8">
        <v>10</v>
      </c>
      <c r="U752" s="5" t="s">
        <v>994</v>
      </c>
      <c r="V752" s="89">
        <v>0</v>
      </c>
      <c r="W752" s="15">
        <v>17897801320006</v>
      </c>
      <c r="X752" s="6">
        <v>0.72</v>
      </c>
      <c r="Y752" s="6">
        <v>0.19</v>
      </c>
      <c r="Z752" s="6">
        <v>0.49</v>
      </c>
      <c r="AA752" s="6">
        <f t="shared" si="43"/>
        <v>6.7031999999999994E-2</v>
      </c>
      <c r="AB752" s="8">
        <v>250</v>
      </c>
      <c r="AC752" s="15">
        <v>27897801320003</v>
      </c>
      <c r="AD752" s="4" t="s">
        <v>992</v>
      </c>
    </row>
    <row r="753" spans="2:30" x14ac:dyDescent="0.35">
      <c r="B753" s="14">
        <v>1369</v>
      </c>
      <c r="C753" s="4" t="s">
        <v>730</v>
      </c>
      <c r="D753" s="4" t="s">
        <v>2384</v>
      </c>
      <c r="E753" s="4" t="s">
        <v>2912</v>
      </c>
      <c r="F753" s="4" t="s">
        <v>85</v>
      </c>
      <c r="G753" s="4" t="s">
        <v>1014</v>
      </c>
      <c r="H753" s="6">
        <v>0.1191</v>
      </c>
      <c r="I753" s="8">
        <v>132</v>
      </c>
      <c r="J753" s="8">
        <v>81.5</v>
      </c>
      <c r="K753" s="8">
        <v>32</v>
      </c>
      <c r="L753" s="8">
        <f t="shared" si="42"/>
        <v>344256</v>
      </c>
      <c r="M753" s="15">
        <v>7897801320016</v>
      </c>
      <c r="N753" s="6" t="s">
        <v>20</v>
      </c>
      <c r="O753" s="6" t="s">
        <v>20</v>
      </c>
      <c r="P753" s="6" t="s">
        <v>20</v>
      </c>
      <c r="Q753" s="6">
        <v>0.26</v>
      </c>
      <c r="R753" s="6">
        <v>7.0000000000000007E-2</v>
      </c>
      <c r="S753" s="6">
        <v>0.23</v>
      </c>
      <c r="T753" s="8">
        <v>10</v>
      </c>
      <c r="U753" s="5" t="s">
        <v>994</v>
      </c>
      <c r="V753" s="89">
        <v>0</v>
      </c>
      <c r="W753" s="15">
        <v>17897801320013</v>
      </c>
      <c r="X753" s="6">
        <v>0.255</v>
      </c>
      <c r="Y753" s="6">
        <v>0.255</v>
      </c>
      <c r="Z753" s="6">
        <v>0.33</v>
      </c>
      <c r="AA753" s="6">
        <f t="shared" si="43"/>
        <v>2.1458250000000002E-2</v>
      </c>
      <c r="AB753" s="8">
        <v>70</v>
      </c>
      <c r="AC753" s="15">
        <v>27897801320010</v>
      </c>
      <c r="AD753" s="4" t="s">
        <v>992</v>
      </c>
    </row>
    <row r="754" spans="2:30" x14ac:dyDescent="0.35">
      <c r="B754" s="14">
        <v>1370</v>
      </c>
      <c r="C754" s="4" t="s">
        <v>731</v>
      </c>
      <c r="D754" s="4" t="s">
        <v>2384</v>
      </c>
      <c r="E754" s="4" t="s">
        <v>2912</v>
      </c>
      <c r="F754" s="4" t="s">
        <v>85</v>
      </c>
      <c r="G754" s="4" t="s">
        <v>1014</v>
      </c>
      <c r="H754" s="6">
        <v>0.17019999999999999</v>
      </c>
      <c r="I754" s="8">
        <v>132</v>
      </c>
      <c r="J754" s="8">
        <v>85.5</v>
      </c>
      <c r="K754" s="8">
        <v>39.5</v>
      </c>
      <c r="L754" s="8">
        <f t="shared" si="42"/>
        <v>445797</v>
      </c>
      <c r="M754" s="15">
        <v>7897801320023</v>
      </c>
      <c r="N754" s="6" t="s">
        <v>20</v>
      </c>
      <c r="O754" s="6" t="s">
        <v>20</v>
      </c>
      <c r="P754" s="6" t="s">
        <v>20</v>
      </c>
      <c r="Q754" s="6">
        <v>0.28000000000000003</v>
      </c>
      <c r="R754" s="6">
        <v>0.09</v>
      </c>
      <c r="S754" s="6">
        <v>0.23</v>
      </c>
      <c r="T754" s="8">
        <v>10</v>
      </c>
      <c r="U754" s="5" t="s">
        <v>994</v>
      </c>
      <c r="V754" s="89">
        <v>0</v>
      </c>
      <c r="W754" s="15">
        <v>17897801320020</v>
      </c>
      <c r="X754" s="6">
        <v>0.255</v>
      </c>
      <c r="Y754" s="6">
        <v>0.255</v>
      </c>
      <c r="Z754" s="6">
        <v>0.33</v>
      </c>
      <c r="AA754" s="6">
        <f t="shared" si="43"/>
        <v>2.1458250000000002E-2</v>
      </c>
      <c r="AB754" s="8">
        <v>50</v>
      </c>
      <c r="AC754" s="15">
        <v>27897801320027</v>
      </c>
      <c r="AD754" s="4" t="s">
        <v>992</v>
      </c>
    </row>
    <row r="755" spans="2:30" x14ac:dyDescent="0.35">
      <c r="B755" s="14">
        <v>1371</v>
      </c>
      <c r="C755" s="4" t="s">
        <v>732</v>
      </c>
      <c r="D755" s="4" t="s">
        <v>2384</v>
      </c>
      <c r="E755" s="4" t="s">
        <v>2912</v>
      </c>
      <c r="F755" s="4" t="s">
        <v>85</v>
      </c>
      <c r="G755" s="4" t="s">
        <v>993</v>
      </c>
      <c r="H755" s="6">
        <v>2.5399999999999999E-2</v>
      </c>
      <c r="I755" s="8">
        <v>27</v>
      </c>
      <c r="J755" s="8">
        <v>65</v>
      </c>
      <c r="K755" s="8">
        <v>41.5</v>
      </c>
      <c r="L755" s="8">
        <f t="shared" si="42"/>
        <v>72832.5</v>
      </c>
      <c r="M755" s="15">
        <v>7897801320030</v>
      </c>
      <c r="N755" s="6" t="s">
        <v>20</v>
      </c>
      <c r="O755" s="6" t="s">
        <v>20</v>
      </c>
      <c r="P755" s="6" t="s">
        <v>20</v>
      </c>
      <c r="Q755" s="6">
        <v>0.15</v>
      </c>
      <c r="R755" s="6">
        <v>3.2000000000000001E-2</v>
      </c>
      <c r="S755" s="6">
        <v>0.18</v>
      </c>
      <c r="T755" s="8">
        <v>10</v>
      </c>
      <c r="U755" s="5" t="s">
        <v>994</v>
      </c>
      <c r="V755" s="89">
        <v>0</v>
      </c>
      <c r="W755" s="15">
        <v>17897801320037</v>
      </c>
      <c r="X755" s="6">
        <v>0.72</v>
      </c>
      <c r="Y755" s="6">
        <v>0.17</v>
      </c>
      <c r="Z755" s="6">
        <v>0.47</v>
      </c>
      <c r="AA755" s="6">
        <f t="shared" si="43"/>
        <v>5.7528000000000003E-2</v>
      </c>
      <c r="AB755" s="8">
        <v>700</v>
      </c>
      <c r="AC755" s="15">
        <v>27897801320034</v>
      </c>
      <c r="AD755" s="4" t="s">
        <v>992</v>
      </c>
    </row>
    <row r="756" spans="2:30" x14ac:dyDescent="0.35">
      <c r="B756" s="14">
        <v>1372</v>
      </c>
      <c r="C756" s="4" t="s">
        <v>733</v>
      </c>
      <c r="D756" s="4" t="s">
        <v>2384</v>
      </c>
      <c r="E756" s="4" t="s">
        <v>2912</v>
      </c>
      <c r="F756" s="4" t="s">
        <v>85</v>
      </c>
      <c r="G756" s="4" t="s">
        <v>993</v>
      </c>
      <c r="H756" s="6">
        <v>4.5999999999999999E-2</v>
      </c>
      <c r="I756" s="8">
        <v>34</v>
      </c>
      <c r="J756" s="8">
        <v>81</v>
      </c>
      <c r="K756" s="8">
        <v>48</v>
      </c>
      <c r="L756" s="8">
        <f t="shared" si="42"/>
        <v>132192</v>
      </c>
      <c r="M756" s="15">
        <v>7897801320047</v>
      </c>
      <c r="N756" s="6" t="s">
        <v>20</v>
      </c>
      <c r="O756" s="6" t="s">
        <v>20</v>
      </c>
      <c r="P756" s="6" t="s">
        <v>20</v>
      </c>
      <c r="Q756" s="6">
        <v>0.2</v>
      </c>
      <c r="R756" s="6">
        <v>0.06</v>
      </c>
      <c r="S756" s="6">
        <v>0.17</v>
      </c>
      <c r="T756" s="8">
        <v>10</v>
      </c>
      <c r="U756" s="5" t="s">
        <v>994</v>
      </c>
      <c r="V756" s="89">
        <v>0</v>
      </c>
      <c r="W756" s="15">
        <v>17897801320044</v>
      </c>
      <c r="X756" s="6">
        <v>0.72</v>
      </c>
      <c r="Y756" s="6">
        <v>0.19</v>
      </c>
      <c r="Z756" s="6">
        <v>0.49</v>
      </c>
      <c r="AA756" s="6">
        <f t="shared" si="43"/>
        <v>6.7031999999999994E-2</v>
      </c>
      <c r="AB756" s="8">
        <v>300</v>
      </c>
      <c r="AC756" s="15">
        <v>27897801320041</v>
      </c>
      <c r="AD756" s="4" t="s">
        <v>992</v>
      </c>
    </row>
    <row r="757" spans="2:30" x14ac:dyDescent="0.35">
      <c r="B757" s="14">
        <v>1373</v>
      </c>
      <c r="C757" s="4" t="s">
        <v>734</v>
      </c>
      <c r="D757" s="4" t="s">
        <v>2384</v>
      </c>
      <c r="E757" s="4" t="s">
        <v>2912</v>
      </c>
      <c r="F757" s="4" t="s">
        <v>85</v>
      </c>
      <c r="G757" s="4" t="s">
        <v>993</v>
      </c>
      <c r="H757" s="6">
        <v>4.7699999999999999E-2</v>
      </c>
      <c r="I757" s="8">
        <v>34</v>
      </c>
      <c r="J757" s="8">
        <v>81</v>
      </c>
      <c r="K757" s="8">
        <v>50</v>
      </c>
      <c r="L757" s="8">
        <f t="shared" si="42"/>
        <v>137700</v>
      </c>
      <c r="M757" s="15">
        <v>7897801320054</v>
      </c>
      <c r="N757" s="6" t="s">
        <v>20</v>
      </c>
      <c r="O757" s="6" t="s">
        <v>20</v>
      </c>
      <c r="P757" s="6" t="s">
        <v>20</v>
      </c>
      <c r="Q757" s="6">
        <v>0.2</v>
      </c>
      <c r="R757" s="6">
        <v>0.06</v>
      </c>
      <c r="S757" s="6">
        <v>0.17</v>
      </c>
      <c r="T757" s="8">
        <v>10</v>
      </c>
      <c r="U757" s="5" t="s">
        <v>994</v>
      </c>
      <c r="V757" s="89">
        <v>0</v>
      </c>
      <c r="W757" s="15">
        <v>17897801320051</v>
      </c>
      <c r="X757" s="6">
        <v>0.72</v>
      </c>
      <c r="Y757" s="6">
        <v>0.19</v>
      </c>
      <c r="Z757" s="6">
        <v>0.49</v>
      </c>
      <c r="AA757" s="6">
        <f t="shared" si="43"/>
        <v>6.7031999999999994E-2</v>
      </c>
      <c r="AB757" s="8">
        <v>300</v>
      </c>
      <c r="AC757" s="15">
        <v>27897801320058</v>
      </c>
      <c r="AD757" s="4" t="s">
        <v>992</v>
      </c>
    </row>
    <row r="758" spans="2:30" x14ac:dyDescent="0.35">
      <c r="B758" s="14">
        <v>1374</v>
      </c>
      <c r="C758" s="4" t="s">
        <v>735</v>
      </c>
      <c r="D758" s="4" t="s">
        <v>2384</v>
      </c>
      <c r="E758" s="4" t="s">
        <v>2912</v>
      </c>
      <c r="F758" s="4" t="s">
        <v>85</v>
      </c>
      <c r="G758" s="4" t="s">
        <v>1014</v>
      </c>
      <c r="H758" s="6">
        <v>4.7E-2</v>
      </c>
      <c r="I758" s="8">
        <v>35</v>
      </c>
      <c r="J758" s="8">
        <v>52</v>
      </c>
      <c r="K758" s="8">
        <v>39</v>
      </c>
      <c r="L758" s="8">
        <f t="shared" si="42"/>
        <v>70980</v>
      </c>
      <c r="M758" s="15">
        <v>7897801320061</v>
      </c>
      <c r="N758" s="6">
        <v>5.1999999999999998E-2</v>
      </c>
      <c r="O758" s="6">
        <v>3.5000000000000003E-2</v>
      </c>
      <c r="P758" s="6">
        <v>3.9E-2</v>
      </c>
      <c r="Q758" s="6">
        <v>0.14000000000000001</v>
      </c>
      <c r="R758" s="6">
        <v>4.2000000000000003E-2</v>
      </c>
      <c r="S758" s="6">
        <v>0.15</v>
      </c>
      <c r="T758" s="8">
        <v>10</v>
      </c>
      <c r="U758" s="5" t="s">
        <v>994</v>
      </c>
      <c r="V758" s="89">
        <v>0</v>
      </c>
      <c r="W758" s="15">
        <v>17897801320068</v>
      </c>
      <c r="X758" s="6">
        <v>0.22500000000000001</v>
      </c>
      <c r="Y758" s="6">
        <v>0.26</v>
      </c>
      <c r="Z758" s="6">
        <v>0.30499999999999999</v>
      </c>
      <c r="AA758" s="6">
        <f t="shared" si="43"/>
        <v>1.7842500000000001E-2</v>
      </c>
      <c r="AB758" s="8">
        <v>200</v>
      </c>
      <c r="AC758" s="15">
        <v>27897801320065</v>
      </c>
      <c r="AD758" s="4" t="s">
        <v>992</v>
      </c>
    </row>
    <row r="759" spans="2:30" x14ac:dyDescent="0.35">
      <c r="B759" s="14">
        <v>1375</v>
      </c>
      <c r="C759" s="4" t="s">
        <v>736</v>
      </c>
      <c r="D759" s="4" t="s">
        <v>2384</v>
      </c>
      <c r="E759" s="4" t="s">
        <v>2912</v>
      </c>
      <c r="F759" s="4" t="s">
        <v>85</v>
      </c>
      <c r="G759" s="4" t="s">
        <v>1014</v>
      </c>
      <c r="H759" s="6">
        <v>6.1600000000000002E-2</v>
      </c>
      <c r="I759" s="8">
        <v>65</v>
      </c>
      <c r="J759" s="8">
        <v>48</v>
      </c>
      <c r="K759" s="8">
        <v>34</v>
      </c>
      <c r="L759" s="8">
        <f t="shared" si="42"/>
        <v>106080</v>
      </c>
      <c r="M759" s="15">
        <v>7897801320078</v>
      </c>
      <c r="N759" s="6">
        <v>6.4000000000000001E-2</v>
      </c>
      <c r="O759" s="6">
        <v>3.5000000000000003E-2</v>
      </c>
      <c r="P759" s="6">
        <v>4.7E-2</v>
      </c>
      <c r="Q759" s="6">
        <v>0.15</v>
      </c>
      <c r="R759" s="6">
        <v>6.5000000000000002E-2</v>
      </c>
      <c r="S759" s="6">
        <v>0.16</v>
      </c>
      <c r="T759" s="8">
        <v>10</v>
      </c>
      <c r="U759" s="5" t="s">
        <v>994</v>
      </c>
      <c r="V759" s="89">
        <v>0</v>
      </c>
      <c r="W759" s="15">
        <v>17897801320075</v>
      </c>
      <c r="X759" s="6">
        <v>0.24</v>
      </c>
      <c r="Y759" s="6">
        <v>0.26</v>
      </c>
      <c r="Z759" s="6">
        <v>0.31</v>
      </c>
      <c r="AA759" s="6">
        <f t="shared" si="43"/>
        <v>1.9344E-2</v>
      </c>
      <c r="AB759" s="8">
        <v>140</v>
      </c>
      <c r="AC759" s="15">
        <v>27897801320072</v>
      </c>
      <c r="AD759" s="4" t="s">
        <v>992</v>
      </c>
    </row>
    <row r="760" spans="2:30" x14ac:dyDescent="0.35">
      <c r="B760" s="14">
        <v>1376</v>
      </c>
      <c r="C760" s="4" t="s">
        <v>737</v>
      </c>
      <c r="D760" s="4" t="s">
        <v>2384</v>
      </c>
      <c r="E760" s="4" t="s">
        <v>2912</v>
      </c>
      <c r="F760" s="4" t="s">
        <v>85</v>
      </c>
      <c r="G760" s="4" t="s">
        <v>1014</v>
      </c>
      <c r="H760" s="6">
        <v>7.0999999999999994E-2</v>
      </c>
      <c r="I760" s="8">
        <v>43</v>
      </c>
      <c r="J760" s="8">
        <v>64</v>
      </c>
      <c r="K760" s="8">
        <v>48</v>
      </c>
      <c r="L760" s="8">
        <f t="shared" si="42"/>
        <v>132096</v>
      </c>
      <c r="M760" s="15">
        <v>7897801320085</v>
      </c>
      <c r="N760" s="6">
        <v>6.4000000000000001E-2</v>
      </c>
      <c r="O760" s="6">
        <v>4.2999999999999997E-2</v>
      </c>
      <c r="P760" s="6">
        <v>4.8000000000000001E-2</v>
      </c>
      <c r="Q760" s="6">
        <v>0.2</v>
      </c>
      <c r="R760" s="6">
        <v>0.05</v>
      </c>
      <c r="S760" s="6">
        <v>0.18</v>
      </c>
      <c r="T760" s="8">
        <v>10</v>
      </c>
      <c r="U760" s="5" t="s">
        <v>994</v>
      </c>
      <c r="V760" s="89">
        <v>0</v>
      </c>
      <c r="W760" s="15">
        <v>17897801320082</v>
      </c>
      <c r="X760" s="6">
        <v>0.22500000000000001</v>
      </c>
      <c r="Y760" s="6">
        <v>0.26</v>
      </c>
      <c r="Z760" s="6">
        <v>0.30499999999999999</v>
      </c>
      <c r="AA760" s="6">
        <f t="shared" si="43"/>
        <v>1.7842500000000001E-2</v>
      </c>
      <c r="AB760" s="8">
        <v>120</v>
      </c>
      <c r="AC760" s="15">
        <v>27897801320089</v>
      </c>
      <c r="AD760" s="4" t="s">
        <v>992</v>
      </c>
    </row>
    <row r="761" spans="2:30" x14ac:dyDescent="0.35">
      <c r="B761" s="14">
        <v>1377</v>
      </c>
      <c r="C761" s="4" t="s">
        <v>738</v>
      </c>
      <c r="D761" s="4" t="s">
        <v>2384</v>
      </c>
      <c r="E761" s="4" t="s">
        <v>2912</v>
      </c>
      <c r="F761" s="4" t="s">
        <v>85</v>
      </c>
      <c r="G761" s="4" t="s">
        <v>1014</v>
      </c>
      <c r="H761" s="6">
        <v>5.0900000000000001E-2</v>
      </c>
      <c r="I761" s="8">
        <v>126.5</v>
      </c>
      <c r="J761" s="8">
        <v>70</v>
      </c>
      <c r="K761" s="8">
        <v>21.5</v>
      </c>
      <c r="L761" s="8">
        <f t="shared" si="42"/>
        <v>190382.5</v>
      </c>
      <c r="M761" s="15">
        <v>7897801320092</v>
      </c>
      <c r="N761" s="6" t="s">
        <v>20</v>
      </c>
      <c r="O761" s="6" t="s">
        <v>20</v>
      </c>
      <c r="P761" s="6" t="s">
        <v>20</v>
      </c>
      <c r="Q761" s="6">
        <v>0.19500000000000001</v>
      </c>
      <c r="R761" s="6">
        <v>0.06</v>
      </c>
      <c r="S761" s="6">
        <v>0.16500000000000001</v>
      </c>
      <c r="T761" s="8">
        <v>10</v>
      </c>
      <c r="U761" s="5" t="s">
        <v>994</v>
      </c>
      <c r="V761" s="89">
        <v>0</v>
      </c>
      <c r="W761" s="15">
        <v>17897801320099</v>
      </c>
      <c r="X761" s="6">
        <v>0.255</v>
      </c>
      <c r="Y761" s="6">
        <v>0.255</v>
      </c>
      <c r="Z761" s="6">
        <v>0.33</v>
      </c>
      <c r="AA761" s="6">
        <f t="shared" si="43"/>
        <v>2.1458250000000002E-2</v>
      </c>
      <c r="AB761" s="8">
        <v>120</v>
      </c>
      <c r="AC761" s="15">
        <v>27897801320096</v>
      </c>
      <c r="AD761" s="4" t="s">
        <v>992</v>
      </c>
    </row>
    <row r="762" spans="2:30" x14ac:dyDescent="0.35">
      <c r="B762" s="14">
        <v>1378</v>
      </c>
      <c r="C762" s="4" t="s">
        <v>739</v>
      </c>
      <c r="D762" s="4" t="s">
        <v>2384</v>
      </c>
      <c r="E762" s="4" t="s">
        <v>2912</v>
      </c>
      <c r="F762" s="4" t="s">
        <v>85</v>
      </c>
      <c r="G762" s="4" t="s">
        <v>1014</v>
      </c>
      <c r="H762" s="6">
        <v>6.8599999999999994E-2</v>
      </c>
      <c r="I762" s="8">
        <v>130.5</v>
      </c>
      <c r="J762" s="8">
        <v>77.5</v>
      </c>
      <c r="K762" s="8">
        <v>27</v>
      </c>
      <c r="L762" s="8">
        <f t="shared" si="42"/>
        <v>273071.25</v>
      </c>
      <c r="M762" s="15">
        <v>7897801320108</v>
      </c>
      <c r="N762" s="6" t="s">
        <v>20</v>
      </c>
      <c r="O762" s="6" t="s">
        <v>20</v>
      </c>
      <c r="P762" s="6" t="s">
        <v>20</v>
      </c>
      <c r="Q762" s="6">
        <v>0.25</v>
      </c>
      <c r="R762" s="6">
        <v>0.05</v>
      </c>
      <c r="S762" s="6">
        <v>0.22</v>
      </c>
      <c r="T762" s="8">
        <v>10</v>
      </c>
      <c r="U762" s="5" t="s">
        <v>994</v>
      </c>
      <c r="V762" s="89">
        <v>0</v>
      </c>
      <c r="W762" s="15">
        <v>17897801320105</v>
      </c>
      <c r="X762" s="6">
        <v>0.255</v>
      </c>
      <c r="Y762" s="6">
        <v>0.255</v>
      </c>
      <c r="Z762" s="6">
        <v>0.33</v>
      </c>
      <c r="AA762" s="6">
        <f t="shared" si="43"/>
        <v>2.1458250000000002E-2</v>
      </c>
      <c r="AB762" s="8">
        <v>70</v>
      </c>
      <c r="AC762" s="15">
        <v>27897801320102</v>
      </c>
      <c r="AD762" s="4" t="s">
        <v>992</v>
      </c>
    </row>
    <row r="763" spans="2:30" x14ac:dyDescent="0.35">
      <c r="B763" s="14">
        <v>1379</v>
      </c>
      <c r="C763" s="4" t="s">
        <v>740</v>
      </c>
      <c r="D763" s="4" t="s">
        <v>2384</v>
      </c>
      <c r="E763" s="4" t="s">
        <v>2912</v>
      </c>
      <c r="F763" s="4" t="s">
        <v>85</v>
      </c>
      <c r="G763" s="4" t="s">
        <v>1014</v>
      </c>
      <c r="H763" s="6">
        <v>2.9499999999999998E-2</v>
      </c>
      <c r="I763" s="8">
        <v>38.5</v>
      </c>
      <c r="J763" s="8">
        <v>43</v>
      </c>
      <c r="K763" s="8">
        <v>38.5</v>
      </c>
      <c r="L763" s="8">
        <f t="shared" si="42"/>
        <v>63736.75</v>
      </c>
      <c r="M763" s="15">
        <v>7897801320115</v>
      </c>
      <c r="N763" s="6" t="s">
        <v>20</v>
      </c>
      <c r="O763" s="6" t="s">
        <v>20</v>
      </c>
      <c r="P763" s="6" t="s">
        <v>20</v>
      </c>
      <c r="Q763" s="6">
        <v>0.13500000000000001</v>
      </c>
      <c r="R763" s="6">
        <v>0.04</v>
      </c>
      <c r="S763" s="6">
        <v>0.14000000000000001</v>
      </c>
      <c r="T763" s="8">
        <v>10</v>
      </c>
      <c r="U763" s="5" t="s">
        <v>994</v>
      </c>
      <c r="V763" s="89">
        <v>0</v>
      </c>
      <c r="W763" s="15">
        <v>17897801320112</v>
      </c>
      <c r="X763" s="6">
        <v>0.255</v>
      </c>
      <c r="Y763" s="6">
        <v>0.255</v>
      </c>
      <c r="Z763" s="6">
        <v>0.33</v>
      </c>
      <c r="AA763" s="6">
        <f t="shared" si="43"/>
        <v>2.1458250000000002E-2</v>
      </c>
      <c r="AB763" s="8">
        <v>720</v>
      </c>
      <c r="AC763" s="15">
        <v>27897801320119</v>
      </c>
      <c r="AD763" s="4" t="s">
        <v>992</v>
      </c>
    </row>
    <row r="764" spans="2:30" x14ac:dyDescent="0.35">
      <c r="B764" s="14">
        <v>1380</v>
      </c>
      <c r="C764" s="4" t="s">
        <v>741</v>
      </c>
      <c r="D764" s="4" t="s">
        <v>2384</v>
      </c>
      <c r="E764" s="4" t="s">
        <v>2912</v>
      </c>
      <c r="F764" s="4" t="s">
        <v>85</v>
      </c>
      <c r="G764" s="4" t="s">
        <v>1014</v>
      </c>
      <c r="H764" s="6">
        <v>4.8000000000000001E-2</v>
      </c>
      <c r="I764" s="8">
        <v>45.5</v>
      </c>
      <c r="J764" s="8">
        <v>47</v>
      </c>
      <c r="K764" s="8">
        <v>45.5</v>
      </c>
      <c r="L764" s="8">
        <f t="shared" si="42"/>
        <v>97301.75</v>
      </c>
      <c r="M764" s="15">
        <v>7897801320122</v>
      </c>
      <c r="N764" s="6" t="s">
        <v>20</v>
      </c>
      <c r="O764" s="6" t="s">
        <v>20</v>
      </c>
      <c r="P764" s="6" t="s">
        <v>20</v>
      </c>
      <c r="Q764" s="6">
        <v>0.14000000000000001</v>
      </c>
      <c r="R764" s="6">
        <v>4.8000000000000001E-2</v>
      </c>
      <c r="S764" s="6">
        <v>0.16500000000000001</v>
      </c>
      <c r="T764" s="8">
        <v>10</v>
      </c>
      <c r="U764" s="5" t="s">
        <v>994</v>
      </c>
      <c r="V764" s="89">
        <v>0</v>
      </c>
      <c r="W764" s="15">
        <v>17897801320129</v>
      </c>
      <c r="X764" s="6">
        <v>0.255</v>
      </c>
      <c r="Y764" s="6">
        <v>0.255</v>
      </c>
      <c r="Z764" s="6">
        <v>0.33</v>
      </c>
      <c r="AA764" s="6">
        <f t="shared" si="43"/>
        <v>2.1458250000000002E-2</v>
      </c>
      <c r="AB764" s="8">
        <v>450</v>
      </c>
      <c r="AC764" s="15">
        <v>27897801320126</v>
      </c>
      <c r="AD764" s="4" t="s">
        <v>992</v>
      </c>
    </row>
    <row r="765" spans="2:30" x14ac:dyDescent="0.35">
      <c r="B765" s="14">
        <v>1381</v>
      </c>
      <c r="C765" s="4" t="s">
        <v>742</v>
      </c>
      <c r="D765" s="4" t="s">
        <v>2384</v>
      </c>
      <c r="E765" s="4" t="s">
        <v>2912</v>
      </c>
      <c r="F765" s="4" t="s">
        <v>85</v>
      </c>
      <c r="G765" s="4" t="s">
        <v>1014</v>
      </c>
      <c r="H765" s="6">
        <v>7.1999999999999995E-2</v>
      </c>
      <c r="I765" s="8">
        <v>54.5</v>
      </c>
      <c r="J765" s="8">
        <v>55.5</v>
      </c>
      <c r="K765" s="8">
        <v>54.5</v>
      </c>
      <c r="L765" s="8">
        <f t="shared" si="42"/>
        <v>164848.875</v>
      </c>
      <c r="M765" s="15">
        <v>7897801320139</v>
      </c>
      <c r="N765" s="6" t="s">
        <v>20</v>
      </c>
      <c r="O765" s="6" t="s">
        <v>20</v>
      </c>
      <c r="P765" s="6" t="s">
        <v>20</v>
      </c>
      <c r="Q765" s="6">
        <v>0.17499999999999999</v>
      </c>
      <c r="R765" s="6">
        <v>0.06</v>
      </c>
      <c r="S765" s="6">
        <v>0.2</v>
      </c>
      <c r="T765" s="8">
        <v>10</v>
      </c>
      <c r="U765" s="5" t="s">
        <v>994</v>
      </c>
      <c r="V765" s="89">
        <v>0</v>
      </c>
      <c r="W765" s="15">
        <v>17897801320136</v>
      </c>
      <c r="X765" s="6">
        <v>0.255</v>
      </c>
      <c r="Y765" s="6">
        <v>0.255</v>
      </c>
      <c r="Z765" s="6">
        <v>0.33</v>
      </c>
      <c r="AA765" s="6">
        <f t="shared" si="43"/>
        <v>2.1458250000000002E-2</v>
      </c>
      <c r="AB765" s="8">
        <v>300</v>
      </c>
      <c r="AC765" s="15">
        <v>27897801320133</v>
      </c>
      <c r="AD765" s="4" t="s">
        <v>992</v>
      </c>
    </row>
    <row r="766" spans="2:30" x14ac:dyDescent="0.35">
      <c r="B766" s="14">
        <v>1382</v>
      </c>
      <c r="C766" s="4" t="s">
        <v>743</v>
      </c>
      <c r="D766" s="4" t="s">
        <v>2384</v>
      </c>
      <c r="E766" s="4" t="s">
        <v>2912</v>
      </c>
      <c r="F766" s="4" t="s">
        <v>85</v>
      </c>
      <c r="G766" s="4" t="s">
        <v>993</v>
      </c>
      <c r="H766" s="6">
        <v>1.9599999999999999E-2</v>
      </c>
      <c r="I766" s="8">
        <v>117.38</v>
      </c>
      <c r="J766" s="8">
        <v>18</v>
      </c>
      <c r="K766" s="8">
        <v>117.38</v>
      </c>
      <c r="L766" s="8">
        <f t="shared" si="42"/>
        <v>248005.15919999999</v>
      </c>
      <c r="M766" s="15">
        <v>7897801320146</v>
      </c>
      <c r="N766" s="6" t="s">
        <v>20</v>
      </c>
      <c r="O766" s="6" t="s">
        <v>20</v>
      </c>
      <c r="P766" s="6" t="s">
        <v>20</v>
      </c>
      <c r="Q766" s="6">
        <v>0.16</v>
      </c>
      <c r="R766" s="6">
        <v>3.5000000000000003E-2</v>
      </c>
      <c r="S766" s="6">
        <v>0.19</v>
      </c>
      <c r="T766" s="8">
        <v>10</v>
      </c>
      <c r="U766" s="5" t="s">
        <v>994</v>
      </c>
      <c r="V766" s="89">
        <v>0</v>
      </c>
      <c r="W766" s="15">
        <v>17897801320143</v>
      </c>
      <c r="X766" s="6">
        <v>0.5</v>
      </c>
      <c r="Y766" s="6">
        <v>0.2</v>
      </c>
      <c r="Z766" s="6">
        <v>0.66</v>
      </c>
      <c r="AA766" s="6">
        <f t="shared" si="43"/>
        <v>6.6000000000000003E-2</v>
      </c>
      <c r="AB766" s="8">
        <v>500</v>
      </c>
      <c r="AC766" s="15">
        <v>27897801320140</v>
      </c>
      <c r="AD766" s="4" t="s">
        <v>992</v>
      </c>
    </row>
    <row r="767" spans="2:30" x14ac:dyDescent="0.35">
      <c r="B767" s="14">
        <v>1383</v>
      </c>
      <c r="C767" s="4" t="s">
        <v>744</v>
      </c>
      <c r="D767" s="4" t="s">
        <v>2384</v>
      </c>
      <c r="E767" s="4" t="s">
        <v>2912</v>
      </c>
      <c r="F767" s="4" t="s">
        <v>85</v>
      </c>
      <c r="G767" s="4" t="s">
        <v>993</v>
      </c>
      <c r="H767" s="6">
        <v>5.0200000000000002E-2</v>
      </c>
      <c r="I767" s="8">
        <v>162.63</v>
      </c>
      <c r="J767" s="8">
        <v>26</v>
      </c>
      <c r="K767" s="8">
        <v>162.63</v>
      </c>
      <c r="L767" s="8">
        <f t="shared" si="42"/>
        <v>687661.43940000003</v>
      </c>
      <c r="M767" s="15">
        <v>7897801320153</v>
      </c>
      <c r="N767" s="6" t="s">
        <v>20</v>
      </c>
      <c r="O767" s="6" t="s">
        <v>20</v>
      </c>
      <c r="P767" s="6" t="s">
        <v>20</v>
      </c>
      <c r="Q767" s="6">
        <v>0.2</v>
      </c>
      <c r="R767" s="6">
        <v>0.05</v>
      </c>
      <c r="S767" s="6">
        <v>0.3</v>
      </c>
      <c r="T767" s="8">
        <v>10</v>
      </c>
      <c r="U767" s="5" t="s">
        <v>994</v>
      </c>
      <c r="V767" s="89">
        <v>0</v>
      </c>
      <c r="W767" s="15">
        <v>17897801320150</v>
      </c>
      <c r="X767" s="6">
        <v>0.47</v>
      </c>
      <c r="Y767" s="6">
        <v>0.23</v>
      </c>
      <c r="Z767" s="6">
        <v>0.7</v>
      </c>
      <c r="AA767" s="6">
        <f t="shared" si="43"/>
        <v>7.5670000000000001E-2</v>
      </c>
      <c r="AB767" s="8">
        <v>300</v>
      </c>
      <c r="AC767" s="15">
        <v>27897801320157</v>
      </c>
      <c r="AD767" s="4" t="s">
        <v>992</v>
      </c>
    </row>
    <row r="768" spans="2:30" x14ac:dyDescent="0.35">
      <c r="B768" s="14">
        <v>1384</v>
      </c>
      <c r="C768" s="4" t="s">
        <v>745</v>
      </c>
      <c r="D768" s="4" t="s">
        <v>2384</v>
      </c>
      <c r="E768" s="4" t="s">
        <v>2912</v>
      </c>
      <c r="F768" s="4" t="s">
        <v>85</v>
      </c>
      <c r="G768" s="4" t="s">
        <v>993</v>
      </c>
      <c r="H768" s="6">
        <v>8.5000000000000006E-2</v>
      </c>
      <c r="I768" s="8">
        <v>203.65</v>
      </c>
      <c r="J768" s="8">
        <v>31.5</v>
      </c>
      <c r="K768" s="8">
        <v>203.65</v>
      </c>
      <c r="L768" s="8">
        <f t="shared" si="42"/>
        <v>1306409.6587500002</v>
      </c>
      <c r="M768" s="15">
        <v>7897801320160</v>
      </c>
      <c r="N768" s="6" t="s">
        <v>20</v>
      </c>
      <c r="O768" s="6" t="s">
        <v>20</v>
      </c>
      <c r="P768" s="6" t="s">
        <v>20</v>
      </c>
      <c r="Q768" s="6">
        <v>0.26</v>
      </c>
      <c r="R768" s="6">
        <v>0.09</v>
      </c>
      <c r="S768" s="6">
        <v>0.22</v>
      </c>
      <c r="T768" s="8">
        <v>10</v>
      </c>
      <c r="U768" s="5" t="s">
        <v>994</v>
      </c>
      <c r="V768" s="89">
        <v>0</v>
      </c>
      <c r="W768" s="15">
        <v>17897801320167</v>
      </c>
      <c r="X768" s="6">
        <v>0.49</v>
      </c>
      <c r="Y768" s="6">
        <v>0.19</v>
      </c>
      <c r="Z768" s="6">
        <v>0.65</v>
      </c>
      <c r="AA768" s="6">
        <f t="shared" si="43"/>
        <v>6.0515000000000006E-2</v>
      </c>
      <c r="AB768" s="8">
        <v>150</v>
      </c>
      <c r="AC768" s="15">
        <v>27897801320164</v>
      </c>
      <c r="AD768" s="4" t="s">
        <v>992</v>
      </c>
    </row>
    <row r="769" spans="2:30" x14ac:dyDescent="0.35">
      <c r="B769" s="14">
        <v>1385</v>
      </c>
      <c r="C769" s="4" t="s">
        <v>746</v>
      </c>
      <c r="D769" s="4" t="s">
        <v>2384</v>
      </c>
      <c r="E769" s="4" t="s">
        <v>2912</v>
      </c>
      <c r="F769" s="4" t="s">
        <v>85</v>
      </c>
      <c r="G769" s="4" t="s">
        <v>993</v>
      </c>
      <c r="H769" s="6">
        <v>2.24E-2</v>
      </c>
      <c r="I769" s="8">
        <v>137</v>
      </c>
      <c r="J769" s="8">
        <v>18</v>
      </c>
      <c r="K769" s="8">
        <v>40</v>
      </c>
      <c r="L769" s="8">
        <f t="shared" si="42"/>
        <v>98640</v>
      </c>
      <c r="M769" s="15">
        <v>7897801320177</v>
      </c>
      <c r="N769" s="6" t="s">
        <v>20</v>
      </c>
      <c r="O769" s="6" t="s">
        <v>20</v>
      </c>
      <c r="P769" s="6" t="s">
        <v>20</v>
      </c>
      <c r="Q769" s="6">
        <v>0.17</v>
      </c>
      <c r="R769" s="6">
        <v>0.04</v>
      </c>
      <c r="S769" s="6">
        <v>0.19</v>
      </c>
      <c r="T769" s="8">
        <v>10</v>
      </c>
      <c r="U769" s="5" t="s">
        <v>994</v>
      </c>
      <c r="V769" s="89">
        <v>0</v>
      </c>
      <c r="W769" s="15">
        <v>17897801320174</v>
      </c>
      <c r="X769" s="6">
        <v>0.5</v>
      </c>
      <c r="Y769" s="6">
        <v>0.2</v>
      </c>
      <c r="Z769" s="6">
        <v>0.72</v>
      </c>
      <c r="AA769" s="6">
        <f t="shared" si="43"/>
        <v>7.1999999999999995E-2</v>
      </c>
      <c r="AB769" s="8">
        <v>500</v>
      </c>
      <c r="AC769" s="15">
        <v>27897801320171</v>
      </c>
      <c r="AD769" s="4" t="s">
        <v>992</v>
      </c>
    </row>
    <row r="770" spans="2:30" x14ac:dyDescent="0.35">
      <c r="B770" s="14">
        <v>1386</v>
      </c>
      <c r="C770" s="4" t="s">
        <v>747</v>
      </c>
      <c r="D770" s="4" t="s">
        <v>2384</v>
      </c>
      <c r="E770" s="4" t="s">
        <v>2912</v>
      </c>
      <c r="F770" s="4" t="s">
        <v>85</v>
      </c>
      <c r="G770" s="4" t="s">
        <v>993</v>
      </c>
      <c r="H770" s="6">
        <v>0.05</v>
      </c>
      <c r="I770" s="8">
        <v>170</v>
      </c>
      <c r="J770" s="8">
        <v>26</v>
      </c>
      <c r="K770" s="8">
        <v>45</v>
      </c>
      <c r="L770" s="8">
        <f t="shared" si="42"/>
        <v>198900</v>
      </c>
      <c r="M770" s="15">
        <v>7897801320184</v>
      </c>
      <c r="N770" s="6" t="s">
        <v>20</v>
      </c>
      <c r="O770" s="6" t="s">
        <v>20</v>
      </c>
      <c r="P770" s="6" t="s">
        <v>20</v>
      </c>
      <c r="Q770" s="6">
        <v>0.22</v>
      </c>
      <c r="R770" s="6">
        <v>0.05</v>
      </c>
      <c r="S770" s="6">
        <v>0.25</v>
      </c>
      <c r="T770" s="8">
        <v>10</v>
      </c>
      <c r="U770" s="5" t="s">
        <v>994</v>
      </c>
      <c r="V770" s="89">
        <v>0</v>
      </c>
      <c r="W770" s="15">
        <v>17897801320181</v>
      </c>
      <c r="X770" s="6">
        <v>0.5</v>
      </c>
      <c r="Y770" s="6">
        <v>0.2</v>
      </c>
      <c r="Z770" s="6">
        <v>0.72</v>
      </c>
      <c r="AA770" s="6">
        <f t="shared" si="43"/>
        <v>7.1999999999999995E-2</v>
      </c>
      <c r="AB770" s="8">
        <v>300</v>
      </c>
      <c r="AC770" s="15">
        <v>27897801320188</v>
      </c>
      <c r="AD770" s="4" t="s">
        <v>992</v>
      </c>
    </row>
    <row r="771" spans="2:30" x14ac:dyDescent="0.35">
      <c r="B771" s="14">
        <v>1387</v>
      </c>
      <c r="C771" s="4" t="s">
        <v>748</v>
      </c>
      <c r="D771" s="4" t="s">
        <v>2426</v>
      </c>
      <c r="E771" s="4" t="s">
        <v>2912</v>
      </c>
      <c r="F771" s="4" t="s">
        <v>85</v>
      </c>
      <c r="G771" s="4" t="s">
        <v>1014</v>
      </c>
      <c r="H771" s="6">
        <v>2.4E-2</v>
      </c>
      <c r="I771" s="8">
        <v>116</v>
      </c>
      <c r="J771" s="8">
        <v>19</v>
      </c>
      <c r="K771" s="8">
        <v>0.3</v>
      </c>
      <c r="L771" s="8">
        <f t="shared" si="42"/>
        <v>661.19999999999993</v>
      </c>
      <c r="M771" s="15">
        <v>7897801320191</v>
      </c>
      <c r="N771" s="6">
        <v>1.9E-2</v>
      </c>
      <c r="O771" s="6">
        <v>0.11600000000000001</v>
      </c>
      <c r="P771" s="6">
        <v>0.03</v>
      </c>
      <c r="Q771" s="6">
        <v>0.12</v>
      </c>
      <c r="R771" s="6">
        <v>0.13500000000000001</v>
      </c>
      <c r="S771" s="6">
        <v>0.22</v>
      </c>
      <c r="T771" s="8">
        <v>48</v>
      </c>
      <c r="U771" s="5" t="s">
        <v>1022</v>
      </c>
      <c r="V771" s="89">
        <v>0</v>
      </c>
      <c r="W771" s="15">
        <v>17897801320198</v>
      </c>
      <c r="X771" s="6">
        <v>0.45</v>
      </c>
      <c r="Y771" s="6">
        <v>0.27500000000000002</v>
      </c>
      <c r="Z771" s="6">
        <v>0.6</v>
      </c>
      <c r="AA771" s="6">
        <f t="shared" si="43"/>
        <v>7.425000000000001E-2</v>
      </c>
      <c r="AB771" s="8">
        <v>960</v>
      </c>
      <c r="AC771" s="15">
        <v>27897801320195</v>
      </c>
      <c r="AD771" s="4" t="s">
        <v>1001</v>
      </c>
    </row>
    <row r="772" spans="2:30" x14ac:dyDescent="0.35">
      <c r="B772" s="14">
        <v>1388</v>
      </c>
      <c r="C772" s="4" t="s">
        <v>749</v>
      </c>
      <c r="D772" s="4" t="s">
        <v>2426</v>
      </c>
      <c r="E772" s="4" t="s">
        <v>2912</v>
      </c>
      <c r="F772" s="4" t="s">
        <v>85</v>
      </c>
      <c r="G772" s="4" t="s">
        <v>1014</v>
      </c>
      <c r="H772" s="6">
        <v>0.10630000000000001</v>
      </c>
      <c r="I772" s="8">
        <v>185</v>
      </c>
      <c r="J772" s="8">
        <v>37</v>
      </c>
      <c r="K772" s="8">
        <v>45</v>
      </c>
      <c r="L772" s="8">
        <f t="shared" si="42"/>
        <v>308025</v>
      </c>
      <c r="M772" s="15">
        <v>7897801320207</v>
      </c>
      <c r="N772" s="6">
        <v>3.6999999999999998E-2</v>
      </c>
      <c r="O772" s="6">
        <v>0.185</v>
      </c>
      <c r="P772" s="6">
        <v>4.4999999999999998E-2</v>
      </c>
      <c r="Q772" s="6">
        <v>0.15</v>
      </c>
      <c r="R772" s="6">
        <v>0.19</v>
      </c>
      <c r="S772" s="6">
        <v>0.27</v>
      </c>
      <c r="T772" s="8">
        <v>24</v>
      </c>
      <c r="U772" s="5" t="s">
        <v>1022</v>
      </c>
      <c r="V772" s="89">
        <v>0</v>
      </c>
      <c r="W772" s="15">
        <v>17897801320204</v>
      </c>
      <c r="X772" s="6">
        <v>0.315</v>
      </c>
      <c r="Y772" s="6">
        <v>0.4</v>
      </c>
      <c r="Z772" s="6">
        <v>0.56000000000000005</v>
      </c>
      <c r="AA772" s="6">
        <f t="shared" si="43"/>
        <v>7.0560000000000012E-2</v>
      </c>
      <c r="AB772" s="8">
        <v>192</v>
      </c>
      <c r="AC772" s="15">
        <v>27897801320201</v>
      </c>
      <c r="AD772" s="4" t="s">
        <v>1001</v>
      </c>
    </row>
    <row r="773" spans="2:30" x14ac:dyDescent="0.35">
      <c r="B773" s="14">
        <v>1389</v>
      </c>
      <c r="C773" s="4" t="s">
        <v>750</v>
      </c>
      <c r="D773" s="4" t="s">
        <v>2426</v>
      </c>
      <c r="E773" s="4" t="s">
        <v>2912</v>
      </c>
      <c r="F773" s="4" t="s">
        <v>85</v>
      </c>
      <c r="G773" s="4" t="s">
        <v>1014</v>
      </c>
      <c r="H773" s="6">
        <v>0.25419999999999998</v>
      </c>
      <c r="I773" s="8">
        <v>68</v>
      </c>
      <c r="J773" s="8">
        <v>103</v>
      </c>
      <c r="K773" s="8">
        <v>68</v>
      </c>
      <c r="L773" s="8">
        <f t="shared" si="42"/>
        <v>476272</v>
      </c>
      <c r="M773" s="15">
        <v>7897801320214</v>
      </c>
      <c r="N773" s="6">
        <v>0.10299999999999999</v>
      </c>
      <c r="O773" s="6">
        <v>6.8000000000000005E-2</v>
      </c>
      <c r="P773" s="6">
        <v>6.8000000000000005E-2</v>
      </c>
      <c r="Q773" s="6">
        <v>0.16</v>
      </c>
      <c r="R773" s="6">
        <v>0.21</v>
      </c>
      <c r="S773" s="6">
        <v>0.20499999999999999</v>
      </c>
      <c r="T773" s="8">
        <v>12</v>
      </c>
      <c r="U773" s="5" t="s">
        <v>997</v>
      </c>
      <c r="V773" s="89">
        <v>0</v>
      </c>
      <c r="W773" s="15">
        <v>17897801320211</v>
      </c>
      <c r="X773" s="6">
        <v>0.37</v>
      </c>
      <c r="Y773" s="6">
        <v>0.44</v>
      </c>
      <c r="Z773" s="6">
        <v>0.48499999999999999</v>
      </c>
      <c r="AA773" s="6">
        <f t="shared" si="43"/>
        <v>7.8958E-2</v>
      </c>
      <c r="AB773" s="8">
        <v>120</v>
      </c>
      <c r="AC773" s="15">
        <v>27897801320218</v>
      </c>
      <c r="AD773" s="4" t="s">
        <v>1001</v>
      </c>
    </row>
    <row r="774" spans="2:30" x14ac:dyDescent="0.35">
      <c r="B774" s="14">
        <v>1390</v>
      </c>
      <c r="C774" s="4" t="s">
        <v>751</v>
      </c>
      <c r="D774" s="4" t="s">
        <v>2426</v>
      </c>
      <c r="E774" s="4" t="s">
        <v>2912</v>
      </c>
      <c r="F774" s="4" t="s">
        <v>85</v>
      </c>
      <c r="G774" s="4" t="s">
        <v>1014</v>
      </c>
      <c r="H774" s="6">
        <v>0.85</v>
      </c>
      <c r="I774" s="8">
        <v>94</v>
      </c>
      <c r="J774" s="8">
        <v>220</v>
      </c>
      <c r="K774" s="8">
        <v>94</v>
      </c>
      <c r="L774" s="8">
        <f t="shared" si="42"/>
        <v>1943920</v>
      </c>
      <c r="M774" s="15">
        <v>7897801320221</v>
      </c>
      <c r="N774" s="6">
        <v>0.22</v>
      </c>
      <c r="O774" s="6">
        <v>9.4E-2</v>
      </c>
      <c r="P774" s="6">
        <v>9.4E-2</v>
      </c>
      <c r="Q774" s="6">
        <v>0.20499999999999999</v>
      </c>
      <c r="R774" s="6">
        <v>0.24199999999999999</v>
      </c>
      <c r="S774" s="6">
        <v>0.28499999999999998</v>
      </c>
      <c r="T774" s="8">
        <v>6</v>
      </c>
      <c r="U774" s="5" t="s">
        <v>1022</v>
      </c>
      <c r="V774" s="89">
        <v>0</v>
      </c>
      <c r="W774" s="15">
        <v>17897801320228</v>
      </c>
      <c r="X774" s="6">
        <v>0.29499999999999998</v>
      </c>
      <c r="Y774" s="6">
        <v>0.255</v>
      </c>
      <c r="Z774" s="6">
        <v>0.60499999999999998</v>
      </c>
      <c r="AA774" s="6">
        <f t="shared" si="43"/>
        <v>4.5511124999999999E-2</v>
      </c>
      <c r="AB774" s="8">
        <v>18</v>
      </c>
      <c r="AC774" s="15">
        <v>27897801320225</v>
      </c>
      <c r="AD774" s="4" t="s">
        <v>1001</v>
      </c>
    </row>
    <row r="775" spans="2:30" x14ac:dyDescent="0.35">
      <c r="B775" s="18">
        <v>1400</v>
      </c>
      <c r="C775" s="24" t="s">
        <v>2427</v>
      </c>
      <c r="D775" s="24" t="s">
        <v>2370</v>
      </c>
      <c r="E775" s="24" t="s">
        <v>2913</v>
      </c>
      <c r="F775" s="4" t="s">
        <v>85</v>
      </c>
      <c r="G775" s="4" t="s">
        <v>1012</v>
      </c>
      <c r="H775" s="6">
        <v>3.6700000000000003E-2</v>
      </c>
      <c r="I775" s="8">
        <v>64</v>
      </c>
      <c r="J775" s="8">
        <v>50</v>
      </c>
      <c r="K775" s="8">
        <v>50</v>
      </c>
      <c r="L775" s="8">
        <v>160000</v>
      </c>
      <c r="M775" s="15">
        <v>7897801322645</v>
      </c>
      <c r="N775" s="6" t="s">
        <v>20</v>
      </c>
      <c r="O775" s="6" t="s">
        <v>20</v>
      </c>
      <c r="P775" s="6" t="s">
        <v>20</v>
      </c>
      <c r="Q775" s="6">
        <v>0.155</v>
      </c>
      <c r="R775" s="6">
        <v>6.4000000000000001E-2</v>
      </c>
      <c r="S775" s="6">
        <v>0.245</v>
      </c>
      <c r="T775" s="8">
        <v>10</v>
      </c>
      <c r="U775" s="5" t="s">
        <v>994</v>
      </c>
      <c r="V775" s="89">
        <v>0</v>
      </c>
      <c r="W775" s="15">
        <v>17897801322642</v>
      </c>
      <c r="X775" s="6">
        <v>0.57999999999999996</v>
      </c>
      <c r="Y775" s="6">
        <v>0.22</v>
      </c>
      <c r="Z775" s="6">
        <v>0.8</v>
      </c>
      <c r="AA775" s="6">
        <v>0.1021</v>
      </c>
      <c r="AB775" s="8">
        <v>400</v>
      </c>
      <c r="AC775" s="15">
        <v>27897801322649</v>
      </c>
      <c r="AD775" s="4" t="s">
        <v>992</v>
      </c>
    </row>
    <row r="776" spans="2:30" x14ac:dyDescent="0.35">
      <c r="B776" s="18">
        <v>1401</v>
      </c>
      <c r="C776" s="24" t="s">
        <v>2351</v>
      </c>
      <c r="D776" s="24" t="s">
        <v>2370</v>
      </c>
      <c r="E776" s="24" t="s">
        <v>2913</v>
      </c>
      <c r="F776" s="4" t="s">
        <v>85</v>
      </c>
      <c r="G776" s="4" t="s">
        <v>993</v>
      </c>
      <c r="H776" s="6">
        <v>1.52E-2</v>
      </c>
      <c r="I776" s="8">
        <v>47</v>
      </c>
      <c r="J776" s="8">
        <v>29</v>
      </c>
      <c r="K776" s="8">
        <v>47</v>
      </c>
      <c r="L776" s="8">
        <v>64061</v>
      </c>
      <c r="M776" s="15">
        <v>7897801322638</v>
      </c>
      <c r="N776" s="6" t="s">
        <v>20</v>
      </c>
      <c r="O776" s="6" t="s">
        <v>20</v>
      </c>
      <c r="P776" s="6" t="s">
        <v>20</v>
      </c>
      <c r="Q776" s="6">
        <v>0.17</v>
      </c>
      <c r="R776" s="6">
        <v>2.9000000000000001E-2</v>
      </c>
      <c r="S776" s="6">
        <v>0.12</v>
      </c>
      <c r="T776" s="8">
        <v>5</v>
      </c>
      <c r="U776" s="5" t="s">
        <v>994</v>
      </c>
      <c r="V776" s="89">
        <v>0</v>
      </c>
      <c r="W776" s="15">
        <v>17897801322635</v>
      </c>
      <c r="X776" s="6">
        <v>0.46</v>
      </c>
      <c r="Y776" s="6">
        <v>0.32</v>
      </c>
      <c r="Z776" s="6">
        <v>0.68</v>
      </c>
      <c r="AA776" s="6">
        <v>0.100096</v>
      </c>
      <c r="AB776" s="8">
        <v>500</v>
      </c>
      <c r="AC776" s="15">
        <v>27897801322632</v>
      </c>
      <c r="AD776" s="4" t="s">
        <v>992</v>
      </c>
    </row>
    <row r="777" spans="2:30" x14ac:dyDescent="0.35">
      <c r="B777" s="18">
        <v>1402</v>
      </c>
      <c r="C777" s="24" t="s">
        <v>2343</v>
      </c>
      <c r="D777" s="24" t="s">
        <v>2370</v>
      </c>
      <c r="E777" s="24" t="s">
        <v>2913</v>
      </c>
      <c r="F777" s="4" t="s">
        <v>85</v>
      </c>
      <c r="G777" s="4" t="s">
        <v>993</v>
      </c>
      <c r="H777" s="6">
        <v>3.6299999999999999E-2</v>
      </c>
      <c r="I777" s="8">
        <v>65</v>
      </c>
      <c r="J777" s="8">
        <v>42</v>
      </c>
      <c r="K777" s="8">
        <v>65</v>
      </c>
      <c r="L777" s="8">
        <v>177450</v>
      </c>
      <c r="M777" s="15">
        <v>7897801322386</v>
      </c>
      <c r="N777" s="6" t="s">
        <v>20</v>
      </c>
      <c r="O777" s="6" t="s">
        <v>20</v>
      </c>
      <c r="P777" s="6" t="s">
        <v>20</v>
      </c>
      <c r="Q777" s="6">
        <v>0.18</v>
      </c>
      <c r="R777" s="6">
        <v>0.43</v>
      </c>
      <c r="S777" s="6">
        <v>0.23</v>
      </c>
      <c r="T777" s="8">
        <v>5</v>
      </c>
      <c r="U777" s="5" t="s">
        <v>994</v>
      </c>
      <c r="V777" s="89">
        <v>0</v>
      </c>
      <c r="W777" s="15">
        <v>17897801322383</v>
      </c>
      <c r="X777" s="6">
        <v>0.61</v>
      </c>
      <c r="Y777" s="6">
        <v>0.22</v>
      </c>
      <c r="Z777" s="6">
        <v>0.76</v>
      </c>
      <c r="AA777" s="6">
        <v>0.10199199999999999</v>
      </c>
      <c r="AB777" s="8">
        <v>420</v>
      </c>
      <c r="AC777" s="15">
        <v>27897801322380</v>
      </c>
      <c r="AD777" s="4" t="s">
        <v>992</v>
      </c>
    </row>
    <row r="778" spans="2:30" x14ac:dyDescent="0.35">
      <c r="B778" s="18">
        <v>1403</v>
      </c>
      <c r="C778" s="24" t="s">
        <v>2344</v>
      </c>
      <c r="D778" s="24" t="s">
        <v>2370</v>
      </c>
      <c r="E778" s="24" t="s">
        <v>2913</v>
      </c>
      <c r="F778" s="4" t="s">
        <v>85</v>
      </c>
      <c r="G778" s="4" t="s">
        <v>993</v>
      </c>
      <c r="H778" s="6">
        <v>7.0800000000000002E-2</v>
      </c>
      <c r="I778" s="8">
        <v>90</v>
      </c>
      <c r="J778" s="8">
        <v>47</v>
      </c>
      <c r="K778" s="8">
        <v>90</v>
      </c>
      <c r="L778" s="8">
        <v>380700</v>
      </c>
      <c r="M778" s="15">
        <v>7897801322379</v>
      </c>
      <c r="N778" s="6" t="s">
        <v>20</v>
      </c>
      <c r="O778" s="6" t="s">
        <v>20</v>
      </c>
      <c r="P778" s="6" t="s">
        <v>20</v>
      </c>
      <c r="Q778" s="6">
        <v>0.21</v>
      </c>
      <c r="R778" s="6">
        <v>0.92</v>
      </c>
      <c r="S778" s="6">
        <v>0.26</v>
      </c>
      <c r="T778" s="8">
        <v>10</v>
      </c>
      <c r="U778" s="5" t="s">
        <v>994</v>
      </c>
      <c r="V778" s="89">
        <v>0</v>
      </c>
      <c r="W778" s="15">
        <v>17897801322376</v>
      </c>
      <c r="X778" s="6">
        <v>0.55000000000000004</v>
      </c>
      <c r="Y778" s="6">
        <v>0.22</v>
      </c>
      <c r="Z778" s="6">
        <v>0.75</v>
      </c>
      <c r="AA778" s="6">
        <v>9.0750000000000011E-2</v>
      </c>
      <c r="AB778" s="8">
        <v>200</v>
      </c>
      <c r="AC778" s="15">
        <v>27897801322373</v>
      </c>
      <c r="AD778" s="4" t="s">
        <v>992</v>
      </c>
    </row>
    <row r="779" spans="2:30" x14ac:dyDescent="0.35">
      <c r="B779" s="18">
        <v>1404</v>
      </c>
      <c r="C779" s="24" t="s">
        <v>2333</v>
      </c>
      <c r="D779" s="24" t="s">
        <v>2370</v>
      </c>
      <c r="E779" s="24" t="s">
        <v>2913</v>
      </c>
      <c r="F779" s="4" t="s">
        <v>85</v>
      </c>
      <c r="G779" s="4" t="s">
        <v>993</v>
      </c>
      <c r="H779" s="6">
        <v>0.1245</v>
      </c>
      <c r="I779" s="8">
        <v>115</v>
      </c>
      <c r="J779" s="8">
        <v>49</v>
      </c>
      <c r="K779" s="8">
        <v>115</v>
      </c>
      <c r="L779" s="28">
        <v>648025</v>
      </c>
      <c r="M779" s="15">
        <v>7897801322317</v>
      </c>
      <c r="N779" s="6" t="s">
        <v>20</v>
      </c>
      <c r="O779" s="6" t="s">
        <v>20</v>
      </c>
      <c r="P779" s="6" t="s">
        <v>20</v>
      </c>
      <c r="Q779" s="6">
        <v>0.42</v>
      </c>
      <c r="R779" s="6">
        <v>5.5E-2</v>
      </c>
      <c r="S779" s="6">
        <v>0.5</v>
      </c>
      <c r="T779" s="8">
        <v>10</v>
      </c>
      <c r="U779" s="5" t="s">
        <v>994</v>
      </c>
      <c r="V779" s="89">
        <v>0</v>
      </c>
      <c r="W779" s="15">
        <v>17897801322314</v>
      </c>
      <c r="X779" s="6" t="s">
        <v>20</v>
      </c>
      <c r="Y779" s="6" t="s">
        <v>20</v>
      </c>
      <c r="Z779" s="6" t="s">
        <v>20</v>
      </c>
      <c r="AA779" s="6" t="s">
        <v>20</v>
      </c>
      <c r="AB779" s="6" t="s">
        <v>20</v>
      </c>
      <c r="AC779" s="6" t="s">
        <v>20</v>
      </c>
      <c r="AD779" s="4" t="s">
        <v>992</v>
      </c>
    </row>
    <row r="780" spans="2:30" x14ac:dyDescent="0.35">
      <c r="B780" s="18">
        <v>1405</v>
      </c>
      <c r="C780" s="24" t="s">
        <v>2369</v>
      </c>
      <c r="D780" s="24" t="s">
        <v>2370</v>
      </c>
      <c r="E780" s="24" t="s">
        <v>2913</v>
      </c>
      <c r="F780" s="4" t="s">
        <v>85</v>
      </c>
      <c r="G780" s="4" t="s">
        <v>993</v>
      </c>
      <c r="H780" s="6">
        <v>0.30570000000000003</v>
      </c>
      <c r="I780" s="8">
        <v>170</v>
      </c>
      <c r="J780" s="8">
        <v>65</v>
      </c>
      <c r="K780" s="8">
        <v>170</v>
      </c>
      <c r="L780" s="28">
        <v>1878500</v>
      </c>
      <c r="M780" s="15">
        <v>7897801322362</v>
      </c>
      <c r="N780" s="6" t="s">
        <v>20</v>
      </c>
      <c r="O780" s="6" t="s">
        <v>20</v>
      </c>
      <c r="P780" s="6" t="s">
        <v>20</v>
      </c>
      <c r="Q780" s="6">
        <v>0.17</v>
      </c>
      <c r="R780" s="6">
        <v>6.5000000000000002E-2</v>
      </c>
      <c r="S780" s="6">
        <v>0.17</v>
      </c>
      <c r="T780" s="8">
        <v>1</v>
      </c>
      <c r="U780" s="5" t="s">
        <v>994</v>
      </c>
      <c r="V780" s="89">
        <v>0</v>
      </c>
      <c r="W780" s="15">
        <v>17897801322369</v>
      </c>
      <c r="X780" s="6">
        <v>0.39</v>
      </c>
      <c r="Y780" s="6">
        <v>6.8000000000000005E-2</v>
      </c>
      <c r="Z780" s="6">
        <v>0.495</v>
      </c>
      <c r="AA780" s="6">
        <v>1.3100000000000001E-2</v>
      </c>
      <c r="AB780" s="8">
        <v>5</v>
      </c>
      <c r="AC780" s="15">
        <v>27897801322366</v>
      </c>
      <c r="AD780" s="4" t="s">
        <v>992</v>
      </c>
    </row>
    <row r="781" spans="2:30" x14ac:dyDescent="0.35">
      <c r="B781" s="18">
        <v>1407</v>
      </c>
      <c r="C781" s="24" t="s">
        <v>2352</v>
      </c>
      <c r="D781" s="24" t="s">
        <v>2370</v>
      </c>
      <c r="E781" s="24" t="s">
        <v>2913</v>
      </c>
      <c r="F781" s="4" t="s">
        <v>85</v>
      </c>
      <c r="G781" s="4" t="s">
        <v>993</v>
      </c>
      <c r="H781" s="6">
        <v>9.8799999999999999E-2</v>
      </c>
      <c r="I781" s="8">
        <v>166</v>
      </c>
      <c r="J781" s="8">
        <v>646.5</v>
      </c>
      <c r="K781" s="8">
        <v>79</v>
      </c>
      <c r="L781" s="8">
        <v>8478201</v>
      </c>
      <c r="M781" s="15">
        <v>7897801322607</v>
      </c>
      <c r="N781" s="6" t="s">
        <v>20</v>
      </c>
      <c r="O781" s="6" t="s">
        <v>20</v>
      </c>
      <c r="P781" s="6" t="s">
        <v>20</v>
      </c>
      <c r="Q781" s="6">
        <v>0.27</v>
      </c>
      <c r="R781" s="6">
        <v>0.105</v>
      </c>
      <c r="S781" s="6">
        <v>0.37</v>
      </c>
      <c r="T781" s="8">
        <v>10</v>
      </c>
      <c r="U781" s="5" t="s">
        <v>994</v>
      </c>
      <c r="V781" s="89">
        <v>0</v>
      </c>
      <c r="W781" s="15">
        <v>17897801322604</v>
      </c>
      <c r="X781" s="6">
        <v>0.52</v>
      </c>
      <c r="Y781" s="6">
        <v>0.27</v>
      </c>
      <c r="Z781" s="6">
        <v>0.8</v>
      </c>
      <c r="AA781" s="6">
        <v>0.11232000000000003</v>
      </c>
      <c r="AB781" s="8">
        <v>140</v>
      </c>
      <c r="AC781" s="15">
        <v>27897801322601</v>
      </c>
      <c r="AD781" s="4" t="s">
        <v>992</v>
      </c>
    </row>
    <row r="782" spans="2:30" x14ac:dyDescent="0.35">
      <c r="B782" s="18">
        <v>1409</v>
      </c>
      <c r="C782" s="43" t="s">
        <v>2358</v>
      </c>
      <c r="D782" s="24" t="s">
        <v>2370</v>
      </c>
      <c r="E782" s="24" t="s">
        <v>2913</v>
      </c>
      <c r="F782" s="4" t="s">
        <v>85</v>
      </c>
      <c r="G782" s="4" t="s">
        <v>1012</v>
      </c>
      <c r="H782" s="6">
        <v>9.6799999999999997E-2</v>
      </c>
      <c r="I782" s="8">
        <v>166</v>
      </c>
      <c r="J782" s="8">
        <v>79</v>
      </c>
      <c r="K782" s="8">
        <v>65</v>
      </c>
      <c r="L782" s="28">
        <v>852410</v>
      </c>
      <c r="M782" s="15">
        <v>7897801307383</v>
      </c>
      <c r="N782" s="6" t="s">
        <v>20</v>
      </c>
      <c r="O782" s="6" t="s">
        <v>20</v>
      </c>
      <c r="P782" s="6" t="s">
        <v>20</v>
      </c>
      <c r="Q782" s="6">
        <v>0.37</v>
      </c>
      <c r="R782" s="6">
        <v>0.11</v>
      </c>
      <c r="S782" s="6">
        <v>0.17</v>
      </c>
      <c r="T782" s="8">
        <v>10</v>
      </c>
      <c r="U782" s="5" t="s">
        <v>994</v>
      </c>
      <c r="V782" s="89">
        <v>0</v>
      </c>
      <c r="W782" s="15">
        <v>17897801307380</v>
      </c>
      <c r="X782" s="6" t="s">
        <v>20</v>
      </c>
      <c r="Y782" s="6" t="s">
        <v>20</v>
      </c>
      <c r="Z782" s="6" t="s">
        <v>20</v>
      </c>
      <c r="AA782" s="6" t="s">
        <v>20</v>
      </c>
      <c r="AB782" s="6" t="s">
        <v>20</v>
      </c>
      <c r="AC782" s="15">
        <v>27897801307387</v>
      </c>
      <c r="AD782" s="4" t="s">
        <v>992</v>
      </c>
    </row>
    <row r="783" spans="2:30" x14ac:dyDescent="0.35">
      <c r="B783" s="18">
        <v>1410</v>
      </c>
      <c r="C783" s="24" t="s">
        <v>752</v>
      </c>
      <c r="D783" s="24" t="s">
        <v>2370</v>
      </c>
      <c r="E783" s="24" t="s">
        <v>2913</v>
      </c>
      <c r="F783" s="4" t="s">
        <v>85</v>
      </c>
      <c r="G783" s="4" t="s">
        <v>993</v>
      </c>
      <c r="H783" s="6">
        <v>0.3306</v>
      </c>
      <c r="I783" s="8">
        <v>230</v>
      </c>
      <c r="J783" s="8">
        <v>180</v>
      </c>
      <c r="K783" s="8">
        <v>120</v>
      </c>
      <c r="L783" s="8">
        <f>J783*I783*K783</f>
        <v>4968000</v>
      </c>
      <c r="M783" s="15">
        <v>7897801313865</v>
      </c>
      <c r="N783" s="6" t="s">
        <v>20</v>
      </c>
      <c r="O783" s="6" t="s">
        <v>20</v>
      </c>
      <c r="P783" s="6" t="s">
        <v>20</v>
      </c>
      <c r="Q783" s="6">
        <v>0.4</v>
      </c>
      <c r="R783" s="6">
        <v>0.2</v>
      </c>
      <c r="S783" s="6">
        <v>0.56999999999999995</v>
      </c>
      <c r="T783" s="8">
        <v>10</v>
      </c>
      <c r="U783" s="5" t="s">
        <v>994</v>
      </c>
      <c r="V783" s="89">
        <v>0</v>
      </c>
      <c r="W783" s="15">
        <v>17897801313862</v>
      </c>
      <c r="X783" s="6" t="s">
        <v>20</v>
      </c>
      <c r="Y783" s="6" t="s">
        <v>20</v>
      </c>
      <c r="Z783" s="6" t="s">
        <v>20</v>
      </c>
      <c r="AA783" s="6" t="s">
        <v>20</v>
      </c>
      <c r="AB783" s="6" t="s">
        <v>20</v>
      </c>
      <c r="AC783" s="15">
        <v>27897801313869</v>
      </c>
      <c r="AD783" s="4" t="s">
        <v>992</v>
      </c>
    </row>
    <row r="784" spans="2:30" x14ac:dyDescent="0.35">
      <c r="B784" s="18">
        <v>1411</v>
      </c>
      <c r="C784" s="67" t="s">
        <v>2368</v>
      </c>
      <c r="D784" s="24" t="s">
        <v>2370</v>
      </c>
      <c r="E784" s="24" t="s">
        <v>2913</v>
      </c>
      <c r="F784" s="4" t="s">
        <v>85</v>
      </c>
      <c r="G784" s="4" t="s">
        <v>993</v>
      </c>
      <c r="H784" s="6">
        <v>0.88700000000000001</v>
      </c>
      <c r="I784" s="8">
        <v>265</v>
      </c>
      <c r="J784" s="8">
        <v>265</v>
      </c>
      <c r="K784" s="8">
        <v>170</v>
      </c>
      <c r="L784" s="28">
        <v>11938250</v>
      </c>
      <c r="M784" s="15">
        <v>7897801322720</v>
      </c>
      <c r="N784" s="6" t="s">
        <v>20</v>
      </c>
      <c r="O784" s="6" t="s">
        <v>20</v>
      </c>
      <c r="P784" s="6" t="s">
        <v>20</v>
      </c>
      <c r="Q784" s="6">
        <v>0.17</v>
      </c>
      <c r="R784" s="6">
        <v>0.26500000000000001</v>
      </c>
      <c r="S784" s="6">
        <v>0.26500000000000001</v>
      </c>
      <c r="T784" s="8">
        <v>1</v>
      </c>
      <c r="U784" s="5" t="s">
        <v>994</v>
      </c>
      <c r="V784" s="89">
        <v>0</v>
      </c>
      <c r="W784" s="15">
        <v>17897801322727</v>
      </c>
      <c r="X784" s="6">
        <v>0.5</v>
      </c>
      <c r="Y784" s="6">
        <v>0.2</v>
      </c>
      <c r="Z784" s="6">
        <v>0.63</v>
      </c>
      <c r="AA784" s="6">
        <v>6.3E-2</v>
      </c>
      <c r="AB784" s="8">
        <v>5</v>
      </c>
      <c r="AC784" s="15">
        <v>27897801322724</v>
      </c>
      <c r="AD784" s="4" t="s">
        <v>992</v>
      </c>
    </row>
    <row r="785" spans="2:30" x14ac:dyDescent="0.35">
      <c r="B785" s="18">
        <v>1413</v>
      </c>
      <c r="C785" s="67" t="s">
        <v>2353</v>
      </c>
      <c r="D785" s="24" t="s">
        <v>2370</v>
      </c>
      <c r="E785" s="24" t="s">
        <v>2913</v>
      </c>
      <c r="F785" s="4" t="s">
        <v>85</v>
      </c>
      <c r="G785" s="4" t="s">
        <v>993</v>
      </c>
      <c r="H785" s="6">
        <v>2.6700000000000002E-2</v>
      </c>
      <c r="I785" s="8">
        <v>72</v>
      </c>
      <c r="J785" s="8">
        <v>43</v>
      </c>
      <c r="K785" s="8">
        <v>6</v>
      </c>
      <c r="L785" s="8">
        <v>18576</v>
      </c>
      <c r="M785" s="15">
        <v>7897801322591</v>
      </c>
      <c r="N785" s="6" t="s">
        <v>20</v>
      </c>
      <c r="O785" s="6" t="s">
        <v>20</v>
      </c>
      <c r="P785" s="6" t="s">
        <v>20</v>
      </c>
      <c r="Q785" s="6">
        <v>0.26</v>
      </c>
      <c r="R785" s="6">
        <v>0.06</v>
      </c>
      <c r="S785" s="6">
        <v>0.31</v>
      </c>
      <c r="T785" s="8">
        <v>20</v>
      </c>
      <c r="U785" s="5" t="s">
        <v>994</v>
      </c>
      <c r="V785" s="89">
        <v>0</v>
      </c>
      <c r="W785" s="15">
        <v>17897801322598</v>
      </c>
      <c r="X785" s="6">
        <v>0.54</v>
      </c>
      <c r="Y785" s="6">
        <v>0.06</v>
      </c>
      <c r="Z785" s="6">
        <v>0.78</v>
      </c>
      <c r="AA785" s="6">
        <v>2.5271999999999999E-2</v>
      </c>
      <c r="AB785" s="8">
        <v>500</v>
      </c>
      <c r="AC785" s="15">
        <v>27897801322595</v>
      </c>
      <c r="AD785" s="4" t="s">
        <v>992</v>
      </c>
    </row>
    <row r="786" spans="2:30" x14ac:dyDescent="0.35">
      <c r="B786" s="18">
        <v>1414</v>
      </c>
      <c r="C786" s="68" t="s">
        <v>2359</v>
      </c>
      <c r="D786" s="24" t="s">
        <v>2370</v>
      </c>
      <c r="E786" s="24" t="s">
        <v>2913</v>
      </c>
      <c r="F786" s="4" t="s">
        <v>85</v>
      </c>
      <c r="G786" s="4" t="s">
        <v>1012</v>
      </c>
      <c r="H786" s="6">
        <v>6.7699999999999996E-2</v>
      </c>
      <c r="I786" s="8">
        <v>115</v>
      </c>
      <c r="J786" s="8">
        <v>65</v>
      </c>
      <c r="K786" s="8">
        <v>65</v>
      </c>
      <c r="L786" s="8">
        <v>485875</v>
      </c>
      <c r="M786" s="15">
        <v>7897801322584</v>
      </c>
      <c r="N786" s="6" t="s">
        <v>20</v>
      </c>
      <c r="O786" s="6" t="s">
        <v>20</v>
      </c>
      <c r="P786" s="6" t="s">
        <v>20</v>
      </c>
      <c r="Q786" s="6">
        <v>0.111</v>
      </c>
      <c r="R786" s="6">
        <v>0.35</v>
      </c>
      <c r="S786" s="6">
        <v>0.39</v>
      </c>
      <c r="T786" s="8">
        <v>20</v>
      </c>
      <c r="U786" s="5" t="s">
        <v>994</v>
      </c>
      <c r="V786" s="89">
        <v>0</v>
      </c>
      <c r="W786" s="15">
        <v>17897801322581</v>
      </c>
      <c r="X786" s="6">
        <v>0.59</v>
      </c>
      <c r="Y786" s="6">
        <v>0.22</v>
      </c>
      <c r="Z786" s="6">
        <v>0.82</v>
      </c>
      <c r="AA786" s="6">
        <v>0.10639999999999999</v>
      </c>
      <c r="AB786" s="8">
        <v>200</v>
      </c>
      <c r="AC786" s="8">
        <v>27897801322588</v>
      </c>
      <c r="AD786" s="4" t="s">
        <v>992</v>
      </c>
    </row>
    <row r="787" spans="2:30" x14ac:dyDescent="0.35">
      <c r="B787" s="18">
        <v>1415</v>
      </c>
      <c r="C787" s="67" t="s">
        <v>2345</v>
      </c>
      <c r="D787" s="24" t="s">
        <v>2370</v>
      </c>
      <c r="E787" s="24" t="s">
        <v>2913</v>
      </c>
      <c r="F787" s="4" t="s">
        <v>85</v>
      </c>
      <c r="G787" s="4" t="s">
        <v>993</v>
      </c>
      <c r="H787" s="6">
        <v>0.1283</v>
      </c>
      <c r="I787" s="8">
        <v>146</v>
      </c>
      <c r="J787" s="8">
        <v>90</v>
      </c>
      <c r="K787" s="8">
        <v>90</v>
      </c>
      <c r="L787" s="8">
        <v>1182600</v>
      </c>
      <c r="M787" s="15">
        <v>7897801322348</v>
      </c>
      <c r="N787" s="6" t="s">
        <v>20</v>
      </c>
      <c r="O787" s="6" t="s">
        <v>20</v>
      </c>
      <c r="P787" s="6" t="s">
        <v>20</v>
      </c>
      <c r="Q787" s="6">
        <v>0.37</v>
      </c>
      <c r="R787" s="6">
        <v>0.91</v>
      </c>
      <c r="S787" s="6">
        <v>0.39</v>
      </c>
      <c r="T787" s="8">
        <v>10</v>
      </c>
      <c r="U787" s="5" t="s">
        <v>994</v>
      </c>
      <c r="V787" s="89">
        <v>0</v>
      </c>
      <c r="W787" s="15">
        <v>17897801322345</v>
      </c>
      <c r="X787" s="6" t="s">
        <v>20</v>
      </c>
      <c r="Y787" s="6" t="s">
        <v>20</v>
      </c>
      <c r="Z787" s="6" t="s">
        <v>20</v>
      </c>
      <c r="AA787" s="6" t="s">
        <v>20</v>
      </c>
      <c r="AB787" s="6" t="s">
        <v>20</v>
      </c>
      <c r="AC787" s="6" t="s">
        <v>20</v>
      </c>
      <c r="AD787" s="4" t="s">
        <v>992</v>
      </c>
    </row>
    <row r="788" spans="2:30" x14ac:dyDescent="0.35">
      <c r="B788" s="18">
        <v>1416</v>
      </c>
      <c r="C788" s="67" t="s">
        <v>753</v>
      </c>
      <c r="D788" s="24" t="s">
        <v>2370</v>
      </c>
      <c r="E788" s="24" t="s">
        <v>2913</v>
      </c>
      <c r="F788" s="4" t="s">
        <v>85</v>
      </c>
      <c r="G788" s="4" t="s">
        <v>993</v>
      </c>
      <c r="H788" s="6">
        <v>0.22989999999999999</v>
      </c>
      <c r="I788" s="8">
        <v>170</v>
      </c>
      <c r="J788" s="8">
        <v>110</v>
      </c>
      <c r="K788" s="8">
        <v>110</v>
      </c>
      <c r="L788" s="8">
        <f>J788*I788*K788</f>
        <v>2057000</v>
      </c>
      <c r="M788" s="15">
        <v>7897801313872</v>
      </c>
      <c r="N788" s="6" t="s">
        <v>20</v>
      </c>
      <c r="O788" s="6" t="s">
        <v>20</v>
      </c>
      <c r="P788" s="6" t="s">
        <v>20</v>
      </c>
      <c r="Q788" s="6">
        <v>0.43</v>
      </c>
      <c r="R788" s="6">
        <v>0.115</v>
      </c>
      <c r="S788" s="6">
        <v>0.53</v>
      </c>
      <c r="T788" s="8">
        <v>10</v>
      </c>
      <c r="U788" s="5" t="s">
        <v>994</v>
      </c>
      <c r="V788" s="89">
        <v>0</v>
      </c>
      <c r="W788" s="15">
        <v>17897801313879</v>
      </c>
      <c r="X788" s="6" t="s">
        <v>20</v>
      </c>
      <c r="Y788" s="6" t="s">
        <v>20</v>
      </c>
      <c r="Z788" s="6" t="s">
        <v>20</v>
      </c>
      <c r="AA788" s="6" t="s">
        <v>20</v>
      </c>
      <c r="AB788" s="6" t="s">
        <v>20</v>
      </c>
      <c r="AC788" s="15">
        <v>27897801313876</v>
      </c>
      <c r="AD788" s="4" t="s">
        <v>992</v>
      </c>
    </row>
    <row r="789" spans="2:30" x14ac:dyDescent="0.35">
      <c r="B789" s="18">
        <v>1417</v>
      </c>
      <c r="C789" s="67" t="s">
        <v>2367</v>
      </c>
      <c r="D789" s="24" t="s">
        <v>2370</v>
      </c>
      <c r="E789" s="24" t="s">
        <v>2913</v>
      </c>
      <c r="F789" s="4" t="s">
        <v>85</v>
      </c>
      <c r="G789" s="4" t="s">
        <v>993</v>
      </c>
      <c r="H789" s="6">
        <v>0.57969999999999999</v>
      </c>
      <c r="I789" s="8">
        <v>220</v>
      </c>
      <c r="J789" s="8">
        <v>180</v>
      </c>
      <c r="K789" s="8">
        <v>170</v>
      </c>
      <c r="L789" s="28">
        <v>6732000</v>
      </c>
      <c r="M789" s="15">
        <v>7897801322331</v>
      </c>
      <c r="N789" s="6" t="s">
        <v>20</v>
      </c>
      <c r="O789" s="6" t="s">
        <v>20</v>
      </c>
      <c r="P789" s="6" t="s">
        <v>20</v>
      </c>
      <c r="Q789" s="6">
        <v>0.17</v>
      </c>
      <c r="R789" s="6">
        <v>0.18</v>
      </c>
      <c r="S789" s="6">
        <v>0.22</v>
      </c>
      <c r="T789" s="8">
        <v>1</v>
      </c>
      <c r="U789" s="5" t="s">
        <v>994</v>
      </c>
      <c r="V789" s="89">
        <v>0</v>
      </c>
      <c r="W789" s="15">
        <v>17897801322338</v>
      </c>
      <c r="X789" s="6">
        <v>0.37</v>
      </c>
      <c r="Y789" s="6">
        <v>0.17</v>
      </c>
      <c r="Z789" s="6">
        <v>0.5</v>
      </c>
      <c r="AA789" s="6">
        <v>3.15E-2</v>
      </c>
      <c r="AB789" s="8">
        <v>5</v>
      </c>
      <c r="AC789" s="15">
        <v>27897801322335</v>
      </c>
      <c r="AD789" s="4" t="s">
        <v>992</v>
      </c>
    </row>
    <row r="790" spans="2:30" x14ac:dyDescent="0.35">
      <c r="B790" s="18">
        <v>1419</v>
      </c>
      <c r="C790" s="67" t="s">
        <v>2346</v>
      </c>
      <c r="D790" s="24" t="s">
        <v>2370</v>
      </c>
      <c r="E790" s="24" t="s">
        <v>2913</v>
      </c>
      <c r="F790" s="4" t="s">
        <v>85</v>
      </c>
      <c r="G790" s="4" t="s">
        <v>993</v>
      </c>
      <c r="H790" s="6">
        <v>3.4700000000000002E-2</v>
      </c>
      <c r="I790" s="8">
        <v>65</v>
      </c>
      <c r="J790" s="8">
        <v>46</v>
      </c>
      <c r="K790" s="8">
        <v>46</v>
      </c>
      <c r="L790" s="8">
        <v>137540</v>
      </c>
      <c r="M790" s="15">
        <v>7897801322577</v>
      </c>
      <c r="N790" s="6" t="s">
        <v>20</v>
      </c>
      <c r="O790" s="6" t="s">
        <v>20</v>
      </c>
      <c r="P790" s="6" t="s">
        <v>20</v>
      </c>
      <c r="Q790" s="6">
        <v>0.22</v>
      </c>
      <c r="R790" s="6">
        <v>8.5000000000000006E-2</v>
      </c>
      <c r="S790" s="6">
        <v>0.33</v>
      </c>
      <c r="T790" s="8">
        <v>25</v>
      </c>
      <c r="U790" s="5" t="s">
        <v>994</v>
      </c>
      <c r="V790" s="89">
        <v>0</v>
      </c>
      <c r="W790" s="15">
        <v>17897801322574</v>
      </c>
      <c r="X790" s="6">
        <v>0.6</v>
      </c>
      <c r="Y790" s="6">
        <v>0.22</v>
      </c>
      <c r="Z790" s="6">
        <v>0.8</v>
      </c>
      <c r="AA790" s="6">
        <v>0.10560000000000001</v>
      </c>
      <c r="AB790" s="8">
        <v>400</v>
      </c>
      <c r="AC790" s="15">
        <v>27897801322571</v>
      </c>
      <c r="AD790" s="4" t="s">
        <v>992</v>
      </c>
    </row>
    <row r="791" spans="2:30" x14ac:dyDescent="0.35">
      <c r="B791" s="18">
        <v>1420</v>
      </c>
      <c r="C791" s="67" t="s">
        <v>2354</v>
      </c>
      <c r="D791" s="24" t="s">
        <v>2370</v>
      </c>
      <c r="E791" s="24" t="s">
        <v>2913</v>
      </c>
      <c r="F791" s="4" t="s">
        <v>85</v>
      </c>
      <c r="G791" s="4" t="s">
        <v>993</v>
      </c>
      <c r="H791" s="6">
        <v>8.0299999999999996E-2</v>
      </c>
      <c r="I791" s="8">
        <v>95</v>
      </c>
      <c r="J791" s="8">
        <v>65</v>
      </c>
      <c r="K791" s="8">
        <v>100</v>
      </c>
      <c r="L791" s="8">
        <v>617500</v>
      </c>
      <c r="M791" s="15">
        <v>7897801307871</v>
      </c>
      <c r="N791" s="6" t="s">
        <v>20</v>
      </c>
      <c r="O791" s="6" t="s">
        <v>20</v>
      </c>
      <c r="P791" s="6" t="s">
        <v>20</v>
      </c>
      <c r="Q791" s="6">
        <v>0.28000000000000003</v>
      </c>
      <c r="R791" s="6">
        <v>0.14499999999999999</v>
      </c>
      <c r="S791" s="6">
        <v>0.49</v>
      </c>
      <c r="T791" s="8">
        <v>25</v>
      </c>
      <c r="U791" s="5" t="s">
        <v>994</v>
      </c>
      <c r="V791" s="89">
        <v>0</v>
      </c>
      <c r="W791" s="15">
        <v>17897801307878</v>
      </c>
      <c r="X791" s="6">
        <v>0.56999999999999995</v>
      </c>
      <c r="Y791" s="6">
        <v>0.27</v>
      </c>
      <c r="Z791" s="6">
        <v>0.77</v>
      </c>
      <c r="AA791" s="6">
        <v>0.11850300000000001</v>
      </c>
      <c r="AB791" s="8">
        <v>175</v>
      </c>
      <c r="AC791" s="15">
        <v>27897801307875</v>
      </c>
      <c r="AD791" s="4" t="s">
        <v>992</v>
      </c>
    </row>
    <row r="792" spans="2:30" x14ac:dyDescent="0.35">
      <c r="B792" s="18">
        <v>1421</v>
      </c>
      <c r="C792" s="67" t="s">
        <v>2443</v>
      </c>
      <c r="D792" s="24" t="s">
        <v>2370</v>
      </c>
      <c r="E792" s="24" t="s">
        <v>2913</v>
      </c>
      <c r="F792" s="4" t="s">
        <v>85</v>
      </c>
      <c r="G792" s="4" t="s">
        <v>1012</v>
      </c>
      <c r="H792" s="6">
        <v>0.16273000000000001</v>
      </c>
      <c r="I792" s="8">
        <v>123</v>
      </c>
      <c r="J792" s="8">
        <v>127</v>
      </c>
      <c r="K792" s="8">
        <v>90</v>
      </c>
      <c r="L792" s="8">
        <v>1405890</v>
      </c>
      <c r="M792" s="15">
        <v>7897801322324</v>
      </c>
      <c r="N792" s="6" t="s">
        <v>20</v>
      </c>
      <c r="O792" s="6" t="s">
        <v>20</v>
      </c>
      <c r="P792" s="6" t="s">
        <v>20</v>
      </c>
      <c r="Q792" s="6">
        <v>0.4</v>
      </c>
      <c r="R792" s="6">
        <v>0.22</v>
      </c>
      <c r="S792" s="6">
        <v>0.56999999999999995</v>
      </c>
      <c r="T792" s="8">
        <v>20</v>
      </c>
      <c r="U792" s="5" t="s">
        <v>994</v>
      </c>
      <c r="V792" s="89">
        <v>0</v>
      </c>
      <c r="W792" s="15">
        <v>17897801322321</v>
      </c>
      <c r="X792" s="6" t="s">
        <v>20</v>
      </c>
      <c r="Y792" s="6" t="s">
        <v>20</v>
      </c>
      <c r="Z792" s="6" t="s">
        <v>20</v>
      </c>
      <c r="AA792" s="6" t="s">
        <v>20</v>
      </c>
      <c r="AB792" s="8" t="s">
        <v>20</v>
      </c>
      <c r="AC792" s="15">
        <v>27897801322328</v>
      </c>
      <c r="AD792" s="4" t="s">
        <v>992</v>
      </c>
    </row>
    <row r="793" spans="2:30" x14ac:dyDescent="0.35">
      <c r="B793" s="18">
        <v>1422</v>
      </c>
      <c r="C793" s="67" t="s">
        <v>754</v>
      </c>
      <c r="D793" s="24" t="s">
        <v>2370</v>
      </c>
      <c r="E793" s="24" t="s">
        <v>2913</v>
      </c>
      <c r="F793" s="4" t="s">
        <v>85</v>
      </c>
      <c r="G793" s="4" t="s">
        <v>993</v>
      </c>
      <c r="H793" s="6">
        <v>0.3</v>
      </c>
      <c r="I793" s="8">
        <v>190</v>
      </c>
      <c r="J793" s="8">
        <v>160</v>
      </c>
      <c r="K793" s="8">
        <v>120</v>
      </c>
      <c r="L793" s="8">
        <f>J793*I793*K793</f>
        <v>3648000</v>
      </c>
      <c r="M793" s="15">
        <v>7897801313889</v>
      </c>
      <c r="N793" s="6" t="s">
        <v>20</v>
      </c>
      <c r="O793" s="6" t="s">
        <v>20</v>
      </c>
      <c r="P793" s="6" t="s">
        <v>20</v>
      </c>
      <c r="Q793" s="6">
        <v>0.46</v>
      </c>
      <c r="R793" s="6">
        <v>0.215</v>
      </c>
      <c r="S793" s="6">
        <v>0.72</v>
      </c>
      <c r="T793" s="8">
        <v>20</v>
      </c>
      <c r="U793" s="5" t="s">
        <v>994</v>
      </c>
      <c r="V793" s="89">
        <v>0</v>
      </c>
      <c r="W793" s="15">
        <v>17897801313886</v>
      </c>
      <c r="X793" s="6" t="s">
        <v>20</v>
      </c>
      <c r="Y793" s="6" t="s">
        <v>20</v>
      </c>
      <c r="Z793" s="6" t="s">
        <v>20</v>
      </c>
      <c r="AA793" s="6" t="s">
        <v>20</v>
      </c>
      <c r="AB793" s="6" t="s">
        <v>20</v>
      </c>
      <c r="AC793" s="15">
        <v>27897801313883</v>
      </c>
      <c r="AD793" s="4" t="s">
        <v>992</v>
      </c>
    </row>
    <row r="794" spans="2:30" x14ac:dyDescent="0.35">
      <c r="B794" s="18">
        <v>1423</v>
      </c>
      <c r="C794" s="67" t="s">
        <v>2366</v>
      </c>
      <c r="D794" s="24" t="s">
        <v>2370</v>
      </c>
      <c r="E794" s="24" t="s">
        <v>2913</v>
      </c>
      <c r="F794" s="4" t="s">
        <v>85</v>
      </c>
      <c r="G794" s="4" t="s">
        <v>993</v>
      </c>
      <c r="H794" s="6">
        <v>0.755</v>
      </c>
      <c r="I794" s="8">
        <v>220</v>
      </c>
      <c r="J794" s="8">
        <v>220</v>
      </c>
      <c r="K794" s="8">
        <v>170</v>
      </c>
      <c r="L794" s="28">
        <v>8228000</v>
      </c>
      <c r="M794" s="15">
        <v>7897801319065</v>
      </c>
      <c r="N794" s="6" t="s">
        <v>20</v>
      </c>
      <c r="O794" s="6" t="s">
        <v>20</v>
      </c>
      <c r="P794" s="6" t="s">
        <v>20</v>
      </c>
      <c r="Q794" s="6">
        <v>0.17</v>
      </c>
      <c r="R794" s="6">
        <v>0.22</v>
      </c>
      <c r="S794" s="6">
        <v>0.22</v>
      </c>
      <c r="T794" s="8">
        <v>1</v>
      </c>
      <c r="U794" s="5" t="s">
        <v>994</v>
      </c>
      <c r="V794" s="89">
        <v>0</v>
      </c>
      <c r="W794" s="15">
        <v>17897801319062</v>
      </c>
      <c r="X794" s="6">
        <v>0.48</v>
      </c>
      <c r="Y794" s="6">
        <v>0.17</v>
      </c>
      <c r="Z794" s="6">
        <v>0.57999999999999996</v>
      </c>
      <c r="AA794" s="6">
        <v>4.7300000000000002E-2</v>
      </c>
      <c r="AB794" s="8">
        <v>5</v>
      </c>
      <c r="AC794" s="15">
        <v>27897801319069</v>
      </c>
      <c r="AD794" s="4" t="s">
        <v>992</v>
      </c>
    </row>
    <row r="795" spans="2:30" x14ac:dyDescent="0.35">
      <c r="B795" s="18">
        <v>1425</v>
      </c>
      <c r="C795" s="67" t="s">
        <v>2444</v>
      </c>
      <c r="D795" s="24" t="s">
        <v>2370</v>
      </c>
      <c r="E795" s="24" t="s">
        <v>2913</v>
      </c>
      <c r="F795" s="4" t="s">
        <v>85</v>
      </c>
      <c r="G795" s="4" t="s">
        <v>1012</v>
      </c>
      <c r="H795" s="6">
        <v>0.20200000000000001</v>
      </c>
      <c r="I795" s="8">
        <v>145</v>
      </c>
      <c r="J795" s="8">
        <v>160</v>
      </c>
      <c r="K795" s="8">
        <v>90</v>
      </c>
      <c r="L795" s="28">
        <v>2088000</v>
      </c>
      <c r="M795" s="15">
        <v>7897801322355</v>
      </c>
      <c r="N795" s="6" t="s">
        <v>20</v>
      </c>
      <c r="O795" s="6" t="s">
        <v>20</v>
      </c>
      <c r="P795" s="6" t="s">
        <v>20</v>
      </c>
      <c r="Q795" s="6">
        <v>0.41</v>
      </c>
      <c r="R795" s="6">
        <v>0.14000000000000001</v>
      </c>
      <c r="S795" s="6">
        <v>0.46</v>
      </c>
      <c r="T795" s="8">
        <v>10</v>
      </c>
      <c r="U795" s="5" t="s">
        <v>994</v>
      </c>
      <c r="V795" s="89">
        <v>0</v>
      </c>
      <c r="W795" s="15">
        <v>17897801322352</v>
      </c>
      <c r="X795" s="6" t="s">
        <v>20</v>
      </c>
      <c r="Y795" s="6" t="s">
        <v>20</v>
      </c>
      <c r="Z795" s="6" t="s">
        <v>20</v>
      </c>
      <c r="AA795" s="6" t="s">
        <v>20</v>
      </c>
      <c r="AB795" s="8" t="s">
        <v>20</v>
      </c>
      <c r="AC795" s="15">
        <v>27897801322359</v>
      </c>
      <c r="AD795" s="4" t="s">
        <v>992</v>
      </c>
    </row>
    <row r="796" spans="2:30" x14ac:dyDescent="0.35">
      <c r="B796" s="18">
        <v>1426</v>
      </c>
      <c r="C796" s="67" t="s">
        <v>2334</v>
      </c>
      <c r="D796" s="24" t="s">
        <v>2370</v>
      </c>
      <c r="E796" s="24" t="s">
        <v>2913</v>
      </c>
      <c r="F796" s="4" t="s">
        <v>85</v>
      </c>
      <c r="G796" s="4" t="s">
        <v>993</v>
      </c>
      <c r="H796" s="6">
        <v>0.67800000000000005</v>
      </c>
      <c r="I796" s="8">
        <v>340</v>
      </c>
      <c r="J796" s="8">
        <v>115</v>
      </c>
      <c r="K796" s="8">
        <v>260</v>
      </c>
      <c r="L796" s="28">
        <v>10166000</v>
      </c>
      <c r="M796" s="15">
        <v>7897801322423</v>
      </c>
      <c r="N796" s="6" t="s">
        <v>20</v>
      </c>
      <c r="O796" s="6" t="s">
        <v>20</v>
      </c>
      <c r="P796" s="6" t="s">
        <v>20</v>
      </c>
      <c r="Q796" s="6">
        <v>5.1999999999999998E-2</v>
      </c>
      <c r="R796" s="6">
        <v>2.1000000000000001E-2</v>
      </c>
      <c r="S796" s="6">
        <v>7.5999999999999998E-2</v>
      </c>
      <c r="T796" s="8">
        <v>5</v>
      </c>
      <c r="U796" s="5" t="s">
        <v>994</v>
      </c>
      <c r="V796" s="89">
        <v>0</v>
      </c>
      <c r="W796" s="15">
        <v>17897801322420</v>
      </c>
      <c r="X796" s="6" t="s">
        <v>20</v>
      </c>
      <c r="Y796" s="6" t="s">
        <v>20</v>
      </c>
      <c r="Z796" s="6" t="s">
        <v>20</v>
      </c>
      <c r="AA796" s="6" t="s">
        <v>20</v>
      </c>
      <c r="AB796" s="6" t="s">
        <v>20</v>
      </c>
      <c r="AC796" s="6" t="s">
        <v>20</v>
      </c>
      <c r="AD796" s="4" t="s">
        <v>992</v>
      </c>
    </row>
    <row r="797" spans="2:30" x14ac:dyDescent="0.35">
      <c r="B797" s="18">
        <v>1427</v>
      </c>
      <c r="C797" s="67" t="s">
        <v>2347</v>
      </c>
      <c r="D797" s="24" t="s">
        <v>2370</v>
      </c>
      <c r="E797" s="24" t="s">
        <v>2913</v>
      </c>
      <c r="F797" s="4" t="s">
        <v>85</v>
      </c>
      <c r="G797" s="4" t="s">
        <v>993</v>
      </c>
      <c r="H797" s="6">
        <v>6.4799999999999996E-2</v>
      </c>
      <c r="I797" s="8">
        <v>500</v>
      </c>
      <c r="J797" s="8">
        <v>1000</v>
      </c>
      <c r="K797" s="8">
        <v>900</v>
      </c>
      <c r="L797" s="8">
        <v>450000000</v>
      </c>
      <c r="M797" s="15">
        <v>7897801322560</v>
      </c>
      <c r="N797" s="6" t="s">
        <v>20</v>
      </c>
      <c r="O797" s="6" t="s">
        <v>20</v>
      </c>
      <c r="P797" s="6" t="s">
        <v>20</v>
      </c>
      <c r="Q797" s="6">
        <v>0.12</v>
      </c>
      <c r="R797" s="6">
        <v>0.33</v>
      </c>
      <c r="S797" s="6">
        <v>0.23</v>
      </c>
      <c r="T797" s="8">
        <v>10</v>
      </c>
      <c r="U797" s="5" t="s">
        <v>994</v>
      </c>
      <c r="V797" s="89">
        <v>0</v>
      </c>
      <c r="W797" s="15">
        <v>17897801322567</v>
      </c>
      <c r="X797" s="6">
        <v>0.7</v>
      </c>
      <c r="Y797" s="6">
        <v>0.21</v>
      </c>
      <c r="Z797" s="6">
        <v>1</v>
      </c>
      <c r="AA797" s="6">
        <v>0.14699999999999999</v>
      </c>
      <c r="AB797" s="8">
        <v>200</v>
      </c>
      <c r="AC797" s="15">
        <v>27897801322564</v>
      </c>
      <c r="AD797" s="4" t="s">
        <v>992</v>
      </c>
    </row>
    <row r="798" spans="2:30" x14ac:dyDescent="0.35">
      <c r="B798" s="18">
        <v>1428</v>
      </c>
      <c r="C798" s="67" t="s">
        <v>2428</v>
      </c>
      <c r="D798" s="24" t="s">
        <v>2370</v>
      </c>
      <c r="E798" s="24" t="s">
        <v>2913</v>
      </c>
      <c r="F798" s="4" t="s">
        <v>85</v>
      </c>
      <c r="G798" s="4" t="s">
        <v>1012</v>
      </c>
      <c r="H798" s="6">
        <v>0.14749999999999999</v>
      </c>
      <c r="I798" s="8">
        <v>65</v>
      </c>
      <c r="J798" s="8">
        <v>165</v>
      </c>
      <c r="K798" s="8">
        <v>120</v>
      </c>
      <c r="L798" s="8">
        <v>1287000</v>
      </c>
      <c r="M798" s="15">
        <v>7897801322546</v>
      </c>
      <c r="N798" s="6" t="s">
        <v>20</v>
      </c>
      <c r="O798" s="6" t="s">
        <v>20</v>
      </c>
      <c r="P798" s="6" t="s">
        <v>20</v>
      </c>
      <c r="Q798" s="6">
        <v>0.3</v>
      </c>
      <c r="R798" s="6">
        <v>0.12</v>
      </c>
      <c r="S798" s="6">
        <v>0.54</v>
      </c>
      <c r="T798" s="8">
        <v>10</v>
      </c>
      <c r="U798" s="5" t="s">
        <v>994</v>
      </c>
      <c r="V798" s="89">
        <v>0</v>
      </c>
      <c r="W798" s="15">
        <v>17897801322543</v>
      </c>
      <c r="X798" s="6">
        <v>0.5</v>
      </c>
      <c r="Y798" s="6">
        <v>0.24</v>
      </c>
      <c r="Z798" s="6">
        <v>0.73</v>
      </c>
      <c r="AA798" s="6">
        <v>8.7599999999999997E-2</v>
      </c>
      <c r="AB798" s="8">
        <v>80</v>
      </c>
      <c r="AC798" s="15">
        <v>27897801322540</v>
      </c>
      <c r="AD798" s="4" t="s">
        <v>992</v>
      </c>
    </row>
    <row r="799" spans="2:30" x14ac:dyDescent="0.35">
      <c r="B799" s="18">
        <v>1429</v>
      </c>
      <c r="C799" s="68" t="s">
        <v>2360</v>
      </c>
      <c r="D799" s="24" t="s">
        <v>2370</v>
      </c>
      <c r="E799" s="24" t="s">
        <v>2913</v>
      </c>
      <c r="F799" s="4" t="s">
        <v>85</v>
      </c>
      <c r="G799" s="4" t="s">
        <v>1012</v>
      </c>
      <c r="H799" s="6">
        <v>0.2717</v>
      </c>
      <c r="I799" s="8">
        <v>200</v>
      </c>
      <c r="J799" s="8">
        <v>165</v>
      </c>
      <c r="K799" s="8">
        <v>90</v>
      </c>
      <c r="L799" s="8">
        <v>2970000</v>
      </c>
      <c r="M799" s="15">
        <v>7897801319058</v>
      </c>
      <c r="N799" s="6" t="s">
        <v>20</v>
      </c>
      <c r="O799" s="6" t="s">
        <v>20</v>
      </c>
      <c r="P799" s="6" t="s">
        <v>20</v>
      </c>
      <c r="Q799" s="6">
        <v>0.41</v>
      </c>
      <c r="R799" s="6">
        <v>0.16500000000000001</v>
      </c>
      <c r="S799" s="6">
        <v>0.54</v>
      </c>
      <c r="T799" s="8">
        <v>10</v>
      </c>
      <c r="U799" s="5" t="s">
        <v>994</v>
      </c>
      <c r="V799" s="89">
        <v>0</v>
      </c>
      <c r="W799" s="15">
        <v>17897801319055</v>
      </c>
      <c r="X799" s="6" t="s">
        <v>20</v>
      </c>
      <c r="Y799" s="6" t="s">
        <v>20</v>
      </c>
      <c r="Z799" s="6" t="s">
        <v>20</v>
      </c>
      <c r="AA799" s="6" t="s">
        <v>20</v>
      </c>
      <c r="AB799" s="8" t="s">
        <v>20</v>
      </c>
      <c r="AC799" s="8">
        <v>27897801319052</v>
      </c>
      <c r="AD799" s="4" t="s">
        <v>992</v>
      </c>
    </row>
    <row r="800" spans="2:30" x14ac:dyDescent="0.35">
      <c r="B800" s="18">
        <v>1430</v>
      </c>
      <c r="C800" s="67" t="s">
        <v>755</v>
      </c>
      <c r="D800" s="24" t="s">
        <v>2370</v>
      </c>
      <c r="E800" s="24" t="s">
        <v>2913</v>
      </c>
      <c r="F800" s="4" t="s">
        <v>85</v>
      </c>
      <c r="G800" s="4" t="s">
        <v>993</v>
      </c>
      <c r="H800" s="6">
        <v>0.52300000000000002</v>
      </c>
      <c r="I800" s="8">
        <v>246</v>
      </c>
      <c r="J800" s="8">
        <v>122</v>
      </c>
      <c r="K800" s="8">
        <v>240</v>
      </c>
      <c r="L800" s="8">
        <f>J800*I800*K800</f>
        <v>7202880</v>
      </c>
      <c r="M800" s="15">
        <v>7897801313896</v>
      </c>
      <c r="N800" s="6" t="s">
        <v>20</v>
      </c>
      <c r="O800" s="6" t="s">
        <v>20</v>
      </c>
      <c r="P800" s="6" t="s">
        <v>20</v>
      </c>
      <c r="Q800" s="6">
        <v>0.5</v>
      </c>
      <c r="R800" s="6">
        <v>0.4</v>
      </c>
      <c r="S800" s="6">
        <v>0.75</v>
      </c>
      <c r="T800" s="8">
        <v>5</v>
      </c>
      <c r="U800" s="5" t="s">
        <v>994</v>
      </c>
      <c r="V800" s="89">
        <v>0</v>
      </c>
      <c r="W800" s="15">
        <v>17897801313893</v>
      </c>
      <c r="X800" s="6" t="s">
        <v>20</v>
      </c>
      <c r="Y800" s="6" t="s">
        <v>20</v>
      </c>
      <c r="Z800" s="6" t="s">
        <v>20</v>
      </c>
      <c r="AA800" s="6" t="s">
        <v>20</v>
      </c>
      <c r="AB800" s="6" t="s">
        <v>20</v>
      </c>
      <c r="AC800" s="15">
        <v>27897801313890</v>
      </c>
      <c r="AD800" s="4" t="s">
        <v>992</v>
      </c>
    </row>
    <row r="801" spans="2:30" x14ac:dyDescent="0.35">
      <c r="B801" s="18">
        <v>1431</v>
      </c>
      <c r="C801" s="67" t="s">
        <v>2365</v>
      </c>
      <c r="D801" s="24" t="s">
        <v>2370</v>
      </c>
      <c r="E801" s="24" t="s">
        <v>2913</v>
      </c>
      <c r="F801" s="4" t="s">
        <v>85</v>
      </c>
      <c r="G801" s="4" t="s">
        <v>993</v>
      </c>
      <c r="H801" s="6">
        <v>1.3192999999999999</v>
      </c>
      <c r="I801" s="8">
        <v>345</v>
      </c>
      <c r="J801" s="8">
        <v>173</v>
      </c>
      <c r="K801" s="8">
        <v>310</v>
      </c>
      <c r="L801" s="28">
        <v>18502350</v>
      </c>
      <c r="M801" s="15">
        <v>7897801318716</v>
      </c>
      <c r="N801" s="6" t="s">
        <v>20</v>
      </c>
      <c r="O801" s="6" t="s">
        <v>20</v>
      </c>
      <c r="P801" s="6" t="s">
        <v>20</v>
      </c>
      <c r="Q801" s="6">
        <v>0.31</v>
      </c>
      <c r="R801" s="6">
        <v>0.17299999999999999</v>
      </c>
      <c r="S801" s="6">
        <v>0.34499999999999997</v>
      </c>
      <c r="T801" s="8">
        <v>1</v>
      </c>
      <c r="U801" s="5" t="s">
        <v>994</v>
      </c>
      <c r="V801" s="89">
        <v>0</v>
      </c>
      <c r="W801" s="15">
        <v>17897801318713</v>
      </c>
      <c r="X801" s="6">
        <v>0.56999999999999995</v>
      </c>
      <c r="Y801" s="6">
        <v>0.31</v>
      </c>
      <c r="Z801" s="6">
        <v>0.79</v>
      </c>
      <c r="AA801" s="6">
        <v>0.1396</v>
      </c>
      <c r="AB801" s="8">
        <v>5</v>
      </c>
      <c r="AC801" s="15">
        <v>27897801318710</v>
      </c>
      <c r="AD801" s="4" t="s">
        <v>992</v>
      </c>
    </row>
    <row r="802" spans="2:30" x14ac:dyDescent="0.35">
      <c r="B802" s="18">
        <v>1433</v>
      </c>
      <c r="C802" s="67" t="s">
        <v>2355</v>
      </c>
      <c r="D802" s="24" t="s">
        <v>2370</v>
      </c>
      <c r="E802" s="24" t="s">
        <v>2913</v>
      </c>
      <c r="F802" s="4" t="s">
        <v>85</v>
      </c>
      <c r="G802" s="4" t="s">
        <v>993</v>
      </c>
      <c r="H802" s="6">
        <v>0.20269999999999999</v>
      </c>
      <c r="I802" s="8">
        <v>167</v>
      </c>
      <c r="J802" s="8">
        <v>95</v>
      </c>
      <c r="K802" s="8">
        <v>150</v>
      </c>
      <c r="L802" s="8">
        <v>2379750</v>
      </c>
      <c r="M802" s="15">
        <v>7897801322539</v>
      </c>
      <c r="N802" s="6" t="s">
        <v>20</v>
      </c>
      <c r="O802" s="6" t="s">
        <v>20</v>
      </c>
      <c r="P802" s="6" t="s">
        <v>20</v>
      </c>
      <c r="Q802" s="6">
        <v>0.41</v>
      </c>
      <c r="R802" s="6">
        <v>0.18</v>
      </c>
      <c r="S802" s="6">
        <v>0.55000000000000004</v>
      </c>
      <c r="T802" s="8">
        <v>10</v>
      </c>
      <c r="U802" s="5" t="s">
        <v>994</v>
      </c>
      <c r="V802" s="89">
        <v>0</v>
      </c>
      <c r="W802" s="15">
        <v>17897801322536</v>
      </c>
      <c r="X802" s="6" t="s">
        <v>20</v>
      </c>
      <c r="Y802" s="6" t="s">
        <v>20</v>
      </c>
      <c r="Z802" s="6" t="s">
        <v>20</v>
      </c>
      <c r="AA802" s="6" t="s">
        <v>20</v>
      </c>
      <c r="AB802" s="8" t="s">
        <v>20</v>
      </c>
      <c r="AC802" s="15" t="s">
        <v>20</v>
      </c>
      <c r="AD802" s="4" t="s">
        <v>992</v>
      </c>
    </row>
    <row r="803" spans="2:30" x14ac:dyDescent="0.35">
      <c r="B803" s="18">
        <v>1434</v>
      </c>
      <c r="C803" s="67" t="s">
        <v>2434</v>
      </c>
      <c r="D803" s="24" t="s">
        <v>2370</v>
      </c>
      <c r="E803" s="24" t="s">
        <v>2913</v>
      </c>
      <c r="F803" s="4" t="s">
        <v>85</v>
      </c>
      <c r="G803" s="4" t="s">
        <v>1012</v>
      </c>
      <c r="H803" s="6">
        <v>0.32600000000000001</v>
      </c>
      <c r="I803" s="8">
        <v>111</v>
      </c>
      <c r="J803" s="8">
        <v>170</v>
      </c>
      <c r="K803" s="8">
        <v>170</v>
      </c>
      <c r="L803" s="8">
        <v>3199230</v>
      </c>
      <c r="M803" s="15">
        <v>7897801322652</v>
      </c>
      <c r="N803" s="6" t="s">
        <v>20</v>
      </c>
      <c r="O803" s="6" t="s">
        <v>20</v>
      </c>
      <c r="P803" s="6" t="s">
        <v>20</v>
      </c>
      <c r="Q803" s="6">
        <v>0.46</v>
      </c>
      <c r="R803" s="6">
        <v>0.19</v>
      </c>
      <c r="S803" s="6">
        <v>0.39</v>
      </c>
      <c r="T803" s="8">
        <v>10</v>
      </c>
      <c r="U803" s="5" t="s">
        <v>994</v>
      </c>
      <c r="V803" s="89">
        <v>0</v>
      </c>
      <c r="W803" s="15">
        <v>17897801322659</v>
      </c>
      <c r="X803" s="6" t="s">
        <v>20</v>
      </c>
      <c r="Y803" s="6" t="s">
        <v>20</v>
      </c>
      <c r="Z803" s="6" t="s">
        <v>20</v>
      </c>
      <c r="AA803" s="6" t="s">
        <v>20</v>
      </c>
      <c r="AB803" s="8" t="s">
        <v>20</v>
      </c>
      <c r="AC803" s="15">
        <v>27897801322656</v>
      </c>
      <c r="AD803" s="4" t="s">
        <v>992</v>
      </c>
    </row>
    <row r="804" spans="2:30" x14ac:dyDescent="0.35">
      <c r="B804" s="18">
        <v>1435</v>
      </c>
      <c r="C804" s="67" t="s">
        <v>756</v>
      </c>
      <c r="D804" s="24" t="s">
        <v>2370</v>
      </c>
      <c r="E804" s="24" t="s">
        <v>2913</v>
      </c>
      <c r="F804" s="4" t="s">
        <v>85</v>
      </c>
      <c r="G804" s="4" t="s">
        <v>993</v>
      </c>
      <c r="H804" s="6">
        <v>0.4</v>
      </c>
      <c r="I804" s="8">
        <v>200</v>
      </c>
      <c r="J804" s="8">
        <v>100</v>
      </c>
      <c r="K804" s="8">
        <v>200</v>
      </c>
      <c r="L804" s="8">
        <f>J804*I804*K804</f>
        <v>4000000</v>
      </c>
      <c r="M804" s="15">
        <v>7897801313902</v>
      </c>
      <c r="N804" s="6" t="s">
        <v>20</v>
      </c>
      <c r="O804" s="6" t="s">
        <v>20</v>
      </c>
      <c r="P804" s="6" t="s">
        <v>20</v>
      </c>
      <c r="Q804" s="6">
        <v>0.35</v>
      </c>
      <c r="R804" s="6">
        <v>0.12</v>
      </c>
      <c r="S804" s="6">
        <v>0.4</v>
      </c>
      <c r="T804" s="8">
        <v>5</v>
      </c>
      <c r="U804" s="5" t="s">
        <v>994</v>
      </c>
      <c r="V804" s="89">
        <v>0</v>
      </c>
      <c r="W804" s="15">
        <v>17897801313909</v>
      </c>
      <c r="X804" s="6" t="s">
        <v>20</v>
      </c>
      <c r="Y804" s="6" t="s">
        <v>20</v>
      </c>
      <c r="Z804" s="6" t="s">
        <v>20</v>
      </c>
      <c r="AA804" s="6" t="s">
        <v>20</v>
      </c>
      <c r="AB804" s="6" t="s">
        <v>20</v>
      </c>
      <c r="AC804" s="15">
        <v>27897801313906</v>
      </c>
      <c r="AD804" s="4" t="s">
        <v>992</v>
      </c>
    </row>
    <row r="805" spans="2:30" x14ac:dyDescent="0.35">
      <c r="B805" s="18">
        <v>1436</v>
      </c>
      <c r="C805" s="67" t="s">
        <v>2335</v>
      </c>
      <c r="D805" s="24" t="s">
        <v>2370</v>
      </c>
      <c r="E805" s="24" t="s">
        <v>2913</v>
      </c>
      <c r="F805" s="4" t="s">
        <v>85</v>
      </c>
      <c r="G805" s="4" t="s">
        <v>993</v>
      </c>
      <c r="H805" s="6">
        <v>0.90400000000000003</v>
      </c>
      <c r="I805" s="8">
        <v>300</v>
      </c>
      <c r="J805" s="8">
        <v>170</v>
      </c>
      <c r="K805" s="8">
        <v>270</v>
      </c>
      <c r="L805" s="28">
        <v>13770000</v>
      </c>
      <c r="M805" s="15">
        <v>7897801322614</v>
      </c>
      <c r="N805" s="6" t="s">
        <v>20</v>
      </c>
      <c r="O805" s="6" t="s">
        <v>20</v>
      </c>
      <c r="P805" s="6" t="s">
        <v>20</v>
      </c>
      <c r="Q805" s="6">
        <v>0.28999999999999998</v>
      </c>
      <c r="R805" s="6">
        <v>0.27</v>
      </c>
      <c r="S805" s="6">
        <v>0.17</v>
      </c>
      <c r="T805" s="8">
        <v>1</v>
      </c>
      <c r="U805" s="5" t="s">
        <v>994</v>
      </c>
      <c r="V805" s="89">
        <v>0</v>
      </c>
      <c r="W805" s="15">
        <v>17897801322611</v>
      </c>
      <c r="X805" s="6" t="s">
        <v>20</v>
      </c>
      <c r="Y805" s="6" t="s">
        <v>20</v>
      </c>
      <c r="Z805" s="6" t="s">
        <v>20</v>
      </c>
      <c r="AA805" s="6" t="s">
        <v>20</v>
      </c>
      <c r="AB805" s="6" t="s">
        <v>20</v>
      </c>
      <c r="AC805" s="6" t="s">
        <v>20</v>
      </c>
      <c r="AD805" s="4" t="s">
        <v>992</v>
      </c>
    </row>
    <row r="806" spans="2:30" x14ac:dyDescent="0.35">
      <c r="B806" s="18">
        <v>1438</v>
      </c>
      <c r="C806" s="67" t="s">
        <v>2348</v>
      </c>
      <c r="D806" s="24" t="s">
        <v>2370</v>
      </c>
      <c r="E806" s="24" t="s">
        <v>2913</v>
      </c>
      <c r="F806" s="4" t="s">
        <v>85</v>
      </c>
      <c r="G806" s="4" t="s">
        <v>993</v>
      </c>
      <c r="H806" s="6">
        <v>1.9400000000000001E-2</v>
      </c>
      <c r="I806" s="8">
        <v>450</v>
      </c>
      <c r="J806" s="8">
        <v>450</v>
      </c>
      <c r="K806" s="8">
        <v>400</v>
      </c>
      <c r="L806" s="8">
        <v>81000000</v>
      </c>
      <c r="M806" s="15">
        <v>7897801322621</v>
      </c>
      <c r="N806" s="6" t="s">
        <v>20</v>
      </c>
      <c r="O806" s="6" t="s">
        <v>20</v>
      </c>
      <c r="P806" s="6" t="s">
        <v>20</v>
      </c>
      <c r="Q806" s="6">
        <v>4.4999999999999998E-2</v>
      </c>
      <c r="R806" s="6">
        <v>0.23</v>
      </c>
      <c r="S806" s="6">
        <v>0.49</v>
      </c>
      <c r="T806" s="8">
        <v>20</v>
      </c>
      <c r="U806" s="5" t="s">
        <v>994</v>
      </c>
      <c r="V806" s="89">
        <v>0</v>
      </c>
      <c r="W806" s="15">
        <v>17897801322628</v>
      </c>
      <c r="X806" s="6">
        <v>0.21</v>
      </c>
      <c r="Y806" s="6">
        <v>0.73</v>
      </c>
      <c r="Z806" s="6">
        <v>0.49</v>
      </c>
      <c r="AA806" s="6">
        <v>7.5116999999999989E-2</v>
      </c>
      <c r="AB806" s="8">
        <v>500</v>
      </c>
      <c r="AC806" s="15">
        <v>27897801322625</v>
      </c>
      <c r="AD806" s="4" t="s">
        <v>992</v>
      </c>
    </row>
    <row r="807" spans="2:30" x14ac:dyDescent="0.35">
      <c r="B807" s="18">
        <v>1439</v>
      </c>
      <c r="C807" s="67" t="s">
        <v>2445</v>
      </c>
      <c r="D807" s="24" t="s">
        <v>2370</v>
      </c>
      <c r="E807" s="24" t="s">
        <v>2913</v>
      </c>
      <c r="F807" s="4" t="s">
        <v>85</v>
      </c>
      <c r="G807" s="4" t="s">
        <v>1012</v>
      </c>
      <c r="H807" s="6">
        <v>4.5600000000000002E-2</v>
      </c>
      <c r="I807" s="8">
        <v>63</v>
      </c>
      <c r="J807" s="8">
        <v>62</v>
      </c>
      <c r="K807" s="8">
        <v>63</v>
      </c>
      <c r="L807" s="8">
        <v>246078</v>
      </c>
      <c r="M807" s="15">
        <v>7897801322713</v>
      </c>
      <c r="N807" s="6" t="s">
        <v>20</v>
      </c>
      <c r="O807" s="6" t="s">
        <v>20</v>
      </c>
      <c r="P807" s="6" t="s">
        <v>20</v>
      </c>
      <c r="Q807" s="6">
        <v>0.35</v>
      </c>
      <c r="R807" s="6">
        <v>7.0000000000000007E-2</v>
      </c>
      <c r="S807" s="6">
        <v>0.35</v>
      </c>
      <c r="T807" s="8">
        <v>25</v>
      </c>
      <c r="U807" s="5" t="s">
        <v>994</v>
      </c>
      <c r="V807" s="89">
        <v>0</v>
      </c>
      <c r="W807" s="15">
        <v>17897801322710</v>
      </c>
      <c r="X807" s="6">
        <v>0.56999999999999995</v>
      </c>
      <c r="Y807" s="6">
        <v>0.21</v>
      </c>
      <c r="Z807" s="6">
        <v>0.8</v>
      </c>
      <c r="AA807" s="6" t="s">
        <v>20</v>
      </c>
      <c r="AB807" s="8">
        <v>300</v>
      </c>
      <c r="AC807" s="15">
        <v>27897801322717</v>
      </c>
      <c r="AD807" s="4" t="s">
        <v>992</v>
      </c>
    </row>
    <row r="808" spans="2:30" x14ac:dyDescent="0.35">
      <c r="B808" s="18">
        <v>1440</v>
      </c>
      <c r="C808" s="67" t="s">
        <v>2429</v>
      </c>
      <c r="D808" s="24" t="s">
        <v>2370</v>
      </c>
      <c r="E808" s="24" t="s">
        <v>2913</v>
      </c>
      <c r="F808" s="4" t="s">
        <v>85</v>
      </c>
      <c r="G808" s="4" t="s">
        <v>1012</v>
      </c>
      <c r="H808" s="6">
        <v>8.3500000000000005E-2</v>
      </c>
      <c r="I808" s="8">
        <v>90</v>
      </c>
      <c r="J808" s="8">
        <v>80</v>
      </c>
      <c r="K808" s="8">
        <v>90</v>
      </c>
      <c r="L808" s="8">
        <v>648000</v>
      </c>
      <c r="M808" s="15">
        <v>7897801319072</v>
      </c>
      <c r="N808" s="6" t="s">
        <v>20</v>
      </c>
      <c r="O808" s="6" t="s">
        <v>20</v>
      </c>
      <c r="P808" s="6" t="s">
        <v>20</v>
      </c>
      <c r="Q808" s="6">
        <v>0.37</v>
      </c>
      <c r="R808" s="6">
        <v>0.08</v>
      </c>
      <c r="S808" s="6">
        <v>0.23</v>
      </c>
      <c r="T808" s="8">
        <v>10</v>
      </c>
      <c r="U808" s="5" t="s">
        <v>994</v>
      </c>
      <c r="V808" s="89">
        <v>0</v>
      </c>
      <c r="W808" s="15">
        <v>17897801319079</v>
      </c>
      <c r="X808" s="6" t="s">
        <v>20</v>
      </c>
      <c r="Y808" s="6" t="s">
        <v>20</v>
      </c>
      <c r="Z808" s="6" t="s">
        <v>20</v>
      </c>
      <c r="AA808" s="6" t="s">
        <v>20</v>
      </c>
      <c r="AB808" s="8" t="s">
        <v>20</v>
      </c>
      <c r="AC808" s="15">
        <v>27897801319076</v>
      </c>
      <c r="AD808" s="4" t="s">
        <v>992</v>
      </c>
    </row>
    <row r="809" spans="2:30" x14ac:dyDescent="0.35">
      <c r="B809" s="18">
        <v>1441</v>
      </c>
      <c r="C809" s="67" t="s">
        <v>757</v>
      </c>
      <c r="D809" s="24" t="s">
        <v>2370</v>
      </c>
      <c r="E809" s="24" t="s">
        <v>2913</v>
      </c>
      <c r="F809" s="4" t="s">
        <v>85</v>
      </c>
      <c r="G809" s="4" t="s">
        <v>993</v>
      </c>
      <c r="H809" s="6">
        <v>0.13500000000000001</v>
      </c>
      <c r="I809" s="8">
        <v>80</v>
      </c>
      <c r="J809" s="8">
        <v>110</v>
      </c>
      <c r="K809" s="8">
        <v>110</v>
      </c>
      <c r="L809" s="8">
        <f>J809*I809*K809</f>
        <v>968000</v>
      </c>
      <c r="M809" s="15">
        <v>7897801313919</v>
      </c>
      <c r="N809" s="6" t="s">
        <v>20</v>
      </c>
      <c r="O809" s="6" t="s">
        <v>20</v>
      </c>
      <c r="P809" s="6" t="s">
        <v>20</v>
      </c>
      <c r="Q809" s="6">
        <v>0.4</v>
      </c>
      <c r="R809" s="6">
        <v>0.11</v>
      </c>
      <c r="S809" s="6">
        <v>0.52</v>
      </c>
      <c r="T809" s="8">
        <v>10</v>
      </c>
      <c r="U809" s="5" t="s">
        <v>994</v>
      </c>
      <c r="V809" s="89">
        <v>0</v>
      </c>
      <c r="W809" s="15">
        <v>17897801313916</v>
      </c>
      <c r="X809" s="6" t="s">
        <v>20</v>
      </c>
      <c r="Y809" s="6" t="s">
        <v>20</v>
      </c>
      <c r="Z809" s="6" t="s">
        <v>20</v>
      </c>
      <c r="AA809" s="6" t="s">
        <v>20</v>
      </c>
      <c r="AB809" s="6" t="s">
        <v>20</v>
      </c>
      <c r="AC809" s="15">
        <v>27897801313913</v>
      </c>
      <c r="AD809" s="4" t="s">
        <v>992</v>
      </c>
    </row>
    <row r="810" spans="2:30" x14ac:dyDescent="0.35">
      <c r="B810" s="18">
        <v>1442</v>
      </c>
      <c r="C810" s="67" t="s">
        <v>2363</v>
      </c>
      <c r="D810" s="24" t="s">
        <v>2370</v>
      </c>
      <c r="E810" s="24" t="s">
        <v>2913</v>
      </c>
      <c r="F810" s="4" t="s">
        <v>85</v>
      </c>
      <c r="G810" s="4" t="s">
        <v>993</v>
      </c>
      <c r="H810" s="6">
        <v>0.34560000000000002</v>
      </c>
      <c r="I810" s="8">
        <v>115</v>
      </c>
      <c r="J810" s="8">
        <v>170</v>
      </c>
      <c r="K810" s="8">
        <v>170</v>
      </c>
      <c r="L810" s="28">
        <v>3323500</v>
      </c>
      <c r="M810" s="15">
        <v>7897801322706</v>
      </c>
      <c r="N810" s="6" t="s">
        <v>20</v>
      </c>
      <c r="O810" s="6" t="s">
        <v>20</v>
      </c>
      <c r="P810" s="6" t="s">
        <v>20</v>
      </c>
      <c r="Q810" s="6">
        <v>0.17</v>
      </c>
      <c r="R810" s="6">
        <v>0.17</v>
      </c>
      <c r="S810" s="6">
        <v>0.115</v>
      </c>
      <c r="T810" s="8">
        <v>1</v>
      </c>
      <c r="U810" s="5" t="s">
        <v>994</v>
      </c>
      <c r="V810" s="89">
        <v>0</v>
      </c>
      <c r="W810" s="15">
        <v>17897801322703</v>
      </c>
      <c r="X810" s="6">
        <v>0.32</v>
      </c>
      <c r="Y810" s="6">
        <v>0.17</v>
      </c>
      <c r="Z810" s="6">
        <v>0.46</v>
      </c>
      <c r="AA810" s="6">
        <v>2.5000000000000001E-2</v>
      </c>
      <c r="AB810" s="8">
        <v>5</v>
      </c>
      <c r="AC810" s="15">
        <v>27897801322700</v>
      </c>
      <c r="AD810" s="4" t="s">
        <v>992</v>
      </c>
    </row>
    <row r="811" spans="2:30" x14ac:dyDescent="0.35">
      <c r="B811" s="18">
        <v>1444</v>
      </c>
      <c r="C811" s="67" t="s">
        <v>2364</v>
      </c>
      <c r="D811" s="24" t="s">
        <v>2370</v>
      </c>
      <c r="E811" s="24" t="s">
        <v>2913</v>
      </c>
      <c r="F811" s="4" t="s">
        <v>85</v>
      </c>
      <c r="G811" s="4" t="s">
        <v>993</v>
      </c>
      <c r="H811" s="6">
        <v>3.56E-2</v>
      </c>
      <c r="I811" s="8">
        <v>66</v>
      </c>
      <c r="J811" s="8">
        <v>45</v>
      </c>
      <c r="K811" s="8">
        <v>45</v>
      </c>
      <c r="L811" s="28">
        <v>133650</v>
      </c>
      <c r="M811" s="15">
        <v>7897801322522</v>
      </c>
      <c r="N811" s="6" t="s">
        <v>20</v>
      </c>
      <c r="O811" s="6" t="s">
        <v>20</v>
      </c>
      <c r="P811" s="6" t="s">
        <v>20</v>
      </c>
      <c r="Q811" s="6">
        <v>0.18</v>
      </c>
      <c r="R811" s="6">
        <v>4.5999999999999999E-2</v>
      </c>
      <c r="S811" s="6">
        <v>0.31</v>
      </c>
      <c r="T811" s="8">
        <v>10</v>
      </c>
      <c r="U811" s="5" t="s">
        <v>994</v>
      </c>
      <c r="V811" s="89">
        <v>0</v>
      </c>
      <c r="W811" s="15">
        <v>17897801322529</v>
      </c>
      <c r="X811" s="6">
        <v>0.55000000000000004</v>
      </c>
      <c r="Y811" s="6">
        <v>0.24</v>
      </c>
      <c r="Z811" s="6">
        <v>0.83</v>
      </c>
      <c r="AA811" s="6">
        <v>0.1096</v>
      </c>
      <c r="AB811" s="8">
        <v>400</v>
      </c>
      <c r="AC811" s="15">
        <v>27897801322526</v>
      </c>
      <c r="AD811" s="4" t="s">
        <v>992</v>
      </c>
    </row>
    <row r="812" spans="2:30" x14ac:dyDescent="0.35">
      <c r="B812" s="18">
        <v>1445</v>
      </c>
      <c r="C812" s="67" t="s">
        <v>2356</v>
      </c>
      <c r="D812" s="24" t="s">
        <v>2370</v>
      </c>
      <c r="E812" s="24" t="s">
        <v>2913</v>
      </c>
      <c r="F812" s="4" t="s">
        <v>85</v>
      </c>
      <c r="G812" s="4" t="s">
        <v>993</v>
      </c>
      <c r="H812" s="6">
        <v>6.8699999999999997E-2</v>
      </c>
      <c r="I812" s="8">
        <v>80</v>
      </c>
      <c r="J812" s="8">
        <v>80</v>
      </c>
      <c r="K812" s="8">
        <v>68</v>
      </c>
      <c r="L812" s="8">
        <v>435200</v>
      </c>
      <c r="M812" s="15">
        <v>7897801322515</v>
      </c>
      <c r="N812" s="6" t="s">
        <v>20</v>
      </c>
      <c r="O812" s="6" t="s">
        <v>20</v>
      </c>
      <c r="P812" s="6" t="s">
        <v>20</v>
      </c>
      <c r="Q812" s="6">
        <v>0.2</v>
      </c>
      <c r="R812" s="6">
        <v>8.5000000000000006E-2</v>
      </c>
      <c r="S812" s="6">
        <v>0.28000000000000003</v>
      </c>
      <c r="T812" s="8">
        <v>10</v>
      </c>
      <c r="U812" s="5" t="s">
        <v>994</v>
      </c>
      <c r="V812" s="89">
        <v>0</v>
      </c>
      <c r="W812" s="15">
        <v>17897801322512</v>
      </c>
      <c r="X812" s="6">
        <v>0.54</v>
      </c>
      <c r="Y812" s="6">
        <v>0.22</v>
      </c>
      <c r="Z812" s="6">
        <v>0.82</v>
      </c>
      <c r="AA812" s="6">
        <v>9.7416000000000003E-2</v>
      </c>
      <c r="AB812" s="8">
        <v>200</v>
      </c>
      <c r="AC812" s="15">
        <v>27897801322519</v>
      </c>
      <c r="AD812" s="4" t="s">
        <v>992</v>
      </c>
    </row>
    <row r="813" spans="2:30" x14ac:dyDescent="0.35">
      <c r="B813" s="18">
        <v>1446</v>
      </c>
      <c r="C813" s="67" t="s">
        <v>2336</v>
      </c>
      <c r="D813" s="24" t="s">
        <v>2370</v>
      </c>
      <c r="E813" s="24" t="s">
        <v>2913</v>
      </c>
      <c r="F813" s="4" t="s">
        <v>85</v>
      </c>
      <c r="G813" s="4" t="s">
        <v>993</v>
      </c>
      <c r="H813" s="6">
        <v>0.1196</v>
      </c>
      <c r="I813" s="8">
        <v>90</v>
      </c>
      <c r="J813" s="8">
        <v>90</v>
      </c>
      <c r="K813" s="8">
        <v>90</v>
      </c>
      <c r="L813" s="28">
        <v>729000</v>
      </c>
      <c r="M813" s="15">
        <v>7897801322508</v>
      </c>
      <c r="N813" s="6" t="s">
        <v>20</v>
      </c>
      <c r="O813" s="6" t="s">
        <v>20</v>
      </c>
      <c r="P813" s="6" t="s">
        <v>20</v>
      </c>
      <c r="Q813" s="6">
        <v>0.23</v>
      </c>
      <c r="R813" s="6">
        <v>0.11</v>
      </c>
      <c r="S813" s="6">
        <v>0.43</v>
      </c>
      <c r="T813" s="8">
        <v>10</v>
      </c>
      <c r="U813" s="5" t="s">
        <v>994</v>
      </c>
      <c r="V813" s="89">
        <v>0</v>
      </c>
      <c r="W813" s="15">
        <v>17897801322505</v>
      </c>
      <c r="X813" s="27">
        <v>0.49</v>
      </c>
      <c r="Y813" s="27">
        <v>0.24</v>
      </c>
      <c r="Z813" s="27">
        <v>0.75</v>
      </c>
      <c r="AA813" s="27">
        <v>8.8200000000000001E-2</v>
      </c>
      <c r="AB813" s="28">
        <v>100</v>
      </c>
      <c r="AC813" s="29">
        <v>27897801322502</v>
      </c>
      <c r="AD813" s="4" t="s">
        <v>992</v>
      </c>
    </row>
    <row r="814" spans="2:30" x14ac:dyDescent="0.35">
      <c r="B814" s="18">
        <v>1447</v>
      </c>
      <c r="C814" s="67" t="s">
        <v>2337</v>
      </c>
      <c r="D814" s="24" t="s">
        <v>2370</v>
      </c>
      <c r="E814" s="24" t="s">
        <v>2913</v>
      </c>
      <c r="F814" s="4" t="s">
        <v>85</v>
      </c>
      <c r="G814" s="4" t="s">
        <v>993</v>
      </c>
      <c r="H814" s="6">
        <v>0.25130000000000002</v>
      </c>
      <c r="I814" s="8">
        <v>134</v>
      </c>
      <c r="J814" s="8">
        <v>118</v>
      </c>
      <c r="K814" s="8">
        <v>118</v>
      </c>
      <c r="L814" s="28">
        <v>1865816</v>
      </c>
      <c r="M814" s="15">
        <v>7897801322461</v>
      </c>
      <c r="N814" s="6" t="s">
        <v>20</v>
      </c>
      <c r="O814" s="6" t="s">
        <v>20</v>
      </c>
      <c r="P814" s="6" t="s">
        <v>20</v>
      </c>
      <c r="Q814" s="6">
        <v>0.35</v>
      </c>
      <c r="R814" s="6">
        <v>0.11799999999999999</v>
      </c>
      <c r="S814" s="6">
        <v>0.49</v>
      </c>
      <c r="T814" s="8">
        <v>10</v>
      </c>
      <c r="U814" s="5" t="s">
        <v>994</v>
      </c>
      <c r="V814" s="89">
        <v>0</v>
      </c>
      <c r="W814" s="15">
        <v>17897801322468</v>
      </c>
      <c r="X814" s="6" t="s">
        <v>20</v>
      </c>
      <c r="Y814" s="6" t="s">
        <v>20</v>
      </c>
      <c r="Z814" s="6" t="s">
        <v>20</v>
      </c>
      <c r="AA814" s="6" t="s">
        <v>20</v>
      </c>
      <c r="AB814" s="6" t="s">
        <v>20</v>
      </c>
      <c r="AC814" s="6" t="s">
        <v>20</v>
      </c>
      <c r="AD814" s="4" t="s">
        <v>992</v>
      </c>
    </row>
    <row r="815" spans="2:30" x14ac:dyDescent="0.35">
      <c r="B815" s="18">
        <v>1448</v>
      </c>
      <c r="C815" s="67" t="s">
        <v>2349</v>
      </c>
      <c r="D815" s="24" t="s">
        <v>2370</v>
      </c>
      <c r="E815" s="24" t="s">
        <v>2913</v>
      </c>
      <c r="F815" s="4" t="s">
        <v>85</v>
      </c>
      <c r="G815" s="4" t="s">
        <v>993</v>
      </c>
      <c r="H815" s="6">
        <v>0.53800000000000003</v>
      </c>
      <c r="I815" s="8">
        <v>145</v>
      </c>
      <c r="J815" s="8">
        <v>175</v>
      </c>
      <c r="K815" s="8">
        <v>175</v>
      </c>
      <c r="L815" s="8">
        <v>4440625</v>
      </c>
      <c r="M815" s="15">
        <v>7897801322690</v>
      </c>
      <c r="N815" s="6" t="s">
        <v>20</v>
      </c>
      <c r="O815" s="6" t="s">
        <v>20</v>
      </c>
      <c r="P815" s="6" t="s">
        <v>20</v>
      </c>
      <c r="Q815" s="6">
        <v>0.17499999999999999</v>
      </c>
      <c r="R815" s="6">
        <v>0.17499999999999999</v>
      </c>
      <c r="S815" s="6">
        <v>0.14499999999999999</v>
      </c>
      <c r="T815" s="8">
        <v>1</v>
      </c>
      <c r="U815" s="5" t="s">
        <v>994</v>
      </c>
      <c r="V815" s="89">
        <v>0</v>
      </c>
      <c r="W815" s="15">
        <v>17897801322697</v>
      </c>
      <c r="X815" s="6">
        <v>0.47</v>
      </c>
      <c r="Y815" s="6">
        <v>0.17</v>
      </c>
      <c r="Z815" s="6">
        <v>0.62</v>
      </c>
      <c r="AA815" s="6">
        <v>4.9537999999999999E-2</v>
      </c>
      <c r="AB815" s="8">
        <v>5</v>
      </c>
      <c r="AC815" s="15">
        <v>27897801322694</v>
      </c>
      <c r="AD815" s="4" t="s">
        <v>992</v>
      </c>
    </row>
    <row r="816" spans="2:30" x14ac:dyDescent="0.35">
      <c r="B816" s="18">
        <v>1450</v>
      </c>
      <c r="C816" s="67" t="s">
        <v>2430</v>
      </c>
      <c r="D816" s="24" t="s">
        <v>2370</v>
      </c>
      <c r="E816" s="24" t="s">
        <v>2913</v>
      </c>
      <c r="F816" s="4" t="s">
        <v>85</v>
      </c>
      <c r="G816" s="4" t="s">
        <v>1012</v>
      </c>
      <c r="H816" s="6">
        <v>9.35E-2</v>
      </c>
      <c r="I816" s="8">
        <v>103</v>
      </c>
      <c r="J816" s="8">
        <v>75</v>
      </c>
      <c r="K816" s="8">
        <v>75</v>
      </c>
      <c r="L816" s="8">
        <v>579375</v>
      </c>
      <c r="M816" s="15">
        <v>7897801322492</v>
      </c>
      <c r="N816" s="6" t="s">
        <v>20</v>
      </c>
      <c r="O816" s="6" t="s">
        <v>20</v>
      </c>
      <c r="P816" s="6" t="s">
        <v>20</v>
      </c>
      <c r="Q816" s="6">
        <v>0.4</v>
      </c>
      <c r="R816" s="6">
        <v>0.28000000000000003</v>
      </c>
      <c r="S816" s="6">
        <v>7.4999999999999997E-2</v>
      </c>
      <c r="T816" s="8">
        <v>10</v>
      </c>
      <c r="U816" s="5" t="s">
        <v>994</v>
      </c>
      <c r="V816" s="89">
        <v>0</v>
      </c>
      <c r="W816" s="15">
        <v>17897801322499</v>
      </c>
      <c r="X816" s="6">
        <v>0.79</v>
      </c>
      <c r="Y816" s="6">
        <v>0.56999999999999995</v>
      </c>
      <c r="Z816" s="6">
        <v>0.28999999999999998</v>
      </c>
      <c r="AA816" s="6">
        <v>0.13059999999999999</v>
      </c>
      <c r="AB816" s="8">
        <v>140</v>
      </c>
      <c r="AC816" s="15">
        <v>27897801322496</v>
      </c>
      <c r="AD816" s="4" t="s">
        <v>992</v>
      </c>
    </row>
    <row r="817" spans="2:30" x14ac:dyDescent="0.35">
      <c r="B817" s="18">
        <v>1451</v>
      </c>
      <c r="C817" s="67" t="s">
        <v>2362</v>
      </c>
      <c r="D817" s="24" t="s">
        <v>2370</v>
      </c>
      <c r="E817" s="24" t="s">
        <v>2913</v>
      </c>
      <c r="F817" s="4" t="s">
        <v>85</v>
      </c>
      <c r="G817" s="4" t="s">
        <v>993</v>
      </c>
      <c r="H817" s="6">
        <v>0.74060000000000004</v>
      </c>
      <c r="I817" s="8">
        <v>172</v>
      </c>
      <c r="J817" s="8">
        <v>200</v>
      </c>
      <c r="K817" s="8">
        <v>200</v>
      </c>
      <c r="L817" s="28">
        <v>6880000</v>
      </c>
      <c r="M817" s="15">
        <v>7897801322683</v>
      </c>
      <c r="N817" s="6" t="s">
        <v>20</v>
      </c>
      <c r="O817" s="6" t="s">
        <v>20</v>
      </c>
      <c r="P817" s="6" t="s">
        <v>20</v>
      </c>
      <c r="Q817" s="6">
        <v>0.2</v>
      </c>
      <c r="R817" s="6">
        <v>0.2</v>
      </c>
      <c r="S817" s="6">
        <v>0.17199999999999999</v>
      </c>
      <c r="T817" s="8">
        <v>1</v>
      </c>
      <c r="U817" s="5" t="s">
        <v>994</v>
      </c>
      <c r="V817" s="89">
        <v>0</v>
      </c>
      <c r="W817" s="15">
        <v>17897801322680</v>
      </c>
      <c r="X817" s="6">
        <v>0.2</v>
      </c>
      <c r="Y817" s="6">
        <v>0.42</v>
      </c>
      <c r="Z817" s="6">
        <v>0.64</v>
      </c>
      <c r="AA817" s="6">
        <v>5.3800000000000001E-2</v>
      </c>
      <c r="AB817" s="8">
        <v>12</v>
      </c>
      <c r="AC817" s="15">
        <v>27897801322687</v>
      </c>
      <c r="AD817" s="4" t="s">
        <v>992</v>
      </c>
    </row>
    <row r="818" spans="2:30" x14ac:dyDescent="0.35">
      <c r="B818" s="18">
        <v>1452</v>
      </c>
      <c r="C818" s="67" t="s">
        <v>758</v>
      </c>
      <c r="D818" s="24" t="s">
        <v>2370</v>
      </c>
      <c r="E818" s="24" t="s">
        <v>2913</v>
      </c>
      <c r="F818" s="4" t="s">
        <v>85</v>
      </c>
      <c r="G818" s="4" t="s">
        <v>993</v>
      </c>
      <c r="H818" s="6">
        <v>0.158</v>
      </c>
      <c r="I818" s="8">
        <v>120</v>
      </c>
      <c r="J818" s="8">
        <v>110</v>
      </c>
      <c r="K818" s="8">
        <v>90</v>
      </c>
      <c r="L818" s="8">
        <f>J818*I818*K818</f>
        <v>1188000</v>
      </c>
      <c r="M818" s="15">
        <v>7897801313926</v>
      </c>
      <c r="N818" s="6" t="s">
        <v>20</v>
      </c>
      <c r="O818" s="6" t="s">
        <v>20</v>
      </c>
      <c r="P818" s="6" t="s">
        <v>20</v>
      </c>
      <c r="Q818" s="6">
        <v>0.4</v>
      </c>
      <c r="R818" s="6">
        <v>0.11</v>
      </c>
      <c r="S818" s="6">
        <v>0.43</v>
      </c>
      <c r="T818" s="8">
        <v>10</v>
      </c>
      <c r="U818" s="5" t="s">
        <v>994</v>
      </c>
      <c r="V818" s="89">
        <v>0</v>
      </c>
      <c r="W818" s="15">
        <v>17897801313923</v>
      </c>
      <c r="X818" s="6" t="s">
        <v>20</v>
      </c>
      <c r="Y818" s="6" t="s">
        <v>20</v>
      </c>
      <c r="Z818" s="6" t="s">
        <v>20</v>
      </c>
      <c r="AA818" s="6" t="s">
        <v>20</v>
      </c>
      <c r="AB818" s="6" t="s">
        <v>20</v>
      </c>
      <c r="AC818" s="15">
        <v>27897801313920</v>
      </c>
      <c r="AD818" s="4" t="s">
        <v>992</v>
      </c>
    </row>
    <row r="819" spans="2:30" x14ac:dyDescent="0.35">
      <c r="B819" s="18">
        <v>1453</v>
      </c>
      <c r="C819" s="67" t="s">
        <v>2338</v>
      </c>
      <c r="D819" s="24" t="s">
        <v>2370</v>
      </c>
      <c r="E819" s="24" t="s">
        <v>2913</v>
      </c>
      <c r="F819" s="4" t="s">
        <v>85</v>
      </c>
      <c r="G819" s="4" t="s">
        <v>993</v>
      </c>
      <c r="H819" s="6">
        <v>0.35799999999999998</v>
      </c>
      <c r="I819" s="8">
        <v>150</v>
      </c>
      <c r="J819" s="8">
        <v>145</v>
      </c>
      <c r="K819" s="8">
        <v>150</v>
      </c>
      <c r="L819" s="28">
        <v>3262500</v>
      </c>
      <c r="M819" s="15">
        <v>7897801322454</v>
      </c>
      <c r="N819" s="6" t="s">
        <v>20</v>
      </c>
      <c r="O819" s="6" t="s">
        <v>20</v>
      </c>
      <c r="P819" s="6" t="s">
        <v>20</v>
      </c>
      <c r="Q819" s="6">
        <v>0.15</v>
      </c>
      <c r="R819" s="6">
        <v>0.25</v>
      </c>
      <c r="S819" s="6">
        <v>0.33</v>
      </c>
      <c r="T819" s="8">
        <v>5</v>
      </c>
      <c r="U819" s="5" t="s">
        <v>994</v>
      </c>
      <c r="V819" s="89">
        <v>0</v>
      </c>
      <c r="W819" s="15">
        <v>17897801322451</v>
      </c>
      <c r="X819" s="6" t="s">
        <v>20</v>
      </c>
      <c r="Y819" s="6" t="s">
        <v>20</v>
      </c>
      <c r="Z819" s="6" t="s">
        <v>20</v>
      </c>
      <c r="AA819" s="6" t="s">
        <v>20</v>
      </c>
      <c r="AB819" s="6" t="s">
        <v>20</v>
      </c>
      <c r="AC819" s="6" t="s">
        <v>20</v>
      </c>
      <c r="AD819" s="4" t="s">
        <v>992</v>
      </c>
    </row>
    <row r="820" spans="2:30" x14ac:dyDescent="0.35">
      <c r="B820" s="18">
        <v>1456</v>
      </c>
      <c r="C820" s="67" t="s">
        <v>2350</v>
      </c>
      <c r="D820" s="24" t="s">
        <v>2370</v>
      </c>
      <c r="E820" s="24" t="s">
        <v>2913</v>
      </c>
      <c r="F820" s="4" t="s">
        <v>85</v>
      </c>
      <c r="G820" s="4" t="s">
        <v>993</v>
      </c>
      <c r="H820" s="6">
        <v>4.5600000000000002E-2</v>
      </c>
      <c r="I820" s="8">
        <v>79</v>
      </c>
      <c r="J820" s="8">
        <v>61</v>
      </c>
      <c r="K820" s="8">
        <v>46</v>
      </c>
      <c r="L820" s="8">
        <v>221674</v>
      </c>
      <c r="M820" s="15">
        <v>7897801322553</v>
      </c>
      <c r="N820" s="6" t="s">
        <v>20</v>
      </c>
      <c r="O820" s="6" t="s">
        <v>20</v>
      </c>
      <c r="P820" s="6" t="s">
        <v>20</v>
      </c>
      <c r="Q820" s="6">
        <v>0.24</v>
      </c>
      <c r="R820" s="6">
        <v>0.62</v>
      </c>
      <c r="S820" s="6">
        <v>0.28999999999999998</v>
      </c>
      <c r="T820" s="8">
        <v>10</v>
      </c>
      <c r="U820" s="5" t="s">
        <v>994</v>
      </c>
      <c r="V820" s="89">
        <v>0</v>
      </c>
      <c r="W820" s="15">
        <v>17897801322550</v>
      </c>
      <c r="X820" s="6">
        <v>0.24</v>
      </c>
      <c r="Y820" s="6">
        <v>0.62</v>
      </c>
      <c r="Z820" s="6">
        <v>0.28999999999999998</v>
      </c>
      <c r="AA820" s="6">
        <v>4.3151999999999996E-2</v>
      </c>
      <c r="AB820" s="8">
        <v>200</v>
      </c>
      <c r="AC820" s="15">
        <v>27897801322557</v>
      </c>
      <c r="AD820" s="4" t="s">
        <v>992</v>
      </c>
    </row>
    <row r="821" spans="2:30" x14ac:dyDescent="0.35">
      <c r="B821" s="18">
        <v>1457</v>
      </c>
      <c r="C821" s="67" t="s">
        <v>2431</v>
      </c>
      <c r="D821" s="24" t="s">
        <v>2370</v>
      </c>
      <c r="E821" s="24" t="s">
        <v>2913</v>
      </c>
      <c r="F821" s="4" t="s">
        <v>85</v>
      </c>
      <c r="G821" s="4" t="s">
        <v>1012</v>
      </c>
      <c r="H821" s="6">
        <v>0.1222</v>
      </c>
      <c r="I821" s="8">
        <v>145</v>
      </c>
      <c r="J821" s="8">
        <v>63</v>
      </c>
      <c r="K821" s="8">
        <v>115</v>
      </c>
      <c r="L821" s="8">
        <v>1050525</v>
      </c>
      <c r="M821" s="15">
        <v>7897801322485</v>
      </c>
      <c r="N821" s="6" t="s">
        <v>20</v>
      </c>
      <c r="O821" s="6" t="s">
        <v>20</v>
      </c>
      <c r="P821" s="6" t="s">
        <v>20</v>
      </c>
      <c r="Q821" s="6">
        <v>0.3</v>
      </c>
      <c r="R821" s="6">
        <v>0.105</v>
      </c>
      <c r="S821" s="6">
        <v>0.53</v>
      </c>
      <c r="T821" s="8">
        <v>10</v>
      </c>
      <c r="U821" s="5" t="s">
        <v>994</v>
      </c>
      <c r="V821" s="89">
        <v>0</v>
      </c>
      <c r="W821" s="15">
        <v>17897801322482</v>
      </c>
      <c r="X821" s="6">
        <v>0.59</v>
      </c>
      <c r="Y821" s="6">
        <v>0.24</v>
      </c>
      <c r="Z821" s="6">
        <v>0.85</v>
      </c>
      <c r="AA821" s="6">
        <v>0.12039999999999999</v>
      </c>
      <c r="AB821" s="8">
        <v>90</v>
      </c>
      <c r="AC821" s="15">
        <v>27897801322489</v>
      </c>
      <c r="AD821" s="4" t="s">
        <v>992</v>
      </c>
    </row>
    <row r="822" spans="2:30" x14ac:dyDescent="0.35">
      <c r="B822" s="18">
        <v>1458</v>
      </c>
      <c r="C822" s="67" t="s">
        <v>759</v>
      </c>
      <c r="D822" s="24" t="s">
        <v>2370</v>
      </c>
      <c r="E822" s="24" t="s">
        <v>2913</v>
      </c>
      <c r="F822" s="4" t="s">
        <v>85</v>
      </c>
      <c r="G822" s="4" t="s">
        <v>993</v>
      </c>
      <c r="H822" s="6">
        <v>0.23499999999999999</v>
      </c>
      <c r="I822" s="8">
        <v>180</v>
      </c>
      <c r="J822" s="8">
        <v>150</v>
      </c>
      <c r="K822" s="8">
        <v>90</v>
      </c>
      <c r="L822" s="8">
        <f>J822*I822*K822</f>
        <v>2430000</v>
      </c>
      <c r="M822" s="15">
        <v>7897801313933</v>
      </c>
      <c r="N822" s="6" t="s">
        <v>20</v>
      </c>
      <c r="O822" s="6" t="s">
        <v>20</v>
      </c>
      <c r="P822" s="6" t="s">
        <v>20</v>
      </c>
      <c r="Q822" s="6">
        <v>0.38</v>
      </c>
      <c r="R822" s="6">
        <v>0.18</v>
      </c>
      <c r="S822" s="6">
        <v>0.6</v>
      </c>
      <c r="T822" s="8">
        <v>10</v>
      </c>
      <c r="U822" s="5" t="s">
        <v>994</v>
      </c>
      <c r="V822" s="89">
        <v>0</v>
      </c>
      <c r="W822" s="15">
        <v>17897801313930</v>
      </c>
      <c r="X822" s="6" t="s">
        <v>20</v>
      </c>
      <c r="Y822" s="6" t="s">
        <v>20</v>
      </c>
      <c r="Z822" s="6" t="s">
        <v>20</v>
      </c>
      <c r="AA822" s="6" t="s">
        <v>20</v>
      </c>
      <c r="AB822" s="6" t="s">
        <v>20</v>
      </c>
      <c r="AC822" s="15">
        <v>27897801313937</v>
      </c>
      <c r="AD822" s="4" t="s">
        <v>992</v>
      </c>
    </row>
    <row r="823" spans="2:30" x14ac:dyDescent="0.35">
      <c r="B823" s="18">
        <v>1459</v>
      </c>
      <c r="C823" s="67" t="s">
        <v>760</v>
      </c>
      <c r="D823" s="24" t="s">
        <v>2370</v>
      </c>
      <c r="E823" s="24" t="s">
        <v>2913</v>
      </c>
      <c r="F823" s="4" t="s">
        <v>85</v>
      </c>
      <c r="G823" s="4" t="s">
        <v>993</v>
      </c>
      <c r="H823" s="6">
        <v>0.437</v>
      </c>
      <c r="I823" s="8">
        <v>165</v>
      </c>
      <c r="J823" s="8">
        <v>210</v>
      </c>
      <c r="K823" s="8">
        <v>110</v>
      </c>
      <c r="L823" s="8">
        <f>J823*I823*K823</f>
        <v>3811500</v>
      </c>
      <c r="M823" s="15">
        <v>7897801313940</v>
      </c>
      <c r="N823" s="6" t="s">
        <v>20</v>
      </c>
      <c r="O823" s="6" t="s">
        <v>20</v>
      </c>
      <c r="P823" s="6" t="s">
        <v>20</v>
      </c>
      <c r="Q823" s="6">
        <v>0.35</v>
      </c>
      <c r="R823" s="6">
        <v>0.12</v>
      </c>
      <c r="S823" s="6">
        <v>0.43</v>
      </c>
      <c r="T823" s="8">
        <v>4</v>
      </c>
      <c r="U823" s="5" t="s">
        <v>994</v>
      </c>
      <c r="V823" s="89">
        <v>0</v>
      </c>
      <c r="W823" s="15">
        <v>17897801313947</v>
      </c>
      <c r="X823" s="6" t="s">
        <v>20</v>
      </c>
      <c r="Y823" s="6" t="s">
        <v>20</v>
      </c>
      <c r="Z823" s="6" t="s">
        <v>20</v>
      </c>
      <c r="AA823" s="6" t="s">
        <v>20</v>
      </c>
      <c r="AB823" s="6" t="s">
        <v>20</v>
      </c>
      <c r="AC823" s="15">
        <v>27897801313944</v>
      </c>
      <c r="AD823" s="4" t="s">
        <v>992</v>
      </c>
    </row>
    <row r="824" spans="2:30" x14ac:dyDescent="0.35">
      <c r="B824" s="18">
        <v>1460</v>
      </c>
      <c r="C824" s="68" t="s">
        <v>2357</v>
      </c>
      <c r="D824" s="24" t="s">
        <v>2370</v>
      </c>
      <c r="E824" s="24" t="s">
        <v>2913</v>
      </c>
      <c r="F824" s="4" t="s">
        <v>85</v>
      </c>
      <c r="G824" s="4" t="s">
        <v>1012</v>
      </c>
      <c r="H824" s="6">
        <v>1.0591999999999999</v>
      </c>
      <c r="I824" s="8">
        <v>290</v>
      </c>
      <c r="J824" s="8">
        <v>250</v>
      </c>
      <c r="K824" s="8">
        <v>172</v>
      </c>
      <c r="L824" s="28">
        <v>12470000</v>
      </c>
      <c r="M824" s="15">
        <v>7897801322676</v>
      </c>
      <c r="N824" s="6" t="s">
        <v>20</v>
      </c>
      <c r="O824" s="6" t="s">
        <v>20</v>
      </c>
      <c r="P824" s="6" t="s">
        <v>20</v>
      </c>
      <c r="Q824" s="6">
        <v>0.17199999999999999</v>
      </c>
      <c r="R824" s="6">
        <v>0.25</v>
      </c>
      <c r="S824" s="6">
        <v>0.28999999999999998</v>
      </c>
      <c r="T824" s="8">
        <v>1</v>
      </c>
      <c r="U824" s="5" t="s">
        <v>994</v>
      </c>
      <c r="V824" s="89">
        <v>0</v>
      </c>
      <c r="W824" s="15">
        <v>17897801322673</v>
      </c>
      <c r="X824" s="6">
        <v>0.23</v>
      </c>
      <c r="Y824" s="6">
        <v>0.5</v>
      </c>
      <c r="Z824" s="6">
        <v>0.7</v>
      </c>
      <c r="AA824" s="6">
        <v>8.0500000000000002E-2</v>
      </c>
      <c r="AB824" s="8">
        <v>5</v>
      </c>
      <c r="AC824" s="8">
        <v>27897801322670</v>
      </c>
      <c r="AD824" s="4" t="s">
        <v>992</v>
      </c>
    </row>
    <row r="825" spans="2:30" x14ac:dyDescent="0.35">
      <c r="B825" s="18">
        <v>1462</v>
      </c>
      <c r="C825" s="67" t="s">
        <v>2361</v>
      </c>
      <c r="D825" s="24" t="s">
        <v>2370</v>
      </c>
      <c r="E825" s="24" t="s">
        <v>2913</v>
      </c>
      <c r="F825" s="4" t="s">
        <v>85</v>
      </c>
      <c r="G825" s="4" t="s">
        <v>993</v>
      </c>
      <c r="H825" s="6">
        <v>0.185</v>
      </c>
      <c r="I825" s="8">
        <v>151</v>
      </c>
      <c r="J825" s="8">
        <v>130</v>
      </c>
      <c r="K825" s="8">
        <v>90</v>
      </c>
      <c r="L825" s="28">
        <v>1766700</v>
      </c>
      <c r="M825" s="15">
        <v>7897801322478</v>
      </c>
      <c r="N825" s="6" t="s">
        <v>20</v>
      </c>
      <c r="O825" s="6" t="s">
        <v>20</v>
      </c>
      <c r="P825" s="6" t="s">
        <v>20</v>
      </c>
      <c r="Q825" s="6">
        <v>0.38</v>
      </c>
      <c r="R825" s="6">
        <v>0.13</v>
      </c>
      <c r="S825" s="6">
        <v>0.43</v>
      </c>
      <c r="T825" s="8">
        <v>10</v>
      </c>
      <c r="U825" s="5" t="s">
        <v>994</v>
      </c>
      <c r="V825" s="89">
        <v>0</v>
      </c>
      <c r="W825" s="15">
        <v>17897801322475</v>
      </c>
      <c r="X825" s="6" t="s">
        <v>20</v>
      </c>
      <c r="Y825" s="6" t="s">
        <v>20</v>
      </c>
      <c r="Z825" s="6" t="s">
        <v>20</v>
      </c>
      <c r="AA825" s="6" t="s">
        <v>20</v>
      </c>
      <c r="AB825" s="6" t="s">
        <v>20</v>
      </c>
      <c r="AC825" s="15">
        <v>27897801322472</v>
      </c>
      <c r="AD825" s="4" t="s">
        <v>992</v>
      </c>
    </row>
    <row r="826" spans="2:30" x14ac:dyDescent="0.35">
      <c r="B826" s="18">
        <v>1463</v>
      </c>
      <c r="C826" s="67" t="s">
        <v>2436</v>
      </c>
      <c r="D826" s="24" t="s">
        <v>2370</v>
      </c>
      <c r="E826" s="24" t="s">
        <v>2913</v>
      </c>
      <c r="F826" s="4" t="s">
        <v>85</v>
      </c>
      <c r="G826" s="4" t="s">
        <v>993</v>
      </c>
      <c r="H826" s="6">
        <v>0.29199999999999998</v>
      </c>
      <c r="I826" s="8">
        <v>160</v>
      </c>
      <c r="J826" s="8">
        <v>120</v>
      </c>
      <c r="K826" s="8">
        <v>150</v>
      </c>
      <c r="L826" s="8">
        <v>2880000</v>
      </c>
      <c r="M826" s="15">
        <v>7897801313957</v>
      </c>
      <c r="N826" s="6" t="s">
        <v>20</v>
      </c>
      <c r="O826" s="6" t="s">
        <v>20</v>
      </c>
      <c r="P826" s="6" t="s">
        <v>20</v>
      </c>
      <c r="Q826" s="6">
        <v>0.45</v>
      </c>
      <c r="R826" s="6">
        <v>0.19</v>
      </c>
      <c r="S826" s="6">
        <v>0.6</v>
      </c>
      <c r="T826" s="8">
        <v>5</v>
      </c>
      <c r="U826" s="5" t="s">
        <v>994</v>
      </c>
      <c r="V826" s="89">
        <v>0</v>
      </c>
      <c r="W826" s="15">
        <v>17897801313954</v>
      </c>
      <c r="X826" s="6" t="s">
        <v>20</v>
      </c>
      <c r="Y826" s="6" t="s">
        <v>20</v>
      </c>
      <c r="Z826" s="6" t="s">
        <v>20</v>
      </c>
      <c r="AA826" s="6" t="s">
        <v>20</v>
      </c>
      <c r="AB826" s="8" t="s">
        <v>2424</v>
      </c>
      <c r="AC826" s="15">
        <v>27897801313951</v>
      </c>
      <c r="AD826" s="4" t="s">
        <v>992</v>
      </c>
    </row>
    <row r="827" spans="2:30" x14ac:dyDescent="0.35">
      <c r="B827" s="18">
        <v>1464</v>
      </c>
      <c r="C827" s="67" t="s">
        <v>2432</v>
      </c>
      <c r="D827" s="24" t="s">
        <v>2370</v>
      </c>
      <c r="E827" s="24" t="s">
        <v>2913</v>
      </c>
      <c r="F827" s="4" t="s">
        <v>85</v>
      </c>
      <c r="G827" s="4" t="s">
        <v>1012</v>
      </c>
      <c r="H827" s="6">
        <v>0.35510000000000003</v>
      </c>
      <c r="I827" s="8">
        <v>185</v>
      </c>
      <c r="J827" s="8">
        <v>115</v>
      </c>
      <c r="K827" s="8">
        <v>160</v>
      </c>
      <c r="L827" s="28">
        <v>3404000</v>
      </c>
      <c r="M827" s="15">
        <v>7897801322447</v>
      </c>
      <c r="N827" s="6" t="s">
        <v>20</v>
      </c>
      <c r="O827" s="6" t="s">
        <v>20</v>
      </c>
      <c r="P827" s="6" t="s">
        <v>20</v>
      </c>
      <c r="Q827" s="6">
        <v>0.41</v>
      </c>
      <c r="R827" s="6">
        <v>0.12</v>
      </c>
      <c r="S827" s="6">
        <v>0.56000000000000005</v>
      </c>
      <c r="T827" s="8">
        <v>1</v>
      </c>
      <c r="U827" s="5" t="s">
        <v>994</v>
      </c>
      <c r="V827" s="89">
        <v>0</v>
      </c>
      <c r="W827" s="15">
        <v>17897801322444</v>
      </c>
      <c r="X827" s="6">
        <v>0.32</v>
      </c>
      <c r="Y827" s="6">
        <v>0.17</v>
      </c>
      <c r="Z827" s="6">
        <v>0.46</v>
      </c>
      <c r="AA827" s="6">
        <v>2.5000000000000001E-2</v>
      </c>
      <c r="AB827" s="6">
        <v>5</v>
      </c>
      <c r="AC827" s="15">
        <v>27897801322441</v>
      </c>
      <c r="AD827" s="4" t="s">
        <v>992</v>
      </c>
    </row>
    <row r="828" spans="2:30" x14ac:dyDescent="0.35">
      <c r="B828" s="18">
        <v>1465</v>
      </c>
      <c r="C828" s="67" t="s">
        <v>2433</v>
      </c>
      <c r="D828" s="24" t="s">
        <v>2370</v>
      </c>
      <c r="E828" s="24" t="s">
        <v>2913</v>
      </c>
      <c r="F828" s="4" t="s">
        <v>85</v>
      </c>
      <c r="G828" s="4" t="s">
        <v>1012</v>
      </c>
      <c r="H828" s="6">
        <v>0.78500000000000003</v>
      </c>
      <c r="I828" s="8">
        <v>170</v>
      </c>
      <c r="J828" s="8">
        <v>240</v>
      </c>
      <c r="K828" s="8">
        <v>220</v>
      </c>
      <c r="L828" s="28">
        <v>8976000</v>
      </c>
      <c r="M828" s="15">
        <v>7897801322430</v>
      </c>
      <c r="N828" s="6" t="s">
        <v>20</v>
      </c>
      <c r="O828" s="6" t="s">
        <v>20</v>
      </c>
      <c r="P828" s="6" t="s">
        <v>20</v>
      </c>
      <c r="Q828" s="6">
        <v>0.22</v>
      </c>
      <c r="R828" s="6">
        <v>0.24</v>
      </c>
      <c r="S828" s="6">
        <v>0.17</v>
      </c>
      <c r="T828" s="8">
        <v>1</v>
      </c>
      <c r="U828" s="5" t="s">
        <v>994</v>
      </c>
      <c r="V828" s="89">
        <v>0</v>
      </c>
      <c r="W828" s="15">
        <v>17897801322437</v>
      </c>
      <c r="X828" s="6">
        <v>0.46</v>
      </c>
      <c r="Y828" s="6">
        <v>0.24</v>
      </c>
      <c r="Z828" s="6">
        <v>0.31</v>
      </c>
      <c r="AA828" s="6">
        <v>3.4200000000000001E-2</v>
      </c>
      <c r="AB828" s="6">
        <v>5</v>
      </c>
      <c r="AC828" s="15">
        <v>27897801322434</v>
      </c>
      <c r="AD828" s="4" t="s">
        <v>992</v>
      </c>
    </row>
    <row r="829" spans="2:30" x14ac:dyDescent="0.35">
      <c r="B829" s="18">
        <v>1467</v>
      </c>
      <c r="C829" s="67" t="s">
        <v>2339</v>
      </c>
      <c r="D829" s="24" t="s">
        <v>2370</v>
      </c>
      <c r="E829" s="24" t="s">
        <v>2913</v>
      </c>
      <c r="F829" s="4" t="s">
        <v>85</v>
      </c>
      <c r="G829" s="4" t="s">
        <v>993</v>
      </c>
      <c r="H829" s="6">
        <v>0.23599999999999999</v>
      </c>
      <c r="I829" s="8">
        <v>180</v>
      </c>
      <c r="J829" s="8">
        <v>100</v>
      </c>
      <c r="K829" s="8">
        <v>90</v>
      </c>
      <c r="L829" s="28">
        <v>1620000</v>
      </c>
      <c r="M829" s="15">
        <v>7897801322416</v>
      </c>
      <c r="N829" s="6" t="s">
        <v>20</v>
      </c>
      <c r="O829" s="6" t="s">
        <v>20</v>
      </c>
      <c r="P829" s="6" t="s">
        <v>20</v>
      </c>
      <c r="Q829" s="6">
        <v>0.46</v>
      </c>
      <c r="R829" s="6">
        <v>0.21</v>
      </c>
      <c r="S829" s="6">
        <v>0.69</v>
      </c>
      <c r="T829" s="8">
        <v>10</v>
      </c>
      <c r="U829" s="5" t="s">
        <v>994</v>
      </c>
      <c r="V829" s="89">
        <v>0</v>
      </c>
      <c r="W829" s="15">
        <v>17897801322413</v>
      </c>
      <c r="X829" s="6" t="s">
        <v>20</v>
      </c>
      <c r="Y829" s="6" t="s">
        <v>20</v>
      </c>
      <c r="Z829" s="6" t="s">
        <v>20</v>
      </c>
      <c r="AA829" s="6" t="s">
        <v>20</v>
      </c>
      <c r="AB829" s="6" t="s">
        <v>20</v>
      </c>
      <c r="AC829" s="6" t="s">
        <v>20</v>
      </c>
      <c r="AD829" s="4" t="s">
        <v>992</v>
      </c>
    </row>
    <row r="830" spans="2:30" x14ac:dyDescent="0.35">
      <c r="B830" s="18">
        <v>1468</v>
      </c>
      <c r="C830" s="67" t="s">
        <v>2340</v>
      </c>
      <c r="D830" s="24" t="s">
        <v>2370</v>
      </c>
      <c r="E830" s="24" t="s">
        <v>2913</v>
      </c>
      <c r="F830" s="4" t="s">
        <v>85</v>
      </c>
      <c r="G830" s="4" t="s">
        <v>993</v>
      </c>
      <c r="H830" s="6">
        <v>0.34050000000000002</v>
      </c>
      <c r="I830" s="8">
        <v>182</v>
      </c>
      <c r="J830" s="8">
        <v>117</v>
      </c>
      <c r="K830" s="8">
        <v>126</v>
      </c>
      <c r="L830" s="28">
        <v>2683044</v>
      </c>
      <c r="M830" s="15">
        <v>7897801322409</v>
      </c>
      <c r="N830" s="6" t="s">
        <v>20</v>
      </c>
      <c r="O830" s="6" t="s">
        <v>20</v>
      </c>
      <c r="P830" s="6" t="s">
        <v>20</v>
      </c>
      <c r="Q830" s="6">
        <v>0.126</v>
      </c>
      <c r="R830" s="6">
        <v>0.11700000000000001</v>
      </c>
      <c r="S830" s="6">
        <v>0.182</v>
      </c>
      <c r="T830" s="8">
        <v>1</v>
      </c>
      <c r="U830" s="5" t="s">
        <v>994</v>
      </c>
      <c r="V830" s="89">
        <v>0</v>
      </c>
      <c r="W830" s="15">
        <v>17897801322406</v>
      </c>
      <c r="X830" s="27">
        <v>0.45</v>
      </c>
      <c r="Y830" s="27">
        <v>0.2</v>
      </c>
      <c r="Z830" s="27">
        <v>0.63</v>
      </c>
      <c r="AA830" s="27">
        <v>5.6700000000000007E-2</v>
      </c>
      <c r="AB830" s="28">
        <v>10</v>
      </c>
      <c r="AC830" s="29">
        <v>27897801322403</v>
      </c>
      <c r="AD830" s="4" t="s">
        <v>992</v>
      </c>
    </row>
    <row r="831" spans="2:30" x14ac:dyDescent="0.35">
      <c r="B831" s="18">
        <v>1469</v>
      </c>
      <c r="C831" s="67" t="s">
        <v>2341</v>
      </c>
      <c r="D831" s="24" t="s">
        <v>2370</v>
      </c>
      <c r="E831" s="24" t="s">
        <v>2913</v>
      </c>
      <c r="F831" s="4" t="s">
        <v>85</v>
      </c>
      <c r="G831" s="4" t="s">
        <v>993</v>
      </c>
      <c r="H831" s="6">
        <v>0.84499999999999997</v>
      </c>
      <c r="I831" s="8">
        <v>250</v>
      </c>
      <c r="J831" s="8">
        <v>172</v>
      </c>
      <c r="K831" s="8">
        <v>190</v>
      </c>
      <c r="L831" s="28">
        <v>8170000</v>
      </c>
      <c r="M831" s="15">
        <v>7897801322393</v>
      </c>
      <c r="N831" s="6" t="s">
        <v>20</v>
      </c>
      <c r="O831" s="6" t="s">
        <v>20</v>
      </c>
      <c r="P831" s="6" t="s">
        <v>20</v>
      </c>
      <c r="Q831" s="6" t="s">
        <v>20</v>
      </c>
      <c r="R831" s="6" t="s">
        <v>20</v>
      </c>
      <c r="S831" s="6" t="s">
        <v>20</v>
      </c>
      <c r="T831" s="8">
        <v>1</v>
      </c>
      <c r="U831" s="5" t="s">
        <v>994</v>
      </c>
      <c r="V831" s="89">
        <v>0</v>
      </c>
      <c r="W831" s="15">
        <v>17897801322390</v>
      </c>
      <c r="X831" s="27">
        <v>0.51</v>
      </c>
      <c r="Y831" s="27">
        <v>0.21</v>
      </c>
      <c r="Z831" s="27">
        <v>0.74</v>
      </c>
      <c r="AA831" s="27">
        <v>7.9254000000000005E-2</v>
      </c>
      <c r="AB831" s="28">
        <v>5</v>
      </c>
      <c r="AC831" s="29">
        <v>27897801322397</v>
      </c>
      <c r="AD831" s="4" t="s">
        <v>992</v>
      </c>
    </row>
    <row r="832" spans="2:30" x14ac:dyDescent="0.35">
      <c r="B832" s="18">
        <v>1472</v>
      </c>
      <c r="C832" s="67" t="s">
        <v>2342</v>
      </c>
      <c r="D832" s="24" t="s">
        <v>2370</v>
      </c>
      <c r="E832" s="24" t="s">
        <v>2913</v>
      </c>
      <c r="F832" s="4" t="s">
        <v>85</v>
      </c>
      <c r="G832" s="4" t="s">
        <v>993</v>
      </c>
      <c r="H832" s="6">
        <v>0.35899999999999999</v>
      </c>
      <c r="I832" s="8">
        <v>210</v>
      </c>
      <c r="J832" s="8">
        <v>118</v>
      </c>
      <c r="K832" s="8">
        <v>150</v>
      </c>
      <c r="L832" s="28">
        <v>3717000</v>
      </c>
      <c r="M832" s="15">
        <v>7897801322669</v>
      </c>
      <c r="N832" s="6" t="s">
        <v>20</v>
      </c>
      <c r="O832" s="6" t="s">
        <v>20</v>
      </c>
      <c r="P832" s="6" t="s">
        <v>20</v>
      </c>
      <c r="Q832" s="6">
        <v>0.37</v>
      </c>
      <c r="R832" s="6">
        <v>0.21</v>
      </c>
      <c r="S832" s="6">
        <v>0.61</v>
      </c>
      <c r="T832" s="8">
        <v>10</v>
      </c>
      <c r="U832" s="5" t="s">
        <v>994</v>
      </c>
      <c r="V832" s="89">
        <v>0</v>
      </c>
      <c r="W832" s="15">
        <v>17897801322666</v>
      </c>
      <c r="X832" s="6" t="s">
        <v>20</v>
      </c>
      <c r="Y832" s="6" t="s">
        <v>20</v>
      </c>
      <c r="Z832" s="6" t="s">
        <v>20</v>
      </c>
      <c r="AA832" s="6" t="s">
        <v>20</v>
      </c>
      <c r="AB832" s="6" t="s">
        <v>20</v>
      </c>
      <c r="AC832" s="6" t="s">
        <v>20</v>
      </c>
      <c r="AD832" s="4" t="s">
        <v>992</v>
      </c>
    </row>
    <row r="833" spans="2:30" x14ac:dyDescent="0.35">
      <c r="B833" s="18">
        <v>1481</v>
      </c>
      <c r="C833" s="67" t="s">
        <v>761</v>
      </c>
      <c r="D833" s="24" t="s">
        <v>2380</v>
      </c>
      <c r="E833" s="24" t="s">
        <v>2913</v>
      </c>
      <c r="F833" s="4" t="s">
        <v>85</v>
      </c>
      <c r="G833" s="4" t="s">
        <v>1014</v>
      </c>
      <c r="H833" s="6">
        <v>6.2</v>
      </c>
      <c r="I833" s="8">
        <v>36</v>
      </c>
      <c r="J833" s="8">
        <v>52.5</v>
      </c>
      <c r="K833" s="8">
        <v>36</v>
      </c>
      <c r="L833" s="8">
        <f t="shared" ref="L833:L851" si="44">J833*I833*K833</f>
        <v>68040</v>
      </c>
      <c r="M833" s="15">
        <v>7897801320337</v>
      </c>
      <c r="N833" s="6">
        <v>0.53500000000000003</v>
      </c>
      <c r="O833" s="6">
        <v>0.375</v>
      </c>
      <c r="P833" s="6">
        <v>0.375</v>
      </c>
      <c r="Q833" s="6">
        <v>0.375</v>
      </c>
      <c r="R833" s="6">
        <v>0.53500000000000003</v>
      </c>
      <c r="S833" s="6">
        <v>0.375</v>
      </c>
      <c r="T833" s="8">
        <v>1</v>
      </c>
      <c r="U833" s="5" t="s">
        <v>994</v>
      </c>
      <c r="V833" s="89">
        <v>0</v>
      </c>
      <c r="W833" s="15">
        <v>17897801320334</v>
      </c>
      <c r="X833" s="6" t="s">
        <v>20</v>
      </c>
      <c r="Y833" s="6" t="s">
        <v>20</v>
      </c>
      <c r="Z833" s="6" t="s">
        <v>20</v>
      </c>
      <c r="AA833" s="6"/>
      <c r="AB833" s="8">
        <v>0</v>
      </c>
      <c r="AC833" s="15">
        <v>27897801320331</v>
      </c>
      <c r="AD833" s="4" t="s">
        <v>992</v>
      </c>
    </row>
    <row r="834" spans="2:30" x14ac:dyDescent="0.35">
      <c r="B834" s="44">
        <v>1482</v>
      </c>
      <c r="C834" s="70" t="s">
        <v>762</v>
      </c>
      <c r="D834" s="24" t="s">
        <v>2380</v>
      </c>
      <c r="E834" s="24" t="s">
        <v>2913</v>
      </c>
      <c r="F834" s="32" t="s">
        <v>85</v>
      </c>
      <c r="G834" s="32" t="s">
        <v>1014</v>
      </c>
      <c r="H834" s="35">
        <v>3.74</v>
      </c>
      <c r="I834" s="37">
        <v>360</v>
      </c>
      <c r="J834" s="37">
        <v>195</v>
      </c>
      <c r="K834" s="37">
        <v>360</v>
      </c>
      <c r="L834" s="37">
        <f t="shared" si="44"/>
        <v>25272000</v>
      </c>
      <c r="M834" s="40">
        <v>7897801320443</v>
      </c>
      <c r="N834" s="35">
        <v>0.21</v>
      </c>
      <c r="O834" s="35">
        <v>0.36</v>
      </c>
      <c r="P834" s="35">
        <v>0.37</v>
      </c>
      <c r="Q834" s="35">
        <v>0.37</v>
      </c>
      <c r="R834" s="35">
        <v>0.22</v>
      </c>
      <c r="S834" s="35">
        <v>0.37</v>
      </c>
      <c r="T834" s="37">
        <v>1</v>
      </c>
      <c r="U834" s="42" t="s">
        <v>994</v>
      </c>
      <c r="V834" s="89">
        <v>0</v>
      </c>
      <c r="W834" s="40">
        <v>17897801320440</v>
      </c>
      <c r="X834" s="35" t="s">
        <v>20</v>
      </c>
      <c r="Y834" s="35" t="s">
        <v>20</v>
      </c>
      <c r="Z834" s="35" t="s">
        <v>20</v>
      </c>
      <c r="AA834" s="35"/>
      <c r="AB834" s="37">
        <v>0</v>
      </c>
      <c r="AC834" s="40">
        <v>27897801320447</v>
      </c>
      <c r="AD834" s="32" t="s">
        <v>992</v>
      </c>
    </row>
    <row r="835" spans="2:30" x14ac:dyDescent="0.35">
      <c r="B835" s="44">
        <v>1483</v>
      </c>
      <c r="C835" s="70" t="s">
        <v>763</v>
      </c>
      <c r="D835" s="24" t="s">
        <v>2380</v>
      </c>
      <c r="E835" s="24" t="s">
        <v>2913</v>
      </c>
      <c r="F835" s="32" t="s">
        <v>85</v>
      </c>
      <c r="G835" s="32" t="s">
        <v>1014</v>
      </c>
      <c r="H835" s="35">
        <v>4.9321000000000002</v>
      </c>
      <c r="I835" s="37">
        <v>360</v>
      </c>
      <c r="J835" s="37">
        <v>340</v>
      </c>
      <c r="K835" s="37">
        <v>360</v>
      </c>
      <c r="L835" s="37">
        <f t="shared" si="44"/>
        <v>44064000</v>
      </c>
      <c r="M835" s="40">
        <v>7897801320450</v>
      </c>
      <c r="N835" s="35" t="s">
        <v>20</v>
      </c>
      <c r="O835" s="35" t="s">
        <v>20</v>
      </c>
      <c r="P835" s="35" t="s">
        <v>20</v>
      </c>
      <c r="Q835" s="35">
        <v>0.375</v>
      </c>
      <c r="R835" s="35">
        <v>0.36</v>
      </c>
      <c r="S835" s="35">
        <v>0.375</v>
      </c>
      <c r="T835" s="37">
        <v>1</v>
      </c>
      <c r="U835" s="42" t="s">
        <v>994</v>
      </c>
      <c r="V835" s="89">
        <v>0</v>
      </c>
      <c r="W835" s="40">
        <v>17897801320457</v>
      </c>
      <c r="X835" s="35" t="s">
        <v>20</v>
      </c>
      <c r="Y835" s="35" t="s">
        <v>20</v>
      </c>
      <c r="Z835" s="35" t="s">
        <v>20</v>
      </c>
      <c r="AA835" s="35"/>
      <c r="AB835" s="37">
        <v>0</v>
      </c>
      <c r="AC835" s="40">
        <v>27897801320454</v>
      </c>
      <c r="AD835" s="32" t="s">
        <v>992</v>
      </c>
    </row>
    <row r="836" spans="2:30" x14ac:dyDescent="0.35">
      <c r="B836" s="44">
        <v>1484</v>
      </c>
      <c r="C836" s="70" t="s">
        <v>764</v>
      </c>
      <c r="D836" s="24" t="s">
        <v>2380</v>
      </c>
      <c r="E836" s="24" t="s">
        <v>2913</v>
      </c>
      <c r="F836" s="32" t="s">
        <v>85</v>
      </c>
      <c r="G836" s="32" t="s">
        <v>1014</v>
      </c>
      <c r="H836" s="35">
        <v>3.6859999999999999</v>
      </c>
      <c r="I836" s="37">
        <v>37</v>
      </c>
      <c r="J836" s="37">
        <v>17</v>
      </c>
      <c r="K836" s="37">
        <v>37</v>
      </c>
      <c r="L836" s="37">
        <f t="shared" si="44"/>
        <v>23273</v>
      </c>
      <c r="M836" s="40">
        <v>7897801320467</v>
      </c>
      <c r="N836" s="35">
        <v>0.21</v>
      </c>
      <c r="O836" s="35">
        <v>0.375</v>
      </c>
      <c r="P836" s="35">
        <v>0.375</v>
      </c>
      <c r="Q836" s="35">
        <v>0.375</v>
      </c>
      <c r="R836" s="35">
        <v>0.21</v>
      </c>
      <c r="S836" s="35">
        <v>0.375</v>
      </c>
      <c r="T836" s="37">
        <v>1</v>
      </c>
      <c r="U836" s="42" t="s">
        <v>994</v>
      </c>
      <c r="V836" s="89">
        <v>0</v>
      </c>
      <c r="W836" s="40">
        <v>17897801320464</v>
      </c>
      <c r="X836" s="35" t="s">
        <v>20</v>
      </c>
      <c r="Y836" s="35" t="s">
        <v>20</v>
      </c>
      <c r="Z836" s="35" t="s">
        <v>20</v>
      </c>
      <c r="AA836" s="35"/>
      <c r="AB836" s="37">
        <v>0</v>
      </c>
      <c r="AC836" s="40">
        <v>27897801320461</v>
      </c>
      <c r="AD836" s="32" t="s">
        <v>992</v>
      </c>
    </row>
    <row r="837" spans="2:30" x14ac:dyDescent="0.35">
      <c r="B837" s="44">
        <v>1485</v>
      </c>
      <c r="C837" s="70" t="s">
        <v>765</v>
      </c>
      <c r="D837" s="24" t="s">
        <v>2380</v>
      </c>
      <c r="E837" s="24" t="s">
        <v>2913</v>
      </c>
      <c r="F837" s="32" t="s">
        <v>85</v>
      </c>
      <c r="G837" s="32" t="s">
        <v>1014</v>
      </c>
      <c r="H837" s="35">
        <v>1.012</v>
      </c>
      <c r="I837" s="37">
        <v>300</v>
      </c>
      <c r="J837" s="37">
        <v>210</v>
      </c>
      <c r="K837" s="37">
        <v>300</v>
      </c>
      <c r="L837" s="37">
        <f t="shared" si="44"/>
        <v>18900000</v>
      </c>
      <c r="M837" s="40">
        <v>7897801320597</v>
      </c>
      <c r="N837" s="35" t="s">
        <v>20</v>
      </c>
      <c r="O837" s="35" t="s">
        <v>20</v>
      </c>
      <c r="P837" s="35" t="s">
        <v>20</v>
      </c>
      <c r="Q837" s="35">
        <v>0.3</v>
      </c>
      <c r="R837" s="35">
        <v>0.21</v>
      </c>
      <c r="S837" s="35">
        <v>0.3</v>
      </c>
      <c r="T837" s="37">
        <v>2</v>
      </c>
      <c r="U837" s="42" t="s">
        <v>994</v>
      </c>
      <c r="V837" s="89">
        <v>0</v>
      </c>
      <c r="W837" s="40">
        <v>17897801320594</v>
      </c>
      <c r="X837" s="35" t="s">
        <v>20</v>
      </c>
      <c r="Y837" s="35" t="s">
        <v>20</v>
      </c>
      <c r="Z837" s="35" t="s">
        <v>20</v>
      </c>
      <c r="AA837" s="35"/>
      <c r="AB837" s="37">
        <v>0</v>
      </c>
      <c r="AC837" s="40">
        <v>27897801320591</v>
      </c>
      <c r="AD837" s="32" t="s">
        <v>992</v>
      </c>
    </row>
    <row r="838" spans="2:30" x14ac:dyDescent="0.35">
      <c r="B838" s="77">
        <v>1486</v>
      </c>
      <c r="C838" s="78" t="s">
        <v>1031</v>
      </c>
      <c r="D838" s="24" t="s">
        <v>2380</v>
      </c>
      <c r="E838" s="24" t="s">
        <v>2913</v>
      </c>
      <c r="F838" s="79" t="s">
        <v>85</v>
      </c>
      <c r="G838" s="80" t="s">
        <v>1040</v>
      </c>
      <c r="H838" s="81">
        <v>1.2525900000000001</v>
      </c>
      <c r="I838" s="82">
        <v>320</v>
      </c>
      <c r="J838" s="82">
        <v>320</v>
      </c>
      <c r="K838" s="82">
        <v>42</v>
      </c>
      <c r="L838" s="84">
        <f t="shared" si="44"/>
        <v>4300800</v>
      </c>
      <c r="M838" s="85">
        <v>7897801321433</v>
      </c>
      <c r="N838" s="86" t="s">
        <v>20</v>
      </c>
      <c r="O838" s="86" t="s">
        <v>20</v>
      </c>
      <c r="P838" s="86" t="s">
        <v>20</v>
      </c>
      <c r="Q838" s="81">
        <v>0.33500000000000002</v>
      </c>
      <c r="R838" s="81">
        <v>0.05</v>
      </c>
      <c r="S838" s="86">
        <v>0.35499999999999998</v>
      </c>
      <c r="T838" s="85">
        <f>VLOOKUP($B838,'SB1'!$B:$LI,25,0)</f>
        <v>1</v>
      </c>
      <c r="U838" s="85" t="str">
        <f>VLOOKUP($B838,'SB1'!$B:$LI,8,0)</f>
        <v>3917.40.90</v>
      </c>
      <c r="V838" s="89">
        <v>0</v>
      </c>
      <c r="W838" s="85">
        <f>VLOOKUP($B838,'SB1'!$B:$LI,131,0)</f>
        <v>17897801321430</v>
      </c>
      <c r="X838" s="86" t="s">
        <v>20</v>
      </c>
      <c r="Y838" s="86" t="s">
        <v>20</v>
      </c>
      <c r="Z838" s="86" t="s">
        <v>20</v>
      </c>
      <c r="AA838" s="86" t="s">
        <v>20</v>
      </c>
      <c r="AB838" s="86" t="s">
        <v>20</v>
      </c>
      <c r="AC838" s="85">
        <f>VLOOKUP($B838,'SB1'!$B:$LI,163,0)</f>
        <v>27897801321437</v>
      </c>
      <c r="AD838" s="79" t="s">
        <v>992</v>
      </c>
    </row>
    <row r="839" spans="2:30" x14ac:dyDescent="0.35">
      <c r="B839" s="30">
        <v>1487</v>
      </c>
      <c r="C839" s="69" t="s">
        <v>1032</v>
      </c>
      <c r="D839" s="24" t="s">
        <v>2380</v>
      </c>
      <c r="E839" s="24" t="s">
        <v>2913</v>
      </c>
      <c r="F839" s="31" t="s">
        <v>85</v>
      </c>
      <c r="G839" s="80" t="s">
        <v>1040</v>
      </c>
      <c r="H839" s="34">
        <v>1.17862</v>
      </c>
      <c r="I839" s="36">
        <v>320</v>
      </c>
      <c r="J839" s="36">
        <v>320</v>
      </c>
      <c r="K839" s="36">
        <v>42</v>
      </c>
      <c r="L839" s="38">
        <f t="shared" si="44"/>
        <v>4300800</v>
      </c>
      <c r="M839" s="39">
        <v>7897801321440</v>
      </c>
      <c r="N839" s="86" t="s">
        <v>20</v>
      </c>
      <c r="O839" s="86" t="s">
        <v>20</v>
      </c>
      <c r="P839" s="86" t="s">
        <v>20</v>
      </c>
      <c r="Q839" s="34">
        <v>0.33500000000000002</v>
      </c>
      <c r="R839" s="34">
        <v>0.05</v>
      </c>
      <c r="S839" s="41">
        <v>0.35499999999999998</v>
      </c>
      <c r="T839" s="39">
        <f>VLOOKUP($B839,'SB1'!$B:$LI,25,0)</f>
        <v>1</v>
      </c>
      <c r="U839" s="39" t="str">
        <f>VLOOKUP($B839,'SB1'!$B:$LI,8,0)</f>
        <v>3917.40.90</v>
      </c>
      <c r="V839" s="89">
        <v>0</v>
      </c>
      <c r="W839" s="39">
        <f>VLOOKUP($B839,'SB1'!$B:$LI,131,0)</f>
        <v>17897801321447</v>
      </c>
      <c r="X839" s="41" t="s">
        <v>20</v>
      </c>
      <c r="Y839" s="41" t="s">
        <v>20</v>
      </c>
      <c r="Z839" s="41" t="s">
        <v>20</v>
      </c>
      <c r="AA839" s="41" t="s">
        <v>20</v>
      </c>
      <c r="AB839" s="41" t="s">
        <v>20</v>
      </c>
      <c r="AC839" s="39">
        <f>VLOOKUP($B839,'SB1'!$B:$LI,163,0)</f>
        <v>27897801321444</v>
      </c>
      <c r="AD839" s="31" t="s">
        <v>992</v>
      </c>
    </row>
    <row r="840" spans="2:30" x14ac:dyDescent="0.35">
      <c r="B840" s="30">
        <v>1488</v>
      </c>
      <c r="C840" s="69" t="s">
        <v>1033</v>
      </c>
      <c r="D840" s="24" t="s">
        <v>2380</v>
      </c>
      <c r="E840" s="24" t="s">
        <v>2913</v>
      </c>
      <c r="F840" s="31" t="s">
        <v>85</v>
      </c>
      <c r="G840" s="80" t="s">
        <v>1040</v>
      </c>
      <c r="H840" s="34">
        <v>0.83794900000000005</v>
      </c>
      <c r="I840" s="36">
        <v>277</v>
      </c>
      <c r="J840" s="36">
        <v>277</v>
      </c>
      <c r="K840" s="36">
        <v>441</v>
      </c>
      <c r="L840" s="38">
        <f t="shared" si="44"/>
        <v>33837489</v>
      </c>
      <c r="M840" s="39">
        <v>7897801321464</v>
      </c>
      <c r="N840" s="86" t="s">
        <v>20</v>
      </c>
      <c r="O840" s="86" t="s">
        <v>20</v>
      </c>
      <c r="P840" s="86" t="s">
        <v>20</v>
      </c>
      <c r="Q840" s="34">
        <v>0.28000000000000003</v>
      </c>
      <c r="R840" s="34">
        <v>0.44500000000000001</v>
      </c>
      <c r="S840" s="41">
        <v>0.28000000000000003</v>
      </c>
      <c r="T840" s="39">
        <f>VLOOKUP($B840,'SB1'!$B:$LI,25,0)</f>
        <v>1</v>
      </c>
      <c r="U840" s="39" t="str">
        <f>VLOOKUP($B840,'SB1'!$B:$LI,8,0)</f>
        <v>3917.40.90</v>
      </c>
      <c r="V840" s="89">
        <v>0</v>
      </c>
      <c r="W840" s="39">
        <f>VLOOKUP($B840,'SB1'!$B:$LI,131,0)</f>
        <v>17897801321461</v>
      </c>
      <c r="X840" s="41" t="s">
        <v>20</v>
      </c>
      <c r="Y840" s="41" t="s">
        <v>20</v>
      </c>
      <c r="Z840" s="41" t="s">
        <v>20</v>
      </c>
      <c r="AA840" s="41" t="s">
        <v>20</v>
      </c>
      <c r="AB840" s="41" t="s">
        <v>20</v>
      </c>
      <c r="AC840" s="39">
        <f>VLOOKUP($B840,'SB1'!$B:$LI,163,0)</f>
        <v>27897801321468</v>
      </c>
      <c r="AD840" s="31" t="s">
        <v>992</v>
      </c>
    </row>
    <row r="841" spans="2:30" x14ac:dyDescent="0.35">
      <c r="B841" s="30">
        <v>1489</v>
      </c>
      <c r="C841" s="69" t="s">
        <v>1034</v>
      </c>
      <c r="D841" s="24" t="s">
        <v>2380</v>
      </c>
      <c r="E841" s="24" t="s">
        <v>2913</v>
      </c>
      <c r="F841" s="31" t="s">
        <v>85</v>
      </c>
      <c r="G841" s="33" t="s">
        <v>1040</v>
      </c>
      <c r="H841" s="34">
        <v>0.92259000000000002</v>
      </c>
      <c r="I841" s="36">
        <v>360</v>
      </c>
      <c r="J841" s="36">
        <v>360</v>
      </c>
      <c r="K841" s="36">
        <v>65</v>
      </c>
      <c r="L841" s="38">
        <f t="shared" si="44"/>
        <v>8424000</v>
      </c>
      <c r="M841" s="39">
        <v>7897801321457</v>
      </c>
      <c r="N841" s="41" t="s">
        <v>20</v>
      </c>
      <c r="O841" s="41" t="s">
        <v>20</v>
      </c>
      <c r="P841" s="41" t="s">
        <v>20</v>
      </c>
      <c r="Q841" s="34">
        <v>0.375</v>
      </c>
      <c r="R841" s="34">
        <v>7.0000000000000007E-2</v>
      </c>
      <c r="S841" s="41">
        <v>0.38500000000000001</v>
      </c>
      <c r="T841" s="39">
        <f>VLOOKUP($B841,'SB1'!$B:$LI,25,0)</f>
        <v>1</v>
      </c>
      <c r="U841" s="39" t="str">
        <f>VLOOKUP($B841,'SB1'!$B:$LI,8,0)</f>
        <v>3917.40.90</v>
      </c>
      <c r="V841" s="89">
        <v>0</v>
      </c>
      <c r="W841" s="39">
        <f>VLOOKUP($B841,'SB1'!$B:$LI,131,0)</f>
        <v>17897801321454</v>
      </c>
      <c r="X841" s="41" t="s">
        <v>20</v>
      </c>
      <c r="Y841" s="41" t="s">
        <v>20</v>
      </c>
      <c r="Z841" s="41" t="s">
        <v>20</v>
      </c>
      <c r="AA841" s="41" t="s">
        <v>20</v>
      </c>
      <c r="AB841" s="41" t="s">
        <v>20</v>
      </c>
      <c r="AC841" s="39">
        <f>VLOOKUP($B841,'SB1'!$B:$LI,163,0)</f>
        <v>27897801321451</v>
      </c>
      <c r="AD841" s="31" t="s">
        <v>992</v>
      </c>
    </row>
    <row r="842" spans="2:30" x14ac:dyDescent="0.35">
      <c r="B842" s="30">
        <v>1490</v>
      </c>
      <c r="C842" s="69" t="s">
        <v>1062</v>
      </c>
      <c r="D842" s="24" t="s">
        <v>2380</v>
      </c>
      <c r="E842" s="24" t="s">
        <v>2913</v>
      </c>
      <c r="F842" s="31" t="s">
        <v>85</v>
      </c>
      <c r="G842" s="33" t="s">
        <v>1040</v>
      </c>
      <c r="H842" s="34">
        <v>7.9960000000000003E-2</v>
      </c>
      <c r="I842" s="36">
        <v>292</v>
      </c>
      <c r="J842" s="36">
        <v>292</v>
      </c>
      <c r="K842" s="36">
        <v>24</v>
      </c>
      <c r="L842" s="38">
        <f t="shared" si="44"/>
        <v>2046336</v>
      </c>
      <c r="M842" s="39">
        <v>7897801321471</v>
      </c>
      <c r="N842" s="41" t="s">
        <v>20</v>
      </c>
      <c r="O842" s="41" t="s">
        <v>20</v>
      </c>
      <c r="P842" s="41" t="s">
        <v>20</v>
      </c>
      <c r="Q842" s="34">
        <v>0.33500000000000002</v>
      </c>
      <c r="R842" s="34">
        <v>0.05</v>
      </c>
      <c r="S842" s="41">
        <v>0.35499999999999998</v>
      </c>
      <c r="T842" s="39">
        <f>VLOOKUP($B842,'SB1'!$B:$LI,25,0)</f>
        <v>3</v>
      </c>
      <c r="U842" s="39" t="str">
        <f>VLOOKUP($B842,'SB1'!$B:$LI,8,0)</f>
        <v>3917.40.90</v>
      </c>
      <c r="V842" s="89">
        <v>0</v>
      </c>
      <c r="W842" s="39">
        <f>VLOOKUP($B842,'SB1'!$B:$LI,131,0)</f>
        <v>17897801321478</v>
      </c>
      <c r="X842" s="41" t="s">
        <v>20</v>
      </c>
      <c r="Y842" s="41" t="s">
        <v>20</v>
      </c>
      <c r="Z842" s="41" t="s">
        <v>20</v>
      </c>
      <c r="AA842" s="41" t="s">
        <v>20</v>
      </c>
      <c r="AB842" s="41" t="s">
        <v>20</v>
      </c>
      <c r="AC842" s="39">
        <f>VLOOKUP($B842,'SB1'!$B:$LI,163,0)</f>
        <v>27897801321475</v>
      </c>
      <c r="AD842" s="31" t="s">
        <v>992</v>
      </c>
    </row>
    <row r="843" spans="2:30" x14ac:dyDescent="0.35">
      <c r="B843" s="18">
        <v>1499</v>
      </c>
      <c r="C843" s="67" t="s">
        <v>766</v>
      </c>
      <c r="D843" s="24" t="s">
        <v>2373</v>
      </c>
      <c r="E843" s="24" t="s">
        <v>2912</v>
      </c>
      <c r="F843" s="4" t="s">
        <v>85</v>
      </c>
      <c r="G843" s="4" t="s">
        <v>993</v>
      </c>
      <c r="H843" s="6">
        <v>4.82E-2</v>
      </c>
      <c r="I843" s="8">
        <v>42</v>
      </c>
      <c r="J843" s="8">
        <v>39</v>
      </c>
      <c r="K843" s="8">
        <v>39</v>
      </c>
      <c r="L843" s="8">
        <f t="shared" si="44"/>
        <v>63882</v>
      </c>
      <c r="M843" s="15">
        <v>7897801316712</v>
      </c>
      <c r="N843" s="6" t="s">
        <v>20</v>
      </c>
      <c r="O843" s="6" t="s">
        <v>20</v>
      </c>
      <c r="P843" s="6" t="s">
        <v>20</v>
      </c>
      <c r="Q843" s="6">
        <v>0.125</v>
      </c>
      <c r="R843" s="6">
        <v>3.9E-2</v>
      </c>
      <c r="S843" s="6">
        <v>0.125</v>
      </c>
      <c r="T843" s="8">
        <v>10</v>
      </c>
      <c r="U843" s="5" t="s">
        <v>994</v>
      </c>
      <c r="V843" s="89">
        <v>0</v>
      </c>
      <c r="W843" s="15">
        <v>17897801316719</v>
      </c>
      <c r="X843" s="6">
        <v>0.255</v>
      </c>
      <c r="Y843" s="6">
        <v>0.25</v>
      </c>
      <c r="Z843" s="6">
        <v>0.32500000000000001</v>
      </c>
      <c r="AA843" s="6">
        <f t="shared" ref="AA843:AA851" si="45">Y843*X843*Z843</f>
        <v>2.0718750000000001E-2</v>
      </c>
      <c r="AB843" s="8">
        <v>270</v>
      </c>
      <c r="AC843" s="15">
        <v>27897801316716</v>
      </c>
      <c r="AD843" s="4" t="s">
        <v>992</v>
      </c>
    </row>
    <row r="844" spans="2:30" x14ac:dyDescent="0.35">
      <c r="B844" s="18">
        <v>1501</v>
      </c>
      <c r="C844" s="67" t="s">
        <v>767</v>
      </c>
      <c r="D844" s="24" t="s">
        <v>2373</v>
      </c>
      <c r="E844" s="24" t="s">
        <v>2912</v>
      </c>
      <c r="F844" s="4" t="s">
        <v>85</v>
      </c>
      <c r="G844" s="4" t="s">
        <v>993</v>
      </c>
      <c r="H844" s="6">
        <v>5.0700000000000002E-2</v>
      </c>
      <c r="I844" s="8">
        <v>43</v>
      </c>
      <c r="J844" s="8">
        <v>40</v>
      </c>
      <c r="K844" s="8">
        <v>40</v>
      </c>
      <c r="L844" s="8">
        <f t="shared" si="44"/>
        <v>68800</v>
      </c>
      <c r="M844" s="15">
        <v>7897801314305</v>
      </c>
      <c r="N844" s="6" t="s">
        <v>20</v>
      </c>
      <c r="O844" s="6" t="s">
        <v>20</v>
      </c>
      <c r="P844" s="6" t="s">
        <v>20</v>
      </c>
      <c r="Q844" s="6">
        <v>0.15</v>
      </c>
      <c r="R844" s="6">
        <v>0.04</v>
      </c>
      <c r="S844" s="6">
        <v>0.15</v>
      </c>
      <c r="T844" s="8">
        <v>10</v>
      </c>
      <c r="U844" s="5" t="s">
        <v>994</v>
      </c>
      <c r="V844" s="89">
        <v>0</v>
      </c>
      <c r="W844" s="15">
        <v>17897801314302</v>
      </c>
      <c r="X844" s="6">
        <v>0.255</v>
      </c>
      <c r="Y844" s="6">
        <v>0.25</v>
      </c>
      <c r="Z844" s="6">
        <v>0.32500000000000001</v>
      </c>
      <c r="AA844" s="6">
        <f t="shared" si="45"/>
        <v>2.0718750000000001E-2</v>
      </c>
      <c r="AB844" s="8">
        <v>230</v>
      </c>
      <c r="AC844" s="15">
        <v>27897801314309</v>
      </c>
      <c r="AD844" s="4" t="s">
        <v>992</v>
      </c>
    </row>
    <row r="845" spans="2:30" x14ac:dyDescent="0.35">
      <c r="B845" s="18">
        <v>1502</v>
      </c>
      <c r="C845" s="67" t="s">
        <v>768</v>
      </c>
      <c r="D845" s="24" t="s">
        <v>2373</v>
      </c>
      <c r="E845" s="24" t="s">
        <v>2912</v>
      </c>
      <c r="F845" s="4" t="s">
        <v>85</v>
      </c>
      <c r="G845" s="4" t="s">
        <v>993</v>
      </c>
      <c r="H845" s="6">
        <v>7.1999999999999995E-2</v>
      </c>
      <c r="I845" s="8">
        <v>42</v>
      </c>
      <c r="J845" s="8">
        <v>47</v>
      </c>
      <c r="K845" s="8">
        <v>47</v>
      </c>
      <c r="L845" s="8">
        <f t="shared" si="44"/>
        <v>92778</v>
      </c>
      <c r="M845" s="15">
        <v>7897801314312</v>
      </c>
      <c r="N845" s="6" t="s">
        <v>20</v>
      </c>
      <c r="O845" s="6" t="s">
        <v>20</v>
      </c>
      <c r="P845" s="6" t="s">
        <v>20</v>
      </c>
      <c r="Q845" s="6">
        <v>0.13</v>
      </c>
      <c r="R845" s="6">
        <v>4.2000000000000003E-2</v>
      </c>
      <c r="S845" s="6">
        <v>0.16</v>
      </c>
      <c r="T845" s="8">
        <v>10</v>
      </c>
      <c r="U845" s="5" t="s">
        <v>994</v>
      </c>
      <c r="V845" s="89">
        <v>0</v>
      </c>
      <c r="W845" s="15">
        <v>17897801314319</v>
      </c>
      <c r="X845" s="6">
        <v>0.255</v>
      </c>
      <c r="Y845" s="6">
        <v>0.25</v>
      </c>
      <c r="Z845" s="6">
        <v>0.32500000000000001</v>
      </c>
      <c r="AA845" s="6">
        <f t="shared" si="45"/>
        <v>2.0718750000000001E-2</v>
      </c>
      <c r="AB845" s="8">
        <v>180</v>
      </c>
      <c r="AC845" s="15">
        <v>27897801314316</v>
      </c>
      <c r="AD845" s="4" t="s">
        <v>992</v>
      </c>
    </row>
    <row r="846" spans="2:30" x14ac:dyDescent="0.35">
      <c r="B846" s="18">
        <v>1503</v>
      </c>
      <c r="C846" s="67" t="s">
        <v>769</v>
      </c>
      <c r="D846" s="24" t="s">
        <v>2373</v>
      </c>
      <c r="E846" s="24" t="s">
        <v>2912</v>
      </c>
      <c r="F846" s="4" t="s">
        <v>85</v>
      </c>
      <c r="G846" s="4" t="s">
        <v>993</v>
      </c>
      <c r="H846" s="6">
        <v>6.8000000000000005E-2</v>
      </c>
      <c r="I846" s="8">
        <v>44</v>
      </c>
      <c r="J846" s="8">
        <v>47</v>
      </c>
      <c r="K846" s="8">
        <v>47</v>
      </c>
      <c r="L846" s="8">
        <f t="shared" si="44"/>
        <v>97196</v>
      </c>
      <c r="M846" s="15">
        <v>7897801314329</v>
      </c>
      <c r="N846" s="6" t="s">
        <v>20</v>
      </c>
      <c r="O846" s="6" t="s">
        <v>20</v>
      </c>
      <c r="P846" s="6" t="s">
        <v>20</v>
      </c>
      <c r="Q846" s="6">
        <v>0.14000000000000001</v>
      </c>
      <c r="R846" s="6">
        <v>4.3999999999999997E-2</v>
      </c>
      <c r="S846" s="6">
        <v>0.14499999999999999</v>
      </c>
      <c r="T846" s="8">
        <v>10</v>
      </c>
      <c r="U846" s="5" t="s">
        <v>994</v>
      </c>
      <c r="V846" s="89">
        <v>0</v>
      </c>
      <c r="W846" s="15">
        <v>17897801314326</v>
      </c>
      <c r="X846" s="6">
        <v>0.255</v>
      </c>
      <c r="Y846" s="6">
        <v>0.25</v>
      </c>
      <c r="Z846" s="6">
        <v>0.32500000000000001</v>
      </c>
      <c r="AA846" s="6">
        <f t="shared" si="45"/>
        <v>2.0718750000000001E-2</v>
      </c>
      <c r="AB846" s="8">
        <v>180</v>
      </c>
      <c r="AC846" s="15">
        <v>27897801314323</v>
      </c>
      <c r="AD846" s="4" t="s">
        <v>992</v>
      </c>
    </row>
    <row r="847" spans="2:30" x14ac:dyDescent="0.35">
      <c r="B847" s="18">
        <v>1504</v>
      </c>
      <c r="C847" s="67" t="s">
        <v>770</v>
      </c>
      <c r="D847" s="24" t="s">
        <v>2373</v>
      </c>
      <c r="E847" s="24" t="s">
        <v>2912</v>
      </c>
      <c r="F847" s="4" t="s">
        <v>85</v>
      </c>
      <c r="G847" s="4" t="s">
        <v>993</v>
      </c>
      <c r="H847" s="6">
        <v>7.1999999999999995E-2</v>
      </c>
      <c r="I847" s="8">
        <v>44</v>
      </c>
      <c r="J847" s="8">
        <v>47</v>
      </c>
      <c r="K847" s="8">
        <v>47</v>
      </c>
      <c r="L847" s="8">
        <f t="shared" si="44"/>
        <v>97196</v>
      </c>
      <c r="M847" s="15">
        <v>7897801314336</v>
      </c>
      <c r="N847" s="6" t="s">
        <v>20</v>
      </c>
      <c r="O847" s="6" t="s">
        <v>20</v>
      </c>
      <c r="P847" s="6" t="s">
        <v>20</v>
      </c>
      <c r="Q847" s="6">
        <v>0.105</v>
      </c>
      <c r="R847" s="6">
        <v>4.3999999999999997E-2</v>
      </c>
      <c r="S847" s="6">
        <v>0.125</v>
      </c>
      <c r="T847" s="8">
        <v>5</v>
      </c>
      <c r="U847" s="5" t="s">
        <v>994</v>
      </c>
      <c r="V847" s="89">
        <v>0</v>
      </c>
      <c r="W847" s="15">
        <v>17897801314333</v>
      </c>
      <c r="X847" s="6">
        <v>0.255</v>
      </c>
      <c r="Y847" s="6">
        <v>0.25</v>
      </c>
      <c r="Z847" s="6">
        <v>0.32500000000000001</v>
      </c>
      <c r="AA847" s="6">
        <f t="shared" si="45"/>
        <v>2.0718750000000001E-2</v>
      </c>
      <c r="AB847" s="8">
        <v>130</v>
      </c>
      <c r="AC847" s="15">
        <v>27897801314330</v>
      </c>
      <c r="AD847" s="4" t="s">
        <v>992</v>
      </c>
    </row>
    <row r="848" spans="2:30" x14ac:dyDescent="0.35">
      <c r="B848" s="18">
        <v>1505</v>
      </c>
      <c r="C848" s="67" t="s">
        <v>771</v>
      </c>
      <c r="D848" s="24" t="s">
        <v>2373</v>
      </c>
      <c r="E848" s="24" t="s">
        <v>2912</v>
      </c>
      <c r="F848" s="4" t="s">
        <v>85</v>
      </c>
      <c r="G848" s="4" t="s">
        <v>993</v>
      </c>
      <c r="H848" s="6">
        <v>0.1346</v>
      </c>
      <c r="I848" s="8">
        <v>56</v>
      </c>
      <c r="J848" s="8">
        <v>56</v>
      </c>
      <c r="K848" s="8">
        <v>56</v>
      </c>
      <c r="L848" s="8">
        <f t="shared" si="44"/>
        <v>175616</v>
      </c>
      <c r="M848" s="15">
        <v>7897801314343</v>
      </c>
      <c r="N848" s="6" t="s">
        <v>20</v>
      </c>
      <c r="O848" s="6" t="s">
        <v>20</v>
      </c>
      <c r="P848" s="6" t="s">
        <v>20</v>
      </c>
      <c r="Q848" s="6">
        <v>0.12</v>
      </c>
      <c r="R848" s="6">
        <v>5.6000000000000001E-2</v>
      </c>
      <c r="S848" s="6">
        <v>0.16500000000000001</v>
      </c>
      <c r="T848" s="8">
        <v>5</v>
      </c>
      <c r="U848" s="5" t="s">
        <v>994</v>
      </c>
      <c r="V848" s="89">
        <v>0</v>
      </c>
      <c r="W848" s="15">
        <v>17897801314340</v>
      </c>
      <c r="X848" s="6">
        <v>0.255</v>
      </c>
      <c r="Y848" s="6">
        <v>0.25</v>
      </c>
      <c r="Z848" s="6">
        <v>0.32500000000000001</v>
      </c>
      <c r="AA848" s="6">
        <f t="shared" si="45"/>
        <v>2.0718750000000001E-2</v>
      </c>
      <c r="AB848" s="8">
        <v>70</v>
      </c>
      <c r="AC848" s="15">
        <v>27897801314347</v>
      </c>
      <c r="AD848" s="4" t="s">
        <v>992</v>
      </c>
    </row>
    <row r="849" spans="2:30" x14ac:dyDescent="0.35">
      <c r="B849" s="18">
        <v>1506</v>
      </c>
      <c r="C849" s="67" t="s">
        <v>772</v>
      </c>
      <c r="D849" s="24" t="s">
        <v>2373</v>
      </c>
      <c r="E849" s="24" t="s">
        <v>2912</v>
      </c>
      <c r="F849" s="4" t="s">
        <v>85</v>
      </c>
      <c r="G849" s="4" t="s">
        <v>993</v>
      </c>
      <c r="H849" s="6">
        <v>2.1000000000000001E-2</v>
      </c>
      <c r="I849" s="8">
        <v>61</v>
      </c>
      <c r="J849" s="8">
        <v>59</v>
      </c>
      <c r="K849" s="8">
        <v>59</v>
      </c>
      <c r="L849" s="8">
        <f t="shared" si="44"/>
        <v>212341</v>
      </c>
      <c r="M849" s="15">
        <v>7897801314350</v>
      </c>
      <c r="N849" s="6" t="s">
        <v>20</v>
      </c>
      <c r="O849" s="6" t="s">
        <v>20</v>
      </c>
      <c r="P849" s="6" t="s">
        <v>20</v>
      </c>
      <c r="Q849" s="6">
        <v>7.0000000000000007E-2</v>
      </c>
      <c r="R849" s="6">
        <v>6.5000000000000002E-2</v>
      </c>
      <c r="S849" s="6">
        <v>0.14000000000000001</v>
      </c>
      <c r="T849" s="8">
        <v>2</v>
      </c>
      <c r="U849" s="5" t="s">
        <v>994</v>
      </c>
      <c r="V849" s="89">
        <v>0</v>
      </c>
      <c r="W849" s="15">
        <v>17897801314357</v>
      </c>
      <c r="X849" s="6">
        <v>0.255</v>
      </c>
      <c r="Y849" s="6">
        <v>0.25</v>
      </c>
      <c r="Z849" s="6">
        <v>0.32500000000000001</v>
      </c>
      <c r="AA849" s="6">
        <f t="shared" si="45"/>
        <v>2.0718750000000001E-2</v>
      </c>
      <c r="AB849" s="8">
        <v>44</v>
      </c>
      <c r="AC849" s="15">
        <v>27897801314354</v>
      </c>
      <c r="AD849" s="4" t="s">
        <v>992</v>
      </c>
    </row>
    <row r="850" spans="2:30" x14ac:dyDescent="0.35">
      <c r="B850" s="18">
        <v>1507</v>
      </c>
      <c r="C850" s="67" t="s">
        <v>773</v>
      </c>
      <c r="D850" s="24" t="s">
        <v>2373</v>
      </c>
      <c r="E850" s="24" t="s">
        <v>2912</v>
      </c>
      <c r="F850" s="4" t="s">
        <v>85</v>
      </c>
      <c r="G850" s="4" t="s">
        <v>993</v>
      </c>
      <c r="H850" s="6">
        <v>0.28299999999999997</v>
      </c>
      <c r="I850" s="8">
        <v>67</v>
      </c>
      <c r="J850" s="8">
        <v>80</v>
      </c>
      <c r="K850" s="8">
        <v>80</v>
      </c>
      <c r="L850" s="8">
        <f t="shared" si="44"/>
        <v>428800</v>
      </c>
      <c r="M850" s="15">
        <v>7897801314367</v>
      </c>
      <c r="N850" s="6" t="s">
        <v>20</v>
      </c>
      <c r="O850" s="6" t="s">
        <v>20</v>
      </c>
      <c r="P850" s="6" t="s">
        <v>20</v>
      </c>
      <c r="Q850" s="6">
        <v>8.6999999999999994E-2</v>
      </c>
      <c r="R850" s="6">
        <v>6.7000000000000004E-2</v>
      </c>
      <c r="S850" s="6">
        <v>0.15</v>
      </c>
      <c r="T850" s="8">
        <v>2</v>
      </c>
      <c r="U850" s="5" t="s">
        <v>994</v>
      </c>
      <c r="V850" s="89">
        <v>0</v>
      </c>
      <c r="W850" s="15">
        <v>17897801314364</v>
      </c>
      <c r="X850" s="6">
        <v>0.255</v>
      </c>
      <c r="Y850" s="6">
        <v>0.25</v>
      </c>
      <c r="Z850" s="6">
        <v>0.32500000000000001</v>
      </c>
      <c r="AA850" s="6">
        <f t="shared" si="45"/>
        <v>2.0718750000000001E-2</v>
      </c>
      <c r="AB850" s="8">
        <v>30</v>
      </c>
      <c r="AC850" s="15">
        <v>27897801314361</v>
      </c>
      <c r="AD850" s="4" t="s">
        <v>992</v>
      </c>
    </row>
    <row r="851" spans="2:30" x14ac:dyDescent="0.35">
      <c r="B851" s="18">
        <v>1508</v>
      </c>
      <c r="C851" s="67" t="s">
        <v>774</v>
      </c>
      <c r="D851" s="24" t="s">
        <v>2373</v>
      </c>
      <c r="E851" s="24" t="s">
        <v>2912</v>
      </c>
      <c r="F851" s="4" t="s">
        <v>85</v>
      </c>
      <c r="G851" s="4" t="s">
        <v>993</v>
      </c>
      <c r="H851" s="6">
        <v>0.4204</v>
      </c>
      <c r="I851" s="8">
        <v>74</v>
      </c>
      <c r="J851" s="8">
        <v>91</v>
      </c>
      <c r="K851" s="8">
        <v>91</v>
      </c>
      <c r="L851" s="8">
        <f t="shared" si="44"/>
        <v>612794</v>
      </c>
      <c r="M851" s="15">
        <v>7897801314374</v>
      </c>
      <c r="N851" s="6" t="s">
        <v>20</v>
      </c>
      <c r="O851" s="6" t="s">
        <v>20</v>
      </c>
      <c r="P851" s="6" t="s">
        <v>20</v>
      </c>
      <c r="Q851" s="6">
        <v>0.1</v>
      </c>
      <c r="R851" s="6">
        <v>0.08</v>
      </c>
      <c r="S851" s="6">
        <v>0.1</v>
      </c>
      <c r="T851" s="8">
        <v>1</v>
      </c>
      <c r="U851" s="5" t="s">
        <v>994</v>
      </c>
      <c r="V851" s="89">
        <v>0</v>
      </c>
      <c r="W851" s="15">
        <v>17897801314371</v>
      </c>
      <c r="X851" s="6">
        <v>0.255</v>
      </c>
      <c r="Y851" s="6">
        <v>0.25</v>
      </c>
      <c r="Z851" s="6">
        <v>0.32500000000000001</v>
      </c>
      <c r="AA851" s="6">
        <f t="shared" si="45"/>
        <v>2.0718750000000001E-2</v>
      </c>
      <c r="AB851" s="8">
        <v>18</v>
      </c>
      <c r="AC851" s="15">
        <v>27897801314378</v>
      </c>
      <c r="AD851" s="4" t="s">
        <v>992</v>
      </c>
    </row>
    <row r="852" spans="2:30" x14ac:dyDescent="0.35">
      <c r="B852" s="18">
        <v>1509</v>
      </c>
      <c r="C852" s="67" t="s">
        <v>2437</v>
      </c>
      <c r="D852" s="24" t="s">
        <v>2373</v>
      </c>
      <c r="E852" s="24" t="s">
        <v>2912</v>
      </c>
      <c r="F852" s="4" t="s">
        <v>85</v>
      </c>
      <c r="G852" s="4" t="s">
        <v>1012</v>
      </c>
      <c r="H852" s="6">
        <v>0.70079999999999998</v>
      </c>
      <c r="I852" s="8">
        <v>116</v>
      </c>
      <c r="J852" s="8">
        <v>116</v>
      </c>
      <c r="K852" s="8">
        <v>69</v>
      </c>
      <c r="L852" s="8">
        <v>928464</v>
      </c>
      <c r="M852" s="15">
        <v>7897801315944</v>
      </c>
      <c r="N852" s="6" t="s">
        <v>20</v>
      </c>
      <c r="O852" s="6" t="s">
        <v>20</v>
      </c>
      <c r="P852" s="6" t="s">
        <v>20</v>
      </c>
      <c r="Q852" s="6">
        <v>0.19</v>
      </c>
      <c r="R852" s="6">
        <v>0.11600000000000001</v>
      </c>
      <c r="S852" s="6">
        <v>0.2</v>
      </c>
      <c r="T852" s="8">
        <v>1</v>
      </c>
      <c r="U852" s="5" t="s">
        <v>994</v>
      </c>
      <c r="V852" s="89">
        <v>0</v>
      </c>
      <c r="W852" s="15">
        <v>17897801315941</v>
      </c>
      <c r="X852" s="6">
        <v>0.34</v>
      </c>
      <c r="Y852" s="6">
        <v>0.26</v>
      </c>
      <c r="Z852" s="6">
        <v>0.25</v>
      </c>
      <c r="AA852" s="6">
        <v>2.2100000000000002E-2</v>
      </c>
      <c r="AB852" s="8">
        <v>18</v>
      </c>
      <c r="AC852" s="15">
        <v>27897801315948</v>
      </c>
      <c r="AD852" s="4" t="s">
        <v>992</v>
      </c>
    </row>
    <row r="853" spans="2:30" x14ac:dyDescent="0.35">
      <c r="B853" s="18">
        <v>1510</v>
      </c>
      <c r="C853" s="67" t="s">
        <v>2438</v>
      </c>
      <c r="D853" s="24" t="s">
        <v>2373</v>
      </c>
      <c r="E853" s="24" t="s">
        <v>2912</v>
      </c>
      <c r="F853" s="4" t="s">
        <v>85</v>
      </c>
      <c r="G853" s="4" t="s">
        <v>1012</v>
      </c>
      <c r="H853" s="6">
        <v>1.32</v>
      </c>
      <c r="I853" s="8">
        <v>143</v>
      </c>
      <c r="J853" s="8">
        <v>143</v>
      </c>
      <c r="K853" s="8">
        <v>85</v>
      </c>
      <c r="L853" s="8">
        <v>1738165</v>
      </c>
      <c r="M853" s="15">
        <v>7897801315951</v>
      </c>
      <c r="N853" s="6" t="s">
        <v>20</v>
      </c>
      <c r="O853" s="6" t="s">
        <v>20</v>
      </c>
      <c r="P853" s="6" t="s">
        <v>20</v>
      </c>
      <c r="Q853" s="6">
        <v>0.23</v>
      </c>
      <c r="R853" s="6">
        <v>0.14299999999999999</v>
      </c>
      <c r="S853" s="6">
        <v>0.31</v>
      </c>
      <c r="T853" s="8">
        <v>1</v>
      </c>
      <c r="U853" s="5" t="s">
        <v>994</v>
      </c>
      <c r="V853" s="89">
        <v>0</v>
      </c>
      <c r="W853" s="15">
        <v>17897801315958</v>
      </c>
      <c r="X853" s="6">
        <v>0.38</v>
      </c>
      <c r="Y853" s="6">
        <v>0.34</v>
      </c>
      <c r="Z853" s="6">
        <v>0.25</v>
      </c>
      <c r="AA853" s="6">
        <v>3.2300000000000002E-2</v>
      </c>
      <c r="AB853" s="8">
        <v>10</v>
      </c>
      <c r="AC853" s="15">
        <v>27897801315955</v>
      </c>
      <c r="AD853" s="4" t="s">
        <v>992</v>
      </c>
    </row>
    <row r="854" spans="2:30" x14ac:dyDescent="0.35">
      <c r="B854" s="18">
        <v>1512</v>
      </c>
      <c r="C854" s="67" t="s">
        <v>775</v>
      </c>
      <c r="D854" s="24" t="s">
        <v>2373</v>
      </c>
      <c r="E854" s="24" t="s">
        <v>2912</v>
      </c>
      <c r="F854" s="4" t="s">
        <v>85</v>
      </c>
      <c r="G854" s="4" t="s">
        <v>993</v>
      </c>
      <c r="H854" s="6">
        <v>5.28E-2</v>
      </c>
      <c r="I854" s="8">
        <v>38</v>
      </c>
      <c r="J854" s="8">
        <v>38</v>
      </c>
      <c r="K854" s="8">
        <v>55</v>
      </c>
      <c r="L854" s="8">
        <f t="shared" ref="L854:L862" si="46">J854*I854*K854</f>
        <v>79420</v>
      </c>
      <c r="M854" s="15">
        <v>7897801314381</v>
      </c>
      <c r="N854" s="6" t="s">
        <v>20</v>
      </c>
      <c r="O854" s="6" t="s">
        <v>20</v>
      </c>
      <c r="P854" s="6" t="s">
        <v>20</v>
      </c>
      <c r="Q854" s="6">
        <v>0.15</v>
      </c>
      <c r="R854" s="6">
        <v>5.8000000000000003E-2</v>
      </c>
      <c r="S854" s="6">
        <v>0.18</v>
      </c>
      <c r="T854" s="8">
        <v>10</v>
      </c>
      <c r="U854" s="5" t="s">
        <v>994</v>
      </c>
      <c r="V854" s="89">
        <v>0</v>
      </c>
      <c r="W854" s="15">
        <v>17897801314388</v>
      </c>
      <c r="X854" s="6">
        <v>0.255</v>
      </c>
      <c r="Y854" s="6">
        <v>0.25</v>
      </c>
      <c r="Z854" s="6">
        <v>0.32500000000000001</v>
      </c>
      <c r="AA854" s="6">
        <f t="shared" ref="AA854:AA862" si="47">Y854*X854*Z854</f>
        <v>2.0718750000000001E-2</v>
      </c>
      <c r="AB854" s="8">
        <v>210</v>
      </c>
      <c r="AC854" s="15">
        <v>27897801314385</v>
      </c>
      <c r="AD854" s="4" t="s">
        <v>992</v>
      </c>
    </row>
    <row r="855" spans="2:30" x14ac:dyDescent="0.35">
      <c r="B855" s="14">
        <v>1513</v>
      </c>
      <c r="C855" s="67" t="s">
        <v>776</v>
      </c>
      <c r="D855" s="4" t="s">
        <v>2373</v>
      </c>
      <c r="E855" s="24" t="s">
        <v>2912</v>
      </c>
      <c r="F855" s="4" t="s">
        <v>85</v>
      </c>
      <c r="G855" s="4" t="s">
        <v>993</v>
      </c>
      <c r="H855" s="6">
        <v>7.17E-2</v>
      </c>
      <c r="I855" s="8">
        <v>45</v>
      </c>
      <c r="J855" s="8">
        <v>45</v>
      </c>
      <c r="K855" s="8">
        <v>57</v>
      </c>
      <c r="L855" s="8">
        <f t="shared" si="46"/>
        <v>115425</v>
      </c>
      <c r="M855" s="15">
        <v>7897801314398</v>
      </c>
      <c r="N855" s="6" t="s">
        <v>20</v>
      </c>
      <c r="O855" s="6" t="s">
        <v>20</v>
      </c>
      <c r="P855" s="6" t="s">
        <v>20</v>
      </c>
      <c r="Q855" s="6">
        <v>0.16</v>
      </c>
      <c r="R855" s="6">
        <v>4.4999999999999998E-2</v>
      </c>
      <c r="S855" s="6">
        <v>0.17</v>
      </c>
      <c r="T855" s="8">
        <v>10</v>
      </c>
      <c r="U855" s="5" t="s">
        <v>994</v>
      </c>
      <c r="V855" s="89">
        <v>0</v>
      </c>
      <c r="W855" s="15">
        <v>17897801314395</v>
      </c>
      <c r="X855" s="6">
        <v>0.34499999999999997</v>
      </c>
      <c r="Y855" s="6">
        <v>0.255</v>
      </c>
      <c r="Z855" s="6">
        <v>0.375</v>
      </c>
      <c r="AA855" s="6">
        <f t="shared" si="47"/>
        <v>3.2990624999999996E-2</v>
      </c>
      <c r="AB855" s="8">
        <v>180</v>
      </c>
      <c r="AC855" s="15">
        <v>27897801314392</v>
      </c>
      <c r="AD855" s="4" t="s">
        <v>992</v>
      </c>
    </row>
    <row r="856" spans="2:30" x14ac:dyDescent="0.35">
      <c r="B856" s="14">
        <v>1514</v>
      </c>
      <c r="C856" s="67" t="s">
        <v>777</v>
      </c>
      <c r="D856" s="4" t="s">
        <v>2373</v>
      </c>
      <c r="E856" s="24" t="s">
        <v>2912</v>
      </c>
      <c r="F856" s="4" t="s">
        <v>85</v>
      </c>
      <c r="G856" s="4" t="s">
        <v>993</v>
      </c>
      <c r="H856" s="6">
        <v>5.6399999999999999E-2</v>
      </c>
      <c r="I856" s="8">
        <v>40</v>
      </c>
      <c r="J856" s="8">
        <v>40</v>
      </c>
      <c r="K856" s="8">
        <v>56</v>
      </c>
      <c r="L856" s="8">
        <f t="shared" si="46"/>
        <v>89600</v>
      </c>
      <c r="M856" s="15">
        <v>7897801314404</v>
      </c>
      <c r="N856" s="6" t="s">
        <v>20</v>
      </c>
      <c r="O856" s="6" t="s">
        <v>20</v>
      </c>
      <c r="P856" s="6" t="s">
        <v>20</v>
      </c>
      <c r="Q856" s="6">
        <v>0.15</v>
      </c>
      <c r="R856" s="6">
        <v>0.04</v>
      </c>
      <c r="S856" s="6">
        <v>0.15</v>
      </c>
      <c r="T856" s="8">
        <v>10</v>
      </c>
      <c r="U856" s="5" t="s">
        <v>994</v>
      </c>
      <c r="V856" s="89">
        <v>0</v>
      </c>
      <c r="W856" s="15">
        <v>17897801314401</v>
      </c>
      <c r="X856" s="6">
        <v>0.34499999999999997</v>
      </c>
      <c r="Y856" s="6">
        <v>0.255</v>
      </c>
      <c r="Z856" s="6">
        <v>0.375</v>
      </c>
      <c r="AA856" s="6">
        <f t="shared" si="47"/>
        <v>3.2990624999999996E-2</v>
      </c>
      <c r="AB856" s="8">
        <v>180</v>
      </c>
      <c r="AC856" s="15">
        <v>27897801314408</v>
      </c>
      <c r="AD856" s="4" t="s">
        <v>992</v>
      </c>
    </row>
    <row r="857" spans="2:30" x14ac:dyDescent="0.35">
      <c r="B857" s="14">
        <v>1515</v>
      </c>
      <c r="C857" s="67" t="s">
        <v>778</v>
      </c>
      <c r="D857" s="4" t="s">
        <v>2373</v>
      </c>
      <c r="E857" s="24" t="s">
        <v>2912</v>
      </c>
      <c r="F857" s="4" t="s">
        <v>85</v>
      </c>
      <c r="G857" s="4" t="s">
        <v>993</v>
      </c>
      <c r="H857" s="6">
        <v>8.0500000000000002E-2</v>
      </c>
      <c r="I857" s="8">
        <v>46</v>
      </c>
      <c r="J857" s="8">
        <v>46</v>
      </c>
      <c r="K857" s="8">
        <v>58</v>
      </c>
      <c r="L857" s="8">
        <f t="shared" si="46"/>
        <v>122728</v>
      </c>
      <c r="M857" s="15">
        <v>7897801314411</v>
      </c>
      <c r="N857" s="6" t="s">
        <v>20</v>
      </c>
      <c r="O857" s="6" t="s">
        <v>20</v>
      </c>
      <c r="P857" s="6" t="s">
        <v>20</v>
      </c>
      <c r="Q857" s="6">
        <v>0.17</v>
      </c>
      <c r="R857" s="6">
        <v>4.5999999999999999E-2</v>
      </c>
      <c r="S857" s="6">
        <v>0.18</v>
      </c>
      <c r="T857" s="8">
        <v>10</v>
      </c>
      <c r="U857" s="5" t="s">
        <v>994</v>
      </c>
      <c r="V857" s="89">
        <v>0</v>
      </c>
      <c r="W857" s="15">
        <v>17897801314418</v>
      </c>
      <c r="X857" s="6">
        <v>0.255</v>
      </c>
      <c r="Y857" s="6">
        <v>0.25</v>
      </c>
      <c r="Z857" s="6">
        <v>0.32500000000000001</v>
      </c>
      <c r="AA857" s="6">
        <f t="shared" si="47"/>
        <v>2.0718750000000001E-2</v>
      </c>
      <c r="AB857" s="8">
        <v>150</v>
      </c>
      <c r="AC857" s="15">
        <v>27897801314415</v>
      </c>
      <c r="AD857" s="4" t="s">
        <v>992</v>
      </c>
    </row>
    <row r="858" spans="2:30" x14ac:dyDescent="0.35">
      <c r="B858" s="14">
        <v>1516</v>
      </c>
      <c r="C858" s="67" t="s">
        <v>779</v>
      </c>
      <c r="D858" s="4" t="s">
        <v>2373</v>
      </c>
      <c r="E858" s="24" t="s">
        <v>2912</v>
      </c>
      <c r="F858" s="4" t="s">
        <v>85</v>
      </c>
      <c r="G858" s="4" t="s">
        <v>993</v>
      </c>
      <c r="H858" s="6">
        <v>8.5999999999999993E-2</v>
      </c>
      <c r="I858" s="8">
        <v>44</v>
      </c>
      <c r="J858" s="8">
        <v>44</v>
      </c>
      <c r="K858" s="8">
        <v>59</v>
      </c>
      <c r="L858" s="8">
        <f t="shared" si="46"/>
        <v>114224</v>
      </c>
      <c r="M858" s="15">
        <v>7897801314428</v>
      </c>
      <c r="N858" s="6" t="s">
        <v>20</v>
      </c>
      <c r="O858" s="6" t="s">
        <v>20</v>
      </c>
      <c r="P858" s="6" t="s">
        <v>20</v>
      </c>
      <c r="Q858" s="6">
        <v>0.12</v>
      </c>
      <c r="R858" s="6">
        <v>4.3999999999999997E-2</v>
      </c>
      <c r="S858" s="6">
        <v>0.16</v>
      </c>
      <c r="T858" s="8">
        <v>5</v>
      </c>
      <c r="U858" s="5" t="s">
        <v>994</v>
      </c>
      <c r="V858" s="89">
        <v>0</v>
      </c>
      <c r="W858" s="15">
        <v>17897801314425</v>
      </c>
      <c r="X858" s="6">
        <v>0.255</v>
      </c>
      <c r="Y858" s="6">
        <v>0.25</v>
      </c>
      <c r="Z858" s="6">
        <v>0.32500000000000001</v>
      </c>
      <c r="AA858" s="6">
        <f t="shared" si="47"/>
        <v>2.0718750000000001E-2</v>
      </c>
      <c r="AB858" s="8">
        <v>140</v>
      </c>
      <c r="AC858" s="15">
        <v>27897801314422</v>
      </c>
      <c r="AD858" s="4" t="s">
        <v>992</v>
      </c>
    </row>
    <row r="859" spans="2:30" x14ac:dyDescent="0.35">
      <c r="B859" s="14">
        <v>1517</v>
      </c>
      <c r="C859" s="67" t="s">
        <v>780</v>
      </c>
      <c r="D859" s="4" t="s">
        <v>2373</v>
      </c>
      <c r="E859" s="24" t="s">
        <v>2912</v>
      </c>
      <c r="F859" s="4" t="s">
        <v>85</v>
      </c>
      <c r="G859" s="4" t="s">
        <v>993</v>
      </c>
      <c r="H859" s="6">
        <v>0.1701</v>
      </c>
      <c r="I859" s="8">
        <v>56</v>
      </c>
      <c r="J859" s="8">
        <v>56</v>
      </c>
      <c r="K859" s="8">
        <v>73</v>
      </c>
      <c r="L859" s="8">
        <f t="shared" si="46"/>
        <v>228928</v>
      </c>
      <c r="M859" s="15">
        <v>7897801314435</v>
      </c>
      <c r="N859" s="6" t="s">
        <v>20</v>
      </c>
      <c r="O859" s="6" t="s">
        <v>20</v>
      </c>
      <c r="P859" s="6" t="s">
        <v>20</v>
      </c>
      <c r="Q859" s="6">
        <v>7.2999999999999995E-2</v>
      </c>
      <c r="R859" s="6">
        <v>5.6000000000000001E-2</v>
      </c>
      <c r="S859" s="6">
        <v>0.112</v>
      </c>
      <c r="T859" s="8">
        <v>2</v>
      </c>
      <c r="U859" s="5" t="s">
        <v>994</v>
      </c>
      <c r="V859" s="89">
        <v>0</v>
      </c>
      <c r="W859" s="15">
        <v>17897801314432</v>
      </c>
      <c r="X859" s="6">
        <v>0.255</v>
      </c>
      <c r="Y859" s="6">
        <v>0.25</v>
      </c>
      <c r="Z859" s="6">
        <v>0.32500000000000001</v>
      </c>
      <c r="AA859" s="6">
        <f t="shared" si="47"/>
        <v>2.0718750000000001E-2</v>
      </c>
      <c r="AB859" s="8">
        <v>60</v>
      </c>
      <c r="AC859" s="15">
        <v>27897801314439</v>
      </c>
      <c r="AD859" s="4" t="s">
        <v>992</v>
      </c>
    </row>
    <row r="860" spans="2:30" x14ac:dyDescent="0.35">
      <c r="B860" s="14">
        <v>1518</v>
      </c>
      <c r="C860" s="67" t="s">
        <v>781</v>
      </c>
      <c r="D860" s="4" t="s">
        <v>2373</v>
      </c>
      <c r="E860" s="24" t="s">
        <v>2912</v>
      </c>
      <c r="F860" s="4" t="s">
        <v>85</v>
      </c>
      <c r="G860" s="4" t="s">
        <v>993</v>
      </c>
      <c r="H860" s="6">
        <v>0.25950000000000001</v>
      </c>
      <c r="I860" s="8">
        <v>69</v>
      </c>
      <c r="J860" s="8">
        <v>69</v>
      </c>
      <c r="K860" s="8">
        <v>81</v>
      </c>
      <c r="L860" s="8">
        <f t="shared" si="46"/>
        <v>385641</v>
      </c>
      <c r="M860" s="15">
        <v>7897801314442</v>
      </c>
      <c r="N860" s="6" t="s">
        <v>20</v>
      </c>
      <c r="O860" s="6" t="s">
        <v>20</v>
      </c>
      <c r="P860" s="6" t="s">
        <v>20</v>
      </c>
      <c r="Q860" s="6">
        <v>8.1000000000000003E-2</v>
      </c>
      <c r="R860" s="6">
        <v>6.9000000000000006E-2</v>
      </c>
      <c r="S860" s="6">
        <v>0.13800000000000001</v>
      </c>
      <c r="T860" s="8">
        <v>2</v>
      </c>
      <c r="U860" s="5" t="s">
        <v>994</v>
      </c>
      <c r="V860" s="89">
        <v>0</v>
      </c>
      <c r="W860" s="15">
        <v>17897801314449</v>
      </c>
      <c r="X860" s="6">
        <v>0.255</v>
      </c>
      <c r="Y860" s="6">
        <v>0.25</v>
      </c>
      <c r="Z860" s="6">
        <v>0.32500000000000001</v>
      </c>
      <c r="AA860" s="6">
        <f t="shared" si="47"/>
        <v>2.0718750000000001E-2</v>
      </c>
      <c r="AB860" s="8">
        <v>40</v>
      </c>
      <c r="AC860" s="15">
        <v>27897801314446</v>
      </c>
      <c r="AD860" s="4" t="s">
        <v>992</v>
      </c>
    </row>
    <row r="861" spans="2:30" x14ac:dyDescent="0.35">
      <c r="B861" s="14">
        <v>1519</v>
      </c>
      <c r="C861" s="67" t="s">
        <v>782</v>
      </c>
      <c r="D861" s="4" t="s">
        <v>2373</v>
      </c>
      <c r="E861" s="24" t="s">
        <v>2912</v>
      </c>
      <c r="F861" s="4" t="s">
        <v>85</v>
      </c>
      <c r="G861" s="4" t="s">
        <v>993</v>
      </c>
      <c r="H861" s="6">
        <v>0.34760000000000002</v>
      </c>
      <c r="I861" s="8">
        <v>85.4</v>
      </c>
      <c r="J861" s="8">
        <v>82</v>
      </c>
      <c r="K861" s="8">
        <v>81</v>
      </c>
      <c r="L861" s="8">
        <f t="shared" si="46"/>
        <v>567226.80000000005</v>
      </c>
      <c r="M861" s="15">
        <v>7897801314459</v>
      </c>
      <c r="N861" s="6" t="s">
        <v>20</v>
      </c>
      <c r="O861" s="6" t="s">
        <v>20</v>
      </c>
      <c r="P861" s="6" t="s">
        <v>20</v>
      </c>
      <c r="Q861" s="6">
        <v>8.2000000000000003E-2</v>
      </c>
      <c r="R861" s="6">
        <v>8.2000000000000003E-2</v>
      </c>
      <c r="S861" s="6">
        <v>0.151</v>
      </c>
      <c r="T861" s="8">
        <v>2</v>
      </c>
      <c r="U861" s="5" t="s">
        <v>994</v>
      </c>
      <c r="V861" s="89">
        <v>0</v>
      </c>
      <c r="W861" s="15">
        <v>17897801314456</v>
      </c>
      <c r="X861" s="6">
        <v>0.255</v>
      </c>
      <c r="Y861" s="6">
        <v>0.25</v>
      </c>
      <c r="Z861" s="6">
        <v>0.32500000000000001</v>
      </c>
      <c r="AA861" s="6">
        <f t="shared" si="47"/>
        <v>2.0718750000000001E-2</v>
      </c>
      <c r="AB861" s="8">
        <v>24</v>
      </c>
      <c r="AC861" s="15">
        <v>27897801314453</v>
      </c>
      <c r="AD861" s="4" t="s">
        <v>992</v>
      </c>
    </row>
    <row r="862" spans="2:30" x14ac:dyDescent="0.35">
      <c r="B862" s="14">
        <v>1520</v>
      </c>
      <c r="C862" s="67" t="s">
        <v>783</v>
      </c>
      <c r="D862" s="4" t="s">
        <v>2373</v>
      </c>
      <c r="E862" s="24" t="s">
        <v>2912</v>
      </c>
      <c r="F862" s="4" t="s">
        <v>85</v>
      </c>
      <c r="G862" s="4" t="s">
        <v>993</v>
      </c>
      <c r="H862" s="6">
        <v>0.54910000000000003</v>
      </c>
      <c r="I862" s="8">
        <v>99</v>
      </c>
      <c r="J862" s="8">
        <v>99</v>
      </c>
      <c r="K862" s="8">
        <v>99</v>
      </c>
      <c r="L862" s="8">
        <f t="shared" si="46"/>
        <v>970299</v>
      </c>
      <c r="M862" s="15">
        <v>7897801314466</v>
      </c>
      <c r="N862" s="6" t="s">
        <v>20</v>
      </c>
      <c r="O862" s="6" t="s">
        <v>20</v>
      </c>
      <c r="P862" s="6" t="s">
        <v>20</v>
      </c>
      <c r="Q862" s="6">
        <v>9.6000000000000002E-2</v>
      </c>
      <c r="R862" s="6">
        <v>9.5000000000000001E-2</v>
      </c>
      <c r="S862" s="6">
        <v>9.6000000000000002E-2</v>
      </c>
      <c r="T862" s="8">
        <v>1</v>
      </c>
      <c r="U862" s="5" t="s">
        <v>994</v>
      </c>
      <c r="V862" s="89">
        <v>0</v>
      </c>
      <c r="W862" s="15">
        <v>17897801314463</v>
      </c>
      <c r="X862" s="6">
        <v>0.255</v>
      </c>
      <c r="Y862" s="6">
        <v>0.25</v>
      </c>
      <c r="Z862" s="6">
        <v>0.32500000000000001</v>
      </c>
      <c r="AA862" s="6">
        <f t="shared" si="47"/>
        <v>2.0718750000000001E-2</v>
      </c>
      <c r="AB862" s="8">
        <v>14</v>
      </c>
      <c r="AC862" s="15">
        <v>27897801314460</v>
      </c>
      <c r="AD862" s="4" t="s">
        <v>992</v>
      </c>
    </row>
    <row r="863" spans="2:30" x14ac:dyDescent="0.35">
      <c r="B863" s="18">
        <v>1521</v>
      </c>
      <c r="C863" s="67" t="s">
        <v>2439</v>
      </c>
      <c r="D863" s="4" t="s">
        <v>2373</v>
      </c>
      <c r="E863" s="24" t="s">
        <v>2912</v>
      </c>
      <c r="F863" s="4" t="s">
        <v>85</v>
      </c>
      <c r="G863" s="4" t="s">
        <v>1012</v>
      </c>
      <c r="H863" s="6">
        <v>1.27</v>
      </c>
      <c r="I863" s="8">
        <v>116</v>
      </c>
      <c r="J863" s="8">
        <v>116</v>
      </c>
      <c r="K863" s="8">
        <v>95</v>
      </c>
      <c r="L863" s="8">
        <v>1278320</v>
      </c>
      <c r="M863" s="15">
        <v>7897801315975</v>
      </c>
      <c r="N863" s="6" t="s">
        <v>20</v>
      </c>
      <c r="O863" s="6" t="s">
        <v>20</v>
      </c>
      <c r="P863" s="6" t="s">
        <v>20</v>
      </c>
      <c r="Q863" s="6">
        <v>0.2</v>
      </c>
      <c r="R863" s="6">
        <v>0.11600000000000001</v>
      </c>
      <c r="S863" s="6">
        <v>0.20499999999999999</v>
      </c>
      <c r="T863" s="8">
        <v>1</v>
      </c>
      <c r="U863" s="5" t="s">
        <v>994</v>
      </c>
      <c r="V863" s="89">
        <v>0</v>
      </c>
      <c r="W863" s="15">
        <v>17897801315972</v>
      </c>
      <c r="X863" s="6">
        <v>0.34</v>
      </c>
      <c r="Y863" s="6">
        <v>0.26</v>
      </c>
      <c r="Z863" s="6">
        <v>0.25</v>
      </c>
      <c r="AA863" s="6">
        <v>2.2100000000000002E-2</v>
      </c>
      <c r="AB863" s="8">
        <v>12</v>
      </c>
      <c r="AC863" s="15">
        <v>27897801315979</v>
      </c>
      <c r="AD863" s="4" t="s">
        <v>992</v>
      </c>
    </row>
    <row r="864" spans="2:30" x14ac:dyDescent="0.35">
      <c r="B864" s="18">
        <v>1522</v>
      </c>
      <c r="C864" s="67" t="s">
        <v>2440</v>
      </c>
      <c r="D864" s="4" t="s">
        <v>2373</v>
      </c>
      <c r="E864" s="24" t="s">
        <v>2912</v>
      </c>
      <c r="F864" s="4" t="s">
        <v>85</v>
      </c>
      <c r="G864" s="4" t="s">
        <v>1012</v>
      </c>
      <c r="H864" s="6">
        <v>1.63</v>
      </c>
      <c r="I864" s="8">
        <v>143</v>
      </c>
      <c r="J864" s="8">
        <v>143</v>
      </c>
      <c r="K864" s="8">
        <v>117</v>
      </c>
      <c r="L864" s="8">
        <v>2392533</v>
      </c>
      <c r="M864" s="15">
        <v>7897801315982</v>
      </c>
      <c r="N864" s="6" t="s">
        <v>20</v>
      </c>
      <c r="O864" s="6" t="s">
        <v>20</v>
      </c>
      <c r="P864" s="6" t="s">
        <v>20</v>
      </c>
      <c r="Q864" s="6">
        <v>0.23</v>
      </c>
      <c r="R864" s="6">
        <v>0.14299999999999999</v>
      </c>
      <c r="S864" s="6">
        <v>0.32</v>
      </c>
      <c r="T864" s="8">
        <v>1</v>
      </c>
      <c r="U864" s="5" t="s">
        <v>994</v>
      </c>
      <c r="V864" s="89">
        <v>0</v>
      </c>
      <c r="W864" s="15">
        <v>17897801315989</v>
      </c>
      <c r="X864" s="6">
        <v>0.38</v>
      </c>
      <c r="Y864" s="6">
        <v>0.34</v>
      </c>
      <c r="Z864" s="6">
        <v>0.25</v>
      </c>
      <c r="AA864" s="6">
        <v>3.2300000000000002E-2</v>
      </c>
      <c r="AB864" s="8" t="s">
        <v>2424</v>
      </c>
      <c r="AC864" s="15">
        <v>27897801315986</v>
      </c>
      <c r="AD864" s="4" t="s">
        <v>992</v>
      </c>
    </row>
    <row r="865" spans="2:30" x14ac:dyDescent="0.35">
      <c r="B865" s="14">
        <v>1524</v>
      </c>
      <c r="C865" s="67" t="s">
        <v>784</v>
      </c>
      <c r="D865" s="4" t="s">
        <v>2373</v>
      </c>
      <c r="E865" s="24" t="s">
        <v>2912</v>
      </c>
      <c r="F865" s="4" t="s">
        <v>85</v>
      </c>
      <c r="G865" s="4" t="s">
        <v>993</v>
      </c>
      <c r="H865" s="6">
        <v>8.6E-3</v>
      </c>
      <c r="I865" s="8">
        <v>34</v>
      </c>
      <c r="J865" s="8">
        <v>27</v>
      </c>
      <c r="K865" s="8">
        <v>27</v>
      </c>
      <c r="L865" s="8">
        <f t="shared" ref="L865:L896" si="48">J865*I865*K865</f>
        <v>24786</v>
      </c>
      <c r="M865" s="15">
        <v>7897801314473</v>
      </c>
      <c r="N865" s="6" t="s">
        <v>20</v>
      </c>
      <c r="O865" s="6" t="s">
        <v>20</v>
      </c>
      <c r="P865" s="6" t="s">
        <v>20</v>
      </c>
      <c r="Q865" s="6">
        <v>0.09</v>
      </c>
      <c r="R865" s="6">
        <v>3.4000000000000002E-2</v>
      </c>
      <c r="S865" s="6">
        <v>0.115</v>
      </c>
      <c r="T865" s="8">
        <v>10</v>
      </c>
      <c r="U865" s="5" t="s">
        <v>994</v>
      </c>
      <c r="V865" s="89">
        <v>0</v>
      </c>
      <c r="W865" s="15">
        <v>17897801314470</v>
      </c>
      <c r="X865" s="6">
        <v>0.34499999999999997</v>
      </c>
      <c r="Y865" s="6">
        <v>0.255</v>
      </c>
      <c r="Z865" s="6">
        <v>0.375</v>
      </c>
      <c r="AA865" s="6">
        <f t="shared" ref="AA865:AA896" si="49">Y865*X865*Z865</f>
        <v>3.2990624999999996E-2</v>
      </c>
      <c r="AB865" s="8">
        <v>600</v>
      </c>
      <c r="AC865" s="15">
        <v>27897801314477</v>
      </c>
      <c r="AD865" s="4" t="s">
        <v>992</v>
      </c>
    </row>
    <row r="866" spans="2:30" x14ac:dyDescent="0.35">
      <c r="B866" s="14">
        <v>1525</v>
      </c>
      <c r="C866" s="67" t="s">
        <v>785</v>
      </c>
      <c r="D866" s="4" t="s">
        <v>2373</v>
      </c>
      <c r="E866" s="24" t="s">
        <v>2912</v>
      </c>
      <c r="F866" s="4" t="s">
        <v>85</v>
      </c>
      <c r="G866" s="4" t="s">
        <v>993</v>
      </c>
      <c r="H866" s="6">
        <v>1.2200000000000001E-2</v>
      </c>
      <c r="I866" s="8">
        <v>36</v>
      </c>
      <c r="J866" s="8">
        <v>33</v>
      </c>
      <c r="K866" s="8">
        <v>33</v>
      </c>
      <c r="L866" s="8">
        <f t="shared" si="48"/>
        <v>39204</v>
      </c>
      <c r="M866" s="15">
        <v>7897801314480</v>
      </c>
      <c r="N866" s="6" t="s">
        <v>20</v>
      </c>
      <c r="O866" s="6" t="s">
        <v>20</v>
      </c>
      <c r="P866" s="6" t="s">
        <v>20</v>
      </c>
      <c r="Q866" s="6">
        <v>0.11</v>
      </c>
      <c r="R866" s="6">
        <v>3.4000000000000002E-2</v>
      </c>
      <c r="S866" s="6">
        <v>0.12</v>
      </c>
      <c r="T866" s="8">
        <v>10</v>
      </c>
      <c r="U866" s="5" t="s">
        <v>994</v>
      </c>
      <c r="V866" s="89">
        <v>0</v>
      </c>
      <c r="W866" s="15">
        <v>17897801314487</v>
      </c>
      <c r="X866" s="6">
        <v>0.34499999999999997</v>
      </c>
      <c r="Y866" s="6">
        <v>0.255</v>
      </c>
      <c r="Z866" s="6">
        <v>0.375</v>
      </c>
      <c r="AA866" s="6">
        <f t="shared" si="49"/>
        <v>3.2990624999999996E-2</v>
      </c>
      <c r="AB866" s="8">
        <v>390</v>
      </c>
      <c r="AC866" s="15">
        <v>27897801314484</v>
      </c>
      <c r="AD866" s="4" t="s">
        <v>992</v>
      </c>
    </row>
    <row r="867" spans="2:30" x14ac:dyDescent="0.35">
      <c r="B867" s="14">
        <v>1526</v>
      </c>
      <c r="C867" s="67" t="s">
        <v>786</v>
      </c>
      <c r="D867" s="4" t="s">
        <v>2373</v>
      </c>
      <c r="E867" s="24" t="s">
        <v>2912</v>
      </c>
      <c r="F867" s="4" t="s">
        <v>85</v>
      </c>
      <c r="G867" s="4" t="s">
        <v>993</v>
      </c>
      <c r="H867" s="6">
        <v>1.54E-2</v>
      </c>
      <c r="I867" s="8">
        <v>38</v>
      </c>
      <c r="J867" s="8">
        <v>33</v>
      </c>
      <c r="K867" s="8">
        <v>33</v>
      </c>
      <c r="L867" s="8">
        <f t="shared" si="48"/>
        <v>41382</v>
      </c>
      <c r="M867" s="15">
        <v>7897801314497</v>
      </c>
      <c r="N867" s="6" t="s">
        <v>20</v>
      </c>
      <c r="O867" s="6" t="s">
        <v>20</v>
      </c>
      <c r="P867" s="6" t="s">
        <v>20</v>
      </c>
      <c r="Q867" s="6">
        <v>0.125</v>
      </c>
      <c r="R867" s="6">
        <v>3.3000000000000002E-2</v>
      </c>
      <c r="S867" s="6">
        <v>0.14000000000000001</v>
      </c>
      <c r="T867" s="8">
        <v>10</v>
      </c>
      <c r="U867" s="5" t="s">
        <v>994</v>
      </c>
      <c r="V867" s="89">
        <v>0</v>
      </c>
      <c r="W867" s="15">
        <v>17897801314494</v>
      </c>
      <c r="X867" s="6">
        <v>0.34499999999999997</v>
      </c>
      <c r="Y867" s="6">
        <v>0.255</v>
      </c>
      <c r="Z867" s="6">
        <v>0.375</v>
      </c>
      <c r="AA867" s="6">
        <f t="shared" si="49"/>
        <v>3.2990624999999996E-2</v>
      </c>
      <c r="AB867" s="8">
        <v>340</v>
      </c>
      <c r="AC867" s="15">
        <v>27897801314491</v>
      </c>
      <c r="AD867" s="4" t="s">
        <v>992</v>
      </c>
    </row>
    <row r="868" spans="2:30" x14ac:dyDescent="0.35">
      <c r="B868" s="14">
        <v>1527</v>
      </c>
      <c r="C868" s="67" t="s">
        <v>787</v>
      </c>
      <c r="D868" s="4" t="s">
        <v>2373</v>
      </c>
      <c r="E868" s="24" t="s">
        <v>2912</v>
      </c>
      <c r="F868" s="4" t="s">
        <v>85</v>
      </c>
      <c r="G868" s="4" t="s">
        <v>993</v>
      </c>
      <c r="H868" s="6">
        <v>2.1499999999999998E-2</v>
      </c>
      <c r="I868" s="8">
        <v>40</v>
      </c>
      <c r="J868" s="8">
        <v>40</v>
      </c>
      <c r="K868" s="8">
        <v>40</v>
      </c>
      <c r="L868" s="8">
        <f t="shared" si="48"/>
        <v>64000</v>
      </c>
      <c r="M868" s="15">
        <v>7897801314503</v>
      </c>
      <c r="N868" s="6" t="s">
        <v>20</v>
      </c>
      <c r="O868" s="6" t="s">
        <v>20</v>
      </c>
      <c r="P868" s="6" t="s">
        <v>20</v>
      </c>
      <c r="Q868" s="6">
        <v>8.5000000000000006E-2</v>
      </c>
      <c r="R868" s="6">
        <v>0.04</v>
      </c>
      <c r="S868" s="6">
        <v>0.115</v>
      </c>
      <c r="T868" s="8">
        <v>5</v>
      </c>
      <c r="U868" s="5" t="s">
        <v>994</v>
      </c>
      <c r="V868" s="89">
        <v>0</v>
      </c>
      <c r="W868" s="15">
        <v>17897801314500</v>
      </c>
      <c r="X868" s="6">
        <v>0.34499999999999997</v>
      </c>
      <c r="Y868" s="6">
        <v>0.255</v>
      </c>
      <c r="Z868" s="6">
        <v>0.375</v>
      </c>
      <c r="AA868" s="6">
        <f t="shared" si="49"/>
        <v>3.2990624999999996E-2</v>
      </c>
      <c r="AB868" s="8">
        <v>220</v>
      </c>
      <c r="AC868" s="15">
        <v>27897801314507</v>
      </c>
      <c r="AD868" s="4" t="s">
        <v>992</v>
      </c>
    </row>
    <row r="869" spans="2:30" x14ac:dyDescent="0.35">
      <c r="B869" s="14">
        <v>1528</v>
      </c>
      <c r="C869" s="67" t="s">
        <v>788</v>
      </c>
      <c r="D869" s="4" t="s">
        <v>2373</v>
      </c>
      <c r="E869" s="24" t="s">
        <v>2912</v>
      </c>
      <c r="F869" s="4" t="s">
        <v>85</v>
      </c>
      <c r="G869" s="4" t="s">
        <v>993</v>
      </c>
      <c r="H869" s="6">
        <v>2.8199999999999999E-2</v>
      </c>
      <c r="I869" s="8">
        <v>42</v>
      </c>
      <c r="J869" s="8">
        <v>42</v>
      </c>
      <c r="K869" s="8">
        <v>44</v>
      </c>
      <c r="L869" s="8">
        <f t="shared" si="48"/>
        <v>77616</v>
      </c>
      <c r="M869" s="15">
        <v>7897801314510</v>
      </c>
      <c r="N869" s="6" t="s">
        <v>20</v>
      </c>
      <c r="O869" s="6" t="s">
        <v>20</v>
      </c>
      <c r="P869" s="6" t="s">
        <v>20</v>
      </c>
      <c r="Q869" s="6">
        <v>0.155</v>
      </c>
      <c r="R869" s="6">
        <v>4.2000000000000003E-2</v>
      </c>
      <c r="S869" s="6">
        <v>0.17499999999999999</v>
      </c>
      <c r="T869" s="8">
        <v>5</v>
      </c>
      <c r="U869" s="5" t="s">
        <v>994</v>
      </c>
      <c r="V869" s="89">
        <v>0</v>
      </c>
      <c r="W869" s="15">
        <v>17897801314517</v>
      </c>
      <c r="X869" s="6">
        <v>0.34499999999999997</v>
      </c>
      <c r="Y869" s="6">
        <v>0.255</v>
      </c>
      <c r="Z869" s="6">
        <v>0.375</v>
      </c>
      <c r="AA869" s="6">
        <f t="shared" si="49"/>
        <v>3.2990624999999996E-2</v>
      </c>
      <c r="AB869" s="8">
        <v>190</v>
      </c>
      <c r="AC869" s="15">
        <v>27897801314514</v>
      </c>
      <c r="AD869" s="4" t="s">
        <v>992</v>
      </c>
    </row>
    <row r="870" spans="2:30" x14ac:dyDescent="0.35">
      <c r="B870" s="14">
        <v>1529</v>
      </c>
      <c r="C870" s="67" t="s">
        <v>789</v>
      </c>
      <c r="D870" s="4" t="s">
        <v>2373</v>
      </c>
      <c r="E870" s="24" t="s">
        <v>2912</v>
      </c>
      <c r="F870" s="4" t="s">
        <v>85</v>
      </c>
      <c r="G870" s="4" t="s">
        <v>993</v>
      </c>
      <c r="H870" s="6">
        <v>3.6799999999999999E-2</v>
      </c>
      <c r="I870" s="8">
        <v>51</v>
      </c>
      <c r="J870" s="8">
        <v>47</v>
      </c>
      <c r="K870" s="8">
        <v>51</v>
      </c>
      <c r="L870" s="8">
        <f t="shared" si="48"/>
        <v>122247</v>
      </c>
      <c r="M870" s="15">
        <v>7897801314527</v>
      </c>
      <c r="N870" s="6" t="s">
        <v>20</v>
      </c>
      <c r="O870" s="6" t="s">
        <v>20</v>
      </c>
      <c r="P870" s="6" t="s">
        <v>20</v>
      </c>
      <c r="Q870" s="6">
        <v>5.5E-2</v>
      </c>
      <c r="R870" s="6">
        <v>0.1</v>
      </c>
      <c r="S870" s="6">
        <v>5.5E-2</v>
      </c>
      <c r="T870" s="8">
        <v>2</v>
      </c>
      <c r="U870" s="5" t="s">
        <v>994</v>
      </c>
      <c r="V870" s="89">
        <v>0</v>
      </c>
      <c r="W870" s="15">
        <v>17897801314524</v>
      </c>
      <c r="X870" s="6">
        <v>0.34499999999999997</v>
      </c>
      <c r="Y870" s="6">
        <v>0.255</v>
      </c>
      <c r="Z870" s="6">
        <v>0.375</v>
      </c>
      <c r="AA870" s="6">
        <f t="shared" si="49"/>
        <v>3.2990624999999996E-2</v>
      </c>
      <c r="AB870" s="8">
        <v>134</v>
      </c>
      <c r="AC870" s="15">
        <v>27897801314521</v>
      </c>
      <c r="AD870" s="4" t="s">
        <v>992</v>
      </c>
    </row>
    <row r="871" spans="2:30" x14ac:dyDescent="0.35">
      <c r="B871" s="14">
        <v>1530</v>
      </c>
      <c r="C871" s="67" t="s">
        <v>790</v>
      </c>
      <c r="D871" s="4" t="s">
        <v>2373</v>
      </c>
      <c r="E871" s="24" t="s">
        <v>2912</v>
      </c>
      <c r="F871" s="4" t="s">
        <v>85</v>
      </c>
      <c r="G871" s="4" t="s">
        <v>993</v>
      </c>
      <c r="H871" s="6">
        <v>3.8100000000000002E-2</v>
      </c>
      <c r="I871" s="8">
        <v>46</v>
      </c>
      <c r="J871" s="8">
        <v>51</v>
      </c>
      <c r="K871" s="8">
        <v>51</v>
      </c>
      <c r="L871" s="8">
        <f t="shared" si="48"/>
        <v>119646</v>
      </c>
      <c r="M871" s="15">
        <v>7897801314534</v>
      </c>
      <c r="N871" s="6" t="s">
        <v>20</v>
      </c>
      <c r="O871" s="6" t="s">
        <v>20</v>
      </c>
      <c r="P871" s="6" t="s">
        <v>20</v>
      </c>
      <c r="Q871" s="6">
        <v>5.5E-2</v>
      </c>
      <c r="R871" s="6">
        <v>0.05</v>
      </c>
      <c r="S871" s="6">
        <v>0.105</v>
      </c>
      <c r="T871" s="8">
        <v>2</v>
      </c>
      <c r="U871" s="5" t="s">
        <v>994</v>
      </c>
      <c r="V871" s="89">
        <v>0</v>
      </c>
      <c r="W871" s="15">
        <v>17897801314531</v>
      </c>
      <c r="X871" s="6">
        <v>0.34499999999999997</v>
      </c>
      <c r="Y871" s="6">
        <v>0.255</v>
      </c>
      <c r="Z871" s="6">
        <v>0.375</v>
      </c>
      <c r="AA871" s="6">
        <f t="shared" si="49"/>
        <v>3.2990624999999996E-2</v>
      </c>
      <c r="AB871" s="8">
        <v>134</v>
      </c>
      <c r="AC871" s="15">
        <v>27897801314538</v>
      </c>
      <c r="AD871" s="4" t="s">
        <v>992</v>
      </c>
    </row>
    <row r="872" spans="2:30" x14ac:dyDescent="0.35">
      <c r="B872" s="14">
        <v>1531</v>
      </c>
      <c r="C872" s="67" t="s">
        <v>791</v>
      </c>
      <c r="D872" s="4" t="s">
        <v>2373</v>
      </c>
      <c r="E872" s="24" t="s">
        <v>2912</v>
      </c>
      <c r="F872" s="4" t="s">
        <v>85</v>
      </c>
      <c r="G872" s="4" t="s">
        <v>993</v>
      </c>
      <c r="H872" s="6">
        <v>4.9399999999999999E-2</v>
      </c>
      <c r="I872" s="8">
        <v>50</v>
      </c>
      <c r="J872" s="8">
        <v>52</v>
      </c>
      <c r="K872" s="8">
        <v>52</v>
      </c>
      <c r="L872" s="8">
        <f t="shared" si="48"/>
        <v>135200</v>
      </c>
      <c r="M872" s="15">
        <v>7897801314541</v>
      </c>
      <c r="N872" s="6" t="s">
        <v>20</v>
      </c>
      <c r="O872" s="6" t="s">
        <v>20</v>
      </c>
      <c r="P872" s="6" t="s">
        <v>20</v>
      </c>
      <c r="Q872" s="6">
        <v>5.5E-2</v>
      </c>
      <c r="R872" s="6">
        <v>0.05</v>
      </c>
      <c r="S872" s="6">
        <v>0.105</v>
      </c>
      <c r="T872" s="8">
        <v>2</v>
      </c>
      <c r="U872" s="5" t="s">
        <v>994</v>
      </c>
      <c r="V872" s="89">
        <v>0</v>
      </c>
      <c r="W872" s="15">
        <v>17897801314548</v>
      </c>
      <c r="X872" s="6">
        <v>0.34499999999999997</v>
      </c>
      <c r="Y872" s="6">
        <v>0.255</v>
      </c>
      <c r="Z872" s="6">
        <v>0.375</v>
      </c>
      <c r="AA872" s="6">
        <f t="shared" si="49"/>
        <v>3.2990624999999996E-2</v>
      </c>
      <c r="AB872" s="8">
        <v>100</v>
      </c>
      <c r="AC872" s="15">
        <v>27897801314545</v>
      </c>
      <c r="AD872" s="4" t="s">
        <v>992</v>
      </c>
    </row>
    <row r="873" spans="2:30" x14ac:dyDescent="0.35">
      <c r="B873" s="14">
        <v>1532</v>
      </c>
      <c r="C873" s="67" t="s">
        <v>792</v>
      </c>
      <c r="D873" s="4" t="s">
        <v>2373</v>
      </c>
      <c r="E873" s="24" t="s">
        <v>2912</v>
      </c>
      <c r="F873" s="4" t="s">
        <v>85</v>
      </c>
      <c r="G873" s="4" t="s">
        <v>993</v>
      </c>
      <c r="H873" s="6">
        <v>6.8900000000000003E-2</v>
      </c>
      <c r="I873" s="8">
        <v>52</v>
      </c>
      <c r="J873" s="8">
        <v>65</v>
      </c>
      <c r="K873" s="8">
        <v>65</v>
      </c>
      <c r="L873" s="8">
        <f t="shared" si="48"/>
        <v>219700</v>
      </c>
      <c r="M873" s="15">
        <v>7897801314558</v>
      </c>
      <c r="N873" s="6" t="s">
        <v>20</v>
      </c>
      <c r="O873" s="6" t="s">
        <v>20</v>
      </c>
      <c r="P873" s="6" t="s">
        <v>20</v>
      </c>
      <c r="Q873" s="6">
        <v>5.5E-2</v>
      </c>
      <c r="R873" s="6">
        <v>6.5000000000000002E-2</v>
      </c>
      <c r="S873" s="6">
        <v>6.5000000000000002E-2</v>
      </c>
      <c r="T873" s="8">
        <v>1</v>
      </c>
      <c r="U873" s="5" t="s">
        <v>994</v>
      </c>
      <c r="V873" s="89">
        <v>0</v>
      </c>
      <c r="W873" s="15">
        <v>17897801314555</v>
      </c>
      <c r="X873" s="6">
        <v>0.34499999999999997</v>
      </c>
      <c r="Y873" s="6">
        <v>0.255</v>
      </c>
      <c r="Z873" s="6">
        <v>0.375</v>
      </c>
      <c r="AA873" s="6">
        <f t="shared" si="49"/>
        <v>3.2990624999999996E-2</v>
      </c>
      <c r="AB873" s="8">
        <v>65</v>
      </c>
      <c r="AC873" s="15">
        <v>27897801314552</v>
      </c>
      <c r="AD873" s="4" t="s">
        <v>992</v>
      </c>
    </row>
    <row r="874" spans="2:30" x14ac:dyDescent="0.35">
      <c r="B874" s="14">
        <v>1533</v>
      </c>
      <c r="C874" s="67" t="s">
        <v>793</v>
      </c>
      <c r="D874" s="4" t="s">
        <v>2373</v>
      </c>
      <c r="E874" s="24" t="s">
        <v>2912</v>
      </c>
      <c r="F874" s="4" t="s">
        <v>85</v>
      </c>
      <c r="G874" s="4" t="s">
        <v>993</v>
      </c>
      <c r="H874" s="6">
        <v>9.2200000000000004E-2</v>
      </c>
      <c r="I874" s="8">
        <v>58</v>
      </c>
      <c r="J874" s="8">
        <v>65</v>
      </c>
      <c r="K874" s="8">
        <v>65</v>
      </c>
      <c r="L874" s="8">
        <f t="shared" si="48"/>
        <v>245050</v>
      </c>
      <c r="M874" s="15">
        <v>7897801314565</v>
      </c>
      <c r="N874" s="6" t="s">
        <v>20</v>
      </c>
      <c r="O874" s="6" t="s">
        <v>20</v>
      </c>
      <c r="P874" s="6" t="s">
        <v>20</v>
      </c>
      <c r="Q874" s="6">
        <v>6.7000000000000004E-2</v>
      </c>
      <c r="R874" s="6">
        <v>5.8999999999999997E-2</v>
      </c>
      <c r="S874" s="6">
        <v>6.7000000000000004E-2</v>
      </c>
      <c r="T874" s="8">
        <v>1</v>
      </c>
      <c r="U874" s="5" t="s">
        <v>994</v>
      </c>
      <c r="V874" s="89">
        <v>0</v>
      </c>
      <c r="W874" s="15">
        <v>17897801314562</v>
      </c>
      <c r="X874" s="6">
        <v>0.34499999999999997</v>
      </c>
      <c r="Y874" s="6">
        <v>0.255</v>
      </c>
      <c r="Z874" s="6">
        <v>0.375</v>
      </c>
      <c r="AA874" s="6">
        <f t="shared" si="49"/>
        <v>3.2990624999999996E-2</v>
      </c>
      <c r="AB874" s="8">
        <v>65</v>
      </c>
      <c r="AC874" s="15">
        <v>27897801314569</v>
      </c>
      <c r="AD874" s="4" t="s">
        <v>992</v>
      </c>
    </row>
    <row r="875" spans="2:30" x14ac:dyDescent="0.35">
      <c r="B875" s="14">
        <v>1534</v>
      </c>
      <c r="C875" s="67" t="s">
        <v>794</v>
      </c>
      <c r="D875" s="4" t="s">
        <v>2373</v>
      </c>
      <c r="E875" s="24" t="s">
        <v>2912</v>
      </c>
      <c r="F875" s="4" t="s">
        <v>85</v>
      </c>
      <c r="G875" s="4" t="s">
        <v>993</v>
      </c>
      <c r="H875" s="6">
        <v>0.1069</v>
      </c>
      <c r="I875" s="8">
        <v>37</v>
      </c>
      <c r="J875" s="8">
        <v>25</v>
      </c>
      <c r="K875" s="8">
        <v>34</v>
      </c>
      <c r="L875" s="8">
        <f t="shared" si="48"/>
        <v>31450</v>
      </c>
      <c r="M875" s="15">
        <v>7897801314572</v>
      </c>
      <c r="N875" s="6">
        <v>0.25</v>
      </c>
      <c r="O875" s="6">
        <v>0.37</v>
      </c>
      <c r="P875" s="6">
        <v>0.34</v>
      </c>
      <c r="Q875" s="6">
        <v>0.34</v>
      </c>
      <c r="R875" s="6">
        <v>0.25</v>
      </c>
      <c r="S875" s="6">
        <v>0.37</v>
      </c>
      <c r="T875" s="8">
        <v>1</v>
      </c>
      <c r="U875" s="5" t="s">
        <v>994</v>
      </c>
      <c r="V875" s="89">
        <v>0</v>
      </c>
      <c r="W875" s="15">
        <v>17897801314579</v>
      </c>
      <c r="X875" s="6">
        <v>0.34</v>
      </c>
      <c r="Y875" s="6">
        <v>0.25</v>
      </c>
      <c r="Z875" s="6">
        <v>0.37</v>
      </c>
      <c r="AA875" s="6">
        <f t="shared" si="49"/>
        <v>3.1449999999999999E-2</v>
      </c>
      <c r="AB875" s="8">
        <v>36</v>
      </c>
      <c r="AC875" s="15">
        <v>27897801314576</v>
      </c>
      <c r="AD875" s="4" t="s">
        <v>992</v>
      </c>
    </row>
    <row r="876" spans="2:30" x14ac:dyDescent="0.35">
      <c r="B876" s="14">
        <v>1535</v>
      </c>
      <c r="C876" s="67" t="s">
        <v>795</v>
      </c>
      <c r="D876" s="4" t="s">
        <v>2373</v>
      </c>
      <c r="E876" s="24" t="s">
        <v>2912</v>
      </c>
      <c r="F876" s="4" t="s">
        <v>85</v>
      </c>
      <c r="G876" s="4" t="s">
        <v>993</v>
      </c>
      <c r="H876" s="6">
        <v>0.15989999999999999</v>
      </c>
      <c r="I876" s="8">
        <v>84</v>
      </c>
      <c r="J876" s="8">
        <v>84</v>
      </c>
      <c r="K876" s="8">
        <v>69</v>
      </c>
      <c r="L876" s="8">
        <f t="shared" si="48"/>
        <v>486864</v>
      </c>
      <c r="M876" s="15">
        <v>7897801314589</v>
      </c>
      <c r="N876" s="6" t="s">
        <v>20</v>
      </c>
      <c r="O876" s="6" t="s">
        <v>20</v>
      </c>
      <c r="P876" s="6" t="s">
        <v>20</v>
      </c>
      <c r="Q876" s="6">
        <v>7.0000000000000007E-2</v>
      </c>
      <c r="R876" s="6">
        <v>8.5000000000000006E-2</v>
      </c>
      <c r="S876" s="6">
        <v>8.5000000000000006E-2</v>
      </c>
      <c r="T876" s="8">
        <v>1</v>
      </c>
      <c r="U876" s="5" t="s">
        <v>994</v>
      </c>
      <c r="V876" s="89">
        <v>0</v>
      </c>
      <c r="W876" s="15">
        <v>17897801314586</v>
      </c>
      <c r="X876" s="6">
        <v>0.34499999999999997</v>
      </c>
      <c r="Y876" s="6">
        <v>0.255</v>
      </c>
      <c r="Z876" s="6">
        <v>0.375</v>
      </c>
      <c r="AA876" s="6">
        <f t="shared" si="49"/>
        <v>3.2990624999999996E-2</v>
      </c>
      <c r="AB876" s="8">
        <v>36</v>
      </c>
      <c r="AC876" s="15">
        <v>27897801314583</v>
      </c>
      <c r="AD876" s="4" t="s">
        <v>992</v>
      </c>
    </row>
    <row r="877" spans="2:30" x14ac:dyDescent="0.35">
      <c r="B877" s="14">
        <v>1536</v>
      </c>
      <c r="C877" s="67" t="s">
        <v>796</v>
      </c>
      <c r="D877" s="4" t="s">
        <v>2373</v>
      </c>
      <c r="E877" s="24" t="s">
        <v>2912</v>
      </c>
      <c r="F877" s="4" t="s">
        <v>85</v>
      </c>
      <c r="G877" s="4" t="s">
        <v>993</v>
      </c>
      <c r="H877" s="6">
        <v>0.18090000000000001</v>
      </c>
      <c r="I877" s="8">
        <v>37</v>
      </c>
      <c r="J877" s="8">
        <v>345</v>
      </c>
      <c r="K877" s="8">
        <v>265</v>
      </c>
      <c r="L877" s="8">
        <f t="shared" si="48"/>
        <v>3382725</v>
      </c>
      <c r="M877" s="15">
        <v>7897801314596</v>
      </c>
      <c r="N877" s="6">
        <v>0.26500000000000001</v>
      </c>
      <c r="O877" s="6">
        <v>0.37</v>
      </c>
      <c r="P877" s="6">
        <v>0.45</v>
      </c>
      <c r="Q877" s="6">
        <v>0.45</v>
      </c>
      <c r="R877" s="6">
        <v>0.26500000000000001</v>
      </c>
      <c r="S877" s="6">
        <v>0.37</v>
      </c>
      <c r="T877" s="8">
        <v>1</v>
      </c>
      <c r="U877" s="5" t="s">
        <v>994</v>
      </c>
      <c r="V877" s="89">
        <v>0</v>
      </c>
      <c r="W877" s="15">
        <v>17897801314593</v>
      </c>
      <c r="X877" s="6">
        <v>0.34499999999999997</v>
      </c>
      <c r="Y877" s="6">
        <v>0.26500000000000001</v>
      </c>
      <c r="Z877" s="6">
        <v>0.37</v>
      </c>
      <c r="AA877" s="6">
        <f t="shared" si="49"/>
        <v>3.3827249999999996E-2</v>
      </c>
      <c r="AB877" s="8">
        <v>30</v>
      </c>
      <c r="AC877" s="15">
        <v>27897801314590</v>
      </c>
      <c r="AD877" s="4" t="s">
        <v>992</v>
      </c>
    </row>
    <row r="878" spans="2:30" x14ac:dyDescent="0.35">
      <c r="B878" s="14">
        <v>1537</v>
      </c>
      <c r="C878" s="67" t="s">
        <v>797</v>
      </c>
      <c r="D878" s="4" t="s">
        <v>2373</v>
      </c>
      <c r="E878" s="24" t="s">
        <v>2912</v>
      </c>
      <c r="F878" s="4" t="s">
        <v>85</v>
      </c>
      <c r="G878" s="4" t="s">
        <v>993</v>
      </c>
      <c r="H878" s="6">
        <v>0.27329999999999999</v>
      </c>
      <c r="I878" s="8">
        <v>79</v>
      </c>
      <c r="J878" s="8">
        <v>101</v>
      </c>
      <c r="K878" s="8">
        <v>101</v>
      </c>
      <c r="L878" s="8">
        <f t="shared" si="48"/>
        <v>805879</v>
      </c>
      <c r="M878" s="15">
        <v>7897801314602</v>
      </c>
      <c r="N878" s="6" t="s">
        <v>20</v>
      </c>
      <c r="O878" s="6" t="s">
        <v>20</v>
      </c>
      <c r="P878" s="6" t="s">
        <v>20</v>
      </c>
      <c r="Q878" s="6">
        <v>0.1</v>
      </c>
      <c r="R878" s="6">
        <v>0.08</v>
      </c>
      <c r="S878" s="6">
        <v>0.1</v>
      </c>
      <c r="T878" s="8">
        <v>1</v>
      </c>
      <c r="U878" s="5" t="s">
        <v>994</v>
      </c>
      <c r="V878" s="89">
        <v>0</v>
      </c>
      <c r="W878" s="15">
        <v>17897801314609</v>
      </c>
      <c r="X878" s="6">
        <v>0.34499999999999997</v>
      </c>
      <c r="Y878" s="6">
        <v>0.255</v>
      </c>
      <c r="Z878" s="6">
        <v>0.375</v>
      </c>
      <c r="AA878" s="6">
        <f t="shared" si="49"/>
        <v>3.2990624999999996E-2</v>
      </c>
      <c r="AB878" s="8">
        <v>30</v>
      </c>
      <c r="AC878" s="15">
        <v>27897801314606</v>
      </c>
      <c r="AD878" s="4" t="s">
        <v>992</v>
      </c>
    </row>
    <row r="879" spans="2:30" x14ac:dyDescent="0.35">
      <c r="B879" s="14">
        <v>1538</v>
      </c>
      <c r="C879" s="67" t="s">
        <v>798</v>
      </c>
      <c r="D879" s="4" t="s">
        <v>2373</v>
      </c>
      <c r="E879" s="24" t="s">
        <v>2912</v>
      </c>
      <c r="F879" s="4" t="s">
        <v>85</v>
      </c>
      <c r="G879" s="4" t="s">
        <v>993</v>
      </c>
      <c r="H879" s="6">
        <v>0.314</v>
      </c>
      <c r="I879" s="8">
        <v>76</v>
      </c>
      <c r="J879" s="8">
        <v>111</v>
      </c>
      <c r="K879" s="8">
        <v>111</v>
      </c>
      <c r="L879" s="8">
        <f t="shared" si="48"/>
        <v>936396</v>
      </c>
      <c r="M879" s="15">
        <v>7897801314619</v>
      </c>
      <c r="N879" s="6" t="s">
        <v>20</v>
      </c>
      <c r="O879" s="6" t="s">
        <v>20</v>
      </c>
      <c r="P879" s="6" t="s">
        <v>20</v>
      </c>
      <c r="Q879" s="6">
        <v>7.0000000000000007E-2</v>
      </c>
      <c r="R879" s="6">
        <v>8.5000000000000006E-2</v>
      </c>
      <c r="S879" s="6">
        <v>8.5000000000000006E-2</v>
      </c>
      <c r="T879" s="8">
        <v>1</v>
      </c>
      <c r="U879" s="5" t="s">
        <v>994</v>
      </c>
      <c r="V879" s="89">
        <v>0</v>
      </c>
      <c r="W879" s="15">
        <v>17897801314616</v>
      </c>
      <c r="X879" s="6">
        <v>0.34499999999999997</v>
      </c>
      <c r="Y879" s="6">
        <v>0.255</v>
      </c>
      <c r="Z879" s="6">
        <v>0.375</v>
      </c>
      <c r="AA879" s="6">
        <f t="shared" si="49"/>
        <v>3.2990624999999996E-2</v>
      </c>
      <c r="AB879" s="8">
        <v>13</v>
      </c>
      <c r="AC879" s="15">
        <v>27897801314613</v>
      </c>
      <c r="AD879" s="4" t="s">
        <v>992</v>
      </c>
    </row>
    <row r="880" spans="2:30" x14ac:dyDescent="0.35">
      <c r="B880" s="14">
        <v>1539</v>
      </c>
      <c r="C880" s="67" t="s">
        <v>799</v>
      </c>
      <c r="D880" s="4" t="s">
        <v>2373</v>
      </c>
      <c r="E880" s="24" t="s">
        <v>2912</v>
      </c>
      <c r="F880" s="4" t="s">
        <v>85</v>
      </c>
      <c r="G880" s="4" t="s">
        <v>993</v>
      </c>
      <c r="H880" s="6">
        <v>0.45200000000000001</v>
      </c>
      <c r="I880" s="8">
        <v>120</v>
      </c>
      <c r="J880" s="8">
        <v>120</v>
      </c>
      <c r="K880" s="8">
        <v>91</v>
      </c>
      <c r="L880" s="8">
        <f t="shared" si="48"/>
        <v>1310400</v>
      </c>
      <c r="M880" s="15">
        <v>7897801314626</v>
      </c>
      <c r="N880" s="6" t="s">
        <v>20</v>
      </c>
      <c r="O880" s="6" t="s">
        <v>20</v>
      </c>
      <c r="P880" s="6" t="s">
        <v>20</v>
      </c>
      <c r="Q880" s="6">
        <v>0</v>
      </c>
      <c r="R880" s="6">
        <v>0</v>
      </c>
      <c r="S880" s="6">
        <v>0</v>
      </c>
      <c r="T880" s="8">
        <v>1</v>
      </c>
      <c r="U880" s="5" t="s">
        <v>994</v>
      </c>
      <c r="V880" s="89">
        <v>0</v>
      </c>
      <c r="W880" s="15">
        <v>17897801314623</v>
      </c>
      <c r="X880" s="6">
        <v>0.34499999999999997</v>
      </c>
      <c r="Y880" s="6">
        <v>0.25</v>
      </c>
      <c r="Z880" s="6">
        <v>0.36499999999999999</v>
      </c>
      <c r="AA880" s="6">
        <f t="shared" si="49"/>
        <v>3.1481249999999995E-2</v>
      </c>
      <c r="AB880" s="8">
        <v>13</v>
      </c>
      <c r="AC880" s="15">
        <v>27897801314620</v>
      </c>
      <c r="AD880" s="4" t="s">
        <v>992</v>
      </c>
    </row>
    <row r="881" spans="2:30" x14ac:dyDescent="0.35">
      <c r="B881" s="14">
        <v>1540</v>
      </c>
      <c r="C881" s="67" t="s">
        <v>800</v>
      </c>
      <c r="D881" s="4" t="s">
        <v>2373</v>
      </c>
      <c r="E881" s="24" t="s">
        <v>2912</v>
      </c>
      <c r="F881" s="4" t="s">
        <v>85</v>
      </c>
      <c r="G881" s="4" t="s">
        <v>993</v>
      </c>
      <c r="H881" s="6">
        <v>5.4000000000000003E-3</v>
      </c>
      <c r="I881" s="8">
        <v>23</v>
      </c>
      <c r="J881" s="8">
        <v>26</v>
      </c>
      <c r="K881" s="8">
        <v>26</v>
      </c>
      <c r="L881" s="8">
        <f t="shared" si="48"/>
        <v>15548</v>
      </c>
      <c r="M881" s="15">
        <v>7897801314633</v>
      </c>
      <c r="N881" s="6" t="s">
        <v>20</v>
      </c>
      <c r="O881" s="6" t="s">
        <v>20</v>
      </c>
      <c r="P881" s="6" t="s">
        <v>20</v>
      </c>
      <c r="Q881" s="6">
        <v>0.12</v>
      </c>
      <c r="R881" s="6">
        <v>2.3E-2</v>
      </c>
      <c r="S881" s="6">
        <v>0.14000000000000001</v>
      </c>
      <c r="T881" s="8">
        <v>10</v>
      </c>
      <c r="U881" s="5" t="s">
        <v>994</v>
      </c>
      <c r="V881" s="89">
        <v>0</v>
      </c>
      <c r="W881" s="15">
        <v>17897801314630</v>
      </c>
      <c r="X881" s="6">
        <v>0.34499999999999997</v>
      </c>
      <c r="Y881" s="6">
        <v>0.255</v>
      </c>
      <c r="Z881" s="6">
        <v>0.375</v>
      </c>
      <c r="AA881" s="6">
        <f t="shared" si="49"/>
        <v>3.2990624999999996E-2</v>
      </c>
      <c r="AB881" s="8">
        <v>1500</v>
      </c>
      <c r="AC881" s="15">
        <v>27897801314637</v>
      </c>
      <c r="AD881" s="4" t="s">
        <v>992</v>
      </c>
    </row>
    <row r="882" spans="2:30" x14ac:dyDescent="0.35">
      <c r="B882" s="14">
        <v>1541</v>
      </c>
      <c r="C882" s="67" t="s">
        <v>801</v>
      </c>
      <c r="D882" s="4" t="s">
        <v>2373</v>
      </c>
      <c r="E882" s="24" t="s">
        <v>2912</v>
      </c>
      <c r="F882" s="4" t="s">
        <v>85</v>
      </c>
      <c r="G882" s="4" t="s">
        <v>993</v>
      </c>
      <c r="H882" s="6">
        <v>1.0200000000000001E-2</v>
      </c>
      <c r="I882" s="8">
        <v>27</v>
      </c>
      <c r="J882" s="8">
        <v>33</v>
      </c>
      <c r="K882" s="8">
        <v>33</v>
      </c>
      <c r="L882" s="8">
        <f t="shared" si="48"/>
        <v>29403</v>
      </c>
      <c r="M882" s="15">
        <v>7897801314640</v>
      </c>
      <c r="N882" s="6" t="s">
        <v>20</v>
      </c>
      <c r="O882" s="6" t="s">
        <v>20</v>
      </c>
      <c r="P882" s="6" t="s">
        <v>20</v>
      </c>
      <c r="Q882" s="6">
        <v>0.09</v>
      </c>
      <c r="R882" s="6">
        <v>3.3000000000000002E-2</v>
      </c>
      <c r="S882" s="6">
        <v>0.12</v>
      </c>
      <c r="T882" s="8">
        <v>10</v>
      </c>
      <c r="U882" s="5" t="s">
        <v>994</v>
      </c>
      <c r="V882" s="89">
        <v>0</v>
      </c>
      <c r="W882" s="15">
        <v>17897801314647</v>
      </c>
      <c r="X882" s="6">
        <v>0.34499999999999997</v>
      </c>
      <c r="Y882" s="6">
        <v>0.255</v>
      </c>
      <c r="Z882" s="6">
        <v>0.375</v>
      </c>
      <c r="AA882" s="6">
        <f t="shared" si="49"/>
        <v>3.2990624999999996E-2</v>
      </c>
      <c r="AB882" s="8">
        <v>800</v>
      </c>
      <c r="AC882" s="15">
        <v>27897801314644</v>
      </c>
      <c r="AD882" s="4" t="s">
        <v>992</v>
      </c>
    </row>
    <row r="883" spans="2:30" x14ac:dyDescent="0.35">
      <c r="B883" s="14">
        <v>1542</v>
      </c>
      <c r="C883" s="67" t="s">
        <v>802</v>
      </c>
      <c r="D883" s="4" t="s">
        <v>2373</v>
      </c>
      <c r="E883" s="24" t="s">
        <v>2912</v>
      </c>
      <c r="F883" s="4" t="s">
        <v>85</v>
      </c>
      <c r="G883" s="4" t="s">
        <v>993</v>
      </c>
      <c r="H883" s="6">
        <v>2.06E-2</v>
      </c>
      <c r="I883" s="8">
        <v>32</v>
      </c>
      <c r="J883" s="8">
        <v>42</v>
      </c>
      <c r="K883" s="8">
        <v>42</v>
      </c>
      <c r="L883" s="8">
        <f t="shared" si="48"/>
        <v>56448</v>
      </c>
      <c r="M883" s="15">
        <v>7897801314657</v>
      </c>
      <c r="N883" s="6" t="s">
        <v>20</v>
      </c>
      <c r="O883" s="6" t="s">
        <v>20</v>
      </c>
      <c r="P883" s="6" t="s">
        <v>20</v>
      </c>
      <c r="Q883" s="6">
        <v>0.15</v>
      </c>
      <c r="R883" s="6">
        <v>3.2000000000000001E-2</v>
      </c>
      <c r="S883" s="6">
        <v>0.185</v>
      </c>
      <c r="T883" s="8">
        <v>10</v>
      </c>
      <c r="U883" s="5" t="s">
        <v>994</v>
      </c>
      <c r="V883" s="89">
        <v>0</v>
      </c>
      <c r="W883" s="15">
        <v>17897801314654</v>
      </c>
      <c r="X883" s="6">
        <v>0.34499999999999997</v>
      </c>
      <c r="Y883" s="6">
        <v>0.255</v>
      </c>
      <c r="Z883" s="6">
        <v>0.375</v>
      </c>
      <c r="AA883" s="6">
        <f t="shared" si="49"/>
        <v>3.2990624999999996E-2</v>
      </c>
      <c r="AB883" s="8">
        <v>420</v>
      </c>
      <c r="AC883" s="15">
        <v>27897801314651</v>
      </c>
      <c r="AD883" s="4" t="s">
        <v>992</v>
      </c>
    </row>
    <row r="884" spans="2:30" x14ac:dyDescent="0.35">
      <c r="B884" s="14">
        <v>1543</v>
      </c>
      <c r="C884" s="67" t="s">
        <v>803</v>
      </c>
      <c r="D884" s="4" t="s">
        <v>2373</v>
      </c>
      <c r="E884" s="24" t="s">
        <v>2912</v>
      </c>
      <c r="F884" s="4" t="s">
        <v>85</v>
      </c>
      <c r="G884" s="4" t="s">
        <v>993</v>
      </c>
      <c r="H884" s="6">
        <v>3.4500000000000003E-2</v>
      </c>
      <c r="I884" s="8">
        <v>36</v>
      </c>
      <c r="J884" s="8">
        <v>53</v>
      </c>
      <c r="K884" s="8">
        <v>53</v>
      </c>
      <c r="L884" s="8">
        <f t="shared" si="48"/>
        <v>101124</v>
      </c>
      <c r="M884" s="15">
        <v>7897801314664</v>
      </c>
      <c r="N884" s="6" t="s">
        <v>20</v>
      </c>
      <c r="O884" s="6" t="s">
        <v>20</v>
      </c>
      <c r="P884" s="6" t="s">
        <v>20</v>
      </c>
      <c r="Q884" s="6">
        <v>0.1</v>
      </c>
      <c r="R884" s="6">
        <v>0.04</v>
      </c>
      <c r="S884" s="6">
        <v>0.16</v>
      </c>
      <c r="T884" s="8">
        <v>5</v>
      </c>
      <c r="U884" s="5" t="s">
        <v>994</v>
      </c>
      <c r="V884" s="89">
        <v>0</v>
      </c>
      <c r="W884" s="15">
        <v>17897801314661</v>
      </c>
      <c r="X884" s="6">
        <v>0.34499999999999997</v>
      </c>
      <c r="Y884" s="6">
        <v>0.255</v>
      </c>
      <c r="Z884" s="6">
        <v>0.375</v>
      </c>
      <c r="AA884" s="6">
        <f t="shared" si="49"/>
        <v>3.2990624999999996E-2</v>
      </c>
      <c r="AB884" s="8">
        <v>260</v>
      </c>
      <c r="AC884" s="15">
        <v>27897801314668</v>
      </c>
      <c r="AD884" s="4" t="s">
        <v>992</v>
      </c>
    </row>
    <row r="885" spans="2:30" x14ac:dyDescent="0.35">
      <c r="B885" s="14">
        <v>1544</v>
      </c>
      <c r="C885" s="67" t="s">
        <v>804</v>
      </c>
      <c r="D885" s="4" t="s">
        <v>2373</v>
      </c>
      <c r="E885" s="24" t="s">
        <v>2912</v>
      </c>
      <c r="F885" s="4" t="s">
        <v>85</v>
      </c>
      <c r="G885" s="4" t="s">
        <v>993</v>
      </c>
      <c r="H885" s="6">
        <v>6.2300000000000001E-2</v>
      </c>
      <c r="I885" s="8">
        <v>41</v>
      </c>
      <c r="J885" s="8">
        <v>66</v>
      </c>
      <c r="K885" s="8">
        <v>66</v>
      </c>
      <c r="L885" s="8">
        <f t="shared" si="48"/>
        <v>178596</v>
      </c>
      <c r="M885" s="15">
        <v>7897801314671</v>
      </c>
      <c r="N885" s="6" t="s">
        <v>20</v>
      </c>
      <c r="O885" s="6" t="s">
        <v>20</v>
      </c>
      <c r="P885" s="6" t="s">
        <v>20</v>
      </c>
      <c r="Q885" s="6">
        <v>7.0000000000000007E-2</v>
      </c>
      <c r="R885" s="6">
        <v>7.0000000000000007E-2</v>
      </c>
      <c r="S885" s="6">
        <v>0.08</v>
      </c>
      <c r="T885" s="8">
        <v>2</v>
      </c>
      <c r="U885" s="5" t="s">
        <v>994</v>
      </c>
      <c r="V885" s="89">
        <v>0</v>
      </c>
      <c r="W885" s="15">
        <v>17897801314678</v>
      </c>
      <c r="X885" s="6">
        <v>0.34499999999999997</v>
      </c>
      <c r="Y885" s="6">
        <v>0.255</v>
      </c>
      <c r="Z885" s="6">
        <v>0.375</v>
      </c>
      <c r="AA885" s="6">
        <f t="shared" si="49"/>
        <v>3.2990624999999996E-2</v>
      </c>
      <c r="AB885" s="8">
        <v>140</v>
      </c>
      <c r="AC885" s="15">
        <v>27897801314675</v>
      </c>
      <c r="AD885" s="4" t="s">
        <v>992</v>
      </c>
    </row>
    <row r="886" spans="2:30" x14ac:dyDescent="0.35">
      <c r="B886" s="14">
        <v>1545</v>
      </c>
      <c r="C886" s="67" t="s">
        <v>805</v>
      </c>
      <c r="D886" s="4" t="s">
        <v>2373</v>
      </c>
      <c r="E886" s="24" t="s">
        <v>2912</v>
      </c>
      <c r="F886" s="4" t="s">
        <v>85</v>
      </c>
      <c r="G886" s="4" t="s">
        <v>993</v>
      </c>
      <c r="H886" s="6">
        <v>0.1195</v>
      </c>
      <c r="I886" s="8">
        <v>85</v>
      </c>
      <c r="J886" s="8">
        <v>85</v>
      </c>
      <c r="K886" s="8">
        <v>50</v>
      </c>
      <c r="L886" s="8">
        <f t="shared" si="48"/>
        <v>361250</v>
      </c>
      <c r="M886" s="15">
        <v>7897801314688</v>
      </c>
      <c r="N886" s="6" t="s">
        <v>20</v>
      </c>
      <c r="O886" s="6" t="s">
        <v>20</v>
      </c>
      <c r="P886" s="6" t="s">
        <v>20</v>
      </c>
      <c r="Q886" s="6">
        <v>8.5000000000000006E-2</v>
      </c>
      <c r="R886" s="6">
        <v>0.05</v>
      </c>
      <c r="S886" s="6">
        <v>8.5000000000000006E-2</v>
      </c>
      <c r="T886" s="8">
        <v>1</v>
      </c>
      <c r="U886" s="5" t="s">
        <v>994</v>
      </c>
      <c r="V886" s="89">
        <v>0</v>
      </c>
      <c r="W886" s="15">
        <v>17897801314685</v>
      </c>
      <c r="X886" s="6">
        <v>0.34499999999999997</v>
      </c>
      <c r="Y886" s="6">
        <v>0.255</v>
      </c>
      <c r="Z886" s="6">
        <v>0.375</v>
      </c>
      <c r="AA886" s="6">
        <f t="shared" si="49"/>
        <v>3.2990624999999996E-2</v>
      </c>
      <c r="AB886" s="8">
        <v>72</v>
      </c>
      <c r="AC886" s="15">
        <v>27897801314682</v>
      </c>
      <c r="AD886" s="4" t="s">
        <v>992</v>
      </c>
    </row>
    <row r="887" spans="2:30" x14ac:dyDescent="0.35">
      <c r="B887" s="14">
        <v>1546</v>
      </c>
      <c r="C887" s="67" t="s">
        <v>806</v>
      </c>
      <c r="D887" s="4" t="s">
        <v>2373</v>
      </c>
      <c r="E887" s="24" t="s">
        <v>2912</v>
      </c>
      <c r="F887" s="4" t="s">
        <v>85</v>
      </c>
      <c r="G887" s="4" t="s">
        <v>993</v>
      </c>
      <c r="H887" s="6">
        <v>0.1729</v>
      </c>
      <c r="I887" s="8">
        <v>50</v>
      </c>
      <c r="J887" s="8">
        <v>100</v>
      </c>
      <c r="K887" s="8">
        <v>100</v>
      </c>
      <c r="L887" s="8">
        <f t="shared" si="48"/>
        <v>500000</v>
      </c>
      <c r="M887" s="15">
        <v>7897801314695</v>
      </c>
      <c r="N887" s="6" t="s">
        <v>20</v>
      </c>
      <c r="O887" s="6" t="s">
        <v>20</v>
      </c>
      <c r="P887" s="6" t="s">
        <v>20</v>
      </c>
      <c r="Q887" s="6">
        <v>0.1</v>
      </c>
      <c r="R887" s="6">
        <v>0.1</v>
      </c>
      <c r="S887" s="6">
        <v>0.1</v>
      </c>
      <c r="T887" s="8">
        <v>1</v>
      </c>
      <c r="U887" s="5" t="s">
        <v>994</v>
      </c>
      <c r="V887" s="89">
        <v>0</v>
      </c>
      <c r="W887" s="15">
        <v>17897801314692</v>
      </c>
      <c r="X887" s="6">
        <v>0.34499999999999997</v>
      </c>
      <c r="Y887" s="6">
        <v>0.255</v>
      </c>
      <c r="Z887" s="6">
        <v>0.375</v>
      </c>
      <c r="AA887" s="6">
        <f t="shared" si="49"/>
        <v>3.2990624999999996E-2</v>
      </c>
      <c r="AB887" s="8">
        <v>52</v>
      </c>
      <c r="AC887" s="15">
        <v>27897801314699</v>
      </c>
      <c r="AD887" s="4" t="s">
        <v>992</v>
      </c>
    </row>
    <row r="888" spans="2:30" x14ac:dyDescent="0.35">
      <c r="B888" s="14">
        <v>1547</v>
      </c>
      <c r="C888" s="67" t="s">
        <v>807</v>
      </c>
      <c r="D888" s="4" t="s">
        <v>2373</v>
      </c>
      <c r="E888" s="24" t="s">
        <v>2912</v>
      </c>
      <c r="F888" s="4" t="s">
        <v>85</v>
      </c>
      <c r="G888" s="4" t="s">
        <v>993</v>
      </c>
      <c r="H888" s="6">
        <v>0.28160000000000002</v>
      </c>
      <c r="I888" s="8">
        <v>52</v>
      </c>
      <c r="J888" s="8">
        <v>120</v>
      </c>
      <c r="K888" s="8">
        <v>120</v>
      </c>
      <c r="L888" s="8">
        <f t="shared" si="48"/>
        <v>748800</v>
      </c>
      <c r="M888" s="15">
        <v>7897801314701</v>
      </c>
      <c r="N888" s="6" t="s">
        <v>20</v>
      </c>
      <c r="O888" s="6" t="s">
        <v>20</v>
      </c>
      <c r="P888" s="6" t="s">
        <v>20</v>
      </c>
      <c r="Q888" s="6">
        <v>0.125</v>
      </c>
      <c r="R888" s="6">
        <v>5.5E-2</v>
      </c>
      <c r="S888" s="6">
        <v>0.125</v>
      </c>
      <c r="T888" s="8">
        <v>1</v>
      </c>
      <c r="U888" s="5" t="s">
        <v>994</v>
      </c>
      <c r="V888" s="89">
        <v>0</v>
      </c>
      <c r="W888" s="15">
        <v>17897801314708</v>
      </c>
      <c r="X888" s="6">
        <v>0.34499999999999997</v>
      </c>
      <c r="Y888" s="6">
        <v>0.255</v>
      </c>
      <c r="Z888" s="6">
        <v>0.375</v>
      </c>
      <c r="AA888" s="6">
        <f t="shared" si="49"/>
        <v>3.2990624999999996E-2</v>
      </c>
      <c r="AB888" s="8">
        <v>28</v>
      </c>
      <c r="AC888" s="15">
        <v>27897801314705</v>
      </c>
      <c r="AD888" s="4" t="s">
        <v>992</v>
      </c>
    </row>
    <row r="889" spans="2:30" x14ac:dyDescent="0.35">
      <c r="B889" s="14">
        <v>1548</v>
      </c>
      <c r="C889" s="67" t="s">
        <v>808</v>
      </c>
      <c r="D889" s="4" t="s">
        <v>2373</v>
      </c>
      <c r="E889" s="24" t="s">
        <v>2912</v>
      </c>
      <c r="F889" s="4" t="s">
        <v>85</v>
      </c>
      <c r="G889" s="4" t="s">
        <v>993</v>
      </c>
      <c r="H889" s="6">
        <v>0.50960000000000005</v>
      </c>
      <c r="I889" s="8">
        <v>63</v>
      </c>
      <c r="J889" s="8">
        <v>147</v>
      </c>
      <c r="K889" s="8">
        <v>147</v>
      </c>
      <c r="L889" s="8">
        <f t="shared" si="48"/>
        <v>1361367</v>
      </c>
      <c r="M889" s="15">
        <v>7897801314718</v>
      </c>
      <c r="N889" s="6" t="s">
        <v>20</v>
      </c>
      <c r="O889" s="6" t="s">
        <v>20</v>
      </c>
      <c r="P889" s="6" t="s">
        <v>20</v>
      </c>
      <c r="Q889" s="6">
        <v>0</v>
      </c>
      <c r="R889" s="6">
        <v>0</v>
      </c>
      <c r="S889" s="6">
        <v>0</v>
      </c>
      <c r="T889" s="8">
        <v>1</v>
      </c>
      <c r="U889" s="5" t="s">
        <v>994</v>
      </c>
      <c r="V889" s="89">
        <v>0</v>
      </c>
      <c r="W889" s="15">
        <v>17897801314715</v>
      </c>
      <c r="X889" s="6">
        <v>0.34499999999999997</v>
      </c>
      <c r="Y889" s="6">
        <v>0.255</v>
      </c>
      <c r="Z889" s="6">
        <v>0.37</v>
      </c>
      <c r="AA889" s="6">
        <f t="shared" si="49"/>
        <v>3.2550749999999996E-2</v>
      </c>
      <c r="AB889" s="8">
        <v>18</v>
      </c>
      <c r="AC889" s="15">
        <v>27897801314712</v>
      </c>
      <c r="AD889" s="4" t="s">
        <v>992</v>
      </c>
    </row>
    <row r="890" spans="2:30" x14ac:dyDescent="0.35">
      <c r="B890" s="14">
        <v>1549</v>
      </c>
      <c r="C890" s="67" t="s">
        <v>809</v>
      </c>
      <c r="D890" s="4" t="s">
        <v>2373</v>
      </c>
      <c r="E890" s="24" t="s">
        <v>2912</v>
      </c>
      <c r="F890" s="4" t="s">
        <v>85</v>
      </c>
      <c r="G890" s="4" t="s">
        <v>993</v>
      </c>
      <c r="H890" s="6">
        <v>2.1499999999999998E-2</v>
      </c>
      <c r="I890" s="8">
        <v>26</v>
      </c>
      <c r="J890" s="8">
        <v>37</v>
      </c>
      <c r="K890" s="8">
        <v>101</v>
      </c>
      <c r="L890" s="8">
        <f t="shared" si="48"/>
        <v>97162</v>
      </c>
      <c r="M890" s="15">
        <v>7897801314725</v>
      </c>
      <c r="N890" s="6" t="s">
        <v>20</v>
      </c>
      <c r="O890" s="6" t="s">
        <v>20</v>
      </c>
      <c r="P890" s="6" t="s">
        <v>20</v>
      </c>
      <c r="Q890" s="6">
        <v>0.15</v>
      </c>
      <c r="R890" s="6">
        <v>4.4999999999999998E-2</v>
      </c>
      <c r="S890" s="6">
        <v>0.17499999999999999</v>
      </c>
      <c r="T890" s="8">
        <v>10</v>
      </c>
      <c r="U890" s="5" t="s">
        <v>994</v>
      </c>
      <c r="V890" s="89">
        <v>0</v>
      </c>
      <c r="W890" s="15">
        <v>17897801314722</v>
      </c>
      <c r="X890" s="6">
        <v>0.34499999999999997</v>
      </c>
      <c r="Y890" s="6">
        <v>0.255</v>
      </c>
      <c r="Z890" s="6">
        <v>0.375</v>
      </c>
      <c r="AA890" s="6">
        <f t="shared" si="49"/>
        <v>3.2990624999999996E-2</v>
      </c>
      <c r="AB890" s="8">
        <v>200</v>
      </c>
      <c r="AC890" s="15">
        <v>27897801314729</v>
      </c>
      <c r="AD890" s="4" t="s">
        <v>992</v>
      </c>
    </row>
    <row r="891" spans="2:30" x14ac:dyDescent="0.35">
      <c r="B891" s="14">
        <v>1550</v>
      </c>
      <c r="C891" s="67" t="s">
        <v>810</v>
      </c>
      <c r="D891" s="4" t="s">
        <v>2373</v>
      </c>
      <c r="E891" s="24" t="s">
        <v>2912</v>
      </c>
      <c r="F891" s="4" t="s">
        <v>85</v>
      </c>
      <c r="G891" s="4" t="s">
        <v>993</v>
      </c>
      <c r="H891" s="6">
        <v>3.5999999999999997E-2</v>
      </c>
      <c r="I891" s="8">
        <v>46</v>
      </c>
      <c r="J891" s="8">
        <v>34</v>
      </c>
      <c r="K891" s="8">
        <v>117</v>
      </c>
      <c r="L891" s="8">
        <f t="shared" si="48"/>
        <v>182988</v>
      </c>
      <c r="M891" s="15">
        <v>7897801314732</v>
      </c>
      <c r="N891" s="6" t="s">
        <v>20</v>
      </c>
      <c r="O891" s="6" t="s">
        <v>20</v>
      </c>
      <c r="P891" s="6" t="s">
        <v>20</v>
      </c>
      <c r="Q891" s="6">
        <v>0.17</v>
      </c>
      <c r="R891" s="6">
        <v>0.06</v>
      </c>
      <c r="S891" s="6">
        <v>0.18</v>
      </c>
      <c r="T891" s="8">
        <v>10</v>
      </c>
      <c r="U891" s="5" t="s">
        <v>994</v>
      </c>
      <c r="V891" s="89">
        <v>0</v>
      </c>
      <c r="W891" s="15">
        <v>17897801314739</v>
      </c>
      <c r="X891" s="6">
        <v>0.34499999999999997</v>
      </c>
      <c r="Y891" s="6">
        <v>0.255</v>
      </c>
      <c r="Z891" s="6">
        <v>0.375</v>
      </c>
      <c r="AA891" s="6">
        <f t="shared" si="49"/>
        <v>3.2990624999999996E-2</v>
      </c>
      <c r="AB891" s="8">
        <v>160</v>
      </c>
      <c r="AC891" s="15">
        <v>27897801314736</v>
      </c>
      <c r="AD891" s="4" t="s">
        <v>992</v>
      </c>
    </row>
    <row r="892" spans="2:30" x14ac:dyDescent="0.35">
      <c r="B892" s="14">
        <v>1551</v>
      </c>
      <c r="C892" s="67" t="s">
        <v>811</v>
      </c>
      <c r="D892" s="4" t="s">
        <v>2373</v>
      </c>
      <c r="E892" s="24" t="s">
        <v>2912</v>
      </c>
      <c r="F892" s="4" t="s">
        <v>85</v>
      </c>
      <c r="G892" s="4" t="s">
        <v>993</v>
      </c>
      <c r="H892" s="6">
        <v>6.8400000000000002E-2</v>
      </c>
      <c r="I892" s="8">
        <v>43</v>
      </c>
      <c r="J892" s="8">
        <v>60</v>
      </c>
      <c r="K892" s="8">
        <v>140</v>
      </c>
      <c r="L892" s="8">
        <f t="shared" si="48"/>
        <v>361200</v>
      </c>
      <c r="M892" s="15">
        <v>7897801314749</v>
      </c>
      <c r="N892" s="6" t="s">
        <v>20</v>
      </c>
      <c r="O892" s="6" t="s">
        <v>20</v>
      </c>
      <c r="P892" s="6" t="s">
        <v>20</v>
      </c>
      <c r="Q892" s="6">
        <v>0.2</v>
      </c>
      <c r="R892" s="6">
        <v>7.0000000000000007E-2</v>
      </c>
      <c r="S892" s="6">
        <v>0.28999999999999998</v>
      </c>
      <c r="T892" s="8">
        <v>10</v>
      </c>
      <c r="U892" s="5" t="s">
        <v>994</v>
      </c>
      <c r="V892" s="89">
        <v>0</v>
      </c>
      <c r="W892" s="15">
        <v>17897801314746</v>
      </c>
      <c r="X892" s="6">
        <v>0.34499999999999997</v>
      </c>
      <c r="Y892" s="6">
        <v>0.255</v>
      </c>
      <c r="Z892" s="6">
        <v>0.375</v>
      </c>
      <c r="AA892" s="6">
        <f t="shared" si="49"/>
        <v>3.2990624999999996E-2</v>
      </c>
      <c r="AB892" s="8">
        <v>80</v>
      </c>
      <c r="AC892" s="15">
        <v>27897801314743</v>
      </c>
      <c r="AD892" s="4" t="s">
        <v>992</v>
      </c>
    </row>
    <row r="893" spans="2:30" x14ac:dyDescent="0.35">
      <c r="B893" s="14">
        <v>1552</v>
      </c>
      <c r="C893" s="67" t="s">
        <v>812</v>
      </c>
      <c r="D893" s="4" t="s">
        <v>2373</v>
      </c>
      <c r="E893" s="24" t="s">
        <v>2912</v>
      </c>
      <c r="F893" s="4" t="s">
        <v>85</v>
      </c>
      <c r="G893" s="4" t="s">
        <v>993</v>
      </c>
      <c r="H893" s="6">
        <v>4.2999999999999997E-2</v>
      </c>
      <c r="I893" s="8">
        <v>35</v>
      </c>
      <c r="J893" s="8">
        <v>53</v>
      </c>
      <c r="K893" s="8">
        <v>127</v>
      </c>
      <c r="L893" s="8">
        <f t="shared" si="48"/>
        <v>235585</v>
      </c>
      <c r="M893" s="15">
        <v>7897801314756</v>
      </c>
      <c r="N893" s="6" t="s">
        <v>20</v>
      </c>
      <c r="O893" s="6" t="s">
        <v>20</v>
      </c>
      <c r="P893" s="6" t="s">
        <v>20</v>
      </c>
      <c r="Q893" s="6">
        <v>0.2</v>
      </c>
      <c r="R893" s="6">
        <v>3.5000000000000003E-2</v>
      </c>
      <c r="S893" s="6">
        <v>0.3</v>
      </c>
      <c r="T893" s="8">
        <v>10</v>
      </c>
      <c r="U893" s="5" t="s">
        <v>994</v>
      </c>
      <c r="V893" s="89">
        <v>0</v>
      </c>
      <c r="W893" s="15">
        <v>17897801314753</v>
      </c>
      <c r="X893" s="6">
        <v>0.34499999999999997</v>
      </c>
      <c r="Y893" s="6">
        <v>0.255</v>
      </c>
      <c r="Z893" s="6">
        <v>0.375</v>
      </c>
      <c r="AA893" s="6">
        <f t="shared" si="49"/>
        <v>3.2990624999999996E-2</v>
      </c>
      <c r="AB893" s="8">
        <v>150</v>
      </c>
      <c r="AC893" s="15">
        <v>27897801314750</v>
      </c>
      <c r="AD893" s="4" t="s">
        <v>992</v>
      </c>
    </row>
    <row r="894" spans="2:30" x14ac:dyDescent="0.35">
      <c r="B894" s="14">
        <v>1553</v>
      </c>
      <c r="C894" s="67" t="s">
        <v>813</v>
      </c>
      <c r="D894" s="4" t="s">
        <v>2373</v>
      </c>
      <c r="E894" s="24" t="s">
        <v>2912</v>
      </c>
      <c r="F894" s="4" t="s">
        <v>85</v>
      </c>
      <c r="G894" s="4" t="s">
        <v>993</v>
      </c>
      <c r="H894" s="6">
        <v>4.2799999999999998E-2</v>
      </c>
      <c r="I894" s="8">
        <v>35</v>
      </c>
      <c r="J894" s="8">
        <v>59</v>
      </c>
      <c r="K894" s="8">
        <v>127</v>
      </c>
      <c r="L894" s="8">
        <f t="shared" si="48"/>
        <v>262255</v>
      </c>
      <c r="M894" s="15">
        <v>7897801314763</v>
      </c>
      <c r="N894" s="6" t="s">
        <v>20</v>
      </c>
      <c r="O894" s="6" t="s">
        <v>20</v>
      </c>
      <c r="P894" s="6" t="s">
        <v>20</v>
      </c>
      <c r="Q894" s="6">
        <v>0.16</v>
      </c>
      <c r="R894" s="6">
        <v>0.06</v>
      </c>
      <c r="S894" s="6">
        <v>0.2</v>
      </c>
      <c r="T894" s="8">
        <v>10</v>
      </c>
      <c r="U894" s="5" t="s">
        <v>994</v>
      </c>
      <c r="V894" s="89">
        <v>0</v>
      </c>
      <c r="W894" s="15">
        <v>17897801314760</v>
      </c>
      <c r="X894" s="6">
        <v>0.34499999999999997</v>
      </c>
      <c r="Y894" s="6">
        <v>0.255</v>
      </c>
      <c r="Z894" s="6">
        <v>0.375</v>
      </c>
      <c r="AA894" s="6">
        <f t="shared" si="49"/>
        <v>3.2990624999999996E-2</v>
      </c>
      <c r="AB894" s="8">
        <v>100</v>
      </c>
      <c r="AC894" s="15">
        <v>27897801314767</v>
      </c>
      <c r="AD894" s="4" t="s">
        <v>992</v>
      </c>
    </row>
    <row r="895" spans="2:30" x14ac:dyDescent="0.35">
      <c r="B895" s="14">
        <v>1554</v>
      </c>
      <c r="C895" s="67" t="s">
        <v>814</v>
      </c>
      <c r="D895" s="4" t="s">
        <v>2373</v>
      </c>
      <c r="E895" s="24" t="s">
        <v>2912</v>
      </c>
      <c r="F895" s="4" t="s">
        <v>85</v>
      </c>
      <c r="G895" s="4" t="s">
        <v>993</v>
      </c>
      <c r="H895" s="6">
        <v>8.09E-2</v>
      </c>
      <c r="I895" s="8">
        <v>43</v>
      </c>
      <c r="J895" s="8">
        <v>65</v>
      </c>
      <c r="K895" s="8">
        <v>164</v>
      </c>
      <c r="L895" s="8">
        <f t="shared" si="48"/>
        <v>458380</v>
      </c>
      <c r="M895" s="15">
        <v>7897801314770</v>
      </c>
      <c r="N895" s="6" t="s">
        <v>20</v>
      </c>
      <c r="O895" s="6" t="s">
        <v>20</v>
      </c>
      <c r="P895" s="6" t="s">
        <v>20</v>
      </c>
      <c r="Q895" s="6">
        <v>0.17</v>
      </c>
      <c r="R895" s="6">
        <v>0.1</v>
      </c>
      <c r="S895" s="6">
        <v>0.28000000000000003</v>
      </c>
      <c r="T895" s="8">
        <v>10</v>
      </c>
      <c r="U895" s="5" t="s">
        <v>994</v>
      </c>
      <c r="V895" s="89">
        <v>0</v>
      </c>
      <c r="W895" s="15">
        <v>17897801314777</v>
      </c>
      <c r="X895" s="6">
        <v>0.34499999999999997</v>
      </c>
      <c r="Y895" s="6">
        <v>0.255</v>
      </c>
      <c r="Z895" s="6">
        <v>0.375</v>
      </c>
      <c r="AA895" s="6">
        <f t="shared" si="49"/>
        <v>3.2990624999999996E-2</v>
      </c>
      <c r="AB895" s="8">
        <v>50</v>
      </c>
      <c r="AC895" s="15">
        <v>27897801314774</v>
      </c>
      <c r="AD895" s="4" t="s">
        <v>992</v>
      </c>
    </row>
    <row r="896" spans="2:30" x14ac:dyDescent="0.35">
      <c r="B896" s="14">
        <v>1555</v>
      </c>
      <c r="C896" s="67" t="s">
        <v>815</v>
      </c>
      <c r="D896" s="4" t="s">
        <v>2373</v>
      </c>
      <c r="E896" s="24" t="s">
        <v>2912</v>
      </c>
      <c r="F896" s="4" t="s">
        <v>85</v>
      </c>
      <c r="G896" s="4" t="s">
        <v>993</v>
      </c>
      <c r="H896" s="6">
        <v>1.1599999999999999E-2</v>
      </c>
      <c r="I896" s="8">
        <v>37</v>
      </c>
      <c r="J896" s="8">
        <v>28</v>
      </c>
      <c r="K896" s="8">
        <v>45</v>
      </c>
      <c r="L896" s="8">
        <f t="shared" si="48"/>
        <v>46620</v>
      </c>
      <c r="M896" s="15">
        <v>7897801314787</v>
      </c>
      <c r="N896" s="6" t="s">
        <v>20</v>
      </c>
      <c r="O896" s="6" t="s">
        <v>20</v>
      </c>
      <c r="P896" s="6" t="s">
        <v>20</v>
      </c>
      <c r="Q896" s="6">
        <v>0.12</v>
      </c>
      <c r="R896" s="6">
        <v>2.8000000000000001E-2</v>
      </c>
      <c r="S896" s="6">
        <v>0.13</v>
      </c>
      <c r="T896" s="8">
        <v>10</v>
      </c>
      <c r="U896" s="5" t="s">
        <v>994</v>
      </c>
      <c r="V896" s="89">
        <v>0</v>
      </c>
      <c r="W896" s="15">
        <v>17897801314784</v>
      </c>
      <c r="X896" s="6">
        <v>0.34499999999999997</v>
      </c>
      <c r="Y896" s="6">
        <v>0.255</v>
      </c>
      <c r="Z896" s="6">
        <v>0.375</v>
      </c>
      <c r="AA896" s="6">
        <f t="shared" si="49"/>
        <v>3.2990624999999996E-2</v>
      </c>
      <c r="AB896" s="8">
        <v>680</v>
      </c>
      <c r="AC896" s="15">
        <v>27897801314781</v>
      </c>
      <c r="AD896" s="4" t="s">
        <v>992</v>
      </c>
    </row>
    <row r="897" spans="2:30" x14ac:dyDescent="0.35">
      <c r="B897" s="14">
        <v>1556</v>
      </c>
      <c r="C897" s="67" t="s">
        <v>816</v>
      </c>
      <c r="D897" s="4" t="s">
        <v>2373</v>
      </c>
      <c r="E897" s="24" t="s">
        <v>2912</v>
      </c>
      <c r="F897" s="4" t="s">
        <v>85</v>
      </c>
      <c r="G897" s="4" t="s">
        <v>993</v>
      </c>
      <c r="H897" s="6">
        <v>1.9E-2</v>
      </c>
      <c r="I897" s="8">
        <v>44</v>
      </c>
      <c r="J897" s="8">
        <v>35</v>
      </c>
      <c r="K897" s="8">
        <v>51</v>
      </c>
      <c r="L897" s="8">
        <f t="shared" ref="L897:L928" si="50">J897*I897*K897</f>
        <v>78540</v>
      </c>
      <c r="M897" s="15">
        <v>7897801314794</v>
      </c>
      <c r="N897" s="6" t="s">
        <v>20</v>
      </c>
      <c r="O897" s="6" t="s">
        <v>20</v>
      </c>
      <c r="P897" s="6" t="s">
        <v>20</v>
      </c>
      <c r="Q897" s="6">
        <v>0.14000000000000001</v>
      </c>
      <c r="R897" s="6">
        <v>4.3999999999999997E-2</v>
      </c>
      <c r="S897" s="6">
        <v>0.15</v>
      </c>
      <c r="T897" s="8">
        <v>10</v>
      </c>
      <c r="U897" s="5" t="s">
        <v>994</v>
      </c>
      <c r="V897" s="89">
        <v>0</v>
      </c>
      <c r="W897" s="15">
        <v>17897801314791</v>
      </c>
      <c r="X897" s="6">
        <v>0.34499999999999997</v>
      </c>
      <c r="Y897" s="6">
        <v>0.255</v>
      </c>
      <c r="Z897" s="6">
        <v>0.375</v>
      </c>
      <c r="AA897" s="6">
        <f t="shared" ref="AA897:AA928" si="51">Y897*X897*Z897</f>
        <v>3.2990624999999996E-2</v>
      </c>
      <c r="AB897" s="8">
        <v>390</v>
      </c>
      <c r="AC897" s="15">
        <v>27897801314798</v>
      </c>
      <c r="AD897" s="4" t="s">
        <v>992</v>
      </c>
    </row>
    <row r="898" spans="2:30" x14ac:dyDescent="0.35">
      <c r="B898" s="14">
        <v>1557</v>
      </c>
      <c r="C898" s="67" t="s">
        <v>817</v>
      </c>
      <c r="D898" s="4" t="s">
        <v>2373</v>
      </c>
      <c r="E898" s="24" t="s">
        <v>2912</v>
      </c>
      <c r="F898" s="4" t="s">
        <v>85</v>
      </c>
      <c r="G898" s="4" t="s">
        <v>993</v>
      </c>
      <c r="H898" s="6">
        <v>3.5900000000000001E-2</v>
      </c>
      <c r="I898" s="8">
        <v>42</v>
      </c>
      <c r="J898" s="8">
        <v>50</v>
      </c>
      <c r="K898" s="8">
        <v>61</v>
      </c>
      <c r="L898" s="8">
        <f t="shared" si="50"/>
        <v>128100</v>
      </c>
      <c r="M898" s="15">
        <v>7897801314800</v>
      </c>
      <c r="N898" s="6" t="s">
        <v>20</v>
      </c>
      <c r="O898" s="6" t="s">
        <v>20</v>
      </c>
      <c r="P898" s="6" t="s">
        <v>20</v>
      </c>
      <c r="Q898" s="6">
        <v>0.14499999999999999</v>
      </c>
      <c r="R898" s="6">
        <v>0.05</v>
      </c>
      <c r="S898" s="6">
        <v>0.17</v>
      </c>
      <c r="T898" s="8">
        <v>10</v>
      </c>
      <c r="U898" s="5" t="s">
        <v>994</v>
      </c>
      <c r="V898" s="89">
        <v>0</v>
      </c>
      <c r="W898" s="15">
        <v>17897801314807</v>
      </c>
      <c r="X898" s="6">
        <v>0.34499999999999997</v>
      </c>
      <c r="Y898" s="6">
        <v>0.255</v>
      </c>
      <c r="Z898" s="6">
        <v>0.375</v>
      </c>
      <c r="AA898" s="6">
        <f t="shared" si="51"/>
        <v>3.2990624999999996E-2</v>
      </c>
      <c r="AB898" s="8">
        <v>160</v>
      </c>
      <c r="AC898" s="15">
        <v>27897801314804</v>
      </c>
      <c r="AD898" s="4" t="s">
        <v>992</v>
      </c>
    </row>
    <row r="899" spans="2:30" x14ac:dyDescent="0.35">
      <c r="B899" s="14">
        <v>1558</v>
      </c>
      <c r="C899" s="67" t="s">
        <v>818</v>
      </c>
      <c r="D899" s="4" t="s">
        <v>2373</v>
      </c>
      <c r="E899" s="24" t="s">
        <v>2912</v>
      </c>
      <c r="F899" s="4" t="s">
        <v>85</v>
      </c>
      <c r="G899" s="4" t="s">
        <v>993</v>
      </c>
      <c r="H899" s="6">
        <v>6.4799999999999996E-2</v>
      </c>
      <c r="I899" s="8">
        <v>54</v>
      </c>
      <c r="J899" s="8">
        <v>67</v>
      </c>
      <c r="K899" s="8">
        <v>74</v>
      </c>
      <c r="L899" s="8">
        <f t="shared" si="50"/>
        <v>267732</v>
      </c>
      <c r="M899" s="15">
        <v>7897801314817</v>
      </c>
      <c r="N899" s="6" t="s">
        <v>20</v>
      </c>
      <c r="O899" s="6" t="s">
        <v>20</v>
      </c>
      <c r="P899" s="6" t="s">
        <v>20</v>
      </c>
      <c r="Q899" s="6">
        <v>0.15</v>
      </c>
      <c r="R899" s="6">
        <v>0.08</v>
      </c>
      <c r="S899" s="6">
        <v>0.15</v>
      </c>
      <c r="T899" s="8">
        <v>5</v>
      </c>
      <c r="U899" s="5" t="s">
        <v>994</v>
      </c>
      <c r="V899" s="89">
        <v>0</v>
      </c>
      <c r="W899" s="15">
        <v>17897801314814</v>
      </c>
      <c r="X899" s="6">
        <v>0.34499999999999997</v>
      </c>
      <c r="Y899" s="6">
        <v>0.255</v>
      </c>
      <c r="Z899" s="6">
        <v>0.375</v>
      </c>
      <c r="AA899" s="6">
        <f t="shared" si="51"/>
        <v>3.2990624999999996E-2</v>
      </c>
      <c r="AB899" s="8">
        <v>110</v>
      </c>
      <c r="AC899" s="15">
        <v>27897801314811</v>
      </c>
      <c r="AD899" s="4" t="s">
        <v>992</v>
      </c>
    </row>
    <row r="900" spans="2:30" x14ac:dyDescent="0.35">
      <c r="B900" s="14">
        <v>1559</v>
      </c>
      <c r="C900" s="67" t="s">
        <v>819</v>
      </c>
      <c r="D900" s="4" t="s">
        <v>2373</v>
      </c>
      <c r="E900" s="24" t="s">
        <v>2912</v>
      </c>
      <c r="F900" s="4" t="s">
        <v>85</v>
      </c>
      <c r="G900" s="4" t="s">
        <v>993</v>
      </c>
      <c r="H900" s="6">
        <v>0.11890000000000001</v>
      </c>
      <c r="I900" s="8">
        <v>68</v>
      </c>
      <c r="J900" s="8">
        <v>80</v>
      </c>
      <c r="K900" s="8">
        <v>93</v>
      </c>
      <c r="L900" s="8">
        <f t="shared" si="50"/>
        <v>505920</v>
      </c>
      <c r="M900" s="15">
        <v>7897801314824</v>
      </c>
      <c r="N900" s="6" t="s">
        <v>20</v>
      </c>
      <c r="O900" s="6" t="s">
        <v>20</v>
      </c>
      <c r="P900" s="6" t="s">
        <v>20</v>
      </c>
      <c r="Q900" s="6">
        <v>0.08</v>
      </c>
      <c r="R900" s="6">
        <v>7.0000000000000007E-2</v>
      </c>
      <c r="S900" s="6">
        <v>0.14000000000000001</v>
      </c>
      <c r="T900" s="8">
        <v>2</v>
      </c>
      <c r="U900" s="5" t="s">
        <v>994</v>
      </c>
      <c r="V900" s="89">
        <v>0</v>
      </c>
      <c r="W900" s="15">
        <v>17897801314821</v>
      </c>
      <c r="X900" s="6">
        <v>0.34499999999999997</v>
      </c>
      <c r="Y900" s="6">
        <v>0.255</v>
      </c>
      <c r="Z900" s="6">
        <v>0.375</v>
      </c>
      <c r="AA900" s="6">
        <f t="shared" si="51"/>
        <v>3.2990624999999996E-2</v>
      </c>
      <c r="AB900" s="8">
        <v>60</v>
      </c>
      <c r="AC900" s="15">
        <v>27897801314828</v>
      </c>
      <c r="AD900" s="4" t="s">
        <v>992</v>
      </c>
    </row>
    <row r="901" spans="2:30" x14ac:dyDescent="0.35">
      <c r="B901" s="14">
        <v>1560</v>
      </c>
      <c r="C901" s="67" t="s">
        <v>820</v>
      </c>
      <c r="D901" s="4" t="s">
        <v>2373</v>
      </c>
      <c r="E901" s="24" t="s">
        <v>2912</v>
      </c>
      <c r="F901" s="4" t="s">
        <v>85</v>
      </c>
      <c r="G901" s="4" t="s">
        <v>993</v>
      </c>
      <c r="H901" s="6">
        <v>0.22539999999999999</v>
      </c>
      <c r="I901" s="8">
        <v>86</v>
      </c>
      <c r="J901" s="8">
        <v>95</v>
      </c>
      <c r="K901" s="8">
        <v>112</v>
      </c>
      <c r="L901" s="8">
        <f t="shared" si="50"/>
        <v>915040</v>
      </c>
      <c r="M901" s="15">
        <v>7897801314831</v>
      </c>
      <c r="N901" s="6" t="s">
        <v>20</v>
      </c>
      <c r="O901" s="6" t="s">
        <v>20</v>
      </c>
      <c r="P901" s="6" t="s">
        <v>20</v>
      </c>
      <c r="Q901" s="6">
        <v>0.105</v>
      </c>
      <c r="R901" s="6">
        <v>8.5000000000000006E-2</v>
      </c>
      <c r="S901" s="6">
        <v>0.11</v>
      </c>
      <c r="T901" s="8">
        <v>1</v>
      </c>
      <c r="U901" s="5" t="s">
        <v>994</v>
      </c>
      <c r="V901" s="89">
        <v>0</v>
      </c>
      <c r="W901" s="15">
        <v>17897801314838</v>
      </c>
      <c r="X901" s="6">
        <v>0.34499999999999997</v>
      </c>
      <c r="Y901" s="6">
        <v>0.255</v>
      </c>
      <c r="Z901" s="6">
        <v>0.375</v>
      </c>
      <c r="AA901" s="6">
        <f t="shared" si="51"/>
        <v>3.2990624999999996E-2</v>
      </c>
      <c r="AB901" s="8">
        <v>33</v>
      </c>
      <c r="AC901" s="15">
        <v>27897801314835</v>
      </c>
      <c r="AD901" s="4" t="s">
        <v>992</v>
      </c>
    </row>
    <row r="902" spans="2:30" x14ac:dyDescent="0.35">
      <c r="B902" s="14">
        <v>1561</v>
      </c>
      <c r="C902" s="67" t="s">
        <v>821</v>
      </c>
      <c r="D902" s="4" t="s">
        <v>2373</v>
      </c>
      <c r="E902" s="24" t="s">
        <v>2912</v>
      </c>
      <c r="F902" s="4" t="s">
        <v>85</v>
      </c>
      <c r="G902" s="4" t="s">
        <v>993</v>
      </c>
      <c r="H902" s="6">
        <v>0.3216</v>
      </c>
      <c r="I902" s="8">
        <v>115</v>
      </c>
      <c r="J902" s="8">
        <v>127</v>
      </c>
      <c r="K902" s="8">
        <v>102</v>
      </c>
      <c r="L902" s="8">
        <f t="shared" si="50"/>
        <v>1489710</v>
      </c>
      <c r="M902" s="15">
        <v>7897801314848</v>
      </c>
      <c r="N902" s="6" t="s">
        <v>20</v>
      </c>
      <c r="O902" s="6" t="s">
        <v>20</v>
      </c>
      <c r="P902" s="6" t="s">
        <v>20</v>
      </c>
      <c r="Q902" s="6">
        <v>0.125</v>
      </c>
      <c r="R902" s="6">
        <v>0.1</v>
      </c>
      <c r="S902" s="6">
        <v>0.125</v>
      </c>
      <c r="T902" s="8">
        <v>1</v>
      </c>
      <c r="U902" s="5" t="s">
        <v>994</v>
      </c>
      <c r="V902" s="89">
        <v>0</v>
      </c>
      <c r="W902" s="15">
        <v>17897801314845</v>
      </c>
      <c r="X902" s="6">
        <v>0.34499999999999997</v>
      </c>
      <c r="Y902" s="6">
        <v>0.255</v>
      </c>
      <c r="Z902" s="6">
        <v>0.375</v>
      </c>
      <c r="AA902" s="6">
        <f t="shared" si="51"/>
        <v>3.2990624999999996E-2</v>
      </c>
      <c r="AB902" s="8">
        <v>20</v>
      </c>
      <c r="AC902" s="15">
        <v>27897801314842</v>
      </c>
      <c r="AD902" s="4" t="s">
        <v>992</v>
      </c>
    </row>
    <row r="903" spans="2:30" x14ac:dyDescent="0.35">
      <c r="B903" s="14">
        <v>1562</v>
      </c>
      <c r="C903" s="67" t="s">
        <v>822</v>
      </c>
      <c r="D903" s="4" t="s">
        <v>2373</v>
      </c>
      <c r="E903" s="24" t="s">
        <v>2912</v>
      </c>
      <c r="F903" s="4" t="s">
        <v>85</v>
      </c>
      <c r="G903" s="4" t="s">
        <v>993</v>
      </c>
      <c r="H903" s="6">
        <v>0.51959999999999995</v>
      </c>
      <c r="I903" s="8">
        <v>144</v>
      </c>
      <c r="J903" s="8">
        <v>148</v>
      </c>
      <c r="K903" s="8">
        <v>122</v>
      </c>
      <c r="L903" s="8">
        <f t="shared" si="50"/>
        <v>2600064</v>
      </c>
      <c r="M903" s="15">
        <v>7897801314855</v>
      </c>
      <c r="N903" s="6" t="s">
        <v>20</v>
      </c>
      <c r="O903" s="6" t="s">
        <v>20</v>
      </c>
      <c r="P903" s="6" t="s">
        <v>20</v>
      </c>
      <c r="Q903" s="6">
        <v>0.14000000000000001</v>
      </c>
      <c r="R903" s="6">
        <v>0.12</v>
      </c>
      <c r="S903" s="6">
        <v>0.14499999999999999</v>
      </c>
      <c r="T903" s="8">
        <v>1</v>
      </c>
      <c r="U903" s="5" t="s">
        <v>994</v>
      </c>
      <c r="V903" s="89">
        <v>0</v>
      </c>
      <c r="W903" s="15">
        <v>17897801314852</v>
      </c>
      <c r="X903" s="6">
        <v>0.34499999999999997</v>
      </c>
      <c r="Y903" s="6">
        <v>0.255</v>
      </c>
      <c r="Z903" s="6">
        <v>0.375</v>
      </c>
      <c r="AA903" s="6">
        <f t="shared" si="51"/>
        <v>3.2990624999999996E-2</v>
      </c>
      <c r="AB903" s="8">
        <v>11</v>
      </c>
      <c r="AC903" s="15">
        <v>27897801314859</v>
      </c>
      <c r="AD903" s="4" t="s">
        <v>992</v>
      </c>
    </row>
    <row r="904" spans="2:30" x14ac:dyDescent="0.35">
      <c r="B904" s="14">
        <v>1563</v>
      </c>
      <c r="C904" s="67" t="s">
        <v>823</v>
      </c>
      <c r="D904" s="4" t="s">
        <v>2373</v>
      </c>
      <c r="E904" s="24" t="s">
        <v>2912</v>
      </c>
      <c r="F904" s="4" t="s">
        <v>85</v>
      </c>
      <c r="G904" s="4" t="s">
        <v>993</v>
      </c>
      <c r="H904" s="6">
        <v>0.94689999999999996</v>
      </c>
      <c r="I904" s="8">
        <v>180</v>
      </c>
      <c r="J904" s="8">
        <v>170</v>
      </c>
      <c r="K904" s="8">
        <v>150</v>
      </c>
      <c r="L904" s="8">
        <f t="shared" si="50"/>
        <v>4590000</v>
      </c>
      <c r="M904" s="15">
        <v>7897801314862</v>
      </c>
      <c r="N904" s="6" t="s">
        <v>20</v>
      </c>
      <c r="O904" s="6" t="s">
        <v>20</v>
      </c>
      <c r="P904" s="6" t="s">
        <v>20</v>
      </c>
      <c r="Q904" s="6">
        <v>0.17</v>
      </c>
      <c r="R904" s="6">
        <v>0.15</v>
      </c>
      <c r="S904" s="6">
        <v>0.17499999999999999</v>
      </c>
      <c r="T904" s="8">
        <v>1</v>
      </c>
      <c r="U904" s="5" t="s">
        <v>994</v>
      </c>
      <c r="V904" s="89">
        <v>0</v>
      </c>
      <c r="W904" s="15">
        <v>17897801314869</v>
      </c>
      <c r="X904" s="6">
        <v>0.34499999999999997</v>
      </c>
      <c r="Y904" s="6">
        <v>0.255</v>
      </c>
      <c r="Z904" s="6">
        <v>0.375</v>
      </c>
      <c r="AA904" s="6">
        <f t="shared" si="51"/>
        <v>3.2990624999999996E-2</v>
      </c>
      <c r="AB904" s="8">
        <v>6</v>
      </c>
      <c r="AC904" s="15">
        <v>27897801314866</v>
      </c>
      <c r="AD904" s="4" t="s">
        <v>992</v>
      </c>
    </row>
    <row r="905" spans="2:30" x14ac:dyDescent="0.35">
      <c r="B905" s="14">
        <v>1564</v>
      </c>
      <c r="C905" s="67" t="s">
        <v>824</v>
      </c>
      <c r="D905" s="4" t="s">
        <v>2373</v>
      </c>
      <c r="E905" s="24" t="s">
        <v>2912</v>
      </c>
      <c r="F905" s="4" t="s">
        <v>85</v>
      </c>
      <c r="G905" s="4" t="s">
        <v>993</v>
      </c>
      <c r="H905" s="6">
        <v>9.7999999999999997E-3</v>
      </c>
      <c r="I905" s="8">
        <v>36</v>
      </c>
      <c r="J905" s="8">
        <v>27</v>
      </c>
      <c r="K905" s="8">
        <v>42</v>
      </c>
      <c r="L905" s="8">
        <f t="shared" si="50"/>
        <v>40824</v>
      </c>
      <c r="M905" s="15">
        <v>7897801314879</v>
      </c>
      <c r="N905" s="6" t="s">
        <v>20</v>
      </c>
      <c r="O905" s="6" t="s">
        <v>20</v>
      </c>
      <c r="P905" s="6" t="s">
        <v>20</v>
      </c>
      <c r="Q905" s="6">
        <v>0.1</v>
      </c>
      <c r="R905" s="6">
        <v>2.7E-2</v>
      </c>
      <c r="S905" s="6">
        <v>1.1100000000000001</v>
      </c>
      <c r="T905" s="8">
        <v>10</v>
      </c>
      <c r="U905" s="5" t="s">
        <v>994</v>
      </c>
      <c r="V905" s="89">
        <v>0</v>
      </c>
      <c r="W905" s="15">
        <v>17897801314876</v>
      </c>
      <c r="X905" s="6">
        <v>0.34499999999999997</v>
      </c>
      <c r="Y905" s="6">
        <v>0.255</v>
      </c>
      <c r="Z905" s="6">
        <v>0.375</v>
      </c>
      <c r="AA905" s="6">
        <f t="shared" si="51"/>
        <v>3.2990624999999996E-2</v>
      </c>
      <c r="AB905" s="8">
        <v>680</v>
      </c>
      <c r="AC905" s="15">
        <v>27897801314873</v>
      </c>
      <c r="AD905" s="4" t="s">
        <v>992</v>
      </c>
    </row>
    <row r="906" spans="2:30" x14ac:dyDescent="0.35">
      <c r="B906" s="14">
        <v>1565</v>
      </c>
      <c r="C906" s="67" t="s">
        <v>825</v>
      </c>
      <c r="D906" s="4" t="s">
        <v>2373</v>
      </c>
      <c r="E906" s="24" t="s">
        <v>2912</v>
      </c>
      <c r="F906" s="4" t="s">
        <v>85</v>
      </c>
      <c r="G906" s="4" t="s">
        <v>993</v>
      </c>
      <c r="H906" s="6">
        <v>1.6400000000000001E-2</v>
      </c>
      <c r="I906" s="8">
        <v>33</v>
      </c>
      <c r="J906" s="8">
        <v>43</v>
      </c>
      <c r="K906" s="8">
        <v>52</v>
      </c>
      <c r="L906" s="8">
        <f t="shared" si="50"/>
        <v>73788</v>
      </c>
      <c r="M906" s="15">
        <v>7897801314886</v>
      </c>
      <c r="N906" s="6" t="s">
        <v>20</v>
      </c>
      <c r="O906" s="6" t="s">
        <v>20</v>
      </c>
      <c r="P906" s="6" t="s">
        <v>20</v>
      </c>
      <c r="Q906" s="6">
        <v>0.13</v>
      </c>
      <c r="R906" s="6">
        <v>3.3000000000000002E-2</v>
      </c>
      <c r="S906" s="6">
        <v>0.14000000000000001</v>
      </c>
      <c r="T906" s="8">
        <v>10</v>
      </c>
      <c r="U906" s="5" t="s">
        <v>994</v>
      </c>
      <c r="V906" s="89">
        <v>0</v>
      </c>
      <c r="W906" s="15">
        <v>17897801314883</v>
      </c>
      <c r="X906" s="6">
        <v>0.34499999999999997</v>
      </c>
      <c r="Y906" s="6">
        <v>0.255</v>
      </c>
      <c r="Z906" s="6">
        <v>0.375</v>
      </c>
      <c r="AA906" s="6">
        <f t="shared" si="51"/>
        <v>3.2990624999999996E-2</v>
      </c>
      <c r="AB906" s="8">
        <v>390</v>
      </c>
      <c r="AC906" s="15">
        <v>27897801314880</v>
      </c>
      <c r="AD906" s="4" t="s">
        <v>992</v>
      </c>
    </row>
    <row r="907" spans="2:30" x14ac:dyDescent="0.35">
      <c r="B907" s="14">
        <v>1566</v>
      </c>
      <c r="C907" s="67" t="s">
        <v>826</v>
      </c>
      <c r="D907" s="4" t="s">
        <v>2373</v>
      </c>
      <c r="E907" s="24" t="s">
        <v>2912</v>
      </c>
      <c r="F907" s="4" t="s">
        <v>85</v>
      </c>
      <c r="G907" s="4" t="s">
        <v>993</v>
      </c>
      <c r="H907" s="6">
        <v>5.0200000000000002E-2</v>
      </c>
      <c r="I907" s="8">
        <v>38</v>
      </c>
      <c r="J907" s="8">
        <v>44</v>
      </c>
      <c r="K907" s="8">
        <v>46</v>
      </c>
      <c r="L907" s="8">
        <f t="shared" si="50"/>
        <v>76912</v>
      </c>
      <c r="M907" s="15">
        <v>7897801314893</v>
      </c>
      <c r="N907" s="6" t="s">
        <v>20</v>
      </c>
      <c r="O907" s="6" t="s">
        <v>20</v>
      </c>
      <c r="P907" s="6" t="s">
        <v>20</v>
      </c>
      <c r="Q907" s="6">
        <v>0.13</v>
      </c>
      <c r="R907" s="6">
        <v>4.5999999999999999E-2</v>
      </c>
      <c r="S907" s="6">
        <v>0.15</v>
      </c>
      <c r="T907" s="8">
        <v>10</v>
      </c>
      <c r="U907" s="5" t="s">
        <v>994</v>
      </c>
      <c r="V907" s="89">
        <v>0</v>
      </c>
      <c r="W907" s="15">
        <v>17897801314890</v>
      </c>
      <c r="X907" s="6">
        <v>0.255</v>
      </c>
      <c r="Y907" s="6">
        <v>0.25</v>
      </c>
      <c r="Z907" s="6">
        <v>0.32500000000000001</v>
      </c>
      <c r="AA907" s="6">
        <f t="shared" si="51"/>
        <v>2.0718750000000001E-2</v>
      </c>
      <c r="AB907" s="8">
        <v>240</v>
      </c>
      <c r="AC907" s="15">
        <v>27897801314897</v>
      </c>
      <c r="AD907" s="4" t="s">
        <v>992</v>
      </c>
    </row>
    <row r="908" spans="2:30" x14ac:dyDescent="0.35">
      <c r="B908" s="14">
        <v>1567</v>
      </c>
      <c r="C908" s="67" t="s">
        <v>827</v>
      </c>
      <c r="D908" s="4" t="s">
        <v>2373</v>
      </c>
      <c r="E908" s="24" t="s">
        <v>2912</v>
      </c>
      <c r="F908" s="4" t="s">
        <v>85</v>
      </c>
      <c r="G908" s="4" t="s">
        <v>993</v>
      </c>
      <c r="H908" s="6">
        <v>7.9100000000000004E-2</v>
      </c>
      <c r="I908" s="8">
        <v>45</v>
      </c>
      <c r="J908" s="8">
        <v>51</v>
      </c>
      <c r="K908" s="8">
        <v>55</v>
      </c>
      <c r="L908" s="8">
        <f t="shared" si="50"/>
        <v>126225</v>
      </c>
      <c r="M908" s="15">
        <v>7897801314909</v>
      </c>
      <c r="N908" s="6" t="s">
        <v>20</v>
      </c>
      <c r="O908" s="6" t="s">
        <v>20</v>
      </c>
      <c r="P908" s="6" t="s">
        <v>20</v>
      </c>
      <c r="Q908" s="6">
        <v>0.14000000000000001</v>
      </c>
      <c r="R908" s="6">
        <v>4.4999999999999998E-2</v>
      </c>
      <c r="S908" s="6">
        <v>0.185</v>
      </c>
      <c r="T908" s="8">
        <v>5</v>
      </c>
      <c r="U908" s="5" t="s">
        <v>994</v>
      </c>
      <c r="V908" s="89">
        <v>0</v>
      </c>
      <c r="W908" s="15">
        <v>17897801314906</v>
      </c>
      <c r="X908" s="6">
        <v>0.255</v>
      </c>
      <c r="Y908" s="6">
        <v>0.25</v>
      </c>
      <c r="Z908" s="6">
        <v>0.32500000000000001</v>
      </c>
      <c r="AA908" s="6">
        <f t="shared" si="51"/>
        <v>2.0718750000000001E-2</v>
      </c>
      <c r="AB908" s="8">
        <v>130</v>
      </c>
      <c r="AC908" s="15">
        <v>27897801314903</v>
      </c>
      <c r="AD908" s="4" t="s">
        <v>992</v>
      </c>
    </row>
    <row r="909" spans="2:30" x14ac:dyDescent="0.35">
      <c r="B909" s="14">
        <v>1568</v>
      </c>
      <c r="C909" s="67" t="s">
        <v>828</v>
      </c>
      <c r="D909" s="4" t="s">
        <v>2373</v>
      </c>
      <c r="E909" s="24" t="s">
        <v>2912</v>
      </c>
      <c r="F909" s="4" t="s">
        <v>85</v>
      </c>
      <c r="G909" s="4" t="s">
        <v>993</v>
      </c>
      <c r="H909" s="6">
        <v>9.6600000000000005E-2</v>
      </c>
      <c r="I909" s="8">
        <v>57</v>
      </c>
      <c r="J909" s="8">
        <v>65</v>
      </c>
      <c r="K909" s="8">
        <v>47</v>
      </c>
      <c r="L909" s="8">
        <f t="shared" si="50"/>
        <v>174135</v>
      </c>
      <c r="M909" s="15">
        <v>7897801314916</v>
      </c>
      <c r="N909" s="6" t="s">
        <v>20</v>
      </c>
      <c r="O909" s="6" t="s">
        <v>20</v>
      </c>
      <c r="P909" s="6" t="s">
        <v>20</v>
      </c>
      <c r="Q909" s="6">
        <v>0.12</v>
      </c>
      <c r="R909" s="6">
        <v>6.5000000000000002E-2</v>
      </c>
      <c r="S909" s="6">
        <v>0.14000000000000001</v>
      </c>
      <c r="T909" s="8">
        <v>5</v>
      </c>
      <c r="U909" s="5" t="s">
        <v>994</v>
      </c>
      <c r="V909" s="89">
        <v>0</v>
      </c>
      <c r="W909" s="15">
        <v>17897801314913</v>
      </c>
      <c r="X909" s="6">
        <v>0.255</v>
      </c>
      <c r="Y909" s="6">
        <v>0.25</v>
      </c>
      <c r="Z909" s="6">
        <v>0.32500000000000001</v>
      </c>
      <c r="AA909" s="6">
        <f t="shared" si="51"/>
        <v>2.0718750000000001E-2</v>
      </c>
      <c r="AB909" s="8">
        <v>95</v>
      </c>
      <c r="AC909" s="15">
        <v>27897801314910</v>
      </c>
      <c r="AD909" s="4" t="s">
        <v>992</v>
      </c>
    </row>
    <row r="910" spans="2:30" x14ac:dyDescent="0.35">
      <c r="B910" s="14">
        <v>1569</v>
      </c>
      <c r="C910" s="67" t="s">
        <v>829</v>
      </c>
      <c r="D910" s="4" t="s">
        <v>2373</v>
      </c>
      <c r="E910" s="24" t="s">
        <v>2912</v>
      </c>
      <c r="F910" s="4" t="s">
        <v>85</v>
      </c>
      <c r="G910" s="4" t="s">
        <v>993</v>
      </c>
      <c r="H910" s="6">
        <v>0.1595</v>
      </c>
      <c r="I910" s="8">
        <v>55</v>
      </c>
      <c r="J910" s="8">
        <v>63</v>
      </c>
      <c r="K910" s="8">
        <v>75</v>
      </c>
      <c r="L910" s="8">
        <f t="shared" si="50"/>
        <v>259875</v>
      </c>
      <c r="M910" s="15">
        <v>7897801314923</v>
      </c>
      <c r="N910" s="6" t="s">
        <v>20</v>
      </c>
      <c r="O910" s="6" t="s">
        <v>20</v>
      </c>
      <c r="P910" s="6" t="s">
        <v>20</v>
      </c>
      <c r="Q910" s="6">
        <v>0.16</v>
      </c>
      <c r="R910" s="6">
        <v>5.5E-2</v>
      </c>
      <c r="S910" s="6">
        <v>0.19500000000000001</v>
      </c>
      <c r="T910" s="8">
        <v>5</v>
      </c>
      <c r="U910" s="5" t="s">
        <v>994</v>
      </c>
      <c r="V910" s="89">
        <v>0</v>
      </c>
      <c r="W910" s="15">
        <v>17897801314920</v>
      </c>
      <c r="X910" s="6">
        <v>0.255</v>
      </c>
      <c r="Y910" s="6">
        <v>0.25</v>
      </c>
      <c r="Z910" s="6">
        <v>0.32500000000000001</v>
      </c>
      <c r="AA910" s="6">
        <f t="shared" si="51"/>
        <v>2.0718750000000001E-2</v>
      </c>
      <c r="AB910" s="8">
        <v>65</v>
      </c>
      <c r="AC910" s="15">
        <v>27897801314927</v>
      </c>
      <c r="AD910" s="4" t="s">
        <v>992</v>
      </c>
    </row>
    <row r="911" spans="2:30" x14ac:dyDescent="0.35">
      <c r="B911" s="14">
        <v>1570</v>
      </c>
      <c r="C911" s="67" t="s">
        <v>830</v>
      </c>
      <c r="D911" s="4" t="s">
        <v>2373</v>
      </c>
      <c r="E911" s="24" t="s">
        <v>2912</v>
      </c>
      <c r="F911" s="4" t="s">
        <v>85</v>
      </c>
      <c r="G911" s="4" t="s">
        <v>993</v>
      </c>
      <c r="H911" s="6">
        <v>1.3899999999999999E-2</v>
      </c>
      <c r="I911" s="8">
        <v>28</v>
      </c>
      <c r="J911" s="8">
        <v>40</v>
      </c>
      <c r="K911" s="8">
        <v>40</v>
      </c>
      <c r="L911" s="8">
        <f t="shared" si="50"/>
        <v>44800</v>
      </c>
      <c r="M911" s="15">
        <v>7897801314930</v>
      </c>
      <c r="N911" s="6" t="s">
        <v>20</v>
      </c>
      <c r="O911" s="6" t="s">
        <v>20</v>
      </c>
      <c r="P911" s="6" t="s">
        <v>20</v>
      </c>
      <c r="Q911" s="6">
        <v>0.13</v>
      </c>
      <c r="R911" s="6">
        <v>0.04</v>
      </c>
      <c r="S911" s="6">
        <v>0.13</v>
      </c>
      <c r="T911" s="8">
        <v>10</v>
      </c>
      <c r="U911" s="5" t="s">
        <v>994</v>
      </c>
      <c r="V911" s="89">
        <v>0</v>
      </c>
      <c r="W911" s="15">
        <v>17897801314937</v>
      </c>
      <c r="X911" s="6">
        <v>0.34499999999999997</v>
      </c>
      <c r="Y911" s="6">
        <v>0.255</v>
      </c>
      <c r="Z911" s="6">
        <v>0.375</v>
      </c>
      <c r="AA911" s="6">
        <f t="shared" si="51"/>
        <v>3.2990624999999996E-2</v>
      </c>
      <c r="AB911" s="8">
        <v>540</v>
      </c>
      <c r="AC911" s="15">
        <v>27897801314934</v>
      </c>
      <c r="AD911" s="4" t="s">
        <v>992</v>
      </c>
    </row>
    <row r="912" spans="2:30" x14ac:dyDescent="0.35">
      <c r="B912" s="14">
        <v>1571</v>
      </c>
      <c r="C912" s="67" t="s">
        <v>831</v>
      </c>
      <c r="D912" s="4" t="s">
        <v>2373</v>
      </c>
      <c r="E912" s="24" t="s">
        <v>2912</v>
      </c>
      <c r="F912" s="4" t="s">
        <v>85</v>
      </c>
      <c r="G912" s="4" t="s">
        <v>993</v>
      </c>
      <c r="H912" s="6">
        <v>2.2599999999999999E-2</v>
      </c>
      <c r="I912" s="8">
        <v>47</v>
      </c>
      <c r="J912" s="8">
        <v>47</v>
      </c>
      <c r="K912" s="8">
        <v>33</v>
      </c>
      <c r="L912" s="8">
        <f t="shared" si="50"/>
        <v>72897</v>
      </c>
      <c r="M912" s="15">
        <v>7897801314947</v>
      </c>
      <c r="N912" s="6" t="s">
        <v>20</v>
      </c>
      <c r="O912" s="6" t="s">
        <v>20</v>
      </c>
      <c r="P912" s="6" t="s">
        <v>20</v>
      </c>
      <c r="Q912" s="6">
        <v>0.13500000000000001</v>
      </c>
      <c r="R912" s="6">
        <v>3.5000000000000003E-2</v>
      </c>
      <c r="S912" s="6">
        <v>0.17</v>
      </c>
      <c r="T912" s="8">
        <v>10</v>
      </c>
      <c r="U912" s="5" t="s">
        <v>994</v>
      </c>
      <c r="V912" s="89">
        <v>0</v>
      </c>
      <c r="W912" s="15">
        <v>17897801314944</v>
      </c>
      <c r="X912" s="6">
        <v>0.34499999999999997</v>
      </c>
      <c r="Y912" s="6">
        <v>0.255</v>
      </c>
      <c r="Z912" s="6">
        <v>0.375</v>
      </c>
      <c r="AA912" s="6">
        <f t="shared" si="51"/>
        <v>3.2990624999999996E-2</v>
      </c>
      <c r="AB912" s="8">
        <v>350</v>
      </c>
      <c r="AC912" s="15">
        <v>27897801314941</v>
      </c>
      <c r="AD912" s="4" t="s">
        <v>992</v>
      </c>
    </row>
    <row r="913" spans="2:30" x14ac:dyDescent="0.35">
      <c r="B913" s="14">
        <v>1572</v>
      </c>
      <c r="C913" s="67" t="s">
        <v>832</v>
      </c>
      <c r="D913" s="4" t="s">
        <v>2373</v>
      </c>
      <c r="E913" s="24" t="s">
        <v>2912</v>
      </c>
      <c r="F913" s="4" t="s">
        <v>85</v>
      </c>
      <c r="G913" s="4" t="s">
        <v>993</v>
      </c>
      <c r="H913" s="6">
        <v>4.5699999999999998E-2</v>
      </c>
      <c r="I913" s="8">
        <v>43</v>
      </c>
      <c r="J913" s="8">
        <v>58</v>
      </c>
      <c r="K913" s="8">
        <v>58</v>
      </c>
      <c r="L913" s="8">
        <f t="shared" si="50"/>
        <v>144652</v>
      </c>
      <c r="M913" s="15">
        <v>7897801314954</v>
      </c>
      <c r="N913" s="6" t="s">
        <v>20</v>
      </c>
      <c r="O913" s="6" t="s">
        <v>20</v>
      </c>
      <c r="P913" s="6" t="s">
        <v>20</v>
      </c>
      <c r="Q913" s="6">
        <v>0.17</v>
      </c>
      <c r="R913" s="6">
        <v>0.06</v>
      </c>
      <c r="S913" s="6">
        <v>0.2</v>
      </c>
      <c r="T913" s="8">
        <v>10</v>
      </c>
      <c r="U913" s="5" t="s">
        <v>994</v>
      </c>
      <c r="V913" s="89">
        <v>0</v>
      </c>
      <c r="W913" s="15">
        <v>17897801314951</v>
      </c>
      <c r="X913" s="6">
        <v>0.34499999999999997</v>
      </c>
      <c r="Y913" s="6">
        <v>0.255</v>
      </c>
      <c r="Z913" s="6">
        <v>0.375</v>
      </c>
      <c r="AA913" s="6">
        <f t="shared" si="51"/>
        <v>3.2990624999999996E-2</v>
      </c>
      <c r="AB913" s="8">
        <v>160</v>
      </c>
      <c r="AC913" s="15">
        <v>27897801314958</v>
      </c>
      <c r="AD913" s="4" t="s">
        <v>992</v>
      </c>
    </row>
    <row r="914" spans="2:30" x14ac:dyDescent="0.35">
      <c r="B914" s="14">
        <v>1573</v>
      </c>
      <c r="C914" s="67" t="s">
        <v>833</v>
      </c>
      <c r="D914" s="4" t="s">
        <v>2373</v>
      </c>
      <c r="E914" s="24" t="s">
        <v>2912</v>
      </c>
      <c r="F914" s="4" t="s">
        <v>85</v>
      </c>
      <c r="G914" s="4" t="s">
        <v>993</v>
      </c>
      <c r="H914" s="6">
        <v>8.5699999999999998E-2</v>
      </c>
      <c r="I914" s="8">
        <v>53</v>
      </c>
      <c r="J914" s="8">
        <v>69</v>
      </c>
      <c r="K914" s="8">
        <v>69</v>
      </c>
      <c r="L914" s="8">
        <f t="shared" si="50"/>
        <v>252333</v>
      </c>
      <c r="M914" s="15">
        <v>7897801314961</v>
      </c>
      <c r="N914" s="6" t="s">
        <v>20</v>
      </c>
      <c r="O914" s="6" t="s">
        <v>20</v>
      </c>
      <c r="P914" s="6" t="s">
        <v>20</v>
      </c>
      <c r="Q914" s="6">
        <v>0.16</v>
      </c>
      <c r="R914" s="6">
        <v>5.2999999999999999E-2</v>
      </c>
      <c r="S914" s="6">
        <v>0.2</v>
      </c>
      <c r="T914" s="8">
        <v>5</v>
      </c>
      <c r="U914" s="5" t="s">
        <v>994</v>
      </c>
      <c r="V914" s="89">
        <v>0</v>
      </c>
      <c r="W914" s="15">
        <v>17897801314968</v>
      </c>
      <c r="X914" s="6">
        <v>0.34499999999999997</v>
      </c>
      <c r="Y914" s="6">
        <v>0.255</v>
      </c>
      <c r="Z914" s="6">
        <v>0.375</v>
      </c>
      <c r="AA914" s="6">
        <f t="shared" si="51"/>
        <v>3.2990624999999996E-2</v>
      </c>
      <c r="AB914" s="8">
        <v>100</v>
      </c>
      <c r="AC914" s="15">
        <v>27897801314965</v>
      </c>
      <c r="AD914" s="4" t="s">
        <v>992</v>
      </c>
    </row>
    <row r="915" spans="2:30" x14ac:dyDescent="0.35">
      <c r="B915" s="14">
        <v>1574</v>
      </c>
      <c r="C915" s="67" t="s">
        <v>834</v>
      </c>
      <c r="D915" s="4" t="s">
        <v>2373</v>
      </c>
      <c r="E915" s="24" t="s">
        <v>2912</v>
      </c>
      <c r="F915" s="4" t="s">
        <v>85</v>
      </c>
      <c r="G915" s="4" t="s">
        <v>993</v>
      </c>
      <c r="H915" s="6">
        <v>0.15740000000000001</v>
      </c>
      <c r="I915" s="8">
        <v>68</v>
      </c>
      <c r="J915" s="8">
        <v>88</v>
      </c>
      <c r="K915" s="8">
        <v>88</v>
      </c>
      <c r="L915" s="8">
        <f t="shared" si="50"/>
        <v>526592</v>
      </c>
      <c r="M915" s="15">
        <v>7897801314978</v>
      </c>
      <c r="N915" s="6" t="s">
        <v>20</v>
      </c>
      <c r="O915" s="6" t="s">
        <v>20</v>
      </c>
      <c r="P915" s="6" t="s">
        <v>20</v>
      </c>
      <c r="Q915" s="6">
        <v>0.09</v>
      </c>
      <c r="R915" s="6">
        <v>0.09</v>
      </c>
      <c r="S915" s="6">
        <v>0.14000000000000001</v>
      </c>
      <c r="T915" s="8">
        <v>2</v>
      </c>
      <c r="U915" s="5" t="s">
        <v>994</v>
      </c>
      <c r="V915" s="89">
        <v>0</v>
      </c>
      <c r="W915" s="15">
        <v>17897801314975</v>
      </c>
      <c r="X915" s="6">
        <v>0.34499999999999997</v>
      </c>
      <c r="Y915" s="6">
        <v>0.255</v>
      </c>
      <c r="Z915" s="6">
        <v>0.375</v>
      </c>
      <c r="AA915" s="6">
        <f t="shared" si="51"/>
        <v>3.2990624999999996E-2</v>
      </c>
      <c r="AB915" s="8">
        <v>48</v>
      </c>
      <c r="AC915" s="15">
        <v>27897801314972</v>
      </c>
      <c r="AD915" s="4" t="s">
        <v>992</v>
      </c>
    </row>
    <row r="916" spans="2:30" x14ac:dyDescent="0.35">
      <c r="B916" s="14">
        <v>1575</v>
      </c>
      <c r="C916" s="67" t="s">
        <v>835</v>
      </c>
      <c r="D916" s="4" t="s">
        <v>2373</v>
      </c>
      <c r="E916" s="24" t="s">
        <v>2912</v>
      </c>
      <c r="F916" s="4" t="s">
        <v>85</v>
      </c>
      <c r="G916" s="4" t="s">
        <v>993</v>
      </c>
      <c r="H916" s="6">
        <v>0.29580000000000001</v>
      </c>
      <c r="I916" s="8">
        <v>85</v>
      </c>
      <c r="J916" s="8">
        <v>105</v>
      </c>
      <c r="K916" s="8">
        <v>105</v>
      </c>
      <c r="L916" s="8">
        <f t="shared" si="50"/>
        <v>937125</v>
      </c>
      <c r="M916" s="15">
        <v>7897801314985</v>
      </c>
      <c r="N916" s="6" t="s">
        <v>20</v>
      </c>
      <c r="O916" s="6" t="s">
        <v>20</v>
      </c>
      <c r="P916" s="6" t="s">
        <v>20</v>
      </c>
      <c r="Q916" s="6">
        <v>0.105</v>
      </c>
      <c r="R916" s="6">
        <v>8.5000000000000006E-2</v>
      </c>
      <c r="S916" s="6">
        <v>0.105</v>
      </c>
      <c r="T916" s="8">
        <v>1</v>
      </c>
      <c r="U916" s="5" t="s">
        <v>994</v>
      </c>
      <c r="V916" s="89">
        <v>0</v>
      </c>
      <c r="W916" s="15">
        <v>17897801314982</v>
      </c>
      <c r="X916" s="6">
        <v>0.34499999999999997</v>
      </c>
      <c r="Y916" s="6">
        <v>0.255</v>
      </c>
      <c r="Z916" s="6">
        <v>0.375</v>
      </c>
      <c r="AA916" s="6">
        <f t="shared" si="51"/>
        <v>3.2990624999999996E-2</v>
      </c>
      <c r="AB916" s="8">
        <v>24</v>
      </c>
      <c r="AC916" s="15">
        <v>27897801314989</v>
      </c>
      <c r="AD916" s="4" t="s">
        <v>992</v>
      </c>
    </row>
    <row r="917" spans="2:30" x14ac:dyDescent="0.35">
      <c r="B917" s="14">
        <v>1576</v>
      </c>
      <c r="C917" s="67" t="s">
        <v>836</v>
      </c>
      <c r="D917" s="4" t="s">
        <v>2373</v>
      </c>
      <c r="E917" s="24" t="s">
        <v>2912</v>
      </c>
      <c r="F917" s="4" t="s">
        <v>85</v>
      </c>
      <c r="G917" s="4" t="s">
        <v>993</v>
      </c>
      <c r="H917" s="6">
        <v>0.432</v>
      </c>
      <c r="I917" s="8">
        <v>121</v>
      </c>
      <c r="J917" s="8">
        <v>102</v>
      </c>
      <c r="K917" s="8">
        <v>102</v>
      </c>
      <c r="L917" s="8">
        <f t="shared" si="50"/>
        <v>1258884</v>
      </c>
      <c r="M917" s="15">
        <v>7897801314992</v>
      </c>
      <c r="N917" s="6" t="s">
        <v>20</v>
      </c>
      <c r="O917" s="6" t="s">
        <v>20</v>
      </c>
      <c r="P917" s="6" t="s">
        <v>20</v>
      </c>
      <c r="Q917" s="6">
        <v>0.1</v>
      </c>
      <c r="R917" s="6">
        <v>0.12</v>
      </c>
      <c r="S917" s="6">
        <v>0.12</v>
      </c>
      <c r="T917" s="8">
        <v>1</v>
      </c>
      <c r="U917" s="5" t="s">
        <v>994</v>
      </c>
      <c r="V917" s="89">
        <v>0</v>
      </c>
      <c r="W917" s="15">
        <v>17897801314999</v>
      </c>
      <c r="X917" s="6">
        <v>0.34499999999999997</v>
      </c>
      <c r="Y917" s="6">
        <v>0.255</v>
      </c>
      <c r="Z917" s="6">
        <v>0.375</v>
      </c>
      <c r="AA917" s="6">
        <f t="shared" si="51"/>
        <v>3.2990624999999996E-2</v>
      </c>
      <c r="AB917" s="8">
        <v>18</v>
      </c>
      <c r="AC917" s="15">
        <v>27897801314996</v>
      </c>
      <c r="AD917" s="4" t="s">
        <v>992</v>
      </c>
    </row>
    <row r="918" spans="2:30" x14ac:dyDescent="0.35">
      <c r="B918" s="14">
        <v>1577</v>
      </c>
      <c r="C918" s="67" t="s">
        <v>837</v>
      </c>
      <c r="D918" s="4" t="s">
        <v>2373</v>
      </c>
      <c r="E918" s="24" t="s">
        <v>2912</v>
      </c>
      <c r="F918" s="4" t="s">
        <v>85</v>
      </c>
      <c r="G918" s="4" t="s">
        <v>993</v>
      </c>
      <c r="H918" s="6">
        <v>0.71940000000000004</v>
      </c>
      <c r="I918" s="8">
        <v>123</v>
      </c>
      <c r="J918" s="8">
        <v>142</v>
      </c>
      <c r="K918" s="8">
        <v>142</v>
      </c>
      <c r="L918" s="8">
        <f t="shared" si="50"/>
        <v>2480172</v>
      </c>
      <c r="M918" s="15">
        <v>7897801315005</v>
      </c>
      <c r="N918" s="6" t="s">
        <v>20</v>
      </c>
      <c r="O918" s="6" t="s">
        <v>20</v>
      </c>
      <c r="P918" s="6" t="s">
        <v>20</v>
      </c>
      <c r="Q918" s="6">
        <v>0.14000000000000001</v>
      </c>
      <c r="R918" s="6">
        <v>0.12</v>
      </c>
      <c r="S918" s="6">
        <v>0.14000000000000001</v>
      </c>
      <c r="T918" s="8">
        <v>1</v>
      </c>
      <c r="U918" s="5" t="s">
        <v>994</v>
      </c>
      <c r="V918" s="89">
        <v>0</v>
      </c>
      <c r="W918" s="15">
        <v>17897801315002</v>
      </c>
      <c r="X918" s="6">
        <v>0.34499999999999997</v>
      </c>
      <c r="Y918" s="6">
        <v>0.255</v>
      </c>
      <c r="Z918" s="6">
        <v>0.375</v>
      </c>
      <c r="AA918" s="6">
        <f t="shared" si="51"/>
        <v>3.2990624999999996E-2</v>
      </c>
      <c r="AB918" s="8">
        <v>9</v>
      </c>
      <c r="AC918" s="15">
        <v>27897801315009</v>
      </c>
      <c r="AD918" s="4" t="s">
        <v>992</v>
      </c>
    </row>
    <row r="919" spans="2:30" x14ac:dyDescent="0.35">
      <c r="B919" s="14">
        <v>1578</v>
      </c>
      <c r="C919" s="67" t="s">
        <v>838</v>
      </c>
      <c r="D919" s="4" t="s">
        <v>2373</v>
      </c>
      <c r="E919" s="24" t="s">
        <v>2912</v>
      </c>
      <c r="F919" s="4" t="s">
        <v>85</v>
      </c>
      <c r="G919" s="4" t="s">
        <v>993</v>
      </c>
      <c r="H919" s="6">
        <v>12.285</v>
      </c>
      <c r="I919" s="8">
        <v>170</v>
      </c>
      <c r="J919" s="8">
        <v>170</v>
      </c>
      <c r="K919" s="8">
        <v>148</v>
      </c>
      <c r="L919" s="8">
        <f t="shared" si="50"/>
        <v>4277200</v>
      </c>
      <c r="M919" s="15">
        <v>7897801315012</v>
      </c>
      <c r="N919" s="6" t="s">
        <v>20</v>
      </c>
      <c r="O919" s="6" t="s">
        <v>20</v>
      </c>
      <c r="P919" s="6" t="s">
        <v>20</v>
      </c>
      <c r="Q919" s="6">
        <v>0.17</v>
      </c>
      <c r="R919" s="6">
        <v>0.15</v>
      </c>
      <c r="S919" s="6">
        <v>0.17</v>
      </c>
      <c r="T919" s="8">
        <v>1</v>
      </c>
      <c r="U919" s="5" t="s">
        <v>994</v>
      </c>
      <c r="V919" s="89">
        <v>0</v>
      </c>
      <c r="W919" s="15">
        <v>17897801315019</v>
      </c>
      <c r="X919" s="6">
        <v>0.34499999999999997</v>
      </c>
      <c r="Y919" s="6">
        <v>0.255</v>
      </c>
      <c r="Z919" s="6">
        <v>0.375</v>
      </c>
      <c r="AA919" s="6">
        <f t="shared" si="51"/>
        <v>3.2990624999999996E-2</v>
      </c>
      <c r="AB919" s="8">
        <v>6</v>
      </c>
      <c r="AC919" s="15">
        <v>27897801315016</v>
      </c>
      <c r="AD919" s="4" t="s">
        <v>992</v>
      </c>
    </row>
    <row r="920" spans="2:30" x14ac:dyDescent="0.35">
      <c r="B920" s="14">
        <v>1579</v>
      </c>
      <c r="C920" s="67" t="s">
        <v>839</v>
      </c>
      <c r="D920" s="4" t="s">
        <v>2373</v>
      </c>
      <c r="E920" s="24" t="s">
        <v>2912</v>
      </c>
      <c r="F920" s="4" t="s">
        <v>85</v>
      </c>
      <c r="G920" s="4" t="s">
        <v>993</v>
      </c>
      <c r="H920" s="6">
        <v>5.5100000000000003E-2</v>
      </c>
      <c r="I920" s="8">
        <v>38</v>
      </c>
      <c r="J920" s="8">
        <v>43</v>
      </c>
      <c r="K920" s="8">
        <v>59</v>
      </c>
      <c r="L920" s="8">
        <f t="shared" si="50"/>
        <v>96406</v>
      </c>
      <c r="M920" s="15">
        <v>7897801315029</v>
      </c>
      <c r="N920" s="6" t="s">
        <v>20</v>
      </c>
      <c r="O920" s="6" t="s">
        <v>20</v>
      </c>
      <c r="P920" s="6" t="s">
        <v>20</v>
      </c>
      <c r="Q920" s="6">
        <v>0.15</v>
      </c>
      <c r="R920" s="6">
        <v>4.2999999999999997E-2</v>
      </c>
      <c r="S920" s="6">
        <v>0.16</v>
      </c>
      <c r="T920" s="8">
        <v>10</v>
      </c>
      <c r="U920" s="5" t="s">
        <v>994</v>
      </c>
      <c r="V920" s="89">
        <v>0</v>
      </c>
      <c r="W920" s="15">
        <v>17897801315026</v>
      </c>
      <c r="X920" s="6">
        <v>0.34499999999999997</v>
      </c>
      <c r="Y920" s="6">
        <v>0.255</v>
      </c>
      <c r="Z920" s="6">
        <v>0.375</v>
      </c>
      <c r="AA920" s="6">
        <f t="shared" si="51"/>
        <v>3.2990624999999996E-2</v>
      </c>
      <c r="AB920" s="8">
        <v>280</v>
      </c>
      <c r="AC920" s="15">
        <v>27897801315023</v>
      </c>
      <c r="AD920" s="4" t="s">
        <v>992</v>
      </c>
    </row>
    <row r="921" spans="2:30" x14ac:dyDescent="0.35">
      <c r="B921" s="14">
        <v>1580</v>
      </c>
      <c r="C921" s="67" t="s">
        <v>840</v>
      </c>
      <c r="D921" s="4" t="s">
        <v>2373</v>
      </c>
      <c r="E921" s="24" t="s">
        <v>2912</v>
      </c>
      <c r="F921" s="4" t="s">
        <v>85</v>
      </c>
      <c r="G921" s="4" t="s">
        <v>993</v>
      </c>
      <c r="H921" s="6">
        <v>9.2600000000000002E-2</v>
      </c>
      <c r="I921" s="8">
        <v>46</v>
      </c>
      <c r="J921" s="8">
        <v>70</v>
      </c>
      <c r="K921" s="8">
        <v>52</v>
      </c>
      <c r="L921" s="8">
        <f t="shared" si="50"/>
        <v>167440</v>
      </c>
      <c r="M921" s="15">
        <v>7897801315036</v>
      </c>
      <c r="N921" s="6" t="s">
        <v>20</v>
      </c>
      <c r="O921" s="6" t="s">
        <v>20</v>
      </c>
      <c r="P921" s="6" t="s">
        <v>20</v>
      </c>
      <c r="Q921" s="6">
        <v>0.17</v>
      </c>
      <c r="R921" s="6">
        <v>4.5999999999999999E-2</v>
      </c>
      <c r="S921" s="6">
        <v>0.21</v>
      </c>
      <c r="T921" s="8">
        <v>10</v>
      </c>
      <c r="U921" s="5" t="s">
        <v>994</v>
      </c>
      <c r="V921" s="89">
        <v>0</v>
      </c>
      <c r="W921" s="15">
        <v>17897801315033</v>
      </c>
      <c r="X921" s="6">
        <v>0.34499999999999997</v>
      </c>
      <c r="Y921" s="6">
        <v>0.255</v>
      </c>
      <c r="Z921" s="6">
        <v>0.375</v>
      </c>
      <c r="AA921" s="6">
        <f t="shared" si="51"/>
        <v>3.2990624999999996E-2</v>
      </c>
      <c r="AB921" s="8">
        <v>180</v>
      </c>
      <c r="AC921" s="15">
        <v>27897801315030</v>
      </c>
      <c r="AD921" s="4" t="s">
        <v>992</v>
      </c>
    </row>
    <row r="922" spans="2:30" x14ac:dyDescent="0.35">
      <c r="B922" s="14">
        <v>1581</v>
      </c>
      <c r="C922" s="67" t="s">
        <v>841</v>
      </c>
      <c r="D922" s="4" t="s">
        <v>2373</v>
      </c>
      <c r="E922" s="24" t="s">
        <v>2912</v>
      </c>
      <c r="F922" s="4" t="s">
        <v>85</v>
      </c>
      <c r="G922" s="4" t="s">
        <v>993</v>
      </c>
      <c r="H922" s="6">
        <v>0.11020000000000001</v>
      </c>
      <c r="I922" s="8">
        <v>47</v>
      </c>
      <c r="J922" s="8">
        <v>57</v>
      </c>
      <c r="K922" s="8">
        <v>80</v>
      </c>
      <c r="L922" s="8">
        <f t="shared" si="50"/>
        <v>214320</v>
      </c>
      <c r="M922" s="15">
        <v>7897801315043</v>
      </c>
      <c r="N922" s="6" t="s">
        <v>20</v>
      </c>
      <c r="O922" s="6" t="s">
        <v>20</v>
      </c>
      <c r="P922" s="6" t="s">
        <v>20</v>
      </c>
      <c r="Q922" s="6">
        <v>0.14000000000000001</v>
      </c>
      <c r="R922" s="6">
        <v>4.7E-2</v>
      </c>
      <c r="S922" s="6">
        <v>0.16</v>
      </c>
      <c r="T922" s="8">
        <v>5</v>
      </c>
      <c r="U922" s="5" t="s">
        <v>994</v>
      </c>
      <c r="V922" s="89">
        <v>0</v>
      </c>
      <c r="W922" s="15">
        <v>17897801315040</v>
      </c>
      <c r="X922" s="6">
        <v>0.34499999999999997</v>
      </c>
      <c r="Y922" s="6">
        <v>0.255</v>
      </c>
      <c r="Z922" s="6">
        <v>0.375</v>
      </c>
      <c r="AA922" s="6">
        <f t="shared" si="51"/>
        <v>3.2990624999999996E-2</v>
      </c>
      <c r="AB922" s="8">
        <v>120</v>
      </c>
      <c r="AC922" s="15">
        <v>27897801315047</v>
      </c>
      <c r="AD922" s="4" t="s">
        <v>992</v>
      </c>
    </row>
    <row r="923" spans="2:30" x14ac:dyDescent="0.35">
      <c r="B923" s="14">
        <v>1582</v>
      </c>
      <c r="C923" s="67" t="s">
        <v>842</v>
      </c>
      <c r="D923" s="4" t="s">
        <v>2373</v>
      </c>
      <c r="E923" s="24" t="s">
        <v>2912</v>
      </c>
      <c r="F923" s="4" t="s">
        <v>85</v>
      </c>
      <c r="G923" s="4" t="s">
        <v>993</v>
      </c>
      <c r="H923" s="6">
        <v>0.19259999999999999</v>
      </c>
      <c r="I923" s="8">
        <v>65</v>
      </c>
      <c r="J923" s="8">
        <v>57</v>
      </c>
      <c r="K923" s="8">
        <v>92</v>
      </c>
      <c r="L923" s="8">
        <f t="shared" si="50"/>
        <v>340860</v>
      </c>
      <c r="M923" s="15">
        <v>7897801315050</v>
      </c>
      <c r="N923" s="6" t="s">
        <v>20</v>
      </c>
      <c r="O923" s="6" t="s">
        <v>20</v>
      </c>
      <c r="P923" s="6" t="s">
        <v>20</v>
      </c>
      <c r="Q923" s="6">
        <v>0.17</v>
      </c>
      <c r="R923" s="6">
        <v>5.7000000000000002E-2</v>
      </c>
      <c r="S923" s="6">
        <v>0.15</v>
      </c>
      <c r="T923" s="8">
        <v>5</v>
      </c>
      <c r="U923" s="5" t="s">
        <v>994</v>
      </c>
      <c r="V923" s="89">
        <v>0</v>
      </c>
      <c r="W923" s="15">
        <v>17897801315057</v>
      </c>
      <c r="X923" s="6">
        <v>0.34499999999999997</v>
      </c>
      <c r="Y923" s="6">
        <v>0.255</v>
      </c>
      <c r="Z923" s="6">
        <v>0.375</v>
      </c>
      <c r="AA923" s="6">
        <f t="shared" si="51"/>
        <v>3.2990624999999996E-2</v>
      </c>
      <c r="AB923" s="8">
        <v>85</v>
      </c>
      <c r="AC923" s="15">
        <v>27897801315054</v>
      </c>
      <c r="AD923" s="4" t="s">
        <v>992</v>
      </c>
    </row>
    <row r="924" spans="2:30" x14ac:dyDescent="0.35">
      <c r="B924" s="14">
        <v>1583</v>
      </c>
      <c r="C924" s="67" t="s">
        <v>843</v>
      </c>
      <c r="D924" s="4" t="s">
        <v>2373</v>
      </c>
      <c r="E924" s="24" t="s">
        <v>2912</v>
      </c>
      <c r="F924" s="4" t="s">
        <v>85</v>
      </c>
      <c r="G924" s="4" t="s">
        <v>993</v>
      </c>
      <c r="H924" s="6">
        <v>1.34E-2</v>
      </c>
      <c r="I924" s="8">
        <v>28</v>
      </c>
      <c r="J924" s="8">
        <v>39</v>
      </c>
      <c r="K924" s="8">
        <v>43</v>
      </c>
      <c r="L924" s="8">
        <f t="shared" si="50"/>
        <v>46956</v>
      </c>
      <c r="M924" s="15">
        <v>7897801315067</v>
      </c>
      <c r="N924" s="6" t="s">
        <v>20</v>
      </c>
      <c r="O924" s="6" t="s">
        <v>20</v>
      </c>
      <c r="P924" s="6" t="s">
        <v>20</v>
      </c>
      <c r="Q924" s="6">
        <v>0.12</v>
      </c>
      <c r="R924" s="6">
        <v>3.9E-2</v>
      </c>
      <c r="S924" s="6">
        <v>0.15</v>
      </c>
      <c r="T924" s="8">
        <v>10</v>
      </c>
      <c r="U924" s="5" t="s">
        <v>994</v>
      </c>
      <c r="V924" s="89">
        <v>0</v>
      </c>
      <c r="W924" s="15">
        <v>17897801315064</v>
      </c>
      <c r="X924" s="6">
        <v>0.34499999999999997</v>
      </c>
      <c r="Y924" s="6">
        <v>0.255</v>
      </c>
      <c r="Z924" s="6">
        <v>0.375</v>
      </c>
      <c r="AA924" s="6">
        <f t="shared" si="51"/>
        <v>3.2990624999999996E-2</v>
      </c>
      <c r="AB924" s="8">
        <v>540</v>
      </c>
      <c r="AC924" s="15">
        <v>27897801315061</v>
      </c>
      <c r="AD924" s="4" t="s">
        <v>992</v>
      </c>
    </row>
    <row r="925" spans="2:30" x14ac:dyDescent="0.35">
      <c r="B925" s="14">
        <v>1584</v>
      </c>
      <c r="C925" s="67" t="s">
        <v>844</v>
      </c>
      <c r="D925" s="4" t="s">
        <v>2373</v>
      </c>
      <c r="E925" s="24" t="s">
        <v>2912</v>
      </c>
      <c r="F925" s="4" t="s">
        <v>85</v>
      </c>
      <c r="G925" s="4" t="s">
        <v>993</v>
      </c>
      <c r="H925" s="6">
        <v>2.3599999999999999E-2</v>
      </c>
      <c r="I925" s="8">
        <v>46</v>
      </c>
      <c r="J925" s="8">
        <v>52</v>
      </c>
      <c r="K925" s="8">
        <v>34</v>
      </c>
      <c r="L925" s="8">
        <f t="shared" si="50"/>
        <v>81328</v>
      </c>
      <c r="M925" s="15">
        <v>7897801315074</v>
      </c>
      <c r="N925" s="6" t="s">
        <v>20</v>
      </c>
      <c r="O925" s="6" t="s">
        <v>20</v>
      </c>
      <c r="P925" s="6" t="s">
        <v>20</v>
      </c>
      <c r="Q925" s="6">
        <v>0.14000000000000001</v>
      </c>
      <c r="R925" s="6">
        <v>4.4999999999999998E-2</v>
      </c>
      <c r="S925" s="6">
        <v>0.16</v>
      </c>
      <c r="T925" s="8">
        <v>10</v>
      </c>
      <c r="U925" s="5" t="s">
        <v>994</v>
      </c>
      <c r="V925" s="89">
        <v>0</v>
      </c>
      <c r="W925" s="15">
        <v>17897801315071</v>
      </c>
      <c r="X925" s="6">
        <v>0.34499999999999997</v>
      </c>
      <c r="Y925" s="6">
        <v>0.255</v>
      </c>
      <c r="Z925" s="6">
        <v>0.375</v>
      </c>
      <c r="AA925" s="6">
        <f t="shared" si="51"/>
        <v>3.2990624999999996E-2</v>
      </c>
      <c r="AB925" s="8">
        <v>350</v>
      </c>
      <c r="AC925" s="15">
        <v>27897801315078</v>
      </c>
      <c r="AD925" s="4" t="s">
        <v>992</v>
      </c>
    </row>
    <row r="926" spans="2:30" x14ac:dyDescent="0.35">
      <c r="B926" s="14">
        <v>1585</v>
      </c>
      <c r="C926" s="67" t="s">
        <v>845</v>
      </c>
      <c r="D926" s="4" t="s">
        <v>2373</v>
      </c>
      <c r="E926" s="24" t="s">
        <v>2912</v>
      </c>
      <c r="F926" s="4" t="s">
        <v>85</v>
      </c>
      <c r="G926" s="4" t="s">
        <v>993</v>
      </c>
      <c r="H926" s="6">
        <v>4.7300000000000002E-2</v>
      </c>
      <c r="I926" s="8">
        <v>40</v>
      </c>
      <c r="J926" s="8">
        <v>55</v>
      </c>
      <c r="K926" s="8">
        <v>63</v>
      </c>
      <c r="L926" s="8">
        <f t="shared" si="50"/>
        <v>138600</v>
      </c>
      <c r="M926" s="15">
        <v>7897801315081</v>
      </c>
      <c r="N926" s="6" t="s">
        <v>20</v>
      </c>
      <c r="O926" s="6" t="s">
        <v>20</v>
      </c>
      <c r="P926" s="6" t="s">
        <v>20</v>
      </c>
      <c r="Q926" s="6">
        <v>0.16</v>
      </c>
      <c r="R926" s="6">
        <v>4.4999999999999998E-2</v>
      </c>
      <c r="S926" s="6">
        <v>0.2</v>
      </c>
      <c r="T926" s="8">
        <v>10</v>
      </c>
      <c r="U926" s="5" t="s">
        <v>994</v>
      </c>
      <c r="V926" s="89">
        <v>0</v>
      </c>
      <c r="W926" s="15">
        <v>17897801315088</v>
      </c>
      <c r="X926" s="6">
        <v>0.34499999999999997</v>
      </c>
      <c r="Y926" s="6">
        <v>0.255</v>
      </c>
      <c r="Z926" s="6">
        <v>0.375</v>
      </c>
      <c r="AA926" s="6">
        <f t="shared" si="51"/>
        <v>3.2990624999999996E-2</v>
      </c>
      <c r="AB926" s="8">
        <v>160</v>
      </c>
      <c r="AC926" s="15">
        <v>27897801315085</v>
      </c>
      <c r="AD926" s="4" t="s">
        <v>992</v>
      </c>
    </row>
    <row r="927" spans="2:30" x14ac:dyDescent="0.35">
      <c r="B927" s="14">
        <v>1586</v>
      </c>
      <c r="C927" s="67" t="s">
        <v>846</v>
      </c>
      <c r="D927" s="4" t="s">
        <v>2373</v>
      </c>
      <c r="E927" s="24" t="s">
        <v>2912</v>
      </c>
      <c r="F927" s="4" t="s">
        <v>85</v>
      </c>
      <c r="G927" s="4" t="s">
        <v>993</v>
      </c>
      <c r="H927" s="6">
        <v>1.18E-2</v>
      </c>
      <c r="I927" s="8">
        <v>38</v>
      </c>
      <c r="J927" s="8">
        <v>33</v>
      </c>
      <c r="K927" s="8">
        <v>33</v>
      </c>
      <c r="L927" s="8">
        <f t="shared" si="50"/>
        <v>41382</v>
      </c>
      <c r="M927" s="15">
        <v>7897801315098</v>
      </c>
      <c r="N927" s="6" t="s">
        <v>20</v>
      </c>
      <c r="O927" s="6" t="s">
        <v>20</v>
      </c>
      <c r="P927" s="6" t="s">
        <v>20</v>
      </c>
      <c r="Q927" s="6">
        <v>0.11</v>
      </c>
      <c r="R927" s="6">
        <v>3.3000000000000002E-2</v>
      </c>
      <c r="S927" s="6">
        <v>0.14000000000000001</v>
      </c>
      <c r="T927" s="8">
        <v>10</v>
      </c>
      <c r="U927" s="5" t="s">
        <v>994</v>
      </c>
      <c r="V927" s="89">
        <v>0</v>
      </c>
      <c r="W927" s="15">
        <v>17897801315095</v>
      </c>
      <c r="X927" s="6">
        <v>0.34499999999999997</v>
      </c>
      <c r="Y927" s="6">
        <v>0.255</v>
      </c>
      <c r="Z927" s="6">
        <v>0.375</v>
      </c>
      <c r="AA927" s="6">
        <f t="shared" si="51"/>
        <v>3.2990624999999996E-2</v>
      </c>
      <c r="AB927" s="8">
        <v>600</v>
      </c>
      <c r="AC927" s="15">
        <v>27897801315092</v>
      </c>
      <c r="AD927" s="4" t="s">
        <v>992</v>
      </c>
    </row>
    <row r="928" spans="2:30" x14ac:dyDescent="0.35">
      <c r="B928" s="14">
        <v>1587</v>
      </c>
      <c r="C928" s="67" t="s">
        <v>847</v>
      </c>
      <c r="D928" s="4" t="s">
        <v>2373</v>
      </c>
      <c r="E928" s="24" t="s">
        <v>2912</v>
      </c>
      <c r="F928" s="4" t="s">
        <v>85</v>
      </c>
      <c r="G928" s="4" t="s">
        <v>993</v>
      </c>
      <c r="H928" s="6">
        <v>1.9300000000000001E-2</v>
      </c>
      <c r="I928" s="8">
        <v>40</v>
      </c>
      <c r="J928" s="8">
        <v>43</v>
      </c>
      <c r="K928" s="8">
        <v>43</v>
      </c>
      <c r="L928" s="8">
        <f t="shared" si="50"/>
        <v>73960</v>
      </c>
      <c r="M928" s="15">
        <v>7897801315104</v>
      </c>
      <c r="N928" s="6" t="s">
        <v>20</v>
      </c>
      <c r="O928" s="6" t="s">
        <v>20</v>
      </c>
      <c r="P928" s="6" t="s">
        <v>20</v>
      </c>
      <c r="Q928" s="6">
        <v>0.125</v>
      </c>
      <c r="R928" s="6">
        <v>4.4999999999999998E-2</v>
      </c>
      <c r="S928" s="6">
        <v>0.125</v>
      </c>
      <c r="T928" s="8">
        <v>10</v>
      </c>
      <c r="U928" s="5" t="s">
        <v>994</v>
      </c>
      <c r="V928" s="89">
        <v>0</v>
      </c>
      <c r="W928" s="15">
        <v>17897801315101</v>
      </c>
      <c r="X928" s="6">
        <v>0.34499999999999997</v>
      </c>
      <c r="Y928" s="6">
        <v>0.255</v>
      </c>
      <c r="Z928" s="6">
        <v>0.375</v>
      </c>
      <c r="AA928" s="6">
        <f t="shared" si="51"/>
        <v>3.2990624999999996E-2</v>
      </c>
      <c r="AB928" s="8">
        <v>390</v>
      </c>
      <c r="AC928" s="15">
        <v>27897801315108</v>
      </c>
      <c r="AD928" s="4" t="s">
        <v>992</v>
      </c>
    </row>
    <row r="929" spans="2:30" x14ac:dyDescent="0.35">
      <c r="B929" s="14">
        <v>1588</v>
      </c>
      <c r="C929" s="67" t="s">
        <v>848</v>
      </c>
      <c r="D929" s="4" t="s">
        <v>2373</v>
      </c>
      <c r="E929" s="24" t="s">
        <v>2912</v>
      </c>
      <c r="F929" s="4" t="s">
        <v>85</v>
      </c>
      <c r="G929" s="4" t="s">
        <v>993</v>
      </c>
      <c r="H929" s="6">
        <v>2.06E-2</v>
      </c>
      <c r="I929" s="8">
        <v>41</v>
      </c>
      <c r="J929" s="8">
        <v>43</v>
      </c>
      <c r="K929" s="8">
        <v>43</v>
      </c>
      <c r="L929" s="8">
        <f t="shared" ref="L929:L961" si="52">J929*I929*K929</f>
        <v>75809</v>
      </c>
      <c r="M929" s="15">
        <v>7897801315111</v>
      </c>
      <c r="N929" s="6" t="s">
        <v>20</v>
      </c>
      <c r="O929" s="6" t="s">
        <v>20</v>
      </c>
      <c r="P929" s="6" t="s">
        <v>20</v>
      </c>
      <c r="Q929" s="6">
        <v>0.13</v>
      </c>
      <c r="R929" s="6">
        <v>4.2000000000000003E-2</v>
      </c>
      <c r="S929" s="6">
        <v>0.15</v>
      </c>
      <c r="T929" s="8">
        <v>10</v>
      </c>
      <c r="U929" s="5" t="s">
        <v>994</v>
      </c>
      <c r="V929" s="89">
        <v>0</v>
      </c>
      <c r="W929" s="15">
        <v>17897801315118</v>
      </c>
      <c r="X929" s="6">
        <v>0.34499999999999997</v>
      </c>
      <c r="Y929" s="6">
        <v>0.255</v>
      </c>
      <c r="Z929" s="6">
        <v>0.375</v>
      </c>
      <c r="AA929" s="6">
        <f t="shared" ref="AA929:AA961" si="53">Y929*X929*Z929</f>
        <v>3.2990624999999996E-2</v>
      </c>
      <c r="AB929" s="8">
        <v>390</v>
      </c>
      <c r="AC929" s="15">
        <v>27897801315115</v>
      </c>
      <c r="AD929" s="4" t="s">
        <v>992</v>
      </c>
    </row>
    <row r="930" spans="2:30" x14ac:dyDescent="0.35">
      <c r="B930" s="14">
        <v>1589</v>
      </c>
      <c r="C930" s="67" t="s">
        <v>849</v>
      </c>
      <c r="D930" s="4" t="s">
        <v>2373</v>
      </c>
      <c r="E930" s="24" t="s">
        <v>2912</v>
      </c>
      <c r="F930" s="4" t="s">
        <v>85</v>
      </c>
      <c r="G930" s="4" t="s">
        <v>993</v>
      </c>
      <c r="H930" s="6">
        <v>8.6999999999999994E-3</v>
      </c>
      <c r="I930" s="8">
        <v>35</v>
      </c>
      <c r="J930" s="8">
        <v>27</v>
      </c>
      <c r="K930" s="8">
        <v>27</v>
      </c>
      <c r="L930" s="8">
        <f t="shared" si="52"/>
        <v>25515</v>
      </c>
      <c r="M930" s="15">
        <v>7897801315128</v>
      </c>
      <c r="N930" s="6" t="s">
        <v>20</v>
      </c>
      <c r="O930" s="6" t="s">
        <v>20</v>
      </c>
      <c r="P930" s="6" t="s">
        <v>20</v>
      </c>
      <c r="Q930" s="6">
        <v>0.11</v>
      </c>
      <c r="R930" s="6">
        <v>3.5000000000000003E-2</v>
      </c>
      <c r="S930" s="6">
        <v>0.11</v>
      </c>
      <c r="T930" s="8">
        <v>10</v>
      </c>
      <c r="U930" s="5" t="s">
        <v>994</v>
      </c>
      <c r="V930" s="89">
        <v>0</v>
      </c>
      <c r="W930" s="15">
        <v>17897801315125</v>
      </c>
      <c r="X930" s="6">
        <v>0.34499999999999997</v>
      </c>
      <c r="Y930" s="6">
        <v>0.255</v>
      </c>
      <c r="Z930" s="6">
        <v>0.375</v>
      </c>
      <c r="AA930" s="6">
        <f t="shared" si="53"/>
        <v>3.2990624999999996E-2</v>
      </c>
      <c r="AB930" s="8">
        <v>800</v>
      </c>
      <c r="AC930" s="15">
        <v>27897801315122</v>
      </c>
      <c r="AD930" s="4" t="s">
        <v>992</v>
      </c>
    </row>
    <row r="931" spans="2:30" x14ac:dyDescent="0.35">
      <c r="B931" s="14">
        <v>1590</v>
      </c>
      <c r="C931" s="67" t="s">
        <v>850</v>
      </c>
      <c r="D931" s="4" t="s">
        <v>2373</v>
      </c>
      <c r="E931" s="24" t="s">
        <v>2912</v>
      </c>
      <c r="F931" s="4" t="s">
        <v>85</v>
      </c>
      <c r="G931" s="4" t="s">
        <v>993</v>
      </c>
      <c r="H931" s="6">
        <v>1.37E-2</v>
      </c>
      <c r="I931" s="8">
        <v>33</v>
      </c>
      <c r="J931" s="8">
        <v>33</v>
      </c>
      <c r="K931" s="8">
        <v>37</v>
      </c>
      <c r="L931" s="8">
        <f t="shared" si="52"/>
        <v>40293</v>
      </c>
      <c r="M931" s="15">
        <v>7897801315135</v>
      </c>
      <c r="N931" s="6" t="s">
        <v>20</v>
      </c>
      <c r="O931" s="6" t="s">
        <v>20</v>
      </c>
      <c r="P931" s="6" t="s">
        <v>20</v>
      </c>
      <c r="Q931" s="6">
        <v>0.17</v>
      </c>
      <c r="R931" s="6">
        <v>3.3000000000000002E-2</v>
      </c>
      <c r="S931" s="6">
        <v>0.18</v>
      </c>
      <c r="T931" s="8">
        <v>10</v>
      </c>
      <c r="U931" s="5" t="s">
        <v>994</v>
      </c>
      <c r="V931" s="89">
        <v>0</v>
      </c>
      <c r="W931" s="15">
        <v>17897801315132</v>
      </c>
      <c r="X931" s="6">
        <v>0.34499999999999997</v>
      </c>
      <c r="Y931" s="6">
        <v>0.255</v>
      </c>
      <c r="Z931" s="6">
        <v>0.375</v>
      </c>
      <c r="AA931" s="6">
        <f t="shared" si="53"/>
        <v>3.2990624999999996E-2</v>
      </c>
      <c r="AB931" s="8">
        <v>480</v>
      </c>
      <c r="AC931" s="15">
        <v>27897801315139</v>
      </c>
      <c r="AD931" s="4" t="s">
        <v>992</v>
      </c>
    </row>
    <row r="932" spans="2:30" x14ac:dyDescent="0.35">
      <c r="B932" s="14">
        <v>1591</v>
      </c>
      <c r="C932" s="67" t="s">
        <v>851</v>
      </c>
      <c r="D932" s="4" t="s">
        <v>2373</v>
      </c>
      <c r="E932" s="24" t="s">
        <v>2912</v>
      </c>
      <c r="F932" s="4" t="s">
        <v>85</v>
      </c>
      <c r="G932" s="4" t="s">
        <v>993</v>
      </c>
      <c r="H932" s="6">
        <v>2.4500000000000001E-2</v>
      </c>
      <c r="I932" s="8">
        <v>42</v>
      </c>
      <c r="J932" s="8">
        <v>45</v>
      </c>
      <c r="K932" s="8">
        <v>45</v>
      </c>
      <c r="L932" s="8">
        <f t="shared" si="52"/>
        <v>85050</v>
      </c>
      <c r="M932" s="15">
        <v>7897801315142</v>
      </c>
      <c r="N932" s="6" t="s">
        <v>20</v>
      </c>
      <c r="O932" s="6" t="s">
        <v>20</v>
      </c>
      <c r="P932" s="6" t="s">
        <v>20</v>
      </c>
      <c r="Q932" s="6">
        <v>0.13</v>
      </c>
      <c r="R932" s="6">
        <v>4.4999999999999998E-2</v>
      </c>
      <c r="S932" s="6">
        <v>0.18</v>
      </c>
      <c r="T932" s="8">
        <v>10</v>
      </c>
      <c r="U932" s="5" t="s">
        <v>994</v>
      </c>
      <c r="V932" s="89">
        <v>0</v>
      </c>
      <c r="W932" s="15">
        <v>17897801315149</v>
      </c>
      <c r="X932" s="6">
        <v>0.34499999999999997</v>
      </c>
      <c r="Y932" s="6">
        <v>0.255</v>
      </c>
      <c r="Z932" s="6">
        <v>0.375</v>
      </c>
      <c r="AA932" s="6">
        <f t="shared" si="53"/>
        <v>3.2990624999999996E-2</v>
      </c>
      <c r="AB932" s="8">
        <v>270</v>
      </c>
      <c r="AC932" s="15">
        <v>27897801315146</v>
      </c>
      <c r="AD932" s="4" t="s">
        <v>992</v>
      </c>
    </row>
    <row r="933" spans="2:30" x14ac:dyDescent="0.35">
      <c r="B933" s="14">
        <v>1592</v>
      </c>
      <c r="C933" s="67" t="s">
        <v>852</v>
      </c>
      <c r="D933" s="4" t="s">
        <v>2373</v>
      </c>
      <c r="E933" s="24" t="s">
        <v>2912</v>
      </c>
      <c r="F933" s="4" t="s">
        <v>85</v>
      </c>
      <c r="G933" s="4" t="s">
        <v>993</v>
      </c>
      <c r="H933" s="6">
        <v>4.2900000000000001E-2</v>
      </c>
      <c r="I933" s="8">
        <v>53</v>
      </c>
      <c r="J933" s="8">
        <v>53</v>
      </c>
      <c r="K933" s="8">
        <v>46</v>
      </c>
      <c r="L933" s="8">
        <f t="shared" si="52"/>
        <v>129214</v>
      </c>
      <c r="M933" s="15">
        <v>7897801315159</v>
      </c>
      <c r="N933" s="6" t="s">
        <v>20</v>
      </c>
      <c r="O933" s="6" t="s">
        <v>20</v>
      </c>
      <c r="P933" s="6" t="s">
        <v>20</v>
      </c>
      <c r="Q933" s="6">
        <v>0.1</v>
      </c>
      <c r="R933" s="6">
        <v>5.2999999999999999E-2</v>
      </c>
      <c r="S933" s="6">
        <v>0.16</v>
      </c>
      <c r="T933" s="8">
        <v>5</v>
      </c>
      <c r="U933" s="5" t="s">
        <v>994</v>
      </c>
      <c r="V933" s="89">
        <v>0</v>
      </c>
      <c r="W933" s="15">
        <v>17897801315156</v>
      </c>
      <c r="X933" s="6">
        <v>0.34499999999999997</v>
      </c>
      <c r="Y933" s="6">
        <v>0.255</v>
      </c>
      <c r="Z933" s="6">
        <v>0.375</v>
      </c>
      <c r="AA933" s="6">
        <f t="shared" si="53"/>
        <v>3.2990624999999996E-2</v>
      </c>
      <c r="AB933" s="8">
        <v>170</v>
      </c>
      <c r="AC933" s="15">
        <v>27897801315153</v>
      </c>
      <c r="AD933" s="4" t="s">
        <v>992</v>
      </c>
    </row>
    <row r="934" spans="2:30" x14ac:dyDescent="0.35">
      <c r="B934" s="14">
        <v>1593</v>
      </c>
      <c r="C934" s="67" t="s">
        <v>853</v>
      </c>
      <c r="D934" s="4" t="s">
        <v>2373</v>
      </c>
      <c r="E934" s="24" t="s">
        <v>2912</v>
      </c>
      <c r="F934" s="4" t="s">
        <v>85</v>
      </c>
      <c r="G934" s="4" t="s">
        <v>993</v>
      </c>
      <c r="H934" s="6">
        <v>7.2400000000000006E-2</v>
      </c>
      <c r="I934" s="8">
        <v>53</v>
      </c>
      <c r="J934" s="8">
        <v>68</v>
      </c>
      <c r="K934" s="8">
        <v>68</v>
      </c>
      <c r="L934" s="8">
        <f t="shared" si="52"/>
        <v>245072</v>
      </c>
      <c r="M934" s="15">
        <v>7897801315166</v>
      </c>
      <c r="N934" s="6" t="s">
        <v>20</v>
      </c>
      <c r="O934" s="6" t="s">
        <v>20</v>
      </c>
      <c r="P934" s="6" t="s">
        <v>20</v>
      </c>
      <c r="Q934" s="6">
        <v>7.0000000000000007E-2</v>
      </c>
      <c r="R934" s="6">
        <v>5.5E-2</v>
      </c>
      <c r="S934" s="6">
        <v>0.14000000000000001</v>
      </c>
      <c r="T934" s="8">
        <v>2</v>
      </c>
      <c r="U934" s="5" t="s">
        <v>994</v>
      </c>
      <c r="V934" s="89">
        <v>0</v>
      </c>
      <c r="W934" s="15">
        <v>17897801315163</v>
      </c>
      <c r="X934" s="6">
        <v>0.34499999999999997</v>
      </c>
      <c r="Y934" s="6">
        <v>0.255</v>
      </c>
      <c r="Z934" s="6">
        <v>0.375</v>
      </c>
      <c r="AA934" s="6">
        <f t="shared" si="53"/>
        <v>3.2990624999999996E-2</v>
      </c>
      <c r="AB934" s="8">
        <v>110</v>
      </c>
      <c r="AC934" s="15">
        <v>27897801315160</v>
      </c>
      <c r="AD934" s="4" t="s">
        <v>992</v>
      </c>
    </row>
    <row r="935" spans="2:30" x14ac:dyDescent="0.35">
      <c r="B935" s="14">
        <v>1594</v>
      </c>
      <c r="C935" s="67" t="s">
        <v>854</v>
      </c>
      <c r="D935" s="4" t="s">
        <v>2373</v>
      </c>
      <c r="E935" s="24" t="s">
        <v>2912</v>
      </c>
      <c r="F935" s="4" t="s">
        <v>85</v>
      </c>
      <c r="G935" s="4" t="s">
        <v>993</v>
      </c>
      <c r="H935" s="6">
        <v>0.1341</v>
      </c>
      <c r="I935" s="8">
        <v>60</v>
      </c>
      <c r="J935" s="8">
        <v>85</v>
      </c>
      <c r="K935" s="8">
        <v>85</v>
      </c>
      <c r="L935" s="8">
        <f t="shared" si="52"/>
        <v>433500</v>
      </c>
      <c r="M935" s="15">
        <v>7897801315173</v>
      </c>
      <c r="N935" s="6" t="s">
        <v>20</v>
      </c>
      <c r="O935" s="6" t="s">
        <v>20</v>
      </c>
      <c r="P935" s="6" t="s">
        <v>20</v>
      </c>
      <c r="Q935" s="6">
        <v>8.5000000000000006E-2</v>
      </c>
      <c r="R935" s="6">
        <v>0.06</v>
      </c>
      <c r="S935" s="6">
        <v>8.5000000000000006E-2</v>
      </c>
      <c r="T935" s="8">
        <v>1</v>
      </c>
      <c r="U935" s="5" t="s">
        <v>994</v>
      </c>
      <c r="V935" s="89">
        <v>0</v>
      </c>
      <c r="W935" s="15">
        <v>17897801315170</v>
      </c>
      <c r="X935" s="6">
        <v>0.34499999999999997</v>
      </c>
      <c r="Y935" s="6">
        <v>0.255</v>
      </c>
      <c r="Z935" s="6">
        <v>0.375</v>
      </c>
      <c r="AA935" s="6">
        <f t="shared" si="53"/>
        <v>3.2990624999999996E-2</v>
      </c>
      <c r="AB935" s="8">
        <v>60</v>
      </c>
      <c r="AC935" s="15">
        <v>27897801315177</v>
      </c>
      <c r="AD935" s="4" t="s">
        <v>992</v>
      </c>
    </row>
    <row r="936" spans="2:30" x14ac:dyDescent="0.35">
      <c r="B936" s="14">
        <v>1595</v>
      </c>
      <c r="C936" s="4" t="s">
        <v>855</v>
      </c>
      <c r="D936" s="4" t="s">
        <v>2373</v>
      </c>
      <c r="E936" s="24" t="s">
        <v>2912</v>
      </c>
      <c r="F936" s="4" t="s">
        <v>85</v>
      </c>
      <c r="G936" s="4" t="s">
        <v>993</v>
      </c>
      <c r="H936" s="6">
        <v>0.20799999999999999</v>
      </c>
      <c r="I936" s="8">
        <v>68</v>
      </c>
      <c r="J936" s="8">
        <v>99</v>
      </c>
      <c r="K936" s="8">
        <v>99</v>
      </c>
      <c r="L936" s="8">
        <f t="shared" si="52"/>
        <v>666468</v>
      </c>
      <c r="M936" s="15">
        <v>7897801315180</v>
      </c>
      <c r="N936" s="6" t="s">
        <v>20</v>
      </c>
      <c r="O936" s="6" t="s">
        <v>20</v>
      </c>
      <c r="P936" s="6" t="s">
        <v>20</v>
      </c>
      <c r="Q936" s="6">
        <v>0.1</v>
      </c>
      <c r="R936" s="6">
        <v>7.0000000000000007E-2</v>
      </c>
      <c r="S936" s="6">
        <v>0.1</v>
      </c>
      <c r="T936" s="8">
        <v>1</v>
      </c>
      <c r="U936" s="5" t="s">
        <v>994</v>
      </c>
      <c r="V936" s="89">
        <v>0</v>
      </c>
      <c r="W936" s="15">
        <v>17897801315187</v>
      </c>
      <c r="X936" s="6">
        <v>0.34499999999999997</v>
      </c>
      <c r="Y936" s="6">
        <v>0.255</v>
      </c>
      <c r="Z936" s="6">
        <v>0.375</v>
      </c>
      <c r="AA936" s="6">
        <f t="shared" si="53"/>
        <v>3.2990624999999996E-2</v>
      </c>
      <c r="AB936" s="8">
        <v>34</v>
      </c>
      <c r="AC936" s="15">
        <v>27897801315184</v>
      </c>
      <c r="AD936" s="4" t="s">
        <v>992</v>
      </c>
    </row>
    <row r="937" spans="2:30" x14ac:dyDescent="0.35">
      <c r="B937" s="14">
        <v>1596</v>
      </c>
      <c r="C937" s="4" t="s">
        <v>856</v>
      </c>
      <c r="D937" s="4" t="s">
        <v>2373</v>
      </c>
      <c r="E937" s="24" t="s">
        <v>2912</v>
      </c>
      <c r="F937" s="4" t="s">
        <v>85</v>
      </c>
      <c r="G937" s="4" t="s">
        <v>993</v>
      </c>
      <c r="H937" s="6">
        <v>0.33689999999999998</v>
      </c>
      <c r="I937" s="8">
        <v>78</v>
      </c>
      <c r="J937" s="8">
        <v>120</v>
      </c>
      <c r="K937" s="8">
        <v>120</v>
      </c>
      <c r="L937" s="8">
        <f t="shared" si="52"/>
        <v>1123200</v>
      </c>
      <c r="M937" s="15">
        <v>7897801315197</v>
      </c>
      <c r="N937" s="6" t="s">
        <v>20</v>
      </c>
      <c r="O937" s="6" t="s">
        <v>20</v>
      </c>
      <c r="P937" s="6" t="s">
        <v>20</v>
      </c>
      <c r="Q937" s="6">
        <v>0.12</v>
      </c>
      <c r="R937" s="6">
        <v>7.6999999999999999E-2</v>
      </c>
      <c r="S937" s="6">
        <v>0.12</v>
      </c>
      <c r="T937" s="8">
        <v>1</v>
      </c>
      <c r="U937" s="5" t="s">
        <v>994</v>
      </c>
      <c r="V937" s="89">
        <v>0</v>
      </c>
      <c r="W937" s="15">
        <v>17897801315194</v>
      </c>
      <c r="X937" s="6">
        <v>0.34499999999999997</v>
      </c>
      <c r="Y937" s="6">
        <v>0.255</v>
      </c>
      <c r="Z937" s="6">
        <v>0.375</v>
      </c>
      <c r="AA937" s="6">
        <f t="shared" si="53"/>
        <v>3.2990624999999996E-2</v>
      </c>
      <c r="AB937" s="8">
        <v>25</v>
      </c>
      <c r="AC937" s="15">
        <v>27897801315191</v>
      </c>
      <c r="AD937" s="4" t="s">
        <v>992</v>
      </c>
    </row>
    <row r="938" spans="2:30" x14ac:dyDescent="0.35">
      <c r="B938" s="14">
        <v>1597</v>
      </c>
      <c r="C938" s="4" t="s">
        <v>857</v>
      </c>
      <c r="D938" s="4" t="s">
        <v>2373</v>
      </c>
      <c r="E938" s="24" t="s">
        <v>2912</v>
      </c>
      <c r="F938" s="4" t="s">
        <v>85</v>
      </c>
      <c r="G938" s="4" t="s">
        <v>993</v>
      </c>
      <c r="H938" s="6">
        <v>0.59760000000000002</v>
      </c>
      <c r="I938" s="8">
        <v>37</v>
      </c>
      <c r="J938" s="8">
        <v>25</v>
      </c>
      <c r="K938" s="8">
        <v>34</v>
      </c>
      <c r="L938" s="8">
        <f t="shared" si="52"/>
        <v>31450</v>
      </c>
      <c r="M938" s="15">
        <v>7897801315203</v>
      </c>
      <c r="N938" s="6" t="s">
        <v>20</v>
      </c>
      <c r="O938" s="6" t="s">
        <v>20</v>
      </c>
      <c r="P938" s="6" t="s">
        <v>20</v>
      </c>
      <c r="Q938" s="6">
        <v>0</v>
      </c>
      <c r="R938" s="6">
        <v>0</v>
      </c>
      <c r="S938" s="6">
        <v>0</v>
      </c>
      <c r="T938" s="8">
        <v>1</v>
      </c>
      <c r="U938" s="5" t="s">
        <v>994</v>
      </c>
      <c r="V938" s="89">
        <v>0</v>
      </c>
      <c r="W938" s="15">
        <v>17897801315200</v>
      </c>
      <c r="X938" s="6">
        <v>0.34</v>
      </c>
      <c r="Y938" s="6">
        <v>0.25</v>
      </c>
      <c r="Z938" s="6">
        <v>0.37</v>
      </c>
      <c r="AA938" s="6">
        <f t="shared" si="53"/>
        <v>3.1449999999999999E-2</v>
      </c>
      <c r="AB938" s="8">
        <v>11</v>
      </c>
      <c r="AC938" s="15">
        <v>27897801315207</v>
      </c>
      <c r="AD938" s="4" t="s">
        <v>992</v>
      </c>
    </row>
    <row r="939" spans="2:30" x14ac:dyDescent="0.35">
      <c r="B939" s="14">
        <v>1598</v>
      </c>
      <c r="C939" s="4" t="s">
        <v>858</v>
      </c>
      <c r="D939" s="4" t="s">
        <v>2373</v>
      </c>
      <c r="E939" s="24" t="s">
        <v>2912</v>
      </c>
      <c r="F939" s="4" t="s">
        <v>85</v>
      </c>
      <c r="G939" s="4" t="s">
        <v>993</v>
      </c>
      <c r="H939" s="6">
        <v>3.15E-2</v>
      </c>
      <c r="I939" s="8">
        <v>30</v>
      </c>
      <c r="J939" s="8">
        <v>71</v>
      </c>
      <c r="K939" s="8">
        <v>109</v>
      </c>
      <c r="L939" s="8">
        <f t="shared" si="52"/>
        <v>232170</v>
      </c>
      <c r="M939" s="15">
        <v>7897801315210</v>
      </c>
      <c r="N939" s="6" t="s">
        <v>20</v>
      </c>
      <c r="O939" s="6" t="s">
        <v>20</v>
      </c>
      <c r="P939" s="6" t="s">
        <v>20</v>
      </c>
      <c r="Q939" s="6">
        <v>0.16</v>
      </c>
      <c r="R939" s="6">
        <v>7.0000000000000007E-2</v>
      </c>
      <c r="S939" s="6">
        <v>0.2</v>
      </c>
      <c r="T939" s="8">
        <v>10</v>
      </c>
      <c r="U939" s="5" t="s">
        <v>994</v>
      </c>
      <c r="V939" s="89">
        <v>0</v>
      </c>
      <c r="W939" s="15">
        <v>17897801315217</v>
      </c>
      <c r="X939" s="6">
        <v>0.34499999999999997</v>
      </c>
      <c r="Y939" s="6">
        <v>0.255</v>
      </c>
      <c r="Z939" s="6">
        <v>0.375</v>
      </c>
      <c r="AA939" s="6">
        <f t="shared" si="53"/>
        <v>3.2990624999999996E-2</v>
      </c>
      <c r="AB939" s="8">
        <v>80</v>
      </c>
      <c r="AC939" s="15">
        <v>27897801315214</v>
      </c>
      <c r="AD939" s="4" t="s">
        <v>992</v>
      </c>
    </row>
    <row r="940" spans="2:30" x14ac:dyDescent="0.35">
      <c r="B940" s="14">
        <v>1599</v>
      </c>
      <c r="C940" s="4" t="s">
        <v>859</v>
      </c>
      <c r="D940" s="4" t="s">
        <v>2373</v>
      </c>
      <c r="E940" s="24" t="s">
        <v>2912</v>
      </c>
      <c r="F940" s="4" t="s">
        <v>85</v>
      </c>
      <c r="G940" s="4" t="s">
        <v>993</v>
      </c>
      <c r="H940" s="6">
        <v>4.4600000000000001E-2</v>
      </c>
      <c r="I940" s="8">
        <v>36</v>
      </c>
      <c r="J940" s="8">
        <v>73</v>
      </c>
      <c r="K940" s="8">
        <v>107</v>
      </c>
      <c r="L940" s="8">
        <f t="shared" si="52"/>
        <v>281196</v>
      </c>
      <c r="M940" s="15">
        <v>7897801315227</v>
      </c>
      <c r="N940" s="6" t="s">
        <v>20</v>
      </c>
      <c r="O940" s="6" t="s">
        <v>20</v>
      </c>
      <c r="P940" s="6" t="s">
        <v>20</v>
      </c>
      <c r="Q940" s="6">
        <v>0.2</v>
      </c>
      <c r="R940" s="6">
        <v>0.05</v>
      </c>
      <c r="S940" s="6">
        <v>0.315</v>
      </c>
      <c r="T940" s="8">
        <v>10</v>
      </c>
      <c r="U940" s="5" t="s">
        <v>994</v>
      </c>
      <c r="V940" s="89">
        <v>0</v>
      </c>
      <c r="W940" s="15">
        <v>17897801315224</v>
      </c>
      <c r="X940" s="6">
        <v>0.34499999999999997</v>
      </c>
      <c r="Y940" s="6">
        <v>0.255</v>
      </c>
      <c r="Z940" s="6">
        <v>0.375</v>
      </c>
      <c r="AA940" s="6">
        <f t="shared" si="53"/>
        <v>3.2990624999999996E-2</v>
      </c>
      <c r="AB940" s="8">
        <v>80</v>
      </c>
      <c r="AC940" s="15">
        <v>27897801315221</v>
      </c>
      <c r="AD940" s="4" t="s">
        <v>992</v>
      </c>
    </row>
    <row r="941" spans="2:30" x14ac:dyDescent="0.35">
      <c r="B941" s="14">
        <v>1606</v>
      </c>
      <c r="C941" s="4" t="s">
        <v>860</v>
      </c>
      <c r="D941" s="4" t="s">
        <v>2376</v>
      </c>
      <c r="E941" s="4" t="s">
        <v>2911</v>
      </c>
      <c r="F941" s="4" t="s">
        <v>85</v>
      </c>
      <c r="G941" s="4" t="s">
        <v>993</v>
      </c>
      <c r="H941" s="6">
        <v>2.1999999999999999E-2</v>
      </c>
      <c r="I941" s="8">
        <v>40</v>
      </c>
      <c r="J941" s="8">
        <v>30</v>
      </c>
      <c r="K941" s="8">
        <v>40</v>
      </c>
      <c r="L941" s="8">
        <f t="shared" si="52"/>
        <v>48000</v>
      </c>
      <c r="M941" s="15">
        <v>7897801321280</v>
      </c>
      <c r="N941" s="6" t="s">
        <v>20</v>
      </c>
      <c r="O941" s="6" t="s">
        <v>20</v>
      </c>
      <c r="P941" s="6" t="s">
        <v>20</v>
      </c>
      <c r="Q941" s="6">
        <v>0.19</v>
      </c>
      <c r="R941" s="6">
        <v>0.04</v>
      </c>
      <c r="S941" s="6">
        <v>0.23499999999999999</v>
      </c>
      <c r="T941" s="8">
        <v>16</v>
      </c>
      <c r="U941" s="5" t="s">
        <v>994</v>
      </c>
      <c r="V941" s="89">
        <v>0</v>
      </c>
      <c r="W941" s="15">
        <v>17897801321287</v>
      </c>
      <c r="X941" s="6">
        <v>0.53</v>
      </c>
      <c r="Y941" s="6">
        <v>0.21</v>
      </c>
      <c r="Z941" s="6">
        <v>0.79</v>
      </c>
      <c r="AA941" s="6">
        <f t="shared" si="53"/>
        <v>8.7927000000000005E-2</v>
      </c>
      <c r="AB941" s="8">
        <v>960</v>
      </c>
      <c r="AC941" s="15">
        <v>27897801321284</v>
      </c>
      <c r="AD941" s="4" t="s">
        <v>992</v>
      </c>
    </row>
    <row r="942" spans="2:30" x14ac:dyDescent="0.35">
      <c r="B942" s="14">
        <v>1607</v>
      </c>
      <c r="C942" s="4" t="s">
        <v>861</v>
      </c>
      <c r="D942" s="4" t="s">
        <v>2376</v>
      </c>
      <c r="E942" s="4" t="s">
        <v>2911</v>
      </c>
      <c r="F942" s="4" t="s">
        <v>85</v>
      </c>
      <c r="G942" s="4" t="s">
        <v>993</v>
      </c>
      <c r="H942" s="6">
        <v>1.5299999999999999E-2</v>
      </c>
      <c r="I942" s="8">
        <v>36</v>
      </c>
      <c r="J942" s="8">
        <v>30</v>
      </c>
      <c r="K942" s="8">
        <v>36</v>
      </c>
      <c r="L942" s="8">
        <f t="shared" si="52"/>
        <v>38880</v>
      </c>
      <c r="M942" s="15">
        <v>7897801321297</v>
      </c>
      <c r="N942" s="6" t="s">
        <v>20</v>
      </c>
      <c r="O942" s="6" t="s">
        <v>20</v>
      </c>
      <c r="P942" s="6" t="s">
        <v>20</v>
      </c>
      <c r="Q942" s="6">
        <v>0.16</v>
      </c>
      <c r="R942" s="6">
        <v>3.5000000000000003E-2</v>
      </c>
      <c r="S942" s="6">
        <v>0.2</v>
      </c>
      <c r="T942" s="8">
        <v>24</v>
      </c>
      <c r="U942" s="5" t="s">
        <v>994</v>
      </c>
      <c r="V942" s="89">
        <v>0</v>
      </c>
      <c r="W942" s="15">
        <v>17897801321294</v>
      </c>
      <c r="X942" s="6">
        <v>0.5</v>
      </c>
      <c r="Y942" s="6">
        <v>0.18</v>
      </c>
      <c r="Z942" s="6">
        <v>0.7</v>
      </c>
      <c r="AA942" s="6">
        <f t="shared" si="53"/>
        <v>6.3E-2</v>
      </c>
      <c r="AB942" s="8">
        <v>1320</v>
      </c>
      <c r="AC942" s="15">
        <v>27897801321291</v>
      </c>
      <c r="AD942" s="4" t="s">
        <v>992</v>
      </c>
    </row>
    <row r="943" spans="2:30" x14ac:dyDescent="0.35">
      <c r="B943" s="14">
        <v>1608</v>
      </c>
      <c r="C943" s="4" t="s">
        <v>862</v>
      </c>
      <c r="D943" s="4" t="s">
        <v>2376</v>
      </c>
      <c r="E943" s="4" t="s">
        <v>2911</v>
      </c>
      <c r="F943" s="4" t="s">
        <v>85</v>
      </c>
      <c r="G943" s="4" t="s">
        <v>993</v>
      </c>
      <c r="H943" s="6">
        <v>2.5899999999999999E-2</v>
      </c>
      <c r="I943" s="8">
        <v>30</v>
      </c>
      <c r="J943" s="8">
        <v>50</v>
      </c>
      <c r="K943" s="8">
        <v>40</v>
      </c>
      <c r="L943" s="8">
        <f t="shared" si="52"/>
        <v>60000</v>
      </c>
      <c r="M943" s="15">
        <v>7897801321303</v>
      </c>
      <c r="N943" s="6" t="s">
        <v>20</v>
      </c>
      <c r="O943" s="6" t="s">
        <v>20</v>
      </c>
      <c r="P943" s="6" t="s">
        <v>20</v>
      </c>
      <c r="Q943" s="6">
        <v>0.15</v>
      </c>
      <c r="R943" s="6">
        <v>0.06</v>
      </c>
      <c r="S943" s="6">
        <v>0.2</v>
      </c>
      <c r="T943" s="8">
        <v>16</v>
      </c>
      <c r="U943" s="5" t="s">
        <v>994</v>
      </c>
      <c r="V943" s="89">
        <v>0</v>
      </c>
      <c r="W943" s="15">
        <v>17897801321300</v>
      </c>
      <c r="X943" s="6">
        <v>0.56000000000000005</v>
      </c>
      <c r="Y943" s="6">
        <v>0.215</v>
      </c>
      <c r="Z943" s="6">
        <v>0.65</v>
      </c>
      <c r="AA943" s="6">
        <f t="shared" si="53"/>
        <v>7.826000000000001E-2</v>
      </c>
      <c r="AB943" s="8">
        <v>720</v>
      </c>
      <c r="AC943" s="15">
        <v>27897801321307</v>
      </c>
      <c r="AD943" s="4" t="s">
        <v>992</v>
      </c>
    </row>
    <row r="944" spans="2:30" x14ac:dyDescent="0.35">
      <c r="B944" s="14">
        <v>1609</v>
      </c>
      <c r="C944" s="4" t="s">
        <v>863</v>
      </c>
      <c r="D944" s="4" t="s">
        <v>2371</v>
      </c>
      <c r="E944" s="4" t="s">
        <v>2911</v>
      </c>
      <c r="F944" s="4" t="s">
        <v>85</v>
      </c>
      <c r="G944" s="4" t="s">
        <v>993</v>
      </c>
      <c r="H944" s="6">
        <v>7.9000000000000001E-2</v>
      </c>
      <c r="I944" s="8">
        <v>60</v>
      </c>
      <c r="J944" s="8">
        <v>65</v>
      </c>
      <c r="K944" s="8">
        <v>65</v>
      </c>
      <c r="L944" s="8">
        <f t="shared" si="52"/>
        <v>253500</v>
      </c>
      <c r="M944" s="15">
        <v>7897801303095</v>
      </c>
      <c r="N944" s="6" t="s">
        <v>20</v>
      </c>
      <c r="O944" s="6" t="s">
        <v>20</v>
      </c>
      <c r="P944" s="6" t="s">
        <v>20</v>
      </c>
      <c r="Q944" s="6">
        <v>0.185</v>
      </c>
      <c r="R944" s="6">
        <v>0.06</v>
      </c>
      <c r="S944" s="6">
        <v>0.27</v>
      </c>
      <c r="T944" s="8">
        <v>12</v>
      </c>
      <c r="U944" s="5" t="s">
        <v>994</v>
      </c>
      <c r="V944" s="89">
        <v>0</v>
      </c>
      <c r="W944" s="15">
        <v>17897801303092</v>
      </c>
      <c r="X944" s="6">
        <v>0.51</v>
      </c>
      <c r="Y944" s="6">
        <v>0.16</v>
      </c>
      <c r="Z944" s="6">
        <v>0.75</v>
      </c>
      <c r="AA944" s="6">
        <f t="shared" si="53"/>
        <v>6.1200000000000004E-2</v>
      </c>
      <c r="AB944" s="8">
        <v>240</v>
      </c>
      <c r="AC944" s="15">
        <v>27897801303099</v>
      </c>
      <c r="AD944" s="4" t="s">
        <v>992</v>
      </c>
    </row>
    <row r="945" spans="2:30" x14ac:dyDescent="0.35">
      <c r="B945" s="14">
        <v>1613</v>
      </c>
      <c r="C945" s="4" t="s">
        <v>864</v>
      </c>
      <c r="D945" s="4" t="s">
        <v>2371</v>
      </c>
      <c r="E945" s="4" t="s">
        <v>2911</v>
      </c>
      <c r="F945" s="4" t="s">
        <v>85</v>
      </c>
      <c r="G945" s="4" t="s">
        <v>993</v>
      </c>
      <c r="H945" s="6">
        <v>0.16930000000000001</v>
      </c>
      <c r="I945" s="8">
        <v>95</v>
      </c>
      <c r="J945" s="8">
        <v>70</v>
      </c>
      <c r="K945" s="8">
        <v>70</v>
      </c>
      <c r="L945" s="8">
        <f t="shared" si="52"/>
        <v>465500</v>
      </c>
      <c r="M945" s="15">
        <v>7897801303132</v>
      </c>
      <c r="N945" s="6" t="s">
        <v>20</v>
      </c>
      <c r="O945" s="6" t="s">
        <v>20</v>
      </c>
      <c r="P945" s="6" t="s">
        <v>20</v>
      </c>
      <c r="Q945" s="6">
        <v>0.19500000000000001</v>
      </c>
      <c r="R945" s="6">
        <v>7.0000000000000007E-2</v>
      </c>
      <c r="S945" s="6">
        <v>0.06</v>
      </c>
      <c r="T945" s="8">
        <v>6</v>
      </c>
      <c r="U945" s="5" t="s">
        <v>994</v>
      </c>
      <c r="V945" s="89">
        <v>0</v>
      </c>
      <c r="W945" s="15">
        <v>17897801303139</v>
      </c>
      <c r="X945" s="6">
        <v>0.64</v>
      </c>
      <c r="Y945" s="6">
        <v>0.21</v>
      </c>
      <c r="Z945" s="6">
        <v>0.84</v>
      </c>
      <c r="AA945" s="6">
        <f t="shared" si="53"/>
        <v>0.11289599999999998</v>
      </c>
      <c r="AB945" s="8">
        <v>120</v>
      </c>
      <c r="AC945" s="15">
        <v>27897801303136</v>
      </c>
      <c r="AD945" s="4" t="s">
        <v>992</v>
      </c>
    </row>
    <row r="946" spans="2:30" x14ac:dyDescent="0.35">
      <c r="B946" s="14">
        <v>1615</v>
      </c>
      <c r="C946" s="4" t="s">
        <v>865</v>
      </c>
      <c r="D946" s="4" t="s">
        <v>2376</v>
      </c>
      <c r="E946" s="4" t="s">
        <v>2911</v>
      </c>
      <c r="F946" s="4" t="s">
        <v>85</v>
      </c>
      <c r="G946" s="4" t="s">
        <v>993</v>
      </c>
      <c r="H946" s="6">
        <v>3.09E-2</v>
      </c>
      <c r="I946" s="8">
        <v>30</v>
      </c>
      <c r="J946" s="8">
        <v>30</v>
      </c>
      <c r="K946" s="8">
        <v>40</v>
      </c>
      <c r="L946" s="8">
        <f t="shared" si="52"/>
        <v>36000</v>
      </c>
      <c r="M946" s="15">
        <v>7897801321310</v>
      </c>
      <c r="N946" s="6" t="s">
        <v>20</v>
      </c>
      <c r="O946" s="6" t="s">
        <v>20</v>
      </c>
      <c r="P946" s="6" t="s">
        <v>20</v>
      </c>
      <c r="Q946" s="6">
        <v>0.15</v>
      </c>
      <c r="R946" s="6">
        <v>0.05</v>
      </c>
      <c r="S946" s="6">
        <v>0.2</v>
      </c>
      <c r="T946" s="8">
        <v>16</v>
      </c>
      <c r="U946" s="5" t="s">
        <v>994</v>
      </c>
      <c r="V946" s="89">
        <v>0</v>
      </c>
      <c r="W946" s="15">
        <v>17897801321317</v>
      </c>
      <c r="X946" s="6">
        <v>0.45</v>
      </c>
      <c r="Y946" s="6">
        <v>0.2</v>
      </c>
      <c r="Z946" s="6">
        <v>0.65</v>
      </c>
      <c r="AA946" s="6">
        <f t="shared" si="53"/>
        <v>5.850000000000001E-2</v>
      </c>
      <c r="AB946" s="8">
        <v>720</v>
      </c>
      <c r="AC946" s="15">
        <v>27897801321314</v>
      </c>
      <c r="AD946" s="4" t="s">
        <v>992</v>
      </c>
    </row>
    <row r="947" spans="2:30" x14ac:dyDescent="0.35">
      <c r="B947" s="14">
        <v>1616</v>
      </c>
      <c r="C947" s="4" t="s">
        <v>866</v>
      </c>
      <c r="D947" s="4" t="s">
        <v>2376</v>
      </c>
      <c r="E947" s="4" t="s">
        <v>2911</v>
      </c>
      <c r="F947" s="4" t="s">
        <v>85</v>
      </c>
      <c r="G947" s="4" t="s">
        <v>993</v>
      </c>
      <c r="H947" s="6">
        <v>4.0500000000000001E-2</v>
      </c>
      <c r="I947" s="8">
        <v>50</v>
      </c>
      <c r="J947" s="8">
        <v>30</v>
      </c>
      <c r="K947" s="8">
        <v>50</v>
      </c>
      <c r="L947" s="8">
        <f t="shared" si="52"/>
        <v>75000</v>
      </c>
      <c r="M947" s="15">
        <v>7897801321327</v>
      </c>
      <c r="N947" s="6" t="s">
        <v>20</v>
      </c>
      <c r="O947" s="6" t="s">
        <v>20</v>
      </c>
      <c r="P947" s="6" t="s">
        <v>20</v>
      </c>
      <c r="Q947" s="6">
        <v>0.15</v>
      </c>
      <c r="R947" s="6">
        <v>7.0000000000000007E-2</v>
      </c>
      <c r="S947" s="6">
        <v>0.18</v>
      </c>
      <c r="T947" s="8">
        <v>16</v>
      </c>
      <c r="U947" s="5" t="s">
        <v>994</v>
      </c>
      <c r="V947" s="89">
        <v>0</v>
      </c>
      <c r="W947" s="15">
        <v>17897801321324</v>
      </c>
      <c r="X947" s="6">
        <v>0.45</v>
      </c>
      <c r="Y947" s="6">
        <v>0.2</v>
      </c>
      <c r="Z947" s="6">
        <v>0.7</v>
      </c>
      <c r="AA947" s="6">
        <f t="shared" si="53"/>
        <v>6.3E-2</v>
      </c>
      <c r="AB947" s="8">
        <v>480</v>
      </c>
      <c r="AC947" s="15">
        <v>27897801321321</v>
      </c>
      <c r="AD947" s="4" t="s">
        <v>992</v>
      </c>
    </row>
    <row r="948" spans="2:30" x14ac:dyDescent="0.35">
      <c r="B948" s="14">
        <v>1617</v>
      </c>
      <c r="C948" s="4" t="s">
        <v>867</v>
      </c>
      <c r="D948" s="4" t="s">
        <v>2376</v>
      </c>
      <c r="E948" s="4" t="s">
        <v>2911</v>
      </c>
      <c r="F948" s="4" t="s">
        <v>85</v>
      </c>
      <c r="G948" s="4" t="s">
        <v>993</v>
      </c>
      <c r="H948" s="6">
        <v>3.5299999999999998E-2</v>
      </c>
      <c r="I948" s="8">
        <v>50</v>
      </c>
      <c r="J948" s="8">
        <v>31</v>
      </c>
      <c r="K948" s="8">
        <v>50</v>
      </c>
      <c r="L948" s="8">
        <f t="shared" si="52"/>
        <v>77500</v>
      </c>
      <c r="M948" s="15">
        <v>7897801321334</v>
      </c>
      <c r="N948" s="6" t="s">
        <v>20</v>
      </c>
      <c r="O948" s="6" t="s">
        <v>20</v>
      </c>
      <c r="P948" s="6" t="s">
        <v>20</v>
      </c>
      <c r="Q948" s="6">
        <v>0.25</v>
      </c>
      <c r="R948" s="6">
        <v>0.06</v>
      </c>
      <c r="S948" s="6">
        <v>0.27</v>
      </c>
      <c r="T948" s="8">
        <v>16</v>
      </c>
      <c r="U948" s="5" t="s">
        <v>994</v>
      </c>
      <c r="V948" s="89">
        <v>0</v>
      </c>
      <c r="W948" s="15">
        <v>17897801321331</v>
      </c>
      <c r="X948" s="6">
        <v>0.56999999999999995</v>
      </c>
      <c r="Y948" s="6">
        <v>0.2</v>
      </c>
      <c r="Z948" s="6">
        <v>0.84</v>
      </c>
      <c r="AA948" s="6">
        <f t="shared" si="53"/>
        <v>9.5759999999999984E-2</v>
      </c>
      <c r="AB948" s="8">
        <v>576</v>
      </c>
      <c r="AC948" s="15">
        <v>27897801321338</v>
      </c>
      <c r="AD948" s="4" t="s">
        <v>992</v>
      </c>
    </row>
    <row r="949" spans="2:30" x14ac:dyDescent="0.35">
      <c r="B949" s="14">
        <v>1620</v>
      </c>
      <c r="C949" s="4" t="s">
        <v>868</v>
      </c>
      <c r="D949" s="4" t="s">
        <v>2371</v>
      </c>
      <c r="E949" s="4" t="s">
        <v>2911</v>
      </c>
      <c r="F949" s="4" t="s">
        <v>85</v>
      </c>
      <c r="G949" s="4" t="s">
        <v>993</v>
      </c>
      <c r="H949" s="6">
        <v>1.6799999999999999E-2</v>
      </c>
      <c r="I949" s="8">
        <v>40</v>
      </c>
      <c r="J949" s="8">
        <v>30</v>
      </c>
      <c r="K949" s="8">
        <v>40</v>
      </c>
      <c r="L949" s="8">
        <f t="shared" si="52"/>
        <v>48000</v>
      </c>
      <c r="M949" s="15">
        <v>7897801303163</v>
      </c>
      <c r="N949" s="6" t="s">
        <v>20</v>
      </c>
      <c r="O949" s="6" t="s">
        <v>20</v>
      </c>
      <c r="P949" s="6" t="s">
        <v>20</v>
      </c>
      <c r="Q949" s="6">
        <v>0.18</v>
      </c>
      <c r="R949" s="6">
        <v>0.05</v>
      </c>
      <c r="S949" s="6">
        <v>0.24</v>
      </c>
      <c r="T949" s="8">
        <v>10</v>
      </c>
      <c r="U949" s="5" t="s">
        <v>994</v>
      </c>
      <c r="V949" s="89">
        <v>0</v>
      </c>
      <c r="W949" s="15">
        <v>17897801303160</v>
      </c>
      <c r="X949" s="6">
        <v>0.53</v>
      </c>
      <c r="Y949" s="6">
        <v>0.19</v>
      </c>
      <c r="Z949" s="6">
        <v>0.74</v>
      </c>
      <c r="AA949" s="6">
        <f t="shared" si="53"/>
        <v>7.4518000000000001E-2</v>
      </c>
      <c r="AB949" s="8">
        <v>1000</v>
      </c>
      <c r="AC949" s="15">
        <v>27897801303167</v>
      </c>
      <c r="AD949" s="4" t="s">
        <v>992</v>
      </c>
    </row>
    <row r="950" spans="2:30" x14ac:dyDescent="0.35">
      <c r="B950" s="14">
        <v>1629</v>
      </c>
      <c r="C950" s="4" t="s">
        <v>869</v>
      </c>
      <c r="D950" s="4" t="s">
        <v>2376</v>
      </c>
      <c r="E950" s="4" t="s">
        <v>2911</v>
      </c>
      <c r="F950" s="4" t="s">
        <v>85</v>
      </c>
      <c r="G950" s="4" t="s">
        <v>993</v>
      </c>
      <c r="H950" s="6">
        <v>2.69E-2</v>
      </c>
      <c r="I950" s="8">
        <v>35</v>
      </c>
      <c r="J950" s="8">
        <v>55</v>
      </c>
      <c r="K950" s="8">
        <v>55</v>
      </c>
      <c r="L950" s="8">
        <f t="shared" si="52"/>
        <v>105875</v>
      </c>
      <c r="M950" s="15">
        <v>7897801321358</v>
      </c>
      <c r="N950" s="6" t="s">
        <v>20</v>
      </c>
      <c r="O950" s="6" t="s">
        <v>20</v>
      </c>
      <c r="P950" s="6" t="s">
        <v>20</v>
      </c>
      <c r="Q950" s="6">
        <v>0.155</v>
      </c>
      <c r="R950" s="6">
        <v>5.5E-2</v>
      </c>
      <c r="S950" s="6">
        <v>0.21</v>
      </c>
      <c r="T950" s="8">
        <v>12</v>
      </c>
      <c r="U950" s="5" t="s">
        <v>994</v>
      </c>
      <c r="V950" s="89">
        <v>0</v>
      </c>
      <c r="W950" s="15">
        <v>17897801321355</v>
      </c>
      <c r="X950" s="6">
        <v>0.5</v>
      </c>
      <c r="Y950" s="6">
        <v>0.21</v>
      </c>
      <c r="Z950" s="6">
        <v>0.8</v>
      </c>
      <c r="AA950" s="6">
        <f t="shared" si="53"/>
        <v>8.4000000000000005E-2</v>
      </c>
      <c r="AB950" s="8">
        <v>600</v>
      </c>
      <c r="AC950" s="15">
        <v>27897801321352</v>
      </c>
      <c r="AD950" s="4" t="s">
        <v>992</v>
      </c>
    </row>
    <row r="951" spans="2:30" x14ac:dyDescent="0.35">
      <c r="B951" s="14">
        <v>1641</v>
      </c>
      <c r="C951" s="4" t="s">
        <v>870</v>
      </c>
      <c r="D951" s="4" t="s">
        <v>2376</v>
      </c>
      <c r="E951" s="4" t="s">
        <v>2911</v>
      </c>
      <c r="F951" s="4" t="s">
        <v>85</v>
      </c>
      <c r="G951" s="4" t="s">
        <v>993</v>
      </c>
      <c r="H951" s="6">
        <v>1.2699999999999999E-2</v>
      </c>
      <c r="I951" s="8">
        <v>32</v>
      </c>
      <c r="J951" s="8">
        <v>28</v>
      </c>
      <c r="K951" s="8">
        <v>32</v>
      </c>
      <c r="L951" s="8">
        <f t="shared" si="52"/>
        <v>28672</v>
      </c>
      <c r="M951" s="15">
        <v>7897801321181</v>
      </c>
      <c r="N951" s="6" t="s">
        <v>20</v>
      </c>
      <c r="O951" s="6" t="s">
        <v>20</v>
      </c>
      <c r="P951" s="6" t="s">
        <v>20</v>
      </c>
      <c r="Q951" s="6">
        <v>0.17</v>
      </c>
      <c r="R951" s="6">
        <v>0.04</v>
      </c>
      <c r="S951" s="6">
        <v>0.19</v>
      </c>
      <c r="T951" s="8">
        <v>30</v>
      </c>
      <c r="U951" s="5" t="s">
        <v>994</v>
      </c>
      <c r="V951" s="89">
        <v>0</v>
      </c>
      <c r="W951" s="15">
        <v>17897801321188</v>
      </c>
      <c r="X951" s="6">
        <v>0.53</v>
      </c>
      <c r="Y951" s="6">
        <v>0.14000000000000001</v>
      </c>
      <c r="Z951" s="6">
        <v>0.74</v>
      </c>
      <c r="AA951" s="6">
        <f t="shared" si="53"/>
        <v>5.4908000000000012E-2</v>
      </c>
      <c r="AB951" s="8">
        <v>1500</v>
      </c>
      <c r="AC951" s="15">
        <v>27897801321185</v>
      </c>
      <c r="AD951" s="4" t="s">
        <v>992</v>
      </c>
    </row>
    <row r="952" spans="2:30" x14ac:dyDescent="0.35">
      <c r="B952" s="14">
        <v>1642</v>
      </c>
      <c r="C952" s="4" t="s">
        <v>871</v>
      </c>
      <c r="D952" s="4" t="s">
        <v>2376</v>
      </c>
      <c r="E952" s="4" t="s">
        <v>2911</v>
      </c>
      <c r="F952" s="4" t="s">
        <v>85</v>
      </c>
      <c r="G952" s="4" t="s">
        <v>993</v>
      </c>
      <c r="H952" s="6">
        <v>1.6899999999999998E-2</v>
      </c>
      <c r="I952" s="8">
        <v>36</v>
      </c>
      <c r="J952" s="8">
        <v>23</v>
      </c>
      <c r="K952" s="8">
        <v>36</v>
      </c>
      <c r="L952" s="8">
        <f t="shared" si="52"/>
        <v>29808</v>
      </c>
      <c r="M952" s="15">
        <v>7897801321198</v>
      </c>
      <c r="N952" s="6" t="s">
        <v>20</v>
      </c>
      <c r="O952" s="6" t="s">
        <v>20</v>
      </c>
      <c r="P952" s="6" t="s">
        <v>20</v>
      </c>
      <c r="Q952" s="6">
        <v>0.15</v>
      </c>
      <c r="R952" s="6">
        <v>3.5000000000000003E-2</v>
      </c>
      <c r="S952" s="6">
        <v>0.22</v>
      </c>
      <c r="T952" s="8">
        <v>30</v>
      </c>
      <c r="U952" s="5" t="s">
        <v>994</v>
      </c>
      <c r="V952" s="89">
        <v>0</v>
      </c>
      <c r="W952" s="15">
        <v>17897801321195</v>
      </c>
      <c r="X952" s="6">
        <v>0.45</v>
      </c>
      <c r="Y952" s="6">
        <v>0.2</v>
      </c>
      <c r="Z952" s="6">
        <v>0.74</v>
      </c>
      <c r="AA952" s="6">
        <f t="shared" si="53"/>
        <v>6.6600000000000006E-2</v>
      </c>
      <c r="AB952" s="8">
        <v>1200</v>
      </c>
      <c r="AC952" s="15">
        <v>27897801321192</v>
      </c>
      <c r="AD952" s="4" t="s">
        <v>992</v>
      </c>
    </row>
    <row r="953" spans="2:30" x14ac:dyDescent="0.35">
      <c r="B953" s="14">
        <v>1643</v>
      </c>
      <c r="C953" s="4" t="s">
        <v>872</v>
      </c>
      <c r="D953" s="4" t="s">
        <v>2376</v>
      </c>
      <c r="E953" s="4" t="s">
        <v>2911</v>
      </c>
      <c r="F953" s="4" t="s">
        <v>85</v>
      </c>
      <c r="G953" s="4" t="s">
        <v>993</v>
      </c>
      <c r="H953" s="6">
        <v>3.1300000000000001E-2</v>
      </c>
      <c r="I953" s="8">
        <v>44</v>
      </c>
      <c r="J953" s="8">
        <v>30</v>
      </c>
      <c r="K953" s="8">
        <v>42</v>
      </c>
      <c r="L953" s="8">
        <f t="shared" si="52"/>
        <v>55440</v>
      </c>
      <c r="M953" s="15">
        <v>7897801321204</v>
      </c>
      <c r="N953" s="6" t="s">
        <v>20</v>
      </c>
      <c r="O953" s="6" t="s">
        <v>20</v>
      </c>
      <c r="P953" s="6" t="s">
        <v>20</v>
      </c>
      <c r="Q953" s="6">
        <v>0.17</v>
      </c>
      <c r="R953" s="6">
        <v>4.4999999999999998E-2</v>
      </c>
      <c r="S953" s="6">
        <v>0.22</v>
      </c>
      <c r="T953" s="8">
        <v>15</v>
      </c>
      <c r="U953" s="5" t="s">
        <v>994</v>
      </c>
      <c r="V953" s="89">
        <v>0</v>
      </c>
      <c r="W953" s="15">
        <v>17897801321201</v>
      </c>
      <c r="X953" s="6">
        <v>0.4</v>
      </c>
      <c r="Y953" s="6">
        <v>0.18</v>
      </c>
      <c r="Z953" s="6">
        <v>0.6</v>
      </c>
      <c r="AA953" s="6">
        <f t="shared" si="53"/>
        <v>4.3199999999999995E-2</v>
      </c>
      <c r="AB953" s="8">
        <v>675</v>
      </c>
      <c r="AC953" s="15">
        <v>27897801321208</v>
      </c>
      <c r="AD953" s="4" t="s">
        <v>992</v>
      </c>
    </row>
    <row r="954" spans="2:30" x14ac:dyDescent="0.35">
      <c r="B954" s="14">
        <v>1651</v>
      </c>
      <c r="C954" s="4" t="s">
        <v>873</v>
      </c>
      <c r="D954" s="4" t="s">
        <v>2376</v>
      </c>
      <c r="E954" s="4" t="s">
        <v>2911</v>
      </c>
      <c r="F954" s="4" t="s">
        <v>85</v>
      </c>
      <c r="G954" s="4" t="s">
        <v>993</v>
      </c>
      <c r="H954" s="6">
        <v>3.1800000000000002E-2</v>
      </c>
      <c r="I954" s="8">
        <v>40</v>
      </c>
      <c r="J954" s="8">
        <v>40</v>
      </c>
      <c r="K954" s="8">
        <v>40</v>
      </c>
      <c r="L954" s="8">
        <f t="shared" si="52"/>
        <v>64000</v>
      </c>
      <c r="M954" s="15">
        <v>7897801320979</v>
      </c>
      <c r="N954" s="6" t="s">
        <v>20</v>
      </c>
      <c r="O954" s="6" t="s">
        <v>20</v>
      </c>
      <c r="P954" s="6" t="s">
        <v>20</v>
      </c>
      <c r="Q954" s="6">
        <v>0.17499999999999999</v>
      </c>
      <c r="R954" s="6">
        <v>4.4999999999999998E-2</v>
      </c>
      <c r="S954" s="6">
        <v>0.21</v>
      </c>
      <c r="T954" s="8">
        <v>20</v>
      </c>
      <c r="U954" s="5" t="s">
        <v>994</v>
      </c>
      <c r="V954" s="89">
        <v>0</v>
      </c>
      <c r="W954" s="15">
        <v>17897801320976</v>
      </c>
      <c r="X954" s="6">
        <v>0.48</v>
      </c>
      <c r="Y954" s="6">
        <v>0.15</v>
      </c>
      <c r="Z954" s="6">
        <v>0.74</v>
      </c>
      <c r="AA954" s="6">
        <f t="shared" si="53"/>
        <v>5.3279999999999994E-2</v>
      </c>
      <c r="AB954" s="8">
        <v>700</v>
      </c>
      <c r="AC954" s="15">
        <v>27897801320973</v>
      </c>
      <c r="AD954" s="4" t="s">
        <v>992</v>
      </c>
    </row>
    <row r="955" spans="2:30" x14ac:dyDescent="0.35">
      <c r="B955" s="14">
        <v>1653</v>
      </c>
      <c r="C955" s="4" t="s">
        <v>874</v>
      </c>
      <c r="D955" s="4" t="s">
        <v>2376</v>
      </c>
      <c r="E955" s="4" t="s">
        <v>2911</v>
      </c>
      <c r="F955" s="4" t="s">
        <v>85</v>
      </c>
      <c r="G955" s="4" t="s">
        <v>993</v>
      </c>
      <c r="H955" s="6">
        <v>1.6199999999999999E-2</v>
      </c>
      <c r="I955" s="8">
        <v>30</v>
      </c>
      <c r="J955" s="8">
        <v>33</v>
      </c>
      <c r="K955" s="8">
        <v>33</v>
      </c>
      <c r="L955" s="8">
        <f t="shared" si="52"/>
        <v>32670</v>
      </c>
      <c r="M955" s="15">
        <v>7897801320993</v>
      </c>
      <c r="N955" s="6" t="s">
        <v>20</v>
      </c>
      <c r="O955" s="6" t="s">
        <v>20</v>
      </c>
      <c r="P955" s="6" t="s">
        <v>20</v>
      </c>
      <c r="Q955" s="6">
        <v>0.16500000000000001</v>
      </c>
      <c r="R955" s="6">
        <v>0.06</v>
      </c>
      <c r="S955" s="6">
        <v>0.27</v>
      </c>
      <c r="T955" s="8">
        <v>50</v>
      </c>
      <c r="U955" s="5" t="s">
        <v>994</v>
      </c>
      <c r="V955" s="89">
        <v>0</v>
      </c>
      <c r="W955" s="15">
        <v>17897801320990</v>
      </c>
      <c r="X955" s="6">
        <v>0.5</v>
      </c>
      <c r="Y955" s="6">
        <v>0.15</v>
      </c>
      <c r="Z955" s="6">
        <v>0.68</v>
      </c>
      <c r="AA955" s="6">
        <f t="shared" si="53"/>
        <v>5.1000000000000004E-2</v>
      </c>
      <c r="AB955" s="8">
        <v>1400</v>
      </c>
      <c r="AC955" s="15">
        <v>27897801320997</v>
      </c>
      <c r="AD955" s="4" t="s">
        <v>992</v>
      </c>
    </row>
    <row r="956" spans="2:30" x14ac:dyDescent="0.35">
      <c r="B956" s="73">
        <v>1660</v>
      </c>
      <c r="C956" s="4" t="s">
        <v>2967</v>
      </c>
      <c r="D956" s="4" t="s">
        <v>2968</v>
      </c>
      <c r="E956" s="4" t="s">
        <v>2915</v>
      </c>
      <c r="F956" s="4" t="s">
        <v>85</v>
      </c>
      <c r="G956" s="4" t="s">
        <v>993</v>
      </c>
      <c r="H956" s="6">
        <v>0.45195000000000002</v>
      </c>
      <c r="I956" s="8">
        <v>345</v>
      </c>
      <c r="J956" s="8">
        <v>295</v>
      </c>
      <c r="K956" s="8">
        <v>90</v>
      </c>
      <c r="L956" s="8">
        <v>9159750</v>
      </c>
      <c r="M956" s="15">
        <v>7897801325301</v>
      </c>
      <c r="N956" s="6" t="s">
        <v>20</v>
      </c>
      <c r="O956" s="6" t="s">
        <v>20</v>
      </c>
      <c r="P956" s="6" t="s">
        <v>20</v>
      </c>
      <c r="Q956" s="6">
        <v>0.46500000000000002</v>
      </c>
      <c r="R956" s="6">
        <v>0.29499999999999998</v>
      </c>
      <c r="S956" s="6">
        <v>0.69</v>
      </c>
      <c r="T956" s="8">
        <v>10</v>
      </c>
      <c r="U956" s="5" t="s">
        <v>2332</v>
      </c>
      <c r="V956" s="89">
        <v>0</v>
      </c>
      <c r="W956" s="15">
        <v>17897801325308</v>
      </c>
      <c r="X956" s="6" t="s">
        <v>20</v>
      </c>
      <c r="Y956" s="6" t="s">
        <v>20</v>
      </c>
      <c r="Z956" s="6" t="s">
        <v>20</v>
      </c>
      <c r="AA956" s="6" t="s">
        <v>20</v>
      </c>
      <c r="AB956" s="6" t="s">
        <v>20</v>
      </c>
      <c r="AC956" s="6" t="s">
        <v>20</v>
      </c>
      <c r="AD956" s="4" t="s">
        <v>992</v>
      </c>
    </row>
    <row r="957" spans="2:30" x14ac:dyDescent="0.35">
      <c r="B957" s="14">
        <v>1688</v>
      </c>
      <c r="C957" s="4" t="s">
        <v>875</v>
      </c>
      <c r="D957" s="4" t="s">
        <v>2376</v>
      </c>
      <c r="E957" s="4" t="s">
        <v>2911</v>
      </c>
      <c r="F957" s="4" t="s">
        <v>85</v>
      </c>
      <c r="G957" s="4" t="s">
        <v>993</v>
      </c>
      <c r="H957" s="6">
        <v>1.3100000000000001E-2</v>
      </c>
      <c r="I957" s="8">
        <v>35</v>
      </c>
      <c r="J957" s="8">
        <v>280</v>
      </c>
      <c r="K957" s="8">
        <v>280</v>
      </c>
      <c r="L957" s="8">
        <f t="shared" si="52"/>
        <v>2744000</v>
      </c>
      <c r="M957" s="15">
        <v>7897801320948</v>
      </c>
      <c r="N957" s="6" t="s">
        <v>20</v>
      </c>
      <c r="O957" s="6" t="s">
        <v>20</v>
      </c>
      <c r="P957" s="6" t="s">
        <v>20</v>
      </c>
      <c r="Q957" s="6">
        <v>0.23499999999999999</v>
      </c>
      <c r="R957" s="6">
        <v>3.7999999999999999E-2</v>
      </c>
      <c r="S957" s="6">
        <v>0.255</v>
      </c>
      <c r="T957" s="8">
        <v>50</v>
      </c>
      <c r="U957" s="5" t="s">
        <v>994</v>
      </c>
      <c r="V957" s="89">
        <v>0</v>
      </c>
      <c r="W957" s="15">
        <v>17897801320945</v>
      </c>
      <c r="X957" s="6">
        <v>0.54</v>
      </c>
      <c r="Y957" s="6">
        <v>0.12</v>
      </c>
      <c r="Z957" s="6">
        <v>0.77</v>
      </c>
      <c r="AA957" s="6">
        <f t="shared" si="53"/>
        <v>4.9895999999999996E-2</v>
      </c>
      <c r="AB957" s="8">
        <v>1000</v>
      </c>
      <c r="AC957" s="15">
        <v>27897801320942</v>
      </c>
      <c r="AD957" s="4" t="s">
        <v>992</v>
      </c>
    </row>
    <row r="958" spans="2:30" x14ac:dyDescent="0.35">
      <c r="B958" s="14">
        <v>1689</v>
      </c>
      <c r="C958" s="4" t="s">
        <v>876</v>
      </c>
      <c r="D958" s="4" t="s">
        <v>2376</v>
      </c>
      <c r="E958" s="4" t="s">
        <v>2911</v>
      </c>
      <c r="F958" s="4" t="s">
        <v>85</v>
      </c>
      <c r="G958" s="4" t="s">
        <v>993</v>
      </c>
      <c r="H958" s="6">
        <v>2.52E-2</v>
      </c>
      <c r="I958" s="8">
        <v>36</v>
      </c>
      <c r="J958" s="8">
        <v>34</v>
      </c>
      <c r="K958" s="8">
        <v>34</v>
      </c>
      <c r="L958" s="8">
        <f t="shared" si="52"/>
        <v>41616</v>
      </c>
      <c r="M958" s="15">
        <v>7897801320955</v>
      </c>
      <c r="N958" s="6" t="s">
        <v>20</v>
      </c>
      <c r="O958" s="6" t="s">
        <v>20</v>
      </c>
      <c r="P958" s="6" t="s">
        <v>20</v>
      </c>
      <c r="Q958" s="6">
        <v>0.24</v>
      </c>
      <c r="R958" s="6">
        <v>6.5000000000000002E-2</v>
      </c>
      <c r="S958" s="6">
        <v>0.27</v>
      </c>
      <c r="T958" s="8">
        <v>50</v>
      </c>
      <c r="U958" s="5" t="s">
        <v>994</v>
      </c>
      <c r="V958" s="89">
        <v>0</v>
      </c>
      <c r="W958" s="15">
        <v>17897801320952</v>
      </c>
      <c r="X958" s="6">
        <v>0.52</v>
      </c>
      <c r="Y958" s="6">
        <v>0.14000000000000001</v>
      </c>
      <c r="Z958" s="6">
        <v>0.73</v>
      </c>
      <c r="AA958" s="6">
        <f t="shared" si="53"/>
        <v>5.3144000000000004E-2</v>
      </c>
      <c r="AB958" s="8">
        <v>800</v>
      </c>
      <c r="AC958" s="15">
        <v>27897801320959</v>
      </c>
      <c r="AD958" s="4" t="s">
        <v>992</v>
      </c>
    </row>
    <row r="959" spans="2:30" x14ac:dyDescent="0.35">
      <c r="B959" s="14">
        <v>1704</v>
      </c>
      <c r="C959" s="4" t="s">
        <v>877</v>
      </c>
      <c r="D959" s="4" t="s">
        <v>2376</v>
      </c>
      <c r="E959" s="4" t="s">
        <v>2911</v>
      </c>
      <c r="F959" s="4" t="s">
        <v>85</v>
      </c>
      <c r="G959" s="4" t="s">
        <v>993</v>
      </c>
      <c r="H959" s="6">
        <v>8.8999999999999996E-2</v>
      </c>
      <c r="I959" s="8">
        <v>82</v>
      </c>
      <c r="J959" s="8">
        <v>21</v>
      </c>
      <c r="K959" s="8">
        <v>62</v>
      </c>
      <c r="L959" s="8">
        <f t="shared" si="52"/>
        <v>106764</v>
      </c>
      <c r="M959" s="15">
        <v>7897801303453</v>
      </c>
      <c r="N959" s="6">
        <v>0.21</v>
      </c>
      <c r="O959" s="6">
        <v>0.82</v>
      </c>
      <c r="P959" s="6">
        <v>0.62</v>
      </c>
      <c r="Q959" s="6">
        <v>0.62</v>
      </c>
      <c r="R959" s="6">
        <v>0.21</v>
      </c>
      <c r="S959" s="6">
        <v>0.82</v>
      </c>
      <c r="T959" s="8">
        <v>10</v>
      </c>
      <c r="U959" s="5" t="s">
        <v>994</v>
      </c>
      <c r="V959" s="89">
        <v>0</v>
      </c>
      <c r="W959" s="15">
        <v>17897801303450</v>
      </c>
      <c r="X959" s="6">
        <v>0.62</v>
      </c>
      <c r="Y959" s="6">
        <v>0.21</v>
      </c>
      <c r="Z959" s="6">
        <v>0.82</v>
      </c>
      <c r="AA959" s="6">
        <f t="shared" si="53"/>
        <v>0.10676399999999998</v>
      </c>
      <c r="AB959" s="8">
        <v>200</v>
      </c>
      <c r="AC959" s="15">
        <v>27897801303457</v>
      </c>
      <c r="AD959" s="4" t="s">
        <v>992</v>
      </c>
    </row>
    <row r="960" spans="2:30" x14ac:dyDescent="0.35">
      <c r="B960" s="14">
        <v>1705</v>
      </c>
      <c r="C960" s="4" t="s">
        <v>878</v>
      </c>
      <c r="D960" s="4" t="s">
        <v>2371</v>
      </c>
      <c r="E960" s="4" t="s">
        <v>2911</v>
      </c>
      <c r="F960" s="4" t="s">
        <v>85</v>
      </c>
      <c r="G960" s="4" t="s">
        <v>993</v>
      </c>
      <c r="H960" s="6">
        <v>0.16039999999999999</v>
      </c>
      <c r="I960" s="8">
        <v>115</v>
      </c>
      <c r="J960" s="8">
        <v>65</v>
      </c>
      <c r="K960" s="8">
        <v>90</v>
      </c>
      <c r="L960" s="8">
        <f t="shared" si="52"/>
        <v>672750</v>
      </c>
      <c r="M960" s="15">
        <v>7897801303460</v>
      </c>
      <c r="N960" s="6" t="s">
        <v>20</v>
      </c>
      <c r="O960" s="6" t="s">
        <v>20</v>
      </c>
      <c r="P960" s="6" t="s">
        <v>20</v>
      </c>
      <c r="Q960" s="6">
        <v>0.27</v>
      </c>
      <c r="R960" s="6">
        <v>0.09</v>
      </c>
      <c r="S960" s="6">
        <v>0.48</v>
      </c>
      <c r="T960" s="8">
        <v>10</v>
      </c>
      <c r="U960" s="5" t="s">
        <v>994</v>
      </c>
      <c r="V960" s="89">
        <v>0</v>
      </c>
      <c r="W960" s="15">
        <v>17897801303467</v>
      </c>
      <c r="X960" s="6">
        <v>0.56999999999999995</v>
      </c>
      <c r="Y960" s="6">
        <v>0.24</v>
      </c>
      <c r="Z960" s="6">
        <v>0.83</v>
      </c>
      <c r="AA960" s="6">
        <f t="shared" si="53"/>
        <v>0.11354399999999998</v>
      </c>
      <c r="AB960" s="8">
        <v>100</v>
      </c>
      <c r="AC960" s="15">
        <v>27897801303464</v>
      </c>
      <c r="AD960" s="4" t="s">
        <v>992</v>
      </c>
    </row>
    <row r="961" spans="2:30" x14ac:dyDescent="0.35">
      <c r="B961" s="14">
        <v>1706</v>
      </c>
      <c r="C961" s="4" t="s">
        <v>879</v>
      </c>
      <c r="D961" s="4" t="s">
        <v>2376</v>
      </c>
      <c r="E961" s="4" t="s">
        <v>2911</v>
      </c>
      <c r="F961" s="4" t="s">
        <v>85</v>
      </c>
      <c r="G961" s="4" t="s">
        <v>993</v>
      </c>
      <c r="H961" s="6">
        <v>3.5900000000000001E-2</v>
      </c>
      <c r="I961" s="8">
        <v>55</v>
      </c>
      <c r="J961" s="8">
        <v>30</v>
      </c>
      <c r="K961" s="8">
        <v>45</v>
      </c>
      <c r="L961" s="8">
        <f t="shared" si="52"/>
        <v>74250</v>
      </c>
      <c r="M961" s="15">
        <v>7897801321419</v>
      </c>
      <c r="N961" s="6" t="s">
        <v>20</v>
      </c>
      <c r="O961" s="6" t="s">
        <v>20</v>
      </c>
      <c r="P961" s="6" t="s">
        <v>20</v>
      </c>
      <c r="Q961" s="6">
        <v>0.25</v>
      </c>
      <c r="R961" s="6">
        <v>0.05</v>
      </c>
      <c r="S961" s="6">
        <v>0.25</v>
      </c>
      <c r="T961" s="8">
        <v>20</v>
      </c>
      <c r="U961" s="5" t="s">
        <v>994</v>
      </c>
      <c r="V961" s="89">
        <v>0</v>
      </c>
      <c r="W961" s="15">
        <v>17897801321416</v>
      </c>
      <c r="X961" s="6">
        <v>0.52</v>
      </c>
      <c r="Y961" s="6">
        <v>0.22</v>
      </c>
      <c r="Z961" s="6">
        <v>0.76</v>
      </c>
      <c r="AA961" s="6">
        <f t="shared" si="53"/>
        <v>8.6944000000000007E-2</v>
      </c>
      <c r="AB961" s="8">
        <v>640</v>
      </c>
      <c r="AC961" s="15">
        <v>27897801321413</v>
      </c>
      <c r="AD961" s="4" t="s">
        <v>992</v>
      </c>
    </row>
    <row r="962" spans="2:30" x14ac:dyDescent="0.35">
      <c r="B962" s="14">
        <v>1738</v>
      </c>
      <c r="C962" s="4" t="s">
        <v>880</v>
      </c>
      <c r="D962" s="4" t="s">
        <v>2382</v>
      </c>
      <c r="E962" s="4" t="s">
        <v>2911</v>
      </c>
      <c r="F962" s="4" t="s">
        <v>85</v>
      </c>
      <c r="G962" s="4" t="s">
        <v>993</v>
      </c>
      <c r="H962" s="6">
        <v>9.3700000000000006E-2</v>
      </c>
      <c r="I962" s="8">
        <v>60</v>
      </c>
      <c r="J962" s="8">
        <v>60</v>
      </c>
      <c r="K962" s="8">
        <v>60</v>
      </c>
      <c r="L962" s="8">
        <f t="shared" ref="L962:L993" si="54">J962*I962*K962</f>
        <v>216000</v>
      </c>
      <c r="M962" s="15">
        <v>7897801317283</v>
      </c>
      <c r="N962" s="6" t="s">
        <v>20</v>
      </c>
      <c r="O962" s="6" t="s">
        <v>20</v>
      </c>
      <c r="P962" s="6" t="s">
        <v>20</v>
      </c>
      <c r="Q962" s="6">
        <v>0.21</v>
      </c>
      <c r="R962" s="6">
        <v>0.06</v>
      </c>
      <c r="S962" s="6">
        <v>0.3</v>
      </c>
      <c r="T962" s="8">
        <v>10</v>
      </c>
      <c r="U962" s="5" t="s">
        <v>994</v>
      </c>
      <c r="V962" s="89">
        <v>0</v>
      </c>
      <c r="W962" s="15">
        <v>17897801317280</v>
      </c>
      <c r="X962" s="6">
        <v>0.49</v>
      </c>
      <c r="Y962" s="6">
        <v>0.22</v>
      </c>
      <c r="Z962" s="6">
        <v>0.69</v>
      </c>
      <c r="AA962" s="6">
        <f t="shared" ref="AA962:AA964" si="55">Y962*X962*Z962</f>
        <v>7.438199999999999E-2</v>
      </c>
      <c r="AB962" s="8">
        <v>200</v>
      </c>
      <c r="AC962" s="15">
        <v>27897801317287</v>
      </c>
      <c r="AD962" s="4" t="s">
        <v>992</v>
      </c>
    </row>
    <row r="963" spans="2:30" x14ac:dyDescent="0.35">
      <c r="B963" s="14">
        <v>1741</v>
      </c>
      <c r="C963" s="4" t="s">
        <v>881</v>
      </c>
      <c r="D963" s="4" t="s">
        <v>2383</v>
      </c>
      <c r="E963" s="4" t="s">
        <v>2911</v>
      </c>
      <c r="F963" s="4" t="s">
        <v>19</v>
      </c>
      <c r="G963" s="4" t="s">
        <v>990</v>
      </c>
      <c r="H963" s="6">
        <v>1.452</v>
      </c>
      <c r="I963" s="8">
        <v>21.2</v>
      </c>
      <c r="J963" s="8">
        <v>21.2</v>
      </c>
      <c r="K963" s="8">
        <v>6000</v>
      </c>
      <c r="L963" s="8">
        <f t="shared" si="54"/>
        <v>2696640</v>
      </c>
      <c r="M963" s="15">
        <v>7897801313377</v>
      </c>
      <c r="N963" s="6">
        <v>2.1299999999999999E-2</v>
      </c>
      <c r="O963" s="6">
        <v>6</v>
      </c>
      <c r="P963" s="6">
        <v>2.1299999999999999E-2</v>
      </c>
      <c r="Q963" s="6">
        <v>8.5000000000000006E-2</v>
      </c>
      <c r="R963" s="6">
        <v>0.06</v>
      </c>
      <c r="S963" s="6">
        <v>6.0010000000000003</v>
      </c>
      <c r="T963" s="8">
        <v>10</v>
      </c>
      <c r="U963" s="5" t="s">
        <v>991</v>
      </c>
      <c r="V963" s="89">
        <v>0</v>
      </c>
      <c r="W963" s="15">
        <v>17897801313374</v>
      </c>
      <c r="X963" s="6">
        <v>8.5000000000000006E-2</v>
      </c>
      <c r="Y963" s="6">
        <v>5.6000000000000001E-2</v>
      </c>
      <c r="Z963" s="6">
        <v>6</v>
      </c>
      <c r="AA963" s="6">
        <f t="shared" si="55"/>
        <v>2.8560000000000002E-2</v>
      </c>
      <c r="AB963" s="8">
        <v>0</v>
      </c>
      <c r="AC963" s="15">
        <v>27897801313371</v>
      </c>
      <c r="AD963" s="4" t="s">
        <v>992</v>
      </c>
    </row>
    <row r="964" spans="2:30" x14ac:dyDescent="0.35">
      <c r="B964" s="14">
        <v>1742</v>
      </c>
      <c r="C964" s="4" t="s">
        <v>882</v>
      </c>
      <c r="D964" s="4" t="s">
        <v>2383</v>
      </c>
      <c r="E964" s="4" t="s">
        <v>2911</v>
      </c>
      <c r="F964" s="4" t="s">
        <v>19</v>
      </c>
      <c r="G964" s="4" t="s">
        <v>990</v>
      </c>
      <c r="H964" s="6">
        <v>1.946</v>
      </c>
      <c r="I964" s="8">
        <v>6000</v>
      </c>
      <c r="J964" s="8">
        <v>26.8</v>
      </c>
      <c r="K964" s="8">
        <v>26.8</v>
      </c>
      <c r="L964" s="8">
        <f t="shared" si="54"/>
        <v>4309440</v>
      </c>
      <c r="M964" s="15">
        <v>7897801313384</v>
      </c>
      <c r="N964" s="6">
        <v>2.7E-2</v>
      </c>
      <c r="O964" s="6">
        <v>6</v>
      </c>
      <c r="P964" s="6">
        <v>2.7E-2</v>
      </c>
      <c r="Q964" s="6">
        <v>0.105</v>
      </c>
      <c r="R964" s="6">
        <v>7.4999999999999997E-2</v>
      </c>
      <c r="S964" s="6">
        <v>6</v>
      </c>
      <c r="T964" s="8">
        <v>10</v>
      </c>
      <c r="U964" s="5" t="s">
        <v>991</v>
      </c>
      <c r="V964" s="89">
        <v>0</v>
      </c>
      <c r="W964" s="15">
        <v>17897801313381</v>
      </c>
      <c r="X964" s="6">
        <v>0.11</v>
      </c>
      <c r="Y964" s="6">
        <v>7.4999999999999997E-2</v>
      </c>
      <c r="Z964" s="6">
        <v>6</v>
      </c>
      <c r="AA964" s="6">
        <f t="shared" si="55"/>
        <v>4.9500000000000002E-2</v>
      </c>
      <c r="AB964" s="8">
        <v>0</v>
      </c>
      <c r="AC964" s="15">
        <v>27897801313388</v>
      </c>
      <c r="AD964" s="4" t="s">
        <v>992</v>
      </c>
    </row>
    <row r="965" spans="2:30" x14ac:dyDescent="0.35">
      <c r="B965" s="14">
        <v>1749</v>
      </c>
      <c r="C965" s="4" t="s">
        <v>883</v>
      </c>
      <c r="D965" s="4" t="s">
        <v>2390</v>
      </c>
      <c r="E965" s="4" t="s">
        <v>2911</v>
      </c>
      <c r="F965" s="4" t="s">
        <v>19</v>
      </c>
      <c r="G965" s="4" t="s">
        <v>990</v>
      </c>
      <c r="H965" s="6">
        <v>0.82</v>
      </c>
      <c r="I965" s="8">
        <v>6000</v>
      </c>
      <c r="J965" s="8">
        <v>20</v>
      </c>
      <c r="K965" s="8">
        <v>20</v>
      </c>
      <c r="L965" s="8">
        <f t="shared" si="54"/>
        <v>2400000</v>
      </c>
      <c r="M965" s="15">
        <v>7897801313544</v>
      </c>
      <c r="N965" s="6">
        <v>0.02</v>
      </c>
      <c r="O965" s="6">
        <v>6.0010000000000003</v>
      </c>
      <c r="P965" s="6">
        <v>0.02</v>
      </c>
      <c r="Q965" s="6">
        <v>8.1100000000000005E-2</v>
      </c>
      <c r="R965" s="6">
        <v>7.5499999999999998E-2</v>
      </c>
      <c r="S965" s="6">
        <v>6.0019999999999998</v>
      </c>
      <c r="T965" s="8">
        <v>12</v>
      </c>
      <c r="U965" s="5" t="s">
        <v>991</v>
      </c>
      <c r="V965" s="89">
        <v>0</v>
      </c>
      <c r="W965" s="15">
        <v>17897801313541</v>
      </c>
      <c r="X965" s="6" t="s">
        <v>20</v>
      </c>
      <c r="Y965" s="6" t="s">
        <v>20</v>
      </c>
      <c r="Z965" s="6" t="s">
        <v>20</v>
      </c>
      <c r="AA965" s="6"/>
      <c r="AB965" s="8">
        <v>0</v>
      </c>
      <c r="AC965" s="15">
        <v>27897801313548</v>
      </c>
      <c r="AD965" s="4" t="s">
        <v>992</v>
      </c>
    </row>
    <row r="966" spans="2:30" x14ac:dyDescent="0.35">
      <c r="B966" s="14">
        <v>1750</v>
      </c>
      <c r="C966" s="4" t="s">
        <v>884</v>
      </c>
      <c r="D966" s="4" t="s">
        <v>2390</v>
      </c>
      <c r="E966" s="4" t="s">
        <v>2911</v>
      </c>
      <c r="F966" s="4" t="s">
        <v>19</v>
      </c>
      <c r="G966" s="4" t="s">
        <v>990</v>
      </c>
      <c r="H966" s="6">
        <v>1.1719999999999999</v>
      </c>
      <c r="I966" s="8">
        <v>6000</v>
      </c>
      <c r="J966" s="8">
        <v>25</v>
      </c>
      <c r="K966" s="8">
        <v>25</v>
      </c>
      <c r="L966" s="8">
        <f t="shared" si="54"/>
        <v>3750000</v>
      </c>
      <c r="M966" s="15">
        <v>7897801313551</v>
      </c>
      <c r="N966" s="6">
        <v>2.5000000000000001E-2</v>
      </c>
      <c r="O966" s="6">
        <v>6.0010000000000003</v>
      </c>
      <c r="P966" s="6">
        <v>2.5000000000000001E-2</v>
      </c>
      <c r="Q966" s="6">
        <v>8.1000000000000003E-2</v>
      </c>
      <c r="R966" s="6">
        <v>7.0499999999999993E-2</v>
      </c>
      <c r="S966" s="6">
        <v>6.0019999999999998</v>
      </c>
      <c r="T966" s="8">
        <v>8</v>
      </c>
      <c r="U966" s="5" t="s">
        <v>991</v>
      </c>
      <c r="V966" s="89">
        <v>0</v>
      </c>
      <c r="W966" s="15">
        <v>17897801313558</v>
      </c>
      <c r="X966" s="6" t="s">
        <v>20</v>
      </c>
      <c r="Y966" s="6" t="s">
        <v>20</v>
      </c>
      <c r="Z966" s="6" t="s">
        <v>20</v>
      </c>
      <c r="AA966" s="6"/>
      <c r="AB966" s="8">
        <v>0</v>
      </c>
      <c r="AC966" s="15">
        <v>27897801313555</v>
      </c>
      <c r="AD966" s="4" t="s">
        <v>992</v>
      </c>
    </row>
    <row r="967" spans="2:30" x14ac:dyDescent="0.35">
      <c r="B967" s="14">
        <v>1751</v>
      </c>
      <c r="C967" s="4" t="s">
        <v>885</v>
      </c>
      <c r="D967" s="4" t="s">
        <v>2390</v>
      </c>
      <c r="E967" s="4" t="s">
        <v>2911</v>
      </c>
      <c r="F967" s="4" t="s">
        <v>19</v>
      </c>
      <c r="G967" s="4" t="s">
        <v>990</v>
      </c>
      <c r="H967" s="6">
        <v>1.845</v>
      </c>
      <c r="I967" s="8">
        <v>6000</v>
      </c>
      <c r="J967" s="8">
        <v>32</v>
      </c>
      <c r="K967" s="8">
        <v>32</v>
      </c>
      <c r="L967" s="8">
        <f t="shared" si="54"/>
        <v>6144000</v>
      </c>
      <c r="M967" s="15">
        <v>7897801313568</v>
      </c>
      <c r="N967" s="6">
        <v>3.0200000000000001E-2</v>
      </c>
      <c r="O967" s="6">
        <v>6.0010000000000003</v>
      </c>
      <c r="P967" s="6">
        <v>3.0200000000000001E-2</v>
      </c>
      <c r="Q967" s="6">
        <v>0.129</v>
      </c>
      <c r="R967" s="6">
        <v>8.6499999999999994E-2</v>
      </c>
      <c r="S967" s="6">
        <v>6.0019999999999998</v>
      </c>
      <c r="T967" s="8">
        <v>10</v>
      </c>
      <c r="U967" s="5" t="s">
        <v>991</v>
      </c>
      <c r="V967" s="89">
        <v>0</v>
      </c>
      <c r="W967" s="15">
        <v>17897801313565</v>
      </c>
      <c r="X967" s="6" t="s">
        <v>20</v>
      </c>
      <c r="Y967" s="6" t="s">
        <v>20</v>
      </c>
      <c r="Z967" s="6" t="s">
        <v>20</v>
      </c>
      <c r="AA967" s="6"/>
      <c r="AB967" s="8">
        <v>0</v>
      </c>
      <c r="AC967" s="15">
        <v>27897801313562</v>
      </c>
      <c r="AD967" s="4" t="s">
        <v>992</v>
      </c>
    </row>
    <row r="968" spans="2:30" x14ac:dyDescent="0.35">
      <c r="B968" s="14">
        <v>1752</v>
      </c>
      <c r="C968" s="4" t="s">
        <v>886</v>
      </c>
      <c r="D968" s="4" t="s">
        <v>2390</v>
      </c>
      <c r="E968" s="4" t="s">
        <v>2911</v>
      </c>
      <c r="F968" s="4" t="s">
        <v>19</v>
      </c>
      <c r="G968" s="4" t="s">
        <v>990</v>
      </c>
      <c r="H968" s="6">
        <v>2.645</v>
      </c>
      <c r="I968" s="8">
        <v>6000</v>
      </c>
      <c r="J968" s="8">
        <v>40</v>
      </c>
      <c r="K968" s="8">
        <v>40</v>
      </c>
      <c r="L968" s="8">
        <f t="shared" si="54"/>
        <v>9600000</v>
      </c>
      <c r="M968" s="15">
        <v>7897801313575</v>
      </c>
      <c r="N968" s="6">
        <v>4.2000000000000003E-2</v>
      </c>
      <c r="O968" s="6">
        <v>6.0010000000000003</v>
      </c>
      <c r="P968" s="6">
        <v>4.02E-2</v>
      </c>
      <c r="Q968" s="6">
        <v>0.1203</v>
      </c>
      <c r="R968" s="6">
        <v>7.5999999999999998E-2</v>
      </c>
      <c r="S968" s="6">
        <v>6.0019999999999998</v>
      </c>
      <c r="T968" s="8">
        <v>5</v>
      </c>
      <c r="U968" s="5" t="s">
        <v>991</v>
      </c>
      <c r="V968" s="89">
        <v>0</v>
      </c>
      <c r="W968" s="15">
        <v>17897801313572</v>
      </c>
      <c r="X968" s="6" t="s">
        <v>20</v>
      </c>
      <c r="Y968" s="6" t="s">
        <v>20</v>
      </c>
      <c r="Z968" s="6" t="s">
        <v>20</v>
      </c>
      <c r="AA968" s="6"/>
      <c r="AB968" s="8">
        <v>0</v>
      </c>
      <c r="AC968" s="15">
        <v>27897801313579</v>
      </c>
      <c r="AD968" s="4" t="s">
        <v>992</v>
      </c>
    </row>
    <row r="969" spans="2:30" x14ac:dyDescent="0.35">
      <c r="B969" s="14">
        <v>1753</v>
      </c>
      <c r="C969" s="4" t="s">
        <v>887</v>
      </c>
      <c r="D969" s="4" t="s">
        <v>2390</v>
      </c>
      <c r="E969" s="4" t="s">
        <v>2911</v>
      </c>
      <c r="F969" s="4" t="s">
        <v>19</v>
      </c>
      <c r="G969" s="4" t="s">
        <v>990</v>
      </c>
      <c r="H969" s="6">
        <v>4.1219999999999999</v>
      </c>
      <c r="I969" s="8">
        <v>6000</v>
      </c>
      <c r="J969" s="8">
        <v>50</v>
      </c>
      <c r="K969" s="8">
        <v>50</v>
      </c>
      <c r="L969" s="8">
        <f t="shared" si="54"/>
        <v>15000000</v>
      </c>
      <c r="M969" s="15">
        <v>7897801313582</v>
      </c>
      <c r="N969" s="6">
        <v>5.0200000000000002E-2</v>
      </c>
      <c r="O969" s="6">
        <v>6.0010000000000003</v>
      </c>
      <c r="P969" s="6">
        <v>5.0200000000000002E-2</v>
      </c>
      <c r="Q969" s="6">
        <v>0.151</v>
      </c>
      <c r="R969" s="6">
        <v>9.1999999999999998E-2</v>
      </c>
      <c r="S969" s="6">
        <v>6.0019999999999998</v>
      </c>
      <c r="T969" s="8">
        <v>5</v>
      </c>
      <c r="U969" s="5" t="s">
        <v>991</v>
      </c>
      <c r="V969" s="89">
        <v>0</v>
      </c>
      <c r="W969" s="15">
        <v>17897801313589</v>
      </c>
      <c r="X969" s="6" t="s">
        <v>20</v>
      </c>
      <c r="Y969" s="6" t="s">
        <v>20</v>
      </c>
      <c r="Z969" s="6" t="s">
        <v>20</v>
      </c>
      <c r="AA969" s="6"/>
      <c r="AB969" s="8">
        <v>0</v>
      </c>
      <c r="AC969" s="15">
        <v>27897801313586</v>
      </c>
      <c r="AD969" s="4" t="s">
        <v>992</v>
      </c>
    </row>
    <row r="970" spans="2:30" x14ac:dyDescent="0.35">
      <c r="B970" s="14">
        <v>1754</v>
      </c>
      <c r="C970" s="4" t="s">
        <v>888</v>
      </c>
      <c r="D970" s="4" t="s">
        <v>2390</v>
      </c>
      <c r="E970" s="4" t="s">
        <v>2911</v>
      </c>
      <c r="F970" s="4" t="s">
        <v>19</v>
      </c>
      <c r="G970" s="4" t="s">
        <v>990</v>
      </c>
      <c r="H970" s="6">
        <v>54.112000000000002</v>
      </c>
      <c r="I970" s="8">
        <v>6000.01</v>
      </c>
      <c r="J970" s="8">
        <v>60.2</v>
      </c>
      <c r="K970" s="8">
        <v>60.2</v>
      </c>
      <c r="L970" s="8">
        <f t="shared" si="54"/>
        <v>21744276.240400001</v>
      </c>
      <c r="M970" s="15">
        <v>7897801313537</v>
      </c>
      <c r="N970" s="6">
        <v>6.0199999999999997E-2</v>
      </c>
      <c r="O970" s="6">
        <v>6.0010000000000003</v>
      </c>
      <c r="P970" s="6">
        <v>6.0199999999999997E-2</v>
      </c>
      <c r="Q970" s="6">
        <v>0.11169999999999999</v>
      </c>
      <c r="R970" s="6">
        <v>0.1207</v>
      </c>
      <c r="S970" s="6">
        <v>6.0019999999999998</v>
      </c>
      <c r="T970" s="8">
        <v>3</v>
      </c>
      <c r="U970" s="5" t="s">
        <v>991</v>
      </c>
      <c r="V970" s="89">
        <v>0</v>
      </c>
      <c r="W970" s="15">
        <v>17897801313534</v>
      </c>
      <c r="X970" s="6" t="s">
        <v>20</v>
      </c>
      <c r="Y970" s="6" t="s">
        <v>20</v>
      </c>
      <c r="Z970" s="6" t="s">
        <v>20</v>
      </c>
      <c r="AA970" s="6"/>
      <c r="AB970" s="8">
        <v>0</v>
      </c>
      <c r="AC970" s="15">
        <v>27897801313531</v>
      </c>
      <c r="AD970" s="4" t="s">
        <v>992</v>
      </c>
    </row>
    <row r="971" spans="2:30" x14ac:dyDescent="0.35">
      <c r="B971" s="14">
        <v>1758</v>
      </c>
      <c r="C971" s="4" t="s">
        <v>889</v>
      </c>
      <c r="D971" s="4" t="s">
        <v>2379</v>
      </c>
      <c r="E971" s="4" t="s">
        <v>2913</v>
      </c>
      <c r="F971" s="4" t="s">
        <v>19</v>
      </c>
      <c r="G971" s="4" t="s">
        <v>990</v>
      </c>
      <c r="H971" s="6">
        <v>1.415</v>
      </c>
      <c r="I971" s="8">
        <v>6000</v>
      </c>
      <c r="J971" s="8">
        <v>40</v>
      </c>
      <c r="K971" s="8">
        <v>40</v>
      </c>
      <c r="L971" s="8">
        <f t="shared" si="54"/>
        <v>9600000</v>
      </c>
      <c r="M971" s="15">
        <v>7897801313599</v>
      </c>
      <c r="N971" s="6">
        <v>4.02E-2</v>
      </c>
      <c r="O971" s="6">
        <v>6.0010000000000003</v>
      </c>
      <c r="P971" s="6">
        <v>4.02E-2</v>
      </c>
      <c r="Q971" s="6">
        <v>0.16220000000000001</v>
      </c>
      <c r="R971" s="6">
        <v>0.11131000000000001</v>
      </c>
      <c r="S971" s="6">
        <v>6.0019999999999998</v>
      </c>
      <c r="T971" s="8">
        <v>10</v>
      </c>
      <c r="U971" s="5" t="s">
        <v>991</v>
      </c>
      <c r="V971" s="89">
        <v>0</v>
      </c>
      <c r="W971" s="15">
        <v>17897801313596</v>
      </c>
      <c r="X971" s="6" t="s">
        <v>20</v>
      </c>
      <c r="Y971" s="6" t="s">
        <v>20</v>
      </c>
      <c r="Z971" s="6" t="s">
        <v>20</v>
      </c>
      <c r="AA971" s="6"/>
      <c r="AB971" s="8">
        <v>0</v>
      </c>
      <c r="AC971" s="15">
        <v>27897801313593</v>
      </c>
      <c r="AD971" s="4" t="s">
        <v>992</v>
      </c>
    </row>
    <row r="972" spans="2:30" x14ac:dyDescent="0.35">
      <c r="B972" s="14">
        <v>1759</v>
      </c>
      <c r="C972" s="4" t="s">
        <v>890</v>
      </c>
      <c r="D972" s="4" t="s">
        <v>2379</v>
      </c>
      <c r="E972" s="4" t="s">
        <v>2913</v>
      </c>
      <c r="F972" s="4" t="s">
        <v>19</v>
      </c>
      <c r="G972" s="4" t="s">
        <v>990</v>
      </c>
      <c r="H972" s="6">
        <v>2.3450000000000002</v>
      </c>
      <c r="I972" s="8">
        <v>6000.01</v>
      </c>
      <c r="J972" s="8">
        <v>50.1</v>
      </c>
      <c r="K972" s="8">
        <v>50.1</v>
      </c>
      <c r="L972" s="8">
        <f t="shared" si="54"/>
        <v>15060085.100100003</v>
      </c>
      <c r="M972" s="15">
        <v>7897801313605</v>
      </c>
      <c r="N972" s="6">
        <v>5.0999999999999997E-2</v>
      </c>
      <c r="O972" s="6">
        <v>6.0010000000000003</v>
      </c>
      <c r="P972" s="6">
        <v>5.0999999999999997E-2</v>
      </c>
      <c r="Q972" s="6">
        <v>0.20499999999999999</v>
      </c>
      <c r="R972" s="6">
        <v>0.14000000000000001</v>
      </c>
      <c r="S972" s="6">
        <v>6.0019999999999998</v>
      </c>
      <c r="T972" s="8">
        <v>10</v>
      </c>
      <c r="U972" s="5" t="s">
        <v>991</v>
      </c>
      <c r="V972" s="89">
        <v>0</v>
      </c>
      <c r="W972" s="15">
        <v>17897801313602</v>
      </c>
      <c r="X972" s="6" t="s">
        <v>20</v>
      </c>
      <c r="Y972" s="6" t="s">
        <v>20</v>
      </c>
      <c r="Z972" s="6" t="s">
        <v>20</v>
      </c>
      <c r="AA972" s="6"/>
      <c r="AB972" s="8">
        <v>0</v>
      </c>
      <c r="AC972" s="15">
        <v>27897801313609</v>
      </c>
      <c r="AD972" s="4" t="s">
        <v>992</v>
      </c>
    </row>
    <row r="973" spans="2:30" x14ac:dyDescent="0.35">
      <c r="B973" s="14">
        <v>1761</v>
      </c>
      <c r="C973" s="4" t="s">
        <v>891</v>
      </c>
      <c r="D973" s="4" t="s">
        <v>2379</v>
      </c>
      <c r="E973" s="4" t="s">
        <v>2913</v>
      </c>
      <c r="F973" s="4" t="s">
        <v>19</v>
      </c>
      <c r="G973" s="4" t="s">
        <v>990</v>
      </c>
      <c r="H973" s="6">
        <v>5.3170000000000002</v>
      </c>
      <c r="I973" s="8">
        <v>6000.01</v>
      </c>
      <c r="J973" s="8">
        <v>100.2</v>
      </c>
      <c r="K973" s="8">
        <v>100.2</v>
      </c>
      <c r="L973" s="8">
        <f t="shared" si="54"/>
        <v>60240340.400400013</v>
      </c>
      <c r="M973" s="15">
        <v>7897801313612</v>
      </c>
      <c r="N973" s="6">
        <v>0.10199999999999999</v>
      </c>
      <c r="O973" s="6">
        <v>6.0010000000000003</v>
      </c>
      <c r="P973" s="6">
        <v>0.10199999999999999</v>
      </c>
      <c r="Q973" s="6">
        <v>0.30599999999999999</v>
      </c>
      <c r="R973" s="6">
        <v>0.186</v>
      </c>
      <c r="S973" s="6">
        <v>6.0019999999999998</v>
      </c>
      <c r="T973" s="8">
        <v>5</v>
      </c>
      <c r="U973" s="5" t="s">
        <v>991</v>
      </c>
      <c r="V973" s="89">
        <v>0</v>
      </c>
      <c r="W973" s="15">
        <v>17897801313619</v>
      </c>
      <c r="X973" s="6" t="s">
        <v>20</v>
      </c>
      <c r="Y973" s="6" t="s">
        <v>20</v>
      </c>
      <c r="Z973" s="6" t="s">
        <v>20</v>
      </c>
      <c r="AA973" s="6"/>
      <c r="AB973" s="8">
        <v>0</v>
      </c>
      <c r="AC973" s="15">
        <v>27897801313616</v>
      </c>
      <c r="AD973" s="4" t="s">
        <v>992</v>
      </c>
    </row>
    <row r="974" spans="2:30" x14ac:dyDescent="0.35">
      <c r="B974" s="14">
        <v>1762</v>
      </c>
      <c r="C974" s="4" t="s">
        <v>892</v>
      </c>
      <c r="D974" s="4" t="s">
        <v>2377</v>
      </c>
      <c r="E974" s="4" t="s">
        <v>2911</v>
      </c>
      <c r="F974" s="4" t="s">
        <v>85</v>
      </c>
      <c r="G974" s="4" t="s">
        <v>993</v>
      </c>
      <c r="H974" s="6">
        <v>0.51890000000000003</v>
      </c>
      <c r="I974" s="8">
        <v>135</v>
      </c>
      <c r="J974" s="8">
        <v>135</v>
      </c>
      <c r="K974" s="8">
        <v>98</v>
      </c>
      <c r="L974" s="8">
        <f t="shared" si="54"/>
        <v>1786050</v>
      </c>
      <c r="M974" s="15">
        <v>7897801321105</v>
      </c>
      <c r="N974" s="6" t="s">
        <v>20</v>
      </c>
      <c r="O974" s="6" t="s">
        <v>20</v>
      </c>
      <c r="P974" s="6" t="s">
        <v>20</v>
      </c>
      <c r="Q974" s="6">
        <v>0.14000000000000001</v>
      </c>
      <c r="R974" s="6">
        <v>9.8000000000000004E-2</v>
      </c>
      <c r="S974" s="6">
        <v>0.24</v>
      </c>
      <c r="T974" s="8">
        <v>2</v>
      </c>
      <c r="U974" s="5" t="s">
        <v>1002</v>
      </c>
      <c r="V974" s="89">
        <v>0</v>
      </c>
      <c r="W974" s="15">
        <v>17897801321102</v>
      </c>
      <c r="X974" s="6">
        <v>0.5</v>
      </c>
      <c r="Y974" s="6">
        <v>0.18</v>
      </c>
      <c r="Z974" s="6">
        <v>0.7</v>
      </c>
      <c r="AA974" s="6">
        <f t="shared" ref="AA974:AA1005" si="56">Y974*X974*Z974</f>
        <v>6.3E-2</v>
      </c>
      <c r="AB974" s="8">
        <v>40</v>
      </c>
      <c r="AC974" s="15">
        <v>27897801321109</v>
      </c>
      <c r="AD974" s="4" t="s">
        <v>992</v>
      </c>
    </row>
    <row r="975" spans="2:30" x14ac:dyDescent="0.35">
      <c r="B975" s="14">
        <v>1763</v>
      </c>
      <c r="C975" s="4" t="s">
        <v>893</v>
      </c>
      <c r="D975" s="4" t="s">
        <v>2377</v>
      </c>
      <c r="E975" s="4" t="s">
        <v>2911</v>
      </c>
      <c r="F975" s="4" t="s">
        <v>85</v>
      </c>
      <c r="G975" s="4" t="s">
        <v>993</v>
      </c>
      <c r="H975" s="6">
        <v>0.2195</v>
      </c>
      <c r="I975" s="8">
        <v>110</v>
      </c>
      <c r="J975" s="8">
        <v>70</v>
      </c>
      <c r="K975" s="8">
        <v>100</v>
      </c>
      <c r="L975" s="8">
        <f t="shared" si="54"/>
        <v>770000</v>
      </c>
      <c r="M975" s="15">
        <v>7897801321112</v>
      </c>
      <c r="N975" s="6" t="s">
        <v>20</v>
      </c>
      <c r="O975" s="6" t="s">
        <v>20</v>
      </c>
      <c r="P975" s="6" t="s">
        <v>20</v>
      </c>
      <c r="Q975" s="6">
        <v>0.22</v>
      </c>
      <c r="R975" s="6">
        <v>0.08</v>
      </c>
      <c r="S975" s="6">
        <v>0.27</v>
      </c>
      <c r="T975" s="8">
        <v>5</v>
      </c>
      <c r="U975" s="5" t="s">
        <v>1002</v>
      </c>
      <c r="V975" s="89">
        <v>0</v>
      </c>
      <c r="W975" s="15">
        <v>17897801321119</v>
      </c>
      <c r="X975" s="6">
        <v>0.49</v>
      </c>
      <c r="Y975" s="6">
        <v>0.21</v>
      </c>
      <c r="Z975" s="6">
        <v>0.78</v>
      </c>
      <c r="AA975" s="6">
        <f t="shared" si="56"/>
        <v>8.0262E-2</v>
      </c>
      <c r="AB975" s="8">
        <v>100</v>
      </c>
      <c r="AC975" s="15">
        <v>27897801321116</v>
      </c>
      <c r="AD975" s="4" t="s">
        <v>992</v>
      </c>
    </row>
    <row r="976" spans="2:30" x14ac:dyDescent="0.35">
      <c r="B976" s="14">
        <v>1764</v>
      </c>
      <c r="C976" s="4" t="s">
        <v>894</v>
      </c>
      <c r="D976" s="4" t="s">
        <v>2377</v>
      </c>
      <c r="E976" s="4" t="s">
        <v>2911</v>
      </c>
      <c r="F976" s="4" t="s">
        <v>85</v>
      </c>
      <c r="G976" s="4" t="s">
        <v>993</v>
      </c>
      <c r="H976" s="6">
        <v>8.8499999999999995E-2</v>
      </c>
      <c r="I976" s="8">
        <v>75</v>
      </c>
      <c r="J976" s="8">
        <v>48.5</v>
      </c>
      <c r="K976" s="8">
        <v>75</v>
      </c>
      <c r="L976" s="8">
        <f t="shared" si="54"/>
        <v>272812.5</v>
      </c>
      <c r="M976" s="15">
        <v>7897801321136</v>
      </c>
      <c r="N976" s="6" t="s">
        <v>20</v>
      </c>
      <c r="O976" s="6" t="s">
        <v>20</v>
      </c>
      <c r="P976" s="6" t="s">
        <v>20</v>
      </c>
      <c r="Q976" s="6">
        <v>0.18</v>
      </c>
      <c r="R976" s="6">
        <v>0.08</v>
      </c>
      <c r="S976" s="6">
        <v>0.28000000000000003</v>
      </c>
      <c r="T976" s="8">
        <v>10</v>
      </c>
      <c r="U976" s="5" t="s">
        <v>1002</v>
      </c>
      <c r="V976" s="89">
        <v>0</v>
      </c>
      <c r="W976" s="15">
        <v>17897801321133</v>
      </c>
      <c r="X976" s="6">
        <v>0.54</v>
      </c>
      <c r="Y976" s="6">
        <v>0.24</v>
      </c>
      <c r="Z976" s="6">
        <v>0.7</v>
      </c>
      <c r="AA976" s="6">
        <f t="shared" si="56"/>
        <v>9.0719999999999995E-2</v>
      </c>
      <c r="AB976" s="8">
        <v>240</v>
      </c>
      <c r="AC976" s="15">
        <v>27897801321130</v>
      </c>
      <c r="AD976" s="4" t="s">
        <v>992</v>
      </c>
    </row>
    <row r="977" spans="2:30" x14ac:dyDescent="0.35">
      <c r="B977" s="14">
        <v>1767</v>
      </c>
      <c r="C977" s="4" t="s">
        <v>895</v>
      </c>
      <c r="D977" s="4" t="s">
        <v>2377</v>
      </c>
      <c r="E977" s="4" t="s">
        <v>2911</v>
      </c>
      <c r="F977" s="4" t="s">
        <v>85</v>
      </c>
      <c r="G977" s="4" t="s">
        <v>993</v>
      </c>
      <c r="H977" s="6">
        <v>0.31809999999999999</v>
      </c>
      <c r="I977" s="8">
        <v>110</v>
      </c>
      <c r="J977" s="8">
        <v>114</v>
      </c>
      <c r="K977" s="8">
        <v>110</v>
      </c>
      <c r="L977" s="8">
        <f t="shared" si="54"/>
        <v>1379400</v>
      </c>
      <c r="M977" s="15">
        <v>7897801321167</v>
      </c>
      <c r="N977" s="6" t="s">
        <v>20</v>
      </c>
      <c r="O977" s="6" t="s">
        <v>20</v>
      </c>
      <c r="P977" s="6" t="s">
        <v>20</v>
      </c>
      <c r="Q977" s="6">
        <v>0.19</v>
      </c>
      <c r="R977" s="6">
        <v>0.115</v>
      </c>
      <c r="S977" s="6">
        <v>0.3</v>
      </c>
      <c r="T977" s="8">
        <v>5</v>
      </c>
      <c r="U977" s="5" t="s">
        <v>1002</v>
      </c>
      <c r="V977" s="89">
        <v>0</v>
      </c>
      <c r="W977" s="15">
        <v>17897801321164</v>
      </c>
      <c r="X977" s="6">
        <v>0.46</v>
      </c>
      <c r="Y977" s="6">
        <v>0.22</v>
      </c>
      <c r="Z977" s="6">
        <v>0.65</v>
      </c>
      <c r="AA977" s="6">
        <f t="shared" si="56"/>
        <v>6.5780000000000005E-2</v>
      </c>
      <c r="AB977" s="8">
        <v>70</v>
      </c>
      <c r="AC977" s="15">
        <v>27897801321161</v>
      </c>
      <c r="AD977" s="4" t="s">
        <v>992</v>
      </c>
    </row>
    <row r="978" spans="2:30" x14ac:dyDescent="0.35">
      <c r="B978" s="14">
        <v>1769</v>
      </c>
      <c r="C978" s="4" t="s">
        <v>896</v>
      </c>
      <c r="D978" s="4" t="s">
        <v>2377</v>
      </c>
      <c r="E978" s="4" t="s">
        <v>2911</v>
      </c>
      <c r="F978" s="4" t="s">
        <v>85</v>
      </c>
      <c r="G978" s="4" t="s">
        <v>993</v>
      </c>
      <c r="H978" s="6">
        <v>0.94130000000000003</v>
      </c>
      <c r="I978" s="8">
        <v>11</v>
      </c>
      <c r="J978" s="8">
        <v>10</v>
      </c>
      <c r="K978" s="8">
        <v>10</v>
      </c>
      <c r="L978" s="8">
        <f t="shared" si="54"/>
        <v>1100</v>
      </c>
      <c r="M978" s="15">
        <v>7897801321129</v>
      </c>
      <c r="N978" s="6" t="s">
        <v>20</v>
      </c>
      <c r="O978" s="6" t="s">
        <v>20</v>
      </c>
      <c r="P978" s="6" t="s">
        <v>20</v>
      </c>
      <c r="Q978" s="6">
        <v>0.2</v>
      </c>
      <c r="R978" s="6">
        <v>0.11</v>
      </c>
      <c r="S978" s="6">
        <v>0.27</v>
      </c>
      <c r="T978" s="8">
        <v>2</v>
      </c>
      <c r="U978" s="5" t="s">
        <v>1002</v>
      </c>
      <c r="V978" s="89">
        <v>0</v>
      </c>
      <c r="W978" s="15">
        <v>17897801321126</v>
      </c>
      <c r="X978" s="6">
        <v>0.52</v>
      </c>
      <c r="Y978" s="6">
        <v>0.21</v>
      </c>
      <c r="Z978" s="6">
        <v>0.71</v>
      </c>
      <c r="AA978" s="6">
        <f t="shared" si="56"/>
        <v>7.7532000000000004E-2</v>
      </c>
      <c r="AB978" s="8">
        <v>20</v>
      </c>
      <c r="AC978" s="15">
        <v>27897801321123</v>
      </c>
      <c r="AD978" s="4" t="s">
        <v>992</v>
      </c>
    </row>
    <row r="979" spans="2:30" x14ac:dyDescent="0.35">
      <c r="B979" s="14">
        <v>1770</v>
      </c>
      <c r="C979" s="4" t="s">
        <v>897</v>
      </c>
      <c r="D979" s="4" t="s">
        <v>2373</v>
      </c>
      <c r="E979" s="4" t="s">
        <v>2912</v>
      </c>
      <c r="F979" s="4" t="s">
        <v>85</v>
      </c>
      <c r="G979" s="4" t="s">
        <v>993</v>
      </c>
      <c r="H979" s="6">
        <v>0.1085</v>
      </c>
      <c r="I979" s="8">
        <v>36</v>
      </c>
      <c r="J979" s="8">
        <v>77</v>
      </c>
      <c r="K979" s="8">
        <v>127</v>
      </c>
      <c r="L979" s="8">
        <f t="shared" si="54"/>
        <v>352044</v>
      </c>
      <c r="M979" s="15">
        <v>7897801315234</v>
      </c>
      <c r="N979" s="6" t="s">
        <v>20</v>
      </c>
      <c r="O979" s="6" t="s">
        <v>20</v>
      </c>
      <c r="P979" s="6" t="s">
        <v>20</v>
      </c>
      <c r="Q979" s="6">
        <v>0.17</v>
      </c>
      <c r="R979" s="6">
        <v>0.08</v>
      </c>
      <c r="S979" s="6">
        <v>0.26</v>
      </c>
      <c r="T979" s="8">
        <v>10</v>
      </c>
      <c r="U979" s="5" t="s">
        <v>994</v>
      </c>
      <c r="V979" s="89">
        <v>0</v>
      </c>
      <c r="W979" s="15">
        <v>17897801315231</v>
      </c>
      <c r="X979" s="6">
        <v>0.34499999999999997</v>
      </c>
      <c r="Y979" s="6">
        <v>0.255</v>
      </c>
      <c r="Z979" s="6">
        <v>0.375</v>
      </c>
      <c r="AA979" s="6">
        <f t="shared" si="56"/>
        <v>3.2990624999999996E-2</v>
      </c>
      <c r="AB979" s="8">
        <v>80</v>
      </c>
      <c r="AC979" s="15">
        <v>27897801315238</v>
      </c>
      <c r="AD979" s="4" t="s">
        <v>992</v>
      </c>
    </row>
    <row r="980" spans="2:30" x14ac:dyDescent="0.35">
      <c r="B980" s="14">
        <v>1771</v>
      </c>
      <c r="C980" s="4" t="s">
        <v>898</v>
      </c>
      <c r="D980" s="4" t="s">
        <v>2373</v>
      </c>
      <c r="E980" s="4" t="s">
        <v>2912</v>
      </c>
      <c r="F980" s="4" t="s">
        <v>85</v>
      </c>
      <c r="G980" s="4" t="s">
        <v>993</v>
      </c>
      <c r="H980" s="6">
        <v>0.14910000000000001</v>
      </c>
      <c r="I980" s="8">
        <v>43</v>
      </c>
      <c r="J980" s="8">
        <v>80</v>
      </c>
      <c r="K980" s="8">
        <v>124</v>
      </c>
      <c r="L980" s="8">
        <f t="shared" si="54"/>
        <v>426560</v>
      </c>
      <c r="M980" s="15">
        <v>7897801315241</v>
      </c>
      <c r="N980" s="6" t="s">
        <v>20</v>
      </c>
      <c r="O980" s="6" t="s">
        <v>20</v>
      </c>
      <c r="P980" s="6" t="s">
        <v>20</v>
      </c>
      <c r="Q980" s="6">
        <v>0.155</v>
      </c>
      <c r="R980" s="6">
        <v>0.1</v>
      </c>
      <c r="S980" s="6">
        <v>0.28000000000000003</v>
      </c>
      <c r="T980" s="8">
        <v>10</v>
      </c>
      <c r="U980" s="5" t="s">
        <v>994</v>
      </c>
      <c r="V980" s="89">
        <v>0</v>
      </c>
      <c r="W980" s="15">
        <v>17897801315248</v>
      </c>
      <c r="X980" s="6">
        <v>0.34499999999999997</v>
      </c>
      <c r="Y980" s="6">
        <v>0.255</v>
      </c>
      <c r="Z980" s="6">
        <v>0.375</v>
      </c>
      <c r="AA980" s="6">
        <f t="shared" si="56"/>
        <v>3.2990624999999996E-2</v>
      </c>
      <c r="AB980" s="8">
        <v>80</v>
      </c>
      <c r="AC980" s="15">
        <v>27897801315245</v>
      </c>
      <c r="AD980" s="4" t="s">
        <v>992</v>
      </c>
    </row>
    <row r="981" spans="2:30" x14ac:dyDescent="0.35">
      <c r="B981" s="14">
        <v>1772</v>
      </c>
      <c r="C981" s="4" t="s">
        <v>899</v>
      </c>
      <c r="D981" s="4" t="s">
        <v>2373</v>
      </c>
      <c r="E981" s="4" t="s">
        <v>2912</v>
      </c>
      <c r="F981" s="4" t="s">
        <v>85</v>
      </c>
      <c r="G981" s="4" t="s">
        <v>993</v>
      </c>
      <c r="H981" s="6">
        <v>7.1999999999999998E-3</v>
      </c>
      <c r="I981" s="8">
        <v>25</v>
      </c>
      <c r="J981" s="8">
        <v>27</v>
      </c>
      <c r="K981" s="8">
        <v>27</v>
      </c>
      <c r="L981" s="8">
        <f t="shared" si="54"/>
        <v>18225</v>
      </c>
      <c r="M981" s="15">
        <v>7897801315258</v>
      </c>
      <c r="N981" s="6" t="s">
        <v>20</v>
      </c>
      <c r="O981" s="6" t="s">
        <v>20</v>
      </c>
      <c r="P981" s="6" t="s">
        <v>20</v>
      </c>
      <c r="Q981" s="6">
        <v>0.09</v>
      </c>
      <c r="R981" s="6">
        <v>2.7E-2</v>
      </c>
      <c r="S981" s="6">
        <v>0.09</v>
      </c>
      <c r="T981" s="8">
        <v>10</v>
      </c>
      <c r="U981" s="5" t="s">
        <v>994</v>
      </c>
      <c r="V981" s="89">
        <v>0</v>
      </c>
      <c r="W981" s="15">
        <v>17897801315255</v>
      </c>
      <c r="X981" s="6">
        <v>0.34499999999999997</v>
      </c>
      <c r="Y981" s="6">
        <v>0.255</v>
      </c>
      <c r="Z981" s="6">
        <v>0.375</v>
      </c>
      <c r="AA981" s="6">
        <f t="shared" si="56"/>
        <v>3.2990624999999996E-2</v>
      </c>
      <c r="AB981" s="8">
        <v>1300</v>
      </c>
      <c r="AC981" s="15">
        <v>27897801315252</v>
      </c>
      <c r="AD981" s="4" t="s">
        <v>992</v>
      </c>
    </row>
    <row r="982" spans="2:30" x14ac:dyDescent="0.35">
      <c r="B982" s="14">
        <v>1773</v>
      </c>
      <c r="C982" s="4" t="s">
        <v>900</v>
      </c>
      <c r="D982" s="4" t="s">
        <v>2373</v>
      </c>
      <c r="E982" s="4" t="s">
        <v>2912</v>
      </c>
      <c r="F982" s="4" t="s">
        <v>85</v>
      </c>
      <c r="G982" s="4" t="s">
        <v>993</v>
      </c>
      <c r="H982" s="6">
        <v>9.1000000000000004E-3</v>
      </c>
      <c r="I982" s="8">
        <v>30</v>
      </c>
      <c r="J982" s="8">
        <v>25</v>
      </c>
      <c r="K982" s="8">
        <v>25</v>
      </c>
      <c r="L982" s="8">
        <f t="shared" si="54"/>
        <v>18750</v>
      </c>
      <c r="M982" s="15">
        <v>7897801315265</v>
      </c>
      <c r="N982" s="6" t="s">
        <v>20</v>
      </c>
      <c r="O982" s="6" t="s">
        <v>20</v>
      </c>
      <c r="P982" s="6" t="s">
        <v>20</v>
      </c>
      <c r="Q982" s="6">
        <v>0.08</v>
      </c>
      <c r="R982" s="6">
        <v>0.03</v>
      </c>
      <c r="S982" s="6">
        <v>0.11</v>
      </c>
      <c r="T982" s="8">
        <v>10</v>
      </c>
      <c r="U982" s="5" t="s">
        <v>994</v>
      </c>
      <c r="V982" s="89">
        <v>0</v>
      </c>
      <c r="W982" s="15">
        <v>17897801315262</v>
      </c>
      <c r="X982" s="6">
        <v>0.34499999999999997</v>
      </c>
      <c r="Y982" s="6">
        <v>0.255</v>
      </c>
      <c r="Z982" s="6">
        <v>0.375</v>
      </c>
      <c r="AA982" s="6">
        <f t="shared" si="56"/>
        <v>3.2990624999999996E-2</v>
      </c>
      <c r="AB982" s="8">
        <v>1000</v>
      </c>
      <c r="AC982" s="15">
        <v>27897801315269</v>
      </c>
      <c r="AD982" s="4" t="s">
        <v>992</v>
      </c>
    </row>
    <row r="983" spans="2:30" x14ac:dyDescent="0.35">
      <c r="B983" s="14">
        <v>1774</v>
      </c>
      <c r="C983" s="4" t="s">
        <v>901</v>
      </c>
      <c r="D983" s="4" t="s">
        <v>2376</v>
      </c>
      <c r="E983" s="4" t="s">
        <v>2911</v>
      </c>
      <c r="F983" s="4" t="s">
        <v>85</v>
      </c>
      <c r="G983" s="4" t="s">
        <v>993</v>
      </c>
      <c r="H983" s="6">
        <v>3.1E-2</v>
      </c>
      <c r="I983" s="8">
        <v>43</v>
      </c>
      <c r="J983" s="8">
        <v>43</v>
      </c>
      <c r="K983" s="8">
        <v>41</v>
      </c>
      <c r="L983" s="8">
        <f t="shared" si="54"/>
        <v>75809</v>
      </c>
      <c r="M983" s="15">
        <v>7897801321013</v>
      </c>
      <c r="N983" s="6" t="s">
        <v>20</v>
      </c>
      <c r="O983" s="6" t="s">
        <v>20</v>
      </c>
      <c r="P983" s="6" t="s">
        <v>20</v>
      </c>
      <c r="Q983" s="6">
        <v>0.17</v>
      </c>
      <c r="R983" s="6">
        <v>0.04</v>
      </c>
      <c r="S983" s="6">
        <v>0.22</v>
      </c>
      <c r="T983" s="8">
        <v>20</v>
      </c>
      <c r="U983" s="5" t="s">
        <v>994</v>
      </c>
      <c r="V983" s="89">
        <v>0</v>
      </c>
      <c r="W983" s="15">
        <v>17897801321010</v>
      </c>
      <c r="X983" s="6">
        <v>0.34</v>
      </c>
      <c r="Y983" s="6">
        <v>0.21</v>
      </c>
      <c r="Z983" s="6">
        <v>0.67</v>
      </c>
      <c r="AA983" s="6">
        <f t="shared" si="56"/>
        <v>4.7838000000000006E-2</v>
      </c>
      <c r="AB983" s="8">
        <v>700</v>
      </c>
      <c r="AC983" s="15">
        <v>27897801321017</v>
      </c>
      <c r="AD983" s="4" t="s">
        <v>992</v>
      </c>
    </row>
    <row r="984" spans="2:30" x14ac:dyDescent="0.35">
      <c r="B984" s="14">
        <v>1775</v>
      </c>
      <c r="C984" s="4" t="s">
        <v>902</v>
      </c>
      <c r="D984" s="4" t="s">
        <v>2376</v>
      </c>
      <c r="E984" s="4" t="s">
        <v>2911</v>
      </c>
      <c r="F984" s="4" t="s">
        <v>85</v>
      </c>
      <c r="G984" s="4" t="s">
        <v>993</v>
      </c>
      <c r="H984" s="6">
        <v>4.9399999999999999E-2</v>
      </c>
      <c r="I984" s="8">
        <v>45</v>
      </c>
      <c r="J984" s="8">
        <v>52</v>
      </c>
      <c r="K984" s="8">
        <v>52</v>
      </c>
      <c r="L984" s="8">
        <f t="shared" si="54"/>
        <v>121680</v>
      </c>
      <c r="M984" s="15">
        <v>7897801321020</v>
      </c>
      <c r="N984" s="6" t="s">
        <v>20</v>
      </c>
      <c r="O984" s="6" t="s">
        <v>20</v>
      </c>
      <c r="P984" s="6" t="s">
        <v>20</v>
      </c>
      <c r="Q984" s="6">
        <v>0.23</v>
      </c>
      <c r="R984" s="6">
        <v>7.0000000000000007E-2</v>
      </c>
      <c r="S984" s="6">
        <v>0.23</v>
      </c>
      <c r="T984" s="8">
        <v>20</v>
      </c>
      <c r="U984" s="5" t="s">
        <v>994</v>
      </c>
      <c r="V984" s="89">
        <v>0</v>
      </c>
      <c r="W984" s="15">
        <v>17897801321027</v>
      </c>
      <c r="X984" s="6">
        <v>0.5</v>
      </c>
      <c r="Y984" s="6">
        <v>0.19</v>
      </c>
      <c r="Z984" s="6">
        <v>0.73</v>
      </c>
      <c r="AA984" s="6">
        <f t="shared" si="56"/>
        <v>6.9349999999999995E-2</v>
      </c>
      <c r="AB984" s="8">
        <v>400</v>
      </c>
      <c r="AC984" s="15">
        <v>27897801321024</v>
      </c>
      <c r="AD984" s="4" t="s">
        <v>992</v>
      </c>
    </row>
    <row r="985" spans="2:30" x14ac:dyDescent="0.35">
      <c r="B985" s="14">
        <v>1776</v>
      </c>
      <c r="C985" s="4" t="s">
        <v>903</v>
      </c>
      <c r="D985" s="4" t="s">
        <v>2376</v>
      </c>
      <c r="E985" s="4" t="s">
        <v>2911</v>
      </c>
      <c r="F985" s="4" t="s">
        <v>85</v>
      </c>
      <c r="G985" s="4" t="s">
        <v>993</v>
      </c>
      <c r="H985" s="6">
        <v>0.26819999999999999</v>
      </c>
      <c r="I985" s="8">
        <v>99.5</v>
      </c>
      <c r="J985" s="8">
        <v>66</v>
      </c>
      <c r="K985" s="8">
        <v>96.5</v>
      </c>
      <c r="L985" s="8">
        <f t="shared" si="54"/>
        <v>633715.5</v>
      </c>
      <c r="M985" s="15">
        <v>7897801321037</v>
      </c>
      <c r="N985" s="6" t="s">
        <v>20</v>
      </c>
      <c r="O985" s="6" t="s">
        <v>20</v>
      </c>
      <c r="P985" s="6" t="s">
        <v>20</v>
      </c>
      <c r="Q985" s="6">
        <v>0.14000000000000001</v>
      </c>
      <c r="R985" s="6">
        <v>0.1</v>
      </c>
      <c r="S985" s="6">
        <v>0.21</v>
      </c>
      <c r="T985" s="8">
        <v>5</v>
      </c>
      <c r="U985" s="5" t="s">
        <v>994</v>
      </c>
      <c r="V985" s="89">
        <v>0</v>
      </c>
      <c r="W985" s="15">
        <v>17897801321034</v>
      </c>
      <c r="X985" s="6">
        <v>0.45</v>
      </c>
      <c r="Y985" s="6">
        <v>0.21</v>
      </c>
      <c r="Z985" s="6">
        <v>0.65</v>
      </c>
      <c r="AA985" s="6">
        <f t="shared" si="56"/>
        <v>6.1425E-2</v>
      </c>
      <c r="AB985" s="8">
        <v>100</v>
      </c>
      <c r="AC985" s="15">
        <v>27897801321031</v>
      </c>
      <c r="AD985" s="4" t="s">
        <v>992</v>
      </c>
    </row>
    <row r="986" spans="2:30" x14ac:dyDescent="0.35">
      <c r="B986" s="14">
        <v>1778</v>
      </c>
      <c r="C986" s="4" t="s">
        <v>904</v>
      </c>
      <c r="D986" s="4" t="s">
        <v>2376</v>
      </c>
      <c r="E986" s="4" t="s">
        <v>2911</v>
      </c>
      <c r="F986" s="4" t="s">
        <v>85</v>
      </c>
      <c r="G986" s="4" t="s">
        <v>993</v>
      </c>
      <c r="H986" s="6">
        <v>1.35E-2</v>
      </c>
      <c r="I986" s="8">
        <v>75</v>
      </c>
      <c r="J986" s="8">
        <v>63</v>
      </c>
      <c r="K986" s="8">
        <v>75</v>
      </c>
      <c r="L986" s="8">
        <f t="shared" si="54"/>
        <v>354375</v>
      </c>
      <c r="M986" s="15">
        <v>7897801321051</v>
      </c>
      <c r="N986" s="6" t="s">
        <v>20</v>
      </c>
      <c r="O986" s="6" t="s">
        <v>20</v>
      </c>
      <c r="P986" s="6" t="s">
        <v>20</v>
      </c>
      <c r="Q986" s="6">
        <v>0.2</v>
      </c>
      <c r="R986" s="6">
        <v>0.08</v>
      </c>
      <c r="S986" s="6">
        <v>0.3</v>
      </c>
      <c r="T986" s="8">
        <v>8</v>
      </c>
      <c r="U986" s="5" t="s">
        <v>994</v>
      </c>
      <c r="V986" s="89">
        <v>0</v>
      </c>
      <c r="W986" s="15">
        <v>17897801321058</v>
      </c>
      <c r="X986" s="6">
        <v>0.5</v>
      </c>
      <c r="Y986" s="6">
        <v>0.21</v>
      </c>
      <c r="Z986" s="6">
        <v>0.65</v>
      </c>
      <c r="AA986" s="6">
        <f t="shared" si="56"/>
        <v>6.8250000000000005E-2</v>
      </c>
      <c r="AB986" s="8">
        <v>120</v>
      </c>
      <c r="AC986" s="15">
        <v>27897801321055</v>
      </c>
      <c r="AD986" s="4" t="s">
        <v>992</v>
      </c>
    </row>
    <row r="987" spans="2:30" x14ac:dyDescent="0.35">
      <c r="B987" s="14">
        <v>1786</v>
      </c>
      <c r="C987" s="4" t="s">
        <v>905</v>
      </c>
      <c r="D987" s="4" t="s">
        <v>2373</v>
      </c>
      <c r="E987" s="4" t="s">
        <v>2912</v>
      </c>
      <c r="F987" s="4" t="s">
        <v>85</v>
      </c>
      <c r="G987" s="4" t="s">
        <v>993</v>
      </c>
      <c r="H987" s="6">
        <v>6.1999999999999998E-3</v>
      </c>
      <c r="I987" s="8">
        <v>102</v>
      </c>
      <c r="J987" s="8">
        <v>11</v>
      </c>
      <c r="K987" s="8">
        <v>11</v>
      </c>
      <c r="L987" s="8">
        <f t="shared" si="54"/>
        <v>12342</v>
      </c>
      <c r="M987" s="15">
        <v>7897801315395</v>
      </c>
      <c r="N987" s="6" t="s">
        <v>20</v>
      </c>
      <c r="O987" s="6" t="s">
        <v>20</v>
      </c>
      <c r="P987" s="6" t="s">
        <v>20</v>
      </c>
      <c r="Q987" s="6">
        <v>0.06</v>
      </c>
      <c r="R987" s="6">
        <v>2.5000000000000001E-2</v>
      </c>
      <c r="S987" s="6">
        <v>0.06</v>
      </c>
      <c r="T987" s="8">
        <v>10</v>
      </c>
      <c r="U987" s="5" t="s">
        <v>994</v>
      </c>
      <c r="V987" s="89">
        <v>0</v>
      </c>
      <c r="W987" s="15">
        <v>17897801315392</v>
      </c>
      <c r="X987" s="6">
        <v>0.255</v>
      </c>
      <c r="Y987" s="6">
        <v>0.245</v>
      </c>
      <c r="Z987" s="6">
        <v>0.33</v>
      </c>
      <c r="AA987" s="6">
        <f t="shared" si="56"/>
        <v>2.0616750000000003E-2</v>
      </c>
      <c r="AB987" s="8">
        <v>100</v>
      </c>
      <c r="AC987" s="15">
        <v>27897801315399</v>
      </c>
      <c r="AD987" s="4" t="s">
        <v>992</v>
      </c>
    </row>
    <row r="988" spans="2:30" x14ac:dyDescent="0.35">
      <c r="B988" s="14">
        <v>1787</v>
      </c>
      <c r="C988" s="4" t="s">
        <v>906</v>
      </c>
      <c r="D988" s="4" t="s">
        <v>2373</v>
      </c>
      <c r="E988" s="4" t="s">
        <v>2912</v>
      </c>
      <c r="F988" s="4" t="s">
        <v>85</v>
      </c>
      <c r="G988" s="4" t="s">
        <v>993</v>
      </c>
      <c r="H988" s="6">
        <v>5.6899999999999999E-2</v>
      </c>
      <c r="I988" s="8">
        <v>39</v>
      </c>
      <c r="J988" s="8">
        <v>50</v>
      </c>
      <c r="K988" s="8">
        <v>49</v>
      </c>
      <c r="L988" s="8">
        <f t="shared" si="54"/>
        <v>95550</v>
      </c>
      <c r="M988" s="15">
        <v>7897801315401</v>
      </c>
      <c r="N988" s="6" t="s">
        <v>20</v>
      </c>
      <c r="O988" s="6" t="s">
        <v>20</v>
      </c>
      <c r="P988" s="6" t="s">
        <v>20</v>
      </c>
      <c r="Q988" s="6">
        <v>0.14000000000000001</v>
      </c>
      <c r="R988" s="6">
        <v>4.9000000000000002E-2</v>
      </c>
      <c r="S988" s="6">
        <v>0.17</v>
      </c>
      <c r="T988" s="8">
        <v>10</v>
      </c>
      <c r="U988" s="5" t="s">
        <v>994</v>
      </c>
      <c r="V988" s="89">
        <v>0</v>
      </c>
      <c r="W988" s="15">
        <v>17897801315408</v>
      </c>
      <c r="X988" s="6">
        <v>0.34499999999999997</v>
      </c>
      <c r="Y988" s="6">
        <v>0.255</v>
      </c>
      <c r="Z988" s="6">
        <v>0.375</v>
      </c>
      <c r="AA988" s="6">
        <f t="shared" si="56"/>
        <v>3.2990624999999996E-2</v>
      </c>
      <c r="AB988" s="8">
        <v>280</v>
      </c>
      <c r="AC988" s="15">
        <v>27897801315405</v>
      </c>
      <c r="AD988" s="4" t="s">
        <v>992</v>
      </c>
    </row>
    <row r="989" spans="2:30" x14ac:dyDescent="0.35">
      <c r="B989" s="14">
        <v>1788</v>
      </c>
      <c r="C989" s="4" t="s">
        <v>907</v>
      </c>
      <c r="D989" s="4" t="s">
        <v>2373</v>
      </c>
      <c r="E989" s="4" t="s">
        <v>2912</v>
      </c>
      <c r="F989" s="4" t="s">
        <v>85</v>
      </c>
      <c r="G989" s="4" t="s">
        <v>993</v>
      </c>
      <c r="H989" s="6">
        <v>6.4500000000000002E-2</v>
      </c>
      <c r="I989" s="8">
        <v>39</v>
      </c>
      <c r="J989" s="8">
        <v>54</v>
      </c>
      <c r="K989" s="8">
        <v>54</v>
      </c>
      <c r="L989" s="8">
        <f t="shared" si="54"/>
        <v>113724</v>
      </c>
      <c r="M989" s="15">
        <v>7897801315418</v>
      </c>
      <c r="N989" s="6" t="s">
        <v>20</v>
      </c>
      <c r="O989" s="6" t="s">
        <v>20</v>
      </c>
      <c r="P989" s="6" t="s">
        <v>20</v>
      </c>
      <c r="Q989" s="6">
        <v>0.18</v>
      </c>
      <c r="R989" s="6">
        <v>3.9E-2</v>
      </c>
      <c r="S989" s="6">
        <v>0.19</v>
      </c>
      <c r="T989" s="8">
        <v>10</v>
      </c>
      <c r="U989" s="5" t="s">
        <v>994</v>
      </c>
      <c r="V989" s="89">
        <v>0</v>
      </c>
      <c r="W989" s="15">
        <v>17897801315415</v>
      </c>
      <c r="X989" s="6">
        <v>0.34499999999999997</v>
      </c>
      <c r="Y989" s="6">
        <v>0.255</v>
      </c>
      <c r="Z989" s="6">
        <v>0.375</v>
      </c>
      <c r="AA989" s="6">
        <f t="shared" si="56"/>
        <v>3.2990624999999996E-2</v>
      </c>
      <c r="AB989" s="8">
        <v>190</v>
      </c>
      <c r="AC989" s="15">
        <v>27897801315412</v>
      </c>
      <c r="AD989" s="4" t="s">
        <v>992</v>
      </c>
    </row>
    <row r="990" spans="2:30" x14ac:dyDescent="0.35">
      <c r="B990" s="14">
        <v>1789</v>
      </c>
      <c r="C990" s="4" t="s">
        <v>908</v>
      </c>
      <c r="D990" s="4" t="s">
        <v>2373</v>
      </c>
      <c r="E990" s="4" t="s">
        <v>2912</v>
      </c>
      <c r="F990" s="4" t="s">
        <v>85</v>
      </c>
      <c r="G990" s="4" t="s">
        <v>993</v>
      </c>
      <c r="H990" s="6">
        <v>8.48E-2</v>
      </c>
      <c r="I990" s="8">
        <v>46</v>
      </c>
      <c r="J990" s="8">
        <v>56</v>
      </c>
      <c r="K990" s="8">
        <v>59</v>
      </c>
      <c r="L990" s="8">
        <f t="shared" si="54"/>
        <v>151984</v>
      </c>
      <c r="M990" s="15">
        <v>7897801315425</v>
      </c>
      <c r="N990" s="6" t="s">
        <v>20</v>
      </c>
      <c r="O990" s="6" t="s">
        <v>20</v>
      </c>
      <c r="P990" s="6" t="s">
        <v>20</v>
      </c>
      <c r="Q990" s="6">
        <v>0.17</v>
      </c>
      <c r="R990" s="6">
        <v>5.8999999999999997E-2</v>
      </c>
      <c r="S990" s="6">
        <v>0.19</v>
      </c>
      <c r="T990" s="8">
        <v>10</v>
      </c>
      <c r="U990" s="5" t="s">
        <v>994</v>
      </c>
      <c r="V990" s="89">
        <v>0</v>
      </c>
      <c r="W990" s="15">
        <v>17897801315422</v>
      </c>
      <c r="X990" s="6">
        <v>0.34499999999999997</v>
      </c>
      <c r="Y990" s="6">
        <v>0.255</v>
      </c>
      <c r="Z990" s="6">
        <v>0.375</v>
      </c>
      <c r="AA990" s="6">
        <f t="shared" si="56"/>
        <v>3.2990624999999996E-2</v>
      </c>
      <c r="AB990" s="8">
        <v>160</v>
      </c>
      <c r="AC990" s="15">
        <v>27897801315429</v>
      </c>
      <c r="AD990" s="4" t="s">
        <v>992</v>
      </c>
    </row>
    <row r="991" spans="2:30" x14ac:dyDescent="0.35">
      <c r="B991" s="14">
        <v>1790</v>
      </c>
      <c r="C991" s="4" t="s">
        <v>909</v>
      </c>
      <c r="D991" s="4" t="s">
        <v>2373</v>
      </c>
      <c r="E991" s="4" t="s">
        <v>2912</v>
      </c>
      <c r="F991" s="4" t="s">
        <v>85</v>
      </c>
      <c r="G991" s="4" t="s">
        <v>993</v>
      </c>
      <c r="H991" s="6">
        <v>9.2299999999999993E-2</v>
      </c>
      <c r="I991" s="8">
        <v>45</v>
      </c>
      <c r="J991" s="8">
        <v>63</v>
      </c>
      <c r="K991" s="8">
        <v>65</v>
      </c>
      <c r="L991" s="8">
        <f t="shared" si="54"/>
        <v>184275</v>
      </c>
      <c r="M991" s="15">
        <v>7897801315432</v>
      </c>
      <c r="N991" s="6" t="s">
        <v>20</v>
      </c>
      <c r="O991" s="6" t="s">
        <v>20</v>
      </c>
      <c r="P991" s="6" t="s">
        <v>20</v>
      </c>
      <c r="Q991" s="6">
        <v>0.14499999999999999</v>
      </c>
      <c r="R991" s="6">
        <v>6.5000000000000002E-2</v>
      </c>
      <c r="S991" s="6">
        <v>0.18</v>
      </c>
      <c r="T991" s="8">
        <v>5</v>
      </c>
      <c r="U991" s="5" t="s">
        <v>994</v>
      </c>
      <c r="V991" s="89">
        <v>0</v>
      </c>
      <c r="W991" s="15">
        <v>17897801315439</v>
      </c>
      <c r="X991" s="6">
        <v>0.255</v>
      </c>
      <c r="Y991" s="6">
        <v>0.25</v>
      </c>
      <c r="Z991" s="6">
        <v>0.32500000000000001</v>
      </c>
      <c r="AA991" s="6">
        <f t="shared" si="56"/>
        <v>2.0718750000000001E-2</v>
      </c>
      <c r="AB991" s="8">
        <v>120</v>
      </c>
      <c r="AC991" s="15">
        <v>27897801315436</v>
      </c>
      <c r="AD991" s="4" t="s">
        <v>992</v>
      </c>
    </row>
    <row r="992" spans="2:30" x14ac:dyDescent="0.35">
      <c r="B992" s="14">
        <v>1791</v>
      </c>
      <c r="C992" s="4" t="s">
        <v>910</v>
      </c>
      <c r="D992" s="4" t="s">
        <v>2373</v>
      </c>
      <c r="E992" s="4" t="s">
        <v>2912</v>
      </c>
      <c r="F992" s="4" t="s">
        <v>85</v>
      </c>
      <c r="G992" s="4" t="s">
        <v>993</v>
      </c>
      <c r="H992" s="6">
        <v>0.104</v>
      </c>
      <c r="I992" s="8">
        <v>66</v>
      </c>
      <c r="J992" s="8">
        <v>46</v>
      </c>
      <c r="K992" s="8">
        <v>64</v>
      </c>
      <c r="L992" s="8">
        <f t="shared" si="54"/>
        <v>194304</v>
      </c>
      <c r="M992" s="15">
        <v>7897801315449</v>
      </c>
      <c r="N992" s="6" t="s">
        <v>20</v>
      </c>
      <c r="O992" s="6" t="s">
        <v>20</v>
      </c>
      <c r="P992" s="6" t="s">
        <v>20</v>
      </c>
      <c r="Q992" s="6">
        <v>0.16</v>
      </c>
      <c r="R992" s="6">
        <v>4.5999999999999999E-2</v>
      </c>
      <c r="S992" s="6">
        <v>0.16</v>
      </c>
      <c r="T992" s="8">
        <v>5</v>
      </c>
      <c r="U992" s="5" t="s">
        <v>994</v>
      </c>
      <c r="V992" s="89">
        <v>0</v>
      </c>
      <c r="W992" s="15">
        <v>17897801315446</v>
      </c>
      <c r="X992" s="6">
        <v>0.255</v>
      </c>
      <c r="Y992" s="6">
        <v>0.25</v>
      </c>
      <c r="Z992" s="6">
        <v>0.32500000000000001</v>
      </c>
      <c r="AA992" s="6">
        <f t="shared" si="56"/>
        <v>2.0718750000000001E-2</v>
      </c>
      <c r="AB992" s="8">
        <v>120</v>
      </c>
      <c r="AC992" s="15">
        <v>27897801315443</v>
      </c>
      <c r="AD992" s="4" t="s">
        <v>992</v>
      </c>
    </row>
    <row r="993" spans="2:30" x14ac:dyDescent="0.35">
      <c r="B993" s="14">
        <v>1792</v>
      </c>
      <c r="C993" s="4" t="s">
        <v>911</v>
      </c>
      <c r="D993" s="4" t="s">
        <v>2373</v>
      </c>
      <c r="E993" s="4" t="s">
        <v>2912</v>
      </c>
      <c r="F993" s="4" t="s">
        <v>85</v>
      </c>
      <c r="G993" s="4" t="s">
        <v>993</v>
      </c>
      <c r="H993" s="6">
        <v>0.17380000000000001</v>
      </c>
      <c r="I993" s="8">
        <v>57</v>
      </c>
      <c r="J993" s="8">
        <v>75</v>
      </c>
      <c r="K993" s="8">
        <v>74</v>
      </c>
      <c r="L993" s="8">
        <f t="shared" si="54"/>
        <v>316350</v>
      </c>
      <c r="M993" s="15">
        <v>7897801315456</v>
      </c>
      <c r="N993" s="6" t="s">
        <v>20</v>
      </c>
      <c r="O993" s="6" t="s">
        <v>20</v>
      </c>
      <c r="P993" s="6" t="s">
        <v>20</v>
      </c>
      <c r="Q993" s="6">
        <v>0.17</v>
      </c>
      <c r="R993" s="6">
        <v>0.06</v>
      </c>
      <c r="S993" s="6">
        <v>0.2</v>
      </c>
      <c r="T993" s="8">
        <v>5</v>
      </c>
      <c r="U993" s="5" t="s">
        <v>994</v>
      </c>
      <c r="V993" s="89">
        <v>0</v>
      </c>
      <c r="W993" s="15">
        <v>17897801315453</v>
      </c>
      <c r="X993" s="6">
        <v>0.255</v>
      </c>
      <c r="Y993" s="6">
        <v>0.25</v>
      </c>
      <c r="Z993" s="6">
        <v>0.32500000000000001</v>
      </c>
      <c r="AA993" s="6">
        <f t="shared" si="56"/>
        <v>2.0718750000000001E-2</v>
      </c>
      <c r="AB993" s="8">
        <v>80</v>
      </c>
      <c r="AC993" s="15">
        <v>27897801315450</v>
      </c>
      <c r="AD993" s="4" t="s">
        <v>992</v>
      </c>
    </row>
    <row r="994" spans="2:30" x14ac:dyDescent="0.35">
      <c r="B994" s="14">
        <v>1793</v>
      </c>
      <c r="C994" s="4" t="s">
        <v>912</v>
      </c>
      <c r="D994" s="4" t="s">
        <v>2373</v>
      </c>
      <c r="E994" s="4" t="s">
        <v>2912</v>
      </c>
      <c r="F994" s="4" t="s">
        <v>85</v>
      </c>
      <c r="G994" s="4" t="s">
        <v>993</v>
      </c>
      <c r="H994" s="6">
        <v>1.7999999999999999E-2</v>
      </c>
      <c r="I994" s="8">
        <v>28</v>
      </c>
      <c r="J994" s="8">
        <v>40</v>
      </c>
      <c r="K994" s="8">
        <v>53</v>
      </c>
      <c r="L994" s="8">
        <f t="shared" ref="L994:L1025" si="57">J994*I994*K994</f>
        <v>59360</v>
      </c>
      <c r="M994" s="15">
        <v>7897801315463</v>
      </c>
      <c r="N994" s="6" t="s">
        <v>20</v>
      </c>
      <c r="O994" s="6" t="s">
        <v>20</v>
      </c>
      <c r="P994" s="6" t="s">
        <v>20</v>
      </c>
      <c r="Q994" s="6">
        <v>0.14000000000000001</v>
      </c>
      <c r="R994" s="6">
        <v>2.8000000000000001E-2</v>
      </c>
      <c r="S994" s="6">
        <v>0.16</v>
      </c>
      <c r="T994" s="8">
        <v>10</v>
      </c>
      <c r="U994" s="5" t="s">
        <v>994</v>
      </c>
      <c r="V994" s="89">
        <v>0</v>
      </c>
      <c r="W994" s="15">
        <v>17897801315460</v>
      </c>
      <c r="X994" s="6">
        <v>0.34499999999999997</v>
      </c>
      <c r="Y994" s="6">
        <v>0.255</v>
      </c>
      <c r="Z994" s="6">
        <v>0.375</v>
      </c>
      <c r="AA994" s="6">
        <f t="shared" si="56"/>
        <v>3.2990624999999996E-2</v>
      </c>
      <c r="AB994" s="8">
        <v>350</v>
      </c>
      <c r="AC994" s="15">
        <v>27897801315467</v>
      </c>
      <c r="AD994" s="4" t="s">
        <v>992</v>
      </c>
    </row>
    <row r="995" spans="2:30" x14ac:dyDescent="0.35">
      <c r="B995" s="14">
        <v>1794</v>
      </c>
      <c r="C995" s="4" t="s">
        <v>913</v>
      </c>
      <c r="D995" s="4" t="s">
        <v>2373</v>
      </c>
      <c r="E995" s="4" t="s">
        <v>2912</v>
      </c>
      <c r="F995" s="4" t="s">
        <v>85</v>
      </c>
      <c r="G995" s="4" t="s">
        <v>993</v>
      </c>
      <c r="H995" s="6">
        <v>2.81E-2</v>
      </c>
      <c r="I995" s="8">
        <v>35</v>
      </c>
      <c r="J995" s="8">
        <v>63</v>
      </c>
      <c r="K995" s="8">
        <v>49</v>
      </c>
      <c r="L995" s="8">
        <f t="shared" si="57"/>
        <v>108045</v>
      </c>
      <c r="M995" s="15">
        <v>7897801315470</v>
      </c>
      <c r="N995" s="6" t="s">
        <v>20</v>
      </c>
      <c r="O995" s="6" t="s">
        <v>20</v>
      </c>
      <c r="P995" s="6" t="s">
        <v>20</v>
      </c>
      <c r="Q995" s="6">
        <v>0.17</v>
      </c>
      <c r="R995" s="6">
        <v>4.4999999999999998E-2</v>
      </c>
      <c r="S995" s="6">
        <v>0.17499999999999999</v>
      </c>
      <c r="T995" s="8">
        <v>10</v>
      </c>
      <c r="U995" s="5" t="s">
        <v>994</v>
      </c>
      <c r="V995" s="89">
        <v>0</v>
      </c>
      <c r="W995" s="15">
        <v>17897801315477</v>
      </c>
      <c r="X995" s="6">
        <v>0.34499999999999997</v>
      </c>
      <c r="Y995" s="6">
        <v>0.255</v>
      </c>
      <c r="Z995" s="6">
        <v>0.375</v>
      </c>
      <c r="AA995" s="6">
        <f t="shared" si="56"/>
        <v>3.2990624999999996E-2</v>
      </c>
      <c r="AB995" s="8">
        <v>210</v>
      </c>
      <c r="AC995" s="15">
        <v>27897801315474</v>
      </c>
      <c r="AD995" s="4" t="s">
        <v>992</v>
      </c>
    </row>
    <row r="996" spans="2:30" x14ac:dyDescent="0.35">
      <c r="B996" s="14">
        <v>1795</v>
      </c>
      <c r="C996" s="4" t="s">
        <v>914</v>
      </c>
      <c r="D996" s="4" t="s">
        <v>2373</v>
      </c>
      <c r="E996" s="4" t="s">
        <v>2912</v>
      </c>
      <c r="F996" s="4" t="s">
        <v>85</v>
      </c>
      <c r="G996" s="4" t="s">
        <v>993</v>
      </c>
      <c r="H996" s="6">
        <v>5.4600000000000003E-2</v>
      </c>
      <c r="I996" s="8">
        <v>58</v>
      </c>
      <c r="J996" s="8">
        <v>44</v>
      </c>
      <c r="K996" s="8">
        <v>72</v>
      </c>
      <c r="L996" s="8">
        <f t="shared" si="57"/>
        <v>183744</v>
      </c>
      <c r="M996" s="15">
        <v>7897801315487</v>
      </c>
      <c r="N996" s="6" t="s">
        <v>20</v>
      </c>
      <c r="O996" s="6" t="s">
        <v>20</v>
      </c>
      <c r="P996" s="6" t="s">
        <v>20</v>
      </c>
      <c r="Q996" s="6">
        <v>0.2</v>
      </c>
      <c r="R996" s="6">
        <v>4.4999999999999998E-2</v>
      </c>
      <c r="S996" s="6">
        <v>0.24</v>
      </c>
      <c r="T996" s="8">
        <v>10</v>
      </c>
      <c r="U996" s="5" t="s">
        <v>994</v>
      </c>
      <c r="V996" s="89">
        <v>0</v>
      </c>
      <c r="W996" s="15">
        <v>17897801315484</v>
      </c>
      <c r="X996" s="6">
        <v>0.34499999999999997</v>
      </c>
      <c r="Y996" s="6">
        <v>0.255</v>
      </c>
      <c r="Z996" s="6">
        <v>0.375</v>
      </c>
      <c r="AA996" s="6">
        <f t="shared" si="56"/>
        <v>3.2990624999999996E-2</v>
      </c>
      <c r="AB996" s="8">
        <v>120</v>
      </c>
      <c r="AC996" s="15">
        <v>27897801315481</v>
      </c>
      <c r="AD996" s="4" t="s">
        <v>992</v>
      </c>
    </row>
    <row r="997" spans="2:30" x14ac:dyDescent="0.35">
      <c r="B997" s="14">
        <v>1796</v>
      </c>
      <c r="C997" s="4" t="s">
        <v>915</v>
      </c>
      <c r="D997" s="4" t="s">
        <v>2373</v>
      </c>
      <c r="E997" s="4" t="s">
        <v>2912</v>
      </c>
      <c r="F997" s="4" t="s">
        <v>85</v>
      </c>
      <c r="G997" s="4" t="s">
        <v>993</v>
      </c>
      <c r="H997" s="6">
        <v>0.10299999999999999</v>
      </c>
      <c r="I997" s="8">
        <v>53</v>
      </c>
      <c r="J997" s="8">
        <v>70</v>
      </c>
      <c r="K997" s="8">
        <v>86</v>
      </c>
      <c r="L997" s="8">
        <f t="shared" si="57"/>
        <v>319060</v>
      </c>
      <c r="M997" s="15">
        <v>7897801315494</v>
      </c>
      <c r="N997" s="6" t="s">
        <v>20</v>
      </c>
      <c r="O997" s="6" t="s">
        <v>20</v>
      </c>
      <c r="P997" s="6" t="s">
        <v>20</v>
      </c>
      <c r="Q997" s="6">
        <v>0.16</v>
      </c>
      <c r="R997" s="6">
        <v>7.0000000000000007E-2</v>
      </c>
      <c r="S997" s="6">
        <v>0.17</v>
      </c>
      <c r="T997" s="8">
        <v>5</v>
      </c>
      <c r="U997" s="5" t="s">
        <v>994</v>
      </c>
      <c r="V997" s="89">
        <v>0</v>
      </c>
      <c r="W997" s="15">
        <v>17897801315491</v>
      </c>
      <c r="X997" s="6">
        <v>0.34499999999999997</v>
      </c>
      <c r="Y997" s="6">
        <v>0.255</v>
      </c>
      <c r="Z997" s="6">
        <v>0.375</v>
      </c>
      <c r="AA997" s="6">
        <f t="shared" si="56"/>
        <v>3.2990624999999996E-2</v>
      </c>
      <c r="AB997" s="8">
        <v>65</v>
      </c>
      <c r="AC997" s="15">
        <v>27897801315498</v>
      </c>
      <c r="AD997" s="4" t="s">
        <v>992</v>
      </c>
    </row>
    <row r="998" spans="2:30" x14ac:dyDescent="0.35">
      <c r="B998" s="14">
        <v>1797</v>
      </c>
      <c r="C998" s="4" t="s">
        <v>916</v>
      </c>
      <c r="D998" s="4" t="s">
        <v>2373</v>
      </c>
      <c r="E998" s="4" t="s">
        <v>2912</v>
      </c>
      <c r="F998" s="4" t="s">
        <v>85</v>
      </c>
      <c r="G998" s="4" t="s">
        <v>993</v>
      </c>
      <c r="H998" s="6">
        <v>0.17449999999999999</v>
      </c>
      <c r="I998" s="8">
        <v>67</v>
      </c>
      <c r="J998" s="8">
        <v>83</v>
      </c>
      <c r="K998" s="8">
        <v>100</v>
      </c>
      <c r="L998" s="8">
        <f t="shared" si="57"/>
        <v>556100</v>
      </c>
      <c r="M998" s="15">
        <v>7897801315500</v>
      </c>
      <c r="N998" s="6" t="s">
        <v>20</v>
      </c>
      <c r="O998" s="6" t="s">
        <v>20</v>
      </c>
      <c r="P998" s="6" t="s">
        <v>20</v>
      </c>
      <c r="Q998" s="6">
        <v>0.1</v>
      </c>
      <c r="R998" s="6">
        <v>8.5000000000000006E-2</v>
      </c>
      <c r="S998" s="6">
        <v>0.13500000000000001</v>
      </c>
      <c r="T998" s="8">
        <v>2</v>
      </c>
      <c r="U998" s="5" t="s">
        <v>994</v>
      </c>
      <c r="V998" s="89">
        <v>0</v>
      </c>
      <c r="W998" s="15">
        <v>17897801315507</v>
      </c>
      <c r="X998" s="6">
        <v>0.34499999999999997</v>
      </c>
      <c r="Y998" s="6">
        <v>0.255</v>
      </c>
      <c r="Z998" s="6">
        <v>0.375</v>
      </c>
      <c r="AA998" s="6">
        <f t="shared" si="56"/>
        <v>3.2990624999999996E-2</v>
      </c>
      <c r="AB998" s="8">
        <v>40</v>
      </c>
      <c r="AC998" s="15">
        <v>27897801315504</v>
      </c>
      <c r="AD998" s="4" t="s">
        <v>992</v>
      </c>
    </row>
    <row r="999" spans="2:30" x14ac:dyDescent="0.35">
      <c r="B999" s="14">
        <v>1798</v>
      </c>
      <c r="C999" s="4" t="s">
        <v>917</v>
      </c>
      <c r="D999" s="4" t="s">
        <v>2373</v>
      </c>
      <c r="E999" s="4" t="s">
        <v>2912</v>
      </c>
      <c r="F999" s="4" t="s">
        <v>85</v>
      </c>
      <c r="G999" s="4" t="s">
        <v>993</v>
      </c>
      <c r="H999" s="6">
        <v>0.33960000000000001</v>
      </c>
      <c r="I999" s="8">
        <v>86</v>
      </c>
      <c r="J999" s="8">
        <v>105</v>
      </c>
      <c r="K999" s="8">
        <v>124</v>
      </c>
      <c r="L999" s="8">
        <f t="shared" si="57"/>
        <v>1119720</v>
      </c>
      <c r="M999" s="15">
        <v>7897801315517</v>
      </c>
      <c r="N999" s="6" t="s">
        <v>20</v>
      </c>
      <c r="O999" s="6" t="s">
        <v>20</v>
      </c>
      <c r="P999" s="6" t="s">
        <v>20</v>
      </c>
      <c r="Q999" s="6">
        <v>0.105</v>
      </c>
      <c r="R999" s="6">
        <v>8.5000000000000006E-2</v>
      </c>
      <c r="S999" s="6">
        <v>0.125</v>
      </c>
      <c r="T999" s="8">
        <v>1</v>
      </c>
      <c r="U999" s="5" t="s">
        <v>994</v>
      </c>
      <c r="V999" s="89">
        <v>0</v>
      </c>
      <c r="W999" s="15">
        <v>17897801315514</v>
      </c>
      <c r="X999" s="6">
        <v>0.34499999999999997</v>
      </c>
      <c r="Y999" s="6">
        <v>0.255</v>
      </c>
      <c r="Z999" s="6">
        <v>0.375</v>
      </c>
      <c r="AA999" s="6">
        <f t="shared" si="56"/>
        <v>3.2990624999999996E-2</v>
      </c>
      <c r="AB999" s="8">
        <v>22</v>
      </c>
      <c r="AC999" s="15">
        <v>27897801315511</v>
      </c>
      <c r="AD999" s="4" t="s">
        <v>992</v>
      </c>
    </row>
    <row r="1000" spans="2:30" x14ac:dyDescent="0.35">
      <c r="B1000" s="14">
        <v>1799</v>
      </c>
      <c r="C1000" s="4" t="s">
        <v>918</v>
      </c>
      <c r="D1000" s="4" t="s">
        <v>2373</v>
      </c>
      <c r="E1000" s="4" t="s">
        <v>2912</v>
      </c>
      <c r="F1000" s="4" t="s">
        <v>85</v>
      </c>
      <c r="G1000" s="4" t="s">
        <v>993</v>
      </c>
      <c r="H1000" s="6">
        <v>0.50780000000000003</v>
      </c>
      <c r="I1000" s="8">
        <v>120</v>
      </c>
      <c r="J1000" s="8">
        <v>102</v>
      </c>
      <c r="K1000" s="8">
        <v>140</v>
      </c>
      <c r="L1000" s="8">
        <f t="shared" si="57"/>
        <v>1713600</v>
      </c>
      <c r="M1000" s="15">
        <v>7897801315524</v>
      </c>
      <c r="N1000" s="6" t="s">
        <v>20</v>
      </c>
      <c r="O1000" s="6" t="s">
        <v>20</v>
      </c>
      <c r="P1000" s="6" t="s">
        <v>20</v>
      </c>
      <c r="Q1000" s="6">
        <v>0.12</v>
      </c>
      <c r="R1000" s="6">
        <v>0.1</v>
      </c>
      <c r="S1000" s="6">
        <v>0.14000000000000001</v>
      </c>
      <c r="T1000" s="8">
        <v>1</v>
      </c>
      <c r="U1000" s="5" t="s">
        <v>994</v>
      </c>
      <c r="V1000" s="89">
        <v>0</v>
      </c>
      <c r="W1000" s="15">
        <v>17897801315521</v>
      </c>
      <c r="X1000" s="6">
        <v>0.34499999999999997</v>
      </c>
      <c r="Y1000" s="6">
        <v>0.255</v>
      </c>
      <c r="Z1000" s="6">
        <v>0.375</v>
      </c>
      <c r="AA1000" s="6">
        <f t="shared" si="56"/>
        <v>3.2990624999999996E-2</v>
      </c>
      <c r="AB1000" s="8">
        <v>13</v>
      </c>
      <c r="AC1000" s="15">
        <v>27897801315528</v>
      </c>
      <c r="AD1000" s="4" t="s">
        <v>992</v>
      </c>
    </row>
    <row r="1001" spans="2:30" x14ac:dyDescent="0.35">
      <c r="B1001" s="14">
        <v>1802</v>
      </c>
      <c r="C1001" s="4" t="s">
        <v>919</v>
      </c>
      <c r="D1001" s="4" t="s">
        <v>2373</v>
      </c>
      <c r="E1001" s="4" t="s">
        <v>2912</v>
      </c>
      <c r="F1001" s="4" t="s">
        <v>85</v>
      </c>
      <c r="G1001" s="4" t="s">
        <v>993</v>
      </c>
      <c r="H1001" s="6">
        <v>2.64E-2</v>
      </c>
      <c r="I1001" s="8">
        <v>33</v>
      </c>
      <c r="J1001" s="8">
        <v>45</v>
      </c>
      <c r="K1001" s="8">
        <v>56</v>
      </c>
      <c r="L1001" s="8">
        <f t="shared" si="57"/>
        <v>83160</v>
      </c>
      <c r="M1001" s="15">
        <v>7897801315555</v>
      </c>
      <c r="N1001" s="6" t="s">
        <v>20</v>
      </c>
      <c r="O1001" s="6" t="s">
        <v>20</v>
      </c>
      <c r="P1001" s="6" t="s">
        <v>20</v>
      </c>
      <c r="Q1001" s="6">
        <v>0.16</v>
      </c>
      <c r="R1001" s="6">
        <v>4.4999999999999998E-2</v>
      </c>
      <c r="S1001" s="6">
        <v>0.16</v>
      </c>
      <c r="T1001" s="8">
        <v>10</v>
      </c>
      <c r="U1001" s="5" t="s">
        <v>994</v>
      </c>
      <c r="V1001" s="89">
        <v>0</v>
      </c>
      <c r="W1001" s="15">
        <v>17897801315552</v>
      </c>
      <c r="X1001" s="6">
        <v>0.34499999999999997</v>
      </c>
      <c r="Y1001" s="6">
        <v>0.255</v>
      </c>
      <c r="Z1001" s="6">
        <v>0.375</v>
      </c>
      <c r="AA1001" s="6">
        <f t="shared" si="56"/>
        <v>3.2990624999999996E-2</v>
      </c>
      <c r="AB1001" s="8">
        <v>250</v>
      </c>
      <c r="AC1001" s="15">
        <v>27897801315559</v>
      </c>
      <c r="AD1001" s="4" t="s">
        <v>992</v>
      </c>
    </row>
    <row r="1002" spans="2:30" x14ac:dyDescent="0.35">
      <c r="B1002" s="14">
        <v>1803</v>
      </c>
      <c r="C1002" s="4" t="s">
        <v>920</v>
      </c>
      <c r="D1002" s="4" t="s">
        <v>2373</v>
      </c>
      <c r="E1002" s="4" t="s">
        <v>2912</v>
      </c>
      <c r="F1002" s="4" t="s">
        <v>85</v>
      </c>
      <c r="G1002" s="4" t="s">
        <v>993</v>
      </c>
      <c r="H1002" s="6">
        <v>4.3299999999999998E-2</v>
      </c>
      <c r="I1002" s="8">
        <v>55</v>
      </c>
      <c r="J1002" s="8">
        <v>43</v>
      </c>
      <c r="K1002" s="8">
        <v>60</v>
      </c>
      <c r="L1002" s="8">
        <f t="shared" si="57"/>
        <v>141900</v>
      </c>
      <c r="M1002" s="15">
        <v>7897801315562</v>
      </c>
      <c r="N1002" s="6" t="s">
        <v>20</v>
      </c>
      <c r="O1002" s="6" t="s">
        <v>20</v>
      </c>
      <c r="P1002" s="6" t="s">
        <v>20</v>
      </c>
      <c r="Q1002" s="6">
        <v>0.11</v>
      </c>
      <c r="R1002" s="6">
        <v>0.06</v>
      </c>
      <c r="S1002" s="6">
        <v>0.15</v>
      </c>
      <c r="T1002" s="8">
        <v>5</v>
      </c>
      <c r="U1002" s="5" t="s">
        <v>994</v>
      </c>
      <c r="V1002" s="89">
        <v>0</v>
      </c>
      <c r="W1002" s="15">
        <v>17897801315569</v>
      </c>
      <c r="X1002" s="6">
        <v>0.34499999999999997</v>
      </c>
      <c r="Y1002" s="6">
        <v>0.255</v>
      </c>
      <c r="Z1002" s="6">
        <v>0.375</v>
      </c>
      <c r="AA1002" s="6">
        <f t="shared" si="56"/>
        <v>3.2990624999999996E-2</v>
      </c>
      <c r="AB1002" s="8">
        <v>130</v>
      </c>
      <c r="AC1002" s="15">
        <v>27897801315566</v>
      </c>
      <c r="AD1002" s="4" t="s">
        <v>992</v>
      </c>
    </row>
    <row r="1003" spans="2:30" x14ac:dyDescent="0.35">
      <c r="B1003" s="14">
        <v>1804</v>
      </c>
      <c r="C1003" s="4" t="s">
        <v>921</v>
      </c>
      <c r="D1003" s="4" t="s">
        <v>2373</v>
      </c>
      <c r="E1003" s="4" t="s">
        <v>2912</v>
      </c>
      <c r="F1003" s="4" t="s">
        <v>85</v>
      </c>
      <c r="G1003" s="4" t="s">
        <v>993</v>
      </c>
      <c r="H1003" s="6">
        <v>4.99E-2</v>
      </c>
      <c r="I1003" s="8">
        <v>42</v>
      </c>
      <c r="J1003" s="8">
        <v>57</v>
      </c>
      <c r="K1003" s="8">
        <v>65</v>
      </c>
      <c r="L1003" s="8">
        <f t="shared" si="57"/>
        <v>155610</v>
      </c>
      <c r="M1003" s="15">
        <v>7897801315579</v>
      </c>
      <c r="N1003" s="6" t="s">
        <v>20</v>
      </c>
      <c r="O1003" s="6" t="s">
        <v>20</v>
      </c>
      <c r="P1003" s="6" t="s">
        <v>20</v>
      </c>
      <c r="Q1003" s="6">
        <v>0.15</v>
      </c>
      <c r="R1003" s="6">
        <v>0.04</v>
      </c>
      <c r="S1003" s="6">
        <v>0.18</v>
      </c>
      <c r="T1003" s="8">
        <v>5</v>
      </c>
      <c r="U1003" s="5" t="s">
        <v>994</v>
      </c>
      <c r="V1003" s="89">
        <v>0</v>
      </c>
      <c r="W1003" s="15">
        <v>17897801315576</v>
      </c>
      <c r="X1003" s="6">
        <v>0.34499999999999997</v>
      </c>
      <c r="Y1003" s="6">
        <v>0.255</v>
      </c>
      <c r="Z1003" s="6">
        <v>0.375</v>
      </c>
      <c r="AA1003" s="6">
        <f t="shared" si="56"/>
        <v>3.2990624999999996E-2</v>
      </c>
      <c r="AB1003" s="8">
        <v>130</v>
      </c>
      <c r="AC1003" s="15">
        <v>27897801315573</v>
      </c>
      <c r="AD1003" s="4" t="s">
        <v>992</v>
      </c>
    </row>
    <row r="1004" spans="2:30" x14ac:dyDescent="0.35">
      <c r="B1004" s="14">
        <v>1805</v>
      </c>
      <c r="C1004" s="4" t="s">
        <v>922</v>
      </c>
      <c r="D1004" s="4" t="s">
        <v>2373</v>
      </c>
      <c r="E1004" s="4" t="s">
        <v>2912</v>
      </c>
      <c r="F1004" s="4" t="s">
        <v>85</v>
      </c>
      <c r="G1004" s="4" t="s">
        <v>993</v>
      </c>
      <c r="H1004" s="6">
        <v>7.9500000000000001E-2</v>
      </c>
      <c r="I1004" s="8">
        <v>54</v>
      </c>
      <c r="J1004" s="8">
        <v>66</v>
      </c>
      <c r="K1004" s="8">
        <v>70</v>
      </c>
      <c r="L1004" s="8">
        <f t="shared" si="57"/>
        <v>249480</v>
      </c>
      <c r="M1004" s="15">
        <v>7897801315586</v>
      </c>
      <c r="N1004" s="6" t="s">
        <v>20</v>
      </c>
      <c r="O1004" s="6" t="s">
        <v>20</v>
      </c>
      <c r="P1004" s="6" t="s">
        <v>20</v>
      </c>
      <c r="Q1004" s="6">
        <v>0.16</v>
      </c>
      <c r="R1004" s="6">
        <v>5.5E-2</v>
      </c>
      <c r="S1004" s="6">
        <v>0.18</v>
      </c>
      <c r="T1004" s="8">
        <v>5</v>
      </c>
      <c r="U1004" s="5" t="s">
        <v>994</v>
      </c>
      <c r="V1004" s="89">
        <v>0</v>
      </c>
      <c r="W1004" s="15">
        <v>17897801315583</v>
      </c>
      <c r="X1004" s="6">
        <v>0.34499999999999997</v>
      </c>
      <c r="Y1004" s="6">
        <v>0.255</v>
      </c>
      <c r="Z1004" s="6">
        <v>0.375</v>
      </c>
      <c r="AA1004" s="6">
        <f t="shared" si="56"/>
        <v>3.2990624999999996E-2</v>
      </c>
      <c r="AB1004" s="8">
        <v>80</v>
      </c>
      <c r="AC1004" s="15">
        <v>27897801315580</v>
      </c>
      <c r="AD1004" s="4" t="s">
        <v>992</v>
      </c>
    </row>
    <row r="1005" spans="2:30" x14ac:dyDescent="0.35">
      <c r="B1005" s="14">
        <v>1806</v>
      </c>
      <c r="C1005" s="4" t="s">
        <v>923</v>
      </c>
      <c r="D1005" s="4" t="s">
        <v>2373</v>
      </c>
      <c r="E1005" s="4" t="s">
        <v>2912</v>
      </c>
      <c r="F1005" s="4" t="s">
        <v>85</v>
      </c>
      <c r="G1005" s="4" t="s">
        <v>993</v>
      </c>
      <c r="H1005" s="6">
        <v>8.8800000000000004E-2</v>
      </c>
      <c r="I1005" s="8">
        <v>67</v>
      </c>
      <c r="J1005" s="8">
        <v>54</v>
      </c>
      <c r="K1005" s="8">
        <v>77</v>
      </c>
      <c r="L1005" s="8">
        <f t="shared" si="57"/>
        <v>278586</v>
      </c>
      <c r="M1005" s="15">
        <v>7897801315593</v>
      </c>
      <c r="N1005" s="6" t="s">
        <v>20</v>
      </c>
      <c r="O1005" s="6" t="s">
        <v>20</v>
      </c>
      <c r="P1005" s="6" t="s">
        <v>20</v>
      </c>
      <c r="Q1005" s="6">
        <v>0.16</v>
      </c>
      <c r="R1005" s="6">
        <v>7.0000000000000007E-2</v>
      </c>
      <c r="S1005" s="6">
        <v>0.16</v>
      </c>
      <c r="T1005" s="8">
        <v>5</v>
      </c>
      <c r="U1005" s="5" t="s">
        <v>994</v>
      </c>
      <c r="V1005" s="89">
        <v>0</v>
      </c>
      <c r="W1005" s="15">
        <v>17897801315590</v>
      </c>
      <c r="X1005" s="6">
        <v>0.34499999999999997</v>
      </c>
      <c r="Y1005" s="6">
        <v>0.255</v>
      </c>
      <c r="Z1005" s="6">
        <v>0.375</v>
      </c>
      <c r="AA1005" s="6">
        <f t="shared" si="56"/>
        <v>3.2990624999999996E-2</v>
      </c>
      <c r="AB1005" s="8">
        <v>80</v>
      </c>
      <c r="AC1005" s="15">
        <v>27897801315597</v>
      </c>
      <c r="AD1005" s="4" t="s">
        <v>992</v>
      </c>
    </row>
    <row r="1006" spans="2:30" x14ac:dyDescent="0.35">
      <c r="B1006" s="14">
        <v>1807</v>
      </c>
      <c r="C1006" s="4" t="s">
        <v>924</v>
      </c>
      <c r="D1006" s="4" t="s">
        <v>2373</v>
      </c>
      <c r="E1006" s="4" t="s">
        <v>2912</v>
      </c>
      <c r="F1006" s="4" t="s">
        <v>85</v>
      </c>
      <c r="G1006" s="4" t="s">
        <v>993</v>
      </c>
      <c r="H1006" s="6">
        <v>0.12570000000000001</v>
      </c>
      <c r="I1006" s="8">
        <v>67</v>
      </c>
      <c r="J1006" s="8">
        <v>76</v>
      </c>
      <c r="K1006" s="8">
        <v>76</v>
      </c>
      <c r="L1006" s="8">
        <f t="shared" si="57"/>
        <v>386992</v>
      </c>
      <c r="M1006" s="15">
        <v>7897801315609</v>
      </c>
      <c r="N1006" s="6" t="s">
        <v>20</v>
      </c>
      <c r="O1006" s="6" t="s">
        <v>20</v>
      </c>
      <c r="P1006" s="6" t="s">
        <v>20</v>
      </c>
      <c r="Q1006" s="6">
        <v>7.5999999999999998E-2</v>
      </c>
      <c r="R1006" s="6">
        <v>7.5999999999999998E-2</v>
      </c>
      <c r="S1006" s="6">
        <v>0.13500000000000001</v>
      </c>
      <c r="T1006" s="8">
        <v>2</v>
      </c>
      <c r="U1006" s="5" t="s">
        <v>994</v>
      </c>
      <c r="V1006" s="89">
        <v>0</v>
      </c>
      <c r="W1006" s="15">
        <v>17897801315606</v>
      </c>
      <c r="X1006" s="6">
        <v>0.34499999999999997</v>
      </c>
      <c r="Y1006" s="6">
        <v>0.255</v>
      </c>
      <c r="Z1006" s="6">
        <v>0.375</v>
      </c>
      <c r="AA1006" s="6">
        <f t="shared" ref="AA1006:AA1026" si="58">Y1006*X1006*Z1006</f>
        <v>3.2990624999999996E-2</v>
      </c>
      <c r="AB1006" s="8">
        <v>60</v>
      </c>
      <c r="AC1006" s="15">
        <v>27897801315603</v>
      </c>
      <c r="AD1006" s="4" t="s">
        <v>992</v>
      </c>
    </row>
    <row r="1007" spans="2:30" x14ac:dyDescent="0.35">
      <c r="B1007" s="14">
        <v>1808</v>
      </c>
      <c r="C1007" s="4" t="s">
        <v>925</v>
      </c>
      <c r="D1007" s="4" t="s">
        <v>2373</v>
      </c>
      <c r="E1007" s="4" t="s">
        <v>2912</v>
      </c>
      <c r="F1007" s="4" t="s">
        <v>85</v>
      </c>
      <c r="G1007" s="4" t="s">
        <v>993</v>
      </c>
      <c r="H1007" s="6">
        <v>0.1444</v>
      </c>
      <c r="I1007" s="8">
        <v>68</v>
      </c>
      <c r="J1007" s="8">
        <v>79</v>
      </c>
      <c r="K1007" s="8">
        <v>84</v>
      </c>
      <c r="L1007" s="8">
        <f t="shared" si="57"/>
        <v>451248</v>
      </c>
      <c r="M1007" s="15">
        <v>7897801315616</v>
      </c>
      <c r="N1007" s="6" t="s">
        <v>20</v>
      </c>
      <c r="O1007" s="6" t="s">
        <v>20</v>
      </c>
      <c r="P1007" s="6" t="s">
        <v>20</v>
      </c>
      <c r="Q1007" s="6">
        <v>8.5000000000000006E-2</v>
      </c>
      <c r="R1007" s="6">
        <v>7.0000000000000007E-2</v>
      </c>
      <c r="S1007" s="6">
        <v>0.16</v>
      </c>
      <c r="T1007" s="8">
        <v>2</v>
      </c>
      <c r="U1007" s="5" t="s">
        <v>994</v>
      </c>
      <c r="V1007" s="89">
        <v>0</v>
      </c>
      <c r="W1007" s="15">
        <v>17897801315613</v>
      </c>
      <c r="X1007" s="6">
        <v>0.34499999999999997</v>
      </c>
      <c r="Y1007" s="6">
        <v>0.255</v>
      </c>
      <c r="Z1007" s="6">
        <v>0.375</v>
      </c>
      <c r="AA1007" s="6">
        <f t="shared" si="58"/>
        <v>3.2990624999999996E-2</v>
      </c>
      <c r="AB1007" s="8">
        <v>54</v>
      </c>
      <c r="AC1007" s="15">
        <v>27897801315610</v>
      </c>
      <c r="AD1007" s="4" t="s">
        <v>992</v>
      </c>
    </row>
    <row r="1008" spans="2:30" x14ac:dyDescent="0.35">
      <c r="B1008" s="14">
        <v>1809</v>
      </c>
      <c r="C1008" s="4" t="s">
        <v>926</v>
      </c>
      <c r="D1008" s="4" t="s">
        <v>2373</v>
      </c>
      <c r="E1008" s="4" t="s">
        <v>2912</v>
      </c>
      <c r="F1008" s="4" t="s">
        <v>85</v>
      </c>
      <c r="G1008" s="4" t="s">
        <v>993</v>
      </c>
      <c r="H1008" s="6">
        <v>0.16250000000000001</v>
      </c>
      <c r="I1008" s="8">
        <v>67</v>
      </c>
      <c r="J1008" s="8">
        <v>81</v>
      </c>
      <c r="K1008" s="8">
        <v>92</v>
      </c>
      <c r="L1008" s="8">
        <f t="shared" si="57"/>
        <v>499284</v>
      </c>
      <c r="M1008" s="15">
        <v>7897801315623</v>
      </c>
      <c r="N1008" s="6" t="s">
        <v>20</v>
      </c>
      <c r="O1008" s="6" t="s">
        <v>20</v>
      </c>
      <c r="P1008" s="6" t="s">
        <v>20</v>
      </c>
      <c r="Q1008" s="6">
        <v>0</v>
      </c>
      <c r="R1008" s="6">
        <v>0</v>
      </c>
      <c r="S1008" s="6">
        <v>0</v>
      </c>
      <c r="T1008" s="8">
        <v>2</v>
      </c>
      <c r="U1008" s="5" t="s">
        <v>994</v>
      </c>
      <c r="V1008" s="89">
        <v>0</v>
      </c>
      <c r="W1008" s="15">
        <v>17897801315620</v>
      </c>
      <c r="X1008" s="6">
        <v>0.34499999999999997</v>
      </c>
      <c r="Y1008" s="6">
        <v>0.255</v>
      </c>
      <c r="Z1008" s="6">
        <v>0.37</v>
      </c>
      <c r="AA1008" s="6">
        <f t="shared" si="58"/>
        <v>3.2550749999999996E-2</v>
      </c>
      <c r="AB1008" s="8">
        <v>48</v>
      </c>
      <c r="AC1008" s="15">
        <v>27897801315627</v>
      </c>
      <c r="AD1008" s="4" t="s">
        <v>992</v>
      </c>
    </row>
    <row r="1009" spans="2:30" x14ac:dyDescent="0.35">
      <c r="B1009" s="14">
        <v>1810</v>
      </c>
      <c r="C1009" s="4" t="s">
        <v>927</v>
      </c>
      <c r="D1009" s="4" t="s">
        <v>2373</v>
      </c>
      <c r="E1009" s="4" t="s">
        <v>2912</v>
      </c>
      <c r="F1009" s="4" t="s">
        <v>85</v>
      </c>
      <c r="G1009" s="4" t="s">
        <v>993</v>
      </c>
      <c r="H1009" s="6">
        <v>0.2346</v>
      </c>
      <c r="I1009" s="8">
        <v>85</v>
      </c>
      <c r="J1009" s="8">
        <v>96</v>
      </c>
      <c r="K1009" s="8">
        <v>100</v>
      </c>
      <c r="L1009" s="8">
        <f t="shared" si="57"/>
        <v>816000</v>
      </c>
      <c r="M1009" s="15">
        <v>7897801315630</v>
      </c>
      <c r="N1009" s="6" t="s">
        <v>20</v>
      </c>
      <c r="O1009" s="6" t="s">
        <v>20</v>
      </c>
      <c r="P1009" s="6" t="s">
        <v>20</v>
      </c>
      <c r="Q1009" s="6">
        <v>0.1</v>
      </c>
      <c r="R1009" s="6">
        <v>8.5000000000000006E-2</v>
      </c>
      <c r="S1009" s="6">
        <v>0.105</v>
      </c>
      <c r="T1009" s="8">
        <v>1</v>
      </c>
      <c r="U1009" s="5" t="s">
        <v>994</v>
      </c>
      <c r="V1009" s="89">
        <v>0</v>
      </c>
      <c r="W1009" s="15">
        <v>17897801315637</v>
      </c>
      <c r="X1009" s="6">
        <v>0.34499999999999997</v>
      </c>
      <c r="Y1009" s="6">
        <v>0.255</v>
      </c>
      <c r="Z1009" s="6">
        <v>0.375</v>
      </c>
      <c r="AA1009" s="6">
        <f t="shared" si="58"/>
        <v>3.2990624999999996E-2</v>
      </c>
      <c r="AB1009" s="8">
        <v>28</v>
      </c>
      <c r="AC1009" s="15">
        <v>27897801315634</v>
      </c>
      <c r="AD1009" s="4" t="s">
        <v>992</v>
      </c>
    </row>
    <row r="1010" spans="2:30" x14ac:dyDescent="0.35">
      <c r="B1010" s="14">
        <v>1811</v>
      </c>
      <c r="C1010" s="4" t="s">
        <v>928</v>
      </c>
      <c r="D1010" s="4" t="s">
        <v>2373</v>
      </c>
      <c r="E1010" s="4" t="s">
        <v>2912</v>
      </c>
      <c r="F1010" s="4" t="s">
        <v>85</v>
      </c>
      <c r="G1010" s="4" t="s">
        <v>993</v>
      </c>
      <c r="H1010" s="6">
        <v>0.26579999999999998</v>
      </c>
      <c r="I1010" s="8">
        <v>37</v>
      </c>
      <c r="J1010" s="8">
        <v>25</v>
      </c>
      <c r="K1010" s="8">
        <v>35</v>
      </c>
      <c r="L1010" s="8">
        <f t="shared" si="57"/>
        <v>32375</v>
      </c>
      <c r="M1010" s="15">
        <v>7897801315647</v>
      </c>
      <c r="N1010" s="6" t="s">
        <v>20</v>
      </c>
      <c r="O1010" s="6" t="s">
        <v>20</v>
      </c>
      <c r="P1010" s="6" t="s">
        <v>20</v>
      </c>
      <c r="Q1010" s="6">
        <v>0.35</v>
      </c>
      <c r="R1010" s="6">
        <v>0.25</v>
      </c>
      <c r="S1010" s="6">
        <v>0.37</v>
      </c>
      <c r="T1010" s="8">
        <v>1</v>
      </c>
      <c r="U1010" s="5" t="s">
        <v>994</v>
      </c>
      <c r="V1010" s="89">
        <v>0</v>
      </c>
      <c r="W1010" s="15">
        <v>17897801315644</v>
      </c>
      <c r="X1010" s="6">
        <v>0.35</v>
      </c>
      <c r="Y1010" s="6">
        <v>0.25</v>
      </c>
      <c r="Z1010" s="6">
        <v>0.37</v>
      </c>
      <c r="AA1010" s="6">
        <f t="shared" si="58"/>
        <v>3.2375000000000001E-2</v>
      </c>
      <c r="AB1010" s="8">
        <v>27</v>
      </c>
      <c r="AC1010" s="15">
        <v>27897801315641</v>
      </c>
      <c r="AD1010" s="4" t="s">
        <v>992</v>
      </c>
    </row>
    <row r="1011" spans="2:30" x14ac:dyDescent="0.35">
      <c r="B1011" s="14">
        <v>1812</v>
      </c>
      <c r="C1011" s="4" t="s">
        <v>929</v>
      </c>
      <c r="D1011" s="4" t="s">
        <v>2373</v>
      </c>
      <c r="E1011" s="4" t="s">
        <v>2912</v>
      </c>
      <c r="F1011" s="4" t="s">
        <v>85</v>
      </c>
      <c r="G1011" s="4" t="s">
        <v>993</v>
      </c>
      <c r="H1011" s="6">
        <v>0.378</v>
      </c>
      <c r="I1011" s="8">
        <v>101</v>
      </c>
      <c r="J1011" s="8">
        <v>113</v>
      </c>
      <c r="K1011" s="8">
        <v>116</v>
      </c>
      <c r="L1011" s="8">
        <f t="shared" si="57"/>
        <v>1323908</v>
      </c>
      <c r="M1011" s="15">
        <v>7897801315654</v>
      </c>
      <c r="N1011" s="6" t="s">
        <v>20</v>
      </c>
      <c r="O1011" s="6" t="s">
        <v>20</v>
      </c>
      <c r="P1011" s="6" t="s">
        <v>20</v>
      </c>
      <c r="Q1011" s="6">
        <v>0</v>
      </c>
      <c r="R1011" s="6">
        <v>0</v>
      </c>
      <c r="S1011" s="6">
        <v>0</v>
      </c>
      <c r="T1011" s="8">
        <v>1</v>
      </c>
      <c r="U1011" s="5" t="s">
        <v>994</v>
      </c>
      <c r="V1011" s="89">
        <v>0</v>
      </c>
      <c r="W1011" s="15">
        <v>17897801315651</v>
      </c>
      <c r="X1011" s="6">
        <v>0.34499999999999997</v>
      </c>
      <c r="Y1011" s="6">
        <v>0.25</v>
      </c>
      <c r="Z1011" s="6">
        <v>0.375</v>
      </c>
      <c r="AA1011" s="6">
        <f t="shared" si="58"/>
        <v>3.2343749999999998E-2</v>
      </c>
      <c r="AB1011" s="8">
        <v>15</v>
      </c>
      <c r="AC1011" s="15">
        <v>27897801315658</v>
      </c>
      <c r="AD1011" s="4" t="s">
        <v>992</v>
      </c>
    </row>
    <row r="1012" spans="2:30" x14ac:dyDescent="0.35">
      <c r="B1012" s="14">
        <v>1813</v>
      </c>
      <c r="C1012" s="4" t="s">
        <v>930</v>
      </c>
      <c r="D1012" s="4" t="s">
        <v>2373</v>
      </c>
      <c r="E1012" s="4" t="s">
        <v>2912</v>
      </c>
      <c r="F1012" s="4" t="s">
        <v>85</v>
      </c>
      <c r="G1012" s="4" t="s">
        <v>993</v>
      </c>
      <c r="H1012" s="6">
        <v>0.45279999999999998</v>
      </c>
      <c r="I1012" s="8">
        <v>118</v>
      </c>
      <c r="J1012" s="8">
        <v>102</v>
      </c>
      <c r="K1012" s="8">
        <v>129</v>
      </c>
      <c r="L1012" s="8">
        <f t="shared" si="57"/>
        <v>1552644</v>
      </c>
      <c r="M1012" s="15">
        <v>7897801315661</v>
      </c>
      <c r="N1012" s="6" t="s">
        <v>20</v>
      </c>
      <c r="O1012" s="6" t="s">
        <v>20</v>
      </c>
      <c r="P1012" s="6" t="s">
        <v>20</v>
      </c>
      <c r="Q1012" s="6">
        <v>0</v>
      </c>
      <c r="R1012" s="6">
        <v>0</v>
      </c>
      <c r="S1012" s="6">
        <v>0</v>
      </c>
      <c r="T1012" s="8">
        <v>1</v>
      </c>
      <c r="U1012" s="5" t="s">
        <v>994</v>
      </c>
      <c r="V1012" s="89">
        <v>0</v>
      </c>
      <c r="W1012" s="15">
        <v>17897801315668</v>
      </c>
      <c r="X1012" s="6">
        <v>0.34499999999999997</v>
      </c>
      <c r="Y1012" s="6">
        <v>0.255</v>
      </c>
      <c r="Z1012" s="6">
        <v>0.37</v>
      </c>
      <c r="AA1012" s="6">
        <f t="shared" si="58"/>
        <v>3.2550749999999996E-2</v>
      </c>
      <c r="AB1012" s="8">
        <v>15</v>
      </c>
      <c r="AC1012" s="15">
        <v>27897801315665</v>
      </c>
      <c r="AD1012" s="4" t="s">
        <v>992</v>
      </c>
    </row>
    <row r="1013" spans="2:30" x14ac:dyDescent="0.35">
      <c r="B1013" s="14">
        <v>1814</v>
      </c>
      <c r="C1013" s="4" t="s">
        <v>931</v>
      </c>
      <c r="D1013" s="4" t="s">
        <v>2373</v>
      </c>
      <c r="E1013" s="4" t="s">
        <v>2912</v>
      </c>
      <c r="F1013" s="4" t="s">
        <v>85</v>
      </c>
      <c r="G1013" s="4" t="s">
        <v>993</v>
      </c>
      <c r="H1013" s="6">
        <v>0.64549999999999996</v>
      </c>
      <c r="I1013" s="8">
        <v>121</v>
      </c>
      <c r="J1013" s="8">
        <v>135</v>
      </c>
      <c r="K1013" s="8">
        <v>136</v>
      </c>
      <c r="L1013" s="8">
        <f t="shared" si="57"/>
        <v>2221560</v>
      </c>
      <c r="M1013" s="15">
        <v>7897801315678</v>
      </c>
      <c r="N1013" s="6" t="s">
        <v>20</v>
      </c>
      <c r="O1013" s="6" t="s">
        <v>20</v>
      </c>
      <c r="P1013" s="6" t="s">
        <v>20</v>
      </c>
      <c r="Q1013" s="6">
        <v>0</v>
      </c>
      <c r="R1013" s="6">
        <v>0</v>
      </c>
      <c r="S1013" s="6">
        <v>0</v>
      </c>
      <c r="T1013" s="8">
        <v>1</v>
      </c>
      <c r="U1013" s="5" t="s">
        <v>994</v>
      </c>
      <c r="V1013" s="89">
        <v>0</v>
      </c>
      <c r="W1013" s="15">
        <v>17897801315675</v>
      </c>
      <c r="X1013" s="6">
        <v>0.13500000000000001</v>
      </c>
      <c r="Y1013" s="6">
        <v>0.13500000000000001</v>
      </c>
      <c r="Z1013" s="6">
        <v>0.121</v>
      </c>
      <c r="AA1013" s="6">
        <f t="shared" si="58"/>
        <v>2.2052250000000003E-3</v>
      </c>
      <c r="AB1013" s="8">
        <v>8</v>
      </c>
      <c r="AC1013" s="15">
        <v>27897801315672</v>
      </c>
      <c r="AD1013" s="4" t="s">
        <v>992</v>
      </c>
    </row>
    <row r="1014" spans="2:30" x14ac:dyDescent="0.35">
      <c r="B1014" s="14">
        <v>1815</v>
      </c>
      <c r="C1014" s="4" t="s">
        <v>932</v>
      </c>
      <c r="D1014" s="4" t="s">
        <v>2373</v>
      </c>
      <c r="E1014" s="4" t="s">
        <v>2912</v>
      </c>
      <c r="F1014" s="4" t="s">
        <v>85</v>
      </c>
      <c r="G1014" s="4" t="s">
        <v>993</v>
      </c>
      <c r="H1014" s="6">
        <v>0.72919999999999996</v>
      </c>
      <c r="I1014" s="8">
        <v>121</v>
      </c>
      <c r="J1014" s="8">
        <v>135</v>
      </c>
      <c r="K1014" s="8">
        <v>147</v>
      </c>
      <c r="L1014" s="8">
        <f t="shared" si="57"/>
        <v>2401245</v>
      </c>
      <c r="M1014" s="15">
        <v>7897801315685</v>
      </c>
      <c r="N1014" s="6" t="s">
        <v>20</v>
      </c>
      <c r="O1014" s="6" t="s">
        <v>20</v>
      </c>
      <c r="P1014" s="6" t="s">
        <v>20</v>
      </c>
      <c r="Q1014" s="6">
        <v>0</v>
      </c>
      <c r="R1014" s="6">
        <v>0</v>
      </c>
      <c r="S1014" s="6">
        <v>0</v>
      </c>
      <c r="T1014" s="8">
        <v>1</v>
      </c>
      <c r="U1014" s="5" t="s">
        <v>994</v>
      </c>
      <c r="V1014" s="89">
        <v>0</v>
      </c>
      <c r="W1014" s="15">
        <v>17897801315682</v>
      </c>
      <c r="X1014" s="6">
        <v>0.34499999999999997</v>
      </c>
      <c r="Y1014" s="6">
        <v>0.255</v>
      </c>
      <c r="Z1014" s="6">
        <v>0.37</v>
      </c>
      <c r="AA1014" s="6">
        <f t="shared" si="58"/>
        <v>3.2550749999999996E-2</v>
      </c>
      <c r="AB1014" s="8">
        <v>8</v>
      </c>
      <c r="AC1014" s="15">
        <v>27897801315689</v>
      </c>
      <c r="AD1014" s="4" t="s">
        <v>992</v>
      </c>
    </row>
    <row r="1015" spans="2:30" x14ac:dyDescent="0.35">
      <c r="B1015" s="14">
        <v>1816</v>
      </c>
      <c r="C1015" s="4" t="s">
        <v>933</v>
      </c>
      <c r="D1015" s="4" t="s">
        <v>2373</v>
      </c>
      <c r="E1015" s="4" t="s">
        <v>2912</v>
      </c>
      <c r="F1015" s="4" t="s">
        <v>85</v>
      </c>
      <c r="G1015" s="4" t="s">
        <v>993</v>
      </c>
      <c r="H1015" s="6">
        <v>10.723000000000001</v>
      </c>
      <c r="I1015" s="8">
        <v>161</v>
      </c>
      <c r="J1015" s="8">
        <v>148</v>
      </c>
      <c r="K1015" s="8">
        <v>156</v>
      </c>
      <c r="L1015" s="8">
        <f t="shared" si="57"/>
        <v>3717168</v>
      </c>
      <c r="M1015" s="15">
        <v>7897801315692</v>
      </c>
      <c r="N1015" s="6" t="s">
        <v>20</v>
      </c>
      <c r="O1015" s="6" t="s">
        <v>20</v>
      </c>
      <c r="P1015" s="6" t="s">
        <v>20</v>
      </c>
      <c r="Q1015" s="6">
        <v>0.16</v>
      </c>
      <c r="R1015" s="6">
        <v>0.15</v>
      </c>
      <c r="S1015" s="6">
        <v>0.16</v>
      </c>
      <c r="T1015" s="8">
        <v>1</v>
      </c>
      <c r="U1015" s="5" t="s">
        <v>994</v>
      </c>
      <c r="V1015" s="89">
        <v>0</v>
      </c>
      <c r="W1015" s="15">
        <v>17897801315699</v>
      </c>
      <c r="X1015" s="6">
        <v>0.34499999999999997</v>
      </c>
      <c r="Y1015" s="6">
        <v>0.255</v>
      </c>
      <c r="Z1015" s="6">
        <v>0.375</v>
      </c>
      <c r="AA1015" s="6">
        <f t="shared" si="58"/>
        <v>3.2990624999999996E-2</v>
      </c>
      <c r="AB1015" s="8">
        <v>4</v>
      </c>
      <c r="AC1015" s="15">
        <v>27897801315696</v>
      </c>
      <c r="AD1015" s="4" t="s">
        <v>992</v>
      </c>
    </row>
    <row r="1016" spans="2:30" x14ac:dyDescent="0.35">
      <c r="B1016" s="14">
        <v>1817</v>
      </c>
      <c r="C1016" s="4" t="s">
        <v>934</v>
      </c>
      <c r="D1016" s="4" t="s">
        <v>2373</v>
      </c>
      <c r="E1016" s="4" t="s">
        <v>2912</v>
      </c>
      <c r="F1016" s="4" t="s">
        <v>85</v>
      </c>
      <c r="G1016" s="4" t="s">
        <v>993</v>
      </c>
      <c r="H1016" s="6">
        <v>11.968999999999999</v>
      </c>
      <c r="I1016" s="8">
        <v>148</v>
      </c>
      <c r="J1016" s="8">
        <v>165</v>
      </c>
      <c r="K1016" s="8">
        <v>170</v>
      </c>
      <c r="L1016" s="8">
        <f t="shared" si="57"/>
        <v>4151400</v>
      </c>
      <c r="M1016" s="15">
        <v>7897801315708</v>
      </c>
      <c r="N1016" s="6" t="s">
        <v>20</v>
      </c>
      <c r="O1016" s="6" t="s">
        <v>20</v>
      </c>
      <c r="P1016" s="6" t="s">
        <v>20</v>
      </c>
      <c r="Q1016" s="6">
        <v>0</v>
      </c>
      <c r="R1016" s="6">
        <v>0</v>
      </c>
      <c r="S1016" s="6">
        <v>0</v>
      </c>
      <c r="T1016" s="8">
        <v>1</v>
      </c>
      <c r="U1016" s="5" t="s">
        <v>994</v>
      </c>
      <c r="V1016" s="89">
        <v>0</v>
      </c>
      <c r="W1016" s="15">
        <v>17897801315705</v>
      </c>
      <c r="X1016" s="6">
        <v>0.34499999999999997</v>
      </c>
      <c r="Y1016" s="6">
        <v>0.255</v>
      </c>
      <c r="Z1016" s="6">
        <v>0.37</v>
      </c>
      <c r="AA1016" s="6">
        <f t="shared" si="58"/>
        <v>3.2550749999999996E-2</v>
      </c>
      <c r="AB1016" s="8">
        <v>4</v>
      </c>
      <c r="AC1016" s="15">
        <v>27897801315702</v>
      </c>
      <c r="AD1016" s="4" t="s">
        <v>992</v>
      </c>
    </row>
    <row r="1017" spans="2:30" x14ac:dyDescent="0.35">
      <c r="B1017" s="14">
        <v>1818</v>
      </c>
      <c r="C1017" s="4" t="s">
        <v>935</v>
      </c>
      <c r="D1017" s="4" t="s">
        <v>2373</v>
      </c>
      <c r="E1017" s="4" t="s">
        <v>2912</v>
      </c>
      <c r="F1017" s="4" t="s">
        <v>85</v>
      </c>
      <c r="G1017" s="4" t="s">
        <v>993</v>
      </c>
      <c r="H1017" s="6">
        <v>6.2199999999999998E-2</v>
      </c>
      <c r="I1017" s="8">
        <v>62</v>
      </c>
      <c r="J1017" s="8">
        <v>39</v>
      </c>
      <c r="K1017" s="8">
        <v>50</v>
      </c>
      <c r="L1017" s="8">
        <f t="shared" si="57"/>
        <v>120900</v>
      </c>
      <c r="M1017" s="15">
        <v>7897801315715</v>
      </c>
      <c r="N1017" s="6" t="s">
        <v>20</v>
      </c>
      <c r="O1017" s="6" t="s">
        <v>20</v>
      </c>
      <c r="P1017" s="6" t="s">
        <v>20</v>
      </c>
      <c r="Q1017" s="6">
        <v>0.14000000000000001</v>
      </c>
      <c r="R1017" s="6">
        <v>3.9E-2</v>
      </c>
      <c r="S1017" s="6">
        <v>0.15</v>
      </c>
      <c r="T1017" s="8">
        <v>5</v>
      </c>
      <c r="U1017" s="5" t="s">
        <v>994</v>
      </c>
      <c r="V1017" s="89">
        <v>0</v>
      </c>
      <c r="W1017" s="15">
        <v>17897801315712</v>
      </c>
      <c r="X1017" s="6">
        <v>0.255</v>
      </c>
      <c r="Y1017" s="6">
        <v>0.25</v>
      </c>
      <c r="Z1017" s="6">
        <v>0.32500000000000001</v>
      </c>
      <c r="AA1017" s="6">
        <f t="shared" si="58"/>
        <v>2.0718750000000001E-2</v>
      </c>
      <c r="AB1017" s="8">
        <v>120</v>
      </c>
      <c r="AC1017" s="15">
        <v>27897801315719</v>
      </c>
      <c r="AD1017" s="4" t="s">
        <v>992</v>
      </c>
    </row>
    <row r="1018" spans="2:30" x14ac:dyDescent="0.35">
      <c r="B1018" s="14">
        <v>1819</v>
      </c>
      <c r="C1018" s="4" t="s">
        <v>936</v>
      </c>
      <c r="D1018" s="4" t="s">
        <v>2373</v>
      </c>
      <c r="E1018" s="4" t="s">
        <v>2912</v>
      </c>
      <c r="F1018" s="4" t="s">
        <v>85</v>
      </c>
      <c r="G1018" s="4" t="s">
        <v>993</v>
      </c>
      <c r="H1018" s="6">
        <v>7.0099999999999996E-2</v>
      </c>
      <c r="I1018" s="8">
        <v>33</v>
      </c>
      <c r="J1018" s="8">
        <v>54</v>
      </c>
      <c r="K1018" s="8">
        <v>68</v>
      </c>
      <c r="L1018" s="8">
        <f t="shared" si="57"/>
        <v>121176</v>
      </c>
      <c r="M1018" s="15">
        <v>7897801315722</v>
      </c>
      <c r="N1018" s="6" t="s">
        <v>20</v>
      </c>
      <c r="O1018" s="6" t="s">
        <v>20</v>
      </c>
      <c r="P1018" s="6" t="s">
        <v>20</v>
      </c>
      <c r="Q1018" s="6">
        <v>0.17</v>
      </c>
      <c r="R1018" s="6">
        <v>3.3000000000000002E-2</v>
      </c>
      <c r="S1018" s="6">
        <v>0.185</v>
      </c>
      <c r="T1018" s="8">
        <v>5</v>
      </c>
      <c r="U1018" s="5" t="s">
        <v>994</v>
      </c>
      <c r="V1018" s="89">
        <v>0</v>
      </c>
      <c r="W1018" s="15">
        <v>17897801315729</v>
      </c>
      <c r="X1018" s="6">
        <v>0.255</v>
      </c>
      <c r="Y1018" s="6">
        <v>0.25</v>
      </c>
      <c r="Z1018" s="6">
        <v>0.32500000000000001</v>
      </c>
      <c r="AA1018" s="6">
        <f t="shared" si="58"/>
        <v>2.0718750000000001E-2</v>
      </c>
      <c r="AB1018" s="8">
        <v>95</v>
      </c>
      <c r="AC1018" s="15">
        <v>27897801315726</v>
      </c>
      <c r="AD1018" s="4" t="s">
        <v>992</v>
      </c>
    </row>
    <row r="1019" spans="2:30" x14ac:dyDescent="0.35">
      <c r="B1019" s="14">
        <v>1820</v>
      </c>
      <c r="C1019" s="4" t="s">
        <v>937</v>
      </c>
      <c r="D1019" s="4" t="s">
        <v>2373</v>
      </c>
      <c r="E1019" s="4" t="s">
        <v>2912</v>
      </c>
      <c r="F1019" s="4" t="s">
        <v>85</v>
      </c>
      <c r="G1019" s="4" t="s">
        <v>993</v>
      </c>
      <c r="H1019" s="6">
        <v>9.8299999999999998E-2</v>
      </c>
      <c r="I1019" s="8">
        <v>45</v>
      </c>
      <c r="J1019" s="8">
        <v>71</v>
      </c>
      <c r="K1019" s="8">
        <v>60</v>
      </c>
      <c r="L1019" s="8">
        <f t="shared" si="57"/>
        <v>191700</v>
      </c>
      <c r="M1019" s="15">
        <v>7897801315739</v>
      </c>
      <c r="N1019" s="6" t="s">
        <v>20</v>
      </c>
      <c r="O1019" s="6" t="s">
        <v>20</v>
      </c>
      <c r="P1019" s="6" t="s">
        <v>20</v>
      </c>
      <c r="Q1019" s="6">
        <v>0.13</v>
      </c>
      <c r="R1019" s="6">
        <v>4.4999999999999998E-2</v>
      </c>
      <c r="S1019" s="6">
        <v>0.15</v>
      </c>
      <c r="T1019" s="8">
        <v>5</v>
      </c>
      <c r="U1019" s="5" t="s">
        <v>994</v>
      </c>
      <c r="V1019" s="89">
        <v>0</v>
      </c>
      <c r="W1019" s="15">
        <v>17897801315736</v>
      </c>
      <c r="X1019" s="6">
        <v>0.255</v>
      </c>
      <c r="Y1019" s="6">
        <v>0.25</v>
      </c>
      <c r="Z1019" s="6">
        <v>0.32500000000000001</v>
      </c>
      <c r="AA1019" s="6">
        <f t="shared" si="58"/>
        <v>2.0718750000000001E-2</v>
      </c>
      <c r="AB1019" s="8">
        <v>90</v>
      </c>
      <c r="AC1019" s="15">
        <v>27897801315733</v>
      </c>
      <c r="AD1019" s="4" t="s">
        <v>992</v>
      </c>
    </row>
    <row r="1020" spans="2:30" x14ac:dyDescent="0.35">
      <c r="B1020" s="14">
        <v>1821</v>
      </c>
      <c r="C1020" s="4" t="s">
        <v>938</v>
      </c>
      <c r="D1020" s="4" t="s">
        <v>2373</v>
      </c>
      <c r="E1020" s="4" t="s">
        <v>2912</v>
      </c>
      <c r="F1020" s="4" t="s">
        <v>85</v>
      </c>
      <c r="G1020" s="4" t="s">
        <v>993</v>
      </c>
      <c r="H1020" s="6">
        <v>0.1021</v>
      </c>
      <c r="I1020" s="8">
        <v>46</v>
      </c>
      <c r="J1020" s="8">
        <v>78</v>
      </c>
      <c r="K1020" s="8">
        <v>63</v>
      </c>
      <c r="L1020" s="8">
        <f t="shared" si="57"/>
        <v>226044</v>
      </c>
      <c r="M1020" s="15">
        <v>7897801315746</v>
      </c>
      <c r="N1020" s="6" t="s">
        <v>20</v>
      </c>
      <c r="O1020" s="6" t="s">
        <v>20</v>
      </c>
      <c r="P1020" s="6" t="s">
        <v>20</v>
      </c>
      <c r="Q1020" s="6">
        <v>0.16500000000000001</v>
      </c>
      <c r="R1020" s="6">
        <v>0.05</v>
      </c>
      <c r="S1020" s="6">
        <v>0.17</v>
      </c>
      <c r="T1020" s="8">
        <v>5</v>
      </c>
      <c r="U1020" s="5" t="s">
        <v>994</v>
      </c>
      <c r="V1020" s="89">
        <v>0</v>
      </c>
      <c r="W1020" s="15">
        <v>17897801315743</v>
      </c>
      <c r="X1020" s="6">
        <v>0.255</v>
      </c>
      <c r="Y1020" s="6">
        <v>0.25</v>
      </c>
      <c r="Z1020" s="6">
        <v>0.32500000000000001</v>
      </c>
      <c r="AA1020" s="6">
        <f t="shared" si="58"/>
        <v>2.0718750000000001E-2</v>
      </c>
      <c r="AB1020" s="8">
        <v>65</v>
      </c>
      <c r="AC1020" s="15">
        <v>27897801315740</v>
      </c>
      <c r="AD1020" s="4" t="s">
        <v>992</v>
      </c>
    </row>
    <row r="1021" spans="2:30" x14ac:dyDescent="0.35">
      <c r="B1021" s="14">
        <v>1822</v>
      </c>
      <c r="C1021" s="4" t="s">
        <v>939</v>
      </c>
      <c r="D1021" s="4" t="s">
        <v>2373</v>
      </c>
      <c r="E1021" s="4" t="s">
        <v>2912</v>
      </c>
      <c r="F1021" s="4" t="s">
        <v>85</v>
      </c>
      <c r="G1021" s="4" t="s">
        <v>993</v>
      </c>
      <c r="H1021" s="6">
        <v>0.1178</v>
      </c>
      <c r="I1021" s="8">
        <v>80</v>
      </c>
      <c r="J1021" s="8">
        <v>45</v>
      </c>
      <c r="K1021" s="8">
        <v>64</v>
      </c>
      <c r="L1021" s="8">
        <f t="shared" si="57"/>
        <v>230400</v>
      </c>
      <c r="M1021" s="15">
        <v>7897801315753</v>
      </c>
      <c r="N1021" s="6" t="s">
        <v>20</v>
      </c>
      <c r="O1021" s="6" t="s">
        <v>20</v>
      </c>
      <c r="P1021" s="6" t="s">
        <v>20</v>
      </c>
      <c r="Q1021" s="6">
        <v>0.17</v>
      </c>
      <c r="R1021" s="6">
        <v>4.5999999999999999E-2</v>
      </c>
      <c r="S1021" s="6">
        <v>0.17</v>
      </c>
      <c r="T1021" s="8">
        <v>5</v>
      </c>
      <c r="U1021" s="5" t="s">
        <v>994</v>
      </c>
      <c r="V1021" s="89">
        <v>0</v>
      </c>
      <c r="W1021" s="15">
        <v>17897801315750</v>
      </c>
      <c r="X1021" s="6">
        <v>0.255</v>
      </c>
      <c r="Y1021" s="6">
        <v>0.25</v>
      </c>
      <c r="Z1021" s="6">
        <v>0.32500000000000001</v>
      </c>
      <c r="AA1021" s="6">
        <f t="shared" si="58"/>
        <v>2.0718750000000001E-2</v>
      </c>
      <c r="AB1021" s="8">
        <v>65</v>
      </c>
      <c r="AC1021" s="15">
        <v>27897801315757</v>
      </c>
      <c r="AD1021" s="4" t="s">
        <v>992</v>
      </c>
    </row>
    <row r="1022" spans="2:30" x14ac:dyDescent="0.35">
      <c r="B1022" s="14">
        <v>1823</v>
      </c>
      <c r="C1022" s="4" t="s">
        <v>940</v>
      </c>
      <c r="D1022" s="4" t="s">
        <v>2373</v>
      </c>
      <c r="E1022" s="4" t="s">
        <v>2912</v>
      </c>
      <c r="F1022" s="4" t="s">
        <v>85</v>
      </c>
      <c r="G1022" s="4" t="s">
        <v>993</v>
      </c>
      <c r="H1022" s="6">
        <v>0.2056</v>
      </c>
      <c r="I1022" s="8">
        <v>92</v>
      </c>
      <c r="J1022" s="8">
        <v>57</v>
      </c>
      <c r="K1022" s="8">
        <v>74</v>
      </c>
      <c r="L1022" s="8">
        <f t="shared" si="57"/>
        <v>388056</v>
      </c>
      <c r="M1022" s="15">
        <v>7897801315760</v>
      </c>
      <c r="N1022" s="6" t="s">
        <v>20</v>
      </c>
      <c r="O1022" s="6" t="s">
        <v>20</v>
      </c>
      <c r="P1022" s="6" t="s">
        <v>20</v>
      </c>
      <c r="Q1022" s="6">
        <v>0.16500000000000001</v>
      </c>
      <c r="R1022" s="6">
        <v>7.3999999999999996E-2</v>
      </c>
      <c r="S1022" s="6">
        <v>0.2</v>
      </c>
      <c r="T1022" s="8">
        <v>5</v>
      </c>
      <c r="U1022" s="5" t="s">
        <v>994</v>
      </c>
      <c r="V1022" s="89">
        <v>0</v>
      </c>
      <c r="W1022" s="15">
        <v>17897801315767</v>
      </c>
      <c r="X1022" s="6">
        <v>0.255</v>
      </c>
      <c r="Y1022" s="6">
        <v>0.25</v>
      </c>
      <c r="Z1022" s="6">
        <v>0.32500000000000001</v>
      </c>
      <c r="AA1022" s="6">
        <f t="shared" si="58"/>
        <v>2.0718750000000001E-2</v>
      </c>
      <c r="AB1022" s="8">
        <v>45</v>
      </c>
      <c r="AC1022" s="15">
        <v>27897801315764</v>
      </c>
      <c r="AD1022" s="4" t="s">
        <v>992</v>
      </c>
    </row>
    <row r="1023" spans="2:30" x14ac:dyDescent="0.35">
      <c r="B1023" s="14">
        <v>1824</v>
      </c>
      <c r="C1023" s="4" t="s">
        <v>941</v>
      </c>
      <c r="D1023" s="4" t="s">
        <v>2373</v>
      </c>
      <c r="E1023" s="4" t="s">
        <v>2912</v>
      </c>
      <c r="F1023" s="4" t="s">
        <v>85</v>
      </c>
      <c r="G1023" s="4" t="s">
        <v>993</v>
      </c>
      <c r="H1023" s="6">
        <v>3.2000000000000001E-2</v>
      </c>
      <c r="I1023" s="8">
        <v>45</v>
      </c>
      <c r="J1023" s="8">
        <v>46</v>
      </c>
      <c r="K1023" s="8">
        <v>46</v>
      </c>
      <c r="L1023" s="8">
        <f t="shared" si="57"/>
        <v>95220</v>
      </c>
      <c r="M1023" s="15">
        <v>7897801315777</v>
      </c>
      <c r="N1023" s="6" t="s">
        <v>20</v>
      </c>
      <c r="O1023" s="6" t="s">
        <v>20</v>
      </c>
      <c r="P1023" s="6" t="s">
        <v>20</v>
      </c>
      <c r="Q1023" s="6">
        <v>0.11</v>
      </c>
      <c r="R1023" s="6">
        <v>4.5999999999999999E-2</v>
      </c>
      <c r="S1023" s="6">
        <v>0.11</v>
      </c>
      <c r="T1023" s="8">
        <v>5</v>
      </c>
      <c r="U1023" s="5" t="s">
        <v>994</v>
      </c>
      <c r="V1023" s="89">
        <v>0</v>
      </c>
      <c r="W1023" s="15">
        <v>17897801315774</v>
      </c>
      <c r="X1023" s="6">
        <v>0.34499999999999997</v>
      </c>
      <c r="Y1023" s="6">
        <v>0.255</v>
      </c>
      <c r="Z1023" s="6">
        <v>0.375</v>
      </c>
      <c r="AA1023" s="6">
        <f t="shared" si="58"/>
        <v>3.2990624999999996E-2</v>
      </c>
      <c r="AB1023" s="8">
        <v>260</v>
      </c>
      <c r="AC1023" s="15">
        <v>27897801315771</v>
      </c>
      <c r="AD1023" s="4" t="s">
        <v>992</v>
      </c>
    </row>
    <row r="1024" spans="2:30" x14ac:dyDescent="0.35">
      <c r="B1024" s="14">
        <v>1825</v>
      </c>
      <c r="C1024" s="4" t="s">
        <v>942</v>
      </c>
      <c r="D1024" s="4" t="s">
        <v>2373</v>
      </c>
      <c r="E1024" s="4" t="s">
        <v>2912</v>
      </c>
      <c r="F1024" s="4" t="s">
        <v>85</v>
      </c>
      <c r="G1024" s="4" t="s">
        <v>993</v>
      </c>
      <c r="H1024" s="6">
        <v>5.0999999999999997E-2</v>
      </c>
      <c r="I1024" s="8">
        <v>53</v>
      </c>
      <c r="J1024" s="8">
        <v>53</v>
      </c>
      <c r="K1024" s="8">
        <v>53</v>
      </c>
      <c r="L1024" s="8">
        <f t="shared" si="57"/>
        <v>148877</v>
      </c>
      <c r="M1024" s="15">
        <v>7897801315784</v>
      </c>
      <c r="N1024" s="6" t="s">
        <v>20</v>
      </c>
      <c r="O1024" s="6" t="s">
        <v>20</v>
      </c>
      <c r="P1024" s="6" t="s">
        <v>20</v>
      </c>
      <c r="Q1024" s="6">
        <v>0.11</v>
      </c>
      <c r="R1024" s="6">
        <v>5.2999999999999999E-2</v>
      </c>
      <c r="S1024" s="6">
        <v>0.11</v>
      </c>
      <c r="T1024" s="8">
        <v>5</v>
      </c>
      <c r="U1024" s="5" t="s">
        <v>994</v>
      </c>
      <c r="V1024" s="89">
        <v>0</v>
      </c>
      <c r="W1024" s="15">
        <v>17897801315781</v>
      </c>
      <c r="X1024" s="6">
        <v>0.34499999999999997</v>
      </c>
      <c r="Y1024" s="6">
        <v>0.255</v>
      </c>
      <c r="Z1024" s="6">
        <v>0.375</v>
      </c>
      <c r="AA1024" s="6">
        <f t="shared" si="58"/>
        <v>3.2990624999999996E-2</v>
      </c>
      <c r="AB1024" s="8">
        <v>150</v>
      </c>
      <c r="AC1024" s="15">
        <v>27897801315788</v>
      </c>
      <c r="AD1024" s="4" t="s">
        <v>992</v>
      </c>
    </row>
    <row r="1025" spans="2:30" x14ac:dyDescent="0.35">
      <c r="B1025" s="14">
        <v>1826</v>
      </c>
      <c r="C1025" s="4" t="s">
        <v>943</v>
      </c>
      <c r="D1025" s="4" t="s">
        <v>2373</v>
      </c>
      <c r="E1025" s="4" t="s">
        <v>2912</v>
      </c>
      <c r="F1025" s="4" t="s">
        <v>85</v>
      </c>
      <c r="G1025" s="4" t="s">
        <v>993</v>
      </c>
      <c r="H1025" s="6">
        <v>8.5699999999999998E-2</v>
      </c>
      <c r="I1025" s="8">
        <v>62</v>
      </c>
      <c r="J1025" s="8">
        <v>64</v>
      </c>
      <c r="K1025" s="8">
        <v>64</v>
      </c>
      <c r="L1025" s="8">
        <f t="shared" si="57"/>
        <v>253952</v>
      </c>
      <c r="M1025" s="15">
        <v>7897801315791</v>
      </c>
      <c r="N1025" s="6" t="s">
        <v>20</v>
      </c>
      <c r="O1025" s="6" t="s">
        <v>20</v>
      </c>
      <c r="P1025" s="6" t="s">
        <v>20</v>
      </c>
      <c r="Q1025" s="6">
        <v>0.155</v>
      </c>
      <c r="R1025" s="6">
        <v>3.2000000000000001E-2</v>
      </c>
      <c r="S1025" s="6">
        <v>0.155</v>
      </c>
      <c r="T1025" s="8">
        <v>5</v>
      </c>
      <c r="U1025" s="5" t="s">
        <v>994</v>
      </c>
      <c r="V1025" s="89">
        <v>0</v>
      </c>
      <c r="W1025" s="15">
        <v>17897801315798</v>
      </c>
      <c r="X1025" s="6">
        <v>0.34499999999999997</v>
      </c>
      <c r="Y1025" s="6">
        <v>0.255</v>
      </c>
      <c r="Z1025" s="6">
        <v>0.375</v>
      </c>
      <c r="AA1025" s="6">
        <f t="shared" si="58"/>
        <v>3.2990624999999996E-2</v>
      </c>
      <c r="AB1025" s="8">
        <v>80</v>
      </c>
      <c r="AC1025" s="15">
        <v>27897801315795</v>
      </c>
      <c r="AD1025" s="4" t="s">
        <v>992</v>
      </c>
    </row>
    <row r="1026" spans="2:30" x14ac:dyDescent="0.35">
      <c r="B1026" s="14">
        <v>1827</v>
      </c>
      <c r="C1026" s="4" t="s">
        <v>944</v>
      </c>
      <c r="D1026" s="4" t="s">
        <v>2378</v>
      </c>
      <c r="E1026" s="4" t="s">
        <v>2912</v>
      </c>
      <c r="F1026" s="4" t="s">
        <v>85</v>
      </c>
      <c r="G1026" s="4" t="s">
        <v>993</v>
      </c>
      <c r="H1026" s="6">
        <v>7.0800000000000002E-2</v>
      </c>
      <c r="I1026" s="8">
        <v>50</v>
      </c>
      <c r="J1026" s="8">
        <v>57</v>
      </c>
      <c r="K1026" s="8">
        <v>60</v>
      </c>
      <c r="L1026" s="8">
        <f t="shared" ref="L1026:L1036" si="59">J1026*I1026*K1026</f>
        <v>171000</v>
      </c>
      <c r="M1026" s="15">
        <v>7897801315807</v>
      </c>
      <c r="N1026" s="6" t="s">
        <v>20</v>
      </c>
      <c r="O1026" s="6" t="s">
        <v>20</v>
      </c>
      <c r="P1026" s="6" t="s">
        <v>20</v>
      </c>
      <c r="Q1026" s="6">
        <v>5.5E-2</v>
      </c>
      <c r="R1026" s="6">
        <v>4.4999999999999998E-2</v>
      </c>
      <c r="S1026" s="6">
        <v>0.06</v>
      </c>
      <c r="T1026" s="8">
        <v>1</v>
      </c>
      <c r="U1026" s="5" t="s">
        <v>1019</v>
      </c>
      <c r="V1026" s="89">
        <v>0</v>
      </c>
      <c r="W1026" s="15">
        <v>17897801315804</v>
      </c>
      <c r="X1026" s="6">
        <v>0.125</v>
      </c>
      <c r="Y1026" s="6">
        <v>0.05</v>
      </c>
      <c r="Z1026" s="6">
        <v>0.17499999999999999</v>
      </c>
      <c r="AA1026" s="6">
        <f t="shared" si="58"/>
        <v>1.0937499999999999E-3</v>
      </c>
      <c r="AB1026" s="8">
        <v>0</v>
      </c>
      <c r="AC1026" s="15">
        <v>27897801315801</v>
      </c>
      <c r="AD1026" s="4" t="s">
        <v>992</v>
      </c>
    </row>
    <row r="1027" spans="2:30" x14ac:dyDescent="0.35">
      <c r="B1027" s="14">
        <v>1828</v>
      </c>
      <c r="C1027" s="4" t="s">
        <v>945</v>
      </c>
      <c r="D1027" s="4" t="s">
        <v>2378</v>
      </c>
      <c r="E1027" s="4" t="s">
        <v>2912</v>
      </c>
      <c r="F1027" s="4" t="s">
        <v>85</v>
      </c>
      <c r="G1027" s="4" t="s">
        <v>993</v>
      </c>
      <c r="H1027" s="6">
        <v>0.11559999999999999</v>
      </c>
      <c r="I1027" s="8">
        <v>50</v>
      </c>
      <c r="J1027" s="8">
        <v>57</v>
      </c>
      <c r="K1027" s="8">
        <v>60</v>
      </c>
      <c r="L1027" s="8">
        <f t="shared" si="59"/>
        <v>171000</v>
      </c>
      <c r="M1027" s="15">
        <v>7897801315814</v>
      </c>
      <c r="N1027" s="6" t="s">
        <v>20</v>
      </c>
      <c r="O1027" s="6" t="s">
        <v>20</v>
      </c>
      <c r="P1027" s="6" t="s">
        <v>20</v>
      </c>
      <c r="Q1027" s="6">
        <v>0.32500000000000001</v>
      </c>
      <c r="R1027" s="6">
        <v>0.245</v>
      </c>
      <c r="S1027" s="6">
        <v>0.255</v>
      </c>
      <c r="T1027" s="8">
        <v>1</v>
      </c>
      <c r="U1027" s="5" t="s">
        <v>1019</v>
      </c>
      <c r="V1027" s="89">
        <v>0</v>
      </c>
      <c r="W1027" s="15">
        <v>17897801315811</v>
      </c>
      <c r="X1027" s="6" t="s">
        <v>20</v>
      </c>
      <c r="Y1027" s="6" t="s">
        <v>20</v>
      </c>
      <c r="Z1027" s="6" t="s">
        <v>20</v>
      </c>
      <c r="AA1027" s="6"/>
      <c r="AB1027" s="8">
        <v>0</v>
      </c>
      <c r="AC1027" s="15">
        <v>27897801315818</v>
      </c>
      <c r="AD1027" s="4" t="s">
        <v>992</v>
      </c>
    </row>
    <row r="1028" spans="2:30" x14ac:dyDescent="0.35">
      <c r="B1028" s="14">
        <v>1829</v>
      </c>
      <c r="C1028" s="4" t="s">
        <v>946</v>
      </c>
      <c r="D1028" s="4" t="s">
        <v>2378</v>
      </c>
      <c r="E1028" s="4" t="s">
        <v>2912</v>
      </c>
      <c r="F1028" s="4" t="s">
        <v>85</v>
      </c>
      <c r="G1028" s="4" t="s">
        <v>993</v>
      </c>
      <c r="H1028" s="6">
        <v>0.15529999999999999</v>
      </c>
      <c r="I1028" s="8">
        <v>50</v>
      </c>
      <c r="J1028" s="8">
        <v>57</v>
      </c>
      <c r="K1028" s="8">
        <v>60</v>
      </c>
      <c r="L1028" s="8">
        <f t="shared" si="59"/>
        <v>171000</v>
      </c>
      <c r="M1028" s="15">
        <v>7897801315821</v>
      </c>
      <c r="N1028" s="6" t="s">
        <v>20</v>
      </c>
      <c r="O1028" s="6" t="s">
        <v>20</v>
      </c>
      <c r="P1028" s="6" t="s">
        <v>20</v>
      </c>
      <c r="Q1028" s="6">
        <v>0.32500000000000001</v>
      </c>
      <c r="R1028" s="6">
        <v>0.245</v>
      </c>
      <c r="S1028" s="6">
        <v>0.255</v>
      </c>
      <c r="T1028" s="8">
        <v>1</v>
      </c>
      <c r="U1028" s="5" t="s">
        <v>1019</v>
      </c>
      <c r="V1028" s="89">
        <v>0</v>
      </c>
      <c r="W1028" s="15">
        <v>17897801315828</v>
      </c>
      <c r="X1028" s="6" t="s">
        <v>20</v>
      </c>
      <c r="Y1028" s="6" t="s">
        <v>20</v>
      </c>
      <c r="Z1028" s="6" t="s">
        <v>20</v>
      </c>
      <c r="AA1028" s="6"/>
      <c r="AB1028" s="8">
        <v>0</v>
      </c>
      <c r="AC1028" s="15">
        <v>27897801315825</v>
      </c>
      <c r="AD1028" s="4" t="s">
        <v>992</v>
      </c>
    </row>
    <row r="1029" spans="2:30" x14ac:dyDescent="0.35">
      <c r="B1029" s="14">
        <v>1830</v>
      </c>
      <c r="C1029" s="4" t="s">
        <v>947</v>
      </c>
      <c r="D1029" s="4" t="s">
        <v>2378</v>
      </c>
      <c r="E1029" s="4" t="s">
        <v>2912</v>
      </c>
      <c r="F1029" s="4" t="s">
        <v>85</v>
      </c>
      <c r="G1029" s="4" t="s">
        <v>993</v>
      </c>
      <c r="H1029" s="6">
        <v>0.2157</v>
      </c>
      <c r="I1029" s="8">
        <v>50</v>
      </c>
      <c r="J1029" s="8">
        <v>57</v>
      </c>
      <c r="K1029" s="8">
        <v>60</v>
      </c>
      <c r="L1029" s="8">
        <f t="shared" si="59"/>
        <v>171000</v>
      </c>
      <c r="M1029" s="15">
        <v>7897801315838</v>
      </c>
      <c r="N1029" s="6" t="s">
        <v>20</v>
      </c>
      <c r="O1029" s="6" t="s">
        <v>20</v>
      </c>
      <c r="P1029" s="6" t="s">
        <v>20</v>
      </c>
      <c r="Q1029" s="6">
        <v>0.32500000000000001</v>
      </c>
      <c r="R1029" s="6">
        <v>0.245</v>
      </c>
      <c r="S1029" s="6">
        <v>0.255</v>
      </c>
      <c r="T1029" s="8">
        <v>1</v>
      </c>
      <c r="U1029" s="5" t="s">
        <v>1019</v>
      </c>
      <c r="V1029" s="89">
        <v>0</v>
      </c>
      <c r="W1029" s="15">
        <v>17897801315835</v>
      </c>
      <c r="X1029" s="6" t="s">
        <v>20</v>
      </c>
      <c r="Y1029" s="6" t="s">
        <v>20</v>
      </c>
      <c r="Z1029" s="6" t="s">
        <v>20</v>
      </c>
      <c r="AA1029" s="6"/>
      <c r="AB1029" s="8">
        <v>0</v>
      </c>
      <c r="AC1029" s="15">
        <v>27897801315832</v>
      </c>
      <c r="AD1029" s="4" t="s">
        <v>992</v>
      </c>
    </row>
    <row r="1030" spans="2:30" x14ac:dyDescent="0.35">
      <c r="B1030" s="14">
        <v>1831</v>
      </c>
      <c r="C1030" s="4" t="s">
        <v>948</v>
      </c>
      <c r="D1030" s="4" t="s">
        <v>2378</v>
      </c>
      <c r="E1030" s="4" t="s">
        <v>2912</v>
      </c>
      <c r="F1030" s="4" t="s">
        <v>85</v>
      </c>
      <c r="G1030" s="4" t="s">
        <v>993</v>
      </c>
      <c r="H1030" s="6">
        <v>0.30740000000000001</v>
      </c>
      <c r="I1030" s="8">
        <v>50</v>
      </c>
      <c r="J1030" s="8">
        <v>95</v>
      </c>
      <c r="K1030" s="8">
        <v>90</v>
      </c>
      <c r="L1030" s="8">
        <f t="shared" si="59"/>
        <v>427500</v>
      </c>
      <c r="M1030" s="15">
        <v>7897801315845</v>
      </c>
      <c r="N1030" s="6" t="s">
        <v>20</v>
      </c>
      <c r="O1030" s="6" t="s">
        <v>20</v>
      </c>
      <c r="P1030" s="6" t="s">
        <v>20</v>
      </c>
      <c r="Q1030" s="6">
        <v>0.32500000000000001</v>
      </c>
      <c r="R1030" s="6">
        <v>0.245</v>
      </c>
      <c r="S1030" s="6">
        <v>0.255</v>
      </c>
      <c r="T1030" s="8">
        <v>1</v>
      </c>
      <c r="U1030" s="5" t="s">
        <v>1019</v>
      </c>
      <c r="V1030" s="89">
        <v>0</v>
      </c>
      <c r="W1030" s="15">
        <v>17897801315842</v>
      </c>
      <c r="X1030" s="6" t="s">
        <v>20</v>
      </c>
      <c r="Y1030" s="6" t="s">
        <v>20</v>
      </c>
      <c r="Z1030" s="6" t="s">
        <v>20</v>
      </c>
      <c r="AA1030" s="6"/>
      <c r="AB1030" s="8">
        <v>0</v>
      </c>
      <c r="AC1030" s="15">
        <v>27897801315849</v>
      </c>
      <c r="AD1030" s="4" t="s">
        <v>992</v>
      </c>
    </row>
    <row r="1031" spans="2:30" x14ac:dyDescent="0.35">
      <c r="B1031" s="14">
        <v>1832</v>
      </c>
      <c r="C1031" s="4" t="s">
        <v>949</v>
      </c>
      <c r="D1031" s="4" t="s">
        <v>2378</v>
      </c>
      <c r="E1031" s="4" t="s">
        <v>2912</v>
      </c>
      <c r="F1031" s="4" t="s">
        <v>85</v>
      </c>
      <c r="G1031" s="4" t="s">
        <v>993</v>
      </c>
      <c r="H1031" s="6">
        <v>0.54410000000000003</v>
      </c>
      <c r="I1031" s="8">
        <v>50</v>
      </c>
      <c r="J1031" s="8">
        <v>95</v>
      </c>
      <c r="K1031" s="8">
        <v>90</v>
      </c>
      <c r="L1031" s="8">
        <f t="shared" si="59"/>
        <v>427500</v>
      </c>
      <c r="M1031" s="15">
        <v>7897801315852</v>
      </c>
      <c r="N1031" s="6" t="s">
        <v>20</v>
      </c>
      <c r="O1031" s="6" t="s">
        <v>20</v>
      </c>
      <c r="P1031" s="6" t="s">
        <v>20</v>
      </c>
      <c r="Q1031" s="6">
        <v>0.32500000000000001</v>
      </c>
      <c r="R1031" s="6">
        <v>0.245</v>
      </c>
      <c r="S1031" s="6">
        <v>0.255</v>
      </c>
      <c r="T1031" s="8">
        <v>1</v>
      </c>
      <c r="U1031" s="5" t="s">
        <v>1019</v>
      </c>
      <c r="V1031" s="89">
        <v>0</v>
      </c>
      <c r="W1031" s="15">
        <v>17897801315859</v>
      </c>
      <c r="X1031" s="6" t="s">
        <v>20</v>
      </c>
      <c r="Y1031" s="6" t="s">
        <v>20</v>
      </c>
      <c r="Z1031" s="6" t="s">
        <v>20</v>
      </c>
      <c r="AA1031" s="6"/>
      <c r="AB1031" s="8">
        <v>0</v>
      </c>
      <c r="AC1031" s="15">
        <v>27897801315856</v>
      </c>
      <c r="AD1031" s="4" t="s">
        <v>992</v>
      </c>
    </row>
    <row r="1032" spans="2:30" x14ac:dyDescent="0.35">
      <c r="B1032" s="14">
        <v>1833</v>
      </c>
      <c r="C1032" s="4" t="s">
        <v>950</v>
      </c>
      <c r="D1032" s="4" t="s">
        <v>2378</v>
      </c>
      <c r="E1032" s="4" t="s">
        <v>2912</v>
      </c>
      <c r="F1032" s="4" t="s">
        <v>85</v>
      </c>
      <c r="G1032" s="4" t="s">
        <v>993</v>
      </c>
      <c r="H1032" s="6">
        <v>0.73529999999999995</v>
      </c>
      <c r="I1032" s="8">
        <v>50</v>
      </c>
      <c r="J1032" s="8">
        <v>105</v>
      </c>
      <c r="K1032" s="8">
        <v>105</v>
      </c>
      <c r="L1032" s="8">
        <f t="shared" si="59"/>
        <v>551250</v>
      </c>
      <c r="M1032" s="15">
        <v>7897801315869</v>
      </c>
      <c r="N1032" s="6" t="s">
        <v>20</v>
      </c>
      <c r="O1032" s="6" t="s">
        <v>20</v>
      </c>
      <c r="P1032" s="6" t="s">
        <v>20</v>
      </c>
      <c r="Q1032" s="6">
        <v>0.32500000000000001</v>
      </c>
      <c r="R1032" s="6">
        <v>0.245</v>
      </c>
      <c r="S1032" s="6">
        <v>0.255</v>
      </c>
      <c r="T1032" s="8">
        <v>1</v>
      </c>
      <c r="U1032" s="5" t="s">
        <v>1019</v>
      </c>
      <c r="V1032" s="89">
        <v>0</v>
      </c>
      <c r="W1032" s="15">
        <v>17897801315866</v>
      </c>
      <c r="X1032" s="6" t="s">
        <v>20</v>
      </c>
      <c r="Y1032" s="6" t="s">
        <v>20</v>
      </c>
      <c r="Z1032" s="6" t="s">
        <v>20</v>
      </c>
      <c r="AA1032" s="6"/>
      <c r="AB1032" s="8">
        <v>0</v>
      </c>
      <c r="AC1032" s="15">
        <v>27897801315863</v>
      </c>
      <c r="AD1032" s="4" t="s">
        <v>992</v>
      </c>
    </row>
    <row r="1033" spans="2:30" x14ac:dyDescent="0.35">
      <c r="B1033" s="14">
        <v>1834</v>
      </c>
      <c r="C1033" s="4" t="s">
        <v>951</v>
      </c>
      <c r="D1033" s="4" t="s">
        <v>2378</v>
      </c>
      <c r="E1033" s="4" t="s">
        <v>2912</v>
      </c>
      <c r="F1033" s="4" t="s">
        <v>85</v>
      </c>
      <c r="G1033" s="4" t="s">
        <v>993</v>
      </c>
      <c r="H1033" s="6">
        <v>0.88649999999999995</v>
      </c>
      <c r="I1033" s="8">
        <v>70</v>
      </c>
      <c r="J1033" s="8">
        <v>145</v>
      </c>
      <c r="K1033" s="8">
        <v>120</v>
      </c>
      <c r="L1033" s="8">
        <f t="shared" si="59"/>
        <v>1218000</v>
      </c>
      <c r="M1033" s="15">
        <v>7897801315876</v>
      </c>
      <c r="N1033" s="6" t="s">
        <v>20</v>
      </c>
      <c r="O1033" s="6" t="s">
        <v>20</v>
      </c>
      <c r="P1033" s="6" t="s">
        <v>20</v>
      </c>
      <c r="Q1033" s="6">
        <v>0.32500000000000001</v>
      </c>
      <c r="R1033" s="6">
        <v>0.245</v>
      </c>
      <c r="S1033" s="6">
        <v>0.255</v>
      </c>
      <c r="T1033" s="8">
        <v>1</v>
      </c>
      <c r="U1033" s="5" t="s">
        <v>1019</v>
      </c>
      <c r="V1033" s="89">
        <v>0</v>
      </c>
      <c r="W1033" s="15">
        <v>17897801315873</v>
      </c>
      <c r="X1033" s="6" t="s">
        <v>20</v>
      </c>
      <c r="Y1033" s="6" t="s">
        <v>20</v>
      </c>
      <c r="Z1033" s="6" t="s">
        <v>20</v>
      </c>
      <c r="AA1033" s="6"/>
      <c r="AB1033" s="8">
        <v>0</v>
      </c>
      <c r="AC1033" s="15">
        <v>27897801315870</v>
      </c>
      <c r="AD1033" s="4" t="s">
        <v>992</v>
      </c>
    </row>
    <row r="1034" spans="2:30" x14ac:dyDescent="0.35">
      <c r="B1034" s="14">
        <v>1835</v>
      </c>
      <c r="C1034" s="4" t="s">
        <v>952</v>
      </c>
      <c r="D1034" s="4" t="s">
        <v>2378</v>
      </c>
      <c r="E1034" s="4" t="s">
        <v>2912</v>
      </c>
      <c r="F1034" s="4" t="s">
        <v>85</v>
      </c>
      <c r="G1034" s="4" t="s">
        <v>993</v>
      </c>
      <c r="H1034" s="6">
        <v>1.03</v>
      </c>
      <c r="I1034" s="8">
        <v>70</v>
      </c>
      <c r="J1034" s="8">
        <v>145</v>
      </c>
      <c r="K1034" s="8">
        <v>120</v>
      </c>
      <c r="L1034" s="8">
        <f t="shared" si="59"/>
        <v>1218000</v>
      </c>
      <c r="M1034" s="15">
        <v>7897801315883</v>
      </c>
      <c r="N1034" s="6" t="s">
        <v>20</v>
      </c>
      <c r="O1034" s="6" t="s">
        <v>20</v>
      </c>
      <c r="P1034" s="6" t="s">
        <v>20</v>
      </c>
      <c r="Q1034" s="6">
        <v>0.32500000000000001</v>
      </c>
      <c r="R1034" s="6">
        <v>0.245</v>
      </c>
      <c r="S1034" s="6">
        <v>0.255</v>
      </c>
      <c r="T1034" s="8">
        <v>1</v>
      </c>
      <c r="U1034" s="5" t="s">
        <v>1019</v>
      </c>
      <c r="V1034" s="89">
        <v>0</v>
      </c>
      <c r="W1034" s="15">
        <v>17897801315880</v>
      </c>
      <c r="X1034" s="6" t="s">
        <v>20</v>
      </c>
      <c r="Y1034" s="6" t="s">
        <v>20</v>
      </c>
      <c r="Z1034" s="6" t="s">
        <v>20</v>
      </c>
      <c r="AA1034" s="6"/>
      <c r="AB1034" s="8">
        <v>0</v>
      </c>
      <c r="AC1034" s="15">
        <v>27897801315887</v>
      </c>
      <c r="AD1034" s="4" t="s">
        <v>992</v>
      </c>
    </row>
    <row r="1035" spans="2:30" x14ac:dyDescent="0.35">
      <c r="B1035" s="14">
        <v>1836</v>
      </c>
      <c r="C1035" s="4" t="s">
        <v>953</v>
      </c>
      <c r="D1035" s="4" t="s">
        <v>2378</v>
      </c>
      <c r="E1035" s="4" t="s">
        <v>2912</v>
      </c>
      <c r="F1035" s="4" t="s">
        <v>85</v>
      </c>
      <c r="G1035" s="4" t="s">
        <v>1014</v>
      </c>
      <c r="H1035" s="6">
        <v>13.879</v>
      </c>
      <c r="I1035" s="8">
        <v>70</v>
      </c>
      <c r="J1035" s="8">
        <v>170</v>
      </c>
      <c r="K1035" s="8">
        <v>350</v>
      </c>
      <c r="L1035" s="8">
        <f t="shared" si="59"/>
        <v>4165000</v>
      </c>
      <c r="M1035" s="15">
        <v>7897801315890</v>
      </c>
      <c r="N1035" s="6" t="s">
        <v>20</v>
      </c>
      <c r="O1035" s="6" t="s">
        <v>20</v>
      </c>
      <c r="P1035" s="6" t="s">
        <v>20</v>
      </c>
      <c r="Q1035" s="6">
        <v>0.17</v>
      </c>
      <c r="R1035" s="6">
        <v>5.5E-2</v>
      </c>
      <c r="S1035" s="6">
        <v>0.34</v>
      </c>
      <c r="T1035" s="8">
        <v>1</v>
      </c>
      <c r="U1035" s="5" t="s">
        <v>1020</v>
      </c>
      <c r="V1035" s="89">
        <v>5.2000000000000005E-2</v>
      </c>
      <c r="W1035" s="15">
        <v>17897801315897</v>
      </c>
      <c r="X1035" s="6" t="s">
        <v>20</v>
      </c>
      <c r="Y1035" s="6" t="s">
        <v>20</v>
      </c>
      <c r="Z1035" s="6" t="s">
        <v>20</v>
      </c>
      <c r="AA1035" s="6"/>
      <c r="AB1035" s="8">
        <v>0</v>
      </c>
      <c r="AC1035" s="15">
        <v>27897801315894</v>
      </c>
      <c r="AD1035" s="4" t="s">
        <v>992</v>
      </c>
    </row>
    <row r="1036" spans="2:30" x14ac:dyDescent="0.35">
      <c r="B1036" s="14">
        <v>1838</v>
      </c>
      <c r="C1036" s="4" t="s">
        <v>954</v>
      </c>
      <c r="D1036" s="4" t="s">
        <v>2378</v>
      </c>
      <c r="E1036" s="4" t="s">
        <v>2912</v>
      </c>
      <c r="F1036" s="4" t="s">
        <v>85</v>
      </c>
      <c r="G1036" s="4" t="s">
        <v>1014</v>
      </c>
      <c r="H1036" s="6">
        <v>0.374</v>
      </c>
      <c r="I1036" s="8">
        <v>30</v>
      </c>
      <c r="J1036" s="8">
        <v>290</v>
      </c>
      <c r="K1036" s="8">
        <v>120</v>
      </c>
      <c r="L1036" s="8">
        <f t="shared" si="59"/>
        <v>1044000</v>
      </c>
      <c r="M1036" s="15">
        <v>7897801315906</v>
      </c>
      <c r="N1036" s="6" t="s">
        <v>20</v>
      </c>
      <c r="O1036" s="6" t="s">
        <v>20</v>
      </c>
      <c r="P1036" s="6" t="s">
        <v>20</v>
      </c>
      <c r="Q1036" s="6">
        <v>0.12</v>
      </c>
      <c r="R1036" s="6">
        <v>0.03</v>
      </c>
      <c r="S1036" s="6">
        <v>0.28999999999999998</v>
      </c>
      <c r="T1036" s="8">
        <v>1</v>
      </c>
      <c r="U1036" s="5" t="s">
        <v>1020</v>
      </c>
      <c r="V1036" s="89">
        <v>5.2000000000000005E-2</v>
      </c>
      <c r="W1036" s="15">
        <v>17897801315903</v>
      </c>
      <c r="X1036" s="6">
        <v>0.34499999999999997</v>
      </c>
      <c r="Y1036" s="6">
        <v>0.255</v>
      </c>
      <c r="Z1036" s="6">
        <v>0.375</v>
      </c>
      <c r="AA1036" s="6">
        <f>Y1036*X1036*Z1036</f>
        <v>3.2990624999999996E-2</v>
      </c>
      <c r="AB1036" s="8">
        <v>24</v>
      </c>
      <c r="AC1036" s="15">
        <v>27897801315900</v>
      </c>
      <c r="AD1036" s="4" t="s">
        <v>992</v>
      </c>
    </row>
    <row r="1037" spans="2:30" x14ac:dyDescent="0.35">
      <c r="B1037" s="18">
        <v>1840</v>
      </c>
      <c r="C1037" s="24" t="s">
        <v>2441</v>
      </c>
      <c r="D1037" s="4" t="s">
        <v>2378</v>
      </c>
      <c r="E1037" s="4" t="s">
        <v>2912</v>
      </c>
      <c r="F1037" s="4" t="s">
        <v>85</v>
      </c>
      <c r="G1037" s="4" t="s">
        <v>1014</v>
      </c>
      <c r="H1037" s="6">
        <v>2.6926000000000001</v>
      </c>
      <c r="I1037" s="8">
        <v>490</v>
      </c>
      <c r="J1037" s="8">
        <v>250</v>
      </c>
      <c r="K1037" s="8">
        <v>150</v>
      </c>
      <c r="L1037" s="8">
        <v>18375000</v>
      </c>
      <c r="M1037" s="15">
        <v>7897801315913</v>
      </c>
      <c r="N1037" s="6" t="s">
        <v>20</v>
      </c>
      <c r="O1037" s="6" t="s">
        <v>20</v>
      </c>
      <c r="P1037" s="6" t="s">
        <v>20</v>
      </c>
      <c r="Q1037" s="6">
        <v>0.49</v>
      </c>
      <c r="R1037" s="6">
        <v>0.25</v>
      </c>
      <c r="S1037" s="6">
        <v>0.15</v>
      </c>
      <c r="T1037" s="8">
        <v>1</v>
      </c>
      <c r="U1037" s="5" t="s">
        <v>1021</v>
      </c>
      <c r="V1037" s="89">
        <v>0</v>
      </c>
      <c r="W1037" s="15">
        <v>17897801315910</v>
      </c>
      <c r="X1037" s="6" t="s">
        <v>20</v>
      </c>
      <c r="Y1037" s="6" t="s">
        <v>20</v>
      </c>
      <c r="Z1037" s="6" t="s">
        <v>20</v>
      </c>
      <c r="AA1037" s="6" t="s">
        <v>20</v>
      </c>
      <c r="AB1037" s="6" t="s">
        <v>20</v>
      </c>
      <c r="AC1037" s="15">
        <v>27897801315917</v>
      </c>
      <c r="AD1037" s="4" t="s">
        <v>992</v>
      </c>
    </row>
    <row r="1038" spans="2:30" x14ac:dyDescent="0.35">
      <c r="B1038" s="14">
        <v>1841</v>
      </c>
      <c r="C1038" s="4" t="s">
        <v>955</v>
      </c>
      <c r="D1038" s="4" t="s">
        <v>2378</v>
      </c>
      <c r="E1038" s="4" t="s">
        <v>2912</v>
      </c>
      <c r="F1038" s="4" t="s">
        <v>85</v>
      </c>
      <c r="G1038" s="4" t="s">
        <v>1014</v>
      </c>
      <c r="H1038" s="6">
        <v>26.609000000000002</v>
      </c>
      <c r="I1038" s="8">
        <v>100</v>
      </c>
      <c r="J1038" s="8">
        <v>250</v>
      </c>
      <c r="K1038" s="8">
        <v>500</v>
      </c>
      <c r="L1038" s="8">
        <f>J1038*I1038*K1038</f>
        <v>12500000</v>
      </c>
      <c r="M1038" s="15">
        <v>7897801315920</v>
      </c>
      <c r="N1038" s="6" t="s">
        <v>20</v>
      </c>
      <c r="O1038" s="6" t="s">
        <v>20</v>
      </c>
      <c r="P1038" s="6" t="s">
        <v>20</v>
      </c>
      <c r="Q1038" s="6">
        <v>0.45500000000000002</v>
      </c>
      <c r="R1038" s="6">
        <v>0.27</v>
      </c>
      <c r="S1038" s="6">
        <v>0.26500000000000001</v>
      </c>
      <c r="T1038" s="8">
        <v>1</v>
      </c>
      <c r="U1038" s="5" t="s">
        <v>1021</v>
      </c>
      <c r="V1038" s="89">
        <v>0</v>
      </c>
      <c r="W1038" s="15">
        <v>17897801315927</v>
      </c>
      <c r="X1038" s="6" t="s">
        <v>20</v>
      </c>
      <c r="Y1038" s="6" t="s">
        <v>20</v>
      </c>
      <c r="Z1038" s="6" t="s">
        <v>20</v>
      </c>
      <c r="AA1038" s="6"/>
      <c r="AB1038" s="8">
        <v>0</v>
      </c>
      <c r="AC1038" s="15">
        <v>27897801315924</v>
      </c>
      <c r="AD1038" s="4" t="s">
        <v>992</v>
      </c>
    </row>
    <row r="1039" spans="2:30" x14ac:dyDescent="0.35">
      <c r="B1039" s="14">
        <v>1842</v>
      </c>
      <c r="C1039" s="4" t="s">
        <v>956</v>
      </c>
      <c r="D1039" s="4" t="s">
        <v>2378</v>
      </c>
      <c r="E1039" s="4" t="s">
        <v>2912</v>
      </c>
      <c r="F1039" s="4" t="s">
        <v>85</v>
      </c>
      <c r="G1039" s="4" t="s">
        <v>1014</v>
      </c>
      <c r="H1039" s="6">
        <v>29.411000000000001</v>
      </c>
      <c r="I1039" s="8">
        <v>100</v>
      </c>
      <c r="J1039" s="8">
        <v>250</v>
      </c>
      <c r="K1039" s="8">
        <v>500</v>
      </c>
      <c r="L1039" s="8">
        <f>J1039*I1039*K1039</f>
        <v>12500000</v>
      </c>
      <c r="M1039" s="15">
        <v>7897801315937</v>
      </c>
      <c r="N1039" s="6" t="s">
        <v>20</v>
      </c>
      <c r="O1039" s="6" t="s">
        <v>20</v>
      </c>
      <c r="P1039" s="6" t="s">
        <v>20</v>
      </c>
      <c r="Q1039" s="6">
        <v>0.45500000000000002</v>
      </c>
      <c r="R1039" s="6">
        <v>0.27</v>
      </c>
      <c r="S1039" s="6">
        <v>0.26500000000000001</v>
      </c>
      <c r="T1039" s="8">
        <v>1</v>
      </c>
      <c r="U1039" s="5" t="s">
        <v>1021</v>
      </c>
      <c r="V1039" s="89">
        <v>0</v>
      </c>
      <c r="W1039" s="15">
        <v>17897801315934</v>
      </c>
      <c r="X1039" s="6" t="s">
        <v>20</v>
      </c>
      <c r="Y1039" s="6" t="s">
        <v>20</v>
      </c>
      <c r="Z1039" s="6" t="s">
        <v>20</v>
      </c>
      <c r="AA1039" s="6"/>
      <c r="AB1039" s="8">
        <v>0</v>
      </c>
      <c r="AC1039" s="15">
        <v>27897801315931</v>
      </c>
      <c r="AD1039" s="4" t="s">
        <v>992</v>
      </c>
    </row>
    <row r="1040" spans="2:30" x14ac:dyDescent="0.35">
      <c r="B1040" s="18">
        <v>1844</v>
      </c>
      <c r="C1040" s="24" t="s">
        <v>2442</v>
      </c>
      <c r="D1040" s="4" t="s">
        <v>2378</v>
      </c>
      <c r="E1040" s="4" t="s">
        <v>2912</v>
      </c>
      <c r="F1040" s="4" t="s">
        <v>85</v>
      </c>
      <c r="G1040" s="4" t="s">
        <v>1014</v>
      </c>
      <c r="H1040" s="6">
        <v>2.6608999999999998</v>
      </c>
      <c r="I1040" s="8">
        <v>450</v>
      </c>
      <c r="J1040" s="8">
        <v>250</v>
      </c>
      <c r="K1040" s="8">
        <v>120</v>
      </c>
      <c r="L1040" s="8">
        <v>13500000</v>
      </c>
      <c r="M1040" s="15">
        <v>7897801319478</v>
      </c>
      <c r="N1040" s="6" t="s">
        <v>20</v>
      </c>
      <c r="O1040" s="6" t="s">
        <v>20</v>
      </c>
      <c r="P1040" s="6" t="s">
        <v>20</v>
      </c>
      <c r="Q1040" s="6">
        <v>0.45</v>
      </c>
      <c r="R1040" s="6">
        <v>0.25</v>
      </c>
      <c r="S1040" s="6">
        <v>0.12</v>
      </c>
      <c r="T1040" s="8">
        <v>1</v>
      </c>
      <c r="U1040" s="5" t="s">
        <v>1021</v>
      </c>
      <c r="V1040" s="89">
        <v>0</v>
      </c>
      <c r="W1040" s="15">
        <v>17897801319475</v>
      </c>
      <c r="X1040" s="6">
        <v>0.48</v>
      </c>
      <c r="Y1040" s="6">
        <v>0.28000000000000003</v>
      </c>
      <c r="Z1040" s="6">
        <v>0.27</v>
      </c>
      <c r="AA1040" s="6">
        <v>3.6299999999999999E-2</v>
      </c>
      <c r="AB1040" s="8" t="s">
        <v>2424</v>
      </c>
      <c r="AC1040" s="15">
        <v>27897801319472</v>
      </c>
      <c r="AD1040" s="4" t="s">
        <v>992</v>
      </c>
    </row>
    <row r="1041" spans="2:30" x14ac:dyDescent="0.35">
      <c r="B1041" s="14">
        <v>1845</v>
      </c>
      <c r="C1041" s="4" t="s">
        <v>957</v>
      </c>
      <c r="D1041" s="4" t="s">
        <v>2373</v>
      </c>
      <c r="E1041" s="4" t="s">
        <v>2912</v>
      </c>
      <c r="F1041" s="4" t="s">
        <v>85</v>
      </c>
      <c r="G1041" s="4" t="s">
        <v>993</v>
      </c>
      <c r="H1041" s="6">
        <v>5.8500000000000003E-2</v>
      </c>
      <c r="I1041" s="8">
        <v>38</v>
      </c>
      <c r="J1041" s="8">
        <v>46</v>
      </c>
      <c r="K1041" s="8">
        <v>55</v>
      </c>
      <c r="L1041" s="8">
        <f t="shared" ref="L1041:L1065" si="60">J1041*I1041*K1041</f>
        <v>96140</v>
      </c>
      <c r="M1041" s="15">
        <v>7897801316798</v>
      </c>
      <c r="N1041" s="6" t="s">
        <v>20</v>
      </c>
      <c r="O1041" s="6" t="s">
        <v>20</v>
      </c>
      <c r="P1041" s="6" t="s">
        <v>20</v>
      </c>
      <c r="Q1041" s="6">
        <v>0.17</v>
      </c>
      <c r="R1041" s="6">
        <v>4.5999999999999999E-2</v>
      </c>
      <c r="S1041" s="6">
        <v>0.19500000000000001</v>
      </c>
      <c r="T1041" s="8">
        <v>10</v>
      </c>
      <c r="U1041" s="5" t="s">
        <v>994</v>
      </c>
      <c r="V1041" s="89">
        <v>0</v>
      </c>
      <c r="W1041" s="15">
        <v>17897801316795</v>
      </c>
      <c r="X1041" s="6">
        <v>0.255</v>
      </c>
      <c r="Y1041" s="6">
        <v>0.25</v>
      </c>
      <c r="Z1041" s="6">
        <v>0.32500000000000001</v>
      </c>
      <c r="AA1041" s="6">
        <f>Y1041*X1041*Z1041</f>
        <v>2.0718750000000001E-2</v>
      </c>
      <c r="AB1041" s="8">
        <v>160</v>
      </c>
      <c r="AC1041" s="15">
        <v>27897801316792</v>
      </c>
      <c r="AD1041" s="4" t="s">
        <v>992</v>
      </c>
    </row>
    <row r="1042" spans="2:30" x14ac:dyDescent="0.35">
      <c r="B1042" s="14">
        <v>1889</v>
      </c>
      <c r="C1042" s="4" t="s">
        <v>958</v>
      </c>
      <c r="D1042" s="4" t="s">
        <v>2378</v>
      </c>
      <c r="E1042" s="4" t="s">
        <v>2912</v>
      </c>
      <c r="F1042" s="4" t="s">
        <v>85</v>
      </c>
      <c r="G1042" s="4" t="s">
        <v>1014</v>
      </c>
      <c r="H1042" s="6">
        <v>0.1777</v>
      </c>
      <c r="I1042" s="8">
        <v>50</v>
      </c>
      <c r="J1042" s="8">
        <v>95</v>
      </c>
      <c r="K1042" s="8">
        <v>90</v>
      </c>
      <c r="L1042" s="8">
        <f t="shared" si="60"/>
        <v>427500</v>
      </c>
      <c r="M1042" s="15">
        <v>7897801316453</v>
      </c>
      <c r="N1042" s="6" t="s">
        <v>20</v>
      </c>
      <c r="O1042" s="6" t="s">
        <v>20</v>
      </c>
      <c r="P1042" s="6" t="s">
        <v>20</v>
      </c>
      <c r="Q1042" s="6">
        <v>0.09</v>
      </c>
      <c r="R1042" s="6">
        <v>0.06</v>
      </c>
      <c r="S1042" s="6">
        <v>0.1</v>
      </c>
      <c r="T1042" s="8">
        <v>1</v>
      </c>
      <c r="U1042" s="5" t="s">
        <v>1019</v>
      </c>
      <c r="V1042" s="89">
        <v>0</v>
      </c>
      <c r="W1042" s="15">
        <v>17897801316450</v>
      </c>
      <c r="X1042" s="6" t="s">
        <v>20</v>
      </c>
      <c r="Y1042" s="6" t="s">
        <v>20</v>
      </c>
      <c r="Z1042" s="6" t="s">
        <v>20</v>
      </c>
      <c r="AA1042" s="6"/>
      <c r="AB1042" s="8">
        <v>0</v>
      </c>
      <c r="AC1042" s="15">
        <v>27897801316457</v>
      </c>
      <c r="AD1042" s="4" t="s">
        <v>992</v>
      </c>
    </row>
    <row r="1043" spans="2:30" x14ac:dyDescent="0.35">
      <c r="B1043" s="14">
        <v>1890</v>
      </c>
      <c r="C1043" s="4" t="s">
        <v>959</v>
      </c>
      <c r="D1043" s="4" t="s">
        <v>2378</v>
      </c>
      <c r="E1043" s="4" t="s">
        <v>2912</v>
      </c>
      <c r="F1043" s="4" t="s">
        <v>85</v>
      </c>
      <c r="G1043" s="4" t="s">
        <v>1014</v>
      </c>
      <c r="H1043" s="6">
        <v>0.1459</v>
      </c>
      <c r="I1043" s="8">
        <v>50</v>
      </c>
      <c r="J1043" s="8">
        <v>95</v>
      </c>
      <c r="K1043" s="8">
        <v>90</v>
      </c>
      <c r="L1043" s="8">
        <f t="shared" si="60"/>
        <v>427500</v>
      </c>
      <c r="M1043" s="15">
        <v>7897801316927</v>
      </c>
      <c r="N1043" s="6" t="s">
        <v>20</v>
      </c>
      <c r="O1043" s="6" t="s">
        <v>20</v>
      </c>
      <c r="P1043" s="6" t="s">
        <v>20</v>
      </c>
      <c r="Q1043" s="6">
        <v>0.09</v>
      </c>
      <c r="R1043" s="6">
        <v>0.06</v>
      </c>
      <c r="S1043" s="6">
        <v>0.1</v>
      </c>
      <c r="T1043" s="8">
        <v>1</v>
      </c>
      <c r="U1043" s="5" t="s">
        <v>1019</v>
      </c>
      <c r="V1043" s="89">
        <v>0</v>
      </c>
      <c r="W1043" s="15">
        <v>17897801316924</v>
      </c>
      <c r="X1043" s="6" t="s">
        <v>20</v>
      </c>
      <c r="Y1043" s="6" t="s">
        <v>20</v>
      </c>
      <c r="Z1043" s="6" t="s">
        <v>20</v>
      </c>
      <c r="AA1043" s="6"/>
      <c r="AB1043" s="8">
        <v>0</v>
      </c>
      <c r="AC1043" s="15">
        <v>27897801316921</v>
      </c>
      <c r="AD1043" s="4" t="s">
        <v>992</v>
      </c>
    </row>
    <row r="1044" spans="2:30" x14ac:dyDescent="0.35">
      <c r="B1044" s="14">
        <v>1892</v>
      </c>
      <c r="C1044" s="4" t="s">
        <v>960</v>
      </c>
      <c r="D1044" s="4" t="s">
        <v>2373</v>
      </c>
      <c r="E1044" s="4" t="s">
        <v>2912</v>
      </c>
      <c r="F1044" s="4" t="s">
        <v>85</v>
      </c>
      <c r="G1044" s="4" t="s">
        <v>993</v>
      </c>
      <c r="H1044" s="6">
        <v>0.85570000000000002</v>
      </c>
      <c r="I1044" s="8">
        <v>122</v>
      </c>
      <c r="J1044" s="8">
        <v>145</v>
      </c>
      <c r="K1044" s="8">
        <v>165</v>
      </c>
      <c r="L1044" s="8">
        <f t="shared" si="60"/>
        <v>2918850</v>
      </c>
      <c r="M1044" s="15">
        <v>7897801316729</v>
      </c>
      <c r="N1044" s="6" t="s">
        <v>20</v>
      </c>
      <c r="O1044" s="6" t="s">
        <v>20</v>
      </c>
      <c r="P1044" s="6" t="s">
        <v>20</v>
      </c>
      <c r="Q1044" s="6">
        <v>0.12</v>
      </c>
      <c r="R1044" s="6">
        <v>0.14299999999999999</v>
      </c>
      <c r="S1044" s="6">
        <v>0.16500000000000001</v>
      </c>
      <c r="T1044" s="8">
        <v>1</v>
      </c>
      <c r="U1044" s="5" t="s">
        <v>994</v>
      </c>
      <c r="V1044" s="89">
        <v>0</v>
      </c>
      <c r="W1044" s="15">
        <v>17897801316726</v>
      </c>
      <c r="X1044" s="6">
        <v>0.34499999999999997</v>
      </c>
      <c r="Y1044" s="6">
        <v>0.255</v>
      </c>
      <c r="Z1044" s="6">
        <v>0.375</v>
      </c>
      <c r="AA1044" s="6">
        <f t="shared" ref="AA1044:AA1065" si="61">Y1044*X1044*Z1044</f>
        <v>3.2990624999999996E-2</v>
      </c>
      <c r="AB1044" s="8">
        <v>8</v>
      </c>
      <c r="AC1044" s="15">
        <v>27897801316723</v>
      </c>
      <c r="AD1044" s="4" t="s">
        <v>992</v>
      </c>
    </row>
    <row r="1045" spans="2:30" x14ac:dyDescent="0.35">
      <c r="B1045" s="14">
        <v>1893</v>
      </c>
      <c r="C1045" s="4" t="s">
        <v>961</v>
      </c>
      <c r="D1045" s="4" t="s">
        <v>2373</v>
      </c>
      <c r="E1045" s="4" t="s">
        <v>2912</v>
      </c>
      <c r="F1045" s="4" t="s">
        <v>85</v>
      </c>
      <c r="G1045" s="4" t="s">
        <v>993</v>
      </c>
      <c r="H1045" s="6">
        <v>1.4910000000000001</v>
      </c>
      <c r="I1045" s="8">
        <v>148</v>
      </c>
      <c r="J1045" s="8">
        <v>175</v>
      </c>
      <c r="K1045" s="8">
        <v>198</v>
      </c>
      <c r="L1045" s="8">
        <f t="shared" si="60"/>
        <v>5128200</v>
      </c>
      <c r="M1045" s="15">
        <v>7897801316736</v>
      </c>
      <c r="N1045" s="6" t="s">
        <v>20</v>
      </c>
      <c r="O1045" s="6" t="s">
        <v>20</v>
      </c>
      <c r="P1045" s="6" t="s">
        <v>20</v>
      </c>
      <c r="Q1045" s="6">
        <v>0.17499999999999999</v>
      </c>
      <c r="R1045" s="6">
        <v>0.15</v>
      </c>
      <c r="S1045" s="6">
        <v>0.2</v>
      </c>
      <c r="T1045" s="8">
        <v>1</v>
      </c>
      <c r="U1045" s="5" t="s">
        <v>994</v>
      </c>
      <c r="V1045" s="89">
        <v>0</v>
      </c>
      <c r="W1045" s="15">
        <v>17897801316733</v>
      </c>
      <c r="X1045" s="6">
        <v>0.34499999999999997</v>
      </c>
      <c r="Y1045" s="6">
        <v>0.255</v>
      </c>
      <c r="Z1045" s="6">
        <v>0.375</v>
      </c>
      <c r="AA1045" s="6">
        <f t="shared" si="61"/>
        <v>3.2990624999999996E-2</v>
      </c>
      <c r="AB1045" s="8">
        <v>4</v>
      </c>
      <c r="AC1045" s="15">
        <v>27897801316730</v>
      </c>
      <c r="AD1045" s="4" t="s">
        <v>992</v>
      </c>
    </row>
    <row r="1046" spans="2:30" x14ac:dyDescent="0.35">
      <c r="B1046" s="14">
        <v>1925</v>
      </c>
      <c r="C1046" s="4" t="s">
        <v>962</v>
      </c>
      <c r="D1046" s="4" t="s">
        <v>2371</v>
      </c>
      <c r="E1046" s="4" t="s">
        <v>2911</v>
      </c>
      <c r="F1046" s="4" t="s">
        <v>85</v>
      </c>
      <c r="G1046" s="4" t="s">
        <v>993</v>
      </c>
      <c r="H1046" s="6">
        <v>4.7300000000000002E-2</v>
      </c>
      <c r="I1046" s="8">
        <v>55</v>
      </c>
      <c r="J1046" s="8">
        <v>45</v>
      </c>
      <c r="K1046" s="8">
        <v>55</v>
      </c>
      <c r="L1046" s="8">
        <f t="shared" si="60"/>
        <v>136125</v>
      </c>
      <c r="M1046" s="15">
        <v>7897801317986</v>
      </c>
      <c r="N1046" s="6" t="s">
        <v>20</v>
      </c>
      <c r="O1046" s="6" t="s">
        <v>20</v>
      </c>
      <c r="P1046" s="6" t="s">
        <v>20</v>
      </c>
      <c r="Q1046" s="6">
        <v>0.23</v>
      </c>
      <c r="R1046" s="6">
        <v>7.0000000000000007E-2</v>
      </c>
      <c r="S1046" s="6">
        <v>0.23</v>
      </c>
      <c r="T1046" s="8">
        <v>20</v>
      </c>
      <c r="U1046" s="5" t="s">
        <v>994</v>
      </c>
      <c r="V1046" s="89">
        <v>0</v>
      </c>
      <c r="W1046" s="15">
        <v>17897801317983</v>
      </c>
      <c r="X1046" s="6">
        <v>0.5</v>
      </c>
      <c r="Y1046" s="6">
        <v>0.19</v>
      </c>
      <c r="Z1046" s="6">
        <v>0.73</v>
      </c>
      <c r="AA1046" s="6">
        <f t="shared" si="61"/>
        <v>6.9349999999999995E-2</v>
      </c>
      <c r="AB1046" s="8">
        <v>400</v>
      </c>
      <c r="AC1046" s="15">
        <v>27897801317980</v>
      </c>
      <c r="AD1046" s="4" t="s">
        <v>992</v>
      </c>
    </row>
    <row r="1047" spans="2:30" x14ac:dyDescent="0.35">
      <c r="B1047" s="14">
        <v>1926</v>
      </c>
      <c r="C1047" s="4" t="s">
        <v>963</v>
      </c>
      <c r="D1047" s="4" t="s">
        <v>2371</v>
      </c>
      <c r="E1047" s="4" t="s">
        <v>2911</v>
      </c>
      <c r="F1047" s="4" t="s">
        <v>85</v>
      </c>
      <c r="G1047" s="4" t="s">
        <v>993</v>
      </c>
      <c r="H1047" s="6">
        <v>7.7200000000000005E-2</v>
      </c>
      <c r="I1047" s="8">
        <v>55</v>
      </c>
      <c r="J1047" s="8">
        <v>62</v>
      </c>
      <c r="K1047" s="8">
        <v>62</v>
      </c>
      <c r="L1047" s="8">
        <f t="shared" si="60"/>
        <v>211420</v>
      </c>
      <c r="M1047" s="15">
        <v>7897801317917</v>
      </c>
      <c r="N1047" s="6" t="s">
        <v>20</v>
      </c>
      <c r="O1047" s="6" t="s">
        <v>20</v>
      </c>
      <c r="P1047" s="6" t="s">
        <v>20</v>
      </c>
      <c r="Q1047" s="6">
        <v>0.17</v>
      </c>
      <c r="R1047" s="6">
        <v>6.2E-2</v>
      </c>
      <c r="S1047" s="6">
        <v>0.23499999999999999</v>
      </c>
      <c r="T1047" s="8">
        <v>10</v>
      </c>
      <c r="U1047" s="5" t="s">
        <v>994</v>
      </c>
      <c r="V1047" s="89">
        <v>0</v>
      </c>
      <c r="W1047" s="15">
        <v>17897801317914</v>
      </c>
      <c r="X1047" s="6">
        <v>0.5</v>
      </c>
      <c r="Y1047" s="6">
        <v>0.27</v>
      </c>
      <c r="Z1047" s="6">
        <v>0.67</v>
      </c>
      <c r="AA1047" s="6">
        <f t="shared" si="61"/>
        <v>9.0450000000000016E-2</v>
      </c>
      <c r="AB1047" s="8">
        <v>240</v>
      </c>
      <c r="AC1047" s="15">
        <v>27897801317911</v>
      </c>
      <c r="AD1047" s="4" t="s">
        <v>992</v>
      </c>
    </row>
    <row r="1048" spans="2:30" x14ac:dyDescent="0.35">
      <c r="B1048" s="14">
        <v>1927</v>
      </c>
      <c r="C1048" s="4" t="s">
        <v>964</v>
      </c>
      <c r="D1048" s="4" t="s">
        <v>2371</v>
      </c>
      <c r="E1048" s="4" t="s">
        <v>2911</v>
      </c>
      <c r="F1048" s="4" t="s">
        <v>85</v>
      </c>
      <c r="G1048" s="4" t="s">
        <v>993</v>
      </c>
      <c r="H1048" s="6">
        <v>0.14199999999999999</v>
      </c>
      <c r="I1048" s="8">
        <v>80</v>
      </c>
      <c r="J1048" s="8">
        <v>70</v>
      </c>
      <c r="K1048" s="8">
        <v>80</v>
      </c>
      <c r="L1048" s="8">
        <f t="shared" si="60"/>
        <v>448000</v>
      </c>
      <c r="M1048" s="15">
        <v>7897801317931</v>
      </c>
      <c r="N1048" s="6" t="s">
        <v>20</v>
      </c>
      <c r="O1048" s="6" t="s">
        <v>20</v>
      </c>
      <c r="P1048" s="6" t="s">
        <v>20</v>
      </c>
      <c r="Q1048" s="6">
        <v>0.2</v>
      </c>
      <c r="R1048" s="6">
        <v>0.08</v>
      </c>
      <c r="S1048" s="6">
        <v>0.36</v>
      </c>
      <c r="T1048" s="8">
        <v>8</v>
      </c>
      <c r="U1048" s="5" t="s">
        <v>994</v>
      </c>
      <c r="V1048" s="89">
        <v>0</v>
      </c>
      <c r="W1048" s="15">
        <v>17897801317938</v>
      </c>
      <c r="X1048" s="6">
        <v>0.48</v>
      </c>
      <c r="Y1048" s="6">
        <v>0.21</v>
      </c>
      <c r="Z1048" s="6">
        <v>0.73</v>
      </c>
      <c r="AA1048" s="6">
        <f t="shared" si="61"/>
        <v>7.3583999999999983E-2</v>
      </c>
      <c r="AB1048" s="8">
        <v>120</v>
      </c>
      <c r="AC1048" s="15">
        <v>27897801317935</v>
      </c>
      <c r="AD1048" s="4" t="s">
        <v>992</v>
      </c>
    </row>
    <row r="1049" spans="2:30" x14ac:dyDescent="0.35">
      <c r="B1049" s="14">
        <v>1930</v>
      </c>
      <c r="C1049" s="4" t="s">
        <v>965</v>
      </c>
      <c r="D1049" s="4" t="s">
        <v>2371</v>
      </c>
      <c r="E1049" s="4" t="s">
        <v>2911</v>
      </c>
      <c r="F1049" s="4" t="s">
        <v>85</v>
      </c>
      <c r="G1049" s="4" t="s">
        <v>993</v>
      </c>
      <c r="H1049" s="6">
        <v>0.85370000000000001</v>
      </c>
      <c r="I1049" s="8">
        <v>160</v>
      </c>
      <c r="J1049" s="8">
        <v>110</v>
      </c>
      <c r="K1049" s="8">
        <v>100</v>
      </c>
      <c r="L1049" s="8">
        <f t="shared" si="60"/>
        <v>1760000</v>
      </c>
      <c r="M1049" s="15">
        <v>7897801317979</v>
      </c>
      <c r="N1049" s="6" t="s">
        <v>20</v>
      </c>
      <c r="O1049" s="6" t="s">
        <v>20</v>
      </c>
      <c r="P1049" s="6" t="s">
        <v>20</v>
      </c>
      <c r="Q1049" s="6">
        <v>0.11</v>
      </c>
      <c r="R1049" s="6">
        <v>0.11</v>
      </c>
      <c r="S1049" s="6">
        <v>0.16</v>
      </c>
      <c r="T1049" s="8">
        <v>1</v>
      </c>
      <c r="U1049" s="5" t="s">
        <v>994</v>
      </c>
      <c r="V1049" s="89">
        <v>0</v>
      </c>
      <c r="W1049" s="15">
        <v>17897801317976</v>
      </c>
      <c r="X1049" s="6">
        <v>0.43</v>
      </c>
      <c r="Y1049" s="6">
        <v>0.17</v>
      </c>
      <c r="Z1049" s="6">
        <v>0.68</v>
      </c>
      <c r="AA1049" s="6">
        <f t="shared" si="61"/>
        <v>4.9708000000000002E-2</v>
      </c>
      <c r="AB1049" s="8">
        <v>20</v>
      </c>
      <c r="AC1049" s="15">
        <v>27897801317973</v>
      </c>
      <c r="AD1049" s="4" t="s">
        <v>992</v>
      </c>
    </row>
    <row r="1050" spans="2:30" x14ac:dyDescent="0.35">
      <c r="B1050" s="14">
        <v>1931</v>
      </c>
      <c r="C1050" s="4" t="s">
        <v>966</v>
      </c>
      <c r="D1050" s="4" t="s">
        <v>2371</v>
      </c>
      <c r="E1050" s="4" t="s">
        <v>2911</v>
      </c>
      <c r="F1050" s="4" t="s">
        <v>85</v>
      </c>
      <c r="G1050" s="4" t="s">
        <v>993</v>
      </c>
      <c r="H1050" s="6">
        <v>1.5517000000000001</v>
      </c>
      <c r="I1050" s="8">
        <v>140</v>
      </c>
      <c r="J1050" s="8">
        <v>190</v>
      </c>
      <c r="K1050" s="8">
        <v>190</v>
      </c>
      <c r="L1050" s="8">
        <f t="shared" si="60"/>
        <v>5054000</v>
      </c>
      <c r="M1050" s="15">
        <v>7897801317955</v>
      </c>
      <c r="N1050" s="6" t="s">
        <v>20</v>
      </c>
      <c r="O1050" s="6" t="s">
        <v>20</v>
      </c>
      <c r="P1050" s="6" t="s">
        <v>20</v>
      </c>
      <c r="Q1050" s="6">
        <v>0.19</v>
      </c>
      <c r="R1050" s="6">
        <v>0.19</v>
      </c>
      <c r="S1050" s="6">
        <v>0.14000000000000001</v>
      </c>
      <c r="T1050" s="8">
        <v>1</v>
      </c>
      <c r="U1050" s="5" t="s">
        <v>994</v>
      </c>
      <c r="V1050" s="89">
        <v>0</v>
      </c>
      <c r="W1050" s="15">
        <v>17897801317952</v>
      </c>
      <c r="X1050" s="6">
        <v>0.49</v>
      </c>
      <c r="Y1050" s="6">
        <v>0.18</v>
      </c>
      <c r="Z1050" s="6">
        <v>0.74</v>
      </c>
      <c r="AA1050" s="6">
        <f t="shared" si="61"/>
        <v>6.5268000000000007E-2</v>
      </c>
      <c r="AB1050" s="8">
        <v>10</v>
      </c>
      <c r="AC1050" s="15">
        <v>27897801317959</v>
      </c>
      <c r="AD1050" s="4" t="s">
        <v>992</v>
      </c>
    </row>
    <row r="1051" spans="2:30" x14ac:dyDescent="0.35">
      <c r="B1051" s="14">
        <v>1953</v>
      </c>
      <c r="C1051" s="4" t="s">
        <v>967</v>
      </c>
      <c r="D1051" s="4" t="s">
        <v>2389</v>
      </c>
      <c r="E1051" s="4" t="s">
        <v>2911</v>
      </c>
      <c r="F1051" s="4" t="s">
        <v>85</v>
      </c>
      <c r="G1051" s="4" t="s">
        <v>993</v>
      </c>
      <c r="H1051" s="6">
        <v>0.13719999999999999</v>
      </c>
      <c r="I1051" s="8">
        <v>85</v>
      </c>
      <c r="J1051" s="8">
        <v>50</v>
      </c>
      <c r="K1051" s="8">
        <v>80</v>
      </c>
      <c r="L1051" s="8">
        <f t="shared" si="60"/>
        <v>340000</v>
      </c>
      <c r="M1051" s="15">
        <v>7897801317474</v>
      </c>
      <c r="N1051" s="6" t="s">
        <v>20</v>
      </c>
      <c r="O1051" s="6" t="s">
        <v>20</v>
      </c>
      <c r="P1051" s="6" t="s">
        <v>20</v>
      </c>
      <c r="Q1051" s="6">
        <v>0.19</v>
      </c>
      <c r="R1051" s="6">
        <v>0.05</v>
      </c>
      <c r="S1051" s="6">
        <v>0.23</v>
      </c>
      <c r="T1051" s="8">
        <v>2</v>
      </c>
      <c r="U1051" s="5" t="s">
        <v>1002</v>
      </c>
      <c r="V1051" s="89">
        <v>0</v>
      </c>
      <c r="W1051" s="15">
        <v>17897801317471</v>
      </c>
      <c r="X1051" s="6">
        <v>0.52</v>
      </c>
      <c r="Y1051" s="6">
        <v>0.18</v>
      </c>
      <c r="Z1051" s="6">
        <v>0.73</v>
      </c>
      <c r="AA1051" s="6">
        <f t="shared" si="61"/>
        <v>6.8328E-2</v>
      </c>
      <c r="AB1051" s="8">
        <v>160</v>
      </c>
      <c r="AC1051" s="15">
        <v>27897801317478</v>
      </c>
      <c r="AD1051" s="4" t="s">
        <v>992</v>
      </c>
    </row>
    <row r="1052" spans="2:30" x14ac:dyDescent="0.35">
      <c r="B1052" s="14">
        <v>1954</v>
      </c>
      <c r="C1052" s="4" t="s">
        <v>968</v>
      </c>
      <c r="D1052" s="4" t="s">
        <v>2389</v>
      </c>
      <c r="E1052" s="4" t="s">
        <v>2911</v>
      </c>
      <c r="F1052" s="4" t="s">
        <v>85</v>
      </c>
      <c r="G1052" s="4" t="s">
        <v>993</v>
      </c>
      <c r="H1052" s="6">
        <v>0.26490000000000002</v>
      </c>
      <c r="I1052" s="8">
        <v>110</v>
      </c>
      <c r="J1052" s="8">
        <v>70</v>
      </c>
      <c r="K1052" s="8">
        <v>95</v>
      </c>
      <c r="L1052" s="8">
        <f t="shared" si="60"/>
        <v>731500</v>
      </c>
      <c r="M1052" s="15">
        <v>7897801317481</v>
      </c>
      <c r="N1052" s="6" t="s">
        <v>20</v>
      </c>
      <c r="O1052" s="6" t="s">
        <v>20</v>
      </c>
      <c r="P1052" s="6" t="s">
        <v>20</v>
      </c>
      <c r="Q1052" s="6">
        <v>0.14000000000000001</v>
      </c>
      <c r="R1052" s="6">
        <v>0.08</v>
      </c>
      <c r="S1052" s="6">
        <v>0.26</v>
      </c>
      <c r="T1052" s="8">
        <v>3</v>
      </c>
      <c r="U1052" s="5" t="s">
        <v>1002</v>
      </c>
      <c r="V1052" s="89">
        <v>0</v>
      </c>
      <c r="W1052" s="15">
        <v>17897801317488</v>
      </c>
      <c r="X1052" s="6">
        <v>0.52</v>
      </c>
      <c r="Y1052" s="6">
        <v>0.22</v>
      </c>
      <c r="Z1052" s="6">
        <v>0.7</v>
      </c>
      <c r="AA1052" s="6">
        <f t="shared" si="61"/>
        <v>8.0079999999999998E-2</v>
      </c>
      <c r="AB1052" s="8">
        <v>75</v>
      </c>
      <c r="AC1052" s="15">
        <v>27897801317485</v>
      </c>
      <c r="AD1052" s="4" t="s">
        <v>992</v>
      </c>
    </row>
    <row r="1053" spans="2:30" x14ac:dyDescent="0.35">
      <c r="B1053" s="14">
        <v>1955</v>
      </c>
      <c r="C1053" s="4" t="s">
        <v>969</v>
      </c>
      <c r="D1053" s="4" t="s">
        <v>2389</v>
      </c>
      <c r="E1053" s="4" t="s">
        <v>2911</v>
      </c>
      <c r="F1053" s="4" t="s">
        <v>85</v>
      </c>
      <c r="G1053" s="4" t="s">
        <v>993</v>
      </c>
      <c r="H1053" s="6">
        <v>0.3241</v>
      </c>
      <c r="I1053" s="8">
        <v>125</v>
      </c>
      <c r="J1053" s="8">
        <v>70</v>
      </c>
      <c r="K1053" s="8">
        <v>110</v>
      </c>
      <c r="L1053" s="8">
        <f t="shared" si="60"/>
        <v>962500</v>
      </c>
      <c r="M1053" s="15">
        <v>7897801317498</v>
      </c>
      <c r="N1053" s="6" t="s">
        <v>20</v>
      </c>
      <c r="O1053" s="6" t="s">
        <v>20</v>
      </c>
      <c r="P1053" s="6" t="s">
        <v>20</v>
      </c>
      <c r="Q1053" s="6">
        <v>0.22</v>
      </c>
      <c r="R1053" s="6">
        <v>7.0000000000000007E-2</v>
      </c>
      <c r="S1053" s="6">
        <v>0.25</v>
      </c>
      <c r="T1053" s="8">
        <v>3</v>
      </c>
      <c r="U1053" s="5" t="s">
        <v>1002</v>
      </c>
      <c r="V1053" s="89">
        <v>0</v>
      </c>
      <c r="W1053" s="15">
        <v>17897801317495</v>
      </c>
      <c r="X1053" s="6">
        <v>0.52</v>
      </c>
      <c r="Y1053" s="6">
        <v>0.18</v>
      </c>
      <c r="Z1053" s="6">
        <v>0.71</v>
      </c>
      <c r="AA1053" s="6">
        <f t="shared" si="61"/>
        <v>6.6456000000000001E-2</v>
      </c>
      <c r="AB1053" s="8">
        <v>60</v>
      </c>
      <c r="AC1053" s="15">
        <v>27897801317492</v>
      </c>
      <c r="AD1053" s="4" t="s">
        <v>992</v>
      </c>
    </row>
    <row r="1054" spans="2:30" x14ac:dyDescent="0.35">
      <c r="B1054" s="14">
        <v>1960</v>
      </c>
      <c r="C1054" s="4" t="s">
        <v>970</v>
      </c>
      <c r="D1054" s="4" t="s">
        <v>2402</v>
      </c>
      <c r="E1054" s="4" t="s">
        <v>2911</v>
      </c>
      <c r="F1054" s="4" t="s">
        <v>85</v>
      </c>
      <c r="G1054" s="4" t="s">
        <v>993</v>
      </c>
      <c r="H1054" s="6">
        <v>7.5399999999999995E-2</v>
      </c>
      <c r="I1054" s="8">
        <v>100</v>
      </c>
      <c r="J1054" s="8">
        <v>70</v>
      </c>
      <c r="K1054" s="8">
        <v>25</v>
      </c>
      <c r="L1054" s="8">
        <f t="shared" si="60"/>
        <v>175000</v>
      </c>
      <c r="M1054" s="15">
        <v>7897801317863</v>
      </c>
      <c r="N1054" s="6" t="s">
        <v>20</v>
      </c>
      <c r="O1054" s="6" t="s">
        <v>20</v>
      </c>
      <c r="P1054" s="6" t="s">
        <v>20</v>
      </c>
      <c r="Q1054" s="6">
        <v>0.16500000000000001</v>
      </c>
      <c r="R1054" s="6">
        <v>0.06</v>
      </c>
      <c r="S1054" s="6">
        <v>0.28499999999999998</v>
      </c>
      <c r="T1054" s="8">
        <v>6</v>
      </c>
      <c r="U1054" s="5" t="s">
        <v>1011</v>
      </c>
      <c r="V1054" s="89">
        <v>3.2500000000000001E-2</v>
      </c>
      <c r="W1054" s="15">
        <v>17897801317860</v>
      </c>
      <c r="X1054" s="6">
        <v>0.53</v>
      </c>
      <c r="Y1054" s="6">
        <v>0.16</v>
      </c>
      <c r="Z1054" s="6">
        <v>0.77</v>
      </c>
      <c r="AA1054" s="6">
        <f t="shared" si="61"/>
        <v>6.5296000000000007E-2</v>
      </c>
      <c r="AB1054" s="8">
        <v>168</v>
      </c>
      <c r="AC1054" s="15">
        <v>27897801317867</v>
      </c>
      <c r="AD1054" s="4" t="s">
        <v>992</v>
      </c>
    </row>
    <row r="1055" spans="2:30" x14ac:dyDescent="0.35">
      <c r="B1055" s="14">
        <v>1961</v>
      </c>
      <c r="C1055" s="4" t="s">
        <v>971</v>
      </c>
      <c r="D1055" s="4" t="s">
        <v>2377</v>
      </c>
      <c r="E1055" s="4" t="s">
        <v>2911</v>
      </c>
      <c r="F1055" s="4" t="s">
        <v>85</v>
      </c>
      <c r="G1055" s="4" t="s">
        <v>993</v>
      </c>
      <c r="H1055" s="6">
        <v>8.9700000000000002E-2</v>
      </c>
      <c r="I1055" s="8">
        <v>70</v>
      </c>
      <c r="J1055" s="8">
        <v>50</v>
      </c>
      <c r="K1055" s="8">
        <v>70</v>
      </c>
      <c r="L1055" s="8">
        <f t="shared" si="60"/>
        <v>245000</v>
      </c>
      <c r="M1055" s="15">
        <v>7897801317542</v>
      </c>
      <c r="N1055" s="6" t="s">
        <v>20</v>
      </c>
      <c r="O1055" s="6" t="s">
        <v>20</v>
      </c>
      <c r="P1055" s="6" t="s">
        <v>20</v>
      </c>
      <c r="Q1055" s="6">
        <v>0.18</v>
      </c>
      <c r="R1055" s="6">
        <v>0.08</v>
      </c>
      <c r="S1055" s="6">
        <v>0.28000000000000003</v>
      </c>
      <c r="T1055" s="8">
        <v>10</v>
      </c>
      <c r="U1055" s="5" t="s">
        <v>1002</v>
      </c>
      <c r="V1055" s="89">
        <v>0</v>
      </c>
      <c r="W1055" s="15">
        <v>17897801317549</v>
      </c>
      <c r="X1055" s="6">
        <v>0.54</v>
      </c>
      <c r="Y1055" s="6">
        <v>0.24</v>
      </c>
      <c r="Z1055" s="6">
        <v>0.7</v>
      </c>
      <c r="AA1055" s="6">
        <f t="shared" si="61"/>
        <v>9.0719999999999995E-2</v>
      </c>
      <c r="AB1055" s="8">
        <v>240</v>
      </c>
      <c r="AC1055" s="15">
        <v>47897801317540</v>
      </c>
      <c r="AD1055" s="4" t="s">
        <v>992</v>
      </c>
    </row>
    <row r="1056" spans="2:30" x14ac:dyDescent="0.35">
      <c r="B1056" s="14">
        <v>1962</v>
      </c>
      <c r="C1056" s="4" t="s">
        <v>972</v>
      </c>
      <c r="D1056" s="4" t="s">
        <v>2377</v>
      </c>
      <c r="E1056" s="4" t="s">
        <v>2911</v>
      </c>
      <c r="F1056" s="4" t="s">
        <v>85</v>
      </c>
      <c r="G1056" s="4" t="s">
        <v>993</v>
      </c>
      <c r="H1056" s="6">
        <v>0.14940000000000001</v>
      </c>
      <c r="I1056" s="8">
        <v>90</v>
      </c>
      <c r="J1056" s="8">
        <v>60</v>
      </c>
      <c r="K1056" s="8">
        <v>90</v>
      </c>
      <c r="L1056" s="8">
        <f t="shared" si="60"/>
        <v>486000</v>
      </c>
      <c r="M1056" s="15">
        <v>7897801317559</v>
      </c>
      <c r="N1056" s="6" t="s">
        <v>20</v>
      </c>
      <c r="O1056" s="6" t="s">
        <v>20</v>
      </c>
      <c r="P1056" s="6" t="s">
        <v>20</v>
      </c>
      <c r="Q1056" s="6">
        <v>0.22</v>
      </c>
      <c r="R1056" s="6">
        <v>0.08</v>
      </c>
      <c r="S1056" s="6">
        <v>0.35</v>
      </c>
      <c r="T1056" s="8">
        <v>10</v>
      </c>
      <c r="U1056" s="5" t="s">
        <v>1002</v>
      </c>
      <c r="V1056" s="89">
        <v>0</v>
      </c>
      <c r="W1056" s="15">
        <v>17897801317556</v>
      </c>
      <c r="X1056" s="6">
        <v>0.52</v>
      </c>
      <c r="Y1056" s="6">
        <v>0.17</v>
      </c>
      <c r="Z1056" s="6">
        <v>0.74</v>
      </c>
      <c r="AA1056" s="6">
        <f t="shared" si="61"/>
        <v>6.5416000000000002E-2</v>
      </c>
      <c r="AB1056" s="8">
        <v>150</v>
      </c>
      <c r="AC1056" s="15">
        <v>27897801317553</v>
      </c>
      <c r="AD1056" s="4" t="s">
        <v>992</v>
      </c>
    </row>
    <row r="1057" spans="2:30" x14ac:dyDescent="0.35">
      <c r="B1057" s="14">
        <v>1964</v>
      </c>
      <c r="C1057" s="4" t="s">
        <v>973</v>
      </c>
      <c r="D1057" s="4" t="s">
        <v>2377</v>
      </c>
      <c r="E1057" s="4" t="s">
        <v>2911</v>
      </c>
      <c r="F1057" s="4" t="s">
        <v>85</v>
      </c>
      <c r="G1057" s="4" t="s">
        <v>993</v>
      </c>
      <c r="H1057" s="6">
        <v>0.32069999999999999</v>
      </c>
      <c r="I1057" s="8">
        <v>120</v>
      </c>
      <c r="J1057" s="8">
        <v>100</v>
      </c>
      <c r="K1057" s="8">
        <v>110</v>
      </c>
      <c r="L1057" s="8">
        <f t="shared" si="60"/>
        <v>1320000</v>
      </c>
      <c r="M1057" s="15">
        <v>7897801317573</v>
      </c>
      <c r="N1057" s="6" t="s">
        <v>20</v>
      </c>
      <c r="O1057" s="6" t="s">
        <v>20</v>
      </c>
      <c r="P1057" s="6" t="s">
        <v>20</v>
      </c>
      <c r="Q1057" s="6">
        <v>0.22</v>
      </c>
      <c r="R1057" s="6">
        <v>0.1</v>
      </c>
      <c r="S1057" s="6">
        <v>0.32</v>
      </c>
      <c r="T1057" s="8">
        <v>5</v>
      </c>
      <c r="U1057" s="5" t="s">
        <v>1002</v>
      </c>
      <c r="V1057" s="89">
        <v>0</v>
      </c>
      <c r="W1057" s="15">
        <v>17897801317570</v>
      </c>
      <c r="X1057" s="6">
        <v>0.53</v>
      </c>
      <c r="Y1057" s="6">
        <v>0.19</v>
      </c>
      <c r="Z1057" s="6">
        <v>0.73</v>
      </c>
      <c r="AA1057" s="6">
        <f t="shared" si="61"/>
        <v>7.3511000000000007E-2</v>
      </c>
      <c r="AB1057" s="8">
        <v>70</v>
      </c>
      <c r="AC1057" s="15">
        <v>47897801317571</v>
      </c>
      <c r="AD1057" s="4" t="s">
        <v>992</v>
      </c>
    </row>
    <row r="1058" spans="2:30" x14ac:dyDescent="0.35">
      <c r="B1058" s="14">
        <v>1965</v>
      </c>
      <c r="C1058" s="4" t="s">
        <v>974</v>
      </c>
      <c r="D1058" s="4" t="s">
        <v>2377</v>
      </c>
      <c r="E1058" s="4" t="s">
        <v>2911</v>
      </c>
      <c r="F1058" s="4" t="s">
        <v>85</v>
      </c>
      <c r="G1058" s="4" t="s">
        <v>993</v>
      </c>
      <c r="H1058" s="6">
        <v>0.49440000000000001</v>
      </c>
      <c r="I1058" s="8">
        <v>135</v>
      </c>
      <c r="J1058" s="8">
        <v>90</v>
      </c>
      <c r="K1058" s="8">
        <v>135</v>
      </c>
      <c r="L1058" s="8">
        <f t="shared" si="60"/>
        <v>1640250</v>
      </c>
      <c r="M1058" s="15">
        <v>7897801317580</v>
      </c>
      <c r="N1058" s="6" t="s">
        <v>20</v>
      </c>
      <c r="O1058" s="6" t="s">
        <v>20</v>
      </c>
      <c r="P1058" s="6" t="s">
        <v>20</v>
      </c>
      <c r="Q1058" s="6">
        <v>0.17</v>
      </c>
      <c r="R1058" s="6">
        <v>0.1</v>
      </c>
      <c r="S1058" s="6">
        <v>0.27</v>
      </c>
      <c r="T1058" s="8">
        <v>2</v>
      </c>
      <c r="U1058" s="5" t="s">
        <v>1002</v>
      </c>
      <c r="V1058" s="89">
        <v>0</v>
      </c>
      <c r="W1058" s="15">
        <v>17897801317587</v>
      </c>
      <c r="X1058" s="6">
        <v>0.51</v>
      </c>
      <c r="Y1058" s="6">
        <v>0.2</v>
      </c>
      <c r="Z1058" s="6">
        <v>0.77</v>
      </c>
      <c r="AA1058" s="6">
        <f t="shared" si="61"/>
        <v>7.8540000000000013E-2</v>
      </c>
      <c r="AB1058" s="8">
        <v>40</v>
      </c>
      <c r="AC1058" s="15">
        <v>47897801317588</v>
      </c>
      <c r="AD1058" s="4" t="s">
        <v>992</v>
      </c>
    </row>
    <row r="1059" spans="2:30" x14ac:dyDescent="0.35">
      <c r="B1059" s="14">
        <v>1970</v>
      </c>
      <c r="C1059" s="4" t="s">
        <v>975</v>
      </c>
      <c r="D1059" s="4" t="s">
        <v>2377</v>
      </c>
      <c r="E1059" s="4" t="s">
        <v>2911</v>
      </c>
      <c r="F1059" s="4" t="s">
        <v>85</v>
      </c>
      <c r="G1059" s="4" t="s">
        <v>993</v>
      </c>
      <c r="H1059" s="6">
        <v>8.9599999999999999E-2</v>
      </c>
      <c r="I1059" s="8">
        <v>70</v>
      </c>
      <c r="J1059" s="8">
        <v>70</v>
      </c>
      <c r="K1059" s="8">
        <v>70</v>
      </c>
      <c r="L1059" s="8">
        <f t="shared" si="60"/>
        <v>343000</v>
      </c>
      <c r="M1059" s="15">
        <v>7897801317603</v>
      </c>
      <c r="N1059" s="6" t="s">
        <v>20</v>
      </c>
      <c r="O1059" s="6" t="s">
        <v>20</v>
      </c>
      <c r="P1059" s="6" t="s">
        <v>20</v>
      </c>
      <c r="Q1059" s="6">
        <v>0.19</v>
      </c>
      <c r="R1059" s="6">
        <v>7.0000000000000007E-2</v>
      </c>
      <c r="S1059" s="6">
        <v>0.27</v>
      </c>
      <c r="T1059" s="8">
        <v>10</v>
      </c>
      <c r="U1059" s="5" t="s">
        <v>1002</v>
      </c>
      <c r="V1059" s="89">
        <v>0</v>
      </c>
      <c r="W1059" s="15">
        <v>17897801317600</v>
      </c>
      <c r="X1059" s="6">
        <v>0.49</v>
      </c>
      <c r="Y1059" s="6">
        <v>0.2</v>
      </c>
      <c r="Z1059" s="6">
        <v>0.72</v>
      </c>
      <c r="AA1059" s="6">
        <f t="shared" si="61"/>
        <v>7.0559999999999998E-2</v>
      </c>
      <c r="AB1059" s="8">
        <v>240</v>
      </c>
      <c r="AC1059" s="15">
        <v>27897801317607</v>
      </c>
      <c r="AD1059" s="4" t="s">
        <v>992</v>
      </c>
    </row>
    <row r="1060" spans="2:30" x14ac:dyDescent="0.35">
      <c r="B1060" s="14">
        <v>1971</v>
      </c>
      <c r="C1060" s="4" t="s">
        <v>976</v>
      </c>
      <c r="D1060" s="4" t="s">
        <v>2377</v>
      </c>
      <c r="E1060" s="4" t="s">
        <v>2911</v>
      </c>
      <c r="F1060" s="4" t="s">
        <v>85</v>
      </c>
      <c r="G1060" s="4" t="s">
        <v>993</v>
      </c>
      <c r="H1060" s="6">
        <v>0.1452</v>
      </c>
      <c r="I1060" s="8">
        <v>90</v>
      </c>
      <c r="J1060" s="8">
        <v>60</v>
      </c>
      <c r="K1060" s="8">
        <v>85</v>
      </c>
      <c r="L1060" s="8">
        <f t="shared" si="60"/>
        <v>459000</v>
      </c>
      <c r="M1060" s="15">
        <v>7897801317610</v>
      </c>
      <c r="N1060" s="6" t="s">
        <v>20</v>
      </c>
      <c r="O1060" s="6" t="s">
        <v>20</v>
      </c>
      <c r="P1060" s="6" t="s">
        <v>20</v>
      </c>
      <c r="Q1060" s="6">
        <v>0.21</v>
      </c>
      <c r="R1060" s="6">
        <v>0.09</v>
      </c>
      <c r="S1060" s="6">
        <v>0.32</v>
      </c>
      <c r="T1060" s="8">
        <v>10</v>
      </c>
      <c r="U1060" s="5" t="s">
        <v>1002</v>
      </c>
      <c r="V1060" s="89">
        <v>0</v>
      </c>
      <c r="W1060" s="15">
        <v>17897801317617</v>
      </c>
      <c r="X1060" s="6">
        <v>0.5</v>
      </c>
      <c r="Y1060" s="6">
        <v>0.17</v>
      </c>
      <c r="Z1060" s="6">
        <v>0.73</v>
      </c>
      <c r="AA1060" s="6">
        <f t="shared" si="61"/>
        <v>6.2050000000000001E-2</v>
      </c>
      <c r="AB1060" s="8">
        <v>150</v>
      </c>
      <c r="AC1060" s="15">
        <v>47897801317618</v>
      </c>
      <c r="AD1060" s="4" t="s">
        <v>992</v>
      </c>
    </row>
    <row r="1061" spans="2:30" x14ac:dyDescent="0.35">
      <c r="B1061" s="14">
        <v>1972</v>
      </c>
      <c r="C1061" s="4" t="s">
        <v>977</v>
      </c>
      <c r="D1061" s="4" t="s">
        <v>2377</v>
      </c>
      <c r="E1061" s="4" t="s">
        <v>2911</v>
      </c>
      <c r="F1061" s="4" t="s">
        <v>85</v>
      </c>
      <c r="G1061" s="4" t="s">
        <v>993</v>
      </c>
      <c r="H1061" s="6">
        <v>0.2195</v>
      </c>
      <c r="I1061" s="8">
        <v>110</v>
      </c>
      <c r="J1061" s="8">
        <v>70</v>
      </c>
      <c r="K1061" s="8">
        <v>100</v>
      </c>
      <c r="L1061" s="8">
        <f t="shared" si="60"/>
        <v>770000</v>
      </c>
      <c r="M1061" s="15">
        <v>7897801317627</v>
      </c>
      <c r="N1061" s="6" t="s">
        <v>20</v>
      </c>
      <c r="O1061" s="6" t="s">
        <v>20</v>
      </c>
      <c r="P1061" s="6" t="s">
        <v>20</v>
      </c>
      <c r="Q1061" s="6">
        <v>0.22</v>
      </c>
      <c r="R1061" s="6">
        <v>0.08</v>
      </c>
      <c r="S1061" s="6">
        <v>0.27</v>
      </c>
      <c r="T1061" s="8">
        <v>5</v>
      </c>
      <c r="U1061" s="5" t="s">
        <v>1002</v>
      </c>
      <c r="V1061" s="89">
        <v>0</v>
      </c>
      <c r="W1061" s="15">
        <v>17897801317624</v>
      </c>
      <c r="X1061" s="6">
        <v>0.49</v>
      </c>
      <c r="Y1061" s="6">
        <v>0.21</v>
      </c>
      <c r="Z1061" s="6">
        <v>0.78</v>
      </c>
      <c r="AA1061" s="6">
        <f t="shared" si="61"/>
        <v>8.0262E-2</v>
      </c>
      <c r="AB1061" s="8">
        <v>100</v>
      </c>
      <c r="AC1061" s="15">
        <v>27897801317621</v>
      </c>
      <c r="AD1061" s="4" t="s">
        <v>992</v>
      </c>
    </row>
    <row r="1062" spans="2:30" x14ac:dyDescent="0.35">
      <c r="B1062" s="14">
        <v>1973</v>
      </c>
      <c r="C1062" s="4" t="s">
        <v>978</v>
      </c>
      <c r="D1062" s="4" t="s">
        <v>2377</v>
      </c>
      <c r="E1062" s="4" t="s">
        <v>2911</v>
      </c>
      <c r="F1062" s="4" t="s">
        <v>85</v>
      </c>
      <c r="G1062" s="4" t="s">
        <v>993</v>
      </c>
      <c r="H1062" s="6">
        <v>0.31879999999999997</v>
      </c>
      <c r="I1062" s="8">
        <v>80</v>
      </c>
      <c r="J1062" s="8">
        <v>100</v>
      </c>
      <c r="K1062" s="8">
        <v>120</v>
      </c>
      <c r="L1062" s="8">
        <f t="shared" si="60"/>
        <v>960000</v>
      </c>
      <c r="M1062" s="15">
        <v>7897801317634</v>
      </c>
      <c r="N1062" s="6" t="s">
        <v>20</v>
      </c>
      <c r="O1062" s="6" t="s">
        <v>20</v>
      </c>
      <c r="P1062" s="6" t="s">
        <v>20</v>
      </c>
      <c r="Q1062" s="6">
        <v>2.1999999999999999E-2</v>
      </c>
      <c r="R1062" s="6">
        <v>0.01</v>
      </c>
      <c r="S1062" s="6">
        <v>3.3000000000000002E-2</v>
      </c>
      <c r="T1062" s="8">
        <v>5</v>
      </c>
      <c r="U1062" s="5" t="s">
        <v>1002</v>
      </c>
      <c r="V1062" s="89">
        <v>0</v>
      </c>
      <c r="W1062" s="15">
        <v>17897801317631</v>
      </c>
      <c r="X1062" s="6">
        <v>0.52</v>
      </c>
      <c r="Y1062" s="6">
        <v>0.24</v>
      </c>
      <c r="Z1062" s="6">
        <v>0.73</v>
      </c>
      <c r="AA1062" s="6">
        <f t="shared" si="61"/>
        <v>9.1103999999999991E-2</v>
      </c>
      <c r="AB1062" s="8">
        <v>75</v>
      </c>
      <c r="AC1062" s="15">
        <v>47897801317632</v>
      </c>
      <c r="AD1062" s="4" t="s">
        <v>992</v>
      </c>
    </row>
    <row r="1063" spans="2:30" x14ac:dyDescent="0.35">
      <c r="B1063" s="14">
        <v>1974</v>
      </c>
      <c r="C1063" s="4" t="s">
        <v>979</v>
      </c>
      <c r="D1063" s="4" t="s">
        <v>2377</v>
      </c>
      <c r="E1063" s="4" t="s">
        <v>2911</v>
      </c>
      <c r="F1063" s="4" t="s">
        <v>85</v>
      </c>
      <c r="G1063" s="4" t="s">
        <v>993</v>
      </c>
      <c r="H1063" s="6">
        <v>0.51890000000000003</v>
      </c>
      <c r="I1063" s="8">
        <v>13.5</v>
      </c>
      <c r="J1063" s="8">
        <v>13.5</v>
      </c>
      <c r="K1063" s="8">
        <v>9.8000000000000007</v>
      </c>
      <c r="L1063" s="8">
        <f t="shared" si="60"/>
        <v>1786.0500000000002</v>
      </c>
      <c r="M1063" s="15">
        <v>7897801317641</v>
      </c>
      <c r="N1063" s="6" t="s">
        <v>20</v>
      </c>
      <c r="O1063" s="6" t="s">
        <v>20</v>
      </c>
      <c r="P1063" s="6" t="s">
        <v>20</v>
      </c>
      <c r="Q1063" s="6">
        <v>0.14000000000000001</v>
      </c>
      <c r="R1063" s="6">
        <v>0.98</v>
      </c>
      <c r="S1063" s="6">
        <v>0.24</v>
      </c>
      <c r="T1063" s="8">
        <v>2</v>
      </c>
      <c r="U1063" s="5" t="s">
        <v>1002</v>
      </c>
      <c r="V1063" s="89">
        <v>0</v>
      </c>
      <c r="W1063" s="15">
        <v>17897801317648</v>
      </c>
      <c r="X1063" s="6">
        <v>0.5</v>
      </c>
      <c r="Y1063" s="6">
        <v>0.18</v>
      </c>
      <c r="Z1063" s="6">
        <v>0.7</v>
      </c>
      <c r="AA1063" s="6">
        <f t="shared" si="61"/>
        <v>6.3E-2</v>
      </c>
      <c r="AB1063" s="8">
        <v>40</v>
      </c>
      <c r="AC1063" s="15">
        <v>27897801317645</v>
      </c>
      <c r="AD1063" s="4" t="s">
        <v>992</v>
      </c>
    </row>
    <row r="1064" spans="2:30" x14ac:dyDescent="0.35">
      <c r="B1064" s="14">
        <v>1981</v>
      </c>
      <c r="C1064" s="4" t="s">
        <v>980</v>
      </c>
      <c r="D1064" s="4" t="s">
        <v>2376</v>
      </c>
      <c r="E1064" s="4" t="s">
        <v>2911</v>
      </c>
      <c r="F1064" s="4" t="s">
        <v>85</v>
      </c>
      <c r="G1064" s="4" t="s">
        <v>993</v>
      </c>
      <c r="H1064" s="6">
        <v>4.9000000000000002E-2</v>
      </c>
      <c r="I1064" s="8">
        <v>44</v>
      </c>
      <c r="J1064" s="8">
        <v>44</v>
      </c>
      <c r="K1064" s="8">
        <v>44</v>
      </c>
      <c r="L1064" s="8">
        <f t="shared" si="60"/>
        <v>85184</v>
      </c>
      <c r="M1064" s="15">
        <v>7897801320603</v>
      </c>
      <c r="N1064" s="6" t="s">
        <v>20</v>
      </c>
      <c r="O1064" s="6" t="s">
        <v>20</v>
      </c>
      <c r="P1064" s="6" t="s">
        <v>20</v>
      </c>
      <c r="Q1064" s="6">
        <v>0.21</v>
      </c>
      <c r="R1064" s="6">
        <v>0.5</v>
      </c>
      <c r="S1064" s="6">
        <v>0.28000000000000003</v>
      </c>
      <c r="T1064" s="8">
        <v>150</v>
      </c>
      <c r="U1064" s="5" t="s">
        <v>994</v>
      </c>
      <c r="V1064" s="89">
        <v>0</v>
      </c>
      <c r="W1064" s="15">
        <v>17897801320600</v>
      </c>
      <c r="X1064" s="6">
        <v>0.45</v>
      </c>
      <c r="Y1064" s="6">
        <v>0.22</v>
      </c>
      <c r="Z1064" s="6">
        <v>0.67</v>
      </c>
      <c r="AA1064" s="6">
        <f t="shared" si="61"/>
        <v>6.6330000000000014E-2</v>
      </c>
      <c r="AB1064" s="8">
        <v>0</v>
      </c>
      <c r="AC1064" s="15">
        <v>27897801320607</v>
      </c>
      <c r="AD1064" s="4" t="s">
        <v>992</v>
      </c>
    </row>
    <row r="1065" spans="2:30" x14ac:dyDescent="0.35">
      <c r="B1065" s="14">
        <v>1984</v>
      </c>
      <c r="C1065" s="4" t="s">
        <v>981</v>
      </c>
      <c r="D1065" s="4" t="s">
        <v>2376</v>
      </c>
      <c r="E1065" s="4" t="s">
        <v>2911</v>
      </c>
      <c r="F1065" s="4" t="s">
        <v>85</v>
      </c>
      <c r="G1065" s="4" t="s">
        <v>993</v>
      </c>
      <c r="H1065" s="6">
        <v>0.11749999999999999</v>
      </c>
      <c r="I1065" s="8">
        <v>60</v>
      </c>
      <c r="J1065" s="8">
        <v>70</v>
      </c>
      <c r="K1065" s="8">
        <v>70</v>
      </c>
      <c r="L1065" s="8">
        <f t="shared" si="60"/>
        <v>294000</v>
      </c>
      <c r="M1065" s="15">
        <v>7897801320634</v>
      </c>
      <c r="N1065" s="6" t="s">
        <v>20</v>
      </c>
      <c r="O1065" s="6" t="s">
        <v>20</v>
      </c>
      <c r="P1065" s="6" t="s">
        <v>20</v>
      </c>
      <c r="Q1065" s="6">
        <v>0.2</v>
      </c>
      <c r="R1065" s="6">
        <v>7.0000000000000007E-2</v>
      </c>
      <c r="S1065" s="6">
        <v>0.24</v>
      </c>
      <c r="T1065" s="8">
        <v>60</v>
      </c>
      <c r="U1065" s="5" t="s">
        <v>994</v>
      </c>
      <c r="V1065" s="89">
        <v>0</v>
      </c>
      <c r="W1065" s="15">
        <v>17897801320631</v>
      </c>
      <c r="X1065" s="6">
        <v>0.4</v>
      </c>
      <c r="Y1065" s="6">
        <v>0.25</v>
      </c>
      <c r="Z1065" s="6">
        <v>0.65</v>
      </c>
      <c r="AA1065" s="6">
        <f t="shared" si="61"/>
        <v>6.5000000000000002E-2</v>
      </c>
      <c r="AB1065" s="8">
        <v>0</v>
      </c>
      <c r="AC1065" s="15">
        <v>27897801320638</v>
      </c>
      <c r="AD1065" s="4" t="s">
        <v>992</v>
      </c>
    </row>
    <row r="1067" spans="2:30" x14ac:dyDescent="0.35">
      <c r="L1067" s="2"/>
    </row>
    <row r="1068" spans="2:30" x14ac:dyDescent="0.35">
      <c r="L1068" s="2"/>
    </row>
    <row r="1069" spans="2:30" x14ac:dyDescent="0.35">
      <c r="L1069" s="2"/>
    </row>
    <row r="1070" spans="2:30" x14ac:dyDescent="0.35">
      <c r="L1070" s="2"/>
    </row>
    <row r="1071" spans="2:30" x14ac:dyDescent="0.35">
      <c r="L1071" s="2"/>
    </row>
    <row r="1072" spans="2:30" x14ac:dyDescent="0.35">
      <c r="L1072" s="2"/>
    </row>
    <row r="1073" spans="12:12" x14ac:dyDescent="0.35">
      <c r="L1073" s="2"/>
    </row>
    <row r="1074" spans="12:12" x14ac:dyDescent="0.35">
      <c r="L1074" s="2"/>
    </row>
    <row r="1075" spans="12:12" x14ac:dyDescent="0.35">
      <c r="L1075" s="2"/>
    </row>
    <row r="1076" spans="12:12" x14ac:dyDescent="0.35">
      <c r="L1076" s="2"/>
    </row>
    <row r="1077" spans="12:12" x14ac:dyDescent="0.35">
      <c r="L1077" s="2"/>
    </row>
    <row r="1078" spans="12:12" x14ac:dyDescent="0.35">
      <c r="L1078" s="2"/>
    </row>
    <row r="1079" spans="12:12" x14ac:dyDescent="0.35">
      <c r="L1079" s="2"/>
    </row>
  </sheetData>
  <autoFilter ref="B3:AD1065">
    <sortState ref="B4:AD1067">
      <sortCondition ref="B3:B1067"/>
    </sortState>
  </autoFilter>
  <mergeCells count="4">
    <mergeCell ref="H2:M2"/>
    <mergeCell ref="N2:P2"/>
    <mergeCell ref="Q2:W2"/>
    <mergeCell ref="X2:AC2"/>
  </mergeCells>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D1033"/>
  <sheetViews>
    <sheetView showGridLines="0" zoomScale="90" zoomScaleNormal="90" workbookViewId="0">
      <selection activeCell="B947" sqref="B947:AD947"/>
    </sheetView>
  </sheetViews>
  <sheetFormatPr defaultColWidth="10.54296875" defaultRowHeight="14.5" x14ac:dyDescent="0.35"/>
  <cols>
    <col min="1" max="1" width="3.81640625" customWidth="1"/>
    <col min="2" max="2" width="10.453125" style="1" bestFit="1" customWidth="1"/>
    <col min="3" max="3" width="47.453125" customWidth="1"/>
    <col min="4" max="4" width="30.7265625" customWidth="1"/>
    <col min="5" max="5" width="12" customWidth="1"/>
    <col min="6" max="6" width="10.7265625" bestFit="1" customWidth="1"/>
    <col min="7" max="7" width="12.81640625" customWidth="1"/>
    <col min="8" max="8" width="12.1796875" style="2" customWidth="1"/>
    <col min="9" max="9" width="15.81640625" style="7" bestFit="1" customWidth="1"/>
    <col min="10" max="10" width="9.54296875" style="7" bestFit="1" customWidth="1"/>
    <col min="11" max="11" width="9.81640625" style="7" bestFit="1" customWidth="1"/>
    <col min="12" max="12" width="14.1796875" style="3" customWidth="1"/>
    <col min="13" max="13" width="22.7265625" bestFit="1" customWidth="1"/>
    <col min="14" max="14" width="15.26953125" style="2" bestFit="1" customWidth="1"/>
    <col min="15" max="15" width="16.81640625" style="2" bestFit="1" customWidth="1"/>
    <col min="16" max="16" width="15.7265625" style="2" bestFit="1" customWidth="1"/>
    <col min="17" max="18" width="11.54296875" style="2" bestFit="1" customWidth="1"/>
    <col min="19" max="19" width="13.81640625" style="2" bestFit="1" customWidth="1"/>
    <col min="20" max="20" width="16.453125" style="7" bestFit="1" customWidth="1"/>
    <col min="21" max="22" width="13.54296875" style="3" customWidth="1"/>
    <col min="23" max="23" width="18.1796875" bestFit="1" customWidth="1"/>
    <col min="24" max="24" width="16.7265625" style="2" customWidth="1"/>
    <col min="25" max="25" width="12.7265625" style="2" bestFit="1" customWidth="1"/>
    <col min="26" max="26" width="16.1796875" style="2" bestFit="1" customWidth="1"/>
    <col min="27" max="27" width="16.1796875" style="2" customWidth="1"/>
    <col min="28" max="28" width="12.453125" style="7" customWidth="1"/>
    <col min="29" max="29" width="25.54296875" customWidth="1"/>
    <col min="30" max="30" width="22.7265625" customWidth="1"/>
  </cols>
  <sheetData>
    <row r="1" spans="2:30" ht="15" thickBot="1" x14ac:dyDescent="0.4">
      <c r="AD1" s="26"/>
    </row>
    <row r="2" spans="2:30" x14ac:dyDescent="0.35">
      <c r="B2" s="12"/>
      <c r="C2" s="13"/>
      <c r="D2" s="13"/>
      <c r="E2" s="13"/>
      <c r="F2" s="13"/>
      <c r="G2" s="13"/>
      <c r="H2" s="90" t="s">
        <v>0</v>
      </c>
      <c r="I2" s="91"/>
      <c r="J2" s="91"/>
      <c r="K2" s="91"/>
      <c r="L2" s="91"/>
      <c r="M2" s="92"/>
      <c r="N2" s="93" t="s">
        <v>982</v>
      </c>
      <c r="O2" s="94"/>
      <c r="P2" s="95"/>
      <c r="Q2" s="96" t="s">
        <v>983</v>
      </c>
      <c r="R2" s="97"/>
      <c r="S2" s="97"/>
      <c r="T2" s="97"/>
      <c r="U2" s="97"/>
      <c r="V2" s="97"/>
      <c r="W2" s="98"/>
      <c r="X2" s="99" t="s">
        <v>984</v>
      </c>
      <c r="Y2" s="100"/>
      <c r="Z2" s="100"/>
      <c r="AA2" s="100"/>
      <c r="AB2" s="100"/>
      <c r="AC2" s="101"/>
    </row>
    <row r="3" spans="2:30" ht="39" customHeight="1" x14ac:dyDescent="0.35">
      <c r="B3" s="9" t="s">
        <v>1</v>
      </c>
      <c r="C3" s="9" t="s">
        <v>2</v>
      </c>
      <c r="D3" s="9" t="s">
        <v>1949</v>
      </c>
      <c r="E3" s="9" t="s">
        <v>2916</v>
      </c>
      <c r="F3" s="9" t="s">
        <v>3</v>
      </c>
      <c r="G3" s="9" t="s">
        <v>986</v>
      </c>
      <c r="H3" s="9" t="s">
        <v>2330</v>
      </c>
      <c r="I3" s="9" t="s">
        <v>4</v>
      </c>
      <c r="J3" s="9" t="s">
        <v>5</v>
      </c>
      <c r="K3" s="9" t="s">
        <v>6</v>
      </c>
      <c r="L3" s="9" t="s">
        <v>985</v>
      </c>
      <c r="M3" s="9" t="s">
        <v>7</v>
      </c>
      <c r="N3" s="9" t="s">
        <v>8</v>
      </c>
      <c r="O3" s="9" t="s">
        <v>9</v>
      </c>
      <c r="P3" s="9" t="s">
        <v>10</v>
      </c>
      <c r="Q3" s="9" t="s">
        <v>11</v>
      </c>
      <c r="R3" s="9" t="s">
        <v>12</v>
      </c>
      <c r="S3" s="9" t="s">
        <v>13</v>
      </c>
      <c r="T3" s="16" t="s">
        <v>1023</v>
      </c>
      <c r="U3" s="9" t="s">
        <v>987</v>
      </c>
      <c r="V3" s="11" t="s">
        <v>988</v>
      </c>
      <c r="W3" s="10" t="s">
        <v>7</v>
      </c>
      <c r="X3" s="10" t="s">
        <v>14</v>
      </c>
      <c r="Y3" s="10" t="s">
        <v>15</v>
      </c>
      <c r="Z3" s="10" t="s">
        <v>16</v>
      </c>
      <c r="AA3" s="10" t="s">
        <v>985</v>
      </c>
      <c r="AB3" s="10" t="s">
        <v>17</v>
      </c>
      <c r="AC3" s="10" t="s">
        <v>7</v>
      </c>
      <c r="AD3" s="10" t="s">
        <v>989</v>
      </c>
    </row>
    <row r="4" spans="2:30" x14ac:dyDescent="0.35">
      <c r="B4" s="14">
        <v>23</v>
      </c>
      <c r="C4" s="4" t="s">
        <v>18</v>
      </c>
      <c r="D4" s="4" t="s">
        <v>2390</v>
      </c>
      <c r="E4" s="4" t="s">
        <v>2911</v>
      </c>
      <c r="F4" s="4" t="s">
        <v>19</v>
      </c>
      <c r="G4" s="4" t="s">
        <v>990</v>
      </c>
      <c r="H4" s="6">
        <v>0.82</v>
      </c>
      <c r="I4" s="8">
        <v>6000</v>
      </c>
      <c r="J4" s="8">
        <v>20</v>
      </c>
      <c r="K4" s="8">
        <v>20</v>
      </c>
      <c r="L4" s="8">
        <f t="shared" ref="L4:L78" si="0">J4*I4*K4</f>
        <v>2400000</v>
      </c>
      <c r="M4" s="15">
        <v>7897801304009</v>
      </c>
      <c r="N4" s="6">
        <v>2.3E-2</v>
      </c>
      <c r="O4" s="6">
        <v>6</v>
      </c>
      <c r="P4" s="6">
        <v>2.3E-2</v>
      </c>
      <c r="Q4" s="6">
        <v>8.5000000000000006E-2</v>
      </c>
      <c r="R4" s="6">
        <v>8.5000000000000006E-2</v>
      </c>
      <c r="S4" s="6">
        <v>6</v>
      </c>
      <c r="T4" s="8">
        <v>12</v>
      </c>
      <c r="U4" s="5" t="s">
        <v>991</v>
      </c>
      <c r="V4" s="89">
        <v>0</v>
      </c>
      <c r="W4" s="15">
        <v>17897801304006</v>
      </c>
      <c r="X4" s="6" t="s">
        <v>20</v>
      </c>
      <c r="Y4" s="6" t="s">
        <v>20</v>
      </c>
      <c r="Z4" s="6" t="s">
        <v>20</v>
      </c>
      <c r="AA4" s="8"/>
      <c r="AB4" s="8">
        <v>0</v>
      </c>
      <c r="AC4" s="15">
        <v>27897801304003</v>
      </c>
      <c r="AD4" s="4" t="s">
        <v>992</v>
      </c>
    </row>
    <row r="5" spans="2:30" x14ac:dyDescent="0.35">
      <c r="B5" s="14">
        <v>24</v>
      </c>
      <c r="C5" s="4" t="s">
        <v>21</v>
      </c>
      <c r="D5" s="4" t="s">
        <v>2390</v>
      </c>
      <c r="E5" s="4" t="s">
        <v>2911</v>
      </c>
      <c r="F5" s="4" t="s">
        <v>19</v>
      </c>
      <c r="G5" s="4" t="s">
        <v>990</v>
      </c>
      <c r="H5" s="6">
        <v>1.1719999999999999</v>
      </c>
      <c r="I5" s="8">
        <v>6000</v>
      </c>
      <c r="J5" s="8">
        <v>25</v>
      </c>
      <c r="K5" s="8">
        <v>25</v>
      </c>
      <c r="L5" s="8">
        <f t="shared" si="0"/>
        <v>3750000</v>
      </c>
      <c r="M5" s="15">
        <v>7897801304016</v>
      </c>
      <c r="N5" s="6">
        <v>2.7E-2</v>
      </c>
      <c r="O5" s="6">
        <v>6</v>
      </c>
      <c r="P5" s="6">
        <v>2.7E-2</v>
      </c>
      <c r="Q5" s="6">
        <v>8.5000000000000006E-2</v>
      </c>
      <c r="R5" s="6">
        <v>8.5000000000000006E-2</v>
      </c>
      <c r="S5" s="6">
        <v>6</v>
      </c>
      <c r="T5" s="8">
        <v>8</v>
      </c>
      <c r="U5" s="5" t="s">
        <v>991</v>
      </c>
      <c r="V5" s="89">
        <v>0</v>
      </c>
      <c r="W5" s="15">
        <v>17897801304013</v>
      </c>
      <c r="X5" s="6" t="s">
        <v>20</v>
      </c>
      <c r="Y5" s="6" t="s">
        <v>20</v>
      </c>
      <c r="Z5" s="6" t="s">
        <v>20</v>
      </c>
      <c r="AA5" s="6"/>
      <c r="AB5" s="8">
        <v>0</v>
      </c>
      <c r="AC5" s="15">
        <v>27897801304010</v>
      </c>
      <c r="AD5" s="4" t="s">
        <v>992</v>
      </c>
    </row>
    <row r="6" spans="2:30" x14ac:dyDescent="0.35">
      <c r="B6" s="14">
        <v>25</v>
      </c>
      <c r="C6" s="4" t="s">
        <v>22</v>
      </c>
      <c r="D6" s="4" t="s">
        <v>2390</v>
      </c>
      <c r="E6" s="4" t="s">
        <v>2911</v>
      </c>
      <c r="F6" s="4" t="s">
        <v>19</v>
      </c>
      <c r="G6" s="4" t="s">
        <v>990</v>
      </c>
      <c r="H6" s="6">
        <v>1.845</v>
      </c>
      <c r="I6" s="8">
        <v>6000</v>
      </c>
      <c r="J6" s="8">
        <v>32</v>
      </c>
      <c r="K6" s="8">
        <v>32</v>
      </c>
      <c r="L6" s="8">
        <f t="shared" si="0"/>
        <v>6144000</v>
      </c>
      <c r="M6" s="15">
        <v>7897801304023</v>
      </c>
      <c r="N6" s="6">
        <v>3.5000000000000003E-2</v>
      </c>
      <c r="O6" s="6">
        <v>6</v>
      </c>
      <c r="P6" s="6">
        <v>3.5000000000000003E-2</v>
      </c>
      <c r="Q6" s="6">
        <v>0.13</v>
      </c>
      <c r="R6" s="6">
        <v>0.09</v>
      </c>
      <c r="S6" s="6">
        <v>6</v>
      </c>
      <c r="T6" s="8">
        <v>10</v>
      </c>
      <c r="U6" s="5" t="s">
        <v>991</v>
      </c>
      <c r="V6" s="89">
        <v>0</v>
      </c>
      <c r="W6" s="15">
        <v>17897801304020</v>
      </c>
      <c r="X6" s="6" t="s">
        <v>20</v>
      </c>
      <c r="Y6" s="6" t="s">
        <v>20</v>
      </c>
      <c r="Z6" s="6" t="s">
        <v>20</v>
      </c>
      <c r="AA6" s="6"/>
      <c r="AB6" s="8">
        <v>0</v>
      </c>
      <c r="AC6" s="15">
        <v>27897801304027</v>
      </c>
      <c r="AD6" s="4" t="s">
        <v>992</v>
      </c>
    </row>
    <row r="7" spans="2:30" x14ac:dyDescent="0.35">
      <c r="B7" s="14">
        <v>26</v>
      </c>
      <c r="C7" s="4" t="s">
        <v>23</v>
      </c>
      <c r="D7" s="4" t="s">
        <v>2390</v>
      </c>
      <c r="E7" s="4" t="s">
        <v>2911</v>
      </c>
      <c r="F7" s="4" t="s">
        <v>19</v>
      </c>
      <c r="G7" s="4" t="s">
        <v>990</v>
      </c>
      <c r="H7" s="6">
        <v>2.645</v>
      </c>
      <c r="I7" s="8">
        <v>6000</v>
      </c>
      <c r="J7" s="8">
        <v>40</v>
      </c>
      <c r="K7" s="8">
        <v>40</v>
      </c>
      <c r="L7" s="8">
        <f t="shared" si="0"/>
        <v>9600000</v>
      </c>
      <c r="M7" s="15">
        <v>7897801304030</v>
      </c>
      <c r="N7" s="6">
        <v>4.4999999999999998E-2</v>
      </c>
      <c r="O7" s="6">
        <v>6</v>
      </c>
      <c r="P7" s="6">
        <v>4.4999999999999998E-2</v>
      </c>
      <c r="Q7" s="6">
        <v>0.12</v>
      </c>
      <c r="R7" s="6">
        <v>7.4999999999999997E-2</v>
      </c>
      <c r="S7" s="6">
        <v>6</v>
      </c>
      <c r="T7" s="8">
        <v>5</v>
      </c>
      <c r="U7" s="5" t="s">
        <v>991</v>
      </c>
      <c r="V7" s="89">
        <v>0</v>
      </c>
      <c r="W7" s="15">
        <v>17897801304037</v>
      </c>
      <c r="X7" s="6" t="s">
        <v>20</v>
      </c>
      <c r="Y7" s="6" t="s">
        <v>20</v>
      </c>
      <c r="Z7" s="6" t="s">
        <v>20</v>
      </c>
      <c r="AA7" s="6"/>
      <c r="AB7" s="8">
        <v>0</v>
      </c>
      <c r="AC7" s="15">
        <v>27897801304034</v>
      </c>
      <c r="AD7" s="4" t="s">
        <v>992</v>
      </c>
    </row>
    <row r="8" spans="2:30" x14ac:dyDescent="0.35">
      <c r="B8" s="14">
        <v>27</v>
      </c>
      <c r="C8" s="4" t="s">
        <v>24</v>
      </c>
      <c r="D8" s="4" t="s">
        <v>2390</v>
      </c>
      <c r="E8" s="4" t="s">
        <v>2911</v>
      </c>
      <c r="F8" s="4" t="s">
        <v>19</v>
      </c>
      <c r="G8" s="4" t="s">
        <v>990</v>
      </c>
      <c r="H8" s="6">
        <v>4.1219999999999999</v>
      </c>
      <c r="I8" s="8">
        <v>6000</v>
      </c>
      <c r="J8" s="8">
        <v>50</v>
      </c>
      <c r="K8" s="8">
        <v>50</v>
      </c>
      <c r="L8" s="8">
        <f t="shared" si="0"/>
        <v>15000000</v>
      </c>
      <c r="M8" s="15">
        <v>7897801304047</v>
      </c>
      <c r="N8" s="6">
        <v>5.5E-2</v>
      </c>
      <c r="O8" s="6">
        <v>6</v>
      </c>
      <c r="P8" s="6">
        <v>5.5E-2</v>
      </c>
      <c r="Q8" s="6">
        <v>0.17</v>
      </c>
      <c r="R8" s="6">
        <v>0.11</v>
      </c>
      <c r="S8" s="6">
        <v>6</v>
      </c>
      <c r="T8" s="8">
        <v>5</v>
      </c>
      <c r="U8" s="5" t="s">
        <v>991</v>
      </c>
      <c r="V8" s="89">
        <v>0</v>
      </c>
      <c r="W8" s="15">
        <v>17897801304044</v>
      </c>
      <c r="X8" s="6" t="s">
        <v>20</v>
      </c>
      <c r="Y8" s="6" t="s">
        <v>20</v>
      </c>
      <c r="Z8" s="6" t="s">
        <v>20</v>
      </c>
      <c r="AA8" s="6"/>
      <c r="AB8" s="8">
        <v>0</v>
      </c>
      <c r="AC8" s="15">
        <v>27897801304041</v>
      </c>
      <c r="AD8" s="4" t="s">
        <v>992</v>
      </c>
    </row>
    <row r="9" spans="2:30" x14ac:dyDescent="0.35">
      <c r="B9" s="14">
        <v>28</v>
      </c>
      <c r="C9" s="4" t="s">
        <v>25</v>
      </c>
      <c r="D9" s="4" t="s">
        <v>2390</v>
      </c>
      <c r="E9" s="4" t="s">
        <v>2911</v>
      </c>
      <c r="F9" s="4" t="s">
        <v>19</v>
      </c>
      <c r="G9" s="4" t="s">
        <v>990</v>
      </c>
      <c r="H9" s="6">
        <v>5.3819999999999997</v>
      </c>
      <c r="I9" s="8">
        <v>6000</v>
      </c>
      <c r="J9" s="8">
        <v>60</v>
      </c>
      <c r="K9" s="8">
        <v>60</v>
      </c>
      <c r="L9" s="8">
        <f t="shared" si="0"/>
        <v>21600000</v>
      </c>
      <c r="M9" s="15">
        <v>7897801304054</v>
      </c>
      <c r="N9" s="6">
        <v>6.7000000000000004E-2</v>
      </c>
      <c r="O9" s="6">
        <v>6</v>
      </c>
      <c r="P9" s="6">
        <v>6.7000000000000004E-2</v>
      </c>
      <c r="Q9" s="6">
        <v>0.125</v>
      </c>
      <c r="R9" s="6">
        <v>0.12</v>
      </c>
      <c r="S9" s="6">
        <v>6</v>
      </c>
      <c r="T9" s="8">
        <v>3</v>
      </c>
      <c r="U9" s="5" t="s">
        <v>991</v>
      </c>
      <c r="V9" s="89">
        <v>0</v>
      </c>
      <c r="W9" s="15">
        <v>17897801304051</v>
      </c>
      <c r="X9" s="6" t="s">
        <v>20</v>
      </c>
      <c r="Y9" s="6" t="s">
        <v>20</v>
      </c>
      <c r="Z9" s="6" t="s">
        <v>20</v>
      </c>
      <c r="AA9" s="6"/>
      <c r="AB9" s="8">
        <v>0</v>
      </c>
      <c r="AC9" s="15">
        <v>27897801304058</v>
      </c>
      <c r="AD9" s="4" t="s">
        <v>992</v>
      </c>
    </row>
    <row r="10" spans="2:30" x14ac:dyDescent="0.35">
      <c r="B10" s="14">
        <v>29</v>
      </c>
      <c r="C10" s="4" t="s">
        <v>26</v>
      </c>
      <c r="D10" s="4" t="s">
        <v>2390</v>
      </c>
      <c r="E10" s="4" t="s">
        <v>2911</v>
      </c>
      <c r="F10" s="4" t="s">
        <v>19</v>
      </c>
      <c r="G10" s="4" t="s">
        <v>990</v>
      </c>
      <c r="H10" s="6">
        <v>8.5299999999999994</v>
      </c>
      <c r="I10" s="8">
        <v>6000</v>
      </c>
      <c r="J10" s="8">
        <v>75</v>
      </c>
      <c r="K10" s="8">
        <v>75</v>
      </c>
      <c r="L10" s="8">
        <f t="shared" si="0"/>
        <v>33750000</v>
      </c>
      <c r="M10" s="15">
        <v>7897801308564</v>
      </c>
      <c r="N10" s="6">
        <v>8.3000000000000004E-2</v>
      </c>
      <c r="O10" s="6">
        <v>6</v>
      </c>
      <c r="P10" s="6">
        <v>8.3000000000000004E-2</v>
      </c>
      <c r="Q10" s="6">
        <v>7.5200000000000003E-2</v>
      </c>
      <c r="R10" s="6">
        <v>7.5200000000000003E-2</v>
      </c>
      <c r="S10" s="6">
        <v>6</v>
      </c>
      <c r="T10" s="8">
        <v>1</v>
      </c>
      <c r="U10" s="5" t="s">
        <v>991</v>
      </c>
      <c r="V10" s="89">
        <v>0</v>
      </c>
      <c r="W10" s="15">
        <v>17897801308561</v>
      </c>
      <c r="X10" s="6" t="s">
        <v>20</v>
      </c>
      <c r="Y10" s="6" t="s">
        <v>20</v>
      </c>
      <c r="Z10" s="6" t="s">
        <v>20</v>
      </c>
      <c r="AA10" s="6"/>
      <c r="AB10" s="8">
        <v>0</v>
      </c>
      <c r="AC10" s="15">
        <v>27897801308568</v>
      </c>
      <c r="AD10" s="4" t="s">
        <v>992</v>
      </c>
    </row>
    <row r="11" spans="2:30" x14ac:dyDescent="0.35">
      <c r="B11" s="14">
        <v>30</v>
      </c>
      <c r="C11" s="4" t="s">
        <v>27</v>
      </c>
      <c r="D11" s="4" t="s">
        <v>2390</v>
      </c>
      <c r="E11" s="4" t="s">
        <v>2911</v>
      </c>
      <c r="F11" s="4" t="s">
        <v>19</v>
      </c>
      <c r="G11" s="4" t="s">
        <v>990</v>
      </c>
      <c r="H11" s="6">
        <v>10.85</v>
      </c>
      <c r="I11" s="8">
        <v>6000</v>
      </c>
      <c r="J11" s="8">
        <v>85</v>
      </c>
      <c r="K11" s="8">
        <v>85</v>
      </c>
      <c r="L11" s="8">
        <f t="shared" si="0"/>
        <v>43350000</v>
      </c>
      <c r="M11" s="15">
        <v>7897801308588</v>
      </c>
      <c r="N11" s="6">
        <v>9.5000000000000001E-2</v>
      </c>
      <c r="O11" s="6">
        <v>6</v>
      </c>
      <c r="P11" s="6">
        <v>9.5000000000000001E-2</v>
      </c>
      <c r="Q11" s="6">
        <v>8.5199999999999998E-2</v>
      </c>
      <c r="R11" s="6">
        <v>8.5199999999999998E-2</v>
      </c>
      <c r="S11" s="6">
        <v>6</v>
      </c>
      <c r="T11" s="8">
        <v>1</v>
      </c>
      <c r="U11" s="5" t="s">
        <v>991</v>
      </c>
      <c r="V11" s="89">
        <v>0</v>
      </c>
      <c r="W11" s="15">
        <v>17897801308585</v>
      </c>
      <c r="X11" s="6" t="s">
        <v>20</v>
      </c>
      <c r="Y11" s="6" t="s">
        <v>20</v>
      </c>
      <c r="Z11" s="6" t="s">
        <v>20</v>
      </c>
      <c r="AA11" s="6"/>
      <c r="AB11" s="8">
        <v>0</v>
      </c>
      <c r="AC11" s="15">
        <v>27897801308582</v>
      </c>
      <c r="AD11" s="4" t="s">
        <v>992</v>
      </c>
    </row>
    <row r="12" spans="2:30" x14ac:dyDescent="0.35">
      <c r="B12" s="14">
        <v>31</v>
      </c>
      <c r="C12" s="4" t="s">
        <v>28</v>
      </c>
      <c r="D12" s="4" t="s">
        <v>2390</v>
      </c>
      <c r="E12" s="4" t="s">
        <v>2911</v>
      </c>
      <c r="F12" s="4" t="s">
        <v>19</v>
      </c>
      <c r="G12" s="4" t="s">
        <v>990</v>
      </c>
      <c r="H12" s="6">
        <v>18.25</v>
      </c>
      <c r="I12" s="8">
        <v>6000</v>
      </c>
      <c r="J12" s="8">
        <v>110</v>
      </c>
      <c r="K12" s="8">
        <v>110</v>
      </c>
      <c r="L12" s="8">
        <f t="shared" si="0"/>
        <v>72600000</v>
      </c>
      <c r="M12" s="15">
        <v>7897801308595</v>
      </c>
      <c r="N12" s="6">
        <v>0.122</v>
      </c>
      <c r="O12" s="6">
        <v>6</v>
      </c>
      <c r="P12" s="6">
        <v>0.122</v>
      </c>
      <c r="Q12" s="6">
        <v>0.11020000000000001</v>
      </c>
      <c r="R12" s="6">
        <v>0.11020000000000001</v>
      </c>
      <c r="S12" s="6">
        <v>6</v>
      </c>
      <c r="T12" s="8">
        <v>1</v>
      </c>
      <c r="U12" s="5" t="s">
        <v>991</v>
      </c>
      <c r="V12" s="89">
        <v>0</v>
      </c>
      <c r="W12" s="15">
        <v>17897801308592</v>
      </c>
      <c r="X12" s="6" t="s">
        <v>20</v>
      </c>
      <c r="Y12" s="6" t="s">
        <v>20</v>
      </c>
      <c r="Z12" s="6" t="s">
        <v>20</v>
      </c>
      <c r="AA12" s="6"/>
      <c r="AB12" s="8">
        <v>0</v>
      </c>
      <c r="AC12" s="15">
        <v>27897801308599</v>
      </c>
      <c r="AD12" s="4" t="s">
        <v>992</v>
      </c>
    </row>
    <row r="13" spans="2:30" x14ac:dyDescent="0.35">
      <c r="B13" s="14">
        <v>32</v>
      </c>
      <c r="C13" s="4" t="s">
        <v>29</v>
      </c>
      <c r="D13" s="4" t="s">
        <v>2390</v>
      </c>
      <c r="E13" s="4" t="s">
        <v>2911</v>
      </c>
      <c r="F13" s="4" t="s">
        <v>19</v>
      </c>
      <c r="G13" s="4" t="s">
        <v>990</v>
      </c>
      <c r="H13" s="6">
        <v>0.42</v>
      </c>
      <c r="I13" s="8">
        <v>3000</v>
      </c>
      <c r="J13" s="8">
        <v>20</v>
      </c>
      <c r="K13" s="8">
        <v>20</v>
      </c>
      <c r="L13" s="8">
        <f t="shared" si="0"/>
        <v>1200000</v>
      </c>
      <c r="M13" s="15">
        <v>7897801304306</v>
      </c>
      <c r="N13" s="6">
        <v>2.0199999999999999E-2</v>
      </c>
      <c r="O13" s="6">
        <v>3</v>
      </c>
      <c r="P13" s="6">
        <v>2.0199999999999999E-2</v>
      </c>
      <c r="Q13" s="6">
        <v>8.5000000000000006E-2</v>
      </c>
      <c r="R13" s="6">
        <v>8.5000000000000006E-2</v>
      </c>
      <c r="S13" s="6">
        <v>3</v>
      </c>
      <c r="T13" s="8">
        <v>12</v>
      </c>
      <c r="U13" s="5" t="s">
        <v>991</v>
      </c>
      <c r="V13" s="89">
        <v>0</v>
      </c>
      <c r="W13" s="15">
        <v>17897801304303</v>
      </c>
      <c r="X13" s="6" t="s">
        <v>20</v>
      </c>
      <c r="Y13" s="6" t="s">
        <v>20</v>
      </c>
      <c r="Z13" s="6" t="s">
        <v>20</v>
      </c>
      <c r="AA13" s="6"/>
      <c r="AB13" s="8">
        <v>0</v>
      </c>
      <c r="AC13" s="15">
        <v>27897801304300</v>
      </c>
      <c r="AD13" s="4" t="s">
        <v>992</v>
      </c>
    </row>
    <row r="14" spans="2:30" x14ac:dyDescent="0.35">
      <c r="B14" s="14">
        <v>33</v>
      </c>
      <c r="C14" s="4" t="s">
        <v>30</v>
      </c>
      <c r="D14" s="4" t="s">
        <v>2390</v>
      </c>
      <c r="E14" s="4" t="s">
        <v>2911</v>
      </c>
      <c r="F14" s="4" t="s">
        <v>19</v>
      </c>
      <c r="G14" s="4" t="s">
        <v>990</v>
      </c>
      <c r="H14" s="6">
        <v>0.57899999999999996</v>
      </c>
      <c r="I14" s="8">
        <v>3000</v>
      </c>
      <c r="J14" s="8">
        <v>25</v>
      </c>
      <c r="K14" s="8">
        <v>25</v>
      </c>
      <c r="L14" s="8">
        <f t="shared" si="0"/>
        <v>1875000</v>
      </c>
      <c r="M14" s="15">
        <v>7897801304313</v>
      </c>
      <c r="N14" s="6">
        <v>2.52E-2</v>
      </c>
      <c r="O14" s="6">
        <v>3</v>
      </c>
      <c r="P14" s="6">
        <v>2.52E-2</v>
      </c>
      <c r="Q14" s="6">
        <v>0.1</v>
      </c>
      <c r="R14" s="6">
        <v>0.09</v>
      </c>
      <c r="S14" s="6">
        <v>3</v>
      </c>
      <c r="T14" s="8">
        <v>8</v>
      </c>
      <c r="U14" s="5" t="s">
        <v>991</v>
      </c>
      <c r="V14" s="89">
        <v>0</v>
      </c>
      <c r="W14" s="15">
        <v>17897801304310</v>
      </c>
      <c r="X14" s="6" t="s">
        <v>20</v>
      </c>
      <c r="Y14" s="6" t="s">
        <v>20</v>
      </c>
      <c r="Z14" s="6" t="s">
        <v>20</v>
      </c>
      <c r="AA14" s="6"/>
      <c r="AB14" s="8">
        <v>0</v>
      </c>
      <c r="AC14" s="15">
        <v>27897801304317</v>
      </c>
      <c r="AD14" s="4" t="s">
        <v>992</v>
      </c>
    </row>
    <row r="15" spans="2:30" x14ac:dyDescent="0.35">
      <c r="B15" s="14">
        <v>34</v>
      </c>
      <c r="C15" s="4" t="s">
        <v>31</v>
      </c>
      <c r="D15" s="4" t="s">
        <v>2390</v>
      </c>
      <c r="E15" s="4" t="s">
        <v>2911</v>
      </c>
      <c r="F15" s="4" t="s">
        <v>19</v>
      </c>
      <c r="G15" s="4" t="s">
        <v>990</v>
      </c>
      <c r="H15" s="6">
        <v>0.92500000000000004</v>
      </c>
      <c r="I15" s="8">
        <v>3000</v>
      </c>
      <c r="J15" s="8">
        <v>32</v>
      </c>
      <c r="K15" s="8">
        <v>32</v>
      </c>
      <c r="L15" s="8">
        <f t="shared" si="0"/>
        <v>3072000</v>
      </c>
      <c r="M15" s="15">
        <v>7897801308991</v>
      </c>
      <c r="N15" s="6">
        <v>3.2199999999999999E-2</v>
      </c>
      <c r="O15" s="6">
        <v>3</v>
      </c>
      <c r="P15" s="6">
        <v>3.2199999999999999E-2</v>
      </c>
      <c r="Q15" s="6">
        <v>0.13</v>
      </c>
      <c r="R15" s="6">
        <v>0.09</v>
      </c>
      <c r="S15" s="6">
        <v>3</v>
      </c>
      <c r="T15" s="8">
        <v>10</v>
      </c>
      <c r="U15" s="5" t="s">
        <v>991</v>
      </c>
      <c r="V15" s="89">
        <v>0</v>
      </c>
      <c r="W15" s="15">
        <v>17897801308998</v>
      </c>
      <c r="X15" s="6" t="s">
        <v>20</v>
      </c>
      <c r="Y15" s="6" t="s">
        <v>20</v>
      </c>
      <c r="Z15" s="6" t="s">
        <v>20</v>
      </c>
      <c r="AA15" s="6"/>
      <c r="AB15" s="8">
        <v>0</v>
      </c>
      <c r="AC15" s="15">
        <v>27897801308995</v>
      </c>
      <c r="AD15" s="4" t="s">
        <v>992</v>
      </c>
    </row>
    <row r="16" spans="2:30" x14ac:dyDescent="0.35">
      <c r="B16" s="14">
        <v>35</v>
      </c>
      <c r="C16" s="4" t="s">
        <v>32</v>
      </c>
      <c r="D16" s="4" t="s">
        <v>2390</v>
      </c>
      <c r="E16" s="4" t="s">
        <v>2911</v>
      </c>
      <c r="F16" s="4" t="s">
        <v>19</v>
      </c>
      <c r="G16" s="4" t="s">
        <v>990</v>
      </c>
      <c r="H16" s="6">
        <v>1.32</v>
      </c>
      <c r="I16" s="8">
        <v>3000</v>
      </c>
      <c r="J16" s="8">
        <v>40</v>
      </c>
      <c r="K16" s="8">
        <v>40</v>
      </c>
      <c r="L16" s="8">
        <f t="shared" si="0"/>
        <v>4800000</v>
      </c>
      <c r="M16" s="15">
        <v>7897801309004</v>
      </c>
      <c r="N16" s="6">
        <v>4.02E-2</v>
      </c>
      <c r="O16" s="6">
        <v>3</v>
      </c>
      <c r="P16" s="6">
        <v>4.02E-2</v>
      </c>
      <c r="Q16" s="6">
        <v>0.12</v>
      </c>
      <c r="R16" s="6">
        <v>7.4999999999999997E-2</v>
      </c>
      <c r="S16" s="6">
        <v>3</v>
      </c>
      <c r="T16" s="8">
        <v>5</v>
      </c>
      <c r="U16" s="5" t="s">
        <v>991</v>
      </c>
      <c r="V16" s="89">
        <v>0</v>
      </c>
      <c r="W16" s="15">
        <v>17897801309001</v>
      </c>
      <c r="X16" s="6" t="s">
        <v>20</v>
      </c>
      <c r="Y16" s="6" t="s">
        <v>20</v>
      </c>
      <c r="Z16" s="6" t="s">
        <v>20</v>
      </c>
      <c r="AA16" s="6"/>
      <c r="AB16" s="8">
        <v>0</v>
      </c>
      <c r="AC16" s="15">
        <v>27897801309008</v>
      </c>
      <c r="AD16" s="4" t="s">
        <v>992</v>
      </c>
    </row>
    <row r="17" spans="2:30" x14ac:dyDescent="0.35">
      <c r="B17" s="14">
        <v>36</v>
      </c>
      <c r="C17" s="4" t="s">
        <v>33</v>
      </c>
      <c r="D17" s="4" t="s">
        <v>2390</v>
      </c>
      <c r="E17" s="4" t="s">
        <v>2911</v>
      </c>
      <c r="F17" s="4" t="s">
        <v>19</v>
      </c>
      <c r="G17" s="4" t="s">
        <v>990</v>
      </c>
      <c r="H17" s="6">
        <v>2.0699999999999998</v>
      </c>
      <c r="I17" s="8">
        <v>3000</v>
      </c>
      <c r="J17" s="8">
        <v>50</v>
      </c>
      <c r="K17" s="8">
        <v>50</v>
      </c>
      <c r="L17" s="8">
        <f t="shared" si="0"/>
        <v>7500000</v>
      </c>
      <c r="M17" s="15">
        <v>7897801309011</v>
      </c>
      <c r="N17" s="6">
        <v>5.0200000000000002E-2</v>
      </c>
      <c r="O17" s="6">
        <v>3</v>
      </c>
      <c r="P17" s="6">
        <v>5.0200000000000002E-2</v>
      </c>
      <c r="Q17" s="6">
        <v>0.17</v>
      </c>
      <c r="R17" s="6">
        <v>0.11</v>
      </c>
      <c r="S17" s="6">
        <v>3</v>
      </c>
      <c r="T17" s="8">
        <v>5</v>
      </c>
      <c r="U17" s="5" t="s">
        <v>991</v>
      </c>
      <c r="V17" s="89">
        <v>0</v>
      </c>
      <c r="W17" s="15">
        <v>17897801309018</v>
      </c>
      <c r="X17" s="6" t="s">
        <v>20</v>
      </c>
      <c r="Y17" s="6" t="s">
        <v>20</v>
      </c>
      <c r="Z17" s="6" t="s">
        <v>20</v>
      </c>
      <c r="AA17" s="6"/>
      <c r="AB17" s="8">
        <v>0</v>
      </c>
      <c r="AC17" s="15">
        <v>27897801309015</v>
      </c>
      <c r="AD17" s="4" t="s">
        <v>992</v>
      </c>
    </row>
    <row r="18" spans="2:30" x14ac:dyDescent="0.35">
      <c r="B18" s="14">
        <v>37</v>
      </c>
      <c r="C18" s="4" t="s">
        <v>34</v>
      </c>
      <c r="D18" s="4" t="s">
        <v>2390</v>
      </c>
      <c r="E18" s="4" t="s">
        <v>2911</v>
      </c>
      <c r="F18" s="4" t="s">
        <v>19</v>
      </c>
      <c r="G18" s="4" t="s">
        <v>990</v>
      </c>
      <c r="H18" s="6">
        <v>2.75</v>
      </c>
      <c r="I18" s="8">
        <v>3000</v>
      </c>
      <c r="J18" s="8">
        <v>60</v>
      </c>
      <c r="K18" s="8">
        <v>60</v>
      </c>
      <c r="L18" s="8">
        <f t="shared" si="0"/>
        <v>10800000</v>
      </c>
      <c r="M18" s="15">
        <v>7897801309028</v>
      </c>
      <c r="N18" s="6">
        <v>6.0199999999999997E-2</v>
      </c>
      <c r="O18" s="6">
        <v>3</v>
      </c>
      <c r="P18" s="6">
        <v>6.0199999999999997E-2</v>
      </c>
      <c r="Q18" s="6">
        <v>0.125</v>
      </c>
      <c r="R18" s="6">
        <v>0.12</v>
      </c>
      <c r="S18" s="6">
        <v>3</v>
      </c>
      <c r="T18" s="8">
        <v>3</v>
      </c>
      <c r="U18" s="5" t="s">
        <v>991</v>
      </c>
      <c r="V18" s="89">
        <v>0</v>
      </c>
      <c r="W18" s="15">
        <v>17897801309025</v>
      </c>
      <c r="X18" s="6" t="s">
        <v>20</v>
      </c>
      <c r="Y18" s="6" t="s">
        <v>20</v>
      </c>
      <c r="Z18" s="6" t="s">
        <v>20</v>
      </c>
      <c r="AA18" s="6"/>
      <c r="AB18" s="8">
        <v>0</v>
      </c>
      <c r="AC18" s="15">
        <v>27897801309022</v>
      </c>
      <c r="AD18" s="4" t="s">
        <v>992</v>
      </c>
    </row>
    <row r="19" spans="2:30" x14ac:dyDescent="0.35">
      <c r="B19" s="14">
        <v>38</v>
      </c>
      <c r="C19" s="4" t="s">
        <v>35</v>
      </c>
      <c r="D19" s="4" t="s">
        <v>2390</v>
      </c>
      <c r="E19" s="4" t="s">
        <v>2911</v>
      </c>
      <c r="F19" s="4" t="s">
        <v>19</v>
      </c>
      <c r="G19" s="4" t="s">
        <v>990</v>
      </c>
      <c r="H19" s="6">
        <v>4.2249999999999996</v>
      </c>
      <c r="I19" s="8">
        <v>3000</v>
      </c>
      <c r="J19" s="8">
        <v>75</v>
      </c>
      <c r="K19" s="8">
        <v>75</v>
      </c>
      <c r="L19" s="8">
        <f t="shared" si="0"/>
        <v>16875000</v>
      </c>
      <c r="M19" s="15">
        <v>7897801309035</v>
      </c>
      <c r="N19" s="6">
        <v>7.4999999999999997E-2</v>
      </c>
      <c r="O19" s="6">
        <v>3</v>
      </c>
      <c r="P19" s="6">
        <v>7.4999999999999997E-2</v>
      </c>
      <c r="Q19" s="6">
        <v>0.08</v>
      </c>
      <c r="R19" s="6">
        <v>0.08</v>
      </c>
      <c r="S19" s="6">
        <v>3</v>
      </c>
      <c r="T19" s="8">
        <v>1</v>
      </c>
      <c r="U19" s="5" t="s">
        <v>991</v>
      </c>
      <c r="V19" s="89">
        <v>0</v>
      </c>
      <c r="W19" s="15">
        <v>17897801309032</v>
      </c>
      <c r="X19" s="6" t="s">
        <v>20</v>
      </c>
      <c r="Y19" s="6" t="s">
        <v>20</v>
      </c>
      <c r="Z19" s="6" t="s">
        <v>20</v>
      </c>
      <c r="AA19" s="6"/>
      <c r="AB19" s="8">
        <v>0</v>
      </c>
      <c r="AC19" s="15">
        <v>27897801309039</v>
      </c>
      <c r="AD19" s="4" t="s">
        <v>992</v>
      </c>
    </row>
    <row r="20" spans="2:30" x14ac:dyDescent="0.35">
      <c r="B20" s="14">
        <v>50</v>
      </c>
      <c r="C20" s="4" t="s">
        <v>36</v>
      </c>
      <c r="D20" s="4" t="s">
        <v>2416</v>
      </c>
      <c r="E20" s="4" t="s">
        <v>2912</v>
      </c>
      <c r="F20" s="4" t="s">
        <v>19</v>
      </c>
      <c r="G20" s="4" t="s">
        <v>990</v>
      </c>
      <c r="H20" s="6">
        <v>0.32</v>
      </c>
      <c r="I20" s="8">
        <v>3000</v>
      </c>
      <c r="J20" s="8">
        <v>15</v>
      </c>
      <c r="K20" s="8">
        <v>15</v>
      </c>
      <c r="L20" s="8">
        <f t="shared" si="0"/>
        <v>675000</v>
      </c>
      <c r="M20" s="15">
        <v>7897801320269</v>
      </c>
      <c r="N20" s="6">
        <v>1.4999999999999999E-2</v>
      </c>
      <c r="O20" s="6">
        <v>3</v>
      </c>
      <c r="P20" s="6">
        <v>1.4999999999999999E-2</v>
      </c>
      <c r="Q20" s="6">
        <v>1.4999999999999999E-2</v>
      </c>
      <c r="R20" s="6">
        <v>1.4999999999999999E-2</v>
      </c>
      <c r="S20" s="6">
        <v>3</v>
      </c>
      <c r="T20" s="8">
        <v>20</v>
      </c>
      <c r="U20" s="5" t="s">
        <v>991</v>
      </c>
      <c r="V20" s="89">
        <v>0</v>
      </c>
      <c r="W20" s="15">
        <v>17897801320266</v>
      </c>
      <c r="X20" s="6" t="s">
        <v>20</v>
      </c>
      <c r="Y20" s="6" t="s">
        <v>20</v>
      </c>
      <c r="Z20" s="6" t="s">
        <v>20</v>
      </c>
      <c r="AA20" s="6"/>
      <c r="AB20" s="8">
        <v>0</v>
      </c>
      <c r="AC20" s="15">
        <v>27897801320263</v>
      </c>
      <c r="AD20" s="4" t="s">
        <v>992</v>
      </c>
    </row>
    <row r="21" spans="2:30" x14ac:dyDescent="0.35">
      <c r="B21" s="14">
        <v>51</v>
      </c>
      <c r="C21" s="4" t="s">
        <v>37</v>
      </c>
      <c r="D21" s="4" t="s">
        <v>2416</v>
      </c>
      <c r="E21" s="4" t="s">
        <v>2912</v>
      </c>
      <c r="F21" s="4" t="s">
        <v>19</v>
      </c>
      <c r="G21" s="4" t="s">
        <v>990</v>
      </c>
      <c r="H21" s="6">
        <v>0.61</v>
      </c>
      <c r="I21" s="8">
        <v>3000</v>
      </c>
      <c r="J21" s="8">
        <v>22</v>
      </c>
      <c r="K21" s="8">
        <v>22</v>
      </c>
      <c r="L21" s="8">
        <f t="shared" si="0"/>
        <v>1452000</v>
      </c>
      <c r="M21" s="15">
        <v>7897801320276</v>
      </c>
      <c r="N21" s="6">
        <v>2.1999999999999999E-2</v>
      </c>
      <c r="O21" s="6">
        <v>3</v>
      </c>
      <c r="P21" s="6">
        <v>2.1999999999999999E-2</v>
      </c>
      <c r="Q21" s="6">
        <v>2.1999999999999999E-2</v>
      </c>
      <c r="R21" s="6">
        <v>3</v>
      </c>
      <c r="S21" s="6">
        <v>2.1999999999999999E-2</v>
      </c>
      <c r="T21" s="8">
        <v>20</v>
      </c>
      <c r="U21" s="5" t="s">
        <v>991</v>
      </c>
      <c r="V21" s="89">
        <v>0</v>
      </c>
      <c r="W21" s="15">
        <v>17897801320273</v>
      </c>
      <c r="X21" s="6" t="s">
        <v>20</v>
      </c>
      <c r="Y21" s="6" t="s">
        <v>20</v>
      </c>
      <c r="Z21" s="6" t="s">
        <v>20</v>
      </c>
      <c r="AA21" s="6"/>
      <c r="AB21" s="8">
        <v>0</v>
      </c>
      <c r="AC21" s="15">
        <v>27897801320270</v>
      </c>
      <c r="AD21" s="4" t="s">
        <v>992</v>
      </c>
    </row>
    <row r="22" spans="2:30" x14ac:dyDescent="0.35">
      <c r="B22" s="14">
        <v>52</v>
      </c>
      <c r="C22" s="4" t="s">
        <v>38</v>
      </c>
      <c r="D22" s="4" t="s">
        <v>2416</v>
      </c>
      <c r="E22" s="4" t="s">
        <v>2912</v>
      </c>
      <c r="F22" s="4" t="s">
        <v>19</v>
      </c>
      <c r="G22" s="4" t="s">
        <v>990</v>
      </c>
      <c r="H22" s="6">
        <v>0.95</v>
      </c>
      <c r="I22" s="8">
        <v>3000</v>
      </c>
      <c r="J22" s="8">
        <v>28</v>
      </c>
      <c r="K22" s="8">
        <v>28</v>
      </c>
      <c r="L22" s="8">
        <f t="shared" si="0"/>
        <v>2352000</v>
      </c>
      <c r="M22" s="15">
        <v>7897801320283</v>
      </c>
      <c r="N22" s="6">
        <v>2.8000000000000001E-2</v>
      </c>
      <c r="O22" s="6">
        <v>3</v>
      </c>
      <c r="P22" s="6">
        <v>2.8000000000000001E-2</v>
      </c>
      <c r="Q22" s="6">
        <v>2.8000000000000001E-2</v>
      </c>
      <c r="R22" s="6">
        <v>3</v>
      </c>
      <c r="S22" s="6">
        <v>2.8000000000000001E-2</v>
      </c>
      <c r="T22" s="8">
        <v>10</v>
      </c>
      <c r="U22" s="5" t="s">
        <v>991</v>
      </c>
      <c r="V22" s="89">
        <v>0</v>
      </c>
      <c r="W22" s="15">
        <v>17897801320280</v>
      </c>
      <c r="X22" s="6" t="s">
        <v>20</v>
      </c>
      <c r="Y22" s="6" t="s">
        <v>20</v>
      </c>
      <c r="Z22" s="6" t="s">
        <v>20</v>
      </c>
      <c r="AA22" s="6"/>
      <c r="AB22" s="8">
        <v>0</v>
      </c>
      <c r="AC22" s="15">
        <v>27897801320287</v>
      </c>
      <c r="AD22" s="4" t="s">
        <v>992</v>
      </c>
    </row>
    <row r="23" spans="2:30" x14ac:dyDescent="0.35">
      <c r="B23" s="73">
        <v>78</v>
      </c>
      <c r="C23" s="4" t="s">
        <v>2953</v>
      </c>
      <c r="D23" s="4" t="s">
        <v>2394</v>
      </c>
      <c r="E23" s="4" t="s">
        <v>2913</v>
      </c>
      <c r="F23" s="4" t="s">
        <v>85</v>
      </c>
      <c r="G23" s="4" t="s">
        <v>2946</v>
      </c>
      <c r="H23" s="6">
        <v>0.71499999999999997</v>
      </c>
      <c r="I23" s="8">
        <v>125</v>
      </c>
      <c r="J23" s="8">
        <v>48</v>
      </c>
      <c r="K23" s="8">
        <v>125</v>
      </c>
      <c r="L23" s="8">
        <v>750000</v>
      </c>
      <c r="M23" s="15">
        <v>7898708518384</v>
      </c>
      <c r="N23" s="6" t="s">
        <v>20</v>
      </c>
      <c r="O23" s="6" t="s">
        <v>20</v>
      </c>
      <c r="P23" s="6" t="s">
        <v>20</v>
      </c>
      <c r="Q23" s="6">
        <v>0.1</v>
      </c>
      <c r="R23" s="6">
        <v>2.4E-2</v>
      </c>
      <c r="S23" s="6">
        <v>0.1</v>
      </c>
      <c r="T23" s="8">
        <v>1</v>
      </c>
      <c r="U23" s="5" t="s">
        <v>994</v>
      </c>
      <c r="V23" s="89">
        <v>0</v>
      </c>
      <c r="W23" s="15">
        <v>17898708518381</v>
      </c>
      <c r="X23" s="6">
        <v>6.6000000000000003E-2</v>
      </c>
      <c r="Y23" s="6">
        <v>0.25</v>
      </c>
      <c r="Z23" s="6">
        <v>0.16500000000000001</v>
      </c>
      <c r="AA23" s="6">
        <v>2.7225000000000001E-3</v>
      </c>
      <c r="AB23" s="8">
        <v>20</v>
      </c>
      <c r="AC23" s="15">
        <v>27898708518388</v>
      </c>
      <c r="AD23" s="4" t="s">
        <v>992</v>
      </c>
    </row>
    <row r="24" spans="2:30" x14ac:dyDescent="0.35">
      <c r="B24" s="73">
        <v>79</v>
      </c>
      <c r="C24" s="4" t="s">
        <v>2954</v>
      </c>
      <c r="D24" s="4" t="s">
        <v>2394</v>
      </c>
      <c r="E24" s="4" t="s">
        <v>2913</v>
      </c>
      <c r="F24" s="4" t="s">
        <v>85</v>
      </c>
      <c r="G24" s="4" t="s">
        <v>2946</v>
      </c>
      <c r="H24" s="6">
        <v>1.083</v>
      </c>
      <c r="I24" s="8">
        <v>195</v>
      </c>
      <c r="J24" s="8">
        <v>39</v>
      </c>
      <c r="K24" s="8">
        <v>195</v>
      </c>
      <c r="L24" s="8">
        <v>1482975</v>
      </c>
      <c r="M24" s="15">
        <v>7898708518391</v>
      </c>
      <c r="N24" s="6" t="s">
        <v>20</v>
      </c>
      <c r="O24" s="6" t="s">
        <v>20</v>
      </c>
      <c r="P24" s="6" t="s">
        <v>20</v>
      </c>
      <c r="Q24" s="6">
        <v>0.152</v>
      </c>
      <c r="R24" s="6">
        <v>0.02</v>
      </c>
      <c r="S24" s="6">
        <v>0.152</v>
      </c>
      <c r="T24" s="8">
        <v>1</v>
      </c>
      <c r="U24" s="5" t="s">
        <v>994</v>
      </c>
      <c r="V24" s="89">
        <v>0</v>
      </c>
      <c r="W24" s="15">
        <v>17898708518398</v>
      </c>
      <c r="X24" s="6">
        <v>4.4999999999999998E-2</v>
      </c>
      <c r="Y24" s="6">
        <v>0.222</v>
      </c>
      <c r="Z24" s="6">
        <v>0.223</v>
      </c>
      <c r="AA24" s="6">
        <v>2.22777E-3</v>
      </c>
      <c r="AB24" s="8">
        <v>45</v>
      </c>
      <c r="AC24" s="15">
        <v>27898708518395</v>
      </c>
      <c r="AD24" s="4" t="s">
        <v>992</v>
      </c>
    </row>
    <row r="25" spans="2:30" x14ac:dyDescent="0.35">
      <c r="B25" s="73">
        <v>80</v>
      </c>
      <c r="C25" s="4" t="s">
        <v>2955</v>
      </c>
      <c r="D25" s="4" t="s">
        <v>2394</v>
      </c>
      <c r="E25" s="4" t="s">
        <v>2913</v>
      </c>
      <c r="F25" s="4" t="s">
        <v>85</v>
      </c>
      <c r="G25" s="4" t="s">
        <v>2947</v>
      </c>
      <c r="H25" s="6">
        <v>0.69599999999999995</v>
      </c>
      <c r="I25" s="8">
        <v>523</v>
      </c>
      <c r="J25" s="8">
        <v>25</v>
      </c>
      <c r="K25" s="8">
        <v>100</v>
      </c>
      <c r="L25" s="8">
        <v>1307500</v>
      </c>
      <c r="M25" s="15">
        <v>7898708518407</v>
      </c>
      <c r="N25" s="6" t="s">
        <v>20</v>
      </c>
      <c r="O25" s="6" t="s">
        <v>20</v>
      </c>
      <c r="P25" s="6" t="s">
        <v>20</v>
      </c>
      <c r="Q25" s="6">
        <v>7.5999999999999998E-2</v>
      </c>
      <c r="R25" s="6">
        <v>1.2E-2</v>
      </c>
      <c r="S25" s="6">
        <v>0.248</v>
      </c>
      <c r="T25" s="8">
        <v>1</v>
      </c>
      <c r="U25" s="5" t="s">
        <v>994</v>
      </c>
      <c r="V25" s="89">
        <v>0</v>
      </c>
      <c r="W25" s="15">
        <v>17898708518404</v>
      </c>
      <c r="X25" s="6">
        <v>0.105</v>
      </c>
      <c r="Y25" s="6">
        <v>7.4999999999999997E-2</v>
      </c>
      <c r="Z25" s="6">
        <v>0.53</v>
      </c>
      <c r="AA25" s="6">
        <v>4.1737500000000004E-3</v>
      </c>
      <c r="AB25" s="8">
        <v>30</v>
      </c>
      <c r="AC25" s="15">
        <v>27898708518401</v>
      </c>
      <c r="AD25" s="4" t="s">
        <v>992</v>
      </c>
    </row>
    <row r="26" spans="2:30" x14ac:dyDescent="0.35">
      <c r="B26" s="73">
        <v>81</v>
      </c>
      <c r="C26" s="4" t="s">
        <v>2956</v>
      </c>
      <c r="D26" s="4" t="s">
        <v>2394</v>
      </c>
      <c r="E26" s="4" t="s">
        <v>2913</v>
      </c>
      <c r="F26" s="4" t="s">
        <v>85</v>
      </c>
      <c r="G26" s="4" t="s">
        <v>1004</v>
      </c>
      <c r="H26" s="6">
        <v>0.51400000000000001</v>
      </c>
      <c r="I26" s="8">
        <v>523</v>
      </c>
      <c r="J26" s="8">
        <v>25</v>
      </c>
      <c r="K26" s="8">
        <v>100</v>
      </c>
      <c r="L26" s="8">
        <v>1307500</v>
      </c>
      <c r="M26" s="15">
        <v>7898708518414</v>
      </c>
      <c r="N26" s="6" t="s">
        <v>20</v>
      </c>
      <c r="O26" s="6" t="s">
        <v>20</v>
      </c>
      <c r="P26" s="6" t="s">
        <v>20</v>
      </c>
      <c r="Q26" s="6">
        <v>7.5999999999999998E-2</v>
      </c>
      <c r="R26" s="6">
        <v>2.5999999999999999E-2</v>
      </c>
      <c r="S26" s="6">
        <v>0.248</v>
      </c>
      <c r="T26" s="8">
        <v>1</v>
      </c>
      <c r="U26" s="5" t="s">
        <v>994</v>
      </c>
      <c r="V26" s="89">
        <v>0</v>
      </c>
      <c r="W26" s="15">
        <v>17898708518411</v>
      </c>
      <c r="X26" s="6">
        <v>0.105</v>
      </c>
      <c r="Y26" s="6">
        <v>7.4999999999999997E-2</v>
      </c>
      <c r="Z26" s="6">
        <v>0.53</v>
      </c>
      <c r="AA26" s="6">
        <v>4.1737500000000004E-3</v>
      </c>
      <c r="AB26" s="8">
        <v>24</v>
      </c>
      <c r="AC26" s="15">
        <v>27898708518418</v>
      </c>
      <c r="AD26" s="4" t="s">
        <v>992</v>
      </c>
    </row>
    <row r="27" spans="2:30" x14ac:dyDescent="0.35">
      <c r="B27" s="73">
        <v>82</v>
      </c>
      <c r="C27" s="4" t="s">
        <v>2957</v>
      </c>
      <c r="D27" s="4" t="s">
        <v>2394</v>
      </c>
      <c r="E27" s="4" t="s">
        <v>2913</v>
      </c>
      <c r="F27" s="4" t="s">
        <v>85</v>
      </c>
      <c r="G27" s="4" t="s">
        <v>2947</v>
      </c>
      <c r="H27" s="6">
        <v>1.0640000000000001</v>
      </c>
      <c r="I27" s="8">
        <v>523</v>
      </c>
      <c r="J27" s="8">
        <v>25</v>
      </c>
      <c r="K27" s="8">
        <v>100</v>
      </c>
      <c r="L27" s="8">
        <v>1307500</v>
      </c>
      <c r="M27" s="15">
        <v>7898708518421</v>
      </c>
      <c r="N27" s="6" t="s">
        <v>20</v>
      </c>
      <c r="O27" s="6" t="s">
        <v>20</v>
      </c>
      <c r="P27" s="6" t="s">
        <v>20</v>
      </c>
      <c r="Q27" s="6">
        <v>7.5999999999999998E-2</v>
      </c>
      <c r="R27" s="6">
        <v>1.2E-2</v>
      </c>
      <c r="S27" s="6">
        <v>0.248</v>
      </c>
      <c r="T27" s="8">
        <v>1</v>
      </c>
      <c r="U27" s="5" t="s">
        <v>994</v>
      </c>
      <c r="V27" s="89">
        <v>0</v>
      </c>
      <c r="W27" s="15">
        <v>17898708518428</v>
      </c>
      <c r="X27" s="6">
        <v>0.105</v>
      </c>
      <c r="Y27" s="6">
        <v>7.4999999999999997E-2</v>
      </c>
      <c r="Z27" s="6">
        <v>0.53</v>
      </c>
      <c r="AA27" s="6">
        <v>4.1737500000000004E-3</v>
      </c>
      <c r="AB27" s="8">
        <v>30</v>
      </c>
      <c r="AC27" s="15">
        <v>27898708518425</v>
      </c>
      <c r="AD27" s="4" t="s">
        <v>992</v>
      </c>
    </row>
    <row r="28" spans="2:30" x14ac:dyDescent="0.35">
      <c r="B28" s="73">
        <v>83</v>
      </c>
      <c r="C28" s="4" t="s">
        <v>2958</v>
      </c>
      <c r="D28" s="4" t="s">
        <v>2394</v>
      </c>
      <c r="E28" s="4" t="s">
        <v>2913</v>
      </c>
      <c r="F28" s="4" t="s">
        <v>85</v>
      </c>
      <c r="G28" s="4" t="s">
        <v>1004</v>
      </c>
      <c r="H28" s="6">
        <v>0.72899999999999998</v>
      </c>
      <c r="I28" s="8">
        <v>523</v>
      </c>
      <c r="J28" s="8">
        <v>25</v>
      </c>
      <c r="K28" s="8">
        <v>100</v>
      </c>
      <c r="L28" s="8">
        <v>1307500</v>
      </c>
      <c r="M28" s="15">
        <v>7898708518438</v>
      </c>
      <c r="N28" s="6" t="s">
        <v>20</v>
      </c>
      <c r="O28" s="6" t="s">
        <v>20</v>
      </c>
      <c r="P28" s="6" t="s">
        <v>20</v>
      </c>
      <c r="Q28" s="6">
        <v>7.5999999999999998E-2</v>
      </c>
      <c r="R28" s="6">
        <v>2.5999999999999999E-2</v>
      </c>
      <c r="S28" s="6">
        <v>0.248</v>
      </c>
      <c r="T28" s="8">
        <v>1</v>
      </c>
      <c r="U28" s="5" t="s">
        <v>994</v>
      </c>
      <c r="V28" s="89">
        <v>0</v>
      </c>
      <c r="W28" s="15">
        <v>17898708518435</v>
      </c>
      <c r="X28" s="6">
        <v>0.105</v>
      </c>
      <c r="Y28" s="6">
        <v>7.4999999999999997E-2</v>
      </c>
      <c r="Z28" s="6">
        <v>0.53</v>
      </c>
      <c r="AA28" s="6">
        <v>4.1737500000000004E-3</v>
      </c>
      <c r="AB28" s="8">
        <v>24</v>
      </c>
      <c r="AC28" s="15">
        <v>27898708518432</v>
      </c>
      <c r="AD28" s="4" t="s">
        <v>992</v>
      </c>
    </row>
    <row r="29" spans="2:30" x14ac:dyDescent="0.35">
      <c r="B29" s="73">
        <v>84</v>
      </c>
      <c r="C29" s="4" t="s">
        <v>2959</v>
      </c>
      <c r="D29" s="4" t="s">
        <v>2394</v>
      </c>
      <c r="E29" s="4" t="s">
        <v>2913</v>
      </c>
      <c r="F29" s="4" t="s">
        <v>85</v>
      </c>
      <c r="G29" s="4" t="s">
        <v>2947</v>
      </c>
      <c r="H29" s="6">
        <v>0.495</v>
      </c>
      <c r="I29" s="8">
        <v>773</v>
      </c>
      <c r="J29" s="8">
        <v>33</v>
      </c>
      <c r="K29" s="8">
        <v>100</v>
      </c>
      <c r="L29" s="8">
        <v>2550900</v>
      </c>
      <c r="M29" s="15">
        <v>7898708518445</v>
      </c>
      <c r="N29" s="6" t="s">
        <v>20</v>
      </c>
      <c r="O29" s="6" t="s">
        <v>20</v>
      </c>
      <c r="P29" s="6" t="s">
        <v>20</v>
      </c>
      <c r="Q29" s="6">
        <v>7.5999999999999998E-2</v>
      </c>
      <c r="R29" s="6">
        <v>1.2E-2</v>
      </c>
      <c r="S29" s="6">
        <v>0.248</v>
      </c>
      <c r="T29" s="8">
        <v>1</v>
      </c>
      <c r="U29" s="5" t="s">
        <v>994</v>
      </c>
      <c r="V29" s="89">
        <v>0</v>
      </c>
      <c r="W29" s="15">
        <v>17898708518442</v>
      </c>
      <c r="X29" s="6">
        <v>0.105</v>
      </c>
      <c r="Y29" s="6">
        <v>7.4999999999999997E-2</v>
      </c>
      <c r="Z29" s="6">
        <v>0.77500000000000002</v>
      </c>
      <c r="AA29" s="6">
        <v>6.103125E-3</v>
      </c>
      <c r="AB29" s="8">
        <v>20</v>
      </c>
      <c r="AC29" s="15">
        <v>27898708518449</v>
      </c>
      <c r="AD29" s="4" t="s">
        <v>992</v>
      </c>
    </row>
    <row r="30" spans="2:30" x14ac:dyDescent="0.35">
      <c r="B30" s="73">
        <v>85</v>
      </c>
      <c r="C30" s="4" t="s">
        <v>2960</v>
      </c>
      <c r="D30" s="4" t="s">
        <v>2394</v>
      </c>
      <c r="E30" s="4" t="s">
        <v>2913</v>
      </c>
      <c r="F30" s="4" t="s">
        <v>85</v>
      </c>
      <c r="G30" s="4" t="s">
        <v>1004</v>
      </c>
      <c r="H30" s="6">
        <v>0.19700000000000001</v>
      </c>
      <c r="I30" s="8">
        <v>773</v>
      </c>
      <c r="J30" s="8">
        <v>33</v>
      </c>
      <c r="K30" s="8">
        <v>100</v>
      </c>
      <c r="L30" s="8">
        <v>2550900</v>
      </c>
      <c r="M30" s="15">
        <v>7898708518452</v>
      </c>
      <c r="N30" s="6" t="s">
        <v>20</v>
      </c>
      <c r="O30" s="6" t="s">
        <v>20</v>
      </c>
      <c r="P30" s="6" t="s">
        <v>20</v>
      </c>
      <c r="Q30" s="6">
        <v>7.5999999999999998E-2</v>
      </c>
      <c r="R30" s="6">
        <v>2.5999999999999999E-2</v>
      </c>
      <c r="S30" s="6">
        <v>0.748</v>
      </c>
      <c r="T30" s="8">
        <v>1</v>
      </c>
      <c r="U30" s="5" t="s">
        <v>994</v>
      </c>
      <c r="V30" s="89">
        <v>0</v>
      </c>
      <c r="W30" s="15">
        <v>17898708518459</v>
      </c>
      <c r="X30" s="6">
        <v>0.105</v>
      </c>
      <c r="Y30" s="6">
        <v>7.4999999999999997E-2</v>
      </c>
      <c r="Z30" s="6">
        <v>0.77500000000000002</v>
      </c>
      <c r="AA30" s="6">
        <v>6.103125E-3</v>
      </c>
      <c r="AB30" s="8">
        <v>18</v>
      </c>
      <c r="AC30" s="15">
        <v>27898708518456</v>
      </c>
      <c r="AD30" s="4" t="s">
        <v>992</v>
      </c>
    </row>
    <row r="31" spans="2:30" x14ac:dyDescent="0.35">
      <c r="B31" s="73">
        <v>86</v>
      </c>
      <c r="C31" s="4" t="s">
        <v>2961</v>
      </c>
      <c r="D31" s="4" t="s">
        <v>2394</v>
      </c>
      <c r="E31" s="4" t="s">
        <v>2913</v>
      </c>
      <c r="F31" s="4" t="s">
        <v>85</v>
      </c>
      <c r="G31" s="4" t="s">
        <v>2947</v>
      </c>
      <c r="H31" s="6">
        <v>0.71</v>
      </c>
      <c r="I31" s="8">
        <v>773</v>
      </c>
      <c r="J31" s="8">
        <v>33</v>
      </c>
      <c r="K31" s="8">
        <v>100</v>
      </c>
      <c r="L31" s="8">
        <v>2550900</v>
      </c>
      <c r="M31" s="15">
        <v>7898708518469</v>
      </c>
      <c r="N31" s="6" t="s">
        <v>20</v>
      </c>
      <c r="O31" s="6" t="s">
        <v>20</v>
      </c>
      <c r="P31" s="6" t="s">
        <v>20</v>
      </c>
      <c r="Q31" s="6">
        <v>7.5999999999999998E-2</v>
      </c>
      <c r="R31" s="6">
        <v>1.2E-2</v>
      </c>
      <c r="S31" s="6">
        <v>0.248</v>
      </c>
      <c r="T31" s="8">
        <v>1</v>
      </c>
      <c r="U31" s="5" t="s">
        <v>994</v>
      </c>
      <c r="V31" s="89">
        <v>0</v>
      </c>
      <c r="W31" s="15">
        <v>17898708518466</v>
      </c>
      <c r="X31" s="6">
        <v>0.105</v>
      </c>
      <c r="Y31" s="6">
        <v>7.4999999999999997E-2</v>
      </c>
      <c r="Z31" s="6">
        <v>0.77500000000000002</v>
      </c>
      <c r="AA31" s="6">
        <v>6.103125E-3</v>
      </c>
      <c r="AB31" s="8">
        <v>20</v>
      </c>
      <c r="AC31" s="15">
        <v>27898708518463</v>
      </c>
      <c r="AD31" s="4" t="s">
        <v>992</v>
      </c>
    </row>
    <row r="32" spans="2:30" x14ac:dyDescent="0.35">
      <c r="B32" s="73">
        <v>87</v>
      </c>
      <c r="C32" s="4" t="s">
        <v>2962</v>
      </c>
      <c r="D32" s="4" t="s">
        <v>2394</v>
      </c>
      <c r="E32" s="4" t="s">
        <v>2913</v>
      </c>
      <c r="F32" s="4" t="s">
        <v>85</v>
      </c>
      <c r="G32" s="4" t="s">
        <v>1004</v>
      </c>
      <c r="H32" s="6">
        <v>0.42399999999999999</v>
      </c>
      <c r="I32" s="8">
        <v>773</v>
      </c>
      <c r="J32" s="8">
        <v>33</v>
      </c>
      <c r="K32" s="8">
        <v>100</v>
      </c>
      <c r="L32" s="8">
        <v>2550900</v>
      </c>
      <c r="M32" s="15">
        <v>7898708518476</v>
      </c>
      <c r="N32" s="6" t="s">
        <v>20</v>
      </c>
      <c r="O32" s="6" t="s">
        <v>20</v>
      </c>
      <c r="P32" s="6" t="s">
        <v>20</v>
      </c>
      <c r="Q32" s="6">
        <v>7.5999999999999998E-2</v>
      </c>
      <c r="R32" s="6">
        <v>2.5999999999999999E-2</v>
      </c>
      <c r="S32" s="6">
        <v>0.748</v>
      </c>
      <c r="T32" s="8">
        <v>1</v>
      </c>
      <c r="U32" s="5" t="s">
        <v>994</v>
      </c>
      <c r="V32" s="89">
        <v>0</v>
      </c>
      <c r="W32" s="15">
        <v>17898708518473</v>
      </c>
      <c r="X32" s="6">
        <v>0.105</v>
      </c>
      <c r="Y32" s="6">
        <v>7.4999999999999997E-2</v>
      </c>
      <c r="Z32" s="6">
        <v>0.77500000000000002</v>
      </c>
      <c r="AA32" s="6">
        <v>6.103125E-3</v>
      </c>
      <c r="AB32" s="8">
        <v>18</v>
      </c>
      <c r="AC32" s="15">
        <v>27898708518470</v>
      </c>
      <c r="AD32" s="4" t="s">
        <v>992</v>
      </c>
    </row>
    <row r="33" spans="2:30" x14ac:dyDescent="0.35">
      <c r="B33" s="73">
        <v>88</v>
      </c>
      <c r="C33" s="4" t="s">
        <v>2963</v>
      </c>
      <c r="D33" s="4" t="s">
        <v>2394</v>
      </c>
      <c r="E33" s="4" t="s">
        <v>2913</v>
      </c>
      <c r="F33" s="4" t="s">
        <v>85</v>
      </c>
      <c r="G33" s="4" t="s">
        <v>2946</v>
      </c>
      <c r="H33" s="6">
        <v>5.8999999999999997E-2</v>
      </c>
      <c r="I33" s="8">
        <v>50</v>
      </c>
      <c r="J33" s="8">
        <v>80</v>
      </c>
      <c r="K33" s="8">
        <v>50</v>
      </c>
      <c r="L33" s="8">
        <v>200000</v>
      </c>
      <c r="M33" s="15">
        <v>7898708518483</v>
      </c>
      <c r="N33" s="6" t="s">
        <v>20</v>
      </c>
      <c r="O33" s="6" t="s">
        <v>20</v>
      </c>
      <c r="P33" s="6" t="s">
        <v>20</v>
      </c>
      <c r="Q33" s="6">
        <v>5.3999999999999999E-2</v>
      </c>
      <c r="R33" s="6">
        <v>0.185</v>
      </c>
      <c r="S33" s="6">
        <v>0.13100000000000001</v>
      </c>
      <c r="T33" s="8">
        <v>1</v>
      </c>
      <c r="U33" s="5" t="s">
        <v>994</v>
      </c>
      <c r="V33" s="89">
        <v>0</v>
      </c>
      <c r="W33" s="15">
        <v>17898708518480</v>
      </c>
      <c r="X33" s="6">
        <v>0.27</v>
      </c>
      <c r="Y33" s="6">
        <v>0.27</v>
      </c>
      <c r="Z33" s="6">
        <v>0.33</v>
      </c>
      <c r="AA33" s="6">
        <v>2.4057000000000002E-2</v>
      </c>
      <c r="AB33" s="8">
        <v>20</v>
      </c>
      <c r="AC33" s="15">
        <v>27898708518487</v>
      </c>
      <c r="AD33" s="4" t="s">
        <v>992</v>
      </c>
    </row>
    <row r="34" spans="2:30" x14ac:dyDescent="0.35">
      <c r="B34" s="73">
        <v>89</v>
      </c>
      <c r="C34" s="4" t="s">
        <v>2964</v>
      </c>
      <c r="D34" s="4" t="s">
        <v>2394</v>
      </c>
      <c r="E34" s="4" t="s">
        <v>2913</v>
      </c>
      <c r="F34" s="4" t="s">
        <v>85</v>
      </c>
      <c r="G34" s="4" t="s">
        <v>1012</v>
      </c>
      <c r="H34" s="6">
        <v>5.6000000000000001E-2</v>
      </c>
      <c r="I34" s="8">
        <v>95</v>
      </c>
      <c r="J34" s="8">
        <v>30</v>
      </c>
      <c r="K34" s="8">
        <v>95</v>
      </c>
      <c r="L34" s="8">
        <v>270750</v>
      </c>
      <c r="M34" s="15">
        <v>7898708518490</v>
      </c>
      <c r="N34" s="6" t="s">
        <v>20</v>
      </c>
      <c r="O34" s="6" t="s">
        <v>20</v>
      </c>
      <c r="P34" s="6" t="s">
        <v>20</v>
      </c>
      <c r="Q34" s="6">
        <v>0.19</v>
      </c>
      <c r="R34" s="6">
        <v>0.03</v>
      </c>
      <c r="S34" s="6">
        <v>0.26500000000000001</v>
      </c>
      <c r="T34" s="8">
        <v>1</v>
      </c>
      <c r="U34" s="5" t="s">
        <v>994</v>
      </c>
      <c r="V34" s="89">
        <v>0</v>
      </c>
      <c r="W34" s="15">
        <v>17898708518497</v>
      </c>
      <c r="X34" s="6">
        <v>0.27</v>
      </c>
      <c r="Y34" s="6">
        <v>0.27</v>
      </c>
      <c r="Z34" s="6">
        <v>0.33</v>
      </c>
      <c r="AA34" s="6">
        <v>2.4057000000000002E-2</v>
      </c>
      <c r="AB34" s="8">
        <v>20</v>
      </c>
      <c r="AC34" s="15">
        <v>27898708518494</v>
      </c>
      <c r="AD34" s="4" t="s">
        <v>992</v>
      </c>
    </row>
    <row r="35" spans="2:30" x14ac:dyDescent="0.35">
      <c r="B35" s="73">
        <v>90</v>
      </c>
      <c r="C35" s="4" t="s">
        <v>2965</v>
      </c>
      <c r="D35" s="4" t="s">
        <v>2394</v>
      </c>
      <c r="E35" s="4" t="s">
        <v>2913</v>
      </c>
      <c r="F35" s="4" t="s">
        <v>85</v>
      </c>
      <c r="G35" s="4" t="s">
        <v>1012</v>
      </c>
      <c r="H35" s="6">
        <v>9.1999999999999998E-2</v>
      </c>
      <c r="I35" s="8">
        <v>143</v>
      </c>
      <c r="J35" s="8">
        <v>30</v>
      </c>
      <c r="K35" s="8">
        <v>143</v>
      </c>
      <c r="L35" s="8">
        <v>613470</v>
      </c>
      <c r="M35" s="15">
        <v>7898708518506</v>
      </c>
      <c r="N35" s="6" t="s">
        <v>20</v>
      </c>
      <c r="O35" s="6" t="s">
        <v>20</v>
      </c>
      <c r="P35" s="6" t="s">
        <v>20</v>
      </c>
      <c r="Q35" s="6">
        <v>0.19</v>
      </c>
      <c r="R35" s="6">
        <v>0.03</v>
      </c>
      <c r="S35" s="6">
        <v>0.26500000000000001</v>
      </c>
      <c r="T35" s="8">
        <v>1</v>
      </c>
      <c r="U35" s="5" t="s">
        <v>994</v>
      </c>
      <c r="V35" s="89">
        <v>0</v>
      </c>
      <c r="W35" s="15">
        <v>17898708518503</v>
      </c>
      <c r="X35" s="6">
        <v>0.27</v>
      </c>
      <c r="Y35" s="6">
        <v>0.27</v>
      </c>
      <c r="Z35" s="6">
        <v>0.33</v>
      </c>
      <c r="AA35" s="6">
        <v>2.4057000000000002E-2</v>
      </c>
      <c r="AB35" s="8">
        <v>20</v>
      </c>
      <c r="AC35" s="15">
        <v>27898708518500</v>
      </c>
      <c r="AD35" s="4" t="s">
        <v>992</v>
      </c>
    </row>
    <row r="36" spans="2:30" x14ac:dyDescent="0.35">
      <c r="B36" s="14">
        <v>100</v>
      </c>
      <c r="C36" s="4" t="s">
        <v>39</v>
      </c>
      <c r="D36" s="4" t="s">
        <v>2379</v>
      </c>
      <c r="E36" s="4" t="s">
        <v>2913</v>
      </c>
      <c r="F36" s="4" t="s">
        <v>19</v>
      </c>
      <c r="G36" s="4" t="s">
        <v>990</v>
      </c>
      <c r="H36" s="6">
        <v>1.415</v>
      </c>
      <c r="I36" s="8">
        <v>6000</v>
      </c>
      <c r="J36" s="8">
        <v>40</v>
      </c>
      <c r="K36" s="8">
        <v>40</v>
      </c>
      <c r="L36" s="8">
        <f t="shared" si="0"/>
        <v>9600000</v>
      </c>
      <c r="M36" s="15">
        <v>7897801304108</v>
      </c>
      <c r="N36" s="6">
        <v>4.2599999999999999E-2</v>
      </c>
      <c r="O36" s="6">
        <v>6</v>
      </c>
      <c r="P36" s="6">
        <v>4.2599999999999999E-2</v>
      </c>
      <c r="Q36" s="6">
        <v>0.17</v>
      </c>
      <c r="R36" s="6">
        <v>0.12</v>
      </c>
      <c r="S36" s="6">
        <v>6</v>
      </c>
      <c r="T36" s="8">
        <v>10</v>
      </c>
      <c r="U36" s="5" t="s">
        <v>991</v>
      </c>
      <c r="V36" s="89">
        <v>0</v>
      </c>
      <c r="W36" s="15">
        <v>17897801304105</v>
      </c>
      <c r="X36" s="6" t="s">
        <v>20</v>
      </c>
      <c r="Y36" s="6" t="s">
        <v>20</v>
      </c>
      <c r="Z36" s="6" t="s">
        <v>20</v>
      </c>
      <c r="AA36" s="6"/>
      <c r="AB36" s="8">
        <v>0</v>
      </c>
      <c r="AC36" s="15">
        <v>27897801304102</v>
      </c>
      <c r="AD36" s="4" t="s">
        <v>992</v>
      </c>
    </row>
    <row r="37" spans="2:30" x14ac:dyDescent="0.35">
      <c r="B37" s="14">
        <v>101</v>
      </c>
      <c r="C37" s="4" t="s">
        <v>40</v>
      </c>
      <c r="D37" s="4" t="s">
        <v>2379</v>
      </c>
      <c r="E37" s="4" t="s">
        <v>2913</v>
      </c>
      <c r="F37" s="4" t="s">
        <v>19</v>
      </c>
      <c r="G37" s="4" t="s">
        <v>990</v>
      </c>
      <c r="H37" s="6">
        <v>2.3450000000000002</v>
      </c>
      <c r="I37" s="8">
        <v>6000</v>
      </c>
      <c r="J37" s="8">
        <v>50</v>
      </c>
      <c r="K37" s="8">
        <v>50</v>
      </c>
      <c r="L37" s="8">
        <f t="shared" si="0"/>
        <v>15000000</v>
      </c>
      <c r="M37" s="15">
        <v>7897801304115</v>
      </c>
      <c r="N37" s="6">
        <v>6.2E-2</v>
      </c>
      <c r="O37" s="6">
        <v>6</v>
      </c>
      <c r="P37" s="6">
        <v>6.2E-2</v>
      </c>
      <c r="Q37" s="6">
        <v>0.24</v>
      </c>
      <c r="R37" s="6">
        <v>0.16</v>
      </c>
      <c r="S37" s="6">
        <v>6.0019999999999998</v>
      </c>
      <c r="T37" s="8">
        <v>10</v>
      </c>
      <c r="U37" s="5" t="s">
        <v>991</v>
      </c>
      <c r="V37" s="89">
        <v>0</v>
      </c>
      <c r="W37" s="15">
        <v>17897801304112</v>
      </c>
      <c r="X37" s="6" t="s">
        <v>20</v>
      </c>
      <c r="Y37" s="6" t="s">
        <v>20</v>
      </c>
      <c r="Z37" s="6" t="s">
        <v>20</v>
      </c>
      <c r="AA37" s="6"/>
      <c r="AB37" s="8">
        <v>0</v>
      </c>
      <c r="AC37" s="15">
        <v>27897801304119</v>
      </c>
      <c r="AD37" s="4" t="s">
        <v>992</v>
      </c>
    </row>
    <row r="38" spans="2:30" x14ac:dyDescent="0.35">
      <c r="B38" s="14">
        <v>102</v>
      </c>
      <c r="C38" s="4" t="s">
        <v>41</v>
      </c>
      <c r="D38" s="4" t="s">
        <v>2379</v>
      </c>
      <c r="E38" s="4" t="s">
        <v>2913</v>
      </c>
      <c r="F38" s="4" t="s">
        <v>19</v>
      </c>
      <c r="G38" s="4" t="s">
        <v>990</v>
      </c>
      <c r="H38" s="6">
        <v>3.74</v>
      </c>
      <c r="I38" s="8">
        <v>6000</v>
      </c>
      <c r="J38" s="8">
        <v>75</v>
      </c>
      <c r="K38" s="8">
        <v>75</v>
      </c>
      <c r="L38" s="8">
        <f t="shared" si="0"/>
        <v>33750000</v>
      </c>
      <c r="M38" s="15">
        <v>7897801304122</v>
      </c>
      <c r="N38" s="6">
        <v>8.3599999999999994E-2</v>
      </c>
      <c r="O38" s="6">
        <v>6</v>
      </c>
      <c r="P38" s="6">
        <v>8.3599999999999994E-2</v>
      </c>
      <c r="Q38" s="6">
        <v>0.25</v>
      </c>
      <c r="R38" s="6">
        <v>0.16</v>
      </c>
      <c r="S38" s="6">
        <v>6.0019999999999998</v>
      </c>
      <c r="T38" s="8">
        <v>5</v>
      </c>
      <c r="U38" s="5" t="s">
        <v>991</v>
      </c>
      <c r="V38" s="89">
        <v>0</v>
      </c>
      <c r="W38" s="15">
        <v>17897801304129</v>
      </c>
      <c r="X38" s="6" t="s">
        <v>20</v>
      </c>
      <c r="Y38" s="6" t="s">
        <v>20</v>
      </c>
      <c r="Z38" s="6" t="s">
        <v>20</v>
      </c>
      <c r="AA38" s="6"/>
      <c r="AB38" s="8">
        <v>0</v>
      </c>
      <c r="AC38" s="15">
        <v>27897801304126</v>
      </c>
      <c r="AD38" s="4" t="s">
        <v>992</v>
      </c>
    </row>
    <row r="39" spans="2:30" x14ac:dyDescent="0.35">
      <c r="B39" s="14">
        <v>103</v>
      </c>
      <c r="C39" s="4" t="s">
        <v>42</v>
      </c>
      <c r="D39" s="4" t="s">
        <v>2379</v>
      </c>
      <c r="E39" s="4" t="s">
        <v>2913</v>
      </c>
      <c r="F39" s="4" t="s">
        <v>19</v>
      </c>
      <c r="G39" s="4" t="s">
        <v>990</v>
      </c>
      <c r="H39" s="6">
        <v>5.3170000000000002</v>
      </c>
      <c r="I39" s="8">
        <v>6000</v>
      </c>
      <c r="J39" s="8">
        <v>101</v>
      </c>
      <c r="K39" s="8">
        <v>101</v>
      </c>
      <c r="L39" s="8">
        <f t="shared" si="0"/>
        <v>61206000</v>
      </c>
      <c r="M39" s="15">
        <v>7897801304139</v>
      </c>
      <c r="N39" s="6">
        <v>0.1066</v>
      </c>
      <c r="O39" s="6">
        <v>6</v>
      </c>
      <c r="P39" s="6">
        <v>0.1066</v>
      </c>
      <c r="Q39" s="6">
        <v>0.33500000000000002</v>
      </c>
      <c r="R39" s="6">
        <v>0.2</v>
      </c>
      <c r="S39" s="6">
        <v>6.0019999999999998</v>
      </c>
      <c r="T39" s="8">
        <v>5</v>
      </c>
      <c r="U39" s="5" t="s">
        <v>991</v>
      </c>
      <c r="V39" s="89">
        <v>0</v>
      </c>
      <c r="W39" s="15">
        <v>17897801304136</v>
      </c>
      <c r="X39" s="6" t="s">
        <v>20</v>
      </c>
      <c r="Y39" s="6" t="s">
        <v>20</v>
      </c>
      <c r="Z39" s="6" t="s">
        <v>20</v>
      </c>
      <c r="AA39" s="6"/>
      <c r="AB39" s="8">
        <v>0</v>
      </c>
      <c r="AC39" s="15">
        <v>27897801304133</v>
      </c>
      <c r="AD39" s="4" t="s">
        <v>992</v>
      </c>
    </row>
    <row r="40" spans="2:30" x14ac:dyDescent="0.35">
      <c r="B40" s="14">
        <v>104</v>
      </c>
      <c r="C40" s="4" t="s">
        <v>43</v>
      </c>
      <c r="D40" s="4" t="s">
        <v>2379</v>
      </c>
      <c r="E40" s="4" t="s">
        <v>2913</v>
      </c>
      <c r="F40" s="4" t="s">
        <v>19</v>
      </c>
      <c r="G40" s="4" t="s">
        <v>990</v>
      </c>
      <c r="H40" s="6">
        <v>11.55</v>
      </c>
      <c r="I40" s="8">
        <v>6000</v>
      </c>
      <c r="J40" s="8">
        <v>150</v>
      </c>
      <c r="K40" s="8">
        <v>150</v>
      </c>
      <c r="L40" s="8">
        <f t="shared" si="0"/>
        <v>135000000</v>
      </c>
      <c r="M40" s="15">
        <v>7897801304146</v>
      </c>
      <c r="N40" s="6">
        <v>0.155</v>
      </c>
      <c r="O40" s="6">
        <v>6</v>
      </c>
      <c r="P40" s="6">
        <v>0.155</v>
      </c>
      <c r="Q40" s="6">
        <v>0.15040000000000001</v>
      </c>
      <c r="R40" s="6">
        <v>0.15040000000000001</v>
      </c>
      <c r="S40" s="6">
        <v>6</v>
      </c>
      <c r="T40" s="8">
        <v>1</v>
      </c>
      <c r="U40" s="5" t="s">
        <v>991</v>
      </c>
      <c r="V40" s="89">
        <v>0</v>
      </c>
      <c r="W40" s="15">
        <v>17897801304143</v>
      </c>
      <c r="X40" s="6" t="s">
        <v>20</v>
      </c>
      <c r="Y40" s="6" t="s">
        <v>20</v>
      </c>
      <c r="Z40" s="6" t="s">
        <v>20</v>
      </c>
      <c r="AA40" s="6"/>
      <c r="AB40" s="8">
        <v>0</v>
      </c>
      <c r="AC40" s="15">
        <v>27897801304140</v>
      </c>
      <c r="AD40" s="4" t="s">
        <v>992</v>
      </c>
    </row>
    <row r="41" spans="2:30" x14ac:dyDescent="0.35">
      <c r="B41" s="14">
        <v>105</v>
      </c>
      <c r="C41" s="4" t="s">
        <v>44</v>
      </c>
      <c r="D41" s="4" t="s">
        <v>2379</v>
      </c>
      <c r="E41" s="4" t="s">
        <v>2913</v>
      </c>
      <c r="F41" s="4" t="s">
        <v>19</v>
      </c>
      <c r="G41" s="4" t="s">
        <v>990</v>
      </c>
      <c r="H41" s="6">
        <v>20.440000000000001</v>
      </c>
      <c r="I41" s="8">
        <v>6000</v>
      </c>
      <c r="J41" s="8">
        <v>200</v>
      </c>
      <c r="K41" s="8">
        <v>200</v>
      </c>
      <c r="L41" s="8">
        <f t="shared" si="0"/>
        <v>240000000</v>
      </c>
      <c r="M41" s="15">
        <v>7897801308557</v>
      </c>
      <c r="N41" s="6">
        <v>0.20799999999999999</v>
      </c>
      <c r="O41" s="6">
        <v>6</v>
      </c>
      <c r="P41" s="6">
        <v>0.20799999999999999</v>
      </c>
      <c r="Q41" s="6">
        <v>0.20039999999999999</v>
      </c>
      <c r="R41" s="6">
        <v>0.20039999999999999</v>
      </c>
      <c r="S41" s="6">
        <v>6</v>
      </c>
      <c r="T41" s="8">
        <v>1</v>
      </c>
      <c r="U41" s="5" t="s">
        <v>991</v>
      </c>
      <c r="V41" s="89">
        <v>0</v>
      </c>
      <c r="W41" s="15">
        <v>17897801308554</v>
      </c>
      <c r="X41" s="6" t="s">
        <v>20</v>
      </c>
      <c r="Y41" s="6" t="s">
        <v>20</v>
      </c>
      <c r="Z41" s="6" t="s">
        <v>20</v>
      </c>
      <c r="AA41" s="6"/>
      <c r="AB41" s="8">
        <v>0</v>
      </c>
      <c r="AC41" s="15">
        <v>27897801308551</v>
      </c>
      <c r="AD41" s="4" t="s">
        <v>992</v>
      </c>
    </row>
    <row r="42" spans="2:30" x14ac:dyDescent="0.35">
      <c r="B42" s="14">
        <v>106</v>
      </c>
      <c r="C42" s="4" t="s">
        <v>45</v>
      </c>
      <c r="D42" s="4" t="s">
        <v>2379</v>
      </c>
      <c r="E42" s="4" t="s">
        <v>2913</v>
      </c>
      <c r="F42" s="4" t="s">
        <v>19</v>
      </c>
      <c r="G42" s="4" t="s">
        <v>990</v>
      </c>
      <c r="H42" s="6">
        <v>20.77</v>
      </c>
      <c r="I42" s="8">
        <v>6000</v>
      </c>
      <c r="J42" s="8">
        <v>250</v>
      </c>
      <c r="K42" s="8">
        <v>250</v>
      </c>
      <c r="L42" s="8">
        <f t="shared" si="0"/>
        <v>375000000</v>
      </c>
      <c r="M42" s="15">
        <v>7897801308571</v>
      </c>
      <c r="N42" s="6">
        <v>0.25600000000000001</v>
      </c>
      <c r="O42" s="6">
        <v>6</v>
      </c>
      <c r="P42" s="6">
        <v>0.25600000000000001</v>
      </c>
      <c r="Q42" s="6">
        <v>0.25040000000000001</v>
      </c>
      <c r="R42" s="6">
        <v>0.25040000000000001</v>
      </c>
      <c r="S42" s="6">
        <v>6</v>
      </c>
      <c r="T42" s="8">
        <v>1</v>
      </c>
      <c r="U42" s="5" t="s">
        <v>991</v>
      </c>
      <c r="V42" s="89">
        <v>0</v>
      </c>
      <c r="W42" s="15">
        <v>17897801308578</v>
      </c>
      <c r="X42" s="6" t="s">
        <v>20</v>
      </c>
      <c r="Y42" s="6" t="s">
        <v>20</v>
      </c>
      <c r="Z42" s="6" t="s">
        <v>20</v>
      </c>
      <c r="AA42" s="6"/>
      <c r="AB42" s="8">
        <v>0</v>
      </c>
      <c r="AC42" s="15">
        <v>27897801308575</v>
      </c>
      <c r="AD42" s="4" t="s">
        <v>992</v>
      </c>
    </row>
    <row r="43" spans="2:30" x14ac:dyDescent="0.35">
      <c r="B43" s="14">
        <v>110</v>
      </c>
      <c r="C43" s="4" t="s">
        <v>46</v>
      </c>
      <c r="D43" s="4" t="s">
        <v>2379</v>
      </c>
      <c r="E43" s="4" t="s">
        <v>2913</v>
      </c>
      <c r="F43" s="4" t="s">
        <v>19</v>
      </c>
      <c r="G43" s="4" t="s">
        <v>990</v>
      </c>
      <c r="H43" s="6">
        <v>0.70550000000000002</v>
      </c>
      <c r="I43" s="8">
        <v>3000</v>
      </c>
      <c r="J43" s="8">
        <v>40</v>
      </c>
      <c r="K43" s="8">
        <v>40</v>
      </c>
      <c r="L43" s="8">
        <f t="shared" si="0"/>
        <v>4800000</v>
      </c>
      <c r="M43" s="15">
        <v>7897801308625</v>
      </c>
      <c r="N43" s="6">
        <v>4.02E-2</v>
      </c>
      <c r="O43" s="6">
        <v>3</v>
      </c>
      <c r="P43" s="6">
        <v>4.02E-2</v>
      </c>
      <c r="Q43" s="6">
        <v>0.17</v>
      </c>
      <c r="R43" s="6">
        <v>0.12</v>
      </c>
      <c r="S43" s="6">
        <v>3</v>
      </c>
      <c r="T43" s="8">
        <v>10</v>
      </c>
      <c r="U43" s="5" t="s">
        <v>991</v>
      </c>
      <c r="V43" s="89">
        <v>0</v>
      </c>
      <c r="W43" s="15">
        <v>17897801308622</v>
      </c>
      <c r="X43" s="6" t="s">
        <v>20</v>
      </c>
      <c r="Y43" s="6" t="s">
        <v>20</v>
      </c>
      <c r="Z43" s="6" t="s">
        <v>20</v>
      </c>
      <c r="AA43" s="6"/>
      <c r="AB43" s="8">
        <v>0</v>
      </c>
      <c r="AC43" s="15">
        <v>27897801308629</v>
      </c>
      <c r="AD43" s="4" t="s">
        <v>992</v>
      </c>
    </row>
    <row r="44" spans="2:30" x14ac:dyDescent="0.35">
      <c r="B44" s="14">
        <v>111</v>
      </c>
      <c r="C44" s="4" t="s">
        <v>47</v>
      </c>
      <c r="D44" s="4" t="s">
        <v>2379</v>
      </c>
      <c r="E44" s="4" t="s">
        <v>2913</v>
      </c>
      <c r="F44" s="4" t="s">
        <v>19</v>
      </c>
      <c r="G44" s="4" t="s">
        <v>990</v>
      </c>
      <c r="H44" s="6">
        <v>1.1850000000000001</v>
      </c>
      <c r="I44" s="8">
        <v>3000</v>
      </c>
      <c r="J44" s="8">
        <v>50</v>
      </c>
      <c r="K44" s="8">
        <v>50</v>
      </c>
      <c r="L44" s="8">
        <f t="shared" si="0"/>
        <v>7500000</v>
      </c>
      <c r="M44" s="15">
        <v>7897801308632</v>
      </c>
      <c r="N44" s="6">
        <v>5.0999999999999997E-2</v>
      </c>
      <c r="O44" s="6">
        <v>3</v>
      </c>
      <c r="P44" s="6">
        <v>5.0999999999999997E-2</v>
      </c>
      <c r="Q44" s="6">
        <v>0.20499999999999999</v>
      </c>
      <c r="R44" s="6">
        <v>0.14000000000000001</v>
      </c>
      <c r="S44" s="6">
        <v>3.0019999999999998</v>
      </c>
      <c r="T44" s="8">
        <v>10</v>
      </c>
      <c r="U44" s="5" t="s">
        <v>991</v>
      </c>
      <c r="V44" s="89">
        <v>0</v>
      </c>
      <c r="W44" s="15">
        <v>17897801308639</v>
      </c>
      <c r="X44" s="6" t="s">
        <v>20</v>
      </c>
      <c r="Y44" s="6" t="s">
        <v>20</v>
      </c>
      <c r="Z44" s="6" t="s">
        <v>20</v>
      </c>
      <c r="AA44" s="6"/>
      <c r="AB44" s="8">
        <v>0</v>
      </c>
      <c r="AC44" s="15">
        <v>27897801308636</v>
      </c>
      <c r="AD44" s="4" t="s">
        <v>992</v>
      </c>
    </row>
    <row r="45" spans="2:30" x14ac:dyDescent="0.35">
      <c r="B45" s="14">
        <v>112</v>
      </c>
      <c r="C45" s="4" t="s">
        <v>48</v>
      </c>
      <c r="D45" s="4" t="s">
        <v>2379</v>
      </c>
      <c r="E45" s="4" t="s">
        <v>2913</v>
      </c>
      <c r="F45" s="4" t="s">
        <v>19</v>
      </c>
      <c r="G45" s="4" t="s">
        <v>990</v>
      </c>
      <c r="H45" s="6">
        <v>1.855</v>
      </c>
      <c r="I45" s="8">
        <v>3000</v>
      </c>
      <c r="J45" s="8">
        <v>75</v>
      </c>
      <c r="K45" s="8">
        <v>75</v>
      </c>
      <c r="L45" s="8">
        <f t="shared" si="0"/>
        <v>16875000</v>
      </c>
      <c r="M45" s="15">
        <v>7897801308649</v>
      </c>
      <c r="N45" s="6">
        <v>7.5899999999999995E-2</v>
      </c>
      <c r="O45" s="6">
        <v>3</v>
      </c>
      <c r="P45" s="6">
        <v>7.5899999999999995E-2</v>
      </c>
      <c r="Q45" s="6">
        <v>0.27</v>
      </c>
      <c r="R45" s="6">
        <v>0.16</v>
      </c>
      <c r="S45" s="6">
        <v>3.0019999999999998</v>
      </c>
      <c r="T45" s="8">
        <v>5</v>
      </c>
      <c r="U45" s="5" t="s">
        <v>991</v>
      </c>
      <c r="V45" s="89">
        <v>0</v>
      </c>
      <c r="W45" s="15">
        <v>17897801308646</v>
      </c>
      <c r="X45" s="6" t="s">
        <v>20</v>
      </c>
      <c r="Y45" s="6" t="s">
        <v>20</v>
      </c>
      <c r="Z45" s="6" t="s">
        <v>20</v>
      </c>
      <c r="AA45" s="6"/>
      <c r="AB45" s="8">
        <v>0</v>
      </c>
      <c r="AC45" s="15">
        <v>27897801308643</v>
      </c>
      <c r="AD45" s="4" t="s">
        <v>992</v>
      </c>
    </row>
    <row r="46" spans="2:30" x14ac:dyDescent="0.35">
      <c r="B46" s="14">
        <v>113</v>
      </c>
      <c r="C46" s="4" t="s">
        <v>49</v>
      </c>
      <c r="D46" s="4" t="s">
        <v>2379</v>
      </c>
      <c r="E46" s="4" t="s">
        <v>2913</v>
      </c>
      <c r="F46" s="4" t="s">
        <v>19</v>
      </c>
      <c r="G46" s="4" t="s">
        <v>990</v>
      </c>
      <c r="H46" s="6">
        <v>2.6579999999999999</v>
      </c>
      <c r="I46" s="8">
        <v>3000</v>
      </c>
      <c r="J46" s="8">
        <v>100</v>
      </c>
      <c r="K46" s="8">
        <v>100</v>
      </c>
      <c r="L46" s="8">
        <f t="shared" si="0"/>
        <v>30000000</v>
      </c>
      <c r="M46" s="15">
        <v>7897801308656</v>
      </c>
      <c r="N46" s="6">
        <v>0.10199999999999999</v>
      </c>
      <c r="O46" s="6">
        <v>3</v>
      </c>
      <c r="P46" s="6">
        <v>0.10199999999999999</v>
      </c>
      <c r="Q46" s="6">
        <v>0.33500000000000002</v>
      </c>
      <c r="R46" s="6">
        <v>0.2</v>
      </c>
      <c r="S46" s="6">
        <v>3.0019999999999998</v>
      </c>
      <c r="T46" s="8">
        <v>5</v>
      </c>
      <c r="U46" s="5" t="s">
        <v>991</v>
      </c>
      <c r="V46" s="89">
        <v>0</v>
      </c>
      <c r="W46" s="15">
        <v>17897801308653</v>
      </c>
      <c r="X46" s="6" t="s">
        <v>20</v>
      </c>
      <c r="Y46" s="6" t="s">
        <v>20</v>
      </c>
      <c r="Z46" s="6" t="s">
        <v>20</v>
      </c>
      <c r="AA46" s="6"/>
      <c r="AB46" s="8">
        <v>0</v>
      </c>
      <c r="AC46" s="15">
        <v>27897801308650</v>
      </c>
      <c r="AD46" s="4" t="s">
        <v>992</v>
      </c>
    </row>
    <row r="47" spans="2:30" x14ac:dyDescent="0.35">
      <c r="B47" s="14">
        <v>114</v>
      </c>
      <c r="C47" s="4" t="s">
        <v>50</v>
      </c>
      <c r="D47" s="4" t="s">
        <v>2379</v>
      </c>
      <c r="E47" s="4" t="s">
        <v>2913</v>
      </c>
      <c r="F47" s="4" t="s">
        <v>19</v>
      </c>
      <c r="G47" s="4" t="s">
        <v>990</v>
      </c>
      <c r="H47" s="6">
        <v>5.82</v>
      </c>
      <c r="I47" s="8">
        <v>3000</v>
      </c>
      <c r="J47" s="8">
        <v>150</v>
      </c>
      <c r="K47" s="8">
        <v>150</v>
      </c>
      <c r="L47" s="8">
        <f t="shared" si="0"/>
        <v>67500000</v>
      </c>
      <c r="M47" s="15">
        <v>7897801308663</v>
      </c>
      <c r="N47" s="6">
        <v>0.15040000000000001</v>
      </c>
      <c r="O47" s="6">
        <v>3.0009999999999999</v>
      </c>
      <c r="P47" s="6">
        <v>0.15040000000000001</v>
      </c>
      <c r="Q47" s="6">
        <v>0.15040000000000001</v>
      </c>
      <c r="R47" s="6">
        <v>0.15040000000000001</v>
      </c>
      <c r="S47" s="6">
        <v>3.0009999999999999</v>
      </c>
      <c r="T47" s="8">
        <v>1</v>
      </c>
      <c r="U47" s="5" t="s">
        <v>991</v>
      </c>
      <c r="V47" s="89">
        <v>0</v>
      </c>
      <c r="W47" s="15">
        <v>17897801308660</v>
      </c>
      <c r="X47" s="6" t="s">
        <v>20</v>
      </c>
      <c r="Y47" s="6" t="s">
        <v>20</v>
      </c>
      <c r="Z47" s="6" t="s">
        <v>20</v>
      </c>
      <c r="AA47" s="6"/>
      <c r="AB47" s="8">
        <v>0</v>
      </c>
      <c r="AC47" s="15">
        <v>27897801308667</v>
      </c>
      <c r="AD47" s="4" t="s">
        <v>992</v>
      </c>
    </row>
    <row r="48" spans="2:30" x14ac:dyDescent="0.35">
      <c r="B48" s="14">
        <v>115</v>
      </c>
      <c r="C48" s="4" t="s">
        <v>51</v>
      </c>
      <c r="D48" s="4" t="s">
        <v>2379</v>
      </c>
      <c r="E48" s="4" t="s">
        <v>2913</v>
      </c>
      <c r="F48" s="4" t="s">
        <v>19</v>
      </c>
      <c r="G48" s="4" t="s">
        <v>990</v>
      </c>
      <c r="H48" s="6">
        <v>10.220000000000001</v>
      </c>
      <c r="I48" s="8">
        <v>3000</v>
      </c>
      <c r="J48" s="8">
        <v>200</v>
      </c>
      <c r="K48" s="8">
        <v>200</v>
      </c>
      <c r="L48" s="8">
        <f t="shared" si="0"/>
        <v>120000000</v>
      </c>
      <c r="M48" s="15">
        <v>7897801309042</v>
      </c>
      <c r="N48" s="6">
        <v>0.20039999999999999</v>
      </c>
      <c r="O48" s="6">
        <v>3</v>
      </c>
      <c r="P48" s="6">
        <v>0.20039999999999999</v>
      </c>
      <c r="Q48" s="6">
        <v>0.20039999999999999</v>
      </c>
      <c r="R48" s="6">
        <v>0.20039999999999999</v>
      </c>
      <c r="S48" s="6">
        <v>3</v>
      </c>
      <c r="T48" s="8">
        <v>1</v>
      </c>
      <c r="U48" s="5" t="s">
        <v>991</v>
      </c>
      <c r="V48" s="89">
        <v>0</v>
      </c>
      <c r="W48" s="15">
        <v>17897801309049</v>
      </c>
      <c r="X48" s="6" t="s">
        <v>20</v>
      </c>
      <c r="Y48" s="6" t="s">
        <v>20</v>
      </c>
      <c r="Z48" s="6" t="s">
        <v>20</v>
      </c>
      <c r="AA48" s="6"/>
      <c r="AB48" s="8">
        <v>0</v>
      </c>
      <c r="AC48" s="15">
        <v>27897801309046</v>
      </c>
      <c r="AD48" s="4" t="s">
        <v>992</v>
      </c>
    </row>
    <row r="49" spans="2:30" x14ac:dyDescent="0.35">
      <c r="B49" s="14">
        <v>116</v>
      </c>
      <c r="C49" s="4" t="s">
        <v>52</v>
      </c>
      <c r="D49" s="4" t="s">
        <v>2379</v>
      </c>
      <c r="E49" s="4" t="s">
        <v>2913</v>
      </c>
      <c r="F49" s="4" t="s">
        <v>19</v>
      </c>
      <c r="G49" s="4" t="s">
        <v>990</v>
      </c>
      <c r="H49" s="6">
        <v>10.39</v>
      </c>
      <c r="I49" s="8">
        <v>3000</v>
      </c>
      <c r="J49" s="8">
        <v>250</v>
      </c>
      <c r="K49" s="8">
        <v>250</v>
      </c>
      <c r="L49" s="8">
        <f t="shared" si="0"/>
        <v>187500000</v>
      </c>
      <c r="M49" s="15">
        <v>7897801309059</v>
      </c>
      <c r="N49" s="6">
        <v>0.25030000000000002</v>
      </c>
      <c r="O49" s="6">
        <v>3</v>
      </c>
      <c r="P49" s="6">
        <v>0.25030000000000002</v>
      </c>
      <c r="Q49" s="6">
        <v>0.25030000000000002</v>
      </c>
      <c r="R49" s="6">
        <v>0.25030000000000002</v>
      </c>
      <c r="S49" s="6">
        <v>3</v>
      </c>
      <c r="T49" s="8">
        <v>1</v>
      </c>
      <c r="U49" s="5" t="s">
        <v>991</v>
      </c>
      <c r="V49" s="89">
        <v>0</v>
      </c>
      <c r="W49" s="15">
        <v>17897801309056</v>
      </c>
      <c r="X49" s="6" t="s">
        <v>20</v>
      </c>
      <c r="Y49" s="6" t="s">
        <v>20</v>
      </c>
      <c r="Z49" s="6" t="s">
        <v>20</v>
      </c>
      <c r="AA49" s="6"/>
      <c r="AB49" s="8">
        <v>0</v>
      </c>
      <c r="AC49" s="15">
        <v>27897801309053</v>
      </c>
      <c r="AD49" s="4" t="s">
        <v>992</v>
      </c>
    </row>
    <row r="50" spans="2:30" x14ac:dyDescent="0.35">
      <c r="B50" s="14">
        <v>117</v>
      </c>
      <c r="C50" s="4" t="s">
        <v>53</v>
      </c>
      <c r="D50" s="4" t="s">
        <v>2383</v>
      </c>
      <c r="E50" s="4" t="s">
        <v>2911</v>
      </c>
      <c r="F50" s="4" t="s">
        <v>19</v>
      </c>
      <c r="G50" s="4" t="s">
        <v>990</v>
      </c>
      <c r="H50" s="6">
        <v>1.34</v>
      </c>
      <c r="I50" s="8">
        <v>6000</v>
      </c>
      <c r="J50" s="8">
        <v>20.8</v>
      </c>
      <c r="K50" s="8">
        <v>20.8</v>
      </c>
      <c r="L50" s="8">
        <f t="shared" si="0"/>
        <v>2595840</v>
      </c>
      <c r="M50" s="15">
        <v>7897801313254</v>
      </c>
      <c r="N50" s="6">
        <v>2.1299999999999999E-2</v>
      </c>
      <c r="O50" s="6">
        <v>6</v>
      </c>
      <c r="P50" s="6">
        <v>2.1299999999999999E-2</v>
      </c>
      <c r="Q50" s="6">
        <v>8.5000000000000006E-2</v>
      </c>
      <c r="R50" s="6">
        <v>0.06</v>
      </c>
      <c r="S50" s="6">
        <v>6</v>
      </c>
      <c r="T50" s="8">
        <v>10</v>
      </c>
      <c r="U50" s="5" t="s">
        <v>991</v>
      </c>
      <c r="V50" s="89">
        <v>0</v>
      </c>
      <c r="W50" s="15">
        <v>17897801313251</v>
      </c>
      <c r="X50" s="6" t="s">
        <v>20</v>
      </c>
      <c r="Y50" s="6" t="s">
        <v>20</v>
      </c>
      <c r="Z50" s="6" t="s">
        <v>20</v>
      </c>
      <c r="AA50" s="6"/>
      <c r="AB50" s="8">
        <v>0</v>
      </c>
      <c r="AC50" s="15">
        <v>27897801313258</v>
      </c>
      <c r="AD50" s="4" t="s">
        <v>992</v>
      </c>
    </row>
    <row r="51" spans="2:30" x14ac:dyDescent="0.35">
      <c r="B51" s="14">
        <v>118</v>
      </c>
      <c r="C51" s="4" t="s">
        <v>54</v>
      </c>
      <c r="D51" s="4" t="s">
        <v>2383</v>
      </c>
      <c r="E51" s="4" t="s">
        <v>2911</v>
      </c>
      <c r="F51" s="4" t="s">
        <v>19</v>
      </c>
      <c r="G51" s="4" t="s">
        <v>990</v>
      </c>
      <c r="H51" s="6">
        <v>1.86</v>
      </c>
      <c r="I51" s="8">
        <v>6000</v>
      </c>
      <c r="J51" s="8">
        <v>36</v>
      </c>
      <c r="K51" s="8">
        <v>36</v>
      </c>
      <c r="L51" s="8">
        <f t="shared" si="0"/>
        <v>7776000</v>
      </c>
      <c r="M51" s="15">
        <v>7897801313261</v>
      </c>
      <c r="N51" s="6">
        <v>2.7E-2</v>
      </c>
      <c r="O51" s="6">
        <v>6</v>
      </c>
      <c r="P51" s="6">
        <v>2.7E-2</v>
      </c>
      <c r="Q51" s="6">
        <v>0.105</v>
      </c>
      <c r="R51" s="6">
        <v>7.4999999999999997E-2</v>
      </c>
      <c r="S51" s="6">
        <v>6</v>
      </c>
      <c r="T51" s="8">
        <v>10</v>
      </c>
      <c r="U51" s="5" t="s">
        <v>991</v>
      </c>
      <c r="V51" s="89">
        <v>0</v>
      </c>
      <c r="W51" s="15">
        <v>17897801313268</v>
      </c>
      <c r="X51" s="6" t="s">
        <v>20</v>
      </c>
      <c r="Y51" s="6" t="s">
        <v>20</v>
      </c>
      <c r="Z51" s="6" t="s">
        <v>20</v>
      </c>
      <c r="AA51" s="6"/>
      <c r="AB51" s="8">
        <v>0</v>
      </c>
      <c r="AC51" s="15">
        <v>27897801313265</v>
      </c>
      <c r="AD51" s="4" t="s">
        <v>992</v>
      </c>
    </row>
    <row r="52" spans="2:30" x14ac:dyDescent="0.35">
      <c r="B52" s="14">
        <v>119</v>
      </c>
      <c r="C52" s="4" t="s">
        <v>55</v>
      </c>
      <c r="D52" s="4" t="s">
        <v>2383</v>
      </c>
      <c r="E52" s="4" t="s">
        <v>2911</v>
      </c>
      <c r="F52" s="4" t="s">
        <v>19</v>
      </c>
      <c r="G52" s="4" t="s">
        <v>990</v>
      </c>
      <c r="H52" s="6">
        <v>2.92</v>
      </c>
      <c r="I52" s="8">
        <v>6000</v>
      </c>
      <c r="J52" s="8">
        <v>32.799999999999997</v>
      </c>
      <c r="K52" s="8">
        <v>32.799999999999997</v>
      </c>
      <c r="L52" s="8">
        <f t="shared" si="0"/>
        <v>6455039.9999999981</v>
      </c>
      <c r="M52" s="15">
        <v>7897801313278</v>
      </c>
      <c r="N52" s="6">
        <v>3.3799999999999997E-2</v>
      </c>
      <c r="O52" s="6">
        <v>6</v>
      </c>
      <c r="P52" s="6">
        <v>3.3799999999999997E-2</v>
      </c>
      <c r="Q52" s="6">
        <v>0.1</v>
      </c>
      <c r="R52" s="6">
        <v>6.5000000000000002E-2</v>
      </c>
      <c r="S52" s="6">
        <v>6</v>
      </c>
      <c r="T52" s="8">
        <v>5</v>
      </c>
      <c r="U52" s="5" t="s">
        <v>991</v>
      </c>
      <c r="V52" s="89">
        <v>0</v>
      </c>
      <c r="W52" s="15">
        <v>17897801313275</v>
      </c>
      <c r="X52" s="6" t="s">
        <v>20</v>
      </c>
      <c r="Y52" s="6" t="s">
        <v>20</v>
      </c>
      <c r="Z52" s="6" t="s">
        <v>20</v>
      </c>
      <c r="AA52" s="6"/>
      <c r="AB52" s="8">
        <v>0</v>
      </c>
      <c r="AC52" s="15">
        <v>27897801313272</v>
      </c>
      <c r="AD52" s="4" t="s">
        <v>992</v>
      </c>
    </row>
    <row r="53" spans="2:30" x14ac:dyDescent="0.35">
      <c r="B53" s="14">
        <v>120</v>
      </c>
      <c r="C53" s="4" t="s">
        <v>56</v>
      </c>
      <c r="D53" s="4" t="s">
        <v>2383</v>
      </c>
      <c r="E53" s="4" t="s">
        <v>2911</v>
      </c>
      <c r="F53" s="4" t="s">
        <v>19</v>
      </c>
      <c r="G53" s="4" t="s">
        <v>990</v>
      </c>
      <c r="H53" s="6">
        <v>3.98</v>
      </c>
      <c r="I53" s="8">
        <v>6000</v>
      </c>
      <c r="J53" s="8">
        <v>41.8</v>
      </c>
      <c r="K53" s="8">
        <v>41.8</v>
      </c>
      <c r="L53" s="8">
        <f t="shared" si="0"/>
        <v>10483439.999999998</v>
      </c>
      <c r="M53" s="15">
        <v>7897801313285</v>
      </c>
      <c r="N53" s="6">
        <v>4.2500000000000003E-2</v>
      </c>
      <c r="O53" s="6">
        <v>6</v>
      </c>
      <c r="P53" s="6">
        <v>4.2500000000000003E-2</v>
      </c>
      <c r="Q53" s="6">
        <v>0.129</v>
      </c>
      <c r="R53" s="6">
        <v>0.08</v>
      </c>
      <c r="S53" s="6">
        <v>6</v>
      </c>
      <c r="T53" s="8">
        <v>5</v>
      </c>
      <c r="U53" s="5" t="s">
        <v>991</v>
      </c>
      <c r="V53" s="89">
        <v>0</v>
      </c>
      <c r="W53" s="15">
        <v>17897801313282</v>
      </c>
      <c r="X53" s="6" t="s">
        <v>20</v>
      </c>
      <c r="Y53" s="6" t="s">
        <v>20</v>
      </c>
      <c r="Z53" s="6" t="s">
        <v>20</v>
      </c>
      <c r="AA53" s="6"/>
      <c r="AB53" s="8">
        <v>0</v>
      </c>
      <c r="AC53" s="15">
        <v>27897801313289</v>
      </c>
      <c r="AD53" s="4" t="s">
        <v>992</v>
      </c>
    </row>
    <row r="54" spans="2:30" x14ac:dyDescent="0.35">
      <c r="B54" s="14">
        <v>121</v>
      </c>
      <c r="C54" s="4" t="s">
        <v>57</v>
      </c>
      <c r="D54" s="4" t="s">
        <v>2383</v>
      </c>
      <c r="E54" s="4" t="s">
        <v>2911</v>
      </c>
      <c r="F54" s="4" t="s">
        <v>19</v>
      </c>
      <c r="G54" s="4" t="s">
        <v>990</v>
      </c>
      <c r="H54" s="6">
        <v>5.22</v>
      </c>
      <c r="I54" s="8">
        <v>6000</v>
      </c>
      <c r="J54" s="8">
        <v>47.5</v>
      </c>
      <c r="K54" s="8">
        <v>47.5</v>
      </c>
      <c r="L54" s="8">
        <f t="shared" si="0"/>
        <v>13537500</v>
      </c>
      <c r="M54" s="15">
        <v>7897801313292</v>
      </c>
      <c r="N54" s="6">
        <v>4.8500000000000001E-2</v>
      </c>
      <c r="O54" s="6">
        <v>6</v>
      </c>
      <c r="P54" s="6">
        <v>4.8500000000000001E-2</v>
      </c>
      <c r="Q54" s="6">
        <v>0.1</v>
      </c>
      <c r="R54" s="6">
        <v>9.5000000000000001E-2</v>
      </c>
      <c r="S54" s="6">
        <v>6</v>
      </c>
      <c r="T54" s="8">
        <v>5</v>
      </c>
      <c r="U54" s="5" t="s">
        <v>991</v>
      </c>
      <c r="V54" s="89">
        <v>0</v>
      </c>
      <c r="W54" s="15">
        <v>17897801313299</v>
      </c>
      <c r="X54" s="6" t="s">
        <v>20</v>
      </c>
      <c r="Y54" s="6" t="s">
        <v>20</v>
      </c>
      <c r="Z54" s="6" t="s">
        <v>20</v>
      </c>
      <c r="AA54" s="6"/>
      <c r="AB54" s="8">
        <v>0</v>
      </c>
      <c r="AC54" s="15">
        <v>27897801313296</v>
      </c>
      <c r="AD54" s="4" t="s">
        <v>992</v>
      </c>
    </row>
    <row r="55" spans="2:30" x14ac:dyDescent="0.35">
      <c r="B55" s="14">
        <v>122</v>
      </c>
      <c r="C55" s="4" t="s">
        <v>58</v>
      </c>
      <c r="D55" s="4" t="s">
        <v>2383</v>
      </c>
      <c r="E55" s="4" t="s">
        <v>2911</v>
      </c>
      <c r="F55" s="4" t="s">
        <v>19</v>
      </c>
      <c r="G55" s="4" t="s">
        <v>990</v>
      </c>
      <c r="H55" s="6">
        <v>6.12</v>
      </c>
      <c r="I55" s="8">
        <v>6000</v>
      </c>
      <c r="J55" s="8">
        <v>55</v>
      </c>
      <c r="K55" s="8">
        <v>55</v>
      </c>
      <c r="L55" s="8">
        <f t="shared" si="0"/>
        <v>18150000</v>
      </c>
      <c r="M55" s="15">
        <v>7897801313308</v>
      </c>
      <c r="N55" s="6">
        <v>6.0299999999999999E-2</v>
      </c>
      <c r="O55" s="6">
        <v>6</v>
      </c>
      <c r="P55" s="6">
        <v>6.0299999999999999E-2</v>
      </c>
      <c r="Q55" s="6">
        <v>0.12</v>
      </c>
      <c r="R55" s="6">
        <v>0.11</v>
      </c>
      <c r="S55" s="6">
        <v>6</v>
      </c>
      <c r="T55" s="8">
        <v>3</v>
      </c>
      <c r="U55" s="5" t="s">
        <v>991</v>
      </c>
      <c r="V55" s="89">
        <v>0</v>
      </c>
      <c r="W55" s="15">
        <v>17897801313305</v>
      </c>
      <c r="X55" s="6" t="s">
        <v>20</v>
      </c>
      <c r="Y55" s="6" t="s">
        <v>20</v>
      </c>
      <c r="Z55" s="6" t="s">
        <v>20</v>
      </c>
      <c r="AA55" s="6"/>
      <c r="AB55" s="8">
        <v>0</v>
      </c>
      <c r="AC55" s="15">
        <v>27897801313302</v>
      </c>
      <c r="AD55" s="4" t="s">
        <v>992</v>
      </c>
    </row>
    <row r="56" spans="2:30" x14ac:dyDescent="0.35">
      <c r="B56" s="14">
        <v>135</v>
      </c>
      <c r="C56" s="4" t="s">
        <v>59</v>
      </c>
      <c r="D56" s="4" t="s">
        <v>2379</v>
      </c>
      <c r="E56" s="4" t="s">
        <v>2913</v>
      </c>
      <c r="F56" s="4" t="s">
        <v>19</v>
      </c>
      <c r="G56" s="4" t="s">
        <v>990</v>
      </c>
      <c r="H56" s="6">
        <v>2.4</v>
      </c>
      <c r="I56" s="8">
        <v>6000</v>
      </c>
      <c r="J56" s="8">
        <v>40</v>
      </c>
      <c r="K56" s="8">
        <v>40</v>
      </c>
      <c r="L56" s="8">
        <f t="shared" si="0"/>
        <v>9600000</v>
      </c>
      <c r="M56" s="15">
        <v>7897801313759</v>
      </c>
      <c r="N56" s="6">
        <v>4.02E-2</v>
      </c>
      <c r="O56" s="6">
        <v>6</v>
      </c>
      <c r="P56" s="6">
        <v>4.02E-2</v>
      </c>
      <c r="Q56" s="6">
        <v>0.13</v>
      </c>
      <c r="R56" s="6">
        <v>0.09</v>
      </c>
      <c r="S56" s="6">
        <v>6</v>
      </c>
      <c r="T56" s="8">
        <v>5</v>
      </c>
      <c r="U56" s="5" t="s">
        <v>991</v>
      </c>
      <c r="V56" s="89">
        <v>0</v>
      </c>
      <c r="W56" s="15">
        <v>17897801313756</v>
      </c>
      <c r="X56" s="6" t="s">
        <v>20</v>
      </c>
      <c r="Y56" s="6" t="s">
        <v>20</v>
      </c>
      <c r="Z56" s="6" t="s">
        <v>20</v>
      </c>
      <c r="AA56" s="6"/>
      <c r="AB56" s="8">
        <v>0</v>
      </c>
      <c r="AC56" s="15">
        <v>27897801313753</v>
      </c>
      <c r="AD56" s="4" t="s">
        <v>992</v>
      </c>
    </row>
    <row r="57" spans="2:30" x14ac:dyDescent="0.35">
      <c r="B57" s="14">
        <v>136</v>
      </c>
      <c r="C57" s="4" t="s">
        <v>60</v>
      </c>
      <c r="D57" s="4" t="s">
        <v>2379</v>
      </c>
      <c r="E57" s="4" t="s">
        <v>2913</v>
      </c>
      <c r="F57" s="4" t="s">
        <v>19</v>
      </c>
      <c r="G57" s="4" t="s">
        <v>990</v>
      </c>
      <c r="H57" s="6">
        <v>2.66</v>
      </c>
      <c r="I57" s="8">
        <v>6000</v>
      </c>
      <c r="J57" s="8">
        <v>54</v>
      </c>
      <c r="K57" s="8">
        <v>54</v>
      </c>
      <c r="L57" s="8">
        <f t="shared" si="0"/>
        <v>17496000</v>
      </c>
      <c r="M57" s="15">
        <v>7897801313766</v>
      </c>
      <c r="N57" s="6">
        <v>5.0900000000000001E-2</v>
      </c>
      <c r="O57" s="6">
        <v>6</v>
      </c>
      <c r="P57" s="6">
        <v>5.0900000000000001E-2</v>
      </c>
      <c r="Q57" s="6">
        <v>0.19</v>
      </c>
      <c r="R57" s="6">
        <v>0.12</v>
      </c>
      <c r="S57" s="6">
        <v>6.0019999999999998</v>
      </c>
      <c r="T57" s="8">
        <v>5</v>
      </c>
      <c r="U57" s="5" t="s">
        <v>991</v>
      </c>
      <c r="V57" s="89">
        <v>0</v>
      </c>
      <c r="W57" s="15">
        <v>17897801313763</v>
      </c>
      <c r="X57" s="6" t="s">
        <v>20</v>
      </c>
      <c r="Y57" s="6" t="s">
        <v>20</v>
      </c>
      <c r="Z57" s="6" t="s">
        <v>20</v>
      </c>
      <c r="AA57" s="6"/>
      <c r="AB57" s="8">
        <v>0</v>
      </c>
      <c r="AC57" s="15">
        <v>27897801313760</v>
      </c>
      <c r="AD57" s="4" t="s">
        <v>992</v>
      </c>
    </row>
    <row r="58" spans="2:30" x14ac:dyDescent="0.35">
      <c r="B58" s="14">
        <v>137</v>
      </c>
      <c r="C58" s="4" t="s">
        <v>61</v>
      </c>
      <c r="D58" s="4" t="s">
        <v>2379</v>
      </c>
      <c r="E58" s="4" t="s">
        <v>2913</v>
      </c>
      <c r="F58" s="4" t="s">
        <v>19</v>
      </c>
      <c r="G58" s="4" t="s">
        <v>990</v>
      </c>
      <c r="H58" s="6">
        <v>4.5</v>
      </c>
      <c r="I58" s="8">
        <v>6000</v>
      </c>
      <c r="J58" s="8">
        <v>88</v>
      </c>
      <c r="K58" s="8">
        <v>88</v>
      </c>
      <c r="L58" s="8">
        <f t="shared" si="0"/>
        <v>46464000</v>
      </c>
      <c r="M58" s="15">
        <v>7897801313773</v>
      </c>
      <c r="N58" s="6">
        <v>7.5899999999999995E-2</v>
      </c>
      <c r="O58" s="6">
        <v>6</v>
      </c>
      <c r="P58" s="6">
        <v>7.5899999999999995E-2</v>
      </c>
      <c r="Q58" s="6">
        <v>0.255</v>
      </c>
      <c r="R58" s="6">
        <v>0.16500000000000001</v>
      </c>
      <c r="S58" s="6">
        <v>6.0019999999999998</v>
      </c>
      <c r="T58" s="8">
        <v>5</v>
      </c>
      <c r="U58" s="5" t="s">
        <v>991</v>
      </c>
      <c r="V58" s="89">
        <v>0</v>
      </c>
      <c r="W58" s="15">
        <v>17897801313770</v>
      </c>
      <c r="X58" s="6" t="s">
        <v>20</v>
      </c>
      <c r="Y58" s="6" t="s">
        <v>20</v>
      </c>
      <c r="Z58" s="6" t="s">
        <v>20</v>
      </c>
      <c r="AA58" s="6"/>
      <c r="AB58" s="8">
        <v>0</v>
      </c>
      <c r="AC58" s="15">
        <v>27897801313777</v>
      </c>
      <c r="AD58" s="4" t="s">
        <v>992</v>
      </c>
    </row>
    <row r="59" spans="2:30" x14ac:dyDescent="0.35">
      <c r="B59" s="14">
        <v>138</v>
      </c>
      <c r="C59" s="4" t="s">
        <v>62</v>
      </c>
      <c r="D59" s="4" t="s">
        <v>2379</v>
      </c>
      <c r="E59" s="4" t="s">
        <v>2913</v>
      </c>
      <c r="F59" s="4" t="s">
        <v>19</v>
      </c>
      <c r="G59" s="4" t="s">
        <v>990</v>
      </c>
      <c r="H59" s="6">
        <v>7.45</v>
      </c>
      <c r="I59" s="8">
        <v>6000</v>
      </c>
      <c r="J59" s="8">
        <v>101.6</v>
      </c>
      <c r="K59" s="8">
        <v>101.6</v>
      </c>
      <c r="L59" s="8">
        <f t="shared" si="0"/>
        <v>61935360</v>
      </c>
      <c r="M59" s="15">
        <v>7897801313742</v>
      </c>
      <c r="N59" s="6">
        <v>0.10199999999999999</v>
      </c>
      <c r="O59" s="6">
        <v>6</v>
      </c>
      <c r="P59" s="6">
        <v>0.10199999999999999</v>
      </c>
      <c r="Q59" s="6">
        <v>0.23</v>
      </c>
      <c r="R59" s="6">
        <v>0.22</v>
      </c>
      <c r="S59" s="6">
        <v>6.0049999999999999</v>
      </c>
      <c r="T59" s="8">
        <v>3</v>
      </c>
      <c r="U59" s="5" t="s">
        <v>991</v>
      </c>
      <c r="V59" s="89">
        <v>0</v>
      </c>
      <c r="W59" s="15">
        <v>17897801313749</v>
      </c>
      <c r="X59" s="6" t="s">
        <v>20</v>
      </c>
      <c r="Y59" s="6" t="s">
        <v>20</v>
      </c>
      <c r="Z59" s="6" t="s">
        <v>20</v>
      </c>
      <c r="AA59" s="6"/>
      <c r="AB59" s="8">
        <v>0</v>
      </c>
      <c r="AC59" s="15">
        <v>27897801313746</v>
      </c>
      <c r="AD59" s="4" t="s">
        <v>992</v>
      </c>
    </row>
    <row r="60" spans="2:30" x14ac:dyDescent="0.35">
      <c r="B60" s="14">
        <v>139</v>
      </c>
      <c r="C60" s="4" t="s">
        <v>63</v>
      </c>
      <c r="D60" s="4" t="s">
        <v>2379</v>
      </c>
      <c r="E60" s="4" t="s">
        <v>2913</v>
      </c>
      <c r="F60" s="4" t="s">
        <v>19</v>
      </c>
      <c r="G60" s="4" t="s">
        <v>990</v>
      </c>
      <c r="H60" s="6">
        <v>15.6</v>
      </c>
      <c r="I60" s="8">
        <v>6000</v>
      </c>
      <c r="J60" s="8">
        <v>151</v>
      </c>
      <c r="K60" s="8">
        <v>151</v>
      </c>
      <c r="L60" s="8">
        <f t="shared" si="0"/>
        <v>136806000</v>
      </c>
      <c r="M60" s="15">
        <v>7897801313780</v>
      </c>
      <c r="N60" s="6">
        <v>0.15040000000000001</v>
      </c>
      <c r="O60" s="6">
        <v>6</v>
      </c>
      <c r="P60" s="6">
        <v>0.15040000000000001</v>
      </c>
      <c r="Q60" s="6">
        <v>0.15040000000000001</v>
      </c>
      <c r="R60" s="6">
        <v>0.15040000000000001</v>
      </c>
      <c r="S60" s="6">
        <v>6</v>
      </c>
      <c r="T60" s="8">
        <v>1</v>
      </c>
      <c r="U60" s="5" t="s">
        <v>991</v>
      </c>
      <c r="V60" s="89">
        <v>0</v>
      </c>
      <c r="W60" s="15">
        <v>17897801313787</v>
      </c>
      <c r="X60" s="6" t="s">
        <v>20</v>
      </c>
      <c r="Y60" s="6" t="s">
        <v>20</v>
      </c>
      <c r="Z60" s="6" t="s">
        <v>20</v>
      </c>
      <c r="AA60" s="6"/>
      <c r="AB60" s="8">
        <v>0</v>
      </c>
      <c r="AC60" s="15">
        <v>27897801313784</v>
      </c>
      <c r="AD60" s="4" t="s">
        <v>992</v>
      </c>
    </row>
    <row r="61" spans="2:30" x14ac:dyDescent="0.35">
      <c r="B61" s="14">
        <v>147</v>
      </c>
      <c r="C61" s="4" t="s">
        <v>64</v>
      </c>
      <c r="D61" s="4" t="s">
        <v>2391</v>
      </c>
      <c r="E61" s="4" t="s">
        <v>2912</v>
      </c>
      <c r="F61" s="4" t="s">
        <v>19</v>
      </c>
      <c r="G61" s="4" t="s">
        <v>990</v>
      </c>
      <c r="H61" s="6">
        <v>0.441</v>
      </c>
      <c r="I61" s="8">
        <v>3000</v>
      </c>
      <c r="J61" s="8">
        <v>20.3</v>
      </c>
      <c r="K61" s="8">
        <v>20.3</v>
      </c>
      <c r="L61" s="8">
        <f t="shared" si="0"/>
        <v>1236270</v>
      </c>
      <c r="M61" s="15">
        <v>7897801314114</v>
      </c>
      <c r="N61" s="6">
        <v>2.0299999999999999E-2</v>
      </c>
      <c r="O61" s="6">
        <v>3</v>
      </c>
      <c r="P61" s="6">
        <v>2.0299999999999999E-2</v>
      </c>
      <c r="Q61" s="6">
        <v>0.22</v>
      </c>
      <c r="R61" s="6">
        <v>0.11</v>
      </c>
      <c r="S61" s="6">
        <v>3.0030000000000001</v>
      </c>
      <c r="T61" s="8">
        <v>30</v>
      </c>
      <c r="U61" s="5" t="s">
        <v>2945</v>
      </c>
      <c r="V61" s="89">
        <v>0</v>
      </c>
      <c r="W61" s="15">
        <v>17897801314111</v>
      </c>
      <c r="X61" s="6" t="s">
        <v>20</v>
      </c>
      <c r="Y61" s="6" t="s">
        <v>20</v>
      </c>
      <c r="Z61" s="6" t="s">
        <v>20</v>
      </c>
      <c r="AA61" s="6"/>
      <c r="AB61" s="8">
        <v>0</v>
      </c>
      <c r="AC61" s="15">
        <v>27897801314118</v>
      </c>
      <c r="AD61" s="4" t="s">
        <v>992</v>
      </c>
    </row>
    <row r="62" spans="2:30" x14ac:dyDescent="0.35">
      <c r="B62" s="14">
        <v>148</v>
      </c>
      <c r="C62" s="4" t="s">
        <v>65</v>
      </c>
      <c r="D62" s="4" t="s">
        <v>2391</v>
      </c>
      <c r="E62" s="4" t="s">
        <v>2912</v>
      </c>
      <c r="F62" s="4" t="s">
        <v>19</v>
      </c>
      <c r="G62" s="4" t="s">
        <v>990</v>
      </c>
      <c r="H62" s="6">
        <v>0.68700000000000006</v>
      </c>
      <c r="I62" s="8">
        <v>3000</v>
      </c>
      <c r="J62" s="8">
        <v>25.3</v>
      </c>
      <c r="K62" s="8">
        <v>25.3</v>
      </c>
      <c r="L62" s="8">
        <f t="shared" si="0"/>
        <v>1920270</v>
      </c>
      <c r="M62" s="15">
        <v>7897801314121</v>
      </c>
      <c r="N62" s="6">
        <v>2.53E-2</v>
      </c>
      <c r="O62" s="6">
        <v>3</v>
      </c>
      <c r="P62" s="6">
        <v>2.53E-2</v>
      </c>
      <c r="Q62" s="6">
        <v>0.22</v>
      </c>
      <c r="R62" s="6">
        <v>0.11</v>
      </c>
      <c r="S62" s="6">
        <v>3.0030000000000001</v>
      </c>
      <c r="T62" s="8">
        <v>25</v>
      </c>
      <c r="U62" s="5" t="s">
        <v>2945</v>
      </c>
      <c r="V62" s="89">
        <v>0</v>
      </c>
      <c r="W62" s="15">
        <v>17897801314128</v>
      </c>
      <c r="X62" s="6" t="s">
        <v>20</v>
      </c>
      <c r="Y62" s="6" t="s">
        <v>20</v>
      </c>
      <c r="Z62" s="6" t="s">
        <v>20</v>
      </c>
      <c r="AA62" s="6"/>
      <c r="AB62" s="8">
        <v>0</v>
      </c>
      <c r="AC62" s="15">
        <v>27897801314125</v>
      </c>
      <c r="AD62" s="4" t="s">
        <v>992</v>
      </c>
    </row>
    <row r="63" spans="2:30" x14ac:dyDescent="0.35">
      <c r="B63" s="14">
        <v>149</v>
      </c>
      <c r="C63" s="4" t="s">
        <v>66</v>
      </c>
      <c r="D63" s="4" t="s">
        <v>2391</v>
      </c>
      <c r="E63" s="4" t="s">
        <v>2912</v>
      </c>
      <c r="F63" s="4" t="s">
        <v>19</v>
      </c>
      <c r="G63" s="4" t="s">
        <v>990</v>
      </c>
      <c r="H63" s="6">
        <v>1.101</v>
      </c>
      <c r="I63" s="8">
        <v>3000</v>
      </c>
      <c r="J63" s="8">
        <v>32.299999999999997</v>
      </c>
      <c r="K63" s="8">
        <v>32.299999999999997</v>
      </c>
      <c r="L63" s="8">
        <f t="shared" si="0"/>
        <v>3129869.9999999991</v>
      </c>
      <c r="M63" s="15">
        <v>7897801314138</v>
      </c>
      <c r="N63" s="6">
        <v>3.2300000000000002E-2</v>
      </c>
      <c r="O63" s="6">
        <v>3</v>
      </c>
      <c r="P63" s="6">
        <v>3.2300000000000002E-2</v>
      </c>
      <c r="Q63" s="6">
        <v>0.23499999999999999</v>
      </c>
      <c r="R63" s="6">
        <v>0.1</v>
      </c>
      <c r="S63" s="6">
        <v>3.0030000000000001</v>
      </c>
      <c r="T63" s="8">
        <v>15</v>
      </c>
      <c r="U63" s="5" t="s">
        <v>2945</v>
      </c>
      <c r="V63" s="89">
        <v>0</v>
      </c>
      <c r="W63" s="15">
        <v>17897801314135</v>
      </c>
      <c r="X63" s="6" t="s">
        <v>20</v>
      </c>
      <c r="Y63" s="6" t="s">
        <v>20</v>
      </c>
      <c r="Z63" s="6" t="s">
        <v>20</v>
      </c>
      <c r="AA63" s="6"/>
      <c r="AB63" s="8">
        <v>0</v>
      </c>
      <c r="AC63" s="15">
        <v>27897801314132</v>
      </c>
      <c r="AD63" s="4" t="s">
        <v>992</v>
      </c>
    </row>
    <row r="64" spans="2:30" x14ac:dyDescent="0.35">
      <c r="B64" s="14">
        <v>150</v>
      </c>
      <c r="C64" s="4" t="s">
        <v>67</v>
      </c>
      <c r="D64" s="4" t="s">
        <v>2391</v>
      </c>
      <c r="E64" s="4" t="s">
        <v>2912</v>
      </c>
      <c r="F64" s="4" t="s">
        <v>19</v>
      </c>
      <c r="G64" s="4" t="s">
        <v>990</v>
      </c>
      <c r="H64" s="6">
        <v>1.7070000000000001</v>
      </c>
      <c r="I64" s="8">
        <v>3000</v>
      </c>
      <c r="J64" s="8">
        <v>40.4</v>
      </c>
      <c r="K64" s="8">
        <v>40.4</v>
      </c>
      <c r="L64" s="8">
        <f t="shared" si="0"/>
        <v>4896480</v>
      </c>
      <c r="M64" s="15">
        <v>7897801314145</v>
      </c>
      <c r="N64" s="6">
        <v>4.0399999999999998E-2</v>
      </c>
      <c r="O64" s="6">
        <v>3</v>
      </c>
      <c r="P64" s="6">
        <v>4.0399999999999998E-2</v>
      </c>
      <c r="Q64" s="6">
        <v>0.23</v>
      </c>
      <c r="R64" s="6">
        <v>0.11</v>
      </c>
      <c r="S64" s="6">
        <v>3.0030000000000001</v>
      </c>
      <c r="T64" s="8">
        <v>10</v>
      </c>
      <c r="U64" s="5" t="s">
        <v>2945</v>
      </c>
      <c r="V64" s="89">
        <v>0</v>
      </c>
      <c r="W64" s="15">
        <v>17897801314142</v>
      </c>
      <c r="X64" s="6" t="s">
        <v>20</v>
      </c>
      <c r="Y64" s="6" t="s">
        <v>20</v>
      </c>
      <c r="Z64" s="6" t="s">
        <v>20</v>
      </c>
      <c r="AA64" s="6"/>
      <c r="AB64" s="8">
        <v>0</v>
      </c>
      <c r="AC64" s="15">
        <v>27897801314149</v>
      </c>
      <c r="AD64" s="4" t="s">
        <v>992</v>
      </c>
    </row>
    <row r="65" spans="2:30" x14ac:dyDescent="0.35">
      <c r="B65" s="14">
        <v>151</v>
      </c>
      <c r="C65" s="4" t="s">
        <v>68</v>
      </c>
      <c r="D65" s="4" t="s">
        <v>2391</v>
      </c>
      <c r="E65" s="4" t="s">
        <v>2912</v>
      </c>
      <c r="F65" s="4" t="s">
        <v>19</v>
      </c>
      <c r="G65" s="4" t="s">
        <v>990</v>
      </c>
      <c r="H65" s="6">
        <v>2.67</v>
      </c>
      <c r="I65" s="8">
        <v>3000</v>
      </c>
      <c r="J65" s="8">
        <v>50.5</v>
      </c>
      <c r="K65" s="8">
        <v>50.5</v>
      </c>
      <c r="L65" s="8">
        <f t="shared" si="0"/>
        <v>7650750</v>
      </c>
      <c r="M65" s="15">
        <v>7897801314152</v>
      </c>
      <c r="N65" s="6">
        <v>5.0500000000000003E-2</v>
      </c>
      <c r="O65" s="6">
        <v>3</v>
      </c>
      <c r="P65" s="6">
        <v>5.0500000000000003E-2</v>
      </c>
      <c r="Q65" s="6">
        <v>0.21</v>
      </c>
      <c r="R65" s="6">
        <v>0.09</v>
      </c>
      <c r="S65" s="6">
        <v>3.0030000000000001</v>
      </c>
      <c r="T65" s="8">
        <v>5</v>
      </c>
      <c r="U65" s="5" t="s">
        <v>2945</v>
      </c>
      <c r="V65" s="89">
        <v>0</v>
      </c>
      <c r="W65" s="15">
        <v>17897801314159</v>
      </c>
      <c r="X65" s="6" t="s">
        <v>20</v>
      </c>
      <c r="Y65" s="6" t="s">
        <v>20</v>
      </c>
      <c r="Z65" s="6" t="s">
        <v>20</v>
      </c>
      <c r="AA65" s="6"/>
      <c r="AB65" s="8">
        <v>0</v>
      </c>
      <c r="AC65" s="15">
        <v>27897801314156</v>
      </c>
      <c r="AD65" s="4" t="s">
        <v>992</v>
      </c>
    </row>
    <row r="66" spans="2:30" x14ac:dyDescent="0.35">
      <c r="B66" s="14">
        <v>152</v>
      </c>
      <c r="C66" s="4" t="s">
        <v>69</v>
      </c>
      <c r="D66" s="4" t="s">
        <v>2391</v>
      </c>
      <c r="E66" s="4" t="s">
        <v>2912</v>
      </c>
      <c r="F66" s="4" t="s">
        <v>19</v>
      </c>
      <c r="G66" s="4" t="s">
        <v>990</v>
      </c>
      <c r="H66" s="6">
        <v>4.173</v>
      </c>
      <c r="I66" s="8">
        <v>3000</v>
      </c>
      <c r="J66" s="8">
        <v>63.6</v>
      </c>
      <c r="K66" s="8">
        <v>63.6</v>
      </c>
      <c r="L66" s="8">
        <f t="shared" si="0"/>
        <v>12134880</v>
      </c>
      <c r="M66" s="15">
        <v>7897801314169</v>
      </c>
      <c r="N66" s="6">
        <v>6.3600000000000004E-2</v>
      </c>
      <c r="O66" s="6">
        <v>3</v>
      </c>
      <c r="P66" s="6">
        <v>6.3600000000000004E-2</v>
      </c>
      <c r="Q66" s="6">
        <v>0.21</v>
      </c>
      <c r="R66" s="6">
        <v>0.12</v>
      </c>
      <c r="S66" s="6">
        <v>3.0030000000000001</v>
      </c>
      <c r="T66" s="8">
        <v>4</v>
      </c>
      <c r="U66" s="5" t="s">
        <v>2945</v>
      </c>
      <c r="V66" s="89">
        <v>0</v>
      </c>
      <c r="W66" s="15">
        <v>17897801314166</v>
      </c>
      <c r="X66" s="6" t="s">
        <v>20</v>
      </c>
      <c r="Y66" s="6" t="s">
        <v>20</v>
      </c>
      <c r="Z66" s="6" t="s">
        <v>20</v>
      </c>
      <c r="AA66" s="6"/>
      <c r="AB66" s="8">
        <v>0</v>
      </c>
      <c r="AC66" s="15">
        <v>27897801314163</v>
      </c>
      <c r="AD66" s="4" t="s">
        <v>992</v>
      </c>
    </row>
    <row r="67" spans="2:30" x14ac:dyDescent="0.35">
      <c r="B67" s="14">
        <v>153</v>
      </c>
      <c r="C67" s="4" t="s">
        <v>70</v>
      </c>
      <c r="D67" s="4" t="s">
        <v>2391</v>
      </c>
      <c r="E67" s="4" t="s">
        <v>2912</v>
      </c>
      <c r="F67" s="4" t="s">
        <v>19</v>
      </c>
      <c r="G67" s="4" t="s">
        <v>990</v>
      </c>
      <c r="H67" s="6">
        <v>5.88</v>
      </c>
      <c r="I67" s="8">
        <v>3000</v>
      </c>
      <c r="J67" s="8">
        <v>75.7</v>
      </c>
      <c r="K67" s="8">
        <v>75.7</v>
      </c>
      <c r="L67" s="8">
        <f t="shared" si="0"/>
        <v>17191470</v>
      </c>
      <c r="M67" s="15">
        <v>7897801314176</v>
      </c>
      <c r="N67" s="6">
        <v>7.5700000000000003E-2</v>
      </c>
      <c r="O67" s="6">
        <v>3</v>
      </c>
      <c r="P67" s="6">
        <v>7.5700000000000003E-2</v>
      </c>
      <c r="Q67" s="6">
        <v>0.23</v>
      </c>
      <c r="R67" s="6">
        <v>0.08</v>
      </c>
      <c r="S67" s="6">
        <v>3.0030000000000001</v>
      </c>
      <c r="T67" s="8">
        <v>3</v>
      </c>
      <c r="U67" s="5" t="s">
        <v>2945</v>
      </c>
      <c r="V67" s="89">
        <v>0</v>
      </c>
      <c r="W67" s="15">
        <v>17897801314173</v>
      </c>
      <c r="X67" s="6" t="s">
        <v>20</v>
      </c>
      <c r="Y67" s="6" t="s">
        <v>20</v>
      </c>
      <c r="Z67" s="6" t="s">
        <v>20</v>
      </c>
      <c r="AA67" s="6"/>
      <c r="AB67" s="8">
        <v>0</v>
      </c>
      <c r="AC67" s="15">
        <v>27897801314170</v>
      </c>
      <c r="AD67" s="4" t="s">
        <v>992</v>
      </c>
    </row>
    <row r="68" spans="2:30" x14ac:dyDescent="0.35">
      <c r="B68" s="14">
        <v>154</v>
      </c>
      <c r="C68" s="4" t="s">
        <v>71</v>
      </c>
      <c r="D68" s="4" t="s">
        <v>2391</v>
      </c>
      <c r="E68" s="4" t="s">
        <v>2912</v>
      </c>
      <c r="F68" s="4" t="s">
        <v>19</v>
      </c>
      <c r="G68" s="4" t="s">
        <v>990</v>
      </c>
      <c r="H68" s="6">
        <v>8.49</v>
      </c>
      <c r="I68" s="8">
        <v>3000</v>
      </c>
      <c r="J68" s="8">
        <v>90.9</v>
      </c>
      <c r="K68" s="8">
        <v>90.9</v>
      </c>
      <c r="L68" s="8">
        <f t="shared" si="0"/>
        <v>24788430</v>
      </c>
      <c r="M68" s="15">
        <v>7897801314183</v>
      </c>
      <c r="N68" s="6">
        <v>9.0899999999999995E-2</v>
      </c>
      <c r="O68" s="6">
        <v>3</v>
      </c>
      <c r="P68" s="6">
        <v>9.0899999999999995E-2</v>
      </c>
      <c r="Q68" s="6">
        <v>0.2</v>
      </c>
      <c r="R68" s="6">
        <v>0.09</v>
      </c>
      <c r="S68" s="6">
        <v>3.0030000000000001</v>
      </c>
      <c r="T68" s="8">
        <v>2</v>
      </c>
      <c r="U68" s="5" t="s">
        <v>2945</v>
      </c>
      <c r="V68" s="89">
        <v>0</v>
      </c>
      <c r="W68" s="15">
        <v>17897801314180</v>
      </c>
      <c r="X68" s="6" t="s">
        <v>20</v>
      </c>
      <c r="Y68" s="6" t="s">
        <v>20</v>
      </c>
      <c r="Z68" s="6" t="s">
        <v>20</v>
      </c>
      <c r="AA68" s="6"/>
      <c r="AB68" s="8">
        <v>0</v>
      </c>
      <c r="AC68" s="15">
        <v>27897801314187</v>
      </c>
      <c r="AD68" s="4" t="s">
        <v>992</v>
      </c>
    </row>
    <row r="69" spans="2:30" x14ac:dyDescent="0.35">
      <c r="B69" s="14">
        <v>155</v>
      </c>
      <c r="C69" s="4" t="s">
        <v>72</v>
      </c>
      <c r="D69" s="4" t="s">
        <v>2391</v>
      </c>
      <c r="E69" s="4" t="s">
        <v>2912</v>
      </c>
      <c r="F69" s="4" t="s">
        <v>19</v>
      </c>
      <c r="G69" s="4" t="s">
        <v>990</v>
      </c>
      <c r="H69" s="6">
        <v>12.69</v>
      </c>
      <c r="I69" s="8">
        <v>3000</v>
      </c>
      <c r="J69" s="8">
        <v>11.4</v>
      </c>
      <c r="K69" s="8">
        <v>11.4</v>
      </c>
      <c r="L69" s="8">
        <f t="shared" si="0"/>
        <v>389880</v>
      </c>
      <c r="M69" s="15">
        <v>7897801314190</v>
      </c>
      <c r="N69" s="6">
        <v>0.111</v>
      </c>
      <c r="O69" s="6">
        <v>3</v>
      </c>
      <c r="P69" s="6">
        <v>0.111</v>
      </c>
      <c r="Q69" s="6">
        <v>0.111</v>
      </c>
      <c r="R69" s="6">
        <v>0.111</v>
      </c>
      <c r="S69" s="6">
        <v>3.0030000000000001</v>
      </c>
      <c r="T69" s="8">
        <v>1</v>
      </c>
      <c r="U69" s="5" t="s">
        <v>2945</v>
      </c>
      <c r="V69" s="89">
        <v>0</v>
      </c>
      <c r="W69" s="15">
        <v>17897801314197</v>
      </c>
      <c r="X69" s="6" t="s">
        <v>20</v>
      </c>
      <c r="Y69" s="6" t="s">
        <v>20</v>
      </c>
      <c r="Z69" s="6" t="s">
        <v>20</v>
      </c>
      <c r="AA69" s="6"/>
      <c r="AB69" s="8">
        <v>0</v>
      </c>
      <c r="AC69" s="15">
        <v>27897801314194</v>
      </c>
      <c r="AD69" s="4" t="s">
        <v>992</v>
      </c>
    </row>
    <row r="70" spans="2:30" x14ac:dyDescent="0.35">
      <c r="B70" s="14">
        <v>156</v>
      </c>
      <c r="C70" s="4" t="s">
        <v>73</v>
      </c>
      <c r="D70" s="4" t="s">
        <v>2391</v>
      </c>
      <c r="E70" s="4" t="s">
        <v>2912</v>
      </c>
      <c r="F70" s="4" t="s">
        <v>19</v>
      </c>
      <c r="G70" s="4" t="s">
        <v>990</v>
      </c>
      <c r="H70" s="6">
        <v>0.51</v>
      </c>
      <c r="I70" s="8">
        <v>3000</v>
      </c>
      <c r="J70" s="8">
        <v>20.3</v>
      </c>
      <c r="K70" s="8">
        <v>20.3</v>
      </c>
      <c r="L70" s="8">
        <f t="shared" si="0"/>
        <v>1236270</v>
      </c>
      <c r="M70" s="15">
        <v>7897801314206</v>
      </c>
      <c r="N70" s="6">
        <v>2.0299999999999999E-2</v>
      </c>
      <c r="O70" s="6">
        <v>3</v>
      </c>
      <c r="P70" s="6">
        <v>2.0299999999999999E-2</v>
      </c>
      <c r="Q70" s="6">
        <v>0.23</v>
      </c>
      <c r="R70" s="6">
        <v>0.16</v>
      </c>
      <c r="S70" s="6">
        <v>3.0030000000000001</v>
      </c>
      <c r="T70" s="8">
        <v>30</v>
      </c>
      <c r="U70" s="5" t="s">
        <v>2945</v>
      </c>
      <c r="V70" s="89">
        <v>0</v>
      </c>
      <c r="W70" s="15">
        <v>17897801314203</v>
      </c>
      <c r="X70" s="6" t="s">
        <v>20</v>
      </c>
      <c r="Y70" s="6" t="s">
        <v>20</v>
      </c>
      <c r="Z70" s="6" t="s">
        <v>20</v>
      </c>
      <c r="AA70" s="6"/>
      <c r="AB70" s="8">
        <v>0</v>
      </c>
      <c r="AC70" s="15">
        <v>27897801314200</v>
      </c>
      <c r="AD70" s="4" t="s">
        <v>992</v>
      </c>
    </row>
    <row r="71" spans="2:30" x14ac:dyDescent="0.35">
      <c r="B71" s="14">
        <v>157</v>
      </c>
      <c r="C71" s="4" t="s">
        <v>74</v>
      </c>
      <c r="D71" s="4" t="s">
        <v>2391</v>
      </c>
      <c r="E71" s="4" t="s">
        <v>2912</v>
      </c>
      <c r="F71" s="4" t="s">
        <v>19</v>
      </c>
      <c r="G71" s="4" t="s">
        <v>990</v>
      </c>
      <c r="H71" s="6">
        <v>0.79200000000000004</v>
      </c>
      <c r="I71" s="8">
        <v>3000</v>
      </c>
      <c r="J71" s="8">
        <v>25.3</v>
      </c>
      <c r="K71" s="8">
        <v>25.3</v>
      </c>
      <c r="L71" s="8">
        <f t="shared" si="0"/>
        <v>1920270</v>
      </c>
      <c r="M71" s="15">
        <v>7897801314213</v>
      </c>
      <c r="N71" s="6">
        <v>2.53E-2</v>
      </c>
      <c r="O71" s="6">
        <v>3</v>
      </c>
      <c r="P71" s="6">
        <v>2.53E-2</v>
      </c>
      <c r="Q71" s="6">
        <v>0.22</v>
      </c>
      <c r="R71" s="6">
        <v>0.11</v>
      </c>
      <c r="S71" s="6">
        <v>3.0030000000000001</v>
      </c>
      <c r="T71" s="8">
        <v>25</v>
      </c>
      <c r="U71" s="5" t="s">
        <v>2945</v>
      </c>
      <c r="V71" s="89">
        <v>0</v>
      </c>
      <c r="W71" s="15">
        <v>17897801314210</v>
      </c>
      <c r="X71" s="6" t="s">
        <v>20</v>
      </c>
      <c r="Y71" s="6" t="s">
        <v>20</v>
      </c>
      <c r="Z71" s="6" t="s">
        <v>20</v>
      </c>
      <c r="AA71" s="6"/>
      <c r="AB71" s="8">
        <v>0</v>
      </c>
      <c r="AC71" s="15">
        <v>27897801314217</v>
      </c>
      <c r="AD71" s="4" t="s">
        <v>992</v>
      </c>
    </row>
    <row r="72" spans="2:30" x14ac:dyDescent="0.35">
      <c r="B72" s="14">
        <v>158</v>
      </c>
      <c r="C72" s="4" t="s">
        <v>75</v>
      </c>
      <c r="D72" s="4" t="s">
        <v>2391</v>
      </c>
      <c r="E72" s="4" t="s">
        <v>2912</v>
      </c>
      <c r="F72" s="4" t="s">
        <v>19</v>
      </c>
      <c r="G72" s="4" t="s">
        <v>990</v>
      </c>
      <c r="H72" s="6">
        <v>1.29</v>
      </c>
      <c r="I72" s="8">
        <v>3000</v>
      </c>
      <c r="J72" s="8">
        <v>32.299999999999997</v>
      </c>
      <c r="K72" s="8">
        <v>32.299999999999997</v>
      </c>
      <c r="L72" s="8">
        <f t="shared" si="0"/>
        <v>3129869.9999999991</v>
      </c>
      <c r="M72" s="15">
        <v>7897801314220</v>
      </c>
      <c r="N72" s="6">
        <v>3.2300000000000002E-2</v>
      </c>
      <c r="O72" s="6">
        <v>3</v>
      </c>
      <c r="P72" s="6">
        <v>3.2300000000000002E-2</v>
      </c>
      <c r="Q72" s="6">
        <v>0.23499999999999999</v>
      </c>
      <c r="R72" s="6">
        <v>0.1</v>
      </c>
      <c r="S72" s="6">
        <v>3.0030000000000001</v>
      </c>
      <c r="T72" s="8">
        <v>15</v>
      </c>
      <c r="U72" s="5" t="s">
        <v>2945</v>
      </c>
      <c r="V72" s="89">
        <v>0</v>
      </c>
      <c r="W72" s="15">
        <v>17897801314227</v>
      </c>
      <c r="X72" s="6" t="s">
        <v>20</v>
      </c>
      <c r="Y72" s="6" t="s">
        <v>20</v>
      </c>
      <c r="Z72" s="6" t="s">
        <v>20</v>
      </c>
      <c r="AA72" s="6"/>
      <c r="AB72" s="8">
        <v>0</v>
      </c>
      <c r="AC72" s="15">
        <v>27897801314224</v>
      </c>
      <c r="AD72" s="4" t="s">
        <v>992</v>
      </c>
    </row>
    <row r="73" spans="2:30" x14ac:dyDescent="0.35">
      <c r="B73" s="14">
        <v>159</v>
      </c>
      <c r="C73" s="4" t="s">
        <v>76</v>
      </c>
      <c r="D73" s="4" t="s">
        <v>2391</v>
      </c>
      <c r="E73" s="4" t="s">
        <v>2912</v>
      </c>
      <c r="F73" s="4" t="s">
        <v>19</v>
      </c>
      <c r="G73" s="4" t="s">
        <v>990</v>
      </c>
      <c r="H73" s="6">
        <v>1.992</v>
      </c>
      <c r="I73" s="8">
        <v>3000</v>
      </c>
      <c r="J73" s="8">
        <v>40.4</v>
      </c>
      <c r="K73" s="8">
        <v>40.4</v>
      </c>
      <c r="L73" s="8">
        <f t="shared" si="0"/>
        <v>4896480</v>
      </c>
      <c r="M73" s="15">
        <v>7897801314237</v>
      </c>
      <c r="N73" s="6">
        <v>4.0399999999999998E-2</v>
      </c>
      <c r="O73" s="6">
        <v>3</v>
      </c>
      <c r="P73" s="6">
        <v>4.0399999999999998E-2</v>
      </c>
      <c r="Q73" s="6">
        <v>0.22</v>
      </c>
      <c r="R73" s="6">
        <v>0.115</v>
      </c>
      <c r="S73" s="6">
        <v>3.0030000000000001</v>
      </c>
      <c r="T73" s="8">
        <v>10</v>
      </c>
      <c r="U73" s="5" t="s">
        <v>2945</v>
      </c>
      <c r="V73" s="89">
        <v>0</v>
      </c>
      <c r="W73" s="15">
        <v>17897801314234</v>
      </c>
      <c r="X73" s="6" t="s">
        <v>20</v>
      </c>
      <c r="Y73" s="6" t="s">
        <v>20</v>
      </c>
      <c r="Z73" s="6" t="s">
        <v>20</v>
      </c>
      <c r="AA73" s="6"/>
      <c r="AB73" s="8">
        <v>0</v>
      </c>
      <c r="AC73" s="15">
        <v>27897801314231</v>
      </c>
      <c r="AD73" s="4" t="s">
        <v>992</v>
      </c>
    </row>
    <row r="74" spans="2:30" x14ac:dyDescent="0.35">
      <c r="B74" s="14">
        <v>160</v>
      </c>
      <c r="C74" s="4" t="s">
        <v>77</v>
      </c>
      <c r="D74" s="4" t="s">
        <v>2391</v>
      </c>
      <c r="E74" s="4" t="s">
        <v>2912</v>
      </c>
      <c r="F74" s="4" t="s">
        <v>19</v>
      </c>
      <c r="G74" s="4" t="s">
        <v>990</v>
      </c>
      <c r="H74" s="6">
        <v>3.09</v>
      </c>
      <c r="I74" s="8">
        <v>3000</v>
      </c>
      <c r="J74" s="8">
        <v>50.5</v>
      </c>
      <c r="K74" s="8">
        <v>50.5</v>
      </c>
      <c r="L74" s="8">
        <f t="shared" si="0"/>
        <v>7650750</v>
      </c>
      <c r="M74" s="15">
        <v>7897801314244</v>
      </c>
      <c r="N74" s="6">
        <v>5.0500000000000003E-2</v>
      </c>
      <c r="O74" s="6">
        <v>3</v>
      </c>
      <c r="P74" s="6">
        <v>5.0500000000000003E-2</v>
      </c>
      <c r="Q74" s="6">
        <v>0.17</v>
      </c>
      <c r="R74" s="6">
        <v>0.1</v>
      </c>
      <c r="S74" s="6">
        <v>3.0030000000000001</v>
      </c>
      <c r="T74" s="8">
        <v>5</v>
      </c>
      <c r="U74" s="5" t="s">
        <v>2945</v>
      </c>
      <c r="V74" s="89">
        <v>0</v>
      </c>
      <c r="W74" s="15">
        <v>17897801314241</v>
      </c>
      <c r="X74" s="6" t="s">
        <v>20</v>
      </c>
      <c r="Y74" s="6" t="s">
        <v>20</v>
      </c>
      <c r="Z74" s="6" t="s">
        <v>20</v>
      </c>
      <c r="AA74" s="6"/>
      <c r="AB74" s="8">
        <v>0</v>
      </c>
      <c r="AC74" s="15">
        <v>27897801314248</v>
      </c>
      <c r="AD74" s="4" t="s">
        <v>992</v>
      </c>
    </row>
    <row r="75" spans="2:30" x14ac:dyDescent="0.35">
      <c r="B75" s="14">
        <v>161</v>
      </c>
      <c r="C75" s="4" t="s">
        <v>78</v>
      </c>
      <c r="D75" s="4" t="s">
        <v>2391</v>
      </c>
      <c r="E75" s="4" t="s">
        <v>2912</v>
      </c>
      <c r="F75" s="4" t="s">
        <v>19</v>
      </c>
      <c r="G75" s="4" t="s">
        <v>990</v>
      </c>
      <c r="H75" s="6">
        <v>4.9109999999999996</v>
      </c>
      <c r="I75" s="8">
        <v>3000</v>
      </c>
      <c r="J75" s="8">
        <v>63.6</v>
      </c>
      <c r="K75" s="8">
        <v>63.6</v>
      </c>
      <c r="L75" s="8">
        <f t="shared" si="0"/>
        <v>12134880</v>
      </c>
      <c r="M75" s="15">
        <v>7897801314251</v>
      </c>
      <c r="N75" s="6">
        <v>6.3600000000000004E-2</v>
      </c>
      <c r="O75" s="6">
        <v>3</v>
      </c>
      <c r="P75" s="6">
        <v>6.3600000000000004E-2</v>
      </c>
      <c r="Q75" s="6">
        <v>0.18</v>
      </c>
      <c r="R75" s="6">
        <v>0.13500000000000001</v>
      </c>
      <c r="S75" s="6">
        <v>3.0030000000000001</v>
      </c>
      <c r="T75" s="8">
        <v>4</v>
      </c>
      <c r="U75" s="5" t="s">
        <v>2945</v>
      </c>
      <c r="V75" s="89">
        <v>0</v>
      </c>
      <c r="W75" s="15">
        <v>17897801314258</v>
      </c>
      <c r="X75" s="6" t="s">
        <v>20</v>
      </c>
      <c r="Y75" s="6" t="s">
        <v>20</v>
      </c>
      <c r="Z75" s="6" t="s">
        <v>20</v>
      </c>
      <c r="AA75" s="6"/>
      <c r="AB75" s="8">
        <v>0</v>
      </c>
      <c r="AC75" s="15">
        <v>27897801314255</v>
      </c>
      <c r="AD75" s="4" t="s">
        <v>992</v>
      </c>
    </row>
    <row r="76" spans="2:30" x14ac:dyDescent="0.35">
      <c r="B76" s="14">
        <v>162</v>
      </c>
      <c r="C76" s="4" t="s">
        <v>79</v>
      </c>
      <c r="D76" s="4" t="s">
        <v>2391</v>
      </c>
      <c r="E76" s="4" t="s">
        <v>2912</v>
      </c>
      <c r="F76" s="4" t="s">
        <v>19</v>
      </c>
      <c r="G76" s="4" t="s">
        <v>990</v>
      </c>
      <c r="H76" s="6">
        <v>6.93</v>
      </c>
      <c r="I76" s="8">
        <v>3000</v>
      </c>
      <c r="J76" s="8">
        <v>75.7</v>
      </c>
      <c r="K76" s="8">
        <v>75.7</v>
      </c>
      <c r="L76" s="8">
        <f t="shared" si="0"/>
        <v>17191470</v>
      </c>
      <c r="M76" s="15">
        <v>7897801314268</v>
      </c>
      <c r="N76" s="6">
        <v>7.5700000000000003E-2</v>
      </c>
      <c r="O76" s="6">
        <v>3</v>
      </c>
      <c r="P76" s="6">
        <v>7.5700000000000003E-2</v>
      </c>
      <c r="Q76" s="6">
        <v>0.23</v>
      </c>
      <c r="R76" s="6">
        <v>0.08</v>
      </c>
      <c r="S76" s="6">
        <v>3.0030000000000001</v>
      </c>
      <c r="T76" s="8">
        <v>3</v>
      </c>
      <c r="U76" s="5" t="s">
        <v>2945</v>
      </c>
      <c r="V76" s="89">
        <v>0</v>
      </c>
      <c r="W76" s="15">
        <v>17897801314265</v>
      </c>
      <c r="X76" s="6" t="s">
        <v>20</v>
      </c>
      <c r="Y76" s="6" t="s">
        <v>20</v>
      </c>
      <c r="Z76" s="6" t="s">
        <v>20</v>
      </c>
      <c r="AA76" s="6"/>
      <c r="AB76" s="8">
        <v>0</v>
      </c>
      <c r="AC76" s="15">
        <v>27897801314262</v>
      </c>
      <c r="AD76" s="4" t="s">
        <v>992</v>
      </c>
    </row>
    <row r="77" spans="2:30" x14ac:dyDescent="0.35">
      <c r="B77" s="14">
        <v>163</v>
      </c>
      <c r="C77" s="4" t="s">
        <v>80</v>
      </c>
      <c r="D77" s="4" t="s">
        <v>2391</v>
      </c>
      <c r="E77" s="4" t="s">
        <v>2912</v>
      </c>
      <c r="F77" s="4" t="s">
        <v>19</v>
      </c>
      <c r="G77" s="4" t="s">
        <v>990</v>
      </c>
      <c r="H77" s="6">
        <v>9.93</v>
      </c>
      <c r="I77" s="8">
        <v>3000</v>
      </c>
      <c r="J77" s="8">
        <v>90</v>
      </c>
      <c r="K77" s="8">
        <v>90</v>
      </c>
      <c r="L77" s="8">
        <f t="shared" si="0"/>
        <v>24300000</v>
      </c>
      <c r="M77" s="15">
        <v>7897801314275</v>
      </c>
      <c r="N77" s="6">
        <v>0.9</v>
      </c>
      <c r="O77" s="6">
        <v>3</v>
      </c>
      <c r="P77" s="6">
        <v>0.9</v>
      </c>
      <c r="Q77" s="6">
        <v>0.18</v>
      </c>
      <c r="R77" s="6">
        <v>0.9</v>
      </c>
      <c r="S77" s="6">
        <v>3</v>
      </c>
      <c r="T77" s="8">
        <v>2</v>
      </c>
      <c r="U77" s="5" t="s">
        <v>2945</v>
      </c>
      <c r="V77" s="89">
        <v>0</v>
      </c>
      <c r="W77" s="15">
        <v>17897801314272</v>
      </c>
      <c r="X77" s="6" t="s">
        <v>20</v>
      </c>
      <c r="Y77" s="6" t="s">
        <v>20</v>
      </c>
      <c r="Z77" s="6" t="s">
        <v>20</v>
      </c>
      <c r="AA77" s="6"/>
      <c r="AB77" s="8">
        <v>0</v>
      </c>
      <c r="AC77" s="15">
        <v>27897801314279</v>
      </c>
      <c r="AD77" s="4" t="s">
        <v>992</v>
      </c>
    </row>
    <row r="78" spans="2:30" x14ac:dyDescent="0.35">
      <c r="B78" s="14">
        <v>164</v>
      </c>
      <c r="C78" s="4" t="s">
        <v>81</v>
      </c>
      <c r="D78" s="4" t="s">
        <v>2391</v>
      </c>
      <c r="E78" s="4" t="s">
        <v>2912</v>
      </c>
      <c r="F78" s="4" t="s">
        <v>19</v>
      </c>
      <c r="G78" s="4" t="s">
        <v>990</v>
      </c>
      <c r="H78" s="6">
        <v>14.79</v>
      </c>
      <c r="I78" s="8">
        <v>2980</v>
      </c>
      <c r="J78" s="8">
        <v>110</v>
      </c>
      <c r="K78" s="8">
        <v>110</v>
      </c>
      <c r="L78" s="8">
        <f t="shared" si="0"/>
        <v>36058000</v>
      </c>
      <c r="M78" s="15">
        <v>7897801314282</v>
      </c>
      <c r="N78" s="6">
        <v>0.115</v>
      </c>
      <c r="O78" s="6">
        <v>2.98</v>
      </c>
      <c r="P78" s="6">
        <v>0.115</v>
      </c>
      <c r="Q78" s="6">
        <v>0.115</v>
      </c>
      <c r="R78" s="6">
        <v>2.98</v>
      </c>
      <c r="S78" s="6">
        <v>0.115</v>
      </c>
      <c r="T78" s="8">
        <v>1</v>
      </c>
      <c r="U78" s="5" t="s">
        <v>2945</v>
      </c>
      <c r="V78" s="89">
        <v>0</v>
      </c>
      <c r="W78" s="15">
        <v>17897801314289</v>
      </c>
      <c r="X78" s="6" t="s">
        <v>20</v>
      </c>
      <c r="Y78" s="6" t="s">
        <v>20</v>
      </c>
      <c r="Z78" s="6" t="s">
        <v>20</v>
      </c>
      <c r="AA78" s="6"/>
      <c r="AB78" s="8">
        <v>0</v>
      </c>
      <c r="AC78" s="15">
        <v>27897801314286</v>
      </c>
      <c r="AD78" s="4" t="s">
        <v>992</v>
      </c>
    </row>
    <row r="79" spans="2:30" x14ac:dyDescent="0.35">
      <c r="B79" s="14">
        <v>200</v>
      </c>
      <c r="C79" s="4" t="s">
        <v>84</v>
      </c>
      <c r="D79" s="4" t="s">
        <v>2400</v>
      </c>
      <c r="E79" s="4" t="s">
        <v>2911</v>
      </c>
      <c r="F79" s="4" t="s">
        <v>85</v>
      </c>
      <c r="G79" s="4" t="s">
        <v>993</v>
      </c>
      <c r="H79" s="6">
        <v>7.8200000000000006E-2</v>
      </c>
      <c r="I79" s="8">
        <v>70</v>
      </c>
      <c r="J79" s="8">
        <v>60</v>
      </c>
      <c r="K79" s="8">
        <v>70</v>
      </c>
      <c r="L79" s="8">
        <f t="shared" ref="L79:L138" si="1">J79*I79*K79</f>
        <v>294000</v>
      </c>
      <c r="M79" s="15">
        <v>7897801312806</v>
      </c>
      <c r="N79" s="6" t="s">
        <v>20</v>
      </c>
      <c r="O79" s="6" t="s">
        <v>20</v>
      </c>
      <c r="P79" s="6" t="s">
        <v>20</v>
      </c>
      <c r="Q79" s="6">
        <v>0.14000000000000001</v>
      </c>
      <c r="R79" s="6">
        <v>7.0000000000000007E-2</v>
      </c>
      <c r="S79" s="6">
        <v>0.25</v>
      </c>
      <c r="T79" s="8">
        <v>10</v>
      </c>
      <c r="U79" s="5" t="s">
        <v>994</v>
      </c>
      <c r="V79" s="89">
        <v>0</v>
      </c>
      <c r="W79" s="15">
        <v>17897801312803</v>
      </c>
      <c r="X79" s="6">
        <v>0.48</v>
      </c>
      <c r="Y79" s="6">
        <v>0.2</v>
      </c>
      <c r="Z79" s="6">
        <v>0.73</v>
      </c>
      <c r="AA79" s="6">
        <f t="shared" ref="AA79:AA142" si="2">Y79*X79*Z79</f>
        <v>7.0080000000000003E-2</v>
      </c>
      <c r="AB79" s="8">
        <v>300</v>
      </c>
      <c r="AC79" s="15">
        <v>27897801312800</v>
      </c>
      <c r="AD79" s="4" t="s">
        <v>992</v>
      </c>
    </row>
    <row r="80" spans="2:30" x14ac:dyDescent="0.35">
      <c r="B80" s="14">
        <v>201</v>
      </c>
      <c r="C80" s="4" t="s">
        <v>86</v>
      </c>
      <c r="D80" s="4" t="s">
        <v>2400</v>
      </c>
      <c r="E80" s="4" t="s">
        <v>2911</v>
      </c>
      <c r="F80" s="4" t="s">
        <v>85</v>
      </c>
      <c r="G80" s="4" t="s">
        <v>993</v>
      </c>
      <c r="H80" s="6">
        <v>9.7199999999999995E-2</v>
      </c>
      <c r="I80" s="8">
        <v>60</v>
      </c>
      <c r="J80" s="8">
        <v>60</v>
      </c>
      <c r="K80" s="8">
        <v>70</v>
      </c>
      <c r="L80" s="8">
        <f t="shared" si="1"/>
        <v>252000</v>
      </c>
      <c r="M80" s="15">
        <v>7897801312820</v>
      </c>
      <c r="N80" s="6" t="s">
        <v>20</v>
      </c>
      <c r="O80" s="6" t="s">
        <v>20</v>
      </c>
      <c r="P80" s="6" t="s">
        <v>20</v>
      </c>
      <c r="Q80" s="6">
        <v>0.17</v>
      </c>
      <c r="R80" s="6">
        <v>7.0000000000000007E-2</v>
      </c>
      <c r="S80" s="6">
        <v>0.26</v>
      </c>
      <c r="T80" s="8">
        <v>10</v>
      </c>
      <c r="U80" s="5" t="s">
        <v>994</v>
      </c>
      <c r="V80" s="89">
        <v>0</v>
      </c>
      <c r="W80" s="15">
        <v>17897801312827</v>
      </c>
      <c r="X80" s="6">
        <v>0.49</v>
      </c>
      <c r="Y80" s="6">
        <v>0.17</v>
      </c>
      <c r="Z80" s="6">
        <v>0.65</v>
      </c>
      <c r="AA80" s="6">
        <f t="shared" si="2"/>
        <v>5.4144999999999999E-2</v>
      </c>
      <c r="AB80" s="8">
        <v>200</v>
      </c>
      <c r="AC80" s="15">
        <v>27897801312824</v>
      </c>
      <c r="AD80" s="4" t="s">
        <v>992</v>
      </c>
    </row>
    <row r="81" spans="2:30" x14ac:dyDescent="0.35">
      <c r="B81" s="14">
        <v>202</v>
      </c>
      <c r="C81" s="4" t="s">
        <v>87</v>
      </c>
      <c r="D81" s="4" t="s">
        <v>2400</v>
      </c>
      <c r="E81" s="4" t="s">
        <v>2911</v>
      </c>
      <c r="F81" s="4" t="s">
        <v>85</v>
      </c>
      <c r="G81" s="4" t="s">
        <v>993</v>
      </c>
      <c r="H81" s="6">
        <v>0.13439999999999999</v>
      </c>
      <c r="I81" s="8">
        <v>70</v>
      </c>
      <c r="J81" s="8">
        <v>70</v>
      </c>
      <c r="K81" s="8">
        <v>80</v>
      </c>
      <c r="L81" s="8">
        <f t="shared" si="1"/>
        <v>392000</v>
      </c>
      <c r="M81" s="15">
        <v>7897801312851</v>
      </c>
      <c r="N81" s="6" t="s">
        <v>20</v>
      </c>
      <c r="O81" s="6" t="s">
        <v>20</v>
      </c>
      <c r="P81" s="6" t="s">
        <v>20</v>
      </c>
      <c r="Q81" s="6">
        <v>0.2</v>
      </c>
      <c r="R81" s="6">
        <v>0.7</v>
      </c>
      <c r="S81" s="6">
        <v>0.3</v>
      </c>
      <c r="T81" s="8">
        <v>10</v>
      </c>
      <c r="U81" s="5" t="s">
        <v>994</v>
      </c>
      <c r="V81" s="89">
        <v>0</v>
      </c>
      <c r="W81" s="15">
        <v>17897801312858</v>
      </c>
      <c r="X81" s="6">
        <v>0.45</v>
      </c>
      <c r="Y81" s="6">
        <v>0.23</v>
      </c>
      <c r="Z81" s="6">
        <v>0.6</v>
      </c>
      <c r="AA81" s="6">
        <f t="shared" si="2"/>
        <v>6.2100000000000002E-2</v>
      </c>
      <c r="AB81" s="8">
        <v>120</v>
      </c>
      <c r="AC81" s="15">
        <v>27897801312855</v>
      </c>
      <c r="AD81" s="4" t="s">
        <v>992</v>
      </c>
    </row>
    <row r="82" spans="2:30" x14ac:dyDescent="0.35">
      <c r="B82" s="14">
        <v>203</v>
      </c>
      <c r="C82" s="4" t="s">
        <v>88</v>
      </c>
      <c r="D82" s="4" t="s">
        <v>2400</v>
      </c>
      <c r="E82" s="4" t="s">
        <v>2911</v>
      </c>
      <c r="F82" s="4" t="s">
        <v>85</v>
      </c>
      <c r="G82" s="4" t="s">
        <v>993</v>
      </c>
      <c r="H82" s="6">
        <v>0.15620000000000001</v>
      </c>
      <c r="I82" s="8">
        <v>70</v>
      </c>
      <c r="J82" s="8">
        <v>70</v>
      </c>
      <c r="K82" s="8">
        <v>90</v>
      </c>
      <c r="L82" s="8">
        <f t="shared" si="1"/>
        <v>441000</v>
      </c>
      <c r="M82" s="15">
        <v>7897801312844</v>
      </c>
      <c r="N82" s="6" t="s">
        <v>20</v>
      </c>
      <c r="O82" s="6" t="s">
        <v>20</v>
      </c>
      <c r="P82" s="6" t="s">
        <v>20</v>
      </c>
      <c r="Q82" s="6">
        <v>0.185</v>
      </c>
      <c r="R82" s="6">
        <v>0.09</v>
      </c>
      <c r="S82" s="6">
        <v>0.25</v>
      </c>
      <c r="T82" s="8">
        <v>5</v>
      </c>
      <c r="U82" s="5" t="s">
        <v>994</v>
      </c>
      <c r="V82" s="89">
        <v>0</v>
      </c>
      <c r="W82" s="15">
        <v>17897801312841</v>
      </c>
      <c r="X82" s="6">
        <v>0.49</v>
      </c>
      <c r="Y82" s="6">
        <v>0.22</v>
      </c>
      <c r="Z82" s="6">
        <v>0.7</v>
      </c>
      <c r="AA82" s="6">
        <f t="shared" si="2"/>
        <v>7.5459999999999985E-2</v>
      </c>
      <c r="AB82" s="8">
        <v>125</v>
      </c>
      <c r="AC82" s="15">
        <v>27897801312848</v>
      </c>
      <c r="AD82" s="4" t="s">
        <v>992</v>
      </c>
    </row>
    <row r="83" spans="2:30" x14ac:dyDescent="0.35">
      <c r="B83" s="14">
        <v>204</v>
      </c>
      <c r="C83" s="4" t="s">
        <v>89</v>
      </c>
      <c r="D83" s="4" t="s">
        <v>2400</v>
      </c>
      <c r="E83" s="4" t="s">
        <v>2911</v>
      </c>
      <c r="F83" s="4" t="s">
        <v>85</v>
      </c>
      <c r="G83" s="4" t="s">
        <v>993</v>
      </c>
      <c r="H83" s="6">
        <v>0.19409999999999999</v>
      </c>
      <c r="I83" s="8">
        <v>80</v>
      </c>
      <c r="J83" s="8">
        <v>90</v>
      </c>
      <c r="K83" s="8">
        <v>80</v>
      </c>
      <c r="L83" s="8">
        <f t="shared" si="1"/>
        <v>576000</v>
      </c>
      <c r="M83" s="15">
        <v>7897801312837</v>
      </c>
      <c r="N83" s="6" t="s">
        <v>20</v>
      </c>
      <c r="O83" s="6" t="s">
        <v>20</v>
      </c>
      <c r="P83" s="6" t="s">
        <v>20</v>
      </c>
      <c r="Q83" s="6">
        <v>0.18</v>
      </c>
      <c r="R83" s="6">
        <v>7.0000000000000007E-2</v>
      </c>
      <c r="S83" s="6">
        <v>0.21</v>
      </c>
      <c r="T83" s="8">
        <v>5</v>
      </c>
      <c r="U83" s="5" t="s">
        <v>994</v>
      </c>
      <c r="V83" s="89">
        <v>0</v>
      </c>
      <c r="W83" s="15">
        <v>17897801312834</v>
      </c>
      <c r="X83" s="6">
        <v>0.5</v>
      </c>
      <c r="Y83" s="6">
        <v>0.21</v>
      </c>
      <c r="Z83" s="6">
        <v>0.65</v>
      </c>
      <c r="AA83" s="6">
        <f t="shared" si="2"/>
        <v>6.8250000000000005E-2</v>
      </c>
      <c r="AB83" s="8">
        <v>100</v>
      </c>
      <c r="AC83" s="15">
        <v>27897801312831</v>
      </c>
      <c r="AD83" s="4" t="s">
        <v>992</v>
      </c>
    </row>
    <row r="84" spans="2:30" x14ac:dyDescent="0.35">
      <c r="B84" s="14">
        <v>205</v>
      </c>
      <c r="C84" s="4" t="s">
        <v>90</v>
      </c>
      <c r="D84" s="4" t="s">
        <v>2400</v>
      </c>
      <c r="E84" s="4" t="s">
        <v>2911</v>
      </c>
      <c r="F84" s="4" t="s">
        <v>85</v>
      </c>
      <c r="G84" s="4" t="s">
        <v>993</v>
      </c>
      <c r="H84" s="6">
        <v>0.25409999999999999</v>
      </c>
      <c r="I84" s="8">
        <v>100</v>
      </c>
      <c r="J84" s="8">
        <v>90</v>
      </c>
      <c r="K84" s="8">
        <v>10</v>
      </c>
      <c r="L84" s="8">
        <f t="shared" si="1"/>
        <v>90000</v>
      </c>
      <c r="M84" s="15">
        <v>7897801312868</v>
      </c>
      <c r="N84" s="6" t="s">
        <v>20</v>
      </c>
      <c r="O84" s="6" t="s">
        <v>20</v>
      </c>
      <c r="P84" s="6" t="s">
        <v>20</v>
      </c>
      <c r="Q84" s="6">
        <v>0.22500000000000001</v>
      </c>
      <c r="R84" s="6">
        <v>8.5000000000000006E-2</v>
      </c>
      <c r="S84" s="6">
        <v>0.27500000000000002</v>
      </c>
      <c r="T84" s="8">
        <v>5</v>
      </c>
      <c r="U84" s="5" t="s">
        <v>994</v>
      </c>
      <c r="V84" s="89">
        <v>0</v>
      </c>
      <c r="W84" s="15">
        <v>17897801312865</v>
      </c>
      <c r="X84" s="6">
        <v>0.42</v>
      </c>
      <c r="Y84" s="6">
        <v>0.22</v>
      </c>
      <c r="Z84" s="6">
        <v>0.64</v>
      </c>
      <c r="AA84" s="6">
        <f t="shared" si="2"/>
        <v>5.9136000000000001E-2</v>
      </c>
      <c r="AB84" s="8">
        <v>60</v>
      </c>
      <c r="AC84" s="15">
        <v>27897801312862</v>
      </c>
      <c r="AD84" s="4" t="s">
        <v>992</v>
      </c>
    </row>
    <row r="85" spans="2:30" x14ac:dyDescent="0.35">
      <c r="B85" s="14">
        <v>208</v>
      </c>
      <c r="C85" s="4" t="s">
        <v>91</v>
      </c>
      <c r="D85" s="4" t="s">
        <v>2376</v>
      </c>
      <c r="E85" s="4" t="s">
        <v>2911</v>
      </c>
      <c r="F85" s="4" t="s">
        <v>85</v>
      </c>
      <c r="G85" s="4" t="s">
        <v>993</v>
      </c>
      <c r="H85" s="6">
        <v>0.01</v>
      </c>
      <c r="I85" s="8">
        <v>30</v>
      </c>
      <c r="J85" s="8">
        <v>30</v>
      </c>
      <c r="K85" s="8">
        <v>27</v>
      </c>
      <c r="L85" s="8">
        <f t="shared" si="1"/>
        <v>24300</v>
      </c>
      <c r="M85" s="15">
        <v>7897801302128</v>
      </c>
      <c r="N85" s="6" t="s">
        <v>20</v>
      </c>
      <c r="O85" s="6" t="s">
        <v>20</v>
      </c>
      <c r="P85" s="6" t="s">
        <v>20</v>
      </c>
      <c r="Q85" s="6">
        <v>0.23</v>
      </c>
      <c r="R85" s="6">
        <v>0.04</v>
      </c>
      <c r="S85" s="6">
        <v>0.24</v>
      </c>
      <c r="T85" s="8">
        <v>50</v>
      </c>
      <c r="U85" s="5" t="s">
        <v>994</v>
      </c>
      <c r="V85" s="89">
        <v>0</v>
      </c>
      <c r="W85" s="15">
        <v>17897801302125</v>
      </c>
      <c r="X85" s="6">
        <v>0.42</v>
      </c>
      <c r="Y85" s="6">
        <v>0.22</v>
      </c>
      <c r="Z85" s="6">
        <v>0.67</v>
      </c>
      <c r="AA85" s="6">
        <f t="shared" si="2"/>
        <v>6.1907999999999998E-2</v>
      </c>
      <c r="AB85" s="8">
        <v>2000</v>
      </c>
      <c r="AC85" s="15">
        <v>47897801302126</v>
      </c>
      <c r="AD85" s="4" t="s">
        <v>992</v>
      </c>
    </row>
    <row r="86" spans="2:30" x14ac:dyDescent="0.35">
      <c r="B86" s="14">
        <v>209</v>
      </c>
      <c r="C86" s="4" t="s">
        <v>92</v>
      </c>
      <c r="D86" s="4" t="s">
        <v>2376</v>
      </c>
      <c r="E86" s="4" t="s">
        <v>2911</v>
      </c>
      <c r="F86" s="4" t="s">
        <v>85</v>
      </c>
      <c r="G86" s="4" t="s">
        <v>993</v>
      </c>
      <c r="H86" s="6">
        <v>2.23E-2</v>
      </c>
      <c r="I86" s="8">
        <v>30</v>
      </c>
      <c r="J86" s="8">
        <v>30</v>
      </c>
      <c r="K86" s="8">
        <v>40</v>
      </c>
      <c r="L86" s="8">
        <f t="shared" si="1"/>
        <v>36000</v>
      </c>
      <c r="M86" s="15">
        <v>7897801312189</v>
      </c>
      <c r="N86" s="6" t="s">
        <v>20</v>
      </c>
      <c r="O86" s="6" t="s">
        <v>20</v>
      </c>
      <c r="P86" s="6" t="s">
        <v>20</v>
      </c>
      <c r="Q86" s="6">
        <v>0.19</v>
      </c>
      <c r="R86" s="6">
        <v>0.04</v>
      </c>
      <c r="S86" s="6">
        <v>0.23499999999999999</v>
      </c>
      <c r="T86" s="8">
        <v>16</v>
      </c>
      <c r="U86" s="5" t="s">
        <v>994</v>
      </c>
      <c r="V86" s="89">
        <v>0</v>
      </c>
      <c r="W86" s="15">
        <v>17897801312186</v>
      </c>
      <c r="X86" s="6">
        <v>0.53</v>
      </c>
      <c r="Y86" s="6">
        <v>0.21</v>
      </c>
      <c r="Z86" s="6">
        <v>0.79</v>
      </c>
      <c r="AA86" s="6">
        <f t="shared" si="2"/>
        <v>8.7927000000000005E-2</v>
      </c>
      <c r="AB86" s="8">
        <v>960</v>
      </c>
      <c r="AC86" s="15">
        <v>27897801312183</v>
      </c>
      <c r="AD86" s="4" t="s">
        <v>992</v>
      </c>
    </row>
    <row r="87" spans="2:30" x14ac:dyDescent="0.35">
      <c r="B87" s="14">
        <v>210</v>
      </c>
      <c r="C87" s="4" t="s">
        <v>93</v>
      </c>
      <c r="D87" s="4" t="s">
        <v>2376</v>
      </c>
      <c r="E87" s="4" t="s">
        <v>2911</v>
      </c>
      <c r="F87" s="4" t="s">
        <v>85</v>
      </c>
      <c r="G87" s="4" t="s">
        <v>993</v>
      </c>
      <c r="H87" s="6">
        <v>1.6199999999999999E-2</v>
      </c>
      <c r="I87" s="8">
        <v>36</v>
      </c>
      <c r="J87" s="8">
        <v>30</v>
      </c>
      <c r="K87" s="8">
        <v>36</v>
      </c>
      <c r="L87" s="8">
        <f t="shared" si="1"/>
        <v>38880</v>
      </c>
      <c r="M87" s="15">
        <v>7897801307673</v>
      </c>
      <c r="N87" s="6" t="s">
        <v>20</v>
      </c>
      <c r="O87" s="6" t="s">
        <v>20</v>
      </c>
      <c r="P87" s="6" t="s">
        <v>20</v>
      </c>
      <c r="Q87" s="6">
        <v>0.16</v>
      </c>
      <c r="R87" s="6">
        <v>3.5000000000000003E-2</v>
      </c>
      <c r="S87" s="6">
        <v>0.2</v>
      </c>
      <c r="T87" s="8">
        <v>24</v>
      </c>
      <c r="U87" s="5" t="s">
        <v>994</v>
      </c>
      <c r="V87" s="89">
        <v>0</v>
      </c>
      <c r="W87" s="15">
        <v>17897801307670</v>
      </c>
      <c r="X87" s="6">
        <v>0.5</v>
      </c>
      <c r="Y87" s="6">
        <v>0.18</v>
      </c>
      <c r="Z87" s="6">
        <v>0.7</v>
      </c>
      <c r="AA87" s="6">
        <f t="shared" si="2"/>
        <v>6.3E-2</v>
      </c>
      <c r="AB87" s="8">
        <v>1320</v>
      </c>
      <c r="AC87" s="15">
        <v>47897801307671</v>
      </c>
      <c r="AD87" s="4" t="s">
        <v>992</v>
      </c>
    </row>
    <row r="88" spans="2:30" x14ac:dyDescent="0.35">
      <c r="B88" s="14">
        <v>211</v>
      </c>
      <c r="C88" s="4" t="s">
        <v>94</v>
      </c>
      <c r="D88" s="4" t="s">
        <v>2376</v>
      </c>
      <c r="E88" s="4" t="s">
        <v>2911</v>
      </c>
      <c r="F88" s="4" t="s">
        <v>85</v>
      </c>
      <c r="G88" s="4" t="s">
        <v>993</v>
      </c>
      <c r="H88" s="6">
        <v>2.58E-2</v>
      </c>
      <c r="I88" s="8">
        <v>30</v>
      </c>
      <c r="J88" s="8">
        <v>50</v>
      </c>
      <c r="K88" s="8">
        <v>40</v>
      </c>
      <c r="L88" s="8">
        <f t="shared" si="1"/>
        <v>60000</v>
      </c>
      <c r="M88" s="15">
        <v>7897801312196</v>
      </c>
      <c r="N88" s="6" t="s">
        <v>20</v>
      </c>
      <c r="O88" s="6" t="s">
        <v>20</v>
      </c>
      <c r="P88" s="6" t="s">
        <v>20</v>
      </c>
      <c r="Q88" s="6">
        <v>0.15</v>
      </c>
      <c r="R88" s="6">
        <v>0.06</v>
      </c>
      <c r="S88" s="6">
        <v>0.2</v>
      </c>
      <c r="T88" s="8">
        <v>16</v>
      </c>
      <c r="U88" s="5" t="s">
        <v>994</v>
      </c>
      <c r="V88" s="89">
        <v>0</v>
      </c>
      <c r="W88" s="15">
        <v>17897801312193</v>
      </c>
      <c r="X88" s="6">
        <v>0.56000000000000005</v>
      </c>
      <c r="Y88" s="6">
        <v>0.215</v>
      </c>
      <c r="Z88" s="6">
        <v>0.65</v>
      </c>
      <c r="AA88" s="6">
        <f t="shared" si="2"/>
        <v>7.826000000000001E-2</v>
      </c>
      <c r="AB88" s="8">
        <v>720</v>
      </c>
      <c r="AC88" s="15">
        <v>27897801312190</v>
      </c>
      <c r="AD88" s="4" t="s">
        <v>992</v>
      </c>
    </row>
    <row r="89" spans="2:30" x14ac:dyDescent="0.35">
      <c r="B89" s="14">
        <v>212</v>
      </c>
      <c r="C89" s="4" t="s">
        <v>95</v>
      </c>
      <c r="D89" s="4" t="s">
        <v>2376</v>
      </c>
      <c r="E89" s="4" t="s">
        <v>2911</v>
      </c>
      <c r="F89" s="4" t="s">
        <v>85</v>
      </c>
      <c r="G89" s="4" t="s">
        <v>993</v>
      </c>
      <c r="H89" s="6">
        <v>3.0800000000000001E-2</v>
      </c>
      <c r="I89" s="8">
        <v>30</v>
      </c>
      <c r="J89" s="8">
        <v>30</v>
      </c>
      <c r="K89" s="8">
        <v>40</v>
      </c>
      <c r="L89" s="8">
        <f t="shared" si="1"/>
        <v>36000</v>
      </c>
      <c r="M89" s="15">
        <v>7897801312202</v>
      </c>
      <c r="N89" s="6" t="s">
        <v>20</v>
      </c>
      <c r="O89" s="6" t="s">
        <v>20</v>
      </c>
      <c r="P89" s="6" t="s">
        <v>20</v>
      </c>
      <c r="Q89" s="6">
        <v>0.15</v>
      </c>
      <c r="R89" s="6">
        <v>0.05</v>
      </c>
      <c r="S89" s="6">
        <v>0.2</v>
      </c>
      <c r="T89" s="8">
        <v>16</v>
      </c>
      <c r="U89" s="5" t="s">
        <v>994</v>
      </c>
      <c r="V89" s="89">
        <v>0</v>
      </c>
      <c r="W89" s="15">
        <v>17897801312209</v>
      </c>
      <c r="X89" s="6">
        <v>0.45</v>
      </c>
      <c r="Y89" s="6">
        <v>0.2</v>
      </c>
      <c r="Z89" s="6">
        <v>0.65</v>
      </c>
      <c r="AA89" s="6">
        <f t="shared" si="2"/>
        <v>5.850000000000001E-2</v>
      </c>
      <c r="AB89" s="8">
        <v>720</v>
      </c>
      <c r="AC89" s="15">
        <v>27897801312206</v>
      </c>
      <c r="AD89" s="4" t="s">
        <v>992</v>
      </c>
    </row>
    <row r="90" spans="2:30" x14ac:dyDescent="0.35">
      <c r="B90" s="14">
        <v>213</v>
      </c>
      <c r="C90" s="4" t="s">
        <v>96</v>
      </c>
      <c r="D90" s="4" t="s">
        <v>2376</v>
      </c>
      <c r="E90" s="4" t="s">
        <v>2911</v>
      </c>
      <c r="F90" s="4" t="s">
        <v>85</v>
      </c>
      <c r="G90" s="4" t="s">
        <v>993</v>
      </c>
      <c r="H90" s="6">
        <v>4.07E-2</v>
      </c>
      <c r="I90" s="8">
        <v>50</v>
      </c>
      <c r="J90" s="8">
        <v>30</v>
      </c>
      <c r="K90" s="8">
        <v>50</v>
      </c>
      <c r="L90" s="8">
        <f t="shared" si="1"/>
        <v>75000</v>
      </c>
      <c r="M90" s="15">
        <v>7897801311533</v>
      </c>
      <c r="N90" s="6" t="s">
        <v>20</v>
      </c>
      <c r="O90" s="6" t="s">
        <v>20</v>
      </c>
      <c r="P90" s="6" t="s">
        <v>20</v>
      </c>
      <c r="Q90" s="6">
        <v>0.15</v>
      </c>
      <c r="R90" s="6">
        <v>7.0000000000000007E-2</v>
      </c>
      <c r="S90" s="6">
        <v>0.18</v>
      </c>
      <c r="T90" s="8">
        <v>16</v>
      </c>
      <c r="U90" s="5" t="s">
        <v>994</v>
      </c>
      <c r="V90" s="89">
        <v>0</v>
      </c>
      <c r="W90" s="15">
        <v>17897801311530</v>
      </c>
      <c r="X90" s="6">
        <v>0.45</v>
      </c>
      <c r="Y90" s="6">
        <v>0.2</v>
      </c>
      <c r="Z90" s="6">
        <v>0.7</v>
      </c>
      <c r="AA90" s="6">
        <f t="shared" si="2"/>
        <v>6.3E-2</v>
      </c>
      <c r="AB90" s="8">
        <v>480</v>
      </c>
      <c r="AC90" s="15">
        <v>27897801311537</v>
      </c>
      <c r="AD90" s="4" t="s">
        <v>992</v>
      </c>
    </row>
    <row r="91" spans="2:30" x14ac:dyDescent="0.35">
      <c r="B91" s="14">
        <v>214</v>
      </c>
      <c r="C91" s="4" t="s">
        <v>97</v>
      </c>
      <c r="D91" s="4" t="s">
        <v>2376</v>
      </c>
      <c r="E91" s="4" t="s">
        <v>2911</v>
      </c>
      <c r="F91" s="4" t="s">
        <v>85</v>
      </c>
      <c r="G91" s="4" t="s">
        <v>993</v>
      </c>
      <c r="H91" s="6">
        <v>3.5000000000000003E-2</v>
      </c>
      <c r="I91" s="8">
        <v>50</v>
      </c>
      <c r="J91" s="8">
        <v>31</v>
      </c>
      <c r="K91" s="8">
        <v>50</v>
      </c>
      <c r="L91" s="8">
        <f t="shared" si="1"/>
        <v>77500</v>
      </c>
      <c r="M91" s="15">
        <v>7897801311649</v>
      </c>
      <c r="N91" s="6" t="s">
        <v>20</v>
      </c>
      <c r="O91" s="6" t="s">
        <v>20</v>
      </c>
      <c r="P91" s="6" t="s">
        <v>20</v>
      </c>
      <c r="Q91" s="6">
        <v>0.25</v>
      </c>
      <c r="R91" s="6">
        <v>0.06</v>
      </c>
      <c r="S91" s="6">
        <v>0.27</v>
      </c>
      <c r="T91" s="8">
        <v>16</v>
      </c>
      <c r="U91" s="5" t="s">
        <v>994</v>
      </c>
      <c r="V91" s="89">
        <v>0</v>
      </c>
      <c r="W91" s="15">
        <v>17897801311646</v>
      </c>
      <c r="X91" s="6">
        <v>0.56999999999999995</v>
      </c>
      <c r="Y91" s="6">
        <v>0.2</v>
      </c>
      <c r="Z91" s="6">
        <v>0.84</v>
      </c>
      <c r="AA91" s="6">
        <f t="shared" si="2"/>
        <v>9.5759999999999984E-2</v>
      </c>
      <c r="AB91" s="8">
        <v>576</v>
      </c>
      <c r="AC91" s="15">
        <v>27897801311643</v>
      </c>
      <c r="AD91" s="4" t="s">
        <v>992</v>
      </c>
    </row>
    <row r="92" spans="2:30" x14ac:dyDescent="0.35">
      <c r="B92" s="14">
        <v>215</v>
      </c>
      <c r="C92" s="4" t="s">
        <v>98</v>
      </c>
      <c r="D92" s="4" t="s">
        <v>2376</v>
      </c>
      <c r="E92" s="4" t="s">
        <v>2911</v>
      </c>
      <c r="F92" s="4" t="s">
        <v>85</v>
      </c>
      <c r="G92" s="4" t="s">
        <v>993</v>
      </c>
      <c r="H92" s="6">
        <v>3.3500000000000002E-2</v>
      </c>
      <c r="I92" s="8">
        <v>50</v>
      </c>
      <c r="J92" s="8">
        <v>30</v>
      </c>
      <c r="K92" s="8">
        <v>50</v>
      </c>
      <c r="L92" s="8">
        <f t="shared" si="1"/>
        <v>75000</v>
      </c>
      <c r="M92" s="15">
        <v>7897801311755</v>
      </c>
      <c r="N92" s="6" t="s">
        <v>20</v>
      </c>
      <c r="O92" s="6" t="s">
        <v>20</v>
      </c>
      <c r="P92" s="6" t="s">
        <v>20</v>
      </c>
      <c r="Q92" s="6">
        <v>0.14000000000000001</v>
      </c>
      <c r="R92" s="6">
        <v>0.05</v>
      </c>
      <c r="S92" s="6">
        <v>0.24</v>
      </c>
      <c r="T92" s="8">
        <v>16</v>
      </c>
      <c r="U92" s="5" t="s">
        <v>994</v>
      </c>
      <c r="V92" s="89">
        <v>0</v>
      </c>
      <c r="W92" s="15">
        <v>17897801311752</v>
      </c>
      <c r="X92" s="6">
        <v>0.45</v>
      </c>
      <c r="Y92" s="6">
        <v>0.19</v>
      </c>
      <c r="Z92" s="6">
        <v>0.65</v>
      </c>
      <c r="AA92" s="6">
        <f t="shared" si="2"/>
        <v>5.5575000000000006E-2</v>
      </c>
      <c r="AB92" s="8">
        <v>576</v>
      </c>
      <c r="AC92" s="15">
        <v>27897801311759</v>
      </c>
      <c r="AD92" s="4" t="s">
        <v>992</v>
      </c>
    </row>
    <row r="93" spans="2:30" x14ac:dyDescent="0.35">
      <c r="B93" s="14">
        <v>216</v>
      </c>
      <c r="C93" s="4" t="s">
        <v>99</v>
      </c>
      <c r="D93" s="4" t="s">
        <v>2376</v>
      </c>
      <c r="E93" s="4" t="s">
        <v>2911</v>
      </c>
      <c r="F93" s="4" t="s">
        <v>85</v>
      </c>
      <c r="G93" s="4" t="s">
        <v>993</v>
      </c>
      <c r="H93" s="6">
        <v>2.75E-2</v>
      </c>
      <c r="I93" s="8">
        <v>40</v>
      </c>
      <c r="J93" s="8">
        <v>50</v>
      </c>
      <c r="K93" s="8">
        <v>40</v>
      </c>
      <c r="L93" s="8">
        <f t="shared" si="1"/>
        <v>80000</v>
      </c>
      <c r="M93" s="15">
        <v>7897801312219</v>
      </c>
      <c r="N93" s="6" t="s">
        <v>20</v>
      </c>
      <c r="O93" s="6" t="s">
        <v>20</v>
      </c>
      <c r="P93" s="6" t="s">
        <v>20</v>
      </c>
      <c r="Q93" s="6">
        <v>0.23</v>
      </c>
      <c r="R93" s="6">
        <v>6.0999999999999999E-2</v>
      </c>
      <c r="S93" s="6">
        <v>0.16500000000000001</v>
      </c>
      <c r="T93" s="8">
        <v>12</v>
      </c>
      <c r="U93" s="5" t="s">
        <v>994</v>
      </c>
      <c r="V93" s="89">
        <v>0</v>
      </c>
      <c r="W93" s="15">
        <v>17897801312216</v>
      </c>
      <c r="X93" s="6">
        <v>0.59</v>
      </c>
      <c r="Y93" s="6">
        <v>0.21</v>
      </c>
      <c r="Z93" s="6">
        <v>0.84</v>
      </c>
      <c r="AA93" s="6">
        <f t="shared" si="2"/>
        <v>0.10407599999999999</v>
      </c>
      <c r="AB93" s="8">
        <v>600</v>
      </c>
      <c r="AC93" s="15">
        <v>27897801312213</v>
      </c>
      <c r="AD93" s="4" t="s">
        <v>992</v>
      </c>
    </row>
    <row r="94" spans="2:30" x14ac:dyDescent="0.35">
      <c r="B94" s="14">
        <v>217</v>
      </c>
      <c r="C94" s="4" t="s">
        <v>100</v>
      </c>
      <c r="D94" s="4" t="s">
        <v>2376</v>
      </c>
      <c r="E94" s="4" t="s">
        <v>2911</v>
      </c>
      <c r="F94" s="4" t="s">
        <v>85</v>
      </c>
      <c r="G94" s="4" t="s">
        <v>993</v>
      </c>
      <c r="H94" s="6">
        <v>7.0800000000000002E-2</v>
      </c>
      <c r="I94" s="8">
        <v>40</v>
      </c>
      <c r="J94" s="8">
        <v>40</v>
      </c>
      <c r="K94" s="8">
        <v>60</v>
      </c>
      <c r="L94" s="8">
        <f t="shared" si="1"/>
        <v>96000</v>
      </c>
      <c r="M94" s="15">
        <v>7897801312226</v>
      </c>
      <c r="N94" s="6" t="s">
        <v>20</v>
      </c>
      <c r="O94" s="6" t="s">
        <v>20</v>
      </c>
      <c r="P94" s="6" t="s">
        <v>20</v>
      </c>
      <c r="Q94" s="6">
        <v>0.18</v>
      </c>
      <c r="R94" s="6">
        <v>0.06</v>
      </c>
      <c r="S94" s="6">
        <v>0.21</v>
      </c>
      <c r="T94" s="8">
        <v>8</v>
      </c>
      <c r="U94" s="5" t="s">
        <v>994</v>
      </c>
      <c r="V94" s="89">
        <v>0</v>
      </c>
      <c r="W94" s="15">
        <v>17897801312223</v>
      </c>
      <c r="X94" s="6">
        <v>0.45</v>
      </c>
      <c r="Y94" s="6">
        <v>0.28999999999999998</v>
      </c>
      <c r="Z94" s="6">
        <v>0.72</v>
      </c>
      <c r="AA94" s="6">
        <f t="shared" si="2"/>
        <v>9.3960000000000002E-2</v>
      </c>
      <c r="AB94" s="8">
        <v>320</v>
      </c>
      <c r="AC94" s="15">
        <v>27897801312220</v>
      </c>
      <c r="AD94" s="4" t="s">
        <v>992</v>
      </c>
    </row>
    <row r="95" spans="2:30" x14ac:dyDescent="0.35">
      <c r="B95" s="14">
        <v>218</v>
      </c>
      <c r="C95" s="4" t="s">
        <v>101</v>
      </c>
      <c r="D95" s="4" t="s">
        <v>2376</v>
      </c>
      <c r="E95" s="4" t="s">
        <v>2911</v>
      </c>
      <c r="F95" s="4" t="s">
        <v>85</v>
      </c>
      <c r="G95" s="4" t="s">
        <v>993</v>
      </c>
      <c r="H95" s="6">
        <v>5.4699999999999999E-2</v>
      </c>
      <c r="I95" s="8">
        <v>40</v>
      </c>
      <c r="J95" s="8">
        <v>40</v>
      </c>
      <c r="K95" s="8">
        <v>60</v>
      </c>
      <c r="L95" s="8">
        <f t="shared" si="1"/>
        <v>96000</v>
      </c>
      <c r="M95" s="15">
        <v>7897801312233</v>
      </c>
      <c r="N95" s="6" t="s">
        <v>20</v>
      </c>
      <c r="O95" s="6" t="s">
        <v>20</v>
      </c>
      <c r="P95" s="6" t="s">
        <v>20</v>
      </c>
      <c r="Q95" s="6">
        <v>0.114</v>
      </c>
      <c r="R95" s="6">
        <v>6.5000000000000002E-2</v>
      </c>
      <c r="S95" s="6">
        <v>0.11899999999999999</v>
      </c>
      <c r="T95" s="8">
        <v>8</v>
      </c>
      <c r="U95" s="5" t="s">
        <v>994</v>
      </c>
      <c r="V95" s="89">
        <v>0</v>
      </c>
      <c r="W95" s="15">
        <v>17897801312230</v>
      </c>
      <c r="X95" s="6">
        <v>0.45</v>
      </c>
      <c r="Y95" s="6">
        <v>0.21</v>
      </c>
      <c r="Z95" s="6">
        <v>0.65</v>
      </c>
      <c r="AA95" s="6">
        <f t="shared" si="2"/>
        <v>6.1425E-2</v>
      </c>
      <c r="AB95" s="8">
        <v>320</v>
      </c>
      <c r="AC95" s="15">
        <v>27897801312237</v>
      </c>
      <c r="AD95" s="4" t="s">
        <v>992</v>
      </c>
    </row>
    <row r="96" spans="2:30" x14ac:dyDescent="0.35">
      <c r="B96" s="14">
        <v>220</v>
      </c>
      <c r="C96" s="4" t="s">
        <v>102</v>
      </c>
      <c r="D96" s="4" t="s">
        <v>2376</v>
      </c>
      <c r="E96" s="4" t="s">
        <v>2911</v>
      </c>
      <c r="F96" s="4" t="s">
        <v>85</v>
      </c>
      <c r="G96" s="4" t="s">
        <v>993</v>
      </c>
      <c r="H96" s="6">
        <v>1.24E-2</v>
      </c>
      <c r="I96" s="8">
        <v>32</v>
      </c>
      <c r="J96" s="8">
        <v>28</v>
      </c>
      <c r="K96" s="8">
        <v>32</v>
      </c>
      <c r="L96" s="8">
        <f t="shared" si="1"/>
        <v>28672</v>
      </c>
      <c r="M96" s="15">
        <v>7897801309592</v>
      </c>
      <c r="N96" s="6" t="s">
        <v>20</v>
      </c>
      <c r="O96" s="6" t="s">
        <v>20</v>
      </c>
      <c r="P96" s="6" t="s">
        <v>20</v>
      </c>
      <c r="Q96" s="6">
        <v>0.21</v>
      </c>
      <c r="R96" s="6">
        <v>0.04</v>
      </c>
      <c r="S96" s="6">
        <v>0.255</v>
      </c>
      <c r="T96" s="8">
        <v>30</v>
      </c>
      <c r="U96" s="5" t="s">
        <v>994</v>
      </c>
      <c r="V96" s="89">
        <v>0</v>
      </c>
      <c r="W96" s="15">
        <v>17897801309599</v>
      </c>
      <c r="X96" s="6">
        <v>0.52</v>
      </c>
      <c r="Y96" s="6">
        <v>0.18</v>
      </c>
      <c r="Z96" s="6">
        <v>0.77</v>
      </c>
      <c r="AA96" s="6">
        <f t="shared" si="2"/>
        <v>7.2071999999999997E-2</v>
      </c>
      <c r="AB96" s="8">
        <v>1500</v>
      </c>
      <c r="AC96" s="15">
        <v>27897801309596</v>
      </c>
      <c r="AD96" s="4" t="s">
        <v>992</v>
      </c>
    </row>
    <row r="97" spans="2:30" x14ac:dyDescent="0.35">
      <c r="B97" s="14">
        <v>221</v>
      </c>
      <c r="C97" s="4" t="s">
        <v>103</v>
      </c>
      <c r="D97" s="4" t="s">
        <v>2376</v>
      </c>
      <c r="E97" s="4" t="s">
        <v>2911</v>
      </c>
      <c r="F97" s="4" t="s">
        <v>85</v>
      </c>
      <c r="G97" s="4" t="s">
        <v>993</v>
      </c>
      <c r="H97" s="6">
        <v>1.67E-2</v>
      </c>
      <c r="I97" s="8">
        <v>36</v>
      </c>
      <c r="J97" s="8">
        <v>23</v>
      </c>
      <c r="K97" s="8">
        <v>36</v>
      </c>
      <c r="L97" s="8">
        <f t="shared" si="1"/>
        <v>29808</v>
      </c>
      <c r="M97" s="15">
        <v>7897801309608</v>
      </c>
      <c r="N97" s="6" t="s">
        <v>20</v>
      </c>
      <c r="O97" s="6" t="s">
        <v>20</v>
      </c>
      <c r="P97" s="6" t="s">
        <v>20</v>
      </c>
      <c r="Q97" s="6">
        <v>0.24</v>
      </c>
      <c r="R97" s="6">
        <v>0.04</v>
      </c>
      <c r="S97" s="6">
        <v>0.245</v>
      </c>
      <c r="T97" s="8">
        <v>30</v>
      </c>
      <c r="U97" s="5" t="s">
        <v>994</v>
      </c>
      <c r="V97" s="89">
        <v>0</v>
      </c>
      <c r="W97" s="15">
        <v>17897801309605</v>
      </c>
      <c r="X97" s="6">
        <v>0.505</v>
      </c>
      <c r="Y97" s="6">
        <v>0.17</v>
      </c>
      <c r="Z97" s="6">
        <v>0.8</v>
      </c>
      <c r="AA97" s="6">
        <f t="shared" si="2"/>
        <v>6.8680000000000005E-2</v>
      </c>
      <c r="AB97" s="8">
        <v>1200</v>
      </c>
      <c r="AC97" s="15">
        <v>27897801309602</v>
      </c>
      <c r="AD97" s="4" t="s">
        <v>992</v>
      </c>
    </row>
    <row r="98" spans="2:30" x14ac:dyDescent="0.35">
      <c r="B98" s="14">
        <v>222</v>
      </c>
      <c r="C98" s="4" t="s">
        <v>104</v>
      </c>
      <c r="D98" s="4" t="s">
        <v>2376</v>
      </c>
      <c r="E98" s="4" t="s">
        <v>2911</v>
      </c>
      <c r="F98" s="4" t="s">
        <v>85</v>
      </c>
      <c r="G98" s="4" t="s">
        <v>993</v>
      </c>
      <c r="H98" s="6">
        <v>3.1099999999999999E-2</v>
      </c>
      <c r="I98" s="8">
        <v>44</v>
      </c>
      <c r="J98" s="8">
        <v>30</v>
      </c>
      <c r="K98" s="8">
        <v>42</v>
      </c>
      <c r="L98" s="8">
        <f t="shared" si="1"/>
        <v>55440</v>
      </c>
      <c r="M98" s="15">
        <v>7897801309714</v>
      </c>
      <c r="N98" s="6" t="s">
        <v>20</v>
      </c>
      <c r="O98" s="6" t="s">
        <v>20</v>
      </c>
      <c r="P98" s="6" t="s">
        <v>20</v>
      </c>
      <c r="Q98" s="6">
        <v>0.17</v>
      </c>
      <c r="R98" s="6">
        <v>4.4999999999999998E-2</v>
      </c>
      <c r="S98" s="6">
        <v>0.22</v>
      </c>
      <c r="T98" s="8">
        <v>15</v>
      </c>
      <c r="U98" s="5" t="s">
        <v>994</v>
      </c>
      <c r="V98" s="89">
        <v>0</v>
      </c>
      <c r="W98" s="15">
        <v>17897801309711</v>
      </c>
      <c r="X98" s="6">
        <v>0.4</v>
      </c>
      <c r="Y98" s="6">
        <v>0.18</v>
      </c>
      <c r="Z98" s="6">
        <v>0.6</v>
      </c>
      <c r="AA98" s="6">
        <f t="shared" si="2"/>
        <v>4.3199999999999995E-2</v>
      </c>
      <c r="AB98" s="8">
        <v>675</v>
      </c>
      <c r="AC98" s="15">
        <v>27897801309718</v>
      </c>
      <c r="AD98" s="4" t="s">
        <v>992</v>
      </c>
    </row>
    <row r="99" spans="2:30" x14ac:dyDescent="0.35">
      <c r="B99" s="14">
        <v>223</v>
      </c>
      <c r="C99" s="4" t="s">
        <v>105</v>
      </c>
      <c r="D99" s="4" t="s">
        <v>2376</v>
      </c>
      <c r="E99" s="4" t="s">
        <v>2911</v>
      </c>
      <c r="F99" s="4" t="s">
        <v>85</v>
      </c>
      <c r="G99" s="4" t="s">
        <v>993</v>
      </c>
      <c r="H99" s="6">
        <v>6.4100000000000004E-2</v>
      </c>
      <c r="I99" s="8">
        <v>60</v>
      </c>
      <c r="J99" s="8">
        <v>40</v>
      </c>
      <c r="K99" s="8">
        <v>60</v>
      </c>
      <c r="L99" s="8">
        <f t="shared" si="1"/>
        <v>144000</v>
      </c>
      <c r="M99" s="15">
        <v>7897801311434</v>
      </c>
      <c r="N99" s="6" t="s">
        <v>20</v>
      </c>
      <c r="O99" s="6" t="s">
        <v>20</v>
      </c>
      <c r="P99" s="6" t="s">
        <v>20</v>
      </c>
      <c r="Q99" s="6">
        <v>0.185</v>
      </c>
      <c r="R99" s="6">
        <v>6.3E-2</v>
      </c>
      <c r="S99" s="6">
        <v>0.215</v>
      </c>
      <c r="T99" s="8">
        <v>10</v>
      </c>
      <c r="U99" s="5" t="s">
        <v>994</v>
      </c>
      <c r="V99" s="89">
        <v>0</v>
      </c>
      <c r="W99" s="15">
        <v>17897801311431</v>
      </c>
      <c r="X99" s="6">
        <v>0.52</v>
      </c>
      <c r="Y99" s="6">
        <v>0.2</v>
      </c>
      <c r="Z99" s="6">
        <v>0.8</v>
      </c>
      <c r="AA99" s="6">
        <f t="shared" si="2"/>
        <v>8.320000000000001E-2</v>
      </c>
      <c r="AB99" s="8">
        <v>350</v>
      </c>
      <c r="AC99" s="15">
        <v>27897801311438</v>
      </c>
      <c r="AD99" s="4" t="s">
        <v>992</v>
      </c>
    </row>
    <row r="100" spans="2:30" x14ac:dyDescent="0.35">
      <c r="B100" s="14">
        <v>224</v>
      </c>
      <c r="C100" s="4" t="s">
        <v>106</v>
      </c>
      <c r="D100" s="4" t="s">
        <v>2376</v>
      </c>
      <c r="E100" s="4" t="s">
        <v>2911</v>
      </c>
      <c r="F100" s="4" t="s">
        <v>85</v>
      </c>
      <c r="G100" s="4" t="s">
        <v>993</v>
      </c>
      <c r="H100" s="6">
        <v>3.8300000000000001E-2</v>
      </c>
      <c r="I100" s="8">
        <v>16</v>
      </c>
      <c r="J100" s="8">
        <v>15</v>
      </c>
      <c r="K100" s="8">
        <v>4</v>
      </c>
      <c r="L100" s="8">
        <f t="shared" si="1"/>
        <v>960</v>
      </c>
      <c r="M100" s="15">
        <v>7897801319423</v>
      </c>
      <c r="N100" s="6">
        <v>0.16</v>
      </c>
      <c r="O100" s="6">
        <v>0.66</v>
      </c>
      <c r="P100" s="6">
        <v>0.47</v>
      </c>
      <c r="Q100" s="6">
        <v>0.15</v>
      </c>
      <c r="R100" s="6">
        <v>0.04</v>
      </c>
      <c r="S100" s="6">
        <v>0.16</v>
      </c>
      <c r="T100" s="8">
        <v>10</v>
      </c>
      <c r="U100" s="5" t="s">
        <v>994</v>
      </c>
      <c r="V100" s="89">
        <v>0</v>
      </c>
      <c r="W100" s="15">
        <v>17897801319420</v>
      </c>
      <c r="X100" s="6">
        <v>0.47</v>
      </c>
      <c r="Y100" s="6">
        <v>0.16</v>
      </c>
      <c r="Z100" s="6">
        <v>0.16</v>
      </c>
      <c r="AA100" s="6">
        <f t="shared" si="2"/>
        <v>1.2032000000000001E-2</v>
      </c>
      <c r="AB100" s="8">
        <v>500</v>
      </c>
      <c r="AC100" s="15">
        <v>27897801319427</v>
      </c>
      <c r="AD100" s="4" t="s">
        <v>992</v>
      </c>
    </row>
    <row r="101" spans="2:30" x14ac:dyDescent="0.35">
      <c r="B101" s="14">
        <v>225</v>
      </c>
      <c r="C101" s="4" t="s">
        <v>107</v>
      </c>
      <c r="D101" s="4" t="s">
        <v>2376</v>
      </c>
      <c r="E101" s="4" t="s">
        <v>2911</v>
      </c>
      <c r="F101" s="4" t="s">
        <v>85</v>
      </c>
      <c r="G101" s="4" t="s">
        <v>993</v>
      </c>
      <c r="H101" s="6">
        <v>7.0000000000000007E-2</v>
      </c>
      <c r="I101" s="8">
        <v>71</v>
      </c>
      <c r="J101" s="8">
        <v>17</v>
      </c>
      <c r="K101" s="8">
        <v>50</v>
      </c>
      <c r="L101" s="8">
        <f t="shared" si="1"/>
        <v>60350</v>
      </c>
      <c r="M101" s="15">
        <v>7897801319430</v>
      </c>
      <c r="N101" s="6" t="s">
        <v>20</v>
      </c>
      <c r="O101" s="6" t="s">
        <v>20</v>
      </c>
      <c r="P101" s="6" t="s">
        <v>20</v>
      </c>
      <c r="Q101" s="6">
        <v>0.155</v>
      </c>
      <c r="R101" s="6">
        <v>0.05</v>
      </c>
      <c r="S101" s="6">
        <v>0.19</v>
      </c>
      <c r="T101" s="8">
        <v>5</v>
      </c>
      <c r="U101" s="5" t="s">
        <v>994</v>
      </c>
      <c r="V101" s="89">
        <v>0</v>
      </c>
      <c r="W101" s="15">
        <v>17897801319437</v>
      </c>
      <c r="X101" s="6">
        <v>0.49</v>
      </c>
      <c r="Y101" s="6">
        <v>0.22</v>
      </c>
      <c r="Z101" s="6">
        <v>0.71</v>
      </c>
      <c r="AA101" s="6">
        <f t="shared" si="2"/>
        <v>7.6537999999999995E-2</v>
      </c>
      <c r="AB101" s="8">
        <v>250</v>
      </c>
      <c r="AC101" s="15">
        <v>27897801319434</v>
      </c>
      <c r="AD101" s="4" t="s">
        <v>992</v>
      </c>
    </row>
    <row r="102" spans="2:30" x14ac:dyDescent="0.35">
      <c r="B102" s="14">
        <v>226</v>
      </c>
      <c r="C102" s="4" t="s">
        <v>108</v>
      </c>
      <c r="D102" s="4" t="s">
        <v>2376</v>
      </c>
      <c r="E102" s="4" t="s">
        <v>2911</v>
      </c>
      <c r="F102" s="4" t="s">
        <v>85</v>
      </c>
      <c r="G102" s="4" t="s">
        <v>993</v>
      </c>
      <c r="H102" s="6">
        <v>1.9E-2</v>
      </c>
      <c r="I102" s="8">
        <v>60</v>
      </c>
      <c r="J102" s="8">
        <v>20</v>
      </c>
      <c r="K102" s="8">
        <v>60</v>
      </c>
      <c r="L102" s="8">
        <f t="shared" si="1"/>
        <v>72000</v>
      </c>
      <c r="M102" s="15">
        <v>7897801312721</v>
      </c>
      <c r="N102" s="6" t="s">
        <v>20</v>
      </c>
      <c r="O102" s="6" t="s">
        <v>20</v>
      </c>
      <c r="P102" s="6" t="s">
        <v>20</v>
      </c>
      <c r="Q102" s="6">
        <v>0.15</v>
      </c>
      <c r="R102" s="6">
        <v>0.05</v>
      </c>
      <c r="S102" s="6">
        <v>0.2</v>
      </c>
      <c r="T102" s="8">
        <v>24</v>
      </c>
      <c r="U102" s="5" t="s">
        <v>994</v>
      </c>
      <c r="V102" s="89">
        <v>0</v>
      </c>
      <c r="W102" s="15">
        <v>17897801312728</v>
      </c>
      <c r="X102" s="6">
        <v>0.5</v>
      </c>
      <c r="Y102" s="6">
        <v>0.2</v>
      </c>
      <c r="Z102" s="6">
        <v>0.65</v>
      </c>
      <c r="AA102" s="6">
        <f t="shared" si="2"/>
        <v>6.5000000000000002E-2</v>
      </c>
      <c r="AB102" s="8">
        <v>960</v>
      </c>
      <c r="AC102" s="15">
        <v>27897801312725</v>
      </c>
      <c r="AD102" s="4" t="s">
        <v>992</v>
      </c>
    </row>
    <row r="103" spans="2:30" x14ac:dyDescent="0.35">
      <c r="B103" s="14">
        <v>227</v>
      </c>
      <c r="C103" s="4" t="s">
        <v>109</v>
      </c>
      <c r="D103" s="4" t="s">
        <v>2376</v>
      </c>
      <c r="E103" s="4" t="s">
        <v>2911</v>
      </c>
      <c r="F103" s="4" t="s">
        <v>85</v>
      </c>
      <c r="G103" s="4" t="s">
        <v>993</v>
      </c>
      <c r="H103" s="6">
        <v>3.1E-2</v>
      </c>
      <c r="I103" s="8">
        <v>130</v>
      </c>
      <c r="J103" s="8">
        <v>20</v>
      </c>
      <c r="K103" s="8">
        <v>80</v>
      </c>
      <c r="L103" s="8">
        <f t="shared" si="1"/>
        <v>208000</v>
      </c>
      <c r="M103" s="15">
        <v>7897801312738</v>
      </c>
      <c r="N103" s="6" t="s">
        <v>20</v>
      </c>
      <c r="O103" s="6" t="s">
        <v>20</v>
      </c>
      <c r="P103" s="6" t="s">
        <v>20</v>
      </c>
      <c r="Q103" s="6">
        <v>0.23</v>
      </c>
      <c r="R103" s="6">
        <v>7.0000000000000007E-2</v>
      </c>
      <c r="S103" s="6">
        <v>0.3</v>
      </c>
      <c r="T103" s="8">
        <v>24</v>
      </c>
      <c r="U103" s="5" t="s">
        <v>994</v>
      </c>
      <c r="V103" s="89">
        <v>0</v>
      </c>
      <c r="W103" s="15">
        <v>17897801312735</v>
      </c>
      <c r="X103" s="6">
        <v>0.5</v>
      </c>
      <c r="Y103" s="6">
        <v>0.25</v>
      </c>
      <c r="Z103" s="6">
        <v>0.7</v>
      </c>
      <c r="AA103" s="6">
        <f t="shared" si="2"/>
        <v>8.7499999999999994E-2</v>
      </c>
      <c r="AB103" s="8">
        <v>480</v>
      </c>
      <c r="AC103" s="15">
        <v>27897801312732</v>
      </c>
      <c r="AD103" s="4" t="s">
        <v>992</v>
      </c>
    </row>
    <row r="104" spans="2:30" x14ac:dyDescent="0.35">
      <c r="B104" s="14">
        <v>228</v>
      </c>
      <c r="C104" s="4" t="s">
        <v>110</v>
      </c>
      <c r="D104" s="4" t="s">
        <v>2376</v>
      </c>
      <c r="E104" s="4" t="s">
        <v>2911</v>
      </c>
      <c r="F104" s="4" t="s">
        <v>85</v>
      </c>
      <c r="G104" s="4" t="s">
        <v>993</v>
      </c>
      <c r="H104" s="6">
        <v>9.4700000000000006E-2</v>
      </c>
      <c r="I104" s="8">
        <v>150</v>
      </c>
      <c r="J104" s="8">
        <v>40</v>
      </c>
      <c r="K104" s="8">
        <v>40</v>
      </c>
      <c r="L104" s="8">
        <f t="shared" si="1"/>
        <v>240000</v>
      </c>
      <c r="M104" s="15">
        <v>7897801312639</v>
      </c>
      <c r="N104" s="6" t="s">
        <v>20</v>
      </c>
      <c r="O104" s="6" t="s">
        <v>20</v>
      </c>
      <c r="P104" s="6" t="s">
        <v>20</v>
      </c>
      <c r="Q104" s="6">
        <v>0.18</v>
      </c>
      <c r="R104" s="6">
        <v>0.09</v>
      </c>
      <c r="S104" s="6">
        <v>0.26</v>
      </c>
      <c r="T104" s="8">
        <v>8</v>
      </c>
      <c r="U104" s="5" t="s">
        <v>994</v>
      </c>
      <c r="V104" s="89">
        <v>0</v>
      </c>
      <c r="W104" s="15">
        <v>17897801312636</v>
      </c>
      <c r="X104" s="6">
        <v>0.45</v>
      </c>
      <c r="Y104" s="6">
        <v>0.25</v>
      </c>
      <c r="Z104" s="6">
        <v>0.65</v>
      </c>
      <c r="AA104" s="6">
        <f t="shared" si="2"/>
        <v>7.3125000000000009E-2</v>
      </c>
      <c r="AB104" s="8">
        <v>160</v>
      </c>
      <c r="AC104" s="15">
        <v>27897801312633</v>
      </c>
      <c r="AD104" s="4" t="s">
        <v>992</v>
      </c>
    </row>
    <row r="105" spans="2:30" x14ac:dyDescent="0.35">
      <c r="B105" s="14">
        <v>229</v>
      </c>
      <c r="C105" s="4" t="s">
        <v>111</v>
      </c>
      <c r="D105" s="4" t="s">
        <v>2376</v>
      </c>
      <c r="E105" s="4" t="s">
        <v>2911</v>
      </c>
      <c r="F105" s="4" t="s">
        <v>85</v>
      </c>
      <c r="G105" s="4" t="s">
        <v>993</v>
      </c>
      <c r="H105" s="6">
        <v>0.151</v>
      </c>
      <c r="I105" s="8">
        <v>30</v>
      </c>
      <c r="J105" s="8">
        <v>30</v>
      </c>
      <c r="K105" s="8">
        <v>40</v>
      </c>
      <c r="L105" s="8">
        <f t="shared" si="1"/>
        <v>36000</v>
      </c>
      <c r="M105" s="15">
        <v>7897801312646</v>
      </c>
      <c r="N105" s="6" t="s">
        <v>20</v>
      </c>
      <c r="O105" s="6" t="s">
        <v>20</v>
      </c>
      <c r="P105" s="6" t="s">
        <v>20</v>
      </c>
      <c r="Q105" s="6">
        <v>0.25</v>
      </c>
      <c r="R105" s="6">
        <v>0.1</v>
      </c>
      <c r="S105" s="6">
        <v>0.38500000000000001</v>
      </c>
      <c r="T105" s="8">
        <v>10</v>
      </c>
      <c r="U105" s="5" t="s">
        <v>994</v>
      </c>
      <c r="V105" s="89">
        <v>0</v>
      </c>
      <c r="W105" s="15">
        <v>17897801312643</v>
      </c>
      <c r="X105" s="6">
        <v>0.59</v>
      </c>
      <c r="Y105" s="6">
        <v>0.2</v>
      </c>
      <c r="Z105" s="6">
        <v>0.86</v>
      </c>
      <c r="AA105" s="6">
        <f t="shared" si="2"/>
        <v>0.10147999999999999</v>
      </c>
      <c r="AB105" s="8">
        <v>100</v>
      </c>
      <c r="AC105" s="15">
        <v>27897801312640</v>
      </c>
      <c r="AD105" s="4" t="s">
        <v>992</v>
      </c>
    </row>
    <row r="106" spans="2:30" x14ac:dyDescent="0.35">
      <c r="B106" s="14">
        <v>230</v>
      </c>
      <c r="C106" s="4" t="s">
        <v>112</v>
      </c>
      <c r="D106" s="4" t="s">
        <v>2376</v>
      </c>
      <c r="E106" s="4" t="s">
        <v>2911</v>
      </c>
      <c r="F106" s="4" t="s">
        <v>85</v>
      </c>
      <c r="G106" s="4" t="s">
        <v>993</v>
      </c>
      <c r="H106" s="6">
        <v>5.8799999999999998E-2</v>
      </c>
      <c r="I106" s="8">
        <v>10</v>
      </c>
      <c r="J106" s="8">
        <v>30</v>
      </c>
      <c r="K106" s="8">
        <v>30</v>
      </c>
      <c r="L106" s="8">
        <f t="shared" si="1"/>
        <v>9000</v>
      </c>
      <c r="M106" s="15">
        <v>7897801312745</v>
      </c>
      <c r="N106" s="6" t="s">
        <v>20</v>
      </c>
      <c r="O106" s="6" t="s">
        <v>20</v>
      </c>
      <c r="P106" s="6" t="s">
        <v>20</v>
      </c>
      <c r="Q106" s="6">
        <v>0.2</v>
      </c>
      <c r="R106" s="6">
        <v>5.5E-2</v>
      </c>
      <c r="S106" s="6">
        <v>0.25</v>
      </c>
      <c r="T106" s="8">
        <v>12</v>
      </c>
      <c r="U106" s="5" t="s">
        <v>994</v>
      </c>
      <c r="V106" s="89">
        <v>0</v>
      </c>
      <c r="W106" s="15">
        <v>17897801312742</v>
      </c>
      <c r="X106" s="6">
        <v>0.45</v>
      </c>
      <c r="Y106" s="6">
        <v>0.2</v>
      </c>
      <c r="Z106" s="6">
        <v>0.68</v>
      </c>
      <c r="AA106" s="6">
        <f t="shared" si="2"/>
        <v>6.1200000000000011E-2</v>
      </c>
      <c r="AB106" s="8">
        <v>240</v>
      </c>
      <c r="AC106" s="15">
        <v>27897801312749</v>
      </c>
      <c r="AD106" s="4" t="s">
        <v>992</v>
      </c>
    </row>
    <row r="107" spans="2:30" x14ac:dyDescent="0.35">
      <c r="B107" s="14">
        <v>250</v>
      </c>
      <c r="C107" s="4" t="s">
        <v>113</v>
      </c>
      <c r="D107" s="4" t="s">
        <v>2376</v>
      </c>
      <c r="E107" s="4" t="s">
        <v>2911</v>
      </c>
      <c r="F107" s="4" t="s">
        <v>85</v>
      </c>
      <c r="G107" s="4" t="s">
        <v>993</v>
      </c>
      <c r="H107" s="6">
        <v>2.6499999999999999E-2</v>
      </c>
      <c r="I107" s="8">
        <v>50</v>
      </c>
      <c r="J107" s="8">
        <v>35</v>
      </c>
      <c r="K107" s="8">
        <v>30</v>
      </c>
      <c r="L107" s="8">
        <f t="shared" si="1"/>
        <v>52500</v>
      </c>
      <c r="M107" s="15">
        <v>7897801311656</v>
      </c>
      <c r="N107" s="6" t="s">
        <v>20</v>
      </c>
      <c r="O107" s="6" t="s">
        <v>20</v>
      </c>
      <c r="P107" s="6" t="s">
        <v>20</v>
      </c>
      <c r="Q107" s="6">
        <v>0.16</v>
      </c>
      <c r="R107" s="6">
        <v>3.1E-2</v>
      </c>
      <c r="S107" s="6">
        <v>0.19500000000000001</v>
      </c>
      <c r="T107" s="8">
        <v>15</v>
      </c>
      <c r="U107" s="5" t="s">
        <v>994</v>
      </c>
      <c r="V107" s="89">
        <v>0</v>
      </c>
      <c r="W107" s="15">
        <v>17897801311653</v>
      </c>
      <c r="X107" s="6">
        <v>0.54</v>
      </c>
      <c r="Y107" s="6">
        <v>0.17499999999999999</v>
      </c>
      <c r="Z107" s="6">
        <v>0.79</v>
      </c>
      <c r="AA107" s="6">
        <f t="shared" si="2"/>
        <v>7.4654999999999999E-2</v>
      </c>
      <c r="AB107" s="8">
        <v>825</v>
      </c>
      <c r="AC107" s="15">
        <v>27897801311650</v>
      </c>
      <c r="AD107" s="4" t="s">
        <v>992</v>
      </c>
    </row>
    <row r="108" spans="2:30" x14ac:dyDescent="0.35">
      <c r="B108" s="14">
        <v>251</v>
      </c>
      <c r="C108" s="4" t="s">
        <v>114</v>
      </c>
      <c r="D108" s="4" t="s">
        <v>2376</v>
      </c>
      <c r="E108" s="4" t="s">
        <v>2911</v>
      </c>
      <c r="F108" s="4" t="s">
        <v>85</v>
      </c>
      <c r="G108" s="4" t="s">
        <v>993</v>
      </c>
      <c r="H108" s="6">
        <v>3.6999999999999998E-2</v>
      </c>
      <c r="I108" s="8">
        <v>65</v>
      </c>
      <c r="J108" s="8">
        <v>45</v>
      </c>
      <c r="K108" s="8">
        <v>35</v>
      </c>
      <c r="L108" s="8">
        <f t="shared" si="1"/>
        <v>102375</v>
      </c>
      <c r="M108" s="15">
        <v>7897801311496</v>
      </c>
      <c r="N108" s="6" t="s">
        <v>20</v>
      </c>
      <c r="O108" s="6" t="s">
        <v>20</v>
      </c>
      <c r="P108" s="6" t="s">
        <v>20</v>
      </c>
      <c r="Q108" s="6">
        <v>0.24</v>
      </c>
      <c r="R108" s="6">
        <v>0.05</v>
      </c>
      <c r="S108" s="6">
        <v>0.24</v>
      </c>
      <c r="T108" s="8">
        <v>15</v>
      </c>
      <c r="U108" s="5" t="s">
        <v>994</v>
      </c>
      <c r="V108" s="89">
        <v>0</v>
      </c>
      <c r="W108" s="15">
        <v>17897801311493</v>
      </c>
      <c r="X108" s="6">
        <v>0.56000000000000005</v>
      </c>
      <c r="Y108" s="6">
        <v>0.21</v>
      </c>
      <c r="Z108" s="6">
        <v>0.81</v>
      </c>
      <c r="AA108" s="6">
        <f t="shared" si="2"/>
        <v>9.5256000000000021E-2</v>
      </c>
      <c r="AB108" s="8">
        <v>600</v>
      </c>
      <c r="AC108" s="15">
        <v>27897801311490</v>
      </c>
      <c r="AD108" s="4" t="s">
        <v>992</v>
      </c>
    </row>
    <row r="109" spans="2:30" x14ac:dyDescent="0.35">
      <c r="B109" s="14">
        <v>252</v>
      </c>
      <c r="C109" s="4" t="s">
        <v>115</v>
      </c>
      <c r="D109" s="4" t="s">
        <v>2376</v>
      </c>
      <c r="E109" s="4" t="s">
        <v>2911</v>
      </c>
      <c r="F109" s="4" t="s">
        <v>85</v>
      </c>
      <c r="G109" s="4" t="s">
        <v>993</v>
      </c>
      <c r="H109" s="6">
        <v>3.8699999999999998E-2</v>
      </c>
      <c r="I109" s="8">
        <v>78</v>
      </c>
      <c r="J109" s="8">
        <v>50</v>
      </c>
      <c r="K109" s="8">
        <v>44</v>
      </c>
      <c r="L109" s="8">
        <f t="shared" si="1"/>
        <v>171600</v>
      </c>
      <c r="M109" s="15">
        <v>7897801312240</v>
      </c>
      <c r="N109" s="6" t="s">
        <v>20</v>
      </c>
      <c r="O109" s="6" t="s">
        <v>20</v>
      </c>
      <c r="P109" s="6" t="s">
        <v>20</v>
      </c>
      <c r="Q109" s="6">
        <v>0.14000000000000001</v>
      </c>
      <c r="R109" s="6">
        <v>0.08</v>
      </c>
      <c r="S109" s="6">
        <v>0.18</v>
      </c>
      <c r="T109" s="8">
        <v>8</v>
      </c>
      <c r="U109" s="5" t="s">
        <v>994</v>
      </c>
      <c r="V109" s="89">
        <v>0</v>
      </c>
      <c r="W109" s="15">
        <v>17897801312247</v>
      </c>
      <c r="X109" s="6">
        <v>0.45</v>
      </c>
      <c r="Y109" s="6">
        <v>0.18</v>
      </c>
      <c r="Z109" s="6">
        <v>0.65</v>
      </c>
      <c r="AA109" s="6">
        <f t="shared" si="2"/>
        <v>5.2650000000000002E-2</v>
      </c>
      <c r="AB109" s="8">
        <v>336</v>
      </c>
      <c r="AC109" s="15">
        <v>27897801312244</v>
      </c>
      <c r="AD109" s="4" t="s">
        <v>992</v>
      </c>
    </row>
    <row r="110" spans="2:30" x14ac:dyDescent="0.35">
      <c r="B110" s="14">
        <v>254</v>
      </c>
      <c r="C110" s="4" t="s">
        <v>116</v>
      </c>
      <c r="D110" s="4" t="s">
        <v>2376</v>
      </c>
      <c r="E110" s="4" t="s">
        <v>2911</v>
      </c>
      <c r="F110" s="4" t="s">
        <v>85</v>
      </c>
      <c r="G110" s="4" t="s">
        <v>993</v>
      </c>
      <c r="H110" s="6">
        <v>0.114</v>
      </c>
      <c r="I110" s="8">
        <v>90</v>
      </c>
      <c r="J110" s="8">
        <v>60</v>
      </c>
      <c r="K110" s="8">
        <v>60</v>
      </c>
      <c r="L110" s="8">
        <f t="shared" si="1"/>
        <v>324000</v>
      </c>
      <c r="M110" s="15">
        <v>7897801312257</v>
      </c>
      <c r="N110" s="6" t="s">
        <v>20</v>
      </c>
      <c r="O110" s="6" t="s">
        <v>20</v>
      </c>
      <c r="P110" s="6" t="s">
        <v>20</v>
      </c>
      <c r="Q110" s="6">
        <v>0.2</v>
      </c>
      <c r="R110" s="6">
        <v>0.08</v>
      </c>
      <c r="S110" s="6">
        <v>0.26</v>
      </c>
      <c r="T110" s="8">
        <v>8</v>
      </c>
      <c r="U110" s="5" t="s">
        <v>994</v>
      </c>
      <c r="V110" s="89">
        <v>0</v>
      </c>
      <c r="W110" s="15">
        <v>17897801312254</v>
      </c>
      <c r="X110" s="6">
        <v>0.45</v>
      </c>
      <c r="Y110" s="6">
        <v>0.24</v>
      </c>
      <c r="Z110" s="6">
        <v>0.65</v>
      </c>
      <c r="AA110" s="6">
        <f t="shared" si="2"/>
        <v>7.0199999999999999E-2</v>
      </c>
      <c r="AB110" s="8">
        <v>192</v>
      </c>
      <c r="AC110" s="15">
        <v>27897801312251</v>
      </c>
      <c r="AD110" s="4" t="s">
        <v>992</v>
      </c>
    </row>
    <row r="111" spans="2:30" x14ac:dyDescent="0.35">
      <c r="B111" s="14">
        <v>256</v>
      </c>
      <c r="C111" s="4" t="s">
        <v>117</v>
      </c>
      <c r="D111" s="4" t="s">
        <v>2376</v>
      </c>
      <c r="E111" s="4" t="s">
        <v>2911</v>
      </c>
      <c r="F111" s="4" t="s">
        <v>85</v>
      </c>
      <c r="G111" s="4" t="s">
        <v>993</v>
      </c>
      <c r="H111" s="6">
        <v>2.6700000000000002E-2</v>
      </c>
      <c r="I111" s="8">
        <v>43</v>
      </c>
      <c r="J111" s="8">
        <v>30</v>
      </c>
      <c r="K111" s="8">
        <v>43</v>
      </c>
      <c r="L111" s="8">
        <f t="shared" si="1"/>
        <v>55470</v>
      </c>
      <c r="M111" s="15">
        <v>7897801302418</v>
      </c>
      <c r="N111" s="6" t="s">
        <v>20</v>
      </c>
      <c r="O111" s="6" t="s">
        <v>20</v>
      </c>
      <c r="P111" s="6" t="s">
        <v>20</v>
      </c>
      <c r="Q111" s="6">
        <v>0.21</v>
      </c>
      <c r="R111" s="6">
        <v>0.05</v>
      </c>
      <c r="S111" s="6">
        <v>0.25</v>
      </c>
      <c r="T111" s="8">
        <v>20</v>
      </c>
      <c r="U111" s="5" t="s">
        <v>994</v>
      </c>
      <c r="V111" s="89">
        <v>0</v>
      </c>
      <c r="W111" s="15">
        <v>17897801302415</v>
      </c>
      <c r="X111" s="6">
        <v>0.55000000000000004</v>
      </c>
      <c r="Y111" s="6">
        <v>0.21</v>
      </c>
      <c r="Z111" s="6">
        <v>0.74</v>
      </c>
      <c r="AA111" s="6">
        <f t="shared" si="2"/>
        <v>8.5470000000000004E-2</v>
      </c>
      <c r="AB111" s="8">
        <v>800</v>
      </c>
      <c r="AC111" s="15">
        <v>47897801302416</v>
      </c>
      <c r="AD111" s="4" t="s">
        <v>992</v>
      </c>
    </row>
    <row r="112" spans="2:30" x14ac:dyDescent="0.35">
      <c r="B112" s="14">
        <v>257</v>
      </c>
      <c r="C112" s="4" t="s">
        <v>118</v>
      </c>
      <c r="D112" s="4" t="s">
        <v>2376</v>
      </c>
      <c r="E112" s="4" t="s">
        <v>2911</v>
      </c>
      <c r="F112" s="4" t="s">
        <v>85</v>
      </c>
      <c r="G112" s="4" t="s">
        <v>993</v>
      </c>
      <c r="H112" s="6">
        <v>3.85E-2</v>
      </c>
      <c r="I112" s="8">
        <v>48</v>
      </c>
      <c r="J112" s="8">
        <v>36</v>
      </c>
      <c r="K112" s="8">
        <v>48</v>
      </c>
      <c r="L112" s="8">
        <f t="shared" si="1"/>
        <v>82944</v>
      </c>
      <c r="M112" s="15">
        <v>7897801301404</v>
      </c>
      <c r="N112" s="6" t="s">
        <v>20</v>
      </c>
      <c r="O112" s="6" t="s">
        <v>20</v>
      </c>
      <c r="P112" s="6" t="s">
        <v>20</v>
      </c>
      <c r="Q112" s="6">
        <v>0.22</v>
      </c>
      <c r="R112" s="6">
        <v>0.06</v>
      </c>
      <c r="S112" s="6">
        <v>0.24</v>
      </c>
      <c r="T112" s="8">
        <v>20</v>
      </c>
      <c r="U112" s="5" t="s">
        <v>994</v>
      </c>
      <c r="V112" s="89">
        <v>0</v>
      </c>
      <c r="W112" s="15">
        <v>17897801301401</v>
      </c>
      <c r="X112" s="6">
        <v>0.52</v>
      </c>
      <c r="Y112" s="6">
        <v>0.18</v>
      </c>
      <c r="Z112" s="6">
        <v>0.78</v>
      </c>
      <c r="AA112" s="6">
        <f t="shared" si="2"/>
        <v>7.3008000000000003E-2</v>
      </c>
      <c r="AB112" s="8">
        <v>560</v>
      </c>
      <c r="AC112" s="15">
        <v>47897801301402</v>
      </c>
      <c r="AD112" s="4" t="s">
        <v>992</v>
      </c>
    </row>
    <row r="113" spans="2:30" x14ac:dyDescent="0.35">
      <c r="B113" s="14">
        <v>258</v>
      </c>
      <c r="C113" s="4" t="s">
        <v>119</v>
      </c>
      <c r="D113" s="4" t="s">
        <v>2376</v>
      </c>
      <c r="E113" s="4" t="s">
        <v>2911</v>
      </c>
      <c r="F113" s="4" t="s">
        <v>85</v>
      </c>
      <c r="G113" s="4" t="s">
        <v>993</v>
      </c>
      <c r="H113" s="6">
        <v>6.5799999999999997E-2</v>
      </c>
      <c r="I113" s="8">
        <v>61</v>
      </c>
      <c r="J113" s="8">
        <v>44</v>
      </c>
      <c r="K113" s="8">
        <v>61</v>
      </c>
      <c r="L113" s="8">
        <f t="shared" si="1"/>
        <v>163724</v>
      </c>
      <c r="M113" s="15">
        <v>7897801308854</v>
      </c>
      <c r="N113" s="6" t="s">
        <v>20</v>
      </c>
      <c r="O113" s="6" t="s">
        <v>20</v>
      </c>
      <c r="P113" s="6" t="s">
        <v>20</v>
      </c>
      <c r="Q113" s="6">
        <v>0.23</v>
      </c>
      <c r="R113" s="6">
        <v>0.09</v>
      </c>
      <c r="S113" s="6">
        <v>0.27</v>
      </c>
      <c r="T113" s="8">
        <v>24</v>
      </c>
      <c r="U113" s="5" t="s">
        <v>994</v>
      </c>
      <c r="V113" s="89">
        <v>0</v>
      </c>
      <c r="W113" s="15">
        <v>17897801308851</v>
      </c>
      <c r="X113" s="6">
        <v>0.53</v>
      </c>
      <c r="Y113" s="6">
        <v>0.23</v>
      </c>
      <c r="Z113" s="6">
        <v>0.78</v>
      </c>
      <c r="AA113" s="6">
        <f t="shared" si="2"/>
        <v>9.5082000000000014E-2</v>
      </c>
      <c r="AB113" s="8">
        <v>360</v>
      </c>
      <c r="AC113" s="15">
        <v>47897801308852</v>
      </c>
      <c r="AD113" s="4" t="s">
        <v>992</v>
      </c>
    </row>
    <row r="114" spans="2:30" x14ac:dyDescent="0.35">
      <c r="B114" s="14">
        <v>259</v>
      </c>
      <c r="C114" s="4" t="s">
        <v>120</v>
      </c>
      <c r="D114" s="4" t="s">
        <v>2376</v>
      </c>
      <c r="E114" s="4" t="s">
        <v>2911</v>
      </c>
      <c r="F114" s="4" t="s">
        <v>85</v>
      </c>
      <c r="G114" s="4" t="s">
        <v>993</v>
      </c>
      <c r="H114" s="6">
        <v>0.1087</v>
      </c>
      <c r="I114" s="8">
        <v>55</v>
      </c>
      <c r="J114" s="8">
        <v>75</v>
      </c>
      <c r="K114" s="8">
        <v>75</v>
      </c>
      <c r="L114" s="8">
        <f t="shared" si="1"/>
        <v>309375</v>
      </c>
      <c r="M114" s="15">
        <v>7897801311854</v>
      </c>
      <c r="N114" s="6" t="s">
        <v>20</v>
      </c>
      <c r="O114" s="6" t="s">
        <v>20</v>
      </c>
      <c r="P114" s="6" t="s">
        <v>20</v>
      </c>
      <c r="Q114" s="6">
        <v>0.16</v>
      </c>
      <c r="R114" s="6">
        <v>7.0000000000000007E-2</v>
      </c>
      <c r="S114" s="6">
        <v>0.28000000000000003</v>
      </c>
      <c r="T114" s="8">
        <v>8</v>
      </c>
      <c r="U114" s="5" t="s">
        <v>994</v>
      </c>
      <c r="V114" s="89">
        <v>0</v>
      </c>
      <c r="W114" s="15">
        <v>17897801311851</v>
      </c>
      <c r="X114" s="6">
        <v>0.45</v>
      </c>
      <c r="Y114" s="6">
        <v>0.18</v>
      </c>
      <c r="Z114" s="6">
        <v>0.65</v>
      </c>
      <c r="AA114" s="6">
        <f t="shared" si="2"/>
        <v>5.2650000000000002E-2</v>
      </c>
      <c r="AB114" s="8">
        <v>160</v>
      </c>
      <c r="AC114" s="15">
        <v>27897801311858</v>
      </c>
      <c r="AD114" s="4" t="s">
        <v>992</v>
      </c>
    </row>
    <row r="115" spans="2:30" x14ac:dyDescent="0.35">
      <c r="B115" s="14">
        <v>260</v>
      </c>
      <c r="C115" s="4" t="s">
        <v>121</v>
      </c>
      <c r="D115" s="4" t="s">
        <v>2376</v>
      </c>
      <c r="E115" s="4" t="s">
        <v>2911</v>
      </c>
      <c r="F115" s="4" t="s">
        <v>85</v>
      </c>
      <c r="G115" s="4" t="s">
        <v>993</v>
      </c>
      <c r="H115" s="6">
        <v>0.14460000000000001</v>
      </c>
      <c r="I115" s="8">
        <v>60</v>
      </c>
      <c r="J115" s="8">
        <v>85</v>
      </c>
      <c r="K115" s="8">
        <v>85</v>
      </c>
      <c r="L115" s="8">
        <f t="shared" si="1"/>
        <v>433500</v>
      </c>
      <c r="M115" s="15">
        <v>7897801311618</v>
      </c>
      <c r="N115" s="6" t="s">
        <v>20</v>
      </c>
      <c r="O115" s="6" t="s">
        <v>20</v>
      </c>
      <c r="P115" s="6" t="s">
        <v>20</v>
      </c>
      <c r="Q115" s="6">
        <v>0.21</v>
      </c>
      <c r="R115" s="6">
        <v>8.5000000000000006E-2</v>
      </c>
      <c r="S115" s="6">
        <v>0.33</v>
      </c>
      <c r="T115" s="8">
        <v>10</v>
      </c>
      <c r="U115" s="5" t="s">
        <v>994</v>
      </c>
      <c r="V115" s="89">
        <v>0</v>
      </c>
      <c r="W115" s="15">
        <v>17897801311615</v>
      </c>
      <c r="X115" s="6">
        <v>0.5</v>
      </c>
      <c r="Y115" s="6">
        <v>0.21</v>
      </c>
      <c r="Z115" s="6">
        <v>0.75</v>
      </c>
      <c r="AA115" s="6">
        <f t="shared" si="2"/>
        <v>7.8750000000000001E-2</v>
      </c>
      <c r="AB115" s="8">
        <v>120</v>
      </c>
      <c r="AC115" s="15">
        <v>27897801311612</v>
      </c>
      <c r="AD115" s="4" t="s">
        <v>992</v>
      </c>
    </row>
    <row r="116" spans="2:30" x14ac:dyDescent="0.35">
      <c r="B116" s="14">
        <v>261</v>
      </c>
      <c r="C116" s="4" t="s">
        <v>122</v>
      </c>
      <c r="D116" s="4" t="s">
        <v>2376</v>
      </c>
      <c r="E116" s="4" t="s">
        <v>2911</v>
      </c>
      <c r="F116" s="4" t="s">
        <v>85</v>
      </c>
      <c r="G116" s="4" t="s">
        <v>993</v>
      </c>
      <c r="H116" s="6">
        <v>0.2072</v>
      </c>
      <c r="I116" s="8">
        <v>100</v>
      </c>
      <c r="J116" s="8">
        <v>100</v>
      </c>
      <c r="K116" s="8">
        <v>75</v>
      </c>
      <c r="L116" s="8">
        <f t="shared" si="1"/>
        <v>750000</v>
      </c>
      <c r="M116" s="15">
        <v>7897801311892</v>
      </c>
      <c r="N116" s="6" t="s">
        <v>20</v>
      </c>
      <c r="O116" s="6" t="s">
        <v>20</v>
      </c>
      <c r="P116" s="6" t="s">
        <v>20</v>
      </c>
      <c r="Q116" s="6">
        <v>0.26</v>
      </c>
      <c r="R116" s="6">
        <v>0.1</v>
      </c>
      <c r="S116" s="6">
        <v>0.27</v>
      </c>
      <c r="T116" s="8">
        <v>8</v>
      </c>
      <c r="U116" s="5" t="s">
        <v>994</v>
      </c>
      <c r="V116" s="89">
        <v>0</v>
      </c>
      <c r="W116" s="15">
        <v>17897801311899</v>
      </c>
      <c r="X116" s="6">
        <v>0.5</v>
      </c>
      <c r="Y116" s="6">
        <v>0.25</v>
      </c>
      <c r="Z116" s="6">
        <v>0.65</v>
      </c>
      <c r="AA116" s="6">
        <f t="shared" si="2"/>
        <v>8.1250000000000003E-2</v>
      </c>
      <c r="AB116" s="8">
        <v>80</v>
      </c>
      <c r="AC116" s="15">
        <v>27897801311896</v>
      </c>
      <c r="AD116" s="4" t="s">
        <v>992</v>
      </c>
    </row>
    <row r="117" spans="2:30" x14ac:dyDescent="0.35">
      <c r="B117" s="14">
        <v>262</v>
      </c>
      <c r="C117" s="4" t="s">
        <v>123</v>
      </c>
      <c r="D117" s="4" t="s">
        <v>2376</v>
      </c>
      <c r="E117" s="4" t="s">
        <v>2911</v>
      </c>
      <c r="F117" s="4" t="s">
        <v>85</v>
      </c>
      <c r="G117" s="4" t="s">
        <v>993</v>
      </c>
      <c r="H117" s="6">
        <v>3.1300000000000001E-2</v>
      </c>
      <c r="I117" s="8">
        <v>43</v>
      </c>
      <c r="J117" s="8">
        <v>38</v>
      </c>
      <c r="K117" s="8">
        <v>48</v>
      </c>
      <c r="L117" s="8">
        <f t="shared" si="1"/>
        <v>78432</v>
      </c>
      <c r="M117" s="15">
        <v>7897801307680</v>
      </c>
      <c r="N117" s="6" t="s">
        <v>20</v>
      </c>
      <c r="O117" s="6" t="s">
        <v>20</v>
      </c>
      <c r="P117" s="6" t="s">
        <v>20</v>
      </c>
      <c r="Q117" s="6">
        <v>0.18</v>
      </c>
      <c r="R117" s="6">
        <v>0.05</v>
      </c>
      <c r="S117" s="6">
        <v>0.3</v>
      </c>
      <c r="T117" s="8">
        <v>20</v>
      </c>
      <c r="U117" s="5" t="s">
        <v>994</v>
      </c>
      <c r="V117" s="89">
        <v>0</v>
      </c>
      <c r="W117" s="15">
        <v>17897801307687</v>
      </c>
      <c r="X117" s="6">
        <v>0.45</v>
      </c>
      <c r="Y117" s="6">
        <v>0.22</v>
      </c>
      <c r="Z117" s="6">
        <v>0.65</v>
      </c>
      <c r="AA117" s="6">
        <f t="shared" si="2"/>
        <v>6.4350000000000004E-2</v>
      </c>
      <c r="AB117" s="8">
        <v>700</v>
      </c>
      <c r="AC117" s="15">
        <v>47897801307688</v>
      </c>
      <c r="AD117" s="4" t="s">
        <v>992</v>
      </c>
    </row>
    <row r="118" spans="2:30" x14ac:dyDescent="0.35">
      <c r="B118" s="14">
        <v>263</v>
      </c>
      <c r="C118" s="4" t="s">
        <v>124</v>
      </c>
      <c r="D118" s="4" t="s">
        <v>2376</v>
      </c>
      <c r="E118" s="4" t="s">
        <v>2911</v>
      </c>
      <c r="F118" s="4" t="s">
        <v>85</v>
      </c>
      <c r="G118" s="4" t="s">
        <v>993</v>
      </c>
      <c r="H118" s="6">
        <v>5.4699999999999999E-2</v>
      </c>
      <c r="I118" s="8">
        <v>58</v>
      </c>
      <c r="J118" s="8">
        <v>44</v>
      </c>
      <c r="K118" s="8">
        <v>58</v>
      </c>
      <c r="L118" s="8">
        <f t="shared" si="1"/>
        <v>148016</v>
      </c>
      <c r="M118" s="15">
        <v>7897801308847</v>
      </c>
      <c r="N118" s="6" t="s">
        <v>20</v>
      </c>
      <c r="O118" s="6" t="s">
        <v>20</v>
      </c>
      <c r="P118" s="6" t="s">
        <v>20</v>
      </c>
      <c r="Q118" s="6">
        <v>0.2</v>
      </c>
      <c r="R118" s="6">
        <v>0.06</v>
      </c>
      <c r="S118" s="6">
        <v>0.24</v>
      </c>
      <c r="T118" s="8">
        <v>20</v>
      </c>
      <c r="U118" s="5" t="s">
        <v>994</v>
      </c>
      <c r="V118" s="89">
        <v>0</v>
      </c>
      <c r="W118" s="15">
        <v>17897801308844</v>
      </c>
      <c r="X118" s="6">
        <v>0.5</v>
      </c>
      <c r="Y118" s="6">
        <v>0.23</v>
      </c>
      <c r="Z118" s="6">
        <v>0.65</v>
      </c>
      <c r="AA118" s="6">
        <f t="shared" si="2"/>
        <v>7.4750000000000011E-2</v>
      </c>
      <c r="AB118" s="8">
        <v>400</v>
      </c>
      <c r="AC118" s="15">
        <v>47897801308845</v>
      </c>
      <c r="AD118" s="4" t="s">
        <v>992</v>
      </c>
    </row>
    <row r="119" spans="2:30" x14ac:dyDescent="0.35">
      <c r="B119" s="14">
        <v>270</v>
      </c>
      <c r="C119" s="4" t="s">
        <v>125</v>
      </c>
      <c r="D119" s="4" t="s">
        <v>2376</v>
      </c>
      <c r="E119" s="4" t="s">
        <v>2911</v>
      </c>
      <c r="F119" s="4" t="s">
        <v>85</v>
      </c>
      <c r="G119" s="4" t="s">
        <v>993</v>
      </c>
      <c r="H119" s="6">
        <v>1.32E-2</v>
      </c>
      <c r="I119" s="8">
        <v>30</v>
      </c>
      <c r="J119" s="8">
        <v>30</v>
      </c>
      <c r="K119" s="8">
        <v>35.5</v>
      </c>
      <c r="L119" s="8">
        <f t="shared" si="1"/>
        <v>31950</v>
      </c>
      <c r="M119" s="15">
        <v>7897801302494</v>
      </c>
      <c r="N119" s="6" t="s">
        <v>20</v>
      </c>
      <c r="O119" s="6" t="s">
        <v>20</v>
      </c>
      <c r="P119" s="6" t="s">
        <v>20</v>
      </c>
      <c r="Q119" s="6">
        <v>0.23499999999999999</v>
      </c>
      <c r="R119" s="6">
        <v>3.7999999999999999E-2</v>
      </c>
      <c r="S119" s="6">
        <v>0.255</v>
      </c>
      <c r="T119" s="8">
        <v>50</v>
      </c>
      <c r="U119" s="5" t="s">
        <v>994</v>
      </c>
      <c r="V119" s="89">
        <v>0</v>
      </c>
      <c r="W119" s="15">
        <v>17897801302491</v>
      </c>
      <c r="X119" s="6">
        <v>0.54</v>
      </c>
      <c r="Y119" s="6">
        <v>0.12</v>
      </c>
      <c r="Z119" s="6">
        <v>0.77</v>
      </c>
      <c r="AA119" s="6">
        <f t="shared" si="2"/>
        <v>4.9895999999999996E-2</v>
      </c>
      <c r="AB119" s="8">
        <v>1000</v>
      </c>
      <c r="AC119" s="15">
        <v>47897801302492</v>
      </c>
      <c r="AD119" s="4" t="s">
        <v>992</v>
      </c>
    </row>
    <row r="120" spans="2:30" x14ac:dyDescent="0.35">
      <c r="B120" s="14">
        <v>271</v>
      </c>
      <c r="C120" s="4" t="s">
        <v>126</v>
      </c>
      <c r="D120" s="4" t="s">
        <v>2376</v>
      </c>
      <c r="E120" s="4" t="s">
        <v>2911</v>
      </c>
      <c r="F120" s="4" t="s">
        <v>85</v>
      </c>
      <c r="G120" s="4" t="s">
        <v>993</v>
      </c>
      <c r="H120" s="6">
        <v>1.7600000000000001E-2</v>
      </c>
      <c r="I120" s="8">
        <v>36</v>
      </c>
      <c r="J120" s="8">
        <v>36</v>
      </c>
      <c r="K120" s="8">
        <v>35.5</v>
      </c>
      <c r="L120" s="8">
        <f t="shared" si="1"/>
        <v>46008</v>
      </c>
      <c r="M120" s="15">
        <v>7897801302500</v>
      </c>
      <c r="N120" s="6" t="s">
        <v>20</v>
      </c>
      <c r="O120" s="6" t="s">
        <v>20</v>
      </c>
      <c r="P120" s="6" t="s">
        <v>20</v>
      </c>
      <c r="Q120" s="6">
        <v>0.24</v>
      </c>
      <c r="R120" s="6">
        <v>6.5000000000000002E-2</v>
      </c>
      <c r="S120" s="6">
        <v>0.27</v>
      </c>
      <c r="T120" s="8">
        <v>50</v>
      </c>
      <c r="U120" s="5" t="s">
        <v>994</v>
      </c>
      <c r="V120" s="89">
        <v>0</v>
      </c>
      <c r="W120" s="15">
        <v>17897801302507</v>
      </c>
      <c r="X120" s="6">
        <v>0.52</v>
      </c>
      <c r="Y120" s="6">
        <v>0.14000000000000001</v>
      </c>
      <c r="Z120" s="6">
        <v>0.73</v>
      </c>
      <c r="AA120" s="6">
        <f t="shared" si="2"/>
        <v>5.3144000000000004E-2</v>
      </c>
      <c r="AB120" s="8">
        <v>800</v>
      </c>
      <c r="AC120" s="15">
        <v>47897801302508</v>
      </c>
      <c r="AD120" s="4" t="s">
        <v>992</v>
      </c>
    </row>
    <row r="121" spans="2:30" x14ac:dyDescent="0.35">
      <c r="B121" s="14">
        <v>272</v>
      </c>
      <c r="C121" s="4" t="s">
        <v>127</v>
      </c>
      <c r="D121" s="4" t="s">
        <v>2376</v>
      </c>
      <c r="E121" s="4" t="s">
        <v>2911</v>
      </c>
      <c r="F121" s="4" t="s">
        <v>85</v>
      </c>
      <c r="G121" s="4" t="s">
        <v>993</v>
      </c>
      <c r="H121" s="6">
        <v>3.4599999999999999E-2</v>
      </c>
      <c r="I121" s="8">
        <v>44</v>
      </c>
      <c r="J121" s="8">
        <v>47</v>
      </c>
      <c r="K121" s="8">
        <v>44</v>
      </c>
      <c r="L121" s="8">
        <f t="shared" si="1"/>
        <v>90992</v>
      </c>
      <c r="M121" s="15">
        <v>7897801308670</v>
      </c>
      <c r="N121" s="6" t="s">
        <v>20</v>
      </c>
      <c r="O121" s="6" t="s">
        <v>20</v>
      </c>
      <c r="P121" s="6" t="s">
        <v>20</v>
      </c>
      <c r="Q121" s="6">
        <v>0.23</v>
      </c>
      <c r="R121" s="6">
        <v>0.05</v>
      </c>
      <c r="S121" s="6">
        <v>0.255</v>
      </c>
      <c r="T121" s="8">
        <v>24</v>
      </c>
      <c r="U121" s="5" t="s">
        <v>994</v>
      </c>
      <c r="V121" s="89">
        <v>0</v>
      </c>
      <c r="W121" s="15">
        <v>17897801308677</v>
      </c>
      <c r="X121" s="6">
        <v>0.51</v>
      </c>
      <c r="Y121" s="6">
        <v>0.17499999999999999</v>
      </c>
      <c r="Z121" s="6">
        <v>0.73</v>
      </c>
      <c r="AA121" s="6">
        <f t="shared" si="2"/>
        <v>6.5152500000000002E-2</v>
      </c>
      <c r="AB121" s="8">
        <v>360</v>
      </c>
      <c r="AC121" s="15">
        <v>47897801308678</v>
      </c>
      <c r="AD121" s="4" t="s">
        <v>992</v>
      </c>
    </row>
    <row r="122" spans="2:30" x14ac:dyDescent="0.35">
      <c r="B122" s="14">
        <v>273</v>
      </c>
      <c r="C122" s="4" t="s">
        <v>128</v>
      </c>
      <c r="D122" s="4" t="s">
        <v>2376</v>
      </c>
      <c r="E122" s="4" t="s">
        <v>2911</v>
      </c>
      <c r="F122" s="4" t="s">
        <v>85</v>
      </c>
      <c r="G122" s="4" t="s">
        <v>993</v>
      </c>
      <c r="H122" s="6">
        <v>5.5599999999999997E-2</v>
      </c>
      <c r="I122" s="8">
        <v>60</v>
      </c>
      <c r="J122" s="8">
        <v>50</v>
      </c>
      <c r="K122" s="8">
        <v>50</v>
      </c>
      <c r="L122" s="8">
        <f t="shared" si="1"/>
        <v>150000</v>
      </c>
      <c r="M122" s="15">
        <v>7897801312264</v>
      </c>
      <c r="N122" s="6" t="s">
        <v>20</v>
      </c>
      <c r="O122" s="6" t="s">
        <v>20</v>
      </c>
      <c r="P122" s="6" t="s">
        <v>20</v>
      </c>
      <c r="Q122" s="6">
        <v>0.11</v>
      </c>
      <c r="R122" s="6">
        <v>0.06</v>
      </c>
      <c r="S122" s="6">
        <v>0.22</v>
      </c>
      <c r="T122" s="8">
        <v>8</v>
      </c>
      <c r="U122" s="5" t="s">
        <v>994</v>
      </c>
      <c r="V122" s="89">
        <v>0</v>
      </c>
      <c r="W122" s="15">
        <v>17897801312261</v>
      </c>
      <c r="X122" s="6">
        <v>0.43</v>
      </c>
      <c r="Y122" s="6">
        <v>0.24</v>
      </c>
      <c r="Z122" s="6">
        <v>0.7</v>
      </c>
      <c r="AA122" s="6">
        <f t="shared" si="2"/>
        <v>7.2239999999999999E-2</v>
      </c>
      <c r="AB122" s="8">
        <v>280</v>
      </c>
      <c r="AC122" s="15">
        <v>27897801312268</v>
      </c>
      <c r="AD122" s="4" t="s">
        <v>992</v>
      </c>
    </row>
    <row r="123" spans="2:30" x14ac:dyDescent="0.35">
      <c r="B123" s="14">
        <v>274</v>
      </c>
      <c r="C123" s="4" t="s">
        <v>129</v>
      </c>
      <c r="D123" s="4" t="s">
        <v>2376</v>
      </c>
      <c r="E123" s="4" t="s">
        <v>2911</v>
      </c>
      <c r="F123" s="4" t="s">
        <v>85</v>
      </c>
      <c r="G123" s="4" t="s">
        <v>993</v>
      </c>
      <c r="H123" s="6">
        <v>7.0400000000000004E-2</v>
      </c>
      <c r="I123" s="8">
        <v>56</v>
      </c>
      <c r="J123" s="8">
        <v>54</v>
      </c>
      <c r="K123" s="8">
        <v>56</v>
      </c>
      <c r="L123" s="8">
        <f t="shared" si="1"/>
        <v>169344</v>
      </c>
      <c r="M123" s="15">
        <v>7897801311250</v>
      </c>
      <c r="N123" s="6" t="s">
        <v>20</v>
      </c>
      <c r="O123" s="6" t="s">
        <v>20</v>
      </c>
      <c r="P123" s="6" t="s">
        <v>20</v>
      </c>
      <c r="Q123" s="6">
        <v>0.23</v>
      </c>
      <c r="R123" s="6">
        <v>6</v>
      </c>
      <c r="S123" s="6">
        <v>0.28000000000000003</v>
      </c>
      <c r="T123" s="8">
        <v>10</v>
      </c>
      <c r="U123" s="5" t="s">
        <v>994</v>
      </c>
      <c r="V123" s="89">
        <v>0</v>
      </c>
      <c r="W123" s="15">
        <v>17897801311257</v>
      </c>
      <c r="X123" s="6">
        <v>0.43</v>
      </c>
      <c r="Y123" s="6">
        <v>0.23</v>
      </c>
      <c r="Z123" s="6">
        <v>0.61</v>
      </c>
      <c r="AA123" s="6">
        <f t="shared" si="2"/>
        <v>6.0329000000000001E-2</v>
      </c>
      <c r="AB123" s="8">
        <v>200</v>
      </c>
      <c r="AC123" s="15">
        <v>27897801311254</v>
      </c>
      <c r="AD123" s="4" t="s">
        <v>992</v>
      </c>
    </row>
    <row r="124" spans="2:30" x14ac:dyDescent="0.35">
      <c r="B124" s="14">
        <v>275</v>
      </c>
      <c r="C124" s="4" t="s">
        <v>130</v>
      </c>
      <c r="D124" s="4" t="s">
        <v>2376</v>
      </c>
      <c r="E124" s="4" t="s">
        <v>2911</v>
      </c>
      <c r="F124" s="4" t="s">
        <v>85</v>
      </c>
      <c r="G124" s="4" t="s">
        <v>993</v>
      </c>
      <c r="H124" s="6">
        <v>0.15629999999999999</v>
      </c>
      <c r="I124" s="8">
        <v>60</v>
      </c>
      <c r="J124" s="8">
        <v>70</v>
      </c>
      <c r="K124" s="8">
        <v>70</v>
      </c>
      <c r="L124" s="8">
        <f t="shared" si="1"/>
        <v>294000</v>
      </c>
      <c r="M124" s="15">
        <v>7897801312271</v>
      </c>
      <c r="N124" s="6" t="s">
        <v>20</v>
      </c>
      <c r="O124" s="6" t="s">
        <v>20</v>
      </c>
      <c r="P124" s="6" t="s">
        <v>20</v>
      </c>
      <c r="Q124" s="6">
        <v>0.2</v>
      </c>
      <c r="R124" s="6">
        <v>7.0000000000000007E-2</v>
      </c>
      <c r="S124" s="6">
        <v>0.24</v>
      </c>
      <c r="T124" s="8">
        <v>8</v>
      </c>
      <c r="U124" s="5" t="s">
        <v>994</v>
      </c>
      <c r="V124" s="89">
        <v>0</v>
      </c>
      <c r="W124" s="15">
        <v>17897801312278</v>
      </c>
      <c r="X124" s="6">
        <v>0.4</v>
      </c>
      <c r="Y124" s="6">
        <v>0.25</v>
      </c>
      <c r="Z124" s="6">
        <v>0.65</v>
      </c>
      <c r="AA124" s="6">
        <f t="shared" si="2"/>
        <v>6.5000000000000002E-2</v>
      </c>
      <c r="AB124" s="8">
        <v>120</v>
      </c>
      <c r="AC124" s="15">
        <v>27897801312275</v>
      </c>
      <c r="AD124" s="4" t="s">
        <v>992</v>
      </c>
    </row>
    <row r="125" spans="2:30" x14ac:dyDescent="0.35">
      <c r="B125" s="14">
        <v>285</v>
      </c>
      <c r="C125" s="4" t="s">
        <v>131</v>
      </c>
      <c r="D125" s="4" t="s">
        <v>2376</v>
      </c>
      <c r="E125" s="4" t="s">
        <v>2911</v>
      </c>
      <c r="F125" s="4" t="s">
        <v>85</v>
      </c>
      <c r="G125" s="4" t="s">
        <v>993</v>
      </c>
      <c r="H125" s="6">
        <v>1.5699999999999999E-2</v>
      </c>
      <c r="I125" s="8">
        <v>36</v>
      </c>
      <c r="J125" s="8">
        <v>35</v>
      </c>
      <c r="K125" s="8">
        <v>36</v>
      </c>
      <c r="L125" s="8">
        <f t="shared" si="1"/>
        <v>45360</v>
      </c>
      <c r="M125" s="15">
        <v>7897801307697</v>
      </c>
      <c r="N125" s="6" t="s">
        <v>20</v>
      </c>
      <c r="O125" s="6" t="s">
        <v>20</v>
      </c>
      <c r="P125" s="6" t="s">
        <v>20</v>
      </c>
      <c r="Q125" s="6">
        <v>0.17</v>
      </c>
      <c r="R125" s="6">
        <v>0.04</v>
      </c>
      <c r="S125" s="6">
        <v>0.2</v>
      </c>
      <c r="T125" s="8">
        <v>25</v>
      </c>
      <c r="U125" s="5" t="s">
        <v>994</v>
      </c>
      <c r="V125" s="89">
        <v>0</v>
      </c>
      <c r="W125" s="15">
        <v>17897801307694</v>
      </c>
      <c r="X125" s="6">
        <v>0.48</v>
      </c>
      <c r="Y125" s="6">
        <v>0.17</v>
      </c>
      <c r="Z125" s="6">
        <v>0.73</v>
      </c>
      <c r="AA125" s="6">
        <f t="shared" si="2"/>
        <v>5.9568000000000003E-2</v>
      </c>
      <c r="AB125" s="8">
        <v>875</v>
      </c>
      <c r="AC125" s="15">
        <v>27897801307691</v>
      </c>
      <c r="AD125" s="4" t="s">
        <v>992</v>
      </c>
    </row>
    <row r="126" spans="2:30" x14ac:dyDescent="0.35">
      <c r="B126" s="14">
        <v>286</v>
      </c>
      <c r="C126" s="4" t="s">
        <v>132</v>
      </c>
      <c r="D126" s="4" t="s">
        <v>2376</v>
      </c>
      <c r="E126" s="4" t="s">
        <v>2911</v>
      </c>
      <c r="F126" s="4" t="s">
        <v>85</v>
      </c>
      <c r="G126" s="4" t="s">
        <v>993</v>
      </c>
      <c r="H126" s="6">
        <v>2.87E-2</v>
      </c>
      <c r="I126" s="8">
        <v>44</v>
      </c>
      <c r="J126" s="8">
        <v>44</v>
      </c>
      <c r="K126" s="8">
        <v>44</v>
      </c>
      <c r="L126" s="8">
        <f t="shared" si="1"/>
        <v>85184</v>
      </c>
      <c r="M126" s="15">
        <v>7897801308687</v>
      </c>
      <c r="N126" s="6" t="s">
        <v>20</v>
      </c>
      <c r="O126" s="6" t="s">
        <v>20</v>
      </c>
      <c r="P126" s="6" t="s">
        <v>20</v>
      </c>
      <c r="Q126" s="6">
        <v>0.22500000000000001</v>
      </c>
      <c r="R126" s="6">
        <v>4.5999999999999999E-2</v>
      </c>
      <c r="S126" s="6">
        <v>0.21</v>
      </c>
      <c r="T126" s="8">
        <v>16</v>
      </c>
      <c r="U126" s="5" t="s">
        <v>994</v>
      </c>
      <c r="V126" s="89">
        <v>0</v>
      </c>
      <c r="W126" s="15">
        <v>17897801308684</v>
      </c>
      <c r="X126" s="6">
        <v>0.5</v>
      </c>
      <c r="Y126" s="6">
        <v>0.16</v>
      </c>
      <c r="Z126" s="6">
        <v>0.71</v>
      </c>
      <c r="AA126" s="6">
        <f t="shared" si="2"/>
        <v>5.6799999999999996E-2</v>
      </c>
      <c r="AB126" s="8">
        <v>448</v>
      </c>
      <c r="AC126" s="15">
        <v>27897801308681</v>
      </c>
      <c r="AD126" s="4" t="s">
        <v>992</v>
      </c>
    </row>
    <row r="127" spans="2:30" x14ac:dyDescent="0.35">
      <c r="B127" s="14">
        <v>287</v>
      </c>
      <c r="C127" s="4" t="s">
        <v>133</v>
      </c>
      <c r="D127" s="4" t="s">
        <v>2376</v>
      </c>
      <c r="E127" s="4" t="s">
        <v>2911</v>
      </c>
      <c r="F127" s="4" t="s">
        <v>85</v>
      </c>
      <c r="G127" s="4" t="s">
        <v>993</v>
      </c>
      <c r="H127" s="6">
        <v>1.0500000000000001E-2</v>
      </c>
      <c r="I127" s="8">
        <v>24.8</v>
      </c>
      <c r="J127" s="8">
        <v>24.8</v>
      </c>
      <c r="K127" s="8">
        <v>41</v>
      </c>
      <c r="L127" s="8">
        <f t="shared" si="1"/>
        <v>25216.640000000003</v>
      </c>
      <c r="M127" s="15">
        <v>7897801301282</v>
      </c>
      <c r="N127" s="6" t="s">
        <v>20</v>
      </c>
      <c r="O127" s="6" t="s">
        <v>20</v>
      </c>
      <c r="P127" s="6" t="s">
        <v>20</v>
      </c>
      <c r="Q127" s="6">
        <v>0.25</v>
      </c>
      <c r="R127" s="6">
        <v>4.4999999999999998E-2</v>
      </c>
      <c r="S127" s="6">
        <v>0.215</v>
      </c>
      <c r="T127" s="8">
        <v>50</v>
      </c>
      <c r="U127" s="5" t="s">
        <v>994</v>
      </c>
      <c r="V127" s="89">
        <v>0</v>
      </c>
      <c r="W127" s="15">
        <v>17897801301289</v>
      </c>
      <c r="X127" s="6">
        <v>0.51</v>
      </c>
      <c r="Y127" s="6">
        <v>0.17499999999999999</v>
      </c>
      <c r="Z127" s="6">
        <v>0.75</v>
      </c>
      <c r="AA127" s="6">
        <f t="shared" si="2"/>
        <v>6.6937499999999997E-2</v>
      </c>
      <c r="AB127" s="8">
        <v>1900</v>
      </c>
      <c r="AC127" s="15">
        <v>27897801301286</v>
      </c>
      <c r="AD127" s="4" t="s">
        <v>992</v>
      </c>
    </row>
    <row r="128" spans="2:30" x14ac:dyDescent="0.35">
      <c r="B128" s="14">
        <v>288</v>
      </c>
      <c r="C128" s="4" t="s">
        <v>134</v>
      </c>
      <c r="D128" s="4" t="s">
        <v>2376</v>
      </c>
      <c r="E128" s="4" t="s">
        <v>2911</v>
      </c>
      <c r="F128" s="4" t="s">
        <v>85</v>
      </c>
      <c r="G128" s="4" t="s">
        <v>993</v>
      </c>
      <c r="H128" s="6">
        <v>1.89E-2</v>
      </c>
      <c r="I128" s="8">
        <v>32</v>
      </c>
      <c r="J128" s="8">
        <v>32</v>
      </c>
      <c r="K128" s="8">
        <v>44</v>
      </c>
      <c r="L128" s="8">
        <f t="shared" si="1"/>
        <v>45056</v>
      </c>
      <c r="M128" s="15">
        <v>7897801301299</v>
      </c>
      <c r="N128" s="6" t="s">
        <v>20</v>
      </c>
      <c r="O128" s="6" t="s">
        <v>20</v>
      </c>
      <c r="P128" s="6" t="s">
        <v>20</v>
      </c>
      <c r="Q128" s="6">
        <v>0.23499999999999999</v>
      </c>
      <c r="R128" s="6">
        <v>5.5E-2</v>
      </c>
      <c r="S128" s="6">
        <v>0.25</v>
      </c>
      <c r="T128" s="8">
        <v>50</v>
      </c>
      <c r="U128" s="5" t="s">
        <v>994</v>
      </c>
      <c r="V128" s="89">
        <v>0</v>
      </c>
      <c r="W128" s="15">
        <v>17897801301296</v>
      </c>
      <c r="X128" s="6">
        <v>0.52</v>
      </c>
      <c r="Y128" s="6">
        <v>0.18</v>
      </c>
      <c r="Z128" s="6">
        <v>0.71</v>
      </c>
      <c r="AA128" s="6">
        <f t="shared" si="2"/>
        <v>6.6456000000000001E-2</v>
      </c>
      <c r="AB128" s="8">
        <v>1200</v>
      </c>
      <c r="AC128" s="15">
        <v>47897801301297</v>
      </c>
      <c r="AD128" s="4" t="s">
        <v>992</v>
      </c>
    </row>
    <row r="129" spans="2:30" x14ac:dyDescent="0.35">
      <c r="B129" s="14">
        <v>289</v>
      </c>
      <c r="C129" s="4" t="s">
        <v>135</v>
      </c>
      <c r="D129" s="4" t="s">
        <v>2376</v>
      </c>
      <c r="E129" s="4" t="s">
        <v>2911</v>
      </c>
      <c r="F129" s="4" t="s">
        <v>85</v>
      </c>
      <c r="G129" s="4" t="s">
        <v>993</v>
      </c>
      <c r="H129" s="6">
        <v>3.4799999999999998E-2</v>
      </c>
      <c r="I129" s="8">
        <v>53</v>
      </c>
      <c r="J129" s="8">
        <v>41</v>
      </c>
      <c r="K129" s="8">
        <v>41</v>
      </c>
      <c r="L129" s="8">
        <f t="shared" si="1"/>
        <v>89093</v>
      </c>
      <c r="M129" s="15">
        <v>7897801308618</v>
      </c>
      <c r="N129" s="6" t="s">
        <v>20</v>
      </c>
      <c r="O129" s="6" t="s">
        <v>20</v>
      </c>
      <c r="P129" s="6" t="s">
        <v>20</v>
      </c>
      <c r="Q129" s="6">
        <v>0.23</v>
      </c>
      <c r="R129" s="6">
        <v>0.06</v>
      </c>
      <c r="S129" s="6">
        <v>0.24</v>
      </c>
      <c r="T129" s="8">
        <v>24</v>
      </c>
      <c r="U129" s="5" t="s">
        <v>994</v>
      </c>
      <c r="V129" s="89">
        <v>0</v>
      </c>
      <c r="W129" s="15">
        <v>17897801308615</v>
      </c>
      <c r="X129" s="6">
        <v>0.51</v>
      </c>
      <c r="Y129" s="6">
        <v>0.18</v>
      </c>
      <c r="Z129" s="6">
        <v>0.78</v>
      </c>
      <c r="AA129" s="6">
        <f t="shared" si="2"/>
        <v>7.1604000000000001E-2</v>
      </c>
      <c r="AB129" s="8">
        <v>576</v>
      </c>
      <c r="AC129" s="15">
        <v>47897801308616</v>
      </c>
      <c r="AD129" s="4" t="s">
        <v>992</v>
      </c>
    </row>
    <row r="130" spans="2:30" x14ac:dyDescent="0.35">
      <c r="B130" s="14">
        <v>290</v>
      </c>
      <c r="C130" s="4" t="s">
        <v>136</v>
      </c>
      <c r="D130" s="4" t="s">
        <v>2376</v>
      </c>
      <c r="E130" s="4" t="s">
        <v>2911</v>
      </c>
      <c r="F130" s="4" t="s">
        <v>85</v>
      </c>
      <c r="G130" s="4" t="s">
        <v>993</v>
      </c>
      <c r="H130" s="6">
        <v>6.3600000000000004E-2</v>
      </c>
      <c r="I130" s="8">
        <v>80</v>
      </c>
      <c r="J130" s="8">
        <v>56</v>
      </c>
      <c r="K130" s="8">
        <v>56</v>
      </c>
      <c r="L130" s="8">
        <f t="shared" si="1"/>
        <v>250880</v>
      </c>
      <c r="M130" s="15">
        <v>7897801308601</v>
      </c>
      <c r="N130" s="6" t="s">
        <v>20</v>
      </c>
      <c r="O130" s="6" t="s">
        <v>20</v>
      </c>
      <c r="P130" s="6" t="s">
        <v>20</v>
      </c>
      <c r="Q130" s="6">
        <v>0.22</v>
      </c>
      <c r="R130" s="6">
        <v>5.1999999999999998E-2</v>
      </c>
      <c r="S130" s="6">
        <v>0.2</v>
      </c>
      <c r="T130" s="8">
        <v>10</v>
      </c>
      <c r="U130" s="5" t="s">
        <v>994</v>
      </c>
      <c r="V130" s="89">
        <v>0</v>
      </c>
      <c r="W130" s="15">
        <v>17897801308608</v>
      </c>
      <c r="X130" s="6">
        <v>0.6</v>
      </c>
      <c r="Y130" s="6">
        <v>0.19</v>
      </c>
      <c r="Z130" s="6">
        <v>0.83</v>
      </c>
      <c r="AA130" s="6">
        <f t="shared" si="2"/>
        <v>9.4619999999999982E-2</v>
      </c>
      <c r="AB130" s="8">
        <v>350</v>
      </c>
      <c r="AC130" s="15">
        <v>47897801308609</v>
      </c>
      <c r="AD130" s="4" t="s">
        <v>992</v>
      </c>
    </row>
    <row r="131" spans="2:30" x14ac:dyDescent="0.35">
      <c r="B131" s="14">
        <v>291</v>
      </c>
      <c r="C131" s="4" t="s">
        <v>137</v>
      </c>
      <c r="D131" s="4" t="s">
        <v>2376</v>
      </c>
      <c r="E131" s="4" t="s">
        <v>2911</v>
      </c>
      <c r="F131" s="4" t="s">
        <v>85</v>
      </c>
      <c r="G131" s="4" t="s">
        <v>993</v>
      </c>
      <c r="H131" s="6">
        <v>4.0899999999999999E-2</v>
      </c>
      <c r="I131" s="8">
        <v>76</v>
      </c>
      <c r="J131" s="8">
        <v>21</v>
      </c>
      <c r="K131" s="8">
        <v>48</v>
      </c>
      <c r="L131" s="8">
        <f t="shared" si="1"/>
        <v>76608</v>
      </c>
      <c r="M131" s="15">
        <v>7897801319447</v>
      </c>
      <c r="N131" s="6">
        <v>0.76</v>
      </c>
      <c r="O131" s="6">
        <v>0.76</v>
      </c>
      <c r="P131" s="6">
        <v>0.48</v>
      </c>
      <c r="Q131" s="6">
        <v>0.05</v>
      </c>
      <c r="R131" s="6">
        <v>0.16</v>
      </c>
      <c r="S131" s="6">
        <v>0.19</v>
      </c>
      <c r="T131" s="8">
        <v>10</v>
      </c>
      <c r="U131" s="5" t="s">
        <v>994</v>
      </c>
      <c r="V131" s="89">
        <v>0</v>
      </c>
      <c r="W131" s="15">
        <v>17897801319444</v>
      </c>
      <c r="X131" s="6">
        <v>0.19</v>
      </c>
      <c r="Y131" s="6">
        <v>0.49</v>
      </c>
      <c r="Z131" s="6">
        <v>0.7</v>
      </c>
      <c r="AA131" s="6">
        <f t="shared" si="2"/>
        <v>6.5169999999999992E-2</v>
      </c>
      <c r="AB131" s="8">
        <v>420</v>
      </c>
      <c r="AC131" s="15">
        <v>27897801319441</v>
      </c>
      <c r="AD131" s="4" t="s">
        <v>992</v>
      </c>
    </row>
    <row r="132" spans="2:30" x14ac:dyDescent="0.35">
      <c r="B132" s="14">
        <v>292</v>
      </c>
      <c r="C132" s="4" t="s">
        <v>138</v>
      </c>
      <c r="D132" s="4" t="s">
        <v>2376</v>
      </c>
      <c r="E132" s="4" t="s">
        <v>2911</v>
      </c>
      <c r="F132" s="4" t="s">
        <v>85</v>
      </c>
      <c r="G132" s="4" t="s">
        <v>993</v>
      </c>
      <c r="H132" s="6">
        <v>8.3900000000000002E-2</v>
      </c>
      <c r="I132" s="8">
        <v>60</v>
      </c>
      <c r="J132" s="8">
        <v>30</v>
      </c>
      <c r="K132" s="8">
        <v>200</v>
      </c>
      <c r="L132" s="8">
        <f t="shared" si="1"/>
        <v>360000</v>
      </c>
      <c r="M132" s="15">
        <v>7897801319454</v>
      </c>
      <c r="N132" s="6">
        <v>0.21</v>
      </c>
      <c r="O132" s="6">
        <v>0.69</v>
      </c>
      <c r="P132" s="6">
        <v>0.48</v>
      </c>
      <c r="Q132" s="6">
        <v>0.2</v>
      </c>
      <c r="R132" s="6">
        <v>0.06</v>
      </c>
      <c r="S132" s="6">
        <v>0.25</v>
      </c>
      <c r="T132" s="8">
        <v>10</v>
      </c>
      <c r="U132" s="5" t="s">
        <v>994</v>
      </c>
      <c r="V132" s="89">
        <v>0</v>
      </c>
      <c r="W132" s="15">
        <v>17897801319451</v>
      </c>
      <c r="X132" s="6">
        <v>0.48</v>
      </c>
      <c r="Y132" s="6">
        <v>0.21</v>
      </c>
      <c r="Z132" s="6">
        <v>0.69</v>
      </c>
      <c r="AA132" s="6">
        <f t="shared" si="2"/>
        <v>6.9551999999999989E-2</v>
      </c>
      <c r="AB132" s="8">
        <v>200</v>
      </c>
      <c r="AC132" s="15">
        <v>27897801319458</v>
      </c>
      <c r="AD132" s="4" t="s">
        <v>992</v>
      </c>
    </row>
    <row r="133" spans="2:30" x14ac:dyDescent="0.35">
      <c r="B133" s="14">
        <v>293</v>
      </c>
      <c r="C133" s="4" t="s">
        <v>139</v>
      </c>
      <c r="D133" s="4" t="s">
        <v>2376</v>
      </c>
      <c r="E133" s="4" t="s">
        <v>2911</v>
      </c>
      <c r="F133" s="4" t="s">
        <v>85</v>
      </c>
      <c r="G133" s="4" t="s">
        <v>993</v>
      </c>
      <c r="H133" s="6">
        <v>5.4999999999999997E-3</v>
      </c>
      <c r="I133" s="8">
        <v>23.5</v>
      </c>
      <c r="J133" s="8">
        <v>23.5</v>
      </c>
      <c r="K133" s="8">
        <v>21.5</v>
      </c>
      <c r="L133" s="8">
        <f t="shared" si="1"/>
        <v>11873.375</v>
      </c>
      <c r="M133" s="15">
        <v>7897801301473</v>
      </c>
      <c r="N133" s="6" t="s">
        <v>20</v>
      </c>
      <c r="O133" s="6" t="s">
        <v>20</v>
      </c>
      <c r="P133" s="6" t="s">
        <v>20</v>
      </c>
      <c r="Q133" s="6">
        <v>0.255</v>
      </c>
      <c r="R133" s="6">
        <v>2.5000000000000001E-2</v>
      </c>
      <c r="S133" s="6">
        <v>0.22500000000000001</v>
      </c>
      <c r="T133" s="8">
        <v>50</v>
      </c>
      <c r="U133" s="5" t="s">
        <v>994</v>
      </c>
      <c r="V133" s="89">
        <v>0</v>
      </c>
      <c r="W133" s="15">
        <v>17897801301470</v>
      </c>
      <c r="X133" s="6">
        <v>0.52</v>
      </c>
      <c r="Y133" s="6">
        <v>0.17</v>
      </c>
      <c r="Z133" s="6">
        <v>0.77</v>
      </c>
      <c r="AA133" s="6">
        <f t="shared" si="2"/>
        <v>6.8068000000000004E-2</v>
      </c>
      <c r="AB133" s="8">
        <v>3750</v>
      </c>
      <c r="AC133" s="15">
        <v>47897801301471</v>
      </c>
      <c r="AD133" s="4" t="s">
        <v>992</v>
      </c>
    </row>
    <row r="134" spans="2:30" x14ac:dyDescent="0.35">
      <c r="B134" s="14">
        <v>294</v>
      </c>
      <c r="C134" s="4" t="s">
        <v>140</v>
      </c>
      <c r="D134" s="4" t="s">
        <v>2376</v>
      </c>
      <c r="E134" s="4" t="s">
        <v>2911</v>
      </c>
      <c r="F134" s="4" t="s">
        <v>85</v>
      </c>
      <c r="G134" s="4" t="s">
        <v>993</v>
      </c>
      <c r="H134" s="6">
        <v>9.1999999999999998E-3</v>
      </c>
      <c r="I134" s="8">
        <v>26.9</v>
      </c>
      <c r="J134" s="8">
        <v>26.9</v>
      </c>
      <c r="K134" s="8">
        <v>27</v>
      </c>
      <c r="L134" s="8">
        <f t="shared" si="1"/>
        <v>19537.469999999998</v>
      </c>
      <c r="M134" s="15">
        <v>7897801302111</v>
      </c>
      <c r="N134" s="6" t="s">
        <v>20</v>
      </c>
      <c r="O134" s="6" t="s">
        <v>20</v>
      </c>
      <c r="P134" s="6" t="s">
        <v>20</v>
      </c>
      <c r="Q134" s="6">
        <v>0.16</v>
      </c>
      <c r="R134" s="6">
        <v>0.04</v>
      </c>
      <c r="S134" s="6">
        <v>0.2</v>
      </c>
      <c r="T134" s="8">
        <v>50</v>
      </c>
      <c r="U134" s="5" t="s">
        <v>994</v>
      </c>
      <c r="V134" s="89">
        <v>0</v>
      </c>
      <c r="W134" s="15">
        <v>17897801302118</v>
      </c>
      <c r="X134" s="6">
        <v>0.45</v>
      </c>
      <c r="Y134" s="6">
        <v>0.18</v>
      </c>
      <c r="Z134" s="6">
        <v>0.65</v>
      </c>
      <c r="AA134" s="6">
        <f t="shared" si="2"/>
        <v>5.2650000000000002E-2</v>
      </c>
      <c r="AB134" s="8">
        <v>2200</v>
      </c>
      <c r="AC134" s="15">
        <v>47897801302119</v>
      </c>
      <c r="AD134" s="4" t="s">
        <v>992</v>
      </c>
    </row>
    <row r="135" spans="2:30" x14ac:dyDescent="0.35">
      <c r="B135" s="14">
        <v>295</v>
      </c>
      <c r="C135" s="4" t="s">
        <v>141</v>
      </c>
      <c r="D135" s="4" t="s">
        <v>2376</v>
      </c>
      <c r="E135" s="4" t="s">
        <v>2911</v>
      </c>
      <c r="F135" s="4" t="s">
        <v>85</v>
      </c>
      <c r="G135" s="4" t="s">
        <v>993</v>
      </c>
      <c r="H135" s="6">
        <v>1.61E-2</v>
      </c>
      <c r="I135" s="8">
        <v>34</v>
      </c>
      <c r="J135" s="8">
        <v>34</v>
      </c>
      <c r="K135" s="8">
        <v>34</v>
      </c>
      <c r="L135" s="8">
        <f t="shared" si="1"/>
        <v>39304</v>
      </c>
      <c r="M135" s="15">
        <v>7897801308694</v>
      </c>
      <c r="N135" s="6" t="s">
        <v>20</v>
      </c>
      <c r="O135" s="6" t="s">
        <v>20</v>
      </c>
      <c r="P135" s="6" t="s">
        <v>20</v>
      </c>
      <c r="Q135" s="6">
        <v>0.25</v>
      </c>
      <c r="R135" s="6">
        <v>5.5E-2</v>
      </c>
      <c r="S135" s="6">
        <v>0.26</v>
      </c>
      <c r="T135" s="8">
        <v>50</v>
      </c>
      <c r="U135" s="5" t="s">
        <v>994</v>
      </c>
      <c r="V135" s="89">
        <v>0</v>
      </c>
      <c r="W135" s="15">
        <v>17897801308691</v>
      </c>
      <c r="X135" s="6">
        <v>0.5</v>
      </c>
      <c r="Y135" s="6">
        <v>0.19</v>
      </c>
      <c r="Z135" s="6">
        <v>0.81</v>
      </c>
      <c r="AA135" s="6">
        <f t="shared" si="2"/>
        <v>7.6950000000000005E-2</v>
      </c>
      <c r="AB135" s="8">
        <v>1400</v>
      </c>
      <c r="AC135" s="15">
        <v>47897801308692</v>
      </c>
      <c r="AD135" s="4" t="s">
        <v>992</v>
      </c>
    </row>
    <row r="136" spans="2:30" x14ac:dyDescent="0.35">
      <c r="B136" s="14">
        <v>296</v>
      </c>
      <c r="C136" s="4" t="s">
        <v>142</v>
      </c>
      <c r="D136" s="4" t="s">
        <v>2376</v>
      </c>
      <c r="E136" s="4" t="s">
        <v>2911</v>
      </c>
      <c r="F136" s="4" t="s">
        <v>85</v>
      </c>
      <c r="G136" s="4" t="s">
        <v>993</v>
      </c>
      <c r="H136" s="6">
        <v>5.21E-2</v>
      </c>
      <c r="I136" s="8">
        <v>51</v>
      </c>
      <c r="J136" s="8">
        <v>45</v>
      </c>
      <c r="K136" s="8">
        <v>51</v>
      </c>
      <c r="L136" s="8">
        <f t="shared" si="1"/>
        <v>117045</v>
      </c>
      <c r="M136" s="15">
        <v>7897801311465</v>
      </c>
      <c r="N136" s="6" t="s">
        <v>20</v>
      </c>
      <c r="O136" s="6" t="s">
        <v>20</v>
      </c>
      <c r="P136" s="6" t="s">
        <v>20</v>
      </c>
      <c r="Q136" s="6">
        <v>0.23499999999999999</v>
      </c>
      <c r="R136" s="6">
        <v>0.06</v>
      </c>
      <c r="S136" s="6">
        <v>0.26</v>
      </c>
      <c r="T136" s="8">
        <v>20</v>
      </c>
      <c r="U136" s="5" t="s">
        <v>994</v>
      </c>
      <c r="V136" s="89">
        <v>0</v>
      </c>
      <c r="W136" s="15">
        <v>17897801311462</v>
      </c>
      <c r="X136" s="6">
        <v>0.49</v>
      </c>
      <c r="Y136" s="6">
        <v>0.18</v>
      </c>
      <c r="Z136" s="6">
        <v>0.79</v>
      </c>
      <c r="AA136" s="6">
        <f t="shared" si="2"/>
        <v>6.9678000000000004E-2</v>
      </c>
      <c r="AB136" s="8">
        <v>400</v>
      </c>
      <c r="AC136" s="15">
        <v>27897801311469</v>
      </c>
      <c r="AD136" s="4" t="s">
        <v>992</v>
      </c>
    </row>
    <row r="137" spans="2:30" x14ac:dyDescent="0.35">
      <c r="B137" s="14">
        <v>297</v>
      </c>
      <c r="C137" s="4" t="s">
        <v>143</v>
      </c>
      <c r="D137" s="4" t="s">
        <v>2376</v>
      </c>
      <c r="E137" s="4" t="s">
        <v>2911</v>
      </c>
      <c r="F137" s="4" t="s">
        <v>85</v>
      </c>
      <c r="G137" s="4" t="s">
        <v>993</v>
      </c>
      <c r="H137" s="6">
        <v>3.0800000000000001E-2</v>
      </c>
      <c r="I137" s="8">
        <v>40</v>
      </c>
      <c r="J137" s="8">
        <v>40</v>
      </c>
      <c r="K137" s="8">
        <v>40</v>
      </c>
      <c r="L137" s="8">
        <f t="shared" si="1"/>
        <v>64000</v>
      </c>
      <c r="M137" s="15">
        <v>7897801312288</v>
      </c>
      <c r="N137" s="6" t="s">
        <v>20</v>
      </c>
      <c r="O137" s="6" t="s">
        <v>20</v>
      </c>
      <c r="P137" s="6" t="s">
        <v>20</v>
      </c>
      <c r="Q137" s="6">
        <v>0.21</v>
      </c>
      <c r="R137" s="6">
        <v>0.05</v>
      </c>
      <c r="S137" s="6">
        <v>0.23499999999999999</v>
      </c>
      <c r="T137" s="8">
        <v>20</v>
      </c>
      <c r="U137" s="5" t="s">
        <v>994</v>
      </c>
      <c r="V137" s="89">
        <v>0</v>
      </c>
      <c r="W137" s="15">
        <v>17897801312285</v>
      </c>
      <c r="X137" s="6">
        <v>0.49</v>
      </c>
      <c r="Y137" s="6">
        <v>0.21</v>
      </c>
      <c r="Z137" s="6">
        <v>0.79</v>
      </c>
      <c r="AA137" s="6">
        <f t="shared" si="2"/>
        <v>8.1291000000000002E-2</v>
      </c>
      <c r="AB137" s="8">
        <v>700</v>
      </c>
      <c r="AC137" s="15">
        <v>27897801312282</v>
      </c>
      <c r="AD137" s="4" t="s">
        <v>992</v>
      </c>
    </row>
    <row r="138" spans="2:30" x14ac:dyDescent="0.35">
      <c r="B138" s="14">
        <v>298</v>
      </c>
      <c r="C138" s="4" t="s">
        <v>144</v>
      </c>
      <c r="D138" s="4" t="s">
        <v>2376</v>
      </c>
      <c r="E138" s="4" t="s">
        <v>2911</v>
      </c>
      <c r="F138" s="4" t="s">
        <v>85</v>
      </c>
      <c r="G138" s="4" t="s">
        <v>993</v>
      </c>
      <c r="H138" s="6">
        <v>6.1199999999999997E-2</v>
      </c>
      <c r="I138" s="8">
        <v>60</v>
      </c>
      <c r="J138" s="8">
        <v>60</v>
      </c>
      <c r="K138" s="8">
        <v>50</v>
      </c>
      <c r="L138" s="8">
        <f t="shared" si="1"/>
        <v>180000</v>
      </c>
      <c r="M138" s="15">
        <v>7897801312295</v>
      </c>
      <c r="N138" s="6" t="s">
        <v>20</v>
      </c>
      <c r="O138" s="6" t="s">
        <v>20</v>
      </c>
      <c r="P138" s="6" t="s">
        <v>20</v>
      </c>
      <c r="Q138" s="6">
        <v>0.12</v>
      </c>
      <c r="R138" s="6">
        <v>0.05</v>
      </c>
      <c r="S138" s="6">
        <v>0.17</v>
      </c>
      <c r="T138" s="8">
        <v>5</v>
      </c>
      <c r="U138" s="5" t="s">
        <v>994</v>
      </c>
      <c r="V138" s="89">
        <v>0</v>
      </c>
      <c r="W138" s="15">
        <v>17897801312292</v>
      </c>
      <c r="X138" s="6">
        <v>0.5</v>
      </c>
      <c r="Y138" s="6">
        <v>0.17</v>
      </c>
      <c r="Z138" s="6">
        <v>0.65</v>
      </c>
      <c r="AA138" s="6">
        <f t="shared" si="2"/>
        <v>5.5250000000000007E-2</v>
      </c>
      <c r="AB138" s="8">
        <v>250</v>
      </c>
      <c r="AC138" s="15">
        <v>27897801312299</v>
      </c>
      <c r="AD138" s="4" t="s">
        <v>992</v>
      </c>
    </row>
    <row r="139" spans="2:30" x14ac:dyDescent="0.35">
      <c r="B139" s="14">
        <v>299</v>
      </c>
      <c r="C139" s="4" t="s">
        <v>145</v>
      </c>
      <c r="D139" s="4" t="s">
        <v>2376</v>
      </c>
      <c r="E139" s="4" t="s">
        <v>2911</v>
      </c>
      <c r="F139" s="4" t="s">
        <v>85</v>
      </c>
      <c r="G139" s="4" t="s">
        <v>993</v>
      </c>
      <c r="H139" s="6">
        <v>3.6400000000000002E-2</v>
      </c>
      <c r="I139" s="8">
        <v>56</v>
      </c>
      <c r="J139" s="8">
        <v>30</v>
      </c>
      <c r="K139" s="8">
        <v>43</v>
      </c>
      <c r="L139" s="8">
        <f t="shared" ref="L139:L202" si="3">J139*I139*K139</f>
        <v>72240</v>
      </c>
      <c r="M139" s="15">
        <v>7897801302517</v>
      </c>
      <c r="N139" s="6" t="s">
        <v>20</v>
      </c>
      <c r="O139" s="6" t="s">
        <v>20</v>
      </c>
      <c r="P139" s="6" t="s">
        <v>20</v>
      </c>
      <c r="Q139" s="6">
        <v>0.25</v>
      </c>
      <c r="R139" s="6">
        <v>0.05</v>
      </c>
      <c r="S139" s="6">
        <v>0.25</v>
      </c>
      <c r="T139" s="8">
        <v>20</v>
      </c>
      <c r="U139" s="5" t="s">
        <v>994</v>
      </c>
      <c r="V139" s="89">
        <v>0</v>
      </c>
      <c r="W139" s="15">
        <v>17897801302514</v>
      </c>
      <c r="X139" s="6">
        <v>0.52</v>
      </c>
      <c r="Y139" s="6">
        <v>0.22</v>
      </c>
      <c r="Z139" s="6">
        <v>0.76</v>
      </c>
      <c r="AA139" s="6">
        <f t="shared" si="2"/>
        <v>8.6944000000000007E-2</v>
      </c>
      <c r="AB139" s="8">
        <v>640</v>
      </c>
      <c r="AC139" s="15">
        <v>47897801302515</v>
      </c>
      <c r="AD139" s="4" t="s">
        <v>992</v>
      </c>
    </row>
    <row r="140" spans="2:30" x14ac:dyDescent="0.35">
      <c r="B140" s="14">
        <v>300</v>
      </c>
      <c r="C140" s="4" t="s">
        <v>146</v>
      </c>
      <c r="D140" s="4" t="s">
        <v>2376</v>
      </c>
      <c r="E140" s="4" t="s">
        <v>2911</v>
      </c>
      <c r="F140" s="4" t="s">
        <v>85</v>
      </c>
      <c r="G140" s="4" t="s">
        <v>993</v>
      </c>
      <c r="H140" s="6">
        <v>5.1200000000000002E-2</v>
      </c>
      <c r="I140" s="8">
        <v>60</v>
      </c>
      <c r="J140" s="8">
        <v>36</v>
      </c>
      <c r="K140" s="8">
        <v>48</v>
      </c>
      <c r="L140" s="8">
        <f t="shared" si="3"/>
        <v>103680</v>
      </c>
      <c r="M140" s="15">
        <v>7897801301350</v>
      </c>
      <c r="N140" s="6" t="s">
        <v>20</v>
      </c>
      <c r="O140" s="6" t="s">
        <v>20</v>
      </c>
      <c r="P140" s="6" t="s">
        <v>20</v>
      </c>
      <c r="Q140" s="6">
        <v>0.23</v>
      </c>
      <c r="R140" s="6">
        <v>7.0000000000000007E-2</v>
      </c>
      <c r="S140" s="6">
        <v>0.27</v>
      </c>
      <c r="T140" s="8">
        <v>20</v>
      </c>
      <c r="U140" s="5" t="s">
        <v>994</v>
      </c>
      <c r="V140" s="89">
        <v>0</v>
      </c>
      <c r="W140" s="15">
        <v>17897801301357</v>
      </c>
      <c r="X140" s="6">
        <v>0.51</v>
      </c>
      <c r="Y140" s="6">
        <v>0.19</v>
      </c>
      <c r="Z140" s="6">
        <v>0.79</v>
      </c>
      <c r="AA140" s="6">
        <f t="shared" si="2"/>
        <v>7.6551000000000008E-2</v>
      </c>
      <c r="AB140" s="8">
        <v>400</v>
      </c>
      <c r="AC140" s="15">
        <v>27897801301354</v>
      </c>
      <c r="AD140" s="4" t="s">
        <v>992</v>
      </c>
    </row>
    <row r="141" spans="2:30" x14ac:dyDescent="0.35">
      <c r="B141" s="14">
        <v>301</v>
      </c>
      <c r="C141" s="4" t="s">
        <v>147</v>
      </c>
      <c r="D141" s="4" t="s">
        <v>2376</v>
      </c>
      <c r="E141" s="4" t="s">
        <v>2911</v>
      </c>
      <c r="F141" s="4" t="s">
        <v>85</v>
      </c>
      <c r="G141" s="4" t="s">
        <v>993</v>
      </c>
      <c r="H141" s="6">
        <v>9.1600000000000001E-2</v>
      </c>
      <c r="I141" s="8">
        <v>61</v>
      </c>
      <c r="J141" s="8">
        <v>78</v>
      </c>
      <c r="K141" s="8">
        <v>78</v>
      </c>
      <c r="L141" s="8">
        <f t="shared" si="3"/>
        <v>371124</v>
      </c>
      <c r="M141" s="15">
        <v>7897801308953</v>
      </c>
      <c r="N141" s="6" t="s">
        <v>20</v>
      </c>
      <c r="O141" s="6" t="s">
        <v>20</v>
      </c>
      <c r="P141" s="6" t="s">
        <v>20</v>
      </c>
      <c r="Q141" s="6">
        <v>0.2</v>
      </c>
      <c r="R141" s="6">
        <v>0.08</v>
      </c>
      <c r="S141" s="6">
        <v>0.3</v>
      </c>
      <c r="T141" s="8">
        <v>16</v>
      </c>
      <c r="U141" s="5" t="s">
        <v>994</v>
      </c>
      <c r="V141" s="89">
        <v>0</v>
      </c>
      <c r="W141" s="15">
        <v>17897801308950</v>
      </c>
      <c r="X141" s="6">
        <v>0.42</v>
      </c>
      <c r="Y141" s="6">
        <v>0.23</v>
      </c>
      <c r="Z141" s="6">
        <v>0.6</v>
      </c>
      <c r="AA141" s="6">
        <f t="shared" si="2"/>
        <v>5.7959999999999998E-2</v>
      </c>
      <c r="AB141" s="8">
        <v>224</v>
      </c>
      <c r="AC141" s="15">
        <v>27897801308957</v>
      </c>
      <c r="AD141" s="4" t="s">
        <v>992</v>
      </c>
    </row>
    <row r="142" spans="2:30" x14ac:dyDescent="0.35">
      <c r="B142" s="14">
        <v>302</v>
      </c>
      <c r="C142" s="4" t="s">
        <v>148</v>
      </c>
      <c r="D142" s="4" t="s">
        <v>2376</v>
      </c>
      <c r="E142" s="4" t="s">
        <v>2911</v>
      </c>
      <c r="F142" s="4" t="s">
        <v>85</v>
      </c>
      <c r="G142" s="4" t="s">
        <v>993</v>
      </c>
      <c r="H142" s="6">
        <v>0.14979999999999999</v>
      </c>
      <c r="I142" s="8">
        <v>60</v>
      </c>
      <c r="J142" s="8">
        <v>80</v>
      </c>
      <c r="K142" s="8">
        <v>10</v>
      </c>
      <c r="L142" s="8">
        <f t="shared" si="3"/>
        <v>48000</v>
      </c>
      <c r="M142" s="15">
        <v>7897801311861</v>
      </c>
      <c r="N142" s="6" t="s">
        <v>20</v>
      </c>
      <c r="O142" s="6" t="s">
        <v>20</v>
      </c>
      <c r="P142" s="6" t="s">
        <v>20</v>
      </c>
      <c r="Q142" s="6">
        <v>0.2</v>
      </c>
      <c r="R142" s="6">
        <v>0.12</v>
      </c>
      <c r="S142" s="6">
        <v>0.3</v>
      </c>
      <c r="T142" s="8">
        <v>12</v>
      </c>
      <c r="U142" s="5" t="s">
        <v>994</v>
      </c>
      <c r="V142" s="89">
        <v>0</v>
      </c>
      <c r="W142" s="15">
        <v>17897801311868</v>
      </c>
      <c r="X142" s="6">
        <v>0.42</v>
      </c>
      <c r="Y142" s="6">
        <v>0.23</v>
      </c>
      <c r="Z142" s="6">
        <v>0.65</v>
      </c>
      <c r="AA142" s="6">
        <f t="shared" si="2"/>
        <v>6.2790000000000012E-2</v>
      </c>
      <c r="AB142" s="8">
        <v>108</v>
      </c>
      <c r="AC142" s="15">
        <v>27897801311865</v>
      </c>
      <c r="AD142" s="4" t="s">
        <v>992</v>
      </c>
    </row>
    <row r="143" spans="2:30" x14ac:dyDescent="0.35">
      <c r="B143" s="14">
        <v>303</v>
      </c>
      <c r="C143" s="4" t="s">
        <v>149</v>
      </c>
      <c r="D143" s="4" t="s">
        <v>2376</v>
      </c>
      <c r="E143" s="4" t="s">
        <v>2911</v>
      </c>
      <c r="F143" s="4" t="s">
        <v>85</v>
      </c>
      <c r="G143" s="4" t="s">
        <v>993</v>
      </c>
      <c r="H143" s="6">
        <v>0.19700000000000001</v>
      </c>
      <c r="I143" s="8">
        <v>61</v>
      </c>
      <c r="J143" s="8">
        <v>104</v>
      </c>
      <c r="K143" s="8">
        <v>84</v>
      </c>
      <c r="L143" s="8">
        <f t="shared" si="3"/>
        <v>532896</v>
      </c>
      <c r="M143" s="15">
        <v>7897801311632</v>
      </c>
      <c r="N143" s="6" t="s">
        <v>20</v>
      </c>
      <c r="O143" s="6" t="s">
        <v>20</v>
      </c>
      <c r="P143" s="6" t="s">
        <v>20</v>
      </c>
      <c r="Q143" s="6">
        <v>0.25</v>
      </c>
      <c r="R143" s="6">
        <v>0.105</v>
      </c>
      <c r="S143" s="6">
        <v>0.37</v>
      </c>
      <c r="T143" s="8">
        <v>10</v>
      </c>
      <c r="U143" s="5" t="s">
        <v>994</v>
      </c>
      <c r="V143" s="89">
        <v>0</v>
      </c>
      <c r="W143" s="15">
        <v>17897801311639</v>
      </c>
      <c r="X143" s="6">
        <v>0.57999999999999996</v>
      </c>
      <c r="Y143" s="6">
        <v>0.22</v>
      </c>
      <c r="Z143" s="6">
        <v>0.76</v>
      </c>
      <c r="AA143" s="6">
        <f t="shared" ref="AA143:AA206" si="4">Y143*X143*Z143</f>
        <v>9.6975999999999993E-2</v>
      </c>
      <c r="AB143" s="8">
        <v>100</v>
      </c>
      <c r="AC143" s="15">
        <v>27897801311636</v>
      </c>
      <c r="AD143" s="4" t="s">
        <v>992</v>
      </c>
    </row>
    <row r="144" spans="2:30" x14ac:dyDescent="0.35">
      <c r="B144" s="14">
        <v>304</v>
      </c>
      <c r="C144" s="4" t="s">
        <v>150</v>
      </c>
      <c r="D144" s="4" t="s">
        <v>2376</v>
      </c>
      <c r="E144" s="4" t="s">
        <v>2911</v>
      </c>
      <c r="F144" s="4" t="s">
        <v>85</v>
      </c>
      <c r="G144" s="4" t="s">
        <v>993</v>
      </c>
      <c r="H144" s="6">
        <v>0.30109999999999998</v>
      </c>
      <c r="I144" s="8">
        <v>10</v>
      </c>
      <c r="J144" s="8">
        <v>70</v>
      </c>
      <c r="K144" s="8">
        <v>70</v>
      </c>
      <c r="L144" s="8">
        <f t="shared" si="3"/>
        <v>49000</v>
      </c>
      <c r="M144" s="15">
        <v>7897801311878</v>
      </c>
      <c r="N144" s="6" t="s">
        <v>20</v>
      </c>
      <c r="O144" s="6" t="s">
        <v>20</v>
      </c>
      <c r="P144" s="6" t="s">
        <v>20</v>
      </c>
      <c r="Q144" s="6">
        <v>0.24</v>
      </c>
      <c r="R144" s="6">
        <v>0.12</v>
      </c>
      <c r="S144" s="6">
        <v>0.33</v>
      </c>
      <c r="T144" s="8">
        <v>6</v>
      </c>
      <c r="U144" s="5" t="s">
        <v>994</v>
      </c>
      <c r="V144" s="89">
        <v>0</v>
      </c>
      <c r="W144" s="15">
        <v>17897801311875</v>
      </c>
      <c r="X144" s="6">
        <v>0.4</v>
      </c>
      <c r="Y144" s="6">
        <v>0.25</v>
      </c>
      <c r="Z144" s="6">
        <v>0.65</v>
      </c>
      <c r="AA144" s="6">
        <f t="shared" si="4"/>
        <v>6.5000000000000002E-2</v>
      </c>
      <c r="AB144" s="8">
        <v>54</v>
      </c>
      <c r="AC144" s="15">
        <v>27897801311872</v>
      </c>
      <c r="AD144" s="4" t="s">
        <v>992</v>
      </c>
    </row>
    <row r="145" spans="2:30" x14ac:dyDescent="0.35">
      <c r="B145" s="14">
        <v>305</v>
      </c>
      <c r="C145" s="4" t="s">
        <v>151</v>
      </c>
      <c r="D145" s="4" t="s">
        <v>2376</v>
      </c>
      <c r="E145" s="4" t="s">
        <v>2911</v>
      </c>
      <c r="F145" s="4" t="s">
        <v>85</v>
      </c>
      <c r="G145" s="4" t="s">
        <v>993</v>
      </c>
      <c r="H145" s="6">
        <v>4.8800000000000003E-2</v>
      </c>
      <c r="I145" s="8">
        <v>60</v>
      </c>
      <c r="J145" s="8">
        <v>40</v>
      </c>
      <c r="K145" s="8">
        <v>37</v>
      </c>
      <c r="L145" s="8">
        <f t="shared" si="3"/>
        <v>88800</v>
      </c>
      <c r="M145" s="15">
        <v>7897801311502</v>
      </c>
      <c r="N145" s="6" t="s">
        <v>20</v>
      </c>
      <c r="O145" s="6" t="s">
        <v>20</v>
      </c>
      <c r="P145" s="6" t="s">
        <v>20</v>
      </c>
      <c r="Q145" s="6">
        <v>0.19</v>
      </c>
      <c r="R145" s="6">
        <v>0.06</v>
      </c>
      <c r="S145" s="6">
        <v>0.3</v>
      </c>
      <c r="T145" s="8">
        <v>15</v>
      </c>
      <c r="U145" s="5" t="s">
        <v>994</v>
      </c>
      <c r="V145" s="89">
        <v>0</v>
      </c>
      <c r="W145" s="15">
        <v>17897801311509</v>
      </c>
      <c r="X145" s="6">
        <v>0.44</v>
      </c>
      <c r="Y145" s="6">
        <v>0.22</v>
      </c>
      <c r="Z145" s="6">
        <v>0.73</v>
      </c>
      <c r="AA145" s="6">
        <f t="shared" si="4"/>
        <v>7.0663999999999991E-2</v>
      </c>
      <c r="AB145" s="8">
        <v>420</v>
      </c>
      <c r="AC145" s="15">
        <v>27897801311506</v>
      </c>
      <c r="AD145" s="4" t="s">
        <v>992</v>
      </c>
    </row>
    <row r="146" spans="2:30" x14ac:dyDescent="0.35">
      <c r="B146" s="14">
        <v>306</v>
      </c>
      <c r="C146" s="4" t="s">
        <v>152</v>
      </c>
      <c r="D146" s="4" t="s">
        <v>2376</v>
      </c>
      <c r="E146" s="4" t="s">
        <v>2911</v>
      </c>
      <c r="F146" s="4" t="s">
        <v>85</v>
      </c>
      <c r="G146" s="4" t="s">
        <v>993</v>
      </c>
      <c r="H146" s="6">
        <v>8.1299999999999997E-2</v>
      </c>
      <c r="I146" s="8">
        <v>64</v>
      </c>
      <c r="J146" s="8">
        <v>71</v>
      </c>
      <c r="K146" s="8">
        <v>44</v>
      </c>
      <c r="L146" s="8">
        <f t="shared" si="3"/>
        <v>199936</v>
      </c>
      <c r="M146" s="15">
        <v>7897801311489</v>
      </c>
      <c r="N146" s="6" t="s">
        <v>20</v>
      </c>
      <c r="O146" s="6" t="s">
        <v>20</v>
      </c>
      <c r="P146" s="6" t="s">
        <v>20</v>
      </c>
      <c r="Q146" s="6">
        <v>0.23</v>
      </c>
      <c r="R146" s="6">
        <v>0.1</v>
      </c>
      <c r="S146" s="6">
        <v>0.38</v>
      </c>
      <c r="T146" s="8">
        <v>20</v>
      </c>
      <c r="U146" s="5" t="s">
        <v>994</v>
      </c>
      <c r="V146" s="89">
        <v>0</v>
      </c>
      <c r="W146" s="15">
        <v>17897801311486</v>
      </c>
      <c r="X146" s="6">
        <v>0.51</v>
      </c>
      <c r="Y146" s="6">
        <v>0.2</v>
      </c>
      <c r="Z146" s="6">
        <v>0.78</v>
      </c>
      <c r="AA146" s="6">
        <f t="shared" si="4"/>
        <v>7.9560000000000006E-2</v>
      </c>
      <c r="AB146" s="8">
        <v>240</v>
      </c>
      <c r="AC146" s="15">
        <v>27897801311483</v>
      </c>
      <c r="AD146" s="4" t="s">
        <v>992</v>
      </c>
    </row>
    <row r="147" spans="2:30" x14ac:dyDescent="0.35">
      <c r="B147" s="14">
        <v>307</v>
      </c>
      <c r="C147" s="4" t="s">
        <v>153</v>
      </c>
      <c r="D147" s="4" t="s">
        <v>2376</v>
      </c>
      <c r="E147" s="4" t="s">
        <v>2911</v>
      </c>
      <c r="F147" s="4" t="s">
        <v>85</v>
      </c>
      <c r="G147" s="4" t="s">
        <v>993</v>
      </c>
      <c r="H147" s="6">
        <v>0.1368</v>
      </c>
      <c r="I147" s="8">
        <v>61</v>
      </c>
      <c r="J147" s="8">
        <v>81</v>
      </c>
      <c r="K147" s="8">
        <v>75</v>
      </c>
      <c r="L147" s="8">
        <f t="shared" si="3"/>
        <v>370575</v>
      </c>
      <c r="M147" s="15">
        <v>7897801311885</v>
      </c>
      <c r="N147" s="6" t="s">
        <v>20</v>
      </c>
      <c r="O147" s="6" t="s">
        <v>20</v>
      </c>
      <c r="P147" s="6" t="s">
        <v>20</v>
      </c>
      <c r="Q147" s="6">
        <v>0.2</v>
      </c>
      <c r="R147" s="6">
        <v>0.08</v>
      </c>
      <c r="S147" s="6">
        <v>0.28999999999999998</v>
      </c>
      <c r="T147" s="8">
        <v>8</v>
      </c>
      <c r="U147" s="5" t="s">
        <v>994</v>
      </c>
      <c r="V147" s="89">
        <v>0</v>
      </c>
      <c r="W147" s="15">
        <v>17897801311882</v>
      </c>
      <c r="X147" s="6">
        <v>0.51</v>
      </c>
      <c r="Y147" s="6">
        <v>0.19</v>
      </c>
      <c r="Z147" s="6">
        <v>0.76</v>
      </c>
      <c r="AA147" s="6">
        <f t="shared" si="4"/>
        <v>7.3644000000000001E-2</v>
      </c>
      <c r="AB147" s="8">
        <v>120</v>
      </c>
      <c r="AC147" s="15">
        <v>27897801311889</v>
      </c>
      <c r="AD147" s="4" t="s">
        <v>992</v>
      </c>
    </row>
    <row r="148" spans="2:30" x14ac:dyDescent="0.35">
      <c r="B148" s="14">
        <v>308</v>
      </c>
      <c r="C148" s="4" t="s">
        <v>154</v>
      </c>
      <c r="D148" s="4" t="s">
        <v>2376</v>
      </c>
      <c r="E148" s="4" t="s">
        <v>2911</v>
      </c>
      <c r="F148" s="4" t="s">
        <v>85</v>
      </c>
      <c r="G148" s="4" t="s">
        <v>993</v>
      </c>
      <c r="H148" s="6">
        <v>3.1E-2</v>
      </c>
      <c r="I148" s="8">
        <v>43</v>
      </c>
      <c r="J148" s="8">
        <v>43</v>
      </c>
      <c r="K148" s="8">
        <v>41</v>
      </c>
      <c r="L148" s="8">
        <f t="shared" si="3"/>
        <v>75809</v>
      </c>
      <c r="M148" s="15">
        <v>7897801302869</v>
      </c>
      <c r="N148" s="6" t="s">
        <v>20</v>
      </c>
      <c r="O148" s="6" t="s">
        <v>20</v>
      </c>
      <c r="P148" s="6" t="s">
        <v>20</v>
      </c>
      <c r="Q148" s="6">
        <v>0.17</v>
      </c>
      <c r="R148" s="6">
        <v>0.04</v>
      </c>
      <c r="S148" s="6">
        <v>0.22</v>
      </c>
      <c r="T148" s="8">
        <v>20</v>
      </c>
      <c r="U148" s="5" t="s">
        <v>994</v>
      </c>
      <c r="V148" s="89">
        <v>0</v>
      </c>
      <c r="W148" s="15">
        <v>17897801302866</v>
      </c>
      <c r="X148" s="6">
        <v>0.45</v>
      </c>
      <c r="Y148" s="6">
        <v>0.21</v>
      </c>
      <c r="Z148" s="6">
        <v>0.67</v>
      </c>
      <c r="AA148" s="6">
        <f t="shared" si="4"/>
        <v>6.331500000000001E-2</v>
      </c>
      <c r="AB148" s="8">
        <v>700</v>
      </c>
      <c r="AC148" s="15">
        <v>47897801302867</v>
      </c>
      <c r="AD148" s="4" t="s">
        <v>992</v>
      </c>
    </row>
    <row r="149" spans="2:30" x14ac:dyDescent="0.35">
      <c r="B149" s="14">
        <v>309</v>
      </c>
      <c r="C149" s="4" t="s">
        <v>155</v>
      </c>
      <c r="D149" s="4" t="s">
        <v>2376</v>
      </c>
      <c r="E149" s="4" t="s">
        <v>2911</v>
      </c>
      <c r="F149" s="4" t="s">
        <v>85</v>
      </c>
      <c r="G149" s="4" t="s">
        <v>993</v>
      </c>
      <c r="H149" s="6">
        <v>0.05</v>
      </c>
      <c r="I149" s="8">
        <v>52</v>
      </c>
      <c r="J149" s="8">
        <v>52</v>
      </c>
      <c r="K149" s="8">
        <v>44.5</v>
      </c>
      <c r="L149" s="8">
        <f t="shared" si="3"/>
        <v>120328</v>
      </c>
      <c r="M149" s="15">
        <v>7897801302883</v>
      </c>
      <c r="N149" s="6" t="s">
        <v>20</v>
      </c>
      <c r="O149" s="6" t="s">
        <v>20</v>
      </c>
      <c r="P149" s="6" t="s">
        <v>20</v>
      </c>
      <c r="Q149" s="6">
        <v>0.185</v>
      </c>
      <c r="R149" s="6">
        <v>5.5E-2</v>
      </c>
      <c r="S149" s="6">
        <v>0.28999999999999998</v>
      </c>
      <c r="T149" s="8">
        <v>20</v>
      </c>
      <c r="U149" s="5" t="s">
        <v>994</v>
      </c>
      <c r="V149" s="89">
        <v>0</v>
      </c>
      <c r="W149" s="15">
        <v>17897801302880</v>
      </c>
      <c r="X149" s="6">
        <v>0.49</v>
      </c>
      <c r="Y149" s="6">
        <v>0.215</v>
      </c>
      <c r="Z149" s="6">
        <v>0.69499999999999995</v>
      </c>
      <c r="AA149" s="6">
        <f t="shared" si="4"/>
        <v>7.3218249999999999E-2</v>
      </c>
      <c r="AB149" s="8">
        <v>400</v>
      </c>
      <c r="AC149" s="15">
        <v>47897801302881</v>
      </c>
      <c r="AD149" s="4" t="s">
        <v>992</v>
      </c>
    </row>
    <row r="150" spans="2:30" x14ac:dyDescent="0.35">
      <c r="B150" s="14">
        <v>310</v>
      </c>
      <c r="C150" s="4" t="s">
        <v>156</v>
      </c>
      <c r="D150" s="4" t="s">
        <v>2376</v>
      </c>
      <c r="E150" s="4" t="s">
        <v>2911</v>
      </c>
      <c r="F150" s="4" t="s">
        <v>85</v>
      </c>
      <c r="G150" s="4" t="s">
        <v>993</v>
      </c>
      <c r="H150" s="6">
        <v>8.1100000000000005E-2</v>
      </c>
      <c r="I150" s="8">
        <v>62</v>
      </c>
      <c r="J150" s="8">
        <v>53</v>
      </c>
      <c r="K150" s="8">
        <v>62</v>
      </c>
      <c r="L150" s="8">
        <f t="shared" si="3"/>
        <v>203732</v>
      </c>
      <c r="M150" s="15">
        <v>7897801307420</v>
      </c>
      <c r="N150" s="6" t="s">
        <v>20</v>
      </c>
      <c r="O150" s="6" t="s">
        <v>20</v>
      </c>
      <c r="P150" s="6" t="s">
        <v>20</v>
      </c>
      <c r="Q150" s="6">
        <v>0.18</v>
      </c>
      <c r="R150" s="6">
        <v>6.5000000000000002E-2</v>
      </c>
      <c r="S150" s="6">
        <v>0.26</v>
      </c>
      <c r="T150" s="8">
        <v>10</v>
      </c>
      <c r="U150" s="5" t="s">
        <v>994</v>
      </c>
      <c r="V150" s="89">
        <v>0</v>
      </c>
      <c r="W150" s="15">
        <v>17897801307427</v>
      </c>
      <c r="X150" s="6">
        <v>0.48</v>
      </c>
      <c r="Y150" s="6">
        <v>0.19</v>
      </c>
      <c r="Z150" s="6">
        <v>0.7</v>
      </c>
      <c r="AA150" s="6">
        <f t="shared" si="4"/>
        <v>6.3839999999999994E-2</v>
      </c>
      <c r="AB150" s="8">
        <v>240</v>
      </c>
      <c r="AC150" s="15">
        <v>47897801307428</v>
      </c>
      <c r="AD150" s="4" t="s">
        <v>992</v>
      </c>
    </row>
    <row r="151" spans="2:30" x14ac:dyDescent="0.35">
      <c r="B151" s="14">
        <v>311</v>
      </c>
      <c r="C151" s="4" t="s">
        <v>157</v>
      </c>
      <c r="D151" s="4" t="s">
        <v>2376</v>
      </c>
      <c r="E151" s="4" t="s">
        <v>2911</v>
      </c>
      <c r="F151" s="4" t="s">
        <v>85</v>
      </c>
      <c r="G151" s="4" t="s">
        <v>993</v>
      </c>
      <c r="H151" s="6">
        <v>0.14199999999999999</v>
      </c>
      <c r="I151" s="8">
        <v>75</v>
      </c>
      <c r="J151" s="8">
        <v>63</v>
      </c>
      <c r="K151" s="8">
        <v>75</v>
      </c>
      <c r="L151" s="8">
        <f t="shared" si="3"/>
        <v>354375</v>
      </c>
      <c r="M151" s="15">
        <v>7897801307406</v>
      </c>
      <c r="N151" s="6" t="s">
        <v>20</v>
      </c>
      <c r="O151" s="6" t="s">
        <v>20</v>
      </c>
      <c r="P151" s="6" t="s">
        <v>20</v>
      </c>
      <c r="Q151" s="6">
        <v>0.2</v>
      </c>
      <c r="R151" s="6">
        <v>0.08</v>
      </c>
      <c r="S151" s="6">
        <v>0.3</v>
      </c>
      <c r="T151" s="8">
        <v>8</v>
      </c>
      <c r="U151" s="5" t="s">
        <v>994</v>
      </c>
      <c r="V151" s="89">
        <v>0</v>
      </c>
      <c r="W151" s="15">
        <v>17897801307403</v>
      </c>
      <c r="X151" s="6">
        <v>0.5</v>
      </c>
      <c r="Y151" s="6">
        <v>0.21</v>
      </c>
      <c r="Z151" s="6">
        <v>0.65</v>
      </c>
      <c r="AA151" s="6">
        <f t="shared" si="4"/>
        <v>6.8250000000000005E-2</v>
      </c>
      <c r="AB151" s="8">
        <v>120</v>
      </c>
      <c r="AC151" s="15">
        <v>47897801307404</v>
      </c>
      <c r="AD151" s="4" t="s">
        <v>992</v>
      </c>
    </row>
    <row r="152" spans="2:30" x14ac:dyDescent="0.35">
      <c r="B152" s="14">
        <v>312</v>
      </c>
      <c r="C152" s="4" t="s">
        <v>158</v>
      </c>
      <c r="D152" s="4" t="s">
        <v>2376</v>
      </c>
      <c r="E152" s="4" t="s">
        <v>2911</v>
      </c>
      <c r="F152" s="4" t="s">
        <v>85</v>
      </c>
      <c r="G152" s="4" t="s">
        <v>993</v>
      </c>
      <c r="H152" s="6">
        <v>0.26</v>
      </c>
      <c r="I152" s="8">
        <v>92</v>
      </c>
      <c r="J152" s="8">
        <v>92</v>
      </c>
      <c r="K152" s="8">
        <v>75.5</v>
      </c>
      <c r="L152" s="8">
        <f t="shared" si="3"/>
        <v>639032</v>
      </c>
      <c r="M152" s="15">
        <v>7897801302906</v>
      </c>
      <c r="N152" s="6" t="s">
        <v>20</v>
      </c>
      <c r="O152" s="6" t="s">
        <v>20</v>
      </c>
      <c r="P152" s="6" t="s">
        <v>20</v>
      </c>
      <c r="Q152" s="6">
        <v>0.26</v>
      </c>
      <c r="R152" s="6">
        <v>0.15</v>
      </c>
      <c r="S152" s="6">
        <v>0.35</v>
      </c>
      <c r="T152" s="8">
        <v>10</v>
      </c>
      <c r="U152" s="5" t="s">
        <v>994</v>
      </c>
      <c r="V152" s="89">
        <v>0</v>
      </c>
      <c r="W152" s="15">
        <v>17897801302903</v>
      </c>
      <c r="X152" s="6">
        <v>0.45</v>
      </c>
      <c r="Y152" s="6">
        <v>0.19</v>
      </c>
      <c r="Z152" s="6">
        <v>0.65</v>
      </c>
      <c r="AA152" s="6">
        <f t="shared" si="4"/>
        <v>5.5575000000000006E-2</v>
      </c>
      <c r="AB152" s="8">
        <v>80</v>
      </c>
      <c r="AC152" s="15">
        <v>47897801302904</v>
      </c>
      <c r="AD152" s="4" t="s">
        <v>992</v>
      </c>
    </row>
    <row r="153" spans="2:30" x14ac:dyDescent="0.35">
      <c r="B153" s="14">
        <v>313</v>
      </c>
      <c r="C153" s="4" t="s">
        <v>159</v>
      </c>
      <c r="D153" s="4" t="s">
        <v>2376</v>
      </c>
      <c r="E153" s="4" t="s">
        <v>2911</v>
      </c>
      <c r="F153" s="4" t="s">
        <v>85</v>
      </c>
      <c r="G153" s="4" t="s">
        <v>993</v>
      </c>
      <c r="H153" s="6">
        <v>0.35360000000000003</v>
      </c>
      <c r="I153" s="8">
        <v>103</v>
      </c>
      <c r="J153" s="8">
        <v>87</v>
      </c>
      <c r="K153" s="8">
        <v>103</v>
      </c>
      <c r="L153" s="8">
        <f t="shared" si="3"/>
        <v>922983</v>
      </c>
      <c r="M153" s="15">
        <v>7897801308434</v>
      </c>
      <c r="N153" s="6" t="s">
        <v>20</v>
      </c>
      <c r="O153" s="6" t="s">
        <v>20</v>
      </c>
      <c r="P153" s="6" t="s">
        <v>20</v>
      </c>
      <c r="Q153" s="6">
        <v>0.2</v>
      </c>
      <c r="R153" s="6">
        <v>0.12</v>
      </c>
      <c r="S153" s="6">
        <v>0.28999999999999998</v>
      </c>
      <c r="T153" s="8">
        <v>5</v>
      </c>
      <c r="U153" s="5" t="s">
        <v>994</v>
      </c>
      <c r="V153" s="89">
        <v>0</v>
      </c>
      <c r="W153" s="15">
        <v>17897801308431</v>
      </c>
      <c r="X153" s="6">
        <v>0.47</v>
      </c>
      <c r="Y153" s="6">
        <v>0.67</v>
      </c>
      <c r="Z153" s="6">
        <v>0.8</v>
      </c>
      <c r="AA153" s="6">
        <f t="shared" si="4"/>
        <v>0.25192000000000003</v>
      </c>
      <c r="AB153" s="8">
        <v>50</v>
      </c>
      <c r="AC153" s="15">
        <v>47897801308432</v>
      </c>
      <c r="AD153" s="4" t="s">
        <v>992</v>
      </c>
    </row>
    <row r="154" spans="2:30" x14ac:dyDescent="0.35">
      <c r="B154" s="14">
        <v>314</v>
      </c>
      <c r="C154" s="4" t="s">
        <v>160</v>
      </c>
      <c r="D154" s="4" t="s">
        <v>2376</v>
      </c>
      <c r="E154" s="4" t="s">
        <v>2911</v>
      </c>
      <c r="F154" s="4" t="s">
        <v>85</v>
      </c>
      <c r="G154" s="4" t="s">
        <v>993</v>
      </c>
      <c r="H154" s="6">
        <v>0.73440000000000005</v>
      </c>
      <c r="I154" s="8">
        <v>150</v>
      </c>
      <c r="J154" s="8">
        <v>120</v>
      </c>
      <c r="K154" s="8">
        <v>150</v>
      </c>
      <c r="L154" s="8">
        <f t="shared" si="3"/>
        <v>2700000</v>
      </c>
      <c r="M154" s="15">
        <v>7897801312301</v>
      </c>
      <c r="N154" s="6" t="s">
        <v>20</v>
      </c>
      <c r="O154" s="6" t="s">
        <v>20</v>
      </c>
      <c r="P154" s="6" t="s">
        <v>20</v>
      </c>
      <c r="Q154" s="6">
        <v>0.245</v>
      </c>
      <c r="R154" s="6">
        <v>0.14000000000000001</v>
      </c>
      <c r="S154" s="6">
        <v>0.26</v>
      </c>
      <c r="T154" s="8">
        <v>3</v>
      </c>
      <c r="U154" s="5" t="s">
        <v>994</v>
      </c>
      <c r="V154" s="89">
        <v>0</v>
      </c>
      <c r="W154" s="15">
        <v>17897801312308</v>
      </c>
      <c r="X154" s="6">
        <v>0.51</v>
      </c>
      <c r="Y154" s="6">
        <v>0.22</v>
      </c>
      <c r="Z154" s="6">
        <v>0.73</v>
      </c>
      <c r="AA154" s="6">
        <f t="shared" si="4"/>
        <v>8.1906000000000007E-2</v>
      </c>
      <c r="AB154" s="8">
        <v>30</v>
      </c>
      <c r="AC154" s="15">
        <v>27897801312305</v>
      </c>
      <c r="AD154" s="4" t="s">
        <v>992</v>
      </c>
    </row>
    <row r="155" spans="2:30" x14ac:dyDescent="0.35">
      <c r="B155" s="14">
        <v>315</v>
      </c>
      <c r="C155" s="4" t="s">
        <v>161</v>
      </c>
      <c r="D155" s="4" t="s">
        <v>2376</v>
      </c>
      <c r="E155" s="4" t="s">
        <v>2911</v>
      </c>
      <c r="F155" s="4" t="s">
        <v>85</v>
      </c>
      <c r="G155" s="4" t="s">
        <v>993</v>
      </c>
      <c r="H155" s="6">
        <v>0.85370000000000001</v>
      </c>
      <c r="I155" s="8">
        <v>180</v>
      </c>
      <c r="J155" s="8">
        <v>120</v>
      </c>
      <c r="K155" s="8">
        <v>180</v>
      </c>
      <c r="L155" s="8">
        <f t="shared" si="3"/>
        <v>3888000</v>
      </c>
      <c r="M155" s="15">
        <v>7897801312318</v>
      </c>
      <c r="N155" s="6" t="s">
        <v>20</v>
      </c>
      <c r="O155" s="6" t="s">
        <v>20</v>
      </c>
      <c r="P155" s="6" t="s">
        <v>20</v>
      </c>
      <c r="Q155" s="6">
        <v>0.11</v>
      </c>
      <c r="R155" s="6">
        <v>0.11</v>
      </c>
      <c r="S155" s="6">
        <v>0.16</v>
      </c>
      <c r="T155" s="8">
        <v>1</v>
      </c>
      <c r="U155" s="5" t="s">
        <v>994</v>
      </c>
      <c r="V155" s="89">
        <v>0</v>
      </c>
      <c r="W155" s="15">
        <v>17897801312315</v>
      </c>
      <c r="X155" s="6">
        <v>0.43</v>
      </c>
      <c r="Y155" s="6">
        <v>0.17</v>
      </c>
      <c r="Z155" s="6">
        <v>0.68</v>
      </c>
      <c r="AA155" s="6">
        <f t="shared" si="4"/>
        <v>4.9708000000000002E-2</v>
      </c>
      <c r="AB155" s="8">
        <v>20</v>
      </c>
      <c r="AC155" s="15">
        <v>27897801312312</v>
      </c>
      <c r="AD155" s="4" t="s">
        <v>992</v>
      </c>
    </row>
    <row r="156" spans="2:30" x14ac:dyDescent="0.35">
      <c r="B156" s="14">
        <v>316</v>
      </c>
      <c r="C156" s="4" t="s">
        <v>162</v>
      </c>
      <c r="D156" s="4" t="s">
        <v>2376</v>
      </c>
      <c r="E156" s="4" t="s">
        <v>2911</v>
      </c>
      <c r="F156" s="4" t="s">
        <v>85</v>
      </c>
      <c r="G156" s="4" t="s">
        <v>993</v>
      </c>
      <c r="H156" s="6">
        <v>1.4762999999999999</v>
      </c>
      <c r="I156" s="8">
        <v>140</v>
      </c>
      <c r="J156" s="8">
        <v>190</v>
      </c>
      <c r="K156" s="8">
        <v>190</v>
      </c>
      <c r="L156" s="8">
        <f t="shared" si="3"/>
        <v>5054000</v>
      </c>
      <c r="M156" s="15">
        <v>7897801312325</v>
      </c>
      <c r="N156" s="6" t="s">
        <v>20</v>
      </c>
      <c r="O156" s="6" t="s">
        <v>20</v>
      </c>
      <c r="P156" s="6" t="s">
        <v>20</v>
      </c>
      <c r="Q156" s="6">
        <v>0.19</v>
      </c>
      <c r="R156" s="6">
        <v>0.19</v>
      </c>
      <c r="S156" s="6">
        <v>0.14000000000000001</v>
      </c>
      <c r="T156" s="8">
        <v>1</v>
      </c>
      <c r="U156" s="5" t="s">
        <v>994</v>
      </c>
      <c r="V156" s="89">
        <v>0</v>
      </c>
      <c r="W156" s="15">
        <v>17897801312322</v>
      </c>
      <c r="X156" s="6">
        <v>0.49</v>
      </c>
      <c r="Y156" s="6">
        <v>0.18</v>
      </c>
      <c r="Z156" s="6">
        <v>0.74</v>
      </c>
      <c r="AA156" s="6">
        <f t="shared" si="4"/>
        <v>6.5268000000000007E-2</v>
      </c>
      <c r="AB156" s="8">
        <v>10</v>
      </c>
      <c r="AC156" s="15">
        <v>27897801312329</v>
      </c>
      <c r="AD156" s="4" t="s">
        <v>992</v>
      </c>
    </row>
    <row r="157" spans="2:30" x14ac:dyDescent="0.35">
      <c r="B157" s="14">
        <v>320</v>
      </c>
      <c r="C157" s="4" t="s">
        <v>163</v>
      </c>
      <c r="D157" s="4" t="s">
        <v>2408</v>
      </c>
      <c r="E157" s="4" t="s">
        <v>2911</v>
      </c>
      <c r="F157" s="4" t="s">
        <v>164</v>
      </c>
      <c r="G157" s="4" t="s">
        <v>995</v>
      </c>
      <c r="H157" s="6">
        <v>4.0000000000000001E-3</v>
      </c>
      <c r="I157" s="8">
        <v>12</v>
      </c>
      <c r="J157" s="8">
        <v>42</v>
      </c>
      <c r="K157" s="8">
        <v>42</v>
      </c>
      <c r="L157" s="8">
        <f t="shared" si="3"/>
        <v>21168</v>
      </c>
      <c r="M157" s="15">
        <v>7897801300063</v>
      </c>
      <c r="N157" s="6" t="s">
        <v>20</v>
      </c>
      <c r="O157" s="6" t="s">
        <v>20</v>
      </c>
      <c r="P157" s="6" t="s">
        <v>20</v>
      </c>
      <c r="Q157" s="6">
        <v>0.115</v>
      </c>
      <c r="R157" s="6">
        <v>0.16700000000000001</v>
      </c>
      <c r="S157" s="6">
        <v>0.19500000000000001</v>
      </c>
      <c r="T157" s="8">
        <v>60</v>
      </c>
      <c r="U157" s="5" t="s">
        <v>996</v>
      </c>
      <c r="V157" s="89">
        <v>0</v>
      </c>
      <c r="W157" s="15">
        <v>17897801300060</v>
      </c>
      <c r="X157" s="6">
        <v>0.22</v>
      </c>
      <c r="Y157" s="6">
        <v>0.36499999999999999</v>
      </c>
      <c r="Z157" s="6">
        <v>0.61</v>
      </c>
      <c r="AA157" s="6">
        <f t="shared" si="4"/>
        <v>4.8982999999999999E-2</v>
      </c>
      <c r="AB157" s="8">
        <v>600</v>
      </c>
      <c r="AC157" s="15">
        <v>27897801300067</v>
      </c>
      <c r="AD157" s="4" t="s">
        <v>992</v>
      </c>
    </row>
    <row r="158" spans="2:30" x14ac:dyDescent="0.35">
      <c r="B158" s="14">
        <v>321</v>
      </c>
      <c r="C158" s="4" t="s">
        <v>165</v>
      </c>
      <c r="D158" s="4" t="s">
        <v>2408</v>
      </c>
      <c r="E158" s="4" t="s">
        <v>2911</v>
      </c>
      <c r="F158" s="4" t="s">
        <v>164</v>
      </c>
      <c r="G158" s="4" t="s">
        <v>995</v>
      </c>
      <c r="H158" s="6">
        <v>8.9999999999999993E-3</v>
      </c>
      <c r="I158" s="8">
        <v>12</v>
      </c>
      <c r="J158" s="8">
        <v>50</v>
      </c>
      <c r="K158" s="8">
        <v>50</v>
      </c>
      <c r="L158" s="8">
        <f t="shared" si="3"/>
        <v>30000</v>
      </c>
      <c r="M158" s="15">
        <v>7897801300070</v>
      </c>
      <c r="N158" s="6" t="s">
        <v>20</v>
      </c>
      <c r="O158" s="6" t="s">
        <v>20</v>
      </c>
      <c r="P158" s="6" t="s">
        <v>20</v>
      </c>
      <c r="Q158" s="6">
        <v>0.16</v>
      </c>
      <c r="R158" s="6">
        <v>0.115</v>
      </c>
      <c r="S158" s="6">
        <v>0.24</v>
      </c>
      <c r="T158" s="8">
        <v>30</v>
      </c>
      <c r="U158" s="5" t="s">
        <v>996</v>
      </c>
      <c r="V158" s="89">
        <v>0</v>
      </c>
      <c r="W158" s="15">
        <v>17897801300077</v>
      </c>
      <c r="X158" s="6">
        <v>0.26</v>
      </c>
      <c r="Y158" s="6">
        <v>0.35</v>
      </c>
      <c r="Z158" s="6">
        <v>0.65500000000000003</v>
      </c>
      <c r="AA158" s="6">
        <f t="shared" si="4"/>
        <v>5.9604999999999998E-2</v>
      </c>
      <c r="AB158" s="8">
        <v>300</v>
      </c>
      <c r="AC158" s="15">
        <v>27897801300074</v>
      </c>
      <c r="AD158" s="4" t="s">
        <v>992</v>
      </c>
    </row>
    <row r="159" spans="2:30" x14ac:dyDescent="0.35">
      <c r="B159" s="14">
        <v>323</v>
      </c>
      <c r="C159" s="4" t="s">
        <v>166</v>
      </c>
      <c r="D159" s="4" t="s">
        <v>2408</v>
      </c>
      <c r="E159" s="4" t="s">
        <v>2911</v>
      </c>
      <c r="F159" s="4" t="s">
        <v>164</v>
      </c>
      <c r="G159" s="4" t="s">
        <v>995</v>
      </c>
      <c r="H159" s="6">
        <v>6.0000000000000001E-3</v>
      </c>
      <c r="I159" s="8">
        <v>18</v>
      </c>
      <c r="J159" s="8">
        <v>40</v>
      </c>
      <c r="K159" s="8">
        <v>40</v>
      </c>
      <c r="L159" s="8">
        <f t="shared" si="3"/>
        <v>28800</v>
      </c>
      <c r="M159" s="15">
        <v>7897801300094</v>
      </c>
      <c r="N159" s="6" t="s">
        <v>20</v>
      </c>
      <c r="O159" s="6" t="s">
        <v>20</v>
      </c>
      <c r="P159" s="6" t="s">
        <v>20</v>
      </c>
      <c r="Q159" s="6">
        <v>0.115</v>
      </c>
      <c r="R159" s="6">
        <v>0.16700000000000001</v>
      </c>
      <c r="S159" s="6">
        <v>0.19500000000000001</v>
      </c>
      <c r="T159" s="8">
        <v>60</v>
      </c>
      <c r="U159" s="5" t="s">
        <v>996</v>
      </c>
      <c r="V159" s="89">
        <v>0</v>
      </c>
      <c r="W159" s="15">
        <v>17897801300091</v>
      </c>
      <c r="X159" s="6">
        <v>0.21</v>
      </c>
      <c r="Y159" s="6">
        <v>0.35</v>
      </c>
      <c r="Z159" s="6">
        <v>0.625</v>
      </c>
      <c r="AA159" s="6">
        <f t="shared" si="4"/>
        <v>4.5937499999999999E-2</v>
      </c>
      <c r="AB159" s="8">
        <v>600</v>
      </c>
      <c r="AC159" s="15">
        <v>27897801300098</v>
      </c>
      <c r="AD159" s="4" t="s">
        <v>992</v>
      </c>
    </row>
    <row r="160" spans="2:30" x14ac:dyDescent="0.35">
      <c r="B160" s="14">
        <v>324</v>
      </c>
      <c r="C160" s="4" t="s">
        <v>167</v>
      </c>
      <c r="D160" s="4" t="s">
        <v>2408</v>
      </c>
      <c r="E160" s="4" t="s">
        <v>2911</v>
      </c>
      <c r="F160" s="4" t="s">
        <v>164</v>
      </c>
      <c r="G160" s="4" t="s">
        <v>995</v>
      </c>
      <c r="H160" s="6">
        <v>1.2999999999999999E-2</v>
      </c>
      <c r="I160" s="8">
        <v>18</v>
      </c>
      <c r="J160" s="8">
        <v>52</v>
      </c>
      <c r="K160" s="8">
        <v>52</v>
      </c>
      <c r="L160" s="8">
        <f t="shared" si="3"/>
        <v>48672</v>
      </c>
      <c r="M160" s="15">
        <v>7897801300100</v>
      </c>
      <c r="N160" s="6" t="s">
        <v>20</v>
      </c>
      <c r="O160" s="6" t="s">
        <v>20</v>
      </c>
      <c r="P160" s="6" t="s">
        <v>20</v>
      </c>
      <c r="Q160" s="6">
        <v>0.16</v>
      </c>
      <c r="R160" s="6">
        <v>0.115</v>
      </c>
      <c r="S160" s="6">
        <v>0.24</v>
      </c>
      <c r="T160" s="8">
        <v>30</v>
      </c>
      <c r="U160" s="5" t="s">
        <v>996</v>
      </c>
      <c r="V160" s="89">
        <v>0</v>
      </c>
      <c r="W160" s="15">
        <v>17897801300107</v>
      </c>
      <c r="X160" s="6">
        <v>0.26</v>
      </c>
      <c r="Y160" s="6">
        <v>0.35</v>
      </c>
      <c r="Z160" s="6">
        <v>0.65500000000000003</v>
      </c>
      <c r="AA160" s="6">
        <f t="shared" si="4"/>
        <v>5.9604999999999998E-2</v>
      </c>
      <c r="AB160" s="8">
        <v>300</v>
      </c>
      <c r="AC160" s="15">
        <v>27897801300104</v>
      </c>
      <c r="AD160" s="4" t="s">
        <v>992</v>
      </c>
    </row>
    <row r="161" spans="2:30" x14ac:dyDescent="0.35">
      <c r="B161" s="14">
        <v>325</v>
      </c>
      <c r="C161" s="4" t="s">
        <v>168</v>
      </c>
      <c r="D161" s="4" t="s">
        <v>2408</v>
      </c>
      <c r="E161" s="4" t="s">
        <v>2911</v>
      </c>
      <c r="F161" s="4" t="s">
        <v>164</v>
      </c>
      <c r="G161" s="4" t="s">
        <v>995</v>
      </c>
      <c r="H161" s="6">
        <v>2.5999999999999999E-2</v>
      </c>
      <c r="I161" s="8">
        <v>18</v>
      </c>
      <c r="J161" s="8">
        <v>68</v>
      </c>
      <c r="K161" s="8">
        <v>68</v>
      </c>
      <c r="L161" s="8">
        <f t="shared" si="3"/>
        <v>83232</v>
      </c>
      <c r="M161" s="15">
        <v>7897801300117</v>
      </c>
      <c r="N161" s="6" t="s">
        <v>20</v>
      </c>
      <c r="O161" s="6" t="s">
        <v>20</v>
      </c>
      <c r="P161" s="6" t="s">
        <v>20</v>
      </c>
      <c r="Q161" s="6">
        <v>0.16</v>
      </c>
      <c r="R161" s="6">
        <v>0.115</v>
      </c>
      <c r="S161" s="6">
        <v>0.24</v>
      </c>
      <c r="T161" s="8">
        <v>30</v>
      </c>
      <c r="U161" s="5" t="s">
        <v>996</v>
      </c>
      <c r="V161" s="89">
        <v>0</v>
      </c>
      <c r="W161" s="15">
        <v>17897801300114</v>
      </c>
      <c r="X161" s="6">
        <v>0.25</v>
      </c>
      <c r="Y161" s="6">
        <v>0.35</v>
      </c>
      <c r="Z161" s="6">
        <v>0.65</v>
      </c>
      <c r="AA161" s="6">
        <f t="shared" si="4"/>
        <v>5.6874999999999995E-2</v>
      </c>
      <c r="AB161" s="8">
        <v>300</v>
      </c>
      <c r="AC161" s="15">
        <v>27897801300111</v>
      </c>
      <c r="AD161" s="4" t="s">
        <v>992</v>
      </c>
    </row>
    <row r="162" spans="2:30" x14ac:dyDescent="0.35">
      <c r="B162" s="14">
        <v>326</v>
      </c>
      <c r="C162" s="4" t="s">
        <v>169</v>
      </c>
      <c r="D162" s="4" t="s">
        <v>2376</v>
      </c>
      <c r="E162" s="4" t="s">
        <v>2911</v>
      </c>
      <c r="F162" s="4" t="s">
        <v>85</v>
      </c>
      <c r="G162" s="4" t="s">
        <v>993</v>
      </c>
      <c r="H162" s="6">
        <v>3.8399999999999997E-2</v>
      </c>
      <c r="I162" s="8">
        <v>59</v>
      </c>
      <c r="J162" s="8">
        <v>45</v>
      </c>
      <c r="K162" s="8">
        <v>45</v>
      </c>
      <c r="L162" s="8">
        <f t="shared" si="3"/>
        <v>119475</v>
      </c>
      <c r="M162" s="15">
        <v>7897801312615</v>
      </c>
      <c r="N162" s="6" t="s">
        <v>20</v>
      </c>
      <c r="O162" s="6" t="s">
        <v>20</v>
      </c>
      <c r="P162" s="6" t="s">
        <v>20</v>
      </c>
      <c r="Q162" s="6">
        <v>0.16</v>
      </c>
      <c r="R162" s="6">
        <v>0.06</v>
      </c>
      <c r="S162" s="6">
        <v>0.17</v>
      </c>
      <c r="T162" s="8">
        <v>6</v>
      </c>
      <c r="U162" s="5" t="s">
        <v>994</v>
      </c>
      <c r="V162" s="89">
        <v>0</v>
      </c>
      <c r="W162" s="15">
        <v>17897801312612</v>
      </c>
      <c r="X162" s="6">
        <v>0.62</v>
      </c>
      <c r="Y162" s="6">
        <v>0.21</v>
      </c>
      <c r="Z162" s="6">
        <v>0.83499999999999996</v>
      </c>
      <c r="AA162" s="6">
        <f t="shared" si="4"/>
        <v>0.10871699999999998</v>
      </c>
      <c r="AB162" s="8">
        <v>480</v>
      </c>
      <c r="AC162" s="15">
        <v>27897801312619</v>
      </c>
      <c r="AD162" s="4" t="s">
        <v>992</v>
      </c>
    </row>
    <row r="163" spans="2:30" x14ac:dyDescent="0.35">
      <c r="B163" s="14">
        <v>327</v>
      </c>
      <c r="C163" s="4" t="s">
        <v>170</v>
      </c>
      <c r="D163" s="4" t="s">
        <v>2376</v>
      </c>
      <c r="E163" s="4" t="s">
        <v>2911</v>
      </c>
      <c r="F163" s="4" t="s">
        <v>85</v>
      </c>
      <c r="G163" s="4" t="s">
        <v>993</v>
      </c>
      <c r="H163" s="6">
        <v>0.1235</v>
      </c>
      <c r="I163" s="8">
        <v>80</v>
      </c>
      <c r="J163" s="8">
        <v>60</v>
      </c>
      <c r="K163" s="8">
        <v>60</v>
      </c>
      <c r="L163" s="8">
        <f t="shared" si="3"/>
        <v>288000</v>
      </c>
      <c r="M163" s="15">
        <v>7897801312752</v>
      </c>
      <c r="N163" s="6" t="s">
        <v>20</v>
      </c>
      <c r="O163" s="6" t="s">
        <v>20</v>
      </c>
      <c r="P163" s="6" t="s">
        <v>20</v>
      </c>
      <c r="Q163" s="6">
        <v>0.16</v>
      </c>
      <c r="R163" s="6">
        <v>7.0000000000000007E-2</v>
      </c>
      <c r="S163" s="6">
        <v>0.26</v>
      </c>
      <c r="T163" s="8">
        <v>6</v>
      </c>
      <c r="U163" s="5" t="s">
        <v>994</v>
      </c>
      <c r="V163" s="89">
        <v>0</v>
      </c>
      <c r="W163" s="15">
        <v>17897801312759</v>
      </c>
      <c r="X163" s="6">
        <v>0.5</v>
      </c>
      <c r="Y163" s="6">
        <v>0.2</v>
      </c>
      <c r="Z163" s="6">
        <v>0.78</v>
      </c>
      <c r="AA163" s="6">
        <f t="shared" si="4"/>
        <v>7.8000000000000014E-2</v>
      </c>
      <c r="AB163" s="8">
        <v>120</v>
      </c>
      <c r="AC163" s="15">
        <v>27897801312756</v>
      </c>
      <c r="AD163" s="4" t="s">
        <v>992</v>
      </c>
    </row>
    <row r="164" spans="2:30" x14ac:dyDescent="0.35">
      <c r="B164" s="14">
        <v>328</v>
      </c>
      <c r="C164" s="4" t="s">
        <v>171</v>
      </c>
      <c r="D164" s="4" t="s">
        <v>2376</v>
      </c>
      <c r="E164" s="4" t="s">
        <v>2911</v>
      </c>
      <c r="F164" s="4" t="s">
        <v>85</v>
      </c>
      <c r="G164" s="4" t="s">
        <v>993</v>
      </c>
      <c r="H164" s="6">
        <v>6.2E-2</v>
      </c>
      <c r="I164" s="8">
        <v>80</v>
      </c>
      <c r="J164" s="8">
        <v>60</v>
      </c>
      <c r="K164" s="8">
        <v>60</v>
      </c>
      <c r="L164" s="8">
        <f t="shared" si="3"/>
        <v>288000</v>
      </c>
      <c r="M164" s="15">
        <v>7897801312622</v>
      </c>
      <c r="N164" s="6" t="s">
        <v>20</v>
      </c>
      <c r="O164" s="6" t="s">
        <v>20</v>
      </c>
      <c r="P164" s="6" t="s">
        <v>20</v>
      </c>
      <c r="Q164" s="6">
        <v>0.16</v>
      </c>
      <c r="R164" s="6">
        <v>0.06</v>
      </c>
      <c r="S164" s="6">
        <v>0.23</v>
      </c>
      <c r="T164" s="8">
        <v>6</v>
      </c>
      <c r="U164" s="5" t="s">
        <v>994</v>
      </c>
      <c r="V164" s="89">
        <v>0</v>
      </c>
      <c r="W164" s="15">
        <v>17897801312629</v>
      </c>
      <c r="X164" s="6">
        <v>0.6</v>
      </c>
      <c r="Y164" s="6">
        <v>0.23499999999999999</v>
      </c>
      <c r="Z164" s="6">
        <v>0.86</v>
      </c>
      <c r="AA164" s="6">
        <f t="shared" si="4"/>
        <v>0.12125999999999999</v>
      </c>
      <c r="AB164" s="8">
        <v>300</v>
      </c>
      <c r="AC164" s="15">
        <v>27897801312626</v>
      </c>
      <c r="AD164" s="4" t="s">
        <v>992</v>
      </c>
    </row>
    <row r="165" spans="2:30" x14ac:dyDescent="0.35">
      <c r="B165" s="14">
        <v>329</v>
      </c>
      <c r="C165" s="4" t="s">
        <v>172</v>
      </c>
      <c r="D165" s="4" t="s">
        <v>2376</v>
      </c>
      <c r="E165" s="4" t="s">
        <v>2911</v>
      </c>
      <c r="F165" s="4" t="s">
        <v>85</v>
      </c>
      <c r="G165" s="4" t="s">
        <v>993</v>
      </c>
      <c r="H165" s="6">
        <v>0.13900000000000001</v>
      </c>
      <c r="I165" s="8">
        <v>90</v>
      </c>
      <c r="J165" s="8">
        <v>80</v>
      </c>
      <c r="K165" s="8">
        <v>80</v>
      </c>
      <c r="L165" s="8">
        <f t="shared" si="3"/>
        <v>576000</v>
      </c>
      <c r="M165" s="15">
        <v>7897801312769</v>
      </c>
      <c r="N165" s="6" t="s">
        <v>20</v>
      </c>
      <c r="O165" s="6" t="s">
        <v>20</v>
      </c>
      <c r="P165" s="6" t="s">
        <v>20</v>
      </c>
      <c r="Q165" s="6">
        <v>0.18</v>
      </c>
      <c r="R165" s="6">
        <v>9.5000000000000001E-2</v>
      </c>
      <c r="S165" s="6">
        <v>0.3</v>
      </c>
      <c r="T165" s="8">
        <v>6</v>
      </c>
      <c r="U165" s="5" t="s">
        <v>994</v>
      </c>
      <c r="V165" s="89">
        <v>0</v>
      </c>
      <c r="W165" s="15">
        <v>17897801312766</v>
      </c>
      <c r="X165" s="6">
        <v>0.62</v>
      </c>
      <c r="Y165" s="6">
        <v>0.24</v>
      </c>
      <c r="Z165" s="6">
        <v>0.78</v>
      </c>
      <c r="AA165" s="6">
        <f t="shared" si="4"/>
        <v>0.116064</v>
      </c>
      <c r="AB165" s="8">
        <v>108</v>
      </c>
      <c r="AC165" s="15">
        <v>27897801312763</v>
      </c>
      <c r="AD165" s="4" t="s">
        <v>992</v>
      </c>
    </row>
    <row r="166" spans="2:30" x14ac:dyDescent="0.35">
      <c r="B166" s="14">
        <v>330</v>
      </c>
      <c r="C166" s="4" t="s">
        <v>173</v>
      </c>
      <c r="D166" s="4" t="s">
        <v>2371</v>
      </c>
      <c r="E166" s="4" t="s">
        <v>2911</v>
      </c>
      <c r="F166" s="4" t="s">
        <v>85</v>
      </c>
      <c r="G166" s="4" t="s">
        <v>993</v>
      </c>
      <c r="H166" s="6">
        <v>1.0200000000000001E-2</v>
      </c>
      <c r="I166" s="8">
        <v>28</v>
      </c>
      <c r="J166" s="8">
        <v>28</v>
      </c>
      <c r="K166" s="8">
        <v>36</v>
      </c>
      <c r="L166" s="8">
        <f t="shared" si="3"/>
        <v>28224</v>
      </c>
      <c r="M166" s="15">
        <v>7897801300520</v>
      </c>
      <c r="N166" s="6" t="s">
        <v>20</v>
      </c>
      <c r="O166" s="6" t="s">
        <v>20</v>
      </c>
      <c r="P166" s="6" t="s">
        <v>20</v>
      </c>
      <c r="Q166" s="6">
        <v>0.15</v>
      </c>
      <c r="R166" s="6">
        <v>0.05</v>
      </c>
      <c r="S166" s="6">
        <v>0.19</v>
      </c>
      <c r="T166" s="8">
        <v>50</v>
      </c>
      <c r="U166" s="5" t="s">
        <v>994</v>
      </c>
      <c r="V166" s="89">
        <v>0</v>
      </c>
      <c r="W166" s="15">
        <v>17897801300527</v>
      </c>
      <c r="X166" s="6">
        <v>0.45</v>
      </c>
      <c r="Y166" s="6">
        <v>0.2</v>
      </c>
      <c r="Z166" s="6">
        <v>0.7</v>
      </c>
      <c r="AA166" s="6">
        <f t="shared" si="4"/>
        <v>6.3E-2</v>
      </c>
      <c r="AB166" s="8">
        <v>2000</v>
      </c>
      <c r="AC166" s="15">
        <v>47897801300528</v>
      </c>
      <c r="AD166" s="4" t="s">
        <v>992</v>
      </c>
    </row>
    <row r="167" spans="2:30" x14ac:dyDescent="0.35">
      <c r="B167" s="14">
        <v>331</v>
      </c>
      <c r="C167" s="4" t="s">
        <v>174</v>
      </c>
      <c r="D167" s="4" t="s">
        <v>2371</v>
      </c>
      <c r="E167" s="4" t="s">
        <v>2911</v>
      </c>
      <c r="F167" s="4" t="s">
        <v>85</v>
      </c>
      <c r="G167" s="4" t="s">
        <v>993</v>
      </c>
      <c r="H167" s="6">
        <v>1.4E-2</v>
      </c>
      <c r="I167" s="8">
        <v>33.799999999999997</v>
      </c>
      <c r="J167" s="8">
        <v>33.799999999999997</v>
      </c>
      <c r="K167" s="8">
        <v>40</v>
      </c>
      <c r="L167" s="8">
        <f t="shared" si="3"/>
        <v>45697.599999999991</v>
      </c>
      <c r="M167" s="15">
        <v>7897801300490</v>
      </c>
      <c r="N167" s="6" t="s">
        <v>20</v>
      </c>
      <c r="O167" s="6" t="s">
        <v>20</v>
      </c>
      <c r="P167" s="6" t="s">
        <v>20</v>
      </c>
      <c r="Q167" s="6">
        <v>0.24</v>
      </c>
      <c r="R167" s="6">
        <v>5.5E-2</v>
      </c>
      <c r="S167" s="6">
        <v>0.25</v>
      </c>
      <c r="T167" s="8">
        <v>50</v>
      </c>
      <c r="U167" s="5" t="s">
        <v>994</v>
      </c>
      <c r="V167" s="89">
        <v>0</v>
      </c>
      <c r="W167" s="15">
        <v>17897801300497</v>
      </c>
      <c r="X167" s="6">
        <v>0.54</v>
      </c>
      <c r="Y167" s="6">
        <v>0.17499999999999999</v>
      </c>
      <c r="Z167" s="6">
        <v>0.79</v>
      </c>
      <c r="AA167" s="6">
        <f t="shared" si="4"/>
        <v>7.4654999999999999E-2</v>
      </c>
      <c r="AB167" s="8">
        <v>1200</v>
      </c>
      <c r="AC167" s="15">
        <v>47897801300498</v>
      </c>
      <c r="AD167" s="4" t="s">
        <v>992</v>
      </c>
    </row>
    <row r="168" spans="2:30" x14ac:dyDescent="0.35">
      <c r="B168" s="14">
        <v>332</v>
      </c>
      <c r="C168" s="4" t="s">
        <v>175</v>
      </c>
      <c r="D168" s="4" t="s">
        <v>2371</v>
      </c>
      <c r="E168" s="4" t="s">
        <v>2911</v>
      </c>
      <c r="F168" s="4" t="s">
        <v>85</v>
      </c>
      <c r="G168" s="4" t="s">
        <v>993</v>
      </c>
      <c r="H168" s="6">
        <v>2.5700000000000001E-2</v>
      </c>
      <c r="I168" s="8">
        <v>42</v>
      </c>
      <c r="J168" s="8">
        <v>42</v>
      </c>
      <c r="K168" s="8">
        <v>47</v>
      </c>
      <c r="L168" s="8">
        <f t="shared" si="3"/>
        <v>82908</v>
      </c>
      <c r="M168" s="15">
        <v>7897801302333</v>
      </c>
      <c r="N168" s="6" t="s">
        <v>20</v>
      </c>
      <c r="O168" s="6" t="s">
        <v>20</v>
      </c>
      <c r="P168" s="6" t="s">
        <v>20</v>
      </c>
      <c r="Q168" s="6">
        <v>0.18</v>
      </c>
      <c r="R168" s="6">
        <v>0.09</v>
      </c>
      <c r="S168" s="6">
        <v>0.26</v>
      </c>
      <c r="T168" s="8">
        <v>25</v>
      </c>
      <c r="U168" s="5" t="s">
        <v>994</v>
      </c>
      <c r="V168" s="89">
        <v>0</v>
      </c>
      <c r="W168" s="15">
        <v>17897801302330</v>
      </c>
      <c r="X168" s="6">
        <v>0.55000000000000004</v>
      </c>
      <c r="Y168" s="6">
        <v>0.19</v>
      </c>
      <c r="Z168" s="6">
        <v>0.7</v>
      </c>
      <c r="AA168" s="6">
        <f t="shared" si="4"/>
        <v>7.3150000000000007E-2</v>
      </c>
      <c r="AB168" s="8">
        <v>800</v>
      </c>
      <c r="AC168" s="15">
        <v>47897801302331</v>
      </c>
      <c r="AD168" s="4" t="s">
        <v>992</v>
      </c>
    </row>
    <row r="169" spans="2:30" x14ac:dyDescent="0.35">
      <c r="B169" s="14">
        <v>333</v>
      </c>
      <c r="C169" s="4" t="s">
        <v>176</v>
      </c>
      <c r="D169" s="4" t="s">
        <v>2371</v>
      </c>
      <c r="E169" s="4" t="s">
        <v>2911</v>
      </c>
      <c r="F169" s="4" t="s">
        <v>85</v>
      </c>
      <c r="G169" s="4" t="s">
        <v>993</v>
      </c>
      <c r="H169" s="6">
        <v>4.2500000000000003E-2</v>
      </c>
      <c r="I169" s="8">
        <v>51.6</v>
      </c>
      <c r="J169" s="8">
        <v>51.6</v>
      </c>
      <c r="K169" s="8">
        <v>53.8</v>
      </c>
      <c r="L169" s="8">
        <f t="shared" si="3"/>
        <v>143245.728</v>
      </c>
      <c r="M169" s="15">
        <v>7897801302562</v>
      </c>
      <c r="N169" s="6" t="s">
        <v>20</v>
      </c>
      <c r="O169" s="6" t="s">
        <v>20</v>
      </c>
      <c r="P169" s="6" t="s">
        <v>20</v>
      </c>
      <c r="Q169" s="6">
        <v>0.15</v>
      </c>
      <c r="R169" s="6">
        <v>5.5E-2</v>
      </c>
      <c r="S169" s="6">
        <v>0.2</v>
      </c>
      <c r="T169" s="8">
        <v>10</v>
      </c>
      <c r="U169" s="5" t="s">
        <v>994</v>
      </c>
      <c r="V169" s="89">
        <v>0</v>
      </c>
      <c r="W169" s="15">
        <v>17897801302569</v>
      </c>
      <c r="X169" s="6">
        <v>0.6</v>
      </c>
      <c r="Y169" s="6">
        <v>0.23</v>
      </c>
      <c r="Z169" s="6">
        <v>0.79</v>
      </c>
      <c r="AA169" s="6">
        <f t="shared" si="4"/>
        <v>0.10902000000000002</v>
      </c>
      <c r="AB169" s="8">
        <v>500</v>
      </c>
      <c r="AC169" s="15">
        <v>27897801302566</v>
      </c>
      <c r="AD169" s="4" t="s">
        <v>992</v>
      </c>
    </row>
    <row r="170" spans="2:30" x14ac:dyDescent="0.35">
      <c r="B170" s="14">
        <v>336</v>
      </c>
      <c r="C170" s="4" t="s">
        <v>177</v>
      </c>
      <c r="D170" s="4" t="s">
        <v>2371</v>
      </c>
      <c r="E170" s="4" t="s">
        <v>2911</v>
      </c>
      <c r="F170" s="4" t="s">
        <v>85</v>
      </c>
      <c r="G170" s="4" t="s">
        <v>993</v>
      </c>
      <c r="H170" s="6">
        <v>6.6199999999999995E-2</v>
      </c>
      <c r="I170" s="8">
        <v>63</v>
      </c>
      <c r="J170" s="8">
        <v>63</v>
      </c>
      <c r="K170" s="8">
        <v>63.2</v>
      </c>
      <c r="L170" s="8">
        <f t="shared" si="3"/>
        <v>250840.80000000002</v>
      </c>
      <c r="M170" s="15">
        <v>7897801300667</v>
      </c>
      <c r="N170" s="6" t="s">
        <v>20</v>
      </c>
      <c r="O170" s="6" t="s">
        <v>20</v>
      </c>
      <c r="P170" s="6" t="s">
        <v>20</v>
      </c>
      <c r="Q170" s="6">
        <v>0.26</v>
      </c>
      <c r="R170" s="6">
        <v>6.5000000000000002E-2</v>
      </c>
      <c r="S170" s="6">
        <v>0.36</v>
      </c>
      <c r="T170" s="8">
        <v>25</v>
      </c>
      <c r="U170" s="5" t="s">
        <v>994</v>
      </c>
      <c r="V170" s="89">
        <v>0</v>
      </c>
      <c r="W170" s="15">
        <v>17897801300664</v>
      </c>
      <c r="X170" s="6">
        <v>0.55000000000000004</v>
      </c>
      <c r="Y170" s="6">
        <v>0.21</v>
      </c>
      <c r="Z170" s="6">
        <v>0.75</v>
      </c>
      <c r="AA170" s="6">
        <f t="shared" si="4"/>
        <v>8.6625000000000008E-2</v>
      </c>
      <c r="AB170" s="8">
        <v>350</v>
      </c>
      <c r="AC170" s="15">
        <v>27897801300661</v>
      </c>
      <c r="AD170" s="4" t="s">
        <v>992</v>
      </c>
    </row>
    <row r="171" spans="2:30" x14ac:dyDescent="0.35">
      <c r="B171" s="14">
        <v>337</v>
      </c>
      <c r="C171" s="4" t="s">
        <v>178</v>
      </c>
      <c r="D171" s="4" t="s">
        <v>2371</v>
      </c>
      <c r="E171" s="4" t="s">
        <v>2911</v>
      </c>
      <c r="F171" s="4" t="s">
        <v>85</v>
      </c>
      <c r="G171" s="4" t="s">
        <v>993</v>
      </c>
      <c r="H171" s="6">
        <v>9.0800000000000006E-2</v>
      </c>
      <c r="I171" s="8">
        <v>74</v>
      </c>
      <c r="J171" s="8">
        <v>74</v>
      </c>
      <c r="K171" s="8">
        <v>68.7</v>
      </c>
      <c r="L171" s="8">
        <f t="shared" si="3"/>
        <v>376201.2</v>
      </c>
      <c r="M171" s="15">
        <v>7897801302944</v>
      </c>
      <c r="N171" s="6" t="s">
        <v>20</v>
      </c>
      <c r="O171" s="6" t="s">
        <v>20</v>
      </c>
      <c r="P171" s="6" t="s">
        <v>20</v>
      </c>
      <c r="Q171" s="6">
        <v>0.2</v>
      </c>
      <c r="R171" s="6">
        <v>7.4999999999999997E-2</v>
      </c>
      <c r="S171" s="6">
        <v>0.32</v>
      </c>
      <c r="T171" s="8">
        <v>10</v>
      </c>
      <c r="U171" s="5" t="s">
        <v>994</v>
      </c>
      <c r="V171" s="89">
        <v>0</v>
      </c>
      <c r="W171" s="15">
        <v>17897801302941</v>
      </c>
      <c r="X171" s="6">
        <v>0.54</v>
      </c>
      <c r="Y171" s="6">
        <v>0.23</v>
      </c>
      <c r="Z171" s="6">
        <v>0.74</v>
      </c>
      <c r="AA171" s="6">
        <f t="shared" si="4"/>
        <v>9.1908000000000017E-2</v>
      </c>
      <c r="AB171" s="8">
        <v>200</v>
      </c>
      <c r="AC171" s="15">
        <v>27897801302948</v>
      </c>
      <c r="AD171" s="4" t="s">
        <v>992</v>
      </c>
    </row>
    <row r="172" spans="2:30" x14ac:dyDescent="0.35">
      <c r="B172" s="14">
        <v>338</v>
      </c>
      <c r="C172" s="4" t="s">
        <v>179</v>
      </c>
      <c r="D172" s="4" t="s">
        <v>2371</v>
      </c>
      <c r="E172" s="4" t="s">
        <v>2911</v>
      </c>
      <c r="F172" s="4" t="s">
        <v>85</v>
      </c>
      <c r="G172" s="4" t="s">
        <v>993</v>
      </c>
      <c r="H172" s="6">
        <v>0.18049999999999999</v>
      </c>
      <c r="I172" s="8">
        <v>85</v>
      </c>
      <c r="J172" s="8">
        <v>92</v>
      </c>
      <c r="K172" s="8">
        <v>92</v>
      </c>
      <c r="L172" s="8">
        <f t="shared" si="3"/>
        <v>719440</v>
      </c>
      <c r="M172" s="15">
        <v>7897801308946</v>
      </c>
      <c r="N172" s="6" t="s">
        <v>20</v>
      </c>
      <c r="O172" s="6" t="s">
        <v>20</v>
      </c>
      <c r="P172" s="6" t="s">
        <v>20</v>
      </c>
      <c r="Q172" s="6">
        <v>0.18</v>
      </c>
      <c r="R172" s="6">
        <v>0.09</v>
      </c>
      <c r="S172" s="6">
        <v>0.22</v>
      </c>
      <c r="T172" s="8">
        <v>5</v>
      </c>
      <c r="U172" s="5" t="s">
        <v>994</v>
      </c>
      <c r="V172" s="89">
        <v>0</v>
      </c>
      <c r="W172" s="15">
        <v>17897801308943</v>
      </c>
      <c r="X172" s="6">
        <v>0.45</v>
      </c>
      <c r="Y172" s="6">
        <v>0.18</v>
      </c>
      <c r="Z172" s="6">
        <v>0.71</v>
      </c>
      <c r="AA172" s="6">
        <f t="shared" si="4"/>
        <v>5.7509999999999999E-2</v>
      </c>
      <c r="AB172" s="8">
        <v>75</v>
      </c>
      <c r="AC172" s="15">
        <v>27897801308940</v>
      </c>
      <c r="AD172" s="4" t="s">
        <v>992</v>
      </c>
    </row>
    <row r="173" spans="2:30" x14ac:dyDescent="0.35">
      <c r="B173" s="14">
        <v>339</v>
      </c>
      <c r="C173" s="4" t="s">
        <v>180</v>
      </c>
      <c r="D173" s="4" t="s">
        <v>2371</v>
      </c>
      <c r="E173" s="4" t="s">
        <v>2911</v>
      </c>
      <c r="F173" s="4" t="s">
        <v>85</v>
      </c>
      <c r="G173" s="4" t="s">
        <v>993</v>
      </c>
      <c r="H173" s="6">
        <v>0.23069999999999999</v>
      </c>
      <c r="I173" s="8">
        <v>95</v>
      </c>
      <c r="J173" s="8">
        <v>103</v>
      </c>
      <c r="K173" s="8">
        <v>103</v>
      </c>
      <c r="L173" s="8">
        <f t="shared" si="3"/>
        <v>1007855</v>
      </c>
      <c r="M173" s="15">
        <v>7897801308915</v>
      </c>
      <c r="N173" s="6" t="s">
        <v>20</v>
      </c>
      <c r="O173" s="6" t="s">
        <v>20</v>
      </c>
      <c r="P173" s="6" t="s">
        <v>20</v>
      </c>
      <c r="Q173" s="6">
        <v>0.2</v>
      </c>
      <c r="R173" s="6">
        <v>0.11</v>
      </c>
      <c r="S173" s="6">
        <v>0.22</v>
      </c>
      <c r="T173" s="8">
        <v>3</v>
      </c>
      <c r="U173" s="5" t="s">
        <v>994</v>
      </c>
      <c r="V173" s="89">
        <v>0</v>
      </c>
      <c r="W173" s="15">
        <v>17897801308912</v>
      </c>
      <c r="X173" s="6">
        <v>0.46</v>
      </c>
      <c r="Y173" s="6">
        <v>0.22</v>
      </c>
      <c r="Z173" s="6">
        <v>0.68</v>
      </c>
      <c r="AA173" s="6">
        <f t="shared" si="4"/>
        <v>6.8816000000000002E-2</v>
      </c>
      <c r="AB173" s="8">
        <v>45</v>
      </c>
      <c r="AC173" s="15">
        <v>27897801308919</v>
      </c>
      <c r="AD173" s="4" t="s">
        <v>992</v>
      </c>
    </row>
    <row r="174" spans="2:30" x14ac:dyDescent="0.35">
      <c r="B174" s="14">
        <v>340</v>
      </c>
      <c r="C174" s="4" t="s">
        <v>181</v>
      </c>
      <c r="D174" s="4" t="s">
        <v>2371</v>
      </c>
      <c r="E174" s="4" t="s">
        <v>2911</v>
      </c>
      <c r="F174" s="4" t="s">
        <v>85</v>
      </c>
      <c r="G174" s="4" t="s">
        <v>993</v>
      </c>
      <c r="H174" s="6">
        <v>0.38600000000000001</v>
      </c>
      <c r="I174" s="8">
        <v>130</v>
      </c>
      <c r="J174" s="8">
        <v>120</v>
      </c>
      <c r="K174" s="8">
        <v>130</v>
      </c>
      <c r="L174" s="8">
        <f t="shared" si="3"/>
        <v>2028000</v>
      </c>
      <c r="M174" s="15">
        <v>7897801309288</v>
      </c>
      <c r="N174" s="6" t="s">
        <v>20</v>
      </c>
      <c r="O174" s="6" t="s">
        <v>20</v>
      </c>
      <c r="P174" s="6" t="s">
        <v>20</v>
      </c>
      <c r="Q174" s="6">
        <v>0.128</v>
      </c>
      <c r="R174" s="6">
        <v>0.128</v>
      </c>
      <c r="S174" s="6">
        <v>0.11600000000000001</v>
      </c>
      <c r="T174" s="8">
        <v>1</v>
      </c>
      <c r="U174" s="5" t="s">
        <v>994</v>
      </c>
      <c r="V174" s="89">
        <v>0</v>
      </c>
      <c r="W174" s="15">
        <v>17897801309285</v>
      </c>
      <c r="X174" s="6">
        <v>0.54</v>
      </c>
      <c r="Y174" s="6">
        <v>0.19</v>
      </c>
      <c r="Z174" s="6">
        <v>0.77</v>
      </c>
      <c r="AA174" s="6">
        <f t="shared" si="4"/>
        <v>7.9002000000000017E-2</v>
      </c>
      <c r="AB174" s="8">
        <v>20</v>
      </c>
      <c r="AC174" s="15">
        <v>27897801309282</v>
      </c>
      <c r="AD174" s="4" t="s">
        <v>992</v>
      </c>
    </row>
    <row r="175" spans="2:30" x14ac:dyDescent="0.35">
      <c r="B175" s="14">
        <v>341</v>
      </c>
      <c r="C175" s="4" t="s">
        <v>182</v>
      </c>
      <c r="D175" s="4" t="s">
        <v>2417</v>
      </c>
      <c r="E175" s="4" t="s">
        <v>2911</v>
      </c>
      <c r="F175" s="4" t="s">
        <v>85</v>
      </c>
      <c r="G175" s="4" t="s">
        <v>993</v>
      </c>
      <c r="H175" s="6">
        <v>7.9600000000000004E-2</v>
      </c>
      <c r="I175" s="8">
        <v>64</v>
      </c>
      <c r="J175" s="8">
        <v>64</v>
      </c>
      <c r="K175" s="8">
        <v>61</v>
      </c>
      <c r="L175" s="8">
        <f t="shared" si="3"/>
        <v>249856</v>
      </c>
      <c r="M175" s="15">
        <v>7897801300353</v>
      </c>
      <c r="N175" s="6" t="s">
        <v>20</v>
      </c>
      <c r="O175" s="6" t="s">
        <v>20</v>
      </c>
      <c r="P175" s="6" t="s">
        <v>20</v>
      </c>
      <c r="Q175" s="6">
        <v>0.16</v>
      </c>
      <c r="R175" s="6">
        <v>0.09</v>
      </c>
      <c r="S175" s="6">
        <v>0.27</v>
      </c>
      <c r="T175" s="8">
        <v>12</v>
      </c>
      <c r="U175" s="5" t="s">
        <v>994</v>
      </c>
      <c r="V175" s="89">
        <v>0</v>
      </c>
      <c r="W175" s="15">
        <v>17897801300350</v>
      </c>
      <c r="X175" s="6">
        <v>0.46</v>
      </c>
      <c r="Y175" s="6">
        <v>0.19</v>
      </c>
      <c r="Z175" s="6">
        <v>0.67</v>
      </c>
      <c r="AA175" s="6">
        <f t="shared" si="4"/>
        <v>5.8558000000000006E-2</v>
      </c>
      <c r="AB175" s="8">
        <v>240</v>
      </c>
      <c r="AC175" s="15">
        <v>47897801300351</v>
      </c>
      <c r="AD175" s="4" t="s">
        <v>992</v>
      </c>
    </row>
    <row r="176" spans="2:30" x14ac:dyDescent="0.35">
      <c r="B176" s="14">
        <v>342</v>
      </c>
      <c r="C176" s="4" t="s">
        <v>183</v>
      </c>
      <c r="D176" s="4" t="s">
        <v>2417</v>
      </c>
      <c r="E176" s="4" t="s">
        <v>2911</v>
      </c>
      <c r="F176" s="4" t="s">
        <v>85</v>
      </c>
      <c r="G176" s="4" t="s">
        <v>993</v>
      </c>
      <c r="H176" s="6">
        <v>6.0600000000000001E-2</v>
      </c>
      <c r="I176" s="8">
        <v>70</v>
      </c>
      <c r="J176" s="8">
        <v>70</v>
      </c>
      <c r="K176" s="8">
        <v>61</v>
      </c>
      <c r="L176" s="8">
        <f t="shared" si="3"/>
        <v>298900</v>
      </c>
      <c r="M176" s="15">
        <v>7897801300360</v>
      </c>
      <c r="N176" s="6" t="s">
        <v>20</v>
      </c>
      <c r="O176" s="6" t="s">
        <v>20</v>
      </c>
      <c r="P176" s="6" t="s">
        <v>20</v>
      </c>
      <c r="Q176" s="6">
        <v>0.21</v>
      </c>
      <c r="R176" s="6">
        <v>6.2E-2</v>
      </c>
      <c r="S176" s="6">
        <v>0.27</v>
      </c>
      <c r="T176" s="8">
        <v>12</v>
      </c>
      <c r="U176" s="5" t="s">
        <v>994</v>
      </c>
      <c r="V176" s="89">
        <v>0</v>
      </c>
      <c r="W176" s="15">
        <v>17897801300367</v>
      </c>
      <c r="X176" s="6">
        <v>0.5</v>
      </c>
      <c r="Y176" s="6">
        <v>0.17499999999999999</v>
      </c>
      <c r="Z176" s="6">
        <v>0.73499999999999999</v>
      </c>
      <c r="AA176" s="6">
        <f t="shared" si="4"/>
        <v>6.4312499999999995E-2</v>
      </c>
      <c r="AB176" s="8">
        <v>216</v>
      </c>
      <c r="AC176" s="15">
        <v>47897801300368</v>
      </c>
      <c r="AD176" s="4" t="s">
        <v>992</v>
      </c>
    </row>
    <row r="177" spans="2:30" x14ac:dyDescent="0.35">
      <c r="B177" s="14">
        <v>343</v>
      </c>
      <c r="C177" s="4" t="s">
        <v>184</v>
      </c>
      <c r="D177" s="4" t="s">
        <v>2417</v>
      </c>
      <c r="E177" s="4" t="s">
        <v>2911</v>
      </c>
      <c r="F177" s="4" t="s">
        <v>85</v>
      </c>
      <c r="G177" s="4" t="s">
        <v>993</v>
      </c>
      <c r="H177" s="6">
        <v>0.1318</v>
      </c>
      <c r="I177" s="8">
        <v>81</v>
      </c>
      <c r="J177" s="8">
        <v>81</v>
      </c>
      <c r="K177" s="8">
        <v>70</v>
      </c>
      <c r="L177" s="8">
        <f t="shared" si="3"/>
        <v>459270</v>
      </c>
      <c r="M177" s="15">
        <v>7897801300988</v>
      </c>
      <c r="N177" s="6" t="s">
        <v>20</v>
      </c>
      <c r="O177" s="6" t="s">
        <v>20</v>
      </c>
      <c r="P177" s="6" t="s">
        <v>20</v>
      </c>
      <c r="Q177" s="6">
        <v>0.18</v>
      </c>
      <c r="R177" s="6">
        <v>0.06</v>
      </c>
      <c r="S177" s="6">
        <v>0.25</v>
      </c>
      <c r="T177" s="8">
        <v>6</v>
      </c>
      <c r="U177" s="5" t="s">
        <v>994</v>
      </c>
      <c r="V177" s="89">
        <v>0</v>
      </c>
      <c r="W177" s="15">
        <v>17897801300985</v>
      </c>
      <c r="X177" s="6">
        <v>0.5</v>
      </c>
      <c r="Y177" s="6">
        <v>0.18</v>
      </c>
      <c r="Z177" s="6">
        <v>0.68</v>
      </c>
      <c r="AA177" s="6">
        <f t="shared" si="4"/>
        <v>6.1200000000000004E-2</v>
      </c>
      <c r="AB177" s="8">
        <v>144</v>
      </c>
      <c r="AC177" s="15">
        <v>47897801300986</v>
      </c>
      <c r="AD177" s="4" t="s">
        <v>992</v>
      </c>
    </row>
    <row r="178" spans="2:30" x14ac:dyDescent="0.35">
      <c r="B178" s="14">
        <v>344</v>
      </c>
      <c r="C178" s="4" t="s">
        <v>185</v>
      </c>
      <c r="D178" s="4" t="s">
        <v>2417</v>
      </c>
      <c r="E178" s="4" t="s">
        <v>2911</v>
      </c>
      <c r="F178" s="4" t="s">
        <v>85</v>
      </c>
      <c r="G178" s="4" t="s">
        <v>993</v>
      </c>
      <c r="H178" s="6">
        <v>0.15870000000000001</v>
      </c>
      <c r="I178" s="8">
        <v>89</v>
      </c>
      <c r="J178" s="8">
        <v>89</v>
      </c>
      <c r="K178" s="8">
        <v>70</v>
      </c>
      <c r="L178" s="8">
        <f t="shared" si="3"/>
        <v>554470</v>
      </c>
      <c r="M178" s="15">
        <v>7897801302579</v>
      </c>
      <c r="N178" s="6" t="s">
        <v>20</v>
      </c>
      <c r="O178" s="6" t="s">
        <v>20</v>
      </c>
      <c r="P178" s="6" t="s">
        <v>20</v>
      </c>
      <c r="Q178" s="6">
        <v>0.18</v>
      </c>
      <c r="R178" s="6">
        <v>0.09</v>
      </c>
      <c r="S178" s="6">
        <v>0.25</v>
      </c>
      <c r="T178" s="8">
        <v>6</v>
      </c>
      <c r="U178" s="5" t="s">
        <v>994</v>
      </c>
      <c r="V178" s="89">
        <v>0</v>
      </c>
      <c r="W178" s="15">
        <v>17897801302576</v>
      </c>
      <c r="X178" s="6">
        <v>0.49</v>
      </c>
      <c r="Y178" s="6">
        <v>0.22</v>
      </c>
      <c r="Z178" s="6">
        <v>0.7</v>
      </c>
      <c r="AA178" s="6">
        <f t="shared" si="4"/>
        <v>7.5459999999999985E-2</v>
      </c>
      <c r="AB178" s="8">
        <v>120</v>
      </c>
      <c r="AC178" s="15">
        <v>47897801302577</v>
      </c>
      <c r="AD178" s="4" t="s">
        <v>992</v>
      </c>
    </row>
    <row r="179" spans="2:30" x14ac:dyDescent="0.35">
      <c r="B179" s="14">
        <v>345</v>
      </c>
      <c r="C179" s="4" t="s">
        <v>186</v>
      </c>
      <c r="D179" s="4" t="s">
        <v>2417</v>
      </c>
      <c r="E179" s="4" t="s">
        <v>2911</v>
      </c>
      <c r="F179" s="4" t="s">
        <v>85</v>
      </c>
      <c r="G179" s="4" t="s">
        <v>993</v>
      </c>
      <c r="H179" s="6">
        <v>0.17330000000000001</v>
      </c>
      <c r="I179" s="8">
        <v>95</v>
      </c>
      <c r="J179" s="8">
        <v>95</v>
      </c>
      <c r="K179" s="8">
        <v>67.5</v>
      </c>
      <c r="L179" s="8">
        <f t="shared" si="3"/>
        <v>609187.5</v>
      </c>
      <c r="M179" s="15">
        <v>7897801300377</v>
      </c>
      <c r="N179" s="6" t="s">
        <v>20</v>
      </c>
      <c r="O179" s="6" t="s">
        <v>20</v>
      </c>
      <c r="P179" s="6" t="s">
        <v>20</v>
      </c>
      <c r="Q179" s="6">
        <v>0.17</v>
      </c>
      <c r="R179" s="6">
        <v>0.1</v>
      </c>
      <c r="S179" s="6">
        <v>0.26</v>
      </c>
      <c r="T179" s="8">
        <v>6</v>
      </c>
      <c r="U179" s="5" t="s">
        <v>994</v>
      </c>
      <c r="V179" s="89">
        <v>0</v>
      </c>
      <c r="W179" s="15">
        <v>17897801300374</v>
      </c>
      <c r="X179" s="6">
        <v>0.55000000000000004</v>
      </c>
      <c r="Y179" s="6">
        <v>0.17</v>
      </c>
      <c r="Z179" s="6">
        <v>0.73</v>
      </c>
      <c r="AA179" s="6">
        <f t="shared" si="4"/>
        <v>6.825500000000001E-2</v>
      </c>
      <c r="AB179" s="8">
        <v>120</v>
      </c>
      <c r="AC179" s="15">
        <v>47897801300375</v>
      </c>
      <c r="AD179" s="4" t="s">
        <v>992</v>
      </c>
    </row>
    <row r="180" spans="2:30" x14ac:dyDescent="0.35">
      <c r="B180" s="14">
        <v>346</v>
      </c>
      <c r="C180" s="4" t="s">
        <v>187</v>
      </c>
      <c r="D180" s="4" t="s">
        <v>2417</v>
      </c>
      <c r="E180" s="4" t="s">
        <v>2911</v>
      </c>
      <c r="F180" s="4" t="s">
        <v>85</v>
      </c>
      <c r="G180" s="4" t="s">
        <v>993</v>
      </c>
      <c r="H180" s="6">
        <v>0.2399</v>
      </c>
      <c r="I180" s="8">
        <v>109</v>
      </c>
      <c r="J180" s="8">
        <v>109</v>
      </c>
      <c r="K180" s="8">
        <v>75</v>
      </c>
      <c r="L180" s="8">
        <f t="shared" si="3"/>
        <v>891075</v>
      </c>
      <c r="M180" s="15">
        <v>7897801303002</v>
      </c>
      <c r="N180" s="6" t="s">
        <v>20</v>
      </c>
      <c r="O180" s="6" t="s">
        <v>20</v>
      </c>
      <c r="P180" s="6" t="s">
        <v>20</v>
      </c>
      <c r="Q180" s="6">
        <v>0.26</v>
      </c>
      <c r="R180" s="6">
        <v>7.4999999999999997E-2</v>
      </c>
      <c r="S180" s="6">
        <v>0.26</v>
      </c>
      <c r="T180" s="8">
        <v>6</v>
      </c>
      <c r="U180" s="5" t="s">
        <v>994</v>
      </c>
      <c r="V180" s="89">
        <v>0</v>
      </c>
      <c r="W180" s="15">
        <v>17897801303009</v>
      </c>
      <c r="X180" s="6">
        <v>0.48</v>
      </c>
      <c r="Y180" s="6">
        <v>0.24</v>
      </c>
      <c r="Z180" s="6">
        <v>0.73</v>
      </c>
      <c r="AA180" s="6">
        <f t="shared" si="4"/>
        <v>8.409599999999999E-2</v>
      </c>
      <c r="AB180" s="8">
        <v>90</v>
      </c>
      <c r="AC180" s="15">
        <v>47897801303000</v>
      </c>
      <c r="AD180" s="4" t="s">
        <v>992</v>
      </c>
    </row>
    <row r="181" spans="2:30" x14ac:dyDescent="0.35">
      <c r="B181" s="14">
        <v>347</v>
      </c>
      <c r="C181" s="4" t="s">
        <v>188</v>
      </c>
      <c r="D181" s="4" t="s">
        <v>2417</v>
      </c>
      <c r="E181" s="4" t="s">
        <v>2911</v>
      </c>
      <c r="F181" s="4" t="s">
        <v>85</v>
      </c>
      <c r="G181" s="4" t="s">
        <v>993</v>
      </c>
      <c r="H181" s="6">
        <v>0.44429999999999997</v>
      </c>
      <c r="I181" s="8">
        <v>140</v>
      </c>
      <c r="J181" s="8">
        <v>100</v>
      </c>
      <c r="K181" s="8">
        <v>140</v>
      </c>
      <c r="L181" s="8">
        <f t="shared" si="3"/>
        <v>1960000</v>
      </c>
      <c r="M181" s="15">
        <v>7897801311908</v>
      </c>
      <c r="N181" s="6" t="s">
        <v>20</v>
      </c>
      <c r="O181" s="6" t="s">
        <v>20</v>
      </c>
      <c r="P181" s="6" t="s">
        <v>20</v>
      </c>
      <c r="Q181" s="6">
        <v>0.155</v>
      </c>
      <c r="R181" s="6">
        <v>0.1</v>
      </c>
      <c r="S181" s="6">
        <v>0.155</v>
      </c>
      <c r="T181" s="8">
        <v>1</v>
      </c>
      <c r="U181" s="5" t="s">
        <v>994</v>
      </c>
      <c r="V181" s="89">
        <v>0</v>
      </c>
      <c r="W181" s="15">
        <v>17897801311905</v>
      </c>
      <c r="X181" s="6">
        <v>0.42</v>
      </c>
      <c r="Y181" s="6">
        <v>0.17</v>
      </c>
      <c r="Z181" s="6">
        <v>0.7</v>
      </c>
      <c r="AA181" s="6">
        <f t="shared" si="4"/>
        <v>4.9980000000000004E-2</v>
      </c>
      <c r="AB181" s="8">
        <v>40</v>
      </c>
      <c r="AC181" s="15">
        <v>27897801311902</v>
      </c>
      <c r="AD181" s="4" t="s">
        <v>992</v>
      </c>
    </row>
    <row r="182" spans="2:30" x14ac:dyDescent="0.35">
      <c r="B182" s="14">
        <v>348</v>
      </c>
      <c r="C182" s="4" t="s">
        <v>189</v>
      </c>
      <c r="D182" s="4" t="s">
        <v>2417</v>
      </c>
      <c r="E182" s="4" t="s">
        <v>2911</v>
      </c>
      <c r="F182" s="4" t="s">
        <v>85</v>
      </c>
      <c r="G182" s="4" t="s">
        <v>993</v>
      </c>
      <c r="H182" s="6">
        <v>0.61750000000000005</v>
      </c>
      <c r="I182" s="8">
        <v>100</v>
      </c>
      <c r="J182" s="8">
        <v>100</v>
      </c>
      <c r="K182" s="8">
        <v>160</v>
      </c>
      <c r="L182" s="8">
        <f t="shared" si="3"/>
        <v>1600000</v>
      </c>
      <c r="M182" s="15">
        <v>7897801311915</v>
      </c>
      <c r="N182" s="6" t="s">
        <v>20</v>
      </c>
      <c r="O182" s="6" t="s">
        <v>20</v>
      </c>
      <c r="P182" s="6" t="s">
        <v>20</v>
      </c>
      <c r="Q182" s="6">
        <v>0.1</v>
      </c>
      <c r="R182" s="6">
        <v>0.16</v>
      </c>
      <c r="S182" s="6">
        <v>0.16</v>
      </c>
      <c r="T182" s="8">
        <v>1</v>
      </c>
      <c r="U182" s="5" t="s">
        <v>994</v>
      </c>
      <c r="V182" s="89">
        <v>0</v>
      </c>
      <c r="W182" s="15">
        <v>17897801311912</v>
      </c>
      <c r="X182" s="6">
        <v>0.4</v>
      </c>
      <c r="Y182" s="6">
        <v>0.17</v>
      </c>
      <c r="Z182" s="6">
        <v>0.7</v>
      </c>
      <c r="AA182" s="6">
        <f t="shared" si="4"/>
        <v>4.7600000000000003E-2</v>
      </c>
      <c r="AB182" s="8">
        <v>21</v>
      </c>
      <c r="AC182" s="15">
        <v>27897801311919</v>
      </c>
      <c r="AD182" s="4" t="s">
        <v>992</v>
      </c>
    </row>
    <row r="183" spans="2:30" x14ac:dyDescent="0.35">
      <c r="B183" s="14">
        <v>349</v>
      </c>
      <c r="C183" s="4" t="s">
        <v>190</v>
      </c>
      <c r="D183" s="4" t="s">
        <v>2417</v>
      </c>
      <c r="E183" s="4" t="s">
        <v>2911</v>
      </c>
      <c r="F183" s="4" t="s">
        <v>85</v>
      </c>
      <c r="G183" s="4" t="s">
        <v>993</v>
      </c>
      <c r="H183" s="6">
        <v>0.91739999999999999</v>
      </c>
      <c r="I183" s="8">
        <v>200</v>
      </c>
      <c r="J183" s="8">
        <v>140</v>
      </c>
      <c r="K183" s="8">
        <v>200</v>
      </c>
      <c r="L183" s="8">
        <f t="shared" si="3"/>
        <v>5600000</v>
      </c>
      <c r="M183" s="15">
        <v>7897801311922</v>
      </c>
      <c r="N183" s="6" t="s">
        <v>20</v>
      </c>
      <c r="O183" s="6" t="s">
        <v>20</v>
      </c>
      <c r="P183" s="6" t="s">
        <v>20</v>
      </c>
      <c r="Q183" s="6">
        <v>0.2</v>
      </c>
      <c r="R183" s="6">
        <v>0.15</v>
      </c>
      <c r="S183" s="6">
        <v>0.2</v>
      </c>
      <c r="T183" s="8">
        <v>1</v>
      </c>
      <c r="U183" s="5" t="s">
        <v>994</v>
      </c>
      <c r="V183" s="89">
        <v>0</v>
      </c>
      <c r="W183" s="15">
        <v>17897801311929</v>
      </c>
      <c r="X183" s="6">
        <v>0.45</v>
      </c>
      <c r="Y183" s="6">
        <v>0.2</v>
      </c>
      <c r="Z183" s="6">
        <v>0.65</v>
      </c>
      <c r="AA183" s="6">
        <f t="shared" si="4"/>
        <v>5.850000000000001E-2</v>
      </c>
      <c r="AB183" s="8">
        <v>10</v>
      </c>
      <c r="AC183" s="15">
        <v>27897801311926</v>
      </c>
      <c r="AD183" s="4" t="s">
        <v>992</v>
      </c>
    </row>
    <row r="184" spans="2:30" x14ac:dyDescent="0.35">
      <c r="B184" s="14">
        <v>359</v>
      </c>
      <c r="C184" s="4" t="s">
        <v>191</v>
      </c>
      <c r="D184" s="4" t="s">
        <v>2371</v>
      </c>
      <c r="E184" s="4" t="s">
        <v>2911</v>
      </c>
      <c r="F184" s="4" t="s">
        <v>85</v>
      </c>
      <c r="G184" s="4" t="s">
        <v>993</v>
      </c>
      <c r="H184" s="6">
        <v>0.35449999999999998</v>
      </c>
      <c r="I184" s="8">
        <v>110</v>
      </c>
      <c r="J184" s="8">
        <v>60</v>
      </c>
      <c r="K184" s="8">
        <v>110</v>
      </c>
      <c r="L184" s="8">
        <f t="shared" si="3"/>
        <v>726000</v>
      </c>
      <c r="M184" s="15">
        <v>7897801311816</v>
      </c>
      <c r="N184" s="6" t="s">
        <v>20</v>
      </c>
      <c r="O184" s="6" t="s">
        <v>20</v>
      </c>
      <c r="P184" s="6" t="s">
        <v>20</v>
      </c>
      <c r="Q184" s="6">
        <v>0.21</v>
      </c>
      <c r="R184" s="6">
        <v>0.06</v>
      </c>
      <c r="S184" s="6">
        <v>0.37</v>
      </c>
      <c r="T184" s="8">
        <v>5</v>
      </c>
      <c r="U184" s="5" t="s">
        <v>994</v>
      </c>
      <c r="V184" s="89">
        <v>0</v>
      </c>
      <c r="W184" s="15">
        <v>17897801311813</v>
      </c>
      <c r="X184" s="6">
        <v>0.42</v>
      </c>
      <c r="Y184" s="6">
        <v>0.21</v>
      </c>
      <c r="Z184" s="6">
        <v>0.59</v>
      </c>
      <c r="AA184" s="6">
        <f t="shared" si="4"/>
        <v>5.2037999999999987E-2</v>
      </c>
      <c r="AB184" s="8">
        <v>60</v>
      </c>
      <c r="AC184" s="15">
        <v>27897801311810</v>
      </c>
      <c r="AD184" s="4" t="s">
        <v>992</v>
      </c>
    </row>
    <row r="185" spans="2:30" x14ac:dyDescent="0.35">
      <c r="B185" s="14">
        <v>360</v>
      </c>
      <c r="C185" s="4" t="s">
        <v>192</v>
      </c>
      <c r="D185" s="4" t="s">
        <v>2371</v>
      </c>
      <c r="E185" s="4" t="s">
        <v>2911</v>
      </c>
      <c r="F185" s="4" t="s">
        <v>85</v>
      </c>
      <c r="G185" s="4" t="s">
        <v>993</v>
      </c>
      <c r="H185" s="6">
        <v>5.0000000000000001E-3</v>
      </c>
      <c r="I185" s="8">
        <v>25</v>
      </c>
      <c r="J185" s="8">
        <v>25</v>
      </c>
      <c r="K185" s="8">
        <v>18</v>
      </c>
      <c r="L185" s="8">
        <f t="shared" si="3"/>
        <v>11250</v>
      </c>
      <c r="M185" s="15">
        <v>7897801301466</v>
      </c>
      <c r="N185" s="6" t="s">
        <v>20</v>
      </c>
      <c r="O185" s="6" t="s">
        <v>20</v>
      </c>
      <c r="P185" s="6" t="s">
        <v>20</v>
      </c>
      <c r="Q185" s="6">
        <v>0.16</v>
      </c>
      <c r="R185" s="6">
        <v>0.03</v>
      </c>
      <c r="S185" s="6">
        <v>0.185</v>
      </c>
      <c r="T185" s="8">
        <v>50</v>
      </c>
      <c r="U185" s="5" t="s">
        <v>994</v>
      </c>
      <c r="V185" s="89">
        <v>0</v>
      </c>
      <c r="W185" s="15">
        <v>17897801301463</v>
      </c>
      <c r="X185" s="6">
        <v>0.59</v>
      </c>
      <c r="Y185" s="6">
        <v>0.16</v>
      </c>
      <c r="Z185" s="6">
        <v>0.76</v>
      </c>
      <c r="AA185" s="6">
        <f t="shared" si="4"/>
        <v>7.1744000000000002E-2</v>
      </c>
      <c r="AB185" s="8">
        <v>4000</v>
      </c>
      <c r="AC185" s="15">
        <v>47897801301464</v>
      </c>
      <c r="AD185" s="4" t="s">
        <v>992</v>
      </c>
    </row>
    <row r="186" spans="2:30" x14ac:dyDescent="0.35">
      <c r="B186" s="14">
        <v>361</v>
      </c>
      <c r="C186" s="4" t="s">
        <v>193</v>
      </c>
      <c r="D186" s="4" t="s">
        <v>2371</v>
      </c>
      <c r="E186" s="4" t="s">
        <v>2911</v>
      </c>
      <c r="F186" s="4" t="s">
        <v>85</v>
      </c>
      <c r="G186" s="4" t="s">
        <v>993</v>
      </c>
      <c r="H186" s="6">
        <v>1.04E-2</v>
      </c>
      <c r="I186" s="8">
        <v>32</v>
      </c>
      <c r="J186" s="8">
        <v>32</v>
      </c>
      <c r="K186" s="8">
        <v>21.5</v>
      </c>
      <c r="L186" s="8">
        <f t="shared" si="3"/>
        <v>22016</v>
      </c>
      <c r="M186" s="15">
        <v>7897801302210</v>
      </c>
      <c r="N186" s="6" t="s">
        <v>20</v>
      </c>
      <c r="O186" s="6" t="s">
        <v>20</v>
      </c>
      <c r="P186" s="6" t="s">
        <v>20</v>
      </c>
      <c r="Q186" s="6">
        <v>0.23</v>
      </c>
      <c r="R186" s="6">
        <v>0.05</v>
      </c>
      <c r="S186" s="6">
        <v>0.24</v>
      </c>
      <c r="T186" s="8">
        <v>50</v>
      </c>
      <c r="U186" s="5" t="s">
        <v>994</v>
      </c>
      <c r="V186" s="89">
        <v>0</v>
      </c>
      <c r="W186" s="15">
        <v>17897801302217</v>
      </c>
      <c r="X186" s="6">
        <v>0.56999999999999995</v>
      </c>
      <c r="Y186" s="6">
        <v>0.21</v>
      </c>
      <c r="Z186" s="6">
        <v>0.77</v>
      </c>
      <c r="AA186" s="6">
        <f t="shared" si="4"/>
        <v>9.2168999999999987E-2</v>
      </c>
      <c r="AB186" s="8">
        <v>2000</v>
      </c>
      <c r="AC186" s="15">
        <v>47897801302218</v>
      </c>
      <c r="AD186" s="4" t="s">
        <v>992</v>
      </c>
    </row>
    <row r="187" spans="2:30" x14ac:dyDescent="0.35">
      <c r="B187" s="14">
        <v>362</v>
      </c>
      <c r="C187" s="4" t="s">
        <v>194</v>
      </c>
      <c r="D187" s="4" t="s">
        <v>2371</v>
      </c>
      <c r="E187" s="4" t="s">
        <v>2911</v>
      </c>
      <c r="F187" s="4" t="s">
        <v>85</v>
      </c>
      <c r="G187" s="4" t="s">
        <v>993</v>
      </c>
      <c r="H187" s="6">
        <v>1.72E-2</v>
      </c>
      <c r="I187" s="8">
        <v>40</v>
      </c>
      <c r="J187" s="8">
        <v>40</v>
      </c>
      <c r="K187" s="8">
        <v>24.5</v>
      </c>
      <c r="L187" s="8">
        <f t="shared" si="3"/>
        <v>39200</v>
      </c>
      <c r="M187" s="15">
        <v>7897801302807</v>
      </c>
      <c r="N187" s="6" t="s">
        <v>20</v>
      </c>
      <c r="O187" s="6" t="s">
        <v>20</v>
      </c>
      <c r="P187" s="6" t="s">
        <v>20</v>
      </c>
      <c r="Q187" s="6">
        <v>0.18</v>
      </c>
      <c r="R187" s="6">
        <v>0.05</v>
      </c>
      <c r="S187" s="6">
        <v>0.24</v>
      </c>
      <c r="T187" s="8">
        <v>10</v>
      </c>
      <c r="U187" s="5" t="s">
        <v>994</v>
      </c>
      <c r="V187" s="89">
        <v>0</v>
      </c>
      <c r="W187" s="15">
        <v>17897801302804</v>
      </c>
      <c r="X187" s="6">
        <v>0.53</v>
      </c>
      <c r="Y187" s="6">
        <v>0.19</v>
      </c>
      <c r="Z187" s="6">
        <v>0.74</v>
      </c>
      <c r="AA187" s="6">
        <f t="shared" si="4"/>
        <v>7.4518000000000001E-2</v>
      </c>
      <c r="AB187" s="8">
        <v>1000</v>
      </c>
      <c r="AC187" s="15">
        <v>27897801302801</v>
      </c>
      <c r="AD187" s="4" t="s">
        <v>992</v>
      </c>
    </row>
    <row r="188" spans="2:30" x14ac:dyDescent="0.35">
      <c r="B188" s="14">
        <v>363</v>
      </c>
      <c r="C188" s="4" t="s">
        <v>195</v>
      </c>
      <c r="D188" s="4" t="s">
        <v>2371</v>
      </c>
      <c r="E188" s="4" t="s">
        <v>2911</v>
      </c>
      <c r="F188" s="4" t="s">
        <v>85</v>
      </c>
      <c r="G188" s="4" t="s">
        <v>993</v>
      </c>
      <c r="H188" s="6">
        <v>3.2000000000000001E-2</v>
      </c>
      <c r="I188" s="8">
        <v>50</v>
      </c>
      <c r="J188" s="8">
        <v>50</v>
      </c>
      <c r="K188" s="8">
        <v>30</v>
      </c>
      <c r="L188" s="8">
        <f t="shared" si="3"/>
        <v>75000</v>
      </c>
      <c r="M188" s="15">
        <v>7897801302814</v>
      </c>
      <c r="N188" s="6" t="s">
        <v>20</v>
      </c>
      <c r="O188" s="6" t="s">
        <v>20</v>
      </c>
      <c r="P188" s="6" t="s">
        <v>20</v>
      </c>
      <c r="Q188" s="6">
        <v>0.185</v>
      </c>
      <c r="R188" s="6">
        <v>0.06</v>
      </c>
      <c r="S188" s="6">
        <v>0.22500000000000001</v>
      </c>
      <c r="T188" s="8">
        <v>10</v>
      </c>
      <c r="U188" s="5" t="s">
        <v>994</v>
      </c>
      <c r="V188" s="89">
        <v>0</v>
      </c>
      <c r="W188" s="15">
        <v>17897801302811</v>
      </c>
      <c r="X188" s="6">
        <v>0.56999999999999995</v>
      </c>
      <c r="Y188" s="6">
        <v>0.21</v>
      </c>
      <c r="Z188" s="6">
        <v>0.8</v>
      </c>
      <c r="AA188" s="6">
        <f t="shared" si="4"/>
        <v>9.5759999999999998E-2</v>
      </c>
      <c r="AB188" s="8">
        <v>650</v>
      </c>
      <c r="AC188" s="15">
        <v>47897801302812</v>
      </c>
      <c r="AD188" s="4" t="s">
        <v>992</v>
      </c>
    </row>
    <row r="189" spans="2:30" x14ac:dyDescent="0.35">
      <c r="B189" s="14">
        <v>364</v>
      </c>
      <c r="C189" s="4" t="s">
        <v>196</v>
      </c>
      <c r="D189" s="4" t="s">
        <v>2371</v>
      </c>
      <c r="E189" s="4" t="s">
        <v>2911</v>
      </c>
      <c r="F189" s="4" t="s">
        <v>85</v>
      </c>
      <c r="G189" s="4" t="s">
        <v>993</v>
      </c>
      <c r="H189" s="6">
        <v>4.5400000000000003E-2</v>
      </c>
      <c r="I189" s="8">
        <v>60</v>
      </c>
      <c r="J189" s="8">
        <v>35</v>
      </c>
      <c r="K189" s="8">
        <v>60</v>
      </c>
      <c r="L189" s="8">
        <f t="shared" si="3"/>
        <v>126000</v>
      </c>
      <c r="M189" s="15">
        <v>7897801307703</v>
      </c>
      <c r="N189" s="6" t="s">
        <v>20</v>
      </c>
      <c r="O189" s="6" t="s">
        <v>20</v>
      </c>
      <c r="P189" s="6" t="s">
        <v>20</v>
      </c>
      <c r="Q189" s="6">
        <v>0.22</v>
      </c>
      <c r="R189" s="6">
        <v>7.0000000000000007E-2</v>
      </c>
      <c r="S189" s="6">
        <v>0.23499999999999999</v>
      </c>
      <c r="T189" s="8">
        <v>12</v>
      </c>
      <c r="U189" s="5" t="s">
        <v>994</v>
      </c>
      <c r="V189" s="89">
        <v>0</v>
      </c>
      <c r="W189" s="15">
        <v>17897801307700</v>
      </c>
      <c r="X189" s="6">
        <v>0.57999999999999996</v>
      </c>
      <c r="Y189" s="6">
        <v>0.24</v>
      </c>
      <c r="Z189" s="6">
        <v>0.84</v>
      </c>
      <c r="AA189" s="6">
        <f t="shared" si="4"/>
        <v>0.11692799999999999</v>
      </c>
      <c r="AB189" s="8">
        <v>480</v>
      </c>
      <c r="AC189" s="15">
        <v>27897801307707</v>
      </c>
      <c r="AD189" s="4" t="s">
        <v>992</v>
      </c>
    </row>
    <row r="190" spans="2:30" x14ac:dyDescent="0.35">
      <c r="B190" s="14">
        <v>365</v>
      </c>
      <c r="C190" s="4" t="s">
        <v>197</v>
      </c>
      <c r="D190" s="4" t="s">
        <v>2371</v>
      </c>
      <c r="E190" s="4" t="s">
        <v>2911</v>
      </c>
      <c r="F190" s="4" t="s">
        <v>85</v>
      </c>
      <c r="G190" s="4" t="s">
        <v>993</v>
      </c>
      <c r="H190" s="6">
        <v>0.1042</v>
      </c>
      <c r="I190" s="8">
        <v>43</v>
      </c>
      <c r="J190" s="8">
        <v>75</v>
      </c>
      <c r="K190" s="8">
        <v>75</v>
      </c>
      <c r="L190" s="8">
        <f t="shared" si="3"/>
        <v>241875</v>
      </c>
      <c r="M190" s="15">
        <v>7897801311267</v>
      </c>
      <c r="N190" s="6" t="s">
        <v>20</v>
      </c>
      <c r="O190" s="6" t="s">
        <v>20</v>
      </c>
      <c r="P190" s="6" t="s">
        <v>20</v>
      </c>
      <c r="Q190" s="6">
        <v>0.15</v>
      </c>
      <c r="R190" s="6">
        <v>0.08</v>
      </c>
      <c r="S190" s="6">
        <v>0.25</v>
      </c>
      <c r="T190" s="8">
        <v>5</v>
      </c>
      <c r="U190" s="5" t="s">
        <v>994</v>
      </c>
      <c r="V190" s="89">
        <v>0</v>
      </c>
      <c r="W190" s="15">
        <v>17897801311264</v>
      </c>
      <c r="X190" s="6">
        <v>0.46</v>
      </c>
      <c r="Y190" s="6">
        <v>0.23</v>
      </c>
      <c r="Z190" s="6">
        <v>0.75</v>
      </c>
      <c r="AA190" s="6">
        <f t="shared" si="4"/>
        <v>7.9350000000000004E-2</v>
      </c>
      <c r="AB190" s="8">
        <v>150</v>
      </c>
      <c r="AC190" s="15">
        <v>27897801311261</v>
      </c>
      <c r="AD190" s="4" t="s">
        <v>992</v>
      </c>
    </row>
    <row r="191" spans="2:30" x14ac:dyDescent="0.35">
      <c r="B191" s="14">
        <v>366</v>
      </c>
      <c r="C191" s="4" t="s">
        <v>198</v>
      </c>
      <c r="D191" s="4" t="s">
        <v>2371</v>
      </c>
      <c r="E191" s="4" t="s">
        <v>2911</v>
      </c>
      <c r="F191" s="4" t="s">
        <v>85</v>
      </c>
      <c r="G191" s="4" t="s">
        <v>993</v>
      </c>
      <c r="H191" s="6">
        <v>9.2200000000000004E-2</v>
      </c>
      <c r="I191" s="8">
        <v>50</v>
      </c>
      <c r="J191" s="8">
        <v>85</v>
      </c>
      <c r="K191" s="8">
        <v>85</v>
      </c>
      <c r="L191" s="8">
        <f t="shared" si="3"/>
        <v>361250</v>
      </c>
      <c r="M191" s="15">
        <v>7897801311243</v>
      </c>
      <c r="N191" s="6" t="s">
        <v>20</v>
      </c>
      <c r="O191" s="6" t="s">
        <v>20</v>
      </c>
      <c r="P191" s="6" t="s">
        <v>20</v>
      </c>
      <c r="Q191" s="6">
        <v>0.16</v>
      </c>
      <c r="R191" s="6">
        <v>0.06</v>
      </c>
      <c r="S191" s="6">
        <v>0.25</v>
      </c>
      <c r="T191" s="8">
        <v>5</v>
      </c>
      <c r="U191" s="5" t="s">
        <v>994</v>
      </c>
      <c r="V191" s="89">
        <v>0</v>
      </c>
      <c r="W191" s="15">
        <v>17897801311240</v>
      </c>
      <c r="X191" s="6">
        <v>0.4</v>
      </c>
      <c r="Y191" s="6">
        <v>0.26</v>
      </c>
      <c r="Z191" s="6">
        <v>0.6</v>
      </c>
      <c r="AA191" s="6">
        <f t="shared" si="4"/>
        <v>6.2400000000000004E-2</v>
      </c>
      <c r="AB191" s="8">
        <v>140</v>
      </c>
      <c r="AC191" s="15">
        <v>27897801311247</v>
      </c>
      <c r="AD191" s="4" t="s">
        <v>992</v>
      </c>
    </row>
    <row r="192" spans="2:30" x14ac:dyDescent="0.35">
      <c r="B192" s="14">
        <v>367</v>
      </c>
      <c r="C192" s="4" t="s">
        <v>199</v>
      </c>
      <c r="D192" s="4" t="s">
        <v>2371</v>
      </c>
      <c r="E192" s="4" t="s">
        <v>2911</v>
      </c>
      <c r="F192" s="4" t="s">
        <v>85</v>
      </c>
      <c r="G192" s="4" t="s">
        <v>993</v>
      </c>
      <c r="H192" s="6">
        <v>1.6199999999999999E-2</v>
      </c>
      <c r="I192" s="8">
        <v>32</v>
      </c>
      <c r="J192" s="8">
        <v>44</v>
      </c>
      <c r="K192" s="8">
        <v>32</v>
      </c>
      <c r="L192" s="8">
        <f t="shared" si="3"/>
        <v>45056</v>
      </c>
      <c r="M192" s="15">
        <v>7897801307253</v>
      </c>
      <c r="N192" s="6" t="s">
        <v>20</v>
      </c>
      <c r="O192" s="6" t="s">
        <v>20</v>
      </c>
      <c r="P192" s="6" t="s">
        <v>20</v>
      </c>
      <c r="Q192" s="6">
        <v>0.14000000000000001</v>
      </c>
      <c r="R192" s="6">
        <v>0.05</v>
      </c>
      <c r="S192" s="6">
        <v>0.14000000000000001</v>
      </c>
      <c r="T192" s="8">
        <v>15</v>
      </c>
      <c r="U192" s="5" t="s">
        <v>994</v>
      </c>
      <c r="V192" s="89">
        <v>0</v>
      </c>
      <c r="W192" s="15">
        <v>17897801307250</v>
      </c>
      <c r="X192" s="6">
        <v>0.45</v>
      </c>
      <c r="Y192" s="6">
        <v>0.2</v>
      </c>
      <c r="Z192" s="6">
        <v>0.7</v>
      </c>
      <c r="AA192" s="6">
        <f t="shared" si="4"/>
        <v>6.3E-2</v>
      </c>
      <c r="AB192" s="8">
        <v>1125</v>
      </c>
      <c r="AC192" s="15">
        <v>27897801307257</v>
      </c>
      <c r="AD192" s="4" t="s">
        <v>992</v>
      </c>
    </row>
    <row r="193" spans="2:30" x14ac:dyDescent="0.35">
      <c r="B193" s="14">
        <v>368</v>
      </c>
      <c r="C193" s="4" t="s">
        <v>200</v>
      </c>
      <c r="D193" s="4" t="s">
        <v>2371</v>
      </c>
      <c r="E193" s="4" t="s">
        <v>2911</v>
      </c>
      <c r="F193" s="4" t="s">
        <v>85</v>
      </c>
      <c r="G193" s="4" t="s">
        <v>993</v>
      </c>
      <c r="H193" s="6">
        <v>2.2499999999999999E-2</v>
      </c>
      <c r="I193" s="8">
        <v>40</v>
      </c>
      <c r="J193" s="8">
        <v>52</v>
      </c>
      <c r="K193" s="8">
        <v>40</v>
      </c>
      <c r="L193" s="8">
        <f t="shared" si="3"/>
        <v>83200</v>
      </c>
      <c r="M193" s="15">
        <v>7897801307222</v>
      </c>
      <c r="N193" s="6" t="s">
        <v>20</v>
      </c>
      <c r="O193" s="6" t="s">
        <v>20</v>
      </c>
      <c r="P193" s="6" t="s">
        <v>20</v>
      </c>
      <c r="Q193" s="6">
        <v>0.15</v>
      </c>
      <c r="R193" s="6">
        <v>5.5E-2</v>
      </c>
      <c r="S193" s="6">
        <v>0.2</v>
      </c>
      <c r="T193" s="8">
        <v>15</v>
      </c>
      <c r="U193" s="5" t="s">
        <v>994</v>
      </c>
      <c r="V193" s="89">
        <v>0</v>
      </c>
      <c r="W193" s="15">
        <v>17897801307229</v>
      </c>
      <c r="X193" s="6">
        <v>0.5</v>
      </c>
      <c r="Y193" s="6">
        <v>0.2</v>
      </c>
      <c r="Z193" s="6">
        <v>0.75</v>
      </c>
      <c r="AA193" s="6">
        <f t="shared" si="4"/>
        <v>7.5000000000000011E-2</v>
      </c>
      <c r="AB193" s="8">
        <v>900</v>
      </c>
      <c r="AC193" s="15">
        <v>27897801307226</v>
      </c>
      <c r="AD193" s="4" t="s">
        <v>992</v>
      </c>
    </row>
    <row r="194" spans="2:30" x14ac:dyDescent="0.35">
      <c r="B194" s="14">
        <v>369</v>
      </c>
      <c r="C194" s="4" t="s">
        <v>201</v>
      </c>
      <c r="D194" s="4" t="s">
        <v>2371</v>
      </c>
      <c r="E194" s="4" t="s">
        <v>2911</v>
      </c>
      <c r="F194" s="4" t="s">
        <v>85</v>
      </c>
      <c r="G194" s="4" t="s">
        <v>993</v>
      </c>
      <c r="H194" s="6">
        <v>2.63E-2</v>
      </c>
      <c r="I194" s="8">
        <v>40</v>
      </c>
      <c r="J194" s="8">
        <v>51</v>
      </c>
      <c r="K194" s="8">
        <v>40</v>
      </c>
      <c r="L194" s="8">
        <f t="shared" si="3"/>
        <v>81600</v>
      </c>
      <c r="M194" s="15">
        <v>7897801302821</v>
      </c>
      <c r="N194" s="6" t="s">
        <v>20</v>
      </c>
      <c r="O194" s="6" t="s">
        <v>20</v>
      </c>
      <c r="P194" s="6" t="s">
        <v>20</v>
      </c>
      <c r="Q194" s="6">
        <v>0.13</v>
      </c>
      <c r="R194" s="6">
        <v>0.04</v>
      </c>
      <c r="S194" s="6">
        <v>0.13</v>
      </c>
      <c r="T194" s="8">
        <v>10</v>
      </c>
      <c r="U194" s="5" t="s">
        <v>994</v>
      </c>
      <c r="V194" s="89">
        <v>0</v>
      </c>
      <c r="W194" s="15">
        <v>17897801302828</v>
      </c>
      <c r="X194" s="6">
        <v>0.55000000000000004</v>
      </c>
      <c r="Y194" s="6">
        <v>0.17</v>
      </c>
      <c r="Z194" s="6">
        <v>0.7</v>
      </c>
      <c r="AA194" s="6">
        <f t="shared" si="4"/>
        <v>6.5450000000000008E-2</v>
      </c>
      <c r="AB194" s="8">
        <v>800</v>
      </c>
      <c r="AC194" s="15">
        <v>27897801302825</v>
      </c>
      <c r="AD194" s="4" t="s">
        <v>992</v>
      </c>
    </row>
    <row r="195" spans="2:30" x14ac:dyDescent="0.35">
      <c r="B195" s="14">
        <v>370</v>
      </c>
      <c r="C195" s="4" t="s">
        <v>202</v>
      </c>
      <c r="D195" s="4" t="s">
        <v>2371</v>
      </c>
      <c r="E195" s="4" t="s">
        <v>2911</v>
      </c>
      <c r="F195" s="4" t="s">
        <v>85</v>
      </c>
      <c r="G195" s="4" t="s">
        <v>993</v>
      </c>
      <c r="H195" s="6">
        <v>3.3000000000000002E-2</v>
      </c>
      <c r="I195" s="8">
        <v>50</v>
      </c>
      <c r="J195" s="8">
        <v>60</v>
      </c>
      <c r="K195" s="8">
        <v>50</v>
      </c>
      <c r="L195" s="8">
        <f t="shared" si="3"/>
        <v>150000</v>
      </c>
      <c r="M195" s="15">
        <v>7897801307239</v>
      </c>
      <c r="N195" s="6" t="s">
        <v>20</v>
      </c>
      <c r="O195" s="6" t="s">
        <v>20</v>
      </c>
      <c r="P195" s="6" t="s">
        <v>20</v>
      </c>
      <c r="Q195" s="6">
        <v>0.15</v>
      </c>
      <c r="R195" s="6">
        <v>0.06</v>
      </c>
      <c r="S195" s="6">
        <v>0.2</v>
      </c>
      <c r="T195" s="8">
        <v>10</v>
      </c>
      <c r="U195" s="5" t="s">
        <v>994</v>
      </c>
      <c r="V195" s="89">
        <v>0</v>
      </c>
      <c r="W195" s="15">
        <v>17897801307236</v>
      </c>
      <c r="X195" s="6">
        <v>0.55000000000000004</v>
      </c>
      <c r="Y195" s="6">
        <v>0.16</v>
      </c>
      <c r="Z195" s="6">
        <v>0.73</v>
      </c>
      <c r="AA195" s="6">
        <f t="shared" si="4"/>
        <v>6.4240000000000005E-2</v>
      </c>
      <c r="AB195" s="8">
        <v>500</v>
      </c>
      <c r="AC195" s="15">
        <v>27897801307233</v>
      </c>
      <c r="AD195" s="4" t="s">
        <v>992</v>
      </c>
    </row>
    <row r="196" spans="2:30" x14ac:dyDescent="0.35">
      <c r="B196" s="14">
        <v>371</v>
      </c>
      <c r="C196" s="4" t="s">
        <v>203</v>
      </c>
      <c r="D196" s="4" t="s">
        <v>2371</v>
      </c>
      <c r="E196" s="4" t="s">
        <v>2911</v>
      </c>
      <c r="F196" s="4" t="s">
        <v>85</v>
      </c>
      <c r="G196" s="4" t="s">
        <v>993</v>
      </c>
      <c r="H196" s="6">
        <v>3.7199999999999997E-2</v>
      </c>
      <c r="I196" s="8">
        <v>50</v>
      </c>
      <c r="J196" s="8">
        <v>50</v>
      </c>
      <c r="K196" s="8">
        <v>61</v>
      </c>
      <c r="L196" s="8">
        <f t="shared" si="3"/>
        <v>152500</v>
      </c>
      <c r="M196" s="15">
        <v>7897801300803</v>
      </c>
      <c r="N196" s="6" t="s">
        <v>20</v>
      </c>
      <c r="O196" s="6" t="s">
        <v>20</v>
      </c>
      <c r="P196" s="6" t="s">
        <v>20</v>
      </c>
      <c r="Q196" s="6">
        <v>0.23</v>
      </c>
      <c r="R196" s="6">
        <v>0.1</v>
      </c>
      <c r="S196" s="6">
        <v>0.3</v>
      </c>
      <c r="T196" s="8">
        <v>25</v>
      </c>
      <c r="U196" s="5" t="s">
        <v>994</v>
      </c>
      <c r="V196" s="89">
        <v>0</v>
      </c>
      <c r="W196" s="15">
        <v>17897801300800</v>
      </c>
      <c r="X196" s="6">
        <v>0.59</v>
      </c>
      <c r="Y196" s="6">
        <v>0.2</v>
      </c>
      <c r="Z196" s="6">
        <v>0.73</v>
      </c>
      <c r="AA196" s="6">
        <f t="shared" si="4"/>
        <v>8.6139999999999994E-2</v>
      </c>
      <c r="AB196" s="8">
        <v>500</v>
      </c>
      <c r="AC196" s="15">
        <v>27897801300807</v>
      </c>
      <c r="AD196" s="4" t="s">
        <v>992</v>
      </c>
    </row>
    <row r="197" spans="2:30" x14ac:dyDescent="0.35">
      <c r="B197" s="14">
        <v>372</v>
      </c>
      <c r="C197" s="4" t="s">
        <v>204</v>
      </c>
      <c r="D197" s="4" t="s">
        <v>2371</v>
      </c>
      <c r="E197" s="4" t="s">
        <v>2911</v>
      </c>
      <c r="F197" s="4" t="s">
        <v>85</v>
      </c>
      <c r="G197" s="4" t="s">
        <v>993</v>
      </c>
      <c r="H197" s="6">
        <v>4.4400000000000002E-2</v>
      </c>
      <c r="I197" s="8">
        <v>50</v>
      </c>
      <c r="J197" s="8">
        <v>50</v>
      </c>
      <c r="K197" s="8">
        <v>60.5</v>
      </c>
      <c r="L197" s="8">
        <f t="shared" si="3"/>
        <v>151250</v>
      </c>
      <c r="M197" s="15">
        <v>7897801302838</v>
      </c>
      <c r="N197" s="6" t="s">
        <v>20</v>
      </c>
      <c r="O197" s="6" t="s">
        <v>20</v>
      </c>
      <c r="P197" s="6" t="s">
        <v>20</v>
      </c>
      <c r="Q197" s="6">
        <v>0.15</v>
      </c>
      <c r="R197" s="6">
        <v>0.06</v>
      </c>
      <c r="S197" s="6">
        <v>0.2</v>
      </c>
      <c r="T197" s="8">
        <v>10</v>
      </c>
      <c r="U197" s="5" t="s">
        <v>994</v>
      </c>
      <c r="V197" s="89">
        <v>0</v>
      </c>
      <c r="W197" s="15">
        <v>17897801302835</v>
      </c>
      <c r="X197" s="6">
        <v>0.51</v>
      </c>
      <c r="Y197" s="6">
        <v>0.23</v>
      </c>
      <c r="Z197" s="6">
        <v>0.73</v>
      </c>
      <c r="AA197" s="6">
        <f t="shared" si="4"/>
        <v>8.5628999999999997E-2</v>
      </c>
      <c r="AB197" s="8">
        <v>480</v>
      </c>
      <c r="AC197" s="15">
        <v>27897801302832</v>
      </c>
      <c r="AD197" s="4" t="s">
        <v>992</v>
      </c>
    </row>
    <row r="198" spans="2:30" x14ac:dyDescent="0.35">
      <c r="B198" s="14">
        <v>373</v>
      </c>
      <c r="C198" s="4" t="s">
        <v>205</v>
      </c>
      <c r="D198" s="4" t="s">
        <v>2371</v>
      </c>
      <c r="E198" s="4" t="s">
        <v>2911</v>
      </c>
      <c r="F198" s="4" t="s">
        <v>85</v>
      </c>
      <c r="G198" s="4" t="s">
        <v>993</v>
      </c>
      <c r="H198" s="6">
        <v>5.6099999999999997E-2</v>
      </c>
      <c r="I198" s="8">
        <v>60</v>
      </c>
      <c r="J198" s="8">
        <v>72</v>
      </c>
      <c r="K198" s="8">
        <v>60</v>
      </c>
      <c r="L198" s="8">
        <f t="shared" si="3"/>
        <v>259200</v>
      </c>
      <c r="M198" s="15">
        <v>7897801307581</v>
      </c>
      <c r="N198" s="6" t="s">
        <v>20</v>
      </c>
      <c r="O198" s="6" t="s">
        <v>20</v>
      </c>
      <c r="P198" s="6" t="s">
        <v>20</v>
      </c>
      <c r="Q198" s="6">
        <v>0.22</v>
      </c>
      <c r="R198" s="6">
        <v>0.06</v>
      </c>
      <c r="S198" s="6">
        <v>0.23499999999999999</v>
      </c>
      <c r="T198" s="8">
        <v>10</v>
      </c>
      <c r="U198" s="5" t="s">
        <v>994</v>
      </c>
      <c r="V198" s="89">
        <v>0</v>
      </c>
      <c r="W198" s="15">
        <v>17897801307588</v>
      </c>
      <c r="X198" s="6">
        <v>0.6</v>
      </c>
      <c r="Y198" s="6">
        <v>0.21</v>
      </c>
      <c r="Z198" s="6">
        <v>0.81</v>
      </c>
      <c r="AA198" s="6">
        <f t="shared" si="4"/>
        <v>0.10206000000000001</v>
      </c>
      <c r="AB198" s="8">
        <v>280</v>
      </c>
      <c r="AC198" s="15">
        <v>27897801307585</v>
      </c>
      <c r="AD198" s="4" t="s">
        <v>992</v>
      </c>
    </row>
    <row r="199" spans="2:30" x14ac:dyDescent="0.35">
      <c r="B199" s="14">
        <v>374</v>
      </c>
      <c r="C199" s="4" t="s">
        <v>206</v>
      </c>
      <c r="D199" s="4" t="s">
        <v>2371</v>
      </c>
      <c r="E199" s="4" t="s">
        <v>2911</v>
      </c>
      <c r="F199" s="4" t="s">
        <v>85</v>
      </c>
      <c r="G199" s="4" t="s">
        <v>993</v>
      </c>
      <c r="H199" s="6">
        <v>0.06</v>
      </c>
      <c r="I199" s="8">
        <v>60</v>
      </c>
      <c r="J199" s="8">
        <v>69</v>
      </c>
      <c r="K199" s="8">
        <v>60</v>
      </c>
      <c r="L199" s="8">
        <f t="shared" si="3"/>
        <v>248400</v>
      </c>
      <c r="M199" s="15">
        <v>7897801308243</v>
      </c>
      <c r="N199" s="6" t="s">
        <v>20</v>
      </c>
      <c r="O199" s="6" t="s">
        <v>20</v>
      </c>
      <c r="P199" s="6" t="s">
        <v>20</v>
      </c>
      <c r="Q199" s="6">
        <v>0.2</v>
      </c>
      <c r="R199" s="6">
        <v>7.0000000000000007E-2</v>
      </c>
      <c r="S199" s="6">
        <v>0.25</v>
      </c>
      <c r="T199" s="8">
        <v>10</v>
      </c>
      <c r="U199" s="5" t="s">
        <v>994</v>
      </c>
      <c r="V199" s="89">
        <v>0</v>
      </c>
      <c r="W199" s="15">
        <v>17897801308240</v>
      </c>
      <c r="X199" s="6">
        <v>0.5</v>
      </c>
      <c r="Y199" s="6">
        <v>0.19</v>
      </c>
      <c r="Z199" s="6">
        <v>0.7</v>
      </c>
      <c r="AA199" s="6">
        <f t="shared" si="4"/>
        <v>6.649999999999999E-2</v>
      </c>
      <c r="AB199" s="8">
        <v>320</v>
      </c>
      <c r="AC199" s="15">
        <v>27897801308247</v>
      </c>
      <c r="AD199" s="4" t="s">
        <v>992</v>
      </c>
    </row>
    <row r="200" spans="2:30" x14ac:dyDescent="0.35">
      <c r="B200" s="14">
        <v>375</v>
      </c>
      <c r="C200" s="4" t="s">
        <v>207</v>
      </c>
      <c r="D200" s="4" t="s">
        <v>2371</v>
      </c>
      <c r="E200" s="4" t="s">
        <v>2911</v>
      </c>
      <c r="F200" s="4" t="s">
        <v>85</v>
      </c>
      <c r="G200" s="4" t="s">
        <v>993</v>
      </c>
      <c r="H200" s="6">
        <v>6.9400000000000003E-2</v>
      </c>
      <c r="I200" s="8">
        <v>60</v>
      </c>
      <c r="J200" s="8">
        <v>70.5</v>
      </c>
      <c r="K200" s="8">
        <v>60</v>
      </c>
      <c r="L200" s="8">
        <f t="shared" si="3"/>
        <v>253800</v>
      </c>
      <c r="M200" s="15">
        <v>7897801308250</v>
      </c>
      <c r="N200" s="6" t="s">
        <v>20</v>
      </c>
      <c r="O200" s="6" t="s">
        <v>20</v>
      </c>
      <c r="P200" s="6" t="s">
        <v>20</v>
      </c>
      <c r="Q200" s="6">
        <v>0.22</v>
      </c>
      <c r="R200" s="6">
        <v>7.0000000000000007E-2</v>
      </c>
      <c r="S200" s="6">
        <v>0.27</v>
      </c>
      <c r="T200" s="8">
        <v>10</v>
      </c>
      <c r="U200" s="5" t="s">
        <v>994</v>
      </c>
      <c r="V200" s="89">
        <v>0</v>
      </c>
      <c r="W200" s="15">
        <v>17897801308257</v>
      </c>
      <c r="X200" s="6">
        <v>0.56000000000000005</v>
      </c>
      <c r="Y200" s="6">
        <v>0.25</v>
      </c>
      <c r="Z200" s="6">
        <v>0.83</v>
      </c>
      <c r="AA200" s="6">
        <f t="shared" si="4"/>
        <v>0.11620000000000001</v>
      </c>
      <c r="AB200" s="8">
        <v>280</v>
      </c>
      <c r="AC200" s="15">
        <v>27897801308254</v>
      </c>
      <c r="AD200" s="4" t="s">
        <v>992</v>
      </c>
    </row>
    <row r="201" spans="2:30" x14ac:dyDescent="0.35">
      <c r="B201" s="14">
        <v>376</v>
      </c>
      <c r="C201" s="4" t="s">
        <v>208</v>
      </c>
      <c r="D201" s="4" t="s">
        <v>2371</v>
      </c>
      <c r="E201" s="4" t="s">
        <v>2911</v>
      </c>
      <c r="F201" s="4" t="s">
        <v>85</v>
      </c>
      <c r="G201" s="4" t="s">
        <v>993</v>
      </c>
      <c r="H201" s="6">
        <v>8.5599999999999996E-2</v>
      </c>
      <c r="I201" s="8">
        <v>63</v>
      </c>
      <c r="J201" s="8">
        <v>73</v>
      </c>
      <c r="K201" s="8">
        <v>63</v>
      </c>
      <c r="L201" s="8">
        <f t="shared" si="3"/>
        <v>289737</v>
      </c>
      <c r="M201" s="15">
        <v>7897801307598</v>
      </c>
      <c r="N201" s="6" t="s">
        <v>20</v>
      </c>
      <c r="O201" s="6" t="s">
        <v>20</v>
      </c>
      <c r="P201" s="6" t="s">
        <v>20</v>
      </c>
      <c r="Q201" s="6">
        <v>0.22</v>
      </c>
      <c r="R201" s="6">
        <v>0.08</v>
      </c>
      <c r="S201" s="6">
        <v>0.27</v>
      </c>
      <c r="T201" s="8">
        <v>10</v>
      </c>
      <c r="U201" s="5" t="s">
        <v>994</v>
      </c>
      <c r="V201" s="89">
        <v>0</v>
      </c>
      <c r="W201" s="15">
        <v>17897801307595</v>
      </c>
      <c r="X201" s="6">
        <v>0.56000000000000005</v>
      </c>
      <c r="Y201" s="6">
        <v>0.23499999999999999</v>
      </c>
      <c r="Z201" s="6">
        <v>0.8</v>
      </c>
      <c r="AA201" s="6">
        <f t="shared" si="4"/>
        <v>0.10528</v>
      </c>
      <c r="AB201" s="8">
        <v>200</v>
      </c>
      <c r="AC201" s="15">
        <v>27897801307592</v>
      </c>
      <c r="AD201" s="4" t="s">
        <v>992</v>
      </c>
    </row>
    <row r="202" spans="2:30" x14ac:dyDescent="0.35">
      <c r="B202" s="14">
        <v>377</v>
      </c>
      <c r="C202" s="4" t="s">
        <v>209</v>
      </c>
      <c r="D202" s="4" t="s">
        <v>2371</v>
      </c>
      <c r="E202" s="4" t="s">
        <v>2911</v>
      </c>
      <c r="F202" s="4" t="s">
        <v>85</v>
      </c>
      <c r="G202" s="4" t="s">
        <v>993</v>
      </c>
      <c r="H202" s="6">
        <v>0.114</v>
      </c>
      <c r="I202" s="8">
        <v>75</v>
      </c>
      <c r="J202" s="8">
        <v>85</v>
      </c>
      <c r="K202" s="8">
        <v>75</v>
      </c>
      <c r="L202" s="8">
        <f t="shared" si="3"/>
        <v>478125</v>
      </c>
      <c r="M202" s="15">
        <v>7897801311472</v>
      </c>
      <c r="N202" s="6" t="s">
        <v>20</v>
      </c>
      <c r="O202" s="6" t="s">
        <v>20</v>
      </c>
      <c r="P202" s="6" t="s">
        <v>20</v>
      </c>
      <c r="Q202" s="6">
        <v>0.16</v>
      </c>
      <c r="R202" s="6">
        <v>0.08</v>
      </c>
      <c r="S202" s="6">
        <v>0.2</v>
      </c>
      <c r="T202" s="8">
        <v>5</v>
      </c>
      <c r="U202" s="5" t="s">
        <v>994</v>
      </c>
      <c r="V202" s="89">
        <v>0</v>
      </c>
      <c r="W202" s="15">
        <v>17897801311479</v>
      </c>
      <c r="X202" s="6">
        <v>0.44</v>
      </c>
      <c r="Y202" s="6">
        <v>0.2</v>
      </c>
      <c r="Z202" s="6">
        <v>0.7</v>
      </c>
      <c r="AA202" s="6">
        <f t="shared" si="4"/>
        <v>6.1600000000000002E-2</v>
      </c>
      <c r="AB202" s="8">
        <v>120</v>
      </c>
      <c r="AC202" s="15">
        <v>27897801311476</v>
      </c>
      <c r="AD202" s="4" t="s">
        <v>992</v>
      </c>
    </row>
    <row r="203" spans="2:30" x14ac:dyDescent="0.35">
      <c r="B203" s="14">
        <v>378</v>
      </c>
      <c r="C203" s="4" t="s">
        <v>210</v>
      </c>
      <c r="D203" s="4" t="s">
        <v>2371</v>
      </c>
      <c r="E203" s="4" t="s">
        <v>2911</v>
      </c>
      <c r="F203" s="4" t="s">
        <v>85</v>
      </c>
      <c r="G203" s="4" t="s">
        <v>993</v>
      </c>
      <c r="H203" s="6">
        <v>0.16439999999999999</v>
      </c>
      <c r="I203" s="8">
        <v>100</v>
      </c>
      <c r="J203" s="8">
        <v>84</v>
      </c>
      <c r="K203" s="8">
        <v>84</v>
      </c>
      <c r="L203" s="8">
        <f t="shared" ref="L203:L266" si="5">J203*I203*K203</f>
        <v>705600</v>
      </c>
      <c r="M203" s="15">
        <v>7897801311236</v>
      </c>
      <c r="N203" s="6" t="s">
        <v>20</v>
      </c>
      <c r="O203" s="6" t="s">
        <v>20</v>
      </c>
      <c r="P203" s="6" t="s">
        <v>20</v>
      </c>
      <c r="Q203" s="6">
        <v>0.16500000000000001</v>
      </c>
      <c r="R203" s="6">
        <v>8.5000000000000006E-2</v>
      </c>
      <c r="S203" s="6">
        <v>0.27</v>
      </c>
      <c r="T203" s="8">
        <v>5</v>
      </c>
      <c r="U203" s="5" t="s">
        <v>994</v>
      </c>
      <c r="V203" s="89">
        <v>0</v>
      </c>
      <c r="W203" s="15">
        <v>17897801311233</v>
      </c>
      <c r="X203" s="6">
        <v>0.5</v>
      </c>
      <c r="Y203" s="6">
        <v>0.19</v>
      </c>
      <c r="Z203" s="6">
        <v>0.74</v>
      </c>
      <c r="AA203" s="6">
        <f t="shared" si="4"/>
        <v>7.0300000000000001E-2</v>
      </c>
      <c r="AB203" s="8">
        <v>80</v>
      </c>
      <c r="AC203" s="15">
        <v>27897801311230</v>
      </c>
      <c r="AD203" s="4" t="s">
        <v>992</v>
      </c>
    </row>
    <row r="204" spans="2:30" x14ac:dyDescent="0.35">
      <c r="B204" s="14">
        <v>379</v>
      </c>
      <c r="C204" s="4" t="s">
        <v>211</v>
      </c>
      <c r="D204" s="4" t="s">
        <v>2371</v>
      </c>
      <c r="E204" s="4" t="s">
        <v>2911</v>
      </c>
      <c r="F204" s="4" t="s">
        <v>85</v>
      </c>
      <c r="G204" s="4" t="s">
        <v>993</v>
      </c>
      <c r="H204" s="6">
        <v>0.46489999999999998</v>
      </c>
      <c r="I204" s="8">
        <v>111</v>
      </c>
      <c r="J204" s="8">
        <v>135</v>
      </c>
      <c r="K204" s="8">
        <v>111</v>
      </c>
      <c r="L204" s="8">
        <f t="shared" si="5"/>
        <v>1663335</v>
      </c>
      <c r="M204" s="15">
        <v>7897801311571</v>
      </c>
      <c r="N204" s="6" t="s">
        <v>20</v>
      </c>
      <c r="O204" s="6" t="s">
        <v>20</v>
      </c>
      <c r="P204" s="6" t="s">
        <v>20</v>
      </c>
      <c r="Q204" s="6">
        <v>0.22500000000000001</v>
      </c>
      <c r="R204" s="6">
        <v>0.11</v>
      </c>
      <c r="S204" s="6">
        <v>0.26</v>
      </c>
      <c r="T204" s="8">
        <v>5</v>
      </c>
      <c r="U204" s="5" t="s">
        <v>994</v>
      </c>
      <c r="V204" s="89">
        <v>0</v>
      </c>
      <c r="W204" s="15">
        <v>17897801311578</v>
      </c>
      <c r="X204" s="6">
        <v>0.43</v>
      </c>
      <c r="Y204" s="6">
        <v>0.18</v>
      </c>
      <c r="Z204" s="6">
        <v>0.65</v>
      </c>
      <c r="AA204" s="6">
        <f t="shared" si="4"/>
        <v>5.0310000000000001E-2</v>
      </c>
      <c r="AB204" s="8">
        <v>40</v>
      </c>
      <c r="AC204" s="15">
        <v>27897801311575</v>
      </c>
      <c r="AD204" s="4" t="s">
        <v>992</v>
      </c>
    </row>
    <row r="205" spans="2:30" x14ac:dyDescent="0.35">
      <c r="B205" s="14">
        <v>380</v>
      </c>
      <c r="C205" s="4" t="s">
        <v>212</v>
      </c>
      <c r="D205" s="4" t="s">
        <v>2371</v>
      </c>
      <c r="E205" s="4" t="s">
        <v>2911</v>
      </c>
      <c r="F205" s="4" t="s">
        <v>85</v>
      </c>
      <c r="G205" s="4" t="s">
        <v>993</v>
      </c>
      <c r="H205" s="6">
        <v>0.36220000000000002</v>
      </c>
      <c r="I205" s="8">
        <v>130</v>
      </c>
      <c r="J205" s="8">
        <v>112</v>
      </c>
      <c r="K205" s="8">
        <v>112</v>
      </c>
      <c r="L205" s="8">
        <f t="shared" si="5"/>
        <v>1630720</v>
      </c>
      <c r="M205" s="15">
        <v>7897801311588</v>
      </c>
      <c r="N205" s="6" t="s">
        <v>20</v>
      </c>
      <c r="O205" s="6" t="s">
        <v>20</v>
      </c>
      <c r="P205" s="6" t="s">
        <v>20</v>
      </c>
      <c r="Q205" s="6">
        <v>0.23499999999999999</v>
      </c>
      <c r="R205" s="6">
        <v>0.11</v>
      </c>
      <c r="S205" s="6">
        <v>0.28000000000000003</v>
      </c>
      <c r="T205" s="8">
        <v>5</v>
      </c>
      <c r="U205" s="5" t="s">
        <v>994</v>
      </c>
      <c r="V205" s="89">
        <v>0</v>
      </c>
      <c r="W205" s="15">
        <v>17897801311585</v>
      </c>
      <c r="X205" s="6">
        <v>0.53</v>
      </c>
      <c r="Y205" s="6">
        <v>0.22</v>
      </c>
      <c r="Z205" s="6">
        <v>0.73</v>
      </c>
      <c r="AA205" s="6">
        <f t="shared" si="4"/>
        <v>8.5117999999999999E-2</v>
      </c>
      <c r="AB205" s="8">
        <v>40</v>
      </c>
      <c r="AC205" s="15">
        <v>27897801311582</v>
      </c>
      <c r="AD205" s="4" t="s">
        <v>992</v>
      </c>
    </row>
    <row r="206" spans="2:30" x14ac:dyDescent="0.35">
      <c r="B206" s="14">
        <v>382</v>
      </c>
      <c r="C206" s="4" t="s">
        <v>213</v>
      </c>
      <c r="D206" s="4" t="s">
        <v>2371</v>
      </c>
      <c r="E206" s="4" t="s">
        <v>2911</v>
      </c>
      <c r="F206" s="4" t="s">
        <v>85</v>
      </c>
      <c r="G206" s="4" t="s">
        <v>993</v>
      </c>
      <c r="H206" s="6">
        <v>6.8999999999999999E-3</v>
      </c>
      <c r="I206" s="8">
        <v>28</v>
      </c>
      <c r="J206" s="8">
        <v>28</v>
      </c>
      <c r="K206" s="8">
        <v>20</v>
      </c>
      <c r="L206" s="8">
        <f t="shared" si="5"/>
        <v>15680</v>
      </c>
      <c r="M206" s="15">
        <v>7897801300483</v>
      </c>
      <c r="N206" s="6" t="s">
        <v>20</v>
      </c>
      <c r="O206" s="6" t="s">
        <v>20</v>
      </c>
      <c r="P206" s="6" t="s">
        <v>20</v>
      </c>
      <c r="Q206" s="6">
        <v>0.17</v>
      </c>
      <c r="R206" s="6">
        <v>2.5000000000000001E-2</v>
      </c>
      <c r="S206" s="6">
        <v>0.21</v>
      </c>
      <c r="T206" s="8">
        <v>50</v>
      </c>
      <c r="U206" s="5" t="s">
        <v>994</v>
      </c>
      <c r="V206" s="89">
        <v>0</v>
      </c>
      <c r="W206" s="15">
        <v>17897801300480</v>
      </c>
      <c r="X206" s="6">
        <v>0.5</v>
      </c>
      <c r="Y206" s="6">
        <v>0.15</v>
      </c>
      <c r="Z206" s="6">
        <v>0.69</v>
      </c>
      <c r="AA206" s="6">
        <f t="shared" si="4"/>
        <v>5.1749999999999997E-2</v>
      </c>
      <c r="AB206" s="8">
        <v>3000</v>
      </c>
      <c r="AC206" s="15">
        <v>47897801300481</v>
      </c>
      <c r="AD206" s="4" t="s">
        <v>992</v>
      </c>
    </row>
    <row r="207" spans="2:30" x14ac:dyDescent="0.35">
      <c r="B207" s="14">
        <v>383</v>
      </c>
      <c r="C207" s="4" t="s">
        <v>214</v>
      </c>
      <c r="D207" s="4" t="s">
        <v>2371</v>
      </c>
      <c r="E207" s="4" t="s">
        <v>2911</v>
      </c>
      <c r="F207" s="4" t="s">
        <v>85</v>
      </c>
      <c r="G207" s="4" t="s">
        <v>993</v>
      </c>
      <c r="H207" s="6">
        <v>1.12E-2</v>
      </c>
      <c r="I207" s="8">
        <v>25</v>
      </c>
      <c r="J207" s="8">
        <v>25</v>
      </c>
      <c r="K207" s="8">
        <v>33.799999999999997</v>
      </c>
      <c r="L207" s="8">
        <f t="shared" si="5"/>
        <v>21125</v>
      </c>
      <c r="M207" s="15">
        <v>7897801300513</v>
      </c>
      <c r="N207" s="6" t="s">
        <v>20</v>
      </c>
      <c r="O207" s="6" t="s">
        <v>20</v>
      </c>
      <c r="P207" s="6" t="s">
        <v>20</v>
      </c>
      <c r="Q207" s="6">
        <v>0.18</v>
      </c>
      <c r="R207" s="6">
        <v>0.04</v>
      </c>
      <c r="S207" s="6">
        <v>0.21</v>
      </c>
      <c r="T207" s="8">
        <v>50</v>
      </c>
      <c r="U207" s="5" t="s">
        <v>994</v>
      </c>
      <c r="V207" s="89">
        <v>0</v>
      </c>
      <c r="W207" s="15">
        <v>17897801300510</v>
      </c>
      <c r="X207" s="6">
        <v>0.59</v>
      </c>
      <c r="Y207" s="6">
        <v>0.17</v>
      </c>
      <c r="Z207" s="6">
        <v>0.8</v>
      </c>
      <c r="AA207" s="6">
        <f t="shared" ref="AA207:AA270" si="6">Y207*X207*Z207</f>
        <v>8.0240000000000006E-2</v>
      </c>
      <c r="AB207" s="8">
        <v>2000</v>
      </c>
      <c r="AC207" s="15">
        <v>47897801300511</v>
      </c>
      <c r="AD207" s="4" t="s">
        <v>992</v>
      </c>
    </row>
    <row r="208" spans="2:30" x14ac:dyDescent="0.35">
      <c r="B208" s="14">
        <v>384</v>
      </c>
      <c r="C208" s="4" t="s">
        <v>215</v>
      </c>
      <c r="D208" s="4" t="s">
        <v>2371</v>
      </c>
      <c r="E208" s="4" t="s">
        <v>2911</v>
      </c>
      <c r="F208" s="4" t="s">
        <v>85</v>
      </c>
      <c r="G208" s="4" t="s">
        <v>993</v>
      </c>
      <c r="H208" s="6">
        <v>1.95E-2</v>
      </c>
      <c r="I208" s="8">
        <v>42</v>
      </c>
      <c r="J208" s="8">
        <v>42</v>
      </c>
      <c r="K208" s="8">
        <v>30</v>
      </c>
      <c r="L208" s="8">
        <f t="shared" si="5"/>
        <v>52920</v>
      </c>
      <c r="M208" s="15">
        <v>7897801302845</v>
      </c>
      <c r="N208" s="6" t="s">
        <v>20</v>
      </c>
      <c r="O208" s="6" t="s">
        <v>20</v>
      </c>
      <c r="P208" s="6" t="s">
        <v>20</v>
      </c>
      <c r="Q208" s="6">
        <v>0.18</v>
      </c>
      <c r="R208" s="6">
        <v>4.4999999999999998E-2</v>
      </c>
      <c r="S208" s="6">
        <v>0.22</v>
      </c>
      <c r="T208" s="8">
        <v>25</v>
      </c>
      <c r="U208" s="5" t="s">
        <v>994</v>
      </c>
      <c r="V208" s="89">
        <v>0</v>
      </c>
      <c r="W208" s="15">
        <v>17897801302842</v>
      </c>
      <c r="X208" s="6">
        <v>0.49</v>
      </c>
      <c r="Y208" s="6">
        <v>0.2</v>
      </c>
      <c r="Z208" s="6">
        <v>0.69</v>
      </c>
      <c r="AA208" s="6">
        <f t="shared" si="6"/>
        <v>6.762E-2</v>
      </c>
      <c r="AB208" s="8">
        <v>1000</v>
      </c>
      <c r="AC208" s="15">
        <v>47897801302843</v>
      </c>
      <c r="AD208" s="4" t="s">
        <v>992</v>
      </c>
    </row>
    <row r="209" spans="2:30" x14ac:dyDescent="0.35">
      <c r="B209" s="14">
        <v>385</v>
      </c>
      <c r="C209" s="4" t="s">
        <v>216</v>
      </c>
      <c r="D209" s="4" t="s">
        <v>2371</v>
      </c>
      <c r="E209" s="4" t="s">
        <v>2911</v>
      </c>
      <c r="F209" s="4" t="s">
        <v>85</v>
      </c>
      <c r="G209" s="4" t="s">
        <v>993</v>
      </c>
      <c r="H209" s="6">
        <v>3.2300000000000002E-2</v>
      </c>
      <c r="I209" s="8">
        <v>51.6</v>
      </c>
      <c r="J209" s="8">
        <v>36</v>
      </c>
      <c r="K209" s="8">
        <v>51.6</v>
      </c>
      <c r="L209" s="8">
        <f t="shared" si="5"/>
        <v>95852.160000000003</v>
      </c>
      <c r="M209" s="15">
        <v>7897801307208</v>
      </c>
      <c r="N209" s="6" t="s">
        <v>20</v>
      </c>
      <c r="O209" s="6" t="s">
        <v>20</v>
      </c>
      <c r="P209" s="6" t="s">
        <v>20</v>
      </c>
      <c r="Q209" s="6">
        <v>0.2</v>
      </c>
      <c r="R209" s="6">
        <v>0.06</v>
      </c>
      <c r="S209" s="6">
        <v>0.13</v>
      </c>
      <c r="T209" s="8">
        <v>10</v>
      </c>
      <c r="U209" s="5" t="s">
        <v>994</v>
      </c>
      <c r="V209" s="89">
        <v>0</v>
      </c>
      <c r="W209" s="15">
        <v>17897801307205</v>
      </c>
      <c r="X209" s="6">
        <v>0.6</v>
      </c>
      <c r="Y209" s="6">
        <v>0.2</v>
      </c>
      <c r="Z209" s="6">
        <v>0.81</v>
      </c>
      <c r="AA209" s="6">
        <f t="shared" si="6"/>
        <v>9.7200000000000009E-2</v>
      </c>
      <c r="AB209" s="8">
        <v>600</v>
      </c>
      <c r="AC209" s="15">
        <v>27897801307202</v>
      </c>
      <c r="AD209" s="4" t="s">
        <v>992</v>
      </c>
    </row>
    <row r="210" spans="2:30" x14ac:dyDescent="0.35">
      <c r="B210" s="14">
        <v>386</v>
      </c>
      <c r="C210" s="4" t="s">
        <v>217</v>
      </c>
      <c r="D210" s="4" t="s">
        <v>2371</v>
      </c>
      <c r="E210" s="4" t="s">
        <v>2911</v>
      </c>
      <c r="F210" s="4" t="s">
        <v>85</v>
      </c>
      <c r="G210" s="4" t="s">
        <v>993</v>
      </c>
      <c r="H210" s="6">
        <v>4.87E-2</v>
      </c>
      <c r="I210" s="8">
        <v>63</v>
      </c>
      <c r="J210" s="8">
        <v>63</v>
      </c>
      <c r="K210" s="8">
        <v>41.5</v>
      </c>
      <c r="L210" s="8">
        <f t="shared" si="5"/>
        <v>164713.5</v>
      </c>
      <c r="M210" s="15">
        <v>7897801301961</v>
      </c>
      <c r="N210" s="6" t="s">
        <v>20</v>
      </c>
      <c r="O210" s="6" t="s">
        <v>20</v>
      </c>
      <c r="P210" s="6" t="s">
        <v>20</v>
      </c>
      <c r="Q210" s="6">
        <v>0.16</v>
      </c>
      <c r="R210" s="6">
        <v>7.0000000000000007E-2</v>
      </c>
      <c r="S210" s="6">
        <v>0.22</v>
      </c>
      <c r="T210" s="8">
        <v>10</v>
      </c>
      <c r="U210" s="5" t="s">
        <v>994</v>
      </c>
      <c r="V210" s="89">
        <v>0</v>
      </c>
      <c r="W210" s="15">
        <v>17897801301968</v>
      </c>
      <c r="X210" s="6">
        <v>0.5</v>
      </c>
      <c r="Y210" s="6">
        <v>0.2</v>
      </c>
      <c r="Z210" s="6">
        <v>0.75</v>
      </c>
      <c r="AA210" s="6">
        <f t="shared" si="6"/>
        <v>7.5000000000000011E-2</v>
      </c>
      <c r="AB210" s="8">
        <v>450</v>
      </c>
      <c r="AC210" s="15">
        <v>47897801301969</v>
      </c>
      <c r="AD210" s="4" t="s">
        <v>992</v>
      </c>
    </row>
    <row r="211" spans="2:30" x14ac:dyDescent="0.35">
      <c r="B211" s="14">
        <v>387</v>
      </c>
      <c r="C211" s="4" t="s">
        <v>218</v>
      </c>
      <c r="D211" s="4" t="s">
        <v>2371</v>
      </c>
      <c r="E211" s="4" t="s">
        <v>2911</v>
      </c>
      <c r="F211" s="4" t="s">
        <v>85</v>
      </c>
      <c r="G211" s="4" t="s">
        <v>993</v>
      </c>
      <c r="H211" s="6">
        <v>7.8600000000000003E-2</v>
      </c>
      <c r="I211" s="8">
        <v>74</v>
      </c>
      <c r="J211" s="8">
        <v>50</v>
      </c>
      <c r="K211" s="8">
        <v>74</v>
      </c>
      <c r="L211" s="8">
        <f t="shared" si="5"/>
        <v>273800</v>
      </c>
      <c r="M211" s="15">
        <v>7897801307543</v>
      </c>
      <c r="N211" s="6" t="s">
        <v>20</v>
      </c>
      <c r="O211" s="6" t="s">
        <v>20</v>
      </c>
      <c r="P211" s="6" t="s">
        <v>20</v>
      </c>
      <c r="Q211" s="6">
        <v>0.2</v>
      </c>
      <c r="R211" s="6">
        <v>0.08</v>
      </c>
      <c r="S211" s="6">
        <v>0.25</v>
      </c>
      <c r="T211" s="8">
        <v>10</v>
      </c>
      <c r="U211" s="5" t="s">
        <v>994</v>
      </c>
      <c r="V211" s="89">
        <v>0</v>
      </c>
      <c r="W211" s="15">
        <v>17897801307540</v>
      </c>
      <c r="X211" s="6">
        <v>0.5</v>
      </c>
      <c r="Y211" s="6">
        <v>0.2</v>
      </c>
      <c r="Z211" s="6">
        <v>0.7</v>
      </c>
      <c r="AA211" s="6">
        <f t="shared" si="6"/>
        <v>6.9999999999999993E-2</v>
      </c>
      <c r="AB211" s="8">
        <v>250</v>
      </c>
      <c r="AC211" s="15">
        <v>47897801307541</v>
      </c>
      <c r="AD211" s="4" t="s">
        <v>992</v>
      </c>
    </row>
    <row r="212" spans="2:30" x14ac:dyDescent="0.35">
      <c r="B212" s="14">
        <v>388</v>
      </c>
      <c r="C212" s="4" t="s">
        <v>219</v>
      </c>
      <c r="D212" s="4" t="s">
        <v>2371</v>
      </c>
      <c r="E212" s="4" t="s">
        <v>2911</v>
      </c>
      <c r="F212" s="4" t="s">
        <v>85</v>
      </c>
      <c r="G212" s="4" t="s">
        <v>993</v>
      </c>
      <c r="H212" s="6">
        <v>0.1484</v>
      </c>
      <c r="I212" s="8">
        <v>60</v>
      </c>
      <c r="J212" s="8">
        <v>90</v>
      </c>
      <c r="K212" s="8">
        <v>90</v>
      </c>
      <c r="L212" s="8">
        <f t="shared" si="5"/>
        <v>486000</v>
      </c>
      <c r="M212" s="15">
        <v>7897801311090</v>
      </c>
      <c r="N212" s="6" t="s">
        <v>20</v>
      </c>
      <c r="O212" s="6" t="s">
        <v>20</v>
      </c>
      <c r="P212" s="6" t="s">
        <v>20</v>
      </c>
      <c r="Q212" s="6">
        <v>0.23</v>
      </c>
      <c r="R212" s="6">
        <v>0.05</v>
      </c>
      <c r="S212" s="6">
        <v>0.24</v>
      </c>
      <c r="T212" s="8">
        <v>5</v>
      </c>
      <c r="U212" s="5" t="s">
        <v>994</v>
      </c>
      <c r="V212" s="89">
        <v>0</v>
      </c>
      <c r="W212" s="15">
        <v>17897801311097</v>
      </c>
      <c r="X212" s="6">
        <v>0.49</v>
      </c>
      <c r="Y212" s="6">
        <v>0.21</v>
      </c>
      <c r="Z212" s="6">
        <v>0.7</v>
      </c>
      <c r="AA212" s="6">
        <f t="shared" si="6"/>
        <v>7.2029999999999983E-2</v>
      </c>
      <c r="AB212" s="8">
        <v>100</v>
      </c>
      <c r="AC212" s="15">
        <v>27897801311094</v>
      </c>
      <c r="AD212" s="4" t="s">
        <v>992</v>
      </c>
    </row>
    <row r="213" spans="2:30" x14ac:dyDescent="0.35">
      <c r="B213" s="14">
        <v>389</v>
      </c>
      <c r="C213" s="4" t="s">
        <v>220</v>
      </c>
      <c r="D213" s="4" t="s">
        <v>2371</v>
      </c>
      <c r="E213" s="4" t="s">
        <v>2911</v>
      </c>
      <c r="F213" s="4" t="s">
        <v>85</v>
      </c>
      <c r="G213" s="4" t="s">
        <v>993</v>
      </c>
      <c r="H213" s="6">
        <v>0.19869999999999999</v>
      </c>
      <c r="I213" s="8">
        <v>55</v>
      </c>
      <c r="J213" s="8">
        <v>102</v>
      </c>
      <c r="K213" s="8">
        <v>102</v>
      </c>
      <c r="L213" s="8">
        <f t="shared" si="5"/>
        <v>572220</v>
      </c>
      <c r="M213" s="15">
        <v>7897801311106</v>
      </c>
      <c r="N213" s="6" t="s">
        <v>20</v>
      </c>
      <c r="O213" s="6" t="s">
        <v>20</v>
      </c>
      <c r="P213" s="6" t="s">
        <v>20</v>
      </c>
      <c r="Q213" s="6">
        <v>0.23</v>
      </c>
      <c r="R213" s="6">
        <v>0.1</v>
      </c>
      <c r="S213" s="6">
        <v>0.27</v>
      </c>
      <c r="T213" s="8">
        <v>5</v>
      </c>
      <c r="U213" s="5" t="s">
        <v>994</v>
      </c>
      <c r="V213" s="89">
        <v>0</v>
      </c>
      <c r="W213" s="15">
        <v>17897801311103</v>
      </c>
      <c r="X213" s="6">
        <v>0.48</v>
      </c>
      <c r="Y213" s="6">
        <v>0.21</v>
      </c>
      <c r="Z213" s="6">
        <v>0.74</v>
      </c>
      <c r="AA213" s="6">
        <f t="shared" si="6"/>
        <v>7.4591999999999992E-2</v>
      </c>
      <c r="AB213" s="8">
        <v>80</v>
      </c>
      <c r="AC213" s="15">
        <v>27897801311100</v>
      </c>
      <c r="AD213" s="4" t="s">
        <v>992</v>
      </c>
    </row>
    <row r="214" spans="2:30" x14ac:dyDescent="0.35">
      <c r="B214" s="14">
        <v>390</v>
      </c>
      <c r="C214" s="4" t="s">
        <v>221</v>
      </c>
      <c r="D214" s="4" t="s">
        <v>2371</v>
      </c>
      <c r="E214" s="4" t="s">
        <v>2911</v>
      </c>
      <c r="F214" s="4" t="s">
        <v>85</v>
      </c>
      <c r="G214" s="4" t="s">
        <v>993</v>
      </c>
      <c r="H214" s="6">
        <v>0.34429999999999999</v>
      </c>
      <c r="I214" s="8">
        <v>75</v>
      </c>
      <c r="J214" s="8">
        <v>130</v>
      </c>
      <c r="K214" s="8">
        <v>130</v>
      </c>
      <c r="L214" s="8">
        <f t="shared" si="5"/>
        <v>1267500</v>
      </c>
      <c r="M214" s="15">
        <v>7897801311113</v>
      </c>
      <c r="N214" s="6" t="s">
        <v>20</v>
      </c>
      <c r="O214" s="6" t="s">
        <v>20</v>
      </c>
      <c r="P214" s="6" t="s">
        <v>20</v>
      </c>
      <c r="Q214" s="6">
        <v>0.23</v>
      </c>
      <c r="R214" s="6">
        <v>0.13</v>
      </c>
      <c r="S214" s="6">
        <v>0.34</v>
      </c>
      <c r="T214" s="8">
        <v>5</v>
      </c>
      <c r="U214" s="5" t="s">
        <v>994</v>
      </c>
      <c r="V214" s="89">
        <v>0</v>
      </c>
      <c r="W214" s="15">
        <v>17897801311110</v>
      </c>
      <c r="X214" s="6">
        <v>0.5</v>
      </c>
      <c r="Y214" s="6">
        <v>0.27</v>
      </c>
      <c r="Z214" s="6">
        <v>0.76</v>
      </c>
      <c r="AA214" s="6">
        <f t="shared" si="6"/>
        <v>0.10260000000000001</v>
      </c>
      <c r="AB214" s="8">
        <v>45</v>
      </c>
      <c r="AC214" s="15">
        <v>27897801311117</v>
      </c>
      <c r="AD214" s="4" t="s">
        <v>992</v>
      </c>
    </row>
    <row r="215" spans="2:30" x14ac:dyDescent="0.35">
      <c r="B215" s="14">
        <v>393</v>
      </c>
      <c r="C215" s="4" t="s">
        <v>222</v>
      </c>
      <c r="D215" s="4" t="s">
        <v>2371</v>
      </c>
      <c r="E215" s="4" t="s">
        <v>2911</v>
      </c>
      <c r="F215" s="4" t="s">
        <v>85</v>
      </c>
      <c r="G215" s="4" t="s">
        <v>993</v>
      </c>
      <c r="H215" s="6">
        <v>1.44E-2</v>
      </c>
      <c r="I215" s="8">
        <v>92</v>
      </c>
      <c r="J215" s="8">
        <v>32</v>
      </c>
      <c r="K215" s="8">
        <v>25</v>
      </c>
      <c r="L215" s="8">
        <f t="shared" si="5"/>
        <v>73600</v>
      </c>
      <c r="M215" s="15">
        <v>7897801310765</v>
      </c>
      <c r="N215" s="6" t="s">
        <v>20</v>
      </c>
      <c r="O215" s="6" t="s">
        <v>20</v>
      </c>
      <c r="P215" s="6" t="s">
        <v>20</v>
      </c>
      <c r="Q215" s="6">
        <v>0.15</v>
      </c>
      <c r="R215" s="6">
        <v>7.0000000000000007E-2</v>
      </c>
      <c r="S215" s="6">
        <v>0.245</v>
      </c>
      <c r="T215" s="8">
        <v>20</v>
      </c>
      <c r="U215" s="5" t="s">
        <v>994</v>
      </c>
      <c r="V215" s="89">
        <v>0</v>
      </c>
      <c r="W215" s="15">
        <v>17897801310762</v>
      </c>
      <c r="X215" s="6">
        <v>0.4</v>
      </c>
      <c r="Y215" s="6">
        <v>0.12</v>
      </c>
      <c r="Z215" s="6">
        <v>0.49</v>
      </c>
      <c r="AA215" s="6">
        <f t="shared" si="6"/>
        <v>2.3519999999999999E-2</v>
      </c>
      <c r="AB215" s="8">
        <v>200</v>
      </c>
      <c r="AC215" s="15">
        <v>27897801310769</v>
      </c>
      <c r="AD215" s="4" t="s">
        <v>992</v>
      </c>
    </row>
    <row r="216" spans="2:30" x14ac:dyDescent="0.35">
      <c r="B216" s="14">
        <v>394</v>
      </c>
      <c r="C216" s="4" t="s">
        <v>223</v>
      </c>
      <c r="D216" s="4" t="s">
        <v>2371</v>
      </c>
      <c r="E216" s="4" t="s">
        <v>2911</v>
      </c>
      <c r="F216" s="4" t="s">
        <v>85</v>
      </c>
      <c r="G216" s="4" t="s">
        <v>993</v>
      </c>
      <c r="H216" s="6">
        <v>4.4499999999999998E-2</v>
      </c>
      <c r="I216" s="8">
        <v>120</v>
      </c>
      <c r="J216" s="8">
        <v>40</v>
      </c>
      <c r="K216" s="8">
        <v>30</v>
      </c>
      <c r="L216" s="8">
        <f t="shared" si="5"/>
        <v>144000</v>
      </c>
      <c r="M216" s="15">
        <v>7897801310772</v>
      </c>
      <c r="N216" s="6" t="s">
        <v>20</v>
      </c>
      <c r="O216" s="6" t="s">
        <v>20</v>
      </c>
      <c r="P216" s="6" t="s">
        <v>20</v>
      </c>
      <c r="Q216" s="6">
        <v>0.25</v>
      </c>
      <c r="R216" s="6">
        <v>0.09</v>
      </c>
      <c r="S216" s="6">
        <v>0.28999999999999998</v>
      </c>
      <c r="T216" s="8">
        <v>25</v>
      </c>
      <c r="U216" s="5" t="s">
        <v>994</v>
      </c>
      <c r="V216" s="89">
        <v>0</v>
      </c>
      <c r="W216" s="15">
        <v>17897801310779</v>
      </c>
      <c r="X216" s="6">
        <v>0.53</v>
      </c>
      <c r="Y216" s="6">
        <v>0.18</v>
      </c>
      <c r="Z216" s="6">
        <v>0.77</v>
      </c>
      <c r="AA216" s="6">
        <f t="shared" si="6"/>
        <v>7.3457999999999996E-2</v>
      </c>
      <c r="AB216" s="8">
        <v>375</v>
      </c>
      <c r="AC216" s="15">
        <v>27897801310776</v>
      </c>
      <c r="AD216" s="4" t="s">
        <v>992</v>
      </c>
    </row>
    <row r="217" spans="2:30" x14ac:dyDescent="0.35">
      <c r="B217" s="14">
        <v>395</v>
      </c>
      <c r="C217" s="4" t="s">
        <v>224</v>
      </c>
      <c r="D217" s="4" t="s">
        <v>2371</v>
      </c>
      <c r="E217" s="4" t="s">
        <v>2911</v>
      </c>
      <c r="F217" s="4" t="s">
        <v>85</v>
      </c>
      <c r="G217" s="4" t="s">
        <v>993</v>
      </c>
      <c r="H217" s="6">
        <v>4.3999999999999997E-2</v>
      </c>
      <c r="I217" s="8">
        <v>35</v>
      </c>
      <c r="J217" s="8">
        <v>125</v>
      </c>
      <c r="K217" s="8">
        <v>75</v>
      </c>
      <c r="L217" s="8">
        <f t="shared" si="5"/>
        <v>328125</v>
      </c>
      <c r="M217" s="15">
        <v>7897801310789</v>
      </c>
      <c r="N217" s="6" t="s">
        <v>20</v>
      </c>
      <c r="O217" s="6" t="s">
        <v>20</v>
      </c>
      <c r="P217" s="6" t="s">
        <v>20</v>
      </c>
      <c r="Q217" s="6">
        <v>0.2</v>
      </c>
      <c r="R217" s="6">
        <v>0.1</v>
      </c>
      <c r="S217" s="6">
        <v>0.24</v>
      </c>
      <c r="T217" s="8">
        <v>10</v>
      </c>
      <c r="U217" s="5" t="s">
        <v>994</v>
      </c>
      <c r="V217" s="89">
        <v>0</v>
      </c>
      <c r="W217" s="15">
        <v>17897801310786</v>
      </c>
      <c r="X217" s="6">
        <v>0.44</v>
      </c>
      <c r="Y217" s="6">
        <v>0.15</v>
      </c>
      <c r="Z217" s="6">
        <v>0.55000000000000004</v>
      </c>
      <c r="AA217" s="6">
        <f t="shared" si="6"/>
        <v>3.6300000000000006E-2</v>
      </c>
      <c r="AB217" s="8">
        <v>120</v>
      </c>
      <c r="AC217" s="15">
        <v>27897801310783</v>
      </c>
      <c r="AD217" s="4" t="s">
        <v>992</v>
      </c>
    </row>
    <row r="218" spans="2:30" x14ac:dyDescent="0.35">
      <c r="B218" s="14">
        <v>396</v>
      </c>
      <c r="C218" s="4" t="s">
        <v>225</v>
      </c>
      <c r="D218" s="4" t="s">
        <v>2371</v>
      </c>
      <c r="E218" s="4" t="s">
        <v>2911</v>
      </c>
      <c r="F218" s="4" t="s">
        <v>85</v>
      </c>
      <c r="G218" s="4" t="s">
        <v>993</v>
      </c>
      <c r="H218" s="6">
        <v>8.2400000000000001E-2</v>
      </c>
      <c r="I218" s="8">
        <v>45</v>
      </c>
      <c r="J218" s="8">
        <v>158</v>
      </c>
      <c r="K218" s="8">
        <v>110</v>
      </c>
      <c r="L218" s="8">
        <f t="shared" si="5"/>
        <v>782100</v>
      </c>
      <c r="M218" s="15">
        <v>7897801310796</v>
      </c>
      <c r="N218" s="6" t="s">
        <v>20</v>
      </c>
      <c r="O218" s="6" t="s">
        <v>20</v>
      </c>
      <c r="P218" s="6" t="s">
        <v>20</v>
      </c>
      <c r="Q218" s="6">
        <v>0.17</v>
      </c>
      <c r="R218" s="6">
        <v>0.05</v>
      </c>
      <c r="S218" s="6">
        <v>0.21</v>
      </c>
      <c r="T218" s="8">
        <v>5</v>
      </c>
      <c r="U218" s="5" t="s">
        <v>994</v>
      </c>
      <c r="V218" s="89">
        <v>0</v>
      </c>
      <c r="W218" s="15">
        <v>17897801310793</v>
      </c>
      <c r="X218" s="6">
        <v>0.39</v>
      </c>
      <c r="Y218" s="6">
        <v>0.17</v>
      </c>
      <c r="Z218" s="6">
        <v>0.65</v>
      </c>
      <c r="AA218" s="6">
        <f t="shared" si="6"/>
        <v>4.3095000000000008E-2</v>
      </c>
      <c r="AB218" s="8">
        <v>60</v>
      </c>
      <c r="AC218" s="15">
        <v>27897801310790</v>
      </c>
      <c r="AD218" s="4" t="s">
        <v>992</v>
      </c>
    </row>
    <row r="219" spans="2:30" x14ac:dyDescent="0.35">
      <c r="B219" s="14">
        <v>397</v>
      </c>
      <c r="C219" s="4" t="s">
        <v>226</v>
      </c>
      <c r="D219" s="4" t="s">
        <v>2371</v>
      </c>
      <c r="E219" s="4" t="s">
        <v>2911</v>
      </c>
      <c r="F219" s="4" t="s">
        <v>85</v>
      </c>
      <c r="G219" s="4" t="s">
        <v>993</v>
      </c>
      <c r="H219" s="6">
        <v>0.1469</v>
      </c>
      <c r="I219" s="8">
        <v>190</v>
      </c>
      <c r="J219" s="8">
        <v>54</v>
      </c>
      <c r="K219" s="8">
        <v>75</v>
      </c>
      <c r="L219" s="8">
        <f t="shared" si="5"/>
        <v>769500</v>
      </c>
      <c r="M219" s="15">
        <v>7897801310802</v>
      </c>
      <c r="N219" s="6" t="s">
        <v>20</v>
      </c>
      <c r="O219" s="6" t="s">
        <v>20</v>
      </c>
      <c r="P219" s="6" t="s">
        <v>20</v>
      </c>
      <c r="Q219" s="6">
        <v>0.22</v>
      </c>
      <c r="R219" s="6">
        <v>0.06</v>
      </c>
      <c r="S219" s="6">
        <v>0.33</v>
      </c>
      <c r="T219" s="8">
        <v>5</v>
      </c>
      <c r="U219" s="5" t="s">
        <v>994</v>
      </c>
      <c r="V219" s="89">
        <v>0</v>
      </c>
      <c r="W219" s="15">
        <v>17897801310809</v>
      </c>
      <c r="X219" s="6">
        <v>0.44</v>
      </c>
      <c r="Y219" s="6">
        <v>0.15</v>
      </c>
      <c r="Z219" s="6">
        <v>0.56000000000000005</v>
      </c>
      <c r="AA219" s="6">
        <f t="shared" si="6"/>
        <v>3.6960000000000007E-2</v>
      </c>
      <c r="AB219" s="8">
        <v>30</v>
      </c>
      <c r="AC219" s="15">
        <v>27897801310806</v>
      </c>
      <c r="AD219" s="4" t="s">
        <v>992</v>
      </c>
    </row>
    <row r="220" spans="2:30" x14ac:dyDescent="0.35">
      <c r="B220" s="14">
        <v>398</v>
      </c>
      <c r="C220" s="4" t="s">
        <v>227</v>
      </c>
      <c r="D220" s="4" t="s">
        <v>2371</v>
      </c>
      <c r="E220" s="4" t="s">
        <v>2911</v>
      </c>
      <c r="F220" s="4" t="s">
        <v>85</v>
      </c>
      <c r="G220" s="4" t="s">
        <v>993</v>
      </c>
      <c r="H220" s="6">
        <v>0.2024</v>
      </c>
      <c r="I220" s="8">
        <v>240</v>
      </c>
      <c r="J220" s="8">
        <v>11</v>
      </c>
      <c r="K220" s="8">
        <v>70</v>
      </c>
      <c r="L220" s="8">
        <f t="shared" si="5"/>
        <v>184800</v>
      </c>
      <c r="M220" s="15">
        <v>7897801310819</v>
      </c>
      <c r="N220" s="6" t="s">
        <v>20</v>
      </c>
      <c r="O220" s="6" t="s">
        <v>20</v>
      </c>
      <c r="P220" s="6" t="s">
        <v>20</v>
      </c>
      <c r="Q220" s="6">
        <v>0.23499999999999999</v>
      </c>
      <c r="R220" s="6">
        <v>0.13500000000000001</v>
      </c>
      <c r="S220" s="6">
        <v>0.28000000000000003</v>
      </c>
      <c r="T220" s="8">
        <v>5</v>
      </c>
      <c r="U220" s="5" t="s">
        <v>994</v>
      </c>
      <c r="V220" s="89">
        <v>0</v>
      </c>
      <c r="W220" s="15">
        <v>17897801310816</v>
      </c>
      <c r="X220" s="6">
        <v>0.42</v>
      </c>
      <c r="Y220" s="6">
        <v>0.13500000000000001</v>
      </c>
      <c r="Z220" s="6">
        <v>0.56999999999999995</v>
      </c>
      <c r="AA220" s="6">
        <f t="shared" si="6"/>
        <v>3.2319000000000001E-2</v>
      </c>
      <c r="AB220" s="8">
        <v>15</v>
      </c>
      <c r="AC220" s="15">
        <v>27897801310813</v>
      </c>
      <c r="AD220" s="4" t="s">
        <v>992</v>
      </c>
    </row>
    <row r="221" spans="2:30" x14ac:dyDescent="0.35">
      <c r="B221" s="14">
        <v>399</v>
      </c>
      <c r="C221" s="4" t="s">
        <v>228</v>
      </c>
      <c r="D221" s="4" t="s">
        <v>2371</v>
      </c>
      <c r="E221" s="4" t="s">
        <v>2911</v>
      </c>
      <c r="F221" s="4" t="s">
        <v>85</v>
      </c>
      <c r="G221" s="4" t="s">
        <v>993</v>
      </c>
      <c r="H221" s="6">
        <v>0.39600000000000002</v>
      </c>
      <c r="I221" s="8">
        <v>83</v>
      </c>
      <c r="J221" s="8">
        <v>260</v>
      </c>
      <c r="K221" s="8">
        <v>170</v>
      </c>
      <c r="L221" s="8">
        <f t="shared" si="5"/>
        <v>3668600</v>
      </c>
      <c r="M221" s="15">
        <v>7897801310826</v>
      </c>
      <c r="N221" s="6" t="s">
        <v>20</v>
      </c>
      <c r="O221" s="6" t="s">
        <v>20</v>
      </c>
      <c r="P221" s="6" t="s">
        <v>20</v>
      </c>
      <c r="Q221" s="6">
        <v>0.17</v>
      </c>
      <c r="R221" s="6">
        <v>8.5000000000000006E-2</v>
      </c>
      <c r="S221" s="6">
        <v>0.26500000000000001</v>
      </c>
      <c r="T221" s="8">
        <v>1</v>
      </c>
      <c r="U221" s="5" t="s">
        <v>994</v>
      </c>
      <c r="V221" s="89">
        <v>0</v>
      </c>
      <c r="W221" s="15">
        <v>17897801310823</v>
      </c>
      <c r="X221" s="6">
        <v>0.43</v>
      </c>
      <c r="Y221" s="6">
        <v>0.17</v>
      </c>
      <c r="Z221" s="6">
        <v>0.5</v>
      </c>
      <c r="AA221" s="6">
        <f t="shared" si="6"/>
        <v>3.6549999999999999E-2</v>
      </c>
      <c r="AB221" s="8">
        <v>10</v>
      </c>
      <c r="AC221" s="15">
        <v>27897801310820</v>
      </c>
      <c r="AD221" s="4" t="s">
        <v>992</v>
      </c>
    </row>
    <row r="222" spans="2:30" x14ac:dyDescent="0.35">
      <c r="B222" s="14">
        <v>400</v>
      </c>
      <c r="C222" s="4" t="s">
        <v>229</v>
      </c>
      <c r="D222" s="4" t="s">
        <v>2371</v>
      </c>
      <c r="E222" s="4" t="s">
        <v>2911</v>
      </c>
      <c r="F222" s="4" t="s">
        <v>85</v>
      </c>
      <c r="G222" s="4" t="s">
        <v>993</v>
      </c>
      <c r="H222" s="6">
        <v>0.61419999999999997</v>
      </c>
      <c r="I222" s="8">
        <v>30</v>
      </c>
      <c r="J222" s="8">
        <v>130</v>
      </c>
      <c r="K222" s="8">
        <v>95</v>
      </c>
      <c r="L222" s="8">
        <f t="shared" si="5"/>
        <v>370500</v>
      </c>
      <c r="M222" s="15">
        <v>7897801310833</v>
      </c>
      <c r="N222" s="6" t="s">
        <v>20</v>
      </c>
      <c r="O222" s="6" t="s">
        <v>20</v>
      </c>
      <c r="P222" s="6" t="s">
        <v>20</v>
      </c>
      <c r="Q222" s="6">
        <v>0.19500000000000001</v>
      </c>
      <c r="R222" s="6">
        <v>9.5000000000000001E-2</v>
      </c>
      <c r="S222" s="6">
        <v>0.3</v>
      </c>
      <c r="T222" s="8">
        <v>1</v>
      </c>
      <c r="U222" s="5" t="s">
        <v>994</v>
      </c>
      <c r="V222" s="89">
        <v>0</v>
      </c>
      <c r="W222" s="15">
        <v>17897801310830</v>
      </c>
      <c r="X222" s="6">
        <v>0.43</v>
      </c>
      <c r="Y222" s="6">
        <v>0.19</v>
      </c>
      <c r="Z222" s="6">
        <v>0.68500000000000005</v>
      </c>
      <c r="AA222" s="6">
        <f t="shared" si="6"/>
        <v>5.59645E-2</v>
      </c>
      <c r="AB222" s="8">
        <v>10</v>
      </c>
      <c r="AC222" s="15">
        <v>27897801310837</v>
      </c>
      <c r="AD222" s="4" t="s">
        <v>992</v>
      </c>
    </row>
    <row r="223" spans="2:30" x14ac:dyDescent="0.35">
      <c r="B223" s="14">
        <v>401</v>
      </c>
      <c r="C223" s="4" t="s">
        <v>230</v>
      </c>
      <c r="D223" s="4" t="s">
        <v>2371</v>
      </c>
      <c r="E223" s="4" t="s">
        <v>2911</v>
      </c>
      <c r="F223" s="4" t="s">
        <v>85</v>
      </c>
      <c r="G223" s="4" t="s">
        <v>993</v>
      </c>
      <c r="H223" s="6">
        <v>1.3180000000000001</v>
      </c>
      <c r="I223" s="8">
        <v>122</v>
      </c>
      <c r="J223" s="8">
        <v>420</v>
      </c>
      <c r="K223" s="8">
        <v>250</v>
      </c>
      <c r="L223" s="8">
        <f t="shared" si="5"/>
        <v>12810000</v>
      </c>
      <c r="M223" s="15">
        <v>7897801310840</v>
      </c>
      <c r="N223" s="6" t="s">
        <v>20</v>
      </c>
      <c r="O223" s="6" t="s">
        <v>20</v>
      </c>
      <c r="P223" s="6" t="s">
        <v>20</v>
      </c>
      <c r="Q223" s="6">
        <v>0.5</v>
      </c>
      <c r="R223" s="6">
        <v>0.22</v>
      </c>
      <c r="S223" s="6">
        <v>0.77</v>
      </c>
      <c r="T223" s="8">
        <v>1</v>
      </c>
      <c r="U223" s="5" t="s">
        <v>994</v>
      </c>
      <c r="V223" s="89">
        <v>0</v>
      </c>
      <c r="W223" s="15">
        <v>17897801310847</v>
      </c>
      <c r="X223" s="6">
        <v>0.5</v>
      </c>
      <c r="Y223" s="6">
        <v>0.22</v>
      </c>
      <c r="Z223" s="6">
        <v>0.77</v>
      </c>
      <c r="AA223" s="6">
        <f t="shared" si="6"/>
        <v>8.4699999999999998E-2</v>
      </c>
      <c r="AB223" s="8">
        <v>8</v>
      </c>
      <c r="AC223" s="15">
        <v>27897801310844</v>
      </c>
      <c r="AD223" s="4" t="s">
        <v>992</v>
      </c>
    </row>
    <row r="224" spans="2:30" x14ac:dyDescent="0.35">
      <c r="B224" s="14">
        <v>402</v>
      </c>
      <c r="C224" s="4" t="s">
        <v>231</v>
      </c>
      <c r="D224" s="4" t="s">
        <v>2371</v>
      </c>
      <c r="E224" s="4" t="s">
        <v>2911</v>
      </c>
      <c r="F224" s="4" t="s">
        <v>85</v>
      </c>
      <c r="G224" s="4" t="s">
        <v>993</v>
      </c>
      <c r="H224" s="6">
        <v>2.0400000000000001E-2</v>
      </c>
      <c r="I224" s="8">
        <v>22</v>
      </c>
      <c r="J224" s="8">
        <v>40</v>
      </c>
      <c r="K224" s="8">
        <v>140</v>
      </c>
      <c r="L224" s="8">
        <f t="shared" si="5"/>
        <v>123200</v>
      </c>
      <c r="M224" s="15">
        <v>7897801310857</v>
      </c>
      <c r="N224" s="6" t="s">
        <v>20</v>
      </c>
      <c r="O224" s="6" t="s">
        <v>20</v>
      </c>
      <c r="P224" s="6" t="s">
        <v>20</v>
      </c>
      <c r="Q224" s="6">
        <v>0.18</v>
      </c>
      <c r="R224" s="6">
        <v>0.1</v>
      </c>
      <c r="S224" s="6">
        <v>0.22</v>
      </c>
      <c r="T224" s="8">
        <v>20</v>
      </c>
      <c r="U224" s="5" t="s">
        <v>994</v>
      </c>
      <c r="V224" s="89">
        <v>0</v>
      </c>
      <c r="W224" s="15">
        <v>17897801310854</v>
      </c>
      <c r="X224" s="6">
        <v>0.51</v>
      </c>
      <c r="Y224" s="6">
        <v>0.17</v>
      </c>
      <c r="Z224" s="6">
        <v>0.74</v>
      </c>
      <c r="AA224" s="6">
        <f t="shared" si="6"/>
        <v>6.4158000000000007E-2</v>
      </c>
      <c r="AB224" s="8">
        <v>400</v>
      </c>
      <c r="AC224" s="15">
        <v>27897801310851</v>
      </c>
      <c r="AD224" s="4" t="s">
        <v>992</v>
      </c>
    </row>
    <row r="225" spans="2:30" x14ac:dyDescent="0.35">
      <c r="B225" s="14">
        <v>403</v>
      </c>
      <c r="C225" s="4" t="s">
        <v>232</v>
      </c>
      <c r="D225" s="4" t="s">
        <v>2371</v>
      </c>
      <c r="E225" s="4" t="s">
        <v>2911</v>
      </c>
      <c r="F225" s="4" t="s">
        <v>85</v>
      </c>
      <c r="G225" s="4" t="s">
        <v>993</v>
      </c>
      <c r="H225" s="6">
        <v>3.6499999999999998E-2</v>
      </c>
      <c r="I225" s="8">
        <v>28</v>
      </c>
      <c r="J225" s="8">
        <v>50</v>
      </c>
      <c r="K225" s="8">
        <v>175</v>
      </c>
      <c r="L225" s="8">
        <f t="shared" si="5"/>
        <v>245000</v>
      </c>
      <c r="M225" s="15">
        <v>7897801310864</v>
      </c>
      <c r="N225" s="6" t="s">
        <v>20</v>
      </c>
      <c r="O225" s="6" t="s">
        <v>20</v>
      </c>
      <c r="P225" s="6" t="s">
        <v>20</v>
      </c>
      <c r="Q225" s="6">
        <v>0.2</v>
      </c>
      <c r="R225" s="6">
        <v>0.11</v>
      </c>
      <c r="S225" s="6">
        <v>0.25</v>
      </c>
      <c r="T225" s="8">
        <v>20</v>
      </c>
      <c r="U225" s="5" t="s">
        <v>994</v>
      </c>
      <c r="V225" s="89">
        <v>0</v>
      </c>
      <c r="W225" s="15">
        <v>17897801310861</v>
      </c>
      <c r="X225" s="6">
        <v>0.46</v>
      </c>
      <c r="Y225" s="6">
        <v>0.255</v>
      </c>
      <c r="Z225" s="6">
        <v>0.7</v>
      </c>
      <c r="AA225" s="6">
        <f t="shared" si="6"/>
        <v>8.2110000000000002E-2</v>
      </c>
      <c r="AB225" s="8">
        <v>240</v>
      </c>
      <c r="AC225" s="15">
        <v>27897801310868</v>
      </c>
      <c r="AD225" s="4" t="s">
        <v>992</v>
      </c>
    </row>
    <row r="226" spans="2:30" x14ac:dyDescent="0.35">
      <c r="B226" s="14">
        <v>404</v>
      </c>
      <c r="C226" s="4" t="s">
        <v>233</v>
      </c>
      <c r="D226" s="4" t="s">
        <v>2371</v>
      </c>
      <c r="E226" s="4" t="s">
        <v>2911</v>
      </c>
      <c r="F226" s="4" t="s">
        <v>85</v>
      </c>
      <c r="G226" s="4" t="s">
        <v>993</v>
      </c>
      <c r="H226" s="6">
        <v>7.3400000000000007E-2</v>
      </c>
      <c r="I226" s="8">
        <v>38</v>
      </c>
      <c r="J226" s="8">
        <v>60</v>
      </c>
      <c r="K226" s="8">
        <v>220</v>
      </c>
      <c r="L226" s="8">
        <f t="shared" si="5"/>
        <v>501600</v>
      </c>
      <c r="M226" s="15">
        <v>7897801310871</v>
      </c>
      <c r="N226" s="6" t="s">
        <v>20</v>
      </c>
      <c r="O226" s="6" t="s">
        <v>20</v>
      </c>
      <c r="P226" s="6" t="s">
        <v>20</v>
      </c>
      <c r="Q226" s="6">
        <v>0.26500000000000001</v>
      </c>
      <c r="R226" s="6">
        <v>0.12</v>
      </c>
      <c r="S226" s="6">
        <v>0.28000000000000003</v>
      </c>
      <c r="T226" s="8">
        <v>10</v>
      </c>
      <c r="U226" s="5" t="s">
        <v>994</v>
      </c>
      <c r="V226" s="89">
        <v>0</v>
      </c>
      <c r="W226" s="15">
        <v>17897801310878</v>
      </c>
      <c r="X226" s="6">
        <v>0.6</v>
      </c>
      <c r="Y226" s="6">
        <v>0.22</v>
      </c>
      <c r="Z226" s="6">
        <v>0.8</v>
      </c>
      <c r="AA226" s="6">
        <f t="shared" si="6"/>
        <v>0.10560000000000001</v>
      </c>
      <c r="AB226" s="8">
        <v>160</v>
      </c>
      <c r="AC226" s="15">
        <v>27897801310875</v>
      </c>
      <c r="AD226" s="4" t="s">
        <v>992</v>
      </c>
    </row>
    <row r="227" spans="2:30" x14ac:dyDescent="0.35">
      <c r="B227" s="14">
        <v>406</v>
      </c>
      <c r="C227" s="4" t="s">
        <v>234</v>
      </c>
      <c r="D227" s="4" t="s">
        <v>2371</v>
      </c>
      <c r="E227" s="4" t="s">
        <v>2911</v>
      </c>
      <c r="F227" s="4" t="s">
        <v>85</v>
      </c>
      <c r="G227" s="4" t="s">
        <v>993</v>
      </c>
      <c r="H227" s="6">
        <v>2.3800000000000002E-2</v>
      </c>
      <c r="I227" s="8">
        <v>99</v>
      </c>
      <c r="J227" s="8">
        <v>70</v>
      </c>
      <c r="K227" s="8">
        <v>28</v>
      </c>
      <c r="L227" s="8">
        <f t="shared" si="5"/>
        <v>194040</v>
      </c>
      <c r="M227" s="15">
        <v>7897801301626</v>
      </c>
      <c r="N227" s="6" t="s">
        <v>20</v>
      </c>
      <c r="O227" s="6" t="s">
        <v>20</v>
      </c>
      <c r="P227" s="6" t="s">
        <v>20</v>
      </c>
      <c r="Q227" s="6">
        <v>0.24</v>
      </c>
      <c r="R227" s="6">
        <v>0.06</v>
      </c>
      <c r="S227" s="6">
        <v>0.26</v>
      </c>
      <c r="T227" s="8">
        <v>20</v>
      </c>
      <c r="U227" s="5" t="s">
        <v>994</v>
      </c>
      <c r="V227" s="89">
        <v>0</v>
      </c>
      <c r="W227" s="15">
        <v>17897801301623</v>
      </c>
      <c r="X227" s="6">
        <v>0.57999999999999996</v>
      </c>
      <c r="Y227" s="6">
        <v>0.17</v>
      </c>
      <c r="Z227" s="6">
        <v>0.78</v>
      </c>
      <c r="AA227" s="6">
        <f t="shared" si="6"/>
        <v>7.6908000000000004E-2</v>
      </c>
      <c r="AB227" s="8">
        <v>800</v>
      </c>
      <c r="AC227" s="15">
        <v>27897801301620</v>
      </c>
      <c r="AD227" s="4" t="s">
        <v>992</v>
      </c>
    </row>
    <row r="228" spans="2:30" x14ac:dyDescent="0.35">
      <c r="B228" s="14">
        <v>407</v>
      </c>
      <c r="C228" s="4" t="s">
        <v>235</v>
      </c>
      <c r="D228" s="4" t="s">
        <v>2371</v>
      </c>
      <c r="E228" s="4" t="s">
        <v>2911</v>
      </c>
      <c r="F228" s="4" t="s">
        <v>85</v>
      </c>
      <c r="G228" s="4" t="s">
        <v>993</v>
      </c>
      <c r="H228" s="6">
        <v>4.4999999999999998E-2</v>
      </c>
      <c r="I228" s="8">
        <v>119</v>
      </c>
      <c r="J228" s="8">
        <v>51</v>
      </c>
      <c r="K228" s="8">
        <v>34</v>
      </c>
      <c r="L228" s="8">
        <f t="shared" si="5"/>
        <v>206346</v>
      </c>
      <c r="M228" s="15">
        <v>7897801301619</v>
      </c>
      <c r="N228" s="6" t="s">
        <v>20</v>
      </c>
      <c r="O228" s="6" t="s">
        <v>20</v>
      </c>
      <c r="P228" s="6" t="s">
        <v>20</v>
      </c>
      <c r="Q228" s="6">
        <v>0.26500000000000001</v>
      </c>
      <c r="R228" s="6">
        <v>0.22</v>
      </c>
      <c r="S228" s="6">
        <v>0.7</v>
      </c>
      <c r="T228" s="8">
        <v>20</v>
      </c>
      <c r="U228" s="5" t="s">
        <v>994</v>
      </c>
      <c r="V228" s="89">
        <v>0</v>
      </c>
      <c r="W228" s="15">
        <v>17897801301616</v>
      </c>
      <c r="X228" s="6">
        <v>0.65</v>
      </c>
      <c r="Y228" s="6">
        <v>0.20499999999999999</v>
      </c>
      <c r="Z228" s="6">
        <v>0.74</v>
      </c>
      <c r="AA228" s="6">
        <f t="shared" si="6"/>
        <v>9.8604999999999998E-2</v>
      </c>
      <c r="AB228" s="8">
        <v>500</v>
      </c>
      <c r="AC228" s="15">
        <v>47897801301617</v>
      </c>
      <c r="AD228" s="4" t="s">
        <v>992</v>
      </c>
    </row>
    <row r="229" spans="2:30" x14ac:dyDescent="0.35">
      <c r="B229" s="14">
        <v>408</v>
      </c>
      <c r="C229" s="4" t="s">
        <v>236</v>
      </c>
      <c r="D229" s="4" t="s">
        <v>2371</v>
      </c>
      <c r="E229" s="4" t="s">
        <v>2911</v>
      </c>
      <c r="F229" s="4" t="s">
        <v>85</v>
      </c>
      <c r="G229" s="4" t="s">
        <v>993</v>
      </c>
      <c r="H229" s="6">
        <v>6.9900000000000004E-2</v>
      </c>
      <c r="I229" s="8">
        <v>137</v>
      </c>
      <c r="J229" s="8">
        <v>97</v>
      </c>
      <c r="K229" s="8">
        <v>42</v>
      </c>
      <c r="L229" s="8">
        <f t="shared" si="5"/>
        <v>558138</v>
      </c>
      <c r="M229" s="15">
        <v>7897801302784</v>
      </c>
      <c r="N229" s="6" t="s">
        <v>20</v>
      </c>
      <c r="O229" s="6" t="s">
        <v>20</v>
      </c>
      <c r="P229" s="6" t="s">
        <v>20</v>
      </c>
      <c r="Q229" s="6">
        <v>0.22</v>
      </c>
      <c r="R229" s="6">
        <v>7.0000000000000007E-2</v>
      </c>
      <c r="S229" s="6">
        <v>0.27</v>
      </c>
      <c r="T229" s="8">
        <v>10</v>
      </c>
      <c r="U229" s="5" t="s">
        <v>994</v>
      </c>
      <c r="V229" s="89">
        <v>0</v>
      </c>
      <c r="W229" s="15">
        <v>17897801302781</v>
      </c>
      <c r="X229" s="6">
        <v>0.51</v>
      </c>
      <c r="Y229" s="6">
        <v>0.18</v>
      </c>
      <c r="Z229" s="6">
        <v>0.78</v>
      </c>
      <c r="AA229" s="6">
        <f t="shared" si="6"/>
        <v>7.1604000000000001E-2</v>
      </c>
      <c r="AB229" s="8">
        <v>300</v>
      </c>
      <c r="AC229" s="15">
        <v>47897801302782</v>
      </c>
      <c r="AD229" s="4" t="s">
        <v>992</v>
      </c>
    </row>
    <row r="230" spans="2:30" x14ac:dyDescent="0.35">
      <c r="B230" s="14">
        <v>409</v>
      </c>
      <c r="C230" s="4" t="s">
        <v>237</v>
      </c>
      <c r="D230" s="4" t="s">
        <v>2371</v>
      </c>
      <c r="E230" s="4" t="s">
        <v>2911</v>
      </c>
      <c r="F230" s="4" t="s">
        <v>85</v>
      </c>
      <c r="G230" s="4" t="s">
        <v>993</v>
      </c>
      <c r="H230" s="6">
        <v>0.1318</v>
      </c>
      <c r="I230" s="8">
        <v>133</v>
      </c>
      <c r="J230" s="8">
        <v>51.6</v>
      </c>
      <c r="K230" s="8">
        <v>133</v>
      </c>
      <c r="L230" s="8">
        <f t="shared" si="5"/>
        <v>912752.4</v>
      </c>
      <c r="M230" s="15">
        <v>7897801307185</v>
      </c>
      <c r="N230" s="6" t="s">
        <v>20</v>
      </c>
      <c r="O230" s="6" t="s">
        <v>20</v>
      </c>
      <c r="P230" s="6" t="s">
        <v>20</v>
      </c>
      <c r="Q230" s="6">
        <v>0.22</v>
      </c>
      <c r="R230" s="6">
        <v>0.13</v>
      </c>
      <c r="S230" s="6">
        <v>0.36</v>
      </c>
      <c r="T230" s="8">
        <v>10</v>
      </c>
      <c r="U230" s="5" t="s">
        <v>994</v>
      </c>
      <c r="V230" s="89">
        <v>0</v>
      </c>
      <c r="W230" s="15">
        <v>17897801307182</v>
      </c>
      <c r="X230" s="6">
        <v>0.5</v>
      </c>
      <c r="Y230" s="6">
        <v>0.24</v>
      </c>
      <c r="Z230" s="6">
        <v>0.7</v>
      </c>
      <c r="AA230" s="6">
        <f t="shared" si="6"/>
        <v>8.3999999999999991E-2</v>
      </c>
      <c r="AB230" s="8">
        <v>150</v>
      </c>
      <c r="AC230" s="15">
        <v>27897801307189</v>
      </c>
      <c r="AD230" s="4" t="s">
        <v>992</v>
      </c>
    </row>
    <row r="231" spans="2:30" x14ac:dyDescent="0.35">
      <c r="B231" s="14">
        <v>410</v>
      </c>
      <c r="C231" s="4" t="s">
        <v>238</v>
      </c>
      <c r="D231" s="4" t="s">
        <v>2371</v>
      </c>
      <c r="E231" s="4" t="s">
        <v>2911</v>
      </c>
      <c r="F231" s="4" t="s">
        <v>85</v>
      </c>
      <c r="G231" s="4" t="s">
        <v>993</v>
      </c>
      <c r="H231" s="6">
        <v>0.2195</v>
      </c>
      <c r="I231" s="8">
        <v>230</v>
      </c>
      <c r="J231" s="8">
        <v>163</v>
      </c>
      <c r="K231" s="8">
        <v>63</v>
      </c>
      <c r="L231" s="8">
        <f t="shared" si="5"/>
        <v>2361870</v>
      </c>
      <c r="M231" s="15">
        <v>7897801301633</v>
      </c>
      <c r="N231" s="6" t="s">
        <v>20</v>
      </c>
      <c r="O231" s="6" t="s">
        <v>20</v>
      </c>
      <c r="P231" s="6" t="s">
        <v>20</v>
      </c>
      <c r="Q231" s="6">
        <v>0.28000000000000003</v>
      </c>
      <c r="R231" s="6">
        <v>0.115</v>
      </c>
      <c r="S231" s="6">
        <v>0.39</v>
      </c>
      <c r="T231" s="8">
        <v>10</v>
      </c>
      <c r="U231" s="5" t="s">
        <v>994</v>
      </c>
      <c r="V231" s="89">
        <v>0</v>
      </c>
      <c r="W231" s="15">
        <v>17897801301630</v>
      </c>
      <c r="X231" s="6">
        <v>0.5</v>
      </c>
      <c r="Y231" s="6">
        <v>0.33</v>
      </c>
      <c r="Z231" s="6">
        <v>0.79</v>
      </c>
      <c r="AA231" s="6">
        <f t="shared" si="6"/>
        <v>0.13035000000000002</v>
      </c>
      <c r="AB231" s="8">
        <v>80</v>
      </c>
      <c r="AC231" s="15">
        <v>27897801301637</v>
      </c>
      <c r="AD231" s="4" t="s">
        <v>992</v>
      </c>
    </row>
    <row r="232" spans="2:30" x14ac:dyDescent="0.35">
      <c r="B232" s="14">
        <v>411</v>
      </c>
      <c r="C232" s="4" t="s">
        <v>239</v>
      </c>
      <c r="D232" s="4" t="s">
        <v>2371</v>
      </c>
      <c r="E232" s="4" t="s">
        <v>2911</v>
      </c>
      <c r="F232" s="4" t="s">
        <v>85</v>
      </c>
      <c r="G232" s="4" t="s">
        <v>993</v>
      </c>
      <c r="H232" s="6">
        <v>0.313</v>
      </c>
      <c r="I232" s="8">
        <v>176</v>
      </c>
      <c r="J232" s="8">
        <v>74</v>
      </c>
      <c r="K232" s="8">
        <v>176</v>
      </c>
      <c r="L232" s="8">
        <f t="shared" si="5"/>
        <v>2292224</v>
      </c>
      <c r="M232" s="15">
        <v>7897801307550</v>
      </c>
      <c r="N232" s="6" t="s">
        <v>20</v>
      </c>
      <c r="O232" s="6" t="s">
        <v>20</v>
      </c>
      <c r="P232" s="6" t="s">
        <v>20</v>
      </c>
      <c r="Q232" s="6">
        <v>0.25</v>
      </c>
      <c r="R232" s="6">
        <v>0.05</v>
      </c>
      <c r="S232" s="6">
        <v>0.48</v>
      </c>
      <c r="T232" s="8">
        <v>5</v>
      </c>
      <c r="U232" s="5" t="s">
        <v>994</v>
      </c>
      <c r="V232" s="89">
        <v>0</v>
      </c>
      <c r="W232" s="15">
        <v>17897801307557</v>
      </c>
      <c r="X232" s="6">
        <v>0.6</v>
      </c>
      <c r="Y232" s="6">
        <v>0.31</v>
      </c>
      <c r="Z232" s="6">
        <v>0.76</v>
      </c>
      <c r="AA232" s="6">
        <f t="shared" si="6"/>
        <v>0.14136000000000001</v>
      </c>
      <c r="AB232" s="8">
        <v>50</v>
      </c>
      <c r="AC232" s="15">
        <v>27897801307554</v>
      </c>
      <c r="AD232" s="4" t="s">
        <v>992</v>
      </c>
    </row>
    <row r="233" spans="2:30" x14ac:dyDescent="0.35">
      <c r="B233" s="14">
        <v>412</v>
      </c>
      <c r="C233" s="4" t="s">
        <v>240</v>
      </c>
      <c r="D233" s="4" t="s">
        <v>2371</v>
      </c>
      <c r="E233" s="4" t="s">
        <v>2911</v>
      </c>
      <c r="F233" s="4" t="s">
        <v>85</v>
      </c>
      <c r="G233" s="4" t="s">
        <v>993</v>
      </c>
      <c r="H233" s="6">
        <v>0.52</v>
      </c>
      <c r="I233" s="8">
        <v>250</v>
      </c>
      <c r="J233" s="8">
        <v>250</v>
      </c>
      <c r="K233" s="8">
        <v>85</v>
      </c>
      <c r="L233" s="8">
        <f t="shared" si="5"/>
        <v>5312500</v>
      </c>
      <c r="M233" s="15">
        <v>7897801310987</v>
      </c>
      <c r="N233" s="6" t="s">
        <v>20</v>
      </c>
      <c r="O233" s="6" t="s">
        <v>20</v>
      </c>
      <c r="P233" s="6" t="s">
        <v>20</v>
      </c>
      <c r="Q233" s="6">
        <v>0.22500000000000001</v>
      </c>
      <c r="R233" s="6">
        <v>9.5000000000000001E-2</v>
      </c>
      <c r="S233" s="6">
        <v>0.22500000000000001</v>
      </c>
      <c r="T233" s="8">
        <v>1</v>
      </c>
      <c r="U233" s="5" t="s">
        <v>994</v>
      </c>
      <c r="V233" s="89">
        <v>0</v>
      </c>
      <c r="W233" s="15">
        <v>17897801310984</v>
      </c>
      <c r="X233" s="6">
        <v>0.5</v>
      </c>
      <c r="Y233" s="6">
        <v>0.2</v>
      </c>
      <c r="Z233" s="6">
        <v>0.78</v>
      </c>
      <c r="AA233" s="6">
        <f t="shared" si="6"/>
        <v>7.8000000000000014E-2</v>
      </c>
      <c r="AB233" s="8">
        <v>15</v>
      </c>
      <c r="AC233" s="15">
        <v>27897801310981</v>
      </c>
      <c r="AD233" s="4" t="s">
        <v>992</v>
      </c>
    </row>
    <row r="234" spans="2:30" x14ac:dyDescent="0.35">
      <c r="B234" s="14">
        <v>413</v>
      </c>
      <c r="C234" s="4" t="s">
        <v>241</v>
      </c>
      <c r="D234" s="4" t="s">
        <v>2371</v>
      </c>
      <c r="E234" s="4" t="s">
        <v>2911</v>
      </c>
      <c r="F234" s="4" t="s">
        <v>85</v>
      </c>
      <c r="G234" s="4" t="s">
        <v>993</v>
      </c>
      <c r="H234" s="6">
        <v>0.81</v>
      </c>
      <c r="I234" s="8">
        <v>290</v>
      </c>
      <c r="J234" s="8">
        <v>290</v>
      </c>
      <c r="K234" s="8">
        <v>95</v>
      </c>
      <c r="L234" s="8">
        <f t="shared" si="5"/>
        <v>7989500</v>
      </c>
      <c r="M234" s="15">
        <v>7897801310994</v>
      </c>
      <c r="N234" s="6" t="s">
        <v>20</v>
      </c>
      <c r="O234" s="6" t="s">
        <v>20</v>
      </c>
      <c r="P234" s="6" t="s">
        <v>20</v>
      </c>
      <c r="Q234" s="6">
        <v>0.3</v>
      </c>
      <c r="R234" s="6">
        <v>0.105</v>
      </c>
      <c r="S234" s="6">
        <v>0.3</v>
      </c>
      <c r="T234" s="8">
        <v>1</v>
      </c>
      <c r="U234" s="5" t="s">
        <v>994</v>
      </c>
      <c r="V234" s="89">
        <v>0</v>
      </c>
      <c r="W234" s="15">
        <v>17897801310991</v>
      </c>
      <c r="X234" s="6">
        <v>0.49</v>
      </c>
      <c r="Y234" s="6">
        <v>0.22</v>
      </c>
      <c r="Z234" s="6">
        <v>0.68</v>
      </c>
      <c r="AA234" s="6">
        <f t="shared" si="6"/>
        <v>7.3303999999999994E-2</v>
      </c>
      <c r="AB234" s="8">
        <v>12</v>
      </c>
      <c r="AC234" s="15">
        <v>27897801310998</v>
      </c>
      <c r="AD234" s="4" t="s">
        <v>992</v>
      </c>
    </row>
    <row r="235" spans="2:30" x14ac:dyDescent="0.35">
      <c r="B235" s="14">
        <v>414</v>
      </c>
      <c r="C235" s="4" t="s">
        <v>242</v>
      </c>
      <c r="D235" s="4" t="s">
        <v>2371</v>
      </c>
      <c r="E235" s="4" t="s">
        <v>2911</v>
      </c>
      <c r="F235" s="4" t="s">
        <v>85</v>
      </c>
      <c r="G235" s="4" t="s">
        <v>993</v>
      </c>
      <c r="H235" s="6">
        <v>1.6</v>
      </c>
      <c r="I235" s="8">
        <v>122</v>
      </c>
      <c r="J235" s="8">
        <v>410</v>
      </c>
      <c r="K235" s="8">
        <v>410</v>
      </c>
      <c r="L235" s="8">
        <f t="shared" si="5"/>
        <v>20508200</v>
      </c>
      <c r="M235" s="15">
        <v>7897801311007</v>
      </c>
      <c r="N235" s="6" t="s">
        <v>20</v>
      </c>
      <c r="O235" s="6" t="s">
        <v>20</v>
      </c>
      <c r="P235" s="6" t="s">
        <v>20</v>
      </c>
      <c r="Q235" s="6">
        <v>0.5</v>
      </c>
      <c r="R235" s="6">
        <v>0.23</v>
      </c>
      <c r="S235" s="6">
        <v>0.7</v>
      </c>
      <c r="T235" s="8">
        <v>1</v>
      </c>
      <c r="U235" s="5" t="s">
        <v>994</v>
      </c>
      <c r="V235" s="89">
        <v>0</v>
      </c>
      <c r="W235" s="15">
        <v>17897801311004</v>
      </c>
      <c r="X235" s="6">
        <v>0.55000000000000004</v>
      </c>
      <c r="Y235" s="6">
        <v>0.24</v>
      </c>
      <c r="Z235" s="6">
        <v>0.62</v>
      </c>
      <c r="AA235" s="6">
        <f t="shared" si="6"/>
        <v>8.184000000000001E-2</v>
      </c>
      <c r="AB235" s="8">
        <v>5</v>
      </c>
      <c r="AC235" s="15">
        <v>27897801311001</v>
      </c>
      <c r="AD235" s="4" t="s">
        <v>992</v>
      </c>
    </row>
    <row r="236" spans="2:30" x14ac:dyDescent="0.35">
      <c r="B236" s="14">
        <v>415</v>
      </c>
      <c r="C236" s="4" t="s">
        <v>243</v>
      </c>
      <c r="D236" s="4" t="s">
        <v>2371</v>
      </c>
      <c r="E236" s="4" t="s">
        <v>2911</v>
      </c>
      <c r="F236" s="4" t="s">
        <v>85</v>
      </c>
      <c r="G236" s="4" t="s">
        <v>993</v>
      </c>
      <c r="H236" s="6">
        <v>1.2500000000000001E-2</v>
      </c>
      <c r="I236" s="8">
        <v>38</v>
      </c>
      <c r="J236" s="8">
        <v>48</v>
      </c>
      <c r="K236" s="8">
        <v>28</v>
      </c>
      <c r="L236" s="8">
        <f t="shared" si="5"/>
        <v>51072</v>
      </c>
      <c r="M236" s="15">
        <v>7897801302234</v>
      </c>
      <c r="N236" s="6" t="s">
        <v>20</v>
      </c>
      <c r="O236" s="6" t="s">
        <v>20</v>
      </c>
      <c r="P236" s="6" t="s">
        <v>20</v>
      </c>
      <c r="Q236" s="6">
        <v>0.19500000000000001</v>
      </c>
      <c r="R236" s="6">
        <v>7.0000000000000007E-2</v>
      </c>
      <c r="S236" s="6">
        <v>0.26</v>
      </c>
      <c r="T236" s="8">
        <v>50</v>
      </c>
      <c r="U236" s="5" t="s">
        <v>994</v>
      </c>
      <c r="V236" s="89">
        <v>0</v>
      </c>
      <c r="W236" s="15">
        <v>17897801302231</v>
      </c>
      <c r="X236" s="6">
        <v>0.51</v>
      </c>
      <c r="Y236" s="6">
        <v>0.21</v>
      </c>
      <c r="Z236" s="6">
        <v>0.76</v>
      </c>
      <c r="AA236" s="6">
        <f t="shared" si="6"/>
        <v>8.1395999999999996E-2</v>
      </c>
      <c r="AB236" s="8">
        <v>1400</v>
      </c>
      <c r="AC236" s="15">
        <v>47897801302232</v>
      </c>
      <c r="AD236" s="4" t="s">
        <v>992</v>
      </c>
    </row>
    <row r="237" spans="2:30" x14ac:dyDescent="0.35">
      <c r="B237" s="14">
        <v>416</v>
      </c>
      <c r="C237" s="4" t="s">
        <v>244</v>
      </c>
      <c r="D237" s="4" t="s">
        <v>2371</v>
      </c>
      <c r="E237" s="4" t="s">
        <v>2911</v>
      </c>
      <c r="F237" s="4" t="s">
        <v>85</v>
      </c>
      <c r="G237" s="4" t="s">
        <v>993</v>
      </c>
      <c r="H237" s="6">
        <v>1.9900000000000001E-2</v>
      </c>
      <c r="I237" s="8">
        <v>45</v>
      </c>
      <c r="J237" s="8">
        <v>57</v>
      </c>
      <c r="K237" s="8">
        <v>34</v>
      </c>
      <c r="L237" s="8">
        <f t="shared" si="5"/>
        <v>87210</v>
      </c>
      <c r="M237" s="15">
        <v>7897801302241</v>
      </c>
      <c r="N237" s="6" t="s">
        <v>20</v>
      </c>
      <c r="O237" s="6" t="s">
        <v>20</v>
      </c>
      <c r="P237" s="6" t="s">
        <v>20</v>
      </c>
      <c r="Q237" s="6">
        <v>0.2</v>
      </c>
      <c r="R237" s="6">
        <v>5.5E-2</v>
      </c>
      <c r="S237" s="6">
        <v>0.31</v>
      </c>
      <c r="T237" s="8">
        <v>50</v>
      </c>
      <c r="U237" s="5" t="s">
        <v>994</v>
      </c>
      <c r="V237" s="89">
        <v>0</v>
      </c>
      <c r="W237" s="15">
        <v>17897801302248</v>
      </c>
      <c r="X237" s="6">
        <v>0.53</v>
      </c>
      <c r="Y237" s="6">
        <v>0.22</v>
      </c>
      <c r="Z237" s="6">
        <v>0.7</v>
      </c>
      <c r="AA237" s="6">
        <f t="shared" si="6"/>
        <v>8.1619999999999998E-2</v>
      </c>
      <c r="AB237" s="8">
        <v>1000</v>
      </c>
      <c r="AC237" s="15">
        <v>47897801302249</v>
      </c>
      <c r="AD237" s="4" t="s">
        <v>992</v>
      </c>
    </row>
    <row r="238" spans="2:30" x14ac:dyDescent="0.35">
      <c r="B238" s="14">
        <v>417</v>
      </c>
      <c r="C238" s="4" t="s">
        <v>245</v>
      </c>
      <c r="D238" s="4" t="s">
        <v>2371</v>
      </c>
      <c r="E238" s="4" t="s">
        <v>2911</v>
      </c>
      <c r="F238" s="4" t="s">
        <v>85</v>
      </c>
      <c r="G238" s="4" t="s">
        <v>993</v>
      </c>
      <c r="H238" s="6">
        <v>3.5799999999999998E-2</v>
      </c>
      <c r="I238" s="8">
        <v>58</v>
      </c>
      <c r="J238" s="8">
        <v>69</v>
      </c>
      <c r="K238" s="8">
        <v>42</v>
      </c>
      <c r="L238" s="8">
        <f t="shared" si="5"/>
        <v>168084</v>
      </c>
      <c r="M238" s="15">
        <v>7897801302791</v>
      </c>
      <c r="N238" s="6" t="s">
        <v>20</v>
      </c>
      <c r="O238" s="6" t="s">
        <v>20</v>
      </c>
      <c r="P238" s="6" t="s">
        <v>20</v>
      </c>
      <c r="Q238" s="6">
        <v>0.2</v>
      </c>
      <c r="R238" s="6">
        <v>0.08</v>
      </c>
      <c r="S238" s="6">
        <v>0.245</v>
      </c>
      <c r="T238" s="8">
        <v>10</v>
      </c>
      <c r="U238" s="5" t="s">
        <v>994</v>
      </c>
      <c r="V238" s="89">
        <v>0</v>
      </c>
      <c r="W238" s="15">
        <v>17897801302798</v>
      </c>
      <c r="X238" s="6">
        <v>0.57999999999999996</v>
      </c>
      <c r="Y238" s="6">
        <v>0.21</v>
      </c>
      <c r="Z238" s="6">
        <v>0.81</v>
      </c>
      <c r="AA238" s="6">
        <f t="shared" si="6"/>
        <v>9.8657999999999996E-2</v>
      </c>
      <c r="AB238" s="8">
        <v>600</v>
      </c>
      <c r="AC238" s="15">
        <v>27897801302795</v>
      </c>
      <c r="AD238" s="4" t="s">
        <v>992</v>
      </c>
    </row>
    <row r="239" spans="2:30" x14ac:dyDescent="0.35">
      <c r="B239" s="14">
        <v>418</v>
      </c>
      <c r="C239" s="4" t="s">
        <v>246</v>
      </c>
      <c r="D239" s="4" t="s">
        <v>2371</v>
      </c>
      <c r="E239" s="4" t="s">
        <v>2911</v>
      </c>
      <c r="F239" s="4" t="s">
        <v>85</v>
      </c>
      <c r="G239" s="4" t="s">
        <v>993</v>
      </c>
      <c r="H239" s="6">
        <v>5.9200000000000003E-2</v>
      </c>
      <c r="I239" s="8">
        <v>78</v>
      </c>
      <c r="J239" s="8">
        <v>52</v>
      </c>
      <c r="K239" s="8">
        <v>78</v>
      </c>
      <c r="L239" s="8">
        <f t="shared" si="5"/>
        <v>316368</v>
      </c>
      <c r="M239" s="15">
        <v>7897801307307</v>
      </c>
      <c r="N239" s="6" t="s">
        <v>20</v>
      </c>
      <c r="O239" s="6" t="s">
        <v>20</v>
      </c>
      <c r="P239" s="6" t="s">
        <v>20</v>
      </c>
      <c r="Q239" s="6">
        <v>0.2</v>
      </c>
      <c r="R239" s="6">
        <v>5.5E-2</v>
      </c>
      <c r="S239" s="6">
        <v>0.2</v>
      </c>
      <c r="T239" s="8">
        <v>10</v>
      </c>
      <c r="U239" s="5" t="s">
        <v>994</v>
      </c>
      <c r="V239" s="89">
        <v>0</v>
      </c>
      <c r="W239" s="15">
        <v>17897801307304</v>
      </c>
      <c r="X239" s="6">
        <v>0.57999999999999996</v>
      </c>
      <c r="Y239" s="6">
        <v>0.2</v>
      </c>
      <c r="Z239" s="6">
        <v>0.75</v>
      </c>
      <c r="AA239" s="6">
        <f t="shared" si="6"/>
        <v>8.6999999999999994E-2</v>
      </c>
      <c r="AB239" s="8">
        <v>300</v>
      </c>
      <c r="AC239" s="15">
        <v>27897801307301</v>
      </c>
      <c r="AD239" s="4" t="s">
        <v>992</v>
      </c>
    </row>
    <row r="240" spans="2:30" x14ac:dyDescent="0.35">
      <c r="B240" s="14">
        <v>419</v>
      </c>
      <c r="C240" s="4" t="s">
        <v>247</v>
      </c>
      <c r="D240" s="4" t="s">
        <v>2371</v>
      </c>
      <c r="E240" s="4" t="s">
        <v>2911</v>
      </c>
      <c r="F240" s="4" t="s">
        <v>85</v>
      </c>
      <c r="G240" s="4" t="s">
        <v>993</v>
      </c>
      <c r="H240" s="6">
        <v>9.8199999999999996E-2</v>
      </c>
      <c r="I240" s="8">
        <v>82</v>
      </c>
      <c r="J240" s="8">
        <v>101</v>
      </c>
      <c r="K240" s="8">
        <v>63</v>
      </c>
      <c r="L240" s="8">
        <f t="shared" si="5"/>
        <v>521766</v>
      </c>
      <c r="M240" s="15">
        <v>7897801302227</v>
      </c>
      <c r="N240" s="6" t="s">
        <v>20</v>
      </c>
      <c r="O240" s="6" t="s">
        <v>20</v>
      </c>
      <c r="P240" s="6" t="s">
        <v>20</v>
      </c>
      <c r="Q240" s="6">
        <v>0.21</v>
      </c>
      <c r="R240" s="6">
        <v>7.4999999999999997E-2</v>
      </c>
      <c r="S240" s="6">
        <v>0.36</v>
      </c>
      <c r="T240" s="8">
        <v>10</v>
      </c>
      <c r="U240" s="5" t="s">
        <v>994</v>
      </c>
      <c r="V240" s="89">
        <v>0</v>
      </c>
      <c r="W240" s="15">
        <v>17897801302224</v>
      </c>
      <c r="X240" s="6">
        <v>0.56999999999999995</v>
      </c>
      <c r="Y240" s="6">
        <v>0.23</v>
      </c>
      <c r="Z240" s="6">
        <v>0.75</v>
      </c>
      <c r="AA240" s="6">
        <f t="shared" si="6"/>
        <v>9.8324999999999996E-2</v>
      </c>
      <c r="AB240" s="8">
        <v>200</v>
      </c>
      <c r="AC240" s="15">
        <v>27897801302221</v>
      </c>
      <c r="AD240" s="4" t="s">
        <v>992</v>
      </c>
    </row>
    <row r="241" spans="2:30" x14ac:dyDescent="0.35">
      <c r="B241" s="14">
        <v>420</v>
      </c>
      <c r="C241" s="4" t="s">
        <v>248</v>
      </c>
      <c r="D241" s="4" t="s">
        <v>2371</v>
      </c>
      <c r="E241" s="4" t="s">
        <v>2911</v>
      </c>
      <c r="F241" s="4" t="s">
        <v>85</v>
      </c>
      <c r="G241" s="4" t="s">
        <v>993</v>
      </c>
      <c r="H241" s="6">
        <v>0.1487</v>
      </c>
      <c r="I241" s="8">
        <v>117</v>
      </c>
      <c r="J241" s="8">
        <v>74</v>
      </c>
      <c r="K241" s="8">
        <v>117</v>
      </c>
      <c r="L241" s="8">
        <f t="shared" si="5"/>
        <v>1012986</v>
      </c>
      <c r="M241" s="15">
        <v>7897801307567</v>
      </c>
      <c r="N241" s="6" t="s">
        <v>20</v>
      </c>
      <c r="O241" s="6" t="s">
        <v>20</v>
      </c>
      <c r="P241" s="6" t="s">
        <v>20</v>
      </c>
      <c r="Q241" s="6">
        <v>0.3</v>
      </c>
      <c r="R241" s="6">
        <v>0.13</v>
      </c>
      <c r="S241" s="6">
        <v>0.4</v>
      </c>
      <c r="T241" s="8">
        <v>10</v>
      </c>
      <c r="U241" s="5" t="s">
        <v>994</v>
      </c>
      <c r="V241" s="89">
        <v>0</v>
      </c>
      <c r="W241" s="15">
        <v>17897801307564</v>
      </c>
      <c r="X241" s="6">
        <v>0.5</v>
      </c>
      <c r="Y241" s="6">
        <v>0.23</v>
      </c>
      <c r="Z241" s="6">
        <v>0.75</v>
      </c>
      <c r="AA241" s="6">
        <f t="shared" si="6"/>
        <v>8.6250000000000007E-2</v>
      </c>
      <c r="AB241" s="8">
        <v>120</v>
      </c>
      <c r="AC241" s="15">
        <v>27897801307561</v>
      </c>
      <c r="AD241" s="4" t="s">
        <v>992</v>
      </c>
    </row>
    <row r="242" spans="2:30" x14ac:dyDescent="0.35">
      <c r="B242" s="14">
        <v>421</v>
      </c>
      <c r="C242" s="4" t="s">
        <v>249</v>
      </c>
      <c r="D242" s="4" t="s">
        <v>2371</v>
      </c>
      <c r="E242" s="4" t="s">
        <v>2911</v>
      </c>
      <c r="F242" s="4" t="s">
        <v>85</v>
      </c>
      <c r="G242" s="4" t="s">
        <v>993</v>
      </c>
      <c r="H242" s="6">
        <v>0.27229999999999999</v>
      </c>
      <c r="I242" s="8">
        <v>125</v>
      </c>
      <c r="J242" s="8">
        <v>100</v>
      </c>
      <c r="K242" s="8">
        <v>90</v>
      </c>
      <c r="L242" s="8">
        <f t="shared" si="5"/>
        <v>1125000</v>
      </c>
      <c r="M242" s="15">
        <v>7897801311274</v>
      </c>
      <c r="N242" s="6" t="s">
        <v>20</v>
      </c>
      <c r="O242" s="6" t="s">
        <v>20</v>
      </c>
      <c r="P242" s="6" t="s">
        <v>20</v>
      </c>
      <c r="Q242" s="6">
        <v>0.215</v>
      </c>
      <c r="R242" s="6">
        <v>0.14000000000000001</v>
      </c>
      <c r="S242" s="6">
        <v>0.35</v>
      </c>
      <c r="T242" s="8">
        <v>5</v>
      </c>
      <c r="U242" s="5" t="s">
        <v>994</v>
      </c>
      <c r="V242" s="89">
        <v>0</v>
      </c>
      <c r="W242" s="15">
        <v>17897801311271</v>
      </c>
      <c r="X242" s="6">
        <v>0.59</v>
      </c>
      <c r="Y242" s="6">
        <v>0.25</v>
      </c>
      <c r="Z242" s="6">
        <v>0.82</v>
      </c>
      <c r="AA242" s="6">
        <f t="shared" si="6"/>
        <v>0.12094999999999999</v>
      </c>
      <c r="AB242" s="8">
        <v>70</v>
      </c>
      <c r="AC242" s="15">
        <v>27897801311278</v>
      </c>
      <c r="AD242" s="4" t="s">
        <v>992</v>
      </c>
    </row>
    <row r="243" spans="2:30" x14ac:dyDescent="0.35">
      <c r="B243" s="14">
        <v>422</v>
      </c>
      <c r="C243" s="4" t="s">
        <v>250</v>
      </c>
      <c r="D243" s="4" t="s">
        <v>2371</v>
      </c>
      <c r="E243" s="4" t="s">
        <v>2911</v>
      </c>
      <c r="F243" s="4" t="s">
        <v>85</v>
      </c>
      <c r="G243" s="4" t="s">
        <v>993</v>
      </c>
      <c r="H243" s="6">
        <v>0.35659999999999997</v>
      </c>
      <c r="I243" s="8">
        <v>105</v>
      </c>
      <c r="J243" s="8">
        <v>150</v>
      </c>
      <c r="K243" s="8">
        <v>130</v>
      </c>
      <c r="L243" s="8">
        <f t="shared" si="5"/>
        <v>2047500</v>
      </c>
      <c r="M243" s="15">
        <v>7897801311281</v>
      </c>
      <c r="N243" s="6" t="s">
        <v>20</v>
      </c>
      <c r="O243" s="6" t="s">
        <v>20</v>
      </c>
      <c r="P243" s="6" t="s">
        <v>20</v>
      </c>
      <c r="Q243" s="6">
        <v>0.17</v>
      </c>
      <c r="R243" s="6">
        <v>0.11</v>
      </c>
      <c r="S243" s="6">
        <v>0.34</v>
      </c>
      <c r="T243" s="8">
        <v>3</v>
      </c>
      <c r="U243" s="5" t="s">
        <v>994</v>
      </c>
      <c r="V243" s="89">
        <v>0</v>
      </c>
      <c r="W243" s="15">
        <v>17897801311288</v>
      </c>
      <c r="X243" s="6">
        <v>0.5</v>
      </c>
      <c r="Y243" s="6">
        <v>0.23</v>
      </c>
      <c r="Z243" s="6">
        <v>0.75</v>
      </c>
      <c r="AA243" s="6">
        <f t="shared" si="6"/>
        <v>8.6250000000000007E-2</v>
      </c>
      <c r="AB243" s="8">
        <v>48</v>
      </c>
      <c r="AC243" s="15">
        <v>27897801311285</v>
      </c>
      <c r="AD243" s="4" t="s">
        <v>992</v>
      </c>
    </row>
    <row r="244" spans="2:30" x14ac:dyDescent="0.35">
      <c r="B244" s="14">
        <v>423</v>
      </c>
      <c r="C244" s="4" t="s">
        <v>251</v>
      </c>
      <c r="D244" s="4" t="s">
        <v>2371</v>
      </c>
      <c r="E244" s="4" t="s">
        <v>2911</v>
      </c>
      <c r="F244" s="4" t="s">
        <v>85</v>
      </c>
      <c r="G244" s="4" t="s">
        <v>993</v>
      </c>
      <c r="H244" s="6">
        <v>0.60740000000000005</v>
      </c>
      <c r="I244" s="8">
        <v>125</v>
      </c>
      <c r="J244" s="8">
        <v>180</v>
      </c>
      <c r="K244" s="8">
        <v>170</v>
      </c>
      <c r="L244" s="8">
        <f t="shared" si="5"/>
        <v>3825000</v>
      </c>
      <c r="M244" s="15">
        <v>7897801311298</v>
      </c>
      <c r="N244" s="6" t="s">
        <v>20</v>
      </c>
      <c r="O244" s="6" t="s">
        <v>20</v>
      </c>
      <c r="P244" s="6" t="s">
        <v>20</v>
      </c>
      <c r="Q244" s="6">
        <v>0.17499999999999999</v>
      </c>
      <c r="R244" s="6">
        <v>0.13</v>
      </c>
      <c r="S244" s="6">
        <v>0.2</v>
      </c>
      <c r="T244" s="8">
        <v>1</v>
      </c>
      <c r="U244" s="5" t="s">
        <v>994</v>
      </c>
      <c r="V244" s="89">
        <v>0</v>
      </c>
      <c r="W244" s="15">
        <v>17897801311295</v>
      </c>
      <c r="X244" s="6">
        <v>0.45</v>
      </c>
      <c r="Y244" s="6">
        <v>0.2</v>
      </c>
      <c r="Z244" s="6">
        <v>0.65</v>
      </c>
      <c r="AA244" s="6">
        <f t="shared" si="6"/>
        <v>5.850000000000001E-2</v>
      </c>
      <c r="AB244" s="8">
        <v>15</v>
      </c>
      <c r="AC244" s="15">
        <v>27897801311292</v>
      </c>
      <c r="AD244" s="4" t="s">
        <v>992</v>
      </c>
    </row>
    <row r="245" spans="2:30" x14ac:dyDescent="0.35">
      <c r="B245" s="14">
        <v>424</v>
      </c>
      <c r="C245" s="4" t="s">
        <v>252</v>
      </c>
      <c r="D245" s="4" t="s">
        <v>2371</v>
      </c>
      <c r="E245" s="4" t="s">
        <v>2911</v>
      </c>
      <c r="F245" s="4" t="s">
        <v>85</v>
      </c>
      <c r="G245" s="4" t="s">
        <v>993</v>
      </c>
      <c r="H245" s="6">
        <v>1.52E-2</v>
      </c>
      <c r="I245" s="8">
        <v>41.4</v>
      </c>
      <c r="J245" s="8">
        <v>28</v>
      </c>
      <c r="K245" s="8">
        <v>41.4</v>
      </c>
      <c r="L245" s="8">
        <f t="shared" si="5"/>
        <v>47990.879999999997</v>
      </c>
      <c r="M245" s="15">
        <v>7897801300506</v>
      </c>
      <c r="N245" s="6" t="s">
        <v>20</v>
      </c>
      <c r="O245" s="6" t="s">
        <v>20</v>
      </c>
      <c r="P245" s="6" t="s">
        <v>20</v>
      </c>
      <c r="Q245" s="6">
        <v>0.22</v>
      </c>
      <c r="R245" s="6">
        <v>7.0000000000000007E-2</v>
      </c>
      <c r="S245" s="6">
        <v>0.24</v>
      </c>
      <c r="T245" s="8">
        <v>50</v>
      </c>
      <c r="U245" s="5" t="s">
        <v>994</v>
      </c>
      <c r="V245" s="89">
        <v>0</v>
      </c>
      <c r="W245" s="15">
        <v>17897801300503</v>
      </c>
      <c r="X245" s="6">
        <v>0.51</v>
      </c>
      <c r="Y245" s="6">
        <v>0.02</v>
      </c>
      <c r="Z245" s="6">
        <v>0.78</v>
      </c>
      <c r="AA245" s="6">
        <f t="shared" si="6"/>
        <v>7.9560000000000013E-3</v>
      </c>
      <c r="AB245" s="8">
        <v>1250</v>
      </c>
      <c r="AC245" s="15">
        <v>47897801300504</v>
      </c>
      <c r="AD245" s="4" t="s">
        <v>992</v>
      </c>
    </row>
    <row r="246" spans="2:30" x14ac:dyDescent="0.35">
      <c r="B246" s="14">
        <v>425</v>
      </c>
      <c r="C246" s="4" t="s">
        <v>253</v>
      </c>
      <c r="D246" s="4" t="s">
        <v>2371</v>
      </c>
      <c r="E246" s="4" t="s">
        <v>2911</v>
      </c>
      <c r="F246" s="4" t="s">
        <v>85</v>
      </c>
      <c r="G246" s="4" t="s">
        <v>993</v>
      </c>
      <c r="H246" s="6">
        <v>2.41E-2</v>
      </c>
      <c r="I246" s="8">
        <v>48.9</v>
      </c>
      <c r="J246" s="8">
        <v>33.799999999999997</v>
      </c>
      <c r="K246" s="8">
        <v>48.9</v>
      </c>
      <c r="L246" s="8">
        <f t="shared" si="5"/>
        <v>80822.897999999986</v>
      </c>
      <c r="M246" s="15">
        <v>7897801300308</v>
      </c>
      <c r="N246" s="6" t="s">
        <v>20</v>
      </c>
      <c r="O246" s="6" t="s">
        <v>20</v>
      </c>
      <c r="P246" s="6" t="s">
        <v>20</v>
      </c>
      <c r="Q246" s="6">
        <v>0.2</v>
      </c>
      <c r="R246" s="6">
        <v>0.08</v>
      </c>
      <c r="S246" s="6">
        <v>0.32</v>
      </c>
      <c r="T246" s="8">
        <v>50</v>
      </c>
      <c r="U246" s="5" t="s">
        <v>994</v>
      </c>
      <c r="V246" s="89">
        <v>0</v>
      </c>
      <c r="W246" s="15">
        <v>17897801300305</v>
      </c>
      <c r="X246" s="6">
        <v>0.47</v>
      </c>
      <c r="Y246" s="6">
        <v>0.24</v>
      </c>
      <c r="Z246" s="6">
        <v>0.66</v>
      </c>
      <c r="AA246" s="6">
        <f t="shared" si="6"/>
        <v>7.4447999999999986E-2</v>
      </c>
      <c r="AB246" s="8">
        <v>750</v>
      </c>
      <c r="AC246" s="15">
        <v>47897801300306</v>
      </c>
      <c r="AD246" s="4" t="s">
        <v>992</v>
      </c>
    </row>
    <row r="247" spans="2:30" x14ac:dyDescent="0.35">
      <c r="B247" s="14">
        <v>426</v>
      </c>
      <c r="C247" s="4" t="s">
        <v>254</v>
      </c>
      <c r="D247" s="4" t="s">
        <v>2371</v>
      </c>
      <c r="E247" s="4" t="s">
        <v>2911</v>
      </c>
      <c r="F247" s="4" t="s">
        <v>85</v>
      </c>
      <c r="G247" s="4" t="s">
        <v>993</v>
      </c>
      <c r="H247" s="6">
        <v>4.2700000000000002E-2</v>
      </c>
      <c r="I247" s="8">
        <v>61</v>
      </c>
      <c r="J247" s="8">
        <v>42</v>
      </c>
      <c r="K247" s="8">
        <v>61</v>
      </c>
      <c r="L247" s="8">
        <f t="shared" si="5"/>
        <v>156282</v>
      </c>
      <c r="M247" s="15">
        <v>7897801301565</v>
      </c>
      <c r="N247" s="6" t="s">
        <v>20</v>
      </c>
      <c r="O247" s="6" t="s">
        <v>20</v>
      </c>
      <c r="P247" s="6" t="s">
        <v>20</v>
      </c>
      <c r="Q247" s="6">
        <v>0.23</v>
      </c>
      <c r="R247" s="6">
        <v>0.08</v>
      </c>
      <c r="S247" s="6">
        <v>0.31</v>
      </c>
      <c r="T247" s="8">
        <v>25</v>
      </c>
      <c r="U247" s="5" t="s">
        <v>994</v>
      </c>
      <c r="V247" s="89">
        <v>0</v>
      </c>
      <c r="W247" s="15">
        <v>17897801301562</v>
      </c>
      <c r="X247" s="6">
        <v>0.57999999999999996</v>
      </c>
      <c r="Y247" s="6">
        <v>0.19</v>
      </c>
      <c r="Z247" s="6">
        <v>0.81</v>
      </c>
      <c r="AA247" s="6">
        <f t="shared" si="6"/>
        <v>8.9261999999999994E-2</v>
      </c>
      <c r="AB247" s="8">
        <v>500</v>
      </c>
      <c r="AC247" s="15">
        <v>27897801301569</v>
      </c>
      <c r="AD247" s="4" t="s">
        <v>992</v>
      </c>
    </row>
    <row r="248" spans="2:30" x14ac:dyDescent="0.35">
      <c r="B248" s="14">
        <v>427</v>
      </c>
      <c r="C248" s="4" t="s">
        <v>255</v>
      </c>
      <c r="D248" s="4" t="s">
        <v>2371</v>
      </c>
      <c r="E248" s="4" t="s">
        <v>2911</v>
      </c>
      <c r="F248" s="4" t="s">
        <v>85</v>
      </c>
      <c r="G248" s="4" t="s">
        <v>993</v>
      </c>
      <c r="H248" s="6">
        <v>7.0000000000000007E-2</v>
      </c>
      <c r="I248" s="8">
        <v>100</v>
      </c>
      <c r="J248" s="8">
        <v>70</v>
      </c>
      <c r="K248" s="8">
        <v>50</v>
      </c>
      <c r="L248" s="8">
        <f t="shared" si="5"/>
        <v>350000</v>
      </c>
      <c r="M248" s="15">
        <v>7897801301879</v>
      </c>
      <c r="N248" s="6" t="s">
        <v>20</v>
      </c>
      <c r="O248" s="6" t="s">
        <v>20</v>
      </c>
      <c r="P248" s="6" t="s">
        <v>20</v>
      </c>
      <c r="Q248" s="6">
        <v>0.22</v>
      </c>
      <c r="R248" s="6">
        <v>7.0000000000000007E-2</v>
      </c>
      <c r="S248" s="6">
        <v>0.23</v>
      </c>
      <c r="T248" s="8">
        <v>10</v>
      </c>
      <c r="U248" s="5" t="s">
        <v>994</v>
      </c>
      <c r="V248" s="89">
        <v>0</v>
      </c>
      <c r="W248" s="15">
        <v>17897801301876</v>
      </c>
      <c r="X248" s="6">
        <v>0.56999999999999995</v>
      </c>
      <c r="Y248" s="6">
        <v>0.2</v>
      </c>
      <c r="Z248" s="6">
        <v>0.84</v>
      </c>
      <c r="AA248" s="6">
        <f t="shared" si="6"/>
        <v>9.5759999999999984E-2</v>
      </c>
      <c r="AB248" s="8">
        <v>300</v>
      </c>
      <c r="AC248" s="15">
        <v>27897801301873</v>
      </c>
      <c r="AD248" s="4" t="s">
        <v>992</v>
      </c>
    </row>
    <row r="249" spans="2:30" x14ac:dyDescent="0.35">
      <c r="B249" s="14">
        <v>428</v>
      </c>
      <c r="C249" s="4" t="s">
        <v>256</v>
      </c>
      <c r="D249" s="4" t="s">
        <v>2371</v>
      </c>
      <c r="E249" s="4" t="s">
        <v>2911</v>
      </c>
      <c r="F249" s="4" t="s">
        <v>85</v>
      </c>
      <c r="G249" s="4" t="s">
        <v>993</v>
      </c>
      <c r="H249" s="6">
        <v>0.1179</v>
      </c>
      <c r="I249" s="8">
        <v>90</v>
      </c>
      <c r="J249" s="8">
        <v>63</v>
      </c>
      <c r="K249" s="8">
        <v>63</v>
      </c>
      <c r="L249" s="8">
        <f t="shared" si="5"/>
        <v>357210</v>
      </c>
      <c r="M249" s="15">
        <v>7897801300650</v>
      </c>
      <c r="N249" s="6" t="s">
        <v>20</v>
      </c>
      <c r="O249" s="6" t="s">
        <v>20</v>
      </c>
      <c r="P249" s="6" t="s">
        <v>20</v>
      </c>
      <c r="Q249" s="6">
        <v>0.12</v>
      </c>
      <c r="R249" s="6">
        <v>0.31</v>
      </c>
      <c r="S249" s="6">
        <v>0.6</v>
      </c>
      <c r="T249" s="8">
        <v>25</v>
      </c>
      <c r="U249" s="5" t="s">
        <v>994</v>
      </c>
      <c r="V249" s="89">
        <v>0</v>
      </c>
      <c r="W249" s="15">
        <v>17897801300657</v>
      </c>
      <c r="X249" s="6">
        <v>0.49</v>
      </c>
      <c r="Y249" s="6">
        <v>0.21</v>
      </c>
      <c r="Z249" s="6">
        <v>0.78</v>
      </c>
      <c r="AA249" s="6">
        <f t="shared" si="6"/>
        <v>8.0262E-2</v>
      </c>
      <c r="AB249" s="8">
        <v>150</v>
      </c>
      <c r="AC249" s="15">
        <v>27897801300654</v>
      </c>
      <c r="AD249" s="4" t="s">
        <v>992</v>
      </c>
    </row>
    <row r="250" spans="2:30" x14ac:dyDescent="0.35">
      <c r="B250" s="14">
        <v>429</v>
      </c>
      <c r="C250" s="4" t="s">
        <v>257</v>
      </c>
      <c r="D250" s="4" t="s">
        <v>2371</v>
      </c>
      <c r="E250" s="4" t="s">
        <v>2911</v>
      </c>
      <c r="F250" s="4" t="s">
        <v>85</v>
      </c>
      <c r="G250" s="4" t="s">
        <v>993</v>
      </c>
      <c r="H250" s="6">
        <v>0.17199999999999999</v>
      </c>
      <c r="I250" s="8">
        <v>105.9</v>
      </c>
      <c r="J250" s="8">
        <v>74</v>
      </c>
      <c r="K250" s="8">
        <v>105.9</v>
      </c>
      <c r="L250" s="8">
        <f t="shared" si="5"/>
        <v>829895.94000000006</v>
      </c>
      <c r="M250" s="15">
        <v>7897801302975</v>
      </c>
      <c r="N250" s="6" t="s">
        <v>20</v>
      </c>
      <c r="O250" s="6" t="s">
        <v>20</v>
      </c>
      <c r="P250" s="6" t="s">
        <v>20</v>
      </c>
      <c r="Q250" s="6">
        <v>0.24</v>
      </c>
      <c r="R250" s="6">
        <v>0.11</v>
      </c>
      <c r="S250" s="6">
        <v>0.4</v>
      </c>
      <c r="T250" s="8">
        <v>10</v>
      </c>
      <c r="U250" s="5" t="s">
        <v>994</v>
      </c>
      <c r="V250" s="89">
        <v>0</v>
      </c>
      <c r="W250" s="15">
        <v>17897801302972</v>
      </c>
      <c r="X250" s="6">
        <v>0.5</v>
      </c>
      <c r="Y250" s="6">
        <v>0.22</v>
      </c>
      <c r="Z250" s="6">
        <v>0.7</v>
      </c>
      <c r="AA250" s="6">
        <f t="shared" si="6"/>
        <v>7.6999999999999999E-2</v>
      </c>
      <c r="AB250" s="8">
        <v>100</v>
      </c>
      <c r="AC250" s="15">
        <v>27897801302979</v>
      </c>
      <c r="AD250" s="4" t="s">
        <v>992</v>
      </c>
    </row>
    <row r="251" spans="2:30" x14ac:dyDescent="0.35">
      <c r="B251" s="14">
        <v>430</v>
      </c>
      <c r="C251" s="4" t="s">
        <v>258</v>
      </c>
      <c r="D251" s="4" t="s">
        <v>2371</v>
      </c>
      <c r="E251" s="4" t="s">
        <v>2911</v>
      </c>
      <c r="F251" s="4" t="s">
        <v>85</v>
      </c>
      <c r="G251" s="4" t="s">
        <v>993</v>
      </c>
      <c r="H251" s="6">
        <v>0.35270000000000001</v>
      </c>
      <c r="I251" s="8">
        <v>130</v>
      </c>
      <c r="J251" s="8">
        <v>132</v>
      </c>
      <c r="K251" s="8">
        <v>94</v>
      </c>
      <c r="L251" s="8">
        <f t="shared" si="5"/>
        <v>1613040</v>
      </c>
      <c r="M251" s="15">
        <v>7897801309271</v>
      </c>
      <c r="N251" s="6" t="s">
        <v>20</v>
      </c>
      <c r="O251" s="6" t="s">
        <v>20</v>
      </c>
      <c r="P251" s="6" t="s">
        <v>20</v>
      </c>
      <c r="Q251" s="6">
        <v>0.24</v>
      </c>
      <c r="R251" s="6">
        <v>0.1</v>
      </c>
      <c r="S251" s="6">
        <v>0.44</v>
      </c>
      <c r="T251" s="8">
        <v>5</v>
      </c>
      <c r="U251" s="5" t="s">
        <v>994</v>
      </c>
      <c r="V251" s="89">
        <v>0</v>
      </c>
      <c r="W251" s="15">
        <v>17897801309278</v>
      </c>
      <c r="X251" s="6">
        <v>0.46</v>
      </c>
      <c r="Y251" s="6">
        <v>0.28999999999999998</v>
      </c>
      <c r="Z251" s="6">
        <v>0.65</v>
      </c>
      <c r="AA251" s="6">
        <f t="shared" si="6"/>
        <v>8.6709999999999995E-2</v>
      </c>
      <c r="AB251" s="8">
        <v>40</v>
      </c>
      <c r="AC251" s="15">
        <v>27897801309275</v>
      </c>
      <c r="AD251" s="4" t="s">
        <v>992</v>
      </c>
    </row>
    <row r="252" spans="2:30" x14ac:dyDescent="0.35">
      <c r="B252" s="14">
        <v>431</v>
      </c>
      <c r="C252" s="4" t="s">
        <v>259</v>
      </c>
      <c r="D252" s="4" t="s">
        <v>2371</v>
      </c>
      <c r="E252" s="4" t="s">
        <v>2911</v>
      </c>
      <c r="F252" s="4" t="s">
        <v>85</v>
      </c>
      <c r="G252" s="4" t="s">
        <v>993</v>
      </c>
      <c r="H252" s="6">
        <v>0.4904</v>
      </c>
      <c r="I252" s="8">
        <v>148</v>
      </c>
      <c r="J252" s="8">
        <v>103</v>
      </c>
      <c r="K252" s="8">
        <v>148</v>
      </c>
      <c r="L252" s="8">
        <f t="shared" si="5"/>
        <v>2256112</v>
      </c>
      <c r="M252" s="15">
        <v>7897801308823</v>
      </c>
      <c r="N252" s="6" t="s">
        <v>20</v>
      </c>
      <c r="O252" s="6" t="s">
        <v>20</v>
      </c>
      <c r="P252" s="6" t="s">
        <v>20</v>
      </c>
      <c r="Q252" s="6">
        <v>0.27</v>
      </c>
      <c r="R252" s="6">
        <v>0.11</v>
      </c>
      <c r="S252" s="6">
        <v>0.3</v>
      </c>
      <c r="T252" s="8">
        <v>3</v>
      </c>
      <c r="U252" s="5" t="s">
        <v>994</v>
      </c>
      <c r="V252" s="89">
        <v>0</v>
      </c>
      <c r="W252" s="15">
        <v>17897801308820</v>
      </c>
      <c r="X252" s="6">
        <v>0.5</v>
      </c>
      <c r="Y252" s="6">
        <v>0.25</v>
      </c>
      <c r="Z252" s="6">
        <v>0.7</v>
      </c>
      <c r="AA252" s="6">
        <f t="shared" si="6"/>
        <v>8.7499999999999994E-2</v>
      </c>
      <c r="AB252" s="8">
        <v>30</v>
      </c>
      <c r="AC252" s="15">
        <v>27897801308827</v>
      </c>
      <c r="AD252" s="4" t="s">
        <v>992</v>
      </c>
    </row>
    <row r="253" spans="2:30" x14ac:dyDescent="0.35">
      <c r="B253" s="14">
        <v>432</v>
      </c>
      <c r="C253" s="4" t="s">
        <v>260</v>
      </c>
      <c r="D253" s="4" t="s">
        <v>2371</v>
      </c>
      <c r="E253" s="4" t="s">
        <v>2911</v>
      </c>
      <c r="F253" s="4" t="s">
        <v>85</v>
      </c>
      <c r="G253" s="4" t="s">
        <v>993</v>
      </c>
      <c r="H253" s="6">
        <v>1.0217000000000001</v>
      </c>
      <c r="I253" s="8">
        <v>190</v>
      </c>
      <c r="J253" s="8">
        <v>130</v>
      </c>
      <c r="K253" s="8">
        <v>190</v>
      </c>
      <c r="L253" s="8">
        <f t="shared" si="5"/>
        <v>4693000</v>
      </c>
      <c r="M253" s="15">
        <v>7897801309349</v>
      </c>
      <c r="N253" s="6" t="s">
        <v>20</v>
      </c>
      <c r="O253" s="6" t="s">
        <v>20</v>
      </c>
      <c r="P253" s="6" t="s">
        <v>20</v>
      </c>
      <c r="Q253" s="6">
        <v>0.13</v>
      </c>
      <c r="R253" s="6">
        <v>0.2</v>
      </c>
      <c r="S253" s="6">
        <v>0.2</v>
      </c>
      <c r="T253" s="8">
        <v>1</v>
      </c>
      <c r="U253" s="5" t="s">
        <v>994</v>
      </c>
      <c r="V253" s="89">
        <v>0</v>
      </c>
      <c r="W253" s="15">
        <v>17897801309346</v>
      </c>
      <c r="X253" s="6">
        <v>0.5</v>
      </c>
      <c r="Y253" s="6">
        <v>0.245</v>
      </c>
      <c r="Z253" s="6">
        <v>0.75</v>
      </c>
      <c r="AA253" s="6">
        <f t="shared" si="6"/>
        <v>9.1874999999999998E-2</v>
      </c>
      <c r="AB253" s="8">
        <v>12</v>
      </c>
      <c r="AC253" s="15">
        <v>27897801309343</v>
      </c>
      <c r="AD253" s="4" t="s">
        <v>992</v>
      </c>
    </row>
    <row r="254" spans="2:30" x14ac:dyDescent="0.35">
      <c r="B254" s="14">
        <v>433</v>
      </c>
      <c r="C254" s="4" t="s">
        <v>261</v>
      </c>
      <c r="D254" s="4" t="s">
        <v>2371</v>
      </c>
      <c r="E254" s="4" t="s">
        <v>2911</v>
      </c>
      <c r="F254" s="4" t="s">
        <v>85</v>
      </c>
      <c r="G254" s="4" t="s">
        <v>993</v>
      </c>
      <c r="H254" s="6">
        <v>1.7999999999999999E-2</v>
      </c>
      <c r="I254" s="8">
        <v>47</v>
      </c>
      <c r="J254" s="8">
        <v>47</v>
      </c>
      <c r="K254" s="8">
        <v>34</v>
      </c>
      <c r="L254" s="8">
        <f t="shared" si="5"/>
        <v>75106</v>
      </c>
      <c r="M254" s="15">
        <v>7897801301152</v>
      </c>
      <c r="N254" s="6" t="s">
        <v>20</v>
      </c>
      <c r="O254" s="6" t="s">
        <v>20</v>
      </c>
      <c r="P254" s="6" t="s">
        <v>20</v>
      </c>
      <c r="Q254" s="6">
        <v>0.14000000000000001</v>
      </c>
      <c r="R254" s="6">
        <v>0.05</v>
      </c>
      <c r="S254" s="6">
        <v>0.2</v>
      </c>
      <c r="T254" s="8">
        <v>20</v>
      </c>
      <c r="U254" s="5" t="s">
        <v>994</v>
      </c>
      <c r="V254" s="89">
        <v>0</v>
      </c>
      <c r="W254" s="15">
        <v>17897801301159</v>
      </c>
      <c r="X254" s="6">
        <v>0.5</v>
      </c>
      <c r="Y254" s="6">
        <v>0.2</v>
      </c>
      <c r="Z254" s="6">
        <v>0.7</v>
      </c>
      <c r="AA254" s="6">
        <f t="shared" si="6"/>
        <v>6.9999999999999993E-2</v>
      </c>
      <c r="AB254" s="8">
        <v>1000</v>
      </c>
      <c r="AC254" s="15">
        <v>27897801301156</v>
      </c>
      <c r="AD254" s="4" t="s">
        <v>992</v>
      </c>
    </row>
    <row r="255" spans="2:30" x14ac:dyDescent="0.35">
      <c r="B255" s="14">
        <v>434</v>
      </c>
      <c r="C255" s="4" t="s">
        <v>262</v>
      </c>
      <c r="D255" s="4" t="s">
        <v>2371</v>
      </c>
      <c r="E255" s="4" t="s">
        <v>2911</v>
      </c>
      <c r="F255" s="4" t="s">
        <v>85</v>
      </c>
      <c r="G255" s="4" t="s">
        <v>993</v>
      </c>
      <c r="H255" s="6">
        <v>3.1899999999999998E-2</v>
      </c>
      <c r="I255" s="8">
        <v>40</v>
      </c>
      <c r="J255" s="8">
        <v>40</v>
      </c>
      <c r="K255" s="8">
        <v>60</v>
      </c>
      <c r="L255" s="8">
        <f t="shared" si="5"/>
        <v>96000</v>
      </c>
      <c r="M255" s="15">
        <v>7897801312332</v>
      </c>
      <c r="N255" s="6" t="s">
        <v>20</v>
      </c>
      <c r="O255" s="6" t="s">
        <v>20</v>
      </c>
      <c r="P255" s="6" t="s">
        <v>20</v>
      </c>
      <c r="Q255" s="6">
        <v>0.23499999999999999</v>
      </c>
      <c r="R255" s="6">
        <v>0.05</v>
      </c>
      <c r="S255" s="6">
        <v>0.215</v>
      </c>
      <c r="T255" s="8">
        <v>15</v>
      </c>
      <c r="U255" s="5" t="s">
        <v>994</v>
      </c>
      <c r="V255" s="89">
        <v>0</v>
      </c>
      <c r="W255" s="15">
        <v>17897801312339</v>
      </c>
      <c r="X255" s="6">
        <v>0.54</v>
      </c>
      <c r="Y255" s="6">
        <v>0.19</v>
      </c>
      <c r="Z255" s="6">
        <v>0.76500000000000001</v>
      </c>
      <c r="AA255" s="6">
        <f t="shared" si="6"/>
        <v>7.8489000000000003E-2</v>
      </c>
      <c r="AB255" s="8">
        <v>480</v>
      </c>
      <c r="AC255" s="15">
        <v>27897801312336</v>
      </c>
      <c r="AD255" s="4" t="s">
        <v>992</v>
      </c>
    </row>
    <row r="256" spans="2:30" x14ac:dyDescent="0.35">
      <c r="B256" s="14">
        <v>435</v>
      </c>
      <c r="C256" s="4" t="s">
        <v>263</v>
      </c>
      <c r="D256" s="4" t="s">
        <v>2371</v>
      </c>
      <c r="E256" s="4" t="s">
        <v>2911</v>
      </c>
      <c r="F256" s="4" t="s">
        <v>85</v>
      </c>
      <c r="G256" s="4" t="s">
        <v>993</v>
      </c>
      <c r="H256" s="6">
        <v>9.4000000000000004E-3</v>
      </c>
      <c r="I256" s="8">
        <v>28</v>
      </c>
      <c r="J256" s="8">
        <v>28</v>
      </c>
      <c r="K256" s="8">
        <v>34.5</v>
      </c>
      <c r="L256" s="8">
        <f t="shared" si="5"/>
        <v>27048</v>
      </c>
      <c r="M256" s="15">
        <v>7897801300537</v>
      </c>
      <c r="N256" s="6" t="s">
        <v>20</v>
      </c>
      <c r="O256" s="6" t="s">
        <v>20</v>
      </c>
      <c r="P256" s="6" t="s">
        <v>20</v>
      </c>
      <c r="Q256" s="6">
        <v>0.15</v>
      </c>
      <c r="R256" s="6">
        <v>0.05</v>
      </c>
      <c r="S256" s="6">
        <v>0.28000000000000003</v>
      </c>
      <c r="T256" s="8">
        <v>50</v>
      </c>
      <c r="U256" s="5" t="s">
        <v>994</v>
      </c>
      <c r="V256" s="89">
        <v>0</v>
      </c>
      <c r="W256" s="15">
        <v>17897801300534</v>
      </c>
      <c r="X256" s="6">
        <v>0.55000000000000004</v>
      </c>
      <c r="Y256" s="6">
        <v>0.22</v>
      </c>
      <c r="Z256" s="6">
        <v>0.72</v>
      </c>
      <c r="AA256" s="6">
        <f t="shared" si="6"/>
        <v>8.7120000000000003E-2</v>
      </c>
      <c r="AB256" s="8">
        <v>2000</v>
      </c>
      <c r="AC256" s="15">
        <v>47897801300535</v>
      </c>
      <c r="AD256" s="4" t="s">
        <v>992</v>
      </c>
    </row>
    <row r="257" spans="2:30" x14ac:dyDescent="0.35">
      <c r="B257" s="14">
        <v>436</v>
      </c>
      <c r="C257" s="4" t="s">
        <v>264</v>
      </c>
      <c r="D257" s="4" t="s">
        <v>2371</v>
      </c>
      <c r="E257" s="4" t="s">
        <v>2911</v>
      </c>
      <c r="F257" s="4" t="s">
        <v>85</v>
      </c>
      <c r="G257" s="4" t="s">
        <v>993</v>
      </c>
      <c r="H257" s="6">
        <v>1.5599999999999999E-2</v>
      </c>
      <c r="I257" s="8">
        <v>33.799999999999997</v>
      </c>
      <c r="J257" s="8">
        <v>38</v>
      </c>
      <c r="K257" s="8">
        <v>40</v>
      </c>
      <c r="L257" s="8">
        <f t="shared" si="5"/>
        <v>51375.999999999993</v>
      </c>
      <c r="M257" s="15">
        <v>7897801300315</v>
      </c>
      <c r="N257" s="6" t="s">
        <v>20</v>
      </c>
      <c r="O257" s="6" t="s">
        <v>20</v>
      </c>
      <c r="P257" s="6" t="s">
        <v>20</v>
      </c>
      <c r="Q257" s="6">
        <v>0.2</v>
      </c>
      <c r="R257" s="6">
        <v>0.06</v>
      </c>
      <c r="S257" s="6">
        <v>0.27</v>
      </c>
      <c r="T257" s="8">
        <v>50</v>
      </c>
      <c r="U257" s="5" t="s">
        <v>994</v>
      </c>
      <c r="V257" s="89">
        <v>0</v>
      </c>
      <c r="W257" s="15">
        <v>17897801300312</v>
      </c>
      <c r="X257" s="6">
        <v>0.59</v>
      </c>
      <c r="Y257" s="6">
        <v>0.19</v>
      </c>
      <c r="Z257" s="6">
        <v>0.76</v>
      </c>
      <c r="AA257" s="6">
        <f t="shared" si="6"/>
        <v>8.5195999999999994E-2</v>
      </c>
      <c r="AB257" s="8">
        <v>1400</v>
      </c>
      <c r="AC257" s="15">
        <v>27897801300319</v>
      </c>
      <c r="AD257" s="4" t="s">
        <v>992</v>
      </c>
    </row>
    <row r="258" spans="2:30" x14ac:dyDescent="0.35">
      <c r="B258" s="14">
        <v>437</v>
      </c>
      <c r="C258" s="4" t="s">
        <v>265</v>
      </c>
      <c r="D258" s="4" t="s">
        <v>2371</v>
      </c>
      <c r="E258" s="4" t="s">
        <v>2911</v>
      </c>
      <c r="F258" s="4" t="s">
        <v>85</v>
      </c>
      <c r="G258" s="4" t="s">
        <v>993</v>
      </c>
      <c r="H258" s="6">
        <v>2.8000000000000001E-2</v>
      </c>
      <c r="I258" s="8">
        <v>42</v>
      </c>
      <c r="J258" s="8">
        <v>48</v>
      </c>
      <c r="K258" s="8">
        <v>42</v>
      </c>
      <c r="L258" s="8">
        <f t="shared" si="5"/>
        <v>84672</v>
      </c>
      <c r="M258" s="15">
        <v>7897801301572</v>
      </c>
      <c r="N258" s="6" t="s">
        <v>20</v>
      </c>
      <c r="O258" s="6" t="s">
        <v>20</v>
      </c>
      <c r="P258" s="6" t="s">
        <v>20</v>
      </c>
      <c r="Q258" s="6">
        <v>0.2</v>
      </c>
      <c r="R258" s="6">
        <v>0.05</v>
      </c>
      <c r="S258" s="6">
        <v>0.3</v>
      </c>
      <c r="T258" s="8">
        <v>25</v>
      </c>
      <c r="U258" s="5" t="s">
        <v>994</v>
      </c>
      <c r="V258" s="89">
        <v>0</v>
      </c>
      <c r="W258" s="15">
        <v>17897801301579</v>
      </c>
      <c r="X258" s="6">
        <v>0.54</v>
      </c>
      <c r="Y258" s="6">
        <v>0.3</v>
      </c>
      <c r="Z258" s="6">
        <v>0.68</v>
      </c>
      <c r="AA258" s="6">
        <f t="shared" si="6"/>
        <v>0.11016000000000001</v>
      </c>
      <c r="AB258" s="8">
        <v>750</v>
      </c>
      <c r="AC258" s="15">
        <v>27897801301576</v>
      </c>
      <c r="AD258" s="4" t="s">
        <v>992</v>
      </c>
    </row>
    <row r="259" spans="2:30" x14ac:dyDescent="0.35">
      <c r="B259" s="14">
        <v>438</v>
      </c>
      <c r="C259" s="4" t="s">
        <v>266</v>
      </c>
      <c r="D259" s="4" t="s">
        <v>2371</v>
      </c>
      <c r="E259" s="4" t="s">
        <v>2911</v>
      </c>
      <c r="F259" s="4" t="s">
        <v>85</v>
      </c>
      <c r="G259" s="4" t="s">
        <v>993</v>
      </c>
      <c r="H259" s="6">
        <v>4.2999999999999997E-2</v>
      </c>
      <c r="I259" s="8">
        <v>51.6</v>
      </c>
      <c r="J259" s="8">
        <v>51.6</v>
      </c>
      <c r="K259" s="8">
        <v>55</v>
      </c>
      <c r="L259" s="8">
        <f t="shared" si="5"/>
        <v>146440.79999999999</v>
      </c>
      <c r="M259" s="15">
        <v>7897801301862</v>
      </c>
      <c r="N259" s="6" t="s">
        <v>20</v>
      </c>
      <c r="O259" s="6" t="s">
        <v>20</v>
      </c>
      <c r="P259" s="6" t="s">
        <v>20</v>
      </c>
      <c r="Q259" s="6">
        <v>0.16</v>
      </c>
      <c r="R259" s="6">
        <v>0.06</v>
      </c>
      <c r="S259" s="6">
        <v>0.22</v>
      </c>
      <c r="T259" s="8">
        <v>10</v>
      </c>
      <c r="U259" s="5" t="s">
        <v>994</v>
      </c>
      <c r="V259" s="89">
        <v>0</v>
      </c>
      <c r="W259" s="15">
        <v>17897801301869</v>
      </c>
      <c r="X259" s="6">
        <v>0.55000000000000004</v>
      </c>
      <c r="Y259" s="6">
        <v>0.22</v>
      </c>
      <c r="Z259" s="6">
        <v>0.7</v>
      </c>
      <c r="AA259" s="6">
        <f t="shared" si="6"/>
        <v>8.4699999999999998E-2</v>
      </c>
      <c r="AB259" s="8">
        <v>450</v>
      </c>
      <c r="AC259" s="15">
        <v>27897801301866</v>
      </c>
      <c r="AD259" s="4" t="s">
        <v>992</v>
      </c>
    </row>
    <row r="260" spans="2:30" x14ac:dyDescent="0.35">
      <c r="B260" s="14">
        <v>439</v>
      </c>
      <c r="C260" s="4" t="s">
        <v>267</v>
      </c>
      <c r="D260" s="4" t="s">
        <v>2371</v>
      </c>
      <c r="E260" s="4" t="s">
        <v>2911</v>
      </c>
      <c r="F260" s="4" t="s">
        <v>85</v>
      </c>
      <c r="G260" s="4" t="s">
        <v>993</v>
      </c>
      <c r="H260" s="6">
        <v>6.7799999999999999E-2</v>
      </c>
      <c r="I260" s="8">
        <v>63</v>
      </c>
      <c r="J260" s="8">
        <v>63</v>
      </c>
      <c r="K260" s="8">
        <v>65</v>
      </c>
      <c r="L260" s="8">
        <f t="shared" si="5"/>
        <v>257985</v>
      </c>
      <c r="M260" s="15">
        <v>7897801300810</v>
      </c>
      <c r="N260" s="6" t="s">
        <v>20</v>
      </c>
      <c r="O260" s="6" t="s">
        <v>20</v>
      </c>
      <c r="P260" s="6" t="s">
        <v>20</v>
      </c>
      <c r="Q260" s="6">
        <v>0.2</v>
      </c>
      <c r="R260" s="6">
        <v>7.0000000000000007E-2</v>
      </c>
      <c r="S260" s="6">
        <v>0.25</v>
      </c>
      <c r="T260" s="8">
        <v>10</v>
      </c>
      <c r="U260" s="5" t="s">
        <v>994</v>
      </c>
      <c r="V260" s="89">
        <v>0</v>
      </c>
      <c r="W260" s="15">
        <v>17897801300817</v>
      </c>
      <c r="X260" s="6">
        <v>0.5</v>
      </c>
      <c r="Y260" s="6">
        <v>0.2</v>
      </c>
      <c r="Z260" s="6">
        <v>0.74</v>
      </c>
      <c r="AA260" s="6">
        <f t="shared" si="6"/>
        <v>7.3999999999999996E-2</v>
      </c>
      <c r="AB260" s="8">
        <v>200</v>
      </c>
      <c r="AC260" s="15">
        <v>27897801300814</v>
      </c>
      <c r="AD260" s="4" t="s">
        <v>992</v>
      </c>
    </row>
    <row r="261" spans="2:30" x14ac:dyDescent="0.35">
      <c r="B261" s="14">
        <v>440</v>
      </c>
      <c r="C261" s="4" t="s">
        <v>268</v>
      </c>
      <c r="D261" s="4" t="s">
        <v>2371</v>
      </c>
      <c r="E261" s="4" t="s">
        <v>2911</v>
      </c>
      <c r="F261" s="4" t="s">
        <v>85</v>
      </c>
      <c r="G261" s="4" t="s">
        <v>993</v>
      </c>
      <c r="H261" s="6">
        <v>0.1082</v>
      </c>
      <c r="I261" s="8">
        <v>74</v>
      </c>
      <c r="J261" s="8">
        <v>74</v>
      </c>
      <c r="K261" s="8">
        <v>75.8</v>
      </c>
      <c r="L261" s="8">
        <f t="shared" si="5"/>
        <v>415080.8</v>
      </c>
      <c r="M261" s="15">
        <v>7897801302951</v>
      </c>
      <c r="N261" s="6" t="s">
        <v>20</v>
      </c>
      <c r="O261" s="6" t="s">
        <v>20</v>
      </c>
      <c r="P261" s="6" t="s">
        <v>20</v>
      </c>
      <c r="Q261" s="6">
        <v>0.21</v>
      </c>
      <c r="R261" s="6">
        <v>0.08</v>
      </c>
      <c r="S261" s="6">
        <v>0.3</v>
      </c>
      <c r="T261" s="8">
        <v>10</v>
      </c>
      <c r="U261" s="5" t="s">
        <v>994</v>
      </c>
      <c r="V261" s="89">
        <v>0</v>
      </c>
      <c r="W261" s="15">
        <v>17897801302958</v>
      </c>
      <c r="X261" s="6">
        <v>0.55000000000000004</v>
      </c>
      <c r="Y261" s="6">
        <v>0.21</v>
      </c>
      <c r="Z261" s="6">
        <v>0.74</v>
      </c>
      <c r="AA261" s="6">
        <f t="shared" si="6"/>
        <v>8.5470000000000004E-2</v>
      </c>
      <c r="AB261" s="8">
        <v>150</v>
      </c>
      <c r="AC261" s="15">
        <v>27897801302955</v>
      </c>
      <c r="AD261" s="4" t="s">
        <v>992</v>
      </c>
    </row>
    <row r="262" spans="2:30" x14ac:dyDescent="0.35">
      <c r="B262" s="14">
        <v>441</v>
      </c>
      <c r="C262" s="4" t="s">
        <v>269</v>
      </c>
      <c r="D262" s="4" t="s">
        <v>2371</v>
      </c>
      <c r="E262" s="4" t="s">
        <v>2911</v>
      </c>
      <c r="F262" s="4" t="s">
        <v>85</v>
      </c>
      <c r="G262" s="4" t="s">
        <v>993</v>
      </c>
      <c r="H262" s="6">
        <v>0.2049</v>
      </c>
      <c r="I262" s="8">
        <v>93</v>
      </c>
      <c r="J262" s="8">
        <v>92</v>
      </c>
      <c r="K262" s="8">
        <v>92</v>
      </c>
      <c r="L262" s="8">
        <f t="shared" si="5"/>
        <v>787152</v>
      </c>
      <c r="M262" s="15">
        <v>7897801308908</v>
      </c>
      <c r="N262" s="6" t="s">
        <v>20</v>
      </c>
      <c r="O262" s="6" t="s">
        <v>20</v>
      </c>
      <c r="P262" s="6" t="s">
        <v>20</v>
      </c>
      <c r="Q262" s="6">
        <v>0.19</v>
      </c>
      <c r="R262" s="6">
        <v>9.5000000000000001E-2</v>
      </c>
      <c r="S262" s="6">
        <v>0.31</v>
      </c>
      <c r="T262" s="8">
        <v>5</v>
      </c>
      <c r="U262" s="5" t="s">
        <v>994</v>
      </c>
      <c r="V262" s="89">
        <v>0</v>
      </c>
      <c r="W262" s="15">
        <v>17897801308905</v>
      </c>
      <c r="X262" s="6">
        <v>0.6</v>
      </c>
      <c r="Y262" s="6">
        <v>0.23</v>
      </c>
      <c r="Z262" s="6">
        <v>0.83</v>
      </c>
      <c r="AA262" s="6">
        <f t="shared" si="6"/>
        <v>0.11454</v>
      </c>
      <c r="AB262" s="8">
        <v>75</v>
      </c>
      <c r="AC262" s="15">
        <v>27897801308902</v>
      </c>
      <c r="AD262" s="4" t="s">
        <v>992</v>
      </c>
    </row>
    <row r="263" spans="2:30" x14ac:dyDescent="0.35">
      <c r="B263" s="14">
        <v>442</v>
      </c>
      <c r="C263" s="4" t="s">
        <v>270</v>
      </c>
      <c r="D263" s="4" t="s">
        <v>2371</v>
      </c>
      <c r="E263" s="4" t="s">
        <v>2911</v>
      </c>
      <c r="F263" s="4" t="s">
        <v>85</v>
      </c>
      <c r="G263" s="4" t="s">
        <v>993</v>
      </c>
      <c r="H263" s="6">
        <v>0.2707</v>
      </c>
      <c r="I263" s="8">
        <v>103</v>
      </c>
      <c r="J263" s="8">
        <v>103</v>
      </c>
      <c r="K263" s="8">
        <v>103</v>
      </c>
      <c r="L263" s="8">
        <f t="shared" si="5"/>
        <v>1092727</v>
      </c>
      <c r="M263" s="15">
        <v>7897801308922</v>
      </c>
      <c r="N263" s="6" t="s">
        <v>20</v>
      </c>
      <c r="O263" s="6" t="s">
        <v>20</v>
      </c>
      <c r="P263" s="6" t="s">
        <v>20</v>
      </c>
      <c r="Q263" s="6">
        <v>0.12</v>
      </c>
      <c r="R263" s="6">
        <v>0.1</v>
      </c>
      <c r="S263" s="6">
        <v>0.3</v>
      </c>
      <c r="T263" s="8">
        <v>3</v>
      </c>
      <c r="U263" s="5" t="s">
        <v>994</v>
      </c>
      <c r="V263" s="89">
        <v>0</v>
      </c>
      <c r="W263" s="15">
        <v>17897801308929</v>
      </c>
      <c r="X263" s="6">
        <v>0.4</v>
      </c>
      <c r="Y263" s="6">
        <v>0.26</v>
      </c>
      <c r="Z263" s="6">
        <v>0.69</v>
      </c>
      <c r="AA263" s="6">
        <f t="shared" si="6"/>
        <v>7.1760000000000004E-2</v>
      </c>
      <c r="AB263" s="8">
        <v>30</v>
      </c>
      <c r="AC263" s="15">
        <v>27897801308926</v>
      </c>
      <c r="AD263" s="4" t="s">
        <v>992</v>
      </c>
    </row>
    <row r="264" spans="2:30" x14ac:dyDescent="0.35">
      <c r="B264" s="14">
        <v>443</v>
      </c>
      <c r="C264" s="4" t="s">
        <v>271</v>
      </c>
      <c r="D264" s="4" t="s">
        <v>2371</v>
      </c>
      <c r="E264" s="4" t="s">
        <v>2911</v>
      </c>
      <c r="F264" s="4" t="s">
        <v>85</v>
      </c>
      <c r="G264" s="4" t="s">
        <v>993</v>
      </c>
      <c r="H264" s="6">
        <v>0.48039999999999999</v>
      </c>
      <c r="I264" s="8">
        <v>128</v>
      </c>
      <c r="J264" s="8">
        <v>131</v>
      </c>
      <c r="K264" s="8">
        <v>128</v>
      </c>
      <c r="L264" s="8">
        <f t="shared" si="5"/>
        <v>2146304</v>
      </c>
      <c r="M264" s="15">
        <v>7897801309257</v>
      </c>
      <c r="N264" s="6" t="s">
        <v>20</v>
      </c>
      <c r="O264" s="6" t="s">
        <v>20</v>
      </c>
      <c r="P264" s="6" t="s">
        <v>20</v>
      </c>
      <c r="Q264" s="6">
        <v>0.13</v>
      </c>
      <c r="R264" s="6">
        <v>0.13</v>
      </c>
      <c r="S264" s="6">
        <v>0.13</v>
      </c>
      <c r="T264" s="8">
        <v>1</v>
      </c>
      <c r="U264" s="5" t="s">
        <v>994</v>
      </c>
      <c r="V264" s="89">
        <v>0</v>
      </c>
      <c r="W264" s="15">
        <v>17897801309254</v>
      </c>
      <c r="X264" s="6">
        <v>0.61</v>
      </c>
      <c r="Y264" s="6">
        <v>0.23</v>
      </c>
      <c r="Z264" s="6">
        <v>0.73499999999999999</v>
      </c>
      <c r="AA264" s="6">
        <f t="shared" si="6"/>
        <v>0.1031205</v>
      </c>
      <c r="AB264" s="8">
        <v>24</v>
      </c>
      <c r="AC264" s="15">
        <v>27897801309251</v>
      </c>
      <c r="AD264" s="4" t="s">
        <v>992</v>
      </c>
    </row>
    <row r="265" spans="2:30" x14ac:dyDescent="0.35">
      <c r="B265" s="14">
        <v>444</v>
      </c>
      <c r="C265" s="4" t="s">
        <v>272</v>
      </c>
      <c r="D265" s="4" t="s">
        <v>2371</v>
      </c>
      <c r="E265" s="4" t="s">
        <v>2911</v>
      </c>
      <c r="F265" s="4" t="s">
        <v>85</v>
      </c>
      <c r="G265" s="4" t="s">
        <v>993</v>
      </c>
      <c r="H265" s="6">
        <v>1.5599999999999999E-2</v>
      </c>
      <c r="I265" s="8">
        <v>30.5</v>
      </c>
      <c r="J265" s="8">
        <v>30.5</v>
      </c>
      <c r="K265" s="8">
        <v>46</v>
      </c>
      <c r="L265" s="8">
        <f t="shared" si="5"/>
        <v>42791.5</v>
      </c>
      <c r="M265" s="15">
        <v>7897801302258</v>
      </c>
      <c r="N265" s="6" t="s">
        <v>20</v>
      </c>
      <c r="O265" s="6" t="s">
        <v>20</v>
      </c>
      <c r="P265" s="6" t="s">
        <v>20</v>
      </c>
      <c r="Q265" s="6">
        <v>0.14000000000000001</v>
      </c>
      <c r="R265" s="6">
        <v>0.03</v>
      </c>
      <c r="S265" s="6">
        <v>0.17</v>
      </c>
      <c r="T265" s="8">
        <v>12</v>
      </c>
      <c r="U265" s="5" t="s">
        <v>994</v>
      </c>
      <c r="V265" s="89">
        <v>0</v>
      </c>
      <c r="W265" s="15">
        <v>17897801302255</v>
      </c>
      <c r="X265" s="6">
        <v>0.56999999999999995</v>
      </c>
      <c r="Y265" s="6">
        <v>0.21</v>
      </c>
      <c r="Z265" s="6">
        <v>0.8</v>
      </c>
      <c r="AA265" s="6">
        <f t="shared" si="6"/>
        <v>9.5759999999999998E-2</v>
      </c>
      <c r="AB265" s="8">
        <v>1080</v>
      </c>
      <c r="AC265" s="15">
        <v>27897801302252</v>
      </c>
      <c r="AD265" s="4" t="s">
        <v>992</v>
      </c>
    </row>
    <row r="266" spans="2:30" x14ac:dyDescent="0.35">
      <c r="B266" s="14">
        <v>445</v>
      </c>
      <c r="C266" s="4" t="s">
        <v>273</v>
      </c>
      <c r="D266" s="4" t="s">
        <v>2371</v>
      </c>
      <c r="E266" s="4" t="s">
        <v>2911</v>
      </c>
      <c r="F266" s="4" t="s">
        <v>85</v>
      </c>
      <c r="G266" s="4" t="s">
        <v>993</v>
      </c>
      <c r="H266" s="6">
        <v>2.4199999999999999E-2</v>
      </c>
      <c r="I266" s="8">
        <v>36.5</v>
      </c>
      <c r="J266" s="8">
        <v>36.5</v>
      </c>
      <c r="K266" s="8">
        <v>53</v>
      </c>
      <c r="L266" s="8">
        <f t="shared" si="5"/>
        <v>70609.25</v>
      </c>
      <c r="M266" s="15">
        <v>7897801302197</v>
      </c>
      <c r="N266" s="6" t="s">
        <v>20</v>
      </c>
      <c r="O266" s="6" t="s">
        <v>20</v>
      </c>
      <c r="P266" s="6" t="s">
        <v>20</v>
      </c>
      <c r="Q266" s="6">
        <v>0.14000000000000001</v>
      </c>
      <c r="R266" s="6">
        <v>5.5E-2</v>
      </c>
      <c r="S266" s="6">
        <v>0.15</v>
      </c>
      <c r="T266" s="8">
        <v>12</v>
      </c>
      <c r="U266" s="5" t="s">
        <v>994</v>
      </c>
      <c r="V266" s="89">
        <v>0</v>
      </c>
      <c r="W266" s="15">
        <v>17897801302194</v>
      </c>
      <c r="X266" s="6">
        <v>0.52</v>
      </c>
      <c r="Y266" s="6">
        <v>0.17</v>
      </c>
      <c r="Z266" s="6">
        <v>0.73</v>
      </c>
      <c r="AA266" s="6">
        <f t="shared" si="6"/>
        <v>6.4532000000000006E-2</v>
      </c>
      <c r="AB266" s="8">
        <v>600</v>
      </c>
      <c r="AC266" s="15">
        <v>47897801302195</v>
      </c>
      <c r="AD266" s="4" t="s">
        <v>992</v>
      </c>
    </row>
    <row r="267" spans="2:30" x14ac:dyDescent="0.35">
      <c r="B267" s="14">
        <v>446</v>
      </c>
      <c r="C267" s="4" t="s">
        <v>274</v>
      </c>
      <c r="D267" s="4" t="s">
        <v>2371</v>
      </c>
      <c r="E267" s="4" t="s">
        <v>2911</v>
      </c>
      <c r="F267" s="4" t="s">
        <v>85</v>
      </c>
      <c r="G267" s="4" t="s">
        <v>993</v>
      </c>
      <c r="H267" s="6">
        <v>3.5999999999999997E-2</v>
      </c>
      <c r="I267" s="8">
        <v>44</v>
      </c>
      <c r="J267" s="8">
        <v>44</v>
      </c>
      <c r="K267" s="8">
        <v>59</v>
      </c>
      <c r="L267" s="8">
        <f t="shared" ref="L267:L330" si="7">J267*I267*K267</f>
        <v>114224</v>
      </c>
      <c r="M267" s="15">
        <v>7897801302265</v>
      </c>
      <c r="N267" s="6" t="s">
        <v>20</v>
      </c>
      <c r="O267" s="6" t="s">
        <v>20</v>
      </c>
      <c r="P267" s="6" t="s">
        <v>20</v>
      </c>
      <c r="Q267" s="6">
        <v>0.13</v>
      </c>
      <c r="R267" s="6">
        <v>0.05</v>
      </c>
      <c r="S267" s="6">
        <v>0.14000000000000001</v>
      </c>
      <c r="T267" s="8">
        <v>6</v>
      </c>
      <c r="U267" s="5" t="s">
        <v>994</v>
      </c>
      <c r="V267" s="89">
        <v>0</v>
      </c>
      <c r="W267" s="15">
        <v>17897801302262</v>
      </c>
      <c r="X267" s="6">
        <v>0.55000000000000004</v>
      </c>
      <c r="Y267" s="6">
        <v>0.2</v>
      </c>
      <c r="Z267" s="6">
        <v>0.7</v>
      </c>
      <c r="AA267" s="6">
        <f t="shared" si="6"/>
        <v>7.6999999999999999E-2</v>
      </c>
      <c r="AB267" s="8">
        <v>480</v>
      </c>
      <c r="AC267" s="15">
        <v>27897801302269</v>
      </c>
      <c r="AD267" s="4" t="s">
        <v>992</v>
      </c>
    </row>
    <row r="268" spans="2:30" x14ac:dyDescent="0.35">
      <c r="B268" s="14">
        <v>447</v>
      </c>
      <c r="C268" s="4" t="s">
        <v>275</v>
      </c>
      <c r="D268" s="4" t="s">
        <v>2371</v>
      </c>
      <c r="E268" s="4" t="s">
        <v>2911</v>
      </c>
      <c r="F268" s="4" t="s">
        <v>85</v>
      </c>
      <c r="G268" s="4" t="s">
        <v>993</v>
      </c>
      <c r="H268" s="6">
        <v>7.3099999999999998E-2</v>
      </c>
      <c r="I268" s="8">
        <v>56</v>
      </c>
      <c r="J268" s="8">
        <v>56</v>
      </c>
      <c r="K268" s="8">
        <v>74.8</v>
      </c>
      <c r="L268" s="8">
        <f t="shared" si="7"/>
        <v>234572.79999999999</v>
      </c>
      <c r="M268" s="15">
        <v>7897801302340</v>
      </c>
      <c r="N268" s="6" t="s">
        <v>20</v>
      </c>
      <c r="O268" s="6" t="s">
        <v>20</v>
      </c>
      <c r="P268" s="6" t="s">
        <v>20</v>
      </c>
      <c r="Q268" s="6">
        <v>0.15</v>
      </c>
      <c r="R268" s="6">
        <v>0.06</v>
      </c>
      <c r="S268" s="6">
        <v>0.2</v>
      </c>
      <c r="T268" s="8">
        <v>6</v>
      </c>
      <c r="U268" s="5" t="s">
        <v>994</v>
      </c>
      <c r="V268" s="89">
        <v>0</v>
      </c>
      <c r="W268" s="15">
        <v>17897801302347</v>
      </c>
      <c r="X268" s="6">
        <v>0.5</v>
      </c>
      <c r="Y268" s="6">
        <v>0.25</v>
      </c>
      <c r="Z268" s="6">
        <v>0.7</v>
      </c>
      <c r="AA268" s="6">
        <f t="shared" si="6"/>
        <v>8.7499999999999994E-2</v>
      </c>
      <c r="AB268" s="8">
        <v>300</v>
      </c>
      <c r="AC268" s="15">
        <v>27897801302344</v>
      </c>
      <c r="AD268" s="4" t="s">
        <v>992</v>
      </c>
    </row>
    <row r="269" spans="2:30" x14ac:dyDescent="0.35">
      <c r="B269" s="14">
        <v>448</v>
      </c>
      <c r="C269" s="4" t="s">
        <v>276</v>
      </c>
      <c r="D269" s="4" t="s">
        <v>2371</v>
      </c>
      <c r="E269" s="4" t="s">
        <v>2911</v>
      </c>
      <c r="F269" s="4" t="s">
        <v>85</v>
      </c>
      <c r="G269" s="4" t="s">
        <v>993</v>
      </c>
      <c r="H269" s="6">
        <v>0.10349999999999999</v>
      </c>
      <c r="I269" s="8">
        <v>66</v>
      </c>
      <c r="J269" s="8">
        <v>66</v>
      </c>
      <c r="K269" s="8">
        <v>82.8</v>
      </c>
      <c r="L269" s="8">
        <f t="shared" si="7"/>
        <v>360676.8</v>
      </c>
      <c r="M269" s="15">
        <v>7897801302203</v>
      </c>
      <c r="N269" s="6" t="s">
        <v>20</v>
      </c>
      <c r="O269" s="6" t="s">
        <v>20</v>
      </c>
      <c r="P269" s="6" t="s">
        <v>20</v>
      </c>
      <c r="Q269" s="6">
        <v>0.17</v>
      </c>
      <c r="R269" s="6">
        <v>7.0000000000000007E-2</v>
      </c>
      <c r="S269" s="6">
        <v>0.27</v>
      </c>
      <c r="T269" s="8">
        <v>8</v>
      </c>
      <c r="U269" s="5" t="s">
        <v>994</v>
      </c>
      <c r="V269" s="89">
        <v>0</v>
      </c>
      <c r="W269" s="15">
        <v>17897801302200</v>
      </c>
      <c r="X269" s="6">
        <v>0.5</v>
      </c>
      <c r="Y269" s="6">
        <v>0.2</v>
      </c>
      <c r="Z269" s="6">
        <v>0.65</v>
      </c>
      <c r="AA269" s="6">
        <f t="shared" si="6"/>
        <v>6.5000000000000002E-2</v>
      </c>
      <c r="AB269" s="8">
        <v>160</v>
      </c>
      <c r="AC269" s="15">
        <v>27897801302207</v>
      </c>
      <c r="AD269" s="4" t="s">
        <v>992</v>
      </c>
    </row>
    <row r="270" spans="2:30" x14ac:dyDescent="0.35">
      <c r="B270" s="14">
        <v>449</v>
      </c>
      <c r="C270" s="4" t="s">
        <v>277</v>
      </c>
      <c r="D270" s="4" t="s">
        <v>2371</v>
      </c>
      <c r="E270" s="4" t="s">
        <v>2911</v>
      </c>
      <c r="F270" s="4" t="s">
        <v>85</v>
      </c>
      <c r="G270" s="4" t="s">
        <v>993</v>
      </c>
      <c r="H270" s="6">
        <v>0.13500000000000001</v>
      </c>
      <c r="I270" s="8">
        <v>76.5</v>
      </c>
      <c r="J270" s="8">
        <v>92</v>
      </c>
      <c r="K270" s="8">
        <v>76.5</v>
      </c>
      <c r="L270" s="8">
        <f t="shared" si="7"/>
        <v>538407</v>
      </c>
      <c r="M270" s="15">
        <v>7897801306669</v>
      </c>
      <c r="N270" s="6" t="s">
        <v>20</v>
      </c>
      <c r="O270" s="6" t="s">
        <v>20</v>
      </c>
      <c r="P270" s="6" t="s">
        <v>20</v>
      </c>
      <c r="Q270" s="6">
        <v>0.19</v>
      </c>
      <c r="R270" s="6">
        <v>0.08</v>
      </c>
      <c r="S270" s="6">
        <v>0.24</v>
      </c>
      <c r="T270" s="8">
        <v>6</v>
      </c>
      <c r="U270" s="5" t="s">
        <v>994</v>
      </c>
      <c r="V270" s="89">
        <v>0</v>
      </c>
      <c r="W270" s="15">
        <v>17897801306666</v>
      </c>
      <c r="X270" s="6">
        <v>0.5</v>
      </c>
      <c r="Y270" s="6">
        <v>0.25</v>
      </c>
      <c r="Z270" s="6">
        <v>0.7</v>
      </c>
      <c r="AA270" s="6">
        <f t="shared" si="6"/>
        <v>8.7499999999999994E-2</v>
      </c>
      <c r="AB270" s="8">
        <v>108</v>
      </c>
      <c r="AC270" s="15">
        <v>27897801306663</v>
      </c>
      <c r="AD270" s="4" t="s">
        <v>992</v>
      </c>
    </row>
    <row r="271" spans="2:30" x14ac:dyDescent="0.35">
      <c r="B271" s="14">
        <v>450</v>
      </c>
      <c r="C271" s="4" t="s">
        <v>278</v>
      </c>
      <c r="D271" s="4" t="s">
        <v>2371</v>
      </c>
      <c r="E271" s="4" t="s">
        <v>2911</v>
      </c>
      <c r="F271" s="4" t="s">
        <v>85</v>
      </c>
      <c r="G271" s="4" t="s">
        <v>993</v>
      </c>
      <c r="H271" s="6">
        <v>1.4E-2</v>
      </c>
      <c r="I271" s="8">
        <v>33.799999999999997</v>
      </c>
      <c r="J271" s="8">
        <v>33.799999999999997</v>
      </c>
      <c r="K271" s="8">
        <v>35.700000000000003</v>
      </c>
      <c r="L271" s="8">
        <f t="shared" si="7"/>
        <v>40785.108</v>
      </c>
      <c r="M271" s="15">
        <v>7897801301985</v>
      </c>
      <c r="N271" s="6" t="s">
        <v>20</v>
      </c>
      <c r="O271" s="6" t="s">
        <v>20</v>
      </c>
      <c r="P271" s="6" t="s">
        <v>20</v>
      </c>
      <c r="Q271" s="6">
        <v>0.15</v>
      </c>
      <c r="R271" s="6">
        <v>7.0000000000000007E-2</v>
      </c>
      <c r="S271" s="6">
        <v>0.23</v>
      </c>
      <c r="T271" s="8">
        <v>50</v>
      </c>
      <c r="U271" s="5" t="s">
        <v>994</v>
      </c>
      <c r="V271" s="89">
        <v>0</v>
      </c>
      <c r="W271" s="15">
        <v>17897801301982</v>
      </c>
      <c r="X271" s="6">
        <v>0.56999999999999995</v>
      </c>
      <c r="Y271" s="6">
        <v>0.16</v>
      </c>
      <c r="Z271" s="6">
        <v>0.7</v>
      </c>
      <c r="AA271" s="6">
        <f t="shared" ref="AA271:AA330" si="8">Y271*X271*Z271</f>
        <v>6.3839999999999994E-2</v>
      </c>
      <c r="AB271" s="8">
        <v>1500</v>
      </c>
      <c r="AC271" s="15">
        <v>47897801301983</v>
      </c>
      <c r="AD271" s="4" t="s">
        <v>992</v>
      </c>
    </row>
    <row r="272" spans="2:30" x14ac:dyDescent="0.35">
      <c r="B272" s="14">
        <v>451</v>
      </c>
      <c r="C272" s="4" t="s">
        <v>279</v>
      </c>
      <c r="D272" s="4" t="s">
        <v>2371</v>
      </c>
      <c r="E272" s="4" t="s">
        <v>2911</v>
      </c>
      <c r="F272" s="4" t="s">
        <v>85</v>
      </c>
      <c r="G272" s="4" t="s">
        <v>993</v>
      </c>
      <c r="H272" s="6">
        <v>2.3199999999999998E-2</v>
      </c>
      <c r="I272" s="8">
        <v>42</v>
      </c>
      <c r="J272" s="8">
        <v>43.3</v>
      </c>
      <c r="K272" s="8">
        <v>42</v>
      </c>
      <c r="L272" s="8">
        <f t="shared" si="7"/>
        <v>76381.2</v>
      </c>
      <c r="M272" s="15">
        <v>7897801301992</v>
      </c>
      <c r="N272" s="6" t="s">
        <v>20</v>
      </c>
      <c r="O272" s="6" t="s">
        <v>20</v>
      </c>
      <c r="P272" s="6" t="s">
        <v>20</v>
      </c>
      <c r="Q272" s="6">
        <v>0.17</v>
      </c>
      <c r="R272" s="6">
        <v>0.04</v>
      </c>
      <c r="S272" s="6">
        <v>0.23</v>
      </c>
      <c r="T272" s="8">
        <v>20</v>
      </c>
      <c r="U272" s="5" t="s">
        <v>994</v>
      </c>
      <c r="V272" s="89">
        <v>0</v>
      </c>
      <c r="W272" s="15">
        <v>17897801301999</v>
      </c>
      <c r="X272" s="6">
        <v>0.55000000000000004</v>
      </c>
      <c r="Y272" s="6">
        <v>0.2</v>
      </c>
      <c r="Z272" s="6">
        <v>0.7</v>
      </c>
      <c r="AA272" s="6">
        <f t="shared" si="8"/>
        <v>7.6999999999999999E-2</v>
      </c>
      <c r="AB272" s="8">
        <v>900</v>
      </c>
      <c r="AC272" s="15">
        <v>47897801301990</v>
      </c>
      <c r="AD272" s="4" t="s">
        <v>992</v>
      </c>
    </row>
    <row r="273" spans="2:30" x14ac:dyDescent="0.35">
      <c r="B273" s="14">
        <v>452</v>
      </c>
      <c r="C273" s="4" t="s">
        <v>280</v>
      </c>
      <c r="D273" s="4" t="s">
        <v>2371</v>
      </c>
      <c r="E273" s="4" t="s">
        <v>2911</v>
      </c>
      <c r="F273" s="4" t="s">
        <v>85</v>
      </c>
      <c r="G273" s="4" t="s">
        <v>993</v>
      </c>
      <c r="H273" s="6">
        <v>4.0599999999999997E-2</v>
      </c>
      <c r="I273" s="8">
        <v>60</v>
      </c>
      <c r="J273" s="8">
        <v>50</v>
      </c>
      <c r="K273" s="8">
        <v>50</v>
      </c>
      <c r="L273" s="8">
        <f t="shared" si="7"/>
        <v>150000</v>
      </c>
      <c r="M273" s="15">
        <v>7897801311960</v>
      </c>
      <c r="N273" s="6" t="s">
        <v>20</v>
      </c>
      <c r="O273" s="6" t="s">
        <v>20</v>
      </c>
      <c r="P273" s="6" t="s">
        <v>20</v>
      </c>
      <c r="Q273" s="6">
        <v>0.22</v>
      </c>
      <c r="R273" s="6">
        <v>0.06</v>
      </c>
      <c r="S273" s="6">
        <v>0.23</v>
      </c>
      <c r="T273" s="8">
        <v>10</v>
      </c>
      <c r="U273" s="5" t="s">
        <v>994</v>
      </c>
      <c r="V273" s="89">
        <v>0</v>
      </c>
      <c r="W273" s="15">
        <v>17897801311967</v>
      </c>
      <c r="X273" s="6">
        <v>0.49</v>
      </c>
      <c r="Y273" s="6">
        <v>0.22</v>
      </c>
      <c r="Z273" s="6">
        <v>0.74</v>
      </c>
      <c r="AA273" s="6">
        <f t="shared" si="8"/>
        <v>7.9771999999999996E-2</v>
      </c>
      <c r="AB273" s="8">
        <v>320</v>
      </c>
      <c r="AC273" s="15">
        <v>27897801311964</v>
      </c>
      <c r="AD273" s="4" t="s">
        <v>992</v>
      </c>
    </row>
    <row r="274" spans="2:30" x14ac:dyDescent="0.35">
      <c r="B274" s="14">
        <v>453</v>
      </c>
      <c r="C274" s="4" t="s">
        <v>281</v>
      </c>
      <c r="D274" s="4" t="s">
        <v>2371</v>
      </c>
      <c r="E274" s="4" t="s">
        <v>2911</v>
      </c>
      <c r="F274" s="4" t="s">
        <v>85</v>
      </c>
      <c r="G274" s="4" t="s">
        <v>993</v>
      </c>
      <c r="H274" s="6">
        <v>6.8599999999999994E-2</v>
      </c>
      <c r="I274" s="8">
        <v>70</v>
      </c>
      <c r="J274" s="8">
        <v>60</v>
      </c>
      <c r="K274" s="8">
        <v>60</v>
      </c>
      <c r="L274" s="8">
        <f t="shared" si="7"/>
        <v>252000</v>
      </c>
      <c r="M274" s="15">
        <v>7897801311977</v>
      </c>
      <c r="N274" s="6" t="s">
        <v>20</v>
      </c>
      <c r="O274" s="6" t="s">
        <v>20</v>
      </c>
      <c r="P274" s="6" t="s">
        <v>20</v>
      </c>
      <c r="Q274" s="6">
        <v>0.15</v>
      </c>
      <c r="R274" s="6">
        <v>7.0000000000000007E-2</v>
      </c>
      <c r="S274" s="6">
        <v>0.25</v>
      </c>
      <c r="T274" s="8">
        <v>10</v>
      </c>
      <c r="U274" s="5" t="s">
        <v>994</v>
      </c>
      <c r="V274" s="89">
        <v>0</v>
      </c>
      <c r="W274" s="15">
        <v>17897801311974</v>
      </c>
      <c r="X274" s="6">
        <v>0.45</v>
      </c>
      <c r="Y274" s="6">
        <v>0.18</v>
      </c>
      <c r="Z274" s="6">
        <v>0.7</v>
      </c>
      <c r="AA274" s="6">
        <f t="shared" si="8"/>
        <v>5.67E-2</v>
      </c>
      <c r="AB274" s="8">
        <v>240</v>
      </c>
      <c r="AC274" s="15">
        <v>27897801311971</v>
      </c>
      <c r="AD274" s="4" t="s">
        <v>992</v>
      </c>
    </row>
    <row r="275" spans="2:30" x14ac:dyDescent="0.35">
      <c r="B275" s="14">
        <v>454</v>
      </c>
      <c r="C275" s="4" t="s">
        <v>282</v>
      </c>
      <c r="D275" s="4" t="s">
        <v>2371</v>
      </c>
      <c r="E275" s="4" t="s">
        <v>2911</v>
      </c>
      <c r="F275" s="4" t="s">
        <v>85</v>
      </c>
      <c r="G275" s="4" t="s">
        <v>993</v>
      </c>
      <c r="H275" s="6">
        <v>2.1100000000000001E-2</v>
      </c>
      <c r="I275" s="8">
        <v>54</v>
      </c>
      <c r="J275" s="8">
        <v>28</v>
      </c>
      <c r="K275" s="8">
        <v>41</v>
      </c>
      <c r="L275" s="8">
        <f t="shared" si="7"/>
        <v>61992</v>
      </c>
      <c r="M275" s="15">
        <v>7897801300346</v>
      </c>
      <c r="N275" s="6" t="s">
        <v>20</v>
      </c>
      <c r="O275" s="6" t="s">
        <v>20</v>
      </c>
      <c r="P275" s="6" t="s">
        <v>20</v>
      </c>
      <c r="Q275" s="6">
        <v>0.22</v>
      </c>
      <c r="R275" s="6">
        <v>0.08</v>
      </c>
      <c r="S275" s="6">
        <v>0.3</v>
      </c>
      <c r="T275" s="8">
        <v>50</v>
      </c>
      <c r="U275" s="5" t="s">
        <v>994</v>
      </c>
      <c r="V275" s="89">
        <v>0</v>
      </c>
      <c r="W275" s="15">
        <v>17897801300343</v>
      </c>
      <c r="X275" s="6">
        <v>0.53</v>
      </c>
      <c r="Y275" s="6">
        <v>0.25</v>
      </c>
      <c r="Z275" s="6">
        <v>0.72</v>
      </c>
      <c r="AA275" s="6">
        <f t="shared" si="8"/>
        <v>9.5399999999999999E-2</v>
      </c>
      <c r="AB275" s="8">
        <v>1000</v>
      </c>
      <c r="AC275" s="15">
        <v>27897801300340</v>
      </c>
      <c r="AD275" s="4" t="s">
        <v>992</v>
      </c>
    </row>
    <row r="276" spans="2:30" x14ac:dyDescent="0.35">
      <c r="B276" s="14">
        <v>455</v>
      </c>
      <c r="C276" s="4" t="s">
        <v>283</v>
      </c>
      <c r="D276" s="4" t="s">
        <v>2371</v>
      </c>
      <c r="E276" s="4" t="s">
        <v>2911</v>
      </c>
      <c r="F276" s="4" t="s">
        <v>85</v>
      </c>
      <c r="G276" s="4" t="s">
        <v>993</v>
      </c>
      <c r="H276" s="6">
        <v>3.1600000000000003E-2</v>
      </c>
      <c r="I276" s="8">
        <v>64</v>
      </c>
      <c r="J276" s="8">
        <v>33.799999999999997</v>
      </c>
      <c r="K276" s="8">
        <v>48.9</v>
      </c>
      <c r="L276" s="8">
        <f t="shared" si="7"/>
        <v>105780.47999999998</v>
      </c>
      <c r="M276" s="15">
        <v>7897801300322</v>
      </c>
      <c r="N276" s="6" t="s">
        <v>20</v>
      </c>
      <c r="O276" s="6" t="s">
        <v>20</v>
      </c>
      <c r="P276" s="6" t="s">
        <v>20</v>
      </c>
      <c r="Q276" s="6">
        <v>0.32</v>
      </c>
      <c r="R276" s="6">
        <v>7.0000000000000007E-2</v>
      </c>
      <c r="S276" s="6">
        <v>0.43</v>
      </c>
      <c r="T276" s="8">
        <v>50</v>
      </c>
      <c r="U276" s="5" t="s">
        <v>994</v>
      </c>
      <c r="V276" s="89">
        <v>0</v>
      </c>
      <c r="W276" s="15">
        <v>17897801300329</v>
      </c>
      <c r="X276" s="6">
        <v>0.57999999999999996</v>
      </c>
      <c r="Y276" s="6">
        <v>0.22</v>
      </c>
      <c r="Z276" s="6">
        <v>0.68</v>
      </c>
      <c r="AA276" s="6">
        <f t="shared" si="8"/>
        <v>8.6767999999999998E-2</v>
      </c>
      <c r="AB276" s="8">
        <v>600</v>
      </c>
      <c r="AC276" s="15">
        <v>27897801300326</v>
      </c>
      <c r="AD276" s="4" t="s">
        <v>992</v>
      </c>
    </row>
    <row r="277" spans="2:30" x14ac:dyDescent="0.35">
      <c r="B277" s="14">
        <v>456</v>
      </c>
      <c r="C277" s="4" t="s">
        <v>284</v>
      </c>
      <c r="D277" s="4" t="s">
        <v>2371</v>
      </c>
      <c r="E277" s="4" t="s">
        <v>2911</v>
      </c>
      <c r="F277" s="4" t="s">
        <v>85</v>
      </c>
      <c r="G277" s="4" t="s">
        <v>993</v>
      </c>
      <c r="H277" s="6">
        <v>5.5300000000000002E-2</v>
      </c>
      <c r="I277" s="8">
        <v>60</v>
      </c>
      <c r="J277" s="8">
        <v>42</v>
      </c>
      <c r="K277" s="8">
        <v>78</v>
      </c>
      <c r="L277" s="8">
        <f t="shared" si="7"/>
        <v>196560</v>
      </c>
      <c r="M277" s="15">
        <v>7897801301589</v>
      </c>
      <c r="N277" s="6" t="s">
        <v>20</v>
      </c>
      <c r="O277" s="6" t="s">
        <v>20</v>
      </c>
      <c r="P277" s="6" t="s">
        <v>20</v>
      </c>
      <c r="Q277" s="6">
        <v>0.35</v>
      </c>
      <c r="R277" s="6">
        <v>0.08</v>
      </c>
      <c r="S277" s="6">
        <v>0.38</v>
      </c>
      <c r="T277" s="8">
        <v>25</v>
      </c>
      <c r="U277" s="5" t="s">
        <v>994</v>
      </c>
      <c r="V277" s="89">
        <v>0</v>
      </c>
      <c r="W277" s="15">
        <v>17897801301586</v>
      </c>
      <c r="X277" s="6">
        <v>0.57999999999999996</v>
      </c>
      <c r="Y277" s="6">
        <v>0.23</v>
      </c>
      <c r="Z277" s="6">
        <v>0.8</v>
      </c>
      <c r="AA277" s="6">
        <f t="shared" si="8"/>
        <v>0.10672</v>
      </c>
      <c r="AB277" s="8">
        <v>350</v>
      </c>
      <c r="AC277" s="15">
        <v>27897801301583</v>
      </c>
      <c r="AD277" s="4" t="s">
        <v>992</v>
      </c>
    </row>
    <row r="278" spans="2:30" x14ac:dyDescent="0.35">
      <c r="B278" s="14">
        <v>457</v>
      </c>
      <c r="C278" s="4" t="s">
        <v>285</v>
      </c>
      <c r="D278" s="4" t="s">
        <v>2371</v>
      </c>
      <c r="E278" s="4" t="s">
        <v>2911</v>
      </c>
      <c r="F278" s="4" t="s">
        <v>85</v>
      </c>
      <c r="G278" s="4" t="s">
        <v>993</v>
      </c>
      <c r="H278" s="6">
        <v>0.09</v>
      </c>
      <c r="I278" s="8">
        <v>73.7</v>
      </c>
      <c r="J278" s="8">
        <v>51.6</v>
      </c>
      <c r="K278" s="8">
        <v>95.8</v>
      </c>
      <c r="L278" s="8">
        <f t="shared" si="7"/>
        <v>364319.73599999998</v>
      </c>
      <c r="M278" s="15">
        <v>7897801301886</v>
      </c>
      <c r="N278" s="6" t="s">
        <v>20</v>
      </c>
      <c r="O278" s="6" t="s">
        <v>20</v>
      </c>
      <c r="P278" s="6" t="s">
        <v>20</v>
      </c>
      <c r="Q278" s="6">
        <v>0.18</v>
      </c>
      <c r="R278" s="6">
        <v>0.1</v>
      </c>
      <c r="S278" s="6">
        <v>0.3</v>
      </c>
      <c r="T278" s="8">
        <v>10</v>
      </c>
      <c r="U278" s="5" t="s">
        <v>994</v>
      </c>
      <c r="V278" s="89">
        <v>0</v>
      </c>
      <c r="W278" s="15">
        <v>17897801301883</v>
      </c>
      <c r="X278" s="6">
        <v>0.5</v>
      </c>
      <c r="Y278" s="6">
        <v>0.2</v>
      </c>
      <c r="Z278" s="6">
        <v>0.7</v>
      </c>
      <c r="AA278" s="6">
        <f t="shared" si="8"/>
        <v>6.9999999999999993E-2</v>
      </c>
      <c r="AB278" s="8">
        <v>200</v>
      </c>
      <c r="AC278" s="15">
        <v>27897801301880</v>
      </c>
      <c r="AD278" s="4" t="s">
        <v>992</v>
      </c>
    </row>
    <row r="279" spans="2:30" x14ac:dyDescent="0.35">
      <c r="B279" s="14">
        <v>458</v>
      </c>
      <c r="C279" s="4" t="s">
        <v>286</v>
      </c>
      <c r="D279" s="4" t="s">
        <v>2371</v>
      </c>
      <c r="E279" s="4" t="s">
        <v>2911</v>
      </c>
      <c r="F279" s="4" t="s">
        <v>85</v>
      </c>
      <c r="G279" s="4" t="s">
        <v>993</v>
      </c>
      <c r="H279" s="6">
        <v>0.14299999999999999</v>
      </c>
      <c r="I279" s="8">
        <v>89</v>
      </c>
      <c r="J279" s="8">
        <v>63</v>
      </c>
      <c r="K279" s="8">
        <v>115</v>
      </c>
      <c r="L279" s="8">
        <f t="shared" si="7"/>
        <v>644805</v>
      </c>
      <c r="M279" s="15">
        <v>7897801300698</v>
      </c>
      <c r="N279" s="6" t="s">
        <v>20</v>
      </c>
      <c r="O279" s="6" t="s">
        <v>20</v>
      </c>
      <c r="P279" s="6" t="s">
        <v>20</v>
      </c>
      <c r="Q279" s="6">
        <v>0.28000000000000003</v>
      </c>
      <c r="R279" s="6">
        <v>0.12</v>
      </c>
      <c r="S279" s="6">
        <v>0.45</v>
      </c>
      <c r="T279" s="8">
        <v>10</v>
      </c>
      <c r="U279" s="5" t="s">
        <v>994</v>
      </c>
      <c r="V279" s="89">
        <v>0</v>
      </c>
      <c r="W279" s="15">
        <v>17897801300695</v>
      </c>
      <c r="X279" s="6">
        <v>0.53</v>
      </c>
      <c r="Y279" s="6">
        <v>0.25</v>
      </c>
      <c r="Z279" s="6">
        <v>0.8</v>
      </c>
      <c r="AA279" s="6">
        <f t="shared" si="8"/>
        <v>0.10600000000000001</v>
      </c>
      <c r="AB279" s="8">
        <v>100</v>
      </c>
      <c r="AC279" s="15">
        <v>27897801300692</v>
      </c>
      <c r="AD279" s="4" t="s">
        <v>992</v>
      </c>
    </row>
    <row r="280" spans="2:30" x14ac:dyDescent="0.35">
      <c r="B280" s="14">
        <v>459</v>
      </c>
      <c r="C280" s="4" t="s">
        <v>287</v>
      </c>
      <c r="D280" s="4" t="s">
        <v>2371</v>
      </c>
      <c r="E280" s="4" t="s">
        <v>2911</v>
      </c>
      <c r="F280" s="4" t="s">
        <v>85</v>
      </c>
      <c r="G280" s="4" t="s">
        <v>993</v>
      </c>
      <c r="H280" s="6">
        <v>0.23530000000000001</v>
      </c>
      <c r="I280" s="8">
        <v>105.9</v>
      </c>
      <c r="J280" s="8">
        <v>74</v>
      </c>
      <c r="K280" s="8">
        <v>137.80000000000001</v>
      </c>
      <c r="L280" s="8">
        <f t="shared" si="7"/>
        <v>1079883.4800000002</v>
      </c>
      <c r="M280" s="15">
        <v>7897801302968</v>
      </c>
      <c r="N280" s="6" t="s">
        <v>20</v>
      </c>
      <c r="O280" s="6" t="s">
        <v>20</v>
      </c>
      <c r="P280" s="6" t="s">
        <v>20</v>
      </c>
      <c r="Q280" s="6">
        <v>0.24</v>
      </c>
      <c r="R280" s="6">
        <v>0.11</v>
      </c>
      <c r="S280" s="6">
        <v>0.35</v>
      </c>
      <c r="T280" s="8">
        <v>5</v>
      </c>
      <c r="U280" s="5" t="s">
        <v>994</v>
      </c>
      <c r="V280" s="89">
        <v>0</v>
      </c>
      <c r="W280" s="15">
        <v>17897801302965</v>
      </c>
      <c r="X280" s="6">
        <v>0.5</v>
      </c>
      <c r="Y280" s="6">
        <v>0.28999999999999998</v>
      </c>
      <c r="Z280" s="6">
        <v>0.7</v>
      </c>
      <c r="AA280" s="6">
        <f t="shared" si="8"/>
        <v>0.10149999999999999</v>
      </c>
      <c r="AB280" s="8">
        <v>70</v>
      </c>
      <c r="AC280" s="15">
        <v>27897801302962</v>
      </c>
      <c r="AD280" s="4" t="s">
        <v>992</v>
      </c>
    </row>
    <row r="281" spans="2:30" x14ac:dyDescent="0.35">
      <c r="B281" s="14">
        <v>460</v>
      </c>
      <c r="C281" s="4" t="s">
        <v>288</v>
      </c>
      <c r="D281" s="4" t="s">
        <v>2371</v>
      </c>
      <c r="E281" s="4" t="s">
        <v>2911</v>
      </c>
      <c r="F281" s="4" t="s">
        <v>85</v>
      </c>
      <c r="G281" s="4" t="s">
        <v>993</v>
      </c>
      <c r="H281" s="6">
        <v>0.5444</v>
      </c>
      <c r="I281" s="8">
        <v>174</v>
      </c>
      <c r="J281" s="8">
        <v>174</v>
      </c>
      <c r="K281" s="8">
        <v>133</v>
      </c>
      <c r="L281" s="8">
        <f t="shared" si="7"/>
        <v>4026708</v>
      </c>
      <c r="M281" s="15">
        <v>7897801308939</v>
      </c>
      <c r="N281" s="6" t="s">
        <v>20</v>
      </c>
      <c r="O281" s="6" t="s">
        <v>20</v>
      </c>
      <c r="P281" s="6" t="s">
        <v>20</v>
      </c>
      <c r="Q281" s="6">
        <v>0.28000000000000003</v>
      </c>
      <c r="R281" s="6">
        <v>9.5000000000000001E-2</v>
      </c>
      <c r="S281" s="6">
        <v>0.45</v>
      </c>
      <c r="T281" s="8">
        <v>5</v>
      </c>
      <c r="U281" s="5" t="s">
        <v>994</v>
      </c>
      <c r="V281" s="89">
        <v>0</v>
      </c>
      <c r="W281" s="15">
        <v>17897801308936</v>
      </c>
      <c r="X281" s="6">
        <v>0.55000000000000004</v>
      </c>
      <c r="Y281" s="6">
        <v>0.2</v>
      </c>
      <c r="Z281" s="6">
        <v>0.7</v>
      </c>
      <c r="AA281" s="6">
        <f t="shared" si="8"/>
        <v>7.6999999999999999E-2</v>
      </c>
      <c r="AB281" s="8">
        <v>30</v>
      </c>
      <c r="AC281" s="15">
        <v>27897801308933</v>
      </c>
      <c r="AD281" s="4" t="s">
        <v>992</v>
      </c>
    </row>
    <row r="282" spans="2:30" x14ac:dyDescent="0.35">
      <c r="B282" s="14">
        <v>461</v>
      </c>
      <c r="C282" s="4" t="s">
        <v>289</v>
      </c>
      <c r="D282" s="4" t="s">
        <v>2371</v>
      </c>
      <c r="E282" s="4" t="s">
        <v>2911</v>
      </c>
      <c r="F282" s="4" t="s">
        <v>85</v>
      </c>
      <c r="G282" s="4" t="s">
        <v>993</v>
      </c>
      <c r="H282" s="6">
        <v>0.64</v>
      </c>
      <c r="I282" s="8">
        <v>197</v>
      </c>
      <c r="J282" s="8">
        <v>197</v>
      </c>
      <c r="K282" s="8">
        <v>148</v>
      </c>
      <c r="L282" s="8">
        <f t="shared" si="7"/>
        <v>5743732</v>
      </c>
      <c r="M282" s="15">
        <v>7897801308830</v>
      </c>
      <c r="N282" s="6" t="s">
        <v>20</v>
      </c>
      <c r="O282" s="6" t="s">
        <v>20</v>
      </c>
      <c r="P282" s="6" t="s">
        <v>20</v>
      </c>
      <c r="Q282" s="6">
        <v>0.19500000000000001</v>
      </c>
      <c r="R282" s="6">
        <v>1050</v>
      </c>
      <c r="S282" s="6">
        <v>0.44500000000000001</v>
      </c>
      <c r="T282" s="8">
        <v>3</v>
      </c>
      <c r="U282" s="5" t="s">
        <v>994</v>
      </c>
      <c r="V282" s="89">
        <v>0</v>
      </c>
      <c r="W282" s="15">
        <v>17897801308837</v>
      </c>
      <c r="X282" s="6">
        <v>0.46</v>
      </c>
      <c r="Y282" s="6">
        <v>0.2</v>
      </c>
      <c r="Z282" s="6">
        <v>0.65</v>
      </c>
      <c r="AA282" s="6">
        <f t="shared" si="8"/>
        <v>5.9800000000000013E-2</v>
      </c>
      <c r="AB282" s="8">
        <v>18</v>
      </c>
      <c r="AC282" s="15">
        <v>27897801308834</v>
      </c>
      <c r="AD282" s="4" t="s">
        <v>992</v>
      </c>
    </row>
    <row r="283" spans="2:30" x14ac:dyDescent="0.35">
      <c r="B283" s="14">
        <v>462</v>
      </c>
      <c r="C283" s="4" t="s">
        <v>290</v>
      </c>
      <c r="D283" s="4" t="s">
        <v>2371</v>
      </c>
      <c r="E283" s="4" t="s">
        <v>2911</v>
      </c>
      <c r="F283" s="4" t="s">
        <v>85</v>
      </c>
      <c r="G283" s="4" t="s">
        <v>993</v>
      </c>
      <c r="H283" s="6">
        <v>1.3361000000000001</v>
      </c>
      <c r="I283" s="8">
        <v>250</v>
      </c>
      <c r="J283" s="8">
        <v>190</v>
      </c>
      <c r="K283" s="8">
        <v>130</v>
      </c>
      <c r="L283" s="8">
        <f t="shared" si="7"/>
        <v>6175000</v>
      </c>
      <c r="M283" s="15">
        <v>7897801309356</v>
      </c>
      <c r="N283" s="6" t="s">
        <v>20</v>
      </c>
      <c r="O283" s="6" t="s">
        <v>20</v>
      </c>
      <c r="P283" s="6" t="s">
        <v>20</v>
      </c>
      <c r="Q283" s="6">
        <v>0.19</v>
      </c>
      <c r="R283" s="6">
        <v>0.13</v>
      </c>
      <c r="S283" s="6">
        <v>0.25</v>
      </c>
      <c r="T283" s="8">
        <v>1</v>
      </c>
      <c r="U283" s="5" t="s">
        <v>994</v>
      </c>
      <c r="V283" s="89">
        <v>0</v>
      </c>
      <c r="W283" s="15">
        <v>17897801309353</v>
      </c>
      <c r="X283" s="6">
        <v>0.49</v>
      </c>
      <c r="Y283" s="6">
        <v>0.25</v>
      </c>
      <c r="Z283" s="6">
        <v>0.66</v>
      </c>
      <c r="AA283" s="6">
        <f t="shared" si="8"/>
        <v>8.0850000000000005E-2</v>
      </c>
      <c r="AB283" s="8">
        <v>10</v>
      </c>
      <c r="AC283" s="15">
        <v>27897801309350</v>
      </c>
      <c r="AD283" s="4" t="s">
        <v>992</v>
      </c>
    </row>
    <row r="284" spans="2:30" x14ac:dyDescent="0.35">
      <c r="B284" s="14">
        <v>463</v>
      </c>
      <c r="C284" s="4" t="s">
        <v>291</v>
      </c>
      <c r="D284" s="4" t="s">
        <v>2371</v>
      </c>
      <c r="E284" s="4" t="s">
        <v>2911</v>
      </c>
      <c r="F284" s="4" t="s">
        <v>85</v>
      </c>
      <c r="G284" s="4" t="s">
        <v>993</v>
      </c>
      <c r="H284" s="6">
        <v>2.8000000000000001E-2</v>
      </c>
      <c r="I284" s="8">
        <v>46.8</v>
      </c>
      <c r="J284" s="8">
        <v>33.799999999999997</v>
      </c>
      <c r="K284" s="8">
        <v>60</v>
      </c>
      <c r="L284" s="8">
        <f t="shared" si="7"/>
        <v>94910.39999999998</v>
      </c>
      <c r="M284" s="15">
        <v>7897801302005</v>
      </c>
      <c r="N284" s="6" t="s">
        <v>20</v>
      </c>
      <c r="O284" s="6" t="s">
        <v>20</v>
      </c>
      <c r="P284" s="6" t="s">
        <v>20</v>
      </c>
      <c r="Q284" s="6">
        <v>0.17</v>
      </c>
      <c r="R284" s="6">
        <v>5.5E-2</v>
      </c>
      <c r="S284" s="6">
        <v>0.26</v>
      </c>
      <c r="T284" s="8">
        <v>20</v>
      </c>
      <c r="U284" s="5" t="s">
        <v>994</v>
      </c>
      <c r="V284" s="89">
        <v>0</v>
      </c>
      <c r="W284" s="15">
        <v>17897801302002</v>
      </c>
      <c r="X284" s="6">
        <v>0.55000000000000004</v>
      </c>
      <c r="Y284" s="6">
        <v>0.215</v>
      </c>
      <c r="Z284" s="6">
        <v>0.75</v>
      </c>
      <c r="AA284" s="6">
        <f t="shared" si="8"/>
        <v>8.8687500000000002E-2</v>
      </c>
      <c r="AB284" s="8">
        <v>800</v>
      </c>
      <c r="AC284" s="15">
        <v>27897801302009</v>
      </c>
      <c r="AD284" s="4" t="s">
        <v>992</v>
      </c>
    </row>
    <row r="285" spans="2:30" x14ac:dyDescent="0.35">
      <c r="B285" s="14">
        <v>464</v>
      </c>
      <c r="C285" s="4" t="s">
        <v>292</v>
      </c>
      <c r="D285" s="4" t="s">
        <v>2371</v>
      </c>
      <c r="E285" s="4" t="s">
        <v>2911</v>
      </c>
      <c r="F285" s="4" t="s">
        <v>85</v>
      </c>
      <c r="G285" s="4" t="s">
        <v>993</v>
      </c>
      <c r="H285" s="6">
        <v>4.8500000000000001E-2</v>
      </c>
      <c r="I285" s="8">
        <v>56</v>
      </c>
      <c r="J285" s="8">
        <v>72</v>
      </c>
      <c r="K285" s="8">
        <v>56</v>
      </c>
      <c r="L285" s="8">
        <f t="shared" si="7"/>
        <v>225792</v>
      </c>
      <c r="M285" s="15">
        <v>7897801307130</v>
      </c>
      <c r="N285" s="6" t="s">
        <v>20</v>
      </c>
      <c r="O285" s="6" t="s">
        <v>20</v>
      </c>
      <c r="P285" s="6" t="s">
        <v>20</v>
      </c>
      <c r="Q285" s="6">
        <v>0.27</v>
      </c>
      <c r="R285" s="6">
        <v>0.08</v>
      </c>
      <c r="S285" s="6">
        <v>0.35</v>
      </c>
      <c r="T285" s="8">
        <v>20</v>
      </c>
      <c r="U285" s="5" t="s">
        <v>994</v>
      </c>
      <c r="V285" s="89">
        <v>0</v>
      </c>
      <c r="W285" s="15">
        <v>17897801307137</v>
      </c>
      <c r="X285" s="6">
        <v>0.6</v>
      </c>
      <c r="Y285" s="6">
        <v>0.19</v>
      </c>
      <c r="Z285" s="6">
        <v>0.81</v>
      </c>
      <c r="AA285" s="6">
        <f t="shared" si="8"/>
        <v>9.2339999999999992E-2</v>
      </c>
      <c r="AB285" s="8">
        <v>400</v>
      </c>
      <c r="AC285" s="15">
        <v>27897801307134</v>
      </c>
      <c r="AD285" s="4" t="s">
        <v>992</v>
      </c>
    </row>
    <row r="286" spans="2:30" x14ac:dyDescent="0.35">
      <c r="B286" s="14">
        <v>465</v>
      </c>
      <c r="C286" s="4" t="s">
        <v>293</v>
      </c>
      <c r="D286" s="4" t="s">
        <v>2371</v>
      </c>
      <c r="E286" s="4" t="s">
        <v>2911</v>
      </c>
      <c r="F286" s="4" t="s">
        <v>85</v>
      </c>
      <c r="G286" s="4" t="s">
        <v>993</v>
      </c>
      <c r="H286" s="6">
        <v>6.8000000000000005E-2</v>
      </c>
      <c r="I286" s="8">
        <v>66</v>
      </c>
      <c r="J286" s="8">
        <v>71.5</v>
      </c>
      <c r="K286" s="8">
        <v>66</v>
      </c>
      <c r="L286" s="8">
        <f t="shared" si="7"/>
        <v>311454</v>
      </c>
      <c r="M286" s="15">
        <v>7897801307284</v>
      </c>
      <c r="N286" s="6" t="s">
        <v>20</v>
      </c>
      <c r="O286" s="6" t="s">
        <v>20</v>
      </c>
      <c r="P286" s="6" t="s">
        <v>20</v>
      </c>
      <c r="Q286" s="6">
        <v>0.19</v>
      </c>
      <c r="R286" s="6">
        <v>8.2000000000000003E-2</v>
      </c>
      <c r="S286" s="6">
        <v>0.26</v>
      </c>
      <c r="T286" s="8">
        <v>10</v>
      </c>
      <c r="U286" s="5" t="s">
        <v>994</v>
      </c>
      <c r="V286" s="89">
        <v>0</v>
      </c>
      <c r="W286" s="15">
        <v>17897801307281</v>
      </c>
      <c r="X286" s="6">
        <v>0.54</v>
      </c>
      <c r="Y286" s="6">
        <v>0.27</v>
      </c>
      <c r="Z286" s="6">
        <v>0.75</v>
      </c>
      <c r="AA286" s="6">
        <f t="shared" si="8"/>
        <v>0.10935</v>
      </c>
      <c r="AB286" s="8">
        <v>280</v>
      </c>
      <c r="AC286" s="15">
        <v>27897801307288</v>
      </c>
      <c r="AD286" s="4" t="s">
        <v>992</v>
      </c>
    </row>
    <row r="287" spans="2:30" x14ac:dyDescent="0.35">
      <c r="B287" s="14">
        <v>466</v>
      </c>
      <c r="C287" s="4" t="s">
        <v>294</v>
      </c>
      <c r="D287" s="4" t="s">
        <v>2371</v>
      </c>
      <c r="E287" s="4" t="s">
        <v>2911</v>
      </c>
      <c r="F287" s="4" t="s">
        <v>85</v>
      </c>
      <c r="G287" s="4" t="s">
        <v>993</v>
      </c>
      <c r="H287" s="6">
        <v>8.6699999999999999E-2</v>
      </c>
      <c r="I287" s="8">
        <v>71</v>
      </c>
      <c r="J287" s="8">
        <v>91.5</v>
      </c>
      <c r="K287" s="8">
        <v>71</v>
      </c>
      <c r="L287" s="8">
        <f t="shared" si="7"/>
        <v>461251.5</v>
      </c>
      <c r="M287" s="15">
        <v>7897801307291</v>
      </c>
      <c r="N287" s="6" t="s">
        <v>20</v>
      </c>
      <c r="O287" s="6" t="s">
        <v>20</v>
      </c>
      <c r="P287" s="6" t="s">
        <v>20</v>
      </c>
      <c r="Q287" s="6">
        <v>0.21</v>
      </c>
      <c r="R287" s="6">
        <v>0.12</v>
      </c>
      <c r="S287" s="6">
        <v>0.32</v>
      </c>
      <c r="T287" s="8">
        <v>10</v>
      </c>
      <c r="U287" s="5" t="s">
        <v>994</v>
      </c>
      <c r="V287" s="89">
        <v>0</v>
      </c>
      <c r="W287" s="15">
        <v>17897801307298</v>
      </c>
      <c r="X287" s="6">
        <v>0.52</v>
      </c>
      <c r="Y287" s="6">
        <v>0.34</v>
      </c>
      <c r="Z287" s="6">
        <v>0.83</v>
      </c>
      <c r="AA287" s="6">
        <f t="shared" si="8"/>
        <v>0.14674400000000001</v>
      </c>
      <c r="AB287" s="8">
        <v>250</v>
      </c>
      <c r="AC287" s="15">
        <v>27897801307295</v>
      </c>
      <c r="AD287" s="4" t="s">
        <v>992</v>
      </c>
    </row>
    <row r="288" spans="2:30" x14ac:dyDescent="0.35">
      <c r="B288" s="14">
        <v>468</v>
      </c>
      <c r="C288" s="4" t="s">
        <v>295</v>
      </c>
      <c r="D288" s="4" t="s">
        <v>2371</v>
      </c>
      <c r="E288" s="4" t="s">
        <v>2911</v>
      </c>
      <c r="F288" s="4" t="s">
        <v>85</v>
      </c>
      <c r="G288" s="4" t="s">
        <v>993</v>
      </c>
      <c r="H288" s="6">
        <v>0.10100000000000001</v>
      </c>
      <c r="I288" s="8">
        <v>76.5</v>
      </c>
      <c r="J288" s="8">
        <v>63</v>
      </c>
      <c r="K288" s="8">
        <v>88.5</v>
      </c>
      <c r="L288" s="8">
        <f t="shared" si="7"/>
        <v>426525.75</v>
      </c>
      <c r="M288" s="15">
        <v>7897801300704</v>
      </c>
      <c r="N288" s="6" t="s">
        <v>20</v>
      </c>
      <c r="O288" s="6" t="s">
        <v>20</v>
      </c>
      <c r="P288" s="6" t="s">
        <v>20</v>
      </c>
      <c r="Q288" s="6">
        <v>0.2</v>
      </c>
      <c r="R288" s="6">
        <v>0.1</v>
      </c>
      <c r="S288" s="6">
        <v>0.4</v>
      </c>
      <c r="T288" s="8">
        <v>10</v>
      </c>
      <c r="U288" s="5" t="s">
        <v>994</v>
      </c>
      <c r="V288" s="89">
        <v>0</v>
      </c>
      <c r="W288" s="15">
        <v>17897801300701</v>
      </c>
      <c r="X288" s="6">
        <v>0.55000000000000004</v>
      </c>
      <c r="Y288" s="6">
        <v>0.2</v>
      </c>
      <c r="Z288" s="6">
        <v>0.75</v>
      </c>
      <c r="AA288" s="6">
        <f t="shared" si="8"/>
        <v>8.2500000000000018E-2</v>
      </c>
      <c r="AB288" s="8">
        <v>150</v>
      </c>
      <c r="AC288" s="15">
        <v>27897801300708</v>
      </c>
      <c r="AD288" s="4" t="s">
        <v>992</v>
      </c>
    </row>
    <row r="289" spans="2:30" x14ac:dyDescent="0.35">
      <c r="B289" s="14">
        <v>469</v>
      </c>
      <c r="C289" s="4" t="s">
        <v>296</v>
      </c>
      <c r="D289" s="4" t="s">
        <v>2371</v>
      </c>
      <c r="E289" s="4" t="s">
        <v>2911</v>
      </c>
      <c r="F289" s="4" t="s">
        <v>85</v>
      </c>
      <c r="G289" s="4" t="s">
        <v>993</v>
      </c>
      <c r="H289" s="6">
        <v>0.12</v>
      </c>
      <c r="I289" s="8">
        <v>81.2</v>
      </c>
      <c r="J289" s="8">
        <v>100.4</v>
      </c>
      <c r="K289" s="8">
        <v>81.2</v>
      </c>
      <c r="L289" s="8">
        <f t="shared" si="7"/>
        <v>661981.37600000005</v>
      </c>
      <c r="M289" s="15">
        <v>7897801307314</v>
      </c>
      <c r="N289" s="6" t="s">
        <v>20</v>
      </c>
      <c r="O289" s="6" t="s">
        <v>20</v>
      </c>
      <c r="P289" s="6" t="s">
        <v>20</v>
      </c>
      <c r="Q289" s="6">
        <v>0.18</v>
      </c>
      <c r="R289" s="6">
        <v>7.0000000000000007E-2</v>
      </c>
      <c r="S289" s="6">
        <v>0.28000000000000003</v>
      </c>
      <c r="T289" s="8">
        <v>6</v>
      </c>
      <c r="U289" s="5" t="s">
        <v>994</v>
      </c>
      <c r="V289" s="89">
        <v>0</v>
      </c>
      <c r="W289" s="15">
        <v>17897801307311</v>
      </c>
      <c r="X289" s="6">
        <v>0.5</v>
      </c>
      <c r="Y289" s="6">
        <v>0.21</v>
      </c>
      <c r="Z289" s="6">
        <v>0.7</v>
      </c>
      <c r="AA289" s="6">
        <f t="shared" si="8"/>
        <v>7.3499999999999996E-2</v>
      </c>
      <c r="AB289" s="8">
        <v>120</v>
      </c>
      <c r="AC289" s="15">
        <v>27897801307318</v>
      </c>
      <c r="AD289" s="4" t="s">
        <v>992</v>
      </c>
    </row>
    <row r="290" spans="2:30" x14ac:dyDescent="0.35">
      <c r="B290" s="14">
        <v>470</v>
      </c>
      <c r="C290" s="4" t="s">
        <v>297</v>
      </c>
      <c r="D290" s="4" t="s">
        <v>2371</v>
      </c>
      <c r="E290" s="4" t="s">
        <v>2911</v>
      </c>
      <c r="F290" s="4" t="s">
        <v>85</v>
      </c>
      <c r="G290" s="4" t="s">
        <v>993</v>
      </c>
      <c r="H290" s="6">
        <v>0.13589999999999999</v>
      </c>
      <c r="I290" s="8">
        <v>84.6</v>
      </c>
      <c r="J290" s="8">
        <v>107.6</v>
      </c>
      <c r="K290" s="8">
        <v>84.6</v>
      </c>
      <c r="L290" s="8">
        <f t="shared" si="7"/>
        <v>770110.41599999985</v>
      </c>
      <c r="M290" s="15">
        <v>7897801307321</v>
      </c>
      <c r="N290" s="6" t="s">
        <v>20</v>
      </c>
      <c r="O290" s="6" t="s">
        <v>20</v>
      </c>
      <c r="P290" s="6" t="s">
        <v>20</v>
      </c>
      <c r="Q290" s="6">
        <v>0.19</v>
      </c>
      <c r="R290" s="6">
        <v>0.09</v>
      </c>
      <c r="S290" s="6">
        <v>0.32</v>
      </c>
      <c r="T290" s="8">
        <v>6</v>
      </c>
      <c r="U290" s="5" t="s">
        <v>994</v>
      </c>
      <c r="V290" s="89">
        <v>0</v>
      </c>
      <c r="W290" s="15">
        <v>17897801307328</v>
      </c>
      <c r="X290" s="6">
        <v>0.5</v>
      </c>
      <c r="Y290" s="6">
        <v>0.25</v>
      </c>
      <c r="Z290" s="6">
        <v>0.7</v>
      </c>
      <c r="AA290" s="6">
        <f t="shared" si="8"/>
        <v>8.7499999999999994E-2</v>
      </c>
      <c r="AB290" s="8">
        <v>120</v>
      </c>
      <c r="AC290" s="15">
        <v>27897801307325</v>
      </c>
      <c r="AD290" s="4" t="s">
        <v>992</v>
      </c>
    </row>
    <row r="291" spans="2:30" x14ac:dyDescent="0.35">
      <c r="B291" s="14">
        <v>472</v>
      </c>
      <c r="C291" s="4" t="s">
        <v>298</v>
      </c>
      <c r="D291" s="4" t="s">
        <v>2371</v>
      </c>
      <c r="E291" s="4" t="s">
        <v>2911</v>
      </c>
      <c r="F291" s="4" t="s">
        <v>85</v>
      </c>
      <c r="G291" s="4" t="s">
        <v>993</v>
      </c>
      <c r="H291" s="6">
        <v>0.35460000000000003</v>
      </c>
      <c r="I291" s="8">
        <v>143</v>
      </c>
      <c r="J291" s="8">
        <v>125</v>
      </c>
      <c r="K291" s="8">
        <v>97</v>
      </c>
      <c r="L291" s="8">
        <f t="shared" si="7"/>
        <v>1733875</v>
      </c>
      <c r="M291" s="15">
        <v>7897801311953</v>
      </c>
      <c r="N291" s="6" t="s">
        <v>20</v>
      </c>
      <c r="O291" s="6" t="s">
        <v>20</v>
      </c>
      <c r="P291" s="6" t="s">
        <v>20</v>
      </c>
      <c r="Q291" s="6">
        <v>0.24</v>
      </c>
      <c r="R291" s="6">
        <v>0.09</v>
      </c>
      <c r="S291" s="6">
        <v>0.39</v>
      </c>
      <c r="T291" s="8">
        <v>5</v>
      </c>
      <c r="U291" s="5" t="s">
        <v>994</v>
      </c>
      <c r="V291" s="89">
        <v>0</v>
      </c>
      <c r="W291" s="15">
        <v>17897801311950</v>
      </c>
      <c r="X291" s="6">
        <v>0.42</v>
      </c>
      <c r="Y291" s="6">
        <v>0.26</v>
      </c>
      <c r="Z291" s="6">
        <v>0.62</v>
      </c>
      <c r="AA291" s="6">
        <f t="shared" si="8"/>
        <v>6.7704E-2</v>
      </c>
      <c r="AB291" s="8">
        <v>35</v>
      </c>
      <c r="AC291" s="15">
        <v>27897801311957</v>
      </c>
      <c r="AD291" s="4" t="s">
        <v>992</v>
      </c>
    </row>
    <row r="292" spans="2:30" x14ac:dyDescent="0.35">
      <c r="B292" s="14">
        <v>473</v>
      </c>
      <c r="C292" s="4" t="s">
        <v>299</v>
      </c>
      <c r="D292" s="4" t="s">
        <v>2371</v>
      </c>
      <c r="E292" s="4" t="s">
        <v>2911</v>
      </c>
      <c r="F292" s="4" t="s">
        <v>85</v>
      </c>
      <c r="G292" s="4" t="s">
        <v>993</v>
      </c>
      <c r="H292" s="6">
        <v>0.40189999999999998</v>
      </c>
      <c r="I292" s="8">
        <v>154</v>
      </c>
      <c r="J292" s="8">
        <v>118</v>
      </c>
      <c r="K292" s="8">
        <v>74</v>
      </c>
      <c r="L292" s="8">
        <f t="shared" si="7"/>
        <v>1344728</v>
      </c>
      <c r="M292" s="15">
        <v>7897801311991</v>
      </c>
      <c r="N292" s="6" t="s">
        <v>20</v>
      </c>
      <c r="O292" s="6" t="s">
        <v>20</v>
      </c>
      <c r="P292" s="6" t="s">
        <v>20</v>
      </c>
      <c r="Q292" s="6">
        <v>0.25</v>
      </c>
      <c r="R292" s="6">
        <v>9</v>
      </c>
      <c r="S292" s="6">
        <v>0.37</v>
      </c>
      <c r="T292" s="8">
        <v>4</v>
      </c>
      <c r="U292" s="5" t="s">
        <v>994</v>
      </c>
      <c r="V292" s="89">
        <v>0</v>
      </c>
      <c r="W292" s="15">
        <v>17897801311998</v>
      </c>
      <c r="X292" s="6">
        <v>0.56999999999999995</v>
      </c>
      <c r="Y292" s="6">
        <v>0.28999999999999998</v>
      </c>
      <c r="Z292" s="6">
        <v>0.7</v>
      </c>
      <c r="AA292" s="6">
        <f t="shared" si="8"/>
        <v>0.11570999999999998</v>
      </c>
      <c r="AB292" s="8">
        <v>48</v>
      </c>
      <c r="AC292" s="15">
        <v>27897801311995</v>
      </c>
      <c r="AD292" s="4" t="s">
        <v>992</v>
      </c>
    </row>
    <row r="293" spans="2:30" x14ac:dyDescent="0.35">
      <c r="B293" s="14">
        <v>474</v>
      </c>
      <c r="C293" s="4" t="s">
        <v>300</v>
      </c>
      <c r="D293" s="4" t="s">
        <v>2371</v>
      </c>
      <c r="E293" s="4" t="s">
        <v>2911</v>
      </c>
      <c r="F293" s="4" t="s">
        <v>85</v>
      </c>
      <c r="G293" s="4" t="s">
        <v>993</v>
      </c>
      <c r="H293" s="6">
        <v>3.15E-2</v>
      </c>
      <c r="I293" s="8">
        <v>43</v>
      </c>
      <c r="J293" s="8">
        <v>43</v>
      </c>
      <c r="K293" s="8">
        <v>41</v>
      </c>
      <c r="L293" s="8">
        <f t="shared" si="7"/>
        <v>75809</v>
      </c>
      <c r="M293" s="15">
        <v>7897801302852</v>
      </c>
      <c r="N293" s="6" t="s">
        <v>20</v>
      </c>
      <c r="O293" s="6" t="s">
        <v>20</v>
      </c>
      <c r="P293" s="6" t="s">
        <v>20</v>
      </c>
      <c r="Q293" s="6">
        <v>0.185</v>
      </c>
      <c r="R293" s="6">
        <v>0.08</v>
      </c>
      <c r="S293" s="6">
        <v>0.21</v>
      </c>
      <c r="T293" s="8">
        <v>20</v>
      </c>
      <c r="U293" s="5" t="s">
        <v>994</v>
      </c>
      <c r="V293" s="89">
        <v>0</v>
      </c>
      <c r="W293" s="15">
        <v>17897801302859</v>
      </c>
      <c r="X293" s="6">
        <v>0.5</v>
      </c>
      <c r="Y293" s="6">
        <v>0.20499999999999999</v>
      </c>
      <c r="Z293" s="6">
        <v>0.65</v>
      </c>
      <c r="AA293" s="6">
        <f t="shared" si="8"/>
        <v>6.6625000000000004E-2</v>
      </c>
      <c r="AB293" s="8">
        <v>700</v>
      </c>
      <c r="AC293" s="15">
        <v>47897801302850</v>
      </c>
      <c r="AD293" s="4" t="s">
        <v>992</v>
      </c>
    </row>
    <row r="294" spans="2:30" x14ac:dyDescent="0.35">
      <c r="B294" s="14">
        <v>475</v>
      </c>
      <c r="C294" s="4" t="s">
        <v>301</v>
      </c>
      <c r="D294" s="4" t="s">
        <v>2371</v>
      </c>
      <c r="E294" s="4" t="s">
        <v>2911</v>
      </c>
      <c r="F294" s="4" t="s">
        <v>85</v>
      </c>
      <c r="G294" s="4" t="s">
        <v>993</v>
      </c>
      <c r="H294" s="6">
        <v>4.9399999999999999E-2</v>
      </c>
      <c r="I294" s="8">
        <v>52</v>
      </c>
      <c r="J294" s="8">
        <v>52</v>
      </c>
      <c r="K294" s="8">
        <v>44.5</v>
      </c>
      <c r="L294" s="8">
        <f t="shared" si="7"/>
        <v>120328</v>
      </c>
      <c r="M294" s="15">
        <v>7897801302876</v>
      </c>
      <c r="N294" s="6" t="s">
        <v>20</v>
      </c>
      <c r="O294" s="6" t="s">
        <v>20</v>
      </c>
      <c r="P294" s="6" t="s">
        <v>20</v>
      </c>
      <c r="Q294" s="6">
        <v>0.19</v>
      </c>
      <c r="R294" s="6">
        <v>7.0000000000000007E-2</v>
      </c>
      <c r="S294" s="6">
        <v>0.26</v>
      </c>
      <c r="T294" s="8">
        <v>20</v>
      </c>
      <c r="U294" s="5" t="s">
        <v>994</v>
      </c>
      <c r="V294" s="89">
        <v>0</v>
      </c>
      <c r="W294" s="15">
        <v>17897801302873</v>
      </c>
      <c r="X294" s="6">
        <v>0.49</v>
      </c>
      <c r="Y294" s="6">
        <v>0.18</v>
      </c>
      <c r="Z294" s="6">
        <v>0.62</v>
      </c>
      <c r="AA294" s="6">
        <f t="shared" si="8"/>
        <v>5.4684000000000003E-2</v>
      </c>
      <c r="AB294" s="8">
        <v>400</v>
      </c>
      <c r="AC294" s="15">
        <v>47897801302874</v>
      </c>
      <c r="AD294" s="4" t="s">
        <v>992</v>
      </c>
    </row>
    <row r="295" spans="2:30" x14ac:dyDescent="0.35">
      <c r="B295" s="14">
        <v>476</v>
      </c>
      <c r="C295" s="4" t="s">
        <v>302</v>
      </c>
      <c r="D295" s="4" t="s">
        <v>2371</v>
      </c>
      <c r="E295" s="4" t="s">
        <v>2911</v>
      </c>
      <c r="F295" s="4" t="s">
        <v>85</v>
      </c>
      <c r="G295" s="4" t="s">
        <v>993</v>
      </c>
      <c r="H295" s="6">
        <v>8.2199999999999995E-2</v>
      </c>
      <c r="I295" s="8">
        <v>62</v>
      </c>
      <c r="J295" s="8">
        <v>53</v>
      </c>
      <c r="K295" s="8">
        <v>62</v>
      </c>
      <c r="L295" s="8">
        <f t="shared" si="7"/>
        <v>203732</v>
      </c>
      <c r="M295" s="15">
        <v>7897801307413</v>
      </c>
      <c r="N295" s="6" t="s">
        <v>20</v>
      </c>
      <c r="O295" s="6" t="s">
        <v>20</v>
      </c>
      <c r="P295" s="6" t="s">
        <v>20</v>
      </c>
      <c r="Q295" s="6">
        <v>0.16</v>
      </c>
      <c r="R295" s="6">
        <v>7.0000000000000007E-2</v>
      </c>
      <c r="S295" s="6">
        <v>0.27</v>
      </c>
      <c r="T295" s="8">
        <v>10</v>
      </c>
      <c r="U295" s="5" t="s">
        <v>994</v>
      </c>
      <c r="V295" s="89">
        <v>0</v>
      </c>
      <c r="W295" s="15">
        <v>17897801307410</v>
      </c>
      <c r="X295" s="6">
        <v>0.46</v>
      </c>
      <c r="Y295" s="6">
        <v>0.25</v>
      </c>
      <c r="Z295" s="6">
        <v>0.6</v>
      </c>
      <c r="AA295" s="6">
        <f t="shared" si="8"/>
        <v>6.9000000000000006E-2</v>
      </c>
      <c r="AB295" s="8">
        <v>240</v>
      </c>
      <c r="AC295" s="15">
        <v>47897801307411</v>
      </c>
      <c r="AD295" s="4" t="s">
        <v>992</v>
      </c>
    </row>
    <row r="296" spans="2:30" x14ac:dyDescent="0.35">
      <c r="B296" s="14">
        <v>477</v>
      </c>
      <c r="C296" s="4" t="s">
        <v>303</v>
      </c>
      <c r="D296" s="4" t="s">
        <v>2371</v>
      </c>
      <c r="E296" s="4" t="s">
        <v>2911</v>
      </c>
      <c r="F296" s="4" t="s">
        <v>85</v>
      </c>
      <c r="G296" s="4" t="s">
        <v>993</v>
      </c>
      <c r="H296" s="6">
        <v>0.13880000000000001</v>
      </c>
      <c r="I296" s="8">
        <v>75</v>
      </c>
      <c r="J296" s="8">
        <v>63</v>
      </c>
      <c r="K296" s="8">
        <v>75</v>
      </c>
      <c r="L296" s="8">
        <f t="shared" si="7"/>
        <v>354375</v>
      </c>
      <c r="M296" s="15">
        <v>7897801307390</v>
      </c>
      <c r="N296" s="6" t="s">
        <v>20</v>
      </c>
      <c r="O296" s="6" t="s">
        <v>20</v>
      </c>
      <c r="P296" s="6" t="s">
        <v>20</v>
      </c>
      <c r="Q296" s="6">
        <v>0.2</v>
      </c>
      <c r="R296" s="6">
        <v>7.0000000000000007E-2</v>
      </c>
      <c r="S296" s="6">
        <v>0.31</v>
      </c>
      <c r="T296" s="8">
        <v>10</v>
      </c>
      <c r="U296" s="5" t="s">
        <v>994</v>
      </c>
      <c r="V296" s="89">
        <v>0</v>
      </c>
      <c r="W296" s="15">
        <v>17897801307397</v>
      </c>
      <c r="X296" s="6">
        <v>0.51</v>
      </c>
      <c r="Y296" s="6">
        <v>0.23</v>
      </c>
      <c r="Z296" s="6">
        <v>0.66</v>
      </c>
      <c r="AA296" s="6">
        <f t="shared" si="8"/>
        <v>7.7418000000000001E-2</v>
      </c>
      <c r="AB296" s="8">
        <v>150</v>
      </c>
      <c r="AC296" s="15">
        <v>47897801307398</v>
      </c>
      <c r="AD296" s="4" t="s">
        <v>992</v>
      </c>
    </row>
    <row r="297" spans="2:30" x14ac:dyDescent="0.35">
      <c r="B297" s="14">
        <v>478</v>
      </c>
      <c r="C297" s="4" t="s">
        <v>304</v>
      </c>
      <c r="D297" s="4" t="s">
        <v>2371</v>
      </c>
      <c r="E297" s="4" t="s">
        <v>2911</v>
      </c>
      <c r="F297" s="4" t="s">
        <v>85</v>
      </c>
      <c r="G297" s="4" t="s">
        <v>993</v>
      </c>
      <c r="H297" s="6">
        <v>0.23880000000000001</v>
      </c>
      <c r="I297" s="8">
        <v>92</v>
      </c>
      <c r="J297" s="8">
        <v>92</v>
      </c>
      <c r="K297" s="8">
        <v>75.5</v>
      </c>
      <c r="L297" s="8">
        <f t="shared" si="7"/>
        <v>639032</v>
      </c>
      <c r="M297" s="15">
        <v>7897801302890</v>
      </c>
      <c r="N297" s="6" t="s">
        <v>20</v>
      </c>
      <c r="O297" s="6" t="s">
        <v>20</v>
      </c>
      <c r="P297" s="6" t="s">
        <v>20</v>
      </c>
      <c r="Q297" s="6">
        <v>0.28999999999999998</v>
      </c>
      <c r="R297" s="6">
        <v>9.5000000000000001E-2</v>
      </c>
      <c r="S297" s="6">
        <v>0.34</v>
      </c>
      <c r="T297" s="8">
        <v>10</v>
      </c>
      <c r="U297" s="5" t="s">
        <v>994</v>
      </c>
      <c r="V297" s="89">
        <v>0</v>
      </c>
      <c r="W297" s="15">
        <v>17897801302897</v>
      </c>
      <c r="X297" s="6">
        <v>0.48</v>
      </c>
      <c r="Y297" s="6">
        <v>0.19500000000000001</v>
      </c>
      <c r="Z297" s="6">
        <v>0.7</v>
      </c>
      <c r="AA297" s="6">
        <f t="shared" si="8"/>
        <v>6.5519999999999995E-2</v>
      </c>
      <c r="AB297" s="8">
        <v>80</v>
      </c>
      <c r="AC297" s="15">
        <v>47897801302898</v>
      </c>
      <c r="AD297" s="4" t="s">
        <v>992</v>
      </c>
    </row>
    <row r="298" spans="2:30" x14ac:dyDescent="0.35">
      <c r="B298" s="14">
        <v>479</v>
      </c>
      <c r="C298" s="4" t="s">
        <v>305</v>
      </c>
      <c r="D298" s="4" t="s">
        <v>2371</v>
      </c>
      <c r="E298" s="4" t="s">
        <v>2911</v>
      </c>
      <c r="F298" s="4" t="s">
        <v>85</v>
      </c>
      <c r="G298" s="4" t="s">
        <v>993</v>
      </c>
      <c r="H298" s="6">
        <v>0.33069999999999999</v>
      </c>
      <c r="I298" s="8">
        <v>103</v>
      </c>
      <c r="J298" s="8">
        <v>87</v>
      </c>
      <c r="K298" s="8">
        <v>103</v>
      </c>
      <c r="L298" s="8">
        <f t="shared" si="7"/>
        <v>922983</v>
      </c>
      <c r="M298" s="15">
        <v>7897801308403</v>
      </c>
      <c r="N298" s="6" t="s">
        <v>20</v>
      </c>
      <c r="O298" s="6" t="s">
        <v>20</v>
      </c>
      <c r="P298" s="6" t="s">
        <v>20</v>
      </c>
      <c r="Q298" s="6">
        <v>0.21</v>
      </c>
      <c r="R298" s="6">
        <v>0.105</v>
      </c>
      <c r="S298" s="6">
        <v>0.3</v>
      </c>
      <c r="T298" s="8">
        <v>5</v>
      </c>
      <c r="U298" s="5" t="s">
        <v>994</v>
      </c>
      <c r="V298" s="89">
        <v>0</v>
      </c>
      <c r="W298" s="15">
        <v>17897801308400</v>
      </c>
      <c r="X298" s="6">
        <v>0.46</v>
      </c>
      <c r="Y298" s="6">
        <v>0.25</v>
      </c>
      <c r="Z298" s="6">
        <v>0.64</v>
      </c>
      <c r="AA298" s="6">
        <f t="shared" si="8"/>
        <v>7.3599999999999999E-2</v>
      </c>
      <c r="AB298" s="8">
        <v>60</v>
      </c>
      <c r="AC298" s="15">
        <v>47897801308401</v>
      </c>
      <c r="AD298" s="4" t="s">
        <v>992</v>
      </c>
    </row>
    <row r="299" spans="2:30" x14ac:dyDescent="0.35">
      <c r="B299" s="14">
        <v>480</v>
      </c>
      <c r="C299" s="4" t="s">
        <v>306</v>
      </c>
      <c r="D299" s="4" t="s">
        <v>2371</v>
      </c>
      <c r="E299" s="4" t="s">
        <v>2911</v>
      </c>
      <c r="F299" s="4" t="s">
        <v>85</v>
      </c>
      <c r="G299" s="4" t="s">
        <v>993</v>
      </c>
      <c r="H299" s="6">
        <v>0.68859999999999999</v>
      </c>
      <c r="I299" s="8">
        <v>130</v>
      </c>
      <c r="J299" s="8">
        <v>110</v>
      </c>
      <c r="K299" s="8">
        <v>130</v>
      </c>
      <c r="L299" s="8">
        <f t="shared" si="7"/>
        <v>1859000</v>
      </c>
      <c r="M299" s="15">
        <v>7897801312370</v>
      </c>
      <c r="N299" s="6" t="s">
        <v>20</v>
      </c>
      <c r="O299" s="6" t="s">
        <v>20</v>
      </c>
      <c r="P299" s="6" t="s">
        <v>20</v>
      </c>
      <c r="Q299" s="6">
        <v>0.26</v>
      </c>
      <c r="R299" s="6">
        <v>0.14000000000000001</v>
      </c>
      <c r="S299" s="6">
        <v>0.3</v>
      </c>
      <c r="T299" s="8">
        <v>4</v>
      </c>
      <c r="U299" s="5" t="s">
        <v>994</v>
      </c>
      <c r="V299" s="89">
        <v>0</v>
      </c>
      <c r="W299" s="15">
        <v>17897801312377</v>
      </c>
      <c r="X299" s="6">
        <v>0.5</v>
      </c>
      <c r="Y299" s="6">
        <v>0.27</v>
      </c>
      <c r="Z299" s="6">
        <v>0.7</v>
      </c>
      <c r="AA299" s="6">
        <f t="shared" si="8"/>
        <v>9.4500000000000001E-2</v>
      </c>
      <c r="AB299" s="8">
        <v>28</v>
      </c>
      <c r="AC299" s="15">
        <v>27897801312374</v>
      </c>
      <c r="AD299" s="4" t="s">
        <v>992</v>
      </c>
    </row>
    <row r="300" spans="2:30" x14ac:dyDescent="0.35">
      <c r="B300" s="14">
        <v>481</v>
      </c>
      <c r="C300" s="4" t="s">
        <v>307</v>
      </c>
      <c r="D300" s="4" t="s">
        <v>2371</v>
      </c>
      <c r="E300" s="4" t="s">
        <v>2911</v>
      </c>
      <c r="F300" s="4" t="s">
        <v>85</v>
      </c>
      <c r="G300" s="4" t="s">
        <v>993</v>
      </c>
      <c r="H300" s="6">
        <v>0.82479999999999998</v>
      </c>
      <c r="I300" s="8">
        <v>190</v>
      </c>
      <c r="J300" s="8">
        <v>190</v>
      </c>
      <c r="K300" s="8">
        <v>130</v>
      </c>
      <c r="L300" s="8">
        <f t="shared" si="7"/>
        <v>4693000</v>
      </c>
      <c r="M300" s="15">
        <v>7897801312387</v>
      </c>
      <c r="N300" s="6" t="s">
        <v>20</v>
      </c>
      <c r="O300" s="6" t="s">
        <v>20</v>
      </c>
      <c r="P300" s="6" t="s">
        <v>20</v>
      </c>
      <c r="Q300" s="6">
        <v>0.3</v>
      </c>
      <c r="R300" s="6">
        <v>0.15</v>
      </c>
      <c r="S300" s="6">
        <v>0.3</v>
      </c>
      <c r="T300" s="8">
        <v>3</v>
      </c>
      <c r="U300" s="5" t="s">
        <v>994</v>
      </c>
      <c r="V300" s="89">
        <v>0</v>
      </c>
      <c r="W300" s="15">
        <v>17897801312384</v>
      </c>
      <c r="X300" s="6">
        <v>0.45</v>
      </c>
      <c r="Y300" s="6">
        <v>0.2</v>
      </c>
      <c r="Z300" s="6">
        <v>0.65</v>
      </c>
      <c r="AA300" s="6">
        <f t="shared" si="8"/>
        <v>5.850000000000001E-2</v>
      </c>
      <c r="AB300" s="8">
        <v>24</v>
      </c>
      <c r="AC300" s="15">
        <v>27897801312381</v>
      </c>
      <c r="AD300" s="4" t="s">
        <v>992</v>
      </c>
    </row>
    <row r="301" spans="2:30" x14ac:dyDescent="0.35">
      <c r="B301" s="14">
        <v>482</v>
      </c>
      <c r="C301" s="4" t="s">
        <v>308</v>
      </c>
      <c r="D301" s="4" t="s">
        <v>2371</v>
      </c>
      <c r="E301" s="4" t="s">
        <v>2911</v>
      </c>
      <c r="F301" s="4" t="s">
        <v>85</v>
      </c>
      <c r="G301" s="4" t="s">
        <v>993</v>
      </c>
      <c r="H301" s="6">
        <v>1.5474000000000001</v>
      </c>
      <c r="I301" s="8">
        <v>200</v>
      </c>
      <c r="J301" s="8">
        <v>170</v>
      </c>
      <c r="K301" s="8">
        <v>20</v>
      </c>
      <c r="L301" s="8">
        <f t="shared" si="7"/>
        <v>680000</v>
      </c>
      <c r="M301" s="15">
        <v>7897801312394</v>
      </c>
      <c r="N301" s="6" t="s">
        <v>20</v>
      </c>
      <c r="O301" s="6" t="s">
        <v>20</v>
      </c>
      <c r="P301" s="6" t="s">
        <v>20</v>
      </c>
      <c r="Q301" s="6">
        <v>0.19500000000000001</v>
      </c>
      <c r="R301" s="6">
        <v>0.19500000000000001</v>
      </c>
      <c r="S301" s="6">
        <v>0.14000000000000001</v>
      </c>
      <c r="T301" s="8">
        <v>1</v>
      </c>
      <c r="U301" s="5" t="s">
        <v>994</v>
      </c>
      <c r="V301" s="89">
        <v>0</v>
      </c>
      <c r="W301" s="15">
        <v>17897801312391</v>
      </c>
      <c r="X301" s="6">
        <v>0.5</v>
      </c>
      <c r="Y301" s="6">
        <v>0.17</v>
      </c>
      <c r="Z301" s="6">
        <v>0.79</v>
      </c>
      <c r="AA301" s="6">
        <f t="shared" si="8"/>
        <v>6.7150000000000001E-2</v>
      </c>
      <c r="AB301" s="8">
        <v>10</v>
      </c>
      <c r="AC301" s="15">
        <v>27897801312398</v>
      </c>
      <c r="AD301" s="4" t="s">
        <v>992</v>
      </c>
    </row>
    <row r="302" spans="2:30" x14ac:dyDescent="0.35">
      <c r="B302" s="14">
        <v>483</v>
      </c>
      <c r="C302" s="4" t="s">
        <v>309</v>
      </c>
      <c r="D302" s="4" t="s">
        <v>2382</v>
      </c>
      <c r="E302" s="4" t="s">
        <v>2911</v>
      </c>
      <c r="F302" s="4" t="s">
        <v>85</v>
      </c>
      <c r="G302" s="4" t="s">
        <v>993</v>
      </c>
      <c r="H302" s="6">
        <v>2.5399999999999999E-2</v>
      </c>
      <c r="I302" s="8">
        <v>41.9</v>
      </c>
      <c r="J302" s="8">
        <v>28</v>
      </c>
      <c r="K302" s="8">
        <v>41.9</v>
      </c>
      <c r="L302" s="8">
        <f t="shared" si="7"/>
        <v>49157.08</v>
      </c>
      <c r="M302" s="15">
        <v>7897801300711</v>
      </c>
      <c r="N302" s="6" t="s">
        <v>20</v>
      </c>
      <c r="O302" s="6" t="s">
        <v>20</v>
      </c>
      <c r="P302" s="6" t="s">
        <v>20</v>
      </c>
      <c r="Q302" s="6">
        <v>0.21</v>
      </c>
      <c r="R302" s="6">
        <v>0.06</v>
      </c>
      <c r="S302" s="6">
        <v>0.23</v>
      </c>
      <c r="T302" s="8">
        <v>30</v>
      </c>
      <c r="U302" s="5" t="s">
        <v>994</v>
      </c>
      <c r="V302" s="89">
        <v>0</v>
      </c>
      <c r="W302" s="15">
        <v>17897801300718</v>
      </c>
      <c r="X302" s="6">
        <v>0.5</v>
      </c>
      <c r="Y302" s="6">
        <v>0.2</v>
      </c>
      <c r="Z302" s="6">
        <v>0.74</v>
      </c>
      <c r="AA302" s="6">
        <f t="shared" si="8"/>
        <v>7.3999999999999996E-2</v>
      </c>
      <c r="AB302" s="8">
        <v>1050</v>
      </c>
      <c r="AC302" s="15">
        <v>47897801300719</v>
      </c>
      <c r="AD302" s="4" t="s">
        <v>992</v>
      </c>
    </row>
    <row r="303" spans="2:30" x14ac:dyDescent="0.35">
      <c r="B303" s="14">
        <v>484</v>
      </c>
      <c r="C303" s="4" t="s">
        <v>310</v>
      </c>
      <c r="D303" s="4" t="s">
        <v>2382</v>
      </c>
      <c r="E303" s="4" t="s">
        <v>2911</v>
      </c>
      <c r="F303" s="4" t="s">
        <v>85</v>
      </c>
      <c r="G303" s="4" t="s">
        <v>993</v>
      </c>
      <c r="H303" s="6">
        <v>3.1E-2</v>
      </c>
      <c r="I303" s="8">
        <v>47.9</v>
      </c>
      <c r="J303" s="8">
        <v>36</v>
      </c>
      <c r="K303" s="8">
        <v>47.9</v>
      </c>
      <c r="L303" s="8">
        <f t="shared" si="7"/>
        <v>82598.759999999995</v>
      </c>
      <c r="M303" s="15">
        <v>7897801300735</v>
      </c>
      <c r="N303" s="6" t="s">
        <v>20</v>
      </c>
      <c r="O303" s="6" t="s">
        <v>20</v>
      </c>
      <c r="P303" s="6" t="s">
        <v>20</v>
      </c>
      <c r="Q303" s="6">
        <v>0.17</v>
      </c>
      <c r="R303" s="6">
        <v>7.0000000000000007E-2</v>
      </c>
      <c r="S303" s="6">
        <v>0.24</v>
      </c>
      <c r="T303" s="8">
        <v>30</v>
      </c>
      <c r="U303" s="5" t="s">
        <v>994</v>
      </c>
      <c r="V303" s="89">
        <v>0</v>
      </c>
      <c r="W303" s="15">
        <v>17897801300732</v>
      </c>
      <c r="X303" s="6">
        <v>0.45</v>
      </c>
      <c r="Y303" s="6">
        <v>0.19</v>
      </c>
      <c r="Z303" s="6">
        <v>0.7</v>
      </c>
      <c r="AA303" s="6">
        <f t="shared" si="8"/>
        <v>5.985E-2</v>
      </c>
      <c r="AB303" s="8">
        <v>600</v>
      </c>
      <c r="AC303" s="15">
        <v>47897801300733</v>
      </c>
      <c r="AD303" s="4" t="s">
        <v>992</v>
      </c>
    </row>
    <row r="304" spans="2:30" x14ac:dyDescent="0.35">
      <c r="B304" s="14">
        <v>485</v>
      </c>
      <c r="C304" s="4" t="s">
        <v>311</v>
      </c>
      <c r="D304" s="4" t="s">
        <v>2382</v>
      </c>
      <c r="E304" s="4" t="s">
        <v>2911</v>
      </c>
      <c r="F304" s="4" t="s">
        <v>85</v>
      </c>
      <c r="G304" s="4" t="s">
        <v>993</v>
      </c>
      <c r="H304" s="6">
        <v>2.4E-2</v>
      </c>
      <c r="I304" s="8">
        <v>46.3</v>
      </c>
      <c r="J304" s="8">
        <v>33.799999999999997</v>
      </c>
      <c r="K304" s="8">
        <v>46.3</v>
      </c>
      <c r="L304" s="8">
        <f t="shared" si="7"/>
        <v>72456.721999999994</v>
      </c>
      <c r="M304" s="15">
        <v>7897801300728</v>
      </c>
      <c r="N304" s="6" t="s">
        <v>20</v>
      </c>
      <c r="O304" s="6" t="s">
        <v>20</v>
      </c>
      <c r="P304" s="6" t="s">
        <v>20</v>
      </c>
      <c r="Q304" s="6">
        <v>0.26</v>
      </c>
      <c r="R304" s="6">
        <v>7.0000000000000007E-2</v>
      </c>
      <c r="S304" s="6">
        <v>0.31</v>
      </c>
      <c r="T304" s="8">
        <v>30</v>
      </c>
      <c r="U304" s="5" t="s">
        <v>994</v>
      </c>
      <c r="V304" s="89">
        <v>0</v>
      </c>
      <c r="W304" s="15">
        <v>17897801300725</v>
      </c>
      <c r="X304" s="6">
        <v>0.51</v>
      </c>
      <c r="Y304" s="6">
        <v>0.19</v>
      </c>
      <c r="Z304" s="6">
        <v>0.76</v>
      </c>
      <c r="AA304" s="6">
        <f t="shared" si="8"/>
        <v>7.3644000000000001E-2</v>
      </c>
      <c r="AB304" s="8">
        <v>840</v>
      </c>
      <c r="AC304" s="15">
        <v>47897801300726</v>
      </c>
      <c r="AD304" s="4" t="s">
        <v>992</v>
      </c>
    </row>
    <row r="305" spans="2:30" x14ac:dyDescent="0.35">
      <c r="B305" s="14">
        <v>486</v>
      </c>
      <c r="C305" s="4" t="s">
        <v>312</v>
      </c>
      <c r="D305" s="4" t="s">
        <v>2382</v>
      </c>
      <c r="E305" s="4" t="s">
        <v>2911</v>
      </c>
      <c r="F305" s="4" t="s">
        <v>85</v>
      </c>
      <c r="G305" s="4" t="s">
        <v>993</v>
      </c>
      <c r="H305" s="6">
        <v>4.2599999999999999E-2</v>
      </c>
      <c r="I305" s="8">
        <v>60</v>
      </c>
      <c r="J305" s="8">
        <v>40</v>
      </c>
      <c r="K305" s="8">
        <v>60</v>
      </c>
      <c r="L305" s="8">
        <f t="shared" si="7"/>
        <v>144000</v>
      </c>
      <c r="M305" s="15">
        <v>7897801312165</v>
      </c>
      <c r="N305" s="6" t="s">
        <v>20</v>
      </c>
      <c r="O305" s="6" t="s">
        <v>20</v>
      </c>
      <c r="P305" s="6" t="s">
        <v>20</v>
      </c>
      <c r="Q305" s="6">
        <v>0.16500000000000001</v>
      </c>
      <c r="R305" s="6">
        <v>0.5</v>
      </c>
      <c r="S305" s="6">
        <v>0.19500000000000001</v>
      </c>
      <c r="T305" s="8">
        <v>10</v>
      </c>
      <c r="U305" s="5" t="s">
        <v>994</v>
      </c>
      <c r="V305" s="89">
        <v>0</v>
      </c>
      <c r="W305" s="15">
        <v>17897801312162</v>
      </c>
      <c r="X305" s="6">
        <v>0.5</v>
      </c>
      <c r="Y305" s="6">
        <v>0.16</v>
      </c>
      <c r="Z305" s="6">
        <v>0.745</v>
      </c>
      <c r="AA305" s="6">
        <f t="shared" si="8"/>
        <v>5.96E-2</v>
      </c>
      <c r="AB305" s="8">
        <v>400</v>
      </c>
      <c r="AC305" s="15">
        <v>27897801312169</v>
      </c>
      <c r="AD305" s="4" t="s">
        <v>992</v>
      </c>
    </row>
    <row r="306" spans="2:30" x14ac:dyDescent="0.35">
      <c r="B306" s="14">
        <v>487</v>
      </c>
      <c r="C306" s="4" t="s">
        <v>313</v>
      </c>
      <c r="D306" s="4" t="s">
        <v>2382</v>
      </c>
      <c r="E306" s="4" t="s">
        <v>2911</v>
      </c>
      <c r="F306" s="4" t="s">
        <v>85</v>
      </c>
      <c r="G306" s="4" t="s">
        <v>993</v>
      </c>
      <c r="H306" s="6">
        <v>1.21E-2</v>
      </c>
      <c r="I306" s="8">
        <v>32</v>
      </c>
      <c r="J306" s="8">
        <v>32</v>
      </c>
      <c r="K306" s="8">
        <v>34.799999999999997</v>
      </c>
      <c r="L306" s="8">
        <f t="shared" si="7"/>
        <v>35635.199999999997</v>
      </c>
      <c r="M306" s="15">
        <v>7897801300742</v>
      </c>
      <c r="N306" s="6" t="s">
        <v>20</v>
      </c>
      <c r="O306" s="6" t="s">
        <v>20</v>
      </c>
      <c r="P306" s="6" t="s">
        <v>20</v>
      </c>
      <c r="Q306" s="6">
        <v>0.16</v>
      </c>
      <c r="R306" s="6">
        <v>0.06</v>
      </c>
      <c r="S306" s="6">
        <v>0.28000000000000003</v>
      </c>
      <c r="T306" s="8">
        <v>50</v>
      </c>
      <c r="U306" s="5" t="s">
        <v>994</v>
      </c>
      <c r="V306" s="89">
        <v>0</v>
      </c>
      <c r="W306" s="15">
        <v>17897801300749</v>
      </c>
      <c r="X306" s="6">
        <v>0.45</v>
      </c>
      <c r="Y306" s="6">
        <v>0.17</v>
      </c>
      <c r="Z306" s="6">
        <v>0.74</v>
      </c>
      <c r="AA306" s="6">
        <f t="shared" si="8"/>
        <v>5.6610000000000008E-2</v>
      </c>
      <c r="AB306" s="8">
        <v>1250</v>
      </c>
      <c r="AC306" s="15">
        <v>47897801300740</v>
      </c>
      <c r="AD306" s="4" t="s">
        <v>992</v>
      </c>
    </row>
    <row r="307" spans="2:30" x14ac:dyDescent="0.35">
      <c r="B307" s="14">
        <v>488</v>
      </c>
      <c r="C307" s="4" t="s">
        <v>314</v>
      </c>
      <c r="D307" s="4" t="s">
        <v>2382</v>
      </c>
      <c r="E307" s="4" t="s">
        <v>2911</v>
      </c>
      <c r="F307" s="4" t="s">
        <v>85</v>
      </c>
      <c r="G307" s="4" t="s">
        <v>993</v>
      </c>
      <c r="H307" s="6">
        <v>2.5000000000000001E-2</v>
      </c>
      <c r="I307" s="8">
        <v>38</v>
      </c>
      <c r="J307" s="8">
        <v>38</v>
      </c>
      <c r="K307" s="8">
        <v>39.299999999999997</v>
      </c>
      <c r="L307" s="8">
        <f t="shared" si="7"/>
        <v>56749.2</v>
      </c>
      <c r="M307" s="15">
        <v>7897801300766</v>
      </c>
      <c r="N307" s="6" t="s">
        <v>20</v>
      </c>
      <c r="O307" s="6" t="s">
        <v>20</v>
      </c>
      <c r="P307" s="6" t="s">
        <v>20</v>
      </c>
      <c r="Q307" s="6">
        <v>0.2</v>
      </c>
      <c r="R307" s="6">
        <v>7.4999999999999997E-2</v>
      </c>
      <c r="S307" s="6">
        <v>0.32</v>
      </c>
      <c r="T307" s="8">
        <v>50</v>
      </c>
      <c r="U307" s="5" t="s">
        <v>994</v>
      </c>
      <c r="V307" s="89">
        <v>0</v>
      </c>
      <c r="W307" s="15">
        <v>17897801300763</v>
      </c>
      <c r="X307" s="6">
        <v>0.45</v>
      </c>
      <c r="Y307" s="6">
        <v>0.24</v>
      </c>
      <c r="Z307" s="6">
        <v>0.7</v>
      </c>
      <c r="AA307" s="6">
        <f t="shared" si="8"/>
        <v>7.5600000000000001E-2</v>
      </c>
      <c r="AB307" s="8">
        <v>800</v>
      </c>
      <c r="AC307" s="15">
        <v>47897801300764</v>
      </c>
      <c r="AD307" s="4" t="s">
        <v>992</v>
      </c>
    </row>
    <row r="308" spans="2:30" x14ac:dyDescent="0.35">
      <c r="B308" s="14">
        <v>489</v>
      </c>
      <c r="C308" s="4" t="s">
        <v>315</v>
      </c>
      <c r="D308" s="4" t="s">
        <v>2382</v>
      </c>
      <c r="E308" s="4" t="s">
        <v>2911</v>
      </c>
      <c r="F308" s="4" t="s">
        <v>85</v>
      </c>
      <c r="G308" s="4" t="s">
        <v>993</v>
      </c>
      <c r="H308" s="6">
        <v>1.7299999999999999E-2</v>
      </c>
      <c r="I308" s="8">
        <v>33</v>
      </c>
      <c r="J308" s="8">
        <v>38</v>
      </c>
      <c r="K308" s="8">
        <v>33</v>
      </c>
      <c r="L308" s="8">
        <f t="shared" si="7"/>
        <v>41382</v>
      </c>
      <c r="M308" s="15">
        <v>7897801300759</v>
      </c>
      <c r="N308" s="6" t="s">
        <v>20</v>
      </c>
      <c r="O308" s="6" t="s">
        <v>20</v>
      </c>
      <c r="P308" s="6" t="s">
        <v>20</v>
      </c>
      <c r="Q308" s="6">
        <v>0.18</v>
      </c>
      <c r="R308" s="6">
        <v>7.0000000000000007E-2</v>
      </c>
      <c r="S308" s="6">
        <v>0.28000000000000003</v>
      </c>
      <c r="T308" s="8">
        <v>50</v>
      </c>
      <c r="U308" s="5" t="s">
        <v>994</v>
      </c>
      <c r="V308" s="89">
        <v>0</v>
      </c>
      <c r="W308" s="15">
        <v>17897801300756</v>
      </c>
      <c r="X308" s="6">
        <v>0.47</v>
      </c>
      <c r="Y308" s="6">
        <v>0.2</v>
      </c>
      <c r="Z308" s="6">
        <v>0.65</v>
      </c>
      <c r="AA308" s="6">
        <f t="shared" si="8"/>
        <v>6.1100000000000002E-2</v>
      </c>
      <c r="AB308" s="8">
        <v>1000</v>
      </c>
      <c r="AC308" s="15">
        <v>47897801300757</v>
      </c>
      <c r="AD308" s="4" t="s">
        <v>992</v>
      </c>
    </row>
    <row r="309" spans="2:30" x14ac:dyDescent="0.35">
      <c r="B309" s="14">
        <v>490</v>
      </c>
      <c r="C309" s="4" t="s">
        <v>316</v>
      </c>
      <c r="D309" s="4" t="s">
        <v>2382</v>
      </c>
      <c r="E309" s="4" t="s">
        <v>2911</v>
      </c>
      <c r="F309" s="4" t="s">
        <v>85</v>
      </c>
      <c r="G309" s="4" t="s">
        <v>993</v>
      </c>
      <c r="H309" s="6">
        <v>4.24E-2</v>
      </c>
      <c r="I309" s="8">
        <v>44</v>
      </c>
      <c r="J309" s="8">
        <v>47</v>
      </c>
      <c r="K309" s="8">
        <v>44</v>
      </c>
      <c r="L309" s="8">
        <f t="shared" si="7"/>
        <v>90992</v>
      </c>
      <c r="M309" s="15">
        <v>7897801307215</v>
      </c>
      <c r="N309" s="6" t="s">
        <v>20</v>
      </c>
      <c r="O309" s="6" t="s">
        <v>20</v>
      </c>
      <c r="P309" s="6" t="s">
        <v>20</v>
      </c>
      <c r="Q309" s="6">
        <v>0.2</v>
      </c>
      <c r="R309" s="6">
        <v>0.05</v>
      </c>
      <c r="S309" s="6">
        <v>0.25</v>
      </c>
      <c r="T309" s="8">
        <v>20</v>
      </c>
      <c r="U309" s="5" t="s">
        <v>994</v>
      </c>
      <c r="V309" s="89">
        <v>0</v>
      </c>
      <c r="W309" s="15">
        <v>17897801307212</v>
      </c>
      <c r="X309" s="6">
        <v>0.45</v>
      </c>
      <c r="Y309" s="6">
        <v>0.18</v>
      </c>
      <c r="Z309" s="6">
        <v>0.7</v>
      </c>
      <c r="AA309" s="6">
        <f t="shared" si="8"/>
        <v>5.67E-2</v>
      </c>
      <c r="AB309" s="8">
        <v>500</v>
      </c>
      <c r="AC309" s="15">
        <v>47897801307213</v>
      </c>
      <c r="AD309" s="4" t="s">
        <v>992</v>
      </c>
    </row>
    <row r="310" spans="2:30" x14ac:dyDescent="0.35">
      <c r="B310" s="14">
        <v>491</v>
      </c>
      <c r="C310" s="4" t="s">
        <v>317</v>
      </c>
      <c r="D310" s="4" t="s">
        <v>2382</v>
      </c>
      <c r="E310" s="4" t="s">
        <v>2911</v>
      </c>
      <c r="F310" s="4" t="s">
        <v>85</v>
      </c>
      <c r="G310" s="4" t="s">
        <v>993</v>
      </c>
      <c r="H310" s="6">
        <v>6.2199999999999998E-2</v>
      </c>
      <c r="I310" s="8">
        <v>54</v>
      </c>
      <c r="J310" s="8">
        <v>54.3</v>
      </c>
      <c r="K310" s="8">
        <v>54</v>
      </c>
      <c r="L310" s="8">
        <f t="shared" si="7"/>
        <v>158338.79999999999</v>
      </c>
      <c r="M310" s="15">
        <v>7897801307734</v>
      </c>
      <c r="N310" s="6" t="s">
        <v>20</v>
      </c>
      <c r="O310" s="6" t="s">
        <v>20</v>
      </c>
      <c r="P310" s="6" t="s">
        <v>20</v>
      </c>
      <c r="Q310" s="6">
        <v>0.18</v>
      </c>
      <c r="R310" s="6">
        <v>5.5E-2</v>
      </c>
      <c r="S310" s="6">
        <v>0.27</v>
      </c>
      <c r="T310" s="8">
        <v>15</v>
      </c>
      <c r="U310" s="5" t="s">
        <v>994</v>
      </c>
      <c r="V310" s="89">
        <v>0</v>
      </c>
      <c r="W310" s="15">
        <v>17897801307731</v>
      </c>
      <c r="X310" s="6">
        <v>0.45</v>
      </c>
      <c r="Y310" s="6">
        <v>0.2</v>
      </c>
      <c r="Z310" s="6">
        <v>0.7</v>
      </c>
      <c r="AA310" s="6">
        <f t="shared" si="8"/>
        <v>6.3E-2</v>
      </c>
      <c r="AB310" s="8">
        <v>300</v>
      </c>
      <c r="AC310" s="15">
        <v>47897801307732</v>
      </c>
      <c r="AD310" s="4" t="s">
        <v>992</v>
      </c>
    </row>
    <row r="311" spans="2:30" x14ac:dyDescent="0.35">
      <c r="B311" s="14">
        <v>492</v>
      </c>
      <c r="C311" s="4" t="s">
        <v>318</v>
      </c>
      <c r="D311" s="4" t="s">
        <v>2382</v>
      </c>
      <c r="E311" s="4" t="s">
        <v>2911</v>
      </c>
      <c r="F311" s="4" t="s">
        <v>85</v>
      </c>
      <c r="G311" s="4" t="s">
        <v>993</v>
      </c>
      <c r="H311" s="6">
        <v>9.0499999999999997E-2</v>
      </c>
      <c r="I311" s="8">
        <v>61</v>
      </c>
      <c r="J311" s="8">
        <v>60</v>
      </c>
      <c r="K311" s="8">
        <v>61</v>
      </c>
      <c r="L311" s="8">
        <f t="shared" si="7"/>
        <v>223260</v>
      </c>
      <c r="M311" s="15">
        <v>7897801307178</v>
      </c>
      <c r="N311" s="6" t="s">
        <v>20</v>
      </c>
      <c r="O311" s="6" t="s">
        <v>20</v>
      </c>
      <c r="P311" s="6" t="s">
        <v>20</v>
      </c>
      <c r="Q311" s="6">
        <v>0.21</v>
      </c>
      <c r="R311" s="6">
        <v>0.06</v>
      </c>
      <c r="S311" s="6">
        <v>0.3</v>
      </c>
      <c r="T311" s="8">
        <v>10</v>
      </c>
      <c r="U311" s="5" t="s">
        <v>994</v>
      </c>
      <c r="V311" s="89">
        <v>0</v>
      </c>
      <c r="W311" s="15">
        <v>17897801307175</v>
      </c>
      <c r="X311" s="6">
        <v>0.49</v>
      </c>
      <c r="Y311" s="6">
        <v>0.22</v>
      </c>
      <c r="Z311" s="6">
        <v>0.69</v>
      </c>
      <c r="AA311" s="6">
        <f t="shared" si="8"/>
        <v>7.438199999999999E-2</v>
      </c>
      <c r="AB311" s="8">
        <v>200</v>
      </c>
      <c r="AC311" s="15">
        <v>47897801307176</v>
      </c>
      <c r="AD311" s="4" t="s">
        <v>992</v>
      </c>
    </row>
    <row r="312" spans="2:30" x14ac:dyDescent="0.35">
      <c r="B312" s="14">
        <v>493</v>
      </c>
      <c r="C312" s="4" t="s">
        <v>319</v>
      </c>
      <c r="D312" s="4" t="s">
        <v>2382</v>
      </c>
      <c r="E312" s="4" t="s">
        <v>2911</v>
      </c>
      <c r="F312" s="4" t="s">
        <v>85</v>
      </c>
      <c r="G312" s="4" t="s">
        <v>993</v>
      </c>
      <c r="H312" s="6">
        <v>2.5000000000000001E-2</v>
      </c>
      <c r="I312" s="8">
        <v>41.9</v>
      </c>
      <c r="J312" s="8">
        <v>30</v>
      </c>
      <c r="K312" s="8">
        <v>54</v>
      </c>
      <c r="L312" s="8">
        <f t="shared" si="7"/>
        <v>67878</v>
      </c>
      <c r="M312" s="15">
        <v>7897801300773</v>
      </c>
      <c r="N312" s="6" t="s">
        <v>20</v>
      </c>
      <c r="O312" s="6" t="s">
        <v>20</v>
      </c>
      <c r="P312" s="6" t="s">
        <v>20</v>
      </c>
      <c r="Q312" s="6">
        <v>0.18</v>
      </c>
      <c r="R312" s="6">
        <v>5.5E-2</v>
      </c>
      <c r="S312" s="6">
        <v>0.215</v>
      </c>
      <c r="T312" s="8">
        <v>20</v>
      </c>
      <c r="U312" s="5" t="s">
        <v>994</v>
      </c>
      <c r="V312" s="89">
        <v>0</v>
      </c>
      <c r="W312" s="15">
        <v>17897801300770</v>
      </c>
      <c r="X312" s="6">
        <v>0.6</v>
      </c>
      <c r="Y312" s="6">
        <v>0.18</v>
      </c>
      <c r="Z312" s="6">
        <v>0.72</v>
      </c>
      <c r="AA312" s="6">
        <f t="shared" si="8"/>
        <v>7.7759999999999996E-2</v>
      </c>
      <c r="AB312" s="8">
        <v>800</v>
      </c>
      <c r="AC312" s="15">
        <v>47897801300771</v>
      </c>
      <c r="AD312" s="4" t="s">
        <v>992</v>
      </c>
    </row>
    <row r="313" spans="2:30" x14ac:dyDescent="0.35">
      <c r="B313" s="14">
        <v>494</v>
      </c>
      <c r="C313" s="4" t="s">
        <v>320</v>
      </c>
      <c r="D313" s="4" t="s">
        <v>2382</v>
      </c>
      <c r="E313" s="4" t="s">
        <v>2911</v>
      </c>
      <c r="F313" s="4" t="s">
        <v>85</v>
      </c>
      <c r="G313" s="4" t="s">
        <v>993</v>
      </c>
      <c r="H313" s="6">
        <v>3.9E-2</v>
      </c>
      <c r="I313" s="8">
        <v>46.3</v>
      </c>
      <c r="J313" s="8">
        <v>36</v>
      </c>
      <c r="K313" s="8">
        <v>62</v>
      </c>
      <c r="L313" s="8">
        <f t="shared" si="7"/>
        <v>103341.59999999999</v>
      </c>
      <c r="M313" s="15">
        <v>7897801300797</v>
      </c>
      <c r="N313" s="6" t="s">
        <v>20</v>
      </c>
      <c r="O313" s="6" t="s">
        <v>20</v>
      </c>
      <c r="P313" s="6" t="s">
        <v>20</v>
      </c>
      <c r="Q313" s="6">
        <v>0.18</v>
      </c>
      <c r="R313" s="6">
        <v>7.0000000000000007E-2</v>
      </c>
      <c r="S313" s="6">
        <v>0.26</v>
      </c>
      <c r="T313" s="8">
        <v>20</v>
      </c>
      <c r="U313" s="5" t="s">
        <v>994</v>
      </c>
      <c r="V313" s="89">
        <v>0</v>
      </c>
      <c r="W313" s="15">
        <v>17897801300794</v>
      </c>
      <c r="X313" s="6">
        <v>0.53</v>
      </c>
      <c r="Y313" s="6">
        <v>0.23</v>
      </c>
      <c r="Z313" s="6">
        <v>0.72</v>
      </c>
      <c r="AA313" s="6">
        <f t="shared" si="8"/>
        <v>8.7767999999999999E-2</v>
      </c>
      <c r="AB313" s="8">
        <v>500</v>
      </c>
      <c r="AC313" s="15">
        <v>47897801300795</v>
      </c>
      <c r="AD313" s="4" t="s">
        <v>992</v>
      </c>
    </row>
    <row r="314" spans="2:30" x14ac:dyDescent="0.35">
      <c r="B314" s="14">
        <v>495</v>
      </c>
      <c r="C314" s="4" t="s">
        <v>321</v>
      </c>
      <c r="D314" s="4" t="s">
        <v>2382</v>
      </c>
      <c r="E314" s="4" t="s">
        <v>2911</v>
      </c>
      <c r="F314" s="4" t="s">
        <v>85</v>
      </c>
      <c r="G314" s="4" t="s">
        <v>993</v>
      </c>
      <c r="H314" s="6">
        <v>3.2099999999999997E-2</v>
      </c>
      <c r="I314" s="8">
        <v>46.3</v>
      </c>
      <c r="J314" s="8">
        <v>33.799999999999997</v>
      </c>
      <c r="K314" s="8">
        <v>57.5</v>
      </c>
      <c r="L314" s="8">
        <f t="shared" si="7"/>
        <v>89984.049999999988</v>
      </c>
      <c r="M314" s="15">
        <v>7897801300780</v>
      </c>
      <c r="N314" s="6" t="s">
        <v>20</v>
      </c>
      <c r="O314" s="6" t="s">
        <v>20</v>
      </c>
      <c r="P314" s="6" t="s">
        <v>20</v>
      </c>
      <c r="Q314" s="6">
        <v>0.16</v>
      </c>
      <c r="R314" s="6">
        <v>0.06</v>
      </c>
      <c r="S314" s="6">
        <v>0.26</v>
      </c>
      <c r="T314" s="8">
        <v>20</v>
      </c>
      <c r="U314" s="5" t="s">
        <v>994</v>
      </c>
      <c r="V314" s="89">
        <v>0</v>
      </c>
      <c r="W314" s="15">
        <v>17897801300787</v>
      </c>
      <c r="X314" s="6">
        <v>0.5</v>
      </c>
      <c r="Y314" s="6">
        <v>0.2</v>
      </c>
      <c r="Z314" s="6">
        <v>0.7</v>
      </c>
      <c r="AA314" s="6">
        <f t="shared" si="8"/>
        <v>6.9999999999999993E-2</v>
      </c>
      <c r="AB314" s="8">
        <v>600</v>
      </c>
      <c r="AC314" s="15">
        <v>27897801300784</v>
      </c>
      <c r="AD314" s="4" t="s">
        <v>992</v>
      </c>
    </row>
    <row r="315" spans="2:30" x14ac:dyDescent="0.35">
      <c r="B315" s="14">
        <v>496</v>
      </c>
      <c r="C315" s="4" t="s">
        <v>322</v>
      </c>
      <c r="D315" s="4" t="s">
        <v>2382</v>
      </c>
      <c r="E315" s="4" t="s">
        <v>2911</v>
      </c>
      <c r="F315" s="4" t="s">
        <v>85</v>
      </c>
      <c r="G315" s="4" t="s">
        <v>993</v>
      </c>
      <c r="H315" s="6">
        <v>5.2900000000000003E-2</v>
      </c>
      <c r="I315" s="8">
        <v>70</v>
      </c>
      <c r="J315" s="8">
        <v>60</v>
      </c>
      <c r="K315" s="8">
        <v>40</v>
      </c>
      <c r="L315" s="8">
        <f t="shared" si="7"/>
        <v>168000</v>
      </c>
      <c r="M315" s="15">
        <v>7897801312172</v>
      </c>
      <c r="N315" s="6" t="s">
        <v>20</v>
      </c>
      <c r="O315" s="6" t="s">
        <v>20</v>
      </c>
      <c r="P315" s="6" t="s">
        <v>20</v>
      </c>
      <c r="Q315" s="6">
        <v>0.14000000000000001</v>
      </c>
      <c r="R315" s="6">
        <v>7.0000000000000007E-2</v>
      </c>
      <c r="S315" s="6">
        <v>0.23</v>
      </c>
      <c r="T315" s="8">
        <v>10</v>
      </c>
      <c r="U315" s="5" t="s">
        <v>994</v>
      </c>
      <c r="V315" s="89">
        <v>0</v>
      </c>
      <c r="W315" s="15">
        <v>17897801312179</v>
      </c>
      <c r="X315" s="6">
        <v>0.5</v>
      </c>
      <c r="Y315" s="6">
        <v>0.2</v>
      </c>
      <c r="Z315" s="6">
        <v>0.7</v>
      </c>
      <c r="AA315" s="6">
        <f t="shared" si="8"/>
        <v>6.9999999999999993E-2</v>
      </c>
      <c r="AB315" s="8">
        <v>280</v>
      </c>
      <c r="AC315" s="15">
        <v>27897801312176</v>
      </c>
      <c r="AD315" s="4" t="s">
        <v>992</v>
      </c>
    </row>
    <row r="316" spans="2:30" x14ac:dyDescent="0.35">
      <c r="B316" s="14">
        <v>497</v>
      </c>
      <c r="C316" s="4" t="s">
        <v>323</v>
      </c>
      <c r="D316" s="4" t="s">
        <v>2404</v>
      </c>
      <c r="E316" s="4" t="s">
        <v>2911</v>
      </c>
      <c r="F316" s="4" t="s">
        <v>85</v>
      </c>
      <c r="G316" s="4" t="s">
        <v>993</v>
      </c>
      <c r="H316" s="6">
        <v>2.8000000000000001E-2</v>
      </c>
      <c r="I316" s="8">
        <v>41.9</v>
      </c>
      <c r="J316" s="8">
        <v>31</v>
      </c>
      <c r="K316" s="8">
        <v>41.9</v>
      </c>
      <c r="L316" s="8">
        <f t="shared" si="7"/>
        <v>54423.909999999989</v>
      </c>
      <c r="M316" s="15">
        <v>7897801300544</v>
      </c>
      <c r="N316" s="6" t="s">
        <v>20</v>
      </c>
      <c r="O316" s="6" t="s">
        <v>20</v>
      </c>
      <c r="P316" s="6" t="s">
        <v>20</v>
      </c>
      <c r="Q316" s="6">
        <v>0.25</v>
      </c>
      <c r="R316" s="6">
        <v>0.06</v>
      </c>
      <c r="S316" s="6">
        <v>0.24</v>
      </c>
      <c r="T316" s="8">
        <v>20</v>
      </c>
      <c r="U316" s="5" t="s">
        <v>994</v>
      </c>
      <c r="V316" s="89">
        <v>0</v>
      </c>
      <c r="W316" s="15">
        <v>17897801300541</v>
      </c>
      <c r="X316" s="6">
        <v>0.48</v>
      </c>
      <c r="Y316" s="6">
        <v>0.19</v>
      </c>
      <c r="Z316" s="6">
        <v>0.73</v>
      </c>
      <c r="AA316" s="6">
        <f t="shared" si="8"/>
        <v>6.6575999999999996E-2</v>
      </c>
      <c r="AB316" s="8">
        <v>800</v>
      </c>
      <c r="AC316" s="15">
        <v>47897801300542</v>
      </c>
      <c r="AD316" s="4" t="s">
        <v>992</v>
      </c>
    </row>
    <row r="317" spans="2:30" x14ac:dyDescent="0.35">
      <c r="B317" s="14">
        <v>498</v>
      </c>
      <c r="C317" s="4" t="s">
        <v>324</v>
      </c>
      <c r="D317" s="4" t="s">
        <v>2404</v>
      </c>
      <c r="E317" s="4" t="s">
        <v>2911</v>
      </c>
      <c r="F317" s="4" t="s">
        <v>85</v>
      </c>
      <c r="G317" s="4" t="s">
        <v>993</v>
      </c>
      <c r="H317" s="6">
        <v>3.7199999999999997E-2</v>
      </c>
      <c r="I317" s="8">
        <v>41.9</v>
      </c>
      <c r="J317" s="8">
        <v>31</v>
      </c>
      <c r="K317" s="8">
        <v>41.9</v>
      </c>
      <c r="L317" s="8">
        <f t="shared" si="7"/>
        <v>54423.909999999989</v>
      </c>
      <c r="M317" s="15">
        <v>7897801300568</v>
      </c>
      <c r="N317" s="6" t="s">
        <v>20</v>
      </c>
      <c r="O317" s="6" t="s">
        <v>20</v>
      </c>
      <c r="P317" s="6" t="s">
        <v>20</v>
      </c>
      <c r="Q317" s="6">
        <v>0.23</v>
      </c>
      <c r="R317" s="6">
        <v>0.06</v>
      </c>
      <c r="S317" s="6">
        <v>0.24</v>
      </c>
      <c r="T317" s="8">
        <v>20</v>
      </c>
      <c r="U317" s="5" t="s">
        <v>994</v>
      </c>
      <c r="V317" s="89">
        <v>0</v>
      </c>
      <c r="W317" s="15">
        <v>17897801300565</v>
      </c>
      <c r="X317" s="6">
        <v>0.21</v>
      </c>
      <c r="Y317" s="6">
        <v>0.18</v>
      </c>
      <c r="Z317" s="6">
        <v>0.74</v>
      </c>
      <c r="AA317" s="6">
        <f t="shared" si="8"/>
        <v>2.7972E-2</v>
      </c>
      <c r="AB317" s="8">
        <v>600</v>
      </c>
      <c r="AC317" s="15">
        <v>47897801300566</v>
      </c>
      <c r="AD317" s="4" t="s">
        <v>992</v>
      </c>
    </row>
    <row r="318" spans="2:30" x14ac:dyDescent="0.35">
      <c r="B318" s="14">
        <v>499</v>
      </c>
      <c r="C318" s="4" t="s">
        <v>325</v>
      </c>
      <c r="D318" s="4" t="s">
        <v>2404</v>
      </c>
      <c r="E318" s="4" t="s">
        <v>2911</v>
      </c>
      <c r="F318" s="4" t="s">
        <v>85</v>
      </c>
      <c r="G318" s="4" t="s">
        <v>993</v>
      </c>
      <c r="H318" s="6">
        <v>2.9700000000000001E-2</v>
      </c>
      <c r="I318" s="8">
        <v>46.3</v>
      </c>
      <c r="J318" s="8">
        <v>33.799999999999997</v>
      </c>
      <c r="K318" s="8">
        <v>46.3</v>
      </c>
      <c r="L318" s="8">
        <f t="shared" si="7"/>
        <v>72456.721999999994</v>
      </c>
      <c r="M318" s="15">
        <v>7897801300551</v>
      </c>
      <c r="N318" s="6" t="s">
        <v>20</v>
      </c>
      <c r="O318" s="6" t="s">
        <v>20</v>
      </c>
      <c r="P318" s="6" t="s">
        <v>20</v>
      </c>
      <c r="Q318" s="6">
        <v>0.23</v>
      </c>
      <c r="R318" s="6">
        <v>0.05</v>
      </c>
      <c r="S318" s="6">
        <v>0.23</v>
      </c>
      <c r="T318" s="8">
        <v>20</v>
      </c>
      <c r="U318" s="5" t="s">
        <v>994</v>
      </c>
      <c r="V318" s="89">
        <v>0</v>
      </c>
      <c r="W318" s="15">
        <v>17897801300558</v>
      </c>
      <c r="X318" s="6">
        <v>0.46</v>
      </c>
      <c r="Y318" s="6">
        <v>0.18</v>
      </c>
      <c r="Z318" s="6">
        <v>0.73</v>
      </c>
      <c r="AA318" s="6">
        <f t="shared" si="8"/>
        <v>6.0443999999999998E-2</v>
      </c>
      <c r="AB318" s="8">
        <v>700</v>
      </c>
      <c r="AC318" s="15">
        <v>47897801300559</v>
      </c>
      <c r="AD318" s="4" t="s">
        <v>992</v>
      </c>
    </row>
    <row r="319" spans="2:30" x14ac:dyDescent="0.35">
      <c r="B319" s="14">
        <v>500</v>
      </c>
      <c r="C319" s="4" t="s">
        <v>326</v>
      </c>
      <c r="D319" s="4" t="s">
        <v>2404</v>
      </c>
      <c r="E319" s="4" t="s">
        <v>2911</v>
      </c>
      <c r="F319" s="4" t="s">
        <v>85</v>
      </c>
      <c r="G319" s="4" t="s">
        <v>993</v>
      </c>
      <c r="H319" s="6">
        <v>5.1700000000000003E-2</v>
      </c>
      <c r="I319" s="8">
        <v>41</v>
      </c>
      <c r="J319" s="8">
        <v>50</v>
      </c>
      <c r="K319" s="8">
        <v>60</v>
      </c>
      <c r="L319" s="8">
        <f t="shared" si="7"/>
        <v>123000</v>
      </c>
      <c r="M319" s="15">
        <v>7897801311762</v>
      </c>
      <c r="N319" s="6" t="s">
        <v>20</v>
      </c>
      <c r="O319" s="6" t="s">
        <v>20</v>
      </c>
      <c r="P319" s="6" t="s">
        <v>20</v>
      </c>
      <c r="Q319" s="6">
        <v>0.18</v>
      </c>
      <c r="R319" s="6">
        <v>0.06</v>
      </c>
      <c r="S319" s="6">
        <v>0.28000000000000003</v>
      </c>
      <c r="T319" s="8">
        <v>10</v>
      </c>
      <c r="U319" s="5" t="s">
        <v>994</v>
      </c>
      <c r="V319" s="89">
        <v>0</v>
      </c>
      <c r="W319" s="15">
        <v>17897801311769</v>
      </c>
      <c r="X319" s="6">
        <v>0.51</v>
      </c>
      <c r="Y319" s="6">
        <v>0.17</v>
      </c>
      <c r="Z319" s="6">
        <v>0.76</v>
      </c>
      <c r="AA319" s="6">
        <f t="shared" si="8"/>
        <v>6.5892000000000006E-2</v>
      </c>
      <c r="AB319" s="8">
        <v>400</v>
      </c>
      <c r="AC319" s="15">
        <v>27897801311766</v>
      </c>
      <c r="AD319" s="4" t="s">
        <v>992</v>
      </c>
    </row>
    <row r="320" spans="2:30" x14ac:dyDescent="0.35">
      <c r="B320" s="14">
        <v>501</v>
      </c>
      <c r="C320" s="4" t="s">
        <v>327</v>
      </c>
      <c r="D320" s="4" t="s">
        <v>2404</v>
      </c>
      <c r="E320" s="4" t="s">
        <v>2911</v>
      </c>
      <c r="F320" s="4" t="s">
        <v>85</v>
      </c>
      <c r="G320" s="4" t="s">
        <v>993</v>
      </c>
      <c r="H320" s="6">
        <v>2.4400000000000002E-2</v>
      </c>
      <c r="I320" s="8">
        <v>31</v>
      </c>
      <c r="J320" s="8">
        <v>31</v>
      </c>
      <c r="K320" s="8">
        <v>34.5</v>
      </c>
      <c r="L320" s="8">
        <f t="shared" si="7"/>
        <v>33154.5</v>
      </c>
      <c r="M320" s="15">
        <v>7897801300605</v>
      </c>
      <c r="N320" s="6" t="s">
        <v>20</v>
      </c>
      <c r="O320" s="6" t="s">
        <v>20</v>
      </c>
      <c r="P320" s="6" t="s">
        <v>20</v>
      </c>
      <c r="Q320" s="6">
        <v>0.05</v>
      </c>
      <c r="R320" s="6">
        <v>0.04</v>
      </c>
      <c r="S320" s="6">
        <v>0.08</v>
      </c>
      <c r="T320" s="8">
        <v>20</v>
      </c>
      <c r="U320" s="5" t="s">
        <v>994</v>
      </c>
      <c r="V320" s="89">
        <v>0</v>
      </c>
      <c r="W320" s="15">
        <v>17897801300602</v>
      </c>
      <c r="X320" s="6">
        <v>0.5</v>
      </c>
      <c r="Y320" s="6">
        <v>0.13</v>
      </c>
      <c r="Z320" s="6">
        <v>0.7</v>
      </c>
      <c r="AA320" s="6">
        <f t="shared" si="8"/>
        <v>4.5499999999999999E-2</v>
      </c>
      <c r="AB320" s="8">
        <v>900</v>
      </c>
      <c r="AC320" s="15">
        <v>47897801300603</v>
      </c>
      <c r="AD320" s="4" t="s">
        <v>992</v>
      </c>
    </row>
    <row r="321" spans="2:30" x14ac:dyDescent="0.35">
      <c r="B321" s="14">
        <v>502</v>
      </c>
      <c r="C321" s="4" t="s">
        <v>328</v>
      </c>
      <c r="D321" s="4" t="s">
        <v>2404</v>
      </c>
      <c r="E321" s="4" t="s">
        <v>2911</v>
      </c>
      <c r="F321" s="4" t="s">
        <v>85</v>
      </c>
      <c r="G321" s="4" t="s">
        <v>993</v>
      </c>
      <c r="H321" s="6">
        <v>3.2800000000000003E-2</v>
      </c>
      <c r="I321" s="8">
        <v>39</v>
      </c>
      <c r="J321" s="8">
        <v>39</v>
      </c>
      <c r="K321" s="8">
        <v>39</v>
      </c>
      <c r="L321" s="8">
        <f t="shared" si="7"/>
        <v>59319</v>
      </c>
      <c r="M321" s="15">
        <v>7897801300629</v>
      </c>
      <c r="N321" s="6" t="s">
        <v>20</v>
      </c>
      <c r="O321" s="6" t="s">
        <v>20</v>
      </c>
      <c r="P321" s="6" t="s">
        <v>20</v>
      </c>
      <c r="Q321" s="6">
        <v>0.23</v>
      </c>
      <c r="R321" s="6">
        <v>0.04</v>
      </c>
      <c r="S321" s="6">
        <v>0.245</v>
      </c>
      <c r="T321" s="8">
        <v>20</v>
      </c>
      <c r="U321" s="5" t="s">
        <v>994</v>
      </c>
      <c r="V321" s="89">
        <v>0</v>
      </c>
      <c r="W321" s="15">
        <v>17897801300626</v>
      </c>
      <c r="X321" s="6">
        <v>0.56000000000000005</v>
      </c>
      <c r="Y321" s="6">
        <v>0.17</v>
      </c>
      <c r="Z321" s="6">
        <v>0.71</v>
      </c>
      <c r="AA321" s="6">
        <f t="shared" si="8"/>
        <v>6.7592000000000013E-2</v>
      </c>
      <c r="AB321" s="8">
        <v>600</v>
      </c>
      <c r="AC321" s="15">
        <v>47897801300627</v>
      </c>
      <c r="AD321" s="4" t="s">
        <v>992</v>
      </c>
    </row>
    <row r="322" spans="2:30" x14ac:dyDescent="0.35">
      <c r="B322" s="14">
        <v>503</v>
      </c>
      <c r="C322" s="4" t="s">
        <v>329</v>
      </c>
      <c r="D322" s="4" t="s">
        <v>2404</v>
      </c>
      <c r="E322" s="4" t="s">
        <v>2911</v>
      </c>
      <c r="F322" s="4" t="s">
        <v>85</v>
      </c>
      <c r="G322" s="4" t="s">
        <v>993</v>
      </c>
      <c r="H322" s="6">
        <v>2.93E-2</v>
      </c>
      <c r="I322" s="8">
        <v>38</v>
      </c>
      <c r="J322" s="8">
        <v>33.799999999999997</v>
      </c>
      <c r="K322" s="8">
        <v>39</v>
      </c>
      <c r="L322" s="8">
        <f t="shared" si="7"/>
        <v>50091.599999999991</v>
      </c>
      <c r="M322" s="15">
        <v>7897801300612</v>
      </c>
      <c r="N322" s="6" t="s">
        <v>20</v>
      </c>
      <c r="O322" s="6" t="s">
        <v>20</v>
      </c>
      <c r="P322" s="6" t="s">
        <v>20</v>
      </c>
      <c r="Q322" s="6">
        <v>0.21</v>
      </c>
      <c r="R322" s="6">
        <v>0.04</v>
      </c>
      <c r="S322" s="6">
        <v>0.24</v>
      </c>
      <c r="T322" s="8">
        <v>20</v>
      </c>
      <c r="U322" s="5" t="s">
        <v>994</v>
      </c>
      <c r="V322" s="89">
        <v>0</v>
      </c>
      <c r="W322" s="15">
        <v>17897801300619</v>
      </c>
      <c r="X322" s="6">
        <v>0.51</v>
      </c>
      <c r="Y322" s="6">
        <v>0.17</v>
      </c>
      <c r="Z322" s="6">
        <v>0.74</v>
      </c>
      <c r="AA322" s="6">
        <f t="shared" si="8"/>
        <v>6.4158000000000007E-2</v>
      </c>
      <c r="AB322" s="8">
        <v>700</v>
      </c>
      <c r="AC322" s="15">
        <v>47897801300610</v>
      </c>
      <c r="AD322" s="4" t="s">
        <v>992</v>
      </c>
    </row>
    <row r="323" spans="2:30" x14ac:dyDescent="0.35">
      <c r="B323" s="14">
        <v>504</v>
      </c>
      <c r="C323" s="4" t="s">
        <v>330</v>
      </c>
      <c r="D323" s="4" t="s">
        <v>2404</v>
      </c>
      <c r="E323" s="4" t="s">
        <v>2911</v>
      </c>
      <c r="F323" s="4" t="s">
        <v>85</v>
      </c>
      <c r="G323" s="4" t="s">
        <v>993</v>
      </c>
      <c r="H323" s="6">
        <v>3.2500000000000001E-2</v>
      </c>
      <c r="I323" s="8">
        <v>41.9</v>
      </c>
      <c r="J323" s="8">
        <v>31</v>
      </c>
      <c r="K323" s="8">
        <v>54</v>
      </c>
      <c r="L323" s="8">
        <f t="shared" si="7"/>
        <v>70140.599999999991</v>
      </c>
      <c r="M323" s="15">
        <v>7897801300575</v>
      </c>
      <c r="N323" s="6" t="s">
        <v>20</v>
      </c>
      <c r="O323" s="6" t="s">
        <v>20</v>
      </c>
      <c r="P323" s="6" t="s">
        <v>20</v>
      </c>
      <c r="Q323" s="6">
        <v>0.2</v>
      </c>
      <c r="R323" s="6">
        <v>7.0000000000000007E-2</v>
      </c>
      <c r="S323" s="6">
        <v>0.23</v>
      </c>
      <c r="T323" s="8">
        <v>20</v>
      </c>
      <c r="U323" s="5" t="s">
        <v>994</v>
      </c>
      <c r="V323" s="89">
        <v>0</v>
      </c>
      <c r="W323" s="15">
        <v>17897801300572</v>
      </c>
      <c r="X323" s="6">
        <v>0.53</v>
      </c>
      <c r="Y323" s="6">
        <v>0.19</v>
      </c>
      <c r="Z323" s="6">
        <v>0.78</v>
      </c>
      <c r="AA323" s="6">
        <f t="shared" si="8"/>
        <v>7.8546000000000019E-2</v>
      </c>
      <c r="AB323" s="8">
        <v>640</v>
      </c>
      <c r="AC323" s="15">
        <v>47897801300573</v>
      </c>
      <c r="AD323" s="4" t="s">
        <v>992</v>
      </c>
    </row>
    <row r="324" spans="2:30" x14ac:dyDescent="0.35">
      <c r="B324" s="14">
        <v>505</v>
      </c>
      <c r="C324" s="4" t="s">
        <v>331</v>
      </c>
      <c r="D324" s="4" t="s">
        <v>2404</v>
      </c>
      <c r="E324" s="4" t="s">
        <v>2911</v>
      </c>
      <c r="F324" s="4" t="s">
        <v>85</v>
      </c>
      <c r="G324" s="4" t="s">
        <v>993</v>
      </c>
      <c r="H324" s="6">
        <v>4.4699999999999997E-2</v>
      </c>
      <c r="I324" s="8">
        <v>46.3</v>
      </c>
      <c r="J324" s="8">
        <v>37</v>
      </c>
      <c r="K324" s="8">
        <v>62</v>
      </c>
      <c r="L324" s="8">
        <f t="shared" si="7"/>
        <v>106212.2</v>
      </c>
      <c r="M324" s="15">
        <v>7897801300599</v>
      </c>
      <c r="N324" s="6" t="s">
        <v>20</v>
      </c>
      <c r="O324" s="6" t="s">
        <v>20</v>
      </c>
      <c r="P324" s="6" t="s">
        <v>20</v>
      </c>
      <c r="Q324" s="6">
        <v>0.23</v>
      </c>
      <c r="R324" s="6">
        <v>7.0000000000000007E-2</v>
      </c>
      <c r="S324" s="6">
        <v>0.28999999999999998</v>
      </c>
      <c r="T324" s="8">
        <v>20</v>
      </c>
      <c r="U324" s="5" t="s">
        <v>994</v>
      </c>
      <c r="V324" s="89">
        <v>0</v>
      </c>
      <c r="W324" s="15">
        <v>17897801300596</v>
      </c>
      <c r="X324" s="6">
        <v>0.51</v>
      </c>
      <c r="Y324" s="6">
        <v>0.21</v>
      </c>
      <c r="Z324" s="6">
        <v>0.73</v>
      </c>
      <c r="AA324" s="6">
        <f t="shared" si="8"/>
        <v>7.8183000000000002E-2</v>
      </c>
      <c r="AB324" s="8">
        <v>480</v>
      </c>
      <c r="AC324" s="15">
        <v>47897801300597</v>
      </c>
      <c r="AD324" s="4" t="s">
        <v>992</v>
      </c>
    </row>
    <row r="325" spans="2:30" x14ac:dyDescent="0.35">
      <c r="B325" s="14">
        <v>506</v>
      </c>
      <c r="C325" s="4" t="s">
        <v>332</v>
      </c>
      <c r="D325" s="4" t="s">
        <v>2404</v>
      </c>
      <c r="E325" s="4" t="s">
        <v>2911</v>
      </c>
      <c r="F325" s="4" t="s">
        <v>85</v>
      </c>
      <c r="G325" s="4" t="s">
        <v>993</v>
      </c>
      <c r="H325" s="6">
        <v>3.8199999999999998E-2</v>
      </c>
      <c r="I325" s="8">
        <v>46.3</v>
      </c>
      <c r="J325" s="8">
        <v>38.799999999999997</v>
      </c>
      <c r="K325" s="8">
        <v>57.5</v>
      </c>
      <c r="L325" s="8">
        <f t="shared" si="7"/>
        <v>103295.29999999999</v>
      </c>
      <c r="M325" s="15">
        <v>7897801300582</v>
      </c>
      <c r="N325" s="6" t="s">
        <v>20</v>
      </c>
      <c r="O325" s="6" t="s">
        <v>20</v>
      </c>
      <c r="P325" s="6" t="s">
        <v>20</v>
      </c>
      <c r="Q325" s="6">
        <v>0.23</v>
      </c>
      <c r="R325" s="6">
        <v>0.06</v>
      </c>
      <c r="S325" s="6">
        <v>0.23499999999999999</v>
      </c>
      <c r="T325" s="8">
        <v>20</v>
      </c>
      <c r="U325" s="5" t="s">
        <v>994</v>
      </c>
      <c r="V325" s="89">
        <v>0</v>
      </c>
      <c r="W325" s="15">
        <v>17897801300589</v>
      </c>
      <c r="X325" s="6">
        <v>0.49</v>
      </c>
      <c r="Y325" s="6">
        <v>0.22</v>
      </c>
      <c r="Z325" s="6">
        <v>0.8</v>
      </c>
      <c r="AA325" s="6">
        <f t="shared" si="8"/>
        <v>8.6239999999999997E-2</v>
      </c>
      <c r="AB325" s="8">
        <v>560</v>
      </c>
      <c r="AC325" s="15">
        <v>47897801300580</v>
      </c>
      <c r="AD325" s="4" t="s">
        <v>992</v>
      </c>
    </row>
    <row r="326" spans="2:30" x14ac:dyDescent="0.35">
      <c r="B326" s="14">
        <v>507</v>
      </c>
      <c r="C326" s="4" t="s">
        <v>333</v>
      </c>
      <c r="D326" s="4" t="s">
        <v>2404</v>
      </c>
      <c r="E326" s="4" t="s">
        <v>2911</v>
      </c>
      <c r="F326" s="4" t="s">
        <v>85</v>
      </c>
      <c r="G326" s="4" t="s">
        <v>993</v>
      </c>
      <c r="H326" s="6">
        <v>6.5799999999999997E-2</v>
      </c>
      <c r="I326" s="8">
        <v>42</v>
      </c>
      <c r="J326" s="8">
        <v>80</v>
      </c>
      <c r="K326" s="8">
        <v>52</v>
      </c>
      <c r="L326" s="8">
        <f t="shared" si="7"/>
        <v>174720</v>
      </c>
      <c r="M326" s="15">
        <v>7897801311748</v>
      </c>
      <c r="N326" s="6" t="s">
        <v>20</v>
      </c>
      <c r="O326" s="6" t="s">
        <v>20</v>
      </c>
      <c r="P326" s="6" t="s">
        <v>20</v>
      </c>
      <c r="Q326" s="6">
        <v>0.23</v>
      </c>
      <c r="R326" s="6">
        <v>5.5E-2</v>
      </c>
      <c r="S326" s="6">
        <v>0.23</v>
      </c>
      <c r="T326" s="8">
        <v>10</v>
      </c>
      <c r="U326" s="5" t="s">
        <v>994</v>
      </c>
      <c r="V326" s="89">
        <v>0</v>
      </c>
      <c r="W326" s="15">
        <v>17897801311745</v>
      </c>
      <c r="X326" s="6">
        <v>0.51</v>
      </c>
      <c r="Y326" s="6">
        <v>0.19</v>
      </c>
      <c r="Z326" s="6">
        <v>0.73</v>
      </c>
      <c r="AA326" s="6">
        <f t="shared" si="8"/>
        <v>7.0736999999999994E-2</v>
      </c>
      <c r="AB326" s="8">
        <v>250</v>
      </c>
      <c r="AC326" s="15">
        <v>27897801311742</v>
      </c>
      <c r="AD326" s="4" t="s">
        <v>992</v>
      </c>
    </row>
    <row r="327" spans="2:30" x14ac:dyDescent="0.35">
      <c r="B327" s="14">
        <v>516</v>
      </c>
      <c r="C327" s="4" t="s">
        <v>334</v>
      </c>
      <c r="D327" s="4" t="s">
        <v>2426</v>
      </c>
      <c r="E327" s="4" t="s">
        <v>2911</v>
      </c>
      <c r="F327" s="4" t="s">
        <v>85</v>
      </c>
      <c r="G327" s="4" t="s">
        <v>995</v>
      </c>
      <c r="H327" s="6">
        <v>0.02</v>
      </c>
      <c r="I327" s="8">
        <v>20</v>
      </c>
      <c r="J327" s="8">
        <v>120</v>
      </c>
      <c r="K327" s="8">
        <v>30</v>
      </c>
      <c r="L327" s="8">
        <f t="shared" si="7"/>
        <v>72000</v>
      </c>
      <c r="M327" s="15">
        <v>7897801300674</v>
      </c>
      <c r="N327" s="6" t="s">
        <v>20</v>
      </c>
      <c r="O327" s="6" t="s">
        <v>20</v>
      </c>
      <c r="P327" s="6" t="s">
        <v>20</v>
      </c>
      <c r="Q327" s="6">
        <v>0.115</v>
      </c>
      <c r="R327" s="6">
        <v>0.125</v>
      </c>
      <c r="S327" s="6">
        <v>0.215</v>
      </c>
      <c r="T327" s="8">
        <v>48</v>
      </c>
      <c r="U327" s="5" t="s">
        <v>997</v>
      </c>
      <c r="V327" s="89">
        <v>0</v>
      </c>
      <c r="W327" s="15">
        <v>17897801300671</v>
      </c>
      <c r="X327" s="6">
        <v>0.45</v>
      </c>
      <c r="Y327" s="6">
        <v>0.27</v>
      </c>
      <c r="Z327" s="6">
        <v>0.59</v>
      </c>
      <c r="AA327" s="6">
        <f t="shared" si="8"/>
        <v>7.1684999999999999E-2</v>
      </c>
      <c r="AB327" s="8">
        <v>960</v>
      </c>
      <c r="AC327" s="15">
        <v>27897801300678</v>
      </c>
      <c r="AD327" s="4" t="s">
        <v>998</v>
      </c>
    </row>
    <row r="328" spans="2:30" x14ac:dyDescent="0.35">
      <c r="B328" s="14">
        <v>517</v>
      </c>
      <c r="C328" s="4" t="s">
        <v>335</v>
      </c>
      <c r="D328" s="4" t="s">
        <v>2426</v>
      </c>
      <c r="E328" s="4" t="s">
        <v>2911</v>
      </c>
      <c r="F328" s="4" t="s">
        <v>85</v>
      </c>
      <c r="G328" s="4" t="s">
        <v>995</v>
      </c>
      <c r="H328" s="6">
        <v>0.08</v>
      </c>
      <c r="I328" s="8">
        <v>30</v>
      </c>
      <c r="J328" s="8">
        <v>185</v>
      </c>
      <c r="K328" s="8">
        <v>45</v>
      </c>
      <c r="L328" s="8">
        <f t="shared" si="7"/>
        <v>249750</v>
      </c>
      <c r="M328" s="15">
        <v>7897801300681</v>
      </c>
      <c r="N328" s="6" t="s">
        <v>20</v>
      </c>
      <c r="O328" s="6" t="s">
        <v>20</v>
      </c>
      <c r="P328" s="6" t="s">
        <v>20</v>
      </c>
      <c r="Q328" s="6">
        <v>0.14000000000000001</v>
      </c>
      <c r="R328" s="6">
        <v>0.185</v>
      </c>
      <c r="S328" s="6">
        <v>0.27</v>
      </c>
      <c r="T328" s="8">
        <v>30</v>
      </c>
      <c r="U328" s="5" t="s">
        <v>997</v>
      </c>
      <c r="V328" s="89">
        <v>0</v>
      </c>
      <c r="W328" s="15">
        <v>17897801300688</v>
      </c>
      <c r="X328" s="6">
        <v>0.31</v>
      </c>
      <c r="Y328" s="6">
        <v>0.40500000000000003</v>
      </c>
      <c r="Z328" s="6">
        <v>0.56000000000000005</v>
      </c>
      <c r="AA328" s="6">
        <f t="shared" si="8"/>
        <v>7.0308000000000009E-2</v>
      </c>
      <c r="AB328" s="8">
        <v>240</v>
      </c>
      <c r="AC328" s="15">
        <v>27897801300685</v>
      </c>
      <c r="AD328" s="4" t="s">
        <v>998</v>
      </c>
    </row>
    <row r="329" spans="2:30" x14ac:dyDescent="0.35">
      <c r="B329" s="14">
        <v>518</v>
      </c>
      <c r="C329" s="4" t="s">
        <v>336</v>
      </c>
      <c r="D329" s="4" t="s">
        <v>2426</v>
      </c>
      <c r="E329" s="4" t="s">
        <v>2911</v>
      </c>
      <c r="F329" s="4" t="s">
        <v>85</v>
      </c>
      <c r="G329" s="4" t="s">
        <v>995</v>
      </c>
      <c r="H329" s="6">
        <v>0.17499999999999999</v>
      </c>
      <c r="I329" s="8">
        <v>70</v>
      </c>
      <c r="J329" s="8">
        <v>88</v>
      </c>
      <c r="K329" s="8">
        <v>70</v>
      </c>
      <c r="L329" s="8">
        <f t="shared" si="7"/>
        <v>431200</v>
      </c>
      <c r="M329" s="15">
        <v>7897801302661</v>
      </c>
      <c r="N329" s="6" t="s">
        <v>20</v>
      </c>
      <c r="O329" s="6" t="s">
        <v>20</v>
      </c>
      <c r="P329" s="6" t="s">
        <v>20</v>
      </c>
      <c r="Q329" s="6">
        <v>0.15</v>
      </c>
      <c r="R329" s="6">
        <v>0.2</v>
      </c>
      <c r="S329" s="6">
        <v>0.2</v>
      </c>
      <c r="T329" s="8">
        <v>12</v>
      </c>
      <c r="U329" s="5" t="s">
        <v>997</v>
      </c>
      <c r="V329" s="89">
        <v>0</v>
      </c>
      <c r="W329" s="15">
        <v>17897801302668</v>
      </c>
      <c r="X329" s="6">
        <v>0.38</v>
      </c>
      <c r="Y329" s="6">
        <v>0.44</v>
      </c>
      <c r="Z329" s="6">
        <v>0.47</v>
      </c>
      <c r="AA329" s="6">
        <f t="shared" si="8"/>
        <v>7.8584000000000001E-2</v>
      </c>
      <c r="AB329" s="8">
        <v>120</v>
      </c>
      <c r="AC329" s="15">
        <v>27897801302665</v>
      </c>
      <c r="AD329" s="4" t="s">
        <v>999</v>
      </c>
    </row>
    <row r="330" spans="2:30" x14ac:dyDescent="0.35">
      <c r="B330" s="14">
        <v>519</v>
      </c>
      <c r="C330" s="4" t="s">
        <v>337</v>
      </c>
      <c r="D330" s="4" t="s">
        <v>2426</v>
      </c>
      <c r="E330" s="4" t="s">
        <v>2911</v>
      </c>
      <c r="F330" s="4" t="s">
        <v>85</v>
      </c>
      <c r="G330" s="4" t="s">
        <v>995</v>
      </c>
      <c r="H330" s="6">
        <v>0.85</v>
      </c>
      <c r="I330" s="8">
        <v>95</v>
      </c>
      <c r="J330" s="8">
        <v>200</v>
      </c>
      <c r="K330" s="8">
        <v>95</v>
      </c>
      <c r="L330" s="8">
        <f t="shared" si="7"/>
        <v>1805000</v>
      </c>
      <c r="M330" s="15">
        <v>7897801302678</v>
      </c>
      <c r="N330" s="6" t="s">
        <v>20</v>
      </c>
      <c r="O330" s="6" t="s">
        <v>20</v>
      </c>
      <c r="P330" s="6" t="s">
        <v>20</v>
      </c>
      <c r="Q330" s="6">
        <v>0.19</v>
      </c>
      <c r="R330" s="6">
        <v>0.22</v>
      </c>
      <c r="S330" s="6">
        <v>0.28000000000000003</v>
      </c>
      <c r="T330" s="8">
        <v>6</v>
      </c>
      <c r="U330" s="5" t="s">
        <v>997</v>
      </c>
      <c r="V330" s="89">
        <v>0</v>
      </c>
      <c r="W330" s="15">
        <v>17897801302675</v>
      </c>
      <c r="X330" s="6">
        <v>0.3</v>
      </c>
      <c r="Y330" s="6">
        <v>0.25</v>
      </c>
      <c r="Z330" s="6">
        <v>0.6</v>
      </c>
      <c r="AA330" s="6">
        <f t="shared" si="8"/>
        <v>4.4999999999999998E-2</v>
      </c>
      <c r="AB330" s="8">
        <v>18</v>
      </c>
      <c r="AC330" s="15">
        <v>27897801302672</v>
      </c>
      <c r="AD330" s="4" t="s">
        <v>999</v>
      </c>
    </row>
    <row r="331" spans="2:30" x14ac:dyDescent="0.35">
      <c r="B331" s="14">
        <v>520</v>
      </c>
      <c r="C331" s="4" t="s">
        <v>338</v>
      </c>
      <c r="D331" s="4" t="s">
        <v>2426</v>
      </c>
      <c r="E331" s="4" t="s">
        <v>2911</v>
      </c>
      <c r="F331" s="4" t="s">
        <v>85</v>
      </c>
      <c r="G331" s="4" t="s">
        <v>995</v>
      </c>
      <c r="H331" s="6">
        <v>0.158</v>
      </c>
      <c r="I331" s="8">
        <v>70</v>
      </c>
      <c r="J331" s="8">
        <v>83</v>
      </c>
      <c r="K331" s="8">
        <v>70</v>
      </c>
      <c r="L331" s="8">
        <f t="shared" ref="L331:L332" si="9">J331*I331*K331</f>
        <v>406700</v>
      </c>
      <c r="M331" s="15">
        <v>7897801302685</v>
      </c>
      <c r="N331" s="6" t="s">
        <v>20</v>
      </c>
      <c r="O331" s="6" t="s">
        <v>20</v>
      </c>
      <c r="P331" s="6" t="s">
        <v>20</v>
      </c>
      <c r="Q331" s="6">
        <v>0.14499999999999999</v>
      </c>
      <c r="R331" s="6">
        <v>0.23499999999999999</v>
      </c>
      <c r="S331" s="6">
        <v>0.20499999999999999</v>
      </c>
      <c r="T331" s="8">
        <v>12</v>
      </c>
      <c r="U331" s="5" t="s">
        <v>1000</v>
      </c>
      <c r="V331" s="89">
        <v>6.5000000000000002E-2</v>
      </c>
      <c r="W331" s="15">
        <v>17897801302682</v>
      </c>
      <c r="X331" s="6" t="s">
        <v>20</v>
      </c>
      <c r="Y331" s="6" t="s">
        <v>20</v>
      </c>
      <c r="Z331" s="6" t="s">
        <v>20</v>
      </c>
      <c r="AA331" s="6"/>
      <c r="AB331" s="8">
        <v>120</v>
      </c>
      <c r="AC331" s="15">
        <v>27897801302689</v>
      </c>
      <c r="AD331" s="4" t="s">
        <v>1001</v>
      </c>
    </row>
    <row r="332" spans="2:30" x14ac:dyDescent="0.35">
      <c r="B332" s="14">
        <v>521</v>
      </c>
      <c r="C332" s="4" t="s">
        <v>339</v>
      </c>
      <c r="D332" s="4" t="s">
        <v>2426</v>
      </c>
      <c r="E332" s="4" t="s">
        <v>2911</v>
      </c>
      <c r="F332" s="4" t="s">
        <v>85</v>
      </c>
      <c r="G332" s="4" t="s">
        <v>995</v>
      </c>
      <c r="H332" s="6">
        <v>0.79</v>
      </c>
      <c r="I332" s="8">
        <v>98</v>
      </c>
      <c r="J332" s="8">
        <v>190</v>
      </c>
      <c r="K332" s="8">
        <v>98</v>
      </c>
      <c r="L332" s="8">
        <f t="shared" si="9"/>
        <v>1824760</v>
      </c>
      <c r="M332" s="15">
        <v>7897801302692</v>
      </c>
      <c r="N332" s="6" t="s">
        <v>20</v>
      </c>
      <c r="O332" s="6" t="s">
        <v>20</v>
      </c>
      <c r="P332" s="6" t="s">
        <v>20</v>
      </c>
      <c r="Q332" s="6">
        <v>0.19500000000000001</v>
      </c>
      <c r="R332" s="6">
        <v>0.23499999999999999</v>
      </c>
      <c r="S332" s="6">
        <v>0.28000000000000003</v>
      </c>
      <c r="T332" s="8">
        <v>6</v>
      </c>
      <c r="U332" s="5" t="s">
        <v>1000</v>
      </c>
      <c r="V332" s="89">
        <v>6.5000000000000002E-2</v>
      </c>
      <c r="W332" s="15">
        <v>17897801302699</v>
      </c>
      <c r="X332" s="6">
        <v>0.3</v>
      </c>
      <c r="Y332" s="6">
        <v>0.24</v>
      </c>
      <c r="Z332" s="6">
        <v>0.59499999999999997</v>
      </c>
      <c r="AA332" s="6">
        <f>Y332*X332*Z332</f>
        <v>4.2839999999999996E-2</v>
      </c>
      <c r="AB332" s="8">
        <v>18</v>
      </c>
      <c r="AC332" s="15">
        <v>27897801302696</v>
      </c>
      <c r="AD332" s="4" t="s">
        <v>1001</v>
      </c>
    </row>
    <row r="333" spans="2:30" x14ac:dyDescent="0.35">
      <c r="B333" s="18">
        <v>522</v>
      </c>
      <c r="C333" s="24" t="s">
        <v>2423</v>
      </c>
      <c r="D333" s="4" t="s">
        <v>2426</v>
      </c>
      <c r="E333" s="4" t="s">
        <v>2911</v>
      </c>
      <c r="F333" s="4" t="s">
        <v>85</v>
      </c>
      <c r="G333" s="4" t="s">
        <v>1014</v>
      </c>
      <c r="H333" s="6">
        <v>0.17499999999999999</v>
      </c>
      <c r="I333" s="8">
        <v>68</v>
      </c>
      <c r="J333" s="8">
        <v>103</v>
      </c>
      <c r="K333" s="8">
        <v>68</v>
      </c>
      <c r="L333" s="8">
        <v>431200</v>
      </c>
      <c r="M333" s="15">
        <v>7897801320894</v>
      </c>
      <c r="N333" s="6" t="s">
        <v>20</v>
      </c>
      <c r="O333" s="6" t="s">
        <v>20</v>
      </c>
      <c r="P333" s="6" t="s">
        <v>20</v>
      </c>
      <c r="Q333" s="6">
        <v>0.16</v>
      </c>
      <c r="R333" s="6">
        <v>0.21</v>
      </c>
      <c r="S333" s="6">
        <v>0.20499999999999999</v>
      </c>
      <c r="T333" s="8">
        <v>12</v>
      </c>
      <c r="U333" s="5" t="s">
        <v>997</v>
      </c>
      <c r="V333" s="89">
        <v>0</v>
      </c>
      <c r="W333" s="15">
        <v>17897801320891</v>
      </c>
      <c r="X333" s="6">
        <v>0.37</v>
      </c>
      <c r="Y333" s="6">
        <v>0.44</v>
      </c>
      <c r="Z333" s="6">
        <v>0.48499999999999999</v>
      </c>
      <c r="AA333" s="6">
        <v>7.9000000000000001E-2</v>
      </c>
      <c r="AB333" s="8">
        <v>120</v>
      </c>
      <c r="AC333" s="15">
        <v>27897801320898</v>
      </c>
      <c r="AD333" s="4" t="s">
        <v>999</v>
      </c>
    </row>
    <row r="334" spans="2:30" x14ac:dyDescent="0.35">
      <c r="B334" s="18">
        <v>523</v>
      </c>
      <c r="C334" s="24" t="s">
        <v>2425</v>
      </c>
      <c r="D334" s="4" t="s">
        <v>2426</v>
      </c>
      <c r="E334" s="4" t="s">
        <v>2911</v>
      </c>
      <c r="F334" s="4" t="s">
        <v>85</v>
      </c>
      <c r="G334" s="4" t="s">
        <v>1014</v>
      </c>
      <c r="H334" s="6">
        <v>0.85</v>
      </c>
      <c r="I334" s="8">
        <v>94</v>
      </c>
      <c r="J334" s="8">
        <v>220</v>
      </c>
      <c r="K334" s="8">
        <v>94</v>
      </c>
      <c r="L334" s="8">
        <v>1805000</v>
      </c>
      <c r="M334" s="15">
        <v>7897801320900</v>
      </c>
      <c r="N334" s="6" t="s">
        <v>20</v>
      </c>
      <c r="O334" s="6" t="s">
        <v>20</v>
      </c>
      <c r="P334" s="6" t="s">
        <v>20</v>
      </c>
      <c r="Q334" s="6">
        <v>0.20499999999999999</v>
      </c>
      <c r="R334" s="6">
        <v>0.24199999999999999</v>
      </c>
      <c r="S334" s="6">
        <v>0.28499999999999998</v>
      </c>
      <c r="T334" s="8">
        <v>6</v>
      </c>
      <c r="U334" s="5" t="s">
        <v>997</v>
      </c>
      <c r="V334" s="89">
        <v>0</v>
      </c>
      <c r="W334" s="15">
        <v>17897801320907</v>
      </c>
      <c r="X334" s="6">
        <v>0.29499999999999998</v>
      </c>
      <c r="Y334" s="6">
        <v>0.255</v>
      </c>
      <c r="Z334" s="6">
        <v>0.60499999999999998</v>
      </c>
      <c r="AA334" s="6">
        <v>4.5499999999999999E-2</v>
      </c>
      <c r="AB334" s="8">
        <v>18</v>
      </c>
      <c r="AC334" s="15">
        <v>27897801320904</v>
      </c>
      <c r="AD334" s="4" t="s">
        <v>999</v>
      </c>
    </row>
    <row r="335" spans="2:30" x14ac:dyDescent="0.35">
      <c r="B335" s="14">
        <v>540</v>
      </c>
      <c r="C335" s="4" t="s">
        <v>340</v>
      </c>
      <c r="D335" s="4" t="s">
        <v>2389</v>
      </c>
      <c r="E335" s="4" t="s">
        <v>2911</v>
      </c>
      <c r="F335" s="4" t="s">
        <v>85</v>
      </c>
      <c r="G335" s="4" t="s">
        <v>993</v>
      </c>
      <c r="H335" s="6">
        <v>4.19E-2</v>
      </c>
      <c r="I335" s="8">
        <v>66</v>
      </c>
      <c r="J335" s="8">
        <v>58</v>
      </c>
      <c r="K335" s="8">
        <v>33</v>
      </c>
      <c r="L335" s="8">
        <f t="shared" ref="L335:L366" si="10">J335*I335*K335</f>
        <v>126324</v>
      </c>
      <c r="M335" s="15">
        <v>7897801301008</v>
      </c>
      <c r="N335" s="6" t="s">
        <v>20</v>
      </c>
      <c r="O335" s="6" t="s">
        <v>20</v>
      </c>
      <c r="P335" s="6" t="s">
        <v>20</v>
      </c>
      <c r="Q335" s="6">
        <v>0.13</v>
      </c>
      <c r="R335" s="6">
        <v>5.5E-2</v>
      </c>
      <c r="S335" s="6">
        <v>0.16</v>
      </c>
      <c r="T335" s="8">
        <v>6</v>
      </c>
      <c r="U335" s="5" t="s">
        <v>1002</v>
      </c>
      <c r="V335" s="89">
        <v>0</v>
      </c>
      <c r="W335" s="15">
        <v>17897801301005</v>
      </c>
      <c r="X335" s="6">
        <v>0.49</v>
      </c>
      <c r="Y335" s="6">
        <v>0.19</v>
      </c>
      <c r="Z335" s="6">
        <v>0.65</v>
      </c>
      <c r="AA335" s="6">
        <f t="shared" ref="AA335:AA340" si="11">Y335*X335*Z335</f>
        <v>6.0515000000000006E-2</v>
      </c>
      <c r="AB335" s="8">
        <v>390</v>
      </c>
      <c r="AC335" s="15">
        <v>27897801301002</v>
      </c>
      <c r="AD335" s="4" t="s">
        <v>992</v>
      </c>
    </row>
    <row r="336" spans="2:30" x14ac:dyDescent="0.35">
      <c r="B336" s="14">
        <v>541</v>
      </c>
      <c r="C336" s="4" t="s">
        <v>341</v>
      </c>
      <c r="D336" s="4" t="s">
        <v>2389</v>
      </c>
      <c r="E336" s="4" t="s">
        <v>2911</v>
      </c>
      <c r="F336" s="4" t="s">
        <v>85</v>
      </c>
      <c r="G336" s="4" t="s">
        <v>993</v>
      </c>
      <c r="H336" s="6">
        <v>5.4600000000000003E-2</v>
      </c>
      <c r="I336" s="8">
        <v>66</v>
      </c>
      <c r="J336" s="8">
        <v>65</v>
      </c>
      <c r="K336" s="8">
        <v>38</v>
      </c>
      <c r="L336" s="8">
        <f t="shared" si="10"/>
        <v>163020</v>
      </c>
      <c r="M336" s="15">
        <v>7897801301015</v>
      </c>
      <c r="N336" s="6" t="s">
        <v>20</v>
      </c>
      <c r="O336" s="6" t="s">
        <v>20</v>
      </c>
      <c r="P336" s="6" t="s">
        <v>20</v>
      </c>
      <c r="Q336" s="6">
        <v>0.15</v>
      </c>
      <c r="R336" s="6">
        <v>0.04</v>
      </c>
      <c r="S336" s="6">
        <v>0.2</v>
      </c>
      <c r="T336" s="8">
        <v>6</v>
      </c>
      <c r="U336" s="5" t="s">
        <v>1002</v>
      </c>
      <c r="V336" s="89">
        <v>0</v>
      </c>
      <c r="W336" s="15">
        <v>17897801301012</v>
      </c>
      <c r="X336" s="6">
        <v>0.52</v>
      </c>
      <c r="Y336" s="6">
        <v>0.18</v>
      </c>
      <c r="Z336" s="6">
        <v>0.7</v>
      </c>
      <c r="AA336" s="6">
        <f t="shared" si="11"/>
        <v>6.5519999999999995E-2</v>
      </c>
      <c r="AB336" s="8">
        <v>330</v>
      </c>
      <c r="AC336" s="15">
        <v>27897801301019</v>
      </c>
      <c r="AD336" s="4" t="s">
        <v>992</v>
      </c>
    </row>
    <row r="337" spans="2:30" x14ac:dyDescent="0.35">
      <c r="B337" s="14">
        <v>542</v>
      </c>
      <c r="C337" s="4" t="s">
        <v>342</v>
      </c>
      <c r="D337" s="4" t="s">
        <v>2389</v>
      </c>
      <c r="E337" s="4" t="s">
        <v>2911</v>
      </c>
      <c r="F337" s="4" t="s">
        <v>85</v>
      </c>
      <c r="G337" s="4" t="s">
        <v>993</v>
      </c>
      <c r="H337" s="6">
        <v>0.1082</v>
      </c>
      <c r="I337" s="8">
        <v>82</v>
      </c>
      <c r="J337" s="8">
        <v>80</v>
      </c>
      <c r="K337" s="8">
        <v>47</v>
      </c>
      <c r="L337" s="8">
        <f t="shared" si="10"/>
        <v>308320</v>
      </c>
      <c r="M337" s="15">
        <v>7897801301022</v>
      </c>
      <c r="N337" s="6" t="s">
        <v>20</v>
      </c>
      <c r="O337" s="6" t="s">
        <v>20</v>
      </c>
      <c r="P337" s="6" t="s">
        <v>20</v>
      </c>
      <c r="Q337" s="6">
        <v>0.15</v>
      </c>
      <c r="R337" s="6">
        <v>0.05</v>
      </c>
      <c r="S337" s="6">
        <v>0.2</v>
      </c>
      <c r="T337" s="8">
        <v>4</v>
      </c>
      <c r="U337" s="5" t="s">
        <v>1002</v>
      </c>
      <c r="V337" s="89">
        <v>0</v>
      </c>
      <c r="W337" s="15">
        <v>17897801301029</v>
      </c>
      <c r="X337" s="6">
        <v>0.45</v>
      </c>
      <c r="Y337" s="6">
        <v>0.2</v>
      </c>
      <c r="Z337" s="6">
        <v>0.65</v>
      </c>
      <c r="AA337" s="6">
        <f t="shared" si="11"/>
        <v>5.850000000000001E-2</v>
      </c>
      <c r="AB337" s="8">
        <v>160</v>
      </c>
      <c r="AC337" s="15">
        <v>27897801301026</v>
      </c>
      <c r="AD337" s="4" t="s">
        <v>992</v>
      </c>
    </row>
    <row r="338" spans="2:30" x14ac:dyDescent="0.35">
      <c r="B338" s="14">
        <v>543</v>
      </c>
      <c r="C338" s="4" t="s">
        <v>343</v>
      </c>
      <c r="D338" s="4" t="s">
        <v>2389</v>
      </c>
      <c r="E338" s="4" t="s">
        <v>2911</v>
      </c>
      <c r="F338" s="4" t="s">
        <v>85</v>
      </c>
      <c r="G338" s="4" t="s">
        <v>993</v>
      </c>
      <c r="H338" s="6">
        <v>0.20369999999999999</v>
      </c>
      <c r="I338" s="8">
        <v>111</v>
      </c>
      <c r="J338" s="8">
        <v>102</v>
      </c>
      <c r="K338" s="8">
        <v>58</v>
      </c>
      <c r="L338" s="8">
        <f t="shared" si="10"/>
        <v>656676</v>
      </c>
      <c r="M338" s="15">
        <v>7897801301060</v>
      </c>
      <c r="N338" s="6" t="s">
        <v>20</v>
      </c>
      <c r="O338" s="6" t="s">
        <v>20</v>
      </c>
      <c r="P338" s="6" t="s">
        <v>20</v>
      </c>
      <c r="Q338" s="6">
        <v>0.23</v>
      </c>
      <c r="R338" s="6">
        <v>0.06</v>
      </c>
      <c r="S338" s="6">
        <v>0.23</v>
      </c>
      <c r="T338" s="8">
        <v>3</v>
      </c>
      <c r="U338" s="5" t="s">
        <v>1002</v>
      </c>
      <c r="V338" s="89">
        <v>0</v>
      </c>
      <c r="W338" s="15">
        <v>17897801301067</v>
      </c>
      <c r="X338" s="6">
        <v>0.51</v>
      </c>
      <c r="Y338" s="6">
        <v>0.19</v>
      </c>
      <c r="Z338" s="6">
        <v>0.74</v>
      </c>
      <c r="AA338" s="6">
        <f t="shared" si="11"/>
        <v>7.1706000000000006E-2</v>
      </c>
      <c r="AB338" s="8">
        <v>75</v>
      </c>
      <c r="AC338" s="15">
        <v>27897801301064</v>
      </c>
      <c r="AD338" s="4" t="s">
        <v>992</v>
      </c>
    </row>
    <row r="339" spans="2:30" x14ac:dyDescent="0.35">
      <c r="B339" s="14">
        <v>544</v>
      </c>
      <c r="C339" s="4" t="s">
        <v>344</v>
      </c>
      <c r="D339" s="4" t="s">
        <v>2389</v>
      </c>
      <c r="E339" s="4" t="s">
        <v>2911</v>
      </c>
      <c r="F339" s="4" t="s">
        <v>85</v>
      </c>
      <c r="G339" s="4" t="s">
        <v>993</v>
      </c>
      <c r="H339" s="6">
        <v>0.2697</v>
      </c>
      <c r="I339" s="8">
        <v>115</v>
      </c>
      <c r="J339" s="8">
        <v>109</v>
      </c>
      <c r="K339" s="8">
        <v>70</v>
      </c>
      <c r="L339" s="8">
        <f t="shared" si="10"/>
        <v>877450</v>
      </c>
      <c r="M339" s="15">
        <v>7897801301077</v>
      </c>
      <c r="N339" s="6" t="s">
        <v>20</v>
      </c>
      <c r="O339" s="6" t="s">
        <v>20</v>
      </c>
      <c r="P339" s="6" t="s">
        <v>20</v>
      </c>
      <c r="Q339" s="6">
        <v>0.2</v>
      </c>
      <c r="R339" s="6">
        <v>0.08</v>
      </c>
      <c r="S339" s="6">
        <v>0.2</v>
      </c>
      <c r="T339" s="8">
        <v>3</v>
      </c>
      <c r="U339" s="5" t="s">
        <v>1002</v>
      </c>
      <c r="V339" s="89">
        <v>0</v>
      </c>
      <c r="W339" s="15">
        <v>17897801301074</v>
      </c>
      <c r="X339" s="6">
        <v>0.45</v>
      </c>
      <c r="Y339" s="6">
        <v>0.17</v>
      </c>
      <c r="Z339" s="6">
        <v>0.7</v>
      </c>
      <c r="AA339" s="6">
        <f t="shared" si="11"/>
        <v>5.3550000000000007E-2</v>
      </c>
      <c r="AB339" s="8">
        <v>60</v>
      </c>
      <c r="AC339" s="15">
        <v>27897801301071</v>
      </c>
      <c r="AD339" s="4" t="s">
        <v>992</v>
      </c>
    </row>
    <row r="340" spans="2:30" x14ac:dyDescent="0.35">
      <c r="B340" s="14">
        <v>545</v>
      </c>
      <c r="C340" s="4" t="s">
        <v>345</v>
      </c>
      <c r="D340" s="4" t="s">
        <v>2389</v>
      </c>
      <c r="E340" s="4" t="s">
        <v>2911</v>
      </c>
      <c r="F340" s="4" t="s">
        <v>85</v>
      </c>
      <c r="G340" s="4" t="s">
        <v>993</v>
      </c>
      <c r="H340" s="6">
        <v>0.42259999999999998</v>
      </c>
      <c r="I340" s="8">
        <v>129</v>
      </c>
      <c r="J340" s="8">
        <v>125</v>
      </c>
      <c r="K340" s="8">
        <v>81</v>
      </c>
      <c r="L340" s="8">
        <f t="shared" si="10"/>
        <v>1306125</v>
      </c>
      <c r="M340" s="15">
        <v>7897801301084</v>
      </c>
      <c r="N340" s="6" t="s">
        <v>20</v>
      </c>
      <c r="O340" s="6" t="s">
        <v>20</v>
      </c>
      <c r="P340" s="6" t="s">
        <v>20</v>
      </c>
      <c r="Q340" s="6">
        <v>0.2</v>
      </c>
      <c r="R340" s="6">
        <v>0.08</v>
      </c>
      <c r="S340" s="6">
        <v>0.3</v>
      </c>
      <c r="T340" s="8">
        <v>2</v>
      </c>
      <c r="U340" s="5" t="s">
        <v>1002</v>
      </c>
      <c r="V340" s="89">
        <v>0</v>
      </c>
      <c r="W340" s="15">
        <v>17897801301081</v>
      </c>
      <c r="X340" s="6">
        <v>0.5</v>
      </c>
      <c r="Y340" s="6">
        <v>0.17</v>
      </c>
      <c r="Z340" s="6">
        <v>0.65</v>
      </c>
      <c r="AA340" s="6">
        <f t="shared" si="11"/>
        <v>5.5250000000000007E-2</v>
      </c>
      <c r="AB340" s="8">
        <v>38</v>
      </c>
      <c r="AC340" s="15">
        <v>27897801301088</v>
      </c>
      <c r="AD340" s="4" t="s">
        <v>992</v>
      </c>
    </row>
    <row r="341" spans="2:30" x14ac:dyDescent="0.35">
      <c r="B341" s="18">
        <v>546</v>
      </c>
      <c r="C341" s="4" t="s">
        <v>346</v>
      </c>
      <c r="D341" s="4" t="s">
        <v>2389</v>
      </c>
      <c r="E341" s="4" t="s">
        <v>2911</v>
      </c>
      <c r="F341" s="4" t="s">
        <v>85</v>
      </c>
      <c r="G341" s="4" t="s">
        <v>993</v>
      </c>
      <c r="H341" s="27">
        <v>1.0342</v>
      </c>
      <c r="I341" s="8">
        <v>180</v>
      </c>
      <c r="J341" s="8">
        <v>115</v>
      </c>
      <c r="K341" s="8">
        <v>165</v>
      </c>
      <c r="L341" s="8">
        <f t="shared" si="10"/>
        <v>3415500</v>
      </c>
      <c r="M341" s="15">
        <v>7897801312400</v>
      </c>
      <c r="N341" s="6" t="s">
        <v>20</v>
      </c>
      <c r="O341" s="6" t="s">
        <v>20</v>
      </c>
      <c r="P341" s="6" t="s">
        <v>20</v>
      </c>
      <c r="Q341" s="27">
        <v>0.17199999999999999</v>
      </c>
      <c r="R341" s="27">
        <v>0.20200000000000001</v>
      </c>
      <c r="S341" s="27">
        <v>0.23</v>
      </c>
      <c r="T341" s="28">
        <v>2</v>
      </c>
      <c r="U341" s="5" t="s">
        <v>1002</v>
      </c>
      <c r="V341" s="89">
        <v>0</v>
      </c>
      <c r="W341" s="15">
        <v>17897801312407</v>
      </c>
      <c r="X341" s="5">
        <v>0</v>
      </c>
      <c r="Y341" s="5">
        <v>0</v>
      </c>
      <c r="Z341" s="5">
        <v>0</v>
      </c>
      <c r="AA341" s="5">
        <v>0</v>
      </c>
      <c r="AB341" s="5">
        <v>0</v>
      </c>
      <c r="AC341" s="5">
        <v>0</v>
      </c>
      <c r="AD341" s="4" t="s">
        <v>992</v>
      </c>
    </row>
    <row r="342" spans="2:30" x14ac:dyDescent="0.35">
      <c r="B342" s="18">
        <v>547</v>
      </c>
      <c r="C342" s="4" t="s">
        <v>347</v>
      </c>
      <c r="D342" s="4" t="s">
        <v>2389</v>
      </c>
      <c r="E342" s="4" t="s">
        <v>2911</v>
      </c>
      <c r="F342" s="4" t="s">
        <v>85</v>
      </c>
      <c r="G342" s="4" t="s">
        <v>993</v>
      </c>
      <c r="H342" s="27">
        <v>1.5452999999999999</v>
      </c>
      <c r="I342" s="8">
        <v>205</v>
      </c>
      <c r="J342" s="8">
        <v>130</v>
      </c>
      <c r="K342" s="8">
        <v>180</v>
      </c>
      <c r="L342" s="8">
        <f t="shared" si="10"/>
        <v>4797000</v>
      </c>
      <c r="M342" s="15">
        <v>7897801312417</v>
      </c>
      <c r="N342" s="6" t="s">
        <v>20</v>
      </c>
      <c r="O342" s="6" t="s">
        <v>20</v>
      </c>
      <c r="P342" s="6" t="s">
        <v>20</v>
      </c>
      <c r="Q342" s="27">
        <v>0.255</v>
      </c>
      <c r="R342" s="27">
        <v>0.16200000000000001</v>
      </c>
      <c r="S342" s="27">
        <v>0.31</v>
      </c>
      <c r="T342" s="28">
        <v>2</v>
      </c>
      <c r="U342" s="5" t="s">
        <v>1002</v>
      </c>
      <c r="V342" s="89">
        <v>0</v>
      </c>
      <c r="W342" s="15">
        <v>17897801312414</v>
      </c>
      <c r="X342" s="5">
        <v>0</v>
      </c>
      <c r="Y342" s="5">
        <v>0</v>
      </c>
      <c r="Z342" s="5">
        <v>0</v>
      </c>
      <c r="AA342" s="5">
        <v>0</v>
      </c>
      <c r="AB342" s="5">
        <v>0</v>
      </c>
      <c r="AC342" s="5">
        <v>0</v>
      </c>
      <c r="AD342" s="4" t="s">
        <v>992</v>
      </c>
    </row>
    <row r="343" spans="2:30" x14ac:dyDescent="0.35">
      <c r="B343" s="18">
        <v>548</v>
      </c>
      <c r="C343" s="4" t="s">
        <v>348</v>
      </c>
      <c r="D343" s="4" t="s">
        <v>2389</v>
      </c>
      <c r="E343" s="4" t="s">
        <v>2911</v>
      </c>
      <c r="F343" s="4" t="s">
        <v>85</v>
      </c>
      <c r="G343" s="4" t="s">
        <v>993</v>
      </c>
      <c r="H343" s="27">
        <v>2.4062999999999999</v>
      </c>
      <c r="I343" s="8">
        <v>235</v>
      </c>
      <c r="J343" s="8">
        <v>160</v>
      </c>
      <c r="K343" s="8">
        <v>210</v>
      </c>
      <c r="L343" s="8">
        <f t="shared" si="10"/>
        <v>7896000</v>
      </c>
      <c r="M343" s="15">
        <v>7897801313858</v>
      </c>
      <c r="N343" s="6" t="s">
        <v>20</v>
      </c>
      <c r="O343" s="6" t="s">
        <v>20</v>
      </c>
      <c r="P343" s="6" t="s">
        <v>20</v>
      </c>
      <c r="Q343" s="27">
        <v>0.193</v>
      </c>
      <c r="R343" s="27">
        <v>0.16700000000000001</v>
      </c>
      <c r="S343" s="27">
        <v>0.26</v>
      </c>
      <c r="T343" s="28">
        <v>1</v>
      </c>
      <c r="U343" s="5" t="s">
        <v>1002</v>
      </c>
      <c r="V343" s="89">
        <v>0</v>
      </c>
      <c r="W343" s="15">
        <v>17897801313855</v>
      </c>
      <c r="X343" s="5">
        <v>0</v>
      </c>
      <c r="Y343" s="5">
        <v>0</v>
      </c>
      <c r="Z343" s="5">
        <v>0</v>
      </c>
      <c r="AA343" s="5">
        <v>0</v>
      </c>
      <c r="AB343" s="5">
        <v>0</v>
      </c>
      <c r="AC343" s="5">
        <v>0</v>
      </c>
      <c r="AD343" s="4" t="s">
        <v>992</v>
      </c>
    </row>
    <row r="344" spans="2:30" x14ac:dyDescent="0.35">
      <c r="B344" s="14">
        <v>551</v>
      </c>
      <c r="C344" s="4" t="s">
        <v>349</v>
      </c>
      <c r="D344" s="4" t="s">
        <v>2389</v>
      </c>
      <c r="E344" s="4" t="s">
        <v>2911</v>
      </c>
      <c r="F344" s="4" t="s">
        <v>85</v>
      </c>
      <c r="G344" s="4" t="s">
        <v>993</v>
      </c>
      <c r="H344" s="6">
        <v>5.11E-2</v>
      </c>
      <c r="I344" s="8">
        <v>66</v>
      </c>
      <c r="J344" s="8">
        <v>58</v>
      </c>
      <c r="K344" s="8">
        <v>33</v>
      </c>
      <c r="L344" s="8">
        <f t="shared" si="10"/>
        <v>126324</v>
      </c>
      <c r="M344" s="15">
        <v>7897801301039</v>
      </c>
      <c r="N344" s="6" t="s">
        <v>20</v>
      </c>
      <c r="O344" s="6" t="s">
        <v>20</v>
      </c>
      <c r="P344" s="6" t="s">
        <v>20</v>
      </c>
      <c r="Q344" s="6">
        <v>0.17499999999999999</v>
      </c>
      <c r="R344" s="6">
        <v>3.5000000000000003E-2</v>
      </c>
      <c r="S344" s="6">
        <v>0.17499999999999999</v>
      </c>
      <c r="T344" s="8">
        <v>6</v>
      </c>
      <c r="U344" s="5" t="s">
        <v>1002</v>
      </c>
      <c r="V344" s="89">
        <v>0</v>
      </c>
      <c r="W344" s="15">
        <v>17897801301036</v>
      </c>
      <c r="X344" s="6">
        <v>0.52500000000000002</v>
      </c>
      <c r="Y344" s="6">
        <v>0.16</v>
      </c>
      <c r="Z344" s="6">
        <v>0.78</v>
      </c>
      <c r="AA344" s="6">
        <f t="shared" ref="AA344:AA349" si="12">Y344*X344*Z344</f>
        <v>6.5520000000000009E-2</v>
      </c>
      <c r="AB344" s="8">
        <v>390</v>
      </c>
      <c r="AC344" s="15">
        <v>27897801301033</v>
      </c>
      <c r="AD344" s="4" t="s">
        <v>992</v>
      </c>
    </row>
    <row r="345" spans="2:30" x14ac:dyDescent="0.35">
      <c r="B345" s="14">
        <v>552</v>
      </c>
      <c r="C345" s="4" t="s">
        <v>350</v>
      </c>
      <c r="D345" s="4" t="s">
        <v>2389</v>
      </c>
      <c r="E345" s="4" t="s">
        <v>2911</v>
      </c>
      <c r="F345" s="4" t="s">
        <v>85</v>
      </c>
      <c r="G345" s="4" t="s">
        <v>993</v>
      </c>
      <c r="H345" s="6">
        <v>6.25E-2</v>
      </c>
      <c r="I345" s="8">
        <v>66</v>
      </c>
      <c r="J345" s="8">
        <v>65</v>
      </c>
      <c r="K345" s="8">
        <v>38</v>
      </c>
      <c r="L345" s="8">
        <f t="shared" si="10"/>
        <v>163020</v>
      </c>
      <c r="M345" s="15">
        <v>7897801301046</v>
      </c>
      <c r="N345" s="6" t="s">
        <v>20</v>
      </c>
      <c r="O345" s="6" t="s">
        <v>20</v>
      </c>
      <c r="P345" s="6" t="s">
        <v>20</v>
      </c>
      <c r="Q345" s="6">
        <v>0.15</v>
      </c>
      <c r="R345" s="6">
        <v>0.04</v>
      </c>
      <c r="S345" s="6">
        <v>0.2</v>
      </c>
      <c r="T345" s="8">
        <v>6</v>
      </c>
      <c r="U345" s="5" t="s">
        <v>1002</v>
      </c>
      <c r="V345" s="89">
        <v>0</v>
      </c>
      <c r="W345" s="15">
        <v>17897801301043</v>
      </c>
      <c r="X345" s="6">
        <v>0.52</v>
      </c>
      <c r="Y345" s="6">
        <v>0.18</v>
      </c>
      <c r="Z345" s="6">
        <v>0.7</v>
      </c>
      <c r="AA345" s="6">
        <f t="shared" si="12"/>
        <v>6.5519999999999995E-2</v>
      </c>
      <c r="AB345" s="8">
        <v>330</v>
      </c>
      <c r="AC345" s="15">
        <v>27897801301040</v>
      </c>
      <c r="AD345" s="4" t="s">
        <v>992</v>
      </c>
    </row>
    <row r="346" spans="2:30" x14ac:dyDescent="0.35">
      <c r="B346" s="14">
        <v>553</v>
      </c>
      <c r="C346" s="4" t="s">
        <v>351</v>
      </c>
      <c r="D346" s="4" t="s">
        <v>2389</v>
      </c>
      <c r="E346" s="4" t="s">
        <v>2911</v>
      </c>
      <c r="F346" s="4" t="s">
        <v>85</v>
      </c>
      <c r="G346" s="4" t="s">
        <v>993</v>
      </c>
      <c r="H346" s="6">
        <v>0.12</v>
      </c>
      <c r="I346" s="8">
        <v>82</v>
      </c>
      <c r="J346" s="8">
        <v>80</v>
      </c>
      <c r="K346" s="8">
        <v>47</v>
      </c>
      <c r="L346" s="8">
        <f t="shared" si="10"/>
        <v>308320</v>
      </c>
      <c r="M346" s="15">
        <v>7897801301053</v>
      </c>
      <c r="N346" s="6" t="s">
        <v>20</v>
      </c>
      <c r="O346" s="6" t="s">
        <v>20</v>
      </c>
      <c r="P346" s="6" t="s">
        <v>20</v>
      </c>
      <c r="Q346" s="6">
        <v>0.15</v>
      </c>
      <c r="R346" s="6">
        <v>0.05</v>
      </c>
      <c r="S346" s="6">
        <v>0.2</v>
      </c>
      <c r="T346" s="8">
        <v>2</v>
      </c>
      <c r="U346" s="5" t="s">
        <v>1002</v>
      </c>
      <c r="V346" s="89">
        <v>0</v>
      </c>
      <c r="W346" s="15">
        <v>17897801301050</v>
      </c>
      <c r="X346" s="6">
        <v>0.45</v>
      </c>
      <c r="Y346" s="6">
        <v>0.2</v>
      </c>
      <c r="Z346" s="6">
        <v>0.65</v>
      </c>
      <c r="AA346" s="6">
        <f t="shared" si="12"/>
        <v>5.850000000000001E-2</v>
      </c>
      <c r="AB346" s="8">
        <v>160</v>
      </c>
      <c r="AC346" s="15">
        <v>27897801301057</v>
      </c>
      <c r="AD346" s="4" t="s">
        <v>992</v>
      </c>
    </row>
    <row r="347" spans="2:30" x14ac:dyDescent="0.35">
      <c r="B347" s="14">
        <v>554</v>
      </c>
      <c r="C347" s="4" t="s">
        <v>352</v>
      </c>
      <c r="D347" s="4" t="s">
        <v>2389</v>
      </c>
      <c r="E347" s="4" t="s">
        <v>2911</v>
      </c>
      <c r="F347" s="4" t="s">
        <v>85</v>
      </c>
      <c r="G347" s="4" t="s">
        <v>993</v>
      </c>
      <c r="H347" s="6">
        <v>0.2059</v>
      </c>
      <c r="I347" s="8">
        <v>111</v>
      </c>
      <c r="J347" s="8">
        <v>70</v>
      </c>
      <c r="K347" s="8">
        <v>95</v>
      </c>
      <c r="L347" s="8">
        <f t="shared" si="10"/>
        <v>738150</v>
      </c>
      <c r="M347" s="15">
        <v>7897801301091</v>
      </c>
      <c r="N347" s="6" t="s">
        <v>20</v>
      </c>
      <c r="O347" s="6" t="s">
        <v>20</v>
      </c>
      <c r="P347" s="6" t="s">
        <v>20</v>
      </c>
      <c r="Q347" s="6">
        <v>0.14000000000000001</v>
      </c>
      <c r="R347" s="6">
        <v>0.08</v>
      </c>
      <c r="S347" s="6">
        <v>0.26</v>
      </c>
      <c r="T347" s="8">
        <v>3</v>
      </c>
      <c r="U347" s="5" t="s">
        <v>1002</v>
      </c>
      <c r="V347" s="89">
        <v>0</v>
      </c>
      <c r="W347" s="15">
        <v>17897801301098</v>
      </c>
      <c r="X347" s="6">
        <v>0.52</v>
      </c>
      <c r="Y347" s="6">
        <v>0.22</v>
      </c>
      <c r="Z347" s="6">
        <v>0.7</v>
      </c>
      <c r="AA347" s="6">
        <f t="shared" si="12"/>
        <v>8.0079999999999998E-2</v>
      </c>
      <c r="AB347" s="8">
        <v>75</v>
      </c>
      <c r="AC347" s="15">
        <v>27897801301095</v>
      </c>
      <c r="AD347" s="4" t="s">
        <v>992</v>
      </c>
    </row>
    <row r="348" spans="2:30" x14ac:dyDescent="0.35">
      <c r="B348" s="14">
        <v>555</v>
      </c>
      <c r="C348" s="4" t="s">
        <v>353</v>
      </c>
      <c r="D348" s="4" t="s">
        <v>2389</v>
      </c>
      <c r="E348" s="4" t="s">
        <v>2911</v>
      </c>
      <c r="F348" s="4" t="s">
        <v>85</v>
      </c>
      <c r="G348" s="4" t="s">
        <v>993</v>
      </c>
      <c r="H348" s="6">
        <v>0.29199999999999998</v>
      </c>
      <c r="I348" s="8">
        <v>115</v>
      </c>
      <c r="J348" s="8">
        <v>109</v>
      </c>
      <c r="K348" s="8">
        <v>70</v>
      </c>
      <c r="L348" s="8">
        <f t="shared" si="10"/>
        <v>877450</v>
      </c>
      <c r="M348" s="15">
        <v>7897801301107</v>
      </c>
      <c r="N348" s="6" t="s">
        <v>20</v>
      </c>
      <c r="O348" s="6" t="s">
        <v>20</v>
      </c>
      <c r="P348" s="6" t="s">
        <v>20</v>
      </c>
      <c r="Q348" s="6">
        <v>0.2</v>
      </c>
      <c r="R348" s="6">
        <v>7.4999999999999997E-2</v>
      </c>
      <c r="S348" s="6">
        <v>0.23</v>
      </c>
      <c r="T348" s="8">
        <v>3</v>
      </c>
      <c r="U348" s="5" t="s">
        <v>1002</v>
      </c>
      <c r="V348" s="89">
        <v>0</v>
      </c>
      <c r="W348" s="15">
        <v>17897801301104</v>
      </c>
      <c r="X348" s="6">
        <v>0.46</v>
      </c>
      <c r="Y348" s="6">
        <v>0.23</v>
      </c>
      <c r="Z348" s="6">
        <v>0.66</v>
      </c>
      <c r="AA348" s="6">
        <f t="shared" si="12"/>
        <v>6.9828000000000001E-2</v>
      </c>
      <c r="AB348" s="8">
        <v>60</v>
      </c>
      <c r="AC348" s="15">
        <v>27897801301101</v>
      </c>
      <c r="AD348" s="4" t="s">
        <v>992</v>
      </c>
    </row>
    <row r="349" spans="2:30" x14ac:dyDescent="0.35">
      <c r="B349" s="14">
        <v>556</v>
      </c>
      <c r="C349" s="4" t="s">
        <v>354</v>
      </c>
      <c r="D349" s="4" t="s">
        <v>2389</v>
      </c>
      <c r="E349" s="4" t="s">
        <v>2911</v>
      </c>
      <c r="F349" s="4" t="s">
        <v>85</v>
      </c>
      <c r="G349" s="4" t="s">
        <v>993</v>
      </c>
      <c r="H349" s="6">
        <v>0.44</v>
      </c>
      <c r="I349" s="8">
        <v>140</v>
      </c>
      <c r="J349" s="8">
        <v>80</v>
      </c>
      <c r="K349" s="8">
        <v>125</v>
      </c>
      <c r="L349" s="8">
        <f t="shared" si="10"/>
        <v>1400000</v>
      </c>
      <c r="M349" s="15">
        <v>7897801301114</v>
      </c>
      <c r="N349" s="6" t="s">
        <v>20</v>
      </c>
      <c r="O349" s="6" t="s">
        <v>20</v>
      </c>
      <c r="P349" s="6" t="s">
        <v>20</v>
      </c>
      <c r="Q349" s="6">
        <v>0.17</v>
      </c>
      <c r="R349" s="6">
        <v>0.08</v>
      </c>
      <c r="S349" s="6">
        <v>0.27</v>
      </c>
      <c r="T349" s="8">
        <v>2</v>
      </c>
      <c r="U349" s="5" t="s">
        <v>1002</v>
      </c>
      <c r="V349" s="89">
        <v>0</v>
      </c>
      <c r="W349" s="15">
        <v>17897801301111</v>
      </c>
      <c r="X349" s="6">
        <v>0.51</v>
      </c>
      <c r="Y349" s="6">
        <v>0.19</v>
      </c>
      <c r="Z349" s="6">
        <v>0.77</v>
      </c>
      <c r="AA349" s="6">
        <f t="shared" si="12"/>
        <v>7.4612999999999999E-2</v>
      </c>
      <c r="AB349" s="8">
        <v>38</v>
      </c>
      <c r="AC349" s="15">
        <v>27897801301118</v>
      </c>
      <c r="AD349" s="4" t="s">
        <v>992</v>
      </c>
    </row>
    <row r="350" spans="2:30" x14ac:dyDescent="0.35">
      <c r="B350" s="18">
        <v>557</v>
      </c>
      <c r="C350" s="4" t="s">
        <v>355</v>
      </c>
      <c r="D350" s="4" t="s">
        <v>2389</v>
      </c>
      <c r="E350" s="4" t="s">
        <v>2911</v>
      </c>
      <c r="F350" s="4" t="s">
        <v>85</v>
      </c>
      <c r="G350" s="4" t="s">
        <v>993</v>
      </c>
      <c r="H350" s="27">
        <v>1.0518000000000001</v>
      </c>
      <c r="I350" s="8">
        <v>180</v>
      </c>
      <c r="J350" s="8">
        <v>115</v>
      </c>
      <c r="K350" s="8">
        <v>165</v>
      </c>
      <c r="L350" s="8">
        <f t="shared" si="10"/>
        <v>3415500</v>
      </c>
      <c r="M350" s="15">
        <v>7897801312431</v>
      </c>
      <c r="N350" s="6" t="s">
        <v>20</v>
      </c>
      <c r="O350" s="6" t="s">
        <v>20</v>
      </c>
      <c r="P350" s="6" t="s">
        <v>20</v>
      </c>
      <c r="Q350" s="27">
        <v>0.17199999999999999</v>
      </c>
      <c r="R350" s="27">
        <v>0.20200000000000001</v>
      </c>
      <c r="S350" s="27">
        <v>0.23</v>
      </c>
      <c r="T350" s="28">
        <v>2</v>
      </c>
      <c r="U350" s="5" t="s">
        <v>1002</v>
      </c>
      <c r="V350" s="89">
        <v>0</v>
      </c>
      <c r="W350" s="15">
        <v>17897801312438</v>
      </c>
      <c r="X350" s="5">
        <v>0</v>
      </c>
      <c r="Y350" s="5">
        <v>0</v>
      </c>
      <c r="Z350" s="5">
        <v>0</v>
      </c>
      <c r="AA350" s="5">
        <v>0</v>
      </c>
      <c r="AB350" s="5">
        <v>0</v>
      </c>
      <c r="AC350" s="5">
        <v>0</v>
      </c>
      <c r="AD350" s="4" t="s">
        <v>992</v>
      </c>
    </row>
    <row r="351" spans="2:30" x14ac:dyDescent="0.35">
      <c r="B351" s="18">
        <v>558</v>
      </c>
      <c r="C351" s="4" t="s">
        <v>356</v>
      </c>
      <c r="D351" s="4" t="s">
        <v>2389</v>
      </c>
      <c r="E351" s="4" t="s">
        <v>2911</v>
      </c>
      <c r="F351" s="4" t="s">
        <v>85</v>
      </c>
      <c r="G351" s="4" t="s">
        <v>993</v>
      </c>
      <c r="H351" s="27">
        <v>1.5590999999999999</v>
      </c>
      <c r="I351" s="8">
        <v>205</v>
      </c>
      <c r="J351" s="8">
        <v>130</v>
      </c>
      <c r="K351" s="8">
        <v>180</v>
      </c>
      <c r="L351" s="8">
        <f t="shared" si="10"/>
        <v>4797000</v>
      </c>
      <c r="M351" s="15">
        <v>7897801312448</v>
      </c>
      <c r="N351" s="6" t="s">
        <v>20</v>
      </c>
      <c r="O351" s="6" t="s">
        <v>20</v>
      </c>
      <c r="P351" s="6" t="s">
        <v>20</v>
      </c>
      <c r="Q351" s="27">
        <v>0.255</v>
      </c>
      <c r="R351" s="27">
        <v>0.16200000000000001</v>
      </c>
      <c r="S351" s="27">
        <v>0.31</v>
      </c>
      <c r="T351" s="28">
        <v>2</v>
      </c>
      <c r="U351" s="5" t="s">
        <v>1002</v>
      </c>
      <c r="V351" s="89">
        <v>0</v>
      </c>
      <c r="W351" s="15">
        <v>17897801312445</v>
      </c>
      <c r="X351" s="5">
        <v>0</v>
      </c>
      <c r="Y351" s="5">
        <v>0</v>
      </c>
      <c r="Z351" s="5">
        <v>0</v>
      </c>
      <c r="AA351" s="5">
        <v>0</v>
      </c>
      <c r="AB351" s="5">
        <v>0</v>
      </c>
      <c r="AC351" s="5">
        <v>0</v>
      </c>
      <c r="AD351" s="4" t="s">
        <v>992</v>
      </c>
    </row>
    <row r="352" spans="2:30" x14ac:dyDescent="0.35">
      <c r="B352" s="18">
        <v>559</v>
      </c>
      <c r="C352" s="4" t="s">
        <v>357</v>
      </c>
      <c r="D352" s="4" t="s">
        <v>2389</v>
      </c>
      <c r="E352" s="4" t="s">
        <v>2911</v>
      </c>
      <c r="F352" s="4" t="s">
        <v>85</v>
      </c>
      <c r="G352" s="4" t="s">
        <v>993</v>
      </c>
      <c r="H352" s="27">
        <v>2.4163000000000001</v>
      </c>
      <c r="I352" s="8">
        <v>235</v>
      </c>
      <c r="J352" s="8">
        <v>160</v>
      </c>
      <c r="K352" s="8">
        <v>210</v>
      </c>
      <c r="L352" s="8">
        <f t="shared" si="10"/>
        <v>7896000</v>
      </c>
      <c r="M352" s="15">
        <v>7897801312455</v>
      </c>
      <c r="N352" s="6" t="s">
        <v>20</v>
      </c>
      <c r="O352" s="6" t="s">
        <v>20</v>
      </c>
      <c r="P352" s="6" t="s">
        <v>20</v>
      </c>
      <c r="Q352" s="27">
        <v>0.193</v>
      </c>
      <c r="R352" s="27">
        <v>0.16700000000000001</v>
      </c>
      <c r="S352" s="27">
        <v>0.26</v>
      </c>
      <c r="T352" s="28">
        <v>1</v>
      </c>
      <c r="U352" s="5" t="s">
        <v>1002</v>
      </c>
      <c r="V352" s="89">
        <v>0</v>
      </c>
      <c r="W352" s="15">
        <v>17897801312452</v>
      </c>
      <c r="X352" s="5">
        <v>0</v>
      </c>
      <c r="Y352" s="5">
        <v>0</v>
      </c>
      <c r="Z352" s="5">
        <v>0</v>
      </c>
      <c r="AA352" s="5">
        <v>0</v>
      </c>
      <c r="AB352" s="5">
        <v>0</v>
      </c>
      <c r="AC352" s="5">
        <v>0</v>
      </c>
      <c r="AD352" s="4" t="s">
        <v>992</v>
      </c>
    </row>
    <row r="353" spans="2:30" x14ac:dyDescent="0.35">
      <c r="B353" s="14">
        <v>561</v>
      </c>
      <c r="C353" s="4" t="s">
        <v>358</v>
      </c>
      <c r="D353" s="4" t="s">
        <v>2377</v>
      </c>
      <c r="E353" s="4" t="s">
        <v>2911</v>
      </c>
      <c r="F353" s="4" t="s">
        <v>85</v>
      </c>
      <c r="G353" s="4" t="s">
        <v>993</v>
      </c>
      <c r="H353" s="6">
        <v>8.7999999999999995E-2</v>
      </c>
      <c r="I353" s="8">
        <v>75</v>
      </c>
      <c r="J353" s="8">
        <v>48.5</v>
      </c>
      <c r="K353" s="8">
        <v>75</v>
      </c>
      <c r="L353" s="8">
        <f t="shared" si="10"/>
        <v>272812.5</v>
      </c>
      <c r="M353" s="15">
        <v>7897801302296</v>
      </c>
      <c r="N353" s="6" t="s">
        <v>20</v>
      </c>
      <c r="O353" s="6" t="s">
        <v>20</v>
      </c>
      <c r="P353" s="6" t="s">
        <v>20</v>
      </c>
      <c r="Q353" s="6">
        <v>0.16</v>
      </c>
      <c r="R353" s="6">
        <v>7.4999999999999997E-2</v>
      </c>
      <c r="S353" s="6">
        <v>0.24</v>
      </c>
      <c r="T353" s="8">
        <v>10</v>
      </c>
      <c r="U353" s="5" t="s">
        <v>1002</v>
      </c>
      <c r="V353" s="89">
        <v>0</v>
      </c>
      <c r="W353" s="15">
        <v>17897801302293</v>
      </c>
      <c r="X353" s="6">
        <v>0.48</v>
      </c>
      <c r="Y353" s="6">
        <v>0.17</v>
      </c>
      <c r="Z353" s="6">
        <v>0.7</v>
      </c>
      <c r="AA353" s="6">
        <f t="shared" ref="AA353:AA381" si="13">Y353*X353*Z353</f>
        <v>5.7119999999999997E-2</v>
      </c>
      <c r="AB353" s="8">
        <v>240</v>
      </c>
      <c r="AC353" s="15">
        <v>47897801302294</v>
      </c>
      <c r="AD353" s="4" t="s">
        <v>992</v>
      </c>
    </row>
    <row r="354" spans="2:30" x14ac:dyDescent="0.35">
      <c r="B354" s="14">
        <v>562</v>
      </c>
      <c r="C354" s="4" t="s">
        <v>359</v>
      </c>
      <c r="D354" s="4" t="s">
        <v>2377</v>
      </c>
      <c r="E354" s="4" t="s">
        <v>2911</v>
      </c>
      <c r="F354" s="4" t="s">
        <v>85</v>
      </c>
      <c r="G354" s="4" t="s">
        <v>993</v>
      </c>
      <c r="H354" s="6">
        <v>0.14360000000000001</v>
      </c>
      <c r="I354" s="8">
        <v>87</v>
      </c>
      <c r="J354" s="8">
        <v>58</v>
      </c>
      <c r="K354" s="8">
        <v>85</v>
      </c>
      <c r="L354" s="8">
        <f t="shared" si="10"/>
        <v>428910</v>
      </c>
      <c r="M354" s="15">
        <v>7897801302289</v>
      </c>
      <c r="N354" s="6" t="s">
        <v>20</v>
      </c>
      <c r="O354" s="6" t="s">
        <v>20</v>
      </c>
      <c r="P354" s="6" t="s">
        <v>20</v>
      </c>
      <c r="Q354" s="6">
        <v>0.2</v>
      </c>
      <c r="R354" s="6">
        <v>0.06</v>
      </c>
      <c r="S354" s="6">
        <v>0.28000000000000003</v>
      </c>
      <c r="T354" s="8">
        <v>10</v>
      </c>
      <c r="U354" s="5" t="s">
        <v>1002</v>
      </c>
      <c r="V354" s="89">
        <v>0</v>
      </c>
      <c r="W354" s="15">
        <v>17897801302286</v>
      </c>
      <c r="X354" s="6">
        <v>0.47</v>
      </c>
      <c r="Y354" s="6">
        <v>0.19</v>
      </c>
      <c r="Z354" s="6">
        <v>0.71</v>
      </c>
      <c r="AA354" s="6">
        <f t="shared" si="13"/>
        <v>6.3402999999999987E-2</v>
      </c>
      <c r="AB354" s="8">
        <v>150</v>
      </c>
      <c r="AC354" s="15">
        <v>47897801302287</v>
      </c>
      <c r="AD354" s="4" t="s">
        <v>992</v>
      </c>
    </row>
    <row r="355" spans="2:30" x14ac:dyDescent="0.35">
      <c r="B355" s="14">
        <v>563</v>
      </c>
      <c r="C355" s="4" t="s">
        <v>360</v>
      </c>
      <c r="D355" s="4" t="s">
        <v>2377</v>
      </c>
      <c r="E355" s="4" t="s">
        <v>2911</v>
      </c>
      <c r="F355" s="4" t="s">
        <v>85</v>
      </c>
      <c r="G355" s="4" t="s">
        <v>993</v>
      </c>
      <c r="H355" s="6">
        <v>0.21160000000000001</v>
      </c>
      <c r="I355" s="8">
        <v>99.5</v>
      </c>
      <c r="J355" s="8">
        <v>66</v>
      </c>
      <c r="K355" s="8">
        <v>96.5</v>
      </c>
      <c r="L355" s="8">
        <f t="shared" si="10"/>
        <v>633715.5</v>
      </c>
      <c r="M355" s="15">
        <v>7897801302760</v>
      </c>
      <c r="N355" s="6" t="s">
        <v>20</v>
      </c>
      <c r="O355" s="6" t="s">
        <v>20</v>
      </c>
      <c r="P355" s="6" t="s">
        <v>20</v>
      </c>
      <c r="Q355" s="6">
        <v>0.19</v>
      </c>
      <c r="R355" s="6">
        <v>0.08</v>
      </c>
      <c r="S355" s="6">
        <v>0.24</v>
      </c>
      <c r="T355" s="8">
        <v>5</v>
      </c>
      <c r="U355" s="5" t="s">
        <v>1002</v>
      </c>
      <c r="V355" s="89">
        <v>0</v>
      </c>
      <c r="W355" s="15">
        <v>17897801302767</v>
      </c>
      <c r="X355" s="6">
        <v>0.44</v>
      </c>
      <c r="Y355" s="6">
        <v>0.18</v>
      </c>
      <c r="Z355" s="6">
        <v>0.65</v>
      </c>
      <c r="AA355" s="6">
        <f t="shared" si="13"/>
        <v>5.1479999999999998E-2</v>
      </c>
      <c r="AB355" s="8">
        <v>100</v>
      </c>
      <c r="AC355" s="15">
        <v>47897801302768</v>
      </c>
      <c r="AD355" s="4" t="s">
        <v>992</v>
      </c>
    </row>
    <row r="356" spans="2:30" x14ac:dyDescent="0.35">
      <c r="B356" s="14">
        <v>564</v>
      </c>
      <c r="C356" s="4" t="s">
        <v>361</v>
      </c>
      <c r="D356" s="4" t="s">
        <v>2377</v>
      </c>
      <c r="E356" s="4" t="s">
        <v>2911</v>
      </c>
      <c r="F356" s="4" t="s">
        <v>85</v>
      </c>
      <c r="G356" s="4" t="s">
        <v>993</v>
      </c>
      <c r="H356" s="6">
        <v>0.30559999999999998</v>
      </c>
      <c r="I356" s="8">
        <v>110</v>
      </c>
      <c r="J356" s="8">
        <v>114</v>
      </c>
      <c r="K356" s="8">
        <v>110</v>
      </c>
      <c r="L356" s="8">
        <f t="shared" si="10"/>
        <v>1379400</v>
      </c>
      <c r="M356" s="15">
        <v>7897801306041</v>
      </c>
      <c r="N356" s="6" t="s">
        <v>20</v>
      </c>
      <c r="O356" s="6" t="s">
        <v>20</v>
      </c>
      <c r="P356" s="6" t="s">
        <v>20</v>
      </c>
      <c r="Q356" s="6">
        <v>0.19</v>
      </c>
      <c r="R356" s="6">
        <v>0.115</v>
      </c>
      <c r="S356" s="6">
        <v>0.3</v>
      </c>
      <c r="T356" s="8">
        <v>5</v>
      </c>
      <c r="U356" s="5" t="s">
        <v>1002</v>
      </c>
      <c r="V356" s="89">
        <v>0</v>
      </c>
      <c r="W356" s="15">
        <v>17897801306048</v>
      </c>
      <c r="X356" s="6">
        <v>0.46</v>
      </c>
      <c r="Y356" s="6">
        <v>0.22</v>
      </c>
      <c r="Z356" s="6">
        <v>0.65</v>
      </c>
      <c r="AA356" s="6">
        <f t="shared" si="13"/>
        <v>6.5780000000000005E-2</v>
      </c>
      <c r="AB356" s="8">
        <v>70</v>
      </c>
      <c r="AC356" s="15">
        <v>47897801306049</v>
      </c>
      <c r="AD356" s="4" t="s">
        <v>992</v>
      </c>
    </row>
    <row r="357" spans="2:30" x14ac:dyDescent="0.35">
      <c r="B357" s="14">
        <v>565</v>
      </c>
      <c r="C357" s="4" t="s">
        <v>362</v>
      </c>
      <c r="D357" s="4" t="s">
        <v>2377</v>
      </c>
      <c r="E357" s="4" t="s">
        <v>2911</v>
      </c>
      <c r="F357" s="4" t="s">
        <v>85</v>
      </c>
      <c r="G357" s="4" t="s">
        <v>993</v>
      </c>
      <c r="H357" s="6">
        <v>0.4929</v>
      </c>
      <c r="I357" s="8">
        <v>132.5</v>
      </c>
      <c r="J357" s="8">
        <v>92</v>
      </c>
      <c r="K357" s="8">
        <v>134.5</v>
      </c>
      <c r="L357" s="8">
        <f t="shared" si="10"/>
        <v>1639555</v>
      </c>
      <c r="M357" s="15">
        <v>7897801302319</v>
      </c>
      <c r="N357" s="6" t="s">
        <v>20</v>
      </c>
      <c r="O357" s="6" t="s">
        <v>20</v>
      </c>
      <c r="P357" s="6" t="s">
        <v>20</v>
      </c>
      <c r="Q357" s="6">
        <v>0.14499999999999999</v>
      </c>
      <c r="R357" s="6">
        <v>0.1</v>
      </c>
      <c r="S357" s="6">
        <v>0.25</v>
      </c>
      <c r="T357" s="8">
        <v>2</v>
      </c>
      <c r="U357" s="5" t="s">
        <v>1002</v>
      </c>
      <c r="V357" s="89">
        <v>0</v>
      </c>
      <c r="W357" s="15">
        <v>17897801302316</v>
      </c>
      <c r="X357" s="6">
        <v>0.48</v>
      </c>
      <c r="Y357" s="6">
        <v>0.21</v>
      </c>
      <c r="Z357" s="6">
        <v>0.75</v>
      </c>
      <c r="AA357" s="6">
        <f t="shared" si="13"/>
        <v>7.5599999999999987E-2</v>
      </c>
      <c r="AB357" s="8">
        <v>40</v>
      </c>
      <c r="AC357" s="15">
        <v>47897801302317</v>
      </c>
      <c r="AD357" s="4" t="s">
        <v>992</v>
      </c>
    </row>
    <row r="358" spans="2:30" x14ac:dyDescent="0.35">
      <c r="B358" s="14">
        <v>566</v>
      </c>
      <c r="C358" s="4" t="s">
        <v>363</v>
      </c>
      <c r="D358" s="4" t="s">
        <v>2377</v>
      </c>
      <c r="E358" s="4" t="s">
        <v>2911</v>
      </c>
      <c r="F358" s="4" t="s">
        <v>85</v>
      </c>
      <c r="G358" s="4" t="s">
        <v>993</v>
      </c>
      <c r="H358" s="6">
        <v>0.90190000000000003</v>
      </c>
      <c r="I358" s="8">
        <v>154</v>
      </c>
      <c r="J358" s="8">
        <v>161</v>
      </c>
      <c r="K358" s="8">
        <v>154</v>
      </c>
      <c r="L358" s="8">
        <f t="shared" si="10"/>
        <v>3818276</v>
      </c>
      <c r="M358" s="15">
        <v>7897801306065</v>
      </c>
      <c r="N358" s="6" t="s">
        <v>20</v>
      </c>
      <c r="O358" s="6" t="s">
        <v>20</v>
      </c>
      <c r="P358" s="6" t="s">
        <v>20</v>
      </c>
      <c r="Q358" s="6">
        <v>0.17</v>
      </c>
      <c r="R358" s="6">
        <v>0.13</v>
      </c>
      <c r="S358" s="6">
        <v>0.3</v>
      </c>
      <c r="T358" s="8">
        <v>2</v>
      </c>
      <c r="U358" s="5" t="s">
        <v>1002</v>
      </c>
      <c r="V358" s="89">
        <v>0</v>
      </c>
      <c r="W358" s="15">
        <v>17897801306062</v>
      </c>
      <c r="X358" s="6">
        <v>0.48</v>
      </c>
      <c r="Y358" s="6">
        <v>0.17</v>
      </c>
      <c r="Z358" s="6">
        <v>0.75</v>
      </c>
      <c r="AA358" s="6">
        <f t="shared" si="13"/>
        <v>6.1200000000000004E-2</v>
      </c>
      <c r="AB358" s="8">
        <v>20</v>
      </c>
      <c r="AC358" s="15">
        <v>47897801306063</v>
      </c>
      <c r="AD358" s="4" t="s">
        <v>992</v>
      </c>
    </row>
    <row r="359" spans="2:30" x14ac:dyDescent="0.35">
      <c r="B359" s="14">
        <v>567</v>
      </c>
      <c r="C359" s="4" t="s">
        <v>364</v>
      </c>
      <c r="D359" s="4" t="s">
        <v>2393</v>
      </c>
      <c r="E359" s="4" t="s">
        <v>2911</v>
      </c>
      <c r="F359" s="4" t="s">
        <v>85</v>
      </c>
      <c r="G359" s="4" t="s">
        <v>993</v>
      </c>
      <c r="H359" s="6">
        <v>6.5299999999999997E-2</v>
      </c>
      <c r="I359" s="8">
        <v>90</v>
      </c>
      <c r="J359" s="8">
        <v>50</v>
      </c>
      <c r="K359" s="8">
        <v>60</v>
      </c>
      <c r="L359" s="8">
        <f t="shared" si="10"/>
        <v>270000</v>
      </c>
      <c r="M359" s="15">
        <v>7897801317245</v>
      </c>
      <c r="N359" s="6" t="s">
        <v>20</v>
      </c>
      <c r="O359" s="6" t="s">
        <v>20</v>
      </c>
      <c r="P359" s="6" t="s">
        <v>20</v>
      </c>
      <c r="Q359" s="6">
        <v>0.17</v>
      </c>
      <c r="R359" s="6">
        <v>0.05</v>
      </c>
      <c r="S359" s="6">
        <v>0.22</v>
      </c>
      <c r="T359" s="8">
        <v>5</v>
      </c>
      <c r="U359" s="5" t="s">
        <v>1002</v>
      </c>
      <c r="V359" s="89">
        <v>0</v>
      </c>
      <c r="W359" s="15">
        <v>17897801317242</v>
      </c>
      <c r="X359" s="6">
        <v>0.5</v>
      </c>
      <c r="Y359" s="6">
        <v>0.15</v>
      </c>
      <c r="Z359" s="6">
        <v>0.75</v>
      </c>
      <c r="AA359" s="6">
        <f t="shared" si="13"/>
        <v>5.6249999999999994E-2</v>
      </c>
      <c r="AB359" s="8">
        <v>240</v>
      </c>
      <c r="AC359" s="15">
        <v>27897801317249</v>
      </c>
      <c r="AD359" s="4" t="s">
        <v>992</v>
      </c>
    </row>
    <row r="360" spans="2:30" x14ac:dyDescent="0.35">
      <c r="B360" s="14">
        <v>568</v>
      </c>
      <c r="C360" s="4" t="s">
        <v>365</v>
      </c>
      <c r="D360" s="4" t="s">
        <v>2393</v>
      </c>
      <c r="E360" s="4" t="s">
        <v>2911</v>
      </c>
      <c r="F360" s="4" t="s">
        <v>85</v>
      </c>
      <c r="G360" s="4" t="s">
        <v>993</v>
      </c>
      <c r="H360" s="6">
        <v>6.9699999999999998E-2</v>
      </c>
      <c r="I360" s="8">
        <v>90</v>
      </c>
      <c r="J360" s="8">
        <v>50</v>
      </c>
      <c r="K360" s="8">
        <v>60</v>
      </c>
      <c r="L360" s="8">
        <f t="shared" si="10"/>
        <v>270000</v>
      </c>
      <c r="M360" s="15">
        <v>7897801317252</v>
      </c>
      <c r="N360" s="6" t="s">
        <v>20</v>
      </c>
      <c r="O360" s="6" t="s">
        <v>20</v>
      </c>
      <c r="P360" s="6" t="s">
        <v>20</v>
      </c>
      <c r="Q360" s="6">
        <v>0.17</v>
      </c>
      <c r="R360" s="6">
        <v>0.05</v>
      </c>
      <c r="S360" s="6">
        <v>0.22</v>
      </c>
      <c r="T360" s="8">
        <v>5</v>
      </c>
      <c r="U360" s="5" t="s">
        <v>1002</v>
      </c>
      <c r="V360" s="89">
        <v>0</v>
      </c>
      <c r="W360" s="15">
        <v>17897801317259</v>
      </c>
      <c r="X360" s="6">
        <v>0.5</v>
      </c>
      <c r="Y360" s="6">
        <v>0.15</v>
      </c>
      <c r="Z360" s="6">
        <v>0.75</v>
      </c>
      <c r="AA360" s="6">
        <f t="shared" si="13"/>
        <v>5.6249999999999994E-2</v>
      </c>
      <c r="AB360" s="8">
        <v>240</v>
      </c>
      <c r="AC360" s="15">
        <v>27897801317256</v>
      </c>
      <c r="AD360" s="4" t="s">
        <v>992</v>
      </c>
    </row>
    <row r="361" spans="2:30" x14ac:dyDescent="0.35">
      <c r="B361" s="14">
        <v>569</v>
      </c>
      <c r="C361" s="4" t="s">
        <v>366</v>
      </c>
      <c r="D361" s="4" t="s">
        <v>2393</v>
      </c>
      <c r="E361" s="4" t="s">
        <v>2911</v>
      </c>
      <c r="F361" s="4" t="s">
        <v>85</v>
      </c>
      <c r="G361" s="4" t="s">
        <v>993</v>
      </c>
      <c r="H361" s="6">
        <v>3.1300000000000001E-2</v>
      </c>
      <c r="I361" s="8">
        <v>75</v>
      </c>
      <c r="J361" s="8">
        <v>50</v>
      </c>
      <c r="K361" s="8">
        <v>50</v>
      </c>
      <c r="L361" s="8">
        <f t="shared" si="10"/>
        <v>187500</v>
      </c>
      <c r="M361" s="15">
        <v>7897801317269</v>
      </c>
      <c r="N361" s="6" t="s">
        <v>20</v>
      </c>
      <c r="O361" s="6" t="s">
        <v>20</v>
      </c>
      <c r="P361" s="6" t="s">
        <v>20</v>
      </c>
      <c r="Q361" s="6">
        <v>0.14000000000000001</v>
      </c>
      <c r="R361" s="6">
        <v>0.05</v>
      </c>
      <c r="S361" s="6">
        <v>0.2</v>
      </c>
      <c r="T361" s="8">
        <v>5</v>
      </c>
      <c r="U361" s="5" t="s">
        <v>1002</v>
      </c>
      <c r="V361" s="89">
        <v>0</v>
      </c>
      <c r="W361" s="15">
        <v>17897801317266</v>
      </c>
      <c r="X361" s="6">
        <v>0.53</v>
      </c>
      <c r="Y361" s="6">
        <v>0.12</v>
      </c>
      <c r="Z361" s="6">
        <v>0.77</v>
      </c>
      <c r="AA361" s="6">
        <f t="shared" si="13"/>
        <v>4.8972000000000002E-2</v>
      </c>
      <c r="AB361" s="8">
        <v>400</v>
      </c>
      <c r="AC361" s="15">
        <v>27897801317263</v>
      </c>
      <c r="AD361" s="4" t="s">
        <v>992</v>
      </c>
    </row>
    <row r="362" spans="2:30" x14ac:dyDescent="0.35">
      <c r="B362" s="14">
        <v>570</v>
      </c>
      <c r="C362" s="4" t="s">
        <v>367</v>
      </c>
      <c r="D362" s="4" t="s">
        <v>2377</v>
      </c>
      <c r="E362" s="4" t="s">
        <v>2911</v>
      </c>
      <c r="F362" s="4" t="s">
        <v>85</v>
      </c>
      <c r="G362" s="4" t="s">
        <v>993</v>
      </c>
      <c r="H362" s="6">
        <v>8.9499999999999996E-2</v>
      </c>
      <c r="I362" s="8">
        <v>75</v>
      </c>
      <c r="J362" s="8">
        <v>48.5</v>
      </c>
      <c r="K362" s="8">
        <v>75</v>
      </c>
      <c r="L362" s="8">
        <f t="shared" si="10"/>
        <v>272812.5</v>
      </c>
      <c r="M362" s="15">
        <v>7897801302302</v>
      </c>
      <c r="N362" s="6" t="s">
        <v>20</v>
      </c>
      <c r="O362" s="6" t="s">
        <v>20</v>
      </c>
      <c r="P362" s="6" t="s">
        <v>20</v>
      </c>
      <c r="Q362" s="6">
        <v>0.16</v>
      </c>
      <c r="R362" s="6">
        <v>7.4999999999999997E-2</v>
      </c>
      <c r="S362" s="6">
        <v>0.24</v>
      </c>
      <c r="T362" s="8">
        <v>10</v>
      </c>
      <c r="U362" s="5" t="s">
        <v>1002</v>
      </c>
      <c r="V362" s="89">
        <v>0</v>
      </c>
      <c r="W362" s="15">
        <v>17897801302309</v>
      </c>
      <c r="X362" s="6">
        <v>0.48</v>
      </c>
      <c r="Y362" s="6">
        <v>0.17</v>
      </c>
      <c r="Z362" s="6">
        <v>0.7</v>
      </c>
      <c r="AA362" s="6">
        <f t="shared" si="13"/>
        <v>5.7119999999999997E-2</v>
      </c>
      <c r="AB362" s="8">
        <v>240</v>
      </c>
      <c r="AC362" s="15">
        <v>47897801302300</v>
      </c>
      <c r="AD362" s="4" t="s">
        <v>992</v>
      </c>
    </row>
    <row r="363" spans="2:30" x14ac:dyDescent="0.35">
      <c r="B363" s="14">
        <v>571</v>
      </c>
      <c r="C363" s="4" t="s">
        <v>368</v>
      </c>
      <c r="D363" s="4" t="s">
        <v>2377</v>
      </c>
      <c r="E363" s="4" t="s">
        <v>2911</v>
      </c>
      <c r="F363" s="4" t="s">
        <v>85</v>
      </c>
      <c r="G363" s="4" t="s">
        <v>993</v>
      </c>
      <c r="H363" s="6">
        <v>0.14860000000000001</v>
      </c>
      <c r="I363" s="8">
        <v>87</v>
      </c>
      <c r="J363" s="8">
        <v>58</v>
      </c>
      <c r="K363" s="8">
        <v>85</v>
      </c>
      <c r="L363" s="8">
        <f t="shared" si="10"/>
        <v>428910</v>
      </c>
      <c r="M363" s="15">
        <v>7897801302272</v>
      </c>
      <c r="N363" s="6" t="s">
        <v>20</v>
      </c>
      <c r="O363" s="6" t="s">
        <v>20</v>
      </c>
      <c r="P363" s="6" t="s">
        <v>20</v>
      </c>
      <c r="Q363" s="6">
        <v>0.21</v>
      </c>
      <c r="R363" s="6">
        <v>0.09</v>
      </c>
      <c r="S363" s="6">
        <v>0.32</v>
      </c>
      <c r="T363" s="8">
        <v>10</v>
      </c>
      <c r="U363" s="5" t="s">
        <v>1002</v>
      </c>
      <c r="V363" s="89">
        <v>0</v>
      </c>
      <c r="W363" s="15">
        <v>17897801302279</v>
      </c>
      <c r="X363" s="6">
        <v>0.5</v>
      </c>
      <c r="Y363" s="6">
        <v>0.17</v>
      </c>
      <c r="Z363" s="6">
        <v>0.73</v>
      </c>
      <c r="AA363" s="6">
        <f t="shared" si="13"/>
        <v>6.2050000000000001E-2</v>
      </c>
      <c r="AB363" s="8">
        <v>150</v>
      </c>
      <c r="AC363" s="15">
        <v>47897801302270</v>
      </c>
      <c r="AD363" s="4" t="s">
        <v>992</v>
      </c>
    </row>
    <row r="364" spans="2:30" x14ac:dyDescent="0.35">
      <c r="B364" s="14">
        <v>572</v>
      </c>
      <c r="C364" s="4" t="s">
        <v>369</v>
      </c>
      <c r="D364" s="4" t="s">
        <v>2377</v>
      </c>
      <c r="E364" s="4" t="s">
        <v>2911</v>
      </c>
      <c r="F364" s="4" t="s">
        <v>85</v>
      </c>
      <c r="G364" s="4" t="s">
        <v>993</v>
      </c>
      <c r="H364" s="6">
        <v>0.2195</v>
      </c>
      <c r="I364" s="8">
        <v>99.5</v>
      </c>
      <c r="J364" s="8">
        <v>66</v>
      </c>
      <c r="K364" s="8">
        <v>96.5</v>
      </c>
      <c r="L364" s="8">
        <f t="shared" si="10"/>
        <v>633715.5</v>
      </c>
      <c r="M364" s="15">
        <v>7897801302777</v>
      </c>
      <c r="N364" s="6" t="s">
        <v>20</v>
      </c>
      <c r="O364" s="6" t="s">
        <v>20</v>
      </c>
      <c r="P364" s="6" t="s">
        <v>20</v>
      </c>
      <c r="Q364" s="6">
        <v>0.22</v>
      </c>
      <c r="R364" s="6">
        <v>0.08</v>
      </c>
      <c r="S364" s="6">
        <v>0.27</v>
      </c>
      <c r="T364" s="8">
        <v>5</v>
      </c>
      <c r="U364" s="5" t="s">
        <v>1002</v>
      </c>
      <c r="V364" s="89">
        <v>0</v>
      </c>
      <c r="W364" s="15">
        <v>17897801302774</v>
      </c>
      <c r="X364" s="6">
        <v>0.49</v>
      </c>
      <c r="Y364" s="6">
        <v>0.21</v>
      </c>
      <c r="Z364" s="6">
        <v>0.78</v>
      </c>
      <c r="AA364" s="6">
        <f t="shared" si="13"/>
        <v>8.0262E-2</v>
      </c>
      <c r="AB364" s="8">
        <v>100</v>
      </c>
      <c r="AC364" s="15">
        <v>47897801302775</v>
      </c>
      <c r="AD364" s="4" t="s">
        <v>992</v>
      </c>
    </row>
    <row r="365" spans="2:30" x14ac:dyDescent="0.35">
      <c r="B365" s="14">
        <v>573</v>
      </c>
      <c r="C365" s="4" t="s">
        <v>370</v>
      </c>
      <c r="D365" s="4" t="s">
        <v>2377</v>
      </c>
      <c r="E365" s="4" t="s">
        <v>2911</v>
      </c>
      <c r="F365" s="4" t="s">
        <v>85</v>
      </c>
      <c r="G365" s="4" t="s">
        <v>993</v>
      </c>
      <c r="H365" s="6">
        <v>0.32390000000000002</v>
      </c>
      <c r="I365" s="8">
        <v>110</v>
      </c>
      <c r="J365" s="8">
        <v>114</v>
      </c>
      <c r="K365" s="8">
        <v>110</v>
      </c>
      <c r="L365" s="8">
        <f t="shared" si="10"/>
        <v>1379400</v>
      </c>
      <c r="M365" s="15">
        <v>7897801306058</v>
      </c>
      <c r="N365" s="6" t="s">
        <v>20</v>
      </c>
      <c r="O365" s="6" t="s">
        <v>20</v>
      </c>
      <c r="P365" s="6" t="s">
        <v>20</v>
      </c>
      <c r="Q365" s="6">
        <v>0.19</v>
      </c>
      <c r="R365" s="6">
        <v>0.115</v>
      </c>
      <c r="S365" s="6">
        <v>0.3</v>
      </c>
      <c r="T365" s="8">
        <v>5</v>
      </c>
      <c r="U365" s="5" t="s">
        <v>1002</v>
      </c>
      <c r="V365" s="89">
        <v>0</v>
      </c>
      <c r="W365" s="15">
        <v>17897801306055</v>
      </c>
      <c r="X365" s="6">
        <v>0.46</v>
      </c>
      <c r="Y365" s="6">
        <v>0.22</v>
      </c>
      <c r="Z365" s="6">
        <v>0.65</v>
      </c>
      <c r="AA365" s="6">
        <f t="shared" si="13"/>
        <v>6.5780000000000005E-2</v>
      </c>
      <c r="AB365" s="8">
        <v>75</v>
      </c>
      <c r="AC365" s="15">
        <v>47897801306056</v>
      </c>
      <c r="AD365" s="4" t="s">
        <v>992</v>
      </c>
    </row>
    <row r="366" spans="2:30" x14ac:dyDescent="0.35">
      <c r="B366" s="14">
        <v>574</v>
      </c>
      <c r="C366" s="4" t="s">
        <v>371</v>
      </c>
      <c r="D366" s="4" t="s">
        <v>2377</v>
      </c>
      <c r="E366" s="4" t="s">
        <v>2911</v>
      </c>
      <c r="F366" s="4" t="s">
        <v>85</v>
      </c>
      <c r="G366" s="4" t="s">
        <v>993</v>
      </c>
      <c r="H366" s="6">
        <v>0.52</v>
      </c>
      <c r="I366" s="8">
        <v>132.5</v>
      </c>
      <c r="J366" s="8">
        <v>92</v>
      </c>
      <c r="K366" s="8">
        <v>134.5</v>
      </c>
      <c r="L366" s="8">
        <f t="shared" si="10"/>
        <v>1639555</v>
      </c>
      <c r="M366" s="15">
        <v>7897801302326</v>
      </c>
      <c r="N366" s="6" t="s">
        <v>20</v>
      </c>
      <c r="O366" s="6" t="s">
        <v>20</v>
      </c>
      <c r="P366" s="6" t="s">
        <v>20</v>
      </c>
      <c r="Q366" s="6">
        <v>0.14000000000000001</v>
      </c>
      <c r="R366" s="6">
        <v>0.1</v>
      </c>
      <c r="S366" s="6">
        <v>0.21</v>
      </c>
      <c r="T366" s="8">
        <v>2</v>
      </c>
      <c r="U366" s="5" t="s">
        <v>1002</v>
      </c>
      <c r="V366" s="89">
        <v>0</v>
      </c>
      <c r="W366" s="15">
        <v>17897801302323</v>
      </c>
      <c r="X366" s="6">
        <v>0.45</v>
      </c>
      <c r="Y366" s="6">
        <v>0.21</v>
      </c>
      <c r="Z366" s="6">
        <v>0.65</v>
      </c>
      <c r="AA366" s="6">
        <f t="shared" si="13"/>
        <v>6.1425E-2</v>
      </c>
      <c r="AB366" s="8">
        <v>40</v>
      </c>
      <c r="AC366" s="15">
        <v>47897801302324</v>
      </c>
      <c r="AD366" s="4" t="s">
        <v>992</v>
      </c>
    </row>
    <row r="367" spans="2:30" x14ac:dyDescent="0.35">
      <c r="B367" s="14">
        <v>575</v>
      </c>
      <c r="C367" s="4" t="s">
        <v>372</v>
      </c>
      <c r="D367" s="4" t="s">
        <v>2377</v>
      </c>
      <c r="E367" s="4" t="s">
        <v>2911</v>
      </c>
      <c r="F367" s="4" t="s">
        <v>85</v>
      </c>
      <c r="G367" s="4" t="s">
        <v>993</v>
      </c>
      <c r="H367" s="6">
        <v>0.95660000000000001</v>
      </c>
      <c r="I367" s="8">
        <v>154</v>
      </c>
      <c r="J367" s="8">
        <v>161</v>
      </c>
      <c r="K367" s="8">
        <v>154</v>
      </c>
      <c r="L367" s="8">
        <f t="shared" ref="L367:L398" si="14">J367*I367*K367</f>
        <v>3818276</v>
      </c>
      <c r="M367" s="15">
        <v>7897801306072</v>
      </c>
      <c r="N367" s="6" t="s">
        <v>20</v>
      </c>
      <c r="O367" s="6" t="s">
        <v>20</v>
      </c>
      <c r="P367" s="6" t="s">
        <v>20</v>
      </c>
      <c r="Q367" s="6">
        <v>0.2</v>
      </c>
      <c r="R367" s="6">
        <v>0.11</v>
      </c>
      <c r="S367" s="6">
        <v>0.31</v>
      </c>
      <c r="T367" s="8">
        <v>2</v>
      </c>
      <c r="U367" s="5" t="s">
        <v>1002</v>
      </c>
      <c r="V367" s="89">
        <v>0</v>
      </c>
      <c r="W367" s="15">
        <v>17897801306079</v>
      </c>
      <c r="X367" s="6">
        <v>0.5</v>
      </c>
      <c r="Y367" s="6">
        <v>0.16</v>
      </c>
      <c r="Z367" s="6">
        <v>0.72</v>
      </c>
      <c r="AA367" s="6">
        <f t="shared" si="13"/>
        <v>5.7599999999999998E-2</v>
      </c>
      <c r="AB367" s="8">
        <v>20</v>
      </c>
      <c r="AC367" s="15">
        <v>47897801306070</v>
      </c>
      <c r="AD367" s="4" t="s">
        <v>992</v>
      </c>
    </row>
    <row r="368" spans="2:30" x14ac:dyDescent="0.35">
      <c r="B368" s="14">
        <v>577</v>
      </c>
      <c r="C368" s="4" t="s">
        <v>373</v>
      </c>
      <c r="D368" s="4" t="s">
        <v>2415</v>
      </c>
      <c r="E368" s="4" t="s">
        <v>2911</v>
      </c>
      <c r="F368" s="4" t="s">
        <v>85</v>
      </c>
      <c r="G368" s="4" t="s">
        <v>993</v>
      </c>
      <c r="H368" s="6">
        <v>3.6999999999999998E-2</v>
      </c>
      <c r="I368" s="8">
        <v>53</v>
      </c>
      <c r="J368" s="8">
        <v>59</v>
      </c>
      <c r="K368" s="8">
        <v>53</v>
      </c>
      <c r="L368" s="8">
        <f t="shared" si="14"/>
        <v>165731</v>
      </c>
      <c r="M368" s="15">
        <v>7897801307482</v>
      </c>
      <c r="N368" s="6" t="s">
        <v>20</v>
      </c>
      <c r="O368" s="6" t="s">
        <v>20</v>
      </c>
      <c r="P368" s="6" t="s">
        <v>20</v>
      </c>
      <c r="Q368" s="6">
        <v>0.2</v>
      </c>
      <c r="R368" s="6">
        <v>0.05</v>
      </c>
      <c r="S368" s="6">
        <v>0.3</v>
      </c>
      <c r="T368" s="8">
        <v>20</v>
      </c>
      <c r="U368" s="5" t="s">
        <v>1002</v>
      </c>
      <c r="V368" s="89">
        <v>0</v>
      </c>
      <c r="W368" s="15">
        <v>17897801307489</v>
      </c>
      <c r="X368" s="6">
        <v>0.52</v>
      </c>
      <c r="Y368" s="6">
        <v>0.13</v>
      </c>
      <c r="Z368" s="6">
        <v>0.78</v>
      </c>
      <c r="AA368" s="6">
        <f t="shared" si="13"/>
        <v>5.2728000000000004E-2</v>
      </c>
      <c r="AB368" s="8">
        <v>480</v>
      </c>
      <c r="AC368" s="15">
        <v>27897801307486</v>
      </c>
      <c r="AD368" s="4" t="s">
        <v>992</v>
      </c>
    </row>
    <row r="369" spans="2:30" x14ac:dyDescent="0.35">
      <c r="B369" s="14">
        <v>578</v>
      </c>
      <c r="C369" s="4" t="s">
        <v>374</v>
      </c>
      <c r="D369" s="4" t="s">
        <v>2415</v>
      </c>
      <c r="E369" s="4" t="s">
        <v>2911</v>
      </c>
      <c r="F369" s="4" t="s">
        <v>85</v>
      </c>
      <c r="G369" s="4" t="s">
        <v>993</v>
      </c>
      <c r="H369" s="6">
        <v>4.9299999999999997E-2</v>
      </c>
      <c r="I369" s="8">
        <v>57</v>
      </c>
      <c r="J369" s="8">
        <v>63</v>
      </c>
      <c r="K369" s="8">
        <v>57</v>
      </c>
      <c r="L369" s="8">
        <f t="shared" si="14"/>
        <v>204687</v>
      </c>
      <c r="M369" s="15">
        <v>7897801307499</v>
      </c>
      <c r="N369" s="6" t="s">
        <v>20</v>
      </c>
      <c r="O369" s="6" t="s">
        <v>20</v>
      </c>
      <c r="P369" s="6" t="s">
        <v>20</v>
      </c>
      <c r="Q369" s="6">
        <v>0.2</v>
      </c>
      <c r="R369" s="6">
        <v>0.06</v>
      </c>
      <c r="S369" s="6">
        <v>0.3</v>
      </c>
      <c r="T369" s="8">
        <v>20</v>
      </c>
      <c r="U369" s="5" t="s">
        <v>1002</v>
      </c>
      <c r="V369" s="89">
        <v>0</v>
      </c>
      <c r="W369" s="15">
        <v>17897801307496</v>
      </c>
      <c r="X369" s="6">
        <v>0.52</v>
      </c>
      <c r="Y369" s="6">
        <v>0.16</v>
      </c>
      <c r="Z369" s="6">
        <v>0.78</v>
      </c>
      <c r="AA369" s="6">
        <f t="shared" si="13"/>
        <v>6.4896000000000009E-2</v>
      </c>
      <c r="AB369" s="8">
        <v>400</v>
      </c>
      <c r="AC369" s="15">
        <v>27897801307493</v>
      </c>
      <c r="AD369" s="4" t="s">
        <v>992</v>
      </c>
    </row>
    <row r="370" spans="2:30" x14ac:dyDescent="0.35">
      <c r="B370" s="14">
        <v>581</v>
      </c>
      <c r="C370" s="4" t="s">
        <v>375</v>
      </c>
      <c r="D370" s="4" t="s">
        <v>2393</v>
      </c>
      <c r="E370" s="4" t="s">
        <v>2911</v>
      </c>
      <c r="F370" s="4" t="s">
        <v>85</v>
      </c>
      <c r="G370" s="4" t="s">
        <v>993</v>
      </c>
      <c r="H370" s="6">
        <v>6.4899999999999999E-2</v>
      </c>
      <c r="I370" s="8">
        <v>61</v>
      </c>
      <c r="J370" s="8">
        <v>90</v>
      </c>
      <c r="K370" s="8">
        <v>41</v>
      </c>
      <c r="L370" s="8">
        <f t="shared" si="14"/>
        <v>225090</v>
      </c>
      <c r="M370" s="15">
        <v>7897801300414</v>
      </c>
      <c r="N370" s="6" t="s">
        <v>20</v>
      </c>
      <c r="O370" s="6" t="s">
        <v>20</v>
      </c>
      <c r="P370" s="6" t="s">
        <v>20</v>
      </c>
      <c r="Q370" s="6">
        <v>0.17</v>
      </c>
      <c r="R370" s="6">
        <v>0.05</v>
      </c>
      <c r="S370" s="6">
        <v>0.22</v>
      </c>
      <c r="T370" s="8">
        <v>5</v>
      </c>
      <c r="U370" s="5" t="s">
        <v>1002</v>
      </c>
      <c r="V370" s="89">
        <v>0</v>
      </c>
      <c r="W370" s="15">
        <v>17897801300411</v>
      </c>
      <c r="X370" s="6">
        <v>0.5</v>
      </c>
      <c r="Y370" s="6">
        <v>0.15</v>
      </c>
      <c r="Z370" s="6">
        <v>0.75</v>
      </c>
      <c r="AA370" s="6">
        <f t="shared" si="13"/>
        <v>5.6249999999999994E-2</v>
      </c>
      <c r="AB370" s="8">
        <v>240</v>
      </c>
      <c r="AC370" s="15">
        <v>27897801300418</v>
      </c>
      <c r="AD370" s="4" t="s">
        <v>992</v>
      </c>
    </row>
    <row r="371" spans="2:30" x14ac:dyDescent="0.35">
      <c r="B371" s="14">
        <v>582</v>
      </c>
      <c r="C371" s="4" t="s">
        <v>376</v>
      </c>
      <c r="D371" s="4" t="s">
        <v>2393</v>
      </c>
      <c r="E371" s="4" t="s">
        <v>2911</v>
      </c>
      <c r="F371" s="4" t="s">
        <v>85</v>
      </c>
      <c r="G371" s="4" t="s">
        <v>993</v>
      </c>
      <c r="H371" s="6">
        <v>6.93E-2</v>
      </c>
      <c r="I371" s="8">
        <v>64</v>
      </c>
      <c r="J371" s="8">
        <v>93</v>
      </c>
      <c r="K371" s="8">
        <v>48</v>
      </c>
      <c r="L371" s="8">
        <f t="shared" si="14"/>
        <v>285696</v>
      </c>
      <c r="M371" s="15">
        <v>7897801300421</v>
      </c>
      <c r="N371" s="6" t="s">
        <v>20</v>
      </c>
      <c r="O371" s="6" t="s">
        <v>20</v>
      </c>
      <c r="P371" s="6" t="s">
        <v>20</v>
      </c>
      <c r="Q371" s="6">
        <v>0.17</v>
      </c>
      <c r="R371" s="6">
        <v>0.06</v>
      </c>
      <c r="S371" s="6">
        <v>0.21</v>
      </c>
      <c r="T371" s="8">
        <v>5</v>
      </c>
      <c r="U371" s="5" t="s">
        <v>1002</v>
      </c>
      <c r="V371" s="89">
        <v>0</v>
      </c>
      <c r="W371" s="15">
        <v>17897801300428</v>
      </c>
      <c r="X371" s="6">
        <v>0.48</v>
      </c>
      <c r="Y371" s="6">
        <v>0.18</v>
      </c>
      <c r="Z371" s="6">
        <v>0.7</v>
      </c>
      <c r="AA371" s="6">
        <f t="shared" si="13"/>
        <v>6.0479999999999992E-2</v>
      </c>
      <c r="AB371" s="8">
        <v>240</v>
      </c>
      <c r="AC371" s="15">
        <v>27897801300425</v>
      </c>
      <c r="AD371" s="4" t="s">
        <v>992</v>
      </c>
    </row>
    <row r="372" spans="2:30" x14ac:dyDescent="0.35">
      <c r="B372" s="14">
        <v>583</v>
      </c>
      <c r="C372" s="4" t="s">
        <v>377</v>
      </c>
      <c r="D372" s="4" t="s">
        <v>2393</v>
      </c>
      <c r="E372" s="4" t="s">
        <v>2911</v>
      </c>
      <c r="F372" s="4" t="s">
        <v>85</v>
      </c>
      <c r="G372" s="4" t="s">
        <v>993</v>
      </c>
      <c r="H372" s="6">
        <v>3.2300000000000002E-2</v>
      </c>
      <c r="I372" s="8">
        <v>55</v>
      </c>
      <c r="J372" s="8">
        <v>30</v>
      </c>
      <c r="K372" s="8">
        <v>60</v>
      </c>
      <c r="L372" s="8">
        <f t="shared" si="14"/>
        <v>99000</v>
      </c>
      <c r="M372" s="15">
        <v>7897801313360</v>
      </c>
      <c r="N372" s="6" t="s">
        <v>20</v>
      </c>
      <c r="O372" s="6" t="s">
        <v>20</v>
      </c>
      <c r="P372" s="6" t="s">
        <v>20</v>
      </c>
      <c r="Q372" s="6">
        <v>0.2</v>
      </c>
      <c r="R372" s="6">
        <v>0.04</v>
      </c>
      <c r="S372" s="6">
        <v>0.24</v>
      </c>
      <c r="T372" s="8">
        <v>20</v>
      </c>
      <c r="U372" s="5" t="s">
        <v>1002</v>
      </c>
      <c r="V372" s="89">
        <v>0</v>
      </c>
      <c r="W372" s="15">
        <v>17897801313367</v>
      </c>
      <c r="X372" s="6">
        <v>0.5</v>
      </c>
      <c r="Y372" s="6">
        <v>0.16</v>
      </c>
      <c r="Z372" s="6">
        <v>0.7</v>
      </c>
      <c r="AA372" s="6">
        <f t="shared" si="13"/>
        <v>5.5999999999999994E-2</v>
      </c>
      <c r="AB372" s="8">
        <v>640</v>
      </c>
      <c r="AC372" s="15">
        <v>27897801313364</v>
      </c>
      <c r="AD372" s="4" t="s">
        <v>992</v>
      </c>
    </row>
    <row r="373" spans="2:30" x14ac:dyDescent="0.35">
      <c r="B373" s="14">
        <v>584</v>
      </c>
      <c r="C373" s="4" t="s">
        <v>378</v>
      </c>
      <c r="D373" s="4" t="s">
        <v>2393</v>
      </c>
      <c r="E373" s="4" t="s">
        <v>2911</v>
      </c>
      <c r="F373" s="4" t="s">
        <v>85</v>
      </c>
      <c r="G373" s="4" t="s">
        <v>993</v>
      </c>
      <c r="H373" s="6">
        <v>4.7399999999999998E-2</v>
      </c>
      <c r="I373" s="8">
        <v>70</v>
      </c>
      <c r="J373" s="8">
        <v>60</v>
      </c>
      <c r="K373" s="8">
        <v>30</v>
      </c>
      <c r="L373" s="8">
        <f t="shared" si="14"/>
        <v>126000</v>
      </c>
      <c r="M373" s="15">
        <v>7897801313698</v>
      </c>
      <c r="N373" s="6" t="s">
        <v>20</v>
      </c>
      <c r="O373" s="6" t="s">
        <v>20</v>
      </c>
      <c r="P373" s="6" t="s">
        <v>20</v>
      </c>
      <c r="Q373" s="6">
        <v>0.18</v>
      </c>
      <c r="R373" s="6">
        <v>6.5000000000000002E-2</v>
      </c>
      <c r="S373" s="6">
        <v>0.24</v>
      </c>
      <c r="T373" s="8">
        <v>20</v>
      </c>
      <c r="U373" s="5" t="s">
        <v>1002</v>
      </c>
      <c r="V373" s="89">
        <v>0</v>
      </c>
      <c r="W373" s="15">
        <v>17897801313695</v>
      </c>
      <c r="X373" s="6">
        <v>0.52</v>
      </c>
      <c r="Y373" s="6">
        <v>0.16</v>
      </c>
      <c r="Z373" s="6">
        <v>0.78</v>
      </c>
      <c r="AA373" s="6">
        <f t="shared" si="13"/>
        <v>6.4896000000000009E-2</v>
      </c>
      <c r="AB373" s="8">
        <v>480</v>
      </c>
      <c r="AC373" s="15">
        <v>27897801313692</v>
      </c>
      <c r="AD373" s="4" t="s">
        <v>992</v>
      </c>
    </row>
    <row r="374" spans="2:30" x14ac:dyDescent="0.35">
      <c r="B374" s="14">
        <v>585</v>
      </c>
      <c r="C374" s="4" t="s">
        <v>379</v>
      </c>
      <c r="D374" s="4" t="s">
        <v>2393</v>
      </c>
      <c r="E374" s="4" t="s">
        <v>2911</v>
      </c>
      <c r="F374" s="4" t="s">
        <v>85</v>
      </c>
      <c r="G374" s="4" t="s">
        <v>993</v>
      </c>
      <c r="H374" s="6">
        <v>3.04E-2</v>
      </c>
      <c r="I374" s="8">
        <v>48</v>
      </c>
      <c r="J374" s="8">
        <v>75</v>
      </c>
      <c r="K374" s="8">
        <v>48</v>
      </c>
      <c r="L374" s="8">
        <f t="shared" si="14"/>
        <v>172800</v>
      </c>
      <c r="M374" s="15">
        <v>7897801300476</v>
      </c>
      <c r="N374" s="6" t="s">
        <v>20</v>
      </c>
      <c r="O374" s="6" t="s">
        <v>20</v>
      </c>
      <c r="P374" s="6" t="s">
        <v>20</v>
      </c>
      <c r="Q374" s="6">
        <v>0.17</v>
      </c>
      <c r="R374" s="6">
        <v>0.05</v>
      </c>
      <c r="S374" s="6">
        <v>0.2</v>
      </c>
      <c r="T374" s="8">
        <v>5</v>
      </c>
      <c r="U374" s="5" t="s">
        <v>1002</v>
      </c>
      <c r="V374" s="89">
        <v>0</v>
      </c>
      <c r="W374" s="15">
        <v>17897801300473</v>
      </c>
      <c r="X374" s="6">
        <v>0.53</v>
      </c>
      <c r="Y374" s="6">
        <v>0.12</v>
      </c>
      <c r="Z374" s="6">
        <v>0.77</v>
      </c>
      <c r="AA374" s="6">
        <f t="shared" si="13"/>
        <v>4.8972000000000002E-2</v>
      </c>
      <c r="AB374" s="8">
        <v>400</v>
      </c>
      <c r="AC374" s="15">
        <v>27897801300470</v>
      </c>
      <c r="AD374" s="4" t="s">
        <v>992</v>
      </c>
    </row>
    <row r="375" spans="2:30" x14ac:dyDescent="0.35">
      <c r="B375" s="14">
        <v>587</v>
      </c>
      <c r="C375" s="4" t="s">
        <v>380</v>
      </c>
      <c r="D375" s="4" t="s">
        <v>2371</v>
      </c>
      <c r="E375" s="4" t="s">
        <v>2911</v>
      </c>
      <c r="F375" s="4" t="s">
        <v>85</v>
      </c>
      <c r="G375" s="4" t="s">
        <v>993</v>
      </c>
      <c r="H375" s="6">
        <v>9.9900000000000003E-2</v>
      </c>
      <c r="I375" s="8">
        <v>74</v>
      </c>
      <c r="J375" s="8">
        <v>77</v>
      </c>
      <c r="K375" s="8">
        <v>74</v>
      </c>
      <c r="L375" s="8">
        <f t="shared" si="14"/>
        <v>421652</v>
      </c>
      <c r="M375" s="15">
        <v>7897801312004</v>
      </c>
      <c r="N375" s="6" t="s">
        <v>20</v>
      </c>
      <c r="O375" s="6" t="s">
        <v>20</v>
      </c>
      <c r="P375" s="6" t="s">
        <v>20</v>
      </c>
      <c r="Q375" s="6">
        <v>0.2</v>
      </c>
      <c r="R375" s="6">
        <v>0.08</v>
      </c>
      <c r="S375" s="6">
        <v>0.3</v>
      </c>
      <c r="T375" s="8">
        <v>10</v>
      </c>
      <c r="U375" s="5" t="s">
        <v>994</v>
      </c>
      <c r="V375" s="89">
        <v>0</v>
      </c>
      <c r="W375" s="15">
        <v>17897801312001</v>
      </c>
      <c r="X375" s="6">
        <v>0.45</v>
      </c>
      <c r="Y375" s="6">
        <v>0.18</v>
      </c>
      <c r="Z375" s="6">
        <v>0.7</v>
      </c>
      <c r="AA375" s="6">
        <f t="shared" si="13"/>
        <v>5.67E-2</v>
      </c>
      <c r="AB375" s="8">
        <v>120</v>
      </c>
      <c r="AC375" s="15">
        <v>27897801312008</v>
      </c>
      <c r="AD375" s="4" t="s">
        <v>992</v>
      </c>
    </row>
    <row r="376" spans="2:30" x14ac:dyDescent="0.35">
      <c r="B376" s="14">
        <v>588</v>
      </c>
      <c r="C376" s="4" t="s">
        <v>381</v>
      </c>
      <c r="D376" s="4" t="s">
        <v>2371</v>
      </c>
      <c r="E376" s="4" t="s">
        <v>2911</v>
      </c>
      <c r="F376" s="4" t="s">
        <v>85</v>
      </c>
      <c r="G376" s="4" t="s">
        <v>993</v>
      </c>
      <c r="H376" s="6">
        <v>0.18390000000000001</v>
      </c>
      <c r="I376" s="8">
        <v>90</v>
      </c>
      <c r="J376" s="8">
        <v>90</v>
      </c>
      <c r="K376" s="8">
        <v>90</v>
      </c>
      <c r="L376" s="8">
        <f t="shared" si="14"/>
        <v>729000</v>
      </c>
      <c r="M376" s="15">
        <v>7897801312011</v>
      </c>
      <c r="N376" s="6" t="s">
        <v>20</v>
      </c>
      <c r="O376" s="6" t="s">
        <v>20</v>
      </c>
      <c r="P376" s="6" t="s">
        <v>20</v>
      </c>
      <c r="Q376" s="6">
        <v>0.19</v>
      </c>
      <c r="R376" s="6">
        <v>0.09</v>
      </c>
      <c r="S376" s="6">
        <v>0.25</v>
      </c>
      <c r="T376" s="8">
        <v>8</v>
      </c>
      <c r="U376" s="5" t="s">
        <v>994</v>
      </c>
      <c r="V376" s="89">
        <v>0</v>
      </c>
      <c r="W376" s="15">
        <v>17897801312018</v>
      </c>
      <c r="X376" s="6">
        <v>0.45</v>
      </c>
      <c r="Y376" s="6">
        <v>0.2</v>
      </c>
      <c r="Z376" s="6">
        <v>0.6</v>
      </c>
      <c r="AA376" s="6">
        <f t="shared" si="13"/>
        <v>5.4000000000000006E-2</v>
      </c>
      <c r="AB376" s="8">
        <v>96</v>
      </c>
      <c r="AC376" s="15">
        <v>27897801312015</v>
      </c>
      <c r="AD376" s="4" t="s">
        <v>992</v>
      </c>
    </row>
    <row r="377" spans="2:30" x14ac:dyDescent="0.35">
      <c r="B377" s="14">
        <v>589</v>
      </c>
      <c r="C377" s="4" t="s">
        <v>382</v>
      </c>
      <c r="D377" s="4" t="s">
        <v>2371</v>
      </c>
      <c r="E377" s="4" t="s">
        <v>2911</v>
      </c>
      <c r="F377" s="4" t="s">
        <v>85</v>
      </c>
      <c r="G377" s="4" t="s">
        <v>993</v>
      </c>
      <c r="H377" s="6">
        <v>0.39710000000000001</v>
      </c>
      <c r="I377" s="8">
        <v>130</v>
      </c>
      <c r="J377" s="8">
        <v>130</v>
      </c>
      <c r="K377" s="8">
        <v>130</v>
      </c>
      <c r="L377" s="8">
        <f t="shared" si="14"/>
        <v>2197000</v>
      </c>
      <c r="M377" s="15">
        <v>7897801312127</v>
      </c>
      <c r="N377" s="6" t="s">
        <v>20</v>
      </c>
      <c r="O377" s="6" t="s">
        <v>20</v>
      </c>
      <c r="P377" s="6" t="s">
        <v>20</v>
      </c>
      <c r="Q377" s="6">
        <v>0.21</v>
      </c>
      <c r="R377" s="6">
        <v>0.13</v>
      </c>
      <c r="S377" s="6">
        <v>0.26</v>
      </c>
      <c r="T377" s="8">
        <v>4</v>
      </c>
      <c r="U377" s="5" t="s">
        <v>994</v>
      </c>
      <c r="V377" s="89">
        <v>0</v>
      </c>
      <c r="W377" s="15">
        <v>17897801312124</v>
      </c>
      <c r="X377" s="6">
        <v>0.42</v>
      </c>
      <c r="Y377" s="6">
        <v>0.26500000000000001</v>
      </c>
      <c r="Z377" s="6">
        <v>0.68</v>
      </c>
      <c r="AA377" s="6">
        <f t="shared" si="13"/>
        <v>7.5684000000000001E-2</v>
      </c>
      <c r="AB377" s="8">
        <v>36</v>
      </c>
      <c r="AC377" s="15">
        <v>27897801312121</v>
      </c>
      <c r="AD377" s="4" t="s">
        <v>992</v>
      </c>
    </row>
    <row r="378" spans="2:30" x14ac:dyDescent="0.35">
      <c r="B378" s="14">
        <v>592</v>
      </c>
      <c r="C378" s="4" t="s">
        <v>383</v>
      </c>
      <c r="D378" s="4" t="s">
        <v>2411</v>
      </c>
      <c r="E378" s="4" t="s">
        <v>2913</v>
      </c>
      <c r="F378" s="4" t="s">
        <v>85</v>
      </c>
      <c r="G378" s="4" t="s">
        <v>993</v>
      </c>
      <c r="H378" s="6">
        <v>2.8199999999999999E-2</v>
      </c>
      <c r="I378" s="8">
        <v>50.7</v>
      </c>
      <c r="J378" s="8">
        <v>50.7</v>
      </c>
      <c r="K378" s="8">
        <v>65</v>
      </c>
      <c r="L378" s="8">
        <f t="shared" si="14"/>
        <v>167081.85</v>
      </c>
      <c r="M378" s="15">
        <v>7897801300285</v>
      </c>
      <c r="N378" s="6" t="s">
        <v>20</v>
      </c>
      <c r="O378" s="6" t="s">
        <v>20</v>
      </c>
      <c r="P378" s="6" t="s">
        <v>20</v>
      </c>
      <c r="Q378" s="6">
        <v>0.28000000000000003</v>
      </c>
      <c r="R378" s="6">
        <v>0.1</v>
      </c>
      <c r="S378" s="6">
        <v>0.33</v>
      </c>
      <c r="T378" s="8">
        <v>25</v>
      </c>
      <c r="U378" s="5" t="s">
        <v>994</v>
      </c>
      <c r="V378" s="89">
        <v>0</v>
      </c>
      <c r="W378" s="15">
        <v>17897801300282</v>
      </c>
      <c r="X378" s="6">
        <v>0.57999999999999996</v>
      </c>
      <c r="Y378" s="6">
        <v>0.17</v>
      </c>
      <c r="Z378" s="6">
        <v>0.8</v>
      </c>
      <c r="AA378" s="6">
        <f t="shared" si="13"/>
        <v>7.8880000000000006E-2</v>
      </c>
      <c r="AB378" s="8">
        <v>400</v>
      </c>
      <c r="AC378" s="15">
        <v>27897801300289</v>
      </c>
      <c r="AD378" s="4" t="s">
        <v>992</v>
      </c>
    </row>
    <row r="379" spans="2:30" x14ac:dyDescent="0.35">
      <c r="B379" s="14">
        <v>593</v>
      </c>
      <c r="C379" s="4" t="s">
        <v>384</v>
      </c>
      <c r="D379" s="4" t="s">
        <v>2411</v>
      </c>
      <c r="E379" s="4" t="s">
        <v>2913</v>
      </c>
      <c r="F379" s="4" t="s">
        <v>85</v>
      </c>
      <c r="G379" s="4" t="s">
        <v>993</v>
      </c>
      <c r="H379" s="6">
        <v>1.4E-2</v>
      </c>
      <c r="I379" s="8">
        <v>48</v>
      </c>
      <c r="J379" s="8">
        <v>21</v>
      </c>
      <c r="K379" s="8">
        <v>48</v>
      </c>
      <c r="L379" s="8">
        <f t="shared" si="14"/>
        <v>48384</v>
      </c>
      <c r="M379" s="15">
        <v>7897801301411</v>
      </c>
      <c r="N379" s="6" t="s">
        <v>20</v>
      </c>
      <c r="O379" s="6" t="s">
        <v>20</v>
      </c>
      <c r="P379" s="6" t="s">
        <v>20</v>
      </c>
      <c r="Q379" s="6">
        <v>0.17</v>
      </c>
      <c r="R379" s="6">
        <v>0.05</v>
      </c>
      <c r="S379" s="6">
        <v>0.18</v>
      </c>
      <c r="T379" s="8">
        <v>10</v>
      </c>
      <c r="U379" s="5" t="s">
        <v>994</v>
      </c>
      <c r="V379" s="89">
        <v>0</v>
      </c>
      <c r="W379" s="15">
        <v>17897801301418</v>
      </c>
      <c r="X379" s="6">
        <v>0.55000000000000004</v>
      </c>
      <c r="Y379" s="6">
        <v>0.2</v>
      </c>
      <c r="Z379" s="6">
        <v>0.75</v>
      </c>
      <c r="AA379" s="6">
        <f t="shared" si="13"/>
        <v>8.2500000000000018E-2</v>
      </c>
      <c r="AB379" s="8">
        <v>1000</v>
      </c>
      <c r="AC379" s="15">
        <v>27897801301415</v>
      </c>
      <c r="AD379" s="4" t="s">
        <v>992</v>
      </c>
    </row>
    <row r="380" spans="2:30" x14ac:dyDescent="0.35">
      <c r="B380" s="14">
        <v>594</v>
      </c>
      <c r="C380" s="4" t="s">
        <v>385</v>
      </c>
      <c r="D380" s="4" t="s">
        <v>2370</v>
      </c>
      <c r="E380" s="4" t="s">
        <v>2913</v>
      </c>
      <c r="F380" s="4" t="s">
        <v>85</v>
      </c>
      <c r="G380" s="4" t="s">
        <v>993</v>
      </c>
      <c r="H380" s="6">
        <v>2.9000000000000001E-2</v>
      </c>
      <c r="I380" s="8">
        <v>63</v>
      </c>
      <c r="J380" s="8">
        <v>63</v>
      </c>
      <c r="K380" s="8">
        <v>41.1</v>
      </c>
      <c r="L380" s="8">
        <f t="shared" si="14"/>
        <v>163125.9</v>
      </c>
      <c r="M380" s="15">
        <v>7897801302425</v>
      </c>
      <c r="N380" s="6" t="s">
        <v>20</v>
      </c>
      <c r="O380" s="6" t="s">
        <v>20</v>
      </c>
      <c r="P380" s="6" t="s">
        <v>20</v>
      </c>
      <c r="Q380" s="6">
        <v>0.16</v>
      </c>
      <c r="R380" s="6">
        <v>6.5000000000000002E-2</v>
      </c>
      <c r="S380" s="6">
        <v>0.25</v>
      </c>
      <c r="T380" s="8">
        <v>10</v>
      </c>
      <c r="U380" s="5" t="s">
        <v>994</v>
      </c>
      <c r="V380" s="89">
        <v>0</v>
      </c>
      <c r="W380" s="15">
        <v>17897801302422</v>
      </c>
      <c r="X380" s="6">
        <v>0.45</v>
      </c>
      <c r="Y380" s="6">
        <v>0.3</v>
      </c>
      <c r="Z380" s="6">
        <v>0.78</v>
      </c>
      <c r="AA380" s="6">
        <f t="shared" si="13"/>
        <v>0.1053</v>
      </c>
      <c r="AB380" s="8">
        <v>420</v>
      </c>
      <c r="AC380" s="15">
        <v>27897801302429</v>
      </c>
      <c r="AD380" s="4" t="s">
        <v>992</v>
      </c>
    </row>
    <row r="381" spans="2:30" x14ac:dyDescent="0.35">
      <c r="B381" s="14">
        <v>595</v>
      </c>
      <c r="C381" s="4" t="s">
        <v>386</v>
      </c>
      <c r="D381" s="4" t="s">
        <v>2370</v>
      </c>
      <c r="E381" s="4" t="s">
        <v>2913</v>
      </c>
      <c r="F381" s="4" t="s">
        <v>85</v>
      </c>
      <c r="G381" s="4" t="s">
        <v>993</v>
      </c>
      <c r="H381" s="6">
        <v>5.0200000000000002E-2</v>
      </c>
      <c r="I381" s="8">
        <v>87.8</v>
      </c>
      <c r="J381" s="8">
        <v>87.8</v>
      </c>
      <c r="K381" s="8">
        <v>46.3</v>
      </c>
      <c r="L381" s="8">
        <f t="shared" si="14"/>
        <v>356919.29199999996</v>
      </c>
      <c r="M381" s="15">
        <v>7897801302432</v>
      </c>
      <c r="N381" s="6" t="s">
        <v>20</v>
      </c>
      <c r="O381" s="6" t="s">
        <v>20</v>
      </c>
      <c r="P381" s="6" t="s">
        <v>20</v>
      </c>
      <c r="Q381" s="6">
        <v>0.38</v>
      </c>
      <c r="R381" s="6">
        <v>8.5000000000000006E-2</v>
      </c>
      <c r="S381" s="6">
        <v>0.31</v>
      </c>
      <c r="T381" s="8">
        <v>10</v>
      </c>
      <c r="U381" s="5" t="s">
        <v>994</v>
      </c>
      <c r="V381" s="89">
        <v>0</v>
      </c>
      <c r="W381" s="15">
        <v>17897801302439</v>
      </c>
      <c r="X381" s="6">
        <v>0.52</v>
      </c>
      <c r="Y381" s="6">
        <v>0.24</v>
      </c>
      <c r="Z381" s="6">
        <v>0.84</v>
      </c>
      <c r="AA381" s="6">
        <f t="shared" si="13"/>
        <v>0.10483199999999999</v>
      </c>
      <c r="AB381" s="8">
        <v>200</v>
      </c>
      <c r="AC381" s="15">
        <v>27897801302436</v>
      </c>
      <c r="AD381" s="4" t="s">
        <v>992</v>
      </c>
    </row>
    <row r="382" spans="2:30" x14ac:dyDescent="0.35">
      <c r="B382" s="14">
        <v>596</v>
      </c>
      <c r="C382" s="4" t="s">
        <v>387</v>
      </c>
      <c r="D382" s="4" t="s">
        <v>2370</v>
      </c>
      <c r="E382" s="4" t="s">
        <v>2913</v>
      </c>
      <c r="F382" s="4" t="s">
        <v>85</v>
      </c>
      <c r="G382" s="4" t="s">
        <v>993</v>
      </c>
      <c r="H382" s="6">
        <v>8.3599999999999994E-2</v>
      </c>
      <c r="I382" s="8">
        <v>114.7</v>
      </c>
      <c r="J382" s="8">
        <v>114.7</v>
      </c>
      <c r="K382" s="8">
        <v>52.3</v>
      </c>
      <c r="L382" s="8">
        <f t="shared" si="14"/>
        <v>688063.50699999998</v>
      </c>
      <c r="M382" s="15">
        <v>7897801301831</v>
      </c>
      <c r="N382" s="6" t="s">
        <v>20</v>
      </c>
      <c r="O382" s="6" t="s">
        <v>20</v>
      </c>
      <c r="P382" s="6" t="s">
        <v>20</v>
      </c>
      <c r="Q382" s="6">
        <v>0.33</v>
      </c>
      <c r="R382" s="6">
        <v>0.12</v>
      </c>
      <c r="S382" s="6">
        <v>0.3</v>
      </c>
      <c r="T382" s="8">
        <v>10</v>
      </c>
      <c r="U382" s="5" t="s">
        <v>994</v>
      </c>
      <c r="V382" s="89">
        <v>0</v>
      </c>
      <c r="W382" s="15">
        <v>17897801301838</v>
      </c>
      <c r="X382" s="6" t="s">
        <v>20</v>
      </c>
      <c r="Y382" s="6" t="s">
        <v>20</v>
      </c>
      <c r="Z382" s="6" t="s">
        <v>20</v>
      </c>
      <c r="AA382" s="6"/>
      <c r="AB382" s="8">
        <v>0</v>
      </c>
      <c r="AC382" s="15">
        <v>27897801301835</v>
      </c>
      <c r="AD382" s="4" t="s">
        <v>992</v>
      </c>
    </row>
    <row r="383" spans="2:30" x14ac:dyDescent="0.35">
      <c r="B383" s="14">
        <v>597</v>
      </c>
      <c r="C383" s="4" t="s">
        <v>388</v>
      </c>
      <c r="D383" s="4" t="s">
        <v>2403</v>
      </c>
      <c r="E383" s="4" t="s">
        <v>2913</v>
      </c>
      <c r="F383" s="4" t="s">
        <v>85</v>
      </c>
      <c r="G383" s="4" t="s">
        <v>993</v>
      </c>
      <c r="H383" s="6">
        <v>0.25009999999999999</v>
      </c>
      <c r="I383" s="8">
        <v>174.2</v>
      </c>
      <c r="J383" s="8">
        <v>174.2</v>
      </c>
      <c r="K383" s="8">
        <v>66.5</v>
      </c>
      <c r="L383" s="8">
        <f t="shared" si="14"/>
        <v>2017985.0599999998</v>
      </c>
      <c r="M383" s="15">
        <v>7897801302913</v>
      </c>
      <c r="N383" s="6" t="s">
        <v>20</v>
      </c>
      <c r="O383" s="6" t="s">
        <v>20</v>
      </c>
      <c r="P383" s="6" t="s">
        <v>20</v>
      </c>
      <c r="Q383" s="6">
        <v>0.35</v>
      </c>
      <c r="R383" s="6">
        <v>0.08</v>
      </c>
      <c r="S383" s="6">
        <v>0.45</v>
      </c>
      <c r="T383" s="8">
        <v>5</v>
      </c>
      <c r="U383" s="5" t="s">
        <v>994</v>
      </c>
      <c r="V383" s="89">
        <v>0</v>
      </c>
      <c r="W383" s="15">
        <v>17897801302910</v>
      </c>
      <c r="X383" s="6" t="s">
        <v>20</v>
      </c>
      <c r="Y383" s="6" t="s">
        <v>20</v>
      </c>
      <c r="Z383" s="6" t="s">
        <v>20</v>
      </c>
      <c r="AA383" s="6"/>
      <c r="AB383" s="8">
        <v>0</v>
      </c>
      <c r="AC383" s="15">
        <v>27897801302917</v>
      </c>
      <c r="AD383" s="4" t="s">
        <v>992</v>
      </c>
    </row>
    <row r="384" spans="2:30" x14ac:dyDescent="0.35">
      <c r="B384" s="14">
        <v>598</v>
      </c>
      <c r="C384" s="4" t="s">
        <v>389</v>
      </c>
      <c r="D384" s="4" t="s">
        <v>2403</v>
      </c>
      <c r="E384" s="4" t="s">
        <v>2913</v>
      </c>
      <c r="F384" s="4" t="s">
        <v>85</v>
      </c>
      <c r="G384" s="4" t="s">
        <v>993</v>
      </c>
      <c r="H384" s="6">
        <v>0.47620000000000001</v>
      </c>
      <c r="I384" s="8">
        <v>235</v>
      </c>
      <c r="J384" s="8">
        <v>850</v>
      </c>
      <c r="K384" s="8">
        <v>235</v>
      </c>
      <c r="L384" s="8">
        <f t="shared" si="14"/>
        <v>46941250</v>
      </c>
      <c r="M384" s="15">
        <v>7897801312462</v>
      </c>
      <c r="N384" s="6" t="s">
        <v>20</v>
      </c>
      <c r="O384" s="6" t="s">
        <v>20</v>
      </c>
      <c r="P384" s="6" t="s">
        <v>20</v>
      </c>
      <c r="Q384" s="6">
        <v>0.45</v>
      </c>
      <c r="R384" s="6">
        <v>0.3</v>
      </c>
      <c r="S384" s="6">
        <v>0.68</v>
      </c>
      <c r="T384" s="8">
        <v>1</v>
      </c>
      <c r="U384" s="5" t="s">
        <v>994</v>
      </c>
      <c r="V384" s="89">
        <v>0</v>
      </c>
      <c r="W384" s="15">
        <v>17897801312469</v>
      </c>
      <c r="X384" s="6">
        <v>0.45</v>
      </c>
      <c r="Y384" s="6">
        <v>0.2</v>
      </c>
      <c r="Z384" s="6">
        <v>0.8</v>
      </c>
      <c r="AA384" s="6">
        <f>Y384*X384*Z384</f>
        <v>7.2000000000000008E-2</v>
      </c>
      <c r="AB384" s="8">
        <v>16</v>
      </c>
      <c r="AC384" s="15">
        <v>27897801312466</v>
      </c>
      <c r="AD384" s="4" t="s">
        <v>992</v>
      </c>
    </row>
    <row r="385" spans="2:30" x14ac:dyDescent="0.35">
      <c r="B385" s="14">
        <v>599</v>
      </c>
      <c r="C385" s="4" t="s">
        <v>390</v>
      </c>
      <c r="D385" s="4" t="s">
        <v>2411</v>
      </c>
      <c r="E385" s="4" t="s">
        <v>2913</v>
      </c>
      <c r="F385" s="4" t="s">
        <v>85</v>
      </c>
      <c r="G385" s="4" t="s">
        <v>993</v>
      </c>
      <c r="H385" s="6">
        <v>3.8899999999999997E-2</v>
      </c>
      <c r="I385" s="8">
        <v>87</v>
      </c>
      <c r="J385" s="8">
        <v>46</v>
      </c>
      <c r="K385" s="8">
        <v>87</v>
      </c>
      <c r="L385" s="8">
        <f t="shared" si="14"/>
        <v>348174</v>
      </c>
      <c r="M385" s="15">
        <v>7897801302449</v>
      </c>
      <c r="N385" s="6" t="s">
        <v>20</v>
      </c>
      <c r="O385" s="6" t="s">
        <v>20</v>
      </c>
      <c r="P385" s="6" t="s">
        <v>20</v>
      </c>
      <c r="Q385" s="6">
        <v>0.26</v>
      </c>
      <c r="R385" s="6">
        <v>0.08</v>
      </c>
      <c r="S385" s="6">
        <v>0.37</v>
      </c>
      <c r="T385" s="8">
        <v>25</v>
      </c>
      <c r="U385" s="5" t="s">
        <v>994</v>
      </c>
      <c r="V385" s="89">
        <v>0</v>
      </c>
      <c r="W385" s="15">
        <v>17897801302446</v>
      </c>
      <c r="X385" s="6">
        <v>0.5</v>
      </c>
      <c r="Y385" s="6">
        <v>0.25</v>
      </c>
      <c r="Z385" s="6">
        <v>0.8</v>
      </c>
      <c r="AA385" s="6">
        <f>Y385*X385*Z385</f>
        <v>0.1</v>
      </c>
      <c r="AB385" s="8">
        <v>300</v>
      </c>
      <c r="AC385" s="15">
        <v>27897801302443</v>
      </c>
      <c r="AD385" s="4" t="s">
        <v>992</v>
      </c>
    </row>
    <row r="386" spans="2:30" x14ac:dyDescent="0.35">
      <c r="B386" s="14">
        <v>600</v>
      </c>
      <c r="C386" s="4" t="s">
        <v>391</v>
      </c>
      <c r="D386" s="4" t="s">
        <v>2370</v>
      </c>
      <c r="E386" s="4" t="s">
        <v>2913</v>
      </c>
      <c r="F386" s="4" t="s">
        <v>85</v>
      </c>
      <c r="G386" s="4" t="s">
        <v>993</v>
      </c>
      <c r="H386" s="6">
        <v>7.1099999999999997E-2</v>
      </c>
      <c r="I386" s="8">
        <v>94.85</v>
      </c>
      <c r="J386" s="8">
        <v>63</v>
      </c>
      <c r="K386" s="8">
        <v>94.85</v>
      </c>
      <c r="L386" s="8">
        <f t="shared" si="14"/>
        <v>566780.91749999986</v>
      </c>
      <c r="M386" s="15">
        <v>7897801302401</v>
      </c>
      <c r="N386" s="6" t="s">
        <v>20</v>
      </c>
      <c r="O386" s="6" t="s">
        <v>20</v>
      </c>
      <c r="P386" s="6" t="s">
        <v>20</v>
      </c>
      <c r="Q386" s="6">
        <v>0.34</v>
      </c>
      <c r="R386" s="6">
        <v>0.12</v>
      </c>
      <c r="S386" s="6">
        <v>0.43</v>
      </c>
      <c r="T386" s="8">
        <v>20</v>
      </c>
      <c r="U386" s="5" t="s">
        <v>994</v>
      </c>
      <c r="V386" s="89">
        <v>0</v>
      </c>
      <c r="W386" s="15">
        <v>17897801302408</v>
      </c>
      <c r="X386" s="6">
        <v>0.56999999999999995</v>
      </c>
      <c r="Y386" s="6">
        <v>0.26</v>
      </c>
      <c r="Z386" s="6">
        <v>0.76</v>
      </c>
      <c r="AA386" s="6">
        <f>Y386*X386*Z386</f>
        <v>0.112632</v>
      </c>
      <c r="AB386" s="8">
        <v>140</v>
      </c>
      <c r="AC386" s="15">
        <v>27897801302405</v>
      </c>
      <c r="AD386" s="4" t="s">
        <v>992</v>
      </c>
    </row>
    <row r="387" spans="2:30" x14ac:dyDescent="0.35">
      <c r="B387" s="14">
        <v>601</v>
      </c>
      <c r="C387" s="4" t="s">
        <v>392</v>
      </c>
      <c r="D387" s="4" t="s">
        <v>2370</v>
      </c>
      <c r="E387" s="4" t="s">
        <v>2913</v>
      </c>
      <c r="F387" s="4" t="s">
        <v>85</v>
      </c>
      <c r="G387" s="4" t="s">
        <v>993</v>
      </c>
      <c r="H387" s="6">
        <v>0.1313</v>
      </c>
      <c r="I387" s="8">
        <v>148.75</v>
      </c>
      <c r="J387" s="8">
        <v>88.2</v>
      </c>
      <c r="K387" s="8">
        <v>148.75</v>
      </c>
      <c r="L387" s="8">
        <f t="shared" si="14"/>
        <v>1951562.8125</v>
      </c>
      <c r="M387" s="15">
        <v>7897801302616</v>
      </c>
      <c r="N387" s="6" t="s">
        <v>20</v>
      </c>
      <c r="O387" s="6" t="s">
        <v>20</v>
      </c>
      <c r="P387" s="6" t="s">
        <v>20</v>
      </c>
      <c r="Q387" s="6">
        <v>0.4</v>
      </c>
      <c r="R387" s="6">
        <v>0.15</v>
      </c>
      <c r="S387" s="6">
        <v>0.52</v>
      </c>
      <c r="T387" s="8">
        <v>10</v>
      </c>
      <c r="U387" s="5" t="s">
        <v>994</v>
      </c>
      <c r="V387" s="89">
        <v>0</v>
      </c>
      <c r="W387" s="15">
        <v>17897801302613</v>
      </c>
      <c r="X387" s="6" t="s">
        <v>20</v>
      </c>
      <c r="Y387" s="6" t="s">
        <v>20</v>
      </c>
      <c r="Z387" s="6" t="s">
        <v>20</v>
      </c>
      <c r="AA387" s="6"/>
      <c r="AB387" s="8">
        <v>0</v>
      </c>
      <c r="AC387" s="15">
        <v>27897801302610</v>
      </c>
      <c r="AD387" s="4" t="s">
        <v>992</v>
      </c>
    </row>
    <row r="388" spans="2:30" x14ac:dyDescent="0.35">
      <c r="B388" s="14">
        <v>602</v>
      </c>
      <c r="C388" s="4" t="s">
        <v>393</v>
      </c>
      <c r="D388" s="4" t="s">
        <v>2370</v>
      </c>
      <c r="E388" s="4" t="s">
        <v>2913</v>
      </c>
      <c r="F388" s="4" t="s">
        <v>85</v>
      </c>
      <c r="G388" s="4" t="s">
        <v>993</v>
      </c>
      <c r="H388" s="6">
        <v>0.25659999999999999</v>
      </c>
      <c r="I388" s="8">
        <v>240</v>
      </c>
      <c r="J388" s="8">
        <v>115</v>
      </c>
      <c r="K388" s="8">
        <v>180</v>
      </c>
      <c r="L388" s="8">
        <f t="shared" si="14"/>
        <v>4968000</v>
      </c>
      <c r="M388" s="15">
        <v>7897801302135</v>
      </c>
      <c r="N388" s="6" t="s">
        <v>20</v>
      </c>
      <c r="O388" s="6" t="s">
        <v>20</v>
      </c>
      <c r="P388" s="6" t="s">
        <v>20</v>
      </c>
      <c r="Q388" s="6">
        <v>0.4</v>
      </c>
      <c r="R388" s="6">
        <v>0.2</v>
      </c>
      <c r="S388" s="6">
        <v>0.56999999999999995</v>
      </c>
      <c r="T388" s="8">
        <v>10</v>
      </c>
      <c r="U388" s="5" t="s">
        <v>994</v>
      </c>
      <c r="V388" s="89">
        <v>0</v>
      </c>
      <c r="W388" s="15">
        <v>17897801302132</v>
      </c>
      <c r="X388" s="6" t="s">
        <v>20</v>
      </c>
      <c r="Y388" s="6" t="s">
        <v>20</v>
      </c>
      <c r="Z388" s="6" t="s">
        <v>20</v>
      </c>
      <c r="AA388" s="6"/>
      <c r="AB388" s="8">
        <v>0</v>
      </c>
      <c r="AC388" s="15">
        <v>27897801302139</v>
      </c>
      <c r="AD388" s="4" t="s">
        <v>992</v>
      </c>
    </row>
    <row r="389" spans="2:30" x14ac:dyDescent="0.35">
      <c r="B389" s="14">
        <v>606</v>
      </c>
      <c r="C389" s="4" t="s">
        <v>394</v>
      </c>
      <c r="D389" s="4" t="s">
        <v>2411</v>
      </c>
      <c r="E389" s="4" t="s">
        <v>2913</v>
      </c>
      <c r="F389" s="4" t="s">
        <v>85</v>
      </c>
      <c r="G389" s="4" t="s">
        <v>993</v>
      </c>
      <c r="H389" s="6">
        <v>6.0400000000000002E-2</v>
      </c>
      <c r="I389" s="8">
        <v>240</v>
      </c>
      <c r="J389" s="8">
        <v>80</v>
      </c>
      <c r="K389" s="8">
        <v>43</v>
      </c>
      <c r="L389" s="8">
        <f t="shared" si="14"/>
        <v>825600</v>
      </c>
      <c r="M389" s="15">
        <v>7897801310888</v>
      </c>
      <c r="N389" s="6" t="s">
        <v>20</v>
      </c>
      <c r="O389" s="6" t="s">
        <v>20</v>
      </c>
      <c r="P389" s="6" t="s">
        <v>20</v>
      </c>
      <c r="Q389" s="6">
        <v>0.25</v>
      </c>
      <c r="R389" s="6">
        <v>0.1</v>
      </c>
      <c r="S389" s="6">
        <v>0.28999999999999998</v>
      </c>
      <c r="T389" s="8">
        <v>10</v>
      </c>
      <c r="U389" s="5" t="s">
        <v>994</v>
      </c>
      <c r="V389" s="89">
        <v>0</v>
      </c>
      <c r="W389" s="15">
        <v>17897801310885</v>
      </c>
      <c r="X389" s="6">
        <v>0.41499999999999998</v>
      </c>
      <c r="Y389" s="6">
        <v>0.2</v>
      </c>
      <c r="Z389" s="6">
        <v>0.7</v>
      </c>
      <c r="AA389" s="6">
        <f>Y389*X389*Z389</f>
        <v>5.8099999999999999E-2</v>
      </c>
      <c r="AB389" s="8">
        <v>80</v>
      </c>
      <c r="AC389" s="15">
        <v>27897801310882</v>
      </c>
      <c r="AD389" s="4" t="s">
        <v>992</v>
      </c>
    </row>
    <row r="390" spans="2:30" x14ac:dyDescent="0.35">
      <c r="B390" s="14">
        <v>607</v>
      </c>
      <c r="C390" s="4" t="s">
        <v>395</v>
      </c>
      <c r="D390" s="4" t="s">
        <v>2370</v>
      </c>
      <c r="E390" s="4" t="s">
        <v>2913</v>
      </c>
      <c r="F390" s="4" t="s">
        <v>85</v>
      </c>
      <c r="G390" s="4" t="s">
        <v>993</v>
      </c>
      <c r="H390" s="6">
        <v>0.1051</v>
      </c>
      <c r="I390" s="8">
        <v>250</v>
      </c>
      <c r="J390" s="8">
        <v>51</v>
      </c>
      <c r="K390" s="8">
        <v>51</v>
      </c>
      <c r="L390" s="8">
        <f t="shared" si="14"/>
        <v>650250</v>
      </c>
      <c r="M390" s="15">
        <v>7897801310895</v>
      </c>
      <c r="N390" s="6" t="s">
        <v>20</v>
      </c>
      <c r="O390" s="6" t="s">
        <v>20</v>
      </c>
      <c r="P390" s="6" t="s">
        <v>20</v>
      </c>
      <c r="Q390" s="6">
        <v>0.26</v>
      </c>
      <c r="R390" s="6">
        <v>6.5000000000000002E-2</v>
      </c>
      <c r="S390" s="6">
        <v>0.35</v>
      </c>
      <c r="T390" s="8">
        <v>5</v>
      </c>
      <c r="U390" s="5" t="s">
        <v>994</v>
      </c>
      <c r="V390" s="89">
        <v>0</v>
      </c>
      <c r="W390" s="15">
        <v>17897801310892</v>
      </c>
      <c r="X390" s="6">
        <v>0.56999999999999995</v>
      </c>
      <c r="Y390" s="6">
        <v>0.25</v>
      </c>
      <c r="Z390" s="6">
        <v>0.75</v>
      </c>
      <c r="AA390" s="6">
        <f>Y390*X390*Z390</f>
        <v>0.106875</v>
      </c>
      <c r="AB390" s="8">
        <v>40</v>
      </c>
      <c r="AC390" s="15">
        <v>27897801310899</v>
      </c>
      <c r="AD390" s="4" t="s">
        <v>992</v>
      </c>
    </row>
    <row r="391" spans="2:30" x14ac:dyDescent="0.35">
      <c r="B391" s="14">
        <v>608</v>
      </c>
      <c r="C391" s="4" t="s">
        <v>396</v>
      </c>
      <c r="D391" s="4" t="s">
        <v>2370</v>
      </c>
      <c r="E391" s="4" t="s">
        <v>2913</v>
      </c>
      <c r="F391" s="4" t="s">
        <v>85</v>
      </c>
      <c r="G391" s="4" t="s">
        <v>993</v>
      </c>
      <c r="H391" s="6">
        <v>0.20899999999999999</v>
      </c>
      <c r="I391" s="8">
        <v>360</v>
      </c>
      <c r="J391" s="8">
        <v>100</v>
      </c>
      <c r="K391" s="8">
        <v>80</v>
      </c>
      <c r="L391" s="8">
        <f t="shared" si="14"/>
        <v>2880000</v>
      </c>
      <c r="M391" s="15">
        <v>7897801310901</v>
      </c>
      <c r="N391" s="6" t="s">
        <v>20</v>
      </c>
      <c r="O391" s="6" t="s">
        <v>20</v>
      </c>
      <c r="P391" s="6" t="s">
        <v>20</v>
      </c>
      <c r="Q391" s="6">
        <v>0.34</v>
      </c>
      <c r="R391" s="6">
        <v>0.155</v>
      </c>
      <c r="S391" s="6">
        <v>0.46</v>
      </c>
      <c r="T391" s="8">
        <v>5</v>
      </c>
      <c r="U391" s="5" t="s">
        <v>994</v>
      </c>
      <c r="V391" s="89">
        <v>0</v>
      </c>
      <c r="W391" s="15">
        <v>17897801310908</v>
      </c>
      <c r="X391" s="6" t="s">
        <v>20</v>
      </c>
      <c r="Y391" s="6" t="s">
        <v>20</v>
      </c>
      <c r="Z391" s="6" t="s">
        <v>20</v>
      </c>
      <c r="AA391" s="6"/>
      <c r="AB391" s="8">
        <v>0</v>
      </c>
      <c r="AC391" s="15">
        <v>27897801310905</v>
      </c>
      <c r="AD391" s="4" t="s">
        <v>992</v>
      </c>
    </row>
    <row r="392" spans="2:30" x14ac:dyDescent="0.35">
      <c r="B392" s="14">
        <v>609</v>
      </c>
      <c r="C392" s="4" t="s">
        <v>397</v>
      </c>
      <c r="D392" s="4" t="s">
        <v>2370</v>
      </c>
      <c r="E392" s="4" t="s">
        <v>2913</v>
      </c>
      <c r="F392" s="4" t="s">
        <v>85</v>
      </c>
      <c r="G392" s="4" t="s">
        <v>993</v>
      </c>
      <c r="H392" s="6">
        <v>0.37780000000000002</v>
      </c>
      <c r="I392" s="8">
        <v>102</v>
      </c>
      <c r="J392" s="8">
        <v>400</v>
      </c>
      <c r="K392" s="8">
        <v>210</v>
      </c>
      <c r="L392" s="8">
        <f t="shared" si="14"/>
        <v>8568000</v>
      </c>
      <c r="M392" s="15">
        <v>7897801310918</v>
      </c>
      <c r="N392" s="6" t="s">
        <v>20</v>
      </c>
      <c r="O392" s="6" t="s">
        <v>20</v>
      </c>
      <c r="P392" s="6" t="s">
        <v>20</v>
      </c>
      <c r="Q392" s="6">
        <v>0.47</v>
      </c>
      <c r="R392" s="6">
        <v>0.22</v>
      </c>
      <c r="S392" s="6">
        <v>0.67</v>
      </c>
      <c r="T392" s="8">
        <v>5</v>
      </c>
      <c r="U392" s="5" t="s">
        <v>994</v>
      </c>
      <c r="V392" s="89">
        <v>0</v>
      </c>
      <c r="W392" s="15">
        <v>17897801310915</v>
      </c>
      <c r="X392" s="6" t="s">
        <v>20</v>
      </c>
      <c r="Y392" s="6" t="s">
        <v>20</v>
      </c>
      <c r="Z392" s="6" t="s">
        <v>20</v>
      </c>
      <c r="AA392" s="6"/>
      <c r="AB392" s="8">
        <v>0</v>
      </c>
      <c r="AC392" s="15">
        <v>27897801310912</v>
      </c>
      <c r="AD392" s="4" t="s">
        <v>992</v>
      </c>
    </row>
    <row r="393" spans="2:30" x14ac:dyDescent="0.35">
      <c r="B393" s="14">
        <v>610</v>
      </c>
      <c r="C393" s="4" t="s">
        <v>398</v>
      </c>
      <c r="D393" s="4" t="s">
        <v>2422</v>
      </c>
      <c r="E393" s="4" t="s">
        <v>2913</v>
      </c>
      <c r="F393" s="4" t="s">
        <v>85</v>
      </c>
      <c r="G393" s="4" t="s">
        <v>993</v>
      </c>
      <c r="H393" s="6">
        <v>1.157</v>
      </c>
      <c r="I393" s="8">
        <v>152</v>
      </c>
      <c r="J393" s="8">
        <v>600</v>
      </c>
      <c r="K393" s="8">
        <v>610</v>
      </c>
      <c r="L393" s="8">
        <f t="shared" si="14"/>
        <v>55632000</v>
      </c>
      <c r="M393" s="15">
        <v>7897801310925</v>
      </c>
      <c r="N393" s="6" t="s">
        <v>20</v>
      </c>
      <c r="O393" s="6" t="s">
        <v>20</v>
      </c>
      <c r="P393" s="6" t="s">
        <v>20</v>
      </c>
      <c r="Q393" s="6">
        <v>0.375</v>
      </c>
      <c r="R393" s="6">
        <v>0.17</v>
      </c>
      <c r="S393" s="6">
        <v>0.61499999999999999</v>
      </c>
      <c r="T393" s="8">
        <v>1</v>
      </c>
      <c r="U393" s="5" t="s">
        <v>994</v>
      </c>
      <c r="V393" s="89">
        <v>0</v>
      </c>
      <c r="W393" s="15">
        <v>17897801310922</v>
      </c>
      <c r="X393" s="6">
        <v>56</v>
      </c>
      <c r="Y393" s="6">
        <v>23</v>
      </c>
      <c r="Z393" s="6">
        <v>79</v>
      </c>
      <c r="AA393" s="6">
        <f>Y393*X393*Z393</f>
        <v>101752</v>
      </c>
      <c r="AB393" s="8">
        <v>0</v>
      </c>
      <c r="AC393" s="15">
        <v>27897801310929</v>
      </c>
      <c r="AD393" s="4" t="s">
        <v>992</v>
      </c>
    </row>
    <row r="394" spans="2:30" x14ac:dyDescent="0.35">
      <c r="B394" s="14">
        <v>611</v>
      </c>
      <c r="C394" s="4" t="s">
        <v>399</v>
      </c>
      <c r="D394" s="4" t="s">
        <v>2411</v>
      </c>
      <c r="E394" s="4" t="s">
        <v>2913</v>
      </c>
      <c r="F394" s="4" t="s">
        <v>85</v>
      </c>
      <c r="G394" s="4" t="s">
        <v>993</v>
      </c>
      <c r="H394" s="6">
        <v>1.9599999999999999E-2</v>
      </c>
      <c r="I394" s="8">
        <v>60</v>
      </c>
      <c r="J394" s="8">
        <v>45</v>
      </c>
      <c r="K394" s="8">
        <v>45</v>
      </c>
      <c r="L394" s="8">
        <f t="shared" si="14"/>
        <v>121500</v>
      </c>
      <c r="M394" s="15">
        <v>7897801301275</v>
      </c>
      <c r="N394" s="6" t="s">
        <v>20</v>
      </c>
      <c r="O394" s="6" t="s">
        <v>20</v>
      </c>
      <c r="P394" s="6" t="s">
        <v>20</v>
      </c>
      <c r="Q394" s="6">
        <v>0.26</v>
      </c>
      <c r="R394" s="6">
        <v>0.06</v>
      </c>
      <c r="S394" s="6">
        <v>0.31</v>
      </c>
      <c r="T394" s="8">
        <v>25</v>
      </c>
      <c r="U394" s="5" t="s">
        <v>994</v>
      </c>
      <c r="V394" s="89">
        <v>0</v>
      </c>
      <c r="W394" s="15">
        <v>17897801301272</v>
      </c>
      <c r="X394" s="6">
        <v>0.54</v>
      </c>
      <c r="Y394" s="6">
        <v>0.25</v>
      </c>
      <c r="Z394" s="6">
        <v>0.78</v>
      </c>
      <c r="AA394" s="6">
        <f>Y394*X394*Z394</f>
        <v>0.1053</v>
      </c>
      <c r="AB394" s="8">
        <v>500</v>
      </c>
      <c r="AC394" s="15">
        <v>27897801301279</v>
      </c>
      <c r="AD394" s="4" t="s">
        <v>992</v>
      </c>
    </row>
    <row r="395" spans="2:30" x14ac:dyDescent="0.35">
      <c r="B395" s="14">
        <v>612</v>
      </c>
      <c r="C395" s="4" t="s">
        <v>400</v>
      </c>
      <c r="D395" s="4" t="s">
        <v>2370</v>
      </c>
      <c r="E395" s="4" t="s">
        <v>2913</v>
      </c>
      <c r="F395" s="4" t="s">
        <v>85</v>
      </c>
      <c r="G395" s="4" t="s">
        <v>993</v>
      </c>
      <c r="H395" s="6">
        <v>5.0299999999999997E-2</v>
      </c>
      <c r="I395" s="8">
        <v>54.5</v>
      </c>
      <c r="J395" s="8">
        <v>63</v>
      </c>
      <c r="K395" s="8">
        <v>120</v>
      </c>
      <c r="L395" s="8">
        <f t="shared" si="14"/>
        <v>412020</v>
      </c>
      <c r="M395" s="15">
        <v>7897801301763</v>
      </c>
      <c r="N395" s="6" t="s">
        <v>20</v>
      </c>
      <c r="O395" s="6" t="s">
        <v>20</v>
      </c>
      <c r="P395" s="6" t="s">
        <v>20</v>
      </c>
      <c r="Q395" s="6">
        <v>0.34</v>
      </c>
      <c r="R395" s="6">
        <v>0.11</v>
      </c>
      <c r="S395" s="6">
        <v>0.42</v>
      </c>
      <c r="T395" s="8">
        <v>25</v>
      </c>
      <c r="U395" s="5" t="s">
        <v>994</v>
      </c>
      <c r="V395" s="89">
        <v>0</v>
      </c>
      <c r="W395" s="15">
        <v>17897801301760</v>
      </c>
      <c r="X395" s="6">
        <v>0.5</v>
      </c>
      <c r="Y395" s="6">
        <v>0.2</v>
      </c>
      <c r="Z395" s="6">
        <v>0.75</v>
      </c>
      <c r="AA395" s="6">
        <f>Y395*X395*Z395</f>
        <v>7.5000000000000011E-2</v>
      </c>
      <c r="AB395" s="8">
        <v>200</v>
      </c>
      <c r="AC395" s="15">
        <v>27897801301767</v>
      </c>
      <c r="AD395" s="4" t="s">
        <v>992</v>
      </c>
    </row>
    <row r="396" spans="2:30" x14ac:dyDescent="0.35">
      <c r="B396" s="14">
        <v>613</v>
      </c>
      <c r="C396" s="4" t="s">
        <v>401</v>
      </c>
      <c r="D396" s="4" t="s">
        <v>2370</v>
      </c>
      <c r="E396" s="4" t="s">
        <v>2913</v>
      </c>
      <c r="F396" s="4" t="s">
        <v>85</v>
      </c>
      <c r="G396" s="4" t="s">
        <v>993</v>
      </c>
      <c r="H396" s="6">
        <v>8.2500000000000004E-2</v>
      </c>
      <c r="I396" s="8">
        <v>90</v>
      </c>
      <c r="J396" s="8">
        <v>110.5</v>
      </c>
      <c r="K396" s="8">
        <v>150</v>
      </c>
      <c r="L396" s="8">
        <f t="shared" si="14"/>
        <v>1491750</v>
      </c>
      <c r="M396" s="15">
        <v>7897801301770</v>
      </c>
      <c r="N396" s="6" t="s">
        <v>20</v>
      </c>
      <c r="O396" s="6" t="s">
        <v>20</v>
      </c>
      <c r="P396" s="6" t="s">
        <v>20</v>
      </c>
      <c r="Q396" s="6">
        <v>0.3</v>
      </c>
      <c r="R396" s="6">
        <v>0.1</v>
      </c>
      <c r="S396" s="6">
        <v>0.4</v>
      </c>
      <c r="T396" s="8">
        <v>10</v>
      </c>
      <c r="U396" s="5" t="s">
        <v>994</v>
      </c>
      <c r="V396" s="89">
        <v>0</v>
      </c>
      <c r="W396" s="15">
        <v>17897801301777</v>
      </c>
      <c r="X396" s="6" t="s">
        <v>20</v>
      </c>
      <c r="Y396" s="6" t="s">
        <v>20</v>
      </c>
      <c r="Z396" s="6" t="s">
        <v>20</v>
      </c>
      <c r="AA396" s="6"/>
      <c r="AB396" s="8">
        <v>0</v>
      </c>
      <c r="AC396" s="15">
        <v>27897801301774</v>
      </c>
      <c r="AD396" s="4" t="s">
        <v>992</v>
      </c>
    </row>
    <row r="397" spans="2:30" x14ac:dyDescent="0.35">
      <c r="B397" s="14">
        <v>614</v>
      </c>
      <c r="C397" s="4" t="s">
        <v>402</v>
      </c>
      <c r="D397" s="4" t="s">
        <v>2370</v>
      </c>
      <c r="E397" s="4" t="s">
        <v>2913</v>
      </c>
      <c r="F397" s="4" t="s">
        <v>85</v>
      </c>
      <c r="G397" s="4" t="s">
        <v>993</v>
      </c>
      <c r="H397" s="6">
        <v>0.16300000000000001</v>
      </c>
      <c r="I397" s="8">
        <v>115</v>
      </c>
      <c r="J397" s="8">
        <v>140.5</v>
      </c>
      <c r="K397" s="8">
        <v>180</v>
      </c>
      <c r="L397" s="8">
        <f t="shared" si="14"/>
        <v>2908350</v>
      </c>
      <c r="M397" s="15">
        <v>7897801301640</v>
      </c>
      <c r="N397" s="6" t="s">
        <v>20</v>
      </c>
      <c r="O397" s="6" t="s">
        <v>20</v>
      </c>
      <c r="P397" s="6" t="s">
        <v>20</v>
      </c>
      <c r="Q397" s="6">
        <v>0.43</v>
      </c>
      <c r="R397" s="6">
        <v>0.115</v>
      </c>
      <c r="S397" s="6">
        <v>0.53</v>
      </c>
      <c r="T397" s="8">
        <v>10</v>
      </c>
      <c r="U397" s="5" t="s">
        <v>994</v>
      </c>
      <c r="V397" s="89">
        <v>0</v>
      </c>
      <c r="W397" s="15">
        <v>17897801301647</v>
      </c>
      <c r="X397" s="6" t="s">
        <v>20</v>
      </c>
      <c r="Y397" s="6" t="s">
        <v>20</v>
      </c>
      <c r="Z397" s="6" t="s">
        <v>20</v>
      </c>
      <c r="AA397" s="6"/>
      <c r="AB397" s="8">
        <v>0</v>
      </c>
      <c r="AC397" s="15">
        <v>27897801301644</v>
      </c>
      <c r="AD397" s="4" t="s">
        <v>992</v>
      </c>
    </row>
    <row r="398" spans="2:30" x14ac:dyDescent="0.35">
      <c r="B398" s="14">
        <v>615</v>
      </c>
      <c r="C398" s="4" t="s">
        <v>403</v>
      </c>
      <c r="D398" s="4" t="s">
        <v>2403</v>
      </c>
      <c r="E398" s="4" t="s">
        <v>2913</v>
      </c>
      <c r="F398" s="4" t="s">
        <v>85</v>
      </c>
      <c r="G398" s="4" t="s">
        <v>993</v>
      </c>
      <c r="H398" s="6">
        <v>0.47270000000000001</v>
      </c>
      <c r="I398" s="8">
        <v>200.5</v>
      </c>
      <c r="J398" s="8">
        <v>169</v>
      </c>
      <c r="K398" s="8">
        <v>250</v>
      </c>
      <c r="L398" s="8">
        <f t="shared" si="14"/>
        <v>8471125</v>
      </c>
      <c r="M398" s="15">
        <v>7897801302920</v>
      </c>
      <c r="N398" s="6" t="s">
        <v>20</v>
      </c>
      <c r="O398" s="6" t="s">
        <v>20</v>
      </c>
      <c r="P398" s="6" t="s">
        <v>20</v>
      </c>
      <c r="Q398" s="6">
        <v>0.36</v>
      </c>
      <c r="R398" s="6">
        <v>0.18</v>
      </c>
      <c r="S398" s="6">
        <v>0.5</v>
      </c>
      <c r="T398" s="8">
        <v>5</v>
      </c>
      <c r="U398" s="5" t="s">
        <v>994</v>
      </c>
      <c r="V398" s="89">
        <v>0</v>
      </c>
      <c r="W398" s="15">
        <v>17897801302927</v>
      </c>
      <c r="X398" s="6" t="s">
        <v>20</v>
      </c>
      <c r="Y398" s="6" t="s">
        <v>20</v>
      </c>
      <c r="Z398" s="6" t="s">
        <v>20</v>
      </c>
      <c r="AA398" s="6"/>
      <c r="AB398" s="8">
        <v>0</v>
      </c>
      <c r="AC398" s="15">
        <v>27897801302924</v>
      </c>
      <c r="AD398" s="4" t="s">
        <v>992</v>
      </c>
    </row>
    <row r="399" spans="2:30" x14ac:dyDescent="0.35">
      <c r="B399" s="14">
        <v>616</v>
      </c>
      <c r="C399" s="4" t="s">
        <v>404</v>
      </c>
      <c r="D399" s="4" t="s">
        <v>2411</v>
      </c>
      <c r="E399" s="4" t="s">
        <v>2913</v>
      </c>
      <c r="F399" s="4" t="s">
        <v>85</v>
      </c>
      <c r="G399" s="4" t="s">
        <v>993</v>
      </c>
      <c r="H399" s="6">
        <v>2.7E-2</v>
      </c>
      <c r="I399" s="8">
        <v>67</v>
      </c>
      <c r="J399" s="8">
        <v>46</v>
      </c>
      <c r="K399" s="8">
        <v>67</v>
      </c>
      <c r="L399" s="8">
        <f t="shared" ref="L399:L408" si="15">J399*I399*K399</f>
        <v>206494</v>
      </c>
      <c r="M399" s="15">
        <v>7897801300339</v>
      </c>
      <c r="N399" s="6" t="s">
        <v>20</v>
      </c>
      <c r="O399" s="6" t="s">
        <v>20</v>
      </c>
      <c r="P399" s="6" t="s">
        <v>20</v>
      </c>
      <c r="Q399" s="6">
        <v>0.34</v>
      </c>
      <c r="R399" s="6">
        <v>0.13</v>
      </c>
      <c r="S399" s="6">
        <v>0.34</v>
      </c>
      <c r="T399" s="8">
        <v>50</v>
      </c>
      <c r="U399" s="5" t="s">
        <v>994</v>
      </c>
      <c r="V399" s="89">
        <v>0</v>
      </c>
      <c r="W399" s="15">
        <v>17897801300336</v>
      </c>
      <c r="X399" s="6">
        <v>0.53</v>
      </c>
      <c r="Y399" s="6">
        <v>0.25</v>
      </c>
      <c r="Z399" s="6">
        <v>0.75</v>
      </c>
      <c r="AA399" s="6">
        <f>Y399*X399*Z399</f>
        <v>9.9375000000000005E-2</v>
      </c>
      <c r="AB399" s="8">
        <v>400</v>
      </c>
      <c r="AC399" s="15">
        <v>27897801300333</v>
      </c>
      <c r="AD399" s="4" t="s">
        <v>992</v>
      </c>
    </row>
    <row r="400" spans="2:30" x14ac:dyDescent="0.35">
      <c r="B400" s="14">
        <v>617</v>
      </c>
      <c r="C400" s="4" t="s">
        <v>405</v>
      </c>
      <c r="D400" s="4" t="s">
        <v>2370</v>
      </c>
      <c r="E400" s="4" t="s">
        <v>2913</v>
      </c>
      <c r="F400" s="4" t="s">
        <v>85</v>
      </c>
      <c r="G400" s="4" t="s">
        <v>993</v>
      </c>
      <c r="H400" s="6">
        <v>6.2199999999999998E-2</v>
      </c>
      <c r="I400" s="8">
        <v>101.5</v>
      </c>
      <c r="J400" s="8">
        <v>63</v>
      </c>
      <c r="K400" s="8">
        <v>101.5</v>
      </c>
      <c r="L400" s="8">
        <f t="shared" si="15"/>
        <v>649041.75</v>
      </c>
      <c r="M400" s="15">
        <v>7897801301145</v>
      </c>
      <c r="N400" s="6" t="s">
        <v>20</v>
      </c>
      <c r="O400" s="6" t="s">
        <v>20</v>
      </c>
      <c r="P400" s="6" t="s">
        <v>20</v>
      </c>
      <c r="Q400" s="6">
        <v>0.31</v>
      </c>
      <c r="R400" s="6">
        <v>0.15</v>
      </c>
      <c r="S400" s="6">
        <v>0.41</v>
      </c>
      <c r="T400" s="8">
        <v>25</v>
      </c>
      <c r="U400" s="5" t="s">
        <v>994</v>
      </c>
      <c r="V400" s="89">
        <v>0</v>
      </c>
      <c r="W400" s="15">
        <v>17897801301142</v>
      </c>
      <c r="X400" s="6">
        <v>0.57999999999999996</v>
      </c>
      <c r="Y400" s="6">
        <v>0.23</v>
      </c>
      <c r="Z400" s="6">
        <v>0.81</v>
      </c>
      <c r="AA400" s="6">
        <f>Y400*X400*Z400</f>
        <v>0.108054</v>
      </c>
      <c r="AB400" s="8">
        <v>175</v>
      </c>
      <c r="AC400" s="15">
        <v>27897801301149</v>
      </c>
      <c r="AD400" s="4" t="s">
        <v>992</v>
      </c>
    </row>
    <row r="401" spans="2:30" x14ac:dyDescent="0.35">
      <c r="B401" s="14">
        <v>618</v>
      </c>
      <c r="C401" s="4" t="s">
        <v>406</v>
      </c>
      <c r="D401" s="4" t="s">
        <v>2370</v>
      </c>
      <c r="E401" s="4" t="s">
        <v>2913</v>
      </c>
      <c r="F401" s="4" t="s">
        <v>85</v>
      </c>
      <c r="G401" s="4" t="s">
        <v>993</v>
      </c>
      <c r="H401" s="6">
        <v>0.1217</v>
      </c>
      <c r="I401" s="8">
        <v>131.9</v>
      </c>
      <c r="J401" s="8">
        <v>87.8</v>
      </c>
      <c r="K401" s="8">
        <v>131.9</v>
      </c>
      <c r="L401" s="8">
        <f t="shared" si="15"/>
        <v>1527510.1580000001</v>
      </c>
      <c r="M401" s="15">
        <v>7897801301442</v>
      </c>
      <c r="N401" s="6" t="s">
        <v>20</v>
      </c>
      <c r="O401" s="6" t="s">
        <v>20</v>
      </c>
      <c r="P401" s="6" t="s">
        <v>20</v>
      </c>
      <c r="Q401" s="6">
        <v>0.38</v>
      </c>
      <c r="R401" s="6">
        <v>0.17</v>
      </c>
      <c r="S401" s="6">
        <v>0.55000000000000004</v>
      </c>
      <c r="T401" s="8">
        <v>20</v>
      </c>
      <c r="U401" s="5" t="s">
        <v>994</v>
      </c>
      <c r="V401" s="89">
        <v>0</v>
      </c>
      <c r="W401" s="15">
        <v>17897801301449</v>
      </c>
      <c r="X401" s="6" t="s">
        <v>20</v>
      </c>
      <c r="Y401" s="6" t="s">
        <v>20</v>
      </c>
      <c r="Z401" s="6" t="s">
        <v>20</v>
      </c>
      <c r="AA401" s="6"/>
      <c r="AB401" s="8">
        <v>0</v>
      </c>
      <c r="AC401" s="15">
        <v>27897801301446</v>
      </c>
      <c r="AD401" s="4" t="s">
        <v>992</v>
      </c>
    </row>
    <row r="402" spans="2:30" x14ac:dyDescent="0.35">
      <c r="B402" s="14">
        <v>619</v>
      </c>
      <c r="C402" s="4" t="s">
        <v>407</v>
      </c>
      <c r="D402" s="4" t="s">
        <v>2370</v>
      </c>
      <c r="E402" s="4" t="s">
        <v>2913</v>
      </c>
      <c r="F402" s="4" t="s">
        <v>85</v>
      </c>
      <c r="G402" s="4" t="s">
        <v>993</v>
      </c>
      <c r="H402" s="6">
        <v>0.21310000000000001</v>
      </c>
      <c r="I402" s="8">
        <v>165.3</v>
      </c>
      <c r="J402" s="8">
        <v>114.7</v>
      </c>
      <c r="K402" s="8">
        <v>165.3</v>
      </c>
      <c r="L402" s="8">
        <f t="shared" si="15"/>
        <v>3134073.1230000006</v>
      </c>
      <c r="M402" s="15">
        <v>7897801300223</v>
      </c>
      <c r="N402" s="6" t="s">
        <v>20</v>
      </c>
      <c r="O402" s="6" t="s">
        <v>20</v>
      </c>
      <c r="P402" s="6" t="s">
        <v>20</v>
      </c>
      <c r="Q402" s="6">
        <v>0.5</v>
      </c>
      <c r="R402" s="6">
        <v>0.26</v>
      </c>
      <c r="S402" s="6">
        <v>0.7</v>
      </c>
      <c r="T402" s="8">
        <v>20</v>
      </c>
      <c r="U402" s="5" t="s">
        <v>994</v>
      </c>
      <c r="V402" s="89">
        <v>0</v>
      </c>
      <c r="W402" s="15">
        <v>17897801300220</v>
      </c>
      <c r="X402" s="6" t="s">
        <v>20</v>
      </c>
      <c r="Y402" s="6" t="s">
        <v>20</v>
      </c>
      <c r="Z402" s="6" t="s">
        <v>20</v>
      </c>
      <c r="AA402" s="6"/>
      <c r="AB402" s="8">
        <v>0</v>
      </c>
      <c r="AC402" s="15">
        <v>27897801300227</v>
      </c>
      <c r="AD402" s="4" t="s">
        <v>992</v>
      </c>
    </row>
    <row r="403" spans="2:30" x14ac:dyDescent="0.35">
      <c r="B403" s="14">
        <v>621</v>
      </c>
      <c r="C403" s="4" t="s">
        <v>408</v>
      </c>
      <c r="D403" s="4" t="s">
        <v>2403</v>
      </c>
      <c r="E403" s="4" t="s">
        <v>2913</v>
      </c>
      <c r="F403" s="4" t="s">
        <v>85</v>
      </c>
      <c r="G403" s="4" t="s">
        <v>993</v>
      </c>
      <c r="H403" s="6">
        <v>0.59230000000000005</v>
      </c>
      <c r="I403" s="8">
        <v>226.5</v>
      </c>
      <c r="J403" s="8">
        <v>169</v>
      </c>
      <c r="K403" s="8">
        <v>226.5</v>
      </c>
      <c r="L403" s="8">
        <f t="shared" si="15"/>
        <v>8670080.25</v>
      </c>
      <c r="M403" s="15">
        <v>7897801300230</v>
      </c>
      <c r="N403" s="6" t="s">
        <v>20</v>
      </c>
      <c r="O403" s="6" t="s">
        <v>20</v>
      </c>
      <c r="P403" s="6" t="s">
        <v>20</v>
      </c>
      <c r="Q403" s="6">
        <v>0.56999999999999995</v>
      </c>
      <c r="R403" s="6">
        <v>0.17</v>
      </c>
      <c r="S403" s="6">
        <v>0.6</v>
      </c>
      <c r="T403" s="8">
        <v>5</v>
      </c>
      <c r="U403" s="5" t="s">
        <v>994</v>
      </c>
      <c r="V403" s="89">
        <v>0</v>
      </c>
      <c r="W403" s="15">
        <v>17897801300237</v>
      </c>
      <c r="X403" s="6" t="s">
        <v>20</v>
      </c>
      <c r="Y403" s="6" t="s">
        <v>20</v>
      </c>
      <c r="Z403" s="6" t="s">
        <v>20</v>
      </c>
      <c r="AA403" s="6"/>
      <c r="AB403" s="8">
        <v>0</v>
      </c>
      <c r="AC403" s="15">
        <v>27897801300234</v>
      </c>
      <c r="AD403" s="4" t="s">
        <v>992</v>
      </c>
    </row>
    <row r="404" spans="2:30" x14ac:dyDescent="0.35">
      <c r="B404" s="14">
        <v>622</v>
      </c>
      <c r="C404" s="4" t="s">
        <v>409</v>
      </c>
      <c r="D404" s="4" t="s">
        <v>2370</v>
      </c>
      <c r="E404" s="4" t="s">
        <v>2913</v>
      </c>
      <c r="F404" s="4" t="s">
        <v>85</v>
      </c>
      <c r="G404" s="4" t="s">
        <v>993</v>
      </c>
      <c r="H404" s="6">
        <v>0.23499999999999999</v>
      </c>
      <c r="I404" s="8">
        <v>158.80000000000001</v>
      </c>
      <c r="J404" s="8">
        <v>114.7</v>
      </c>
      <c r="K404" s="8">
        <v>200</v>
      </c>
      <c r="L404" s="8">
        <f t="shared" si="15"/>
        <v>3642872</v>
      </c>
      <c r="M404" s="15">
        <v>7897801302470</v>
      </c>
      <c r="N404" s="6" t="s">
        <v>20</v>
      </c>
      <c r="O404" s="6" t="s">
        <v>20</v>
      </c>
      <c r="P404" s="6" t="s">
        <v>20</v>
      </c>
      <c r="Q404" s="6">
        <v>0.4</v>
      </c>
      <c r="R404" s="6">
        <v>0.21</v>
      </c>
      <c r="S404" s="6">
        <v>0.6</v>
      </c>
      <c r="T404" s="8">
        <v>10</v>
      </c>
      <c r="U404" s="5" t="s">
        <v>994</v>
      </c>
      <c r="V404" s="89">
        <v>0</v>
      </c>
      <c r="W404" s="15">
        <v>17897801302477</v>
      </c>
      <c r="X404" s="6" t="s">
        <v>20</v>
      </c>
      <c r="Y404" s="6" t="s">
        <v>20</v>
      </c>
      <c r="Z404" s="6" t="s">
        <v>20</v>
      </c>
      <c r="AA404" s="6"/>
      <c r="AB404" s="8">
        <v>0</v>
      </c>
      <c r="AC404" s="15">
        <v>27897801302474</v>
      </c>
      <c r="AD404" s="4" t="s">
        <v>992</v>
      </c>
    </row>
    <row r="405" spans="2:30" x14ac:dyDescent="0.35">
      <c r="B405" s="14">
        <v>623</v>
      </c>
      <c r="C405" s="4" t="s">
        <v>410</v>
      </c>
      <c r="D405" s="4" t="s">
        <v>2370</v>
      </c>
      <c r="E405" s="4" t="s">
        <v>2913</v>
      </c>
      <c r="F405" s="4" t="s">
        <v>85</v>
      </c>
      <c r="G405" s="4" t="s">
        <v>993</v>
      </c>
      <c r="H405" s="6">
        <v>3.44E-2</v>
      </c>
      <c r="I405" s="8">
        <v>70</v>
      </c>
      <c r="J405" s="8">
        <v>70</v>
      </c>
      <c r="K405" s="8">
        <v>46</v>
      </c>
      <c r="L405" s="8">
        <f t="shared" si="15"/>
        <v>225400</v>
      </c>
      <c r="M405" s="15">
        <v>7897801308786</v>
      </c>
      <c r="N405" s="6" t="s">
        <v>20</v>
      </c>
      <c r="O405" s="6" t="s">
        <v>20</v>
      </c>
      <c r="P405" s="6" t="s">
        <v>20</v>
      </c>
      <c r="Q405" s="6">
        <v>0.28999999999999998</v>
      </c>
      <c r="R405" s="6">
        <v>0.09</v>
      </c>
      <c r="S405" s="6">
        <v>0.43</v>
      </c>
      <c r="T405" s="8">
        <v>25</v>
      </c>
      <c r="U405" s="5" t="s">
        <v>994</v>
      </c>
      <c r="V405" s="89">
        <v>0</v>
      </c>
      <c r="W405" s="15">
        <v>17897801308783</v>
      </c>
      <c r="X405" s="6">
        <v>0.53</v>
      </c>
      <c r="Y405" s="6">
        <v>0.27</v>
      </c>
      <c r="Z405" s="6">
        <v>0.84</v>
      </c>
      <c r="AA405" s="6">
        <f>Y405*X405*Z405</f>
        <v>0.12020400000000001</v>
      </c>
      <c r="AB405" s="8">
        <v>375</v>
      </c>
      <c r="AC405" s="15">
        <v>27897801308780</v>
      </c>
      <c r="AD405" s="4" t="s">
        <v>992</v>
      </c>
    </row>
    <row r="406" spans="2:30" x14ac:dyDescent="0.35">
      <c r="B406" s="14">
        <v>624</v>
      </c>
      <c r="C406" s="4" t="s">
        <v>411</v>
      </c>
      <c r="D406" s="4" t="s">
        <v>2370</v>
      </c>
      <c r="E406" s="4" t="s">
        <v>2913</v>
      </c>
      <c r="F406" s="4" t="s">
        <v>85</v>
      </c>
      <c r="G406" s="4" t="s">
        <v>993</v>
      </c>
      <c r="H406" s="6">
        <v>3.3500000000000002E-2</v>
      </c>
      <c r="I406" s="8">
        <v>65</v>
      </c>
      <c r="J406" s="8">
        <v>50</v>
      </c>
      <c r="K406" s="8">
        <v>65</v>
      </c>
      <c r="L406" s="8">
        <f t="shared" si="15"/>
        <v>211250</v>
      </c>
      <c r="M406" s="15">
        <v>7897801307529</v>
      </c>
      <c r="N406" s="6" t="s">
        <v>20</v>
      </c>
      <c r="O406" s="6" t="s">
        <v>20</v>
      </c>
      <c r="P406" s="6" t="s">
        <v>20</v>
      </c>
      <c r="Q406" s="6">
        <v>0.22</v>
      </c>
      <c r="R406" s="6">
        <v>0.09</v>
      </c>
      <c r="S406" s="6">
        <v>0.38</v>
      </c>
      <c r="T406" s="8">
        <v>25</v>
      </c>
      <c r="U406" s="5" t="s">
        <v>994</v>
      </c>
      <c r="V406" s="89">
        <v>0</v>
      </c>
      <c r="W406" s="15">
        <v>17897801307526</v>
      </c>
      <c r="X406" s="6">
        <v>0.6</v>
      </c>
      <c r="Y406" s="6">
        <v>0.19</v>
      </c>
      <c r="Z406" s="6">
        <v>0.88</v>
      </c>
      <c r="AA406" s="6">
        <f>Y406*X406*Z406</f>
        <v>0.10031999999999999</v>
      </c>
      <c r="AB406" s="8">
        <v>375</v>
      </c>
      <c r="AC406" s="15">
        <v>27897801307523</v>
      </c>
      <c r="AD406" s="4" t="s">
        <v>992</v>
      </c>
    </row>
    <row r="407" spans="2:30" x14ac:dyDescent="0.35">
      <c r="B407" s="14">
        <v>626</v>
      </c>
      <c r="C407" s="4" t="s">
        <v>412</v>
      </c>
      <c r="D407" s="4" t="s">
        <v>2411</v>
      </c>
      <c r="E407" s="4" t="s">
        <v>2913</v>
      </c>
      <c r="F407" s="4" t="s">
        <v>85</v>
      </c>
      <c r="G407" s="4" t="s">
        <v>993</v>
      </c>
      <c r="H407" s="6">
        <v>4.9299999999999997E-2</v>
      </c>
      <c r="I407" s="8">
        <v>90</v>
      </c>
      <c r="J407" s="8">
        <v>46</v>
      </c>
      <c r="K407" s="8">
        <v>106</v>
      </c>
      <c r="L407" s="8">
        <f t="shared" si="15"/>
        <v>438840</v>
      </c>
      <c r="M407" s="15">
        <v>7897801302074</v>
      </c>
      <c r="N407" s="6" t="s">
        <v>20</v>
      </c>
      <c r="O407" s="6" t="s">
        <v>20</v>
      </c>
      <c r="P407" s="6" t="s">
        <v>20</v>
      </c>
      <c r="Q407" s="6">
        <v>0.25</v>
      </c>
      <c r="R407" s="6">
        <v>0.14000000000000001</v>
      </c>
      <c r="S407" s="6">
        <v>0.45</v>
      </c>
      <c r="T407" s="8">
        <v>25</v>
      </c>
      <c r="U407" s="5" t="s">
        <v>994</v>
      </c>
      <c r="V407" s="89">
        <v>0</v>
      </c>
      <c r="W407" s="15">
        <v>17897801302071</v>
      </c>
      <c r="X407" s="6">
        <v>0.56000000000000005</v>
      </c>
      <c r="Y407" s="6">
        <v>0.27</v>
      </c>
      <c r="Z407" s="6">
        <v>0.74</v>
      </c>
      <c r="AA407" s="6">
        <f>Y407*X407*Z407</f>
        <v>0.11188800000000002</v>
      </c>
      <c r="AB407" s="8">
        <v>200</v>
      </c>
      <c r="AC407" s="15">
        <v>27897801302078</v>
      </c>
      <c r="AD407" s="4" t="s">
        <v>992</v>
      </c>
    </row>
    <row r="408" spans="2:30" x14ac:dyDescent="0.35">
      <c r="B408" s="14">
        <v>627</v>
      </c>
      <c r="C408" s="4" t="s">
        <v>413</v>
      </c>
      <c r="D408" s="4" t="s">
        <v>2370</v>
      </c>
      <c r="E408" s="4" t="s">
        <v>2913</v>
      </c>
      <c r="F408" s="4" t="s">
        <v>85</v>
      </c>
      <c r="G408" s="4" t="s">
        <v>993</v>
      </c>
      <c r="H408" s="6">
        <v>0.1115</v>
      </c>
      <c r="I408" s="8">
        <v>120</v>
      </c>
      <c r="J408" s="8">
        <v>63</v>
      </c>
      <c r="K408" s="8">
        <v>160</v>
      </c>
      <c r="L408" s="8">
        <f t="shared" si="15"/>
        <v>1209600</v>
      </c>
      <c r="M408" s="15">
        <v>7897801302456</v>
      </c>
      <c r="N408" s="6" t="s">
        <v>20</v>
      </c>
      <c r="O408" s="6" t="s">
        <v>20</v>
      </c>
      <c r="P408" s="6" t="s">
        <v>20</v>
      </c>
      <c r="Q408" s="6">
        <v>0.35</v>
      </c>
      <c r="R408" s="6">
        <v>0.09</v>
      </c>
      <c r="S408" s="6">
        <v>0.45</v>
      </c>
      <c r="T408" s="8">
        <v>10</v>
      </c>
      <c r="U408" s="5" t="s">
        <v>994</v>
      </c>
      <c r="V408" s="89">
        <v>0</v>
      </c>
      <c r="W408" s="15">
        <v>17897801302453</v>
      </c>
      <c r="X408" s="6">
        <v>0.64</v>
      </c>
      <c r="Y408" s="6">
        <v>0.23</v>
      </c>
      <c r="Z408" s="6">
        <v>0.9</v>
      </c>
      <c r="AA408" s="6">
        <f>Y408*X408*Z408</f>
        <v>0.13248000000000001</v>
      </c>
      <c r="AB408" s="8">
        <v>80</v>
      </c>
      <c r="AC408" s="15">
        <v>27897801302450</v>
      </c>
      <c r="AD408" s="4" t="s">
        <v>992</v>
      </c>
    </row>
    <row r="409" spans="2:30" x14ac:dyDescent="0.35">
      <c r="B409" s="14">
        <v>628</v>
      </c>
      <c r="C409" s="4" t="s">
        <v>414</v>
      </c>
      <c r="D409" s="4" t="s">
        <v>2370</v>
      </c>
      <c r="E409" s="4" t="s">
        <v>2913</v>
      </c>
      <c r="F409" s="4" t="s">
        <v>85</v>
      </c>
      <c r="G409" s="4" t="s">
        <v>993</v>
      </c>
      <c r="H409" s="6">
        <v>0.21253</v>
      </c>
      <c r="I409" s="8">
        <v>205</v>
      </c>
      <c r="J409" s="8">
        <v>90</v>
      </c>
      <c r="K409" s="8">
        <v>170</v>
      </c>
      <c r="L409" s="8">
        <v>3136500</v>
      </c>
      <c r="M409" s="15">
        <v>7897801302593</v>
      </c>
      <c r="N409" s="6" t="s">
        <v>20</v>
      </c>
      <c r="O409" s="6" t="s">
        <v>20</v>
      </c>
      <c r="P409" s="6" t="s">
        <v>20</v>
      </c>
      <c r="Q409" s="6">
        <v>0.4</v>
      </c>
      <c r="R409" s="6">
        <v>0.21</v>
      </c>
      <c r="S409" s="6">
        <v>0.62</v>
      </c>
      <c r="T409" s="8">
        <v>10</v>
      </c>
      <c r="U409" s="5" t="s">
        <v>994</v>
      </c>
      <c r="V409" s="89">
        <v>0</v>
      </c>
      <c r="W409" s="15">
        <v>17897801302590</v>
      </c>
      <c r="X409" s="6">
        <v>0</v>
      </c>
      <c r="Y409" s="6">
        <v>0</v>
      </c>
      <c r="Z409" s="6">
        <v>0</v>
      </c>
      <c r="AA409" s="6">
        <v>0</v>
      </c>
      <c r="AB409" s="8">
        <v>0</v>
      </c>
      <c r="AC409" s="15">
        <v>27897801302597</v>
      </c>
      <c r="AD409" s="4" t="s">
        <v>992</v>
      </c>
    </row>
    <row r="410" spans="2:30" x14ac:dyDescent="0.35">
      <c r="B410" s="14">
        <v>629</v>
      </c>
      <c r="C410" s="4" t="s">
        <v>415</v>
      </c>
      <c r="D410" s="4" t="s">
        <v>2370</v>
      </c>
      <c r="E410" s="4" t="s">
        <v>2913</v>
      </c>
      <c r="F410" s="4" t="s">
        <v>85</v>
      </c>
      <c r="G410" s="4" t="s">
        <v>993</v>
      </c>
      <c r="H410" s="6">
        <v>0.3785</v>
      </c>
      <c r="I410" s="8">
        <v>230</v>
      </c>
      <c r="J410" s="8">
        <v>115</v>
      </c>
      <c r="K410" s="8">
        <v>265</v>
      </c>
      <c r="L410" s="8">
        <f t="shared" ref="L410:L441" si="16">J410*I410*K410</f>
        <v>7009250</v>
      </c>
      <c r="M410" s="15">
        <v>7897801301954</v>
      </c>
      <c r="N410" s="6" t="s">
        <v>20</v>
      </c>
      <c r="O410" s="6" t="s">
        <v>20</v>
      </c>
      <c r="P410" s="6" t="s">
        <v>20</v>
      </c>
      <c r="Q410" s="6">
        <v>0.6</v>
      </c>
      <c r="R410" s="6">
        <v>0.2</v>
      </c>
      <c r="S410" s="6">
        <v>0.79</v>
      </c>
      <c r="T410" s="8">
        <v>10</v>
      </c>
      <c r="U410" s="5" t="s">
        <v>994</v>
      </c>
      <c r="V410" s="89">
        <v>0</v>
      </c>
      <c r="W410" s="15">
        <v>17897801301951</v>
      </c>
      <c r="X410" s="6" t="s">
        <v>20</v>
      </c>
      <c r="Y410" s="6" t="s">
        <v>20</v>
      </c>
      <c r="Z410" s="6" t="s">
        <v>20</v>
      </c>
      <c r="AA410" s="6"/>
      <c r="AB410" s="8">
        <v>0</v>
      </c>
      <c r="AC410" s="15">
        <v>27897801301958</v>
      </c>
      <c r="AD410" s="4" t="s">
        <v>992</v>
      </c>
    </row>
    <row r="411" spans="2:30" x14ac:dyDescent="0.35">
      <c r="B411" s="14">
        <v>630</v>
      </c>
      <c r="C411" s="4" t="s">
        <v>416</v>
      </c>
      <c r="D411" s="4" t="s">
        <v>2403</v>
      </c>
      <c r="E411" s="4" t="s">
        <v>2913</v>
      </c>
      <c r="F411" s="4" t="s">
        <v>85</v>
      </c>
      <c r="G411" s="4" t="s">
        <v>993</v>
      </c>
      <c r="H411" s="6">
        <v>1.0728</v>
      </c>
      <c r="I411" s="8">
        <v>308</v>
      </c>
      <c r="J411" s="8">
        <v>350</v>
      </c>
      <c r="K411" s="8">
        <v>308</v>
      </c>
      <c r="L411" s="8">
        <f t="shared" si="16"/>
        <v>33202400</v>
      </c>
      <c r="M411" s="15">
        <v>7897801307888</v>
      </c>
      <c r="N411" s="6" t="s">
        <v>20</v>
      </c>
      <c r="O411" s="6" t="s">
        <v>20</v>
      </c>
      <c r="P411" s="6" t="s">
        <v>20</v>
      </c>
      <c r="Q411" s="6">
        <v>0.5</v>
      </c>
      <c r="R411" s="6">
        <v>0.4</v>
      </c>
      <c r="S411" s="6">
        <v>0.75</v>
      </c>
      <c r="T411" s="8">
        <v>5</v>
      </c>
      <c r="U411" s="5" t="s">
        <v>994</v>
      </c>
      <c r="V411" s="89">
        <v>0</v>
      </c>
      <c r="W411" s="15">
        <v>17897801307885</v>
      </c>
      <c r="X411" s="6" t="s">
        <v>20</v>
      </c>
      <c r="Y411" s="6" t="s">
        <v>20</v>
      </c>
      <c r="Z411" s="6" t="s">
        <v>20</v>
      </c>
      <c r="AA411" s="6"/>
      <c r="AB411" s="8">
        <v>0</v>
      </c>
      <c r="AC411" s="15">
        <v>27897801307882</v>
      </c>
      <c r="AD411" s="4" t="s">
        <v>992</v>
      </c>
    </row>
    <row r="412" spans="2:30" x14ac:dyDescent="0.35">
      <c r="B412" s="14">
        <v>633</v>
      </c>
      <c r="C412" s="4" t="s">
        <v>417</v>
      </c>
      <c r="D412" s="4" t="s">
        <v>2411</v>
      </c>
      <c r="E412" s="4" t="s">
        <v>2913</v>
      </c>
      <c r="F412" s="4" t="s">
        <v>85</v>
      </c>
      <c r="G412" s="4" t="s">
        <v>993</v>
      </c>
      <c r="H412" s="6">
        <v>6.8599999999999994E-2</v>
      </c>
      <c r="I412" s="8">
        <v>42</v>
      </c>
      <c r="J412" s="8">
        <v>180</v>
      </c>
      <c r="K412" s="8">
        <v>180</v>
      </c>
      <c r="L412" s="8">
        <f t="shared" si="16"/>
        <v>1360800</v>
      </c>
      <c r="M412" s="15">
        <v>7897801310932</v>
      </c>
      <c r="N412" s="6" t="s">
        <v>20</v>
      </c>
      <c r="O412" s="6" t="s">
        <v>20</v>
      </c>
      <c r="P412" s="6" t="s">
        <v>20</v>
      </c>
      <c r="Q412" s="6">
        <v>0.17</v>
      </c>
      <c r="R412" s="6">
        <v>0.1</v>
      </c>
      <c r="S412" s="6">
        <v>0.38</v>
      </c>
      <c r="T412" s="8">
        <v>10</v>
      </c>
      <c r="U412" s="5" t="s">
        <v>994</v>
      </c>
      <c r="V412" s="89">
        <v>0</v>
      </c>
      <c r="W412" s="15">
        <v>17897801310939</v>
      </c>
      <c r="X412" s="6">
        <v>0.55000000000000004</v>
      </c>
      <c r="Y412" s="6">
        <v>0.2</v>
      </c>
      <c r="Z412" s="6">
        <v>0.75</v>
      </c>
      <c r="AA412" s="6">
        <f>Y412*X412*Z412</f>
        <v>8.2500000000000018E-2</v>
      </c>
      <c r="AB412" s="8">
        <v>140</v>
      </c>
      <c r="AC412" s="15">
        <v>27897801310936</v>
      </c>
      <c r="AD412" s="4" t="s">
        <v>992</v>
      </c>
    </row>
    <row r="413" spans="2:30" x14ac:dyDescent="0.35">
      <c r="B413" s="14">
        <v>634</v>
      </c>
      <c r="C413" s="4" t="s">
        <v>418</v>
      </c>
      <c r="D413" s="4" t="s">
        <v>2370</v>
      </c>
      <c r="E413" s="4" t="s">
        <v>2913</v>
      </c>
      <c r="F413" s="4" t="s">
        <v>85</v>
      </c>
      <c r="G413" s="4" t="s">
        <v>993</v>
      </c>
      <c r="H413" s="6">
        <v>0.1066</v>
      </c>
      <c r="I413" s="8">
        <v>153</v>
      </c>
      <c r="J413" s="8">
        <v>181</v>
      </c>
      <c r="K413" s="8">
        <v>60</v>
      </c>
      <c r="L413" s="8">
        <f t="shared" si="16"/>
        <v>1661580</v>
      </c>
      <c r="M413" s="15">
        <v>7897801310949</v>
      </c>
      <c r="N413" s="6" t="s">
        <v>20</v>
      </c>
      <c r="O413" s="6" t="s">
        <v>20</v>
      </c>
      <c r="P413" s="6" t="s">
        <v>20</v>
      </c>
      <c r="Q413" s="6">
        <v>0.35</v>
      </c>
      <c r="R413" s="6">
        <v>0.09</v>
      </c>
      <c r="S413" s="6">
        <v>0.38</v>
      </c>
      <c r="T413" s="8">
        <v>12</v>
      </c>
      <c r="U413" s="5" t="s">
        <v>994</v>
      </c>
      <c r="V413" s="89">
        <v>0</v>
      </c>
      <c r="W413" s="15">
        <v>17897801310946</v>
      </c>
      <c r="X413" s="6" t="s">
        <v>20</v>
      </c>
      <c r="Y413" s="6" t="s">
        <v>20</v>
      </c>
      <c r="Z413" s="6" t="s">
        <v>20</v>
      </c>
      <c r="AA413" s="6"/>
      <c r="AB413" s="8">
        <v>0</v>
      </c>
      <c r="AC413" s="15">
        <v>27897801310943</v>
      </c>
      <c r="AD413" s="4" t="s">
        <v>992</v>
      </c>
    </row>
    <row r="414" spans="2:30" x14ac:dyDescent="0.35">
      <c r="B414" s="14">
        <v>635</v>
      </c>
      <c r="C414" s="4" t="s">
        <v>419</v>
      </c>
      <c r="D414" s="4" t="s">
        <v>2370</v>
      </c>
      <c r="E414" s="4" t="s">
        <v>2913</v>
      </c>
      <c r="F414" s="4" t="s">
        <v>85</v>
      </c>
      <c r="G414" s="4" t="s">
        <v>993</v>
      </c>
      <c r="H414" s="6">
        <v>0.23380000000000001</v>
      </c>
      <c r="I414" s="8">
        <v>390</v>
      </c>
      <c r="J414" s="8">
        <v>90</v>
      </c>
      <c r="K414" s="8">
        <v>90</v>
      </c>
      <c r="L414" s="8">
        <f t="shared" si="16"/>
        <v>3159000</v>
      </c>
      <c r="M414" s="15">
        <v>7897801310956</v>
      </c>
      <c r="N414" s="6" t="s">
        <v>20</v>
      </c>
      <c r="O414" s="6" t="s">
        <v>20</v>
      </c>
      <c r="P414" s="6" t="s">
        <v>20</v>
      </c>
      <c r="Q414" s="6">
        <v>0.45</v>
      </c>
      <c r="R414" s="6">
        <v>0.14499999999999999</v>
      </c>
      <c r="S414" s="6">
        <v>0.69</v>
      </c>
      <c r="T414" s="8">
        <v>10</v>
      </c>
      <c r="U414" s="5" t="s">
        <v>994</v>
      </c>
      <c r="V414" s="89">
        <v>0</v>
      </c>
      <c r="W414" s="15">
        <v>17897801310953</v>
      </c>
      <c r="X414" s="6" t="s">
        <v>20</v>
      </c>
      <c r="Y414" s="6" t="s">
        <v>20</v>
      </c>
      <c r="Z414" s="6" t="s">
        <v>20</v>
      </c>
      <c r="AA414" s="6"/>
      <c r="AB414" s="8">
        <v>0</v>
      </c>
      <c r="AC414" s="15">
        <v>27897801310950</v>
      </c>
      <c r="AD414" s="4" t="s">
        <v>992</v>
      </c>
    </row>
    <row r="415" spans="2:30" x14ac:dyDescent="0.35">
      <c r="B415" s="14">
        <v>636</v>
      </c>
      <c r="C415" s="4" t="s">
        <v>420</v>
      </c>
      <c r="D415" s="4" t="s">
        <v>2370</v>
      </c>
      <c r="E415" s="4" t="s">
        <v>2913</v>
      </c>
      <c r="F415" s="4" t="s">
        <v>85</v>
      </c>
      <c r="G415" s="4" t="s">
        <v>993</v>
      </c>
      <c r="H415" s="6">
        <v>0.4259</v>
      </c>
      <c r="I415" s="8">
        <v>580</v>
      </c>
      <c r="J415" s="8">
        <v>110</v>
      </c>
      <c r="K415" s="8">
        <v>170</v>
      </c>
      <c r="L415" s="8">
        <f t="shared" si="16"/>
        <v>10846000</v>
      </c>
      <c r="M415" s="15">
        <v>7897801310963</v>
      </c>
      <c r="N415" s="6" t="s">
        <v>20</v>
      </c>
      <c r="O415" s="6" t="s">
        <v>20</v>
      </c>
      <c r="P415" s="6" t="s">
        <v>20</v>
      </c>
      <c r="Q415" s="6">
        <v>0.53</v>
      </c>
      <c r="R415" s="6">
        <v>0.21</v>
      </c>
      <c r="S415" s="6">
        <v>0.79</v>
      </c>
      <c r="T415" s="8">
        <v>8</v>
      </c>
      <c r="U415" s="5" t="s">
        <v>994</v>
      </c>
      <c r="V415" s="89">
        <v>0</v>
      </c>
      <c r="W415" s="15">
        <v>17897801310960</v>
      </c>
      <c r="X415" s="6" t="s">
        <v>20</v>
      </c>
      <c r="Y415" s="6" t="s">
        <v>20</v>
      </c>
      <c r="Z415" s="6" t="s">
        <v>20</v>
      </c>
      <c r="AA415" s="6"/>
      <c r="AB415" s="8">
        <v>0</v>
      </c>
      <c r="AC415" s="15">
        <v>27897801310967</v>
      </c>
      <c r="AD415" s="4" t="s">
        <v>992</v>
      </c>
    </row>
    <row r="416" spans="2:30" x14ac:dyDescent="0.35">
      <c r="B416" s="14">
        <v>637</v>
      </c>
      <c r="C416" s="4" t="s">
        <v>421</v>
      </c>
      <c r="D416" s="4" t="s">
        <v>2422</v>
      </c>
      <c r="E416" s="4" t="s">
        <v>2913</v>
      </c>
      <c r="F416" s="4" t="s">
        <v>85</v>
      </c>
      <c r="G416" s="4" t="s">
        <v>993</v>
      </c>
      <c r="H416" s="6">
        <v>1.6852</v>
      </c>
      <c r="I416" s="8">
        <v>152</v>
      </c>
      <c r="J416" s="8">
        <v>590</v>
      </c>
      <c r="K416" s="8">
        <v>590</v>
      </c>
      <c r="L416" s="8">
        <f t="shared" si="16"/>
        <v>52911200</v>
      </c>
      <c r="M416" s="15">
        <v>7897801310970</v>
      </c>
      <c r="N416" s="6" t="s">
        <v>20</v>
      </c>
      <c r="O416" s="6" t="s">
        <v>20</v>
      </c>
      <c r="P416" s="6" t="s">
        <v>20</v>
      </c>
      <c r="Q416" s="6">
        <v>0.56999999999999995</v>
      </c>
      <c r="R416" s="6">
        <v>0.17</v>
      </c>
      <c r="S416" s="6">
        <v>0.63</v>
      </c>
      <c r="T416" s="8">
        <v>1</v>
      </c>
      <c r="U416" s="5" t="s">
        <v>994</v>
      </c>
      <c r="V416" s="89">
        <v>0</v>
      </c>
      <c r="W416" s="15">
        <v>17897801310977</v>
      </c>
      <c r="X416" s="6" t="s">
        <v>20</v>
      </c>
      <c r="Y416" s="6" t="s">
        <v>20</v>
      </c>
      <c r="Z416" s="6" t="s">
        <v>20</v>
      </c>
      <c r="AA416" s="6"/>
      <c r="AB416" s="8">
        <v>0</v>
      </c>
      <c r="AC416" s="15">
        <v>27897801310974</v>
      </c>
      <c r="AD416" s="4" t="s">
        <v>992</v>
      </c>
    </row>
    <row r="417" spans="2:30" x14ac:dyDescent="0.35">
      <c r="B417" s="14">
        <v>638</v>
      </c>
      <c r="C417" s="4" t="s">
        <v>422</v>
      </c>
      <c r="D417" s="4" t="s">
        <v>2370</v>
      </c>
      <c r="E417" s="4" t="s">
        <v>2913</v>
      </c>
      <c r="F417" s="4" t="s">
        <v>85</v>
      </c>
      <c r="G417" s="4" t="s">
        <v>993</v>
      </c>
      <c r="H417" s="6">
        <v>0.1502</v>
      </c>
      <c r="I417" s="8">
        <v>153</v>
      </c>
      <c r="J417" s="8">
        <v>175</v>
      </c>
      <c r="K417" s="8">
        <v>88</v>
      </c>
      <c r="L417" s="8">
        <f t="shared" si="16"/>
        <v>2356200</v>
      </c>
      <c r="M417" s="15">
        <v>7897801302609</v>
      </c>
      <c r="N417" s="6" t="s">
        <v>20</v>
      </c>
      <c r="O417" s="6" t="s">
        <v>20</v>
      </c>
      <c r="P417" s="6" t="s">
        <v>20</v>
      </c>
      <c r="Q417" s="6">
        <v>0.46</v>
      </c>
      <c r="R417" s="6">
        <v>0.12</v>
      </c>
      <c r="S417" s="6">
        <v>0.59</v>
      </c>
      <c r="T417" s="8">
        <v>10</v>
      </c>
      <c r="U417" s="5" t="s">
        <v>994</v>
      </c>
      <c r="V417" s="89">
        <v>0</v>
      </c>
      <c r="W417" s="15">
        <v>17897801302606</v>
      </c>
      <c r="X417" s="6" t="s">
        <v>20</v>
      </c>
      <c r="Y417" s="6" t="s">
        <v>20</v>
      </c>
      <c r="Z417" s="6" t="s">
        <v>20</v>
      </c>
      <c r="AA417" s="6"/>
      <c r="AB417" s="8">
        <v>0</v>
      </c>
      <c r="AC417" s="15">
        <v>27897801302603</v>
      </c>
      <c r="AD417" s="4" t="s">
        <v>992</v>
      </c>
    </row>
    <row r="418" spans="2:30" x14ac:dyDescent="0.35">
      <c r="B418" s="14">
        <v>639</v>
      </c>
      <c r="C418" s="4" t="s">
        <v>423</v>
      </c>
      <c r="D418" s="4" t="s">
        <v>2370</v>
      </c>
      <c r="E418" s="4" t="s">
        <v>2913</v>
      </c>
      <c r="F418" s="4" t="s">
        <v>85</v>
      </c>
      <c r="G418" s="4" t="s">
        <v>993</v>
      </c>
      <c r="H418" s="6">
        <v>0.24929999999999999</v>
      </c>
      <c r="I418" s="8">
        <v>175.5</v>
      </c>
      <c r="J418" s="8">
        <v>115</v>
      </c>
      <c r="K418" s="8">
        <v>185</v>
      </c>
      <c r="L418" s="8">
        <f t="shared" si="16"/>
        <v>3733762.5</v>
      </c>
      <c r="M418" s="15">
        <v>7897801301978</v>
      </c>
      <c r="N418" s="6" t="s">
        <v>20</v>
      </c>
      <c r="O418" s="6" t="s">
        <v>20</v>
      </c>
      <c r="P418" s="6" t="s">
        <v>20</v>
      </c>
      <c r="Q418" s="6">
        <v>0.4</v>
      </c>
      <c r="R418" s="6">
        <v>0.19</v>
      </c>
      <c r="S418" s="6">
        <v>0.55000000000000004</v>
      </c>
      <c r="T418" s="8">
        <v>10</v>
      </c>
      <c r="U418" s="5" t="s">
        <v>994</v>
      </c>
      <c r="V418" s="89">
        <v>0</v>
      </c>
      <c r="W418" s="15">
        <v>17897801301975</v>
      </c>
      <c r="X418" s="6" t="s">
        <v>20</v>
      </c>
      <c r="Y418" s="6" t="s">
        <v>20</v>
      </c>
      <c r="Z418" s="6" t="s">
        <v>20</v>
      </c>
      <c r="AA418" s="6"/>
      <c r="AB418" s="8">
        <v>0</v>
      </c>
      <c r="AC418" s="15">
        <v>27897801301972</v>
      </c>
      <c r="AD418" s="4" t="s">
        <v>992</v>
      </c>
    </row>
    <row r="419" spans="2:30" x14ac:dyDescent="0.35">
      <c r="B419" s="14">
        <v>640</v>
      </c>
      <c r="C419" s="4" t="s">
        <v>424</v>
      </c>
      <c r="D419" s="4" t="s">
        <v>2370</v>
      </c>
      <c r="E419" s="4" t="s">
        <v>2913</v>
      </c>
      <c r="F419" s="4" t="s">
        <v>85</v>
      </c>
      <c r="G419" s="4" t="s">
        <v>993</v>
      </c>
      <c r="H419" s="6">
        <v>0.30599999999999999</v>
      </c>
      <c r="I419" s="8">
        <v>200</v>
      </c>
      <c r="J419" s="8">
        <v>115</v>
      </c>
      <c r="K419" s="8">
        <v>220</v>
      </c>
      <c r="L419" s="8">
        <f t="shared" si="16"/>
        <v>5060000</v>
      </c>
      <c r="M419" s="15">
        <v>7897801302586</v>
      </c>
      <c r="N419" s="6" t="s">
        <v>20</v>
      </c>
      <c r="O419" s="6" t="s">
        <v>20</v>
      </c>
      <c r="P419" s="6" t="s">
        <v>20</v>
      </c>
      <c r="Q419" s="6">
        <v>0.4</v>
      </c>
      <c r="R419" s="6">
        <v>0.18</v>
      </c>
      <c r="S419" s="6">
        <v>0.65</v>
      </c>
      <c r="T419" s="8">
        <v>10</v>
      </c>
      <c r="U419" s="5" t="s">
        <v>994</v>
      </c>
      <c r="V419" s="89">
        <v>0</v>
      </c>
      <c r="W419" s="15">
        <v>17897801302583</v>
      </c>
      <c r="X419" s="6" t="s">
        <v>20</v>
      </c>
      <c r="Y419" s="6" t="s">
        <v>20</v>
      </c>
      <c r="Z419" s="6" t="s">
        <v>20</v>
      </c>
      <c r="AA419" s="6"/>
      <c r="AB419" s="8">
        <v>0</v>
      </c>
      <c r="AC419" s="15">
        <v>27897801302580</v>
      </c>
      <c r="AD419" s="4" t="s">
        <v>992</v>
      </c>
    </row>
    <row r="420" spans="2:30" x14ac:dyDescent="0.35">
      <c r="B420" s="14">
        <v>641</v>
      </c>
      <c r="C420" s="4" t="s">
        <v>425</v>
      </c>
      <c r="D420" s="4" t="s">
        <v>2403</v>
      </c>
      <c r="E420" s="4" t="s">
        <v>2913</v>
      </c>
      <c r="F420" s="4" t="s">
        <v>85</v>
      </c>
      <c r="G420" s="4" t="s">
        <v>993</v>
      </c>
      <c r="H420" s="6">
        <v>0.77159999999999995</v>
      </c>
      <c r="I420" s="8">
        <v>300</v>
      </c>
      <c r="J420" s="8">
        <v>276</v>
      </c>
      <c r="K420" s="8">
        <v>276</v>
      </c>
      <c r="L420" s="8">
        <f t="shared" si="16"/>
        <v>22852800</v>
      </c>
      <c r="M420" s="15">
        <v>7897801308700</v>
      </c>
      <c r="N420" s="6" t="s">
        <v>20</v>
      </c>
      <c r="O420" s="6" t="s">
        <v>20</v>
      </c>
      <c r="P420" s="6" t="s">
        <v>20</v>
      </c>
      <c r="Q420" s="6">
        <v>0.56000000000000005</v>
      </c>
      <c r="R420" s="6">
        <v>0.22</v>
      </c>
      <c r="S420" s="6">
        <v>0.77</v>
      </c>
      <c r="T420" s="8">
        <v>5</v>
      </c>
      <c r="U420" s="5" t="s">
        <v>994</v>
      </c>
      <c r="V420" s="89">
        <v>0</v>
      </c>
      <c r="W420" s="15">
        <v>17897801308707</v>
      </c>
      <c r="X420" s="6" t="s">
        <v>20</v>
      </c>
      <c r="Y420" s="6" t="s">
        <v>20</v>
      </c>
      <c r="Z420" s="6" t="s">
        <v>20</v>
      </c>
      <c r="AA420" s="6"/>
      <c r="AB420" s="8">
        <v>0</v>
      </c>
      <c r="AC420" s="15">
        <v>27897801308704</v>
      </c>
      <c r="AD420" s="4" t="s">
        <v>992</v>
      </c>
    </row>
    <row r="421" spans="2:30" x14ac:dyDescent="0.35">
      <c r="B421" s="14">
        <v>644</v>
      </c>
      <c r="C421" s="4" t="s">
        <v>426</v>
      </c>
      <c r="D421" s="4" t="s">
        <v>2411</v>
      </c>
      <c r="E421" s="4" t="s">
        <v>2913</v>
      </c>
      <c r="F421" s="4" t="s">
        <v>85</v>
      </c>
      <c r="G421" s="4" t="s">
        <v>993</v>
      </c>
      <c r="H421" s="6">
        <v>1.7500000000000002E-2</v>
      </c>
      <c r="I421" s="8">
        <v>46</v>
      </c>
      <c r="J421" s="8">
        <v>46</v>
      </c>
      <c r="K421" s="8">
        <v>46</v>
      </c>
      <c r="L421" s="8">
        <f t="shared" si="16"/>
        <v>97336</v>
      </c>
      <c r="M421" s="15">
        <v>7897801300292</v>
      </c>
      <c r="N421" s="6" t="s">
        <v>20</v>
      </c>
      <c r="O421" s="6" t="s">
        <v>20</v>
      </c>
      <c r="P421" s="6" t="s">
        <v>20</v>
      </c>
      <c r="Q421" s="6">
        <v>0.24</v>
      </c>
      <c r="R421" s="6">
        <v>0.06</v>
      </c>
      <c r="S421" s="6">
        <v>0.28000000000000003</v>
      </c>
      <c r="T421" s="8">
        <v>25</v>
      </c>
      <c r="U421" s="5" t="s">
        <v>994</v>
      </c>
      <c r="V421" s="89">
        <v>0</v>
      </c>
      <c r="W421" s="15">
        <v>17897801300299</v>
      </c>
      <c r="X421" s="6">
        <v>0.47</v>
      </c>
      <c r="Y421" s="6">
        <v>0.23</v>
      </c>
      <c r="Z421" s="6">
        <v>0.77</v>
      </c>
      <c r="AA421" s="6">
        <f>Y421*X421*Z421</f>
        <v>8.3237000000000005E-2</v>
      </c>
      <c r="AB421" s="8">
        <v>500</v>
      </c>
      <c r="AC421" s="15">
        <v>27897801300296</v>
      </c>
      <c r="AD421" s="4" t="s">
        <v>992</v>
      </c>
    </row>
    <row r="422" spans="2:30" x14ac:dyDescent="0.35">
      <c r="B422" s="14">
        <v>645</v>
      </c>
      <c r="C422" s="4" t="s">
        <v>427</v>
      </c>
      <c r="D422" s="4" t="s">
        <v>2370</v>
      </c>
      <c r="E422" s="4" t="s">
        <v>2913</v>
      </c>
      <c r="F422" s="4" t="s">
        <v>85</v>
      </c>
      <c r="G422" s="4" t="s">
        <v>993</v>
      </c>
      <c r="H422" s="6">
        <v>2.93E-2</v>
      </c>
      <c r="I422" s="8">
        <v>63</v>
      </c>
      <c r="J422" s="8">
        <v>63</v>
      </c>
      <c r="K422" s="8">
        <v>62.5</v>
      </c>
      <c r="L422" s="8">
        <f t="shared" si="16"/>
        <v>248062.5</v>
      </c>
      <c r="M422" s="15">
        <v>7897801301824</v>
      </c>
      <c r="N422" s="6" t="s">
        <v>20</v>
      </c>
      <c r="O422" s="6" t="s">
        <v>20</v>
      </c>
      <c r="P422" s="6" t="s">
        <v>20</v>
      </c>
      <c r="Q422" s="6">
        <v>0.26</v>
      </c>
      <c r="R422" s="6">
        <v>0.1</v>
      </c>
      <c r="S422" s="6">
        <v>0.37</v>
      </c>
      <c r="T422" s="8">
        <v>25</v>
      </c>
      <c r="U422" s="5" t="s">
        <v>994</v>
      </c>
      <c r="V422" s="89">
        <v>0</v>
      </c>
      <c r="W422" s="15">
        <v>17897801301821</v>
      </c>
      <c r="X422" s="6">
        <v>0.52</v>
      </c>
      <c r="Y422" s="6">
        <v>0.24</v>
      </c>
      <c r="Z422" s="6">
        <v>0.82</v>
      </c>
      <c r="AA422" s="6">
        <f>Y422*X422*Z422</f>
        <v>0.10233599999999998</v>
      </c>
      <c r="AB422" s="8">
        <v>300</v>
      </c>
      <c r="AC422" s="15">
        <v>27897801301828</v>
      </c>
      <c r="AD422" s="4" t="s">
        <v>992</v>
      </c>
    </row>
    <row r="423" spans="2:30" x14ac:dyDescent="0.35">
      <c r="B423" s="14">
        <v>646</v>
      </c>
      <c r="C423" s="4" t="s">
        <v>428</v>
      </c>
      <c r="D423" s="4" t="s">
        <v>2370</v>
      </c>
      <c r="E423" s="4" t="s">
        <v>2913</v>
      </c>
      <c r="F423" s="4" t="s">
        <v>85</v>
      </c>
      <c r="G423" s="4" t="s">
        <v>993</v>
      </c>
      <c r="H423" s="6">
        <v>5.5399999999999998E-2</v>
      </c>
      <c r="I423" s="8">
        <v>87.8</v>
      </c>
      <c r="J423" s="8">
        <v>87.8</v>
      </c>
      <c r="K423" s="8">
        <v>73</v>
      </c>
      <c r="L423" s="8">
        <f t="shared" si="16"/>
        <v>562745.31999999995</v>
      </c>
      <c r="M423" s="15">
        <v>7897801302142</v>
      </c>
      <c r="N423" s="6" t="s">
        <v>20</v>
      </c>
      <c r="O423" s="6" t="s">
        <v>20</v>
      </c>
      <c r="P423" s="6" t="s">
        <v>20</v>
      </c>
      <c r="Q423" s="6">
        <v>0.2</v>
      </c>
      <c r="R423" s="6">
        <v>0.08</v>
      </c>
      <c r="S423" s="6">
        <v>0.35</v>
      </c>
      <c r="T423" s="8">
        <v>10</v>
      </c>
      <c r="U423" s="5" t="s">
        <v>994</v>
      </c>
      <c r="V423" s="89">
        <v>0</v>
      </c>
      <c r="W423" s="15">
        <v>17897801302149</v>
      </c>
      <c r="X423" s="6" t="s">
        <v>20</v>
      </c>
      <c r="Y423" s="6" t="s">
        <v>20</v>
      </c>
      <c r="Z423" s="6" t="s">
        <v>20</v>
      </c>
      <c r="AA423" s="6"/>
      <c r="AB423" s="8">
        <v>0</v>
      </c>
      <c r="AC423" s="15">
        <v>27897801302146</v>
      </c>
      <c r="AD423" s="4" t="s">
        <v>992</v>
      </c>
    </row>
    <row r="424" spans="2:30" x14ac:dyDescent="0.35">
      <c r="B424" s="14">
        <v>647</v>
      </c>
      <c r="C424" s="4" t="s">
        <v>429</v>
      </c>
      <c r="D424" s="4" t="s">
        <v>2370</v>
      </c>
      <c r="E424" s="4" t="s">
        <v>2913</v>
      </c>
      <c r="F424" s="4" t="s">
        <v>85</v>
      </c>
      <c r="G424" s="4" t="s">
        <v>993</v>
      </c>
      <c r="H424" s="6">
        <v>9.1499999999999998E-2</v>
      </c>
      <c r="I424" s="8">
        <v>114.7</v>
      </c>
      <c r="J424" s="8">
        <v>114.7</v>
      </c>
      <c r="K424" s="8">
        <v>84</v>
      </c>
      <c r="L424" s="8">
        <f t="shared" si="16"/>
        <v>1105111.56</v>
      </c>
      <c r="M424" s="15">
        <v>7897801301800</v>
      </c>
      <c r="N424" s="6" t="s">
        <v>20</v>
      </c>
      <c r="O424" s="6" t="s">
        <v>20</v>
      </c>
      <c r="P424" s="6" t="s">
        <v>20</v>
      </c>
      <c r="Q424" s="6">
        <v>0.4</v>
      </c>
      <c r="R424" s="6">
        <v>0.11</v>
      </c>
      <c r="S424" s="6">
        <v>0.52</v>
      </c>
      <c r="T424" s="8">
        <v>10</v>
      </c>
      <c r="U424" s="5" t="s">
        <v>994</v>
      </c>
      <c r="V424" s="89">
        <v>0</v>
      </c>
      <c r="W424" s="15">
        <v>17897801301807</v>
      </c>
      <c r="X424" s="6" t="s">
        <v>20</v>
      </c>
      <c r="Y424" s="6" t="s">
        <v>20</v>
      </c>
      <c r="Z424" s="6" t="s">
        <v>20</v>
      </c>
      <c r="AA424" s="6"/>
      <c r="AB424" s="8">
        <v>0</v>
      </c>
      <c r="AC424" s="15">
        <v>27897801301804</v>
      </c>
      <c r="AD424" s="4" t="s">
        <v>992</v>
      </c>
    </row>
    <row r="425" spans="2:30" x14ac:dyDescent="0.35">
      <c r="B425" s="14">
        <v>648</v>
      </c>
      <c r="C425" s="4" t="s">
        <v>430</v>
      </c>
      <c r="D425" s="4" t="s">
        <v>2403</v>
      </c>
      <c r="E425" s="4" t="s">
        <v>2913</v>
      </c>
      <c r="F425" s="4" t="s">
        <v>85</v>
      </c>
      <c r="G425" s="4" t="s">
        <v>993</v>
      </c>
      <c r="H425" s="6">
        <v>0.28120000000000001</v>
      </c>
      <c r="I425" s="8">
        <v>115</v>
      </c>
      <c r="J425" s="8">
        <v>169</v>
      </c>
      <c r="K425" s="8">
        <v>169</v>
      </c>
      <c r="L425" s="8">
        <f t="shared" si="16"/>
        <v>3284515</v>
      </c>
      <c r="M425" s="15">
        <v>7897801302937</v>
      </c>
      <c r="N425" s="6" t="s">
        <v>20</v>
      </c>
      <c r="O425" s="6" t="s">
        <v>20</v>
      </c>
      <c r="P425" s="6" t="s">
        <v>20</v>
      </c>
      <c r="Q425" s="6">
        <v>0.3</v>
      </c>
      <c r="R425" s="6">
        <v>0.17</v>
      </c>
      <c r="S425" s="6">
        <v>0.4</v>
      </c>
      <c r="T425" s="8">
        <v>5</v>
      </c>
      <c r="U425" s="5" t="s">
        <v>994</v>
      </c>
      <c r="V425" s="89">
        <v>0</v>
      </c>
      <c r="W425" s="15">
        <v>17897801302934</v>
      </c>
      <c r="X425" s="6" t="s">
        <v>20</v>
      </c>
      <c r="Y425" s="6" t="s">
        <v>20</v>
      </c>
      <c r="Z425" s="6" t="s">
        <v>20</v>
      </c>
      <c r="AA425" s="6"/>
      <c r="AB425" s="8">
        <v>0</v>
      </c>
      <c r="AC425" s="15">
        <v>27897801302931</v>
      </c>
      <c r="AD425" s="4" t="s">
        <v>992</v>
      </c>
    </row>
    <row r="426" spans="2:30" x14ac:dyDescent="0.35">
      <c r="B426" s="14">
        <v>649</v>
      </c>
      <c r="C426" s="4" t="s">
        <v>431</v>
      </c>
      <c r="D426" s="4" t="s">
        <v>2411</v>
      </c>
      <c r="E426" s="4" t="s">
        <v>2913</v>
      </c>
      <c r="F426" s="4" t="s">
        <v>85</v>
      </c>
      <c r="G426" s="4" t="s">
        <v>993</v>
      </c>
      <c r="H426" s="6">
        <v>3.5900000000000001E-2</v>
      </c>
      <c r="I426" s="8">
        <v>50.1</v>
      </c>
      <c r="J426" s="8">
        <v>50.1</v>
      </c>
      <c r="K426" s="8">
        <v>66.5</v>
      </c>
      <c r="L426" s="8">
        <f t="shared" si="16"/>
        <v>166915.66500000001</v>
      </c>
      <c r="M426" s="15">
        <v>7897801302524</v>
      </c>
      <c r="N426" s="6" t="s">
        <v>20</v>
      </c>
      <c r="O426" s="6" t="s">
        <v>20</v>
      </c>
      <c r="P426" s="6" t="s">
        <v>20</v>
      </c>
      <c r="Q426" s="6">
        <v>0.15</v>
      </c>
      <c r="R426" s="6">
        <v>0.05</v>
      </c>
      <c r="S426" s="6">
        <v>0.25</v>
      </c>
      <c r="T426" s="8">
        <v>10</v>
      </c>
      <c r="U426" s="5" t="s">
        <v>994</v>
      </c>
      <c r="V426" s="89">
        <v>0</v>
      </c>
      <c r="W426" s="15">
        <v>17897801302521</v>
      </c>
      <c r="X426" s="6">
        <v>0.5</v>
      </c>
      <c r="Y426" s="6">
        <v>0.2</v>
      </c>
      <c r="Z426" s="6">
        <v>0.7</v>
      </c>
      <c r="AA426" s="6">
        <f>Y426*X426*Z426</f>
        <v>6.9999999999999993E-2</v>
      </c>
      <c r="AB426" s="8">
        <v>400</v>
      </c>
      <c r="AC426" s="15">
        <v>27897801302528</v>
      </c>
      <c r="AD426" s="4" t="s">
        <v>992</v>
      </c>
    </row>
    <row r="427" spans="2:30" x14ac:dyDescent="0.35">
      <c r="B427" s="14">
        <v>650</v>
      </c>
      <c r="C427" s="4" t="s">
        <v>432</v>
      </c>
      <c r="D427" s="4" t="s">
        <v>2370</v>
      </c>
      <c r="E427" s="4" t="s">
        <v>2913</v>
      </c>
      <c r="F427" s="4" t="s">
        <v>85</v>
      </c>
      <c r="G427" s="4" t="s">
        <v>993</v>
      </c>
      <c r="H427" s="6">
        <v>6.6699999999999995E-2</v>
      </c>
      <c r="I427" s="8">
        <v>65</v>
      </c>
      <c r="J427" s="8">
        <v>65</v>
      </c>
      <c r="K427" s="8">
        <v>80</v>
      </c>
      <c r="L427" s="8">
        <f t="shared" si="16"/>
        <v>338000</v>
      </c>
      <c r="M427" s="15">
        <v>7897801302531</v>
      </c>
      <c r="N427" s="6" t="s">
        <v>20</v>
      </c>
      <c r="O427" s="6" t="s">
        <v>20</v>
      </c>
      <c r="P427" s="6" t="s">
        <v>20</v>
      </c>
      <c r="Q427" s="6">
        <v>0.18</v>
      </c>
      <c r="R427" s="6">
        <v>7.0000000000000007E-2</v>
      </c>
      <c r="S427" s="6">
        <v>0.32</v>
      </c>
      <c r="T427" s="8">
        <v>10</v>
      </c>
      <c r="U427" s="5" t="s">
        <v>994</v>
      </c>
      <c r="V427" s="89">
        <v>0</v>
      </c>
      <c r="W427" s="15">
        <v>17897801302538</v>
      </c>
      <c r="X427" s="6">
        <v>0.5</v>
      </c>
      <c r="Y427" s="6">
        <v>0.2</v>
      </c>
      <c r="Z427" s="6">
        <v>0.7</v>
      </c>
      <c r="AA427" s="6">
        <f>Y427*X427*Z427</f>
        <v>6.9999999999999993E-2</v>
      </c>
      <c r="AB427" s="8">
        <v>200</v>
      </c>
      <c r="AC427" s="15">
        <v>27897801302535</v>
      </c>
      <c r="AD427" s="4" t="s">
        <v>992</v>
      </c>
    </row>
    <row r="428" spans="2:30" x14ac:dyDescent="0.35">
      <c r="B428" s="14">
        <v>651</v>
      </c>
      <c r="C428" s="4" t="s">
        <v>433</v>
      </c>
      <c r="D428" s="4" t="s">
        <v>2370</v>
      </c>
      <c r="E428" s="4" t="s">
        <v>2913</v>
      </c>
      <c r="F428" s="4" t="s">
        <v>85</v>
      </c>
      <c r="G428" s="4" t="s">
        <v>993</v>
      </c>
      <c r="H428" s="6">
        <v>8.7499999999999994E-2</v>
      </c>
      <c r="I428" s="8">
        <v>88</v>
      </c>
      <c r="J428" s="8">
        <v>88</v>
      </c>
      <c r="K428" s="8">
        <v>90</v>
      </c>
      <c r="L428" s="8">
        <f t="shared" si="16"/>
        <v>696960</v>
      </c>
      <c r="M428" s="15">
        <v>7897801302548</v>
      </c>
      <c r="N428" s="6" t="s">
        <v>20</v>
      </c>
      <c r="O428" s="6" t="s">
        <v>20</v>
      </c>
      <c r="P428" s="6" t="s">
        <v>20</v>
      </c>
      <c r="Q428" s="6">
        <v>0.23</v>
      </c>
      <c r="R428" s="6">
        <v>0.11</v>
      </c>
      <c r="S428" s="6">
        <v>0.43</v>
      </c>
      <c r="T428" s="8">
        <v>10</v>
      </c>
      <c r="U428" s="5" t="s">
        <v>994</v>
      </c>
      <c r="V428" s="89">
        <v>0</v>
      </c>
      <c r="W428" s="15">
        <v>17897801302545</v>
      </c>
      <c r="X428" s="6">
        <v>0.49</v>
      </c>
      <c r="Y428" s="6">
        <v>0.24</v>
      </c>
      <c r="Z428" s="6">
        <v>0.75</v>
      </c>
      <c r="AA428" s="6">
        <f>Y428*X428*Z428</f>
        <v>8.8200000000000001E-2</v>
      </c>
      <c r="AB428" s="8">
        <v>100</v>
      </c>
      <c r="AC428" s="15">
        <v>27897801302542</v>
      </c>
      <c r="AD428" s="4" t="s">
        <v>992</v>
      </c>
    </row>
    <row r="429" spans="2:30" x14ac:dyDescent="0.35">
      <c r="B429" s="14">
        <v>652</v>
      </c>
      <c r="C429" s="4" t="s">
        <v>434</v>
      </c>
      <c r="D429" s="4" t="s">
        <v>2370</v>
      </c>
      <c r="E429" s="4" t="s">
        <v>2913</v>
      </c>
      <c r="F429" s="4" t="s">
        <v>85</v>
      </c>
      <c r="G429" s="4" t="s">
        <v>993</v>
      </c>
      <c r="H429" s="6">
        <v>0.18029999999999999</v>
      </c>
      <c r="I429" s="8">
        <v>114.7</v>
      </c>
      <c r="J429" s="8">
        <v>114.7</v>
      </c>
      <c r="K429" s="8">
        <v>133</v>
      </c>
      <c r="L429" s="8">
        <f t="shared" si="16"/>
        <v>1749759.97</v>
      </c>
      <c r="M429" s="15">
        <v>7897801302555</v>
      </c>
      <c r="N429" s="6" t="s">
        <v>20</v>
      </c>
      <c r="O429" s="6" t="s">
        <v>20</v>
      </c>
      <c r="P429" s="6" t="s">
        <v>20</v>
      </c>
      <c r="Q429" s="6">
        <v>0.42</v>
      </c>
      <c r="R429" s="6">
        <v>0.13300000000000001</v>
      </c>
      <c r="S429" s="6">
        <v>0.51</v>
      </c>
      <c r="T429" s="8">
        <v>10</v>
      </c>
      <c r="U429" s="5" t="s">
        <v>994</v>
      </c>
      <c r="V429" s="89">
        <v>0</v>
      </c>
      <c r="W429" s="15">
        <v>17897801302552</v>
      </c>
      <c r="X429" s="6" t="s">
        <v>20</v>
      </c>
      <c r="Y429" s="6" t="s">
        <v>20</v>
      </c>
      <c r="Z429" s="6" t="s">
        <v>20</v>
      </c>
      <c r="AA429" s="6"/>
      <c r="AB429" s="8">
        <v>0</v>
      </c>
      <c r="AC429" s="15">
        <v>27897801302559</v>
      </c>
      <c r="AD429" s="4" t="s">
        <v>992</v>
      </c>
    </row>
    <row r="430" spans="2:30" x14ac:dyDescent="0.35">
      <c r="B430" s="14">
        <v>653</v>
      </c>
      <c r="C430" s="4" t="s">
        <v>435</v>
      </c>
      <c r="D430" s="4" t="s">
        <v>2403</v>
      </c>
      <c r="E430" s="4" t="s">
        <v>2913</v>
      </c>
      <c r="F430" s="4" t="s">
        <v>85</v>
      </c>
      <c r="G430" s="4" t="s">
        <v>993</v>
      </c>
      <c r="H430" s="6">
        <v>0.4284</v>
      </c>
      <c r="I430" s="8">
        <v>163.80000000000001</v>
      </c>
      <c r="J430" s="8">
        <v>140</v>
      </c>
      <c r="K430" s="8">
        <v>163.80000000000001</v>
      </c>
      <c r="L430" s="8">
        <f t="shared" si="16"/>
        <v>3756261.6</v>
      </c>
      <c r="M430" s="15">
        <v>7897801308090</v>
      </c>
      <c r="N430" s="6" t="s">
        <v>20</v>
      </c>
      <c r="O430" s="6" t="s">
        <v>20</v>
      </c>
      <c r="P430" s="6" t="s">
        <v>20</v>
      </c>
      <c r="Q430" s="6">
        <v>0.38</v>
      </c>
      <c r="R430" s="6">
        <v>0.14000000000000001</v>
      </c>
      <c r="S430" s="6">
        <v>0.62</v>
      </c>
      <c r="T430" s="8">
        <v>5</v>
      </c>
      <c r="U430" s="5" t="s">
        <v>994</v>
      </c>
      <c r="V430" s="89">
        <v>0</v>
      </c>
      <c r="W430" s="15">
        <v>17897801308097</v>
      </c>
      <c r="X430" s="6" t="s">
        <v>20</v>
      </c>
      <c r="Y430" s="6" t="s">
        <v>20</v>
      </c>
      <c r="Z430" s="6" t="s">
        <v>20</v>
      </c>
      <c r="AA430" s="6"/>
      <c r="AB430" s="8">
        <v>0</v>
      </c>
      <c r="AC430" s="15">
        <v>27897801308094</v>
      </c>
      <c r="AD430" s="4" t="s">
        <v>992</v>
      </c>
    </row>
    <row r="431" spans="2:30" x14ac:dyDescent="0.35">
      <c r="B431" s="14">
        <v>654</v>
      </c>
      <c r="C431" s="4" t="s">
        <v>436</v>
      </c>
      <c r="D431" s="4" t="s">
        <v>2370</v>
      </c>
      <c r="E431" s="4" t="s">
        <v>2913</v>
      </c>
      <c r="F431" s="4" t="s">
        <v>85</v>
      </c>
      <c r="G431" s="4" t="s">
        <v>993</v>
      </c>
      <c r="H431" s="6">
        <v>6.8599999999999994E-2</v>
      </c>
      <c r="I431" s="8">
        <v>75.5</v>
      </c>
      <c r="J431" s="8">
        <v>75.5</v>
      </c>
      <c r="K431" s="8">
        <v>107.5</v>
      </c>
      <c r="L431" s="8">
        <f t="shared" si="16"/>
        <v>612776.875</v>
      </c>
      <c r="M431" s="15">
        <v>7897801302104</v>
      </c>
      <c r="N431" s="6" t="s">
        <v>20</v>
      </c>
      <c r="O431" s="6" t="s">
        <v>20</v>
      </c>
      <c r="P431" s="6" t="s">
        <v>20</v>
      </c>
      <c r="Q431" s="6">
        <v>0.25</v>
      </c>
      <c r="R431" s="6">
        <v>7.8E-2</v>
      </c>
      <c r="S431" s="6">
        <v>0.28000000000000003</v>
      </c>
      <c r="T431" s="8">
        <v>10</v>
      </c>
      <c r="U431" s="5" t="s">
        <v>994</v>
      </c>
      <c r="V431" s="89">
        <v>0</v>
      </c>
      <c r="W431" s="15">
        <v>17897801302101</v>
      </c>
      <c r="X431" s="6">
        <v>0.6</v>
      </c>
      <c r="Y431" s="6">
        <v>0.26</v>
      </c>
      <c r="Z431" s="6">
        <v>0.65</v>
      </c>
      <c r="AA431" s="6">
        <f>Y431*X431*Z431</f>
        <v>0.1014</v>
      </c>
      <c r="AB431" s="8">
        <v>140</v>
      </c>
      <c r="AC431" s="15">
        <v>27897801302108</v>
      </c>
      <c r="AD431" s="4" t="s">
        <v>992</v>
      </c>
    </row>
    <row r="432" spans="2:30" x14ac:dyDescent="0.35">
      <c r="B432" s="14">
        <v>655</v>
      </c>
      <c r="C432" s="4" t="s">
        <v>437</v>
      </c>
      <c r="D432" s="4" t="s">
        <v>2370</v>
      </c>
      <c r="E432" s="4" t="s">
        <v>2913</v>
      </c>
      <c r="F432" s="4" t="s">
        <v>85</v>
      </c>
      <c r="G432" s="4" t="s">
        <v>993</v>
      </c>
      <c r="H432" s="6">
        <v>0.11070000000000001</v>
      </c>
      <c r="I432" s="8">
        <v>100</v>
      </c>
      <c r="J432" s="8">
        <v>135</v>
      </c>
      <c r="K432" s="8">
        <v>100</v>
      </c>
      <c r="L432" s="8">
        <f t="shared" si="16"/>
        <v>1350000</v>
      </c>
      <c r="M432" s="15">
        <v>7897801301657</v>
      </c>
      <c r="N432" s="6" t="s">
        <v>20</v>
      </c>
      <c r="O432" s="6" t="s">
        <v>20</v>
      </c>
      <c r="P432" s="6" t="s">
        <v>20</v>
      </c>
      <c r="Q432" s="6">
        <v>0.3</v>
      </c>
      <c r="R432" s="6">
        <v>0.11</v>
      </c>
      <c r="S432" s="6">
        <v>0.4</v>
      </c>
      <c r="T432" s="8">
        <v>10</v>
      </c>
      <c r="U432" s="5" t="s">
        <v>994</v>
      </c>
      <c r="V432" s="89">
        <v>0</v>
      </c>
      <c r="W432" s="15">
        <v>17897801301654</v>
      </c>
      <c r="X432" s="6" t="s">
        <v>20</v>
      </c>
      <c r="Y432" s="6" t="s">
        <v>20</v>
      </c>
      <c r="Z432" s="6" t="s">
        <v>20</v>
      </c>
      <c r="AA432" s="6"/>
      <c r="AB432" s="8">
        <v>0</v>
      </c>
      <c r="AC432" s="15">
        <v>27897801301651</v>
      </c>
      <c r="AD432" s="4" t="s">
        <v>992</v>
      </c>
    </row>
    <row r="433" spans="2:30" x14ac:dyDescent="0.35">
      <c r="B433" s="14">
        <v>656</v>
      </c>
      <c r="C433" s="4" t="s">
        <v>438</v>
      </c>
      <c r="D433" s="4" t="s">
        <v>2370</v>
      </c>
      <c r="E433" s="4" t="s">
        <v>2913</v>
      </c>
      <c r="F433" s="4" t="s">
        <v>85</v>
      </c>
      <c r="G433" s="4" t="s">
        <v>993</v>
      </c>
      <c r="H433" s="6">
        <v>0.1206</v>
      </c>
      <c r="I433" s="8">
        <v>101.6</v>
      </c>
      <c r="J433" s="8">
        <v>101.6</v>
      </c>
      <c r="K433" s="8">
        <v>122</v>
      </c>
      <c r="L433" s="8">
        <f t="shared" si="16"/>
        <v>1259352.3199999998</v>
      </c>
      <c r="M433" s="15">
        <v>7897801302159</v>
      </c>
      <c r="N433" s="6" t="s">
        <v>20</v>
      </c>
      <c r="O433" s="6" t="s">
        <v>20</v>
      </c>
      <c r="P433" s="6" t="s">
        <v>20</v>
      </c>
      <c r="Q433" s="6">
        <v>0.4</v>
      </c>
      <c r="R433" s="6">
        <v>0.11</v>
      </c>
      <c r="S433" s="6">
        <v>0.43</v>
      </c>
      <c r="T433" s="8">
        <v>10</v>
      </c>
      <c r="U433" s="5" t="s">
        <v>994</v>
      </c>
      <c r="V433" s="89">
        <v>0</v>
      </c>
      <c r="W433" s="15">
        <v>17897801302156</v>
      </c>
      <c r="X433" s="6" t="s">
        <v>20</v>
      </c>
      <c r="Y433" s="6" t="s">
        <v>20</v>
      </c>
      <c r="Z433" s="6" t="s">
        <v>20</v>
      </c>
      <c r="AA433" s="6"/>
      <c r="AB433" s="8">
        <v>0</v>
      </c>
      <c r="AC433" s="15">
        <v>27897801302153</v>
      </c>
      <c r="AD433" s="4" t="s">
        <v>992</v>
      </c>
    </row>
    <row r="434" spans="2:30" x14ac:dyDescent="0.35">
      <c r="B434" s="14">
        <v>657</v>
      </c>
      <c r="C434" s="4" t="s">
        <v>439</v>
      </c>
      <c r="D434" s="4" t="s">
        <v>2403</v>
      </c>
      <c r="E434" s="4" t="s">
        <v>2913</v>
      </c>
      <c r="F434" s="4" t="s">
        <v>85</v>
      </c>
      <c r="G434" s="4" t="s">
        <v>993</v>
      </c>
      <c r="H434" s="6">
        <v>0.2888</v>
      </c>
      <c r="I434" s="8">
        <v>150</v>
      </c>
      <c r="J434" s="8">
        <v>150</v>
      </c>
      <c r="K434" s="8">
        <v>150</v>
      </c>
      <c r="L434" s="8">
        <f t="shared" si="16"/>
        <v>3375000</v>
      </c>
      <c r="M434" s="15">
        <v>7897801301459</v>
      </c>
      <c r="N434" s="6" t="s">
        <v>20</v>
      </c>
      <c r="O434" s="6" t="s">
        <v>20</v>
      </c>
      <c r="P434" s="6" t="s">
        <v>20</v>
      </c>
      <c r="Q434" s="6">
        <v>0.4</v>
      </c>
      <c r="R434" s="6">
        <v>0.15</v>
      </c>
      <c r="S434" s="6">
        <v>0.49</v>
      </c>
      <c r="T434" s="8">
        <v>5</v>
      </c>
      <c r="U434" s="5" t="s">
        <v>994</v>
      </c>
      <c r="V434" s="89">
        <v>0</v>
      </c>
      <c r="W434" s="15">
        <v>17897801301456</v>
      </c>
      <c r="X434" s="6" t="s">
        <v>20</v>
      </c>
      <c r="Y434" s="6" t="s">
        <v>20</v>
      </c>
      <c r="Z434" s="6" t="s">
        <v>20</v>
      </c>
      <c r="AA434" s="6"/>
      <c r="AB434" s="8">
        <v>0</v>
      </c>
      <c r="AC434" s="15">
        <v>27897801301453</v>
      </c>
      <c r="AD434" s="4" t="s">
        <v>992</v>
      </c>
    </row>
    <row r="435" spans="2:30" x14ac:dyDescent="0.35">
      <c r="B435" s="14">
        <v>658</v>
      </c>
      <c r="C435" s="4" t="s">
        <v>440</v>
      </c>
      <c r="D435" s="4" t="s">
        <v>2411</v>
      </c>
      <c r="E435" s="4" t="s">
        <v>2913</v>
      </c>
      <c r="F435" s="4" t="s">
        <v>85</v>
      </c>
      <c r="G435" s="4" t="s">
        <v>993</v>
      </c>
      <c r="H435" s="6">
        <v>3.9100000000000003E-2</v>
      </c>
      <c r="I435" s="8">
        <v>88</v>
      </c>
      <c r="J435" s="8">
        <v>46</v>
      </c>
      <c r="K435" s="8">
        <v>67</v>
      </c>
      <c r="L435" s="8">
        <f t="shared" si="16"/>
        <v>271216</v>
      </c>
      <c r="M435" s="15">
        <v>7897801300278</v>
      </c>
      <c r="N435" s="6" t="s">
        <v>20</v>
      </c>
      <c r="O435" s="6" t="s">
        <v>20</v>
      </c>
      <c r="P435" s="6" t="s">
        <v>20</v>
      </c>
      <c r="Q435" s="6">
        <v>0.25</v>
      </c>
      <c r="R435" s="6">
        <v>0.1</v>
      </c>
      <c r="S435" s="6">
        <v>0.47</v>
      </c>
      <c r="T435" s="8">
        <v>25</v>
      </c>
      <c r="U435" s="5" t="s">
        <v>994</v>
      </c>
      <c r="V435" s="89">
        <v>0</v>
      </c>
      <c r="W435" s="15">
        <v>17897801300275</v>
      </c>
      <c r="X435" s="6">
        <v>0.56000000000000005</v>
      </c>
      <c r="Y435" s="6">
        <v>0.17</v>
      </c>
      <c r="Z435" s="6">
        <v>0.75</v>
      </c>
      <c r="AA435" s="6">
        <f>Y435*X435*Z435</f>
        <v>7.1400000000000019E-2</v>
      </c>
      <c r="AB435" s="8">
        <v>200</v>
      </c>
      <c r="AC435" s="15">
        <v>27897801300272</v>
      </c>
      <c r="AD435" s="4" t="s">
        <v>992</v>
      </c>
    </row>
    <row r="436" spans="2:30" x14ac:dyDescent="0.35">
      <c r="B436" s="14">
        <v>659</v>
      </c>
      <c r="C436" s="4" t="s">
        <v>441</v>
      </c>
      <c r="D436" s="4" t="s">
        <v>2370</v>
      </c>
      <c r="E436" s="4" t="s">
        <v>2913</v>
      </c>
      <c r="F436" s="4" t="s">
        <v>85</v>
      </c>
      <c r="G436" s="4" t="s">
        <v>993</v>
      </c>
      <c r="H436" s="6">
        <v>9.5899999999999999E-2</v>
      </c>
      <c r="I436" s="8">
        <v>110.5</v>
      </c>
      <c r="J436" s="8">
        <v>63</v>
      </c>
      <c r="K436" s="8">
        <v>152.5</v>
      </c>
      <c r="L436" s="8">
        <f t="shared" si="16"/>
        <v>1061628.75</v>
      </c>
      <c r="M436" s="15">
        <v>7897801301497</v>
      </c>
      <c r="N436" s="6" t="s">
        <v>20</v>
      </c>
      <c r="O436" s="6" t="s">
        <v>20</v>
      </c>
      <c r="P436" s="6" t="s">
        <v>20</v>
      </c>
      <c r="Q436" s="6">
        <v>0.27</v>
      </c>
      <c r="R436" s="6">
        <v>0.1</v>
      </c>
      <c r="S436" s="6">
        <v>0.4</v>
      </c>
      <c r="T436" s="8">
        <v>10</v>
      </c>
      <c r="U436" s="5" t="s">
        <v>994</v>
      </c>
      <c r="V436" s="89">
        <v>0</v>
      </c>
      <c r="W436" s="15">
        <v>17897801301494</v>
      </c>
      <c r="X436" s="6">
        <v>0.5</v>
      </c>
      <c r="Y436" s="6">
        <v>0.28000000000000003</v>
      </c>
      <c r="Z436" s="6">
        <v>0.66</v>
      </c>
      <c r="AA436" s="6">
        <f>Y436*X436*Z436</f>
        <v>9.240000000000001E-2</v>
      </c>
      <c r="AB436" s="8">
        <v>90</v>
      </c>
      <c r="AC436" s="15">
        <v>27897801301491</v>
      </c>
      <c r="AD436" s="4" t="s">
        <v>992</v>
      </c>
    </row>
    <row r="437" spans="2:30" x14ac:dyDescent="0.35">
      <c r="B437" s="14">
        <v>660</v>
      </c>
      <c r="C437" s="4" t="s">
        <v>442</v>
      </c>
      <c r="D437" s="4" t="s">
        <v>2370</v>
      </c>
      <c r="E437" s="4" t="s">
        <v>2913</v>
      </c>
      <c r="F437" s="4" t="s">
        <v>85</v>
      </c>
      <c r="G437" s="4" t="s">
        <v>993</v>
      </c>
      <c r="H437" s="6">
        <v>0.1855</v>
      </c>
      <c r="I437" s="8">
        <v>143.9</v>
      </c>
      <c r="J437" s="8">
        <v>87.8</v>
      </c>
      <c r="K437" s="8">
        <v>184</v>
      </c>
      <c r="L437" s="8">
        <f t="shared" si="16"/>
        <v>2324733.2799999998</v>
      </c>
      <c r="M437" s="15">
        <v>7897801301756</v>
      </c>
      <c r="N437" s="6" t="s">
        <v>20</v>
      </c>
      <c r="O437" s="6" t="s">
        <v>20</v>
      </c>
      <c r="P437" s="6" t="s">
        <v>20</v>
      </c>
      <c r="Q437" s="6">
        <v>0.38</v>
      </c>
      <c r="R437" s="6">
        <v>0.18</v>
      </c>
      <c r="S437" s="6">
        <v>0.6</v>
      </c>
      <c r="T437" s="8">
        <v>10</v>
      </c>
      <c r="U437" s="5" t="s">
        <v>994</v>
      </c>
      <c r="V437" s="89">
        <v>0</v>
      </c>
      <c r="W437" s="15">
        <v>17897801301753</v>
      </c>
      <c r="X437" s="6" t="s">
        <v>20</v>
      </c>
      <c r="Y437" s="6" t="s">
        <v>20</v>
      </c>
      <c r="Z437" s="6" t="s">
        <v>20</v>
      </c>
      <c r="AA437" s="6"/>
      <c r="AB437" s="8">
        <v>0</v>
      </c>
      <c r="AC437" s="15">
        <v>27897801301750</v>
      </c>
      <c r="AD437" s="4" t="s">
        <v>992</v>
      </c>
    </row>
    <row r="438" spans="2:30" x14ac:dyDescent="0.35">
      <c r="B438" s="14">
        <v>661</v>
      </c>
      <c r="C438" s="4" t="s">
        <v>443</v>
      </c>
      <c r="D438" s="4" t="s">
        <v>2370</v>
      </c>
      <c r="E438" s="4" t="s">
        <v>2913</v>
      </c>
      <c r="F438" s="4" t="s">
        <v>85</v>
      </c>
      <c r="G438" s="4" t="s">
        <v>993</v>
      </c>
      <c r="H438" s="6">
        <v>0.30299999999999999</v>
      </c>
      <c r="I438" s="8">
        <v>177.3</v>
      </c>
      <c r="J438" s="8">
        <v>114.7</v>
      </c>
      <c r="K438" s="8">
        <v>224</v>
      </c>
      <c r="L438" s="8">
        <f t="shared" si="16"/>
        <v>4555333.4400000004</v>
      </c>
      <c r="M438" s="15">
        <v>7897801301268</v>
      </c>
      <c r="N438" s="6" t="s">
        <v>20</v>
      </c>
      <c r="O438" s="6" t="s">
        <v>20</v>
      </c>
      <c r="P438" s="6" t="s">
        <v>20</v>
      </c>
      <c r="Q438" s="6">
        <v>0.5</v>
      </c>
      <c r="R438" s="6">
        <v>0.21</v>
      </c>
      <c r="S438" s="6">
        <v>0.67</v>
      </c>
      <c r="T438" s="8">
        <v>10</v>
      </c>
      <c r="U438" s="5" t="s">
        <v>994</v>
      </c>
      <c r="V438" s="89">
        <v>0</v>
      </c>
      <c r="W438" s="15">
        <v>17897801301265</v>
      </c>
      <c r="X438" s="6" t="s">
        <v>20</v>
      </c>
      <c r="Y438" s="6" t="s">
        <v>20</v>
      </c>
      <c r="Z438" s="6" t="s">
        <v>20</v>
      </c>
      <c r="AA438" s="6"/>
      <c r="AB438" s="8">
        <v>0</v>
      </c>
      <c r="AC438" s="15">
        <v>27897801301262</v>
      </c>
      <c r="AD438" s="4" t="s">
        <v>992</v>
      </c>
    </row>
    <row r="439" spans="2:30" x14ac:dyDescent="0.35">
      <c r="B439" s="14">
        <v>662</v>
      </c>
      <c r="C439" s="4" t="s">
        <v>444</v>
      </c>
      <c r="D439" s="4" t="s">
        <v>2403</v>
      </c>
      <c r="E439" s="4" t="s">
        <v>2913</v>
      </c>
      <c r="F439" s="4" t="s">
        <v>85</v>
      </c>
      <c r="G439" s="4" t="s">
        <v>993</v>
      </c>
      <c r="H439" s="6">
        <v>0.86729999999999996</v>
      </c>
      <c r="I439" s="8">
        <v>259.5</v>
      </c>
      <c r="J439" s="8">
        <v>169</v>
      </c>
      <c r="K439" s="8">
        <v>296</v>
      </c>
      <c r="L439" s="8">
        <f t="shared" si="16"/>
        <v>12981228</v>
      </c>
      <c r="M439" s="15">
        <v>7897801303019</v>
      </c>
      <c r="N439" s="6" t="s">
        <v>20</v>
      </c>
      <c r="O439" s="6" t="s">
        <v>20</v>
      </c>
      <c r="P439" s="6" t="s">
        <v>20</v>
      </c>
      <c r="Q439" s="6">
        <v>0.53</v>
      </c>
      <c r="R439" s="6">
        <v>0.3</v>
      </c>
      <c r="S439" s="6">
        <v>0.77</v>
      </c>
      <c r="T439" s="8">
        <v>5</v>
      </c>
      <c r="U439" s="5" t="s">
        <v>994</v>
      </c>
      <c r="V439" s="89">
        <v>0</v>
      </c>
      <c r="W439" s="15">
        <v>17897801303016</v>
      </c>
      <c r="X439" s="6" t="s">
        <v>20</v>
      </c>
      <c r="Y439" s="6" t="s">
        <v>20</v>
      </c>
      <c r="Z439" s="6" t="s">
        <v>20</v>
      </c>
      <c r="AA439" s="6"/>
      <c r="AB439" s="8">
        <v>0</v>
      </c>
      <c r="AC439" s="15">
        <v>27897801303013</v>
      </c>
      <c r="AD439" s="4" t="s">
        <v>992</v>
      </c>
    </row>
    <row r="440" spans="2:30" x14ac:dyDescent="0.35">
      <c r="B440" s="14">
        <v>663</v>
      </c>
      <c r="C440" s="4" t="s">
        <v>445</v>
      </c>
      <c r="D440" s="4" t="s">
        <v>2370</v>
      </c>
      <c r="E440" s="4" t="s">
        <v>2913</v>
      </c>
      <c r="F440" s="4" t="s">
        <v>85</v>
      </c>
      <c r="G440" s="4" t="s">
        <v>993</v>
      </c>
      <c r="H440" s="6">
        <v>0.1389</v>
      </c>
      <c r="I440" s="8">
        <v>133.9</v>
      </c>
      <c r="J440" s="8">
        <v>87.8</v>
      </c>
      <c r="K440" s="8">
        <v>160</v>
      </c>
      <c r="L440" s="8">
        <f t="shared" si="16"/>
        <v>1881027.2</v>
      </c>
      <c r="M440" s="15">
        <v>7897801302487</v>
      </c>
      <c r="N440" s="6" t="s">
        <v>20</v>
      </c>
      <c r="O440" s="6" t="s">
        <v>20</v>
      </c>
      <c r="P440" s="6" t="s">
        <v>20</v>
      </c>
      <c r="Q440" s="6">
        <v>0.33</v>
      </c>
      <c r="R440" s="6">
        <v>0.12</v>
      </c>
      <c r="S440" s="6">
        <v>0.4</v>
      </c>
      <c r="T440" s="8">
        <v>10</v>
      </c>
      <c r="U440" s="5" t="s">
        <v>994</v>
      </c>
      <c r="V440" s="89">
        <v>0</v>
      </c>
      <c r="W440" s="15">
        <v>17897801302484</v>
      </c>
      <c r="X440" s="6" t="s">
        <v>20</v>
      </c>
      <c r="Y440" s="6" t="s">
        <v>20</v>
      </c>
      <c r="Z440" s="6" t="s">
        <v>20</v>
      </c>
      <c r="AA440" s="6"/>
      <c r="AB440" s="8">
        <v>0</v>
      </c>
      <c r="AC440" s="15">
        <v>27897801302481</v>
      </c>
      <c r="AD440" s="4" t="s">
        <v>992</v>
      </c>
    </row>
    <row r="441" spans="2:30" x14ac:dyDescent="0.35">
      <c r="B441" s="14">
        <v>664</v>
      </c>
      <c r="C441" s="4" t="s">
        <v>446</v>
      </c>
      <c r="D441" s="4" t="s">
        <v>2370</v>
      </c>
      <c r="E441" s="4" t="s">
        <v>2913</v>
      </c>
      <c r="F441" s="4" t="s">
        <v>85</v>
      </c>
      <c r="G441" s="4" t="s">
        <v>993</v>
      </c>
      <c r="H441" s="6">
        <v>0.1961</v>
      </c>
      <c r="I441" s="8">
        <v>160</v>
      </c>
      <c r="J441" s="8">
        <v>114.7</v>
      </c>
      <c r="K441" s="8">
        <v>167</v>
      </c>
      <c r="L441" s="8">
        <f t="shared" si="16"/>
        <v>3064784</v>
      </c>
      <c r="M441" s="15">
        <v>7897801301480</v>
      </c>
      <c r="N441" s="6" t="s">
        <v>20</v>
      </c>
      <c r="O441" s="6" t="s">
        <v>20</v>
      </c>
      <c r="P441" s="6" t="s">
        <v>20</v>
      </c>
      <c r="Q441" s="6">
        <v>0.4</v>
      </c>
      <c r="R441" s="6">
        <v>0.17</v>
      </c>
      <c r="S441" s="6">
        <v>0.6</v>
      </c>
      <c r="T441" s="8">
        <v>10</v>
      </c>
      <c r="U441" s="5" t="s">
        <v>994</v>
      </c>
      <c r="V441" s="89">
        <v>0</v>
      </c>
      <c r="W441" s="15">
        <v>17897801301487</v>
      </c>
      <c r="X441" s="6" t="s">
        <v>20</v>
      </c>
      <c r="Y441" s="6" t="s">
        <v>20</v>
      </c>
      <c r="Z441" s="6" t="s">
        <v>20</v>
      </c>
      <c r="AA441" s="6"/>
      <c r="AB441" s="8">
        <v>0</v>
      </c>
      <c r="AC441" s="15">
        <v>27897801301484</v>
      </c>
      <c r="AD441" s="4" t="s">
        <v>992</v>
      </c>
    </row>
    <row r="442" spans="2:30" x14ac:dyDescent="0.35">
      <c r="B442" s="14">
        <v>665</v>
      </c>
      <c r="C442" s="4" t="s">
        <v>447</v>
      </c>
      <c r="D442" s="4" t="s">
        <v>2370</v>
      </c>
      <c r="E442" s="4" t="s">
        <v>2913</v>
      </c>
      <c r="F442" s="4" t="s">
        <v>85</v>
      </c>
      <c r="G442" s="4" t="s">
        <v>993</v>
      </c>
      <c r="H442" s="6">
        <v>0.26750000000000002</v>
      </c>
      <c r="I442" s="8">
        <v>168.8</v>
      </c>
      <c r="J442" s="8">
        <v>114.7</v>
      </c>
      <c r="K442" s="8">
        <v>197</v>
      </c>
      <c r="L442" s="8">
        <f t="shared" ref="L442:L472" si="17">J442*I442*K442</f>
        <v>3814187.92</v>
      </c>
      <c r="M442" s="15">
        <v>7897801302463</v>
      </c>
      <c r="N442" s="6" t="s">
        <v>20</v>
      </c>
      <c r="O442" s="6" t="s">
        <v>20</v>
      </c>
      <c r="P442" s="6" t="s">
        <v>20</v>
      </c>
      <c r="Q442" s="6">
        <v>0.55000000000000004</v>
      </c>
      <c r="R442" s="6">
        <v>0.18</v>
      </c>
      <c r="S442" s="6">
        <v>0.81</v>
      </c>
      <c r="T442" s="8">
        <v>10</v>
      </c>
      <c r="U442" s="5" t="s">
        <v>994</v>
      </c>
      <c r="V442" s="89">
        <v>0</v>
      </c>
      <c r="W442" s="15">
        <v>17897801302460</v>
      </c>
      <c r="X442" s="6" t="s">
        <v>20</v>
      </c>
      <c r="Y442" s="6" t="s">
        <v>20</v>
      </c>
      <c r="Z442" s="6" t="s">
        <v>20</v>
      </c>
      <c r="AA442" s="6"/>
      <c r="AB442" s="8">
        <v>0</v>
      </c>
      <c r="AC442" s="15">
        <v>27897801302467</v>
      </c>
      <c r="AD442" s="4" t="s">
        <v>992</v>
      </c>
    </row>
    <row r="443" spans="2:30" x14ac:dyDescent="0.35">
      <c r="B443" s="14">
        <v>666</v>
      </c>
      <c r="C443" s="4" t="s">
        <v>448</v>
      </c>
      <c r="D443" s="4" t="s">
        <v>2403</v>
      </c>
      <c r="E443" s="4" t="s">
        <v>2913</v>
      </c>
      <c r="F443" s="4" t="s">
        <v>85</v>
      </c>
      <c r="G443" s="4" t="s">
        <v>993</v>
      </c>
      <c r="H443" s="6">
        <v>0.61650000000000005</v>
      </c>
      <c r="I443" s="8">
        <v>218.2</v>
      </c>
      <c r="J443" s="8">
        <v>246</v>
      </c>
      <c r="K443" s="8">
        <v>218.2</v>
      </c>
      <c r="L443" s="8">
        <f t="shared" si="17"/>
        <v>11712365.039999999</v>
      </c>
      <c r="M443" s="15">
        <v>7897801307451</v>
      </c>
      <c r="N443" s="6" t="s">
        <v>20</v>
      </c>
      <c r="O443" s="6" t="s">
        <v>20</v>
      </c>
      <c r="P443" s="6" t="s">
        <v>20</v>
      </c>
      <c r="Q443" s="6">
        <v>0.46</v>
      </c>
      <c r="R443" s="6">
        <v>0.28999999999999998</v>
      </c>
      <c r="S443" s="6">
        <v>0.64</v>
      </c>
      <c r="T443" s="8">
        <v>5</v>
      </c>
      <c r="U443" s="5" t="s">
        <v>994</v>
      </c>
      <c r="V443" s="89">
        <v>0</v>
      </c>
      <c r="W443" s="15">
        <v>17897801307458</v>
      </c>
      <c r="X443" s="6" t="s">
        <v>20</v>
      </c>
      <c r="Y443" s="6" t="s">
        <v>20</v>
      </c>
      <c r="Z443" s="6" t="s">
        <v>20</v>
      </c>
      <c r="AA443" s="6"/>
      <c r="AB443" s="8">
        <v>0</v>
      </c>
      <c r="AC443" s="15">
        <v>27897801307455</v>
      </c>
      <c r="AD443" s="4" t="s">
        <v>992</v>
      </c>
    </row>
    <row r="444" spans="2:30" x14ac:dyDescent="0.35">
      <c r="B444" s="14">
        <v>668</v>
      </c>
      <c r="C444" s="4" t="s">
        <v>449</v>
      </c>
      <c r="D444" s="4" t="s">
        <v>2374</v>
      </c>
      <c r="E444" s="4" t="s">
        <v>2913</v>
      </c>
      <c r="F444" s="4" t="s">
        <v>85</v>
      </c>
      <c r="G444" s="4" t="s">
        <v>993</v>
      </c>
      <c r="H444" s="6">
        <v>0.89649999999999996</v>
      </c>
      <c r="I444" s="8">
        <v>167</v>
      </c>
      <c r="J444" s="8">
        <v>195</v>
      </c>
      <c r="K444" s="8">
        <v>203</v>
      </c>
      <c r="L444" s="8">
        <f t="shared" si="17"/>
        <v>6610695</v>
      </c>
      <c r="M444" s="15">
        <v>7897801311199</v>
      </c>
      <c r="N444" s="6" t="s">
        <v>20</v>
      </c>
      <c r="O444" s="6" t="s">
        <v>20</v>
      </c>
      <c r="P444" s="6" t="s">
        <v>20</v>
      </c>
      <c r="Q444" s="6">
        <v>0.17</v>
      </c>
      <c r="R444" s="6">
        <v>0.2</v>
      </c>
      <c r="S444" s="6">
        <v>0.23</v>
      </c>
      <c r="T444" s="8">
        <v>1</v>
      </c>
      <c r="U444" s="5" t="s">
        <v>1003</v>
      </c>
      <c r="V444" s="89">
        <v>0</v>
      </c>
      <c r="W444" s="15">
        <v>17897801311196</v>
      </c>
      <c r="X444" s="6">
        <v>0.4</v>
      </c>
      <c r="Y444" s="6">
        <v>0.2</v>
      </c>
      <c r="Z444" s="6">
        <v>0.65</v>
      </c>
      <c r="AA444" s="6">
        <f>Y444*X444*Z444</f>
        <v>5.2000000000000011E-2</v>
      </c>
      <c r="AB444" s="8">
        <v>0</v>
      </c>
      <c r="AC444" s="15">
        <v>27897801311193</v>
      </c>
      <c r="AD444" s="4" t="s">
        <v>992</v>
      </c>
    </row>
    <row r="445" spans="2:30" x14ac:dyDescent="0.35">
      <c r="B445" s="14">
        <v>669</v>
      </c>
      <c r="C445" s="4" t="s">
        <v>450</v>
      </c>
      <c r="D445" s="4" t="s">
        <v>2374</v>
      </c>
      <c r="E445" s="4" t="s">
        <v>2913</v>
      </c>
      <c r="F445" s="4" t="s">
        <v>85</v>
      </c>
      <c r="G445" s="4" t="s">
        <v>1004</v>
      </c>
      <c r="H445" s="6">
        <v>1.2074</v>
      </c>
      <c r="I445" s="8">
        <v>305</v>
      </c>
      <c r="J445" s="8">
        <v>230</v>
      </c>
      <c r="K445" s="8">
        <v>220</v>
      </c>
      <c r="L445" s="8">
        <f t="shared" si="17"/>
        <v>15433000</v>
      </c>
      <c r="M445" s="15">
        <v>7897801316774</v>
      </c>
      <c r="N445" s="6" t="s">
        <v>20</v>
      </c>
      <c r="O445" s="6" t="s">
        <v>20</v>
      </c>
      <c r="P445" s="6" t="s">
        <v>20</v>
      </c>
      <c r="Q445" s="6">
        <v>0.25</v>
      </c>
      <c r="R445" s="6">
        <v>0.22</v>
      </c>
      <c r="S445" s="6">
        <v>0.32</v>
      </c>
      <c r="T445" s="8">
        <v>1</v>
      </c>
      <c r="U445" s="5" t="s">
        <v>1003</v>
      </c>
      <c r="V445" s="89">
        <v>0</v>
      </c>
      <c r="W445" s="15">
        <v>17897801316771</v>
      </c>
      <c r="X445" s="6" t="s">
        <v>20</v>
      </c>
      <c r="Y445" s="6" t="s">
        <v>20</v>
      </c>
      <c r="Z445" s="6" t="s">
        <v>20</v>
      </c>
      <c r="AA445" s="6"/>
      <c r="AB445" s="8">
        <v>0</v>
      </c>
      <c r="AC445" s="15">
        <v>27897801316778</v>
      </c>
      <c r="AD445" s="4" t="s">
        <v>992</v>
      </c>
    </row>
    <row r="446" spans="2:30" x14ac:dyDescent="0.35">
      <c r="B446" s="14">
        <v>670</v>
      </c>
      <c r="C446" s="4" t="s">
        <v>451</v>
      </c>
      <c r="D446" s="4" t="s">
        <v>2405</v>
      </c>
      <c r="E446" s="4" t="s">
        <v>2913</v>
      </c>
      <c r="F446" s="4" t="s">
        <v>85</v>
      </c>
      <c r="G446" s="4" t="s">
        <v>993</v>
      </c>
      <c r="H446" s="6">
        <v>3.2000000000000002E-3</v>
      </c>
      <c r="I446" s="8">
        <v>48</v>
      </c>
      <c r="J446" s="8">
        <v>48</v>
      </c>
      <c r="K446" s="8">
        <v>5</v>
      </c>
      <c r="L446" s="8">
        <f t="shared" si="17"/>
        <v>11520</v>
      </c>
      <c r="M446" s="15">
        <v>7897801302357</v>
      </c>
      <c r="N446" s="6" t="s">
        <v>20</v>
      </c>
      <c r="O446" s="6" t="s">
        <v>20</v>
      </c>
      <c r="P446" s="6" t="s">
        <v>20</v>
      </c>
      <c r="Q446" s="6">
        <v>0.15</v>
      </c>
      <c r="R446" s="6">
        <v>0.04</v>
      </c>
      <c r="S446" s="6">
        <v>0.2</v>
      </c>
      <c r="T446" s="8">
        <v>50</v>
      </c>
      <c r="U446" s="5" t="s">
        <v>1005</v>
      </c>
      <c r="V446" s="89">
        <v>0</v>
      </c>
      <c r="W446" s="15">
        <v>17897801302354</v>
      </c>
      <c r="X446" s="6">
        <v>0.5</v>
      </c>
      <c r="Y446" s="6">
        <v>0.15</v>
      </c>
      <c r="Z446" s="6">
        <v>0.75</v>
      </c>
      <c r="AA446" s="6">
        <f>Y446*X446*Z446</f>
        <v>5.6249999999999994E-2</v>
      </c>
      <c r="AB446" s="8">
        <v>4000</v>
      </c>
      <c r="AC446" s="15">
        <v>27897801302351</v>
      </c>
      <c r="AD446" s="4" t="s">
        <v>992</v>
      </c>
    </row>
    <row r="447" spans="2:30" x14ac:dyDescent="0.35">
      <c r="B447" s="14">
        <v>671</v>
      </c>
      <c r="C447" s="4" t="s">
        <v>452</v>
      </c>
      <c r="D447" s="4" t="s">
        <v>2405</v>
      </c>
      <c r="E447" s="4" t="s">
        <v>2913</v>
      </c>
      <c r="F447" s="4" t="s">
        <v>85</v>
      </c>
      <c r="G447" s="4" t="s">
        <v>993</v>
      </c>
      <c r="H447" s="6">
        <v>6.4000000000000003E-3</v>
      </c>
      <c r="I447" s="8">
        <v>63</v>
      </c>
      <c r="J447" s="8">
        <v>63</v>
      </c>
      <c r="K447" s="8">
        <v>6</v>
      </c>
      <c r="L447" s="8">
        <f t="shared" si="17"/>
        <v>23814</v>
      </c>
      <c r="M447" s="15">
        <v>7897801302364</v>
      </c>
      <c r="N447" s="6" t="s">
        <v>20</v>
      </c>
      <c r="O447" s="6" t="s">
        <v>20</v>
      </c>
      <c r="P447" s="6" t="s">
        <v>20</v>
      </c>
      <c r="Q447" s="6">
        <v>0.17</v>
      </c>
      <c r="R447" s="6">
        <v>3.5000000000000003E-2</v>
      </c>
      <c r="S447" s="6">
        <v>0.25</v>
      </c>
      <c r="T447" s="8">
        <v>50</v>
      </c>
      <c r="U447" s="5" t="s">
        <v>1005</v>
      </c>
      <c r="V447" s="89">
        <v>0</v>
      </c>
      <c r="W447" s="15">
        <v>17897801302361</v>
      </c>
      <c r="X447" s="6">
        <v>0.48</v>
      </c>
      <c r="Y447" s="6">
        <v>0.14000000000000001</v>
      </c>
      <c r="Z447" s="6">
        <v>0.75</v>
      </c>
      <c r="AA447" s="6">
        <f>Y447*X447*Z447</f>
        <v>5.0400000000000007E-2</v>
      </c>
      <c r="AB447" s="8">
        <v>2500</v>
      </c>
      <c r="AC447" s="15">
        <v>27897801302368</v>
      </c>
      <c r="AD447" s="4" t="s">
        <v>992</v>
      </c>
    </row>
    <row r="448" spans="2:30" x14ac:dyDescent="0.35">
      <c r="B448" s="14">
        <v>672</v>
      </c>
      <c r="C448" s="4" t="s">
        <v>453</v>
      </c>
      <c r="D448" s="4" t="s">
        <v>2405</v>
      </c>
      <c r="E448" s="4" t="s">
        <v>2913</v>
      </c>
      <c r="F448" s="4" t="s">
        <v>85</v>
      </c>
      <c r="G448" s="4" t="s">
        <v>993</v>
      </c>
      <c r="H448" s="6">
        <v>9.7999999999999997E-3</v>
      </c>
      <c r="I448" s="8">
        <v>89</v>
      </c>
      <c r="J448" s="8">
        <v>89</v>
      </c>
      <c r="K448" s="8">
        <v>6</v>
      </c>
      <c r="L448" s="8">
        <f t="shared" si="17"/>
        <v>47526</v>
      </c>
      <c r="M448" s="15">
        <v>7897801302371</v>
      </c>
      <c r="N448" s="6" t="s">
        <v>20</v>
      </c>
      <c r="O448" s="6" t="s">
        <v>20</v>
      </c>
      <c r="P448" s="6" t="s">
        <v>20</v>
      </c>
      <c r="Q448" s="6">
        <v>0.11</v>
      </c>
      <c r="R448" s="6">
        <v>0.05</v>
      </c>
      <c r="S448" s="6">
        <v>0.18</v>
      </c>
      <c r="T448" s="8">
        <v>25</v>
      </c>
      <c r="U448" s="5" t="s">
        <v>1005</v>
      </c>
      <c r="V448" s="89">
        <v>0</v>
      </c>
      <c r="W448" s="15">
        <v>17897801302378</v>
      </c>
      <c r="X448" s="6">
        <v>0.49</v>
      </c>
      <c r="Y448" s="6">
        <v>0.17</v>
      </c>
      <c r="Z448" s="6">
        <v>0.68</v>
      </c>
      <c r="AA448" s="6">
        <f>Y448*X448*Z448</f>
        <v>5.6644000000000007E-2</v>
      </c>
      <c r="AB448" s="8">
        <v>2000</v>
      </c>
      <c r="AC448" s="15">
        <v>27897801302375</v>
      </c>
      <c r="AD448" s="4" t="s">
        <v>992</v>
      </c>
    </row>
    <row r="449" spans="2:30" x14ac:dyDescent="0.35">
      <c r="B449" s="14">
        <v>673</v>
      </c>
      <c r="C449" s="4" t="s">
        <v>454</v>
      </c>
      <c r="D449" s="4" t="s">
        <v>2405</v>
      </c>
      <c r="E449" s="4" t="s">
        <v>2913</v>
      </c>
      <c r="F449" s="4" t="s">
        <v>85</v>
      </c>
      <c r="G449" s="4" t="s">
        <v>993</v>
      </c>
      <c r="H449" s="6">
        <v>1.2699999999999999E-2</v>
      </c>
      <c r="I449" s="8">
        <v>116</v>
      </c>
      <c r="J449" s="8">
        <v>116</v>
      </c>
      <c r="K449" s="8">
        <v>6</v>
      </c>
      <c r="L449" s="8">
        <f t="shared" si="17"/>
        <v>80736</v>
      </c>
      <c r="M449" s="15">
        <v>7897801302388</v>
      </c>
      <c r="N449" s="6" t="s">
        <v>20</v>
      </c>
      <c r="O449" s="6" t="s">
        <v>20</v>
      </c>
      <c r="P449" s="6" t="s">
        <v>20</v>
      </c>
      <c r="Q449" s="6">
        <v>0.15</v>
      </c>
      <c r="R449" s="6">
        <v>0.06</v>
      </c>
      <c r="S449" s="6">
        <v>0.2</v>
      </c>
      <c r="T449" s="8">
        <v>25</v>
      </c>
      <c r="U449" s="5" t="s">
        <v>1005</v>
      </c>
      <c r="V449" s="89">
        <v>0</v>
      </c>
      <c r="W449" s="15">
        <v>17897801302385</v>
      </c>
      <c r="X449" s="6">
        <v>0.48</v>
      </c>
      <c r="Y449" s="6">
        <v>0.12</v>
      </c>
      <c r="Z449" s="6">
        <v>0.72</v>
      </c>
      <c r="AA449" s="6">
        <f>Y449*X449*Z449</f>
        <v>4.1471999999999995E-2</v>
      </c>
      <c r="AB449" s="8">
        <v>1500</v>
      </c>
      <c r="AC449" s="15">
        <v>27897801302382</v>
      </c>
      <c r="AD449" s="4" t="s">
        <v>992</v>
      </c>
    </row>
    <row r="450" spans="2:30" x14ac:dyDescent="0.35">
      <c r="B450" s="14">
        <v>674</v>
      </c>
      <c r="C450" s="4" t="s">
        <v>455</v>
      </c>
      <c r="D450" s="4" t="s">
        <v>2405</v>
      </c>
      <c r="E450" s="4" t="s">
        <v>2913</v>
      </c>
      <c r="F450" s="4" t="s">
        <v>85</v>
      </c>
      <c r="G450" s="4" t="s">
        <v>993</v>
      </c>
      <c r="H450" s="6">
        <v>4.2000000000000003E-2</v>
      </c>
      <c r="I450" s="8">
        <v>163</v>
      </c>
      <c r="J450" s="8">
        <v>163</v>
      </c>
      <c r="K450" s="8">
        <v>9</v>
      </c>
      <c r="L450" s="8">
        <f t="shared" si="17"/>
        <v>239121</v>
      </c>
      <c r="M450" s="15">
        <v>7897801302395</v>
      </c>
      <c r="N450" s="6" t="s">
        <v>20</v>
      </c>
      <c r="O450" s="6" t="s">
        <v>20</v>
      </c>
      <c r="P450" s="6" t="s">
        <v>20</v>
      </c>
      <c r="Q450" s="6">
        <v>0.18</v>
      </c>
      <c r="R450" s="6">
        <v>0.05</v>
      </c>
      <c r="S450" s="6">
        <v>0.26</v>
      </c>
      <c r="T450" s="8">
        <v>15</v>
      </c>
      <c r="U450" s="5" t="s">
        <v>1005</v>
      </c>
      <c r="V450" s="89">
        <v>0</v>
      </c>
      <c r="W450" s="15">
        <v>17897801302392</v>
      </c>
      <c r="X450" s="6">
        <v>0.53</v>
      </c>
      <c r="Y450" s="6">
        <v>0.18</v>
      </c>
      <c r="Z450" s="6">
        <v>0.76</v>
      </c>
      <c r="AA450" s="6">
        <f>Y450*X450*Z450</f>
        <v>7.2503999999999999E-2</v>
      </c>
      <c r="AB450" s="8">
        <v>450</v>
      </c>
      <c r="AC450" s="15">
        <v>27897801302399</v>
      </c>
      <c r="AD450" s="4" t="s">
        <v>992</v>
      </c>
    </row>
    <row r="451" spans="2:30" x14ac:dyDescent="0.35">
      <c r="B451" s="14">
        <v>675</v>
      </c>
      <c r="C451" s="4" t="s">
        <v>456</v>
      </c>
      <c r="D451" s="4" t="s">
        <v>2406</v>
      </c>
      <c r="E451" s="4" t="s">
        <v>2913</v>
      </c>
      <c r="F451" s="4" t="s">
        <v>85</v>
      </c>
      <c r="G451" s="4" t="s">
        <v>995</v>
      </c>
      <c r="H451" s="6">
        <v>0.16</v>
      </c>
      <c r="I451" s="8">
        <v>150</v>
      </c>
      <c r="J451" s="8">
        <v>45</v>
      </c>
      <c r="K451" s="8">
        <v>70</v>
      </c>
      <c r="L451" s="8">
        <f t="shared" si="17"/>
        <v>472500</v>
      </c>
      <c r="M451" s="15">
        <v>7897801302708</v>
      </c>
      <c r="N451" s="6" t="s">
        <v>20</v>
      </c>
      <c r="O451" s="6" t="s">
        <v>20</v>
      </c>
      <c r="P451" s="6" t="s">
        <v>20</v>
      </c>
      <c r="Q451" s="6">
        <v>0.215</v>
      </c>
      <c r="R451" s="6">
        <v>0.14499999999999999</v>
      </c>
      <c r="S451" s="6">
        <v>0.24</v>
      </c>
      <c r="T451" s="8">
        <v>24</v>
      </c>
      <c r="U451" s="5" t="s">
        <v>1006</v>
      </c>
      <c r="V451" s="89">
        <v>3.2500000000000001E-2</v>
      </c>
      <c r="W451" s="15">
        <v>17897801302705</v>
      </c>
      <c r="X451" s="6" t="s">
        <v>20</v>
      </c>
      <c r="Y451" s="6" t="s">
        <v>20</v>
      </c>
      <c r="Z451" s="6" t="s">
        <v>20</v>
      </c>
      <c r="AA451" s="6"/>
      <c r="AB451" s="8">
        <v>0</v>
      </c>
      <c r="AC451" s="15">
        <v>27897801302702</v>
      </c>
      <c r="AD451" s="4" t="s">
        <v>1001</v>
      </c>
    </row>
    <row r="452" spans="2:30" x14ac:dyDescent="0.35">
      <c r="B452" s="14">
        <v>676</v>
      </c>
      <c r="C452" s="4" t="s">
        <v>457</v>
      </c>
      <c r="D452" s="4" t="s">
        <v>2406</v>
      </c>
      <c r="E452" s="4" t="s">
        <v>2913</v>
      </c>
      <c r="F452" s="4" t="s">
        <v>85</v>
      </c>
      <c r="G452" s="4" t="s">
        <v>995</v>
      </c>
      <c r="H452" s="6">
        <v>0.4</v>
      </c>
      <c r="I452" s="8">
        <v>180</v>
      </c>
      <c r="J452" s="8">
        <v>70</v>
      </c>
      <c r="K452" s="8">
        <v>100</v>
      </c>
      <c r="L452" s="8">
        <f t="shared" si="17"/>
        <v>1260000</v>
      </c>
      <c r="M452" s="15">
        <v>7897801302715</v>
      </c>
      <c r="N452" s="6" t="s">
        <v>20</v>
      </c>
      <c r="O452" s="6" t="s">
        <v>20</v>
      </c>
      <c r="P452" s="6" t="s">
        <v>20</v>
      </c>
      <c r="Q452" s="6">
        <v>0.17</v>
      </c>
      <c r="R452" s="6">
        <v>0.19500000000000001</v>
      </c>
      <c r="S452" s="6">
        <v>0.3</v>
      </c>
      <c r="T452" s="8">
        <v>12</v>
      </c>
      <c r="U452" s="5" t="s">
        <v>1006</v>
      </c>
      <c r="V452" s="89">
        <v>3.2500000000000001E-2</v>
      </c>
      <c r="W452" s="15">
        <v>17897801302712</v>
      </c>
      <c r="X452" s="6" t="s">
        <v>20</v>
      </c>
      <c r="Y452" s="6" t="s">
        <v>20</v>
      </c>
      <c r="Z452" s="6" t="s">
        <v>20</v>
      </c>
      <c r="AA452" s="6"/>
      <c r="AB452" s="8">
        <v>0</v>
      </c>
      <c r="AC452" s="15">
        <v>27897801302719</v>
      </c>
      <c r="AD452" s="4" t="s">
        <v>1001</v>
      </c>
    </row>
    <row r="453" spans="2:30" x14ac:dyDescent="0.35">
      <c r="B453" s="14">
        <v>677</v>
      </c>
      <c r="C453" s="4" t="s">
        <v>458</v>
      </c>
      <c r="D453" s="4" t="s">
        <v>2406</v>
      </c>
      <c r="E453" s="4" t="s">
        <v>2913</v>
      </c>
      <c r="F453" s="4" t="s">
        <v>85</v>
      </c>
      <c r="G453" s="4" t="s">
        <v>995</v>
      </c>
      <c r="H453" s="6">
        <v>1</v>
      </c>
      <c r="I453" s="8">
        <v>170</v>
      </c>
      <c r="J453" s="8">
        <v>40</v>
      </c>
      <c r="K453" s="8">
        <v>100</v>
      </c>
      <c r="L453" s="8">
        <f t="shared" si="17"/>
        <v>680000</v>
      </c>
      <c r="M453" s="15">
        <v>7897801302722</v>
      </c>
      <c r="N453" s="6" t="s">
        <v>20</v>
      </c>
      <c r="O453" s="6" t="s">
        <v>20</v>
      </c>
      <c r="P453" s="6" t="s">
        <v>20</v>
      </c>
      <c r="Q453" s="6">
        <v>0.23499999999999999</v>
      </c>
      <c r="R453" s="6">
        <v>0.16</v>
      </c>
      <c r="S453" s="6">
        <v>0.30499999999999999</v>
      </c>
      <c r="T453" s="8">
        <v>6</v>
      </c>
      <c r="U453" s="5" t="s">
        <v>1006</v>
      </c>
      <c r="V453" s="89">
        <v>3.2500000000000001E-2</v>
      </c>
      <c r="W453" s="15">
        <v>17897801302729</v>
      </c>
      <c r="X453" s="6" t="s">
        <v>20</v>
      </c>
      <c r="Y453" s="6" t="s">
        <v>20</v>
      </c>
      <c r="Z453" s="6" t="s">
        <v>20</v>
      </c>
      <c r="AA453" s="6"/>
      <c r="AB453" s="8">
        <v>0</v>
      </c>
      <c r="AC453" s="15">
        <v>27897801302726</v>
      </c>
      <c r="AD453" s="4" t="s">
        <v>1001</v>
      </c>
    </row>
    <row r="454" spans="2:30" x14ac:dyDescent="0.35">
      <c r="B454" s="14">
        <v>678</v>
      </c>
      <c r="C454" s="4" t="s">
        <v>459</v>
      </c>
      <c r="D454" s="4" t="s">
        <v>2405</v>
      </c>
      <c r="E454" s="4" t="s">
        <v>2913</v>
      </c>
      <c r="F454" s="4" t="s">
        <v>85</v>
      </c>
      <c r="G454" s="4" t="s">
        <v>993</v>
      </c>
      <c r="H454" s="6">
        <v>4.2000000000000003E-2</v>
      </c>
      <c r="I454" s="8">
        <v>210</v>
      </c>
      <c r="J454" s="8">
        <v>12</v>
      </c>
      <c r="K454" s="8">
        <v>210</v>
      </c>
      <c r="L454" s="8">
        <f t="shared" si="17"/>
        <v>529200</v>
      </c>
      <c r="M454" s="15">
        <v>7897801309233</v>
      </c>
      <c r="N454" s="6" t="s">
        <v>20</v>
      </c>
      <c r="O454" s="6" t="s">
        <v>20</v>
      </c>
      <c r="P454" s="6" t="s">
        <v>20</v>
      </c>
      <c r="Q454" s="6">
        <v>0.19500000000000001</v>
      </c>
      <c r="R454" s="6">
        <v>0.03</v>
      </c>
      <c r="S454" s="6">
        <v>0.28999999999999998</v>
      </c>
      <c r="T454" s="8">
        <v>5</v>
      </c>
      <c r="U454" s="5" t="s">
        <v>1005</v>
      </c>
      <c r="V454" s="89">
        <v>0</v>
      </c>
      <c r="W454" s="15">
        <v>17897801309230</v>
      </c>
      <c r="X454" s="6">
        <v>0.49</v>
      </c>
      <c r="Y454" s="6">
        <v>0.15</v>
      </c>
      <c r="Z454" s="6">
        <v>0.65</v>
      </c>
      <c r="AA454" s="6">
        <f>Y454*X454*Z454</f>
        <v>4.7774999999999998E-2</v>
      </c>
      <c r="AB454" s="8">
        <v>300</v>
      </c>
      <c r="AC454" s="15">
        <v>27897801309237</v>
      </c>
      <c r="AD454" s="4" t="s">
        <v>992</v>
      </c>
    </row>
    <row r="455" spans="2:30" x14ac:dyDescent="0.35">
      <c r="B455" s="14">
        <v>680</v>
      </c>
      <c r="C455" s="4" t="s">
        <v>460</v>
      </c>
      <c r="D455" s="4" t="s">
        <v>2409</v>
      </c>
      <c r="E455" s="4" t="s">
        <v>2915</v>
      </c>
      <c r="F455" s="4" t="s">
        <v>85</v>
      </c>
      <c r="G455" s="4" t="s">
        <v>995</v>
      </c>
      <c r="H455" s="6">
        <v>0.625</v>
      </c>
      <c r="I455" s="8">
        <v>447</v>
      </c>
      <c r="J455" s="8">
        <v>28</v>
      </c>
      <c r="K455" s="8">
        <v>360</v>
      </c>
      <c r="L455" s="8">
        <f t="shared" si="17"/>
        <v>4505760</v>
      </c>
      <c r="M455" s="15">
        <v>7897801308175</v>
      </c>
      <c r="N455" s="6" t="s">
        <v>20</v>
      </c>
      <c r="O455" s="6" t="s">
        <v>20</v>
      </c>
      <c r="P455" s="6" t="s">
        <v>20</v>
      </c>
      <c r="Q455" s="6">
        <v>0.2</v>
      </c>
      <c r="R455" s="6">
        <v>0.46500000000000002</v>
      </c>
      <c r="S455" s="6">
        <v>0.38500000000000001</v>
      </c>
      <c r="T455" s="8">
        <v>6</v>
      </c>
      <c r="U455" s="5" t="s">
        <v>1007</v>
      </c>
      <c r="V455" s="89">
        <v>0</v>
      </c>
      <c r="W455" s="15">
        <v>17897801308172</v>
      </c>
      <c r="X455" s="6" t="s">
        <v>20</v>
      </c>
      <c r="Y455" s="6" t="s">
        <v>20</v>
      </c>
      <c r="Z455" s="6" t="s">
        <v>20</v>
      </c>
      <c r="AA455" s="6"/>
      <c r="AB455" s="8">
        <v>0</v>
      </c>
      <c r="AC455" s="15">
        <v>27897801308179</v>
      </c>
      <c r="AD455" s="4" t="s">
        <v>992</v>
      </c>
    </row>
    <row r="456" spans="2:30" x14ac:dyDescent="0.35">
      <c r="B456" s="14">
        <v>681</v>
      </c>
      <c r="C456" s="4" t="s">
        <v>461</v>
      </c>
      <c r="D456" s="4" t="s">
        <v>2409</v>
      </c>
      <c r="E456" s="4" t="s">
        <v>2915</v>
      </c>
      <c r="F456" s="4" t="s">
        <v>85</v>
      </c>
      <c r="G456" s="4" t="s">
        <v>995</v>
      </c>
      <c r="H456" s="6">
        <v>0.625</v>
      </c>
      <c r="I456" s="8">
        <v>447</v>
      </c>
      <c r="J456" s="8">
        <v>28</v>
      </c>
      <c r="K456" s="8">
        <v>360</v>
      </c>
      <c r="L456" s="8">
        <f t="shared" si="17"/>
        <v>4505760</v>
      </c>
      <c r="M456" s="15">
        <v>7897801308182</v>
      </c>
      <c r="N456" s="6" t="s">
        <v>20</v>
      </c>
      <c r="O456" s="6" t="s">
        <v>20</v>
      </c>
      <c r="P456" s="6" t="s">
        <v>20</v>
      </c>
      <c r="Q456" s="6">
        <v>0.2</v>
      </c>
      <c r="R456" s="6">
        <v>0.46500000000000002</v>
      </c>
      <c r="S456" s="6">
        <v>0.38500000000000001</v>
      </c>
      <c r="T456" s="8">
        <v>6</v>
      </c>
      <c r="U456" s="5" t="s">
        <v>1007</v>
      </c>
      <c r="V456" s="89">
        <v>0</v>
      </c>
      <c r="W456" s="15">
        <v>17897801308189</v>
      </c>
      <c r="X456" s="6" t="s">
        <v>20</v>
      </c>
      <c r="Y456" s="6" t="s">
        <v>20</v>
      </c>
      <c r="Z456" s="6" t="s">
        <v>20</v>
      </c>
      <c r="AA456" s="6"/>
      <c r="AB456" s="8">
        <v>0</v>
      </c>
      <c r="AC456" s="15">
        <v>27897801308186</v>
      </c>
      <c r="AD456" s="4" t="s">
        <v>992</v>
      </c>
    </row>
    <row r="457" spans="2:30" x14ac:dyDescent="0.35">
      <c r="B457" s="14">
        <v>682</v>
      </c>
      <c r="C457" s="4" t="s">
        <v>462</v>
      </c>
      <c r="D457" s="4" t="s">
        <v>2409</v>
      </c>
      <c r="E457" s="4" t="s">
        <v>2915</v>
      </c>
      <c r="F457" s="4" t="s">
        <v>85</v>
      </c>
      <c r="G457" s="4" t="s">
        <v>995</v>
      </c>
      <c r="H457" s="6">
        <v>0.625</v>
      </c>
      <c r="I457" s="8">
        <v>447</v>
      </c>
      <c r="J457" s="8">
        <v>28</v>
      </c>
      <c r="K457" s="8">
        <v>360</v>
      </c>
      <c r="L457" s="8">
        <f t="shared" si="17"/>
        <v>4505760</v>
      </c>
      <c r="M457" s="15">
        <v>7897801308199</v>
      </c>
      <c r="N457" s="6" t="s">
        <v>20</v>
      </c>
      <c r="O457" s="6" t="s">
        <v>20</v>
      </c>
      <c r="P457" s="6" t="s">
        <v>20</v>
      </c>
      <c r="Q457" s="6">
        <v>0.2</v>
      </c>
      <c r="R457" s="6">
        <v>0.46500000000000002</v>
      </c>
      <c r="S457" s="6">
        <v>0.38500000000000001</v>
      </c>
      <c r="T457" s="8">
        <v>6</v>
      </c>
      <c r="U457" s="5" t="s">
        <v>1007</v>
      </c>
      <c r="V457" s="89">
        <v>0</v>
      </c>
      <c r="W457" s="15">
        <v>17897801308196</v>
      </c>
      <c r="X457" s="6" t="s">
        <v>20</v>
      </c>
      <c r="Y457" s="6" t="s">
        <v>20</v>
      </c>
      <c r="Z457" s="6" t="s">
        <v>20</v>
      </c>
      <c r="AA457" s="6"/>
      <c r="AB457" s="8">
        <v>0</v>
      </c>
      <c r="AC457" s="15">
        <v>27897801308193</v>
      </c>
      <c r="AD457" s="4" t="s">
        <v>992</v>
      </c>
    </row>
    <row r="458" spans="2:30" x14ac:dyDescent="0.35">
      <c r="B458" s="14">
        <v>683</v>
      </c>
      <c r="C458" s="4" t="s">
        <v>463</v>
      </c>
      <c r="D458" s="4" t="s">
        <v>2409</v>
      </c>
      <c r="E458" s="4" t="s">
        <v>2915</v>
      </c>
      <c r="F458" s="4" t="s">
        <v>85</v>
      </c>
      <c r="G458" s="4" t="s">
        <v>995</v>
      </c>
      <c r="H458" s="6">
        <v>0.625</v>
      </c>
      <c r="I458" s="8">
        <v>447</v>
      </c>
      <c r="J458" s="8">
        <v>28</v>
      </c>
      <c r="K458" s="8">
        <v>360</v>
      </c>
      <c r="L458" s="8">
        <f t="shared" si="17"/>
        <v>4505760</v>
      </c>
      <c r="M458" s="15">
        <v>7897801308205</v>
      </c>
      <c r="N458" s="6" t="s">
        <v>20</v>
      </c>
      <c r="O458" s="6" t="s">
        <v>20</v>
      </c>
      <c r="P458" s="6" t="s">
        <v>20</v>
      </c>
      <c r="Q458" s="6">
        <v>0.2</v>
      </c>
      <c r="R458" s="6">
        <v>0.46500000000000002</v>
      </c>
      <c r="S458" s="6">
        <v>0.38500000000000001</v>
      </c>
      <c r="T458" s="8">
        <v>6</v>
      </c>
      <c r="U458" s="5" t="s">
        <v>1007</v>
      </c>
      <c r="V458" s="89">
        <v>0</v>
      </c>
      <c r="W458" s="15">
        <v>17897801308202</v>
      </c>
      <c r="X458" s="6" t="s">
        <v>20</v>
      </c>
      <c r="Y458" s="6" t="s">
        <v>20</v>
      </c>
      <c r="Z458" s="6" t="s">
        <v>20</v>
      </c>
      <c r="AA458" s="6"/>
      <c r="AB458" s="8">
        <v>0</v>
      </c>
      <c r="AC458" s="15">
        <v>27897801308209</v>
      </c>
      <c r="AD458" s="4" t="s">
        <v>992</v>
      </c>
    </row>
    <row r="459" spans="2:30" x14ac:dyDescent="0.35">
      <c r="B459" s="14">
        <v>700</v>
      </c>
      <c r="C459" s="4" t="s">
        <v>464</v>
      </c>
      <c r="D459" s="4" t="s">
        <v>2370</v>
      </c>
      <c r="E459" s="4" t="s">
        <v>2913</v>
      </c>
      <c r="F459" s="4" t="s">
        <v>85</v>
      </c>
      <c r="G459" s="4" t="s">
        <v>993</v>
      </c>
      <c r="H459" s="6">
        <v>0.1487</v>
      </c>
      <c r="I459" s="8">
        <v>420</v>
      </c>
      <c r="J459" s="8">
        <v>140</v>
      </c>
      <c r="K459" s="8">
        <v>460</v>
      </c>
      <c r="L459" s="8">
        <f t="shared" si="17"/>
        <v>27048000</v>
      </c>
      <c r="M459" s="15">
        <v>7897801312110</v>
      </c>
      <c r="N459" s="6" t="s">
        <v>20</v>
      </c>
      <c r="O459" s="6" t="s">
        <v>20</v>
      </c>
      <c r="P459" s="6" t="s">
        <v>20</v>
      </c>
      <c r="Q459" s="6">
        <v>0.35</v>
      </c>
      <c r="R459" s="6">
        <v>0.1</v>
      </c>
      <c r="S459" s="6">
        <v>0.42</v>
      </c>
      <c r="T459" s="8">
        <v>5</v>
      </c>
      <c r="U459" s="5" t="s">
        <v>994</v>
      </c>
      <c r="V459" s="89">
        <v>0</v>
      </c>
      <c r="W459" s="15">
        <v>17897801312117</v>
      </c>
      <c r="X459" s="6" t="s">
        <v>20</v>
      </c>
      <c r="Y459" s="6" t="s">
        <v>20</v>
      </c>
      <c r="Z459" s="6" t="s">
        <v>20</v>
      </c>
      <c r="AA459" s="6"/>
      <c r="AB459" s="8">
        <v>0</v>
      </c>
      <c r="AC459" s="15">
        <v>27897801312114</v>
      </c>
      <c r="AD459" s="4" t="s">
        <v>992</v>
      </c>
    </row>
    <row r="460" spans="2:30" x14ac:dyDescent="0.35">
      <c r="B460" s="14">
        <v>701</v>
      </c>
      <c r="C460" s="4" t="s">
        <v>465</v>
      </c>
      <c r="D460" s="4" t="s">
        <v>2370</v>
      </c>
      <c r="E460" s="4" t="s">
        <v>2913</v>
      </c>
      <c r="F460" s="4" t="s">
        <v>85</v>
      </c>
      <c r="G460" s="4" t="s">
        <v>993</v>
      </c>
      <c r="H460" s="6">
        <v>0.22120000000000001</v>
      </c>
      <c r="I460" s="8">
        <v>190</v>
      </c>
      <c r="J460" s="8">
        <v>110</v>
      </c>
      <c r="K460" s="8">
        <v>170</v>
      </c>
      <c r="L460" s="8">
        <f t="shared" si="17"/>
        <v>3553000</v>
      </c>
      <c r="M460" s="15">
        <v>7897801312547</v>
      </c>
      <c r="N460" s="6" t="s">
        <v>20</v>
      </c>
      <c r="O460" s="6" t="s">
        <v>20</v>
      </c>
      <c r="P460" s="6" t="s">
        <v>20</v>
      </c>
      <c r="Q460" s="6">
        <v>0.39</v>
      </c>
      <c r="R460" s="6">
        <v>0.15</v>
      </c>
      <c r="S460" s="6">
        <v>0.51</v>
      </c>
      <c r="T460" s="8">
        <v>5</v>
      </c>
      <c r="U460" s="5" t="s">
        <v>994</v>
      </c>
      <c r="V460" s="89">
        <v>0</v>
      </c>
      <c r="W460" s="15">
        <v>17897801312544</v>
      </c>
      <c r="X460" s="6" t="s">
        <v>20</v>
      </c>
      <c r="Y460" s="6" t="s">
        <v>20</v>
      </c>
      <c r="Z460" s="6" t="s">
        <v>20</v>
      </c>
      <c r="AA460" s="6"/>
      <c r="AB460" s="8">
        <v>0</v>
      </c>
      <c r="AC460" s="15">
        <v>27897801312541</v>
      </c>
      <c r="AD460" s="4" t="s">
        <v>992</v>
      </c>
    </row>
    <row r="461" spans="2:30" x14ac:dyDescent="0.35">
      <c r="B461" s="14">
        <v>702</v>
      </c>
      <c r="C461" s="4" t="s">
        <v>466</v>
      </c>
      <c r="D461" s="4" t="s">
        <v>2370</v>
      </c>
      <c r="E461" s="4" t="s">
        <v>2913</v>
      </c>
      <c r="F461" s="4" t="s">
        <v>85</v>
      </c>
      <c r="G461" s="4" t="s">
        <v>993</v>
      </c>
      <c r="H461" s="6">
        <v>0.28100000000000003</v>
      </c>
      <c r="I461" s="8">
        <v>220</v>
      </c>
      <c r="J461" s="8">
        <v>100</v>
      </c>
      <c r="K461" s="8">
        <v>220</v>
      </c>
      <c r="L461" s="8">
        <f t="shared" si="17"/>
        <v>4840000</v>
      </c>
      <c r="M461" s="15">
        <v>7897801312554</v>
      </c>
      <c r="N461" s="6" t="s">
        <v>20</v>
      </c>
      <c r="O461" s="6" t="s">
        <v>20</v>
      </c>
      <c r="P461" s="6" t="s">
        <v>20</v>
      </c>
      <c r="Q461" s="6">
        <v>0.43</v>
      </c>
      <c r="R461" s="6">
        <v>9.5000000000000001E-2</v>
      </c>
      <c r="S461" s="6">
        <v>0.6</v>
      </c>
      <c r="T461" s="8">
        <v>5</v>
      </c>
      <c r="U461" s="5" t="s">
        <v>994</v>
      </c>
      <c r="V461" s="89">
        <v>0</v>
      </c>
      <c r="W461" s="15">
        <v>17897801312551</v>
      </c>
      <c r="X461" s="6" t="s">
        <v>20</v>
      </c>
      <c r="Y461" s="6" t="s">
        <v>20</v>
      </c>
      <c r="Z461" s="6" t="s">
        <v>20</v>
      </c>
      <c r="AA461" s="6"/>
      <c r="AB461" s="8">
        <v>0</v>
      </c>
      <c r="AC461" s="15">
        <v>27897801312558</v>
      </c>
      <c r="AD461" s="4" t="s">
        <v>992</v>
      </c>
    </row>
    <row r="462" spans="2:30" x14ac:dyDescent="0.35">
      <c r="B462" s="14">
        <v>704</v>
      </c>
      <c r="C462" s="4" t="s">
        <v>467</v>
      </c>
      <c r="D462" s="4" t="s">
        <v>2370</v>
      </c>
      <c r="E462" s="4" t="s">
        <v>2913</v>
      </c>
      <c r="F462" s="4" t="s">
        <v>85</v>
      </c>
      <c r="G462" s="4" t="s">
        <v>993</v>
      </c>
      <c r="H462" s="6">
        <v>0.19769999999999999</v>
      </c>
      <c r="I462" s="8">
        <v>380</v>
      </c>
      <c r="J462" s="8">
        <v>150</v>
      </c>
      <c r="K462" s="8">
        <v>500</v>
      </c>
      <c r="L462" s="8">
        <f t="shared" si="17"/>
        <v>28500000</v>
      </c>
      <c r="M462" s="15">
        <v>7897801312103</v>
      </c>
      <c r="N462" s="6" t="s">
        <v>20</v>
      </c>
      <c r="O462" s="6" t="s">
        <v>20</v>
      </c>
      <c r="P462" s="6" t="s">
        <v>20</v>
      </c>
      <c r="Q462" s="6">
        <v>0.39</v>
      </c>
      <c r="R462" s="6">
        <v>0.14000000000000001</v>
      </c>
      <c r="S462" s="6">
        <v>0.49</v>
      </c>
      <c r="T462" s="8">
        <v>5</v>
      </c>
      <c r="U462" s="5" t="s">
        <v>994</v>
      </c>
      <c r="V462" s="89">
        <v>0</v>
      </c>
      <c r="W462" s="15">
        <v>17897801312100</v>
      </c>
      <c r="X462" s="6" t="s">
        <v>20</v>
      </c>
      <c r="Y462" s="6" t="s">
        <v>20</v>
      </c>
      <c r="Z462" s="6" t="s">
        <v>20</v>
      </c>
      <c r="AA462" s="6"/>
      <c r="AB462" s="8">
        <v>0</v>
      </c>
      <c r="AC462" s="15">
        <v>27897801312107</v>
      </c>
      <c r="AD462" s="4" t="s">
        <v>992</v>
      </c>
    </row>
    <row r="463" spans="2:30" x14ac:dyDescent="0.35">
      <c r="B463" s="14">
        <v>708</v>
      </c>
      <c r="C463" s="4" t="s">
        <v>468</v>
      </c>
      <c r="D463" s="4" t="s">
        <v>2370</v>
      </c>
      <c r="E463" s="4" t="s">
        <v>2913</v>
      </c>
      <c r="F463" s="4" t="s">
        <v>85</v>
      </c>
      <c r="G463" s="4" t="s">
        <v>993</v>
      </c>
      <c r="H463" s="6">
        <v>0.2626</v>
      </c>
      <c r="I463" s="8">
        <v>370</v>
      </c>
      <c r="J463" s="8">
        <v>160</v>
      </c>
      <c r="K463" s="8">
        <v>570</v>
      </c>
      <c r="L463" s="8">
        <f t="shared" si="17"/>
        <v>33744000</v>
      </c>
      <c r="M463" s="15">
        <v>7897801312097</v>
      </c>
      <c r="N463" s="6" t="s">
        <v>20</v>
      </c>
      <c r="O463" s="6" t="s">
        <v>20</v>
      </c>
      <c r="P463" s="6" t="s">
        <v>20</v>
      </c>
      <c r="Q463" s="6">
        <v>0.47</v>
      </c>
      <c r="R463" s="6">
        <v>0.2</v>
      </c>
      <c r="S463" s="6">
        <v>0.64</v>
      </c>
      <c r="T463" s="8">
        <v>8</v>
      </c>
      <c r="U463" s="5" t="s">
        <v>994</v>
      </c>
      <c r="V463" s="89">
        <v>0</v>
      </c>
      <c r="W463" s="15">
        <v>17897801312094</v>
      </c>
      <c r="X463" s="6" t="s">
        <v>20</v>
      </c>
      <c r="Y463" s="6" t="s">
        <v>20</v>
      </c>
      <c r="Z463" s="6" t="s">
        <v>20</v>
      </c>
      <c r="AA463" s="6"/>
      <c r="AB463" s="8">
        <v>0</v>
      </c>
      <c r="AC463" s="15">
        <v>27897801312091</v>
      </c>
      <c r="AD463" s="4" t="s">
        <v>992</v>
      </c>
    </row>
    <row r="464" spans="2:30" x14ac:dyDescent="0.35">
      <c r="B464" s="14">
        <v>709</v>
      </c>
      <c r="C464" s="4" t="s">
        <v>469</v>
      </c>
      <c r="D464" s="4" t="s">
        <v>2370</v>
      </c>
      <c r="E464" s="4" t="s">
        <v>2913</v>
      </c>
      <c r="F464" s="4" t="s">
        <v>85</v>
      </c>
      <c r="G464" s="4" t="s">
        <v>993</v>
      </c>
      <c r="H464" s="6">
        <v>0.37959999999999999</v>
      </c>
      <c r="I464" s="8">
        <v>260</v>
      </c>
      <c r="J464" s="8">
        <v>110</v>
      </c>
      <c r="K464" s="8">
        <v>220</v>
      </c>
      <c r="L464" s="8">
        <f t="shared" si="17"/>
        <v>6292000</v>
      </c>
      <c r="M464" s="15">
        <v>7897801312134</v>
      </c>
      <c r="N464" s="6" t="s">
        <v>20</v>
      </c>
      <c r="O464" s="6" t="s">
        <v>20</v>
      </c>
      <c r="P464" s="6" t="s">
        <v>20</v>
      </c>
      <c r="Q464" s="6">
        <v>0.42</v>
      </c>
      <c r="R464" s="6">
        <v>0.22</v>
      </c>
      <c r="S464" s="6">
        <v>0.64</v>
      </c>
      <c r="T464" s="8">
        <v>5</v>
      </c>
      <c r="U464" s="5" t="s">
        <v>994</v>
      </c>
      <c r="V464" s="89">
        <v>0</v>
      </c>
      <c r="W464" s="15">
        <v>17897801312131</v>
      </c>
      <c r="X464" s="6" t="s">
        <v>20</v>
      </c>
      <c r="Y464" s="6" t="s">
        <v>20</v>
      </c>
      <c r="Z464" s="6" t="s">
        <v>20</v>
      </c>
      <c r="AA464" s="6"/>
      <c r="AB464" s="8">
        <v>0</v>
      </c>
      <c r="AC464" s="15">
        <v>27897801312138</v>
      </c>
      <c r="AD464" s="4" t="s">
        <v>992</v>
      </c>
    </row>
    <row r="465" spans="2:30" x14ac:dyDescent="0.35">
      <c r="B465" s="14">
        <v>710</v>
      </c>
      <c r="C465" s="4" t="s">
        <v>470</v>
      </c>
      <c r="D465" s="4" t="s">
        <v>2370</v>
      </c>
      <c r="E465" s="4" t="s">
        <v>2913</v>
      </c>
      <c r="F465" s="4" t="s">
        <v>85</v>
      </c>
      <c r="G465" s="4" t="s">
        <v>993</v>
      </c>
      <c r="H465" s="6">
        <v>0.4874</v>
      </c>
      <c r="I465" s="8">
        <v>260</v>
      </c>
      <c r="J465" s="8">
        <v>100</v>
      </c>
      <c r="K465" s="8">
        <v>330</v>
      </c>
      <c r="L465" s="8">
        <f t="shared" si="17"/>
        <v>8580000</v>
      </c>
      <c r="M465" s="15">
        <v>7897801312561</v>
      </c>
      <c r="N465" s="6" t="s">
        <v>20</v>
      </c>
      <c r="O465" s="6" t="s">
        <v>20</v>
      </c>
      <c r="P465" s="6" t="s">
        <v>20</v>
      </c>
      <c r="Q465" s="6">
        <v>0.5</v>
      </c>
      <c r="R465" s="6">
        <v>0.11</v>
      </c>
      <c r="S465" s="6">
        <v>0.65</v>
      </c>
      <c r="T465" s="8">
        <v>5</v>
      </c>
      <c r="U465" s="5" t="s">
        <v>994</v>
      </c>
      <c r="V465" s="89">
        <v>0</v>
      </c>
      <c r="W465" s="15">
        <v>17897801312568</v>
      </c>
      <c r="X465" s="6" t="s">
        <v>20</v>
      </c>
      <c r="Y465" s="6" t="s">
        <v>20</v>
      </c>
      <c r="Z465" s="6" t="s">
        <v>20</v>
      </c>
      <c r="AA465" s="6"/>
      <c r="AB465" s="8">
        <v>0</v>
      </c>
      <c r="AC465" s="15">
        <v>27897801312565</v>
      </c>
      <c r="AD465" s="4" t="s">
        <v>992</v>
      </c>
    </row>
    <row r="466" spans="2:30" x14ac:dyDescent="0.35">
      <c r="B466" s="14">
        <v>714</v>
      </c>
      <c r="C466" s="4" t="s">
        <v>471</v>
      </c>
      <c r="D466" s="4" t="s">
        <v>2403</v>
      </c>
      <c r="E466" s="4" t="s">
        <v>2913</v>
      </c>
      <c r="F466" s="4" t="s">
        <v>85</v>
      </c>
      <c r="G466" s="4" t="s">
        <v>993</v>
      </c>
      <c r="H466" s="6">
        <v>0.92420000000000002</v>
      </c>
      <c r="I466" s="8">
        <v>260</v>
      </c>
      <c r="J466" s="8">
        <v>220</v>
      </c>
      <c r="K466" s="8">
        <v>270</v>
      </c>
      <c r="L466" s="8">
        <f t="shared" si="17"/>
        <v>15444000</v>
      </c>
      <c r="M466" s="15">
        <v>7897801312479</v>
      </c>
      <c r="N466" s="6" t="s">
        <v>20</v>
      </c>
      <c r="O466" s="6" t="s">
        <v>20</v>
      </c>
      <c r="P466" s="6" t="s">
        <v>20</v>
      </c>
      <c r="Q466" s="6">
        <v>0.52</v>
      </c>
      <c r="R466" s="6">
        <v>0.22</v>
      </c>
      <c r="S466" s="6">
        <v>0.65</v>
      </c>
      <c r="T466" s="8">
        <v>1</v>
      </c>
      <c r="U466" s="5" t="s">
        <v>994</v>
      </c>
      <c r="V466" s="89">
        <v>0</v>
      </c>
      <c r="W466" s="15">
        <v>17897801312476</v>
      </c>
      <c r="X466" s="6">
        <v>0.48</v>
      </c>
      <c r="Y466" s="6">
        <v>0.23</v>
      </c>
      <c r="Z466" s="6">
        <v>0.7</v>
      </c>
      <c r="AA466" s="6">
        <f t="shared" ref="AA466:AA472" si="18">Y466*X466*Z466</f>
        <v>7.7279999999999988E-2</v>
      </c>
      <c r="AB466" s="8">
        <v>6</v>
      </c>
      <c r="AC466" s="15">
        <v>27897801312473</v>
      </c>
      <c r="AD466" s="4" t="s">
        <v>992</v>
      </c>
    </row>
    <row r="467" spans="2:30" x14ac:dyDescent="0.35">
      <c r="B467" s="14">
        <v>716</v>
      </c>
      <c r="C467" s="4" t="s">
        <v>472</v>
      </c>
      <c r="D467" s="4" t="s">
        <v>2403</v>
      </c>
      <c r="E467" s="4" t="s">
        <v>2913</v>
      </c>
      <c r="F467" s="4" t="s">
        <v>85</v>
      </c>
      <c r="G467" s="4" t="s">
        <v>993</v>
      </c>
      <c r="H467" s="6">
        <v>1.23</v>
      </c>
      <c r="I467" s="8">
        <v>310</v>
      </c>
      <c r="J467" s="8">
        <v>310</v>
      </c>
      <c r="K467" s="8">
        <v>210</v>
      </c>
      <c r="L467" s="8">
        <f t="shared" si="17"/>
        <v>20181000</v>
      </c>
      <c r="M467" s="15">
        <v>7897801312486</v>
      </c>
      <c r="N467" s="6" t="s">
        <v>20</v>
      </c>
      <c r="O467" s="6" t="s">
        <v>20</v>
      </c>
      <c r="P467" s="6" t="s">
        <v>20</v>
      </c>
      <c r="Q467" s="6">
        <v>0.28000000000000003</v>
      </c>
      <c r="R467" s="6">
        <v>0.23</v>
      </c>
      <c r="S467" s="6">
        <v>0.28000000000000003</v>
      </c>
      <c r="T467" s="8">
        <v>1</v>
      </c>
      <c r="U467" s="5" t="s">
        <v>994</v>
      </c>
      <c r="V467" s="89">
        <v>0</v>
      </c>
      <c r="W467" s="15">
        <v>17897801312483</v>
      </c>
      <c r="X467" s="6">
        <v>0.27</v>
      </c>
      <c r="Y467" s="6">
        <v>0.65</v>
      </c>
      <c r="Z467" s="6">
        <v>0.78</v>
      </c>
      <c r="AA467" s="6">
        <f t="shared" si="18"/>
        <v>0.13689000000000001</v>
      </c>
      <c r="AB467" s="8">
        <v>0</v>
      </c>
      <c r="AC467" s="15">
        <v>27897801312480</v>
      </c>
      <c r="AD467" s="4" t="s">
        <v>992</v>
      </c>
    </row>
    <row r="468" spans="2:30" x14ac:dyDescent="0.35">
      <c r="B468" s="14">
        <v>718</v>
      </c>
      <c r="C468" s="4" t="s">
        <v>473</v>
      </c>
      <c r="D468" s="4" t="s">
        <v>2403</v>
      </c>
      <c r="E468" s="4" t="s">
        <v>2913</v>
      </c>
      <c r="F468" s="4" t="s">
        <v>85</v>
      </c>
      <c r="G468" s="4" t="s">
        <v>993</v>
      </c>
      <c r="H468" s="6">
        <v>22.614999999999998</v>
      </c>
      <c r="I468" s="8">
        <v>440</v>
      </c>
      <c r="J468" s="8">
        <v>240</v>
      </c>
      <c r="K468" s="8">
        <v>440</v>
      </c>
      <c r="L468" s="8">
        <f t="shared" si="17"/>
        <v>46464000</v>
      </c>
      <c r="M468" s="15">
        <v>7897801312493</v>
      </c>
      <c r="N468" s="6" t="s">
        <v>20</v>
      </c>
      <c r="O468" s="6" t="s">
        <v>20</v>
      </c>
      <c r="P468" s="6" t="s">
        <v>20</v>
      </c>
      <c r="Q468" s="6">
        <v>0.40500000000000003</v>
      </c>
      <c r="R468" s="6">
        <v>0.21</v>
      </c>
      <c r="S468" s="6">
        <v>0.48</v>
      </c>
      <c r="T468" s="8">
        <v>1</v>
      </c>
      <c r="U468" s="5" t="s">
        <v>994</v>
      </c>
      <c r="V468" s="89">
        <v>0</v>
      </c>
      <c r="W468" s="15">
        <v>17897801312490</v>
      </c>
      <c r="X468" s="6">
        <v>0.55000000000000004</v>
      </c>
      <c r="Y468" s="6">
        <v>0.23</v>
      </c>
      <c r="Z468" s="6">
        <v>0.65500000000000003</v>
      </c>
      <c r="AA468" s="6">
        <f t="shared" si="18"/>
        <v>8.2857500000000028E-2</v>
      </c>
      <c r="AB468" s="8">
        <v>2</v>
      </c>
      <c r="AC468" s="15">
        <v>27897801312497</v>
      </c>
      <c r="AD468" s="4" t="s">
        <v>992</v>
      </c>
    </row>
    <row r="469" spans="2:30" x14ac:dyDescent="0.35">
      <c r="B469" s="14">
        <v>720</v>
      </c>
      <c r="C469" s="4" t="s">
        <v>474</v>
      </c>
      <c r="D469" s="4" t="s">
        <v>2403</v>
      </c>
      <c r="E469" s="4" t="s">
        <v>2913</v>
      </c>
      <c r="F469" s="4" t="s">
        <v>85</v>
      </c>
      <c r="G469" s="4" t="s">
        <v>993</v>
      </c>
      <c r="H469" s="6">
        <v>0.47589999999999999</v>
      </c>
      <c r="I469" s="8">
        <v>210</v>
      </c>
      <c r="J469" s="8">
        <v>140</v>
      </c>
      <c r="K469" s="8">
        <v>210</v>
      </c>
      <c r="L469" s="8">
        <f t="shared" si="17"/>
        <v>6174000</v>
      </c>
      <c r="M469" s="15">
        <v>7897801312509</v>
      </c>
      <c r="N469" s="6" t="s">
        <v>20</v>
      </c>
      <c r="O469" s="6" t="s">
        <v>20</v>
      </c>
      <c r="P469" s="6" t="s">
        <v>20</v>
      </c>
      <c r="Q469" s="6">
        <v>0.42</v>
      </c>
      <c r="R469" s="6">
        <v>0.215</v>
      </c>
      <c r="S469" s="6">
        <v>0.68</v>
      </c>
      <c r="T469" s="8">
        <v>1</v>
      </c>
      <c r="U469" s="5" t="s">
        <v>994</v>
      </c>
      <c r="V469" s="89">
        <v>0</v>
      </c>
      <c r="W469" s="15">
        <v>17897801312506</v>
      </c>
      <c r="X469" s="6">
        <v>0.41</v>
      </c>
      <c r="Y469" s="6">
        <v>0.22</v>
      </c>
      <c r="Z469" s="6">
        <v>0.66</v>
      </c>
      <c r="AA469" s="6">
        <f t="shared" si="18"/>
        <v>5.9531999999999995E-2</v>
      </c>
      <c r="AB469" s="8">
        <v>9</v>
      </c>
      <c r="AC469" s="15">
        <v>27897801312503</v>
      </c>
      <c r="AD469" s="4" t="s">
        <v>992</v>
      </c>
    </row>
    <row r="470" spans="2:30" x14ac:dyDescent="0.35">
      <c r="B470" s="14">
        <v>722</v>
      </c>
      <c r="C470" s="4" t="s">
        <v>475</v>
      </c>
      <c r="D470" s="4" t="s">
        <v>2403</v>
      </c>
      <c r="E470" s="4" t="s">
        <v>2913</v>
      </c>
      <c r="F470" s="4" t="s">
        <v>85</v>
      </c>
      <c r="G470" s="4" t="s">
        <v>993</v>
      </c>
      <c r="H470" s="6">
        <v>0.83279999999999998</v>
      </c>
      <c r="I470" s="8">
        <v>230</v>
      </c>
      <c r="J470" s="8">
        <v>230</v>
      </c>
      <c r="K470" s="8">
        <v>230</v>
      </c>
      <c r="L470" s="8">
        <f t="shared" si="17"/>
        <v>12167000</v>
      </c>
      <c r="M470" s="15">
        <v>7897801312516</v>
      </c>
      <c r="N470" s="6" t="s">
        <v>20</v>
      </c>
      <c r="O470" s="6" t="s">
        <v>20</v>
      </c>
      <c r="P470" s="6" t="s">
        <v>20</v>
      </c>
      <c r="Q470" s="6">
        <v>0.23</v>
      </c>
      <c r="R470" s="6">
        <v>0.22500000000000001</v>
      </c>
      <c r="S470" s="6">
        <v>0.23</v>
      </c>
      <c r="T470" s="8">
        <v>1</v>
      </c>
      <c r="U470" s="5" t="s">
        <v>994</v>
      </c>
      <c r="V470" s="89">
        <v>0</v>
      </c>
      <c r="W470" s="15">
        <v>17897801312513</v>
      </c>
      <c r="X470" s="6">
        <v>0.48</v>
      </c>
      <c r="Y470" s="6">
        <v>0.23</v>
      </c>
      <c r="Z470" s="6">
        <v>0.7</v>
      </c>
      <c r="AA470" s="6">
        <f t="shared" si="18"/>
        <v>7.7279999999999988E-2</v>
      </c>
      <c r="AB470" s="8">
        <v>6</v>
      </c>
      <c r="AC470" s="15">
        <v>27897801312510</v>
      </c>
      <c r="AD470" s="4" t="s">
        <v>992</v>
      </c>
    </row>
    <row r="471" spans="2:30" x14ac:dyDescent="0.35">
      <c r="B471" s="14">
        <v>724</v>
      </c>
      <c r="C471" s="4" t="s">
        <v>476</v>
      </c>
      <c r="D471" s="4" t="s">
        <v>2403</v>
      </c>
      <c r="E471" s="4" t="s">
        <v>2913</v>
      </c>
      <c r="F471" s="4" t="s">
        <v>85</v>
      </c>
      <c r="G471" s="4" t="s">
        <v>993</v>
      </c>
      <c r="H471" s="6">
        <v>0.57989999999999997</v>
      </c>
      <c r="I471" s="8">
        <v>180</v>
      </c>
      <c r="J471" s="8">
        <v>180</v>
      </c>
      <c r="K471" s="8">
        <v>200</v>
      </c>
      <c r="L471" s="8">
        <f t="shared" si="17"/>
        <v>6480000</v>
      </c>
      <c r="M471" s="15">
        <v>7897801312523</v>
      </c>
      <c r="N471" s="6" t="s">
        <v>20</v>
      </c>
      <c r="O471" s="6" t="s">
        <v>20</v>
      </c>
      <c r="P471" s="6" t="s">
        <v>20</v>
      </c>
      <c r="Q471" s="6">
        <v>0.45</v>
      </c>
      <c r="R471" s="6">
        <v>0.2</v>
      </c>
      <c r="S471" s="6">
        <v>0.61499999999999999</v>
      </c>
      <c r="T471" s="8">
        <v>1</v>
      </c>
      <c r="U471" s="5" t="s">
        <v>994</v>
      </c>
      <c r="V471" s="89">
        <v>0</v>
      </c>
      <c r="W471" s="15">
        <v>17897801312520</v>
      </c>
      <c r="X471" s="6">
        <v>0.47</v>
      </c>
      <c r="Y471" s="6">
        <v>0.2</v>
      </c>
      <c r="Z471" s="6">
        <v>0.8</v>
      </c>
      <c r="AA471" s="6">
        <f t="shared" si="18"/>
        <v>7.5200000000000003E-2</v>
      </c>
      <c r="AB471" s="8">
        <v>12</v>
      </c>
      <c r="AC471" s="15">
        <v>27897801312527</v>
      </c>
      <c r="AD471" s="4" t="s">
        <v>992</v>
      </c>
    </row>
    <row r="472" spans="2:30" x14ac:dyDescent="0.35">
      <c r="B472" s="14">
        <v>726</v>
      </c>
      <c r="C472" s="4" t="s">
        <v>477</v>
      </c>
      <c r="D472" s="4" t="s">
        <v>2403</v>
      </c>
      <c r="E472" s="4" t="s">
        <v>2913</v>
      </c>
      <c r="F472" s="4" t="s">
        <v>85</v>
      </c>
      <c r="G472" s="4" t="s">
        <v>993</v>
      </c>
      <c r="H472" s="6">
        <v>1.8875999999999999</v>
      </c>
      <c r="I472" s="8">
        <v>400</v>
      </c>
      <c r="J472" s="8">
        <v>200</v>
      </c>
      <c r="K472" s="8">
        <v>350</v>
      </c>
      <c r="L472" s="8">
        <f t="shared" si="17"/>
        <v>28000000</v>
      </c>
      <c r="M472" s="15">
        <v>7897801312530</v>
      </c>
      <c r="N472" s="6" t="s">
        <v>20</v>
      </c>
      <c r="O472" s="6" t="s">
        <v>20</v>
      </c>
      <c r="P472" s="6" t="s">
        <v>20</v>
      </c>
      <c r="Q472" s="6">
        <v>0.39500000000000002</v>
      </c>
      <c r="R472" s="6">
        <v>0.22</v>
      </c>
      <c r="S472" s="6">
        <v>0.66500000000000004</v>
      </c>
      <c r="T472" s="8">
        <v>1</v>
      </c>
      <c r="U472" s="5" t="s">
        <v>994</v>
      </c>
      <c r="V472" s="89">
        <v>0</v>
      </c>
      <c r="W472" s="15">
        <v>17897801312537</v>
      </c>
      <c r="X472" s="6">
        <v>0.45</v>
      </c>
      <c r="Y472" s="6">
        <v>0.21</v>
      </c>
      <c r="Z472" s="6">
        <v>0.76</v>
      </c>
      <c r="AA472" s="6">
        <f t="shared" si="18"/>
        <v>7.1819999999999995E-2</v>
      </c>
      <c r="AB472" s="8">
        <v>2</v>
      </c>
      <c r="AC472" s="15">
        <v>27897801312534</v>
      </c>
      <c r="AD472" s="4" t="s">
        <v>992</v>
      </c>
    </row>
    <row r="473" spans="2:30" x14ac:dyDescent="0.35">
      <c r="B473" s="18">
        <v>727</v>
      </c>
      <c r="C473" s="4" t="s">
        <v>2937</v>
      </c>
      <c r="D473" s="4" t="s">
        <v>2396</v>
      </c>
      <c r="E473" s="4" t="s">
        <v>2915</v>
      </c>
      <c r="F473" s="4" t="s">
        <v>85</v>
      </c>
      <c r="G473" s="4" t="s">
        <v>993</v>
      </c>
      <c r="H473" s="6">
        <v>7.8899999999999998E-2</v>
      </c>
      <c r="I473" s="8">
        <v>435</v>
      </c>
      <c r="J473" s="8">
        <v>80</v>
      </c>
      <c r="K473" s="8">
        <v>80</v>
      </c>
      <c r="L473" s="8">
        <v>2784000</v>
      </c>
      <c r="M473" s="15">
        <v>7897801319041</v>
      </c>
      <c r="N473" s="6" t="s">
        <v>20</v>
      </c>
      <c r="O473" s="6" t="s">
        <v>20</v>
      </c>
      <c r="P473" s="6" t="s">
        <v>20</v>
      </c>
      <c r="Q473" s="6">
        <v>0.32</v>
      </c>
      <c r="R473" s="6">
        <v>0.26700000000000002</v>
      </c>
      <c r="S473" s="6">
        <v>0.43</v>
      </c>
      <c r="T473" s="8">
        <v>20</v>
      </c>
      <c r="U473" s="5" t="s">
        <v>1008</v>
      </c>
      <c r="V473" s="89">
        <v>0</v>
      </c>
      <c r="W473" s="15">
        <v>17897801319048</v>
      </c>
      <c r="X473" s="6">
        <v>0</v>
      </c>
      <c r="Y473" s="6">
        <v>0</v>
      </c>
      <c r="Z473" s="6">
        <v>0</v>
      </c>
      <c r="AA473" s="6">
        <v>0</v>
      </c>
      <c r="AB473" s="8">
        <v>0</v>
      </c>
      <c r="AC473" s="15">
        <v>27897801319045</v>
      </c>
      <c r="AD473" s="4" t="s">
        <v>992</v>
      </c>
    </row>
    <row r="474" spans="2:30" x14ac:dyDescent="0.35">
      <c r="B474" s="14">
        <v>728</v>
      </c>
      <c r="C474" s="4" t="s">
        <v>478</v>
      </c>
      <c r="D474" s="4" t="s">
        <v>2370</v>
      </c>
      <c r="E474" s="4" t="s">
        <v>2913</v>
      </c>
      <c r="F474" s="4" t="s">
        <v>85</v>
      </c>
      <c r="G474" s="4" t="s">
        <v>993</v>
      </c>
      <c r="H474" s="6">
        <v>0.24010000000000001</v>
      </c>
      <c r="I474" s="8">
        <v>190</v>
      </c>
      <c r="J474" s="8">
        <v>190</v>
      </c>
      <c r="K474" s="8">
        <v>130</v>
      </c>
      <c r="L474" s="8">
        <f t="shared" ref="L474:L478" si="19">J474*I474*K474</f>
        <v>4693000</v>
      </c>
      <c r="M474" s="15">
        <v>7897801312592</v>
      </c>
      <c r="N474" s="6" t="s">
        <v>20</v>
      </c>
      <c r="O474" s="6" t="s">
        <v>20</v>
      </c>
      <c r="P474" s="6" t="s">
        <v>20</v>
      </c>
      <c r="Q474" s="6">
        <v>0.4</v>
      </c>
      <c r="R474" s="6">
        <v>0.2</v>
      </c>
      <c r="S474" s="6">
        <v>0.6</v>
      </c>
      <c r="T474" s="8">
        <v>12</v>
      </c>
      <c r="U474" s="5" t="s">
        <v>994</v>
      </c>
      <c r="V474" s="89">
        <v>0</v>
      </c>
      <c r="W474" s="15">
        <v>17897801312599</v>
      </c>
      <c r="X474" s="6" t="s">
        <v>20</v>
      </c>
      <c r="Y474" s="6" t="s">
        <v>20</v>
      </c>
      <c r="Z474" s="6" t="s">
        <v>20</v>
      </c>
      <c r="AA474" s="6"/>
      <c r="AB474" s="8">
        <v>0</v>
      </c>
      <c r="AC474" s="15">
        <v>27897801312596</v>
      </c>
      <c r="AD474" s="4" t="s">
        <v>992</v>
      </c>
    </row>
    <row r="475" spans="2:30" x14ac:dyDescent="0.35">
      <c r="B475" s="14">
        <v>729</v>
      </c>
      <c r="C475" s="4" t="s">
        <v>479</v>
      </c>
      <c r="D475" s="4" t="s">
        <v>2370</v>
      </c>
      <c r="E475" s="4" t="s">
        <v>2913</v>
      </c>
      <c r="F475" s="4" t="s">
        <v>85</v>
      </c>
      <c r="G475" s="4" t="s">
        <v>993</v>
      </c>
      <c r="H475" s="6">
        <v>0.20930000000000001</v>
      </c>
      <c r="I475" s="8">
        <v>230</v>
      </c>
      <c r="J475" s="8">
        <v>230</v>
      </c>
      <c r="K475" s="8">
        <v>110</v>
      </c>
      <c r="L475" s="8">
        <f t="shared" si="19"/>
        <v>5819000</v>
      </c>
      <c r="M475" s="15">
        <v>7897801312608</v>
      </c>
      <c r="N475" s="6" t="s">
        <v>20</v>
      </c>
      <c r="O475" s="6" t="s">
        <v>20</v>
      </c>
      <c r="P475" s="6" t="s">
        <v>20</v>
      </c>
      <c r="Q475" s="6">
        <v>0.4</v>
      </c>
      <c r="R475" s="6">
        <v>0.22</v>
      </c>
      <c r="S475" s="6">
        <v>0.6</v>
      </c>
      <c r="T475" s="8">
        <v>20</v>
      </c>
      <c r="U475" s="5" t="s">
        <v>994</v>
      </c>
      <c r="V475" s="89">
        <v>0</v>
      </c>
      <c r="W475" s="15">
        <v>17897801312605</v>
      </c>
      <c r="X475" s="6" t="s">
        <v>20</v>
      </c>
      <c r="Y475" s="6" t="s">
        <v>20</v>
      </c>
      <c r="Z475" s="6" t="s">
        <v>20</v>
      </c>
      <c r="AA475" s="6"/>
      <c r="AB475" s="8">
        <v>0</v>
      </c>
      <c r="AC475" s="15">
        <v>27897801312602</v>
      </c>
      <c r="AD475" s="4" t="s">
        <v>992</v>
      </c>
    </row>
    <row r="476" spans="2:30" x14ac:dyDescent="0.35">
      <c r="B476" s="14">
        <v>732</v>
      </c>
      <c r="C476" s="4" t="s">
        <v>482</v>
      </c>
      <c r="D476" s="4" t="s">
        <v>2396</v>
      </c>
      <c r="E476" s="4" t="s">
        <v>2915</v>
      </c>
      <c r="F476" s="4" t="s">
        <v>85</v>
      </c>
      <c r="G476" s="4" t="s">
        <v>993</v>
      </c>
      <c r="H476" s="6">
        <v>5.1499999999999997E-2</v>
      </c>
      <c r="I476" s="8">
        <v>280</v>
      </c>
      <c r="J476" s="8">
        <v>70</v>
      </c>
      <c r="K476" s="8">
        <v>60</v>
      </c>
      <c r="L476" s="8">
        <f t="shared" si="19"/>
        <v>1176000</v>
      </c>
      <c r="M476" s="15">
        <v>7897801312059</v>
      </c>
      <c r="N476" s="6" t="s">
        <v>20</v>
      </c>
      <c r="O476" s="6" t="s">
        <v>20</v>
      </c>
      <c r="P476" s="6" t="s">
        <v>20</v>
      </c>
      <c r="Q476" s="6">
        <v>0.24</v>
      </c>
      <c r="R476" s="6">
        <v>0.2</v>
      </c>
      <c r="S476" s="6">
        <v>0.28000000000000003</v>
      </c>
      <c r="T476" s="8">
        <v>20</v>
      </c>
      <c r="U476" s="5" t="s">
        <v>1008</v>
      </c>
      <c r="V476" s="89">
        <v>0</v>
      </c>
      <c r="W476" s="15">
        <v>17897801312056</v>
      </c>
      <c r="X476" s="6">
        <v>0.28000000000000003</v>
      </c>
      <c r="Y476" s="6">
        <v>0.215</v>
      </c>
      <c r="Z476" s="6">
        <v>0.42</v>
      </c>
      <c r="AA476" s="6">
        <f>Y476*X476*Z476</f>
        <v>2.5284000000000001E-2</v>
      </c>
      <c r="AB476" s="8">
        <v>0</v>
      </c>
      <c r="AC476" s="15">
        <v>27897801312053</v>
      </c>
      <c r="AD476" s="4" t="s">
        <v>992</v>
      </c>
    </row>
    <row r="477" spans="2:30" x14ac:dyDescent="0.35">
      <c r="B477" s="14">
        <v>737</v>
      </c>
      <c r="C477" s="4" t="s">
        <v>484</v>
      </c>
      <c r="D477" s="4" t="s">
        <v>2387</v>
      </c>
      <c r="E477" s="4" t="s">
        <v>2915</v>
      </c>
      <c r="F477" s="4" t="s">
        <v>85</v>
      </c>
      <c r="G477" s="4" t="s">
        <v>993</v>
      </c>
      <c r="H477" s="6">
        <v>2.6499999999999999E-2</v>
      </c>
      <c r="I477" s="8">
        <v>61</v>
      </c>
      <c r="J477" s="8">
        <v>42</v>
      </c>
      <c r="K477" s="8">
        <v>42</v>
      </c>
      <c r="L477" s="8">
        <f t="shared" si="19"/>
        <v>107604</v>
      </c>
      <c r="M477" s="15">
        <v>7897801312899</v>
      </c>
      <c r="N477" s="6" t="s">
        <v>20</v>
      </c>
      <c r="O477" s="6" t="s">
        <v>20</v>
      </c>
      <c r="P477" s="6" t="s">
        <v>20</v>
      </c>
      <c r="Q477" s="6">
        <v>0.2</v>
      </c>
      <c r="R477" s="6">
        <v>0.14000000000000001</v>
      </c>
      <c r="S477" s="6">
        <v>0.38</v>
      </c>
      <c r="T477" s="8">
        <v>50</v>
      </c>
      <c r="U477" s="5" t="s">
        <v>994</v>
      </c>
      <c r="V477" s="89">
        <v>0</v>
      </c>
      <c r="W477" s="15">
        <v>17897801312896</v>
      </c>
      <c r="X477" s="6">
        <v>0.48</v>
      </c>
      <c r="Y477" s="6">
        <v>0.22</v>
      </c>
      <c r="Z477" s="6">
        <v>0.7</v>
      </c>
      <c r="AA477" s="6">
        <f>Y477*X477*Z477</f>
        <v>7.392E-2</v>
      </c>
      <c r="AB477" s="8">
        <v>750</v>
      </c>
      <c r="AC477" s="15">
        <v>27897801312893</v>
      </c>
      <c r="AD477" s="4" t="s">
        <v>992</v>
      </c>
    </row>
    <row r="478" spans="2:30" x14ac:dyDescent="0.35">
      <c r="B478" s="14">
        <v>738</v>
      </c>
      <c r="C478" s="4" t="s">
        <v>485</v>
      </c>
      <c r="D478" s="4" t="s">
        <v>2387</v>
      </c>
      <c r="E478" s="4" t="s">
        <v>2915</v>
      </c>
      <c r="F478" s="4" t="s">
        <v>85</v>
      </c>
      <c r="G478" s="4" t="s">
        <v>993</v>
      </c>
      <c r="H478" s="6">
        <v>1.6E-2</v>
      </c>
      <c r="I478" s="8">
        <v>42</v>
      </c>
      <c r="J478" s="8">
        <v>36</v>
      </c>
      <c r="K478" s="8">
        <v>42</v>
      </c>
      <c r="L478" s="8">
        <f t="shared" si="19"/>
        <v>63504</v>
      </c>
      <c r="M478" s="15">
        <v>7897801310567</v>
      </c>
      <c r="N478" s="6" t="s">
        <v>20</v>
      </c>
      <c r="O478" s="6" t="s">
        <v>20</v>
      </c>
      <c r="P478" s="6" t="s">
        <v>20</v>
      </c>
      <c r="Q478" s="6">
        <v>0.22</v>
      </c>
      <c r="R478" s="6">
        <v>0.08</v>
      </c>
      <c r="S478" s="6">
        <v>0.27</v>
      </c>
      <c r="T478" s="8">
        <v>50</v>
      </c>
      <c r="U478" s="5" t="s">
        <v>994</v>
      </c>
      <c r="V478" s="89">
        <v>0</v>
      </c>
      <c r="W478" s="15">
        <v>17897801310564</v>
      </c>
      <c r="X478" s="6">
        <v>0.4</v>
      </c>
      <c r="Y478" s="6">
        <v>0.2</v>
      </c>
      <c r="Z478" s="6">
        <v>0.63</v>
      </c>
      <c r="AA478" s="6">
        <f>Y478*X478*Z478</f>
        <v>5.0400000000000007E-2</v>
      </c>
      <c r="AB478" s="8">
        <v>800</v>
      </c>
      <c r="AC478" s="15">
        <v>27897801310561</v>
      </c>
      <c r="AD478" s="4" t="s">
        <v>992</v>
      </c>
    </row>
    <row r="479" spans="2:30" x14ac:dyDescent="0.35">
      <c r="B479" s="45">
        <v>741</v>
      </c>
      <c r="C479" s="31" t="s">
        <v>486</v>
      </c>
      <c r="D479" s="4" t="s">
        <v>2419</v>
      </c>
      <c r="E479" s="4" t="s">
        <v>2915</v>
      </c>
      <c r="F479" s="31" t="s">
        <v>85</v>
      </c>
      <c r="G479" s="31" t="s">
        <v>993</v>
      </c>
      <c r="H479" s="41">
        <v>8.7900000000000006E-2</v>
      </c>
      <c r="I479" s="38">
        <v>350</v>
      </c>
      <c r="J479" s="38">
        <v>35</v>
      </c>
      <c r="K479" s="38">
        <v>35</v>
      </c>
      <c r="L479" s="38">
        <v>428750</v>
      </c>
      <c r="M479" s="48">
        <v>7897801300827</v>
      </c>
      <c r="N479" s="41" t="s">
        <v>20</v>
      </c>
      <c r="O479" s="41" t="s">
        <v>20</v>
      </c>
      <c r="P479" s="41" t="s">
        <v>20</v>
      </c>
      <c r="Q479" s="41">
        <v>0.2</v>
      </c>
      <c r="R479" s="41">
        <v>0.8</v>
      </c>
      <c r="S479" s="41">
        <v>0.35</v>
      </c>
      <c r="T479" s="38">
        <v>20</v>
      </c>
      <c r="U479" s="49" t="s">
        <v>1009</v>
      </c>
      <c r="V479" s="89">
        <v>3.2500000000000001E-2</v>
      </c>
      <c r="W479" s="48">
        <v>17897801300824</v>
      </c>
      <c r="X479" s="41">
        <v>0.6</v>
      </c>
      <c r="Y479" s="41">
        <v>0.14000000000000001</v>
      </c>
      <c r="Z479" s="41">
        <v>0.8</v>
      </c>
      <c r="AA479" s="41">
        <v>6.720000000000001E-2</v>
      </c>
      <c r="AB479" s="38">
        <v>300</v>
      </c>
      <c r="AC479" s="48">
        <v>47897801300825</v>
      </c>
      <c r="AD479" s="31" t="s">
        <v>992</v>
      </c>
    </row>
    <row r="480" spans="2:30" x14ac:dyDescent="0.35">
      <c r="B480" s="45">
        <v>742</v>
      </c>
      <c r="C480" s="31" t="s">
        <v>487</v>
      </c>
      <c r="D480" s="4" t="s">
        <v>2419</v>
      </c>
      <c r="E480" s="4" t="s">
        <v>2915</v>
      </c>
      <c r="F480" s="31" t="s">
        <v>85</v>
      </c>
      <c r="G480" s="31" t="s">
        <v>993</v>
      </c>
      <c r="H480" s="41">
        <v>0.1046</v>
      </c>
      <c r="I480" s="38">
        <v>450</v>
      </c>
      <c r="J480" s="38">
        <v>35</v>
      </c>
      <c r="K480" s="38">
        <v>35</v>
      </c>
      <c r="L480" s="38">
        <v>551250</v>
      </c>
      <c r="M480" s="48">
        <v>7897801300834</v>
      </c>
      <c r="N480" s="41" t="s">
        <v>20</v>
      </c>
      <c r="O480" s="41" t="s">
        <v>20</v>
      </c>
      <c r="P480" s="41" t="s">
        <v>20</v>
      </c>
      <c r="Q480" s="41">
        <v>0.3</v>
      </c>
      <c r="R480" s="41">
        <v>0.9</v>
      </c>
      <c r="S480" s="41">
        <v>0.52</v>
      </c>
      <c r="T480" s="38">
        <v>20</v>
      </c>
      <c r="U480" s="49" t="s">
        <v>1009</v>
      </c>
      <c r="V480" s="89">
        <v>3.2500000000000001E-2</v>
      </c>
      <c r="W480" s="48">
        <v>17897801300831</v>
      </c>
      <c r="X480" s="41">
        <v>0.52</v>
      </c>
      <c r="Y480" s="41">
        <v>0.25</v>
      </c>
      <c r="Z480" s="41">
        <v>0.76</v>
      </c>
      <c r="AA480" s="41">
        <v>9.8799999999999999E-2</v>
      </c>
      <c r="AB480" s="38">
        <v>260</v>
      </c>
      <c r="AC480" s="48">
        <v>47897801300832</v>
      </c>
      <c r="AD480" s="31" t="s">
        <v>992</v>
      </c>
    </row>
    <row r="481" spans="2:30" x14ac:dyDescent="0.35">
      <c r="B481" s="45">
        <v>743</v>
      </c>
      <c r="C481" s="31" t="s">
        <v>488</v>
      </c>
      <c r="D481" s="4" t="s">
        <v>2419</v>
      </c>
      <c r="E481" s="4" t="s">
        <v>2915</v>
      </c>
      <c r="F481" s="31" t="s">
        <v>85</v>
      </c>
      <c r="G481" s="31" t="s">
        <v>993</v>
      </c>
      <c r="H481" s="41">
        <v>0.11849999999999999</v>
      </c>
      <c r="I481" s="38">
        <v>560</v>
      </c>
      <c r="J481" s="38">
        <v>35</v>
      </c>
      <c r="K481" s="38">
        <v>35</v>
      </c>
      <c r="L481" s="38">
        <v>686000</v>
      </c>
      <c r="M481" s="48">
        <v>7897801300841</v>
      </c>
      <c r="N481" s="41" t="s">
        <v>20</v>
      </c>
      <c r="O481" s="41" t="s">
        <v>20</v>
      </c>
      <c r="P481" s="41" t="s">
        <v>20</v>
      </c>
      <c r="Q481" s="41">
        <v>0.22</v>
      </c>
      <c r="R481" s="41">
        <v>0.05</v>
      </c>
      <c r="S481" s="41">
        <v>0.7</v>
      </c>
      <c r="T481" s="38">
        <v>20</v>
      </c>
      <c r="U481" s="49" t="s">
        <v>1009</v>
      </c>
      <c r="V481" s="89">
        <v>3.2500000000000001E-2</v>
      </c>
      <c r="W481" s="48">
        <v>17897801300848</v>
      </c>
      <c r="X481" s="41">
        <v>0.62</v>
      </c>
      <c r="Y481" s="41">
        <v>0.14000000000000001</v>
      </c>
      <c r="Z481" s="41">
        <v>0.83</v>
      </c>
      <c r="AA481" s="41">
        <v>7.2043999999999997E-2</v>
      </c>
      <c r="AB481" s="38">
        <v>200</v>
      </c>
      <c r="AC481" s="48">
        <v>27897801300845</v>
      </c>
      <c r="AD481" s="31" t="s">
        <v>992</v>
      </c>
    </row>
    <row r="482" spans="2:30" x14ac:dyDescent="0.35">
      <c r="B482" s="45">
        <v>744</v>
      </c>
      <c r="C482" s="31" t="s">
        <v>489</v>
      </c>
      <c r="D482" s="4" t="s">
        <v>2419</v>
      </c>
      <c r="E482" s="4" t="s">
        <v>2915</v>
      </c>
      <c r="F482" s="31" t="s">
        <v>85</v>
      </c>
      <c r="G482" s="31" t="s">
        <v>993</v>
      </c>
      <c r="H482" s="41">
        <v>0.13869999999999999</v>
      </c>
      <c r="I482" s="38">
        <v>665</v>
      </c>
      <c r="J482" s="38">
        <v>35</v>
      </c>
      <c r="K482" s="38">
        <v>35</v>
      </c>
      <c r="L482" s="38">
        <v>814625</v>
      </c>
      <c r="M482" s="48">
        <v>7897801303026</v>
      </c>
      <c r="N482" s="41" t="s">
        <v>20</v>
      </c>
      <c r="O482" s="41" t="s">
        <v>20</v>
      </c>
      <c r="P482" s="41" t="s">
        <v>20</v>
      </c>
      <c r="Q482" s="41">
        <v>0.32</v>
      </c>
      <c r="R482" s="41">
        <v>0.15</v>
      </c>
      <c r="S482" s="41">
        <v>0.52</v>
      </c>
      <c r="T482" s="38">
        <v>20</v>
      </c>
      <c r="U482" s="49" t="s">
        <v>1009</v>
      </c>
      <c r="V482" s="89">
        <v>3.2500000000000001E-2</v>
      </c>
      <c r="W482" s="48">
        <v>17897801303023</v>
      </c>
      <c r="X482" s="41">
        <v>0.6</v>
      </c>
      <c r="Y482" s="41">
        <v>0.19</v>
      </c>
      <c r="Z482" s="41">
        <v>0.7</v>
      </c>
      <c r="AA482" s="41">
        <v>7.9799999999999982E-2</v>
      </c>
      <c r="AB482" s="38">
        <v>160</v>
      </c>
      <c r="AC482" s="48">
        <v>27897801303020</v>
      </c>
      <c r="AD482" s="31" t="s">
        <v>992</v>
      </c>
    </row>
    <row r="483" spans="2:30" x14ac:dyDescent="0.35">
      <c r="B483" s="45">
        <v>745</v>
      </c>
      <c r="C483" s="31" t="s">
        <v>490</v>
      </c>
      <c r="D483" s="4" t="s">
        <v>2419</v>
      </c>
      <c r="E483" s="4" t="s">
        <v>2915</v>
      </c>
      <c r="F483" s="31" t="s">
        <v>85</v>
      </c>
      <c r="G483" s="31" t="s">
        <v>993</v>
      </c>
      <c r="H483" s="41">
        <v>0.2009</v>
      </c>
      <c r="I483" s="38">
        <v>1060</v>
      </c>
      <c r="J483" s="38">
        <v>35</v>
      </c>
      <c r="K483" s="38">
        <v>35</v>
      </c>
      <c r="L483" s="38">
        <v>1298500</v>
      </c>
      <c r="M483" s="48">
        <v>7897801303033</v>
      </c>
      <c r="N483" s="41" t="s">
        <v>20</v>
      </c>
      <c r="O483" s="41" t="s">
        <v>20</v>
      </c>
      <c r="P483" s="41" t="s">
        <v>20</v>
      </c>
      <c r="Q483" s="41">
        <v>0.23</v>
      </c>
      <c r="R483" s="41">
        <v>3.5000000000000003E-2</v>
      </c>
      <c r="S483" s="41">
        <v>0.55000000000000004</v>
      </c>
      <c r="T483" s="38">
        <v>5</v>
      </c>
      <c r="U483" s="49" t="s">
        <v>1009</v>
      </c>
      <c r="V483" s="89">
        <v>3.2500000000000001E-2</v>
      </c>
      <c r="W483" s="48">
        <v>17897801303030</v>
      </c>
      <c r="X483" s="50">
        <v>0.61</v>
      </c>
      <c r="Y483" s="50">
        <v>0.23</v>
      </c>
      <c r="Z483" s="50">
        <v>0.89</v>
      </c>
      <c r="AA483" s="50">
        <v>0.1249</v>
      </c>
      <c r="AB483" s="51">
        <v>100</v>
      </c>
      <c r="AC483" s="48">
        <v>27897801303037</v>
      </c>
      <c r="AD483" s="31" t="s">
        <v>992</v>
      </c>
    </row>
    <row r="484" spans="2:30" x14ac:dyDescent="0.35">
      <c r="B484" s="14">
        <v>750</v>
      </c>
      <c r="C484" s="4" t="s">
        <v>491</v>
      </c>
      <c r="D484" s="4" t="s">
        <v>492</v>
      </c>
      <c r="E484" s="4" t="s">
        <v>2915</v>
      </c>
      <c r="F484" s="4" t="s">
        <v>85</v>
      </c>
      <c r="G484" s="4" t="s">
        <v>993</v>
      </c>
      <c r="H484" s="6">
        <v>0.15329999999999999</v>
      </c>
      <c r="I484" s="8">
        <v>410</v>
      </c>
      <c r="J484" s="8">
        <v>120</v>
      </c>
      <c r="K484" s="8">
        <v>120</v>
      </c>
      <c r="L484" s="8">
        <f t="shared" ref="L484:L493" si="20">J484*I484*K484</f>
        <v>5904000</v>
      </c>
      <c r="M484" s="15">
        <v>7897801310208</v>
      </c>
      <c r="N484" s="6" t="s">
        <v>20</v>
      </c>
      <c r="O484" s="6" t="s">
        <v>20</v>
      </c>
      <c r="P484" s="6" t="s">
        <v>20</v>
      </c>
      <c r="Q484" s="6">
        <v>0.19</v>
      </c>
      <c r="R484" s="6">
        <v>0.08</v>
      </c>
      <c r="S484" s="6">
        <v>0.46</v>
      </c>
      <c r="T484" s="8">
        <v>10</v>
      </c>
      <c r="U484" s="5" t="s">
        <v>1010</v>
      </c>
      <c r="V484" s="89">
        <v>0</v>
      </c>
      <c r="W484" s="15">
        <v>17897801310205</v>
      </c>
      <c r="X484" s="6">
        <v>0.61</v>
      </c>
      <c r="Y484" s="6">
        <v>0.25</v>
      </c>
      <c r="Z484" s="6">
        <v>0.83</v>
      </c>
      <c r="AA484" s="6">
        <f t="shared" ref="AA484:AA493" si="21">Y484*X484*Z484</f>
        <v>0.12657499999999999</v>
      </c>
      <c r="AB484" s="8">
        <v>60</v>
      </c>
      <c r="AC484" s="15">
        <v>27897801310202</v>
      </c>
      <c r="AD484" s="4" t="s">
        <v>992</v>
      </c>
    </row>
    <row r="485" spans="2:30" x14ac:dyDescent="0.35">
      <c r="B485" s="14">
        <v>751</v>
      </c>
      <c r="C485" s="4" t="s">
        <v>492</v>
      </c>
      <c r="D485" s="4" t="s">
        <v>492</v>
      </c>
      <c r="E485" s="4" t="s">
        <v>2915</v>
      </c>
      <c r="F485" s="4" t="s">
        <v>85</v>
      </c>
      <c r="G485" s="4" t="s">
        <v>993</v>
      </c>
      <c r="H485" s="6">
        <v>5.9799999999999999E-2</v>
      </c>
      <c r="I485" s="8">
        <v>120</v>
      </c>
      <c r="J485" s="8">
        <v>80</v>
      </c>
      <c r="K485" s="8">
        <v>120</v>
      </c>
      <c r="L485" s="8">
        <f t="shared" si="20"/>
        <v>1152000</v>
      </c>
      <c r="M485" s="15">
        <v>7897801309455</v>
      </c>
      <c r="N485" s="6" t="s">
        <v>20</v>
      </c>
      <c r="O485" s="6" t="s">
        <v>20</v>
      </c>
      <c r="P485" s="6" t="s">
        <v>20</v>
      </c>
      <c r="Q485" s="6">
        <v>0.19</v>
      </c>
      <c r="R485" s="6">
        <v>0.08</v>
      </c>
      <c r="S485" s="6">
        <v>0.24</v>
      </c>
      <c r="T485" s="8">
        <v>20</v>
      </c>
      <c r="U485" s="5" t="s">
        <v>1010</v>
      </c>
      <c r="V485" s="89">
        <v>0</v>
      </c>
      <c r="W485" s="15">
        <v>17897801309452</v>
      </c>
      <c r="X485" s="6">
        <v>0.5</v>
      </c>
      <c r="Y485" s="6">
        <v>0.17</v>
      </c>
      <c r="Z485" s="6">
        <v>0.7</v>
      </c>
      <c r="AA485" s="6">
        <f t="shared" si="21"/>
        <v>5.9499999999999997E-2</v>
      </c>
      <c r="AB485" s="8">
        <v>100</v>
      </c>
      <c r="AC485" s="15">
        <v>27897801309459</v>
      </c>
      <c r="AD485" s="4" t="s">
        <v>992</v>
      </c>
    </row>
    <row r="486" spans="2:30" x14ac:dyDescent="0.35">
      <c r="B486" s="14">
        <v>752</v>
      </c>
      <c r="C486" s="4" t="s">
        <v>493</v>
      </c>
      <c r="D486" s="4" t="s">
        <v>2398</v>
      </c>
      <c r="E486" s="4" t="s">
        <v>2915</v>
      </c>
      <c r="F486" s="4" t="s">
        <v>85</v>
      </c>
      <c r="G486" s="4" t="s">
        <v>993</v>
      </c>
      <c r="H486" s="6">
        <v>9.5600000000000004E-2</v>
      </c>
      <c r="I486" s="8">
        <v>350</v>
      </c>
      <c r="J486" s="8">
        <v>20</v>
      </c>
      <c r="K486" s="8">
        <v>20</v>
      </c>
      <c r="L486" s="8">
        <f t="shared" si="20"/>
        <v>140000</v>
      </c>
      <c r="M486" s="15">
        <v>7897801309462</v>
      </c>
      <c r="N486" s="6" t="s">
        <v>20</v>
      </c>
      <c r="O486" s="6" t="s">
        <v>20</v>
      </c>
      <c r="P486" s="6" t="s">
        <v>20</v>
      </c>
      <c r="Q486" s="6">
        <v>0.125</v>
      </c>
      <c r="R486" s="6">
        <v>0.02</v>
      </c>
      <c r="S486" s="6">
        <v>0.45</v>
      </c>
      <c r="T486" s="8">
        <v>20</v>
      </c>
      <c r="U486" s="5" t="s">
        <v>1010</v>
      </c>
      <c r="V486" s="89">
        <v>0</v>
      </c>
      <c r="W486" s="15">
        <v>17897801309469</v>
      </c>
      <c r="X486" s="6">
        <v>0.59</v>
      </c>
      <c r="Y486" s="6">
        <v>0.19</v>
      </c>
      <c r="Z486" s="6">
        <v>0.82</v>
      </c>
      <c r="AA486" s="6">
        <f t="shared" si="21"/>
        <v>9.192199999999999E-2</v>
      </c>
      <c r="AB486" s="8">
        <v>180</v>
      </c>
      <c r="AC486" s="15">
        <v>27897801309466</v>
      </c>
      <c r="AD486" s="4" t="s">
        <v>992</v>
      </c>
    </row>
    <row r="487" spans="2:30" x14ac:dyDescent="0.35">
      <c r="B487" s="46">
        <v>753</v>
      </c>
      <c r="C487" s="32" t="s">
        <v>494</v>
      </c>
      <c r="D487" s="4" t="s">
        <v>2398</v>
      </c>
      <c r="E487" s="4" t="s">
        <v>2915</v>
      </c>
      <c r="F487" s="32" t="s">
        <v>85</v>
      </c>
      <c r="G487" s="32" t="s">
        <v>993</v>
      </c>
      <c r="H487" s="35">
        <v>0.10440000000000001</v>
      </c>
      <c r="I487" s="37">
        <v>395</v>
      </c>
      <c r="J487" s="37">
        <v>30</v>
      </c>
      <c r="K487" s="37">
        <v>30</v>
      </c>
      <c r="L487" s="37">
        <f t="shared" si="20"/>
        <v>355500</v>
      </c>
      <c r="M487" s="40">
        <v>7897801309479</v>
      </c>
      <c r="N487" s="35" t="s">
        <v>20</v>
      </c>
      <c r="O487" s="35" t="s">
        <v>20</v>
      </c>
      <c r="P487" s="35" t="s">
        <v>20</v>
      </c>
      <c r="Q487" s="35">
        <v>0.28000000000000003</v>
      </c>
      <c r="R487" s="35">
        <v>0.09</v>
      </c>
      <c r="S487" s="35">
        <v>0.45</v>
      </c>
      <c r="T487" s="37">
        <v>20</v>
      </c>
      <c r="U487" s="42" t="s">
        <v>1010</v>
      </c>
      <c r="V487" s="89">
        <v>0</v>
      </c>
      <c r="W487" s="40">
        <v>17897801309476</v>
      </c>
      <c r="X487" s="35">
        <v>0.45</v>
      </c>
      <c r="Y487" s="35">
        <v>0.22</v>
      </c>
      <c r="Z487" s="35">
        <v>0.75</v>
      </c>
      <c r="AA487" s="35">
        <f t="shared" si="21"/>
        <v>7.425000000000001E-2</v>
      </c>
      <c r="AB487" s="37">
        <v>200</v>
      </c>
      <c r="AC487" s="40">
        <v>27897801309473</v>
      </c>
      <c r="AD487" s="32" t="s">
        <v>992</v>
      </c>
    </row>
    <row r="488" spans="2:30" x14ac:dyDescent="0.35">
      <c r="B488" s="46">
        <v>770</v>
      </c>
      <c r="C488" s="32" t="s">
        <v>495</v>
      </c>
      <c r="D488" s="4" t="s">
        <v>2385</v>
      </c>
      <c r="E488" s="4" t="s">
        <v>2915</v>
      </c>
      <c r="F488" s="32" t="s">
        <v>85</v>
      </c>
      <c r="G488" s="32" t="s">
        <v>993</v>
      </c>
      <c r="H488" s="35">
        <v>1.72E-2</v>
      </c>
      <c r="I488" s="37">
        <v>28</v>
      </c>
      <c r="J488" s="37">
        <v>78</v>
      </c>
      <c r="K488" s="37">
        <v>86</v>
      </c>
      <c r="L488" s="37">
        <f t="shared" si="20"/>
        <v>187824</v>
      </c>
      <c r="M488" s="40">
        <v>7897801310260</v>
      </c>
      <c r="N488" s="35" t="s">
        <v>20</v>
      </c>
      <c r="O488" s="35" t="s">
        <v>20</v>
      </c>
      <c r="P488" s="35" t="s">
        <v>20</v>
      </c>
      <c r="Q488" s="35">
        <v>0.15</v>
      </c>
      <c r="R488" s="35">
        <v>0.1</v>
      </c>
      <c r="S488" s="35">
        <v>0.32</v>
      </c>
      <c r="T488" s="37">
        <v>10</v>
      </c>
      <c r="U488" s="42" t="s">
        <v>1007</v>
      </c>
      <c r="V488" s="89">
        <v>0</v>
      </c>
      <c r="W488" s="40">
        <v>17897801310267</v>
      </c>
      <c r="X488" s="35">
        <v>0.56000000000000005</v>
      </c>
      <c r="Y488" s="35">
        <v>0.15</v>
      </c>
      <c r="Z488" s="35">
        <v>0.78</v>
      </c>
      <c r="AA488" s="35">
        <f t="shared" si="21"/>
        <v>6.5520000000000009E-2</v>
      </c>
      <c r="AB488" s="37">
        <v>300</v>
      </c>
      <c r="AC488" s="40">
        <v>27897801310264</v>
      </c>
      <c r="AD488" s="32" t="s">
        <v>992</v>
      </c>
    </row>
    <row r="489" spans="2:30" x14ac:dyDescent="0.35">
      <c r="B489" s="46">
        <v>771</v>
      </c>
      <c r="C489" s="32" t="s">
        <v>496</v>
      </c>
      <c r="D489" s="4" t="s">
        <v>2385</v>
      </c>
      <c r="E489" s="4" t="s">
        <v>2915</v>
      </c>
      <c r="F489" s="32" t="s">
        <v>85</v>
      </c>
      <c r="G489" s="32" t="s">
        <v>993</v>
      </c>
      <c r="H489" s="35">
        <v>1.8200000000000001E-2</v>
      </c>
      <c r="I489" s="37">
        <v>28</v>
      </c>
      <c r="J489" s="37">
        <v>78</v>
      </c>
      <c r="K489" s="37">
        <v>86</v>
      </c>
      <c r="L489" s="37">
        <f t="shared" si="20"/>
        <v>187824</v>
      </c>
      <c r="M489" s="40">
        <v>7897801310277</v>
      </c>
      <c r="N489" s="35" t="s">
        <v>20</v>
      </c>
      <c r="O489" s="35" t="s">
        <v>20</v>
      </c>
      <c r="P489" s="35" t="s">
        <v>20</v>
      </c>
      <c r="Q489" s="35">
        <v>0.2</v>
      </c>
      <c r="R489" s="35">
        <v>0.1</v>
      </c>
      <c r="S489" s="35">
        <v>0.33</v>
      </c>
      <c r="T489" s="37">
        <v>10</v>
      </c>
      <c r="U489" s="42" t="s">
        <v>1007</v>
      </c>
      <c r="V489" s="89">
        <v>0</v>
      </c>
      <c r="W489" s="40">
        <v>17897801310274</v>
      </c>
      <c r="X489" s="35">
        <v>0.5</v>
      </c>
      <c r="Y489" s="35">
        <v>0.22</v>
      </c>
      <c r="Z489" s="35">
        <v>0.76</v>
      </c>
      <c r="AA489" s="35">
        <f t="shared" si="21"/>
        <v>8.3600000000000008E-2</v>
      </c>
      <c r="AB489" s="37">
        <v>300</v>
      </c>
      <c r="AC489" s="40">
        <v>27897801310271</v>
      </c>
      <c r="AD489" s="32" t="s">
        <v>992</v>
      </c>
    </row>
    <row r="490" spans="2:30" x14ac:dyDescent="0.35">
      <c r="B490" s="46">
        <v>772</v>
      </c>
      <c r="C490" s="32" t="s">
        <v>497</v>
      </c>
      <c r="D490" s="4" t="s">
        <v>2385</v>
      </c>
      <c r="E490" s="4" t="s">
        <v>2915</v>
      </c>
      <c r="F490" s="32" t="s">
        <v>85</v>
      </c>
      <c r="G490" s="32" t="s">
        <v>993</v>
      </c>
      <c r="H490" s="35">
        <v>1.72E-2</v>
      </c>
      <c r="I490" s="37">
        <v>28</v>
      </c>
      <c r="J490" s="37">
        <v>78</v>
      </c>
      <c r="K490" s="37">
        <v>86</v>
      </c>
      <c r="L490" s="37">
        <f t="shared" si="20"/>
        <v>187824</v>
      </c>
      <c r="M490" s="40">
        <v>7897801310284</v>
      </c>
      <c r="N490" s="35" t="s">
        <v>20</v>
      </c>
      <c r="O490" s="35" t="s">
        <v>20</v>
      </c>
      <c r="P490" s="35" t="s">
        <v>20</v>
      </c>
      <c r="Q490" s="35">
        <v>0.2</v>
      </c>
      <c r="R490" s="35">
        <v>0.1</v>
      </c>
      <c r="S490" s="35">
        <v>0.33</v>
      </c>
      <c r="T490" s="37">
        <v>10</v>
      </c>
      <c r="U490" s="42" t="s">
        <v>1007</v>
      </c>
      <c r="V490" s="89">
        <v>0</v>
      </c>
      <c r="W490" s="40">
        <v>17897801310281</v>
      </c>
      <c r="X490" s="35">
        <v>0.5</v>
      </c>
      <c r="Y490" s="35">
        <v>0.22</v>
      </c>
      <c r="Z490" s="35">
        <v>0.76</v>
      </c>
      <c r="AA490" s="35">
        <f t="shared" si="21"/>
        <v>8.3600000000000008E-2</v>
      </c>
      <c r="AB490" s="37">
        <v>300</v>
      </c>
      <c r="AC490" s="40">
        <v>27897801310288</v>
      </c>
      <c r="AD490" s="32" t="s">
        <v>992</v>
      </c>
    </row>
    <row r="491" spans="2:30" x14ac:dyDescent="0.35">
      <c r="B491" s="46">
        <v>773</v>
      </c>
      <c r="C491" s="32" t="s">
        <v>498</v>
      </c>
      <c r="D491" s="4" t="s">
        <v>2385</v>
      </c>
      <c r="E491" s="4" t="s">
        <v>2915</v>
      </c>
      <c r="F491" s="32" t="s">
        <v>85</v>
      </c>
      <c r="G491" s="32" t="s">
        <v>993</v>
      </c>
      <c r="H491" s="35">
        <v>1.72E-2</v>
      </c>
      <c r="I491" s="37">
        <v>28</v>
      </c>
      <c r="J491" s="37">
        <v>78</v>
      </c>
      <c r="K491" s="37">
        <v>86</v>
      </c>
      <c r="L491" s="37">
        <f t="shared" si="20"/>
        <v>187824</v>
      </c>
      <c r="M491" s="40">
        <v>7897801310291</v>
      </c>
      <c r="N491" s="35" t="s">
        <v>20</v>
      </c>
      <c r="O491" s="35" t="s">
        <v>20</v>
      </c>
      <c r="P491" s="35" t="s">
        <v>20</v>
      </c>
      <c r="Q491" s="35">
        <v>0.2</v>
      </c>
      <c r="R491" s="35">
        <v>0.1</v>
      </c>
      <c r="S491" s="35">
        <v>0.33</v>
      </c>
      <c r="T491" s="37">
        <v>10</v>
      </c>
      <c r="U491" s="42" t="s">
        <v>1007</v>
      </c>
      <c r="V491" s="89">
        <v>0</v>
      </c>
      <c r="W491" s="40">
        <v>17897801310298</v>
      </c>
      <c r="X491" s="35">
        <v>0.5</v>
      </c>
      <c r="Y491" s="35">
        <v>0.22</v>
      </c>
      <c r="Z491" s="35">
        <v>0.76</v>
      </c>
      <c r="AA491" s="35">
        <f t="shared" si="21"/>
        <v>8.3600000000000008E-2</v>
      </c>
      <c r="AB491" s="37">
        <v>300</v>
      </c>
      <c r="AC491" s="40">
        <v>27897801310295</v>
      </c>
      <c r="AD491" s="32" t="s">
        <v>992</v>
      </c>
    </row>
    <row r="492" spans="2:30" x14ac:dyDescent="0.35">
      <c r="B492" s="14">
        <v>781</v>
      </c>
      <c r="C492" s="4" t="s">
        <v>503</v>
      </c>
      <c r="D492" s="4" t="s">
        <v>2402</v>
      </c>
      <c r="E492" s="4" t="s">
        <v>2915</v>
      </c>
      <c r="F492" s="4" t="s">
        <v>85</v>
      </c>
      <c r="G492" s="4" t="s">
        <v>993</v>
      </c>
      <c r="H492" s="6">
        <v>7.1400000000000005E-2</v>
      </c>
      <c r="I492" s="8">
        <v>100</v>
      </c>
      <c r="J492" s="8">
        <v>70</v>
      </c>
      <c r="K492" s="8">
        <v>25</v>
      </c>
      <c r="L492" s="8">
        <f t="shared" si="20"/>
        <v>175000</v>
      </c>
      <c r="M492" s="15">
        <v>7897801307901</v>
      </c>
      <c r="N492" s="6" t="s">
        <v>20</v>
      </c>
      <c r="O492" s="6" t="s">
        <v>20</v>
      </c>
      <c r="P492" s="6" t="s">
        <v>20</v>
      </c>
      <c r="Q492" s="6">
        <v>0.16500000000000001</v>
      </c>
      <c r="R492" s="6">
        <v>0.06</v>
      </c>
      <c r="S492" s="6">
        <v>0.28499999999999998</v>
      </c>
      <c r="T492" s="8">
        <v>6</v>
      </c>
      <c r="U492" s="5" t="s">
        <v>1011</v>
      </c>
      <c r="V492" s="89">
        <v>3.2500000000000001E-2</v>
      </c>
      <c r="W492" s="15">
        <v>17897801307908</v>
      </c>
      <c r="X492" s="6">
        <v>0.53</v>
      </c>
      <c r="Y492" s="6">
        <v>0.16</v>
      </c>
      <c r="Z492" s="6">
        <v>0.77</v>
      </c>
      <c r="AA492" s="6">
        <f t="shared" si="21"/>
        <v>6.5296000000000007E-2</v>
      </c>
      <c r="AB492" s="8">
        <v>168</v>
      </c>
      <c r="AC492" s="15">
        <v>27897801307905</v>
      </c>
      <c r="AD492" s="4" t="s">
        <v>992</v>
      </c>
    </row>
    <row r="493" spans="2:30" x14ac:dyDescent="0.35">
      <c r="B493" s="14">
        <v>786</v>
      </c>
      <c r="C493" s="4" t="s">
        <v>505</v>
      </c>
      <c r="D493" s="4" t="s">
        <v>2375</v>
      </c>
      <c r="E493" s="4" t="s">
        <v>2915</v>
      </c>
      <c r="F493" s="4" t="s">
        <v>85</v>
      </c>
      <c r="G493" s="4" t="s">
        <v>1012</v>
      </c>
      <c r="H493" s="6">
        <v>2.9000000000000001E-2</v>
      </c>
      <c r="I493" s="8">
        <v>90</v>
      </c>
      <c r="J493" s="8">
        <v>32</v>
      </c>
      <c r="K493" s="8">
        <v>70</v>
      </c>
      <c r="L493" s="8">
        <f t="shared" si="20"/>
        <v>201600</v>
      </c>
      <c r="M493" s="15">
        <v>7897801319188</v>
      </c>
      <c r="N493" s="6" t="s">
        <v>20</v>
      </c>
      <c r="O493" s="6" t="s">
        <v>20</v>
      </c>
      <c r="P493" s="6" t="s">
        <v>20</v>
      </c>
      <c r="Q493" s="6">
        <v>0.57999999999999996</v>
      </c>
      <c r="R493" s="6">
        <v>0.17</v>
      </c>
      <c r="S493" s="6">
        <v>0.8</v>
      </c>
      <c r="T493" s="8">
        <v>12</v>
      </c>
      <c r="U493" s="5" t="s">
        <v>1011</v>
      </c>
      <c r="V493" s="89">
        <v>3.2500000000000001E-2</v>
      </c>
      <c r="W493" s="15">
        <v>17897801319185</v>
      </c>
      <c r="X493" s="6">
        <v>0.57999999999999996</v>
      </c>
      <c r="Y493" s="6">
        <v>0.17</v>
      </c>
      <c r="Z493" s="6">
        <v>0.8</v>
      </c>
      <c r="AA493" s="6">
        <f t="shared" si="21"/>
        <v>7.8880000000000006E-2</v>
      </c>
      <c r="AB493" s="8">
        <v>336</v>
      </c>
      <c r="AC493" s="15">
        <v>27897801319182</v>
      </c>
      <c r="AD493" s="4" t="s">
        <v>992</v>
      </c>
    </row>
    <row r="494" spans="2:30" x14ac:dyDescent="0.35">
      <c r="B494" s="14">
        <v>787</v>
      </c>
      <c r="C494" s="4" t="s">
        <v>506</v>
      </c>
      <c r="D494" s="4" t="s">
        <v>2375</v>
      </c>
      <c r="E494" s="4" t="s">
        <v>2915</v>
      </c>
      <c r="F494" s="4" t="s">
        <v>85</v>
      </c>
      <c r="G494" s="4" t="s">
        <v>993</v>
      </c>
      <c r="H494" s="6">
        <v>2.9000000000000001E-2</v>
      </c>
      <c r="I494" s="8">
        <v>180</v>
      </c>
      <c r="J494" s="8">
        <v>78</v>
      </c>
      <c r="K494" s="8">
        <v>40</v>
      </c>
      <c r="L494" s="8">
        <v>561600</v>
      </c>
      <c r="M494" s="15">
        <v>7897801319195</v>
      </c>
      <c r="N494" s="6" t="s">
        <v>20</v>
      </c>
      <c r="O494" s="6" t="s">
        <v>20</v>
      </c>
      <c r="P494" s="6" t="s">
        <v>20</v>
      </c>
      <c r="Q494" s="6">
        <v>0.18</v>
      </c>
      <c r="R494" s="6">
        <v>0.1</v>
      </c>
      <c r="S494" s="6">
        <v>0.33</v>
      </c>
      <c r="T494" s="8">
        <v>12</v>
      </c>
      <c r="U494" s="5" t="s">
        <v>1008</v>
      </c>
      <c r="V494" s="89">
        <v>0</v>
      </c>
      <c r="W494" s="15">
        <v>17897801319192</v>
      </c>
      <c r="X494" s="6">
        <v>0.52</v>
      </c>
      <c r="Y494" s="6">
        <v>0.23</v>
      </c>
      <c r="Z494" s="6">
        <v>0.75</v>
      </c>
      <c r="AA494" s="6">
        <v>8.9700000000000002E-2</v>
      </c>
      <c r="AB494" s="8">
        <v>240</v>
      </c>
      <c r="AC494" s="15">
        <v>27897801319199</v>
      </c>
      <c r="AD494" s="4" t="s">
        <v>992</v>
      </c>
    </row>
    <row r="495" spans="2:30" x14ac:dyDescent="0.35">
      <c r="B495" s="14">
        <v>788</v>
      </c>
      <c r="C495" s="4" t="s">
        <v>507</v>
      </c>
      <c r="D495" s="4" t="s">
        <v>2375</v>
      </c>
      <c r="E495" s="4" t="s">
        <v>2915</v>
      </c>
      <c r="F495" s="4" t="s">
        <v>85</v>
      </c>
      <c r="G495" s="4" t="s">
        <v>993</v>
      </c>
      <c r="H495" s="6">
        <v>2.9000000000000001E-2</v>
      </c>
      <c r="I495" s="8">
        <v>117</v>
      </c>
      <c r="J495" s="8">
        <v>75</v>
      </c>
      <c r="K495" s="8">
        <v>40</v>
      </c>
      <c r="L495" s="8">
        <v>351000</v>
      </c>
      <c r="M495" s="15">
        <v>7897801319201</v>
      </c>
      <c r="N495" s="6" t="s">
        <v>20</v>
      </c>
      <c r="O495" s="6" t="s">
        <v>20</v>
      </c>
      <c r="P495" s="6" t="s">
        <v>20</v>
      </c>
      <c r="Q495" s="6">
        <v>0.18</v>
      </c>
      <c r="R495" s="6">
        <v>0.12</v>
      </c>
      <c r="S495" s="6">
        <v>0.33</v>
      </c>
      <c r="T495" s="8">
        <v>12</v>
      </c>
      <c r="U495" s="5" t="s">
        <v>1011</v>
      </c>
      <c r="V495" s="89">
        <v>3.2500000000000001E-2</v>
      </c>
      <c r="W495" s="15">
        <v>17897801319208</v>
      </c>
      <c r="X495" s="6">
        <v>0.52</v>
      </c>
      <c r="Y495" s="6">
        <v>0.23</v>
      </c>
      <c r="Z495" s="6">
        <v>0.75</v>
      </c>
      <c r="AA495" s="6">
        <v>8.9700000000000002E-2</v>
      </c>
      <c r="AB495" s="8">
        <v>360</v>
      </c>
      <c r="AC495" s="15">
        <v>27897801319205</v>
      </c>
      <c r="AD495" s="4" t="s">
        <v>992</v>
      </c>
    </row>
    <row r="496" spans="2:30" x14ac:dyDescent="0.35">
      <c r="B496" s="14">
        <v>790</v>
      </c>
      <c r="C496" s="4" t="s">
        <v>508</v>
      </c>
      <c r="D496" s="4" t="s">
        <v>2397</v>
      </c>
      <c r="E496" s="4" t="s">
        <v>2915</v>
      </c>
      <c r="F496" s="4" t="s">
        <v>85</v>
      </c>
      <c r="G496" s="4" t="s">
        <v>993</v>
      </c>
      <c r="H496" s="6">
        <v>0.45</v>
      </c>
      <c r="I496" s="8">
        <v>400</v>
      </c>
      <c r="J496" s="8">
        <v>1600</v>
      </c>
      <c r="K496" s="8">
        <v>400</v>
      </c>
      <c r="L496" s="8">
        <f t="shared" ref="L496:L514" si="22">J496*I496*K496</f>
        <v>256000000</v>
      </c>
      <c r="M496" s="15">
        <v>7897801300254</v>
      </c>
      <c r="N496" s="6" t="s">
        <v>20</v>
      </c>
      <c r="O496" s="6" t="s">
        <v>20</v>
      </c>
      <c r="P496" s="6" t="s">
        <v>20</v>
      </c>
      <c r="Q496" s="6">
        <v>0.37</v>
      </c>
      <c r="R496" s="6">
        <v>0.18</v>
      </c>
      <c r="S496" s="6">
        <v>1.35</v>
      </c>
      <c r="T496" s="8">
        <v>10</v>
      </c>
      <c r="U496" s="5" t="s">
        <v>991</v>
      </c>
      <c r="V496" s="89">
        <v>0</v>
      </c>
      <c r="W496" s="15">
        <v>17897801300251</v>
      </c>
      <c r="X496" s="6" t="s">
        <v>20</v>
      </c>
      <c r="Y496" s="6" t="s">
        <v>20</v>
      </c>
      <c r="Z496" s="6" t="s">
        <v>20</v>
      </c>
      <c r="AA496" s="6"/>
      <c r="AB496" s="8">
        <v>0</v>
      </c>
      <c r="AC496" s="15">
        <v>27897801300258</v>
      </c>
      <c r="AD496" s="4" t="s">
        <v>992</v>
      </c>
    </row>
    <row r="497" spans="2:30" x14ac:dyDescent="0.35">
      <c r="B497" s="14">
        <v>791</v>
      </c>
      <c r="C497" s="4" t="s">
        <v>509</v>
      </c>
      <c r="D497" s="4" t="s">
        <v>2397</v>
      </c>
      <c r="E497" s="4" t="s">
        <v>2915</v>
      </c>
      <c r="F497" s="4" t="s">
        <v>85</v>
      </c>
      <c r="G497" s="4" t="s">
        <v>993</v>
      </c>
      <c r="H497" s="6">
        <v>0.35</v>
      </c>
      <c r="I497" s="8">
        <v>400</v>
      </c>
      <c r="J497" s="8">
        <v>1200</v>
      </c>
      <c r="K497" s="8">
        <v>400</v>
      </c>
      <c r="L497" s="8">
        <f t="shared" si="22"/>
        <v>192000000</v>
      </c>
      <c r="M497" s="15">
        <v>7897801300261</v>
      </c>
      <c r="N497" s="6" t="s">
        <v>20</v>
      </c>
      <c r="O497" s="6" t="s">
        <v>20</v>
      </c>
      <c r="P497" s="6" t="s">
        <v>20</v>
      </c>
      <c r="Q497" s="6">
        <v>0.4</v>
      </c>
      <c r="R497" s="6">
        <v>0.1</v>
      </c>
      <c r="S497" s="6">
        <v>0.95</v>
      </c>
      <c r="T497" s="8">
        <v>10</v>
      </c>
      <c r="U497" s="5" t="s">
        <v>991</v>
      </c>
      <c r="V497" s="89">
        <v>0</v>
      </c>
      <c r="W497" s="15">
        <v>17897801300268</v>
      </c>
      <c r="X497" s="6" t="s">
        <v>20</v>
      </c>
      <c r="Y497" s="6" t="s">
        <v>20</v>
      </c>
      <c r="Z497" s="6" t="s">
        <v>20</v>
      </c>
      <c r="AA497" s="6"/>
      <c r="AB497" s="8">
        <v>0</v>
      </c>
      <c r="AC497" s="15">
        <v>27897801300265</v>
      </c>
      <c r="AD497" s="4" t="s">
        <v>992</v>
      </c>
    </row>
    <row r="498" spans="2:30" x14ac:dyDescent="0.35">
      <c r="B498" s="14">
        <v>792</v>
      </c>
      <c r="C498" s="4" t="s">
        <v>510</v>
      </c>
      <c r="D498" s="4" t="s">
        <v>2397</v>
      </c>
      <c r="E498" s="4" t="s">
        <v>2915</v>
      </c>
      <c r="F498" s="4" t="s">
        <v>85</v>
      </c>
      <c r="G498" s="4" t="s">
        <v>993</v>
      </c>
      <c r="H498" s="6">
        <v>0.42099999999999999</v>
      </c>
      <c r="I498" s="8">
        <v>400</v>
      </c>
      <c r="J498" s="8">
        <v>1600</v>
      </c>
      <c r="K498" s="8">
        <v>400</v>
      </c>
      <c r="L498" s="8">
        <f t="shared" si="22"/>
        <v>256000000</v>
      </c>
      <c r="M498" s="15">
        <v>7897801301787</v>
      </c>
      <c r="N498" s="6" t="s">
        <v>20</v>
      </c>
      <c r="O498" s="6" t="s">
        <v>20</v>
      </c>
      <c r="P498" s="6" t="s">
        <v>20</v>
      </c>
      <c r="Q498" s="6">
        <v>0.34</v>
      </c>
      <c r="R498" s="6">
        <v>0.22</v>
      </c>
      <c r="S498" s="6">
        <v>1.4</v>
      </c>
      <c r="T498" s="8">
        <v>10</v>
      </c>
      <c r="U498" s="5" t="s">
        <v>991</v>
      </c>
      <c r="V498" s="89">
        <v>0</v>
      </c>
      <c r="W498" s="15">
        <v>17897801301784</v>
      </c>
      <c r="X498" s="6" t="s">
        <v>20</v>
      </c>
      <c r="Y498" s="6" t="s">
        <v>20</v>
      </c>
      <c r="Z498" s="6" t="s">
        <v>20</v>
      </c>
      <c r="AA498" s="6"/>
      <c r="AB498" s="8">
        <v>0</v>
      </c>
      <c r="AC498" s="15">
        <v>27897801301781</v>
      </c>
      <c r="AD498" s="4" t="s">
        <v>992</v>
      </c>
    </row>
    <row r="499" spans="2:30" x14ac:dyDescent="0.35">
      <c r="B499" s="14">
        <v>793</v>
      </c>
      <c r="C499" s="4" t="s">
        <v>511</v>
      </c>
      <c r="D499" s="4" t="s">
        <v>2397</v>
      </c>
      <c r="E499" s="4" t="s">
        <v>2915</v>
      </c>
      <c r="F499" s="4" t="s">
        <v>85</v>
      </c>
      <c r="G499" s="4" t="s">
        <v>993</v>
      </c>
      <c r="H499" s="6">
        <v>0.19550000000000001</v>
      </c>
      <c r="I499" s="8">
        <v>38</v>
      </c>
      <c r="J499" s="8">
        <v>800</v>
      </c>
      <c r="K499" s="8">
        <v>38</v>
      </c>
      <c r="L499" s="8">
        <f t="shared" si="22"/>
        <v>1155200</v>
      </c>
      <c r="M499" s="15">
        <v>7897801307635</v>
      </c>
      <c r="N499" s="6" t="s">
        <v>20</v>
      </c>
      <c r="O499" s="6" t="s">
        <v>20</v>
      </c>
      <c r="P499" s="6" t="s">
        <v>20</v>
      </c>
      <c r="Q499" s="6">
        <v>0.35</v>
      </c>
      <c r="R499" s="6">
        <v>0.1</v>
      </c>
      <c r="S499" s="6">
        <v>0.93</v>
      </c>
      <c r="T499" s="8">
        <v>20</v>
      </c>
      <c r="U499" s="5" t="s">
        <v>991</v>
      </c>
      <c r="V499" s="89">
        <v>0</v>
      </c>
      <c r="W499" s="15">
        <v>17897801307632</v>
      </c>
      <c r="X499" s="6" t="s">
        <v>20</v>
      </c>
      <c r="Y499" s="6" t="s">
        <v>20</v>
      </c>
      <c r="Z499" s="6" t="s">
        <v>20</v>
      </c>
      <c r="AA499" s="6"/>
      <c r="AB499" s="8">
        <v>0</v>
      </c>
      <c r="AC499" s="15">
        <v>27897801307639</v>
      </c>
      <c r="AD499" s="4" t="s">
        <v>992</v>
      </c>
    </row>
    <row r="500" spans="2:30" x14ac:dyDescent="0.35">
      <c r="B500" s="14">
        <v>794</v>
      </c>
      <c r="C500" s="4" t="s">
        <v>512</v>
      </c>
      <c r="D500" s="4" t="s">
        <v>2397</v>
      </c>
      <c r="E500" s="4" t="s">
        <v>2915</v>
      </c>
      <c r="F500" s="4" t="s">
        <v>85</v>
      </c>
      <c r="G500" s="4" t="s">
        <v>993</v>
      </c>
      <c r="H500" s="6">
        <v>0.125</v>
      </c>
      <c r="I500" s="8">
        <v>400</v>
      </c>
      <c r="J500" s="8">
        <v>300</v>
      </c>
      <c r="K500" s="8">
        <v>400</v>
      </c>
      <c r="L500" s="8">
        <f t="shared" si="22"/>
        <v>48000000</v>
      </c>
      <c r="M500" s="15">
        <v>7897801301602</v>
      </c>
      <c r="N500" s="6" t="s">
        <v>20</v>
      </c>
      <c r="O500" s="6" t="s">
        <v>20</v>
      </c>
      <c r="P500" s="6" t="s">
        <v>20</v>
      </c>
      <c r="Q500" s="6">
        <v>0.4</v>
      </c>
      <c r="R500" s="6">
        <v>0.14000000000000001</v>
      </c>
      <c r="S500" s="6">
        <v>0.5</v>
      </c>
      <c r="T500" s="8">
        <v>10</v>
      </c>
      <c r="U500" s="5" t="s">
        <v>991</v>
      </c>
      <c r="V500" s="89">
        <v>0</v>
      </c>
      <c r="W500" s="15">
        <v>17897801301609</v>
      </c>
      <c r="X500" s="6" t="s">
        <v>20</v>
      </c>
      <c r="Y500" s="6" t="s">
        <v>20</v>
      </c>
      <c r="Z500" s="6" t="s">
        <v>20</v>
      </c>
      <c r="AA500" s="6"/>
      <c r="AB500" s="8">
        <v>0</v>
      </c>
      <c r="AC500" s="15">
        <v>27897801301606</v>
      </c>
      <c r="AD500" s="4" t="s">
        <v>992</v>
      </c>
    </row>
    <row r="501" spans="2:30" x14ac:dyDescent="0.35">
      <c r="B501" s="14">
        <v>798</v>
      </c>
      <c r="C501" s="4" t="s">
        <v>513</v>
      </c>
      <c r="D501" s="4" t="s">
        <v>2421</v>
      </c>
      <c r="E501" s="4" t="s">
        <v>2915</v>
      </c>
      <c r="F501" s="4" t="s">
        <v>85</v>
      </c>
      <c r="G501" s="4" t="s">
        <v>993</v>
      </c>
      <c r="H501" s="6">
        <v>2.1000000000000001E-2</v>
      </c>
      <c r="I501" s="8">
        <v>65</v>
      </c>
      <c r="J501" s="8">
        <v>22</v>
      </c>
      <c r="K501" s="8">
        <v>65</v>
      </c>
      <c r="L501" s="8">
        <f t="shared" si="22"/>
        <v>92950</v>
      </c>
      <c r="M501" s="15">
        <v>7897801302012</v>
      </c>
      <c r="N501" s="6" t="s">
        <v>20</v>
      </c>
      <c r="O501" s="6" t="s">
        <v>20</v>
      </c>
      <c r="P501" s="6" t="s">
        <v>20</v>
      </c>
      <c r="Q501" s="6">
        <v>0.22</v>
      </c>
      <c r="R501" s="6">
        <v>0.06</v>
      </c>
      <c r="S501" s="6">
        <v>0.25</v>
      </c>
      <c r="T501" s="8">
        <v>20</v>
      </c>
      <c r="U501" s="5" t="s">
        <v>994</v>
      </c>
      <c r="V501" s="89">
        <v>0</v>
      </c>
      <c r="W501" s="15">
        <v>17897801302019</v>
      </c>
      <c r="X501" s="6">
        <v>0.54</v>
      </c>
      <c r="Y501" s="6">
        <v>0.23</v>
      </c>
      <c r="Z501" s="6">
        <v>0.7</v>
      </c>
      <c r="AA501" s="6">
        <f t="shared" ref="AA501:AA513" si="23">Y501*X501*Z501</f>
        <v>8.6940000000000003E-2</v>
      </c>
      <c r="AB501" s="8">
        <v>600</v>
      </c>
      <c r="AC501" s="15">
        <v>27897801302016</v>
      </c>
      <c r="AD501" s="4" t="s">
        <v>992</v>
      </c>
    </row>
    <row r="502" spans="2:30" x14ac:dyDescent="0.35">
      <c r="B502" s="14">
        <v>806</v>
      </c>
      <c r="C502" s="4" t="s">
        <v>514</v>
      </c>
      <c r="D502" s="4" t="s">
        <v>2387</v>
      </c>
      <c r="E502" s="4" t="s">
        <v>2915</v>
      </c>
      <c r="F502" s="4" t="s">
        <v>85</v>
      </c>
      <c r="G502" s="4" t="s">
        <v>993</v>
      </c>
      <c r="H502" s="6">
        <v>3.2800000000000003E-2</v>
      </c>
      <c r="I502" s="8">
        <v>90</v>
      </c>
      <c r="J502" s="8">
        <v>52</v>
      </c>
      <c r="K502" s="8">
        <v>52</v>
      </c>
      <c r="L502" s="8">
        <f t="shared" si="22"/>
        <v>243360</v>
      </c>
      <c r="M502" s="15">
        <v>7897801301176</v>
      </c>
      <c r="N502" s="6" t="s">
        <v>20</v>
      </c>
      <c r="O502" s="6" t="s">
        <v>20</v>
      </c>
      <c r="P502" s="6" t="s">
        <v>20</v>
      </c>
      <c r="Q502" s="6">
        <v>0.18</v>
      </c>
      <c r="R502" s="6">
        <v>0.13</v>
      </c>
      <c r="S502" s="6">
        <v>0.33</v>
      </c>
      <c r="T502" s="8">
        <v>20</v>
      </c>
      <c r="U502" s="5" t="s">
        <v>994</v>
      </c>
      <c r="V502" s="89">
        <v>0</v>
      </c>
      <c r="W502" s="15">
        <v>17897801301173</v>
      </c>
      <c r="X502" s="6">
        <v>0.45</v>
      </c>
      <c r="Y502" s="6">
        <v>0.25</v>
      </c>
      <c r="Z502" s="6">
        <v>0.7</v>
      </c>
      <c r="AA502" s="6">
        <f t="shared" si="23"/>
        <v>7.8750000000000001E-2</v>
      </c>
      <c r="AB502" s="8">
        <v>400</v>
      </c>
      <c r="AC502" s="15">
        <v>27897801301170</v>
      </c>
      <c r="AD502" s="4" t="s">
        <v>992</v>
      </c>
    </row>
    <row r="503" spans="2:30" x14ac:dyDescent="0.35">
      <c r="B503" s="14">
        <v>807</v>
      </c>
      <c r="C503" s="4" t="s">
        <v>515</v>
      </c>
      <c r="D503" s="4" t="s">
        <v>2387</v>
      </c>
      <c r="E503" s="4" t="s">
        <v>2915</v>
      </c>
      <c r="F503" s="4" t="s">
        <v>85</v>
      </c>
      <c r="G503" s="4" t="s">
        <v>993</v>
      </c>
      <c r="H503" s="6">
        <v>2.18E-2</v>
      </c>
      <c r="I503" s="8">
        <v>62</v>
      </c>
      <c r="J503" s="8">
        <v>52</v>
      </c>
      <c r="K503" s="8">
        <v>52</v>
      </c>
      <c r="L503" s="8">
        <f t="shared" si="22"/>
        <v>167648</v>
      </c>
      <c r="M503" s="15">
        <v>7897801301183</v>
      </c>
      <c r="N503" s="6" t="s">
        <v>20</v>
      </c>
      <c r="O503" s="6" t="s">
        <v>20</v>
      </c>
      <c r="P503" s="6" t="s">
        <v>20</v>
      </c>
      <c r="Q503" s="6">
        <v>0.18</v>
      </c>
      <c r="R503" s="6">
        <v>0.11</v>
      </c>
      <c r="S503" s="6">
        <v>0.32</v>
      </c>
      <c r="T503" s="8">
        <v>20</v>
      </c>
      <c r="U503" s="5" t="s">
        <v>994</v>
      </c>
      <c r="V503" s="89">
        <v>0</v>
      </c>
      <c r="W503" s="15">
        <v>17897801301180</v>
      </c>
      <c r="X503" s="6">
        <v>0.5</v>
      </c>
      <c r="Y503" s="6">
        <v>0.25</v>
      </c>
      <c r="Z503" s="6">
        <v>0.72</v>
      </c>
      <c r="AA503" s="6">
        <f t="shared" si="23"/>
        <v>0.09</v>
      </c>
      <c r="AB503" s="8">
        <v>460</v>
      </c>
      <c r="AC503" s="15">
        <v>27897801301187</v>
      </c>
      <c r="AD503" s="4" t="s">
        <v>992</v>
      </c>
    </row>
    <row r="504" spans="2:30" x14ac:dyDescent="0.35">
      <c r="B504" s="14">
        <v>808</v>
      </c>
      <c r="C504" s="4" t="s">
        <v>516</v>
      </c>
      <c r="D504" s="4" t="s">
        <v>2387</v>
      </c>
      <c r="E504" s="4" t="s">
        <v>2915</v>
      </c>
      <c r="F504" s="4" t="s">
        <v>85</v>
      </c>
      <c r="G504" s="4" t="s">
        <v>993</v>
      </c>
      <c r="H504" s="6">
        <v>1.37E-2</v>
      </c>
      <c r="I504" s="8">
        <v>62</v>
      </c>
      <c r="J504" s="8">
        <v>52</v>
      </c>
      <c r="K504" s="8">
        <v>52</v>
      </c>
      <c r="L504" s="8">
        <f t="shared" si="22"/>
        <v>167648</v>
      </c>
      <c r="M504" s="15">
        <v>7897801301190</v>
      </c>
      <c r="N504" s="6" t="s">
        <v>20</v>
      </c>
      <c r="O504" s="6" t="s">
        <v>20</v>
      </c>
      <c r="P504" s="6" t="s">
        <v>20</v>
      </c>
      <c r="Q504" s="6">
        <v>0.2</v>
      </c>
      <c r="R504" s="6">
        <v>0.06</v>
      </c>
      <c r="S504" s="6">
        <v>0.35</v>
      </c>
      <c r="T504" s="8">
        <v>20</v>
      </c>
      <c r="U504" s="5" t="s">
        <v>994</v>
      </c>
      <c r="V504" s="89">
        <v>0</v>
      </c>
      <c r="W504" s="15">
        <v>17897801301197</v>
      </c>
      <c r="X504" s="6">
        <v>0.55000000000000004</v>
      </c>
      <c r="Y504" s="6">
        <v>0.25</v>
      </c>
      <c r="Z504" s="6">
        <v>0.75</v>
      </c>
      <c r="AA504" s="6">
        <f t="shared" si="23"/>
        <v>0.10312500000000001</v>
      </c>
      <c r="AB504" s="8">
        <v>500</v>
      </c>
      <c r="AC504" s="15">
        <v>27897801301194</v>
      </c>
      <c r="AD504" s="4" t="s">
        <v>992</v>
      </c>
    </row>
    <row r="505" spans="2:30" x14ac:dyDescent="0.35">
      <c r="B505" s="14">
        <v>809</v>
      </c>
      <c r="C505" s="4" t="s">
        <v>517</v>
      </c>
      <c r="D505" s="4" t="s">
        <v>2387</v>
      </c>
      <c r="E505" s="4" t="s">
        <v>2915</v>
      </c>
      <c r="F505" s="4" t="s">
        <v>85</v>
      </c>
      <c r="G505" s="4" t="s">
        <v>993</v>
      </c>
      <c r="H505" s="6">
        <v>4.7100000000000003E-2</v>
      </c>
      <c r="I505" s="8">
        <v>110</v>
      </c>
      <c r="J505" s="8">
        <v>60</v>
      </c>
      <c r="K505" s="8">
        <v>60</v>
      </c>
      <c r="L505" s="8">
        <f t="shared" si="22"/>
        <v>396000</v>
      </c>
      <c r="M505" s="15">
        <v>7897801301206</v>
      </c>
      <c r="N505" s="6" t="s">
        <v>20</v>
      </c>
      <c r="O505" s="6" t="s">
        <v>20</v>
      </c>
      <c r="P505" s="6" t="s">
        <v>20</v>
      </c>
      <c r="Q505" s="6">
        <v>0.22</v>
      </c>
      <c r="R505" s="6">
        <v>0.08</v>
      </c>
      <c r="S505" s="6">
        <v>0.35</v>
      </c>
      <c r="T505" s="8">
        <v>20</v>
      </c>
      <c r="U505" s="5" t="s">
        <v>994</v>
      </c>
      <c r="V505" s="89">
        <v>0</v>
      </c>
      <c r="W505" s="15">
        <v>17897801301203</v>
      </c>
      <c r="X505" s="6">
        <v>0.52</v>
      </c>
      <c r="Y505" s="6">
        <v>0.26</v>
      </c>
      <c r="Z505" s="6">
        <v>0.73</v>
      </c>
      <c r="AA505" s="6">
        <f t="shared" si="23"/>
        <v>9.8696000000000006E-2</v>
      </c>
      <c r="AB505" s="8">
        <v>260</v>
      </c>
      <c r="AC505" s="15">
        <v>27897801301200</v>
      </c>
      <c r="AD505" s="4" t="s">
        <v>992</v>
      </c>
    </row>
    <row r="506" spans="2:30" x14ac:dyDescent="0.35">
      <c r="B506" s="14">
        <v>810</v>
      </c>
      <c r="C506" s="4" t="s">
        <v>518</v>
      </c>
      <c r="D506" s="4" t="s">
        <v>2387</v>
      </c>
      <c r="E506" s="4" t="s">
        <v>2915</v>
      </c>
      <c r="F506" s="4" t="s">
        <v>85</v>
      </c>
      <c r="G506" s="4" t="s">
        <v>993</v>
      </c>
      <c r="H506" s="6">
        <v>3.5999999999999997E-2</v>
      </c>
      <c r="I506" s="8">
        <v>84</v>
      </c>
      <c r="J506" s="8">
        <v>60</v>
      </c>
      <c r="K506" s="8">
        <v>60</v>
      </c>
      <c r="L506" s="8">
        <f t="shared" si="22"/>
        <v>302400</v>
      </c>
      <c r="M506" s="15">
        <v>7897801301213</v>
      </c>
      <c r="N506" s="6" t="s">
        <v>20</v>
      </c>
      <c r="O506" s="6" t="s">
        <v>20</v>
      </c>
      <c r="P506" s="6" t="s">
        <v>20</v>
      </c>
      <c r="Q506" s="6">
        <v>0.26</v>
      </c>
      <c r="R506" s="6">
        <v>8.5000000000000006E-2</v>
      </c>
      <c r="S506" s="6">
        <v>0.35</v>
      </c>
      <c r="T506" s="8">
        <v>20</v>
      </c>
      <c r="U506" s="5" t="s">
        <v>994</v>
      </c>
      <c r="V506" s="89">
        <v>0</v>
      </c>
      <c r="W506" s="15">
        <v>17897801301210</v>
      </c>
      <c r="X506" s="6">
        <v>0.53</v>
      </c>
      <c r="Y506" s="6">
        <v>0.25</v>
      </c>
      <c r="Z506" s="6">
        <v>0.74</v>
      </c>
      <c r="AA506" s="6">
        <f t="shared" si="23"/>
        <v>9.8049999999999998E-2</v>
      </c>
      <c r="AB506" s="8">
        <v>320</v>
      </c>
      <c r="AC506" s="15">
        <v>27897801301217</v>
      </c>
      <c r="AD506" s="4" t="s">
        <v>992</v>
      </c>
    </row>
    <row r="507" spans="2:30" x14ac:dyDescent="0.35">
      <c r="B507" s="14">
        <v>811</v>
      </c>
      <c r="C507" s="4" t="s">
        <v>519</v>
      </c>
      <c r="D507" s="4" t="s">
        <v>2387</v>
      </c>
      <c r="E507" s="4" t="s">
        <v>2915</v>
      </c>
      <c r="F507" s="4" t="s">
        <v>85</v>
      </c>
      <c r="G507" s="4" t="s">
        <v>993</v>
      </c>
      <c r="H507" s="6">
        <v>4.2599999999999999E-2</v>
      </c>
      <c r="I507" s="8">
        <v>60</v>
      </c>
      <c r="J507" s="8">
        <v>112</v>
      </c>
      <c r="K507" s="8">
        <v>60</v>
      </c>
      <c r="L507" s="8">
        <f t="shared" si="22"/>
        <v>403200</v>
      </c>
      <c r="M507" s="15">
        <v>7897801301220</v>
      </c>
      <c r="N507" s="6" t="s">
        <v>20</v>
      </c>
      <c r="O507" s="6" t="s">
        <v>20</v>
      </c>
      <c r="P507" s="6" t="s">
        <v>20</v>
      </c>
      <c r="Q507" s="6">
        <v>0.26</v>
      </c>
      <c r="R507" s="6">
        <v>0.11</v>
      </c>
      <c r="S507" s="6">
        <v>0.35</v>
      </c>
      <c r="T507" s="8">
        <v>20</v>
      </c>
      <c r="U507" s="5" t="s">
        <v>994</v>
      </c>
      <c r="V507" s="89">
        <v>0</v>
      </c>
      <c r="W507" s="15">
        <v>17897801301227</v>
      </c>
      <c r="X507" s="6">
        <v>0.5</v>
      </c>
      <c r="Y507" s="6">
        <v>0.35</v>
      </c>
      <c r="Z507" s="6">
        <v>0.75</v>
      </c>
      <c r="AA507" s="6">
        <f t="shared" si="23"/>
        <v>0.13124999999999998</v>
      </c>
      <c r="AB507" s="8">
        <v>260</v>
      </c>
      <c r="AC507" s="15">
        <v>27897801301224</v>
      </c>
      <c r="AD507" s="4" t="s">
        <v>992</v>
      </c>
    </row>
    <row r="508" spans="2:30" x14ac:dyDescent="0.35">
      <c r="B508" s="14">
        <v>812</v>
      </c>
      <c r="C508" s="4" t="s">
        <v>520</v>
      </c>
      <c r="D508" s="4" t="s">
        <v>2387</v>
      </c>
      <c r="E508" s="4" t="s">
        <v>2915</v>
      </c>
      <c r="F508" s="4" t="s">
        <v>85</v>
      </c>
      <c r="G508" s="4" t="s">
        <v>993</v>
      </c>
      <c r="H508" s="6">
        <v>3.15E-2</v>
      </c>
      <c r="I508" s="8">
        <v>82</v>
      </c>
      <c r="J508" s="8">
        <v>60</v>
      </c>
      <c r="K508" s="8">
        <v>60</v>
      </c>
      <c r="L508" s="8">
        <f t="shared" si="22"/>
        <v>295200</v>
      </c>
      <c r="M508" s="15">
        <v>7897801301237</v>
      </c>
      <c r="N508" s="6" t="s">
        <v>20</v>
      </c>
      <c r="O508" s="6" t="s">
        <v>20</v>
      </c>
      <c r="P508" s="6" t="s">
        <v>20</v>
      </c>
      <c r="Q508" s="6">
        <v>0.25</v>
      </c>
      <c r="R508" s="6">
        <v>0.13</v>
      </c>
      <c r="S508" s="6">
        <v>0.35</v>
      </c>
      <c r="T508" s="8">
        <v>20</v>
      </c>
      <c r="U508" s="5" t="s">
        <v>994</v>
      </c>
      <c r="V508" s="89">
        <v>0</v>
      </c>
      <c r="W508" s="15">
        <v>17897801301234</v>
      </c>
      <c r="X508" s="6">
        <v>0.53</v>
      </c>
      <c r="Y508" s="6">
        <v>0.25</v>
      </c>
      <c r="Z508" s="6">
        <v>0.76</v>
      </c>
      <c r="AA508" s="6">
        <f t="shared" si="23"/>
        <v>0.10070000000000001</v>
      </c>
      <c r="AB508" s="8">
        <v>320</v>
      </c>
      <c r="AC508" s="15">
        <v>27897801301231</v>
      </c>
      <c r="AD508" s="4" t="s">
        <v>992</v>
      </c>
    </row>
    <row r="509" spans="2:30" x14ac:dyDescent="0.35">
      <c r="B509" s="14">
        <v>813</v>
      </c>
      <c r="C509" s="4" t="s">
        <v>521</v>
      </c>
      <c r="D509" s="4" t="s">
        <v>2387</v>
      </c>
      <c r="E509" s="4" t="s">
        <v>2915</v>
      </c>
      <c r="F509" s="4" t="s">
        <v>85</v>
      </c>
      <c r="G509" s="4" t="s">
        <v>993</v>
      </c>
      <c r="H509" s="6">
        <v>4.65E-2</v>
      </c>
      <c r="I509" s="8">
        <v>100</v>
      </c>
      <c r="J509" s="8">
        <v>62</v>
      </c>
      <c r="K509" s="8">
        <v>62</v>
      </c>
      <c r="L509" s="8">
        <f t="shared" si="22"/>
        <v>384400</v>
      </c>
      <c r="M509" s="15">
        <v>7897801302043</v>
      </c>
      <c r="N509" s="6" t="s">
        <v>20</v>
      </c>
      <c r="O509" s="6" t="s">
        <v>20</v>
      </c>
      <c r="P509" s="6" t="s">
        <v>20</v>
      </c>
      <c r="Q509" s="6">
        <v>0.22</v>
      </c>
      <c r="R509" s="6">
        <v>0.155</v>
      </c>
      <c r="S509" s="6">
        <v>0.35</v>
      </c>
      <c r="T509" s="8">
        <v>20</v>
      </c>
      <c r="U509" s="5" t="s">
        <v>994</v>
      </c>
      <c r="V509" s="89">
        <v>0</v>
      </c>
      <c r="W509" s="15">
        <v>17897801302040</v>
      </c>
      <c r="X509" s="6">
        <v>0.45</v>
      </c>
      <c r="Y509" s="6">
        <v>0.28000000000000003</v>
      </c>
      <c r="Z509" s="6">
        <v>0.74</v>
      </c>
      <c r="AA509" s="6">
        <f t="shared" si="23"/>
        <v>9.3240000000000017E-2</v>
      </c>
      <c r="AB509" s="8">
        <v>220</v>
      </c>
      <c r="AC509" s="15">
        <v>27897801302047</v>
      </c>
      <c r="AD509" s="4" t="s">
        <v>992</v>
      </c>
    </row>
    <row r="510" spans="2:30" x14ac:dyDescent="0.35">
      <c r="B510" s="14">
        <v>814</v>
      </c>
      <c r="C510" s="4" t="s">
        <v>522</v>
      </c>
      <c r="D510" s="4" t="s">
        <v>2387</v>
      </c>
      <c r="E510" s="4" t="s">
        <v>2915</v>
      </c>
      <c r="F510" s="4" t="s">
        <v>85</v>
      </c>
      <c r="G510" s="4" t="s">
        <v>993</v>
      </c>
      <c r="H510" s="6">
        <v>1.9400000000000001E-2</v>
      </c>
      <c r="I510" s="8">
        <v>64</v>
      </c>
      <c r="J510" s="8">
        <v>47</v>
      </c>
      <c r="K510" s="8">
        <v>47</v>
      </c>
      <c r="L510" s="8">
        <f t="shared" si="22"/>
        <v>141376</v>
      </c>
      <c r="M510" s="15">
        <v>7897801302050</v>
      </c>
      <c r="N510" s="6" t="s">
        <v>20</v>
      </c>
      <c r="O510" s="6" t="s">
        <v>20</v>
      </c>
      <c r="P510" s="6" t="s">
        <v>20</v>
      </c>
      <c r="Q510" s="6">
        <v>0.2</v>
      </c>
      <c r="R510" s="6">
        <v>7.0000000000000007E-2</v>
      </c>
      <c r="S510" s="6">
        <v>0.35</v>
      </c>
      <c r="T510" s="8">
        <v>20</v>
      </c>
      <c r="U510" s="5" t="s">
        <v>994</v>
      </c>
      <c r="V510" s="89">
        <v>0</v>
      </c>
      <c r="W510" s="15">
        <v>17897801302057</v>
      </c>
      <c r="X510" s="6">
        <v>0.5</v>
      </c>
      <c r="Y510" s="6">
        <v>0.32</v>
      </c>
      <c r="Z510" s="6">
        <v>0.7</v>
      </c>
      <c r="AA510" s="6">
        <f t="shared" si="23"/>
        <v>0.11199999999999999</v>
      </c>
      <c r="AB510" s="8">
        <v>500</v>
      </c>
      <c r="AC510" s="15">
        <v>27897801302054</v>
      </c>
      <c r="AD510" s="4" t="s">
        <v>992</v>
      </c>
    </row>
    <row r="511" spans="2:30" x14ac:dyDescent="0.35">
      <c r="B511" s="14">
        <v>815</v>
      </c>
      <c r="C511" s="4" t="s">
        <v>523</v>
      </c>
      <c r="D511" s="4" t="s">
        <v>2387</v>
      </c>
      <c r="E511" s="4" t="s">
        <v>2915</v>
      </c>
      <c r="F511" s="4" t="s">
        <v>85</v>
      </c>
      <c r="G511" s="4" t="s">
        <v>993</v>
      </c>
      <c r="H511" s="6">
        <v>1.9E-3</v>
      </c>
      <c r="I511" s="8">
        <v>22</v>
      </c>
      <c r="J511" s="8">
        <v>27</v>
      </c>
      <c r="K511" s="8">
        <v>27</v>
      </c>
      <c r="L511" s="8">
        <f t="shared" si="22"/>
        <v>16038</v>
      </c>
      <c r="M511" s="15">
        <v>7897801301244</v>
      </c>
      <c r="N511" s="6" t="s">
        <v>20</v>
      </c>
      <c r="O511" s="6" t="s">
        <v>20</v>
      </c>
      <c r="P511" s="6" t="s">
        <v>20</v>
      </c>
      <c r="Q511" s="6">
        <v>0.17</v>
      </c>
      <c r="R511" s="6">
        <v>0.05</v>
      </c>
      <c r="S511" s="6">
        <v>0.2</v>
      </c>
      <c r="T511" s="8">
        <v>100</v>
      </c>
      <c r="U511" s="5" t="s">
        <v>994</v>
      </c>
      <c r="V511" s="89">
        <v>0</v>
      </c>
      <c r="W511" s="15">
        <v>17897801301241</v>
      </c>
      <c r="X511" s="6">
        <v>0.55000000000000004</v>
      </c>
      <c r="Y511" s="6">
        <v>0.17</v>
      </c>
      <c r="Z511" s="6">
        <v>0.71</v>
      </c>
      <c r="AA511" s="6">
        <f t="shared" si="23"/>
        <v>6.6385E-2</v>
      </c>
      <c r="AB511" s="8">
        <v>6000</v>
      </c>
      <c r="AC511" s="15">
        <v>27897801301248</v>
      </c>
      <c r="AD511" s="4" t="s">
        <v>992</v>
      </c>
    </row>
    <row r="512" spans="2:30" x14ac:dyDescent="0.35">
      <c r="B512" s="14">
        <v>816</v>
      </c>
      <c r="C512" s="4" t="s">
        <v>524</v>
      </c>
      <c r="D512" s="4" t="s">
        <v>2387</v>
      </c>
      <c r="E512" s="4" t="s">
        <v>2915</v>
      </c>
      <c r="F512" s="4" t="s">
        <v>85</v>
      </c>
      <c r="G512" s="4" t="s">
        <v>993</v>
      </c>
      <c r="H512" s="6">
        <v>3.8E-3</v>
      </c>
      <c r="I512" s="8">
        <v>22</v>
      </c>
      <c r="J512" s="8">
        <v>37</v>
      </c>
      <c r="K512" s="8">
        <v>37</v>
      </c>
      <c r="L512" s="8">
        <f t="shared" si="22"/>
        <v>30118</v>
      </c>
      <c r="M512" s="15">
        <v>7897801302067</v>
      </c>
      <c r="N512" s="6" t="s">
        <v>20</v>
      </c>
      <c r="O512" s="6" t="s">
        <v>20</v>
      </c>
      <c r="P512" s="6" t="s">
        <v>20</v>
      </c>
      <c r="Q512" s="6">
        <v>0.16</v>
      </c>
      <c r="R512" s="6">
        <v>7.4999999999999997E-2</v>
      </c>
      <c r="S512" s="6">
        <v>0.27</v>
      </c>
      <c r="T512" s="8">
        <v>100</v>
      </c>
      <c r="U512" s="5" t="s">
        <v>994</v>
      </c>
      <c r="V512" s="89">
        <v>0</v>
      </c>
      <c r="W512" s="15">
        <v>17897801302064</v>
      </c>
      <c r="X512" s="6">
        <v>0.54</v>
      </c>
      <c r="Y512" s="6">
        <v>0.17</v>
      </c>
      <c r="Z512" s="6">
        <v>0.66</v>
      </c>
      <c r="AA512" s="6">
        <f t="shared" si="23"/>
        <v>6.058800000000001E-2</v>
      </c>
      <c r="AB512" s="8">
        <v>3500</v>
      </c>
      <c r="AC512" s="15">
        <v>27897801302061</v>
      </c>
      <c r="AD512" s="4" t="s">
        <v>992</v>
      </c>
    </row>
    <row r="513" spans="2:30" x14ac:dyDescent="0.35">
      <c r="B513" s="14">
        <v>817</v>
      </c>
      <c r="C513" s="4" t="s">
        <v>525</v>
      </c>
      <c r="D513" s="4" t="s">
        <v>2387</v>
      </c>
      <c r="E513" s="4" t="s">
        <v>2915</v>
      </c>
      <c r="F513" s="4" t="s">
        <v>85</v>
      </c>
      <c r="G513" s="4" t="s">
        <v>993</v>
      </c>
      <c r="H513" s="6">
        <v>1.11E-2</v>
      </c>
      <c r="I513" s="8">
        <v>38</v>
      </c>
      <c r="J513" s="8">
        <v>41</v>
      </c>
      <c r="K513" s="8">
        <v>41</v>
      </c>
      <c r="L513" s="8">
        <f t="shared" si="22"/>
        <v>63878</v>
      </c>
      <c r="M513" s="15">
        <v>7897801301251</v>
      </c>
      <c r="N513" s="6" t="s">
        <v>20</v>
      </c>
      <c r="O513" s="6" t="s">
        <v>20</v>
      </c>
      <c r="P513" s="6" t="s">
        <v>20</v>
      </c>
      <c r="Q513" s="6">
        <v>0.15</v>
      </c>
      <c r="R513" s="6">
        <v>4.4999999999999998E-2</v>
      </c>
      <c r="S513" s="6">
        <v>0.17499999999999999</v>
      </c>
      <c r="T513" s="8">
        <v>20</v>
      </c>
      <c r="U513" s="5" t="s">
        <v>994</v>
      </c>
      <c r="V513" s="89">
        <v>0</v>
      </c>
      <c r="W513" s="15">
        <v>17897801301258</v>
      </c>
      <c r="X513" s="6">
        <v>0.52</v>
      </c>
      <c r="Y513" s="6">
        <v>0.21</v>
      </c>
      <c r="Z513" s="6">
        <v>0.7</v>
      </c>
      <c r="AA513" s="6">
        <f t="shared" si="23"/>
        <v>7.6439999999999994E-2</v>
      </c>
      <c r="AB513" s="8">
        <v>1600</v>
      </c>
      <c r="AC513" s="15">
        <v>27897801301255</v>
      </c>
      <c r="AD513" s="4" t="s">
        <v>992</v>
      </c>
    </row>
    <row r="514" spans="2:30" x14ac:dyDescent="0.35">
      <c r="B514" s="14">
        <v>822</v>
      </c>
      <c r="C514" s="4" t="s">
        <v>526</v>
      </c>
      <c r="D514" s="4" t="s">
        <v>2420</v>
      </c>
      <c r="E514" s="4" t="s">
        <v>2915</v>
      </c>
      <c r="F514" s="4" t="s">
        <v>85</v>
      </c>
      <c r="G514" s="4" t="s">
        <v>995</v>
      </c>
      <c r="H514" s="6">
        <v>0.37119999999999997</v>
      </c>
      <c r="I514" s="8">
        <v>260</v>
      </c>
      <c r="J514" s="8">
        <v>150</v>
      </c>
      <c r="K514" s="8">
        <v>340</v>
      </c>
      <c r="L514" s="8">
        <f t="shared" si="22"/>
        <v>13260000</v>
      </c>
      <c r="M514" s="15">
        <v>7897801302623</v>
      </c>
      <c r="N514" s="6" t="s">
        <v>20</v>
      </c>
      <c r="O514" s="6" t="s">
        <v>20</v>
      </c>
      <c r="P514" s="6" t="s">
        <v>20</v>
      </c>
      <c r="Q514" s="6">
        <v>0.28000000000000003</v>
      </c>
      <c r="R514" s="6">
        <v>0.375</v>
      </c>
      <c r="S514" s="6">
        <v>0.38500000000000001</v>
      </c>
      <c r="T514" s="8">
        <v>6</v>
      </c>
      <c r="U514" s="5" t="s">
        <v>1013</v>
      </c>
      <c r="V514" s="89">
        <v>0</v>
      </c>
      <c r="W514" s="15">
        <v>17897801302620</v>
      </c>
      <c r="X514" s="6" t="s">
        <v>20</v>
      </c>
      <c r="Y514" s="6" t="s">
        <v>20</v>
      </c>
      <c r="Z514" s="6" t="s">
        <v>20</v>
      </c>
      <c r="AA514" s="6"/>
      <c r="AB514" s="8">
        <v>0</v>
      </c>
      <c r="AC514" s="15">
        <v>27897801302627</v>
      </c>
      <c r="AD514" s="4" t="s">
        <v>992</v>
      </c>
    </row>
    <row r="515" spans="2:30" x14ac:dyDescent="0.35">
      <c r="B515" s="23">
        <v>836</v>
      </c>
      <c r="C515" s="22" t="s">
        <v>1025</v>
      </c>
      <c r="D515" s="4" t="s">
        <v>2374</v>
      </c>
      <c r="E515" s="4" t="s">
        <v>2913</v>
      </c>
      <c r="F515" s="4" t="s">
        <v>85</v>
      </c>
      <c r="G515" s="4" t="s">
        <v>993</v>
      </c>
      <c r="H515" s="6">
        <v>0.15</v>
      </c>
      <c r="I515" s="8">
        <v>114</v>
      </c>
      <c r="J515" s="8">
        <v>20</v>
      </c>
      <c r="K515" s="8">
        <v>113</v>
      </c>
      <c r="L515" s="17">
        <v>3.4000000000000002E-4</v>
      </c>
      <c r="M515" s="15">
        <v>7897801321211</v>
      </c>
      <c r="N515" s="6" t="s">
        <v>20</v>
      </c>
      <c r="O515" s="6" t="s">
        <v>20</v>
      </c>
      <c r="P515" s="6" t="s">
        <v>20</v>
      </c>
      <c r="Q515" s="6">
        <v>0.12</v>
      </c>
      <c r="R515" s="6">
        <v>0.02</v>
      </c>
      <c r="S515" s="6">
        <v>0.14000000000000001</v>
      </c>
      <c r="T515" s="8">
        <v>2</v>
      </c>
      <c r="U515" s="5" t="s">
        <v>1003</v>
      </c>
      <c r="V515" s="89">
        <v>0</v>
      </c>
      <c r="W515" s="15">
        <v>17897801321218</v>
      </c>
      <c r="X515" s="6">
        <v>0.33</v>
      </c>
      <c r="Y515" s="6">
        <v>0.25</v>
      </c>
      <c r="Z515" s="6">
        <v>0.44</v>
      </c>
      <c r="AA515" s="6">
        <v>3.6299999999999999E-2</v>
      </c>
      <c r="AB515" s="8">
        <v>200</v>
      </c>
      <c r="AC515" s="15">
        <v>27897801321215</v>
      </c>
      <c r="AD515" s="4" t="s">
        <v>992</v>
      </c>
    </row>
    <row r="516" spans="2:30" x14ac:dyDescent="0.35">
      <c r="B516" s="23">
        <v>837</v>
      </c>
      <c r="C516" s="22" t="s">
        <v>1026</v>
      </c>
      <c r="D516" s="4" t="s">
        <v>2374</v>
      </c>
      <c r="E516" s="4" t="s">
        <v>2913</v>
      </c>
      <c r="F516" s="4" t="s">
        <v>85</v>
      </c>
      <c r="G516" s="4" t="s">
        <v>993</v>
      </c>
      <c r="H516" s="6">
        <v>0.23</v>
      </c>
      <c r="I516" s="8">
        <v>178</v>
      </c>
      <c r="J516" s="8">
        <v>17</v>
      </c>
      <c r="K516" s="8">
        <v>163</v>
      </c>
      <c r="L516" s="17">
        <v>4.8999999999999998E-4</v>
      </c>
      <c r="M516" s="15">
        <v>7897801321228</v>
      </c>
      <c r="N516" s="6" t="s">
        <v>20</v>
      </c>
      <c r="O516" s="6" t="s">
        <v>20</v>
      </c>
      <c r="P516" s="6" t="s">
        <v>20</v>
      </c>
      <c r="Q516" s="6">
        <v>0.16300000000000001</v>
      </c>
      <c r="R516" s="6">
        <v>1.7000000000000001E-2</v>
      </c>
      <c r="S516" s="6">
        <v>0.17799999999999999</v>
      </c>
      <c r="T516" s="8">
        <v>2</v>
      </c>
      <c r="U516" s="5" t="s">
        <v>1003</v>
      </c>
      <c r="V516" s="89">
        <v>0</v>
      </c>
      <c r="W516" s="15">
        <v>17897801321225</v>
      </c>
      <c r="X516" s="6">
        <v>0.34</v>
      </c>
      <c r="Y516" s="6">
        <v>0.28999999999999998</v>
      </c>
      <c r="Z516" s="6">
        <v>0.45</v>
      </c>
      <c r="AA516" s="6">
        <v>4.437E-2</v>
      </c>
      <c r="AB516" s="8">
        <v>100</v>
      </c>
      <c r="AC516" s="15">
        <v>27897801321222</v>
      </c>
      <c r="AD516" s="4" t="s">
        <v>992</v>
      </c>
    </row>
    <row r="517" spans="2:30" x14ac:dyDescent="0.35">
      <c r="B517" s="23">
        <v>838</v>
      </c>
      <c r="C517" s="22" t="s">
        <v>1027</v>
      </c>
      <c r="D517" s="4" t="s">
        <v>2374</v>
      </c>
      <c r="E517" s="4" t="s">
        <v>2913</v>
      </c>
      <c r="F517" s="4" t="s">
        <v>85</v>
      </c>
      <c r="G517" s="4" t="s">
        <v>993</v>
      </c>
      <c r="H517" s="6">
        <v>0.61499999999999999</v>
      </c>
      <c r="I517" s="8">
        <v>167</v>
      </c>
      <c r="J517" s="8">
        <v>47</v>
      </c>
      <c r="K517" s="8">
        <v>167</v>
      </c>
      <c r="L517" s="17">
        <v>1.31E-3</v>
      </c>
      <c r="M517" s="15">
        <v>7897801321235</v>
      </c>
      <c r="N517" s="6" t="s">
        <v>20</v>
      </c>
      <c r="O517" s="6" t="s">
        <v>20</v>
      </c>
      <c r="P517" s="6" t="s">
        <v>20</v>
      </c>
      <c r="Q517" s="6">
        <v>0.16700000000000001</v>
      </c>
      <c r="R517" s="6">
        <v>4.7E-2</v>
      </c>
      <c r="S517" s="6">
        <v>0.16700000000000001</v>
      </c>
      <c r="T517" s="8">
        <v>2</v>
      </c>
      <c r="U517" s="5" t="s">
        <v>1003</v>
      </c>
      <c r="V517" s="89">
        <v>0</v>
      </c>
      <c r="W517" s="15">
        <v>17897801321232</v>
      </c>
      <c r="X517" s="6">
        <v>0.37</v>
      </c>
      <c r="Y517" s="6">
        <v>0.3</v>
      </c>
      <c r="Z517" s="6">
        <v>0.59</v>
      </c>
      <c r="AA517" s="6">
        <v>6.5490000000000007E-2</v>
      </c>
      <c r="AB517" s="8">
        <v>36</v>
      </c>
      <c r="AC517" s="15">
        <v>27897801321239</v>
      </c>
      <c r="AD517" s="4" t="s">
        <v>992</v>
      </c>
    </row>
    <row r="518" spans="2:30" x14ac:dyDescent="0.35">
      <c r="B518" s="23">
        <v>839</v>
      </c>
      <c r="C518" s="22" t="s">
        <v>1028</v>
      </c>
      <c r="D518" s="4" t="s">
        <v>2374</v>
      </c>
      <c r="E518" s="4" t="s">
        <v>2913</v>
      </c>
      <c r="F518" s="4" t="s">
        <v>85</v>
      </c>
      <c r="G518" s="4" t="s">
        <v>993</v>
      </c>
      <c r="H518" s="6">
        <v>0.79500000000000004</v>
      </c>
      <c r="I518" s="8">
        <v>210</v>
      </c>
      <c r="J518" s="8">
        <v>44</v>
      </c>
      <c r="K518" s="8">
        <v>210</v>
      </c>
      <c r="L518" s="17">
        <v>1.9400000000000001E-3</v>
      </c>
      <c r="M518" s="15">
        <v>7897801321242</v>
      </c>
      <c r="N518" s="6" t="s">
        <v>20</v>
      </c>
      <c r="O518" s="6" t="s">
        <v>20</v>
      </c>
      <c r="P518" s="6" t="s">
        <v>20</v>
      </c>
      <c r="Q518" s="6">
        <v>0.21</v>
      </c>
      <c r="R518" s="6">
        <v>4.3999999999999997E-2</v>
      </c>
      <c r="S518" s="6">
        <v>0.21</v>
      </c>
      <c r="T518" s="8">
        <v>2</v>
      </c>
      <c r="U518" s="5" t="s">
        <v>1003</v>
      </c>
      <c r="V518" s="89">
        <v>0</v>
      </c>
      <c r="W518" s="15">
        <v>17897801321249</v>
      </c>
      <c r="X518" s="6">
        <v>0.47</v>
      </c>
      <c r="Y518" s="6">
        <v>0.23</v>
      </c>
      <c r="Z518" s="6">
        <v>0.5</v>
      </c>
      <c r="AA518" s="6">
        <v>5.4050000000000001E-2</v>
      </c>
      <c r="AB518" s="8">
        <v>24</v>
      </c>
      <c r="AC518" s="15">
        <v>27897801321246</v>
      </c>
      <c r="AD518" s="4" t="s">
        <v>992</v>
      </c>
    </row>
    <row r="519" spans="2:30" x14ac:dyDescent="0.35">
      <c r="B519" s="18">
        <v>840</v>
      </c>
      <c r="C519" s="4" t="s">
        <v>1029</v>
      </c>
      <c r="D519" s="4" t="s">
        <v>2374</v>
      </c>
      <c r="E519" s="4" t="s">
        <v>2913</v>
      </c>
      <c r="F519" s="4" t="s">
        <v>85</v>
      </c>
      <c r="G519" s="4" t="s">
        <v>993</v>
      </c>
      <c r="H519" s="6">
        <v>0.08</v>
      </c>
      <c r="I519" s="8">
        <v>65</v>
      </c>
      <c r="J519" s="8">
        <v>51</v>
      </c>
      <c r="K519" s="8">
        <v>55</v>
      </c>
      <c r="L519" s="17">
        <v>1.4400000000000001E-3</v>
      </c>
      <c r="M519" s="15">
        <v>7897801321259</v>
      </c>
      <c r="N519" s="6" t="s">
        <v>20</v>
      </c>
      <c r="O519" s="6" t="s">
        <v>20</v>
      </c>
      <c r="P519" s="6" t="s">
        <v>20</v>
      </c>
      <c r="Q519" s="6">
        <v>0.15</v>
      </c>
      <c r="R519" s="6">
        <v>5.5E-2</v>
      </c>
      <c r="S519" s="6">
        <v>0.17499999999999999</v>
      </c>
      <c r="T519" s="8">
        <v>5</v>
      </c>
      <c r="U519" s="5" t="s">
        <v>994</v>
      </c>
      <c r="V519" s="89">
        <v>0</v>
      </c>
      <c r="W519" s="15">
        <v>17897801321256</v>
      </c>
      <c r="X519" s="6">
        <v>0.47</v>
      </c>
      <c r="Y519" s="6">
        <v>0.22</v>
      </c>
      <c r="Z519" s="6">
        <v>0.7</v>
      </c>
      <c r="AA519" s="6">
        <v>7.238E-2</v>
      </c>
      <c r="AB519" s="8">
        <v>240</v>
      </c>
      <c r="AC519" s="15">
        <v>27897801321253</v>
      </c>
      <c r="AD519" s="4" t="s">
        <v>992</v>
      </c>
    </row>
    <row r="520" spans="2:30" x14ac:dyDescent="0.35">
      <c r="B520" s="18">
        <v>841</v>
      </c>
      <c r="C520" s="4" t="s">
        <v>1030</v>
      </c>
      <c r="D520" s="4" t="s">
        <v>2374</v>
      </c>
      <c r="E520" s="4" t="s">
        <v>2913</v>
      </c>
      <c r="F520" s="4" t="s">
        <v>85</v>
      </c>
      <c r="G520" s="4" t="s">
        <v>993</v>
      </c>
      <c r="H520" s="6">
        <v>0.125</v>
      </c>
      <c r="I520" s="8">
        <v>106</v>
      </c>
      <c r="J520" s="8">
        <v>50</v>
      </c>
      <c r="K520" s="8">
        <v>60</v>
      </c>
      <c r="L520" s="17">
        <v>2.0799999999999999E-2</v>
      </c>
      <c r="M520" s="15">
        <v>7897801321266</v>
      </c>
      <c r="N520" s="6" t="s">
        <v>20</v>
      </c>
      <c r="O520" s="6" t="s">
        <v>20</v>
      </c>
      <c r="P520" s="6" t="s">
        <v>20</v>
      </c>
      <c r="Q520" s="6">
        <v>0.16</v>
      </c>
      <c r="R520" s="6">
        <v>0.65</v>
      </c>
      <c r="S520" s="6">
        <v>0.2</v>
      </c>
      <c r="T520" s="8">
        <v>5</v>
      </c>
      <c r="U520" s="5" t="s">
        <v>994</v>
      </c>
      <c r="V520" s="89">
        <v>0</v>
      </c>
      <c r="W520" s="15">
        <v>17897801321263</v>
      </c>
      <c r="X520" s="6">
        <v>0.45</v>
      </c>
      <c r="Y520" s="6">
        <v>0.22</v>
      </c>
      <c r="Z520" s="6">
        <v>0.63</v>
      </c>
      <c r="AA520" s="6">
        <v>6.2370000000000002E-2</v>
      </c>
      <c r="AB520" s="8">
        <v>150</v>
      </c>
      <c r="AC520" s="15">
        <v>27897801321260</v>
      </c>
      <c r="AD520" s="4" t="s">
        <v>992</v>
      </c>
    </row>
    <row r="521" spans="2:30" x14ac:dyDescent="0.35">
      <c r="B521" s="14">
        <v>859</v>
      </c>
      <c r="C521" s="4" t="s">
        <v>527</v>
      </c>
      <c r="D521" s="4" t="s">
        <v>2401</v>
      </c>
      <c r="E521" s="4" t="s">
        <v>2915</v>
      </c>
      <c r="F521" s="4" t="s">
        <v>85</v>
      </c>
      <c r="G521" s="4" t="s">
        <v>993</v>
      </c>
      <c r="H521" s="6">
        <v>0.17199999999999999</v>
      </c>
      <c r="I521" s="8">
        <v>51.6</v>
      </c>
      <c r="J521" s="8">
        <v>26.6</v>
      </c>
      <c r="K521" s="8">
        <v>42.5</v>
      </c>
      <c r="L521" s="8">
        <f t="shared" ref="L521:L538" si="24">J521*I521*K521</f>
        <v>58333.80000000001</v>
      </c>
      <c r="M521" s="15">
        <v>7897801311229</v>
      </c>
      <c r="N521" s="6" t="s">
        <v>20</v>
      </c>
      <c r="O521" s="6" t="s">
        <v>20</v>
      </c>
      <c r="P521" s="6" t="s">
        <v>20</v>
      </c>
      <c r="Q521" s="6">
        <v>0.255</v>
      </c>
      <c r="R521" s="6">
        <v>0.16</v>
      </c>
      <c r="S521" s="6">
        <v>0.31</v>
      </c>
      <c r="T521" s="8">
        <v>6</v>
      </c>
      <c r="U521" s="5" t="s">
        <v>994</v>
      </c>
      <c r="V521" s="89">
        <v>0</v>
      </c>
      <c r="W521" s="15">
        <v>17897801311226</v>
      </c>
      <c r="X521" s="6" t="s">
        <v>20</v>
      </c>
      <c r="Y521" s="6" t="s">
        <v>20</v>
      </c>
      <c r="Z521" s="6" t="s">
        <v>20</v>
      </c>
      <c r="AA521" s="6"/>
      <c r="AB521" s="8">
        <v>0</v>
      </c>
      <c r="AC521" s="15">
        <v>27897801311223</v>
      </c>
      <c r="AD521" s="4" t="s">
        <v>992</v>
      </c>
    </row>
    <row r="522" spans="2:30" x14ac:dyDescent="0.35">
      <c r="B522" s="14">
        <v>860</v>
      </c>
      <c r="C522" s="4" t="s">
        <v>528</v>
      </c>
      <c r="D522" s="4" t="s">
        <v>2401</v>
      </c>
      <c r="E522" s="4" t="s">
        <v>2915</v>
      </c>
      <c r="F522" s="4" t="s">
        <v>85</v>
      </c>
      <c r="G522" s="4" t="s">
        <v>995</v>
      </c>
      <c r="H522" s="6">
        <v>0.1065</v>
      </c>
      <c r="I522" s="8">
        <v>330</v>
      </c>
      <c r="J522" s="8">
        <v>54</v>
      </c>
      <c r="K522" s="8">
        <v>54</v>
      </c>
      <c r="L522" s="8">
        <f t="shared" si="24"/>
        <v>962280</v>
      </c>
      <c r="M522" s="15">
        <v>7897801301596</v>
      </c>
      <c r="N522" s="6" t="s">
        <v>20</v>
      </c>
      <c r="O522" s="6" t="s">
        <v>20</v>
      </c>
      <c r="P522" s="6" t="s">
        <v>20</v>
      </c>
      <c r="Q522" s="6">
        <v>0.24</v>
      </c>
      <c r="R522" s="6">
        <v>0.16</v>
      </c>
      <c r="S522" s="6">
        <v>0.35499999999999998</v>
      </c>
      <c r="T522" s="8">
        <v>12</v>
      </c>
      <c r="U522" s="5" t="s">
        <v>994</v>
      </c>
      <c r="V522" s="89">
        <v>0</v>
      </c>
      <c r="W522" s="15">
        <v>17897801301593</v>
      </c>
      <c r="X522" s="6" t="s">
        <v>20</v>
      </c>
      <c r="Y522" s="6" t="s">
        <v>20</v>
      </c>
      <c r="Z522" s="6" t="s">
        <v>20</v>
      </c>
      <c r="AA522" s="6"/>
      <c r="AB522" s="8">
        <v>0</v>
      </c>
      <c r="AC522" s="15">
        <v>27897801301590</v>
      </c>
      <c r="AD522" s="4" t="s">
        <v>992</v>
      </c>
    </row>
    <row r="523" spans="2:30" x14ac:dyDescent="0.35">
      <c r="B523" s="14">
        <v>861</v>
      </c>
      <c r="C523" s="4" t="s">
        <v>529</v>
      </c>
      <c r="D523" s="4" t="s">
        <v>2401</v>
      </c>
      <c r="E523" s="4" t="s">
        <v>2915</v>
      </c>
      <c r="F523" s="4" t="s">
        <v>85</v>
      </c>
      <c r="G523" s="4" t="s">
        <v>995</v>
      </c>
      <c r="H523" s="6">
        <v>0.19980000000000001</v>
      </c>
      <c r="I523" s="8">
        <v>340</v>
      </c>
      <c r="J523" s="8">
        <v>140</v>
      </c>
      <c r="K523" s="8">
        <v>140</v>
      </c>
      <c r="L523" s="8">
        <f t="shared" si="24"/>
        <v>6664000</v>
      </c>
      <c r="M523" s="15">
        <v>7897801301817</v>
      </c>
      <c r="N523" s="6" t="s">
        <v>20</v>
      </c>
      <c r="O523" s="6" t="s">
        <v>20</v>
      </c>
      <c r="P523" s="6" t="s">
        <v>20</v>
      </c>
      <c r="Q523" s="6">
        <v>0.26500000000000001</v>
      </c>
      <c r="R523" s="6">
        <v>0.28000000000000003</v>
      </c>
      <c r="S523" s="6">
        <v>0.40500000000000003</v>
      </c>
      <c r="T523" s="8">
        <v>12</v>
      </c>
      <c r="U523" s="5" t="s">
        <v>994</v>
      </c>
      <c r="V523" s="89">
        <v>0</v>
      </c>
      <c r="W523" s="15">
        <v>17897801301814</v>
      </c>
      <c r="X523" s="6" t="s">
        <v>20</v>
      </c>
      <c r="Y523" s="6" t="s">
        <v>20</v>
      </c>
      <c r="Z523" s="6" t="s">
        <v>20</v>
      </c>
      <c r="AA523" s="6"/>
      <c r="AB523" s="8">
        <v>0</v>
      </c>
      <c r="AC523" s="15">
        <v>27897801301811</v>
      </c>
      <c r="AD523" s="4" t="s">
        <v>992</v>
      </c>
    </row>
    <row r="524" spans="2:30" x14ac:dyDescent="0.35">
      <c r="B524" s="14">
        <v>862</v>
      </c>
      <c r="C524" s="4" t="s">
        <v>530</v>
      </c>
      <c r="D524" s="4" t="s">
        <v>2401</v>
      </c>
      <c r="E524" s="4" t="s">
        <v>2915</v>
      </c>
      <c r="F524" s="4" t="s">
        <v>85</v>
      </c>
      <c r="G524" s="4" t="s">
        <v>1014</v>
      </c>
      <c r="H524" s="6">
        <v>0.1065</v>
      </c>
      <c r="I524" s="8">
        <v>330</v>
      </c>
      <c r="J524" s="8">
        <v>54</v>
      </c>
      <c r="K524" s="8">
        <v>54</v>
      </c>
      <c r="L524" s="8">
        <f t="shared" si="24"/>
        <v>962280</v>
      </c>
      <c r="M524" s="15">
        <v>7897801318013</v>
      </c>
      <c r="N524" s="6" t="s">
        <v>20</v>
      </c>
      <c r="O524" s="6" t="s">
        <v>20</v>
      </c>
      <c r="P524" s="6" t="s">
        <v>20</v>
      </c>
      <c r="Q524" s="6">
        <v>0.34</v>
      </c>
      <c r="R524" s="6">
        <v>0.44</v>
      </c>
      <c r="S524" s="6">
        <v>0.36</v>
      </c>
      <c r="T524" s="8">
        <v>48</v>
      </c>
      <c r="U524" s="5" t="s">
        <v>994</v>
      </c>
      <c r="V524" s="89">
        <v>0</v>
      </c>
      <c r="W524" s="15">
        <v>17897801318010</v>
      </c>
      <c r="X524" s="6" t="s">
        <v>20</v>
      </c>
      <c r="Y524" s="6" t="s">
        <v>20</v>
      </c>
      <c r="Z524" s="6" t="s">
        <v>20</v>
      </c>
      <c r="AA524" s="6"/>
      <c r="AB524" s="8">
        <v>0</v>
      </c>
      <c r="AC524" s="15">
        <v>27897801318017</v>
      </c>
      <c r="AD524" s="4" t="s">
        <v>992</v>
      </c>
    </row>
    <row r="525" spans="2:30" x14ac:dyDescent="0.35">
      <c r="B525" s="14">
        <v>870</v>
      </c>
      <c r="C525" s="4" t="s">
        <v>531</v>
      </c>
      <c r="D525" s="4" t="s">
        <v>2371</v>
      </c>
      <c r="E525" s="4" t="s">
        <v>2911</v>
      </c>
      <c r="F525" s="4" t="s">
        <v>85</v>
      </c>
      <c r="G525" s="4" t="s">
        <v>993</v>
      </c>
      <c r="H525" s="6">
        <v>0.4733</v>
      </c>
      <c r="I525" s="8">
        <v>170</v>
      </c>
      <c r="J525" s="8">
        <v>100</v>
      </c>
      <c r="K525" s="8">
        <v>130</v>
      </c>
      <c r="L525" s="8">
        <f t="shared" si="24"/>
        <v>2210000</v>
      </c>
      <c r="M525" s="15">
        <v>7897801312349</v>
      </c>
      <c r="N525" s="6" t="s">
        <v>20</v>
      </c>
      <c r="O525" s="6" t="s">
        <v>20</v>
      </c>
      <c r="P525" s="6" t="s">
        <v>20</v>
      </c>
      <c r="Q525" s="6">
        <v>0.17</v>
      </c>
      <c r="R525" s="6">
        <v>0.11</v>
      </c>
      <c r="S525" s="6">
        <v>0.28000000000000003</v>
      </c>
      <c r="T525" s="8">
        <v>2</v>
      </c>
      <c r="U525" s="5" t="s">
        <v>994</v>
      </c>
      <c r="V525" s="89">
        <v>0</v>
      </c>
      <c r="W525" s="15">
        <v>17897801312346</v>
      </c>
      <c r="X525" s="6">
        <v>0.45</v>
      </c>
      <c r="Y525" s="6">
        <v>0.27</v>
      </c>
      <c r="Z525" s="6">
        <v>0.66</v>
      </c>
      <c r="AA525" s="6">
        <f t="shared" ref="AA525:AA530" si="25">Y525*X525*Z525</f>
        <v>8.0190000000000011E-2</v>
      </c>
      <c r="AB525" s="8">
        <v>20</v>
      </c>
      <c r="AC525" s="15">
        <v>27897801312343</v>
      </c>
      <c r="AD525" s="4" t="s">
        <v>992</v>
      </c>
    </row>
    <row r="526" spans="2:30" x14ac:dyDescent="0.35">
      <c r="B526" s="14">
        <v>872</v>
      </c>
      <c r="C526" s="4" t="s">
        <v>532</v>
      </c>
      <c r="D526" s="4" t="s">
        <v>2371</v>
      </c>
      <c r="E526" s="4" t="s">
        <v>2911</v>
      </c>
      <c r="F526" s="4" t="s">
        <v>85</v>
      </c>
      <c r="G526" s="4" t="s">
        <v>993</v>
      </c>
      <c r="H526" s="6">
        <v>0.78910000000000002</v>
      </c>
      <c r="I526" s="8">
        <v>130</v>
      </c>
      <c r="J526" s="8">
        <v>200</v>
      </c>
      <c r="K526" s="8">
        <v>180</v>
      </c>
      <c r="L526" s="8">
        <f t="shared" si="24"/>
        <v>4680000</v>
      </c>
      <c r="M526" s="15">
        <v>7897801312356</v>
      </c>
      <c r="N526" s="6" t="s">
        <v>20</v>
      </c>
      <c r="O526" s="6" t="s">
        <v>20</v>
      </c>
      <c r="P526" s="6" t="s">
        <v>20</v>
      </c>
      <c r="Q526" s="6">
        <v>0.16</v>
      </c>
      <c r="R526" s="6">
        <v>0.13</v>
      </c>
      <c r="S526" s="6">
        <v>0.2</v>
      </c>
      <c r="T526" s="8">
        <v>1</v>
      </c>
      <c r="U526" s="5" t="s">
        <v>994</v>
      </c>
      <c r="V526" s="89">
        <v>0</v>
      </c>
      <c r="W526" s="15">
        <v>17897801312353</v>
      </c>
      <c r="X526" s="6">
        <v>0.48</v>
      </c>
      <c r="Y526" s="6">
        <v>0.25</v>
      </c>
      <c r="Z526" s="6">
        <v>0.75</v>
      </c>
      <c r="AA526" s="6">
        <f t="shared" si="25"/>
        <v>0.09</v>
      </c>
      <c r="AB526" s="8">
        <v>10</v>
      </c>
      <c r="AC526" s="15">
        <v>27897801312350</v>
      </c>
      <c r="AD526" s="4" t="s">
        <v>992</v>
      </c>
    </row>
    <row r="527" spans="2:30" x14ac:dyDescent="0.35">
      <c r="B527" s="14">
        <v>873</v>
      </c>
      <c r="C527" s="4" t="s">
        <v>533</v>
      </c>
      <c r="D527" s="4" t="s">
        <v>2371</v>
      </c>
      <c r="E527" s="4" t="s">
        <v>2911</v>
      </c>
      <c r="F527" s="4" t="s">
        <v>85</v>
      </c>
      <c r="G527" s="4" t="s">
        <v>993</v>
      </c>
      <c r="H527" s="6">
        <v>0.86860000000000004</v>
      </c>
      <c r="I527" s="8">
        <v>210</v>
      </c>
      <c r="J527" s="8">
        <v>130</v>
      </c>
      <c r="K527" s="8">
        <v>200</v>
      </c>
      <c r="L527" s="8">
        <f t="shared" si="24"/>
        <v>5460000</v>
      </c>
      <c r="M527" s="15">
        <v>7897801312363</v>
      </c>
      <c r="N527" s="6" t="s">
        <v>20</v>
      </c>
      <c r="O527" s="6" t="s">
        <v>20</v>
      </c>
      <c r="P527" s="6" t="s">
        <v>20</v>
      </c>
      <c r="Q527" s="6">
        <v>0.17</v>
      </c>
      <c r="R527" s="6">
        <v>0.13</v>
      </c>
      <c r="S527" s="6">
        <v>0.215</v>
      </c>
      <c r="T527" s="8">
        <v>1</v>
      </c>
      <c r="U527" s="5" t="s">
        <v>994</v>
      </c>
      <c r="V527" s="89">
        <v>0</v>
      </c>
      <c r="W527" s="15">
        <v>17897801312360</v>
      </c>
      <c r="X527" s="6">
        <v>0.47</v>
      </c>
      <c r="Y527" s="6">
        <v>0.25</v>
      </c>
      <c r="Z527" s="6">
        <v>0.74</v>
      </c>
      <c r="AA527" s="6">
        <f t="shared" si="25"/>
        <v>8.695E-2</v>
      </c>
      <c r="AB527" s="8">
        <v>10</v>
      </c>
      <c r="AC527" s="15">
        <v>27897801312367</v>
      </c>
      <c r="AD527" s="4" t="s">
        <v>992</v>
      </c>
    </row>
    <row r="528" spans="2:30" x14ac:dyDescent="0.35">
      <c r="B528" s="14">
        <v>874</v>
      </c>
      <c r="C528" s="4" t="s">
        <v>534</v>
      </c>
      <c r="D528" s="4" t="s">
        <v>2371</v>
      </c>
      <c r="E528" s="4" t="s">
        <v>2911</v>
      </c>
      <c r="F528" s="4" t="s">
        <v>85</v>
      </c>
      <c r="G528" s="4" t="s">
        <v>993</v>
      </c>
      <c r="H528" s="6">
        <v>0.1537</v>
      </c>
      <c r="I528" s="8">
        <v>100</v>
      </c>
      <c r="J528" s="8">
        <v>100</v>
      </c>
      <c r="K528" s="8">
        <v>90</v>
      </c>
      <c r="L528" s="8">
        <f t="shared" si="24"/>
        <v>900000</v>
      </c>
      <c r="M528" s="15">
        <v>7897801312714</v>
      </c>
      <c r="N528" s="6" t="s">
        <v>20</v>
      </c>
      <c r="O528" s="6" t="s">
        <v>20</v>
      </c>
      <c r="P528" s="6" t="s">
        <v>20</v>
      </c>
      <c r="Q528" s="6">
        <v>0.25</v>
      </c>
      <c r="R528" s="6">
        <v>0.14000000000000001</v>
      </c>
      <c r="S528" s="6">
        <v>0.33</v>
      </c>
      <c r="T528" s="8">
        <v>10</v>
      </c>
      <c r="U528" s="5" t="s">
        <v>994</v>
      </c>
      <c r="V528" s="89">
        <v>0</v>
      </c>
      <c r="W528" s="15">
        <v>17897801312711</v>
      </c>
      <c r="X528" s="6">
        <v>0.45</v>
      </c>
      <c r="Y528" s="6">
        <v>0.3</v>
      </c>
      <c r="Z528" s="6">
        <v>0.7</v>
      </c>
      <c r="AA528" s="6">
        <f t="shared" si="25"/>
        <v>9.4500000000000001E-2</v>
      </c>
      <c r="AB528" s="8">
        <v>100</v>
      </c>
      <c r="AC528" s="15">
        <v>27897801312718</v>
      </c>
      <c r="AD528" s="4" t="s">
        <v>992</v>
      </c>
    </row>
    <row r="529" spans="2:30" x14ac:dyDescent="0.35">
      <c r="B529" s="14">
        <v>875</v>
      </c>
      <c r="C529" s="4" t="s">
        <v>535</v>
      </c>
      <c r="D529" s="4" t="s">
        <v>2376</v>
      </c>
      <c r="E529" s="4" t="s">
        <v>2911</v>
      </c>
      <c r="F529" s="4" t="s">
        <v>85</v>
      </c>
      <c r="G529" s="4" t="s">
        <v>993</v>
      </c>
      <c r="H529" s="6">
        <v>1.7999999999999999E-2</v>
      </c>
      <c r="I529" s="8">
        <v>45</v>
      </c>
      <c r="J529" s="8">
        <v>30</v>
      </c>
      <c r="K529" s="8">
        <v>30</v>
      </c>
      <c r="L529" s="8">
        <f t="shared" si="24"/>
        <v>40500</v>
      </c>
      <c r="M529" s="15">
        <v>7897801312776</v>
      </c>
      <c r="N529" s="6" t="s">
        <v>20</v>
      </c>
      <c r="O529" s="6" t="s">
        <v>20</v>
      </c>
      <c r="P529" s="6" t="s">
        <v>20</v>
      </c>
      <c r="Q529" s="6">
        <v>0.13</v>
      </c>
      <c r="R529" s="6">
        <v>3.5000000000000003E-2</v>
      </c>
      <c r="S529" s="6">
        <v>0.15</v>
      </c>
      <c r="T529" s="8">
        <v>12</v>
      </c>
      <c r="U529" s="5" t="s">
        <v>994</v>
      </c>
      <c r="V529" s="89">
        <v>0</v>
      </c>
      <c r="W529" s="15">
        <v>17897801312773</v>
      </c>
      <c r="X529" s="6">
        <v>0.45</v>
      </c>
      <c r="Y529" s="6">
        <v>0.2</v>
      </c>
      <c r="Z529" s="6">
        <v>0.65</v>
      </c>
      <c r="AA529" s="6">
        <f t="shared" si="25"/>
        <v>5.850000000000001E-2</v>
      </c>
      <c r="AB529" s="8">
        <v>840</v>
      </c>
      <c r="AC529" s="15">
        <v>27897801312770</v>
      </c>
      <c r="AD529" s="4" t="s">
        <v>992</v>
      </c>
    </row>
    <row r="530" spans="2:30" x14ac:dyDescent="0.35">
      <c r="B530" s="14">
        <v>876</v>
      </c>
      <c r="C530" s="4" t="s">
        <v>536</v>
      </c>
      <c r="D530" s="4" t="s">
        <v>2376</v>
      </c>
      <c r="E530" s="4" t="s">
        <v>2911</v>
      </c>
      <c r="F530" s="4" t="s">
        <v>85</v>
      </c>
      <c r="G530" s="4" t="s">
        <v>993</v>
      </c>
      <c r="H530" s="6">
        <v>2.8199999999999999E-2</v>
      </c>
      <c r="I530" s="8">
        <v>50</v>
      </c>
      <c r="J530" s="8">
        <v>40</v>
      </c>
      <c r="K530" s="8">
        <v>40</v>
      </c>
      <c r="L530" s="8">
        <f t="shared" si="24"/>
        <v>80000</v>
      </c>
      <c r="M530" s="15">
        <v>7897801312783</v>
      </c>
      <c r="N530" s="6" t="s">
        <v>20</v>
      </c>
      <c r="O530" s="6" t="s">
        <v>20</v>
      </c>
      <c r="P530" s="6" t="s">
        <v>20</v>
      </c>
      <c r="Q530" s="6">
        <v>0.2</v>
      </c>
      <c r="R530" s="6">
        <v>9.5000000000000001E-2</v>
      </c>
      <c r="S530" s="6">
        <v>0.23</v>
      </c>
      <c r="T530" s="8">
        <v>12</v>
      </c>
      <c r="U530" s="5" t="s">
        <v>994</v>
      </c>
      <c r="V530" s="89">
        <v>0</v>
      </c>
      <c r="W530" s="15">
        <v>17897801312780</v>
      </c>
      <c r="X530" s="6">
        <v>0.52</v>
      </c>
      <c r="Y530" s="6">
        <v>0.17</v>
      </c>
      <c r="Z530" s="6">
        <v>0.75</v>
      </c>
      <c r="AA530" s="6">
        <f t="shared" si="25"/>
        <v>6.6299999999999998E-2</v>
      </c>
      <c r="AB530" s="8">
        <v>600</v>
      </c>
      <c r="AC530" s="15">
        <v>27897801312787</v>
      </c>
      <c r="AD530" s="4" t="s">
        <v>992</v>
      </c>
    </row>
    <row r="531" spans="2:30" x14ac:dyDescent="0.35">
      <c r="B531" s="14">
        <v>904</v>
      </c>
      <c r="C531" s="4" t="s">
        <v>537</v>
      </c>
      <c r="D531" s="4" t="s">
        <v>2394</v>
      </c>
      <c r="E531" s="4" t="s">
        <v>2913</v>
      </c>
      <c r="F531" s="4" t="s">
        <v>85</v>
      </c>
      <c r="G531" s="4" t="s">
        <v>995</v>
      </c>
      <c r="H531" s="6">
        <v>0.24790000000000001</v>
      </c>
      <c r="I531" s="8">
        <v>143</v>
      </c>
      <c r="J531" s="8">
        <v>104</v>
      </c>
      <c r="K531" s="8">
        <v>143</v>
      </c>
      <c r="L531" s="8">
        <f t="shared" si="24"/>
        <v>2126696</v>
      </c>
      <c r="M531" s="15">
        <v>7897801302180</v>
      </c>
      <c r="N531" s="6" t="s">
        <v>20</v>
      </c>
      <c r="O531" s="6" t="s">
        <v>20</v>
      </c>
      <c r="P531" s="6" t="s">
        <v>20</v>
      </c>
      <c r="Q531" s="6">
        <v>0.31</v>
      </c>
      <c r="R531" s="6">
        <v>0.22</v>
      </c>
      <c r="S531" s="6">
        <v>0.41499999999999998</v>
      </c>
      <c r="T531" s="8">
        <v>12</v>
      </c>
      <c r="U531" s="5" t="s">
        <v>994</v>
      </c>
      <c r="V531" s="89">
        <v>0</v>
      </c>
      <c r="W531" s="15">
        <v>17897801302187</v>
      </c>
      <c r="X531" s="6" t="s">
        <v>20</v>
      </c>
      <c r="Y531" s="6" t="s">
        <v>20</v>
      </c>
      <c r="Z531" s="6" t="s">
        <v>20</v>
      </c>
      <c r="AA531" s="6"/>
      <c r="AB531" s="8">
        <v>0</v>
      </c>
      <c r="AC531" s="15">
        <v>27897801302184</v>
      </c>
      <c r="AD531" s="4" t="s">
        <v>992</v>
      </c>
    </row>
    <row r="532" spans="2:30" x14ac:dyDescent="0.35">
      <c r="B532" s="14">
        <v>906</v>
      </c>
      <c r="C532" s="4" t="s">
        <v>538</v>
      </c>
      <c r="D532" s="4" t="s">
        <v>2394</v>
      </c>
      <c r="E532" s="4" t="s">
        <v>2913</v>
      </c>
      <c r="F532" s="4" t="s">
        <v>85</v>
      </c>
      <c r="G532" s="4" t="s">
        <v>995</v>
      </c>
      <c r="H532" s="6">
        <v>0.23860000000000001</v>
      </c>
      <c r="I532" s="8">
        <v>143</v>
      </c>
      <c r="J532" s="8">
        <v>104</v>
      </c>
      <c r="K532" s="8">
        <v>143</v>
      </c>
      <c r="L532" s="8">
        <f t="shared" si="24"/>
        <v>2126696</v>
      </c>
      <c r="M532" s="15">
        <v>7897801302173</v>
      </c>
      <c r="N532" s="6" t="s">
        <v>20</v>
      </c>
      <c r="O532" s="6" t="s">
        <v>20</v>
      </c>
      <c r="P532" s="6" t="s">
        <v>20</v>
      </c>
      <c r="Q532" s="6">
        <v>0.15</v>
      </c>
      <c r="R532" s="6">
        <v>0.11</v>
      </c>
      <c r="S532" s="6">
        <v>0.185</v>
      </c>
      <c r="T532" s="8">
        <v>12</v>
      </c>
      <c r="U532" s="5" t="s">
        <v>994</v>
      </c>
      <c r="V532" s="89">
        <v>0</v>
      </c>
      <c r="W532" s="15">
        <v>17897801302170</v>
      </c>
      <c r="X532" s="6">
        <v>0.31</v>
      </c>
      <c r="Y532" s="6">
        <v>0.22</v>
      </c>
      <c r="Z532" s="6">
        <v>0.41499999999999998</v>
      </c>
      <c r="AA532" s="6">
        <f>Y532*X532*Z532</f>
        <v>2.8302999999999998E-2</v>
      </c>
      <c r="AB532" s="8">
        <v>0</v>
      </c>
      <c r="AC532" s="15">
        <v>27897801302177</v>
      </c>
      <c r="AD532" s="4" t="s">
        <v>992</v>
      </c>
    </row>
    <row r="533" spans="2:30" x14ac:dyDescent="0.35">
      <c r="B533" s="14">
        <v>908</v>
      </c>
      <c r="C533" s="4" t="s">
        <v>539</v>
      </c>
      <c r="D533" s="4" t="s">
        <v>2394</v>
      </c>
      <c r="E533" s="4" t="s">
        <v>2913</v>
      </c>
      <c r="F533" s="4" t="s">
        <v>85</v>
      </c>
      <c r="G533" s="4" t="s">
        <v>995</v>
      </c>
      <c r="H533" s="6">
        <v>0.31230000000000002</v>
      </c>
      <c r="I533" s="8">
        <v>145</v>
      </c>
      <c r="J533" s="8">
        <v>158</v>
      </c>
      <c r="K533" s="8">
        <v>145</v>
      </c>
      <c r="L533" s="8">
        <f t="shared" si="24"/>
        <v>3321950</v>
      </c>
      <c r="M533" s="15">
        <v>7897801311052</v>
      </c>
      <c r="N533" s="6" t="s">
        <v>20</v>
      </c>
      <c r="O533" s="6" t="s">
        <v>20</v>
      </c>
      <c r="P533" s="6" t="s">
        <v>20</v>
      </c>
      <c r="Q533" s="6">
        <v>0.315</v>
      </c>
      <c r="R533" s="6">
        <v>0.17</v>
      </c>
      <c r="S533" s="6">
        <v>0.41499999999999998</v>
      </c>
      <c r="T533" s="8">
        <v>6</v>
      </c>
      <c r="U533" s="5" t="s">
        <v>994</v>
      </c>
      <c r="V533" s="89">
        <v>0</v>
      </c>
      <c r="W533" s="15">
        <v>17897801311059</v>
      </c>
      <c r="X533" s="6" t="s">
        <v>20</v>
      </c>
      <c r="Y533" s="6" t="s">
        <v>20</v>
      </c>
      <c r="Z533" s="6" t="s">
        <v>20</v>
      </c>
      <c r="AA533" s="6"/>
      <c r="AB533" s="8">
        <v>0</v>
      </c>
      <c r="AC533" s="15">
        <v>27897801311056</v>
      </c>
      <c r="AD533" s="4" t="s">
        <v>992</v>
      </c>
    </row>
    <row r="534" spans="2:30" x14ac:dyDescent="0.35">
      <c r="B534" s="14">
        <v>910</v>
      </c>
      <c r="C534" s="4" t="s">
        <v>540</v>
      </c>
      <c r="D534" s="4" t="s">
        <v>2394</v>
      </c>
      <c r="E534" s="4" t="s">
        <v>2913</v>
      </c>
      <c r="F534" s="4" t="s">
        <v>85</v>
      </c>
      <c r="G534" s="4" t="s">
        <v>995</v>
      </c>
      <c r="H534" s="6">
        <v>0.36409999999999998</v>
      </c>
      <c r="I534" s="8">
        <v>190</v>
      </c>
      <c r="J534" s="8">
        <v>155</v>
      </c>
      <c r="K534" s="8">
        <v>150</v>
      </c>
      <c r="L534" s="8">
        <f t="shared" si="24"/>
        <v>4417500</v>
      </c>
      <c r="M534" s="15">
        <v>7897801311069</v>
      </c>
      <c r="N534" s="6" t="s">
        <v>20</v>
      </c>
      <c r="O534" s="6" t="s">
        <v>20</v>
      </c>
      <c r="P534" s="6" t="s">
        <v>20</v>
      </c>
      <c r="Q534" s="6">
        <v>0.30499999999999999</v>
      </c>
      <c r="R534" s="6">
        <v>0.17</v>
      </c>
      <c r="S534" s="6">
        <v>0.42</v>
      </c>
      <c r="T534" s="8">
        <v>6</v>
      </c>
      <c r="U534" s="5" t="s">
        <v>994</v>
      </c>
      <c r="V534" s="89">
        <v>0</v>
      </c>
      <c r="W534" s="15">
        <v>17897801311066</v>
      </c>
      <c r="X534" s="6" t="s">
        <v>20</v>
      </c>
      <c r="Y534" s="6" t="s">
        <v>20</v>
      </c>
      <c r="Z534" s="6" t="s">
        <v>20</v>
      </c>
      <c r="AA534" s="6"/>
      <c r="AB534" s="8">
        <v>0</v>
      </c>
      <c r="AC534" s="15">
        <v>27897801311063</v>
      </c>
      <c r="AD534" s="4" t="s">
        <v>992</v>
      </c>
    </row>
    <row r="535" spans="2:30" x14ac:dyDescent="0.35">
      <c r="B535" s="14">
        <v>912</v>
      </c>
      <c r="C535" s="4" t="s">
        <v>541</v>
      </c>
      <c r="D535" s="4" t="s">
        <v>2394</v>
      </c>
      <c r="E535" s="4" t="s">
        <v>2913</v>
      </c>
      <c r="F535" s="4" t="s">
        <v>85</v>
      </c>
      <c r="G535" s="4" t="s">
        <v>995</v>
      </c>
      <c r="H535" s="6">
        <v>0.53139999999999998</v>
      </c>
      <c r="I535" s="8">
        <v>155</v>
      </c>
      <c r="J535" s="8">
        <v>155</v>
      </c>
      <c r="K535" s="8">
        <v>22.5</v>
      </c>
      <c r="L535" s="8">
        <f t="shared" si="24"/>
        <v>540562.5</v>
      </c>
      <c r="M535" s="15">
        <v>7897801302982</v>
      </c>
      <c r="N535" s="6" t="s">
        <v>20</v>
      </c>
      <c r="O535" s="6" t="s">
        <v>20</v>
      </c>
      <c r="P535" s="6" t="s">
        <v>20</v>
      </c>
      <c r="Q535" s="6">
        <v>0.33</v>
      </c>
      <c r="R535" s="6">
        <v>0.23</v>
      </c>
      <c r="S535" s="6">
        <v>0.59</v>
      </c>
      <c r="T535" s="8">
        <v>6</v>
      </c>
      <c r="U535" s="5" t="s">
        <v>994</v>
      </c>
      <c r="V535" s="89">
        <v>0</v>
      </c>
      <c r="W535" s="15">
        <v>17897801302989</v>
      </c>
      <c r="X535" s="6" t="s">
        <v>20</v>
      </c>
      <c r="Y535" s="6" t="s">
        <v>20</v>
      </c>
      <c r="Z535" s="6" t="s">
        <v>20</v>
      </c>
      <c r="AA535" s="6"/>
      <c r="AB535" s="8">
        <v>0</v>
      </c>
      <c r="AC535" s="15">
        <v>27897801302986</v>
      </c>
      <c r="AD535" s="4" t="s">
        <v>992</v>
      </c>
    </row>
    <row r="536" spans="2:30" x14ac:dyDescent="0.35">
      <c r="B536" s="14">
        <v>914</v>
      </c>
      <c r="C536" s="4" t="s">
        <v>542</v>
      </c>
      <c r="D536" s="4" t="s">
        <v>2394</v>
      </c>
      <c r="E536" s="4" t="s">
        <v>2913</v>
      </c>
      <c r="F536" s="4" t="s">
        <v>85</v>
      </c>
      <c r="G536" s="4" t="s">
        <v>995</v>
      </c>
      <c r="H536" s="6">
        <v>0.52429999999999999</v>
      </c>
      <c r="I536" s="8">
        <v>225</v>
      </c>
      <c r="J536" s="8">
        <v>150</v>
      </c>
      <c r="K536" s="8">
        <v>213.5</v>
      </c>
      <c r="L536" s="8">
        <f t="shared" si="24"/>
        <v>7205625</v>
      </c>
      <c r="M536" s="15">
        <v>7897801302999</v>
      </c>
      <c r="N536" s="6" t="s">
        <v>20</v>
      </c>
      <c r="O536" s="6" t="s">
        <v>20</v>
      </c>
      <c r="P536" s="6" t="s">
        <v>20</v>
      </c>
      <c r="Q536" s="6">
        <v>0.22500000000000001</v>
      </c>
      <c r="R536" s="6">
        <v>0.34</v>
      </c>
      <c r="S536" s="6">
        <v>0.58499999999999996</v>
      </c>
      <c r="T536" s="8">
        <v>6</v>
      </c>
      <c r="U536" s="5" t="s">
        <v>994</v>
      </c>
      <c r="V536" s="89">
        <v>0</v>
      </c>
      <c r="W536" s="15">
        <v>17897801302996</v>
      </c>
      <c r="X536" s="6" t="s">
        <v>20</v>
      </c>
      <c r="Y536" s="6" t="s">
        <v>20</v>
      </c>
      <c r="Z536" s="6" t="s">
        <v>20</v>
      </c>
      <c r="AA536" s="6"/>
      <c r="AB536" s="8">
        <v>0</v>
      </c>
      <c r="AC536" s="15">
        <v>27897801302993</v>
      </c>
      <c r="AD536" s="4" t="s">
        <v>992</v>
      </c>
    </row>
    <row r="537" spans="2:30" x14ac:dyDescent="0.35">
      <c r="B537" s="14">
        <v>916</v>
      </c>
      <c r="C537" s="4" t="s">
        <v>543</v>
      </c>
      <c r="D537" s="4" t="s">
        <v>2394</v>
      </c>
      <c r="E537" s="4" t="s">
        <v>2913</v>
      </c>
      <c r="F537" s="4" t="s">
        <v>85</v>
      </c>
      <c r="G537" s="4" t="s">
        <v>995</v>
      </c>
      <c r="H537" s="6">
        <v>0.61509999999999998</v>
      </c>
      <c r="I537" s="8">
        <v>213.5</v>
      </c>
      <c r="J537" s="8">
        <v>185</v>
      </c>
      <c r="K537" s="8">
        <v>213.5</v>
      </c>
      <c r="L537" s="8">
        <f t="shared" si="24"/>
        <v>8432716.25</v>
      </c>
      <c r="M537" s="15">
        <v>7897801308267</v>
      </c>
      <c r="N537" s="6" t="s">
        <v>20</v>
      </c>
      <c r="O537" s="6" t="s">
        <v>20</v>
      </c>
      <c r="P537" s="6" t="s">
        <v>20</v>
      </c>
      <c r="Q537" s="6">
        <v>0.2</v>
      </c>
      <c r="R537" s="6">
        <v>0.2</v>
      </c>
      <c r="S537" s="6">
        <v>0.25</v>
      </c>
      <c r="T537" s="8">
        <v>6</v>
      </c>
      <c r="U537" s="5" t="s">
        <v>994</v>
      </c>
      <c r="V537" s="89">
        <v>0</v>
      </c>
      <c r="W537" s="15">
        <v>17897801308264</v>
      </c>
      <c r="X537" s="6">
        <v>0.4</v>
      </c>
      <c r="Y537" s="6">
        <v>0.24</v>
      </c>
      <c r="Z537" s="6">
        <v>0.57999999999999996</v>
      </c>
      <c r="AA537" s="6">
        <f>Y537*X537*Z537</f>
        <v>5.568E-2</v>
      </c>
      <c r="AB537" s="8">
        <v>0</v>
      </c>
      <c r="AC537" s="15">
        <v>27897801308261</v>
      </c>
      <c r="AD537" s="4" t="s">
        <v>992</v>
      </c>
    </row>
    <row r="538" spans="2:30" x14ac:dyDescent="0.35">
      <c r="B538" s="14">
        <v>918</v>
      </c>
      <c r="C538" s="4" t="s">
        <v>544</v>
      </c>
      <c r="D538" s="4" t="s">
        <v>2394</v>
      </c>
      <c r="E538" s="4" t="s">
        <v>2913</v>
      </c>
      <c r="F538" s="4" t="s">
        <v>85</v>
      </c>
      <c r="G538" s="4" t="s">
        <v>995</v>
      </c>
      <c r="H538" s="6">
        <v>0.63970000000000005</v>
      </c>
      <c r="I538" s="8">
        <v>213.5</v>
      </c>
      <c r="J538" s="8">
        <v>185</v>
      </c>
      <c r="K538" s="8">
        <v>213.5</v>
      </c>
      <c r="L538" s="8">
        <f t="shared" si="24"/>
        <v>8432716.25</v>
      </c>
      <c r="M538" s="15">
        <v>7897801308274</v>
      </c>
      <c r="N538" s="6" t="s">
        <v>20</v>
      </c>
      <c r="O538" s="6" t="s">
        <v>20</v>
      </c>
      <c r="P538" s="6" t="s">
        <v>20</v>
      </c>
      <c r="Q538" s="6">
        <v>0.24</v>
      </c>
      <c r="R538" s="6">
        <v>0.4</v>
      </c>
      <c r="S538" s="6">
        <v>0.57999999999999996</v>
      </c>
      <c r="T538" s="8">
        <v>6</v>
      </c>
      <c r="U538" s="5" t="s">
        <v>994</v>
      </c>
      <c r="V538" s="89">
        <v>0</v>
      </c>
      <c r="W538" s="15">
        <v>17897801308271</v>
      </c>
      <c r="X538" s="6" t="s">
        <v>20</v>
      </c>
      <c r="Y538" s="6" t="s">
        <v>20</v>
      </c>
      <c r="Z538" s="6" t="s">
        <v>20</v>
      </c>
      <c r="AA538" s="6"/>
      <c r="AB538" s="8">
        <v>0</v>
      </c>
      <c r="AC538" s="15">
        <v>27897801308278</v>
      </c>
      <c r="AD538" s="4" t="s">
        <v>992</v>
      </c>
    </row>
    <row r="539" spans="2:30" x14ac:dyDescent="0.35">
      <c r="B539" s="14">
        <v>922</v>
      </c>
      <c r="C539" s="4" t="s">
        <v>545</v>
      </c>
      <c r="D539" s="4" t="s">
        <v>2394</v>
      </c>
      <c r="E539" s="4" t="s">
        <v>2913</v>
      </c>
      <c r="F539" s="4" t="s">
        <v>85</v>
      </c>
      <c r="G539" s="4" t="s">
        <v>995</v>
      </c>
      <c r="H539" s="6">
        <v>8.3299999999999999E-2</v>
      </c>
      <c r="I539" s="8">
        <v>110</v>
      </c>
      <c r="J539" s="8">
        <v>60</v>
      </c>
      <c r="K539" s="8">
        <v>110</v>
      </c>
      <c r="L539" s="8">
        <v>726000</v>
      </c>
      <c r="M539" s="15">
        <v>7897801302753</v>
      </c>
      <c r="N539" s="6" t="s">
        <v>20</v>
      </c>
      <c r="O539" s="6" t="s">
        <v>20</v>
      </c>
      <c r="P539" s="6" t="s">
        <v>20</v>
      </c>
      <c r="Q539" s="6">
        <v>0.22</v>
      </c>
      <c r="R539" s="6">
        <v>0.23</v>
      </c>
      <c r="S539" s="6">
        <v>0.24</v>
      </c>
      <c r="T539" s="8">
        <v>20</v>
      </c>
      <c r="U539" s="5" t="s">
        <v>994</v>
      </c>
      <c r="V539" s="89">
        <v>0</v>
      </c>
      <c r="W539" s="15">
        <v>17897801302750</v>
      </c>
      <c r="X539" s="6">
        <v>0</v>
      </c>
      <c r="Y539" s="6">
        <v>0</v>
      </c>
      <c r="Z539" s="6">
        <v>0</v>
      </c>
      <c r="AA539" s="6">
        <v>0</v>
      </c>
      <c r="AB539" s="8">
        <v>0</v>
      </c>
      <c r="AC539" s="15">
        <v>27897801302757</v>
      </c>
      <c r="AD539" s="4" t="s">
        <v>992</v>
      </c>
    </row>
    <row r="540" spans="2:30" x14ac:dyDescent="0.35">
      <c r="B540" s="14">
        <v>924</v>
      </c>
      <c r="C540" s="4" t="s">
        <v>546</v>
      </c>
      <c r="D540" s="4" t="s">
        <v>2394</v>
      </c>
      <c r="E540" s="4" t="s">
        <v>2913</v>
      </c>
      <c r="F540" s="4" t="s">
        <v>85</v>
      </c>
      <c r="G540" s="4" t="s">
        <v>995</v>
      </c>
      <c r="H540" s="6">
        <v>1.4326000000000001</v>
      </c>
      <c r="I540" s="8">
        <v>305.7</v>
      </c>
      <c r="J540" s="8">
        <v>172</v>
      </c>
      <c r="K540" s="8">
        <v>305.7</v>
      </c>
      <c r="L540" s="8">
        <f t="shared" ref="L540:L578" si="26">J540*I540*K540</f>
        <v>16073828.279999999</v>
      </c>
      <c r="M540" s="15">
        <v>7897801308441</v>
      </c>
      <c r="N540" s="6" t="s">
        <v>20</v>
      </c>
      <c r="O540" s="6" t="s">
        <v>20</v>
      </c>
      <c r="P540" s="6" t="s">
        <v>20</v>
      </c>
      <c r="Q540" s="6">
        <v>0.27500000000000002</v>
      </c>
      <c r="R540" s="6">
        <v>0.36</v>
      </c>
      <c r="S540" s="6">
        <v>0.54</v>
      </c>
      <c r="T540" s="8">
        <v>4</v>
      </c>
      <c r="U540" s="5" t="s">
        <v>994</v>
      </c>
      <c r="V540" s="89">
        <v>0</v>
      </c>
      <c r="W540" s="15">
        <v>17897801308448</v>
      </c>
      <c r="X540" s="6">
        <v>0.28000000000000003</v>
      </c>
      <c r="Y540" s="6">
        <v>0.375</v>
      </c>
      <c r="Z540" s="6">
        <v>0.54500000000000004</v>
      </c>
      <c r="AA540" s="6">
        <f>Y540*X540*Z540</f>
        <v>5.7225000000000012E-2</v>
      </c>
      <c r="AB540" s="8">
        <v>0</v>
      </c>
      <c r="AC540" s="15">
        <v>27897801308445</v>
      </c>
      <c r="AD540" s="4" t="s">
        <v>992</v>
      </c>
    </row>
    <row r="541" spans="2:30" x14ac:dyDescent="0.35">
      <c r="B541" s="14">
        <v>925</v>
      </c>
      <c r="C541" s="4" t="s">
        <v>547</v>
      </c>
      <c r="D541" s="4" t="s">
        <v>2394</v>
      </c>
      <c r="E541" s="4" t="s">
        <v>2913</v>
      </c>
      <c r="F541" s="4" t="s">
        <v>85</v>
      </c>
      <c r="G541" s="4" t="s">
        <v>995</v>
      </c>
      <c r="H541" s="6">
        <v>1.6812</v>
      </c>
      <c r="I541" s="8">
        <v>305.7</v>
      </c>
      <c r="J541" s="8">
        <v>230</v>
      </c>
      <c r="K541" s="8">
        <v>305.7</v>
      </c>
      <c r="L541" s="8">
        <f t="shared" si="26"/>
        <v>21494072.699999999</v>
      </c>
      <c r="M541" s="15">
        <v>7897801308502</v>
      </c>
      <c r="N541" s="6" t="s">
        <v>20</v>
      </c>
      <c r="O541" s="6" t="s">
        <v>20</v>
      </c>
      <c r="P541" s="6" t="s">
        <v>20</v>
      </c>
      <c r="Q541" s="6">
        <v>0.28999999999999998</v>
      </c>
      <c r="R541" s="6">
        <v>0.48</v>
      </c>
      <c r="S541" s="6">
        <v>0.56000000000000005</v>
      </c>
      <c r="T541" s="8">
        <v>4</v>
      </c>
      <c r="U541" s="5" t="s">
        <v>994</v>
      </c>
      <c r="V541" s="89">
        <v>0</v>
      </c>
      <c r="W541" s="15">
        <v>17897801308509</v>
      </c>
      <c r="X541" s="6" t="s">
        <v>20</v>
      </c>
      <c r="Y541" s="6" t="s">
        <v>20</v>
      </c>
      <c r="Z541" s="6" t="s">
        <v>20</v>
      </c>
      <c r="AA541" s="6"/>
      <c r="AB541" s="8">
        <v>0</v>
      </c>
      <c r="AC541" s="15">
        <v>27897801308506</v>
      </c>
      <c r="AD541" s="4" t="s">
        <v>992</v>
      </c>
    </row>
    <row r="542" spans="2:30" x14ac:dyDescent="0.35">
      <c r="B542" s="14">
        <v>926</v>
      </c>
      <c r="C542" s="4" t="s">
        <v>548</v>
      </c>
      <c r="D542" s="4" t="s">
        <v>2394</v>
      </c>
      <c r="E542" s="4" t="s">
        <v>2913</v>
      </c>
      <c r="F542" s="4" t="s">
        <v>85</v>
      </c>
      <c r="G542" s="4" t="s">
        <v>995</v>
      </c>
      <c r="H542" s="6">
        <v>1.33</v>
      </c>
      <c r="I542" s="8">
        <v>305.7</v>
      </c>
      <c r="J542" s="8">
        <v>172</v>
      </c>
      <c r="K542" s="8">
        <v>305.7</v>
      </c>
      <c r="L542" s="8">
        <f t="shared" si="26"/>
        <v>16073828.279999999</v>
      </c>
      <c r="M542" s="15">
        <v>7897801308410</v>
      </c>
      <c r="N542" s="6" t="s">
        <v>20</v>
      </c>
      <c r="O542" s="6" t="s">
        <v>20</v>
      </c>
      <c r="P542" s="6" t="s">
        <v>20</v>
      </c>
      <c r="Q542" s="6">
        <v>0.28499999999999998</v>
      </c>
      <c r="R542" s="6">
        <v>0.36499999999999999</v>
      </c>
      <c r="S542" s="6">
        <v>0.53500000000000003</v>
      </c>
      <c r="T542" s="8">
        <v>4</v>
      </c>
      <c r="U542" s="5" t="s">
        <v>994</v>
      </c>
      <c r="V542" s="89">
        <v>0</v>
      </c>
      <c r="W542" s="15">
        <v>17897801308417</v>
      </c>
      <c r="X542" s="6" t="s">
        <v>20</v>
      </c>
      <c r="Y542" s="6" t="s">
        <v>20</v>
      </c>
      <c r="Z542" s="6" t="s">
        <v>20</v>
      </c>
      <c r="AA542" s="6"/>
      <c r="AB542" s="8">
        <v>0</v>
      </c>
      <c r="AC542" s="15">
        <v>27897801308414</v>
      </c>
      <c r="AD542" s="4" t="s">
        <v>992</v>
      </c>
    </row>
    <row r="543" spans="2:30" x14ac:dyDescent="0.35">
      <c r="B543" s="14">
        <v>927</v>
      </c>
      <c r="C543" s="4" t="s">
        <v>549</v>
      </c>
      <c r="D543" s="4" t="s">
        <v>2394</v>
      </c>
      <c r="E543" s="4" t="s">
        <v>2913</v>
      </c>
      <c r="F543" s="4" t="s">
        <v>85</v>
      </c>
      <c r="G543" s="4" t="s">
        <v>995</v>
      </c>
      <c r="H543" s="6">
        <v>1.6056999999999999</v>
      </c>
      <c r="I543" s="8">
        <v>305.7</v>
      </c>
      <c r="J543" s="8">
        <v>230</v>
      </c>
      <c r="K543" s="8">
        <v>305.7</v>
      </c>
      <c r="L543" s="8">
        <f t="shared" si="26"/>
        <v>21494072.699999999</v>
      </c>
      <c r="M543" s="15">
        <v>7897801308519</v>
      </c>
      <c r="N543" s="6" t="s">
        <v>20</v>
      </c>
      <c r="O543" s="6" t="s">
        <v>20</v>
      </c>
      <c r="P543" s="6" t="s">
        <v>20</v>
      </c>
      <c r="Q543" s="6">
        <v>0.3</v>
      </c>
      <c r="R543" s="6">
        <v>0.24</v>
      </c>
      <c r="S543" s="6">
        <v>0.34</v>
      </c>
      <c r="T543" s="8">
        <v>4</v>
      </c>
      <c r="U543" s="5" t="s">
        <v>994</v>
      </c>
      <c r="V543" s="89">
        <v>0</v>
      </c>
      <c r="W543" s="15">
        <v>17897801308516</v>
      </c>
      <c r="X543" s="6">
        <v>0.47</v>
      </c>
      <c r="Y543" s="6">
        <v>0.28999999999999998</v>
      </c>
      <c r="Z543" s="6">
        <v>0.56000000000000005</v>
      </c>
      <c r="AA543" s="6">
        <f>Y543*X543*Z543</f>
        <v>7.6327999999999993E-2</v>
      </c>
      <c r="AB543" s="8">
        <v>0</v>
      </c>
      <c r="AC543" s="15">
        <v>27897801308513</v>
      </c>
      <c r="AD543" s="4" t="s">
        <v>992</v>
      </c>
    </row>
    <row r="544" spans="2:30" x14ac:dyDescent="0.35">
      <c r="B544" s="14">
        <v>928</v>
      </c>
      <c r="C544" s="4" t="s">
        <v>550</v>
      </c>
      <c r="D544" s="4" t="s">
        <v>2394</v>
      </c>
      <c r="E544" s="4" t="s">
        <v>2913</v>
      </c>
      <c r="F544" s="4" t="s">
        <v>85</v>
      </c>
      <c r="G544" s="4" t="s">
        <v>995</v>
      </c>
      <c r="H544" s="6">
        <v>0.185</v>
      </c>
      <c r="I544" s="8">
        <v>100</v>
      </c>
      <c r="J544" s="8">
        <v>50</v>
      </c>
      <c r="K544" s="8">
        <v>100</v>
      </c>
      <c r="L544" s="8">
        <f t="shared" si="26"/>
        <v>500000</v>
      </c>
      <c r="M544" s="15">
        <v>7897801308489</v>
      </c>
      <c r="N544" s="6" t="s">
        <v>20</v>
      </c>
      <c r="O544" s="6" t="s">
        <v>20</v>
      </c>
      <c r="P544" s="6" t="s">
        <v>20</v>
      </c>
      <c r="Q544" s="6">
        <v>0.15</v>
      </c>
      <c r="R544" s="6">
        <v>0.11</v>
      </c>
      <c r="S544" s="6">
        <v>0.185</v>
      </c>
      <c r="T544" s="8">
        <v>6</v>
      </c>
      <c r="U544" s="5" t="s">
        <v>994</v>
      </c>
      <c r="V544" s="89">
        <v>0</v>
      </c>
      <c r="W544" s="15">
        <v>17897801308486</v>
      </c>
      <c r="X544" s="6">
        <v>0.31</v>
      </c>
      <c r="Y544" s="6">
        <v>0.22</v>
      </c>
      <c r="Z544" s="6">
        <v>0.41499999999999998</v>
      </c>
      <c r="AA544" s="6">
        <f>Y544*X544*Z544</f>
        <v>2.8302999999999998E-2</v>
      </c>
      <c r="AB544" s="8">
        <v>0</v>
      </c>
      <c r="AC544" s="15">
        <v>27897801308483</v>
      </c>
      <c r="AD544" s="4" t="s">
        <v>992</v>
      </c>
    </row>
    <row r="545" spans="2:30" x14ac:dyDescent="0.35">
      <c r="B545" s="14">
        <v>929</v>
      </c>
      <c r="C545" s="4" t="s">
        <v>551</v>
      </c>
      <c r="D545" s="4" t="s">
        <v>2394</v>
      </c>
      <c r="E545" s="4" t="s">
        <v>2913</v>
      </c>
      <c r="F545" s="4" t="s">
        <v>85</v>
      </c>
      <c r="G545" s="4" t="s">
        <v>995</v>
      </c>
      <c r="H545" s="6">
        <v>0.4047</v>
      </c>
      <c r="I545" s="8">
        <v>213.5</v>
      </c>
      <c r="J545" s="8">
        <v>150</v>
      </c>
      <c r="K545" s="8">
        <v>23.5</v>
      </c>
      <c r="L545" s="8">
        <f t="shared" si="26"/>
        <v>752587.5</v>
      </c>
      <c r="M545" s="15">
        <v>7897801308496</v>
      </c>
      <c r="N545" s="6" t="s">
        <v>20</v>
      </c>
      <c r="O545" s="6" t="s">
        <v>20</v>
      </c>
      <c r="P545" s="6" t="s">
        <v>20</v>
      </c>
      <c r="Q545" s="6">
        <v>0.22500000000000001</v>
      </c>
      <c r="R545" s="6">
        <v>0.32500000000000001</v>
      </c>
      <c r="S545" s="6">
        <v>0.58499999999999996</v>
      </c>
      <c r="T545" s="8">
        <v>6</v>
      </c>
      <c r="U545" s="5" t="s">
        <v>994</v>
      </c>
      <c r="V545" s="89">
        <v>0</v>
      </c>
      <c r="W545" s="15">
        <v>17897801308493</v>
      </c>
      <c r="X545" s="6" t="s">
        <v>20</v>
      </c>
      <c r="Y545" s="6" t="s">
        <v>20</v>
      </c>
      <c r="Z545" s="6" t="s">
        <v>20</v>
      </c>
      <c r="AA545" s="6"/>
      <c r="AB545" s="8">
        <v>0</v>
      </c>
      <c r="AC545" s="15">
        <v>27897801308490</v>
      </c>
      <c r="AD545" s="4" t="s">
        <v>992</v>
      </c>
    </row>
    <row r="546" spans="2:30" x14ac:dyDescent="0.35">
      <c r="B546" s="14">
        <v>930</v>
      </c>
      <c r="C546" s="4" t="s">
        <v>552</v>
      </c>
      <c r="D546" s="4" t="s">
        <v>2394</v>
      </c>
      <c r="E546" s="4" t="s">
        <v>2913</v>
      </c>
      <c r="F546" s="4" t="s">
        <v>85</v>
      </c>
      <c r="G546" s="4" t="s">
        <v>995</v>
      </c>
      <c r="H546" s="6">
        <v>0.30609999999999998</v>
      </c>
      <c r="I546" s="8">
        <v>176</v>
      </c>
      <c r="J546" s="8">
        <v>150</v>
      </c>
      <c r="K546" s="8">
        <v>176</v>
      </c>
      <c r="L546" s="8">
        <f t="shared" si="26"/>
        <v>4646400</v>
      </c>
      <c r="M546" s="15">
        <v>7897801311076</v>
      </c>
      <c r="N546" s="6" t="s">
        <v>20</v>
      </c>
      <c r="O546" s="6" t="s">
        <v>20</v>
      </c>
      <c r="P546" s="6" t="s">
        <v>20</v>
      </c>
      <c r="Q546" s="6">
        <v>0.23</v>
      </c>
      <c r="R546" s="6">
        <v>0.33</v>
      </c>
      <c r="S546" s="6">
        <v>0.59</v>
      </c>
      <c r="T546" s="8">
        <v>6</v>
      </c>
      <c r="U546" s="5" t="s">
        <v>994</v>
      </c>
      <c r="V546" s="89">
        <v>0</v>
      </c>
      <c r="W546" s="15">
        <v>17897801311073</v>
      </c>
      <c r="X546" s="6" t="s">
        <v>20</v>
      </c>
      <c r="Y546" s="6" t="s">
        <v>20</v>
      </c>
      <c r="Z546" s="6" t="s">
        <v>20</v>
      </c>
      <c r="AA546" s="6"/>
      <c r="AB546" s="8">
        <v>0</v>
      </c>
      <c r="AC546" s="15">
        <v>27897801311070</v>
      </c>
      <c r="AD546" s="4" t="s">
        <v>992</v>
      </c>
    </row>
    <row r="547" spans="2:30" x14ac:dyDescent="0.35">
      <c r="B547" s="14">
        <v>931</v>
      </c>
      <c r="C547" s="4" t="s">
        <v>553</v>
      </c>
      <c r="D547" s="4" t="s">
        <v>2394</v>
      </c>
      <c r="E547" s="4" t="s">
        <v>2913</v>
      </c>
      <c r="F547" s="4" t="s">
        <v>85</v>
      </c>
      <c r="G547" s="4" t="s">
        <v>995</v>
      </c>
      <c r="H547" s="6">
        <v>0.1163</v>
      </c>
      <c r="I547" s="8">
        <v>122</v>
      </c>
      <c r="J547" s="8">
        <v>53</v>
      </c>
      <c r="K547" s="8">
        <v>96</v>
      </c>
      <c r="L547" s="8">
        <f t="shared" si="26"/>
        <v>620736</v>
      </c>
      <c r="M547" s="15">
        <v>7897801302746</v>
      </c>
      <c r="N547" s="6" t="s">
        <v>20</v>
      </c>
      <c r="O547" s="6" t="s">
        <v>20</v>
      </c>
      <c r="P547" s="6" t="s">
        <v>20</v>
      </c>
      <c r="Q547" s="6">
        <v>0.255</v>
      </c>
      <c r="R547" s="6">
        <v>0.2</v>
      </c>
      <c r="S547" s="6">
        <v>0.28000000000000003</v>
      </c>
      <c r="T547" s="8">
        <v>20</v>
      </c>
      <c r="U547" s="5" t="s">
        <v>994</v>
      </c>
      <c r="V547" s="89">
        <v>0</v>
      </c>
      <c r="W547" s="15">
        <v>17897801302743</v>
      </c>
      <c r="X547" s="6" t="s">
        <v>20</v>
      </c>
      <c r="Y547" s="6" t="s">
        <v>20</v>
      </c>
      <c r="Z547" s="6" t="s">
        <v>20</v>
      </c>
      <c r="AA547" s="6"/>
      <c r="AB547" s="8">
        <v>0</v>
      </c>
      <c r="AC547" s="15">
        <v>27897801302740</v>
      </c>
      <c r="AD547" s="4" t="s">
        <v>992</v>
      </c>
    </row>
    <row r="548" spans="2:30" x14ac:dyDescent="0.35">
      <c r="B548" s="14">
        <v>936</v>
      </c>
      <c r="C548" s="4" t="s">
        <v>554</v>
      </c>
      <c r="D548" s="4" t="s">
        <v>2394</v>
      </c>
      <c r="E548" s="4" t="s">
        <v>2913</v>
      </c>
      <c r="F548" s="4" t="s">
        <v>85</v>
      </c>
      <c r="G548" s="4" t="s">
        <v>993</v>
      </c>
      <c r="H548" s="6">
        <v>2.18E-2</v>
      </c>
      <c r="I548" s="8">
        <v>100</v>
      </c>
      <c r="J548" s="8">
        <v>10</v>
      </c>
      <c r="K548" s="8">
        <v>100</v>
      </c>
      <c r="L548" s="8">
        <f t="shared" si="26"/>
        <v>100000</v>
      </c>
      <c r="M548" s="15">
        <v>7897801307093</v>
      </c>
      <c r="N548" s="6" t="s">
        <v>20</v>
      </c>
      <c r="O548" s="6" t="s">
        <v>20</v>
      </c>
      <c r="P548" s="6" t="s">
        <v>20</v>
      </c>
      <c r="Q548" s="6">
        <v>0.1</v>
      </c>
      <c r="R548" s="6">
        <v>0.09</v>
      </c>
      <c r="S548" s="6">
        <v>0.1</v>
      </c>
      <c r="T548" s="8">
        <v>12</v>
      </c>
      <c r="U548" s="5" t="s">
        <v>994</v>
      </c>
      <c r="V548" s="89">
        <v>0</v>
      </c>
      <c r="W548" s="15">
        <v>17897801307090</v>
      </c>
      <c r="X548" s="6">
        <v>0.5</v>
      </c>
      <c r="Y548" s="6">
        <v>0.1</v>
      </c>
      <c r="Z548" s="6">
        <v>0.7</v>
      </c>
      <c r="AA548" s="6">
        <f>Y548*X548*Z548</f>
        <v>3.4999999999999996E-2</v>
      </c>
      <c r="AB548" s="8">
        <v>480</v>
      </c>
      <c r="AC548" s="15">
        <v>27897801307097</v>
      </c>
      <c r="AD548" s="4" t="s">
        <v>992</v>
      </c>
    </row>
    <row r="549" spans="2:30" x14ac:dyDescent="0.35">
      <c r="B549" s="14">
        <v>937</v>
      </c>
      <c r="C549" s="4" t="s">
        <v>555</v>
      </c>
      <c r="D549" s="4" t="s">
        <v>2394</v>
      </c>
      <c r="E549" s="4" t="s">
        <v>2913</v>
      </c>
      <c r="F549" s="4" t="s">
        <v>85</v>
      </c>
      <c r="G549" s="4" t="s">
        <v>993</v>
      </c>
      <c r="H549" s="6">
        <v>6.8000000000000005E-2</v>
      </c>
      <c r="I549" s="8">
        <v>100</v>
      </c>
      <c r="J549" s="8">
        <v>10</v>
      </c>
      <c r="K549" s="8">
        <v>100</v>
      </c>
      <c r="L549" s="8">
        <f t="shared" si="26"/>
        <v>100000</v>
      </c>
      <c r="M549" s="15">
        <v>7897801306621</v>
      </c>
      <c r="N549" s="6" t="s">
        <v>20</v>
      </c>
      <c r="O549" s="6" t="s">
        <v>20</v>
      </c>
      <c r="P549" s="6" t="s">
        <v>20</v>
      </c>
      <c r="Q549" s="6">
        <v>9.5000000000000001E-2</v>
      </c>
      <c r="R549" s="6">
        <v>0.01</v>
      </c>
      <c r="S549" s="6">
        <v>9.5000000000000001E-2</v>
      </c>
      <c r="T549" s="8">
        <v>12</v>
      </c>
      <c r="U549" s="5" t="s">
        <v>994</v>
      </c>
      <c r="V549" s="89">
        <v>0</v>
      </c>
      <c r="W549" s="15">
        <v>17897801306628</v>
      </c>
      <c r="X549" s="6">
        <v>0.2</v>
      </c>
      <c r="Y549" s="6">
        <v>3.5000000000000003E-2</v>
      </c>
      <c r="Z549" s="6">
        <v>0.2</v>
      </c>
      <c r="AA549" s="6">
        <f>Y549*X549*Z549</f>
        <v>1.4000000000000002E-3</v>
      </c>
      <c r="AB549" s="8">
        <v>0</v>
      </c>
      <c r="AC549" s="15">
        <v>27897801306625</v>
      </c>
      <c r="AD549" s="4" t="s">
        <v>992</v>
      </c>
    </row>
    <row r="550" spans="2:30" x14ac:dyDescent="0.35">
      <c r="B550" s="14">
        <v>938</v>
      </c>
      <c r="C550" s="4" t="s">
        <v>556</v>
      </c>
      <c r="D550" s="4" t="s">
        <v>2394</v>
      </c>
      <c r="E550" s="4" t="s">
        <v>2913</v>
      </c>
      <c r="F550" s="4" t="s">
        <v>85</v>
      </c>
      <c r="G550" s="4" t="s">
        <v>993</v>
      </c>
      <c r="H550" s="6">
        <v>6.2899999999999998E-2</v>
      </c>
      <c r="I550" s="8">
        <v>150</v>
      </c>
      <c r="J550" s="8">
        <v>10</v>
      </c>
      <c r="K550" s="8">
        <v>150</v>
      </c>
      <c r="L550" s="8">
        <f t="shared" si="26"/>
        <v>225000</v>
      </c>
      <c r="M550" s="15">
        <v>7897801303897</v>
      </c>
      <c r="N550" s="6" t="s">
        <v>20</v>
      </c>
      <c r="O550" s="6" t="s">
        <v>20</v>
      </c>
      <c r="P550" s="6" t="s">
        <v>20</v>
      </c>
      <c r="Q550" s="6">
        <v>0.155</v>
      </c>
      <c r="R550" s="6">
        <v>0.115</v>
      </c>
      <c r="S550" s="6">
        <v>0.155</v>
      </c>
      <c r="T550" s="8">
        <v>12</v>
      </c>
      <c r="U550" s="5" t="s">
        <v>994</v>
      </c>
      <c r="V550" s="89">
        <v>0</v>
      </c>
      <c r="W550" s="15">
        <v>17897801303894</v>
      </c>
      <c r="X550" s="6">
        <v>0.43</v>
      </c>
      <c r="Y550" s="6">
        <v>0.16</v>
      </c>
      <c r="Z550" s="6">
        <v>0.64</v>
      </c>
      <c r="AA550" s="6">
        <f>Y550*X550*Z550</f>
        <v>4.4032000000000002E-2</v>
      </c>
      <c r="AB550" s="8">
        <v>192</v>
      </c>
      <c r="AC550" s="15">
        <v>27897801303891</v>
      </c>
      <c r="AD550" s="4" t="s">
        <v>992</v>
      </c>
    </row>
    <row r="551" spans="2:30" x14ac:dyDescent="0.35">
      <c r="B551" s="14">
        <v>939</v>
      </c>
      <c r="C551" s="4" t="s">
        <v>557</v>
      </c>
      <c r="D551" s="4" t="s">
        <v>2394</v>
      </c>
      <c r="E551" s="4" t="s">
        <v>2913</v>
      </c>
      <c r="F551" s="4" t="s">
        <v>85</v>
      </c>
      <c r="G551" s="4" t="s">
        <v>993</v>
      </c>
      <c r="H551" s="6">
        <v>7.8899999999999998E-2</v>
      </c>
      <c r="I551" s="8">
        <v>150</v>
      </c>
      <c r="J551" s="8">
        <v>10</v>
      </c>
      <c r="K551" s="8">
        <v>150</v>
      </c>
      <c r="L551" s="8">
        <f t="shared" si="26"/>
        <v>225000</v>
      </c>
      <c r="M551" s="15">
        <v>7897801303903</v>
      </c>
      <c r="N551" s="6" t="s">
        <v>20</v>
      </c>
      <c r="O551" s="6" t="s">
        <v>20</v>
      </c>
      <c r="P551" s="6" t="s">
        <v>20</v>
      </c>
      <c r="Q551" s="6">
        <v>0.15</v>
      </c>
      <c r="R551" s="6">
        <v>0.01</v>
      </c>
      <c r="S551" s="6">
        <v>0.15</v>
      </c>
      <c r="T551" s="8">
        <v>12</v>
      </c>
      <c r="U551" s="5" t="s">
        <v>994</v>
      </c>
      <c r="V551" s="89">
        <v>0</v>
      </c>
      <c r="W551" s="15">
        <v>17897801303900</v>
      </c>
      <c r="X551" s="6">
        <v>0.43</v>
      </c>
      <c r="Y551" s="6">
        <v>0.36499999999999999</v>
      </c>
      <c r="Z551" s="6">
        <v>0.53500000000000003</v>
      </c>
      <c r="AA551" s="6">
        <f>Y551*X551*Z551</f>
        <v>8.3968250000000008E-2</v>
      </c>
      <c r="AB551" s="8">
        <v>0</v>
      </c>
      <c r="AC551" s="15">
        <v>27897801303907</v>
      </c>
      <c r="AD551" s="4" t="s">
        <v>992</v>
      </c>
    </row>
    <row r="552" spans="2:30" x14ac:dyDescent="0.35">
      <c r="B552" s="14">
        <v>940</v>
      </c>
      <c r="C552" s="4" t="s">
        <v>558</v>
      </c>
      <c r="D552" s="4" t="s">
        <v>2394</v>
      </c>
      <c r="E552" s="4" t="s">
        <v>2913</v>
      </c>
      <c r="F552" s="4" t="s">
        <v>85</v>
      </c>
      <c r="G552" s="4" t="s">
        <v>993</v>
      </c>
      <c r="H552" s="6">
        <v>1.78E-2</v>
      </c>
      <c r="I552" s="8">
        <v>100</v>
      </c>
      <c r="J552" s="8">
        <v>100</v>
      </c>
      <c r="K552" s="8">
        <v>10</v>
      </c>
      <c r="L552" s="8">
        <f t="shared" si="26"/>
        <v>100000</v>
      </c>
      <c r="M552" s="15">
        <v>7897801307109</v>
      </c>
      <c r="N552" s="6" t="s">
        <v>20</v>
      </c>
      <c r="O552" s="6" t="s">
        <v>20</v>
      </c>
      <c r="P552" s="6" t="s">
        <v>20</v>
      </c>
      <c r="Q552" s="6">
        <v>8.5000000000000006E-2</v>
      </c>
      <c r="R552" s="6">
        <v>0.1</v>
      </c>
      <c r="S552" s="6">
        <v>0.1</v>
      </c>
      <c r="T552" s="8">
        <v>12</v>
      </c>
      <c r="U552" s="5" t="s">
        <v>994</v>
      </c>
      <c r="V552" s="89">
        <v>0</v>
      </c>
      <c r="W552" s="15">
        <v>17897801307106</v>
      </c>
      <c r="X552" s="6">
        <v>0.55000000000000004</v>
      </c>
      <c r="Y552" s="6">
        <v>0.2</v>
      </c>
      <c r="Z552" s="6">
        <v>0.55000000000000004</v>
      </c>
      <c r="AA552" s="6">
        <f>Y552*X552*Z552</f>
        <v>6.0500000000000012E-2</v>
      </c>
      <c r="AB552" s="8">
        <v>480</v>
      </c>
      <c r="AC552" s="15">
        <v>27897801307103</v>
      </c>
      <c r="AD552" s="4" t="s">
        <v>992</v>
      </c>
    </row>
    <row r="553" spans="2:30" x14ac:dyDescent="0.35">
      <c r="B553" s="14">
        <v>941</v>
      </c>
      <c r="C553" s="4" t="s">
        <v>559</v>
      </c>
      <c r="D553" s="4" t="s">
        <v>2394</v>
      </c>
      <c r="E553" s="4" t="s">
        <v>2913</v>
      </c>
      <c r="F553" s="4" t="s">
        <v>85</v>
      </c>
      <c r="G553" s="4" t="s">
        <v>993</v>
      </c>
      <c r="H553" s="6">
        <v>6.8000000000000005E-2</v>
      </c>
      <c r="I553" s="8">
        <v>100</v>
      </c>
      <c r="J553" s="8">
        <v>10</v>
      </c>
      <c r="K553" s="8">
        <v>100</v>
      </c>
      <c r="L553" s="8">
        <f t="shared" si="26"/>
        <v>100000</v>
      </c>
      <c r="M553" s="15">
        <v>7897801306638</v>
      </c>
      <c r="N553" s="6" t="s">
        <v>20</v>
      </c>
      <c r="O553" s="6" t="s">
        <v>20</v>
      </c>
      <c r="P553" s="6" t="s">
        <v>20</v>
      </c>
      <c r="Q553" s="6">
        <v>0.24</v>
      </c>
      <c r="R553" s="6">
        <v>0.04</v>
      </c>
      <c r="S553" s="6">
        <v>0.26</v>
      </c>
      <c r="T553" s="8">
        <v>12</v>
      </c>
      <c r="U553" s="5" t="s">
        <v>994</v>
      </c>
      <c r="V553" s="89">
        <v>0</v>
      </c>
      <c r="W553" s="15">
        <v>17897801306635</v>
      </c>
      <c r="X553" s="6" t="s">
        <v>20</v>
      </c>
      <c r="Y553" s="6" t="s">
        <v>20</v>
      </c>
      <c r="Z553" s="6" t="s">
        <v>20</v>
      </c>
      <c r="AA553" s="6"/>
      <c r="AB553" s="8">
        <v>0</v>
      </c>
      <c r="AC553" s="15">
        <v>27897801306632</v>
      </c>
      <c r="AD553" s="4" t="s">
        <v>992</v>
      </c>
    </row>
    <row r="554" spans="2:30" x14ac:dyDescent="0.35">
      <c r="B554" s="14">
        <v>942</v>
      </c>
      <c r="C554" s="4" t="s">
        <v>560</v>
      </c>
      <c r="D554" s="4" t="s">
        <v>2394</v>
      </c>
      <c r="E554" s="4" t="s">
        <v>2913</v>
      </c>
      <c r="F554" s="4" t="s">
        <v>85</v>
      </c>
      <c r="G554" s="4" t="s">
        <v>993</v>
      </c>
      <c r="H554" s="6">
        <v>5.0700000000000002E-2</v>
      </c>
      <c r="I554" s="8">
        <v>150</v>
      </c>
      <c r="J554" s="8">
        <v>10</v>
      </c>
      <c r="K554" s="8">
        <v>150</v>
      </c>
      <c r="L554" s="8">
        <f t="shared" si="26"/>
        <v>225000</v>
      </c>
      <c r="M554" s="15">
        <v>7897801303910</v>
      </c>
      <c r="N554" s="6" t="s">
        <v>20</v>
      </c>
      <c r="O554" s="6" t="s">
        <v>20</v>
      </c>
      <c r="P554" s="6" t="s">
        <v>20</v>
      </c>
      <c r="Q554" s="6">
        <v>0.11</v>
      </c>
      <c r="R554" s="6">
        <v>0.15</v>
      </c>
      <c r="S554" s="6">
        <v>0.15</v>
      </c>
      <c r="T554" s="8">
        <v>12</v>
      </c>
      <c r="U554" s="5" t="s">
        <v>994</v>
      </c>
      <c r="V554" s="89">
        <v>0</v>
      </c>
      <c r="W554" s="15">
        <v>17897801303917</v>
      </c>
      <c r="X554" s="6">
        <v>0.45</v>
      </c>
      <c r="Y554" s="6">
        <v>0.15</v>
      </c>
      <c r="Z554" s="6">
        <v>0.75</v>
      </c>
      <c r="AA554" s="6">
        <f t="shared" ref="AA554:AA564" si="27">Y554*X554*Z554</f>
        <v>5.0625000000000003E-2</v>
      </c>
      <c r="AB554" s="8">
        <v>240</v>
      </c>
      <c r="AC554" s="15">
        <v>27897801303914</v>
      </c>
      <c r="AD554" s="4" t="s">
        <v>992</v>
      </c>
    </row>
    <row r="555" spans="2:30" x14ac:dyDescent="0.35">
      <c r="B555" s="14">
        <v>943</v>
      </c>
      <c r="C555" s="4" t="s">
        <v>561</v>
      </c>
      <c r="D555" s="4" t="s">
        <v>2394</v>
      </c>
      <c r="E555" s="4" t="s">
        <v>2913</v>
      </c>
      <c r="F555" s="4" t="s">
        <v>85</v>
      </c>
      <c r="G555" s="4" t="s">
        <v>993</v>
      </c>
      <c r="H555" s="6">
        <v>6.3700000000000007E-2</v>
      </c>
      <c r="I555" s="8">
        <v>150</v>
      </c>
      <c r="J555" s="8">
        <v>10</v>
      </c>
      <c r="K555" s="8">
        <v>150</v>
      </c>
      <c r="L555" s="8">
        <f t="shared" si="26"/>
        <v>225000</v>
      </c>
      <c r="M555" s="15">
        <v>7897801303927</v>
      </c>
      <c r="N555" s="6" t="s">
        <v>20</v>
      </c>
      <c r="O555" s="6" t="s">
        <v>20</v>
      </c>
      <c r="P555" s="6" t="s">
        <v>20</v>
      </c>
      <c r="Q555" s="6">
        <v>0.25</v>
      </c>
      <c r="R555" s="6">
        <v>0.06</v>
      </c>
      <c r="S555" s="6">
        <v>0.36</v>
      </c>
      <c r="T555" s="8">
        <v>12</v>
      </c>
      <c r="U555" s="5" t="s">
        <v>994</v>
      </c>
      <c r="V555" s="89">
        <v>0</v>
      </c>
      <c r="W555" s="15">
        <v>17897801303924</v>
      </c>
      <c r="X555" s="6">
        <v>0.37</v>
      </c>
      <c r="Y555" s="6">
        <v>0.42</v>
      </c>
      <c r="Z555" s="6">
        <v>0.54</v>
      </c>
      <c r="AA555" s="6">
        <f t="shared" si="27"/>
        <v>8.3915999999999991E-2</v>
      </c>
      <c r="AB555" s="8">
        <v>0</v>
      </c>
      <c r="AC555" s="15">
        <v>27897801303921</v>
      </c>
      <c r="AD555" s="4" t="s">
        <v>992</v>
      </c>
    </row>
    <row r="556" spans="2:30" x14ac:dyDescent="0.35">
      <c r="B556" s="14">
        <v>944</v>
      </c>
      <c r="C556" s="4" t="s">
        <v>562</v>
      </c>
      <c r="D556" s="4" t="s">
        <v>2394</v>
      </c>
      <c r="E556" s="4" t="s">
        <v>2913</v>
      </c>
      <c r="F556" s="4" t="s">
        <v>85</v>
      </c>
      <c r="G556" s="4" t="s">
        <v>993</v>
      </c>
      <c r="H556" s="6">
        <v>4.0599999999999997E-2</v>
      </c>
      <c r="I556" s="8">
        <v>100</v>
      </c>
      <c r="J556" s="8">
        <v>10</v>
      </c>
      <c r="K556" s="8">
        <v>100</v>
      </c>
      <c r="L556" s="8">
        <f t="shared" si="26"/>
        <v>100000</v>
      </c>
      <c r="M556" s="15">
        <v>7897801307246</v>
      </c>
      <c r="N556" s="6" t="s">
        <v>20</v>
      </c>
      <c r="O556" s="6" t="s">
        <v>20</v>
      </c>
      <c r="P556" s="6" t="s">
        <v>20</v>
      </c>
      <c r="Q556" s="6">
        <v>0.21</v>
      </c>
      <c r="R556" s="6">
        <v>0.05</v>
      </c>
      <c r="S556" s="6">
        <v>0.32</v>
      </c>
      <c r="T556" s="8">
        <v>12</v>
      </c>
      <c r="U556" s="5" t="s">
        <v>994</v>
      </c>
      <c r="V556" s="89">
        <v>0</v>
      </c>
      <c r="W556" s="15">
        <v>17897801307243</v>
      </c>
      <c r="X556" s="6">
        <v>0.42</v>
      </c>
      <c r="Y556" s="6">
        <v>0.24</v>
      </c>
      <c r="Z556" s="6">
        <v>0.63</v>
      </c>
      <c r="AA556" s="6">
        <f t="shared" si="27"/>
        <v>6.3503999999999991E-2</v>
      </c>
      <c r="AB556" s="8">
        <v>216</v>
      </c>
      <c r="AC556" s="15">
        <v>27897801307240</v>
      </c>
      <c r="AD556" s="4" t="s">
        <v>992</v>
      </c>
    </row>
    <row r="557" spans="2:30" x14ac:dyDescent="0.35">
      <c r="B557" s="14">
        <v>946</v>
      </c>
      <c r="C557" s="4" t="s">
        <v>563</v>
      </c>
      <c r="D557" s="4" t="s">
        <v>2394</v>
      </c>
      <c r="E557" s="4" t="s">
        <v>2913</v>
      </c>
      <c r="F557" s="4" t="s">
        <v>85</v>
      </c>
      <c r="G557" s="4" t="s">
        <v>993</v>
      </c>
      <c r="H557" s="6">
        <v>6.4899999999999999E-2</v>
      </c>
      <c r="I557" s="8">
        <v>100</v>
      </c>
      <c r="J557" s="8">
        <v>10</v>
      </c>
      <c r="K557" s="8">
        <v>100</v>
      </c>
      <c r="L557" s="8">
        <f t="shared" si="26"/>
        <v>100000</v>
      </c>
      <c r="M557" s="15">
        <v>7897801306645</v>
      </c>
      <c r="N557" s="6" t="s">
        <v>20</v>
      </c>
      <c r="O557" s="6" t="s">
        <v>20</v>
      </c>
      <c r="P557" s="6" t="s">
        <v>20</v>
      </c>
      <c r="Q557" s="6">
        <v>0.23</v>
      </c>
      <c r="R557" s="6">
        <v>6.5000000000000002E-2</v>
      </c>
      <c r="S557" s="6">
        <v>0.23</v>
      </c>
      <c r="T557" s="8">
        <v>12</v>
      </c>
      <c r="U557" s="5" t="s">
        <v>994</v>
      </c>
      <c r="V557" s="89">
        <v>0</v>
      </c>
      <c r="W557" s="15">
        <v>17897801306642</v>
      </c>
      <c r="X557" s="6">
        <v>0.4</v>
      </c>
      <c r="Y557" s="6">
        <v>0.36499999999999999</v>
      </c>
      <c r="Z557" s="6">
        <v>0.495</v>
      </c>
      <c r="AA557" s="6">
        <f t="shared" si="27"/>
        <v>7.2270000000000001E-2</v>
      </c>
      <c r="AB557" s="8">
        <v>0</v>
      </c>
      <c r="AC557" s="15">
        <v>27897801306649</v>
      </c>
      <c r="AD557" s="4" t="s">
        <v>992</v>
      </c>
    </row>
    <row r="558" spans="2:30" x14ac:dyDescent="0.35">
      <c r="B558" s="14">
        <v>947</v>
      </c>
      <c r="C558" s="4" t="s">
        <v>564</v>
      </c>
      <c r="D558" s="4" t="s">
        <v>2394</v>
      </c>
      <c r="E558" s="4" t="s">
        <v>2913</v>
      </c>
      <c r="F558" s="4" t="s">
        <v>85</v>
      </c>
      <c r="G558" s="4" t="s">
        <v>993</v>
      </c>
      <c r="H558" s="6">
        <v>6.3799999999999996E-2</v>
      </c>
      <c r="I558" s="8">
        <v>150</v>
      </c>
      <c r="J558" s="8">
        <v>10</v>
      </c>
      <c r="K558" s="8">
        <v>150</v>
      </c>
      <c r="L558" s="8">
        <f t="shared" si="26"/>
        <v>225000</v>
      </c>
      <c r="M558" s="15">
        <v>7897801303941</v>
      </c>
      <c r="N558" s="6" t="s">
        <v>20</v>
      </c>
      <c r="O558" s="6" t="s">
        <v>20</v>
      </c>
      <c r="P558" s="6" t="s">
        <v>20</v>
      </c>
      <c r="Q558" s="6">
        <v>0.16</v>
      </c>
      <c r="R558" s="6">
        <v>0.1</v>
      </c>
      <c r="S558" s="6">
        <v>0.33</v>
      </c>
      <c r="T558" s="8">
        <v>12</v>
      </c>
      <c r="U558" s="5" t="s">
        <v>994</v>
      </c>
      <c r="V558" s="89">
        <v>0</v>
      </c>
      <c r="W558" s="15">
        <v>17897801303948</v>
      </c>
      <c r="X558" s="6">
        <v>0.48</v>
      </c>
      <c r="Y558" s="6">
        <v>0.17499999999999999</v>
      </c>
      <c r="Z558" s="6">
        <v>0.66</v>
      </c>
      <c r="AA558" s="6">
        <f t="shared" si="27"/>
        <v>5.5439999999999996E-2</v>
      </c>
      <c r="AB558" s="8">
        <v>120</v>
      </c>
      <c r="AC558" s="15">
        <v>27897801303945</v>
      </c>
      <c r="AD558" s="4" t="s">
        <v>992</v>
      </c>
    </row>
    <row r="559" spans="2:30" x14ac:dyDescent="0.35">
      <c r="B559" s="14">
        <v>949</v>
      </c>
      <c r="C559" s="4" t="s">
        <v>565</v>
      </c>
      <c r="D559" s="4" t="s">
        <v>2394</v>
      </c>
      <c r="E559" s="4" t="s">
        <v>2913</v>
      </c>
      <c r="F559" s="4" t="s">
        <v>85</v>
      </c>
      <c r="G559" s="4" t="s">
        <v>993</v>
      </c>
      <c r="H559" s="6">
        <v>5.11E-2</v>
      </c>
      <c r="I559" s="8">
        <v>150</v>
      </c>
      <c r="J559" s="8">
        <v>10</v>
      </c>
      <c r="K559" s="8">
        <v>150</v>
      </c>
      <c r="L559" s="8">
        <f t="shared" si="26"/>
        <v>225000</v>
      </c>
      <c r="M559" s="15">
        <v>7897801306591</v>
      </c>
      <c r="N559" s="6" t="s">
        <v>20</v>
      </c>
      <c r="O559" s="6" t="s">
        <v>20</v>
      </c>
      <c r="P559" s="6" t="s">
        <v>20</v>
      </c>
      <c r="Q559" s="6">
        <v>0.17</v>
      </c>
      <c r="R559" s="6">
        <v>0.11</v>
      </c>
      <c r="S559" s="6">
        <v>0.34</v>
      </c>
      <c r="T559" s="8">
        <v>12</v>
      </c>
      <c r="U559" s="5" t="s">
        <v>994</v>
      </c>
      <c r="V559" s="89">
        <v>0</v>
      </c>
      <c r="W559" s="15">
        <v>17897801306598</v>
      </c>
      <c r="X559" s="6">
        <v>0.42</v>
      </c>
      <c r="Y559" s="6">
        <v>0.37</v>
      </c>
      <c r="Z559" s="6">
        <v>0.5</v>
      </c>
      <c r="AA559" s="6">
        <f t="shared" si="27"/>
        <v>7.7699999999999991E-2</v>
      </c>
      <c r="AB559" s="8">
        <v>0</v>
      </c>
      <c r="AC559" s="15">
        <v>27897801306595</v>
      </c>
      <c r="AD559" s="4" t="s">
        <v>992</v>
      </c>
    </row>
    <row r="560" spans="2:30" x14ac:dyDescent="0.35">
      <c r="B560" s="14">
        <v>950</v>
      </c>
      <c r="C560" s="4" t="s">
        <v>566</v>
      </c>
      <c r="D560" s="4" t="s">
        <v>2394</v>
      </c>
      <c r="E560" s="4" t="s">
        <v>2913</v>
      </c>
      <c r="F560" s="4" t="s">
        <v>85</v>
      </c>
      <c r="G560" s="4" t="s">
        <v>993</v>
      </c>
      <c r="H560" s="6">
        <v>3.2800000000000003E-2</v>
      </c>
      <c r="I560" s="8">
        <v>100</v>
      </c>
      <c r="J560" s="8">
        <v>10</v>
      </c>
      <c r="K560" s="8">
        <v>100</v>
      </c>
      <c r="L560" s="8">
        <f t="shared" si="26"/>
        <v>100000</v>
      </c>
      <c r="M560" s="15">
        <v>7897801307116</v>
      </c>
      <c r="N560" s="6" t="s">
        <v>20</v>
      </c>
      <c r="O560" s="6" t="s">
        <v>20</v>
      </c>
      <c r="P560" s="6" t="s">
        <v>20</v>
      </c>
      <c r="Q560" s="6">
        <v>0.21</v>
      </c>
      <c r="R560" s="6">
        <v>0.05</v>
      </c>
      <c r="S560" s="6">
        <v>0.32500000000000001</v>
      </c>
      <c r="T560" s="8">
        <v>12</v>
      </c>
      <c r="U560" s="5" t="s">
        <v>994</v>
      </c>
      <c r="V560" s="89">
        <v>0</v>
      </c>
      <c r="W560" s="15">
        <v>17897801307113</v>
      </c>
      <c r="X560" s="6">
        <v>0.42</v>
      </c>
      <c r="Y560" s="6">
        <v>0.2</v>
      </c>
      <c r="Z560" s="6">
        <v>0.65</v>
      </c>
      <c r="AA560" s="6">
        <f t="shared" si="27"/>
        <v>5.4600000000000003E-2</v>
      </c>
      <c r="AB560" s="8">
        <v>216</v>
      </c>
      <c r="AC560" s="15">
        <v>27897801307110</v>
      </c>
      <c r="AD560" s="4" t="s">
        <v>992</v>
      </c>
    </row>
    <row r="561" spans="2:30" x14ac:dyDescent="0.35">
      <c r="B561" s="14">
        <v>952</v>
      </c>
      <c r="C561" s="4" t="s">
        <v>567</v>
      </c>
      <c r="D561" s="4" t="s">
        <v>2394</v>
      </c>
      <c r="E561" s="4" t="s">
        <v>2913</v>
      </c>
      <c r="F561" s="4" t="s">
        <v>85</v>
      </c>
      <c r="G561" s="4" t="s">
        <v>993</v>
      </c>
      <c r="H561" s="6">
        <v>4.53E-2</v>
      </c>
      <c r="I561" s="8">
        <v>100</v>
      </c>
      <c r="J561" s="8">
        <v>10</v>
      </c>
      <c r="K561" s="8">
        <v>100</v>
      </c>
      <c r="L561" s="8">
        <f t="shared" si="26"/>
        <v>100000</v>
      </c>
      <c r="M561" s="15">
        <v>7897801306652</v>
      </c>
      <c r="N561" s="6" t="s">
        <v>20</v>
      </c>
      <c r="O561" s="6" t="s">
        <v>20</v>
      </c>
      <c r="P561" s="6" t="s">
        <v>20</v>
      </c>
      <c r="Q561" s="6">
        <v>0.11</v>
      </c>
      <c r="R561" s="6">
        <v>2.5000000000000001E-2</v>
      </c>
      <c r="S561" s="6">
        <v>0.11</v>
      </c>
      <c r="T561" s="8">
        <v>12</v>
      </c>
      <c r="U561" s="5" t="s">
        <v>994</v>
      </c>
      <c r="V561" s="89">
        <v>0</v>
      </c>
      <c r="W561" s="15">
        <v>17897801306659</v>
      </c>
      <c r="X561" s="6">
        <v>0.4</v>
      </c>
      <c r="Y561" s="6">
        <v>0.38</v>
      </c>
      <c r="Z561" s="6">
        <v>0.5</v>
      </c>
      <c r="AA561" s="6">
        <f t="shared" si="27"/>
        <v>7.6000000000000012E-2</v>
      </c>
      <c r="AB561" s="8">
        <v>0</v>
      </c>
      <c r="AC561" s="15">
        <v>27897801306656</v>
      </c>
      <c r="AD561" s="4" t="s">
        <v>992</v>
      </c>
    </row>
    <row r="562" spans="2:30" x14ac:dyDescent="0.35">
      <c r="B562" s="14">
        <v>953</v>
      </c>
      <c r="C562" s="4" t="s">
        <v>568</v>
      </c>
      <c r="D562" s="4" t="s">
        <v>2394</v>
      </c>
      <c r="E562" s="4" t="s">
        <v>2913</v>
      </c>
      <c r="F562" s="4" t="s">
        <v>85</v>
      </c>
      <c r="G562" s="4" t="s">
        <v>993</v>
      </c>
      <c r="H562" s="6">
        <v>4.53E-2</v>
      </c>
      <c r="I562" s="8">
        <v>150</v>
      </c>
      <c r="J562" s="8">
        <v>10</v>
      </c>
      <c r="K562" s="8">
        <v>150</v>
      </c>
      <c r="L562" s="8">
        <f t="shared" si="26"/>
        <v>225000</v>
      </c>
      <c r="M562" s="15">
        <v>7897801303934</v>
      </c>
      <c r="N562" s="6" t="s">
        <v>20</v>
      </c>
      <c r="O562" s="6" t="s">
        <v>20</v>
      </c>
      <c r="P562" s="6" t="s">
        <v>20</v>
      </c>
      <c r="Q562" s="6">
        <v>0.2</v>
      </c>
      <c r="R562" s="6">
        <v>0.15</v>
      </c>
      <c r="S562" s="6">
        <v>0.32</v>
      </c>
      <c r="T562" s="8">
        <v>12</v>
      </c>
      <c r="U562" s="5" t="s">
        <v>994</v>
      </c>
      <c r="V562" s="89">
        <v>0</v>
      </c>
      <c r="W562" s="15">
        <v>17897801303931</v>
      </c>
      <c r="X562" s="6">
        <v>0.5</v>
      </c>
      <c r="Y562" s="6">
        <v>0.26</v>
      </c>
      <c r="Z562" s="6">
        <v>0.72</v>
      </c>
      <c r="AA562" s="6">
        <f t="shared" si="27"/>
        <v>9.3600000000000003E-2</v>
      </c>
      <c r="AB562" s="8">
        <v>120</v>
      </c>
      <c r="AC562" s="15">
        <v>27897801303938</v>
      </c>
      <c r="AD562" s="4" t="s">
        <v>992</v>
      </c>
    </row>
    <row r="563" spans="2:30" x14ac:dyDescent="0.35">
      <c r="B563" s="14">
        <v>955</v>
      </c>
      <c r="C563" s="4" t="s">
        <v>569</v>
      </c>
      <c r="D563" s="4" t="s">
        <v>2394</v>
      </c>
      <c r="E563" s="4" t="s">
        <v>2913</v>
      </c>
      <c r="F563" s="4" t="s">
        <v>85</v>
      </c>
      <c r="G563" s="4" t="s">
        <v>993</v>
      </c>
      <c r="H563" s="6">
        <v>3.4099999999999998E-2</v>
      </c>
      <c r="I563" s="8">
        <v>150</v>
      </c>
      <c r="J563" s="8">
        <v>10</v>
      </c>
      <c r="K563" s="8">
        <v>150</v>
      </c>
      <c r="L563" s="8">
        <f t="shared" si="26"/>
        <v>225000</v>
      </c>
      <c r="M563" s="15">
        <v>7897801306607</v>
      </c>
      <c r="N563" s="6" t="s">
        <v>20</v>
      </c>
      <c r="O563" s="6" t="s">
        <v>20</v>
      </c>
      <c r="P563" s="6" t="s">
        <v>20</v>
      </c>
      <c r="Q563" s="6">
        <v>0.2</v>
      </c>
      <c r="R563" s="6">
        <v>0.12</v>
      </c>
      <c r="S563" s="6">
        <v>0.35</v>
      </c>
      <c r="T563" s="8">
        <v>12</v>
      </c>
      <c r="U563" s="5" t="s">
        <v>994</v>
      </c>
      <c r="V563" s="89">
        <v>0</v>
      </c>
      <c r="W563" s="15">
        <v>17897801306604</v>
      </c>
      <c r="X563" s="6">
        <v>0.36</v>
      </c>
      <c r="Y563" s="6">
        <v>0.4</v>
      </c>
      <c r="Z563" s="6">
        <v>0.54</v>
      </c>
      <c r="AA563" s="6">
        <f t="shared" si="27"/>
        <v>7.7759999999999996E-2</v>
      </c>
      <c r="AB563" s="8">
        <v>0</v>
      </c>
      <c r="AC563" s="15">
        <v>27897801306601</v>
      </c>
      <c r="AD563" s="4" t="s">
        <v>992</v>
      </c>
    </row>
    <row r="564" spans="2:30" x14ac:dyDescent="0.35">
      <c r="B564" s="14">
        <v>956</v>
      </c>
      <c r="C564" s="4" t="s">
        <v>570</v>
      </c>
      <c r="D564" s="4" t="s">
        <v>2394</v>
      </c>
      <c r="E564" s="4" t="s">
        <v>2913</v>
      </c>
      <c r="F564" s="4" t="s">
        <v>85</v>
      </c>
      <c r="G564" s="4" t="s">
        <v>993</v>
      </c>
      <c r="H564" s="6">
        <v>0.1105</v>
      </c>
      <c r="I564" s="8">
        <v>250</v>
      </c>
      <c r="J564" s="8">
        <v>20</v>
      </c>
      <c r="K564" s="8">
        <v>250</v>
      </c>
      <c r="L564" s="8">
        <f t="shared" si="26"/>
        <v>1250000</v>
      </c>
      <c r="M564" s="15">
        <v>7897801308465</v>
      </c>
      <c r="N564" s="6" t="s">
        <v>20</v>
      </c>
      <c r="O564" s="6" t="s">
        <v>20</v>
      </c>
      <c r="P564" s="6" t="s">
        <v>20</v>
      </c>
      <c r="Q564" s="6">
        <v>0.28999999999999998</v>
      </c>
      <c r="R564" s="6">
        <v>0.1</v>
      </c>
      <c r="S564" s="6">
        <v>0.32</v>
      </c>
      <c r="T564" s="8">
        <v>4</v>
      </c>
      <c r="U564" s="5" t="s">
        <v>994</v>
      </c>
      <c r="V564" s="89">
        <v>0</v>
      </c>
      <c r="W564" s="15">
        <v>17897801308462</v>
      </c>
      <c r="X564" s="6">
        <v>0.4</v>
      </c>
      <c r="Y564" s="6">
        <v>0.26</v>
      </c>
      <c r="Z564" s="6">
        <v>0.68</v>
      </c>
      <c r="AA564" s="6">
        <f t="shared" si="27"/>
        <v>7.0720000000000005E-2</v>
      </c>
      <c r="AB564" s="8">
        <v>48</v>
      </c>
      <c r="AC564" s="15">
        <v>27897801308469</v>
      </c>
      <c r="AD564" s="4" t="s">
        <v>992</v>
      </c>
    </row>
    <row r="565" spans="2:30" x14ac:dyDescent="0.35">
      <c r="B565" s="14">
        <v>957</v>
      </c>
      <c r="C565" s="4" t="s">
        <v>571</v>
      </c>
      <c r="D565" s="4" t="s">
        <v>2394</v>
      </c>
      <c r="E565" s="4" t="s">
        <v>2913</v>
      </c>
      <c r="F565" s="4" t="s">
        <v>85</v>
      </c>
      <c r="G565" s="4" t="s">
        <v>993</v>
      </c>
      <c r="H565" s="6">
        <v>0.19550000000000001</v>
      </c>
      <c r="I565" s="8">
        <v>250</v>
      </c>
      <c r="J565" s="8">
        <v>20</v>
      </c>
      <c r="K565" s="8">
        <v>250</v>
      </c>
      <c r="L565" s="8">
        <f t="shared" si="26"/>
        <v>1250000</v>
      </c>
      <c r="M565" s="15">
        <v>7897801308472</v>
      </c>
      <c r="N565" s="6" t="s">
        <v>20</v>
      </c>
      <c r="O565" s="6" t="s">
        <v>20</v>
      </c>
      <c r="P565" s="6" t="s">
        <v>20</v>
      </c>
      <c r="Q565" s="6">
        <v>0.28000000000000003</v>
      </c>
      <c r="R565" s="6">
        <v>0.09</v>
      </c>
      <c r="S565" s="6">
        <v>0.28000000000000003</v>
      </c>
      <c r="T565" s="8">
        <v>4</v>
      </c>
      <c r="U565" s="5" t="s">
        <v>994</v>
      </c>
      <c r="V565" s="89">
        <v>0</v>
      </c>
      <c r="W565" s="15">
        <v>17897801308479</v>
      </c>
      <c r="X565" s="6" t="s">
        <v>20</v>
      </c>
      <c r="Y565" s="6" t="s">
        <v>20</v>
      </c>
      <c r="Z565" s="6" t="s">
        <v>20</v>
      </c>
      <c r="AA565" s="6"/>
      <c r="AB565" s="8">
        <v>32</v>
      </c>
      <c r="AC565" s="15">
        <v>27897801308476</v>
      </c>
      <c r="AD565" s="4" t="s">
        <v>992</v>
      </c>
    </row>
    <row r="566" spans="2:30" x14ac:dyDescent="0.35">
      <c r="B566" s="14">
        <v>958</v>
      </c>
      <c r="C566" s="4" t="s">
        <v>572</v>
      </c>
      <c r="D566" s="4" t="s">
        <v>2394</v>
      </c>
      <c r="E566" s="4" t="s">
        <v>2913</v>
      </c>
      <c r="F566" s="4" t="s">
        <v>85</v>
      </c>
      <c r="G566" s="4" t="s">
        <v>993</v>
      </c>
      <c r="H566" s="6">
        <v>0.27010000000000001</v>
      </c>
      <c r="I566" s="8">
        <v>250</v>
      </c>
      <c r="J566" s="8">
        <v>20</v>
      </c>
      <c r="K566" s="8">
        <v>250</v>
      </c>
      <c r="L566" s="8">
        <f t="shared" si="26"/>
        <v>1250000</v>
      </c>
      <c r="M566" s="15">
        <v>7897801308458</v>
      </c>
      <c r="N566" s="6" t="s">
        <v>20</v>
      </c>
      <c r="O566" s="6" t="s">
        <v>20</v>
      </c>
      <c r="P566" s="6" t="s">
        <v>20</v>
      </c>
      <c r="Q566" s="6">
        <v>0.25</v>
      </c>
      <c r="R566" s="6">
        <v>0.06</v>
      </c>
      <c r="S566" s="6">
        <v>0.25</v>
      </c>
      <c r="T566" s="8">
        <v>4</v>
      </c>
      <c r="U566" s="5" t="s">
        <v>994</v>
      </c>
      <c r="V566" s="89">
        <v>0</v>
      </c>
      <c r="W566" s="15">
        <v>17897801308455</v>
      </c>
      <c r="X566" s="6">
        <v>0.55000000000000004</v>
      </c>
      <c r="Y566" s="6">
        <v>0.21</v>
      </c>
      <c r="Z566" s="6">
        <v>0.78</v>
      </c>
      <c r="AA566" s="6">
        <f t="shared" ref="AA566:AA571" si="28">Y566*X566*Z566</f>
        <v>9.0090000000000003E-2</v>
      </c>
      <c r="AB566" s="8">
        <v>60</v>
      </c>
      <c r="AC566" s="15">
        <v>27897801308452</v>
      </c>
      <c r="AD566" s="4" t="s">
        <v>992</v>
      </c>
    </row>
    <row r="567" spans="2:30" x14ac:dyDescent="0.35">
      <c r="B567" s="14">
        <v>960</v>
      </c>
      <c r="C567" s="4" t="s">
        <v>573</v>
      </c>
      <c r="D567" s="4" t="s">
        <v>2413</v>
      </c>
      <c r="E567" s="4" t="s">
        <v>2913</v>
      </c>
      <c r="F567" s="4" t="s">
        <v>85</v>
      </c>
      <c r="G567" s="4" t="s">
        <v>993</v>
      </c>
      <c r="H567" s="6">
        <v>6.4000000000000001E-2</v>
      </c>
      <c r="I567" s="8">
        <v>87</v>
      </c>
      <c r="J567" s="8">
        <v>40</v>
      </c>
      <c r="K567" s="8">
        <v>40</v>
      </c>
      <c r="L567" s="8">
        <f t="shared" si="26"/>
        <v>139200</v>
      </c>
      <c r="M567" s="15">
        <v>7897801307918</v>
      </c>
      <c r="N567" s="6" t="s">
        <v>20</v>
      </c>
      <c r="O567" s="6" t="s">
        <v>20</v>
      </c>
      <c r="P567" s="6" t="s">
        <v>20</v>
      </c>
      <c r="Q567" s="6">
        <v>0.17</v>
      </c>
      <c r="R567" s="6">
        <v>0.06</v>
      </c>
      <c r="S567" s="6">
        <v>0.21</v>
      </c>
      <c r="T567" s="8">
        <v>6</v>
      </c>
      <c r="U567" s="5" t="s">
        <v>1003</v>
      </c>
      <c r="V567" s="89">
        <v>0</v>
      </c>
      <c r="W567" s="15">
        <v>17897801307915</v>
      </c>
      <c r="X567" s="6">
        <v>0.49</v>
      </c>
      <c r="Y567" s="6">
        <v>0.24</v>
      </c>
      <c r="Z567" s="6">
        <v>0.68</v>
      </c>
      <c r="AA567" s="6">
        <f t="shared" si="28"/>
        <v>7.9967999999999997E-2</v>
      </c>
      <c r="AB567" s="8">
        <v>300</v>
      </c>
      <c r="AC567" s="15">
        <v>27897801307912</v>
      </c>
      <c r="AD567" s="4" t="s">
        <v>992</v>
      </c>
    </row>
    <row r="568" spans="2:30" x14ac:dyDescent="0.35">
      <c r="B568" s="14">
        <v>961</v>
      </c>
      <c r="C568" s="4" t="s">
        <v>574</v>
      </c>
      <c r="D568" s="4" t="s">
        <v>2413</v>
      </c>
      <c r="E568" s="4" t="s">
        <v>2913</v>
      </c>
      <c r="F568" s="4" t="s">
        <v>85</v>
      </c>
      <c r="G568" s="4" t="s">
        <v>993</v>
      </c>
      <c r="H568" s="6">
        <v>9.6000000000000002E-2</v>
      </c>
      <c r="I568" s="8">
        <v>110</v>
      </c>
      <c r="J568" s="8">
        <v>47</v>
      </c>
      <c r="K568" s="8">
        <v>47</v>
      </c>
      <c r="L568" s="8">
        <f t="shared" si="26"/>
        <v>242990</v>
      </c>
      <c r="M568" s="15">
        <v>7897801307925</v>
      </c>
      <c r="N568" s="6" t="s">
        <v>20</v>
      </c>
      <c r="O568" s="6" t="s">
        <v>20</v>
      </c>
      <c r="P568" s="6" t="s">
        <v>20</v>
      </c>
      <c r="Q568" s="6">
        <v>0.15</v>
      </c>
      <c r="R568" s="6">
        <v>0.05</v>
      </c>
      <c r="S568" s="6">
        <v>0.25</v>
      </c>
      <c r="T568" s="8">
        <v>6</v>
      </c>
      <c r="U568" s="5" t="s">
        <v>1003</v>
      </c>
      <c r="V568" s="89">
        <v>0</v>
      </c>
      <c r="W568" s="15">
        <v>17897801307922</v>
      </c>
      <c r="X568" s="6">
        <v>0.45</v>
      </c>
      <c r="Y568" s="6">
        <v>0.23</v>
      </c>
      <c r="Z568" s="6">
        <v>0.7</v>
      </c>
      <c r="AA568" s="6">
        <f t="shared" si="28"/>
        <v>7.2450000000000001E-2</v>
      </c>
      <c r="AB568" s="8">
        <v>210</v>
      </c>
      <c r="AC568" s="15">
        <v>27897801307929</v>
      </c>
      <c r="AD568" s="4" t="s">
        <v>992</v>
      </c>
    </row>
    <row r="569" spans="2:30" x14ac:dyDescent="0.35">
      <c r="B569" s="14">
        <v>962</v>
      </c>
      <c r="C569" s="4" t="s">
        <v>575</v>
      </c>
      <c r="D569" s="4" t="s">
        <v>2413</v>
      </c>
      <c r="E569" s="4" t="s">
        <v>2913</v>
      </c>
      <c r="F569" s="4" t="s">
        <v>85</v>
      </c>
      <c r="G569" s="4" t="s">
        <v>993</v>
      </c>
      <c r="H569" s="6">
        <v>0.22</v>
      </c>
      <c r="I569" s="8">
        <v>123</v>
      </c>
      <c r="J569" s="8">
        <v>61</v>
      </c>
      <c r="K569" s="8">
        <v>61</v>
      </c>
      <c r="L569" s="8">
        <f t="shared" si="26"/>
        <v>457683</v>
      </c>
      <c r="M569" s="15">
        <v>7897801307932</v>
      </c>
      <c r="N569" s="6" t="s">
        <v>20</v>
      </c>
      <c r="O569" s="6" t="s">
        <v>20</v>
      </c>
      <c r="P569" s="6" t="s">
        <v>20</v>
      </c>
      <c r="Q569" s="6">
        <v>0.16</v>
      </c>
      <c r="R569" s="6">
        <v>0.1</v>
      </c>
      <c r="S569" s="6">
        <v>0.23</v>
      </c>
      <c r="T569" s="8">
        <v>3</v>
      </c>
      <c r="U569" s="5" t="s">
        <v>1003</v>
      </c>
      <c r="V569" s="89">
        <v>0</v>
      </c>
      <c r="W569" s="15">
        <v>17897801307939</v>
      </c>
      <c r="X569" s="6">
        <v>0.54</v>
      </c>
      <c r="Y569" s="6">
        <v>0.22</v>
      </c>
      <c r="Z569" s="6">
        <v>0.75</v>
      </c>
      <c r="AA569" s="6">
        <f t="shared" si="28"/>
        <v>8.9099999999999999E-2</v>
      </c>
      <c r="AB569" s="8">
        <v>96</v>
      </c>
      <c r="AC569" s="15">
        <v>27897801307936</v>
      </c>
      <c r="AD569" s="4" t="s">
        <v>992</v>
      </c>
    </row>
    <row r="570" spans="2:30" x14ac:dyDescent="0.35">
      <c r="B570" s="14">
        <v>963</v>
      </c>
      <c r="C570" s="4" t="s">
        <v>576</v>
      </c>
      <c r="D570" s="4" t="s">
        <v>2413</v>
      </c>
      <c r="E570" s="4" t="s">
        <v>2913</v>
      </c>
      <c r="F570" s="4" t="s">
        <v>85</v>
      </c>
      <c r="G570" s="4" t="s">
        <v>993</v>
      </c>
      <c r="H570" s="6">
        <v>0.35820000000000002</v>
      </c>
      <c r="I570" s="8">
        <v>138</v>
      </c>
      <c r="J570" s="8">
        <v>74</v>
      </c>
      <c r="K570" s="8">
        <v>74</v>
      </c>
      <c r="L570" s="8">
        <f t="shared" si="26"/>
        <v>755688</v>
      </c>
      <c r="M570" s="15">
        <v>7897801307949</v>
      </c>
      <c r="N570" s="6" t="s">
        <v>20</v>
      </c>
      <c r="O570" s="6" t="s">
        <v>20</v>
      </c>
      <c r="P570" s="6" t="s">
        <v>20</v>
      </c>
      <c r="Q570" s="6">
        <v>0.08</v>
      </c>
      <c r="R570" s="6">
        <v>0.09</v>
      </c>
      <c r="S570" s="6">
        <v>0.21</v>
      </c>
      <c r="T570" s="8">
        <v>2</v>
      </c>
      <c r="U570" s="5" t="s">
        <v>1003</v>
      </c>
      <c r="V570" s="89">
        <v>0</v>
      </c>
      <c r="W570" s="15">
        <v>17897801307946</v>
      </c>
      <c r="X570" s="6">
        <v>0.52</v>
      </c>
      <c r="Y570" s="6">
        <v>0.22</v>
      </c>
      <c r="Z570" s="6">
        <v>0.75</v>
      </c>
      <c r="AA570" s="6">
        <f t="shared" si="28"/>
        <v>8.5800000000000001E-2</v>
      </c>
      <c r="AB570" s="8">
        <v>60</v>
      </c>
      <c r="AC570" s="15">
        <v>27897801307943</v>
      </c>
      <c r="AD570" s="4" t="s">
        <v>992</v>
      </c>
    </row>
    <row r="571" spans="2:30" x14ac:dyDescent="0.35">
      <c r="B571" s="14">
        <v>964</v>
      </c>
      <c r="C571" s="4" t="s">
        <v>577</v>
      </c>
      <c r="D571" s="4" t="s">
        <v>2412</v>
      </c>
      <c r="E571" s="4" t="s">
        <v>2913</v>
      </c>
      <c r="F571" s="4" t="s">
        <v>85</v>
      </c>
      <c r="G571" s="4" t="s">
        <v>993</v>
      </c>
      <c r="H571" s="6">
        <v>0.70660000000000001</v>
      </c>
      <c r="I571" s="8">
        <v>246</v>
      </c>
      <c r="J571" s="8">
        <v>201</v>
      </c>
      <c r="K571" s="8">
        <v>246</v>
      </c>
      <c r="L571" s="8">
        <f t="shared" si="26"/>
        <v>12163716</v>
      </c>
      <c r="M571" s="15">
        <v>7897801311014</v>
      </c>
      <c r="N571" s="6" t="s">
        <v>20</v>
      </c>
      <c r="O571" s="6" t="s">
        <v>20</v>
      </c>
      <c r="P571" s="6" t="s">
        <v>20</v>
      </c>
      <c r="Q571" s="6">
        <v>0.5</v>
      </c>
      <c r="R571" s="6">
        <v>0.2</v>
      </c>
      <c r="S571" s="6">
        <v>0.75</v>
      </c>
      <c r="T571" s="8">
        <v>1</v>
      </c>
      <c r="U571" s="5" t="s">
        <v>991</v>
      </c>
      <c r="V571" s="89">
        <v>0</v>
      </c>
      <c r="W571" s="15">
        <v>17897801311011</v>
      </c>
      <c r="X571" s="6">
        <v>0.5</v>
      </c>
      <c r="Y571" s="6">
        <v>0.24</v>
      </c>
      <c r="Z571" s="6">
        <v>0.6</v>
      </c>
      <c r="AA571" s="6">
        <f t="shared" si="28"/>
        <v>7.1999999999999995E-2</v>
      </c>
      <c r="AB571" s="8">
        <v>6</v>
      </c>
      <c r="AC571" s="15">
        <v>27897801311018</v>
      </c>
      <c r="AD571" s="4" t="s">
        <v>992</v>
      </c>
    </row>
    <row r="572" spans="2:30" x14ac:dyDescent="0.35">
      <c r="B572" s="14">
        <v>965</v>
      </c>
      <c r="C572" s="4" t="s">
        <v>578</v>
      </c>
      <c r="D572" s="4" t="s">
        <v>2412</v>
      </c>
      <c r="E572" s="4" t="s">
        <v>2913</v>
      </c>
      <c r="F572" s="4" t="s">
        <v>85</v>
      </c>
      <c r="G572" s="4" t="s">
        <v>993</v>
      </c>
      <c r="H572" s="6">
        <v>0.28249999999999997</v>
      </c>
      <c r="I572" s="8">
        <v>150</v>
      </c>
      <c r="J572" s="8">
        <v>150</v>
      </c>
      <c r="K572" s="8">
        <v>150</v>
      </c>
      <c r="L572" s="8">
        <f t="shared" si="26"/>
        <v>3375000</v>
      </c>
      <c r="M572" s="15">
        <v>7897801308076</v>
      </c>
      <c r="N572" s="6" t="s">
        <v>20</v>
      </c>
      <c r="O572" s="6" t="s">
        <v>20</v>
      </c>
      <c r="P572" s="6" t="s">
        <v>20</v>
      </c>
      <c r="Q572" s="6">
        <v>0.31</v>
      </c>
      <c r="R572" s="6">
        <v>0.1502</v>
      </c>
      <c r="S572" s="6">
        <v>0.77</v>
      </c>
      <c r="T572" s="8">
        <v>10</v>
      </c>
      <c r="U572" s="5" t="s">
        <v>991</v>
      </c>
      <c r="V572" s="89">
        <v>0</v>
      </c>
      <c r="W572" s="15">
        <v>17897801308073</v>
      </c>
      <c r="X572" s="6" t="s">
        <v>20</v>
      </c>
      <c r="Y572" s="6" t="s">
        <v>20</v>
      </c>
      <c r="Z572" s="6" t="s">
        <v>20</v>
      </c>
      <c r="AA572" s="6"/>
      <c r="AB572" s="8">
        <v>0</v>
      </c>
      <c r="AC572" s="15">
        <v>27897801308070</v>
      </c>
      <c r="AD572" s="4" t="s">
        <v>992</v>
      </c>
    </row>
    <row r="573" spans="2:30" x14ac:dyDescent="0.35">
      <c r="B573" s="14">
        <v>966</v>
      </c>
      <c r="C573" s="4" t="s">
        <v>579</v>
      </c>
      <c r="D573" s="4" t="s">
        <v>2412</v>
      </c>
      <c r="E573" s="4" t="s">
        <v>2913</v>
      </c>
      <c r="F573" s="4" t="s">
        <v>85</v>
      </c>
      <c r="G573" s="4" t="s">
        <v>993</v>
      </c>
      <c r="H573" s="6">
        <v>0.37659999999999999</v>
      </c>
      <c r="I573" s="8">
        <v>150</v>
      </c>
      <c r="J573" s="8">
        <v>200</v>
      </c>
      <c r="K573" s="8">
        <v>150</v>
      </c>
      <c r="L573" s="8">
        <f t="shared" si="26"/>
        <v>4500000</v>
      </c>
      <c r="M573" s="15">
        <v>7897801308083</v>
      </c>
      <c r="N573" s="6" t="s">
        <v>20</v>
      </c>
      <c r="O573" s="6" t="s">
        <v>20</v>
      </c>
      <c r="P573" s="6" t="s">
        <v>20</v>
      </c>
      <c r="Q573" s="6">
        <v>0.28000000000000003</v>
      </c>
      <c r="R573" s="6">
        <v>0.2</v>
      </c>
      <c r="S573" s="6">
        <v>0.86499999999999999</v>
      </c>
      <c r="T573" s="8">
        <v>10</v>
      </c>
      <c r="U573" s="5" t="s">
        <v>991</v>
      </c>
      <c r="V573" s="89">
        <v>0</v>
      </c>
      <c r="W573" s="15">
        <v>17897801308080</v>
      </c>
      <c r="X573" s="6" t="s">
        <v>20</v>
      </c>
      <c r="Y573" s="6" t="s">
        <v>20</v>
      </c>
      <c r="Z573" s="6" t="s">
        <v>20</v>
      </c>
      <c r="AA573" s="6"/>
      <c r="AB573" s="8">
        <v>0</v>
      </c>
      <c r="AC573" s="15">
        <v>27897801308087</v>
      </c>
      <c r="AD573" s="4" t="s">
        <v>992</v>
      </c>
    </row>
    <row r="574" spans="2:30" x14ac:dyDescent="0.35">
      <c r="B574" s="14">
        <v>967</v>
      </c>
      <c r="C574" s="4" t="s">
        <v>580</v>
      </c>
      <c r="D574" s="4" t="s">
        <v>2394</v>
      </c>
      <c r="E574" s="4" t="s">
        <v>2913</v>
      </c>
      <c r="F574" s="4" t="s">
        <v>85</v>
      </c>
      <c r="G574" s="4" t="s">
        <v>995</v>
      </c>
      <c r="H574" s="6">
        <v>0.47649999999999998</v>
      </c>
      <c r="I574" s="8">
        <v>213.5</v>
      </c>
      <c r="J574" s="8">
        <v>185</v>
      </c>
      <c r="K574" s="8">
        <v>213.5</v>
      </c>
      <c r="L574" s="8">
        <f t="shared" si="26"/>
        <v>8432716.25</v>
      </c>
      <c r="M574" s="15">
        <v>7897801308540</v>
      </c>
      <c r="N574" s="6" t="s">
        <v>20</v>
      </c>
      <c r="O574" s="6" t="s">
        <v>20</v>
      </c>
      <c r="P574" s="6" t="s">
        <v>20</v>
      </c>
      <c r="Q574" s="6">
        <v>0.24</v>
      </c>
      <c r="R574" s="6">
        <v>0.4</v>
      </c>
      <c r="S574" s="6">
        <v>0.57999999999999996</v>
      </c>
      <c r="T574" s="8">
        <v>6</v>
      </c>
      <c r="U574" s="5" t="s">
        <v>994</v>
      </c>
      <c r="V574" s="89">
        <v>0</v>
      </c>
      <c r="W574" s="15">
        <v>17897801308547</v>
      </c>
      <c r="X574" s="6" t="s">
        <v>20</v>
      </c>
      <c r="Y574" s="6" t="s">
        <v>20</v>
      </c>
      <c r="Z574" s="6" t="s">
        <v>20</v>
      </c>
      <c r="AA574" s="6"/>
      <c r="AB574" s="8">
        <v>0</v>
      </c>
      <c r="AC574" s="15">
        <v>27897801308544</v>
      </c>
      <c r="AD574" s="4" t="s">
        <v>992</v>
      </c>
    </row>
    <row r="575" spans="2:30" x14ac:dyDescent="0.35">
      <c r="B575" s="14">
        <v>968</v>
      </c>
      <c r="C575" s="4" t="s">
        <v>581</v>
      </c>
      <c r="D575" s="4" t="s">
        <v>2394</v>
      </c>
      <c r="E575" s="4" t="s">
        <v>2913</v>
      </c>
      <c r="F575" s="4" t="s">
        <v>85</v>
      </c>
      <c r="G575" s="4" t="s">
        <v>995</v>
      </c>
      <c r="H575" s="6">
        <v>1.1000000000000001</v>
      </c>
      <c r="I575" s="8">
        <v>305.7</v>
      </c>
      <c r="J575" s="8">
        <v>172</v>
      </c>
      <c r="K575" s="8">
        <v>305.7</v>
      </c>
      <c r="L575" s="8">
        <f t="shared" si="26"/>
        <v>16073828.279999999</v>
      </c>
      <c r="M575" s="15">
        <v>7897801308533</v>
      </c>
      <c r="N575" s="6" t="s">
        <v>20</v>
      </c>
      <c r="O575" s="6" t="s">
        <v>20</v>
      </c>
      <c r="P575" s="6" t="s">
        <v>20</v>
      </c>
      <c r="Q575" s="6">
        <v>0.28000000000000003</v>
      </c>
      <c r="R575" s="6">
        <v>0.375</v>
      </c>
      <c r="S575" s="6">
        <v>0.54500000000000004</v>
      </c>
      <c r="T575" s="8">
        <v>4</v>
      </c>
      <c r="U575" s="5" t="s">
        <v>994</v>
      </c>
      <c r="V575" s="89">
        <v>0</v>
      </c>
      <c r="W575" s="15">
        <v>17897801308530</v>
      </c>
      <c r="X575" s="6" t="s">
        <v>20</v>
      </c>
      <c r="Y575" s="6" t="s">
        <v>20</v>
      </c>
      <c r="Z575" s="6" t="s">
        <v>20</v>
      </c>
      <c r="AA575" s="6"/>
      <c r="AB575" s="8">
        <v>0</v>
      </c>
      <c r="AC575" s="15">
        <v>27897801308537</v>
      </c>
      <c r="AD575" s="4" t="s">
        <v>992</v>
      </c>
    </row>
    <row r="576" spans="2:30" x14ac:dyDescent="0.35">
      <c r="B576" s="14">
        <v>969</v>
      </c>
      <c r="C576" s="4" t="s">
        <v>582</v>
      </c>
      <c r="D576" s="4" t="s">
        <v>2394</v>
      </c>
      <c r="E576" s="4" t="s">
        <v>2913</v>
      </c>
      <c r="F576" s="4" t="s">
        <v>85</v>
      </c>
      <c r="G576" s="4" t="s">
        <v>995</v>
      </c>
      <c r="H576" s="6">
        <v>1.4225000000000001</v>
      </c>
      <c r="I576" s="8">
        <v>305.7</v>
      </c>
      <c r="J576" s="8">
        <v>230</v>
      </c>
      <c r="K576" s="8">
        <v>305.7</v>
      </c>
      <c r="L576" s="8">
        <f t="shared" si="26"/>
        <v>21494072.699999999</v>
      </c>
      <c r="M576" s="15">
        <v>7897801308526</v>
      </c>
      <c r="N576" s="6" t="s">
        <v>20</v>
      </c>
      <c r="O576" s="6" t="s">
        <v>20</v>
      </c>
      <c r="P576" s="6" t="s">
        <v>20</v>
      </c>
      <c r="Q576" s="6">
        <v>0.28999999999999998</v>
      </c>
      <c r="R576" s="6">
        <v>0.47499999999999998</v>
      </c>
      <c r="S576" s="6">
        <v>0.56000000000000005</v>
      </c>
      <c r="T576" s="8">
        <v>4</v>
      </c>
      <c r="U576" s="5" t="s">
        <v>994</v>
      </c>
      <c r="V576" s="89">
        <v>0</v>
      </c>
      <c r="W576" s="15">
        <v>17897801308523</v>
      </c>
      <c r="X576" s="6" t="s">
        <v>20</v>
      </c>
      <c r="Y576" s="6" t="s">
        <v>20</v>
      </c>
      <c r="Z576" s="6" t="s">
        <v>20</v>
      </c>
      <c r="AA576" s="6"/>
      <c r="AB576" s="8">
        <v>0</v>
      </c>
      <c r="AC576" s="15">
        <v>27897801308520</v>
      </c>
      <c r="AD576" s="4" t="s">
        <v>992</v>
      </c>
    </row>
    <row r="577" spans="2:30" x14ac:dyDescent="0.35">
      <c r="B577" s="14">
        <v>983</v>
      </c>
      <c r="C577" s="4" t="s">
        <v>583</v>
      </c>
      <c r="D577" s="4" t="s">
        <v>2394</v>
      </c>
      <c r="E577" s="4" t="s">
        <v>2913</v>
      </c>
      <c r="F577" s="4" t="s">
        <v>85</v>
      </c>
      <c r="G577" s="4" t="s">
        <v>1015</v>
      </c>
      <c r="H577" s="6">
        <v>0.54500000000000004</v>
      </c>
      <c r="I577" s="8">
        <v>230</v>
      </c>
      <c r="J577" s="8">
        <v>170</v>
      </c>
      <c r="K577" s="8">
        <v>200</v>
      </c>
      <c r="L577" s="8">
        <f t="shared" si="26"/>
        <v>7820000</v>
      </c>
      <c r="M577" s="15">
        <v>7897801314046</v>
      </c>
      <c r="N577" s="6" t="s">
        <v>20</v>
      </c>
      <c r="O577" s="6" t="s">
        <v>20</v>
      </c>
      <c r="P577" s="6" t="s">
        <v>20</v>
      </c>
      <c r="Q577" s="6">
        <v>0.23499999999999999</v>
      </c>
      <c r="R577" s="6">
        <v>0.33</v>
      </c>
      <c r="S577" s="6">
        <v>0.59</v>
      </c>
      <c r="T577" s="8">
        <v>6</v>
      </c>
      <c r="U577" s="5" t="s">
        <v>994</v>
      </c>
      <c r="V577" s="89">
        <v>0</v>
      </c>
      <c r="W577" s="15">
        <v>17897801314043</v>
      </c>
      <c r="X577" s="6">
        <v>0.23</v>
      </c>
      <c r="Y577" s="6">
        <v>0.33</v>
      </c>
      <c r="Z577" s="6">
        <v>0.59</v>
      </c>
      <c r="AA577" s="6">
        <f>Y577*X577*Z577</f>
        <v>4.4781000000000001E-2</v>
      </c>
      <c r="AB577" s="8">
        <v>0</v>
      </c>
      <c r="AC577" s="15">
        <v>27897801314040</v>
      </c>
      <c r="AD577" s="4" t="s">
        <v>992</v>
      </c>
    </row>
    <row r="578" spans="2:30" x14ac:dyDescent="0.35">
      <c r="B578" s="14">
        <v>984</v>
      </c>
      <c r="C578" s="4" t="s">
        <v>584</v>
      </c>
      <c r="D578" s="4" t="s">
        <v>2394</v>
      </c>
      <c r="E578" s="4" t="s">
        <v>2913</v>
      </c>
      <c r="F578" s="4" t="s">
        <v>85</v>
      </c>
      <c r="G578" s="4" t="s">
        <v>1014</v>
      </c>
      <c r="H578" s="6">
        <v>0.5776</v>
      </c>
      <c r="I578" s="8">
        <v>230</v>
      </c>
      <c r="J578" s="8">
        <v>170</v>
      </c>
      <c r="K578" s="8">
        <v>200</v>
      </c>
      <c r="L578" s="8">
        <f t="shared" si="26"/>
        <v>7820000</v>
      </c>
      <c r="M578" s="15">
        <v>7897801314053</v>
      </c>
      <c r="N578" s="6" t="s">
        <v>20</v>
      </c>
      <c r="O578" s="6" t="s">
        <v>20</v>
      </c>
      <c r="P578" s="6" t="s">
        <v>20</v>
      </c>
      <c r="Q578" s="6">
        <v>0.23</v>
      </c>
      <c r="R578" s="6">
        <v>0.35</v>
      </c>
      <c r="S578" s="6">
        <v>0.59</v>
      </c>
      <c r="T578" s="8">
        <v>6</v>
      </c>
      <c r="U578" s="5" t="s">
        <v>994</v>
      </c>
      <c r="V578" s="89">
        <v>0</v>
      </c>
      <c r="W578" s="15">
        <v>17897801314050</v>
      </c>
      <c r="X578" s="6">
        <v>0.23</v>
      </c>
      <c r="Y578" s="6">
        <v>0.33</v>
      </c>
      <c r="Z578" s="6">
        <v>0.59</v>
      </c>
      <c r="AA578" s="6">
        <f>Y578*X578*Z578</f>
        <v>4.4781000000000001E-2</v>
      </c>
      <c r="AB578" s="8">
        <v>0</v>
      </c>
      <c r="AC578" s="15">
        <v>27897801314057</v>
      </c>
      <c r="AD578" s="4" t="s">
        <v>992</v>
      </c>
    </row>
    <row r="579" spans="2:30" x14ac:dyDescent="0.35">
      <c r="B579" s="14">
        <v>985</v>
      </c>
      <c r="C579" s="4" t="s">
        <v>585</v>
      </c>
      <c r="D579" s="4" t="s">
        <v>2394</v>
      </c>
      <c r="E579" s="4" t="s">
        <v>2913</v>
      </c>
      <c r="F579" s="4" t="s">
        <v>85</v>
      </c>
      <c r="G579" s="4" t="s">
        <v>1015</v>
      </c>
      <c r="H579" s="6">
        <v>0.17519999999999999</v>
      </c>
      <c r="I579" s="8">
        <v>180</v>
      </c>
      <c r="J579" s="8">
        <v>110</v>
      </c>
      <c r="K579" s="8">
        <v>150</v>
      </c>
      <c r="L579" s="8">
        <v>2970000</v>
      </c>
      <c r="M579" s="15">
        <v>7897801314060</v>
      </c>
      <c r="N579" s="6" t="s">
        <v>20</v>
      </c>
      <c r="O579" s="6" t="s">
        <v>20</v>
      </c>
      <c r="P579" s="6" t="s">
        <v>20</v>
      </c>
      <c r="Q579" s="6">
        <v>0.32</v>
      </c>
      <c r="R579" s="6">
        <v>0.22</v>
      </c>
      <c r="S579" s="6">
        <v>0.41</v>
      </c>
      <c r="T579" s="8">
        <v>985</v>
      </c>
      <c r="U579" s="5" t="s">
        <v>994</v>
      </c>
      <c r="V579" s="89">
        <v>0</v>
      </c>
      <c r="W579" s="15">
        <v>17897801314067</v>
      </c>
      <c r="X579" s="6">
        <v>0</v>
      </c>
      <c r="Y579" s="6">
        <v>0</v>
      </c>
      <c r="Z579" s="6">
        <v>0</v>
      </c>
      <c r="AA579" s="6">
        <v>0</v>
      </c>
      <c r="AB579" s="8">
        <v>0</v>
      </c>
      <c r="AC579" s="15">
        <v>27897801314064</v>
      </c>
      <c r="AD579" s="4" t="s">
        <v>992</v>
      </c>
    </row>
    <row r="580" spans="2:30" x14ac:dyDescent="0.35">
      <c r="B580" s="14">
        <v>986</v>
      </c>
      <c r="C580" s="4" t="s">
        <v>586</v>
      </c>
      <c r="D580" s="4" t="s">
        <v>2394</v>
      </c>
      <c r="E580" s="4" t="s">
        <v>2913</v>
      </c>
      <c r="F580" s="4" t="s">
        <v>85</v>
      </c>
      <c r="G580" s="4" t="s">
        <v>1014</v>
      </c>
      <c r="H580" s="6">
        <v>0.2555</v>
      </c>
      <c r="I580" s="8">
        <v>150</v>
      </c>
      <c r="J580" s="8">
        <v>110</v>
      </c>
      <c r="K580" s="8">
        <v>170</v>
      </c>
      <c r="L580" s="8">
        <f t="shared" ref="L580:L598" si="29">J580*I580*K580</f>
        <v>2805000</v>
      </c>
      <c r="M580" s="15">
        <v>7897801314077</v>
      </c>
      <c r="N580" s="6" t="s">
        <v>20</v>
      </c>
      <c r="O580" s="6" t="s">
        <v>20</v>
      </c>
      <c r="P580" s="6" t="s">
        <v>20</v>
      </c>
      <c r="Q580" s="6">
        <v>0.3</v>
      </c>
      <c r="R580" s="6">
        <v>0.23</v>
      </c>
      <c r="S580" s="6">
        <v>0.43</v>
      </c>
      <c r="T580" s="8">
        <v>12</v>
      </c>
      <c r="U580" s="5" t="s">
        <v>994</v>
      </c>
      <c r="V580" s="89">
        <v>0</v>
      </c>
      <c r="W580" s="15">
        <v>17897801314074</v>
      </c>
      <c r="X580" s="6">
        <v>0.3</v>
      </c>
      <c r="Y580" s="6">
        <v>0.23</v>
      </c>
      <c r="Z580" s="6">
        <v>0.42</v>
      </c>
      <c r="AA580" s="6">
        <f>Y580*X580*Z580</f>
        <v>2.8980000000000002E-2</v>
      </c>
      <c r="AB580" s="8">
        <v>0</v>
      </c>
      <c r="AC580" s="15">
        <v>27897801314071</v>
      </c>
      <c r="AD580" s="4" t="s">
        <v>992</v>
      </c>
    </row>
    <row r="581" spans="2:30" x14ac:dyDescent="0.35">
      <c r="B581" s="14">
        <v>1061</v>
      </c>
      <c r="C581" s="4" t="s">
        <v>588</v>
      </c>
      <c r="D581" s="4" t="s">
        <v>2386</v>
      </c>
      <c r="E581" s="4" t="s">
        <v>2915</v>
      </c>
      <c r="F581" s="4" t="s">
        <v>85</v>
      </c>
      <c r="G581" s="4" t="s">
        <v>993</v>
      </c>
      <c r="H581" s="6">
        <v>5.1999999999999998E-2</v>
      </c>
      <c r="I581" s="8">
        <v>29</v>
      </c>
      <c r="J581" s="8">
        <v>126</v>
      </c>
      <c r="K581" s="8">
        <v>29</v>
      </c>
      <c r="L581" s="8">
        <f t="shared" si="29"/>
        <v>105966</v>
      </c>
      <c r="M581" s="15">
        <v>7897801303620</v>
      </c>
      <c r="N581" s="6" t="s">
        <v>20</v>
      </c>
      <c r="O581" s="6" t="s">
        <v>20</v>
      </c>
      <c r="P581" s="6" t="s">
        <v>20</v>
      </c>
      <c r="Q581" s="6">
        <v>0.22</v>
      </c>
      <c r="R581" s="6">
        <v>7.0000000000000007E-2</v>
      </c>
      <c r="S581" s="6">
        <v>0.31</v>
      </c>
      <c r="T581" s="8">
        <v>12</v>
      </c>
      <c r="U581" s="5" t="s">
        <v>994</v>
      </c>
      <c r="V581" s="89">
        <v>0</v>
      </c>
      <c r="W581" s="15">
        <v>17897801303627</v>
      </c>
      <c r="X581" s="6">
        <v>0.55000000000000004</v>
      </c>
      <c r="Y581" s="6">
        <v>0.16</v>
      </c>
      <c r="Z581" s="6">
        <v>0.8</v>
      </c>
      <c r="AA581" s="6">
        <f>Y581*X581*Z581</f>
        <v>7.0400000000000004E-2</v>
      </c>
      <c r="AB581" s="8">
        <v>300</v>
      </c>
      <c r="AC581" s="15">
        <v>27897801303624</v>
      </c>
      <c r="AD581" s="4" t="s">
        <v>992</v>
      </c>
    </row>
    <row r="582" spans="2:30" x14ac:dyDescent="0.35">
      <c r="B582" s="14">
        <v>1100</v>
      </c>
      <c r="C582" s="4" t="s">
        <v>589</v>
      </c>
      <c r="D582" s="4" t="s">
        <v>2410</v>
      </c>
      <c r="E582" s="4" t="s">
        <v>2914</v>
      </c>
      <c r="F582" s="4" t="s">
        <v>19</v>
      </c>
      <c r="G582" s="4" t="s">
        <v>990</v>
      </c>
      <c r="H582" s="6">
        <v>0.56000000000000005</v>
      </c>
      <c r="I582" s="8">
        <v>3000</v>
      </c>
      <c r="J582" s="8">
        <v>20</v>
      </c>
      <c r="K582" s="8">
        <v>20</v>
      </c>
      <c r="L582" s="8">
        <f t="shared" si="29"/>
        <v>1200000</v>
      </c>
      <c r="M582" s="15">
        <v>7897801306218</v>
      </c>
      <c r="N582" s="6">
        <v>2.1399999999999999E-2</v>
      </c>
      <c r="O582" s="6">
        <v>3</v>
      </c>
      <c r="P582" s="6">
        <v>2.1399999999999999E-2</v>
      </c>
      <c r="Q582" s="6">
        <v>0.1115</v>
      </c>
      <c r="R582" s="6">
        <v>7.0300000000000001E-2</v>
      </c>
      <c r="S582" s="6">
        <v>3</v>
      </c>
      <c r="T582" s="8">
        <v>10</v>
      </c>
      <c r="U582" s="5" t="s">
        <v>991</v>
      </c>
      <c r="V582" s="89">
        <v>0</v>
      </c>
      <c r="W582" s="15">
        <v>17897801306215</v>
      </c>
      <c r="X582" s="6" t="s">
        <v>20</v>
      </c>
      <c r="Y582" s="6" t="s">
        <v>20</v>
      </c>
      <c r="Z582" s="6" t="s">
        <v>20</v>
      </c>
      <c r="AA582" s="6"/>
      <c r="AB582" s="8">
        <v>0</v>
      </c>
      <c r="AC582" s="15">
        <v>27897801306212</v>
      </c>
      <c r="AD582" s="4" t="s">
        <v>992</v>
      </c>
    </row>
    <row r="583" spans="2:30" x14ac:dyDescent="0.35">
      <c r="B583" s="14">
        <v>1101</v>
      </c>
      <c r="C583" s="4" t="s">
        <v>590</v>
      </c>
      <c r="D583" s="4" t="s">
        <v>2410</v>
      </c>
      <c r="E583" s="4" t="s">
        <v>2914</v>
      </c>
      <c r="F583" s="4" t="s">
        <v>19</v>
      </c>
      <c r="G583" s="4" t="s">
        <v>990</v>
      </c>
      <c r="H583" s="6">
        <v>0.8</v>
      </c>
      <c r="I583" s="8">
        <v>3000</v>
      </c>
      <c r="J583" s="8">
        <v>25</v>
      </c>
      <c r="K583" s="8">
        <v>25</v>
      </c>
      <c r="L583" s="8">
        <f t="shared" si="29"/>
        <v>1875000</v>
      </c>
      <c r="M583" s="15">
        <v>7897801306225</v>
      </c>
      <c r="N583" s="6">
        <v>2.58E-2</v>
      </c>
      <c r="O583" s="6">
        <v>3.0009999999999999</v>
      </c>
      <c r="P583" s="6">
        <v>2.58E-2</v>
      </c>
      <c r="Q583" s="6">
        <v>0.1052</v>
      </c>
      <c r="R583" s="6">
        <v>7.2999999999999995E-2</v>
      </c>
      <c r="S583" s="6">
        <v>3.0009999999999999</v>
      </c>
      <c r="T583" s="8">
        <v>10</v>
      </c>
      <c r="U583" s="5" t="s">
        <v>991</v>
      </c>
      <c r="V583" s="89">
        <v>0</v>
      </c>
      <c r="W583" s="15">
        <v>17897801306222</v>
      </c>
      <c r="X583" s="6" t="s">
        <v>20</v>
      </c>
      <c r="Y583" s="6" t="s">
        <v>20</v>
      </c>
      <c r="Z583" s="6" t="s">
        <v>20</v>
      </c>
      <c r="AA583" s="6"/>
      <c r="AB583" s="8">
        <v>0</v>
      </c>
      <c r="AC583" s="15">
        <v>27897801306229</v>
      </c>
      <c r="AD583" s="4" t="s">
        <v>992</v>
      </c>
    </row>
    <row r="584" spans="2:30" x14ac:dyDescent="0.35">
      <c r="B584" s="14">
        <v>1102</v>
      </c>
      <c r="C584" s="4" t="s">
        <v>591</v>
      </c>
      <c r="D584" s="4" t="s">
        <v>2410</v>
      </c>
      <c r="E584" s="4" t="s">
        <v>2914</v>
      </c>
      <c r="F584" s="4" t="s">
        <v>19</v>
      </c>
      <c r="G584" s="4" t="s">
        <v>990</v>
      </c>
      <c r="H584" s="6">
        <v>1.1499999999999999</v>
      </c>
      <c r="I584" s="8">
        <v>3000</v>
      </c>
      <c r="J584" s="8">
        <v>32</v>
      </c>
      <c r="K584" s="8">
        <v>32</v>
      </c>
      <c r="L584" s="8">
        <f t="shared" si="29"/>
        <v>3072000</v>
      </c>
      <c r="M584" s="15">
        <v>7897801306232</v>
      </c>
      <c r="N584" s="6">
        <v>3.3000000000000002E-2</v>
      </c>
      <c r="O584" s="6">
        <v>3.0009999999999999</v>
      </c>
      <c r="P584" s="6">
        <v>3.3000000000000002E-2</v>
      </c>
      <c r="Q584" s="6">
        <v>0.13245000000000001</v>
      </c>
      <c r="R584" s="6">
        <v>9.0899999999999995E-2</v>
      </c>
      <c r="S584" s="6">
        <v>3.0009999999999999</v>
      </c>
      <c r="T584" s="8">
        <v>10</v>
      </c>
      <c r="U584" s="5" t="s">
        <v>991</v>
      </c>
      <c r="V584" s="89">
        <v>0</v>
      </c>
      <c r="W584" s="15">
        <v>17897801306239</v>
      </c>
      <c r="X584" s="6" t="s">
        <v>20</v>
      </c>
      <c r="Y584" s="6" t="s">
        <v>20</v>
      </c>
      <c r="Z584" s="6" t="s">
        <v>20</v>
      </c>
      <c r="AA584" s="6"/>
      <c r="AB584" s="8">
        <v>0</v>
      </c>
      <c r="AC584" s="15">
        <v>27897801306236</v>
      </c>
      <c r="AD584" s="4" t="s">
        <v>992</v>
      </c>
    </row>
    <row r="585" spans="2:30" x14ac:dyDescent="0.35">
      <c r="B585" s="14">
        <v>1103</v>
      </c>
      <c r="C585" s="4" t="s">
        <v>592</v>
      </c>
      <c r="D585" s="4" t="s">
        <v>2410</v>
      </c>
      <c r="E585" s="4" t="s">
        <v>2914</v>
      </c>
      <c r="F585" s="4" t="s">
        <v>19</v>
      </c>
      <c r="G585" s="4" t="s">
        <v>990</v>
      </c>
      <c r="H585" s="6">
        <v>1.6</v>
      </c>
      <c r="I585" s="8">
        <v>3000</v>
      </c>
      <c r="J585" s="8">
        <v>40</v>
      </c>
      <c r="K585" s="8">
        <v>40</v>
      </c>
      <c r="L585" s="8">
        <f t="shared" si="29"/>
        <v>4800000</v>
      </c>
      <c r="M585" s="15">
        <v>7897801306249</v>
      </c>
      <c r="N585" s="6">
        <v>3.5999999999999997E-2</v>
      </c>
      <c r="O585" s="6">
        <v>3</v>
      </c>
      <c r="P585" s="6">
        <v>3.5999999999999997E-2</v>
      </c>
      <c r="Q585" s="6">
        <v>0.1128</v>
      </c>
      <c r="R585" s="6">
        <v>8.4000000000000005E-2</v>
      </c>
      <c r="S585" s="6">
        <v>3.0009999999999999</v>
      </c>
      <c r="T585" s="8">
        <v>5</v>
      </c>
      <c r="U585" s="5" t="s">
        <v>991</v>
      </c>
      <c r="V585" s="89">
        <v>0</v>
      </c>
      <c r="W585" s="15">
        <v>17897801306246</v>
      </c>
      <c r="X585" s="6" t="s">
        <v>20</v>
      </c>
      <c r="Y585" s="6" t="s">
        <v>20</v>
      </c>
      <c r="Z585" s="6" t="s">
        <v>20</v>
      </c>
      <c r="AA585" s="6"/>
      <c r="AB585" s="8">
        <v>0</v>
      </c>
      <c r="AC585" s="15">
        <v>27897801306243</v>
      </c>
      <c r="AD585" s="4" t="s">
        <v>992</v>
      </c>
    </row>
    <row r="586" spans="2:30" x14ac:dyDescent="0.35">
      <c r="B586" s="14">
        <v>1104</v>
      </c>
      <c r="C586" s="4" t="s">
        <v>593</v>
      </c>
      <c r="D586" s="4" t="s">
        <v>2410</v>
      </c>
      <c r="E586" s="4" t="s">
        <v>2914</v>
      </c>
      <c r="F586" s="4" t="s">
        <v>19</v>
      </c>
      <c r="G586" s="4" t="s">
        <v>990</v>
      </c>
      <c r="H586" s="6">
        <v>1.7509999999999999</v>
      </c>
      <c r="I586" s="8">
        <v>3000</v>
      </c>
      <c r="J586" s="8">
        <v>50</v>
      </c>
      <c r="K586" s="8">
        <v>50</v>
      </c>
      <c r="L586" s="8">
        <f t="shared" si="29"/>
        <v>7500000</v>
      </c>
      <c r="M586" s="15">
        <v>7897801306256</v>
      </c>
      <c r="N586" s="6">
        <v>0.04</v>
      </c>
      <c r="O586" s="6">
        <v>3</v>
      </c>
      <c r="P586" s="6">
        <v>0.04</v>
      </c>
      <c r="Q586" s="6">
        <v>0.14399999999999999</v>
      </c>
      <c r="R586" s="6">
        <v>0.09</v>
      </c>
      <c r="S586" s="6">
        <v>3.0009999999999999</v>
      </c>
      <c r="T586" s="8">
        <v>5</v>
      </c>
      <c r="U586" s="5" t="s">
        <v>991</v>
      </c>
      <c r="V586" s="89">
        <v>0</v>
      </c>
      <c r="W586" s="15">
        <v>17897801306253</v>
      </c>
      <c r="X586" s="6" t="s">
        <v>20</v>
      </c>
      <c r="Y586" s="6" t="s">
        <v>20</v>
      </c>
      <c r="Z586" s="6" t="s">
        <v>20</v>
      </c>
      <c r="AA586" s="6"/>
      <c r="AB586" s="8">
        <v>0</v>
      </c>
      <c r="AC586" s="15">
        <v>27897801306250</v>
      </c>
      <c r="AD586" s="4" t="s">
        <v>992</v>
      </c>
    </row>
    <row r="587" spans="2:30" x14ac:dyDescent="0.35">
      <c r="B587" s="14">
        <v>1105</v>
      </c>
      <c r="C587" s="4" t="s">
        <v>594</v>
      </c>
      <c r="D587" s="4" t="s">
        <v>2410</v>
      </c>
      <c r="E587" s="4" t="s">
        <v>2914</v>
      </c>
      <c r="F587" s="4" t="s">
        <v>19</v>
      </c>
      <c r="G587" s="4" t="s">
        <v>990</v>
      </c>
      <c r="H587" s="6">
        <v>2.17</v>
      </c>
      <c r="I587" s="8">
        <v>3000</v>
      </c>
      <c r="J587" s="8">
        <v>60</v>
      </c>
      <c r="K587" s="8">
        <v>60</v>
      </c>
      <c r="L587" s="8">
        <f t="shared" si="29"/>
        <v>10800000</v>
      </c>
      <c r="M587" s="15">
        <v>7897801306263</v>
      </c>
      <c r="N587" s="6">
        <v>6.0900000000000003E-2</v>
      </c>
      <c r="O587" s="6">
        <v>3</v>
      </c>
      <c r="P587" s="6">
        <v>6.0900000000000003E-2</v>
      </c>
      <c r="Q587" s="6">
        <v>0.11799999999999999</v>
      </c>
      <c r="R587" s="6">
        <v>0.1115</v>
      </c>
      <c r="S587" s="6">
        <v>3</v>
      </c>
      <c r="T587" s="8">
        <v>5</v>
      </c>
      <c r="U587" s="5" t="s">
        <v>991</v>
      </c>
      <c r="V587" s="89">
        <v>0</v>
      </c>
      <c r="W587" s="15">
        <v>17897801306260</v>
      </c>
      <c r="X587" s="6" t="s">
        <v>20</v>
      </c>
      <c r="Y587" s="6" t="s">
        <v>20</v>
      </c>
      <c r="Z587" s="6" t="s">
        <v>20</v>
      </c>
      <c r="AA587" s="6"/>
      <c r="AB587" s="8">
        <v>0</v>
      </c>
      <c r="AC587" s="15">
        <v>27897801306267</v>
      </c>
      <c r="AD587" s="4" t="s">
        <v>992</v>
      </c>
    </row>
    <row r="588" spans="2:30" x14ac:dyDescent="0.35">
      <c r="B588" s="14">
        <v>1106</v>
      </c>
      <c r="C588" s="4" t="s">
        <v>595</v>
      </c>
      <c r="D588" s="4" t="s">
        <v>2410</v>
      </c>
      <c r="E588" s="4" t="s">
        <v>2914</v>
      </c>
      <c r="F588" s="4" t="s">
        <v>19</v>
      </c>
      <c r="G588" s="4" t="s">
        <v>990</v>
      </c>
      <c r="H588" s="6">
        <v>4.1050000000000004</v>
      </c>
      <c r="I588" s="8">
        <v>3000</v>
      </c>
      <c r="J588" s="8">
        <v>85</v>
      </c>
      <c r="K588" s="8">
        <v>85</v>
      </c>
      <c r="L588" s="8">
        <f t="shared" si="29"/>
        <v>21675000</v>
      </c>
      <c r="M588" s="15">
        <v>7897801310215</v>
      </c>
      <c r="N588" s="6">
        <v>8.8400000000000006E-2</v>
      </c>
      <c r="O588" s="6">
        <v>3</v>
      </c>
      <c r="P588" s="6">
        <v>8.8400000000000006E-2</v>
      </c>
      <c r="Q588" s="6">
        <v>8.7999999999999995E-2</v>
      </c>
      <c r="R588" s="6">
        <v>8.7999999999999995E-2</v>
      </c>
      <c r="S588" s="6">
        <v>3</v>
      </c>
      <c r="T588" s="8">
        <v>1</v>
      </c>
      <c r="U588" s="5" t="s">
        <v>991</v>
      </c>
      <c r="V588" s="89">
        <v>0</v>
      </c>
      <c r="W588" s="15">
        <v>17897801310212</v>
      </c>
      <c r="X588" s="6" t="s">
        <v>20</v>
      </c>
      <c r="Y588" s="6" t="s">
        <v>20</v>
      </c>
      <c r="Z588" s="6" t="s">
        <v>20</v>
      </c>
      <c r="AA588" s="6"/>
      <c r="AB588" s="8">
        <v>0</v>
      </c>
      <c r="AC588" s="15">
        <v>27897801310219</v>
      </c>
      <c r="AD588" s="4" t="s">
        <v>992</v>
      </c>
    </row>
    <row r="589" spans="2:30" x14ac:dyDescent="0.35">
      <c r="B589" s="14">
        <v>1107</v>
      </c>
      <c r="C589" s="4" t="s">
        <v>596</v>
      </c>
      <c r="D589" s="4" t="s">
        <v>2410</v>
      </c>
      <c r="E589" s="4" t="s">
        <v>2914</v>
      </c>
      <c r="F589" s="4" t="s">
        <v>19</v>
      </c>
      <c r="G589" s="4" t="s">
        <v>990</v>
      </c>
      <c r="H589" s="6">
        <v>6.5</v>
      </c>
      <c r="I589" s="8">
        <v>3000</v>
      </c>
      <c r="J589" s="8">
        <v>110</v>
      </c>
      <c r="K589" s="8">
        <v>110</v>
      </c>
      <c r="L589" s="8">
        <f t="shared" si="29"/>
        <v>36300000</v>
      </c>
      <c r="M589" s="15">
        <v>7897801310222</v>
      </c>
      <c r="N589" s="6">
        <v>0.1135</v>
      </c>
      <c r="O589" s="6">
        <v>3</v>
      </c>
      <c r="P589" s="6">
        <v>0.1135</v>
      </c>
      <c r="Q589" s="6">
        <v>0.113</v>
      </c>
      <c r="R589" s="6">
        <v>0.113</v>
      </c>
      <c r="S589" s="6">
        <v>3</v>
      </c>
      <c r="T589" s="8">
        <v>1</v>
      </c>
      <c r="U589" s="5" t="s">
        <v>991</v>
      </c>
      <c r="V589" s="89">
        <v>0</v>
      </c>
      <c r="W589" s="15">
        <v>17897801310229</v>
      </c>
      <c r="X589" s="6" t="s">
        <v>20</v>
      </c>
      <c r="Y589" s="6" t="s">
        <v>20</v>
      </c>
      <c r="Z589" s="6" t="s">
        <v>20</v>
      </c>
      <c r="AA589" s="6"/>
      <c r="AB589" s="8">
        <v>0</v>
      </c>
      <c r="AC589" s="15">
        <v>27897801310226</v>
      </c>
      <c r="AD589" s="4" t="s">
        <v>992</v>
      </c>
    </row>
    <row r="590" spans="2:30" x14ac:dyDescent="0.35">
      <c r="B590" s="14">
        <v>1108</v>
      </c>
      <c r="C590" s="4" t="s">
        <v>597</v>
      </c>
      <c r="D590" s="4" t="s">
        <v>2410</v>
      </c>
      <c r="E590" s="4" t="s">
        <v>2914</v>
      </c>
      <c r="F590" s="4" t="s">
        <v>19</v>
      </c>
      <c r="G590" s="4" t="s">
        <v>990</v>
      </c>
      <c r="H590" s="6">
        <v>3.6</v>
      </c>
      <c r="I590" s="8">
        <v>3000</v>
      </c>
      <c r="J590" s="8">
        <v>75</v>
      </c>
      <c r="K590" s="8">
        <v>75</v>
      </c>
      <c r="L590" s="8">
        <f t="shared" si="29"/>
        <v>16875000</v>
      </c>
      <c r="M590" s="15">
        <v>7897801313476</v>
      </c>
      <c r="N590" s="6">
        <v>7.5499999999999998E-2</v>
      </c>
      <c r="O590" s="6">
        <v>3</v>
      </c>
      <c r="P590" s="6">
        <v>7.5499999999999998E-2</v>
      </c>
      <c r="Q590" s="6">
        <v>0.155</v>
      </c>
      <c r="R590" s="6">
        <v>0.14499999999999999</v>
      </c>
      <c r="S590" s="6">
        <v>3</v>
      </c>
      <c r="T590" s="8">
        <v>3</v>
      </c>
      <c r="U590" s="5" t="s">
        <v>991</v>
      </c>
      <c r="V590" s="89">
        <v>0</v>
      </c>
      <c r="W590" s="15">
        <v>17897801313473</v>
      </c>
      <c r="X590" s="6" t="s">
        <v>20</v>
      </c>
      <c r="Y590" s="6" t="s">
        <v>20</v>
      </c>
      <c r="Z590" s="6" t="s">
        <v>20</v>
      </c>
      <c r="AA590" s="6"/>
      <c r="AB590" s="8">
        <v>0</v>
      </c>
      <c r="AC590" s="15">
        <v>27897801313470</v>
      </c>
      <c r="AD590" s="4" t="s">
        <v>992</v>
      </c>
    </row>
    <row r="591" spans="2:30" x14ac:dyDescent="0.35">
      <c r="B591" s="14">
        <v>1142</v>
      </c>
      <c r="C591" s="4" t="s">
        <v>598</v>
      </c>
      <c r="D591" s="4" t="s">
        <v>2388</v>
      </c>
      <c r="E591" s="4" t="s">
        <v>2914</v>
      </c>
      <c r="F591" s="4" t="s">
        <v>85</v>
      </c>
      <c r="G591" s="4" t="s">
        <v>993</v>
      </c>
      <c r="H591" s="6">
        <v>1.7299999999999999E-2</v>
      </c>
      <c r="I591" s="8">
        <v>51</v>
      </c>
      <c r="J591" s="8">
        <v>21.45</v>
      </c>
      <c r="K591" s="8">
        <v>21.45</v>
      </c>
      <c r="L591" s="8">
        <f t="shared" si="29"/>
        <v>23465.227500000001</v>
      </c>
      <c r="M591" s="15">
        <v>7897801300858</v>
      </c>
      <c r="N591" s="6" t="s">
        <v>20</v>
      </c>
      <c r="O591" s="6" t="s">
        <v>20</v>
      </c>
      <c r="P591" s="6" t="s">
        <v>20</v>
      </c>
      <c r="Q591" s="6">
        <v>0.17</v>
      </c>
      <c r="R591" s="6">
        <v>4.4999999999999998E-2</v>
      </c>
      <c r="S591" s="6">
        <v>0.21</v>
      </c>
      <c r="T591" s="8">
        <v>24</v>
      </c>
      <c r="U591" s="5" t="s">
        <v>994</v>
      </c>
      <c r="V591" s="89">
        <v>0</v>
      </c>
      <c r="W591" s="15">
        <v>17897801300855</v>
      </c>
      <c r="X591" s="6">
        <v>0.5</v>
      </c>
      <c r="Y591" s="6">
        <v>0.2</v>
      </c>
      <c r="Z591" s="6">
        <v>0.68</v>
      </c>
      <c r="AA591" s="6">
        <f t="shared" ref="AA591:AA598" si="30">Y591*X591*Z591</f>
        <v>6.8000000000000005E-2</v>
      </c>
      <c r="AB591" s="8">
        <v>960</v>
      </c>
      <c r="AC591" s="15">
        <v>27897801300852</v>
      </c>
      <c r="AD591" s="4" t="s">
        <v>992</v>
      </c>
    </row>
    <row r="592" spans="2:30" x14ac:dyDescent="0.35">
      <c r="B592" s="14">
        <v>1143</v>
      </c>
      <c r="C592" s="4" t="s">
        <v>599</v>
      </c>
      <c r="D592" s="4" t="s">
        <v>2388</v>
      </c>
      <c r="E592" s="4" t="s">
        <v>2914</v>
      </c>
      <c r="F592" s="4" t="s">
        <v>85</v>
      </c>
      <c r="G592" s="4" t="s">
        <v>993</v>
      </c>
      <c r="H592" s="6">
        <v>3.1699999999999999E-2</v>
      </c>
      <c r="I592" s="8">
        <v>95</v>
      </c>
      <c r="J592" s="8">
        <v>27</v>
      </c>
      <c r="K592" s="8">
        <v>27</v>
      </c>
      <c r="L592" s="8">
        <f t="shared" si="29"/>
        <v>69255</v>
      </c>
      <c r="M592" s="15">
        <v>7897801300865</v>
      </c>
      <c r="N592" s="6" t="s">
        <v>20</v>
      </c>
      <c r="O592" s="6" t="s">
        <v>20</v>
      </c>
      <c r="P592" s="6" t="s">
        <v>20</v>
      </c>
      <c r="Q592" s="6">
        <v>0.22</v>
      </c>
      <c r="R592" s="6">
        <v>0.05</v>
      </c>
      <c r="S592" s="6">
        <v>0.28999999999999998</v>
      </c>
      <c r="T592" s="8">
        <v>24</v>
      </c>
      <c r="U592" s="5" t="s">
        <v>994</v>
      </c>
      <c r="V592" s="89">
        <v>0</v>
      </c>
      <c r="W592" s="15">
        <v>17897801300862</v>
      </c>
      <c r="X592" s="6">
        <v>0.5</v>
      </c>
      <c r="Y592" s="6">
        <v>0.2</v>
      </c>
      <c r="Z592" s="6">
        <v>0.68</v>
      </c>
      <c r="AA592" s="6">
        <f t="shared" si="30"/>
        <v>6.8000000000000005E-2</v>
      </c>
      <c r="AB592" s="8">
        <v>504</v>
      </c>
      <c r="AC592" s="15">
        <v>27897801300869</v>
      </c>
      <c r="AD592" s="4" t="s">
        <v>992</v>
      </c>
    </row>
    <row r="593" spans="2:30" x14ac:dyDescent="0.35">
      <c r="B593" s="14">
        <v>1144</v>
      </c>
      <c r="C593" s="4" t="s">
        <v>600</v>
      </c>
      <c r="D593" s="4" t="s">
        <v>2388</v>
      </c>
      <c r="E593" s="4" t="s">
        <v>2914</v>
      </c>
      <c r="F593" s="4" t="s">
        <v>85</v>
      </c>
      <c r="G593" s="4" t="s">
        <v>993</v>
      </c>
      <c r="H593" s="6">
        <v>5.1700000000000003E-2</v>
      </c>
      <c r="I593" s="8">
        <v>104</v>
      </c>
      <c r="J593" s="8">
        <v>34</v>
      </c>
      <c r="K593" s="8">
        <v>34</v>
      </c>
      <c r="L593" s="8">
        <f t="shared" si="29"/>
        <v>120224</v>
      </c>
      <c r="M593" s="15">
        <v>7897801300872</v>
      </c>
      <c r="N593" s="6" t="s">
        <v>20</v>
      </c>
      <c r="O593" s="6" t="s">
        <v>20</v>
      </c>
      <c r="P593" s="6" t="s">
        <v>20</v>
      </c>
      <c r="Q593" s="6">
        <v>0.2</v>
      </c>
      <c r="R593" s="6">
        <v>7.0000000000000007E-2</v>
      </c>
      <c r="S593" s="6">
        <v>0.25</v>
      </c>
      <c r="T593" s="8">
        <v>12</v>
      </c>
      <c r="U593" s="5" t="s">
        <v>994</v>
      </c>
      <c r="V593" s="89">
        <v>0</v>
      </c>
      <c r="W593" s="15">
        <v>17897801300879</v>
      </c>
      <c r="X593" s="6">
        <v>0.45</v>
      </c>
      <c r="Y593" s="6">
        <v>0.22</v>
      </c>
      <c r="Z593" s="6">
        <v>0.65</v>
      </c>
      <c r="AA593" s="6">
        <f t="shared" si="30"/>
        <v>6.4350000000000004E-2</v>
      </c>
      <c r="AB593" s="8">
        <v>240</v>
      </c>
      <c r="AC593" s="15">
        <v>27897801300876</v>
      </c>
      <c r="AD593" s="4" t="s">
        <v>992</v>
      </c>
    </row>
    <row r="594" spans="2:30" x14ac:dyDescent="0.35">
      <c r="B594" s="14">
        <v>1145</v>
      </c>
      <c r="C594" s="4" t="s">
        <v>601</v>
      </c>
      <c r="D594" s="4" t="s">
        <v>2388</v>
      </c>
      <c r="E594" s="4" t="s">
        <v>2914</v>
      </c>
      <c r="F594" s="4" t="s">
        <v>85</v>
      </c>
      <c r="G594" s="4" t="s">
        <v>993</v>
      </c>
      <c r="H594" s="6">
        <v>9.2700000000000005E-2</v>
      </c>
      <c r="I594" s="8">
        <v>190</v>
      </c>
      <c r="J594" s="8">
        <v>40</v>
      </c>
      <c r="K594" s="8">
        <v>40</v>
      </c>
      <c r="L594" s="8">
        <f t="shared" si="29"/>
        <v>304000</v>
      </c>
      <c r="M594" s="15">
        <v>7897801312790</v>
      </c>
      <c r="N594" s="6" t="s">
        <v>20</v>
      </c>
      <c r="O594" s="6" t="s">
        <v>20</v>
      </c>
      <c r="P594" s="6" t="s">
        <v>20</v>
      </c>
      <c r="Q594" s="6">
        <v>0.16</v>
      </c>
      <c r="R594" s="6">
        <v>0.09</v>
      </c>
      <c r="S594" s="6">
        <v>0.3</v>
      </c>
      <c r="T594" s="8">
        <v>6</v>
      </c>
      <c r="U594" s="5" t="s">
        <v>994</v>
      </c>
      <c r="V594" s="89">
        <v>0</v>
      </c>
      <c r="W594" s="15">
        <v>17897801312797</v>
      </c>
      <c r="X594" s="6">
        <v>0.46</v>
      </c>
      <c r="Y594" s="6">
        <v>0.23</v>
      </c>
      <c r="Z594" s="6">
        <v>0.68</v>
      </c>
      <c r="AA594" s="6">
        <f t="shared" si="30"/>
        <v>7.1944000000000008E-2</v>
      </c>
      <c r="AB594" s="8">
        <v>150</v>
      </c>
      <c r="AC594" s="15">
        <v>27897801312794</v>
      </c>
      <c r="AD594" s="4" t="s">
        <v>992</v>
      </c>
    </row>
    <row r="595" spans="2:30" x14ac:dyDescent="0.35">
      <c r="B595" s="14">
        <v>1146</v>
      </c>
      <c r="C595" s="4" t="s">
        <v>602</v>
      </c>
      <c r="D595" s="4" t="s">
        <v>2388</v>
      </c>
      <c r="E595" s="4" t="s">
        <v>2914</v>
      </c>
      <c r="F595" s="4" t="s">
        <v>85</v>
      </c>
      <c r="G595" s="4" t="s">
        <v>993</v>
      </c>
      <c r="H595" s="6">
        <v>0.1507</v>
      </c>
      <c r="I595" s="8">
        <v>240</v>
      </c>
      <c r="J595" s="8">
        <v>140</v>
      </c>
      <c r="K595" s="8">
        <v>50</v>
      </c>
      <c r="L595" s="8">
        <f t="shared" si="29"/>
        <v>1680000</v>
      </c>
      <c r="M595" s="15">
        <v>7897801313629</v>
      </c>
      <c r="N595" s="6" t="s">
        <v>20</v>
      </c>
      <c r="O595" s="6" t="s">
        <v>20</v>
      </c>
      <c r="P595" s="6" t="s">
        <v>20</v>
      </c>
      <c r="Q595" s="6">
        <v>0.09</v>
      </c>
      <c r="R595" s="6">
        <v>0.25</v>
      </c>
      <c r="S595" s="6">
        <v>0.2</v>
      </c>
      <c r="T595" s="8">
        <v>5</v>
      </c>
      <c r="U595" s="5" t="s">
        <v>994</v>
      </c>
      <c r="V595" s="89">
        <v>0</v>
      </c>
      <c r="W595" s="15">
        <v>17897801313626</v>
      </c>
      <c r="X595" s="6">
        <v>0.21</v>
      </c>
      <c r="Y595" s="6">
        <v>0.65</v>
      </c>
      <c r="Z595" s="6">
        <v>0.5</v>
      </c>
      <c r="AA595" s="6">
        <f t="shared" si="30"/>
        <v>6.8250000000000005E-2</v>
      </c>
      <c r="AB595" s="8">
        <v>100</v>
      </c>
      <c r="AC595" s="15">
        <v>27897801313623</v>
      </c>
      <c r="AD595" s="4" t="s">
        <v>992</v>
      </c>
    </row>
    <row r="596" spans="2:30" x14ac:dyDescent="0.35">
      <c r="B596" s="14">
        <v>1151</v>
      </c>
      <c r="C596" s="4" t="s">
        <v>603</v>
      </c>
      <c r="D596" s="4" t="s">
        <v>2388</v>
      </c>
      <c r="E596" s="4" t="s">
        <v>2914</v>
      </c>
      <c r="F596" s="4" t="s">
        <v>85</v>
      </c>
      <c r="G596" s="4" t="s">
        <v>993</v>
      </c>
      <c r="H596" s="6">
        <v>2.7099999999999999E-2</v>
      </c>
      <c r="I596" s="8">
        <v>100</v>
      </c>
      <c r="J596" s="8">
        <v>22</v>
      </c>
      <c r="K596" s="8">
        <v>22</v>
      </c>
      <c r="L596" s="8">
        <f t="shared" si="29"/>
        <v>48400</v>
      </c>
      <c r="M596" s="15">
        <v>7897801300889</v>
      </c>
      <c r="N596" s="6" t="s">
        <v>20</v>
      </c>
      <c r="O596" s="6" t="s">
        <v>20</v>
      </c>
      <c r="P596" s="6" t="s">
        <v>20</v>
      </c>
      <c r="Q596" s="6">
        <v>0.23</v>
      </c>
      <c r="R596" s="6">
        <v>0.05</v>
      </c>
      <c r="S596" s="6">
        <v>0.23</v>
      </c>
      <c r="T596" s="8">
        <v>24</v>
      </c>
      <c r="U596" s="5" t="s">
        <v>994</v>
      </c>
      <c r="V596" s="89">
        <v>0</v>
      </c>
      <c r="W596" s="15">
        <v>17897801300886</v>
      </c>
      <c r="X596" s="6">
        <v>0.49</v>
      </c>
      <c r="Y596" s="6">
        <v>0.19</v>
      </c>
      <c r="Z596" s="6">
        <v>0.72</v>
      </c>
      <c r="AA596" s="6">
        <f t="shared" si="30"/>
        <v>6.7031999999999994E-2</v>
      </c>
      <c r="AB596" s="8">
        <v>720</v>
      </c>
      <c r="AC596" s="15">
        <v>27897801300883</v>
      </c>
      <c r="AD596" s="4" t="s">
        <v>992</v>
      </c>
    </row>
    <row r="597" spans="2:30" x14ac:dyDescent="0.35">
      <c r="B597" s="14">
        <v>1152</v>
      </c>
      <c r="C597" s="4" t="s">
        <v>604</v>
      </c>
      <c r="D597" s="4" t="s">
        <v>2388</v>
      </c>
      <c r="E597" s="4" t="s">
        <v>2914</v>
      </c>
      <c r="F597" s="4" t="s">
        <v>85</v>
      </c>
      <c r="G597" s="4" t="s">
        <v>993</v>
      </c>
      <c r="H597" s="6">
        <v>4.6100000000000002E-2</v>
      </c>
      <c r="I597" s="8">
        <v>115</v>
      </c>
      <c r="J597" s="8">
        <v>27</v>
      </c>
      <c r="K597" s="8">
        <v>27</v>
      </c>
      <c r="L597" s="8">
        <f t="shared" si="29"/>
        <v>83835</v>
      </c>
      <c r="M597" s="15">
        <v>7897801300896</v>
      </c>
      <c r="N597" s="6" t="s">
        <v>20</v>
      </c>
      <c r="O597" s="6" t="s">
        <v>20</v>
      </c>
      <c r="P597" s="6" t="s">
        <v>20</v>
      </c>
      <c r="Q597" s="6">
        <v>0.23</v>
      </c>
      <c r="R597" s="6">
        <v>0.08</v>
      </c>
      <c r="S597" s="6">
        <v>0.28999999999999998</v>
      </c>
      <c r="T597" s="8">
        <v>24</v>
      </c>
      <c r="U597" s="5" t="s">
        <v>994</v>
      </c>
      <c r="V597" s="89">
        <v>0</v>
      </c>
      <c r="W597" s="15">
        <v>17897801300893</v>
      </c>
      <c r="X597" s="6">
        <v>0.5</v>
      </c>
      <c r="Y597" s="6">
        <v>0.2</v>
      </c>
      <c r="Z597" s="6">
        <v>0.75</v>
      </c>
      <c r="AA597" s="6">
        <f t="shared" si="30"/>
        <v>7.5000000000000011E-2</v>
      </c>
      <c r="AB597" s="8">
        <v>360</v>
      </c>
      <c r="AC597" s="15">
        <v>27897801300890</v>
      </c>
      <c r="AD597" s="4" t="s">
        <v>992</v>
      </c>
    </row>
    <row r="598" spans="2:30" x14ac:dyDescent="0.35">
      <c r="B598" s="14">
        <v>1153</v>
      </c>
      <c r="C598" s="4" t="s">
        <v>605</v>
      </c>
      <c r="D598" s="4" t="s">
        <v>2388</v>
      </c>
      <c r="E598" s="4" t="s">
        <v>2914</v>
      </c>
      <c r="F598" s="4" t="s">
        <v>85</v>
      </c>
      <c r="G598" s="4" t="s">
        <v>993</v>
      </c>
      <c r="H598" s="6">
        <v>6.8400000000000002E-2</v>
      </c>
      <c r="I598" s="8">
        <v>142</v>
      </c>
      <c r="J598" s="8">
        <v>34</v>
      </c>
      <c r="K598" s="8">
        <v>34</v>
      </c>
      <c r="L598" s="8">
        <f t="shared" si="29"/>
        <v>164152</v>
      </c>
      <c r="M598" s="15">
        <v>7897801300902</v>
      </c>
      <c r="N598" s="6" t="s">
        <v>20</v>
      </c>
      <c r="O598" s="6" t="s">
        <v>20</v>
      </c>
      <c r="P598" s="6" t="s">
        <v>20</v>
      </c>
      <c r="Q598" s="6">
        <v>0.21</v>
      </c>
      <c r="R598" s="6">
        <v>7.0000000000000007E-2</v>
      </c>
      <c r="S598" s="6">
        <v>0.28000000000000003</v>
      </c>
      <c r="T598" s="8">
        <v>12</v>
      </c>
      <c r="U598" s="5" t="s">
        <v>994</v>
      </c>
      <c r="V598" s="89">
        <v>0</v>
      </c>
      <c r="W598" s="15">
        <v>17897801300909</v>
      </c>
      <c r="X598" s="6">
        <v>0.45</v>
      </c>
      <c r="Y598" s="6">
        <v>0.22</v>
      </c>
      <c r="Z598" s="6">
        <v>0.7</v>
      </c>
      <c r="AA598" s="6">
        <f t="shared" si="30"/>
        <v>6.93E-2</v>
      </c>
      <c r="AB598" s="8">
        <v>240</v>
      </c>
      <c r="AC598" s="15">
        <v>27897801300906</v>
      </c>
      <c r="AD598" s="4" t="s">
        <v>992</v>
      </c>
    </row>
    <row r="599" spans="2:30" x14ac:dyDescent="0.35">
      <c r="B599" s="18">
        <v>1154</v>
      </c>
      <c r="C599" s="24" t="s">
        <v>2435</v>
      </c>
      <c r="D599" s="4" t="s">
        <v>2388</v>
      </c>
      <c r="E599" s="4" t="s">
        <v>2914</v>
      </c>
      <c r="F599" s="4" t="s">
        <v>85</v>
      </c>
      <c r="G599" s="4" t="s">
        <v>993</v>
      </c>
      <c r="H599" s="6">
        <v>0.14649999999999999</v>
      </c>
      <c r="I599" s="8">
        <v>160</v>
      </c>
      <c r="J599" s="8">
        <v>50</v>
      </c>
      <c r="K599" s="8">
        <v>50</v>
      </c>
      <c r="L599" s="8">
        <v>400000</v>
      </c>
      <c r="M599" s="15">
        <v>7897801318150</v>
      </c>
      <c r="N599" s="6" t="s">
        <v>20</v>
      </c>
      <c r="O599" s="6" t="s">
        <v>20</v>
      </c>
      <c r="P599" s="6" t="s">
        <v>20</v>
      </c>
      <c r="Q599" s="6">
        <v>0.16</v>
      </c>
      <c r="R599" s="6">
        <v>0.09</v>
      </c>
      <c r="S599" s="6">
        <v>0.3</v>
      </c>
      <c r="T599" s="8">
        <v>5</v>
      </c>
      <c r="U599" s="5" t="s">
        <v>994</v>
      </c>
      <c r="V599" s="89">
        <v>0</v>
      </c>
      <c r="W599" s="15">
        <v>17897801318157</v>
      </c>
      <c r="X599" s="6">
        <v>0.46</v>
      </c>
      <c r="Y599" s="6">
        <v>0.23</v>
      </c>
      <c r="Z599" s="6">
        <v>0.68</v>
      </c>
      <c r="AA599" s="6">
        <v>7.1943999999999994E-2</v>
      </c>
      <c r="AB599" s="8">
        <v>40</v>
      </c>
      <c r="AC599" s="15">
        <v>27897801318154</v>
      </c>
      <c r="AD599" s="4" t="s">
        <v>992</v>
      </c>
    </row>
    <row r="600" spans="2:30" ht="15" customHeight="1" x14ac:dyDescent="0.35">
      <c r="B600" s="14">
        <v>1155</v>
      </c>
      <c r="C600" s="4" t="s">
        <v>606</v>
      </c>
      <c r="D600" s="4" t="s">
        <v>2388</v>
      </c>
      <c r="E600" s="4" t="s">
        <v>2914</v>
      </c>
      <c r="F600" s="4" t="s">
        <v>85</v>
      </c>
      <c r="G600" s="4" t="s">
        <v>1012</v>
      </c>
      <c r="H600" s="6">
        <v>6.8000000000000005E-2</v>
      </c>
      <c r="I600" s="8">
        <v>51</v>
      </c>
      <c r="J600" s="8">
        <v>21.45</v>
      </c>
      <c r="K600" s="8">
        <v>21.45</v>
      </c>
      <c r="L600" s="8">
        <f t="shared" ref="L600:L608" si="31">J600*I600*K600</f>
        <v>23465.227500000001</v>
      </c>
      <c r="M600" s="15">
        <v>7897801318112</v>
      </c>
      <c r="N600" s="6" t="s">
        <v>20</v>
      </c>
      <c r="O600" s="6" t="s">
        <v>20</v>
      </c>
      <c r="P600" s="6" t="s">
        <v>20</v>
      </c>
      <c r="Q600" s="6">
        <v>0</v>
      </c>
      <c r="R600" s="6">
        <v>0</v>
      </c>
      <c r="S600" s="6">
        <v>0</v>
      </c>
      <c r="T600" s="8">
        <v>5</v>
      </c>
      <c r="U600" s="5" t="s">
        <v>994</v>
      </c>
      <c r="V600" s="89">
        <v>0</v>
      </c>
      <c r="W600" s="15">
        <v>17897801318119</v>
      </c>
      <c r="X600" s="6">
        <v>0.49</v>
      </c>
      <c r="Y600" s="6">
        <v>0.16</v>
      </c>
      <c r="Z600" s="6">
        <v>0.72</v>
      </c>
      <c r="AA600" s="6">
        <f t="shared" ref="AA600:AA608" si="32">Y600*X600*Z600</f>
        <v>5.6447999999999998E-2</v>
      </c>
      <c r="AB600" s="8">
        <v>40</v>
      </c>
      <c r="AC600" s="15">
        <v>27897801318116</v>
      </c>
      <c r="AD600" s="4" t="s">
        <v>992</v>
      </c>
    </row>
    <row r="601" spans="2:30" ht="15" customHeight="1" x14ac:dyDescent="0.35">
      <c r="B601" s="14">
        <v>1156</v>
      </c>
      <c r="C601" s="4" t="s">
        <v>607</v>
      </c>
      <c r="D601" s="4" t="s">
        <v>2388</v>
      </c>
      <c r="E601" s="4" t="s">
        <v>2914</v>
      </c>
      <c r="F601" s="4" t="s">
        <v>85</v>
      </c>
      <c r="G601" s="4" t="s">
        <v>993</v>
      </c>
      <c r="H601" s="6">
        <v>0.38500000000000001</v>
      </c>
      <c r="I601" s="8">
        <v>60</v>
      </c>
      <c r="J601" s="8">
        <v>210</v>
      </c>
      <c r="K601" s="8">
        <v>210</v>
      </c>
      <c r="L601" s="8">
        <f t="shared" si="31"/>
        <v>2646000</v>
      </c>
      <c r="M601" s="15">
        <v>7897801316651</v>
      </c>
      <c r="N601" s="6" t="s">
        <v>20</v>
      </c>
      <c r="O601" s="6" t="s">
        <v>20</v>
      </c>
      <c r="P601" s="6" t="s">
        <v>20</v>
      </c>
      <c r="Q601" s="6">
        <v>0.33</v>
      </c>
      <c r="R601" s="6">
        <v>0.12</v>
      </c>
      <c r="S601" s="6">
        <v>0.45</v>
      </c>
      <c r="T601" s="8">
        <v>5</v>
      </c>
      <c r="U601" s="5" t="s">
        <v>994</v>
      </c>
      <c r="V601" s="89">
        <v>0</v>
      </c>
      <c r="W601" s="15">
        <v>17897801316658</v>
      </c>
      <c r="X601" s="6">
        <v>0.45</v>
      </c>
      <c r="Y601" s="6">
        <v>0.25</v>
      </c>
      <c r="Z601" s="6">
        <v>0.6</v>
      </c>
      <c r="AA601" s="6">
        <f t="shared" si="32"/>
        <v>6.7500000000000004E-2</v>
      </c>
      <c r="AB601" s="8">
        <v>35</v>
      </c>
      <c r="AC601" s="15">
        <v>27897801316655</v>
      </c>
      <c r="AD601" s="4" t="s">
        <v>992</v>
      </c>
    </row>
    <row r="602" spans="2:30" ht="15" customHeight="1" x14ac:dyDescent="0.35">
      <c r="B602" s="14">
        <v>1157</v>
      </c>
      <c r="C602" s="4" t="s">
        <v>608</v>
      </c>
      <c r="D602" s="4" t="s">
        <v>2388</v>
      </c>
      <c r="E602" s="4" t="s">
        <v>2914</v>
      </c>
      <c r="F602" s="4" t="s">
        <v>85</v>
      </c>
      <c r="G602" s="4" t="s">
        <v>993</v>
      </c>
      <c r="H602" s="6">
        <v>0.47</v>
      </c>
      <c r="I602" s="8">
        <v>750</v>
      </c>
      <c r="J602" s="8">
        <v>240</v>
      </c>
      <c r="K602" s="8">
        <v>240</v>
      </c>
      <c r="L602" s="8">
        <f t="shared" si="31"/>
        <v>43200000</v>
      </c>
      <c r="M602" s="15">
        <v>7897801316668</v>
      </c>
      <c r="N602" s="6" t="s">
        <v>20</v>
      </c>
      <c r="O602" s="6" t="s">
        <v>20</v>
      </c>
      <c r="P602" s="6" t="s">
        <v>20</v>
      </c>
      <c r="Q602" s="6">
        <v>0.35</v>
      </c>
      <c r="R602" s="6">
        <v>0.14000000000000001</v>
      </c>
      <c r="S602" s="6">
        <v>0.45</v>
      </c>
      <c r="T602" s="8">
        <v>5</v>
      </c>
      <c r="U602" s="5" t="s">
        <v>994</v>
      </c>
      <c r="V602" s="89">
        <v>0</v>
      </c>
      <c r="W602" s="15">
        <v>17897801316665</v>
      </c>
      <c r="X602" s="6">
        <v>0.5</v>
      </c>
      <c r="Y602" s="6">
        <v>0.25</v>
      </c>
      <c r="Z602" s="6">
        <v>0.7</v>
      </c>
      <c r="AA602" s="6">
        <f t="shared" si="32"/>
        <v>8.7499999999999994E-2</v>
      </c>
      <c r="AB602" s="8">
        <v>0</v>
      </c>
      <c r="AC602" s="15">
        <v>27897801316662</v>
      </c>
      <c r="AD602" s="4" t="s">
        <v>992</v>
      </c>
    </row>
    <row r="603" spans="2:30" ht="15" customHeight="1" x14ac:dyDescent="0.35">
      <c r="B603" s="14">
        <v>1158</v>
      </c>
      <c r="C603" s="4" t="s">
        <v>609</v>
      </c>
      <c r="D603" s="4" t="s">
        <v>2388</v>
      </c>
      <c r="E603" s="4" t="s">
        <v>2914</v>
      </c>
      <c r="F603" s="4" t="s">
        <v>85</v>
      </c>
      <c r="G603" s="4" t="s">
        <v>993</v>
      </c>
      <c r="H603" s="6">
        <v>0.65500000000000003</v>
      </c>
      <c r="I603" s="8">
        <v>220</v>
      </c>
      <c r="J603" s="8">
        <v>57</v>
      </c>
      <c r="K603" s="8">
        <v>220</v>
      </c>
      <c r="L603" s="8">
        <f t="shared" si="31"/>
        <v>2758800</v>
      </c>
      <c r="M603" s="15">
        <v>7897801316644</v>
      </c>
      <c r="N603" s="6" t="s">
        <v>20</v>
      </c>
      <c r="O603" s="6" t="s">
        <v>20</v>
      </c>
      <c r="P603" s="6" t="s">
        <v>20</v>
      </c>
      <c r="Q603" s="6">
        <v>0.28000000000000003</v>
      </c>
      <c r="R603" s="6">
        <v>9.5000000000000001E-2</v>
      </c>
      <c r="S603" s="6">
        <v>0.28000000000000003</v>
      </c>
      <c r="T603" s="8">
        <v>1</v>
      </c>
      <c r="U603" s="5" t="s">
        <v>994</v>
      </c>
      <c r="V603" s="89">
        <v>0</v>
      </c>
      <c r="W603" s="15">
        <v>17897801316641</v>
      </c>
      <c r="X603" s="6">
        <v>0.55000000000000004</v>
      </c>
      <c r="Y603" s="6">
        <v>0.22</v>
      </c>
      <c r="Z603" s="6">
        <v>0.7</v>
      </c>
      <c r="AA603" s="6">
        <f t="shared" si="32"/>
        <v>8.4699999999999998E-2</v>
      </c>
      <c r="AB603" s="8">
        <v>12</v>
      </c>
      <c r="AC603" s="15">
        <v>27897801316648</v>
      </c>
      <c r="AD603" s="4" t="s">
        <v>992</v>
      </c>
    </row>
    <row r="604" spans="2:30" ht="15" customHeight="1" x14ac:dyDescent="0.35">
      <c r="B604" s="14">
        <v>1159</v>
      </c>
      <c r="C604" s="4" t="s">
        <v>610</v>
      </c>
      <c r="D604" s="4" t="s">
        <v>2388</v>
      </c>
      <c r="E604" s="4" t="s">
        <v>2914</v>
      </c>
      <c r="F604" s="4" t="s">
        <v>85</v>
      </c>
      <c r="G604" s="4" t="s">
        <v>993</v>
      </c>
      <c r="H604" s="6">
        <v>1.1000000000000001</v>
      </c>
      <c r="I604" s="8">
        <v>350</v>
      </c>
      <c r="J604" s="8">
        <v>350</v>
      </c>
      <c r="K604" s="8">
        <v>110</v>
      </c>
      <c r="L604" s="8">
        <f t="shared" si="31"/>
        <v>13475000</v>
      </c>
      <c r="M604" s="15">
        <v>7897801316637</v>
      </c>
      <c r="N604" s="6" t="s">
        <v>20</v>
      </c>
      <c r="O604" s="6" t="s">
        <v>20</v>
      </c>
      <c r="P604" s="6" t="s">
        <v>20</v>
      </c>
      <c r="Q604" s="6">
        <v>0.31</v>
      </c>
      <c r="R604" s="6">
        <v>0.115</v>
      </c>
      <c r="S604" s="6">
        <v>0.31</v>
      </c>
      <c r="T604" s="8">
        <v>1</v>
      </c>
      <c r="U604" s="5" t="s">
        <v>994</v>
      </c>
      <c r="V604" s="89">
        <v>0</v>
      </c>
      <c r="W604" s="15">
        <v>17897801316634</v>
      </c>
      <c r="X604" s="6">
        <v>0.6</v>
      </c>
      <c r="Y604" s="6">
        <v>0.3</v>
      </c>
      <c r="Z604" s="6">
        <v>0.8</v>
      </c>
      <c r="AA604" s="6">
        <f t="shared" si="32"/>
        <v>0.14399999999999999</v>
      </c>
      <c r="AB604" s="8">
        <v>10</v>
      </c>
      <c r="AC604" s="15">
        <v>27897801316631</v>
      </c>
      <c r="AD604" s="4" t="s">
        <v>992</v>
      </c>
    </row>
    <row r="605" spans="2:30" ht="15" customHeight="1" x14ac:dyDescent="0.35">
      <c r="B605" s="14">
        <v>1160</v>
      </c>
      <c r="C605" s="4" t="s">
        <v>611</v>
      </c>
      <c r="D605" s="4" t="s">
        <v>2388</v>
      </c>
      <c r="E605" s="4" t="s">
        <v>2914</v>
      </c>
      <c r="F605" s="4" t="s">
        <v>85</v>
      </c>
      <c r="G605" s="4" t="s">
        <v>993</v>
      </c>
      <c r="H605" s="6">
        <v>6.4600000000000005E-2</v>
      </c>
      <c r="I605" s="8">
        <v>180</v>
      </c>
      <c r="J605" s="8">
        <v>27</v>
      </c>
      <c r="K605" s="8">
        <v>27</v>
      </c>
      <c r="L605" s="8">
        <f t="shared" si="31"/>
        <v>131220</v>
      </c>
      <c r="M605" s="15">
        <v>7897801300919</v>
      </c>
      <c r="N605" s="6" t="s">
        <v>20</v>
      </c>
      <c r="O605" s="6" t="s">
        <v>20</v>
      </c>
      <c r="P605" s="6" t="s">
        <v>20</v>
      </c>
      <c r="Q605" s="6">
        <v>0.21</v>
      </c>
      <c r="R605" s="6">
        <v>7.4999999999999997E-2</v>
      </c>
      <c r="S605" s="6">
        <v>0.3</v>
      </c>
      <c r="T605" s="8">
        <v>10</v>
      </c>
      <c r="U605" s="5" t="s">
        <v>994</v>
      </c>
      <c r="V605" s="89">
        <v>0</v>
      </c>
      <c r="W605" s="15">
        <v>17897801300916</v>
      </c>
      <c r="X605" s="6">
        <v>0.5</v>
      </c>
      <c r="Y605" s="6">
        <v>0.25</v>
      </c>
      <c r="Z605" s="6">
        <v>0.72</v>
      </c>
      <c r="AA605" s="6">
        <f t="shared" si="32"/>
        <v>0.09</v>
      </c>
      <c r="AB605" s="8">
        <v>250</v>
      </c>
      <c r="AC605" s="15">
        <v>27897801300913</v>
      </c>
      <c r="AD605" s="4" t="s">
        <v>992</v>
      </c>
    </row>
    <row r="606" spans="2:30" ht="15" customHeight="1" x14ac:dyDescent="0.35">
      <c r="B606" s="14">
        <v>1161</v>
      </c>
      <c r="C606" s="4" t="s">
        <v>612</v>
      </c>
      <c r="D606" s="4" t="s">
        <v>2388</v>
      </c>
      <c r="E606" s="4" t="s">
        <v>2914</v>
      </c>
      <c r="F606" s="4" t="s">
        <v>85</v>
      </c>
      <c r="G606" s="4" t="s">
        <v>993</v>
      </c>
      <c r="H606" s="6">
        <v>0.1061</v>
      </c>
      <c r="I606" s="8">
        <v>198</v>
      </c>
      <c r="J606" s="8">
        <v>34</v>
      </c>
      <c r="K606" s="8">
        <v>34</v>
      </c>
      <c r="L606" s="8">
        <f t="shared" si="31"/>
        <v>228888</v>
      </c>
      <c r="M606" s="15">
        <v>7897801300926</v>
      </c>
      <c r="N606" s="6" t="s">
        <v>20</v>
      </c>
      <c r="O606" s="6" t="s">
        <v>20</v>
      </c>
      <c r="P606" s="6" t="s">
        <v>20</v>
      </c>
      <c r="Q606" s="6">
        <v>0.23</v>
      </c>
      <c r="R606" s="6">
        <v>0.12</v>
      </c>
      <c r="S606" s="6">
        <v>0.26</v>
      </c>
      <c r="T606" s="8">
        <v>6</v>
      </c>
      <c r="U606" s="5" t="s">
        <v>994</v>
      </c>
      <c r="V606" s="89">
        <v>0</v>
      </c>
      <c r="W606" s="15">
        <v>17897801300923</v>
      </c>
      <c r="X606" s="6">
        <v>0.52</v>
      </c>
      <c r="Y606" s="6">
        <v>0.22</v>
      </c>
      <c r="Z606" s="6">
        <v>0.67</v>
      </c>
      <c r="AA606" s="6">
        <f t="shared" si="32"/>
        <v>7.6648000000000008E-2</v>
      </c>
      <c r="AB606" s="8">
        <v>150</v>
      </c>
      <c r="AC606" s="15">
        <v>27897801300920</v>
      </c>
      <c r="AD606" s="4" t="s">
        <v>992</v>
      </c>
    </row>
    <row r="607" spans="2:30" ht="15" customHeight="1" x14ac:dyDescent="0.35">
      <c r="B607" s="14">
        <v>1162</v>
      </c>
      <c r="C607" s="4" t="s">
        <v>613</v>
      </c>
      <c r="D607" s="4" t="s">
        <v>2388</v>
      </c>
      <c r="E607" s="4" t="s">
        <v>2914</v>
      </c>
      <c r="F607" s="4" t="s">
        <v>85</v>
      </c>
      <c r="G607" s="4" t="s">
        <v>993</v>
      </c>
      <c r="H607" s="6">
        <v>9.1300000000000006E-2</v>
      </c>
      <c r="I607" s="8">
        <v>190</v>
      </c>
      <c r="J607" s="8">
        <v>25</v>
      </c>
      <c r="K607" s="8">
        <v>25</v>
      </c>
      <c r="L607" s="8">
        <f t="shared" si="31"/>
        <v>118750</v>
      </c>
      <c r="M607" s="15">
        <v>7897801300933</v>
      </c>
      <c r="N607" s="6" t="s">
        <v>20</v>
      </c>
      <c r="O607" s="6" t="s">
        <v>20</v>
      </c>
      <c r="P607" s="6" t="s">
        <v>20</v>
      </c>
      <c r="Q607" s="6">
        <v>0.28000000000000003</v>
      </c>
      <c r="R607" s="6">
        <v>7.0000000000000007E-2</v>
      </c>
      <c r="S607" s="6">
        <v>0.34</v>
      </c>
      <c r="T607" s="8">
        <v>10</v>
      </c>
      <c r="U607" s="5" t="s">
        <v>994</v>
      </c>
      <c r="V607" s="89">
        <v>0</v>
      </c>
      <c r="W607" s="15">
        <v>17897801300930</v>
      </c>
      <c r="X607" s="6">
        <v>0.55000000000000004</v>
      </c>
      <c r="Y607" s="6">
        <v>0.38</v>
      </c>
      <c r="Z607" s="6">
        <v>0.77</v>
      </c>
      <c r="AA607" s="6">
        <f t="shared" si="32"/>
        <v>0.16093000000000002</v>
      </c>
      <c r="AB607" s="8">
        <v>180</v>
      </c>
      <c r="AC607" s="15">
        <v>27897801300937</v>
      </c>
      <c r="AD607" s="4" t="s">
        <v>992</v>
      </c>
    </row>
    <row r="608" spans="2:30" ht="15" customHeight="1" x14ac:dyDescent="0.35">
      <c r="B608" s="14">
        <v>1163</v>
      </c>
      <c r="C608" s="4" t="s">
        <v>614</v>
      </c>
      <c r="D608" s="4" t="s">
        <v>2388</v>
      </c>
      <c r="E608" s="4" t="s">
        <v>2914</v>
      </c>
      <c r="F608" s="4" t="s">
        <v>85</v>
      </c>
      <c r="G608" s="4" t="s">
        <v>993</v>
      </c>
      <c r="H608" s="6">
        <v>0.1376</v>
      </c>
      <c r="I608" s="8">
        <v>205</v>
      </c>
      <c r="J608" s="8">
        <v>27</v>
      </c>
      <c r="K608" s="8">
        <v>27</v>
      </c>
      <c r="L608" s="8">
        <f t="shared" si="31"/>
        <v>149445</v>
      </c>
      <c r="M608" s="15">
        <v>7897801300940</v>
      </c>
      <c r="N608" s="6" t="s">
        <v>20</v>
      </c>
      <c r="O608" s="6" t="s">
        <v>20</v>
      </c>
      <c r="P608" s="6" t="s">
        <v>20</v>
      </c>
      <c r="Q608" s="6">
        <v>0.26</v>
      </c>
      <c r="R608" s="6">
        <v>0.1</v>
      </c>
      <c r="S608" s="6">
        <v>0.3</v>
      </c>
      <c r="T608" s="8">
        <v>6</v>
      </c>
      <c r="U608" s="5" t="s">
        <v>994</v>
      </c>
      <c r="V608" s="89">
        <v>0</v>
      </c>
      <c r="W608" s="15">
        <v>17897801300947</v>
      </c>
      <c r="X608" s="6">
        <v>0.55000000000000004</v>
      </c>
      <c r="Y608" s="6">
        <v>0.35</v>
      </c>
      <c r="Z608" s="6">
        <v>0.65</v>
      </c>
      <c r="AA608" s="6">
        <f t="shared" si="32"/>
        <v>0.12512500000000001</v>
      </c>
      <c r="AB608" s="8">
        <v>120</v>
      </c>
      <c r="AC608" s="15">
        <v>27897801300944</v>
      </c>
      <c r="AD608" s="4" t="s">
        <v>992</v>
      </c>
    </row>
    <row r="609" spans="2:30" ht="15" customHeight="1" x14ac:dyDescent="0.35">
      <c r="B609" s="18">
        <v>1165</v>
      </c>
      <c r="C609" s="24" t="s">
        <v>2938</v>
      </c>
      <c r="D609" s="4" t="s">
        <v>2370</v>
      </c>
      <c r="E609" s="4" t="s">
        <v>2913</v>
      </c>
      <c r="F609" s="4" t="s">
        <v>85</v>
      </c>
      <c r="G609" s="4" t="s">
        <v>993</v>
      </c>
      <c r="H609" s="6">
        <v>3.1E-2</v>
      </c>
      <c r="I609" s="8">
        <v>64</v>
      </c>
      <c r="J609" s="8">
        <v>57</v>
      </c>
      <c r="K609" s="8">
        <v>64</v>
      </c>
      <c r="L609" s="8">
        <v>233472</v>
      </c>
      <c r="M609" s="15">
        <v>7897801318723</v>
      </c>
      <c r="N609" s="6" t="s">
        <v>20</v>
      </c>
      <c r="O609" s="6" t="s">
        <v>20</v>
      </c>
      <c r="P609" s="6" t="s">
        <v>20</v>
      </c>
      <c r="Q609" s="6">
        <v>0.16500000000000001</v>
      </c>
      <c r="R609" s="6">
        <v>6.4000000000000001E-2</v>
      </c>
      <c r="S609" s="6">
        <v>0.25</v>
      </c>
      <c r="T609" s="8">
        <v>10</v>
      </c>
      <c r="U609" s="5" t="s">
        <v>994</v>
      </c>
      <c r="V609" s="89">
        <v>0</v>
      </c>
      <c r="W609" s="15">
        <v>17897801318720</v>
      </c>
      <c r="X609" s="6">
        <v>0.42</v>
      </c>
      <c r="Y609" s="6">
        <v>0.17</v>
      </c>
      <c r="Z609" s="6">
        <v>0.5</v>
      </c>
      <c r="AA609" s="6">
        <v>3.5700000000000003E-2</v>
      </c>
      <c r="AB609" s="8">
        <v>120</v>
      </c>
      <c r="AC609" s="15">
        <v>27897801318727</v>
      </c>
      <c r="AD609" s="4" t="s">
        <v>992</v>
      </c>
    </row>
    <row r="610" spans="2:30" ht="15" customHeight="1" x14ac:dyDescent="0.35">
      <c r="B610" s="18">
        <v>1166</v>
      </c>
      <c r="C610" s="24" t="s">
        <v>2939</v>
      </c>
      <c r="D610" s="4" t="s">
        <v>2370</v>
      </c>
      <c r="E610" s="4" t="s">
        <v>2913</v>
      </c>
      <c r="F610" s="4" t="s">
        <v>85</v>
      </c>
      <c r="G610" s="4" t="s">
        <v>993</v>
      </c>
      <c r="H610" s="6">
        <v>4.87E-2</v>
      </c>
      <c r="I610" s="8">
        <v>85</v>
      </c>
      <c r="J610" s="8">
        <v>65</v>
      </c>
      <c r="K610" s="8">
        <v>85</v>
      </c>
      <c r="L610" s="8">
        <v>469625</v>
      </c>
      <c r="M610" s="15">
        <v>7897801318730</v>
      </c>
      <c r="N610" s="6" t="s">
        <v>20</v>
      </c>
      <c r="O610" s="6" t="s">
        <v>20</v>
      </c>
      <c r="P610" s="6" t="s">
        <v>20</v>
      </c>
      <c r="Q610" s="6">
        <v>0.17</v>
      </c>
      <c r="R610" s="6">
        <v>8.5000000000000006E-2</v>
      </c>
      <c r="S610" s="6">
        <v>0.2</v>
      </c>
      <c r="T610" s="8">
        <v>4</v>
      </c>
      <c r="U610" s="5" t="s">
        <v>994</v>
      </c>
      <c r="V610" s="89">
        <v>0</v>
      </c>
      <c r="W610" s="15">
        <v>17897801318737</v>
      </c>
      <c r="X610" s="6">
        <v>0.4</v>
      </c>
      <c r="Y610" s="6">
        <v>0.22</v>
      </c>
      <c r="Z610" s="6">
        <v>0.55000000000000004</v>
      </c>
      <c r="AA610" s="6">
        <v>4.8399999999999999E-2</v>
      </c>
      <c r="AB610" s="8">
        <v>64</v>
      </c>
      <c r="AC610" s="15">
        <v>27897801318734</v>
      </c>
      <c r="AD610" s="4" t="s">
        <v>992</v>
      </c>
    </row>
    <row r="611" spans="2:30" ht="15" customHeight="1" x14ac:dyDescent="0.35">
      <c r="B611" s="18">
        <v>1167</v>
      </c>
      <c r="C611" s="24" t="s">
        <v>2940</v>
      </c>
      <c r="D611" s="4" t="s">
        <v>2370</v>
      </c>
      <c r="E611" s="4" t="s">
        <v>2913</v>
      </c>
      <c r="F611" s="4" t="s">
        <v>85</v>
      </c>
      <c r="G611" s="4" t="s">
        <v>993</v>
      </c>
      <c r="H611" s="6">
        <v>0.10059999999999999</v>
      </c>
      <c r="I611" s="8">
        <v>115</v>
      </c>
      <c r="J611" s="8">
        <v>74</v>
      </c>
      <c r="K611" s="8">
        <v>115</v>
      </c>
      <c r="L611" s="8">
        <v>973728</v>
      </c>
      <c r="M611" s="15">
        <v>7897801318921</v>
      </c>
      <c r="N611" s="6" t="s">
        <v>20</v>
      </c>
      <c r="O611" s="6" t="s">
        <v>20</v>
      </c>
      <c r="P611" s="6" t="s">
        <v>20</v>
      </c>
      <c r="Q611" s="6">
        <v>0.18</v>
      </c>
      <c r="R611" s="6">
        <v>7.3499999999999996E-2</v>
      </c>
      <c r="S611" s="6">
        <v>0.25</v>
      </c>
      <c r="T611" s="8">
        <v>5</v>
      </c>
      <c r="U611" s="5" t="s">
        <v>994</v>
      </c>
      <c r="V611" s="89">
        <v>0</v>
      </c>
      <c r="W611" s="15">
        <v>17897801318928</v>
      </c>
      <c r="X611" s="6">
        <v>0.35</v>
      </c>
      <c r="Y611" s="6">
        <v>0.16500000000000001</v>
      </c>
      <c r="Z611" s="6">
        <v>0.57999999999999996</v>
      </c>
      <c r="AA611" s="6">
        <v>3.3500000000000002E-2</v>
      </c>
      <c r="AB611" s="8">
        <v>30</v>
      </c>
      <c r="AC611" s="15">
        <v>27897801318925</v>
      </c>
      <c r="AD611" s="4" t="s">
        <v>992</v>
      </c>
    </row>
    <row r="612" spans="2:30" ht="15" customHeight="1" x14ac:dyDescent="0.35">
      <c r="B612" s="18">
        <v>1168</v>
      </c>
      <c r="C612" s="24" t="s">
        <v>2943</v>
      </c>
      <c r="D612" s="4" t="s">
        <v>2370</v>
      </c>
      <c r="E612" s="4" t="s">
        <v>2913</v>
      </c>
      <c r="F612" s="4" t="s">
        <v>85</v>
      </c>
      <c r="G612" s="4" t="s">
        <v>993</v>
      </c>
      <c r="H612" s="6">
        <v>7.7200000000000005E-2</v>
      </c>
      <c r="I612" s="8">
        <v>165</v>
      </c>
      <c r="J612" s="8">
        <v>63</v>
      </c>
      <c r="K612" s="8">
        <v>165</v>
      </c>
      <c r="L612" s="8">
        <v>1715175</v>
      </c>
      <c r="M612" s="15">
        <v>7897801318938</v>
      </c>
      <c r="N612" s="6" t="s">
        <v>20</v>
      </c>
      <c r="O612" s="6" t="s">
        <v>20</v>
      </c>
      <c r="P612" s="6" t="s">
        <v>20</v>
      </c>
      <c r="Q612" s="6">
        <v>0.21</v>
      </c>
      <c r="R612" s="6">
        <v>6.3E-2</v>
      </c>
      <c r="S612" s="6">
        <v>0.32500000000000001</v>
      </c>
      <c r="T612" s="8">
        <v>4</v>
      </c>
      <c r="U612" s="5" t="s">
        <v>994</v>
      </c>
      <c r="V612" s="89">
        <v>0</v>
      </c>
      <c r="W612" s="15">
        <v>17897801318935</v>
      </c>
      <c r="X612" s="6">
        <v>0.43</v>
      </c>
      <c r="Y612" s="6">
        <v>0.28000000000000003</v>
      </c>
      <c r="Z612" s="6">
        <v>0.63</v>
      </c>
      <c r="AA612" s="6">
        <v>7.5899999999999995E-2</v>
      </c>
      <c r="AB612" s="8">
        <v>48</v>
      </c>
      <c r="AC612" s="15">
        <v>27897801318932</v>
      </c>
      <c r="AD612" s="4" t="s">
        <v>992</v>
      </c>
    </row>
    <row r="613" spans="2:30" ht="15" customHeight="1" x14ac:dyDescent="0.35">
      <c r="B613" s="18">
        <v>1169</v>
      </c>
      <c r="C613" s="24" t="s">
        <v>2944</v>
      </c>
      <c r="D613" s="4" t="s">
        <v>2370</v>
      </c>
      <c r="E613" s="4" t="s">
        <v>2913</v>
      </c>
      <c r="F613" s="4" t="s">
        <v>85</v>
      </c>
      <c r="G613" s="4" t="s">
        <v>993</v>
      </c>
      <c r="H613" s="6">
        <v>0.15</v>
      </c>
      <c r="I613" s="8">
        <v>215</v>
      </c>
      <c r="J613" s="8">
        <v>65</v>
      </c>
      <c r="K613" s="8">
        <v>215</v>
      </c>
      <c r="L613" s="8">
        <v>3004625</v>
      </c>
      <c r="M613" s="15">
        <v>7897801318945</v>
      </c>
      <c r="N613" s="6" t="s">
        <v>20</v>
      </c>
      <c r="O613" s="6" t="s">
        <v>20</v>
      </c>
      <c r="P613" s="6" t="s">
        <v>20</v>
      </c>
      <c r="Q613" s="6">
        <v>0.3</v>
      </c>
      <c r="R613" s="6">
        <v>6.5000000000000002E-2</v>
      </c>
      <c r="S613" s="6">
        <v>0.44</v>
      </c>
      <c r="T613" s="8">
        <v>4</v>
      </c>
      <c r="U613" s="5" t="s">
        <v>994</v>
      </c>
      <c r="V613" s="89">
        <v>0</v>
      </c>
      <c r="W613" s="15">
        <v>17897801318942</v>
      </c>
      <c r="X613" s="6">
        <v>0.5</v>
      </c>
      <c r="Y613" s="6">
        <v>0.185</v>
      </c>
      <c r="Z613" s="6">
        <v>0.59</v>
      </c>
      <c r="AA613" s="6">
        <v>5.4600000000000003E-2</v>
      </c>
      <c r="AB613" s="8">
        <v>24</v>
      </c>
      <c r="AC613" s="15">
        <v>27897801318949</v>
      </c>
      <c r="AD613" s="4" t="s">
        <v>992</v>
      </c>
    </row>
    <row r="614" spans="2:30" x14ac:dyDescent="0.35">
      <c r="B614" s="14">
        <v>1181</v>
      </c>
      <c r="C614" s="4" t="s">
        <v>615</v>
      </c>
      <c r="D614" s="4" t="s">
        <v>2388</v>
      </c>
      <c r="E614" s="4" t="s">
        <v>2914</v>
      </c>
      <c r="F614" s="4" t="s">
        <v>85</v>
      </c>
      <c r="G614" s="4" t="s">
        <v>993</v>
      </c>
      <c r="H614" s="6">
        <v>1.41E-2</v>
      </c>
      <c r="I614" s="8">
        <v>27</v>
      </c>
      <c r="J614" s="8">
        <v>37</v>
      </c>
      <c r="K614" s="8">
        <v>27</v>
      </c>
      <c r="L614" s="8">
        <f t="shared" ref="L614:L650" si="33">J614*I614*K614</f>
        <v>26973</v>
      </c>
      <c r="M614" s="15">
        <v>7897801301688</v>
      </c>
      <c r="N614" s="6" t="s">
        <v>20</v>
      </c>
      <c r="O614" s="6" t="s">
        <v>20</v>
      </c>
      <c r="P614" s="6" t="s">
        <v>20</v>
      </c>
      <c r="Q614" s="6">
        <v>0.16500000000000001</v>
      </c>
      <c r="R614" s="6">
        <v>0.06</v>
      </c>
      <c r="S614" s="6">
        <v>0.26</v>
      </c>
      <c r="T614" s="8">
        <v>50</v>
      </c>
      <c r="U614" s="5" t="s">
        <v>994</v>
      </c>
      <c r="V614" s="89">
        <v>0</v>
      </c>
      <c r="W614" s="15">
        <v>17897801301685</v>
      </c>
      <c r="X614" s="6">
        <v>0.48</v>
      </c>
      <c r="Y614" s="6">
        <v>0.21</v>
      </c>
      <c r="Z614" s="6">
        <v>0.69</v>
      </c>
      <c r="AA614" s="6">
        <f t="shared" ref="AA614:AA621" si="34">Y614*X614*Z614</f>
        <v>6.9551999999999989E-2</v>
      </c>
      <c r="AB614" s="8">
        <v>1500</v>
      </c>
      <c r="AC614" s="15">
        <v>27897801301682</v>
      </c>
      <c r="AD614" s="4" t="s">
        <v>992</v>
      </c>
    </row>
    <row r="615" spans="2:30" x14ac:dyDescent="0.35">
      <c r="B615" s="14">
        <v>1182</v>
      </c>
      <c r="C615" s="4" t="s">
        <v>616</v>
      </c>
      <c r="D615" s="4" t="s">
        <v>2388</v>
      </c>
      <c r="E615" s="4" t="s">
        <v>2914</v>
      </c>
      <c r="F615" s="4" t="s">
        <v>85</v>
      </c>
      <c r="G615" s="4" t="s">
        <v>993</v>
      </c>
      <c r="H615" s="6">
        <v>1.7000000000000001E-2</v>
      </c>
      <c r="I615" s="8">
        <v>32</v>
      </c>
      <c r="J615" s="8">
        <v>37</v>
      </c>
      <c r="K615" s="8">
        <v>32</v>
      </c>
      <c r="L615" s="8">
        <f t="shared" si="33"/>
        <v>37888</v>
      </c>
      <c r="M615" s="15">
        <v>7897801301503</v>
      </c>
      <c r="N615" s="6" t="s">
        <v>20</v>
      </c>
      <c r="O615" s="6" t="s">
        <v>20</v>
      </c>
      <c r="P615" s="6" t="s">
        <v>20</v>
      </c>
      <c r="Q615" s="6">
        <v>0.21</v>
      </c>
      <c r="R615" s="6">
        <v>0.05</v>
      </c>
      <c r="S615" s="6">
        <v>0.3</v>
      </c>
      <c r="T615" s="8">
        <v>50</v>
      </c>
      <c r="U615" s="5" t="s">
        <v>994</v>
      </c>
      <c r="V615" s="89">
        <v>0</v>
      </c>
      <c r="W615" s="15">
        <v>17897801301500</v>
      </c>
      <c r="X615" s="6">
        <v>0.5</v>
      </c>
      <c r="Y615" s="6">
        <v>0.22</v>
      </c>
      <c r="Z615" s="6">
        <v>0.7</v>
      </c>
      <c r="AA615" s="6">
        <f t="shared" si="34"/>
        <v>7.6999999999999999E-2</v>
      </c>
      <c r="AB615" s="8">
        <v>1200</v>
      </c>
      <c r="AC615" s="15">
        <v>27897801301507</v>
      </c>
      <c r="AD615" s="4" t="s">
        <v>992</v>
      </c>
    </row>
    <row r="616" spans="2:30" x14ac:dyDescent="0.35">
      <c r="B616" s="14">
        <v>1183</v>
      </c>
      <c r="C616" s="4" t="s">
        <v>617</v>
      </c>
      <c r="D616" s="4" t="s">
        <v>2388</v>
      </c>
      <c r="E616" s="4" t="s">
        <v>2914</v>
      </c>
      <c r="F616" s="4" t="s">
        <v>85</v>
      </c>
      <c r="G616" s="4" t="s">
        <v>993</v>
      </c>
      <c r="H616" s="6">
        <v>3.6499999999999998E-2</v>
      </c>
      <c r="I616" s="8">
        <v>42</v>
      </c>
      <c r="J616" s="8">
        <v>46</v>
      </c>
      <c r="K616" s="8">
        <v>42</v>
      </c>
      <c r="L616" s="8">
        <f t="shared" si="33"/>
        <v>81144</v>
      </c>
      <c r="M616" s="15">
        <v>7897801301664</v>
      </c>
      <c r="N616" s="6" t="s">
        <v>20</v>
      </c>
      <c r="O616" s="6" t="s">
        <v>20</v>
      </c>
      <c r="P616" s="6" t="s">
        <v>20</v>
      </c>
      <c r="Q616" s="6">
        <v>0.2</v>
      </c>
      <c r="R616" s="6">
        <v>7.0000000000000007E-2</v>
      </c>
      <c r="S616" s="6">
        <v>0.26</v>
      </c>
      <c r="T616" s="8">
        <v>30</v>
      </c>
      <c r="U616" s="5" t="s">
        <v>994</v>
      </c>
      <c r="V616" s="89">
        <v>0</v>
      </c>
      <c r="W616" s="15">
        <v>17897801301661</v>
      </c>
      <c r="X616" s="6">
        <v>0.43</v>
      </c>
      <c r="Y616" s="6">
        <v>0.19</v>
      </c>
      <c r="Z616" s="6">
        <v>0.7</v>
      </c>
      <c r="AA616" s="6">
        <f t="shared" si="34"/>
        <v>5.7189999999999991E-2</v>
      </c>
      <c r="AB616" s="8">
        <v>540</v>
      </c>
      <c r="AC616" s="15">
        <v>27897801301668</v>
      </c>
      <c r="AD616" s="4" t="s">
        <v>992</v>
      </c>
    </row>
    <row r="617" spans="2:30" x14ac:dyDescent="0.35">
      <c r="B617" s="14">
        <v>1184</v>
      </c>
      <c r="C617" s="4" t="s">
        <v>618</v>
      </c>
      <c r="D617" s="4" t="s">
        <v>2388</v>
      </c>
      <c r="E617" s="4" t="s">
        <v>2914</v>
      </c>
      <c r="F617" s="4" t="s">
        <v>85</v>
      </c>
      <c r="G617" s="4" t="s">
        <v>993</v>
      </c>
      <c r="H617" s="6">
        <v>5.2499999999999998E-2</v>
      </c>
      <c r="I617" s="8">
        <v>50</v>
      </c>
      <c r="J617" s="8">
        <v>53</v>
      </c>
      <c r="K617" s="8">
        <v>50</v>
      </c>
      <c r="L617" s="8">
        <f t="shared" si="33"/>
        <v>132500</v>
      </c>
      <c r="M617" s="15">
        <v>7897801301695</v>
      </c>
      <c r="N617" s="6" t="s">
        <v>20</v>
      </c>
      <c r="O617" s="6" t="s">
        <v>20</v>
      </c>
      <c r="P617" s="6" t="s">
        <v>20</v>
      </c>
      <c r="Q617" s="6">
        <v>0.23</v>
      </c>
      <c r="R617" s="6">
        <v>0.05</v>
      </c>
      <c r="S617" s="6">
        <v>0.23</v>
      </c>
      <c r="T617" s="8">
        <v>10</v>
      </c>
      <c r="U617" s="5" t="s">
        <v>994</v>
      </c>
      <c r="V617" s="89">
        <v>0</v>
      </c>
      <c r="W617" s="15">
        <v>17897801301692</v>
      </c>
      <c r="X617" s="6">
        <v>0.61</v>
      </c>
      <c r="Y617" s="6">
        <v>0.21</v>
      </c>
      <c r="Z617" s="6">
        <v>0.83</v>
      </c>
      <c r="AA617" s="6">
        <f t="shared" si="34"/>
        <v>0.10632299999999999</v>
      </c>
      <c r="AB617" s="8">
        <v>400</v>
      </c>
      <c r="AC617" s="15">
        <v>27897801301699</v>
      </c>
      <c r="AD617" s="4" t="s">
        <v>992</v>
      </c>
    </row>
    <row r="618" spans="2:30" x14ac:dyDescent="0.35">
      <c r="B618" s="14">
        <v>1185</v>
      </c>
      <c r="C618" s="4" t="s">
        <v>619</v>
      </c>
      <c r="D618" s="4" t="s">
        <v>2388</v>
      </c>
      <c r="E618" s="4" t="s">
        <v>2914</v>
      </c>
      <c r="F618" s="4" t="s">
        <v>85</v>
      </c>
      <c r="G618" s="4" t="s">
        <v>993</v>
      </c>
      <c r="H618" s="6">
        <v>5.9299999999999999E-2</v>
      </c>
      <c r="I618" s="8">
        <v>56</v>
      </c>
      <c r="J618" s="8">
        <v>53</v>
      </c>
      <c r="K618" s="8">
        <v>56</v>
      </c>
      <c r="L618" s="8">
        <f t="shared" si="33"/>
        <v>166208</v>
      </c>
      <c r="M618" s="15">
        <v>7897801301701</v>
      </c>
      <c r="N618" s="6" t="s">
        <v>20</v>
      </c>
      <c r="O618" s="6" t="s">
        <v>20</v>
      </c>
      <c r="P618" s="6" t="s">
        <v>20</v>
      </c>
      <c r="Q618" s="6">
        <v>0.22</v>
      </c>
      <c r="R618" s="6">
        <v>0.06</v>
      </c>
      <c r="S618" s="6">
        <v>0.23</v>
      </c>
      <c r="T618" s="8">
        <v>8</v>
      </c>
      <c r="U618" s="5" t="s">
        <v>994</v>
      </c>
      <c r="V618" s="89">
        <v>0</v>
      </c>
      <c r="W618" s="15">
        <v>17897801301708</v>
      </c>
      <c r="X618" s="6">
        <v>0.6</v>
      </c>
      <c r="Y618" s="6">
        <v>0.22</v>
      </c>
      <c r="Z618" s="6">
        <v>0.85</v>
      </c>
      <c r="AA618" s="6">
        <f t="shared" si="34"/>
        <v>0.11220000000000001</v>
      </c>
      <c r="AB618" s="8">
        <v>320</v>
      </c>
      <c r="AC618" s="15">
        <v>27897801301705</v>
      </c>
      <c r="AD618" s="4" t="s">
        <v>992</v>
      </c>
    </row>
    <row r="619" spans="2:30" x14ac:dyDescent="0.35">
      <c r="B619" s="14">
        <v>1186</v>
      </c>
      <c r="C619" s="4" t="s">
        <v>620</v>
      </c>
      <c r="D619" s="4" t="s">
        <v>2388</v>
      </c>
      <c r="E619" s="4" t="s">
        <v>2914</v>
      </c>
      <c r="F619" s="4" t="s">
        <v>85</v>
      </c>
      <c r="G619" s="4" t="s">
        <v>993</v>
      </c>
      <c r="H619" s="6">
        <v>8.5800000000000001E-2</v>
      </c>
      <c r="I619" s="8">
        <v>68</v>
      </c>
      <c r="J619" s="8">
        <v>60</v>
      </c>
      <c r="K619" s="8">
        <v>60</v>
      </c>
      <c r="L619" s="8">
        <f t="shared" si="33"/>
        <v>244800</v>
      </c>
      <c r="M619" s="15">
        <v>7897801301671</v>
      </c>
      <c r="N619" s="6" t="s">
        <v>20</v>
      </c>
      <c r="O619" s="6" t="s">
        <v>20</v>
      </c>
      <c r="P619" s="6" t="s">
        <v>20</v>
      </c>
      <c r="Q619" s="6">
        <v>0.19</v>
      </c>
      <c r="R619" s="6">
        <v>7.0000000000000007E-2</v>
      </c>
      <c r="S619" s="6">
        <v>0.19</v>
      </c>
      <c r="T619" s="8">
        <v>8</v>
      </c>
      <c r="U619" s="5" t="s">
        <v>994</v>
      </c>
      <c r="V619" s="89">
        <v>0</v>
      </c>
      <c r="W619" s="15">
        <v>17897801301678</v>
      </c>
      <c r="X619" s="6">
        <v>0.5</v>
      </c>
      <c r="Y619" s="6">
        <v>0.23</v>
      </c>
      <c r="Z619" s="6">
        <v>0.7</v>
      </c>
      <c r="AA619" s="6">
        <f t="shared" si="34"/>
        <v>8.0500000000000002E-2</v>
      </c>
      <c r="AB619" s="8">
        <v>240</v>
      </c>
      <c r="AC619" s="15">
        <v>27897801301675</v>
      </c>
      <c r="AD619" s="4" t="s">
        <v>992</v>
      </c>
    </row>
    <row r="620" spans="2:30" x14ac:dyDescent="0.35">
      <c r="B620" s="14">
        <v>1187</v>
      </c>
      <c r="C620" s="4" t="s">
        <v>621</v>
      </c>
      <c r="D620" s="4" t="s">
        <v>2388</v>
      </c>
      <c r="E620" s="4" t="s">
        <v>2914</v>
      </c>
      <c r="F620" s="4" t="s">
        <v>85</v>
      </c>
      <c r="G620" s="4" t="s">
        <v>993</v>
      </c>
      <c r="H620" s="6">
        <v>0.2571</v>
      </c>
      <c r="I620" s="8">
        <v>100</v>
      </c>
      <c r="J620" s="8">
        <v>85</v>
      </c>
      <c r="K620" s="8">
        <v>109</v>
      </c>
      <c r="L620" s="8">
        <f t="shared" si="33"/>
        <v>926500</v>
      </c>
      <c r="M620" s="15">
        <v>7897801309523</v>
      </c>
      <c r="N620" s="6" t="s">
        <v>20</v>
      </c>
      <c r="O620" s="6" t="s">
        <v>20</v>
      </c>
      <c r="P620" s="6" t="s">
        <v>20</v>
      </c>
      <c r="Q620" s="6">
        <v>0.20499999999999999</v>
      </c>
      <c r="R620" s="6">
        <v>0.1</v>
      </c>
      <c r="S620" s="6">
        <v>0.27</v>
      </c>
      <c r="T620" s="8">
        <v>5</v>
      </c>
      <c r="U620" s="5" t="s">
        <v>994</v>
      </c>
      <c r="V620" s="89">
        <v>0</v>
      </c>
      <c r="W620" s="15">
        <v>17897801309520</v>
      </c>
      <c r="X620" s="6">
        <v>0.65</v>
      </c>
      <c r="Y620" s="6">
        <v>0.21</v>
      </c>
      <c r="Z620" s="6">
        <v>0.84</v>
      </c>
      <c r="AA620" s="6">
        <f t="shared" si="34"/>
        <v>0.11466</v>
      </c>
      <c r="AB620" s="8">
        <v>75</v>
      </c>
      <c r="AC620" s="15">
        <v>27897801309527</v>
      </c>
      <c r="AD620" s="4" t="s">
        <v>992</v>
      </c>
    </row>
    <row r="621" spans="2:30" x14ac:dyDescent="0.35">
      <c r="B621" s="14">
        <v>1188</v>
      </c>
      <c r="C621" s="4" t="s">
        <v>622</v>
      </c>
      <c r="D621" s="4" t="s">
        <v>2388</v>
      </c>
      <c r="E621" s="4" t="s">
        <v>2914</v>
      </c>
      <c r="F621" s="4" t="s">
        <v>85</v>
      </c>
      <c r="G621" s="4" t="s">
        <v>993</v>
      </c>
      <c r="H621" s="6">
        <v>0.36409999999999998</v>
      </c>
      <c r="I621" s="8">
        <v>125</v>
      </c>
      <c r="J621" s="8">
        <v>95</v>
      </c>
      <c r="K621" s="8">
        <v>125</v>
      </c>
      <c r="L621" s="8">
        <f t="shared" si="33"/>
        <v>1484375</v>
      </c>
      <c r="M621" s="15">
        <v>7897801309547</v>
      </c>
      <c r="N621" s="6" t="s">
        <v>20</v>
      </c>
      <c r="O621" s="6" t="s">
        <v>20</v>
      </c>
      <c r="P621" s="6" t="s">
        <v>20</v>
      </c>
      <c r="Q621" s="6">
        <v>0.25</v>
      </c>
      <c r="R621" s="6">
        <v>0.16</v>
      </c>
      <c r="S621" s="6">
        <v>0.34</v>
      </c>
      <c r="T621" s="8">
        <v>5</v>
      </c>
      <c r="U621" s="5" t="s">
        <v>994</v>
      </c>
      <c r="V621" s="89">
        <v>0</v>
      </c>
      <c r="W621" s="15">
        <v>17897801309544</v>
      </c>
      <c r="X621" s="6">
        <v>0.5</v>
      </c>
      <c r="Y621" s="6">
        <v>0.25</v>
      </c>
      <c r="Z621" s="6">
        <v>0.65</v>
      </c>
      <c r="AA621" s="6">
        <f t="shared" si="34"/>
        <v>8.1250000000000003E-2</v>
      </c>
      <c r="AB621" s="8">
        <v>40</v>
      </c>
      <c r="AC621" s="15">
        <v>27897801309541</v>
      </c>
      <c r="AD621" s="4" t="s">
        <v>992</v>
      </c>
    </row>
    <row r="622" spans="2:30" x14ac:dyDescent="0.35">
      <c r="B622" s="14">
        <v>1200</v>
      </c>
      <c r="C622" s="4" t="s">
        <v>623</v>
      </c>
      <c r="D622" s="4" t="s">
        <v>2410</v>
      </c>
      <c r="E622" s="4" t="s">
        <v>2914</v>
      </c>
      <c r="F622" s="4" t="s">
        <v>19</v>
      </c>
      <c r="G622" s="4" t="s">
        <v>990</v>
      </c>
      <c r="H622" s="6">
        <v>0.4536</v>
      </c>
      <c r="I622" s="8">
        <v>3000</v>
      </c>
      <c r="J622" s="8">
        <v>20</v>
      </c>
      <c r="K622" s="8">
        <v>20</v>
      </c>
      <c r="L622" s="8">
        <f t="shared" si="33"/>
        <v>1200000</v>
      </c>
      <c r="M622" s="15">
        <v>7897801309301</v>
      </c>
      <c r="N622" s="6">
        <v>2.3E-2</v>
      </c>
      <c r="O622" s="6">
        <v>3</v>
      </c>
      <c r="P622" s="6">
        <v>2.3E-2</v>
      </c>
      <c r="Q622" s="6">
        <v>8.5500000000000007E-2</v>
      </c>
      <c r="R622" s="6">
        <v>6.0999999999999999E-2</v>
      </c>
      <c r="S622" s="6">
        <v>3.0009999999999999</v>
      </c>
      <c r="T622" s="8">
        <v>10</v>
      </c>
      <c r="U622" s="5" t="s">
        <v>991</v>
      </c>
      <c r="V622" s="89">
        <v>0</v>
      </c>
      <c r="W622" s="15">
        <v>17897801309308</v>
      </c>
      <c r="X622" s="6" t="s">
        <v>20</v>
      </c>
      <c r="Y622" s="6" t="s">
        <v>20</v>
      </c>
      <c r="Z622" s="6" t="s">
        <v>20</v>
      </c>
      <c r="AA622" s="6"/>
      <c r="AB622" s="8">
        <v>0</v>
      </c>
      <c r="AC622" s="15">
        <v>27897801309305</v>
      </c>
      <c r="AD622" s="4" t="s">
        <v>992</v>
      </c>
    </row>
    <row r="623" spans="2:30" x14ac:dyDescent="0.35">
      <c r="B623" s="14">
        <v>1201</v>
      </c>
      <c r="C623" s="4" t="s">
        <v>624</v>
      </c>
      <c r="D623" s="4" t="s">
        <v>2410</v>
      </c>
      <c r="E623" s="4" t="s">
        <v>2914</v>
      </c>
      <c r="F623" s="4" t="s">
        <v>19</v>
      </c>
      <c r="G623" s="4" t="s">
        <v>990</v>
      </c>
      <c r="H623" s="6">
        <v>0.60099999999999998</v>
      </c>
      <c r="I623" s="8">
        <v>3000</v>
      </c>
      <c r="J623" s="8">
        <v>25</v>
      </c>
      <c r="K623" s="8">
        <v>25</v>
      </c>
      <c r="L623" s="8">
        <f t="shared" si="33"/>
        <v>1875000</v>
      </c>
      <c r="M623" s="15">
        <v>7897801309318</v>
      </c>
      <c r="N623" s="6">
        <v>2.8400000000000002E-2</v>
      </c>
      <c r="O623" s="6">
        <v>3</v>
      </c>
      <c r="P623" s="6">
        <v>2.8400000000000002E-2</v>
      </c>
      <c r="Q623" s="6">
        <v>0.1108</v>
      </c>
      <c r="R623" s="6">
        <v>7.1999999999999995E-2</v>
      </c>
      <c r="S623" s="6">
        <v>3.0009999999999999</v>
      </c>
      <c r="T623" s="8">
        <v>10</v>
      </c>
      <c r="U623" s="5" t="s">
        <v>991</v>
      </c>
      <c r="V623" s="89">
        <v>0</v>
      </c>
      <c r="W623" s="15">
        <v>17897801309315</v>
      </c>
      <c r="X623" s="6" t="s">
        <v>20</v>
      </c>
      <c r="Y623" s="6" t="s">
        <v>20</v>
      </c>
      <c r="Z623" s="6" t="s">
        <v>20</v>
      </c>
      <c r="AA623" s="6"/>
      <c r="AB623" s="8">
        <v>0</v>
      </c>
      <c r="AC623" s="15">
        <v>27897801309312</v>
      </c>
      <c r="AD623" s="4" t="s">
        <v>992</v>
      </c>
    </row>
    <row r="624" spans="2:30" x14ac:dyDescent="0.35">
      <c r="B624" s="14">
        <v>1202</v>
      </c>
      <c r="C624" s="4" t="s">
        <v>625</v>
      </c>
      <c r="D624" s="4" t="s">
        <v>2410</v>
      </c>
      <c r="E624" s="4" t="s">
        <v>2914</v>
      </c>
      <c r="F624" s="4" t="s">
        <v>19</v>
      </c>
      <c r="G624" s="4" t="s">
        <v>990</v>
      </c>
      <c r="H624" s="6">
        <v>0.91500000000000004</v>
      </c>
      <c r="I624" s="8">
        <v>3000</v>
      </c>
      <c r="J624" s="8">
        <v>32</v>
      </c>
      <c r="K624" s="8">
        <v>32</v>
      </c>
      <c r="L624" s="8">
        <f t="shared" si="33"/>
        <v>3072000</v>
      </c>
      <c r="M624" s="15">
        <v>7897801309325</v>
      </c>
      <c r="N624" s="6">
        <v>3.6200000000000003E-2</v>
      </c>
      <c r="O624" s="6">
        <v>3</v>
      </c>
      <c r="P624" s="6">
        <v>3.6200000000000003E-2</v>
      </c>
      <c r="Q624" s="6">
        <v>0.1135</v>
      </c>
      <c r="R624" s="6">
        <v>9.0800000000000006E-2</v>
      </c>
      <c r="S624" s="6">
        <v>3.0009999999999999</v>
      </c>
      <c r="T624" s="8">
        <v>10</v>
      </c>
      <c r="U624" s="5" t="s">
        <v>991</v>
      </c>
      <c r="V624" s="89">
        <v>0</v>
      </c>
      <c r="W624" s="15">
        <v>17897801309322</v>
      </c>
      <c r="X624" s="6" t="s">
        <v>20</v>
      </c>
      <c r="Y624" s="6" t="s">
        <v>20</v>
      </c>
      <c r="Z624" s="6" t="s">
        <v>20</v>
      </c>
      <c r="AA624" s="6"/>
      <c r="AB624" s="8">
        <v>0</v>
      </c>
      <c r="AC624" s="15">
        <v>27897801309329</v>
      </c>
      <c r="AD624" s="4" t="s">
        <v>992</v>
      </c>
    </row>
    <row r="625" spans="2:30" x14ac:dyDescent="0.35">
      <c r="B625" s="14">
        <v>1207</v>
      </c>
      <c r="C625" s="4" t="s">
        <v>626</v>
      </c>
      <c r="D625" s="4" t="s">
        <v>2388</v>
      </c>
      <c r="E625" s="4" t="s">
        <v>2914</v>
      </c>
      <c r="F625" s="4" t="s">
        <v>85</v>
      </c>
      <c r="G625" s="4" t="s">
        <v>993</v>
      </c>
      <c r="H625" s="6">
        <v>1.04E-2</v>
      </c>
      <c r="I625" s="8">
        <v>26</v>
      </c>
      <c r="J625" s="8">
        <v>26</v>
      </c>
      <c r="K625" s="8">
        <v>34</v>
      </c>
      <c r="L625" s="8">
        <f t="shared" si="33"/>
        <v>22984</v>
      </c>
      <c r="M625" s="15">
        <v>7897801309912</v>
      </c>
      <c r="N625" s="6" t="s">
        <v>20</v>
      </c>
      <c r="O625" s="6" t="s">
        <v>20</v>
      </c>
      <c r="P625" s="6" t="s">
        <v>20</v>
      </c>
      <c r="Q625" s="6">
        <v>0.18</v>
      </c>
      <c r="R625" s="6">
        <v>3.5000000000000003E-2</v>
      </c>
      <c r="S625" s="6">
        <v>0.22</v>
      </c>
      <c r="T625" s="8">
        <v>20</v>
      </c>
      <c r="U625" s="5" t="s">
        <v>994</v>
      </c>
      <c r="V625" s="89">
        <v>0</v>
      </c>
      <c r="W625" s="15">
        <v>17897801309919</v>
      </c>
      <c r="X625" s="6">
        <v>0.51</v>
      </c>
      <c r="Y625" s="6">
        <v>0.19</v>
      </c>
      <c r="Z625" s="6">
        <v>0.74</v>
      </c>
      <c r="AA625" s="6">
        <f>Y625*X625*Z625</f>
        <v>7.1706000000000006E-2</v>
      </c>
      <c r="AB625" s="8">
        <v>1600</v>
      </c>
      <c r="AC625" s="15">
        <v>27897801309916</v>
      </c>
      <c r="AD625" s="4" t="s">
        <v>992</v>
      </c>
    </row>
    <row r="626" spans="2:30" x14ac:dyDescent="0.35">
      <c r="B626" s="14">
        <v>1208</v>
      </c>
      <c r="C626" s="4" t="s">
        <v>627</v>
      </c>
      <c r="D626" s="4" t="s">
        <v>2388</v>
      </c>
      <c r="E626" s="4" t="s">
        <v>2914</v>
      </c>
      <c r="F626" s="4" t="s">
        <v>85</v>
      </c>
      <c r="G626" s="4" t="s">
        <v>993</v>
      </c>
      <c r="H626" s="6">
        <v>1.46E-2</v>
      </c>
      <c r="I626" s="8">
        <v>31</v>
      </c>
      <c r="J626" s="8">
        <v>31</v>
      </c>
      <c r="K626" s="8">
        <v>39</v>
      </c>
      <c r="L626" s="8">
        <f t="shared" si="33"/>
        <v>37479</v>
      </c>
      <c r="M626" s="15">
        <v>7897801309554</v>
      </c>
      <c r="N626" s="6" t="s">
        <v>20</v>
      </c>
      <c r="O626" s="6" t="s">
        <v>20</v>
      </c>
      <c r="P626" s="6" t="s">
        <v>20</v>
      </c>
      <c r="Q626" s="6">
        <v>0.25</v>
      </c>
      <c r="R626" s="6">
        <v>0.05</v>
      </c>
      <c r="S626" s="6">
        <v>0.26</v>
      </c>
      <c r="T626" s="8">
        <v>50</v>
      </c>
      <c r="U626" s="5" t="s">
        <v>994</v>
      </c>
      <c r="V626" s="89">
        <v>0</v>
      </c>
      <c r="W626" s="15">
        <v>17897801309551</v>
      </c>
      <c r="X626" s="6">
        <v>0.52</v>
      </c>
      <c r="Y626" s="6">
        <v>0.21</v>
      </c>
      <c r="Z626" s="6">
        <v>0.8</v>
      </c>
      <c r="AA626" s="6">
        <f>Y626*X626*Z626</f>
        <v>8.7360000000000007E-2</v>
      </c>
      <c r="AB626" s="8">
        <v>1200</v>
      </c>
      <c r="AC626" s="15">
        <v>27897801309558</v>
      </c>
      <c r="AD626" s="4" t="s">
        <v>992</v>
      </c>
    </row>
    <row r="627" spans="2:30" x14ac:dyDescent="0.35">
      <c r="B627" s="18">
        <v>1209</v>
      </c>
      <c r="C627" s="24" t="s">
        <v>2948</v>
      </c>
      <c r="D627" s="4" t="s">
        <v>2401</v>
      </c>
      <c r="E627" s="4" t="s">
        <v>2915</v>
      </c>
      <c r="F627" s="4" t="s">
        <v>85</v>
      </c>
      <c r="G627" s="4" t="s">
        <v>993</v>
      </c>
      <c r="H627" s="6">
        <v>0.114</v>
      </c>
      <c r="I627" s="8">
        <v>330</v>
      </c>
      <c r="J627" s="8">
        <v>54</v>
      </c>
      <c r="K627" s="8">
        <v>54</v>
      </c>
      <c r="L627" s="8">
        <v>962280</v>
      </c>
      <c r="M627" s="15">
        <v>7897801325257</v>
      </c>
      <c r="N627" s="6" t="s">
        <v>20</v>
      </c>
      <c r="O627" s="6" t="s">
        <v>20</v>
      </c>
      <c r="P627" s="6" t="s">
        <v>20</v>
      </c>
      <c r="Q627" s="6">
        <v>0.24</v>
      </c>
      <c r="R627" s="6">
        <v>0.16</v>
      </c>
      <c r="S627" s="6">
        <v>0.35499999999999998</v>
      </c>
      <c r="T627" s="8">
        <v>12</v>
      </c>
      <c r="U627" s="5" t="s">
        <v>994</v>
      </c>
      <c r="V627" s="89">
        <v>0</v>
      </c>
      <c r="W627" s="15">
        <v>17897801325254</v>
      </c>
      <c r="X627" s="6" t="s">
        <v>20</v>
      </c>
      <c r="Y627" s="6" t="s">
        <v>20</v>
      </c>
      <c r="Z627" s="6" t="s">
        <v>20</v>
      </c>
      <c r="AA627" s="6"/>
      <c r="AB627" s="8">
        <v>0</v>
      </c>
      <c r="AC627" s="15">
        <v>27897801325251</v>
      </c>
      <c r="AD627" s="4" t="s">
        <v>992</v>
      </c>
    </row>
    <row r="628" spans="2:30" x14ac:dyDescent="0.35">
      <c r="B628" s="18">
        <v>1210</v>
      </c>
      <c r="C628" s="24" t="s">
        <v>2949</v>
      </c>
      <c r="D628" s="4" t="s">
        <v>2401</v>
      </c>
      <c r="E628" s="4" t="s">
        <v>2915</v>
      </c>
      <c r="F628" s="4" t="s">
        <v>85</v>
      </c>
      <c r="G628" s="4" t="s">
        <v>993</v>
      </c>
      <c r="H628" s="6">
        <v>0.21229999999999999</v>
      </c>
      <c r="I628" s="8">
        <v>340</v>
      </c>
      <c r="J628" s="8">
        <v>140</v>
      </c>
      <c r="K628" s="8">
        <v>140</v>
      </c>
      <c r="L628" s="8">
        <v>6664000</v>
      </c>
      <c r="M628" s="15">
        <v>7897801325264</v>
      </c>
      <c r="N628" s="6" t="s">
        <v>20</v>
      </c>
      <c r="O628" s="6" t="s">
        <v>20</v>
      </c>
      <c r="P628" s="6" t="s">
        <v>20</v>
      </c>
      <c r="Q628" s="6">
        <v>0.26500000000000001</v>
      </c>
      <c r="R628" s="6">
        <v>0.28000000000000003</v>
      </c>
      <c r="S628" s="6">
        <v>0.40500000000000003</v>
      </c>
      <c r="T628" s="8">
        <v>12</v>
      </c>
      <c r="U628" s="5" t="s">
        <v>994</v>
      </c>
      <c r="V628" s="89">
        <v>0</v>
      </c>
      <c r="W628" s="15">
        <v>17897801325261</v>
      </c>
      <c r="X628" s="6" t="s">
        <v>20</v>
      </c>
      <c r="Y628" s="6" t="s">
        <v>20</v>
      </c>
      <c r="Z628" s="6" t="s">
        <v>20</v>
      </c>
      <c r="AA628" s="6"/>
      <c r="AB628" s="8">
        <v>0</v>
      </c>
      <c r="AC628" s="15">
        <v>27897801325268</v>
      </c>
      <c r="AD628" s="4" t="s">
        <v>992</v>
      </c>
    </row>
    <row r="629" spans="2:30" x14ac:dyDescent="0.35">
      <c r="B629" s="14">
        <v>1218</v>
      </c>
      <c r="C629" s="4" t="s">
        <v>628</v>
      </c>
      <c r="D629" s="4" t="s">
        <v>2388</v>
      </c>
      <c r="E629" s="4" t="s">
        <v>2914</v>
      </c>
      <c r="F629" s="4" t="s">
        <v>85</v>
      </c>
      <c r="G629" s="4" t="s">
        <v>993</v>
      </c>
      <c r="H629" s="6">
        <v>2.63E-2</v>
      </c>
      <c r="I629" s="8">
        <v>130</v>
      </c>
      <c r="J629" s="8">
        <v>30</v>
      </c>
      <c r="K629" s="8">
        <v>130</v>
      </c>
      <c r="L629" s="8">
        <f t="shared" si="33"/>
        <v>507000</v>
      </c>
      <c r="M629" s="15">
        <v>7897801309424</v>
      </c>
      <c r="N629" s="6" t="s">
        <v>20</v>
      </c>
      <c r="O629" s="6" t="s">
        <v>20</v>
      </c>
      <c r="P629" s="6" t="s">
        <v>20</v>
      </c>
      <c r="Q629" s="6">
        <v>0.19</v>
      </c>
      <c r="R629" s="6">
        <v>0.05</v>
      </c>
      <c r="S629" s="6">
        <v>0.25</v>
      </c>
      <c r="T629" s="8">
        <v>10</v>
      </c>
      <c r="U629" s="5" t="s">
        <v>994</v>
      </c>
      <c r="V629" s="89">
        <v>0</v>
      </c>
      <c r="W629" s="15">
        <v>17897801309421</v>
      </c>
      <c r="X629" s="6">
        <v>0.65</v>
      </c>
      <c r="Y629" s="6">
        <v>0.16</v>
      </c>
      <c r="Z629" s="6">
        <v>0.86</v>
      </c>
      <c r="AA629" s="6">
        <f>Y629*X629*Z629</f>
        <v>8.9440000000000006E-2</v>
      </c>
      <c r="AB629" s="8">
        <v>450</v>
      </c>
      <c r="AC629" s="15">
        <v>27897801309428</v>
      </c>
      <c r="AD629" s="4" t="s">
        <v>992</v>
      </c>
    </row>
    <row r="630" spans="2:30" x14ac:dyDescent="0.35">
      <c r="B630" s="14">
        <v>1219</v>
      </c>
      <c r="C630" s="4" t="s">
        <v>629</v>
      </c>
      <c r="D630" s="4" t="s">
        <v>2388</v>
      </c>
      <c r="E630" s="4" t="s">
        <v>2914</v>
      </c>
      <c r="F630" s="4" t="s">
        <v>85</v>
      </c>
      <c r="G630" s="4" t="s">
        <v>993</v>
      </c>
      <c r="H630" s="6">
        <v>4.2599999999999999E-2</v>
      </c>
      <c r="I630" s="8">
        <v>130</v>
      </c>
      <c r="J630" s="8">
        <v>30</v>
      </c>
      <c r="K630" s="8">
        <v>50</v>
      </c>
      <c r="L630" s="8">
        <f t="shared" si="33"/>
        <v>195000</v>
      </c>
      <c r="M630" s="15">
        <v>7897801309431</v>
      </c>
      <c r="N630" s="6" t="s">
        <v>20</v>
      </c>
      <c r="O630" s="6" t="s">
        <v>20</v>
      </c>
      <c r="P630" s="6" t="s">
        <v>20</v>
      </c>
      <c r="Q630" s="6">
        <v>0.23</v>
      </c>
      <c r="R630" s="6">
        <v>5.1999999999999998E-2</v>
      </c>
      <c r="S630" s="6">
        <v>0.23499999999999999</v>
      </c>
      <c r="T630" s="8">
        <v>10</v>
      </c>
      <c r="U630" s="5" t="s">
        <v>994</v>
      </c>
      <c r="V630" s="89">
        <v>0</v>
      </c>
      <c r="W630" s="15">
        <v>17897801309438</v>
      </c>
      <c r="X630" s="6">
        <v>0.52</v>
      </c>
      <c r="Y630" s="6">
        <v>0.14499999999999999</v>
      </c>
      <c r="Z630" s="6">
        <v>0.77500000000000002</v>
      </c>
      <c r="AA630" s="6">
        <f>Y630*X630*Z630</f>
        <v>5.8435000000000001E-2</v>
      </c>
      <c r="AB630" s="8">
        <v>240</v>
      </c>
      <c r="AC630" s="15">
        <v>27897801309435</v>
      </c>
      <c r="AD630" s="4" t="s">
        <v>992</v>
      </c>
    </row>
    <row r="631" spans="2:30" x14ac:dyDescent="0.35">
      <c r="B631" s="14">
        <v>1220</v>
      </c>
      <c r="C631" s="4" t="s">
        <v>630</v>
      </c>
      <c r="D631" s="4" t="s">
        <v>2388</v>
      </c>
      <c r="E631" s="4" t="s">
        <v>2914</v>
      </c>
      <c r="F631" s="4" t="s">
        <v>85</v>
      </c>
      <c r="G631" s="4" t="s">
        <v>993</v>
      </c>
      <c r="H631" s="6">
        <v>6.6799999999999998E-2</v>
      </c>
      <c r="I631" s="8">
        <v>230</v>
      </c>
      <c r="J631" s="8">
        <v>34</v>
      </c>
      <c r="K631" s="8">
        <v>230</v>
      </c>
      <c r="L631" s="8">
        <f t="shared" si="33"/>
        <v>1798600</v>
      </c>
      <c r="M631" s="15">
        <v>7897801309448</v>
      </c>
      <c r="N631" s="6" t="s">
        <v>20</v>
      </c>
      <c r="O631" s="6" t="s">
        <v>20</v>
      </c>
      <c r="P631" s="6" t="s">
        <v>20</v>
      </c>
      <c r="Q631" s="6">
        <v>0.2</v>
      </c>
      <c r="R631" s="6">
        <v>0.08</v>
      </c>
      <c r="S631" s="6">
        <v>0.28000000000000003</v>
      </c>
      <c r="T631" s="8">
        <v>10</v>
      </c>
      <c r="U631" s="5" t="s">
        <v>994</v>
      </c>
      <c r="V631" s="89">
        <v>0</v>
      </c>
      <c r="W631" s="15">
        <v>17897801309445</v>
      </c>
      <c r="X631" s="6">
        <v>0.45</v>
      </c>
      <c r="Y631" s="6">
        <v>0.22</v>
      </c>
      <c r="Z631" s="6">
        <v>0.65</v>
      </c>
      <c r="AA631" s="6">
        <f>Y631*X631*Z631</f>
        <v>6.4350000000000004E-2</v>
      </c>
      <c r="AB631" s="8">
        <v>200</v>
      </c>
      <c r="AC631" s="15">
        <v>27897801309442</v>
      </c>
      <c r="AD631" s="4" t="s">
        <v>992</v>
      </c>
    </row>
    <row r="632" spans="2:30" x14ac:dyDescent="0.35">
      <c r="B632" s="18">
        <v>1225</v>
      </c>
      <c r="C632" s="4" t="s">
        <v>1035</v>
      </c>
      <c r="D632" s="4" t="s">
        <v>2407</v>
      </c>
      <c r="E632" s="4" t="s">
        <v>2914</v>
      </c>
      <c r="F632" s="4" t="s">
        <v>587</v>
      </c>
      <c r="G632" s="4" t="s">
        <v>1016</v>
      </c>
      <c r="H632" s="6">
        <f>VLOOKUP($B632,'SB1'!$B:$LI,31,0)</f>
        <v>5.0999999999999997E-2</v>
      </c>
      <c r="I632" s="21">
        <v>0.27500000000000002</v>
      </c>
      <c r="J632" s="21">
        <v>0.12</v>
      </c>
      <c r="K632" s="21">
        <v>0.27500000000000002</v>
      </c>
      <c r="L632" s="47">
        <f t="shared" si="33"/>
        <v>9.0750000000000015E-3</v>
      </c>
      <c r="M632" s="39">
        <f>VLOOKUP($B632,'SB1'!$B:$LI,66,0)</f>
        <v>7897801317092</v>
      </c>
      <c r="N632" s="41" t="s">
        <v>20</v>
      </c>
      <c r="O632" s="41" t="s">
        <v>20</v>
      </c>
      <c r="P632" s="41" t="s">
        <v>20</v>
      </c>
      <c r="Q632" s="21">
        <v>0.27500000000000002</v>
      </c>
      <c r="R632" s="21">
        <v>0.12</v>
      </c>
      <c r="S632" s="21">
        <v>0.27500000000000002</v>
      </c>
      <c r="T632" s="39">
        <f>VLOOKUP($B632,'SB1'!$B:$LI,25,0)</f>
        <v>10</v>
      </c>
      <c r="U632" s="39" t="str">
        <f>VLOOKUP($B632,'SB1'!$B:$LI,8,0)</f>
        <v>3917.23.00</v>
      </c>
      <c r="V632" s="89">
        <v>0</v>
      </c>
      <c r="W632" s="39">
        <f>VLOOKUP($B632,'SB1'!$B:$LI,131,0)</f>
        <v>17897801317099</v>
      </c>
      <c r="X632" s="41" t="s">
        <v>20</v>
      </c>
      <c r="Y632" s="41" t="s">
        <v>20</v>
      </c>
      <c r="Z632" s="41" t="s">
        <v>20</v>
      </c>
      <c r="AA632" s="41" t="s">
        <v>20</v>
      </c>
      <c r="AB632" s="41" t="s">
        <v>20</v>
      </c>
      <c r="AC632" s="39">
        <f>VLOOKUP($B632,'SB1'!$B:$LI,163,0)</f>
        <v>27897801317096</v>
      </c>
      <c r="AD632" s="31" t="s">
        <v>992</v>
      </c>
    </row>
    <row r="633" spans="2:30" x14ac:dyDescent="0.35">
      <c r="B633" s="18">
        <v>1226</v>
      </c>
      <c r="C633" s="4" t="s">
        <v>1036</v>
      </c>
      <c r="D633" s="4" t="s">
        <v>2407</v>
      </c>
      <c r="E633" s="4" t="s">
        <v>2914</v>
      </c>
      <c r="F633" s="4" t="s">
        <v>587</v>
      </c>
      <c r="G633" s="4" t="s">
        <v>1016</v>
      </c>
      <c r="H633" s="6">
        <f>VLOOKUP($B633,'SB1'!$B:$LI,31,0)</f>
        <v>5.0999999999999997E-2</v>
      </c>
      <c r="I633" s="21">
        <v>0.38</v>
      </c>
      <c r="J633" s="21">
        <v>0.2</v>
      </c>
      <c r="K633" s="21">
        <v>0.38</v>
      </c>
      <c r="L633" s="47">
        <f t="shared" si="33"/>
        <v>2.8880000000000006E-2</v>
      </c>
      <c r="M633" s="39">
        <f>VLOOKUP($B633,'SB1'!$B:$LI,66,0)</f>
        <v>7897801317108</v>
      </c>
      <c r="N633" s="41" t="s">
        <v>20</v>
      </c>
      <c r="O633" s="41" t="s">
        <v>20</v>
      </c>
      <c r="P633" s="41" t="s">
        <v>20</v>
      </c>
      <c r="Q633" s="21">
        <v>0.38</v>
      </c>
      <c r="R633" s="21">
        <v>0.2</v>
      </c>
      <c r="S633" s="21">
        <v>0.38</v>
      </c>
      <c r="T633" s="39">
        <f>VLOOKUP($B633,'SB1'!$B:$LI,25,0)</f>
        <v>25</v>
      </c>
      <c r="U633" s="39" t="str">
        <f>VLOOKUP($B633,'SB1'!$B:$LI,8,0)</f>
        <v>3917.23.00</v>
      </c>
      <c r="V633" s="89">
        <v>0</v>
      </c>
      <c r="W633" s="39">
        <f>VLOOKUP($B633,'SB1'!$B:$LI,131,0)</f>
        <v>17897801317105</v>
      </c>
      <c r="X633" s="41" t="s">
        <v>20</v>
      </c>
      <c r="Y633" s="41" t="s">
        <v>20</v>
      </c>
      <c r="Z633" s="41" t="s">
        <v>20</v>
      </c>
      <c r="AA633" s="41" t="s">
        <v>20</v>
      </c>
      <c r="AB633" s="41" t="s">
        <v>20</v>
      </c>
      <c r="AC633" s="39">
        <f>VLOOKUP($B633,'SB1'!$B:$LI,163,0)</f>
        <v>27897801317102</v>
      </c>
      <c r="AD633" s="31" t="s">
        <v>992</v>
      </c>
    </row>
    <row r="634" spans="2:30" x14ac:dyDescent="0.35">
      <c r="B634" s="18">
        <v>1227</v>
      </c>
      <c r="C634" s="4" t="s">
        <v>1037</v>
      </c>
      <c r="D634" s="4" t="s">
        <v>2407</v>
      </c>
      <c r="E634" s="4" t="s">
        <v>2914</v>
      </c>
      <c r="F634" s="4" t="s">
        <v>587</v>
      </c>
      <c r="G634" s="4" t="s">
        <v>1016</v>
      </c>
      <c r="H634" s="6">
        <f>VLOOKUP($B634,'SB1'!$B:$LI,31,0)</f>
        <v>6.4699999999999994E-2</v>
      </c>
      <c r="I634" s="21">
        <v>0.30499999999999999</v>
      </c>
      <c r="J634" s="21">
        <v>0.125</v>
      </c>
      <c r="K634" s="21">
        <v>0.30499999999999999</v>
      </c>
      <c r="L634" s="47">
        <f t="shared" si="33"/>
        <v>1.1628125E-2</v>
      </c>
      <c r="M634" s="39">
        <f>VLOOKUP($B634,'SB1'!$B:$LI,66,0)</f>
        <v>7897801317115</v>
      </c>
      <c r="N634" s="41" t="s">
        <v>20</v>
      </c>
      <c r="O634" s="41" t="s">
        <v>20</v>
      </c>
      <c r="P634" s="41" t="s">
        <v>20</v>
      </c>
      <c r="Q634" s="21">
        <v>0.30499999999999999</v>
      </c>
      <c r="R634" s="21">
        <v>0.125</v>
      </c>
      <c r="S634" s="21">
        <v>0.30499999999999999</v>
      </c>
      <c r="T634" s="39">
        <f>VLOOKUP($B634,'SB1'!$B:$LI,25,0)</f>
        <v>10</v>
      </c>
      <c r="U634" s="39" t="str">
        <f>VLOOKUP($B634,'SB1'!$B:$LI,8,0)</f>
        <v>3917.23.00</v>
      </c>
      <c r="V634" s="89">
        <v>0</v>
      </c>
      <c r="W634" s="39">
        <f>VLOOKUP($B634,'SB1'!$B:$LI,131,0)</f>
        <v>17897801317112</v>
      </c>
      <c r="X634" s="41" t="s">
        <v>20</v>
      </c>
      <c r="Y634" s="41" t="s">
        <v>20</v>
      </c>
      <c r="Z634" s="41" t="s">
        <v>20</v>
      </c>
      <c r="AA634" s="41" t="s">
        <v>20</v>
      </c>
      <c r="AB634" s="41" t="s">
        <v>20</v>
      </c>
      <c r="AC634" s="39">
        <f>VLOOKUP($B634,'SB1'!$B:$LI,163,0)</f>
        <v>27897801317119</v>
      </c>
      <c r="AD634" s="31" t="s">
        <v>992</v>
      </c>
    </row>
    <row r="635" spans="2:30" x14ac:dyDescent="0.35">
      <c r="B635" s="18">
        <v>1228</v>
      </c>
      <c r="C635" s="4" t="s">
        <v>1038</v>
      </c>
      <c r="D635" s="4" t="s">
        <v>2407</v>
      </c>
      <c r="E635" s="4" t="s">
        <v>2914</v>
      </c>
      <c r="F635" s="4" t="s">
        <v>587</v>
      </c>
      <c r="G635" s="4" t="s">
        <v>1016</v>
      </c>
      <c r="H635" s="6">
        <f>VLOOKUP($B635,'SB1'!$B:$LI,31,0)</f>
        <v>6.5199999999999994E-2</v>
      </c>
      <c r="I635" s="21">
        <v>0.38</v>
      </c>
      <c r="J635" s="21">
        <v>0.2</v>
      </c>
      <c r="K635" s="21">
        <v>0.38</v>
      </c>
      <c r="L635" s="47">
        <f t="shared" si="33"/>
        <v>2.8880000000000006E-2</v>
      </c>
      <c r="M635" s="39">
        <f>VLOOKUP($B635,'SB1'!$B:$LI,66,0)</f>
        <v>7897801317122</v>
      </c>
      <c r="N635" s="41" t="s">
        <v>20</v>
      </c>
      <c r="O635" s="41" t="s">
        <v>20</v>
      </c>
      <c r="P635" s="41" t="s">
        <v>20</v>
      </c>
      <c r="Q635" s="21">
        <v>0.38</v>
      </c>
      <c r="R635" s="21">
        <v>0.2</v>
      </c>
      <c r="S635" s="21">
        <v>0.38</v>
      </c>
      <c r="T635" s="39">
        <f>VLOOKUP($B635,'SB1'!$B:$LI,25,0)</f>
        <v>25</v>
      </c>
      <c r="U635" s="39" t="str">
        <f>VLOOKUP($B635,'SB1'!$B:$LI,8,0)</f>
        <v>3917.23.00</v>
      </c>
      <c r="V635" s="89">
        <v>0</v>
      </c>
      <c r="W635" s="39">
        <f>VLOOKUP($B635,'SB1'!$B:$LI,131,0)</f>
        <v>17897801317129</v>
      </c>
      <c r="X635" s="41" t="s">
        <v>20</v>
      </c>
      <c r="Y635" s="41" t="s">
        <v>20</v>
      </c>
      <c r="Z635" s="41" t="s">
        <v>20</v>
      </c>
      <c r="AA635" s="41" t="s">
        <v>20</v>
      </c>
      <c r="AB635" s="41" t="s">
        <v>20</v>
      </c>
      <c r="AC635" s="39">
        <f>VLOOKUP($B635,'SB1'!$B:$LI,163,0)</f>
        <v>27897801317126</v>
      </c>
      <c r="AD635" s="31" t="s">
        <v>992</v>
      </c>
    </row>
    <row r="636" spans="2:30" x14ac:dyDescent="0.35">
      <c r="B636" s="18">
        <v>1229</v>
      </c>
      <c r="C636" s="4" t="s">
        <v>1039</v>
      </c>
      <c r="D636" s="4" t="s">
        <v>2407</v>
      </c>
      <c r="E636" s="4" t="s">
        <v>2914</v>
      </c>
      <c r="F636" s="4" t="s">
        <v>587</v>
      </c>
      <c r="G636" s="4" t="s">
        <v>1016</v>
      </c>
      <c r="H636" s="6">
        <f>VLOOKUP($B636,'SB1'!$B:$LI,31,0)</f>
        <v>0.1</v>
      </c>
      <c r="I636" s="21">
        <v>0.35499999999999998</v>
      </c>
      <c r="J636" s="21">
        <v>0.17</v>
      </c>
      <c r="K636" s="21">
        <v>0.35499999999999998</v>
      </c>
      <c r="L636" s="47">
        <f t="shared" si="33"/>
        <v>2.1424249999999999E-2</v>
      </c>
      <c r="M636" s="39">
        <f>VLOOKUP($B636,'SB1'!$B:$LI,66,0)</f>
        <v>7897801317139</v>
      </c>
      <c r="N636" s="41" t="s">
        <v>20</v>
      </c>
      <c r="O636" s="41" t="s">
        <v>20</v>
      </c>
      <c r="P636" s="41" t="s">
        <v>20</v>
      </c>
      <c r="Q636" s="21">
        <v>0.35499999999999998</v>
      </c>
      <c r="R636" s="21">
        <v>0.17</v>
      </c>
      <c r="S636" s="21">
        <v>0.35499999999999998</v>
      </c>
      <c r="T636" s="39">
        <f>VLOOKUP($B636,'SB1'!$B:$LI,25,0)</f>
        <v>10</v>
      </c>
      <c r="U636" s="39" t="str">
        <f>VLOOKUP($B636,'SB1'!$B:$LI,8,0)</f>
        <v>3917.23.00</v>
      </c>
      <c r="V636" s="89">
        <v>0</v>
      </c>
      <c r="W636" s="39">
        <f>VLOOKUP($B636,'SB1'!$B:$LI,131,0)</f>
        <v>17897801317136</v>
      </c>
      <c r="X636" s="41" t="s">
        <v>20</v>
      </c>
      <c r="Y636" s="41" t="s">
        <v>20</v>
      </c>
      <c r="Z636" s="41" t="s">
        <v>20</v>
      </c>
      <c r="AA636" s="41" t="s">
        <v>20</v>
      </c>
      <c r="AB636" s="41" t="s">
        <v>20</v>
      </c>
      <c r="AC636" s="39">
        <f>VLOOKUP($B636,'SB1'!$B:$LI,163,0)</f>
        <v>27897801317133</v>
      </c>
      <c r="AD636" s="31" t="s">
        <v>992</v>
      </c>
    </row>
    <row r="637" spans="2:30" x14ac:dyDescent="0.35">
      <c r="B637" s="19">
        <v>1230</v>
      </c>
      <c r="C637" s="24" t="s">
        <v>631</v>
      </c>
      <c r="D637" s="4" t="s">
        <v>2407</v>
      </c>
      <c r="E637" s="4" t="s">
        <v>2914</v>
      </c>
      <c r="F637" s="4" t="s">
        <v>587</v>
      </c>
      <c r="G637" s="4" t="s">
        <v>1016</v>
      </c>
      <c r="H637" s="6">
        <v>4.4999999999999998E-2</v>
      </c>
      <c r="I637" s="8">
        <v>500</v>
      </c>
      <c r="J637" s="8">
        <v>200</v>
      </c>
      <c r="K637" s="8">
        <v>200</v>
      </c>
      <c r="L637" s="8">
        <f t="shared" si="33"/>
        <v>20000000</v>
      </c>
      <c r="M637" s="15">
        <v>7897801309615</v>
      </c>
      <c r="N637" s="6" t="s">
        <v>20</v>
      </c>
      <c r="O637" s="6" t="s">
        <v>20</v>
      </c>
      <c r="P637" s="6" t="s">
        <v>20</v>
      </c>
      <c r="Q637" s="6">
        <v>0.39500000000000002</v>
      </c>
      <c r="R637" s="6">
        <v>0.245</v>
      </c>
      <c r="S637" s="6">
        <v>0.39500000000000002</v>
      </c>
      <c r="T637" s="8">
        <v>50</v>
      </c>
      <c r="U637" s="5" t="s">
        <v>991</v>
      </c>
      <c r="V637" s="89">
        <v>0</v>
      </c>
      <c r="W637" s="15">
        <v>17897801309612</v>
      </c>
      <c r="X637" s="6" t="s">
        <v>20</v>
      </c>
      <c r="Y637" s="6" t="s">
        <v>20</v>
      </c>
      <c r="Z637" s="6" t="s">
        <v>20</v>
      </c>
      <c r="AA637" s="6"/>
      <c r="AB637" s="8">
        <v>0</v>
      </c>
      <c r="AC637" s="15">
        <v>27897801309619</v>
      </c>
      <c r="AD637" s="4" t="s">
        <v>992</v>
      </c>
    </row>
    <row r="638" spans="2:30" x14ac:dyDescent="0.35">
      <c r="B638" s="19">
        <v>1231</v>
      </c>
      <c r="C638" s="24" t="s">
        <v>632</v>
      </c>
      <c r="D638" s="4" t="s">
        <v>2407</v>
      </c>
      <c r="E638" s="4" t="s">
        <v>2914</v>
      </c>
      <c r="F638" s="4" t="s">
        <v>587</v>
      </c>
      <c r="G638" s="4" t="s">
        <v>1016</v>
      </c>
      <c r="H638" s="6">
        <v>6.3600000000000004E-2</v>
      </c>
      <c r="I638" s="8">
        <v>250</v>
      </c>
      <c r="J638" s="8">
        <v>490</v>
      </c>
      <c r="K638" s="8">
        <v>490</v>
      </c>
      <c r="L638" s="8">
        <f t="shared" si="33"/>
        <v>60025000</v>
      </c>
      <c r="M638" s="15">
        <v>7897801309622</v>
      </c>
      <c r="N638" s="6" t="s">
        <v>20</v>
      </c>
      <c r="O638" s="6" t="s">
        <v>20</v>
      </c>
      <c r="P638" s="6" t="s">
        <v>20</v>
      </c>
      <c r="Q638" s="6">
        <v>0.495</v>
      </c>
      <c r="R638" s="6">
        <v>0.215</v>
      </c>
      <c r="S638" s="6">
        <v>0.495</v>
      </c>
      <c r="T638" s="8">
        <v>50</v>
      </c>
      <c r="U638" s="5" t="s">
        <v>991</v>
      </c>
      <c r="V638" s="89">
        <v>0</v>
      </c>
      <c r="W638" s="15">
        <v>17897801309629</v>
      </c>
      <c r="X638" s="6" t="s">
        <v>20</v>
      </c>
      <c r="Y638" s="6" t="s">
        <v>20</v>
      </c>
      <c r="Z638" s="6" t="s">
        <v>20</v>
      </c>
      <c r="AA638" s="6"/>
      <c r="AB638" s="8">
        <v>0</v>
      </c>
      <c r="AC638" s="15">
        <v>27897801309626</v>
      </c>
      <c r="AD638" s="4" t="s">
        <v>992</v>
      </c>
    </row>
    <row r="639" spans="2:30" x14ac:dyDescent="0.35">
      <c r="B639" s="19">
        <v>1232</v>
      </c>
      <c r="C639" s="4" t="s">
        <v>633</v>
      </c>
      <c r="D639" s="4" t="s">
        <v>2407</v>
      </c>
      <c r="E639" s="4" t="s">
        <v>2914</v>
      </c>
      <c r="F639" s="4" t="s">
        <v>587</v>
      </c>
      <c r="G639" s="4" t="s">
        <v>1016</v>
      </c>
      <c r="H639" s="6">
        <v>0.1</v>
      </c>
      <c r="I639" s="8">
        <v>190</v>
      </c>
      <c r="J639" s="8">
        <v>500</v>
      </c>
      <c r="K639" s="8">
        <v>500</v>
      </c>
      <c r="L639" s="37">
        <f t="shared" si="33"/>
        <v>47500000</v>
      </c>
      <c r="M639" s="40">
        <v>7897801309639</v>
      </c>
      <c r="N639" s="35" t="s">
        <v>20</v>
      </c>
      <c r="O639" s="35" t="s">
        <v>20</v>
      </c>
      <c r="P639" s="35" t="s">
        <v>20</v>
      </c>
      <c r="Q639" s="6">
        <v>0.44500000000000001</v>
      </c>
      <c r="R639" s="6">
        <v>0.23</v>
      </c>
      <c r="S639" s="6">
        <v>0.44500000000000001</v>
      </c>
      <c r="T639" s="37">
        <v>25</v>
      </c>
      <c r="U639" s="42" t="s">
        <v>991</v>
      </c>
      <c r="V639" s="89">
        <v>0</v>
      </c>
      <c r="W639" s="40">
        <v>17897801309636</v>
      </c>
      <c r="X639" s="35" t="s">
        <v>20</v>
      </c>
      <c r="Y639" s="35" t="s">
        <v>20</v>
      </c>
      <c r="Z639" s="35" t="s">
        <v>20</v>
      </c>
      <c r="AA639" s="35"/>
      <c r="AB639" s="37">
        <v>0</v>
      </c>
      <c r="AC639" s="40">
        <v>27897801309633</v>
      </c>
      <c r="AD639" s="32" t="s">
        <v>992</v>
      </c>
    </row>
    <row r="640" spans="2:30" x14ac:dyDescent="0.35">
      <c r="B640" s="19">
        <v>1233</v>
      </c>
      <c r="C640" s="4" t="s">
        <v>2941</v>
      </c>
      <c r="D640" s="4" t="s">
        <v>2407</v>
      </c>
      <c r="E640" s="4" t="s">
        <v>2914</v>
      </c>
      <c r="F640" s="4" t="s">
        <v>587</v>
      </c>
      <c r="G640" s="4" t="s">
        <v>1016</v>
      </c>
      <c r="H640" s="6">
        <v>0.1094</v>
      </c>
      <c r="I640" s="8">
        <v>500</v>
      </c>
      <c r="J640" s="8">
        <v>225</v>
      </c>
      <c r="K640" s="8">
        <v>500</v>
      </c>
      <c r="L640" s="37">
        <v>56250000</v>
      </c>
      <c r="M640" s="40">
        <v>7897801310598</v>
      </c>
      <c r="N640" s="35" t="s">
        <v>20</v>
      </c>
      <c r="O640" s="35" t="s">
        <v>20</v>
      </c>
      <c r="P640" s="35" t="s">
        <v>20</v>
      </c>
      <c r="Q640" s="6">
        <v>0.5</v>
      </c>
      <c r="R640" s="6">
        <v>0.22500000000000001</v>
      </c>
      <c r="S640" s="6">
        <v>0.5</v>
      </c>
      <c r="T640" s="37">
        <v>50</v>
      </c>
      <c r="U640" s="42" t="s">
        <v>991</v>
      </c>
      <c r="V640" s="89">
        <v>0</v>
      </c>
      <c r="W640" s="40">
        <v>17897801310595</v>
      </c>
      <c r="X640" s="35" t="s">
        <v>2424</v>
      </c>
      <c r="Y640" s="35" t="s">
        <v>2424</v>
      </c>
      <c r="Z640" s="35" t="s">
        <v>2424</v>
      </c>
      <c r="AA640" s="35" t="s">
        <v>2424</v>
      </c>
      <c r="AB640" s="37" t="s">
        <v>2424</v>
      </c>
      <c r="AC640" s="40">
        <v>27897801310592</v>
      </c>
      <c r="AD640" s="32" t="s">
        <v>992</v>
      </c>
    </row>
    <row r="641" spans="2:30" x14ac:dyDescent="0.35">
      <c r="B641" s="19">
        <v>1234</v>
      </c>
      <c r="C641" s="4" t="s">
        <v>2942</v>
      </c>
      <c r="D641" s="4" t="s">
        <v>2407</v>
      </c>
      <c r="E641" s="4" t="s">
        <v>2914</v>
      </c>
      <c r="F641" s="4" t="s">
        <v>587</v>
      </c>
      <c r="G641" s="4" t="s">
        <v>1016</v>
      </c>
      <c r="H641" s="6">
        <v>0.14630000000000001</v>
      </c>
      <c r="I641" s="8">
        <v>450</v>
      </c>
      <c r="J641" s="8">
        <v>230</v>
      </c>
      <c r="K641" s="8">
        <v>450</v>
      </c>
      <c r="L641" s="37">
        <v>46575000</v>
      </c>
      <c r="M641" s="40">
        <v>7897801310604</v>
      </c>
      <c r="N641" s="35" t="s">
        <v>20</v>
      </c>
      <c r="O641" s="35" t="s">
        <v>20</v>
      </c>
      <c r="P641" s="35" t="s">
        <v>20</v>
      </c>
      <c r="Q641" s="6">
        <v>0.45</v>
      </c>
      <c r="R641" s="6">
        <v>0.23</v>
      </c>
      <c r="S641" s="6">
        <v>0.45</v>
      </c>
      <c r="T641" s="37">
        <v>25</v>
      </c>
      <c r="U641" s="42" t="s">
        <v>991</v>
      </c>
      <c r="V641" s="89">
        <v>0</v>
      </c>
      <c r="W641" s="40">
        <v>17897801310601</v>
      </c>
      <c r="X641" s="35" t="s">
        <v>2424</v>
      </c>
      <c r="Y641" s="35" t="s">
        <v>2424</v>
      </c>
      <c r="Z641" s="35" t="s">
        <v>2424</v>
      </c>
      <c r="AA641" s="35" t="s">
        <v>2424</v>
      </c>
      <c r="AB641" s="37" t="s">
        <v>2424</v>
      </c>
      <c r="AC641" s="40">
        <v>27897801310608</v>
      </c>
      <c r="AD641" s="32" t="s">
        <v>992</v>
      </c>
    </row>
    <row r="642" spans="2:30" x14ac:dyDescent="0.35">
      <c r="B642" s="19">
        <v>1235</v>
      </c>
      <c r="C642" s="24" t="s">
        <v>634</v>
      </c>
      <c r="D642" s="4" t="s">
        <v>2407</v>
      </c>
      <c r="E642" s="4" t="s">
        <v>2914</v>
      </c>
      <c r="F642" s="4" t="s">
        <v>587</v>
      </c>
      <c r="G642" s="4" t="s">
        <v>1016</v>
      </c>
      <c r="H642" s="6">
        <v>9.1999999999999998E-2</v>
      </c>
      <c r="I642" s="8">
        <v>170</v>
      </c>
      <c r="J642" s="8">
        <v>460</v>
      </c>
      <c r="K642" s="8">
        <v>460</v>
      </c>
      <c r="L642" s="37">
        <f t="shared" si="33"/>
        <v>35972000</v>
      </c>
      <c r="M642" s="40">
        <v>7897801309646</v>
      </c>
      <c r="N642" s="35" t="s">
        <v>20</v>
      </c>
      <c r="O642" s="35" t="s">
        <v>20</v>
      </c>
      <c r="P642" s="35" t="s">
        <v>20</v>
      </c>
      <c r="Q642" s="6">
        <v>0.39500000000000002</v>
      </c>
      <c r="R642" s="6">
        <v>0.245</v>
      </c>
      <c r="S642" s="6">
        <v>0.39500000000000002</v>
      </c>
      <c r="T642" s="37">
        <v>50</v>
      </c>
      <c r="U642" s="42" t="s">
        <v>991</v>
      </c>
      <c r="V642" s="89">
        <v>0</v>
      </c>
      <c r="W642" s="40">
        <v>17897801309643</v>
      </c>
      <c r="X642" s="35" t="s">
        <v>20</v>
      </c>
      <c r="Y642" s="35" t="s">
        <v>20</v>
      </c>
      <c r="Z642" s="35" t="s">
        <v>20</v>
      </c>
      <c r="AA642" s="35"/>
      <c r="AB642" s="37">
        <v>0</v>
      </c>
      <c r="AC642" s="40">
        <v>27897801309640</v>
      </c>
      <c r="AD642" s="32" t="s">
        <v>992</v>
      </c>
    </row>
    <row r="643" spans="2:30" x14ac:dyDescent="0.35">
      <c r="B643" s="19">
        <v>1236</v>
      </c>
      <c r="C643" s="24" t="s">
        <v>635</v>
      </c>
      <c r="D643" s="4" t="s">
        <v>2407</v>
      </c>
      <c r="E643" s="4" t="s">
        <v>2914</v>
      </c>
      <c r="F643" s="4" t="s">
        <v>587</v>
      </c>
      <c r="G643" s="4" t="s">
        <v>1016</v>
      </c>
      <c r="H643" s="6">
        <v>0.1</v>
      </c>
      <c r="I643" s="8">
        <v>250</v>
      </c>
      <c r="J643" s="8">
        <v>490</v>
      </c>
      <c r="K643" s="8">
        <v>490</v>
      </c>
      <c r="L643" s="37">
        <f t="shared" si="33"/>
        <v>60025000</v>
      </c>
      <c r="M643" s="40">
        <v>7897801309653</v>
      </c>
      <c r="N643" s="35" t="s">
        <v>20</v>
      </c>
      <c r="O643" s="35" t="s">
        <v>20</v>
      </c>
      <c r="P643" s="35" t="s">
        <v>20</v>
      </c>
      <c r="Q643" s="6">
        <v>0.495</v>
      </c>
      <c r="R643" s="6">
        <v>0.215</v>
      </c>
      <c r="S643" s="6">
        <v>0.495</v>
      </c>
      <c r="T643" s="37">
        <v>50</v>
      </c>
      <c r="U643" s="42" t="s">
        <v>991</v>
      </c>
      <c r="V643" s="89">
        <v>0</v>
      </c>
      <c r="W643" s="40">
        <v>17897801309650</v>
      </c>
      <c r="X643" s="35" t="s">
        <v>20</v>
      </c>
      <c r="Y643" s="35" t="s">
        <v>20</v>
      </c>
      <c r="Z643" s="35" t="s">
        <v>20</v>
      </c>
      <c r="AA643" s="35"/>
      <c r="AB643" s="37">
        <v>0</v>
      </c>
      <c r="AC643" s="40">
        <v>27897801309657</v>
      </c>
      <c r="AD643" s="32" t="s">
        <v>992</v>
      </c>
    </row>
    <row r="644" spans="2:30" x14ac:dyDescent="0.35">
      <c r="B644" s="19">
        <v>1237</v>
      </c>
      <c r="C644" s="4" t="s">
        <v>636</v>
      </c>
      <c r="D644" s="4" t="s">
        <v>2407</v>
      </c>
      <c r="E644" s="4" t="s">
        <v>2914</v>
      </c>
      <c r="F644" s="4" t="s">
        <v>587</v>
      </c>
      <c r="G644" s="4" t="s">
        <v>1016</v>
      </c>
      <c r="H644" s="6">
        <v>0.14399999999999999</v>
      </c>
      <c r="I644" s="8">
        <v>190</v>
      </c>
      <c r="J644" s="8">
        <v>500</v>
      </c>
      <c r="K644" s="8">
        <v>500</v>
      </c>
      <c r="L644" s="37">
        <f t="shared" si="33"/>
        <v>47500000</v>
      </c>
      <c r="M644" s="40">
        <v>7897801309660</v>
      </c>
      <c r="N644" s="35" t="s">
        <v>20</v>
      </c>
      <c r="O644" s="35" t="s">
        <v>20</v>
      </c>
      <c r="P644" s="35" t="s">
        <v>20</v>
      </c>
      <c r="Q644" s="6">
        <v>0.46</v>
      </c>
      <c r="R644" s="6">
        <v>0.24</v>
      </c>
      <c r="S644" s="6">
        <v>0.46</v>
      </c>
      <c r="T644" s="37">
        <v>25</v>
      </c>
      <c r="U644" s="42" t="s">
        <v>991</v>
      </c>
      <c r="V644" s="89">
        <v>0</v>
      </c>
      <c r="W644" s="40">
        <v>17897801309667</v>
      </c>
      <c r="X644" s="35" t="s">
        <v>20</v>
      </c>
      <c r="Y644" s="35" t="s">
        <v>20</v>
      </c>
      <c r="Z644" s="35" t="s">
        <v>20</v>
      </c>
      <c r="AA644" s="35"/>
      <c r="AB644" s="37">
        <v>0</v>
      </c>
      <c r="AC644" s="40">
        <v>27897801309664</v>
      </c>
      <c r="AD644" s="32" t="s">
        <v>992</v>
      </c>
    </row>
    <row r="645" spans="2:30" x14ac:dyDescent="0.35">
      <c r="B645" s="19">
        <v>1245</v>
      </c>
      <c r="C645" s="4" t="s">
        <v>637</v>
      </c>
      <c r="D645" s="4" t="s">
        <v>2392</v>
      </c>
      <c r="E645" s="4" t="s">
        <v>2914</v>
      </c>
      <c r="F645" s="4" t="s">
        <v>85</v>
      </c>
      <c r="G645" s="4" t="s">
        <v>993</v>
      </c>
      <c r="H645" s="6">
        <v>6.1999999999999998E-3</v>
      </c>
      <c r="I645" s="8">
        <v>37</v>
      </c>
      <c r="J645" s="8">
        <v>26</v>
      </c>
      <c r="K645" s="8">
        <v>37</v>
      </c>
      <c r="L645" s="37">
        <f t="shared" si="33"/>
        <v>35594</v>
      </c>
      <c r="M645" s="40">
        <v>7897801309981</v>
      </c>
      <c r="N645" s="35" t="s">
        <v>20</v>
      </c>
      <c r="O645" s="35" t="s">
        <v>20</v>
      </c>
      <c r="P645" s="35" t="s">
        <v>20</v>
      </c>
      <c r="Q645" s="6">
        <v>0.17</v>
      </c>
      <c r="R645" s="6">
        <v>0.05</v>
      </c>
      <c r="S645" s="6">
        <v>0.24</v>
      </c>
      <c r="T645" s="37">
        <v>50</v>
      </c>
      <c r="U645" s="42" t="s">
        <v>994</v>
      </c>
      <c r="V645" s="89">
        <v>0</v>
      </c>
      <c r="W645" s="40">
        <v>17897801309988</v>
      </c>
      <c r="X645" s="35">
        <v>0.51</v>
      </c>
      <c r="Y645" s="35">
        <v>0.17</v>
      </c>
      <c r="Z645" s="35">
        <v>0.74</v>
      </c>
      <c r="AA645" s="35">
        <f t="shared" ref="AA645:AA650" si="35">Y645*X645*Z645</f>
        <v>6.4158000000000007E-2</v>
      </c>
      <c r="AB645" s="37">
        <v>1500</v>
      </c>
      <c r="AC645" s="40">
        <v>27897801309985</v>
      </c>
      <c r="AD645" s="32" t="s">
        <v>992</v>
      </c>
    </row>
    <row r="646" spans="2:30" x14ac:dyDescent="0.35">
      <c r="B646" s="14">
        <v>1246</v>
      </c>
      <c r="C646" s="4" t="s">
        <v>638</v>
      </c>
      <c r="D646" s="4" t="s">
        <v>2392</v>
      </c>
      <c r="E646" s="4" t="s">
        <v>2914</v>
      </c>
      <c r="F646" s="4" t="s">
        <v>85</v>
      </c>
      <c r="G646" s="4" t="s">
        <v>993</v>
      </c>
      <c r="H646" s="6">
        <v>9.1999999999999998E-3</v>
      </c>
      <c r="I646" s="8">
        <v>41</v>
      </c>
      <c r="J646" s="8">
        <v>30</v>
      </c>
      <c r="K646" s="8">
        <v>41</v>
      </c>
      <c r="L646" s="8">
        <f t="shared" si="33"/>
        <v>50430</v>
      </c>
      <c r="M646" s="15">
        <v>7897801309998</v>
      </c>
      <c r="N646" s="6" t="s">
        <v>20</v>
      </c>
      <c r="O646" s="6" t="s">
        <v>20</v>
      </c>
      <c r="P646" s="6" t="s">
        <v>20</v>
      </c>
      <c r="Q646" s="6">
        <v>0.18</v>
      </c>
      <c r="R646" s="6">
        <v>0.08</v>
      </c>
      <c r="S646" s="6">
        <v>0.25</v>
      </c>
      <c r="T646" s="8">
        <v>50</v>
      </c>
      <c r="U646" s="5" t="s">
        <v>994</v>
      </c>
      <c r="V646" s="89">
        <v>0</v>
      </c>
      <c r="W646" s="15">
        <v>17897801309995</v>
      </c>
      <c r="X646" s="6">
        <v>0.46</v>
      </c>
      <c r="Y646" s="6">
        <v>0.25</v>
      </c>
      <c r="Z646" s="6">
        <v>0.68</v>
      </c>
      <c r="AA646" s="6">
        <f t="shared" si="35"/>
        <v>7.8200000000000006E-2</v>
      </c>
      <c r="AB646" s="8">
        <v>1200</v>
      </c>
      <c r="AC646" s="15">
        <v>27897801309992</v>
      </c>
      <c r="AD646" s="4" t="s">
        <v>992</v>
      </c>
    </row>
    <row r="647" spans="2:30" x14ac:dyDescent="0.35">
      <c r="B647" s="14">
        <v>1247</v>
      </c>
      <c r="C647" s="4" t="s">
        <v>639</v>
      </c>
      <c r="D647" s="4" t="s">
        <v>2392</v>
      </c>
      <c r="E647" s="4" t="s">
        <v>2914</v>
      </c>
      <c r="F647" s="4" t="s">
        <v>85</v>
      </c>
      <c r="G647" s="4" t="s">
        <v>993</v>
      </c>
      <c r="H647" s="6">
        <v>1.5599999999999999E-2</v>
      </c>
      <c r="I647" s="8">
        <v>42</v>
      </c>
      <c r="J647" s="8">
        <v>37</v>
      </c>
      <c r="K647" s="8">
        <v>42</v>
      </c>
      <c r="L647" s="8">
        <f t="shared" si="33"/>
        <v>65268</v>
      </c>
      <c r="M647" s="15">
        <v>7897801310000</v>
      </c>
      <c r="N647" s="6" t="s">
        <v>20</v>
      </c>
      <c r="O647" s="6" t="s">
        <v>20</v>
      </c>
      <c r="P647" s="6" t="s">
        <v>20</v>
      </c>
      <c r="Q647" s="6">
        <v>0.23</v>
      </c>
      <c r="R647" s="6">
        <v>0.08</v>
      </c>
      <c r="S647" s="6">
        <v>0.26</v>
      </c>
      <c r="T647" s="8">
        <v>30</v>
      </c>
      <c r="U647" s="5" t="s">
        <v>994</v>
      </c>
      <c r="V647" s="89">
        <v>0</v>
      </c>
      <c r="W647" s="15">
        <v>17897801310007</v>
      </c>
      <c r="X647" s="6">
        <v>0.57999999999999996</v>
      </c>
      <c r="Y647" s="6">
        <v>0.24</v>
      </c>
      <c r="Z647" s="6">
        <v>0.83</v>
      </c>
      <c r="AA647" s="6">
        <f t="shared" si="35"/>
        <v>0.11553599999999999</v>
      </c>
      <c r="AB647" s="8">
        <v>900</v>
      </c>
      <c r="AC647" s="15">
        <v>27897801310004</v>
      </c>
      <c r="AD647" s="4" t="s">
        <v>992</v>
      </c>
    </row>
    <row r="648" spans="2:30" x14ac:dyDescent="0.35">
      <c r="B648" s="14">
        <v>1250</v>
      </c>
      <c r="C648" s="4" t="s">
        <v>640</v>
      </c>
      <c r="D648" s="4" t="s">
        <v>2392</v>
      </c>
      <c r="E648" s="4" t="s">
        <v>2914</v>
      </c>
      <c r="F648" s="4" t="s">
        <v>85</v>
      </c>
      <c r="G648" s="4" t="s">
        <v>993</v>
      </c>
      <c r="H648" s="6">
        <v>6.0000000000000001E-3</v>
      </c>
      <c r="I648" s="8">
        <v>37</v>
      </c>
      <c r="J648" s="8">
        <v>24</v>
      </c>
      <c r="K648" s="8">
        <v>37</v>
      </c>
      <c r="L648" s="8">
        <f t="shared" si="33"/>
        <v>32856</v>
      </c>
      <c r="M648" s="15">
        <v>7897801310239</v>
      </c>
      <c r="N648" s="6" t="s">
        <v>20</v>
      </c>
      <c r="O648" s="6" t="s">
        <v>20</v>
      </c>
      <c r="P648" s="6" t="s">
        <v>20</v>
      </c>
      <c r="Q648" s="6">
        <v>0.14000000000000001</v>
      </c>
      <c r="R648" s="6">
        <v>7.0000000000000007E-2</v>
      </c>
      <c r="S648" s="6">
        <v>0.2</v>
      </c>
      <c r="T648" s="8">
        <v>50</v>
      </c>
      <c r="U648" s="5" t="s">
        <v>994</v>
      </c>
      <c r="V648" s="89">
        <v>0</v>
      </c>
      <c r="W648" s="15">
        <v>17897801310236</v>
      </c>
      <c r="X648" s="6">
        <v>0.5</v>
      </c>
      <c r="Y648" s="6">
        <v>0.15</v>
      </c>
      <c r="Z648" s="6">
        <v>0.7</v>
      </c>
      <c r="AA648" s="6">
        <f t="shared" si="35"/>
        <v>5.2499999999999998E-2</v>
      </c>
      <c r="AB648" s="8">
        <v>1500</v>
      </c>
      <c r="AC648" s="15">
        <v>27897801310233</v>
      </c>
      <c r="AD648" s="4" t="s">
        <v>992</v>
      </c>
    </row>
    <row r="649" spans="2:30" x14ac:dyDescent="0.35">
      <c r="B649" s="14">
        <v>1251</v>
      </c>
      <c r="C649" s="4" t="s">
        <v>641</v>
      </c>
      <c r="D649" s="4" t="s">
        <v>2392</v>
      </c>
      <c r="E649" s="4" t="s">
        <v>2914</v>
      </c>
      <c r="F649" s="4" t="s">
        <v>85</v>
      </c>
      <c r="G649" s="4" t="s">
        <v>993</v>
      </c>
      <c r="H649" s="6">
        <v>8.9999999999999993E-3</v>
      </c>
      <c r="I649" s="8">
        <v>41</v>
      </c>
      <c r="J649" s="8">
        <v>29</v>
      </c>
      <c r="K649" s="8">
        <v>41</v>
      </c>
      <c r="L649" s="8">
        <f t="shared" si="33"/>
        <v>48749</v>
      </c>
      <c r="M649" s="15">
        <v>7897801310246</v>
      </c>
      <c r="N649" s="6" t="s">
        <v>20</v>
      </c>
      <c r="O649" s="6" t="s">
        <v>20</v>
      </c>
      <c r="P649" s="6" t="s">
        <v>20</v>
      </c>
      <c r="Q649" s="6">
        <v>0.15</v>
      </c>
      <c r="R649" s="6">
        <v>7.0000000000000007E-2</v>
      </c>
      <c r="S649" s="6">
        <v>0.25</v>
      </c>
      <c r="T649" s="8">
        <v>50</v>
      </c>
      <c r="U649" s="5" t="s">
        <v>994</v>
      </c>
      <c r="V649" s="89">
        <v>0</v>
      </c>
      <c r="W649" s="15">
        <v>17897801310243</v>
      </c>
      <c r="X649" s="6">
        <v>0.45</v>
      </c>
      <c r="Y649" s="6">
        <v>0.21</v>
      </c>
      <c r="Z649" s="6">
        <v>0.65</v>
      </c>
      <c r="AA649" s="6">
        <f t="shared" si="35"/>
        <v>6.1425E-2</v>
      </c>
      <c r="AB649" s="8">
        <v>1200</v>
      </c>
      <c r="AC649" s="15">
        <v>27897801310240</v>
      </c>
      <c r="AD649" s="4" t="s">
        <v>992</v>
      </c>
    </row>
    <row r="650" spans="2:30" x14ac:dyDescent="0.35">
      <c r="B650" s="14">
        <v>1252</v>
      </c>
      <c r="C650" s="4" t="s">
        <v>642</v>
      </c>
      <c r="D650" s="4" t="s">
        <v>2392</v>
      </c>
      <c r="E650" s="4" t="s">
        <v>2914</v>
      </c>
      <c r="F650" s="4" t="s">
        <v>85</v>
      </c>
      <c r="G650" s="4" t="s">
        <v>993</v>
      </c>
      <c r="H650" s="6">
        <v>1.55E-2</v>
      </c>
      <c r="I650" s="8">
        <v>42</v>
      </c>
      <c r="J650" s="8">
        <v>38</v>
      </c>
      <c r="K650" s="8">
        <v>38</v>
      </c>
      <c r="L650" s="8">
        <f t="shared" si="33"/>
        <v>60648</v>
      </c>
      <c r="M650" s="15">
        <v>7897801310253</v>
      </c>
      <c r="N650" s="6" t="s">
        <v>20</v>
      </c>
      <c r="O650" s="6" t="s">
        <v>20</v>
      </c>
      <c r="P650" s="6" t="s">
        <v>20</v>
      </c>
      <c r="Q650" s="6">
        <v>0.23499999999999999</v>
      </c>
      <c r="R650" s="6">
        <v>4.2999999999999997E-2</v>
      </c>
      <c r="S650" s="6">
        <v>0.26</v>
      </c>
      <c r="T650" s="8">
        <v>30</v>
      </c>
      <c r="U650" s="5" t="s">
        <v>994</v>
      </c>
      <c r="V650" s="89">
        <v>0</v>
      </c>
      <c r="W650" s="15">
        <v>17897801310250</v>
      </c>
      <c r="X650" s="6">
        <v>0.62</v>
      </c>
      <c r="Y650" s="6">
        <v>0.18</v>
      </c>
      <c r="Z650" s="6">
        <v>0.87</v>
      </c>
      <c r="AA650" s="6">
        <f t="shared" si="35"/>
        <v>9.7091999999999998E-2</v>
      </c>
      <c r="AB650" s="8">
        <v>900</v>
      </c>
      <c r="AC650" s="15">
        <v>27897801310257</v>
      </c>
      <c r="AD650" s="4" t="s">
        <v>992</v>
      </c>
    </row>
    <row r="651" spans="2:30" x14ac:dyDescent="0.35">
      <c r="B651" s="18">
        <v>1254</v>
      </c>
      <c r="C651" s="4" t="s">
        <v>1024</v>
      </c>
      <c r="D651" s="4" t="s">
        <v>2395</v>
      </c>
      <c r="E651" s="4" t="s">
        <v>2914</v>
      </c>
      <c r="F651" s="4" t="s">
        <v>85</v>
      </c>
      <c r="G651" s="4" t="s">
        <v>993</v>
      </c>
      <c r="H651" s="6">
        <v>7.3700000000000002E-2</v>
      </c>
      <c r="I651" s="8">
        <v>105</v>
      </c>
      <c r="J651" s="8">
        <v>57</v>
      </c>
      <c r="K651" s="8">
        <v>105</v>
      </c>
      <c r="L651" s="17">
        <v>7.7999999999999996E-3</v>
      </c>
      <c r="M651" s="15">
        <v>7897801319294</v>
      </c>
      <c r="N651" s="6" t="s">
        <v>20</v>
      </c>
      <c r="O651" s="6" t="s">
        <v>20</v>
      </c>
      <c r="P651" s="6" t="s">
        <v>20</v>
      </c>
      <c r="Q651" s="6">
        <v>0.215</v>
      </c>
      <c r="R651" s="6">
        <v>0.11</v>
      </c>
      <c r="S651" s="6">
        <v>0.33</v>
      </c>
      <c r="T651" s="8">
        <v>12</v>
      </c>
      <c r="U651" s="5" t="s">
        <v>2332</v>
      </c>
      <c r="V651" s="89">
        <v>0</v>
      </c>
      <c r="W651" s="15">
        <v>17897801319291</v>
      </c>
      <c r="X651" s="6">
        <v>0.7</v>
      </c>
      <c r="Y651" s="6">
        <v>0.25</v>
      </c>
      <c r="Z651" s="6">
        <v>1</v>
      </c>
      <c r="AA651" s="6">
        <v>0.17499999999999999</v>
      </c>
      <c r="AB651" s="8">
        <v>120</v>
      </c>
      <c r="AC651" s="15">
        <v>27897801319298</v>
      </c>
      <c r="AD651" s="4" t="s">
        <v>992</v>
      </c>
    </row>
    <row r="652" spans="2:30" x14ac:dyDescent="0.35">
      <c r="B652" s="14">
        <v>1255</v>
      </c>
      <c r="C652" s="4" t="s">
        <v>643</v>
      </c>
      <c r="D652" s="4" t="s">
        <v>2395</v>
      </c>
      <c r="E652" s="4" t="s">
        <v>2914</v>
      </c>
      <c r="F652" s="4" t="s">
        <v>85</v>
      </c>
      <c r="G652" s="4" t="s">
        <v>993</v>
      </c>
      <c r="H652" s="6">
        <v>7.0999999999999994E-2</v>
      </c>
      <c r="I652" s="8">
        <v>106</v>
      </c>
      <c r="J652" s="8">
        <v>570</v>
      </c>
      <c r="K652" s="8">
        <v>106</v>
      </c>
      <c r="L652" s="8">
        <f>J652*I652*K652</f>
        <v>6404520</v>
      </c>
      <c r="M652" s="15">
        <v>7897801310475</v>
      </c>
      <c r="N652" s="6" t="s">
        <v>20</v>
      </c>
      <c r="O652" s="6" t="s">
        <v>20</v>
      </c>
      <c r="P652" s="6" t="s">
        <v>20</v>
      </c>
      <c r="Q652" s="6">
        <v>0.22</v>
      </c>
      <c r="R652" s="6">
        <v>0.12</v>
      </c>
      <c r="S652" s="6">
        <v>0.33</v>
      </c>
      <c r="T652" s="8">
        <v>12</v>
      </c>
      <c r="U652" s="5" t="s">
        <v>2332</v>
      </c>
      <c r="V652" s="89">
        <v>0</v>
      </c>
      <c r="W652" s="15">
        <v>17897801310472</v>
      </c>
      <c r="X652" s="6">
        <v>0.49</v>
      </c>
      <c r="Y652" s="6">
        <v>0.22</v>
      </c>
      <c r="Z652" s="6">
        <v>0.68</v>
      </c>
      <c r="AA652" s="6">
        <f>Y652*X652*Z652</f>
        <v>7.3303999999999994E-2</v>
      </c>
      <c r="AB652" s="8">
        <v>120</v>
      </c>
      <c r="AC652" s="15">
        <v>27897801310479</v>
      </c>
      <c r="AD652" s="4" t="s">
        <v>992</v>
      </c>
    </row>
    <row r="653" spans="2:30" x14ac:dyDescent="0.35">
      <c r="B653" s="14">
        <v>1256</v>
      </c>
      <c r="C653" s="4" t="s">
        <v>644</v>
      </c>
      <c r="D653" s="4" t="s">
        <v>2395</v>
      </c>
      <c r="E653" s="4" t="s">
        <v>2914</v>
      </c>
      <c r="F653" s="4" t="s">
        <v>85</v>
      </c>
      <c r="G653" s="4" t="s">
        <v>993</v>
      </c>
      <c r="H653" s="6">
        <v>0.15359999999999999</v>
      </c>
      <c r="I653" s="8">
        <v>280</v>
      </c>
      <c r="J653" s="8">
        <v>60</v>
      </c>
      <c r="K653" s="8">
        <v>120</v>
      </c>
      <c r="L653" s="8">
        <f>J653*I653*K653</f>
        <v>2016000</v>
      </c>
      <c r="M653" s="15">
        <v>7897801312578</v>
      </c>
      <c r="N653" s="6" t="s">
        <v>20</v>
      </c>
      <c r="O653" s="6" t="s">
        <v>20</v>
      </c>
      <c r="P653" s="6" t="s">
        <v>20</v>
      </c>
      <c r="Q653" s="6">
        <v>0.38</v>
      </c>
      <c r="R653" s="6">
        <v>0.14000000000000001</v>
      </c>
      <c r="S653" s="6">
        <v>0.5</v>
      </c>
      <c r="T653" s="8">
        <v>10</v>
      </c>
      <c r="U653" s="5" t="s">
        <v>994</v>
      </c>
      <c r="V653" s="89">
        <v>3.2500000000000001E-2</v>
      </c>
      <c r="W653" s="15">
        <v>17897801312575</v>
      </c>
      <c r="X653" s="6" t="s">
        <v>20</v>
      </c>
      <c r="Y653" s="6" t="s">
        <v>20</v>
      </c>
      <c r="Z653" s="6" t="s">
        <v>20</v>
      </c>
      <c r="AA653" s="6"/>
      <c r="AB653" s="8">
        <v>0</v>
      </c>
      <c r="AC653" s="15">
        <v>27897801312572</v>
      </c>
      <c r="AD653" s="4" t="s">
        <v>992</v>
      </c>
    </row>
    <row r="654" spans="2:30" x14ac:dyDescent="0.35">
      <c r="B654" s="14">
        <v>1257</v>
      </c>
      <c r="C654" s="4" t="s">
        <v>645</v>
      </c>
      <c r="D654" s="4" t="s">
        <v>2395</v>
      </c>
      <c r="E654" s="4" t="s">
        <v>2914</v>
      </c>
      <c r="F654" s="4" t="s">
        <v>85</v>
      </c>
      <c r="G654" s="4" t="s">
        <v>993</v>
      </c>
      <c r="H654" s="6">
        <v>0.1648</v>
      </c>
      <c r="I654" s="8">
        <v>330</v>
      </c>
      <c r="J654" s="8">
        <v>60</v>
      </c>
      <c r="K654" s="8">
        <v>120</v>
      </c>
      <c r="L654" s="8">
        <f>J654*I654*K654</f>
        <v>2376000</v>
      </c>
      <c r="M654" s="15">
        <v>7897801312585</v>
      </c>
      <c r="N654" s="6" t="s">
        <v>20</v>
      </c>
      <c r="O654" s="6" t="s">
        <v>20</v>
      </c>
      <c r="P654" s="6" t="s">
        <v>20</v>
      </c>
      <c r="Q654" s="6">
        <v>0.42499999999999999</v>
      </c>
      <c r="R654" s="6">
        <v>0.11700000000000001</v>
      </c>
      <c r="S654" s="6">
        <v>0.55000000000000004</v>
      </c>
      <c r="T654" s="8">
        <v>10</v>
      </c>
      <c r="U654" s="5" t="s">
        <v>994</v>
      </c>
      <c r="V654" s="89">
        <v>3.2500000000000001E-2</v>
      </c>
      <c r="W654" s="15">
        <v>17897801312582</v>
      </c>
      <c r="X654" s="6" t="s">
        <v>20</v>
      </c>
      <c r="Y654" s="6" t="s">
        <v>20</v>
      </c>
      <c r="Z654" s="6" t="s">
        <v>20</v>
      </c>
      <c r="AA654" s="6"/>
      <c r="AB654" s="8">
        <v>0</v>
      </c>
      <c r="AC654" s="15">
        <v>27897801312589</v>
      </c>
      <c r="AD654" s="4" t="s">
        <v>992</v>
      </c>
    </row>
    <row r="655" spans="2:30" x14ac:dyDescent="0.35">
      <c r="B655" s="14">
        <v>1260</v>
      </c>
      <c r="C655" s="4" t="s">
        <v>646</v>
      </c>
      <c r="D655" s="4" t="s">
        <v>2395</v>
      </c>
      <c r="E655" s="4" t="s">
        <v>2914</v>
      </c>
      <c r="F655" s="4" t="s">
        <v>85</v>
      </c>
      <c r="G655" s="4" t="s">
        <v>993</v>
      </c>
      <c r="H655" s="6">
        <v>4.53E-2</v>
      </c>
      <c r="I655" s="8">
        <v>52</v>
      </c>
      <c r="J655" s="8">
        <v>120</v>
      </c>
      <c r="K655" s="8">
        <v>120</v>
      </c>
      <c r="L655" s="8">
        <f>J655*I655*K655</f>
        <v>748800</v>
      </c>
      <c r="M655" s="15">
        <v>7897801310468</v>
      </c>
      <c r="N655" s="6" t="s">
        <v>20</v>
      </c>
      <c r="O655" s="6" t="s">
        <v>20</v>
      </c>
      <c r="P655" s="6" t="s">
        <v>20</v>
      </c>
      <c r="Q655" s="6">
        <v>0.21</v>
      </c>
      <c r="R655" s="6">
        <v>0.11</v>
      </c>
      <c r="S655" s="6">
        <v>0.33</v>
      </c>
      <c r="T655" s="8">
        <v>12</v>
      </c>
      <c r="U655" s="5" t="s">
        <v>994</v>
      </c>
      <c r="V655" s="89">
        <v>3.2500000000000001E-2</v>
      </c>
      <c r="W655" s="15">
        <v>17897801310465</v>
      </c>
      <c r="X655" s="6">
        <v>0.5</v>
      </c>
      <c r="Y655" s="6">
        <v>0.24</v>
      </c>
      <c r="Z655" s="6">
        <v>0.7</v>
      </c>
      <c r="AA655" s="6">
        <f>Y655*X655*Z655</f>
        <v>8.3999999999999991E-2</v>
      </c>
      <c r="AB655" s="8">
        <v>120</v>
      </c>
      <c r="AC655" s="15">
        <v>27897801310462</v>
      </c>
      <c r="AD655" s="4" t="s">
        <v>992</v>
      </c>
    </row>
    <row r="656" spans="2:30" x14ac:dyDescent="0.35">
      <c r="B656" s="14">
        <v>1261</v>
      </c>
      <c r="C656" s="4" t="s">
        <v>647</v>
      </c>
      <c r="D656" s="4" t="s">
        <v>2395</v>
      </c>
      <c r="E656" s="4" t="s">
        <v>2914</v>
      </c>
      <c r="F656" s="4" t="s">
        <v>85</v>
      </c>
      <c r="G656" s="4" t="s">
        <v>993</v>
      </c>
      <c r="H656" s="6">
        <v>4.8399999999999999E-2</v>
      </c>
      <c r="I656" s="8">
        <v>100</v>
      </c>
      <c r="J656" s="8">
        <v>60</v>
      </c>
      <c r="K656" s="8">
        <v>100</v>
      </c>
      <c r="L656" s="8">
        <f>J656*I656*K656</f>
        <v>600000</v>
      </c>
      <c r="M656" s="15">
        <v>7897801312653</v>
      </c>
      <c r="N656" s="6" t="s">
        <v>20</v>
      </c>
      <c r="O656" s="6" t="s">
        <v>20</v>
      </c>
      <c r="P656" s="6" t="s">
        <v>20</v>
      </c>
      <c r="Q656" s="6">
        <v>0.22</v>
      </c>
      <c r="R656" s="6">
        <v>0.105</v>
      </c>
      <c r="S656" s="6">
        <v>0.33</v>
      </c>
      <c r="T656" s="8">
        <v>12</v>
      </c>
      <c r="U656" s="5" t="s">
        <v>994</v>
      </c>
      <c r="V656" s="89">
        <v>3.2500000000000001E-2</v>
      </c>
      <c r="W656" s="15">
        <v>17897801312650</v>
      </c>
      <c r="X656" s="6">
        <v>0.53</v>
      </c>
      <c r="Y656" s="6">
        <v>0.21</v>
      </c>
      <c r="Z656" s="6">
        <v>0.73</v>
      </c>
      <c r="AA656" s="6">
        <f>Y656*X656*Z656</f>
        <v>8.1249000000000002E-2</v>
      </c>
      <c r="AB656" s="8">
        <v>120</v>
      </c>
      <c r="AC656" s="15">
        <v>27897801312657</v>
      </c>
      <c r="AD656" s="4" t="s">
        <v>992</v>
      </c>
    </row>
    <row r="657" spans="2:30" x14ac:dyDescent="0.35">
      <c r="B657" s="14">
        <v>1265</v>
      </c>
      <c r="C657" s="24" t="s">
        <v>2952</v>
      </c>
      <c r="D657" s="4" t="s">
        <v>2395</v>
      </c>
      <c r="E657" s="4" t="s">
        <v>2914</v>
      </c>
      <c r="F657" s="4" t="s">
        <v>85</v>
      </c>
      <c r="G657" s="4" t="s">
        <v>993</v>
      </c>
      <c r="H657" s="6">
        <v>4.8239999999999998E-2</v>
      </c>
      <c r="I657" s="8">
        <v>115</v>
      </c>
      <c r="J657" s="8">
        <v>50</v>
      </c>
      <c r="K657" s="8">
        <v>75</v>
      </c>
      <c r="L657" s="8">
        <v>431250</v>
      </c>
      <c r="M657" s="15">
        <v>7897801310444</v>
      </c>
      <c r="N657" s="6" t="s">
        <v>20</v>
      </c>
      <c r="O657" s="6" t="s">
        <v>20</v>
      </c>
      <c r="P657" s="6" t="s">
        <v>20</v>
      </c>
      <c r="Q657" s="6">
        <v>0.115</v>
      </c>
      <c r="R657" s="6">
        <v>0.75</v>
      </c>
      <c r="S657" s="6">
        <v>0.54</v>
      </c>
      <c r="T657" s="8">
        <v>24</v>
      </c>
      <c r="U657" s="5" t="s">
        <v>2332</v>
      </c>
      <c r="V657" s="89">
        <v>3.2500000000000001E-2</v>
      </c>
      <c r="W657" s="15">
        <v>17897801310441</v>
      </c>
      <c r="X657" s="6">
        <v>0.53500000000000003</v>
      </c>
      <c r="Y657" s="6">
        <v>0.17</v>
      </c>
      <c r="Z657" s="6">
        <v>0.6</v>
      </c>
      <c r="AA657" s="6">
        <v>5.4570000000000007E-2</v>
      </c>
      <c r="AB657" s="8">
        <v>240</v>
      </c>
      <c r="AC657" s="15">
        <v>27897801310448</v>
      </c>
      <c r="AD657" s="4" t="s">
        <v>992</v>
      </c>
    </row>
    <row r="658" spans="2:30" x14ac:dyDescent="0.35">
      <c r="B658" s="14">
        <v>1266</v>
      </c>
      <c r="C658" s="4" t="s">
        <v>649</v>
      </c>
      <c r="D658" s="4" t="s">
        <v>2395</v>
      </c>
      <c r="E658" s="4" t="s">
        <v>2914</v>
      </c>
      <c r="F658" s="4" t="s">
        <v>85</v>
      </c>
      <c r="G658" s="4" t="s">
        <v>993</v>
      </c>
      <c r="H658" s="6">
        <v>6.3500000000000001E-2</v>
      </c>
      <c r="I658" s="8">
        <v>47</v>
      </c>
      <c r="J658" s="8">
        <v>115</v>
      </c>
      <c r="K658" s="8">
        <v>115</v>
      </c>
      <c r="L658" s="8">
        <f t="shared" ref="L658:L683" si="36">J658*I658*K658</f>
        <v>621575</v>
      </c>
      <c r="M658" s="15">
        <v>7897801310321</v>
      </c>
      <c r="N658" s="6" t="s">
        <v>20</v>
      </c>
      <c r="O658" s="6" t="s">
        <v>20</v>
      </c>
      <c r="P658" s="6" t="s">
        <v>20</v>
      </c>
      <c r="Q658" s="6">
        <v>0.22500000000000001</v>
      </c>
      <c r="R658" s="6">
        <v>0.11</v>
      </c>
      <c r="S658" s="6">
        <v>0.43</v>
      </c>
      <c r="T658" s="8">
        <v>20</v>
      </c>
      <c r="U658" s="5" t="s">
        <v>2332</v>
      </c>
      <c r="V658" s="89">
        <v>3.2500000000000001E-2</v>
      </c>
      <c r="W658" s="15">
        <v>17897801310328</v>
      </c>
      <c r="X658" s="6">
        <v>0.43</v>
      </c>
      <c r="Y658" s="6">
        <v>0.23</v>
      </c>
      <c r="Z658" s="6">
        <v>0.64</v>
      </c>
      <c r="AA658" s="6">
        <f>Y658*X658*Z658</f>
        <v>6.3296000000000005E-2</v>
      </c>
      <c r="AB658" s="8">
        <v>120</v>
      </c>
      <c r="AC658" s="15">
        <v>27897801310325</v>
      </c>
      <c r="AD658" s="4" t="s">
        <v>992</v>
      </c>
    </row>
    <row r="659" spans="2:30" x14ac:dyDescent="0.35">
      <c r="B659" s="14">
        <v>1269</v>
      </c>
      <c r="C659" s="74" t="s">
        <v>648</v>
      </c>
      <c r="D659" s="4" t="s">
        <v>2395</v>
      </c>
      <c r="E659" s="4" t="s">
        <v>2914</v>
      </c>
      <c r="F659" s="4" t="s">
        <v>85</v>
      </c>
      <c r="G659" s="4" t="s">
        <v>993</v>
      </c>
      <c r="H659" s="6">
        <v>4.7199999999999999E-2</v>
      </c>
      <c r="I659" s="8"/>
      <c r="J659" s="8"/>
      <c r="K659" s="8"/>
      <c r="L659" s="8"/>
      <c r="M659" s="15">
        <v>7897801325318</v>
      </c>
      <c r="N659" s="6" t="s">
        <v>20</v>
      </c>
      <c r="O659" s="6" t="s">
        <v>20</v>
      </c>
      <c r="P659" s="6" t="s">
        <v>20</v>
      </c>
      <c r="Q659" s="6"/>
      <c r="R659" s="6"/>
      <c r="S659" s="6"/>
      <c r="T659" s="8">
        <v>24</v>
      </c>
      <c r="U659" s="5" t="s">
        <v>2332</v>
      </c>
      <c r="V659" s="89">
        <v>3.2500000000000001E-2</v>
      </c>
      <c r="W659" s="15">
        <v>17897801325315</v>
      </c>
      <c r="X659" s="6"/>
      <c r="Y659" s="6"/>
      <c r="Z659" s="6"/>
      <c r="AA659" s="6"/>
      <c r="AB659" s="8">
        <v>240</v>
      </c>
      <c r="AC659" s="15">
        <v>27897801325312</v>
      </c>
      <c r="AD659" s="4" t="s">
        <v>992</v>
      </c>
    </row>
    <row r="660" spans="2:30" x14ac:dyDescent="0.35">
      <c r="B660" s="14">
        <v>1270</v>
      </c>
      <c r="C660" s="4" t="s">
        <v>650</v>
      </c>
      <c r="D660" s="4" t="s">
        <v>2372</v>
      </c>
      <c r="E660" s="4" t="s">
        <v>2914</v>
      </c>
      <c r="F660" s="4" t="s">
        <v>85</v>
      </c>
      <c r="G660" s="4" t="s">
        <v>1014</v>
      </c>
      <c r="H660" s="6">
        <v>0.58699999999999997</v>
      </c>
      <c r="I660" s="8">
        <v>20</v>
      </c>
      <c r="J660" s="8">
        <v>9.5</v>
      </c>
      <c r="K660" s="8">
        <v>18.5</v>
      </c>
      <c r="L660" s="8">
        <f t="shared" si="36"/>
        <v>3515</v>
      </c>
      <c r="M660" s="15">
        <v>7897801318167</v>
      </c>
      <c r="N660" s="6">
        <v>0.20499999999999999</v>
      </c>
      <c r="O660" s="6">
        <v>0.39500000000000002</v>
      </c>
      <c r="P660" s="6">
        <v>0.36499999999999999</v>
      </c>
      <c r="Q660" s="6">
        <v>0.185</v>
      </c>
      <c r="R660" s="6">
        <v>9.5000000000000001E-2</v>
      </c>
      <c r="S660" s="6">
        <v>0.2</v>
      </c>
      <c r="T660" s="8">
        <v>8</v>
      </c>
      <c r="U660" s="5" t="s">
        <v>1017</v>
      </c>
      <c r="V660" s="89">
        <v>9.7500000000000003E-2</v>
      </c>
      <c r="W660" s="15">
        <v>17897801318164</v>
      </c>
      <c r="X660" s="6">
        <v>0.40500000000000003</v>
      </c>
      <c r="Y660" s="6">
        <v>0.21</v>
      </c>
      <c r="Z660" s="6">
        <v>0.36499999999999999</v>
      </c>
      <c r="AA660" s="6">
        <f>Y660*X660*Z660</f>
        <v>3.1043249999999998E-2</v>
      </c>
      <c r="AB660" s="8">
        <v>0</v>
      </c>
      <c r="AC660" s="15">
        <v>27897801318161</v>
      </c>
      <c r="AD660" s="4" t="s">
        <v>992</v>
      </c>
    </row>
    <row r="661" spans="2:30" x14ac:dyDescent="0.35">
      <c r="B661" s="14">
        <v>1271</v>
      </c>
      <c r="C661" s="4" t="s">
        <v>651</v>
      </c>
      <c r="D661" s="4" t="s">
        <v>2372</v>
      </c>
      <c r="E661" s="4" t="s">
        <v>2914</v>
      </c>
      <c r="F661" s="4" t="s">
        <v>85</v>
      </c>
      <c r="G661" s="4" t="s">
        <v>1014</v>
      </c>
      <c r="H661" s="6">
        <v>0.88300000000000001</v>
      </c>
      <c r="I661" s="8">
        <v>27</v>
      </c>
      <c r="J661" s="8">
        <v>9.5</v>
      </c>
      <c r="K661" s="8">
        <v>21</v>
      </c>
      <c r="L661" s="8">
        <f t="shared" si="36"/>
        <v>5386.5</v>
      </c>
      <c r="M661" s="15">
        <v>7897801318174</v>
      </c>
      <c r="N661" s="6">
        <v>0.31</v>
      </c>
      <c r="O661" s="6">
        <v>0.42499999999999999</v>
      </c>
      <c r="P661" s="6">
        <v>0.375</v>
      </c>
      <c r="Q661" s="6">
        <v>0.37</v>
      </c>
      <c r="R661" s="6">
        <v>0.31</v>
      </c>
      <c r="S661" s="6">
        <v>0.435</v>
      </c>
      <c r="T661" s="8">
        <v>8</v>
      </c>
      <c r="U661" s="5" t="s">
        <v>1017</v>
      </c>
      <c r="V661" s="89">
        <v>9.7500000000000003E-2</v>
      </c>
      <c r="W661" s="15">
        <v>17897801318171</v>
      </c>
      <c r="X661" s="6" t="s">
        <v>20</v>
      </c>
      <c r="Y661" s="6" t="s">
        <v>20</v>
      </c>
      <c r="Z661" s="6" t="s">
        <v>20</v>
      </c>
      <c r="AA661" s="6"/>
      <c r="AB661" s="8">
        <v>0</v>
      </c>
      <c r="AC661" s="15">
        <v>27897801318178</v>
      </c>
      <c r="AD661" s="4" t="s">
        <v>992</v>
      </c>
    </row>
    <row r="662" spans="2:30" x14ac:dyDescent="0.35">
      <c r="B662" s="14">
        <v>1272</v>
      </c>
      <c r="C662" s="4" t="s">
        <v>652</v>
      </c>
      <c r="D662" s="4" t="s">
        <v>2372</v>
      </c>
      <c r="E662" s="4" t="s">
        <v>2914</v>
      </c>
      <c r="F662" s="4" t="s">
        <v>85</v>
      </c>
      <c r="G662" s="4" t="s">
        <v>1014</v>
      </c>
      <c r="H662" s="6">
        <v>1.1719999999999999</v>
      </c>
      <c r="I662" s="8">
        <v>34.799999999999997</v>
      </c>
      <c r="J662" s="8">
        <v>9.5</v>
      </c>
      <c r="K662" s="8">
        <v>22.8</v>
      </c>
      <c r="L662" s="8">
        <f t="shared" si="36"/>
        <v>7537.6799999999994</v>
      </c>
      <c r="M662" s="15">
        <v>7897801318181</v>
      </c>
      <c r="N662" s="6">
        <v>9.5000000000000001E-2</v>
      </c>
      <c r="O662" s="6">
        <v>0.35</v>
      </c>
      <c r="P662" s="6">
        <v>0.22800000000000001</v>
      </c>
      <c r="Q662" s="6">
        <v>0.21</v>
      </c>
      <c r="R662" s="6">
        <v>0.37</v>
      </c>
      <c r="S662" s="6">
        <v>0.44</v>
      </c>
      <c r="T662" s="8">
        <v>4</v>
      </c>
      <c r="U662" s="5" t="s">
        <v>1017</v>
      </c>
      <c r="V662" s="89">
        <v>9.7500000000000003E-2</v>
      </c>
      <c r="W662" s="15">
        <v>17897801318188</v>
      </c>
      <c r="X662" s="6">
        <v>0.20499999999999999</v>
      </c>
      <c r="Y662" s="6">
        <v>0.37</v>
      </c>
      <c r="Z662" s="6">
        <v>0.44</v>
      </c>
      <c r="AA662" s="6">
        <f>Y662*X662*Z662</f>
        <v>3.3374000000000001E-2</v>
      </c>
      <c r="AB662" s="8">
        <v>0</v>
      </c>
      <c r="AC662" s="15">
        <v>27897801318185</v>
      </c>
      <c r="AD662" s="4" t="s">
        <v>992</v>
      </c>
    </row>
    <row r="663" spans="2:30" x14ac:dyDescent="0.35">
      <c r="B663" s="14">
        <v>1273</v>
      </c>
      <c r="C663" s="4" t="s">
        <v>653</v>
      </c>
      <c r="D663" s="4" t="s">
        <v>2372</v>
      </c>
      <c r="E663" s="4" t="s">
        <v>2914</v>
      </c>
      <c r="F663" s="4" t="s">
        <v>85</v>
      </c>
      <c r="G663" s="4" t="s">
        <v>1014</v>
      </c>
      <c r="H663" s="6">
        <v>1.4758</v>
      </c>
      <c r="I663" s="8">
        <v>41.5</v>
      </c>
      <c r="J663" s="8">
        <v>9.5</v>
      </c>
      <c r="K663" s="8">
        <v>23.5</v>
      </c>
      <c r="L663" s="8">
        <f t="shared" si="36"/>
        <v>9264.875</v>
      </c>
      <c r="M663" s="15">
        <v>7897801318198</v>
      </c>
      <c r="N663" s="6">
        <v>0.42499999999999999</v>
      </c>
      <c r="O663" s="6">
        <v>0.46500000000000002</v>
      </c>
      <c r="P663" s="6">
        <v>0.20499999999999999</v>
      </c>
      <c r="Q663" s="6">
        <v>0.37</v>
      </c>
      <c r="R663" s="6">
        <v>0.31</v>
      </c>
      <c r="S663" s="6">
        <v>0.47499999999999998</v>
      </c>
      <c r="T663" s="8">
        <v>4</v>
      </c>
      <c r="U663" s="5" t="s">
        <v>1017</v>
      </c>
      <c r="V663" s="89">
        <v>0</v>
      </c>
      <c r="W663" s="15">
        <v>17897801318195</v>
      </c>
      <c r="X663" s="6" t="s">
        <v>20</v>
      </c>
      <c r="Y663" s="6" t="s">
        <v>20</v>
      </c>
      <c r="Z663" s="6" t="s">
        <v>20</v>
      </c>
      <c r="AA663" s="6"/>
      <c r="AB663" s="8">
        <v>0</v>
      </c>
      <c r="AC663" s="15">
        <v>27897801318192</v>
      </c>
      <c r="AD663" s="4" t="s">
        <v>992</v>
      </c>
    </row>
    <row r="664" spans="2:30" x14ac:dyDescent="0.35">
      <c r="B664" s="14">
        <v>1274</v>
      </c>
      <c r="C664" s="4" t="s">
        <v>654</v>
      </c>
      <c r="D664" s="4" t="s">
        <v>2372</v>
      </c>
      <c r="E664" s="4" t="s">
        <v>2914</v>
      </c>
      <c r="F664" s="4" t="s">
        <v>85</v>
      </c>
      <c r="G664" s="4" t="s">
        <v>1014</v>
      </c>
      <c r="H664" s="6">
        <v>2.1505999999999998</v>
      </c>
      <c r="I664" s="8">
        <v>38.5</v>
      </c>
      <c r="J664" s="8">
        <v>9.8000000000000007</v>
      </c>
      <c r="K664" s="8">
        <v>33.5</v>
      </c>
      <c r="L664" s="8">
        <f t="shared" si="36"/>
        <v>12639.550000000001</v>
      </c>
      <c r="M664" s="15">
        <v>7897801318204</v>
      </c>
      <c r="N664" s="6">
        <v>9.8000000000000004E-2</v>
      </c>
      <c r="O664" s="6">
        <v>0.38500000000000001</v>
      </c>
      <c r="P664" s="6">
        <v>0.33500000000000002</v>
      </c>
      <c r="Q664" s="6">
        <v>0.2</v>
      </c>
      <c r="R664" s="6">
        <v>0.37</v>
      </c>
      <c r="S664" s="6">
        <v>0.39</v>
      </c>
      <c r="T664" s="8">
        <v>2</v>
      </c>
      <c r="U664" s="5" t="s">
        <v>1017</v>
      </c>
      <c r="V664" s="89">
        <v>0</v>
      </c>
      <c r="W664" s="15">
        <v>17897801318201</v>
      </c>
      <c r="X664" s="6">
        <v>0.20499999999999999</v>
      </c>
      <c r="Y664" s="6">
        <v>0.36499999999999999</v>
      </c>
      <c r="Z664" s="6">
        <v>0.39</v>
      </c>
      <c r="AA664" s="6">
        <f>Y664*X664*Z664</f>
        <v>2.9181749999999996E-2</v>
      </c>
      <c r="AB664" s="8">
        <v>0</v>
      </c>
      <c r="AC664" s="15">
        <v>27897801318208</v>
      </c>
      <c r="AD664" s="4" t="s">
        <v>992</v>
      </c>
    </row>
    <row r="665" spans="2:30" x14ac:dyDescent="0.35">
      <c r="B665" s="14">
        <v>1275</v>
      </c>
      <c r="C665" s="4" t="s">
        <v>655</v>
      </c>
      <c r="D665" s="4" t="s">
        <v>2372</v>
      </c>
      <c r="E665" s="4" t="s">
        <v>2914</v>
      </c>
      <c r="F665" s="4" t="s">
        <v>85</v>
      </c>
      <c r="G665" s="4" t="s">
        <v>1014</v>
      </c>
      <c r="H665" s="6">
        <v>3.2290999999999999</v>
      </c>
      <c r="I665" s="8">
        <v>53</v>
      </c>
      <c r="J665" s="8">
        <v>9.6999999999999993</v>
      </c>
      <c r="K665" s="8">
        <v>35.5</v>
      </c>
      <c r="L665" s="8">
        <f t="shared" si="36"/>
        <v>18250.549999999996</v>
      </c>
      <c r="M665" s="15">
        <v>7897801318211</v>
      </c>
      <c r="N665" s="6" t="s">
        <v>20</v>
      </c>
      <c r="O665" s="6" t="s">
        <v>20</v>
      </c>
      <c r="P665" s="6" t="s">
        <v>20</v>
      </c>
      <c r="Q665" s="6">
        <v>0.21</v>
      </c>
      <c r="R665" s="6">
        <v>0.37</v>
      </c>
      <c r="S665" s="6">
        <v>0.53500000000000003</v>
      </c>
      <c r="T665" s="8">
        <v>2</v>
      </c>
      <c r="U665" s="5" t="s">
        <v>1017</v>
      </c>
      <c r="V665" s="89">
        <v>0</v>
      </c>
      <c r="W665" s="15">
        <v>17897801318218</v>
      </c>
      <c r="X665" s="6" t="s">
        <v>20</v>
      </c>
      <c r="Y665" s="6" t="s">
        <v>20</v>
      </c>
      <c r="Z665" s="6" t="s">
        <v>20</v>
      </c>
      <c r="AA665" s="6"/>
      <c r="AB665" s="8">
        <v>0</v>
      </c>
      <c r="AC665" s="15">
        <v>27897801318215</v>
      </c>
      <c r="AD665" s="4" t="s">
        <v>992</v>
      </c>
    </row>
    <row r="666" spans="2:30" x14ac:dyDescent="0.35">
      <c r="B666" s="14">
        <v>1277</v>
      </c>
      <c r="C666" s="4" t="s">
        <v>656</v>
      </c>
      <c r="D666" s="4" t="s">
        <v>2372</v>
      </c>
      <c r="E666" s="4" t="s">
        <v>2914</v>
      </c>
      <c r="F666" s="4" t="s">
        <v>85</v>
      </c>
      <c r="G666" s="4" t="s">
        <v>1014</v>
      </c>
      <c r="H666" s="6">
        <v>0.83819999999999995</v>
      </c>
      <c r="I666" s="8">
        <v>27</v>
      </c>
      <c r="J666" s="8">
        <v>9.5</v>
      </c>
      <c r="K666" s="8">
        <v>21</v>
      </c>
      <c r="L666" s="8">
        <f t="shared" si="36"/>
        <v>5386.5</v>
      </c>
      <c r="M666" s="15">
        <v>7897801318235</v>
      </c>
      <c r="N666" s="6">
        <v>0.30499999999999999</v>
      </c>
      <c r="O666" s="6">
        <v>0.42499999999999999</v>
      </c>
      <c r="P666" s="6">
        <v>0.36499999999999999</v>
      </c>
      <c r="Q666" s="6">
        <v>0.37</v>
      </c>
      <c r="R666" s="6">
        <v>0.31</v>
      </c>
      <c r="S666" s="6">
        <v>0.435</v>
      </c>
      <c r="T666" s="8">
        <v>8</v>
      </c>
      <c r="U666" s="5" t="s">
        <v>1017</v>
      </c>
      <c r="V666" s="89">
        <v>9.7500000000000003E-2</v>
      </c>
      <c r="W666" s="15">
        <v>17897801318232</v>
      </c>
      <c r="X666" s="6" t="s">
        <v>20</v>
      </c>
      <c r="Y666" s="6" t="s">
        <v>20</v>
      </c>
      <c r="Z666" s="6" t="s">
        <v>20</v>
      </c>
      <c r="AA666" s="6"/>
      <c r="AB666" s="8">
        <v>0</v>
      </c>
      <c r="AC666" s="15">
        <v>27897801318239</v>
      </c>
      <c r="AD666" s="4" t="s">
        <v>992</v>
      </c>
    </row>
    <row r="667" spans="2:30" x14ac:dyDescent="0.35">
      <c r="B667" s="14">
        <v>1278</v>
      </c>
      <c r="C667" s="4" t="s">
        <v>657</v>
      </c>
      <c r="D667" s="4" t="s">
        <v>2372</v>
      </c>
      <c r="E667" s="4" t="s">
        <v>2914</v>
      </c>
      <c r="F667" s="4" t="s">
        <v>85</v>
      </c>
      <c r="G667" s="4" t="s">
        <v>1014</v>
      </c>
      <c r="H667" s="6">
        <v>1.1720999999999999</v>
      </c>
      <c r="I667" s="8">
        <v>34.799999999999997</v>
      </c>
      <c r="J667" s="8">
        <v>9.5</v>
      </c>
      <c r="K667" s="8">
        <v>22.8</v>
      </c>
      <c r="L667" s="8">
        <f t="shared" si="36"/>
        <v>7537.6799999999994</v>
      </c>
      <c r="M667" s="15">
        <v>7897801318242</v>
      </c>
      <c r="N667" s="6" t="s">
        <v>20</v>
      </c>
      <c r="O667" s="6" t="s">
        <v>20</v>
      </c>
      <c r="P667" s="6" t="s">
        <v>20</v>
      </c>
      <c r="Q667" s="6">
        <v>0.20499999999999999</v>
      </c>
      <c r="R667" s="6">
        <v>0.37</v>
      </c>
      <c r="S667" s="6">
        <v>0.44</v>
      </c>
      <c r="T667" s="8">
        <v>4</v>
      </c>
      <c r="U667" s="5" t="s">
        <v>1017</v>
      </c>
      <c r="V667" s="89">
        <v>9.7500000000000003E-2</v>
      </c>
      <c r="W667" s="15">
        <v>17897801318249</v>
      </c>
      <c r="X667" s="6" t="s">
        <v>20</v>
      </c>
      <c r="Y667" s="6" t="s">
        <v>20</v>
      </c>
      <c r="Z667" s="6" t="s">
        <v>20</v>
      </c>
      <c r="AA667" s="6"/>
      <c r="AB667" s="8">
        <v>0</v>
      </c>
      <c r="AC667" s="15">
        <v>27897801318246</v>
      </c>
      <c r="AD667" s="4" t="s">
        <v>992</v>
      </c>
    </row>
    <row r="668" spans="2:30" x14ac:dyDescent="0.35">
      <c r="B668" s="14">
        <v>1279</v>
      </c>
      <c r="C668" s="4" t="s">
        <v>658</v>
      </c>
      <c r="D668" s="4" t="s">
        <v>2372</v>
      </c>
      <c r="E668" s="4" t="s">
        <v>2914</v>
      </c>
      <c r="F668" s="4" t="s">
        <v>85</v>
      </c>
      <c r="G668" s="4" t="s">
        <v>1014</v>
      </c>
      <c r="H668" s="6">
        <v>1.5664</v>
      </c>
      <c r="I668" s="8">
        <v>41.5</v>
      </c>
      <c r="J668" s="8">
        <v>9.5</v>
      </c>
      <c r="K668" s="8">
        <v>23.5</v>
      </c>
      <c r="L668" s="8">
        <f t="shared" si="36"/>
        <v>9264.875</v>
      </c>
      <c r="M668" s="15">
        <v>7897801318259</v>
      </c>
      <c r="N668" s="6">
        <v>0.42499999999999999</v>
      </c>
      <c r="O668" s="6">
        <v>0.46500000000000002</v>
      </c>
      <c r="P668" s="6">
        <v>0.2</v>
      </c>
      <c r="Q668" s="6">
        <v>0.37</v>
      </c>
      <c r="R668" s="6">
        <v>0.31</v>
      </c>
      <c r="S668" s="6">
        <v>0.47499999999999998</v>
      </c>
      <c r="T668" s="8">
        <v>4</v>
      </c>
      <c r="U668" s="5" t="s">
        <v>1017</v>
      </c>
      <c r="V668" s="89">
        <v>0</v>
      </c>
      <c r="W668" s="15">
        <v>17897801318256</v>
      </c>
      <c r="X668" s="6" t="s">
        <v>20</v>
      </c>
      <c r="Y668" s="6" t="s">
        <v>20</v>
      </c>
      <c r="Z668" s="6" t="s">
        <v>20</v>
      </c>
      <c r="AA668" s="6"/>
      <c r="AB668" s="8">
        <v>0</v>
      </c>
      <c r="AC668" s="15">
        <v>27897801318253</v>
      </c>
      <c r="AD668" s="4" t="s">
        <v>992</v>
      </c>
    </row>
    <row r="669" spans="2:30" x14ac:dyDescent="0.35">
      <c r="B669" s="14">
        <v>1280</v>
      </c>
      <c r="C669" s="4" t="s">
        <v>659</v>
      </c>
      <c r="D669" s="4" t="s">
        <v>2372</v>
      </c>
      <c r="E669" s="4" t="s">
        <v>2914</v>
      </c>
      <c r="F669" s="4" t="s">
        <v>85</v>
      </c>
      <c r="G669" s="4" t="s">
        <v>1014</v>
      </c>
      <c r="H669" s="6">
        <v>0.72270000000000001</v>
      </c>
      <c r="I669" s="8">
        <v>38.5</v>
      </c>
      <c r="J669" s="8">
        <v>9.8000000000000007</v>
      </c>
      <c r="K669" s="8">
        <v>33.5</v>
      </c>
      <c r="L669" s="8">
        <f t="shared" si="36"/>
        <v>12639.550000000001</v>
      </c>
      <c r="M669" s="15">
        <v>7897801318266</v>
      </c>
      <c r="N669" s="6">
        <v>9.8000000000000004E-2</v>
      </c>
      <c r="O669" s="6">
        <v>0.38500000000000001</v>
      </c>
      <c r="P669" s="6">
        <v>0.33500000000000002</v>
      </c>
      <c r="Q669" s="6">
        <v>0.2</v>
      </c>
      <c r="R669" s="6">
        <v>0.37</v>
      </c>
      <c r="S669" s="6">
        <v>0.39</v>
      </c>
      <c r="T669" s="8">
        <v>2</v>
      </c>
      <c r="U669" s="5" t="s">
        <v>1017</v>
      </c>
      <c r="V669" s="89">
        <v>0</v>
      </c>
      <c r="W669" s="15">
        <v>17897801318263</v>
      </c>
      <c r="X669" s="6">
        <v>0.2</v>
      </c>
      <c r="Y669" s="6">
        <v>0.37</v>
      </c>
      <c r="Z669" s="6">
        <v>0.39</v>
      </c>
      <c r="AA669" s="6">
        <f>Y669*X669*Z669</f>
        <v>2.886E-2</v>
      </c>
      <c r="AB669" s="8">
        <v>0</v>
      </c>
      <c r="AC669" s="15">
        <v>27897801318260</v>
      </c>
      <c r="AD669" s="4" t="s">
        <v>992</v>
      </c>
    </row>
    <row r="670" spans="2:30" x14ac:dyDescent="0.35">
      <c r="B670" s="14">
        <v>1281</v>
      </c>
      <c r="C670" s="4" t="s">
        <v>660</v>
      </c>
      <c r="D670" s="4" t="s">
        <v>2372</v>
      </c>
      <c r="E670" s="4" t="s">
        <v>2914</v>
      </c>
      <c r="F670" s="4" t="s">
        <v>85</v>
      </c>
      <c r="G670" s="4" t="s">
        <v>1014</v>
      </c>
      <c r="H670" s="6">
        <v>3.4575</v>
      </c>
      <c r="I670" s="8">
        <v>53</v>
      </c>
      <c r="J670" s="8">
        <v>9.6999999999999993</v>
      </c>
      <c r="K670" s="8">
        <v>35.5</v>
      </c>
      <c r="L670" s="8">
        <f t="shared" si="36"/>
        <v>18250.549999999996</v>
      </c>
      <c r="M670" s="15">
        <v>7897801318273</v>
      </c>
      <c r="N670" s="6" t="s">
        <v>20</v>
      </c>
      <c r="O670" s="6" t="s">
        <v>20</v>
      </c>
      <c r="P670" s="6" t="s">
        <v>20</v>
      </c>
      <c r="Q670" s="6">
        <v>0.21</v>
      </c>
      <c r="R670" s="6">
        <v>0.374</v>
      </c>
      <c r="S670" s="6">
        <v>0.53500000000000003</v>
      </c>
      <c r="T670" s="8">
        <v>2</v>
      </c>
      <c r="U670" s="5" t="s">
        <v>1017</v>
      </c>
      <c r="V670" s="89">
        <v>0</v>
      </c>
      <c r="W670" s="15">
        <v>17897801318270</v>
      </c>
      <c r="X670" s="6" t="s">
        <v>20</v>
      </c>
      <c r="Y670" s="6" t="s">
        <v>20</v>
      </c>
      <c r="Z670" s="6" t="s">
        <v>20</v>
      </c>
      <c r="AA670" s="6"/>
      <c r="AB670" s="8">
        <v>0</v>
      </c>
      <c r="AC670" s="15">
        <v>27897801318277</v>
      </c>
      <c r="AD670" s="4" t="s">
        <v>992</v>
      </c>
    </row>
    <row r="671" spans="2:30" x14ac:dyDescent="0.35">
      <c r="B671" s="14">
        <v>1283</v>
      </c>
      <c r="C671" s="4" t="s">
        <v>661</v>
      </c>
      <c r="D671" s="4" t="s">
        <v>2372</v>
      </c>
      <c r="E671" s="4" t="s">
        <v>2914</v>
      </c>
      <c r="F671" s="4" t="s">
        <v>85</v>
      </c>
      <c r="G671" s="4" t="s">
        <v>1014</v>
      </c>
      <c r="H671" s="6">
        <v>0.68269999999999997</v>
      </c>
      <c r="I671" s="8">
        <v>20</v>
      </c>
      <c r="J671" s="8">
        <v>9.5</v>
      </c>
      <c r="K671" s="8">
        <v>18.5</v>
      </c>
      <c r="L671" s="8">
        <f t="shared" si="36"/>
        <v>3515</v>
      </c>
      <c r="M671" s="15">
        <v>7897801320481</v>
      </c>
      <c r="N671" s="6" t="s">
        <v>20</v>
      </c>
      <c r="O671" s="6" t="s">
        <v>20</v>
      </c>
      <c r="P671" s="6" t="s">
        <v>20</v>
      </c>
      <c r="Q671" s="6">
        <v>0.185</v>
      </c>
      <c r="R671" s="6">
        <v>9.5000000000000001E-2</v>
      </c>
      <c r="S671" s="6">
        <v>0.2</v>
      </c>
      <c r="T671" s="8">
        <v>8</v>
      </c>
      <c r="U671" s="5" t="s">
        <v>1017</v>
      </c>
      <c r="V671" s="89">
        <v>0</v>
      </c>
      <c r="W671" s="15">
        <v>17897801320488</v>
      </c>
      <c r="X671" s="6" t="s">
        <v>20</v>
      </c>
      <c r="Y671" s="6" t="s">
        <v>20</v>
      </c>
      <c r="Z671" s="6" t="s">
        <v>20</v>
      </c>
      <c r="AA671" s="6"/>
      <c r="AB671" s="8">
        <v>0</v>
      </c>
      <c r="AC671" s="15">
        <v>27897801320485</v>
      </c>
      <c r="AD671" s="4" t="s">
        <v>992</v>
      </c>
    </row>
    <row r="672" spans="2:30" x14ac:dyDescent="0.35">
      <c r="B672" s="14">
        <v>1284</v>
      </c>
      <c r="C672" s="4" t="s">
        <v>662</v>
      </c>
      <c r="D672" s="4" t="s">
        <v>2372</v>
      </c>
      <c r="E672" s="4" t="s">
        <v>2914</v>
      </c>
      <c r="F672" s="4" t="s">
        <v>85</v>
      </c>
      <c r="G672" s="4" t="s">
        <v>1014</v>
      </c>
      <c r="H672" s="6">
        <v>1.0511999999999999</v>
      </c>
      <c r="I672" s="8">
        <v>27</v>
      </c>
      <c r="J672" s="8">
        <v>9.5</v>
      </c>
      <c r="K672" s="8">
        <v>21</v>
      </c>
      <c r="L672" s="8">
        <f t="shared" si="36"/>
        <v>5386.5</v>
      </c>
      <c r="M672" s="15">
        <v>7897801320498</v>
      </c>
      <c r="N672" s="6" t="s">
        <v>20</v>
      </c>
      <c r="O672" s="6" t="s">
        <v>20</v>
      </c>
      <c r="P672" s="6" t="s">
        <v>20</v>
      </c>
      <c r="Q672" s="6">
        <v>0.37</v>
      </c>
      <c r="R672" s="6">
        <v>0.31</v>
      </c>
      <c r="S672" s="6">
        <v>0.435</v>
      </c>
      <c r="T672" s="8">
        <v>8</v>
      </c>
      <c r="U672" s="5" t="s">
        <v>1017</v>
      </c>
      <c r="V672" s="89">
        <v>0</v>
      </c>
      <c r="W672" s="15">
        <v>17897801320495</v>
      </c>
      <c r="X672" s="6" t="s">
        <v>20</v>
      </c>
      <c r="Y672" s="6" t="s">
        <v>20</v>
      </c>
      <c r="Z672" s="6" t="s">
        <v>20</v>
      </c>
      <c r="AA672" s="6"/>
      <c r="AB672" s="8">
        <v>0</v>
      </c>
      <c r="AC672" s="15">
        <v>27897801320492</v>
      </c>
      <c r="AD672" s="4" t="s">
        <v>992</v>
      </c>
    </row>
    <row r="673" spans="2:30" x14ac:dyDescent="0.35">
      <c r="B673" s="14">
        <v>1285</v>
      </c>
      <c r="C673" s="4" t="s">
        <v>663</v>
      </c>
      <c r="D673" s="4" t="s">
        <v>2372</v>
      </c>
      <c r="E673" s="4" t="s">
        <v>2914</v>
      </c>
      <c r="F673" s="4" t="s">
        <v>85</v>
      </c>
      <c r="G673" s="4" t="s">
        <v>1014</v>
      </c>
      <c r="H673" s="6">
        <v>1.4401999999999999</v>
      </c>
      <c r="I673" s="8">
        <v>34.799999999999997</v>
      </c>
      <c r="J673" s="8">
        <v>9.5</v>
      </c>
      <c r="K673" s="8">
        <v>22.8</v>
      </c>
      <c r="L673" s="8">
        <f t="shared" si="36"/>
        <v>7537.6799999999994</v>
      </c>
      <c r="M673" s="15">
        <v>7897801320535</v>
      </c>
      <c r="N673" s="6" t="s">
        <v>20</v>
      </c>
      <c r="O673" s="6" t="s">
        <v>20</v>
      </c>
      <c r="P673" s="6" t="s">
        <v>20</v>
      </c>
      <c r="Q673" s="6">
        <v>0.21</v>
      </c>
      <c r="R673" s="6">
        <v>0.37</v>
      </c>
      <c r="S673" s="6">
        <v>0.44</v>
      </c>
      <c r="T673" s="8">
        <v>4</v>
      </c>
      <c r="U673" s="5" t="s">
        <v>1017</v>
      </c>
      <c r="V673" s="89">
        <v>0</v>
      </c>
      <c r="W673" s="15">
        <v>17897801320532</v>
      </c>
      <c r="X673" s="6" t="s">
        <v>20</v>
      </c>
      <c r="Y673" s="6" t="s">
        <v>20</v>
      </c>
      <c r="Z673" s="6" t="s">
        <v>20</v>
      </c>
      <c r="AA673" s="6"/>
      <c r="AB673" s="8">
        <v>0</v>
      </c>
      <c r="AC673" s="15">
        <v>27897801320539</v>
      </c>
      <c r="AD673" s="4" t="s">
        <v>992</v>
      </c>
    </row>
    <row r="674" spans="2:30" x14ac:dyDescent="0.35">
      <c r="B674" s="14">
        <v>1286</v>
      </c>
      <c r="C674" s="4" t="s">
        <v>664</v>
      </c>
      <c r="D674" s="4" t="s">
        <v>2372</v>
      </c>
      <c r="E674" s="4" t="s">
        <v>2914</v>
      </c>
      <c r="F674" s="4" t="s">
        <v>85</v>
      </c>
      <c r="G674" s="4" t="s">
        <v>1014</v>
      </c>
      <c r="H674" s="6">
        <v>1.964</v>
      </c>
      <c r="I674" s="8">
        <v>41.5</v>
      </c>
      <c r="J674" s="8">
        <v>9.5</v>
      </c>
      <c r="K674" s="8">
        <v>23.5</v>
      </c>
      <c r="L674" s="8">
        <f t="shared" si="36"/>
        <v>9264.875</v>
      </c>
      <c r="M674" s="15">
        <v>7897801320511</v>
      </c>
      <c r="N674" s="6" t="s">
        <v>20</v>
      </c>
      <c r="O674" s="6" t="s">
        <v>20</v>
      </c>
      <c r="P674" s="6" t="s">
        <v>20</v>
      </c>
      <c r="Q674" s="6">
        <v>0.37</v>
      </c>
      <c r="R674" s="6">
        <v>0.31</v>
      </c>
      <c r="S674" s="6">
        <v>0.47499999999999998</v>
      </c>
      <c r="T674" s="8">
        <v>4</v>
      </c>
      <c r="U674" s="5" t="s">
        <v>1017</v>
      </c>
      <c r="V674" s="89">
        <v>0</v>
      </c>
      <c r="W674" s="15">
        <v>17897801320518</v>
      </c>
      <c r="X674" s="6" t="s">
        <v>20</v>
      </c>
      <c r="Y674" s="6" t="s">
        <v>20</v>
      </c>
      <c r="Z674" s="6" t="s">
        <v>20</v>
      </c>
      <c r="AA674" s="6"/>
      <c r="AB674" s="8">
        <v>0</v>
      </c>
      <c r="AC674" s="15">
        <v>27897801320515</v>
      </c>
      <c r="AD674" s="4" t="s">
        <v>992</v>
      </c>
    </row>
    <row r="675" spans="2:30" x14ac:dyDescent="0.35">
      <c r="B675" s="14">
        <v>1287</v>
      </c>
      <c r="C675" s="4" t="s">
        <v>665</v>
      </c>
      <c r="D675" s="4" t="s">
        <v>2372</v>
      </c>
      <c r="E675" s="4" t="s">
        <v>2914</v>
      </c>
      <c r="F675" s="4" t="s">
        <v>85</v>
      </c>
      <c r="G675" s="4" t="s">
        <v>1014</v>
      </c>
      <c r="H675" s="6">
        <v>2.8650000000000002</v>
      </c>
      <c r="I675" s="8">
        <v>38.5</v>
      </c>
      <c r="J675" s="8">
        <v>9.8000000000000007</v>
      </c>
      <c r="K675" s="8">
        <v>33.5</v>
      </c>
      <c r="L675" s="8">
        <f t="shared" si="36"/>
        <v>12639.550000000001</v>
      </c>
      <c r="M675" s="15">
        <v>7897801320559</v>
      </c>
      <c r="N675" s="6" t="s">
        <v>20</v>
      </c>
      <c r="O675" s="6" t="s">
        <v>20</v>
      </c>
      <c r="P675" s="6" t="s">
        <v>20</v>
      </c>
      <c r="Q675" s="6">
        <v>0.2</v>
      </c>
      <c r="R675" s="6">
        <v>0.37</v>
      </c>
      <c r="S675" s="6">
        <v>0.39</v>
      </c>
      <c r="T675" s="8">
        <v>2</v>
      </c>
      <c r="U675" s="5" t="s">
        <v>1017</v>
      </c>
      <c r="V675" s="89">
        <v>0</v>
      </c>
      <c r="W675" s="15">
        <v>17897801320556</v>
      </c>
      <c r="X675" s="6" t="s">
        <v>20</v>
      </c>
      <c r="Y675" s="6" t="s">
        <v>20</v>
      </c>
      <c r="Z675" s="6" t="s">
        <v>20</v>
      </c>
      <c r="AA675" s="6"/>
      <c r="AB675" s="8">
        <v>0</v>
      </c>
      <c r="AC675" s="15">
        <v>27897801320553</v>
      </c>
      <c r="AD675" s="4" t="s">
        <v>992</v>
      </c>
    </row>
    <row r="676" spans="2:30" x14ac:dyDescent="0.35">
      <c r="B676" s="14">
        <v>1288</v>
      </c>
      <c r="C676" s="4" t="s">
        <v>666</v>
      </c>
      <c r="D676" s="4" t="s">
        <v>2372</v>
      </c>
      <c r="E676" s="4" t="s">
        <v>2914</v>
      </c>
      <c r="F676" s="4" t="s">
        <v>85</v>
      </c>
      <c r="G676" s="4" t="s">
        <v>1014</v>
      </c>
      <c r="H676" s="6">
        <v>3.8620000000000001</v>
      </c>
      <c r="I676" s="8">
        <v>53</v>
      </c>
      <c r="J676" s="8">
        <v>9.6999999999999993</v>
      </c>
      <c r="K676" s="8">
        <v>35.5</v>
      </c>
      <c r="L676" s="8">
        <f t="shared" si="36"/>
        <v>18250.549999999996</v>
      </c>
      <c r="M676" s="15">
        <v>7897801320573</v>
      </c>
      <c r="N676" s="6" t="s">
        <v>20</v>
      </c>
      <c r="O676" s="6" t="s">
        <v>20</v>
      </c>
      <c r="P676" s="6" t="s">
        <v>20</v>
      </c>
      <c r="Q676" s="6">
        <v>0.21</v>
      </c>
      <c r="R676" s="6">
        <v>0.37</v>
      </c>
      <c r="S676" s="6">
        <v>0.53500000000000003</v>
      </c>
      <c r="T676" s="8">
        <v>2</v>
      </c>
      <c r="U676" s="5" t="s">
        <v>1017</v>
      </c>
      <c r="V676" s="89">
        <v>0</v>
      </c>
      <c r="W676" s="15">
        <v>17897801320570</v>
      </c>
      <c r="X676" s="6" t="s">
        <v>20</v>
      </c>
      <c r="Y676" s="6" t="s">
        <v>20</v>
      </c>
      <c r="Z676" s="6" t="s">
        <v>20</v>
      </c>
      <c r="AA676" s="6"/>
      <c r="AB676" s="8">
        <v>0</v>
      </c>
      <c r="AC676" s="15">
        <v>27897801320577</v>
      </c>
      <c r="AD676" s="4" t="s">
        <v>992</v>
      </c>
    </row>
    <row r="677" spans="2:30" x14ac:dyDescent="0.35">
      <c r="B677" s="14">
        <v>1290</v>
      </c>
      <c r="C677" s="4" t="s">
        <v>667</v>
      </c>
      <c r="D677" s="4" t="s">
        <v>2372</v>
      </c>
      <c r="E677" s="4" t="s">
        <v>2914</v>
      </c>
      <c r="F677" s="4" t="s">
        <v>85</v>
      </c>
      <c r="G677" s="4" t="s">
        <v>1014</v>
      </c>
      <c r="H677" s="6">
        <v>1.0375000000000001</v>
      </c>
      <c r="I677" s="8">
        <v>27</v>
      </c>
      <c r="J677" s="8">
        <v>9.5</v>
      </c>
      <c r="K677" s="8">
        <v>21</v>
      </c>
      <c r="L677" s="8">
        <f t="shared" si="36"/>
        <v>5386.5</v>
      </c>
      <c r="M677" s="15">
        <v>7897801320504</v>
      </c>
      <c r="N677" s="6" t="s">
        <v>20</v>
      </c>
      <c r="O677" s="6" t="s">
        <v>20</v>
      </c>
      <c r="P677" s="6" t="s">
        <v>20</v>
      </c>
      <c r="Q677" s="6">
        <v>0.37</v>
      </c>
      <c r="R677" s="6">
        <v>0.31</v>
      </c>
      <c r="S677" s="6">
        <v>0.435</v>
      </c>
      <c r="T677" s="8">
        <v>8</v>
      </c>
      <c r="U677" s="5" t="s">
        <v>1017</v>
      </c>
      <c r="V677" s="89">
        <v>0</v>
      </c>
      <c r="W677" s="15">
        <v>17897801320501</v>
      </c>
      <c r="X677" s="6" t="s">
        <v>20</v>
      </c>
      <c r="Y677" s="6" t="s">
        <v>20</v>
      </c>
      <c r="Z677" s="6" t="s">
        <v>20</v>
      </c>
      <c r="AA677" s="6"/>
      <c r="AB677" s="8">
        <v>0</v>
      </c>
      <c r="AC677" s="15">
        <v>27897801320508</v>
      </c>
      <c r="AD677" s="4" t="s">
        <v>992</v>
      </c>
    </row>
    <row r="678" spans="2:30" x14ac:dyDescent="0.35">
      <c r="B678" s="14">
        <v>1291</v>
      </c>
      <c r="C678" s="4" t="s">
        <v>668</v>
      </c>
      <c r="D678" s="4" t="s">
        <v>2372</v>
      </c>
      <c r="E678" s="4" t="s">
        <v>2914</v>
      </c>
      <c r="F678" s="4" t="s">
        <v>85</v>
      </c>
      <c r="G678" s="4" t="s">
        <v>1014</v>
      </c>
      <c r="H678" s="6">
        <v>1.5069999999999999</v>
      </c>
      <c r="I678" s="8">
        <v>34.799999999999997</v>
      </c>
      <c r="J678" s="8">
        <v>9</v>
      </c>
      <c r="K678" s="8">
        <v>22.8</v>
      </c>
      <c r="L678" s="8">
        <f t="shared" si="36"/>
        <v>7140.96</v>
      </c>
      <c r="M678" s="15">
        <v>7897801320542</v>
      </c>
      <c r="N678" s="6" t="s">
        <v>20</v>
      </c>
      <c r="O678" s="6" t="s">
        <v>20</v>
      </c>
      <c r="P678" s="6" t="s">
        <v>20</v>
      </c>
      <c r="Q678" s="6">
        <v>0.20499999999999999</v>
      </c>
      <c r="R678" s="6">
        <v>0.37</v>
      </c>
      <c r="S678" s="6">
        <v>0.44</v>
      </c>
      <c r="T678" s="8">
        <v>4</v>
      </c>
      <c r="U678" s="5" t="s">
        <v>1017</v>
      </c>
      <c r="V678" s="89">
        <v>0</v>
      </c>
      <c r="W678" s="15">
        <v>17897801320549</v>
      </c>
      <c r="X678" s="6" t="s">
        <v>20</v>
      </c>
      <c r="Y678" s="6" t="s">
        <v>20</v>
      </c>
      <c r="Z678" s="6" t="s">
        <v>20</v>
      </c>
      <c r="AA678" s="6"/>
      <c r="AB678" s="8">
        <v>0</v>
      </c>
      <c r="AC678" s="15">
        <v>27897801320546</v>
      </c>
      <c r="AD678" s="4" t="s">
        <v>992</v>
      </c>
    </row>
    <row r="679" spans="2:30" x14ac:dyDescent="0.35">
      <c r="B679" s="14">
        <v>1292</v>
      </c>
      <c r="C679" s="4" t="s">
        <v>669</v>
      </c>
      <c r="D679" s="4" t="s">
        <v>2372</v>
      </c>
      <c r="E679" s="4" t="s">
        <v>2914</v>
      </c>
      <c r="F679" s="4" t="s">
        <v>85</v>
      </c>
      <c r="G679" s="4" t="s">
        <v>1014</v>
      </c>
      <c r="H679" s="6">
        <v>2.0819999999999999</v>
      </c>
      <c r="I679" s="8">
        <v>41.5</v>
      </c>
      <c r="J679" s="8">
        <v>9.5</v>
      </c>
      <c r="K679" s="8">
        <v>23.5</v>
      </c>
      <c r="L679" s="8">
        <f t="shared" si="36"/>
        <v>9264.875</v>
      </c>
      <c r="M679" s="15">
        <v>7897801320528</v>
      </c>
      <c r="N679" s="6" t="s">
        <v>20</v>
      </c>
      <c r="O679" s="6" t="s">
        <v>20</v>
      </c>
      <c r="P679" s="6" t="s">
        <v>20</v>
      </c>
      <c r="Q679" s="6">
        <v>0.37</v>
      </c>
      <c r="R679" s="6">
        <v>0.31</v>
      </c>
      <c r="S679" s="6">
        <v>0.47499999999999998</v>
      </c>
      <c r="T679" s="8">
        <v>4</v>
      </c>
      <c r="U679" s="5" t="s">
        <v>1017</v>
      </c>
      <c r="V679" s="89">
        <v>0</v>
      </c>
      <c r="W679" s="15">
        <v>17897801320525</v>
      </c>
      <c r="X679" s="6" t="s">
        <v>20</v>
      </c>
      <c r="Y679" s="6" t="s">
        <v>20</v>
      </c>
      <c r="Z679" s="6" t="s">
        <v>20</v>
      </c>
      <c r="AA679" s="6"/>
      <c r="AB679" s="8">
        <v>0</v>
      </c>
      <c r="AC679" s="15">
        <v>27897801320522</v>
      </c>
      <c r="AD679" s="4" t="s">
        <v>992</v>
      </c>
    </row>
    <row r="680" spans="2:30" x14ac:dyDescent="0.35">
      <c r="B680" s="14">
        <v>1293</v>
      </c>
      <c r="C680" s="4" t="s">
        <v>670</v>
      </c>
      <c r="D680" s="4" t="s">
        <v>2372</v>
      </c>
      <c r="E680" s="4" t="s">
        <v>2914</v>
      </c>
      <c r="F680" s="4" t="s">
        <v>85</v>
      </c>
      <c r="G680" s="4" t="s">
        <v>1014</v>
      </c>
      <c r="H680" s="6">
        <v>2.9119999999999999</v>
      </c>
      <c r="I680" s="8">
        <v>38.5</v>
      </c>
      <c r="J680" s="8">
        <v>9.8000000000000007</v>
      </c>
      <c r="K680" s="8">
        <v>33.5</v>
      </c>
      <c r="L680" s="8">
        <f t="shared" si="36"/>
        <v>12639.550000000001</v>
      </c>
      <c r="M680" s="15">
        <v>7897801320566</v>
      </c>
      <c r="N680" s="6" t="s">
        <v>20</v>
      </c>
      <c r="O680" s="6" t="s">
        <v>20</v>
      </c>
      <c r="P680" s="6" t="s">
        <v>20</v>
      </c>
      <c r="Q680" s="6">
        <v>0.2</v>
      </c>
      <c r="R680" s="6">
        <v>0.37</v>
      </c>
      <c r="S680" s="6">
        <v>0.39</v>
      </c>
      <c r="T680" s="8">
        <v>2</v>
      </c>
      <c r="U680" s="5" t="s">
        <v>1017</v>
      </c>
      <c r="V680" s="89">
        <v>0</v>
      </c>
      <c r="W680" s="15">
        <v>17897801320563</v>
      </c>
      <c r="X680" s="6" t="s">
        <v>20</v>
      </c>
      <c r="Y680" s="6" t="s">
        <v>20</v>
      </c>
      <c r="Z680" s="6" t="s">
        <v>20</v>
      </c>
      <c r="AA680" s="6"/>
      <c r="AB680" s="8">
        <v>0</v>
      </c>
      <c r="AC680" s="15">
        <v>27897801320560</v>
      </c>
      <c r="AD680" s="4" t="s">
        <v>992</v>
      </c>
    </row>
    <row r="681" spans="2:30" x14ac:dyDescent="0.35">
      <c r="B681" s="14">
        <v>1294</v>
      </c>
      <c r="C681" s="4" t="s">
        <v>671</v>
      </c>
      <c r="D681" s="4" t="s">
        <v>2372</v>
      </c>
      <c r="E681" s="4" t="s">
        <v>2914</v>
      </c>
      <c r="F681" s="4" t="s">
        <v>85</v>
      </c>
      <c r="G681" s="4" t="s">
        <v>1014</v>
      </c>
      <c r="H681" s="6">
        <v>4.0999999999999996</v>
      </c>
      <c r="I681" s="8">
        <v>53</v>
      </c>
      <c r="J681" s="8">
        <v>9.6999999999999993</v>
      </c>
      <c r="K681" s="8">
        <v>35.5</v>
      </c>
      <c r="L681" s="8">
        <f t="shared" si="36"/>
        <v>18250.549999999996</v>
      </c>
      <c r="M681" s="15">
        <v>7897801320580</v>
      </c>
      <c r="N681" s="6" t="s">
        <v>20</v>
      </c>
      <c r="O681" s="6" t="s">
        <v>20</v>
      </c>
      <c r="P681" s="6" t="s">
        <v>20</v>
      </c>
      <c r="Q681" s="6">
        <v>0.21</v>
      </c>
      <c r="R681" s="6">
        <v>0.374</v>
      </c>
      <c r="S681" s="6">
        <v>0.53500000000000003</v>
      </c>
      <c r="T681" s="8">
        <v>2</v>
      </c>
      <c r="U681" s="5" t="s">
        <v>1017</v>
      </c>
      <c r="V681" s="89">
        <v>0</v>
      </c>
      <c r="W681" s="15">
        <v>17897801320587</v>
      </c>
      <c r="X681" s="6" t="s">
        <v>20</v>
      </c>
      <c r="Y681" s="6" t="s">
        <v>20</v>
      </c>
      <c r="Z681" s="6" t="s">
        <v>20</v>
      </c>
      <c r="AA681" s="6"/>
      <c r="AB681" s="8">
        <v>0</v>
      </c>
      <c r="AC681" s="15">
        <v>27897801320584</v>
      </c>
      <c r="AD681" s="4" t="s">
        <v>992</v>
      </c>
    </row>
    <row r="682" spans="2:30" x14ac:dyDescent="0.35">
      <c r="B682" s="14">
        <v>1296</v>
      </c>
      <c r="C682" s="4" t="s">
        <v>672</v>
      </c>
      <c r="D682" s="4" t="s">
        <v>2372</v>
      </c>
      <c r="E682" s="4" t="s">
        <v>2914</v>
      </c>
      <c r="F682" s="4" t="s">
        <v>85</v>
      </c>
      <c r="G682" s="4" t="s">
        <v>1014</v>
      </c>
      <c r="H682" s="6">
        <v>0.19689999999999999</v>
      </c>
      <c r="I682" s="8">
        <v>26.5</v>
      </c>
      <c r="J682" s="8">
        <v>16.5</v>
      </c>
      <c r="K682" s="8">
        <v>18.5</v>
      </c>
      <c r="L682" s="8">
        <f t="shared" si="36"/>
        <v>8089.125</v>
      </c>
      <c r="M682" s="15">
        <v>7897801320474</v>
      </c>
      <c r="N682" s="6">
        <v>0.16500000000000001</v>
      </c>
      <c r="O682" s="6">
        <v>0.185</v>
      </c>
      <c r="P682" s="6">
        <v>0.26500000000000001</v>
      </c>
      <c r="Q682" s="6">
        <v>0.185</v>
      </c>
      <c r="R682" s="6">
        <v>0.16500000000000001</v>
      </c>
      <c r="S682" s="6">
        <v>0.26500000000000001</v>
      </c>
      <c r="T682" s="8">
        <v>8</v>
      </c>
      <c r="U682" s="5" t="s">
        <v>1017</v>
      </c>
      <c r="V682" s="89">
        <v>0</v>
      </c>
      <c r="W682" s="15">
        <v>17897801320471</v>
      </c>
      <c r="X682" s="6" t="s">
        <v>20</v>
      </c>
      <c r="Y682" s="6" t="s">
        <v>20</v>
      </c>
      <c r="Z682" s="6" t="s">
        <v>20</v>
      </c>
      <c r="AA682" s="6"/>
      <c r="AB682" s="8">
        <v>0</v>
      </c>
      <c r="AC682" s="15">
        <v>27897801320478</v>
      </c>
      <c r="AD682" s="4" t="s">
        <v>992</v>
      </c>
    </row>
    <row r="683" spans="2:30" x14ac:dyDescent="0.35">
      <c r="B683" s="14">
        <v>1298</v>
      </c>
      <c r="C683" s="4" t="s">
        <v>673</v>
      </c>
      <c r="D683" s="4" t="s">
        <v>2381</v>
      </c>
      <c r="E683" s="4" t="s">
        <v>2914</v>
      </c>
      <c r="F683" s="4" t="s">
        <v>85</v>
      </c>
      <c r="G683" s="4" t="s">
        <v>1014</v>
      </c>
      <c r="H683" s="6">
        <v>5.1688000000000001</v>
      </c>
      <c r="I683" s="8">
        <v>36</v>
      </c>
      <c r="J683" s="8">
        <v>34</v>
      </c>
      <c r="K683" s="8">
        <v>36</v>
      </c>
      <c r="L683" s="8">
        <f t="shared" si="36"/>
        <v>44064</v>
      </c>
      <c r="M683" s="15">
        <v>7897801320436</v>
      </c>
      <c r="N683" s="6" t="s">
        <v>20</v>
      </c>
      <c r="O683" s="6" t="s">
        <v>20</v>
      </c>
      <c r="P683" s="6" t="s">
        <v>20</v>
      </c>
      <c r="Q683" s="6">
        <v>0.37</v>
      </c>
      <c r="R683" s="6">
        <v>0.36499999999999999</v>
      </c>
      <c r="S683" s="6">
        <v>0.37</v>
      </c>
      <c r="T683" s="8">
        <v>1</v>
      </c>
      <c r="U683" s="5" t="s">
        <v>1017</v>
      </c>
      <c r="V683" s="89">
        <v>0</v>
      </c>
      <c r="W683" s="15">
        <v>17897801320433</v>
      </c>
      <c r="X683" s="6" t="s">
        <v>20</v>
      </c>
      <c r="Y683" s="6" t="s">
        <v>20</v>
      </c>
      <c r="Z683" s="6" t="s">
        <v>20</v>
      </c>
      <c r="AA683" s="6"/>
      <c r="AB683" s="8">
        <v>0</v>
      </c>
      <c r="AC683" s="15">
        <v>27897801320430</v>
      </c>
      <c r="AD683" s="4" t="s">
        <v>992</v>
      </c>
    </row>
    <row r="684" spans="2:30" x14ac:dyDescent="0.35">
      <c r="B684" s="18">
        <v>1299</v>
      </c>
      <c r="C684" s="24" t="s">
        <v>2324</v>
      </c>
      <c r="D684" s="4" t="s">
        <v>2381</v>
      </c>
      <c r="E684" s="4" t="s">
        <v>2914</v>
      </c>
      <c r="F684" s="4" t="s">
        <v>85</v>
      </c>
      <c r="G684" s="4" t="s">
        <v>993</v>
      </c>
      <c r="H684" s="6">
        <v>0.2853</v>
      </c>
      <c r="I684" s="8">
        <v>160</v>
      </c>
      <c r="J684" s="8">
        <v>500</v>
      </c>
      <c r="K684" s="8">
        <v>160</v>
      </c>
      <c r="L684" s="8">
        <v>12800000</v>
      </c>
      <c r="M684" s="15">
        <v>7897801321488</v>
      </c>
      <c r="N684" s="6" t="s">
        <v>20</v>
      </c>
      <c r="O684" s="6" t="s">
        <v>20</v>
      </c>
      <c r="P684" s="6" t="s">
        <v>20</v>
      </c>
      <c r="Q684" s="6">
        <v>0.16</v>
      </c>
      <c r="R684" s="6">
        <v>0.5</v>
      </c>
      <c r="S684" s="6">
        <v>0.16</v>
      </c>
      <c r="T684" s="8">
        <v>1</v>
      </c>
      <c r="U684" s="5" t="s">
        <v>1005</v>
      </c>
      <c r="V684" s="89">
        <v>5.2000000000000005E-2</v>
      </c>
      <c r="W684" s="15">
        <v>17897801321485</v>
      </c>
      <c r="X684" s="6">
        <v>0.43</v>
      </c>
      <c r="Y684" s="6">
        <v>0.14000000000000001</v>
      </c>
      <c r="Z684" s="6">
        <v>0.53</v>
      </c>
      <c r="AA684" s="6">
        <v>3.1906000000000004E-2</v>
      </c>
      <c r="AB684" s="8">
        <v>25</v>
      </c>
      <c r="AC684" s="15">
        <v>27897801321482</v>
      </c>
      <c r="AD684" s="4" t="s">
        <v>992</v>
      </c>
    </row>
    <row r="685" spans="2:30" x14ac:dyDescent="0.35">
      <c r="B685" s="14">
        <v>1300</v>
      </c>
      <c r="C685" s="4" t="s">
        <v>674</v>
      </c>
      <c r="D685" s="4" t="s">
        <v>2418</v>
      </c>
      <c r="E685" s="4" t="s">
        <v>2914</v>
      </c>
      <c r="F685" s="4" t="s">
        <v>164</v>
      </c>
      <c r="G685" s="4" t="s">
        <v>995</v>
      </c>
      <c r="H685" s="6">
        <v>2.1499999999999998E-2</v>
      </c>
      <c r="I685" s="8">
        <v>105</v>
      </c>
      <c r="J685" s="8">
        <v>105</v>
      </c>
      <c r="K685" s="8">
        <v>57</v>
      </c>
      <c r="L685" s="8">
        <f>J685*I685*K685</f>
        <v>628425</v>
      </c>
      <c r="M685" s="15">
        <v>7897801300957</v>
      </c>
      <c r="N685" s="6" t="s">
        <v>20</v>
      </c>
      <c r="O685" s="6" t="s">
        <v>20</v>
      </c>
      <c r="P685" s="6" t="s">
        <v>20</v>
      </c>
      <c r="Q685" s="6">
        <v>0.05</v>
      </c>
      <c r="R685" s="6">
        <v>0.19</v>
      </c>
      <c r="S685" s="6">
        <v>0.05</v>
      </c>
      <c r="T685" s="8">
        <v>10</v>
      </c>
      <c r="U685" s="5" t="s">
        <v>1018</v>
      </c>
      <c r="V685" s="89">
        <v>0.15</v>
      </c>
      <c r="W685" s="15">
        <v>17897801300954</v>
      </c>
      <c r="X685" s="6">
        <v>0.23</v>
      </c>
      <c r="Y685" s="6">
        <v>0.21</v>
      </c>
      <c r="Z685" s="6">
        <v>0.27</v>
      </c>
      <c r="AA685" s="6">
        <f>Y685*X685*Z685</f>
        <v>1.3041000000000002E-2</v>
      </c>
      <c r="AB685" s="8">
        <v>200</v>
      </c>
      <c r="AC685" s="15">
        <v>27897801300951</v>
      </c>
      <c r="AD685" s="4" t="s">
        <v>998</v>
      </c>
    </row>
    <row r="686" spans="2:30" x14ac:dyDescent="0.35">
      <c r="B686" s="14">
        <v>1301</v>
      </c>
      <c r="C686" s="4" t="s">
        <v>675</v>
      </c>
      <c r="D686" s="4" t="s">
        <v>2418</v>
      </c>
      <c r="E686" s="4" t="s">
        <v>2914</v>
      </c>
      <c r="F686" s="4" t="s">
        <v>164</v>
      </c>
      <c r="G686" s="4" t="s">
        <v>995</v>
      </c>
      <c r="H686" s="6">
        <v>0.04</v>
      </c>
      <c r="I686" s="8">
        <v>200</v>
      </c>
      <c r="J686" s="8">
        <v>200</v>
      </c>
      <c r="K686" s="8">
        <v>58</v>
      </c>
      <c r="L686" s="8">
        <f>J686*I686*K686</f>
        <v>2320000</v>
      </c>
      <c r="M686" s="15">
        <v>7897801300964</v>
      </c>
      <c r="N686" s="6" t="s">
        <v>20</v>
      </c>
      <c r="O686" s="6" t="s">
        <v>20</v>
      </c>
      <c r="P686" s="6" t="s">
        <v>20</v>
      </c>
      <c r="Q686" s="6">
        <v>0.06</v>
      </c>
      <c r="R686" s="6">
        <v>0.19</v>
      </c>
      <c r="S686" s="6">
        <v>0.06</v>
      </c>
      <c r="T686" s="8">
        <v>10</v>
      </c>
      <c r="U686" s="5" t="s">
        <v>1018</v>
      </c>
      <c r="V686" s="89">
        <v>0.15</v>
      </c>
      <c r="W686" s="15">
        <v>17897801300961</v>
      </c>
      <c r="X686" s="6">
        <v>0.23499999999999999</v>
      </c>
      <c r="Y686" s="6">
        <v>0.22</v>
      </c>
      <c r="Z686" s="6">
        <v>0.27</v>
      </c>
      <c r="AA686" s="6">
        <f>Y686*X686*Z686</f>
        <v>1.3958999999999999E-2</v>
      </c>
      <c r="AB686" s="8">
        <v>150</v>
      </c>
      <c r="AC686" s="15">
        <v>27897801300968</v>
      </c>
      <c r="AD686" s="4" t="s">
        <v>998</v>
      </c>
    </row>
    <row r="687" spans="2:30" x14ac:dyDescent="0.35">
      <c r="B687" s="14">
        <v>1302</v>
      </c>
      <c r="C687" s="4" t="s">
        <v>676</v>
      </c>
      <c r="D687" s="4" t="s">
        <v>2418</v>
      </c>
      <c r="E687" s="4" t="s">
        <v>2914</v>
      </c>
      <c r="F687" s="4" t="s">
        <v>164</v>
      </c>
      <c r="G687" s="4" t="s">
        <v>995</v>
      </c>
      <c r="H687" s="6">
        <v>7.6999999999999999E-2</v>
      </c>
      <c r="I687" s="8">
        <v>195</v>
      </c>
      <c r="J687" s="8">
        <v>195</v>
      </c>
      <c r="K687" s="8">
        <v>70</v>
      </c>
      <c r="L687" s="8">
        <f>J687*I687*K687</f>
        <v>2661750</v>
      </c>
      <c r="M687" s="15">
        <v>7897801300971</v>
      </c>
      <c r="N687" s="6" t="s">
        <v>20</v>
      </c>
      <c r="O687" s="6" t="s">
        <v>20</v>
      </c>
      <c r="P687" s="6" t="s">
        <v>20</v>
      </c>
      <c r="Q687" s="6">
        <v>7.0000000000000007E-2</v>
      </c>
      <c r="R687" s="6">
        <v>0.19</v>
      </c>
      <c r="S687" s="6">
        <v>7.0000000000000007E-2</v>
      </c>
      <c r="T687" s="8">
        <v>10</v>
      </c>
      <c r="U687" s="5" t="s">
        <v>1018</v>
      </c>
      <c r="V687" s="89">
        <v>0.15</v>
      </c>
      <c r="W687" s="15">
        <v>17897801300978</v>
      </c>
      <c r="X687" s="6">
        <v>0.23499999999999999</v>
      </c>
      <c r="Y687" s="6">
        <v>0.21</v>
      </c>
      <c r="Z687" s="6">
        <v>0.27</v>
      </c>
      <c r="AA687" s="6">
        <f>Y687*X687*Z687</f>
        <v>1.33245E-2</v>
      </c>
      <c r="AB687" s="8">
        <v>100</v>
      </c>
      <c r="AC687" s="15">
        <v>27897801300975</v>
      </c>
      <c r="AD687" s="4" t="s">
        <v>998</v>
      </c>
    </row>
    <row r="688" spans="2:30" ht="29" x14ac:dyDescent="0.35">
      <c r="B688" s="18">
        <v>1303</v>
      </c>
      <c r="C688" s="25" t="s">
        <v>2325</v>
      </c>
      <c r="D688" s="4" t="s">
        <v>2372</v>
      </c>
      <c r="E688" s="4" t="s">
        <v>2914</v>
      </c>
      <c r="F688" s="4" t="s">
        <v>85</v>
      </c>
      <c r="G688" s="4" t="s">
        <v>1012</v>
      </c>
      <c r="H688" s="6">
        <v>6.9929000000000005E-2</v>
      </c>
      <c r="I688" s="8">
        <v>130</v>
      </c>
      <c r="J688" s="8">
        <v>15</v>
      </c>
      <c r="K688" s="8">
        <v>50</v>
      </c>
      <c r="L688" s="8">
        <v>97500</v>
      </c>
      <c r="M688" s="15">
        <v>7897801318464</v>
      </c>
      <c r="N688" s="6" t="s">
        <v>20</v>
      </c>
      <c r="O688" s="6" t="s">
        <v>20</v>
      </c>
      <c r="P688" s="6" t="s">
        <v>20</v>
      </c>
      <c r="Q688" s="6">
        <v>0.05</v>
      </c>
      <c r="R688" s="6">
        <v>1.4999999999999999E-2</v>
      </c>
      <c r="S688" s="6">
        <v>0.13</v>
      </c>
      <c r="T688" s="8">
        <v>1</v>
      </c>
      <c r="U688" s="5" t="s">
        <v>2331</v>
      </c>
      <c r="V688" s="89">
        <v>0</v>
      </c>
      <c r="W688" s="15">
        <v>17897801318461</v>
      </c>
      <c r="X688" s="6">
        <v>0.19</v>
      </c>
      <c r="Y688" s="6">
        <v>0.17</v>
      </c>
      <c r="Z688" s="6">
        <v>0.255</v>
      </c>
      <c r="AA688" s="6">
        <v>8.2365000000000008E-3</v>
      </c>
      <c r="AB688" s="8">
        <v>70</v>
      </c>
      <c r="AC688" s="15">
        <v>27897801318468</v>
      </c>
      <c r="AD688" s="4" t="s">
        <v>992</v>
      </c>
    </row>
    <row r="689" spans="2:30" x14ac:dyDescent="0.35">
      <c r="B689" s="18">
        <v>1304</v>
      </c>
      <c r="C689" s="24" t="s">
        <v>2326</v>
      </c>
      <c r="D689" s="4" t="s">
        <v>2372</v>
      </c>
      <c r="E689" s="4" t="s">
        <v>2914</v>
      </c>
      <c r="F689" s="4" t="s">
        <v>85</v>
      </c>
      <c r="G689" s="4" t="s">
        <v>1012</v>
      </c>
      <c r="H689" s="6">
        <v>9.0249999999999997E-2</v>
      </c>
      <c r="I689" s="8">
        <v>130</v>
      </c>
      <c r="J689" s="8">
        <v>15</v>
      </c>
      <c r="K689" s="8">
        <v>50</v>
      </c>
      <c r="L689" s="8">
        <v>97500</v>
      </c>
      <c r="M689" s="15">
        <v>7897801318471</v>
      </c>
      <c r="N689" s="6" t="s">
        <v>20</v>
      </c>
      <c r="O689" s="6" t="s">
        <v>20</v>
      </c>
      <c r="P689" s="6" t="s">
        <v>20</v>
      </c>
      <c r="Q689" s="6">
        <v>0.05</v>
      </c>
      <c r="R689" s="6">
        <v>1.4999999999999999E-2</v>
      </c>
      <c r="S689" s="6">
        <v>0.13</v>
      </c>
      <c r="T689" s="8">
        <v>1</v>
      </c>
      <c r="U689" s="5" t="s">
        <v>2331</v>
      </c>
      <c r="V689" s="89">
        <v>0</v>
      </c>
      <c r="W689" s="15">
        <v>17897801318471</v>
      </c>
      <c r="X689" s="6">
        <v>0.19</v>
      </c>
      <c r="Y689" s="6">
        <v>0.17</v>
      </c>
      <c r="Z689" s="6">
        <v>0.255</v>
      </c>
      <c r="AA689" s="6">
        <v>8.2365000000000008E-3</v>
      </c>
      <c r="AB689" s="8">
        <v>60</v>
      </c>
      <c r="AC689" s="15">
        <v>27897801318471</v>
      </c>
      <c r="AD689" s="4" t="s">
        <v>992</v>
      </c>
    </row>
    <row r="690" spans="2:30" x14ac:dyDescent="0.35">
      <c r="B690" s="18">
        <v>1305</v>
      </c>
      <c r="C690" s="24" t="s">
        <v>2327</v>
      </c>
      <c r="D690" s="4" t="s">
        <v>2372</v>
      </c>
      <c r="E690" s="4" t="s">
        <v>2914</v>
      </c>
      <c r="F690" s="4" t="s">
        <v>85</v>
      </c>
      <c r="G690" s="4" t="s">
        <v>1012</v>
      </c>
      <c r="H690" s="6">
        <v>0.1241</v>
      </c>
      <c r="I690" s="8">
        <v>130</v>
      </c>
      <c r="J690" s="8">
        <v>15</v>
      </c>
      <c r="K690" s="8">
        <v>50</v>
      </c>
      <c r="L690" s="8">
        <v>97500</v>
      </c>
      <c r="M690" s="15">
        <v>7897801318488</v>
      </c>
      <c r="N690" s="6" t="s">
        <v>20</v>
      </c>
      <c r="O690" s="6" t="s">
        <v>20</v>
      </c>
      <c r="P690" s="6" t="s">
        <v>20</v>
      </c>
      <c r="Q690" s="6">
        <v>0.05</v>
      </c>
      <c r="R690" s="6">
        <v>1.4999999999999999E-2</v>
      </c>
      <c r="S690" s="6">
        <v>0.13</v>
      </c>
      <c r="T690" s="8">
        <v>1</v>
      </c>
      <c r="U690" s="5" t="s">
        <v>2331</v>
      </c>
      <c r="V690" s="89">
        <v>0</v>
      </c>
      <c r="W690" s="15">
        <v>17897801318485</v>
      </c>
      <c r="X690" s="6">
        <v>0.19</v>
      </c>
      <c r="Y690" s="6">
        <v>0.17</v>
      </c>
      <c r="Z690" s="6">
        <v>0.255</v>
      </c>
      <c r="AA690" s="6">
        <v>8.2365000000000008E-3</v>
      </c>
      <c r="AB690" s="8">
        <v>50</v>
      </c>
      <c r="AC690" s="15">
        <v>27897801318482</v>
      </c>
      <c r="AD690" s="4" t="s">
        <v>992</v>
      </c>
    </row>
    <row r="691" spans="2:30" x14ac:dyDescent="0.35">
      <c r="B691" s="18">
        <v>1306</v>
      </c>
      <c r="C691" s="24" t="s">
        <v>2328</v>
      </c>
      <c r="D691" s="4" t="s">
        <v>2372</v>
      </c>
      <c r="E691" s="4" t="s">
        <v>2914</v>
      </c>
      <c r="F691" s="4" t="s">
        <v>85</v>
      </c>
      <c r="G691" s="4" t="s">
        <v>1012</v>
      </c>
      <c r="H691" s="6">
        <v>0.17100000000000001</v>
      </c>
      <c r="I691" s="8">
        <v>130</v>
      </c>
      <c r="J691" s="8">
        <v>15</v>
      </c>
      <c r="K691" s="8">
        <v>50</v>
      </c>
      <c r="L691" s="8">
        <v>97500</v>
      </c>
      <c r="M691" s="15">
        <v>7897801318495</v>
      </c>
      <c r="N691" s="6" t="s">
        <v>20</v>
      </c>
      <c r="O691" s="6" t="s">
        <v>20</v>
      </c>
      <c r="P691" s="6" t="s">
        <v>20</v>
      </c>
      <c r="Q691" s="6">
        <v>0.05</v>
      </c>
      <c r="R691" s="6">
        <v>1.4999999999999999E-2</v>
      </c>
      <c r="S691" s="6">
        <v>0.13</v>
      </c>
      <c r="T691" s="8">
        <v>1</v>
      </c>
      <c r="U691" s="5" t="s">
        <v>2331</v>
      </c>
      <c r="V691" s="89">
        <v>0</v>
      </c>
      <c r="W691" s="15">
        <v>17897801318495</v>
      </c>
      <c r="X691" s="6">
        <v>0.19</v>
      </c>
      <c r="Y691" s="6">
        <v>0.17</v>
      </c>
      <c r="Z691" s="6">
        <v>0.255</v>
      </c>
      <c r="AA691" s="6">
        <v>8.2365000000000008E-3</v>
      </c>
      <c r="AB691" s="8">
        <v>40</v>
      </c>
      <c r="AC691" s="15">
        <v>27897801318495</v>
      </c>
      <c r="AD691" s="4" t="s">
        <v>992</v>
      </c>
    </row>
    <row r="692" spans="2:30" x14ac:dyDescent="0.35">
      <c r="B692" s="18">
        <v>1307</v>
      </c>
      <c r="C692" s="24" t="s">
        <v>2329</v>
      </c>
      <c r="D692" s="4" t="s">
        <v>2372</v>
      </c>
      <c r="E692" s="4" t="s">
        <v>2914</v>
      </c>
      <c r="F692" s="4" t="s">
        <v>85</v>
      </c>
      <c r="G692" s="4" t="s">
        <v>1012</v>
      </c>
      <c r="H692" s="6">
        <v>0.27324999999999999</v>
      </c>
      <c r="I692" s="8">
        <v>130</v>
      </c>
      <c r="J692" s="8">
        <v>15</v>
      </c>
      <c r="K692" s="8">
        <v>50</v>
      </c>
      <c r="L692" s="8">
        <v>97500</v>
      </c>
      <c r="M692" s="15">
        <v>7897801318501</v>
      </c>
      <c r="N692" s="6" t="s">
        <v>20</v>
      </c>
      <c r="O692" s="6" t="s">
        <v>20</v>
      </c>
      <c r="P692" s="6" t="s">
        <v>20</v>
      </c>
      <c r="Q692" s="6">
        <v>0.05</v>
      </c>
      <c r="R692" s="6">
        <v>1.4999999999999999E-2</v>
      </c>
      <c r="S692" s="6">
        <v>0.13</v>
      </c>
      <c r="T692" s="8">
        <v>1</v>
      </c>
      <c r="U692" s="5" t="s">
        <v>2331</v>
      </c>
      <c r="V692" s="89">
        <v>0</v>
      </c>
      <c r="W692" s="15">
        <v>17897801318508</v>
      </c>
      <c r="X692" s="6">
        <v>0.19</v>
      </c>
      <c r="Y692" s="6">
        <v>0.17</v>
      </c>
      <c r="Z692" s="6">
        <v>0.255</v>
      </c>
      <c r="AA692" s="6">
        <v>8.2365000000000008E-3</v>
      </c>
      <c r="AB692" s="8">
        <v>20</v>
      </c>
      <c r="AC692" s="15">
        <v>27897801318505</v>
      </c>
      <c r="AD692" s="4" t="s">
        <v>992</v>
      </c>
    </row>
    <row r="693" spans="2:30" x14ac:dyDescent="0.35">
      <c r="B693" s="14">
        <v>1308</v>
      </c>
      <c r="C693" s="4" t="s">
        <v>677</v>
      </c>
      <c r="D693" s="4" t="s">
        <v>2399</v>
      </c>
      <c r="E693" s="4" t="s">
        <v>2914</v>
      </c>
      <c r="F693" s="4" t="s">
        <v>85</v>
      </c>
      <c r="G693" s="4" t="s">
        <v>1014</v>
      </c>
      <c r="H693" s="6">
        <v>1.143</v>
      </c>
      <c r="I693" s="8">
        <v>35</v>
      </c>
      <c r="J693" s="8">
        <v>9.5</v>
      </c>
      <c r="K693" s="8">
        <v>22.8</v>
      </c>
      <c r="L693" s="8">
        <f t="shared" ref="L693:L710" si="37">J693*I693*K693</f>
        <v>7581</v>
      </c>
      <c r="M693" s="15">
        <v>7897801319485</v>
      </c>
      <c r="N693" s="6" t="s">
        <v>20</v>
      </c>
      <c r="O693" s="6" t="s">
        <v>20</v>
      </c>
      <c r="P693" s="6" t="s">
        <v>20</v>
      </c>
      <c r="Q693" s="6">
        <v>0.20499999999999999</v>
      </c>
      <c r="R693" s="6">
        <v>0.37</v>
      </c>
      <c r="S693" s="6">
        <v>0.44</v>
      </c>
      <c r="T693" s="8">
        <v>4</v>
      </c>
      <c r="U693" s="5" t="s">
        <v>1017</v>
      </c>
      <c r="V693" s="89">
        <v>0</v>
      </c>
      <c r="W693" s="15">
        <v>17897801319482</v>
      </c>
      <c r="X693" s="6" t="s">
        <v>20</v>
      </c>
      <c r="Y693" s="6" t="s">
        <v>20</v>
      </c>
      <c r="Z693" s="6" t="s">
        <v>20</v>
      </c>
      <c r="AA693" s="6"/>
      <c r="AB693" s="8">
        <v>0</v>
      </c>
      <c r="AC693" s="15">
        <v>27897801319489</v>
      </c>
      <c r="AD693" s="4" t="s">
        <v>992</v>
      </c>
    </row>
    <row r="694" spans="2:30" x14ac:dyDescent="0.35">
      <c r="B694" s="14">
        <v>1309</v>
      </c>
      <c r="C694" s="4" t="s">
        <v>678</v>
      </c>
      <c r="D694" s="4" t="s">
        <v>2399</v>
      </c>
      <c r="E694" s="4" t="s">
        <v>2914</v>
      </c>
      <c r="F694" s="4" t="s">
        <v>85</v>
      </c>
      <c r="G694" s="4" t="s">
        <v>1014</v>
      </c>
      <c r="H694" s="6">
        <v>0.77059999999999995</v>
      </c>
      <c r="I694" s="8">
        <v>35.5</v>
      </c>
      <c r="J694" s="8">
        <v>9.5</v>
      </c>
      <c r="K694" s="8">
        <v>38</v>
      </c>
      <c r="L694" s="8">
        <f t="shared" si="37"/>
        <v>12815.5</v>
      </c>
      <c r="M694" s="15">
        <v>7897801319492</v>
      </c>
      <c r="N694" s="6" t="s">
        <v>20</v>
      </c>
      <c r="O694" s="6" t="s">
        <v>20</v>
      </c>
      <c r="P694" s="6" t="s">
        <v>20</v>
      </c>
      <c r="Q694" s="6">
        <v>0.21</v>
      </c>
      <c r="R694" s="6">
        <v>0.36499999999999999</v>
      </c>
      <c r="S694" s="6">
        <v>0.38500000000000001</v>
      </c>
      <c r="T694" s="8">
        <v>2</v>
      </c>
      <c r="U694" s="5" t="s">
        <v>1017</v>
      </c>
      <c r="V694" s="89">
        <v>0</v>
      </c>
      <c r="W694" s="15">
        <v>17897801319499</v>
      </c>
      <c r="X694" s="6" t="s">
        <v>20</v>
      </c>
      <c r="Y694" s="6" t="s">
        <v>20</v>
      </c>
      <c r="Z694" s="6" t="s">
        <v>20</v>
      </c>
      <c r="AA694" s="6"/>
      <c r="AB694" s="8">
        <v>0</v>
      </c>
      <c r="AC694" s="15">
        <v>27897801319496</v>
      </c>
      <c r="AD694" s="4" t="s">
        <v>992</v>
      </c>
    </row>
    <row r="695" spans="2:30" x14ac:dyDescent="0.35">
      <c r="B695" s="14">
        <v>1310</v>
      </c>
      <c r="C695" s="4" t="s">
        <v>679</v>
      </c>
      <c r="D695" s="4" t="s">
        <v>2399</v>
      </c>
      <c r="E695" s="4" t="s">
        <v>2914</v>
      </c>
      <c r="F695" s="4" t="s">
        <v>85</v>
      </c>
      <c r="G695" s="4" t="s">
        <v>1014</v>
      </c>
      <c r="H695" s="6">
        <v>3.1419999999999999</v>
      </c>
      <c r="I695" s="8">
        <v>53</v>
      </c>
      <c r="J695" s="8">
        <v>9.6999999999999993</v>
      </c>
      <c r="K695" s="8">
        <v>35.5</v>
      </c>
      <c r="L695" s="8">
        <f t="shared" si="37"/>
        <v>18250.549999999996</v>
      </c>
      <c r="M695" s="15">
        <v>7897801319508</v>
      </c>
      <c r="N695" s="6" t="s">
        <v>20</v>
      </c>
      <c r="O695" s="6" t="s">
        <v>20</v>
      </c>
      <c r="P695" s="6" t="s">
        <v>20</v>
      </c>
      <c r="Q695" s="6">
        <v>0.21</v>
      </c>
      <c r="R695" s="6">
        <v>0.37</v>
      </c>
      <c r="S695" s="6">
        <v>0.53500000000000003</v>
      </c>
      <c r="T695" s="8">
        <v>2</v>
      </c>
      <c r="U695" s="5" t="s">
        <v>1017</v>
      </c>
      <c r="V695" s="89">
        <v>0</v>
      </c>
      <c r="W695" s="15">
        <v>17897801319505</v>
      </c>
      <c r="X695" s="6" t="s">
        <v>20</v>
      </c>
      <c r="Y695" s="6" t="s">
        <v>20</v>
      </c>
      <c r="Z695" s="6" t="s">
        <v>20</v>
      </c>
      <c r="AA695" s="6"/>
      <c r="AB695" s="8">
        <v>0</v>
      </c>
      <c r="AC695" s="15">
        <v>27897801319502</v>
      </c>
      <c r="AD695" s="4" t="s">
        <v>992</v>
      </c>
    </row>
    <row r="696" spans="2:30" x14ac:dyDescent="0.35">
      <c r="B696" s="14">
        <v>1311</v>
      </c>
      <c r="C696" s="4" t="s">
        <v>680</v>
      </c>
      <c r="D696" s="4" t="s">
        <v>2399</v>
      </c>
      <c r="E696" s="4" t="s">
        <v>2914</v>
      </c>
      <c r="F696" s="4" t="s">
        <v>85</v>
      </c>
      <c r="G696" s="4" t="s">
        <v>1014</v>
      </c>
      <c r="H696" s="6">
        <v>0.56950000000000001</v>
      </c>
      <c r="I696" s="8">
        <v>35</v>
      </c>
      <c r="J696" s="8">
        <v>9.5</v>
      </c>
      <c r="K696" s="8">
        <v>22.8</v>
      </c>
      <c r="L696" s="8">
        <f t="shared" si="37"/>
        <v>7581</v>
      </c>
      <c r="M696" s="15">
        <v>7897801320344</v>
      </c>
      <c r="N696" s="6" t="s">
        <v>20</v>
      </c>
      <c r="O696" s="6" t="s">
        <v>20</v>
      </c>
      <c r="P696" s="6" t="s">
        <v>20</v>
      </c>
      <c r="Q696" s="6">
        <v>0.20499999999999999</v>
      </c>
      <c r="R696" s="6">
        <v>0.37</v>
      </c>
      <c r="S696" s="6">
        <v>0.44</v>
      </c>
      <c r="T696" s="8">
        <v>4</v>
      </c>
      <c r="U696" s="5" t="s">
        <v>1017</v>
      </c>
      <c r="V696" s="89">
        <v>0</v>
      </c>
      <c r="W696" s="15">
        <v>17897801320341</v>
      </c>
      <c r="X696" s="6" t="s">
        <v>20</v>
      </c>
      <c r="Y696" s="6" t="s">
        <v>20</v>
      </c>
      <c r="Z696" s="6" t="s">
        <v>20</v>
      </c>
      <c r="AA696" s="6"/>
      <c r="AB696" s="8">
        <v>0</v>
      </c>
      <c r="AC696" s="15">
        <v>27897801320348</v>
      </c>
      <c r="AD696" s="4" t="s">
        <v>992</v>
      </c>
    </row>
    <row r="697" spans="2:30" x14ac:dyDescent="0.35">
      <c r="B697" s="14">
        <v>1312</v>
      </c>
      <c r="C697" s="4" t="s">
        <v>681</v>
      </c>
      <c r="D697" s="4" t="s">
        <v>2399</v>
      </c>
      <c r="E697" s="4" t="s">
        <v>2914</v>
      </c>
      <c r="F697" s="4" t="s">
        <v>85</v>
      </c>
      <c r="G697" s="4" t="s">
        <v>1014</v>
      </c>
      <c r="H697" s="6">
        <v>1.1733</v>
      </c>
      <c r="I697" s="8">
        <v>35.5</v>
      </c>
      <c r="J697" s="8">
        <v>9.5</v>
      </c>
      <c r="K697" s="8">
        <v>38</v>
      </c>
      <c r="L697" s="8">
        <f t="shared" si="37"/>
        <v>12815.5</v>
      </c>
      <c r="M697" s="15">
        <v>7897801320351</v>
      </c>
      <c r="N697" s="6" t="s">
        <v>20</v>
      </c>
      <c r="O697" s="6" t="s">
        <v>20</v>
      </c>
      <c r="P697" s="6" t="s">
        <v>20</v>
      </c>
      <c r="Q697" s="6">
        <v>0.21</v>
      </c>
      <c r="R697" s="6">
        <v>0.36499999999999999</v>
      </c>
      <c r="S697" s="6">
        <v>0.38500000000000001</v>
      </c>
      <c r="T697" s="8">
        <v>2</v>
      </c>
      <c r="U697" s="5" t="s">
        <v>1017</v>
      </c>
      <c r="V697" s="89">
        <v>0</v>
      </c>
      <c r="W697" s="15">
        <v>17897801320358</v>
      </c>
      <c r="X697" s="6" t="s">
        <v>20</v>
      </c>
      <c r="Y697" s="6" t="s">
        <v>20</v>
      </c>
      <c r="Z697" s="6" t="s">
        <v>20</v>
      </c>
      <c r="AA697" s="6"/>
      <c r="AB697" s="8">
        <v>0</v>
      </c>
      <c r="AC697" s="15">
        <v>27897801320355</v>
      </c>
      <c r="AD697" s="4" t="s">
        <v>992</v>
      </c>
    </row>
    <row r="698" spans="2:30" x14ac:dyDescent="0.35">
      <c r="B698" s="14">
        <v>1313</v>
      </c>
      <c r="C698" s="4" t="s">
        <v>682</v>
      </c>
      <c r="D698" s="4" t="s">
        <v>2399</v>
      </c>
      <c r="E698" s="4" t="s">
        <v>2914</v>
      </c>
      <c r="F698" s="4" t="s">
        <v>85</v>
      </c>
      <c r="G698" s="4" t="s">
        <v>1014</v>
      </c>
      <c r="H698" s="6">
        <v>3.5870000000000002</v>
      </c>
      <c r="I698" s="8">
        <v>53</v>
      </c>
      <c r="J698" s="8">
        <v>9.6999999999999993</v>
      </c>
      <c r="K698" s="8">
        <v>35.5</v>
      </c>
      <c r="L698" s="8">
        <f t="shared" si="37"/>
        <v>18250.549999999996</v>
      </c>
      <c r="M698" s="15">
        <v>7897801320368</v>
      </c>
      <c r="N698" s="6" t="s">
        <v>20</v>
      </c>
      <c r="O698" s="6" t="s">
        <v>20</v>
      </c>
      <c r="P698" s="6" t="s">
        <v>20</v>
      </c>
      <c r="Q698" s="6">
        <v>0.21</v>
      </c>
      <c r="R698" s="6">
        <v>0.37</v>
      </c>
      <c r="S698" s="6">
        <v>0.53500000000000003</v>
      </c>
      <c r="T698" s="8">
        <v>2</v>
      </c>
      <c r="U698" s="5" t="s">
        <v>1017</v>
      </c>
      <c r="V698" s="89">
        <v>0</v>
      </c>
      <c r="W698" s="15">
        <v>17897801320365</v>
      </c>
      <c r="X698" s="6" t="s">
        <v>20</v>
      </c>
      <c r="Y698" s="6" t="s">
        <v>20</v>
      </c>
      <c r="Z698" s="6" t="s">
        <v>20</v>
      </c>
      <c r="AA698" s="6"/>
      <c r="AB698" s="8">
        <v>0</v>
      </c>
      <c r="AC698" s="15">
        <v>27897801320362</v>
      </c>
      <c r="AD698" s="4" t="s">
        <v>992</v>
      </c>
    </row>
    <row r="699" spans="2:30" x14ac:dyDescent="0.35">
      <c r="B699" s="14">
        <v>1314</v>
      </c>
      <c r="C699" s="4" t="s">
        <v>683</v>
      </c>
      <c r="D699" s="4" t="s">
        <v>2381</v>
      </c>
      <c r="E699" s="4" t="s">
        <v>2914</v>
      </c>
      <c r="F699" s="4" t="s">
        <v>85</v>
      </c>
      <c r="G699" s="4" t="s">
        <v>1014</v>
      </c>
      <c r="H699" s="6">
        <v>0.58960000000000001</v>
      </c>
      <c r="I699" s="8">
        <v>27</v>
      </c>
      <c r="J699" s="8">
        <v>9.5</v>
      </c>
      <c r="K699" s="8">
        <v>21</v>
      </c>
      <c r="L699" s="8">
        <f t="shared" si="37"/>
        <v>5386.5</v>
      </c>
      <c r="M699" s="15">
        <v>7897801319515</v>
      </c>
      <c r="N699" s="6" t="s">
        <v>20</v>
      </c>
      <c r="O699" s="6" t="s">
        <v>20</v>
      </c>
      <c r="P699" s="6" t="s">
        <v>20</v>
      </c>
      <c r="Q699" s="6">
        <v>0.37</v>
      </c>
      <c r="R699" s="6">
        <v>0.31</v>
      </c>
      <c r="S699" s="6">
        <v>0.435</v>
      </c>
      <c r="T699" s="8">
        <v>8</v>
      </c>
      <c r="U699" s="5" t="s">
        <v>1017</v>
      </c>
      <c r="V699" s="89">
        <v>0</v>
      </c>
      <c r="W699" s="15">
        <v>17897801319512</v>
      </c>
      <c r="X699" s="6" t="s">
        <v>20</v>
      </c>
      <c r="Y699" s="6" t="s">
        <v>20</v>
      </c>
      <c r="Z699" s="6" t="s">
        <v>20</v>
      </c>
      <c r="AA699" s="6"/>
      <c r="AB699" s="8">
        <v>0</v>
      </c>
      <c r="AC699" s="15">
        <v>27897801319519</v>
      </c>
      <c r="AD699" s="4" t="s">
        <v>992</v>
      </c>
    </row>
    <row r="700" spans="2:30" x14ac:dyDescent="0.35">
      <c r="B700" s="14">
        <v>1315</v>
      </c>
      <c r="C700" s="4" t="s">
        <v>684</v>
      </c>
      <c r="D700" s="4" t="s">
        <v>2381</v>
      </c>
      <c r="E700" s="4" t="s">
        <v>2914</v>
      </c>
      <c r="F700" s="4" t="s">
        <v>85</v>
      </c>
      <c r="G700" s="4" t="s">
        <v>1014</v>
      </c>
      <c r="H700" s="6">
        <v>0.88600000000000001</v>
      </c>
      <c r="I700" s="8">
        <v>35</v>
      </c>
      <c r="J700" s="8">
        <v>9.5</v>
      </c>
      <c r="K700" s="8">
        <v>22.8</v>
      </c>
      <c r="L700" s="8">
        <f t="shared" si="37"/>
        <v>7581</v>
      </c>
      <c r="M700" s="15">
        <v>7897801319522</v>
      </c>
      <c r="N700" s="6" t="s">
        <v>20</v>
      </c>
      <c r="O700" s="6" t="s">
        <v>20</v>
      </c>
      <c r="P700" s="6" t="s">
        <v>20</v>
      </c>
      <c r="Q700" s="6">
        <v>0.20499999999999999</v>
      </c>
      <c r="R700" s="6">
        <v>0.37</v>
      </c>
      <c r="S700" s="6">
        <v>0.44</v>
      </c>
      <c r="T700" s="8">
        <v>4</v>
      </c>
      <c r="U700" s="5" t="s">
        <v>1017</v>
      </c>
      <c r="V700" s="89">
        <v>9.7500000000000003E-2</v>
      </c>
      <c r="W700" s="15">
        <v>17897801319529</v>
      </c>
      <c r="X700" s="6" t="s">
        <v>20</v>
      </c>
      <c r="Y700" s="6" t="s">
        <v>20</v>
      </c>
      <c r="Z700" s="6" t="s">
        <v>20</v>
      </c>
      <c r="AA700" s="6"/>
      <c r="AB700" s="8">
        <v>0</v>
      </c>
      <c r="AC700" s="15">
        <v>27897801319526</v>
      </c>
      <c r="AD700" s="4" t="s">
        <v>992</v>
      </c>
    </row>
    <row r="701" spans="2:30" x14ac:dyDescent="0.35">
      <c r="B701" s="14">
        <v>1316</v>
      </c>
      <c r="C701" s="4" t="s">
        <v>685</v>
      </c>
      <c r="D701" s="4" t="s">
        <v>2381</v>
      </c>
      <c r="E701" s="4" t="s">
        <v>2914</v>
      </c>
      <c r="F701" s="4" t="s">
        <v>85</v>
      </c>
      <c r="G701" s="4" t="s">
        <v>1014</v>
      </c>
      <c r="H701" s="6">
        <v>0.72270000000000001</v>
      </c>
      <c r="I701" s="8">
        <v>27</v>
      </c>
      <c r="J701" s="8">
        <v>8.5</v>
      </c>
      <c r="K701" s="8">
        <v>21</v>
      </c>
      <c r="L701" s="8">
        <f t="shared" si="37"/>
        <v>4819.5</v>
      </c>
      <c r="M701" s="15">
        <v>7897801319539</v>
      </c>
      <c r="N701" s="6">
        <v>0.36</v>
      </c>
      <c r="O701" s="6">
        <v>0.21</v>
      </c>
      <c r="P701" s="6">
        <v>0.38500000000000001</v>
      </c>
      <c r="Q701" s="6">
        <v>0.38500000000000001</v>
      </c>
      <c r="R701" s="6">
        <v>0.36</v>
      </c>
      <c r="S701" s="6">
        <v>0.21</v>
      </c>
      <c r="T701" s="8">
        <v>2</v>
      </c>
      <c r="U701" s="5" t="s">
        <v>1017</v>
      </c>
      <c r="V701" s="89">
        <v>9.7500000000000003E-2</v>
      </c>
      <c r="W701" s="15">
        <v>17897801319536</v>
      </c>
      <c r="X701" s="6" t="s">
        <v>20</v>
      </c>
      <c r="Y701" s="6" t="s">
        <v>20</v>
      </c>
      <c r="Z701" s="6" t="s">
        <v>20</v>
      </c>
      <c r="AA701" s="6"/>
      <c r="AB701" s="8">
        <v>0</v>
      </c>
      <c r="AC701" s="15">
        <v>27897801319533</v>
      </c>
      <c r="AD701" s="4" t="s">
        <v>992</v>
      </c>
    </row>
    <row r="702" spans="2:30" x14ac:dyDescent="0.35">
      <c r="B702" s="14">
        <v>1317</v>
      </c>
      <c r="C702" s="4" t="s">
        <v>686</v>
      </c>
      <c r="D702" s="4" t="s">
        <v>2381</v>
      </c>
      <c r="E702" s="4" t="s">
        <v>2914</v>
      </c>
      <c r="F702" s="4" t="s">
        <v>85</v>
      </c>
      <c r="G702" s="4" t="s">
        <v>1014</v>
      </c>
      <c r="H702" s="6">
        <v>1.1990000000000001</v>
      </c>
      <c r="I702" s="8">
        <v>53</v>
      </c>
      <c r="J702" s="8">
        <v>8.5</v>
      </c>
      <c r="K702" s="8">
        <v>35.5</v>
      </c>
      <c r="L702" s="8">
        <f t="shared" si="37"/>
        <v>15992.75</v>
      </c>
      <c r="M702" s="15">
        <v>7897801319546</v>
      </c>
      <c r="N702" s="6">
        <v>0.37</v>
      </c>
      <c r="O702" s="6">
        <v>0.21</v>
      </c>
      <c r="P702" s="6">
        <v>0.53</v>
      </c>
      <c r="Q702" s="6">
        <v>0.21</v>
      </c>
      <c r="R702" s="6">
        <v>0.37</v>
      </c>
      <c r="S702" s="6">
        <v>0.53500000000000003</v>
      </c>
      <c r="T702" s="8">
        <v>2</v>
      </c>
      <c r="U702" s="5" t="s">
        <v>1017</v>
      </c>
      <c r="V702" s="89">
        <v>9.7500000000000003E-2</v>
      </c>
      <c r="W702" s="15">
        <v>17897801319543</v>
      </c>
      <c r="X702" s="6" t="s">
        <v>20</v>
      </c>
      <c r="Y702" s="6" t="s">
        <v>20</v>
      </c>
      <c r="Z702" s="6" t="s">
        <v>20</v>
      </c>
      <c r="AA702" s="6"/>
      <c r="AB702" s="8">
        <v>0</v>
      </c>
      <c r="AC702" s="15">
        <v>27897801319540</v>
      </c>
      <c r="AD702" s="4" t="s">
        <v>992</v>
      </c>
    </row>
    <row r="703" spans="2:30" x14ac:dyDescent="0.35">
      <c r="B703" s="14">
        <v>1318</v>
      </c>
      <c r="C703" s="4" t="s">
        <v>687</v>
      </c>
      <c r="D703" s="4" t="s">
        <v>2381</v>
      </c>
      <c r="E703" s="4" t="s">
        <v>2914</v>
      </c>
      <c r="F703" s="4" t="s">
        <v>85</v>
      </c>
      <c r="G703" s="4" t="s">
        <v>1014</v>
      </c>
      <c r="H703" s="6">
        <v>0.77449999999999997</v>
      </c>
      <c r="I703" s="8">
        <v>27</v>
      </c>
      <c r="J703" s="8">
        <v>9.5</v>
      </c>
      <c r="K703" s="8">
        <v>21</v>
      </c>
      <c r="L703" s="8">
        <f t="shared" si="37"/>
        <v>5386.5</v>
      </c>
      <c r="M703" s="15">
        <v>7897801319553</v>
      </c>
      <c r="N703" s="6" t="s">
        <v>20</v>
      </c>
      <c r="O703" s="6" t="s">
        <v>20</v>
      </c>
      <c r="P703" s="6" t="s">
        <v>20</v>
      </c>
      <c r="Q703" s="6">
        <v>0.37</v>
      </c>
      <c r="R703" s="6">
        <v>0.31</v>
      </c>
      <c r="S703" s="6">
        <v>0.435</v>
      </c>
      <c r="T703" s="8">
        <v>8</v>
      </c>
      <c r="U703" s="5" t="s">
        <v>1017</v>
      </c>
      <c r="V703" s="89">
        <v>9.7500000000000003E-2</v>
      </c>
      <c r="W703" s="15">
        <v>17897801319550</v>
      </c>
      <c r="X703" s="6" t="s">
        <v>20</v>
      </c>
      <c r="Y703" s="6" t="s">
        <v>20</v>
      </c>
      <c r="Z703" s="6" t="s">
        <v>20</v>
      </c>
      <c r="AA703" s="6"/>
      <c r="AB703" s="8">
        <v>0</v>
      </c>
      <c r="AC703" s="15">
        <v>27897801319557</v>
      </c>
      <c r="AD703" s="4" t="s">
        <v>992</v>
      </c>
    </row>
    <row r="704" spans="2:30" x14ac:dyDescent="0.35">
      <c r="B704" s="14">
        <v>1319</v>
      </c>
      <c r="C704" s="4" t="s">
        <v>688</v>
      </c>
      <c r="D704" s="4" t="s">
        <v>2381</v>
      </c>
      <c r="E704" s="4" t="s">
        <v>2914</v>
      </c>
      <c r="F704" s="4" t="s">
        <v>85</v>
      </c>
      <c r="G704" s="4" t="s">
        <v>1014</v>
      </c>
      <c r="H704" s="6">
        <v>0.62829999999999997</v>
      </c>
      <c r="I704" s="8">
        <v>35</v>
      </c>
      <c r="J704" s="8">
        <v>9.5</v>
      </c>
      <c r="K704" s="8">
        <v>22.8</v>
      </c>
      <c r="L704" s="8">
        <f t="shared" si="37"/>
        <v>7581</v>
      </c>
      <c r="M704" s="15">
        <v>7897801319560</v>
      </c>
      <c r="N704" s="6" t="s">
        <v>20</v>
      </c>
      <c r="O704" s="6" t="s">
        <v>20</v>
      </c>
      <c r="P704" s="6" t="s">
        <v>20</v>
      </c>
      <c r="Q704" s="6">
        <v>0.20499999999999999</v>
      </c>
      <c r="R704" s="6">
        <v>0.37</v>
      </c>
      <c r="S704" s="6">
        <v>0.44</v>
      </c>
      <c r="T704" s="8">
        <v>4</v>
      </c>
      <c r="U704" s="5" t="s">
        <v>1017</v>
      </c>
      <c r="V704" s="89">
        <v>9.7500000000000003E-2</v>
      </c>
      <c r="W704" s="15">
        <v>17897801319567</v>
      </c>
      <c r="X704" s="6" t="s">
        <v>20</v>
      </c>
      <c r="Y704" s="6" t="s">
        <v>20</v>
      </c>
      <c r="Z704" s="6" t="s">
        <v>20</v>
      </c>
      <c r="AA704" s="6"/>
      <c r="AB704" s="8">
        <v>0</v>
      </c>
      <c r="AC704" s="15">
        <v>27897801319564</v>
      </c>
      <c r="AD704" s="4" t="s">
        <v>992</v>
      </c>
    </row>
    <row r="705" spans="2:30" x14ac:dyDescent="0.35">
      <c r="B705" s="14">
        <v>1320</v>
      </c>
      <c r="C705" s="4" t="s">
        <v>689</v>
      </c>
      <c r="D705" s="4" t="s">
        <v>2381</v>
      </c>
      <c r="E705" s="4" t="s">
        <v>2914</v>
      </c>
      <c r="F705" s="4" t="s">
        <v>85</v>
      </c>
      <c r="G705" s="4" t="s">
        <v>1014</v>
      </c>
      <c r="H705" s="6">
        <v>1.1990000000000001</v>
      </c>
      <c r="I705" s="8">
        <v>27</v>
      </c>
      <c r="J705" s="8">
        <v>8.5</v>
      </c>
      <c r="K705" s="8">
        <v>21</v>
      </c>
      <c r="L705" s="8">
        <f t="shared" si="37"/>
        <v>4819.5</v>
      </c>
      <c r="M705" s="15">
        <v>7897801319577</v>
      </c>
      <c r="N705" s="6" t="s">
        <v>20</v>
      </c>
      <c r="O705" s="6" t="s">
        <v>20</v>
      </c>
      <c r="P705" s="6" t="s">
        <v>20</v>
      </c>
      <c r="Q705" s="6">
        <v>0.38500000000000001</v>
      </c>
      <c r="R705" s="6">
        <v>0.36</v>
      </c>
      <c r="S705" s="6">
        <v>0.21</v>
      </c>
      <c r="T705" s="8">
        <v>2</v>
      </c>
      <c r="U705" s="5" t="s">
        <v>1017</v>
      </c>
      <c r="V705" s="89">
        <v>9.7500000000000003E-2</v>
      </c>
      <c r="W705" s="15">
        <v>17897801319574</v>
      </c>
      <c r="X705" s="6" t="s">
        <v>20</v>
      </c>
      <c r="Y705" s="6" t="s">
        <v>20</v>
      </c>
      <c r="Z705" s="6" t="s">
        <v>20</v>
      </c>
      <c r="AA705" s="6"/>
      <c r="AB705" s="8">
        <v>0</v>
      </c>
      <c r="AC705" s="15">
        <v>27897801319571</v>
      </c>
      <c r="AD705" s="4" t="s">
        <v>992</v>
      </c>
    </row>
    <row r="706" spans="2:30" x14ac:dyDescent="0.35">
      <c r="B706" s="14">
        <v>1321</v>
      </c>
      <c r="C706" s="4" t="s">
        <v>690</v>
      </c>
      <c r="D706" s="4" t="s">
        <v>2381</v>
      </c>
      <c r="E706" s="4" t="s">
        <v>2914</v>
      </c>
      <c r="F706" s="4" t="s">
        <v>85</v>
      </c>
      <c r="G706" s="4" t="s">
        <v>1014</v>
      </c>
      <c r="H706" s="6">
        <v>2.7069999999999999</v>
      </c>
      <c r="I706" s="8">
        <v>53</v>
      </c>
      <c r="J706" s="8">
        <v>8.5</v>
      </c>
      <c r="K706" s="8">
        <v>35.5</v>
      </c>
      <c r="L706" s="8">
        <f t="shared" si="37"/>
        <v>15992.75</v>
      </c>
      <c r="M706" s="15">
        <v>7897801319584</v>
      </c>
      <c r="N706" s="6" t="s">
        <v>20</v>
      </c>
      <c r="O706" s="6" t="s">
        <v>20</v>
      </c>
      <c r="P706" s="6" t="s">
        <v>20</v>
      </c>
      <c r="Q706" s="6">
        <v>0.21</v>
      </c>
      <c r="R706" s="6">
        <v>0.37</v>
      </c>
      <c r="S706" s="6">
        <v>0.53500000000000003</v>
      </c>
      <c r="T706" s="8">
        <v>2</v>
      </c>
      <c r="U706" s="5" t="s">
        <v>1017</v>
      </c>
      <c r="V706" s="89">
        <v>9.7500000000000003E-2</v>
      </c>
      <c r="W706" s="15">
        <v>17897801319581</v>
      </c>
      <c r="X706" s="6" t="s">
        <v>20</v>
      </c>
      <c r="Y706" s="6" t="s">
        <v>20</v>
      </c>
      <c r="Z706" s="6" t="s">
        <v>20</v>
      </c>
      <c r="AA706" s="6"/>
      <c r="AB706" s="8">
        <v>0</v>
      </c>
      <c r="AC706" s="15">
        <v>27897801319588</v>
      </c>
      <c r="AD706" s="4" t="s">
        <v>992</v>
      </c>
    </row>
    <row r="707" spans="2:30" x14ac:dyDescent="0.35">
      <c r="B707" s="14">
        <v>1324</v>
      </c>
      <c r="C707" s="4" t="s">
        <v>691</v>
      </c>
      <c r="D707" s="4" t="s">
        <v>2414</v>
      </c>
      <c r="E707" s="4" t="s">
        <v>2911</v>
      </c>
      <c r="F707" s="4" t="s">
        <v>85</v>
      </c>
      <c r="G707" s="4" t="s">
        <v>993</v>
      </c>
      <c r="H707" s="6">
        <v>0.1</v>
      </c>
      <c r="I707" s="8">
        <v>80</v>
      </c>
      <c r="J707" s="8">
        <v>75</v>
      </c>
      <c r="K707" s="8">
        <v>50</v>
      </c>
      <c r="L707" s="8">
        <f t="shared" si="37"/>
        <v>300000</v>
      </c>
      <c r="M707" s="15">
        <v>7897801311823</v>
      </c>
      <c r="N707" s="6" t="s">
        <v>20</v>
      </c>
      <c r="O707" s="6" t="s">
        <v>20</v>
      </c>
      <c r="P707" s="6" t="s">
        <v>20</v>
      </c>
      <c r="Q707" s="6">
        <v>0.22</v>
      </c>
      <c r="R707" s="6">
        <v>5.5E-2</v>
      </c>
      <c r="S707" s="6">
        <v>0.28999999999999998</v>
      </c>
      <c r="T707" s="8">
        <v>10</v>
      </c>
      <c r="U707" s="5" t="s">
        <v>994</v>
      </c>
      <c r="V707" s="89">
        <v>0</v>
      </c>
      <c r="W707" s="15">
        <v>17897801311820</v>
      </c>
      <c r="X707" s="6">
        <v>0.4</v>
      </c>
      <c r="Y707" s="6">
        <v>0.25</v>
      </c>
      <c r="Z707" s="6">
        <v>0.7</v>
      </c>
      <c r="AA707" s="6">
        <f>Y707*X707*Z707</f>
        <v>6.9999999999999993E-2</v>
      </c>
      <c r="AB707" s="8">
        <v>160</v>
      </c>
      <c r="AC707" s="15">
        <v>27897801311827</v>
      </c>
      <c r="AD707" s="4" t="s">
        <v>992</v>
      </c>
    </row>
    <row r="708" spans="2:30" x14ac:dyDescent="0.35">
      <c r="B708" s="14">
        <v>1325</v>
      </c>
      <c r="C708" s="22" t="s">
        <v>692</v>
      </c>
      <c r="D708" s="4" t="s">
        <v>2414</v>
      </c>
      <c r="E708" s="4" t="s">
        <v>2911</v>
      </c>
      <c r="F708" s="4" t="s">
        <v>85</v>
      </c>
      <c r="G708" s="4" t="s">
        <v>993</v>
      </c>
      <c r="H708" s="6">
        <v>0.106</v>
      </c>
      <c r="I708" s="8">
        <v>80</v>
      </c>
      <c r="J708" s="8">
        <v>80</v>
      </c>
      <c r="K708" s="8">
        <v>50</v>
      </c>
      <c r="L708" s="8">
        <f t="shared" si="37"/>
        <v>320000</v>
      </c>
      <c r="M708" s="15">
        <v>7897801311830</v>
      </c>
      <c r="N708" s="6" t="s">
        <v>20</v>
      </c>
      <c r="O708" s="6" t="s">
        <v>20</v>
      </c>
      <c r="P708" s="6" t="s">
        <v>20</v>
      </c>
      <c r="Q708" s="6">
        <v>0.2</v>
      </c>
      <c r="R708" s="6">
        <v>0.06</v>
      </c>
      <c r="S708" s="6">
        <v>0.31</v>
      </c>
      <c r="T708" s="8">
        <v>10</v>
      </c>
      <c r="U708" s="5" t="s">
        <v>994</v>
      </c>
      <c r="V708" s="89">
        <v>0</v>
      </c>
      <c r="W708" s="15">
        <v>17897801311837</v>
      </c>
      <c r="X708" s="6">
        <v>0.48</v>
      </c>
      <c r="Y708" s="6">
        <v>0.15</v>
      </c>
      <c r="Z708" s="6">
        <v>0.6</v>
      </c>
      <c r="AA708" s="6">
        <f>Y708*X708*Z708</f>
        <v>4.3199999999999995E-2</v>
      </c>
      <c r="AB708" s="8">
        <v>160</v>
      </c>
      <c r="AC708" s="15">
        <v>27897801311834</v>
      </c>
      <c r="AD708" s="4" t="s">
        <v>992</v>
      </c>
    </row>
    <row r="709" spans="2:30" x14ac:dyDescent="0.35">
      <c r="B709" s="14">
        <v>1326</v>
      </c>
      <c r="C709" s="4" t="s">
        <v>693</v>
      </c>
      <c r="D709" s="4" t="s">
        <v>2414</v>
      </c>
      <c r="E709" s="4" t="s">
        <v>2911</v>
      </c>
      <c r="F709" s="4" t="s">
        <v>85</v>
      </c>
      <c r="G709" s="4" t="s">
        <v>993</v>
      </c>
      <c r="H709" s="6">
        <v>0.1105</v>
      </c>
      <c r="I709" s="8">
        <v>50</v>
      </c>
      <c r="J709" s="8">
        <v>100</v>
      </c>
      <c r="K709" s="8">
        <v>90</v>
      </c>
      <c r="L709" s="8">
        <f t="shared" si="37"/>
        <v>450000</v>
      </c>
      <c r="M709" s="15">
        <v>7897801311786</v>
      </c>
      <c r="N709" s="6" t="s">
        <v>20</v>
      </c>
      <c r="O709" s="6" t="s">
        <v>20</v>
      </c>
      <c r="P709" s="6" t="s">
        <v>20</v>
      </c>
      <c r="Q709" s="6">
        <v>0.21</v>
      </c>
      <c r="R709" s="6">
        <v>6.5000000000000002E-2</v>
      </c>
      <c r="S709" s="6">
        <v>0.32500000000000001</v>
      </c>
      <c r="T709" s="8">
        <v>10</v>
      </c>
      <c r="U709" s="5" t="s">
        <v>994</v>
      </c>
      <c r="V709" s="89">
        <v>0</v>
      </c>
      <c r="W709" s="15">
        <v>17897801311783</v>
      </c>
      <c r="X709" s="6">
        <v>0.52</v>
      </c>
      <c r="Y709" s="6">
        <v>0.22</v>
      </c>
      <c r="Z709" s="6">
        <v>0.65</v>
      </c>
      <c r="AA709" s="6">
        <f>Y709*X709*Z709</f>
        <v>7.4360000000000009E-2</v>
      </c>
      <c r="AB709" s="8">
        <v>180</v>
      </c>
      <c r="AC709" s="15">
        <v>27897801311780</v>
      </c>
      <c r="AD709" s="4" t="s">
        <v>992</v>
      </c>
    </row>
    <row r="710" spans="2:30" x14ac:dyDescent="0.35">
      <c r="B710" s="14">
        <v>1327</v>
      </c>
      <c r="C710" s="4" t="s">
        <v>694</v>
      </c>
      <c r="D710" s="4" t="s">
        <v>2414</v>
      </c>
      <c r="E710" s="4" t="s">
        <v>2911</v>
      </c>
      <c r="F710" s="4" t="s">
        <v>85</v>
      </c>
      <c r="G710" s="4" t="s">
        <v>993</v>
      </c>
      <c r="H710" s="6">
        <v>0.112</v>
      </c>
      <c r="I710" s="8">
        <v>50</v>
      </c>
      <c r="J710" s="8">
        <v>50</v>
      </c>
      <c r="K710" s="8">
        <v>90</v>
      </c>
      <c r="L710" s="8">
        <f t="shared" si="37"/>
        <v>225000</v>
      </c>
      <c r="M710" s="15">
        <v>7897801311793</v>
      </c>
      <c r="N710" s="6" t="s">
        <v>20</v>
      </c>
      <c r="O710" s="6" t="s">
        <v>20</v>
      </c>
      <c r="P710" s="6" t="s">
        <v>20</v>
      </c>
      <c r="Q710" s="6">
        <v>0.24</v>
      </c>
      <c r="R710" s="6">
        <v>0.06</v>
      </c>
      <c r="S710" s="6">
        <v>0.35</v>
      </c>
      <c r="T710" s="8">
        <v>10</v>
      </c>
      <c r="U710" s="5" t="s">
        <v>994</v>
      </c>
      <c r="V710" s="89">
        <v>0</v>
      </c>
      <c r="W710" s="15">
        <v>17897801311790</v>
      </c>
      <c r="X710" s="6">
        <v>0.53</v>
      </c>
      <c r="Y710" s="6">
        <v>0.24</v>
      </c>
      <c r="Z710" s="6">
        <v>0.68</v>
      </c>
      <c r="AA710" s="6">
        <f>Y710*X710*Z710</f>
        <v>8.6496000000000017E-2</v>
      </c>
      <c r="AB710" s="8">
        <v>180</v>
      </c>
      <c r="AC710" s="15">
        <v>27897801311797</v>
      </c>
      <c r="AD710" s="4" t="s">
        <v>992</v>
      </c>
    </row>
    <row r="711" spans="2:30" x14ac:dyDescent="0.35">
      <c r="B711" s="18">
        <v>1328</v>
      </c>
      <c r="C711" s="4" t="s">
        <v>2318</v>
      </c>
      <c r="D711" s="4" t="s">
        <v>2372</v>
      </c>
      <c r="E711" s="4" t="s">
        <v>2914</v>
      </c>
      <c r="F711" s="4" t="s">
        <v>85</v>
      </c>
      <c r="G711" s="4" t="s">
        <v>1004</v>
      </c>
      <c r="H711" s="6">
        <v>0.30636600000000003</v>
      </c>
      <c r="I711" s="8">
        <v>197</v>
      </c>
      <c r="J711" s="8">
        <v>60</v>
      </c>
      <c r="K711" s="8">
        <v>180</v>
      </c>
      <c r="L711" s="8">
        <v>2127600</v>
      </c>
      <c r="M711" s="15">
        <v>7897801319591</v>
      </c>
      <c r="N711" s="6">
        <v>0.06</v>
      </c>
      <c r="O711" s="6">
        <v>0.19700000000000001</v>
      </c>
      <c r="P711" s="6">
        <v>0.18</v>
      </c>
      <c r="Q711" s="6">
        <v>0.185</v>
      </c>
      <c r="R711" s="6">
        <v>6.2E-2</v>
      </c>
      <c r="S711" s="6">
        <v>0.2</v>
      </c>
      <c r="T711" s="8">
        <v>6</v>
      </c>
      <c r="U711" s="5" t="s">
        <v>1017</v>
      </c>
      <c r="V711" s="89">
        <v>0</v>
      </c>
      <c r="W711" s="15">
        <v>7897801319591</v>
      </c>
      <c r="X711" s="6">
        <v>0.23</v>
      </c>
      <c r="Y711" s="6">
        <v>0.26</v>
      </c>
      <c r="Z711" s="6">
        <v>0.3</v>
      </c>
      <c r="AA711" s="6">
        <v>1.7940000000000001E-2</v>
      </c>
      <c r="AB711" s="8">
        <v>0</v>
      </c>
      <c r="AC711" s="15">
        <v>27897801319595</v>
      </c>
      <c r="AD711" s="4" t="s">
        <v>992</v>
      </c>
    </row>
    <row r="712" spans="2:30" x14ac:dyDescent="0.35">
      <c r="B712" s="18">
        <v>1329</v>
      </c>
      <c r="C712" s="4" t="s">
        <v>2319</v>
      </c>
      <c r="D712" s="4" t="s">
        <v>2372</v>
      </c>
      <c r="E712" s="4" t="s">
        <v>2914</v>
      </c>
      <c r="F712" s="4" t="s">
        <v>85</v>
      </c>
      <c r="G712" s="4" t="s">
        <v>1004</v>
      </c>
      <c r="H712" s="6">
        <v>0.44374999999999998</v>
      </c>
      <c r="I712" s="8">
        <v>265</v>
      </c>
      <c r="J712" s="8">
        <v>60</v>
      </c>
      <c r="K712" s="8">
        <v>208</v>
      </c>
      <c r="L712" s="8">
        <v>3307200</v>
      </c>
      <c r="M712" s="15">
        <v>7897801319607</v>
      </c>
      <c r="N712" s="6">
        <v>0.06</v>
      </c>
      <c r="O712" s="6">
        <v>0.26500000000000001</v>
      </c>
      <c r="P712" s="6">
        <v>0.20799999999999999</v>
      </c>
      <c r="Q712" s="6">
        <v>0.21</v>
      </c>
      <c r="R712" s="6">
        <v>6.2E-2</v>
      </c>
      <c r="S712" s="6">
        <v>0.27</v>
      </c>
      <c r="T712" s="8">
        <v>6</v>
      </c>
      <c r="U712" s="5" t="s">
        <v>1017</v>
      </c>
      <c r="V712" s="89">
        <v>0</v>
      </c>
      <c r="W712" s="15">
        <v>7897801319607</v>
      </c>
      <c r="X712" s="6">
        <v>0.25</v>
      </c>
      <c r="Y712" s="6">
        <v>0.26500000000000001</v>
      </c>
      <c r="Z712" s="6">
        <v>0.28999999999999998</v>
      </c>
      <c r="AA712" s="6">
        <v>1.92125E-2</v>
      </c>
      <c r="AB712" s="8">
        <v>0</v>
      </c>
      <c r="AC712" s="15">
        <v>27897801319601</v>
      </c>
      <c r="AD712" s="4" t="s">
        <v>992</v>
      </c>
    </row>
    <row r="713" spans="2:30" x14ac:dyDescent="0.35">
      <c r="B713" s="18">
        <v>1330</v>
      </c>
      <c r="C713" s="4" t="s">
        <v>2320</v>
      </c>
      <c r="D713" s="4" t="s">
        <v>2372</v>
      </c>
      <c r="E713" s="4" t="s">
        <v>2914</v>
      </c>
      <c r="F713" s="4" t="s">
        <v>85</v>
      </c>
      <c r="G713" s="4" t="s">
        <v>1004</v>
      </c>
      <c r="H713" s="6">
        <v>0.65110500000000004</v>
      </c>
      <c r="I713" s="8">
        <v>350</v>
      </c>
      <c r="J713" s="8">
        <v>60</v>
      </c>
      <c r="K713" s="8">
        <v>218</v>
      </c>
      <c r="L713" s="8">
        <v>4578000</v>
      </c>
      <c r="M713" s="15">
        <v>7897801319614</v>
      </c>
      <c r="N713" s="6">
        <v>0.06</v>
      </c>
      <c r="O713" s="6">
        <v>0.35499999999999998</v>
      </c>
      <c r="P713" s="6">
        <v>0.218</v>
      </c>
      <c r="Q713" s="6">
        <v>0.22</v>
      </c>
      <c r="R713" s="6">
        <v>6.2E-2</v>
      </c>
      <c r="S713" s="6">
        <v>0.35499999999999998</v>
      </c>
      <c r="T713" s="8">
        <v>4</v>
      </c>
      <c r="U713" s="5" t="s">
        <v>1017</v>
      </c>
      <c r="V713" s="89">
        <v>9.7500000000000003E-2</v>
      </c>
      <c r="W713" s="15">
        <v>7897801319614</v>
      </c>
      <c r="X713" s="6">
        <v>0.37</v>
      </c>
      <c r="Y713" s="6">
        <v>0.13</v>
      </c>
      <c r="Z713" s="6">
        <v>0.41499999999999998</v>
      </c>
      <c r="AA713" s="6">
        <v>1.99615E-2</v>
      </c>
      <c r="AB713" s="8">
        <v>0</v>
      </c>
      <c r="AC713" s="15">
        <v>27897801319618</v>
      </c>
      <c r="AD713" s="4" t="s">
        <v>992</v>
      </c>
    </row>
    <row r="714" spans="2:30" x14ac:dyDescent="0.35">
      <c r="B714" s="18">
        <v>1331</v>
      </c>
      <c r="C714" s="4" t="s">
        <v>2321</v>
      </c>
      <c r="D714" s="4" t="s">
        <v>2372</v>
      </c>
      <c r="E714" s="4" t="s">
        <v>2914</v>
      </c>
      <c r="F714" s="4" t="s">
        <v>85</v>
      </c>
      <c r="G714" s="4" t="s">
        <v>1004</v>
      </c>
      <c r="H714" s="6">
        <v>0.88547699999999996</v>
      </c>
      <c r="I714" s="8">
        <v>410</v>
      </c>
      <c r="J714" s="8">
        <v>60</v>
      </c>
      <c r="K714" s="8">
        <v>230</v>
      </c>
      <c r="L714" s="8">
        <v>5658000</v>
      </c>
      <c r="M714" s="15">
        <v>7897801319621</v>
      </c>
      <c r="N714" s="6">
        <v>0.06</v>
      </c>
      <c r="O714" s="6">
        <v>0.41</v>
      </c>
      <c r="P714" s="6">
        <v>0.23</v>
      </c>
      <c r="Q714" s="6">
        <v>0.23</v>
      </c>
      <c r="R714" s="6">
        <v>6.2E-2</v>
      </c>
      <c r="S714" s="6">
        <v>0.41499999999999998</v>
      </c>
      <c r="T714" s="8">
        <v>4</v>
      </c>
      <c r="U714" s="5" t="s">
        <v>1017</v>
      </c>
      <c r="V714" s="89">
        <v>9.7500000000000003E-2</v>
      </c>
      <c r="W714" s="15">
        <v>7897801319621</v>
      </c>
      <c r="X714" s="6">
        <v>0.37</v>
      </c>
      <c r="Y714" s="6">
        <v>0.13</v>
      </c>
      <c r="Z714" s="6">
        <v>0.42</v>
      </c>
      <c r="AA714" s="6">
        <v>2.0202000000000001E-2</v>
      </c>
      <c r="AB714" s="8">
        <v>0</v>
      </c>
      <c r="AC714" s="15">
        <v>27897801319625</v>
      </c>
      <c r="AD714" s="4" t="s">
        <v>992</v>
      </c>
    </row>
    <row r="715" spans="2:30" x14ac:dyDescent="0.35">
      <c r="B715" s="18">
        <v>1332</v>
      </c>
      <c r="C715" s="4" t="s">
        <v>2322</v>
      </c>
      <c r="D715" s="4" t="s">
        <v>2372</v>
      </c>
      <c r="E715" s="4" t="s">
        <v>2914</v>
      </c>
      <c r="F715" s="4" t="s">
        <v>85</v>
      </c>
      <c r="G715" s="4" t="s">
        <v>1004</v>
      </c>
      <c r="H715" s="6">
        <v>1.2923899999999999</v>
      </c>
      <c r="I715" s="8">
        <v>380</v>
      </c>
      <c r="J715" s="8">
        <v>60</v>
      </c>
      <c r="K715" s="8">
        <v>350</v>
      </c>
      <c r="L715" s="8">
        <v>7980000</v>
      </c>
      <c r="M715" s="15">
        <v>7897801319638</v>
      </c>
      <c r="N715" s="6">
        <v>0.06</v>
      </c>
      <c r="O715" s="6">
        <v>0.38</v>
      </c>
      <c r="P715" s="6">
        <v>0.35</v>
      </c>
      <c r="Q715" s="6">
        <v>0.35499999999999998</v>
      </c>
      <c r="R715" s="6">
        <v>6.2E-2</v>
      </c>
      <c r="S715" s="6">
        <v>0.38500000000000001</v>
      </c>
      <c r="T715" s="8">
        <v>2</v>
      </c>
      <c r="U715" s="5" t="s">
        <v>1017</v>
      </c>
      <c r="V715" s="89">
        <v>9.7500000000000003E-2</v>
      </c>
      <c r="W715" s="15">
        <v>7897801319638</v>
      </c>
      <c r="X715" s="6">
        <v>0.37</v>
      </c>
      <c r="Y715" s="6">
        <v>0.13</v>
      </c>
      <c r="Z715" s="6">
        <v>0.42</v>
      </c>
      <c r="AA715" s="6">
        <v>2.0202000000000001E-2</v>
      </c>
      <c r="AB715" s="8">
        <v>0</v>
      </c>
      <c r="AC715" s="15">
        <v>27897801319632</v>
      </c>
      <c r="AD715" s="4" t="s">
        <v>992</v>
      </c>
    </row>
    <row r="716" spans="2:30" x14ac:dyDescent="0.35">
      <c r="B716" s="18">
        <v>1333</v>
      </c>
      <c r="C716" s="4" t="s">
        <v>2323</v>
      </c>
      <c r="D716" s="4" t="s">
        <v>2372</v>
      </c>
      <c r="E716" s="4" t="s">
        <v>2914</v>
      </c>
      <c r="F716" s="4" t="s">
        <v>85</v>
      </c>
      <c r="G716" s="4" t="s">
        <v>1004</v>
      </c>
      <c r="H716" s="6">
        <v>1.8774</v>
      </c>
      <c r="I716" s="8">
        <v>525</v>
      </c>
      <c r="J716" s="8">
        <v>60</v>
      </c>
      <c r="K716" s="8">
        <v>350</v>
      </c>
      <c r="L716" s="8">
        <v>11025000</v>
      </c>
      <c r="M716" s="15">
        <v>7897801319645</v>
      </c>
      <c r="N716" s="6">
        <v>0.06</v>
      </c>
      <c r="O716" s="6">
        <v>0.52500000000000002</v>
      </c>
      <c r="P716" s="6">
        <v>0.35</v>
      </c>
      <c r="Q716" s="6">
        <v>0.35499999999999998</v>
      </c>
      <c r="R716" s="6">
        <v>6.2E-2</v>
      </c>
      <c r="S716" s="6">
        <v>0.13500000000000001</v>
      </c>
      <c r="T716" s="8">
        <v>2</v>
      </c>
      <c r="U716" s="5" t="s">
        <v>1017</v>
      </c>
      <c r="V716" s="89">
        <v>9.7500000000000003E-2</v>
      </c>
      <c r="W716" s="15">
        <v>7897801319645</v>
      </c>
      <c r="X716" s="6">
        <v>0.36</v>
      </c>
      <c r="Y716" s="6">
        <v>0.13500000000000001</v>
      </c>
      <c r="Z716" s="6">
        <v>0.53500000000000003</v>
      </c>
      <c r="AA716" s="6">
        <v>2.6001000000000003E-2</v>
      </c>
      <c r="AB716" s="8">
        <v>0</v>
      </c>
      <c r="AC716" s="15">
        <v>27897801319649</v>
      </c>
      <c r="AD716" s="4" t="s">
        <v>992</v>
      </c>
    </row>
    <row r="717" spans="2:30" x14ac:dyDescent="0.35">
      <c r="B717" s="14">
        <v>1334</v>
      </c>
      <c r="C717" s="4" t="s">
        <v>695</v>
      </c>
      <c r="D717" s="4" t="s">
        <v>2384</v>
      </c>
      <c r="E717" s="4" t="s">
        <v>2912</v>
      </c>
      <c r="F717" s="4" t="s">
        <v>85</v>
      </c>
      <c r="G717" s="4" t="s">
        <v>993</v>
      </c>
      <c r="H717" s="6">
        <v>8.0999999999999996E-3</v>
      </c>
      <c r="I717" s="8">
        <v>27</v>
      </c>
      <c r="J717" s="8">
        <v>22</v>
      </c>
      <c r="K717" s="8">
        <v>27</v>
      </c>
      <c r="L717" s="8">
        <f t="shared" ref="L717:L748" si="38">J717*I717*K717</f>
        <v>16038</v>
      </c>
      <c r="M717" s="15">
        <v>7897801319669</v>
      </c>
      <c r="N717" s="6" t="s">
        <v>20</v>
      </c>
      <c r="O717" s="6" t="s">
        <v>20</v>
      </c>
      <c r="P717" s="6" t="s">
        <v>20</v>
      </c>
      <c r="Q717" s="6">
        <v>0.08</v>
      </c>
      <c r="R717" s="6">
        <v>0.03</v>
      </c>
      <c r="S717" s="6">
        <v>0.1</v>
      </c>
      <c r="T717" s="8">
        <v>10</v>
      </c>
      <c r="U717" s="5" t="s">
        <v>994</v>
      </c>
      <c r="V717" s="89">
        <v>0</v>
      </c>
      <c r="W717" s="15">
        <v>17897801319666</v>
      </c>
      <c r="X717" s="6">
        <v>0.71</v>
      </c>
      <c r="Y717" s="6">
        <v>0.17</v>
      </c>
      <c r="Z717" s="6">
        <v>0.48</v>
      </c>
      <c r="AA717" s="6">
        <f t="shared" ref="AA717:AA748" si="39">Y717*X717*Z717</f>
        <v>5.7936000000000001E-2</v>
      </c>
      <c r="AB717" s="8">
        <v>2000</v>
      </c>
      <c r="AC717" s="15">
        <v>27897801319663</v>
      </c>
      <c r="AD717" s="4" t="s">
        <v>992</v>
      </c>
    </row>
    <row r="718" spans="2:30" x14ac:dyDescent="0.35">
      <c r="B718" s="14">
        <v>1335</v>
      </c>
      <c r="C718" s="4" t="s">
        <v>696</v>
      </c>
      <c r="D718" s="4" t="s">
        <v>2384</v>
      </c>
      <c r="E718" s="4" t="s">
        <v>2912</v>
      </c>
      <c r="F718" s="4" t="s">
        <v>85</v>
      </c>
      <c r="G718" s="4" t="s">
        <v>993</v>
      </c>
      <c r="H718" s="6">
        <v>1.5299999999999999E-2</v>
      </c>
      <c r="I718" s="8">
        <v>34</v>
      </c>
      <c r="J718" s="8">
        <v>28</v>
      </c>
      <c r="K718" s="8">
        <v>34</v>
      </c>
      <c r="L718" s="8">
        <f t="shared" si="38"/>
        <v>32368</v>
      </c>
      <c r="M718" s="15">
        <v>7897801319676</v>
      </c>
      <c r="N718" s="6" t="s">
        <v>20</v>
      </c>
      <c r="O718" s="6" t="s">
        <v>20</v>
      </c>
      <c r="P718" s="6" t="s">
        <v>20</v>
      </c>
      <c r="Q718" s="6">
        <v>0.11</v>
      </c>
      <c r="R718" s="6">
        <v>0.04</v>
      </c>
      <c r="S718" s="6">
        <v>0.11</v>
      </c>
      <c r="T718" s="8">
        <v>10</v>
      </c>
      <c r="U718" s="5" t="s">
        <v>994</v>
      </c>
      <c r="V718" s="89">
        <v>0</v>
      </c>
      <c r="W718" s="15">
        <v>17897801319673</v>
      </c>
      <c r="X718" s="6">
        <v>0.73</v>
      </c>
      <c r="Y718" s="6">
        <v>0.19</v>
      </c>
      <c r="Z718" s="6">
        <v>0.49</v>
      </c>
      <c r="AA718" s="6">
        <f t="shared" si="39"/>
        <v>6.7962999999999996E-2</v>
      </c>
      <c r="AB718" s="8">
        <v>1000</v>
      </c>
      <c r="AC718" s="15">
        <v>27897801319670</v>
      </c>
      <c r="AD718" s="4" t="s">
        <v>992</v>
      </c>
    </row>
    <row r="719" spans="2:30" x14ac:dyDescent="0.35">
      <c r="B719" s="14">
        <v>1336</v>
      </c>
      <c r="C719" s="4" t="s">
        <v>697</v>
      </c>
      <c r="D719" s="4" t="s">
        <v>2384</v>
      </c>
      <c r="E719" s="4" t="s">
        <v>2912</v>
      </c>
      <c r="F719" s="4" t="s">
        <v>85</v>
      </c>
      <c r="G719" s="4" t="s">
        <v>993</v>
      </c>
      <c r="H719" s="6">
        <v>1.21E-2</v>
      </c>
      <c r="I719" s="8">
        <v>34</v>
      </c>
      <c r="J719" s="8">
        <v>28</v>
      </c>
      <c r="K719" s="8">
        <v>34</v>
      </c>
      <c r="L719" s="8">
        <f t="shared" si="38"/>
        <v>32368</v>
      </c>
      <c r="M719" s="15">
        <v>7897801319683</v>
      </c>
      <c r="N719" s="6" t="s">
        <v>20</v>
      </c>
      <c r="O719" s="6" t="s">
        <v>20</v>
      </c>
      <c r="P719" s="6" t="s">
        <v>20</v>
      </c>
      <c r="Q719" s="6">
        <v>0.11</v>
      </c>
      <c r="R719" s="6">
        <v>0.04</v>
      </c>
      <c r="S719" s="6">
        <v>0.11</v>
      </c>
      <c r="T719" s="8">
        <v>10</v>
      </c>
      <c r="U719" s="5" t="s">
        <v>994</v>
      </c>
      <c r="V719" s="89">
        <v>0</v>
      </c>
      <c r="W719" s="15">
        <v>17897801319680</v>
      </c>
      <c r="X719" s="6">
        <v>0.73</v>
      </c>
      <c r="Y719" s="6">
        <v>0.19</v>
      </c>
      <c r="Z719" s="6">
        <v>0.49</v>
      </c>
      <c r="AA719" s="6">
        <f t="shared" si="39"/>
        <v>6.7962999999999996E-2</v>
      </c>
      <c r="AB719" s="8">
        <v>1000</v>
      </c>
      <c r="AC719" s="15">
        <v>27897801319687</v>
      </c>
      <c r="AD719" s="4" t="s">
        <v>992</v>
      </c>
    </row>
    <row r="720" spans="2:30" x14ac:dyDescent="0.35">
      <c r="B720" s="14">
        <v>1337</v>
      </c>
      <c r="C720" s="4" t="s">
        <v>698</v>
      </c>
      <c r="D720" s="4" t="s">
        <v>2384</v>
      </c>
      <c r="E720" s="4" t="s">
        <v>2912</v>
      </c>
      <c r="F720" s="4" t="s">
        <v>85</v>
      </c>
      <c r="G720" s="4" t="s">
        <v>993</v>
      </c>
      <c r="H720" s="6">
        <v>5.4999999999999997E-3</v>
      </c>
      <c r="I720" s="8">
        <v>20</v>
      </c>
      <c r="J720" s="8">
        <v>20</v>
      </c>
      <c r="K720" s="8">
        <v>20</v>
      </c>
      <c r="L720" s="8">
        <f t="shared" si="38"/>
        <v>8000</v>
      </c>
      <c r="M720" s="15">
        <v>7897801319690</v>
      </c>
      <c r="N720" s="6" t="s">
        <v>20</v>
      </c>
      <c r="O720" s="6" t="s">
        <v>20</v>
      </c>
      <c r="P720" s="6" t="s">
        <v>20</v>
      </c>
      <c r="Q720" s="6">
        <v>0.08</v>
      </c>
      <c r="R720" s="6">
        <v>0.02</v>
      </c>
      <c r="S720" s="6">
        <v>0.08</v>
      </c>
      <c r="T720" s="8">
        <v>10</v>
      </c>
      <c r="U720" s="5" t="s">
        <v>994</v>
      </c>
      <c r="V720" s="89">
        <v>0</v>
      </c>
      <c r="W720" s="15">
        <v>17897801319697</v>
      </c>
      <c r="X720" s="6">
        <v>0.72</v>
      </c>
      <c r="Y720" s="6">
        <v>0.18</v>
      </c>
      <c r="Z720" s="6">
        <v>0.49</v>
      </c>
      <c r="AA720" s="6">
        <f t="shared" si="39"/>
        <v>6.3503999999999991E-2</v>
      </c>
      <c r="AB720" s="8">
        <v>3000</v>
      </c>
      <c r="AC720" s="15">
        <v>27897801319694</v>
      </c>
      <c r="AD720" s="4" t="s">
        <v>992</v>
      </c>
    </row>
    <row r="721" spans="2:30" x14ac:dyDescent="0.35">
      <c r="B721" s="14">
        <v>1338</v>
      </c>
      <c r="C721" s="4" t="s">
        <v>699</v>
      </c>
      <c r="D721" s="4" t="s">
        <v>2384</v>
      </c>
      <c r="E721" s="4" t="s">
        <v>2912</v>
      </c>
      <c r="F721" s="4" t="s">
        <v>85</v>
      </c>
      <c r="G721" s="4" t="s">
        <v>993</v>
      </c>
      <c r="H721" s="6">
        <v>1.0200000000000001E-2</v>
      </c>
      <c r="I721" s="8">
        <v>28</v>
      </c>
      <c r="J721" s="8">
        <v>26</v>
      </c>
      <c r="K721" s="8">
        <v>28</v>
      </c>
      <c r="L721" s="8">
        <f t="shared" si="38"/>
        <v>20384</v>
      </c>
      <c r="M721" s="15">
        <v>7897801319706</v>
      </c>
      <c r="N721" s="6" t="s">
        <v>20</v>
      </c>
      <c r="O721" s="6" t="s">
        <v>20</v>
      </c>
      <c r="P721" s="6" t="s">
        <v>20</v>
      </c>
      <c r="Q721" s="6">
        <v>0.08</v>
      </c>
      <c r="R721" s="6">
        <v>0.03</v>
      </c>
      <c r="S721" s="6">
        <v>0.1</v>
      </c>
      <c r="T721" s="8">
        <v>10</v>
      </c>
      <c r="U721" s="5" t="s">
        <v>994</v>
      </c>
      <c r="V721" s="89">
        <v>0</v>
      </c>
      <c r="W721" s="15">
        <v>17897801319703</v>
      </c>
      <c r="X721" s="6">
        <v>0.74</v>
      </c>
      <c r="Y721" s="6">
        <v>0.2</v>
      </c>
      <c r="Z721" s="6">
        <v>0.48</v>
      </c>
      <c r="AA721" s="6">
        <f t="shared" si="39"/>
        <v>7.1039999999999992E-2</v>
      </c>
      <c r="AB721" s="8">
        <v>2000</v>
      </c>
      <c r="AC721" s="15">
        <v>27897801319700</v>
      </c>
      <c r="AD721" s="4" t="s">
        <v>992</v>
      </c>
    </row>
    <row r="722" spans="2:30" x14ac:dyDescent="0.35">
      <c r="B722" s="14">
        <v>1339</v>
      </c>
      <c r="C722" s="4" t="s">
        <v>700</v>
      </c>
      <c r="D722" s="4" t="s">
        <v>2384</v>
      </c>
      <c r="E722" s="4" t="s">
        <v>2912</v>
      </c>
      <c r="F722" s="4" t="s">
        <v>85</v>
      </c>
      <c r="G722" s="4" t="s">
        <v>993</v>
      </c>
      <c r="H722" s="6">
        <v>1.72E-2</v>
      </c>
      <c r="I722" s="8">
        <v>34</v>
      </c>
      <c r="J722" s="8">
        <v>32</v>
      </c>
      <c r="K722" s="8">
        <v>34</v>
      </c>
      <c r="L722" s="8">
        <f t="shared" si="38"/>
        <v>36992</v>
      </c>
      <c r="M722" s="15">
        <v>7897801319713</v>
      </c>
      <c r="N722" s="6" t="s">
        <v>20</v>
      </c>
      <c r="O722" s="6" t="s">
        <v>20</v>
      </c>
      <c r="P722" s="6" t="s">
        <v>20</v>
      </c>
      <c r="Q722" s="6">
        <v>0.11</v>
      </c>
      <c r="R722" s="6">
        <v>0.04</v>
      </c>
      <c r="S722" s="6">
        <v>0.12</v>
      </c>
      <c r="T722" s="8">
        <v>10</v>
      </c>
      <c r="U722" s="5" t="s">
        <v>994</v>
      </c>
      <c r="V722" s="89">
        <v>0</v>
      </c>
      <c r="W722" s="15">
        <v>17897801319710</v>
      </c>
      <c r="X722" s="6">
        <v>0.74</v>
      </c>
      <c r="Y722" s="6">
        <v>0.17</v>
      </c>
      <c r="Z722" s="6">
        <v>0.5</v>
      </c>
      <c r="AA722" s="6">
        <f t="shared" si="39"/>
        <v>6.2899999999999998E-2</v>
      </c>
      <c r="AB722" s="8">
        <v>1000</v>
      </c>
      <c r="AC722" s="15">
        <v>27897801319717</v>
      </c>
      <c r="AD722" s="4" t="s">
        <v>992</v>
      </c>
    </row>
    <row r="723" spans="2:30" x14ac:dyDescent="0.35">
      <c r="B723" s="14">
        <v>1340</v>
      </c>
      <c r="C723" s="4" t="s">
        <v>701</v>
      </c>
      <c r="D723" s="4" t="s">
        <v>2384</v>
      </c>
      <c r="E723" s="4" t="s">
        <v>2912</v>
      </c>
      <c r="F723" s="4" t="s">
        <v>85</v>
      </c>
      <c r="G723" s="4" t="s">
        <v>1014</v>
      </c>
      <c r="H723" s="6">
        <v>5.0599999999999999E-2</v>
      </c>
      <c r="I723" s="8">
        <v>29</v>
      </c>
      <c r="J723" s="8">
        <v>46</v>
      </c>
      <c r="K723" s="8">
        <v>29</v>
      </c>
      <c r="L723" s="8">
        <f t="shared" si="38"/>
        <v>38686</v>
      </c>
      <c r="M723" s="15">
        <v>7897801319720</v>
      </c>
      <c r="N723" s="6" t="s">
        <v>20</v>
      </c>
      <c r="O723" s="6" t="s">
        <v>20</v>
      </c>
      <c r="P723" s="6" t="s">
        <v>20</v>
      </c>
      <c r="Q723" s="6">
        <v>0.12</v>
      </c>
      <c r="R723" s="6">
        <v>0.03</v>
      </c>
      <c r="S723" s="6">
        <v>0.12</v>
      </c>
      <c r="T723" s="8">
        <v>10</v>
      </c>
      <c r="U723" s="5" t="s">
        <v>994</v>
      </c>
      <c r="V723" s="89">
        <v>0</v>
      </c>
      <c r="W723" s="15">
        <v>17897801319727</v>
      </c>
      <c r="X723" s="6">
        <v>0.23</v>
      </c>
      <c r="Y723" s="6">
        <v>0.26</v>
      </c>
      <c r="Z723" s="6">
        <v>0.31</v>
      </c>
      <c r="AA723" s="6">
        <f t="shared" si="39"/>
        <v>1.8538000000000002E-2</v>
      </c>
      <c r="AB723" s="8">
        <v>360</v>
      </c>
      <c r="AC723" s="15">
        <v>27897801319724</v>
      </c>
      <c r="AD723" s="4" t="s">
        <v>992</v>
      </c>
    </row>
    <row r="724" spans="2:30" x14ac:dyDescent="0.35">
      <c r="B724" s="14">
        <v>1341</v>
      </c>
      <c r="C724" s="4" t="s">
        <v>702</v>
      </c>
      <c r="D724" s="4" t="s">
        <v>2384</v>
      </c>
      <c r="E724" s="4" t="s">
        <v>2912</v>
      </c>
      <c r="F724" s="4" t="s">
        <v>85</v>
      </c>
      <c r="G724" s="4" t="s">
        <v>1014</v>
      </c>
      <c r="H724" s="6">
        <v>5.57E-2</v>
      </c>
      <c r="I724" s="8">
        <v>29</v>
      </c>
      <c r="J724" s="8">
        <v>52</v>
      </c>
      <c r="K724" s="8">
        <v>29</v>
      </c>
      <c r="L724" s="8">
        <f t="shared" si="38"/>
        <v>43732</v>
      </c>
      <c r="M724" s="15">
        <v>7897801319737</v>
      </c>
      <c r="N724" s="6" t="s">
        <v>20</v>
      </c>
      <c r="O724" s="6" t="s">
        <v>20</v>
      </c>
      <c r="P724" s="6" t="s">
        <v>20</v>
      </c>
      <c r="Q724" s="6">
        <v>0.14000000000000001</v>
      </c>
      <c r="R724" s="6">
        <v>0.3</v>
      </c>
      <c r="S724" s="6">
        <v>0.14000000000000001</v>
      </c>
      <c r="T724" s="8">
        <v>10</v>
      </c>
      <c r="U724" s="5" t="s">
        <v>994</v>
      </c>
      <c r="V724" s="89">
        <v>0</v>
      </c>
      <c r="W724" s="15">
        <v>17897801319734</v>
      </c>
      <c r="X724" s="6">
        <v>0.23</v>
      </c>
      <c r="Y724" s="6">
        <v>0.26</v>
      </c>
      <c r="Z724" s="6">
        <v>0.31</v>
      </c>
      <c r="AA724" s="6">
        <f t="shared" si="39"/>
        <v>1.8538000000000002E-2</v>
      </c>
      <c r="AB724" s="8">
        <v>280</v>
      </c>
      <c r="AC724" s="15">
        <v>27897801319731</v>
      </c>
      <c r="AD724" s="4" t="s">
        <v>992</v>
      </c>
    </row>
    <row r="725" spans="2:30" x14ac:dyDescent="0.35">
      <c r="B725" s="14">
        <v>1342</v>
      </c>
      <c r="C725" s="4" t="s">
        <v>703</v>
      </c>
      <c r="D725" s="4" t="s">
        <v>2384</v>
      </c>
      <c r="E725" s="4" t="s">
        <v>2912</v>
      </c>
      <c r="F725" s="4" t="s">
        <v>85</v>
      </c>
      <c r="G725" s="4" t="s">
        <v>1014</v>
      </c>
      <c r="H725" s="6">
        <v>7.4499999999999997E-2</v>
      </c>
      <c r="I725" s="8">
        <v>35</v>
      </c>
      <c r="J725" s="8">
        <v>55</v>
      </c>
      <c r="K725" s="8">
        <v>35</v>
      </c>
      <c r="L725" s="8">
        <f t="shared" si="38"/>
        <v>67375</v>
      </c>
      <c r="M725" s="15">
        <v>7897801319744</v>
      </c>
      <c r="N725" s="6" t="s">
        <v>20</v>
      </c>
      <c r="O725" s="6" t="s">
        <v>20</v>
      </c>
      <c r="P725" s="6" t="s">
        <v>20</v>
      </c>
      <c r="Q725" s="6">
        <v>0.15</v>
      </c>
      <c r="R725" s="6">
        <v>0.04</v>
      </c>
      <c r="S725" s="6">
        <v>0.15</v>
      </c>
      <c r="T725" s="8">
        <v>10</v>
      </c>
      <c r="U725" s="5" t="s">
        <v>994</v>
      </c>
      <c r="V725" s="89">
        <v>0</v>
      </c>
      <c r="W725" s="15">
        <v>17897801319741</v>
      </c>
      <c r="X725" s="6">
        <v>0.23</v>
      </c>
      <c r="Y725" s="6">
        <v>0.26</v>
      </c>
      <c r="Z725" s="6">
        <v>0.31</v>
      </c>
      <c r="AA725" s="6">
        <f t="shared" si="39"/>
        <v>1.8538000000000002E-2</v>
      </c>
      <c r="AB725" s="8">
        <v>200</v>
      </c>
      <c r="AC725" s="15">
        <v>27897801319748</v>
      </c>
      <c r="AD725" s="4" t="s">
        <v>992</v>
      </c>
    </row>
    <row r="726" spans="2:30" x14ac:dyDescent="0.35">
      <c r="B726" s="14">
        <v>1343</v>
      </c>
      <c r="C726" s="4" t="s">
        <v>704</v>
      </c>
      <c r="D726" s="4" t="s">
        <v>2384</v>
      </c>
      <c r="E726" s="4" t="s">
        <v>2912</v>
      </c>
      <c r="F726" s="4" t="s">
        <v>85</v>
      </c>
      <c r="G726" s="4" t="s">
        <v>1014</v>
      </c>
      <c r="H726" s="6">
        <v>0.11899999999999999</v>
      </c>
      <c r="I726" s="8">
        <v>44</v>
      </c>
      <c r="J726" s="8">
        <v>64</v>
      </c>
      <c r="K726" s="8">
        <v>44</v>
      </c>
      <c r="L726" s="8">
        <f t="shared" si="38"/>
        <v>123904</v>
      </c>
      <c r="M726" s="15">
        <v>7897801319751</v>
      </c>
      <c r="N726" s="6" t="s">
        <v>20</v>
      </c>
      <c r="O726" s="6" t="s">
        <v>20</v>
      </c>
      <c r="P726" s="6" t="s">
        <v>20</v>
      </c>
      <c r="Q726" s="6">
        <v>0.18</v>
      </c>
      <c r="R726" s="6">
        <v>0.05</v>
      </c>
      <c r="S726" s="6">
        <v>0.2</v>
      </c>
      <c r="T726" s="8">
        <v>10</v>
      </c>
      <c r="U726" s="5" t="s">
        <v>994</v>
      </c>
      <c r="V726" s="89">
        <v>0</v>
      </c>
      <c r="W726" s="15">
        <v>17897801319758</v>
      </c>
      <c r="X726" s="6">
        <v>0.23</v>
      </c>
      <c r="Y726" s="6">
        <v>0.26</v>
      </c>
      <c r="Z726" s="6">
        <v>0.31</v>
      </c>
      <c r="AA726" s="6">
        <f t="shared" si="39"/>
        <v>1.8538000000000002E-2</v>
      </c>
      <c r="AB726" s="8">
        <v>100</v>
      </c>
      <c r="AC726" s="15">
        <v>27897801319755</v>
      </c>
      <c r="AD726" s="4" t="s">
        <v>992</v>
      </c>
    </row>
    <row r="727" spans="2:30" x14ac:dyDescent="0.35">
      <c r="B727" s="14">
        <v>1344</v>
      </c>
      <c r="C727" s="4" t="s">
        <v>705</v>
      </c>
      <c r="D727" s="4" t="s">
        <v>2384</v>
      </c>
      <c r="E727" s="4" t="s">
        <v>2912</v>
      </c>
      <c r="F727" s="4" t="s">
        <v>85</v>
      </c>
      <c r="G727" s="4" t="s">
        <v>993</v>
      </c>
      <c r="H727" s="6">
        <v>1.12E-2</v>
      </c>
      <c r="I727" s="8">
        <v>20</v>
      </c>
      <c r="J727" s="8">
        <v>45</v>
      </c>
      <c r="K727" s="8">
        <v>27</v>
      </c>
      <c r="L727" s="8">
        <f t="shared" si="38"/>
        <v>24300</v>
      </c>
      <c r="M727" s="15">
        <v>7897801319768</v>
      </c>
      <c r="N727" s="6" t="s">
        <v>20</v>
      </c>
      <c r="O727" s="6" t="s">
        <v>20</v>
      </c>
      <c r="P727" s="6" t="s">
        <v>20</v>
      </c>
      <c r="Q727" s="6">
        <v>0.12</v>
      </c>
      <c r="R727" s="6">
        <v>0.02</v>
      </c>
      <c r="S727" s="6">
        <v>0.1</v>
      </c>
      <c r="T727" s="8">
        <v>10</v>
      </c>
      <c r="U727" s="5" t="s">
        <v>994</v>
      </c>
      <c r="V727" s="89">
        <v>0</v>
      </c>
      <c r="W727" s="15">
        <v>17897801319765</v>
      </c>
      <c r="X727" s="6">
        <v>0.75</v>
      </c>
      <c r="Y727" s="6">
        <v>0.19</v>
      </c>
      <c r="Z727" s="6">
        <v>0.47</v>
      </c>
      <c r="AA727" s="6">
        <f t="shared" si="39"/>
        <v>6.6975000000000007E-2</v>
      </c>
      <c r="AB727" s="8">
        <v>2000</v>
      </c>
      <c r="AC727" s="15">
        <v>27897801319762</v>
      </c>
      <c r="AD727" s="4" t="s">
        <v>992</v>
      </c>
    </row>
    <row r="728" spans="2:30" x14ac:dyDescent="0.35">
      <c r="B728" s="14">
        <v>1345</v>
      </c>
      <c r="C728" s="4" t="s">
        <v>706</v>
      </c>
      <c r="D728" s="4" t="s">
        <v>2384</v>
      </c>
      <c r="E728" s="4" t="s">
        <v>2912</v>
      </c>
      <c r="F728" s="4" t="s">
        <v>85</v>
      </c>
      <c r="G728" s="4" t="s">
        <v>993</v>
      </c>
      <c r="H728" s="6">
        <v>1.7399999999999999E-2</v>
      </c>
      <c r="I728" s="8">
        <v>27</v>
      </c>
      <c r="J728" s="8">
        <v>57</v>
      </c>
      <c r="K728" s="8">
        <v>37</v>
      </c>
      <c r="L728" s="8">
        <f t="shared" si="38"/>
        <v>56943</v>
      </c>
      <c r="M728" s="15">
        <v>7897801319775</v>
      </c>
      <c r="N728" s="6" t="s">
        <v>20</v>
      </c>
      <c r="O728" s="6" t="s">
        <v>20</v>
      </c>
      <c r="P728" s="6" t="s">
        <v>20</v>
      </c>
      <c r="Q728" s="6">
        <v>0.12</v>
      </c>
      <c r="R728" s="6">
        <v>0.03</v>
      </c>
      <c r="S728" s="6">
        <v>0.18</v>
      </c>
      <c r="T728" s="8">
        <v>10</v>
      </c>
      <c r="U728" s="5" t="s">
        <v>994</v>
      </c>
      <c r="V728" s="89">
        <v>0</v>
      </c>
      <c r="W728" s="15">
        <v>17897801319772</v>
      </c>
      <c r="X728" s="6">
        <v>0.75</v>
      </c>
      <c r="Y728" s="6">
        <v>0.17</v>
      </c>
      <c r="Z728" s="6">
        <v>0.52</v>
      </c>
      <c r="AA728" s="6">
        <f t="shared" si="39"/>
        <v>6.6299999999999998E-2</v>
      </c>
      <c r="AB728" s="8">
        <v>1000</v>
      </c>
      <c r="AC728" s="15">
        <v>27897801319779</v>
      </c>
      <c r="AD728" s="4" t="s">
        <v>992</v>
      </c>
    </row>
    <row r="729" spans="2:30" x14ac:dyDescent="0.35">
      <c r="B729" s="14">
        <v>1346</v>
      </c>
      <c r="C729" s="4" t="s">
        <v>707</v>
      </c>
      <c r="D729" s="4" t="s">
        <v>2384</v>
      </c>
      <c r="E729" s="4" t="s">
        <v>2912</v>
      </c>
      <c r="F729" s="4" t="s">
        <v>85</v>
      </c>
      <c r="G729" s="4" t="s">
        <v>993</v>
      </c>
      <c r="H729" s="6">
        <v>3.3799999999999997E-2</v>
      </c>
      <c r="I729" s="8">
        <v>34</v>
      </c>
      <c r="J729" s="8">
        <v>76</v>
      </c>
      <c r="K729" s="8">
        <v>46</v>
      </c>
      <c r="L729" s="8">
        <f t="shared" si="38"/>
        <v>118864</v>
      </c>
      <c r="M729" s="15">
        <v>7897801319782</v>
      </c>
      <c r="N729" s="6" t="s">
        <v>20</v>
      </c>
      <c r="O729" s="6" t="s">
        <v>20</v>
      </c>
      <c r="P729" s="6" t="s">
        <v>20</v>
      </c>
      <c r="Q729" s="6">
        <v>0.18</v>
      </c>
      <c r="R729" s="6">
        <v>0.04</v>
      </c>
      <c r="S729" s="6">
        <v>0.18</v>
      </c>
      <c r="T729" s="8">
        <v>10</v>
      </c>
      <c r="U729" s="5" t="s">
        <v>994</v>
      </c>
      <c r="V729" s="89">
        <v>0</v>
      </c>
      <c r="W729" s="15">
        <v>17897801319789</v>
      </c>
      <c r="X729" s="6">
        <v>0.72</v>
      </c>
      <c r="Y729" s="6">
        <v>0.22</v>
      </c>
      <c r="Z729" s="6">
        <v>0.47</v>
      </c>
      <c r="AA729" s="6">
        <f t="shared" si="39"/>
        <v>7.4447999999999986E-2</v>
      </c>
      <c r="AB729" s="8">
        <v>500</v>
      </c>
      <c r="AC729" s="15">
        <v>27897801319786</v>
      </c>
      <c r="AD729" s="4" t="s">
        <v>992</v>
      </c>
    </row>
    <row r="730" spans="2:30" x14ac:dyDescent="0.35">
      <c r="B730" s="14">
        <v>1347</v>
      </c>
      <c r="C730" s="4" t="s">
        <v>708</v>
      </c>
      <c r="D730" s="4" t="s">
        <v>2384</v>
      </c>
      <c r="E730" s="4" t="s">
        <v>2912</v>
      </c>
      <c r="F730" s="4" t="s">
        <v>85</v>
      </c>
      <c r="G730" s="4" t="s">
        <v>993</v>
      </c>
      <c r="H730" s="6">
        <v>1.26E-2</v>
      </c>
      <c r="I730" s="8">
        <v>20</v>
      </c>
      <c r="J730" s="8">
        <v>35</v>
      </c>
      <c r="K730" s="8">
        <v>35</v>
      </c>
      <c r="L730" s="8">
        <f t="shared" si="38"/>
        <v>24500</v>
      </c>
      <c r="M730" s="15">
        <v>7897801319799</v>
      </c>
      <c r="N730" s="6" t="s">
        <v>20</v>
      </c>
      <c r="O730" s="6" t="s">
        <v>20</v>
      </c>
      <c r="P730" s="6" t="s">
        <v>20</v>
      </c>
      <c r="Q730" s="6">
        <v>0.11</v>
      </c>
      <c r="R730" s="6">
        <v>0.22</v>
      </c>
      <c r="S730" s="6">
        <v>0.13</v>
      </c>
      <c r="T730" s="8">
        <v>10</v>
      </c>
      <c r="U730" s="5" t="s">
        <v>994</v>
      </c>
      <c r="V730" s="89">
        <v>0</v>
      </c>
      <c r="W730" s="15">
        <v>17897801319796</v>
      </c>
      <c r="X730" s="6">
        <v>0.73</v>
      </c>
      <c r="Y730" s="6">
        <v>0.2</v>
      </c>
      <c r="Z730" s="6">
        <v>0.47</v>
      </c>
      <c r="AA730" s="6">
        <f t="shared" si="39"/>
        <v>6.8619999999999987E-2</v>
      </c>
      <c r="AB730" s="8">
        <v>2000</v>
      </c>
      <c r="AC730" s="15">
        <v>27897801319793</v>
      </c>
      <c r="AD730" s="4" t="s">
        <v>992</v>
      </c>
    </row>
    <row r="731" spans="2:30" x14ac:dyDescent="0.35">
      <c r="B731" s="14">
        <v>1348</v>
      </c>
      <c r="C731" s="4" t="s">
        <v>709</v>
      </c>
      <c r="D731" s="4" t="s">
        <v>2384</v>
      </c>
      <c r="E731" s="4" t="s">
        <v>2912</v>
      </c>
      <c r="F731" s="4" t="s">
        <v>85</v>
      </c>
      <c r="G731" s="4" t="s">
        <v>993</v>
      </c>
      <c r="H731" s="6">
        <v>2.47E-2</v>
      </c>
      <c r="I731" s="8">
        <v>27</v>
      </c>
      <c r="J731" s="8">
        <v>47</v>
      </c>
      <c r="K731" s="8">
        <v>47</v>
      </c>
      <c r="L731" s="8">
        <f t="shared" si="38"/>
        <v>59643</v>
      </c>
      <c r="M731" s="15">
        <v>7897801319805</v>
      </c>
      <c r="N731" s="6" t="s">
        <v>20</v>
      </c>
      <c r="O731" s="6" t="s">
        <v>20</v>
      </c>
      <c r="P731" s="6" t="s">
        <v>20</v>
      </c>
      <c r="Q731" s="6">
        <v>0.14000000000000001</v>
      </c>
      <c r="R731" s="6">
        <v>0.03</v>
      </c>
      <c r="S731" s="6">
        <v>0.18</v>
      </c>
      <c r="T731" s="8">
        <v>10</v>
      </c>
      <c r="U731" s="5" t="s">
        <v>994</v>
      </c>
      <c r="V731" s="89">
        <v>0</v>
      </c>
      <c r="W731" s="15">
        <v>17897801319802</v>
      </c>
      <c r="X731" s="6">
        <v>0.74</v>
      </c>
      <c r="Y731" s="6">
        <v>0.18</v>
      </c>
      <c r="Z731" s="6">
        <v>0.5</v>
      </c>
      <c r="AA731" s="6">
        <f t="shared" si="39"/>
        <v>6.6599999999999993E-2</v>
      </c>
      <c r="AB731" s="8">
        <v>700</v>
      </c>
      <c r="AC731" s="15">
        <v>27897801319809</v>
      </c>
      <c r="AD731" s="4" t="s">
        <v>992</v>
      </c>
    </row>
    <row r="732" spans="2:30" x14ac:dyDescent="0.35">
      <c r="B732" s="14">
        <v>1349</v>
      </c>
      <c r="C732" s="4" t="s">
        <v>710</v>
      </c>
      <c r="D732" s="4" t="s">
        <v>2384</v>
      </c>
      <c r="E732" s="4" t="s">
        <v>2912</v>
      </c>
      <c r="F732" s="4" t="s">
        <v>85</v>
      </c>
      <c r="G732" s="4" t="s">
        <v>993</v>
      </c>
      <c r="H732" s="6">
        <v>4.8000000000000001E-2</v>
      </c>
      <c r="I732" s="8">
        <v>34</v>
      </c>
      <c r="J732" s="8">
        <v>58</v>
      </c>
      <c r="K732" s="8">
        <v>58</v>
      </c>
      <c r="L732" s="8">
        <f t="shared" si="38"/>
        <v>114376</v>
      </c>
      <c r="M732" s="15">
        <v>7897801319812</v>
      </c>
      <c r="N732" s="6" t="s">
        <v>20</v>
      </c>
      <c r="O732" s="6" t="s">
        <v>20</v>
      </c>
      <c r="P732" s="6" t="s">
        <v>20</v>
      </c>
      <c r="Q732" s="6">
        <v>0.19</v>
      </c>
      <c r="R732" s="6">
        <v>0.36</v>
      </c>
      <c r="S732" s="6">
        <v>0.19</v>
      </c>
      <c r="T732" s="8">
        <v>10</v>
      </c>
      <c r="U732" s="5" t="s">
        <v>994</v>
      </c>
      <c r="V732" s="89">
        <v>0</v>
      </c>
      <c r="W732" s="15">
        <v>17897801319819</v>
      </c>
      <c r="X732" s="6">
        <v>0.75</v>
      </c>
      <c r="Y732" s="6">
        <v>0.21</v>
      </c>
      <c r="Z732" s="6">
        <v>0.48</v>
      </c>
      <c r="AA732" s="6">
        <f t="shared" si="39"/>
        <v>7.5600000000000001E-2</v>
      </c>
      <c r="AB732" s="8">
        <v>400</v>
      </c>
      <c r="AC732" s="15">
        <v>27897801319816</v>
      </c>
      <c r="AD732" s="4" t="s">
        <v>992</v>
      </c>
    </row>
    <row r="733" spans="2:30" x14ac:dyDescent="0.35">
      <c r="B733" s="14">
        <v>1350</v>
      </c>
      <c r="C733" s="4" t="s">
        <v>711</v>
      </c>
      <c r="D733" s="4" t="s">
        <v>2384</v>
      </c>
      <c r="E733" s="4" t="s">
        <v>2912</v>
      </c>
      <c r="F733" s="4" t="s">
        <v>85</v>
      </c>
      <c r="G733" s="4" t="s">
        <v>1014</v>
      </c>
      <c r="H733" s="6">
        <v>4.2000000000000003E-2</v>
      </c>
      <c r="I733" s="8">
        <v>32</v>
      </c>
      <c r="J733" s="8">
        <v>57</v>
      </c>
      <c r="K733" s="8">
        <v>40</v>
      </c>
      <c r="L733" s="8">
        <f t="shared" si="38"/>
        <v>72960</v>
      </c>
      <c r="M733" s="15">
        <v>7897801319829</v>
      </c>
      <c r="N733" s="6" t="s">
        <v>20</v>
      </c>
      <c r="O733" s="6" t="s">
        <v>20</v>
      </c>
      <c r="P733" s="6" t="s">
        <v>20</v>
      </c>
      <c r="Q733" s="6">
        <v>0.14000000000000001</v>
      </c>
      <c r="R733" s="6">
        <v>0.04</v>
      </c>
      <c r="S733" s="6">
        <v>0.14000000000000001</v>
      </c>
      <c r="T733" s="8">
        <v>10</v>
      </c>
      <c r="U733" s="5" t="s">
        <v>994</v>
      </c>
      <c r="V733" s="89">
        <v>0</v>
      </c>
      <c r="W733" s="15">
        <v>17897801319826</v>
      </c>
      <c r="X733" s="6">
        <v>0.23</v>
      </c>
      <c r="Y733" s="6">
        <v>0.26</v>
      </c>
      <c r="Z733" s="6">
        <v>0.31</v>
      </c>
      <c r="AA733" s="6">
        <f t="shared" si="39"/>
        <v>1.8538000000000002E-2</v>
      </c>
      <c r="AB733" s="8">
        <v>280</v>
      </c>
      <c r="AC733" s="15">
        <v>27897801319823</v>
      </c>
      <c r="AD733" s="4" t="s">
        <v>992</v>
      </c>
    </row>
    <row r="734" spans="2:30" x14ac:dyDescent="0.35">
      <c r="B734" s="14">
        <v>1351</v>
      </c>
      <c r="C734" s="4" t="s">
        <v>712</v>
      </c>
      <c r="D734" s="4" t="s">
        <v>2384</v>
      </c>
      <c r="E734" s="4" t="s">
        <v>2912</v>
      </c>
      <c r="F734" s="4" t="s">
        <v>85</v>
      </c>
      <c r="G734" s="4" t="s">
        <v>1014</v>
      </c>
      <c r="H734" s="6">
        <v>4.8300000000000003E-2</v>
      </c>
      <c r="I734" s="8">
        <v>32</v>
      </c>
      <c r="J734" s="8">
        <v>65</v>
      </c>
      <c r="K734" s="8">
        <v>48</v>
      </c>
      <c r="L734" s="8">
        <f t="shared" si="38"/>
        <v>99840</v>
      </c>
      <c r="M734" s="15">
        <v>7897801319836</v>
      </c>
      <c r="N734" s="6" t="s">
        <v>20</v>
      </c>
      <c r="O734" s="6" t="s">
        <v>20</v>
      </c>
      <c r="P734" s="6" t="s">
        <v>20</v>
      </c>
      <c r="Q734" s="6">
        <v>0.14000000000000001</v>
      </c>
      <c r="R734" s="6">
        <v>0.05</v>
      </c>
      <c r="S734" s="6">
        <v>0.16</v>
      </c>
      <c r="T734" s="8">
        <v>10</v>
      </c>
      <c r="U734" s="5" t="s">
        <v>994</v>
      </c>
      <c r="V734" s="89">
        <v>0</v>
      </c>
      <c r="W734" s="15">
        <v>17897801319833</v>
      </c>
      <c r="X734" s="6">
        <v>0.23</v>
      </c>
      <c r="Y734" s="6">
        <v>0.26</v>
      </c>
      <c r="Z734" s="6">
        <v>0.31</v>
      </c>
      <c r="AA734" s="6">
        <f t="shared" si="39"/>
        <v>1.8538000000000002E-2</v>
      </c>
      <c r="AB734" s="8">
        <v>200</v>
      </c>
      <c r="AC734" s="15">
        <v>27897801319830</v>
      </c>
      <c r="AD734" s="4" t="s">
        <v>992</v>
      </c>
    </row>
    <row r="735" spans="2:30" x14ac:dyDescent="0.35">
      <c r="B735" s="14">
        <v>1352</v>
      </c>
      <c r="C735" s="4" t="s">
        <v>713</v>
      </c>
      <c r="D735" s="4" t="s">
        <v>2384</v>
      </c>
      <c r="E735" s="4" t="s">
        <v>2912</v>
      </c>
      <c r="F735" s="4" t="s">
        <v>85</v>
      </c>
      <c r="G735" s="4" t="s">
        <v>1014</v>
      </c>
      <c r="H735" s="6">
        <v>6.5699999999999995E-2</v>
      </c>
      <c r="I735" s="8">
        <v>42</v>
      </c>
      <c r="J735" s="8">
        <v>70</v>
      </c>
      <c r="K735" s="8">
        <v>54</v>
      </c>
      <c r="L735" s="8">
        <f t="shared" si="38"/>
        <v>158760</v>
      </c>
      <c r="M735" s="15">
        <v>7897801319843</v>
      </c>
      <c r="N735" s="6" t="s">
        <v>20</v>
      </c>
      <c r="O735" s="6" t="s">
        <v>20</v>
      </c>
      <c r="P735" s="6" t="s">
        <v>20</v>
      </c>
      <c r="Q735" s="6">
        <v>0.17</v>
      </c>
      <c r="R735" s="6">
        <v>0.05</v>
      </c>
      <c r="S735" s="6">
        <v>0.17</v>
      </c>
      <c r="T735" s="8">
        <v>10</v>
      </c>
      <c r="U735" s="5" t="s">
        <v>994</v>
      </c>
      <c r="V735" s="89">
        <v>0</v>
      </c>
      <c r="W735" s="15">
        <v>17897801319840</v>
      </c>
      <c r="X735" s="6">
        <v>0.23</v>
      </c>
      <c r="Y735" s="6">
        <v>0.26</v>
      </c>
      <c r="Z735" s="6">
        <v>0.31</v>
      </c>
      <c r="AA735" s="6">
        <f t="shared" si="39"/>
        <v>1.8538000000000002E-2</v>
      </c>
      <c r="AB735" s="8">
        <v>160</v>
      </c>
      <c r="AC735" s="15">
        <v>27897801319847</v>
      </c>
      <c r="AD735" s="4" t="s">
        <v>992</v>
      </c>
    </row>
    <row r="736" spans="2:30" x14ac:dyDescent="0.35">
      <c r="B736" s="14">
        <v>1353</v>
      </c>
      <c r="C736" s="4" t="s">
        <v>714</v>
      </c>
      <c r="D736" s="4" t="s">
        <v>2384</v>
      </c>
      <c r="E736" s="4" t="s">
        <v>2912</v>
      </c>
      <c r="F736" s="4" t="s">
        <v>85</v>
      </c>
      <c r="G736" s="4" t="s">
        <v>1014</v>
      </c>
      <c r="H736" s="6">
        <v>0.1113</v>
      </c>
      <c r="I736" s="8">
        <v>50</v>
      </c>
      <c r="J736" s="8">
        <v>85</v>
      </c>
      <c r="K736" s="8">
        <v>57</v>
      </c>
      <c r="L736" s="8">
        <f t="shared" si="38"/>
        <v>242250</v>
      </c>
      <c r="M736" s="15">
        <v>7897801319850</v>
      </c>
      <c r="N736" s="6" t="s">
        <v>20</v>
      </c>
      <c r="O736" s="6" t="s">
        <v>20</v>
      </c>
      <c r="P736" s="6" t="s">
        <v>20</v>
      </c>
      <c r="Q736" s="6">
        <v>0.2</v>
      </c>
      <c r="R736" s="6">
        <v>0.06</v>
      </c>
      <c r="S736" s="6">
        <v>0.2</v>
      </c>
      <c r="T736" s="8">
        <v>10</v>
      </c>
      <c r="U736" s="5" t="s">
        <v>994</v>
      </c>
      <c r="V736" s="89">
        <v>0</v>
      </c>
      <c r="W736" s="15">
        <v>17897801319857</v>
      </c>
      <c r="X736" s="6">
        <v>0.23</v>
      </c>
      <c r="Y736" s="6">
        <v>0.26</v>
      </c>
      <c r="Z736" s="6">
        <v>0.31</v>
      </c>
      <c r="AA736" s="6">
        <f t="shared" si="39"/>
        <v>1.8538000000000002E-2</v>
      </c>
      <c r="AB736" s="8">
        <v>80</v>
      </c>
      <c r="AC736" s="15">
        <v>27897801319854</v>
      </c>
      <c r="AD736" s="4" t="s">
        <v>992</v>
      </c>
    </row>
    <row r="737" spans="2:30" x14ac:dyDescent="0.35">
      <c r="B737" s="14">
        <v>1354</v>
      </c>
      <c r="C737" s="4" t="s">
        <v>715</v>
      </c>
      <c r="D737" s="4" t="s">
        <v>2384</v>
      </c>
      <c r="E737" s="4" t="s">
        <v>2912</v>
      </c>
      <c r="F737" s="4" t="s">
        <v>85</v>
      </c>
      <c r="G737" s="4" t="s">
        <v>1014</v>
      </c>
      <c r="H737" s="6">
        <v>2.1999999999999999E-2</v>
      </c>
      <c r="I737" s="8">
        <v>27.2</v>
      </c>
      <c r="J737" s="8">
        <v>50</v>
      </c>
      <c r="K737" s="8">
        <v>27.2</v>
      </c>
      <c r="L737" s="8">
        <f t="shared" si="38"/>
        <v>36992</v>
      </c>
      <c r="M737" s="15">
        <v>7897801319867</v>
      </c>
      <c r="N737" s="6" t="s">
        <v>20</v>
      </c>
      <c r="O737" s="6" t="s">
        <v>20</v>
      </c>
      <c r="P737" s="6" t="s">
        <v>20</v>
      </c>
      <c r="Q737" s="6">
        <v>0.11</v>
      </c>
      <c r="R737" s="6">
        <v>0.03</v>
      </c>
      <c r="S737" s="6">
        <v>0.13</v>
      </c>
      <c r="T737" s="8">
        <v>10</v>
      </c>
      <c r="U737" s="5" t="s">
        <v>994</v>
      </c>
      <c r="V737" s="89">
        <v>0</v>
      </c>
      <c r="W737" s="15">
        <v>17897801319864</v>
      </c>
      <c r="X737" s="6">
        <v>0.255</v>
      </c>
      <c r="Y737" s="6">
        <v>0.255</v>
      </c>
      <c r="Z737" s="6">
        <v>0.33</v>
      </c>
      <c r="AA737" s="6">
        <f t="shared" si="39"/>
        <v>2.1458250000000002E-2</v>
      </c>
      <c r="AB737" s="8">
        <v>900</v>
      </c>
      <c r="AC737" s="15">
        <v>27897801319861</v>
      </c>
      <c r="AD737" s="4" t="s">
        <v>992</v>
      </c>
    </row>
    <row r="738" spans="2:30" x14ac:dyDescent="0.35">
      <c r="B738" s="14">
        <v>1355</v>
      </c>
      <c r="C738" s="4" t="s">
        <v>716</v>
      </c>
      <c r="D738" s="4" t="s">
        <v>2384</v>
      </c>
      <c r="E738" s="4" t="s">
        <v>2912</v>
      </c>
      <c r="F738" s="4" t="s">
        <v>85</v>
      </c>
      <c r="G738" s="4" t="s">
        <v>1014</v>
      </c>
      <c r="H738" s="6">
        <v>3.2300000000000002E-2</v>
      </c>
      <c r="I738" s="8">
        <v>33.6</v>
      </c>
      <c r="J738" s="8">
        <v>5.5</v>
      </c>
      <c r="K738" s="8">
        <v>33.6</v>
      </c>
      <c r="L738" s="8">
        <f t="shared" si="38"/>
        <v>6209.2800000000007</v>
      </c>
      <c r="M738" s="15">
        <v>7897801319874</v>
      </c>
      <c r="N738" s="6" t="s">
        <v>20</v>
      </c>
      <c r="O738" s="6" t="s">
        <v>20</v>
      </c>
      <c r="P738" s="6" t="s">
        <v>20</v>
      </c>
      <c r="Q738" s="6">
        <v>0.14000000000000001</v>
      </c>
      <c r="R738" s="6">
        <v>3.4000000000000002E-2</v>
      </c>
      <c r="S738" s="6">
        <v>0.155</v>
      </c>
      <c r="T738" s="8">
        <v>10</v>
      </c>
      <c r="U738" s="5" t="s">
        <v>994</v>
      </c>
      <c r="V738" s="89">
        <v>0</v>
      </c>
      <c r="W738" s="15">
        <v>17897801319871</v>
      </c>
      <c r="X738" s="6">
        <v>0.255</v>
      </c>
      <c r="Y738" s="6">
        <v>0.255</v>
      </c>
      <c r="Z738" s="6">
        <v>0.33</v>
      </c>
      <c r="AA738" s="6">
        <f t="shared" si="39"/>
        <v>2.1458250000000002E-2</v>
      </c>
      <c r="AB738" s="8">
        <v>640</v>
      </c>
      <c r="AC738" s="15">
        <v>27897801319878</v>
      </c>
      <c r="AD738" s="4" t="s">
        <v>992</v>
      </c>
    </row>
    <row r="739" spans="2:30" x14ac:dyDescent="0.35">
      <c r="B739" s="14">
        <v>1356</v>
      </c>
      <c r="C739" s="4" t="s">
        <v>717</v>
      </c>
      <c r="D739" s="4" t="s">
        <v>2384</v>
      </c>
      <c r="E739" s="4" t="s">
        <v>2912</v>
      </c>
      <c r="F739" s="4" t="s">
        <v>85</v>
      </c>
      <c r="G739" s="4" t="s">
        <v>1014</v>
      </c>
      <c r="H739" s="6">
        <v>4.3099999999999999E-2</v>
      </c>
      <c r="I739" s="8">
        <v>40</v>
      </c>
      <c r="J739" s="8">
        <v>60</v>
      </c>
      <c r="K739" s="8">
        <v>40</v>
      </c>
      <c r="L739" s="8">
        <f t="shared" si="38"/>
        <v>96000</v>
      </c>
      <c r="M739" s="15">
        <v>7897801319881</v>
      </c>
      <c r="N739" s="6" t="s">
        <v>20</v>
      </c>
      <c r="O739" s="6" t="s">
        <v>20</v>
      </c>
      <c r="P739" s="6" t="s">
        <v>20</v>
      </c>
      <c r="Q739" s="6">
        <v>0.19</v>
      </c>
      <c r="R739" s="6">
        <v>4.2999999999999997E-2</v>
      </c>
      <c r="S739" s="6">
        <v>0.14000000000000001</v>
      </c>
      <c r="T739" s="8">
        <v>10</v>
      </c>
      <c r="U739" s="5" t="s">
        <v>994</v>
      </c>
      <c r="V739" s="89">
        <v>0</v>
      </c>
      <c r="W739" s="15">
        <v>17897801319888</v>
      </c>
      <c r="X739" s="6">
        <v>0.255</v>
      </c>
      <c r="Y739" s="6">
        <v>0.255</v>
      </c>
      <c r="Z739" s="6">
        <v>0.33</v>
      </c>
      <c r="AA739" s="6">
        <f t="shared" si="39"/>
        <v>2.1458250000000002E-2</v>
      </c>
      <c r="AB739" s="8">
        <v>480</v>
      </c>
      <c r="AC739" s="15">
        <v>27897801319885</v>
      </c>
      <c r="AD739" s="4" t="s">
        <v>992</v>
      </c>
    </row>
    <row r="740" spans="2:30" x14ac:dyDescent="0.35">
      <c r="B740" s="14">
        <v>1357</v>
      </c>
      <c r="C740" s="4" t="s">
        <v>718</v>
      </c>
      <c r="D740" s="4" t="s">
        <v>2384</v>
      </c>
      <c r="E740" s="4" t="s">
        <v>2912</v>
      </c>
      <c r="F740" s="4" t="s">
        <v>85</v>
      </c>
      <c r="G740" s="4" t="s">
        <v>993</v>
      </c>
      <c r="H740" s="6">
        <v>7.7999999999999996E-3</v>
      </c>
      <c r="I740" s="8">
        <v>20</v>
      </c>
      <c r="J740" s="8">
        <v>32</v>
      </c>
      <c r="K740" s="8">
        <v>20</v>
      </c>
      <c r="L740" s="8">
        <f t="shared" si="38"/>
        <v>12800</v>
      </c>
      <c r="M740" s="15">
        <v>7897801319898</v>
      </c>
      <c r="N740" s="6" t="s">
        <v>20</v>
      </c>
      <c r="O740" s="6" t="s">
        <v>20</v>
      </c>
      <c r="P740" s="6" t="s">
        <v>20</v>
      </c>
      <c r="Q740" s="6">
        <v>7.4999999999999997E-2</v>
      </c>
      <c r="R740" s="6">
        <v>2.1999999999999999E-2</v>
      </c>
      <c r="S740" s="6">
        <v>0.11</v>
      </c>
      <c r="T740" s="8">
        <v>10</v>
      </c>
      <c r="U740" s="5" t="s">
        <v>994</v>
      </c>
      <c r="V740" s="89">
        <v>0</v>
      </c>
      <c r="W740" s="15">
        <v>17897801319895</v>
      </c>
      <c r="X740" s="6">
        <v>0.76</v>
      </c>
      <c r="Y740" s="6">
        <v>0.2</v>
      </c>
      <c r="Z740" s="6">
        <v>0.49</v>
      </c>
      <c r="AA740" s="6">
        <f t="shared" si="39"/>
        <v>7.4480000000000005E-2</v>
      </c>
      <c r="AB740" s="8">
        <v>2500</v>
      </c>
      <c r="AC740" s="15">
        <v>27897801319892</v>
      </c>
      <c r="AD740" s="4" t="s">
        <v>992</v>
      </c>
    </row>
    <row r="741" spans="2:30" x14ac:dyDescent="0.35">
      <c r="B741" s="14">
        <v>1358</v>
      </c>
      <c r="C741" s="4" t="s">
        <v>719</v>
      </c>
      <c r="D741" s="4" t="s">
        <v>2384</v>
      </c>
      <c r="E741" s="4" t="s">
        <v>2912</v>
      </c>
      <c r="F741" s="4" t="s">
        <v>85</v>
      </c>
      <c r="G741" s="4" t="s">
        <v>993</v>
      </c>
      <c r="H741" s="6">
        <v>1.37E-2</v>
      </c>
      <c r="I741" s="8">
        <v>27</v>
      </c>
      <c r="J741" s="8">
        <v>41</v>
      </c>
      <c r="K741" s="8">
        <v>27</v>
      </c>
      <c r="L741" s="8">
        <f t="shared" si="38"/>
        <v>29889</v>
      </c>
      <c r="M741" s="15">
        <v>7897801319904</v>
      </c>
      <c r="N741" s="6" t="s">
        <v>20</v>
      </c>
      <c r="O741" s="6" t="s">
        <v>20</v>
      </c>
      <c r="P741" s="6" t="s">
        <v>20</v>
      </c>
      <c r="Q741" s="6">
        <v>0.115</v>
      </c>
      <c r="R741" s="6">
        <v>2.8000000000000001E-2</v>
      </c>
      <c r="S741" s="6">
        <v>0.125</v>
      </c>
      <c r="T741" s="8">
        <v>10</v>
      </c>
      <c r="U741" s="5" t="s">
        <v>994</v>
      </c>
      <c r="V741" s="89">
        <v>0</v>
      </c>
      <c r="W741" s="15">
        <v>17897801319901</v>
      </c>
      <c r="X741" s="6">
        <v>0.75</v>
      </c>
      <c r="Y741" s="6">
        <v>0.18</v>
      </c>
      <c r="Z741" s="6">
        <v>0.5</v>
      </c>
      <c r="AA741" s="6">
        <f t="shared" si="39"/>
        <v>6.7500000000000004E-2</v>
      </c>
      <c r="AB741" s="8">
        <v>1000</v>
      </c>
      <c r="AC741" s="15">
        <v>27897801319908</v>
      </c>
      <c r="AD741" s="4" t="s">
        <v>992</v>
      </c>
    </row>
    <row r="742" spans="2:30" x14ac:dyDescent="0.35">
      <c r="B742" s="14">
        <v>1359</v>
      </c>
      <c r="C742" s="4" t="s">
        <v>720</v>
      </c>
      <c r="D742" s="4" t="s">
        <v>2384</v>
      </c>
      <c r="E742" s="4" t="s">
        <v>2912</v>
      </c>
      <c r="F742" s="4" t="s">
        <v>85</v>
      </c>
      <c r="G742" s="4" t="s">
        <v>993</v>
      </c>
      <c r="H742" s="6">
        <v>2.3300000000000001E-2</v>
      </c>
      <c r="I742" s="8">
        <v>34</v>
      </c>
      <c r="J742" s="8">
        <v>52</v>
      </c>
      <c r="K742" s="8">
        <v>34</v>
      </c>
      <c r="L742" s="8">
        <f t="shared" si="38"/>
        <v>60112</v>
      </c>
      <c r="M742" s="15">
        <v>7897801319911</v>
      </c>
      <c r="N742" s="6" t="s">
        <v>20</v>
      </c>
      <c r="O742" s="6" t="s">
        <v>20</v>
      </c>
      <c r="P742" s="6" t="s">
        <v>20</v>
      </c>
      <c r="Q742" s="6">
        <v>0.15</v>
      </c>
      <c r="R742" s="6">
        <v>3.5999999999999997E-2</v>
      </c>
      <c r="S742" s="6">
        <v>0.18</v>
      </c>
      <c r="T742" s="8">
        <v>10</v>
      </c>
      <c r="U742" s="5" t="s">
        <v>994</v>
      </c>
      <c r="V742" s="89">
        <v>0</v>
      </c>
      <c r="W742" s="15">
        <v>17897801319918</v>
      </c>
      <c r="X742" s="6">
        <v>0.75</v>
      </c>
      <c r="Y742" s="6">
        <v>0.19</v>
      </c>
      <c r="Z742" s="6">
        <v>0.49</v>
      </c>
      <c r="AA742" s="6">
        <f t="shared" si="39"/>
        <v>6.9825000000000012E-2</v>
      </c>
      <c r="AB742" s="8">
        <v>600</v>
      </c>
      <c r="AC742" s="15">
        <v>27897801319915</v>
      </c>
      <c r="AD742" s="4" t="s">
        <v>992</v>
      </c>
    </row>
    <row r="743" spans="2:30" x14ac:dyDescent="0.35">
      <c r="B743" s="14">
        <v>1360</v>
      </c>
      <c r="C743" s="4" t="s">
        <v>721</v>
      </c>
      <c r="D743" s="4" t="s">
        <v>2384</v>
      </c>
      <c r="E743" s="4" t="s">
        <v>2912</v>
      </c>
      <c r="F743" s="4" t="s">
        <v>85</v>
      </c>
      <c r="G743" s="4" t="s">
        <v>1014</v>
      </c>
      <c r="H743" s="6">
        <v>1.03E-2</v>
      </c>
      <c r="I743" s="8">
        <v>27</v>
      </c>
      <c r="J743" s="8">
        <v>31.5</v>
      </c>
      <c r="K743" s="8">
        <v>27</v>
      </c>
      <c r="L743" s="8">
        <f t="shared" si="38"/>
        <v>22963.5</v>
      </c>
      <c r="M743" s="15">
        <v>7897801319928</v>
      </c>
      <c r="N743" s="6" t="s">
        <v>20</v>
      </c>
      <c r="O743" s="6" t="s">
        <v>20</v>
      </c>
      <c r="P743" s="6" t="s">
        <v>20</v>
      </c>
      <c r="Q743" s="6">
        <v>0.1</v>
      </c>
      <c r="R743" s="6">
        <v>0.03</v>
      </c>
      <c r="S743" s="6">
        <v>0.95</v>
      </c>
      <c r="T743" s="8">
        <v>10</v>
      </c>
      <c r="U743" s="5" t="s">
        <v>994</v>
      </c>
      <c r="V743" s="89">
        <v>0</v>
      </c>
      <c r="W743" s="15">
        <v>17897801319925</v>
      </c>
      <c r="X743" s="6">
        <v>0.255</v>
      </c>
      <c r="Y743" s="6">
        <v>0.255</v>
      </c>
      <c r="Z743" s="6">
        <v>0.33</v>
      </c>
      <c r="AA743" s="6">
        <f t="shared" si="39"/>
        <v>2.1458250000000002E-2</v>
      </c>
      <c r="AB743" s="8">
        <v>2000</v>
      </c>
      <c r="AC743" s="15">
        <v>27897801319922</v>
      </c>
      <c r="AD743" s="4" t="s">
        <v>992</v>
      </c>
    </row>
    <row r="744" spans="2:30" x14ac:dyDescent="0.35">
      <c r="B744" s="14">
        <v>1361</v>
      </c>
      <c r="C744" s="4" t="s">
        <v>722</v>
      </c>
      <c r="D744" s="4" t="s">
        <v>2384</v>
      </c>
      <c r="E744" s="4" t="s">
        <v>2912</v>
      </c>
      <c r="F744" s="4" t="s">
        <v>85</v>
      </c>
      <c r="G744" s="4" t="s">
        <v>1014</v>
      </c>
      <c r="H744" s="6">
        <v>1.6400000000000001E-2</v>
      </c>
      <c r="I744" s="8">
        <v>32.5</v>
      </c>
      <c r="J744" s="8">
        <v>33.9</v>
      </c>
      <c r="K744" s="8">
        <v>32.5</v>
      </c>
      <c r="L744" s="8">
        <f t="shared" si="38"/>
        <v>35806.875</v>
      </c>
      <c r="M744" s="15">
        <v>7897801319935</v>
      </c>
      <c r="N744" s="6" t="s">
        <v>20</v>
      </c>
      <c r="O744" s="6" t="s">
        <v>20</v>
      </c>
      <c r="P744" s="6" t="s">
        <v>20</v>
      </c>
      <c r="Q744" s="6">
        <v>0.12</v>
      </c>
      <c r="R744" s="6">
        <v>3.5000000000000003E-2</v>
      </c>
      <c r="S744" s="6">
        <v>0.13</v>
      </c>
      <c r="T744" s="8">
        <v>10</v>
      </c>
      <c r="U744" s="5" t="s">
        <v>994</v>
      </c>
      <c r="V744" s="89">
        <v>0</v>
      </c>
      <c r="W744" s="15">
        <v>17897801319932</v>
      </c>
      <c r="X744" s="6">
        <v>0.255</v>
      </c>
      <c r="Y744" s="6">
        <v>0.255</v>
      </c>
      <c r="Z744" s="6">
        <v>0.33</v>
      </c>
      <c r="AA744" s="6">
        <f t="shared" si="39"/>
        <v>2.1458250000000002E-2</v>
      </c>
      <c r="AB744" s="8">
        <v>1200</v>
      </c>
      <c r="AC744" s="15">
        <v>27897801319939</v>
      </c>
      <c r="AD744" s="4" t="s">
        <v>992</v>
      </c>
    </row>
    <row r="745" spans="2:30" x14ac:dyDescent="0.35">
      <c r="B745" s="14">
        <v>1362</v>
      </c>
      <c r="C745" s="4" t="s">
        <v>723</v>
      </c>
      <c r="D745" s="4" t="s">
        <v>2384</v>
      </c>
      <c r="E745" s="4" t="s">
        <v>2912</v>
      </c>
      <c r="F745" s="4" t="s">
        <v>85</v>
      </c>
      <c r="G745" s="4" t="s">
        <v>1014</v>
      </c>
      <c r="H745" s="6">
        <v>3.4799999999999998E-2</v>
      </c>
      <c r="I745" s="8">
        <v>35</v>
      </c>
      <c r="J745" s="8">
        <v>33</v>
      </c>
      <c r="K745" s="8">
        <v>35</v>
      </c>
      <c r="L745" s="8">
        <f t="shared" si="38"/>
        <v>40425</v>
      </c>
      <c r="M745" s="15">
        <v>7897801319942</v>
      </c>
      <c r="N745" s="6" t="s">
        <v>20</v>
      </c>
      <c r="O745" s="6" t="s">
        <v>20</v>
      </c>
      <c r="P745" s="6" t="s">
        <v>20</v>
      </c>
      <c r="Q745" s="6">
        <v>0.11</v>
      </c>
      <c r="R745" s="6">
        <v>3.6999999999999998E-2</v>
      </c>
      <c r="S745" s="6">
        <v>0.12</v>
      </c>
      <c r="T745" s="8">
        <v>10</v>
      </c>
      <c r="U745" s="5" t="s">
        <v>994</v>
      </c>
      <c r="V745" s="89">
        <v>0</v>
      </c>
      <c r="W745" s="15">
        <v>17897801319949</v>
      </c>
      <c r="X745" s="6">
        <v>0.22500000000000001</v>
      </c>
      <c r="Y745" s="6">
        <v>0.26</v>
      </c>
      <c r="Z745" s="6">
        <v>0.30499999999999999</v>
      </c>
      <c r="AA745" s="6">
        <f t="shared" si="39"/>
        <v>1.7842500000000001E-2</v>
      </c>
      <c r="AB745" s="8">
        <v>420</v>
      </c>
      <c r="AC745" s="15">
        <v>27897801319946</v>
      </c>
      <c r="AD745" s="4" t="s">
        <v>992</v>
      </c>
    </row>
    <row r="746" spans="2:30" x14ac:dyDescent="0.35">
      <c r="B746" s="14">
        <v>1363</v>
      </c>
      <c r="C746" s="4" t="s">
        <v>724</v>
      </c>
      <c r="D746" s="4" t="s">
        <v>2384</v>
      </c>
      <c r="E746" s="4" t="s">
        <v>2912</v>
      </c>
      <c r="F746" s="4" t="s">
        <v>85</v>
      </c>
      <c r="G746" s="4" t="s">
        <v>1014</v>
      </c>
      <c r="H746" s="6">
        <v>3.9E-2</v>
      </c>
      <c r="I746" s="8">
        <v>35</v>
      </c>
      <c r="J746" s="8">
        <v>38</v>
      </c>
      <c r="K746" s="8">
        <v>35</v>
      </c>
      <c r="L746" s="8">
        <f t="shared" si="38"/>
        <v>46550</v>
      </c>
      <c r="M746" s="15">
        <v>7897801319959</v>
      </c>
      <c r="N746" s="6" t="s">
        <v>20</v>
      </c>
      <c r="O746" s="6" t="s">
        <v>20</v>
      </c>
      <c r="P746" s="6" t="s">
        <v>20</v>
      </c>
      <c r="Q746" s="6">
        <v>0.12</v>
      </c>
      <c r="R746" s="6">
        <v>0.04</v>
      </c>
      <c r="S746" s="6">
        <v>0.13</v>
      </c>
      <c r="T746" s="8">
        <v>10</v>
      </c>
      <c r="U746" s="5" t="s">
        <v>994</v>
      </c>
      <c r="V746" s="89">
        <v>0</v>
      </c>
      <c r="W746" s="15">
        <v>17897801319956</v>
      </c>
      <c r="X746" s="6">
        <v>0.22500000000000001</v>
      </c>
      <c r="Y746" s="6">
        <v>0.26</v>
      </c>
      <c r="Z746" s="6">
        <v>0.30499999999999999</v>
      </c>
      <c r="AA746" s="6">
        <f t="shared" si="39"/>
        <v>1.7842500000000001E-2</v>
      </c>
      <c r="AB746" s="8">
        <v>280</v>
      </c>
      <c r="AC746" s="15">
        <v>27897801319953</v>
      </c>
      <c r="AD746" s="4" t="s">
        <v>992</v>
      </c>
    </row>
    <row r="747" spans="2:30" x14ac:dyDescent="0.35">
      <c r="B747" s="14">
        <v>1364</v>
      </c>
      <c r="C747" s="4" t="s">
        <v>725</v>
      </c>
      <c r="D747" s="4" t="s">
        <v>2384</v>
      </c>
      <c r="E747" s="4" t="s">
        <v>2912</v>
      </c>
      <c r="F747" s="4" t="s">
        <v>85</v>
      </c>
      <c r="G747" s="4" t="s">
        <v>1014</v>
      </c>
      <c r="H747" s="6">
        <v>5.45E-2</v>
      </c>
      <c r="I747" s="8">
        <v>40</v>
      </c>
      <c r="J747" s="8">
        <v>40</v>
      </c>
      <c r="K747" s="8">
        <v>40</v>
      </c>
      <c r="L747" s="8">
        <f t="shared" si="38"/>
        <v>64000</v>
      </c>
      <c r="M747" s="15">
        <v>7897801319966</v>
      </c>
      <c r="N747" s="6" t="s">
        <v>20</v>
      </c>
      <c r="O747" s="6" t="s">
        <v>20</v>
      </c>
      <c r="P747" s="6" t="s">
        <v>20</v>
      </c>
      <c r="Q747" s="6">
        <v>0.14000000000000001</v>
      </c>
      <c r="R747" s="6">
        <v>4.4999999999999998E-2</v>
      </c>
      <c r="S747" s="6">
        <v>0.14000000000000001</v>
      </c>
      <c r="T747" s="8">
        <v>10</v>
      </c>
      <c r="U747" s="5" t="s">
        <v>994</v>
      </c>
      <c r="V747" s="89">
        <v>0</v>
      </c>
      <c r="W747" s="15">
        <v>17897801319963</v>
      </c>
      <c r="X747" s="6">
        <v>0.22500000000000001</v>
      </c>
      <c r="Y747" s="6">
        <v>0.26</v>
      </c>
      <c r="Z747" s="6">
        <v>0.30499999999999999</v>
      </c>
      <c r="AA747" s="6">
        <f t="shared" si="39"/>
        <v>1.7842500000000001E-2</v>
      </c>
      <c r="AB747" s="8">
        <v>200</v>
      </c>
      <c r="AC747" s="15">
        <v>27897801319960</v>
      </c>
      <c r="AD747" s="4" t="s">
        <v>992</v>
      </c>
    </row>
    <row r="748" spans="2:30" x14ac:dyDescent="0.35">
      <c r="B748" s="14">
        <v>1365</v>
      </c>
      <c r="C748" s="4" t="s">
        <v>726</v>
      </c>
      <c r="D748" s="4" t="s">
        <v>2384</v>
      </c>
      <c r="E748" s="4" t="s">
        <v>2912</v>
      </c>
      <c r="F748" s="4" t="s">
        <v>85</v>
      </c>
      <c r="G748" s="4" t="s">
        <v>1014</v>
      </c>
      <c r="H748" s="6">
        <v>9.0700000000000003E-2</v>
      </c>
      <c r="I748" s="8">
        <v>50</v>
      </c>
      <c r="J748" s="8">
        <v>48</v>
      </c>
      <c r="K748" s="8">
        <v>50</v>
      </c>
      <c r="L748" s="8">
        <f t="shared" si="38"/>
        <v>120000</v>
      </c>
      <c r="M748" s="15">
        <v>7897801319973</v>
      </c>
      <c r="N748" s="6" t="s">
        <v>20</v>
      </c>
      <c r="O748" s="6" t="s">
        <v>20</v>
      </c>
      <c r="P748" s="6" t="s">
        <v>20</v>
      </c>
      <c r="Q748" s="6">
        <v>0.18</v>
      </c>
      <c r="R748" s="6">
        <v>5.5E-2</v>
      </c>
      <c r="S748" s="6">
        <v>0.18</v>
      </c>
      <c r="T748" s="8">
        <v>10</v>
      </c>
      <c r="U748" s="5" t="s">
        <v>994</v>
      </c>
      <c r="V748" s="89">
        <v>0</v>
      </c>
      <c r="W748" s="15">
        <v>17897801319970</v>
      </c>
      <c r="X748" s="6">
        <v>0.22500000000000001</v>
      </c>
      <c r="Y748" s="6">
        <v>0.26</v>
      </c>
      <c r="Z748" s="6">
        <v>0.30499999999999999</v>
      </c>
      <c r="AA748" s="6">
        <f t="shared" si="39"/>
        <v>1.7842500000000001E-2</v>
      </c>
      <c r="AB748" s="8">
        <v>110</v>
      </c>
      <c r="AC748" s="15">
        <v>27897801319977</v>
      </c>
      <c r="AD748" s="4" t="s">
        <v>992</v>
      </c>
    </row>
    <row r="749" spans="2:30" x14ac:dyDescent="0.35">
      <c r="B749" s="14">
        <v>1366</v>
      </c>
      <c r="C749" s="4" t="s">
        <v>727</v>
      </c>
      <c r="D749" s="4" t="s">
        <v>2384</v>
      </c>
      <c r="E749" s="4" t="s">
        <v>2912</v>
      </c>
      <c r="F749" s="4" t="s">
        <v>85</v>
      </c>
      <c r="G749" s="4" t="s">
        <v>993</v>
      </c>
      <c r="H749" s="6">
        <v>1.61E-2</v>
      </c>
      <c r="I749" s="8">
        <v>20</v>
      </c>
      <c r="J749" s="8">
        <v>34.5</v>
      </c>
      <c r="K749" s="8">
        <v>48.5</v>
      </c>
      <c r="L749" s="8">
        <f t="shared" ref="L749:L773" si="40">J749*I749*K749</f>
        <v>33465</v>
      </c>
      <c r="M749" s="15">
        <v>7897801319980</v>
      </c>
      <c r="N749" s="6" t="s">
        <v>20</v>
      </c>
      <c r="O749" s="6" t="s">
        <v>20</v>
      </c>
      <c r="P749" s="6" t="s">
        <v>20</v>
      </c>
      <c r="Q749" s="6">
        <v>14</v>
      </c>
      <c r="R749" s="6">
        <v>2.1000000000000001E-2</v>
      </c>
      <c r="S749" s="6">
        <v>0.13500000000000001</v>
      </c>
      <c r="T749" s="8">
        <v>10</v>
      </c>
      <c r="U749" s="5" t="s">
        <v>994</v>
      </c>
      <c r="V749" s="89">
        <v>0</v>
      </c>
      <c r="W749" s="15">
        <v>17897801319987</v>
      </c>
      <c r="X749" s="6">
        <v>0.72</v>
      </c>
      <c r="Y749" s="6">
        <v>0.19</v>
      </c>
      <c r="Z749" s="6">
        <v>0.49</v>
      </c>
      <c r="AA749" s="6">
        <f t="shared" ref="AA749:AA773" si="41">Y749*X749*Z749</f>
        <v>6.7031999999999994E-2</v>
      </c>
      <c r="AB749" s="8">
        <v>1200</v>
      </c>
      <c r="AC749" s="15">
        <v>27897801319984</v>
      </c>
      <c r="AD749" s="4" t="s">
        <v>992</v>
      </c>
    </row>
    <row r="750" spans="2:30" x14ac:dyDescent="0.35">
      <c r="B750" s="14">
        <v>1367</v>
      </c>
      <c r="C750" s="4" t="s">
        <v>728</v>
      </c>
      <c r="D750" s="4" t="s">
        <v>2384</v>
      </c>
      <c r="E750" s="4" t="s">
        <v>2912</v>
      </c>
      <c r="F750" s="4" t="s">
        <v>85</v>
      </c>
      <c r="G750" s="4" t="s">
        <v>993</v>
      </c>
      <c r="H750" s="6">
        <v>3.2000000000000001E-2</v>
      </c>
      <c r="I750" s="8">
        <v>27</v>
      </c>
      <c r="J750" s="8">
        <v>65</v>
      </c>
      <c r="K750" s="8">
        <v>48</v>
      </c>
      <c r="L750" s="8">
        <f t="shared" si="40"/>
        <v>84240</v>
      </c>
      <c r="M750" s="15">
        <v>7897801319997</v>
      </c>
      <c r="N750" s="6" t="s">
        <v>20</v>
      </c>
      <c r="O750" s="6" t="s">
        <v>20</v>
      </c>
      <c r="P750" s="6" t="s">
        <v>20</v>
      </c>
      <c r="Q750" s="6">
        <v>0.18</v>
      </c>
      <c r="R750" s="6">
        <v>2.8000000000000001E-2</v>
      </c>
      <c r="S750" s="6">
        <v>0.18</v>
      </c>
      <c r="T750" s="8">
        <v>10</v>
      </c>
      <c r="U750" s="5" t="s">
        <v>994</v>
      </c>
      <c r="V750" s="89">
        <v>0</v>
      </c>
      <c r="W750" s="15">
        <v>17897801319994</v>
      </c>
      <c r="X750" s="6">
        <v>0.72</v>
      </c>
      <c r="Y750" s="6">
        <v>0.17</v>
      </c>
      <c r="Z750" s="6">
        <v>0.47</v>
      </c>
      <c r="AA750" s="6">
        <f t="shared" si="41"/>
        <v>5.7528000000000003E-2</v>
      </c>
      <c r="AB750" s="8">
        <v>500</v>
      </c>
      <c r="AC750" s="15">
        <v>27897801319991</v>
      </c>
      <c r="AD750" s="4" t="s">
        <v>992</v>
      </c>
    </row>
    <row r="751" spans="2:30" x14ac:dyDescent="0.35">
      <c r="B751" s="14">
        <v>1368</v>
      </c>
      <c r="C751" s="4" t="s">
        <v>729</v>
      </c>
      <c r="D751" s="4" t="s">
        <v>2384</v>
      </c>
      <c r="E751" s="4" t="s">
        <v>2912</v>
      </c>
      <c r="F751" s="4" t="s">
        <v>85</v>
      </c>
      <c r="G751" s="4" t="s">
        <v>993</v>
      </c>
      <c r="H751" s="6">
        <v>5.5E-2</v>
      </c>
      <c r="I751" s="8">
        <v>34</v>
      </c>
      <c r="J751" s="8">
        <v>81</v>
      </c>
      <c r="K751" s="8">
        <v>58</v>
      </c>
      <c r="L751" s="8">
        <f t="shared" si="40"/>
        <v>159732</v>
      </c>
      <c r="M751" s="15">
        <v>7897801320009</v>
      </c>
      <c r="N751" s="6" t="s">
        <v>20</v>
      </c>
      <c r="O751" s="6" t="s">
        <v>20</v>
      </c>
      <c r="P751" s="6" t="s">
        <v>20</v>
      </c>
      <c r="Q751" s="6">
        <v>0.23</v>
      </c>
      <c r="R751" s="6">
        <v>3.5999999999999997E-2</v>
      </c>
      <c r="S751" s="6">
        <v>0.23</v>
      </c>
      <c r="T751" s="8">
        <v>10</v>
      </c>
      <c r="U751" s="5" t="s">
        <v>994</v>
      </c>
      <c r="V751" s="89">
        <v>0</v>
      </c>
      <c r="W751" s="15">
        <v>17897801320006</v>
      </c>
      <c r="X751" s="6">
        <v>0.72</v>
      </c>
      <c r="Y751" s="6">
        <v>0.19</v>
      </c>
      <c r="Z751" s="6">
        <v>0.49</v>
      </c>
      <c r="AA751" s="6">
        <f t="shared" si="41"/>
        <v>6.7031999999999994E-2</v>
      </c>
      <c r="AB751" s="8">
        <v>250</v>
      </c>
      <c r="AC751" s="15">
        <v>27897801320003</v>
      </c>
      <c r="AD751" s="4" t="s">
        <v>992</v>
      </c>
    </row>
    <row r="752" spans="2:30" x14ac:dyDescent="0.35">
      <c r="B752" s="14">
        <v>1369</v>
      </c>
      <c r="C752" s="4" t="s">
        <v>730</v>
      </c>
      <c r="D752" s="4" t="s">
        <v>2384</v>
      </c>
      <c r="E752" s="4" t="s">
        <v>2912</v>
      </c>
      <c r="F752" s="4" t="s">
        <v>85</v>
      </c>
      <c r="G752" s="4" t="s">
        <v>1014</v>
      </c>
      <c r="H752" s="6">
        <v>0.1191</v>
      </c>
      <c r="I752" s="8">
        <v>132</v>
      </c>
      <c r="J752" s="8">
        <v>81.5</v>
      </c>
      <c r="K752" s="8">
        <v>32</v>
      </c>
      <c r="L752" s="8">
        <f t="shared" si="40"/>
        <v>344256</v>
      </c>
      <c r="M752" s="15">
        <v>7897801320016</v>
      </c>
      <c r="N752" s="6" t="s">
        <v>20</v>
      </c>
      <c r="O752" s="6" t="s">
        <v>20</v>
      </c>
      <c r="P752" s="6" t="s">
        <v>20</v>
      </c>
      <c r="Q752" s="6">
        <v>0.26</v>
      </c>
      <c r="R752" s="6">
        <v>7.0000000000000007E-2</v>
      </c>
      <c r="S752" s="6">
        <v>0.23</v>
      </c>
      <c r="T752" s="8">
        <v>10</v>
      </c>
      <c r="U752" s="5" t="s">
        <v>994</v>
      </c>
      <c r="V752" s="89">
        <v>0</v>
      </c>
      <c r="W752" s="15">
        <v>17897801320013</v>
      </c>
      <c r="X752" s="6">
        <v>0.255</v>
      </c>
      <c r="Y752" s="6">
        <v>0.255</v>
      </c>
      <c r="Z752" s="6">
        <v>0.33</v>
      </c>
      <c r="AA752" s="6">
        <f t="shared" si="41"/>
        <v>2.1458250000000002E-2</v>
      </c>
      <c r="AB752" s="8">
        <v>70</v>
      </c>
      <c r="AC752" s="15">
        <v>27897801320010</v>
      </c>
      <c r="AD752" s="4" t="s">
        <v>992</v>
      </c>
    </row>
    <row r="753" spans="2:30" x14ac:dyDescent="0.35">
      <c r="B753" s="14">
        <v>1370</v>
      </c>
      <c r="C753" s="4" t="s">
        <v>731</v>
      </c>
      <c r="D753" s="4" t="s">
        <v>2384</v>
      </c>
      <c r="E753" s="4" t="s">
        <v>2912</v>
      </c>
      <c r="F753" s="4" t="s">
        <v>85</v>
      </c>
      <c r="G753" s="4" t="s">
        <v>1014</v>
      </c>
      <c r="H753" s="6">
        <v>0.17019999999999999</v>
      </c>
      <c r="I753" s="8">
        <v>132</v>
      </c>
      <c r="J753" s="8">
        <v>85.5</v>
      </c>
      <c r="K753" s="8">
        <v>39.5</v>
      </c>
      <c r="L753" s="8">
        <f t="shared" si="40"/>
        <v>445797</v>
      </c>
      <c r="M753" s="15">
        <v>7897801320023</v>
      </c>
      <c r="N753" s="6" t="s">
        <v>20</v>
      </c>
      <c r="O753" s="6" t="s">
        <v>20</v>
      </c>
      <c r="P753" s="6" t="s">
        <v>20</v>
      </c>
      <c r="Q753" s="6">
        <v>0.28000000000000003</v>
      </c>
      <c r="R753" s="6">
        <v>0.09</v>
      </c>
      <c r="S753" s="6">
        <v>0.23</v>
      </c>
      <c r="T753" s="8">
        <v>10</v>
      </c>
      <c r="U753" s="5" t="s">
        <v>994</v>
      </c>
      <c r="V753" s="89">
        <v>0</v>
      </c>
      <c r="W753" s="15">
        <v>17897801320020</v>
      </c>
      <c r="X753" s="6">
        <v>0.255</v>
      </c>
      <c r="Y753" s="6">
        <v>0.255</v>
      </c>
      <c r="Z753" s="6">
        <v>0.33</v>
      </c>
      <c r="AA753" s="6">
        <f t="shared" si="41"/>
        <v>2.1458250000000002E-2</v>
      </c>
      <c r="AB753" s="8">
        <v>50</v>
      </c>
      <c r="AC753" s="15">
        <v>27897801320027</v>
      </c>
      <c r="AD753" s="4" t="s">
        <v>992</v>
      </c>
    </row>
    <row r="754" spans="2:30" x14ac:dyDescent="0.35">
      <c r="B754" s="14">
        <v>1371</v>
      </c>
      <c r="C754" s="4" t="s">
        <v>732</v>
      </c>
      <c r="D754" s="4" t="s">
        <v>2384</v>
      </c>
      <c r="E754" s="4" t="s">
        <v>2912</v>
      </c>
      <c r="F754" s="4" t="s">
        <v>85</v>
      </c>
      <c r="G754" s="4" t="s">
        <v>993</v>
      </c>
      <c r="H754" s="6">
        <v>2.5399999999999999E-2</v>
      </c>
      <c r="I754" s="8">
        <v>27</v>
      </c>
      <c r="J754" s="8">
        <v>65</v>
      </c>
      <c r="K754" s="8">
        <v>41.5</v>
      </c>
      <c r="L754" s="8">
        <f t="shared" si="40"/>
        <v>72832.5</v>
      </c>
      <c r="M754" s="15">
        <v>7897801320030</v>
      </c>
      <c r="N754" s="6" t="s">
        <v>20</v>
      </c>
      <c r="O754" s="6" t="s">
        <v>20</v>
      </c>
      <c r="P754" s="6" t="s">
        <v>20</v>
      </c>
      <c r="Q754" s="6">
        <v>0.15</v>
      </c>
      <c r="R754" s="6">
        <v>3.2000000000000001E-2</v>
      </c>
      <c r="S754" s="6">
        <v>0.18</v>
      </c>
      <c r="T754" s="8">
        <v>10</v>
      </c>
      <c r="U754" s="5" t="s">
        <v>994</v>
      </c>
      <c r="V754" s="89">
        <v>0</v>
      </c>
      <c r="W754" s="15">
        <v>17897801320037</v>
      </c>
      <c r="X754" s="6">
        <v>0.72</v>
      </c>
      <c r="Y754" s="6">
        <v>0.17</v>
      </c>
      <c r="Z754" s="6">
        <v>0.47</v>
      </c>
      <c r="AA754" s="6">
        <f t="shared" si="41"/>
        <v>5.7528000000000003E-2</v>
      </c>
      <c r="AB754" s="8">
        <v>700</v>
      </c>
      <c r="AC754" s="15">
        <v>27897801320034</v>
      </c>
      <c r="AD754" s="4" t="s">
        <v>992</v>
      </c>
    </row>
    <row r="755" spans="2:30" x14ac:dyDescent="0.35">
      <c r="B755" s="14">
        <v>1372</v>
      </c>
      <c r="C755" s="4" t="s">
        <v>733</v>
      </c>
      <c r="D755" s="4" t="s">
        <v>2384</v>
      </c>
      <c r="E755" s="4" t="s">
        <v>2912</v>
      </c>
      <c r="F755" s="4" t="s">
        <v>85</v>
      </c>
      <c r="G755" s="4" t="s">
        <v>993</v>
      </c>
      <c r="H755" s="6">
        <v>4.5999999999999999E-2</v>
      </c>
      <c r="I755" s="8">
        <v>34</v>
      </c>
      <c r="J755" s="8">
        <v>81</v>
      </c>
      <c r="K755" s="8">
        <v>48</v>
      </c>
      <c r="L755" s="8">
        <f t="shared" si="40"/>
        <v>132192</v>
      </c>
      <c r="M755" s="15">
        <v>7897801320047</v>
      </c>
      <c r="N755" s="6" t="s">
        <v>20</v>
      </c>
      <c r="O755" s="6" t="s">
        <v>20</v>
      </c>
      <c r="P755" s="6" t="s">
        <v>20</v>
      </c>
      <c r="Q755" s="6">
        <v>0.2</v>
      </c>
      <c r="R755" s="6">
        <v>0.06</v>
      </c>
      <c r="S755" s="6">
        <v>0.17</v>
      </c>
      <c r="T755" s="8">
        <v>10</v>
      </c>
      <c r="U755" s="5" t="s">
        <v>994</v>
      </c>
      <c r="V755" s="89">
        <v>0</v>
      </c>
      <c r="W755" s="15">
        <v>17897801320044</v>
      </c>
      <c r="X755" s="6">
        <v>0.72</v>
      </c>
      <c r="Y755" s="6">
        <v>0.19</v>
      </c>
      <c r="Z755" s="6">
        <v>0.49</v>
      </c>
      <c r="AA755" s="6">
        <f t="shared" si="41"/>
        <v>6.7031999999999994E-2</v>
      </c>
      <c r="AB755" s="8">
        <v>300</v>
      </c>
      <c r="AC755" s="15">
        <v>27897801320041</v>
      </c>
      <c r="AD755" s="4" t="s">
        <v>992</v>
      </c>
    </row>
    <row r="756" spans="2:30" x14ac:dyDescent="0.35">
      <c r="B756" s="14">
        <v>1373</v>
      </c>
      <c r="C756" s="4" t="s">
        <v>734</v>
      </c>
      <c r="D756" s="4" t="s">
        <v>2384</v>
      </c>
      <c r="E756" s="4" t="s">
        <v>2912</v>
      </c>
      <c r="F756" s="4" t="s">
        <v>85</v>
      </c>
      <c r="G756" s="4" t="s">
        <v>993</v>
      </c>
      <c r="H756" s="6">
        <v>4.7699999999999999E-2</v>
      </c>
      <c r="I756" s="8">
        <v>34</v>
      </c>
      <c r="J756" s="8">
        <v>81</v>
      </c>
      <c r="K756" s="8">
        <v>50</v>
      </c>
      <c r="L756" s="8">
        <f t="shared" si="40"/>
        <v>137700</v>
      </c>
      <c r="M756" s="15">
        <v>7897801320054</v>
      </c>
      <c r="N756" s="6" t="s">
        <v>20</v>
      </c>
      <c r="O756" s="6" t="s">
        <v>20</v>
      </c>
      <c r="P756" s="6" t="s">
        <v>20</v>
      </c>
      <c r="Q756" s="6">
        <v>0.2</v>
      </c>
      <c r="R756" s="6">
        <v>0.06</v>
      </c>
      <c r="S756" s="6">
        <v>0.17</v>
      </c>
      <c r="T756" s="8">
        <v>10</v>
      </c>
      <c r="U756" s="5" t="s">
        <v>994</v>
      </c>
      <c r="V756" s="89">
        <v>0</v>
      </c>
      <c r="W756" s="15">
        <v>17897801320051</v>
      </c>
      <c r="X756" s="6">
        <v>0.72</v>
      </c>
      <c r="Y756" s="6">
        <v>0.19</v>
      </c>
      <c r="Z756" s="6">
        <v>0.49</v>
      </c>
      <c r="AA756" s="6">
        <f t="shared" si="41"/>
        <v>6.7031999999999994E-2</v>
      </c>
      <c r="AB756" s="8">
        <v>300</v>
      </c>
      <c r="AC756" s="15">
        <v>27897801320058</v>
      </c>
      <c r="AD756" s="4" t="s">
        <v>992</v>
      </c>
    </row>
    <row r="757" spans="2:30" x14ac:dyDescent="0.35">
      <c r="B757" s="14">
        <v>1374</v>
      </c>
      <c r="C757" s="4" t="s">
        <v>735</v>
      </c>
      <c r="D757" s="4" t="s">
        <v>2384</v>
      </c>
      <c r="E757" s="4" t="s">
        <v>2912</v>
      </c>
      <c r="F757" s="4" t="s">
        <v>85</v>
      </c>
      <c r="G757" s="4" t="s">
        <v>1014</v>
      </c>
      <c r="H757" s="6">
        <v>4.7E-2</v>
      </c>
      <c r="I757" s="8">
        <v>35</v>
      </c>
      <c r="J757" s="8">
        <v>52</v>
      </c>
      <c r="K757" s="8">
        <v>39</v>
      </c>
      <c r="L757" s="8">
        <f t="shared" si="40"/>
        <v>70980</v>
      </c>
      <c r="M757" s="15">
        <v>7897801320061</v>
      </c>
      <c r="N757" s="6">
        <v>5.1999999999999998E-2</v>
      </c>
      <c r="O757" s="6">
        <v>3.5000000000000003E-2</v>
      </c>
      <c r="P757" s="6">
        <v>3.9E-2</v>
      </c>
      <c r="Q757" s="6">
        <v>0.14000000000000001</v>
      </c>
      <c r="R757" s="6">
        <v>4.2000000000000003E-2</v>
      </c>
      <c r="S757" s="6">
        <v>0.15</v>
      </c>
      <c r="T757" s="8">
        <v>10</v>
      </c>
      <c r="U757" s="5" t="s">
        <v>994</v>
      </c>
      <c r="V757" s="89">
        <v>0</v>
      </c>
      <c r="W757" s="15">
        <v>17897801320068</v>
      </c>
      <c r="X757" s="6">
        <v>0.22500000000000001</v>
      </c>
      <c r="Y757" s="6">
        <v>0.26</v>
      </c>
      <c r="Z757" s="6">
        <v>0.30499999999999999</v>
      </c>
      <c r="AA757" s="6">
        <f t="shared" si="41"/>
        <v>1.7842500000000001E-2</v>
      </c>
      <c r="AB757" s="8">
        <v>200</v>
      </c>
      <c r="AC757" s="15">
        <v>27897801320065</v>
      </c>
      <c r="AD757" s="4" t="s">
        <v>992</v>
      </c>
    </row>
    <row r="758" spans="2:30" x14ac:dyDescent="0.35">
      <c r="B758" s="14">
        <v>1375</v>
      </c>
      <c r="C758" s="4" t="s">
        <v>736</v>
      </c>
      <c r="D758" s="4" t="s">
        <v>2384</v>
      </c>
      <c r="E758" s="4" t="s">
        <v>2912</v>
      </c>
      <c r="F758" s="4" t="s">
        <v>85</v>
      </c>
      <c r="G758" s="4" t="s">
        <v>1014</v>
      </c>
      <c r="H758" s="6">
        <v>6.1600000000000002E-2</v>
      </c>
      <c r="I758" s="8">
        <v>65</v>
      </c>
      <c r="J758" s="8">
        <v>48</v>
      </c>
      <c r="K758" s="8">
        <v>34</v>
      </c>
      <c r="L758" s="8">
        <f t="shared" si="40"/>
        <v>106080</v>
      </c>
      <c r="M758" s="15">
        <v>7897801320078</v>
      </c>
      <c r="N758" s="6">
        <v>6.4000000000000001E-2</v>
      </c>
      <c r="O758" s="6">
        <v>3.5000000000000003E-2</v>
      </c>
      <c r="P758" s="6">
        <v>4.7E-2</v>
      </c>
      <c r="Q758" s="6">
        <v>0.15</v>
      </c>
      <c r="R758" s="6">
        <v>6.5000000000000002E-2</v>
      </c>
      <c r="S758" s="6">
        <v>0.16</v>
      </c>
      <c r="T758" s="8">
        <v>10</v>
      </c>
      <c r="U758" s="5" t="s">
        <v>994</v>
      </c>
      <c r="V758" s="89">
        <v>0</v>
      </c>
      <c r="W758" s="15">
        <v>17897801320075</v>
      </c>
      <c r="X758" s="6">
        <v>0.24</v>
      </c>
      <c r="Y758" s="6">
        <v>0.26</v>
      </c>
      <c r="Z758" s="6">
        <v>0.31</v>
      </c>
      <c r="AA758" s="6">
        <f t="shared" si="41"/>
        <v>1.9344E-2</v>
      </c>
      <c r="AB758" s="8">
        <v>140</v>
      </c>
      <c r="AC758" s="15">
        <v>27897801320072</v>
      </c>
      <c r="AD758" s="4" t="s">
        <v>992</v>
      </c>
    </row>
    <row r="759" spans="2:30" x14ac:dyDescent="0.35">
      <c r="B759" s="14">
        <v>1376</v>
      </c>
      <c r="C759" s="4" t="s">
        <v>737</v>
      </c>
      <c r="D759" s="4" t="s">
        <v>2384</v>
      </c>
      <c r="E759" s="4" t="s">
        <v>2912</v>
      </c>
      <c r="F759" s="4" t="s">
        <v>85</v>
      </c>
      <c r="G759" s="4" t="s">
        <v>1014</v>
      </c>
      <c r="H759" s="6">
        <v>7.0999999999999994E-2</v>
      </c>
      <c r="I759" s="8">
        <v>43</v>
      </c>
      <c r="J759" s="8">
        <v>64</v>
      </c>
      <c r="K759" s="8">
        <v>48</v>
      </c>
      <c r="L759" s="8">
        <f t="shared" si="40"/>
        <v>132096</v>
      </c>
      <c r="M759" s="15">
        <v>7897801320085</v>
      </c>
      <c r="N759" s="6">
        <v>6.4000000000000001E-2</v>
      </c>
      <c r="O759" s="6">
        <v>4.2999999999999997E-2</v>
      </c>
      <c r="P759" s="6">
        <v>4.8000000000000001E-2</v>
      </c>
      <c r="Q759" s="6">
        <v>0.2</v>
      </c>
      <c r="R759" s="6">
        <v>0.05</v>
      </c>
      <c r="S759" s="6">
        <v>0.18</v>
      </c>
      <c r="T759" s="8">
        <v>10</v>
      </c>
      <c r="U759" s="5" t="s">
        <v>994</v>
      </c>
      <c r="V759" s="89">
        <v>0</v>
      </c>
      <c r="W759" s="15">
        <v>17897801320082</v>
      </c>
      <c r="X759" s="6">
        <v>0.22500000000000001</v>
      </c>
      <c r="Y759" s="6">
        <v>0.26</v>
      </c>
      <c r="Z759" s="6">
        <v>0.30499999999999999</v>
      </c>
      <c r="AA759" s="6">
        <f t="shared" si="41"/>
        <v>1.7842500000000001E-2</v>
      </c>
      <c r="AB759" s="8">
        <v>120</v>
      </c>
      <c r="AC759" s="15">
        <v>27897801320089</v>
      </c>
      <c r="AD759" s="4" t="s">
        <v>992</v>
      </c>
    </row>
    <row r="760" spans="2:30" x14ac:dyDescent="0.35">
      <c r="B760" s="14">
        <v>1377</v>
      </c>
      <c r="C760" s="4" t="s">
        <v>738</v>
      </c>
      <c r="D760" s="4" t="s">
        <v>2384</v>
      </c>
      <c r="E760" s="4" t="s">
        <v>2912</v>
      </c>
      <c r="F760" s="4" t="s">
        <v>85</v>
      </c>
      <c r="G760" s="4" t="s">
        <v>1014</v>
      </c>
      <c r="H760" s="6">
        <v>5.0900000000000001E-2</v>
      </c>
      <c r="I760" s="8">
        <v>126.5</v>
      </c>
      <c r="J760" s="8">
        <v>70</v>
      </c>
      <c r="K760" s="8">
        <v>21.5</v>
      </c>
      <c r="L760" s="8">
        <f t="shared" si="40"/>
        <v>190382.5</v>
      </c>
      <c r="M760" s="15">
        <v>7897801320092</v>
      </c>
      <c r="N760" s="6" t="s">
        <v>20</v>
      </c>
      <c r="O760" s="6" t="s">
        <v>20</v>
      </c>
      <c r="P760" s="6" t="s">
        <v>20</v>
      </c>
      <c r="Q760" s="6">
        <v>0.19500000000000001</v>
      </c>
      <c r="R760" s="6">
        <v>0.06</v>
      </c>
      <c r="S760" s="6">
        <v>0.16500000000000001</v>
      </c>
      <c r="T760" s="8">
        <v>10</v>
      </c>
      <c r="U760" s="5" t="s">
        <v>994</v>
      </c>
      <c r="V760" s="89">
        <v>0</v>
      </c>
      <c r="W760" s="15">
        <v>17897801320099</v>
      </c>
      <c r="X760" s="6">
        <v>0.255</v>
      </c>
      <c r="Y760" s="6">
        <v>0.255</v>
      </c>
      <c r="Z760" s="6">
        <v>0.33</v>
      </c>
      <c r="AA760" s="6">
        <f t="shared" si="41"/>
        <v>2.1458250000000002E-2</v>
      </c>
      <c r="AB760" s="8">
        <v>120</v>
      </c>
      <c r="AC760" s="15">
        <v>27897801320096</v>
      </c>
      <c r="AD760" s="4" t="s">
        <v>992</v>
      </c>
    </row>
    <row r="761" spans="2:30" x14ac:dyDescent="0.35">
      <c r="B761" s="14">
        <v>1378</v>
      </c>
      <c r="C761" s="4" t="s">
        <v>739</v>
      </c>
      <c r="D761" s="4" t="s">
        <v>2384</v>
      </c>
      <c r="E761" s="4" t="s">
        <v>2912</v>
      </c>
      <c r="F761" s="4" t="s">
        <v>85</v>
      </c>
      <c r="G761" s="4" t="s">
        <v>1014</v>
      </c>
      <c r="H761" s="6">
        <v>6.8599999999999994E-2</v>
      </c>
      <c r="I761" s="8">
        <v>130.5</v>
      </c>
      <c r="J761" s="8">
        <v>77.5</v>
      </c>
      <c r="K761" s="8">
        <v>27</v>
      </c>
      <c r="L761" s="8">
        <f t="shared" si="40"/>
        <v>273071.25</v>
      </c>
      <c r="M761" s="15">
        <v>7897801320108</v>
      </c>
      <c r="N761" s="6" t="s">
        <v>20</v>
      </c>
      <c r="O761" s="6" t="s">
        <v>20</v>
      </c>
      <c r="P761" s="6" t="s">
        <v>20</v>
      </c>
      <c r="Q761" s="6">
        <v>0.25</v>
      </c>
      <c r="R761" s="6">
        <v>0.05</v>
      </c>
      <c r="S761" s="6">
        <v>0.22</v>
      </c>
      <c r="T761" s="8">
        <v>10</v>
      </c>
      <c r="U761" s="5" t="s">
        <v>994</v>
      </c>
      <c r="V761" s="89">
        <v>0</v>
      </c>
      <c r="W761" s="15">
        <v>17897801320105</v>
      </c>
      <c r="X761" s="6">
        <v>0.255</v>
      </c>
      <c r="Y761" s="6">
        <v>0.255</v>
      </c>
      <c r="Z761" s="6">
        <v>0.33</v>
      </c>
      <c r="AA761" s="6">
        <f t="shared" si="41"/>
        <v>2.1458250000000002E-2</v>
      </c>
      <c r="AB761" s="8">
        <v>70</v>
      </c>
      <c r="AC761" s="15">
        <v>27897801320102</v>
      </c>
      <c r="AD761" s="4" t="s">
        <v>992</v>
      </c>
    </row>
    <row r="762" spans="2:30" x14ac:dyDescent="0.35">
      <c r="B762" s="14">
        <v>1379</v>
      </c>
      <c r="C762" s="4" t="s">
        <v>740</v>
      </c>
      <c r="D762" s="4" t="s">
        <v>2384</v>
      </c>
      <c r="E762" s="4" t="s">
        <v>2912</v>
      </c>
      <c r="F762" s="4" t="s">
        <v>85</v>
      </c>
      <c r="G762" s="4" t="s">
        <v>1014</v>
      </c>
      <c r="H762" s="6">
        <v>2.9499999999999998E-2</v>
      </c>
      <c r="I762" s="8">
        <v>38.5</v>
      </c>
      <c r="J762" s="8">
        <v>43</v>
      </c>
      <c r="K762" s="8">
        <v>38.5</v>
      </c>
      <c r="L762" s="8">
        <f t="shared" si="40"/>
        <v>63736.75</v>
      </c>
      <c r="M762" s="15">
        <v>7897801320115</v>
      </c>
      <c r="N762" s="6" t="s">
        <v>20</v>
      </c>
      <c r="O762" s="6" t="s">
        <v>20</v>
      </c>
      <c r="P762" s="6" t="s">
        <v>20</v>
      </c>
      <c r="Q762" s="6">
        <v>0.13500000000000001</v>
      </c>
      <c r="R762" s="6">
        <v>0.04</v>
      </c>
      <c r="S762" s="6">
        <v>0.14000000000000001</v>
      </c>
      <c r="T762" s="8">
        <v>10</v>
      </c>
      <c r="U762" s="5" t="s">
        <v>994</v>
      </c>
      <c r="V762" s="89">
        <v>0</v>
      </c>
      <c r="W762" s="15">
        <v>17897801320112</v>
      </c>
      <c r="X762" s="6">
        <v>0.255</v>
      </c>
      <c r="Y762" s="6">
        <v>0.255</v>
      </c>
      <c r="Z762" s="6">
        <v>0.33</v>
      </c>
      <c r="AA762" s="6">
        <f t="shared" si="41"/>
        <v>2.1458250000000002E-2</v>
      </c>
      <c r="AB762" s="8">
        <v>720</v>
      </c>
      <c r="AC762" s="15">
        <v>27897801320119</v>
      </c>
      <c r="AD762" s="4" t="s">
        <v>992</v>
      </c>
    </row>
    <row r="763" spans="2:30" x14ac:dyDescent="0.35">
      <c r="B763" s="14">
        <v>1380</v>
      </c>
      <c r="C763" s="4" t="s">
        <v>741</v>
      </c>
      <c r="D763" s="4" t="s">
        <v>2384</v>
      </c>
      <c r="E763" s="4" t="s">
        <v>2912</v>
      </c>
      <c r="F763" s="4" t="s">
        <v>85</v>
      </c>
      <c r="G763" s="4" t="s">
        <v>1014</v>
      </c>
      <c r="H763" s="6">
        <v>4.8000000000000001E-2</v>
      </c>
      <c r="I763" s="8">
        <v>45.5</v>
      </c>
      <c r="J763" s="8">
        <v>47</v>
      </c>
      <c r="K763" s="8">
        <v>45.5</v>
      </c>
      <c r="L763" s="8">
        <f t="shared" si="40"/>
        <v>97301.75</v>
      </c>
      <c r="M763" s="15">
        <v>7897801320122</v>
      </c>
      <c r="N763" s="6" t="s">
        <v>20</v>
      </c>
      <c r="O763" s="6" t="s">
        <v>20</v>
      </c>
      <c r="P763" s="6" t="s">
        <v>20</v>
      </c>
      <c r="Q763" s="6">
        <v>0.14000000000000001</v>
      </c>
      <c r="R763" s="6">
        <v>4.8000000000000001E-2</v>
      </c>
      <c r="S763" s="6">
        <v>0.16500000000000001</v>
      </c>
      <c r="T763" s="8">
        <v>10</v>
      </c>
      <c r="U763" s="5" t="s">
        <v>994</v>
      </c>
      <c r="V763" s="89">
        <v>0</v>
      </c>
      <c r="W763" s="15">
        <v>17897801320129</v>
      </c>
      <c r="X763" s="6">
        <v>0.255</v>
      </c>
      <c r="Y763" s="6">
        <v>0.255</v>
      </c>
      <c r="Z763" s="6">
        <v>0.33</v>
      </c>
      <c r="AA763" s="6">
        <f t="shared" si="41"/>
        <v>2.1458250000000002E-2</v>
      </c>
      <c r="AB763" s="8">
        <v>450</v>
      </c>
      <c r="AC763" s="15">
        <v>27897801320126</v>
      </c>
      <c r="AD763" s="4" t="s">
        <v>992</v>
      </c>
    </row>
    <row r="764" spans="2:30" x14ac:dyDescent="0.35">
      <c r="B764" s="14">
        <v>1381</v>
      </c>
      <c r="C764" s="4" t="s">
        <v>742</v>
      </c>
      <c r="D764" s="4" t="s">
        <v>2384</v>
      </c>
      <c r="E764" s="4" t="s">
        <v>2912</v>
      </c>
      <c r="F764" s="4" t="s">
        <v>85</v>
      </c>
      <c r="G764" s="4" t="s">
        <v>1014</v>
      </c>
      <c r="H764" s="6">
        <v>7.1999999999999995E-2</v>
      </c>
      <c r="I764" s="8">
        <v>54.5</v>
      </c>
      <c r="J764" s="8">
        <v>55.5</v>
      </c>
      <c r="K764" s="8">
        <v>54.5</v>
      </c>
      <c r="L764" s="8">
        <f t="shared" si="40"/>
        <v>164848.875</v>
      </c>
      <c r="M764" s="15">
        <v>7897801320139</v>
      </c>
      <c r="N764" s="6" t="s">
        <v>20</v>
      </c>
      <c r="O764" s="6" t="s">
        <v>20</v>
      </c>
      <c r="P764" s="6" t="s">
        <v>20</v>
      </c>
      <c r="Q764" s="6">
        <v>0.17499999999999999</v>
      </c>
      <c r="R764" s="6">
        <v>0.06</v>
      </c>
      <c r="S764" s="6">
        <v>0.2</v>
      </c>
      <c r="T764" s="8">
        <v>10</v>
      </c>
      <c r="U764" s="5" t="s">
        <v>994</v>
      </c>
      <c r="V764" s="89">
        <v>0</v>
      </c>
      <c r="W764" s="15">
        <v>17897801320136</v>
      </c>
      <c r="X764" s="6">
        <v>0.255</v>
      </c>
      <c r="Y764" s="6">
        <v>0.255</v>
      </c>
      <c r="Z764" s="6">
        <v>0.33</v>
      </c>
      <c r="AA764" s="6">
        <f t="shared" si="41"/>
        <v>2.1458250000000002E-2</v>
      </c>
      <c r="AB764" s="8">
        <v>300</v>
      </c>
      <c r="AC764" s="15">
        <v>27897801320133</v>
      </c>
      <c r="AD764" s="4" t="s">
        <v>992</v>
      </c>
    </row>
    <row r="765" spans="2:30" x14ac:dyDescent="0.35">
      <c r="B765" s="14">
        <v>1382</v>
      </c>
      <c r="C765" s="4" t="s">
        <v>743</v>
      </c>
      <c r="D765" s="4" t="s">
        <v>2384</v>
      </c>
      <c r="E765" s="4" t="s">
        <v>2912</v>
      </c>
      <c r="F765" s="4" t="s">
        <v>85</v>
      </c>
      <c r="G765" s="4" t="s">
        <v>993</v>
      </c>
      <c r="H765" s="6">
        <v>1.9599999999999999E-2</v>
      </c>
      <c r="I765" s="8">
        <v>117.38</v>
      </c>
      <c r="J765" s="8">
        <v>18</v>
      </c>
      <c r="K765" s="8">
        <v>117.38</v>
      </c>
      <c r="L765" s="8">
        <f t="shared" si="40"/>
        <v>248005.15919999999</v>
      </c>
      <c r="M765" s="15">
        <v>7897801320146</v>
      </c>
      <c r="N765" s="6" t="s">
        <v>20</v>
      </c>
      <c r="O765" s="6" t="s">
        <v>20</v>
      </c>
      <c r="P765" s="6" t="s">
        <v>20</v>
      </c>
      <c r="Q765" s="6">
        <v>0.16</v>
      </c>
      <c r="R765" s="6">
        <v>3.5000000000000003E-2</v>
      </c>
      <c r="S765" s="6">
        <v>0.19</v>
      </c>
      <c r="T765" s="8">
        <v>10</v>
      </c>
      <c r="U765" s="5" t="s">
        <v>994</v>
      </c>
      <c r="V765" s="89">
        <v>0</v>
      </c>
      <c r="W765" s="15">
        <v>17897801320143</v>
      </c>
      <c r="X765" s="6">
        <v>0.5</v>
      </c>
      <c r="Y765" s="6">
        <v>0.2</v>
      </c>
      <c r="Z765" s="6">
        <v>0.66</v>
      </c>
      <c r="AA765" s="6">
        <f t="shared" si="41"/>
        <v>6.6000000000000003E-2</v>
      </c>
      <c r="AB765" s="8">
        <v>500</v>
      </c>
      <c r="AC765" s="15">
        <v>27897801320140</v>
      </c>
      <c r="AD765" s="4" t="s">
        <v>992</v>
      </c>
    </row>
    <row r="766" spans="2:30" x14ac:dyDescent="0.35">
      <c r="B766" s="14">
        <v>1383</v>
      </c>
      <c r="C766" s="4" t="s">
        <v>744</v>
      </c>
      <c r="D766" s="4" t="s">
        <v>2384</v>
      </c>
      <c r="E766" s="4" t="s">
        <v>2912</v>
      </c>
      <c r="F766" s="4" t="s">
        <v>85</v>
      </c>
      <c r="G766" s="4" t="s">
        <v>993</v>
      </c>
      <c r="H766" s="6">
        <v>5.0200000000000002E-2</v>
      </c>
      <c r="I766" s="8">
        <v>162.63</v>
      </c>
      <c r="J766" s="8">
        <v>26</v>
      </c>
      <c r="K766" s="8">
        <v>162.63</v>
      </c>
      <c r="L766" s="8">
        <f t="shared" si="40"/>
        <v>687661.43940000003</v>
      </c>
      <c r="M766" s="15">
        <v>7897801320153</v>
      </c>
      <c r="N766" s="6" t="s">
        <v>20</v>
      </c>
      <c r="O766" s="6" t="s">
        <v>20</v>
      </c>
      <c r="P766" s="6" t="s">
        <v>20</v>
      </c>
      <c r="Q766" s="6">
        <v>0.2</v>
      </c>
      <c r="R766" s="6">
        <v>0.05</v>
      </c>
      <c r="S766" s="6">
        <v>0.3</v>
      </c>
      <c r="T766" s="8">
        <v>10</v>
      </c>
      <c r="U766" s="5" t="s">
        <v>994</v>
      </c>
      <c r="V766" s="89">
        <v>0</v>
      </c>
      <c r="W766" s="15">
        <v>17897801320150</v>
      </c>
      <c r="X766" s="6">
        <v>0.47</v>
      </c>
      <c r="Y766" s="6">
        <v>0.23</v>
      </c>
      <c r="Z766" s="6">
        <v>0.7</v>
      </c>
      <c r="AA766" s="6">
        <f t="shared" si="41"/>
        <v>7.5670000000000001E-2</v>
      </c>
      <c r="AB766" s="8">
        <v>300</v>
      </c>
      <c r="AC766" s="15">
        <v>27897801320157</v>
      </c>
      <c r="AD766" s="4" t="s">
        <v>992</v>
      </c>
    </row>
    <row r="767" spans="2:30" x14ac:dyDescent="0.35">
      <c r="B767" s="14">
        <v>1384</v>
      </c>
      <c r="C767" s="4" t="s">
        <v>745</v>
      </c>
      <c r="D767" s="4" t="s">
        <v>2384</v>
      </c>
      <c r="E767" s="4" t="s">
        <v>2912</v>
      </c>
      <c r="F767" s="4" t="s">
        <v>85</v>
      </c>
      <c r="G767" s="4" t="s">
        <v>993</v>
      </c>
      <c r="H767" s="6">
        <v>8.5000000000000006E-2</v>
      </c>
      <c r="I767" s="8">
        <v>203.65</v>
      </c>
      <c r="J767" s="8">
        <v>31.5</v>
      </c>
      <c r="K767" s="8">
        <v>203.65</v>
      </c>
      <c r="L767" s="8">
        <f t="shared" si="40"/>
        <v>1306409.6587500002</v>
      </c>
      <c r="M767" s="15">
        <v>7897801320160</v>
      </c>
      <c r="N767" s="6" t="s">
        <v>20</v>
      </c>
      <c r="O767" s="6" t="s">
        <v>20</v>
      </c>
      <c r="P767" s="6" t="s">
        <v>20</v>
      </c>
      <c r="Q767" s="6">
        <v>0.26</v>
      </c>
      <c r="R767" s="6">
        <v>0.09</v>
      </c>
      <c r="S767" s="6">
        <v>0.22</v>
      </c>
      <c r="T767" s="8">
        <v>10</v>
      </c>
      <c r="U767" s="5" t="s">
        <v>994</v>
      </c>
      <c r="V767" s="89">
        <v>0</v>
      </c>
      <c r="W767" s="15">
        <v>17897801320167</v>
      </c>
      <c r="X767" s="6">
        <v>0.49</v>
      </c>
      <c r="Y767" s="6">
        <v>0.19</v>
      </c>
      <c r="Z767" s="6">
        <v>0.65</v>
      </c>
      <c r="AA767" s="6">
        <f t="shared" si="41"/>
        <v>6.0515000000000006E-2</v>
      </c>
      <c r="AB767" s="8">
        <v>150</v>
      </c>
      <c r="AC767" s="15">
        <v>27897801320164</v>
      </c>
      <c r="AD767" s="4" t="s">
        <v>992</v>
      </c>
    </row>
    <row r="768" spans="2:30" x14ac:dyDescent="0.35">
      <c r="B768" s="14">
        <v>1385</v>
      </c>
      <c r="C768" s="4" t="s">
        <v>746</v>
      </c>
      <c r="D768" s="4" t="s">
        <v>2384</v>
      </c>
      <c r="E768" s="4" t="s">
        <v>2912</v>
      </c>
      <c r="F768" s="4" t="s">
        <v>85</v>
      </c>
      <c r="G768" s="4" t="s">
        <v>993</v>
      </c>
      <c r="H768" s="6">
        <v>2.24E-2</v>
      </c>
      <c r="I768" s="8">
        <v>137</v>
      </c>
      <c r="J768" s="8">
        <v>18</v>
      </c>
      <c r="K768" s="8">
        <v>40</v>
      </c>
      <c r="L768" s="8">
        <f t="shared" si="40"/>
        <v>98640</v>
      </c>
      <c r="M768" s="15">
        <v>7897801320177</v>
      </c>
      <c r="N768" s="6" t="s">
        <v>20</v>
      </c>
      <c r="O768" s="6" t="s">
        <v>20</v>
      </c>
      <c r="P768" s="6" t="s">
        <v>20</v>
      </c>
      <c r="Q768" s="6">
        <v>0.17</v>
      </c>
      <c r="R768" s="6">
        <v>0.04</v>
      </c>
      <c r="S768" s="6">
        <v>0.19</v>
      </c>
      <c r="T768" s="8">
        <v>10</v>
      </c>
      <c r="U768" s="5" t="s">
        <v>994</v>
      </c>
      <c r="V768" s="89">
        <v>0</v>
      </c>
      <c r="W768" s="15">
        <v>17897801320174</v>
      </c>
      <c r="X768" s="6">
        <v>0.5</v>
      </c>
      <c r="Y768" s="6">
        <v>0.2</v>
      </c>
      <c r="Z768" s="6">
        <v>0.72</v>
      </c>
      <c r="AA768" s="6">
        <f t="shared" si="41"/>
        <v>7.1999999999999995E-2</v>
      </c>
      <c r="AB768" s="8">
        <v>500</v>
      </c>
      <c r="AC768" s="15">
        <v>27897801320171</v>
      </c>
      <c r="AD768" s="4" t="s">
        <v>992</v>
      </c>
    </row>
    <row r="769" spans="2:30" x14ac:dyDescent="0.35">
      <c r="B769" s="14">
        <v>1386</v>
      </c>
      <c r="C769" s="4" t="s">
        <v>747</v>
      </c>
      <c r="D769" s="4" t="s">
        <v>2384</v>
      </c>
      <c r="E769" s="4" t="s">
        <v>2912</v>
      </c>
      <c r="F769" s="4" t="s">
        <v>85</v>
      </c>
      <c r="G769" s="4" t="s">
        <v>993</v>
      </c>
      <c r="H769" s="6">
        <v>0.05</v>
      </c>
      <c r="I769" s="8">
        <v>170</v>
      </c>
      <c r="J769" s="8">
        <v>26</v>
      </c>
      <c r="K769" s="8">
        <v>45</v>
      </c>
      <c r="L769" s="8">
        <f t="shared" si="40"/>
        <v>198900</v>
      </c>
      <c r="M769" s="15">
        <v>7897801320184</v>
      </c>
      <c r="N769" s="6" t="s">
        <v>20</v>
      </c>
      <c r="O769" s="6" t="s">
        <v>20</v>
      </c>
      <c r="P769" s="6" t="s">
        <v>20</v>
      </c>
      <c r="Q769" s="6">
        <v>0.22</v>
      </c>
      <c r="R769" s="6">
        <v>0.05</v>
      </c>
      <c r="S769" s="6">
        <v>0.25</v>
      </c>
      <c r="T769" s="8">
        <v>10</v>
      </c>
      <c r="U769" s="5" t="s">
        <v>994</v>
      </c>
      <c r="V769" s="89">
        <v>0</v>
      </c>
      <c r="W769" s="15">
        <v>17897801320181</v>
      </c>
      <c r="X769" s="6">
        <v>0.5</v>
      </c>
      <c r="Y769" s="6">
        <v>0.2</v>
      </c>
      <c r="Z769" s="6">
        <v>0.72</v>
      </c>
      <c r="AA769" s="6">
        <f t="shared" si="41"/>
        <v>7.1999999999999995E-2</v>
      </c>
      <c r="AB769" s="8">
        <v>300</v>
      </c>
      <c r="AC769" s="15">
        <v>27897801320188</v>
      </c>
      <c r="AD769" s="4" t="s">
        <v>992</v>
      </c>
    </row>
    <row r="770" spans="2:30" x14ac:dyDescent="0.35">
      <c r="B770" s="14">
        <v>1387</v>
      </c>
      <c r="C770" s="4" t="s">
        <v>748</v>
      </c>
      <c r="D770" s="4" t="s">
        <v>2426</v>
      </c>
      <c r="E770" s="4" t="s">
        <v>2912</v>
      </c>
      <c r="F770" s="4" t="s">
        <v>85</v>
      </c>
      <c r="G770" s="4" t="s">
        <v>1014</v>
      </c>
      <c r="H770" s="6">
        <v>2.4E-2</v>
      </c>
      <c r="I770" s="8">
        <v>116</v>
      </c>
      <c r="J770" s="8">
        <v>19</v>
      </c>
      <c r="K770" s="8">
        <v>0.3</v>
      </c>
      <c r="L770" s="8">
        <f t="shared" si="40"/>
        <v>661.19999999999993</v>
      </c>
      <c r="M770" s="15">
        <v>7897801320191</v>
      </c>
      <c r="N770" s="6">
        <v>1.9E-2</v>
      </c>
      <c r="O770" s="6">
        <v>0.11600000000000001</v>
      </c>
      <c r="P770" s="6">
        <v>0.03</v>
      </c>
      <c r="Q770" s="6">
        <v>0.12</v>
      </c>
      <c r="R770" s="6">
        <v>0.13500000000000001</v>
      </c>
      <c r="S770" s="6">
        <v>0.22</v>
      </c>
      <c r="T770" s="8">
        <v>48</v>
      </c>
      <c r="U770" s="5" t="s">
        <v>997</v>
      </c>
      <c r="V770" s="89">
        <v>0</v>
      </c>
      <c r="W770" s="15">
        <v>17897801320198</v>
      </c>
      <c r="X770" s="6">
        <v>0.45</v>
      </c>
      <c r="Y770" s="6">
        <v>0.27500000000000002</v>
      </c>
      <c r="Z770" s="6">
        <v>0.6</v>
      </c>
      <c r="AA770" s="6">
        <f t="shared" si="41"/>
        <v>7.425000000000001E-2</v>
      </c>
      <c r="AB770" s="8">
        <v>960</v>
      </c>
      <c r="AC770" s="15">
        <v>27897801320195</v>
      </c>
      <c r="AD770" s="4" t="s">
        <v>1001</v>
      </c>
    </row>
    <row r="771" spans="2:30" x14ac:dyDescent="0.35">
      <c r="B771" s="14">
        <v>1388</v>
      </c>
      <c r="C771" s="4" t="s">
        <v>749</v>
      </c>
      <c r="D771" s="4" t="s">
        <v>2426</v>
      </c>
      <c r="E771" s="4" t="s">
        <v>2912</v>
      </c>
      <c r="F771" s="4" t="s">
        <v>85</v>
      </c>
      <c r="G771" s="4" t="s">
        <v>1014</v>
      </c>
      <c r="H771" s="6">
        <v>0.10630000000000001</v>
      </c>
      <c r="I771" s="8">
        <v>185</v>
      </c>
      <c r="J771" s="8">
        <v>37</v>
      </c>
      <c r="K771" s="8">
        <v>45</v>
      </c>
      <c r="L771" s="8">
        <f t="shared" si="40"/>
        <v>308025</v>
      </c>
      <c r="M771" s="15">
        <v>7897801320207</v>
      </c>
      <c r="N771" s="6">
        <v>3.6999999999999998E-2</v>
      </c>
      <c r="O771" s="6">
        <v>0.185</v>
      </c>
      <c r="P771" s="6">
        <v>4.4999999999999998E-2</v>
      </c>
      <c r="Q771" s="6">
        <v>0.15</v>
      </c>
      <c r="R771" s="6">
        <v>0.19</v>
      </c>
      <c r="S771" s="6">
        <v>0.27</v>
      </c>
      <c r="T771" s="8">
        <v>24</v>
      </c>
      <c r="U771" s="5" t="s">
        <v>997</v>
      </c>
      <c r="V771" s="89">
        <v>0</v>
      </c>
      <c r="W771" s="15">
        <v>17897801320204</v>
      </c>
      <c r="X771" s="6">
        <v>0.315</v>
      </c>
      <c r="Y771" s="6">
        <v>0.4</v>
      </c>
      <c r="Z771" s="6">
        <v>0.56000000000000005</v>
      </c>
      <c r="AA771" s="6">
        <f t="shared" si="41"/>
        <v>7.0560000000000012E-2</v>
      </c>
      <c r="AB771" s="8">
        <v>192</v>
      </c>
      <c r="AC771" s="15">
        <v>27897801320201</v>
      </c>
      <c r="AD771" s="4" t="s">
        <v>1001</v>
      </c>
    </row>
    <row r="772" spans="2:30" x14ac:dyDescent="0.35">
      <c r="B772" s="14">
        <v>1389</v>
      </c>
      <c r="C772" s="4" t="s">
        <v>750</v>
      </c>
      <c r="D772" s="4" t="s">
        <v>2426</v>
      </c>
      <c r="E772" s="4" t="s">
        <v>2912</v>
      </c>
      <c r="F772" s="4" t="s">
        <v>85</v>
      </c>
      <c r="G772" s="4" t="s">
        <v>1014</v>
      </c>
      <c r="H772" s="6">
        <v>0.25419999999999998</v>
      </c>
      <c r="I772" s="8">
        <v>68</v>
      </c>
      <c r="J772" s="8">
        <v>103</v>
      </c>
      <c r="K772" s="8">
        <v>68</v>
      </c>
      <c r="L772" s="8">
        <f t="shared" si="40"/>
        <v>476272</v>
      </c>
      <c r="M772" s="15">
        <v>7897801320214</v>
      </c>
      <c r="N772" s="6">
        <v>0.10299999999999999</v>
      </c>
      <c r="O772" s="6">
        <v>6.8000000000000005E-2</v>
      </c>
      <c r="P772" s="6">
        <v>6.8000000000000005E-2</v>
      </c>
      <c r="Q772" s="6">
        <v>0.16</v>
      </c>
      <c r="R772" s="6">
        <v>0.21</v>
      </c>
      <c r="S772" s="6">
        <v>0.20499999999999999</v>
      </c>
      <c r="T772" s="8">
        <v>12</v>
      </c>
      <c r="U772" s="5" t="s">
        <v>997</v>
      </c>
      <c r="V772" s="89">
        <v>0</v>
      </c>
      <c r="W772" s="15">
        <v>17897801320211</v>
      </c>
      <c r="X772" s="6">
        <v>0.37</v>
      </c>
      <c r="Y772" s="6">
        <v>0.44</v>
      </c>
      <c r="Z772" s="6">
        <v>0.48499999999999999</v>
      </c>
      <c r="AA772" s="6">
        <f t="shared" si="41"/>
        <v>7.8958E-2</v>
      </c>
      <c r="AB772" s="8">
        <v>120</v>
      </c>
      <c r="AC772" s="15">
        <v>27897801320218</v>
      </c>
      <c r="AD772" s="4" t="s">
        <v>1001</v>
      </c>
    </row>
    <row r="773" spans="2:30" x14ac:dyDescent="0.35">
      <c r="B773" s="14">
        <v>1390</v>
      </c>
      <c r="C773" s="4" t="s">
        <v>751</v>
      </c>
      <c r="D773" s="4" t="s">
        <v>2426</v>
      </c>
      <c r="E773" s="4" t="s">
        <v>2912</v>
      </c>
      <c r="F773" s="4" t="s">
        <v>85</v>
      </c>
      <c r="G773" s="4" t="s">
        <v>1014</v>
      </c>
      <c r="H773" s="6">
        <v>0.85</v>
      </c>
      <c r="I773" s="8">
        <v>94</v>
      </c>
      <c r="J773" s="8">
        <v>220</v>
      </c>
      <c r="K773" s="8">
        <v>94</v>
      </c>
      <c r="L773" s="8">
        <f t="shared" si="40"/>
        <v>1943920</v>
      </c>
      <c r="M773" s="15">
        <v>7897801320221</v>
      </c>
      <c r="N773" s="6">
        <v>0.22</v>
      </c>
      <c r="O773" s="6">
        <v>9.4E-2</v>
      </c>
      <c r="P773" s="6">
        <v>9.4E-2</v>
      </c>
      <c r="Q773" s="6">
        <v>0.20499999999999999</v>
      </c>
      <c r="R773" s="6">
        <v>0.24199999999999999</v>
      </c>
      <c r="S773" s="6">
        <v>0.28499999999999998</v>
      </c>
      <c r="T773" s="8">
        <v>6</v>
      </c>
      <c r="U773" s="5" t="s">
        <v>1022</v>
      </c>
      <c r="V773" s="89">
        <v>0</v>
      </c>
      <c r="W773" s="15">
        <v>17897801320228</v>
      </c>
      <c r="X773" s="6">
        <v>0.29499999999999998</v>
      </c>
      <c r="Y773" s="6">
        <v>0.255</v>
      </c>
      <c r="Z773" s="6">
        <v>0.60499999999999998</v>
      </c>
      <c r="AA773" s="6">
        <f t="shared" si="41"/>
        <v>4.5511124999999999E-2</v>
      </c>
      <c r="AB773" s="8">
        <v>18</v>
      </c>
      <c r="AC773" s="15">
        <v>27897801320225</v>
      </c>
      <c r="AD773" s="4" t="s">
        <v>1001</v>
      </c>
    </row>
    <row r="774" spans="2:30" x14ac:dyDescent="0.35">
      <c r="B774" s="18">
        <v>1400</v>
      </c>
      <c r="C774" s="24" t="s">
        <v>2427</v>
      </c>
      <c r="D774" s="24" t="s">
        <v>2370</v>
      </c>
      <c r="E774" s="24" t="s">
        <v>2913</v>
      </c>
      <c r="F774" s="4" t="s">
        <v>85</v>
      </c>
      <c r="G774" s="4" t="s">
        <v>1012</v>
      </c>
      <c r="H774" s="6">
        <v>3.6700000000000003E-2</v>
      </c>
      <c r="I774" s="8">
        <v>64</v>
      </c>
      <c r="J774" s="8">
        <v>50</v>
      </c>
      <c r="K774" s="8">
        <v>50</v>
      </c>
      <c r="L774" s="8">
        <v>160000</v>
      </c>
      <c r="M774" s="15">
        <v>7897801322645</v>
      </c>
      <c r="N774" s="6" t="s">
        <v>20</v>
      </c>
      <c r="O774" s="6" t="s">
        <v>20</v>
      </c>
      <c r="P774" s="6" t="s">
        <v>20</v>
      </c>
      <c r="Q774" s="6">
        <v>0.155</v>
      </c>
      <c r="R774" s="6">
        <v>6.4000000000000001E-2</v>
      </c>
      <c r="S774" s="6">
        <v>0.245</v>
      </c>
      <c r="T774" s="8">
        <v>10</v>
      </c>
      <c r="U774" s="5" t="s">
        <v>994</v>
      </c>
      <c r="V774" s="89">
        <v>0</v>
      </c>
      <c r="W774" s="15">
        <v>17897801322642</v>
      </c>
      <c r="X774" s="6">
        <v>0.57999999999999996</v>
      </c>
      <c r="Y774" s="6">
        <v>0.22</v>
      </c>
      <c r="Z774" s="6">
        <v>0.8</v>
      </c>
      <c r="AA774" s="6">
        <v>0.1021</v>
      </c>
      <c r="AB774" s="8">
        <v>400</v>
      </c>
      <c r="AC774" s="15">
        <v>27897801322649</v>
      </c>
      <c r="AD774" s="4" t="s">
        <v>992</v>
      </c>
    </row>
    <row r="775" spans="2:30" x14ac:dyDescent="0.35">
      <c r="B775" s="18">
        <v>1401</v>
      </c>
      <c r="C775" s="24" t="s">
        <v>2351</v>
      </c>
      <c r="D775" s="24" t="s">
        <v>2370</v>
      </c>
      <c r="E775" s="24" t="s">
        <v>2913</v>
      </c>
      <c r="F775" s="4" t="s">
        <v>85</v>
      </c>
      <c r="G775" s="4" t="s">
        <v>993</v>
      </c>
      <c r="H775" s="6">
        <v>1.52E-2</v>
      </c>
      <c r="I775" s="8">
        <v>47</v>
      </c>
      <c r="J775" s="8">
        <v>29</v>
      </c>
      <c r="K775" s="8">
        <v>47</v>
      </c>
      <c r="L775" s="8">
        <v>64061</v>
      </c>
      <c r="M775" s="15">
        <v>7897801322638</v>
      </c>
      <c r="N775" s="6" t="s">
        <v>20</v>
      </c>
      <c r="O775" s="6" t="s">
        <v>20</v>
      </c>
      <c r="P775" s="6" t="s">
        <v>20</v>
      </c>
      <c r="Q775" s="6">
        <v>0.17</v>
      </c>
      <c r="R775" s="6">
        <v>2.9000000000000001E-2</v>
      </c>
      <c r="S775" s="6">
        <v>0.12</v>
      </c>
      <c r="T775" s="8">
        <v>5</v>
      </c>
      <c r="U775" s="5" t="s">
        <v>994</v>
      </c>
      <c r="V775" s="89">
        <v>0</v>
      </c>
      <c r="W775" s="15">
        <v>17897801322635</v>
      </c>
      <c r="X775" s="6">
        <v>0.46</v>
      </c>
      <c r="Y775" s="6">
        <v>0.32</v>
      </c>
      <c r="Z775" s="6">
        <v>0.68</v>
      </c>
      <c r="AA775" s="6">
        <v>0.100096</v>
      </c>
      <c r="AB775" s="8">
        <v>500</v>
      </c>
      <c r="AC775" s="15">
        <v>27897801322632</v>
      </c>
      <c r="AD775" s="4" t="s">
        <v>992</v>
      </c>
    </row>
    <row r="776" spans="2:30" x14ac:dyDescent="0.35">
      <c r="B776" s="18">
        <v>1402</v>
      </c>
      <c r="C776" s="24" t="s">
        <v>2343</v>
      </c>
      <c r="D776" s="24" t="s">
        <v>2370</v>
      </c>
      <c r="E776" s="24" t="s">
        <v>2913</v>
      </c>
      <c r="F776" s="4" t="s">
        <v>85</v>
      </c>
      <c r="G776" s="4" t="s">
        <v>993</v>
      </c>
      <c r="H776" s="6">
        <v>3.6299999999999999E-2</v>
      </c>
      <c r="I776" s="8">
        <v>65</v>
      </c>
      <c r="J776" s="8">
        <v>42</v>
      </c>
      <c r="K776" s="8">
        <v>65</v>
      </c>
      <c r="L776" s="8">
        <v>177450</v>
      </c>
      <c r="M776" s="15">
        <v>7897801322386</v>
      </c>
      <c r="N776" s="6" t="s">
        <v>20</v>
      </c>
      <c r="O776" s="6" t="s">
        <v>20</v>
      </c>
      <c r="P776" s="6" t="s">
        <v>20</v>
      </c>
      <c r="Q776" s="6">
        <v>0.18</v>
      </c>
      <c r="R776" s="6">
        <v>0.43</v>
      </c>
      <c r="S776" s="6">
        <v>0.23</v>
      </c>
      <c r="T776" s="8">
        <v>5</v>
      </c>
      <c r="U776" s="5" t="s">
        <v>994</v>
      </c>
      <c r="V776" s="89">
        <v>0</v>
      </c>
      <c r="W776" s="15">
        <v>17897801322383</v>
      </c>
      <c r="X776" s="6">
        <v>0.61</v>
      </c>
      <c r="Y776" s="6">
        <v>0.22</v>
      </c>
      <c r="Z776" s="6">
        <v>0.76</v>
      </c>
      <c r="AA776" s="6">
        <v>0.10199199999999999</v>
      </c>
      <c r="AB776" s="8">
        <v>420</v>
      </c>
      <c r="AC776" s="15">
        <v>27897801322380</v>
      </c>
      <c r="AD776" s="4" t="s">
        <v>992</v>
      </c>
    </row>
    <row r="777" spans="2:30" x14ac:dyDescent="0.35">
      <c r="B777" s="18">
        <v>1403</v>
      </c>
      <c r="C777" s="24" t="s">
        <v>2344</v>
      </c>
      <c r="D777" s="24" t="s">
        <v>2370</v>
      </c>
      <c r="E777" s="24" t="s">
        <v>2913</v>
      </c>
      <c r="F777" s="4" t="s">
        <v>85</v>
      </c>
      <c r="G777" s="4" t="s">
        <v>993</v>
      </c>
      <c r="H777" s="6">
        <v>7.0800000000000002E-2</v>
      </c>
      <c r="I777" s="8">
        <v>90</v>
      </c>
      <c r="J777" s="8">
        <v>47</v>
      </c>
      <c r="K777" s="8">
        <v>90</v>
      </c>
      <c r="L777" s="8">
        <v>380700</v>
      </c>
      <c r="M777" s="15">
        <v>7897801322379</v>
      </c>
      <c r="N777" s="6" t="s">
        <v>20</v>
      </c>
      <c r="O777" s="6" t="s">
        <v>20</v>
      </c>
      <c r="P777" s="6" t="s">
        <v>20</v>
      </c>
      <c r="Q777" s="6">
        <v>0.21</v>
      </c>
      <c r="R777" s="6">
        <v>0.92</v>
      </c>
      <c r="S777" s="6">
        <v>0.26</v>
      </c>
      <c r="T777" s="8">
        <v>10</v>
      </c>
      <c r="U777" s="5" t="s">
        <v>994</v>
      </c>
      <c r="V777" s="89">
        <v>0</v>
      </c>
      <c r="W777" s="15">
        <v>17897801322376</v>
      </c>
      <c r="X777" s="6">
        <v>0.55000000000000004</v>
      </c>
      <c r="Y777" s="6">
        <v>0.22</v>
      </c>
      <c r="Z777" s="6">
        <v>0.75</v>
      </c>
      <c r="AA777" s="6">
        <v>9.0750000000000011E-2</v>
      </c>
      <c r="AB777" s="8">
        <v>200</v>
      </c>
      <c r="AC777" s="15">
        <v>27897801322373</v>
      </c>
      <c r="AD777" s="4" t="s">
        <v>992</v>
      </c>
    </row>
    <row r="778" spans="2:30" x14ac:dyDescent="0.35">
      <c r="B778" s="18">
        <v>1404</v>
      </c>
      <c r="C778" s="24" t="s">
        <v>2333</v>
      </c>
      <c r="D778" s="24" t="s">
        <v>2370</v>
      </c>
      <c r="E778" s="24" t="s">
        <v>2913</v>
      </c>
      <c r="F778" s="4" t="s">
        <v>85</v>
      </c>
      <c r="G778" s="4" t="s">
        <v>993</v>
      </c>
      <c r="H778" s="6">
        <v>0.1245</v>
      </c>
      <c r="I778" s="8">
        <v>115</v>
      </c>
      <c r="J778" s="8">
        <v>49</v>
      </c>
      <c r="K778" s="8">
        <v>115</v>
      </c>
      <c r="L778" s="28">
        <v>648025</v>
      </c>
      <c r="M778" s="15">
        <v>7897801322317</v>
      </c>
      <c r="N778" s="6" t="s">
        <v>20</v>
      </c>
      <c r="O778" s="6" t="s">
        <v>20</v>
      </c>
      <c r="P778" s="6" t="s">
        <v>20</v>
      </c>
      <c r="Q778" s="6">
        <v>0.42</v>
      </c>
      <c r="R778" s="6">
        <v>5.5E-2</v>
      </c>
      <c r="S778" s="6">
        <v>0.5</v>
      </c>
      <c r="T778" s="8">
        <v>10</v>
      </c>
      <c r="U778" s="5" t="s">
        <v>994</v>
      </c>
      <c r="V778" s="89">
        <v>0</v>
      </c>
      <c r="W778" s="15">
        <v>17897801322314</v>
      </c>
      <c r="X778" s="6" t="s">
        <v>20</v>
      </c>
      <c r="Y778" s="6" t="s">
        <v>20</v>
      </c>
      <c r="Z778" s="6" t="s">
        <v>20</v>
      </c>
      <c r="AA778" s="6" t="s">
        <v>20</v>
      </c>
      <c r="AB778" s="6" t="s">
        <v>20</v>
      </c>
      <c r="AC778" s="6" t="s">
        <v>20</v>
      </c>
      <c r="AD778" s="4" t="s">
        <v>992</v>
      </c>
    </row>
    <row r="779" spans="2:30" x14ac:dyDescent="0.35">
      <c r="B779" s="18">
        <v>1405</v>
      </c>
      <c r="C779" s="24" t="s">
        <v>2369</v>
      </c>
      <c r="D779" s="24" t="s">
        <v>2370</v>
      </c>
      <c r="E779" s="24" t="s">
        <v>2913</v>
      </c>
      <c r="F779" s="4" t="s">
        <v>85</v>
      </c>
      <c r="G779" s="4" t="s">
        <v>993</v>
      </c>
      <c r="H779" s="6">
        <v>0.30570000000000003</v>
      </c>
      <c r="I779" s="8">
        <v>170</v>
      </c>
      <c r="J779" s="8">
        <v>65</v>
      </c>
      <c r="K779" s="8">
        <v>170</v>
      </c>
      <c r="L779" s="28">
        <v>1878500</v>
      </c>
      <c r="M779" s="15">
        <v>7897801322362</v>
      </c>
      <c r="N779" s="6" t="s">
        <v>20</v>
      </c>
      <c r="O779" s="6" t="s">
        <v>20</v>
      </c>
      <c r="P779" s="6" t="s">
        <v>20</v>
      </c>
      <c r="Q779" s="6">
        <v>0.17</v>
      </c>
      <c r="R779" s="6">
        <v>6.5000000000000002E-2</v>
      </c>
      <c r="S779" s="6">
        <v>0.17</v>
      </c>
      <c r="T779" s="8">
        <v>1</v>
      </c>
      <c r="U779" s="5" t="s">
        <v>994</v>
      </c>
      <c r="V779" s="89">
        <v>0</v>
      </c>
      <c r="W779" s="15">
        <v>17897801322369</v>
      </c>
      <c r="X779" s="6">
        <v>0.39</v>
      </c>
      <c r="Y779" s="6">
        <v>6.8000000000000005E-2</v>
      </c>
      <c r="Z779" s="6">
        <v>0.495</v>
      </c>
      <c r="AA779" s="6">
        <v>1.3100000000000001E-2</v>
      </c>
      <c r="AB779" s="8">
        <v>5</v>
      </c>
      <c r="AC779" s="15">
        <v>27897801322366</v>
      </c>
      <c r="AD779" s="4" t="s">
        <v>992</v>
      </c>
    </row>
    <row r="780" spans="2:30" x14ac:dyDescent="0.35">
      <c r="B780" s="18">
        <v>1407</v>
      </c>
      <c r="C780" s="24" t="s">
        <v>2352</v>
      </c>
      <c r="D780" s="24" t="s">
        <v>2370</v>
      </c>
      <c r="E780" s="24" t="s">
        <v>2913</v>
      </c>
      <c r="F780" s="4" t="s">
        <v>85</v>
      </c>
      <c r="G780" s="4" t="s">
        <v>993</v>
      </c>
      <c r="H780" s="6">
        <v>9.8799999999999999E-2</v>
      </c>
      <c r="I780" s="8">
        <v>166</v>
      </c>
      <c r="J780" s="8">
        <v>646.5</v>
      </c>
      <c r="K780" s="8">
        <v>79</v>
      </c>
      <c r="L780" s="8">
        <v>8478201</v>
      </c>
      <c r="M780" s="15">
        <v>7897801322607</v>
      </c>
      <c r="N780" s="6" t="s">
        <v>20</v>
      </c>
      <c r="O780" s="6" t="s">
        <v>20</v>
      </c>
      <c r="P780" s="6" t="s">
        <v>20</v>
      </c>
      <c r="Q780" s="6">
        <v>0.27</v>
      </c>
      <c r="R780" s="6">
        <v>0.105</v>
      </c>
      <c r="S780" s="6">
        <v>0.37</v>
      </c>
      <c r="T780" s="8">
        <v>10</v>
      </c>
      <c r="U780" s="5" t="s">
        <v>994</v>
      </c>
      <c r="V780" s="89">
        <v>0</v>
      </c>
      <c r="W780" s="15">
        <v>17897801322604</v>
      </c>
      <c r="X780" s="6">
        <v>0.52</v>
      </c>
      <c r="Y780" s="6">
        <v>0.27</v>
      </c>
      <c r="Z780" s="6">
        <v>0.8</v>
      </c>
      <c r="AA780" s="6">
        <v>0.11232000000000003</v>
      </c>
      <c r="AB780" s="8">
        <v>140</v>
      </c>
      <c r="AC780" s="15">
        <v>27897801322601</v>
      </c>
      <c r="AD780" s="4" t="s">
        <v>992</v>
      </c>
    </row>
    <row r="781" spans="2:30" x14ac:dyDescent="0.35">
      <c r="B781" s="18">
        <v>1409</v>
      </c>
      <c r="C781" s="43" t="s">
        <v>2358</v>
      </c>
      <c r="D781" s="24" t="s">
        <v>2370</v>
      </c>
      <c r="E781" s="24" t="s">
        <v>2913</v>
      </c>
      <c r="F781" s="4" t="s">
        <v>85</v>
      </c>
      <c r="G781" s="4" t="s">
        <v>1012</v>
      </c>
      <c r="H781" s="6">
        <v>9.6799999999999997E-2</v>
      </c>
      <c r="I781" s="8">
        <v>166</v>
      </c>
      <c r="J781" s="8">
        <v>79</v>
      </c>
      <c r="K781" s="8">
        <v>65</v>
      </c>
      <c r="L781" s="28">
        <v>852410</v>
      </c>
      <c r="M781" s="15">
        <v>7897801307383</v>
      </c>
      <c r="N781" s="6" t="s">
        <v>20</v>
      </c>
      <c r="O781" s="6" t="s">
        <v>20</v>
      </c>
      <c r="P781" s="6" t="s">
        <v>20</v>
      </c>
      <c r="Q781" s="6">
        <v>0.37</v>
      </c>
      <c r="R781" s="6">
        <v>0.11</v>
      </c>
      <c r="S781" s="6">
        <v>0.17</v>
      </c>
      <c r="T781" s="8">
        <v>10</v>
      </c>
      <c r="U781" s="5" t="s">
        <v>994</v>
      </c>
      <c r="V781" s="89">
        <v>0</v>
      </c>
      <c r="W781" s="15">
        <v>17897801307380</v>
      </c>
      <c r="X781" s="6" t="s">
        <v>20</v>
      </c>
      <c r="Y781" s="6" t="s">
        <v>20</v>
      </c>
      <c r="Z781" s="6" t="s">
        <v>20</v>
      </c>
      <c r="AA781" s="6" t="s">
        <v>20</v>
      </c>
      <c r="AB781" s="6" t="s">
        <v>20</v>
      </c>
      <c r="AC781" s="15">
        <v>27897801307387</v>
      </c>
      <c r="AD781" s="4" t="s">
        <v>992</v>
      </c>
    </row>
    <row r="782" spans="2:30" x14ac:dyDescent="0.35">
      <c r="B782" s="18">
        <v>1410</v>
      </c>
      <c r="C782" s="24" t="s">
        <v>752</v>
      </c>
      <c r="D782" s="24" t="s">
        <v>2370</v>
      </c>
      <c r="E782" s="24" t="s">
        <v>2913</v>
      </c>
      <c r="F782" s="4" t="s">
        <v>85</v>
      </c>
      <c r="G782" s="4" t="s">
        <v>993</v>
      </c>
      <c r="H782" s="6">
        <v>0.3306</v>
      </c>
      <c r="I782" s="8">
        <v>230</v>
      </c>
      <c r="J782" s="8">
        <v>180</v>
      </c>
      <c r="K782" s="8">
        <v>120</v>
      </c>
      <c r="L782" s="8">
        <f>J782*I782*K782</f>
        <v>4968000</v>
      </c>
      <c r="M782" s="15">
        <v>7897801313865</v>
      </c>
      <c r="N782" s="6" t="s">
        <v>20</v>
      </c>
      <c r="O782" s="6" t="s">
        <v>20</v>
      </c>
      <c r="P782" s="6" t="s">
        <v>20</v>
      </c>
      <c r="Q782" s="6">
        <v>0.4</v>
      </c>
      <c r="R782" s="6">
        <v>0.2</v>
      </c>
      <c r="S782" s="6">
        <v>0.56999999999999995</v>
      </c>
      <c r="T782" s="8">
        <v>10</v>
      </c>
      <c r="U782" s="5" t="s">
        <v>994</v>
      </c>
      <c r="V782" s="89">
        <v>0</v>
      </c>
      <c r="W782" s="15">
        <v>17897801313862</v>
      </c>
      <c r="X782" s="6" t="s">
        <v>20</v>
      </c>
      <c r="Y782" s="6" t="s">
        <v>20</v>
      </c>
      <c r="Z782" s="6" t="s">
        <v>20</v>
      </c>
      <c r="AA782" s="6" t="s">
        <v>20</v>
      </c>
      <c r="AB782" s="6" t="s">
        <v>20</v>
      </c>
      <c r="AC782" s="15">
        <v>27897801313869</v>
      </c>
      <c r="AD782" s="4" t="s">
        <v>992</v>
      </c>
    </row>
    <row r="783" spans="2:30" x14ac:dyDescent="0.35">
      <c r="B783" s="18">
        <v>1411</v>
      </c>
      <c r="C783" s="67" t="s">
        <v>2368</v>
      </c>
      <c r="D783" s="24" t="s">
        <v>2370</v>
      </c>
      <c r="E783" s="24" t="s">
        <v>2913</v>
      </c>
      <c r="F783" s="4" t="s">
        <v>85</v>
      </c>
      <c r="G783" s="4" t="s">
        <v>993</v>
      </c>
      <c r="H783" s="6">
        <v>0.88700000000000001</v>
      </c>
      <c r="I783" s="8">
        <v>265</v>
      </c>
      <c r="J783" s="8">
        <v>265</v>
      </c>
      <c r="K783" s="8">
        <v>170</v>
      </c>
      <c r="L783" s="28">
        <v>11938250</v>
      </c>
      <c r="M783" s="15">
        <v>7897801322720</v>
      </c>
      <c r="N783" s="6" t="s">
        <v>20</v>
      </c>
      <c r="O783" s="6" t="s">
        <v>20</v>
      </c>
      <c r="P783" s="6" t="s">
        <v>20</v>
      </c>
      <c r="Q783" s="6">
        <v>0.17</v>
      </c>
      <c r="R783" s="6">
        <v>0.26500000000000001</v>
      </c>
      <c r="S783" s="6">
        <v>0.26500000000000001</v>
      </c>
      <c r="T783" s="8">
        <v>1</v>
      </c>
      <c r="U783" s="5" t="s">
        <v>994</v>
      </c>
      <c r="V783" s="89">
        <v>0</v>
      </c>
      <c r="W783" s="15">
        <v>17897801322727</v>
      </c>
      <c r="X783" s="6">
        <v>0.5</v>
      </c>
      <c r="Y783" s="6">
        <v>0.2</v>
      </c>
      <c r="Z783" s="6">
        <v>0.63</v>
      </c>
      <c r="AA783" s="6">
        <v>6.3E-2</v>
      </c>
      <c r="AB783" s="8">
        <v>5</v>
      </c>
      <c r="AC783" s="15">
        <v>27897801322724</v>
      </c>
      <c r="AD783" s="4" t="s">
        <v>992</v>
      </c>
    </row>
    <row r="784" spans="2:30" x14ac:dyDescent="0.35">
      <c r="B784" s="18">
        <v>1413</v>
      </c>
      <c r="C784" s="67" t="s">
        <v>2353</v>
      </c>
      <c r="D784" s="24" t="s">
        <v>2370</v>
      </c>
      <c r="E784" s="24" t="s">
        <v>2913</v>
      </c>
      <c r="F784" s="4" t="s">
        <v>85</v>
      </c>
      <c r="G784" s="4" t="s">
        <v>993</v>
      </c>
      <c r="H784" s="6">
        <v>2.6700000000000002E-2</v>
      </c>
      <c r="I784" s="8">
        <v>72</v>
      </c>
      <c r="J784" s="8">
        <v>43</v>
      </c>
      <c r="K784" s="8">
        <v>6</v>
      </c>
      <c r="L784" s="8">
        <v>18576</v>
      </c>
      <c r="M784" s="15">
        <v>7897801322591</v>
      </c>
      <c r="N784" s="6" t="s">
        <v>20</v>
      </c>
      <c r="O784" s="6" t="s">
        <v>20</v>
      </c>
      <c r="P784" s="6" t="s">
        <v>20</v>
      </c>
      <c r="Q784" s="6">
        <v>0.26</v>
      </c>
      <c r="R784" s="6">
        <v>0.06</v>
      </c>
      <c r="S784" s="6">
        <v>0.31</v>
      </c>
      <c r="T784" s="8">
        <v>20</v>
      </c>
      <c r="U784" s="5" t="s">
        <v>994</v>
      </c>
      <c r="V784" s="89">
        <v>0</v>
      </c>
      <c r="W784" s="15">
        <v>17897801322598</v>
      </c>
      <c r="X784" s="6">
        <v>0.54</v>
      </c>
      <c r="Y784" s="6">
        <v>0.06</v>
      </c>
      <c r="Z784" s="6">
        <v>0.78</v>
      </c>
      <c r="AA784" s="6">
        <v>2.5271999999999999E-2</v>
      </c>
      <c r="AB784" s="8">
        <v>500</v>
      </c>
      <c r="AC784" s="15">
        <v>27897801322595</v>
      </c>
      <c r="AD784" s="4" t="s">
        <v>992</v>
      </c>
    </row>
    <row r="785" spans="2:30" x14ac:dyDescent="0.35">
      <c r="B785" s="18">
        <v>1414</v>
      </c>
      <c r="C785" s="68" t="s">
        <v>2359</v>
      </c>
      <c r="D785" s="24" t="s">
        <v>2370</v>
      </c>
      <c r="E785" s="24" t="s">
        <v>2913</v>
      </c>
      <c r="F785" s="4" t="s">
        <v>85</v>
      </c>
      <c r="G785" s="4" t="s">
        <v>1012</v>
      </c>
      <c r="H785" s="6">
        <v>6.7699999999999996E-2</v>
      </c>
      <c r="I785" s="8">
        <v>115</v>
      </c>
      <c r="J785" s="8">
        <v>65</v>
      </c>
      <c r="K785" s="8">
        <v>65</v>
      </c>
      <c r="L785" s="8">
        <v>485875</v>
      </c>
      <c r="M785" s="15">
        <v>7897801322584</v>
      </c>
      <c r="N785" s="6" t="s">
        <v>20</v>
      </c>
      <c r="O785" s="6" t="s">
        <v>20</v>
      </c>
      <c r="P785" s="6" t="s">
        <v>20</v>
      </c>
      <c r="Q785" s="6">
        <v>0.111</v>
      </c>
      <c r="R785" s="6">
        <v>0.35</v>
      </c>
      <c r="S785" s="6">
        <v>0.39</v>
      </c>
      <c r="T785" s="8">
        <v>20</v>
      </c>
      <c r="U785" s="5" t="s">
        <v>994</v>
      </c>
      <c r="V785" s="89">
        <v>0</v>
      </c>
      <c r="W785" s="15">
        <v>17897801322581</v>
      </c>
      <c r="X785" s="6">
        <v>0.59</v>
      </c>
      <c r="Y785" s="6">
        <v>0.22</v>
      </c>
      <c r="Z785" s="6">
        <v>0.82</v>
      </c>
      <c r="AA785" s="6">
        <v>0.10639999999999999</v>
      </c>
      <c r="AB785" s="8">
        <v>200</v>
      </c>
      <c r="AC785" s="8">
        <v>27897801322588</v>
      </c>
      <c r="AD785" s="4" t="s">
        <v>992</v>
      </c>
    </row>
    <row r="786" spans="2:30" x14ac:dyDescent="0.35">
      <c r="B786" s="18">
        <v>1415</v>
      </c>
      <c r="C786" s="67" t="s">
        <v>2345</v>
      </c>
      <c r="D786" s="24" t="s">
        <v>2370</v>
      </c>
      <c r="E786" s="24" t="s">
        <v>2913</v>
      </c>
      <c r="F786" s="4" t="s">
        <v>85</v>
      </c>
      <c r="G786" s="4" t="s">
        <v>993</v>
      </c>
      <c r="H786" s="6">
        <v>0.1283</v>
      </c>
      <c r="I786" s="8">
        <v>146</v>
      </c>
      <c r="J786" s="8">
        <v>90</v>
      </c>
      <c r="K786" s="8">
        <v>90</v>
      </c>
      <c r="L786" s="8">
        <v>1182600</v>
      </c>
      <c r="M786" s="15">
        <v>7897801322348</v>
      </c>
      <c r="N786" s="6" t="s">
        <v>20</v>
      </c>
      <c r="O786" s="6" t="s">
        <v>20</v>
      </c>
      <c r="P786" s="6" t="s">
        <v>20</v>
      </c>
      <c r="Q786" s="6">
        <v>0.37</v>
      </c>
      <c r="R786" s="6">
        <v>0.91</v>
      </c>
      <c r="S786" s="6">
        <v>0.39</v>
      </c>
      <c r="T786" s="8">
        <v>10</v>
      </c>
      <c r="U786" s="5" t="s">
        <v>994</v>
      </c>
      <c r="V786" s="89">
        <v>0</v>
      </c>
      <c r="W786" s="15">
        <v>17897801322345</v>
      </c>
      <c r="X786" s="6" t="s">
        <v>20</v>
      </c>
      <c r="Y786" s="6" t="s">
        <v>20</v>
      </c>
      <c r="Z786" s="6" t="s">
        <v>20</v>
      </c>
      <c r="AA786" s="6" t="s">
        <v>20</v>
      </c>
      <c r="AB786" s="6" t="s">
        <v>20</v>
      </c>
      <c r="AC786" s="6" t="s">
        <v>20</v>
      </c>
      <c r="AD786" s="4" t="s">
        <v>992</v>
      </c>
    </row>
    <row r="787" spans="2:30" x14ac:dyDescent="0.35">
      <c r="B787" s="18">
        <v>1416</v>
      </c>
      <c r="C787" s="67" t="s">
        <v>753</v>
      </c>
      <c r="D787" s="24" t="s">
        <v>2370</v>
      </c>
      <c r="E787" s="24" t="s">
        <v>2913</v>
      </c>
      <c r="F787" s="4" t="s">
        <v>85</v>
      </c>
      <c r="G787" s="4" t="s">
        <v>993</v>
      </c>
      <c r="H787" s="6">
        <v>0.22989999999999999</v>
      </c>
      <c r="I787" s="8">
        <v>170</v>
      </c>
      <c r="J787" s="8">
        <v>110</v>
      </c>
      <c r="K787" s="8">
        <v>110</v>
      </c>
      <c r="L787" s="8">
        <f>J787*I787*K787</f>
        <v>2057000</v>
      </c>
      <c r="M787" s="15">
        <v>7897801313872</v>
      </c>
      <c r="N787" s="6" t="s">
        <v>20</v>
      </c>
      <c r="O787" s="6" t="s">
        <v>20</v>
      </c>
      <c r="P787" s="6" t="s">
        <v>20</v>
      </c>
      <c r="Q787" s="6">
        <v>0.43</v>
      </c>
      <c r="R787" s="6">
        <v>0.115</v>
      </c>
      <c r="S787" s="6">
        <v>0.53</v>
      </c>
      <c r="T787" s="8">
        <v>10</v>
      </c>
      <c r="U787" s="5" t="s">
        <v>994</v>
      </c>
      <c r="V787" s="89">
        <v>0</v>
      </c>
      <c r="W787" s="15">
        <v>17897801313879</v>
      </c>
      <c r="X787" s="6" t="s">
        <v>20</v>
      </c>
      <c r="Y787" s="6" t="s">
        <v>20</v>
      </c>
      <c r="Z787" s="6" t="s">
        <v>20</v>
      </c>
      <c r="AA787" s="6" t="s">
        <v>20</v>
      </c>
      <c r="AB787" s="6" t="s">
        <v>20</v>
      </c>
      <c r="AC787" s="15">
        <v>27897801313876</v>
      </c>
      <c r="AD787" s="4" t="s">
        <v>992</v>
      </c>
    </row>
    <row r="788" spans="2:30" x14ac:dyDescent="0.35">
      <c r="B788" s="18">
        <v>1417</v>
      </c>
      <c r="C788" s="67" t="s">
        <v>2367</v>
      </c>
      <c r="D788" s="24" t="s">
        <v>2370</v>
      </c>
      <c r="E788" s="24" t="s">
        <v>2913</v>
      </c>
      <c r="F788" s="4" t="s">
        <v>85</v>
      </c>
      <c r="G788" s="4" t="s">
        <v>993</v>
      </c>
      <c r="H788" s="6">
        <v>0.57969999999999999</v>
      </c>
      <c r="I788" s="8">
        <v>220</v>
      </c>
      <c r="J788" s="8">
        <v>180</v>
      </c>
      <c r="K788" s="8">
        <v>170</v>
      </c>
      <c r="L788" s="28">
        <v>6732000</v>
      </c>
      <c r="M788" s="15">
        <v>7897801322331</v>
      </c>
      <c r="N788" s="6" t="s">
        <v>20</v>
      </c>
      <c r="O788" s="6" t="s">
        <v>20</v>
      </c>
      <c r="P788" s="6" t="s">
        <v>20</v>
      </c>
      <c r="Q788" s="6">
        <v>0.17</v>
      </c>
      <c r="R788" s="6">
        <v>0.18</v>
      </c>
      <c r="S788" s="6">
        <v>0.22</v>
      </c>
      <c r="T788" s="8">
        <v>1</v>
      </c>
      <c r="U788" s="5" t="s">
        <v>994</v>
      </c>
      <c r="V788" s="89">
        <v>0</v>
      </c>
      <c r="W788" s="15">
        <v>17897801322338</v>
      </c>
      <c r="X788" s="6">
        <v>0.37</v>
      </c>
      <c r="Y788" s="6">
        <v>0.17</v>
      </c>
      <c r="Z788" s="6">
        <v>0.5</v>
      </c>
      <c r="AA788" s="6">
        <v>3.15E-2</v>
      </c>
      <c r="AB788" s="8">
        <v>5</v>
      </c>
      <c r="AC788" s="15">
        <v>27897801322335</v>
      </c>
      <c r="AD788" s="4" t="s">
        <v>992</v>
      </c>
    </row>
    <row r="789" spans="2:30" x14ac:dyDescent="0.35">
      <c r="B789" s="18">
        <v>1419</v>
      </c>
      <c r="C789" s="67" t="s">
        <v>2346</v>
      </c>
      <c r="D789" s="24" t="s">
        <v>2370</v>
      </c>
      <c r="E789" s="24" t="s">
        <v>2913</v>
      </c>
      <c r="F789" s="4" t="s">
        <v>85</v>
      </c>
      <c r="G789" s="4" t="s">
        <v>993</v>
      </c>
      <c r="H789" s="6">
        <v>3.4700000000000002E-2</v>
      </c>
      <c r="I789" s="8">
        <v>65</v>
      </c>
      <c r="J789" s="8">
        <v>46</v>
      </c>
      <c r="K789" s="8">
        <v>46</v>
      </c>
      <c r="L789" s="8">
        <v>137540</v>
      </c>
      <c r="M789" s="15">
        <v>7897801322577</v>
      </c>
      <c r="N789" s="6" t="s">
        <v>20</v>
      </c>
      <c r="O789" s="6" t="s">
        <v>20</v>
      </c>
      <c r="P789" s="6" t="s">
        <v>20</v>
      </c>
      <c r="Q789" s="6">
        <v>0.22</v>
      </c>
      <c r="R789" s="6">
        <v>8.5000000000000006E-2</v>
      </c>
      <c r="S789" s="6">
        <v>0.33</v>
      </c>
      <c r="T789" s="8">
        <v>25</v>
      </c>
      <c r="U789" s="5" t="s">
        <v>994</v>
      </c>
      <c r="V789" s="89">
        <v>0</v>
      </c>
      <c r="W789" s="15">
        <v>17897801322574</v>
      </c>
      <c r="X789" s="6">
        <v>0.6</v>
      </c>
      <c r="Y789" s="6">
        <v>0.22</v>
      </c>
      <c r="Z789" s="6">
        <v>0.8</v>
      </c>
      <c r="AA789" s="6">
        <v>0.10560000000000001</v>
      </c>
      <c r="AB789" s="8">
        <v>400</v>
      </c>
      <c r="AC789" s="15">
        <v>27897801322571</v>
      </c>
      <c r="AD789" s="4" t="s">
        <v>992</v>
      </c>
    </row>
    <row r="790" spans="2:30" x14ac:dyDescent="0.35">
      <c r="B790" s="18">
        <v>1420</v>
      </c>
      <c r="C790" s="67" t="s">
        <v>2354</v>
      </c>
      <c r="D790" s="24" t="s">
        <v>2370</v>
      </c>
      <c r="E790" s="24" t="s">
        <v>2913</v>
      </c>
      <c r="F790" s="4" t="s">
        <v>85</v>
      </c>
      <c r="G790" s="4" t="s">
        <v>993</v>
      </c>
      <c r="H790" s="6">
        <v>8.0299999999999996E-2</v>
      </c>
      <c r="I790" s="8">
        <v>95</v>
      </c>
      <c r="J790" s="8">
        <v>65</v>
      </c>
      <c r="K790" s="8">
        <v>100</v>
      </c>
      <c r="L790" s="8">
        <v>617500</v>
      </c>
      <c r="M790" s="15">
        <v>7897801307871</v>
      </c>
      <c r="N790" s="6" t="s">
        <v>20</v>
      </c>
      <c r="O790" s="6" t="s">
        <v>20</v>
      </c>
      <c r="P790" s="6" t="s">
        <v>20</v>
      </c>
      <c r="Q790" s="6">
        <v>0.28000000000000003</v>
      </c>
      <c r="R790" s="6">
        <v>0.14499999999999999</v>
      </c>
      <c r="S790" s="6">
        <v>0.49</v>
      </c>
      <c r="T790" s="8">
        <v>25</v>
      </c>
      <c r="U790" s="5" t="s">
        <v>994</v>
      </c>
      <c r="V790" s="89">
        <v>0</v>
      </c>
      <c r="W790" s="15">
        <v>17897801307878</v>
      </c>
      <c r="X790" s="6">
        <v>0.56999999999999995</v>
      </c>
      <c r="Y790" s="6">
        <v>0.27</v>
      </c>
      <c r="Z790" s="6">
        <v>0.77</v>
      </c>
      <c r="AA790" s="6">
        <v>0.11850300000000001</v>
      </c>
      <c r="AB790" s="8">
        <v>175</v>
      </c>
      <c r="AC790" s="15">
        <v>27897801307875</v>
      </c>
      <c r="AD790" s="4" t="s">
        <v>992</v>
      </c>
    </row>
    <row r="791" spans="2:30" x14ac:dyDescent="0.35">
      <c r="B791" s="18">
        <v>1421</v>
      </c>
      <c r="C791" s="67" t="s">
        <v>2443</v>
      </c>
      <c r="D791" s="24" t="s">
        <v>2370</v>
      </c>
      <c r="E791" s="24" t="s">
        <v>2913</v>
      </c>
      <c r="F791" s="4" t="s">
        <v>85</v>
      </c>
      <c r="G791" s="4" t="s">
        <v>1012</v>
      </c>
      <c r="H791" s="6">
        <v>0.16273000000000001</v>
      </c>
      <c r="I791" s="8">
        <v>123</v>
      </c>
      <c r="J791" s="8">
        <v>127</v>
      </c>
      <c r="K791" s="8">
        <v>90</v>
      </c>
      <c r="L791" s="8">
        <v>1405890</v>
      </c>
      <c r="M791" s="15">
        <v>7897801322324</v>
      </c>
      <c r="N791" s="6" t="s">
        <v>20</v>
      </c>
      <c r="O791" s="6" t="s">
        <v>20</v>
      </c>
      <c r="P791" s="6" t="s">
        <v>20</v>
      </c>
      <c r="Q791" s="6">
        <v>0.4</v>
      </c>
      <c r="R791" s="6">
        <v>0.22</v>
      </c>
      <c r="S791" s="6">
        <v>0.56999999999999995</v>
      </c>
      <c r="T791" s="8">
        <v>20</v>
      </c>
      <c r="U791" s="5" t="s">
        <v>994</v>
      </c>
      <c r="V791" s="89">
        <v>0</v>
      </c>
      <c r="W791" s="15">
        <v>17897801322321</v>
      </c>
      <c r="X791" s="6" t="s">
        <v>20</v>
      </c>
      <c r="Y791" s="6" t="s">
        <v>20</v>
      </c>
      <c r="Z791" s="6" t="s">
        <v>20</v>
      </c>
      <c r="AA791" s="6" t="s">
        <v>20</v>
      </c>
      <c r="AB791" s="8" t="s">
        <v>20</v>
      </c>
      <c r="AC791" s="15">
        <v>27897801322328</v>
      </c>
      <c r="AD791" s="4" t="s">
        <v>992</v>
      </c>
    </row>
    <row r="792" spans="2:30" x14ac:dyDescent="0.35">
      <c r="B792" s="18">
        <v>1422</v>
      </c>
      <c r="C792" s="67" t="s">
        <v>754</v>
      </c>
      <c r="D792" s="24" t="s">
        <v>2370</v>
      </c>
      <c r="E792" s="24" t="s">
        <v>2913</v>
      </c>
      <c r="F792" s="4" t="s">
        <v>85</v>
      </c>
      <c r="G792" s="4" t="s">
        <v>993</v>
      </c>
      <c r="H792" s="6">
        <v>0.3</v>
      </c>
      <c r="I792" s="8">
        <v>190</v>
      </c>
      <c r="J792" s="8">
        <v>160</v>
      </c>
      <c r="K792" s="8">
        <v>120</v>
      </c>
      <c r="L792" s="8">
        <f>J792*I792*K792</f>
        <v>3648000</v>
      </c>
      <c r="M792" s="15">
        <v>7897801313889</v>
      </c>
      <c r="N792" s="6" t="s">
        <v>20</v>
      </c>
      <c r="O792" s="6" t="s">
        <v>20</v>
      </c>
      <c r="P792" s="6" t="s">
        <v>20</v>
      </c>
      <c r="Q792" s="6">
        <v>0.46</v>
      </c>
      <c r="R792" s="6">
        <v>0.215</v>
      </c>
      <c r="S792" s="6">
        <v>0.72</v>
      </c>
      <c r="T792" s="8">
        <v>20</v>
      </c>
      <c r="U792" s="5" t="s">
        <v>994</v>
      </c>
      <c r="V792" s="89">
        <v>0</v>
      </c>
      <c r="W792" s="15">
        <v>17897801313886</v>
      </c>
      <c r="X792" s="6" t="s">
        <v>20</v>
      </c>
      <c r="Y792" s="6" t="s">
        <v>20</v>
      </c>
      <c r="Z792" s="6" t="s">
        <v>20</v>
      </c>
      <c r="AA792" s="6" t="s">
        <v>20</v>
      </c>
      <c r="AB792" s="6" t="s">
        <v>20</v>
      </c>
      <c r="AC792" s="15">
        <v>27897801313883</v>
      </c>
      <c r="AD792" s="4" t="s">
        <v>992</v>
      </c>
    </row>
    <row r="793" spans="2:30" x14ac:dyDescent="0.35">
      <c r="B793" s="18">
        <v>1423</v>
      </c>
      <c r="C793" s="67" t="s">
        <v>2366</v>
      </c>
      <c r="D793" s="24" t="s">
        <v>2370</v>
      </c>
      <c r="E793" s="24" t="s">
        <v>2913</v>
      </c>
      <c r="F793" s="4" t="s">
        <v>85</v>
      </c>
      <c r="G793" s="4" t="s">
        <v>993</v>
      </c>
      <c r="H793" s="6">
        <v>0.755</v>
      </c>
      <c r="I793" s="8">
        <v>220</v>
      </c>
      <c r="J793" s="8">
        <v>220</v>
      </c>
      <c r="K793" s="8">
        <v>170</v>
      </c>
      <c r="L793" s="28">
        <v>8228000</v>
      </c>
      <c r="M793" s="15">
        <v>7897801319065</v>
      </c>
      <c r="N793" s="6" t="s">
        <v>20</v>
      </c>
      <c r="O793" s="6" t="s">
        <v>20</v>
      </c>
      <c r="P793" s="6" t="s">
        <v>20</v>
      </c>
      <c r="Q793" s="6">
        <v>0.17</v>
      </c>
      <c r="R793" s="6">
        <v>0.22</v>
      </c>
      <c r="S793" s="6">
        <v>0.22</v>
      </c>
      <c r="T793" s="8">
        <v>1</v>
      </c>
      <c r="U793" s="5" t="s">
        <v>994</v>
      </c>
      <c r="V793" s="89">
        <v>0</v>
      </c>
      <c r="W793" s="15">
        <v>17897801319062</v>
      </c>
      <c r="X793" s="6">
        <v>0.48</v>
      </c>
      <c r="Y793" s="6">
        <v>0.17</v>
      </c>
      <c r="Z793" s="6">
        <v>0.57999999999999996</v>
      </c>
      <c r="AA793" s="6">
        <v>4.7300000000000002E-2</v>
      </c>
      <c r="AB793" s="8">
        <v>5</v>
      </c>
      <c r="AC793" s="15">
        <v>27897801319069</v>
      </c>
      <c r="AD793" s="4" t="s">
        <v>992</v>
      </c>
    </row>
    <row r="794" spans="2:30" x14ac:dyDescent="0.35">
      <c r="B794" s="18">
        <v>1425</v>
      </c>
      <c r="C794" s="67" t="s">
        <v>2444</v>
      </c>
      <c r="D794" s="24" t="s">
        <v>2370</v>
      </c>
      <c r="E794" s="24" t="s">
        <v>2913</v>
      </c>
      <c r="F794" s="4" t="s">
        <v>85</v>
      </c>
      <c r="G794" s="4" t="s">
        <v>1012</v>
      </c>
      <c r="H794" s="6">
        <v>0.20200000000000001</v>
      </c>
      <c r="I794" s="8">
        <v>145</v>
      </c>
      <c r="J794" s="8">
        <v>160</v>
      </c>
      <c r="K794" s="8">
        <v>90</v>
      </c>
      <c r="L794" s="28">
        <v>2088000</v>
      </c>
      <c r="M794" s="15">
        <v>7897801322355</v>
      </c>
      <c r="N794" s="6" t="s">
        <v>20</v>
      </c>
      <c r="O794" s="6" t="s">
        <v>20</v>
      </c>
      <c r="P794" s="6" t="s">
        <v>20</v>
      </c>
      <c r="Q794" s="6">
        <v>0.41</v>
      </c>
      <c r="R794" s="6">
        <v>0.14000000000000001</v>
      </c>
      <c r="S794" s="6">
        <v>0.46</v>
      </c>
      <c r="T794" s="8">
        <v>10</v>
      </c>
      <c r="U794" s="5" t="s">
        <v>994</v>
      </c>
      <c r="V794" s="89">
        <v>0</v>
      </c>
      <c r="W794" s="15">
        <v>17897801322352</v>
      </c>
      <c r="X794" s="6" t="s">
        <v>20</v>
      </c>
      <c r="Y794" s="6" t="s">
        <v>20</v>
      </c>
      <c r="Z794" s="6" t="s">
        <v>20</v>
      </c>
      <c r="AA794" s="6" t="s">
        <v>20</v>
      </c>
      <c r="AB794" s="8" t="s">
        <v>20</v>
      </c>
      <c r="AC794" s="15">
        <v>27897801322359</v>
      </c>
      <c r="AD794" s="4" t="s">
        <v>992</v>
      </c>
    </row>
    <row r="795" spans="2:30" x14ac:dyDescent="0.35">
      <c r="B795" s="18">
        <v>1426</v>
      </c>
      <c r="C795" s="67" t="s">
        <v>2334</v>
      </c>
      <c r="D795" s="24" t="s">
        <v>2370</v>
      </c>
      <c r="E795" s="24" t="s">
        <v>2913</v>
      </c>
      <c r="F795" s="4" t="s">
        <v>85</v>
      </c>
      <c r="G795" s="4" t="s">
        <v>993</v>
      </c>
      <c r="H795" s="6">
        <v>0.67800000000000005</v>
      </c>
      <c r="I795" s="8">
        <v>340</v>
      </c>
      <c r="J795" s="8">
        <v>115</v>
      </c>
      <c r="K795" s="8">
        <v>260</v>
      </c>
      <c r="L795" s="28">
        <v>10166000</v>
      </c>
      <c r="M795" s="15">
        <v>7897801322423</v>
      </c>
      <c r="N795" s="6" t="s">
        <v>20</v>
      </c>
      <c r="O795" s="6" t="s">
        <v>20</v>
      </c>
      <c r="P795" s="6" t="s">
        <v>20</v>
      </c>
      <c r="Q795" s="6">
        <v>5.1999999999999998E-2</v>
      </c>
      <c r="R795" s="6">
        <v>2.1000000000000001E-2</v>
      </c>
      <c r="S795" s="6">
        <v>7.5999999999999998E-2</v>
      </c>
      <c r="T795" s="8">
        <v>5</v>
      </c>
      <c r="U795" s="5" t="s">
        <v>994</v>
      </c>
      <c r="V795" s="89">
        <v>0</v>
      </c>
      <c r="W795" s="15">
        <v>17897801322420</v>
      </c>
      <c r="X795" s="6" t="s">
        <v>20</v>
      </c>
      <c r="Y795" s="6" t="s">
        <v>20</v>
      </c>
      <c r="Z795" s="6" t="s">
        <v>20</v>
      </c>
      <c r="AA795" s="6" t="s">
        <v>20</v>
      </c>
      <c r="AB795" s="6" t="s">
        <v>20</v>
      </c>
      <c r="AC795" s="6" t="s">
        <v>20</v>
      </c>
      <c r="AD795" s="4" t="s">
        <v>992</v>
      </c>
    </row>
    <row r="796" spans="2:30" x14ac:dyDescent="0.35">
      <c r="B796" s="18">
        <v>1427</v>
      </c>
      <c r="C796" s="67" t="s">
        <v>2347</v>
      </c>
      <c r="D796" s="24" t="s">
        <v>2370</v>
      </c>
      <c r="E796" s="24" t="s">
        <v>2913</v>
      </c>
      <c r="F796" s="4" t="s">
        <v>85</v>
      </c>
      <c r="G796" s="4" t="s">
        <v>993</v>
      </c>
      <c r="H796" s="6">
        <v>6.4799999999999996E-2</v>
      </c>
      <c r="I796" s="8">
        <v>500</v>
      </c>
      <c r="J796" s="8">
        <v>1000</v>
      </c>
      <c r="K796" s="8">
        <v>900</v>
      </c>
      <c r="L796" s="8">
        <v>450000000</v>
      </c>
      <c r="M796" s="15">
        <v>7897801322560</v>
      </c>
      <c r="N796" s="6" t="s">
        <v>20</v>
      </c>
      <c r="O796" s="6" t="s">
        <v>20</v>
      </c>
      <c r="P796" s="6" t="s">
        <v>20</v>
      </c>
      <c r="Q796" s="6">
        <v>0.12</v>
      </c>
      <c r="R796" s="6">
        <v>0.33</v>
      </c>
      <c r="S796" s="6">
        <v>0.23</v>
      </c>
      <c r="T796" s="8">
        <v>10</v>
      </c>
      <c r="U796" s="5" t="s">
        <v>994</v>
      </c>
      <c r="V796" s="89">
        <v>0</v>
      </c>
      <c r="W796" s="15">
        <v>17897801322567</v>
      </c>
      <c r="X796" s="6">
        <v>0.7</v>
      </c>
      <c r="Y796" s="6">
        <v>0.21</v>
      </c>
      <c r="Z796" s="6">
        <v>1</v>
      </c>
      <c r="AA796" s="6">
        <v>0.14699999999999999</v>
      </c>
      <c r="AB796" s="8">
        <v>200</v>
      </c>
      <c r="AC796" s="15">
        <v>27897801322564</v>
      </c>
      <c r="AD796" s="4" t="s">
        <v>992</v>
      </c>
    </row>
    <row r="797" spans="2:30" x14ac:dyDescent="0.35">
      <c r="B797" s="18">
        <v>1428</v>
      </c>
      <c r="C797" s="67" t="s">
        <v>2428</v>
      </c>
      <c r="D797" s="24" t="s">
        <v>2370</v>
      </c>
      <c r="E797" s="24" t="s">
        <v>2913</v>
      </c>
      <c r="F797" s="4" t="s">
        <v>85</v>
      </c>
      <c r="G797" s="4" t="s">
        <v>1012</v>
      </c>
      <c r="H797" s="6">
        <v>0.14749999999999999</v>
      </c>
      <c r="I797" s="8">
        <v>65</v>
      </c>
      <c r="J797" s="8">
        <v>165</v>
      </c>
      <c r="K797" s="8">
        <v>120</v>
      </c>
      <c r="L797" s="8">
        <v>1287000</v>
      </c>
      <c r="M797" s="15">
        <v>7897801322546</v>
      </c>
      <c r="N797" s="6" t="s">
        <v>20</v>
      </c>
      <c r="O797" s="6" t="s">
        <v>20</v>
      </c>
      <c r="P797" s="6" t="s">
        <v>20</v>
      </c>
      <c r="Q797" s="6">
        <v>0.3</v>
      </c>
      <c r="R797" s="6">
        <v>0.12</v>
      </c>
      <c r="S797" s="6">
        <v>0.54</v>
      </c>
      <c r="T797" s="8">
        <v>10</v>
      </c>
      <c r="U797" s="5" t="s">
        <v>994</v>
      </c>
      <c r="V797" s="89">
        <v>0</v>
      </c>
      <c r="W797" s="15">
        <v>17897801322543</v>
      </c>
      <c r="X797" s="6">
        <v>0.5</v>
      </c>
      <c r="Y797" s="6">
        <v>0.24</v>
      </c>
      <c r="Z797" s="6">
        <v>0.73</v>
      </c>
      <c r="AA797" s="6">
        <v>8.7599999999999997E-2</v>
      </c>
      <c r="AB797" s="8">
        <v>80</v>
      </c>
      <c r="AC797" s="15">
        <v>27897801322540</v>
      </c>
      <c r="AD797" s="4" t="s">
        <v>992</v>
      </c>
    </row>
    <row r="798" spans="2:30" x14ac:dyDescent="0.35">
      <c r="B798" s="18">
        <v>1429</v>
      </c>
      <c r="C798" s="68" t="s">
        <v>2360</v>
      </c>
      <c r="D798" s="24" t="s">
        <v>2370</v>
      </c>
      <c r="E798" s="24" t="s">
        <v>2913</v>
      </c>
      <c r="F798" s="4" t="s">
        <v>85</v>
      </c>
      <c r="G798" s="4" t="s">
        <v>1012</v>
      </c>
      <c r="H798" s="6">
        <v>0.2717</v>
      </c>
      <c r="I798" s="8">
        <v>200</v>
      </c>
      <c r="J798" s="8">
        <v>165</v>
      </c>
      <c r="K798" s="8">
        <v>90</v>
      </c>
      <c r="L798" s="8">
        <v>2970000</v>
      </c>
      <c r="M798" s="15">
        <v>7897801319058</v>
      </c>
      <c r="N798" s="6" t="s">
        <v>20</v>
      </c>
      <c r="O798" s="6" t="s">
        <v>20</v>
      </c>
      <c r="P798" s="6" t="s">
        <v>20</v>
      </c>
      <c r="Q798" s="6">
        <v>0.41</v>
      </c>
      <c r="R798" s="6">
        <v>0.16500000000000001</v>
      </c>
      <c r="S798" s="6">
        <v>0.54</v>
      </c>
      <c r="T798" s="8">
        <v>10</v>
      </c>
      <c r="U798" s="5" t="s">
        <v>994</v>
      </c>
      <c r="V798" s="89">
        <v>0</v>
      </c>
      <c r="W798" s="15">
        <v>17897801319055</v>
      </c>
      <c r="X798" s="6" t="s">
        <v>20</v>
      </c>
      <c r="Y798" s="6" t="s">
        <v>20</v>
      </c>
      <c r="Z798" s="6" t="s">
        <v>20</v>
      </c>
      <c r="AA798" s="6" t="s">
        <v>20</v>
      </c>
      <c r="AB798" s="8" t="s">
        <v>20</v>
      </c>
      <c r="AC798" s="8">
        <v>27897801319052</v>
      </c>
      <c r="AD798" s="4" t="s">
        <v>992</v>
      </c>
    </row>
    <row r="799" spans="2:30" x14ac:dyDescent="0.35">
      <c r="B799" s="18">
        <v>1430</v>
      </c>
      <c r="C799" s="67" t="s">
        <v>755</v>
      </c>
      <c r="D799" s="24" t="s">
        <v>2370</v>
      </c>
      <c r="E799" s="24" t="s">
        <v>2913</v>
      </c>
      <c r="F799" s="4" t="s">
        <v>85</v>
      </c>
      <c r="G799" s="4" t="s">
        <v>993</v>
      </c>
      <c r="H799" s="6">
        <v>0.52300000000000002</v>
      </c>
      <c r="I799" s="8">
        <v>246</v>
      </c>
      <c r="J799" s="8">
        <v>122</v>
      </c>
      <c r="K799" s="8">
        <v>240</v>
      </c>
      <c r="L799" s="8">
        <f>J799*I799*K799</f>
        <v>7202880</v>
      </c>
      <c r="M799" s="15">
        <v>7897801313896</v>
      </c>
      <c r="N799" s="6" t="s">
        <v>20</v>
      </c>
      <c r="O799" s="6" t="s">
        <v>20</v>
      </c>
      <c r="P799" s="6" t="s">
        <v>20</v>
      </c>
      <c r="Q799" s="6">
        <v>0.5</v>
      </c>
      <c r="R799" s="6">
        <v>0.4</v>
      </c>
      <c r="S799" s="6">
        <v>0.75</v>
      </c>
      <c r="T799" s="8">
        <v>5</v>
      </c>
      <c r="U799" s="5" t="s">
        <v>994</v>
      </c>
      <c r="V799" s="89">
        <v>0</v>
      </c>
      <c r="W799" s="15">
        <v>17897801313893</v>
      </c>
      <c r="X799" s="6" t="s">
        <v>20</v>
      </c>
      <c r="Y799" s="6" t="s">
        <v>20</v>
      </c>
      <c r="Z799" s="6" t="s">
        <v>20</v>
      </c>
      <c r="AA799" s="6" t="s">
        <v>20</v>
      </c>
      <c r="AB799" s="6" t="s">
        <v>20</v>
      </c>
      <c r="AC799" s="15">
        <v>27897801313890</v>
      </c>
      <c r="AD799" s="4" t="s">
        <v>992</v>
      </c>
    </row>
    <row r="800" spans="2:30" x14ac:dyDescent="0.35">
      <c r="B800" s="18">
        <v>1431</v>
      </c>
      <c r="C800" s="67" t="s">
        <v>2365</v>
      </c>
      <c r="D800" s="24" t="s">
        <v>2370</v>
      </c>
      <c r="E800" s="24" t="s">
        <v>2913</v>
      </c>
      <c r="F800" s="4" t="s">
        <v>85</v>
      </c>
      <c r="G800" s="4" t="s">
        <v>993</v>
      </c>
      <c r="H800" s="6">
        <v>1.3192999999999999</v>
      </c>
      <c r="I800" s="8">
        <v>345</v>
      </c>
      <c r="J800" s="8">
        <v>173</v>
      </c>
      <c r="K800" s="8">
        <v>310</v>
      </c>
      <c r="L800" s="28">
        <v>18502350</v>
      </c>
      <c r="M800" s="15">
        <v>7897801318716</v>
      </c>
      <c r="N800" s="6" t="s">
        <v>20</v>
      </c>
      <c r="O800" s="6" t="s">
        <v>20</v>
      </c>
      <c r="P800" s="6" t="s">
        <v>20</v>
      </c>
      <c r="Q800" s="6">
        <v>0.31</v>
      </c>
      <c r="R800" s="6">
        <v>0.17299999999999999</v>
      </c>
      <c r="S800" s="6">
        <v>0.34499999999999997</v>
      </c>
      <c r="T800" s="8">
        <v>1</v>
      </c>
      <c r="U800" s="5" t="s">
        <v>994</v>
      </c>
      <c r="V800" s="89">
        <v>0</v>
      </c>
      <c r="W800" s="15">
        <v>17897801318713</v>
      </c>
      <c r="X800" s="6">
        <v>0.56999999999999995</v>
      </c>
      <c r="Y800" s="6">
        <v>0.31</v>
      </c>
      <c r="Z800" s="6">
        <v>0.79</v>
      </c>
      <c r="AA800" s="6">
        <v>0.1396</v>
      </c>
      <c r="AB800" s="8">
        <v>5</v>
      </c>
      <c r="AC800" s="15">
        <v>27897801318710</v>
      </c>
      <c r="AD800" s="4" t="s">
        <v>992</v>
      </c>
    </row>
    <row r="801" spans="2:30" x14ac:dyDescent="0.35">
      <c r="B801" s="18">
        <v>1433</v>
      </c>
      <c r="C801" s="67" t="s">
        <v>2355</v>
      </c>
      <c r="D801" s="24" t="s">
        <v>2370</v>
      </c>
      <c r="E801" s="24" t="s">
        <v>2913</v>
      </c>
      <c r="F801" s="4" t="s">
        <v>85</v>
      </c>
      <c r="G801" s="4" t="s">
        <v>993</v>
      </c>
      <c r="H801" s="6">
        <v>0.20269999999999999</v>
      </c>
      <c r="I801" s="8">
        <v>167</v>
      </c>
      <c r="J801" s="8">
        <v>95</v>
      </c>
      <c r="K801" s="8">
        <v>150</v>
      </c>
      <c r="L801" s="8">
        <v>2379750</v>
      </c>
      <c r="M801" s="15">
        <v>7897801322539</v>
      </c>
      <c r="N801" s="6" t="s">
        <v>20</v>
      </c>
      <c r="O801" s="6" t="s">
        <v>20</v>
      </c>
      <c r="P801" s="6" t="s">
        <v>20</v>
      </c>
      <c r="Q801" s="6">
        <v>0.41</v>
      </c>
      <c r="R801" s="6">
        <v>0.18</v>
      </c>
      <c r="S801" s="6">
        <v>0.55000000000000004</v>
      </c>
      <c r="T801" s="8">
        <v>10</v>
      </c>
      <c r="U801" s="5" t="s">
        <v>994</v>
      </c>
      <c r="V801" s="89">
        <v>0</v>
      </c>
      <c r="W801" s="15">
        <v>17897801322536</v>
      </c>
      <c r="X801" s="6" t="s">
        <v>20</v>
      </c>
      <c r="Y801" s="6" t="s">
        <v>20</v>
      </c>
      <c r="Z801" s="6" t="s">
        <v>20</v>
      </c>
      <c r="AA801" s="6" t="s">
        <v>20</v>
      </c>
      <c r="AB801" s="8" t="s">
        <v>20</v>
      </c>
      <c r="AC801" s="15" t="s">
        <v>20</v>
      </c>
      <c r="AD801" s="4" t="s">
        <v>992</v>
      </c>
    </row>
    <row r="802" spans="2:30" x14ac:dyDescent="0.35">
      <c r="B802" s="18">
        <v>1434</v>
      </c>
      <c r="C802" s="67" t="s">
        <v>2434</v>
      </c>
      <c r="D802" s="24" t="s">
        <v>2370</v>
      </c>
      <c r="E802" s="24" t="s">
        <v>2913</v>
      </c>
      <c r="F802" s="4" t="s">
        <v>85</v>
      </c>
      <c r="G802" s="4" t="s">
        <v>1012</v>
      </c>
      <c r="H802" s="6">
        <v>0.32600000000000001</v>
      </c>
      <c r="I802" s="8">
        <v>111</v>
      </c>
      <c r="J802" s="8">
        <v>170</v>
      </c>
      <c r="K802" s="8">
        <v>170</v>
      </c>
      <c r="L802" s="8">
        <v>3199230</v>
      </c>
      <c r="M802" s="15">
        <v>7897801322652</v>
      </c>
      <c r="N802" s="6" t="s">
        <v>20</v>
      </c>
      <c r="O802" s="6" t="s">
        <v>20</v>
      </c>
      <c r="P802" s="6" t="s">
        <v>20</v>
      </c>
      <c r="Q802" s="6">
        <v>0.46</v>
      </c>
      <c r="R802" s="6">
        <v>0.19</v>
      </c>
      <c r="S802" s="6">
        <v>0.39</v>
      </c>
      <c r="T802" s="8">
        <v>10</v>
      </c>
      <c r="U802" s="5" t="s">
        <v>994</v>
      </c>
      <c r="V802" s="89">
        <v>0</v>
      </c>
      <c r="W802" s="15">
        <v>17897801322659</v>
      </c>
      <c r="X802" s="6" t="s">
        <v>20</v>
      </c>
      <c r="Y802" s="6" t="s">
        <v>20</v>
      </c>
      <c r="Z802" s="6" t="s">
        <v>20</v>
      </c>
      <c r="AA802" s="6" t="s">
        <v>20</v>
      </c>
      <c r="AB802" s="8" t="s">
        <v>20</v>
      </c>
      <c r="AC802" s="15">
        <v>27897801322656</v>
      </c>
      <c r="AD802" s="4" t="s">
        <v>992</v>
      </c>
    </row>
    <row r="803" spans="2:30" x14ac:dyDescent="0.35">
      <c r="B803" s="18">
        <v>1435</v>
      </c>
      <c r="C803" s="67" t="s">
        <v>756</v>
      </c>
      <c r="D803" s="24" t="s">
        <v>2370</v>
      </c>
      <c r="E803" s="24" t="s">
        <v>2913</v>
      </c>
      <c r="F803" s="4" t="s">
        <v>85</v>
      </c>
      <c r="G803" s="4" t="s">
        <v>993</v>
      </c>
      <c r="H803" s="6">
        <v>0.4</v>
      </c>
      <c r="I803" s="8">
        <v>200</v>
      </c>
      <c r="J803" s="8">
        <v>100</v>
      </c>
      <c r="K803" s="8">
        <v>200</v>
      </c>
      <c r="L803" s="8">
        <f>J803*I803*K803</f>
        <v>4000000</v>
      </c>
      <c r="M803" s="15">
        <v>7897801313902</v>
      </c>
      <c r="N803" s="6" t="s">
        <v>20</v>
      </c>
      <c r="O803" s="6" t="s">
        <v>20</v>
      </c>
      <c r="P803" s="6" t="s">
        <v>20</v>
      </c>
      <c r="Q803" s="6">
        <v>0.35</v>
      </c>
      <c r="R803" s="6">
        <v>0.12</v>
      </c>
      <c r="S803" s="6">
        <v>0.4</v>
      </c>
      <c r="T803" s="8">
        <v>5</v>
      </c>
      <c r="U803" s="5" t="s">
        <v>994</v>
      </c>
      <c r="V803" s="89">
        <v>0</v>
      </c>
      <c r="W803" s="15">
        <v>17897801313909</v>
      </c>
      <c r="X803" s="6" t="s">
        <v>20</v>
      </c>
      <c r="Y803" s="6" t="s">
        <v>20</v>
      </c>
      <c r="Z803" s="6" t="s">
        <v>20</v>
      </c>
      <c r="AA803" s="6" t="s">
        <v>20</v>
      </c>
      <c r="AB803" s="6" t="s">
        <v>20</v>
      </c>
      <c r="AC803" s="15">
        <v>27897801313906</v>
      </c>
      <c r="AD803" s="4" t="s">
        <v>992</v>
      </c>
    </row>
    <row r="804" spans="2:30" x14ac:dyDescent="0.35">
      <c r="B804" s="18">
        <v>1436</v>
      </c>
      <c r="C804" s="67" t="s">
        <v>2335</v>
      </c>
      <c r="D804" s="24" t="s">
        <v>2370</v>
      </c>
      <c r="E804" s="24" t="s">
        <v>2913</v>
      </c>
      <c r="F804" s="4" t="s">
        <v>85</v>
      </c>
      <c r="G804" s="4" t="s">
        <v>993</v>
      </c>
      <c r="H804" s="6">
        <v>0.90400000000000003</v>
      </c>
      <c r="I804" s="8">
        <v>300</v>
      </c>
      <c r="J804" s="8">
        <v>170</v>
      </c>
      <c r="K804" s="8">
        <v>270</v>
      </c>
      <c r="L804" s="28">
        <v>13770000</v>
      </c>
      <c r="M804" s="15">
        <v>7897801322614</v>
      </c>
      <c r="N804" s="6" t="s">
        <v>20</v>
      </c>
      <c r="O804" s="6" t="s">
        <v>20</v>
      </c>
      <c r="P804" s="6" t="s">
        <v>20</v>
      </c>
      <c r="Q804" s="6">
        <v>0.28999999999999998</v>
      </c>
      <c r="R804" s="6">
        <v>0.27</v>
      </c>
      <c r="S804" s="6">
        <v>0.17</v>
      </c>
      <c r="T804" s="8">
        <v>1</v>
      </c>
      <c r="U804" s="5" t="s">
        <v>994</v>
      </c>
      <c r="V804" s="89">
        <v>0</v>
      </c>
      <c r="W804" s="15">
        <v>17897801322611</v>
      </c>
      <c r="X804" s="6" t="s">
        <v>20</v>
      </c>
      <c r="Y804" s="6" t="s">
        <v>20</v>
      </c>
      <c r="Z804" s="6" t="s">
        <v>20</v>
      </c>
      <c r="AA804" s="6" t="s">
        <v>20</v>
      </c>
      <c r="AB804" s="6" t="s">
        <v>20</v>
      </c>
      <c r="AC804" s="6" t="s">
        <v>20</v>
      </c>
      <c r="AD804" s="4" t="s">
        <v>992</v>
      </c>
    </row>
    <row r="805" spans="2:30" x14ac:dyDescent="0.35">
      <c r="B805" s="18">
        <v>1438</v>
      </c>
      <c r="C805" s="67" t="s">
        <v>2348</v>
      </c>
      <c r="D805" s="24" t="s">
        <v>2370</v>
      </c>
      <c r="E805" s="24" t="s">
        <v>2913</v>
      </c>
      <c r="F805" s="4" t="s">
        <v>85</v>
      </c>
      <c r="G805" s="4" t="s">
        <v>993</v>
      </c>
      <c r="H805" s="6">
        <v>1.9400000000000001E-2</v>
      </c>
      <c r="I805" s="8">
        <v>450</v>
      </c>
      <c r="J805" s="8">
        <v>450</v>
      </c>
      <c r="K805" s="8">
        <v>400</v>
      </c>
      <c r="L805" s="8">
        <v>81000000</v>
      </c>
      <c r="M805" s="15">
        <v>7897801322621</v>
      </c>
      <c r="N805" s="6" t="s">
        <v>20</v>
      </c>
      <c r="O805" s="6" t="s">
        <v>20</v>
      </c>
      <c r="P805" s="6" t="s">
        <v>20</v>
      </c>
      <c r="Q805" s="6">
        <v>4.4999999999999998E-2</v>
      </c>
      <c r="R805" s="6">
        <v>0.23</v>
      </c>
      <c r="S805" s="6">
        <v>0.49</v>
      </c>
      <c r="T805" s="8">
        <v>20</v>
      </c>
      <c r="U805" s="5" t="s">
        <v>994</v>
      </c>
      <c r="V805" s="89">
        <v>0</v>
      </c>
      <c r="W805" s="15">
        <v>17897801322628</v>
      </c>
      <c r="X805" s="6">
        <v>0.21</v>
      </c>
      <c r="Y805" s="6">
        <v>0.73</v>
      </c>
      <c r="Z805" s="6">
        <v>0.49</v>
      </c>
      <c r="AA805" s="6">
        <v>7.5116999999999989E-2</v>
      </c>
      <c r="AB805" s="8">
        <v>500</v>
      </c>
      <c r="AC805" s="15">
        <v>27897801322625</v>
      </c>
      <c r="AD805" s="4" t="s">
        <v>992</v>
      </c>
    </row>
    <row r="806" spans="2:30" x14ac:dyDescent="0.35">
      <c r="B806" s="18">
        <v>1439</v>
      </c>
      <c r="C806" s="67" t="s">
        <v>2445</v>
      </c>
      <c r="D806" s="24" t="s">
        <v>2370</v>
      </c>
      <c r="E806" s="24" t="s">
        <v>2913</v>
      </c>
      <c r="F806" s="4" t="s">
        <v>85</v>
      </c>
      <c r="G806" s="4" t="s">
        <v>1012</v>
      </c>
      <c r="H806" s="6">
        <v>4.5600000000000002E-2</v>
      </c>
      <c r="I806" s="8">
        <v>63</v>
      </c>
      <c r="J806" s="8">
        <v>62</v>
      </c>
      <c r="K806" s="8">
        <v>63</v>
      </c>
      <c r="L806" s="8">
        <v>246078</v>
      </c>
      <c r="M806" s="15">
        <v>7897801322713</v>
      </c>
      <c r="N806" s="6" t="s">
        <v>20</v>
      </c>
      <c r="O806" s="6" t="s">
        <v>20</v>
      </c>
      <c r="P806" s="6" t="s">
        <v>20</v>
      </c>
      <c r="Q806" s="6">
        <v>0.35</v>
      </c>
      <c r="R806" s="6">
        <v>7.0000000000000007E-2</v>
      </c>
      <c r="S806" s="6">
        <v>0.35</v>
      </c>
      <c r="T806" s="8">
        <v>25</v>
      </c>
      <c r="U806" s="5" t="s">
        <v>994</v>
      </c>
      <c r="V806" s="89">
        <v>0</v>
      </c>
      <c r="W806" s="15">
        <v>17897801322710</v>
      </c>
      <c r="X806" s="6">
        <v>0.56999999999999995</v>
      </c>
      <c r="Y806" s="6">
        <v>0.21</v>
      </c>
      <c r="Z806" s="6">
        <v>0.8</v>
      </c>
      <c r="AA806" s="6" t="s">
        <v>20</v>
      </c>
      <c r="AB806" s="8">
        <v>300</v>
      </c>
      <c r="AC806" s="15">
        <v>27897801322717</v>
      </c>
      <c r="AD806" s="4" t="s">
        <v>992</v>
      </c>
    </row>
    <row r="807" spans="2:30" x14ac:dyDescent="0.35">
      <c r="B807" s="18">
        <v>1440</v>
      </c>
      <c r="C807" s="67" t="s">
        <v>2429</v>
      </c>
      <c r="D807" s="24" t="s">
        <v>2370</v>
      </c>
      <c r="E807" s="24" t="s">
        <v>2913</v>
      </c>
      <c r="F807" s="4" t="s">
        <v>85</v>
      </c>
      <c r="G807" s="4" t="s">
        <v>1012</v>
      </c>
      <c r="H807" s="6">
        <v>8.3500000000000005E-2</v>
      </c>
      <c r="I807" s="8">
        <v>90</v>
      </c>
      <c r="J807" s="8">
        <v>80</v>
      </c>
      <c r="K807" s="8">
        <v>90</v>
      </c>
      <c r="L807" s="8">
        <v>648000</v>
      </c>
      <c r="M807" s="15">
        <v>7897801319072</v>
      </c>
      <c r="N807" s="6" t="s">
        <v>20</v>
      </c>
      <c r="O807" s="6" t="s">
        <v>20</v>
      </c>
      <c r="P807" s="6" t="s">
        <v>20</v>
      </c>
      <c r="Q807" s="6">
        <v>0.37</v>
      </c>
      <c r="R807" s="6">
        <v>0.08</v>
      </c>
      <c r="S807" s="6">
        <v>0.23</v>
      </c>
      <c r="T807" s="8">
        <v>10</v>
      </c>
      <c r="U807" s="5" t="s">
        <v>994</v>
      </c>
      <c r="V807" s="89">
        <v>0</v>
      </c>
      <c r="W807" s="15">
        <v>17897801319079</v>
      </c>
      <c r="X807" s="6" t="s">
        <v>20</v>
      </c>
      <c r="Y807" s="6" t="s">
        <v>20</v>
      </c>
      <c r="Z807" s="6" t="s">
        <v>20</v>
      </c>
      <c r="AA807" s="6" t="s">
        <v>20</v>
      </c>
      <c r="AB807" s="8" t="s">
        <v>20</v>
      </c>
      <c r="AC807" s="15">
        <v>27897801319076</v>
      </c>
      <c r="AD807" s="4" t="s">
        <v>992</v>
      </c>
    </row>
    <row r="808" spans="2:30" x14ac:dyDescent="0.35">
      <c r="B808" s="18">
        <v>1441</v>
      </c>
      <c r="C808" s="67" t="s">
        <v>757</v>
      </c>
      <c r="D808" s="24" t="s">
        <v>2370</v>
      </c>
      <c r="E808" s="24" t="s">
        <v>2913</v>
      </c>
      <c r="F808" s="4" t="s">
        <v>85</v>
      </c>
      <c r="G808" s="4" t="s">
        <v>993</v>
      </c>
      <c r="H808" s="6">
        <v>0.13500000000000001</v>
      </c>
      <c r="I808" s="8">
        <v>80</v>
      </c>
      <c r="J808" s="8">
        <v>110</v>
      </c>
      <c r="K808" s="8">
        <v>110</v>
      </c>
      <c r="L808" s="8">
        <f>J808*I808*K808</f>
        <v>968000</v>
      </c>
      <c r="M808" s="15">
        <v>7897801313919</v>
      </c>
      <c r="N808" s="6" t="s">
        <v>20</v>
      </c>
      <c r="O808" s="6" t="s">
        <v>20</v>
      </c>
      <c r="P808" s="6" t="s">
        <v>20</v>
      </c>
      <c r="Q808" s="6">
        <v>0.4</v>
      </c>
      <c r="R808" s="6">
        <v>0.11</v>
      </c>
      <c r="S808" s="6">
        <v>0.52</v>
      </c>
      <c r="T808" s="8">
        <v>10</v>
      </c>
      <c r="U808" s="5" t="s">
        <v>994</v>
      </c>
      <c r="V808" s="89">
        <v>0</v>
      </c>
      <c r="W808" s="15">
        <v>17897801313916</v>
      </c>
      <c r="X808" s="6" t="s">
        <v>20</v>
      </c>
      <c r="Y808" s="6" t="s">
        <v>20</v>
      </c>
      <c r="Z808" s="6" t="s">
        <v>20</v>
      </c>
      <c r="AA808" s="6" t="s">
        <v>20</v>
      </c>
      <c r="AB808" s="6" t="s">
        <v>20</v>
      </c>
      <c r="AC808" s="15">
        <v>27897801313913</v>
      </c>
      <c r="AD808" s="4" t="s">
        <v>992</v>
      </c>
    </row>
    <row r="809" spans="2:30" x14ac:dyDescent="0.35">
      <c r="B809" s="18">
        <v>1442</v>
      </c>
      <c r="C809" s="67" t="s">
        <v>2363</v>
      </c>
      <c r="D809" s="24" t="s">
        <v>2370</v>
      </c>
      <c r="E809" s="24" t="s">
        <v>2913</v>
      </c>
      <c r="F809" s="4" t="s">
        <v>85</v>
      </c>
      <c r="G809" s="4" t="s">
        <v>993</v>
      </c>
      <c r="H809" s="6">
        <v>0.34560000000000002</v>
      </c>
      <c r="I809" s="8">
        <v>115</v>
      </c>
      <c r="J809" s="8">
        <v>170</v>
      </c>
      <c r="K809" s="8">
        <v>170</v>
      </c>
      <c r="L809" s="28">
        <v>3323500</v>
      </c>
      <c r="M809" s="15">
        <v>7897801322706</v>
      </c>
      <c r="N809" s="6" t="s">
        <v>20</v>
      </c>
      <c r="O809" s="6" t="s">
        <v>20</v>
      </c>
      <c r="P809" s="6" t="s">
        <v>20</v>
      </c>
      <c r="Q809" s="6">
        <v>0.17</v>
      </c>
      <c r="R809" s="6">
        <v>0.17</v>
      </c>
      <c r="S809" s="6">
        <v>0.115</v>
      </c>
      <c r="T809" s="8">
        <v>1</v>
      </c>
      <c r="U809" s="5" t="s">
        <v>994</v>
      </c>
      <c r="V809" s="89">
        <v>0</v>
      </c>
      <c r="W809" s="15">
        <v>17897801322703</v>
      </c>
      <c r="X809" s="6">
        <v>0.32</v>
      </c>
      <c r="Y809" s="6">
        <v>0.17</v>
      </c>
      <c r="Z809" s="6">
        <v>0.46</v>
      </c>
      <c r="AA809" s="6">
        <v>2.5000000000000001E-2</v>
      </c>
      <c r="AB809" s="8">
        <v>5</v>
      </c>
      <c r="AC809" s="15">
        <v>27897801322700</v>
      </c>
      <c r="AD809" s="4" t="s">
        <v>992</v>
      </c>
    </row>
    <row r="810" spans="2:30" x14ac:dyDescent="0.35">
      <c r="B810" s="18">
        <v>1444</v>
      </c>
      <c r="C810" s="67" t="s">
        <v>2364</v>
      </c>
      <c r="D810" s="24" t="s">
        <v>2370</v>
      </c>
      <c r="E810" s="24" t="s">
        <v>2913</v>
      </c>
      <c r="F810" s="4" t="s">
        <v>85</v>
      </c>
      <c r="G810" s="4" t="s">
        <v>993</v>
      </c>
      <c r="H810" s="6">
        <v>3.56E-2</v>
      </c>
      <c r="I810" s="8">
        <v>66</v>
      </c>
      <c r="J810" s="8">
        <v>45</v>
      </c>
      <c r="K810" s="8">
        <v>45</v>
      </c>
      <c r="L810" s="28">
        <v>133650</v>
      </c>
      <c r="M810" s="15">
        <v>7897801322522</v>
      </c>
      <c r="N810" s="6" t="s">
        <v>20</v>
      </c>
      <c r="O810" s="6" t="s">
        <v>20</v>
      </c>
      <c r="P810" s="6" t="s">
        <v>20</v>
      </c>
      <c r="Q810" s="6">
        <v>0.18</v>
      </c>
      <c r="R810" s="6">
        <v>4.5999999999999999E-2</v>
      </c>
      <c r="S810" s="6">
        <v>0.31</v>
      </c>
      <c r="T810" s="8">
        <v>10</v>
      </c>
      <c r="U810" s="5" t="s">
        <v>994</v>
      </c>
      <c r="V810" s="89">
        <v>0</v>
      </c>
      <c r="W810" s="15">
        <v>17897801322529</v>
      </c>
      <c r="X810" s="6">
        <v>0.55000000000000004</v>
      </c>
      <c r="Y810" s="6">
        <v>0.24</v>
      </c>
      <c r="Z810" s="6">
        <v>0.83</v>
      </c>
      <c r="AA810" s="6">
        <v>0.1096</v>
      </c>
      <c r="AB810" s="8">
        <v>400</v>
      </c>
      <c r="AC810" s="15">
        <v>27897801322526</v>
      </c>
      <c r="AD810" s="4" t="s">
        <v>992</v>
      </c>
    </row>
    <row r="811" spans="2:30" x14ac:dyDescent="0.35">
      <c r="B811" s="18">
        <v>1445</v>
      </c>
      <c r="C811" s="67" t="s">
        <v>2356</v>
      </c>
      <c r="D811" s="24" t="s">
        <v>2370</v>
      </c>
      <c r="E811" s="24" t="s">
        <v>2913</v>
      </c>
      <c r="F811" s="4" t="s">
        <v>85</v>
      </c>
      <c r="G811" s="4" t="s">
        <v>993</v>
      </c>
      <c r="H811" s="6">
        <v>6.8699999999999997E-2</v>
      </c>
      <c r="I811" s="8">
        <v>80</v>
      </c>
      <c r="J811" s="8">
        <v>80</v>
      </c>
      <c r="K811" s="8">
        <v>68</v>
      </c>
      <c r="L811" s="8">
        <v>435200</v>
      </c>
      <c r="M811" s="15">
        <v>7897801322515</v>
      </c>
      <c r="N811" s="6" t="s">
        <v>20</v>
      </c>
      <c r="O811" s="6" t="s">
        <v>20</v>
      </c>
      <c r="P811" s="6" t="s">
        <v>20</v>
      </c>
      <c r="Q811" s="6">
        <v>0.2</v>
      </c>
      <c r="R811" s="6">
        <v>8.5000000000000006E-2</v>
      </c>
      <c r="S811" s="6">
        <v>0.28000000000000003</v>
      </c>
      <c r="T811" s="8">
        <v>10</v>
      </c>
      <c r="U811" s="5" t="s">
        <v>994</v>
      </c>
      <c r="V811" s="89">
        <v>0</v>
      </c>
      <c r="W811" s="15">
        <v>17897801322512</v>
      </c>
      <c r="X811" s="6">
        <v>0.54</v>
      </c>
      <c r="Y811" s="6">
        <v>0.22</v>
      </c>
      <c r="Z811" s="6">
        <v>0.82</v>
      </c>
      <c r="AA811" s="6">
        <v>9.7416000000000003E-2</v>
      </c>
      <c r="AB811" s="8">
        <v>200</v>
      </c>
      <c r="AC811" s="15">
        <v>27897801322519</v>
      </c>
      <c r="AD811" s="4" t="s">
        <v>992</v>
      </c>
    </row>
    <row r="812" spans="2:30" x14ac:dyDescent="0.35">
      <c r="B812" s="18">
        <v>1446</v>
      </c>
      <c r="C812" s="67" t="s">
        <v>2336</v>
      </c>
      <c r="D812" s="24" t="s">
        <v>2370</v>
      </c>
      <c r="E812" s="24" t="s">
        <v>2913</v>
      </c>
      <c r="F812" s="4" t="s">
        <v>85</v>
      </c>
      <c r="G812" s="4" t="s">
        <v>993</v>
      </c>
      <c r="H812" s="6">
        <v>0.1196</v>
      </c>
      <c r="I812" s="8">
        <v>90</v>
      </c>
      <c r="J812" s="8">
        <v>90</v>
      </c>
      <c r="K812" s="8">
        <v>90</v>
      </c>
      <c r="L812" s="28">
        <v>729000</v>
      </c>
      <c r="M812" s="15">
        <v>7897801322508</v>
      </c>
      <c r="N812" s="6" t="s">
        <v>20</v>
      </c>
      <c r="O812" s="6" t="s">
        <v>20</v>
      </c>
      <c r="P812" s="6" t="s">
        <v>20</v>
      </c>
      <c r="Q812" s="6">
        <v>0.23</v>
      </c>
      <c r="R812" s="6">
        <v>0.11</v>
      </c>
      <c r="S812" s="6">
        <v>0.43</v>
      </c>
      <c r="T812" s="8">
        <v>10</v>
      </c>
      <c r="U812" s="5" t="s">
        <v>994</v>
      </c>
      <c r="V812" s="89">
        <v>0</v>
      </c>
      <c r="W812" s="15">
        <v>17897801322505</v>
      </c>
      <c r="X812" s="27">
        <v>0.49</v>
      </c>
      <c r="Y812" s="27">
        <v>0.24</v>
      </c>
      <c r="Z812" s="27">
        <v>0.75</v>
      </c>
      <c r="AA812" s="27">
        <v>8.8200000000000001E-2</v>
      </c>
      <c r="AB812" s="28">
        <v>100</v>
      </c>
      <c r="AC812" s="29">
        <v>27897801322502</v>
      </c>
      <c r="AD812" s="4" t="s">
        <v>992</v>
      </c>
    </row>
    <row r="813" spans="2:30" x14ac:dyDescent="0.35">
      <c r="B813" s="18">
        <v>1447</v>
      </c>
      <c r="C813" s="67" t="s">
        <v>2337</v>
      </c>
      <c r="D813" s="24" t="s">
        <v>2370</v>
      </c>
      <c r="E813" s="24" t="s">
        <v>2913</v>
      </c>
      <c r="F813" s="4" t="s">
        <v>85</v>
      </c>
      <c r="G813" s="4" t="s">
        <v>993</v>
      </c>
      <c r="H813" s="6">
        <v>0.25130000000000002</v>
      </c>
      <c r="I813" s="8">
        <v>134</v>
      </c>
      <c r="J813" s="8">
        <v>118</v>
      </c>
      <c r="K813" s="8">
        <v>118</v>
      </c>
      <c r="L813" s="28">
        <v>1865816</v>
      </c>
      <c r="M813" s="15">
        <v>7897801322461</v>
      </c>
      <c r="N813" s="6" t="s">
        <v>20</v>
      </c>
      <c r="O813" s="6" t="s">
        <v>20</v>
      </c>
      <c r="P813" s="6" t="s">
        <v>20</v>
      </c>
      <c r="Q813" s="6">
        <v>0.35</v>
      </c>
      <c r="R813" s="6">
        <v>0.11799999999999999</v>
      </c>
      <c r="S813" s="6">
        <v>0.49</v>
      </c>
      <c r="T813" s="8">
        <v>10</v>
      </c>
      <c r="U813" s="5" t="s">
        <v>994</v>
      </c>
      <c r="V813" s="89">
        <v>0</v>
      </c>
      <c r="W813" s="15">
        <v>17897801322468</v>
      </c>
      <c r="X813" s="6" t="s">
        <v>20</v>
      </c>
      <c r="Y813" s="6" t="s">
        <v>20</v>
      </c>
      <c r="Z813" s="6" t="s">
        <v>20</v>
      </c>
      <c r="AA813" s="6" t="s">
        <v>20</v>
      </c>
      <c r="AB813" s="6" t="s">
        <v>20</v>
      </c>
      <c r="AC813" s="6" t="s">
        <v>20</v>
      </c>
      <c r="AD813" s="4" t="s">
        <v>992</v>
      </c>
    </row>
    <row r="814" spans="2:30" x14ac:dyDescent="0.35">
      <c r="B814" s="18">
        <v>1448</v>
      </c>
      <c r="C814" s="67" t="s">
        <v>2349</v>
      </c>
      <c r="D814" s="24" t="s">
        <v>2370</v>
      </c>
      <c r="E814" s="24" t="s">
        <v>2913</v>
      </c>
      <c r="F814" s="4" t="s">
        <v>85</v>
      </c>
      <c r="G814" s="4" t="s">
        <v>993</v>
      </c>
      <c r="H814" s="6">
        <v>0.53800000000000003</v>
      </c>
      <c r="I814" s="8">
        <v>145</v>
      </c>
      <c r="J814" s="8">
        <v>175</v>
      </c>
      <c r="K814" s="8">
        <v>175</v>
      </c>
      <c r="L814" s="8">
        <v>4440625</v>
      </c>
      <c r="M814" s="15">
        <v>7897801322690</v>
      </c>
      <c r="N814" s="6" t="s">
        <v>20</v>
      </c>
      <c r="O814" s="6" t="s">
        <v>20</v>
      </c>
      <c r="P814" s="6" t="s">
        <v>20</v>
      </c>
      <c r="Q814" s="6">
        <v>0.17499999999999999</v>
      </c>
      <c r="R814" s="6">
        <v>0.17499999999999999</v>
      </c>
      <c r="S814" s="6">
        <v>0.14499999999999999</v>
      </c>
      <c r="T814" s="8">
        <v>1</v>
      </c>
      <c r="U814" s="5" t="s">
        <v>994</v>
      </c>
      <c r="V814" s="89">
        <v>0</v>
      </c>
      <c r="W814" s="15">
        <v>17897801322697</v>
      </c>
      <c r="X814" s="6">
        <v>0.47</v>
      </c>
      <c r="Y814" s="6">
        <v>0.17</v>
      </c>
      <c r="Z814" s="6">
        <v>0.62</v>
      </c>
      <c r="AA814" s="6">
        <v>4.9537999999999999E-2</v>
      </c>
      <c r="AB814" s="8">
        <v>5</v>
      </c>
      <c r="AC814" s="15">
        <v>27897801322694</v>
      </c>
      <c r="AD814" s="4" t="s">
        <v>992</v>
      </c>
    </row>
    <row r="815" spans="2:30" x14ac:dyDescent="0.35">
      <c r="B815" s="18">
        <v>1450</v>
      </c>
      <c r="C815" s="67" t="s">
        <v>2430</v>
      </c>
      <c r="D815" s="24" t="s">
        <v>2370</v>
      </c>
      <c r="E815" s="24" t="s">
        <v>2913</v>
      </c>
      <c r="F815" s="4" t="s">
        <v>85</v>
      </c>
      <c r="G815" s="4" t="s">
        <v>1012</v>
      </c>
      <c r="H815" s="6">
        <v>9.35E-2</v>
      </c>
      <c r="I815" s="8">
        <v>103</v>
      </c>
      <c r="J815" s="8">
        <v>75</v>
      </c>
      <c r="K815" s="8">
        <v>75</v>
      </c>
      <c r="L815" s="8">
        <v>579375</v>
      </c>
      <c r="M815" s="15">
        <v>7897801322492</v>
      </c>
      <c r="N815" s="6" t="s">
        <v>20</v>
      </c>
      <c r="O815" s="6" t="s">
        <v>20</v>
      </c>
      <c r="P815" s="6" t="s">
        <v>20</v>
      </c>
      <c r="Q815" s="6">
        <v>0.4</v>
      </c>
      <c r="R815" s="6">
        <v>0.28000000000000003</v>
      </c>
      <c r="S815" s="6">
        <v>7.4999999999999997E-2</v>
      </c>
      <c r="T815" s="8">
        <v>10</v>
      </c>
      <c r="U815" s="5" t="s">
        <v>994</v>
      </c>
      <c r="V815" s="89">
        <v>0</v>
      </c>
      <c r="W815" s="15">
        <v>17897801322499</v>
      </c>
      <c r="X815" s="6">
        <v>0.79</v>
      </c>
      <c r="Y815" s="6">
        <v>0.56999999999999995</v>
      </c>
      <c r="Z815" s="6">
        <v>0.28999999999999998</v>
      </c>
      <c r="AA815" s="6">
        <v>0.13059999999999999</v>
      </c>
      <c r="AB815" s="8">
        <v>140</v>
      </c>
      <c r="AC815" s="15">
        <v>27897801322496</v>
      </c>
      <c r="AD815" s="4" t="s">
        <v>992</v>
      </c>
    </row>
    <row r="816" spans="2:30" x14ac:dyDescent="0.35">
      <c r="B816" s="18">
        <v>1451</v>
      </c>
      <c r="C816" s="67" t="s">
        <v>2362</v>
      </c>
      <c r="D816" s="24" t="s">
        <v>2370</v>
      </c>
      <c r="E816" s="24" t="s">
        <v>2913</v>
      </c>
      <c r="F816" s="4" t="s">
        <v>85</v>
      </c>
      <c r="G816" s="4" t="s">
        <v>993</v>
      </c>
      <c r="H816" s="6">
        <v>0.74060000000000004</v>
      </c>
      <c r="I816" s="8">
        <v>172</v>
      </c>
      <c r="J816" s="8">
        <v>200</v>
      </c>
      <c r="K816" s="8">
        <v>200</v>
      </c>
      <c r="L816" s="28">
        <v>6880000</v>
      </c>
      <c r="M816" s="15">
        <v>7897801322683</v>
      </c>
      <c r="N816" s="6" t="s">
        <v>20</v>
      </c>
      <c r="O816" s="6" t="s">
        <v>20</v>
      </c>
      <c r="P816" s="6" t="s">
        <v>20</v>
      </c>
      <c r="Q816" s="6">
        <v>0.2</v>
      </c>
      <c r="R816" s="6">
        <v>0.2</v>
      </c>
      <c r="S816" s="6">
        <v>0.17199999999999999</v>
      </c>
      <c r="T816" s="8">
        <v>1</v>
      </c>
      <c r="U816" s="5" t="s">
        <v>994</v>
      </c>
      <c r="V816" s="89">
        <v>0</v>
      </c>
      <c r="W816" s="15">
        <v>17897801322680</v>
      </c>
      <c r="X816" s="6">
        <v>0.2</v>
      </c>
      <c r="Y816" s="6">
        <v>0.42</v>
      </c>
      <c r="Z816" s="6">
        <v>0.64</v>
      </c>
      <c r="AA816" s="6">
        <v>5.3800000000000001E-2</v>
      </c>
      <c r="AB816" s="8">
        <v>12</v>
      </c>
      <c r="AC816" s="15">
        <v>27897801322687</v>
      </c>
      <c r="AD816" s="4" t="s">
        <v>992</v>
      </c>
    </row>
    <row r="817" spans="2:30" x14ac:dyDescent="0.35">
      <c r="B817" s="18">
        <v>1452</v>
      </c>
      <c r="C817" s="67" t="s">
        <v>758</v>
      </c>
      <c r="D817" s="24" t="s">
        <v>2370</v>
      </c>
      <c r="E817" s="24" t="s">
        <v>2913</v>
      </c>
      <c r="F817" s="4" t="s">
        <v>85</v>
      </c>
      <c r="G817" s="4" t="s">
        <v>993</v>
      </c>
      <c r="H817" s="6">
        <v>0.158</v>
      </c>
      <c r="I817" s="8">
        <v>120</v>
      </c>
      <c r="J817" s="8">
        <v>110</v>
      </c>
      <c r="K817" s="8">
        <v>90</v>
      </c>
      <c r="L817" s="8">
        <f>J817*I817*K817</f>
        <v>1188000</v>
      </c>
      <c r="M817" s="15">
        <v>7897801313926</v>
      </c>
      <c r="N817" s="6" t="s">
        <v>20</v>
      </c>
      <c r="O817" s="6" t="s">
        <v>20</v>
      </c>
      <c r="P817" s="6" t="s">
        <v>20</v>
      </c>
      <c r="Q817" s="6">
        <v>0.4</v>
      </c>
      <c r="R817" s="6">
        <v>0.11</v>
      </c>
      <c r="S817" s="6">
        <v>0.43</v>
      </c>
      <c r="T817" s="8">
        <v>10</v>
      </c>
      <c r="U817" s="5" t="s">
        <v>994</v>
      </c>
      <c r="V817" s="89">
        <v>0</v>
      </c>
      <c r="W817" s="15">
        <v>17897801313923</v>
      </c>
      <c r="X817" s="6" t="s">
        <v>20</v>
      </c>
      <c r="Y817" s="6" t="s">
        <v>20</v>
      </c>
      <c r="Z817" s="6" t="s">
        <v>20</v>
      </c>
      <c r="AA817" s="6" t="s">
        <v>20</v>
      </c>
      <c r="AB817" s="6" t="s">
        <v>20</v>
      </c>
      <c r="AC817" s="15">
        <v>27897801313920</v>
      </c>
      <c r="AD817" s="4" t="s">
        <v>992</v>
      </c>
    </row>
    <row r="818" spans="2:30" x14ac:dyDescent="0.35">
      <c r="B818" s="18">
        <v>1453</v>
      </c>
      <c r="C818" s="67" t="s">
        <v>2338</v>
      </c>
      <c r="D818" s="24" t="s">
        <v>2370</v>
      </c>
      <c r="E818" s="24" t="s">
        <v>2913</v>
      </c>
      <c r="F818" s="4" t="s">
        <v>85</v>
      </c>
      <c r="G818" s="4" t="s">
        <v>993</v>
      </c>
      <c r="H818" s="6">
        <v>0.35799999999999998</v>
      </c>
      <c r="I818" s="8">
        <v>150</v>
      </c>
      <c r="J818" s="8">
        <v>145</v>
      </c>
      <c r="K818" s="8">
        <v>150</v>
      </c>
      <c r="L818" s="28">
        <v>3262500</v>
      </c>
      <c r="M818" s="15">
        <v>7897801322454</v>
      </c>
      <c r="N818" s="6" t="s">
        <v>20</v>
      </c>
      <c r="O818" s="6" t="s">
        <v>20</v>
      </c>
      <c r="P818" s="6" t="s">
        <v>20</v>
      </c>
      <c r="Q818" s="6">
        <v>0.15</v>
      </c>
      <c r="R818" s="6">
        <v>0.25</v>
      </c>
      <c r="S818" s="6">
        <v>0.33</v>
      </c>
      <c r="T818" s="8">
        <v>5</v>
      </c>
      <c r="U818" s="5" t="s">
        <v>994</v>
      </c>
      <c r="V818" s="89">
        <v>0</v>
      </c>
      <c r="W818" s="15">
        <v>17897801322451</v>
      </c>
      <c r="X818" s="6" t="s">
        <v>20</v>
      </c>
      <c r="Y818" s="6" t="s">
        <v>20</v>
      </c>
      <c r="Z818" s="6" t="s">
        <v>20</v>
      </c>
      <c r="AA818" s="6" t="s">
        <v>20</v>
      </c>
      <c r="AB818" s="6" t="s">
        <v>20</v>
      </c>
      <c r="AC818" s="6" t="s">
        <v>20</v>
      </c>
      <c r="AD818" s="4" t="s">
        <v>992</v>
      </c>
    </row>
    <row r="819" spans="2:30" x14ac:dyDescent="0.35">
      <c r="B819" s="18">
        <v>1456</v>
      </c>
      <c r="C819" s="67" t="s">
        <v>2350</v>
      </c>
      <c r="D819" s="24" t="s">
        <v>2370</v>
      </c>
      <c r="E819" s="24" t="s">
        <v>2913</v>
      </c>
      <c r="F819" s="4" t="s">
        <v>85</v>
      </c>
      <c r="G819" s="4" t="s">
        <v>993</v>
      </c>
      <c r="H819" s="6">
        <v>4.5600000000000002E-2</v>
      </c>
      <c r="I819" s="8">
        <v>79</v>
      </c>
      <c r="J819" s="8">
        <v>61</v>
      </c>
      <c r="K819" s="8">
        <v>46</v>
      </c>
      <c r="L819" s="8">
        <v>221674</v>
      </c>
      <c r="M819" s="15">
        <v>7897801322553</v>
      </c>
      <c r="N819" s="6" t="s">
        <v>20</v>
      </c>
      <c r="O819" s="6" t="s">
        <v>20</v>
      </c>
      <c r="P819" s="6" t="s">
        <v>20</v>
      </c>
      <c r="Q819" s="6">
        <v>0.24</v>
      </c>
      <c r="R819" s="6">
        <v>0.62</v>
      </c>
      <c r="S819" s="6">
        <v>0.28999999999999998</v>
      </c>
      <c r="T819" s="8">
        <v>10</v>
      </c>
      <c r="U819" s="5" t="s">
        <v>994</v>
      </c>
      <c r="V819" s="89">
        <v>0</v>
      </c>
      <c r="W819" s="15">
        <v>17897801322550</v>
      </c>
      <c r="X819" s="6">
        <v>0.24</v>
      </c>
      <c r="Y819" s="6">
        <v>0.62</v>
      </c>
      <c r="Z819" s="6">
        <v>0.28999999999999998</v>
      </c>
      <c r="AA819" s="6">
        <v>4.3151999999999996E-2</v>
      </c>
      <c r="AB819" s="8">
        <v>200</v>
      </c>
      <c r="AC819" s="15">
        <v>27897801322557</v>
      </c>
      <c r="AD819" s="4" t="s">
        <v>992</v>
      </c>
    </row>
    <row r="820" spans="2:30" x14ac:dyDescent="0.35">
      <c r="B820" s="18">
        <v>1457</v>
      </c>
      <c r="C820" s="67" t="s">
        <v>2431</v>
      </c>
      <c r="D820" s="24" t="s">
        <v>2370</v>
      </c>
      <c r="E820" s="24" t="s">
        <v>2913</v>
      </c>
      <c r="F820" s="4" t="s">
        <v>85</v>
      </c>
      <c r="G820" s="4" t="s">
        <v>1012</v>
      </c>
      <c r="H820" s="6">
        <v>0.1222</v>
      </c>
      <c r="I820" s="8">
        <v>145</v>
      </c>
      <c r="J820" s="8">
        <v>63</v>
      </c>
      <c r="K820" s="8">
        <v>115</v>
      </c>
      <c r="L820" s="8">
        <v>1050525</v>
      </c>
      <c r="M820" s="15">
        <v>7897801322485</v>
      </c>
      <c r="N820" s="6" t="s">
        <v>20</v>
      </c>
      <c r="O820" s="6" t="s">
        <v>20</v>
      </c>
      <c r="P820" s="6" t="s">
        <v>20</v>
      </c>
      <c r="Q820" s="6">
        <v>0.3</v>
      </c>
      <c r="R820" s="6">
        <v>0.105</v>
      </c>
      <c r="S820" s="6">
        <v>0.53</v>
      </c>
      <c r="T820" s="8">
        <v>10</v>
      </c>
      <c r="U820" s="5" t="s">
        <v>994</v>
      </c>
      <c r="V820" s="89">
        <v>0</v>
      </c>
      <c r="W820" s="15">
        <v>17897801322482</v>
      </c>
      <c r="X820" s="6">
        <v>0.59</v>
      </c>
      <c r="Y820" s="6">
        <v>0.24</v>
      </c>
      <c r="Z820" s="6">
        <v>0.85</v>
      </c>
      <c r="AA820" s="6">
        <v>0.12039999999999999</v>
      </c>
      <c r="AB820" s="8">
        <v>90</v>
      </c>
      <c r="AC820" s="15">
        <v>27897801322489</v>
      </c>
      <c r="AD820" s="4" t="s">
        <v>992</v>
      </c>
    </row>
    <row r="821" spans="2:30" x14ac:dyDescent="0.35">
      <c r="B821" s="18">
        <v>1458</v>
      </c>
      <c r="C821" s="67" t="s">
        <v>759</v>
      </c>
      <c r="D821" s="24" t="s">
        <v>2370</v>
      </c>
      <c r="E821" s="24" t="s">
        <v>2913</v>
      </c>
      <c r="F821" s="4" t="s">
        <v>85</v>
      </c>
      <c r="G821" s="4" t="s">
        <v>993</v>
      </c>
      <c r="H821" s="6">
        <v>0.23499999999999999</v>
      </c>
      <c r="I821" s="8">
        <v>180</v>
      </c>
      <c r="J821" s="8">
        <v>150</v>
      </c>
      <c r="K821" s="8">
        <v>90</v>
      </c>
      <c r="L821" s="8">
        <f>J821*I821*K821</f>
        <v>2430000</v>
      </c>
      <c r="M821" s="15">
        <v>7897801313933</v>
      </c>
      <c r="N821" s="6" t="s">
        <v>20</v>
      </c>
      <c r="O821" s="6" t="s">
        <v>20</v>
      </c>
      <c r="P821" s="6" t="s">
        <v>20</v>
      </c>
      <c r="Q821" s="6">
        <v>0.38</v>
      </c>
      <c r="R821" s="6">
        <v>0.18</v>
      </c>
      <c r="S821" s="6">
        <v>0.6</v>
      </c>
      <c r="T821" s="8">
        <v>10</v>
      </c>
      <c r="U821" s="5" t="s">
        <v>994</v>
      </c>
      <c r="V821" s="89">
        <v>0</v>
      </c>
      <c r="W821" s="15">
        <v>17897801313930</v>
      </c>
      <c r="X821" s="6" t="s">
        <v>20</v>
      </c>
      <c r="Y821" s="6" t="s">
        <v>20</v>
      </c>
      <c r="Z821" s="6" t="s">
        <v>20</v>
      </c>
      <c r="AA821" s="6" t="s">
        <v>20</v>
      </c>
      <c r="AB821" s="6" t="s">
        <v>20</v>
      </c>
      <c r="AC821" s="15">
        <v>27897801313937</v>
      </c>
      <c r="AD821" s="4" t="s">
        <v>992</v>
      </c>
    </row>
    <row r="822" spans="2:30" x14ac:dyDescent="0.35">
      <c r="B822" s="18">
        <v>1459</v>
      </c>
      <c r="C822" s="67" t="s">
        <v>760</v>
      </c>
      <c r="D822" s="24" t="s">
        <v>2370</v>
      </c>
      <c r="E822" s="24" t="s">
        <v>2913</v>
      </c>
      <c r="F822" s="4" t="s">
        <v>85</v>
      </c>
      <c r="G822" s="4" t="s">
        <v>993</v>
      </c>
      <c r="H822" s="6">
        <v>0.437</v>
      </c>
      <c r="I822" s="8">
        <v>165</v>
      </c>
      <c r="J822" s="8">
        <v>210</v>
      </c>
      <c r="K822" s="8">
        <v>110</v>
      </c>
      <c r="L822" s="8">
        <f>J822*I822*K822</f>
        <v>3811500</v>
      </c>
      <c r="M822" s="15">
        <v>7897801313940</v>
      </c>
      <c r="N822" s="6" t="s">
        <v>20</v>
      </c>
      <c r="O822" s="6" t="s">
        <v>20</v>
      </c>
      <c r="P822" s="6" t="s">
        <v>20</v>
      </c>
      <c r="Q822" s="6">
        <v>0.35</v>
      </c>
      <c r="R822" s="6">
        <v>0.12</v>
      </c>
      <c r="S822" s="6">
        <v>0.43</v>
      </c>
      <c r="T822" s="8">
        <v>4</v>
      </c>
      <c r="U822" s="5" t="s">
        <v>994</v>
      </c>
      <c r="V822" s="89">
        <v>0</v>
      </c>
      <c r="W822" s="15">
        <v>17897801313947</v>
      </c>
      <c r="X822" s="6" t="s">
        <v>20</v>
      </c>
      <c r="Y822" s="6" t="s">
        <v>20</v>
      </c>
      <c r="Z822" s="6" t="s">
        <v>20</v>
      </c>
      <c r="AA822" s="6" t="s">
        <v>20</v>
      </c>
      <c r="AB822" s="6" t="s">
        <v>20</v>
      </c>
      <c r="AC822" s="15">
        <v>27897801313944</v>
      </c>
      <c r="AD822" s="4" t="s">
        <v>992</v>
      </c>
    </row>
    <row r="823" spans="2:30" x14ac:dyDescent="0.35">
      <c r="B823" s="18">
        <v>1460</v>
      </c>
      <c r="C823" s="68" t="s">
        <v>2357</v>
      </c>
      <c r="D823" s="24" t="s">
        <v>2370</v>
      </c>
      <c r="E823" s="24" t="s">
        <v>2913</v>
      </c>
      <c r="F823" s="4" t="s">
        <v>85</v>
      </c>
      <c r="G823" s="4" t="s">
        <v>1012</v>
      </c>
      <c r="H823" s="6">
        <v>1.0591999999999999</v>
      </c>
      <c r="I823" s="8">
        <v>290</v>
      </c>
      <c r="J823" s="8">
        <v>250</v>
      </c>
      <c r="K823" s="8">
        <v>172</v>
      </c>
      <c r="L823" s="28">
        <v>12470000</v>
      </c>
      <c r="M823" s="15">
        <v>7897801322676</v>
      </c>
      <c r="N823" s="6" t="s">
        <v>20</v>
      </c>
      <c r="O823" s="6" t="s">
        <v>20</v>
      </c>
      <c r="P823" s="6" t="s">
        <v>20</v>
      </c>
      <c r="Q823" s="6">
        <v>0.17199999999999999</v>
      </c>
      <c r="R823" s="6">
        <v>0.25</v>
      </c>
      <c r="S823" s="6">
        <v>0.28999999999999998</v>
      </c>
      <c r="T823" s="8">
        <v>1</v>
      </c>
      <c r="U823" s="5" t="s">
        <v>994</v>
      </c>
      <c r="V823" s="89">
        <v>0</v>
      </c>
      <c r="W823" s="15">
        <v>17897801322673</v>
      </c>
      <c r="X823" s="6">
        <v>0.23</v>
      </c>
      <c r="Y823" s="6">
        <v>0.5</v>
      </c>
      <c r="Z823" s="6">
        <v>0.7</v>
      </c>
      <c r="AA823" s="6">
        <v>8.0500000000000002E-2</v>
      </c>
      <c r="AB823" s="8">
        <v>5</v>
      </c>
      <c r="AC823" s="8">
        <v>27897801322670</v>
      </c>
      <c r="AD823" s="4" t="s">
        <v>992</v>
      </c>
    </row>
    <row r="824" spans="2:30" x14ac:dyDescent="0.35">
      <c r="B824" s="18">
        <v>1462</v>
      </c>
      <c r="C824" s="67" t="s">
        <v>2361</v>
      </c>
      <c r="D824" s="24" t="s">
        <v>2370</v>
      </c>
      <c r="E824" s="24" t="s">
        <v>2913</v>
      </c>
      <c r="F824" s="4" t="s">
        <v>85</v>
      </c>
      <c r="G824" s="4" t="s">
        <v>993</v>
      </c>
      <c r="H824" s="6">
        <v>0.185</v>
      </c>
      <c r="I824" s="8">
        <v>151</v>
      </c>
      <c r="J824" s="8">
        <v>130</v>
      </c>
      <c r="K824" s="8">
        <v>90</v>
      </c>
      <c r="L824" s="28">
        <v>1766700</v>
      </c>
      <c r="M824" s="15">
        <v>7897801322478</v>
      </c>
      <c r="N824" s="6" t="s">
        <v>20</v>
      </c>
      <c r="O824" s="6" t="s">
        <v>20</v>
      </c>
      <c r="P824" s="6" t="s">
        <v>20</v>
      </c>
      <c r="Q824" s="6">
        <v>0.38</v>
      </c>
      <c r="R824" s="6">
        <v>0.13</v>
      </c>
      <c r="S824" s="6">
        <v>0.43</v>
      </c>
      <c r="T824" s="8">
        <v>10</v>
      </c>
      <c r="U824" s="5" t="s">
        <v>994</v>
      </c>
      <c r="V824" s="89">
        <v>0</v>
      </c>
      <c r="W824" s="15">
        <v>17897801322475</v>
      </c>
      <c r="X824" s="6" t="s">
        <v>20</v>
      </c>
      <c r="Y824" s="6" t="s">
        <v>20</v>
      </c>
      <c r="Z824" s="6" t="s">
        <v>20</v>
      </c>
      <c r="AA824" s="6" t="s">
        <v>20</v>
      </c>
      <c r="AB824" s="6" t="s">
        <v>20</v>
      </c>
      <c r="AC824" s="15">
        <v>27897801322472</v>
      </c>
      <c r="AD824" s="4" t="s">
        <v>992</v>
      </c>
    </row>
    <row r="825" spans="2:30" x14ac:dyDescent="0.35">
      <c r="B825" s="18">
        <v>1463</v>
      </c>
      <c r="C825" s="67" t="s">
        <v>2436</v>
      </c>
      <c r="D825" s="24" t="s">
        <v>2370</v>
      </c>
      <c r="E825" s="24" t="s">
        <v>2913</v>
      </c>
      <c r="F825" s="4" t="s">
        <v>85</v>
      </c>
      <c r="G825" s="4" t="s">
        <v>993</v>
      </c>
      <c r="H825" s="6">
        <v>0.29199999999999998</v>
      </c>
      <c r="I825" s="8">
        <v>160</v>
      </c>
      <c r="J825" s="8">
        <v>120</v>
      </c>
      <c r="K825" s="8">
        <v>150</v>
      </c>
      <c r="L825" s="8">
        <v>2880000</v>
      </c>
      <c r="M825" s="15">
        <v>7897801313957</v>
      </c>
      <c r="N825" s="6" t="s">
        <v>20</v>
      </c>
      <c r="O825" s="6" t="s">
        <v>20</v>
      </c>
      <c r="P825" s="6" t="s">
        <v>20</v>
      </c>
      <c r="Q825" s="6">
        <v>0.45</v>
      </c>
      <c r="R825" s="6">
        <v>0.19</v>
      </c>
      <c r="S825" s="6">
        <v>0.6</v>
      </c>
      <c r="T825" s="8">
        <v>5</v>
      </c>
      <c r="U825" s="5" t="s">
        <v>994</v>
      </c>
      <c r="V825" s="89">
        <v>0</v>
      </c>
      <c r="W825" s="15">
        <v>17897801313954</v>
      </c>
      <c r="X825" s="6" t="s">
        <v>20</v>
      </c>
      <c r="Y825" s="6" t="s">
        <v>20</v>
      </c>
      <c r="Z825" s="6" t="s">
        <v>20</v>
      </c>
      <c r="AA825" s="6" t="s">
        <v>20</v>
      </c>
      <c r="AB825" s="8" t="s">
        <v>2424</v>
      </c>
      <c r="AC825" s="15">
        <v>27897801313951</v>
      </c>
      <c r="AD825" s="4" t="s">
        <v>992</v>
      </c>
    </row>
    <row r="826" spans="2:30" x14ac:dyDescent="0.35">
      <c r="B826" s="18">
        <v>1464</v>
      </c>
      <c r="C826" s="67" t="s">
        <v>2432</v>
      </c>
      <c r="D826" s="24" t="s">
        <v>2370</v>
      </c>
      <c r="E826" s="24" t="s">
        <v>2913</v>
      </c>
      <c r="F826" s="4" t="s">
        <v>85</v>
      </c>
      <c r="G826" s="4" t="s">
        <v>1012</v>
      </c>
      <c r="H826" s="6">
        <v>0.35510000000000003</v>
      </c>
      <c r="I826" s="8">
        <v>185</v>
      </c>
      <c r="J826" s="8">
        <v>115</v>
      </c>
      <c r="K826" s="8">
        <v>160</v>
      </c>
      <c r="L826" s="28">
        <v>3404000</v>
      </c>
      <c r="M826" s="15">
        <v>7897801322447</v>
      </c>
      <c r="N826" s="6" t="s">
        <v>20</v>
      </c>
      <c r="O826" s="6" t="s">
        <v>20</v>
      </c>
      <c r="P826" s="6" t="s">
        <v>20</v>
      </c>
      <c r="Q826" s="6">
        <v>0.41</v>
      </c>
      <c r="R826" s="6">
        <v>0.12</v>
      </c>
      <c r="S826" s="6">
        <v>0.56000000000000005</v>
      </c>
      <c r="T826" s="8">
        <v>1</v>
      </c>
      <c r="U826" s="5" t="s">
        <v>994</v>
      </c>
      <c r="V826" s="89">
        <v>0</v>
      </c>
      <c r="W826" s="15">
        <v>17897801322444</v>
      </c>
      <c r="X826" s="6">
        <v>0.32</v>
      </c>
      <c r="Y826" s="6">
        <v>0.17</v>
      </c>
      <c r="Z826" s="6">
        <v>0.46</v>
      </c>
      <c r="AA826" s="6">
        <v>2.5000000000000001E-2</v>
      </c>
      <c r="AB826" s="6">
        <v>5</v>
      </c>
      <c r="AC826" s="15">
        <v>27897801322441</v>
      </c>
      <c r="AD826" s="4" t="s">
        <v>992</v>
      </c>
    </row>
    <row r="827" spans="2:30" x14ac:dyDescent="0.35">
      <c r="B827" s="18">
        <v>1465</v>
      </c>
      <c r="C827" s="67" t="s">
        <v>2433</v>
      </c>
      <c r="D827" s="24" t="s">
        <v>2370</v>
      </c>
      <c r="E827" s="24" t="s">
        <v>2913</v>
      </c>
      <c r="F827" s="4" t="s">
        <v>85</v>
      </c>
      <c r="G827" s="4" t="s">
        <v>1012</v>
      </c>
      <c r="H827" s="6">
        <v>0.78500000000000003</v>
      </c>
      <c r="I827" s="8">
        <v>170</v>
      </c>
      <c r="J827" s="8">
        <v>240</v>
      </c>
      <c r="K827" s="8">
        <v>220</v>
      </c>
      <c r="L827" s="28">
        <v>8976000</v>
      </c>
      <c r="M827" s="15">
        <v>7897801322430</v>
      </c>
      <c r="N827" s="6" t="s">
        <v>20</v>
      </c>
      <c r="O827" s="6" t="s">
        <v>20</v>
      </c>
      <c r="P827" s="6" t="s">
        <v>20</v>
      </c>
      <c r="Q827" s="6">
        <v>0.22</v>
      </c>
      <c r="R827" s="6">
        <v>0.24</v>
      </c>
      <c r="S827" s="6">
        <v>0.17</v>
      </c>
      <c r="T827" s="8">
        <v>1</v>
      </c>
      <c r="U827" s="5" t="s">
        <v>994</v>
      </c>
      <c r="V827" s="89">
        <v>0</v>
      </c>
      <c r="W827" s="15">
        <v>17897801322437</v>
      </c>
      <c r="X827" s="6">
        <v>0.46</v>
      </c>
      <c r="Y827" s="6">
        <v>0.24</v>
      </c>
      <c r="Z827" s="6">
        <v>0.31</v>
      </c>
      <c r="AA827" s="6">
        <v>3.4200000000000001E-2</v>
      </c>
      <c r="AB827" s="6">
        <v>5</v>
      </c>
      <c r="AC827" s="15">
        <v>27897801322434</v>
      </c>
      <c r="AD827" s="4" t="s">
        <v>992</v>
      </c>
    </row>
    <row r="828" spans="2:30" x14ac:dyDescent="0.35">
      <c r="B828" s="18">
        <v>1467</v>
      </c>
      <c r="C828" s="67" t="s">
        <v>2339</v>
      </c>
      <c r="D828" s="24" t="s">
        <v>2370</v>
      </c>
      <c r="E828" s="24" t="s">
        <v>2913</v>
      </c>
      <c r="F828" s="4" t="s">
        <v>85</v>
      </c>
      <c r="G828" s="4" t="s">
        <v>993</v>
      </c>
      <c r="H828" s="6">
        <v>0.23599999999999999</v>
      </c>
      <c r="I828" s="8">
        <v>180</v>
      </c>
      <c r="J828" s="8">
        <v>100</v>
      </c>
      <c r="K828" s="8">
        <v>90</v>
      </c>
      <c r="L828" s="28">
        <v>1620000</v>
      </c>
      <c r="M828" s="15">
        <v>7897801322416</v>
      </c>
      <c r="N828" s="6" t="s">
        <v>20</v>
      </c>
      <c r="O828" s="6" t="s">
        <v>20</v>
      </c>
      <c r="P828" s="6" t="s">
        <v>20</v>
      </c>
      <c r="Q828" s="6">
        <v>0.46</v>
      </c>
      <c r="R828" s="6">
        <v>0.21</v>
      </c>
      <c r="S828" s="6">
        <v>0.69</v>
      </c>
      <c r="T828" s="8">
        <v>10</v>
      </c>
      <c r="U828" s="5" t="s">
        <v>994</v>
      </c>
      <c r="V828" s="89">
        <v>0</v>
      </c>
      <c r="W828" s="15">
        <v>17897801322413</v>
      </c>
      <c r="X828" s="6" t="s">
        <v>20</v>
      </c>
      <c r="Y828" s="6" t="s">
        <v>20</v>
      </c>
      <c r="Z828" s="6" t="s">
        <v>20</v>
      </c>
      <c r="AA828" s="6" t="s">
        <v>20</v>
      </c>
      <c r="AB828" s="6" t="s">
        <v>20</v>
      </c>
      <c r="AC828" s="6" t="s">
        <v>20</v>
      </c>
      <c r="AD828" s="4" t="s">
        <v>992</v>
      </c>
    </row>
    <row r="829" spans="2:30" x14ac:dyDescent="0.35">
      <c r="B829" s="18">
        <v>1468</v>
      </c>
      <c r="C829" s="67" t="s">
        <v>2340</v>
      </c>
      <c r="D829" s="24" t="s">
        <v>2370</v>
      </c>
      <c r="E829" s="24" t="s">
        <v>2913</v>
      </c>
      <c r="F829" s="4" t="s">
        <v>85</v>
      </c>
      <c r="G829" s="4" t="s">
        <v>993</v>
      </c>
      <c r="H829" s="6">
        <v>0.34050000000000002</v>
      </c>
      <c r="I829" s="8">
        <v>182</v>
      </c>
      <c r="J829" s="8">
        <v>117</v>
      </c>
      <c r="K829" s="8">
        <v>126</v>
      </c>
      <c r="L829" s="28">
        <v>2683044</v>
      </c>
      <c r="M829" s="15">
        <v>7897801322409</v>
      </c>
      <c r="N829" s="6" t="s">
        <v>20</v>
      </c>
      <c r="O829" s="6" t="s">
        <v>20</v>
      </c>
      <c r="P829" s="6" t="s">
        <v>20</v>
      </c>
      <c r="Q829" s="6">
        <v>0.126</v>
      </c>
      <c r="R829" s="6">
        <v>0.11700000000000001</v>
      </c>
      <c r="S829" s="6">
        <v>0.182</v>
      </c>
      <c r="T829" s="8">
        <v>1</v>
      </c>
      <c r="U829" s="5" t="s">
        <v>994</v>
      </c>
      <c r="V829" s="89">
        <v>0</v>
      </c>
      <c r="W829" s="15">
        <v>17897801322406</v>
      </c>
      <c r="X829" s="27">
        <v>0.45</v>
      </c>
      <c r="Y829" s="27">
        <v>0.2</v>
      </c>
      <c r="Z829" s="27">
        <v>0.63</v>
      </c>
      <c r="AA829" s="27">
        <v>5.6700000000000007E-2</v>
      </c>
      <c r="AB829" s="28">
        <v>10</v>
      </c>
      <c r="AC829" s="29">
        <v>27897801322403</v>
      </c>
      <c r="AD829" s="4" t="s">
        <v>992</v>
      </c>
    </row>
    <row r="830" spans="2:30" x14ac:dyDescent="0.35">
      <c r="B830" s="18">
        <v>1469</v>
      </c>
      <c r="C830" s="67" t="s">
        <v>2341</v>
      </c>
      <c r="D830" s="24" t="s">
        <v>2370</v>
      </c>
      <c r="E830" s="24" t="s">
        <v>2913</v>
      </c>
      <c r="F830" s="4" t="s">
        <v>85</v>
      </c>
      <c r="G830" s="4" t="s">
        <v>993</v>
      </c>
      <c r="H830" s="6">
        <v>0.84499999999999997</v>
      </c>
      <c r="I830" s="8">
        <v>250</v>
      </c>
      <c r="J830" s="8">
        <v>172</v>
      </c>
      <c r="K830" s="8">
        <v>190</v>
      </c>
      <c r="L830" s="28">
        <v>8170000</v>
      </c>
      <c r="M830" s="15">
        <v>7897801322393</v>
      </c>
      <c r="N830" s="6" t="s">
        <v>20</v>
      </c>
      <c r="O830" s="6" t="s">
        <v>20</v>
      </c>
      <c r="P830" s="6" t="s">
        <v>20</v>
      </c>
      <c r="Q830" s="6" t="s">
        <v>20</v>
      </c>
      <c r="R830" s="6" t="s">
        <v>20</v>
      </c>
      <c r="S830" s="6" t="s">
        <v>20</v>
      </c>
      <c r="T830" s="8">
        <v>1</v>
      </c>
      <c r="U830" s="5" t="s">
        <v>994</v>
      </c>
      <c r="V830" s="89">
        <v>0</v>
      </c>
      <c r="W830" s="15">
        <v>17897801322390</v>
      </c>
      <c r="X830" s="27">
        <v>0.51</v>
      </c>
      <c r="Y830" s="27">
        <v>0.21</v>
      </c>
      <c r="Z830" s="27">
        <v>0.74</v>
      </c>
      <c r="AA830" s="27">
        <v>7.9254000000000005E-2</v>
      </c>
      <c r="AB830" s="28">
        <v>5</v>
      </c>
      <c r="AC830" s="29">
        <v>27897801322397</v>
      </c>
      <c r="AD830" s="4" t="s">
        <v>992</v>
      </c>
    </row>
    <row r="831" spans="2:30" x14ac:dyDescent="0.35">
      <c r="B831" s="18">
        <v>1472</v>
      </c>
      <c r="C831" s="67" t="s">
        <v>2342</v>
      </c>
      <c r="D831" s="24" t="s">
        <v>2370</v>
      </c>
      <c r="E831" s="24" t="s">
        <v>2913</v>
      </c>
      <c r="F831" s="4" t="s">
        <v>85</v>
      </c>
      <c r="G831" s="4" t="s">
        <v>993</v>
      </c>
      <c r="H831" s="6">
        <v>0.35899999999999999</v>
      </c>
      <c r="I831" s="8">
        <v>210</v>
      </c>
      <c r="J831" s="8">
        <v>118</v>
      </c>
      <c r="K831" s="8">
        <v>150</v>
      </c>
      <c r="L831" s="28">
        <v>3717000</v>
      </c>
      <c r="M831" s="15">
        <v>7897801322669</v>
      </c>
      <c r="N831" s="6" t="s">
        <v>20</v>
      </c>
      <c r="O831" s="6" t="s">
        <v>20</v>
      </c>
      <c r="P831" s="6" t="s">
        <v>20</v>
      </c>
      <c r="Q831" s="6">
        <v>0.37</v>
      </c>
      <c r="R831" s="6">
        <v>0.21</v>
      </c>
      <c r="S831" s="6">
        <v>0.61</v>
      </c>
      <c r="T831" s="8">
        <v>10</v>
      </c>
      <c r="U831" s="5" t="s">
        <v>994</v>
      </c>
      <c r="V831" s="89">
        <v>0</v>
      </c>
      <c r="W831" s="15">
        <v>17897801322666</v>
      </c>
      <c r="X831" s="6" t="s">
        <v>20</v>
      </c>
      <c r="Y831" s="6" t="s">
        <v>20</v>
      </c>
      <c r="Z831" s="6" t="s">
        <v>20</v>
      </c>
      <c r="AA831" s="6" t="s">
        <v>20</v>
      </c>
      <c r="AB831" s="6" t="s">
        <v>20</v>
      </c>
      <c r="AC831" s="6" t="s">
        <v>20</v>
      </c>
      <c r="AD831" s="4" t="s">
        <v>992</v>
      </c>
    </row>
    <row r="832" spans="2:30" x14ac:dyDescent="0.35">
      <c r="B832" s="18">
        <v>1481</v>
      </c>
      <c r="C832" s="67" t="s">
        <v>761</v>
      </c>
      <c r="D832" s="24" t="s">
        <v>2380</v>
      </c>
      <c r="E832" s="24" t="s">
        <v>2913</v>
      </c>
      <c r="F832" s="4" t="s">
        <v>85</v>
      </c>
      <c r="G832" s="4" t="s">
        <v>1014</v>
      </c>
      <c r="H832" s="6">
        <v>6.2</v>
      </c>
      <c r="I832" s="8">
        <v>36</v>
      </c>
      <c r="J832" s="8">
        <v>52.5</v>
      </c>
      <c r="K832" s="8">
        <v>36</v>
      </c>
      <c r="L832" s="8">
        <f t="shared" ref="L832:L850" si="42">J832*I832*K832</f>
        <v>68040</v>
      </c>
      <c r="M832" s="15">
        <v>7897801320337</v>
      </c>
      <c r="N832" s="6">
        <v>0.53500000000000003</v>
      </c>
      <c r="O832" s="6">
        <v>0.375</v>
      </c>
      <c r="P832" s="6">
        <v>0.375</v>
      </c>
      <c r="Q832" s="6">
        <v>0.375</v>
      </c>
      <c r="R832" s="6">
        <v>0.53500000000000003</v>
      </c>
      <c r="S832" s="6">
        <v>0.375</v>
      </c>
      <c r="T832" s="8">
        <v>1</v>
      </c>
      <c r="U832" s="5" t="s">
        <v>994</v>
      </c>
      <c r="V832" s="89">
        <v>0</v>
      </c>
      <c r="W832" s="15">
        <v>17897801320334</v>
      </c>
      <c r="X832" s="6" t="s">
        <v>20</v>
      </c>
      <c r="Y832" s="6" t="s">
        <v>20</v>
      </c>
      <c r="Z832" s="6" t="s">
        <v>20</v>
      </c>
      <c r="AA832" s="6"/>
      <c r="AB832" s="8">
        <v>0</v>
      </c>
      <c r="AC832" s="15">
        <v>27897801320331</v>
      </c>
      <c r="AD832" s="4" t="s">
        <v>992</v>
      </c>
    </row>
    <row r="833" spans="2:30" x14ac:dyDescent="0.35">
      <c r="B833" s="18">
        <v>1482</v>
      </c>
      <c r="C833" s="67" t="s">
        <v>762</v>
      </c>
      <c r="D833" s="24" t="s">
        <v>2380</v>
      </c>
      <c r="E833" s="24" t="s">
        <v>2913</v>
      </c>
      <c r="F833" s="4" t="s">
        <v>85</v>
      </c>
      <c r="G833" s="4" t="s">
        <v>1014</v>
      </c>
      <c r="H833" s="6">
        <v>3.74</v>
      </c>
      <c r="I833" s="8">
        <v>360</v>
      </c>
      <c r="J833" s="8">
        <v>195</v>
      </c>
      <c r="K833" s="8">
        <v>360</v>
      </c>
      <c r="L833" s="8">
        <f t="shared" si="42"/>
        <v>25272000</v>
      </c>
      <c r="M833" s="15">
        <v>7897801320443</v>
      </c>
      <c r="N833" s="6">
        <v>0.21</v>
      </c>
      <c r="O833" s="6">
        <v>0.36</v>
      </c>
      <c r="P833" s="6">
        <v>0.37</v>
      </c>
      <c r="Q833" s="6">
        <v>0.37</v>
      </c>
      <c r="R833" s="6">
        <v>0.22</v>
      </c>
      <c r="S833" s="6">
        <v>0.37</v>
      </c>
      <c r="T833" s="8">
        <v>1</v>
      </c>
      <c r="U833" s="5" t="s">
        <v>994</v>
      </c>
      <c r="V833" s="89">
        <v>0</v>
      </c>
      <c r="W833" s="15">
        <v>17897801320440</v>
      </c>
      <c r="X833" s="6" t="s">
        <v>20</v>
      </c>
      <c r="Y833" s="6" t="s">
        <v>20</v>
      </c>
      <c r="Z833" s="6" t="s">
        <v>20</v>
      </c>
      <c r="AA833" s="6"/>
      <c r="AB833" s="8">
        <v>0</v>
      </c>
      <c r="AC833" s="15">
        <v>27897801320447</v>
      </c>
      <c r="AD833" s="4" t="s">
        <v>992</v>
      </c>
    </row>
    <row r="834" spans="2:30" x14ac:dyDescent="0.35">
      <c r="B834" s="18">
        <v>1483</v>
      </c>
      <c r="C834" s="67" t="s">
        <v>763</v>
      </c>
      <c r="D834" s="24" t="s">
        <v>2380</v>
      </c>
      <c r="E834" s="24" t="s">
        <v>2913</v>
      </c>
      <c r="F834" s="4" t="s">
        <v>85</v>
      </c>
      <c r="G834" s="4" t="s">
        <v>1014</v>
      </c>
      <c r="H834" s="6">
        <v>4.9321000000000002</v>
      </c>
      <c r="I834" s="8">
        <v>360</v>
      </c>
      <c r="J834" s="8">
        <v>340</v>
      </c>
      <c r="K834" s="8">
        <v>360</v>
      </c>
      <c r="L834" s="8">
        <f t="shared" si="42"/>
        <v>44064000</v>
      </c>
      <c r="M834" s="15">
        <v>7897801320450</v>
      </c>
      <c r="N834" s="6" t="s">
        <v>20</v>
      </c>
      <c r="O834" s="6" t="s">
        <v>20</v>
      </c>
      <c r="P834" s="6" t="s">
        <v>20</v>
      </c>
      <c r="Q834" s="6">
        <v>0.375</v>
      </c>
      <c r="R834" s="6">
        <v>0.36</v>
      </c>
      <c r="S834" s="6">
        <v>0.375</v>
      </c>
      <c r="T834" s="8">
        <v>1</v>
      </c>
      <c r="U834" s="5" t="s">
        <v>994</v>
      </c>
      <c r="V834" s="89">
        <v>0</v>
      </c>
      <c r="W834" s="15">
        <v>17897801320457</v>
      </c>
      <c r="X834" s="6" t="s">
        <v>20</v>
      </c>
      <c r="Y834" s="6" t="s">
        <v>20</v>
      </c>
      <c r="Z834" s="6" t="s">
        <v>20</v>
      </c>
      <c r="AA834" s="6"/>
      <c r="AB834" s="8">
        <v>0</v>
      </c>
      <c r="AC834" s="15">
        <v>27897801320454</v>
      </c>
      <c r="AD834" s="4" t="s">
        <v>992</v>
      </c>
    </row>
    <row r="835" spans="2:30" x14ac:dyDescent="0.35">
      <c r="B835" s="18">
        <v>1484</v>
      </c>
      <c r="C835" s="67" t="s">
        <v>764</v>
      </c>
      <c r="D835" s="24" t="s">
        <v>2380</v>
      </c>
      <c r="E835" s="24" t="s">
        <v>2913</v>
      </c>
      <c r="F835" s="4" t="s">
        <v>85</v>
      </c>
      <c r="G835" s="4" t="s">
        <v>1014</v>
      </c>
      <c r="H835" s="6">
        <v>3.6859999999999999</v>
      </c>
      <c r="I835" s="8">
        <v>37</v>
      </c>
      <c r="J835" s="8">
        <v>17</v>
      </c>
      <c r="K835" s="8">
        <v>37</v>
      </c>
      <c r="L835" s="8">
        <f t="shared" si="42"/>
        <v>23273</v>
      </c>
      <c r="M835" s="15">
        <v>7897801320467</v>
      </c>
      <c r="N835" s="6">
        <v>0.21</v>
      </c>
      <c r="O835" s="6">
        <v>0.375</v>
      </c>
      <c r="P835" s="6">
        <v>0.375</v>
      </c>
      <c r="Q835" s="6">
        <v>0.375</v>
      </c>
      <c r="R835" s="6">
        <v>0.21</v>
      </c>
      <c r="S835" s="6">
        <v>0.375</v>
      </c>
      <c r="T835" s="8">
        <v>1</v>
      </c>
      <c r="U835" s="5" t="s">
        <v>994</v>
      </c>
      <c r="V835" s="89">
        <v>0</v>
      </c>
      <c r="W835" s="15">
        <v>17897801320464</v>
      </c>
      <c r="X835" s="6" t="s">
        <v>20</v>
      </c>
      <c r="Y835" s="6" t="s">
        <v>20</v>
      </c>
      <c r="Z835" s="6" t="s">
        <v>20</v>
      </c>
      <c r="AA835" s="6"/>
      <c r="AB835" s="8">
        <v>0</v>
      </c>
      <c r="AC835" s="15">
        <v>27897801320461</v>
      </c>
      <c r="AD835" s="4" t="s">
        <v>992</v>
      </c>
    </row>
    <row r="836" spans="2:30" x14ac:dyDescent="0.35">
      <c r="B836" s="18">
        <v>1485</v>
      </c>
      <c r="C836" s="67" t="s">
        <v>765</v>
      </c>
      <c r="D836" s="24" t="s">
        <v>2380</v>
      </c>
      <c r="E836" s="24" t="s">
        <v>2913</v>
      </c>
      <c r="F836" s="4" t="s">
        <v>85</v>
      </c>
      <c r="G836" s="4" t="s">
        <v>1014</v>
      </c>
      <c r="H836" s="6">
        <v>1.012</v>
      </c>
      <c r="I836" s="8">
        <v>300</v>
      </c>
      <c r="J836" s="8">
        <v>210</v>
      </c>
      <c r="K836" s="8">
        <v>300</v>
      </c>
      <c r="L836" s="8">
        <f t="shared" si="42"/>
        <v>18900000</v>
      </c>
      <c r="M836" s="15">
        <v>7897801320597</v>
      </c>
      <c r="N836" s="6" t="s">
        <v>20</v>
      </c>
      <c r="O836" s="6" t="s">
        <v>20</v>
      </c>
      <c r="P836" s="6" t="s">
        <v>20</v>
      </c>
      <c r="Q836" s="6">
        <v>0.3</v>
      </c>
      <c r="R836" s="6">
        <v>0.21</v>
      </c>
      <c r="S836" s="6">
        <v>0.3</v>
      </c>
      <c r="T836" s="8">
        <v>2</v>
      </c>
      <c r="U836" s="5" t="s">
        <v>994</v>
      </c>
      <c r="V836" s="89">
        <v>0</v>
      </c>
      <c r="W836" s="15">
        <v>17897801320594</v>
      </c>
      <c r="X836" s="6" t="s">
        <v>20</v>
      </c>
      <c r="Y836" s="6" t="s">
        <v>20</v>
      </c>
      <c r="Z836" s="6" t="s">
        <v>20</v>
      </c>
      <c r="AA836" s="6"/>
      <c r="AB836" s="8">
        <v>0</v>
      </c>
      <c r="AC836" s="15">
        <v>27897801320591</v>
      </c>
      <c r="AD836" s="4" t="s">
        <v>992</v>
      </c>
    </row>
    <row r="837" spans="2:30" x14ac:dyDescent="0.35">
      <c r="B837" s="30">
        <v>1486</v>
      </c>
      <c r="C837" s="69" t="s">
        <v>1031</v>
      </c>
      <c r="D837" s="24" t="s">
        <v>2380</v>
      </c>
      <c r="E837" s="24" t="s">
        <v>2913</v>
      </c>
      <c r="F837" s="31" t="s">
        <v>85</v>
      </c>
      <c r="G837" s="33" t="s">
        <v>1040</v>
      </c>
      <c r="H837" s="34">
        <v>1.2525900000000001</v>
      </c>
      <c r="I837" s="36">
        <v>320</v>
      </c>
      <c r="J837" s="36">
        <v>320</v>
      </c>
      <c r="K837" s="36">
        <v>42</v>
      </c>
      <c r="L837" s="38">
        <f t="shared" si="42"/>
        <v>4300800</v>
      </c>
      <c r="M837" s="39">
        <v>7897801321433</v>
      </c>
      <c r="N837" s="41" t="s">
        <v>20</v>
      </c>
      <c r="O837" s="41" t="s">
        <v>20</v>
      </c>
      <c r="P837" s="41" t="s">
        <v>20</v>
      </c>
      <c r="Q837" s="34">
        <v>0.33500000000000002</v>
      </c>
      <c r="R837" s="34">
        <v>0.05</v>
      </c>
      <c r="S837" s="41">
        <v>0.35499999999999998</v>
      </c>
      <c r="T837" s="39">
        <f>VLOOKUP($B837,'SB1'!$B:$LI,25,0)</f>
        <v>1</v>
      </c>
      <c r="U837" s="39" t="str">
        <f>VLOOKUP($B837,'SB1'!$B:$LI,8,0)</f>
        <v>3917.40.90</v>
      </c>
      <c r="V837" s="89">
        <v>0</v>
      </c>
      <c r="W837" s="39">
        <f>VLOOKUP($B837,'SB1'!$B:$LI,131,0)</f>
        <v>17897801321430</v>
      </c>
      <c r="X837" s="41" t="s">
        <v>20</v>
      </c>
      <c r="Y837" s="41" t="s">
        <v>20</v>
      </c>
      <c r="Z837" s="41" t="s">
        <v>20</v>
      </c>
      <c r="AA837" s="41" t="s">
        <v>20</v>
      </c>
      <c r="AB837" s="41" t="s">
        <v>20</v>
      </c>
      <c r="AC837" s="39">
        <f>VLOOKUP($B837,'SB1'!$B:$LI,163,0)</f>
        <v>27897801321437</v>
      </c>
      <c r="AD837" s="31" t="s">
        <v>992</v>
      </c>
    </row>
    <row r="838" spans="2:30" x14ac:dyDescent="0.35">
      <c r="B838" s="30">
        <v>1487</v>
      </c>
      <c r="C838" s="69" t="s">
        <v>1032</v>
      </c>
      <c r="D838" s="24" t="s">
        <v>2380</v>
      </c>
      <c r="E838" s="24" t="s">
        <v>2913</v>
      </c>
      <c r="F838" s="31" t="s">
        <v>85</v>
      </c>
      <c r="G838" s="33" t="s">
        <v>1040</v>
      </c>
      <c r="H838" s="34">
        <v>1.17862</v>
      </c>
      <c r="I838" s="36">
        <v>320</v>
      </c>
      <c r="J838" s="36">
        <v>320</v>
      </c>
      <c r="K838" s="36">
        <v>42</v>
      </c>
      <c r="L838" s="38">
        <f t="shared" si="42"/>
        <v>4300800</v>
      </c>
      <c r="M838" s="39">
        <v>7897801321440</v>
      </c>
      <c r="N838" s="41" t="s">
        <v>20</v>
      </c>
      <c r="O838" s="41" t="s">
        <v>20</v>
      </c>
      <c r="P838" s="41" t="s">
        <v>20</v>
      </c>
      <c r="Q838" s="34">
        <v>0.33500000000000002</v>
      </c>
      <c r="R838" s="34">
        <v>0.05</v>
      </c>
      <c r="S838" s="41">
        <v>0.35499999999999998</v>
      </c>
      <c r="T838" s="39">
        <f>VLOOKUP($B838,'SB1'!$B:$LI,25,0)</f>
        <v>1</v>
      </c>
      <c r="U838" s="39" t="str">
        <f>VLOOKUP($B838,'SB1'!$B:$LI,8,0)</f>
        <v>3917.40.90</v>
      </c>
      <c r="V838" s="89">
        <v>0</v>
      </c>
      <c r="W838" s="39">
        <f>VLOOKUP($B838,'SB1'!$B:$LI,131,0)</f>
        <v>17897801321447</v>
      </c>
      <c r="X838" s="41" t="s">
        <v>20</v>
      </c>
      <c r="Y838" s="41" t="s">
        <v>20</v>
      </c>
      <c r="Z838" s="41" t="s">
        <v>20</v>
      </c>
      <c r="AA838" s="41" t="s">
        <v>20</v>
      </c>
      <c r="AB838" s="41" t="s">
        <v>20</v>
      </c>
      <c r="AC838" s="39">
        <f>VLOOKUP($B838,'SB1'!$B:$LI,163,0)</f>
        <v>27897801321444</v>
      </c>
      <c r="AD838" s="31" t="s">
        <v>992</v>
      </c>
    </row>
    <row r="839" spans="2:30" x14ac:dyDescent="0.35">
      <c r="B839" s="30">
        <v>1488</v>
      </c>
      <c r="C839" s="69" t="s">
        <v>1033</v>
      </c>
      <c r="D839" s="24" t="s">
        <v>2380</v>
      </c>
      <c r="E839" s="24" t="s">
        <v>2913</v>
      </c>
      <c r="F839" s="31" t="s">
        <v>85</v>
      </c>
      <c r="G839" s="33" t="s">
        <v>1040</v>
      </c>
      <c r="H839" s="34">
        <v>0.83794900000000005</v>
      </c>
      <c r="I839" s="36">
        <v>277</v>
      </c>
      <c r="J839" s="36">
        <v>277</v>
      </c>
      <c r="K839" s="36">
        <v>441</v>
      </c>
      <c r="L839" s="38">
        <f t="shared" si="42"/>
        <v>33837489</v>
      </c>
      <c r="M839" s="39">
        <v>7897801321464</v>
      </c>
      <c r="N839" s="41" t="s">
        <v>20</v>
      </c>
      <c r="O839" s="41" t="s">
        <v>20</v>
      </c>
      <c r="P839" s="41" t="s">
        <v>20</v>
      </c>
      <c r="Q839" s="34">
        <v>0.28000000000000003</v>
      </c>
      <c r="R839" s="34">
        <v>0.44500000000000001</v>
      </c>
      <c r="S839" s="41">
        <v>0.28000000000000003</v>
      </c>
      <c r="T839" s="39">
        <f>VLOOKUP($B839,'SB1'!$B:$LI,25,0)</f>
        <v>1</v>
      </c>
      <c r="U839" s="39" t="str">
        <f>VLOOKUP($B839,'SB1'!$B:$LI,8,0)</f>
        <v>3917.40.90</v>
      </c>
      <c r="V839" s="89">
        <v>0</v>
      </c>
      <c r="W839" s="39">
        <f>VLOOKUP($B839,'SB1'!$B:$LI,131,0)</f>
        <v>17897801321461</v>
      </c>
      <c r="X839" s="41" t="s">
        <v>20</v>
      </c>
      <c r="Y839" s="41" t="s">
        <v>20</v>
      </c>
      <c r="Z839" s="41" t="s">
        <v>20</v>
      </c>
      <c r="AA839" s="41" t="s">
        <v>20</v>
      </c>
      <c r="AB839" s="41" t="s">
        <v>20</v>
      </c>
      <c r="AC839" s="39">
        <f>VLOOKUP($B839,'SB1'!$B:$LI,163,0)</f>
        <v>27897801321468</v>
      </c>
      <c r="AD839" s="31" t="s">
        <v>992</v>
      </c>
    </row>
    <row r="840" spans="2:30" x14ac:dyDescent="0.35">
      <c r="B840" s="30">
        <v>1489</v>
      </c>
      <c r="C840" s="69" t="s">
        <v>1034</v>
      </c>
      <c r="D840" s="24" t="s">
        <v>2380</v>
      </c>
      <c r="E840" s="24" t="s">
        <v>2913</v>
      </c>
      <c r="F840" s="31" t="s">
        <v>85</v>
      </c>
      <c r="G840" s="33" t="s">
        <v>1040</v>
      </c>
      <c r="H840" s="34">
        <v>0.92259000000000002</v>
      </c>
      <c r="I840" s="36">
        <v>360</v>
      </c>
      <c r="J840" s="36">
        <v>360</v>
      </c>
      <c r="K840" s="36">
        <v>65</v>
      </c>
      <c r="L840" s="38">
        <f t="shared" si="42"/>
        <v>8424000</v>
      </c>
      <c r="M840" s="39">
        <v>7897801321457</v>
      </c>
      <c r="N840" s="41" t="s">
        <v>20</v>
      </c>
      <c r="O840" s="41" t="s">
        <v>20</v>
      </c>
      <c r="P840" s="41" t="s">
        <v>20</v>
      </c>
      <c r="Q840" s="34">
        <v>0.375</v>
      </c>
      <c r="R840" s="34">
        <v>7.0000000000000007E-2</v>
      </c>
      <c r="S840" s="41">
        <v>0.38500000000000001</v>
      </c>
      <c r="T840" s="39">
        <f>VLOOKUP($B840,'SB1'!$B:$LI,25,0)</f>
        <v>1</v>
      </c>
      <c r="U840" s="39" t="str">
        <f>VLOOKUP($B840,'SB1'!$B:$LI,8,0)</f>
        <v>3917.40.90</v>
      </c>
      <c r="V840" s="89">
        <v>0</v>
      </c>
      <c r="W840" s="39">
        <f>VLOOKUP($B840,'SB1'!$B:$LI,131,0)</f>
        <v>17897801321454</v>
      </c>
      <c r="X840" s="41" t="s">
        <v>20</v>
      </c>
      <c r="Y840" s="41" t="s">
        <v>20</v>
      </c>
      <c r="Z840" s="41" t="s">
        <v>20</v>
      </c>
      <c r="AA840" s="41" t="s">
        <v>20</v>
      </c>
      <c r="AB840" s="41" t="s">
        <v>20</v>
      </c>
      <c r="AC840" s="39">
        <f>VLOOKUP($B840,'SB1'!$B:$LI,163,0)</f>
        <v>27897801321451</v>
      </c>
      <c r="AD840" s="31" t="s">
        <v>992</v>
      </c>
    </row>
    <row r="841" spans="2:30" x14ac:dyDescent="0.35">
      <c r="B841" s="30">
        <v>1490</v>
      </c>
      <c r="C841" s="69" t="s">
        <v>1062</v>
      </c>
      <c r="D841" s="24" t="s">
        <v>2380</v>
      </c>
      <c r="E841" s="24" t="s">
        <v>2913</v>
      </c>
      <c r="F841" s="31" t="s">
        <v>85</v>
      </c>
      <c r="G841" s="33" t="s">
        <v>1040</v>
      </c>
      <c r="H841" s="34">
        <v>7.9960000000000003E-2</v>
      </c>
      <c r="I841" s="36">
        <v>292</v>
      </c>
      <c r="J841" s="36">
        <v>292</v>
      </c>
      <c r="K841" s="36">
        <v>24</v>
      </c>
      <c r="L841" s="38">
        <f t="shared" si="42"/>
        <v>2046336</v>
      </c>
      <c r="M841" s="39">
        <v>7897801321471</v>
      </c>
      <c r="N841" s="41" t="s">
        <v>20</v>
      </c>
      <c r="O841" s="41" t="s">
        <v>20</v>
      </c>
      <c r="P841" s="41" t="s">
        <v>20</v>
      </c>
      <c r="Q841" s="34">
        <v>0.33500000000000002</v>
      </c>
      <c r="R841" s="34">
        <v>0.05</v>
      </c>
      <c r="S841" s="41">
        <v>0.35499999999999998</v>
      </c>
      <c r="T841" s="39">
        <f>VLOOKUP($B841,'SB1'!$B:$LI,25,0)</f>
        <v>3</v>
      </c>
      <c r="U841" s="39" t="str">
        <f>VLOOKUP($B841,'SB1'!$B:$LI,8,0)</f>
        <v>3917.40.90</v>
      </c>
      <c r="V841" s="89">
        <v>0</v>
      </c>
      <c r="W841" s="39">
        <f>VLOOKUP($B841,'SB1'!$B:$LI,131,0)</f>
        <v>17897801321478</v>
      </c>
      <c r="X841" s="41" t="s">
        <v>20</v>
      </c>
      <c r="Y841" s="41" t="s">
        <v>20</v>
      </c>
      <c r="Z841" s="41" t="s">
        <v>20</v>
      </c>
      <c r="AA841" s="41" t="s">
        <v>20</v>
      </c>
      <c r="AB841" s="41" t="s">
        <v>20</v>
      </c>
      <c r="AC841" s="39">
        <f>VLOOKUP($B841,'SB1'!$B:$LI,163,0)</f>
        <v>27897801321475</v>
      </c>
      <c r="AD841" s="31" t="s">
        <v>992</v>
      </c>
    </row>
    <row r="842" spans="2:30" x14ac:dyDescent="0.35">
      <c r="B842" s="18">
        <v>1499</v>
      </c>
      <c r="C842" s="67" t="s">
        <v>766</v>
      </c>
      <c r="D842" s="24" t="s">
        <v>2373</v>
      </c>
      <c r="E842" s="24" t="s">
        <v>2912</v>
      </c>
      <c r="F842" s="4" t="s">
        <v>85</v>
      </c>
      <c r="G842" s="4" t="s">
        <v>993</v>
      </c>
      <c r="H842" s="27">
        <v>4.82E-2</v>
      </c>
      <c r="I842" s="8">
        <v>42</v>
      </c>
      <c r="J842" s="8">
        <v>39</v>
      </c>
      <c r="K842" s="8">
        <v>39</v>
      </c>
      <c r="L842" s="8">
        <f t="shared" si="42"/>
        <v>63882</v>
      </c>
      <c r="M842" s="15">
        <v>7897801316712</v>
      </c>
      <c r="N842" s="6" t="s">
        <v>20</v>
      </c>
      <c r="O842" s="6" t="s">
        <v>20</v>
      </c>
      <c r="P842" s="6" t="s">
        <v>20</v>
      </c>
      <c r="Q842" s="6">
        <v>0.125</v>
      </c>
      <c r="R842" s="6">
        <v>3.9E-2</v>
      </c>
      <c r="S842" s="6">
        <v>0.125</v>
      </c>
      <c r="T842" s="8">
        <v>10</v>
      </c>
      <c r="U842" s="5" t="s">
        <v>994</v>
      </c>
      <c r="V842" s="89">
        <v>0</v>
      </c>
      <c r="W842" s="15">
        <v>17897801316719</v>
      </c>
      <c r="X842" s="6">
        <v>0.255</v>
      </c>
      <c r="Y842" s="6">
        <v>0.25</v>
      </c>
      <c r="Z842" s="6">
        <v>0.32500000000000001</v>
      </c>
      <c r="AA842" s="6">
        <f t="shared" ref="AA842:AA850" si="43">Y842*X842*Z842</f>
        <v>2.0718750000000001E-2</v>
      </c>
      <c r="AB842" s="8">
        <v>270</v>
      </c>
      <c r="AC842" s="15">
        <v>27897801316716</v>
      </c>
      <c r="AD842" s="4" t="s">
        <v>992</v>
      </c>
    </row>
    <row r="843" spans="2:30" x14ac:dyDescent="0.35">
      <c r="B843" s="18">
        <v>1501</v>
      </c>
      <c r="C843" s="67" t="s">
        <v>767</v>
      </c>
      <c r="D843" s="24" t="s">
        <v>2373</v>
      </c>
      <c r="E843" s="24" t="s">
        <v>2912</v>
      </c>
      <c r="F843" s="4" t="s">
        <v>85</v>
      </c>
      <c r="G843" s="4" t="s">
        <v>993</v>
      </c>
      <c r="H843" s="27">
        <v>5.0700000000000002E-2</v>
      </c>
      <c r="I843" s="8">
        <v>43</v>
      </c>
      <c r="J843" s="8">
        <v>40</v>
      </c>
      <c r="K843" s="8">
        <v>40</v>
      </c>
      <c r="L843" s="8">
        <f t="shared" si="42"/>
        <v>68800</v>
      </c>
      <c r="M843" s="15">
        <v>7897801314305</v>
      </c>
      <c r="N843" s="6" t="s">
        <v>20</v>
      </c>
      <c r="O843" s="6" t="s">
        <v>20</v>
      </c>
      <c r="P843" s="6" t="s">
        <v>20</v>
      </c>
      <c r="Q843" s="6">
        <v>0.15</v>
      </c>
      <c r="R843" s="6">
        <v>0.04</v>
      </c>
      <c r="S843" s="6">
        <v>0.15</v>
      </c>
      <c r="T843" s="8">
        <v>10</v>
      </c>
      <c r="U843" s="5" t="s">
        <v>994</v>
      </c>
      <c r="V843" s="89">
        <v>0</v>
      </c>
      <c r="W843" s="15">
        <v>17897801314302</v>
      </c>
      <c r="X843" s="6">
        <v>0.255</v>
      </c>
      <c r="Y843" s="6">
        <v>0.25</v>
      </c>
      <c r="Z843" s="6">
        <v>0.32500000000000001</v>
      </c>
      <c r="AA843" s="6">
        <f t="shared" si="43"/>
        <v>2.0718750000000001E-2</v>
      </c>
      <c r="AB843" s="8">
        <v>230</v>
      </c>
      <c r="AC843" s="15">
        <v>27897801314309</v>
      </c>
      <c r="AD843" s="4" t="s">
        <v>992</v>
      </c>
    </row>
    <row r="844" spans="2:30" x14ac:dyDescent="0.35">
      <c r="B844" s="18">
        <v>1502</v>
      </c>
      <c r="C844" s="67" t="s">
        <v>768</v>
      </c>
      <c r="D844" s="24" t="s">
        <v>2373</v>
      </c>
      <c r="E844" s="24" t="s">
        <v>2912</v>
      </c>
      <c r="F844" s="4" t="s">
        <v>85</v>
      </c>
      <c r="G844" s="4" t="s">
        <v>993</v>
      </c>
      <c r="H844" s="27">
        <v>7.1999999999999995E-2</v>
      </c>
      <c r="I844" s="8">
        <v>42</v>
      </c>
      <c r="J844" s="8">
        <v>47</v>
      </c>
      <c r="K844" s="8">
        <v>47</v>
      </c>
      <c r="L844" s="8">
        <f t="shared" si="42"/>
        <v>92778</v>
      </c>
      <c r="M844" s="15">
        <v>7897801314312</v>
      </c>
      <c r="N844" s="6" t="s">
        <v>20</v>
      </c>
      <c r="O844" s="6" t="s">
        <v>20</v>
      </c>
      <c r="P844" s="6" t="s">
        <v>20</v>
      </c>
      <c r="Q844" s="6">
        <v>0.13</v>
      </c>
      <c r="R844" s="6">
        <v>4.2000000000000003E-2</v>
      </c>
      <c r="S844" s="6">
        <v>0.16</v>
      </c>
      <c r="T844" s="8">
        <v>10</v>
      </c>
      <c r="U844" s="5" t="s">
        <v>994</v>
      </c>
      <c r="V844" s="89">
        <v>0</v>
      </c>
      <c r="W844" s="15">
        <v>17897801314319</v>
      </c>
      <c r="X844" s="6">
        <v>0.255</v>
      </c>
      <c r="Y844" s="6">
        <v>0.25</v>
      </c>
      <c r="Z844" s="6">
        <v>0.32500000000000001</v>
      </c>
      <c r="AA844" s="6">
        <f t="shared" si="43"/>
        <v>2.0718750000000001E-2</v>
      </c>
      <c r="AB844" s="8">
        <v>180</v>
      </c>
      <c r="AC844" s="15">
        <v>27897801314316</v>
      </c>
      <c r="AD844" s="4" t="s">
        <v>992</v>
      </c>
    </row>
    <row r="845" spans="2:30" x14ac:dyDescent="0.35">
      <c r="B845" s="18">
        <v>1503</v>
      </c>
      <c r="C845" s="67" t="s">
        <v>769</v>
      </c>
      <c r="D845" s="24" t="s">
        <v>2373</v>
      </c>
      <c r="E845" s="24" t="s">
        <v>2912</v>
      </c>
      <c r="F845" s="4" t="s">
        <v>85</v>
      </c>
      <c r="G845" s="4" t="s">
        <v>993</v>
      </c>
      <c r="H845" s="27">
        <v>6.8000000000000005E-2</v>
      </c>
      <c r="I845" s="8">
        <v>44</v>
      </c>
      <c r="J845" s="8">
        <v>47</v>
      </c>
      <c r="K845" s="8">
        <v>47</v>
      </c>
      <c r="L845" s="8">
        <f t="shared" si="42"/>
        <v>97196</v>
      </c>
      <c r="M845" s="15">
        <v>7897801314329</v>
      </c>
      <c r="N845" s="6" t="s">
        <v>20</v>
      </c>
      <c r="O845" s="6" t="s">
        <v>20</v>
      </c>
      <c r="P845" s="6" t="s">
        <v>20</v>
      </c>
      <c r="Q845" s="6">
        <v>0.14000000000000001</v>
      </c>
      <c r="R845" s="6">
        <v>4.3999999999999997E-2</v>
      </c>
      <c r="S845" s="6">
        <v>0.14499999999999999</v>
      </c>
      <c r="T845" s="8">
        <v>10</v>
      </c>
      <c r="U845" s="5" t="s">
        <v>994</v>
      </c>
      <c r="V845" s="89">
        <v>0</v>
      </c>
      <c r="W845" s="15">
        <v>17897801314326</v>
      </c>
      <c r="X845" s="6">
        <v>0.255</v>
      </c>
      <c r="Y845" s="6">
        <v>0.25</v>
      </c>
      <c r="Z845" s="6">
        <v>0.32500000000000001</v>
      </c>
      <c r="AA845" s="6">
        <f t="shared" si="43"/>
        <v>2.0718750000000001E-2</v>
      </c>
      <c r="AB845" s="8">
        <v>180</v>
      </c>
      <c r="AC845" s="15">
        <v>27897801314323</v>
      </c>
      <c r="AD845" s="4" t="s">
        <v>992</v>
      </c>
    </row>
    <row r="846" spans="2:30" x14ac:dyDescent="0.35">
      <c r="B846" s="44">
        <v>1504</v>
      </c>
      <c r="C846" s="70" t="s">
        <v>770</v>
      </c>
      <c r="D846" s="24" t="s">
        <v>2373</v>
      </c>
      <c r="E846" s="24" t="s">
        <v>2912</v>
      </c>
      <c r="F846" s="32" t="s">
        <v>85</v>
      </c>
      <c r="G846" s="32" t="s">
        <v>993</v>
      </c>
      <c r="H846" s="75">
        <v>7.1999999999999995E-2</v>
      </c>
      <c r="I846" s="37">
        <v>44</v>
      </c>
      <c r="J846" s="37">
        <v>47</v>
      </c>
      <c r="K846" s="37">
        <v>47</v>
      </c>
      <c r="L846" s="37">
        <f t="shared" si="42"/>
        <v>97196</v>
      </c>
      <c r="M846" s="40">
        <v>7897801314336</v>
      </c>
      <c r="N846" s="35" t="s">
        <v>20</v>
      </c>
      <c r="O846" s="35" t="s">
        <v>20</v>
      </c>
      <c r="P846" s="35" t="s">
        <v>20</v>
      </c>
      <c r="Q846" s="35">
        <v>0.105</v>
      </c>
      <c r="R846" s="35">
        <v>4.3999999999999997E-2</v>
      </c>
      <c r="S846" s="35">
        <v>0.125</v>
      </c>
      <c r="T846" s="37">
        <v>5</v>
      </c>
      <c r="U846" s="42" t="s">
        <v>994</v>
      </c>
      <c r="V846" s="89">
        <v>0</v>
      </c>
      <c r="W846" s="40">
        <v>17897801314333</v>
      </c>
      <c r="X846" s="35">
        <v>0.255</v>
      </c>
      <c r="Y846" s="35">
        <v>0.25</v>
      </c>
      <c r="Z846" s="35">
        <v>0.32500000000000001</v>
      </c>
      <c r="AA846" s="35">
        <f t="shared" si="43"/>
        <v>2.0718750000000001E-2</v>
      </c>
      <c r="AB846" s="37">
        <v>130</v>
      </c>
      <c r="AC846" s="40">
        <v>27897801314330</v>
      </c>
      <c r="AD846" s="32" t="s">
        <v>992</v>
      </c>
    </row>
    <row r="847" spans="2:30" x14ac:dyDescent="0.35">
      <c r="B847" s="44">
        <v>1505</v>
      </c>
      <c r="C847" s="70" t="s">
        <v>771</v>
      </c>
      <c r="D847" s="24" t="s">
        <v>2373</v>
      </c>
      <c r="E847" s="24" t="s">
        <v>2912</v>
      </c>
      <c r="F847" s="32" t="s">
        <v>85</v>
      </c>
      <c r="G847" s="32" t="s">
        <v>993</v>
      </c>
      <c r="H847" s="75">
        <v>0.1346</v>
      </c>
      <c r="I847" s="37">
        <v>56</v>
      </c>
      <c r="J847" s="37">
        <v>56</v>
      </c>
      <c r="K847" s="37">
        <v>56</v>
      </c>
      <c r="L847" s="37">
        <f t="shared" si="42"/>
        <v>175616</v>
      </c>
      <c r="M847" s="40">
        <v>7897801314343</v>
      </c>
      <c r="N847" s="35" t="s">
        <v>20</v>
      </c>
      <c r="O847" s="35" t="s">
        <v>20</v>
      </c>
      <c r="P847" s="35" t="s">
        <v>20</v>
      </c>
      <c r="Q847" s="35">
        <v>0.12</v>
      </c>
      <c r="R847" s="35">
        <v>5.6000000000000001E-2</v>
      </c>
      <c r="S847" s="35">
        <v>0.16500000000000001</v>
      </c>
      <c r="T847" s="37">
        <v>5</v>
      </c>
      <c r="U847" s="42" t="s">
        <v>994</v>
      </c>
      <c r="V847" s="89">
        <v>0</v>
      </c>
      <c r="W847" s="40">
        <v>17897801314340</v>
      </c>
      <c r="X847" s="35">
        <v>0.255</v>
      </c>
      <c r="Y847" s="35">
        <v>0.25</v>
      </c>
      <c r="Z847" s="35">
        <v>0.32500000000000001</v>
      </c>
      <c r="AA847" s="35">
        <f t="shared" si="43"/>
        <v>2.0718750000000001E-2</v>
      </c>
      <c r="AB847" s="37">
        <v>70</v>
      </c>
      <c r="AC847" s="40">
        <v>27897801314347</v>
      </c>
      <c r="AD847" s="32" t="s">
        <v>992</v>
      </c>
    </row>
    <row r="848" spans="2:30" x14ac:dyDescent="0.35">
      <c r="B848" s="44">
        <v>1506</v>
      </c>
      <c r="C848" s="70" t="s">
        <v>772</v>
      </c>
      <c r="D848" s="24" t="s">
        <v>2373</v>
      </c>
      <c r="E848" s="24" t="s">
        <v>2912</v>
      </c>
      <c r="F848" s="32" t="s">
        <v>85</v>
      </c>
      <c r="G848" s="32" t="s">
        <v>993</v>
      </c>
      <c r="H848" s="75">
        <v>2.1000000000000001E-2</v>
      </c>
      <c r="I848" s="37">
        <v>61</v>
      </c>
      <c r="J848" s="37">
        <v>59</v>
      </c>
      <c r="K848" s="37">
        <v>59</v>
      </c>
      <c r="L848" s="37">
        <f t="shared" si="42"/>
        <v>212341</v>
      </c>
      <c r="M848" s="40">
        <v>7897801314350</v>
      </c>
      <c r="N848" s="35" t="s">
        <v>20</v>
      </c>
      <c r="O848" s="35" t="s">
        <v>20</v>
      </c>
      <c r="P848" s="35" t="s">
        <v>20</v>
      </c>
      <c r="Q848" s="35">
        <v>7.0000000000000007E-2</v>
      </c>
      <c r="R848" s="35">
        <v>6.5000000000000002E-2</v>
      </c>
      <c r="S848" s="35">
        <v>0.14000000000000001</v>
      </c>
      <c r="T848" s="37">
        <v>2</v>
      </c>
      <c r="U848" s="42" t="s">
        <v>994</v>
      </c>
      <c r="V848" s="89">
        <v>0</v>
      </c>
      <c r="W848" s="40">
        <v>17897801314357</v>
      </c>
      <c r="X848" s="35">
        <v>0.255</v>
      </c>
      <c r="Y848" s="35">
        <v>0.25</v>
      </c>
      <c r="Z848" s="35">
        <v>0.32500000000000001</v>
      </c>
      <c r="AA848" s="35">
        <f t="shared" si="43"/>
        <v>2.0718750000000001E-2</v>
      </c>
      <c r="AB848" s="37">
        <v>44</v>
      </c>
      <c r="AC848" s="40">
        <v>27897801314354</v>
      </c>
      <c r="AD848" s="32" t="s">
        <v>992</v>
      </c>
    </row>
    <row r="849" spans="2:30" x14ac:dyDescent="0.35">
      <c r="B849" s="44">
        <v>1507</v>
      </c>
      <c r="C849" s="70" t="s">
        <v>773</v>
      </c>
      <c r="D849" s="24" t="s">
        <v>2373</v>
      </c>
      <c r="E849" s="24" t="s">
        <v>2912</v>
      </c>
      <c r="F849" s="32" t="s">
        <v>85</v>
      </c>
      <c r="G849" s="32" t="s">
        <v>993</v>
      </c>
      <c r="H849" s="75">
        <v>0.28299999999999997</v>
      </c>
      <c r="I849" s="37">
        <v>67</v>
      </c>
      <c r="J849" s="37">
        <v>80</v>
      </c>
      <c r="K849" s="37">
        <v>80</v>
      </c>
      <c r="L849" s="37">
        <f t="shared" si="42"/>
        <v>428800</v>
      </c>
      <c r="M849" s="40">
        <v>7897801314367</v>
      </c>
      <c r="N849" s="35" t="s">
        <v>20</v>
      </c>
      <c r="O849" s="35" t="s">
        <v>20</v>
      </c>
      <c r="P849" s="35" t="s">
        <v>20</v>
      </c>
      <c r="Q849" s="35">
        <v>8.6999999999999994E-2</v>
      </c>
      <c r="R849" s="35">
        <v>6.7000000000000004E-2</v>
      </c>
      <c r="S849" s="35">
        <v>0.15</v>
      </c>
      <c r="T849" s="37">
        <v>2</v>
      </c>
      <c r="U849" s="42" t="s">
        <v>994</v>
      </c>
      <c r="V849" s="89">
        <v>0</v>
      </c>
      <c r="W849" s="40">
        <v>17897801314364</v>
      </c>
      <c r="X849" s="35">
        <v>0.255</v>
      </c>
      <c r="Y849" s="35">
        <v>0.25</v>
      </c>
      <c r="Z849" s="35">
        <v>0.32500000000000001</v>
      </c>
      <c r="AA849" s="35">
        <f t="shared" si="43"/>
        <v>2.0718750000000001E-2</v>
      </c>
      <c r="AB849" s="37">
        <v>30</v>
      </c>
      <c r="AC849" s="40">
        <v>27897801314361</v>
      </c>
      <c r="AD849" s="32" t="s">
        <v>992</v>
      </c>
    </row>
    <row r="850" spans="2:30" x14ac:dyDescent="0.35">
      <c r="B850" s="44">
        <v>1508</v>
      </c>
      <c r="C850" s="70" t="s">
        <v>774</v>
      </c>
      <c r="D850" s="24" t="s">
        <v>2373</v>
      </c>
      <c r="E850" s="24" t="s">
        <v>2912</v>
      </c>
      <c r="F850" s="32" t="s">
        <v>85</v>
      </c>
      <c r="G850" s="32" t="s">
        <v>993</v>
      </c>
      <c r="H850" s="75">
        <v>0.4204</v>
      </c>
      <c r="I850" s="37">
        <v>74</v>
      </c>
      <c r="J850" s="37">
        <v>91</v>
      </c>
      <c r="K850" s="37">
        <v>91</v>
      </c>
      <c r="L850" s="37">
        <f t="shared" si="42"/>
        <v>612794</v>
      </c>
      <c r="M850" s="40">
        <v>7897801314374</v>
      </c>
      <c r="N850" s="35" t="s">
        <v>20</v>
      </c>
      <c r="O850" s="35" t="s">
        <v>20</v>
      </c>
      <c r="P850" s="35" t="s">
        <v>20</v>
      </c>
      <c r="Q850" s="35">
        <v>0.1</v>
      </c>
      <c r="R850" s="35">
        <v>0.08</v>
      </c>
      <c r="S850" s="35">
        <v>0.1</v>
      </c>
      <c r="T850" s="37">
        <v>1</v>
      </c>
      <c r="U850" s="42" t="s">
        <v>994</v>
      </c>
      <c r="V850" s="89">
        <v>0</v>
      </c>
      <c r="W850" s="40">
        <v>17897801314371</v>
      </c>
      <c r="X850" s="35">
        <v>0.255</v>
      </c>
      <c r="Y850" s="35">
        <v>0.25</v>
      </c>
      <c r="Z850" s="35">
        <v>0.32500000000000001</v>
      </c>
      <c r="AA850" s="35">
        <f t="shared" si="43"/>
        <v>2.0718750000000001E-2</v>
      </c>
      <c r="AB850" s="37">
        <v>18</v>
      </c>
      <c r="AC850" s="40">
        <v>27897801314378</v>
      </c>
      <c r="AD850" s="32" t="s">
        <v>992</v>
      </c>
    </row>
    <row r="851" spans="2:30" x14ac:dyDescent="0.35">
      <c r="B851" s="18">
        <v>1509</v>
      </c>
      <c r="C851" s="67" t="s">
        <v>2437</v>
      </c>
      <c r="D851" s="24" t="s">
        <v>2373</v>
      </c>
      <c r="E851" s="24" t="s">
        <v>2912</v>
      </c>
      <c r="F851" s="4" t="s">
        <v>85</v>
      </c>
      <c r="G851" s="32" t="s">
        <v>1012</v>
      </c>
      <c r="H851" s="27">
        <v>0.70079999999999998</v>
      </c>
      <c r="I851" s="8">
        <v>116</v>
      </c>
      <c r="J851" s="8">
        <v>116</v>
      </c>
      <c r="K851" s="8">
        <v>69</v>
      </c>
      <c r="L851" s="8">
        <v>928464</v>
      </c>
      <c r="M851" s="15">
        <v>7897801315944</v>
      </c>
      <c r="N851" s="35" t="s">
        <v>20</v>
      </c>
      <c r="O851" s="35" t="s">
        <v>20</v>
      </c>
      <c r="P851" s="35" t="s">
        <v>20</v>
      </c>
      <c r="Q851" s="6">
        <v>0.19</v>
      </c>
      <c r="R851" s="6">
        <v>0.11600000000000001</v>
      </c>
      <c r="S851" s="6">
        <v>0.2</v>
      </c>
      <c r="T851" s="8">
        <v>1</v>
      </c>
      <c r="U851" s="5" t="s">
        <v>994</v>
      </c>
      <c r="V851" s="89">
        <v>0</v>
      </c>
      <c r="W851" s="15">
        <v>17897801315941</v>
      </c>
      <c r="X851" s="6">
        <v>0.34</v>
      </c>
      <c r="Y851" s="6">
        <v>0.26</v>
      </c>
      <c r="Z851" s="6">
        <v>0.25</v>
      </c>
      <c r="AA851" s="6">
        <v>2.2100000000000002E-2</v>
      </c>
      <c r="AB851" s="8">
        <v>18</v>
      </c>
      <c r="AC851" s="15">
        <v>27897801315948</v>
      </c>
      <c r="AD851" s="4" t="s">
        <v>992</v>
      </c>
    </row>
    <row r="852" spans="2:30" x14ac:dyDescent="0.35">
      <c r="B852" s="18">
        <v>1510</v>
      </c>
      <c r="C852" s="67" t="s">
        <v>2438</v>
      </c>
      <c r="D852" s="24" t="s">
        <v>2373</v>
      </c>
      <c r="E852" s="24" t="s">
        <v>2912</v>
      </c>
      <c r="F852" s="4" t="s">
        <v>85</v>
      </c>
      <c r="G852" s="32" t="s">
        <v>1012</v>
      </c>
      <c r="H852" s="27">
        <v>1.32</v>
      </c>
      <c r="I852" s="8">
        <v>143</v>
      </c>
      <c r="J852" s="8">
        <v>143</v>
      </c>
      <c r="K852" s="8">
        <v>85</v>
      </c>
      <c r="L852" s="8">
        <v>1738165</v>
      </c>
      <c r="M852" s="15">
        <v>7897801315951</v>
      </c>
      <c r="N852" s="35" t="s">
        <v>20</v>
      </c>
      <c r="O852" s="35" t="s">
        <v>20</v>
      </c>
      <c r="P852" s="35" t="s">
        <v>20</v>
      </c>
      <c r="Q852" s="6">
        <v>0.23</v>
      </c>
      <c r="R852" s="6">
        <v>0.14299999999999999</v>
      </c>
      <c r="S852" s="6">
        <v>0.31</v>
      </c>
      <c r="T852" s="8">
        <v>1</v>
      </c>
      <c r="U852" s="5" t="s">
        <v>994</v>
      </c>
      <c r="V852" s="89">
        <v>0</v>
      </c>
      <c r="W852" s="15">
        <v>17897801315958</v>
      </c>
      <c r="X852" s="6">
        <v>0.38</v>
      </c>
      <c r="Y852" s="6">
        <v>0.34</v>
      </c>
      <c r="Z852" s="6">
        <v>0.25</v>
      </c>
      <c r="AA852" s="6">
        <v>3.2300000000000002E-2</v>
      </c>
      <c r="AB852" s="8">
        <v>10</v>
      </c>
      <c r="AC852" s="15">
        <v>27897801315955</v>
      </c>
      <c r="AD852" s="4" t="s">
        <v>992</v>
      </c>
    </row>
    <row r="853" spans="2:30" x14ac:dyDescent="0.35">
      <c r="B853" s="18">
        <v>1512</v>
      </c>
      <c r="C853" s="67" t="s">
        <v>775</v>
      </c>
      <c r="D853" s="24" t="s">
        <v>2373</v>
      </c>
      <c r="E853" s="24" t="s">
        <v>2912</v>
      </c>
      <c r="F853" s="4" t="s">
        <v>85</v>
      </c>
      <c r="G853" s="4" t="s">
        <v>993</v>
      </c>
      <c r="H853" s="27">
        <v>5.28E-2</v>
      </c>
      <c r="I853" s="8">
        <v>38</v>
      </c>
      <c r="J853" s="8">
        <v>38</v>
      </c>
      <c r="K853" s="8">
        <v>55</v>
      </c>
      <c r="L853" s="8">
        <f t="shared" ref="L853:L861" si="44">J853*I853*K853</f>
        <v>79420</v>
      </c>
      <c r="M853" s="15">
        <v>7897801314381</v>
      </c>
      <c r="N853" s="6" t="s">
        <v>20</v>
      </c>
      <c r="O853" s="6" t="s">
        <v>20</v>
      </c>
      <c r="P853" s="6" t="s">
        <v>20</v>
      </c>
      <c r="Q853" s="6">
        <v>0.15</v>
      </c>
      <c r="R853" s="6">
        <v>5.8000000000000003E-2</v>
      </c>
      <c r="S853" s="6">
        <v>0.18</v>
      </c>
      <c r="T853" s="8">
        <v>10</v>
      </c>
      <c r="U853" s="5" t="s">
        <v>994</v>
      </c>
      <c r="V853" s="89">
        <v>0</v>
      </c>
      <c r="W853" s="15">
        <v>17897801314388</v>
      </c>
      <c r="X853" s="6">
        <v>0.255</v>
      </c>
      <c r="Y853" s="6">
        <v>0.25</v>
      </c>
      <c r="Z853" s="6">
        <v>0.32500000000000001</v>
      </c>
      <c r="AA853" s="6">
        <f t="shared" ref="AA853:AA861" si="45">Y853*X853*Z853</f>
        <v>2.0718750000000001E-2</v>
      </c>
      <c r="AB853" s="8">
        <v>210</v>
      </c>
      <c r="AC853" s="15">
        <v>27897801314385</v>
      </c>
      <c r="AD853" s="4" t="s">
        <v>992</v>
      </c>
    </row>
    <row r="854" spans="2:30" x14ac:dyDescent="0.35">
      <c r="B854" s="14">
        <v>1513</v>
      </c>
      <c r="C854" s="67" t="s">
        <v>776</v>
      </c>
      <c r="D854" s="4" t="s">
        <v>2373</v>
      </c>
      <c r="E854" s="24" t="s">
        <v>2912</v>
      </c>
      <c r="F854" s="4" t="s">
        <v>85</v>
      </c>
      <c r="G854" s="4" t="s">
        <v>993</v>
      </c>
      <c r="H854" s="27">
        <v>7.17E-2</v>
      </c>
      <c r="I854" s="8">
        <v>45</v>
      </c>
      <c r="J854" s="8">
        <v>45</v>
      </c>
      <c r="K854" s="8">
        <v>57</v>
      </c>
      <c r="L854" s="8">
        <f t="shared" si="44"/>
        <v>115425</v>
      </c>
      <c r="M854" s="15">
        <v>7897801314398</v>
      </c>
      <c r="N854" s="6" t="s">
        <v>20</v>
      </c>
      <c r="O854" s="6" t="s">
        <v>20</v>
      </c>
      <c r="P854" s="6" t="s">
        <v>20</v>
      </c>
      <c r="Q854" s="6">
        <v>0.16</v>
      </c>
      <c r="R854" s="6">
        <v>4.4999999999999998E-2</v>
      </c>
      <c r="S854" s="6">
        <v>0.17</v>
      </c>
      <c r="T854" s="8">
        <v>10</v>
      </c>
      <c r="U854" s="5" t="s">
        <v>994</v>
      </c>
      <c r="V854" s="89">
        <v>0</v>
      </c>
      <c r="W854" s="15">
        <v>17897801314395</v>
      </c>
      <c r="X854" s="6">
        <v>0.34499999999999997</v>
      </c>
      <c r="Y854" s="6">
        <v>0.255</v>
      </c>
      <c r="Z854" s="6">
        <v>0.375</v>
      </c>
      <c r="AA854" s="6">
        <f t="shared" si="45"/>
        <v>3.2990624999999996E-2</v>
      </c>
      <c r="AB854" s="8">
        <v>180</v>
      </c>
      <c r="AC854" s="15">
        <v>27897801314392</v>
      </c>
      <c r="AD854" s="4" t="s">
        <v>992</v>
      </c>
    </row>
    <row r="855" spans="2:30" x14ac:dyDescent="0.35">
      <c r="B855" s="14">
        <v>1514</v>
      </c>
      <c r="C855" s="67" t="s">
        <v>777</v>
      </c>
      <c r="D855" s="4" t="s">
        <v>2373</v>
      </c>
      <c r="E855" s="24" t="s">
        <v>2912</v>
      </c>
      <c r="F855" s="4" t="s">
        <v>85</v>
      </c>
      <c r="G855" s="4" t="s">
        <v>993</v>
      </c>
      <c r="H855" s="27">
        <v>5.6399999999999999E-2</v>
      </c>
      <c r="I855" s="8">
        <v>40</v>
      </c>
      <c r="J855" s="8">
        <v>40</v>
      </c>
      <c r="K855" s="8">
        <v>56</v>
      </c>
      <c r="L855" s="8">
        <f t="shared" si="44"/>
        <v>89600</v>
      </c>
      <c r="M855" s="15">
        <v>7897801314404</v>
      </c>
      <c r="N855" s="6" t="s">
        <v>20</v>
      </c>
      <c r="O855" s="6" t="s">
        <v>20</v>
      </c>
      <c r="P855" s="6" t="s">
        <v>20</v>
      </c>
      <c r="Q855" s="6">
        <v>0.15</v>
      </c>
      <c r="R855" s="6">
        <v>0.04</v>
      </c>
      <c r="S855" s="6">
        <v>0.15</v>
      </c>
      <c r="T855" s="8">
        <v>10</v>
      </c>
      <c r="U855" s="5" t="s">
        <v>994</v>
      </c>
      <c r="V855" s="89">
        <v>0</v>
      </c>
      <c r="W855" s="15">
        <v>17897801314401</v>
      </c>
      <c r="X855" s="6">
        <v>0.34499999999999997</v>
      </c>
      <c r="Y855" s="6">
        <v>0.255</v>
      </c>
      <c r="Z855" s="6">
        <v>0.375</v>
      </c>
      <c r="AA855" s="6">
        <f t="shared" si="45"/>
        <v>3.2990624999999996E-2</v>
      </c>
      <c r="AB855" s="8">
        <v>180</v>
      </c>
      <c r="AC855" s="15">
        <v>27897801314408</v>
      </c>
      <c r="AD855" s="4" t="s">
        <v>992</v>
      </c>
    </row>
    <row r="856" spans="2:30" x14ac:dyDescent="0.35">
      <c r="B856" s="14">
        <v>1515</v>
      </c>
      <c r="C856" s="67" t="s">
        <v>778</v>
      </c>
      <c r="D856" s="4" t="s">
        <v>2373</v>
      </c>
      <c r="E856" s="24" t="s">
        <v>2912</v>
      </c>
      <c r="F856" s="4" t="s">
        <v>85</v>
      </c>
      <c r="G856" s="4" t="s">
        <v>993</v>
      </c>
      <c r="H856" s="27">
        <v>8.0500000000000002E-2</v>
      </c>
      <c r="I856" s="8">
        <v>46</v>
      </c>
      <c r="J856" s="8">
        <v>46</v>
      </c>
      <c r="K856" s="8">
        <v>58</v>
      </c>
      <c r="L856" s="8">
        <f t="shared" si="44"/>
        <v>122728</v>
      </c>
      <c r="M856" s="15">
        <v>7897801314411</v>
      </c>
      <c r="N856" s="6" t="s">
        <v>20</v>
      </c>
      <c r="O856" s="6" t="s">
        <v>20</v>
      </c>
      <c r="P856" s="6" t="s">
        <v>20</v>
      </c>
      <c r="Q856" s="6">
        <v>0.17</v>
      </c>
      <c r="R856" s="6">
        <v>4.5999999999999999E-2</v>
      </c>
      <c r="S856" s="6">
        <v>0.18</v>
      </c>
      <c r="T856" s="8">
        <v>10</v>
      </c>
      <c r="U856" s="5" t="s">
        <v>994</v>
      </c>
      <c r="V856" s="89">
        <v>0</v>
      </c>
      <c r="W856" s="15">
        <v>17897801314418</v>
      </c>
      <c r="X856" s="6">
        <v>0.255</v>
      </c>
      <c r="Y856" s="6">
        <v>0.25</v>
      </c>
      <c r="Z856" s="6">
        <v>0.32500000000000001</v>
      </c>
      <c r="AA856" s="6">
        <f t="shared" si="45"/>
        <v>2.0718750000000001E-2</v>
      </c>
      <c r="AB856" s="8">
        <v>150</v>
      </c>
      <c r="AC856" s="15">
        <v>27897801314415</v>
      </c>
      <c r="AD856" s="4" t="s">
        <v>992</v>
      </c>
    </row>
    <row r="857" spans="2:30" x14ac:dyDescent="0.35">
      <c r="B857" s="14">
        <v>1516</v>
      </c>
      <c r="C857" s="67" t="s">
        <v>779</v>
      </c>
      <c r="D857" s="4" t="s">
        <v>2373</v>
      </c>
      <c r="E857" s="24" t="s">
        <v>2912</v>
      </c>
      <c r="F857" s="4" t="s">
        <v>85</v>
      </c>
      <c r="G857" s="4" t="s">
        <v>993</v>
      </c>
      <c r="H857" s="27">
        <v>8.5999999999999993E-2</v>
      </c>
      <c r="I857" s="8">
        <v>44</v>
      </c>
      <c r="J857" s="8">
        <v>44</v>
      </c>
      <c r="K857" s="8">
        <v>59</v>
      </c>
      <c r="L857" s="8">
        <f t="shared" si="44"/>
        <v>114224</v>
      </c>
      <c r="M857" s="15">
        <v>7897801314428</v>
      </c>
      <c r="N857" s="6" t="s">
        <v>20</v>
      </c>
      <c r="O857" s="6" t="s">
        <v>20</v>
      </c>
      <c r="P857" s="6" t="s">
        <v>20</v>
      </c>
      <c r="Q857" s="6">
        <v>0.12</v>
      </c>
      <c r="R857" s="6">
        <v>4.3999999999999997E-2</v>
      </c>
      <c r="S857" s="6">
        <v>0.16</v>
      </c>
      <c r="T857" s="8">
        <v>5</v>
      </c>
      <c r="U857" s="5" t="s">
        <v>994</v>
      </c>
      <c r="V857" s="89">
        <v>0</v>
      </c>
      <c r="W857" s="15">
        <v>17897801314425</v>
      </c>
      <c r="X857" s="6">
        <v>0.255</v>
      </c>
      <c r="Y857" s="6">
        <v>0.25</v>
      </c>
      <c r="Z857" s="6">
        <v>0.32500000000000001</v>
      </c>
      <c r="AA857" s="6">
        <f t="shared" si="45"/>
        <v>2.0718750000000001E-2</v>
      </c>
      <c r="AB857" s="8">
        <v>140</v>
      </c>
      <c r="AC857" s="15">
        <v>27897801314422</v>
      </c>
      <c r="AD857" s="4" t="s">
        <v>992</v>
      </c>
    </row>
    <row r="858" spans="2:30" x14ac:dyDescent="0.35">
      <c r="B858" s="14">
        <v>1517</v>
      </c>
      <c r="C858" s="67" t="s">
        <v>780</v>
      </c>
      <c r="D858" s="4" t="s">
        <v>2373</v>
      </c>
      <c r="E858" s="24" t="s">
        <v>2912</v>
      </c>
      <c r="F858" s="4" t="s">
        <v>85</v>
      </c>
      <c r="G858" s="4" t="s">
        <v>993</v>
      </c>
      <c r="H858" s="27">
        <v>0.1701</v>
      </c>
      <c r="I858" s="8">
        <v>56</v>
      </c>
      <c r="J858" s="8">
        <v>56</v>
      </c>
      <c r="K858" s="8">
        <v>73</v>
      </c>
      <c r="L858" s="8">
        <f t="shared" si="44"/>
        <v>228928</v>
      </c>
      <c r="M858" s="15">
        <v>7897801314435</v>
      </c>
      <c r="N858" s="6" t="s">
        <v>20</v>
      </c>
      <c r="O858" s="6" t="s">
        <v>20</v>
      </c>
      <c r="P858" s="6" t="s">
        <v>20</v>
      </c>
      <c r="Q858" s="6">
        <v>7.2999999999999995E-2</v>
      </c>
      <c r="R858" s="6">
        <v>5.6000000000000001E-2</v>
      </c>
      <c r="S858" s="6">
        <v>0.112</v>
      </c>
      <c r="T858" s="8">
        <v>2</v>
      </c>
      <c r="U858" s="5" t="s">
        <v>994</v>
      </c>
      <c r="V858" s="89">
        <v>0</v>
      </c>
      <c r="W858" s="15">
        <v>17897801314432</v>
      </c>
      <c r="X858" s="6">
        <v>0.255</v>
      </c>
      <c r="Y858" s="6">
        <v>0.25</v>
      </c>
      <c r="Z858" s="6">
        <v>0.32500000000000001</v>
      </c>
      <c r="AA858" s="6">
        <f t="shared" si="45"/>
        <v>2.0718750000000001E-2</v>
      </c>
      <c r="AB858" s="8">
        <v>60</v>
      </c>
      <c r="AC858" s="15">
        <v>27897801314439</v>
      </c>
      <c r="AD858" s="4" t="s">
        <v>992</v>
      </c>
    </row>
    <row r="859" spans="2:30" x14ac:dyDescent="0.35">
      <c r="B859" s="14">
        <v>1518</v>
      </c>
      <c r="C859" s="67" t="s">
        <v>781</v>
      </c>
      <c r="D859" s="4" t="s">
        <v>2373</v>
      </c>
      <c r="E859" s="24" t="s">
        <v>2912</v>
      </c>
      <c r="F859" s="4" t="s">
        <v>85</v>
      </c>
      <c r="G859" s="4" t="s">
        <v>993</v>
      </c>
      <c r="H859" s="27">
        <v>0.25950000000000001</v>
      </c>
      <c r="I859" s="8">
        <v>69</v>
      </c>
      <c r="J859" s="8">
        <v>69</v>
      </c>
      <c r="K859" s="8">
        <v>81</v>
      </c>
      <c r="L859" s="8">
        <f t="shared" si="44"/>
        <v>385641</v>
      </c>
      <c r="M859" s="15">
        <v>7897801314442</v>
      </c>
      <c r="N859" s="6" t="s">
        <v>20</v>
      </c>
      <c r="O859" s="6" t="s">
        <v>20</v>
      </c>
      <c r="P859" s="6" t="s">
        <v>20</v>
      </c>
      <c r="Q859" s="6">
        <v>8.1000000000000003E-2</v>
      </c>
      <c r="R859" s="6">
        <v>6.9000000000000006E-2</v>
      </c>
      <c r="S859" s="6">
        <v>0.13800000000000001</v>
      </c>
      <c r="T859" s="8">
        <v>2</v>
      </c>
      <c r="U859" s="5" t="s">
        <v>994</v>
      </c>
      <c r="V859" s="89">
        <v>0</v>
      </c>
      <c r="W859" s="15">
        <v>17897801314449</v>
      </c>
      <c r="X859" s="6">
        <v>0.255</v>
      </c>
      <c r="Y859" s="6">
        <v>0.25</v>
      </c>
      <c r="Z859" s="6">
        <v>0.32500000000000001</v>
      </c>
      <c r="AA859" s="6">
        <f t="shared" si="45"/>
        <v>2.0718750000000001E-2</v>
      </c>
      <c r="AB859" s="8">
        <v>40</v>
      </c>
      <c r="AC859" s="15">
        <v>27897801314446</v>
      </c>
      <c r="AD859" s="4" t="s">
        <v>992</v>
      </c>
    </row>
    <row r="860" spans="2:30" x14ac:dyDescent="0.35">
      <c r="B860" s="14">
        <v>1519</v>
      </c>
      <c r="C860" s="67" t="s">
        <v>782</v>
      </c>
      <c r="D860" s="4" t="s">
        <v>2373</v>
      </c>
      <c r="E860" s="24" t="s">
        <v>2912</v>
      </c>
      <c r="F860" s="4" t="s">
        <v>85</v>
      </c>
      <c r="G860" s="4" t="s">
        <v>993</v>
      </c>
      <c r="H860" s="27">
        <v>0.34760000000000002</v>
      </c>
      <c r="I860" s="8">
        <v>85.4</v>
      </c>
      <c r="J860" s="8">
        <v>82</v>
      </c>
      <c r="K860" s="8">
        <v>81</v>
      </c>
      <c r="L860" s="8">
        <f t="shared" si="44"/>
        <v>567226.80000000005</v>
      </c>
      <c r="M860" s="15">
        <v>7897801314459</v>
      </c>
      <c r="N860" s="6" t="s">
        <v>20</v>
      </c>
      <c r="O860" s="6" t="s">
        <v>20</v>
      </c>
      <c r="P860" s="6" t="s">
        <v>20</v>
      </c>
      <c r="Q860" s="6">
        <v>8.2000000000000003E-2</v>
      </c>
      <c r="R860" s="6">
        <v>8.2000000000000003E-2</v>
      </c>
      <c r="S860" s="6">
        <v>0.151</v>
      </c>
      <c r="T860" s="8">
        <v>2</v>
      </c>
      <c r="U860" s="5" t="s">
        <v>994</v>
      </c>
      <c r="V860" s="89">
        <v>0</v>
      </c>
      <c r="W860" s="15">
        <v>17897801314456</v>
      </c>
      <c r="X860" s="6">
        <v>0.255</v>
      </c>
      <c r="Y860" s="6">
        <v>0.25</v>
      </c>
      <c r="Z860" s="6">
        <v>0.32500000000000001</v>
      </c>
      <c r="AA860" s="6">
        <f t="shared" si="45"/>
        <v>2.0718750000000001E-2</v>
      </c>
      <c r="AB860" s="8">
        <v>24</v>
      </c>
      <c r="AC860" s="15">
        <v>27897801314453</v>
      </c>
      <c r="AD860" s="4" t="s">
        <v>992</v>
      </c>
    </row>
    <row r="861" spans="2:30" x14ac:dyDescent="0.35">
      <c r="B861" s="14">
        <v>1520</v>
      </c>
      <c r="C861" s="67" t="s">
        <v>783</v>
      </c>
      <c r="D861" s="4" t="s">
        <v>2373</v>
      </c>
      <c r="E861" s="24" t="s">
        <v>2912</v>
      </c>
      <c r="F861" s="4" t="s">
        <v>85</v>
      </c>
      <c r="G861" s="4" t="s">
        <v>993</v>
      </c>
      <c r="H861" s="27">
        <v>0.54910000000000003</v>
      </c>
      <c r="I861" s="8">
        <v>99</v>
      </c>
      <c r="J861" s="8">
        <v>99</v>
      </c>
      <c r="K861" s="8">
        <v>99</v>
      </c>
      <c r="L861" s="8">
        <f t="shared" si="44"/>
        <v>970299</v>
      </c>
      <c r="M861" s="15">
        <v>7897801314466</v>
      </c>
      <c r="N861" s="6" t="s">
        <v>20</v>
      </c>
      <c r="O861" s="6" t="s">
        <v>20</v>
      </c>
      <c r="P861" s="6" t="s">
        <v>20</v>
      </c>
      <c r="Q861" s="6">
        <v>9.6000000000000002E-2</v>
      </c>
      <c r="R861" s="6">
        <v>9.5000000000000001E-2</v>
      </c>
      <c r="S861" s="6">
        <v>9.6000000000000002E-2</v>
      </c>
      <c r="T861" s="8">
        <v>1</v>
      </c>
      <c r="U861" s="5" t="s">
        <v>994</v>
      </c>
      <c r="V861" s="89">
        <v>0</v>
      </c>
      <c r="W861" s="15">
        <v>17897801314463</v>
      </c>
      <c r="X861" s="6">
        <v>0.255</v>
      </c>
      <c r="Y861" s="6">
        <v>0.25</v>
      </c>
      <c r="Z861" s="6">
        <v>0.32500000000000001</v>
      </c>
      <c r="AA861" s="6">
        <f t="shared" si="45"/>
        <v>2.0718750000000001E-2</v>
      </c>
      <c r="AB861" s="8">
        <v>14</v>
      </c>
      <c r="AC861" s="15">
        <v>27897801314460</v>
      </c>
      <c r="AD861" s="4" t="s">
        <v>992</v>
      </c>
    </row>
    <row r="862" spans="2:30" x14ac:dyDescent="0.35">
      <c r="B862" s="18">
        <v>1521</v>
      </c>
      <c r="C862" s="67" t="s">
        <v>2439</v>
      </c>
      <c r="D862" s="4" t="s">
        <v>2373</v>
      </c>
      <c r="E862" s="24" t="s">
        <v>2912</v>
      </c>
      <c r="F862" s="4" t="s">
        <v>85</v>
      </c>
      <c r="G862" s="4" t="s">
        <v>1012</v>
      </c>
      <c r="H862" s="27">
        <v>1.27</v>
      </c>
      <c r="I862" s="8">
        <v>116</v>
      </c>
      <c r="J862" s="8">
        <v>116</v>
      </c>
      <c r="K862" s="8">
        <v>95</v>
      </c>
      <c r="L862" s="8">
        <v>1278320</v>
      </c>
      <c r="M862" s="15">
        <v>7897801315975</v>
      </c>
      <c r="N862" s="6" t="s">
        <v>20</v>
      </c>
      <c r="O862" s="6" t="s">
        <v>20</v>
      </c>
      <c r="P862" s="6" t="s">
        <v>20</v>
      </c>
      <c r="Q862" s="6">
        <v>0.2</v>
      </c>
      <c r="R862" s="6">
        <v>0.11600000000000001</v>
      </c>
      <c r="S862" s="6">
        <v>0.20499999999999999</v>
      </c>
      <c r="T862" s="8">
        <v>1</v>
      </c>
      <c r="U862" s="5" t="s">
        <v>994</v>
      </c>
      <c r="V862" s="89">
        <v>0</v>
      </c>
      <c r="W862" s="15">
        <v>17897801315972</v>
      </c>
      <c r="X862" s="6">
        <v>0.34</v>
      </c>
      <c r="Y862" s="6">
        <v>0.26</v>
      </c>
      <c r="Z862" s="6">
        <v>0.25</v>
      </c>
      <c r="AA862" s="6">
        <v>2.2100000000000002E-2</v>
      </c>
      <c r="AB862" s="8">
        <v>12</v>
      </c>
      <c r="AC862" s="15">
        <v>27897801315979</v>
      </c>
      <c r="AD862" s="4" t="s">
        <v>992</v>
      </c>
    </row>
    <row r="863" spans="2:30" x14ac:dyDescent="0.35">
      <c r="B863" s="18">
        <v>1522</v>
      </c>
      <c r="C863" s="67" t="s">
        <v>2440</v>
      </c>
      <c r="D863" s="4" t="s">
        <v>2373</v>
      </c>
      <c r="E863" s="24" t="s">
        <v>2912</v>
      </c>
      <c r="F863" s="4" t="s">
        <v>85</v>
      </c>
      <c r="G863" s="4" t="s">
        <v>1012</v>
      </c>
      <c r="H863" s="27">
        <v>1.63</v>
      </c>
      <c r="I863" s="8">
        <v>143</v>
      </c>
      <c r="J863" s="8">
        <v>143</v>
      </c>
      <c r="K863" s="8">
        <v>117</v>
      </c>
      <c r="L863" s="8">
        <v>2392533</v>
      </c>
      <c r="M863" s="15">
        <v>7897801315982</v>
      </c>
      <c r="N863" s="6" t="s">
        <v>20</v>
      </c>
      <c r="O863" s="6" t="s">
        <v>20</v>
      </c>
      <c r="P863" s="6" t="s">
        <v>20</v>
      </c>
      <c r="Q863" s="6">
        <v>0.23</v>
      </c>
      <c r="R863" s="6">
        <v>0.14299999999999999</v>
      </c>
      <c r="S863" s="6">
        <v>0.32</v>
      </c>
      <c r="T863" s="8">
        <v>1</v>
      </c>
      <c r="U863" s="5" t="s">
        <v>994</v>
      </c>
      <c r="V863" s="89">
        <v>0</v>
      </c>
      <c r="W863" s="15">
        <v>17897801315989</v>
      </c>
      <c r="X863" s="6">
        <v>0.38</v>
      </c>
      <c r="Y863" s="6">
        <v>0.34</v>
      </c>
      <c r="Z863" s="6">
        <v>0.25</v>
      </c>
      <c r="AA863" s="6">
        <v>3.2300000000000002E-2</v>
      </c>
      <c r="AB863" s="8" t="s">
        <v>2424</v>
      </c>
      <c r="AC863" s="15">
        <v>27897801315986</v>
      </c>
      <c r="AD863" s="4" t="s">
        <v>992</v>
      </c>
    </row>
    <row r="864" spans="2:30" x14ac:dyDescent="0.35">
      <c r="B864" s="14">
        <v>1524</v>
      </c>
      <c r="C864" s="67" t="s">
        <v>784</v>
      </c>
      <c r="D864" s="4" t="s">
        <v>2373</v>
      </c>
      <c r="E864" s="24" t="s">
        <v>2912</v>
      </c>
      <c r="F864" s="4" t="s">
        <v>85</v>
      </c>
      <c r="G864" s="4" t="s">
        <v>993</v>
      </c>
      <c r="H864" s="6">
        <v>8.6E-3</v>
      </c>
      <c r="I864" s="8">
        <v>34</v>
      </c>
      <c r="J864" s="8">
        <v>27</v>
      </c>
      <c r="K864" s="8">
        <v>27</v>
      </c>
      <c r="L864" s="8">
        <f t="shared" ref="L864:L895" si="46">J864*I864*K864</f>
        <v>24786</v>
      </c>
      <c r="M864" s="15">
        <v>7897801314473</v>
      </c>
      <c r="N864" s="6" t="s">
        <v>20</v>
      </c>
      <c r="O864" s="6" t="s">
        <v>20</v>
      </c>
      <c r="P864" s="6" t="s">
        <v>20</v>
      </c>
      <c r="Q864" s="6">
        <v>0.09</v>
      </c>
      <c r="R864" s="6">
        <v>3.4000000000000002E-2</v>
      </c>
      <c r="S864" s="6">
        <v>0.115</v>
      </c>
      <c r="T864" s="8">
        <v>10</v>
      </c>
      <c r="U864" s="5" t="s">
        <v>994</v>
      </c>
      <c r="V864" s="89">
        <v>0</v>
      </c>
      <c r="W864" s="15">
        <v>17897801314470</v>
      </c>
      <c r="X864" s="6">
        <v>0.34499999999999997</v>
      </c>
      <c r="Y864" s="6">
        <v>0.255</v>
      </c>
      <c r="Z864" s="6">
        <v>0.375</v>
      </c>
      <c r="AA864" s="6">
        <f t="shared" ref="AA864:AA895" si="47">Y864*X864*Z864</f>
        <v>3.2990624999999996E-2</v>
      </c>
      <c r="AB864" s="8">
        <v>600</v>
      </c>
      <c r="AC864" s="15">
        <v>27897801314477</v>
      </c>
      <c r="AD864" s="4" t="s">
        <v>992</v>
      </c>
    </row>
    <row r="865" spans="2:30" x14ac:dyDescent="0.35">
      <c r="B865" s="14">
        <v>1525</v>
      </c>
      <c r="C865" s="67" t="s">
        <v>785</v>
      </c>
      <c r="D865" s="4" t="s">
        <v>2373</v>
      </c>
      <c r="E865" s="24" t="s">
        <v>2912</v>
      </c>
      <c r="F865" s="4" t="s">
        <v>85</v>
      </c>
      <c r="G865" s="4" t="s">
        <v>993</v>
      </c>
      <c r="H865" s="6">
        <v>1.2200000000000001E-2</v>
      </c>
      <c r="I865" s="8">
        <v>36</v>
      </c>
      <c r="J865" s="8">
        <v>33</v>
      </c>
      <c r="K865" s="8">
        <v>33</v>
      </c>
      <c r="L865" s="8">
        <f t="shared" si="46"/>
        <v>39204</v>
      </c>
      <c r="M865" s="15">
        <v>7897801314480</v>
      </c>
      <c r="N865" s="6" t="s">
        <v>20</v>
      </c>
      <c r="O865" s="6" t="s">
        <v>20</v>
      </c>
      <c r="P865" s="6" t="s">
        <v>20</v>
      </c>
      <c r="Q865" s="6">
        <v>0.11</v>
      </c>
      <c r="R865" s="6">
        <v>3.4000000000000002E-2</v>
      </c>
      <c r="S865" s="6">
        <v>0.12</v>
      </c>
      <c r="T865" s="8">
        <v>10</v>
      </c>
      <c r="U865" s="5" t="s">
        <v>994</v>
      </c>
      <c r="V865" s="89">
        <v>0</v>
      </c>
      <c r="W865" s="15">
        <v>17897801314487</v>
      </c>
      <c r="X865" s="6">
        <v>0.34499999999999997</v>
      </c>
      <c r="Y865" s="6">
        <v>0.255</v>
      </c>
      <c r="Z865" s="6">
        <v>0.375</v>
      </c>
      <c r="AA865" s="6">
        <f t="shared" si="47"/>
        <v>3.2990624999999996E-2</v>
      </c>
      <c r="AB865" s="8">
        <v>390</v>
      </c>
      <c r="AC865" s="15">
        <v>27897801314484</v>
      </c>
      <c r="AD865" s="4" t="s">
        <v>992</v>
      </c>
    </row>
    <row r="866" spans="2:30" x14ac:dyDescent="0.35">
      <c r="B866" s="14">
        <v>1526</v>
      </c>
      <c r="C866" s="67" t="s">
        <v>786</v>
      </c>
      <c r="D866" s="4" t="s">
        <v>2373</v>
      </c>
      <c r="E866" s="24" t="s">
        <v>2912</v>
      </c>
      <c r="F866" s="4" t="s">
        <v>85</v>
      </c>
      <c r="G866" s="4" t="s">
        <v>993</v>
      </c>
      <c r="H866" s="6">
        <v>1.54E-2</v>
      </c>
      <c r="I866" s="8">
        <v>38</v>
      </c>
      <c r="J866" s="8">
        <v>33</v>
      </c>
      <c r="K866" s="8">
        <v>33</v>
      </c>
      <c r="L866" s="8">
        <f t="shared" si="46"/>
        <v>41382</v>
      </c>
      <c r="M866" s="15">
        <v>7897801314497</v>
      </c>
      <c r="N866" s="6" t="s">
        <v>20</v>
      </c>
      <c r="O866" s="6" t="s">
        <v>20</v>
      </c>
      <c r="P866" s="6" t="s">
        <v>20</v>
      </c>
      <c r="Q866" s="6">
        <v>0.125</v>
      </c>
      <c r="R866" s="6">
        <v>3.3000000000000002E-2</v>
      </c>
      <c r="S866" s="6">
        <v>0.14000000000000001</v>
      </c>
      <c r="T866" s="8">
        <v>10</v>
      </c>
      <c r="U866" s="5" t="s">
        <v>994</v>
      </c>
      <c r="V866" s="89">
        <v>0</v>
      </c>
      <c r="W866" s="15">
        <v>17897801314494</v>
      </c>
      <c r="X866" s="6">
        <v>0.34499999999999997</v>
      </c>
      <c r="Y866" s="6">
        <v>0.255</v>
      </c>
      <c r="Z866" s="6">
        <v>0.375</v>
      </c>
      <c r="AA866" s="6">
        <f t="shared" si="47"/>
        <v>3.2990624999999996E-2</v>
      </c>
      <c r="AB866" s="8">
        <v>340</v>
      </c>
      <c r="AC866" s="15">
        <v>27897801314491</v>
      </c>
      <c r="AD866" s="4" t="s">
        <v>992</v>
      </c>
    </row>
    <row r="867" spans="2:30" x14ac:dyDescent="0.35">
      <c r="B867" s="14">
        <v>1527</v>
      </c>
      <c r="C867" s="67" t="s">
        <v>787</v>
      </c>
      <c r="D867" s="4" t="s">
        <v>2373</v>
      </c>
      <c r="E867" s="24" t="s">
        <v>2912</v>
      </c>
      <c r="F867" s="4" t="s">
        <v>85</v>
      </c>
      <c r="G867" s="4" t="s">
        <v>993</v>
      </c>
      <c r="H867" s="6">
        <v>2.1499999999999998E-2</v>
      </c>
      <c r="I867" s="8">
        <v>40</v>
      </c>
      <c r="J867" s="8">
        <v>40</v>
      </c>
      <c r="K867" s="8">
        <v>40</v>
      </c>
      <c r="L867" s="8">
        <f t="shared" si="46"/>
        <v>64000</v>
      </c>
      <c r="M867" s="15">
        <v>7897801314503</v>
      </c>
      <c r="N867" s="6" t="s">
        <v>20</v>
      </c>
      <c r="O867" s="6" t="s">
        <v>20</v>
      </c>
      <c r="P867" s="6" t="s">
        <v>20</v>
      </c>
      <c r="Q867" s="6">
        <v>8.5000000000000006E-2</v>
      </c>
      <c r="R867" s="6">
        <v>0.04</v>
      </c>
      <c r="S867" s="6">
        <v>0.115</v>
      </c>
      <c r="T867" s="8">
        <v>5</v>
      </c>
      <c r="U867" s="5" t="s">
        <v>994</v>
      </c>
      <c r="V867" s="89">
        <v>0</v>
      </c>
      <c r="W867" s="15">
        <v>17897801314500</v>
      </c>
      <c r="X867" s="6">
        <v>0.34499999999999997</v>
      </c>
      <c r="Y867" s="6">
        <v>0.255</v>
      </c>
      <c r="Z867" s="6">
        <v>0.375</v>
      </c>
      <c r="AA867" s="6">
        <f t="shared" si="47"/>
        <v>3.2990624999999996E-2</v>
      </c>
      <c r="AB867" s="8">
        <v>220</v>
      </c>
      <c r="AC867" s="15">
        <v>27897801314507</v>
      </c>
      <c r="AD867" s="4" t="s">
        <v>992</v>
      </c>
    </row>
    <row r="868" spans="2:30" x14ac:dyDescent="0.35">
      <c r="B868" s="14">
        <v>1528</v>
      </c>
      <c r="C868" s="67" t="s">
        <v>788</v>
      </c>
      <c r="D868" s="4" t="s">
        <v>2373</v>
      </c>
      <c r="E868" s="24" t="s">
        <v>2912</v>
      </c>
      <c r="F868" s="4" t="s">
        <v>85</v>
      </c>
      <c r="G868" s="4" t="s">
        <v>993</v>
      </c>
      <c r="H868" s="6">
        <v>2.8199999999999999E-2</v>
      </c>
      <c r="I868" s="8">
        <v>42</v>
      </c>
      <c r="J868" s="8">
        <v>42</v>
      </c>
      <c r="K868" s="8">
        <v>44</v>
      </c>
      <c r="L868" s="8">
        <f t="shared" si="46"/>
        <v>77616</v>
      </c>
      <c r="M868" s="15">
        <v>7897801314510</v>
      </c>
      <c r="N868" s="6" t="s">
        <v>20</v>
      </c>
      <c r="O868" s="6" t="s">
        <v>20</v>
      </c>
      <c r="P868" s="6" t="s">
        <v>20</v>
      </c>
      <c r="Q868" s="6">
        <v>0.155</v>
      </c>
      <c r="R868" s="6">
        <v>4.2000000000000003E-2</v>
      </c>
      <c r="S868" s="6">
        <v>0.17499999999999999</v>
      </c>
      <c r="T868" s="8">
        <v>5</v>
      </c>
      <c r="U868" s="5" t="s">
        <v>994</v>
      </c>
      <c r="V868" s="89">
        <v>0</v>
      </c>
      <c r="W868" s="15">
        <v>17897801314517</v>
      </c>
      <c r="X868" s="6">
        <v>0.34499999999999997</v>
      </c>
      <c r="Y868" s="6">
        <v>0.255</v>
      </c>
      <c r="Z868" s="6">
        <v>0.375</v>
      </c>
      <c r="AA868" s="6">
        <f t="shared" si="47"/>
        <v>3.2990624999999996E-2</v>
      </c>
      <c r="AB868" s="8">
        <v>190</v>
      </c>
      <c r="AC868" s="15">
        <v>27897801314514</v>
      </c>
      <c r="AD868" s="4" t="s">
        <v>992</v>
      </c>
    </row>
    <row r="869" spans="2:30" x14ac:dyDescent="0.35">
      <c r="B869" s="14">
        <v>1529</v>
      </c>
      <c r="C869" s="67" t="s">
        <v>789</v>
      </c>
      <c r="D869" s="4" t="s">
        <v>2373</v>
      </c>
      <c r="E869" s="24" t="s">
        <v>2912</v>
      </c>
      <c r="F869" s="4" t="s">
        <v>85</v>
      </c>
      <c r="G869" s="4" t="s">
        <v>993</v>
      </c>
      <c r="H869" s="6">
        <v>3.6799999999999999E-2</v>
      </c>
      <c r="I869" s="8">
        <v>51</v>
      </c>
      <c r="J869" s="8">
        <v>47</v>
      </c>
      <c r="K869" s="8">
        <v>51</v>
      </c>
      <c r="L869" s="8">
        <f t="shared" si="46"/>
        <v>122247</v>
      </c>
      <c r="M869" s="15">
        <v>7897801314527</v>
      </c>
      <c r="N869" s="6" t="s">
        <v>20</v>
      </c>
      <c r="O869" s="6" t="s">
        <v>20</v>
      </c>
      <c r="P869" s="6" t="s">
        <v>20</v>
      </c>
      <c r="Q869" s="6">
        <v>5.5E-2</v>
      </c>
      <c r="R869" s="6">
        <v>0.1</v>
      </c>
      <c r="S869" s="6">
        <v>5.5E-2</v>
      </c>
      <c r="T869" s="8">
        <v>2</v>
      </c>
      <c r="U869" s="5" t="s">
        <v>994</v>
      </c>
      <c r="V869" s="89">
        <v>0</v>
      </c>
      <c r="W869" s="15">
        <v>17897801314524</v>
      </c>
      <c r="X869" s="6">
        <v>0.34499999999999997</v>
      </c>
      <c r="Y869" s="6">
        <v>0.255</v>
      </c>
      <c r="Z869" s="6">
        <v>0.375</v>
      </c>
      <c r="AA869" s="6">
        <f t="shared" si="47"/>
        <v>3.2990624999999996E-2</v>
      </c>
      <c r="AB869" s="8">
        <v>134</v>
      </c>
      <c r="AC869" s="15">
        <v>27897801314521</v>
      </c>
      <c r="AD869" s="4" t="s">
        <v>992</v>
      </c>
    </row>
    <row r="870" spans="2:30" x14ac:dyDescent="0.35">
      <c r="B870" s="14">
        <v>1530</v>
      </c>
      <c r="C870" s="67" t="s">
        <v>790</v>
      </c>
      <c r="D870" s="4" t="s">
        <v>2373</v>
      </c>
      <c r="E870" s="24" t="s">
        <v>2912</v>
      </c>
      <c r="F870" s="4" t="s">
        <v>85</v>
      </c>
      <c r="G870" s="4" t="s">
        <v>993</v>
      </c>
      <c r="H870" s="6">
        <v>3.8100000000000002E-2</v>
      </c>
      <c r="I870" s="8">
        <v>46</v>
      </c>
      <c r="J870" s="8">
        <v>51</v>
      </c>
      <c r="K870" s="8">
        <v>51</v>
      </c>
      <c r="L870" s="8">
        <f t="shared" si="46"/>
        <v>119646</v>
      </c>
      <c r="M870" s="15">
        <v>7897801314534</v>
      </c>
      <c r="N870" s="6" t="s">
        <v>20</v>
      </c>
      <c r="O870" s="6" t="s">
        <v>20</v>
      </c>
      <c r="P870" s="6" t="s">
        <v>20</v>
      </c>
      <c r="Q870" s="6">
        <v>5.5E-2</v>
      </c>
      <c r="R870" s="6">
        <v>0.05</v>
      </c>
      <c r="S870" s="6">
        <v>0.105</v>
      </c>
      <c r="T870" s="8">
        <v>2</v>
      </c>
      <c r="U870" s="5" t="s">
        <v>994</v>
      </c>
      <c r="V870" s="89">
        <v>0</v>
      </c>
      <c r="W870" s="15">
        <v>17897801314531</v>
      </c>
      <c r="X870" s="6">
        <v>0.34499999999999997</v>
      </c>
      <c r="Y870" s="6">
        <v>0.255</v>
      </c>
      <c r="Z870" s="6">
        <v>0.375</v>
      </c>
      <c r="AA870" s="6">
        <f t="shared" si="47"/>
        <v>3.2990624999999996E-2</v>
      </c>
      <c r="AB870" s="8">
        <v>134</v>
      </c>
      <c r="AC870" s="15">
        <v>27897801314538</v>
      </c>
      <c r="AD870" s="4" t="s">
        <v>992</v>
      </c>
    </row>
    <row r="871" spans="2:30" x14ac:dyDescent="0.35">
      <c r="B871" s="14">
        <v>1531</v>
      </c>
      <c r="C871" s="67" t="s">
        <v>791</v>
      </c>
      <c r="D871" s="4" t="s">
        <v>2373</v>
      </c>
      <c r="E871" s="24" t="s">
        <v>2912</v>
      </c>
      <c r="F871" s="4" t="s">
        <v>85</v>
      </c>
      <c r="G871" s="4" t="s">
        <v>993</v>
      </c>
      <c r="H871" s="6">
        <v>4.9399999999999999E-2</v>
      </c>
      <c r="I871" s="8">
        <v>50</v>
      </c>
      <c r="J871" s="8">
        <v>52</v>
      </c>
      <c r="K871" s="8">
        <v>52</v>
      </c>
      <c r="L871" s="8">
        <f t="shared" si="46"/>
        <v>135200</v>
      </c>
      <c r="M871" s="15">
        <v>7897801314541</v>
      </c>
      <c r="N871" s="6" t="s">
        <v>20</v>
      </c>
      <c r="O871" s="6" t="s">
        <v>20</v>
      </c>
      <c r="P871" s="6" t="s">
        <v>20</v>
      </c>
      <c r="Q871" s="6">
        <v>5.5E-2</v>
      </c>
      <c r="R871" s="6">
        <v>0.05</v>
      </c>
      <c r="S871" s="6">
        <v>0.105</v>
      </c>
      <c r="T871" s="8">
        <v>2</v>
      </c>
      <c r="U871" s="5" t="s">
        <v>994</v>
      </c>
      <c r="V871" s="89">
        <v>0</v>
      </c>
      <c r="W871" s="15">
        <v>17897801314548</v>
      </c>
      <c r="X871" s="6">
        <v>0.34499999999999997</v>
      </c>
      <c r="Y871" s="6">
        <v>0.255</v>
      </c>
      <c r="Z871" s="6">
        <v>0.375</v>
      </c>
      <c r="AA871" s="6">
        <f t="shared" si="47"/>
        <v>3.2990624999999996E-2</v>
      </c>
      <c r="AB871" s="8">
        <v>100</v>
      </c>
      <c r="AC871" s="15">
        <v>27897801314545</v>
      </c>
      <c r="AD871" s="4" t="s">
        <v>992</v>
      </c>
    </row>
    <row r="872" spans="2:30" x14ac:dyDescent="0.35">
      <c r="B872" s="14">
        <v>1532</v>
      </c>
      <c r="C872" s="67" t="s">
        <v>792</v>
      </c>
      <c r="D872" s="4" t="s">
        <v>2373</v>
      </c>
      <c r="E872" s="24" t="s">
        <v>2912</v>
      </c>
      <c r="F872" s="4" t="s">
        <v>85</v>
      </c>
      <c r="G872" s="4" t="s">
        <v>993</v>
      </c>
      <c r="H872" s="6">
        <v>6.8900000000000003E-2</v>
      </c>
      <c r="I872" s="8">
        <v>52</v>
      </c>
      <c r="J872" s="8">
        <v>65</v>
      </c>
      <c r="K872" s="8">
        <v>65</v>
      </c>
      <c r="L872" s="8">
        <f t="shared" si="46"/>
        <v>219700</v>
      </c>
      <c r="M872" s="15">
        <v>7897801314558</v>
      </c>
      <c r="N872" s="6" t="s">
        <v>20</v>
      </c>
      <c r="O872" s="6" t="s">
        <v>20</v>
      </c>
      <c r="P872" s="6" t="s">
        <v>20</v>
      </c>
      <c r="Q872" s="6">
        <v>5.5E-2</v>
      </c>
      <c r="R872" s="6">
        <v>6.5000000000000002E-2</v>
      </c>
      <c r="S872" s="6">
        <v>6.5000000000000002E-2</v>
      </c>
      <c r="T872" s="8">
        <v>1</v>
      </c>
      <c r="U872" s="5" t="s">
        <v>994</v>
      </c>
      <c r="V872" s="89">
        <v>0</v>
      </c>
      <c r="W872" s="15">
        <v>17897801314555</v>
      </c>
      <c r="X872" s="6">
        <v>0.34499999999999997</v>
      </c>
      <c r="Y872" s="6">
        <v>0.255</v>
      </c>
      <c r="Z872" s="6">
        <v>0.375</v>
      </c>
      <c r="AA872" s="6">
        <f t="shared" si="47"/>
        <v>3.2990624999999996E-2</v>
      </c>
      <c r="AB872" s="8">
        <v>65</v>
      </c>
      <c r="AC872" s="15">
        <v>27897801314552</v>
      </c>
      <c r="AD872" s="4" t="s">
        <v>992</v>
      </c>
    </row>
    <row r="873" spans="2:30" x14ac:dyDescent="0.35">
      <c r="B873" s="14">
        <v>1533</v>
      </c>
      <c r="C873" s="67" t="s">
        <v>793</v>
      </c>
      <c r="D873" s="4" t="s">
        <v>2373</v>
      </c>
      <c r="E873" s="24" t="s">
        <v>2912</v>
      </c>
      <c r="F873" s="4" t="s">
        <v>85</v>
      </c>
      <c r="G873" s="4" t="s">
        <v>993</v>
      </c>
      <c r="H873" s="6">
        <v>9.2200000000000004E-2</v>
      </c>
      <c r="I873" s="8">
        <v>58</v>
      </c>
      <c r="J873" s="8">
        <v>65</v>
      </c>
      <c r="K873" s="8">
        <v>65</v>
      </c>
      <c r="L873" s="8">
        <f t="shared" si="46"/>
        <v>245050</v>
      </c>
      <c r="M873" s="15">
        <v>7897801314565</v>
      </c>
      <c r="N873" s="6" t="s">
        <v>20</v>
      </c>
      <c r="O873" s="6" t="s">
        <v>20</v>
      </c>
      <c r="P873" s="6" t="s">
        <v>20</v>
      </c>
      <c r="Q873" s="6">
        <v>6.7000000000000004E-2</v>
      </c>
      <c r="R873" s="6">
        <v>5.8999999999999997E-2</v>
      </c>
      <c r="S873" s="6">
        <v>6.7000000000000004E-2</v>
      </c>
      <c r="T873" s="8">
        <v>1</v>
      </c>
      <c r="U873" s="5" t="s">
        <v>994</v>
      </c>
      <c r="V873" s="89">
        <v>0</v>
      </c>
      <c r="W873" s="15">
        <v>17897801314562</v>
      </c>
      <c r="X873" s="6">
        <v>0.34499999999999997</v>
      </c>
      <c r="Y873" s="6">
        <v>0.255</v>
      </c>
      <c r="Z873" s="6">
        <v>0.375</v>
      </c>
      <c r="AA873" s="6">
        <f t="shared" si="47"/>
        <v>3.2990624999999996E-2</v>
      </c>
      <c r="AB873" s="8">
        <v>65</v>
      </c>
      <c r="AC873" s="15">
        <v>27897801314569</v>
      </c>
      <c r="AD873" s="4" t="s">
        <v>992</v>
      </c>
    </row>
    <row r="874" spans="2:30" x14ac:dyDescent="0.35">
      <c r="B874" s="14">
        <v>1534</v>
      </c>
      <c r="C874" s="67" t="s">
        <v>794</v>
      </c>
      <c r="D874" s="4" t="s">
        <v>2373</v>
      </c>
      <c r="E874" s="24" t="s">
        <v>2912</v>
      </c>
      <c r="F874" s="4" t="s">
        <v>85</v>
      </c>
      <c r="G874" s="4" t="s">
        <v>993</v>
      </c>
      <c r="H874" s="6">
        <v>0.1069</v>
      </c>
      <c r="I874" s="8">
        <v>37</v>
      </c>
      <c r="J874" s="8">
        <v>25</v>
      </c>
      <c r="K874" s="8">
        <v>34</v>
      </c>
      <c r="L874" s="8">
        <f t="shared" si="46"/>
        <v>31450</v>
      </c>
      <c r="M874" s="15">
        <v>7897801314572</v>
      </c>
      <c r="N874" s="6">
        <v>0.25</v>
      </c>
      <c r="O874" s="6">
        <v>0.37</v>
      </c>
      <c r="P874" s="6">
        <v>0.34</v>
      </c>
      <c r="Q874" s="6">
        <v>0.34</v>
      </c>
      <c r="R874" s="6">
        <v>0.25</v>
      </c>
      <c r="S874" s="6">
        <v>0.37</v>
      </c>
      <c r="T874" s="8">
        <v>1</v>
      </c>
      <c r="U874" s="5" t="s">
        <v>994</v>
      </c>
      <c r="V874" s="89">
        <v>0</v>
      </c>
      <c r="W874" s="15">
        <v>17897801314579</v>
      </c>
      <c r="X874" s="6">
        <v>0.34</v>
      </c>
      <c r="Y874" s="6">
        <v>0.25</v>
      </c>
      <c r="Z874" s="6">
        <v>0.37</v>
      </c>
      <c r="AA874" s="6">
        <f t="shared" si="47"/>
        <v>3.1449999999999999E-2</v>
      </c>
      <c r="AB874" s="8">
        <v>36</v>
      </c>
      <c r="AC874" s="15">
        <v>27897801314576</v>
      </c>
      <c r="AD874" s="4" t="s">
        <v>992</v>
      </c>
    </row>
    <row r="875" spans="2:30" x14ac:dyDescent="0.35">
      <c r="B875" s="14">
        <v>1535</v>
      </c>
      <c r="C875" s="67" t="s">
        <v>795</v>
      </c>
      <c r="D875" s="4" t="s">
        <v>2373</v>
      </c>
      <c r="E875" s="24" t="s">
        <v>2912</v>
      </c>
      <c r="F875" s="4" t="s">
        <v>85</v>
      </c>
      <c r="G875" s="4" t="s">
        <v>993</v>
      </c>
      <c r="H875" s="6">
        <v>0.15989999999999999</v>
      </c>
      <c r="I875" s="8">
        <v>84</v>
      </c>
      <c r="J875" s="8">
        <v>84</v>
      </c>
      <c r="K875" s="8">
        <v>69</v>
      </c>
      <c r="L875" s="8">
        <f t="shared" si="46"/>
        <v>486864</v>
      </c>
      <c r="M875" s="15">
        <v>7897801314589</v>
      </c>
      <c r="N875" s="6" t="s">
        <v>20</v>
      </c>
      <c r="O875" s="6" t="s">
        <v>20</v>
      </c>
      <c r="P875" s="6" t="s">
        <v>20</v>
      </c>
      <c r="Q875" s="6">
        <v>7.0000000000000007E-2</v>
      </c>
      <c r="R875" s="6">
        <v>8.5000000000000006E-2</v>
      </c>
      <c r="S875" s="6">
        <v>8.5000000000000006E-2</v>
      </c>
      <c r="T875" s="8">
        <v>1</v>
      </c>
      <c r="U875" s="5" t="s">
        <v>994</v>
      </c>
      <c r="V875" s="89">
        <v>0</v>
      </c>
      <c r="W875" s="15">
        <v>17897801314586</v>
      </c>
      <c r="X875" s="6">
        <v>0.34499999999999997</v>
      </c>
      <c r="Y875" s="6">
        <v>0.255</v>
      </c>
      <c r="Z875" s="6">
        <v>0.375</v>
      </c>
      <c r="AA875" s="6">
        <f t="shared" si="47"/>
        <v>3.2990624999999996E-2</v>
      </c>
      <c r="AB875" s="8">
        <v>36</v>
      </c>
      <c r="AC875" s="15">
        <v>27897801314583</v>
      </c>
      <c r="AD875" s="4" t="s">
        <v>992</v>
      </c>
    </row>
    <row r="876" spans="2:30" x14ac:dyDescent="0.35">
      <c r="B876" s="14">
        <v>1536</v>
      </c>
      <c r="C876" s="67" t="s">
        <v>796</v>
      </c>
      <c r="D876" s="4" t="s">
        <v>2373</v>
      </c>
      <c r="E876" s="24" t="s">
        <v>2912</v>
      </c>
      <c r="F876" s="4" t="s">
        <v>85</v>
      </c>
      <c r="G876" s="4" t="s">
        <v>993</v>
      </c>
      <c r="H876" s="6">
        <v>0.18090000000000001</v>
      </c>
      <c r="I876" s="8">
        <v>37</v>
      </c>
      <c r="J876" s="8">
        <v>345</v>
      </c>
      <c r="K876" s="8">
        <v>265</v>
      </c>
      <c r="L876" s="8">
        <f t="shared" si="46"/>
        <v>3382725</v>
      </c>
      <c r="M876" s="15">
        <v>7897801314596</v>
      </c>
      <c r="N876" s="6">
        <v>0.26500000000000001</v>
      </c>
      <c r="O876" s="6">
        <v>0.37</v>
      </c>
      <c r="P876" s="6">
        <v>0.45</v>
      </c>
      <c r="Q876" s="6">
        <v>0.45</v>
      </c>
      <c r="R876" s="6">
        <v>0.26500000000000001</v>
      </c>
      <c r="S876" s="6">
        <v>0.37</v>
      </c>
      <c r="T876" s="8">
        <v>1</v>
      </c>
      <c r="U876" s="5" t="s">
        <v>994</v>
      </c>
      <c r="V876" s="89">
        <v>0</v>
      </c>
      <c r="W876" s="15">
        <v>17897801314593</v>
      </c>
      <c r="X876" s="6">
        <v>0.34499999999999997</v>
      </c>
      <c r="Y876" s="6">
        <v>0.26500000000000001</v>
      </c>
      <c r="Z876" s="6">
        <v>0.37</v>
      </c>
      <c r="AA876" s="6">
        <f t="shared" si="47"/>
        <v>3.3827249999999996E-2</v>
      </c>
      <c r="AB876" s="8">
        <v>30</v>
      </c>
      <c r="AC876" s="15">
        <v>27897801314590</v>
      </c>
      <c r="AD876" s="4" t="s">
        <v>992</v>
      </c>
    </row>
    <row r="877" spans="2:30" x14ac:dyDescent="0.35">
      <c r="B877" s="14">
        <v>1537</v>
      </c>
      <c r="C877" s="67" t="s">
        <v>797</v>
      </c>
      <c r="D877" s="4" t="s">
        <v>2373</v>
      </c>
      <c r="E877" s="24" t="s">
        <v>2912</v>
      </c>
      <c r="F877" s="4" t="s">
        <v>85</v>
      </c>
      <c r="G877" s="4" t="s">
        <v>993</v>
      </c>
      <c r="H877" s="6">
        <v>0.27329999999999999</v>
      </c>
      <c r="I877" s="8">
        <v>79</v>
      </c>
      <c r="J877" s="8">
        <v>101</v>
      </c>
      <c r="K877" s="8">
        <v>101</v>
      </c>
      <c r="L877" s="8">
        <f t="shared" si="46"/>
        <v>805879</v>
      </c>
      <c r="M877" s="15">
        <v>7897801314602</v>
      </c>
      <c r="N877" s="6" t="s">
        <v>20</v>
      </c>
      <c r="O877" s="6" t="s">
        <v>20</v>
      </c>
      <c r="P877" s="6" t="s">
        <v>20</v>
      </c>
      <c r="Q877" s="6">
        <v>0.1</v>
      </c>
      <c r="R877" s="6">
        <v>0.08</v>
      </c>
      <c r="S877" s="6">
        <v>0.1</v>
      </c>
      <c r="T877" s="8">
        <v>1</v>
      </c>
      <c r="U877" s="5" t="s">
        <v>994</v>
      </c>
      <c r="V877" s="89">
        <v>0</v>
      </c>
      <c r="W877" s="15">
        <v>17897801314609</v>
      </c>
      <c r="X877" s="6">
        <v>0.34499999999999997</v>
      </c>
      <c r="Y877" s="6">
        <v>0.255</v>
      </c>
      <c r="Z877" s="6">
        <v>0.375</v>
      </c>
      <c r="AA877" s="6">
        <f t="shared" si="47"/>
        <v>3.2990624999999996E-2</v>
      </c>
      <c r="AB877" s="8">
        <v>30</v>
      </c>
      <c r="AC877" s="15">
        <v>27897801314606</v>
      </c>
      <c r="AD877" s="4" t="s">
        <v>992</v>
      </c>
    </row>
    <row r="878" spans="2:30" x14ac:dyDescent="0.35">
      <c r="B878" s="14">
        <v>1538</v>
      </c>
      <c r="C878" s="67" t="s">
        <v>798</v>
      </c>
      <c r="D878" s="4" t="s">
        <v>2373</v>
      </c>
      <c r="E878" s="24" t="s">
        <v>2912</v>
      </c>
      <c r="F878" s="4" t="s">
        <v>85</v>
      </c>
      <c r="G878" s="4" t="s">
        <v>993</v>
      </c>
      <c r="H878" s="6">
        <v>0.314</v>
      </c>
      <c r="I878" s="8">
        <v>76</v>
      </c>
      <c r="J878" s="8">
        <v>111</v>
      </c>
      <c r="K878" s="8">
        <v>111</v>
      </c>
      <c r="L878" s="8">
        <f t="shared" si="46"/>
        <v>936396</v>
      </c>
      <c r="M878" s="15">
        <v>7897801314619</v>
      </c>
      <c r="N878" s="6" t="s">
        <v>20</v>
      </c>
      <c r="O878" s="6" t="s">
        <v>20</v>
      </c>
      <c r="P878" s="6" t="s">
        <v>20</v>
      </c>
      <c r="Q878" s="6">
        <v>7.0000000000000007E-2</v>
      </c>
      <c r="R878" s="6">
        <v>8.5000000000000006E-2</v>
      </c>
      <c r="S878" s="6">
        <v>8.5000000000000006E-2</v>
      </c>
      <c r="T878" s="8">
        <v>1</v>
      </c>
      <c r="U878" s="5" t="s">
        <v>994</v>
      </c>
      <c r="V878" s="89">
        <v>0</v>
      </c>
      <c r="W878" s="15">
        <v>17897801314616</v>
      </c>
      <c r="X878" s="6">
        <v>0.34499999999999997</v>
      </c>
      <c r="Y878" s="6">
        <v>0.255</v>
      </c>
      <c r="Z878" s="6">
        <v>0.375</v>
      </c>
      <c r="AA878" s="6">
        <f t="shared" si="47"/>
        <v>3.2990624999999996E-2</v>
      </c>
      <c r="AB878" s="8">
        <v>13</v>
      </c>
      <c r="AC878" s="15">
        <v>27897801314613</v>
      </c>
      <c r="AD878" s="4" t="s">
        <v>992</v>
      </c>
    </row>
    <row r="879" spans="2:30" x14ac:dyDescent="0.35">
      <c r="B879" s="14">
        <v>1539</v>
      </c>
      <c r="C879" s="67" t="s">
        <v>799</v>
      </c>
      <c r="D879" s="4" t="s">
        <v>2373</v>
      </c>
      <c r="E879" s="24" t="s">
        <v>2912</v>
      </c>
      <c r="F879" s="4" t="s">
        <v>85</v>
      </c>
      <c r="G879" s="4" t="s">
        <v>993</v>
      </c>
      <c r="H879" s="6">
        <v>0.45200000000000001</v>
      </c>
      <c r="I879" s="8">
        <v>120</v>
      </c>
      <c r="J879" s="8">
        <v>120</v>
      </c>
      <c r="K879" s="8">
        <v>91</v>
      </c>
      <c r="L879" s="8">
        <f t="shared" si="46"/>
        <v>1310400</v>
      </c>
      <c r="M879" s="15">
        <v>7897801314626</v>
      </c>
      <c r="N879" s="6" t="s">
        <v>20</v>
      </c>
      <c r="O879" s="6" t="s">
        <v>20</v>
      </c>
      <c r="P879" s="6" t="s">
        <v>20</v>
      </c>
      <c r="Q879" s="6">
        <v>0</v>
      </c>
      <c r="R879" s="6">
        <v>0</v>
      </c>
      <c r="S879" s="6">
        <v>0</v>
      </c>
      <c r="T879" s="8">
        <v>1</v>
      </c>
      <c r="U879" s="5" t="s">
        <v>994</v>
      </c>
      <c r="V879" s="89">
        <v>0</v>
      </c>
      <c r="W879" s="15">
        <v>17897801314623</v>
      </c>
      <c r="X879" s="6">
        <v>0.34499999999999997</v>
      </c>
      <c r="Y879" s="6">
        <v>0.25</v>
      </c>
      <c r="Z879" s="6">
        <v>0.36499999999999999</v>
      </c>
      <c r="AA879" s="6">
        <f t="shared" si="47"/>
        <v>3.1481249999999995E-2</v>
      </c>
      <c r="AB879" s="8">
        <v>13</v>
      </c>
      <c r="AC879" s="15">
        <v>27897801314620</v>
      </c>
      <c r="AD879" s="4" t="s">
        <v>992</v>
      </c>
    </row>
    <row r="880" spans="2:30" x14ac:dyDescent="0.35">
      <c r="B880" s="14">
        <v>1540</v>
      </c>
      <c r="C880" s="67" t="s">
        <v>800</v>
      </c>
      <c r="D880" s="4" t="s">
        <v>2373</v>
      </c>
      <c r="E880" s="24" t="s">
        <v>2912</v>
      </c>
      <c r="F880" s="4" t="s">
        <v>85</v>
      </c>
      <c r="G880" s="4" t="s">
        <v>993</v>
      </c>
      <c r="H880" s="6">
        <v>5.4000000000000003E-3</v>
      </c>
      <c r="I880" s="8">
        <v>23</v>
      </c>
      <c r="J880" s="8">
        <v>26</v>
      </c>
      <c r="K880" s="8">
        <v>26</v>
      </c>
      <c r="L880" s="8">
        <f t="shared" si="46"/>
        <v>15548</v>
      </c>
      <c r="M880" s="15">
        <v>7897801314633</v>
      </c>
      <c r="N880" s="6" t="s">
        <v>20</v>
      </c>
      <c r="O880" s="6" t="s">
        <v>20</v>
      </c>
      <c r="P880" s="6" t="s">
        <v>20</v>
      </c>
      <c r="Q880" s="6">
        <v>0.12</v>
      </c>
      <c r="R880" s="6">
        <v>2.3E-2</v>
      </c>
      <c r="S880" s="6">
        <v>0.14000000000000001</v>
      </c>
      <c r="T880" s="8">
        <v>10</v>
      </c>
      <c r="U880" s="5" t="s">
        <v>994</v>
      </c>
      <c r="V880" s="89">
        <v>0</v>
      </c>
      <c r="W880" s="15">
        <v>17897801314630</v>
      </c>
      <c r="X880" s="6">
        <v>0.34499999999999997</v>
      </c>
      <c r="Y880" s="6">
        <v>0.255</v>
      </c>
      <c r="Z880" s="6">
        <v>0.375</v>
      </c>
      <c r="AA880" s="6">
        <f t="shared" si="47"/>
        <v>3.2990624999999996E-2</v>
      </c>
      <c r="AB880" s="8">
        <v>1500</v>
      </c>
      <c r="AC880" s="15">
        <v>27897801314637</v>
      </c>
      <c r="AD880" s="4" t="s">
        <v>992</v>
      </c>
    </row>
    <row r="881" spans="2:30" x14ac:dyDescent="0.35">
      <c r="B881" s="14">
        <v>1541</v>
      </c>
      <c r="C881" s="67" t="s">
        <v>801</v>
      </c>
      <c r="D881" s="4" t="s">
        <v>2373</v>
      </c>
      <c r="E881" s="24" t="s">
        <v>2912</v>
      </c>
      <c r="F881" s="4" t="s">
        <v>85</v>
      </c>
      <c r="G881" s="4" t="s">
        <v>993</v>
      </c>
      <c r="H881" s="6">
        <v>1.0200000000000001E-2</v>
      </c>
      <c r="I881" s="8">
        <v>27</v>
      </c>
      <c r="J881" s="8">
        <v>33</v>
      </c>
      <c r="K881" s="8">
        <v>33</v>
      </c>
      <c r="L881" s="8">
        <f t="shared" si="46"/>
        <v>29403</v>
      </c>
      <c r="M881" s="15">
        <v>7897801314640</v>
      </c>
      <c r="N881" s="6" t="s">
        <v>20</v>
      </c>
      <c r="O881" s="6" t="s">
        <v>20</v>
      </c>
      <c r="P881" s="6" t="s">
        <v>20</v>
      </c>
      <c r="Q881" s="6">
        <v>0.09</v>
      </c>
      <c r="R881" s="6">
        <v>3.3000000000000002E-2</v>
      </c>
      <c r="S881" s="6">
        <v>0.12</v>
      </c>
      <c r="T881" s="8">
        <v>10</v>
      </c>
      <c r="U881" s="5" t="s">
        <v>994</v>
      </c>
      <c r="V881" s="89">
        <v>0</v>
      </c>
      <c r="W881" s="15">
        <v>17897801314647</v>
      </c>
      <c r="X881" s="6">
        <v>0.34499999999999997</v>
      </c>
      <c r="Y881" s="6">
        <v>0.255</v>
      </c>
      <c r="Z881" s="6">
        <v>0.375</v>
      </c>
      <c r="AA881" s="6">
        <f t="shared" si="47"/>
        <v>3.2990624999999996E-2</v>
      </c>
      <c r="AB881" s="8">
        <v>800</v>
      </c>
      <c r="AC881" s="15">
        <v>27897801314644</v>
      </c>
      <c r="AD881" s="4" t="s">
        <v>992</v>
      </c>
    </row>
    <row r="882" spans="2:30" x14ac:dyDescent="0.35">
      <c r="B882" s="14">
        <v>1542</v>
      </c>
      <c r="C882" s="67" t="s">
        <v>802</v>
      </c>
      <c r="D882" s="4" t="s">
        <v>2373</v>
      </c>
      <c r="E882" s="24" t="s">
        <v>2912</v>
      </c>
      <c r="F882" s="4" t="s">
        <v>85</v>
      </c>
      <c r="G882" s="4" t="s">
        <v>993</v>
      </c>
      <c r="H882" s="6">
        <v>2.06E-2</v>
      </c>
      <c r="I882" s="8">
        <v>32</v>
      </c>
      <c r="J882" s="8">
        <v>42</v>
      </c>
      <c r="K882" s="8">
        <v>42</v>
      </c>
      <c r="L882" s="8">
        <f t="shared" si="46"/>
        <v>56448</v>
      </c>
      <c r="M882" s="15">
        <v>7897801314657</v>
      </c>
      <c r="N882" s="6" t="s">
        <v>20</v>
      </c>
      <c r="O882" s="6" t="s">
        <v>20</v>
      </c>
      <c r="P882" s="6" t="s">
        <v>20</v>
      </c>
      <c r="Q882" s="6">
        <v>0.15</v>
      </c>
      <c r="R882" s="6">
        <v>3.2000000000000001E-2</v>
      </c>
      <c r="S882" s="6">
        <v>0.185</v>
      </c>
      <c r="T882" s="8">
        <v>10</v>
      </c>
      <c r="U882" s="5" t="s">
        <v>994</v>
      </c>
      <c r="V882" s="89">
        <v>0</v>
      </c>
      <c r="W882" s="15">
        <v>17897801314654</v>
      </c>
      <c r="X882" s="6">
        <v>0.34499999999999997</v>
      </c>
      <c r="Y882" s="6">
        <v>0.255</v>
      </c>
      <c r="Z882" s="6">
        <v>0.375</v>
      </c>
      <c r="AA882" s="6">
        <f t="shared" si="47"/>
        <v>3.2990624999999996E-2</v>
      </c>
      <c r="AB882" s="8">
        <v>420</v>
      </c>
      <c r="AC882" s="15">
        <v>27897801314651</v>
      </c>
      <c r="AD882" s="4" t="s">
        <v>992</v>
      </c>
    </row>
    <row r="883" spans="2:30" x14ac:dyDescent="0.35">
      <c r="B883" s="14">
        <v>1543</v>
      </c>
      <c r="C883" s="67" t="s">
        <v>803</v>
      </c>
      <c r="D883" s="4" t="s">
        <v>2373</v>
      </c>
      <c r="E883" s="24" t="s">
        <v>2912</v>
      </c>
      <c r="F883" s="4" t="s">
        <v>85</v>
      </c>
      <c r="G883" s="4" t="s">
        <v>993</v>
      </c>
      <c r="H883" s="6">
        <v>3.4500000000000003E-2</v>
      </c>
      <c r="I883" s="8">
        <v>36</v>
      </c>
      <c r="J883" s="8">
        <v>53</v>
      </c>
      <c r="K883" s="8">
        <v>53</v>
      </c>
      <c r="L883" s="8">
        <f t="shared" si="46"/>
        <v>101124</v>
      </c>
      <c r="M883" s="15">
        <v>7897801314664</v>
      </c>
      <c r="N883" s="6" t="s">
        <v>20</v>
      </c>
      <c r="O883" s="6" t="s">
        <v>20</v>
      </c>
      <c r="P883" s="6" t="s">
        <v>20</v>
      </c>
      <c r="Q883" s="6">
        <v>0.1</v>
      </c>
      <c r="R883" s="6">
        <v>0.04</v>
      </c>
      <c r="S883" s="6">
        <v>0.16</v>
      </c>
      <c r="T883" s="8">
        <v>5</v>
      </c>
      <c r="U883" s="5" t="s">
        <v>994</v>
      </c>
      <c r="V883" s="89">
        <v>0</v>
      </c>
      <c r="W883" s="15">
        <v>17897801314661</v>
      </c>
      <c r="X883" s="6">
        <v>0.34499999999999997</v>
      </c>
      <c r="Y883" s="6">
        <v>0.255</v>
      </c>
      <c r="Z883" s="6">
        <v>0.375</v>
      </c>
      <c r="AA883" s="6">
        <f t="shared" si="47"/>
        <v>3.2990624999999996E-2</v>
      </c>
      <c r="AB883" s="8">
        <v>260</v>
      </c>
      <c r="AC883" s="15">
        <v>27897801314668</v>
      </c>
      <c r="AD883" s="4" t="s">
        <v>992</v>
      </c>
    </row>
    <row r="884" spans="2:30" x14ac:dyDescent="0.35">
      <c r="B884" s="14">
        <v>1544</v>
      </c>
      <c r="C884" s="67" t="s">
        <v>804</v>
      </c>
      <c r="D884" s="4" t="s">
        <v>2373</v>
      </c>
      <c r="E884" s="24" t="s">
        <v>2912</v>
      </c>
      <c r="F884" s="4" t="s">
        <v>85</v>
      </c>
      <c r="G884" s="4" t="s">
        <v>993</v>
      </c>
      <c r="H884" s="6">
        <v>6.2300000000000001E-2</v>
      </c>
      <c r="I884" s="8">
        <v>41</v>
      </c>
      <c r="J884" s="8">
        <v>66</v>
      </c>
      <c r="K884" s="8">
        <v>66</v>
      </c>
      <c r="L884" s="8">
        <f t="shared" si="46"/>
        <v>178596</v>
      </c>
      <c r="M884" s="15">
        <v>7897801314671</v>
      </c>
      <c r="N884" s="6" t="s">
        <v>20</v>
      </c>
      <c r="O884" s="6" t="s">
        <v>20</v>
      </c>
      <c r="P884" s="6" t="s">
        <v>20</v>
      </c>
      <c r="Q884" s="6">
        <v>7.0000000000000007E-2</v>
      </c>
      <c r="R884" s="6">
        <v>7.0000000000000007E-2</v>
      </c>
      <c r="S884" s="6">
        <v>0.08</v>
      </c>
      <c r="T884" s="8">
        <v>2</v>
      </c>
      <c r="U884" s="5" t="s">
        <v>994</v>
      </c>
      <c r="V884" s="89">
        <v>0</v>
      </c>
      <c r="W884" s="15">
        <v>17897801314678</v>
      </c>
      <c r="X884" s="6">
        <v>0.34499999999999997</v>
      </c>
      <c r="Y884" s="6">
        <v>0.255</v>
      </c>
      <c r="Z884" s="6">
        <v>0.375</v>
      </c>
      <c r="AA884" s="6">
        <f t="shared" si="47"/>
        <v>3.2990624999999996E-2</v>
      </c>
      <c r="AB884" s="8">
        <v>140</v>
      </c>
      <c r="AC884" s="15">
        <v>27897801314675</v>
      </c>
      <c r="AD884" s="4" t="s">
        <v>992</v>
      </c>
    </row>
    <row r="885" spans="2:30" x14ac:dyDescent="0.35">
      <c r="B885" s="14">
        <v>1545</v>
      </c>
      <c r="C885" s="67" t="s">
        <v>805</v>
      </c>
      <c r="D885" s="4" t="s">
        <v>2373</v>
      </c>
      <c r="E885" s="24" t="s">
        <v>2912</v>
      </c>
      <c r="F885" s="4" t="s">
        <v>85</v>
      </c>
      <c r="G885" s="4" t="s">
        <v>993</v>
      </c>
      <c r="H885" s="6">
        <v>0.1195</v>
      </c>
      <c r="I885" s="8">
        <v>85</v>
      </c>
      <c r="J885" s="8">
        <v>85</v>
      </c>
      <c r="K885" s="8">
        <v>50</v>
      </c>
      <c r="L885" s="8">
        <f t="shared" si="46"/>
        <v>361250</v>
      </c>
      <c r="M885" s="15">
        <v>7897801314688</v>
      </c>
      <c r="N885" s="6" t="s">
        <v>20</v>
      </c>
      <c r="O885" s="6" t="s">
        <v>20</v>
      </c>
      <c r="P885" s="6" t="s">
        <v>20</v>
      </c>
      <c r="Q885" s="6">
        <v>8.5000000000000006E-2</v>
      </c>
      <c r="R885" s="6">
        <v>0.05</v>
      </c>
      <c r="S885" s="6">
        <v>8.5000000000000006E-2</v>
      </c>
      <c r="T885" s="8">
        <v>1</v>
      </c>
      <c r="U885" s="5" t="s">
        <v>994</v>
      </c>
      <c r="V885" s="89">
        <v>0</v>
      </c>
      <c r="W885" s="15">
        <v>17897801314685</v>
      </c>
      <c r="X885" s="6">
        <v>0.34499999999999997</v>
      </c>
      <c r="Y885" s="6">
        <v>0.255</v>
      </c>
      <c r="Z885" s="6">
        <v>0.375</v>
      </c>
      <c r="AA885" s="6">
        <f t="shared" si="47"/>
        <v>3.2990624999999996E-2</v>
      </c>
      <c r="AB885" s="8">
        <v>72</v>
      </c>
      <c r="AC885" s="15">
        <v>27897801314682</v>
      </c>
      <c r="AD885" s="4" t="s">
        <v>992</v>
      </c>
    </row>
    <row r="886" spans="2:30" x14ac:dyDescent="0.35">
      <c r="B886" s="14">
        <v>1546</v>
      </c>
      <c r="C886" s="67" t="s">
        <v>806</v>
      </c>
      <c r="D886" s="4" t="s">
        <v>2373</v>
      </c>
      <c r="E886" s="24" t="s">
        <v>2912</v>
      </c>
      <c r="F886" s="4" t="s">
        <v>85</v>
      </c>
      <c r="G886" s="4" t="s">
        <v>993</v>
      </c>
      <c r="H886" s="6">
        <v>0.1729</v>
      </c>
      <c r="I886" s="8">
        <v>50</v>
      </c>
      <c r="J886" s="8">
        <v>100</v>
      </c>
      <c r="K886" s="8">
        <v>100</v>
      </c>
      <c r="L886" s="8">
        <f t="shared" si="46"/>
        <v>500000</v>
      </c>
      <c r="M886" s="15">
        <v>7897801314695</v>
      </c>
      <c r="N886" s="6" t="s">
        <v>20</v>
      </c>
      <c r="O886" s="6" t="s">
        <v>20</v>
      </c>
      <c r="P886" s="6" t="s">
        <v>20</v>
      </c>
      <c r="Q886" s="6">
        <v>0.1</v>
      </c>
      <c r="R886" s="6">
        <v>0.1</v>
      </c>
      <c r="S886" s="6">
        <v>0.1</v>
      </c>
      <c r="T886" s="8">
        <v>1</v>
      </c>
      <c r="U886" s="5" t="s">
        <v>994</v>
      </c>
      <c r="V886" s="89">
        <v>0</v>
      </c>
      <c r="W886" s="15">
        <v>17897801314692</v>
      </c>
      <c r="X886" s="6">
        <v>0.34499999999999997</v>
      </c>
      <c r="Y886" s="6">
        <v>0.255</v>
      </c>
      <c r="Z886" s="6">
        <v>0.375</v>
      </c>
      <c r="AA886" s="6">
        <f t="shared" si="47"/>
        <v>3.2990624999999996E-2</v>
      </c>
      <c r="AB886" s="8">
        <v>52</v>
      </c>
      <c r="AC886" s="15">
        <v>27897801314699</v>
      </c>
      <c r="AD886" s="4" t="s">
        <v>992</v>
      </c>
    </row>
    <row r="887" spans="2:30" x14ac:dyDescent="0.35">
      <c r="B887" s="14">
        <v>1547</v>
      </c>
      <c r="C887" s="67" t="s">
        <v>807</v>
      </c>
      <c r="D887" s="4" t="s">
        <v>2373</v>
      </c>
      <c r="E887" s="24" t="s">
        <v>2912</v>
      </c>
      <c r="F887" s="4" t="s">
        <v>85</v>
      </c>
      <c r="G887" s="4" t="s">
        <v>993</v>
      </c>
      <c r="H887" s="6">
        <v>0.28160000000000002</v>
      </c>
      <c r="I887" s="8">
        <v>52</v>
      </c>
      <c r="J887" s="8">
        <v>120</v>
      </c>
      <c r="K887" s="8">
        <v>120</v>
      </c>
      <c r="L887" s="8">
        <f t="shared" si="46"/>
        <v>748800</v>
      </c>
      <c r="M887" s="15">
        <v>7897801314701</v>
      </c>
      <c r="N887" s="6" t="s">
        <v>20</v>
      </c>
      <c r="O887" s="6" t="s">
        <v>20</v>
      </c>
      <c r="P887" s="6" t="s">
        <v>20</v>
      </c>
      <c r="Q887" s="6">
        <v>0.125</v>
      </c>
      <c r="R887" s="6">
        <v>5.5E-2</v>
      </c>
      <c r="S887" s="6">
        <v>0.125</v>
      </c>
      <c r="T887" s="8">
        <v>1</v>
      </c>
      <c r="U887" s="5" t="s">
        <v>994</v>
      </c>
      <c r="V887" s="89">
        <v>0</v>
      </c>
      <c r="W887" s="15">
        <v>17897801314708</v>
      </c>
      <c r="X887" s="6">
        <v>0.34499999999999997</v>
      </c>
      <c r="Y887" s="6">
        <v>0.255</v>
      </c>
      <c r="Z887" s="6">
        <v>0.375</v>
      </c>
      <c r="AA887" s="6">
        <f t="shared" si="47"/>
        <v>3.2990624999999996E-2</v>
      </c>
      <c r="AB887" s="8">
        <v>28</v>
      </c>
      <c r="AC887" s="15">
        <v>27897801314705</v>
      </c>
      <c r="AD887" s="4" t="s">
        <v>992</v>
      </c>
    </row>
    <row r="888" spans="2:30" x14ac:dyDescent="0.35">
      <c r="B888" s="14">
        <v>1548</v>
      </c>
      <c r="C888" s="67" t="s">
        <v>808</v>
      </c>
      <c r="D888" s="4" t="s">
        <v>2373</v>
      </c>
      <c r="E888" s="24" t="s">
        <v>2912</v>
      </c>
      <c r="F888" s="4" t="s">
        <v>85</v>
      </c>
      <c r="G888" s="4" t="s">
        <v>993</v>
      </c>
      <c r="H888" s="6">
        <v>0.50960000000000005</v>
      </c>
      <c r="I888" s="8">
        <v>63</v>
      </c>
      <c r="J888" s="8">
        <v>147</v>
      </c>
      <c r="K888" s="8">
        <v>147</v>
      </c>
      <c r="L888" s="8">
        <f t="shared" si="46"/>
        <v>1361367</v>
      </c>
      <c r="M888" s="15">
        <v>7897801314718</v>
      </c>
      <c r="N888" s="6" t="s">
        <v>20</v>
      </c>
      <c r="O888" s="6" t="s">
        <v>20</v>
      </c>
      <c r="P888" s="6" t="s">
        <v>20</v>
      </c>
      <c r="Q888" s="6">
        <v>0</v>
      </c>
      <c r="R888" s="6">
        <v>0</v>
      </c>
      <c r="S888" s="6">
        <v>0</v>
      </c>
      <c r="T888" s="8">
        <v>1</v>
      </c>
      <c r="U888" s="5" t="s">
        <v>994</v>
      </c>
      <c r="V888" s="89">
        <v>0</v>
      </c>
      <c r="W888" s="15">
        <v>17897801314715</v>
      </c>
      <c r="X888" s="6">
        <v>0.34499999999999997</v>
      </c>
      <c r="Y888" s="6">
        <v>0.255</v>
      </c>
      <c r="Z888" s="6">
        <v>0.37</v>
      </c>
      <c r="AA888" s="6">
        <f t="shared" si="47"/>
        <v>3.2550749999999996E-2</v>
      </c>
      <c r="AB888" s="8">
        <v>18</v>
      </c>
      <c r="AC888" s="15">
        <v>27897801314712</v>
      </c>
      <c r="AD888" s="4" t="s">
        <v>992</v>
      </c>
    </row>
    <row r="889" spans="2:30" x14ac:dyDescent="0.35">
      <c r="B889" s="14">
        <v>1549</v>
      </c>
      <c r="C889" s="67" t="s">
        <v>809</v>
      </c>
      <c r="D889" s="4" t="s">
        <v>2373</v>
      </c>
      <c r="E889" s="24" t="s">
        <v>2912</v>
      </c>
      <c r="F889" s="4" t="s">
        <v>85</v>
      </c>
      <c r="G889" s="4" t="s">
        <v>993</v>
      </c>
      <c r="H889" s="6">
        <v>2.1499999999999998E-2</v>
      </c>
      <c r="I889" s="8">
        <v>26</v>
      </c>
      <c r="J889" s="8">
        <v>37</v>
      </c>
      <c r="K889" s="8">
        <v>101</v>
      </c>
      <c r="L889" s="8">
        <f t="shared" si="46"/>
        <v>97162</v>
      </c>
      <c r="M889" s="15">
        <v>7897801314725</v>
      </c>
      <c r="N889" s="6" t="s">
        <v>20</v>
      </c>
      <c r="O889" s="6" t="s">
        <v>20</v>
      </c>
      <c r="P889" s="6" t="s">
        <v>20</v>
      </c>
      <c r="Q889" s="6">
        <v>0.15</v>
      </c>
      <c r="R889" s="6">
        <v>4.4999999999999998E-2</v>
      </c>
      <c r="S889" s="6">
        <v>0.17499999999999999</v>
      </c>
      <c r="T889" s="8">
        <v>10</v>
      </c>
      <c r="U889" s="5" t="s">
        <v>994</v>
      </c>
      <c r="V889" s="89">
        <v>0</v>
      </c>
      <c r="W889" s="15">
        <v>17897801314722</v>
      </c>
      <c r="X889" s="6">
        <v>0.34499999999999997</v>
      </c>
      <c r="Y889" s="6">
        <v>0.255</v>
      </c>
      <c r="Z889" s="6">
        <v>0.375</v>
      </c>
      <c r="AA889" s="6">
        <f t="shared" si="47"/>
        <v>3.2990624999999996E-2</v>
      </c>
      <c r="AB889" s="8">
        <v>200</v>
      </c>
      <c r="AC889" s="15">
        <v>27897801314729</v>
      </c>
      <c r="AD889" s="4" t="s">
        <v>992</v>
      </c>
    </row>
    <row r="890" spans="2:30" x14ac:dyDescent="0.35">
      <c r="B890" s="14">
        <v>1550</v>
      </c>
      <c r="C890" s="67" t="s">
        <v>810</v>
      </c>
      <c r="D890" s="4" t="s">
        <v>2373</v>
      </c>
      <c r="E890" s="24" t="s">
        <v>2912</v>
      </c>
      <c r="F890" s="4" t="s">
        <v>85</v>
      </c>
      <c r="G890" s="4" t="s">
        <v>993</v>
      </c>
      <c r="H890" s="6">
        <v>3.5999999999999997E-2</v>
      </c>
      <c r="I890" s="8">
        <v>46</v>
      </c>
      <c r="J890" s="8">
        <v>34</v>
      </c>
      <c r="K890" s="8">
        <v>117</v>
      </c>
      <c r="L890" s="8">
        <f t="shared" si="46"/>
        <v>182988</v>
      </c>
      <c r="M890" s="15">
        <v>7897801314732</v>
      </c>
      <c r="N890" s="6" t="s">
        <v>20</v>
      </c>
      <c r="O890" s="6" t="s">
        <v>20</v>
      </c>
      <c r="P890" s="6" t="s">
        <v>20</v>
      </c>
      <c r="Q890" s="6">
        <v>0.17</v>
      </c>
      <c r="R890" s="6">
        <v>0.06</v>
      </c>
      <c r="S890" s="6">
        <v>0.18</v>
      </c>
      <c r="T890" s="8">
        <v>10</v>
      </c>
      <c r="U890" s="5" t="s">
        <v>994</v>
      </c>
      <c r="V890" s="89">
        <v>0</v>
      </c>
      <c r="W890" s="15">
        <v>17897801314739</v>
      </c>
      <c r="X890" s="6">
        <v>0.34499999999999997</v>
      </c>
      <c r="Y890" s="6">
        <v>0.255</v>
      </c>
      <c r="Z890" s="6">
        <v>0.375</v>
      </c>
      <c r="AA890" s="6">
        <f t="shared" si="47"/>
        <v>3.2990624999999996E-2</v>
      </c>
      <c r="AB890" s="8">
        <v>160</v>
      </c>
      <c r="AC890" s="15">
        <v>27897801314736</v>
      </c>
      <c r="AD890" s="4" t="s">
        <v>992</v>
      </c>
    </row>
    <row r="891" spans="2:30" x14ac:dyDescent="0.35">
      <c r="B891" s="14">
        <v>1551</v>
      </c>
      <c r="C891" s="67" t="s">
        <v>811</v>
      </c>
      <c r="D891" s="4" t="s">
        <v>2373</v>
      </c>
      <c r="E891" s="24" t="s">
        <v>2912</v>
      </c>
      <c r="F891" s="4" t="s">
        <v>85</v>
      </c>
      <c r="G891" s="4" t="s">
        <v>993</v>
      </c>
      <c r="H891" s="6">
        <v>6.8400000000000002E-2</v>
      </c>
      <c r="I891" s="8">
        <v>43</v>
      </c>
      <c r="J891" s="8">
        <v>60</v>
      </c>
      <c r="K891" s="8">
        <v>140</v>
      </c>
      <c r="L891" s="8">
        <f t="shared" si="46"/>
        <v>361200</v>
      </c>
      <c r="M891" s="15">
        <v>7897801314749</v>
      </c>
      <c r="N891" s="6" t="s">
        <v>20</v>
      </c>
      <c r="O891" s="6" t="s">
        <v>20</v>
      </c>
      <c r="P891" s="6" t="s">
        <v>20</v>
      </c>
      <c r="Q891" s="6">
        <v>0.2</v>
      </c>
      <c r="R891" s="6">
        <v>7.0000000000000007E-2</v>
      </c>
      <c r="S891" s="6">
        <v>0.28999999999999998</v>
      </c>
      <c r="T891" s="8">
        <v>10</v>
      </c>
      <c r="U891" s="5" t="s">
        <v>994</v>
      </c>
      <c r="V891" s="89">
        <v>0</v>
      </c>
      <c r="W891" s="15">
        <v>17897801314746</v>
      </c>
      <c r="X891" s="6">
        <v>0.34499999999999997</v>
      </c>
      <c r="Y891" s="6">
        <v>0.255</v>
      </c>
      <c r="Z891" s="6">
        <v>0.375</v>
      </c>
      <c r="AA891" s="6">
        <f t="shared" si="47"/>
        <v>3.2990624999999996E-2</v>
      </c>
      <c r="AB891" s="8">
        <v>80</v>
      </c>
      <c r="AC891" s="15">
        <v>27897801314743</v>
      </c>
      <c r="AD891" s="4" t="s">
        <v>992</v>
      </c>
    </row>
    <row r="892" spans="2:30" x14ac:dyDescent="0.35">
      <c r="B892" s="14">
        <v>1552</v>
      </c>
      <c r="C892" s="67" t="s">
        <v>812</v>
      </c>
      <c r="D892" s="4" t="s">
        <v>2373</v>
      </c>
      <c r="E892" s="24" t="s">
        <v>2912</v>
      </c>
      <c r="F892" s="4" t="s">
        <v>85</v>
      </c>
      <c r="G892" s="4" t="s">
        <v>993</v>
      </c>
      <c r="H892" s="6">
        <v>4.2999999999999997E-2</v>
      </c>
      <c r="I892" s="8">
        <v>35</v>
      </c>
      <c r="J892" s="8">
        <v>53</v>
      </c>
      <c r="K892" s="8">
        <v>127</v>
      </c>
      <c r="L892" s="8">
        <f t="shared" si="46"/>
        <v>235585</v>
      </c>
      <c r="M892" s="15">
        <v>7897801314756</v>
      </c>
      <c r="N892" s="6" t="s">
        <v>20</v>
      </c>
      <c r="O892" s="6" t="s">
        <v>20</v>
      </c>
      <c r="P892" s="6" t="s">
        <v>20</v>
      </c>
      <c r="Q892" s="6">
        <v>0.2</v>
      </c>
      <c r="R892" s="6">
        <v>3.5000000000000003E-2</v>
      </c>
      <c r="S892" s="6">
        <v>0.3</v>
      </c>
      <c r="T892" s="8">
        <v>10</v>
      </c>
      <c r="U892" s="5" t="s">
        <v>994</v>
      </c>
      <c r="V892" s="89">
        <v>0</v>
      </c>
      <c r="W892" s="15">
        <v>17897801314753</v>
      </c>
      <c r="X892" s="6">
        <v>0.34499999999999997</v>
      </c>
      <c r="Y892" s="6">
        <v>0.255</v>
      </c>
      <c r="Z892" s="6">
        <v>0.375</v>
      </c>
      <c r="AA892" s="6">
        <f t="shared" si="47"/>
        <v>3.2990624999999996E-2</v>
      </c>
      <c r="AB892" s="8">
        <v>150</v>
      </c>
      <c r="AC892" s="15">
        <v>27897801314750</v>
      </c>
      <c r="AD892" s="4" t="s">
        <v>992</v>
      </c>
    </row>
    <row r="893" spans="2:30" x14ac:dyDescent="0.35">
      <c r="B893" s="14">
        <v>1553</v>
      </c>
      <c r="C893" s="67" t="s">
        <v>813</v>
      </c>
      <c r="D893" s="4" t="s">
        <v>2373</v>
      </c>
      <c r="E893" s="24" t="s">
        <v>2912</v>
      </c>
      <c r="F893" s="4" t="s">
        <v>85</v>
      </c>
      <c r="G893" s="4" t="s">
        <v>993</v>
      </c>
      <c r="H893" s="6">
        <v>4.2799999999999998E-2</v>
      </c>
      <c r="I893" s="8">
        <v>35</v>
      </c>
      <c r="J893" s="8">
        <v>59</v>
      </c>
      <c r="K893" s="8">
        <v>127</v>
      </c>
      <c r="L893" s="8">
        <f t="shared" si="46"/>
        <v>262255</v>
      </c>
      <c r="M893" s="15">
        <v>7897801314763</v>
      </c>
      <c r="N893" s="6" t="s">
        <v>20</v>
      </c>
      <c r="O893" s="6" t="s">
        <v>20</v>
      </c>
      <c r="P893" s="6" t="s">
        <v>20</v>
      </c>
      <c r="Q893" s="6">
        <v>0.16</v>
      </c>
      <c r="R893" s="6">
        <v>0.06</v>
      </c>
      <c r="S893" s="6">
        <v>0.2</v>
      </c>
      <c r="T893" s="8">
        <v>10</v>
      </c>
      <c r="U893" s="5" t="s">
        <v>994</v>
      </c>
      <c r="V893" s="89">
        <v>0</v>
      </c>
      <c r="W893" s="15">
        <v>17897801314760</v>
      </c>
      <c r="X893" s="6">
        <v>0.34499999999999997</v>
      </c>
      <c r="Y893" s="6">
        <v>0.255</v>
      </c>
      <c r="Z893" s="6">
        <v>0.375</v>
      </c>
      <c r="AA893" s="6">
        <f t="shared" si="47"/>
        <v>3.2990624999999996E-2</v>
      </c>
      <c r="AB893" s="8">
        <v>100</v>
      </c>
      <c r="AC893" s="15">
        <v>27897801314767</v>
      </c>
      <c r="AD893" s="4" t="s">
        <v>992</v>
      </c>
    </row>
    <row r="894" spans="2:30" x14ac:dyDescent="0.35">
      <c r="B894" s="14">
        <v>1554</v>
      </c>
      <c r="C894" s="67" t="s">
        <v>814</v>
      </c>
      <c r="D894" s="4" t="s">
        <v>2373</v>
      </c>
      <c r="E894" s="24" t="s">
        <v>2912</v>
      </c>
      <c r="F894" s="4" t="s">
        <v>85</v>
      </c>
      <c r="G894" s="4" t="s">
        <v>993</v>
      </c>
      <c r="H894" s="6">
        <v>8.09E-2</v>
      </c>
      <c r="I894" s="8">
        <v>43</v>
      </c>
      <c r="J894" s="8">
        <v>65</v>
      </c>
      <c r="K894" s="8">
        <v>164</v>
      </c>
      <c r="L894" s="8">
        <f t="shared" si="46"/>
        <v>458380</v>
      </c>
      <c r="M894" s="15">
        <v>7897801314770</v>
      </c>
      <c r="N894" s="6" t="s">
        <v>20</v>
      </c>
      <c r="O894" s="6" t="s">
        <v>20</v>
      </c>
      <c r="P894" s="6" t="s">
        <v>20</v>
      </c>
      <c r="Q894" s="6">
        <v>0.17</v>
      </c>
      <c r="R894" s="6">
        <v>0.1</v>
      </c>
      <c r="S894" s="6">
        <v>0.28000000000000003</v>
      </c>
      <c r="T894" s="8">
        <v>10</v>
      </c>
      <c r="U894" s="5" t="s">
        <v>994</v>
      </c>
      <c r="V894" s="89">
        <v>0</v>
      </c>
      <c r="W894" s="15">
        <v>17897801314777</v>
      </c>
      <c r="X894" s="6">
        <v>0.34499999999999997</v>
      </c>
      <c r="Y894" s="6">
        <v>0.255</v>
      </c>
      <c r="Z894" s="6">
        <v>0.375</v>
      </c>
      <c r="AA894" s="6">
        <f t="shared" si="47"/>
        <v>3.2990624999999996E-2</v>
      </c>
      <c r="AB894" s="8">
        <v>50</v>
      </c>
      <c r="AC894" s="15">
        <v>27897801314774</v>
      </c>
      <c r="AD894" s="4" t="s">
        <v>992</v>
      </c>
    </row>
    <row r="895" spans="2:30" x14ac:dyDescent="0.35">
      <c r="B895" s="14">
        <v>1555</v>
      </c>
      <c r="C895" s="67" t="s">
        <v>815</v>
      </c>
      <c r="D895" s="4" t="s">
        <v>2373</v>
      </c>
      <c r="E895" s="24" t="s">
        <v>2912</v>
      </c>
      <c r="F895" s="4" t="s">
        <v>85</v>
      </c>
      <c r="G895" s="4" t="s">
        <v>993</v>
      </c>
      <c r="H895" s="6">
        <v>1.1599999999999999E-2</v>
      </c>
      <c r="I895" s="8">
        <v>37</v>
      </c>
      <c r="J895" s="8">
        <v>28</v>
      </c>
      <c r="K895" s="8">
        <v>45</v>
      </c>
      <c r="L895" s="8">
        <f t="shared" si="46"/>
        <v>46620</v>
      </c>
      <c r="M895" s="15">
        <v>7897801314787</v>
      </c>
      <c r="N895" s="6" t="s">
        <v>20</v>
      </c>
      <c r="O895" s="6" t="s">
        <v>20</v>
      </c>
      <c r="P895" s="6" t="s">
        <v>20</v>
      </c>
      <c r="Q895" s="6">
        <v>0.12</v>
      </c>
      <c r="R895" s="6">
        <v>2.8000000000000001E-2</v>
      </c>
      <c r="S895" s="6">
        <v>0.13</v>
      </c>
      <c r="T895" s="8">
        <v>10</v>
      </c>
      <c r="U895" s="5" t="s">
        <v>994</v>
      </c>
      <c r="V895" s="89">
        <v>0</v>
      </c>
      <c r="W895" s="15">
        <v>17897801314784</v>
      </c>
      <c r="X895" s="6">
        <v>0.34499999999999997</v>
      </c>
      <c r="Y895" s="6">
        <v>0.255</v>
      </c>
      <c r="Z895" s="6">
        <v>0.375</v>
      </c>
      <c r="AA895" s="6">
        <f t="shared" si="47"/>
        <v>3.2990624999999996E-2</v>
      </c>
      <c r="AB895" s="8">
        <v>680</v>
      </c>
      <c r="AC895" s="15">
        <v>27897801314781</v>
      </c>
      <c r="AD895" s="4" t="s">
        <v>992</v>
      </c>
    </row>
    <row r="896" spans="2:30" x14ac:dyDescent="0.35">
      <c r="B896" s="14">
        <v>1556</v>
      </c>
      <c r="C896" s="67" t="s">
        <v>816</v>
      </c>
      <c r="D896" s="4" t="s">
        <v>2373</v>
      </c>
      <c r="E896" s="24" t="s">
        <v>2912</v>
      </c>
      <c r="F896" s="4" t="s">
        <v>85</v>
      </c>
      <c r="G896" s="4" t="s">
        <v>993</v>
      </c>
      <c r="H896" s="6">
        <v>1.9E-2</v>
      </c>
      <c r="I896" s="8">
        <v>44</v>
      </c>
      <c r="J896" s="8">
        <v>35</v>
      </c>
      <c r="K896" s="8">
        <v>51</v>
      </c>
      <c r="L896" s="8">
        <f t="shared" ref="L896:L927" si="48">J896*I896*K896</f>
        <v>78540</v>
      </c>
      <c r="M896" s="15">
        <v>7897801314794</v>
      </c>
      <c r="N896" s="6" t="s">
        <v>20</v>
      </c>
      <c r="O896" s="6" t="s">
        <v>20</v>
      </c>
      <c r="P896" s="6" t="s">
        <v>20</v>
      </c>
      <c r="Q896" s="6">
        <v>0.14000000000000001</v>
      </c>
      <c r="R896" s="6">
        <v>4.3999999999999997E-2</v>
      </c>
      <c r="S896" s="6">
        <v>0.15</v>
      </c>
      <c r="T896" s="8">
        <v>10</v>
      </c>
      <c r="U896" s="5" t="s">
        <v>994</v>
      </c>
      <c r="V896" s="89">
        <v>0</v>
      </c>
      <c r="W896" s="15">
        <v>17897801314791</v>
      </c>
      <c r="X896" s="6">
        <v>0.34499999999999997</v>
      </c>
      <c r="Y896" s="6">
        <v>0.255</v>
      </c>
      <c r="Z896" s="6">
        <v>0.375</v>
      </c>
      <c r="AA896" s="6">
        <f t="shared" ref="AA896:AA927" si="49">Y896*X896*Z896</f>
        <v>3.2990624999999996E-2</v>
      </c>
      <c r="AB896" s="8">
        <v>390</v>
      </c>
      <c r="AC896" s="15">
        <v>27897801314798</v>
      </c>
      <c r="AD896" s="4" t="s">
        <v>992</v>
      </c>
    </row>
    <row r="897" spans="2:30" x14ac:dyDescent="0.35">
      <c r="B897" s="14">
        <v>1557</v>
      </c>
      <c r="C897" s="67" t="s">
        <v>817</v>
      </c>
      <c r="D897" s="4" t="s">
        <v>2373</v>
      </c>
      <c r="E897" s="24" t="s">
        <v>2912</v>
      </c>
      <c r="F897" s="4" t="s">
        <v>85</v>
      </c>
      <c r="G897" s="4" t="s">
        <v>993</v>
      </c>
      <c r="H897" s="6">
        <v>3.5900000000000001E-2</v>
      </c>
      <c r="I897" s="8">
        <v>42</v>
      </c>
      <c r="J897" s="8">
        <v>50</v>
      </c>
      <c r="K897" s="8">
        <v>61</v>
      </c>
      <c r="L897" s="8">
        <f t="shared" si="48"/>
        <v>128100</v>
      </c>
      <c r="M897" s="15">
        <v>7897801314800</v>
      </c>
      <c r="N897" s="6" t="s">
        <v>20</v>
      </c>
      <c r="O897" s="6" t="s">
        <v>20</v>
      </c>
      <c r="P897" s="6" t="s">
        <v>20</v>
      </c>
      <c r="Q897" s="6">
        <v>0.14499999999999999</v>
      </c>
      <c r="R897" s="6">
        <v>0.05</v>
      </c>
      <c r="S897" s="6">
        <v>0.17</v>
      </c>
      <c r="T897" s="8">
        <v>10</v>
      </c>
      <c r="U897" s="5" t="s">
        <v>994</v>
      </c>
      <c r="V897" s="89">
        <v>0</v>
      </c>
      <c r="W897" s="15">
        <v>17897801314807</v>
      </c>
      <c r="X897" s="6">
        <v>0.34499999999999997</v>
      </c>
      <c r="Y897" s="6">
        <v>0.255</v>
      </c>
      <c r="Z897" s="6">
        <v>0.375</v>
      </c>
      <c r="AA897" s="6">
        <f t="shared" si="49"/>
        <v>3.2990624999999996E-2</v>
      </c>
      <c r="AB897" s="8">
        <v>160</v>
      </c>
      <c r="AC897" s="15">
        <v>27897801314804</v>
      </c>
      <c r="AD897" s="4" t="s">
        <v>992</v>
      </c>
    </row>
    <row r="898" spans="2:30" x14ac:dyDescent="0.35">
      <c r="B898" s="14">
        <v>1558</v>
      </c>
      <c r="C898" s="67" t="s">
        <v>818</v>
      </c>
      <c r="D898" s="4" t="s">
        <v>2373</v>
      </c>
      <c r="E898" s="24" t="s">
        <v>2912</v>
      </c>
      <c r="F898" s="4" t="s">
        <v>85</v>
      </c>
      <c r="G898" s="4" t="s">
        <v>993</v>
      </c>
      <c r="H898" s="6">
        <v>6.4799999999999996E-2</v>
      </c>
      <c r="I898" s="8">
        <v>54</v>
      </c>
      <c r="J898" s="8">
        <v>67</v>
      </c>
      <c r="K898" s="8">
        <v>74</v>
      </c>
      <c r="L898" s="8">
        <f t="shared" si="48"/>
        <v>267732</v>
      </c>
      <c r="M898" s="15">
        <v>7897801314817</v>
      </c>
      <c r="N898" s="6" t="s">
        <v>20</v>
      </c>
      <c r="O898" s="6" t="s">
        <v>20</v>
      </c>
      <c r="P898" s="6" t="s">
        <v>20</v>
      </c>
      <c r="Q898" s="6">
        <v>0.15</v>
      </c>
      <c r="R898" s="6">
        <v>0.08</v>
      </c>
      <c r="S898" s="6">
        <v>0.15</v>
      </c>
      <c r="T898" s="8">
        <v>5</v>
      </c>
      <c r="U898" s="5" t="s">
        <v>994</v>
      </c>
      <c r="V898" s="89">
        <v>0</v>
      </c>
      <c r="W898" s="15">
        <v>17897801314814</v>
      </c>
      <c r="X898" s="6">
        <v>0.34499999999999997</v>
      </c>
      <c r="Y898" s="6">
        <v>0.255</v>
      </c>
      <c r="Z898" s="6">
        <v>0.375</v>
      </c>
      <c r="AA898" s="6">
        <f t="shared" si="49"/>
        <v>3.2990624999999996E-2</v>
      </c>
      <c r="AB898" s="8">
        <v>110</v>
      </c>
      <c r="AC898" s="15">
        <v>27897801314811</v>
      </c>
      <c r="AD898" s="4" t="s">
        <v>992</v>
      </c>
    </row>
    <row r="899" spans="2:30" x14ac:dyDescent="0.35">
      <c r="B899" s="14">
        <v>1559</v>
      </c>
      <c r="C899" s="67" t="s">
        <v>819</v>
      </c>
      <c r="D899" s="4" t="s">
        <v>2373</v>
      </c>
      <c r="E899" s="24" t="s">
        <v>2912</v>
      </c>
      <c r="F899" s="4" t="s">
        <v>85</v>
      </c>
      <c r="G899" s="4" t="s">
        <v>993</v>
      </c>
      <c r="H899" s="6">
        <v>0.11890000000000001</v>
      </c>
      <c r="I899" s="8">
        <v>68</v>
      </c>
      <c r="J899" s="8">
        <v>80</v>
      </c>
      <c r="K899" s="8">
        <v>93</v>
      </c>
      <c r="L899" s="8">
        <f t="shared" si="48"/>
        <v>505920</v>
      </c>
      <c r="M899" s="15">
        <v>7897801314824</v>
      </c>
      <c r="N899" s="6" t="s">
        <v>20</v>
      </c>
      <c r="O899" s="6" t="s">
        <v>20</v>
      </c>
      <c r="P899" s="6" t="s">
        <v>20</v>
      </c>
      <c r="Q899" s="6">
        <v>0.08</v>
      </c>
      <c r="R899" s="6">
        <v>7.0000000000000007E-2</v>
      </c>
      <c r="S899" s="6">
        <v>0.14000000000000001</v>
      </c>
      <c r="T899" s="8">
        <v>2</v>
      </c>
      <c r="U899" s="5" t="s">
        <v>994</v>
      </c>
      <c r="V899" s="89">
        <v>0</v>
      </c>
      <c r="W899" s="15">
        <v>17897801314821</v>
      </c>
      <c r="X899" s="6">
        <v>0.34499999999999997</v>
      </c>
      <c r="Y899" s="6">
        <v>0.255</v>
      </c>
      <c r="Z899" s="6">
        <v>0.375</v>
      </c>
      <c r="AA899" s="6">
        <f t="shared" si="49"/>
        <v>3.2990624999999996E-2</v>
      </c>
      <c r="AB899" s="8">
        <v>60</v>
      </c>
      <c r="AC899" s="15">
        <v>27897801314828</v>
      </c>
      <c r="AD899" s="4" t="s">
        <v>992</v>
      </c>
    </row>
    <row r="900" spans="2:30" x14ac:dyDescent="0.35">
      <c r="B900" s="14">
        <v>1560</v>
      </c>
      <c r="C900" s="67" t="s">
        <v>820</v>
      </c>
      <c r="D900" s="4" t="s">
        <v>2373</v>
      </c>
      <c r="E900" s="24" t="s">
        <v>2912</v>
      </c>
      <c r="F900" s="4" t="s">
        <v>85</v>
      </c>
      <c r="G900" s="4" t="s">
        <v>993</v>
      </c>
      <c r="H900" s="6">
        <v>0.22539999999999999</v>
      </c>
      <c r="I900" s="8">
        <v>86</v>
      </c>
      <c r="J900" s="8">
        <v>95</v>
      </c>
      <c r="K900" s="8">
        <v>112</v>
      </c>
      <c r="L900" s="8">
        <f t="shared" si="48"/>
        <v>915040</v>
      </c>
      <c r="M900" s="15">
        <v>7897801314831</v>
      </c>
      <c r="N900" s="6" t="s">
        <v>20</v>
      </c>
      <c r="O900" s="6" t="s">
        <v>20</v>
      </c>
      <c r="P900" s="6" t="s">
        <v>20</v>
      </c>
      <c r="Q900" s="6">
        <v>0.105</v>
      </c>
      <c r="R900" s="6">
        <v>8.5000000000000006E-2</v>
      </c>
      <c r="S900" s="6">
        <v>0.11</v>
      </c>
      <c r="T900" s="8">
        <v>1</v>
      </c>
      <c r="U900" s="5" t="s">
        <v>994</v>
      </c>
      <c r="V900" s="89">
        <v>0</v>
      </c>
      <c r="W900" s="15">
        <v>17897801314838</v>
      </c>
      <c r="X900" s="6">
        <v>0.34499999999999997</v>
      </c>
      <c r="Y900" s="6">
        <v>0.255</v>
      </c>
      <c r="Z900" s="6">
        <v>0.375</v>
      </c>
      <c r="AA900" s="6">
        <f t="shared" si="49"/>
        <v>3.2990624999999996E-2</v>
      </c>
      <c r="AB900" s="8">
        <v>33</v>
      </c>
      <c r="AC900" s="15">
        <v>27897801314835</v>
      </c>
      <c r="AD900" s="4" t="s">
        <v>992</v>
      </c>
    </row>
    <row r="901" spans="2:30" x14ac:dyDescent="0.35">
      <c r="B901" s="14">
        <v>1561</v>
      </c>
      <c r="C901" s="67" t="s">
        <v>821</v>
      </c>
      <c r="D901" s="4" t="s">
        <v>2373</v>
      </c>
      <c r="E901" s="24" t="s">
        <v>2912</v>
      </c>
      <c r="F901" s="4" t="s">
        <v>85</v>
      </c>
      <c r="G901" s="4" t="s">
        <v>993</v>
      </c>
      <c r="H901" s="6">
        <v>0.3216</v>
      </c>
      <c r="I901" s="8">
        <v>115</v>
      </c>
      <c r="J901" s="8">
        <v>127</v>
      </c>
      <c r="K901" s="8">
        <v>102</v>
      </c>
      <c r="L901" s="8">
        <f t="shared" si="48"/>
        <v>1489710</v>
      </c>
      <c r="M901" s="15">
        <v>7897801314848</v>
      </c>
      <c r="N901" s="6" t="s">
        <v>20</v>
      </c>
      <c r="O901" s="6" t="s">
        <v>20</v>
      </c>
      <c r="P901" s="6" t="s">
        <v>20</v>
      </c>
      <c r="Q901" s="6">
        <v>0.125</v>
      </c>
      <c r="R901" s="6">
        <v>0.1</v>
      </c>
      <c r="S901" s="6">
        <v>0.125</v>
      </c>
      <c r="T901" s="8">
        <v>1</v>
      </c>
      <c r="U901" s="5" t="s">
        <v>994</v>
      </c>
      <c r="V901" s="89">
        <v>0</v>
      </c>
      <c r="W901" s="15">
        <v>17897801314845</v>
      </c>
      <c r="X901" s="6">
        <v>0.34499999999999997</v>
      </c>
      <c r="Y901" s="6">
        <v>0.255</v>
      </c>
      <c r="Z901" s="6">
        <v>0.375</v>
      </c>
      <c r="AA901" s="6">
        <f t="shared" si="49"/>
        <v>3.2990624999999996E-2</v>
      </c>
      <c r="AB901" s="8">
        <v>20</v>
      </c>
      <c r="AC901" s="15">
        <v>27897801314842</v>
      </c>
      <c r="AD901" s="4" t="s">
        <v>992</v>
      </c>
    </row>
    <row r="902" spans="2:30" x14ac:dyDescent="0.35">
      <c r="B902" s="14">
        <v>1562</v>
      </c>
      <c r="C902" s="67" t="s">
        <v>822</v>
      </c>
      <c r="D902" s="4" t="s">
        <v>2373</v>
      </c>
      <c r="E902" s="24" t="s">
        <v>2912</v>
      </c>
      <c r="F902" s="4" t="s">
        <v>85</v>
      </c>
      <c r="G902" s="4" t="s">
        <v>993</v>
      </c>
      <c r="H902" s="6">
        <v>0.51959999999999995</v>
      </c>
      <c r="I902" s="8">
        <v>144</v>
      </c>
      <c r="J902" s="8">
        <v>148</v>
      </c>
      <c r="K902" s="8">
        <v>122</v>
      </c>
      <c r="L902" s="8">
        <f t="shared" si="48"/>
        <v>2600064</v>
      </c>
      <c r="M902" s="15">
        <v>7897801314855</v>
      </c>
      <c r="N902" s="6" t="s">
        <v>20</v>
      </c>
      <c r="O902" s="6" t="s">
        <v>20</v>
      </c>
      <c r="P902" s="6" t="s">
        <v>20</v>
      </c>
      <c r="Q902" s="6">
        <v>0.14000000000000001</v>
      </c>
      <c r="R902" s="6">
        <v>0.12</v>
      </c>
      <c r="S902" s="6">
        <v>0.14499999999999999</v>
      </c>
      <c r="T902" s="8">
        <v>1</v>
      </c>
      <c r="U902" s="5" t="s">
        <v>994</v>
      </c>
      <c r="V902" s="89">
        <v>0</v>
      </c>
      <c r="W902" s="15">
        <v>17897801314852</v>
      </c>
      <c r="X902" s="6">
        <v>0.34499999999999997</v>
      </c>
      <c r="Y902" s="6">
        <v>0.255</v>
      </c>
      <c r="Z902" s="6">
        <v>0.375</v>
      </c>
      <c r="AA902" s="6">
        <f t="shared" si="49"/>
        <v>3.2990624999999996E-2</v>
      </c>
      <c r="AB902" s="8">
        <v>11</v>
      </c>
      <c r="AC902" s="15">
        <v>27897801314859</v>
      </c>
      <c r="AD902" s="4" t="s">
        <v>992</v>
      </c>
    </row>
    <row r="903" spans="2:30" x14ac:dyDescent="0.35">
      <c r="B903" s="14">
        <v>1563</v>
      </c>
      <c r="C903" s="67" t="s">
        <v>823</v>
      </c>
      <c r="D903" s="4" t="s">
        <v>2373</v>
      </c>
      <c r="E903" s="24" t="s">
        <v>2912</v>
      </c>
      <c r="F903" s="4" t="s">
        <v>85</v>
      </c>
      <c r="G903" s="4" t="s">
        <v>993</v>
      </c>
      <c r="H903" s="6">
        <v>0.94689999999999996</v>
      </c>
      <c r="I903" s="8">
        <v>180</v>
      </c>
      <c r="J903" s="8">
        <v>170</v>
      </c>
      <c r="K903" s="8">
        <v>150</v>
      </c>
      <c r="L903" s="8">
        <f t="shared" si="48"/>
        <v>4590000</v>
      </c>
      <c r="M903" s="15">
        <v>7897801314862</v>
      </c>
      <c r="N903" s="6" t="s">
        <v>20</v>
      </c>
      <c r="O903" s="6" t="s">
        <v>20</v>
      </c>
      <c r="P903" s="6" t="s">
        <v>20</v>
      </c>
      <c r="Q903" s="6">
        <v>0.17</v>
      </c>
      <c r="R903" s="6">
        <v>0.15</v>
      </c>
      <c r="S903" s="6">
        <v>0.17499999999999999</v>
      </c>
      <c r="T903" s="8">
        <v>1</v>
      </c>
      <c r="U903" s="5" t="s">
        <v>994</v>
      </c>
      <c r="V903" s="89">
        <v>0</v>
      </c>
      <c r="W903" s="15">
        <v>17897801314869</v>
      </c>
      <c r="X903" s="6">
        <v>0.34499999999999997</v>
      </c>
      <c r="Y903" s="6">
        <v>0.255</v>
      </c>
      <c r="Z903" s="6">
        <v>0.375</v>
      </c>
      <c r="AA903" s="6">
        <f t="shared" si="49"/>
        <v>3.2990624999999996E-2</v>
      </c>
      <c r="AB903" s="8">
        <v>6</v>
      </c>
      <c r="AC903" s="15">
        <v>27897801314866</v>
      </c>
      <c r="AD903" s="4" t="s">
        <v>992</v>
      </c>
    </row>
    <row r="904" spans="2:30" x14ac:dyDescent="0.35">
      <c r="B904" s="14">
        <v>1564</v>
      </c>
      <c r="C904" s="67" t="s">
        <v>824</v>
      </c>
      <c r="D904" s="4" t="s">
        <v>2373</v>
      </c>
      <c r="E904" s="24" t="s">
        <v>2912</v>
      </c>
      <c r="F904" s="4" t="s">
        <v>85</v>
      </c>
      <c r="G904" s="4" t="s">
        <v>993</v>
      </c>
      <c r="H904" s="6">
        <v>9.7999999999999997E-3</v>
      </c>
      <c r="I904" s="8">
        <v>36</v>
      </c>
      <c r="J904" s="8">
        <v>27</v>
      </c>
      <c r="K904" s="8">
        <v>42</v>
      </c>
      <c r="L904" s="8">
        <f t="shared" si="48"/>
        <v>40824</v>
      </c>
      <c r="M904" s="15">
        <v>7897801314879</v>
      </c>
      <c r="N904" s="6" t="s">
        <v>20</v>
      </c>
      <c r="O904" s="6" t="s">
        <v>20</v>
      </c>
      <c r="P904" s="6" t="s">
        <v>20</v>
      </c>
      <c r="Q904" s="6">
        <v>0.1</v>
      </c>
      <c r="R904" s="6">
        <v>2.7E-2</v>
      </c>
      <c r="S904" s="6">
        <v>1.1100000000000001</v>
      </c>
      <c r="T904" s="8">
        <v>10</v>
      </c>
      <c r="U904" s="5" t="s">
        <v>994</v>
      </c>
      <c r="V904" s="89">
        <v>0</v>
      </c>
      <c r="W904" s="15">
        <v>17897801314876</v>
      </c>
      <c r="X904" s="6">
        <v>0.34499999999999997</v>
      </c>
      <c r="Y904" s="6">
        <v>0.255</v>
      </c>
      <c r="Z904" s="6">
        <v>0.375</v>
      </c>
      <c r="AA904" s="6">
        <f t="shared" si="49"/>
        <v>3.2990624999999996E-2</v>
      </c>
      <c r="AB904" s="8">
        <v>680</v>
      </c>
      <c r="AC904" s="15">
        <v>27897801314873</v>
      </c>
      <c r="AD904" s="4" t="s">
        <v>992</v>
      </c>
    </row>
    <row r="905" spans="2:30" x14ac:dyDescent="0.35">
      <c r="B905" s="14">
        <v>1565</v>
      </c>
      <c r="C905" s="67" t="s">
        <v>825</v>
      </c>
      <c r="D905" s="4" t="s">
        <v>2373</v>
      </c>
      <c r="E905" s="24" t="s">
        <v>2912</v>
      </c>
      <c r="F905" s="4" t="s">
        <v>85</v>
      </c>
      <c r="G905" s="4" t="s">
        <v>993</v>
      </c>
      <c r="H905" s="6">
        <v>1.6400000000000001E-2</v>
      </c>
      <c r="I905" s="8">
        <v>33</v>
      </c>
      <c r="J905" s="8">
        <v>43</v>
      </c>
      <c r="K905" s="8">
        <v>52</v>
      </c>
      <c r="L905" s="8">
        <f t="shared" si="48"/>
        <v>73788</v>
      </c>
      <c r="M905" s="15">
        <v>7897801314886</v>
      </c>
      <c r="N905" s="6" t="s">
        <v>20</v>
      </c>
      <c r="O905" s="6" t="s">
        <v>20</v>
      </c>
      <c r="P905" s="6" t="s">
        <v>20</v>
      </c>
      <c r="Q905" s="6">
        <v>0.13</v>
      </c>
      <c r="R905" s="6">
        <v>3.3000000000000002E-2</v>
      </c>
      <c r="S905" s="6">
        <v>0.14000000000000001</v>
      </c>
      <c r="T905" s="8">
        <v>10</v>
      </c>
      <c r="U905" s="5" t="s">
        <v>994</v>
      </c>
      <c r="V905" s="89">
        <v>0</v>
      </c>
      <c r="W905" s="15">
        <v>17897801314883</v>
      </c>
      <c r="X905" s="6">
        <v>0.34499999999999997</v>
      </c>
      <c r="Y905" s="6">
        <v>0.255</v>
      </c>
      <c r="Z905" s="6">
        <v>0.375</v>
      </c>
      <c r="AA905" s="6">
        <f t="shared" si="49"/>
        <v>3.2990624999999996E-2</v>
      </c>
      <c r="AB905" s="8">
        <v>390</v>
      </c>
      <c r="AC905" s="15">
        <v>27897801314880</v>
      </c>
      <c r="AD905" s="4" t="s">
        <v>992</v>
      </c>
    </row>
    <row r="906" spans="2:30" x14ac:dyDescent="0.35">
      <c r="B906" s="14">
        <v>1566</v>
      </c>
      <c r="C906" s="67" t="s">
        <v>826</v>
      </c>
      <c r="D906" s="4" t="s">
        <v>2373</v>
      </c>
      <c r="E906" s="24" t="s">
        <v>2912</v>
      </c>
      <c r="F906" s="4" t="s">
        <v>85</v>
      </c>
      <c r="G906" s="4" t="s">
        <v>993</v>
      </c>
      <c r="H906" s="6">
        <v>5.0200000000000002E-2</v>
      </c>
      <c r="I906" s="8">
        <v>38</v>
      </c>
      <c r="J906" s="8">
        <v>44</v>
      </c>
      <c r="K906" s="8">
        <v>46</v>
      </c>
      <c r="L906" s="8">
        <f t="shared" si="48"/>
        <v>76912</v>
      </c>
      <c r="M906" s="15">
        <v>7897801314893</v>
      </c>
      <c r="N906" s="6" t="s">
        <v>20</v>
      </c>
      <c r="O906" s="6" t="s">
        <v>20</v>
      </c>
      <c r="P906" s="6" t="s">
        <v>20</v>
      </c>
      <c r="Q906" s="6">
        <v>0.13</v>
      </c>
      <c r="R906" s="6">
        <v>4.5999999999999999E-2</v>
      </c>
      <c r="S906" s="6">
        <v>0.15</v>
      </c>
      <c r="T906" s="8">
        <v>10</v>
      </c>
      <c r="U906" s="5" t="s">
        <v>994</v>
      </c>
      <c r="V906" s="89">
        <v>0</v>
      </c>
      <c r="W906" s="15">
        <v>17897801314890</v>
      </c>
      <c r="X906" s="6">
        <v>0.255</v>
      </c>
      <c r="Y906" s="6">
        <v>0.25</v>
      </c>
      <c r="Z906" s="6">
        <v>0.32500000000000001</v>
      </c>
      <c r="AA906" s="6">
        <f t="shared" si="49"/>
        <v>2.0718750000000001E-2</v>
      </c>
      <c r="AB906" s="8">
        <v>240</v>
      </c>
      <c r="AC906" s="15">
        <v>27897801314897</v>
      </c>
      <c r="AD906" s="4" t="s">
        <v>992</v>
      </c>
    </row>
    <row r="907" spans="2:30" x14ac:dyDescent="0.35">
      <c r="B907" s="14">
        <v>1567</v>
      </c>
      <c r="C907" s="67" t="s">
        <v>827</v>
      </c>
      <c r="D907" s="4" t="s">
        <v>2373</v>
      </c>
      <c r="E907" s="24" t="s">
        <v>2912</v>
      </c>
      <c r="F907" s="4" t="s">
        <v>85</v>
      </c>
      <c r="G907" s="4" t="s">
        <v>993</v>
      </c>
      <c r="H907" s="6">
        <v>7.9100000000000004E-2</v>
      </c>
      <c r="I907" s="8">
        <v>45</v>
      </c>
      <c r="J907" s="8">
        <v>51</v>
      </c>
      <c r="K907" s="8">
        <v>55</v>
      </c>
      <c r="L907" s="8">
        <f t="shared" si="48"/>
        <v>126225</v>
      </c>
      <c r="M907" s="15">
        <v>7897801314909</v>
      </c>
      <c r="N907" s="6" t="s">
        <v>20</v>
      </c>
      <c r="O907" s="6" t="s">
        <v>20</v>
      </c>
      <c r="P907" s="6" t="s">
        <v>20</v>
      </c>
      <c r="Q907" s="6">
        <v>0.14000000000000001</v>
      </c>
      <c r="R907" s="6">
        <v>4.4999999999999998E-2</v>
      </c>
      <c r="S907" s="6">
        <v>0.185</v>
      </c>
      <c r="T907" s="8">
        <v>5</v>
      </c>
      <c r="U907" s="5" t="s">
        <v>994</v>
      </c>
      <c r="V907" s="89">
        <v>0</v>
      </c>
      <c r="W907" s="15">
        <v>17897801314906</v>
      </c>
      <c r="X907" s="6">
        <v>0.255</v>
      </c>
      <c r="Y907" s="6">
        <v>0.25</v>
      </c>
      <c r="Z907" s="6">
        <v>0.32500000000000001</v>
      </c>
      <c r="AA907" s="6">
        <f t="shared" si="49"/>
        <v>2.0718750000000001E-2</v>
      </c>
      <c r="AB907" s="8">
        <v>130</v>
      </c>
      <c r="AC907" s="15">
        <v>27897801314903</v>
      </c>
      <c r="AD907" s="4" t="s">
        <v>992</v>
      </c>
    </row>
    <row r="908" spans="2:30" x14ac:dyDescent="0.35">
      <c r="B908" s="14">
        <v>1568</v>
      </c>
      <c r="C908" s="67" t="s">
        <v>828</v>
      </c>
      <c r="D908" s="4" t="s">
        <v>2373</v>
      </c>
      <c r="E908" s="24" t="s">
        <v>2912</v>
      </c>
      <c r="F908" s="4" t="s">
        <v>85</v>
      </c>
      <c r="G908" s="4" t="s">
        <v>993</v>
      </c>
      <c r="H908" s="6">
        <v>9.6600000000000005E-2</v>
      </c>
      <c r="I908" s="8">
        <v>57</v>
      </c>
      <c r="J908" s="8">
        <v>65</v>
      </c>
      <c r="K908" s="8">
        <v>47</v>
      </c>
      <c r="L908" s="8">
        <f t="shared" si="48"/>
        <v>174135</v>
      </c>
      <c r="M908" s="15">
        <v>7897801314916</v>
      </c>
      <c r="N908" s="6" t="s">
        <v>20</v>
      </c>
      <c r="O908" s="6" t="s">
        <v>20</v>
      </c>
      <c r="P908" s="6" t="s">
        <v>20</v>
      </c>
      <c r="Q908" s="6">
        <v>0.12</v>
      </c>
      <c r="R908" s="6">
        <v>6.5000000000000002E-2</v>
      </c>
      <c r="S908" s="6">
        <v>0.14000000000000001</v>
      </c>
      <c r="T908" s="8">
        <v>5</v>
      </c>
      <c r="U908" s="5" t="s">
        <v>994</v>
      </c>
      <c r="V908" s="89">
        <v>0</v>
      </c>
      <c r="W908" s="15">
        <v>17897801314913</v>
      </c>
      <c r="X908" s="6">
        <v>0.255</v>
      </c>
      <c r="Y908" s="6">
        <v>0.25</v>
      </c>
      <c r="Z908" s="6">
        <v>0.32500000000000001</v>
      </c>
      <c r="AA908" s="6">
        <f t="shared" si="49"/>
        <v>2.0718750000000001E-2</v>
      </c>
      <c r="AB908" s="8">
        <v>95</v>
      </c>
      <c r="AC908" s="15">
        <v>27897801314910</v>
      </c>
      <c r="AD908" s="4" t="s">
        <v>992</v>
      </c>
    </row>
    <row r="909" spans="2:30" x14ac:dyDescent="0.35">
      <c r="B909" s="14">
        <v>1569</v>
      </c>
      <c r="C909" s="67" t="s">
        <v>829</v>
      </c>
      <c r="D909" s="4" t="s">
        <v>2373</v>
      </c>
      <c r="E909" s="24" t="s">
        <v>2912</v>
      </c>
      <c r="F909" s="4" t="s">
        <v>85</v>
      </c>
      <c r="G909" s="4" t="s">
        <v>993</v>
      </c>
      <c r="H909" s="6">
        <v>0.1595</v>
      </c>
      <c r="I909" s="8">
        <v>55</v>
      </c>
      <c r="J909" s="8">
        <v>63</v>
      </c>
      <c r="K909" s="8">
        <v>75</v>
      </c>
      <c r="L909" s="8">
        <f t="shared" si="48"/>
        <v>259875</v>
      </c>
      <c r="M909" s="15">
        <v>7897801314923</v>
      </c>
      <c r="N909" s="6" t="s">
        <v>20</v>
      </c>
      <c r="O909" s="6" t="s">
        <v>20</v>
      </c>
      <c r="P909" s="6" t="s">
        <v>20</v>
      </c>
      <c r="Q909" s="6">
        <v>0.16</v>
      </c>
      <c r="R909" s="6">
        <v>5.5E-2</v>
      </c>
      <c r="S909" s="6">
        <v>0.19500000000000001</v>
      </c>
      <c r="T909" s="8">
        <v>5</v>
      </c>
      <c r="U909" s="5" t="s">
        <v>994</v>
      </c>
      <c r="V909" s="89">
        <v>0</v>
      </c>
      <c r="W909" s="15">
        <v>17897801314920</v>
      </c>
      <c r="X909" s="6">
        <v>0.255</v>
      </c>
      <c r="Y909" s="6">
        <v>0.25</v>
      </c>
      <c r="Z909" s="6">
        <v>0.32500000000000001</v>
      </c>
      <c r="AA909" s="6">
        <f t="shared" si="49"/>
        <v>2.0718750000000001E-2</v>
      </c>
      <c r="AB909" s="8">
        <v>65</v>
      </c>
      <c r="AC909" s="15">
        <v>27897801314927</v>
      </c>
      <c r="AD909" s="4" t="s">
        <v>992</v>
      </c>
    </row>
    <row r="910" spans="2:30" x14ac:dyDescent="0.35">
      <c r="B910" s="14">
        <v>1570</v>
      </c>
      <c r="C910" s="67" t="s">
        <v>830</v>
      </c>
      <c r="D910" s="4" t="s">
        <v>2373</v>
      </c>
      <c r="E910" s="24" t="s">
        <v>2912</v>
      </c>
      <c r="F910" s="4" t="s">
        <v>85</v>
      </c>
      <c r="G910" s="4" t="s">
        <v>993</v>
      </c>
      <c r="H910" s="6">
        <v>1.3899999999999999E-2</v>
      </c>
      <c r="I910" s="8">
        <v>28</v>
      </c>
      <c r="J910" s="8">
        <v>40</v>
      </c>
      <c r="K910" s="8">
        <v>40</v>
      </c>
      <c r="L910" s="8">
        <f t="shared" si="48"/>
        <v>44800</v>
      </c>
      <c r="M910" s="15">
        <v>7897801314930</v>
      </c>
      <c r="N910" s="6" t="s">
        <v>20</v>
      </c>
      <c r="O910" s="6" t="s">
        <v>20</v>
      </c>
      <c r="P910" s="6" t="s">
        <v>20</v>
      </c>
      <c r="Q910" s="6">
        <v>0.13</v>
      </c>
      <c r="R910" s="6">
        <v>0.04</v>
      </c>
      <c r="S910" s="6">
        <v>0.13</v>
      </c>
      <c r="T910" s="8">
        <v>10</v>
      </c>
      <c r="U910" s="5" t="s">
        <v>994</v>
      </c>
      <c r="V910" s="89">
        <v>0</v>
      </c>
      <c r="W910" s="15">
        <v>17897801314937</v>
      </c>
      <c r="X910" s="6">
        <v>0.34499999999999997</v>
      </c>
      <c r="Y910" s="6">
        <v>0.255</v>
      </c>
      <c r="Z910" s="6">
        <v>0.375</v>
      </c>
      <c r="AA910" s="6">
        <f t="shared" si="49"/>
        <v>3.2990624999999996E-2</v>
      </c>
      <c r="AB910" s="8">
        <v>540</v>
      </c>
      <c r="AC910" s="15">
        <v>27897801314934</v>
      </c>
      <c r="AD910" s="4" t="s">
        <v>992</v>
      </c>
    </row>
    <row r="911" spans="2:30" x14ac:dyDescent="0.35">
      <c r="B911" s="14">
        <v>1571</v>
      </c>
      <c r="C911" s="67" t="s">
        <v>831</v>
      </c>
      <c r="D911" s="4" t="s">
        <v>2373</v>
      </c>
      <c r="E911" s="24" t="s">
        <v>2912</v>
      </c>
      <c r="F911" s="4" t="s">
        <v>85</v>
      </c>
      <c r="G911" s="4" t="s">
        <v>993</v>
      </c>
      <c r="H911" s="6">
        <v>2.2599999999999999E-2</v>
      </c>
      <c r="I911" s="8">
        <v>47</v>
      </c>
      <c r="J911" s="8">
        <v>47</v>
      </c>
      <c r="K911" s="8">
        <v>33</v>
      </c>
      <c r="L911" s="8">
        <f t="shared" si="48"/>
        <v>72897</v>
      </c>
      <c r="M911" s="15">
        <v>7897801314947</v>
      </c>
      <c r="N911" s="6" t="s">
        <v>20</v>
      </c>
      <c r="O911" s="6" t="s">
        <v>20</v>
      </c>
      <c r="P911" s="6" t="s">
        <v>20</v>
      </c>
      <c r="Q911" s="6">
        <v>0.13500000000000001</v>
      </c>
      <c r="R911" s="6">
        <v>3.5000000000000003E-2</v>
      </c>
      <c r="S911" s="6">
        <v>0.17</v>
      </c>
      <c r="T911" s="8">
        <v>10</v>
      </c>
      <c r="U911" s="5" t="s">
        <v>994</v>
      </c>
      <c r="V911" s="89">
        <v>0</v>
      </c>
      <c r="W911" s="15">
        <v>17897801314944</v>
      </c>
      <c r="X911" s="6">
        <v>0.34499999999999997</v>
      </c>
      <c r="Y911" s="6">
        <v>0.255</v>
      </c>
      <c r="Z911" s="6">
        <v>0.375</v>
      </c>
      <c r="AA911" s="6">
        <f t="shared" si="49"/>
        <v>3.2990624999999996E-2</v>
      </c>
      <c r="AB911" s="8">
        <v>350</v>
      </c>
      <c r="AC911" s="15">
        <v>27897801314941</v>
      </c>
      <c r="AD911" s="4" t="s">
        <v>992</v>
      </c>
    </row>
    <row r="912" spans="2:30" x14ac:dyDescent="0.35">
      <c r="B912" s="14">
        <v>1572</v>
      </c>
      <c r="C912" s="67" t="s">
        <v>832</v>
      </c>
      <c r="D912" s="4" t="s">
        <v>2373</v>
      </c>
      <c r="E912" s="24" t="s">
        <v>2912</v>
      </c>
      <c r="F912" s="4" t="s">
        <v>85</v>
      </c>
      <c r="G912" s="4" t="s">
        <v>993</v>
      </c>
      <c r="H912" s="6">
        <v>4.5699999999999998E-2</v>
      </c>
      <c r="I912" s="8">
        <v>43</v>
      </c>
      <c r="J912" s="8">
        <v>58</v>
      </c>
      <c r="K912" s="8">
        <v>58</v>
      </c>
      <c r="L912" s="8">
        <f t="shared" si="48"/>
        <v>144652</v>
      </c>
      <c r="M912" s="15">
        <v>7897801314954</v>
      </c>
      <c r="N912" s="6" t="s">
        <v>20</v>
      </c>
      <c r="O912" s="6" t="s">
        <v>20</v>
      </c>
      <c r="P912" s="6" t="s">
        <v>20</v>
      </c>
      <c r="Q912" s="6">
        <v>0.17</v>
      </c>
      <c r="R912" s="6">
        <v>0.06</v>
      </c>
      <c r="S912" s="6">
        <v>0.2</v>
      </c>
      <c r="T912" s="8">
        <v>10</v>
      </c>
      <c r="U912" s="5" t="s">
        <v>994</v>
      </c>
      <c r="V912" s="89">
        <v>0</v>
      </c>
      <c r="W912" s="15">
        <v>17897801314951</v>
      </c>
      <c r="X912" s="6">
        <v>0.34499999999999997</v>
      </c>
      <c r="Y912" s="6">
        <v>0.255</v>
      </c>
      <c r="Z912" s="6">
        <v>0.375</v>
      </c>
      <c r="AA912" s="6">
        <f t="shared" si="49"/>
        <v>3.2990624999999996E-2</v>
      </c>
      <c r="AB912" s="8">
        <v>160</v>
      </c>
      <c r="AC912" s="15">
        <v>27897801314958</v>
      </c>
      <c r="AD912" s="4" t="s">
        <v>992</v>
      </c>
    </row>
    <row r="913" spans="2:30" x14ac:dyDescent="0.35">
      <c r="B913" s="14">
        <v>1573</v>
      </c>
      <c r="C913" s="67" t="s">
        <v>833</v>
      </c>
      <c r="D913" s="4" t="s">
        <v>2373</v>
      </c>
      <c r="E913" s="24" t="s">
        <v>2912</v>
      </c>
      <c r="F913" s="4" t="s">
        <v>85</v>
      </c>
      <c r="G913" s="4" t="s">
        <v>993</v>
      </c>
      <c r="H913" s="6">
        <v>8.5699999999999998E-2</v>
      </c>
      <c r="I913" s="8">
        <v>53</v>
      </c>
      <c r="J913" s="8">
        <v>69</v>
      </c>
      <c r="K913" s="8">
        <v>69</v>
      </c>
      <c r="L913" s="8">
        <f t="shared" si="48"/>
        <v>252333</v>
      </c>
      <c r="M913" s="15">
        <v>7897801314961</v>
      </c>
      <c r="N913" s="6" t="s">
        <v>20</v>
      </c>
      <c r="O913" s="6" t="s">
        <v>20</v>
      </c>
      <c r="P913" s="6" t="s">
        <v>20</v>
      </c>
      <c r="Q913" s="6">
        <v>0.16</v>
      </c>
      <c r="R913" s="6">
        <v>5.2999999999999999E-2</v>
      </c>
      <c r="S913" s="6">
        <v>0.2</v>
      </c>
      <c r="T913" s="8">
        <v>5</v>
      </c>
      <c r="U913" s="5" t="s">
        <v>994</v>
      </c>
      <c r="V913" s="89">
        <v>0</v>
      </c>
      <c r="W913" s="15">
        <v>17897801314968</v>
      </c>
      <c r="X913" s="6">
        <v>0.34499999999999997</v>
      </c>
      <c r="Y913" s="6">
        <v>0.255</v>
      </c>
      <c r="Z913" s="6">
        <v>0.375</v>
      </c>
      <c r="AA913" s="6">
        <f t="shared" si="49"/>
        <v>3.2990624999999996E-2</v>
      </c>
      <c r="AB913" s="8">
        <v>100</v>
      </c>
      <c r="AC913" s="15">
        <v>27897801314965</v>
      </c>
      <c r="AD913" s="4" t="s">
        <v>992</v>
      </c>
    </row>
    <row r="914" spans="2:30" x14ac:dyDescent="0.35">
      <c r="B914" s="14">
        <v>1574</v>
      </c>
      <c r="C914" s="67" t="s">
        <v>834</v>
      </c>
      <c r="D914" s="4" t="s">
        <v>2373</v>
      </c>
      <c r="E914" s="24" t="s">
        <v>2912</v>
      </c>
      <c r="F914" s="4" t="s">
        <v>85</v>
      </c>
      <c r="G914" s="4" t="s">
        <v>993</v>
      </c>
      <c r="H914" s="6">
        <v>0.15740000000000001</v>
      </c>
      <c r="I914" s="8">
        <v>68</v>
      </c>
      <c r="J914" s="8">
        <v>88</v>
      </c>
      <c r="K914" s="8">
        <v>88</v>
      </c>
      <c r="L914" s="8">
        <f t="shared" si="48"/>
        <v>526592</v>
      </c>
      <c r="M914" s="15">
        <v>7897801314978</v>
      </c>
      <c r="N914" s="6" t="s">
        <v>20</v>
      </c>
      <c r="O914" s="6" t="s">
        <v>20</v>
      </c>
      <c r="P914" s="6" t="s">
        <v>20</v>
      </c>
      <c r="Q914" s="6">
        <v>0.09</v>
      </c>
      <c r="R914" s="6">
        <v>0.09</v>
      </c>
      <c r="S914" s="6">
        <v>0.14000000000000001</v>
      </c>
      <c r="T914" s="8">
        <v>2</v>
      </c>
      <c r="U914" s="5" t="s">
        <v>994</v>
      </c>
      <c r="V914" s="89">
        <v>0</v>
      </c>
      <c r="W914" s="15">
        <v>17897801314975</v>
      </c>
      <c r="X914" s="6">
        <v>0.34499999999999997</v>
      </c>
      <c r="Y914" s="6">
        <v>0.255</v>
      </c>
      <c r="Z914" s="6">
        <v>0.375</v>
      </c>
      <c r="AA914" s="6">
        <f t="shared" si="49"/>
        <v>3.2990624999999996E-2</v>
      </c>
      <c r="AB914" s="8">
        <v>48</v>
      </c>
      <c r="AC914" s="15">
        <v>27897801314972</v>
      </c>
      <c r="AD914" s="4" t="s">
        <v>992</v>
      </c>
    </row>
    <row r="915" spans="2:30" x14ac:dyDescent="0.35">
      <c r="B915" s="14">
        <v>1575</v>
      </c>
      <c r="C915" s="67" t="s">
        <v>835</v>
      </c>
      <c r="D915" s="4" t="s">
        <v>2373</v>
      </c>
      <c r="E915" s="24" t="s">
        <v>2912</v>
      </c>
      <c r="F915" s="4" t="s">
        <v>85</v>
      </c>
      <c r="G915" s="4" t="s">
        <v>993</v>
      </c>
      <c r="H915" s="6">
        <v>0.29580000000000001</v>
      </c>
      <c r="I915" s="8">
        <v>85</v>
      </c>
      <c r="J915" s="8">
        <v>105</v>
      </c>
      <c r="K915" s="8">
        <v>105</v>
      </c>
      <c r="L915" s="8">
        <f t="shared" si="48"/>
        <v>937125</v>
      </c>
      <c r="M915" s="15">
        <v>7897801314985</v>
      </c>
      <c r="N915" s="6" t="s">
        <v>20</v>
      </c>
      <c r="O915" s="6" t="s">
        <v>20</v>
      </c>
      <c r="P915" s="6" t="s">
        <v>20</v>
      </c>
      <c r="Q915" s="6">
        <v>0.105</v>
      </c>
      <c r="R915" s="6">
        <v>8.5000000000000006E-2</v>
      </c>
      <c r="S915" s="6">
        <v>0.105</v>
      </c>
      <c r="T915" s="8">
        <v>1</v>
      </c>
      <c r="U915" s="5" t="s">
        <v>994</v>
      </c>
      <c r="V915" s="89">
        <v>0</v>
      </c>
      <c r="W915" s="15">
        <v>17897801314982</v>
      </c>
      <c r="X915" s="6">
        <v>0.34499999999999997</v>
      </c>
      <c r="Y915" s="6">
        <v>0.255</v>
      </c>
      <c r="Z915" s="6">
        <v>0.375</v>
      </c>
      <c r="AA915" s="6">
        <f t="shared" si="49"/>
        <v>3.2990624999999996E-2</v>
      </c>
      <c r="AB915" s="8">
        <v>24</v>
      </c>
      <c r="AC915" s="15">
        <v>27897801314989</v>
      </c>
      <c r="AD915" s="4" t="s">
        <v>992</v>
      </c>
    </row>
    <row r="916" spans="2:30" x14ac:dyDescent="0.35">
      <c r="B916" s="14">
        <v>1576</v>
      </c>
      <c r="C916" s="67" t="s">
        <v>836</v>
      </c>
      <c r="D916" s="4" t="s">
        <v>2373</v>
      </c>
      <c r="E916" s="24" t="s">
        <v>2912</v>
      </c>
      <c r="F916" s="4" t="s">
        <v>85</v>
      </c>
      <c r="G916" s="4" t="s">
        <v>993</v>
      </c>
      <c r="H916" s="6">
        <v>0.432</v>
      </c>
      <c r="I916" s="8">
        <v>121</v>
      </c>
      <c r="J916" s="8">
        <v>102</v>
      </c>
      <c r="K916" s="8">
        <v>102</v>
      </c>
      <c r="L916" s="8">
        <f t="shared" si="48"/>
        <v>1258884</v>
      </c>
      <c r="M916" s="15">
        <v>7897801314992</v>
      </c>
      <c r="N916" s="6" t="s">
        <v>20</v>
      </c>
      <c r="O916" s="6" t="s">
        <v>20</v>
      </c>
      <c r="P916" s="6" t="s">
        <v>20</v>
      </c>
      <c r="Q916" s="6">
        <v>0.1</v>
      </c>
      <c r="R916" s="6">
        <v>0.12</v>
      </c>
      <c r="S916" s="6">
        <v>0.12</v>
      </c>
      <c r="T916" s="8">
        <v>1</v>
      </c>
      <c r="U916" s="5" t="s">
        <v>994</v>
      </c>
      <c r="V916" s="89">
        <v>0</v>
      </c>
      <c r="W916" s="15">
        <v>17897801314999</v>
      </c>
      <c r="X916" s="6">
        <v>0.34499999999999997</v>
      </c>
      <c r="Y916" s="6">
        <v>0.255</v>
      </c>
      <c r="Z916" s="6">
        <v>0.375</v>
      </c>
      <c r="AA916" s="6">
        <f t="shared" si="49"/>
        <v>3.2990624999999996E-2</v>
      </c>
      <c r="AB916" s="8">
        <v>18</v>
      </c>
      <c r="AC916" s="15">
        <v>27897801314996</v>
      </c>
      <c r="AD916" s="4" t="s">
        <v>992</v>
      </c>
    </row>
    <row r="917" spans="2:30" x14ac:dyDescent="0.35">
      <c r="B917" s="14">
        <v>1577</v>
      </c>
      <c r="C917" s="67" t="s">
        <v>837</v>
      </c>
      <c r="D917" s="4" t="s">
        <v>2373</v>
      </c>
      <c r="E917" s="24" t="s">
        <v>2912</v>
      </c>
      <c r="F917" s="4" t="s">
        <v>85</v>
      </c>
      <c r="G917" s="4" t="s">
        <v>993</v>
      </c>
      <c r="H917" s="6">
        <v>0.71940000000000004</v>
      </c>
      <c r="I917" s="8">
        <v>123</v>
      </c>
      <c r="J917" s="8">
        <v>142</v>
      </c>
      <c r="K917" s="8">
        <v>142</v>
      </c>
      <c r="L917" s="8">
        <f t="shared" si="48"/>
        <v>2480172</v>
      </c>
      <c r="M917" s="15">
        <v>7897801315005</v>
      </c>
      <c r="N917" s="6" t="s">
        <v>20</v>
      </c>
      <c r="O917" s="6" t="s">
        <v>20</v>
      </c>
      <c r="P917" s="6" t="s">
        <v>20</v>
      </c>
      <c r="Q917" s="6">
        <v>0.14000000000000001</v>
      </c>
      <c r="R917" s="6">
        <v>0.12</v>
      </c>
      <c r="S917" s="6">
        <v>0.14000000000000001</v>
      </c>
      <c r="T917" s="8">
        <v>1</v>
      </c>
      <c r="U917" s="5" t="s">
        <v>994</v>
      </c>
      <c r="V917" s="89">
        <v>0</v>
      </c>
      <c r="W917" s="15">
        <v>17897801315002</v>
      </c>
      <c r="X917" s="6">
        <v>0.34499999999999997</v>
      </c>
      <c r="Y917" s="6">
        <v>0.255</v>
      </c>
      <c r="Z917" s="6">
        <v>0.375</v>
      </c>
      <c r="AA917" s="6">
        <f t="shared" si="49"/>
        <v>3.2990624999999996E-2</v>
      </c>
      <c r="AB917" s="8">
        <v>9</v>
      </c>
      <c r="AC917" s="15">
        <v>27897801315009</v>
      </c>
      <c r="AD917" s="4" t="s">
        <v>992</v>
      </c>
    </row>
    <row r="918" spans="2:30" x14ac:dyDescent="0.35">
      <c r="B918" s="14">
        <v>1578</v>
      </c>
      <c r="C918" s="67" t="s">
        <v>838</v>
      </c>
      <c r="D918" s="4" t="s">
        <v>2373</v>
      </c>
      <c r="E918" s="24" t="s">
        <v>2912</v>
      </c>
      <c r="F918" s="4" t="s">
        <v>85</v>
      </c>
      <c r="G918" s="4" t="s">
        <v>993</v>
      </c>
      <c r="H918" s="6">
        <v>12.285</v>
      </c>
      <c r="I918" s="8">
        <v>170</v>
      </c>
      <c r="J918" s="8">
        <v>170</v>
      </c>
      <c r="K918" s="8">
        <v>148</v>
      </c>
      <c r="L918" s="8">
        <f t="shared" si="48"/>
        <v>4277200</v>
      </c>
      <c r="M918" s="15">
        <v>7897801315012</v>
      </c>
      <c r="N918" s="6" t="s">
        <v>20</v>
      </c>
      <c r="O918" s="6" t="s">
        <v>20</v>
      </c>
      <c r="P918" s="6" t="s">
        <v>20</v>
      </c>
      <c r="Q918" s="6">
        <v>0.17</v>
      </c>
      <c r="R918" s="6">
        <v>0.15</v>
      </c>
      <c r="S918" s="6">
        <v>0.17</v>
      </c>
      <c r="T918" s="8">
        <v>1</v>
      </c>
      <c r="U918" s="5" t="s">
        <v>994</v>
      </c>
      <c r="V918" s="89">
        <v>0</v>
      </c>
      <c r="W918" s="15">
        <v>17897801315019</v>
      </c>
      <c r="X918" s="6">
        <v>0.34499999999999997</v>
      </c>
      <c r="Y918" s="6">
        <v>0.255</v>
      </c>
      <c r="Z918" s="6">
        <v>0.375</v>
      </c>
      <c r="AA918" s="6">
        <f t="shared" si="49"/>
        <v>3.2990624999999996E-2</v>
      </c>
      <c r="AB918" s="8">
        <v>6</v>
      </c>
      <c r="AC918" s="15">
        <v>27897801315016</v>
      </c>
      <c r="AD918" s="4" t="s">
        <v>992</v>
      </c>
    </row>
    <row r="919" spans="2:30" x14ac:dyDescent="0.35">
      <c r="B919" s="14">
        <v>1579</v>
      </c>
      <c r="C919" s="67" t="s">
        <v>839</v>
      </c>
      <c r="D919" s="4" t="s">
        <v>2373</v>
      </c>
      <c r="E919" s="24" t="s">
        <v>2912</v>
      </c>
      <c r="F919" s="4" t="s">
        <v>85</v>
      </c>
      <c r="G919" s="4" t="s">
        <v>993</v>
      </c>
      <c r="H919" s="6">
        <v>5.5100000000000003E-2</v>
      </c>
      <c r="I919" s="8">
        <v>38</v>
      </c>
      <c r="J919" s="8">
        <v>43</v>
      </c>
      <c r="K919" s="8">
        <v>59</v>
      </c>
      <c r="L919" s="8">
        <f t="shared" si="48"/>
        <v>96406</v>
      </c>
      <c r="M919" s="15">
        <v>7897801315029</v>
      </c>
      <c r="N919" s="6" t="s">
        <v>20</v>
      </c>
      <c r="O919" s="6" t="s">
        <v>20</v>
      </c>
      <c r="P919" s="6" t="s">
        <v>20</v>
      </c>
      <c r="Q919" s="6">
        <v>0.15</v>
      </c>
      <c r="R919" s="6">
        <v>4.2999999999999997E-2</v>
      </c>
      <c r="S919" s="6">
        <v>0.16</v>
      </c>
      <c r="T919" s="8">
        <v>10</v>
      </c>
      <c r="U919" s="5" t="s">
        <v>994</v>
      </c>
      <c r="V919" s="89">
        <v>0</v>
      </c>
      <c r="W919" s="15">
        <v>17897801315026</v>
      </c>
      <c r="X919" s="6">
        <v>0.34499999999999997</v>
      </c>
      <c r="Y919" s="6">
        <v>0.255</v>
      </c>
      <c r="Z919" s="6">
        <v>0.375</v>
      </c>
      <c r="AA919" s="6">
        <f t="shared" si="49"/>
        <v>3.2990624999999996E-2</v>
      </c>
      <c r="AB919" s="8">
        <v>280</v>
      </c>
      <c r="AC919" s="15">
        <v>27897801315023</v>
      </c>
      <c r="AD919" s="4" t="s">
        <v>992</v>
      </c>
    </row>
    <row r="920" spans="2:30" x14ac:dyDescent="0.35">
      <c r="B920" s="14">
        <v>1580</v>
      </c>
      <c r="C920" s="67" t="s">
        <v>840</v>
      </c>
      <c r="D920" s="4" t="s">
        <v>2373</v>
      </c>
      <c r="E920" s="24" t="s">
        <v>2912</v>
      </c>
      <c r="F920" s="4" t="s">
        <v>85</v>
      </c>
      <c r="G920" s="4" t="s">
        <v>993</v>
      </c>
      <c r="H920" s="6">
        <v>9.2600000000000002E-2</v>
      </c>
      <c r="I920" s="8">
        <v>46</v>
      </c>
      <c r="J920" s="8">
        <v>70</v>
      </c>
      <c r="K920" s="8">
        <v>52</v>
      </c>
      <c r="L920" s="8">
        <f t="shared" si="48"/>
        <v>167440</v>
      </c>
      <c r="M920" s="15">
        <v>7897801315036</v>
      </c>
      <c r="N920" s="6" t="s">
        <v>20</v>
      </c>
      <c r="O920" s="6" t="s">
        <v>20</v>
      </c>
      <c r="P920" s="6" t="s">
        <v>20</v>
      </c>
      <c r="Q920" s="6">
        <v>0.17</v>
      </c>
      <c r="R920" s="6">
        <v>4.5999999999999999E-2</v>
      </c>
      <c r="S920" s="6">
        <v>0.21</v>
      </c>
      <c r="T920" s="8">
        <v>10</v>
      </c>
      <c r="U920" s="5" t="s">
        <v>994</v>
      </c>
      <c r="V920" s="89">
        <v>0</v>
      </c>
      <c r="W920" s="15">
        <v>17897801315033</v>
      </c>
      <c r="X920" s="6">
        <v>0.34499999999999997</v>
      </c>
      <c r="Y920" s="6">
        <v>0.255</v>
      </c>
      <c r="Z920" s="6">
        <v>0.375</v>
      </c>
      <c r="AA920" s="6">
        <f t="shared" si="49"/>
        <v>3.2990624999999996E-2</v>
      </c>
      <c r="AB920" s="8">
        <v>180</v>
      </c>
      <c r="AC920" s="15">
        <v>27897801315030</v>
      </c>
      <c r="AD920" s="4" t="s">
        <v>992</v>
      </c>
    </row>
    <row r="921" spans="2:30" x14ac:dyDescent="0.35">
      <c r="B921" s="14">
        <v>1581</v>
      </c>
      <c r="C921" s="67" t="s">
        <v>841</v>
      </c>
      <c r="D921" s="4" t="s">
        <v>2373</v>
      </c>
      <c r="E921" s="24" t="s">
        <v>2912</v>
      </c>
      <c r="F921" s="4" t="s">
        <v>85</v>
      </c>
      <c r="G921" s="4" t="s">
        <v>993</v>
      </c>
      <c r="H921" s="6">
        <v>0.11020000000000001</v>
      </c>
      <c r="I921" s="8">
        <v>47</v>
      </c>
      <c r="J921" s="8">
        <v>57</v>
      </c>
      <c r="K921" s="8">
        <v>80</v>
      </c>
      <c r="L921" s="8">
        <f t="shared" si="48"/>
        <v>214320</v>
      </c>
      <c r="M921" s="15">
        <v>7897801315043</v>
      </c>
      <c r="N921" s="6" t="s">
        <v>20</v>
      </c>
      <c r="O921" s="6" t="s">
        <v>20</v>
      </c>
      <c r="P921" s="6" t="s">
        <v>20</v>
      </c>
      <c r="Q921" s="6">
        <v>0.14000000000000001</v>
      </c>
      <c r="R921" s="6">
        <v>4.7E-2</v>
      </c>
      <c r="S921" s="6">
        <v>0.16</v>
      </c>
      <c r="T921" s="8">
        <v>5</v>
      </c>
      <c r="U921" s="5" t="s">
        <v>994</v>
      </c>
      <c r="V921" s="89">
        <v>0</v>
      </c>
      <c r="W921" s="15">
        <v>17897801315040</v>
      </c>
      <c r="X921" s="6">
        <v>0.34499999999999997</v>
      </c>
      <c r="Y921" s="6">
        <v>0.255</v>
      </c>
      <c r="Z921" s="6">
        <v>0.375</v>
      </c>
      <c r="AA921" s="6">
        <f t="shared" si="49"/>
        <v>3.2990624999999996E-2</v>
      </c>
      <c r="AB921" s="8">
        <v>120</v>
      </c>
      <c r="AC921" s="15">
        <v>27897801315047</v>
      </c>
      <c r="AD921" s="4" t="s">
        <v>992</v>
      </c>
    </row>
    <row r="922" spans="2:30" x14ac:dyDescent="0.35">
      <c r="B922" s="14">
        <v>1582</v>
      </c>
      <c r="C922" s="67" t="s">
        <v>842</v>
      </c>
      <c r="D922" s="4" t="s">
        <v>2373</v>
      </c>
      <c r="E922" s="24" t="s">
        <v>2912</v>
      </c>
      <c r="F922" s="4" t="s">
        <v>85</v>
      </c>
      <c r="G922" s="4" t="s">
        <v>993</v>
      </c>
      <c r="H922" s="6">
        <v>0.19259999999999999</v>
      </c>
      <c r="I922" s="8">
        <v>65</v>
      </c>
      <c r="J922" s="8">
        <v>57</v>
      </c>
      <c r="K922" s="8">
        <v>92</v>
      </c>
      <c r="L922" s="8">
        <f t="shared" si="48"/>
        <v>340860</v>
      </c>
      <c r="M922" s="15">
        <v>7897801315050</v>
      </c>
      <c r="N922" s="6" t="s">
        <v>20</v>
      </c>
      <c r="O922" s="6" t="s">
        <v>20</v>
      </c>
      <c r="P922" s="6" t="s">
        <v>20</v>
      </c>
      <c r="Q922" s="6">
        <v>0.17</v>
      </c>
      <c r="R922" s="6">
        <v>5.7000000000000002E-2</v>
      </c>
      <c r="S922" s="6">
        <v>0.15</v>
      </c>
      <c r="T922" s="8">
        <v>5</v>
      </c>
      <c r="U922" s="5" t="s">
        <v>994</v>
      </c>
      <c r="V922" s="89">
        <v>0</v>
      </c>
      <c r="W922" s="15">
        <v>17897801315057</v>
      </c>
      <c r="X922" s="6">
        <v>0.34499999999999997</v>
      </c>
      <c r="Y922" s="6">
        <v>0.255</v>
      </c>
      <c r="Z922" s="6">
        <v>0.375</v>
      </c>
      <c r="AA922" s="6">
        <f t="shared" si="49"/>
        <v>3.2990624999999996E-2</v>
      </c>
      <c r="AB922" s="8">
        <v>85</v>
      </c>
      <c r="AC922" s="15">
        <v>27897801315054</v>
      </c>
      <c r="AD922" s="4" t="s">
        <v>992</v>
      </c>
    </row>
    <row r="923" spans="2:30" x14ac:dyDescent="0.35">
      <c r="B923" s="14">
        <v>1583</v>
      </c>
      <c r="C923" s="67" t="s">
        <v>843</v>
      </c>
      <c r="D923" s="4" t="s">
        <v>2373</v>
      </c>
      <c r="E923" s="24" t="s">
        <v>2912</v>
      </c>
      <c r="F923" s="4" t="s">
        <v>85</v>
      </c>
      <c r="G923" s="4" t="s">
        <v>993</v>
      </c>
      <c r="H923" s="6">
        <v>1.34E-2</v>
      </c>
      <c r="I923" s="8">
        <v>28</v>
      </c>
      <c r="J923" s="8">
        <v>39</v>
      </c>
      <c r="K923" s="8">
        <v>43</v>
      </c>
      <c r="L923" s="8">
        <f t="shared" si="48"/>
        <v>46956</v>
      </c>
      <c r="M923" s="15">
        <v>7897801315067</v>
      </c>
      <c r="N923" s="6" t="s">
        <v>20</v>
      </c>
      <c r="O923" s="6" t="s">
        <v>20</v>
      </c>
      <c r="P923" s="6" t="s">
        <v>20</v>
      </c>
      <c r="Q923" s="6">
        <v>0.12</v>
      </c>
      <c r="R923" s="6">
        <v>3.9E-2</v>
      </c>
      <c r="S923" s="6">
        <v>0.15</v>
      </c>
      <c r="T923" s="8">
        <v>10</v>
      </c>
      <c r="U923" s="5" t="s">
        <v>994</v>
      </c>
      <c r="V923" s="89">
        <v>0</v>
      </c>
      <c r="W923" s="15">
        <v>17897801315064</v>
      </c>
      <c r="X923" s="6">
        <v>0.34499999999999997</v>
      </c>
      <c r="Y923" s="6">
        <v>0.255</v>
      </c>
      <c r="Z923" s="6">
        <v>0.375</v>
      </c>
      <c r="AA923" s="6">
        <f t="shared" si="49"/>
        <v>3.2990624999999996E-2</v>
      </c>
      <c r="AB923" s="8">
        <v>540</v>
      </c>
      <c r="AC923" s="15">
        <v>27897801315061</v>
      </c>
      <c r="AD923" s="4" t="s">
        <v>992</v>
      </c>
    </row>
    <row r="924" spans="2:30" x14ac:dyDescent="0.35">
      <c r="B924" s="14">
        <v>1584</v>
      </c>
      <c r="C924" s="67" t="s">
        <v>844</v>
      </c>
      <c r="D924" s="4" t="s">
        <v>2373</v>
      </c>
      <c r="E924" s="24" t="s">
        <v>2912</v>
      </c>
      <c r="F924" s="4" t="s">
        <v>85</v>
      </c>
      <c r="G924" s="4" t="s">
        <v>993</v>
      </c>
      <c r="H924" s="6">
        <v>2.3599999999999999E-2</v>
      </c>
      <c r="I924" s="8">
        <v>46</v>
      </c>
      <c r="J924" s="8">
        <v>52</v>
      </c>
      <c r="K924" s="8">
        <v>34</v>
      </c>
      <c r="L924" s="8">
        <f t="shared" si="48"/>
        <v>81328</v>
      </c>
      <c r="M924" s="15">
        <v>7897801315074</v>
      </c>
      <c r="N924" s="6" t="s">
        <v>20</v>
      </c>
      <c r="O924" s="6" t="s">
        <v>20</v>
      </c>
      <c r="P924" s="6" t="s">
        <v>20</v>
      </c>
      <c r="Q924" s="6">
        <v>0.14000000000000001</v>
      </c>
      <c r="R924" s="6">
        <v>4.4999999999999998E-2</v>
      </c>
      <c r="S924" s="6">
        <v>0.16</v>
      </c>
      <c r="T924" s="8">
        <v>10</v>
      </c>
      <c r="U924" s="5" t="s">
        <v>994</v>
      </c>
      <c r="V924" s="89">
        <v>0</v>
      </c>
      <c r="W924" s="15">
        <v>17897801315071</v>
      </c>
      <c r="X924" s="6">
        <v>0.34499999999999997</v>
      </c>
      <c r="Y924" s="6">
        <v>0.255</v>
      </c>
      <c r="Z924" s="6">
        <v>0.375</v>
      </c>
      <c r="AA924" s="6">
        <f t="shared" si="49"/>
        <v>3.2990624999999996E-2</v>
      </c>
      <c r="AB924" s="8">
        <v>350</v>
      </c>
      <c r="AC924" s="15">
        <v>27897801315078</v>
      </c>
      <c r="AD924" s="4" t="s">
        <v>992</v>
      </c>
    </row>
    <row r="925" spans="2:30" x14ac:dyDescent="0.35">
      <c r="B925" s="14">
        <v>1585</v>
      </c>
      <c r="C925" s="67" t="s">
        <v>845</v>
      </c>
      <c r="D925" s="4" t="s">
        <v>2373</v>
      </c>
      <c r="E925" s="24" t="s">
        <v>2912</v>
      </c>
      <c r="F925" s="4" t="s">
        <v>85</v>
      </c>
      <c r="G925" s="4" t="s">
        <v>993</v>
      </c>
      <c r="H925" s="6">
        <v>4.7300000000000002E-2</v>
      </c>
      <c r="I925" s="8">
        <v>40</v>
      </c>
      <c r="J925" s="8">
        <v>55</v>
      </c>
      <c r="K925" s="8">
        <v>63</v>
      </c>
      <c r="L925" s="8">
        <f t="shared" si="48"/>
        <v>138600</v>
      </c>
      <c r="M925" s="15">
        <v>7897801315081</v>
      </c>
      <c r="N925" s="6" t="s">
        <v>20</v>
      </c>
      <c r="O925" s="6" t="s">
        <v>20</v>
      </c>
      <c r="P925" s="6" t="s">
        <v>20</v>
      </c>
      <c r="Q925" s="6">
        <v>0.16</v>
      </c>
      <c r="R925" s="6">
        <v>4.4999999999999998E-2</v>
      </c>
      <c r="S925" s="6">
        <v>0.2</v>
      </c>
      <c r="T925" s="8">
        <v>10</v>
      </c>
      <c r="U925" s="5" t="s">
        <v>994</v>
      </c>
      <c r="V925" s="89">
        <v>0</v>
      </c>
      <c r="W925" s="15">
        <v>17897801315088</v>
      </c>
      <c r="X925" s="6">
        <v>0.34499999999999997</v>
      </c>
      <c r="Y925" s="6">
        <v>0.255</v>
      </c>
      <c r="Z925" s="6">
        <v>0.375</v>
      </c>
      <c r="AA925" s="6">
        <f t="shared" si="49"/>
        <v>3.2990624999999996E-2</v>
      </c>
      <c r="AB925" s="8">
        <v>160</v>
      </c>
      <c r="AC925" s="15">
        <v>27897801315085</v>
      </c>
      <c r="AD925" s="4" t="s">
        <v>992</v>
      </c>
    </row>
    <row r="926" spans="2:30" x14ac:dyDescent="0.35">
      <c r="B926" s="14">
        <v>1586</v>
      </c>
      <c r="C926" s="67" t="s">
        <v>846</v>
      </c>
      <c r="D926" s="4" t="s">
        <v>2373</v>
      </c>
      <c r="E926" s="24" t="s">
        <v>2912</v>
      </c>
      <c r="F926" s="4" t="s">
        <v>85</v>
      </c>
      <c r="G926" s="4" t="s">
        <v>993</v>
      </c>
      <c r="H926" s="6">
        <v>1.18E-2</v>
      </c>
      <c r="I926" s="8">
        <v>38</v>
      </c>
      <c r="J926" s="8">
        <v>33</v>
      </c>
      <c r="K926" s="8">
        <v>33</v>
      </c>
      <c r="L926" s="8">
        <f t="shared" si="48"/>
        <v>41382</v>
      </c>
      <c r="M926" s="15">
        <v>7897801315098</v>
      </c>
      <c r="N926" s="6" t="s">
        <v>20</v>
      </c>
      <c r="O926" s="6" t="s">
        <v>20</v>
      </c>
      <c r="P926" s="6" t="s">
        <v>20</v>
      </c>
      <c r="Q926" s="6">
        <v>0.11</v>
      </c>
      <c r="R926" s="6">
        <v>3.3000000000000002E-2</v>
      </c>
      <c r="S926" s="6">
        <v>0.14000000000000001</v>
      </c>
      <c r="T926" s="8">
        <v>10</v>
      </c>
      <c r="U926" s="5" t="s">
        <v>994</v>
      </c>
      <c r="V926" s="89">
        <v>0</v>
      </c>
      <c r="W926" s="15">
        <v>17897801315095</v>
      </c>
      <c r="X926" s="6">
        <v>0.34499999999999997</v>
      </c>
      <c r="Y926" s="6">
        <v>0.255</v>
      </c>
      <c r="Z926" s="6">
        <v>0.375</v>
      </c>
      <c r="AA926" s="6">
        <f t="shared" si="49"/>
        <v>3.2990624999999996E-2</v>
      </c>
      <c r="AB926" s="8">
        <v>600</v>
      </c>
      <c r="AC926" s="15">
        <v>27897801315092</v>
      </c>
      <c r="AD926" s="4" t="s">
        <v>992</v>
      </c>
    </row>
    <row r="927" spans="2:30" x14ac:dyDescent="0.35">
      <c r="B927" s="14">
        <v>1587</v>
      </c>
      <c r="C927" s="67" t="s">
        <v>847</v>
      </c>
      <c r="D927" s="4" t="s">
        <v>2373</v>
      </c>
      <c r="E927" s="24" t="s">
        <v>2912</v>
      </c>
      <c r="F927" s="4" t="s">
        <v>85</v>
      </c>
      <c r="G927" s="4" t="s">
        <v>993</v>
      </c>
      <c r="H927" s="6">
        <v>1.9300000000000001E-2</v>
      </c>
      <c r="I927" s="8">
        <v>40</v>
      </c>
      <c r="J927" s="8">
        <v>43</v>
      </c>
      <c r="K927" s="8">
        <v>43</v>
      </c>
      <c r="L927" s="8">
        <f t="shared" si="48"/>
        <v>73960</v>
      </c>
      <c r="M927" s="15">
        <v>7897801315104</v>
      </c>
      <c r="N927" s="6" t="s">
        <v>20</v>
      </c>
      <c r="O927" s="6" t="s">
        <v>20</v>
      </c>
      <c r="P927" s="6" t="s">
        <v>20</v>
      </c>
      <c r="Q927" s="6">
        <v>0.125</v>
      </c>
      <c r="R927" s="6">
        <v>4.4999999999999998E-2</v>
      </c>
      <c r="S927" s="6">
        <v>0.125</v>
      </c>
      <c r="T927" s="8">
        <v>10</v>
      </c>
      <c r="U927" s="5" t="s">
        <v>994</v>
      </c>
      <c r="V927" s="89">
        <v>0</v>
      </c>
      <c r="W927" s="15">
        <v>17897801315101</v>
      </c>
      <c r="X927" s="6">
        <v>0.34499999999999997</v>
      </c>
      <c r="Y927" s="6">
        <v>0.255</v>
      </c>
      <c r="Z927" s="6">
        <v>0.375</v>
      </c>
      <c r="AA927" s="6">
        <f t="shared" si="49"/>
        <v>3.2990624999999996E-2</v>
      </c>
      <c r="AB927" s="8">
        <v>390</v>
      </c>
      <c r="AC927" s="15">
        <v>27897801315108</v>
      </c>
      <c r="AD927" s="4" t="s">
        <v>992</v>
      </c>
    </row>
    <row r="928" spans="2:30" x14ac:dyDescent="0.35">
      <c r="B928" s="14">
        <v>1588</v>
      </c>
      <c r="C928" s="67" t="s">
        <v>848</v>
      </c>
      <c r="D928" s="4" t="s">
        <v>2373</v>
      </c>
      <c r="E928" s="24" t="s">
        <v>2912</v>
      </c>
      <c r="F928" s="4" t="s">
        <v>85</v>
      </c>
      <c r="G928" s="4" t="s">
        <v>993</v>
      </c>
      <c r="H928" s="6">
        <v>2.06E-2</v>
      </c>
      <c r="I928" s="8">
        <v>41</v>
      </c>
      <c r="J928" s="8">
        <v>43</v>
      </c>
      <c r="K928" s="8">
        <v>43</v>
      </c>
      <c r="L928" s="8">
        <f t="shared" ref="L928:L949" si="50">J928*I928*K928</f>
        <v>75809</v>
      </c>
      <c r="M928" s="15">
        <v>7897801315111</v>
      </c>
      <c r="N928" s="6" t="s">
        <v>20</v>
      </c>
      <c r="O928" s="6" t="s">
        <v>20</v>
      </c>
      <c r="P928" s="6" t="s">
        <v>20</v>
      </c>
      <c r="Q928" s="6">
        <v>0.13</v>
      </c>
      <c r="R928" s="6">
        <v>4.2000000000000003E-2</v>
      </c>
      <c r="S928" s="6">
        <v>0.15</v>
      </c>
      <c r="T928" s="8">
        <v>10</v>
      </c>
      <c r="U928" s="5" t="s">
        <v>994</v>
      </c>
      <c r="V928" s="89">
        <v>0</v>
      </c>
      <c r="W928" s="15">
        <v>17897801315118</v>
      </c>
      <c r="X928" s="6">
        <v>0.34499999999999997</v>
      </c>
      <c r="Y928" s="6">
        <v>0.255</v>
      </c>
      <c r="Z928" s="6">
        <v>0.375</v>
      </c>
      <c r="AA928" s="6">
        <f t="shared" ref="AA928:AA949" si="51">Y928*X928*Z928</f>
        <v>3.2990624999999996E-2</v>
      </c>
      <c r="AB928" s="8">
        <v>390</v>
      </c>
      <c r="AC928" s="15">
        <v>27897801315115</v>
      </c>
      <c r="AD928" s="4" t="s">
        <v>992</v>
      </c>
    </row>
    <row r="929" spans="2:30" x14ac:dyDescent="0.35">
      <c r="B929" s="14">
        <v>1589</v>
      </c>
      <c r="C929" s="67" t="s">
        <v>849</v>
      </c>
      <c r="D929" s="4" t="s">
        <v>2373</v>
      </c>
      <c r="E929" s="24" t="s">
        <v>2912</v>
      </c>
      <c r="F929" s="4" t="s">
        <v>85</v>
      </c>
      <c r="G929" s="4" t="s">
        <v>993</v>
      </c>
      <c r="H929" s="6">
        <v>8.6999999999999994E-3</v>
      </c>
      <c r="I929" s="8">
        <v>35</v>
      </c>
      <c r="J929" s="8">
        <v>27</v>
      </c>
      <c r="K929" s="8">
        <v>27</v>
      </c>
      <c r="L929" s="8">
        <f t="shared" si="50"/>
        <v>25515</v>
      </c>
      <c r="M929" s="15">
        <v>7897801315128</v>
      </c>
      <c r="N929" s="6" t="s">
        <v>20</v>
      </c>
      <c r="O929" s="6" t="s">
        <v>20</v>
      </c>
      <c r="P929" s="6" t="s">
        <v>20</v>
      </c>
      <c r="Q929" s="6">
        <v>0.11</v>
      </c>
      <c r="R929" s="6">
        <v>3.5000000000000003E-2</v>
      </c>
      <c r="S929" s="6">
        <v>0.11</v>
      </c>
      <c r="T929" s="8">
        <v>10</v>
      </c>
      <c r="U929" s="5" t="s">
        <v>994</v>
      </c>
      <c r="V929" s="89">
        <v>0</v>
      </c>
      <c r="W929" s="15">
        <v>17897801315125</v>
      </c>
      <c r="X929" s="6">
        <v>0.34499999999999997</v>
      </c>
      <c r="Y929" s="6">
        <v>0.255</v>
      </c>
      <c r="Z929" s="6">
        <v>0.375</v>
      </c>
      <c r="AA929" s="6">
        <f t="shared" si="51"/>
        <v>3.2990624999999996E-2</v>
      </c>
      <c r="AB929" s="8">
        <v>800</v>
      </c>
      <c r="AC929" s="15">
        <v>27897801315122</v>
      </c>
      <c r="AD929" s="4" t="s">
        <v>992</v>
      </c>
    </row>
    <row r="930" spans="2:30" x14ac:dyDescent="0.35">
      <c r="B930" s="14">
        <v>1590</v>
      </c>
      <c r="C930" s="67" t="s">
        <v>850</v>
      </c>
      <c r="D930" s="4" t="s">
        <v>2373</v>
      </c>
      <c r="E930" s="24" t="s">
        <v>2912</v>
      </c>
      <c r="F930" s="4" t="s">
        <v>85</v>
      </c>
      <c r="G930" s="4" t="s">
        <v>993</v>
      </c>
      <c r="H930" s="6">
        <v>1.37E-2</v>
      </c>
      <c r="I930" s="8">
        <v>33</v>
      </c>
      <c r="J930" s="8">
        <v>33</v>
      </c>
      <c r="K930" s="8">
        <v>37</v>
      </c>
      <c r="L930" s="8">
        <f t="shared" si="50"/>
        <v>40293</v>
      </c>
      <c r="M930" s="15">
        <v>7897801315135</v>
      </c>
      <c r="N930" s="6" t="s">
        <v>20</v>
      </c>
      <c r="O930" s="6" t="s">
        <v>20</v>
      </c>
      <c r="P930" s="6" t="s">
        <v>20</v>
      </c>
      <c r="Q930" s="6">
        <v>0.17</v>
      </c>
      <c r="R930" s="6">
        <v>3.3000000000000002E-2</v>
      </c>
      <c r="S930" s="6">
        <v>0.18</v>
      </c>
      <c r="T930" s="8">
        <v>10</v>
      </c>
      <c r="U930" s="5" t="s">
        <v>994</v>
      </c>
      <c r="V930" s="89">
        <v>0</v>
      </c>
      <c r="W930" s="15">
        <v>17897801315132</v>
      </c>
      <c r="X930" s="6">
        <v>0.34499999999999997</v>
      </c>
      <c r="Y930" s="6">
        <v>0.255</v>
      </c>
      <c r="Z930" s="6">
        <v>0.375</v>
      </c>
      <c r="AA930" s="6">
        <f t="shared" si="51"/>
        <v>3.2990624999999996E-2</v>
      </c>
      <c r="AB930" s="8">
        <v>480</v>
      </c>
      <c r="AC930" s="15">
        <v>27897801315139</v>
      </c>
      <c r="AD930" s="4" t="s">
        <v>992</v>
      </c>
    </row>
    <row r="931" spans="2:30" x14ac:dyDescent="0.35">
      <c r="B931" s="14">
        <v>1591</v>
      </c>
      <c r="C931" s="67" t="s">
        <v>851</v>
      </c>
      <c r="D931" s="4" t="s">
        <v>2373</v>
      </c>
      <c r="E931" s="24" t="s">
        <v>2912</v>
      </c>
      <c r="F931" s="4" t="s">
        <v>85</v>
      </c>
      <c r="G931" s="4" t="s">
        <v>993</v>
      </c>
      <c r="H931" s="6">
        <v>2.4500000000000001E-2</v>
      </c>
      <c r="I931" s="8">
        <v>42</v>
      </c>
      <c r="J931" s="8">
        <v>45</v>
      </c>
      <c r="K931" s="8">
        <v>45</v>
      </c>
      <c r="L931" s="8">
        <f t="shared" si="50"/>
        <v>85050</v>
      </c>
      <c r="M931" s="15">
        <v>7897801315142</v>
      </c>
      <c r="N931" s="6" t="s">
        <v>20</v>
      </c>
      <c r="O931" s="6" t="s">
        <v>20</v>
      </c>
      <c r="P931" s="6" t="s">
        <v>20</v>
      </c>
      <c r="Q931" s="6">
        <v>0.13</v>
      </c>
      <c r="R931" s="6">
        <v>4.4999999999999998E-2</v>
      </c>
      <c r="S931" s="6">
        <v>0.18</v>
      </c>
      <c r="T931" s="8">
        <v>10</v>
      </c>
      <c r="U931" s="5" t="s">
        <v>994</v>
      </c>
      <c r="V931" s="89">
        <v>0</v>
      </c>
      <c r="W931" s="15">
        <v>17897801315149</v>
      </c>
      <c r="X931" s="6">
        <v>0.34499999999999997</v>
      </c>
      <c r="Y931" s="6">
        <v>0.255</v>
      </c>
      <c r="Z931" s="6">
        <v>0.375</v>
      </c>
      <c r="AA931" s="6">
        <f t="shared" si="51"/>
        <v>3.2990624999999996E-2</v>
      </c>
      <c r="AB931" s="8">
        <v>270</v>
      </c>
      <c r="AC931" s="15">
        <v>27897801315146</v>
      </c>
      <c r="AD931" s="4" t="s">
        <v>992</v>
      </c>
    </row>
    <row r="932" spans="2:30" x14ac:dyDescent="0.35">
      <c r="B932" s="14">
        <v>1592</v>
      </c>
      <c r="C932" s="67" t="s">
        <v>852</v>
      </c>
      <c r="D932" s="4" t="s">
        <v>2373</v>
      </c>
      <c r="E932" s="24" t="s">
        <v>2912</v>
      </c>
      <c r="F932" s="4" t="s">
        <v>85</v>
      </c>
      <c r="G932" s="4" t="s">
        <v>993</v>
      </c>
      <c r="H932" s="6">
        <v>4.2900000000000001E-2</v>
      </c>
      <c r="I932" s="8">
        <v>53</v>
      </c>
      <c r="J932" s="8">
        <v>53</v>
      </c>
      <c r="K932" s="8">
        <v>46</v>
      </c>
      <c r="L932" s="8">
        <f t="shared" si="50"/>
        <v>129214</v>
      </c>
      <c r="M932" s="15">
        <v>7897801315159</v>
      </c>
      <c r="N932" s="6" t="s">
        <v>20</v>
      </c>
      <c r="O932" s="6" t="s">
        <v>20</v>
      </c>
      <c r="P932" s="6" t="s">
        <v>20</v>
      </c>
      <c r="Q932" s="6">
        <v>0.1</v>
      </c>
      <c r="R932" s="6">
        <v>5.2999999999999999E-2</v>
      </c>
      <c r="S932" s="6">
        <v>0.16</v>
      </c>
      <c r="T932" s="8">
        <v>5</v>
      </c>
      <c r="U932" s="5" t="s">
        <v>994</v>
      </c>
      <c r="V932" s="89">
        <v>0</v>
      </c>
      <c r="W932" s="15">
        <v>17897801315156</v>
      </c>
      <c r="X932" s="6">
        <v>0.34499999999999997</v>
      </c>
      <c r="Y932" s="6">
        <v>0.255</v>
      </c>
      <c r="Z932" s="6">
        <v>0.375</v>
      </c>
      <c r="AA932" s="6">
        <f t="shared" si="51"/>
        <v>3.2990624999999996E-2</v>
      </c>
      <c r="AB932" s="8">
        <v>170</v>
      </c>
      <c r="AC932" s="15">
        <v>27897801315153</v>
      </c>
      <c r="AD932" s="4" t="s">
        <v>992</v>
      </c>
    </row>
    <row r="933" spans="2:30" x14ac:dyDescent="0.35">
      <c r="B933" s="14">
        <v>1593</v>
      </c>
      <c r="C933" s="67" t="s">
        <v>853</v>
      </c>
      <c r="D933" s="4" t="s">
        <v>2373</v>
      </c>
      <c r="E933" s="24" t="s">
        <v>2912</v>
      </c>
      <c r="F933" s="4" t="s">
        <v>85</v>
      </c>
      <c r="G933" s="4" t="s">
        <v>993</v>
      </c>
      <c r="H933" s="6">
        <v>7.2400000000000006E-2</v>
      </c>
      <c r="I933" s="8">
        <v>53</v>
      </c>
      <c r="J933" s="8">
        <v>68</v>
      </c>
      <c r="K933" s="8">
        <v>68</v>
      </c>
      <c r="L933" s="8">
        <f t="shared" si="50"/>
        <v>245072</v>
      </c>
      <c r="M933" s="15">
        <v>7897801315166</v>
      </c>
      <c r="N933" s="6" t="s">
        <v>20</v>
      </c>
      <c r="O933" s="6" t="s">
        <v>20</v>
      </c>
      <c r="P933" s="6" t="s">
        <v>20</v>
      </c>
      <c r="Q933" s="6">
        <v>7.0000000000000007E-2</v>
      </c>
      <c r="R933" s="6">
        <v>5.5E-2</v>
      </c>
      <c r="S933" s="6">
        <v>0.14000000000000001</v>
      </c>
      <c r="T933" s="8">
        <v>2</v>
      </c>
      <c r="U933" s="5" t="s">
        <v>994</v>
      </c>
      <c r="V933" s="89">
        <v>0</v>
      </c>
      <c r="W933" s="15">
        <v>17897801315163</v>
      </c>
      <c r="X933" s="6">
        <v>0.34499999999999997</v>
      </c>
      <c r="Y933" s="6">
        <v>0.255</v>
      </c>
      <c r="Z933" s="6">
        <v>0.375</v>
      </c>
      <c r="AA933" s="6">
        <f t="shared" si="51"/>
        <v>3.2990624999999996E-2</v>
      </c>
      <c r="AB933" s="8">
        <v>110</v>
      </c>
      <c r="AC933" s="15">
        <v>27897801315160</v>
      </c>
      <c r="AD933" s="4" t="s">
        <v>992</v>
      </c>
    </row>
    <row r="934" spans="2:30" x14ac:dyDescent="0.35">
      <c r="B934" s="14">
        <v>1594</v>
      </c>
      <c r="C934" s="67" t="s">
        <v>854</v>
      </c>
      <c r="D934" s="4" t="s">
        <v>2373</v>
      </c>
      <c r="E934" s="24" t="s">
        <v>2912</v>
      </c>
      <c r="F934" s="4" t="s">
        <v>85</v>
      </c>
      <c r="G934" s="4" t="s">
        <v>993</v>
      </c>
      <c r="H934" s="6">
        <v>0.1341</v>
      </c>
      <c r="I934" s="8">
        <v>60</v>
      </c>
      <c r="J934" s="8">
        <v>85</v>
      </c>
      <c r="K934" s="8">
        <v>85</v>
      </c>
      <c r="L934" s="8">
        <f t="shared" si="50"/>
        <v>433500</v>
      </c>
      <c r="M934" s="15">
        <v>7897801315173</v>
      </c>
      <c r="N934" s="6" t="s">
        <v>20</v>
      </c>
      <c r="O934" s="6" t="s">
        <v>20</v>
      </c>
      <c r="P934" s="6" t="s">
        <v>20</v>
      </c>
      <c r="Q934" s="6">
        <v>8.5000000000000006E-2</v>
      </c>
      <c r="R934" s="6">
        <v>0.06</v>
      </c>
      <c r="S934" s="6">
        <v>8.5000000000000006E-2</v>
      </c>
      <c r="T934" s="8">
        <v>1</v>
      </c>
      <c r="U934" s="5" t="s">
        <v>994</v>
      </c>
      <c r="V934" s="89">
        <v>0</v>
      </c>
      <c r="W934" s="15">
        <v>17897801315170</v>
      </c>
      <c r="X934" s="6">
        <v>0.34499999999999997</v>
      </c>
      <c r="Y934" s="6">
        <v>0.255</v>
      </c>
      <c r="Z934" s="6">
        <v>0.375</v>
      </c>
      <c r="AA934" s="6">
        <f t="shared" si="51"/>
        <v>3.2990624999999996E-2</v>
      </c>
      <c r="AB934" s="8">
        <v>60</v>
      </c>
      <c r="AC934" s="15">
        <v>27897801315177</v>
      </c>
      <c r="AD934" s="4" t="s">
        <v>992</v>
      </c>
    </row>
    <row r="935" spans="2:30" x14ac:dyDescent="0.35">
      <c r="B935" s="14">
        <v>1595</v>
      </c>
      <c r="C935" s="4" t="s">
        <v>855</v>
      </c>
      <c r="D935" s="4" t="s">
        <v>2373</v>
      </c>
      <c r="E935" s="24" t="s">
        <v>2912</v>
      </c>
      <c r="F935" s="4" t="s">
        <v>85</v>
      </c>
      <c r="G935" s="4" t="s">
        <v>993</v>
      </c>
      <c r="H935" s="6">
        <v>0.20799999999999999</v>
      </c>
      <c r="I935" s="8">
        <v>68</v>
      </c>
      <c r="J935" s="8">
        <v>99</v>
      </c>
      <c r="K935" s="8">
        <v>99</v>
      </c>
      <c r="L935" s="8">
        <f t="shared" si="50"/>
        <v>666468</v>
      </c>
      <c r="M935" s="15">
        <v>7897801315180</v>
      </c>
      <c r="N935" s="6" t="s">
        <v>20</v>
      </c>
      <c r="O935" s="6" t="s">
        <v>20</v>
      </c>
      <c r="P935" s="6" t="s">
        <v>20</v>
      </c>
      <c r="Q935" s="6">
        <v>0.1</v>
      </c>
      <c r="R935" s="6">
        <v>7.0000000000000007E-2</v>
      </c>
      <c r="S935" s="6">
        <v>0.1</v>
      </c>
      <c r="T935" s="8">
        <v>1</v>
      </c>
      <c r="U935" s="5" t="s">
        <v>994</v>
      </c>
      <c r="V935" s="89">
        <v>0</v>
      </c>
      <c r="W935" s="15">
        <v>17897801315187</v>
      </c>
      <c r="X935" s="6">
        <v>0.34499999999999997</v>
      </c>
      <c r="Y935" s="6">
        <v>0.255</v>
      </c>
      <c r="Z935" s="6">
        <v>0.375</v>
      </c>
      <c r="AA935" s="6">
        <f t="shared" si="51"/>
        <v>3.2990624999999996E-2</v>
      </c>
      <c r="AB935" s="8">
        <v>34</v>
      </c>
      <c r="AC935" s="15">
        <v>27897801315184</v>
      </c>
      <c r="AD935" s="4" t="s">
        <v>992</v>
      </c>
    </row>
    <row r="936" spans="2:30" x14ac:dyDescent="0.35">
      <c r="B936" s="14">
        <v>1596</v>
      </c>
      <c r="C936" s="4" t="s">
        <v>856</v>
      </c>
      <c r="D936" s="4" t="s">
        <v>2373</v>
      </c>
      <c r="E936" s="24" t="s">
        <v>2912</v>
      </c>
      <c r="F936" s="4" t="s">
        <v>85</v>
      </c>
      <c r="G936" s="4" t="s">
        <v>993</v>
      </c>
      <c r="H936" s="6">
        <v>0.33689999999999998</v>
      </c>
      <c r="I936" s="8">
        <v>78</v>
      </c>
      <c r="J936" s="8">
        <v>120</v>
      </c>
      <c r="K936" s="8">
        <v>120</v>
      </c>
      <c r="L936" s="8">
        <f t="shared" si="50"/>
        <v>1123200</v>
      </c>
      <c r="M936" s="15">
        <v>7897801315197</v>
      </c>
      <c r="N936" s="6" t="s">
        <v>20</v>
      </c>
      <c r="O936" s="6" t="s">
        <v>20</v>
      </c>
      <c r="P936" s="6" t="s">
        <v>20</v>
      </c>
      <c r="Q936" s="6">
        <v>0.12</v>
      </c>
      <c r="R936" s="6">
        <v>7.6999999999999999E-2</v>
      </c>
      <c r="S936" s="6">
        <v>0.12</v>
      </c>
      <c r="T936" s="8">
        <v>1</v>
      </c>
      <c r="U936" s="5" t="s">
        <v>994</v>
      </c>
      <c r="V936" s="89">
        <v>0</v>
      </c>
      <c r="W936" s="15">
        <v>17897801315194</v>
      </c>
      <c r="X936" s="6">
        <v>0.34499999999999997</v>
      </c>
      <c r="Y936" s="6">
        <v>0.255</v>
      </c>
      <c r="Z936" s="6">
        <v>0.375</v>
      </c>
      <c r="AA936" s="6">
        <f t="shared" si="51"/>
        <v>3.2990624999999996E-2</v>
      </c>
      <c r="AB936" s="8">
        <v>25</v>
      </c>
      <c r="AC936" s="15">
        <v>27897801315191</v>
      </c>
      <c r="AD936" s="4" t="s">
        <v>992</v>
      </c>
    </row>
    <row r="937" spans="2:30" x14ac:dyDescent="0.35">
      <c r="B937" s="14">
        <v>1597</v>
      </c>
      <c r="C937" s="4" t="s">
        <v>857</v>
      </c>
      <c r="D937" s="4" t="s">
        <v>2373</v>
      </c>
      <c r="E937" s="24" t="s">
        <v>2912</v>
      </c>
      <c r="F937" s="4" t="s">
        <v>85</v>
      </c>
      <c r="G937" s="4" t="s">
        <v>993</v>
      </c>
      <c r="H937" s="6">
        <v>0.59760000000000002</v>
      </c>
      <c r="I937" s="8">
        <v>37</v>
      </c>
      <c r="J937" s="8">
        <v>25</v>
      </c>
      <c r="K937" s="8">
        <v>34</v>
      </c>
      <c r="L937" s="8">
        <f t="shared" si="50"/>
        <v>31450</v>
      </c>
      <c r="M937" s="15">
        <v>7897801315203</v>
      </c>
      <c r="N937" s="6" t="s">
        <v>20</v>
      </c>
      <c r="O937" s="6" t="s">
        <v>20</v>
      </c>
      <c r="P937" s="6" t="s">
        <v>20</v>
      </c>
      <c r="Q937" s="6">
        <v>0</v>
      </c>
      <c r="R937" s="6">
        <v>0</v>
      </c>
      <c r="S937" s="6">
        <v>0</v>
      </c>
      <c r="T937" s="8">
        <v>1</v>
      </c>
      <c r="U937" s="5" t="s">
        <v>994</v>
      </c>
      <c r="V937" s="89">
        <v>0</v>
      </c>
      <c r="W937" s="15">
        <v>17897801315200</v>
      </c>
      <c r="X937" s="6">
        <v>0.34</v>
      </c>
      <c r="Y937" s="6">
        <v>0.25</v>
      </c>
      <c r="Z937" s="6">
        <v>0.37</v>
      </c>
      <c r="AA937" s="6">
        <f t="shared" si="51"/>
        <v>3.1449999999999999E-2</v>
      </c>
      <c r="AB937" s="8">
        <v>11</v>
      </c>
      <c r="AC937" s="15">
        <v>27897801315207</v>
      </c>
      <c r="AD937" s="4" t="s">
        <v>992</v>
      </c>
    </row>
    <row r="938" spans="2:30" x14ac:dyDescent="0.35">
      <c r="B938" s="14">
        <v>1598</v>
      </c>
      <c r="C938" s="4" t="s">
        <v>858</v>
      </c>
      <c r="D938" s="4" t="s">
        <v>2373</v>
      </c>
      <c r="E938" s="24" t="s">
        <v>2912</v>
      </c>
      <c r="F938" s="4" t="s">
        <v>85</v>
      </c>
      <c r="G938" s="4" t="s">
        <v>993</v>
      </c>
      <c r="H938" s="6">
        <v>3.15E-2</v>
      </c>
      <c r="I938" s="8">
        <v>30</v>
      </c>
      <c r="J938" s="8">
        <v>71</v>
      </c>
      <c r="K938" s="8">
        <v>109</v>
      </c>
      <c r="L938" s="8">
        <f t="shared" si="50"/>
        <v>232170</v>
      </c>
      <c r="M938" s="15">
        <v>7897801315210</v>
      </c>
      <c r="N938" s="6" t="s">
        <v>20</v>
      </c>
      <c r="O938" s="6" t="s">
        <v>20</v>
      </c>
      <c r="P938" s="6" t="s">
        <v>20</v>
      </c>
      <c r="Q938" s="6">
        <v>0.16</v>
      </c>
      <c r="R938" s="6">
        <v>7.0000000000000007E-2</v>
      </c>
      <c r="S938" s="6">
        <v>0.2</v>
      </c>
      <c r="T938" s="8">
        <v>10</v>
      </c>
      <c r="U938" s="5" t="s">
        <v>994</v>
      </c>
      <c r="V938" s="89">
        <v>0</v>
      </c>
      <c r="W938" s="15">
        <v>17897801315217</v>
      </c>
      <c r="X938" s="6">
        <v>0.34499999999999997</v>
      </c>
      <c r="Y938" s="6">
        <v>0.255</v>
      </c>
      <c r="Z938" s="6">
        <v>0.375</v>
      </c>
      <c r="AA938" s="6">
        <f t="shared" si="51"/>
        <v>3.2990624999999996E-2</v>
      </c>
      <c r="AB938" s="8">
        <v>80</v>
      </c>
      <c r="AC938" s="15">
        <v>27897801315214</v>
      </c>
      <c r="AD938" s="4" t="s">
        <v>992</v>
      </c>
    </row>
    <row r="939" spans="2:30" x14ac:dyDescent="0.35">
      <c r="B939" s="14">
        <v>1599</v>
      </c>
      <c r="C939" s="4" t="s">
        <v>859</v>
      </c>
      <c r="D939" s="4" t="s">
        <v>2373</v>
      </c>
      <c r="E939" s="24" t="s">
        <v>2912</v>
      </c>
      <c r="F939" s="4" t="s">
        <v>85</v>
      </c>
      <c r="G939" s="4" t="s">
        <v>993</v>
      </c>
      <c r="H939" s="6">
        <v>4.4600000000000001E-2</v>
      </c>
      <c r="I939" s="8">
        <v>36</v>
      </c>
      <c r="J939" s="8">
        <v>73</v>
      </c>
      <c r="K939" s="8">
        <v>107</v>
      </c>
      <c r="L939" s="8">
        <f t="shared" si="50"/>
        <v>281196</v>
      </c>
      <c r="M939" s="15">
        <v>7897801315227</v>
      </c>
      <c r="N939" s="6" t="s">
        <v>20</v>
      </c>
      <c r="O939" s="6" t="s">
        <v>20</v>
      </c>
      <c r="P939" s="6" t="s">
        <v>20</v>
      </c>
      <c r="Q939" s="6">
        <v>0.2</v>
      </c>
      <c r="R939" s="6">
        <v>0.05</v>
      </c>
      <c r="S939" s="6">
        <v>0.315</v>
      </c>
      <c r="T939" s="8">
        <v>10</v>
      </c>
      <c r="U939" s="5" t="s">
        <v>994</v>
      </c>
      <c r="V939" s="89">
        <v>0</v>
      </c>
      <c r="W939" s="15">
        <v>17897801315224</v>
      </c>
      <c r="X939" s="6">
        <v>0.34499999999999997</v>
      </c>
      <c r="Y939" s="6">
        <v>0.255</v>
      </c>
      <c r="Z939" s="6">
        <v>0.375</v>
      </c>
      <c r="AA939" s="6">
        <f t="shared" si="51"/>
        <v>3.2990624999999996E-2</v>
      </c>
      <c r="AB939" s="8">
        <v>80</v>
      </c>
      <c r="AC939" s="15">
        <v>27897801315221</v>
      </c>
      <c r="AD939" s="4" t="s">
        <v>992</v>
      </c>
    </row>
    <row r="940" spans="2:30" x14ac:dyDescent="0.35">
      <c r="B940" s="14">
        <v>1607</v>
      </c>
      <c r="C940" s="4" t="s">
        <v>861</v>
      </c>
      <c r="D940" s="4" t="s">
        <v>2376</v>
      </c>
      <c r="E940" s="4" t="s">
        <v>2911</v>
      </c>
      <c r="F940" s="4" t="s">
        <v>85</v>
      </c>
      <c r="G940" s="4" t="s">
        <v>993</v>
      </c>
      <c r="H940" s="6">
        <v>1.5299999999999999E-2</v>
      </c>
      <c r="I940" s="8">
        <v>36</v>
      </c>
      <c r="J940" s="8">
        <v>30</v>
      </c>
      <c r="K940" s="8">
        <v>36</v>
      </c>
      <c r="L940" s="8">
        <f t="shared" si="50"/>
        <v>38880</v>
      </c>
      <c r="M940" s="15">
        <v>7897801321297</v>
      </c>
      <c r="N940" s="6" t="s">
        <v>20</v>
      </c>
      <c r="O940" s="6" t="s">
        <v>20</v>
      </c>
      <c r="P940" s="6" t="s">
        <v>20</v>
      </c>
      <c r="Q940" s="6">
        <v>0.16</v>
      </c>
      <c r="R940" s="6">
        <v>3.5000000000000003E-2</v>
      </c>
      <c r="S940" s="6">
        <v>0.2</v>
      </c>
      <c r="T940" s="8">
        <v>24</v>
      </c>
      <c r="U940" s="5" t="s">
        <v>994</v>
      </c>
      <c r="V940" s="89">
        <v>0</v>
      </c>
      <c r="W940" s="15">
        <v>17897801321294</v>
      </c>
      <c r="X940" s="6">
        <v>0.5</v>
      </c>
      <c r="Y940" s="6">
        <v>0.18</v>
      </c>
      <c r="Z940" s="6">
        <v>0.7</v>
      </c>
      <c r="AA940" s="6">
        <f t="shared" si="51"/>
        <v>6.3E-2</v>
      </c>
      <c r="AB940" s="8">
        <v>1320</v>
      </c>
      <c r="AC940" s="15">
        <v>27897801321291</v>
      </c>
      <c r="AD940" s="4" t="s">
        <v>992</v>
      </c>
    </row>
    <row r="941" spans="2:30" x14ac:dyDescent="0.35">
      <c r="B941" s="14">
        <v>1608</v>
      </c>
      <c r="C941" s="4" t="s">
        <v>862</v>
      </c>
      <c r="D941" s="4" t="s">
        <v>2376</v>
      </c>
      <c r="E941" s="4" t="s">
        <v>2911</v>
      </c>
      <c r="F941" s="4" t="s">
        <v>85</v>
      </c>
      <c r="G941" s="4" t="s">
        <v>993</v>
      </c>
      <c r="H941" s="6">
        <v>2.5899999999999999E-2</v>
      </c>
      <c r="I941" s="8">
        <v>30</v>
      </c>
      <c r="J941" s="8">
        <v>50</v>
      </c>
      <c r="K941" s="8">
        <v>40</v>
      </c>
      <c r="L941" s="8">
        <f t="shared" si="50"/>
        <v>60000</v>
      </c>
      <c r="M941" s="15">
        <v>7897801321303</v>
      </c>
      <c r="N941" s="6" t="s">
        <v>20</v>
      </c>
      <c r="O941" s="6" t="s">
        <v>20</v>
      </c>
      <c r="P941" s="6" t="s">
        <v>20</v>
      </c>
      <c r="Q941" s="6">
        <v>0.15</v>
      </c>
      <c r="R941" s="6">
        <v>0.06</v>
      </c>
      <c r="S941" s="6">
        <v>0.2</v>
      </c>
      <c r="T941" s="8">
        <v>16</v>
      </c>
      <c r="U941" s="5" t="s">
        <v>994</v>
      </c>
      <c r="V941" s="89">
        <v>0</v>
      </c>
      <c r="W941" s="15">
        <v>17897801321300</v>
      </c>
      <c r="X941" s="6">
        <v>0.56000000000000005</v>
      </c>
      <c r="Y941" s="6">
        <v>0.215</v>
      </c>
      <c r="Z941" s="6">
        <v>0.65</v>
      </c>
      <c r="AA941" s="6">
        <f t="shared" si="51"/>
        <v>7.826000000000001E-2</v>
      </c>
      <c r="AB941" s="8">
        <v>720</v>
      </c>
      <c r="AC941" s="15">
        <v>27897801321307</v>
      </c>
      <c r="AD941" s="4" t="s">
        <v>992</v>
      </c>
    </row>
    <row r="942" spans="2:30" x14ac:dyDescent="0.35">
      <c r="B942" s="14">
        <v>1609</v>
      </c>
      <c r="C942" s="4" t="s">
        <v>863</v>
      </c>
      <c r="D942" s="4" t="s">
        <v>2371</v>
      </c>
      <c r="E942" s="4" t="s">
        <v>2911</v>
      </c>
      <c r="F942" s="4" t="s">
        <v>85</v>
      </c>
      <c r="G942" s="4" t="s">
        <v>993</v>
      </c>
      <c r="H942" s="6">
        <v>7.9000000000000001E-2</v>
      </c>
      <c r="I942" s="8">
        <v>60</v>
      </c>
      <c r="J942" s="8">
        <v>65</v>
      </c>
      <c r="K942" s="8">
        <v>65</v>
      </c>
      <c r="L942" s="8">
        <f t="shared" si="50"/>
        <v>253500</v>
      </c>
      <c r="M942" s="15">
        <v>7897801303095</v>
      </c>
      <c r="N942" s="6" t="s">
        <v>20</v>
      </c>
      <c r="O942" s="6" t="s">
        <v>20</v>
      </c>
      <c r="P942" s="6" t="s">
        <v>20</v>
      </c>
      <c r="Q942" s="6">
        <v>0.185</v>
      </c>
      <c r="R942" s="6">
        <v>0.06</v>
      </c>
      <c r="S942" s="6">
        <v>0.27</v>
      </c>
      <c r="T942" s="8">
        <v>12</v>
      </c>
      <c r="U942" s="5" t="s">
        <v>994</v>
      </c>
      <c r="V942" s="89">
        <v>0</v>
      </c>
      <c r="W942" s="15">
        <v>17897801303092</v>
      </c>
      <c r="X942" s="6">
        <v>0.51</v>
      </c>
      <c r="Y942" s="6">
        <v>0.16</v>
      </c>
      <c r="Z942" s="6">
        <v>0.75</v>
      </c>
      <c r="AA942" s="6">
        <f t="shared" si="51"/>
        <v>6.1200000000000004E-2</v>
      </c>
      <c r="AB942" s="8">
        <v>240</v>
      </c>
      <c r="AC942" s="15">
        <v>27897801303099</v>
      </c>
      <c r="AD942" s="4" t="s">
        <v>992</v>
      </c>
    </row>
    <row r="943" spans="2:30" x14ac:dyDescent="0.35">
      <c r="B943" s="14">
        <v>1613</v>
      </c>
      <c r="C943" s="4" t="s">
        <v>864</v>
      </c>
      <c r="D943" s="4" t="s">
        <v>2371</v>
      </c>
      <c r="E943" s="4" t="s">
        <v>2911</v>
      </c>
      <c r="F943" s="4" t="s">
        <v>85</v>
      </c>
      <c r="G943" s="4" t="s">
        <v>993</v>
      </c>
      <c r="H943" s="6">
        <v>0.16930000000000001</v>
      </c>
      <c r="I943" s="8">
        <v>95</v>
      </c>
      <c r="J943" s="8">
        <v>70</v>
      </c>
      <c r="K943" s="8">
        <v>70</v>
      </c>
      <c r="L943" s="8">
        <f t="shared" si="50"/>
        <v>465500</v>
      </c>
      <c r="M943" s="15">
        <v>7897801303132</v>
      </c>
      <c r="N943" s="6" t="s">
        <v>20</v>
      </c>
      <c r="O943" s="6" t="s">
        <v>20</v>
      </c>
      <c r="P943" s="6" t="s">
        <v>20</v>
      </c>
      <c r="Q943" s="6">
        <v>0.19500000000000001</v>
      </c>
      <c r="R943" s="6">
        <v>7.0000000000000007E-2</v>
      </c>
      <c r="S943" s="6">
        <v>0.06</v>
      </c>
      <c r="T943" s="8">
        <v>6</v>
      </c>
      <c r="U943" s="5" t="s">
        <v>994</v>
      </c>
      <c r="V943" s="89">
        <v>0</v>
      </c>
      <c r="W943" s="15">
        <v>17897801303139</v>
      </c>
      <c r="X943" s="6">
        <v>0.64</v>
      </c>
      <c r="Y943" s="6">
        <v>0.21</v>
      </c>
      <c r="Z943" s="6">
        <v>0.84</v>
      </c>
      <c r="AA943" s="6">
        <f t="shared" si="51"/>
        <v>0.11289599999999998</v>
      </c>
      <c r="AB943" s="8">
        <v>120</v>
      </c>
      <c r="AC943" s="15">
        <v>27897801303136</v>
      </c>
      <c r="AD943" s="4" t="s">
        <v>992</v>
      </c>
    </row>
    <row r="944" spans="2:30" x14ac:dyDescent="0.35">
      <c r="B944" s="14">
        <v>1615</v>
      </c>
      <c r="C944" s="4" t="s">
        <v>865</v>
      </c>
      <c r="D944" s="4" t="s">
        <v>2376</v>
      </c>
      <c r="E944" s="4" t="s">
        <v>2911</v>
      </c>
      <c r="F944" s="4" t="s">
        <v>85</v>
      </c>
      <c r="G944" s="4" t="s">
        <v>993</v>
      </c>
      <c r="H944" s="6">
        <v>3.09E-2</v>
      </c>
      <c r="I944" s="8">
        <v>30</v>
      </c>
      <c r="J944" s="8">
        <v>30</v>
      </c>
      <c r="K944" s="8">
        <v>40</v>
      </c>
      <c r="L944" s="8">
        <f t="shared" si="50"/>
        <v>36000</v>
      </c>
      <c r="M944" s="15">
        <v>7897801321310</v>
      </c>
      <c r="N944" s="6" t="s">
        <v>20</v>
      </c>
      <c r="O944" s="6" t="s">
        <v>20</v>
      </c>
      <c r="P944" s="6" t="s">
        <v>20</v>
      </c>
      <c r="Q944" s="6">
        <v>0.15</v>
      </c>
      <c r="R944" s="6">
        <v>0.05</v>
      </c>
      <c r="S944" s="6">
        <v>0.2</v>
      </c>
      <c r="T944" s="8">
        <v>16</v>
      </c>
      <c r="U944" s="5" t="s">
        <v>994</v>
      </c>
      <c r="V944" s="89">
        <v>0</v>
      </c>
      <c r="W944" s="15">
        <v>17897801321317</v>
      </c>
      <c r="X944" s="6">
        <v>0.45</v>
      </c>
      <c r="Y944" s="6">
        <v>0.2</v>
      </c>
      <c r="Z944" s="6">
        <v>0.65</v>
      </c>
      <c r="AA944" s="6">
        <f t="shared" si="51"/>
        <v>5.850000000000001E-2</v>
      </c>
      <c r="AB944" s="8">
        <v>720</v>
      </c>
      <c r="AC944" s="15">
        <v>27897801321314</v>
      </c>
      <c r="AD944" s="4" t="s">
        <v>992</v>
      </c>
    </row>
    <row r="945" spans="2:30" x14ac:dyDescent="0.35">
      <c r="B945" s="14">
        <v>1616</v>
      </c>
      <c r="C945" s="4" t="s">
        <v>866</v>
      </c>
      <c r="D945" s="4" t="s">
        <v>2376</v>
      </c>
      <c r="E945" s="4" t="s">
        <v>2911</v>
      </c>
      <c r="F945" s="4" t="s">
        <v>85</v>
      </c>
      <c r="G945" s="4" t="s">
        <v>993</v>
      </c>
      <c r="H945" s="6">
        <v>4.0500000000000001E-2</v>
      </c>
      <c r="I945" s="8">
        <v>50</v>
      </c>
      <c r="J945" s="8">
        <v>30</v>
      </c>
      <c r="K945" s="8">
        <v>50</v>
      </c>
      <c r="L945" s="8">
        <f t="shared" si="50"/>
        <v>75000</v>
      </c>
      <c r="M945" s="15">
        <v>7897801321327</v>
      </c>
      <c r="N945" s="6" t="s">
        <v>20</v>
      </c>
      <c r="O945" s="6" t="s">
        <v>20</v>
      </c>
      <c r="P945" s="6" t="s">
        <v>20</v>
      </c>
      <c r="Q945" s="6">
        <v>0.15</v>
      </c>
      <c r="R945" s="6">
        <v>7.0000000000000007E-2</v>
      </c>
      <c r="S945" s="6">
        <v>0.18</v>
      </c>
      <c r="T945" s="8">
        <v>16</v>
      </c>
      <c r="U945" s="5" t="s">
        <v>994</v>
      </c>
      <c r="V945" s="89">
        <v>0</v>
      </c>
      <c r="W945" s="15">
        <v>17897801321324</v>
      </c>
      <c r="X945" s="6">
        <v>0.45</v>
      </c>
      <c r="Y945" s="6">
        <v>0.2</v>
      </c>
      <c r="Z945" s="6">
        <v>0.7</v>
      </c>
      <c r="AA945" s="6">
        <f t="shared" si="51"/>
        <v>6.3E-2</v>
      </c>
      <c r="AB945" s="8">
        <v>480</v>
      </c>
      <c r="AC945" s="15">
        <v>27897801321321</v>
      </c>
      <c r="AD945" s="4" t="s">
        <v>992</v>
      </c>
    </row>
    <row r="946" spans="2:30" x14ac:dyDescent="0.35">
      <c r="B946" s="14">
        <v>1617</v>
      </c>
      <c r="C946" s="4" t="s">
        <v>867</v>
      </c>
      <c r="D946" s="4" t="s">
        <v>2376</v>
      </c>
      <c r="E946" s="4" t="s">
        <v>2911</v>
      </c>
      <c r="F946" s="4" t="s">
        <v>85</v>
      </c>
      <c r="G946" s="4" t="s">
        <v>993</v>
      </c>
      <c r="H946" s="6">
        <v>3.5299999999999998E-2</v>
      </c>
      <c r="I946" s="8">
        <v>50</v>
      </c>
      <c r="J946" s="8">
        <v>31</v>
      </c>
      <c r="K946" s="8">
        <v>50</v>
      </c>
      <c r="L946" s="8">
        <f t="shared" si="50"/>
        <v>77500</v>
      </c>
      <c r="M946" s="15">
        <v>7897801321334</v>
      </c>
      <c r="N946" s="6" t="s">
        <v>20</v>
      </c>
      <c r="O946" s="6" t="s">
        <v>20</v>
      </c>
      <c r="P946" s="6" t="s">
        <v>20</v>
      </c>
      <c r="Q946" s="6">
        <v>0.25</v>
      </c>
      <c r="R946" s="6">
        <v>0.06</v>
      </c>
      <c r="S946" s="6">
        <v>0.27</v>
      </c>
      <c r="T946" s="8">
        <v>16</v>
      </c>
      <c r="U946" s="5" t="s">
        <v>994</v>
      </c>
      <c r="V946" s="89">
        <v>0</v>
      </c>
      <c r="W946" s="15">
        <v>17897801321331</v>
      </c>
      <c r="X946" s="6">
        <v>0.56999999999999995</v>
      </c>
      <c r="Y946" s="6">
        <v>0.2</v>
      </c>
      <c r="Z946" s="6">
        <v>0.84</v>
      </c>
      <c r="AA946" s="6">
        <f t="shared" si="51"/>
        <v>9.5759999999999984E-2</v>
      </c>
      <c r="AB946" s="8">
        <v>576</v>
      </c>
      <c r="AC946" s="15">
        <v>27897801321338</v>
      </c>
      <c r="AD946" s="4" t="s">
        <v>992</v>
      </c>
    </row>
    <row r="947" spans="2:30" x14ac:dyDescent="0.35">
      <c r="B947" s="73">
        <v>1660</v>
      </c>
      <c r="C947" s="4" t="s">
        <v>2967</v>
      </c>
      <c r="D947" s="4" t="s">
        <v>2968</v>
      </c>
      <c r="E947" s="4" t="s">
        <v>2915</v>
      </c>
      <c r="F947" s="4" t="s">
        <v>85</v>
      </c>
      <c r="G947" s="4" t="s">
        <v>993</v>
      </c>
      <c r="H947" s="6">
        <v>0.45195000000000002</v>
      </c>
      <c r="I947" s="8">
        <v>345</v>
      </c>
      <c r="J947" s="8">
        <v>295</v>
      </c>
      <c r="K947" s="8">
        <v>90</v>
      </c>
      <c r="L947" s="8">
        <v>9159750</v>
      </c>
      <c r="M947" s="15">
        <v>7897801325301</v>
      </c>
      <c r="N947" s="6" t="s">
        <v>20</v>
      </c>
      <c r="O947" s="6" t="s">
        <v>20</v>
      </c>
      <c r="P947" s="6" t="s">
        <v>20</v>
      </c>
      <c r="Q947" s="6">
        <v>0.46500000000000002</v>
      </c>
      <c r="R947" s="6">
        <v>0.29499999999999998</v>
      </c>
      <c r="S947" s="6">
        <v>0.69</v>
      </c>
      <c r="T947" s="8">
        <v>10</v>
      </c>
      <c r="U947" s="5" t="s">
        <v>2332</v>
      </c>
      <c r="V947" s="89">
        <v>0</v>
      </c>
      <c r="W947" s="15">
        <v>17897801325308</v>
      </c>
      <c r="X947" s="6" t="s">
        <v>20</v>
      </c>
      <c r="Y947" s="6" t="s">
        <v>20</v>
      </c>
      <c r="Z947" s="6" t="s">
        <v>20</v>
      </c>
      <c r="AA947" s="6" t="s">
        <v>20</v>
      </c>
      <c r="AB947" s="6" t="s">
        <v>20</v>
      </c>
      <c r="AC947" s="6" t="s">
        <v>20</v>
      </c>
      <c r="AD947" s="4" t="s">
        <v>992</v>
      </c>
    </row>
    <row r="948" spans="2:30" x14ac:dyDescent="0.35">
      <c r="B948" s="14">
        <v>1704</v>
      </c>
      <c r="C948" s="4" t="s">
        <v>877</v>
      </c>
      <c r="D948" s="4" t="s">
        <v>2376</v>
      </c>
      <c r="E948" s="4" t="s">
        <v>2911</v>
      </c>
      <c r="F948" s="4" t="s">
        <v>85</v>
      </c>
      <c r="G948" s="4" t="s">
        <v>993</v>
      </c>
      <c r="H948" s="6">
        <v>8.8999999999999996E-2</v>
      </c>
      <c r="I948" s="8">
        <v>82</v>
      </c>
      <c r="J948" s="8">
        <v>21</v>
      </c>
      <c r="K948" s="8">
        <v>62</v>
      </c>
      <c r="L948" s="8">
        <f t="shared" si="50"/>
        <v>106764</v>
      </c>
      <c r="M948" s="15">
        <v>7897801303453</v>
      </c>
      <c r="N948" s="6">
        <v>0.21</v>
      </c>
      <c r="O948" s="6">
        <v>0.82</v>
      </c>
      <c r="P948" s="6">
        <v>0.62</v>
      </c>
      <c r="Q948" s="6">
        <v>0.62</v>
      </c>
      <c r="R948" s="6">
        <v>0.21</v>
      </c>
      <c r="S948" s="6">
        <v>0.82</v>
      </c>
      <c r="T948" s="8">
        <v>10</v>
      </c>
      <c r="U948" s="5" t="s">
        <v>994</v>
      </c>
      <c r="V948" s="89">
        <v>0</v>
      </c>
      <c r="W948" s="15">
        <v>17897801303450</v>
      </c>
      <c r="X948" s="6">
        <v>0.62</v>
      </c>
      <c r="Y948" s="6">
        <v>0.21</v>
      </c>
      <c r="Z948" s="6">
        <v>0.82</v>
      </c>
      <c r="AA948" s="6">
        <f t="shared" si="51"/>
        <v>0.10676399999999998</v>
      </c>
      <c r="AB948" s="8">
        <v>200</v>
      </c>
      <c r="AC948" s="15">
        <v>27897801303457</v>
      </c>
      <c r="AD948" s="4" t="s">
        <v>992</v>
      </c>
    </row>
    <row r="949" spans="2:30" x14ac:dyDescent="0.35">
      <c r="B949" s="14">
        <v>1705</v>
      </c>
      <c r="C949" s="4" t="s">
        <v>878</v>
      </c>
      <c r="D949" s="4" t="s">
        <v>2371</v>
      </c>
      <c r="E949" s="4" t="s">
        <v>2911</v>
      </c>
      <c r="F949" s="4" t="s">
        <v>85</v>
      </c>
      <c r="G949" s="4" t="s">
        <v>993</v>
      </c>
      <c r="H949" s="6">
        <v>0.16039999999999999</v>
      </c>
      <c r="I949" s="8">
        <v>115</v>
      </c>
      <c r="J949" s="8">
        <v>65</v>
      </c>
      <c r="K949" s="8">
        <v>90</v>
      </c>
      <c r="L949" s="8">
        <f t="shared" si="50"/>
        <v>672750</v>
      </c>
      <c r="M949" s="15">
        <v>7897801303460</v>
      </c>
      <c r="N949" s="6" t="s">
        <v>20</v>
      </c>
      <c r="O949" s="6" t="s">
        <v>20</v>
      </c>
      <c r="P949" s="6" t="s">
        <v>20</v>
      </c>
      <c r="Q949" s="6">
        <v>0.27</v>
      </c>
      <c r="R949" s="6">
        <v>0.09</v>
      </c>
      <c r="S949" s="6">
        <v>0.48</v>
      </c>
      <c r="T949" s="8">
        <v>10</v>
      </c>
      <c r="U949" s="5" t="s">
        <v>994</v>
      </c>
      <c r="V949" s="89">
        <v>0</v>
      </c>
      <c r="W949" s="15">
        <v>17897801303467</v>
      </c>
      <c r="X949" s="6">
        <v>0.56999999999999995</v>
      </c>
      <c r="Y949" s="6">
        <v>0.24</v>
      </c>
      <c r="Z949" s="6">
        <v>0.83</v>
      </c>
      <c r="AA949" s="6">
        <f t="shared" si="51"/>
        <v>0.11354399999999998</v>
      </c>
      <c r="AB949" s="8">
        <v>100</v>
      </c>
      <c r="AC949" s="15">
        <v>27897801303464</v>
      </c>
      <c r="AD949" s="4" t="s">
        <v>992</v>
      </c>
    </row>
    <row r="950" spans="2:30" x14ac:dyDescent="0.35">
      <c r="B950" s="14">
        <v>1738</v>
      </c>
      <c r="C950" s="4" t="s">
        <v>880</v>
      </c>
      <c r="D950" s="4" t="s">
        <v>2382</v>
      </c>
      <c r="E950" s="4" t="s">
        <v>2911</v>
      </c>
      <c r="F950" s="4" t="s">
        <v>85</v>
      </c>
      <c r="G950" s="4" t="s">
        <v>993</v>
      </c>
      <c r="H950" s="6">
        <v>9.3700000000000006E-2</v>
      </c>
      <c r="I950" s="8">
        <v>60</v>
      </c>
      <c r="J950" s="8">
        <v>60</v>
      </c>
      <c r="K950" s="8">
        <v>60</v>
      </c>
      <c r="L950" s="8">
        <f t="shared" ref="L950:L966" si="52">J950*I950*K950</f>
        <v>216000</v>
      </c>
      <c r="M950" s="15">
        <v>7897801317283</v>
      </c>
      <c r="N950" s="6" t="s">
        <v>20</v>
      </c>
      <c r="O950" s="6" t="s">
        <v>20</v>
      </c>
      <c r="P950" s="6" t="s">
        <v>20</v>
      </c>
      <c r="Q950" s="6">
        <v>0.21</v>
      </c>
      <c r="R950" s="6">
        <v>0.06</v>
      </c>
      <c r="S950" s="6">
        <v>0.3</v>
      </c>
      <c r="T950" s="8">
        <v>10</v>
      </c>
      <c r="U950" s="5" t="s">
        <v>994</v>
      </c>
      <c r="V950" s="89">
        <v>0</v>
      </c>
      <c r="W950" s="15">
        <v>17897801317280</v>
      </c>
      <c r="X950" s="6">
        <v>0.49</v>
      </c>
      <c r="Y950" s="6">
        <v>0.22</v>
      </c>
      <c r="Z950" s="6">
        <v>0.69</v>
      </c>
      <c r="AA950" s="6">
        <f t="shared" ref="AA950:AA952" si="53">Y950*X950*Z950</f>
        <v>7.438199999999999E-2</v>
      </c>
      <c r="AB950" s="8">
        <v>200</v>
      </c>
      <c r="AC950" s="15">
        <v>27897801317287</v>
      </c>
      <c r="AD950" s="4" t="s">
        <v>992</v>
      </c>
    </row>
    <row r="951" spans="2:30" x14ac:dyDescent="0.35">
      <c r="B951" s="14">
        <v>1741</v>
      </c>
      <c r="C951" s="4" t="s">
        <v>881</v>
      </c>
      <c r="D951" s="4" t="s">
        <v>2383</v>
      </c>
      <c r="E951" s="4" t="s">
        <v>2911</v>
      </c>
      <c r="F951" s="4" t="s">
        <v>19</v>
      </c>
      <c r="G951" s="4" t="s">
        <v>990</v>
      </c>
      <c r="H951" s="6">
        <v>1.452</v>
      </c>
      <c r="I951" s="8">
        <v>21.2</v>
      </c>
      <c r="J951" s="8">
        <v>21.2</v>
      </c>
      <c r="K951" s="8">
        <v>6000</v>
      </c>
      <c r="L951" s="8">
        <f t="shared" si="52"/>
        <v>2696640</v>
      </c>
      <c r="M951" s="15">
        <v>7897801313377</v>
      </c>
      <c r="N951" s="6">
        <v>2.1299999999999999E-2</v>
      </c>
      <c r="O951" s="6">
        <v>6</v>
      </c>
      <c r="P951" s="6">
        <v>2.1299999999999999E-2</v>
      </c>
      <c r="Q951" s="6">
        <v>8.5000000000000006E-2</v>
      </c>
      <c r="R951" s="6">
        <v>0.06</v>
      </c>
      <c r="S951" s="6">
        <v>6.0010000000000003</v>
      </c>
      <c r="T951" s="8">
        <v>10</v>
      </c>
      <c r="U951" s="5" t="s">
        <v>991</v>
      </c>
      <c r="V951" s="89">
        <v>0</v>
      </c>
      <c r="W951" s="15">
        <v>17897801313374</v>
      </c>
      <c r="X951" s="6">
        <v>8.5000000000000006E-2</v>
      </c>
      <c r="Y951" s="6">
        <v>5.6000000000000001E-2</v>
      </c>
      <c r="Z951" s="6">
        <v>6</v>
      </c>
      <c r="AA951" s="6">
        <f t="shared" si="53"/>
        <v>2.8560000000000002E-2</v>
      </c>
      <c r="AB951" s="8">
        <v>0</v>
      </c>
      <c r="AC951" s="15">
        <v>27897801313371</v>
      </c>
      <c r="AD951" s="4" t="s">
        <v>992</v>
      </c>
    </row>
    <row r="952" spans="2:30" x14ac:dyDescent="0.35">
      <c r="B952" s="14">
        <v>1742</v>
      </c>
      <c r="C952" s="4" t="s">
        <v>882</v>
      </c>
      <c r="D952" s="4" t="s">
        <v>2383</v>
      </c>
      <c r="E952" s="4" t="s">
        <v>2911</v>
      </c>
      <c r="F952" s="4" t="s">
        <v>19</v>
      </c>
      <c r="G952" s="4" t="s">
        <v>990</v>
      </c>
      <c r="H952" s="6">
        <v>1.946</v>
      </c>
      <c r="I952" s="8">
        <v>6000</v>
      </c>
      <c r="J952" s="8">
        <v>26.8</v>
      </c>
      <c r="K952" s="8">
        <v>26.8</v>
      </c>
      <c r="L952" s="8">
        <f t="shared" si="52"/>
        <v>4309440</v>
      </c>
      <c r="M952" s="15">
        <v>7897801313384</v>
      </c>
      <c r="N952" s="6">
        <v>2.7E-2</v>
      </c>
      <c r="O952" s="6">
        <v>6</v>
      </c>
      <c r="P952" s="6">
        <v>2.7E-2</v>
      </c>
      <c r="Q952" s="6">
        <v>0.105</v>
      </c>
      <c r="R952" s="6">
        <v>7.4999999999999997E-2</v>
      </c>
      <c r="S952" s="6">
        <v>6</v>
      </c>
      <c r="T952" s="8">
        <v>10</v>
      </c>
      <c r="U952" s="5" t="s">
        <v>991</v>
      </c>
      <c r="V952" s="89">
        <v>0</v>
      </c>
      <c r="W952" s="15">
        <v>17897801313381</v>
      </c>
      <c r="X952" s="6">
        <v>0.11</v>
      </c>
      <c r="Y952" s="6">
        <v>7.4999999999999997E-2</v>
      </c>
      <c r="Z952" s="6">
        <v>6</v>
      </c>
      <c r="AA952" s="6">
        <f t="shared" si="53"/>
        <v>4.9500000000000002E-2</v>
      </c>
      <c r="AB952" s="8">
        <v>0</v>
      </c>
      <c r="AC952" s="15">
        <v>27897801313388</v>
      </c>
      <c r="AD952" s="4" t="s">
        <v>992</v>
      </c>
    </row>
    <row r="953" spans="2:30" x14ac:dyDescent="0.35">
      <c r="B953" s="14">
        <v>1754</v>
      </c>
      <c r="C953" s="4" t="s">
        <v>888</v>
      </c>
      <c r="D953" s="4" t="s">
        <v>2390</v>
      </c>
      <c r="E953" s="4" t="s">
        <v>2911</v>
      </c>
      <c r="F953" s="4" t="s">
        <v>19</v>
      </c>
      <c r="G953" s="4" t="s">
        <v>990</v>
      </c>
      <c r="H953" s="6">
        <v>54.112000000000002</v>
      </c>
      <c r="I953" s="8">
        <v>6000.01</v>
      </c>
      <c r="J953" s="8">
        <v>60.2</v>
      </c>
      <c r="K953" s="8">
        <v>60.2</v>
      </c>
      <c r="L953" s="8">
        <f t="shared" si="52"/>
        <v>21744276.240400001</v>
      </c>
      <c r="M953" s="15">
        <v>7897801313537</v>
      </c>
      <c r="N953" s="6">
        <v>6.0199999999999997E-2</v>
      </c>
      <c r="O953" s="6">
        <v>6.0010000000000003</v>
      </c>
      <c r="P953" s="6">
        <v>6.0199999999999997E-2</v>
      </c>
      <c r="Q953" s="6">
        <v>0.11169999999999999</v>
      </c>
      <c r="R953" s="6">
        <v>0.1207</v>
      </c>
      <c r="S953" s="6">
        <v>6.0019999999999998</v>
      </c>
      <c r="T953" s="8">
        <v>3</v>
      </c>
      <c r="U953" s="5" t="s">
        <v>991</v>
      </c>
      <c r="V953" s="89">
        <v>0</v>
      </c>
      <c r="W953" s="15">
        <v>17897801313534</v>
      </c>
      <c r="X953" s="6" t="s">
        <v>20</v>
      </c>
      <c r="Y953" s="6" t="s">
        <v>20</v>
      </c>
      <c r="Z953" s="6" t="s">
        <v>20</v>
      </c>
      <c r="AA953" s="6"/>
      <c r="AB953" s="8">
        <v>0</v>
      </c>
      <c r="AC953" s="15">
        <v>27897801313531</v>
      </c>
      <c r="AD953" s="4" t="s">
        <v>992</v>
      </c>
    </row>
    <row r="954" spans="2:30" x14ac:dyDescent="0.35">
      <c r="B954" s="14">
        <v>1758</v>
      </c>
      <c r="C954" s="4" t="s">
        <v>889</v>
      </c>
      <c r="D954" s="4" t="s">
        <v>2379</v>
      </c>
      <c r="E954" s="4" t="s">
        <v>2913</v>
      </c>
      <c r="F954" s="4" t="s">
        <v>19</v>
      </c>
      <c r="G954" s="4" t="s">
        <v>990</v>
      </c>
      <c r="H954" s="6">
        <v>1.415</v>
      </c>
      <c r="I954" s="8">
        <v>6000</v>
      </c>
      <c r="J954" s="8">
        <v>40</v>
      </c>
      <c r="K954" s="8">
        <v>40</v>
      </c>
      <c r="L954" s="8">
        <f t="shared" si="52"/>
        <v>9600000</v>
      </c>
      <c r="M954" s="15">
        <v>7897801313599</v>
      </c>
      <c r="N954" s="6">
        <v>4.02E-2</v>
      </c>
      <c r="O954" s="6">
        <v>6.0010000000000003</v>
      </c>
      <c r="P954" s="6">
        <v>4.02E-2</v>
      </c>
      <c r="Q954" s="6">
        <v>0.16220000000000001</v>
      </c>
      <c r="R954" s="6">
        <v>0.11131000000000001</v>
      </c>
      <c r="S954" s="6">
        <v>6.0019999999999998</v>
      </c>
      <c r="T954" s="8">
        <v>10</v>
      </c>
      <c r="U954" s="5" t="s">
        <v>991</v>
      </c>
      <c r="V954" s="89">
        <v>0</v>
      </c>
      <c r="W954" s="15">
        <v>17897801313596</v>
      </c>
      <c r="X954" s="6" t="s">
        <v>20</v>
      </c>
      <c r="Y954" s="6" t="s">
        <v>20</v>
      </c>
      <c r="Z954" s="6" t="s">
        <v>20</v>
      </c>
      <c r="AA954" s="6"/>
      <c r="AB954" s="8">
        <v>0</v>
      </c>
      <c r="AC954" s="15">
        <v>27897801313593</v>
      </c>
      <c r="AD954" s="4" t="s">
        <v>992</v>
      </c>
    </row>
    <row r="955" spans="2:30" x14ac:dyDescent="0.35">
      <c r="B955" s="14">
        <v>1770</v>
      </c>
      <c r="C955" s="4" t="s">
        <v>897</v>
      </c>
      <c r="D955" s="4" t="s">
        <v>2373</v>
      </c>
      <c r="E955" s="4" t="s">
        <v>2912</v>
      </c>
      <c r="F955" s="4" t="s">
        <v>85</v>
      </c>
      <c r="G955" s="4" t="s">
        <v>993</v>
      </c>
      <c r="H955" s="6">
        <v>0.1085</v>
      </c>
      <c r="I955" s="8">
        <v>36</v>
      </c>
      <c r="J955" s="8">
        <v>77</v>
      </c>
      <c r="K955" s="8">
        <v>127</v>
      </c>
      <c r="L955" s="8">
        <f t="shared" si="52"/>
        <v>352044</v>
      </c>
      <c r="M955" s="15">
        <v>7897801315234</v>
      </c>
      <c r="N955" s="6" t="s">
        <v>20</v>
      </c>
      <c r="O955" s="6" t="s">
        <v>20</v>
      </c>
      <c r="P955" s="6" t="s">
        <v>20</v>
      </c>
      <c r="Q955" s="6">
        <v>0.17</v>
      </c>
      <c r="R955" s="6">
        <v>0.08</v>
      </c>
      <c r="S955" s="6">
        <v>0.26</v>
      </c>
      <c r="T955" s="8">
        <v>10</v>
      </c>
      <c r="U955" s="5" t="s">
        <v>994</v>
      </c>
      <c r="V955" s="89">
        <v>0</v>
      </c>
      <c r="W955" s="15">
        <v>17897801315231</v>
      </c>
      <c r="X955" s="6">
        <v>0.34499999999999997</v>
      </c>
      <c r="Y955" s="6">
        <v>0.255</v>
      </c>
      <c r="Z955" s="6">
        <v>0.375</v>
      </c>
      <c r="AA955" s="6">
        <f t="shared" ref="AA955:AA978" si="54">Y955*X955*Z955</f>
        <v>3.2990624999999996E-2</v>
      </c>
      <c r="AB955" s="8">
        <v>80</v>
      </c>
      <c r="AC955" s="15">
        <v>27897801315238</v>
      </c>
      <c r="AD955" s="4" t="s">
        <v>992</v>
      </c>
    </row>
    <row r="956" spans="2:30" x14ac:dyDescent="0.35">
      <c r="B956" s="14">
        <v>1771</v>
      </c>
      <c r="C956" s="4" t="s">
        <v>898</v>
      </c>
      <c r="D956" s="4" t="s">
        <v>2373</v>
      </c>
      <c r="E956" s="4" t="s">
        <v>2912</v>
      </c>
      <c r="F956" s="4" t="s">
        <v>85</v>
      </c>
      <c r="G956" s="4" t="s">
        <v>993</v>
      </c>
      <c r="H956" s="6">
        <v>0.14910000000000001</v>
      </c>
      <c r="I956" s="8">
        <v>43</v>
      </c>
      <c r="J956" s="8">
        <v>80</v>
      </c>
      <c r="K956" s="8">
        <v>124</v>
      </c>
      <c r="L956" s="8">
        <f t="shared" si="52"/>
        <v>426560</v>
      </c>
      <c r="M956" s="15">
        <v>7897801315241</v>
      </c>
      <c r="N956" s="6" t="s">
        <v>20</v>
      </c>
      <c r="O956" s="6" t="s">
        <v>20</v>
      </c>
      <c r="P956" s="6" t="s">
        <v>20</v>
      </c>
      <c r="Q956" s="6">
        <v>0.155</v>
      </c>
      <c r="R956" s="6">
        <v>0.1</v>
      </c>
      <c r="S956" s="6">
        <v>0.28000000000000003</v>
      </c>
      <c r="T956" s="8">
        <v>10</v>
      </c>
      <c r="U956" s="5" t="s">
        <v>994</v>
      </c>
      <c r="V956" s="89">
        <v>0</v>
      </c>
      <c r="W956" s="15">
        <v>17897801315248</v>
      </c>
      <c r="X956" s="6">
        <v>0.34499999999999997</v>
      </c>
      <c r="Y956" s="6">
        <v>0.255</v>
      </c>
      <c r="Z956" s="6">
        <v>0.375</v>
      </c>
      <c r="AA956" s="6">
        <f t="shared" si="54"/>
        <v>3.2990624999999996E-2</v>
      </c>
      <c r="AB956" s="8">
        <v>80</v>
      </c>
      <c r="AC956" s="15">
        <v>27897801315245</v>
      </c>
      <c r="AD956" s="4" t="s">
        <v>992</v>
      </c>
    </row>
    <row r="957" spans="2:30" x14ac:dyDescent="0.35">
      <c r="B957" s="14">
        <v>1772</v>
      </c>
      <c r="C957" s="4" t="s">
        <v>899</v>
      </c>
      <c r="D957" s="4" t="s">
        <v>2373</v>
      </c>
      <c r="E957" s="4" t="s">
        <v>2912</v>
      </c>
      <c r="F957" s="4" t="s">
        <v>85</v>
      </c>
      <c r="G957" s="4" t="s">
        <v>993</v>
      </c>
      <c r="H957" s="6">
        <v>7.1999999999999998E-3</v>
      </c>
      <c r="I957" s="8">
        <v>25</v>
      </c>
      <c r="J957" s="8">
        <v>27</v>
      </c>
      <c r="K957" s="8">
        <v>27</v>
      </c>
      <c r="L957" s="8">
        <f t="shared" si="52"/>
        <v>18225</v>
      </c>
      <c r="M957" s="15">
        <v>7897801315258</v>
      </c>
      <c r="N957" s="6" t="s">
        <v>20</v>
      </c>
      <c r="O957" s="6" t="s">
        <v>20</v>
      </c>
      <c r="P957" s="6" t="s">
        <v>20</v>
      </c>
      <c r="Q957" s="6">
        <v>0.09</v>
      </c>
      <c r="R957" s="6">
        <v>2.7E-2</v>
      </c>
      <c r="S957" s="6">
        <v>0.09</v>
      </c>
      <c r="T957" s="8">
        <v>10</v>
      </c>
      <c r="U957" s="5" t="s">
        <v>994</v>
      </c>
      <c r="V957" s="89">
        <v>0</v>
      </c>
      <c r="W957" s="15">
        <v>17897801315255</v>
      </c>
      <c r="X957" s="6">
        <v>0.34499999999999997</v>
      </c>
      <c r="Y957" s="6">
        <v>0.255</v>
      </c>
      <c r="Z957" s="6">
        <v>0.375</v>
      </c>
      <c r="AA957" s="6">
        <f t="shared" si="54"/>
        <v>3.2990624999999996E-2</v>
      </c>
      <c r="AB957" s="8">
        <v>1300</v>
      </c>
      <c r="AC957" s="15">
        <v>27897801315252</v>
      </c>
      <c r="AD957" s="4" t="s">
        <v>992</v>
      </c>
    </row>
    <row r="958" spans="2:30" x14ac:dyDescent="0.35">
      <c r="B958" s="14">
        <v>1773</v>
      </c>
      <c r="C958" s="4" t="s">
        <v>900</v>
      </c>
      <c r="D958" s="4" t="s">
        <v>2373</v>
      </c>
      <c r="E958" s="4" t="s">
        <v>2912</v>
      </c>
      <c r="F958" s="4" t="s">
        <v>85</v>
      </c>
      <c r="G958" s="4" t="s">
        <v>993</v>
      </c>
      <c r="H958" s="6">
        <v>9.1000000000000004E-3</v>
      </c>
      <c r="I958" s="8">
        <v>30</v>
      </c>
      <c r="J958" s="8">
        <v>25</v>
      </c>
      <c r="K958" s="8">
        <v>25</v>
      </c>
      <c r="L958" s="8">
        <f t="shared" si="52"/>
        <v>18750</v>
      </c>
      <c r="M958" s="15">
        <v>7897801315265</v>
      </c>
      <c r="N958" s="6" t="s">
        <v>20</v>
      </c>
      <c r="O958" s="6" t="s">
        <v>20</v>
      </c>
      <c r="P958" s="6" t="s">
        <v>20</v>
      </c>
      <c r="Q958" s="6">
        <v>0.08</v>
      </c>
      <c r="R958" s="6">
        <v>0.03</v>
      </c>
      <c r="S958" s="6">
        <v>0.11</v>
      </c>
      <c r="T958" s="8">
        <v>10</v>
      </c>
      <c r="U958" s="5" t="s">
        <v>994</v>
      </c>
      <c r="V958" s="89">
        <v>0</v>
      </c>
      <c r="W958" s="15">
        <v>17897801315262</v>
      </c>
      <c r="X958" s="6">
        <v>0.34499999999999997</v>
      </c>
      <c r="Y958" s="6">
        <v>0.255</v>
      </c>
      <c r="Z958" s="6">
        <v>0.375</v>
      </c>
      <c r="AA958" s="6">
        <f t="shared" si="54"/>
        <v>3.2990624999999996E-2</v>
      </c>
      <c r="AB958" s="8">
        <v>1000</v>
      </c>
      <c r="AC958" s="15">
        <v>27897801315269</v>
      </c>
      <c r="AD958" s="4" t="s">
        <v>992</v>
      </c>
    </row>
    <row r="959" spans="2:30" x14ac:dyDescent="0.35">
      <c r="B959" s="14">
        <v>1776</v>
      </c>
      <c r="C959" s="4" t="s">
        <v>903</v>
      </c>
      <c r="D959" s="4" t="s">
        <v>2376</v>
      </c>
      <c r="E959" s="4" t="s">
        <v>2911</v>
      </c>
      <c r="F959" s="4" t="s">
        <v>85</v>
      </c>
      <c r="G959" s="4" t="s">
        <v>993</v>
      </c>
      <c r="H959" s="6">
        <v>0.26819999999999999</v>
      </c>
      <c r="I959" s="8">
        <v>99.5</v>
      </c>
      <c r="J959" s="8">
        <v>66</v>
      </c>
      <c r="K959" s="8">
        <v>96.5</v>
      </c>
      <c r="L959" s="8">
        <f t="shared" si="52"/>
        <v>633715.5</v>
      </c>
      <c r="M959" s="15">
        <v>7897801321037</v>
      </c>
      <c r="N959" s="6" t="s">
        <v>20</v>
      </c>
      <c r="O959" s="6" t="s">
        <v>20</v>
      </c>
      <c r="P959" s="6" t="s">
        <v>20</v>
      </c>
      <c r="Q959" s="6">
        <v>0.14000000000000001</v>
      </c>
      <c r="R959" s="6">
        <v>0.1</v>
      </c>
      <c r="S959" s="6">
        <v>0.21</v>
      </c>
      <c r="T959" s="8">
        <v>5</v>
      </c>
      <c r="U959" s="5" t="s">
        <v>994</v>
      </c>
      <c r="V959" s="89">
        <v>0</v>
      </c>
      <c r="W959" s="15">
        <v>17897801321034</v>
      </c>
      <c r="X959" s="6">
        <v>0.45</v>
      </c>
      <c r="Y959" s="6">
        <v>0.21</v>
      </c>
      <c r="Z959" s="6">
        <v>0.65</v>
      </c>
      <c r="AA959" s="6">
        <f t="shared" si="54"/>
        <v>6.1425E-2</v>
      </c>
      <c r="AB959" s="8">
        <v>100</v>
      </c>
      <c r="AC959" s="15">
        <v>27897801321031</v>
      </c>
      <c r="AD959" s="4" t="s">
        <v>992</v>
      </c>
    </row>
    <row r="960" spans="2:30" x14ac:dyDescent="0.35">
      <c r="B960" s="14">
        <v>1786</v>
      </c>
      <c r="C960" s="4" t="s">
        <v>905</v>
      </c>
      <c r="D960" s="4" t="s">
        <v>2373</v>
      </c>
      <c r="E960" s="4" t="s">
        <v>2912</v>
      </c>
      <c r="F960" s="4" t="s">
        <v>85</v>
      </c>
      <c r="G960" s="4" t="s">
        <v>993</v>
      </c>
      <c r="H960" s="6">
        <v>6.1999999999999998E-3</v>
      </c>
      <c r="I960" s="8">
        <v>102</v>
      </c>
      <c r="J960" s="8">
        <v>11</v>
      </c>
      <c r="K960" s="8">
        <v>11</v>
      </c>
      <c r="L960" s="8">
        <f t="shared" si="52"/>
        <v>12342</v>
      </c>
      <c r="M960" s="15">
        <v>7897801315395</v>
      </c>
      <c r="N960" s="6" t="s">
        <v>20</v>
      </c>
      <c r="O960" s="6" t="s">
        <v>20</v>
      </c>
      <c r="P960" s="6" t="s">
        <v>20</v>
      </c>
      <c r="Q960" s="6">
        <v>0.06</v>
      </c>
      <c r="R960" s="6">
        <v>2.5000000000000001E-2</v>
      </c>
      <c r="S960" s="6">
        <v>0.06</v>
      </c>
      <c r="T960" s="8">
        <v>10</v>
      </c>
      <c r="U960" s="5" t="s">
        <v>994</v>
      </c>
      <c r="V960" s="89">
        <v>0</v>
      </c>
      <c r="W960" s="15">
        <v>17897801315392</v>
      </c>
      <c r="X960" s="6">
        <v>0.255</v>
      </c>
      <c r="Y960" s="6">
        <v>0.245</v>
      </c>
      <c r="Z960" s="6">
        <v>0.33</v>
      </c>
      <c r="AA960" s="6">
        <f t="shared" si="54"/>
        <v>2.0616750000000003E-2</v>
      </c>
      <c r="AB960" s="8">
        <v>100</v>
      </c>
      <c r="AC960" s="15">
        <v>27897801315399</v>
      </c>
      <c r="AD960" s="4" t="s">
        <v>992</v>
      </c>
    </row>
    <row r="961" spans="2:30" x14ac:dyDescent="0.35">
      <c r="B961" s="14">
        <v>1787</v>
      </c>
      <c r="C961" s="4" t="s">
        <v>906</v>
      </c>
      <c r="D961" s="4" t="s">
        <v>2373</v>
      </c>
      <c r="E961" s="4" t="s">
        <v>2912</v>
      </c>
      <c r="F961" s="4" t="s">
        <v>85</v>
      </c>
      <c r="G961" s="4" t="s">
        <v>993</v>
      </c>
      <c r="H961" s="6">
        <v>5.6899999999999999E-2</v>
      </c>
      <c r="I961" s="8">
        <v>39</v>
      </c>
      <c r="J961" s="8">
        <v>50</v>
      </c>
      <c r="K961" s="8">
        <v>49</v>
      </c>
      <c r="L961" s="8">
        <f t="shared" si="52"/>
        <v>95550</v>
      </c>
      <c r="M961" s="15">
        <v>7897801315401</v>
      </c>
      <c r="N961" s="6" t="s">
        <v>20</v>
      </c>
      <c r="O961" s="6" t="s">
        <v>20</v>
      </c>
      <c r="P961" s="6" t="s">
        <v>20</v>
      </c>
      <c r="Q961" s="6">
        <v>0.14000000000000001</v>
      </c>
      <c r="R961" s="6">
        <v>4.9000000000000002E-2</v>
      </c>
      <c r="S961" s="6">
        <v>0.17</v>
      </c>
      <c r="T961" s="8">
        <v>10</v>
      </c>
      <c r="U961" s="5" t="s">
        <v>994</v>
      </c>
      <c r="V961" s="89">
        <v>0</v>
      </c>
      <c r="W961" s="15">
        <v>17897801315408</v>
      </c>
      <c r="X961" s="6">
        <v>0.34499999999999997</v>
      </c>
      <c r="Y961" s="6">
        <v>0.255</v>
      </c>
      <c r="Z961" s="6">
        <v>0.375</v>
      </c>
      <c r="AA961" s="6">
        <f t="shared" si="54"/>
        <v>3.2990624999999996E-2</v>
      </c>
      <c r="AB961" s="8">
        <v>280</v>
      </c>
      <c r="AC961" s="15">
        <v>27897801315405</v>
      </c>
      <c r="AD961" s="4" t="s">
        <v>992</v>
      </c>
    </row>
    <row r="962" spans="2:30" x14ac:dyDescent="0.35">
      <c r="B962" s="14">
        <v>1788</v>
      </c>
      <c r="C962" s="4" t="s">
        <v>907</v>
      </c>
      <c r="D962" s="4" t="s">
        <v>2373</v>
      </c>
      <c r="E962" s="4" t="s">
        <v>2912</v>
      </c>
      <c r="F962" s="4" t="s">
        <v>85</v>
      </c>
      <c r="G962" s="4" t="s">
        <v>993</v>
      </c>
      <c r="H962" s="6">
        <v>6.4500000000000002E-2</v>
      </c>
      <c r="I962" s="8">
        <v>39</v>
      </c>
      <c r="J962" s="8">
        <v>54</v>
      </c>
      <c r="K962" s="8">
        <v>54</v>
      </c>
      <c r="L962" s="8">
        <f t="shared" si="52"/>
        <v>113724</v>
      </c>
      <c r="M962" s="15">
        <v>7897801315418</v>
      </c>
      <c r="N962" s="6" t="s">
        <v>20</v>
      </c>
      <c r="O962" s="6" t="s">
        <v>20</v>
      </c>
      <c r="P962" s="6" t="s">
        <v>20</v>
      </c>
      <c r="Q962" s="6">
        <v>0.18</v>
      </c>
      <c r="R962" s="6">
        <v>3.9E-2</v>
      </c>
      <c r="S962" s="6">
        <v>0.19</v>
      </c>
      <c r="T962" s="8">
        <v>10</v>
      </c>
      <c r="U962" s="5" t="s">
        <v>994</v>
      </c>
      <c r="V962" s="89">
        <v>0</v>
      </c>
      <c r="W962" s="15">
        <v>17897801315415</v>
      </c>
      <c r="X962" s="6">
        <v>0.34499999999999997</v>
      </c>
      <c r="Y962" s="6">
        <v>0.255</v>
      </c>
      <c r="Z962" s="6">
        <v>0.375</v>
      </c>
      <c r="AA962" s="6">
        <f t="shared" si="54"/>
        <v>3.2990624999999996E-2</v>
      </c>
      <c r="AB962" s="8">
        <v>190</v>
      </c>
      <c r="AC962" s="15">
        <v>27897801315412</v>
      </c>
      <c r="AD962" s="4" t="s">
        <v>992</v>
      </c>
    </row>
    <row r="963" spans="2:30" x14ac:dyDescent="0.35">
      <c r="B963" s="14">
        <v>1789</v>
      </c>
      <c r="C963" s="4" t="s">
        <v>908</v>
      </c>
      <c r="D963" s="4" t="s">
        <v>2373</v>
      </c>
      <c r="E963" s="4" t="s">
        <v>2912</v>
      </c>
      <c r="F963" s="4" t="s">
        <v>85</v>
      </c>
      <c r="G963" s="4" t="s">
        <v>993</v>
      </c>
      <c r="H963" s="6">
        <v>8.48E-2</v>
      </c>
      <c r="I963" s="8">
        <v>46</v>
      </c>
      <c r="J963" s="8">
        <v>56</v>
      </c>
      <c r="K963" s="8">
        <v>59</v>
      </c>
      <c r="L963" s="8">
        <f t="shared" si="52"/>
        <v>151984</v>
      </c>
      <c r="M963" s="15">
        <v>7897801315425</v>
      </c>
      <c r="N963" s="6" t="s">
        <v>20</v>
      </c>
      <c r="O963" s="6" t="s">
        <v>20</v>
      </c>
      <c r="P963" s="6" t="s">
        <v>20</v>
      </c>
      <c r="Q963" s="6">
        <v>0.17</v>
      </c>
      <c r="R963" s="6">
        <v>5.8999999999999997E-2</v>
      </c>
      <c r="S963" s="6">
        <v>0.19</v>
      </c>
      <c r="T963" s="8">
        <v>10</v>
      </c>
      <c r="U963" s="5" t="s">
        <v>994</v>
      </c>
      <c r="V963" s="89">
        <v>0</v>
      </c>
      <c r="W963" s="15">
        <v>17897801315422</v>
      </c>
      <c r="X963" s="6">
        <v>0.34499999999999997</v>
      </c>
      <c r="Y963" s="6">
        <v>0.255</v>
      </c>
      <c r="Z963" s="6">
        <v>0.375</v>
      </c>
      <c r="AA963" s="6">
        <f t="shared" si="54"/>
        <v>3.2990624999999996E-2</v>
      </c>
      <c r="AB963" s="8">
        <v>160</v>
      </c>
      <c r="AC963" s="15">
        <v>27897801315429</v>
      </c>
      <c r="AD963" s="4" t="s">
        <v>992</v>
      </c>
    </row>
    <row r="964" spans="2:30" x14ac:dyDescent="0.35">
      <c r="B964" s="14">
        <v>1790</v>
      </c>
      <c r="C964" s="4" t="s">
        <v>909</v>
      </c>
      <c r="D964" s="4" t="s">
        <v>2373</v>
      </c>
      <c r="E964" s="4" t="s">
        <v>2912</v>
      </c>
      <c r="F964" s="4" t="s">
        <v>85</v>
      </c>
      <c r="G964" s="4" t="s">
        <v>993</v>
      </c>
      <c r="H964" s="6">
        <v>9.2299999999999993E-2</v>
      </c>
      <c r="I964" s="8">
        <v>45</v>
      </c>
      <c r="J964" s="8">
        <v>63</v>
      </c>
      <c r="K964" s="8">
        <v>65</v>
      </c>
      <c r="L964" s="8">
        <f t="shared" si="52"/>
        <v>184275</v>
      </c>
      <c r="M964" s="15">
        <v>7897801315432</v>
      </c>
      <c r="N964" s="6" t="s">
        <v>20</v>
      </c>
      <c r="O964" s="6" t="s">
        <v>20</v>
      </c>
      <c r="P964" s="6" t="s">
        <v>20</v>
      </c>
      <c r="Q964" s="6">
        <v>0.14499999999999999</v>
      </c>
      <c r="R964" s="6">
        <v>6.5000000000000002E-2</v>
      </c>
      <c r="S964" s="6">
        <v>0.18</v>
      </c>
      <c r="T964" s="8">
        <v>5</v>
      </c>
      <c r="U964" s="5" t="s">
        <v>994</v>
      </c>
      <c r="V964" s="89">
        <v>0</v>
      </c>
      <c r="W964" s="15">
        <v>17897801315439</v>
      </c>
      <c r="X964" s="6">
        <v>0.255</v>
      </c>
      <c r="Y964" s="6">
        <v>0.25</v>
      </c>
      <c r="Z964" s="6">
        <v>0.32500000000000001</v>
      </c>
      <c r="AA964" s="6">
        <f t="shared" si="54"/>
        <v>2.0718750000000001E-2</v>
      </c>
      <c r="AB964" s="8">
        <v>120</v>
      </c>
      <c r="AC964" s="15">
        <v>27897801315436</v>
      </c>
      <c r="AD964" s="4" t="s">
        <v>992</v>
      </c>
    </row>
    <row r="965" spans="2:30" x14ac:dyDescent="0.35">
      <c r="B965" s="14">
        <v>1791</v>
      </c>
      <c r="C965" s="4" t="s">
        <v>910</v>
      </c>
      <c r="D965" s="4" t="s">
        <v>2373</v>
      </c>
      <c r="E965" s="4" t="s">
        <v>2912</v>
      </c>
      <c r="F965" s="4" t="s">
        <v>85</v>
      </c>
      <c r="G965" s="4" t="s">
        <v>993</v>
      </c>
      <c r="H965" s="6">
        <v>0.104</v>
      </c>
      <c r="I965" s="8">
        <v>66</v>
      </c>
      <c r="J965" s="8">
        <v>46</v>
      </c>
      <c r="K965" s="8">
        <v>64</v>
      </c>
      <c r="L965" s="8">
        <f t="shared" si="52"/>
        <v>194304</v>
      </c>
      <c r="M965" s="15">
        <v>7897801315449</v>
      </c>
      <c r="N965" s="6" t="s">
        <v>20</v>
      </c>
      <c r="O965" s="6" t="s">
        <v>20</v>
      </c>
      <c r="P965" s="6" t="s">
        <v>20</v>
      </c>
      <c r="Q965" s="6">
        <v>0.16</v>
      </c>
      <c r="R965" s="6">
        <v>4.5999999999999999E-2</v>
      </c>
      <c r="S965" s="6">
        <v>0.16</v>
      </c>
      <c r="T965" s="8">
        <v>5</v>
      </c>
      <c r="U965" s="5" t="s">
        <v>994</v>
      </c>
      <c r="V965" s="89">
        <v>0</v>
      </c>
      <c r="W965" s="15">
        <v>17897801315446</v>
      </c>
      <c r="X965" s="6">
        <v>0.255</v>
      </c>
      <c r="Y965" s="6">
        <v>0.25</v>
      </c>
      <c r="Z965" s="6">
        <v>0.32500000000000001</v>
      </c>
      <c r="AA965" s="6">
        <f t="shared" si="54"/>
        <v>2.0718750000000001E-2</v>
      </c>
      <c r="AB965" s="8">
        <v>120</v>
      </c>
      <c r="AC965" s="15">
        <v>27897801315443</v>
      </c>
      <c r="AD965" s="4" t="s">
        <v>992</v>
      </c>
    </row>
    <row r="966" spans="2:30" x14ac:dyDescent="0.35">
      <c r="B966" s="14">
        <v>1792</v>
      </c>
      <c r="C966" s="4" t="s">
        <v>911</v>
      </c>
      <c r="D966" s="4" t="s">
        <v>2373</v>
      </c>
      <c r="E966" s="4" t="s">
        <v>2912</v>
      </c>
      <c r="F966" s="4" t="s">
        <v>85</v>
      </c>
      <c r="G966" s="4" t="s">
        <v>993</v>
      </c>
      <c r="H966" s="6">
        <v>0.17380000000000001</v>
      </c>
      <c r="I966" s="8">
        <v>57</v>
      </c>
      <c r="J966" s="8">
        <v>75</v>
      </c>
      <c r="K966" s="8">
        <v>74</v>
      </c>
      <c r="L966" s="8">
        <f t="shared" si="52"/>
        <v>316350</v>
      </c>
      <c r="M966" s="15">
        <v>7897801315456</v>
      </c>
      <c r="N966" s="6" t="s">
        <v>20</v>
      </c>
      <c r="O966" s="6" t="s">
        <v>20</v>
      </c>
      <c r="P966" s="6" t="s">
        <v>20</v>
      </c>
      <c r="Q966" s="6">
        <v>0.17</v>
      </c>
      <c r="R966" s="6">
        <v>0.06</v>
      </c>
      <c r="S966" s="6">
        <v>0.2</v>
      </c>
      <c r="T966" s="8">
        <v>5</v>
      </c>
      <c r="U966" s="5" t="s">
        <v>994</v>
      </c>
      <c r="V966" s="89">
        <v>0</v>
      </c>
      <c r="W966" s="15">
        <v>17897801315453</v>
      </c>
      <c r="X966" s="6">
        <v>0.255</v>
      </c>
      <c r="Y966" s="6">
        <v>0.25</v>
      </c>
      <c r="Z966" s="6">
        <v>0.32500000000000001</v>
      </c>
      <c r="AA966" s="6">
        <f t="shared" si="54"/>
        <v>2.0718750000000001E-2</v>
      </c>
      <c r="AB966" s="8">
        <v>80</v>
      </c>
      <c r="AC966" s="15">
        <v>27897801315450</v>
      </c>
      <c r="AD966" s="4" t="s">
        <v>992</v>
      </c>
    </row>
    <row r="967" spans="2:30" x14ac:dyDescent="0.35">
      <c r="B967" s="14">
        <v>1793</v>
      </c>
      <c r="C967" s="4" t="s">
        <v>912</v>
      </c>
      <c r="D967" s="4" t="s">
        <v>2373</v>
      </c>
      <c r="E967" s="4" t="s">
        <v>2912</v>
      </c>
      <c r="F967" s="4" t="s">
        <v>85</v>
      </c>
      <c r="G967" s="4" t="s">
        <v>993</v>
      </c>
      <c r="H967" s="6">
        <v>1.7999999999999999E-2</v>
      </c>
      <c r="I967" s="8">
        <v>28</v>
      </c>
      <c r="J967" s="8">
        <v>40</v>
      </c>
      <c r="K967" s="8">
        <v>53</v>
      </c>
      <c r="L967" s="8">
        <f t="shared" ref="L967:L998" si="55">J967*I967*K967</f>
        <v>59360</v>
      </c>
      <c r="M967" s="15">
        <v>7897801315463</v>
      </c>
      <c r="N967" s="6" t="s">
        <v>20</v>
      </c>
      <c r="O967" s="6" t="s">
        <v>20</v>
      </c>
      <c r="P967" s="6" t="s">
        <v>20</v>
      </c>
      <c r="Q967" s="6">
        <v>0.14000000000000001</v>
      </c>
      <c r="R967" s="6">
        <v>2.8000000000000001E-2</v>
      </c>
      <c r="S967" s="6">
        <v>0.16</v>
      </c>
      <c r="T967" s="8">
        <v>10</v>
      </c>
      <c r="U967" s="5" t="s">
        <v>994</v>
      </c>
      <c r="V967" s="89">
        <v>0</v>
      </c>
      <c r="W967" s="15">
        <v>17897801315460</v>
      </c>
      <c r="X967" s="6">
        <v>0.34499999999999997</v>
      </c>
      <c r="Y967" s="6">
        <v>0.255</v>
      </c>
      <c r="Z967" s="6">
        <v>0.375</v>
      </c>
      <c r="AA967" s="6">
        <f t="shared" si="54"/>
        <v>3.2990624999999996E-2</v>
      </c>
      <c r="AB967" s="8">
        <v>350</v>
      </c>
      <c r="AC967" s="15">
        <v>27897801315467</v>
      </c>
      <c r="AD967" s="4" t="s">
        <v>992</v>
      </c>
    </row>
    <row r="968" spans="2:30" x14ac:dyDescent="0.35">
      <c r="B968" s="14">
        <v>1794</v>
      </c>
      <c r="C968" s="4" t="s">
        <v>913</v>
      </c>
      <c r="D968" s="4" t="s">
        <v>2373</v>
      </c>
      <c r="E968" s="4" t="s">
        <v>2912</v>
      </c>
      <c r="F968" s="4" t="s">
        <v>85</v>
      </c>
      <c r="G968" s="4" t="s">
        <v>993</v>
      </c>
      <c r="H968" s="6">
        <v>2.81E-2</v>
      </c>
      <c r="I968" s="8">
        <v>35</v>
      </c>
      <c r="J968" s="8">
        <v>63</v>
      </c>
      <c r="K968" s="8">
        <v>49</v>
      </c>
      <c r="L968" s="8">
        <f t="shared" si="55"/>
        <v>108045</v>
      </c>
      <c r="M968" s="15">
        <v>7897801315470</v>
      </c>
      <c r="N968" s="6" t="s">
        <v>20</v>
      </c>
      <c r="O968" s="6" t="s">
        <v>20</v>
      </c>
      <c r="P968" s="6" t="s">
        <v>20</v>
      </c>
      <c r="Q968" s="6">
        <v>0.17</v>
      </c>
      <c r="R968" s="6">
        <v>4.4999999999999998E-2</v>
      </c>
      <c r="S968" s="6">
        <v>0.17499999999999999</v>
      </c>
      <c r="T968" s="8">
        <v>10</v>
      </c>
      <c r="U968" s="5" t="s">
        <v>994</v>
      </c>
      <c r="V968" s="89">
        <v>0</v>
      </c>
      <c r="W968" s="15">
        <v>17897801315477</v>
      </c>
      <c r="X968" s="6">
        <v>0.34499999999999997</v>
      </c>
      <c r="Y968" s="6">
        <v>0.255</v>
      </c>
      <c r="Z968" s="6">
        <v>0.375</v>
      </c>
      <c r="AA968" s="6">
        <f t="shared" si="54"/>
        <v>3.2990624999999996E-2</v>
      </c>
      <c r="AB968" s="8">
        <v>210</v>
      </c>
      <c r="AC968" s="15">
        <v>27897801315474</v>
      </c>
      <c r="AD968" s="4" t="s">
        <v>992</v>
      </c>
    </row>
    <row r="969" spans="2:30" x14ac:dyDescent="0.35">
      <c r="B969" s="14">
        <v>1795</v>
      </c>
      <c r="C969" s="4" t="s">
        <v>914</v>
      </c>
      <c r="D969" s="4" t="s">
        <v>2373</v>
      </c>
      <c r="E969" s="4" t="s">
        <v>2912</v>
      </c>
      <c r="F969" s="4" t="s">
        <v>85</v>
      </c>
      <c r="G969" s="4" t="s">
        <v>993</v>
      </c>
      <c r="H969" s="6">
        <v>5.4600000000000003E-2</v>
      </c>
      <c r="I969" s="8">
        <v>58</v>
      </c>
      <c r="J969" s="8">
        <v>44</v>
      </c>
      <c r="K969" s="8">
        <v>72</v>
      </c>
      <c r="L969" s="8">
        <f t="shared" si="55"/>
        <v>183744</v>
      </c>
      <c r="M969" s="15">
        <v>7897801315487</v>
      </c>
      <c r="N969" s="6" t="s">
        <v>20</v>
      </c>
      <c r="O969" s="6" t="s">
        <v>20</v>
      </c>
      <c r="P969" s="6" t="s">
        <v>20</v>
      </c>
      <c r="Q969" s="6">
        <v>0.2</v>
      </c>
      <c r="R969" s="6">
        <v>4.4999999999999998E-2</v>
      </c>
      <c r="S969" s="6">
        <v>0.24</v>
      </c>
      <c r="T969" s="8">
        <v>10</v>
      </c>
      <c r="U969" s="5" t="s">
        <v>994</v>
      </c>
      <c r="V969" s="89">
        <v>0</v>
      </c>
      <c r="W969" s="15">
        <v>17897801315484</v>
      </c>
      <c r="X969" s="6">
        <v>0.34499999999999997</v>
      </c>
      <c r="Y969" s="6">
        <v>0.255</v>
      </c>
      <c r="Z969" s="6">
        <v>0.375</v>
      </c>
      <c r="AA969" s="6">
        <f t="shared" si="54"/>
        <v>3.2990624999999996E-2</v>
      </c>
      <c r="AB969" s="8">
        <v>120</v>
      </c>
      <c r="AC969" s="15">
        <v>27897801315481</v>
      </c>
      <c r="AD969" s="4" t="s">
        <v>992</v>
      </c>
    </row>
    <row r="970" spans="2:30" x14ac:dyDescent="0.35">
      <c r="B970" s="14">
        <v>1796</v>
      </c>
      <c r="C970" s="4" t="s">
        <v>915</v>
      </c>
      <c r="D970" s="4" t="s">
        <v>2373</v>
      </c>
      <c r="E970" s="4" t="s">
        <v>2912</v>
      </c>
      <c r="F970" s="4" t="s">
        <v>85</v>
      </c>
      <c r="G970" s="4" t="s">
        <v>993</v>
      </c>
      <c r="H970" s="6">
        <v>0.10299999999999999</v>
      </c>
      <c r="I970" s="8">
        <v>53</v>
      </c>
      <c r="J970" s="8">
        <v>70</v>
      </c>
      <c r="K970" s="8">
        <v>86</v>
      </c>
      <c r="L970" s="8">
        <f t="shared" si="55"/>
        <v>319060</v>
      </c>
      <c r="M970" s="15">
        <v>7897801315494</v>
      </c>
      <c r="N970" s="6" t="s">
        <v>20</v>
      </c>
      <c r="O970" s="6" t="s">
        <v>20</v>
      </c>
      <c r="P970" s="6" t="s">
        <v>20</v>
      </c>
      <c r="Q970" s="6">
        <v>0.16</v>
      </c>
      <c r="R970" s="6">
        <v>7.0000000000000007E-2</v>
      </c>
      <c r="S970" s="6">
        <v>0.17</v>
      </c>
      <c r="T970" s="8">
        <v>5</v>
      </c>
      <c r="U970" s="5" t="s">
        <v>994</v>
      </c>
      <c r="V970" s="89">
        <v>0</v>
      </c>
      <c r="W970" s="15">
        <v>17897801315491</v>
      </c>
      <c r="X970" s="6">
        <v>0.34499999999999997</v>
      </c>
      <c r="Y970" s="6">
        <v>0.255</v>
      </c>
      <c r="Z970" s="6">
        <v>0.375</v>
      </c>
      <c r="AA970" s="6">
        <f t="shared" si="54"/>
        <v>3.2990624999999996E-2</v>
      </c>
      <c r="AB970" s="8">
        <v>65</v>
      </c>
      <c r="AC970" s="15">
        <v>27897801315498</v>
      </c>
      <c r="AD970" s="4" t="s">
        <v>992</v>
      </c>
    </row>
    <row r="971" spans="2:30" x14ac:dyDescent="0.35">
      <c r="B971" s="14">
        <v>1797</v>
      </c>
      <c r="C971" s="4" t="s">
        <v>916</v>
      </c>
      <c r="D971" s="4" t="s">
        <v>2373</v>
      </c>
      <c r="E971" s="4" t="s">
        <v>2912</v>
      </c>
      <c r="F971" s="4" t="s">
        <v>85</v>
      </c>
      <c r="G971" s="4" t="s">
        <v>993</v>
      </c>
      <c r="H971" s="6">
        <v>0.17449999999999999</v>
      </c>
      <c r="I971" s="8">
        <v>67</v>
      </c>
      <c r="J971" s="8">
        <v>83</v>
      </c>
      <c r="K971" s="8">
        <v>100</v>
      </c>
      <c r="L971" s="8">
        <f t="shared" si="55"/>
        <v>556100</v>
      </c>
      <c r="M971" s="15">
        <v>7897801315500</v>
      </c>
      <c r="N971" s="6" t="s">
        <v>20</v>
      </c>
      <c r="O971" s="6" t="s">
        <v>20</v>
      </c>
      <c r="P971" s="6" t="s">
        <v>20</v>
      </c>
      <c r="Q971" s="6">
        <v>0.1</v>
      </c>
      <c r="R971" s="6">
        <v>8.5000000000000006E-2</v>
      </c>
      <c r="S971" s="6">
        <v>0.13500000000000001</v>
      </c>
      <c r="T971" s="8">
        <v>2</v>
      </c>
      <c r="U971" s="5" t="s">
        <v>994</v>
      </c>
      <c r="V971" s="89">
        <v>0</v>
      </c>
      <c r="W971" s="15">
        <v>17897801315507</v>
      </c>
      <c r="X971" s="6">
        <v>0.34499999999999997</v>
      </c>
      <c r="Y971" s="6">
        <v>0.255</v>
      </c>
      <c r="Z971" s="6">
        <v>0.375</v>
      </c>
      <c r="AA971" s="6">
        <f t="shared" si="54"/>
        <v>3.2990624999999996E-2</v>
      </c>
      <c r="AB971" s="8">
        <v>40</v>
      </c>
      <c r="AC971" s="15">
        <v>27897801315504</v>
      </c>
      <c r="AD971" s="4" t="s">
        <v>992</v>
      </c>
    </row>
    <row r="972" spans="2:30" x14ac:dyDescent="0.35">
      <c r="B972" s="14">
        <v>1798</v>
      </c>
      <c r="C972" s="4" t="s">
        <v>917</v>
      </c>
      <c r="D972" s="4" t="s">
        <v>2373</v>
      </c>
      <c r="E972" s="4" t="s">
        <v>2912</v>
      </c>
      <c r="F972" s="4" t="s">
        <v>85</v>
      </c>
      <c r="G972" s="4" t="s">
        <v>993</v>
      </c>
      <c r="H972" s="6">
        <v>0.33960000000000001</v>
      </c>
      <c r="I972" s="8">
        <v>86</v>
      </c>
      <c r="J972" s="8">
        <v>105</v>
      </c>
      <c r="K972" s="8">
        <v>124</v>
      </c>
      <c r="L972" s="8">
        <f t="shared" si="55"/>
        <v>1119720</v>
      </c>
      <c r="M972" s="15">
        <v>7897801315517</v>
      </c>
      <c r="N972" s="6" t="s">
        <v>20</v>
      </c>
      <c r="O972" s="6" t="s">
        <v>20</v>
      </c>
      <c r="P972" s="6" t="s">
        <v>20</v>
      </c>
      <c r="Q972" s="6">
        <v>0.105</v>
      </c>
      <c r="R972" s="6">
        <v>8.5000000000000006E-2</v>
      </c>
      <c r="S972" s="6">
        <v>0.125</v>
      </c>
      <c r="T972" s="8">
        <v>1</v>
      </c>
      <c r="U972" s="5" t="s">
        <v>994</v>
      </c>
      <c r="V972" s="89">
        <v>0</v>
      </c>
      <c r="W972" s="15">
        <v>17897801315514</v>
      </c>
      <c r="X972" s="6">
        <v>0.34499999999999997</v>
      </c>
      <c r="Y972" s="6">
        <v>0.255</v>
      </c>
      <c r="Z972" s="6">
        <v>0.375</v>
      </c>
      <c r="AA972" s="6">
        <f t="shared" si="54"/>
        <v>3.2990624999999996E-2</v>
      </c>
      <c r="AB972" s="8">
        <v>22</v>
      </c>
      <c r="AC972" s="15">
        <v>27897801315511</v>
      </c>
      <c r="AD972" s="4" t="s">
        <v>992</v>
      </c>
    </row>
    <row r="973" spans="2:30" x14ac:dyDescent="0.35">
      <c r="B973" s="14">
        <v>1799</v>
      </c>
      <c r="C973" s="4" t="s">
        <v>918</v>
      </c>
      <c r="D973" s="4" t="s">
        <v>2373</v>
      </c>
      <c r="E973" s="4" t="s">
        <v>2912</v>
      </c>
      <c r="F973" s="4" t="s">
        <v>85</v>
      </c>
      <c r="G973" s="4" t="s">
        <v>993</v>
      </c>
      <c r="H973" s="6">
        <v>0.50780000000000003</v>
      </c>
      <c r="I973" s="8">
        <v>120</v>
      </c>
      <c r="J973" s="8">
        <v>102</v>
      </c>
      <c r="K973" s="8">
        <v>140</v>
      </c>
      <c r="L973" s="8">
        <f t="shared" si="55"/>
        <v>1713600</v>
      </c>
      <c r="M973" s="15">
        <v>7897801315524</v>
      </c>
      <c r="N973" s="6" t="s">
        <v>20</v>
      </c>
      <c r="O973" s="6" t="s">
        <v>20</v>
      </c>
      <c r="P973" s="6" t="s">
        <v>20</v>
      </c>
      <c r="Q973" s="6">
        <v>0.12</v>
      </c>
      <c r="R973" s="6">
        <v>0.1</v>
      </c>
      <c r="S973" s="6">
        <v>0.14000000000000001</v>
      </c>
      <c r="T973" s="8">
        <v>1</v>
      </c>
      <c r="U973" s="5" t="s">
        <v>994</v>
      </c>
      <c r="V973" s="89">
        <v>0</v>
      </c>
      <c r="W973" s="15">
        <v>17897801315521</v>
      </c>
      <c r="X973" s="6">
        <v>0.34499999999999997</v>
      </c>
      <c r="Y973" s="6">
        <v>0.255</v>
      </c>
      <c r="Z973" s="6">
        <v>0.375</v>
      </c>
      <c r="AA973" s="6">
        <f t="shared" si="54"/>
        <v>3.2990624999999996E-2</v>
      </c>
      <c r="AB973" s="8">
        <v>13</v>
      </c>
      <c r="AC973" s="15">
        <v>27897801315528</v>
      </c>
      <c r="AD973" s="4" t="s">
        <v>992</v>
      </c>
    </row>
    <row r="974" spans="2:30" x14ac:dyDescent="0.35">
      <c r="B974" s="14">
        <v>1802</v>
      </c>
      <c r="C974" s="4" t="s">
        <v>919</v>
      </c>
      <c r="D974" s="4" t="s">
        <v>2373</v>
      </c>
      <c r="E974" s="4" t="s">
        <v>2912</v>
      </c>
      <c r="F974" s="4" t="s">
        <v>85</v>
      </c>
      <c r="G974" s="4" t="s">
        <v>993</v>
      </c>
      <c r="H974" s="6">
        <v>2.64E-2</v>
      </c>
      <c r="I974" s="8">
        <v>33</v>
      </c>
      <c r="J974" s="8">
        <v>45</v>
      </c>
      <c r="K974" s="8">
        <v>56</v>
      </c>
      <c r="L974" s="8">
        <f t="shared" si="55"/>
        <v>83160</v>
      </c>
      <c r="M974" s="15">
        <v>7897801315555</v>
      </c>
      <c r="N974" s="6" t="s">
        <v>20</v>
      </c>
      <c r="O974" s="6" t="s">
        <v>20</v>
      </c>
      <c r="P974" s="6" t="s">
        <v>20</v>
      </c>
      <c r="Q974" s="6">
        <v>0.16</v>
      </c>
      <c r="R974" s="6">
        <v>4.4999999999999998E-2</v>
      </c>
      <c r="S974" s="6">
        <v>0.16</v>
      </c>
      <c r="T974" s="8">
        <v>10</v>
      </c>
      <c r="U974" s="5" t="s">
        <v>994</v>
      </c>
      <c r="V974" s="89">
        <v>0</v>
      </c>
      <c r="W974" s="15">
        <v>17897801315552</v>
      </c>
      <c r="X974" s="6">
        <v>0.34499999999999997</v>
      </c>
      <c r="Y974" s="6">
        <v>0.255</v>
      </c>
      <c r="Z974" s="6">
        <v>0.375</v>
      </c>
      <c r="AA974" s="6">
        <f t="shared" si="54"/>
        <v>3.2990624999999996E-2</v>
      </c>
      <c r="AB974" s="8">
        <v>250</v>
      </c>
      <c r="AC974" s="15">
        <v>27897801315559</v>
      </c>
      <c r="AD974" s="4" t="s">
        <v>992</v>
      </c>
    </row>
    <row r="975" spans="2:30" x14ac:dyDescent="0.35">
      <c r="B975" s="14">
        <v>1803</v>
      </c>
      <c r="C975" s="4" t="s">
        <v>920</v>
      </c>
      <c r="D975" s="4" t="s">
        <v>2373</v>
      </c>
      <c r="E975" s="4" t="s">
        <v>2912</v>
      </c>
      <c r="F975" s="4" t="s">
        <v>85</v>
      </c>
      <c r="G975" s="4" t="s">
        <v>993</v>
      </c>
      <c r="H975" s="6">
        <v>4.3299999999999998E-2</v>
      </c>
      <c r="I975" s="8">
        <v>55</v>
      </c>
      <c r="J975" s="8">
        <v>43</v>
      </c>
      <c r="K975" s="8">
        <v>60</v>
      </c>
      <c r="L975" s="8">
        <f t="shared" si="55"/>
        <v>141900</v>
      </c>
      <c r="M975" s="15">
        <v>7897801315562</v>
      </c>
      <c r="N975" s="6" t="s">
        <v>20</v>
      </c>
      <c r="O975" s="6" t="s">
        <v>20</v>
      </c>
      <c r="P975" s="6" t="s">
        <v>20</v>
      </c>
      <c r="Q975" s="6">
        <v>0.11</v>
      </c>
      <c r="R975" s="6">
        <v>0.06</v>
      </c>
      <c r="S975" s="6">
        <v>0.15</v>
      </c>
      <c r="T975" s="8">
        <v>5</v>
      </c>
      <c r="U975" s="5" t="s">
        <v>994</v>
      </c>
      <c r="V975" s="89">
        <v>0</v>
      </c>
      <c r="W975" s="15">
        <v>17897801315569</v>
      </c>
      <c r="X975" s="6">
        <v>0.34499999999999997</v>
      </c>
      <c r="Y975" s="6">
        <v>0.255</v>
      </c>
      <c r="Z975" s="6">
        <v>0.375</v>
      </c>
      <c r="AA975" s="6">
        <f t="shared" si="54"/>
        <v>3.2990624999999996E-2</v>
      </c>
      <c r="AB975" s="8">
        <v>130</v>
      </c>
      <c r="AC975" s="15">
        <v>27897801315566</v>
      </c>
      <c r="AD975" s="4" t="s">
        <v>992</v>
      </c>
    </row>
    <row r="976" spans="2:30" x14ac:dyDescent="0.35">
      <c r="B976" s="14">
        <v>1804</v>
      </c>
      <c r="C976" s="4" t="s">
        <v>921</v>
      </c>
      <c r="D976" s="4" t="s">
        <v>2373</v>
      </c>
      <c r="E976" s="4" t="s">
        <v>2912</v>
      </c>
      <c r="F976" s="4" t="s">
        <v>85</v>
      </c>
      <c r="G976" s="4" t="s">
        <v>993</v>
      </c>
      <c r="H976" s="6">
        <v>4.99E-2</v>
      </c>
      <c r="I976" s="8">
        <v>42</v>
      </c>
      <c r="J976" s="8">
        <v>57</v>
      </c>
      <c r="K976" s="8">
        <v>65</v>
      </c>
      <c r="L976" s="8">
        <f t="shared" si="55"/>
        <v>155610</v>
      </c>
      <c r="M976" s="15">
        <v>7897801315579</v>
      </c>
      <c r="N976" s="6" t="s">
        <v>20</v>
      </c>
      <c r="O976" s="6" t="s">
        <v>20</v>
      </c>
      <c r="P976" s="6" t="s">
        <v>20</v>
      </c>
      <c r="Q976" s="6">
        <v>0.15</v>
      </c>
      <c r="R976" s="6">
        <v>0.04</v>
      </c>
      <c r="S976" s="6">
        <v>0.18</v>
      </c>
      <c r="T976" s="8">
        <v>5</v>
      </c>
      <c r="U976" s="5" t="s">
        <v>994</v>
      </c>
      <c r="V976" s="89">
        <v>0</v>
      </c>
      <c r="W976" s="15">
        <v>17897801315576</v>
      </c>
      <c r="X976" s="6">
        <v>0.34499999999999997</v>
      </c>
      <c r="Y976" s="6">
        <v>0.255</v>
      </c>
      <c r="Z976" s="6">
        <v>0.375</v>
      </c>
      <c r="AA976" s="6">
        <f t="shared" si="54"/>
        <v>3.2990624999999996E-2</v>
      </c>
      <c r="AB976" s="8">
        <v>130</v>
      </c>
      <c r="AC976" s="15">
        <v>27897801315573</v>
      </c>
      <c r="AD976" s="4" t="s">
        <v>992</v>
      </c>
    </row>
    <row r="977" spans="2:30" x14ac:dyDescent="0.35">
      <c r="B977" s="14">
        <v>1805</v>
      </c>
      <c r="C977" s="4" t="s">
        <v>922</v>
      </c>
      <c r="D977" s="4" t="s">
        <v>2373</v>
      </c>
      <c r="E977" s="4" t="s">
        <v>2912</v>
      </c>
      <c r="F977" s="4" t="s">
        <v>85</v>
      </c>
      <c r="G977" s="4" t="s">
        <v>993</v>
      </c>
      <c r="H977" s="6">
        <v>7.9500000000000001E-2</v>
      </c>
      <c r="I977" s="8">
        <v>54</v>
      </c>
      <c r="J977" s="8">
        <v>66</v>
      </c>
      <c r="K977" s="8">
        <v>70</v>
      </c>
      <c r="L977" s="8">
        <f t="shared" si="55"/>
        <v>249480</v>
      </c>
      <c r="M977" s="15">
        <v>7897801315586</v>
      </c>
      <c r="N977" s="6" t="s">
        <v>20</v>
      </c>
      <c r="O977" s="6" t="s">
        <v>20</v>
      </c>
      <c r="P977" s="6" t="s">
        <v>20</v>
      </c>
      <c r="Q977" s="6">
        <v>0.16</v>
      </c>
      <c r="R977" s="6">
        <v>5.5E-2</v>
      </c>
      <c r="S977" s="6">
        <v>0.18</v>
      </c>
      <c r="T977" s="8">
        <v>5</v>
      </c>
      <c r="U977" s="5" t="s">
        <v>994</v>
      </c>
      <c r="V977" s="89">
        <v>0</v>
      </c>
      <c r="W977" s="15">
        <v>17897801315583</v>
      </c>
      <c r="X977" s="6">
        <v>0.34499999999999997</v>
      </c>
      <c r="Y977" s="6">
        <v>0.255</v>
      </c>
      <c r="Z977" s="6">
        <v>0.375</v>
      </c>
      <c r="AA977" s="6">
        <f t="shared" si="54"/>
        <v>3.2990624999999996E-2</v>
      </c>
      <c r="AB977" s="8">
        <v>80</v>
      </c>
      <c r="AC977" s="15">
        <v>27897801315580</v>
      </c>
      <c r="AD977" s="4" t="s">
        <v>992</v>
      </c>
    </row>
    <row r="978" spans="2:30" x14ac:dyDescent="0.35">
      <c r="B978" s="14">
        <v>1806</v>
      </c>
      <c r="C978" s="4" t="s">
        <v>923</v>
      </c>
      <c r="D978" s="4" t="s">
        <v>2373</v>
      </c>
      <c r="E978" s="4" t="s">
        <v>2912</v>
      </c>
      <c r="F978" s="4" t="s">
        <v>85</v>
      </c>
      <c r="G978" s="4" t="s">
        <v>993</v>
      </c>
      <c r="H978" s="6">
        <v>8.8800000000000004E-2</v>
      </c>
      <c r="I978" s="8">
        <v>67</v>
      </c>
      <c r="J978" s="8">
        <v>54</v>
      </c>
      <c r="K978" s="8">
        <v>77</v>
      </c>
      <c r="L978" s="8">
        <f t="shared" si="55"/>
        <v>278586</v>
      </c>
      <c r="M978" s="15">
        <v>7897801315593</v>
      </c>
      <c r="N978" s="6" t="s">
        <v>20</v>
      </c>
      <c r="O978" s="6" t="s">
        <v>20</v>
      </c>
      <c r="P978" s="6" t="s">
        <v>20</v>
      </c>
      <c r="Q978" s="6">
        <v>0.16</v>
      </c>
      <c r="R978" s="6">
        <v>7.0000000000000007E-2</v>
      </c>
      <c r="S978" s="6">
        <v>0.16</v>
      </c>
      <c r="T978" s="8">
        <v>5</v>
      </c>
      <c r="U978" s="5" t="s">
        <v>994</v>
      </c>
      <c r="V978" s="89">
        <v>0</v>
      </c>
      <c r="W978" s="15">
        <v>17897801315590</v>
      </c>
      <c r="X978" s="6">
        <v>0.34499999999999997</v>
      </c>
      <c r="Y978" s="6">
        <v>0.255</v>
      </c>
      <c r="Z978" s="6">
        <v>0.375</v>
      </c>
      <c r="AA978" s="6">
        <f t="shared" si="54"/>
        <v>3.2990624999999996E-2</v>
      </c>
      <c r="AB978" s="8">
        <v>80</v>
      </c>
      <c r="AC978" s="15">
        <v>27897801315597</v>
      </c>
      <c r="AD978" s="4" t="s">
        <v>992</v>
      </c>
    </row>
    <row r="979" spans="2:30" x14ac:dyDescent="0.35">
      <c r="B979" s="14">
        <v>1807</v>
      </c>
      <c r="C979" s="4" t="s">
        <v>924</v>
      </c>
      <c r="D979" s="4" t="s">
        <v>2373</v>
      </c>
      <c r="E979" s="4" t="s">
        <v>2912</v>
      </c>
      <c r="F979" s="4" t="s">
        <v>85</v>
      </c>
      <c r="G979" s="4" t="s">
        <v>993</v>
      </c>
      <c r="H979" s="6">
        <v>0.12570000000000001</v>
      </c>
      <c r="I979" s="8">
        <v>67</v>
      </c>
      <c r="J979" s="8">
        <v>76</v>
      </c>
      <c r="K979" s="8">
        <v>76</v>
      </c>
      <c r="L979" s="8">
        <f t="shared" si="55"/>
        <v>386992</v>
      </c>
      <c r="M979" s="15">
        <v>7897801315609</v>
      </c>
      <c r="N979" s="6" t="s">
        <v>20</v>
      </c>
      <c r="O979" s="6" t="s">
        <v>20</v>
      </c>
      <c r="P979" s="6" t="s">
        <v>20</v>
      </c>
      <c r="Q979" s="6">
        <v>7.5999999999999998E-2</v>
      </c>
      <c r="R979" s="6">
        <v>7.5999999999999998E-2</v>
      </c>
      <c r="S979" s="6">
        <v>0.13500000000000001</v>
      </c>
      <c r="T979" s="8">
        <v>2</v>
      </c>
      <c r="U979" s="5" t="s">
        <v>994</v>
      </c>
      <c r="V979" s="89">
        <v>0</v>
      </c>
      <c r="W979" s="15">
        <v>17897801315606</v>
      </c>
      <c r="X979" s="6">
        <v>0.34499999999999997</v>
      </c>
      <c r="Y979" s="6">
        <v>0.255</v>
      </c>
      <c r="Z979" s="6">
        <v>0.375</v>
      </c>
      <c r="AA979" s="6">
        <f t="shared" ref="AA979:AA999" si="56">Y979*X979*Z979</f>
        <v>3.2990624999999996E-2</v>
      </c>
      <c r="AB979" s="8">
        <v>60</v>
      </c>
      <c r="AC979" s="15">
        <v>27897801315603</v>
      </c>
      <c r="AD979" s="4" t="s">
        <v>992</v>
      </c>
    </row>
    <row r="980" spans="2:30" x14ac:dyDescent="0.35">
      <c r="B980" s="14">
        <v>1808</v>
      </c>
      <c r="C980" s="4" t="s">
        <v>925</v>
      </c>
      <c r="D980" s="4" t="s">
        <v>2373</v>
      </c>
      <c r="E980" s="4" t="s">
        <v>2912</v>
      </c>
      <c r="F980" s="4" t="s">
        <v>85</v>
      </c>
      <c r="G980" s="4" t="s">
        <v>993</v>
      </c>
      <c r="H980" s="6">
        <v>0.1444</v>
      </c>
      <c r="I980" s="8">
        <v>68</v>
      </c>
      <c r="J980" s="8">
        <v>79</v>
      </c>
      <c r="K980" s="8">
        <v>84</v>
      </c>
      <c r="L980" s="8">
        <f t="shared" si="55"/>
        <v>451248</v>
      </c>
      <c r="M980" s="15">
        <v>7897801315616</v>
      </c>
      <c r="N980" s="6" t="s">
        <v>20</v>
      </c>
      <c r="O980" s="6" t="s">
        <v>20</v>
      </c>
      <c r="P980" s="6" t="s">
        <v>20</v>
      </c>
      <c r="Q980" s="6">
        <v>8.5000000000000006E-2</v>
      </c>
      <c r="R980" s="6">
        <v>7.0000000000000007E-2</v>
      </c>
      <c r="S980" s="6">
        <v>0.16</v>
      </c>
      <c r="T980" s="8">
        <v>2</v>
      </c>
      <c r="U980" s="5" t="s">
        <v>994</v>
      </c>
      <c r="V980" s="89">
        <v>0</v>
      </c>
      <c r="W980" s="15">
        <v>17897801315613</v>
      </c>
      <c r="X980" s="6">
        <v>0.34499999999999997</v>
      </c>
      <c r="Y980" s="6">
        <v>0.255</v>
      </c>
      <c r="Z980" s="6">
        <v>0.375</v>
      </c>
      <c r="AA980" s="6">
        <f t="shared" si="56"/>
        <v>3.2990624999999996E-2</v>
      </c>
      <c r="AB980" s="8">
        <v>54</v>
      </c>
      <c r="AC980" s="15">
        <v>27897801315610</v>
      </c>
      <c r="AD980" s="4" t="s">
        <v>992</v>
      </c>
    </row>
    <row r="981" spans="2:30" x14ac:dyDescent="0.35">
      <c r="B981" s="14">
        <v>1809</v>
      </c>
      <c r="C981" s="4" t="s">
        <v>926</v>
      </c>
      <c r="D981" s="4" t="s">
        <v>2373</v>
      </c>
      <c r="E981" s="4" t="s">
        <v>2912</v>
      </c>
      <c r="F981" s="4" t="s">
        <v>85</v>
      </c>
      <c r="G981" s="4" t="s">
        <v>993</v>
      </c>
      <c r="H981" s="6">
        <v>0.16250000000000001</v>
      </c>
      <c r="I981" s="8">
        <v>67</v>
      </c>
      <c r="J981" s="8">
        <v>81</v>
      </c>
      <c r="K981" s="8">
        <v>92</v>
      </c>
      <c r="L981" s="8">
        <f t="shared" si="55"/>
        <v>499284</v>
      </c>
      <c r="M981" s="15">
        <v>7897801315623</v>
      </c>
      <c r="N981" s="6" t="s">
        <v>20</v>
      </c>
      <c r="O981" s="6" t="s">
        <v>20</v>
      </c>
      <c r="P981" s="6" t="s">
        <v>20</v>
      </c>
      <c r="Q981" s="6">
        <v>0</v>
      </c>
      <c r="R981" s="6">
        <v>0</v>
      </c>
      <c r="S981" s="6">
        <v>0</v>
      </c>
      <c r="T981" s="8">
        <v>2</v>
      </c>
      <c r="U981" s="5" t="s">
        <v>994</v>
      </c>
      <c r="V981" s="89">
        <v>0</v>
      </c>
      <c r="W981" s="15">
        <v>17897801315620</v>
      </c>
      <c r="X981" s="6">
        <v>0.34499999999999997</v>
      </c>
      <c r="Y981" s="6">
        <v>0.255</v>
      </c>
      <c r="Z981" s="6">
        <v>0.37</v>
      </c>
      <c r="AA981" s="6">
        <f t="shared" si="56"/>
        <v>3.2550749999999996E-2</v>
      </c>
      <c r="AB981" s="8">
        <v>48</v>
      </c>
      <c r="AC981" s="15">
        <v>27897801315627</v>
      </c>
      <c r="AD981" s="4" t="s">
        <v>992</v>
      </c>
    </row>
    <row r="982" spans="2:30" x14ac:dyDescent="0.35">
      <c r="B982" s="14">
        <v>1810</v>
      </c>
      <c r="C982" s="4" t="s">
        <v>927</v>
      </c>
      <c r="D982" s="4" t="s">
        <v>2373</v>
      </c>
      <c r="E982" s="4" t="s">
        <v>2912</v>
      </c>
      <c r="F982" s="4" t="s">
        <v>85</v>
      </c>
      <c r="G982" s="4" t="s">
        <v>993</v>
      </c>
      <c r="H982" s="6">
        <v>0.2346</v>
      </c>
      <c r="I982" s="8">
        <v>85</v>
      </c>
      <c r="J982" s="8">
        <v>96</v>
      </c>
      <c r="K982" s="8">
        <v>100</v>
      </c>
      <c r="L982" s="8">
        <f t="shared" si="55"/>
        <v>816000</v>
      </c>
      <c r="M982" s="15">
        <v>7897801315630</v>
      </c>
      <c r="N982" s="6" t="s">
        <v>20</v>
      </c>
      <c r="O982" s="6" t="s">
        <v>20</v>
      </c>
      <c r="P982" s="6" t="s">
        <v>20</v>
      </c>
      <c r="Q982" s="6">
        <v>0.1</v>
      </c>
      <c r="R982" s="6">
        <v>8.5000000000000006E-2</v>
      </c>
      <c r="S982" s="6">
        <v>0.105</v>
      </c>
      <c r="T982" s="8">
        <v>1</v>
      </c>
      <c r="U982" s="5" t="s">
        <v>994</v>
      </c>
      <c r="V982" s="89">
        <v>0</v>
      </c>
      <c r="W982" s="15">
        <v>17897801315637</v>
      </c>
      <c r="X982" s="6">
        <v>0.34499999999999997</v>
      </c>
      <c r="Y982" s="6">
        <v>0.255</v>
      </c>
      <c r="Z982" s="6">
        <v>0.375</v>
      </c>
      <c r="AA982" s="6">
        <f t="shared" si="56"/>
        <v>3.2990624999999996E-2</v>
      </c>
      <c r="AB982" s="8">
        <v>28</v>
      </c>
      <c r="AC982" s="15">
        <v>27897801315634</v>
      </c>
      <c r="AD982" s="4" t="s">
        <v>992</v>
      </c>
    </row>
    <row r="983" spans="2:30" x14ac:dyDescent="0.35">
      <c r="B983" s="14">
        <v>1811</v>
      </c>
      <c r="C983" s="4" t="s">
        <v>928</v>
      </c>
      <c r="D983" s="4" t="s">
        <v>2373</v>
      </c>
      <c r="E983" s="4" t="s">
        <v>2912</v>
      </c>
      <c r="F983" s="4" t="s">
        <v>85</v>
      </c>
      <c r="G983" s="4" t="s">
        <v>993</v>
      </c>
      <c r="H983" s="6">
        <v>0.26579999999999998</v>
      </c>
      <c r="I983" s="8">
        <v>37</v>
      </c>
      <c r="J983" s="8">
        <v>25</v>
      </c>
      <c r="K983" s="8">
        <v>35</v>
      </c>
      <c r="L983" s="8">
        <f t="shared" si="55"/>
        <v>32375</v>
      </c>
      <c r="M983" s="15">
        <v>7897801315647</v>
      </c>
      <c r="N983" s="6" t="s">
        <v>20</v>
      </c>
      <c r="O983" s="6" t="s">
        <v>20</v>
      </c>
      <c r="P983" s="6" t="s">
        <v>20</v>
      </c>
      <c r="Q983" s="6">
        <v>0.35</v>
      </c>
      <c r="R983" s="6">
        <v>0.25</v>
      </c>
      <c r="S983" s="6">
        <v>0.37</v>
      </c>
      <c r="T983" s="8">
        <v>1</v>
      </c>
      <c r="U983" s="5" t="s">
        <v>994</v>
      </c>
      <c r="V983" s="89">
        <v>0</v>
      </c>
      <c r="W983" s="15">
        <v>17897801315644</v>
      </c>
      <c r="X983" s="6">
        <v>0.35</v>
      </c>
      <c r="Y983" s="6">
        <v>0.25</v>
      </c>
      <c r="Z983" s="6">
        <v>0.37</v>
      </c>
      <c r="AA983" s="6">
        <f t="shared" si="56"/>
        <v>3.2375000000000001E-2</v>
      </c>
      <c r="AB983" s="8">
        <v>27</v>
      </c>
      <c r="AC983" s="15">
        <v>27897801315641</v>
      </c>
      <c r="AD983" s="4" t="s">
        <v>992</v>
      </c>
    </row>
    <row r="984" spans="2:30" x14ac:dyDescent="0.35">
      <c r="B984" s="14">
        <v>1812</v>
      </c>
      <c r="C984" s="4" t="s">
        <v>929</v>
      </c>
      <c r="D984" s="4" t="s">
        <v>2373</v>
      </c>
      <c r="E984" s="4" t="s">
        <v>2912</v>
      </c>
      <c r="F984" s="4" t="s">
        <v>85</v>
      </c>
      <c r="G984" s="4" t="s">
        <v>993</v>
      </c>
      <c r="H984" s="6">
        <v>0.378</v>
      </c>
      <c r="I984" s="8">
        <v>101</v>
      </c>
      <c r="J984" s="8">
        <v>113</v>
      </c>
      <c r="K984" s="8">
        <v>116</v>
      </c>
      <c r="L984" s="8">
        <f t="shared" si="55"/>
        <v>1323908</v>
      </c>
      <c r="M984" s="15">
        <v>7897801315654</v>
      </c>
      <c r="N984" s="6" t="s">
        <v>20</v>
      </c>
      <c r="O984" s="6" t="s">
        <v>20</v>
      </c>
      <c r="P984" s="6" t="s">
        <v>20</v>
      </c>
      <c r="Q984" s="6">
        <v>0</v>
      </c>
      <c r="R984" s="6">
        <v>0</v>
      </c>
      <c r="S984" s="6">
        <v>0</v>
      </c>
      <c r="T984" s="8">
        <v>1</v>
      </c>
      <c r="U984" s="5" t="s">
        <v>994</v>
      </c>
      <c r="V984" s="89">
        <v>0</v>
      </c>
      <c r="W984" s="15">
        <v>17897801315651</v>
      </c>
      <c r="X984" s="6">
        <v>0.34499999999999997</v>
      </c>
      <c r="Y984" s="6">
        <v>0.25</v>
      </c>
      <c r="Z984" s="6">
        <v>0.375</v>
      </c>
      <c r="AA984" s="6">
        <f t="shared" si="56"/>
        <v>3.2343749999999998E-2</v>
      </c>
      <c r="AB984" s="8">
        <v>15</v>
      </c>
      <c r="AC984" s="15">
        <v>27897801315658</v>
      </c>
      <c r="AD984" s="4" t="s">
        <v>992</v>
      </c>
    </row>
    <row r="985" spans="2:30" x14ac:dyDescent="0.35">
      <c r="B985" s="14">
        <v>1813</v>
      </c>
      <c r="C985" s="4" t="s">
        <v>930</v>
      </c>
      <c r="D985" s="4" t="s">
        <v>2373</v>
      </c>
      <c r="E985" s="4" t="s">
        <v>2912</v>
      </c>
      <c r="F985" s="4" t="s">
        <v>85</v>
      </c>
      <c r="G985" s="4" t="s">
        <v>993</v>
      </c>
      <c r="H985" s="6">
        <v>0.45279999999999998</v>
      </c>
      <c r="I985" s="8">
        <v>118</v>
      </c>
      <c r="J985" s="8">
        <v>102</v>
      </c>
      <c r="K985" s="8">
        <v>129</v>
      </c>
      <c r="L985" s="8">
        <f t="shared" si="55"/>
        <v>1552644</v>
      </c>
      <c r="M985" s="15">
        <v>7897801315661</v>
      </c>
      <c r="N985" s="6" t="s">
        <v>20</v>
      </c>
      <c r="O985" s="6" t="s">
        <v>20</v>
      </c>
      <c r="P985" s="6" t="s">
        <v>20</v>
      </c>
      <c r="Q985" s="6">
        <v>0</v>
      </c>
      <c r="R985" s="6">
        <v>0</v>
      </c>
      <c r="S985" s="6">
        <v>0</v>
      </c>
      <c r="T985" s="8">
        <v>1</v>
      </c>
      <c r="U985" s="5" t="s">
        <v>994</v>
      </c>
      <c r="V985" s="89">
        <v>0</v>
      </c>
      <c r="W985" s="15">
        <v>17897801315668</v>
      </c>
      <c r="X985" s="6">
        <v>0.34499999999999997</v>
      </c>
      <c r="Y985" s="6">
        <v>0.255</v>
      </c>
      <c r="Z985" s="6">
        <v>0.37</v>
      </c>
      <c r="AA985" s="6">
        <f t="shared" si="56"/>
        <v>3.2550749999999996E-2</v>
      </c>
      <c r="AB985" s="8">
        <v>15</v>
      </c>
      <c r="AC985" s="15">
        <v>27897801315665</v>
      </c>
      <c r="AD985" s="4" t="s">
        <v>992</v>
      </c>
    </row>
    <row r="986" spans="2:30" x14ac:dyDescent="0.35">
      <c r="B986" s="14">
        <v>1814</v>
      </c>
      <c r="C986" s="4" t="s">
        <v>931</v>
      </c>
      <c r="D986" s="4" t="s">
        <v>2373</v>
      </c>
      <c r="E986" s="4" t="s">
        <v>2912</v>
      </c>
      <c r="F986" s="4" t="s">
        <v>85</v>
      </c>
      <c r="G986" s="4" t="s">
        <v>993</v>
      </c>
      <c r="H986" s="6">
        <v>0.64549999999999996</v>
      </c>
      <c r="I986" s="8">
        <v>121</v>
      </c>
      <c r="J986" s="8">
        <v>135</v>
      </c>
      <c r="K986" s="8">
        <v>136</v>
      </c>
      <c r="L986" s="8">
        <f t="shared" si="55"/>
        <v>2221560</v>
      </c>
      <c r="M986" s="15">
        <v>7897801315678</v>
      </c>
      <c r="N986" s="6" t="s">
        <v>20</v>
      </c>
      <c r="O986" s="6" t="s">
        <v>20</v>
      </c>
      <c r="P986" s="6" t="s">
        <v>20</v>
      </c>
      <c r="Q986" s="6">
        <v>0</v>
      </c>
      <c r="R986" s="6">
        <v>0</v>
      </c>
      <c r="S986" s="6">
        <v>0</v>
      </c>
      <c r="T986" s="8">
        <v>1</v>
      </c>
      <c r="U986" s="5" t="s">
        <v>994</v>
      </c>
      <c r="V986" s="89">
        <v>0</v>
      </c>
      <c r="W986" s="15">
        <v>17897801315675</v>
      </c>
      <c r="X986" s="6">
        <v>0.13500000000000001</v>
      </c>
      <c r="Y986" s="6">
        <v>0.13500000000000001</v>
      </c>
      <c r="Z986" s="6">
        <v>0.121</v>
      </c>
      <c r="AA986" s="6">
        <f t="shared" si="56"/>
        <v>2.2052250000000003E-3</v>
      </c>
      <c r="AB986" s="8">
        <v>8</v>
      </c>
      <c r="AC986" s="15">
        <v>27897801315672</v>
      </c>
      <c r="AD986" s="4" t="s">
        <v>992</v>
      </c>
    </row>
    <row r="987" spans="2:30" x14ac:dyDescent="0.35">
      <c r="B987" s="14">
        <v>1815</v>
      </c>
      <c r="C987" s="4" t="s">
        <v>932</v>
      </c>
      <c r="D987" s="4" t="s">
        <v>2373</v>
      </c>
      <c r="E987" s="4" t="s">
        <v>2912</v>
      </c>
      <c r="F987" s="4" t="s">
        <v>85</v>
      </c>
      <c r="G987" s="4" t="s">
        <v>993</v>
      </c>
      <c r="H987" s="6">
        <v>0.72919999999999996</v>
      </c>
      <c r="I987" s="8">
        <v>121</v>
      </c>
      <c r="J987" s="8">
        <v>135</v>
      </c>
      <c r="K987" s="8">
        <v>147</v>
      </c>
      <c r="L987" s="8">
        <f t="shared" si="55"/>
        <v>2401245</v>
      </c>
      <c r="M987" s="15">
        <v>7897801315685</v>
      </c>
      <c r="N987" s="6" t="s">
        <v>20</v>
      </c>
      <c r="O987" s="6" t="s">
        <v>20</v>
      </c>
      <c r="P987" s="6" t="s">
        <v>20</v>
      </c>
      <c r="Q987" s="6">
        <v>0</v>
      </c>
      <c r="R987" s="6">
        <v>0</v>
      </c>
      <c r="S987" s="6">
        <v>0</v>
      </c>
      <c r="T987" s="8">
        <v>1</v>
      </c>
      <c r="U987" s="5" t="s">
        <v>994</v>
      </c>
      <c r="V987" s="89">
        <v>0</v>
      </c>
      <c r="W987" s="15">
        <v>17897801315682</v>
      </c>
      <c r="X987" s="6">
        <v>0.34499999999999997</v>
      </c>
      <c r="Y987" s="6">
        <v>0.255</v>
      </c>
      <c r="Z987" s="6">
        <v>0.37</v>
      </c>
      <c r="AA987" s="6">
        <f t="shared" si="56"/>
        <v>3.2550749999999996E-2</v>
      </c>
      <c r="AB987" s="8">
        <v>8</v>
      </c>
      <c r="AC987" s="15">
        <v>27897801315689</v>
      </c>
      <c r="AD987" s="4" t="s">
        <v>992</v>
      </c>
    </row>
    <row r="988" spans="2:30" x14ac:dyDescent="0.35">
      <c r="B988" s="14">
        <v>1816</v>
      </c>
      <c r="C988" s="4" t="s">
        <v>933</v>
      </c>
      <c r="D988" s="4" t="s">
        <v>2373</v>
      </c>
      <c r="E988" s="4" t="s">
        <v>2912</v>
      </c>
      <c r="F988" s="4" t="s">
        <v>85</v>
      </c>
      <c r="G988" s="4" t="s">
        <v>993</v>
      </c>
      <c r="H988" s="6">
        <v>10.723000000000001</v>
      </c>
      <c r="I988" s="8">
        <v>161</v>
      </c>
      <c r="J988" s="8">
        <v>148</v>
      </c>
      <c r="K988" s="8">
        <v>156</v>
      </c>
      <c r="L988" s="8">
        <f t="shared" si="55"/>
        <v>3717168</v>
      </c>
      <c r="M988" s="15">
        <v>7897801315692</v>
      </c>
      <c r="N988" s="6" t="s">
        <v>20</v>
      </c>
      <c r="O988" s="6" t="s">
        <v>20</v>
      </c>
      <c r="P988" s="6" t="s">
        <v>20</v>
      </c>
      <c r="Q988" s="6">
        <v>0.16</v>
      </c>
      <c r="R988" s="6">
        <v>0.15</v>
      </c>
      <c r="S988" s="6">
        <v>0.16</v>
      </c>
      <c r="T988" s="8">
        <v>1</v>
      </c>
      <c r="U988" s="5" t="s">
        <v>994</v>
      </c>
      <c r="V988" s="89">
        <v>0</v>
      </c>
      <c r="W988" s="15">
        <v>17897801315699</v>
      </c>
      <c r="X988" s="6">
        <v>0.34499999999999997</v>
      </c>
      <c r="Y988" s="6">
        <v>0.255</v>
      </c>
      <c r="Z988" s="6">
        <v>0.375</v>
      </c>
      <c r="AA988" s="6">
        <f t="shared" si="56"/>
        <v>3.2990624999999996E-2</v>
      </c>
      <c r="AB988" s="8">
        <v>4</v>
      </c>
      <c r="AC988" s="15">
        <v>27897801315696</v>
      </c>
      <c r="AD988" s="4" t="s">
        <v>992</v>
      </c>
    </row>
    <row r="989" spans="2:30" x14ac:dyDescent="0.35">
      <c r="B989" s="14">
        <v>1817</v>
      </c>
      <c r="C989" s="4" t="s">
        <v>934</v>
      </c>
      <c r="D989" s="4" t="s">
        <v>2373</v>
      </c>
      <c r="E989" s="4" t="s">
        <v>2912</v>
      </c>
      <c r="F989" s="4" t="s">
        <v>85</v>
      </c>
      <c r="G989" s="4" t="s">
        <v>993</v>
      </c>
      <c r="H989" s="6">
        <v>11.968999999999999</v>
      </c>
      <c r="I989" s="8">
        <v>148</v>
      </c>
      <c r="J989" s="8">
        <v>165</v>
      </c>
      <c r="K989" s="8">
        <v>170</v>
      </c>
      <c r="L989" s="8">
        <f t="shared" si="55"/>
        <v>4151400</v>
      </c>
      <c r="M989" s="15">
        <v>7897801315708</v>
      </c>
      <c r="N989" s="6" t="s">
        <v>20</v>
      </c>
      <c r="O989" s="6" t="s">
        <v>20</v>
      </c>
      <c r="P989" s="6" t="s">
        <v>20</v>
      </c>
      <c r="Q989" s="6">
        <v>0</v>
      </c>
      <c r="R989" s="6">
        <v>0</v>
      </c>
      <c r="S989" s="6">
        <v>0</v>
      </c>
      <c r="T989" s="8">
        <v>1</v>
      </c>
      <c r="U989" s="5" t="s">
        <v>994</v>
      </c>
      <c r="V989" s="89">
        <v>0</v>
      </c>
      <c r="W989" s="15">
        <v>17897801315705</v>
      </c>
      <c r="X989" s="6">
        <v>0.34499999999999997</v>
      </c>
      <c r="Y989" s="6">
        <v>0.255</v>
      </c>
      <c r="Z989" s="6">
        <v>0.37</v>
      </c>
      <c r="AA989" s="6">
        <f t="shared" si="56"/>
        <v>3.2550749999999996E-2</v>
      </c>
      <c r="AB989" s="8">
        <v>4</v>
      </c>
      <c r="AC989" s="15">
        <v>27897801315702</v>
      </c>
      <c r="AD989" s="4" t="s">
        <v>992</v>
      </c>
    </row>
    <row r="990" spans="2:30" x14ac:dyDescent="0.35">
      <c r="B990" s="14">
        <v>1818</v>
      </c>
      <c r="C990" s="4" t="s">
        <v>935</v>
      </c>
      <c r="D990" s="4" t="s">
        <v>2373</v>
      </c>
      <c r="E990" s="4" t="s">
        <v>2912</v>
      </c>
      <c r="F990" s="4" t="s">
        <v>85</v>
      </c>
      <c r="G990" s="4" t="s">
        <v>993</v>
      </c>
      <c r="H990" s="6">
        <v>6.2199999999999998E-2</v>
      </c>
      <c r="I990" s="8">
        <v>62</v>
      </c>
      <c r="J990" s="8">
        <v>39</v>
      </c>
      <c r="K990" s="8">
        <v>50</v>
      </c>
      <c r="L990" s="8">
        <f t="shared" si="55"/>
        <v>120900</v>
      </c>
      <c r="M990" s="15">
        <v>7897801315715</v>
      </c>
      <c r="N990" s="6" t="s">
        <v>20</v>
      </c>
      <c r="O990" s="6" t="s">
        <v>20</v>
      </c>
      <c r="P990" s="6" t="s">
        <v>20</v>
      </c>
      <c r="Q990" s="6">
        <v>0.14000000000000001</v>
      </c>
      <c r="R990" s="6">
        <v>3.9E-2</v>
      </c>
      <c r="S990" s="6">
        <v>0.15</v>
      </c>
      <c r="T990" s="8">
        <v>5</v>
      </c>
      <c r="U990" s="5" t="s">
        <v>994</v>
      </c>
      <c r="V990" s="89">
        <v>0</v>
      </c>
      <c r="W990" s="15">
        <v>17897801315712</v>
      </c>
      <c r="X990" s="6">
        <v>0.255</v>
      </c>
      <c r="Y990" s="6">
        <v>0.25</v>
      </c>
      <c r="Z990" s="6">
        <v>0.32500000000000001</v>
      </c>
      <c r="AA990" s="6">
        <f t="shared" si="56"/>
        <v>2.0718750000000001E-2</v>
      </c>
      <c r="AB990" s="8">
        <v>120</v>
      </c>
      <c r="AC990" s="15">
        <v>27897801315719</v>
      </c>
      <c r="AD990" s="4" t="s">
        <v>992</v>
      </c>
    </row>
    <row r="991" spans="2:30" x14ac:dyDescent="0.35">
      <c r="B991" s="14">
        <v>1819</v>
      </c>
      <c r="C991" s="4" t="s">
        <v>936</v>
      </c>
      <c r="D991" s="4" t="s">
        <v>2373</v>
      </c>
      <c r="E991" s="4" t="s">
        <v>2912</v>
      </c>
      <c r="F991" s="4" t="s">
        <v>85</v>
      </c>
      <c r="G991" s="4" t="s">
        <v>993</v>
      </c>
      <c r="H991" s="6">
        <v>7.0099999999999996E-2</v>
      </c>
      <c r="I991" s="8">
        <v>33</v>
      </c>
      <c r="J991" s="8">
        <v>54</v>
      </c>
      <c r="K991" s="8">
        <v>68</v>
      </c>
      <c r="L991" s="8">
        <f t="shared" si="55"/>
        <v>121176</v>
      </c>
      <c r="M991" s="15">
        <v>7897801315722</v>
      </c>
      <c r="N991" s="6" t="s">
        <v>20</v>
      </c>
      <c r="O991" s="6" t="s">
        <v>20</v>
      </c>
      <c r="P991" s="6" t="s">
        <v>20</v>
      </c>
      <c r="Q991" s="6">
        <v>0.17</v>
      </c>
      <c r="R991" s="6">
        <v>3.3000000000000002E-2</v>
      </c>
      <c r="S991" s="6">
        <v>0.185</v>
      </c>
      <c r="T991" s="8">
        <v>5</v>
      </c>
      <c r="U991" s="5" t="s">
        <v>994</v>
      </c>
      <c r="V991" s="89">
        <v>0</v>
      </c>
      <c r="W991" s="15">
        <v>17897801315729</v>
      </c>
      <c r="X991" s="6">
        <v>0.255</v>
      </c>
      <c r="Y991" s="6">
        <v>0.25</v>
      </c>
      <c r="Z991" s="6">
        <v>0.32500000000000001</v>
      </c>
      <c r="AA991" s="6">
        <f t="shared" si="56"/>
        <v>2.0718750000000001E-2</v>
      </c>
      <c r="AB991" s="8">
        <v>95</v>
      </c>
      <c r="AC991" s="15">
        <v>27897801315726</v>
      </c>
      <c r="AD991" s="4" t="s">
        <v>992</v>
      </c>
    </row>
    <row r="992" spans="2:30" x14ac:dyDescent="0.35">
      <c r="B992" s="14">
        <v>1820</v>
      </c>
      <c r="C992" s="4" t="s">
        <v>937</v>
      </c>
      <c r="D992" s="4" t="s">
        <v>2373</v>
      </c>
      <c r="E992" s="4" t="s">
        <v>2912</v>
      </c>
      <c r="F992" s="4" t="s">
        <v>85</v>
      </c>
      <c r="G992" s="4" t="s">
        <v>993</v>
      </c>
      <c r="H992" s="6">
        <v>9.8299999999999998E-2</v>
      </c>
      <c r="I992" s="8">
        <v>45</v>
      </c>
      <c r="J992" s="8">
        <v>71</v>
      </c>
      <c r="K992" s="8">
        <v>60</v>
      </c>
      <c r="L992" s="8">
        <f t="shared" si="55"/>
        <v>191700</v>
      </c>
      <c r="M992" s="15">
        <v>7897801315739</v>
      </c>
      <c r="N992" s="6" t="s">
        <v>20</v>
      </c>
      <c r="O992" s="6" t="s">
        <v>20</v>
      </c>
      <c r="P992" s="6" t="s">
        <v>20</v>
      </c>
      <c r="Q992" s="6">
        <v>0.13</v>
      </c>
      <c r="R992" s="6">
        <v>4.4999999999999998E-2</v>
      </c>
      <c r="S992" s="6">
        <v>0.15</v>
      </c>
      <c r="T992" s="8">
        <v>5</v>
      </c>
      <c r="U992" s="5" t="s">
        <v>994</v>
      </c>
      <c r="V992" s="89">
        <v>0</v>
      </c>
      <c r="W992" s="15">
        <v>17897801315736</v>
      </c>
      <c r="X992" s="6">
        <v>0.255</v>
      </c>
      <c r="Y992" s="6">
        <v>0.25</v>
      </c>
      <c r="Z992" s="6">
        <v>0.32500000000000001</v>
      </c>
      <c r="AA992" s="6">
        <f t="shared" si="56"/>
        <v>2.0718750000000001E-2</v>
      </c>
      <c r="AB992" s="8">
        <v>90</v>
      </c>
      <c r="AC992" s="15">
        <v>27897801315733</v>
      </c>
      <c r="AD992" s="4" t="s">
        <v>992</v>
      </c>
    </row>
    <row r="993" spans="2:30" x14ac:dyDescent="0.35">
      <c r="B993" s="14">
        <v>1821</v>
      </c>
      <c r="C993" s="4" t="s">
        <v>938</v>
      </c>
      <c r="D993" s="4" t="s">
        <v>2373</v>
      </c>
      <c r="E993" s="4" t="s">
        <v>2912</v>
      </c>
      <c r="F993" s="4" t="s">
        <v>85</v>
      </c>
      <c r="G993" s="4" t="s">
        <v>993</v>
      </c>
      <c r="H993" s="6">
        <v>0.1021</v>
      </c>
      <c r="I993" s="8">
        <v>46</v>
      </c>
      <c r="J993" s="8">
        <v>78</v>
      </c>
      <c r="K993" s="8">
        <v>63</v>
      </c>
      <c r="L993" s="8">
        <f t="shared" si="55"/>
        <v>226044</v>
      </c>
      <c r="M993" s="15">
        <v>7897801315746</v>
      </c>
      <c r="N993" s="6" t="s">
        <v>20</v>
      </c>
      <c r="O993" s="6" t="s">
        <v>20</v>
      </c>
      <c r="P993" s="6" t="s">
        <v>20</v>
      </c>
      <c r="Q993" s="6">
        <v>0.16500000000000001</v>
      </c>
      <c r="R993" s="6">
        <v>0.05</v>
      </c>
      <c r="S993" s="6">
        <v>0.17</v>
      </c>
      <c r="T993" s="8">
        <v>5</v>
      </c>
      <c r="U993" s="5" t="s">
        <v>994</v>
      </c>
      <c r="V993" s="89">
        <v>0</v>
      </c>
      <c r="W993" s="15">
        <v>17897801315743</v>
      </c>
      <c r="X993" s="6">
        <v>0.255</v>
      </c>
      <c r="Y993" s="6">
        <v>0.25</v>
      </c>
      <c r="Z993" s="6">
        <v>0.32500000000000001</v>
      </c>
      <c r="AA993" s="6">
        <f t="shared" si="56"/>
        <v>2.0718750000000001E-2</v>
      </c>
      <c r="AB993" s="8">
        <v>65</v>
      </c>
      <c r="AC993" s="15">
        <v>27897801315740</v>
      </c>
      <c r="AD993" s="4" t="s">
        <v>992</v>
      </c>
    </row>
    <row r="994" spans="2:30" x14ac:dyDescent="0.35">
      <c r="B994" s="14">
        <v>1822</v>
      </c>
      <c r="C994" s="4" t="s">
        <v>939</v>
      </c>
      <c r="D994" s="4" t="s">
        <v>2373</v>
      </c>
      <c r="E994" s="4" t="s">
        <v>2912</v>
      </c>
      <c r="F994" s="4" t="s">
        <v>85</v>
      </c>
      <c r="G994" s="4" t="s">
        <v>993</v>
      </c>
      <c r="H994" s="6">
        <v>0.1178</v>
      </c>
      <c r="I994" s="8">
        <v>80</v>
      </c>
      <c r="J994" s="8">
        <v>45</v>
      </c>
      <c r="K994" s="8">
        <v>64</v>
      </c>
      <c r="L994" s="8">
        <f t="shared" si="55"/>
        <v>230400</v>
      </c>
      <c r="M994" s="15">
        <v>7897801315753</v>
      </c>
      <c r="N994" s="6" t="s">
        <v>20</v>
      </c>
      <c r="O994" s="6" t="s">
        <v>20</v>
      </c>
      <c r="P994" s="6" t="s">
        <v>20</v>
      </c>
      <c r="Q994" s="6">
        <v>0.17</v>
      </c>
      <c r="R994" s="6">
        <v>4.5999999999999999E-2</v>
      </c>
      <c r="S994" s="6">
        <v>0.17</v>
      </c>
      <c r="T994" s="8">
        <v>5</v>
      </c>
      <c r="U994" s="5" t="s">
        <v>994</v>
      </c>
      <c r="V994" s="89">
        <v>0</v>
      </c>
      <c r="W994" s="15">
        <v>17897801315750</v>
      </c>
      <c r="X994" s="6">
        <v>0.255</v>
      </c>
      <c r="Y994" s="6">
        <v>0.25</v>
      </c>
      <c r="Z994" s="6">
        <v>0.32500000000000001</v>
      </c>
      <c r="AA994" s="6">
        <f t="shared" si="56"/>
        <v>2.0718750000000001E-2</v>
      </c>
      <c r="AB994" s="8">
        <v>65</v>
      </c>
      <c r="AC994" s="15">
        <v>27897801315757</v>
      </c>
      <c r="AD994" s="4" t="s">
        <v>992</v>
      </c>
    </row>
    <row r="995" spans="2:30" x14ac:dyDescent="0.35">
      <c r="B995" s="14">
        <v>1823</v>
      </c>
      <c r="C995" s="4" t="s">
        <v>940</v>
      </c>
      <c r="D995" s="4" t="s">
        <v>2373</v>
      </c>
      <c r="E995" s="4" t="s">
        <v>2912</v>
      </c>
      <c r="F995" s="4" t="s">
        <v>85</v>
      </c>
      <c r="G995" s="4" t="s">
        <v>993</v>
      </c>
      <c r="H995" s="6">
        <v>0.2056</v>
      </c>
      <c r="I995" s="8">
        <v>92</v>
      </c>
      <c r="J995" s="8">
        <v>57</v>
      </c>
      <c r="K995" s="8">
        <v>74</v>
      </c>
      <c r="L995" s="8">
        <f t="shared" si="55"/>
        <v>388056</v>
      </c>
      <c r="M995" s="15">
        <v>7897801315760</v>
      </c>
      <c r="N995" s="6" t="s">
        <v>20</v>
      </c>
      <c r="O995" s="6" t="s">
        <v>20</v>
      </c>
      <c r="P995" s="6" t="s">
        <v>20</v>
      </c>
      <c r="Q995" s="6">
        <v>0.16500000000000001</v>
      </c>
      <c r="R995" s="6">
        <v>7.3999999999999996E-2</v>
      </c>
      <c r="S995" s="6">
        <v>0.2</v>
      </c>
      <c r="T995" s="8">
        <v>5</v>
      </c>
      <c r="U995" s="5" t="s">
        <v>994</v>
      </c>
      <c r="V995" s="89">
        <v>0</v>
      </c>
      <c r="W995" s="15">
        <v>17897801315767</v>
      </c>
      <c r="X995" s="6">
        <v>0.255</v>
      </c>
      <c r="Y995" s="6">
        <v>0.25</v>
      </c>
      <c r="Z995" s="6">
        <v>0.32500000000000001</v>
      </c>
      <c r="AA995" s="6">
        <f t="shared" si="56"/>
        <v>2.0718750000000001E-2</v>
      </c>
      <c r="AB995" s="8">
        <v>45</v>
      </c>
      <c r="AC995" s="15">
        <v>27897801315764</v>
      </c>
      <c r="AD995" s="4" t="s">
        <v>992</v>
      </c>
    </row>
    <row r="996" spans="2:30" x14ac:dyDescent="0.35">
      <c r="B996" s="14">
        <v>1824</v>
      </c>
      <c r="C996" s="4" t="s">
        <v>941</v>
      </c>
      <c r="D996" s="4" t="s">
        <v>2373</v>
      </c>
      <c r="E996" s="4" t="s">
        <v>2912</v>
      </c>
      <c r="F996" s="4" t="s">
        <v>85</v>
      </c>
      <c r="G996" s="4" t="s">
        <v>993</v>
      </c>
      <c r="H996" s="6">
        <v>3.2000000000000001E-2</v>
      </c>
      <c r="I996" s="8">
        <v>45</v>
      </c>
      <c r="J996" s="8">
        <v>46</v>
      </c>
      <c r="K996" s="8">
        <v>46</v>
      </c>
      <c r="L996" s="8">
        <f t="shared" si="55"/>
        <v>95220</v>
      </c>
      <c r="M996" s="15">
        <v>7897801315777</v>
      </c>
      <c r="N996" s="6" t="s">
        <v>20</v>
      </c>
      <c r="O996" s="6" t="s">
        <v>20</v>
      </c>
      <c r="P996" s="6" t="s">
        <v>20</v>
      </c>
      <c r="Q996" s="6">
        <v>0.11</v>
      </c>
      <c r="R996" s="6">
        <v>4.5999999999999999E-2</v>
      </c>
      <c r="S996" s="6">
        <v>0.11</v>
      </c>
      <c r="T996" s="8">
        <v>5</v>
      </c>
      <c r="U996" s="5" t="s">
        <v>994</v>
      </c>
      <c r="V996" s="89">
        <v>0</v>
      </c>
      <c r="W996" s="15">
        <v>17897801315774</v>
      </c>
      <c r="X996" s="6">
        <v>0.34499999999999997</v>
      </c>
      <c r="Y996" s="6">
        <v>0.255</v>
      </c>
      <c r="Z996" s="6">
        <v>0.375</v>
      </c>
      <c r="AA996" s="6">
        <f t="shared" si="56"/>
        <v>3.2990624999999996E-2</v>
      </c>
      <c r="AB996" s="8">
        <v>260</v>
      </c>
      <c r="AC996" s="15">
        <v>27897801315771</v>
      </c>
      <c r="AD996" s="4" t="s">
        <v>992</v>
      </c>
    </row>
    <row r="997" spans="2:30" x14ac:dyDescent="0.35">
      <c r="B997" s="14">
        <v>1825</v>
      </c>
      <c r="C997" s="4" t="s">
        <v>942</v>
      </c>
      <c r="D997" s="4" t="s">
        <v>2373</v>
      </c>
      <c r="E997" s="4" t="s">
        <v>2912</v>
      </c>
      <c r="F997" s="4" t="s">
        <v>85</v>
      </c>
      <c r="G997" s="4" t="s">
        <v>993</v>
      </c>
      <c r="H997" s="6">
        <v>5.0999999999999997E-2</v>
      </c>
      <c r="I997" s="8">
        <v>53</v>
      </c>
      <c r="J997" s="8">
        <v>53</v>
      </c>
      <c r="K997" s="8">
        <v>53</v>
      </c>
      <c r="L997" s="8">
        <f t="shared" si="55"/>
        <v>148877</v>
      </c>
      <c r="M997" s="15">
        <v>7897801315784</v>
      </c>
      <c r="N997" s="6" t="s">
        <v>20</v>
      </c>
      <c r="O997" s="6" t="s">
        <v>20</v>
      </c>
      <c r="P997" s="6" t="s">
        <v>20</v>
      </c>
      <c r="Q997" s="6">
        <v>0.11</v>
      </c>
      <c r="R997" s="6">
        <v>5.2999999999999999E-2</v>
      </c>
      <c r="S997" s="6">
        <v>0.11</v>
      </c>
      <c r="T997" s="8">
        <v>5</v>
      </c>
      <c r="U997" s="5" t="s">
        <v>994</v>
      </c>
      <c r="V997" s="89">
        <v>0</v>
      </c>
      <c r="W997" s="15">
        <v>17897801315781</v>
      </c>
      <c r="X997" s="6">
        <v>0.34499999999999997</v>
      </c>
      <c r="Y997" s="6">
        <v>0.255</v>
      </c>
      <c r="Z997" s="6">
        <v>0.375</v>
      </c>
      <c r="AA997" s="6">
        <f t="shared" si="56"/>
        <v>3.2990624999999996E-2</v>
      </c>
      <c r="AB997" s="8">
        <v>150</v>
      </c>
      <c r="AC997" s="15">
        <v>27897801315788</v>
      </c>
      <c r="AD997" s="4" t="s">
        <v>992</v>
      </c>
    </row>
    <row r="998" spans="2:30" x14ac:dyDescent="0.35">
      <c r="B998" s="14">
        <v>1826</v>
      </c>
      <c r="C998" s="4" t="s">
        <v>943</v>
      </c>
      <c r="D998" s="4" t="s">
        <v>2373</v>
      </c>
      <c r="E998" s="4" t="s">
        <v>2912</v>
      </c>
      <c r="F998" s="4" t="s">
        <v>85</v>
      </c>
      <c r="G998" s="4" t="s">
        <v>993</v>
      </c>
      <c r="H998" s="6">
        <v>8.5699999999999998E-2</v>
      </c>
      <c r="I998" s="8">
        <v>62</v>
      </c>
      <c r="J998" s="8">
        <v>64</v>
      </c>
      <c r="K998" s="8">
        <v>64</v>
      </c>
      <c r="L998" s="8">
        <f t="shared" si="55"/>
        <v>253952</v>
      </c>
      <c r="M998" s="15">
        <v>7897801315791</v>
      </c>
      <c r="N998" s="6" t="s">
        <v>20</v>
      </c>
      <c r="O998" s="6" t="s">
        <v>20</v>
      </c>
      <c r="P998" s="6" t="s">
        <v>20</v>
      </c>
      <c r="Q998" s="6">
        <v>0.155</v>
      </c>
      <c r="R998" s="6">
        <v>3.2000000000000001E-2</v>
      </c>
      <c r="S998" s="6">
        <v>0.155</v>
      </c>
      <c r="T998" s="8">
        <v>5</v>
      </c>
      <c r="U998" s="5" t="s">
        <v>994</v>
      </c>
      <c r="V998" s="89">
        <v>0</v>
      </c>
      <c r="W998" s="15">
        <v>17897801315798</v>
      </c>
      <c r="X998" s="6">
        <v>0.34499999999999997</v>
      </c>
      <c r="Y998" s="6">
        <v>0.255</v>
      </c>
      <c r="Z998" s="6">
        <v>0.375</v>
      </c>
      <c r="AA998" s="6">
        <f t="shared" si="56"/>
        <v>3.2990624999999996E-2</v>
      </c>
      <c r="AB998" s="8">
        <v>80</v>
      </c>
      <c r="AC998" s="15">
        <v>27897801315795</v>
      </c>
      <c r="AD998" s="4" t="s">
        <v>992</v>
      </c>
    </row>
    <row r="999" spans="2:30" x14ac:dyDescent="0.35">
      <c r="B999" s="14">
        <v>1827</v>
      </c>
      <c r="C999" s="4" t="s">
        <v>944</v>
      </c>
      <c r="D999" s="4" t="s">
        <v>2378</v>
      </c>
      <c r="E999" s="4" t="s">
        <v>2912</v>
      </c>
      <c r="F999" s="4" t="s">
        <v>85</v>
      </c>
      <c r="G999" s="4" t="s">
        <v>993</v>
      </c>
      <c r="H999" s="27">
        <v>7.0800000000000002E-2</v>
      </c>
      <c r="I999" s="8">
        <v>50</v>
      </c>
      <c r="J999" s="8">
        <v>57</v>
      </c>
      <c r="K999" s="8">
        <v>60</v>
      </c>
      <c r="L999" s="8">
        <f t="shared" ref="L999:L1009" si="57">J999*I999*K999</f>
        <v>171000</v>
      </c>
      <c r="M999" s="15">
        <v>7897801315807</v>
      </c>
      <c r="N999" s="6" t="s">
        <v>20</v>
      </c>
      <c r="O999" s="6" t="s">
        <v>20</v>
      </c>
      <c r="P999" s="6" t="s">
        <v>20</v>
      </c>
      <c r="Q999" s="6">
        <v>5.5E-2</v>
      </c>
      <c r="R999" s="6">
        <v>4.4999999999999998E-2</v>
      </c>
      <c r="S999" s="6">
        <v>0.06</v>
      </c>
      <c r="T999" s="8">
        <v>1</v>
      </c>
      <c r="U999" s="5" t="s">
        <v>1019</v>
      </c>
      <c r="V999" s="89">
        <v>0</v>
      </c>
      <c r="W999" s="15">
        <v>17897801315804</v>
      </c>
      <c r="X999" s="6">
        <v>0.125</v>
      </c>
      <c r="Y999" s="6">
        <v>0.05</v>
      </c>
      <c r="Z999" s="6">
        <v>0.17499999999999999</v>
      </c>
      <c r="AA999" s="6">
        <f t="shared" si="56"/>
        <v>1.0937499999999999E-3</v>
      </c>
      <c r="AB999" s="8">
        <v>0</v>
      </c>
      <c r="AC999" s="15">
        <v>27897801315801</v>
      </c>
      <c r="AD999" s="4" t="s">
        <v>992</v>
      </c>
    </row>
    <row r="1000" spans="2:30" x14ac:dyDescent="0.35">
      <c r="B1000" s="14">
        <v>1828</v>
      </c>
      <c r="C1000" s="4" t="s">
        <v>945</v>
      </c>
      <c r="D1000" s="4" t="s">
        <v>2378</v>
      </c>
      <c r="E1000" s="4" t="s">
        <v>2912</v>
      </c>
      <c r="F1000" s="4" t="s">
        <v>85</v>
      </c>
      <c r="G1000" s="4" t="s">
        <v>993</v>
      </c>
      <c r="H1000" s="27">
        <v>0.11559999999999999</v>
      </c>
      <c r="I1000" s="8">
        <v>50</v>
      </c>
      <c r="J1000" s="8">
        <v>57</v>
      </c>
      <c r="K1000" s="8">
        <v>60</v>
      </c>
      <c r="L1000" s="8">
        <f t="shared" si="57"/>
        <v>171000</v>
      </c>
      <c r="M1000" s="15">
        <v>7897801315814</v>
      </c>
      <c r="N1000" s="6" t="s">
        <v>20</v>
      </c>
      <c r="O1000" s="6" t="s">
        <v>20</v>
      </c>
      <c r="P1000" s="6" t="s">
        <v>20</v>
      </c>
      <c r="Q1000" s="6">
        <v>0.32500000000000001</v>
      </c>
      <c r="R1000" s="6">
        <v>0.245</v>
      </c>
      <c r="S1000" s="6">
        <v>0.255</v>
      </c>
      <c r="T1000" s="8">
        <v>1</v>
      </c>
      <c r="U1000" s="5" t="s">
        <v>1019</v>
      </c>
      <c r="V1000" s="89">
        <v>0</v>
      </c>
      <c r="W1000" s="15">
        <v>17897801315811</v>
      </c>
      <c r="X1000" s="6" t="s">
        <v>20</v>
      </c>
      <c r="Y1000" s="6" t="s">
        <v>20</v>
      </c>
      <c r="Z1000" s="6" t="s">
        <v>20</v>
      </c>
      <c r="AA1000" s="6"/>
      <c r="AB1000" s="8">
        <v>0</v>
      </c>
      <c r="AC1000" s="15">
        <v>27897801315818</v>
      </c>
      <c r="AD1000" s="4" t="s">
        <v>992</v>
      </c>
    </row>
    <row r="1001" spans="2:30" x14ac:dyDescent="0.35">
      <c r="B1001" s="14">
        <v>1829</v>
      </c>
      <c r="C1001" s="4" t="s">
        <v>946</v>
      </c>
      <c r="D1001" s="4" t="s">
        <v>2378</v>
      </c>
      <c r="E1001" s="4" t="s">
        <v>2912</v>
      </c>
      <c r="F1001" s="4" t="s">
        <v>85</v>
      </c>
      <c r="G1001" s="4" t="s">
        <v>993</v>
      </c>
      <c r="H1001" s="27">
        <v>0.15529999999999999</v>
      </c>
      <c r="I1001" s="8">
        <v>50</v>
      </c>
      <c r="J1001" s="8">
        <v>57</v>
      </c>
      <c r="K1001" s="8">
        <v>60</v>
      </c>
      <c r="L1001" s="8">
        <f t="shared" si="57"/>
        <v>171000</v>
      </c>
      <c r="M1001" s="15">
        <v>7897801315821</v>
      </c>
      <c r="N1001" s="6" t="s">
        <v>20</v>
      </c>
      <c r="O1001" s="6" t="s">
        <v>20</v>
      </c>
      <c r="P1001" s="6" t="s">
        <v>20</v>
      </c>
      <c r="Q1001" s="6">
        <v>0.32500000000000001</v>
      </c>
      <c r="R1001" s="6">
        <v>0.245</v>
      </c>
      <c r="S1001" s="6">
        <v>0.255</v>
      </c>
      <c r="T1001" s="8">
        <v>1</v>
      </c>
      <c r="U1001" s="5" t="s">
        <v>1019</v>
      </c>
      <c r="V1001" s="89">
        <v>0</v>
      </c>
      <c r="W1001" s="15">
        <v>17897801315828</v>
      </c>
      <c r="X1001" s="6" t="s">
        <v>20</v>
      </c>
      <c r="Y1001" s="6" t="s">
        <v>20</v>
      </c>
      <c r="Z1001" s="6" t="s">
        <v>20</v>
      </c>
      <c r="AA1001" s="6"/>
      <c r="AB1001" s="8">
        <v>0</v>
      </c>
      <c r="AC1001" s="15">
        <v>27897801315825</v>
      </c>
      <c r="AD1001" s="4" t="s">
        <v>992</v>
      </c>
    </row>
    <row r="1002" spans="2:30" x14ac:dyDescent="0.35">
      <c r="B1002" s="14">
        <v>1830</v>
      </c>
      <c r="C1002" s="4" t="s">
        <v>947</v>
      </c>
      <c r="D1002" s="4" t="s">
        <v>2378</v>
      </c>
      <c r="E1002" s="4" t="s">
        <v>2912</v>
      </c>
      <c r="F1002" s="4" t="s">
        <v>85</v>
      </c>
      <c r="G1002" s="4" t="s">
        <v>993</v>
      </c>
      <c r="H1002" s="27">
        <v>0.2157</v>
      </c>
      <c r="I1002" s="8">
        <v>50</v>
      </c>
      <c r="J1002" s="8">
        <v>57</v>
      </c>
      <c r="K1002" s="8">
        <v>60</v>
      </c>
      <c r="L1002" s="8">
        <f t="shared" si="57"/>
        <v>171000</v>
      </c>
      <c r="M1002" s="15">
        <v>7897801315838</v>
      </c>
      <c r="N1002" s="6" t="s">
        <v>20</v>
      </c>
      <c r="O1002" s="6" t="s">
        <v>20</v>
      </c>
      <c r="P1002" s="6" t="s">
        <v>20</v>
      </c>
      <c r="Q1002" s="6">
        <v>0.32500000000000001</v>
      </c>
      <c r="R1002" s="6">
        <v>0.245</v>
      </c>
      <c r="S1002" s="6">
        <v>0.255</v>
      </c>
      <c r="T1002" s="8">
        <v>1</v>
      </c>
      <c r="U1002" s="5" t="s">
        <v>1019</v>
      </c>
      <c r="V1002" s="89">
        <v>0</v>
      </c>
      <c r="W1002" s="15">
        <v>17897801315835</v>
      </c>
      <c r="X1002" s="6" t="s">
        <v>20</v>
      </c>
      <c r="Y1002" s="6" t="s">
        <v>20</v>
      </c>
      <c r="Z1002" s="6" t="s">
        <v>20</v>
      </c>
      <c r="AA1002" s="6"/>
      <c r="AB1002" s="8">
        <v>0</v>
      </c>
      <c r="AC1002" s="15">
        <v>27897801315832</v>
      </c>
      <c r="AD1002" s="4" t="s">
        <v>992</v>
      </c>
    </row>
    <row r="1003" spans="2:30" x14ac:dyDescent="0.35">
      <c r="B1003" s="14">
        <v>1831</v>
      </c>
      <c r="C1003" s="4" t="s">
        <v>948</v>
      </c>
      <c r="D1003" s="4" t="s">
        <v>2378</v>
      </c>
      <c r="E1003" s="4" t="s">
        <v>2912</v>
      </c>
      <c r="F1003" s="4" t="s">
        <v>85</v>
      </c>
      <c r="G1003" s="4" t="s">
        <v>993</v>
      </c>
      <c r="H1003" s="27">
        <v>0.30740000000000001</v>
      </c>
      <c r="I1003" s="8">
        <v>50</v>
      </c>
      <c r="J1003" s="8">
        <v>95</v>
      </c>
      <c r="K1003" s="8">
        <v>90</v>
      </c>
      <c r="L1003" s="8">
        <f t="shared" si="57"/>
        <v>427500</v>
      </c>
      <c r="M1003" s="15">
        <v>7897801315845</v>
      </c>
      <c r="N1003" s="6" t="s">
        <v>20</v>
      </c>
      <c r="O1003" s="6" t="s">
        <v>20</v>
      </c>
      <c r="P1003" s="6" t="s">
        <v>20</v>
      </c>
      <c r="Q1003" s="6">
        <v>0.32500000000000001</v>
      </c>
      <c r="R1003" s="6">
        <v>0.245</v>
      </c>
      <c r="S1003" s="6">
        <v>0.255</v>
      </c>
      <c r="T1003" s="8">
        <v>1</v>
      </c>
      <c r="U1003" s="5" t="s">
        <v>1019</v>
      </c>
      <c r="V1003" s="89">
        <v>0</v>
      </c>
      <c r="W1003" s="15">
        <v>17897801315842</v>
      </c>
      <c r="X1003" s="6" t="s">
        <v>20</v>
      </c>
      <c r="Y1003" s="6" t="s">
        <v>20</v>
      </c>
      <c r="Z1003" s="6" t="s">
        <v>20</v>
      </c>
      <c r="AA1003" s="6"/>
      <c r="AB1003" s="8">
        <v>0</v>
      </c>
      <c r="AC1003" s="15">
        <v>27897801315849</v>
      </c>
      <c r="AD1003" s="4" t="s">
        <v>992</v>
      </c>
    </row>
    <row r="1004" spans="2:30" x14ac:dyDescent="0.35">
      <c r="B1004" s="14">
        <v>1832</v>
      </c>
      <c r="C1004" s="4" t="s">
        <v>949</v>
      </c>
      <c r="D1004" s="4" t="s">
        <v>2378</v>
      </c>
      <c r="E1004" s="4" t="s">
        <v>2912</v>
      </c>
      <c r="F1004" s="4" t="s">
        <v>85</v>
      </c>
      <c r="G1004" s="4" t="s">
        <v>993</v>
      </c>
      <c r="H1004" s="27">
        <v>0.54410000000000003</v>
      </c>
      <c r="I1004" s="8">
        <v>50</v>
      </c>
      <c r="J1004" s="8">
        <v>95</v>
      </c>
      <c r="K1004" s="8">
        <v>90</v>
      </c>
      <c r="L1004" s="8">
        <f t="shared" si="57"/>
        <v>427500</v>
      </c>
      <c r="M1004" s="15">
        <v>7897801315852</v>
      </c>
      <c r="N1004" s="6" t="s">
        <v>20</v>
      </c>
      <c r="O1004" s="6" t="s">
        <v>20</v>
      </c>
      <c r="P1004" s="6" t="s">
        <v>20</v>
      </c>
      <c r="Q1004" s="6">
        <v>0.32500000000000001</v>
      </c>
      <c r="R1004" s="6">
        <v>0.245</v>
      </c>
      <c r="S1004" s="6">
        <v>0.255</v>
      </c>
      <c r="T1004" s="8">
        <v>1</v>
      </c>
      <c r="U1004" s="5" t="s">
        <v>1019</v>
      </c>
      <c r="V1004" s="89">
        <v>0</v>
      </c>
      <c r="W1004" s="15">
        <v>17897801315859</v>
      </c>
      <c r="X1004" s="6" t="s">
        <v>20</v>
      </c>
      <c r="Y1004" s="6" t="s">
        <v>20</v>
      </c>
      <c r="Z1004" s="6" t="s">
        <v>20</v>
      </c>
      <c r="AA1004" s="6"/>
      <c r="AB1004" s="8">
        <v>0</v>
      </c>
      <c r="AC1004" s="15">
        <v>27897801315856</v>
      </c>
      <c r="AD1004" s="4" t="s">
        <v>992</v>
      </c>
    </row>
    <row r="1005" spans="2:30" x14ac:dyDescent="0.35">
      <c r="B1005" s="14">
        <v>1833</v>
      </c>
      <c r="C1005" s="4" t="s">
        <v>950</v>
      </c>
      <c r="D1005" s="4" t="s">
        <v>2378</v>
      </c>
      <c r="E1005" s="4" t="s">
        <v>2912</v>
      </c>
      <c r="F1005" s="4" t="s">
        <v>85</v>
      </c>
      <c r="G1005" s="4" t="s">
        <v>993</v>
      </c>
      <c r="H1005" s="27">
        <v>0.73529999999999995</v>
      </c>
      <c r="I1005" s="8">
        <v>50</v>
      </c>
      <c r="J1005" s="8">
        <v>105</v>
      </c>
      <c r="K1005" s="8">
        <v>105</v>
      </c>
      <c r="L1005" s="8">
        <f t="shared" si="57"/>
        <v>551250</v>
      </c>
      <c r="M1005" s="15">
        <v>7897801315869</v>
      </c>
      <c r="N1005" s="6" t="s">
        <v>20</v>
      </c>
      <c r="O1005" s="6" t="s">
        <v>20</v>
      </c>
      <c r="P1005" s="6" t="s">
        <v>20</v>
      </c>
      <c r="Q1005" s="6">
        <v>0.32500000000000001</v>
      </c>
      <c r="R1005" s="6">
        <v>0.245</v>
      </c>
      <c r="S1005" s="6">
        <v>0.255</v>
      </c>
      <c r="T1005" s="8">
        <v>1</v>
      </c>
      <c r="U1005" s="5" t="s">
        <v>1019</v>
      </c>
      <c r="V1005" s="89">
        <v>0</v>
      </c>
      <c r="W1005" s="15">
        <v>17897801315866</v>
      </c>
      <c r="X1005" s="6" t="s">
        <v>20</v>
      </c>
      <c r="Y1005" s="6" t="s">
        <v>20</v>
      </c>
      <c r="Z1005" s="6" t="s">
        <v>20</v>
      </c>
      <c r="AA1005" s="6"/>
      <c r="AB1005" s="8">
        <v>0</v>
      </c>
      <c r="AC1005" s="15">
        <v>27897801315863</v>
      </c>
      <c r="AD1005" s="4" t="s">
        <v>992</v>
      </c>
    </row>
    <row r="1006" spans="2:30" x14ac:dyDescent="0.35">
      <c r="B1006" s="14">
        <v>1834</v>
      </c>
      <c r="C1006" s="4" t="s">
        <v>951</v>
      </c>
      <c r="D1006" s="4" t="s">
        <v>2378</v>
      </c>
      <c r="E1006" s="4" t="s">
        <v>2912</v>
      </c>
      <c r="F1006" s="4" t="s">
        <v>85</v>
      </c>
      <c r="G1006" s="4" t="s">
        <v>993</v>
      </c>
      <c r="H1006" s="27">
        <v>0.88649999999999995</v>
      </c>
      <c r="I1006" s="8">
        <v>70</v>
      </c>
      <c r="J1006" s="8">
        <v>145</v>
      </c>
      <c r="K1006" s="8">
        <v>120</v>
      </c>
      <c r="L1006" s="8">
        <f t="shared" si="57"/>
        <v>1218000</v>
      </c>
      <c r="M1006" s="15">
        <v>7897801315876</v>
      </c>
      <c r="N1006" s="6" t="s">
        <v>20</v>
      </c>
      <c r="O1006" s="6" t="s">
        <v>20</v>
      </c>
      <c r="P1006" s="6" t="s">
        <v>20</v>
      </c>
      <c r="Q1006" s="6">
        <v>0.32500000000000001</v>
      </c>
      <c r="R1006" s="6">
        <v>0.245</v>
      </c>
      <c r="S1006" s="6">
        <v>0.255</v>
      </c>
      <c r="T1006" s="8">
        <v>1</v>
      </c>
      <c r="U1006" s="5" t="s">
        <v>1019</v>
      </c>
      <c r="V1006" s="89">
        <v>0</v>
      </c>
      <c r="W1006" s="15">
        <v>17897801315873</v>
      </c>
      <c r="X1006" s="6" t="s">
        <v>20</v>
      </c>
      <c r="Y1006" s="6" t="s">
        <v>20</v>
      </c>
      <c r="Z1006" s="6" t="s">
        <v>20</v>
      </c>
      <c r="AA1006" s="6"/>
      <c r="AB1006" s="8">
        <v>0</v>
      </c>
      <c r="AC1006" s="15">
        <v>27897801315870</v>
      </c>
      <c r="AD1006" s="4" t="s">
        <v>992</v>
      </c>
    </row>
    <row r="1007" spans="2:30" x14ac:dyDescent="0.35">
      <c r="B1007" s="14">
        <v>1835</v>
      </c>
      <c r="C1007" s="4" t="s">
        <v>952</v>
      </c>
      <c r="D1007" s="4" t="s">
        <v>2378</v>
      </c>
      <c r="E1007" s="4" t="s">
        <v>2912</v>
      </c>
      <c r="F1007" s="4" t="s">
        <v>85</v>
      </c>
      <c r="G1007" s="4" t="s">
        <v>993</v>
      </c>
      <c r="H1007" s="27">
        <v>1.03</v>
      </c>
      <c r="I1007" s="8">
        <v>70</v>
      </c>
      <c r="J1007" s="8">
        <v>145</v>
      </c>
      <c r="K1007" s="8">
        <v>120</v>
      </c>
      <c r="L1007" s="8">
        <f t="shared" si="57"/>
        <v>1218000</v>
      </c>
      <c r="M1007" s="15">
        <v>7897801315883</v>
      </c>
      <c r="N1007" s="6" t="s">
        <v>20</v>
      </c>
      <c r="O1007" s="6" t="s">
        <v>20</v>
      </c>
      <c r="P1007" s="6" t="s">
        <v>20</v>
      </c>
      <c r="Q1007" s="6">
        <v>0.32500000000000001</v>
      </c>
      <c r="R1007" s="6">
        <v>0.245</v>
      </c>
      <c r="S1007" s="6">
        <v>0.255</v>
      </c>
      <c r="T1007" s="8">
        <v>1</v>
      </c>
      <c r="U1007" s="5" t="s">
        <v>1019</v>
      </c>
      <c r="V1007" s="89">
        <v>0</v>
      </c>
      <c r="W1007" s="15">
        <v>17897801315880</v>
      </c>
      <c r="X1007" s="6" t="s">
        <v>20</v>
      </c>
      <c r="Y1007" s="6" t="s">
        <v>20</v>
      </c>
      <c r="Z1007" s="6" t="s">
        <v>20</v>
      </c>
      <c r="AA1007" s="6"/>
      <c r="AB1007" s="8">
        <v>0</v>
      </c>
      <c r="AC1007" s="15">
        <v>27897801315887</v>
      </c>
      <c r="AD1007" s="4" t="s">
        <v>992</v>
      </c>
    </row>
    <row r="1008" spans="2:30" x14ac:dyDescent="0.35">
      <c r="B1008" s="14">
        <v>1836</v>
      </c>
      <c r="C1008" s="4" t="s">
        <v>953</v>
      </c>
      <c r="D1008" s="4" t="s">
        <v>2378</v>
      </c>
      <c r="E1008" s="4" t="s">
        <v>2912</v>
      </c>
      <c r="F1008" s="4" t="s">
        <v>85</v>
      </c>
      <c r="G1008" s="4" t="s">
        <v>1014</v>
      </c>
      <c r="H1008" s="6">
        <v>13.879</v>
      </c>
      <c r="I1008" s="8">
        <v>70</v>
      </c>
      <c r="J1008" s="8">
        <v>170</v>
      </c>
      <c r="K1008" s="8">
        <v>350</v>
      </c>
      <c r="L1008" s="8">
        <f t="shared" si="57"/>
        <v>4165000</v>
      </c>
      <c r="M1008" s="15">
        <v>7897801315890</v>
      </c>
      <c r="N1008" s="6" t="s">
        <v>20</v>
      </c>
      <c r="O1008" s="6" t="s">
        <v>20</v>
      </c>
      <c r="P1008" s="6" t="s">
        <v>20</v>
      </c>
      <c r="Q1008" s="6">
        <v>0.17</v>
      </c>
      <c r="R1008" s="6">
        <v>5.5E-2</v>
      </c>
      <c r="S1008" s="6">
        <v>0.34</v>
      </c>
      <c r="T1008" s="8">
        <v>1</v>
      </c>
      <c r="U1008" s="5" t="s">
        <v>1020</v>
      </c>
      <c r="V1008" s="89">
        <v>5.2000000000000005E-2</v>
      </c>
      <c r="W1008" s="15">
        <v>17897801315897</v>
      </c>
      <c r="X1008" s="6" t="s">
        <v>20</v>
      </c>
      <c r="Y1008" s="6" t="s">
        <v>20</v>
      </c>
      <c r="Z1008" s="6" t="s">
        <v>20</v>
      </c>
      <c r="AA1008" s="6"/>
      <c r="AB1008" s="8">
        <v>0</v>
      </c>
      <c r="AC1008" s="15">
        <v>27897801315894</v>
      </c>
      <c r="AD1008" s="4" t="s">
        <v>992</v>
      </c>
    </row>
    <row r="1009" spans="2:30" x14ac:dyDescent="0.35">
      <c r="B1009" s="14">
        <v>1838</v>
      </c>
      <c r="C1009" s="4" t="s">
        <v>954</v>
      </c>
      <c r="D1009" s="4" t="s">
        <v>2378</v>
      </c>
      <c r="E1009" s="4" t="s">
        <v>2912</v>
      </c>
      <c r="F1009" s="4" t="s">
        <v>85</v>
      </c>
      <c r="G1009" s="4" t="s">
        <v>1014</v>
      </c>
      <c r="H1009" s="6">
        <v>0.374</v>
      </c>
      <c r="I1009" s="8">
        <v>30</v>
      </c>
      <c r="J1009" s="8">
        <v>290</v>
      </c>
      <c r="K1009" s="8">
        <v>120</v>
      </c>
      <c r="L1009" s="8">
        <f t="shared" si="57"/>
        <v>1044000</v>
      </c>
      <c r="M1009" s="15">
        <v>7897801315906</v>
      </c>
      <c r="N1009" s="6" t="s">
        <v>20</v>
      </c>
      <c r="O1009" s="6" t="s">
        <v>20</v>
      </c>
      <c r="P1009" s="6" t="s">
        <v>20</v>
      </c>
      <c r="Q1009" s="6">
        <v>0.12</v>
      </c>
      <c r="R1009" s="6">
        <v>0.03</v>
      </c>
      <c r="S1009" s="6">
        <v>0.28999999999999998</v>
      </c>
      <c r="T1009" s="8">
        <v>1</v>
      </c>
      <c r="U1009" s="5" t="s">
        <v>1020</v>
      </c>
      <c r="V1009" s="89">
        <v>5.2000000000000005E-2</v>
      </c>
      <c r="W1009" s="15">
        <v>17897801315903</v>
      </c>
      <c r="X1009" s="6">
        <v>0.34499999999999997</v>
      </c>
      <c r="Y1009" s="6">
        <v>0.255</v>
      </c>
      <c r="Z1009" s="6">
        <v>0.375</v>
      </c>
      <c r="AA1009" s="6">
        <f>Y1009*X1009*Z1009</f>
        <v>3.2990624999999996E-2</v>
      </c>
      <c r="AB1009" s="8">
        <v>24</v>
      </c>
      <c r="AC1009" s="15">
        <v>27897801315900</v>
      </c>
      <c r="AD1009" s="4" t="s">
        <v>992</v>
      </c>
    </row>
    <row r="1010" spans="2:30" x14ac:dyDescent="0.35">
      <c r="B1010" s="18">
        <v>1840</v>
      </c>
      <c r="C1010" s="24" t="s">
        <v>2441</v>
      </c>
      <c r="D1010" s="4" t="s">
        <v>2378</v>
      </c>
      <c r="E1010" s="4" t="s">
        <v>2912</v>
      </c>
      <c r="F1010" s="4" t="s">
        <v>85</v>
      </c>
      <c r="G1010" s="4" t="s">
        <v>1014</v>
      </c>
      <c r="H1010" s="6">
        <v>2.6926000000000001</v>
      </c>
      <c r="I1010" s="8">
        <v>490</v>
      </c>
      <c r="J1010" s="8">
        <v>250</v>
      </c>
      <c r="K1010" s="8">
        <v>150</v>
      </c>
      <c r="L1010" s="8">
        <v>18375000</v>
      </c>
      <c r="M1010" s="15">
        <v>7897801315913</v>
      </c>
      <c r="N1010" s="6" t="s">
        <v>20</v>
      </c>
      <c r="O1010" s="6" t="s">
        <v>20</v>
      </c>
      <c r="P1010" s="6" t="s">
        <v>20</v>
      </c>
      <c r="Q1010" s="6">
        <v>0.49</v>
      </c>
      <c r="R1010" s="6">
        <v>0.25</v>
      </c>
      <c r="S1010" s="6">
        <v>0.15</v>
      </c>
      <c r="T1010" s="8">
        <v>1</v>
      </c>
      <c r="U1010" s="5" t="s">
        <v>1021</v>
      </c>
      <c r="V1010" s="89">
        <v>0</v>
      </c>
      <c r="W1010" s="15">
        <v>17897801315910</v>
      </c>
      <c r="X1010" s="6" t="s">
        <v>20</v>
      </c>
      <c r="Y1010" s="6" t="s">
        <v>20</v>
      </c>
      <c r="Z1010" s="6" t="s">
        <v>20</v>
      </c>
      <c r="AA1010" s="6" t="s">
        <v>20</v>
      </c>
      <c r="AB1010" s="6" t="s">
        <v>20</v>
      </c>
      <c r="AC1010" s="15">
        <v>27897801315917</v>
      </c>
      <c r="AD1010" s="4" t="s">
        <v>992</v>
      </c>
    </row>
    <row r="1011" spans="2:30" x14ac:dyDescent="0.35">
      <c r="B1011" s="14">
        <v>1841</v>
      </c>
      <c r="C1011" s="4" t="s">
        <v>955</v>
      </c>
      <c r="D1011" s="4" t="s">
        <v>2378</v>
      </c>
      <c r="E1011" s="4" t="s">
        <v>2912</v>
      </c>
      <c r="F1011" s="4" t="s">
        <v>85</v>
      </c>
      <c r="G1011" s="4" t="s">
        <v>1014</v>
      </c>
      <c r="H1011" s="6">
        <v>26.609000000000002</v>
      </c>
      <c r="I1011" s="8">
        <v>100</v>
      </c>
      <c r="J1011" s="8">
        <v>250</v>
      </c>
      <c r="K1011" s="8">
        <v>500</v>
      </c>
      <c r="L1011" s="8">
        <f>J1011*I1011*K1011</f>
        <v>12500000</v>
      </c>
      <c r="M1011" s="15">
        <v>7897801315920</v>
      </c>
      <c r="N1011" s="6" t="s">
        <v>20</v>
      </c>
      <c r="O1011" s="6" t="s">
        <v>20</v>
      </c>
      <c r="P1011" s="6" t="s">
        <v>20</v>
      </c>
      <c r="Q1011" s="6">
        <v>0.45500000000000002</v>
      </c>
      <c r="R1011" s="6">
        <v>0.27</v>
      </c>
      <c r="S1011" s="6">
        <v>0.26500000000000001</v>
      </c>
      <c r="T1011" s="8">
        <v>1</v>
      </c>
      <c r="U1011" s="5" t="s">
        <v>1021</v>
      </c>
      <c r="V1011" s="89">
        <v>0</v>
      </c>
      <c r="W1011" s="15">
        <v>17897801315927</v>
      </c>
      <c r="X1011" s="6" t="s">
        <v>20</v>
      </c>
      <c r="Y1011" s="6" t="s">
        <v>20</v>
      </c>
      <c r="Z1011" s="6" t="s">
        <v>20</v>
      </c>
      <c r="AA1011" s="6"/>
      <c r="AB1011" s="8">
        <v>0</v>
      </c>
      <c r="AC1011" s="15">
        <v>27897801315924</v>
      </c>
      <c r="AD1011" s="4" t="s">
        <v>992</v>
      </c>
    </row>
    <row r="1012" spans="2:30" x14ac:dyDescent="0.35">
      <c r="B1012" s="14">
        <v>1842</v>
      </c>
      <c r="C1012" s="4" t="s">
        <v>956</v>
      </c>
      <c r="D1012" s="4" t="s">
        <v>2378</v>
      </c>
      <c r="E1012" s="4" t="s">
        <v>2912</v>
      </c>
      <c r="F1012" s="4" t="s">
        <v>85</v>
      </c>
      <c r="G1012" s="4" t="s">
        <v>1014</v>
      </c>
      <c r="H1012" s="6">
        <v>29.411000000000001</v>
      </c>
      <c r="I1012" s="8">
        <v>100</v>
      </c>
      <c r="J1012" s="8">
        <v>250</v>
      </c>
      <c r="K1012" s="8">
        <v>500</v>
      </c>
      <c r="L1012" s="8">
        <f>J1012*I1012*K1012</f>
        <v>12500000</v>
      </c>
      <c r="M1012" s="15">
        <v>7897801315937</v>
      </c>
      <c r="N1012" s="6" t="s">
        <v>20</v>
      </c>
      <c r="O1012" s="6" t="s">
        <v>20</v>
      </c>
      <c r="P1012" s="6" t="s">
        <v>20</v>
      </c>
      <c r="Q1012" s="6">
        <v>0.45500000000000002</v>
      </c>
      <c r="R1012" s="6">
        <v>0.27</v>
      </c>
      <c r="S1012" s="6">
        <v>0.26500000000000001</v>
      </c>
      <c r="T1012" s="8">
        <v>1</v>
      </c>
      <c r="U1012" s="5" t="s">
        <v>1021</v>
      </c>
      <c r="V1012" s="89">
        <v>0</v>
      </c>
      <c r="W1012" s="15">
        <v>17897801315934</v>
      </c>
      <c r="X1012" s="6" t="s">
        <v>20</v>
      </c>
      <c r="Y1012" s="6" t="s">
        <v>20</v>
      </c>
      <c r="Z1012" s="6" t="s">
        <v>20</v>
      </c>
      <c r="AA1012" s="6"/>
      <c r="AB1012" s="8">
        <v>0</v>
      </c>
      <c r="AC1012" s="15">
        <v>27897801315931</v>
      </c>
      <c r="AD1012" s="4" t="s">
        <v>992</v>
      </c>
    </row>
    <row r="1013" spans="2:30" x14ac:dyDescent="0.35">
      <c r="B1013" s="18">
        <v>1844</v>
      </c>
      <c r="C1013" s="24" t="s">
        <v>2442</v>
      </c>
      <c r="D1013" s="4" t="s">
        <v>2378</v>
      </c>
      <c r="E1013" s="4" t="s">
        <v>2912</v>
      </c>
      <c r="F1013" s="4" t="s">
        <v>85</v>
      </c>
      <c r="G1013" s="4" t="s">
        <v>1014</v>
      </c>
      <c r="H1013" s="6">
        <v>2.6608999999999998</v>
      </c>
      <c r="I1013" s="8">
        <v>450</v>
      </c>
      <c r="J1013" s="8">
        <v>250</v>
      </c>
      <c r="K1013" s="8">
        <v>120</v>
      </c>
      <c r="L1013" s="8">
        <v>13500000</v>
      </c>
      <c r="M1013" s="15">
        <v>7897801319478</v>
      </c>
      <c r="N1013" s="6" t="s">
        <v>20</v>
      </c>
      <c r="O1013" s="6" t="s">
        <v>20</v>
      </c>
      <c r="P1013" s="6" t="s">
        <v>20</v>
      </c>
      <c r="Q1013" s="6">
        <v>0.45</v>
      </c>
      <c r="R1013" s="6">
        <v>0.25</v>
      </c>
      <c r="S1013" s="6">
        <v>0.12</v>
      </c>
      <c r="T1013" s="8">
        <v>1</v>
      </c>
      <c r="U1013" s="5" t="s">
        <v>1021</v>
      </c>
      <c r="V1013" s="89">
        <v>0</v>
      </c>
      <c r="W1013" s="15">
        <v>17897801319475</v>
      </c>
      <c r="X1013" s="6">
        <v>0.48</v>
      </c>
      <c r="Y1013" s="6">
        <v>0.28000000000000003</v>
      </c>
      <c r="Z1013" s="6">
        <v>0.27</v>
      </c>
      <c r="AA1013" s="6">
        <v>3.6299999999999999E-2</v>
      </c>
      <c r="AB1013" s="8" t="s">
        <v>2424</v>
      </c>
      <c r="AC1013" s="15">
        <v>27897801319472</v>
      </c>
      <c r="AD1013" s="4" t="s">
        <v>992</v>
      </c>
    </row>
    <row r="1014" spans="2:30" x14ac:dyDescent="0.35">
      <c r="B1014" s="14">
        <v>1845</v>
      </c>
      <c r="C1014" s="4" t="s">
        <v>957</v>
      </c>
      <c r="D1014" s="4" t="s">
        <v>2373</v>
      </c>
      <c r="E1014" s="4" t="s">
        <v>2912</v>
      </c>
      <c r="F1014" s="4" t="s">
        <v>85</v>
      </c>
      <c r="G1014" s="4" t="s">
        <v>993</v>
      </c>
      <c r="H1014" s="6">
        <v>5.8500000000000003E-2</v>
      </c>
      <c r="I1014" s="8">
        <v>38</v>
      </c>
      <c r="J1014" s="8">
        <v>46</v>
      </c>
      <c r="K1014" s="8">
        <v>55</v>
      </c>
      <c r="L1014" s="8">
        <f t="shared" ref="L1014:L1018" si="58">J1014*I1014*K1014</f>
        <v>96140</v>
      </c>
      <c r="M1014" s="15">
        <v>7897801316798</v>
      </c>
      <c r="N1014" s="6" t="s">
        <v>20</v>
      </c>
      <c r="O1014" s="6" t="s">
        <v>20</v>
      </c>
      <c r="P1014" s="6" t="s">
        <v>20</v>
      </c>
      <c r="Q1014" s="6">
        <v>0.17</v>
      </c>
      <c r="R1014" s="6">
        <v>4.5999999999999999E-2</v>
      </c>
      <c r="S1014" s="6">
        <v>0.19500000000000001</v>
      </c>
      <c r="T1014" s="8">
        <v>10</v>
      </c>
      <c r="U1014" s="5" t="s">
        <v>994</v>
      </c>
      <c r="V1014" s="89">
        <v>0</v>
      </c>
      <c r="W1014" s="15">
        <v>17897801316795</v>
      </c>
      <c r="X1014" s="6">
        <v>0.255</v>
      </c>
      <c r="Y1014" s="6">
        <v>0.25</v>
      </c>
      <c r="Z1014" s="6">
        <v>0.32500000000000001</v>
      </c>
      <c r="AA1014" s="6">
        <f>Y1014*X1014*Z1014</f>
        <v>2.0718750000000001E-2</v>
      </c>
      <c r="AB1014" s="8">
        <v>160</v>
      </c>
      <c r="AC1014" s="15">
        <v>27897801316792</v>
      </c>
      <c r="AD1014" s="4" t="s">
        <v>992</v>
      </c>
    </row>
    <row r="1015" spans="2:30" x14ac:dyDescent="0.35">
      <c r="B1015" s="14">
        <v>1889</v>
      </c>
      <c r="C1015" s="4" t="s">
        <v>958</v>
      </c>
      <c r="D1015" s="4" t="s">
        <v>2378</v>
      </c>
      <c r="E1015" s="4" t="s">
        <v>2912</v>
      </c>
      <c r="F1015" s="4" t="s">
        <v>85</v>
      </c>
      <c r="G1015" s="4" t="s">
        <v>1014</v>
      </c>
      <c r="H1015" s="27">
        <v>0.1777</v>
      </c>
      <c r="I1015" s="8">
        <v>50</v>
      </c>
      <c r="J1015" s="8">
        <v>95</v>
      </c>
      <c r="K1015" s="8">
        <v>90</v>
      </c>
      <c r="L1015" s="8">
        <f t="shared" si="58"/>
        <v>427500</v>
      </c>
      <c r="M1015" s="15">
        <v>7897801316453</v>
      </c>
      <c r="N1015" s="6" t="s">
        <v>20</v>
      </c>
      <c r="O1015" s="6" t="s">
        <v>20</v>
      </c>
      <c r="P1015" s="6" t="s">
        <v>20</v>
      </c>
      <c r="Q1015" s="6">
        <v>0.09</v>
      </c>
      <c r="R1015" s="6">
        <v>0.06</v>
      </c>
      <c r="S1015" s="6">
        <v>0.1</v>
      </c>
      <c r="T1015" s="8">
        <v>1</v>
      </c>
      <c r="U1015" s="5" t="s">
        <v>1019</v>
      </c>
      <c r="V1015" s="89">
        <v>0</v>
      </c>
      <c r="W1015" s="15">
        <v>17897801316450</v>
      </c>
      <c r="X1015" s="6" t="s">
        <v>20</v>
      </c>
      <c r="Y1015" s="6" t="s">
        <v>20</v>
      </c>
      <c r="Z1015" s="6" t="s">
        <v>20</v>
      </c>
      <c r="AA1015" s="6"/>
      <c r="AB1015" s="8">
        <v>0</v>
      </c>
      <c r="AC1015" s="15">
        <v>27897801316457</v>
      </c>
      <c r="AD1015" s="4" t="s">
        <v>992</v>
      </c>
    </row>
    <row r="1016" spans="2:30" x14ac:dyDescent="0.35">
      <c r="B1016" s="14">
        <v>1890</v>
      </c>
      <c r="C1016" s="4" t="s">
        <v>959</v>
      </c>
      <c r="D1016" s="4" t="s">
        <v>2378</v>
      </c>
      <c r="E1016" s="4" t="s">
        <v>2912</v>
      </c>
      <c r="F1016" s="4" t="s">
        <v>85</v>
      </c>
      <c r="G1016" s="4" t="s">
        <v>1014</v>
      </c>
      <c r="H1016" s="27">
        <v>0.1459</v>
      </c>
      <c r="I1016" s="8">
        <v>50</v>
      </c>
      <c r="J1016" s="8">
        <v>95</v>
      </c>
      <c r="K1016" s="8">
        <v>90</v>
      </c>
      <c r="L1016" s="8">
        <f t="shared" si="58"/>
        <v>427500</v>
      </c>
      <c r="M1016" s="15">
        <v>7897801316927</v>
      </c>
      <c r="N1016" s="6" t="s">
        <v>20</v>
      </c>
      <c r="O1016" s="6" t="s">
        <v>20</v>
      </c>
      <c r="P1016" s="6" t="s">
        <v>20</v>
      </c>
      <c r="Q1016" s="6">
        <v>0.09</v>
      </c>
      <c r="R1016" s="6">
        <v>0.06</v>
      </c>
      <c r="S1016" s="6">
        <v>0.1</v>
      </c>
      <c r="T1016" s="8">
        <v>1</v>
      </c>
      <c r="U1016" s="5" t="s">
        <v>1019</v>
      </c>
      <c r="V1016" s="89">
        <v>0</v>
      </c>
      <c r="W1016" s="15">
        <v>17897801316924</v>
      </c>
      <c r="X1016" s="6" t="s">
        <v>20</v>
      </c>
      <c r="Y1016" s="6" t="s">
        <v>20</v>
      </c>
      <c r="Z1016" s="6" t="s">
        <v>20</v>
      </c>
      <c r="AA1016" s="6"/>
      <c r="AB1016" s="8">
        <v>0</v>
      </c>
      <c r="AC1016" s="15">
        <v>27897801316921</v>
      </c>
      <c r="AD1016" s="4" t="s">
        <v>992</v>
      </c>
    </row>
    <row r="1017" spans="2:30" x14ac:dyDescent="0.35">
      <c r="B1017" s="14">
        <v>1892</v>
      </c>
      <c r="C1017" s="4" t="s">
        <v>960</v>
      </c>
      <c r="D1017" s="4" t="s">
        <v>2373</v>
      </c>
      <c r="E1017" s="4" t="s">
        <v>2912</v>
      </c>
      <c r="F1017" s="4" t="s">
        <v>85</v>
      </c>
      <c r="G1017" s="4" t="s">
        <v>993</v>
      </c>
      <c r="H1017" s="6">
        <v>0.85570000000000002</v>
      </c>
      <c r="I1017" s="8">
        <v>122</v>
      </c>
      <c r="J1017" s="8">
        <v>145</v>
      </c>
      <c r="K1017" s="8">
        <v>165</v>
      </c>
      <c r="L1017" s="8">
        <f t="shared" si="58"/>
        <v>2918850</v>
      </c>
      <c r="M1017" s="15">
        <v>7897801316729</v>
      </c>
      <c r="N1017" s="6" t="s">
        <v>20</v>
      </c>
      <c r="O1017" s="6" t="s">
        <v>20</v>
      </c>
      <c r="P1017" s="6" t="s">
        <v>20</v>
      </c>
      <c r="Q1017" s="6">
        <v>0.12</v>
      </c>
      <c r="R1017" s="6">
        <v>0.14299999999999999</v>
      </c>
      <c r="S1017" s="6">
        <v>0.16500000000000001</v>
      </c>
      <c r="T1017" s="8">
        <v>1</v>
      </c>
      <c r="U1017" s="5" t="s">
        <v>994</v>
      </c>
      <c r="V1017" s="89">
        <v>0</v>
      </c>
      <c r="W1017" s="15">
        <v>17897801316726</v>
      </c>
      <c r="X1017" s="6">
        <v>0.34499999999999997</v>
      </c>
      <c r="Y1017" s="6">
        <v>0.255</v>
      </c>
      <c r="Z1017" s="6">
        <v>0.375</v>
      </c>
      <c r="AA1017" s="6">
        <f t="shared" ref="AA1017:AA1018" si="59">Y1017*X1017*Z1017</f>
        <v>3.2990624999999996E-2</v>
      </c>
      <c r="AB1017" s="8">
        <v>8</v>
      </c>
      <c r="AC1017" s="15">
        <v>27897801316723</v>
      </c>
      <c r="AD1017" s="4" t="s">
        <v>992</v>
      </c>
    </row>
    <row r="1018" spans="2:30" x14ac:dyDescent="0.35">
      <c r="B1018" s="14">
        <v>1893</v>
      </c>
      <c r="C1018" s="4" t="s">
        <v>961</v>
      </c>
      <c r="D1018" s="4" t="s">
        <v>2373</v>
      </c>
      <c r="E1018" s="4" t="s">
        <v>2912</v>
      </c>
      <c r="F1018" s="4" t="s">
        <v>85</v>
      </c>
      <c r="G1018" s="4" t="s">
        <v>993</v>
      </c>
      <c r="H1018" s="6">
        <v>1.4910000000000001</v>
      </c>
      <c r="I1018" s="8">
        <v>148</v>
      </c>
      <c r="J1018" s="8">
        <v>175</v>
      </c>
      <c r="K1018" s="8">
        <v>198</v>
      </c>
      <c r="L1018" s="8">
        <f t="shared" si="58"/>
        <v>5128200</v>
      </c>
      <c r="M1018" s="15">
        <v>7897801316736</v>
      </c>
      <c r="N1018" s="6" t="s">
        <v>20</v>
      </c>
      <c r="O1018" s="6" t="s">
        <v>20</v>
      </c>
      <c r="P1018" s="6" t="s">
        <v>20</v>
      </c>
      <c r="Q1018" s="6">
        <v>0.17499999999999999</v>
      </c>
      <c r="R1018" s="6">
        <v>0.15</v>
      </c>
      <c r="S1018" s="6">
        <v>0.2</v>
      </c>
      <c r="T1018" s="8">
        <v>1</v>
      </c>
      <c r="U1018" s="5" t="s">
        <v>994</v>
      </c>
      <c r="V1018" s="89">
        <v>0</v>
      </c>
      <c r="W1018" s="15">
        <v>17897801316733</v>
      </c>
      <c r="X1018" s="6">
        <v>0.34499999999999997</v>
      </c>
      <c r="Y1018" s="6">
        <v>0.255</v>
      </c>
      <c r="Z1018" s="6">
        <v>0.375</v>
      </c>
      <c r="AA1018" s="6">
        <f t="shared" si="59"/>
        <v>3.2990624999999996E-2</v>
      </c>
      <c r="AB1018" s="8">
        <v>4</v>
      </c>
      <c r="AC1018" s="15">
        <v>27897801316730</v>
      </c>
      <c r="AD1018" s="4" t="s">
        <v>992</v>
      </c>
    </row>
    <row r="1019" spans="2:30" x14ac:dyDescent="0.35">
      <c r="B1019" s="18"/>
      <c r="C1019" s="4"/>
      <c r="D1019" s="4"/>
      <c r="E1019" s="4"/>
      <c r="F1019" s="4"/>
      <c r="G1019" s="4"/>
      <c r="H1019" s="6"/>
      <c r="I1019" s="8"/>
      <c r="J1019" s="8"/>
      <c r="K1019" s="8"/>
      <c r="L1019" s="28"/>
      <c r="M1019" s="15"/>
      <c r="N1019" s="6"/>
      <c r="O1019" s="6"/>
      <c r="P1019" s="6"/>
      <c r="Q1019" s="6"/>
      <c r="R1019" s="6"/>
      <c r="S1019" s="6"/>
      <c r="T1019" s="8"/>
      <c r="U1019" s="5"/>
      <c r="V1019" s="5"/>
      <c r="W1019" s="15"/>
      <c r="X1019" s="6"/>
      <c r="Y1019" s="6"/>
      <c r="Z1019" s="6"/>
      <c r="AA1019" s="6"/>
      <c r="AB1019" s="6"/>
      <c r="AC1019" s="6"/>
      <c r="AD1019" s="4"/>
    </row>
    <row r="1020" spans="2:30" x14ac:dyDescent="0.35">
      <c r="H1020" s="76"/>
    </row>
    <row r="1021" spans="2:30" x14ac:dyDescent="0.35">
      <c r="H1021" s="76"/>
    </row>
    <row r="1022" spans="2:30" x14ac:dyDescent="0.35">
      <c r="H1022" s="76"/>
    </row>
    <row r="1023" spans="2:30" x14ac:dyDescent="0.35">
      <c r="H1023" s="76"/>
    </row>
    <row r="1024" spans="2:30" x14ac:dyDescent="0.35">
      <c r="H1024" s="76"/>
    </row>
    <row r="1025" spans="8:8" x14ac:dyDescent="0.35">
      <c r="H1025" s="76"/>
    </row>
    <row r="1026" spans="8:8" x14ac:dyDescent="0.35">
      <c r="H1026" s="76"/>
    </row>
    <row r="1027" spans="8:8" x14ac:dyDescent="0.35">
      <c r="H1027" s="76"/>
    </row>
    <row r="1028" spans="8:8" x14ac:dyDescent="0.35">
      <c r="H1028" s="76"/>
    </row>
    <row r="1029" spans="8:8" x14ac:dyDescent="0.35">
      <c r="H1029" s="76"/>
    </row>
    <row r="1030" spans="8:8" x14ac:dyDescent="0.35">
      <c r="H1030" s="76"/>
    </row>
    <row r="1031" spans="8:8" x14ac:dyDescent="0.35">
      <c r="H1031" s="76"/>
    </row>
    <row r="1032" spans="8:8" x14ac:dyDescent="0.35">
      <c r="H1032" s="76"/>
    </row>
    <row r="1033" spans="8:8" x14ac:dyDescent="0.35">
      <c r="H1033" s="76"/>
    </row>
  </sheetData>
  <autoFilter ref="B3:AD1019">
    <sortState ref="B4:AD1055">
      <sortCondition ref="B3:B1055"/>
    </sortState>
  </autoFilter>
  <mergeCells count="4">
    <mergeCell ref="H2:M2"/>
    <mergeCell ref="N2:P2"/>
    <mergeCell ref="Q2:W2"/>
    <mergeCell ref="X2:AC2"/>
  </mergeCell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73"/>
  <sheetViews>
    <sheetView showGridLines="0" zoomScale="90" zoomScaleNormal="90" workbookViewId="0">
      <pane xSplit="1" ySplit="2" topLeftCell="B13" activePane="bottomRight" state="frozen"/>
      <selection pane="topRight" activeCell="B1" sqref="B1"/>
      <selection pane="bottomLeft" activeCell="A3" sqref="A3"/>
      <selection pane="bottomRight" activeCell="D19" sqref="D19"/>
    </sheetView>
  </sheetViews>
  <sheetFormatPr defaultColWidth="10.54296875" defaultRowHeight="14.5" x14ac:dyDescent="0.35"/>
  <cols>
    <col min="1" max="1" width="3.81640625" customWidth="1"/>
    <col min="2" max="2" width="10.453125" style="1" bestFit="1" customWidth="1"/>
    <col min="3" max="3" width="47.453125" style="72" customWidth="1"/>
    <col min="4" max="4" width="37.26953125" customWidth="1"/>
    <col min="5" max="6" width="38.81640625" style="56" customWidth="1"/>
    <col min="7" max="7" width="51.26953125" style="57" customWidth="1"/>
    <col min="8" max="9" width="38.81640625" style="58" customWidth="1"/>
  </cols>
  <sheetData>
    <row r="2" spans="2:9" ht="39" customHeight="1" x14ac:dyDescent="0.35">
      <c r="B2" s="52" t="s">
        <v>1</v>
      </c>
      <c r="C2" s="52" t="s">
        <v>2</v>
      </c>
      <c r="D2" s="52" t="s">
        <v>1949</v>
      </c>
      <c r="E2" s="52" t="s">
        <v>2446</v>
      </c>
      <c r="F2" s="52" t="s">
        <v>2447</v>
      </c>
      <c r="G2" s="52" t="s">
        <v>2448</v>
      </c>
      <c r="H2" s="52" t="s">
        <v>2449</v>
      </c>
      <c r="I2" s="52" t="s">
        <v>2450</v>
      </c>
    </row>
    <row r="3" spans="2:9" x14ac:dyDescent="0.35">
      <c r="B3" s="59">
        <v>23</v>
      </c>
      <c r="C3" s="25" t="s">
        <v>18</v>
      </c>
      <c r="D3" s="53" t="s">
        <v>2390</v>
      </c>
      <c r="E3" s="53"/>
      <c r="F3" s="53"/>
      <c r="G3" s="53"/>
      <c r="H3" s="53"/>
      <c r="I3" s="53"/>
    </row>
    <row r="4" spans="2:9" x14ac:dyDescent="0.35">
      <c r="B4" s="59">
        <v>24</v>
      </c>
      <c r="C4" s="25" t="s">
        <v>21</v>
      </c>
      <c r="D4" s="53" t="s">
        <v>2390</v>
      </c>
      <c r="E4" s="53"/>
      <c r="F4" s="53"/>
      <c r="G4" s="53"/>
      <c r="H4" s="53"/>
      <c r="I4" s="53"/>
    </row>
    <row r="5" spans="2:9" x14ac:dyDescent="0.35">
      <c r="B5" s="59">
        <v>25</v>
      </c>
      <c r="C5" s="25" t="s">
        <v>22</v>
      </c>
      <c r="D5" s="53" t="s">
        <v>2390</v>
      </c>
      <c r="E5" s="53"/>
      <c r="F5" s="53"/>
      <c r="G5" s="53"/>
      <c r="H5" s="53"/>
      <c r="I5" s="53"/>
    </row>
    <row r="6" spans="2:9" x14ac:dyDescent="0.35">
      <c r="B6" s="59">
        <v>26</v>
      </c>
      <c r="C6" s="25" t="s">
        <v>23</v>
      </c>
      <c r="D6" s="53" t="s">
        <v>2390</v>
      </c>
      <c r="E6" s="53"/>
      <c r="F6" s="53"/>
      <c r="G6" s="53"/>
      <c r="H6" s="53"/>
      <c r="I6" s="53"/>
    </row>
    <row r="7" spans="2:9" x14ac:dyDescent="0.35">
      <c r="B7" s="59">
        <v>27</v>
      </c>
      <c r="C7" s="25" t="s">
        <v>24</v>
      </c>
      <c r="D7" s="53" t="s">
        <v>2390</v>
      </c>
      <c r="E7" s="53"/>
      <c r="F7" s="53"/>
      <c r="G7" s="53"/>
      <c r="H7" s="53"/>
      <c r="I7" s="53"/>
    </row>
    <row r="8" spans="2:9" x14ac:dyDescent="0.35">
      <c r="B8" s="59">
        <v>28</v>
      </c>
      <c r="C8" s="25" t="s">
        <v>25</v>
      </c>
      <c r="D8" s="53" t="s">
        <v>2390</v>
      </c>
      <c r="E8" s="53"/>
      <c r="F8" s="53"/>
      <c r="G8" s="53"/>
      <c r="H8" s="53"/>
      <c r="I8" s="53"/>
    </row>
    <row r="9" spans="2:9" x14ac:dyDescent="0.35">
      <c r="B9" s="59">
        <v>29</v>
      </c>
      <c r="C9" s="25" t="s">
        <v>26</v>
      </c>
      <c r="D9" s="53" t="s">
        <v>2390</v>
      </c>
      <c r="E9" s="53"/>
      <c r="F9" s="53"/>
      <c r="G9" s="53"/>
      <c r="H9" s="53"/>
      <c r="I9" s="53"/>
    </row>
    <row r="10" spans="2:9" x14ac:dyDescent="0.35">
      <c r="B10" s="59">
        <v>30</v>
      </c>
      <c r="C10" s="25" t="s">
        <v>27</v>
      </c>
      <c r="D10" s="53" t="s">
        <v>2390</v>
      </c>
      <c r="E10" s="53"/>
      <c r="F10" s="53"/>
      <c r="G10" s="53"/>
      <c r="H10" s="53"/>
      <c r="I10" s="53"/>
    </row>
    <row r="11" spans="2:9" x14ac:dyDescent="0.35">
      <c r="B11" s="59">
        <v>31</v>
      </c>
      <c r="C11" s="25" t="s">
        <v>28</v>
      </c>
      <c r="D11" s="53" t="s">
        <v>2390</v>
      </c>
      <c r="E11" s="53"/>
      <c r="F11" s="53"/>
      <c r="G11" s="53"/>
      <c r="H11" s="53"/>
      <c r="I11" s="53"/>
    </row>
    <row r="12" spans="2:9" x14ac:dyDescent="0.35">
      <c r="B12" s="59">
        <v>32</v>
      </c>
      <c r="C12" s="25" t="s">
        <v>29</v>
      </c>
      <c r="D12" s="53" t="s">
        <v>2390</v>
      </c>
      <c r="E12" s="53"/>
      <c r="F12" s="53"/>
      <c r="G12" s="53"/>
      <c r="H12" s="53"/>
      <c r="I12" s="53"/>
    </row>
    <row r="13" spans="2:9" x14ac:dyDescent="0.35">
      <c r="B13" s="59">
        <v>33</v>
      </c>
      <c r="C13" s="25" t="s">
        <v>30</v>
      </c>
      <c r="D13" s="53" t="s">
        <v>2390</v>
      </c>
      <c r="E13" s="53"/>
      <c r="F13" s="53"/>
      <c r="G13" s="53"/>
      <c r="H13" s="53"/>
      <c r="I13" s="53"/>
    </row>
    <row r="14" spans="2:9" x14ac:dyDescent="0.35">
      <c r="B14" s="59">
        <v>34</v>
      </c>
      <c r="C14" s="25" t="s">
        <v>31</v>
      </c>
      <c r="D14" s="53" t="s">
        <v>2390</v>
      </c>
      <c r="E14" s="53"/>
      <c r="F14" s="53"/>
      <c r="G14" s="53"/>
      <c r="H14" s="53"/>
      <c r="I14" s="53"/>
    </row>
    <row r="15" spans="2:9" x14ac:dyDescent="0.35">
      <c r="B15" s="59">
        <v>35</v>
      </c>
      <c r="C15" s="25" t="s">
        <v>32</v>
      </c>
      <c r="D15" s="53" t="s">
        <v>2390</v>
      </c>
      <c r="E15" s="53"/>
      <c r="F15" s="53"/>
      <c r="G15" s="53"/>
      <c r="H15" s="53"/>
      <c r="I15" s="60"/>
    </row>
    <row r="16" spans="2:9" x14ac:dyDescent="0.35">
      <c r="B16" s="59">
        <v>36</v>
      </c>
      <c r="C16" s="25" t="s">
        <v>33</v>
      </c>
      <c r="D16" s="53" t="s">
        <v>2390</v>
      </c>
      <c r="E16" s="53"/>
      <c r="F16" s="53"/>
      <c r="G16" s="53"/>
      <c r="H16" s="53"/>
      <c r="I16" s="60"/>
    </row>
    <row r="17" spans="2:9" x14ac:dyDescent="0.35">
      <c r="B17" s="59">
        <v>37</v>
      </c>
      <c r="C17" s="25" t="s">
        <v>34</v>
      </c>
      <c r="D17" s="53" t="s">
        <v>2390</v>
      </c>
      <c r="E17" s="53"/>
      <c r="F17" s="53"/>
      <c r="G17" s="53"/>
      <c r="H17" s="53"/>
      <c r="I17" s="60"/>
    </row>
    <row r="18" spans="2:9" x14ac:dyDescent="0.35">
      <c r="B18" s="59">
        <v>38</v>
      </c>
      <c r="C18" s="25" t="s">
        <v>35</v>
      </c>
      <c r="D18" s="53" t="s">
        <v>2390</v>
      </c>
      <c r="E18" s="53"/>
      <c r="F18" s="53"/>
      <c r="G18" s="53"/>
      <c r="H18" s="53"/>
      <c r="I18" s="60"/>
    </row>
    <row r="19" spans="2:9" ht="120" customHeight="1" x14ac:dyDescent="0.35">
      <c r="B19" s="59">
        <v>50</v>
      </c>
      <c r="C19" s="71" t="s">
        <v>36</v>
      </c>
      <c r="D19" s="60" t="s">
        <v>2416</v>
      </c>
      <c r="E19" s="60" t="s">
        <v>2506</v>
      </c>
      <c r="F19" s="60" t="s">
        <v>2507</v>
      </c>
      <c r="G19" s="60" t="s">
        <v>2508</v>
      </c>
      <c r="H19" s="60" t="s">
        <v>2509</v>
      </c>
      <c r="I19" s="60" t="s">
        <v>2510</v>
      </c>
    </row>
    <row r="20" spans="2:9" s="56" customFormat="1" ht="120" customHeight="1" x14ac:dyDescent="0.35">
      <c r="B20" s="59">
        <v>51</v>
      </c>
      <c r="C20" s="71" t="s">
        <v>37</v>
      </c>
      <c r="D20" s="60" t="s">
        <v>2416</v>
      </c>
      <c r="E20" s="60" t="s">
        <v>2506</v>
      </c>
      <c r="F20" s="60" t="s">
        <v>2507</v>
      </c>
      <c r="G20" s="60" t="s">
        <v>2508</v>
      </c>
      <c r="H20" s="60" t="s">
        <v>2509</v>
      </c>
      <c r="I20" s="60" t="s">
        <v>2510</v>
      </c>
    </row>
    <row r="21" spans="2:9" s="56" customFormat="1" ht="120" customHeight="1" x14ac:dyDescent="0.35">
      <c r="B21" s="59">
        <v>52</v>
      </c>
      <c r="C21" s="71" t="s">
        <v>38</v>
      </c>
      <c r="D21" s="60" t="s">
        <v>2416</v>
      </c>
      <c r="E21" s="60" t="s">
        <v>2506</v>
      </c>
      <c r="F21" s="60" t="s">
        <v>2507</v>
      </c>
      <c r="G21" s="60" t="s">
        <v>2508</v>
      </c>
      <c r="H21" s="60" t="s">
        <v>2509</v>
      </c>
      <c r="I21" s="60" t="s">
        <v>2510</v>
      </c>
    </row>
    <row r="22" spans="2:9" x14ac:dyDescent="0.35">
      <c r="B22" s="59">
        <v>100</v>
      </c>
      <c r="C22" s="71" t="s">
        <v>39</v>
      </c>
      <c r="D22" s="60" t="s">
        <v>2379</v>
      </c>
      <c r="E22" s="60"/>
      <c r="F22" s="60"/>
      <c r="G22" s="60"/>
      <c r="H22" s="60"/>
      <c r="I22" s="60"/>
    </row>
    <row r="23" spans="2:9" x14ac:dyDescent="0.35">
      <c r="B23" s="59">
        <v>101</v>
      </c>
      <c r="C23" s="71" t="s">
        <v>40</v>
      </c>
      <c r="D23" s="60" t="s">
        <v>2379</v>
      </c>
      <c r="E23" s="60"/>
      <c r="F23" s="60"/>
      <c r="G23" s="60"/>
      <c r="H23" s="60"/>
      <c r="I23" s="60"/>
    </row>
    <row r="24" spans="2:9" x14ac:dyDescent="0.35">
      <c r="B24" s="59">
        <v>102</v>
      </c>
      <c r="C24" s="71" t="s">
        <v>41</v>
      </c>
      <c r="D24" s="60" t="s">
        <v>2379</v>
      </c>
      <c r="E24" s="60"/>
      <c r="F24" s="60"/>
      <c r="G24" s="60"/>
      <c r="H24" s="60"/>
      <c r="I24" s="60"/>
    </row>
    <row r="25" spans="2:9" x14ac:dyDescent="0.35">
      <c r="B25" s="59">
        <v>103</v>
      </c>
      <c r="C25" s="71" t="s">
        <v>42</v>
      </c>
      <c r="D25" s="60" t="s">
        <v>2379</v>
      </c>
      <c r="E25" s="60"/>
      <c r="F25" s="60"/>
      <c r="G25" s="60"/>
      <c r="H25" s="60"/>
      <c r="I25" s="60"/>
    </row>
    <row r="26" spans="2:9" x14ac:dyDescent="0.35">
      <c r="B26" s="59">
        <v>104</v>
      </c>
      <c r="C26" s="71" t="s">
        <v>43</v>
      </c>
      <c r="D26" s="60" t="s">
        <v>2379</v>
      </c>
      <c r="E26" s="60"/>
      <c r="F26" s="60"/>
      <c r="G26" s="60"/>
      <c r="H26" s="60"/>
      <c r="I26" s="60"/>
    </row>
    <row r="27" spans="2:9" x14ac:dyDescent="0.35">
      <c r="B27" s="59">
        <v>105</v>
      </c>
      <c r="C27" s="71" t="s">
        <v>44</v>
      </c>
      <c r="D27" s="60" t="s">
        <v>2379</v>
      </c>
      <c r="E27" s="60"/>
      <c r="F27" s="60"/>
      <c r="G27" s="60"/>
      <c r="H27" s="60"/>
      <c r="I27" s="60"/>
    </row>
    <row r="28" spans="2:9" x14ac:dyDescent="0.35">
      <c r="B28" s="59">
        <v>106</v>
      </c>
      <c r="C28" s="71" t="s">
        <v>45</v>
      </c>
      <c r="D28" s="60" t="s">
        <v>2379</v>
      </c>
      <c r="E28" s="60"/>
      <c r="F28" s="60"/>
      <c r="G28" s="60"/>
      <c r="H28" s="60"/>
      <c r="I28" s="60"/>
    </row>
    <row r="29" spans="2:9" x14ac:dyDescent="0.35">
      <c r="B29" s="59">
        <v>110</v>
      </c>
      <c r="C29" s="71" t="s">
        <v>46</v>
      </c>
      <c r="D29" s="60" t="s">
        <v>2379</v>
      </c>
      <c r="E29" s="60"/>
      <c r="F29" s="60"/>
      <c r="G29" s="60"/>
      <c r="H29" s="60"/>
      <c r="I29" s="60"/>
    </row>
    <row r="30" spans="2:9" x14ac:dyDescent="0.35">
      <c r="B30" s="59">
        <v>111</v>
      </c>
      <c r="C30" s="71" t="s">
        <v>47</v>
      </c>
      <c r="D30" s="60" t="s">
        <v>2379</v>
      </c>
      <c r="E30" s="60"/>
      <c r="F30" s="60"/>
      <c r="G30" s="60"/>
      <c r="H30" s="60"/>
      <c r="I30" s="60"/>
    </row>
    <row r="31" spans="2:9" x14ac:dyDescent="0.35">
      <c r="B31" s="59">
        <v>112</v>
      </c>
      <c r="C31" s="71" t="s">
        <v>48</v>
      </c>
      <c r="D31" s="60" t="s">
        <v>2379</v>
      </c>
      <c r="E31" s="60"/>
      <c r="F31" s="60"/>
      <c r="G31" s="60"/>
      <c r="H31" s="60"/>
      <c r="I31" s="60"/>
    </row>
    <row r="32" spans="2:9" x14ac:dyDescent="0.35">
      <c r="B32" s="59">
        <v>113</v>
      </c>
      <c r="C32" s="71" t="s">
        <v>49</v>
      </c>
      <c r="D32" s="60" t="s">
        <v>2379</v>
      </c>
      <c r="E32" s="60"/>
      <c r="F32" s="60"/>
      <c r="G32" s="60"/>
      <c r="H32" s="60"/>
      <c r="I32" s="60"/>
    </row>
    <row r="33" spans="2:9" x14ac:dyDescent="0.35">
      <c r="B33" s="59">
        <v>114</v>
      </c>
      <c r="C33" s="71" t="s">
        <v>50</v>
      </c>
      <c r="D33" s="60" t="s">
        <v>2379</v>
      </c>
      <c r="E33" s="60"/>
      <c r="F33" s="60"/>
      <c r="G33" s="60"/>
      <c r="H33" s="60"/>
      <c r="I33" s="60"/>
    </row>
    <row r="34" spans="2:9" x14ac:dyDescent="0.35">
      <c r="B34" s="59">
        <v>115</v>
      </c>
      <c r="C34" s="71" t="s">
        <v>51</v>
      </c>
      <c r="D34" s="60" t="s">
        <v>2379</v>
      </c>
      <c r="E34" s="60"/>
      <c r="F34" s="60"/>
      <c r="G34" s="60"/>
      <c r="H34" s="60"/>
      <c r="I34" s="60"/>
    </row>
    <row r="35" spans="2:9" x14ac:dyDescent="0.35">
      <c r="B35" s="59">
        <v>116</v>
      </c>
      <c r="C35" s="71" t="s">
        <v>52</v>
      </c>
      <c r="D35" s="60" t="s">
        <v>2379</v>
      </c>
      <c r="E35" s="60"/>
      <c r="F35" s="60"/>
      <c r="G35" s="60"/>
      <c r="H35" s="60"/>
      <c r="I35" s="60"/>
    </row>
    <row r="36" spans="2:9" x14ac:dyDescent="0.35">
      <c r="B36" s="59">
        <v>117</v>
      </c>
      <c r="C36" s="71" t="s">
        <v>53</v>
      </c>
      <c r="D36" s="60" t="s">
        <v>2383</v>
      </c>
      <c r="E36" s="60"/>
      <c r="F36" s="60"/>
      <c r="G36" s="60"/>
      <c r="H36" s="60"/>
      <c r="I36" s="60"/>
    </row>
    <row r="37" spans="2:9" x14ac:dyDescent="0.35">
      <c r="B37" s="59">
        <v>118</v>
      </c>
      <c r="C37" s="71" t="s">
        <v>54</v>
      </c>
      <c r="D37" s="60" t="s">
        <v>2383</v>
      </c>
      <c r="E37" s="60"/>
      <c r="F37" s="60"/>
      <c r="G37" s="60"/>
      <c r="H37" s="60"/>
      <c r="I37" s="60"/>
    </row>
    <row r="38" spans="2:9" x14ac:dyDescent="0.35">
      <c r="B38" s="59">
        <v>119</v>
      </c>
      <c r="C38" s="71" t="s">
        <v>2511</v>
      </c>
      <c r="D38" s="60" t="s">
        <v>2383</v>
      </c>
      <c r="E38" s="60"/>
      <c r="F38" s="60"/>
      <c r="G38" s="60"/>
      <c r="H38" s="60"/>
      <c r="I38" s="60"/>
    </row>
    <row r="39" spans="2:9" x14ac:dyDescent="0.35">
      <c r="B39" s="59">
        <v>120</v>
      </c>
      <c r="C39" s="71" t="s">
        <v>2512</v>
      </c>
      <c r="D39" s="60" t="s">
        <v>2383</v>
      </c>
      <c r="E39" s="60"/>
      <c r="F39" s="60"/>
      <c r="G39" s="60"/>
      <c r="H39" s="60"/>
      <c r="I39" s="60"/>
    </row>
    <row r="40" spans="2:9" x14ac:dyDescent="0.35">
      <c r="B40" s="59">
        <v>121</v>
      </c>
      <c r="C40" s="71" t="s">
        <v>2513</v>
      </c>
      <c r="D40" s="60" t="s">
        <v>2383</v>
      </c>
      <c r="E40" s="60"/>
      <c r="F40" s="60"/>
      <c r="G40" s="60"/>
      <c r="H40" s="60"/>
      <c r="I40" s="60"/>
    </row>
    <row r="41" spans="2:9" x14ac:dyDescent="0.35">
      <c r="B41" s="59">
        <v>122</v>
      </c>
      <c r="C41" s="71" t="s">
        <v>58</v>
      </c>
      <c r="D41" s="60" t="s">
        <v>2383</v>
      </c>
      <c r="E41" s="60"/>
      <c r="F41" s="60"/>
      <c r="G41" s="60"/>
      <c r="H41" s="60"/>
      <c r="I41" s="60"/>
    </row>
    <row r="42" spans="2:9" s="56" customFormat="1" ht="120" customHeight="1" x14ac:dyDescent="0.35">
      <c r="B42" s="59">
        <v>136</v>
      </c>
      <c r="C42" s="71" t="s">
        <v>60</v>
      </c>
      <c r="D42" s="60" t="s">
        <v>2379</v>
      </c>
      <c r="E42" s="60" t="s">
        <v>2514</v>
      </c>
      <c r="F42" s="60" t="s">
        <v>2515</v>
      </c>
      <c r="G42" s="60" t="s">
        <v>2516</v>
      </c>
      <c r="H42" s="60" t="s">
        <v>2517</v>
      </c>
      <c r="I42" s="60" t="s">
        <v>2518</v>
      </c>
    </row>
    <row r="43" spans="2:9" s="56" customFormat="1" ht="120" customHeight="1" x14ac:dyDescent="0.35">
      <c r="B43" s="59">
        <v>137</v>
      </c>
      <c r="C43" s="71" t="s">
        <v>61</v>
      </c>
      <c r="D43" s="60" t="s">
        <v>2379</v>
      </c>
      <c r="E43" s="60" t="s">
        <v>2514</v>
      </c>
      <c r="F43" s="60" t="s">
        <v>2515</v>
      </c>
      <c r="G43" s="60" t="s">
        <v>2516</v>
      </c>
      <c r="H43" s="60" t="s">
        <v>2517</v>
      </c>
      <c r="I43" s="60" t="s">
        <v>2518</v>
      </c>
    </row>
    <row r="44" spans="2:9" s="56" customFormat="1" ht="120" customHeight="1" x14ac:dyDescent="0.35">
      <c r="B44" s="59">
        <v>138</v>
      </c>
      <c r="C44" s="71" t="s">
        <v>62</v>
      </c>
      <c r="D44" s="60" t="s">
        <v>2379</v>
      </c>
      <c r="E44" s="60" t="s">
        <v>2514</v>
      </c>
      <c r="F44" s="60" t="s">
        <v>2515</v>
      </c>
      <c r="G44" s="60" t="s">
        <v>2516</v>
      </c>
      <c r="H44" s="60" t="s">
        <v>2517</v>
      </c>
      <c r="I44" s="60" t="s">
        <v>2518</v>
      </c>
    </row>
    <row r="45" spans="2:9" s="56" customFormat="1" ht="120" customHeight="1" x14ac:dyDescent="0.35">
      <c r="B45" s="59">
        <v>139</v>
      </c>
      <c r="C45" s="71" t="s">
        <v>63</v>
      </c>
      <c r="D45" s="60" t="s">
        <v>2379</v>
      </c>
      <c r="E45" s="60" t="s">
        <v>2514</v>
      </c>
      <c r="F45" s="60" t="s">
        <v>2515</v>
      </c>
      <c r="G45" s="60" t="s">
        <v>2516</v>
      </c>
      <c r="H45" s="60" t="s">
        <v>2517</v>
      </c>
      <c r="I45" s="60" t="s">
        <v>2518</v>
      </c>
    </row>
    <row r="46" spans="2:9" s="56" customFormat="1" ht="120" customHeight="1" x14ac:dyDescent="0.35">
      <c r="B46" s="59">
        <v>147</v>
      </c>
      <c r="C46" s="71" t="s">
        <v>64</v>
      </c>
      <c r="D46" s="60" t="s">
        <v>2391</v>
      </c>
      <c r="E46" s="60" t="s">
        <v>2519</v>
      </c>
      <c r="F46" s="60" t="s">
        <v>2520</v>
      </c>
      <c r="G46" s="60" t="s">
        <v>2521</v>
      </c>
      <c r="H46" s="60" t="s">
        <v>2522</v>
      </c>
      <c r="I46" s="60" t="s">
        <v>2523</v>
      </c>
    </row>
    <row r="47" spans="2:9" s="56" customFormat="1" ht="120" customHeight="1" x14ac:dyDescent="0.35">
      <c r="B47" s="59">
        <v>148</v>
      </c>
      <c r="C47" s="71" t="s">
        <v>65</v>
      </c>
      <c r="D47" s="60" t="s">
        <v>2391</v>
      </c>
      <c r="E47" s="60" t="s">
        <v>2519</v>
      </c>
      <c r="F47" s="60" t="s">
        <v>2520</v>
      </c>
      <c r="G47" s="60" t="s">
        <v>2521</v>
      </c>
      <c r="H47" s="60" t="s">
        <v>2522</v>
      </c>
      <c r="I47" s="60" t="s">
        <v>2523</v>
      </c>
    </row>
    <row r="48" spans="2:9" s="56" customFormat="1" ht="120" customHeight="1" x14ac:dyDescent="0.35">
      <c r="B48" s="59">
        <v>149</v>
      </c>
      <c r="C48" s="71" t="s">
        <v>66</v>
      </c>
      <c r="D48" s="60" t="s">
        <v>2391</v>
      </c>
      <c r="E48" s="60" t="s">
        <v>2519</v>
      </c>
      <c r="F48" s="60" t="s">
        <v>2520</v>
      </c>
      <c r="G48" s="60" t="s">
        <v>2521</v>
      </c>
      <c r="H48" s="60" t="s">
        <v>2522</v>
      </c>
      <c r="I48" s="60" t="s">
        <v>2523</v>
      </c>
    </row>
    <row r="49" spans="2:9" s="56" customFormat="1" ht="120" customHeight="1" x14ac:dyDescent="0.35">
      <c r="B49" s="59">
        <v>150</v>
      </c>
      <c r="C49" s="71" t="s">
        <v>67</v>
      </c>
      <c r="D49" s="60" t="s">
        <v>2391</v>
      </c>
      <c r="E49" s="60" t="s">
        <v>2519</v>
      </c>
      <c r="F49" s="60" t="s">
        <v>2520</v>
      </c>
      <c r="G49" s="60" t="s">
        <v>2521</v>
      </c>
      <c r="H49" s="60" t="s">
        <v>2522</v>
      </c>
      <c r="I49" s="60" t="s">
        <v>2523</v>
      </c>
    </row>
    <row r="50" spans="2:9" s="56" customFormat="1" ht="120" customHeight="1" x14ac:dyDescent="0.35">
      <c r="B50" s="59">
        <v>151</v>
      </c>
      <c r="C50" s="71" t="s">
        <v>68</v>
      </c>
      <c r="D50" s="60" t="s">
        <v>2391</v>
      </c>
      <c r="E50" s="60" t="s">
        <v>2519</v>
      </c>
      <c r="F50" s="60" t="s">
        <v>2520</v>
      </c>
      <c r="G50" s="60" t="s">
        <v>2521</v>
      </c>
      <c r="H50" s="60" t="s">
        <v>2522</v>
      </c>
      <c r="I50" s="60" t="s">
        <v>2523</v>
      </c>
    </row>
    <row r="51" spans="2:9" s="56" customFormat="1" ht="120" customHeight="1" x14ac:dyDescent="0.35">
      <c r="B51" s="59">
        <v>152</v>
      </c>
      <c r="C51" s="71" t="s">
        <v>69</v>
      </c>
      <c r="D51" s="60" t="s">
        <v>2391</v>
      </c>
      <c r="E51" s="60" t="s">
        <v>2519</v>
      </c>
      <c r="F51" s="60" t="s">
        <v>2520</v>
      </c>
      <c r="G51" s="60" t="s">
        <v>2521</v>
      </c>
      <c r="H51" s="60" t="s">
        <v>2522</v>
      </c>
      <c r="I51" s="60" t="s">
        <v>2523</v>
      </c>
    </row>
    <row r="52" spans="2:9" s="56" customFormat="1" ht="120" customHeight="1" x14ac:dyDescent="0.35">
      <c r="B52" s="59">
        <v>153</v>
      </c>
      <c r="C52" s="71" t="s">
        <v>70</v>
      </c>
      <c r="D52" s="60" t="s">
        <v>2391</v>
      </c>
      <c r="E52" s="60" t="s">
        <v>2519</v>
      </c>
      <c r="F52" s="60" t="s">
        <v>2520</v>
      </c>
      <c r="G52" s="60" t="s">
        <v>2521</v>
      </c>
      <c r="H52" s="60" t="s">
        <v>2522</v>
      </c>
      <c r="I52" s="60" t="s">
        <v>2523</v>
      </c>
    </row>
    <row r="53" spans="2:9" s="56" customFormat="1" ht="120" customHeight="1" x14ac:dyDescent="0.35">
      <c r="B53" s="59">
        <v>154</v>
      </c>
      <c r="C53" s="71" t="s">
        <v>71</v>
      </c>
      <c r="D53" s="60" t="s">
        <v>2391</v>
      </c>
      <c r="E53" s="60" t="s">
        <v>2519</v>
      </c>
      <c r="F53" s="60" t="s">
        <v>2520</v>
      </c>
      <c r="G53" s="60" t="s">
        <v>2521</v>
      </c>
      <c r="H53" s="60" t="s">
        <v>2522</v>
      </c>
      <c r="I53" s="60" t="s">
        <v>2523</v>
      </c>
    </row>
    <row r="54" spans="2:9" s="56" customFormat="1" ht="120" customHeight="1" x14ac:dyDescent="0.35">
      <c r="B54" s="59">
        <v>155</v>
      </c>
      <c r="C54" s="71" t="s">
        <v>72</v>
      </c>
      <c r="D54" s="60" t="s">
        <v>2391</v>
      </c>
      <c r="E54" s="60" t="s">
        <v>2519</v>
      </c>
      <c r="F54" s="60" t="s">
        <v>2520</v>
      </c>
      <c r="G54" s="60" t="s">
        <v>2521</v>
      </c>
      <c r="H54" s="60" t="s">
        <v>2522</v>
      </c>
      <c r="I54" s="60" t="s">
        <v>2523</v>
      </c>
    </row>
    <row r="55" spans="2:9" s="56" customFormat="1" ht="120" customHeight="1" x14ac:dyDescent="0.35">
      <c r="B55" s="59">
        <v>156</v>
      </c>
      <c r="C55" s="71" t="s">
        <v>73</v>
      </c>
      <c r="D55" s="60" t="s">
        <v>2391</v>
      </c>
      <c r="E55" s="60" t="s">
        <v>2519</v>
      </c>
      <c r="F55" s="60" t="s">
        <v>2520</v>
      </c>
      <c r="G55" s="60" t="s">
        <v>2521</v>
      </c>
      <c r="H55" s="60" t="s">
        <v>2522</v>
      </c>
      <c r="I55" s="60" t="s">
        <v>2523</v>
      </c>
    </row>
    <row r="56" spans="2:9" s="56" customFormat="1" ht="120" customHeight="1" x14ac:dyDescent="0.35">
      <c r="B56" s="59">
        <v>157</v>
      </c>
      <c r="C56" s="71" t="s">
        <v>74</v>
      </c>
      <c r="D56" s="60" t="s">
        <v>2391</v>
      </c>
      <c r="E56" s="60" t="s">
        <v>2519</v>
      </c>
      <c r="F56" s="60" t="s">
        <v>2520</v>
      </c>
      <c r="G56" s="60" t="s">
        <v>2521</v>
      </c>
      <c r="H56" s="60" t="s">
        <v>2522</v>
      </c>
      <c r="I56" s="60" t="s">
        <v>2523</v>
      </c>
    </row>
    <row r="57" spans="2:9" s="56" customFormat="1" ht="120" customHeight="1" x14ac:dyDescent="0.35">
      <c r="B57" s="59">
        <v>158</v>
      </c>
      <c r="C57" s="71" t="s">
        <v>75</v>
      </c>
      <c r="D57" s="60" t="s">
        <v>2391</v>
      </c>
      <c r="E57" s="60" t="s">
        <v>2519</v>
      </c>
      <c r="F57" s="60" t="s">
        <v>2520</v>
      </c>
      <c r="G57" s="60" t="s">
        <v>2521</v>
      </c>
      <c r="H57" s="60" t="s">
        <v>2522</v>
      </c>
      <c r="I57" s="60" t="s">
        <v>2523</v>
      </c>
    </row>
    <row r="58" spans="2:9" s="56" customFormat="1" ht="120" customHeight="1" x14ac:dyDescent="0.35">
      <c r="B58" s="59">
        <v>159</v>
      </c>
      <c r="C58" s="71" t="s">
        <v>76</v>
      </c>
      <c r="D58" s="60" t="s">
        <v>2391</v>
      </c>
      <c r="E58" s="60" t="s">
        <v>2519</v>
      </c>
      <c r="F58" s="60" t="s">
        <v>2520</v>
      </c>
      <c r="G58" s="60" t="s">
        <v>2521</v>
      </c>
      <c r="H58" s="60" t="s">
        <v>2522</v>
      </c>
      <c r="I58" s="60" t="s">
        <v>2523</v>
      </c>
    </row>
    <row r="59" spans="2:9" s="56" customFormat="1" ht="120" customHeight="1" x14ac:dyDescent="0.35">
      <c r="B59" s="59">
        <v>160</v>
      </c>
      <c r="C59" s="71" t="s">
        <v>77</v>
      </c>
      <c r="D59" s="60" t="s">
        <v>2391</v>
      </c>
      <c r="E59" s="60" t="s">
        <v>2519</v>
      </c>
      <c r="F59" s="60" t="s">
        <v>2520</v>
      </c>
      <c r="G59" s="60" t="s">
        <v>2521</v>
      </c>
      <c r="H59" s="60" t="s">
        <v>2522</v>
      </c>
      <c r="I59" s="60" t="s">
        <v>2523</v>
      </c>
    </row>
    <row r="60" spans="2:9" s="56" customFormat="1" ht="120" customHeight="1" x14ac:dyDescent="0.35">
      <c r="B60" s="59">
        <v>161</v>
      </c>
      <c r="C60" s="71" t="s">
        <v>78</v>
      </c>
      <c r="D60" s="60" t="s">
        <v>2391</v>
      </c>
      <c r="E60" s="60" t="s">
        <v>2519</v>
      </c>
      <c r="F60" s="60" t="s">
        <v>2520</v>
      </c>
      <c r="G60" s="60" t="s">
        <v>2521</v>
      </c>
      <c r="H60" s="60" t="s">
        <v>2522</v>
      </c>
      <c r="I60" s="60" t="s">
        <v>2523</v>
      </c>
    </row>
    <row r="61" spans="2:9" s="56" customFormat="1" ht="120" customHeight="1" x14ac:dyDescent="0.35">
      <c r="B61" s="59">
        <v>162</v>
      </c>
      <c r="C61" s="71" t="s">
        <v>79</v>
      </c>
      <c r="D61" s="60" t="s">
        <v>2391</v>
      </c>
      <c r="E61" s="60" t="s">
        <v>2519</v>
      </c>
      <c r="F61" s="60" t="s">
        <v>2520</v>
      </c>
      <c r="G61" s="60" t="s">
        <v>2521</v>
      </c>
      <c r="H61" s="60" t="s">
        <v>2522</v>
      </c>
      <c r="I61" s="60" t="s">
        <v>2523</v>
      </c>
    </row>
    <row r="62" spans="2:9" s="56" customFormat="1" ht="120" customHeight="1" x14ac:dyDescent="0.35">
      <c r="B62" s="59">
        <v>163</v>
      </c>
      <c r="C62" s="71" t="s">
        <v>80</v>
      </c>
      <c r="D62" s="60" t="s">
        <v>2391</v>
      </c>
      <c r="E62" s="60" t="s">
        <v>2519</v>
      </c>
      <c r="F62" s="60" t="s">
        <v>2520</v>
      </c>
      <c r="G62" s="60" t="s">
        <v>2521</v>
      </c>
      <c r="H62" s="60" t="s">
        <v>2522</v>
      </c>
      <c r="I62" s="60" t="s">
        <v>2523</v>
      </c>
    </row>
    <row r="63" spans="2:9" s="56" customFormat="1" ht="120" customHeight="1" x14ac:dyDescent="0.35">
      <c r="B63" s="59">
        <v>164</v>
      </c>
      <c r="C63" s="71" t="s">
        <v>81</v>
      </c>
      <c r="D63" s="60" t="s">
        <v>2391</v>
      </c>
      <c r="E63" s="60" t="s">
        <v>2519</v>
      </c>
      <c r="F63" s="60" t="s">
        <v>2520</v>
      </c>
      <c r="G63" s="60" t="s">
        <v>2521</v>
      </c>
      <c r="H63" s="60" t="s">
        <v>2522</v>
      </c>
      <c r="I63" s="60" t="s">
        <v>2523</v>
      </c>
    </row>
    <row r="64" spans="2:9" s="56" customFormat="1" ht="120" customHeight="1" x14ac:dyDescent="0.35">
      <c r="B64" s="59">
        <v>180</v>
      </c>
      <c r="C64" s="71" t="s">
        <v>2524</v>
      </c>
      <c r="D64" s="60" t="s">
        <v>2383</v>
      </c>
      <c r="E64" s="60"/>
      <c r="F64" s="60"/>
      <c r="G64" s="60"/>
      <c r="H64" s="60"/>
      <c r="I64" s="60"/>
    </row>
    <row r="65" spans="2:9" x14ac:dyDescent="0.35">
      <c r="B65" s="59">
        <v>181</v>
      </c>
      <c r="C65" s="71" t="s">
        <v>2525</v>
      </c>
      <c r="D65" s="60" t="s">
        <v>2383</v>
      </c>
      <c r="E65" s="60"/>
      <c r="F65" s="60"/>
      <c r="G65" s="60"/>
      <c r="H65" s="60"/>
      <c r="I65" s="60"/>
    </row>
    <row r="66" spans="2:9" x14ac:dyDescent="0.35">
      <c r="B66" s="59">
        <v>182</v>
      </c>
      <c r="C66" s="71" t="s">
        <v>2526</v>
      </c>
      <c r="D66" s="60" t="s">
        <v>2383</v>
      </c>
      <c r="E66" s="60"/>
      <c r="F66" s="60"/>
      <c r="G66" s="60"/>
      <c r="H66" s="60"/>
      <c r="I66" s="60"/>
    </row>
    <row r="67" spans="2:9" x14ac:dyDescent="0.35">
      <c r="B67" s="59">
        <v>183</v>
      </c>
      <c r="C67" s="71" t="s">
        <v>2527</v>
      </c>
      <c r="D67" s="60" t="s">
        <v>2383</v>
      </c>
      <c r="E67" s="60"/>
      <c r="F67" s="60"/>
      <c r="G67" s="60"/>
      <c r="H67" s="60"/>
      <c r="I67" s="60"/>
    </row>
    <row r="68" spans="2:9" x14ac:dyDescent="0.35">
      <c r="B68" s="59">
        <v>184</v>
      </c>
      <c r="C68" s="71" t="s">
        <v>82</v>
      </c>
      <c r="D68" s="60" t="s">
        <v>2383</v>
      </c>
      <c r="E68" s="60"/>
      <c r="F68" s="60"/>
      <c r="G68" s="60"/>
      <c r="H68" s="60"/>
      <c r="I68" s="60"/>
    </row>
    <row r="69" spans="2:9" x14ac:dyDescent="0.35">
      <c r="B69" s="59">
        <v>185</v>
      </c>
      <c r="C69" s="71" t="s">
        <v>83</v>
      </c>
      <c r="D69" s="60" t="s">
        <v>2383</v>
      </c>
      <c r="E69" s="60"/>
      <c r="F69" s="60"/>
      <c r="G69" s="60"/>
      <c r="H69" s="60"/>
      <c r="I69" s="60"/>
    </row>
    <row r="70" spans="2:9" x14ac:dyDescent="0.35">
      <c r="B70" s="59">
        <v>200</v>
      </c>
      <c r="C70" s="71" t="s">
        <v>2528</v>
      </c>
      <c r="D70" s="60" t="s">
        <v>2400</v>
      </c>
      <c r="E70" s="60"/>
      <c r="F70" s="60"/>
      <c r="G70" s="60"/>
      <c r="H70" s="60"/>
      <c r="I70" s="60"/>
    </row>
    <row r="71" spans="2:9" x14ac:dyDescent="0.35">
      <c r="B71" s="59">
        <v>201</v>
      </c>
      <c r="C71" s="71" t="s">
        <v>2529</v>
      </c>
      <c r="D71" s="60" t="s">
        <v>2400</v>
      </c>
      <c r="E71" s="60"/>
      <c r="F71" s="60"/>
      <c r="G71" s="60"/>
      <c r="H71" s="60"/>
      <c r="I71" s="60"/>
    </row>
    <row r="72" spans="2:9" x14ac:dyDescent="0.35">
      <c r="B72" s="59">
        <v>202</v>
      </c>
      <c r="C72" s="71" t="s">
        <v>2530</v>
      </c>
      <c r="D72" s="60" t="s">
        <v>2400</v>
      </c>
      <c r="E72" s="60"/>
      <c r="F72" s="60"/>
      <c r="G72" s="60"/>
      <c r="H72" s="60"/>
      <c r="I72" s="60"/>
    </row>
    <row r="73" spans="2:9" x14ac:dyDescent="0.35">
      <c r="B73" s="59">
        <v>203</v>
      </c>
      <c r="C73" s="71" t="s">
        <v>88</v>
      </c>
      <c r="D73" s="60" t="s">
        <v>2400</v>
      </c>
      <c r="E73" s="60"/>
      <c r="F73" s="60"/>
      <c r="G73" s="60"/>
      <c r="H73" s="60"/>
      <c r="I73" s="60"/>
    </row>
    <row r="74" spans="2:9" x14ac:dyDescent="0.35">
      <c r="B74" s="59">
        <v>204</v>
      </c>
      <c r="C74" s="71" t="s">
        <v>89</v>
      </c>
      <c r="D74" s="60" t="s">
        <v>2400</v>
      </c>
      <c r="E74" s="60"/>
      <c r="F74" s="60"/>
      <c r="G74" s="60"/>
      <c r="H74" s="60"/>
      <c r="I74" s="60"/>
    </row>
    <row r="75" spans="2:9" x14ac:dyDescent="0.35">
      <c r="B75" s="59">
        <v>205</v>
      </c>
      <c r="C75" s="71" t="s">
        <v>90</v>
      </c>
      <c r="D75" s="60" t="s">
        <v>2400</v>
      </c>
      <c r="E75" s="60"/>
      <c r="F75" s="60"/>
      <c r="G75" s="60"/>
      <c r="H75" s="60"/>
      <c r="I75" s="60"/>
    </row>
    <row r="76" spans="2:9" x14ac:dyDescent="0.35">
      <c r="B76" s="59">
        <v>208</v>
      </c>
      <c r="C76" s="71" t="s">
        <v>91</v>
      </c>
      <c r="D76" s="60" t="s">
        <v>2376</v>
      </c>
      <c r="E76" s="60"/>
      <c r="F76" s="60"/>
      <c r="G76" s="60"/>
      <c r="H76" s="60"/>
      <c r="I76" s="60"/>
    </row>
    <row r="77" spans="2:9" x14ac:dyDescent="0.35">
      <c r="B77" s="59">
        <v>209</v>
      </c>
      <c r="C77" s="71" t="s">
        <v>92</v>
      </c>
      <c r="D77" s="60" t="s">
        <v>2376</v>
      </c>
      <c r="E77" s="60"/>
      <c r="F77" s="60"/>
      <c r="G77" s="60"/>
      <c r="H77" s="60"/>
      <c r="I77" s="60"/>
    </row>
    <row r="78" spans="2:9" x14ac:dyDescent="0.35">
      <c r="B78" s="59">
        <v>210</v>
      </c>
      <c r="C78" s="71" t="s">
        <v>93</v>
      </c>
      <c r="D78" s="60" t="s">
        <v>2376</v>
      </c>
      <c r="E78" s="60"/>
      <c r="F78" s="60"/>
      <c r="G78" s="60"/>
      <c r="H78" s="60"/>
      <c r="I78" s="60"/>
    </row>
    <row r="79" spans="2:9" x14ac:dyDescent="0.35">
      <c r="B79" s="59">
        <v>211</v>
      </c>
      <c r="C79" s="71" t="s">
        <v>94</v>
      </c>
      <c r="D79" s="60" t="s">
        <v>2376</v>
      </c>
      <c r="E79" s="60"/>
      <c r="F79" s="60"/>
      <c r="G79" s="60"/>
      <c r="H79" s="60"/>
      <c r="I79" s="60"/>
    </row>
    <row r="80" spans="2:9" x14ac:dyDescent="0.35">
      <c r="B80" s="59">
        <v>212</v>
      </c>
      <c r="C80" s="71" t="s">
        <v>95</v>
      </c>
      <c r="D80" s="60" t="s">
        <v>2376</v>
      </c>
      <c r="E80" s="60"/>
      <c r="F80" s="60"/>
      <c r="G80" s="60"/>
      <c r="H80" s="60"/>
      <c r="I80" s="60"/>
    </row>
    <row r="81" spans="2:9" x14ac:dyDescent="0.35">
      <c r="B81" s="59">
        <v>213</v>
      </c>
      <c r="C81" s="71" t="s">
        <v>96</v>
      </c>
      <c r="D81" s="60" t="s">
        <v>2376</v>
      </c>
      <c r="E81" s="60"/>
      <c r="F81" s="60"/>
      <c r="G81" s="60"/>
      <c r="H81" s="60"/>
      <c r="I81" s="60"/>
    </row>
    <row r="82" spans="2:9" x14ac:dyDescent="0.35">
      <c r="B82" s="59">
        <v>214</v>
      </c>
      <c r="C82" s="71" t="s">
        <v>97</v>
      </c>
      <c r="D82" s="60" t="s">
        <v>2376</v>
      </c>
      <c r="E82" s="60"/>
      <c r="F82" s="60"/>
      <c r="G82" s="60"/>
      <c r="H82" s="60"/>
      <c r="I82" s="60"/>
    </row>
    <row r="83" spans="2:9" x14ac:dyDescent="0.35">
      <c r="B83" s="59">
        <v>215</v>
      </c>
      <c r="C83" s="71" t="s">
        <v>98</v>
      </c>
      <c r="D83" s="60" t="s">
        <v>2376</v>
      </c>
      <c r="E83" s="60"/>
      <c r="F83" s="60"/>
      <c r="G83" s="60"/>
      <c r="H83" s="60"/>
      <c r="I83" s="60"/>
    </row>
    <row r="84" spans="2:9" x14ac:dyDescent="0.35">
      <c r="B84" s="59">
        <v>216</v>
      </c>
      <c r="C84" s="71" t="s">
        <v>99</v>
      </c>
      <c r="D84" s="60" t="s">
        <v>2376</v>
      </c>
      <c r="E84" s="60"/>
      <c r="F84" s="60"/>
      <c r="G84" s="60"/>
      <c r="H84" s="60"/>
      <c r="I84" s="60"/>
    </row>
    <row r="85" spans="2:9" x14ac:dyDescent="0.35">
      <c r="B85" s="59">
        <v>217</v>
      </c>
      <c r="C85" s="71" t="s">
        <v>100</v>
      </c>
      <c r="D85" s="60" t="s">
        <v>2376</v>
      </c>
      <c r="E85" s="60"/>
      <c r="F85" s="60"/>
      <c r="G85" s="60"/>
      <c r="H85" s="60"/>
      <c r="I85" s="60"/>
    </row>
    <row r="86" spans="2:9" x14ac:dyDescent="0.35">
      <c r="B86" s="59">
        <v>218</v>
      </c>
      <c r="C86" s="71" t="s">
        <v>101</v>
      </c>
      <c r="D86" s="60" t="s">
        <v>2376</v>
      </c>
      <c r="E86" s="60"/>
      <c r="F86" s="60"/>
      <c r="G86" s="60"/>
      <c r="H86" s="60"/>
      <c r="I86" s="60"/>
    </row>
    <row r="87" spans="2:9" x14ac:dyDescent="0.35">
      <c r="B87" s="59">
        <v>220</v>
      </c>
      <c r="C87" s="71" t="s">
        <v>102</v>
      </c>
      <c r="D87" s="60" t="s">
        <v>2376</v>
      </c>
      <c r="E87" s="60"/>
      <c r="F87" s="60"/>
      <c r="G87" s="60"/>
      <c r="H87" s="60"/>
      <c r="I87" s="60"/>
    </row>
    <row r="88" spans="2:9" x14ac:dyDescent="0.35">
      <c r="B88" s="59">
        <v>221</v>
      </c>
      <c r="C88" s="71" t="s">
        <v>103</v>
      </c>
      <c r="D88" s="60" t="s">
        <v>2376</v>
      </c>
      <c r="E88" s="60"/>
      <c r="F88" s="60"/>
      <c r="G88" s="60"/>
      <c r="H88" s="60"/>
      <c r="I88" s="60"/>
    </row>
    <row r="89" spans="2:9" x14ac:dyDescent="0.35">
      <c r="B89" s="59">
        <v>222</v>
      </c>
      <c r="C89" s="71" t="s">
        <v>104</v>
      </c>
      <c r="D89" s="60" t="s">
        <v>2376</v>
      </c>
      <c r="E89" s="60"/>
      <c r="F89" s="60"/>
      <c r="G89" s="60"/>
      <c r="H89" s="60"/>
      <c r="I89" s="60"/>
    </row>
    <row r="90" spans="2:9" x14ac:dyDescent="0.35">
      <c r="B90" s="59">
        <v>223</v>
      </c>
      <c r="C90" s="71" t="s">
        <v>105</v>
      </c>
      <c r="D90" s="60" t="s">
        <v>2376</v>
      </c>
      <c r="E90" s="60"/>
      <c r="F90" s="60"/>
      <c r="G90" s="60"/>
      <c r="H90" s="60"/>
      <c r="I90" s="60"/>
    </row>
    <row r="91" spans="2:9" x14ac:dyDescent="0.35">
      <c r="B91" s="59">
        <v>224</v>
      </c>
      <c r="C91" s="71" t="s">
        <v>106</v>
      </c>
      <c r="D91" s="60" t="s">
        <v>2376</v>
      </c>
      <c r="E91" s="60"/>
      <c r="F91" s="60"/>
      <c r="G91" s="60"/>
      <c r="H91" s="60"/>
      <c r="I91" s="60"/>
    </row>
    <row r="92" spans="2:9" x14ac:dyDescent="0.35">
      <c r="B92" s="59">
        <v>225</v>
      </c>
      <c r="C92" s="71" t="s">
        <v>107</v>
      </c>
      <c r="D92" s="60" t="s">
        <v>2376</v>
      </c>
      <c r="E92" s="60"/>
      <c r="F92" s="60"/>
      <c r="G92" s="60"/>
      <c r="H92" s="60"/>
      <c r="I92" s="60"/>
    </row>
    <row r="93" spans="2:9" x14ac:dyDescent="0.35">
      <c r="B93" s="59">
        <v>226</v>
      </c>
      <c r="C93" s="71" t="s">
        <v>108</v>
      </c>
      <c r="D93" s="60" t="s">
        <v>2376</v>
      </c>
      <c r="E93" s="60"/>
      <c r="F93" s="60"/>
      <c r="G93" s="60"/>
      <c r="H93" s="60"/>
      <c r="I93" s="60"/>
    </row>
    <row r="94" spans="2:9" x14ac:dyDescent="0.35">
      <c r="B94" s="59">
        <v>227</v>
      </c>
      <c r="C94" s="71" t="s">
        <v>109</v>
      </c>
      <c r="D94" s="60" t="s">
        <v>2376</v>
      </c>
      <c r="E94" s="60"/>
      <c r="F94" s="60"/>
      <c r="G94" s="60"/>
      <c r="H94" s="60"/>
      <c r="I94" s="60"/>
    </row>
    <row r="95" spans="2:9" x14ac:dyDescent="0.35">
      <c r="B95" s="59">
        <v>228</v>
      </c>
      <c r="C95" s="71" t="s">
        <v>110</v>
      </c>
      <c r="D95" s="60" t="s">
        <v>2376</v>
      </c>
      <c r="E95" s="60"/>
      <c r="F95" s="60"/>
      <c r="G95" s="60"/>
      <c r="H95" s="60"/>
      <c r="I95" s="60"/>
    </row>
    <row r="96" spans="2:9" x14ac:dyDescent="0.35">
      <c r="B96" s="59">
        <v>229</v>
      </c>
      <c r="C96" s="71" t="s">
        <v>111</v>
      </c>
      <c r="D96" s="60" t="s">
        <v>2376</v>
      </c>
      <c r="E96" s="60"/>
      <c r="F96" s="60"/>
      <c r="G96" s="60"/>
      <c r="H96" s="60"/>
      <c r="I96" s="60"/>
    </row>
    <row r="97" spans="2:9" x14ac:dyDescent="0.35">
      <c r="B97" s="59">
        <v>230</v>
      </c>
      <c r="C97" s="71" t="s">
        <v>112</v>
      </c>
      <c r="D97" s="60" t="s">
        <v>2376</v>
      </c>
      <c r="E97" s="60"/>
      <c r="F97" s="60"/>
      <c r="G97" s="60"/>
      <c r="H97" s="60"/>
      <c r="I97" s="60"/>
    </row>
    <row r="98" spans="2:9" x14ac:dyDescent="0.35">
      <c r="B98" s="59">
        <v>250</v>
      </c>
      <c r="C98" s="71" t="s">
        <v>113</v>
      </c>
      <c r="D98" s="60" t="s">
        <v>2376</v>
      </c>
      <c r="E98" s="60"/>
      <c r="F98" s="60"/>
      <c r="G98" s="60"/>
      <c r="H98" s="60"/>
      <c r="I98" s="60"/>
    </row>
    <row r="99" spans="2:9" x14ac:dyDescent="0.35">
      <c r="B99" s="59">
        <v>251</v>
      </c>
      <c r="C99" s="71" t="s">
        <v>114</v>
      </c>
      <c r="D99" s="60" t="s">
        <v>2376</v>
      </c>
      <c r="E99" s="60"/>
      <c r="F99" s="60"/>
      <c r="G99" s="60"/>
      <c r="H99" s="60"/>
      <c r="I99" s="60"/>
    </row>
    <row r="100" spans="2:9" x14ac:dyDescent="0.35">
      <c r="B100" s="59">
        <v>252</v>
      </c>
      <c r="C100" s="71" t="s">
        <v>115</v>
      </c>
      <c r="D100" s="60" t="s">
        <v>2376</v>
      </c>
      <c r="E100" s="60"/>
      <c r="F100" s="60"/>
      <c r="G100" s="60"/>
      <c r="H100" s="60"/>
      <c r="I100" s="60"/>
    </row>
    <row r="101" spans="2:9" x14ac:dyDescent="0.35">
      <c r="B101" s="59">
        <v>254</v>
      </c>
      <c r="C101" s="71" t="s">
        <v>116</v>
      </c>
      <c r="D101" s="60" t="s">
        <v>2376</v>
      </c>
      <c r="E101" s="60"/>
      <c r="F101" s="60"/>
      <c r="G101" s="60"/>
      <c r="H101" s="60"/>
      <c r="I101" s="60"/>
    </row>
    <row r="102" spans="2:9" x14ac:dyDescent="0.35">
      <c r="B102" s="59">
        <v>256</v>
      </c>
      <c r="C102" s="71" t="s">
        <v>117</v>
      </c>
      <c r="D102" s="60" t="s">
        <v>2376</v>
      </c>
      <c r="E102" s="60"/>
      <c r="F102" s="60"/>
      <c r="G102" s="60"/>
      <c r="H102" s="60"/>
      <c r="I102" s="60"/>
    </row>
    <row r="103" spans="2:9" x14ac:dyDescent="0.35">
      <c r="B103" s="59">
        <v>257</v>
      </c>
      <c r="C103" s="71" t="s">
        <v>118</v>
      </c>
      <c r="D103" s="60" t="s">
        <v>2376</v>
      </c>
      <c r="E103" s="60"/>
      <c r="F103" s="60"/>
      <c r="G103" s="60"/>
      <c r="H103" s="60"/>
      <c r="I103" s="60"/>
    </row>
    <row r="104" spans="2:9" x14ac:dyDescent="0.35">
      <c r="B104" s="59">
        <v>258</v>
      </c>
      <c r="C104" s="71" t="s">
        <v>119</v>
      </c>
      <c r="D104" s="60" t="s">
        <v>2376</v>
      </c>
      <c r="E104" s="60"/>
      <c r="F104" s="60"/>
      <c r="G104" s="60"/>
      <c r="H104" s="60"/>
      <c r="I104" s="60"/>
    </row>
    <row r="105" spans="2:9" x14ac:dyDescent="0.35">
      <c r="B105" s="59">
        <v>259</v>
      </c>
      <c r="C105" s="71" t="s">
        <v>120</v>
      </c>
      <c r="D105" s="60" t="s">
        <v>2376</v>
      </c>
      <c r="E105" s="60"/>
      <c r="F105" s="60"/>
      <c r="G105" s="60"/>
      <c r="H105" s="60"/>
      <c r="I105" s="60"/>
    </row>
    <row r="106" spans="2:9" x14ac:dyDescent="0.35">
      <c r="B106" s="59">
        <v>260</v>
      </c>
      <c r="C106" s="71" t="s">
        <v>121</v>
      </c>
      <c r="D106" s="60" t="s">
        <v>2376</v>
      </c>
      <c r="E106" s="60"/>
      <c r="F106" s="60"/>
      <c r="G106" s="60"/>
      <c r="H106" s="60"/>
      <c r="I106" s="60"/>
    </row>
    <row r="107" spans="2:9" x14ac:dyDescent="0.35">
      <c r="B107" s="59">
        <v>261</v>
      </c>
      <c r="C107" s="71" t="s">
        <v>122</v>
      </c>
      <c r="D107" s="60" t="s">
        <v>2376</v>
      </c>
      <c r="E107" s="60"/>
      <c r="F107" s="60"/>
      <c r="G107" s="60"/>
      <c r="H107" s="60"/>
      <c r="I107" s="60"/>
    </row>
    <row r="108" spans="2:9" x14ac:dyDescent="0.35">
      <c r="B108" s="59">
        <v>262</v>
      </c>
      <c r="C108" s="71" t="s">
        <v>123</v>
      </c>
      <c r="D108" s="60" t="s">
        <v>2376</v>
      </c>
      <c r="E108" s="60"/>
      <c r="F108" s="60"/>
      <c r="G108" s="60"/>
      <c r="H108" s="60"/>
      <c r="I108" s="60"/>
    </row>
    <row r="109" spans="2:9" x14ac:dyDescent="0.35">
      <c r="B109" s="59">
        <v>263</v>
      </c>
      <c r="C109" s="71" t="s">
        <v>124</v>
      </c>
      <c r="D109" s="60" t="s">
        <v>2376</v>
      </c>
      <c r="E109" s="60"/>
      <c r="F109" s="60"/>
      <c r="G109" s="60"/>
      <c r="H109" s="60"/>
      <c r="I109" s="60"/>
    </row>
    <row r="110" spans="2:9" x14ac:dyDescent="0.35">
      <c r="B110" s="59">
        <v>270</v>
      </c>
      <c r="C110" s="71" t="s">
        <v>125</v>
      </c>
      <c r="D110" s="60" t="s">
        <v>2376</v>
      </c>
      <c r="E110" s="60"/>
      <c r="F110" s="60"/>
      <c r="G110" s="60"/>
      <c r="H110" s="60"/>
      <c r="I110" s="60"/>
    </row>
    <row r="111" spans="2:9" x14ac:dyDescent="0.35">
      <c r="B111" s="59">
        <v>271</v>
      </c>
      <c r="C111" s="71" t="s">
        <v>126</v>
      </c>
      <c r="D111" s="60" t="s">
        <v>2376</v>
      </c>
      <c r="E111" s="60"/>
      <c r="F111" s="60"/>
      <c r="G111" s="60"/>
      <c r="H111" s="60"/>
      <c r="I111" s="60"/>
    </row>
    <row r="112" spans="2:9" x14ac:dyDescent="0.35">
      <c r="B112" s="59">
        <v>272</v>
      </c>
      <c r="C112" s="71" t="s">
        <v>127</v>
      </c>
      <c r="D112" s="60" t="s">
        <v>2376</v>
      </c>
      <c r="E112" s="60"/>
      <c r="F112" s="60"/>
      <c r="G112" s="60"/>
      <c r="H112" s="60"/>
      <c r="I112" s="60"/>
    </row>
    <row r="113" spans="2:9" x14ac:dyDescent="0.35">
      <c r="B113" s="59">
        <v>273</v>
      </c>
      <c r="C113" s="71" t="s">
        <v>128</v>
      </c>
      <c r="D113" s="60" t="s">
        <v>2376</v>
      </c>
      <c r="E113" s="60"/>
      <c r="F113" s="60"/>
      <c r="G113" s="60"/>
      <c r="H113" s="60"/>
      <c r="I113" s="60"/>
    </row>
    <row r="114" spans="2:9" x14ac:dyDescent="0.35">
      <c r="B114" s="59">
        <v>274</v>
      </c>
      <c r="C114" s="71" t="s">
        <v>129</v>
      </c>
      <c r="D114" s="60" t="s">
        <v>2376</v>
      </c>
      <c r="E114" s="60"/>
      <c r="F114" s="60"/>
      <c r="G114" s="60"/>
      <c r="H114" s="60"/>
      <c r="I114" s="60"/>
    </row>
    <row r="115" spans="2:9" x14ac:dyDescent="0.35">
      <c r="B115" s="59">
        <v>275</v>
      </c>
      <c r="C115" s="71" t="s">
        <v>130</v>
      </c>
      <c r="D115" s="60" t="s">
        <v>2376</v>
      </c>
      <c r="E115" s="60"/>
      <c r="F115" s="60"/>
      <c r="G115" s="60"/>
      <c r="H115" s="60"/>
      <c r="I115" s="60"/>
    </row>
    <row r="116" spans="2:9" x14ac:dyDescent="0.35">
      <c r="B116" s="59">
        <v>285</v>
      </c>
      <c r="C116" s="71" t="s">
        <v>131</v>
      </c>
      <c r="D116" s="60" t="s">
        <v>2376</v>
      </c>
      <c r="E116" s="60"/>
      <c r="F116" s="60"/>
      <c r="G116" s="60"/>
      <c r="H116" s="60"/>
      <c r="I116" s="60"/>
    </row>
    <row r="117" spans="2:9" x14ac:dyDescent="0.35">
      <c r="B117" s="59">
        <v>286</v>
      </c>
      <c r="C117" s="71" t="s">
        <v>2531</v>
      </c>
      <c r="D117" s="60" t="s">
        <v>2376</v>
      </c>
      <c r="E117" s="60"/>
      <c r="F117" s="60"/>
      <c r="G117" s="60"/>
      <c r="H117" s="60"/>
      <c r="I117" s="60"/>
    </row>
    <row r="118" spans="2:9" x14ac:dyDescent="0.35">
      <c r="B118" s="59">
        <v>287</v>
      </c>
      <c r="C118" s="71" t="s">
        <v>133</v>
      </c>
      <c r="D118" s="60" t="s">
        <v>2376</v>
      </c>
      <c r="E118" s="60"/>
      <c r="F118" s="60"/>
      <c r="G118" s="60"/>
      <c r="H118" s="60"/>
      <c r="I118" s="60"/>
    </row>
    <row r="119" spans="2:9" x14ac:dyDescent="0.35">
      <c r="B119" s="59">
        <v>288</v>
      </c>
      <c r="C119" s="71" t="s">
        <v>134</v>
      </c>
      <c r="D119" s="60" t="s">
        <v>2376</v>
      </c>
      <c r="E119" s="60"/>
      <c r="F119" s="60"/>
      <c r="G119" s="60"/>
      <c r="H119" s="60"/>
      <c r="I119" s="60"/>
    </row>
    <row r="120" spans="2:9" x14ac:dyDescent="0.35">
      <c r="B120" s="59">
        <v>289</v>
      </c>
      <c r="C120" s="71" t="s">
        <v>135</v>
      </c>
      <c r="D120" s="60" t="s">
        <v>2376</v>
      </c>
      <c r="E120" s="60"/>
      <c r="F120" s="60"/>
      <c r="G120" s="60"/>
      <c r="H120" s="60"/>
      <c r="I120" s="60"/>
    </row>
    <row r="121" spans="2:9" x14ac:dyDescent="0.35">
      <c r="B121" s="59">
        <v>290</v>
      </c>
      <c r="C121" s="71" t="s">
        <v>136</v>
      </c>
      <c r="D121" s="60" t="s">
        <v>2376</v>
      </c>
      <c r="E121" s="60"/>
      <c r="F121" s="60"/>
      <c r="G121" s="60"/>
      <c r="H121" s="60"/>
      <c r="I121" s="60"/>
    </row>
    <row r="122" spans="2:9" x14ac:dyDescent="0.35">
      <c r="B122" s="59">
        <v>291</v>
      </c>
      <c r="C122" s="71" t="s">
        <v>137</v>
      </c>
      <c r="D122" s="60" t="s">
        <v>2376</v>
      </c>
      <c r="E122" s="60"/>
      <c r="F122" s="60"/>
      <c r="G122" s="60"/>
      <c r="H122" s="60"/>
      <c r="I122" s="60"/>
    </row>
    <row r="123" spans="2:9" x14ac:dyDescent="0.35">
      <c r="B123" s="59">
        <v>292</v>
      </c>
      <c r="C123" s="71" t="s">
        <v>138</v>
      </c>
      <c r="D123" s="60" t="s">
        <v>2376</v>
      </c>
      <c r="E123" s="60"/>
      <c r="F123" s="60"/>
      <c r="G123" s="60"/>
      <c r="H123" s="60"/>
      <c r="I123" s="60"/>
    </row>
    <row r="124" spans="2:9" x14ac:dyDescent="0.35">
      <c r="B124" s="59">
        <v>293</v>
      </c>
      <c r="C124" s="71" t="s">
        <v>139</v>
      </c>
      <c r="D124" s="60" t="s">
        <v>2376</v>
      </c>
      <c r="E124" s="60"/>
      <c r="F124" s="60"/>
      <c r="G124" s="60"/>
      <c r="H124" s="60"/>
      <c r="I124" s="60"/>
    </row>
    <row r="125" spans="2:9" x14ac:dyDescent="0.35">
      <c r="B125" s="59">
        <v>294</v>
      </c>
      <c r="C125" s="71" t="s">
        <v>140</v>
      </c>
      <c r="D125" s="60" t="s">
        <v>2376</v>
      </c>
      <c r="E125" s="60"/>
      <c r="F125" s="60"/>
      <c r="G125" s="60"/>
      <c r="H125" s="60"/>
      <c r="I125" s="60"/>
    </row>
    <row r="126" spans="2:9" x14ac:dyDescent="0.35">
      <c r="B126" s="59">
        <v>295</v>
      </c>
      <c r="C126" s="71" t="s">
        <v>141</v>
      </c>
      <c r="D126" s="60" t="s">
        <v>2376</v>
      </c>
      <c r="E126" s="60"/>
      <c r="F126" s="60"/>
      <c r="G126" s="60"/>
      <c r="H126" s="60"/>
      <c r="I126" s="60"/>
    </row>
    <row r="127" spans="2:9" x14ac:dyDescent="0.35">
      <c r="B127" s="59">
        <v>296</v>
      </c>
      <c r="C127" s="71" t="s">
        <v>142</v>
      </c>
      <c r="D127" s="60" t="s">
        <v>2376</v>
      </c>
      <c r="E127" s="60"/>
      <c r="F127" s="60"/>
      <c r="G127" s="60"/>
      <c r="H127" s="60"/>
      <c r="I127" s="60"/>
    </row>
    <row r="128" spans="2:9" x14ac:dyDescent="0.35">
      <c r="B128" s="59">
        <v>297</v>
      </c>
      <c r="C128" s="71" t="s">
        <v>143</v>
      </c>
      <c r="D128" s="60" t="s">
        <v>2376</v>
      </c>
      <c r="E128" s="60"/>
      <c r="F128" s="60"/>
      <c r="G128" s="60"/>
      <c r="H128" s="60"/>
      <c r="I128" s="60"/>
    </row>
    <row r="129" spans="2:9" x14ac:dyDescent="0.35">
      <c r="B129" s="59">
        <v>298</v>
      </c>
      <c r="C129" s="71" t="s">
        <v>144</v>
      </c>
      <c r="D129" s="60" t="s">
        <v>2376</v>
      </c>
      <c r="E129" s="60"/>
      <c r="F129" s="60"/>
      <c r="G129" s="60"/>
      <c r="H129" s="60"/>
      <c r="I129" s="60"/>
    </row>
    <row r="130" spans="2:9" x14ac:dyDescent="0.35">
      <c r="B130" s="59">
        <v>299</v>
      </c>
      <c r="C130" s="71" t="s">
        <v>145</v>
      </c>
      <c r="D130" s="60" t="s">
        <v>2376</v>
      </c>
      <c r="E130" s="60"/>
      <c r="F130" s="60"/>
      <c r="G130" s="60"/>
      <c r="H130" s="60"/>
      <c r="I130" s="60"/>
    </row>
    <row r="131" spans="2:9" x14ac:dyDescent="0.35">
      <c r="B131" s="59">
        <v>300</v>
      </c>
      <c r="C131" s="71" t="s">
        <v>146</v>
      </c>
      <c r="D131" s="60" t="s">
        <v>2376</v>
      </c>
      <c r="E131" s="60"/>
      <c r="F131" s="60"/>
      <c r="G131" s="60"/>
      <c r="H131" s="60"/>
      <c r="I131" s="60"/>
    </row>
    <row r="132" spans="2:9" x14ac:dyDescent="0.35">
      <c r="B132" s="59">
        <v>301</v>
      </c>
      <c r="C132" s="71" t="s">
        <v>147</v>
      </c>
      <c r="D132" s="60" t="s">
        <v>2376</v>
      </c>
      <c r="E132" s="60"/>
      <c r="F132" s="60"/>
      <c r="G132" s="60"/>
      <c r="H132" s="60"/>
      <c r="I132" s="60"/>
    </row>
    <row r="133" spans="2:9" x14ac:dyDescent="0.35">
      <c r="B133" s="59">
        <v>302</v>
      </c>
      <c r="C133" s="71" t="s">
        <v>148</v>
      </c>
      <c r="D133" s="60" t="s">
        <v>2376</v>
      </c>
      <c r="E133" s="60"/>
      <c r="F133" s="60"/>
      <c r="G133" s="60"/>
      <c r="H133" s="60"/>
      <c r="I133" s="60"/>
    </row>
    <row r="134" spans="2:9" x14ac:dyDescent="0.35">
      <c r="B134" s="59">
        <v>303</v>
      </c>
      <c r="C134" s="71" t="s">
        <v>149</v>
      </c>
      <c r="D134" s="60" t="s">
        <v>2376</v>
      </c>
      <c r="E134" s="60"/>
      <c r="F134" s="60"/>
      <c r="G134" s="60"/>
      <c r="H134" s="60"/>
      <c r="I134" s="60"/>
    </row>
    <row r="135" spans="2:9" x14ac:dyDescent="0.35">
      <c r="B135" s="59">
        <v>304</v>
      </c>
      <c r="C135" s="71" t="s">
        <v>150</v>
      </c>
      <c r="D135" s="60" t="s">
        <v>2376</v>
      </c>
      <c r="E135" s="60"/>
      <c r="F135" s="60"/>
      <c r="G135" s="60"/>
      <c r="H135" s="60"/>
      <c r="I135" s="60"/>
    </row>
    <row r="136" spans="2:9" x14ac:dyDescent="0.35">
      <c r="B136" s="59">
        <v>305</v>
      </c>
      <c r="C136" s="71" t="s">
        <v>151</v>
      </c>
      <c r="D136" s="60" t="s">
        <v>2376</v>
      </c>
      <c r="E136" s="60"/>
      <c r="F136" s="60"/>
      <c r="G136" s="60"/>
      <c r="H136" s="60"/>
      <c r="I136" s="60"/>
    </row>
    <row r="137" spans="2:9" x14ac:dyDescent="0.35">
      <c r="B137" s="59">
        <v>306</v>
      </c>
      <c r="C137" s="71" t="s">
        <v>152</v>
      </c>
      <c r="D137" s="60" t="s">
        <v>2376</v>
      </c>
      <c r="E137" s="60"/>
      <c r="F137" s="60"/>
      <c r="G137" s="60"/>
      <c r="H137" s="60"/>
      <c r="I137" s="60"/>
    </row>
    <row r="138" spans="2:9" x14ac:dyDescent="0.35">
      <c r="B138" s="59">
        <v>307</v>
      </c>
      <c r="C138" s="71" t="s">
        <v>153</v>
      </c>
      <c r="D138" s="60" t="s">
        <v>2376</v>
      </c>
      <c r="E138" s="60"/>
      <c r="F138" s="60"/>
      <c r="G138" s="60"/>
      <c r="H138" s="60"/>
      <c r="I138" s="60"/>
    </row>
    <row r="139" spans="2:9" x14ac:dyDescent="0.35">
      <c r="B139" s="59">
        <v>308</v>
      </c>
      <c r="C139" s="71" t="s">
        <v>154</v>
      </c>
      <c r="D139" s="60" t="s">
        <v>2376</v>
      </c>
      <c r="E139" s="60"/>
      <c r="F139" s="60"/>
      <c r="G139" s="60"/>
      <c r="H139" s="60"/>
      <c r="I139" s="60"/>
    </row>
    <row r="140" spans="2:9" x14ac:dyDescent="0.35">
      <c r="B140" s="59">
        <v>309</v>
      </c>
      <c r="C140" s="71" t="s">
        <v>2532</v>
      </c>
      <c r="D140" s="60" t="s">
        <v>2376</v>
      </c>
      <c r="E140" s="60"/>
      <c r="F140" s="60"/>
      <c r="G140" s="60"/>
      <c r="H140" s="60"/>
      <c r="I140" s="60"/>
    </row>
    <row r="141" spans="2:9" x14ac:dyDescent="0.35">
      <c r="B141" s="59">
        <v>310</v>
      </c>
      <c r="C141" s="71" t="s">
        <v>2533</v>
      </c>
      <c r="D141" s="60" t="s">
        <v>2376</v>
      </c>
      <c r="E141" s="60"/>
      <c r="F141" s="60"/>
      <c r="G141" s="60"/>
      <c r="H141" s="60"/>
      <c r="I141" s="60"/>
    </row>
    <row r="142" spans="2:9" x14ac:dyDescent="0.35">
      <c r="B142" s="59">
        <v>311</v>
      </c>
      <c r="C142" s="71" t="s">
        <v>2534</v>
      </c>
      <c r="D142" s="60" t="s">
        <v>2376</v>
      </c>
      <c r="E142" s="60"/>
      <c r="F142" s="60"/>
      <c r="G142" s="60"/>
      <c r="H142" s="60"/>
      <c r="I142" s="60"/>
    </row>
    <row r="143" spans="2:9" x14ac:dyDescent="0.35">
      <c r="B143" s="59">
        <v>312</v>
      </c>
      <c r="C143" s="71" t="s">
        <v>2535</v>
      </c>
      <c r="D143" s="60" t="s">
        <v>2376</v>
      </c>
      <c r="E143" s="60"/>
      <c r="F143" s="60"/>
      <c r="G143" s="60"/>
      <c r="H143" s="60"/>
      <c r="I143" s="60"/>
    </row>
    <row r="144" spans="2:9" x14ac:dyDescent="0.35">
      <c r="B144" s="59">
        <v>313</v>
      </c>
      <c r="C144" s="71" t="s">
        <v>2536</v>
      </c>
      <c r="D144" s="60" t="s">
        <v>2376</v>
      </c>
      <c r="E144" s="60"/>
      <c r="F144" s="60"/>
      <c r="G144" s="60"/>
      <c r="H144" s="60"/>
      <c r="I144" s="60"/>
    </row>
    <row r="145" spans="2:9" x14ac:dyDescent="0.35">
      <c r="B145" s="59">
        <v>314</v>
      </c>
      <c r="C145" s="71" t="s">
        <v>2537</v>
      </c>
      <c r="D145" s="60" t="s">
        <v>2376</v>
      </c>
      <c r="E145" s="60"/>
      <c r="F145" s="60"/>
      <c r="G145" s="60"/>
      <c r="H145" s="60"/>
      <c r="I145" s="60"/>
    </row>
    <row r="146" spans="2:9" x14ac:dyDescent="0.35">
      <c r="B146" s="59">
        <v>315</v>
      </c>
      <c r="C146" s="71" t="s">
        <v>2538</v>
      </c>
      <c r="D146" s="60" t="s">
        <v>2376</v>
      </c>
      <c r="E146" s="60"/>
      <c r="F146" s="60"/>
      <c r="G146" s="60"/>
      <c r="H146" s="60"/>
      <c r="I146" s="60"/>
    </row>
    <row r="147" spans="2:9" x14ac:dyDescent="0.35">
      <c r="B147" s="59">
        <v>316</v>
      </c>
      <c r="C147" s="71" t="s">
        <v>2539</v>
      </c>
      <c r="D147" s="60" t="s">
        <v>2376</v>
      </c>
      <c r="E147" s="60"/>
      <c r="F147" s="60"/>
      <c r="G147" s="60"/>
      <c r="H147" s="60"/>
      <c r="I147" s="60"/>
    </row>
    <row r="148" spans="2:9" x14ac:dyDescent="0.35">
      <c r="B148" s="59">
        <v>320</v>
      </c>
      <c r="C148" s="71" t="s">
        <v>163</v>
      </c>
      <c r="D148" s="60" t="s">
        <v>2408</v>
      </c>
      <c r="E148" s="60"/>
      <c r="F148" s="60"/>
      <c r="G148" s="60"/>
      <c r="H148" s="60"/>
      <c r="I148" s="60"/>
    </row>
    <row r="149" spans="2:9" x14ac:dyDescent="0.35">
      <c r="B149" s="59">
        <v>321</v>
      </c>
      <c r="C149" s="71" t="s">
        <v>165</v>
      </c>
      <c r="D149" s="60" t="s">
        <v>2408</v>
      </c>
      <c r="E149" s="60"/>
      <c r="F149" s="60"/>
      <c r="G149" s="60"/>
      <c r="H149" s="60"/>
      <c r="I149" s="60"/>
    </row>
    <row r="150" spans="2:9" x14ac:dyDescent="0.35">
      <c r="B150" s="59">
        <v>323</v>
      </c>
      <c r="C150" s="71" t="s">
        <v>166</v>
      </c>
      <c r="D150" s="60" t="s">
        <v>2408</v>
      </c>
      <c r="E150" s="60"/>
      <c r="F150" s="60"/>
      <c r="G150" s="60"/>
      <c r="H150" s="60"/>
      <c r="I150" s="60"/>
    </row>
    <row r="151" spans="2:9" x14ac:dyDescent="0.35">
      <c r="B151" s="59">
        <v>324</v>
      </c>
      <c r="C151" s="71" t="s">
        <v>167</v>
      </c>
      <c r="D151" s="60" t="s">
        <v>2408</v>
      </c>
      <c r="E151" s="60"/>
      <c r="F151" s="60"/>
      <c r="G151" s="60"/>
      <c r="H151" s="60"/>
      <c r="I151" s="60"/>
    </row>
    <row r="152" spans="2:9" x14ac:dyDescent="0.35">
      <c r="B152" s="59">
        <v>325</v>
      </c>
      <c r="C152" s="71" t="s">
        <v>168</v>
      </c>
      <c r="D152" s="60" t="s">
        <v>2408</v>
      </c>
      <c r="E152" s="60"/>
      <c r="F152" s="60"/>
      <c r="G152" s="60"/>
      <c r="H152" s="60"/>
      <c r="I152" s="60"/>
    </row>
    <row r="153" spans="2:9" x14ac:dyDescent="0.35">
      <c r="B153" s="59">
        <v>326</v>
      </c>
      <c r="C153" s="71" t="s">
        <v>169</v>
      </c>
      <c r="D153" s="60" t="s">
        <v>2376</v>
      </c>
      <c r="E153" s="60"/>
      <c r="F153" s="60"/>
      <c r="G153" s="60"/>
      <c r="H153" s="60"/>
      <c r="I153" s="60"/>
    </row>
    <row r="154" spans="2:9" x14ac:dyDescent="0.35">
      <c r="B154" s="59">
        <v>327</v>
      </c>
      <c r="C154" s="71" t="s">
        <v>170</v>
      </c>
      <c r="D154" s="60" t="s">
        <v>2376</v>
      </c>
      <c r="E154" s="60"/>
      <c r="F154" s="60"/>
      <c r="G154" s="60"/>
      <c r="H154" s="60"/>
      <c r="I154" s="60"/>
    </row>
    <row r="155" spans="2:9" x14ac:dyDescent="0.35">
      <c r="B155" s="59">
        <v>328</v>
      </c>
      <c r="C155" s="71" t="s">
        <v>171</v>
      </c>
      <c r="D155" s="60" t="s">
        <v>2376</v>
      </c>
      <c r="E155" s="60"/>
      <c r="F155" s="60"/>
      <c r="G155" s="60"/>
      <c r="H155" s="60"/>
      <c r="I155" s="60"/>
    </row>
    <row r="156" spans="2:9" x14ac:dyDescent="0.35">
      <c r="B156" s="59">
        <v>329</v>
      </c>
      <c r="C156" s="71" t="s">
        <v>172</v>
      </c>
      <c r="D156" s="60" t="s">
        <v>2376</v>
      </c>
      <c r="E156" s="60"/>
      <c r="F156" s="60"/>
      <c r="G156" s="60"/>
      <c r="H156" s="60"/>
      <c r="I156" s="60"/>
    </row>
    <row r="157" spans="2:9" ht="188.5" x14ac:dyDescent="0.35">
      <c r="B157" s="59">
        <v>330</v>
      </c>
      <c r="C157" s="71" t="s">
        <v>173</v>
      </c>
      <c r="D157" s="60" t="s">
        <v>2371</v>
      </c>
      <c r="E157" s="60" t="s">
        <v>2540</v>
      </c>
      <c r="F157" s="60" t="s">
        <v>2541</v>
      </c>
      <c r="G157" s="60" t="s">
        <v>2542</v>
      </c>
      <c r="H157" s="60" t="s">
        <v>2543</v>
      </c>
      <c r="I157" s="60" t="s">
        <v>2544</v>
      </c>
    </row>
    <row r="158" spans="2:9" s="56" customFormat="1" ht="120" customHeight="1" x14ac:dyDescent="0.35">
      <c r="B158" s="59">
        <v>331</v>
      </c>
      <c r="C158" s="71" t="s">
        <v>174</v>
      </c>
      <c r="D158" s="60" t="s">
        <v>2371</v>
      </c>
      <c r="E158" s="60" t="s">
        <v>2540</v>
      </c>
      <c r="F158" s="60" t="s">
        <v>2541</v>
      </c>
      <c r="G158" s="60" t="s">
        <v>2542</v>
      </c>
      <c r="H158" s="60" t="s">
        <v>2543</v>
      </c>
      <c r="I158" s="60" t="s">
        <v>2544</v>
      </c>
    </row>
    <row r="159" spans="2:9" s="56" customFormat="1" ht="120" customHeight="1" x14ac:dyDescent="0.35">
      <c r="B159" s="59">
        <v>332</v>
      </c>
      <c r="C159" s="71" t="s">
        <v>175</v>
      </c>
      <c r="D159" s="60" t="s">
        <v>2371</v>
      </c>
      <c r="E159" s="60" t="s">
        <v>2540</v>
      </c>
      <c r="F159" s="60" t="s">
        <v>2541</v>
      </c>
      <c r="G159" s="60" t="s">
        <v>2542</v>
      </c>
      <c r="H159" s="60" t="s">
        <v>2543</v>
      </c>
      <c r="I159" s="60" t="s">
        <v>2544</v>
      </c>
    </row>
    <row r="160" spans="2:9" s="56" customFormat="1" ht="120" customHeight="1" x14ac:dyDescent="0.35">
      <c r="B160" s="59">
        <v>333</v>
      </c>
      <c r="C160" s="71" t="s">
        <v>176</v>
      </c>
      <c r="D160" s="60" t="s">
        <v>2371</v>
      </c>
      <c r="E160" s="60" t="s">
        <v>2540</v>
      </c>
      <c r="F160" s="60" t="s">
        <v>2541</v>
      </c>
      <c r="G160" s="60" t="s">
        <v>2542</v>
      </c>
      <c r="H160" s="60" t="s">
        <v>2543</v>
      </c>
      <c r="I160" s="60" t="s">
        <v>2544</v>
      </c>
    </row>
    <row r="161" spans="2:9" s="56" customFormat="1" ht="120" customHeight="1" x14ac:dyDescent="0.35">
      <c r="B161" s="59">
        <v>336</v>
      </c>
      <c r="C161" s="71" t="s">
        <v>177</v>
      </c>
      <c r="D161" s="60" t="s">
        <v>2371</v>
      </c>
      <c r="E161" s="60" t="s">
        <v>2540</v>
      </c>
      <c r="F161" s="60" t="s">
        <v>2541</v>
      </c>
      <c r="G161" s="60" t="s">
        <v>2542</v>
      </c>
      <c r="H161" s="60" t="s">
        <v>2543</v>
      </c>
      <c r="I161" s="60" t="s">
        <v>2544</v>
      </c>
    </row>
    <row r="162" spans="2:9" s="56" customFormat="1" ht="120" customHeight="1" x14ac:dyDescent="0.35">
      <c r="B162" s="59">
        <v>337</v>
      </c>
      <c r="C162" s="71" t="s">
        <v>178</v>
      </c>
      <c r="D162" s="60" t="s">
        <v>2371</v>
      </c>
      <c r="E162" s="60" t="s">
        <v>2540</v>
      </c>
      <c r="F162" s="60" t="s">
        <v>2541</v>
      </c>
      <c r="G162" s="60" t="s">
        <v>2542</v>
      </c>
      <c r="H162" s="60" t="s">
        <v>2543</v>
      </c>
      <c r="I162" s="60" t="s">
        <v>2544</v>
      </c>
    </row>
    <row r="163" spans="2:9" s="56" customFormat="1" ht="120" customHeight="1" x14ac:dyDescent="0.35">
      <c r="B163" s="59">
        <v>338</v>
      </c>
      <c r="C163" s="71" t="s">
        <v>179</v>
      </c>
      <c r="D163" s="60" t="s">
        <v>2371</v>
      </c>
      <c r="E163" s="60" t="s">
        <v>2540</v>
      </c>
      <c r="F163" s="60" t="s">
        <v>2541</v>
      </c>
      <c r="G163" s="60" t="s">
        <v>2542</v>
      </c>
      <c r="H163" s="60" t="s">
        <v>2543</v>
      </c>
      <c r="I163" s="60" t="s">
        <v>2544</v>
      </c>
    </row>
    <row r="164" spans="2:9" s="56" customFormat="1" ht="120" customHeight="1" x14ac:dyDescent="0.35">
      <c r="B164" s="59">
        <v>339</v>
      </c>
      <c r="C164" s="71" t="s">
        <v>180</v>
      </c>
      <c r="D164" s="60" t="s">
        <v>2371</v>
      </c>
      <c r="E164" s="60" t="s">
        <v>2540</v>
      </c>
      <c r="F164" s="60" t="s">
        <v>2541</v>
      </c>
      <c r="G164" s="60" t="s">
        <v>2542</v>
      </c>
      <c r="H164" s="60" t="s">
        <v>2543</v>
      </c>
      <c r="I164" s="60" t="s">
        <v>2544</v>
      </c>
    </row>
    <row r="165" spans="2:9" s="56" customFormat="1" ht="120" customHeight="1" x14ac:dyDescent="0.35">
      <c r="B165" s="59">
        <v>340</v>
      </c>
      <c r="C165" s="71" t="s">
        <v>181</v>
      </c>
      <c r="D165" s="60" t="s">
        <v>2371</v>
      </c>
      <c r="E165" s="60" t="s">
        <v>2540</v>
      </c>
      <c r="F165" s="60" t="s">
        <v>2541</v>
      </c>
      <c r="G165" s="60" t="s">
        <v>2542</v>
      </c>
      <c r="H165" s="60" t="s">
        <v>2543</v>
      </c>
      <c r="I165" s="60" t="s">
        <v>2544</v>
      </c>
    </row>
    <row r="166" spans="2:9" s="56" customFormat="1" ht="120" customHeight="1" x14ac:dyDescent="0.35">
      <c r="B166" s="59">
        <v>341</v>
      </c>
      <c r="C166" s="71" t="s">
        <v>182</v>
      </c>
      <c r="D166" s="60" t="s">
        <v>2417</v>
      </c>
      <c r="E166" s="60" t="s">
        <v>2545</v>
      </c>
      <c r="F166" s="60" t="s">
        <v>2546</v>
      </c>
      <c r="G166" s="60" t="s">
        <v>2919</v>
      </c>
      <c r="H166" s="60" t="s">
        <v>2547</v>
      </c>
      <c r="I166" s="60" t="s">
        <v>2548</v>
      </c>
    </row>
    <row r="167" spans="2:9" s="56" customFormat="1" ht="120" customHeight="1" x14ac:dyDescent="0.35">
      <c r="B167" s="59">
        <v>342</v>
      </c>
      <c r="C167" s="71" t="s">
        <v>183</v>
      </c>
      <c r="D167" s="60" t="s">
        <v>2417</v>
      </c>
      <c r="E167" s="60" t="s">
        <v>2545</v>
      </c>
      <c r="F167" s="60" t="s">
        <v>2546</v>
      </c>
      <c r="G167" s="60" t="s">
        <v>2919</v>
      </c>
      <c r="H167" s="60" t="s">
        <v>2547</v>
      </c>
      <c r="I167" s="60" t="s">
        <v>2548</v>
      </c>
    </row>
    <row r="168" spans="2:9" s="56" customFormat="1" ht="120" customHeight="1" x14ac:dyDescent="0.35">
      <c r="B168" s="59">
        <v>343</v>
      </c>
      <c r="C168" s="71" t="s">
        <v>2549</v>
      </c>
      <c r="D168" s="60" t="s">
        <v>2417</v>
      </c>
      <c r="E168" s="60" t="s">
        <v>2545</v>
      </c>
      <c r="F168" s="60" t="s">
        <v>2546</v>
      </c>
      <c r="G168" s="60" t="s">
        <v>2919</v>
      </c>
      <c r="H168" s="60" t="s">
        <v>2547</v>
      </c>
      <c r="I168" s="60" t="s">
        <v>2548</v>
      </c>
    </row>
    <row r="169" spans="2:9" s="56" customFormat="1" ht="120" customHeight="1" x14ac:dyDescent="0.35">
      <c r="B169" s="59">
        <v>344</v>
      </c>
      <c r="C169" s="71" t="s">
        <v>185</v>
      </c>
      <c r="D169" s="60" t="s">
        <v>2417</v>
      </c>
      <c r="E169" s="60" t="s">
        <v>2545</v>
      </c>
      <c r="F169" s="60" t="s">
        <v>2546</v>
      </c>
      <c r="G169" s="60" t="s">
        <v>2919</v>
      </c>
      <c r="H169" s="60" t="s">
        <v>2547</v>
      </c>
      <c r="I169" s="60" t="s">
        <v>2548</v>
      </c>
    </row>
    <row r="170" spans="2:9" s="56" customFormat="1" ht="120" customHeight="1" x14ac:dyDescent="0.35">
      <c r="B170" s="59">
        <v>345</v>
      </c>
      <c r="C170" s="71" t="s">
        <v>186</v>
      </c>
      <c r="D170" s="60" t="s">
        <v>2417</v>
      </c>
      <c r="E170" s="60" t="s">
        <v>2545</v>
      </c>
      <c r="F170" s="60" t="s">
        <v>2546</v>
      </c>
      <c r="G170" s="60" t="s">
        <v>2919</v>
      </c>
      <c r="H170" s="60" t="s">
        <v>2547</v>
      </c>
      <c r="I170" s="60" t="s">
        <v>2548</v>
      </c>
    </row>
    <row r="171" spans="2:9" s="56" customFormat="1" ht="120" customHeight="1" x14ac:dyDescent="0.35">
      <c r="B171" s="59">
        <v>346</v>
      </c>
      <c r="C171" s="71" t="s">
        <v>187</v>
      </c>
      <c r="D171" s="60" t="s">
        <v>2417</v>
      </c>
      <c r="E171" s="60" t="s">
        <v>2545</v>
      </c>
      <c r="F171" s="60" t="s">
        <v>2546</v>
      </c>
      <c r="G171" s="60" t="s">
        <v>2919</v>
      </c>
      <c r="H171" s="60" t="s">
        <v>2547</v>
      </c>
      <c r="I171" s="60" t="s">
        <v>2548</v>
      </c>
    </row>
    <row r="172" spans="2:9" s="56" customFormat="1" ht="120" customHeight="1" x14ac:dyDescent="0.35">
      <c r="B172" s="59">
        <v>347</v>
      </c>
      <c r="C172" s="71" t="s">
        <v>188</v>
      </c>
      <c r="D172" s="60" t="s">
        <v>2417</v>
      </c>
      <c r="E172" s="60" t="s">
        <v>2545</v>
      </c>
      <c r="F172" s="60" t="s">
        <v>2546</v>
      </c>
      <c r="G172" s="60" t="s">
        <v>2919</v>
      </c>
      <c r="H172" s="60" t="s">
        <v>2547</v>
      </c>
      <c r="I172" s="60" t="s">
        <v>2548</v>
      </c>
    </row>
    <row r="173" spans="2:9" s="56" customFormat="1" ht="120" customHeight="1" x14ac:dyDescent="0.35">
      <c r="B173" s="59">
        <v>348</v>
      </c>
      <c r="C173" s="71" t="s">
        <v>189</v>
      </c>
      <c r="D173" s="60" t="s">
        <v>2417</v>
      </c>
      <c r="E173" s="60" t="s">
        <v>2545</v>
      </c>
      <c r="F173" s="60" t="s">
        <v>2546</v>
      </c>
      <c r="G173" s="60" t="s">
        <v>2919</v>
      </c>
      <c r="H173" s="60" t="s">
        <v>2547</v>
      </c>
      <c r="I173" s="60" t="s">
        <v>2548</v>
      </c>
    </row>
    <row r="174" spans="2:9" s="56" customFormat="1" ht="120" customHeight="1" x14ac:dyDescent="0.35">
      <c r="B174" s="59">
        <v>349</v>
      </c>
      <c r="C174" s="71" t="s">
        <v>190</v>
      </c>
      <c r="D174" s="60" t="s">
        <v>2417</v>
      </c>
      <c r="E174" s="60" t="s">
        <v>2545</v>
      </c>
      <c r="F174" s="60" t="s">
        <v>2546</v>
      </c>
      <c r="G174" s="60" t="s">
        <v>2919</v>
      </c>
      <c r="H174" s="60" t="s">
        <v>2547</v>
      </c>
      <c r="I174" s="60" t="s">
        <v>2548</v>
      </c>
    </row>
    <row r="175" spans="2:9" s="56" customFormat="1" ht="120" customHeight="1" x14ac:dyDescent="0.35">
      <c r="B175" s="59">
        <v>359</v>
      </c>
      <c r="C175" s="71" t="s">
        <v>2550</v>
      </c>
      <c r="D175" s="60" t="s">
        <v>2371</v>
      </c>
      <c r="E175" s="60"/>
      <c r="F175" s="60"/>
      <c r="G175" s="60"/>
      <c r="H175" s="60"/>
      <c r="I175" s="60"/>
    </row>
    <row r="176" spans="2:9" x14ac:dyDescent="0.35">
      <c r="B176" s="59">
        <v>360</v>
      </c>
      <c r="C176" s="71" t="s">
        <v>2551</v>
      </c>
      <c r="D176" s="60" t="s">
        <v>2371</v>
      </c>
      <c r="E176" s="60"/>
      <c r="F176" s="60"/>
      <c r="G176" s="60"/>
      <c r="H176" s="60"/>
      <c r="I176" s="60"/>
    </row>
    <row r="177" spans="2:9" x14ac:dyDescent="0.35">
      <c r="B177" s="59">
        <v>361</v>
      </c>
      <c r="C177" s="71" t="s">
        <v>2552</v>
      </c>
      <c r="D177" s="60" t="s">
        <v>2371</v>
      </c>
      <c r="E177" s="60"/>
      <c r="F177" s="60"/>
      <c r="G177" s="60"/>
      <c r="H177" s="60"/>
      <c r="I177" s="60"/>
    </row>
    <row r="178" spans="2:9" x14ac:dyDescent="0.35">
      <c r="B178" s="59">
        <v>362</v>
      </c>
      <c r="C178" s="71" t="s">
        <v>2553</v>
      </c>
      <c r="D178" s="60" t="s">
        <v>2371</v>
      </c>
      <c r="E178" s="60"/>
      <c r="F178" s="60"/>
      <c r="G178" s="60"/>
      <c r="H178" s="60"/>
      <c r="I178" s="60"/>
    </row>
    <row r="179" spans="2:9" x14ac:dyDescent="0.35">
      <c r="B179" s="59">
        <v>363</v>
      </c>
      <c r="C179" s="71" t="s">
        <v>2554</v>
      </c>
      <c r="D179" s="60" t="s">
        <v>2371</v>
      </c>
      <c r="E179" s="60"/>
      <c r="F179" s="60"/>
      <c r="G179" s="60"/>
      <c r="H179" s="60"/>
      <c r="I179" s="60"/>
    </row>
    <row r="180" spans="2:9" x14ac:dyDescent="0.35">
      <c r="B180" s="59">
        <v>364</v>
      </c>
      <c r="C180" s="71" t="s">
        <v>2555</v>
      </c>
      <c r="D180" s="60" t="s">
        <v>2371</v>
      </c>
      <c r="E180" s="60"/>
      <c r="F180" s="60"/>
      <c r="G180" s="60"/>
      <c r="H180" s="60"/>
      <c r="I180" s="60"/>
    </row>
    <row r="181" spans="2:9" x14ac:dyDescent="0.35">
      <c r="B181" s="59">
        <v>365</v>
      </c>
      <c r="C181" s="71" t="s">
        <v>2556</v>
      </c>
      <c r="D181" s="60" t="s">
        <v>2371</v>
      </c>
      <c r="E181" s="60"/>
      <c r="F181" s="60"/>
      <c r="G181" s="60"/>
      <c r="H181" s="60"/>
      <c r="I181" s="60"/>
    </row>
    <row r="182" spans="2:9" x14ac:dyDescent="0.35">
      <c r="B182" s="59">
        <v>366</v>
      </c>
      <c r="C182" s="71" t="s">
        <v>2557</v>
      </c>
      <c r="D182" s="60" t="s">
        <v>2371</v>
      </c>
      <c r="E182" s="60"/>
      <c r="F182" s="60"/>
      <c r="G182" s="60"/>
      <c r="H182" s="60"/>
      <c r="I182" s="60"/>
    </row>
    <row r="183" spans="2:9" x14ac:dyDescent="0.35">
      <c r="B183" s="59">
        <v>367</v>
      </c>
      <c r="C183" s="71" t="s">
        <v>199</v>
      </c>
      <c r="D183" s="60" t="s">
        <v>2371</v>
      </c>
      <c r="E183" s="60"/>
      <c r="F183" s="60"/>
      <c r="G183" s="60"/>
      <c r="H183" s="60"/>
      <c r="I183" s="60"/>
    </row>
    <row r="184" spans="2:9" x14ac:dyDescent="0.35">
      <c r="B184" s="59">
        <v>368</v>
      </c>
      <c r="C184" s="71" t="s">
        <v>200</v>
      </c>
      <c r="D184" s="60" t="s">
        <v>2371</v>
      </c>
      <c r="E184" s="60"/>
      <c r="F184" s="60"/>
      <c r="G184" s="60"/>
      <c r="H184" s="60"/>
      <c r="I184" s="60"/>
    </row>
    <row r="185" spans="2:9" x14ac:dyDescent="0.35">
      <c r="B185" s="59">
        <v>369</v>
      </c>
      <c r="C185" s="71" t="s">
        <v>201</v>
      </c>
      <c r="D185" s="60" t="s">
        <v>2371</v>
      </c>
      <c r="E185" s="60"/>
      <c r="F185" s="60"/>
      <c r="G185" s="60"/>
      <c r="H185" s="60"/>
      <c r="I185" s="60"/>
    </row>
    <row r="186" spans="2:9" x14ac:dyDescent="0.35">
      <c r="B186" s="59">
        <v>370</v>
      </c>
      <c r="C186" s="71" t="s">
        <v>202</v>
      </c>
      <c r="D186" s="60" t="s">
        <v>2371</v>
      </c>
      <c r="E186" s="60"/>
      <c r="F186" s="60"/>
      <c r="G186" s="60"/>
      <c r="H186" s="60"/>
      <c r="I186" s="60"/>
    </row>
    <row r="187" spans="2:9" x14ac:dyDescent="0.35">
      <c r="B187" s="59">
        <v>371</v>
      </c>
      <c r="C187" s="71" t="s">
        <v>203</v>
      </c>
      <c r="D187" s="60" t="s">
        <v>2371</v>
      </c>
      <c r="E187" s="60"/>
      <c r="F187" s="60"/>
      <c r="G187" s="60"/>
      <c r="H187" s="60"/>
      <c r="I187" s="60"/>
    </row>
    <row r="188" spans="2:9" x14ac:dyDescent="0.35">
      <c r="B188" s="59">
        <v>372</v>
      </c>
      <c r="C188" s="71" t="s">
        <v>204</v>
      </c>
      <c r="D188" s="60" t="s">
        <v>2371</v>
      </c>
      <c r="E188" s="60"/>
      <c r="F188" s="60"/>
      <c r="G188" s="60"/>
      <c r="H188" s="60"/>
      <c r="I188" s="60"/>
    </row>
    <row r="189" spans="2:9" x14ac:dyDescent="0.35">
      <c r="B189" s="59">
        <v>373</v>
      </c>
      <c r="C189" s="71" t="s">
        <v>205</v>
      </c>
      <c r="D189" s="60" t="s">
        <v>2371</v>
      </c>
      <c r="E189" s="60"/>
      <c r="F189" s="60"/>
      <c r="G189" s="60"/>
      <c r="H189" s="60"/>
      <c r="I189" s="60"/>
    </row>
    <row r="190" spans="2:9" x14ac:dyDescent="0.35">
      <c r="B190" s="59">
        <v>374</v>
      </c>
      <c r="C190" s="71" t="s">
        <v>206</v>
      </c>
      <c r="D190" s="60" t="s">
        <v>2371</v>
      </c>
      <c r="E190" s="60"/>
      <c r="F190" s="60"/>
      <c r="G190" s="60"/>
      <c r="H190" s="60"/>
      <c r="I190" s="60"/>
    </row>
    <row r="191" spans="2:9" x14ac:dyDescent="0.35">
      <c r="B191" s="59">
        <v>375</v>
      </c>
      <c r="C191" s="71" t="s">
        <v>207</v>
      </c>
      <c r="D191" s="60" t="s">
        <v>2371</v>
      </c>
      <c r="E191" s="60"/>
      <c r="F191" s="60"/>
      <c r="G191" s="60"/>
      <c r="H191" s="60"/>
      <c r="I191" s="60"/>
    </row>
    <row r="192" spans="2:9" x14ac:dyDescent="0.35">
      <c r="B192" s="59">
        <v>376</v>
      </c>
      <c r="C192" s="71" t="s">
        <v>208</v>
      </c>
      <c r="D192" s="60" t="s">
        <v>2371</v>
      </c>
      <c r="E192" s="60"/>
      <c r="F192" s="60"/>
      <c r="G192" s="60"/>
      <c r="H192" s="60"/>
      <c r="I192" s="60"/>
    </row>
    <row r="193" spans="2:9" x14ac:dyDescent="0.35">
      <c r="B193" s="59">
        <v>377</v>
      </c>
      <c r="C193" s="71" t="s">
        <v>209</v>
      </c>
      <c r="D193" s="60" t="s">
        <v>2371</v>
      </c>
      <c r="E193" s="60"/>
      <c r="F193" s="60"/>
      <c r="G193" s="60"/>
      <c r="H193" s="60"/>
      <c r="I193" s="60"/>
    </row>
    <row r="194" spans="2:9" x14ac:dyDescent="0.35">
      <c r="B194" s="59">
        <v>378</v>
      </c>
      <c r="C194" s="71" t="s">
        <v>210</v>
      </c>
      <c r="D194" s="60" t="s">
        <v>2371</v>
      </c>
      <c r="E194" s="60"/>
      <c r="F194" s="60"/>
      <c r="G194" s="60"/>
      <c r="H194" s="60"/>
      <c r="I194" s="60"/>
    </row>
    <row r="195" spans="2:9" x14ac:dyDescent="0.35">
      <c r="B195" s="59">
        <v>379</v>
      </c>
      <c r="C195" s="71" t="s">
        <v>211</v>
      </c>
      <c r="D195" s="60" t="s">
        <v>2371</v>
      </c>
      <c r="E195" s="60"/>
      <c r="F195" s="60"/>
      <c r="G195" s="60"/>
      <c r="H195" s="60"/>
      <c r="I195" s="60"/>
    </row>
    <row r="196" spans="2:9" x14ac:dyDescent="0.35">
      <c r="B196" s="59">
        <v>380</v>
      </c>
      <c r="C196" s="71" t="s">
        <v>212</v>
      </c>
      <c r="D196" s="60" t="s">
        <v>2371</v>
      </c>
      <c r="E196" s="60"/>
      <c r="F196" s="60"/>
      <c r="G196" s="60"/>
      <c r="H196" s="60"/>
      <c r="I196" s="60"/>
    </row>
    <row r="197" spans="2:9" x14ac:dyDescent="0.35">
      <c r="B197" s="59">
        <v>382</v>
      </c>
      <c r="C197" s="71" t="s">
        <v>213</v>
      </c>
      <c r="D197" s="60" t="s">
        <v>2371</v>
      </c>
      <c r="E197" s="60"/>
      <c r="F197" s="60"/>
      <c r="G197" s="60"/>
      <c r="H197" s="60"/>
      <c r="I197" s="60"/>
    </row>
    <row r="198" spans="2:9" x14ac:dyDescent="0.35">
      <c r="B198" s="59">
        <v>383</v>
      </c>
      <c r="C198" s="71" t="s">
        <v>214</v>
      </c>
      <c r="D198" s="60" t="s">
        <v>2371</v>
      </c>
      <c r="E198" s="60"/>
      <c r="F198" s="60"/>
      <c r="G198" s="60"/>
      <c r="H198" s="60"/>
      <c r="I198" s="60"/>
    </row>
    <row r="199" spans="2:9" x14ac:dyDescent="0.35">
      <c r="B199" s="59">
        <v>384</v>
      </c>
      <c r="C199" s="71" t="s">
        <v>215</v>
      </c>
      <c r="D199" s="60" t="s">
        <v>2371</v>
      </c>
      <c r="E199" s="60"/>
      <c r="F199" s="60"/>
      <c r="G199" s="60"/>
      <c r="H199" s="60"/>
      <c r="I199" s="60"/>
    </row>
    <row r="200" spans="2:9" x14ac:dyDescent="0.35">
      <c r="B200" s="59">
        <v>385</v>
      </c>
      <c r="C200" s="71" t="s">
        <v>216</v>
      </c>
      <c r="D200" s="60" t="s">
        <v>2371</v>
      </c>
      <c r="E200" s="60"/>
      <c r="F200" s="60"/>
      <c r="G200" s="60"/>
      <c r="H200" s="60"/>
      <c r="I200" s="60"/>
    </row>
    <row r="201" spans="2:9" x14ac:dyDescent="0.35">
      <c r="B201" s="59">
        <v>386</v>
      </c>
      <c r="C201" s="71" t="s">
        <v>217</v>
      </c>
      <c r="D201" s="60" t="s">
        <v>2371</v>
      </c>
      <c r="E201" s="60"/>
      <c r="F201" s="60"/>
      <c r="G201" s="60"/>
      <c r="H201" s="60"/>
      <c r="I201" s="60"/>
    </row>
    <row r="202" spans="2:9" x14ac:dyDescent="0.35">
      <c r="B202" s="59">
        <v>387</v>
      </c>
      <c r="C202" s="71" t="s">
        <v>218</v>
      </c>
      <c r="D202" s="60" t="s">
        <v>2371</v>
      </c>
      <c r="E202" s="60"/>
      <c r="F202" s="60"/>
      <c r="G202" s="60"/>
      <c r="H202" s="60"/>
      <c r="I202" s="60"/>
    </row>
    <row r="203" spans="2:9" x14ac:dyDescent="0.35">
      <c r="B203" s="59">
        <v>388</v>
      </c>
      <c r="C203" s="71" t="s">
        <v>219</v>
      </c>
      <c r="D203" s="60" t="s">
        <v>2371</v>
      </c>
      <c r="E203" s="60"/>
      <c r="F203" s="60"/>
      <c r="G203" s="60"/>
      <c r="H203" s="60"/>
      <c r="I203" s="60"/>
    </row>
    <row r="204" spans="2:9" x14ac:dyDescent="0.35">
      <c r="B204" s="59">
        <v>389</v>
      </c>
      <c r="C204" s="71" t="s">
        <v>220</v>
      </c>
      <c r="D204" s="60" t="s">
        <v>2371</v>
      </c>
      <c r="E204" s="60"/>
      <c r="F204" s="60"/>
      <c r="G204" s="60"/>
      <c r="H204" s="60"/>
      <c r="I204" s="60"/>
    </row>
    <row r="205" spans="2:9" x14ac:dyDescent="0.35">
      <c r="B205" s="59">
        <v>390</v>
      </c>
      <c r="C205" s="71" t="s">
        <v>221</v>
      </c>
      <c r="D205" s="60" t="s">
        <v>2371</v>
      </c>
      <c r="E205" s="60"/>
      <c r="F205" s="60"/>
      <c r="G205" s="60"/>
      <c r="H205" s="60"/>
      <c r="I205" s="60"/>
    </row>
    <row r="206" spans="2:9" x14ac:dyDescent="0.35">
      <c r="B206" s="59">
        <v>393</v>
      </c>
      <c r="C206" s="71" t="s">
        <v>222</v>
      </c>
      <c r="D206" s="60" t="s">
        <v>2371</v>
      </c>
      <c r="E206" s="60"/>
      <c r="F206" s="60"/>
      <c r="G206" s="60"/>
      <c r="H206" s="60"/>
      <c r="I206" s="60"/>
    </row>
    <row r="207" spans="2:9" x14ac:dyDescent="0.35">
      <c r="B207" s="59">
        <v>394</v>
      </c>
      <c r="C207" s="71" t="s">
        <v>223</v>
      </c>
      <c r="D207" s="60" t="s">
        <v>2371</v>
      </c>
      <c r="E207" s="60"/>
      <c r="F207" s="60"/>
      <c r="G207" s="60"/>
      <c r="H207" s="60"/>
      <c r="I207" s="60"/>
    </row>
    <row r="208" spans="2:9" x14ac:dyDescent="0.35">
      <c r="B208" s="59">
        <v>395</v>
      </c>
      <c r="C208" s="71" t="s">
        <v>224</v>
      </c>
      <c r="D208" s="60" t="s">
        <v>2371</v>
      </c>
      <c r="E208" s="60"/>
      <c r="F208" s="60"/>
      <c r="G208" s="60"/>
      <c r="H208" s="60"/>
      <c r="I208" s="60"/>
    </row>
    <row r="209" spans="2:9" x14ac:dyDescent="0.35">
      <c r="B209" s="59">
        <v>396</v>
      </c>
      <c r="C209" s="71" t="s">
        <v>225</v>
      </c>
      <c r="D209" s="60" t="s">
        <v>2371</v>
      </c>
      <c r="E209" s="60"/>
      <c r="F209" s="60"/>
      <c r="G209" s="60"/>
      <c r="H209" s="60"/>
      <c r="I209" s="60"/>
    </row>
    <row r="210" spans="2:9" x14ac:dyDescent="0.35">
      <c r="B210" s="59">
        <v>397</v>
      </c>
      <c r="C210" s="71" t="s">
        <v>226</v>
      </c>
      <c r="D210" s="60" t="s">
        <v>2371</v>
      </c>
      <c r="E210" s="60"/>
      <c r="F210" s="60"/>
      <c r="G210" s="60"/>
      <c r="H210" s="60"/>
      <c r="I210" s="60"/>
    </row>
    <row r="211" spans="2:9" x14ac:dyDescent="0.35">
      <c r="B211" s="59">
        <v>398</v>
      </c>
      <c r="C211" s="71" t="s">
        <v>227</v>
      </c>
      <c r="D211" s="60" t="s">
        <v>2371</v>
      </c>
      <c r="E211" s="60"/>
      <c r="F211" s="60"/>
      <c r="G211" s="60"/>
      <c r="H211" s="60"/>
      <c r="I211" s="60"/>
    </row>
    <row r="212" spans="2:9" x14ac:dyDescent="0.35">
      <c r="B212" s="59">
        <v>399</v>
      </c>
      <c r="C212" s="71" t="s">
        <v>228</v>
      </c>
      <c r="D212" s="60" t="s">
        <v>2371</v>
      </c>
      <c r="E212" s="60"/>
      <c r="F212" s="60"/>
      <c r="G212" s="60"/>
      <c r="H212" s="60"/>
      <c r="I212" s="60"/>
    </row>
    <row r="213" spans="2:9" x14ac:dyDescent="0.35">
      <c r="B213" s="59">
        <v>400</v>
      </c>
      <c r="C213" s="71" t="s">
        <v>229</v>
      </c>
      <c r="D213" s="60" t="s">
        <v>2371</v>
      </c>
      <c r="E213" s="60"/>
      <c r="F213" s="60"/>
      <c r="G213" s="60"/>
      <c r="H213" s="60"/>
      <c r="I213" s="60"/>
    </row>
    <row r="214" spans="2:9" x14ac:dyDescent="0.35">
      <c r="B214" s="59">
        <v>401</v>
      </c>
      <c r="C214" s="71" t="s">
        <v>230</v>
      </c>
      <c r="D214" s="60" t="s">
        <v>2371</v>
      </c>
      <c r="E214" s="60"/>
      <c r="F214" s="60"/>
      <c r="G214" s="60"/>
      <c r="H214" s="60"/>
      <c r="I214" s="60"/>
    </row>
    <row r="215" spans="2:9" ht="246.5" x14ac:dyDescent="0.35">
      <c r="B215" s="59">
        <v>402</v>
      </c>
      <c r="C215" s="71" t="s">
        <v>231</v>
      </c>
      <c r="D215" s="60" t="s">
        <v>2371</v>
      </c>
      <c r="E215" s="60" t="s">
        <v>2558</v>
      </c>
      <c r="F215" s="60" t="s">
        <v>2559</v>
      </c>
      <c r="G215" s="60" t="s">
        <v>2560</v>
      </c>
      <c r="H215" s="60" t="s">
        <v>2561</v>
      </c>
      <c r="I215" s="60" t="s">
        <v>2562</v>
      </c>
    </row>
    <row r="216" spans="2:9" s="56" customFormat="1" ht="120" customHeight="1" x14ac:dyDescent="0.35">
      <c r="B216" s="59">
        <v>403</v>
      </c>
      <c r="C216" s="71" t="s">
        <v>232</v>
      </c>
      <c r="D216" s="60" t="s">
        <v>2371</v>
      </c>
      <c r="E216" s="60" t="s">
        <v>2558</v>
      </c>
      <c r="F216" s="60" t="s">
        <v>2559</v>
      </c>
      <c r="G216" s="60" t="s">
        <v>2560</v>
      </c>
      <c r="H216" s="60" t="s">
        <v>2561</v>
      </c>
      <c r="I216" s="60" t="s">
        <v>2562</v>
      </c>
    </row>
    <row r="217" spans="2:9" s="56" customFormat="1" ht="120" customHeight="1" x14ac:dyDescent="0.35">
      <c r="B217" s="59">
        <v>404</v>
      </c>
      <c r="C217" s="71" t="s">
        <v>233</v>
      </c>
      <c r="D217" s="60" t="s">
        <v>2371</v>
      </c>
      <c r="E217" s="60" t="s">
        <v>2558</v>
      </c>
      <c r="F217" s="60" t="s">
        <v>2559</v>
      </c>
      <c r="G217" s="60" t="s">
        <v>2560</v>
      </c>
      <c r="H217" s="60" t="s">
        <v>2561</v>
      </c>
      <c r="I217" s="60" t="s">
        <v>2562</v>
      </c>
    </row>
    <row r="218" spans="2:9" s="56" customFormat="1" ht="120" customHeight="1" x14ac:dyDescent="0.35">
      <c r="B218" s="59"/>
      <c r="C218" s="71"/>
      <c r="D218" s="60"/>
      <c r="E218" s="60"/>
      <c r="F218" s="60"/>
      <c r="G218" s="60"/>
      <c r="H218" s="60"/>
      <c r="I218" s="60"/>
    </row>
    <row r="219" spans="2:9" x14ac:dyDescent="0.35">
      <c r="B219" s="59">
        <v>406</v>
      </c>
      <c r="C219" s="71" t="s">
        <v>234</v>
      </c>
      <c r="D219" s="60" t="s">
        <v>2371</v>
      </c>
      <c r="E219" s="60"/>
      <c r="F219" s="60"/>
      <c r="G219" s="60"/>
      <c r="H219" s="60"/>
      <c r="I219" s="60"/>
    </row>
    <row r="220" spans="2:9" x14ac:dyDescent="0.35">
      <c r="B220" s="59">
        <v>407</v>
      </c>
      <c r="C220" s="71" t="s">
        <v>235</v>
      </c>
      <c r="D220" s="60" t="s">
        <v>2371</v>
      </c>
      <c r="E220" s="60"/>
      <c r="F220" s="60"/>
      <c r="G220" s="60"/>
      <c r="H220" s="60"/>
      <c r="I220" s="60"/>
    </row>
    <row r="221" spans="2:9" x14ac:dyDescent="0.35">
      <c r="B221" s="59">
        <v>408</v>
      </c>
      <c r="C221" s="71" t="s">
        <v>236</v>
      </c>
      <c r="D221" s="60" t="s">
        <v>2371</v>
      </c>
      <c r="E221" s="60"/>
      <c r="F221" s="60"/>
      <c r="G221" s="60"/>
      <c r="H221" s="60"/>
      <c r="I221" s="60"/>
    </row>
    <row r="222" spans="2:9" x14ac:dyDescent="0.35">
      <c r="B222" s="59">
        <v>409</v>
      </c>
      <c r="C222" s="71" t="s">
        <v>237</v>
      </c>
      <c r="D222" s="60" t="s">
        <v>2371</v>
      </c>
      <c r="E222" s="60"/>
      <c r="F222" s="60"/>
      <c r="G222" s="60"/>
      <c r="H222" s="60"/>
      <c r="I222" s="60"/>
    </row>
    <row r="223" spans="2:9" x14ac:dyDescent="0.35">
      <c r="B223" s="59">
        <v>410</v>
      </c>
      <c r="C223" s="71" t="s">
        <v>238</v>
      </c>
      <c r="D223" s="60" t="s">
        <v>2371</v>
      </c>
      <c r="E223" s="60"/>
      <c r="F223" s="60"/>
      <c r="G223" s="60"/>
      <c r="H223" s="60"/>
      <c r="I223" s="60"/>
    </row>
    <row r="224" spans="2:9" x14ac:dyDescent="0.35">
      <c r="B224" s="59">
        <v>411</v>
      </c>
      <c r="C224" s="71" t="s">
        <v>239</v>
      </c>
      <c r="D224" s="60" t="s">
        <v>2371</v>
      </c>
      <c r="E224" s="60"/>
      <c r="F224" s="60"/>
      <c r="G224" s="60"/>
      <c r="H224" s="60"/>
      <c r="I224" s="60"/>
    </row>
    <row r="225" spans="2:9" x14ac:dyDescent="0.35">
      <c r="B225" s="59">
        <v>412</v>
      </c>
      <c r="C225" s="71" t="s">
        <v>240</v>
      </c>
      <c r="D225" s="60" t="s">
        <v>2371</v>
      </c>
      <c r="E225" s="60"/>
      <c r="F225" s="60"/>
      <c r="G225" s="60"/>
      <c r="H225" s="60"/>
      <c r="I225" s="60"/>
    </row>
    <row r="226" spans="2:9" x14ac:dyDescent="0.35">
      <c r="B226" s="59">
        <v>413</v>
      </c>
      <c r="C226" s="71" t="s">
        <v>241</v>
      </c>
      <c r="D226" s="60" t="s">
        <v>2371</v>
      </c>
      <c r="E226" s="60"/>
      <c r="F226" s="60"/>
      <c r="G226" s="60"/>
      <c r="H226" s="60"/>
      <c r="I226" s="60"/>
    </row>
    <row r="227" spans="2:9" x14ac:dyDescent="0.35">
      <c r="B227" s="59">
        <v>414</v>
      </c>
      <c r="C227" s="71" t="s">
        <v>242</v>
      </c>
      <c r="D227" s="60" t="s">
        <v>2371</v>
      </c>
      <c r="E227" s="60"/>
      <c r="F227" s="60"/>
      <c r="G227" s="60"/>
      <c r="H227" s="60"/>
      <c r="I227" s="60"/>
    </row>
    <row r="228" spans="2:9" x14ac:dyDescent="0.35">
      <c r="B228" s="59">
        <v>415</v>
      </c>
      <c r="C228" s="71" t="s">
        <v>243</v>
      </c>
      <c r="D228" s="60" t="s">
        <v>2371</v>
      </c>
      <c r="E228" s="60"/>
      <c r="F228" s="60"/>
      <c r="G228" s="60"/>
      <c r="H228" s="60"/>
      <c r="I228" s="60"/>
    </row>
    <row r="229" spans="2:9" x14ac:dyDescent="0.35">
      <c r="B229" s="59">
        <v>416</v>
      </c>
      <c r="C229" s="71" t="s">
        <v>244</v>
      </c>
      <c r="D229" s="60" t="s">
        <v>2371</v>
      </c>
      <c r="E229" s="60"/>
      <c r="F229" s="60"/>
      <c r="G229" s="60"/>
      <c r="H229" s="60"/>
      <c r="I229" s="60"/>
    </row>
    <row r="230" spans="2:9" x14ac:dyDescent="0.35">
      <c r="B230" s="59">
        <v>417</v>
      </c>
      <c r="C230" s="71" t="s">
        <v>245</v>
      </c>
      <c r="D230" s="60" t="s">
        <v>2371</v>
      </c>
      <c r="E230" s="60"/>
      <c r="F230" s="60"/>
      <c r="G230" s="60"/>
      <c r="H230" s="60"/>
      <c r="I230" s="60"/>
    </row>
    <row r="231" spans="2:9" x14ac:dyDescent="0.35">
      <c r="B231" s="59">
        <v>418</v>
      </c>
      <c r="C231" s="71" t="s">
        <v>246</v>
      </c>
      <c r="D231" s="60" t="s">
        <v>2371</v>
      </c>
      <c r="E231" s="60"/>
      <c r="F231" s="60"/>
      <c r="G231" s="60"/>
      <c r="H231" s="60"/>
      <c r="I231" s="60"/>
    </row>
    <row r="232" spans="2:9" x14ac:dyDescent="0.35">
      <c r="B232" s="59">
        <v>419</v>
      </c>
      <c r="C232" s="71" t="s">
        <v>247</v>
      </c>
      <c r="D232" s="60" t="s">
        <v>2371</v>
      </c>
      <c r="E232" s="60"/>
      <c r="F232" s="60"/>
      <c r="G232" s="60"/>
      <c r="H232" s="60"/>
      <c r="I232" s="60"/>
    </row>
    <row r="233" spans="2:9" x14ac:dyDescent="0.35">
      <c r="B233" s="59">
        <v>420</v>
      </c>
      <c r="C233" s="71" t="s">
        <v>248</v>
      </c>
      <c r="D233" s="60" t="s">
        <v>2371</v>
      </c>
      <c r="E233" s="60"/>
      <c r="F233" s="60"/>
      <c r="G233" s="60"/>
      <c r="H233" s="60"/>
      <c r="I233" s="60"/>
    </row>
    <row r="234" spans="2:9" x14ac:dyDescent="0.35">
      <c r="B234" s="59">
        <v>421</v>
      </c>
      <c r="C234" s="71" t="s">
        <v>249</v>
      </c>
      <c r="D234" s="60" t="s">
        <v>2371</v>
      </c>
      <c r="E234" s="60"/>
      <c r="F234" s="60"/>
      <c r="G234" s="60"/>
      <c r="H234" s="60"/>
      <c r="I234" s="60"/>
    </row>
    <row r="235" spans="2:9" x14ac:dyDescent="0.35">
      <c r="B235" s="59">
        <v>422</v>
      </c>
      <c r="C235" s="71" t="s">
        <v>250</v>
      </c>
      <c r="D235" s="60" t="s">
        <v>2371</v>
      </c>
      <c r="E235" s="60"/>
      <c r="F235" s="60"/>
      <c r="G235" s="60"/>
      <c r="H235" s="60"/>
      <c r="I235" s="60"/>
    </row>
    <row r="236" spans="2:9" x14ac:dyDescent="0.35">
      <c r="B236" s="59">
        <v>423</v>
      </c>
      <c r="C236" s="71" t="s">
        <v>251</v>
      </c>
      <c r="D236" s="60" t="s">
        <v>2371</v>
      </c>
      <c r="E236" s="60"/>
      <c r="F236" s="60"/>
      <c r="G236" s="60"/>
      <c r="H236" s="60"/>
      <c r="I236" s="60"/>
    </row>
    <row r="237" spans="2:9" x14ac:dyDescent="0.35">
      <c r="B237" s="59">
        <v>424</v>
      </c>
      <c r="C237" s="71" t="s">
        <v>252</v>
      </c>
      <c r="D237" s="60" t="s">
        <v>2371</v>
      </c>
      <c r="E237" s="60"/>
      <c r="F237" s="60"/>
      <c r="G237" s="60"/>
      <c r="H237" s="60"/>
      <c r="I237" s="60"/>
    </row>
    <row r="238" spans="2:9" x14ac:dyDescent="0.35">
      <c r="B238" s="59">
        <v>425</v>
      </c>
      <c r="C238" s="71" t="s">
        <v>253</v>
      </c>
      <c r="D238" s="60" t="s">
        <v>2371</v>
      </c>
      <c r="E238" s="60"/>
      <c r="F238" s="60"/>
      <c r="G238" s="60"/>
      <c r="H238" s="60"/>
      <c r="I238" s="60"/>
    </row>
    <row r="239" spans="2:9" x14ac:dyDescent="0.35">
      <c r="B239" s="59">
        <v>426</v>
      </c>
      <c r="C239" s="71" t="s">
        <v>254</v>
      </c>
      <c r="D239" s="60" t="s">
        <v>2371</v>
      </c>
      <c r="E239" s="60"/>
      <c r="F239" s="60"/>
      <c r="G239" s="60"/>
      <c r="H239" s="60"/>
      <c r="I239" s="60"/>
    </row>
    <row r="240" spans="2:9" x14ac:dyDescent="0.35">
      <c r="B240" s="59">
        <v>427</v>
      </c>
      <c r="C240" s="71" t="s">
        <v>255</v>
      </c>
      <c r="D240" s="60" t="s">
        <v>2371</v>
      </c>
      <c r="E240" s="60"/>
      <c r="F240" s="60"/>
      <c r="G240" s="60"/>
      <c r="H240" s="60"/>
      <c r="I240" s="60"/>
    </row>
    <row r="241" spans="2:9" x14ac:dyDescent="0.35">
      <c r="B241" s="59">
        <v>428</v>
      </c>
      <c r="C241" s="71" t="s">
        <v>256</v>
      </c>
      <c r="D241" s="60" t="s">
        <v>2371</v>
      </c>
      <c r="E241" s="60"/>
      <c r="F241" s="60"/>
      <c r="G241" s="60"/>
      <c r="H241" s="60"/>
      <c r="I241" s="60"/>
    </row>
    <row r="242" spans="2:9" x14ac:dyDescent="0.35">
      <c r="B242" s="59">
        <v>429</v>
      </c>
      <c r="C242" s="71" t="s">
        <v>257</v>
      </c>
      <c r="D242" s="60" t="s">
        <v>2371</v>
      </c>
      <c r="E242" s="60"/>
      <c r="F242" s="60"/>
      <c r="G242" s="60"/>
      <c r="H242" s="60"/>
      <c r="I242" s="60"/>
    </row>
    <row r="243" spans="2:9" x14ac:dyDescent="0.35">
      <c r="B243" s="59">
        <v>430</v>
      </c>
      <c r="C243" s="71" t="s">
        <v>258</v>
      </c>
      <c r="D243" s="60" t="s">
        <v>2371</v>
      </c>
      <c r="E243" s="60"/>
      <c r="F243" s="60"/>
      <c r="G243" s="60"/>
      <c r="H243" s="60"/>
      <c r="I243" s="60"/>
    </row>
    <row r="244" spans="2:9" x14ac:dyDescent="0.35">
      <c r="B244" s="59">
        <v>431</v>
      </c>
      <c r="C244" s="71" t="s">
        <v>259</v>
      </c>
      <c r="D244" s="60" t="s">
        <v>2371</v>
      </c>
      <c r="E244" s="60"/>
      <c r="F244" s="60"/>
      <c r="G244" s="60"/>
      <c r="H244" s="60"/>
      <c r="I244" s="60"/>
    </row>
    <row r="245" spans="2:9" x14ac:dyDescent="0.35">
      <c r="B245" s="59">
        <v>432</v>
      </c>
      <c r="C245" s="71" t="s">
        <v>260</v>
      </c>
      <c r="D245" s="60" t="s">
        <v>2371</v>
      </c>
      <c r="E245" s="60"/>
      <c r="F245" s="60"/>
      <c r="G245" s="60"/>
      <c r="H245" s="60"/>
      <c r="I245" s="60"/>
    </row>
    <row r="246" spans="2:9" x14ac:dyDescent="0.35">
      <c r="B246" s="59">
        <v>433</v>
      </c>
      <c r="C246" s="71" t="s">
        <v>261</v>
      </c>
      <c r="D246" s="60" t="s">
        <v>2371</v>
      </c>
      <c r="E246" s="60"/>
      <c r="F246" s="60"/>
      <c r="G246" s="60"/>
      <c r="H246" s="60"/>
      <c r="I246" s="60"/>
    </row>
    <row r="247" spans="2:9" x14ac:dyDescent="0.35">
      <c r="B247" s="59">
        <v>434</v>
      </c>
      <c r="C247" s="71" t="s">
        <v>262</v>
      </c>
      <c r="D247" s="60" t="s">
        <v>2371</v>
      </c>
      <c r="E247" s="60"/>
      <c r="F247" s="60"/>
      <c r="G247" s="60"/>
      <c r="H247" s="60"/>
      <c r="I247" s="60"/>
    </row>
    <row r="248" spans="2:9" x14ac:dyDescent="0.35">
      <c r="B248" s="59">
        <v>435</v>
      </c>
      <c r="C248" s="71" t="s">
        <v>263</v>
      </c>
      <c r="D248" s="60" t="s">
        <v>2371</v>
      </c>
      <c r="E248" s="60"/>
      <c r="F248" s="60"/>
      <c r="G248" s="60"/>
      <c r="H248" s="60"/>
      <c r="I248" s="60"/>
    </row>
    <row r="249" spans="2:9" x14ac:dyDescent="0.35">
      <c r="B249" s="59">
        <v>436</v>
      </c>
      <c r="C249" s="71" t="s">
        <v>264</v>
      </c>
      <c r="D249" s="60" t="s">
        <v>2371</v>
      </c>
      <c r="E249" s="60"/>
      <c r="F249" s="60"/>
      <c r="G249" s="60"/>
      <c r="H249" s="60"/>
      <c r="I249" s="60"/>
    </row>
    <row r="250" spans="2:9" x14ac:dyDescent="0.35">
      <c r="B250" s="59">
        <v>437</v>
      </c>
      <c r="C250" s="71" t="s">
        <v>265</v>
      </c>
      <c r="D250" s="60" t="s">
        <v>2371</v>
      </c>
      <c r="E250" s="60"/>
      <c r="F250" s="60"/>
      <c r="G250" s="60"/>
      <c r="H250" s="60"/>
      <c r="I250" s="60"/>
    </row>
    <row r="251" spans="2:9" x14ac:dyDescent="0.35">
      <c r="B251" s="59">
        <v>438</v>
      </c>
      <c r="C251" s="71" t="s">
        <v>266</v>
      </c>
      <c r="D251" s="60" t="s">
        <v>2371</v>
      </c>
      <c r="E251" s="60"/>
      <c r="F251" s="60"/>
      <c r="G251" s="60"/>
      <c r="H251" s="60"/>
      <c r="I251" s="60"/>
    </row>
    <row r="252" spans="2:9" x14ac:dyDescent="0.35">
      <c r="B252" s="59">
        <v>439</v>
      </c>
      <c r="C252" s="71" t="s">
        <v>267</v>
      </c>
      <c r="D252" s="60" t="s">
        <v>2371</v>
      </c>
      <c r="E252" s="60"/>
      <c r="F252" s="60"/>
      <c r="G252" s="60"/>
      <c r="H252" s="60"/>
      <c r="I252" s="60"/>
    </row>
    <row r="253" spans="2:9" x14ac:dyDescent="0.35">
      <c r="B253" s="59">
        <v>440</v>
      </c>
      <c r="C253" s="71" t="s">
        <v>268</v>
      </c>
      <c r="D253" s="60" t="s">
        <v>2371</v>
      </c>
      <c r="E253" s="60"/>
      <c r="F253" s="60"/>
      <c r="G253" s="60"/>
      <c r="H253" s="60"/>
      <c r="I253" s="60"/>
    </row>
    <row r="254" spans="2:9" x14ac:dyDescent="0.35">
      <c r="B254" s="59">
        <v>441</v>
      </c>
      <c r="C254" s="71" t="s">
        <v>269</v>
      </c>
      <c r="D254" s="60" t="s">
        <v>2371</v>
      </c>
      <c r="E254" s="60"/>
      <c r="F254" s="60"/>
      <c r="G254" s="60"/>
      <c r="H254" s="60"/>
      <c r="I254" s="60"/>
    </row>
    <row r="255" spans="2:9" x14ac:dyDescent="0.35">
      <c r="B255" s="59">
        <v>442</v>
      </c>
      <c r="C255" s="71" t="s">
        <v>270</v>
      </c>
      <c r="D255" s="60" t="s">
        <v>2371</v>
      </c>
      <c r="E255" s="60"/>
      <c r="F255" s="60"/>
      <c r="G255" s="60"/>
      <c r="H255" s="60"/>
      <c r="I255" s="60"/>
    </row>
    <row r="256" spans="2:9" x14ac:dyDescent="0.35">
      <c r="B256" s="59">
        <v>443</v>
      </c>
      <c r="C256" s="71" t="s">
        <v>271</v>
      </c>
      <c r="D256" s="60" t="s">
        <v>2371</v>
      </c>
      <c r="E256" s="60"/>
      <c r="F256" s="60"/>
      <c r="G256" s="60"/>
      <c r="H256" s="60"/>
      <c r="I256" s="60"/>
    </row>
    <row r="257" spans="2:9" ht="87" x14ac:dyDescent="0.35">
      <c r="B257" s="59">
        <v>444</v>
      </c>
      <c r="C257" s="71" t="s">
        <v>272</v>
      </c>
      <c r="D257" s="60" t="s">
        <v>2371</v>
      </c>
      <c r="E257" s="60" t="s">
        <v>2563</v>
      </c>
      <c r="F257" s="60" t="s">
        <v>2564</v>
      </c>
      <c r="G257" s="60" t="s">
        <v>2565</v>
      </c>
      <c r="H257" s="60" t="s">
        <v>2566</v>
      </c>
      <c r="I257" s="60" t="s">
        <v>2567</v>
      </c>
    </row>
    <row r="258" spans="2:9" s="56" customFormat="1" ht="120" customHeight="1" x14ac:dyDescent="0.35">
      <c r="B258" s="59">
        <v>445</v>
      </c>
      <c r="C258" s="71" t="s">
        <v>273</v>
      </c>
      <c r="D258" s="60" t="s">
        <v>2371</v>
      </c>
      <c r="E258" s="60" t="s">
        <v>2563</v>
      </c>
      <c r="F258" s="60" t="s">
        <v>2564</v>
      </c>
      <c r="G258" s="60" t="s">
        <v>2565</v>
      </c>
      <c r="H258" s="60" t="s">
        <v>2566</v>
      </c>
      <c r="I258" s="60" t="s">
        <v>2567</v>
      </c>
    </row>
    <row r="259" spans="2:9" s="56" customFormat="1" ht="120" customHeight="1" x14ac:dyDescent="0.35">
      <c r="B259" s="59">
        <v>446</v>
      </c>
      <c r="C259" s="71" t="s">
        <v>274</v>
      </c>
      <c r="D259" s="60" t="s">
        <v>2371</v>
      </c>
      <c r="E259" s="60" t="s">
        <v>2563</v>
      </c>
      <c r="F259" s="60" t="s">
        <v>2564</v>
      </c>
      <c r="G259" s="60" t="s">
        <v>2565</v>
      </c>
      <c r="H259" s="60" t="s">
        <v>2566</v>
      </c>
      <c r="I259" s="60" t="s">
        <v>2567</v>
      </c>
    </row>
    <row r="260" spans="2:9" s="56" customFormat="1" ht="120" customHeight="1" x14ac:dyDescent="0.35">
      <c r="B260" s="59">
        <v>447</v>
      </c>
      <c r="C260" s="71" t="s">
        <v>275</v>
      </c>
      <c r="D260" s="60" t="s">
        <v>2371</v>
      </c>
      <c r="E260" s="60" t="s">
        <v>2563</v>
      </c>
      <c r="F260" s="60" t="s">
        <v>2564</v>
      </c>
      <c r="G260" s="60" t="s">
        <v>2565</v>
      </c>
      <c r="H260" s="60" t="s">
        <v>2566</v>
      </c>
      <c r="I260" s="60" t="s">
        <v>2567</v>
      </c>
    </row>
    <row r="261" spans="2:9" s="56" customFormat="1" ht="120" customHeight="1" x14ac:dyDescent="0.35">
      <c r="B261" s="59">
        <v>448</v>
      </c>
      <c r="C261" s="71" t="s">
        <v>276</v>
      </c>
      <c r="D261" s="60" t="s">
        <v>2371</v>
      </c>
      <c r="E261" s="60" t="s">
        <v>2563</v>
      </c>
      <c r="F261" s="60" t="s">
        <v>2564</v>
      </c>
      <c r="G261" s="60" t="s">
        <v>2565</v>
      </c>
      <c r="H261" s="60" t="s">
        <v>2566</v>
      </c>
      <c r="I261" s="60" t="s">
        <v>2567</v>
      </c>
    </row>
    <row r="262" spans="2:9" s="56" customFormat="1" ht="120" customHeight="1" x14ac:dyDescent="0.35">
      <c r="B262" s="59">
        <v>449</v>
      </c>
      <c r="C262" s="71" t="s">
        <v>277</v>
      </c>
      <c r="D262" s="60" t="s">
        <v>2371</v>
      </c>
      <c r="E262" s="60" t="s">
        <v>2563</v>
      </c>
      <c r="F262" s="60" t="s">
        <v>2564</v>
      </c>
      <c r="G262" s="60" t="s">
        <v>2565</v>
      </c>
      <c r="H262" s="60" t="s">
        <v>2566</v>
      </c>
      <c r="I262" s="60" t="s">
        <v>2567</v>
      </c>
    </row>
    <row r="263" spans="2:9" s="56" customFormat="1" ht="120" customHeight="1" x14ac:dyDescent="0.35">
      <c r="B263" s="59">
        <v>450</v>
      </c>
      <c r="C263" s="71" t="s">
        <v>278</v>
      </c>
      <c r="D263" s="60" t="s">
        <v>2371</v>
      </c>
      <c r="E263" s="60"/>
      <c r="F263" s="60"/>
      <c r="G263" s="60"/>
      <c r="H263" s="60"/>
      <c r="I263" s="60"/>
    </row>
    <row r="264" spans="2:9" x14ac:dyDescent="0.35">
      <c r="B264" s="59">
        <v>451</v>
      </c>
      <c r="C264" s="71" t="s">
        <v>279</v>
      </c>
      <c r="D264" s="60" t="s">
        <v>2371</v>
      </c>
      <c r="E264" s="60"/>
      <c r="F264" s="60"/>
      <c r="G264" s="60"/>
      <c r="H264" s="60"/>
      <c r="I264" s="60"/>
    </row>
    <row r="265" spans="2:9" x14ac:dyDescent="0.35">
      <c r="B265" s="59">
        <v>452</v>
      </c>
      <c r="C265" s="71" t="s">
        <v>280</v>
      </c>
      <c r="D265" s="60" t="s">
        <v>2371</v>
      </c>
      <c r="E265" s="60"/>
      <c r="F265" s="60"/>
      <c r="G265" s="60"/>
      <c r="H265" s="60"/>
      <c r="I265" s="60"/>
    </row>
    <row r="266" spans="2:9" x14ac:dyDescent="0.35">
      <c r="B266" s="59">
        <v>453</v>
      </c>
      <c r="C266" s="71" t="s">
        <v>281</v>
      </c>
      <c r="D266" s="60" t="s">
        <v>2371</v>
      </c>
      <c r="E266" s="60"/>
      <c r="F266" s="60"/>
      <c r="G266" s="60"/>
      <c r="H266" s="60"/>
      <c r="I266" s="60"/>
    </row>
    <row r="267" spans="2:9" x14ac:dyDescent="0.35">
      <c r="B267" s="59">
        <v>454</v>
      </c>
      <c r="C267" s="71" t="s">
        <v>282</v>
      </c>
      <c r="D267" s="60" t="s">
        <v>2371</v>
      </c>
      <c r="E267" s="60"/>
      <c r="F267" s="60"/>
      <c r="G267" s="60"/>
      <c r="H267" s="60"/>
      <c r="I267" s="60"/>
    </row>
    <row r="268" spans="2:9" x14ac:dyDescent="0.35">
      <c r="B268" s="59">
        <v>455</v>
      </c>
      <c r="C268" s="71" t="s">
        <v>283</v>
      </c>
      <c r="D268" s="60" t="s">
        <v>2371</v>
      </c>
      <c r="E268" s="60"/>
      <c r="F268" s="60"/>
      <c r="G268" s="60"/>
      <c r="H268" s="60"/>
      <c r="I268" s="60"/>
    </row>
    <row r="269" spans="2:9" x14ac:dyDescent="0.35">
      <c r="B269" s="59">
        <v>456</v>
      </c>
      <c r="C269" s="71" t="s">
        <v>284</v>
      </c>
      <c r="D269" s="60" t="s">
        <v>2371</v>
      </c>
      <c r="E269" s="60"/>
      <c r="F269" s="60"/>
      <c r="G269" s="60"/>
      <c r="H269" s="60"/>
      <c r="I269" s="60"/>
    </row>
    <row r="270" spans="2:9" x14ac:dyDescent="0.35">
      <c r="B270" s="59">
        <v>457</v>
      </c>
      <c r="C270" s="71" t="s">
        <v>285</v>
      </c>
      <c r="D270" s="60" t="s">
        <v>2371</v>
      </c>
      <c r="E270" s="60"/>
      <c r="F270" s="60"/>
      <c r="G270" s="60"/>
      <c r="H270" s="60"/>
      <c r="I270" s="60"/>
    </row>
    <row r="271" spans="2:9" x14ac:dyDescent="0.35">
      <c r="B271" s="59">
        <v>458</v>
      </c>
      <c r="C271" s="71" t="s">
        <v>286</v>
      </c>
      <c r="D271" s="60" t="s">
        <v>2371</v>
      </c>
      <c r="E271" s="60"/>
      <c r="F271" s="60"/>
      <c r="G271" s="60"/>
      <c r="H271" s="60"/>
      <c r="I271" s="60"/>
    </row>
    <row r="272" spans="2:9" x14ac:dyDescent="0.35">
      <c r="B272" s="59">
        <v>459</v>
      </c>
      <c r="C272" s="71" t="s">
        <v>287</v>
      </c>
      <c r="D272" s="60" t="s">
        <v>2371</v>
      </c>
      <c r="E272" s="60"/>
      <c r="F272" s="60"/>
      <c r="G272" s="60"/>
      <c r="H272" s="60"/>
      <c r="I272" s="60"/>
    </row>
    <row r="273" spans="2:9" x14ac:dyDescent="0.35">
      <c r="B273" s="59">
        <v>460</v>
      </c>
      <c r="C273" s="71" t="s">
        <v>288</v>
      </c>
      <c r="D273" s="60" t="s">
        <v>2371</v>
      </c>
      <c r="E273" s="60"/>
      <c r="F273" s="60"/>
      <c r="G273" s="60"/>
      <c r="H273" s="60"/>
      <c r="I273" s="60"/>
    </row>
    <row r="274" spans="2:9" x14ac:dyDescent="0.35">
      <c r="B274" s="59">
        <v>461</v>
      </c>
      <c r="C274" s="71" t="s">
        <v>289</v>
      </c>
      <c r="D274" s="60" t="s">
        <v>2371</v>
      </c>
      <c r="E274" s="60"/>
      <c r="F274" s="60"/>
      <c r="G274" s="60"/>
      <c r="H274" s="60"/>
      <c r="I274" s="60"/>
    </row>
    <row r="275" spans="2:9" x14ac:dyDescent="0.35">
      <c r="B275" s="59">
        <v>462</v>
      </c>
      <c r="C275" s="71" t="s">
        <v>290</v>
      </c>
      <c r="D275" s="60" t="s">
        <v>2371</v>
      </c>
      <c r="E275" s="60"/>
      <c r="F275" s="60"/>
      <c r="G275" s="60"/>
      <c r="H275" s="60"/>
      <c r="I275" s="60"/>
    </row>
    <row r="276" spans="2:9" x14ac:dyDescent="0.35">
      <c r="B276" s="59">
        <v>463</v>
      </c>
      <c r="C276" s="71" t="s">
        <v>291</v>
      </c>
      <c r="D276" s="60" t="s">
        <v>2371</v>
      </c>
      <c r="E276" s="60"/>
      <c r="F276" s="60"/>
      <c r="G276" s="60"/>
      <c r="H276" s="60"/>
      <c r="I276" s="60"/>
    </row>
    <row r="277" spans="2:9" x14ac:dyDescent="0.35">
      <c r="B277" s="59">
        <v>464</v>
      </c>
      <c r="C277" s="71" t="s">
        <v>292</v>
      </c>
      <c r="D277" s="60" t="s">
        <v>2371</v>
      </c>
      <c r="E277" s="60"/>
      <c r="F277" s="60"/>
      <c r="G277" s="60"/>
      <c r="H277" s="60"/>
      <c r="I277" s="60"/>
    </row>
    <row r="278" spans="2:9" x14ac:dyDescent="0.35">
      <c r="B278" s="59">
        <v>465</v>
      </c>
      <c r="C278" s="71" t="s">
        <v>293</v>
      </c>
      <c r="D278" s="60" t="s">
        <v>2371</v>
      </c>
      <c r="E278" s="60"/>
      <c r="F278" s="60"/>
      <c r="G278" s="60"/>
      <c r="H278" s="60"/>
      <c r="I278" s="60"/>
    </row>
    <row r="279" spans="2:9" x14ac:dyDescent="0.35">
      <c r="B279" s="59">
        <v>466</v>
      </c>
      <c r="C279" s="71" t="s">
        <v>294</v>
      </c>
      <c r="D279" s="60" t="s">
        <v>2371</v>
      </c>
      <c r="E279" s="60"/>
      <c r="F279" s="60"/>
      <c r="G279" s="60"/>
      <c r="H279" s="60"/>
      <c r="I279" s="60"/>
    </row>
    <row r="280" spans="2:9" x14ac:dyDescent="0.35">
      <c r="B280" s="59">
        <v>468</v>
      </c>
      <c r="C280" s="71" t="s">
        <v>295</v>
      </c>
      <c r="D280" s="60" t="s">
        <v>2371</v>
      </c>
      <c r="E280" s="60"/>
      <c r="F280" s="60"/>
      <c r="G280" s="60"/>
      <c r="H280" s="60"/>
      <c r="I280" s="60"/>
    </row>
    <row r="281" spans="2:9" x14ac:dyDescent="0.35">
      <c r="B281" s="59">
        <v>469</v>
      </c>
      <c r="C281" s="71" t="s">
        <v>296</v>
      </c>
      <c r="D281" s="60" t="s">
        <v>2371</v>
      </c>
      <c r="E281" s="60"/>
      <c r="F281" s="60"/>
      <c r="G281" s="60"/>
      <c r="H281" s="60"/>
      <c r="I281" s="60"/>
    </row>
    <row r="282" spans="2:9" x14ac:dyDescent="0.35">
      <c r="B282" s="59">
        <v>470</v>
      </c>
      <c r="C282" s="71" t="s">
        <v>297</v>
      </c>
      <c r="D282" s="60" t="s">
        <v>2371</v>
      </c>
      <c r="E282" s="60"/>
      <c r="F282" s="60"/>
      <c r="G282" s="60"/>
      <c r="H282" s="60"/>
      <c r="I282" s="60"/>
    </row>
    <row r="283" spans="2:9" x14ac:dyDescent="0.35">
      <c r="B283" s="59">
        <v>472</v>
      </c>
      <c r="C283" s="71" t="s">
        <v>298</v>
      </c>
      <c r="D283" s="60" t="s">
        <v>2371</v>
      </c>
      <c r="E283" s="60"/>
      <c r="F283" s="60"/>
      <c r="G283" s="60"/>
      <c r="H283" s="60"/>
      <c r="I283" s="60"/>
    </row>
    <row r="284" spans="2:9" x14ac:dyDescent="0.35">
      <c r="B284" s="59">
        <v>473</v>
      </c>
      <c r="C284" s="71" t="s">
        <v>299</v>
      </c>
      <c r="D284" s="60" t="s">
        <v>2371</v>
      </c>
      <c r="E284" s="60"/>
      <c r="F284" s="60"/>
      <c r="G284" s="60"/>
      <c r="H284" s="60"/>
      <c r="I284" s="60"/>
    </row>
    <row r="285" spans="2:9" ht="409.5" x14ac:dyDescent="0.35">
      <c r="B285" s="59">
        <v>474</v>
      </c>
      <c r="C285" s="71" t="s">
        <v>300</v>
      </c>
      <c r="D285" s="60" t="s">
        <v>2371</v>
      </c>
      <c r="E285" s="60" t="s">
        <v>2568</v>
      </c>
      <c r="F285" s="60" t="s">
        <v>2569</v>
      </c>
      <c r="G285" s="60" t="s">
        <v>2920</v>
      </c>
      <c r="H285" s="60" t="s">
        <v>2570</v>
      </c>
      <c r="I285" s="60" t="s">
        <v>2567</v>
      </c>
    </row>
    <row r="286" spans="2:9" s="56" customFormat="1" ht="120" customHeight="1" x14ac:dyDescent="0.35">
      <c r="B286" s="59">
        <v>475</v>
      </c>
      <c r="C286" s="71" t="s">
        <v>301</v>
      </c>
      <c r="D286" s="60" t="s">
        <v>2371</v>
      </c>
      <c r="E286" s="60" t="s">
        <v>2568</v>
      </c>
      <c r="F286" s="60" t="s">
        <v>2569</v>
      </c>
      <c r="G286" s="60" t="s">
        <v>2920</v>
      </c>
      <c r="H286" s="60" t="s">
        <v>2570</v>
      </c>
      <c r="I286" s="60" t="s">
        <v>2567</v>
      </c>
    </row>
    <row r="287" spans="2:9" s="56" customFormat="1" ht="120" customHeight="1" x14ac:dyDescent="0.35">
      <c r="B287" s="59">
        <v>476</v>
      </c>
      <c r="C287" s="71" t="s">
        <v>302</v>
      </c>
      <c r="D287" s="60" t="s">
        <v>2371</v>
      </c>
      <c r="E287" s="60" t="s">
        <v>2568</v>
      </c>
      <c r="F287" s="60" t="s">
        <v>2569</v>
      </c>
      <c r="G287" s="60" t="s">
        <v>2920</v>
      </c>
      <c r="H287" s="60" t="s">
        <v>2570</v>
      </c>
      <c r="I287" s="60" t="s">
        <v>2567</v>
      </c>
    </row>
    <row r="288" spans="2:9" s="56" customFormat="1" ht="120" customHeight="1" x14ac:dyDescent="0.35">
      <c r="B288" s="59">
        <v>477</v>
      </c>
      <c r="C288" s="71" t="s">
        <v>303</v>
      </c>
      <c r="D288" s="60" t="s">
        <v>2371</v>
      </c>
      <c r="E288" s="60" t="s">
        <v>2568</v>
      </c>
      <c r="F288" s="60" t="s">
        <v>2569</v>
      </c>
      <c r="G288" s="60" t="s">
        <v>2920</v>
      </c>
      <c r="H288" s="60" t="s">
        <v>2570</v>
      </c>
      <c r="I288" s="60" t="s">
        <v>2567</v>
      </c>
    </row>
    <row r="289" spans="2:9" s="56" customFormat="1" ht="120" customHeight="1" x14ac:dyDescent="0.35">
      <c r="B289" s="59">
        <v>478</v>
      </c>
      <c r="C289" s="71" t="s">
        <v>304</v>
      </c>
      <c r="D289" s="60" t="s">
        <v>2371</v>
      </c>
      <c r="E289" s="60" t="s">
        <v>2568</v>
      </c>
      <c r="F289" s="60" t="s">
        <v>2569</v>
      </c>
      <c r="G289" s="60" t="s">
        <v>2920</v>
      </c>
      <c r="H289" s="60" t="s">
        <v>2570</v>
      </c>
      <c r="I289" s="60" t="s">
        <v>2567</v>
      </c>
    </row>
    <row r="290" spans="2:9" s="56" customFormat="1" ht="120" customHeight="1" x14ac:dyDescent="0.35">
      <c r="B290" s="59">
        <v>479</v>
      </c>
      <c r="C290" s="71" t="s">
        <v>305</v>
      </c>
      <c r="D290" s="60" t="s">
        <v>2371</v>
      </c>
      <c r="E290" s="60" t="s">
        <v>2568</v>
      </c>
      <c r="F290" s="60" t="s">
        <v>2569</v>
      </c>
      <c r="G290" s="60" t="s">
        <v>2920</v>
      </c>
      <c r="H290" s="60" t="s">
        <v>2570</v>
      </c>
      <c r="I290" s="60" t="s">
        <v>2567</v>
      </c>
    </row>
    <row r="291" spans="2:9" s="56" customFormat="1" ht="120" customHeight="1" x14ac:dyDescent="0.35">
      <c r="B291" s="59">
        <v>480</v>
      </c>
      <c r="C291" s="71" t="s">
        <v>306</v>
      </c>
      <c r="D291" s="60" t="s">
        <v>2371</v>
      </c>
      <c r="E291" s="60" t="s">
        <v>2568</v>
      </c>
      <c r="F291" s="60" t="s">
        <v>2569</v>
      </c>
      <c r="G291" s="60" t="s">
        <v>2920</v>
      </c>
      <c r="H291" s="60" t="s">
        <v>2570</v>
      </c>
      <c r="I291" s="60" t="s">
        <v>2567</v>
      </c>
    </row>
    <row r="292" spans="2:9" s="56" customFormat="1" ht="120" customHeight="1" x14ac:dyDescent="0.35">
      <c r="B292" s="59">
        <v>481</v>
      </c>
      <c r="C292" s="71" t="s">
        <v>307</v>
      </c>
      <c r="D292" s="60" t="s">
        <v>2371</v>
      </c>
      <c r="E292" s="60" t="s">
        <v>2568</v>
      </c>
      <c r="F292" s="60" t="s">
        <v>2569</v>
      </c>
      <c r="G292" s="60" t="s">
        <v>2920</v>
      </c>
      <c r="H292" s="60" t="s">
        <v>2570</v>
      </c>
      <c r="I292" s="60" t="s">
        <v>2567</v>
      </c>
    </row>
    <row r="293" spans="2:9" s="56" customFormat="1" ht="120" customHeight="1" x14ac:dyDescent="0.35">
      <c r="B293" s="59">
        <v>482</v>
      </c>
      <c r="C293" s="71" t="s">
        <v>308</v>
      </c>
      <c r="D293" s="60" t="s">
        <v>2371</v>
      </c>
      <c r="E293" s="60" t="s">
        <v>2568</v>
      </c>
      <c r="F293" s="60" t="s">
        <v>2569</v>
      </c>
      <c r="G293" s="60" t="s">
        <v>2920</v>
      </c>
      <c r="H293" s="60" t="s">
        <v>2570</v>
      </c>
      <c r="I293" s="60" t="s">
        <v>2567</v>
      </c>
    </row>
    <row r="294" spans="2:9" s="56" customFormat="1" ht="120" customHeight="1" x14ac:dyDescent="0.35">
      <c r="B294" s="59">
        <v>483</v>
      </c>
      <c r="C294" s="71" t="s">
        <v>309</v>
      </c>
      <c r="D294" s="60" t="s">
        <v>2382</v>
      </c>
      <c r="E294" s="60"/>
      <c r="F294" s="60"/>
      <c r="G294" s="60"/>
      <c r="H294" s="60"/>
      <c r="I294" s="60"/>
    </row>
    <row r="295" spans="2:9" x14ac:dyDescent="0.35">
      <c r="B295" s="59">
        <v>484</v>
      </c>
      <c r="C295" s="71" t="s">
        <v>310</v>
      </c>
      <c r="D295" s="60" t="s">
        <v>2382</v>
      </c>
      <c r="E295" s="60"/>
      <c r="F295" s="60"/>
      <c r="G295" s="60"/>
      <c r="H295" s="60"/>
      <c r="I295" s="60"/>
    </row>
    <row r="296" spans="2:9" x14ac:dyDescent="0.35">
      <c r="B296" s="59">
        <v>485</v>
      </c>
      <c r="C296" s="71" t="s">
        <v>311</v>
      </c>
      <c r="D296" s="60" t="s">
        <v>2382</v>
      </c>
      <c r="E296" s="60"/>
      <c r="F296" s="60"/>
      <c r="G296" s="60"/>
      <c r="H296" s="60"/>
      <c r="I296" s="60"/>
    </row>
    <row r="297" spans="2:9" x14ac:dyDescent="0.35">
      <c r="B297" s="59">
        <v>486</v>
      </c>
      <c r="C297" s="71" t="s">
        <v>312</v>
      </c>
      <c r="D297" s="60" t="s">
        <v>2382</v>
      </c>
      <c r="E297" s="60"/>
      <c r="F297" s="60"/>
      <c r="G297" s="60"/>
      <c r="H297" s="60"/>
      <c r="I297" s="60"/>
    </row>
    <row r="298" spans="2:9" x14ac:dyDescent="0.35">
      <c r="B298" s="59">
        <v>487</v>
      </c>
      <c r="C298" s="71" t="s">
        <v>313</v>
      </c>
      <c r="D298" s="60" t="s">
        <v>2382</v>
      </c>
      <c r="E298" s="60"/>
      <c r="F298" s="60"/>
      <c r="G298" s="60"/>
      <c r="H298" s="60"/>
      <c r="I298" s="60"/>
    </row>
    <row r="299" spans="2:9" x14ac:dyDescent="0.35">
      <c r="B299" s="59">
        <v>488</v>
      </c>
      <c r="C299" s="71" t="s">
        <v>314</v>
      </c>
      <c r="D299" s="60" t="s">
        <v>2382</v>
      </c>
      <c r="E299" s="60"/>
      <c r="F299" s="60"/>
      <c r="G299" s="60"/>
      <c r="H299" s="60"/>
      <c r="I299" s="60"/>
    </row>
    <row r="300" spans="2:9" x14ac:dyDescent="0.35">
      <c r="B300" s="59">
        <v>489</v>
      </c>
      <c r="C300" s="71" t="s">
        <v>315</v>
      </c>
      <c r="D300" s="60" t="s">
        <v>2382</v>
      </c>
      <c r="E300" s="60"/>
      <c r="F300" s="60"/>
      <c r="G300" s="60"/>
      <c r="H300" s="60"/>
      <c r="I300" s="60"/>
    </row>
    <row r="301" spans="2:9" x14ac:dyDescent="0.35">
      <c r="B301" s="59">
        <v>490</v>
      </c>
      <c r="C301" s="71" t="s">
        <v>316</v>
      </c>
      <c r="D301" s="60" t="s">
        <v>2382</v>
      </c>
      <c r="E301" s="60"/>
      <c r="F301" s="60"/>
      <c r="G301" s="60"/>
      <c r="H301" s="60"/>
      <c r="I301" s="60"/>
    </row>
    <row r="302" spans="2:9" x14ac:dyDescent="0.35">
      <c r="B302" s="59">
        <v>491</v>
      </c>
      <c r="C302" s="71" t="s">
        <v>317</v>
      </c>
      <c r="D302" s="60" t="s">
        <v>2382</v>
      </c>
      <c r="E302" s="60"/>
      <c r="F302" s="60"/>
      <c r="G302" s="60"/>
      <c r="H302" s="60"/>
      <c r="I302" s="60"/>
    </row>
    <row r="303" spans="2:9" x14ac:dyDescent="0.35">
      <c r="B303" s="59">
        <v>492</v>
      </c>
      <c r="C303" s="71" t="s">
        <v>318</v>
      </c>
      <c r="D303" s="60" t="s">
        <v>2382</v>
      </c>
      <c r="E303" s="60"/>
      <c r="F303" s="60"/>
      <c r="G303" s="60"/>
      <c r="H303" s="60"/>
      <c r="I303" s="60"/>
    </row>
    <row r="304" spans="2:9" x14ac:dyDescent="0.35">
      <c r="B304" s="59">
        <v>493</v>
      </c>
      <c r="C304" s="71" t="s">
        <v>319</v>
      </c>
      <c r="D304" s="60" t="s">
        <v>2382</v>
      </c>
      <c r="E304" s="60"/>
      <c r="F304" s="60"/>
      <c r="G304" s="60"/>
      <c r="H304" s="60"/>
      <c r="I304" s="60"/>
    </row>
    <row r="305" spans="2:9" x14ac:dyDescent="0.35">
      <c r="B305" s="59">
        <v>494</v>
      </c>
      <c r="C305" s="71" t="s">
        <v>320</v>
      </c>
      <c r="D305" s="60" t="s">
        <v>2382</v>
      </c>
      <c r="E305" s="60"/>
      <c r="F305" s="60"/>
      <c r="G305" s="60"/>
      <c r="H305" s="60"/>
      <c r="I305" s="60"/>
    </row>
    <row r="306" spans="2:9" x14ac:dyDescent="0.35">
      <c r="B306" s="59">
        <v>495</v>
      </c>
      <c r="C306" s="71" t="s">
        <v>321</v>
      </c>
      <c r="D306" s="60" t="s">
        <v>2382</v>
      </c>
      <c r="E306" s="60"/>
      <c r="F306" s="60"/>
      <c r="G306" s="60"/>
      <c r="H306" s="60"/>
      <c r="I306" s="60"/>
    </row>
    <row r="307" spans="2:9" x14ac:dyDescent="0.35">
      <c r="B307" s="59">
        <v>496</v>
      </c>
      <c r="C307" s="71" t="s">
        <v>322</v>
      </c>
      <c r="D307" s="60" t="s">
        <v>2382</v>
      </c>
      <c r="E307" s="60"/>
      <c r="F307" s="60"/>
      <c r="G307" s="60"/>
      <c r="H307" s="60"/>
      <c r="I307" s="60"/>
    </row>
    <row r="308" spans="2:9" ht="101.5" x14ac:dyDescent="0.35">
      <c r="B308" s="59">
        <v>497</v>
      </c>
      <c r="C308" s="71" t="s">
        <v>323</v>
      </c>
      <c r="D308" s="60" t="s">
        <v>2404</v>
      </c>
      <c r="E308" s="60" t="s">
        <v>2571</v>
      </c>
      <c r="F308" s="60" t="s">
        <v>2572</v>
      </c>
      <c r="G308" s="60" t="s">
        <v>2573</v>
      </c>
      <c r="H308" s="60" t="s">
        <v>2574</v>
      </c>
      <c r="I308" s="60" t="s">
        <v>2575</v>
      </c>
    </row>
    <row r="309" spans="2:9" s="56" customFormat="1" ht="120" customHeight="1" x14ac:dyDescent="0.35">
      <c r="B309" s="59">
        <v>498</v>
      </c>
      <c r="C309" s="71" t="s">
        <v>324</v>
      </c>
      <c r="D309" s="60" t="s">
        <v>2404</v>
      </c>
      <c r="E309" s="60" t="s">
        <v>2571</v>
      </c>
      <c r="F309" s="60" t="s">
        <v>2572</v>
      </c>
      <c r="G309" s="60" t="s">
        <v>2573</v>
      </c>
      <c r="H309" s="60" t="s">
        <v>2574</v>
      </c>
      <c r="I309" s="60" t="s">
        <v>2575</v>
      </c>
    </row>
    <row r="310" spans="2:9" s="56" customFormat="1" ht="120" customHeight="1" x14ac:dyDescent="0.35">
      <c r="B310" s="59">
        <v>499</v>
      </c>
      <c r="C310" s="71" t="s">
        <v>325</v>
      </c>
      <c r="D310" s="60" t="s">
        <v>2404</v>
      </c>
      <c r="E310" s="60" t="s">
        <v>2571</v>
      </c>
      <c r="F310" s="60" t="s">
        <v>2572</v>
      </c>
      <c r="G310" s="60" t="s">
        <v>2573</v>
      </c>
      <c r="H310" s="60" t="s">
        <v>2574</v>
      </c>
      <c r="I310" s="60" t="s">
        <v>2575</v>
      </c>
    </row>
    <row r="311" spans="2:9" s="56" customFormat="1" ht="120" customHeight="1" x14ac:dyDescent="0.35">
      <c r="B311" s="59">
        <v>500</v>
      </c>
      <c r="C311" s="71" t="s">
        <v>326</v>
      </c>
      <c r="D311" s="60" t="s">
        <v>2404</v>
      </c>
      <c r="E311" s="60" t="s">
        <v>2571</v>
      </c>
      <c r="F311" s="60" t="s">
        <v>2572</v>
      </c>
      <c r="G311" s="60" t="s">
        <v>2573</v>
      </c>
      <c r="H311" s="60" t="s">
        <v>2574</v>
      </c>
      <c r="I311" s="60" t="s">
        <v>2575</v>
      </c>
    </row>
    <row r="312" spans="2:9" s="56" customFormat="1" ht="120" customHeight="1" x14ac:dyDescent="0.35">
      <c r="B312" s="59">
        <v>501</v>
      </c>
      <c r="C312" s="71" t="s">
        <v>327</v>
      </c>
      <c r="D312" s="60" t="s">
        <v>2404</v>
      </c>
      <c r="E312" s="60" t="s">
        <v>2571</v>
      </c>
      <c r="F312" s="60" t="s">
        <v>2572</v>
      </c>
      <c r="G312" s="60" t="s">
        <v>2573</v>
      </c>
      <c r="H312" s="60" t="s">
        <v>2576</v>
      </c>
      <c r="I312" s="60" t="s">
        <v>2567</v>
      </c>
    </row>
    <row r="313" spans="2:9" s="56" customFormat="1" ht="120" customHeight="1" x14ac:dyDescent="0.35">
      <c r="B313" s="59">
        <v>502</v>
      </c>
      <c r="C313" s="71" t="s">
        <v>328</v>
      </c>
      <c r="D313" s="60" t="s">
        <v>2404</v>
      </c>
      <c r="E313" s="60" t="s">
        <v>2571</v>
      </c>
      <c r="F313" s="60" t="s">
        <v>2572</v>
      </c>
      <c r="G313" s="60" t="s">
        <v>2573</v>
      </c>
      <c r="H313" s="60" t="s">
        <v>2576</v>
      </c>
      <c r="I313" s="60" t="s">
        <v>2567</v>
      </c>
    </row>
    <row r="314" spans="2:9" s="56" customFormat="1" ht="120" customHeight="1" x14ac:dyDescent="0.35">
      <c r="B314" s="59">
        <v>503</v>
      </c>
      <c r="C314" s="71" t="s">
        <v>329</v>
      </c>
      <c r="D314" s="60" t="s">
        <v>2404</v>
      </c>
      <c r="E314" s="60" t="s">
        <v>2571</v>
      </c>
      <c r="F314" s="60" t="s">
        <v>2572</v>
      </c>
      <c r="G314" s="60" t="s">
        <v>2573</v>
      </c>
      <c r="H314" s="60" t="s">
        <v>2576</v>
      </c>
      <c r="I314" s="60" t="s">
        <v>2567</v>
      </c>
    </row>
    <row r="315" spans="2:9" s="56" customFormat="1" ht="120" customHeight="1" x14ac:dyDescent="0.35">
      <c r="B315" s="59">
        <v>504</v>
      </c>
      <c r="C315" s="71" t="s">
        <v>330</v>
      </c>
      <c r="D315" s="60" t="s">
        <v>2404</v>
      </c>
      <c r="E315" s="60" t="s">
        <v>2571</v>
      </c>
      <c r="F315" s="60" t="s">
        <v>2572</v>
      </c>
      <c r="G315" s="60" t="s">
        <v>2573</v>
      </c>
      <c r="H315" s="60" t="s">
        <v>2576</v>
      </c>
      <c r="I315" s="60" t="s">
        <v>2567</v>
      </c>
    </row>
    <row r="316" spans="2:9" s="56" customFormat="1" ht="120" customHeight="1" x14ac:dyDescent="0.35">
      <c r="B316" s="59">
        <v>505</v>
      </c>
      <c r="C316" s="71" t="s">
        <v>331</v>
      </c>
      <c r="D316" s="60" t="s">
        <v>2404</v>
      </c>
      <c r="E316" s="60" t="s">
        <v>2571</v>
      </c>
      <c r="F316" s="60" t="s">
        <v>2572</v>
      </c>
      <c r="G316" s="60" t="s">
        <v>2573</v>
      </c>
      <c r="H316" s="60" t="s">
        <v>2576</v>
      </c>
      <c r="I316" s="60" t="s">
        <v>2567</v>
      </c>
    </row>
    <row r="317" spans="2:9" s="56" customFormat="1" ht="120" customHeight="1" x14ac:dyDescent="0.35">
      <c r="B317" s="59">
        <v>506</v>
      </c>
      <c r="C317" s="71" t="s">
        <v>332</v>
      </c>
      <c r="D317" s="60" t="s">
        <v>2404</v>
      </c>
      <c r="E317" s="60" t="s">
        <v>2571</v>
      </c>
      <c r="F317" s="60" t="s">
        <v>2572</v>
      </c>
      <c r="G317" s="60" t="s">
        <v>2573</v>
      </c>
      <c r="H317" s="60" t="s">
        <v>2576</v>
      </c>
      <c r="I317" s="60" t="s">
        <v>2567</v>
      </c>
    </row>
    <row r="318" spans="2:9" s="56" customFormat="1" ht="120" customHeight="1" x14ac:dyDescent="0.35">
      <c r="B318" s="59">
        <v>507</v>
      </c>
      <c r="C318" s="71" t="s">
        <v>333</v>
      </c>
      <c r="D318" s="60" t="s">
        <v>2404</v>
      </c>
      <c r="E318" s="60" t="s">
        <v>2571</v>
      </c>
      <c r="F318" s="60" t="s">
        <v>2572</v>
      </c>
      <c r="G318" s="60" t="s">
        <v>2573</v>
      </c>
      <c r="H318" s="60" t="s">
        <v>2576</v>
      </c>
      <c r="I318" s="60" t="s">
        <v>2567</v>
      </c>
    </row>
    <row r="319" spans="2:9" s="56" customFormat="1" ht="120" customHeight="1" x14ac:dyDescent="0.35">
      <c r="B319" s="59">
        <v>516</v>
      </c>
      <c r="C319" s="71" t="s">
        <v>334</v>
      </c>
      <c r="D319" s="60" t="s">
        <v>2426</v>
      </c>
      <c r="E319" s="60"/>
      <c r="F319" s="60"/>
      <c r="G319" s="60"/>
      <c r="H319" s="60"/>
      <c r="I319" s="60"/>
    </row>
    <row r="320" spans="2:9" x14ac:dyDescent="0.35">
      <c r="B320" s="59">
        <v>517</v>
      </c>
      <c r="C320" s="71" t="s">
        <v>335</v>
      </c>
      <c r="D320" s="60" t="s">
        <v>2426</v>
      </c>
      <c r="E320" s="60"/>
      <c r="F320" s="60"/>
      <c r="G320" s="60"/>
      <c r="H320" s="60"/>
      <c r="I320" s="60"/>
    </row>
    <row r="321" spans="2:9" x14ac:dyDescent="0.35">
      <c r="B321" s="59">
        <v>518</v>
      </c>
      <c r="C321" s="71" t="s">
        <v>336</v>
      </c>
      <c r="D321" s="60" t="s">
        <v>2426</v>
      </c>
      <c r="E321" s="60"/>
      <c r="F321" s="60"/>
      <c r="G321" s="60"/>
      <c r="H321" s="60"/>
      <c r="I321" s="60"/>
    </row>
    <row r="322" spans="2:9" x14ac:dyDescent="0.35">
      <c r="B322" s="59">
        <v>519</v>
      </c>
      <c r="C322" s="71" t="s">
        <v>337</v>
      </c>
      <c r="D322" s="60" t="s">
        <v>2426</v>
      </c>
      <c r="E322" s="60"/>
      <c r="F322" s="60"/>
      <c r="G322" s="60"/>
      <c r="H322" s="60"/>
      <c r="I322" s="60"/>
    </row>
    <row r="323" spans="2:9" x14ac:dyDescent="0.35">
      <c r="B323" s="59">
        <v>520</v>
      </c>
      <c r="C323" s="71" t="s">
        <v>338</v>
      </c>
      <c r="D323" s="60" t="s">
        <v>2426</v>
      </c>
      <c r="E323" s="60"/>
      <c r="F323" s="60"/>
      <c r="G323" s="60"/>
      <c r="H323" s="60"/>
      <c r="I323" s="60"/>
    </row>
    <row r="324" spans="2:9" x14ac:dyDescent="0.35">
      <c r="B324" s="61">
        <v>521</v>
      </c>
      <c r="C324" s="71" t="s">
        <v>339</v>
      </c>
      <c r="D324" s="60" t="s">
        <v>2426</v>
      </c>
      <c r="E324" s="60"/>
      <c r="F324" s="60"/>
      <c r="G324" s="60"/>
      <c r="H324" s="60"/>
      <c r="I324" s="60"/>
    </row>
    <row r="325" spans="2:9" ht="29" x14ac:dyDescent="0.35">
      <c r="B325" s="61">
        <v>522</v>
      </c>
      <c r="C325" s="71" t="s">
        <v>2423</v>
      </c>
      <c r="D325" s="60" t="s">
        <v>2426</v>
      </c>
      <c r="E325" s="60"/>
      <c r="F325" s="60"/>
      <c r="G325" s="60"/>
      <c r="H325" s="60"/>
      <c r="I325" s="60"/>
    </row>
    <row r="326" spans="2:9" x14ac:dyDescent="0.35">
      <c r="B326" s="59">
        <v>523</v>
      </c>
      <c r="C326" s="71" t="s">
        <v>2425</v>
      </c>
      <c r="D326" s="60" t="s">
        <v>2426</v>
      </c>
      <c r="E326" s="60"/>
      <c r="F326" s="60"/>
      <c r="G326" s="60"/>
      <c r="H326" s="60"/>
      <c r="I326" s="60"/>
    </row>
    <row r="327" spans="2:9" ht="409.5" x14ac:dyDescent="0.35">
      <c r="B327" s="59">
        <v>540</v>
      </c>
      <c r="C327" s="71" t="s">
        <v>340</v>
      </c>
      <c r="D327" s="60" t="s">
        <v>2389</v>
      </c>
      <c r="E327" s="60" t="s">
        <v>2451</v>
      </c>
      <c r="F327" s="60" t="s">
        <v>2921</v>
      </c>
      <c r="G327" s="60" t="s">
        <v>2577</v>
      </c>
      <c r="H327" s="60" t="s">
        <v>2578</v>
      </c>
      <c r="I327" s="60" t="s">
        <v>2579</v>
      </c>
    </row>
    <row r="328" spans="2:9" s="56" customFormat="1" ht="120" customHeight="1" x14ac:dyDescent="0.35">
      <c r="B328" s="59">
        <v>541</v>
      </c>
      <c r="C328" s="71" t="s">
        <v>341</v>
      </c>
      <c r="D328" s="60" t="s">
        <v>2389</v>
      </c>
      <c r="E328" s="60" t="s">
        <v>2451</v>
      </c>
      <c r="F328" s="60" t="s">
        <v>2921</v>
      </c>
      <c r="G328" s="60" t="s">
        <v>2577</v>
      </c>
      <c r="H328" s="60" t="s">
        <v>2578</v>
      </c>
      <c r="I328" s="60" t="s">
        <v>2579</v>
      </c>
    </row>
    <row r="329" spans="2:9" s="56" customFormat="1" ht="120" customHeight="1" x14ac:dyDescent="0.35">
      <c r="B329" s="59">
        <v>542</v>
      </c>
      <c r="C329" s="71" t="s">
        <v>342</v>
      </c>
      <c r="D329" s="60" t="s">
        <v>2389</v>
      </c>
      <c r="E329" s="60" t="s">
        <v>2451</v>
      </c>
      <c r="F329" s="60" t="s">
        <v>2921</v>
      </c>
      <c r="G329" s="60" t="s">
        <v>2577</v>
      </c>
      <c r="H329" s="60" t="s">
        <v>2578</v>
      </c>
      <c r="I329" s="60" t="s">
        <v>2579</v>
      </c>
    </row>
    <row r="330" spans="2:9" s="56" customFormat="1" ht="120" customHeight="1" x14ac:dyDescent="0.35">
      <c r="B330" s="59">
        <v>543</v>
      </c>
      <c r="C330" s="71" t="s">
        <v>343</v>
      </c>
      <c r="D330" s="60" t="s">
        <v>2389</v>
      </c>
      <c r="E330" s="60" t="s">
        <v>2451</v>
      </c>
      <c r="F330" s="60" t="s">
        <v>2921</v>
      </c>
      <c r="G330" s="60" t="s">
        <v>2577</v>
      </c>
      <c r="H330" s="60" t="s">
        <v>2578</v>
      </c>
      <c r="I330" s="60" t="s">
        <v>2579</v>
      </c>
    </row>
    <row r="331" spans="2:9" s="56" customFormat="1" ht="120" customHeight="1" x14ac:dyDescent="0.35">
      <c r="B331" s="59">
        <v>544</v>
      </c>
      <c r="C331" s="71" t="s">
        <v>344</v>
      </c>
      <c r="D331" s="60" t="s">
        <v>2389</v>
      </c>
      <c r="E331" s="60" t="s">
        <v>2451</v>
      </c>
      <c r="F331" s="60" t="s">
        <v>2921</v>
      </c>
      <c r="G331" s="60" t="s">
        <v>2577</v>
      </c>
      <c r="H331" s="60" t="s">
        <v>2578</v>
      </c>
      <c r="I331" s="60" t="s">
        <v>2579</v>
      </c>
    </row>
    <row r="332" spans="2:9" s="56" customFormat="1" ht="120" customHeight="1" x14ac:dyDescent="0.35">
      <c r="B332" s="59">
        <v>545</v>
      </c>
      <c r="C332" s="71" t="s">
        <v>345</v>
      </c>
      <c r="D332" s="60" t="s">
        <v>2389</v>
      </c>
      <c r="E332" s="60" t="s">
        <v>2451</v>
      </c>
      <c r="F332" s="60" t="s">
        <v>2921</v>
      </c>
      <c r="G332" s="60" t="s">
        <v>2577</v>
      </c>
      <c r="H332" s="60" t="s">
        <v>2578</v>
      </c>
      <c r="I332" s="60" t="s">
        <v>2579</v>
      </c>
    </row>
    <row r="333" spans="2:9" s="56" customFormat="1" ht="120" customHeight="1" x14ac:dyDescent="0.35">
      <c r="B333" s="59">
        <v>546</v>
      </c>
      <c r="C333" s="71" t="s">
        <v>346</v>
      </c>
      <c r="D333" s="60" t="s">
        <v>2389</v>
      </c>
      <c r="E333" s="60" t="s">
        <v>2451</v>
      </c>
      <c r="F333" s="60" t="s">
        <v>2921</v>
      </c>
      <c r="G333" s="60" t="s">
        <v>2577</v>
      </c>
      <c r="H333" s="60" t="s">
        <v>2578</v>
      </c>
      <c r="I333" s="60" t="s">
        <v>2579</v>
      </c>
    </row>
    <row r="334" spans="2:9" s="56" customFormat="1" ht="120" customHeight="1" x14ac:dyDescent="0.35">
      <c r="B334" s="59">
        <v>547</v>
      </c>
      <c r="C334" s="71" t="s">
        <v>347</v>
      </c>
      <c r="D334" s="60" t="s">
        <v>2389</v>
      </c>
      <c r="E334" s="60" t="s">
        <v>2451</v>
      </c>
      <c r="F334" s="60" t="s">
        <v>2921</v>
      </c>
      <c r="G334" s="60" t="s">
        <v>2577</v>
      </c>
      <c r="H334" s="60" t="s">
        <v>2578</v>
      </c>
      <c r="I334" s="60" t="s">
        <v>2579</v>
      </c>
    </row>
    <row r="335" spans="2:9" s="56" customFormat="1" ht="120" customHeight="1" x14ac:dyDescent="0.35">
      <c r="B335" s="59">
        <v>548</v>
      </c>
      <c r="C335" s="71" t="s">
        <v>348</v>
      </c>
      <c r="D335" s="60" t="s">
        <v>2389</v>
      </c>
      <c r="E335" s="60" t="s">
        <v>2451</v>
      </c>
      <c r="F335" s="60" t="s">
        <v>2921</v>
      </c>
      <c r="G335" s="60" t="s">
        <v>2577</v>
      </c>
      <c r="H335" s="60" t="s">
        <v>2578</v>
      </c>
      <c r="I335" s="60" t="s">
        <v>2579</v>
      </c>
    </row>
    <row r="336" spans="2:9" s="56" customFormat="1" ht="120" customHeight="1" x14ac:dyDescent="0.35">
      <c r="B336" s="59">
        <v>551</v>
      </c>
      <c r="C336" s="71" t="s">
        <v>349</v>
      </c>
      <c r="D336" s="60" t="s">
        <v>2389</v>
      </c>
      <c r="E336" s="60" t="s">
        <v>2451</v>
      </c>
      <c r="F336" s="60" t="s">
        <v>2452</v>
      </c>
      <c r="G336" s="60" t="s">
        <v>2580</v>
      </c>
      <c r="H336" s="60" t="s">
        <v>2581</v>
      </c>
      <c r="I336" s="60" t="s">
        <v>2582</v>
      </c>
    </row>
    <row r="337" spans="2:9" s="56" customFormat="1" ht="120" customHeight="1" x14ac:dyDescent="0.35">
      <c r="B337" s="59">
        <v>552</v>
      </c>
      <c r="C337" s="71" t="s">
        <v>350</v>
      </c>
      <c r="D337" s="60" t="s">
        <v>2389</v>
      </c>
      <c r="E337" s="60" t="s">
        <v>2451</v>
      </c>
      <c r="F337" s="60" t="s">
        <v>2452</v>
      </c>
      <c r="G337" s="60" t="s">
        <v>2580</v>
      </c>
      <c r="H337" s="60" t="s">
        <v>2581</v>
      </c>
      <c r="I337" s="60" t="s">
        <v>2582</v>
      </c>
    </row>
    <row r="338" spans="2:9" s="56" customFormat="1" ht="120" customHeight="1" x14ac:dyDescent="0.35">
      <c r="B338" s="59">
        <v>553</v>
      </c>
      <c r="C338" s="71" t="s">
        <v>351</v>
      </c>
      <c r="D338" s="60" t="s">
        <v>2389</v>
      </c>
      <c r="E338" s="60" t="s">
        <v>2451</v>
      </c>
      <c r="F338" s="60" t="s">
        <v>2452</v>
      </c>
      <c r="G338" s="60" t="s">
        <v>2580</v>
      </c>
      <c r="H338" s="60" t="s">
        <v>2581</v>
      </c>
      <c r="I338" s="60" t="s">
        <v>2582</v>
      </c>
    </row>
    <row r="339" spans="2:9" s="56" customFormat="1" ht="120" customHeight="1" x14ac:dyDescent="0.35">
      <c r="B339" s="59">
        <v>554</v>
      </c>
      <c r="C339" s="71" t="s">
        <v>352</v>
      </c>
      <c r="D339" s="60" t="s">
        <v>2389</v>
      </c>
      <c r="E339" s="60" t="s">
        <v>2451</v>
      </c>
      <c r="F339" s="60" t="s">
        <v>2452</v>
      </c>
      <c r="G339" s="60" t="s">
        <v>2580</v>
      </c>
      <c r="H339" s="60" t="s">
        <v>2581</v>
      </c>
      <c r="I339" s="60" t="s">
        <v>2582</v>
      </c>
    </row>
    <row r="340" spans="2:9" s="56" customFormat="1" ht="120" customHeight="1" x14ac:dyDescent="0.35">
      <c r="B340" s="59">
        <v>555</v>
      </c>
      <c r="C340" s="71" t="s">
        <v>353</v>
      </c>
      <c r="D340" s="60" t="s">
        <v>2389</v>
      </c>
      <c r="E340" s="60" t="s">
        <v>2451</v>
      </c>
      <c r="F340" s="60" t="s">
        <v>2452</v>
      </c>
      <c r="G340" s="60" t="s">
        <v>2580</v>
      </c>
      <c r="H340" s="60" t="s">
        <v>2581</v>
      </c>
      <c r="I340" s="60" t="s">
        <v>2582</v>
      </c>
    </row>
    <row r="341" spans="2:9" s="56" customFormat="1" ht="120" customHeight="1" x14ac:dyDescent="0.35">
      <c r="B341" s="59">
        <v>556</v>
      </c>
      <c r="C341" s="71" t="s">
        <v>354</v>
      </c>
      <c r="D341" s="60" t="s">
        <v>2389</v>
      </c>
      <c r="E341" s="60" t="s">
        <v>2451</v>
      </c>
      <c r="F341" s="60" t="s">
        <v>2452</v>
      </c>
      <c r="G341" s="60" t="s">
        <v>2580</v>
      </c>
      <c r="H341" s="60" t="s">
        <v>2581</v>
      </c>
      <c r="I341" s="60" t="s">
        <v>2582</v>
      </c>
    </row>
    <row r="342" spans="2:9" s="56" customFormat="1" ht="120" customHeight="1" x14ac:dyDescent="0.35">
      <c r="B342" s="59">
        <v>557</v>
      </c>
      <c r="C342" s="71" t="s">
        <v>355</v>
      </c>
      <c r="D342" s="60" t="s">
        <v>2389</v>
      </c>
      <c r="E342" s="60" t="s">
        <v>2451</v>
      </c>
      <c r="F342" s="60" t="s">
        <v>2452</v>
      </c>
      <c r="G342" s="60" t="s">
        <v>2580</v>
      </c>
      <c r="H342" s="60" t="s">
        <v>2581</v>
      </c>
      <c r="I342" s="60" t="s">
        <v>2582</v>
      </c>
    </row>
    <row r="343" spans="2:9" s="56" customFormat="1" ht="120" customHeight="1" x14ac:dyDescent="0.35">
      <c r="B343" s="59">
        <v>558</v>
      </c>
      <c r="C343" s="71" t="s">
        <v>356</v>
      </c>
      <c r="D343" s="60" t="s">
        <v>2389</v>
      </c>
      <c r="E343" s="60" t="s">
        <v>2451</v>
      </c>
      <c r="F343" s="60" t="s">
        <v>2452</v>
      </c>
      <c r="G343" s="60" t="s">
        <v>2580</v>
      </c>
      <c r="H343" s="60" t="s">
        <v>2581</v>
      </c>
      <c r="I343" s="60" t="s">
        <v>2582</v>
      </c>
    </row>
    <row r="344" spans="2:9" s="56" customFormat="1" ht="120" customHeight="1" x14ac:dyDescent="0.35">
      <c r="B344" s="59">
        <v>559</v>
      </c>
      <c r="C344" s="71" t="s">
        <v>357</v>
      </c>
      <c r="D344" s="60" t="s">
        <v>2389</v>
      </c>
      <c r="E344" s="60" t="s">
        <v>2451</v>
      </c>
      <c r="F344" s="60" t="s">
        <v>2452</v>
      </c>
      <c r="G344" s="60" t="s">
        <v>2580</v>
      </c>
      <c r="H344" s="60" t="s">
        <v>2581</v>
      </c>
      <c r="I344" s="60" t="s">
        <v>2582</v>
      </c>
    </row>
    <row r="345" spans="2:9" s="56" customFormat="1" ht="120" customHeight="1" x14ac:dyDescent="0.35">
      <c r="B345" s="59">
        <v>561</v>
      </c>
      <c r="C345" s="71" t="s">
        <v>358</v>
      </c>
      <c r="D345" s="60" t="s">
        <v>2377</v>
      </c>
      <c r="E345" s="60" t="s">
        <v>2451</v>
      </c>
      <c r="F345" s="60" t="s">
        <v>2583</v>
      </c>
      <c r="G345" s="60" t="s">
        <v>2584</v>
      </c>
      <c r="H345" s="60" t="s">
        <v>2585</v>
      </c>
      <c r="I345" s="60" t="s">
        <v>2924</v>
      </c>
    </row>
    <row r="346" spans="2:9" s="56" customFormat="1" ht="120" customHeight="1" x14ac:dyDescent="0.35">
      <c r="B346" s="59">
        <v>562</v>
      </c>
      <c r="C346" s="71" t="s">
        <v>359</v>
      </c>
      <c r="D346" s="60" t="s">
        <v>2377</v>
      </c>
      <c r="E346" s="60" t="s">
        <v>2451</v>
      </c>
      <c r="F346" s="60" t="s">
        <v>2583</v>
      </c>
      <c r="G346" s="60" t="s">
        <v>2584</v>
      </c>
      <c r="H346" s="60" t="s">
        <v>2585</v>
      </c>
      <c r="I346" s="60" t="s">
        <v>2924</v>
      </c>
    </row>
    <row r="347" spans="2:9" s="56" customFormat="1" ht="120" customHeight="1" x14ac:dyDescent="0.35">
      <c r="B347" s="59">
        <v>563</v>
      </c>
      <c r="C347" s="71" t="s">
        <v>360</v>
      </c>
      <c r="D347" s="60" t="s">
        <v>2377</v>
      </c>
      <c r="E347" s="60" t="s">
        <v>2451</v>
      </c>
      <c r="F347" s="60" t="s">
        <v>2583</v>
      </c>
      <c r="G347" s="60" t="s">
        <v>2584</v>
      </c>
      <c r="H347" s="60" t="s">
        <v>2585</v>
      </c>
      <c r="I347" s="60" t="s">
        <v>2924</v>
      </c>
    </row>
    <row r="348" spans="2:9" s="56" customFormat="1" ht="120" customHeight="1" x14ac:dyDescent="0.35">
      <c r="B348" s="59">
        <v>564</v>
      </c>
      <c r="C348" s="71" t="s">
        <v>361</v>
      </c>
      <c r="D348" s="60" t="s">
        <v>2377</v>
      </c>
      <c r="E348" s="60" t="s">
        <v>2451</v>
      </c>
      <c r="F348" s="60" t="s">
        <v>2583</v>
      </c>
      <c r="G348" s="60" t="s">
        <v>2584</v>
      </c>
      <c r="H348" s="60" t="s">
        <v>2585</v>
      </c>
      <c r="I348" s="60" t="s">
        <v>2924</v>
      </c>
    </row>
    <row r="349" spans="2:9" s="56" customFormat="1" ht="120" customHeight="1" x14ac:dyDescent="0.35">
      <c r="B349" s="59">
        <v>565</v>
      </c>
      <c r="C349" s="71" t="s">
        <v>362</v>
      </c>
      <c r="D349" s="60" t="s">
        <v>2377</v>
      </c>
      <c r="E349" s="60" t="s">
        <v>2451</v>
      </c>
      <c r="F349" s="60" t="s">
        <v>2583</v>
      </c>
      <c r="G349" s="60" t="s">
        <v>2584</v>
      </c>
      <c r="H349" s="60" t="s">
        <v>2585</v>
      </c>
      <c r="I349" s="60" t="s">
        <v>2924</v>
      </c>
    </row>
    <row r="350" spans="2:9" s="56" customFormat="1" ht="120" customHeight="1" x14ac:dyDescent="0.35">
      <c r="B350" s="59">
        <v>566</v>
      </c>
      <c r="C350" s="71" t="s">
        <v>363</v>
      </c>
      <c r="D350" s="60" t="s">
        <v>2377</v>
      </c>
      <c r="E350" s="60" t="s">
        <v>2451</v>
      </c>
      <c r="F350" s="60" t="s">
        <v>2583</v>
      </c>
      <c r="G350" s="60" t="s">
        <v>2584</v>
      </c>
      <c r="H350" s="60" t="s">
        <v>2585</v>
      </c>
      <c r="I350" s="60" t="s">
        <v>2924</v>
      </c>
    </row>
    <row r="351" spans="2:9" s="56" customFormat="1" ht="120" customHeight="1" x14ac:dyDescent="0.35">
      <c r="B351" s="59">
        <v>567</v>
      </c>
      <c r="C351" s="71" t="s">
        <v>364</v>
      </c>
      <c r="D351" s="60" t="s">
        <v>2393</v>
      </c>
      <c r="E351" s="60"/>
      <c r="F351" s="60"/>
      <c r="G351" s="60"/>
      <c r="H351" s="60"/>
      <c r="I351" s="60"/>
    </row>
    <row r="352" spans="2:9" x14ac:dyDescent="0.35">
      <c r="B352" s="59">
        <v>568</v>
      </c>
      <c r="C352" s="71" t="s">
        <v>365</v>
      </c>
      <c r="D352" s="60" t="s">
        <v>2393</v>
      </c>
      <c r="E352" s="60"/>
      <c r="F352" s="60"/>
      <c r="G352" s="60"/>
      <c r="H352" s="60"/>
      <c r="I352" s="60"/>
    </row>
    <row r="353" spans="2:9" x14ac:dyDescent="0.35">
      <c r="B353" s="59">
        <v>569</v>
      </c>
      <c r="C353" s="71" t="s">
        <v>366</v>
      </c>
      <c r="D353" s="60" t="s">
        <v>2393</v>
      </c>
      <c r="E353" s="60"/>
      <c r="F353" s="60"/>
      <c r="G353" s="60"/>
      <c r="H353" s="60"/>
      <c r="I353" s="60"/>
    </row>
    <row r="354" spans="2:9" ht="120.75" customHeight="1" x14ac:dyDescent="0.35">
      <c r="B354" s="59">
        <v>570</v>
      </c>
      <c r="C354" s="71" t="s">
        <v>367</v>
      </c>
      <c r="D354" s="60" t="s">
        <v>2377</v>
      </c>
      <c r="E354" s="60" t="s">
        <v>2451</v>
      </c>
      <c r="F354" s="60" t="s">
        <v>2583</v>
      </c>
      <c r="G354" s="60" t="s">
        <v>2584</v>
      </c>
      <c r="H354" s="60" t="s">
        <v>2586</v>
      </c>
      <c r="I354" s="60" t="s">
        <v>2587</v>
      </c>
    </row>
    <row r="355" spans="2:9" s="56" customFormat="1" ht="120" customHeight="1" x14ac:dyDescent="0.35">
      <c r="B355" s="59">
        <v>571</v>
      </c>
      <c r="C355" s="71" t="s">
        <v>368</v>
      </c>
      <c r="D355" s="60" t="s">
        <v>2377</v>
      </c>
      <c r="E355" s="60" t="s">
        <v>2451</v>
      </c>
      <c r="F355" s="60" t="s">
        <v>2583</v>
      </c>
      <c r="G355" s="60" t="s">
        <v>2584</v>
      </c>
      <c r="H355" s="60" t="s">
        <v>2586</v>
      </c>
      <c r="I355" s="60" t="s">
        <v>2587</v>
      </c>
    </row>
    <row r="356" spans="2:9" s="56" customFormat="1" ht="120" customHeight="1" x14ac:dyDescent="0.35">
      <c r="B356" s="59">
        <v>572</v>
      </c>
      <c r="C356" s="71" t="s">
        <v>369</v>
      </c>
      <c r="D356" s="60" t="s">
        <v>2377</v>
      </c>
      <c r="E356" s="60" t="s">
        <v>2451</v>
      </c>
      <c r="F356" s="60" t="s">
        <v>2583</v>
      </c>
      <c r="G356" s="60" t="s">
        <v>2584</v>
      </c>
      <c r="H356" s="60" t="s">
        <v>2586</v>
      </c>
      <c r="I356" s="60" t="s">
        <v>2587</v>
      </c>
    </row>
    <row r="357" spans="2:9" s="56" customFormat="1" ht="120" customHeight="1" x14ac:dyDescent="0.35">
      <c r="B357" s="59">
        <v>573</v>
      </c>
      <c r="C357" s="71" t="s">
        <v>370</v>
      </c>
      <c r="D357" s="60" t="s">
        <v>2377</v>
      </c>
      <c r="E357" s="60" t="s">
        <v>2451</v>
      </c>
      <c r="F357" s="60" t="s">
        <v>2583</v>
      </c>
      <c r="G357" s="60" t="s">
        <v>2584</v>
      </c>
      <c r="H357" s="60" t="s">
        <v>2586</v>
      </c>
      <c r="I357" s="60" t="s">
        <v>2587</v>
      </c>
    </row>
    <row r="358" spans="2:9" s="56" customFormat="1" ht="120" customHeight="1" x14ac:dyDescent="0.35">
      <c r="B358" s="59">
        <v>574</v>
      </c>
      <c r="C358" s="71" t="s">
        <v>371</v>
      </c>
      <c r="D358" s="60" t="s">
        <v>2377</v>
      </c>
      <c r="E358" s="60" t="s">
        <v>2451</v>
      </c>
      <c r="F358" s="60" t="s">
        <v>2583</v>
      </c>
      <c r="G358" s="60" t="s">
        <v>2584</v>
      </c>
      <c r="H358" s="60" t="s">
        <v>2586</v>
      </c>
      <c r="I358" s="60" t="s">
        <v>2587</v>
      </c>
    </row>
    <row r="359" spans="2:9" s="56" customFormat="1" ht="120" customHeight="1" x14ac:dyDescent="0.35">
      <c r="B359" s="59">
        <v>575</v>
      </c>
      <c r="C359" s="71" t="s">
        <v>372</v>
      </c>
      <c r="D359" s="60" t="s">
        <v>2377</v>
      </c>
      <c r="E359" s="60" t="s">
        <v>2451</v>
      </c>
      <c r="F359" s="60" t="s">
        <v>2583</v>
      </c>
      <c r="G359" s="60" t="s">
        <v>2584</v>
      </c>
      <c r="H359" s="60" t="s">
        <v>2586</v>
      </c>
      <c r="I359" s="60" t="s">
        <v>2587</v>
      </c>
    </row>
    <row r="360" spans="2:9" s="56" customFormat="1" ht="120" customHeight="1" x14ac:dyDescent="0.35">
      <c r="B360" s="59">
        <v>577</v>
      </c>
      <c r="C360" s="71" t="s">
        <v>373</v>
      </c>
      <c r="D360" s="60" t="s">
        <v>2415</v>
      </c>
      <c r="E360" s="60"/>
      <c r="F360" s="60"/>
      <c r="G360" s="60"/>
      <c r="H360" s="60"/>
      <c r="I360" s="60"/>
    </row>
    <row r="361" spans="2:9" x14ac:dyDescent="0.35">
      <c r="B361" s="59">
        <v>578</v>
      </c>
      <c r="C361" s="71" t="s">
        <v>374</v>
      </c>
      <c r="D361" s="60" t="s">
        <v>2415</v>
      </c>
      <c r="E361" s="60"/>
      <c r="F361" s="60"/>
      <c r="G361" s="60"/>
      <c r="H361" s="60"/>
      <c r="I361" s="60"/>
    </row>
    <row r="362" spans="2:9" ht="409.5" x14ac:dyDescent="0.35">
      <c r="B362" s="59">
        <v>581</v>
      </c>
      <c r="C362" s="71" t="s">
        <v>375</v>
      </c>
      <c r="D362" s="60" t="s">
        <v>2393</v>
      </c>
      <c r="E362" s="60" t="s">
        <v>2588</v>
      </c>
      <c r="F362" s="60" t="s">
        <v>2465</v>
      </c>
      <c r="G362" s="60" t="s">
        <v>2589</v>
      </c>
      <c r="H362" s="60" t="s">
        <v>2590</v>
      </c>
      <c r="I362" s="60" t="s">
        <v>2591</v>
      </c>
    </row>
    <row r="363" spans="2:9" s="56" customFormat="1" ht="120" customHeight="1" x14ac:dyDescent="0.35">
      <c r="B363" s="59">
        <v>582</v>
      </c>
      <c r="C363" s="71" t="s">
        <v>376</v>
      </c>
      <c r="D363" s="60" t="s">
        <v>2393</v>
      </c>
      <c r="E363" s="60" t="s">
        <v>2588</v>
      </c>
      <c r="F363" s="60" t="s">
        <v>2465</v>
      </c>
      <c r="G363" s="60" t="s">
        <v>2589</v>
      </c>
      <c r="H363" s="60" t="s">
        <v>2590</v>
      </c>
      <c r="I363" s="60" t="s">
        <v>2591</v>
      </c>
    </row>
    <row r="364" spans="2:9" s="56" customFormat="1" ht="120" customHeight="1" x14ac:dyDescent="0.35">
      <c r="B364" s="59">
        <v>583</v>
      </c>
      <c r="C364" s="71" t="s">
        <v>377</v>
      </c>
      <c r="D364" s="60" t="s">
        <v>2393</v>
      </c>
      <c r="E364" s="60" t="s">
        <v>2451</v>
      </c>
      <c r="F364" s="60" t="s">
        <v>2592</v>
      </c>
      <c r="G364" s="60" t="s">
        <v>2593</v>
      </c>
      <c r="H364" s="60" t="s">
        <v>2594</v>
      </c>
      <c r="I364" s="60" t="s">
        <v>2595</v>
      </c>
    </row>
    <row r="365" spans="2:9" s="56" customFormat="1" ht="120" customHeight="1" x14ac:dyDescent="0.35">
      <c r="B365" s="59">
        <v>584</v>
      </c>
      <c r="C365" s="71" t="s">
        <v>378</v>
      </c>
      <c r="D365" s="60" t="s">
        <v>2393</v>
      </c>
      <c r="E365" s="60" t="s">
        <v>2451</v>
      </c>
      <c r="F365" s="60" t="s">
        <v>2592</v>
      </c>
      <c r="G365" s="60" t="s">
        <v>2593</v>
      </c>
      <c r="H365" s="60" t="s">
        <v>2594</v>
      </c>
      <c r="I365" s="60" t="s">
        <v>2595</v>
      </c>
    </row>
    <row r="366" spans="2:9" s="56" customFormat="1" ht="120" customHeight="1" x14ac:dyDescent="0.35">
      <c r="B366" s="59">
        <v>585</v>
      </c>
      <c r="C366" s="71" t="s">
        <v>379</v>
      </c>
      <c r="D366" s="60" t="s">
        <v>2393</v>
      </c>
      <c r="E366" s="60" t="s">
        <v>2588</v>
      </c>
      <c r="F366" s="60" t="s">
        <v>2465</v>
      </c>
      <c r="G366" s="60" t="s">
        <v>2589</v>
      </c>
      <c r="H366" s="60" t="s">
        <v>2590</v>
      </c>
      <c r="I366" s="60" t="s">
        <v>2591</v>
      </c>
    </row>
    <row r="367" spans="2:9" s="56" customFormat="1" ht="120" customHeight="1" x14ac:dyDescent="0.35">
      <c r="B367" s="59">
        <v>587</v>
      </c>
      <c r="C367" s="71" t="s">
        <v>380</v>
      </c>
      <c r="D367" s="60" t="s">
        <v>2371</v>
      </c>
      <c r="E367" s="60"/>
      <c r="F367" s="60"/>
      <c r="G367" s="60"/>
      <c r="H367" s="60"/>
      <c r="I367" s="60"/>
    </row>
    <row r="368" spans="2:9" x14ac:dyDescent="0.35">
      <c r="B368" s="59">
        <v>588</v>
      </c>
      <c r="C368" s="71" t="s">
        <v>381</v>
      </c>
      <c r="D368" s="60" t="s">
        <v>2371</v>
      </c>
      <c r="E368" s="60"/>
      <c r="F368" s="60"/>
      <c r="G368" s="60"/>
      <c r="H368" s="60"/>
      <c r="I368" s="60"/>
    </row>
    <row r="369" spans="2:9" x14ac:dyDescent="0.35">
      <c r="B369" s="59">
        <v>589</v>
      </c>
      <c r="C369" s="71" t="s">
        <v>382</v>
      </c>
      <c r="D369" s="60" t="s">
        <v>2371</v>
      </c>
      <c r="E369" s="60"/>
      <c r="F369" s="60"/>
      <c r="G369" s="60"/>
      <c r="H369" s="60"/>
      <c r="I369" s="60"/>
    </row>
    <row r="370" spans="2:9" x14ac:dyDescent="0.35">
      <c r="B370" s="59">
        <v>592</v>
      </c>
      <c r="C370" s="71" t="s">
        <v>383</v>
      </c>
      <c r="D370" s="60" t="s">
        <v>2411</v>
      </c>
      <c r="E370" s="60"/>
      <c r="F370" s="60"/>
      <c r="G370" s="60"/>
      <c r="H370" s="60"/>
      <c r="I370" s="60"/>
    </row>
    <row r="371" spans="2:9" x14ac:dyDescent="0.35">
      <c r="B371" s="59">
        <v>593</v>
      </c>
      <c r="C371" s="71" t="s">
        <v>2466</v>
      </c>
      <c r="D371" s="60" t="s">
        <v>2411</v>
      </c>
      <c r="E371" s="60"/>
      <c r="F371" s="60"/>
      <c r="G371" s="60"/>
      <c r="H371" s="60"/>
      <c r="I371" s="60"/>
    </row>
    <row r="372" spans="2:9" x14ac:dyDescent="0.35">
      <c r="B372" s="59">
        <v>594</v>
      </c>
      <c r="C372" s="71" t="s">
        <v>385</v>
      </c>
      <c r="D372" s="60" t="s">
        <v>2370</v>
      </c>
      <c r="E372" s="60"/>
      <c r="F372" s="60"/>
      <c r="G372" s="60"/>
      <c r="H372" s="60"/>
      <c r="I372" s="60"/>
    </row>
    <row r="373" spans="2:9" x14ac:dyDescent="0.35">
      <c r="B373" s="59">
        <v>595</v>
      </c>
      <c r="C373" s="71" t="s">
        <v>386</v>
      </c>
      <c r="D373" s="60" t="s">
        <v>2370</v>
      </c>
      <c r="E373" s="60"/>
      <c r="F373" s="60"/>
      <c r="G373" s="60"/>
      <c r="H373" s="60"/>
      <c r="I373" s="60"/>
    </row>
    <row r="374" spans="2:9" x14ac:dyDescent="0.35">
      <c r="B374" s="59">
        <v>596</v>
      </c>
      <c r="C374" s="71" t="s">
        <v>387</v>
      </c>
      <c r="D374" s="60" t="s">
        <v>2370</v>
      </c>
      <c r="E374" s="60"/>
      <c r="F374" s="60"/>
      <c r="G374" s="60"/>
      <c r="H374" s="60"/>
      <c r="I374" s="60"/>
    </row>
    <row r="375" spans="2:9" x14ac:dyDescent="0.35">
      <c r="B375" s="59">
        <v>597</v>
      </c>
      <c r="C375" s="71" t="s">
        <v>388</v>
      </c>
      <c r="D375" s="60" t="s">
        <v>2403</v>
      </c>
      <c r="E375" s="60"/>
      <c r="F375" s="60"/>
      <c r="G375" s="60"/>
      <c r="H375" s="60"/>
      <c r="I375" s="60"/>
    </row>
    <row r="376" spans="2:9" x14ac:dyDescent="0.35">
      <c r="B376" s="59">
        <v>598</v>
      </c>
      <c r="C376" s="71" t="s">
        <v>389</v>
      </c>
      <c r="D376" s="60" t="s">
        <v>2403</v>
      </c>
      <c r="E376" s="60"/>
      <c r="F376" s="60"/>
      <c r="G376" s="60"/>
      <c r="H376" s="60"/>
      <c r="I376" s="60"/>
    </row>
    <row r="377" spans="2:9" x14ac:dyDescent="0.35">
      <c r="B377" s="59">
        <v>599</v>
      </c>
      <c r="C377" s="71" t="s">
        <v>2467</v>
      </c>
      <c r="D377" s="60" t="s">
        <v>2411</v>
      </c>
      <c r="E377" s="60"/>
      <c r="F377" s="60"/>
      <c r="G377" s="60"/>
      <c r="H377" s="60"/>
      <c r="I377" s="60"/>
    </row>
    <row r="378" spans="2:9" x14ac:dyDescent="0.35">
      <c r="B378" s="59">
        <v>600</v>
      </c>
      <c r="C378" s="71" t="s">
        <v>391</v>
      </c>
      <c r="D378" s="60" t="s">
        <v>2370</v>
      </c>
      <c r="E378" s="60"/>
      <c r="F378" s="60"/>
      <c r="G378" s="60"/>
      <c r="H378" s="60"/>
      <c r="I378" s="60"/>
    </row>
    <row r="379" spans="2:9" x14ac:dyDescent="0.35">
      <c r="B379" s="59">
        <v>601</v>
      </c>
      <c r="C379" s="71" t="s">
        <v>392</v>
      </c>
      <c r="D379" s="60" t="s">
        <v>2370</v>
      </c>
      <c r="E379" s="60"/>
      <c r="F379" s="60"/>
      <c r="G379" s="60"/>
      <c r="H379" s="60"/>
      <c r="I379" s="60"/>
    </row>
    <row r="380" spans="2:9" x14ac:dyDescent="0.35">
      <c r="B380" s="59">
        <v>602</v>
      </c>
      <c r="C380" s="71" t="s">
        <v>393</v>
      </c>
      <c r="D380" s="60" t="s">
        <v>2370</v>
      </c>
      <c r="E380" s="60"/>
      <c r="F380" s="60"/>
      <c r="G380" s="60"/>
      <c r="H380" s="60"/>
      <c r="I380" s="60"/>
    </row>
    <row r="381" spans="2:9" x14ac:dyDescent="0.35">
      <c r="B381" s="59">
        <v>606</v>
      </c>
      <c r="C381" s="71" t="s">
        <v>394</v>
      </c>
      <c r="D381" s="60" t="s">
        <v>2411</v>
      </c>
      <c r="E381" s="60"/>
      <c r="F381" s="60"/>
      <c r="G381" s="60"/>
      <c r="H381" s="60"/>
      <c r="I381" s="60"/>
    </row>
    <row r="382" spans="2:9" x14ac:dyDescent="0.35">
      <c r="B382" s="59">
        <v>607</v>
      </c>
      <c r="C382" s="71" t="s">
        <v>395</v>
      </c>
      <c r="D382" s="60" t="s">
        <v>2370</v>
      </c>
      <c r="E382" s="60"/>
      <c r="F382" s="60"/>
      <c r="G382" s="60"/>
      <c r="H382" s="60"/>
      <c r="I382" s="60"/>
    </row>
    <row r="383" spans="2:9" x14ac:dyDescent="0.35">
      <c r="B383" s="59">
        <v>608</v>
      </c>
      <c r="C383" s="71" t="s">
        <v>396</v>
      </c>
      <c r="D383" s="60" t="s">
        <v>2370</v>
      </c>
      <c r="E383" s="60"/>
      <c r="F383" s="60"/>
      <c r="G383" s="60"/>
      <c r="H383" s="60"/>
      <c r="I383" s="60"/>
    </row>
    <row r="384" spans="2:9" x14ac:dyDescent="0.35">
      <c r="B384" s="59">
        <v>609</v>
      </c>
      <c r="C384" s="71" t="s">
        <v>397</v>
      </c>
      <c r="D384" s="60" t="s">
        <v>2370</v>
      </c>
      <c r="E384" s="60"/>
      <c r="F384" s="60"/>
      <c r="G384" s="60"/>
      <c r="H384" s="60"/>
      <c r="I384" s="60"/>
    </row>
    <row r="385" spans="2:9" x14ac:dyDescent="0.35">
      <c r="B385" s="59">
        <v>610</v>
      </c>
      <c r="C385" s="71" t="s">
        <v>398</v>
      </c>
      <c r="D385" s="60" t="s">
        <v>2422</v>
      </c>
      <c r="E385" s="60"/>
      <c r="F385" s="60"/>
      <c r="G385" s="60"/>
      <c r="H385" s="60"/>
      <c r="I385" s="60"/>
    </row>
    <row r="386" spans="2:9" x14ac:dyDescent="0.35">
      <c r="B386" s="59">
        <v>611</v>
      </c>
      <c r="C386" s="71" t="s">
        <v>2468</v>
      </c>
      <c r="D386" s="60" t="s">
        <v>2411</v>
      </c>
      <c r="E386" s="60"/>
      <c r="F386" s="60"/>
      <c r="G386" s="60"/>
      <c r="H386" s="60"/>
      <c r="I386" s="60"/>
    </row>
    <row r="387" spans="2:9" x14ac:dyDescent="0.35">
      <c r="B387" s="59">
        <v>612</v>
      </c>
      <c r="C387" s="71" t="s">
        <v>400</v>
      </c>
      <c r="D387" s="60" t="s">
        <v>2370</v>
      </c>
      <c r="E387" s="60"/>
      <c r="F387" s="60"/>
      <c r="G387" s="60"/>
      <c r="H387" s="60"/>
      <c r="I387" s="60"/>
    </row>
    <row r="388" spans="2:9" x14ac:dyDescent="0.35">
      <c r="B388" s="59">
        <v>613</v>
      </c>
      <c r="C388" s="71" t="s">
        <v>401</v>
      </c>
      <c r="D388" s="60" t="s">
        <v>2370</v>
      </c>
      <c r="E388" s="60"/>
      <c r="F388" s="60"/>
      <c r="G388" s="60"/>
      <c r="H388" s="60"/>
      <c r="I388" s="60"/>
    </row>
    <row r="389" spans="2:9" x14ac:dyDescent="0.35">
      <c r="B389" s="59">
        <v>614</v>
      </c>
      <c r="C389" s="71" t="s">
        <v>402</v>
      </c>
      <c r="D389" s="60" t="s">
        <v>2370</v>
      </c>
      <c r="E389" s="60"/>
      <c r="F389" s="60"/>
      <c r="G389" s="60"/>
      <c r="H389" s="60"/>
      <c r="I389" s="60"/>
    </row>
    <row r="390" spans="2:9" x14ac:dyDescent="0.35">
      <c r="B390" s="59">
        <v>615</v>
      </c>
      <c r="C390" s="71" t="s">
        <v>403</v>
      </c>
      <c r="D390" s="60" t="s">
        <v>2403</v>
      </c>
      <c r="E390" s="60"/>
      <c r="F390" s="60"/>
      <c r="G390" s="60"/>
      <c r="H390" s="60"/>
      <c r="I390" s="60"/>
    </row>
    <row r="391" spans="2:9" x14ac:dyDescent="0.35">
      <c r="B391" s="59">
        <v>616</v>
      </c>
      <c r="C391" s="71" t="s">
        <v>2469</v>
      </c>
      <c r="D391" s="60" t="s">
        <v>2411</v>
      </c>
      <c r="E391" s="60"/>
      <c r="F391" s="60"/>
      <c r="G391" s="60"/>
      <c r="H391" s="60"/>
      <c r="I391" s="60"/>
    </row>
    <row r="392" spans="2:9" x14ac:dyDescent="0.35">
      <c r="B392" s="59">
        <v>617</v>
      </c>
      <c r="C392" s="71" t="s">
        <v>405</v>
      </c>
      <c r="D392" s="60" t="s">
        <v>2370</v>
      </c>
      <c r="E392" s="60"/>
      <c r="F392" s="60"/>
      <c r="G392" s="60"/>
      <c r="H392" s="60"/>
      <c r="I392" s="60"/>
    </row>
    <row r="393" spans="2:9" x14ac:dyDescent="0.35">
      <c r="B393" s="59">
        <v>618</v>
      </c>
      <c r="C393" s="71" t="s">
        <v>406</v>
      </c>
      <c r="D393" s="60" t="s">
        <v>2370</v>
      </c>
      <c r="E393" s="60"/>
      <c r="F393" s="60"/>
      <c r="G393" s="60"/>
      <c r="H393" s="60"/>
      <c r="I393" s="60"/>
    </row>
    <row r="394" spans="2:9" x14ac:dyDescent="0.35">
      <c r="B394" s="59">
        <v>619</v>
      </c>
      <c r="C394" s="71" t="s">
        <v>407</v>
      </c>
      <c r="D394" s="60" t="s">
        <v>2370</v>
      </c>
      <c r="E394" s="60"/>
      <c r="F394" s="60"/>
      <c r="G394" s="60"/>
      <c r="H394" s="60"/>
      <c r="I394" s="60"/>
    </row>
    <row r="395" spans="2:9" x14ac:dyDescent="0.35">
      <c r="B395" s="59">
        <v>621</v>
      </c>
      <c r="C395" s="71" t="s">
        <v>408</v>
      </c>
      <c r="D395" s="60" t="s">
        <v>2403</v>
      </c>
      <c r="E395" s="60"/>
      <c r="F395" s="60"/>
      <c r="G395" s="60"/>
      <c r="H395" s="60"/>
      <c r="I395" s="60"/>
    </row>
    <row r="396" spans="2:9" x14ac:dyDescent="0.35">
      <c r="B396" s="59">
        <v>622</v>
      </c>
      <c r="C396" s="71" t="s">
        <v>409</v>
      </c>
      <c r="D396" s="60" t="s">
        <v>2370</v>
      </c>
      <c r="E396" s="60"/>
      <c r="F396" s="60"/>
      <c r="G396" s="60"/>
      <c r="H396" s="60"/>
      <c r="I396" s="60"/>
    </row>
    <row r="397" spans="2:9" x14ac:dyDescent="0.35">
      <c r="B397" s="59">
        <v>623</v>
      </c>
      <c r="C397" s="71" t="s">
        <v>2470</v>
      </c>
      <c r="D397" s="60" t="s">
        <v>2370</v>
      </c>
      <c r="E397" s="60"/>
      <c r="F397" s="60"/>
      <c r="G397" s="60"/>
      <c r="H397" s="60"/>
      <c r="I397" s="60"/>
    </row>
    <row r="398" spans="2:9" x14ac:dyDescent="0.35">
      <c r="B398" s="59">
        <v>624</v>
      </c>
      <c r="C398" s="71" t="s">
        <v>411</v>
      </c>
      <c r="D398" s="60" t="s">
        <v>2370</v>
      </c>
      <c r="E398" s="60"/>
      <c r="F398" s="60"/>
      <c r="G398" s="60"/>
      <c r="H398" s="60"/>
      <c r="I398" s="60"/>
    </row>
    <row r="399" spans="2:9" ht="409.5" x14ac:dyDescent="0.35">
      <c r="B399" s="59">
        <v>626</v>
      </c>
      <c r="C399" s="71" t="s">
        <v>2471</v>
      </c>
      <c r="D399" s="60" t="s">
        <v>2411</v>
      </c>
      <c r="E399" s="60" t="s">
        <v>2596</v>
      </c>
      <c r="F399" s="60" t="s">
        <v>2597</v>
      </c>
      <c r="G399" s="60" t="s">
        <v>2598</v>
      </c>
      <c r="H399" s="60" t="s">
        <v>2599</v>
      </c>
      <c r="I399" s="60" t="s">
        <v>2600</v>
      </c>
    </row>
    <row r="400" spans="2:9" s="56" customFormat="1" ht="120" customHeight="1" x14ac:dyDescent="0.35">
      <c r="B400" s="59">
        <v>627</v>
      </c>
      <c r="C400" s="71" t="s">
        <v>413</v>
      </c>
      <c r="D400" s="60" t="s">
        <v>2370</v>
      </c>
      <c r="E400" s="60" t="s">
        <v>2596</v>
      </c>
      <c r="F400" s="60" t="s">
        <v>2597</v>
      </c>
      <c r="G400" s="60" t="s">
        <v>2598</v>
      </c>
      <c r="H400" s="60" t="s">
        <v>2599</v>
      </c>
      <c r="I400" s="60" t="s">
        <v>2600</v>
      </c>
    </row>
    <row r="401" spans="2:9" s="56" customFormat="1" ht="120" customHeight="1" x14ac:dyDescent="0.35">
      <c r="B401" s="59">
        <v>628</v>
      </c>
      <c r="C401" s="71" t="s">
        <v>414</v>
      </c>
      <c r="D401" s="60" t="s">
        <v>2370</v>
      </c>
      <c r="E401" s="60" t="s">
        <v>2596</v>
      </c>
      <c r="F401" s="60" t="s">
        <v>2597</v>
      </c>
      <c r="G401" s="60" t="s">
        <v>2598</v>
      </c>
      <c r="H401" s="60" t="s">
        <v>2599</v>
      </c>
      <c r="I401" s="60" t="s">
        <v>2600</v>
      </c>
    </row>
    <row r="402" spans="2:9" s="56" customFormat="1" ht="120" customHeight="1" x14ac:dyDescent="0.35">
      <c r="B402" s="59">
        <v>629</v>
      </c>
      <c r="C402" s="71" t="s">
        <v>415</v>
      </c>
      <c r="D402" s="60" t="s">
        <v>2370</v>
      </c>
      <c r="E402" s="60" t="s">
        <v>2596</v>
      </c>
      <c r="F402" s="60" t="s">
        <v>2597</v>
      </c>
      <c r="G402" s="60" t="s">
        <v>2598</v>
      </c>
      <c r="H402" s="60" t="s">
        <v>2599</v>
      </c>
      <c r="I402" s="60" t="s">
        <v>2600</v>
      </c>
    </row>
    <row r="403" spans="2:9" s="56" customFormat="1" ht="120" customHeight="1" x14ac:dyDescent="0.35">
      <c r="B403" s="59">
        <v>630</v>
      </c>
      <c r="C403" s="71" t="s">
        <v>416</v>
      </c>
      <c r="D403" s="60" t="s">
        <v>2403</v>
      </c>
      <c r="E403" s="60" t="s">
        <v>2596</v>
      </c>
      <c r="F403" s="60" t="s">
        <v>2597</v>
      </c>
      <c r="G403" s="60" t="s">
        <v>2598</v>
      </c>
      <c r="H403" s="60" t="s">
        <v>2599</v>
      </c>
      <c r="I403" s="60" t="s">
        <v>2600</v>
      </c>
    </row>
    <row r="404" spans="2:9" s="56" customFormat="1" ht="120" customHeight="1" x14ac:dyDescent="0.35">
      <c r="B404" s="59">
        <v>633</v>
      </c>
      <c r="C404" s="71" t="s">
        <v>417</v>
      </c>
      <c r="D404" s="60" t="s">
        <v>2411</v>
      </c>
      <c r="E404" s="60"/>
      <c r="F404" s="60"/>
      <c r="G404" s="60"/>
      <c r="H404" s="60"/>
      <c r="I404" s="60"/>
    </row>
    <row r="405" spans="2:9" x14ac:dyDescent="0.35">
      <c r="B405" s="59">
        <v>634</v>
      </c>
      <c r="C405" s="71" t="s">
        <v>418</v>
      </c>
      <c r="D405" s="60" t="s">
        <v>2370</v>
      </c>
      <c r="E405" s="60"/>
      <c r="F405" s="60"/>
      <c r="G405" s="60"/>
      <c r="H405" s="60"/>
      <c r="I405" s="60"/>
    </row>
    <row r="406" spans="2:9" x14ac:dyDescent="0.35">
      <c r="B406" s="59">
        <v>635</v>
      </c>
      <c r="C406" s="71" t="s">
        <v>419</v>
      </c>
      <c r="D406" s="60" t="s">
        <v>2370</v>
      </c>
      <c r="E406" s="60"/>
      <c r="F406" s="60"/>
      <c r="G406" s="60"/>
      <c r="H406" s="60"/>
      <c r="I406" s="60"/>
    </row>
    <row r="407" spans="2:9" x14ac:dyDescent="0.35">
      <c r="B407" s="59">
        <v>636</v>
      </c>
      <c r="C407" s="71" t="s">
        <v>420</v>
      </c>
      <c r="D407" s="60" t="s">
        <v>2370</v>
      </c>
      <c r="E407" s="60"/>
      <c r="F407" s="60"/>
      <c r="G407" s="60"/>
      <c r="H407" s="60"/>
      <c r="I407" s="60"/>
    </row>
    <row r="408" spans="2:9" x14ac:dyDescent="0.35">
      <c r="B408" s="59">
        <v>637</v>
      </c>
      <c r="C408" s="71" t="s">
        <v>421</v>
      </c>
      <c r="D408" s="60" t="s">
        <v>2422</v>
      </c>
      <c r="E408" s="60"/>
      <c r="F408" s="60"/>
      <c r="G408" s="60"/>
      <c r="H408" s="60"/>
      <c r="I408" s="60"/>
    </row>
    <row r="409" spans="2:9" ht="409.5" x14ac:dyDescent="0.35">
      <c r="B409" s="59">
        <v>638</v>
      </c>
      <c r="C409" s="71" t="s">
        <v>422</v>
      </c>
      <c r="D409" s="60" t="s">
        <v>2370</v>
      </c>
      <c r="E409" s="60" t="s">
        <v>2601</v>
      </c>
      <c r="F409" s="60" t="s">
        <v>2597</v>
      </c>
      <c r="G409" s="60" t="s">
        <v>2602</v>
      </c>
      <c r="H409" s="60" t="s">
        <v>2603</v>
      </c>
      <c r="I409" s="60" t="s">
        <v>2604</v>
      </c>
    </row>
    <row r="410" spans="2:9" s="56" customFormat="1" ht="120" customHeight="1" x14ac:dyDescent="0.35">
      <c r="B410" s="59">
        <v>639</v>
      </c>
      <c r="C410" s="71" t="s">
        <v>423</v>
      </c>
      <c r="D410" s="60" t="s">
        <v>2370</v>
      </c>
      <c r="E410" s="60" t="s">
        <v>2601</v>
      </c>
      <c r="F410" s="60" t="s">
        <v>2597</v>
      </c>
      <c r="G410" s="60" t="s">
        <v>2602</v>
      </c>
      <c r="H410" s="60" t="s">
        <v>2603</v>
      </c>
      <c r="I410" s="60" t="s">
        <v>2604</v>
      </c>
    </row>
    <row r="411" spans="2:9" s="56" customFormat="1" ht="120" customHeight="1" x14ac:dyDescent="0.35">
      <c r="B411" s="59">
        <v>640</v>
      </c>
      <c r="C411" s="71" t="s">
        <v>424</v>
      </c>
      <c r="D411" s="60" t="s">
        <v>2370</v>
      </c>
      <c r="E411" s="60" t="s">
        <v>2601</v>
      </c>
      <c r="F411" s="60" t="s">
        <v>2597</v>
      </c>
      <c r="G411" s="60" t="s">
        <v>2602</v>
      </c>
      <c r="H411" s="60" t="s">
        <v>2603</v>
      </c>
      <c r="I411" s="60" t="s">
        <v>2604</v>
      </c>
    </row>
    <row r="412" spans="2:9" s="56" customFormat="1" ht="120" customHeight="1" x14ac:dyDescent="0.35">
      <c r="B412" s="59">
        <v>641</v>
      </c>
      <c r="C412" s="71" t="s">
        <v>425</v>
      </c>
      <c r="D412" s="60" t="s">
        <v>2403</v>
      </c>
      <c r="E412" s="60" t="s">
        <v>2601</v>
      </c>
      <c r="F412" s="60" t="s">
        <v>2597</v>
      </c>
      <c r="G412" s="60" t="s">
        <v>2602</v>
      </c>
      <c r="H412" s="60" t="s">
        <v>2603</v>
      </c>
      <c r="I412" s="60" t="s">
        <v>2604</v>
      </c>
    </row>
    <row r="413" spans="2:9" s="56" customFormat="1" ht="120" customHeight="1" x14ac:dyDescent="0.35">
      <c r="B413" s="59">
        <v>644</v>
      </c>
      <c r="C413" s="71" t="s">
        <v>2473</v>
      </c>
      <c r="D413" s="60" t="s">
        <v>2411</v>
      </c>
      <c r="E413" s="60"/>
      <c r="F413" s="60"/>
      <c r="G413" s="60"/>
      <c r="H413" s="60"/>
      <c r="I413" s="60"/>
    </row>
    <row r="414" spans="2:9" x14ac:dyDescent="0.35">
      <c r="B414" s="59">
        <v>645</v>
      </c>
      <c r="C414" s="71" t="s">
        <v>427</v>
      </c>
      <c r="D414" s="60" t="s">
        <v>2370</v>
      </c>
      <c r="E414" s="60"/>
      <c r="F414" s="60"/>
      <c r="G414" s="60"/>
      <c r="H414" s="60"/>
      <c r="I414" s="60"/>
    </row>
    <row r="415" spans="2:9" x14ac:dyDescent="0.35">
      <c r="B415" s="59">
        <v>646</v>
      </c>
      <c r="C415" s="71" t="s">
        <v>428</v>
      </c>
      <c r="D415" s="60" t="s">
        <v>2370</v>
      </c>
      <c r="E415" s="60"/>
      <c r="F415" s="60"/>
      <c r="G415" s="60"/>
      <c r="H415" s="60"/>
      <c r="I415" s="60"/>
    </row>
    <row r="416" spans="2:9" x14ac:dyDescent="0.35">
      <c r="B416" s="59">
        <v>647</v>
      </c>
      <c r="C416" s="71" t="s">
        <v>429</v>
      </c>
      <c r="D416" s="60" t="s">
        <v>2370</v>
      </c>
      <c r="E416" s="60"/>
      <c r="F416" s="60"/>
      <c r="G416" s="60"/>
      <c r="H416" s="60"/>
      <c r="I416" s="60"/>
    </row>
    <row r="417" spans="2:9" x14ac:dyDescent="0.35">
      <c r="B417" s="59">
        <v>648</v>
      </c>
      <c r="C417" s="71" t="s">
        <v>430</v>
      </c>
      <c r="D417" s="60" t="s">
        <v>2403</v>
      </c>
      <c r="E417" s="60"/>
      <c r="F417" s="60"/>
      <c r="G417" s="60"/>
      <c r="H417" s="60"/>
      <c r="I417" s="60"/>
    </row>
    <row r="418" spans="2:9" ht="409.5" x14ac:dyDescent="0.35">
      <c r="B418" s="59">
        <v>649</v>
      </c>
      <c r="C418" s="71" t="s">
        <v>431</v>
      </c>
      <c r="D418" s="60" t="s">
        <v>2411</v>
      </c>
      <c r="E418" s="60" t="s">
        <v>2605</v>
      </c>
      <c r="F418" s="60" t="s">
        <v>2606</v>
      </c>
      <c r="G418" s="60" t="s">
        <v>2607</v>
      </c>
      <c r="H418" s="60" t="s">
        <v>2608</v>
      </c>
      <c r="I418" s="60" t="s">
        <v>2609</v>
      </c>
    </row>
    <row r="419" spans="2:9" s="56" customFormat="1" ht="120" customHeight="1" x14ac:dyDescent="0.35">
      <c r="B419" s="59">
        <v>650</v>
      </c>
      <c r="C419" s="71" t="s">
        <v>432</v>
      </c>
      <c r="D419" s="60" t="s">
        <v>2370</v>
      </c>
      <c r="E419" s="60" t="s">
        <v>2605</v>
      </c>
      <c r="F419" s="60" t="s">
        <v>2606</v>
      </c>
      <c r="G419" s="60" t="s">
        <v>2607</v>
      </c>
      <c r="H419" s="60" t="s">
        <v>2608</v>
      </c>
      <c r="I419" s="60" t="s">
        <v>2609</v>
      </c>
    </row>
    <row r="420" spans="2:9" s="56" customFormat="1" ht="120" customHeight="1" x14ac:dyDescent="0.35">
      <c r="B420" s="59">
        <v>651</v>
      </c>
      <c r="C420" s="71" t="s">
        <v>433</v>
      </c>
      <c r="D420" s="60" t="s">
        <v>2370</v>
      </c>
      <c r="E420" s="60" t="s">
        <v>2605</v>
      </c>
      <c r="F420" s="60" t="s">
        <v>2606</v>
      </c>
      <c r="G420" s="60" t="s">
        <v>2607</v>
      </c>
      <c r="H420" s="60" t="s">
        <v>2608</v>
      </c>
      <c r="I420" s="60" t="s">
        <v>2609</v>
      </c>
    </row>
    <row r="421" spans="2:9" s="56" customFormat="1" ht="120" customHeight="1" x14ac:dyDescent="0.35">
      <c r="B421" s="59">
        <v>652</v>
      </c>
      <c r="C421" s="71" t="s">
        <v>434</v>
      </c>
      <c r="D421" s="60" t="s">
        <v>2370</v>
      </c>
      <c r="E421" s="60" t="s">
        <v>2605</v>
      </c>
      <c r="F421" s="60" t="s">
        <v>2606</v>
      </c>
      <c r="G421" s="60" t="s">
        <v>2607</v>
      </c>
      <c r="H421" s="60" t="s">
        <v>2608</v>
      </c>
      <c r="I421" s="60" t="s">
        <v>2609</v>
      </c>
    </row>
    <row r="422" spans="2:9" s="56" customFormat="1" ht="120" customHeight="1" x14ac:dyDescent="0.35">
      <c r="B422" s="59">
        <v>653</v>
      </c>
      <c r="C422" s="71" t="s">
        <v>435</v>
      </c>
      <c r="D422" s="60" t="s">
        <v>2403</v>
      </c>
      <c r="E422" s="60" t="s">
        <v>2605</v>
      </c>
      <c r="F422" s="60" t="s">
        <v>2606</v>
      </c>
      <c r="G422" s="60" t="s">
        <v>2607</v>
      </c>
      <c r="H422" s="60" t="s">
        <v>2608</v>
      </c>
      <c r="I422" s="60" t="s">
        <v>2609</v>
      </c>
    </row>
    <row r="423" spans="2:9" s="56" customFormat="1" ht="120" customHeight="1" x14ac:dyDescent="0.35">
      <c r="B423" s="59">
        <v>654</v>
      </c>
      <c r="C423" s="71" t="s">
        <v>2474</v>
      </c>
      <c r="D423" s="60" t="s">
        <v>2370</v>
      </c>
      <c r="E423" s="60"/>
      <c r="F423" s="60"/>
      <c r="G423" s="60"/>
      <c r="H423" s="60"/>
      <c r="I423" s="60"/>
    </row>
    <row r="424" spans="2:9" x14ac:dyDescent="0.35">
      <c r="B424" s="59">
        <v>655</v>
      </c>
      <c r="C424" s="71" t="s">
        <v>437</v>
      </c>
      <c r="D424" s="60" t="s">
        <v>2370</v>
      </c>
      <c r="E424" s="60"/>
      <c r="F424" s="60"/>
      <c r="G424" s="60"/>
      <c r="H424" s="60"/>
      <c r="I424" s="60"/>
    </row>
    <row r="425" spans="2:9" x14ac:dyDescent="0.35">
      <c r="B425" s="59">
        <v>656</v>
      </c>
      <c r="C425" s="71" t="s">
        <v>438</v>
      </c>
      <c r="D425" s="60" t="s">
        <v>2370</v>
      </c>
      <c r="E425" s="60"/>
      <c r="F425" s="60"/>
      <c r="G425" s="60"/>
      <c r="H425" s="60"/>
      <c r="I425" s="60"/>
    </row>
    <row r="426" spans="2:9" x14ac:dyDescent="0.35">
      <c r="B426" s="59">
        <v>657</v>
      </c>
      <c r="C426" s="71" t="s">
        <v>439</v>
      </c>
      <c r="D426" s="60" t="s">
        <v>2403</v>
      </c>
      <c r="E426" s="60"/>
      <c r="F426" s="60"/>
      <c r="G426" s="60"/>
      <c r="H426" s="60"/>
      <c r="I426" s="60"/>
    </row>
    <row r="427" spans="2:9" x14ac:dyDescent="0.35">
      <c r="B427" s="59">
        <v>658</v>
      </c>
      <c r="C427" s="71" t="s">
        <v>440</v>
      </c>
      <c r="D427" s="60" t="s">
        <v>2411</v>
      </c>
      <c r="E427" s="60"/>
      <c r="F427" s="60"/>
      <c r="G427" s="60"/>
      <c r="H427" s="60"/>
      <c r="I427" s="60"/>
    </row>
    <row r="428" spans="2:9" x14ac:dyDescent="0.35">
      <c r="B428" s="59">
        <v>659</v>
      </c>
      <c r="C428" s="71" t="s">
        <v>441</v>
      </c>
      <c r="D428" s="60" t="s">
        <v>2370</v>
      </c>
      <c r="E428" s="60"/>
      <c r="F428" s="60"/>
      <c r="G428" s="60"/>
      <c r="H428" s="60"/>
      <c r="I428" s="60"/>
    </row>
    <row r="429" spans="2:9" x14ac:dyDescent="0.35">
      <c r="B429" s="59">
        <v>660</v>
      </c>
      <c r="C429" s="71" t="s">
        <v>442</v>
      </c>
      <c r="D429" s="60" t="s">
        <v>2370</v>
      </c>
      <c r="E429" s="60"/>
      <c r="F429" s="60"/>
      <c r="G429" s="60"/>
      <c r="H429" s="60"/>
      <c r="I429" s="60"/>
    </row>
    <row r="430" spans="2:9" x14ac:dyDescent="0.35">
      <c r="B430" s="59">
        <v>661</v>
      </c>
      <c r="C430" s="71" t="s">
        <v>443</v>
      </c>
      <c r="D430" s="60" t="s">
        <v>2370</v>
      </c>
      <c r="E430" s="60"/>
      <c r="F430" s="60"/>
      <c r="G430" s="60"/>
      <c r="H430" s="60"/>
      <c r="I430" s="60"/>
    </row>
    <row r="431" spans="2:9" x14ac:dyDescent="0.35">
      <c r="B431" s="59">
        <v>662</v>
      </c>
      <c r="C431" s="71" t="s">
        <v>444</v>
      </c>
      <c r="D431" s="60" t="s">
        <v>2403</v>
      </c>
      <c r="E431" s="60"/>
      <c r="F431" s="60"/>
      <c r="G431" s="60"/>
      <c r="H431" s="60"/>
      <c r="I431" s="60"/>
    </row>
    <row r="432" spans="2:9" x14ac:dyDescent="0.35">
      <c r="B432" s="59">
        <v>663</v>
      </c>
      <c r="C432" s="71" t="s">
        <v>445</v>
      </c>
      <c r="D432" s="60" t="s">
        <v>2370</v>
      </c>
      <c r="E432" s="60"/>
      <c r="F432" s="60"/>
      <c r="G432" s="60"/>
      <c r="H432" s="60"/>
      <c r="I432" s="60"/>
    </row>
    <row r="433" spans="2:9" x14ac:dyDescent="0.35">
      <c r="B433" s="59">
        <v>664</v>
      </c>
      <c r="C433" s="71" t="s">
        <v>446</v>
      </c>
      <c r="D433" s="60" t="s">
        <v>2370</v>
      </c>
      <c r="E433" s="60"/>
      <c r="F433" s="60"/>
      <c r="G433" s="60"/>
      <c r="H433" s="60"/>
      <c r="I433" s="60"/>
    </row>
    <row r="434" spans="2:9" x14ac:dyDescent="0.35">
      <c r="B434" s="59">
        <v>665</v>
      </c>
      <c r="C434" s="71" t="s">
        <v>447</v>
      </c>
      <c r="D434" s="60" t="s">
        <v>2370</v>
      </c>
      <c r="E434" s="60"/>
      <c r="F434" s="60"/>
      <c r="G434" s="60"/>
      <c r="H434" s="60"/>
      <c r="I434" s="60"/>
    </row>
    <row r="435" spans="2:9" x14ac:dyDescent="0.35">
      <c r="B435" s="59">
        <v>666</v>
      </c>
      <c r="C435" s="71" t="s">
        <v>448</v>
      </c>
      <c r="D435" s="60" t="s">
        <v>2403</v>
      </c>
      <c r="E435" s="60"/>
      <c r="F435" s="60"/>
      <c r="G435" s="60"/>
      <c r="H435" s="60"/>
      <c r="I435" s="60"/>
    </row>
    <row r="436" spans="2:9" ht="409.5" x14ac:dyDescent="0.35">
      <c r="B436" s="59">
        <v>668</v>
      </c>
      <c r="C436" s="71" t="s">
        <v>449</v>
      </c>
      <c r="D436" s="60" t="s">
        <v>2374</v>
      </c>
      <c r="E436" s="60" t="s">
        <v>2610</v>
      </c>
      <c r="F436" s="60" t="s">
        <v>2611</v>
      </c>
      <c r="G436" s="60" t="s">
        <v>2612</v>
      </c>
      <c r="H436" s="60" t="s">
        <v>2613</v>
      </c>
      <c r="I436" s="60" t="s">
        <v>2614</v>
      </c>
    </row>
    <row r="437" spans="2:9" s="56" customFormat="1" ht="120" customHeight="1" x14ac:dyDescent="0.35">
      <c r="B437" s="59">
        <v>669</v>
      </c>
      <c r="C437" s="71" t="s">
        <v>450</v>
      </c>
      <c r="D437" s="60" t="s">
        <v>2374</v>
      </c>
      <c r="E437" s="60" t="s">
        <v>2610</v>
      </c>
      <c r="F437" s="60" t="s">
        <v>2611</v>
      </c>
      <c r="G437" s="60" t="s">
        <v>2612</v>
      </c>
      <c r="H437" s="60" t="s">
        <v>2613</v>
      </c>
      <c r="I437" s="60" t="s">
        <v>2614</v>
      </c>
    </row>
    <row r="438" spans="2:9" s="56" customFormat="1" ht="120" customHeight="1" x14ac:dyDescent="0.35">
      <c r="B438" s="59">
        <v>670</v>
      </c>
      <c r="C438" s="71" t="s">
        <v>451</v>
      </c>
      <c r="D438" s="60" t="s">
        <v>2405</v>
      </c>
      <c r="E438" s="60"/>
      <c r="F438" s="60"/>
      <c r="G438" s="60"/>
      <c r="H438" s="60"/>
      <c r="I438" s="60"/>
    </row>
    <row r="439" spans="2:9" x14ac:dyDescent="0.35">
      <c r="B439" s="59">
        <v>671</v>
      </c>
      <c r="C439" s="71" t="s">
        <v>452</v>
      </c>
      <c r="D439" s="60" t="s">
        <v>2405</v>
      </c>
      <c r="E439" s="60"/>
      <c r="F439" s="60"/>
      <c r="G439" s="60"/>
      <c r="H439" s="60"/>
      <c r="I439" s="60"/>
    </row>
    <row r="440" spans="2:9" x14ac:dyDescent="0.35">
      <c r="B440" s="59">
        <v>672</v>
      </c>
      <c r="C440" s="71" t="s">
        <v>453</v>
      </c>
      <c r="D440" s="60" t="s">
        <v>2405</v>
      </c>
      <c r="E440" s="60"/>
      <c r="F440" s="60"/>
      <c r="G440" s="60"/>
      <c r="H440" s="60"/>
      <c r="I440" s="60"/>
    </row>
    <row r="441" spans="2:9" x14ac:dyDescent="0.35">
      <c r="B441" s="59">
        <v>673</v>
      </c>
      <c r="C441" s="71" t="s">
        <v>454</v>
      </c>
      <c r="D441" s="60" t="s">
        <v>2405</v>
      </c>
      <c r="E441" s="60"/>
      <c r="F441" s="60"/>
      <c r="G441" s="60"/>
      <c r="H441" s="60"/>
      <c r="I441" s="60"/>
    </row>
    <row r="442" spans="2:9" x14ac:dyDescent="0.35">
      <c r="B442" s="59">
        <v>674</v>
      </c>
      <c r="C442" s="71" t="s">
        <v>455</v>
      </c>
      <c r="D442" s="60" t="s">
        <v>2405</v>
      </c>
      <c r="E442" s="60"/>
      <c r="F442" s="60"/>
      <c r="G442" s="60"/>
      <c r="H442" s="60"/>
      <c r="I442" s="60"/>
    </row>
    <row r="443" spans="2:9" x14ac:dyDescent="0.35">
      <c r="B443" s="59">
        <v>675</v>
      </c>
      <c r="C443" s="71" t="s">
        <v>456</v>
      </c>
      <c r="D443" s="60" t="s">
        <v>2406</v>
      </c>
      <c r="E443" s="60"/>
      <c r="F443" s="60"/>
      <c r="G443" s="60"/>
      <c r="H443" s="60"/>
      <c r="I443" s="60"/>
    </row>
    <row r="444" spans="2:9" x14ac:dyDescent="0.35">
      <c r="B444" s="59">
        <v>676</v>
      </c>
      <c r="C444" s="71" t="s">
        <v>457</v>
      </c>
      <c r="D444" s="60" t="s">
        <v>2406</v>
      </c>
      <c r="E444" s="60"/>
      <c r="F444" s="60"/>
      <c r="G444" s="60"/>
      <c r="H444" s="60"/>
      <c r="I444" s="60"/>
    </row>
    <row r="445" spans="2:9" x14ac:dyDescent="0.35">
      <c r="B445" s="59">
        <v>677</v>
      </c>
      <c r="C445" s="71" t="s">
        <v>458</v>
      </c>
      <c r="D445" s="60" t="s">
        <v>2406</v>
      </c>
      <c r="E445" s="60"/>
      <c r="F445" s="60"/>
      <c r="G445" s="60"/>
      <c r="H445" s="60"/>
      <c r="I445" s="60"/>
    </row>
    <row r="446" spans="2:9" x14ac:dyDescent="0.35">
      <c r="B446" s="59">
        <v>678</v>
      </c>
      <c r="C446" s="71" t="s">
        <v>459</v>
      </c>
      <c r="D446" s="60" t="s">
        <v>2405</v>
      </c>
      <c r="E446" s="60"/>
      <c r="F446" s="60"/>
      <c r="G446" s="60"/>
      <c r="H446" s="60"/>
      <c r="I446" s="60"/>
    </row>
    <row r="447" spans="2:9" ht="145" x14ac:dyDescent="0.35">
      <c r="B447" s="59">
        <v>680</v>
      </c>
      <c r="C447" s="71" t="s">
        <v>460</v>
      </c>
      <c r="D447" s="60" t="s">
        <v>2409</v>
      </c>
      <c r="E447" s="60" t="s">
        <v>2615</v>
      </c>
      <c r="F447" s="60" t="s">
        <v>2616</v>
      </c>
      <c r="G447" s="60" t="s">
        <v>2617</v>
      </c>
      <c r="H447" s="60" t="s">
        <v>2618</v>
      </c>
      <c r="I447" s="59" t="s">
        <v>2619</v>
      </c>
    </row>
    <row r="448" spans="2:9" s="56" customFormat="1" ht="120" customHeight="1" x14ac:dyDescent="0.35">
      <c r="B448" s="59">
        <v>681</v>
      </c>
      <c r="C448" s="71" t="s">
        <v>461</v>
      </c>
      <c r="D448" s="60" t="s">
        <v>2409</v>
      </c>
      <c r="E448" s="60" t="s">
        <v>2615</v>
      </c>
      <c r="F448" s="60" t="s">
        <v>2616</v>
      </c>
      <c r="G448" s="60" t="s">
        <v>2617</v>
      </c>
      <c r="H448" s="60" t="s">
        <v>2618</v>
      </c>
      <c r="I448" s="59" t="s">
        <v>2619</v>
      </c>
    </row>
    <row r="449" spans="2:9" s="56" customFormat="1" ht="120" customHeight="1" x14ac:dyDescent="0.35">
      <c r="B449" s="59">
        <v>682</v>
      </c>
      <c r="C449" s="71" t="s">
        <v>462</v>
      </c>
      <c r="D449" s="60" t="s">
        <v>2409</v>
      </c>
      <c r="E449" s="60" t="s">
        <v>2615</v>
      </c>
      <c r="F449" s="60" t="s">
        <v>2616</v>
      </c>
      <c r="G449" s="60" t="s">
        <v>2617</v>
      </c>
      <c r="H449" s="60" t="s">
        <v>2618</v>
      </c>
      <c r="I449" s="59" t="s">
        <v>2619</v>
      </c>
    </row>
    <row r="450" spans="2:9" s="56" customFormat="1" ht="120" customHeight="1" x14ac:dyDescent="0.35">
      <c r="B450" s="59">
        <v>683</v>
      </c>
      <c r="C450" s="71" t="s">
        <v>463</v>
      </c>
      <c r="D450" s="60" t="s">
        <v>2409</v>
      </c>
      <c r="E450" s="60" t="s">
        <v>2615</v>
      </c>
      <c r="F450" s="60" t="s">
        <v>2616</v>
      </c>
      <c r="G450" s="60" t="s">
        <v>2617</v>
      </c>
      <c r="H450" s="60" t="s">
        <v>2618</v>
      </c>
      <c r="I450" s="59" t="s">
        <v>2619</v>
      </c>
    </row>
    <row r="451" spans="2:9" s="56" customFormat="1" ht="120" customHeight="1" x14ac:dyDescent="0.35">
      <c r="B451" s="59">
        <v>700</v>
      </c>
      <c r="C451" s="71" t="s">
        <v>464</v>
      </c>
      <c r="D451" s="60" t="s">
        <v>2370</v>
      </c>
      <c r="E451" s="60" t="s">
        <v>2601</v>
      </c>
      <c r="F451" s="60" t="s">
        <v>2597</v>
      </c>
      <c r="G451" s="60" t="s">
        <v>2620</v>
      </c>
      <c r="H451" s="60" t="s">
        <v>2603</v>
      </c>
      <c r="I451" s="60" t="s">
        <v>2621</v>
      </c>
    </row>
    <row r="452" spans="2:9" s="56" customFormat="1" ht="120" customHeight="1" x14ac:dyDescent="0.35">
      <c r="B452" s="59">
        <v>701</v>
      </c>
      <c r="C452" s="71" t="s">
        <v>465</v>
      </c>
      <c r="D452" s="60" t="s">
        <v>2370</v>
      </c>
      <c r="E452" s="60" t="s">
        <v>2601</v>
      </c>
      <c r="F452" s="60" t="s">
        <v>2597</v>
      </c>
      <c r="G452" s="60" t="s">
        <v>2620</v>
      </c>
      <c r="H452" s="60" t="s">
        <v>2603</v>
      </c>
      <c r="I452" s="60" t="s">
        <v>2621</v>
      </c>
    </row>
    <row r="453" spans="2:9" s="56" customFormat="1" ht="120" customHeight="1" x14ac:dyDescent="0.35">
      <c r="B453" s="59">
        <v>702</v>
      </c>
      <c r="C453" s="71" t="s">
        <v>466</v>
      </c>
      <c r="D453" s="60" t="s">
        <v>2370</v>
      </c>
      <c r="E453" s="60" t="s">
        <v>2601</v>
      </c>
      <c r="F453" s="60" t="s">
        <v>2597</v>
      </c>
      <c r="G453" s="60" t="s">
        <v>2620</v>
      </c>
      <c r="H453" s="60" t="s">
        <v>2603</v>
      </c>
      <c r="I453" s="60" t="s">
        <v>2621</v>
      </c>
    </row>
    <row r="454" spans="2:9" s="56" customFormat="1" ht="120" customHeight="1" x14ac:dyDescent="0.35">
      <c r="B454" s="59">
        <v>704</v>
      </c>
      <c r="C454" s="71" t="s">
        <v>467</v>
      </c>
      <c r="D454" s="60" t="s">
        <v>2370</v>
      </c>
      <c r="E454" s="60" t="s">
        <v>2622</v>
      </c>
      <c r="F454" s="60" t="s">
        <v>2597</v>
      </c>
      <c r="G454" s="60" t="s">
        <v>2598</v>
      </c>
      <c r="H454" s="60" t="s">
        <v>2623</v>
      </c>
      <c r="I454" s="60" t="s">
        <v>2624</v>
      </c>
    </row>
    <row r="455" spans="2:9" s="56" customFormat="1" ht="120" customHeight="1" x14ac:dyDescent="0.35">
      <c r="B455" s="59">
        <v>708</v>
      </c>
      <c r="C455" s="71" t="s">
        <v>468</v>
      </c>
      <c r="D455" s="60" t="s">
        <v>2370</v>
      </c>
      <c r="E455" s="60" t="s">
        <v>2625</v>
      </c>
      <c r="F455" s="60" t="s">
        <v>2597</v>
      </c>
      <c r="G455" s="60" t="s">
        <v>2626</v>
      </c>
      <c r="H455" s="60" t="s">
        <v>2599</v>
      </c>
      <c r="I455" s="60" t="s">
        <v>2604</v>
      </c>
    </row>
    <row r="456" spans="2:9" s="56" customFormat="1" ht="120" customHeight="1" x14ac:dyDescent="0.35">
      <c r="B456" s="59">
        <v>709</v>
      </c>
      <c r="C456" s="71" t="s">
        <v>469</v>
      </c>
      <c r="D456" s="60" t="s">
        <v>2370</v>
      </c>
      <c r="E456" s="60" t="s">
        <v>2622</v>
      </c>
      <c r="F456" s="60" t="s">
        <v>2597</v>
      </c>
      <c r="G456" s="60" t="s">
        <v>2598</v>
      </c>
      <c r="H456" s="60" t="s">
        <v>2623</v>
      </c>
      <c r="I456" s="60" t="s">
        <v>2472</v>
      </c>
    </row>
    <row r="457" spans="2:9" s="56" customFormat="1" ht="120" customHeight="1" x14ac:dyDescent="0.35">
      <c r="B457" s="59">
        <v>710</v>
      </c>
      <c r="C457" s="71" t="s">
        <v>470</v>
      </c>
      <c r="D457" s="60" t="s">
        <v>2370</v>
      </c>
      <c r="E457" s="60" t="s">
        <v>2625</v>
      </c>
      <c r="F457" s="60" t="s">
        <v>2597</v>
      </c>
      <c r="G457" s="60" t="s">
        <v>2626</v>
      </c>
      <c r="H457" s="60" t="s">
        <v>2599</v>
      </c>
      <c r="I457" s="60" t="s">
        <v>2604</v>
      </c>
    </row>
    <row r="458" spans="2:9" s="56" customFormat="1" ht="120" customHeight="1" x14ac:dyDescent="0.35">
      <c r="B458" s="59">
        <v>714</v>
      </c>
      <c r="C458" s="71" t="s">
        <v>471</v>
      </c>
      <c r="D458" s="60" t="s">
        <v>2403</v>
      </c>
      <c r="E458" s="60"/>
      <c r="F458" s="60"/>
      <c r="G458" s="60"/>
      <c r="H458" s="60"/>
      <c r="I458" s="60"/>
    </row>
    <row r="459" spans="2:9" x14ac:dyDescent="0.35">
      <c r="B459" s="59">
        <v>716</v>
      </c>
      <c r="C459" s="71" t="s">
        <v>472</v>
      </c>
      <c r="D459" s="60" t="s">
        <v>2403</v>
      </c>
      <c r="E459" s="60"/>
      <c r="F459" s="60"/>
      <c r="G459" s="60"/>
      <c r="H459" s="60"/>
      <c r="I459" s="60"/>
    </row>
    <row r="460" spans="2:9" ht="409.5" x14ac:dyDescent="0.35">
      <c r="B460" s="59">
        <v>718</v>
      </c>
      <c r="C460" s="71" t="s">
        <v>473</v>
      </c>
      <c r="D460" s="60" t="s">
        <v>2403</v>
      </c>
      <c r="E460" s="60" t="s">
        <v>2596</v>
      </c>
      <c r="F460" s="60" t="s">
        <v>2597</v>
      </c>
      <c r="G460" s="60" t="s">
        <v>2598</v>
      </c>
      <c r="H460" s="60" t="s">
        <v>2599</v>
      </c>
      <c r="I460" s="60" t="s">
        <v>2600</v>
      </c>
    </row>
    <row r="461" spans="2:9" s="56" customFormat="1" ht="120" customHeight="1" x14ac:dyDescent="0.35">
      <c r="B461" s="59">
        <v>720</v>
      </c>
      <c r="C461" s="71" t="s">
        <v>474</v>
      </c>
      <c r="D461" s="60" t="s">
        <v>2403</v>
      </c>
      <c r="E461" s="60"/>
      <c r="F461" s="60"/>
      <c r="G461" s="60"/>
      <c r="H461" s="60"/>
      <c r="I461" s="60"/>
    </row>
    <row r="462" spans="2:9" ht="409.5" x14ac:dyDescent="0.35">
      <c r="B462" s="59">
        <v>722</v>
      </c>
      <c r="C462" s="71" t="s">
        <v>475</v>
      </c>
      <c r="D462" s="60" t="s">
        <v>2403</v>
      </c>
      <c r="E462" s="60" t="s">
        <v>2605</v>
      </c>
      <c r="F462" s="60" t="s">
        <v>2606</v>
      </c>
      <c r="G462" s="60" t="s">
        <v>2607</v>
      </c>
      <c r="H462" s="60" t="s">
        <v>2608</v>
      </c>
      <c r="I462" s="60" t="s">
        <v>2609</v>
      </c>
    </row>
    <row r="463" spans="2:9" s="56" customFormat="1" ht="120" customHeight="1" x14ac:dyDescent="0.35">
      <c r="B463" s="59">
        <v>724</v>
      </c>
      <c r="C463" s="71" t="s">
        <v>476</v>
      </c>
      <c r="D463" s="60" t="s">
        <v>2403</v>
      </c>
      <c r="E463" s="60"/>
      <c r="F463" s="60"/>
      <c r="G463" s="60"/>
      <c r="H463" s="60"/>
      <c r="I463" s="60"/>
    </row>
    <row r="464" spans="2:9" x14ac:dyDescent="0.35">
      <c r="B464" s="59">
        <v>726</v>
      </c>
      <c r="C464" s="71" t="s">
        <v>477</v>
      </c>
      <c r="D464" s="60" t="s">
        <v>2403</v>
      </c>
      <c r="E464" s="60"/>
      <c r="F464" s="60"/>
      <c r="G464" s="60"/>
      <c r="H464" s="60"/>
      <c r="I464" s="60"/>
    </row>
    <row r="465" spans="2:9" ht="409.5" x14ac:dyDescent="0.35">
      <c r="B465" s="59">
        <v>728</v>
      </c>
      <c r="C465" s="71" t="s">
        <v>478</v>
      </c>
      <c r="D465" s="60" t="s">
        <v>2370</v>
      </c>
      <c r="E465" s="60" t="s">
        <v>2627</v>
      </c>
      <c r="F465" s="60" t="s">
        <v>2628</v>
      </c>
      <c r="G465" s="60" t="s">
        <v>2629</v>
      </c>
      <c r="H465" s="60" t="s">
        <v>2608</v>
      </c>
      <c r="I465" s="60" t="s">
        <v>2630</v>
      </c>
    </row>
    <row r="466" spans="2:9" s="56" customFormat="1" ht="120" customHeight="1" x14ac:dyDescent="0.35">
      <c r="B466" s="59">
        <v>729</v>
      </c>
      <c r="C466" s="71" t="s">
        <v>479</v>
      </c>
      <c r="D466" s="60" t="s">
        <v>2370</v>
      </c>
      <c r="E466" s="60"/>
      <c r="F466" s="60"/>
      <c r="G466" s="60"/>
      <c r="H466" s="60"/>
      <c r="I466" s="60"/>
    </row>
    <row r="467" spans="2:9" ht="217.5" x14ac:dyDescent="0.35">
      <c r="B467" s="59">
        <v>730</v>
      </c>
      <c r="C467" s="71" t="s">
        <v>480</v>
      </c>
      <c r="D467" s="60" t="s">
        <v>2396</v>
      </c>
      <c r="E467" s="60" t="s">
        <v>2631</v>
      </c>
      <c r="F467" s="60" t="s">
        <v>2632</v>
      </c>
      <c r="G467" s="60" t="s">
        <v>2633</v>
      </c>
      <c r="H467" s="60" t="s">
        <v>2634</v>
      </c>
      <c r="I467" s="60" t="s">
        <v>2635</v>
      </c>
    </row>
    <row r="468" spans="2:9" s="56" customFormat="1" ht="120" customHeight="1" x14ac:dyDescent="0.35">
      <c r="B468" s="59">
        <v>731</v>
      </c>
      <c r="C468" s="71" t="s">
        <v>481</v>
      </c>
      <c r="D468" s="60" t="s">
        <v>2396</v>
      </c>
      <c r="E468" s="60" t="s">
        <v>2631</v>
      </c>
      <c r="F468" s="60" t="s">
        <v>2632</v>
      </c>
      <c r="G468" s="60" t="s">
        <v>2633</v>
      </c>
      <c r="H468" s="60" t="s">
        <v>2634</v>
      </c>
      <c r="I468" s="60" t="s">
        <v>2635</v>
      </c>
    </row>
    <row r="469" spans="2:9" s="56" customFormat="1" ht="120" customHeight="1" x14ac:dyDescent="0.35">
      <c r="B469" s="59">
        <v>732</v>
      </c>
      <c r="C469" s="71" t="s">
        <v>482</v>
      </c>
      <c r="D469" s="60" t="s">
        <v>2396</v>
      </c>
      <c r="E469" s="60" t="s">
        <v>2636</v>
      </c>
      <c r="F469" s="60" t="s">
        <v>2637</v>
      </c>
      <c r="G469" s="60" t="s">
        <v>2633</v>
      </c>
      <c r="H469" s="60" t="s">
        <v>2638</v>
      </c>
      <c r="I469" s="60" t="s">
        <v>2635</v>
      </c>
    </row>
    <row r="470" spans="2:9" s="56" customFormat="1" ht="120" customHeight="1" x14ac:dyDescent="0.35">
      <c r="B470" s="59">
        <v>733</v>
      </c>
      <c r="C470" s="71" t="s">
        <v>483</v>
      </c>
      <c r="D470" s="60" t="s">
        <v>2396</v>
      </c>
      <c r="E470" s="60"/>
      <c r="F470" s="60"/>
      <c r="G470" s="60"/>
      <c r="H470" s="60"/>
      <c r="I470" s="60"/>
    </row>
    <row r="471" spans="2:9" ht="232" x14ac:dyDescent="0.35">
      <c r="B471" s="59">
        <v>737</v>
      </c>
      <c r="C471" s="71" t="s">
        <v>484</v>
      </c>
      <c r="D471" s="60" t="s">
        <v>2387</v>
      </c>
      <c r="E471" s="60" t="s">
        <v>2639</v>
      </c>
      <c r="F471" s="60" t="s">
        <v>2640</v>
      </c>
      <c r="G471" s="60" t="s">
        <v>2641</v>
      </c>
      <c r="H471" s="60" t="s">
        <v>2642</v>
      </c>
      <c r="I471" s="60" t="s">
        <v>2643</v>
      </c>
    </row>
    <row r="472" spans="2:9" s="56" customFormat="1" ht="120" customHeight="1" x14ac:dyDescent="0.35">
      <c r="B472" s="61">
        <v>738</v>
      </c>
      <c r="C472" s="71" t="s">
        <v>485</v>
      </c>
      <c r="D472" s="60" t="s">
        <v>2387</v>
      </c>
      <c r="E472" s="60" t="s">
        <v>2639</v>
      </c>
      <c r="F472" s="60" t="s">
        <v>2640</v>
      </c>
      <c r="G472" s="60" t="s">
        <v>2644</v>
      </c>
      <c r="H472" s="60" t="s">
        <v>2645</v>
      </c>
      <c r="I472" s="60" t="s">
        <v>2646</v>
      </c>
    </row>
    <row r="473" spans="2:9" s="56" customFormat="1" ht="120" customHeight="1" x14ac:dyDescent="0.35">
      <c r="B473" s="61">
        <v>741</v>
      </c>
      <c r="C473" s="71" t="s">
        <v>486</v>
      </c>
      <c r="D473" s="60" t="s">
        <v>2419</v>
      </c>
      <c r="E473" s="60" t="s">
        <v>2647</v>
      </c>
      <c r="F473" s="60" t="s">
        <v>2648</v>
      </c>
      <c r="G473" s="60" t="s">
        <v>2649</v>
      </c>
      <c r="H473" s="60" t="s">
        <v>2650</v>
      </c>
      <c r="I473" s="60" t="s">
        <v>2651</v>
      </c>
    </row>
    <row r="474" spans="2:9" s="56" customFormat="1" ht="120" customHeight="1" x14ac:dyDescent="0.35">
      <c r="B474" s="61">
        <v>742</v>
      </c>
      <c r="C474" s="71" t="s">
        <v>487</v>
      </c>
      <c r="D474" s="60" t="s">
        <v>2419</v>
      </c>
      <c r="E474" s="60" t="s">
        <v>2647</v>
      </c>
      <c r="F474" s="60" t="s">
        <v>2648</v>
      </c>
      <c r="G474" s="60" t="s">
        <v>2649</v>
      </c>
      <c r="H474" s="60" t="s">
        <v>2650</v>
      </c>
      <c r="I474" s="60" t="s">
        <v>2651</v>
      </c>
    </row>
    <row r="475" spans="2:9" s="56" customFormat="1" ht="120" customHeight="1" x14ac:dyDescent="0.35">
      <c r="B475" s="61">
        <v>743</v>
      </c>
      <c r="C475" s="71" t="s">
        <v>488</v>
      </c>
      <c r="D475" s="60" t="s">
        <v>2419</v>
      </c>
      <c r="E475" s="60" t="s">
        <v>2647</v>
      </c>
      <c r="F475" s="60" t="s">
        <v>2648</v>
      </c>
      <c r="G475" s="60" t="s">
        <v>2649</v>
      </c>
      <c r="H475" s="60" t="s">
        <v>2650</v>
      </c>
      <c r="I475" s="60" t="s">
        <v>2651</v>
      </c>
    </row>
    <row r="476" spans="2:9" s="56" customFormat="1" ht="120" customHeight="1" x14ac:dyDescent="0.35">
      <c r="B476" s="61">
        <v>744</v>
      </c>
      <c r="C476" s="71" t="s">
        <v>489</v>
      </c>
      <c r="D476" s="60" t="s">
        <v>2419</v>
      </c>
      <c r="E476" s="60" t="s">
        <v>2647</v>
      </c>
      <c r="F476" s="60" t="s">
        <v>2648</v>
      </c>
      <c r="G476" s="60" t="s">
        <v>2649</v>
      </c>
      <c r="H476" s="60" t="s">
        <v>2650</v>
      </c>
      <c r="I476" s="60" t="s">
        <v>2651</v>
      </c>
    </row>
    <row r="477" spans="2:9" s="56" customFormat="1" ht="120" customHeight="1" x14ac:dyDescent="0.35">
      <c r="B477" s="59">
        <v>745</v>
      </c>
      <c r="C477" s="71" t="s">
        <v>490</v>
      </c>
      <c r="D477" s="60" t="s">
        <v>2419</v>
      </c>
      <c r="E477" s="60" t="s">
        <v>2647</v>
      </c>
      <c r="F477" s="60" t="s">
        <v>2648</v>
      </c>
      <c r="G477" s="60" t="s">
        <v>2649</v>
      </c>
      <c r="H477" s="60" t="s">
        <v>2650</v>
      </c>
      <c r="I477" s="60" t="s">
        <v>2651</v>
      </c>
    </row>
    <row r="478" spans="2:9" s="56" customFormat="1" ht="120" customHeight="1" x14ac:dyDescent="0.35">
      <c r="B478" s="59">
        <v>750</v>
      </c>
      <c r="C478" s="71" t="s">
        <v>491</v>
      </c>
      <c r="D478" s="60" t="s">
        <v>492</v>
      </c>
      <c r="E478" s="60" t="s">
        <v>2652</v>
      </c>
      <c r="F478" s="60" t="s">
        <v>2653</v>
      </c>
      <c r="G478" s="60" t="s">
        <v>2654</v>
      </c>
      <c r="H478" s="60" t="s">
        <v>2655</v>
      </c>
      <c r="I478" s="60" t="s">
        <v>2656</v>
      </c>
    </row>
    <row r="479" spans="2:9" s="56" customFormat="1" ht="120" customHeight="1" x14ac:dyDescent="0.35">
      <c r="B479" s="59">
        <v>751</v>
      </c>
      <c r="C479" s="71" t="s">
        <v>492</v>
      </c>
      <c r="D479" s="60" t="s">
        <v>492</v>
      </c>
      <c r="E479" s="60"/>
      <c r="F479" s="60"/>
      <c r="G479" s="60"/>
      <c r="H479" s="60"/>
      <c r="I479" s="60"/>
    </row>
    <row r="480" spans="2:9" x14ac:dyDescent="0.35">
      <c r="B480" s="59">
        <v>752</v>
      </c>
      <c r="C480" s="71" t="s">
        <v>493</v>
      </c>
      <c r="D480" s="60" t="s">
        <v>2398</v>
      </c>
      <c r="E480" s="60"/>
      <c r="F480" s="60"/>
      <c r="G480" s="60"/>
      <c r="H480" s="60"/>
      <c r="I480" s="60"/>
    </row>
    <row r="481" spans="2:9" ht="232" x14ac:dyDescent="0.35">
      <c r="B481" s="59">
        <v>753</v>
      </c>
      <c r="C481" s="71" t="s">
        <v>494</v>
      </c>
      <c r="D481" s="60" t="s">
        <v>2398</v>
      </c>
      <c r="E481" s="60" t="s">
        <v>2657</v>
      </c>
      <c r="F481" s="60" t="s">
        <v>2658</v>
      </c>
      <c r="G481" s="60" t="s">
        <v>2659</v>
      </c>
      <c r="H481" s="60" t="s">
        <v>2660</v>
      </c>
      <c r="I481" s="60" t="s">
        <v>2661</v>
      </c>
    </row>
    <row r="482" spans="2:9" s="56" customFormat="1" ht="120" customHeight="1" x14ac:dyDescent="0.35">
      <c r="B482" s="59">
        <v>770</v>
      </c>
      <c r="C482" s="71" t="s">
        <v>495</v>
      </c>
      <c r="D482" s="60" t="s">
        <v>2385</v>
      </c>
      <c r="E482" s="60" t="s">
        <v>2662</v>
      </c>
      <c r="F482" s="60" t="s">
        <v>2663</v>
      </c>
      <c r="G482" s="60" t="s">
        <v>2664</v>
      </c>
      <c r="H482" s="60" t="s">
        <v>2665</v>
      </c>
      <c r="I482" s="60" t="s">
        <v>2666</v>
      </c>
    </row>
    <row r="483" spans="2:9" s="56" customFormat="1" ht="120" customHeight="1" x14ac:dyDescent="0.35">
      <c r="B483" s="59">
        <v>771</v>
      </c>
      <c r="C483" s="71" t="s">
        <v>496</v>
      </c>
      <c r="D483" s="60" t="s">
        <v>2385</v>
      </c>
      <c r="E483" s="60" t="s">
        <v>2662</v>
      </c>
      <c r="F483" s="60" t="s">
        <v>2663</v>
      </c>
      <c r="G483" s="60" t="s">
        <v>2664</v>
      </c>
      <c r="H483" s="60" t="s">
        <v>2665</v>
      </c>
      <c r="I483" s="60" t="s">
        <v>2666</v>
      </c>
    </row>
    <row r="484" spans="2:9" s="56" customFormat="1" ht="120" customHeight="1" x14ac:dyDescent="0.35">
      <c r="B484" s="59">
        <v>772</v>
      </c>
      <c r="C484" s="71" t="s">
        <v>497</v>
      </c>
      <c r="D484" s="60" t="s">
        <v>2385</v>
      </c>
      <c r="E484" s="60" t="s">
        <v>2662</v>
      </c>
      <c r="F484" s="60" t="s">
        <v>2663</v>
      </c>
      <c r="G484" s="60" t="s">
        <v>2664</v>
      </c>
      <c r="H484" s="60" t="s">
        <v>2665</v>
      </c>
      <c r="I484" s="60" t="s">
        <v>2666</v>
      </c>
    </row>
    <row r="485" spans="2:9" s="56" customFormat="1" ht="120" customHeight="1" x14ac:dyDescent="0.35">
      <c r="B485" s="59">
        <v>773</v>
      </c>
      <c r="C485" s="71" t="s">
        <v>498</v>
      </c>
      <c r="D485" s="60" t="s">
        <v>2385</v>
      </c>
      <c r="E485" s="60" t="s">
        <v>2662</v>
      </c>
      <c r="F485" s="60" t="s">
        <v>2663</v>
      </c>
      <c r="G485" s="60" t="s">
        <v>2664</v>
      </c>
      <c r="H485" s="60" t="s">
        <v>2665</v>
      </c>
      <c r="I485" s="60" t="s">
        <v>2666</v>
      </c>
    </row>
    <row r="486" spans="2:9" s="56" customFormat="1" ht="120" customHeight="1" x14ac:dyDescent="0.35">
      <c r="B486" s="59">
        <v>777</v>
      </c>
      <c r="C486" s="71" t="s">
        <v>499</v>
      </c>
      <c r="D486" s="60" t="s">
        <v>2375</v>
      </c>
      <c r="E486" s="60"/>
      <c r="F486" s="60"/>
      <c r="G486" s="60"/>
      <c r="H486" s="60"/>
      <c r="I486" s="60"/>
    </row>
    <row r="487" spans="2:9" x14ac:dyDescent="0.35">
      <c r="B487" s="59">
        <v>778</v>
      </c>
      <c r="C487" s="71" t="s">
        <v>500</v>
      </c>
      <c r="D487" s="60" t="s">
        <v>2375</v>
      </c>
      <c r="E487" s="60"/>
      <c r="F487" s="60"/>
      <c r="G487" s="60"/>
      <c r="H487" s="60"/>
      <c r="I487" s="60"/>
    </row>
    <row r="488" spans="2:9" x14ac:dyDescent="0.35">
      <c r="B488" s="59">
        <v>779</v>
      </c>
      <c r="C488" s="71" t="s">
        <v>501</v>
      </c>
      <c r="D488" s="60" t="s">
        <v>2375</v>
      </c>
      <c r="E488" s="60"/>
      <c r="F488" s="60"/>
      <c r="G488" s="60"/>
      <c r="H488" s="60"/>
      <c r="I488" s="60"/>
    </row>
    <row r="489" spans="2:9" x14ac:dyDescent="0.35">
      <c r="B489" s="59">
        <v>780</v>
      </c>
      <c r="C489" s="71" t="s">
        <v>502</v>
      </c>
      <c r="D489" s="60" t="s">
        <v>2375</v>
      </c>
      <c r="E489" s="60"/>
      <c r="F489" s="60"/>
      <c r="G489" s="60"/>
      <c r="H489" s="60"/>
      <c r="I489" s="60"/>
    </row>
    <row r="490" spans="2:9" ht="188.5" x14ac:dyDescent="0.35">
      <c r="B490" s="59">
        <v>781</v>
      </c>
      <c r="C490" s="71" t="s">
        <v>503</v>
      </c>
      <c r="D490" s="60" t="s">
        <v>2402</v>
      </c>
      <c r="E490" s="60" t="s">
        <v>2667</v>
      </c>
      <c r="F490" s="60" t="s">
        <v>2668</v>
      </c>
      <c r="G490" s="60" t="s">
        <v>2669</v>
      </c>
      <c r="H490" s="60" t="s">
        <v>2670</v>
      </c>
      <c r="I490" s="60" t="s">
        <v>2671</v>
      </c>
    </row>
    <row r="491" spans="2:9" s="56" customFormat="1" ht="120" customHeight="1" x14ac:dyDescent="0.35">
      <c r="B491" s="59">
        <v>784</v>
      </c>
      <c r="C491" s="71" t="s">
        <v>504</v>
      </c>
      <c r="D491" s="60" t="s">
        <v>2375</v>
      </c>
      <c r="E491" s="60"/>
      <c r="F491" s="60"/>
      <c r="G491" s="60"/>
      <c r="H491" s="60"/>
      <c r="I491" s="60"/>
    </row>
    <row r="492" spans="2:9" ht="246.5" x14ac:dyDescent="0.35">
      <c r="B492" s="59">
        <v>786</v>
      </c>
      <c r="C492" s="71" t="s">
        <v>505</v>
      </c>
      <c r="D492" s="60" t="s">
        <v>2375</v>
      </c>
      <c r="E492" s="60" t="s">
        <v>2667</v>
      </c>
      <c r="F492" s="60" t="s">
        <v>2668</v>
      </c>
      <c r="G492" s="60" t="s">
        <v>2672</v>
      </c>
      <c r="H492" s="60" t="s">
        <v>2673</v>
      </c>
      <c r="I492" s="60" t="s">
        <v>2674</v>
      </c>
    </row>
    <row r="493" spans="2:9" s="56" customFormat="1" ht="120" customHeight="1" x14ac:dyDescent="0.35">
      <c r="B493" s="59">
        <v>787</v>
      </c>
      <c r="C493" s="71" t="s">
        <v>506</v>
      </c>
      <c r="D493" s="60" t="s">
        <v>2375</v>
      </c>
      <c r="E493" s="60" t="s">
        <v>2667</v>
      </c>
      <c r="F493" s="60" t="s">
        <v>2668</v>
      </c>
      <c r="G493" s="60" t="s">
        <v>2675</v>
      </c>
      <c r="H493" s="60" t="s">
        <v>2673</v>
      </c>
      <c r="I493" s="60" t="s">
        <v>2674</v>
      </c>
    </row>
    <row r="494" spans="2:9" s="56" customFormat="1" ht="120" customHeight="1" x14ac:dyDescent="0.35">
      <c r="B494" s="59">
        <v>788</v>
      </c>
      <c r="C494" s="71" t="s">
        <v>507</v>
      </c>
      <c r="D494" s="60" t="s">
        <v>2375</v>
      </c>
      <c r="E494" s="60" t="s">
        <v>2667</v>
      </c>
      <c r="F494" s="60" t="s">
        <v>2676</v>
      </c>
      <c r="G494" s="60" t="s">
        <v>2677</v>
      </c>
      <c r="H494" s="60" t="s">
        <v>2678</v>
      </c>
      <c r="I494" s="60" t="s">
        <v>2674</v>
      </c>
    </row>
    <row r="495" spans="2:9" s="56" customFormat="1" ht="120" customHeight="1" x14ac:dyDescent="0.35">
      <c r="B495" s="59">
        <v>790</v>
      </c>
      <c r="C495" s="71" t="s">
        <v>508</v>
      </c>
      <c r="D495" s="60" t="s">
        <v>2397</v>
      </c>
      <c r="E495" s="60" t="s">
        <v>2679</v>
      </c>
      <c r="F495" s="60" t="s">
        <v>2923</v>
      </c>
      <c r="G495" s="60" t="s">
        <v>2680</v>
      </c>
      <c r="H495" s="60" t="s">
        <v>2681</v>
      </c>
      <c r="I495" s="60" t="s">
        <v>2682</v>
      </c>
    </row>
    <row r="496" spans="2:9" s="56" customFormat="1" ht="120" customHeight="1" x14ac:dyDescent="0.35">
      <c r="B496" s="59">
        <v>791</v>
      </c>
      <c r="C496" s="71" t="s">
        <v>509</v>
      </c>
      <c r="D496" s="60" t="s">
        <v>2397</v>
      </c>
      <c r="E496" s="60" t="s">
        <v>2679</v>
      </c>
      <c r="F496" s="60" t="s">
        <v>2923</v>
      </c>
      <c r="G496" s="60" t="s">
        <v>2680</v>
      </c>
      <c r="H496" s="60" t="s">
        <v>2681</v>
      </c>
      <c r="I496" s="60" t="s">
        <v>2682</v>
      </c>
    </row>
    <row r="497" spans="2:9" s="56" customFormat="1" ht="120" customHeight="1" x14ac:dyDescent="0.35">
      <c r="B497" s="59">
        <v>792</v>
      </c>
      <c r="C497" s="71" t="s">
        <v>510</v>
      </c>
      <c r="D497" s="60" t="s">
        <v>2397</v>
      </c>
      <c r="E497" s="60" t="s">
        <v>2683</v>
      </c>
      <c r="F497" s="60" t="s">
        <v>2684</v>
      </c>
      <c r="G497" s="60" t="s">
        <v>2685</v>
      </c>
      <c r="H497" s="60" t="s">
        <v>2686</v>
      </c>
      <c r="I497" s="60" t="s">
        <v>2687</v>
      </c>
    </row>
    <row r="498" spans="2:9" s="56" customFormat="1" ht="120" customHeight="1" x14ac:dyDescent="0.35">
      <c r="B498" s="59">
        <v>793</v>
      </c>
      <c r="C498" s="71" t="s">
        <v>511</v>
      </c>
      <c r="D498" s="60" t="s">
        <v>2397</v>
      </c>
      <c r="E498" s="60" t="s">
        <v>2688</v>
      </c>
      <c r="F498" s="60" t="s">
        <v>2689</v>
      </c>
      <c r="G498" s="60" t="s">
        <v>2690</v>
      </c>
      <c r="H498" s="60" t="s">
        <v>2691</v>
      </c>
      <c r="I498" s="60" t="s">
        <v>2692</v>
      </c>
    </row>
    <row r="499" spans="2:9" s="56" customFormat="1" ht="120" customHeight="1" x14ac:dyDescent="0.35">
      <c r="B499" s="59">
        <v>794</v>
      </c>
      <c r="C499" s="71" t="s">
        <v>512</v>
      </c>
      <c r="D499" s="60" t="s">
        <v>2397</v>
      </c>
      <c r="E499" s="60" t="s">
        <v>2693</v>
      </c>
      <c r="F499" s="60" t="s">
        <v>2694</v>
      </c>
      <c r="G499" s="60" t="s">
        <v>2695</v>
      </c>
      <c r="H499" s="60" t="s">
        <v>2696</v>
      </c>
      <c r="I499" s="60" t="s">
        <v>2697</v>
      </c>
    </row>
    <row r="500" spans="2:9" s="56" customFormat="1" ht="120" customHeight="1" x14ac:dyDescent="0.35">
      <c r="B500" s="59">
        <v>798</v>
      </c>
      <c r="C500" s="71" t="s">
        <v>513</v>
      </c>
      <c r="D500" s="60" t="s">
        <v>2421</v>
      </c>
      <c r="E500" s="60"/>
      <c r="F500" s="60"/>
      <c r="G500" s="60"/>
      <c r="H500" s="60"/>
      <c r="I500" s="60"/>
    </row>
    <row r="501" spans="2:9" ht="174" x14ac:dyDescent="0.35">
      <c r="B501" s="59">
        <v>806</v>
      </c>
      <c r="C501" s="71" t="s">
        <v>514</v>
      </c>
      <c r="D501" s="60" t="s">
        <v>2387</v>
      </c>
      <c r="E501" s="60" t="s">
        <v>2698</v>
      </c>
      <c r="F501" s="60" t="s">
        <v>2699</v>
      </c>
      <c r="G501" s="60" t="s">
        <v>2700</v>
      </c>
      <c r="H501" s="60" t="s">
        <v>2701</v>
      </c>
      <c r="I501" s="60" t="s">
        <v>2702</v>
      </c>
    </row>
    <row r="502" spans="2:9" s="56" customFormat="1" ht="120" customHeight="1" x14ac:dyDescent="0.35">
      <c r="B502" s="59">
        <v>807</v>
      </c>
      <c r="C502" s="71" t="s">
        <v>515</v>
      </c>
      <c r="D502" s="60" t="s">
        <v>2387</v>
      </c>
      <c r="E502" s="60" t="s">
        <v>2698</v>
      </c>
      <c r="F502" s="60" t="s">
        <v>2699</v>
      </c>
      <c r="G502" s="60" t="s">
        <v>2700</v>
      </c>
      <c r="H502" s="60" t="s">
        <v>2701</v>
      </c>
      <c r="I502" s="60" t="s">
        <v>2702</v>
      </c>
    </row>
    <row r="503" spans="2:9" s="56" customFormat="1" ht="120" customHeight="1" x14ac:dyDescent="0.35">
      <c r="B503" s="59">
        <v>808</v>
      </c>
      <c r="C503" s="71" t="s">
        <v>516</v>
      </c>
      <c r="D503" s="60" t="s">
        <v>2387</v>
      </c>
      <c r="E503" s="60" t="s">
        <v>2698</v>
      </c>
      <c r="F503" s="60" t="s">
        <v>2699</v>
      </c>
      <c r="G503" s="60" t="s">
        <v>2700</v>
      </c>
      <c r="H503" s="60" t="s">
        <v>2701</v>
      </c>
      <c r="I503" s="60" t="s">
        <v>2702</v>
      </c>
    </row>
    <row r="504" spans="2:9" s="56" customFormat="1" ht="120" customHeight="1" x14ac:dyDescent="0.35">
      <c r="B504" s="59">
        <v>809</v>
      </c>
      <c r="C504" s="71" t="s">
        <v>517</v>
      </c>
      <c r="D504" s="60" t="s">
        <v>2387</v>
      </c>
      <c r="E504" s="60" t="s">
        <v>2703</v>
      </c>
      <c r="F504" s="60" t="s">
        <v>2676</v>
      </c>
      <c r="G504" s="60" t="s">
        <v>2700</v>
      </c>
      <c r="H504" s="60" t="s">
        <v>2704</v>
      </c>
      <c r="I504" s="60" t="s">
        <v>2705</v>
      </c>
    </row>
    <row r="505" spans="2:9" s="56" customFormat="1" ht="120" customHeight="1" x14ac:dyDescent="0.35">
      <c r="B505" s="59">
        <v>810</v>
      </c>
      <c r="C505" s="71" t="s">
        <v>518</v>
      </c>
      <c r="D505" s="60" t="s">
        <v>2387</v>
      </c>
      <c r="E505" s="60" t="s">
        <v>2703</v>
      </c>
      <c r="F505" s="60" t="s">
        <v>2676</v>
      </c>
      <c r="G505" s="60" t="s">
        <v>2700</v>
      </c>
      <c r="H505" s="60" t="s">
        <v>2704</v>
      </c>
      <c r="I505" s="60" t="s">
        <v>2705</v>
      </c>
    </row>
    <row r="506" spans="2:9" s="56" customFormat="1" ht="120" customHeight="1" x14ac:dyDescent="0.35">
      <c r="B506" s="59">
        <v>811</v>
      </c>
      <c r="C506" s="71" t="s">
        <v>519</v>
      </c>
      <c r="D506" s="60" t="s">
        <v>2387</v>
      </c>
      <c r="E506" s="60" t="s">
        <v>2706</v>
      </c>
      <c r="F506" s="60" t="s">
        <v>2676</v>
      </c>
      <c r="G506" s="60" t="s">
        <v>2700</v>
      </c>
      <c r="H506" s="60" t="s">
        <v>2707</v>
      </c>
      <c r="I506" s="60" t="s">
        <v>2708</v>
      </c>
    </row>
    <row r="507" spans="2:9" s="56" customFormat="1" ht="120" customHeight="1" x14ac:dyDescent="0.35">
      <c r="B507" s="59">
        <v>812</v>
      </c>
      <c r="C507" s="71" t="s">
        <v>520</v>
      </c>
      <c r="D507" s="60" t="s">
        <v>2387</v>
      </c>
      <c r="E507" s="60" t="s">
        <v>2706</v>
      </c>
      <c r="F507" s="60" t="s">
        <v>2676</v>
      </c>
      <c r="G507" s="60" t="s">
        <v>2700</v>
      </c>
      <c r="H507" s="60" t="s">
        <v>2707</v>
      </c>
      <c r="I507" s="60" t="s">
        <v>2708</v>
      </c>
    </row>
    <row r="508" spans="2:9" s="56" customFormat="1" ht="120" customHeight="1" x14ac:dyDescent="0.35">
      <c r="B508" s="59">
        <v>813</v>
      </c>
      <c r="C508" s="71" t="s">
        <v>521</v>
      </c>
      <c r="D508" s="60" t="s">
        <v>2387</v>
      </c>
      <c r="E508" s="60" t="s">
        <v>2709</v>
      </c>
      <c r="F508" s="60" t="s">
        <v>2925</v>
      </c>
      <c r="G508" s="60" t="s">
        <v>2700</v>
      </c>
      <c r="H508" s="60" t="s">
        <v>2710</v>
      </c>
      <c r="I508" s="60" t="s">
        <v>2711</v>
      </c>
    </row>
    <row r="509" spans="2:9" s="56" customFormat="1" ht="120" customHeight="1" x14ac:dyDescent="0.35">
      <c r="B509" s="59">
        <v>814</v>
      </c>
      <c r="C509" s="71" t="s">
        <v>522</v>
      </c>
      <c r="D509" s="60" t="s">
        <v>2387</v>
      </c>
      <c r="E509" s="60" t="s">
        <v>2712</v>
      </c>
      <c r="F509" s="60" t="s">
        <v>2713</v>
      </c>
      <c r="G509" s="60" t="s">
        <v>2700</v>
      </c>
      <c r="H509" s="60" t="s">
        <v>2714</v>
      </c>
      <c r="I509" s="60" t="s">
        <v>2715</v>
      </c>
    </row>
    <row r="510" spans="2:9" s="56" customFormat="1" ht="120" customHeight="1" x14ac:dyDescent="0.35">
      <c r="B510" s="59">
        <v>815</v>
      </c>
      <c r="C510" s="71" t="s">
        <v>523</v>
      </c>
      <c r="D510" s="60" t="s">
        <v>2387</v>
      </c>
      <c r="E510" s="60"/>
      <c r="F510" s="60"/>
      <c r="G510" s="60"/>
      <c r="H510" s="60"/>
      <c r="I510" s="60"/>
    </row>
    <row r="511" spans="2:9" x14ac:dyDescent="0.35">
      <c r="B511" s="59">
        <v>816</v>
      </c>
      <c r="C511" s="71" t="s">
        <v>524</v>
      </c>
      <c r="D511" s="60" t="s">
        <v>2387</v>
      </c>
      <c r="E511" s="60"/>
      <c r="F511" s="60"/>
      <c r="G511" s="60"/>
      <c r="H511" s="60"/>
      <c r="I511" s="60"/>
    </row>
    <row r="512" spans="2:9" ht="217.5" x14ac:dyDescent="0.35">
      <c r="B512" s="59">
        <v>817</v>
      </c>
      <c r="C512" s="71" t="s">
        <v>525</v>
      </c>
      <c r="D512" s="60" t="s">
        <v>2387</v>
      </c>
      <c r="E512" s="60" t="s">
        <v>2716</v>
      </c>
      <c r="F512" s="60" t="s">
        <v>2676</v>
      </c>
      <c r="G512" s="60" t="s">
        <v>2717</v>
      </c>
      <c r="H512" s="60" t="s">
        <v>2642</v>
      </c>
      <c r="I512" s="60" t="s">
        <v>2718</v>
      </c>
    </row>
    <row r="513" spans="2:9" s="56" customFormat="1" ht="120" customHeight="1" x14ac:dyDescent="0.35">
      <c r="B513" s="61">
        <v>822</v>
      </c>
      <c r="C513" s="71" t="s">
        <v>526</v>
      </c>
      <c r="D513" s="60" t="s">
        <v>2420</v>
      </c>
      <c r="E513" s="60" t="s">
        <v>2719</v>
      </c>
      <c r="F513" s="60" t="s">
        <v>2676</v>
      </c>
      <c r="G513" s="60" t="s">
        <v>2720</v>
      </c>
      <c r="H513" s="60" t="s">
        <v>2721</v>
      </c>
      <c r="I513" s="60" t="s">
        <v>2722</v>
      </c>
    </row>
    <row r="514" spans="2:9" s="56" customFormat="1" ht="120" customHeight="1" x14ac:dyDescent="0.35">
      <c r="B514" s="61">
        <v>836</v>
      </c>
      <c r="C514" s="71" t="s">
        <v>1025</v>
      </c>
      <c r="D514" s="63" t="s">
        <v>2374</v>
      </c>
      <c r="E514" s="60"/>
      <c r="F514" s="60"/>
      <c r="G514" s="60"/>
      <c r="H514" s="60"/>
      <c r="I514" s="60" t="s">
        <v>2723</v>
      </c>
    </row>
    <row r="515" spans="2:9" x14ac:dyDescent="0.35">
      <c r="B515" s="61">
        <v>837</v>
      </c>
      <c r="C515" s="71" t="s">
        <v>1026</v>
      </c>
      <c r="D515" s="63" t="s">
        <v>2374</v>
      </c>
      <c r="E515" s="60"/>
      <c r="F515" s="60"/>
      <c r="G515" s="60"/>
      <c r="H515" s="60"/>
      <c r="I515" s="60" t="s">
        <v>2723</v>
      </c>
    </row>
    <row r="516" spans="2:9" x14ac:dyDescent="0.35">
      <c r="B516" s="61">
        <v>838</v>
      </c>
      <c r="C516" s="71" t="s">
        <v>1027</v>
      </c>
      <c r="D516" s="63" t="s">
        <v>2374</v>
      </c>
      <c r="E516" s="60"/>
      <c r="F516" s="60"/>
      <c r="G516" s="60"/>
      <c r="H516" s="60"/>
      <c r="I516" s="60" t="s">
        <v>2723</v>
      </c>
    </row>
    <row r="517" spans="2:9" x14ac:dyDescent="0.35">
      <c r="B517" s="61">
        <v>839</v>
      </c>
      <c r="C517" s="71" t="s">
        <v>1028</v>
      </c>
      <c r="D517" s="63" t="s">
        <v>2374</v>
      </c>
      <c r="E517" s="60"/>
      <c r="F517" s="60"/>
      <c r="G517" s="60"/>
      <c r="H517" s="60"/>
      <c r="I517" s="60" t="s">
        <v>2723</v>
      </c>
    </row>
    <row r="518" spans="2:9" x14ac:dyDescent="0.35">
      <c r="B518" s="61">
        <v>840</v>
      </c>
      <c r="C518" s="71" t="s">
        <v>1029</v>
      </c>
      <c r="D518" s="63" t="s">
        <v>2374</v>
      </c>
      <c r="E518" s="60"/>
      <c r="F518" s="60"/>
      <c r="G518" s="60"/>
      <c r="H518" s="60"/>
      <c r="I518" s="60"/>
    </row>
    <row r="519" spans="2:9" x14ac:dyDescent="0.35">
      <c r="B519" s="59">
        <v>841</v>
      </c>
      <c r="C519" s="71" t="s">
        <v>1030</v>
      </c>
      <c r="D519" s="63" t="s">
        <v>2374</v>
      </c>
      <c r="E519" s="60"/>
      <c r="F519" s="60"/>
      <c r="G519" s="60"/>
      <c r="H519" s="60"/>
      <c r="I519" s="60"/>
    </row>
    <row r="520" spans="2:9" ht="174" x14ac:dyDescent="0.35">
      <c r="B520" s="59">
        <v>859</v>
      </c>
      <c r="C520" s="71" t="s">
        <v>527</v>
      </c>
      <c r="D520" s="60" t="s">
        <v>2401</v>
      </c>
      <c r="E520" s="60" t="s">
        <v>2724</v>
      </c>
      <c r="F520" s="60" t="s">
        <v>2725</v>
      </c>
      <c r="G520" s="60" t="s">
        <v>2926</v>
      </c>
      <c r="H520" s="60" t="s">
        <v>2726</v>
      </c>
      <c r="I520" s="60" t="s">
        <v>2727</v>
      </c>
    </row>
    <row r="521" spans="2:9" s="56" customFormat="1" ht="120" customHeight="1" x14ac:dyDescent="0.35">
      <c r="B521" s="59">
        <v>860</v>
      </c>
      <c r="C521" s="71" t="s">
        <v>528</v>
      </c>
      <c r="D521" s="60" t="s">
        <v>2401</v>
      </c>
      <c r="E521" s="60" t="s">
        <v>2724</v>
      </c>
      <c r="F521" s="60" t="s">
        <v>2725</v>
      </c>
      <c r="G521" s="60" t="s">
        <v>2926</v>
      </c>
      <c r="H521" s="60" t="s">
        <v>2726</v>
      </c>
      <c r="I521" s="60" t="s">
        <v>2727</v>
      </c>
    </row>
    <row r="522" spans="2:9" s="56" customFormat="1" ht="120" customHeight="1" x14ac:dyDescent="0.35">
      <c r="B522" s="59">
        <v>861</v>
      </c>
      <c r="C522" s="71" t="s">
        <v>529</v>
      </c>
      <c r="D522" s="60" t="s">
        <v>2401</v>
      </c>
      <c r="E522" s="60" t="s">
        <v>2724</v>
      </c>
      <c r="F522" s="60" t="s">
        <v>2725</v>
      </c>
      <c r="G522" s="60" t="s">
        <v>2926</v>
      </c>
      <c r="H522" s="60" t="s">
        <v>2726</v>
      </c>
      <c r="I522" s="60" t="s">
        <v>2727</v>
      </c>
    </row>
    <row r="523" spans="2:9" s="56" customFormat="1" ht="120" customHeight="1" x14ac:dyDescent="0.35">
      <c r="B523" s="59">
        <v>862</v>
      </c>
      <c r="C523" s="71" t="s">
        <v>530</v>
      </c>
      <c r="D523" s="60" t="s">
        <v>2401</v>
      </c>
      <c r="E523" s="60" t="s">
        <v>2724</v>
      </c>
      <c r="F523" s="60" t="s">
        <v>2725</v>
      </c>
      <c r="G523" s="60" t="s">
        <v>2926</v>
      </c>
      <c r="H523" s="60" t="s">
        <v>2726</v>
      </c>
      <c r="I523" s="60" t="s">
        <v>2727</v>
      </c>
    </row>
    <row r="524" spans="2:9" s="56" customFormat="1" ht="120" customHeight="1" x14ac:dyDescent="0.35">
      <c r="B524" s="59">
        <v>870</v>
      </c>
      <c r="C524" s="71" t="s">
        <v>531</v>
      </c>
      <c r="D524" s="60" t="s">
        <v>2371</v>
      </c>
      <c r="E524" s="60"/>
      <c r="F524" s="60"/>
      <c r="G524" s="60"/>
      <c r="H524" s="60"/>
      <c r="I524" s="60"/>
    </row>
    <row r="525" spans="2:9" x14ac:dyDescent="0.35">
      <c r="B525" s="59">
        <v>872</v>
      </c>
      <c r="C525" s="71" t="s">
        <v>532</v>
      </c>
      <c r="D525" s="60" t="s">
        <v>2371</v>
      </c>
      <c r="E525" s="60"/>
      <c r="F525" s="60"/>
      <c r="G525" s="60"/>
      <c r="H525" s="60"/>
      <c r="I525" s="60"/>
    </row>
    <row r="526" spans="2:9" x14ac:dyDescent="0.35">
      <c r="B526" s="59">
        <v>873</v>
      </c>
      <c r="C526" s="71" t="s">
        <v>533</v>
      </c>
      <c r="D526" s="60" t="s">
        <v>2371</v>
      </c>
      <c r="E526" s="60"/>
      <c r="F526" s="60"/>
      <c r="G526" s="60"/>
      <c r="H526" s="60"/>
      <c r="I526" s="60"/>
    </row>
    <row r="527" spans="2:9" x14ac:dyDescent="0.35">
      <c r="B527" s="59">
        <v>874</v>
      </c>
      <c r="C527" s="71" t="s">
        <v>534</v>
      </c>
      <c r="D527" s="60" t="s">
        <v>2371</v>
      </c>
      <c r="E527" s="60"/>
      <c r="F527" s="60"/>
      <c r="G527" s="60"/>
      <c r="H527" s="60"/>
      <c r="I527" s="60"/>
    </row>
    <row r="528" spans="2:9" x14ac:dyDescent="0.35">
      <c r="B528" s="59">
        <v>875</v>
      </c>
      <c r="C528" s="71" t="s">
        <v>535</v>
      </c>
      <c r="D528" s="60" t="s">
        <v>2376</v>
      </c>
      <c r="E528" s="60"/>
      <c r="F528" s="60"/>
      <c r="G528" s="60"/>
      <c r="H528" s="60"/>
      <c r="I528" s="60"/>
    </row>
    <row r="529" spans="2:9" x14ac:dyDescent="0.35">
      <c r="B529" s="59">
        <v>876</v>
      </c>
      <c r="C529" s="71" t="s">
        <v>536</v>
      </c>
      <c r="D529" s="60" t="s">
        <v>2376</v>
      </c>
      <c r="E529" s="60"/>
      <c r="F529" s="60"/>
      <c r="G529" s="60"/>
      <c r="H529" s="60"/>
      <c r="I529" s="60"/>
    </row>
    <row r="530" spans="2:9" x14ac:dyDescent="0.35">
      <c r="B530" s="59">
        <v>904</v>
      </c>
      <c r="C530" s="71" t="s">
        <v>537</v>
      </c>
      <c r="D530" s="60" t="s">
        <v>2394</v>
      </c>
      <c r="E530" s="60"/>
      <c r="F530" s="60"/>
      <c r="G530" s="60"/>
      <c r="H530" s="60"/>
      <c r="I530" s="60"/>
    </row>
    <row r="531" spans="2:9" x14ac:dyDescent="0.35">
      <c r="B531" s="59">
        <v>906</v>
      </c>
      <c r="C531" s="71" t="s">
        <v>2475</v>
      </c>
      <c r="D531" s="60" t="s">
        <v>2394</v>
      </c>
      <c r="E531" s="60"/>
      <c r="F531" s="60"/>
      <c r="G531" s="60"/>
      <c r="H531" s="60"/>
      <c r="I531" s="60"/>
    </row>
    <row r="532" spans="2:9" x14ac:dyDescent="0.35">
      <c r="B532" s="59">
        <v>908</v>
      </c>
      <c r="C532" s="71" t="s">
        <v>539</v>
      </c>
      <c r="D532" s="60" t="s">
        <v>2394</v>
      </c>
      <c r="E532" s="60"/>
      <c r="F532" s="60"/>
      <c r="G532" s="60"/>
      <c r="H532" s="60"/>
      <c r="I532" s="60"/>
    </row>
    <row r="533" spans="2:9" x14ac:dyDescent="0.35">
      <c r="B533" s="59">
        <v>910</v>
      </c>
      <c r="C533" s="71" t="s">
        <v>540</v>
      </c>
      <c r="D533" s="60" t="s">
        <v>2394</v>
      </c>
      <c r="E533" s="60"/>
      <c r="F533" s="60"/>
      <c r="G533" s="60"/>
      <c r="H533" s="60"/>
      <c r="I533" s="60"/>
    </row>
    <row r="534" spans="2:9" x14ac:dyDescent="0.35">
      <c r="B534" s="59">
        <v>912</v>
      </c>
      <c r="C534" s="71" t="s">
        <v>541</v>
      </c>
      <c r="D534" s="60" t="s">
        <v>2394</v>
      </c>
      <c r="E534" s="60"/>
      <c r="F534" s="60"/>
      <c r="G534" s="60"/>
      <c r="H534" s="60"/>
      <c r="I534" s="60"/>
    </row>
    <row r="535" spans="2:9" x14ac:dyDescent="0.35">
      <c r="B535" s="59">
        <v>914</v>
      </c>
      <c r="C535" s="71" t="s">
        <v>542</v>
      </c>
      <c r="D535" s="60" t="s">
        <v>2394</v>
      </c>
      <c r="E535" s="60"/>
      <c r="F535" s="60"/>
      <c r="G535" s="60"/>
      <c r="H535" s="60"/>
      <c r="I535" s="60"/>
    </row>
    <row r="536" spans="2:9" x14ac:dyDescent="0.35">
      <c r="B536" s="59">
        <v>916</v>
      </c>
      <c r="C536" s="71" t="s">
        <v>543</v>
      </c>
      <c r="D536" s="60" t="s">
        <v>2394</v>
      </c>
      <c r="E536" s="60"/>
      <c r="F536" s="60"/>
      <c r="G536" s="60"/>
      <c r="H536" s="60"/>
      <c r="I536" s="60"/>
    </row>
    <row r="537" spans="2:9" x14ac:dyDescent="0.35">
      <c r="B537" s="59">
        <v>918</v>
      </c>
      <c r="C537" s="71" t="s">
        <v>544</v>
      </c>
      <c r="D537" s="60" t="s">
        <v>2394</v>
      </c>
      <c r="E537" s="60"/>
      <c r="F537" s="60"/>
      <c r="G537" s="60"/>
      <c r="H537" s="60"/>
      <c r="I537" s="60"/>
    </row>
    <row r="538" spans="2:9" x14ac:dyDescent="0.35">
      <c r="B538" s="59">
        <v>922</v>
      </c>
      <c r="C538" s="71" t="s">
        <v>545</v>
      </c>
      <c r="D538" s="60" t="s">
        <v>2394</v>
      </c>
      <c r="E538" s="60"/>
      <c r="F538" s="60"/>
      <c r="G538" s="60"/>
      <c r="H538" s="60"/>
      <c r="I538" s="60"/>
    </row>
    <row r="539" spans="2:9" x14ac:dyDescent="0.35">
      <c r="B539" s="59">
        <v>924</v>
      </c>
      <c r="C539" s="71" t="s">
        <v>546</v>
      </c>
      <c r="D539" s="60" t="s">
        <v>2394</v>
      </c>
      <c r="E539" s="60"/>
      <c r="F539" s="60"/>
      <c r="G539" s="60"/>
      <c r="H539" s="60"/>
      <c r="I539" s="60"/>
    </row>
    <row r="540" spans="2:9" x14ac:dyDescent="0.35">
      <c r="B540" s="59">
        <v>925</v>
      </c>
      <c r="C540" s="71" t="s">
        <v>547</v>
      </c>
      <c r="D540" s="60" t="s">
        <v>2394</v>
      </c>
      <c r="E540" s="60"/>
      <c r="F540" s="60"/>
      <c r="G540" s="60"/>
      <c r="H540" s="60"/>
      <c r="I540" s="60"/>
    </row>
    <row r="541" spans="2:9" x14ac:dyDescent="0.35">
      <c r="B541" s="59">
        <v>926</v>
      </c>
      <c r="C541" s="71" t="s">
        <v>548</v>
      </c>
      <c r="D541" s="60" t="s">
        <v>2394</v>
      </c>
      <c r="E541" s="60"/>
      <c r="F541" s="60"/>
      <c r="G541" s="60"/>
      <c r="H541" s="60"/>
      <c r="I541" s="60"/>
    </row>
    <row r="542" spans="2:9" x14ac:dyDescent="0.35">
      <c r="B542" s="59">
        <v>927</v>
      </c>
      <c r="C542" s="71" t="s">
        <v>549</v>
      </c>
      <c r="D542" s="60" t="s">
        <v>2394</v>
      </c>
      <c r="E542" s="60"/>
      <c r="F542" s="60"/>
      <c r="G542" s="60"/>
      <c r="H542" s="60"/>
      <c r="I542" s="60"/>
    </row>
    <row r="543" spans="2:9" x14ac:dyDescent="0.35">
      <c r="B543" s="59">
        <v>928</v>
      </c>
      <c r="C543" s="71" t="s">
        <v>550</v>
      </c>
      <c r="D543" s="60" t="s">
        <v>2394</v>
      </c>
      <c r="E543" s="60"/>
      <c r="F543" s="60"/>
      <c r="G543" s="60"/>
      <c r="H543" s="60"/>
      <c r="I543" s="60"/>
    </row>
    <row r="544" spans="2:9" x14ac:dyDescent="0.35">
      <c r="B544" s="59">
        <v>929</v>
      </c>
      <c r="C544" s="71" t="s">
        <v>551</v>
      </c>
      <c r="D544" s="60" t="s">
        <v>2394</v>
      </c>
      <c r="E544" s="60"/>
      <c r="F544" s="60"/>
      <c r="G544" s="60"/>
      <c r="H544" s="60"/>
      <c r="I544" s="60"/>
    </row>
    <row r="545" spans="2:9" x14ac:dyDescent="0.35">
      <c r="B545" s="59">
        <v>930</v>
      </c>
      <c r="C545" s="71" t="s">
        <v>552</v>
      </c>
      <c r="D545" s="60" t="s">
        <v>2394</v>
      </c>
      <c r="E545" s="60"/>
      <c r="F545" s="60"/>
      <c r="G545" s="60"/>
      <c r="H545" s="60"/>
      <c r="I545" s="60"/>
    </row>
    <row r="546" spans="2:9" x14ac:dyDescent="0.35">
      <c r="B546" s="59">
        <v>931</v>
      </c>
      <c r="C546" s="71" t="s">
        <v>553</v>
      </c>
      <c r="D546" s="60" t="s">
        <v>2394</v>
      </c>
      <c r="E546" s="60"/>
      <c r="F546" s="60"/>
      <c r="G546" s="60"/>
      <c r="H546" s="60"/>
      <c r="I546" s="60"/>
    </row>
    <row r="547" spans="2:9" x14ac:dyDescent="0.35">
      <c r="B547" s="59">
        <v>936</v>
      </c>
      <c r="C547" s="71" t="s">
        <v>554</v>
      </c>
      <c r="D547" s="60" t="s">
        <v>2394</v>
      </c>
      <c r="E547" s="60"/>
      <c r="F547" s="60"/>
      <c r="G547" s="60"/>
      <c r="H547" s="60"/>
      <c r="I547" s="60"/>
    </row>
    <row r="548" spans="2:9" x14ac:dyDescent="0.35">
      <c r="B548" s="59">
        <v>937</v>
      </c>
      <c r="C548" s="71" t="s">
        <v>555</v>
      </c>
      <c r="D548" s="60" t="s">
        <v>2394</v>
      </c>
      <c r="E548" s="60"/>
      <c r="F548" s="60"/>
      <c r="G548" s="60"/>
      <c r="H548" s="60"/>
      <c r="I548" s="60"/>
    </row>
    <row r="549" spans="2:9" x14ac:dyDescent="0.35">
      <c r="B549" s="59">
        <v>938</v>
      </c>
      <c r="C549" s="71" t="s">
        <v>2476</v>
      </c>
      <c r="D549" s="60" t="s">
        <v>2394</v>
      </c>
      <c r="E549" s="60"/>
      <c r="F549" s="60"/>
      <c r="G549" s="60"/>
      <c r="H549" s="60"/>
      <c r="I549" s="60"/>
    </row>
    <row r="550" spans="2:9" x14ac:dyDescent="0.35">
      <c r="B550" s="59">
        <v>939</v>
      </c>
      <c r="C550" s="71" t="s">
        <v>2477</v>
      </c>
      <c r="D550" s="60" t="s">
        <v>2394</v>
      </c>
      <c r="E550" s="60"/>
      <c r="F550" s="60"/>
      <c r="G550" s="60"/>
      <c r="H550" s="60"/>
      <c r="I550" s="60"/>
    </row>
    <row r="551" spans="2:9" x14ac:dyDescent="0.35">
      <c r="B551" s="59">
        <v>940</v>
      </c>
      <c r="C551" s="71" t="s">
        <v>2478</v>
      </c>
      <c r="D551" s="60" t="s">
        <v>2394</v>
      </c>
      <c r="E551" s="60"/>
      <c r="F551" s="60"/>
      <c r="G551" s="60"/>
      <c r="H551" s="60"/>
      <c r="I551" s="60"/>
    </row>
    <row r="552" spans="2:9" x14ac:dyDescent="0.35">
      <c r="B552" s="59">
        <v>941</v>
      </c>
      <c r="C552" s="71" t="s">
        <v>2479</v>
      </c>
      <c r="D552" s="60" t="s">
        <v>2394</v>
      </c>
      <c r="E552" s="60"/>
      <c r="F552" s="60"/>
      <c r="G552" s="60"/>
      <c r="H552" s="60"/>
      <c r="I552" s="60"/>
    </row>
    <row r="553" spans="2:9" x14ac:dyDescent="0.35">
      <c r="B553" s="59">
        <v>942</v>
      </c>
      <c r="C553" s="71" t="s">
        <v>2480</v>
      </c>
      <c r="D553" s="60" t="s">
        <v>2394</v>
      </c>
      <c r="E553" s="60"/>
      <c r="F553" s="60"/>
      <c r="G553" s="60"/>
      <c r="H553" s="60"/>
      <c r="I553" s="60"/>
    </row>
    <row r="554" spans="2:9" x14ac:dyDescent="0.35">
      <c r="B554" s="59">
        <v>943</v>
      </c>
      <c r="C554" s="71" t="s">
        <v>2481</v>
      </c>
      <c r="D554" s="60" t="s">
        <v>2394</v>
      </c>
      <c r="E554" s="60"/>
      <c r="F554" s="60"/>
      <c r="G554" s="60"/>
      <c r="H554" s="60"/>
      <c r="I554" s="60"/>
    </row>
    <row r="555" spans="2:9" x14ac:dyDescent="0.35">
      <c r="B555" s="59">
        <v>944</v>
      </c>
      <c r="C555" s="71" t="s">
        <v>2482</v>
      </c>
      <c r="D555" s="60" t="s">
        <v>2394</v>
      </c>
      <c r="E555" s="60"/>
      <c r="F555" s="60"/>
      <c r="G555" s="60"/>
      <c r="H555" s="60"/>
      <c r="I555" s="60"/>
    </row>
    <row r="556" spans="2:9" x14ac:dyDescent="0.35">
      <c r="B556" s="59">
        <v>946</v>
      </c>
      <c r="C556" s="71" t="s">
        <v>563</v>
      </c>
      <c r="D556" s="60" t="s">
        <v>2394</v>
      </c>
      <c r="E556" s="60"/>
      <c r="F556" s="60"/>
      <c r="G556" s="60"/>
      <c r="H556" s="60"/>
      <c r="I556" s="60"/>
    </row>
    <row r="557" spans="2:9" x14ac:dyDescent="0.35">
      <c r="B557" s="59">
        <v>947</v>
      </c>
      <c r="C557" s="71" t="s">
        <v>564</v>
      </c>
      <c r="D557" s="60" t="s">
        <v>2394</v>
      </c>
      <c r="E557" s="60"/>
      <c r="F557" s="60"/>
      <c r="G557" s="60"/>
      <c r="H557" s="60"/>
      <c r="I557" s="60"/>
    </row>
    <row r="558" spans="2:9" x14ac:dyDescent="0.35">
      <c r="B558" s="59">
        <v>949</v>
      </c>
      <c r="C558" s="71" t="s">
        <v>565</v>
      </c>
      <c r="D558" s="60" t="s">
        <v>2394</v>
      </c>
      <c r="E558" s="60"/>
      <c r="F558" s="60"/>
      <c r="G558" s="60"/>
      <c r="H558" s="60"/>
      <c r="I558" s="60"/>
    </row>
    <row r="559" spans="2:9" x14ac:dyDescent="0.35">
      <c r="B559" s="59">
        <v>950</v>
      </c>
      <c r="C559" s="71" t="s">
        <v>566</v>
      </c>
      <c r="D559" s="60" t="s">
        <v>2394</v>
      </c>
      <c r="E559" s="60"/>
      <c r="F559" s="60"/>
      <c r="G559" s="60"/>
      <c r="H559" s="60"/>
      <c r="I559" s="60"/>
    </row>
    <row r="560" spans="2:9" x14ac:dyDescent="0.35">
      <c r="B560" s="59">
        <v>952</v>
      </c>
      <c r="C560" s="71" t="s">
        <v>567</v>
      </c>
      <c r="D560" s="60" t="s">
        <v>2394</v>
      </c>
      <c r="E560" s="60"/>
      <c r="F560" s="60"/>
      <c r="G560" s="60"/>
      <c r="H560" s="60"/>
      <c r="I560" s="60"/>
    </row>
    <row r="561" spans="2:9" x14ac:dyDescent="0.35">
      <c r="B561" s="59">
        <v>953</v>
      </c>
      <c r="C561" s="71" t="s">
        <v>568</v>
      </c>
      <c r="D561" s="60" t="s">
        <v>2394</v>
      </c>
      <c r="E561" s="60"/>
      <c r="F561" s="60"/>
      <c r="G561" s="60"/>
      <c r="H561" s="60"/>
      <c r="I561" s="60"/>
    </row>
    <row r="562" spans="2:9" x14ac:dyDescent="0.35">
      <c r="B562" s="59">
        <v>955</v>
      </c>
      <c r="C562" s="71" t="s">
        <v>569</v>
      </c>
      <c r="D562" s="60" t="s">
        <v>2394</v>
      </c>
      <c r="E562" s="60"/>
      <c r="F562" s="60"/>
      <c r="G562" s="60"/>
      <c r="H562" s="60"/>
      <c r="I562" s="60"/>
    </row>
    <row r="563" spans="2:9" x14ac:dyDescent="0.35">
      <c r="B563" s="59">
        <v>956</v>
      </c>
      <c r="C563" s="71" t="s">
        <v>570</v>
      </c>
      <c r="D563" s="60" t="s">
        <v>2394</v>
      </c>
      <c r="E563" s="60"/>
      <c r="F563" s="60"/>
      <c r="G563" s="60"/>
      <c r="H563" s="60"/>
      <c r="I563" s="60"/>
    </row>
    <row r="564" spans="2:9" x14ac:dyDescent="0.35">
      <c r="B564" s="59">
        <v>957</v>
      </c>
      <c r="C564" s="71" t="s">
        <v>571</v>
      </c>
      <c r="D564" s="60" t="s">
        <v>2394</v>
      </c>
      <c r="E564" s="60"/>
      <c r="F564" s="60"/>
      <c r="G564" s="60"/>
      <c r="H564" s="60"/>
      <c r="I564" s="60"/>
    </row>
    <row r="565" spans="2:9" x14ac:dyDescent="0.35">
      <c r="B565" s="59">
        <v>958</v>
      </c>
      <c r="C565" s="71" t="s">
        <v>572</v>
      </c>
      <c r="D565" s="60" t="s">
        <v>2394</v>
      </c>
      <c r="E565" s="60"/>
      <c r="F565" s="60"/>
      <c r="G565" s="60"/>
      <c r="H565" s="60"/>
      <c r="I565" s="60"/>
    </row>
    <row r="566" spans="2:9" ht="409.5" x14ac:dyDescent="0.35">
      <c r="B566" s="59">
        <v>960</v>
      </c>
      <c r="C566" s="71" t="s">
        <v>573</v>
      </c>
      <c r="D566" s="60" t="s">
        <v>2413</v>
      </c>
      <c r="E566" s="60" t="s">
        <v>2728</v>
      </c>
      <c r="F566" s="60" t="s">
        <v>2729</v>
      </c>
      <c r="G566" s="60" t="s">
        <v>2730</v>
      </c>
      <c r="H566" s="60" t="s">
        <v>2731</v>
      </c>
      <c r="I566" s="60" t="s">
        <v>2732</v>
      </c>
    </row>
    <row r="567" spans="2:9" s="56" customFormat="1" ht="120" customHeight="1" x14ac:dyDescent="0.35">
      <c r="B567" s="59">
        <v>961</v>
      </c>
      <c r="C567" s="71" t="s">
        <v>574</v>
      </c>
      <c r="D567" s="60" t="s">
        <v>2413</v>
      </c>
      <c r="E567" s="60" t="s">
        <v>2728</v>
      </c>
      <c r="F567" s="60" t="s">
        <v>2729</v>
      </c>
      <c r="G567" s="60" t="s">
        <v>2730</v>
      </c>
      <c r="H567" s="60" t="s">
        <v>2731</v>
      </c>
      <c r="I567" s="60" t="s">
        <v>2732</v>
      </c>
    </row>
    <row r="568" spans="2:9" s="56" customFormat="1" ht="120" customHeight="1" x14ac:dyDescent="0.35">
      <c r="B568" s="59">
        <v>962</v>
      </c>
      <c r="C568" s="71" t="s">
        <v>575</v>
      </c>
      <c r="D568" s="60" t="s">
        <v>2413</v>
      </c>
      <c r="E568" s="60" t="s">
        <v>2728</v>
      </c>
      <c r="F568" s="60" t="s">
        <v>2729</v>
      </c>
      <c r="G568" s="60" t="s">
        <v>2730</v>
      </c>
      <c r="H568" s="60" t="s">
        <v>2731</v>
      </c>
      <c r="I568" s="60" t="s">
        <v>2732</v>
      </c>
    </row>
    <row r="569" spans="2:9" s="56" customFormat="1" ht="120" customHeight="1" x14ac:dyDescent="0.35">
      <c r="B569" s="59">
        <v>963</v>
      </c>
      <c r="C569" s="71" t="s">
        <v>576</v>
      </c>
      <c r="D569" s="60" t="s">
        <v>2413</v>
      </c>
      <c r="E569" s="60" t="s">
        <v>2728</v>
      </c>
      <c r="F569" s="60" t="s">
        <v>2729</v>
      </c>
      <c r="G569" s="60" t="s">
        <v>2730</v>
      </c>
      <c r="H569" s="60" t="s">
        <v>2731</v>
      </c>
      <c r="I569" s="60" t="s">
        <v>2732</v>
      </c>
    </row>
    <row r="570" spans="2:9" s="56" customFormat="1" ht="120" customHeight="1" x14ac:dyDescent="0.35">
      <c r="B570" s="59">
        <v>964</v>
      </c>
      <c r="C570" s="71" t="s">
        <v>577</v>
      </c>
      <c r="D570" s="63" t="s">
        <v>2412</v>
      </c>
      <c r="E570" s="60"/>
      <c r="F570" s="60"/>
      <c r="G570" s="60"/>
      <c r="H570" s="60"/>
      <c r="I570" s="60"/>
    </row>
    <row r="571" spans="2:9" x14ac:dyDescent="0.35">
      <c r="B571" s="59">
        <v>965</v>
      </c>
      <c r="C571" s="71" t="s">
        <v>578</v>
      </c>
      <c r="D571" s="63" t="s">
        <v>2412</v>
      </c>
      <c r="E571" s="60"/>
      <c r="F571" s="60"/>
      <c r="G571" s="60"/>
      <c r="H571" s="60"/>
      <c r="I571" s="60"/>
    </row>
    <row r="572" spans="2:9" x14ac:dyDescent="0.35">
      <c r="B572" s="59">
        <v>966</v>
      </c>
      <c r="C572" s="71" t="s">
        <v>579</v>
      </c>
      <c r="D572" s="63" t="s">
        <v>2412</v>
      </c>
      <c r="E572" s="60"/>
      <c r="F572" s="60"/>
      <c r="G572" s="60"/>
      <c r="H572" s="60"/>
      <c r="I572" s="60"/>
    </row>
    <row r="573" spans="2:9" x14ac:dyDescent="0.35">
      <c r="B573" s="59">
        <v>967</v>
      </c>
      <c r="C573" s="71" t="s">
        <v>580</v>
      </c>
      <c r="D573" s="60" t="s">
        <v>2394</v>
      </c>
      <c r="E573" s="60"/>
      <c r="F573" s="60"/>
      <c r="G573" s="60"/>
      <c r="H573" s="60"/>
      <c r="I573" s="60"/>
    </row>
    <row r="574" spans="2:9" x14ac:dyDescent="0.35">
      <c r="B574" s="59">
        <v>968</v>
      </c>
      <c r="C574" s="71" t="s">
        <v>581</v>
      </c>
      <c r="D574" s="60" t="s">
        <v>2394</v>
      </c>
      <c r="E574" s="60"/>
      <c r="F574" s="60"/>
      <c r="G574" s="60"/>
      <c r="H574" s="60"/>
      <c r="I574" s="60"/>
    </row>
    <row r="575" spans="2:9" x14ac:dyDescent="0.35">
      <c r="B575" s="59">
        <v>969</v>
      </c>
      <c r="C575" s="71" t="s">
        <v>582</v>
      </c>
      <c r="D575" s="60" t="s">
        <v>2394</v>
      </c>
      <c r="E575" s="60"/>
      <c r="F575" s="60"/>
      <c r="G575" s="60"/>
      <c r="H575" s="60"/>
      <c r="I575" s="60"/>
    </row>
    <row r="576" spans="2:9" x14ac:dyDescent="0.35">
      <c r="B576" s="59">
        <v>983</v>
      </c>
      <c r="C576" s="71" t="s">
        <v>583</v>
      </c>
      <c r="D576" s="60" t="s">
        <v>2394</v>
      </c>
      <c r="E576" s="60"/>
      <c r="F576" s="60"/>
      <c r="G576" s="60"/>
      <c r="H576" s="60"/>
      <c r="I576" s="60"/>
    </row>
    <row r="577" spans="2:9" x14ac:dyDescent="0.35">
      <c r="B577" s="59">
        <v>984</v>
      </c>
      <c r="C577" s="71" t="s">
        <v>584</v>
      </c>
      <c r="D577" s="60" t="s">
        <v>2394</v>
      </c>
      <c r="E577" s="60"/>
      <c r="F577" s="60"/>
      <c r="G577" s="60"/>
      <c r="H577" s="60"/>
      <c r="I577" s="60"/>
    </row>
    <row r="578" spans="2:9" x14ac:dyDescent="0.35">
      <c r="B578" s="59">
        <v>985</v>
      </c>
      <c r="C578" s="71" t="s">
        <v>585</v>
      </c>
      <c r="D578" s="60" t="s">
        <v>2394</v>
      </c>
      <c r="E578" s="60"/>
      <c r="F578" s="60"/>
      <c r="G578" s="60"/>
      <c r="H578" s="60"/>
      <c r="I578" s="60"/>
    </row>
    <row r="579" spans="2:9" x14ac:dyDescent="0.35">
      <c r="B579" s="59">
        <v>986</v>
      </c>
      <c r="C579" s="71" t="s">
        <v>586</v>
      </c>
      <c r="D579" s="60" t="s">
        <v>2394</v>
      </c>
      <c r="E579" s="60"/>
      <c r="F579" s="60"/>
      <c r="G579" s="60"/>
      <c r="H579" s="60"/>
      <c r="I579" s="60"/>
    </row>
    <row r="580" spans="2:9" ht="145" x14ac:dyDescent="0.35">
      <c r="B580" s="59">
        <v>1061</v>
      </c>
      <c r="C580" s="71" t="s">
        <v>588</v>
      </c>
      <c r="D580" s="60" t="s">
        <v>2386</v>
      </c>
      <c r="E580" s="60" t="s">
        <v>2733</v>
      </c>
      <c r="F580" s="60" t="s">
        <v>2734</v>
      </c>
      <c r="G580" s="60" t="s">
        <v>2927</v>
      </c>
      <c r="H580" s="60" t="s">
        <v>2735</v>
      </c>
      <c r="I580" s="60" t="s">
        <v>2736</v>
      </c>
    </row>
    <row r="581" spans="2:9" s="56" customFormat="1" ht="120" customHeight="1" x14ac:dyDescent="0.35">
      <c r="B581" s="59">
        <v>1100</v>
      </c>
      <c r="C581" s="71" t="s">
        <v>2483</v>
      </c>
      <c r="D581" s="60" t="s">
        <v>2484</v>
      </c>
      <c r="E581" s="60" t="s">
        <v>2737</v>
      </c>
      <c r="F581" s="60" t="s">
        <v>2738</v>
      </c>
      <c r="G581" s="60" t="s">
        <v>2739</v>
      </c>
      <c r="H581" s="60" t="s">
        <v>2740</v>
      </c>
      <c r="I581" s="60" t="s">
        <v>2741</v>
      </c>
    </row>
    <row r="582" spans="2:9" s="56" customFormat="1" ht="120" customHeight="1" x14ac:dyDescent="0.35">
      <c r="B582" s="59">
        <v>1101</v>
      </c>
      <c r="C582" s="71" t="s">
        <v>2485</v>
      </c>
      <c r="D582" s="60" t="s">
        <v>2484</v>
      </c>
      <c r="E582" s="60" t="s">
        <v>2737</v>
      </c>
      <c r="F582" s="60" t="s">
        <v>2738</v>
      </c>
      <c r="G582" s="60" t="s">
        <v>2739</v>
      </c>
      <c r="H582" s="60" t="s">
        <v>2740</v>
      </c>
      <c r="I582" s="60" t="s">
        <v>2741</v>
      </c>
    </row>
    <row r="583" spans="2:9" s="56" customFormat="1" ht="120" customHeight="1" x14ac:dyDescent="0.35">
      <c r="B583" s="59">
        <v>1102</v>
      </c>
      <c r="C583" s="71" t="s">
        <v>2486</v>
      </c>
      <c r="D583" s="60" t="s">
        <v>2484</v>
      </c>
      <c r="E583" s="60" t="s">
        <v>2737</v>
      </c>
      <c r="F583" s="60" t="s">
        <v>2738</v>
      </c>
      <c r="G583" s="60" t="s">
        <v>2739</v>
      </c>
      <c r="H583" s="60" t="s">
        <v>2740</v>
      </c>
      <c r="I583" s="60" t="s">
        <v>2741</v>
      </c>
    </row>
    <row r="584" spans="2:9" s="56" customFormat="1" ht="120" customHeight="1" x14ac:dyDescent="0.35">
      <c r="B584" s="59">
        <v>1103</v>
      </c>
      <c r="C584" s="71" t="s">
        <v>592</v>
      </c>
      <c r="D584" s="60" t="s">
        <v>2484</v>
      </c>
      <c r="E584" s="60" t="s">
        <v>2737</v>
      </c>
      <c r="F584" s="60" t="s">
        <v>2738</v>
      </c>
      <c r="G584" s="60" t="s">
        <v>2739</v>
      </c>
      <c r="H584" s="60" t="s">
        <v>2740</v>
      </c>
      <c r="I584" s="60" t="s">
        <v>2741</v>
      </c>
    </row>
    <row r="585" spans="2:9" s="56" customFormat="1" ht="120" customHeight="1" x14ac:dyDescent="0.35">
      <c r="B585" s="59">
        <v>1104</v>
      </c>
      <c r="C585" s="71" t="s">
        <v>593</v>
      </c>
      <c r="D585" s="60" t="s">
        <v>2484</v>
      </c>
      <c r="E585" s="60" t="s">
        <v>2737</v>
      </c>
      <c r="F585" s="60" t="s">
        <v>2738</v>
      </c>
      <c r="G585" s="60" t="s">
        <v>2739</v>
      </c>
      <c r="H585" s="60" t="s">
        <v>2740</v>
      </c>
      <c r="I585" s="60" t="s">
        <v>2741</v>
      </c>
    </row>
    <row r="586" spans="2:9" s="56" customFormat="1" ht="120" customHeight="1" x14ac:dyDescent="0.35">
      <c r="B586" s="59">
        <v>1105</v>
      </c>
      <c r="C586" s="71" t="s">
        <v>2487</v>
      </c>
      <c r="D586" s="60" t="s">
        <v>2484</v>
      </c>
      <c r="E586" s="60" t="s">
        <v>2737</v>
      </c>
      <c r="F586" s="60" t="s">
        <v>2738</v>
      </c>
      <c r="G586" s="60" t="s">
        <v>2739</v>
      </c>
      <c r="H586" s="60" t="s">
        <v>2740</v>
      </c>
      <c r="I586" s="60" t="s">
        <v>2741</v>
      </c>
    </row>
    <row r="587" spans="2:9" s="56" customFormat="1" ht="120" customHeight="1" x14ac:dyDescent="0.35">
      <c r="B587" s="59">
        <v>1106</v>
      </c>
      <c r="C587" s="71" t="s">
        <v>2488</v>
      </c>
      <c r="D587" s="60" t="s">
        <v>2484</v>
      </c>
      <c r="E587" s="60" t="s">
        <v>2737</v>
      </c>
      <c r="F587" s="60" t="s">
        <v>2738</v>
      </c>
      <c r="G587" s="60" t="s">
        <v>2739</v>
      </c>
      <c r="H587" s="60" t="s">
        <v>2740</v>
      </c>
      <c r="I587" s="60" t="s">
        <v>2741</v>
      </c>
    </row>
    <row r="588" spans="2:9" s="56" customFormat="1" ht="120" customHeight="1" x14ac:dyDescent="0.35">
      <c r="B588" s="59">
        <v>1107</v>
      </c>
      <c r="C588" s="71" t="s">
        <v>2489</v>
      </c>
      <c r="D588" s="60" t="s">
        <v>2484</v>
      </c>
      <c r="E588" s="60" t="s">
        <v>2737</v>
      </c>
      <c r="F588" s="60" t="s">
        <v>2738</v>
      </c>
      <c r="G588" s="60" t="s">
        <v>2739</v>
      </c>
      <c r="H588" s="60" t="s">
        <v>2740</v>
      </c>
      <c r="I588" s="60" t="s">
        <v>2741</v>
      </c>
    </row>
    <row r="589" spans="2:9" s="56" customFormat="1" ht="120" customHeight="1" x14ac:dyDescent="0.35">
      <c r="B589" s="59">
        <v>1108</v>
      </c>
      <c r="C589" s="71" t="s">
        <v>2490</v>
      </c>
      <c r="D589" s="60" t="s">
        <v>2484</v>
      </c>
      <c r="E589" s="60" t="s">
        <v>2737</v>
      </c>
      <c r="F589" s="60" t="s">
        <v>2738</v>
      </c>
      <c r="G589" s="60" t="s">
        <v>2739</v>
      </c>
      <c r="H589" s="60" t="s">
        <v>2740</v>
      </c>
      <c r="I589" s="60" t="s">
        <v>2741</v>
      </c>
    </row>
    <row r="590" spans="2:9" s="56" customFormat="1" ht="120" customHeight="1" x14ac:dyDescent="0.35">
      <c r="B590" s="59">
        <v>1142</v>
      </c>
      <c r="C590" s="71" t="s">
        <v>598</v>
      </c>
      <c r="D590" s="60" t="s">
        <v>2388</v>
      </c>
      <c r="E590" s="60" t="s">
        <v>2742</v>
      </c>
      <c r="F590" s="60" t="s">
        <v>2738</v>
      </c>
      <c r="G590" s="60" t="s">
        <v>2743</v>
      </c>
      <c r="H590" s="60" t="s">
        <v>2744</v>
      </c>
      <c r="I590" s="60" t="s">
        <v>2745</v>
      </c>
    </row>
    <row r="591" spans="2:9" s="56" customFormat="1" ht="120" customHeight="1" x14ac:dyDescent="0.35">
      <c r="B591" s="59">
        <v>1143</v>
      </c>
      <c r="C591" s="71" t="s">
        <v>599</v>
      </c>
      <c r="D591" s="60" t="s">
        <v>2388</v>
      </c>
      <c r="E591" s="60" t="s">
        <v>2742</v>
      </c>
      <c r="F591" s="60" t="s">
        <v>2738</v>
      </c>
      <c r="G591" s="60" t="s">
        <v>2743</v>
      </c>
      <c r="H591" s="60" t="s">
        <v>2744</v>
      </c>
      <c r="I591" s="60" t="s">
        <v>2745</v>
      </c>
    </row>
    <row r="592" spans="2:9" s="56" customFormat="1" ht="120" customHeight="1" x14ac:dyDescent="0.35">
      <c r="B592" s="59">
        <v>1144</v>
      </c>
      <c r="C592" s="71" t="s">
        <v>600</v>
      </c>
      <c r="D592" s="60" t="s">
        <v>2388</v>
      </c>
      <c r="E592" s="60" t="s">
        <v>2742</v>
      </c>
      <c r="F592" s="60" t="s">
        <v>2738</v>
      </c>
      <c r="G592" s="60" t="s">
        <v>2743</v>
      </c>
      <c r="H592" s="60" t="s">
        <v>2744</v>
      </c>
      <c r="I592" s="60" t="s">
        <v>2745</v>
      </c>
    </row>
    <row r="593" spans="2:9" s="56" customFormat="1" ht="120" customHeight="1" x14ac:dyDescent="0.35">
      <c r="B593" s="59">
        <v>1145</v>
      </c>
      <c r="C593" s="71" t="s">
        <v>601</v>
      </c>
      <c r="D593" s="60" t="s">
        <v>2388</v>
      </c>
      <c r="E593" s="60" t="s">
        <v>2742</v>
      </c>
      <c r="F593" s="60" t="s">
        <v>2738</v>
      </c>
      <c r="G593" s="60" t="s">
        <v>2743</v>
      </c>
      <c r="H593" s="60" t="s">
        <v>2744</v>
      </c>
      <c r="I593" s="60" t="s">
        <v>2745</v>
      </c>
    </row>
    <row r="594" spans="2:9" s="56" customFormat="1" ht="120" customHeight="1" x14ac:dyDescent="0.35">
      <c r="B594" s="59">
        <v>1146</v>
      </c>
      <c r="C594" s="71" t="s">
        <v>602</v>
      </c>
      <c r="D594" s="60" t="s">
        <v>2388</v>
      </c>
      <c r="E594" s="60" t="s">
        <v>2742</v>
      </c>
      <c r="F594" s="60" t="s">
        <v>2738</v>
      </c>
      <c r="G594" s="60" t="s">
        <v>2743</v>
      </c>
      <c r="H594" s="60" t="s">
        <v>2744</v>
      </c>
      <c r="I594" s="60" t="s">
        <v>2745</v>
      </c>
    </row>
    <row r="595" spans="2:9" s="56" customFormat="1" ht="120" customHeight="1" x14ac:dyDescent="0.35">
      <c r="B595" s="59">
        <v>1151</v>
      </c>
      <c r="C595" s="71" t="s">
        <v>603</v>
      </c>
      <c r="D595" s="60" t="s">
        <v>2388</v>
      </c>
      <c r="E595" s="60" t="s">
        <v>2746</v>
      </c>
      <c r="F595" s="60" t="s">
        <v>2738</v>
      </c>
      <c r="G595" s="60" t="s">
        <v>2743</v>
      </c>
      <c r="H595" s="60" t="s">
        <v>2744</v>
      </c>
      <c r="I595" s="60" t="s">
        <v>2747</v>
      </c>
    </row>
    <row r="596" spans="2:9" s="56" customFormat="1" ht="120" customHeight="1" x14ac:dyDescent="0.35">
      <c r="B596" s="59">
        <v>1152</v>
      </c>
      <c r="C596" s="71" t="s">
        <v>604</v>
      </c>
      <c r="D596" s="60" t="s">
        <v>2388</v>
      </c>
      <c r="E596" s="60" t="s">
        <v>2746</v>
      </c>
      <c r="F596" s="60" t="s">
        <v>2738</v>
      </c>
      <c r="G596" s="60" t="s">
        <v>2743</v>
      </c>
      <c r="H596" s="60" t="s">
        <v>2744</v>
      </c>
      <c r="I596" s="60" t="s">
        <v>2747</v>
      </c>
    </row>
    <row r="597" spans="2:9" s="56" customFormat="1" ht="120" customHeight="1" x14ac:dyDescent="0.35">
      <c r="B597" s="61">
        <v>1153</v>
      </c>
      <c r="C597" s="71" t="s">
        <v>605</v>
      </c>
      <c r="D597" s="60" t="s">
        <v>2388</v>
      </c>
      <c r="E597" s="60" t="s">
        <v>2746</v>
      </c>
      <c r="F597" s="60" t="s">
        <v>2738</v>
      </c>
      <c r="G597" s="60" t="s">
        <v>2743</v>
      </c>
      <c r="H597" s="60" t="s">
        <v>2744</v>
      </c>
      <c r="I597" s="60" t="s">
        <v>2747</v>
      </c>
    </row>
    <row r="598" spans="2:9" s="56" customFormat="1" ht="120" customHeight="1" x14ac:dyDescent="0.35">
      <c r="B598" s="59">
        <v>1154</v>
      </c>
      <c r="C598" s="71" t="s">
        <v>2435</v>
      </c>
      <c r="D598" s="60" t="s">
        <v>2388</v>
      </c>
      <c r="E598" s="60" t="s">
        <v>2746</v>
      </c>
      <c r="F598" s="60" t="s">
        <v>2738</v>
      </c>
      <c r="G598" s="60" t="s">
        <v>2743</v>
      </c>
      <c r="H598" s="60" t="s">
        <v>2744</v>
      </c>
      <c r="I598" s="60" t="s">
        <v>2747</v>
      </c>
    </row>
    <row r="599" spans="2:9" s="56" customFormat="1" ht="120" customHeight="1" x14ac:dyDescent="0.35">
      <c r="B599" s="59">
        <v>1155</v>
      </c>
      <c r="C599" s="71" t="s">
        <v>606</v>
      </c>
      <c r="D599" s="60" t="s">
        <v>2388</v>
      </c>
      <c r="E599" s="60" t="s">
        <v>2746</v>
      </c>
      <c r="F599" s="60" t="s">
        <v>2738</v>
      </c>
      <c r="G599" s="60" t="s">
        <v>2743</v>
      </c>
      <c r="H599" s="60" t="s">
        <v>2744</v>
      </c>
      <c r="I599" s="60" t="s">
        <v>2747</v>
      </c>
    </row>
    <row r="600" spans="2:9" s="56" customFormat="1" ht="120" customHeight="1" x14ac:dyDescent="0.35">
      <c r="B600" s="59">
        <v>1156</v>
      </c>
      <c r="C600" s="71" t="s">
        <v>607</v>
      </c>
      <c r="D600" s="60" t="s">
        <v>2388</v>
      </c>
      <c r="E600" s="60" t="s">
        <v>2746</v>
      </c>
      <c r="F600" s="60" t="s">
        <v>2738</v>
      </c>
      <c r="G600" s="60" t="s">
        <v>2743</v>
      </c>
      <c r="H600" s="60" t="s">
        <v>2744</v>
      </c>
      <c r="I600" s="60" t="s">
        <v>2747</v>
      </c>
    </row>
    <row r="601" spans="2:9" s="56" customFormat="1" ht="120" customHeight="1" x14ac:dyDescent="0.35">
      <c r="B601" s="59">
        <v>1157</v>
      </c>
      <c r="C601" s="71" t="s">
        <v>608</v>
      </c>
      <c r="D601" s="60" t="s">
        <v>2388</v>
      </c>
      <c r="E601" s="60" t="s">
        <v>2746</v>
      </c>
      <c r="F601" s="60" t="s">
        <v>2738</v>
      </c>
      <c r="G601" s="60" t="s">
        <v>2743</v>
      </c>
      <c r="H601" s="60" t="s">
        <v>2744</v>
      </c>
      <c r="I601" s="60" t="s">
        <v>2747</v>
      </c>
    </row>
    <row r="602" spans="2:9" s="56" customFormat="1" ht="120" customHeight="1" x14ac:dyDescent="0.35">
      <c r="B602" s="59">
        <v>1158</v>
      </c>
      <c r="C602" s="71" t="s">
        <v>609</v>
      </c>
      <c r="D602" s="60" t="s">
        <v>2388</v>
      </c>
      <c r="E602" s="60" t="s">
        <v>2746</v>
      </c>
      <c r="F602" s="60" t="s">
        <v>2738</v>
      </c>
      <c r="G602" s="60" t="s">
        <v>2743</v>
      </c>
      <c r="H602" s="60" t="s">
        <v>2744</v>
      </c>
      <c r="I602" s="60" t="s">
        <v>2747</v>
      </c>
    </row>
    <row r="603" spans="2:9" s="56" customFormat="1" ht="120" customHeight="1" x14ac:dyDescent="0.35">
      <c r="B603" s="59">
        <v>1159</v>
      </c>
      <c r="C603" s="71" t="s">
        <v>610</v>
      </c>
      <c r="D603" s="60" t="s">
        <v>2388</v>
      </c>
      <c r="E603" s="60" t="s">
        <v>2746</v>
      </c>
      <c r="F603" s="60" t="s">
        <v>2738</v>
      </c>
      <c r="G603" s="60" t="s">
        <v>2743</v>
      </c>
      <c r="H603" s="60" t="s">
        <v>2744</v>
      </c>
      <c r="I603" s="60" t="s">
        <v>2747</v>
      </c>
    </row>
    <row r="604" spans="2:9" s="56" customFormat="1" ht="120" customHeight="1" x14ac:dyDescent="0.35">
      <c r="B604" s="59">
        <v>1160</v>
      </c>
      <c r="C604" s="71" t="s">
        <v>611</v>
      </c>
      <c r="D604" s="60" t="s">
        <v>2388</v>
      </c>
      <c r="E604" s="60" t="s">
        <v>2742</v>
      </c>
      <c r="F604" s="60" t="s">
        <v>2738</v>
      </c>
      <c r="G604" s="60" t="s">
        <v>2743</v>
      </c>
      <c r="H604" s="60" t="s">
        <v>2748</v>
      </c>
      <c r="I604" s="60" t="s">
        <v>2749</v>
      </c>
    </row>
    <row r="605" spans="2:9" s="56" customFormat="1" ht="120" customHeight="1" x14ac:dyDescent="0.35">
      <c r="B605" s="59">
        <v>1161</v>
      </c>
      <c r="C605" s="71" t="s">
        <v>612</v>
      </c>
      <c r="D605" s="60" t="s">
        <v>2388</v>
      </c>
      <c r="E605" s="60" t="s">
        <v>2742</v>
      </c>
      <c r="F605" s="60" t="s">
        <v>2738</v>
      </c>
      <c r="G605" s="60" t="s">
        <v>2743</v>
      </c>
      <c r="H605" s="60" t="s">
        <v>2748</v>
      </c>
      <c r="I605" s="60" t="s">
        <v>2749</v>
      </c>
    </row>
    <row r="606" spans="2:9" s="56" customFormat="1" ht="120" customHeight="1" x14ac:dyDescent="0.35">
      <c r="B606" s="59">
        <v>1162</v>
      </c>
      <c r="C606" s="71" t="s">
        <v>613</v>
      </c>
      <c r="D606" s="60" t="s">
        <v>2388</v>
      </c>
      <c r="E606" s="60" t="s">
        <v>2746</v>
      </c>
      <c r="F606" s="60" t="s">
        <v>2738</v>
      </c>
      <c r="G606" s="60" t="s">
        <v>2743</v>
      </c>
      <c r="H606" s="60" t="s">
        <v>2740</v>
      </c>
      <c r="I606" s="60" t="s">
        <v>2741</v>
      </c>
    </row>
    <row r="607" spans="2:9" s="56" customFormat="1" ht="120" customHeight="1" x14ac:dyDescent="0.35">
      <c r="B607" s="59">
        <v>1163</v>
      </c>
      <c r="C607" s="71" t="s">
        <v>614</v>
      </c>
      <c r="D607" s="60" t="s">
        <v>2388</v>
      </c>
      <c r="E607" s="60" t="s">
        <v>2746</v>
      </c>
      <c r="F607" s="60" t="s">
        <v>2738</v>
      </c>
      <c r="G607" s="60" t="s">
        <v>2743</v>
      </c>
      <c r="H607" s="60" t="s">
        <v>2740</v>
      </c>
      <c r="I607" s="60" t="s">
        <v>2741</v>
      </c>
    </row>
    <row r="608" spans="2:9" s="56" customFormat="1" ht="120" customHeight="1" x14ac:dyDescent="0.35">
      <c r="B608" s="59">
        <v>1181</v>
      </c>
      <c r="C608" s="71" t="s">
        <v>615</v>
      </c>
      <c r="D608" s="60" t="s">
        <v>2388</v>
      </c>
      <c r="E608" s="60" t="s">
        <v>2750</v>
      </c>
      <c r="F608" s="60" t="s">
        <v>2738</v>
      </c>
      <c r="G608" s="60" t="s">
        <v>2751</v>
      </c>
      <c r="H608" s="60" t="s">
        <v>2740</v>
      </c>
      <c r="I608" s="60" t="s">
        <v>2752</v>
      </c>
    </row>
    <row r="609" spans="2:9" s="56" customFormat="1" ht="120" customHeight="1" x14ac:dyDescent="0.35">
      <c r="B609" s="59">
        <v>1182</v>
      </c>
      <c r="C609" s="71" t="s">
        <v>616</v>
      </c>
      <c r="D609" s="60" t="s">
        <v>2388</v>
      </c>
      <c r="E609" s="60" t="s">
        <v>2750</v>
      </c>
      <c r="F609" s="60" t="s">
        <v>2738</v>
      </c>
      <c r="G609" s="60" t="s">
        <v>2751</v>
      </c>
      <c r="H609" s="60" t="s">
        <v>2740</v>
      </c>
      <c r="I609" s="60" t="s">
        <v>2752</v>
      </c>
    </row>
    <row r="610" spans="2:9" s="56" customFormat="1" ht="120" customHeight="1" x14ac:dyDescent="0.35">
      <c r="B610" s="59">
        <v>1183</v>
      </c>
      <c r="C610" s="71" t="s">
        <v>617</v>
      </c>
      <c r="D610" s="60" t="s">
        <v>2388</v>
      </c>
      <c r="E610" s="60" t="s">
        <v>2750</v>
      </c>
      <c r="F610" s="60" t="s">
        <v>2738</v>
      </c>
      <c r="G610" s="60" t="s">
        <v>2751</v>
      </c>
      <c r="H610" s="60" t="s">
        <v>2740</v>
      </c>
      <c r="I610" s="60" t="s">
        <v>2752</v>
      </c>
    </row>
    <row r="611" spans="2:9" s="56" customFormat="1" ht="120" customHeight="1" x14ac:dyDescent="0.35">
      <c r="B611" s="59">
        <v>1184</v>
      </c>
      <c r="C611" s="71" t="s">
        <v>618</v>
      </c>
      <c r="D611" s="60" t="s">
        <v>2388</v>
      </c>
      <c r="E611" s="60" t="s">
        <v>2750</v>
      </c>
      <c r="F611" s="60" t="s">
        <v>2738</v>
      </c>
      <c r="G611" s="60" t="s">
        <v>2751</v>
      </c>
      <c r="H611" s="60" t="s">
        <v>2740</v>
      </c>
      <c r="I611" s="60" t="s">
        <v>2752</v>
      </c>
    </row>
    <row r="612" spans="2:9" s="56" customFormat="1" ht="120" customHeight="1" x14ac:dyDescent="0.35">
      <c r="B612" s="59">
        <v>1185</v>
      </c>
      <c r="C612" s="71" t="s">
        <v>619</v>
      </c>
      <c r="D612" s="60" t="s">
        <v>2388</v>
      </c>
      <c r="E612" s="60" t="s">
        <v>2750</v>
      </c>
      <c r="F612" s="60" t="s">
        <v>2738</v>
      </c>
      <c r="G612" s="60" t="s">
        <v>2751</v>
      </c>
      <c r="H612" s="60" t="s">
        <v>2740</v>
      </c>
      <c r="I612" s="60" t="s">
        <v>2752</v>
      </c>
    </row>
    <row r="613" spans="2:9" s="56" customFormat="1" ht="120" customHeight="1" x14ac:dyDescent="0.35">
      <c r="B613" s="59">
        <v>1186</v>
      </c>
      <c r="C613" s="71" t="s">
        <v>620</v>
      </c>
      <c r="D613" s="60" t="s">
        <v>2388</v>
      </c>
      <c r="E613" s="60" t="s">
        <v>2750</v>
      </c>
      <c r="F613" s="60" t="s">
        <v>2738</v>
      </c>
      <c r="G613" s="60" t="s">
        <v>2751</v>
      </c>
      <c r="H613" s="60" t="s">
        <v>2740</v>
      </c>
      <c r="I613" s="60" t="s">
        <v>2752</v>
      </c>
    </row>
    <row r="614" spans="2:9" s="56" customFormat="1" ht="120" customHeight="1" x14ac:dyDescent="0.35">
      <c r="B614" s="59">
        <v>1187</v>
      </c>
      <c r="C614" s="71" t="s">
        <v>621</v>
      </c>
      <c r="D614" s="60" t="s">
        <v>2388</v>
      </c>
      <c r="E614" s="60" t="s">
        <v>2750</v>
      </c>
      <c r="F614" s="60" t="s">
        <v>2738</v>
      </c>
      <c r="G614" s="60" t="s">
        <v>2751</v>
      </c>
      <c r="H614" s="60" t="s">
        <v>2740</v>
      </c>
      <c r="I614" s="60" t="s">
        <v>2752</v>
      </c>
    </row>
    <row r="615" spans="2:9" s="56" customFormat="1" ht="120" customHeight="1" x14ac:dyDescent="0.35">
      <c r="B615" s="59">
        <v>1188</v>
      </c>
      <c r="C615" s="71" t="s">
        <v>622</v>
      </c>
      <c r="D615" s="60" t="s">
        <v>2388</v>
      </c>
      <c r="E615" s="60" t="s">
        <v>2750</v>
      </c>
      <c r="F615" s="60" t="s">
        <v>2738</v>
      </c>
      <c r="G615" s="60" t="s">
        <v>2751</v>
      </c>
      <c r="H615" s="60" t="s">
        <v>2740</v>
      </c>
      <c r="I615" s="60" t="s">
        <v>2752</v>
      </c>
    </row>
    <row r="616" spans="2:9" s="56" customFormat="1" ht="120" customHeight="1" x14ac:dyDescent="0.35">
      <c r="B616" s="59">
        <v>1200</v>
      </c>
      <c r="C616" s="71" t="s">
        <v>623</v>
      </c>
      <c r="D616" s="60" t="s">
        <v>2410</v>
      </c>
      <c r="E616" s="60" t="s">
        <v>2737</v>
      </c>
      <c r="F616" s="60" t="s">
        <v>2738</v>
      </c>
      <c r="G616" s="60" t="s">
        <v>2753</v>
      </c>
      <c r="H616" s="60" t="s">
        <v>2740</v>
      </c>
      <c r="I616" s="60" t="s">
        <v>2754</v>
      </c>
    </row>
    <row r="617" spans="2:9" s="56" customFormat="1" ht="120" customHeight="1" x14ac:dyDescent="0.35">
      <c r="B617" s="59">
        <v>1201</v>
      </c>
      <c r="C617" s="71" t="s">
        <v>624</v>
      </c>
      <c r="D617" s="60" t="s">
        <v>2410</v>
      </c>
      <c r="E617" s="60" t="s">
        <v>2737</v>
      </c>
      <c r="F617" s="60" t="s">
        <v>2738</v>
      </c>
      <c r="G617" s="60" t="s">
        <v>2753</v>
      </c>
      <c r="H617" s="60" t="s">
        <v>2740</v>
      </c>
      <c r="I617" s="60" t="s">
        <v>2754</v>
      </c>
    </row>
    <row r="618" spans="2:9" s="56" customFormat="1" ht="120" customHeight="1" x14ac:dyDescent="0.35">
      <c r="B618" s="59">
        <v>1202</v>
      </c>
      <c r="C618" s="71" t="s">
        <v>625</v>
      </c>
      <c r="D618" s="60" t="s">
        <v>2410</v>
      </c>
      <c r="E618" s="60" t="s">
        <v>2737</v>
      </c>
      <c r="F618" s="60" t="s">
        <v>2738</v>
      </c>
      <c r="G618" s="60" t="s">
        <v>2753</v>
      </c>
      <c r="H618" s="60" t="s">
        <v>2740</v>
      </c>
      <c r="I618" s="60" t="s">
        <v>2754</v>
      </c>
    </row>
    <row r="619" spans="2:9" s="56" customFormat="1" ht="120" customHeight="1" x14ac:dyDescent="0.35">
      <c r="B619" s="59">
        <v>1207</v>
      </c>
      <c r="C619" s="71" t="s">
        <v>626</v>
      </c>
      <c r="D619" s="60" t="s">
        <v>2388</v>
      </c>
      <c r="E619" s="60" t="s">
        <v>2750</v>
      </c>
      <c r="F619" s="60" t="s">
        <v>2738</v>
      </c>
      <c r="G619" s="60" t="s">
        <v>2753</v>
      </c>
      <c r="H619" s="60" t="s">
        <v>2755</v>
      </c>
      <c r="I619" s="60" t="s">
        <v>2756</v>
      </c>
    </row>
    <row r="620" spans="2:9" s="56" customFormat="1" ht="120" customHeight="1" x14ac:dyDescent="0.35">
      <c r="B620" s="59">
        <v>1208</v>
      </c>
      <c r="C620" s="71" t="s">
        <v>627</v>
      </c>
      <c r="D620" s="60" t="s">
        <v>2388</v>
      </c>
      <c r="E620" s="60" t="s">
        <v>2750</v>
      </c>
      <c r="F620" s="60" t="s">
        <v>2738</v>
      </c>
      <c r="G620" s="60" t="s">
        <v>2753</v>
      </c>
      <c r="H620" s="60" t="s">
        <v>2755</v>
      </c>
      <c r="I620" s="60" t="s">
        <v>2756</v>
      </c>
    </row>
    <row r="621" spans="2:9" s="56" customFormat="1" ht="120" customHeight="1" x14ac:dyDescent="0.35">
      <c r="B621" s="59">
        <v>1218</v>
      </c>
      <c r="C621" s="71" t="s">
        <v>628</v>
      </c>
      <c r="D621" s="60" t="s">
        <v>2388</v>
      </c>
      <c r="E621" s="60" t="s">
        <v>2742</v>
      </c>
      <c r="F621" s="60" t="s">
        <v>2738</v>
      </c>
      <c r="G621" s="60" t="s">
        <v>2757</v>
      </c>
      <c r="H621" s="60" t="s">
        <v>2758</v>
      </c>
      <c r="I621" s="60" t="s">
        <v>2754</v>
      </c>
    </row>
    <row r="622" spans="2:9" s="56" customFormat="1" ht="120" customHeight="1" x14ac:dyDescent="0.35">
      <c r="B622" s="59">
        <v>1219</v>
      </c>
      <c r="C622" s="71" t="s">
        <v>629</v>
      </c>
      <c r="D622" s="60" t="s">
        <v>2388</v>
      </c>
      <c r="E622" s="60" t="s">
        <v>2742</v>
      </c>
      <c r="F622" s="60" t="s">
        <v>2738</v>
      </c>
      <c r="G622" s="60" t="s">
        <v>2757</v>
      </c>
      <c r="H622" s="60" t="s">
        <v>2758</v>
      </c>
      <c r="I622" s="60" t="s">
        <v>2754</v>
      </c>
    </row>
    <row r="623" spans="2:9" s="56" customFormat="1" ht="120" customHeight="1" x14ac:dyDescent="0.35">
      <c r="B623" s="61">
        <v>1220</v>
      </c>
      <c r="C623" s="71" t="s">
        <v>630</v>
      </c>
      <c r="D623" s="60" t="s">
        <v>2388</v>
      </c>
      <c r="E623" s="60" t="s">
        <v>2742</v>
      </c>
      <c r="F623" s="60" t="s">
        <v>2738</v>
      </c>
      <c r="G623" s="60" t="s">
        <v>2757</v>
      </c>
      <c r="H623" s="60" t="s">
        <v>2758</v>
      </c>
      <c r="I623" s="60" t="s">
        <v>2754</v>
      </c>
    </row>
    <row r="624" spans="2:9" s="56" customFormat="1" ht="120" customHeight="1" x14ac:dyDescent="0.35">
      <c r="B624" s="61">
        <v>1225</v>
      </c>
      <c r="C624" s="71" t="s">
        <v>1035</v>
      </c>
      <c r="D624" s="60" t="s">
        <v>2407</v>
      </c>
      <c r="E624" s="60" t="s">
        <v>2759</v>
      </c>
      <c r="F624" s="60" t="s">
        <v>2760</v>
      </c>
      <c r="G624" s="60" t="s">
        <v>2761</v>
      </c>
      <c r="H624" s="60" t="s">
        <v>2762</v>
      </c>
      <c r="I624" s="60" t="s">
        <v>2763</v>
      </c>
    </row>
    <row r="625" spans="2:9" s="56" customFormat="1" ht="120" customHeight="1" x14ac:dyDescent="0.35">
      <c r="B625" s="61">
        <v>1226</v>
      </c>
      <c r="C625" s="71" t="s">
        <v>1036</v>
      </c>
      <c r="D625" s="60" t="s">
        <v>2407</v>
      </c>
      <c r="E625" s="60" t="s">
        <v>2759</v>
      </c>
      <c r="F625" s="60" t="s">
        <v>2760</v>
      </c>
      <c r="G625" s="60" t="s">
        <v>2761</v>
      </c>
      <c r="H625" s="60" t="s">
        <v>2762</v>
      </c>
      <c r="I625" s="60" t="s">
        <v>2763</v>
      </c>
    </row>
    <row r="626" spans="2:9" s="56" customFormat="1" ht="120" customHeight="1" x14ac:dyDescent="0.35">
      <c r="B626" s="61">
        <v>1227</v>
      </c>
      <c r="C626" s="71" t="s">
        <v>1037</v>
      </c>
      <c r="D626" s="60" t="s">
        <v>2407</v>
      </c>
      <c r="E626" s="60" t="s">
        <v>2759</v>
      </c>
      <c r="F626" s="60" t="s">
        <v>2760</v>
      </c>
      <c r="G626" s="60" t="s">
        <v>2761</v>
      </c>
      <c r="H626" s="60" t="s">
        <v>2762</v>
      </c>
      <c r="I626" s="60" t="s">
        <v>2763</v>
      </c>
    </row>
    <row r="627" spans="2:9" s="56" customFormat="1" ht="120" customHeight="1" x14ac:dyDescent="0.35">
      <c r="B627" s="61">
        <v>1228</v>
      </c>
      <c r="C627" s="71" t="s">
        <v>1038</v>
      </c>
      <c r="D627" s="60" t="s">
        <v>2407</v>
      </c>
      <c r="E627" s="60" t="s">
        <v>2759</v>
      </c>
      <c r="F627" s="60" t="s">
        <v>2760</v>
      </c>
      <c r="G627" s="60" t="s">
        <v>2761</v>
      </c>
      <c r="H627" s="60" t="s">
        <v>2762</v>
      </c>
      <c r="I627" s="60" t="s">
        <v>2763</v>
      </c>
    </row>
    <row r="628" spans="2:9" s="56" customFormat="1" ht="120" customHeight="1" x14ac:dyDescent="0.35">
      <c r="B628" s="59">
        <v>1229</v>
      </c>
      <c r="C628" s="71" t="s">
        <v>1039</v>
      </c>
      <c r="D628" s="60" t="s">
        <v>2407</v>
      </c>
      <c r="E628" s="60" t="s">
        <v>2759</v>
      </c>
      <c r="F628" s="60" t="s">
        <v>2760</v>
      </c>
      <c r="G628" s="60" t="s">
        <v>2761</v>
      </c>
      <c r="H628" s="60" t="s">
        <v>2762</v>
      </c>
      <c r="I628" s="60" t="s">
        <v>2763</v>
      </c>
    </row>
    <row r="629" spans="2:9" s="56" customFormat="1" ht="120" customHeight="1" x14ac:dyDescent="0.35">
      <c r="B629" s="59">
        <v>1230</v>
      </c>
      <c r="C629" s="71" t="s">
        <v>631</v>
      </c>
      <c r="D629" s="60" t="s">
        <v>2407</v>
      </c>
      <c r="E629" s="60" t="s">
        <v>2759</v>
      </c>
      <c r="F629" s="60" t="s">
        <v>2760</v>
      </c>
      <c r="G629" s="60" t="s">
        <v>2761</v>
      </c>
      <c r="H629" s="60" t="s">
        <v>2762</v>
      </c>
      <c r="I629" s="60" t="s">
        <v>2763</v>
      </c>
    </row>
    <row r="630" spans="2:9" s="56" customFormat="1" ht="120" customHeight="1" x14ac:dyDescent="0.35">
      <c r="B630" s="59">
        <v>1231</v>
      </c>
      <c r="C630" s="71" t="s">
        <v>632</v>
      </c>
      <c r="D630" s="60" t="s">
        <v>2407</v>
      </c>
      <c r="E630" s="60" t="s">
        <v>2759</v>
      </c>
      <c r="F630" s="60" t="s">
        <v>2760</v>
      </c>
      <c r="G630" s="60" t="s">
        <v>2761</v>
      </c>
      <c r="H630" s="60" t="s">
        <v>2762</v>
      </c>
      <c r="I630" s="60" t="s">
        <v>2763</v>
      </c>
    </row>
    <row r="631" spans="2:9" s="56" customFormat="1" ht="120" customHeight="1" x14ac:dyDescent="0.35">
      <c r="B631" s="59">
        <v>1232</v>
      </c>
      <c r="C631" s="71" t="s">
        <v>633</v>
      </c>
      <c r="D631" s="60" t="s">
        <v>2407</v>
      </c>
      <c r="E631" s="60" t="s">
        <v>2759</v>
      </c>
      <c r="F631" s="60" t="s">
        <v>2760</v>
      </c>
      <c r="G631" s="60" t="s">
        <v>2761</v>
      </c>
      <c r="H631" s="60" t="s">
        <v>2762</v>
      </c>
      <c r="I631" s="60" t="s">
        <v>2763</v>
      </c>
    </row>
    <row r="632" spans="2:9" s="56" customFormat="1" ht="120" customHeight="1" x14ac:dyDescent="0.35">
      <c r="B632" s="59">
        <v>1235</v>
      </c>
      <c r="C632" s="71" t="s">
        <v>634</v>
      </c>
      <c r="D632" s="60" t="s">
        <v>2407</v>
      </c>
      <c r="E632" s="60" t="s">
        <v>2764</v>
      </c>
      <c r="F632" s="60" t="s">
        <v>2760</v>
      </c>
      <c r="G632" s="60" t="s">
        <v>2765</v>
      </c>
      <c r="H632" s="60" t="s">
        <v>2766</v>
      </c>
      <c r="I632" s="60" t="s">
        <v>2767</v>
      </c>
    </row>
    <row r="633" spans="2:9" s="56" customFormat="1" ht="120" customHeight="1" x14ac:dyDescent="0.35">
      <c r="B633" s="59">
        <v>1236</v>
      </c>
      <c r="C633" s="71" t="s">
        <v>635</v>
      </c>
      <c r="D633" s="60" t="s">
        <v>2407</v>
      </c>
      <c r="E633" s="60" t="s">
        <v>2764</v>
      </c>
      <c r="F633" s="60" t="s">
        <v>2760</v>
      </c>
      <c r="G633" s="60" t="s">
        <v>2765</v>
      </c>
      <c r="H633" s="60" t="s">
        <v>2766</v>
      </c>
      <c r="I633" s="60" t="s">
        <v>2767</v>
      </c>
    </row>
    <row r="634" spans="2:9" s="56" customFormat="1" ht="120" customHeight="1" x14ac:dyDescent="0.35">
      <c r="B634" s="59">
        <v>1237</v>
      </c>
      <c r="C634" s="71" t="s">
        <v>636</v>
      </c>
      <c r="D634" s="60" t="s">
        <v>2407</v>
      </c>
      <c r="E634" s="60" t="s">
        <v>2764</v>
      </c>
      <c r="F634" s="60" t="s">
        <v>2760</v>
      </c>
      <c r="G634" s="60" t="s">
        <v>2765</v>
      </c>
      <c r="H634" s="60" t="s">
        <v>2766</v>
      </c>
      <c r="I634" s="60" t="s">
        <v>2767</v>
      </c>
    </row>
    <row r="635" spans="2:9" s="56" customFormat="1" ht="120" customHeight="1" x14ac:dyDescent="0.35">
      <c r="B635" s="59">
        <v>1245</v>
      </c>
      <c r="C635" s="71" t="s">
        <v>637</v>
      </c>
      <c r="D635" s="60" t="s">
        <v>2392</v>
      </c>
      <c r="E635" s="60" t="s">
        <v>2768</v>
      </c>
      <c r="F635" s="60" t="s">
        <v>2769</v>
      </c>
      <c r="G635" s="60" t="s">
        <v>2770</v>
      </c>
      <c r="H635" s="60" t="s">
        <v>2771</v>
      </c>
      <c r="I635" s="60" t="s">
        <v>2772</v>
      </c>
    </row>
    <row r="636" spans="2:9" s="56" customFormat="1" ht="120" customHeight="1" x14ac:dyDescent="0.35">
      <c r="B636" s="59">
        <v>1246</v>
      </c>
      <c r="C636" s="71" t="s">
        <v>638</v>
      </c>
      <c r="D636" s="60" t="s">
        <v>2392</v>
      </c>
      <c r="E636" s="60" t="s">
        <v>2768</v>
      </c>
      <c r="F636" s="60" t="s">
        <v>2769</v>
      </c>
      <c r="G636" s="60" t="s">
        <v>2770</v>
      </c>
      <c r="H636" s="60" t="s">
        <v>2771</v>
      </c>
      <c r="I636" s="60" t="s">
        <v>2772</v>
      </c>
    </row>
    <row r="637" spans="2:9" s="56" customFormat="1" ht="120" customHeight="1" x14ac:dyDescent="0.35">
      <c r="B637" s="59">
        <v>1247</v>
      </c>
      <c r="C637" s="71" t="s">
        <v>639</v>
      </c>
      <c r="D637" s="60" t="s">
        <v>2392</v>
      </c>
      <c r="E637" s="60" t="s">
        <v>2768</v>
      </c>
      <c r="F637" s="60" t="s">
        <v>2769</v>
      </c>
      <c r="G637" s="60" t="s">
        <v>2770</v>
      </c>
      <c r="H637" s="60" t="s">
        <v>2771</v>
      </c>
      <c r="I637" s="60" t="s">
        <v>2772</v>
      </c>
    </row>
    <row r="638" spans="2:9" s="56" customFormat="1" ht="120" customHeight="1" x14ac:dyDescent="0.35">
      <c r="B638" s="59">
        <v>1250</v>
      </c>
      <c r="C638" s="71" t="s">
        <v>640</v>
      </c>
      <c r="D638" s="60" t="s">
        <v>2392</v>
      </c>
      <c r="E638" s="60" t="s">
        <v>2773</v>
      </c>
      <c r="F638" s="60" t="s">
        <v>2774</v>
      </c>
      <c r="G638" s="60" t="s">
        <v>2775</v>
      </c>
      <c r="H638" s="60" t="s">
        <v>2776</v>
      </c>
      <c r="I638" s="60" t="s">
        <v>2777</v>
      </c>
    </row>
    <row r="639" spans="2:9" s="56" customFormat="1" ht="120" customHeight="1" x14ac:dyDescent="0.35">
      <c r="B639" s="59">
        <v>1251</v>
      </c>
      <c r="C639" s="71" t="s">
        <v>641</v>
      </c>
      <c r="D639" s="60" t="s">
        <v>2392</v>
      </c>
      <c r="E639" s="60" t="s">
        <v>2773</v>
      </c>
      <c r="F639" s="60" t="s">
        <v>2774</v>
      </c>
      <c r="G639" s="60" t="s">
        <v>2775</v>
      </c>
      <c r="H639" s="60" t="s">
        <v>2776</v>
      </c>
      <c r="I639" s="60" t="s">
        <v>2777</v>
      </c>
    </row>
    <row r="640" spans="2:9" s="56" customFormat="1" ht="120" customHeight="1" x14ac:dyDescent="0.35">
      <c r="B640" s="61">
        <v>1252</v>
      </c>
      <c r="C640" s="71" t="s">
        <v>642</v>
      </c>
      <c r="D640" s="60" t="s">
        <v>2392</v>
      </c>
      <c r="E640" s="60" t="s">
        <v>2773</v>
      </c>
      <c r="F640" s="60" t="s">
        <v>2774</v>
      </c>
      <c r="G640" s="60" t="s">
        <v>2775</v>
      </c>
      <c r="H640" s="60" t="s">
        <v>2776</v>
      </c>
      <c r="I640" s="60" t="s">
        <v>2777</v>
      </c>
    </row>
    <row r="641" spans="2:9" s="56" customFormat="1" ht="120" customHeight="1" x14ac:dyDescent="0.35">
      <c r="B641" s="59">
        <v>1254</v>
      </c>
      <c r="C641" s="71" t="s">
        <v>1024</v>
      </c>
      <c r="D641" s="60" t="s">
        <v>2395</v>
      </c>
      <c r="E641" s="60" t="s">
        <v>2778</v>
      </c>
      <c r="F641" s="60" t="s">
        <v>2779</v>
      </c>
      <c r="G641" s="60" t="s">
        <v>2504</v>
      </c>
      <c r="H641" s="60" t="s">
        <v>2780</v>
      </c>
      <c r="I641" s="60" t="s">
        <v>2781</v>
      </c>
    </row>
    <row r="642" spans="2:9" s="56" customFormat="1" ht="120" customHeight="1" x14ac:dyDescent="0.35">
      <c r="B642" s="59">
        <v>1255</v>
      </c>
      <c r="C642" s="71" t="s">
        <v>643</v>
      </c>
      <c r="D642" s="60" t="s">
        <v>2395</v>
      </c>
      <c r="E642" s="60"/>
      <c r="F642" s="60"/>
      <c r="G642" s="60"/>
      <c r="H642" s="60"/>
      <c r="I642" s="60"/>
    </row>
    <row r="643" spans="2:9" ht="409.5" x14ac:dyDescent="0.35">
      <c r="B643" s="59">
        <v>1256</v>
      </c>
      <c r="C643" s="71" t="s">
        <v>644</v>
      </c>
      <c r="D643" s="60" t="s">
        <v>2395</v>
      </c>
      <c r="E643" s="60" t="s">
        <v>2782</v>
      </c>
      <c r="F643" s="60" t="s">
        <v>2774</v>
      </c>
      <c r="G643" s="60" t="s">
        <v>2502</v>
      </c>
      <c r="H643" s="60" t="s">
        <v>2503</v>
      </c>
      <c r="I643" s="60" t="s">
        <v>2505</v>
      </c>
    </row>
    <row r="644" spans="2:9" s="56" customFormat="1" ht="120" customHeight="1" x14ac:dyDescent="0.35">
      <c r="B644" s="59">
        <v>1257</v>
      </c>
      <c r="C644" s="71" t="s">
        <v>645</v>
      </c>
      <c r="D644" s="60" t="s">
        <v>2395</v>
      </c>
      <c r="E644" s="60" t="s">
        <v>2782</v>
      </c>
      <c r="F644" s="60" t="s">
        <v>2774</v>
      </c>
      <c r="G644" s="60" t="s">
        <v>2502</v>
      </c>
      <c r="H644" s="60" t="s">
        <v>2503</v>
      </c>
      <c r="I644" s="60" t="s">
        <v>2505</v>
      </c>
    </row>
    <row r="645" spans="2:9" s="56" customFormat="1" ht="120" customHeight="1" x14ac:dyDescent="0.35">
      <c r="B645" s="59">
        <v>1260</v>
      </c>
      <c r="C645" s="71" t="s">
        <v>646</v>
      </c>
      <c r="D645" s="60" t="s">
        <v>2395</v>
      </c>
      <c r="E645" s="60" t="s">
        <v>2783</v>
      </c>
      <c r="F645" s="60" t="s">
        <v>2784</v>
      </c>
      <c r="G645" s="60" t="s">
        <v>2785</v>
      </c>
      <c r="H645" s="60" t="s">
        <v>2786</v>
      </c>
      <c r="I645" s="60" t="s">
        <v>2787</v>
      </c>
    </row>
    <row r="646" spans="2:9" s="56" customFormat="1" ht="120" customHeight="1" x14ac:dyDescent="0.35">
      <c r="B646" s="59">
        <v>1261</v>
      </c>
      <c r="C646" s="71" t="s">
        <v>647</v>
      </c>
      <c r="D646" s="60" t="s">
        <v>2395</v>
      </c>
      <c r="E646" s="60"/>
      <c r="F646" s="60"/>
      <c r="G646" s="60"/>
      <c r="H646" s="60"/>
      <c r="I646" s="60"/>
    </row>
    <row r="647" spans="2:9" ht="409.5" x14ac:dyDescent="0.35">
      <c r="B647" s="59">
        <v>1265</v>
      </c>
      <c r="C647" s="71" t="s">
        <v>648</v>
      </c>
      <c r="D647" s="60" t="s">
        <v>2395</v>
      </c>
      <c r="E647" s="60" t="s">
        <v>2788</v>
      </c>
      <c r="F647" s="60" t="s">
        <v>2789</v>
      </c>
      <c r="G647" s="60" t="s">
        <v>2790</v>
      </c>
      <c r="H647" s="60" t="s">
        <v>2791</v>
      </c>
      <c r="I647" s="60" t="s">
        <v>2792</v>
      </c>
    </row>
    <row r="648" spans="2:9" s="56" customFormat="1" ht="120" customHeight="1" x14ac:dyDescent="0.35">
      <c r="B648" s="59">
        <v>1266</v>
      </c>
      <c r="C648" s="71" t="s">
        <v>649</v>
      </c>
      <c r="D648" s="60" t="s">
        <v>2395</v>
      </c>
      <c r="E648" s="60"/>
      <c r="F648" s="60"/>
      <c r="G648" s="60"/>
      <c r="H648" s="60"/>
      <c r="I648" s="60"/>
    </row>
    <row r="649" spans="2:9" x14ac:dyDescent="0.35">
      <c r="B649" s="59">
        <v>1270</v>
      </c>
      <c r="C649" s="71" t="s">
        <v>650</v>
      </c>
      <c r="D649" s="60" t="s">
        <v>2372</v>
      </c>
      <c r="E649" s="60"/>
      <c r="F649" s="60"/>
      <c r="G649" s="60"/>
      <c r="H649" s="60"/>
      <c r="I649" s="60"/>
    </row>
    <row r="650" spans="2:9" x14ac:dyDescent="0.35">
      <c r="B650" s="59">
        <v>1271</v>
      </c>
      <c r="C650" s="71" t="s">
        <v>651</v>
      </c>
      <c r="D650" s="60" t="s">
        <v>2372</v>
      </c>
      <c r="E650" s="60"/>
      <c r="F650" s="60"/>
      <c r="G650" s="60"/>
      <c r="H650" s="60"/>
      <c r="I650" s="60"/>
    </row>
    <row r="651" spans="2:9" x14ac:dyDescent="0.35">
      <c r="B651" s="59">
        <v>1272</v>
      </c>
      <c r="C651" s="71" t="s">
        <v>652</v>
      </c>
      <c r="D651" s="60" t="s">
        <v>2372</v>
      </c>
      <c r="E651" s="60"/>
      <c r="F651" s="60"/>
      <c r="G651" s="60"/>
      <c r="H651" s="60"/>
      <c r="I651" s="60"/>
    </row>
    <row r="652" spans="2:9" x14ac:dyDescent="0.35">
      <c r="B652" s="59">
        <v>1273</v>
      </c>
      <c r="C652" s="71" t="s">
        <v>653</v>
      </c>
      <c r="D652" s="60" t="s">
        <v>2372</v>
      </c>
      <c r="E652" s="60"/>
      <c r="F652" s="60"/>
      <c r="G652" s="60"/>
      <c r="H652" s="60"/>
      <c r="I652" s="60"/>
    </row>
    <row r="653" spans="2:9" x14ac:dyDescent="0.35">
      <c r="B653" s="59">
        <v>1274</v>
      </c>
      <c r="C653" s="71" t="s">
        <v>654</v>
      </c>
      <c r="D653" s="60" t="s">
        <v>2372</v>
      </c>
      <c r="E653" s="60"/>
      <c r="F653" s="60"/>
      <c r="G653" s="60"/>
      <c r="H653" s="60"/>
      <c r="I653" s="60"/>
    </row>
    <row r="654" spans="2:9" x14ac:dyDescent="0.35">
      <c r="B654" s="59">
        <v>1275</v>
      </c>
      <c r="C654" s="71" t="s">
        <v>655</v>
      </c>
      <c r="D654" s="60" t="s">
        <v>2372</v>
      </c>
      <c r="E654" s="60"/>
      <c r="F654" s="60"/>
      <c r="G654" s="60"/>
      <c r="H654" s="60"/>
      <c r="I654" s="60"/>
    </row>
    <row r="655" spans="2:9" x14ac:dyDescent="0.35">
      <c r="B655" s="59">
        <v>1277</v>
      </c>
      <c r="C655" s="71" t="s">
        <v>656</v>
      </c>
      <c r="D655" s="60" t="s">
        <v>2372</v>
      </c>
      <c r="E655" s="60"/>
      <c r="F655" s="60"/>
      <c r="G655" s="60"/>
      <c r="H655" s="60"/>
      <c r="I655" s="60"/>
    </row>
    <row r="656" spans="2:9" x14ac:dyDescent="0.35">
      <c r="B656" s="59">
        <v>1278</v>
      </c>
      <c r="C656" s="71" t="s">
        <v>657</v>
      </c>
      <c r="D656" s="60" t="s">
        <v>2372</v>
      </c>
      <c r="E656" s="60"/>
      <c r="F656" s="60"/>
      <c r="G656" s="60"/>
      <c r="H656" s="60"/>
      <c r="I656" s="60"/>
    </row>
    <row r="657" spans="2:9" ht="29" x14ac:dyDescent="0.35">
      <c r="B657" s="59">
        <v>1279</v>
      </c>
      <c r="C657" s="71" t="s">
        <v>658</v>
      </c>
      <c r="D657" s="60" t="s">
        <v>2372</v>
      </c>
      <c r="E657" s="60"/>
      <c r="F657" s="60"/>
      <c r="G657" s="60"/>
      <c r="H657" s="60"/>
      <c r="I657" s="60"/>
    </row>
    <row r="658" spans="2:9" ht="29" x14ac:dyDescent="0.35">
      <c r="B658" s="59">
        <v>1280</v>
      </c>
      <c r="C658" s="71" t="s">
        <v>659</v>
      </c>
      <c r="D658" s="60" t="s">
        <v>2372</v>
      </c>
      <c r="E658" s="60"/>
      <c r="F658" s="60"/>
      <c r="G658" s="60"/>
      <c r="H658" s="60"/>
      <c r="I658" s="60"/>
    </row>
    <row r="659" spans="2:9" ht="29" x14ac:dyDescent="0.35">
      <c r="B659" s="59">
        <v>1281</v>
      </c>
      <c r="C659" s="71" t="s">
        <v>660</v>
      </c>
      <c r="D659" s="60" t="s">
        <v>2372</v>
      </c>
      <c r="E659" s="60"/>
      <c r="F659" s="60"/>
      <c r="G659" s="60"/>
      <c r="H659" s="60"/>
      <c r="I659" s="60"/>
    </row>
    <row r="660" spans="2:9" x14ac:dyDescent="0.35">
      <c r="B660" s="59">
        <v>1283</v>
      </c>
      <c r="C660" s="71" t="s">
        <v>661</v>
      </c>
      <c r="D660" s="60" t="s">
        <v>2372</v>
      </c>
      <c r="E660" s="60"/>
      <c r="F660" s="60"/>
      <c r="G660" s="60"/>
      <c r="H660" s="60"/>
      <c r="I660" s="60"/>
    </row>
    <row r="661" spans="2:9" x14ac:dyDescent="0.35">
      <c r="B661" s="59">
        <v>1284</v>
      </c>
      <c r="C661" s="71" t="s">
        <v>662</v>
      </c>
      <c r="D661" s="60" t="s">
        <v>2372</v>
      </c>
      <c r="E661" s="60"/>
      <c r="F661" s="60"/>
      <c r="G661" s="60"/>
      <c r="H661" s="60"/>
      <c r="I661" s="60"/>
    </row>
    <row r="662" spans="2:9" x14ac:dyDescent="0.35">
      <c r="B662" s="59">
        <v>1285</v>
      </c>
      <c r="C662" s="71" t="s">
        <v>663</v>
      </c>
      <c r="D662" s="60" t="s">
        <v>2372</v>
      </c>
      <c r="E662" s="60"/>
      <c r="F662" s="60"/>
      <c r="G662" s="60"/>
      <c r="H662" s="60"/>
      <c r="I662" s="60"/>
    </row>
    <row r="663" spans="2:9" ht="29" x14ac:dyDescent="0.35">
      <c r="B663" s="59">
        <v>1286</v>
      </c>
      <c r="C663" s="71" t="s">
        <v>664</v>
      </c>
      <c r="D663" s="60" t="s">
        <v>2372</v>
      </c>
      <c r="E663" s="60"/>
      <c r="F663" s="60"/>
      <c r="G663" s="60"/>
      <c r="H663" s="60"/>
      <c r="I663" s="60"/>
    </row>
    <row r="664" spans="2:9" ht="29" x14ac:dyDescent="0.35">
      <c r="B664" s="59">
        <v>1287</v>
      </c>
      <c r="C664" s="71" t="s">
        <v>665</v>
      </c>
      <c r="D664" s="60" t="s">
        <v>2372</v>
      </c>
      <c r="E664" s="60"/>
      <c r="F664" s="60"/>
      <c r="G664" s="60"/>
      <c r="H664" s="60"/>
      <c r="I664" s="60"/>
    </row>
    <row r="665" spans="2:9" x14ac:dyDescent="0.35">
      <c r="B665" s="59">
        <v>1288</v>
      </c>
      <c r="C665" s="71" t="s">
        <v>666</v>
      </c>
      <c r="D665" s="60" t="s">
        <v>2372</v>
      </c>
      <c r="E665" s="60"/>
      <c r="F665" s="60"/>
      <c r="G665" s="60"/>
      <c r="H665" s="60"/>
      <c r="I665" s="60"/>
    </row>
    <row r="666" spans="2:9" x14ac:dyDescent="0.35">
      <c r="B666" s="59">
        <v>1290</v>
      </c>
      <c r="C666" s="71" t="s">
        <v>667</v>
      </c>
      <c r="D666" s="60" t="s">
        <v>2372</v>
      </c>
      <c r="E666" s="60"/>
      <c r="F666" s="60"/>
      <c r="G666" s="60"/>
      <c r="H666" s="60"/>
      <c r="I666" s="60"/>
    </row>
    <row r="667" spans="2:9" ht="29" x14ac:dyDescent="0.35">
      <c r="B667" s="59">
        <v>1291</v>
      </c>
      <c r="C667" s="71" t="s">
        <v>668</v>
      </c>
      <c r="D667" s="60" t="s">
        <v>2372</v>
      </c>
      <c r="E667" s="60"/>
      <c r="F667" s="60"/>
      <c r="G667" s="60"/>
      <c r="H667" s="60"/>
      <c r="I667" s="60"/>
    </row>
    <row r="668" spans="2:9" ht="29" x14ac:dyDescent="0.35">
      <c r="B668" s="59">
        <v>1292</v>
      </c>
      <c r="C668" s="71" t="s">
        <v>669</v>
      </c>
      <c r="D668" s="60" t="s">
        <v>2372</v>
      </c>
      <c r="E668" s="60"/>
      <c r="F668" s="60"/>
      <c r="G668" s="60"/>
      <c r="H668" s="60"/>
      <c r="I668" s="60"/>
    </row>
    <row r="669" spans="2:9" ht="29" x14ac:dyDescent="0.35">
      <c r="B669" s="59">
        <v>1293</v>
      </c>
      <c r="C669" s="71" t="s">
        <v>670</v>
      </c>
      <c r="D669" s="60" t="s">
        <v>2372</v>
      </c>
      <c r="E669" s="60"/>
      <c r="F669" s="60"/>
      <c r="G669" s="60"/>
      <c r="H669" s="60"/>
      <c r="I669" s="60"/>
    </row>
    <row r="670" spans="2:9" x14ac:dyDescent="0.35">
      <c r="B670" s="59">
        <v>1294</v>
      </c>
      <c r="C670" s="71" t="s">
        <v>671</v>
      </c>
      <c r="D670" s="60" t="s">
        <v>2372</v>
      </c>
      <c r="E670" s="60"/>
      <c r="F670" s="60"/>
      <c r="G670" s="60"/>
      <c r="H670" s="60"/>
      <c r="I670" s="60"/>
    </row>
    <row r="671" spans="2:9" ht="409.5" x14ac:dyDescent="0.35">
      <c r="B671" s="59">
        <v>1296</v>
      </c>
      <c r="C671" s="71" t="s">
        <v>672</v>
      </c>
      <c r="D671" s="60" t="s">
        <v>2372</v>
      </c>
      <c r="E671" s="60" t="s">
        <v>2793</v>
      </c>
      <c r="F671" s="60" t="s">
        <v>2928</v>
      </c>
      <c r="G671" s="60" t="s">
        <v>2794</v>
      </c>
      <c r="H671" s="60" t="s">
        <v>2795</v>
      </c>
      <c r="I671" s="60" t="s">
        <v>2796</v>
      </c>
    </row>
    <row r="672" spans="2:9" s="56" customFormat="1" ht="120" customHeight="1" x14ac:dyDescent="0.35">
      <c r="B672" s="61">
        <v>1298</v>
      </c>
      <c r="C672" s="71" t="s">
        <v>673</v>
      </c>
      <c r="D672" s="63" t="s">
        <v>2381</v>
      </c>
      <c r="E672" s="60"/>
      <c r="F672" s="60"/>
      <c r="G672" s="60"/>
      <c r="H672" s="60"/>
      <c r="I672" s="60"/>
    </row>
    <row r="673" spans="2:9" ht="29" x14ac:dyDescent="0.35">
      <c r="B673" s="59">
        <v>1299</v>
      </c>
      <c r="C673" s="71" t="s">
        <v>2324</v>
      </c>
      <c r="D673" s="63" t="s">
        <v>2381</v>
      </c>
      <c r="E673" s="60"/>
      <c r="F673" s="60"/>
      <c r="G673" s="60"/>
      <c r="H673" s="60"/>
      <c r="I673" s="60"/>
    </row>
    <row r="674" spans="2:9" x14ac:dyDescent="0.35">
      <c r="B674" s="59">
        <v>1300</v>
      </c>
      <c r="C674" s="71" t="s">
        <v>2491</v>
      </c>
      <c r="D674" s="60" t="s">
        <v>2418</v>
      </c>
      <c r="E674" s="60"/>
      <c r="F674" s="60"/>
      <c r="G674" s="60"/>
      <c r="H674" s="60"/>
      <c r="I674" s="60"/>
    </row>
    <row r="675" spans="2:9" x14ac:dyDescent="0.35">
      <c r="B675" s="59">
        <v>1301</v>
      </c>
      <c r="C675" s="71" t="s">
        <v>675</v>
      </c>
      <c r="D675" s="60" t="s">
        <v>2418</v>
      </c>
      <c r="E675" s="60"/>
      <c r="F675" s="60"/>
      <c r="G675" s="60"/>
      <c r="H675" s="60"/>
      <c r="I675" s="60"/>
    </row>
    <row r="676" spans="2:9" x14ac:dyDescent="0.35">
      <c r="B676" s="61">
        <v>1302</v>
      </c>
      <c r="C676" s="71" t="s">
        <v>676</v>
      </c>
      <c r="D676" s="60" t="s">
        <v>2418</v>
      </c>
      <c r="E676" s="60"/>
      <c r="F676" s="60"/>
      <c r="G676" s="60"/>
      <c r="H676" s="60"/>
      <c r="I676" s="60"/>
    </row>
    <row r="677" spans="2:9" ht="29" x14ac:dyDescent="0.35">
      <c r="B677" s="61">
        <v>1303</v>
      </c>
      <c r="C677" s="71" t="s">
        <v>2325</v>
      </c>
      <c r="D677" s="60" t="s">
        <v>2372</v>
      </c>
      <c r="E677" s="60"/>
      <c r="F677" s="60"/>
      <c r="G677" s="60"/>
      <c r="H677" s="60"/>
      <c r="I677" s="60"/>
    </row>
    <row r="678" spans="2:9" ht="29" x14ac:dyDescent="0.35">
      <c r="B678" s="61">
        <v>1304</v>
      </c>
      <c r="C678" s="71" t="s">
        <v>2326</v>
      </c>
      <c r="D678" s="60" t="s">
        <v>2372</v>
      </c>
      <c r="E678" s="60"/>
      <c r="F678" s="60"/>
      <c r="G678" s="60"/>
      <c r="H678" s="60"/>
      <c r="I678" s="60"/>
    </row>
    <row r="679" spans="2:9" ht="29" x14ac:dyDescent="0.35">
      <c r="B679" s="61">
        <v>1305</v>
      </c>
      <c r="C679" s="71" t="s">
        <v>2327</v>
      </c>
      <c r="D679" s="60" t="s">
        <v>2372</v>
      </c>
      <c r="E679" s="60"/>
      <c r="F679" s="60"/>
      <c r="G679" s="60"/>
      <c r="H679" s="60"/>
      <c r="I679" s="60"/>
    </row>
    <row r="680" spans="2:9" ht="29" x14ac:dyDescent="0.35">
      <c r="B680" s="61">
        <v>1306</v>
      </c>
      <c r="C680" s="71" t="s">
        <v>2328</v>
      </c>
      <c r="D680" s="60" t="s">
        <v>2372</v>
      </c>
      <c r="E680" s="60"/>
      <c r="F680" s="60"/>
      <c r="G680" s="60"/>
      <c r="H680" s="60"/>
      <c r="I680" s="60"/>
    </row>
    <row r="681" spans="2:9" ht="29" x14ac:dyDescent="0.35">
      <c r="B681" s="59">
        <v>1307</v>
      </c>
      <c r="C681" s="71" t="s">
        <v>2329</v>
      </c>
      <c r="D681" s="60" t="s">
        <v>2372</v>
      </c>
      <c r="E681" s="60"/>
      <c r="F681" s="60"/>
      <c r="G681" s="60"/>
      <c r="H681" s="60"/>
      <c r="I681" s="60"/>
    </row>
    <row r="682" spans="2:9" x14ac:dyDescent="0.35">
      <c r="B682" s="59">
        <v>1308</v>
      </c>
      <c r="C682" s="71" t="s">
        <v>677</v>
      </c>
      <c r="D682" s="60" t="s">
        <v>2399</v>
      </c>
      <c r="E682" s="60"/>
      <c r="F682" s="60"/>
      <c r="G682" s="60"/>
      <c r="H682" s="60"/>
      <c r="I682" s="60"/>
    </row>
    <row r="683" spans="2:9" x14ac:dyDescent="0.35">
      <c r="B683" s="59">
        <v>1309</v>
      </c>
      <c r="C683" s="71" t="s">
        <v>678</v>
      </c>
      <c r="D683" s="60" t="s">
        <v>2399</v>
      </c>
      <c r="E683" s="60"/>
      <c r="F683" s="60"/>
      <c r="G683" s="60"/>
      <c r="H683" s="60"/>
      <c r="I683" s="60"/>
    </row>
    <row r="684" spans="2:9" x14ac:dyDescent="0.35">
      <c r="B684" s="59">
        <v>1310</v>
      </c>
      <c r="C684" s="71" t="s">
        <v>679</v>
      </c>
      <c r="D684" s="60" t="s">
        <v>2399</v>
      </c>
      <c r="E684" s="60"/>
      <c r="F684" s="60"/>
      <c r="G684" s="60"/>
      <c r="H684" s="60"/>
      <c r="I684" s="60"/>
    </row>
    <row r="685" spans="2:9" x14ac:dyDescent="0.35">
      <c r="B685" s="59">
        <v>1311</v>
      </c>
      <c r="C685" s="71" t="s">
        <v>680</v>
      </c>
      <c r="D685" s="60" t="s">
        <v>2399</v>
      </c>
      <c r="E685" s="60"/>
      <c r="F685" s="60"/>
      <c r="G685" s="60"/>
      <c r="H685" s="60"/>
      <c r="I685" s="60"/>
    </row>
    <row r="686" spans="2:9" x14ac:dyDescent="0.35">
      <c r="B686" s="59">
        <v>1312</v>
      </c>
      <c r="C686" s="71" t="s">
        <v>681</v>
      </c>
      <c r="D686" s="60" t="s">
        <v>2399</v>
      </c>
      <c r="E686" s="60"/>
      <c r="F686" s="60"/>
      <c r="G686" s="60"/>
      <c r="H686" s="60"/>
      <c r="I686" s="60"/>
    </row>
    <row r="687" spans="2:9" x14ac:dyDescent="0.35">
      <c r="B687" s="59">
        <v>1313</v>
      </c>
      <c r="C687" s="71" t="s">
        <v>682</v>
      </c>
      <c r="D687" s="60" t="s">
        <v>2399</v>
      </c>
      <c r="E687" s="60"/>
      <c r="F687" s="60"/>
      <c r="G687" s="60"/>
      <c r="H687" s="60"/>
      <c r="I687" s="60"/>
    </row>
    <row r="688" spans="2:9" ht="409.5" x14ac:dyDescent="0.35">
      <c r="B688" s="59">
        <v>1314</v>
      </c>
      <c r="C688" s="71" t="s">
        <v>683</v>
      </c>
      <c r="D688" s="60" t="s">
        <v>2381</v>
      </c>
      <c r="E688" s="60" t="s">
        <v>2797</v>
      </c>
      <c r="F688" s="60" t="s">
        <v>2798</v>
      </c>
      <c r="G688" s="60" t="s">
        <v>2799</v>
      </c>
      <c r="H688" s="60" t="s">
        <v>2800</v>
      </c>
      <c r="I688" s="60" t="s">
        <v>2801</v>
      </c>
    </row>
    <row r="689" spans="2:9" s="56" customFormat="1" ht="120" customHeight="1" x14ac:dyDescent="0.35">
      <c r="B689" s="59">
        <v>1315</v>
      </c>
      <c r="C689" s="71" t="s">
        <v>684</v>
      </c>
      <c r="D689" s="60" t="s">
        <v>2381</v>
      </c>
      <c r="E689" s="60" t="s">
        <v>2797</v>
      </c>
      <c r="F689" s="60" t="s">
        <v>2798</v>
      </c>
      <c r="G689" s="60" t="s">
        <v>2799</v>
      </c>
      <c r="H689" s="60" t="s">
        <v>2800</v>
      </c>
      <c r="I689" s="60" t="s">
        <v>2801</v>
      </c>
    </row>
    <row r="690" spans="2:9" s="56" customFormat="1" ht="120" customHeight="1" x14ac:dyDescent="0.35">
      <c r="B690" s="59">
        <v>1316</v>
      </c>
      <c r="C690" s="71" t="s">
        <v>685</v>
      </c>
      <c r="D690" s="60" t="s">
        <v>2381</v>
      </c>
      <c r="E690" s="60" t="s">
        <v>2797</v>
      </c>
      <c r="F690" s="60" t="s">
        <v>2798</v>
      </c>
      <c r="G690" s="60" t="s">
        <v>2799</v>
      </c>
      <c r="H690" s="60" t="s">
        <v>2800</v>
      </c>
      <c r="I690" s="60" t="s">
        <v>2801</v>
      </c>
    </row>
    <row r="691" spans="2:9" s="56" customFormat="1" ht="120" customHeight="1" x14ac:dyDescent="0.35">
      <c r="B691" s="59">
        <v>1317</v>
      </c>
      <c r="C691" s="71" t="s">
        <v>686</v>
      </c>
      <c r="D691" s="60" t="s">
        <v>2381</v>
      </c>
      <c r="E691" s="60" t="s">
        <v>2797</v>
      </c>
      <c r="F691" s="60" t="s">
        <v>2798</v>
      </c>
      <c r="G691" s="60" t="s">
        <v>2799</v>
      </c>
      <c r="H691" s="60" t="s">
        <v>2800</v>
      </c>
      <c r="I691" s="60" t="s">
        <v>2801</v>
      </c>
    </row>
    <row r="692" spans="2:9" s="56" customFormat="1" ht="120" customHeight="1" x14ac:dyDescent="0.35">
      <c r="B692" s="59">
        <v>1318</v>
      </c>
      <c r="C692" s="71" t="s">
        <v>687</v>
      </c>
      <c r="D692" s="63" t="s">
        <v>2381</v>
      </c>
      <c r="E692" s="60"/>
      <c r="F692" s="60"/>
      <c r="G692" s="60"/>
      <c r="H692" s="60"/>
      <c r="I692" s="60"/>
    </row>
    <row r="693" spans="2:9" x14ac:dyDescent="0.35">
      <c r="B693" s="59">
        <v>1319</v>
      </c>
      <c r="C693" s="71" t="s">
        <v>688</v>
      </c>
      <c r="D693" s="63" t="s">
        <v>2381</v>
      </c>
      <c r="E693" s="60"/>
      <c r="F693" s="60"/>
      <c r="G693" s="60"/>
      <c r="H693" s="60"/>
      <c r="I693" s="60"/>
    </row>
    <row r="694" spans="2:9" x14ac:dyDescent="0.35">
      <c r="B694" s="59">
        <v>1320</v>
      </c>
      <c r="C694" s="71" t="s">
        <v>689</v>
      </c>
      <c r="D694" s="63" t="s">
        <v>2381</v>
      </c>
      <c r="E694" s="60"/>
      <c r="F694" s="60"/>
      <c r="G694" s="60"/>
      <c r="H694" s="60"/>
      <c r="I694" s="60"/>
    </row>
    <row r="695" spans="2:9" x14ac:dyDescent="0.35">
      <c r="B695" s="59">
        <v>1321</v>
      </c>
      <c r="C695" s="71" t="s">
        <v>690</v>
      </c>
      <c r="D695" s="63" t="s">
        <v>2381</v>
      </c>
      <c r="E695" s="60"/>
      <c r="F695" s="60"/>
      <c r="G695" s="60"/>
      <c r="H695" s="60"/>
      <c r="I695" s="60"/>
    </row>
    <row r="696" spans="2:9" x14ac:dyDescent="0.35">
      <c r="B696" s="59">
        <v>1324</v>
      </c>
      <c r="C696" s="71" t="s">
        <v>691</v>
      </c>
      <c r="D696" s="60" t="s">
        <v>2414</v>
      </c>
      <c r="E696" s="60"/>
      <c r="F696" s="60"/>
      <c r="G696" s="60"/>
      <c r="H696" s="60"/>
      <c r="I696" s="60"/>
    </row>
    <row r="697" spans="2:9" x14ac:dyDescent="0.35">
      <c r="B697" s="59">
        <v>1325</v>
      </c>
      <c r="C697" s="71" t="s">
        <v>692</v>
      </c>
      <c r="D697" s="60" t="s">
        <v>2414</v>
      </c>
      <c r="E697" s="60"/>
      <c r="F697" s="60"/>
      <c r="G697" s="60"/>
      <c r="H697" s="60"/>
      <c r="I697" s="60"/>
    </row>
    <row r="698" spans="2:9" x14ac:dyDescent="0.35">
      <c r="B698" s="59">
        <v>1326</v>
      </c>
      <c r="C698" s="71" t="s">
        <v>693</v>
      </c>
      <c r="D698" s="60" t="s">
        <v>2414</v>
      </c>
      <c r="E698" s="60"/>
      <c r="F698" s="60"/>
      <c r="G698" s="60"/>
      <c r="H698" s="60"/>
      <c r="I698" s="60"/>
    </row>
    <row r="699" spans="2:9" x14ac:dyDescent="0.35">
      <c r="B699" s="61">
        <v>1327</v>
      </c>
      <c r="C699" s="71" t="s">
        <v>694</v>
      </c>
      <c r="D699" s="60" t="s">
        <v>2414</v>
      </c>
      <c r="E699" s="60"/>
      <c r="F699" s="60"/>
      <c r="G699" s="60"/>
      <c r="H699" s="60"/>
      <c r="I699" s="60"/>
    </row>
    <row r="700" spans="2:9" x14ac:dyDescent="0.35">
      <c r="B700" s="61">
        <v>1328</v>
      </c>
      <c r="C700" s="71" t="s">
        <v>2318</v>
      </c>
      <c r="D700" s="60" t="s">
        <v>2372</v>
      </c>
      <c r="E700" s="60"/>
      <c r="F700" s="60"/>
      <c r="G700" s="60"/>
      <c r="H700" s="60"/>
      <c r="I700" s="60"/>
    </row>
    <row r="701" spans="2:9" x14ac:dyDescent="0.35">
      <c r="B701" s="61">
        <v>1329</v>
      </c>
      <c r="C701" s="71" t="s">
        <v>2319</v>
      </c>
      <c r="D701" s="60" t="s">
        <v>2372</v>
      </c>
      <c r="E701" s="60"/>
      <c r="F701" s="60"/>
      <c r="G701" s="60"/>
      <c r="H701" s="60"/>
      <c r="I701" s="60"/>
    </row>
    <row r="702" spans="2:9" x14ac:dyDescent="0.35">
      <c r="B702" s="61">
        <v>1330</v>
      </c>
      <c r="C702" s="71" t="s">
        <v>2320</v>
      </c>
      <c r="D702" s="60" t="s">
        <v>2372</v>
      </c>
      <c r="E702" s="60"/>
      <c r="F702" s="60"/>
      <c r="G702" s="60"/>
      <c r="H702" s="60"/>
      <c r="I702" s="60"/>
    </row>
    <row r="703" spans="2:9" x14ac:dyDescent="0.35">
      <c r="B703" s="61">
        <v>1331</v>
      </c>
      <c r="C703" s="71" t="s">
        <v>2321</v>
      </c>
      <c r="D703" s="60" t="s">
        <v>2372</v>
      </c>
      <c r="E703" s="60"/>
      <c r="F703" s="60"/>
      <c r="G703" s="60"/>
      <c r="H703" s="60"/>
      <c r="I703" s="60"/>
    </row>
    <row r="704" spans="2:9" x14ac:dyDescent="0.35">
      <c r="B704" s="61">
        <v>1332</v>
      </c>
      <c r="C704" s="71" t="s">
        <v>2322</v>
      </c>
      <c r="D704" s="60" t="s">
        <v>2372</v>
      </c>
      <c r="E704" s="60"/>
      <c r="F704" s="60"/>
      <c r="G704" s="60"/>
      <c r="H704" s="60"/>
      <c r="I704" s="60"/>
    </row>
    <row r="705" spans="2:9" x14ac:dyDescent="0.35">
      <c r="B705" s="59">
        <v>1333</v>
      </c>
      <c r="C705" s="71" t="s">
        <v>2323</v>
      </c>
      <c r="D705" s="60" t="s">
        <v>2372</v>
      </c>
      <c r="E705" s="60"/>
      <c r="F705" s="60"/>
      <c r="G705" s="60"/>
      <c r="H705" s="60"/>
      <c r="I705" s="60"/>
    </row>
    <row r="706" spans="2:9" ht="409.5" x14ac:dyDescent="0.35">
      <c r="B706" s="59">
        <v>1334</v>
      </c>
      <c r="C706" s="71" t="s">
        <v>695</v>
      </c>
      <c r="D706" s="60" t="s">
        <v>2384</v>
      </c>
      <c r="E706" s="60" t="s">
        <v>2802</v>
      </c>
      <c r="F706" s="60" t="s">
        <v>2803</v>
      </c>
      <c r="G706" s="60" t="s">
        <v>2804</v>
      </c>
      <c r="H706" s="60" t="s">
        <v>2805</v>
      </c>
      <c r="I706" s="60" t="s">
        <v>2806</v>
      </c>
    </row>
    <row r="707" spans="2:9" s="56" customFormat="1" ht="120" customHeight="1" x14ac:dyDescent="0.35">
      <c r="B707" s="59">
        <v>1335</v>
      </c>
      <c r="C707" s="71" t="s">
        <v>696</v>
      </c>
      <c r="D707" s="60" t="s">
        <v>2384</v>
      </c>
      <c r="E707" s="60" t="s">
        <v>2802</v>
      </c>
      <c r="F707" s="60" t="s">
        <v>2803</v>
      </c>
      <c r="G707" s="60" t="s">
        <v>2804</v>
      </c>
      <c r="H707" s="60" t="s">
        <v>2805</v>
      </c>
      <c r="I707" s="60" t="s">
        <v>2806</v>
      </c>
    </row>
    <row r="708" spans="2:9" s="56" customFormat="1" ht="120" customHeight="1" x14ac:dyDescent="0.35">
      <c r="B708" s="59">
        <v>1336</v>
      </c>
      <c r="C708" s="71" t="s">
        <v>697</v>
      </c>
      <c r="D708" s="60" t="s">
        <v>2384</v>
      </c>
      <c r="E708" s="60" t="s">
        <v>2802</v>
      </c>
      <c r="F708" s="60" t="s">
        <v>2803</v>
      </c>
      <c r="G708" s="60" t="s">
        <v>2804</v>
      </c>
      <c r="H708" s="60" t="s">
        <v>2805</v>
      </c>
      <c r="I708" s="60" t="s">
        <v>2806</v>
      </c>
    </row>
    <row r="709" spans="2:9" s="56" customFormat="1" ht="120" customHeight="1" x14ac:dyDescent="0.35">
      <c r="B709" s="59">
        <v>1337</v>
      </c>
      <c r="C709" s="71" t="s">
        <v>698</v>
      </c>
      <c r="D709" s="60" t="s">
        <v>2384</v>
      </c>
      <c r="E709" s="60" t="s">
        <v>2807</v>
      </c>
      <c r="F709" s="60" t="s">
        <v>2808</v>
      </c>
      <c r="G709" s="60" t="s">
        <v>2809</v>
      </c>
      <c r="H709" s="60" t="s">
        <v>2810</v>
      </c>
      <c r="I709" s="60" t="s">
        <v>2811</v>
      </c>
    </row>
    <row r="710" spans="2:9" s="56" customFormat="1" ht="120" customHeight="1" x14ac:dyDescent="0.35">
      <c r="B710" s="59">
        <v>1338</v>
      </c>
      <c r="C710" s="71" t="s">
        <v>699</v>
      </c>
      <c r="D710" s="60" t="s">
        <v>2384</v>
      </c>
      <c r="E710" s="60" t="s">
        <v>2807</v>
      </c>
      <c r="F710" s="60" t="s">
        <v>2808</v>
      </c>
      <c r="G710" s="60" t="s">
        <v>2809</v>
      </c>
      <c r="H710" s="60" t="s">
        <v>2810</v>
      </c>
      <c r="I710" s="60" t="s">
        <v>2811</v>
      </c>
    </row>
    <row r="711" spans="2:9" s="56" customFormat="1" ht="120" customHeight="1" x14ac:dyDescent="0.35">
      <c r="B711" s="59">
        <v>1339</v>
      </c>
      <c r="C711" s="71" t="s">
        <v>700</v>
      </c>
      <c r="D711" s="60" t="s">
        <v>2384</v>
      </c>
      <c r="E711" s="60" t="s">
        <v>2807</v>
      </c>
      <c r="F711" s="60" t="s">
        <v>2808</v>
      </c>
      <c r="G711" s="60" t="s">
        <v>2809</v>
      </c>
      <c r="H711" s="60" t="s">
        <v>2810</v>
      </c>
      <c r="I711" s="60" t="s">
        <v>2811</v>
      </c>
    </row>
    <row r="712" spans="2:9" s="56" customFormat="1" ht="120" customHeight="1" x14ac:dyDescent="0.35">
      <c r="B712" s="59">
        <v>1340</v>
      </c>
      <c r="C712" s="71" t="s">
        <v>701</v>
      </c>
      <c r="D712" s="60" t="s">
        <v>2384</v>
      </c>
      <c r="E712" s="60" t="s">
        <v>2812</v>
      </c>
      <c r="F712" s="60" t="s">
        <v>2813</v>
      </c>
      <c r="G712" s="60" t="s">
        <v>2814</v>
      </c>
      <c r="H712" s="60" t="s">
        <v>2815</v>
      </c>
      <c r="I712" s="60" t="s">
        <v>2811</v>
      </c>
    </row>
    <row r="713" spans="2:9" s="56" customFormat="1" ht="120" customHeight="1" x14ac:dyDescent="0.35">
      <c r="B713" s="59">
        <v>1341</v>
      </c>
      <c r="C713" s="71" t="s">
        <v>702</v>
      </c>
      <c r="D713" s="60" t="s">
        <v>2384</v>
      </c>
      <c r="E713" s="60" t="s">
        <v>2812</v>
      </c>
      <c r="F713" s="60" t="s">
        <v>2813</v>
      </c>
      <c r="G713" s="60" t="s">
        <v>2814</v>
      </c>
      <c r="H713" s="60" t="s">
        <v>2815</v>
      </c>
      <c r="I713" s="60" t="s">
        <v>2811</v>
      </c>
    </row>
    <row r="714" spans="2:9" s="56" customFormat="1" ht="120" customHeight="1" x14ac:dyDescent="0.35">
      <c r="B714" s="59">
        <v>1342</v>
      </c>
      <c r="C714" s="71" t="s">
        <v>703</v>
      </c>
      <c r="D714" s="60" t="s">
        <v>2384</v>
      </c>
      <c r="E714" s="60" t="s">
        <v>2812</v>
      </c>
      <c r="F714" s="60" t="s">
        <v>2813</v>
      </c>
      <c r="G714" s="60" t="s">
        <v>2814</v>
      </c>
      <c r="H714" s="60" t="s">
        <v>2815</v>
      </c>
      <c r="I714" s="60" t="s">
        <v>2811</v>
      </c>
    </row>
    <row r="715" spans="2:9" s="56" customFormat="1" ht="120" customHeight="1" x14ac:dyDescent="0.35">
      <c r="B715" s="59">
        <v>1343</v>
      </c>
      <c r="C715" s="71" t="s">
        <v>704</v>
      </c>
      <c r="D715" s="60" t="s">
        <v>2384</v>
      </c>
      <c r="E715" s="60" t="s">
        <v>2812</v>
      </c>
      <c r="F715" s="60" t="s">
        <v>2813</v>
      </c>
      <c r="G715" s="60" t="s">
        <v>2814</v>
      </c>
      <c r="H715" s="60" t="s">
        <v>2815</v>
      </c>
      <c r="I715" s="60" t="s">
        <v>2811</v>
      </c>
    </row>
    <row r="716" spans="2:9" s="56" customFormat="1" ht="120" customHeight="1" x14ac:dyDescent="0.35">
      <c r="B716" s="59">
        <v>1344</v>
      </c>
      <c r="C716" s="71" t="s">
        <v>705</v>
      </c>
      <c r="D716" s="60" t="s">
        <v>2384</v>
      </c>
      <c r="E716" s="60" t="s">
        <v>2816</v>
      </c>
      <c r="F716" s="60" t="s">
        <v>2507</v>
      </c>
      <c r="G716" s="60" t="s">
        <v>2817</v>
      </c>
      <c r="H716" s="60" t="s">
        <v>2818</v>
      </c>
      <c r="I716" s="60" t="s">
        <v>2819</v>
      </c>
    </row>
    <row r="717" spans="2:9" s="56" customFormat="1" ht="120" customHeight="1" x14ac:dyDescent="0.35">
      <c r="B717" s="59">
        <v>1345</v>
      </c>
      <c r="C717" s="71" t="s">
        <v>706</v>
      </c>
      <c r="D717" s="60" t="s">
        <v>2384</v>
      </c>
      <c r="E717" s="60" t="s">
        <v>2816</v>
      </c>
      <c r="F717" s="60" t="s">
        <v>2507</v>
      </c>
      <c r="G717" s="60" t="s">
        <v>2817</v>
      </c>
      <c r="H717" s="60" t="s">
        <v>2818</v>
      </c>
      <c r="I717" s="60" t="s">
        <v>2819</v>
      </c>
    </row>
    <row r="718" spans="2:9" s="56" customFormat="1" ht="120" customHeight="1" x14ac:dyDescent="0.35">
      <c r="B718" s="59">
        <v>1346</v>
      </c>
      <c r="C718" s="71" t="s">
        <v>707</v>
      </c>
      <c r="D718" s="60" t="s">
        <v>2384</v>
      </c>
      <c r="E718" s="60" t="s">
        <v>2816</v>
      </c>
      <c r="F718" s="60" t="s">
        <v>2507</v>
      </c>
      <c r="G718" s="60" t="s">
        <v>2817</v>
      </c>
      <c r="H718" s="60" t="s">
        <v>2818</v>
      </c>
      <c r="I718" s="60" t="s">
        <v>2819</v>
      </c>
    </row>
    <row r="719" spans="2:9" s="56" customFormat="1" ht="120" customHeight="1" x14ac:dyDescent="0.35">
      <c r="B719" s="59">
        <v>1347</v>
      </c>
      <c r="C719" s="71" t="s">
        <v>708</v>
      </c>
      <c r="D719" s="60" t="s">
        <v>2384</v>
      </c>
      <c r="E719" s="60" t="s">
        <v>2820</v>
      </c>
      <c r="F719" s="60" t="s">
        <v>2507</v>
      </c>
      <c r="G719" s="60" t="s">
        <v>2821</v>
      </c>
      <c r="H719" s="60" t="s">
        <v>2822</v>
      </c>
      <c r="I719" s="60" t="s">
        <v>2823</v>
      </c>
    </row>
    <row r="720" spans="2:9" s="56" customFormat="1" ht="120" customHeight="1" x14ac:dyDescent="0.35">
      <c r="B720" s="59">
        <v>1348</v>
      </c>
      <c r="C720" s="71" t="s">
        <v>709</v>
      </c>
      <c r="D720" s="60" t="s">
        <v>2384</v>
      </c>
      <c r="E720" s="60" t="s">
        <v>2820</v>
      </c>
      <c r="F720" s="60" t="s">
        <v>2507</v>
      </c>
      <c r="G720" s="60" t="s">
        <v>2821</v>
      </c>
      <c r="H720" s="60" t="s">
        <v>2822</v>
      </c>
      <c r="I720" s="60" t="s">
        <v>2823</v>
      </c>
    </row>
    <row r="721" spans="2:9" s="56" customFormat="1" ht="120" customHeight="1" x14ac:dyDescent="0.35">
      <c r="B721" s="59">
        <v>1349</v>
      </c>
      <c r="C721" s="71" t="s">
        <v>710</v>
      </c>
      <c r="D721" s="60" t="s">
        <v>2384</v>
      </c>
      <c r="E721" s="60" t="s">
        <v>2820</v>
      </c>
      <c r="F721" s="60" t="s">
        <v>2507</v>
      </c>
      <c r="G721" s="60" t="s">
        <v>2821</v>
      </c>
      <c r="H721" s="60" t="s">
        <v>2822</v>
      </c>
      <c r="I721" s="60" t="s">
        <v>2823</v>
      </c>
    </row>
    <row r="722" spans="2:9" s="56" customFormat="1" ht="120" customHeight="1" x14ac:dyDescent="0.35">
      <c r="B722" s="59">
        <v>1350</v>
      </c>
      <c r="C722" s="71" t="s">
        <v>711</v>
      </c>
      <c r="D722" s="60" t="s">
        <v>2384</v>
      </c>
      <c r="E722" s="60" t="s">
        <v>2824</v>
      </c>
      <c r="F722" s="60" t="s">
        <v>2825</v>
      </c>
      <c r="G722" s="60" t="s">
        <v>2826</v>
      </c>
      <c r="H722" s="60" t="s">
        <v>2827</v>
      </c>
      <c r="I722" s="60" t="s">
        <v>2811</v>
      </c>
    </row>
    <row r="723" spans="2:9" s="56" customFormat="1" ht="120" customHeight="1" x14ac:dyDescent="0.35">
      <c r="B723" s="59">
        <v>1351</v>
      </c>
      <c r="C723" s="71" t="s">
        <v>712</v>
      </c>
      <c r="D723" s="60" t="s">
        <v>2384</v>
      </c>
      <c r="E723" s="60" t="s">
        <v>2824</v>
      </c>
      <c r="F723" s="60" t="s">
        <v>2825</v>
      </c>
      <c r="G723" s="60" t="s">
        <v>2826</v>
      </c>
      <c r="H723" s="60" t="s">
        <v>2827</v>
      </c>
      <c r="I723" s="60" t="s">
        <v>2811</v>
      </c>
    </row>
    <row r="724" spans="2:9" s="56" customFormat="1" ht="120" customHeight="1" x14ac:dyDescent="0.35">
      <c r="B724" s="59">
        <v>1352</v>
      </c>
      <c r="C724" s="71" t="s">
        <v>713</v>
      </c>
      <c r="D724" s="60" t="s">
        <v>2384</v>
      </c>
      <c r="E724" s="60" t="s">
        <v>2824</v>
      </c>
      <c r="F724" s="60" t="s">
        <v>2825</v>
      </c>
      <c r="G724" s="60" t="s">
        <v>2826</v>
      </c>
      <c r="H724" s="60" t="s">
        <v>2827</v>
      </c>
      <c r="I724" s="60" t="s">
        <v>2811</v>
      </c>
    </row>
    <row r="725" spans="2:9" s="56" customFormat="1" ht="120" customHeight="1" x14ac:dyDescent="0.35">
      <c r="B725" s="59">
        <v>1353</v>
      </c>
      <c r="C725" s="71" t="s">
        <v>714</v>
      </c>
      <c r="D725" s="60" t="s">
        <v>2384</v>
      </c>
      <c r="E725" s="60" t="s">
        <v>2824</v>
      </c>
      <c r="F725" s="60" t="s">
        <v>2825</v>
      </c>
      <c r="G725" s="60" t="s">
        <v>2826</v>
      </c>
      <c r="H725" s="60" t="s">
        <v>2827</v>
      </c>
      <c r="I725" s="60" t="s">
        <v>2811</v>
      </c>
    </row>
    <row r="726" spans="2:9" s="56" customFormat="1" ht="120" customHeight="1" x14ac:dyDescent="0.35">
      <c r="B726" s="59">
        <v>1354</v>
      </c>
      <c r="C726" s="71" t="s">
        <v>2492</v>
      </c>
      <c r="D726" s="60" t="s">
        <v>2384</v>
      </c>
      <c r="E726" s="60" t="s">
        <v>2828</v>
      </c>
      <c r="F726" s="60" t="s">
        <v>2507</v>
      </c>
      <c r="G726" s="60" t="s">
        <v>2829</v>
      </c>
      <c r="H726" s="60" t="s">
        <v>2830</v>
      </c>
      <c r="I726" s="60" t="s">
        <v>2831</v>
      </c>
    </row>
    <row r="727" spans="2:9" s="56" customFormat="1" ht="120" customHeight="1" x14ac:dyDescent="0.35">
      <c r="B727" s="59">
        <v>1355</v>
      </c>
      <c r="C727" s="71" t="s">
        <v>2493</v>
      </c>
      <c r="D727" s="60" t="s">
        <v>2384</v>
      </c>
      <c r="E727" s="60" t="s">
        <v>2828</v>
      </c>
      <c r="F727" s="60" t="s">
        <v>2507</v>
      </c>
      <c r="G727" s="60" t="s">
        <v>2829</v>
      </c>
      <c r="H727" s="60" t="s">
        <v>2830</v>
      </c>
      <c r="I727" s="60" t="s">
        <v>2831</v>
      </c>
    </row>
    <row r="728" spans="2:9" s="56" customFormat="1" ht="120" customHeight="1" x14ac:dyDescent="0.35">
      <c r="B728" s="59">
        <v>1356</v>
      </c>
      <c r="C728" s="71" t="s">
        <v>2494</v>
      </c>
      <c r="D728" s="60" t="s">
        <v>2384</v>
      </c>
      <c r="E728" s="60" t="s">
        <v>2828</v>
      </c>
      <c r="F728" s="60" t="s">
        <v>2507</v>
      </c>
      <c r="G728" s="60" t="s">
        <v>2829</v>
      </c>
      <c r="H728" s="60" t="s">
        <v>2830</v>
      </c>
      <c r="I728" s="60" t="s">
        <v>2831</v>
      </c>
    </row>
    <row r="729" spans="2:9" s="56" customFormat="1" ht="120" customHeight="1" x14ac:dyDescent="0.35">
      <c r="B729" s="59">
        <v>1357</v>
      </c>
      <c r="C729" s="71" t="s">
        <v>718</v>
      </c>
      <c r="D729" s="60" t="s">
        <v>2384</v>
      </c>
      <c r="E729" s="60" t="s">
        <v>2832</v>
      </c>
      <c r="F729" s="60" t="s">
        <v>2833</v>
      </c>
      <c r="G729" s="60" t="s">
        <v>2829</v>
      </c>
      <c r="H729" s="60" t="s">
        <v>2834</v>
      </c>
      <c r="I729" s="60" t="s">
        <v>2835</v>
      </c>
    </row>
    <row r="730" spans="2:9" s="56" customFormat="1" ht="120" customHeight="1" x14ac:dyDescent="0.35">
      <c r="B730" s="59">
        <v>1358</v>
      </c>
      <c r="C730" s="71" t="s">
        <v>719</v>
      </c>
      <c r="D730" s="60" t="s">
        <v>2384</v>
      </c>
      <c r="E730" s="60" t="s">
        <v>2832</v>
      </c>
      <c r="F730" s="60" t="s">
        <v>2833</v>
      </c>
      <c r="G730" s="60" t="s">
        <v>2829</v>
      </c>
      <c r="H730" s="60" t="s">
        <v>2834</v>
      </c>
      <c r="I730" s="60" t="s">
        <v>2835</v>
      </c>
    </row>
    <row r="731" spans="2:9" s="56" customFormat="1" ht="120" customHeight="1" x14ac:dyDescent="0.35">
      <c r="B731" s="59">
        <v>1359</v>
      </c>
      <c r="C731" s="71" t="s">
        <v>720</v>
      </c>
      <c r="D731" s="60" t="s">
        <v>2384</v>
      </c>
      <c r="E731" s="60" t="s">
        <v>2832</v>
      </c>
      <c r="F731" s="60" t="s">
        <v>2833</v>
      </c>
      <c r="G731" s="60" t="s">
        <v>2829</v>
      </c>
      <c r="H731" s="60" t="s">
        <v>2834</v>
      </c>
      <c r="I731" s="60" t="s">
        <v>2835</v>
      </c>
    </row>
    <row r="732" spans="2:9" s="56" customFormat="1" ht="120" customHeight="1" x14ac:dyDescent="0.35">
      <c r="B732" s="59">
        <v>1360</v>
      </c>
      <c r="C732" s="71" t="s">
        <v>721</v>
      </c>
      <c r="D732" s="60" t="s">
        <v>2384</v>
      </c>
      <c r="E732" s="60" t="s">
        <v>2836</v>
      </c>
      <c r="F732" s="60" t="s">
        <v>2837</v>
      </c>
      <c r="G732" s="60" t="s">
        <v>2838</v>
      </c>
      <c r="H732" s="60" t="s">
        <v>2839</v>
      </c>
      <c r="I732" s="60" t="s">
        <v>2831</v>
      </c>
    </row>
    <row r="733" spans="2:9" s="56" customFormat="1" ht="120" customHeight="1" x14ac:dyDescent="0.35">
      <c r="B733" s="59">
        <v>1361</v>
      </c>
      <c r="C733" s="71" t="s">
        <v>722</v>
      </c>
      <c r="D733" s="60" t="s">
        <v>2384</v>
      </c>
      <c r="E733" s="60" t="s">
        <v>2836</v>
      </c>
      <c r="F733" s="60" t="s">
        <v>2837</v>
      </c>
      <c r="G733" s="60" t="s">
        <v>2838</v>
      </c>
      <c r="H733" s="60" t="s">
        <v>2839</v>
      </c>
      <c r="I733" s="60" t="s">
        <v>2831</v>
      </c>
    </row>
    <row r="734" spans="2:9" s="56" customFormat="1" ht="120" customHeight="1" x14ac:dyDescent="0.35">
      <c r="B734" s="59">
        <v>1362</v>
      </c>
      <c r="C734" s="71" t="s">
        <v>723</v>
      </c>
      <c r="D734" s="60" t="s">
        <v>2384</v>
      </c>
      <c r="E734" s="60" t="s">
        <v>2824</v>
      </c>
      <c r="F734" s="60" t="s">
        <v>2825</v>
      </c>
      <c r="G734" s="60" t="s">
        <v>2838</v>
      </c>
      <c r="H734" s="60" t="s">
        <v>2840</v>
      </c>
      <c r="I734" s="60" t="s">
        <v>2831</v>
      </c>
    </row>
    <row r="735" spans="2:9" s="56" customFormat="1" ht="120" customHeight="1" x14ac:dyDescent="0.35">
      <c r="B735" s="59">
        <v>1363</v>
      </c>
      <c r="C735" s="71" t="s">
        <v>724</v>
      </c>
      <c r="D735" s="60" t="s">
        <v>2384</v>
      </c>
      <c r="E735" s="60" t="s">
        <v>2824</v>
      </c>
      <c r="F735" s="60" t="s">
        <v>2825</v>
      </c>
      <c r="G735" s="60" t="s">
        <v>2838</v>
      </c>
      <c r="H735" s="60" t="s">
        <v>2840</v>
      </c>
      <c r="I735" s="60" t="s">
        <v>2831</v>
      </c>
    </row>
    <row r="736" spans="2:9" s="56" customFormat="1" ht="120" customHeight="1" x14ac:dyDescent="0.35">
      <c r="B736" s="59">
        <v>1364</v>
      </c>
      <c r="C736" s="71" t="s">
        <v>725</v>
      </c>
      <c r="D736" s="60" t="s">
        <v>2384</v>
      </c>
      <c r="E736" s="60" t="s">
        <v>2824</v>
      </c>
      <c r="F736" s="60" t="s">
        <v>2825</v>
      </c>
      <c r="G736" s="60" t="s">
        <v>2838</v>
      </c>
      <c r="H736" s="60" t="s">
        <v>2840</v>
      </c>
      <c r="I736" s="60" t="s">
        <v>2831</v>
      </c>
    </row>
    <row r="737" spans="2:9" s="56" customFormat="1" ht="120" customHeight="1" x14ac:dyDescent="0.35">
      <c r="B737" s="59">
        <v>1365</v>
      </c>
      <c r="C737" s="71" t="s">
        <v>726</v>
      </c>
      <c r="D737" s="60" t="s">
        <v>2384</v>
      </c>
      <c r="E737" s="60" t="s">
        <v>2824</v>
      </c>
      <c r="F737" s="60" t="s">
        <v>2825</v>
      </c>
      <c r="G737" s="60" t="s">
        <v>2838</v>
      </c>
      <c r="H737" s="60" t="s">
        <v>2840</v>
      </c>
      <c r="I737" s="60" t="s">
        <v>2831</v>
      </c>
    </row>
    <row r="738" spans="2:9" s="56" customFormat="1" ht="120" customHeight="1" x14ac:dyDescent="0.35">
      <c r="B738" s="59">
        <v>1366</v>
      </c>
      <c r="C738" s="71" t="s">
        <v>727</v>
      </c>
      <c r="D738" s="60" t="s">
        <v>2384</v>
      </c>
      <c r="E738" s="60" t="s">
        <v>2841</v>
      </c>
      <c r="F738" s="60" t="s">
        <v>2803</v>
      </c>
      <c r="G738" s="60" t="s">
        <v>2842</v>
      </c>
      <c r="H738" s="60" t="s">
        <v>2840</v>
      </c>
      <c r="I738" s="60" t="s">
        <v>2843</v>
      </c>
    </row>
    <row r="739" spans="2:9" s="56" customFormat="1" ht="120" customHeight="1" x14ac:dyDescent="0.35">
      <c r="B739" s="59">
        <v>1367</v>
      </c>
      <c r="C739" s="71" t="s">
        <v>728</v>
      </c>
      <c r="D739" s="60" t="s">
        <v>2384</v>
      </c>
      <c r="E739" s="60" t="s">
        <v>2841</v>
      </c>
      <c r="F739" s="60" t="s">
        <v>2803</v>
      </c>
      <c r="G739" s="60" t="s">
        <v>2842</v>
      </c>
      <c r="H739" s="60" t="s">
        <v>2840</v>
      </c>
      <c r="I739" s="60" t="s">
        <v>2843</v>
      </c>
    </row>
    <row r="740" spans="2:9" s="56" customFormat="1" ht="120" customHeight="1" x14ac:dyDescent="0.35">
      <c r="B740" s="59">
        <v>1368</v>
      </c>
      <c r="C740" s="71" t="s">
        <v>729</v>
      </c>
      <c r="D740" s="60" t="s">
        <v>2384</v>
      </c>
      <c r="E740" s="60" t="s">
        <v>2841</v>
      </c>
      <c r="F740" s="60" t="s">
        <v>2803</v>
      </c>
      <c r="G740" s="60" t="s">
        <v>2842</v>
      </c>
      <c r="H740" s="60" t="s">
        <v>2840</v>
      </c>
      <c r="I740" s="60" t="s">
        <v>2843</v>
      </c>
    </row>
    <row r="741" spans="2:9" s="56" customFormat="1" ht="120" customHeight="1" x14ac:dyDescent="0.35">
      <c r="B741" s="59">
        <v>1369</v>
      </c>
      <c r="C741" s="71" t="s">
        <v>730</v>
      </c>
      <c r="D741" s="60" t="s">
        <v>2384</v>
      </c>
      <c r="E741" s="60" t="s">
        <v>2844</v>
      </c>
      <c r="F741" s="60" t="s">
        <v>2845</v>
      </c>
      <c r="G741" s="60" t="s">
        <v>2846</v>
      </c>
      <c r="H741" s="60" t="s">
        <v>2847</v>
      </c>
      <c r="I741" s="60" t="s">
        <v>2848</v>
      </c>
    </row>
    <row r="742" spans="2:9" s="56" customFormat="1" ht="120" customHeight="1" x14ac:dyDescent="0.35">
      <c r="B742" s="59">
        <v>1370</v>
      </c>
      <c r="C742" s="71" t="s">
        <v>731</v>
      </c>
      <c r="D742" s="60" t="s">
        <v>2384</v>
      </c>
      <c r="E742" s="60" t="s">
        <v>2844</v>
      </c>
      <c r="F742" s="60" t="s">
        <v>2845</v>
      </c>
      <c r="G742" s="60" t="s">
        <v>2846</v>
      </c>
      <c r="H742" s="60" t="s">
        <v>2849</v>
      </c>
      <c r="I742" s="60" t="s">
        <v>2848</v>
      </c>
    </row>
    <row r="743" spans="2:9" s="56" customFormat="1" ht="120" customHeight="1" x14ac:dyDescent="0.35">
      <c r="B743" s="59">
        <v>1371</v>
      </c>
      <c r="C743" s="71" t="s">
        <v>2495</v>
      </c>
      <c r="D743" s="60" t="s">
        <v>2384</v>
      </c>
      <c r="E743" s="60" t="s">
        <v>2850</v>
      </c>
      <c r="F743" s="60" t="s">
        <v>2803</v>
      </c>
      <c r="G743" s="60" t="s">
        <v>2851</v>
      </c>
      <c r="H743" s="60" t="s">
        <v>2852</v>
      </c>
      <c r="I743" s="60" t="s">
        <v>2853</v>
      </c>
    </row>
    <row r="744" spans="2:9" s="56" customFormat="1" ht="120" customHeight="1" x14ac:dyDescent="0.35">
      <c r="B744" s="59">
        <v>1372</v>
      </c>
      <c r="C744" s="71" t="s">
        <v>2496</v>
      </c>
      <c r="D744" s="60" t="s">
        <v>2384</v>
      </c>
      <c r="E744" s="60" t="s">
        <v>2850</v>
      </c>
      <c r="F744" s="60" t="s">
        <v>2803</v>
      </c>
      <c r="G744" s="60" t="s">
        <v>2851</v>
      </c>
      <c r="H744" s="60" t="s">
        <v>2852</v>
      </c>
      <c r="I744" s="60" t="s">
        <v>2853</v>
      </c>
    </row>
    <row r="745" spans="2:9" s="56" customFormat="1" ht="120" customHeight="1" x14ac:dyDescent="0.35">
      <c r="B745" s="59">
        <v>1373</v>
      </c>
      <c r="C745" s="71" t="s">
        <v>734</v>
      </c>
      <c r="D745" s="60" t="s">
        <v>2384</v>
      </c>
      <c r="E745" s="60" t="s">
        <v>2850</v>
      </c>
      <c r="F745" s="60" t="s">
        <v>2803</v>
      </c>
      <c r="G745" s="60" t="s">
        <v>2851</v>
      </c>
      <c r="H745" s="60" t="s">
        <v>2852</v>
      </c>
      <c r="I745" s="60" t="s">
        <v>2853</v>
      </c>
    </row>
    <row r="746" spans="2:9" s="56" customFormat="1" ht="120" customHeight="1" x14ac:dyDescent="0.35">
      <c r="B746" s="59">
        <v>1374</v>
      </c>
      <c r="C746" s="71" t="s">
        <v>735</v>
      </c>
      <c r="D746" s="60" t="s">
        <v>2384</v>
      </c>
      <c r="E746" s="60" t="s">
        <v>2824</v>
      </c>
      <c r="F746" s="60" t="s">
        <v>2854</v>
      </c>
      <c r="G746" s="60" t="s">
        <v>2855</v>
      </c>
      <c r="H746" s="60" t="s">
        <v>2840</v>
      </c>
      <c r="I746" s="60" t="s">
        <v>2853</v>
      </c>
    </row>
    <row r="747" spans="2:9" s="56" customFormat="1" ht="120" customHeight="1" x14ac:dyDescent="0.35">
      <c r="B747" s="59">
        <v>1375</v>
      </c>
      <c r="C747" s="71" t="s">
        <v>736</v>
      </c>
      <c r="D747" s="60" t="s">
        <v>2384</v>
      </c>
      <c r="E747" s="60" t="s">
        <v>2824</v>
      </c>
      <c r="F747" s="60" t="s">
        <v>2854</v>
      </c>
      <c r="G747" s="60" t="s">
        <v>2855</v>
      </c>
      <c r="H747" s="60" t="s">
        <v>2840</v>
      </c>
      <c r="I747" s="60" t="s">
        <v>2853</v>
      </c>
    </row>
    <row r="748" spans="2:9" s="56" customFormat="1" ht="120" customHeight="1" x14ac:dyDescent="0.35">
      <c r="B748" s="59">
        <v>1376</v>
      </c>
      <c r="C748" s="71" t="s">
        <v>737</v>
      </c>
      <c r="D748" s="60" t="s">
        <v>2384</v>
      </c>
      <c r="E748" s="60" t="s">
        <v>2824</v>
      </c>
      <c r="F748" s="60" t="s">
        <v>2854</v>
      </c>
      <c r="G748" s="60" t="s">
        <v>2855</v>
      </c>
      <c r="H748" s="60" t="s">
        <v>2840</v>
      </c>
      <c r="I748" s="60" t="s">
        <v>2853</v>
      </c>
    </row>
    <row r="749" spans="2:9" s="56" customFormat="1" ht="120" customHeight="1" x14ac:dyDescent="0.35">
      <c r="B749" s="59">
        <v>1377</v>
      </c>
      <c r="C749" s="71" t="s">
        <v>738</v>
      </c>
      <c r="D749" s="60" t="s">
        <v>2384</v>
      </c>
      <c r="E749" s="60" t="s">
        <v>2856</v>
      </c>
      <c r="F749" s="60" t="s">
        <v>2845</v>
      </c>
      <c r="G749" s="60" t="s">
        <v>2857</v>
      </c>
      <c r="H749" s="60" t="s">
        <v>2858</v>
      </c>
      <c r="I749" s="60" t="s">
        <v>2843</v>
      </c>
    </row>
    <row r="750" spans="2:9" s="56" customFormat="1" ht="120" customHeight="1" x14ac:dyDescent="0.35">
      <c r="B750" s="59">
        <v>1378</v>
      </c>
      <c r="C750" s="71" t="s">
        <v>739</v>
      </c>
      <c r="D750" s="60" t="s">
        <v>2384</v>
      </c>
      <c r="E750" s="60" t="s">
        <v>2856</v>
      </c>
      <c r="F750" s="60" t="s">
        <v>2845</v>
      </c>
      <c r="G750" s="60" t="s">
        <v>2857</v>
      </c>
      <c r="H750" s="60" t="s">
        <v>2858</v>
      </c>
      <c r="I750" s="60" t="s">
        <v>2843</v>
      </c>
    </row>
    <row r="751" spans="2:9" s="56" customFormat="1" ht="120" customHeight="1" x14ac:dyDescent="0.35">
      <c r="B751" s="59">
        <v>1379</v>
      </c>
      <c r="C751" s="71" t="s">
        <v>740</v>
      </c>
      <c r="D751" s="60" t="s">
        <v>2384</v>
      </c>
      <c r="E751" s="60" t="s">
        <v>2568</v>
      </c>
      <c r="F751" s="60" t="s">
        <v>2859</v>
      </c>
      <c r="G751" s="60" t="s">
        <v>2860</v>
      </c>
      <c r="H751" s="60" t="s">
        <v>2861</v>
      </c>
      <c r="I751" s="60" t="s">
        <v>2862</v>
      </c>
    </row>
    <row r="752" spans="2:9" s="56" customFormat="1" ht="120" customHeight="1" x14ac:dyDescent="0.35">
      <c r="B752" s="59">
        <v>1380</v>
      </c>
      <c r="C752" s="71" t="s">
        <v>741</v>
      </c>
      <c r="D752" s="60" t="s">
        <v>2384</v>
      </c>
      <c r="E752" s="60" t="s">
        <v>2568</v>
      </c>
      <c r="F752" s="60" t="s">
        <v>2859</v>
      </c>
      <c r="G752" s="60" t="s">
        <v>2860</v>
      </c>
      <c r="H752" s="60" t="s">
        <v>2861</v>
      </c>
      <c r="I752" s="60" t="s">
        <v>2862</v>
      </c>
    </row>
    <row r="753" spans="2:9" s="56" customFormat="1" ht="120" customHeight="1" x14ac:dyDescent="0.35">
      <c r="B753" s="59">
        <v>1381</v>
      </c>
      <c r="C753" s="71" t="s">
        <v>742</v>
      </c>
      <c r="D753" s="60" t="s">
        <v>2384</v>
      </c>
      <c r="E753" s="60" t="s">
        <v>2568</v>
      </c>
      <c r="F753" s="60" t="s">
        <v>2859</v>
      </c>
      <c r="G753" s="60" t="s">
        <v>2860</v>
      </c>
      <c r="H753" s="60" t="s">
        <v>2861</v>
      </c>
      <c r="I753" s="60" t="s">
        <v>2862</v>
      </c>
    </row>
    <row r="754" spans="2:9" s="56" customFormat="1" ht="120" customHeight="1" x14ac:dyDescent="0.35">
      <c r="B754" s="59">
        <v>1382</v>
      </c>
      <c r="C754" s="71" t="s">
        <v>743</v>
      </c>
      <c r="D754" s="60" t="s">
        <v>2384</v>
      </c>
      <c r="E754" s="60" t="s">
        <v>2863</v>
      </c>
      <c r="F754" s="60" t="s">
        <v>2507</v>
      </c>
      <c r="G754" s="60" t="s">
        <v>2864</v>
      </c>
      <c r="H754" s="60" t="s">
        <v>2865</v>
      </c>
      <c r="I754" s="60" t="s">
        <v>2866</v>
      </c>
    </row>
    <row r="755" spans="2:9" s="56" customFormat="1" ht="120" customHeight="1" x14ac:dyDescent="0.35">
      <c r="B755" s="59">
        <v>1383</v>
      </c>
      <c r="C755" s="71" t="s">
        <v>744</v>
      </c>
      <c r="D755" s="60" t="s">
        <v>2384</v>
      </c>
      <c r="E755" s="60" t="s">
        <v>2863</v>
      </c>
      <c r="F755" s="60" t="s">
        <v>2507</v>
      </c>
      <c r="G755" s="60" t="s">
        <v>2864</v>
      </c>
      <c r="H755" s="60" t="s">
        <v>2865</v>
      </c>
      <c r="I755" s="60" t="s">
        <v>2866</v>
      </c>
    </row>
    <row r="756" spans="2:9" s="56" customFormat="1" ht="120" customHeight="1" x14ac:dyDescent="0.35">
      <c r="B756" s="59">
        <v>1384</v>
      </c>
      <c r="C756" s="71" t="s">
        <v>745</v>
      </c>
      <c r="D756" s="60" t="s">
        <v>2384</v>
      </c>
      <c r="E756" s="60" t="s">
        <v>2863</v>
      </c>
      <c r="F756" s="60" t="s">
        <v>2507</v>
      </c>
      <c r="G756" s="60" t="s">
        <v>2864</v>
      </c>
      <c r="H756" s="60" t="s">
        <v>2865</v>
      </c>
      <c r="I756" s="60" t="s">
        <v>2866</v>
      </c>
    </row>
    <row r="757" spans="2:9" s="56" customFormat="1" ht="120" customHeight="1" x14ac:dyDescent="0.35">
      <c r="B757" s="59">
        <v>1385</v>
      </c>
      <c r="C757" s="71" t="s">
        <v>746</v>
      </c>
      <c r="D757" s="60" t="s">
        <v>2384</v>
      </c>
      <c r="E757" s="60" t="s">
        <v>2558</v>
      </c>
      <c r="F757" s="60" t="s">
        <v>2867</v>
      </c>
      <c r="G757" s="60" t="s">
        <v>2868</v>
      </c>
      <c r="H757" s="60" t="s">
        <v>2869</v>
      </c>
      <c r="I757" s="60" t="s">
        <v>2870</v>
      </c>
    </row>
    <row r="758" spans="2:9" s="56" customFormat="1" ht="120" customHeight="1" x14ac:dyDescent="0.35">
      <c r="B758" s="59">
        <v>1386</v>
      </c>
      <c r="C758" s="71" t="s">
        <v>747</v>
      </c>
      <c r="D758" s="60" t="s">
        <v>2384</v>
      </c>
      <c r="E758" s="60" t="s">
        <v>2558</v>
      </c>
      <c r="F758" s="60" t="s">
        <v>2867</v>
      </c>
      <c r="G758" s="60" t="s">
        <v>2868</v>
      </c>
      <c r="H758" s="60" t="s">
        <v>2869</v>
      </c>
      <c r="I758" s="60" t="s">
        <v>2871</v>
      </c>
    </row>
    <row r="759" spans="2:9" s="56" customFormat="1" ht="120" customHeight="1" x14ac:dyDescent="0.35">
      <c r="B759" s="59">
        <v>1387</v>
      </c>
      <c r="C759" s="71" t="s">
        <v>748</v>
      </c>
      <c r="D759" s="60" t="s">
        <v>2426</v>
      </c>
      <c r="E759" s="60"/>
      <c r="F759" s="60"/>
      <c r="G759" s="60"/>
      <c r="H759" s="60"/>
      <c r="I759" s="60"/>
    </row>
    <row r="760" spans="2:9" x14ac:dyDescent="0.35">
      <c r="B760" s="59">
        <v>1388</v>
      </c>
      <c r="C760" s="71" t="s">
        <v>749</v>
      </c>
      <c r="D760" s="60" t="s">
        <v>2426</v>
      </c>
      <c r="E760" s="60"/>
      <c r="F760" s="60"/>
      <c r="G760" s="60"/>
      <c r="H760" s="60"/>
      <c r="I760" s="60"/>
    </row>
    <row r="761" spans="2:9" x14ac:dyDescent="0.35">
      <c r="B761" s="59">
        <v>1389</v>
      </c>
      <c r="C761" s="71" t="s">
        <v>750</v>
      </c>
      <c r="D761" s="60" t="s">
        <v>2426</v>
      </c>
      <c r="E761" s="60"/>
      <c r="F761" s="60"/>
      <c r="G761" s="60"/>
      <c r="H761" s="60"/>
      <c r="I761" s="60"/>
    </row>
    <row r="762" spans="2:9" x14ac:dyDescent="0.35">
      <c r="B762" s="61">
        <v>1390</v>
      </c>
      <c r="C762" s="71" t="s">
        <v>751</v>
      </c>
      <c r="D762" s="62" t="s">
        <v>2426</v>
      </c>
      <c r="E762" s="60"/>
      <c r="F762" s="60"/>
      <c r="G762" s="60"/>
      <c r="H762" s="60"/>
      <c r="I762" s="60"/>
    </row>
    <row r="763" spans="2:9" x14ac:dyDescent="0.35">
      <c r="B763" s="61">
        <v>1400</v>
      </c>
      <c r="C763" s="71" t="s">
        <v>2427</v>
      </c>
      <c r="D763" s="62" t="s">
        <v>2370</v>
      </c>
      <c r="E763" s="60"/>
      <c r="F763" s="60"/>
      <c r="G763" s="60"/>
      <c r="H763" s="60"/>
      <c r="I763" s="60"/>
    </row>
    <row r="764" spans="2:9" x14ac:dyDescent="0.35">
      <c r="B764" s="61">
        <v>1401</v>
      </c>
      <c r="C764" s="71" t="s">
        <v>2351</v>
      </c>
      <c r="D764" s="62" t="s">
        <v>2370</v>
      </c>
      <c r="E764" s="60"/>
      <c r="F764" s="60"/>
      <c r="G764" s="60"/>
      <c r="H764" s="60"/>
      <c r="I764" s="60"/>
    </row>
    <row r="765" spans="2:9" x14ac:dyDescent="0.35">
      <c r="B765" s="61">
        <v>1402</v>
      </c>
      <c r="C765" s="71" t="s">
        <v>2343</v>
      </c>
      <c r="D765" s="62" t="s">
        <v>2370</v>
      </c>
      <c r="E765" s="60"/>
      <c r="F765" s="60"/>
      <c r="G765" s="60"/>
      <c r="H765" s="60"/>
      <c r="I765" s="60"/>
    </row>
    <row r="766" spans="2:9" x14ac:dyDescent="0.35">
      <c r="B766" s="61">
        <v>1403</v>
      </c>
      <c r="C766" s="71" t="s">
        <v>2344</v>
      </c>
      <c r="D766" s="62" t="s">
        <v>2370</v>
      </c>
      <c r="E766" s="60"/>
      <c r="F766" s="60"/>
      <c r="G766" s="60"/>
      <c r="H766" s="60"/>
      <c r="I766" s="60"/>
    </row>
    <row r="767" spans="2:9" x14ac:dyDescent="0.35">
      <c r="B767" s="61">
        <v>1404</v>
      </c>
      <c r="C767" s="71" t="s">
        <v>2333</v>
      </c>
      <c r="D767" s="62" t="s">
        <v>2370</v>
      </c>
      <c r="E767" s="60"/>
      <c r="F767" s="60"/>
      <c r="G767" s="60"/>
      <c r="H767" s="60"/>
      <c r="I767" s="60"/>
    </row>
    <row r="768" spans="2:9" x14ac:dyDescent="0.35">
      <c r="B768" s="61">
        <v>1405</v>
      </c>
      <c r="C768" s="71" t="s">
        <v>2369</v>
      </c>
      <c r="D768" s="62" t="s">
        <v>2370</v>
      </c>
      <c r="E768" s="60"/>
      <c r="F768" s="60"/>
      <c r="G768" s="60"/>
      <c r="H768" s="60"/>
      <c r="I768" s="60"/>
    </row>
    <row r="769" spans="2:9" x14ac:dyDescent="0.35">
      <c r="B769" s="61">
        <v>1407</v>
      </c>
      <c r="C769" s="71" t="s">
        <v>2352</v>
      </c>
      <c r="D769" s="62" t="s">
        <v>2370</v>
      </c>
      <c r="E769" s="60"/>
      <c r="F769" s="60"/>
      <c r="G769" s="60"/>
      <c r="H769" s="60"/>
      <c r="I769" s="60"/>
    </row>
    <row r="770" spans="2:9" x14ac:dyDescent="0.35">
      <c r="B770" s="61">
        <v>1409</v>
      </c>
      <c r="C770" s="71" t="s">
        <v>2358</v>
      </c>
      <c r="D770" s="62" t="s">
        <v>2370</v>
      </c>
      <c r="E770" s="60"/>
      <c r="F770" s="60"/>
      <c r="G770" s="60"/>
      <c r="H770" s="60"/>
      <c r="I770" s="60"/>
    </row>
    <row r="771" spans="2:9" ht="409.5" x14ac:dyDescent="0.35">
      <c r="B771" s="61">
        <v>1410</v>
      </c>
      <c r="C771" s="71" t="s">
        <v>752</v>
      </c>
      <c r="D771" s="62" t="s">
        <v>2370</v>
      </c>
      <c r="E771" s="60" t="s">
        <v>2872</v>
      </c>
      <c r="F771" s="60" t="s">
        <v>2873</v>
      </c>
      <c r="G771" s="60" t="s">
        <v>2874</v>
      </c>
      <c r="H771" s="60" t="s">
        <v>2875</v>
      </c>
      <c r="I771" s="60" t="s">
        <v>2876</v>
      </c>
    </row>
    <row r="772" spans="2:9" s="56" customFormat="1" ht="120" customHeight="1" x14ac:dyDescent="0.35">
      <c r="B772" s="61">
        <v>1411</v>
      </c>
      <c r="C772" s="71" t="s">
        <v>2368</v>
      </c>
      <c r="D772" s="62" t="s">
        <v>2370</v>
      </c>
      <c r="E772" s="60"/>
      <c r="F772" s="60"/>
      <c r="G772" s="60"/>
      <c r="H772" s="60"/>
      <c r="I772" s="60"/>
    </row>
    <row r="773" spans="2:9" x14ac:dyDescent="0.35">
      <c r="B773" s="61">
        <v>1413</v>
      </c>
      <c r="C773" s="71" t="s">
        <v>2353</v>
      </c>
      <c r="D773" s="62" t="s">
        <v>2370</v>
      </c>
      <c r="E773" s="60"/>
      <c r="F773" s="60"/>
      <c r="G773" s="60"/>
      <c r="H773" s="60"/>
      <c r="I773" s="60"/>
    </row>
    <row r="774" spans="2:9" x14ac:dyDescent="0.35">
      <c r="B774" s="61">
        <v>1414</v>
      </c>
      <c r="C774" s="71" t="s">
        <v>2359</v>
      </c>
      <c r="D774" s="62" t="s">
        <v>2370</v>
      </c>
      <c r="E774" s="60"/>
      <c r="F774" s="60"/>
      <c r="G774" s="60"/>
      <c r="H774" s="60"/>
      <c r="I774" s="60"/>
    </row>
    <row r="775" spans="2:9" x14ac:dyDescent="0.35">
      <c r="B775" s="61">
        <v>1415</v>
      </c>
      <c r="C775" s="71" t="s">
        <v>2345</v>
      </c>
      <c r="D775" s="62" t="s">
        <v>2370</v>
      </c>
      <c r="E775" s="60"/>
      <c r="F775" s="60"/>
      <c r="G775" s="60"/>
      <c r="H775" s="60"/>
      <c r="I775" s="60"/>
    </row>
    <row r="776" spans="2:9" x14ac:dyDescent="0.35">
      <c r="B776" s="61">
        <v>1416</v>
      </c>
      <c r="C776" s="71" t="s">
        <v>753</v>
      </c>
      <c r="D776" s="62" t="s">
        <v>2370</v>
      </c>
      <c r="E776" s="60"/>
      <c r="F776" s="60"/>
      <c r="G776" s="60"/>
      <c r="H776" s="60"/>
      <c r="I776" s="60"/>
    </row>
    <row r="777" spans="2:9" x14ac:dyDescent="0.35">
      <c r="B777" s="61">
        <v>1417</v>
      </c>
      <c r="C777" s="71" t="s">
        <v>2367</v>
      </c>
      <c r="D777" s="62" t="s">
        <v>2370</v>
      </c>
      <c r="E777" s="60"/>
      <c r="F777" s="60"/>
      <c r="G777" s="60"/>
      <c r="H777" s="60"/>
      <c r="I777" s="60"/>
    </row>
    <row r="778" spans="2:9" x14ac:dyDescent="0.35">
      <c r="B778" s="61">
        <v>1419</v>
      </c>
      <c r="C778" s="71" t="s">
        <v>2346</v>
      </c>
      <c r="D778" s="62" t="s">
        <v>2370</v>
      </c>
      <c r="E778" s="60"/>
      <c r="F778" s="60"/>
      <c r="G778" s="60"/>
      <c r="H778" s="60"/>
      <c r="I778" s="60"/>
    </row>
    <row r="779" spans="2:9" x14ac:dyDescent="0.35">
      <c r="B779" s="61">
        <v>1420</v>
      </c>
      <c r="C779" s="71" t="s">
        <v>2354</v>
      </c>
      <c r="D779" s="62" t="s">
        <v>2370</v>
      </c>
      <c r="E779" s="60"/>
      <c r="F779" s="60"/>
      <c r="G779" s="60"/>
      <c r="H779" s="60"/>
      <c r="I779" s="60"/>
    </row>
    <row r="780" spans="2:9" x14ac:dyDescent="0.35">
      <c r="B780" s="61">
        <v>1421</v>
      </c>
      <c r="C780" s="71" t="s">
        <v>2443</v>
      </c>
      <c r="D780" s="62" t="s">
        <v>2370</v>
      </c>
      <c r="E780" s="60"/>
      <c r="F780" s="60"/>
      <c r="G780" s="60"/>
      <c r="H780" s="60"/>
      <c r="I780" s="60"/>
    </row>
    <row r="781" spans="2:9" x14ac:dyDescent="0.35">
      <c r="B781" s="61">
        <v>1422</v>
      </c>
      <c r="C781" s="71" t="s">
        <v>754</v>
      </c>
      <c r="D781" s="62" t="s">
        <v>2370</v>
      </c>
      <c r="E781" s="60"/>
      <c r="F781" s="60"/>
      <c r="G781" s="60"/>
      <c r="H781" s="60"/>
      <c r="I781" s="60"/>
    </row>
    <row r="782" spans="2:9" x14ac:dyDescent="0.35">
      <c r="B782" s="61">
        <v>1423</v>
      </c>
      <c r="C782" s="71" t="s">
        <v>2366</v>
      </c>
      <c r="D782" s="62" t="s">
        <v>2370</v>
      </c>
      <c r="E782" s="60"/>
      <c r="F782" s="60"/>
      <c r="G782" s="60"/>
      <c r="H782" s="60"/>
      <c r="I782" s="60"/>
    </row>
    <row r="783" spans="2:9" x14ac:dyDescent="0.35">
      <c r="B783" s="61">
        <v>1425</v>
      </c>
      <c r="C783" s="71" t="s">
        <v>2444</v>
      </c>
      <c r="D783" s="62" t="s">
        <v>2370</v>
      </c>
      <c r="E783" s="60"/>
      <c r="F783" s="60"/>
      <c r="G783" s="60"/>
      <c r="H783" s="60"/>
      <c r="I783" s="60"/>
    </row>
    <row r="784" spans="2:9" x14ac:dyDescent="0.35">
      <c r="B784" s="61">
        <v>1426</v>
      </c>
      <c r="C784" s="71" t="s">
        <v>2334</v>
      </c>
      <c r="D784" s="62" t="s">
        <v>2370</v>
      </c>
      <c r="E784" s="60"/>
      <c r="F784" s="60"/>
      <c r="G784" s="60"/>
      <c r="H784" s="60"/>
      <c r="I784" s="60"/>
    </row>
    <row r="785" spans="2:9" x14ac:dyDescent="0.35">
      <c r="B785" s="61">
        <v>1427</v>
      </c>
      <c r="C785" s="71" t="s">
        <v>2347</v>
      </c>
      <c r="D785" s="62" t="s">
        <v>2370</v>
      </c>
      <c r="E785" s="60"/>
      <c r="F785" s="60"/>
      <c r="G785" s="60"/>
      <c r="H785" s="60"/>
      <c r="I785" s="60"/>
    </row>
    <row r="786" spans="2:9" x14ac:dyDescent="0.35">
      <c r="B786" s="61">
        <v>1428</v>
      </c>
      <c r="C786" s="71" t="s">
        <v>2428</v>
      </c>
      <c r="D786" s="62" t="s">
        <v>2370</v>
      </c>
      <c r="E786" s="60"/>
      <c r="F786" s="60"/>
      <c r="G786" s="60"/>
      <c r="H786" s="60"/>
      <c r="I786" s="60"/>
    </row>
    <row r="787" spans="2:9" x14ac:dyDescent="0.35">
      <c r="B787" s="61">
        <v>1429</v>
      </c>
      <c r="C787" s="71" t="s">
        <v>2360</v>
      </c>
      <c r="D787" s="62" t="s">
        <v>2370</v>
      </c>
      <c r="E787" s="60"/>
      <c r="F787" s="60"/>
      <c r="G787" s="60"/>
      <c r="H787" s="60"/>
      <c r="I787" s="60"/>
    </row>
    <row r="788" spans="2:9" x14ac:dyDescent="0.35">
      <c r="B788" s="61">
        <v>1430</v>
      </c>
      <c r="C788" s="71" t="s">
        <v>755</v>
      </c>
      <c r="D788" s="62" t="s">
        <v>2370</v>
      </c>
      <c r="E788" s="60"/>
      <c r="F788" s="60"/>
      <c r="G788" s="60"/>
      <c r="H788" s="60"/>
      <c r="I788" s="60"/>
    </row>
    <row r="789" spans="2:9" x14ac:dyDescent="0.35">
      <c r="B789" s="61">
        <v>1431</v>
      </c>
      <c r="C789" s="71" t="s">
        <v>2365</v>
      </c>
      <c r="D789" s="62" t="s">
        <v>2370</v>
      </c>
      <c r="E789" s="60"/>
      <c r="F789" s="60"/>
      <c r="G789" s="60"/>
      <c r="H789" s="60"/>
      <c r="I789" s="60"/>
    </row>
    <row r="790" spans="2:9" x14ac:dyDescent="0.35">
      <c r="B790" s="61">
        <v>1433</v>
      </c>
      <c r="C790" s="71" t="s">
        <v>2355</v>
      </c>
      <c r="D790" s="62" t="s">
        <v>2370</v>
      </c>
      <c r="E790" s="60"/>
      <c r="F790" s="60"/>
      <c r="G790" s="60"/>
      <c r="H790" s="60"/>
      <c r="I790" s="60"/>
    </row>
    <row r="791" spans="2:9" x14ac:dyDescent="0.35">
      <c r="B791" s="61">
        <v>1434</v>
      </c>
      <c r="C791" s="71" t="s">
        <v>2434</v>
      </c>
      <c r="D791" s="62" t="s">
        <v>2370</v>
      </c>
      <c r="E791" s="60"/>
      <c r="F791" s="60"/>
      <c r="G791" s="60"/>
      <c r="H791" s="60"/>
      <c r="I791" s="60"/>
    </row>
    <row r="792" spans="2:9" x14ac:dyDescent="0.35">
      <c r="B792" s="61">
        <v>1435</v>
      </c>
      <c r="C792" s="71" t="s">
        <v>756</v>
      </c>
      <c r="D792" s="62" t="s">
        <v>2370</v>
      </c>
      <c r="E792" s="60"/>
      <c r="F792" s="60"/>
      <c r="G792" s="60"/>
      <c r="H792" s="60"/>
      <c r="I792" s="60"/>
    </row>
    <row r="793" spans="2:9" x14ac:dyDescent="0.35">
      <c r="B793" s="61">
        <v>1436</v>
      </c>
      <c r="C793" s="71" t="s">
        <v>2335</v>
      </c>
      <c r="D793" s="62" t="s">
        <v>2370</v>
      </c>
      <c r="E793" s="60"/>
      <c r="F793" s="60"/>
      <c r="G793" s="60"/>
      <c r="H793" s="60"/>
      <c r="I793" s="60"/>
    </row>
    <row r="794" spans="2:9" x14ac:dyDescent="0.35">
      <c r="B794" s="61">
        <v>1438</v>
      </c>
      <c r="C794" s="71" t="s">
        <v>2348</v>
      </c>
      <c r="D794" s="62" t="s">
        <v>2370</v>
      </c>
      <c r="E794" s="60"/>
      <c r="F794" s="60"/>
      <c r="G794" s="60"/>
      <c r="H794" s="60"/>
      <c r="I794" s="60"/>
    </row>
    <row r="795" spans="2:9" x14ac:dyDescent="0.35">
      <c r="B795" s="61">
        <v>1439</v>
      </c>
      <c r="C795" s="71" t="s">
        <v>2445</v>
      </c>
      <c r="D795" s="62" t="s">
        <v>2370</v>
      </c>
      <c r="E795" s="60"/>
      <c r="F795" s="60"/>
      <c r="G795" s="60"/>
      <c r="H795" s="60"/>
      <c r="I795" s="60"/>
    </row>
    <row r="796" spans="2:9" x14ac:dyDescent="0.35">
      <c r="B796" s="61">
        <v>1440</v>
      </c>
      <c r="C796" s="71" t="s">
        <v>2429</v>
      </c>
      <c r="D796" s="62" t="s">
        <v>2370</v>
      </c>
      <c r="E796" s="60"/>
      <c r="F796" s="60"/>
      <c r="G796" s="60"/>
      <c r="H796" s="60"/>
      <c r="I796" s="60"/>
    </row>
    <row r="797" spans="2:9" x14ac:dyDescent="0.35">
      <c r="B797" s="61">
        <v>1441</v>
      </c>
      <c r="C797" s="71" t="s">
        <v>757</v>
      </c>
      <c r="D797" s="62" t="s">
        <v>2370</v>
      </c>
      <c r="E797" s="60"/>
      <c r="F797" s="60"/>
      <c r="G797" s="60"/>
      <c r="H797" s="60"/>
      <c r="I797" s="60"/>
    </row>
    <row r="798" spans="2:9" x14ac:dyDescent="0.35">
      <c r="B798" s="61">
        <v>1442</v>
      </c>
      <c r="C798" s="71" t="s">
        <v>2363</v>
      </c>
      <c r="D798" s="62" t="s">
        <v>2370</v>
      </c>
      <c r="E798" s="60"/>
      <c r="F798" s="60"/>
      <c r="G798" s="60"/>
      <c r="H798" s="60"/>
      <c r="I798" s="60"/>
    </row>
    <row r="799" spans="2:9" ht="29" x14ac:dyDescent="0.35">
      <c r="B799" s="61">
        <v>1444</v>
      </c>
      <c r="C799" s="71" t="s">
        <v>2364</v>
      </c>
      <c r="D799" s="62" t="s">
        <v>2370</v>
      </c>
      <c r="E799" s="60"/>
      <c r="F799" s="60"/>
      <c r="G799" s="60"/>
      <c r="H799" s="60"/>
      <c r="I799" s="60"/>
    </row>
    <row r="800" spans="2:9" ht="29" x14ac:dyDescent="0.35">
      <c r="B800" s="61">
        <v>1445</v>
      </c>
      <c r="C800" s="71" t="s">
        <v>2356</v>
      </c>
      <c r="D800" s="62" t="s">
        <v>2370</v>
      </c>
      <c r="E800" s="60"/>
      <c r="F800" s="60"/>
      <c r="G800" s="60"/>
      <c r="H800" s="60"/>
      <c r="I800" s="60"/>
    </row>
    <row r="801" spans="2:9" ht="29" x14ac:dyDescent="0.35">
      <c r="B801" s="61">
        <v>1446</v>
      </c>
      <c r="C801" s="71" t="s">
        <v>2336</v>
      </c>
      <c r="D801" s="62" t="s">
        <v>2370</v>
      </c>
      <c r="E801" s="60"/>
      <c r="F801" s="60"/>
      <c r="G801" s="60"/>
      <c r="H801" s="60"/>
      <c r="I801" s="60"/>
    </row>
    <row r="802" spans="2:9" ht="29" x14ac:dyDescent="0.35">
      <c r="B802" s="61">
        <v>1447</v>
      </c>
      <c r="C802" s="71" t="s">
        <v>2337</v>
      </c>
      <c r="D802" s="62" t="s">
        <v>2370</v>
      </c>
      <c r="E802" s="60"/>
      <c r="F802" s="60"/>
      <c r="G802" s="60"/>
      <c r="H802" s="60"/>
      <c r="I802" s="60"/>
    </row>
    <row r="803" spans="2:9" ht="29" x14ac:dyDescent="0.35">
      <c r="B803" s="61">
        <v>1448</v>
      </c>
      <c r="C803" s="71" t="s">
        <v>2349</v>
      </c>
      <c r="D803" s="62" t="s">
        <v>2370</v>
      </c>
      <c r="E803" s="60"/>
      <c r="F803" s="60"/>
      <c r="G803" s="60"/>
      <c r="H803" s="60"/>
      <c r="I803" s="60"/>
    </row>
    <row r="804" spans="2:9" x14ac:dyDescent="0.35">
      <c r="B804" s="61">
        <v>1450</v>
      </c>
      <c r="C804" s="71" t="s">
        <v>2430</v>
      </c>
      <c r="D804" s="62" t="s">
        <v>2370</v>
      </c>
      <c r="E804" s="60"/>
      <c r="F804" s="60"/>
      <c r="G804" s="60"/>
      <c r="H804" s="60"/>
      <c r="I804" s="60"/>
    </row>
    <row r="805" spans="2:9" x14ac:dyDescent="0.35">
      <c r="B805" s="61">
        <v>1451</v>
      </c>
      <c r="C805" s="71" t="s">
        <v>2362</v>
      </c>
      <c r="D805" s="62" t="s">
        <v>2370</v>
      </c>
      <c r="E805" s="60"/>
      <c r="F805" s="60"/>
      <c r="G805" s="60"/>
      <c r="H805" s="60"/>
      <c r="I805" s="60"/>
    </row>
    <row r="806" spans="2:9" x14ac:dyDescent="0.35">
      <c r="B806" s="61">
        <v>1452</v>
      </c>
      <c r="C806" s="71" t="s">
        <v>758</v>
      </c>
      <c r="D806" s="62" t="s">
        <v>2370</v>
      </c>
      <c r="E806" s="60"/>
      <c r="F806" s="60"/>
      <c r="G806" s="60"/>
      <c r="H806" s="60"/>
      <c r="I806" s="60"/>
    </row>
    <row r="807" spans="2:9" x14ac:dyDescent="0.35">
      <c r="B807" s="61">
        <v>1453</v>
      </c>
      <c r="C807" s="71" t="s">
        <v>2338</v>
      </c>
      <c r="D807" s="62" t="s">
        <v>2370</v>
      </c>
      <c r="E807" s="60"/>
      <c r="F807" s="60"/>
      <c r="G807" s="60"/>
      <c r="H807" s="60"/>
      <c r="I807" s="60"/>
    </row>
    <row r="808" spans="2:9" x14ac:dyDescent="0.35">
      <c r="B808" s="61">
        <v>1456</v>
      </c>
      <c r="C808" s="71" t="s">
        <v>2350</v>
      </c>
      <c r="D808" s="62" t="s">
        <v>2370</v>
      </c>
      <c r="E808" s="60"/>
      <c r="F808" s="60"/>
      <c r="G808" s="60"/>
      <c r="H808" s="60"/>
      <c r="I808" s="60"/>
    </row>
    <row r="809" spans="2:9" x14ac:dyDescent="0.35">
      <c r="B809" s="61">
        <v>1457</v>
      </c>
      <c r="C809" s="71" t="s">
        <v>2431</v>
      </c>
      <c r="D809" s="62" t="s">
        <v>2370</v>
      </c>
      <c r="E809" s="60"/>
      <c r="F809" s="60"/>
      <c r="G809" s="60"/>
      <c r="H809" s="60"/>
      <c r="I809" s="60"/>
    </row>
    <row r="810" spans="2:9" x14ac:dyDescent="0.35">
      <c r="B810" s="61">
        <v>1458</v>
      </c>
      <c r="C810" s="71" t="s">
        <v>759</v>
      </c>
      <c r="D810" s="62" t="s">
        <v>2370</v>
      </c>
      <c r="E810" s="60"/>
      <c r="F810" s="60"/>
      <c r="G810" s="60"/>
      <c r="H810" s="60"/>
      <c r="I810" s="60"/>
    </row>
    <row r="811" spans="2:9" x14ac:dyDescent="0.35">
      <c r="B811" s="61">
        <v>1459</v>
      </c>
      <c r="C811" s="71" t="s">
        <v>760</v>
      </c>
      <c r="D811" s="62" t="s">
        <v>2370</v>
      </c>
      <c r="E811" s="60"/>
      <c r="F811" s="60"/>
      <c r="G811" s="60"/>
      <c r="H811" s="60"/>
      <c r="I811" s="60"/>
    </row>
    <row r="812" spans="2:9" x14ac:dyDescent="0.35">
      <c r="B812" s="61">
        <v>1460</v>
      </c>
      <c r="C812" s="71" t="s">
        <v>2357</v>
      </c>
      <c r="D812" s="62" t="s">
        <v>2370</v>
      </c>
      <c r="E812" s="60"/>
      <c r="F812" s="60"/>
      <c r="G812" s="60"/>
      <c r="H812" s="60"/>
      <c r="I812" s="60"/>
    </row>
    <row r="813" spans="2:9" x14ac:dyDescent="0.35">
      <c r="B813" s="61">
        <v>1462</v>
      </c>
      <c r="C813" s="71" t="s">
        <v>2361</v>
      </c>
      <c r="D813" s="62" t="s">
        <v>2370</v>
      </c>
      <c r="E813" s="60"/>
      <c r="F813" s="60"/>
      <c r="G813" s="60"/>
      <c r="H813" s="60"/>
      <c r="I813" s="60"/>
    </row>
    <row r="814" spans="2:9" x14ac:dyDescent="0.35">
      <c r="B814" s="61">
        <v>1463</v>
      </c>
      <c r="C814" s="71" t="s">
        <v>2436</v>
      </c>
      <c r="D814" s="62" t="s">
        <v>2370</v>
      </c>
      <c r="E814" s="60"/>
      <c r="F814" s="60"/>
      <c r="G814" s="60"/>
      <c r="H814" s="60"/>
      <c r="I814" s="60"/>
    </row>
    <row r="815" spans="2:9" x14ac:dyDescent="0.35">
      <c r="B815" s="61">
        <v>1464</v>
      </c>
      <c r="C815" s="71" t="s">
        <v>2432</v>
      </c>
      <c r="D815" s="62" t="s">
        <v>2370</v>
      </c>
      <c r="E815" s="60"/>
      <c r="F815" s="60"/>
      <c r="G815" s="60"/>
      <c r="H815" s="60"/>
      <c r="I815" s="60"/>
    </row>
    <row r="816" spans="2:9" x14ac:dyDescent="0.35">
      <c r="B816" s="61">
        <v>1465</v>
      </c>
      <c r="C816" s="71" t="s">
        <v>2433</v>
      </c>
      <c r="D816" s="62" t="s">
        <v>2370</v>
      </c>
      <c r="E816" s="60"/>
      <c r="F816" s="60"/>
      <c r="G816" s="60"/>
      <c r="H816" s="60"/>
      <c r="I816" s="60"/>
    </row>
    <row r="817" spans="2:9" x14ac:dyDescent="0.35">
      <c r="B817" s="61">
        <v>1467</v>
      </c>
      <c r="C817" s="71" t="s">
        <v>2339</v>
      </c>
      <c r="D817" s="62" t="s">
        <v>2370</v>
      </c>
      <c r="E817" s="60"/>
      <c r="F817" s="60"/>
      <c r="G817" s="60"/>
      <c r="H817" s="60"/>
      <c r="I817" s="60"/>
    </row>
    <row r="818" spans="2:9" x14ac:dyDescent="0.35">
      <c r="B818" s="61">
        <v>1468</v>
      </c>
      <c r="C818" s="71" t="s">
        <v>2340</v>
      </c>
      <c r="D818" s="62" t="s">
        <v>2370</v>
      </c>
      <c r="E818" s="60"/>
      <c r="F818" s="60"/>
      <c r="G818" s="60"/>
      <c r="H818" s="60"/>
      <c r="I818" s="60"/>
    </row>
    <row r="819" spans="2:9" ht="29" x14ac:dyDescent="0.35">
      <c r="B819" s="61">
        <v>1469</v>
      </c>
      <c r="C819" s="71" t="s">
        <v>2341</v>
      </c>
      <c r="D819" s="62" t="s">
        <v>2370</v>
      </c>
      <c r="E819" s="60"/>
      <c r="F819" s="60"/>
      <c r="G819" s="60"/>
      <c r="H819" s="60"/>
      <c r="I819" s="60"/>
    </row>
    <row r="820" spans="2:9" x14ac:dyDescent="0.35">
      <c r="B820" s="61">
        <v>1472</v>
      </c>
      <c r="C820" s="71" t="s">
        <v>2342</v>
      </c>
      <c r="D820" s="62" t="s">
        <v>2370</v>
      </c>
      <c r="E820" s="60"/>
      <c r="F820" s="60"/>
      <c r="G820" s="60"/>
      <c r="H820" s="60"/>
      <c r="I820" s="60"/>
    </row>
    <row r="821" spans="2:9" ht="409.5" x14ac:dyDescent="0.35">
      <c r="B821" s="61">
        <v>1481</v>
      </c>
      <c r="C821" s="71" t="s">
        <v>761</v>
      </c>
      <c r="D821" s="62" t="s">
        <v>2380</v>
      </c>
      <c r="E821" s="60" t="s">
        <v>2932</v>
      </c>
      <c r="F821" s="60" t="s">
        <v>2930</v>
      </c>
      <c r="G821" s="60" t="s">
        <v>2918</v>
      </c>
      <c r="H821" s="60" t="s">
        <v>2877</v>
      </c>
      <c r="I821" s="60" t="s">
        <v>2878</v>
      </c>
    </row>
    <row r="822" spans="2:9" s="56" customFormat="1" ht="120" customHeight="1" x14ac:dyDescent="0.35">
      <c r="B822" s="61">
        <v>1482</v>
      </c>
      <c r="C822" s="71" t="s">
        <v>762</v>
      </c>
      <c r="D822" s="62" t="s">
        <v>2380</v>
      </c>
      <c r="E822" s="60" t="s">
        <v>2931</v>
      </c>
      <c r="F822" s="60" t="s">
        <v>2929</v>
      </c>
      <c r="G822" s="60" t="s">
        <v>2879</v>
      </c>
      <c r="H822" s="60" t="s">
        <v>2880</v>
      </c>
      <c r="I822" s="60" t="s">
        <v>2933</v>
      </c>
    </row>
    <row r="823" spans="2:9" s="56" customFormat="1" ht="120" customHeight="1" x14ac:dyDescent="0.35">
      <c r="B823" s="61">
        <v>1483</v>
      </c>
      <c r="C823" s="71" t="s">
        <v>763</v>
      </c>
      <c r="D823" s="62" t="s">
        <v>2380</v>
      </c>
      <c r="E823" s="60" t="s">
        <v>2934</v>
      </c>
      <c r="F823" s="60" t="s">
        <v>2935</v>
      </c>
      <c r="G823" s="60" t="s">
        <v>2881</v>
      </c>
      <c r="H823" s="60" t="s">
        <v>2882</v>
      </c>
      <c r="I823" s="60" t="s">
        <v>2883</v>
      </c>
    </row>
    <row r="824" spans="2:9" s="56" customFormat="1" ht="120" customHeight="1" x14ac:dyDescent="0.35">
      <c r="B824" s="61">
        <v>1484</v>
      </c>
      <c r="C824" s="71" t="s">
        <v>764</v>
      </c>
      <c r="D824" s="62" t="s">
        <v>2380</v>
      </c>
      <c r="E824" s="60" t="s">
        <v>2922</v>
      </c>
      <c r="F824" s="60" t="s">
        <v>2936</v>
      </c>
      <c r="G824" s="60" t="s">
        <v>2884</v>
      </c>
      <c r="H824" s="60" t="s">
        <v>2885</v>
      </c>
      <c r="I824" s="60" t="s">
        <v>2886</v>
      </c>
    </row>
    <row r="825" spans="2:9" s="56" customFormat="1" ht="120" customHeight="1" x14ac:dyDescent="0.35">
      <c r="B825" s="61">
        <v>1485</v>
      </c>
      <c r="C825" s="71" t="s">
        <v>765</v>
      </c>
      <c r="D825" s="62" t="s">
        <v>2380</v>
      </c>
      <c r="E825" s="60"/>
      <c r="F825" s="60"/>
      <c r="G825" s="60"/>
      <c r="H825" s="60"/>
      <c r="I825" s="60"/>
    </row>
    <row r="826" spans="2:9" x14ac:dyDescent="0.35">
      <c r="B826" s="61">
        <v>1486</v>
      </c>
      <c r="C826" s="71" t="s">
        <v>1031</v>
      </c>
      <c r="D826" s="62" t="s">
        <v>2380</v>
      </c>
      <c r="E826" s="60"/>
      <c r="F826" s="60"/>
      <c r="G826" s="60"/>
      <c r="H826" s="60"/>
      <c r="I826" s="60"/>
    </row>
    <row r="827" spans="2:9" x14ac:dyDescent="0.35">
      <c r="B827" s="61">
        <v>1487</v>
      </c>
      <c r="C827" s="71" t="s">
        <v>1032</v>
      </c>
      <c r="D827" s="62" t="s">
        <v>2380</v>
      </c>
      <c r="E827" s="60"/>
      <c r="F827" s="60"/>
      <c r="G827" s="60"/>
      <c r="H827" s="60"/>
      <c r="I827" s="60"/>
    </row>
    <row r="828" spans="2:9" ht="188.5" x14ac:dyDescent="0.35">
      <c r="B828" s="61">
        <v>1488</v>
      </c>
      <c r="C828" s="71" t="s">
        <v>1033</v>
      </c>
      <c r="D828" s="62" t="s">
        <v>2380</v>
      </c>
      <c r="E828" s="60" t="s">
        <v>2934</v>
      </c>
      <c r="F828" s="60" t="s">
        <v>2935</v>
      </c>
      <c r="G828" s="60" t="s">
        <v>2881</v>
      </c>
      <c r="H828" s="64" t="s">
        <v>2887</v>
      </c>
      <c r="I828" s="60" t="s">
        <v>2883</v>
      </c>
    </row>
    <row r="829" spans="2:9" s="56" customFormat="1" ht="120" customHeight="1" x14ac:dyDescent="0.35">
      <c r="B829" s="61">
        <v>1489</v>
      </c>
      <c r="C829" s="71" t="s">
        <v>1034</v>
      </c>
      <c r="D829" s="62" t="s">
        <v>2380</v>
      </c>
      <c r="E829" s="60"/>
      <c r="F829" s="60"/>
      <c r="G829" s="60"/>
      <c r="H829" s="60"/>
      <c r="I829" s="60"/>
    </row>
    <row r="830" spans="2:9" x14ac:dyDescent="0.35">
      <c r="B830" s="61">
        <v>1490</v>
      </c>
      <c r="C830" s="71" t="s">
        <v>1062</v>
      </c>
      <c r="D830" s="62" t="s">
        <v>2380</v>
      </c>
      <c r="E830" s="60"/>
      <c r="F830" s="60"/>
      <c r="G830" s="60"/>
      <c r="H830" s="60"/>
      <c r="I830" s="60"/>
    </row>
    <row r="831" spans="2:9" x14ac:dyDescent="0.35">
      <c r="B831" s="61">
        <v>1499</v>
      </c>
      <c r="C831" s="71" t="s">
        <v>766</v>
      </c>
      <c r="D831" s="62" t="s">
        <v>2373</v>
      </c>
      <c r="E831" s="60"/>
      <c r="F831" s="60"/>
      <c r="G831" s="60"/>
      <c r="H831" s="60"/>
      <c r="I831" s="60"/>
    </row>
    <row r="832" spans="2:9" x14ac:dyDescent="0.35">
      <c r="B832" s="61">
        <v>1501</v>
      </c>
      <c r="C832" s="71" t="s">
        <v>767</v>
      </c>
      <c r="D832" s="62" t="s">
        <v>2373</v>
      </c>
      <c r="E832" s="60"/>
      <c r="F832" s="60"/>
      <c r="G832" s="60"/>
      <c r="H832" s="60"/>
      <c r="I832" s="60"/>
    </row>
    <row r="833" spans="2:9" x14ac:dyDescent="0.35">
      <c r="B833" s="61">
        <v>1502</v>
      </c>
      <c r="C833" s="71" t="s">
        <v>768</v>
      </c>
      <c r="D833" s="62" t="s">
        <v>2373</v>
      </c>
      <c r="E833" s="60"/>
      <c r="F833" s="60"/>
      <c r="G833" s="60"/>
      <c r="H833" s="60"/>
      <c r="I833" s="60"/>
    </row>
    <row r="834" spans="2:9" x14ac:dyDescent="0.35">
      <c r="B834" s="61">
        <v>1503</v>
      </c>
      <c r="C834" s="71" t="s">
        <v>769</v>
      </c>
      <c r="D834" s="62" t="s">
        <v>2373</v>
      </c>
      <c r="E834" s="60"/>
      <c r="F834" s="60"/>
      <c r="G834" s="60"/>
      <c r="H834" s="60"/>
      <c r="I834" s="60"/>
    </row>
    <row r="835" spans="2:9" x14ac:dyDescent="0.35">
      <c r="B835" s="61">
        <v>1504</v>
      </c>
      <c r="C835" s="71" t="s">
        <v>770</v>
      </c>
      <c r="D835" s="62" t="s">
        <v>2373</v>
      </c>
      <c r="E835" s="60"/>
      <c r="F835" s="60"/>
      <c r="G835" s="60"/>
      <c r="H835" s="60"/>
      <c r="I835" s="60"/>
    </row>
    <row r="836" spans="2:9" x14ac:dyDescent="0.35">
      <c r="B836" s="61">
        <v>1505</v>
      </c>
      <c r="C836" s="71" t="s">
        <v>771</v>
      </c>
      <c r="D836" s="62" t="s">
        <v>2373</v>
      </c>
      <c r="E836" s="60"/>
      <c r="F836" s="60"/>
      <c r="G836" s="60"/>
      <c r="H836" s="60"/>
      <c r="I836" s="60"/>
    </row>
    <row r="837" spans="2:9" x14ac:dyDescent="0.35">
      <c r="B837" s="61">
        <v>1506</v>
      </c>
      <c r="C837" s="71" t="s">
        <v>772</v>
      </c>
      <c r="D837" s="62" t="s">
        <v>2373</v>
      </c>
      <c r="E837" s="60"/>
      <c r="F837" s="60"/>
      <c r="G837" s="60"/>
      <c r="H837" s="60"/>
      <c r="I837" s="60"/>
    </row>
    <row r="838" spans="2:9" x14ac:dyDescent="0.35">
      <c r="B838" s="61">
        <v>1507</v>
      </c>
      <c r="C838" s="71" t="s">
        <v>773</v>
      </c>
      <c r="D838" s="62" t="s">
        <v>2373</v>
      </c>
      <c r="E838" s="60"/>
      <c r="F838" s="60"/>
      <c r="G838" s="60"/>
      <c r="H838" s="60"/>
      <c r="I838" s="60"/>
    </row>
    <row r="839" spans="2:9" x14ac:dyDescent="0.35">
      <c r="B839" s="61">
        <v>1508</v>
      </c>
      <c r="C839" s="71" t="s">
        <v>774</v>
      </c>
      <c r="D839" s="62" t="s">
        <v>2373</v>
      </c>
      <c r="E839" s="60"/>
      <c r="F839" s="60"/>
      <c r="G839" s="60"/>
      <c r="H839" s="60"/>
      <c r="I839" s="60"/>
    </row>
    <row r="840" spans="2:9" x14ac:dyDescent="0.35">
      <c r="B840" s="61">
        <v>1509</v>
      </c>
      <c r="C840" s="71" t="s">
        <v>2437</v>
      </c>
      <c r="D840" s="62" t="s">
        <v>2373</v>
      </c>
      <c r="E840" s="60"/>
      <c r="F840" s="60"/>
      <c r="G840" s="60"/>
      <c r="H840" s="60"/>
      <c r="I840" s="60"/>
    </row>
    <row r="841" spans="2:9" x14ac:dyDescent="0.35">
      <c r="B841" s="61">
        <v>1510</v>
      </c>
      <c r="C841" s="71" t="s">
        <v>2438</v>
      </c>
      <c r="D841" s="62" t="s">
        <v>2373</v>
      </c>
      <c r="E841" s="60"/>
      <c r="F841" s="60"/>
      <c r="G841" s="60"/>
      <c r="H841" s="60"/>
      <c r="I841" s="60"/>
    </row>
    <row r="842" spans="2:9" x14ac:dyDescent="0.35">
      <c r="B842" s="59">
        <v>1512</v>
      </c>
      <c r="C842" s="71" t="s">
        <v>775</v>
      </c>
      <c r="D842" s="60" t="s">
        <v>2373</v>
      </c>
      <c r="E842" s="60"/>
      <c r="F842" s="60"/>
      <c r="G842" s="60"/>
      <c r="H842" s="60"/>
      <c r="I842" s="60"/>
    </row>
    <row r="843" spans="2:9" x14ac:dyDescent="0.35">
      <c r="B843" s="59">
        <v>1513</v>
      </c>
      <c r="C843" s="71" t="s">
        <v>776</v>
      </c>
      <c r="D843" s="60" t="s">
        <v>2373</v>
      </c>
      <c r="E843" s="60"/>
      <c r="F843" s="60"/>
      <c r="G843" s="60"/>
      <c r="H843" s="60"/>
      <c r="I843" s="60"/>
    </row>
    <row r="844" spans="2:9" x14ac:dyDescent="0.35">
      <c r="B844" s="59">
        <v>1514</v>
      </c>
      <c r="C844" s="71" t="s">
        <v>777</v>
      </c>
      <c r="D844" s="60" t="s">
        <v>2373</v>
      </c>
      <c r="E844" s="60"/>
      <c r="F844" s="60"/>
      <c r="G844" s="60"/>
      <c r="H844" s="60"/>
      <c r="I844" s="60"/>
    </row>
    <row r="845" spans="2:9" x14ac:dyDescent="0.35">
      <c r="B845" s="59">
        <v>1515</v>
      </c>
      <c r="C845" s="71" t="s">
        <v>778</v>
      </c>
      <c r="D845" s="60" t="s">
        <v>2373</v>
      </c>
      <c r="E845" s="60"/>
      <c r="F845" s="60"/>
      <c r="G845" s="60"/>
      <c r="H845" s="60"/>
      <c r="I845" s="60"/>
    </row>
    <row r="846" spans="2:9" x14ac:dyDescent="0.35">
      <c r="B846" s="59">
        <v>1516</v>
      </c>
      <c r="C846" s="71" t="s">
        <v>779</v>
      </c>
      <c r="D846" s="60" t="s">
        <v>2373</v>
      </c>
      <c r="E846" s="60"/>
      <c r="F846" s="60"/>
      <c r="G846" s="60"/>
      <c r="H846" s="60"/>
      <c r="I846" s="60"/>
    </row>
    <row r="847" spans="2:9" x14ac:dyDescent="0.35">
      <c r="B847" s="59">
        <v>1517</v>
      </c>
      <c r="C847" s="71" t="s">
        <v>780</v>
      </c>
      <c r="D847" s="60" t="s">
        <v>2373</v>
      </c>
      <c r="E847" s="60"/>
      <c r="F847" s="60"/>
      <c r="G847" s="60"/>
      <c r="H847" s="60"/>
      <c r="I847" s="60"/>
    </row>
    <row r="848" spans="2:9" x14ac:dyDescent="0.35">
      <c r="B848" s="59">
        <v>1518</v>
      </c>
      <c r="C848" s="71" t="s">
        <v>781</v>
      </c>
      <c r="D848" s="60" t="s">
        <v>2373</v>
      </c>
      <c r="E848" s="60"/>
      <c r="F848" s="60"/>
      <c r="G848" s="60"/>
      <c r="H848" s="60"/>
      <c r="I848" s="60"/>
    </row>
    <row r="849" spans="2:9" x14ac:dyDescent="0.35">
      <c r="B849" s="59">
        <v>1519</v>
      </c>
      <c r="C849" s="71" t="s">
        <v>782</v>
      </c>
      <c r="D849" s="60" t="s">
        <v>2373</v>
      </c>
      <c r="E849" s="60"/>
      <c r="F849" s="60"/>
      <c r="G849" s="60"/>
      <c r="H849" s="60"/>
      <c r="I849" s="60"/>
    </row>
    <row r="850" spans="2:9" x14ac:dyDescent="0.35">
      <c r="B850" s="61">
        <v>1520</v>
      </c>
      <c r="C850" s="71" t="s">
        <v>783</v>
      </c>
      <c r="D850" s="60" t="s">
        <v>2373</v>
      </c>
      <c r="E850" s="60"/>
      <c r="F850" s="60"/>
      <c r="G850" s="60"/>
      <c r="H850" s="60"/>
      <c r="I850" s="60"/>
    </row>
    <row r="851" spans="2:9" x14ac:dyDescent="0.35">
      <c r="B851" s="61">
        <v>1521</v>
      </c>
      <c r="C851" s="71" t="s">
        <v>2439</v>
      </c>
      <c r="D851" s="60" t="s">
        <v>2373</v>
      </c>
      <c r="E851" s="60"/>
      <c r="F851" s="60"/>
      <c r="G851" s="60"/>
      <c r="H851" s="60"/>
      <c r="I851" s="60"/>
    </row>
    <row r="852" spans="2:9" x14ac:dyDescent="0.35">
      <c r="B852" s="59">
        <v>1522</v>
      </c>
      <c r="C852" s="71" t="s">
        <v>2440</v>
      </c>
      <c r="D852" s="60" t="s">
        <v>2373</v>
      </c>
      <c r="E852" s="60"/>
      <c r="F852" s="60"/>
      <c r="G852" s="60"/>
      <c r="H852" s="60"/>
      <c r="I852" s="60"/>
    </row>
    <row r="853" spans="2:9" x14ac:dyDescent="0.35">
      <c r="B853" s="59">
        <v>1524</v>
      </c>
      <c r="C853" s="71" t="s">
        <v>784</v>
      </c>
      <c r="D853" s="60" t="s">
        <v>2373</v>
      </c>
      <c r="E853" s="60"/>
      <c r="F853" s="60"/>
      <c r="G853" s="60"/>
      <c r="H853" s="60"/>
      <c r="I853" s="60"/>
    </row>
    <row r="854" spans="2:9" x14ac:dyDescent="0.35">
      <c r="B854" s="59">
        <v>1525</v>
      </c>
      <c r="C854" s="71" t="s">
        <v>785</v>
      </c>
      <c r="D854" s="60" t="s">
        <v>2373</v>
      </c>
      <c r="E854" s="60"/>
      <c r="F854" s="60"/>
      <c r="G854" s="60"/>
      <c r="H854" s="60"/>
      <c r="I854" s="60"/>
    </row>
    <row r="855" spans="2:9" x14ac:dyDescent="0.35">
      <c r="B855" s="59">
        <v>1526</v>
      </c>
      <c r="C855" s="71" t="s">
        <v>786</v>
      </c>
      <c r="D855" s="60" t="s">
        <v>2373</v>
      </c>
      <c r="E855" s="60"/>
      <c r="F855" s="60"/>
      <c r="G855" s="60"/>
      <c r="H855" s="60"/>
      <c r="I855" s="60"/>
    </row>
    <row r="856" spans="2:9" x14ac:dyDescent="0.35">
      <c r="B856" s="59">
        <v>1527</v>
      </c>
      <c r="C856" s="71" t="s">
        <v>787</v>
      </c>
      <c r="D856" s="60" t="s">
        <v>2373</v>
      </c>
      <c r="E856" s="60"/>
      <c r="F856" s="60"/>
      <c r="G856" s="60"/>
      <c r="H856" s="60"/>
      <c r="I856" s="60"/>
    </row>
    <row r="857" spans="2:9" x14ac:dyDescent="0.35">
      <c r="B857" s="59">
        <v>1528</v>
      </c>
      <c r="C857" s="71" t="s">
        <v>788</v>
      </c>
      <c r="D857" s="60" t="s">
        <v>2373</v>
      </c>
      <c r="E857" s="60"/>
      <c r="F857" s="60"/>
      <c r="G857" s="60"/>
      <c r="H857" s="60"/>
      <c r="I857" s="60"/>
    </row>
    <row r="858" spans="2:9" x14ac:dyDescent="0.35">
      <c r="B858" s="59">
        <v>1529</v>
      </c>
      <c r="C858" s="71" t="s">
        <v>789</v>
      </c>
      <c r="D858" s="60" t="s">
        <v>2373</v>
      </c>
      <c r="E858" s="60"/>
      <c r="F858" s="60"/>
      <c r="G858" s="60"/>
      <c r="H858" s="60"/>
      <c r="I858" s="60"/>
    </row>
    <row r="859" spans="2:9" x14ac:dyDescent="0.35">
      <c r="B859" s="59">
        <v>1530</v>
      </c>
      <c r="C859" s="71" t="s">
        <v>790</v>
      </c>
      <c r="D859" s="60" t="s">
        <v>2373</v>
      </c>
      <c r="E859" s="60"/>
      <c r="F859" s="60"/>
      <c r="G859" s="60"/>
      <c r="H859" s="60"/>
      <c r="I859" s="60"/>
    </row>
    <row r="860" spans="2:9" x14ac:dyDescent="0.35">
      <c r="B860" s="59">
        <v>1531</v>
      </c>
      <c r="C860" s="71" t="s">
        <v>791</v>
      </c>
      <c r="D860" s="60" t="s">
        <v>2373</v>
      </c>
      <c r="E860" s="60"/>
      <c r="F860" s="60"/>
      <c r="G860" s="60"/>
      <c r="H860" s="60"/>
      <c r="I860" s="60"/>
    </row>
    <row r="861" spans="2:9" x14ac:dyDescent="0.35">
      <c r="B861" s="59">
        <v>1532</v>
      </c>
      <c r="C861" s="71" t="s">
        <v>792</v>
      </c>
      <c r="D861" s="60" t="s">
        <v>2373</v>
      </c>
      <c r="E861" s="60"/>
      <c r="F861" s="60"/>
      <c r="G861" s="60"/>
      <c r="H861" s="60"/>
      <c r="I861" s="60"/>
    </row>
    <row r="862" spans="2:9" x14ac:dyDescent="0.35">
      <c r="B862" s="59">
        <v>1533</v>
      </c>
      <c r="C862" s="71" t="s">
        <v>793</v>
      </c>
      <c r="D862" s="60" t="s">
        <v>2373</v>
      </c>
      <c r="E862" s="60"/>
      <c r="F862" s="60"/>
      <c r="G862" s="60"/>
      <c r="H862" s="60"/>
      <c r="I862" s="60"/>
    </row>
    <row r="863" spans="2:9" x14ac:dyDescent="0.35">
      <c r="B863" s="59">
        <v>1534</v>
      </c>
      <c r="C863" s="71" t="s">
        <v>794</v>
      </c>
      <c r="D863" s="60" t="s">
        <v>2373</v>
      </c>
      <c r="E863" s="60"/>
      <c r="F863" s="60"/>
      <c r="G863" s="60"/>
      <c r="H863" s="60"/>
      <c r="I863" s="60"/>
    </row>
    <row r="864" spans="2:9" x14ac:dyDescent="0.35">
      <c r="B864" s="59">
        <v>1535</v>
      </c>
      <c r="C864" s="71" t="s">
        <v>795</v>
      </c>
      <c r="D864" s="60" t="s">
        <v>2373</v>
      </c>
      <c r="E864" s="60"/>
      <c r="F864" s="60"/>
      <c r="G864" s="60"/>
      <c r="H864" s="60"/>
      <c r="I864" s="60"/>
    </row>
    <row r="865" spans="2:9" x14ac:dyDescent="0.35">
      <c r="B865" s="59">
        <v>1536</v>
      </c>
      <c r="C865" s="71" t="s">
        <v>796</v>
      </c>
      <c r="D865" s="60" t="s">
        <v>2373</v>
      </c>
      <c r="E865" s="60"/>
      <c r="F865" s="60"/>
      <c r="G865" s="60"/>
      <c r="H865" s="60"/>
      <c r="I865" s="60"/>
    </row>
    <row r="866" spans="2:9" x14ac:dyDescent="0.35">
      <c r="B866" s="59">
        <v>1537</v>
      </c>
      <c r="C866" s="71" t="s">
        <v>797</v>
      </c>
      <c r="D866" s="60" t="s">
        <v>2373</v>
      </c>
      <c r="E866" s="60"/>
      <c r="F866" s="60"/>
      <c r="G866" s="60"/>
      <c r="H866" s="60"/>
      <c r="I866" s="60"/>
    </row>
    <row r="867" spans="2:9" x14ac:dyDescent="0.35">
      <c r="B867" s="59">
        <v>1538</v>
      </c>
      <c r="C867" s="71" t="s">
        <v>798</v>
      </c>
      <c r="D867" s="60" t="s">
        <v>2373</v>
      </c>
      <c r="E867" s="60"/>
      <c r="F867" s="60"/>
      <c r="G867" s="60"/>
      <c r="H867" s="60"/>
      <c r="I867" s="60"/>
    </row>
    <row r="868" spans="2:9" x14ac:dyDescent="0.35">
      <c r="B868" s="59">
        <v>1539</v>
      </c>
      <c r="C868" s="71" t="s">
        <v>799</v>
      </c>
      <c r="D868" s="60" t="s">
        <v>2373</v>
      </c>
      <c r="E868" s="60"/>
      <c r="F868" s="60"/>
      <c r="G868" s="60"/>
      <c r="H868" s="60"/>
      <c r="I868" s="60"/>
    </row>
    <row r="869" spans="2:9" x14ac:dyDescent="0.35">
      <c r="B869" s="59">
        <v>1540</v>
      </c>
      <c r="C869" s="71" t="s">
        <v>800</v>
      </c>
      <c r="D869" s="60" t="s">
        <v>2373</v>
      </c>
      <c r="E869" s="60"/>
      <c r="F869" s="60"/>
      <c r="G869" s="60"/>
      <c r="H869" s="60"/>
      <c r="I869" s="60"/>
    </row>
    <row r="870" spans="2:9" x14ac:dyDescent="0.35">
      <c r="B870" s="59">
        <v>1541</v>
      </c>
      <c r="C870" s="71" t="s">
        <v>801</v>
      </c>
      <c r="D870" s="60" t="s">
        <v>2373</v>
      </c>
      <c r="E870" s="60"/>
      <c r="F870" s="60"/>
      <c r="G870" s="60"/>
      <c r="H870" s="60"/>
      <c r="I870" s="60"/>
    </row>
    <row r="871" spans="2:9" x14ac:dyDescent="0.35">
      <c r="B871" s="59">
        <v>1542</v>
      </c>
      <c r="C871" s="71" t="s">
        <v>802</v>
      </c>
      <c r="D871" s="60" t="s">
        <v>2373</v>
      </c>
      <c r="E871" s="60"/>
      <c r="F871" s="60"/>
      <c r="G871" s="60"/>
      <c r="H871" s="60"/>
      <c r="I871" s="60"/>
    </row>
    <row r="872" spans="2:9" x14ac:dyDescent="0.35">
      <c r="B872" s="59">
        <v>1543</v>
      </c>
      <c r="C872" s="71" t="s">
        <v>803</v>
      </c>
      <c r="D872" s="60" t="s">
        <v>2373</v>
      </c>
      <c r="E872" s="60"/>
      <c r="F872" s="60"/>
      <c r="G872" s="60"/>
      <c r="H872" s="60"/>
      <c r="I872" s="60"/>
    </row>
    <row r="873" spans="2:9" x14ac:dyDescent="0.35">
      <c r="B873" s="59">
        <v>1544</v>
      </c>
      <c r="C873" s="71" t="s">
        <v>804</v>
      </c>
      <c r="D873" s="60" t="s">
        <v>2373</v>
      </c>
      <c r="E873" s="60"/>
      <c r="F873" s="60"/>
      <c r="G873" s="60"/>
      <c r="H873" s="60"/>
      <c r="I873" s="60"/>
    </row>
    <row r="874" spans="2:9" x14ac:dyDescent="0.35">
      <c r="B874" s="59">
        <v>1545</v>
      </c>
      <c r="C874" s="71" t="s">
        <v>805</v>
      </c>
      <c r="D874" s="60" t="s">
        <v>2373</v>
      </c>
      <c r="E874" s="60"/>
      <c r="F874" s="60"/>
      <c r="G874" s="60"/>
      <c r="H874" s="60"/>
      <c r="I874" s="60"/>
    </row>
    <row r="875" spans="2:9" x14ac:dyDescent="0.35">
      <c r="B875" s="59">
        <v>1546</v>
      </c>
      <c r="C875" s="71" t="s">
        <v>806</v>
      </c>
      <c r="D875" s="60" t="s">
        <v>2373</v>
      </c>
      <c r="E875" s="60"/>
      <c r="F875" s="60"/>
      <c r="G875" s="60"/>
      <c r="H875" s="60"/>
      <c r="I875" s="60"/>
    </row>
    <row r="876" spans="2:9" x14ac:dyDescent="0.35">
      <c r="B876" s="59">
        <v>1547</v>
      </c>
      <c r="C876" s="71" t="s">
        <v>807</v>
      </c>
      <c r="D876" s="60" t="s">
        <v>2373</v>
      </c>
      <c r="E876" s="60"/>
      <c r="F876" s="60"/>
      <c r="G876" s="60"/>
      <c r="H876" s="60"/>
      <c r="I876" s="60"/>
    </row>
    <row r="877" spans="2:9" x14ac:dyDescent="0.35">
      <c r="B877" s="59">
        <v>1548</v>
      </c>
      <c r="C877" s="71" t="s">
        <v>808</v>
      </c>
      <c r="D877" s="60" t="s">
        <v>2373</v>
      </c>
      <c r="E877" s="60"/>
      <c r="F877" s="60"/>
      <c r="G877" s="60"/>
      <c r="H877" s="60"/>
      <c r="I877" s="60"/>
    </row>
    <row r="878" spans="2:9" x14ac:dyDescent="0.35">
      <c r="B878" s="59">
        <v>1549</v>
      </c>
      <c r="C878" s="71" t="s">
        <v>809</v>
      </c>
      <c r="D878" s="60" t="s">
        <v>2373</v>
      </c>
      <c r="E878" s="60"/>
      <c r="F878" s="60"/>
      <c r="G878" s="60"/>
      <c r="H878" s="60"/>
      <c r="I878" s="60"/>
    </row>
    <row r="879" spans="2:9" x14ac:dyDescent="0.35">
      <c r="B879" s="59">
        <v>1550</v>
      </c>
      <c r="C879" s="71" t="s">
        <v>810</v>
      </c>
      <c r="D879" s="60" t="s">
        <v>2373</v>
      </c>
      <c r="E879" s="60"/>
      <c r="F879" s="60"/>
      <c r="G879" s="60"/>
      <c r="H879" s="60"/>
      <c r="I879" s="60"/>
    </row>
    <row r="880" spans="2:9" x14ac:dyDescent="0.35">
      <c r="B880" s="59">
        <v>1551</v>
      </c>
      <c r="C880" s="71" t="s">
        <v>811</v>
      </c>
      <c r="D880" s="60" t="s">
        <v>2373</v>
      </c>
      <c r="E880" s="60"/>
      <c r="F880" s="60"/>
      <c r="G880" s="60"/>
      <c r="H880" s="60"/>
      <c r="I880" s="60"/>
    </row>
    <row r="881" spans="2:9" ht="217.5" x14ac:dyDescent="0.35">
      <c r="B881" s="59">
        <v>1552</v>
      </c>
      <c r="C881" s="71" t="s">
        <v>812</v>
      </c>
      <c r="D881" s="60" t="s">
        <v>2373</v>
      </c>
      <c r="E881" s="60" t="s">
        <v>2888</v>
      </c>
      <c r="F881" s="60" t="s">
        <v>2520</v>
      </c>
      <c r="G881" s="60" t="s">
        <v>2889</v>
      </c>
      <c r="H881" s="60" t="s">
        <v>2522</v>
      </c>
      <c r="I881" s="60" t="s">
        <v>2890</v>
      </c>
    </row>
    <row r="882" spans="2:9" s="56" customFormat="1" ht="120" customHeight="1" x14ac:dyDescent="0.35">
      <c r="B882" s="59">
        <v>1553</v>
      </c>
      <c r="C882" s="71" t="s">
        <v>813</v>
      </c>
      <c r="D882" s="60" t="s">
        <v>2373</v>
      </c>
      <c r="E882" s="60" t="s">
        <v>2888</v>
      </c>
      <c r="F882" s="60" t="s">
        <v>2520</v>
      </c>
      <c r="G882" s="60" t="s">
        <v>2889</v>
      </c>
      <c r="H882" s="60" t="s">
        <v>2522</v>
      </c>
      <c r="I882" s="60" t="s">
        <v>2890</v>
      </c>
    </row>
    <row r="883" spans="2:9" s="56" customFormat="1" ht="120" customHeight="1" x14ac:dyDescent="0.35">
      <c r="B883" s="59">
        <v>1554</v>
      </c>
      <c r="C883" s="71" t="s">
        <v>814</v>
      </c>
      <c r="D883" s="60" t="s">
        <v>2373</v>
      </c>
      <c r="E883" s="60" t="s">
        <v>2888</v>
      </c>
      <c r="F883" s="60" t="s">
        <v>2520</v>
      </c>
      <c r="G883" s="60" t="s">
        <v>2889</v>
      </c>
      <c r="H883" s="60" t="s">
        <v>2522</v>
      </c>
      <c r="I883" s="60" t="s">
        <v>2890</v>
      </c>
    </row>
    <row r="884" spans="2:9" s="56" customFormat="1" ht="120" customHeight="1" x14ac:dyDescent="0.35">
      <c r="B884" s="59">
        <v>1555</v>
      </c>
      <c r="C884" s="71" t="s">
        <v>815</v>
      </c>
      <c r="D884" s="60" t="s">
        <v>2373</v>
      </c>
      <c r="E884" s="60"/>
      <c r="F884" s="60"/>
      <c r="G884" s="60"/>
      <c r="H884" s="60"/>
      <c r="I884" s="60"/>
    </row>
    <row r="885" spans="2:9" x14ac:dyDescent="0.35">
      <c r="B885" s="59">
        <v>1556</v>
      </c>
      <c r="C885" s="71" t="s">
        <v>816</v>
      </c>
      <c r="D885" s="60" t="s">
        <v>2373</v>
      </c>
      <c r="E885" s="60"/>
      <c r="F885" s="60"/>
      <c r="G885" s="60"/>
      <c r="H885" s="60"/>
      <c r="I885" s="60"/>
    </row>
    <row r="886" spans="2:9" x14ac:dyDescent="0.35">
      <c r="B886" s="59">
        <v>1557</v>
      </c>
      <c r="C886" s="71" t="s">
        <v>817</v>
      </c>
      <c r="D886" s="60" t="s">
        <v>2373</v>
      </c>
      <c r="E886" s="60"/>
      <c r="F886" s="60"/>
      <c r="G886" s="60"/>
      <c r="H886" s="60"/>
      <c r="I886" s="60"/>
    </row>
    <row r="887" spans="2:9" x14ac:dyDescent="0.35">
      <c r="B887" s="59">
        <v>1558</v>
      </c>
      <c r="C887" s="71" t="s">
        <v>818</v>
      </c>
      <c r="D887" s="60" t="s">
        <v>2373</v>
      </c>
      <c r="E887" s="60"/>
      <c r="F887" s="60"/>
      <c r="G887" s="60"/>
      <c r="H887" s="60"/>
      <c r="I887" s="60"/>
    </row>
    <row r="888" spans="2:9" x14ac:dyDescent="0.35">
      <c r="B888" s="59">
        <v>1559</v>
      </c>
      <c r="C888" s="71" t="s">
        <v>819</v>
      </c>
      <c r="D888" s="60" t="s">
        <v>2373</v>
      </c>
      <c r="E888" s="60"/>
      <c r="F888" s="60"/>
      <c r="G888" s="60"/>
      <c r="H888" s="60"/>
      <c r="I888" s="60"/>
    </row>
    <row r="889" spans="2:9" x14ac:dyDescent="0.35">
      <c r="B889" s="59">
        <v>1560</v>
      </c>
      <c r="C889" s="71" t="s">
        <v>820</v>
      </c>
      <c r="D889" s="60" t="s">
        <v>2373</v>
      </c>
      <c r="E889" s="60"/>
      <c r="F889" s="60"/>
      <c r="G889" s="60"/>
      <c r="H889" s="60"/>
      <c r="I889" s="60"/>
    </row>
    <row r="890" spans="2:9" x14ac:dyDescent="0.35">
      <c r="B890" s="59">
        <v>1561</v>
      </c>
      <c r="C890" s="71" t="s">
        <v>821</v>
      </c>
      <c r="D890" s="60" t="s">
        <v>2373</v>
      </c>
      <c r="E890" s="60"/>
      <c r="F890" s="60"/>
      <c r="G890" s="60"/>
      <c r="H890" s="60"/>
      <c r="I890" s="60"/>
    </row>
    <row r="891" spans="2:9" x14ac:dyDescent="0.35">
      <c r="B891" s="59">
        <v>1562</v>
      </c>
      <c r="C891" s="71" t="s">
        <v>822</v>
      </c>
      <c r="D891" s="60" t="s">
        <v>2373</v>
      </c>
      <c r="E891" s="60"/>
      <c r="F891" s="60"/>
      <c r="G891" s="60"/>
      <c r="H891" s="60"/>
      <c r="I891" s="60"/>
    </row>
    <row r="892" spans="2:9" x14ac:dyDescent="0.35">
      <c r="B892" s="59">
        <v>1563</v>
      </c>
      <c r="C892" s="71" t="s">
        <v>823</v>
      </c>
      <c r="D892" s="60" t="s">
        <v>2373</v>
      </c>
      <c r="E892" s="60"/>
      <c r="F892" s="60"/>
      <c r="G892" s="60"/>
      <c r="H892" s="60"/>
      <c r="I892" s="60"/>
    </row>
    <row r="893" spans="2:9" x14ac:dyDescent="0.35">
      <c r="B893" s="59">
        <v>1564</v>
      </c>
      <c r="C893" s="71" t="s">
        <v>824</v>
      </c>
      <c r="D893" s="60" t="s">
        <v>2373</v>
      </c>
      <c r="E893" s="60"/>
      <c r="F893" s="60"/>
      <c r="G893" s="60"/>
      <c r="H893" s="60"/>
      <c r="I893" s="60"/>
    </row>
    <row r="894" spans="2:9" x14ac:dyDescent="0.35">
      <c r="B894" s="59">
        <v>1565</v>
      </c>
      <c r="C894" s="71" t="s">
        <v>825</v>
      </c>
      <c r="D894" s="60" t="s">
        <v>2373</v>
      </c>
      <c r="E894" s="60"/>
      <c r="F894" s="60"/>
      <c r="G894" s="60"/>
      <c r="H894" s="60"/>
      <c r="I894" s="60"/>
    </row>
    <row r="895" spans="2:9" x14ac:dyDescent="0.35">
      <c r="B895" s="59">
        <v>1566</v>
      </c>
      <c r="C895" s="71" t="s">
        <v>826</v>
      </c>
      <c r="D895" s="60" t="s">
        <v>2373</v>
      </c>
      <c r="E895" s="60"/>
      <c r="F895" s="60"/>
      <c r="G895" s="60"/>
      <c r="H895" s="60"/>
      <c r="I895" s="60"/>
    </row>
    <row r="896" spans="2:9" x14ac:dyDescent="0.35">
      <c r="B896" s="59">
        <v>1567</v>
      </c>
      <c r="C896" s="71" t="s">
        <v>827</v>
      </c>
      <c r="D896" s="60" t="s">
        <v>2373</v>
      </c>
      <c r="E896" s="60"/>
      <c r="F896" s="60"/>
      <c r="G896" s="60"/>
      <c r="H896" s="60"/>
      <c r="I896" s="60"/>
    </row>
    <row r="897" spans="2:9" x14ac:dyDescent="0.35">
      <c r="B897" s="59">
        <v>1568</v>
      </c>
      <c r="C897" s="71" t="s">
        <v>828</v>
      </c>
      <c r="D897" s="60" t="s">
        <v>2373</v>
      </c>
      <c r="E897" s="60"/>
      <c r="F897" s="60"/>
      <c r="G897" s="60"/>
      <c r="H897" s="60"/>
      <c r="I897" s="60"/>
    </row>
    <row r="898" spans="2:9" x14ac:dyDescent="0.35">
      <c r="B898" s="59">
        <v>1569</v>
      </c>
      <c r="C898" s="71" t="s">
        <v>829</v>
      </c>
      <c r="D898" s="60" t="s">
        <v>2373</v>
      </c>
      <c r="E898" s="60"/>
      <c r="F898" s="60"/>
      <c r="G898" s="60"/>
      <c r="H898" s="60"/>
      <c r="I898" s="60"/>
    </row>
    <row r="899" spans="2:9" x14ac:dyDescent="0.35">
      <c r="B899" s="59">
        <v>1570</v>
      </c>
      <c r="C899" s="71" t="s">
        <v>830</v>
      </c>
      <c r="D899" s="60" t="s">
        <v>2373</v>
      </c>
      <c r="E899" s="60"/>
      <c r="F899" s="60"/>
      <c r="G899" s="60"/>
      <c r="H899" s="60"/>
      <c r="I899" s="60"/>
    </row>
    <row r="900" spans="2:9" x14ac:dyDescent="0.35">
      <c r="B900" s="59">
        <v>1571</v>
      </c>
      <c r="C900" s="71" t="s">
        <v>831</v>
      </c>
      <c r="D900" s="60" t="s">
        <v>2373</v>
      </c>
      <c r="E900" s="60"/>
      <c r="F900" s="60"/>
      <c r="G900" s="60"/>
      <c r="H900" s="60"/>
      <c r="I900" s="60"/>
    </row>
    <row r="901" spans="2:9" x14ac:dyDescent="0.35">
      <c r="B901" s="59">
        <v>1572</v>
      </c>
      <c r="C901" s="71" t="s">
        <v>832</v>
      </c>
      <c r="D901" s="60" t="s">
        <v>2373</v>
      </c>
      <c r="E901" s="60"/>
      <c r="F901" s="60"/>
      <c r="G901" s="60"/>
      <c r="H901" s="60"/>
      <c r="I901" s="60"/>
    </row>
    <row r="902" spans="2:9" x14ac:dyDescent="0.35">
      <c r="B902" s="59">
        <v>1573</v>
      </c>
      <c r="C902" s="71" t="s">
        <v>833</v>
      </c>
      <c r="D902" s="60" t="s">
        <v>2373</v>
      </c>
      <c r="E902" s="60"/>
      <c r="F902" s="60"/>
      <c r="G902" s="60"/>
      <c r="H902" s="60"/>
      <c r="I902" s="60"/>
    </row>
    <row r="903" spans="2:9" x14ac:dyDescent="0.35">
      <c r="B903" s="59">
        <v>1574</v>
      </c>
      <c r="C903" s="71" t="s">
        <v>834</v>
      </c>
      <c r="D903" s="60" t="s">
        <v>2373</v>
      </c>
      <c r="E903" s="60"/>
      <c r="F903" s="60"/>
      <c r="G903" s="60"/>
      <c r="H903" s="60"/>
      <c r="I903" s="60"/>
    </row>
    <row r="904" spans="2:9" x14ac:dyDescent="0.35">
      <c r="B904" s="59">
        <v>1575</v>
      </c>
      <c r="C904" s="71" t="s">
        <v>835</v>
      </c>
      <c r="D904" s="60" t="s">
        <v>2373</v>
      </c>
      <c r="E904" s="60"/>
      <c r="F904" s="60"/>
      <c r="G904" s="60"/>
      <c r="H904" s="60"/>
      <c r="I904" s="60"/>
    </row>
    <row r="905" spans="2:9" x14ac:dyDescent="0.35">
      <c r="B905" s="59">
        <v>1576</v>
      </c>
      <c r="C905" s="71" t="s">
        <v>836</v>
      </c>
      <c r="D905" s="60" t="s">
        <v>2373</v>
      </c>
      <c r="E905" s="60"/>
      <c r="F905" s="60"/>
      <c r="G905" s="60"/>
      <c r="H905" s="60"/>
      <c r="I905" s="60"/>
    </row>
    <row r="906" spans="2:9" x14ac:dyDescent="0.35">
      <c r="B906" s="59">
        <v>1577</v>
      </c>
      <c r="C906" s="71" t="s">
        <v>837</v>
      </c>
      <c r="D906" s="60" t="s">
        <v>2373</v>
      </c>
      <c r="E906" s="60"/>
      <c r="F906" s="60"/>
      <c r="G906" s="60"/>
      <c r="H906" s="60"/>
      <c r="I906" s="60"/>
    </row>
    <row r="907" spans="2:9" x14ac:dyDescent="0.35">
      <c r="B907" s="59">
        <v>1578</v>
      </c>
      <c r="C907" s="71" t="s">
        <v>838</v>
      </c>
      <c r="D907" s="60" t="s">
        <v>2373</v>
      </c>
      <c r="E907" s="60"/>
      <c r="F907" s="60"/>
      <c r="G907" s="60"/>
      <c r="H907" s="60"/>
      <c r="I907" s="60"/>
    </row>
    <row r="908" spans="2:9" x14ac:dyDescent="0.35">
      <c r="B908" s="59">
        <v>1579</v>
      </c>
      <c r="C908" s="71" t="s">
        <v>839</v>
      </c>
      <c r="D908" s="60" t="s">
        <v>2373</v>
      </c>
      <c r="E908" s="60"/>
      <c r="F908" s="60"/>
      <c r="G908" s="60"/>
      <c r="H908" s="60"/>
      <c r="I908" s="60"/>
    </row>
    <row r="909" spans="2:9" x14ac:dyDescent="0.35">
      <c r="B909" s="59">
        <v>1580</v>
      </c>
      <c r="C909" s="71" t="s">
        <v>840</v>
      </c>
      <c r="D909" s="60" t="s">
        <v>2373</v>
      </c>
      <c r="E909" s="60"/>
      <c r="F909" s="60"/>
      <c r="G909" s="60"/>
      <c r="H909" s="60"/>
      <c r="I909" s="60"/>
    </row>
    <row r="910" spans="2:9" x14ac:dyDescent="0.35">
      <c r="B910" s="59">
        <v>1581</v>
      </c>
      <c r="C910" s="71" t="s">
        <v>841</v>
      </c>
      <c r="D910" s="60" t="s">
        <v>2373</v>
      </c>
      <c r="E910" s="60"/>
      <c r="F910" s="60"/>
      <c r="G910" s="60"/>
      <c r="H910" s="60"/>
      <c r="I910" s="60"/>
    </row>
    <row r="911" spans="2:9" x14ac:dyDescent="0.35">
      <c r="B911" s="59">
        <v>1582</v>
      </c>
      <c r="C911" s="71" t="s">
        <v>842</v>
      </c>
      <c r="D911" s="60" t="s">
        <v>2373</v>
      </c>
      <c r="E911" s="60"/>
      <c r="F911" s="60"/>
      <c r="G911" s="60"/>
      <c r="H911" s="60"/>
      <c r="I911" s="60"/>
    </row>
    <row r="912" spans="2:9" x14ac:dyDescent="0.35">
      <c r="B912" s="59">
        <v>1583</v>
      </c>
      <c r="C912" s="71" t="s">
        <v>843</v>
      </c>
      <c r="D912" s="60" t="s">
        <v>2373</v>
      </c>
      <c r="E912" s="60"/>
      <c r="F912" s="60"/>
      <c r="G912" s="60"/>
      <c r="H912" s="60"/>
      <c r="I912" s="60"/>
    </row>
    <row r="913" spans="2:9" x14ac:dyDescent="0.35">
      <c r="B913" s="59">
        <v>1584</v>
      </c>
      <c r="C913" s="71" t="s">
        <v>844</v>
      </c>
      <c r="D913" s="60" t="s">
        <v>2373</v>
      </c>
      <c r="E913" s="60"/>
      <c r="F913" s="60"/>
      <c r="G913" s="60"/>
      <c r="H913" s="60"/>
      <c r="I913" s="60"/>
    </row>
    <row r="914" spans="2:9" x14ac:dyDescent="0.35">
      <c r="B914" s="59">
        <v>1585</v>
      </c>
      <c r="C914" s="71" t="s">
        <v>845</v>
      </c>
      <c r="D914" s="60" t="s">
        <v>2373</v>
      </c>
      <c r="E914" s="60"/>
      <c r="F914" s="60"/>
      <c r="G914" s="60"/>
      <c r="H914" s="60"/>
      <c r="I914" s="60"/>
    </row>
    <row r="915" spans="2:9" x14ac:dyDescent="0.35">
      <c r="B915" s="59">
        <v>1586</v>
      </c>
      <c r="C915" s="71" t="s">
        <v>846</v>
      </c>
      <c r="D915" s="60" t="s">
        <v>2373</v>
      </c>
      <c r="E915" s="60"/>
      <c r="F915" s="60"/>
      <c r="G915" s="60"/>
      <c r="H915" s="60"/>
      <c r="I915" s="60"/>
    </row>
    <row r="916" spans="2:9" x14ac:dyDescent="0.35">
      <c r="B916" s="59">
        <v>1587</v>
      </c>
      <c r="C916" s="71" t="s">
        <v>847</v>
      </c>
      <c r="D916" s="60" t="s">
        <v>2373</v>
      </c>
      <c r="E916" s="60"/>
      <c r="F916" s="60"/>
      <c r="G916" s="60"/>
      <c r="H916" s="60"/>
      <c r="I916" s="60"/>
    </row>
    <row r="917" spans="2:9" x14ac:dyDescent="0.35">
      <c r="B917" s="59">
        <v>1588</v>
      </c>
      <c r="C917" s="71" t="s">
        <v>848</v>
      </c>
      <c r="D917" s="60" t="s">
        <v>2373</v>
      </c>
      <c r="E917" s="60"/>
      <c r="F917" s="60"/>
      <c r="G917" s="60"/>
      <c r="H917" s="60"/>
      <c r="I917" s="60"/>
    </row>
    <row r="918" spans="2:9" x14ac:dyDescent="0.35">
      <c r="B918" s="59">
        <v>1589</v>
      </c>
      <c r="C918" s="71" t="s">
        <v>849</v>
      </c>
      <c r="D918" s="60" t="s">
        <v>2373</v>
      </c>
      <c r="E918" s="60"/>
      <c r="F918" s="60"/>
      <c r="G918" s="60"/>
      <c r="H918" s="60"/>
      <c r="I918" s="60"/>
    </row>
    <row r="919" spans="2:9" x14ac:dyDescent="0.35">
      <c r="B919" s="59">
        <v>1590</v>
      </c>
      <c r="C919" s="71" t="s">
        <v>850</v>
      </c>
      <c r="D919" s="60" t="s">
        <v>2373</v>
      </c>
      <c r="E919" s="60"/>
      <c r="F919" s="60"/>
      <c r="G919" s="60"/>
      <c r="H919" s="60"/>
      <c r="I919" s="60"/>
    </row>
    <row r="920" spans="2:9" x14ac:dyDescent="0.35">
      <c r="B920" s="59">
        <v>1591</v>
      </c>
      <c r="C920" s="71" t="s">
        <v>851</v>
      </c>
      <c r="D920" s="60" t="s">
        <v>2373</v>
      </c>
      <c r="E920" s="60"/>
      <c r="F920" s="60"/>
      <c r="G920" s="60"/>
      <c r="H920" s="60"/>
      <c r="I920" s="60"/>
    </row>
    <row r="921" spans="2:9" x14ac:dyDescent="0.35">
      <c r="B921" s="59">
        <v>1592</v>
      </c>
      <c r="C921" s="71" t="s">
        <v>852</v>
      </c>
      <c r="D921" s="60" t="s">
        <v>2373</v>
      </c>
      <c r="E921" s="60"/>
      <c r="F921" s="60"/>
      <c r="G921" s="60"/>
      <c r="H921" s="60"/>
      <c r="I921" s="60"/>
    </row>
    <row r="922" spans="2:9" x14ac:dyDescent="0.35">
      <c r="B922" s="59">
        <v>1593</v>
      </c>
      <c r="C922" s="71" t="s">
        <v>853</v>
      </c>
      <c r="D922" s="60" t="s">
        <v>2373</v>
      </c>
      <c r="E922" s="60"/>
      <c r="F922" s="60"/>
      <c r="G922" s="60"/>
      <c r="H922" s="60"/>
      <c r="I922" s="60"/>
    </row>
    <row r="923" spans="2:9" x14ac:dyDescent="0.35">
      <c r="B923" s="59">
        <v>1594</v>
      </c>
      <c r="C923" s="71" t="s">
        <v>854</v>
      </c>
      <c r="D923" s="60" t="s">
        <v>2373</v>
      </c>
      <c r="E923" s="60"/>
      <c r="F923" s="60"/>
      <c r="G923" s="60"/>
      <c r="H923" s="60"/>
      <c r="I923" s="60"/>
    </row>
    <row r="924" spans="2:9" x14ac:dyDescent="0.35">
      <c r="B924" s="59">
        <v>1595</v>
      </c>
      <c r="C924" s="71" t="s">
        <v>855</v>
      </c>
      <c r="D924" s="60" t="s">
        <v>2373</v>
      </c>
      <c r="E924" s="60"/>
      <c r="F924" s="60"/>
      <c r="G924" s="60"/>
      <c r="H924" s="60"/>
      <c r="I924" s="60"/>
    </row>
    <row r="925" spans="2:9" x14ac:dyDescent="0.35">
      <c r="B925" s="59">
        <v>1596</v>
      </c>
      <c r="C925" s="71" t="s">
        <v>856</v>
      </c>
      <c r="D925" s="60" t="s">
        <v>2373</v>
      </c>
      <c r="E925" s="60"/>
      <c r="F925" s="60"/>
      <c r="G925" s="60"/>
      <c r="H925" s="60"/>
      <c r="I925" s="60"/>
    </row>
    <row r="926" spans="2:9" x14ac:dyDescent="0.35">
      <c r="B926" s="59">
        <v>1597</v>
      </c>
      <c r="C926" s="71" t="s">
        <v>857</v>
      </c>
      <c r="D926" s="60" t="s">
        <v>2373</v>
      </c>
      <c r="E926" s="60"/>
      <c r="F926" s="60"/>
      <c r="G926" s="60"/>
      <c r="H926" s="60"/>
      <c r="I926" s="60"/>
    </row>
    <row r="927" spans="2:9" ht="304.5" x14ac:dyDescent="0.35">
      <c r="B927" s="59">
        <v>1598</v>
      </c>
      <c r="C927" s="71" t="s">
        <v>2497</v>
      </c>
      <c r="D927" s="60" t="s">
        <v>2373</v>
      </c>
      <c r="E927" s="60" t="s">
        <v>2891</v>
      </c>
      <c r="F927" s="60" t="s">
        <v>2520</v>
      </c>
      <c r="G927" s="60" t="s">
        <v>2892</v>
      </c>
      <c r="H927" s="60" t="s">
        <v>2893</v>
      </c>
      <c r="I927" s="60" t="s">
        <v>2894</v>
      </c>
    </row>
    <row r="928" spans="2:9" s="56" customFormat="1" ht="120" customHeight="1" x14ac:dyDescent="0.35">
      <c r="B928" s="59">
        <v>1599</v>
      </c>
      <c r="C928" s="71" t="s">
        <v>2498</v>
      </c>
      <c r="D928" s="60" t="s">
        <v>2373</v>
      </c>
      <c r="E928" s="60" t="s">
        <v>2891</v>
      </c>
      <c r="F928" s="60" t="s">
        <v>2520</v>
      </c>
      <c r="G928" s="60" t="s">
        <v>2892</v>
      </c>
      <c r="H928" s="60" t="s">
        <v>2893</v>
      </c>
      <c r="I928" s="60" t="s">
        <v>2894</v>
      </c>
    </row>
    <row r="929" spans="2:9" s="56" customFormat="1" ht="120" customHeight="1" x14ac:dyDescent="0.35">
      <c r="B929" s="59">
        <v>1606</v>
      </c>
      <c r="C929" s="71" t="s">
        <v>860</v>
      </c>
      <c r="D929" s="60" t="s">
        <v>2376</v>
      </c>
      <c r="E929" s="60"/>
      <c r="F929" s="60"/>
      <c r="G929" s="60"/>
      <c r="H929" s="60"/>
      <c r="I929" s="60"/>
    </row>
    <row r="930" spans="2:9" x14ac:dyDescent="0.35">
      <c r="B930" s="59">
        <v>1607</v>
      </c>
      <c r="C930" s="71" t="s">
        <v>861</v>
      </c>
      <c r="D930" s="60" t="s">
        <v>2376</v>
      </c>
      <c r="E930" s="60"/>
      <c r="F930" s="60"/>
      <c r="G930" s="60"/>
      <c r="H930" s="60"/>
      <c r="I930" s="60"/>
    </row>
    <row r="931" spans="2:9" x14ac:dyDescent="0.35">
      <c r="B931" s="59">
        <v>1608</v>
      </c>
      <c r="C931" s="71" t="s">
        <v>862</v>
      </c>
      <c r="D931" s="60" t="s">
        <v>2376</v>
      </c>
      <c r="E931" s="60"/>
      <c r="F931" s="60"/>
      <c r="G931" s="60"/>
      <c r="H931" s="60"/>
      <c r="I931" s="60"/>
    </row>
    <row r="932" spans="2:9" x14ac:dyDescent="0.35">
      <c r="B932" s="59">
        <v>1609</v>
      </c>
      <c r="C932" s="71" t="s">
        <v>863</v>
      </c>
      <c r="D932" s="60" t="s">
        <v>2371</v>
      </c>
      <c r="E932" s="60"/>
      <c r="F932" s="60"/>
      <c r="G932" s="60"/>
      <c r="H932" s="60"/>
      <c r="I932" s="60"/>
    </row>
    <row r="933" spans="2:9" x14ac:dyDescent="0.35">
      <c r="B933" s="59">
        <v>1613</v>
      </c>
      <c r="C933" s="71" t="s">
        <v>2499</v>
      </c>
      <c r="D933" s="60" t="s">
        <v>2371</v>
      </c>
      <c r="E933" s="60"/>
      <c r="F933" s="60"/>
      <c r="G933" s="60"/>
      <c r="H933" s="60"/>
      <c r="I933" s="60"/>
    </row>
    <row r="934" spans="2:9" x14ac:dyDescent="0.35">
      <c r="B934" s="59">
        <v>1615</v>
      </c>
      <c r="C934" s="71" t="s">
        <v>865</v>
      </c>
      <c r="D934" s="60" t="s">
        <v>2376</v>
      </c>
      <c r="E934" s="60"/>
      <c r="F934" s="60"/>
      <c r="G934" s="60"/>
      <c r="H934" s="60"/>
      <c r="I934" s="60"/>
    </row>
    <row r="935" spans="2:9" x14ac:dyDescent="0.35">
      <c r="B935" s="59">
        <v>1616</v>
      </c>
      <c r="C935" s="71" t="s">
        <v>866</v>
      </c>
      <c r="D935" s="60" t="s">
        <v>2376</v>
      </c>
      <c r="E935" s="60"/>
      <c r="F935" s="60"/>
      <c r="G935" s="60"/>
      <c r="H935" s="60"/>
      <c r="I935" s="60"/>
    </row>
    <row r="936" spans="2:9" x14ac:dyDescent="0.35">
      <c r="B936" s="59">
        <v>1617</v>
      </c>
      <c r="C936" s="71" t="s">
        <v>867</v>
      </c>
      <c r="D936" s="60" t="s">
        <v>2376</v>
      </c>
      <c r="E936" s="60"/>
      <c r="F936" s="60"/>
      <c r="G936" s="60"/>
      <c r="H936" s="60"/>
      <c r="I936" s="60"/>
    </row>
    <row r="937" spans="2:9" x14ac:dyDescent="0.35">
      <c r="B937" s="59">
        <v>1620</v>
      </c>
      <c r="C937" s="71" t="s">
        <v>2500</v>
      </c>
      <c r="D937" s="60" t="s">
        <v>2371</v>
      </c>
      <c r="E937" s="60"/>
      <c r="F937" s="60"/>
      <c r="G937" s="60"/>
      <c r="H937" s="60"/>
      <c r="I937" s="60"/>
    </row>
    <row r="938" spans="2:9" x14ac:dyDescent="0.35">
      <c r="B938" s="59">
        <v>1629</v>
      </c>
      <c r="C938" s="71" t="s">
        <v>869</v>
      </c>
      <c r="D938" s="60" t="s">
        <v>2376</v>
      </c>
      <c r="E938" s="60"/>
      <c r="F938" s="60"/>
      <c r="G938" s="60"/>
      <c r="H938" s="60"/>
      <c r="I938" s="60"/>
    </row>
    <row r="939" spans="2:9" x14ac:dyDescent="0.35">
      <c r="B939" s="59">
        <v>1641</v>
      </c>
      <c r="C939" s="71" t="s">
        <v>870</v>
      </c>
      <c r="D939" s="60" t="s">
        <v>2376</v>
      </c>
      <c r="E939" s="60"/>
      <c r="F939" s="60"/>
      <c r="G939" s="60"/>
      <c r="H939" s="60"/>
      <c r="I939" s="60"/>
    </row>
    <row r="940" spans="2:9" x14ac:dyDescent="0.35">
      <c r="B940" s="59">
        <v>1642</v>
      </c>
      <c r="C940" s="71" t="s">
        <v>871</v>
      </c>
      <c r="D940" s="60" t="s">
        <v>2376</v>
      </c>
      <c r="E940" s="60"/>
      <c r="F940" s="60"/>
      <c r="G940" s="60"/>
      <c r="H940" s="60"/>
      <c r="I940" s="60"/>
    </row>
    <row r="941" spans="2:9" x14ac:dyDescent="0.35">
      <c r="B941" s="59">
        <v>1643</v>
      </c>
      <c r="C941" s="71" t="s">
        <v>872</v>
      </c>
      <c r="D941" s="60" t="s">
        <v>2376</v>
      </c>
      <c r="E941" s="60"/>
      <c r="F941" s="60"/>
      <c r="G941" s="60"/>
      <c r="H941" s="60"/>
      <c r="I941" s="60"/>
    </row>
    <row r="942" spans="2:9" x14ac:dyDescent="0.35">
      <c r="B942" s="59">
        <v>1651</v>
      </c>
      <c r="C942" s="71" t="s">
        <v>873</v>
      </c>
      <c r="D942" s="60" t="s">
        <v>2376</v>
      </c>
      <c r="E942" s="60"/>
      <c r="F942" s="60"/>
      <c r="G942" s="60"/>
      <c r="H942" s="60"/>
      <c r="I942" s="60"/>
    </row>
    <row r="943" spans="2:9" x14ac:dyDescent="0.35">
      <c r="B943" s="59">
        <v>1653</v>
      </c>
      <c r="C943" s="71" t="s">
        <v>874</v>
      </c>
      <c r="D943" s="60" t="s">
        <v>2376</v>
      </c>
      <c r="E943" s="60"/>
      <c r="F943" s="60"/>
      <c r="G943" s="60"/>
      <c r="H943" s="60"/>
      <c r="I943" s="60"/>
    </row>
    <row r="944" spans="2:9" x14ac:dyDescent="0.35">
      <c r="B944" s="59">
        <v>1688</v>
      </c>
      <c r="C944" s="71" t="s">
        <v>875</v>
      </c>
      <c r="D944" s="60" t="s">
        <v>2376</v>
      </c>
      <c r="E944" s="60"/>
      <c r="F944" s="60"/>
      <c r="G944" s="60"/>
      <c r="H944" s="60"/>
      <c r="I944" s="60"/>
    </row>
    <row r="945" spans="2:9" x14ac:dyDescent="0.35">
      <c r="B945" s="59">
        <v>1689</v>
      </c>
      <c r="C945" s="71" t="s">
        <v>876</v>
      </c>
      <c r="D945" s="60" t="s">
        <v>2376</v>
      </c>
      <c r="E945" s="60"/>
      <c r="F945" s="60"/>
      <c r="G945" s="60"/>
      <c r="H945" s="60"/>
      <c r="I945" s="60"/>
    </row>
    <row r="946" spans="2:9" x14ac:dyDescent="0.35">
      <c r="B946" s="59">
        <v>1704</v>
      </c>
      <c r="C946" s="71" t="s">
        <v>2501</v>
      </c>
      <c r="D946" s="60" t="s">
        <v>2376</v>
      </c>
      <c r="E946" s="60"/>
      <c r="F946" s="60"/>
      <c r="G946" s="60"/>
      <c r="H946" s="60"/>
      <c r="I946" s="60"/>
    </row>
    <row r="947" spans="2:9" x14ac:dyDescent="0.35">
      <c r="B947" s="59">
        <v>1705</v>
      </c>
      <c r="C947" s="71" t="s">
        <v>878</v>
      </c>
      <c r="D947" s="60" t="s">
        <v>2371</v>
      </c>
      <c r="E947" s="60"/>
      <c r="F947" s="60"/>
      <c r="G947" s="60"/>
      <c r="H947" s="60"/>
      <c r="I947" s="60"/>
    </row>
    <row r="948" spans="2:9" x14ac:dyDescent="0.35">
      <c r="B948" s="59">
        <v>1706</v>
      </c>
      <c r="C948" s="71" t="s">
        <v>879</v>
      </c>
      <c r="D948" s="60" t="s">
        <v>2376</v>
      </c>
      <c r="E948" s="60"/>
      <c r="F948" s="60"/>
      <c r="G948" s="60"/>
      <c r="H948" s="60"/>
      <c r="I948" s="60"/>
    </row>
    <row r="949" spans="2:9" x14ac:dyDescent="0.35">
      <c r="B949" s="59">
        <v>1738</v>
      </c>
      <c r="C949" s="71" t="s">
        <v>880</v>
      </c>
      <c r="D949" s="60" t="s">
        <v>2382</v>
      </c>
      <c r="E949" s="60"/>
      <c r="F949" s="60"/>
      <c r="G949" s="60"/>
      <c r="H949" s="60"/>
      <c r="I949" s="60"/>
    </row>
    <row r="950" spans="2:9" x14ac:dyDescent="0.35">
      <c r="B950" s="59">
        <v>1741</v>
      </c>
      <c r="C950" s="71" t="s">
        <v>881</v>
      </c>
      <c r="D950" s="60" t="s">
        <v>2383</v>
      </c>
      <c r="E950" s="60"/>
      <c r="F950" s="60"/>
      <c r="G950" s="60"/>
      <c r="H950" s="60"/>
      <c r="I950" s="60"/>
    </row>
    <row r="951" spans="2:9" x14ac:dyDescent="0.35">
      <c r="B951" s="59">
        <v>1742</v>
      </c>
      <c r="C951" s="71" t="s">
        <v>882</v>
      </c>
      <c r="D951" s="60" t="s">
        <v>2383</v>
      </c>
      <c r="E951" s="60"/>
      <c r="F951" s="60"/>
      <c r="G951" s="60"/>
      <c r="H951" s="60"/>
      <c r="I951" s="60"/>
    </row>
    <row r="952" spans="2:9" x14ac:dyDescent="0.35">
      <c r="B952" s="59">
        <v>1749</v>
      </c>
      <c r="C952" s="71" t="s">
        <v>883</v>
      </c>
      <c r="D952" s="60" t="s">
        <v>2390</v>
      </c>
      <c r="E952" s="60"/>
      <c r="F952" s="60"/>
      <c r="G952" s="60"/>
      <c r="H952" s="60"/>
      <c r="I952" s="60"/>
    </row>
    <row r="953" spans="2:9" x14ac:dyDescent="0.35">
      <c r="B953" s="59">
        <v>1750</v>
      </c>
      <c r="C953" s="71" t="s">
        <v>884</v>
      </c>
      <c r="D953" s="60" t="s">
        <v>2390</v>
      </c>
      <c r="E953" s="60"/>
      <c r="F953" s="60"/>
      <c r="G953" s="60"/>
      <c r="H953" s="60"/>
      <c r="I953" s="60"/>
    </row>
    <row r="954" spans="2:9" x14ac:dyDescent="0.35">
      <c r="B954" s="59">
        <v>1751</v>
      </c>
      <c r="C954" s="71" t="s">
        <v>885</v>
      </c>
      <c r="D954" s="60" t="s">
        <v>2390</v>
      </c>
      <c r="E954" s="60"/>
      <c r="F954" s="60"/>
      <c r="G954" s="60"/>
      <c r="H954" s="60"/>
      <c r="I954" s="60"/>
    </row>
    <row r="955" spans="2:9" x14ac:dyDescent="0.35">
      <c r="B955" s="59">
        <v>1752</v>
      </c>
      <c r="C955" s="71" t="s">
        <v>886</v>
      </c>
      <c r="D955" s="60" t="s">
        <v>2390</v>
      </c>
      <c r="E955" s="60"/>
      <c r="F955" s="60"/>
      <c r="G955" s="60"/>
      <c r="H955" s="60"/>
      <c r="I955" s="60"/>
    </row>
    <row r="956" spans="2:9" x14ac:dyDescent="0.35">
      <c r="B956" s="59">
        <v>1753</v>
      </c>
      <c r="C956" s="71" t="s">
        <v>887</v>
      </c>
      <c r="D956" s="60" t="s">
        <v>2390</v>
      </c>
      <c r="E956" s="60"/>
      <c r="F956" s="60"/>
      <c r="G956" s="60"/>
      <c r="H956" s="60"/>
      <c r="I956" s="60"/>
    </row>
    <row r="957" spans="2:9" x14ac:dyDescent="0.35">
      <c r="B957" s="59">
        <v>1754</v>
      </c>
      <c r="C957" s="71" t="s">
        <v>888</v>
      </c>
      <c r="D957" s="60" t="s">
        <v>2390</v>
      </c>
      <c r="E957" s="60"/>
      <c r="F957" s="60"/>
      <c r="G957" s="60"/>
      <c r="H957" s="60"/>
      <c r="I957" s="60"/>
    </row>
    <row r="958" spans="2:9" x14ac:dyDescent="0.35">
      <c r="B958" s="59">
        <v>1758</v>
      </c>
      <c r="C958" s="71" t="s">
        <v>889</v>
      </c>
      <c r="D958" s="60" t="s">
        <v>2379</v>
      </c>
      <c r="E958" s="60"/>
      <c r="F958" s="60"/>
      <c r="G958" s="60"/>
      <c r="H958" s="60"/>
      <c r="I958" s="60"/>
    </row>
    <row r="959" spans="2:9" x14ac:dyDescent="0.35">
      <c r="B959" s="59">
        <v>1759</v>
      </c>
      <c r="C959" s="71" t="s">
        <v>890</v>
      </c>
      <c r="D959" s="60" t="s">
        <v>2379</v>
      </c>
      <c r="E959" s="60"/>
      <c r="F959" s="60"/>
      <c r="G959" s="60"/>
      <c r="H959" s="60"/>
      <c r="I959" s="60"/>
    </row>
    <row r="960" spans="2:9" x14ac:dyDescent="0.35">
      <c r="B960" s="59">
        <v>1761</v>
      </c>
      <c r="C960" s="71" t="s">
        <v>891</v>
      </c>
      <c r="D960" s="60" t="s">
        <v>2379</v>
      </c>
      <c r="E960" s="60"/>
      <c r="F960" s="60"/>
      <c r="G960" s="60"/>
      <c r="H960" s="60"/>
      <c r="I960" s="60"/>
    </row>
    <row r="961" spans="2:9" x14ac:dyDescent="0.35">
      <c r="B961" s="59">
        <v>1762</v>
      </c>
      <c r="C961" s="71" t="s">
        <v>892</v>
      </c>
      <c r="D961" s="60" t="s">
        <v>2377</v>
      </c>
      <c r="E961" s="60"/>
      <c r="F961" s="60"/>
      <c r="G961" s="60"/>
      <c r="H961" s="60"/>
      <c r="I961" s="60"/>
    </row>
    <row r="962" spans="2:9" x14ac:dyDescent="0.35">
      <c r="B962" s="59">
        <v>1763</v>
      </c>
      <c r="C962" s="71" t="s">
        <v>893</v>
      </c>
      <c r="D962" s="60" t="s">
        <v>2377</v>
      </c>
      <c r="E962" s="60"/>
      <c r="F962" s="60"/>
      <c r="G962" s="60"/>
      <c r="H962" s="60"/>
      <c r="I962" s="60"/>
    </row>
    <row r="963" spans="2:9" x14ac:dyDescent="0.35">
      <c r="B963" s="59">
        <v>1764</v>
      </c>
      <c r="C963" s="71" t="s">
        <v>894</v>
      </c>
      <c r="D963" s="60" t="s">
        <v>2377</v>
      </c>
      <c r="E963" s="60"/>
      <c r="F963" s="60"/>
      <c r="G963" s="60"/>
      <c r="H963" s="60"/>
      <c r="I963" s="60"/>
    </row>
    <row r="964" spans="2:9" x14ac:dyDescent="0.35">
      <c r="B964" s="59">
        <v>1767</v>
      </c>
      <c r="C964" s="71" t="s">
        <v>895</v>
      </c>
      <c r="D964" s="60" t="s">
        <v>2377</v>
      </c>
      <c r="E964" s="60"/>
      <c r="F964" s="60"/>
      <c r="G964" s="60"/>
      <c r="H964" s="60"/>
      <c r="I964" s="60"/>
    </row>
    <row r="965" spans="2:9" x14ac:dyDescent="0.35">
      <c r="B965" s="59">
        <v>1769</v>
      </c>
      <c r="C965" s="71" t="s">
        <v>896</v>
      </c>
      <c r="D965" s="60" t="s">
        <v>2377</v>
      </c>
      <c r="E965" s="60"/>
      <c r="F965" s="60"/>
      <c r="G965" s="60"/>
      <c r="H965" s="60"/>
      <c r="I965" s="60"/>
    </row>
    <row r="966" spans="2:9" ht="217.5" x14ac:dyDescent="0.35">
      <c r="B966" s="59">
        <v>1770</v>
      </c>
      <c r="C966" s="71" t="s">
        <v>897</v>
      </c>
      <c r="D966" s="60" t="s">
        <v>2373</v>
      </c>
      <c r="E966" s="60" t="s">
        <v>2891</v>
      </c>
      <c r="F966" s="60" t="s">
        <v>2520</v>
      </c>
      <c r="G966" s="60" t="s">
        <v>2895</v>
      </c>
      <c r="H966" s="60" t="s">
        <v>2522</v>
      </c>
      <c r="I966" s="60" t="s">
        <v>2894</v>
      </c>
    </row>
    <row r="967" spans="2:9" s="56" customFormat="1" ht="120" customHeight="1" x14ac:dyDescent="0.35">
      <c r="B967" s="59">
        <v>1771</v>
      </c>
      <c r="C967" s="71" t="s">
        <v>898</v>
      </c>
      <c r="D967" s="60" t="s">
        <v>2373</v>
      </c>
      <c r="E967" s="60" t="s">
        <v>2891</v>
      </c>
      <c r="F967" s="60" t="s">
        <v>2520</v>
      </c>
      <c r="G967" s="60" t="s">
        <v>2895</v>
      </c>
      <c r="H967" s="60" t="s">
        <v>2522</v>
      </c>
      <c r="I967" s="60" t="s">
        <v>2894</v>
      </c>
    </row>
    <row r="968" spans="2:9" s="56" customFormat="1" ht="120" customHeight="1" x14ac:dyDescent="0.35">
      <c r="B968" s="59">
        <v>1772</v>
      </c>
      <c r="C968" s="71" t="s">
        <v>899</v>
      </c>
      <c r="D968" s="60" t="s">
        <v>2373</v>
      </c>
      <c r="E968" s="60"/>
      <c r="F968" s="60"/>
      <c r="G968" s="60"/>
      <c r="H968" s="60"/>
      <c r="I968" s="60"/>
    </row>
    <row r="969" spans="2:9" x14ac:dyDescent="0.35">
      <c r="B969" s="59">
        <v>1773</v>
      </c>
      <c r="C969" s="71" t="s">
        <v>900</v>
      </c>
      <c r="D969" s="60" t="s">
        <v>2373</v>
      </c>
      <c r="E969" s="60"/>
      <c r="F969" s="60"/>
      <c r="G969" s="60"/>
      <c r="H969" s="60"/>
      <c r="I969" s="60"/>
    </row>
    <row r="970" spans="2:9" x14ac:dyDescent="0.35">
      <c r="B970" s="59">
        <v>1774</v>
      </c>
      <c r="C970" s="71" t="s">
        <v>901</v>
      </c>
      <c r="D970" s="60" t="s">
        <v>2376</v>
      </c>
      <c r="E970" s="60"/>
      <c r="F970" s="60"/>
      <c r="G970" s="60"/>
      <c r="H970" s="60"/>
      <c r="I970" s="60"/>
    </row>
    <row r="971" spans="2:9" x14ac:dyDescent="0.35">
      <c r="B971" s="59">
        <v>1775</v>
      </c>
      <c r="C971" s="71" t="s">
        <v>902</v>
      </c>
      <c r="D971" s="60" t="s">
        <v>2376</v>
      </c>
      <c r="E971" s="60"/>
      <c r="F971" s="60"/>
      <c r="G971" s="60"/>
      <c r="H971" s="60"/>
      <c r="I971" s="60"/>
    </row>
    <row r="972" spans="2:9" x14ac:dyDescent="0.35">
      <c r="B972" s="59">
        <v>1776</v>
      </c>
      <c r="C972" s="71" t="s">
        <v>903</v>
      </c>
      <c r="D972" s="60" t="s">
        <v>2376</v>
      </c>
      <c r="E972" s="60"/>
      <c r="F972" s="60"/>
      <c r="G972" s="60"/>
      <c r="H972" s="60"/>
      <c r="I972" s="60"/>
    </row>
    <row r="973" spans="2:9" x14ac:dyDescent="0.35">
      <c r="B973" s="59">
        <v>1778</v>
      </c>
      <c r="C973" s="71" t="s">
        <v>904</v>
      </c>
      <c r="D973" s="60" t="s">
        <v>2376</v>
      </c>
      <c r="E973" s="60"/>
      <c r="F973" s="60"/>
      <c r="G973" s="60"/>
      <c r="H973" s="60"/>
      <c r="I973" s="60"/>
    </row>
    <row r="974" spans="2:9" x14ac:dyDescent="0.35">
      <c r="B974" s="59">
        <v>1786</v>
      </c>
      <c r="C974" s="71" t="s">
        <v>905</v>
      </c>
      <c r="D974" s="60" t="s">
        <v>2373</v>
      </c>
      <c r="E974" s="60"/>
      <c r="F974" s="60"/>
      <c r="G974" s="60"/>
      <c r="H974" s="60"/>
      <c r="I974" s="60"/>
    </row>
    <row r="975" spans="2:9" x14ac:dyDescent="0.35">
      <c r="B975" s="59">
        <v>1787</v>
      </c>
      <c r="C975" s="71" t="s">
        <v>906</v>
      </c>
      <c r="D975" s="60" t="s">
        <v>2373</v>
      </c>
      <c r="E975" s="60"/>
      <c r="F975" s="60"/>
      <c r="G975" s="60"/>
      <c r="H975" s="60"/>
      <c r="I975" s="60"/>
    </row>
    <row r="976" spans="2:9" x14ac:dyDescent="0.35">
      <c r="B976" s="59">
        <v>1788</v>
      </c>
      <c r="C976" s="71" t="s">
        <v>907</v>
      </c>
      <c r="D976" s="60" t="s">
        <v>2373</v>
      </c>
      <c r="E976" s="60"/>
      <c r="F976" s="60"/>
      <c r="G976" s="60"/>
      <c r="H976" s="60"/>
      <c r="I976" s="60"/>
    </row>
    <row r="977" spans="2:9" x14ac:dyDescent="0.35">
      <c r="B977" s="59">
        <v>1789</v>
      </c>
      <c r="C977" s="71" t="s">
        <v>908</v>
      </c>
      <c r="D977" s="60" t="s">
        <v>2373</v>
      </c>
      <c r="E977" s="60"/>
      <c r="F977" s="60"/>
      <c r="G977" s="60"/>
      <c r="H977" s="60"/>
      <c r="I977" s="60"/>
    </row>
    <row r="978" spans="2:9" x14ac:dyDescent="0.35">
      <c r="B978" s="59">
        <v>1790</v>
      </c>
      <c r="C978" s="71" t="s">
        <v>909</v>
      </c>
      <c r="D978" s="60" t="s">
        <v>2373</v>
      </c>
      <c r="E978" s="60"/>
      <c r="F978" s="60"/>
      <c r="G978" s="60"/>
      <c r="H978" s="60"/>
      <c r="I978" s="60"/>
    </row>
    <row r="979" spans="2:9" x14ac:dyDescent="0.35">
      <c r="B979" s="59">
        <v>1791</v>
      </c>
      <c r="C979" s="71" t="s">
        <v>910</v>
      </c>
      <c r="D979" s="60" t="s">
        <v>2373</v>
      </c>
      <c r="E979" s="60"/>
      <c r="F979" s="60"/>
      <c r="G979" s="60"/>
      <c r="H979" s="60"/>
      <c r="I979" s="60"/>
    </row>
    <row r="980" spans="2:9" x14ac:dyDescent="0.35">
      <c r="B980" s="59">
        <v>1792</v>
      </c>
      <c r="C980" s="71" t="s">
        <v>911</v>
      </c>
      <c r="D980" s="60" t="s">
        <v>2373</v>
      </c>
      <c r="E980" s="60"/>
      <c r="F980" s="60"/>
      <c r="G980" s="60"/>
      <c r="H980" s="60"/>
      <c r="I980" s="60"/>
    </row>
    <row r="981" spans="2:9" x14ac:dyDescent="0.35">
      <c r="B981" s="59">
        <v>1793</v>
      </c>
      <c r="C981" s="71" t="s">
        <v>912</v>
      </c>
      <c r="D981" s="60" t="s">
        <v>2373</v>
      </c>
      <c r="E981" s="60"/>
      <c r="F981" s="60"/>
      <c r="G981" s="60"/>
      <c r="H981" s="60"/>
      <c r="I981" s="60"/>
    </row>
    <row r="982" spans="2:9" x14ac:dyDescent="0.35">
      <c r="B982" s="59">
        <v>1794</v>
      </c>
      <c r="C982" s="71" t="s">
        <v>913</v>
      </c>
      <c r="D982" s="60" t="s">
        <v>2373</v>
      </c>
      <c r="E982" s="60"/>
      <c r="F982" s="60"/>
      <c r="G982" s="60"/>
      <c r="H982" s="60"/>
      <c r="I982" s="60"/>
    </row>
    <row r="983" spans="2:9" x14ac:dyDescent="0.35">
      <c r="B983" s="59">
        <v>1795</v>
      </c>
      <c r="C983" s="71" t="s">
        <v>914</v>
      </c>
      <c r="D983" s="60" t="s">
        <v>2373</v>
      </c>
      <c r="E983" s="60"/>
      <c r="F983" s="60"/>
      <c r="G983" s="60"/>
      <c r="H983" s="60"/>
      <c r="I983" s="60"/>
    </row>
    <row r="984" spans="2:9" x14ac:dyDescent="0.35">
      <c r="B984" s="59">
        <v>1796</v>
      </c>
      <c r="C984" s="71" t="s">
        <v>915</v>
      </c>
      <c r="D984" s="60" t="s">
        <v>2373</v>
      </c>
      <c r="E984" s="60"/>
      <c r="F984" s="60"/>
      <c r="G984" s="60"/>
      <c r="H984" s="60"/>
      <c r="I984" s="60"/>
    </row>
    <row r="985" spans="2:9" x14ac:dyDescent="0.35">
      <c r="B985" s="59">
        <v>1797</v>
      </c>
      <c r="C985" s="71" t="s">
        <v>916</v>
      </c>
      <c r="D985" s="60" t="s">
        <v>2373</v>
      </c>
      <c r="E985" s="60"/>
      <c r="F985" s="60"/>
      <c r="G985" s="60"/>
      <c r="H985" s="60"/>
      <c r="I985" s="60"/>
    </row>
    <row r="986" spans="2:9" x14ac:dyDescent="0.35">
      <c r="B986" s="59">
        <v>1798</v>
      </c>
      <c r="C986" s="71" t="s">
        <v>917</v>
      </c>
      <c r="D986" s="60" t="s">
        <v>2373</v>
      </c>
      <c r="E986" s="60"/>
      <c r="F986" s="60"/>
      <c r="G986" s="60"/>
      <c r="H986" s="60"/>
      <c r="I986" s="60"/>
    </row>
    <row r="987" spans="2:9" x14ac:dyDescent="0.35">
      <c r="B987" s="59">
        <v>1799</v>
      </c>
      <c r="C987" s="71" t="s">
        <v>918</v>
      </c>
      <c r="D987" s="60" t="s">
        <v>2373</v>
      </c>
      <c r="E987" s="60"/>
      <c r="F987" s="60"/>
      <c r="G987" s="60"/>
      <c r="H987" s="60"/>
      <c r="I987" s="60"/>
    </row>
    <row r="988" spans="2:9" x14ac:dyDescent="0.35">
      <c r="B988" s="59">
        <v>1802</v>
      </c>
      <c r="C988" s="71" t="s">
        <v>919</v>
      </c>
      <c r="D988" s="60" t="s">
        <v>2373</v>
      </c>
      <c r="E988" s="60"/>
      <c r="F988" s="60"/>
      <c r="G988" s="60"/>
      <c r="H988" s="60"/>
      <c r="I988" s="60"/>
    </row>
    <row r="989" spans="2:9" x14ac:dyDescent="0.35">
      <c r="B989" s="59">
        <v>1803</v>
      </c>
      <c r="C989" s="71" t="s">
        <v>920</v>
      </c>
      <c r="D989" s="60" t="s">
        <v>2373</v>
      </c>
      <c r="E989" s="60"/>
      <c r="F989" s="60"/>
      <c r="G989" s="60"/>
      <c r="H989" s="60"/>
      <c r="I989" s="60"/>
    </row>
    <row r="990" spans="2:9" x14ac:dyDescent="0.35">
      <c r="B990" s="59">
        <v>1804</v>
      </c>
      <c r="C990" s="71" t="s">
        <v>921</v>
      </c>
      <c r="D990" s="60" t="s">
        <v>2373</v>
      </c>
      <c r="E990" s="60"/>
      <c r="F990" s="60"/>
      <c r="G990" s="60"/>
      <c r="H990" s="60"/>
      <c r="I990" s="60"/>
    </row>
    <row r="991" spans="2:9" x14ac:dyDescent="0.35">
      <c r="B991" s="59">
        <v>1805</v>
      </c>
      <c r="C991" s="71" t="s">
        <v>922</v>
      </c>
      <c r="D991" s="60" t="s">
        <v>2373</v>
      </c>
      <c r="E991" s="60"/>
      <c r="F991" s="60"/>
      <c r="G991" s="60"/>
      <c r="H991" s="60"/>
      <c r="I991" s="60"/>
    </row>
    <row r="992" spans="2:9" x14ac:dyDescent="0.35">
      <c r="B992" s="59">
        <v>1806</v>
      </c>
      <c r="C992" s="71" t="s">
        <v>923</v>
      </c>
      <c r="D992" s="60" t="s">
        <v>2373</v>
      </c>
      <c r="E992" s="60"/>
      <c r="F992" s="60"/>
      <c r="G992" s="60"/>
      <c r="H992" s="60"/>
      <c r="I992" s="60"/>
    </row>
    <row r="993" spans="2:9" x14ac:dyDescent="0.35">
      <c r="B993" s="59">
        <v>1807</v>
      </c>
      <c r="C993" s="71" t="s">
        <v>924</v>
      </c>
      <c r="D993" s="60" t="s">
        <v>2373</v>
      </c>
      <c r="E993" s="60"/>
      <c r="F993" s="60"/>
      <c r="G993" s="60"/>
      <c r="H993" s="60"/>
      <c r="I993" s="60"/>
    </row>
    <row r="994" spans="2:9" x14ac:dyDescent="0.35">
      <c r="B994" s="59">
        <v>1808</v>
      </c>
      <c r="C994" s="71" t="s">
        <v>925</v>
      </c>
      <c r="D994" s="60" t="s">
        <v>2373</v>
      </c>
      <c r="E994" s="60"/>
      <c r="F994" s="60"/>
      <c r="G994" s="60"/>
      <c r="H994" s="60"/>
      <c r="I994" s="60"/>
    </row>
    <row r="995" spans="2:9" x14ac:dyDescent="0.35">
      <c r="B995" s="59">
        <v>1809</v>
      </c>
      <c r="C995" s="71" t="s">
        <v>926</v>
      </c>
      <c r="D995" s="60" t="s">
        <v>2373</v>
      </c>
      <c r="E995" s="60"/>
      <c r="F995" s="60"/>
      <c r="G995" s="60"/>
      <c r="H995" s="60"/>
      <c r="I995" s="60"/>
    </row>
    <row r="996" spans="2:9" x14ac:dyDescent="0.35">
      <c r="B996" s="59">
        <v>1810</v>
      </c>
      <c r="C996" s="71" t="s">
        <v>927</v>
      </c>
      <c r="D996" s="60" t="s">
        <v>2373</v>
      </c>
      <c r="E996" s="60"/>
      <c r="F996" s="60"/>
      <c r="G996" s="60"/>
      <c r="H996" s="60"/>
      <c r="I996" s="60"/>
    </row>
    <row r="997" spans="2:9" x14ac:dyDescent="0.35">
      <c r="B997" s="59">
        <v>1811</v>
      </c>
      <c r="C997" s="71" t="s">
        <v>928</v>
      </c>
      <c r="D997" s="60" t="s">
        <v>2373</v>
      </c>
      <c r="E997" s="60"/>
      <c r="F997" s="60"/>
      <c r="G997" s="60"/>
      <c r="H997" s="60"/>
      <c r="I997" s="60"/>
    </row>
    <row r="998" spans="2:9" x14ac:dyDescent="0.35">
      <c r="B998" s="59">
        <v>1812</v>
      </c>
      <c r="C998" s="71" t="s">
        <v>929</v>
      </c>
      <c r="D998" s="60" t="s">
        <v>2373</v>
      </c>
      <c r="E998" s="60"/>
      <c r="F998" s="60"/>
      <c r="G998" s="60"/>
      <c r="H998" s="60"/>
      <c r="I998" s="60"/>
    </row>
    <row r="999" spans="2:9" x14ac:dyDescent="0.35">
      <c r="B999" s="59">
        <v>1813</v>
      </c>
      <c r="C999" s="71" t="s">
        <v>930</v>
      </c>
      <c r="D999" s="60" t="s">
        <v>2373</v>
      </c>
      <c r="E999" s="60"/>
      <c r="F999" s="60"/>
      <c r="G999" s="60"/>
      <c r="H999" s="60"/>
      <c r="I999" s="60"/>
    </row>
    <row r="1000" spans="2:9" x14ac:dyDescent="0.35">
      <c r="B1000" s="59">
        <v>1814</v>
      </c>
      <c r="C1000" s="71" t="s">
        <v>931</v>
      </c>
      <c r="D1000" s="60" t="s">
        <v>2373</v>
      </c>
      <c r="E1000" s="60"/>
      <c r="F1000" s="60"/>
      <c r="G1000" s="60"/>
      <c r="H1000" s="60"/>
      <c r="I1000" s="60"/>
    </row>
    <row r="1001" spans="2:9" x14ac:dyDescent="0.35">
      <c r="B1001" s="59">
        <v>1815</v>
      </c>
      <c r="C1001" s="71" t="s">
        <v>932</v>
      </c>
      <c r="D1001" s="60" t="s">
        <v>2373</v>
      </c>
      <c r="E1001" s="60"/>
      <c r="F1001" s="60"/>
      <c r="G1001" s="60"/>
      <c r="H1001" s="60"/>
      <c r="I1001" s="60"/>
    </row>
    <row r="1002" spans="2:9" x14ac:dyDescent="0.35">
      <c r="B1002" s="59">
        <v>1816</v>
      </c>
      <c r="C1002" s="71" t="s">
        <v>933</v>
      </c>
      <c r="D1002" s="60" t="s">
        <v>2373</v>
      </c>
      <c r="E1002" s="60"/>
      <c r="F1002" s="60"/>
      <c r="G1002" s="60"/>
      <c r="H1002" s="60"/>
      <c r="I1002" s="60"/>
    </row>
    <row r="1003" spans="2:9" x14ac:dyDescent="0.35">
      <c r="B1003" s="59">
        <v>1817</v>
      </c>
      <c r="C1003" s="71" t="s">
        <v>934</v>
      </c>
      <c r="D1003" s="60" t="s">
        <v>2373</v>
      </c>
      <c r="E1003" s="60"/>
      <c r="F1003" s="60"/>
      <c r="G1003" s="60"/>
      <c r="H1003" s="60"/>
      <c r="I1003" s="60"/>
    </row>
    <row r="1004" spans="2:9" x14ac:dyDescent="0.35">
      <c r="B1004" s="59">
        <v>1818</v>
      </c>
      <c r="C1004" s="71" t="s">
        <v>935</v>
      </c>
      <c r="D1004" s="60" t="s">
        <v>2373</v>
      </c>
      <c r="E1004" s="60"/>
      <c r="F1004" s="60"/>
      <c r="G1004" s="60"/>
      <c r="H1004" s="60"/>
      <c r="I1004" s="60"/>
    </row>
    <row r="1005" spans="2:9" x14ac:dyDescent="0.35">
      <c r="B1005" s="59">
        <v>1819</v>
      </c>
      <c r="C1005" s="71" t="s">
        <v>936</v>
      </c>
      <c r="D1005" s="60" t="s">
        <v>2373</v>
      </c>
      <c r="E1005" s="60"/>
      <c r="F1005" s="60"/>
      <c r="G1005" s="60"/>
      <c r="H1005" s="60"/>
      <c r="I1005" s="60"/>
    </row>
    <row r="1006" spans="2:9" x14ac:dyDescent="0.35">
      <c r="B1006" s="59">
        <v>1820</v>
      </c>
      <c r="C1006" s="71" t="s">
        <v>937</v>
      </c>
      <c r="D1006" s="60" t="s">
        <v>2373</v>
      </c>
      <c r="E1006" s="60"/>
      <c r="F1006" s="60"/>
      <c r="G1006" s="60"/>
      <c r="H1006" s="60"/>
      <c r="I1006" s="60"/>
    </row>
    <row r="1007" spans="2:9" x14ac:dyDescent="0.35">
      <c r="B1007" s="59">
        <v>1821</v>
      </c>
      <c r="C1007" s="71" t="s">
        <v>938</v>
      </c>
      <c r="D1007" s="60" t="s">
        <v>2373</v>
      </c>
      <c r="E1007" s="60"/>
      <c r="F1007" s="60"/>
      <c r="G1007" s="60"/>
      <c r="H1007" s="60"/>
      <c r="I1007" s="60"/>
    </row>
    <row r="1008" spans="2:9" x14ac:dyDescent="0.35">
      <c r="B1008" s="59">
        <v>1822</v>
      </c>
      <c r="C1008" s="71" t="s">
        <v>939</v>
      </c>
      <c r="D1008" s="60" t="s">
        <v>2373</v>
      </c>
      <c r="E1008" s="60"/>
      <c r="F1008" s="60"/>
      <c r="G1008" s="60"/>
      <c r="H1008" s="60"/>
      <c r="I1008" s="60"/>
    </row>
    <row r="1009" spans="2:9" x14ac:dyDescent="0.35">
      <c r="B1009" s="59">
        <v>1823</v>
      </c>
      <c r="C1009" s="71" t="s">
        <v>940</v>
      </c>
      <c r="D1009" s="60" t="s">
        <v>2373</v>
      </c>
      <c r="E1009" s="60"/>
      <c r="F1009" s="60"/>
      <c r="G1009" s="60"/>
      <c r="H1009" s="60"/>
      <c r="I1009" s="60"/>
    </row>
    <row r="1010" spans="2:9" ht="304.5" x14ac:dyDescent="0.35">
      <c r="B1010" s="59">
        <v>1824</v>
      </c>
      <c r="C1010" s="71" t="s">
        <v>941</v>
      </c>
      <c r="D1010" s="60" t="s">
        <v>2373</v>
      </c>
      <c r="E1010" s="60" t="s">
        <v>2896</v>
      </c>
      <c r="F1010" s="60" t="s">
        <v>2520</v>
      </c>
      <c r="G1010" s="60" t="s">
        <v>2897</v>
      </c>
      <c r="H1010" s="60" t="s">
        <v>2898</v>
      </c>
      <c r="I1010" s="60" t="s">
        <v>2523</v>
      </c>
    </row>
    <row r="1011" spans="2:9" s="56" customFormat="1" ht="120" customHeight="1" x14ac:dyDescent="0.35">
      <c r="B1011" s="59">
        <v>1825</v>
      </c>
      <c r="C1011" s="71" t="s">
        <v>942</v>
      </c>
      <c r="D1011" s="60" t="s">
        <v>2373</v>
      </c>
      <c r="E1011" s="60" t="s">
        <v>2896</v>
      </c>
      <c r="F1011" s="60" t="s">
        <v>2520</v>
      </c>
      <c r="G1011" s="60" t="s">
        <v>2897</v>
      </c>
      <c r="H1011" s="60" t="s">
        <v>2898</v>
      </c>
      <c r="I1011" s="60" t="s">
        <v>2523</v>
      </c>
    </row>
    <row r="1012" spans="2:9" s="56" customFormat="1" ht="120" customHeight="1" x14ac:dyDescent="0.35">
      <c r="B1012" s="59">
        <v>1826</v>
      </c>
      <c r="C1012" s="71" t="s">
        <v>943</v>
      </c>
      <c r="D1012" s="60" t="s">
        <v>2373</v>
      </c>
      <c r="E1012" s="60" t="s">
        <v>2896</v>
      </c>
      <c r="F1012" s="60" t="s">
        <v>2520</v>
      </c>
      <c r="G1012" s="60" t="s">
        <v>2897</v>
      </c>
      <c r="H1012" s="60" t="s">
        <v>2898</v>
      </c>
      <c r="I1012" s="60" t="s">
        <v>2523</v>
      </c>
    </row>
    <row r="1013" spans="2:9" s="56" customFormat="1" ht="120" customHeight="1" x14ac:dyDescent="0.35">
      <c r="B1013" s="59">
        <v>1827</v>
      </c>
      <c r="C1013" s="71" t="s">
        <v>944</v>
      </c>
      <c r="D1013" s="60" t="s">
        <v>2378</v>
      </c>
      <c r="E1013" s="60" t="s">
        <v>2899</v>
      </c>
      <c r="F1013" s="60" t="s">
        <v>2900</v>
      </c>
      <c r="G1013" s="60" t="s">
        <v>2901</v>
      </c>
      <c r="H1013" s="60" t="s">
        <v>2522</v>
      </c>
      <c r="I1013" s="60" t="s">
        <v>2902</v>
      </c>
    </row>
    <row r="1014" spans="2:9" s="56" customFormat="1" ht="120" customHeight="1" x14ac:dyDescent="0.35">
      <c r="B1014" s="59">
        <v>1828</v>
      </c>
      <c r="C1014" s="71" t="s">
        <v>945</v>
      </c>
      <c r="D1014" s="60" t="s">
        <v>2378</v>
      </c>
      <c r="E1014" s="60" t="s">
        <v>2899</v>
      </c>
      <c r="F1014" s="60" t="s">
        <v>2900</v>
      </c>
      <c r="G1014" s="60" t="s">
        <v>2901</v>
      </c>
      <c r="H1014" s="60" t="s">
        <v>2522</v>
      </c>
      <c r="I1014" s="60" t="s">
        <v>2902</v>
      </c>
    </row>
    <row r="1015" spans="2:9" s="56" customFormat="1" ht="120" customHeight="1" x14ac:dyDescent="0.35">
      <c r="B1015" s="59">
        <v>1829</v>
      </c>
      <c r="C1015" s="71" t="s">
        <v>946</v>
      </c>
      <c r="D1015" s="60" t="s">
        <v>2378</v>
      </c>
      <c r="E1015" s="60" t="s">
        <v>2899</v>
      </c>
      <c r="F1015" s="60" t="s">
        <v>2900</v>
      </c>
      <c r="G1015" s="60" t="s">
        <v>2901</v>
      </c>
      <c r="H1015" s="60" t="s">
        <v>2522</v>
      </c>
      <c r="I1015" s="60" t="s">
        <v>2902</v>
      </c>
    </row>
    <row r="1016" spans="2:9" s="56" customFormat="1" ht="120" customHeight="1" x14ac:dyDescent="0.35">
      <c r="B1016" s="59">
        <v>1830</v>
      </c>
      <c r="C1016" s="71" t="s">
        <v>947</v>
      </c>
      <c r="D1016" s="60" t="s">
        <v>2378</v>
      </c>
      <c r="E1016" s="60" t="s">
        <v>2899</v>
      </c>
      <c r="F1016" s="60" t="s">
        <v>2900</v>
      </c>
      <c r="G1016" s="60" t="s">
        <v>2901</v>
      </c>
      <c r="H1016" s="60" t="s">
        <v>2522</v>
      </c>
      <c r="I1016" s="60" t="s">
        <v>2902</v>
      </c>
    </row>
    <row r="1017" spans="2:9" s="56" customFormat="1" ht="120" customHeight="1" x14ac:dyDescent="0.35">
      <c r="B1017" s="59">
        <v>1831</v>
      </c>
      <c r="C1017" s="71" t="s">
        <v>948</v>
      </c>
      <c r="D1017" s="60" t="s">
        <v>2378</v>
      </c>
      <c r="E1017" s="60" t="s">
        <v>2899</v>
      </c>
      <c r="F1017" s="60" t="s">
        <v>2900</v>
      </c>
      <c r="G1017" s="60" t="s">
        <v>2901</v>
      </c>
      <c r="H1017" s="60" t="s">
        <v>2522</v>
      </c>
      <c r="I1017" s="60" t="s">
        <v>2902</v>
      </c>
    </row>
    <row r="1018" spans="2:9" s="56" customFormat="1" ht="120" customHeight="1" x14ac:dyDescent="0.35">
      <c r="B1018" s="59">
        <v>1832</v>
      </c>
      <c r="C1018" s="71" t="s">
        <v>949</v>
      </c>
      <c r="D1018" s="60" t="s">
        <v>2378</v>
      </c>
      <c r="E1018" s="60" t="s">
        <v>2899</v>
      </c>
      <c r="F1018" s="60" t="s">
        <v>2900</v>
      </c>
      <c r="G1018" s="60" t="s">
        <v>2901</v>
      </c>
      <c r="H1018" s="60" t="s">
        <v>2522</v>
      </c>
      <c r="I1018" s="60" t="s">
        <v>2902</v>
      </c>
    </row>
    <row r="1019" spans="2:9" s="56" customFormat="1" ht="120" customHeight="1" x14ac:dyDescent="0.35">
      <c r="B1019" s="59">
        <v>1833</v>
      </c>
      <c r="C1019" s="71" t="s">
        <v>950</v>
      </c>
      <c r="D1019" s="60" t="s">
        <v>2378</v>
      </c>
      <c r="E1019" s="60" t="s">
        <v>2899</v>
      </c>
      <c r="F1019" s="60" t="s">
        <v>2900</v>
      </c>
      <c r="G1019" s="60" t="s">
        <v>2901</v>
      </c>
      <c r="H1019" s="60" t="s">
        <v>2522</v>
      </c>
      <c r="I1019" s="60" t="s">
        <v>2902</v>
      </c>
    </row>
    <row r="1020" spans="2:9" s="56" customFormat="1" ht="120" customHeight="1" x14ac:dyDescent="0.35">
      <c r="B1020" s="59">
        <v>1834</v>
      </c>
      <c r="C1020" s="71" t="s">
        <v>951</v>
      </c>
      <c r="D1020" s="60" t="s">
        <v>2378</v>
      </c>
      <c r="E1020" s="60" t="s">
        <v>2899</v>
      </c>
      <c r="F1020" s="60" t="s">
        <v>2900</v>
      </c>
      <c r="G1020" s="60" t="s">
        <v>2901</v>
      </c>
      <c r="H1020" s="60" t="s">
        <v>2522</v>
      </c>
      <c r="I1020" s="60" t="s">
        <v>2902</v>
      </c>
    </row>
    <row r="1021" spans="2:9" s="56" customFormat="1" ht="120" customHeight="1" x14ac:dyDescent="0.35">
      <c r="B1021" s="59">
        <v>1835</v>
      </c>
      <c r="C1021" s="71" t="s">
        <v>952</v>
      </c>
      <c r="D1021" s="60" t="s">
        <v>2378</v>
      </c>
      <c r="E1021" s="60" t="s">
        <v>2899</v>
      </c>
      <c r="F1021" s="60" t="s">
        <v>2900</v>
      </c>
      <c r="G1021" s="60" t="s">
        <v>2901</v>
      </c>
      <c r="H1021" s="60" t="s">
        <v>2522</v>
      </c>
      <c r="I1021" s="60" t="s">
        <v>2902</v>
      </c>
    </row>
    <row r="1022" spans="2:9" s="56" customFormat="1" ht="120" customHeight="1" x14ac:dyDescent="0.35">
      <c r="B1022" s="59">
        <v>1836</v>
      </c>
      <c r="C1022" s="71" t="s">
        <v>953</v>
      </c>
      <c r="D1022" s="60" t="s">
        <v>2378</v>
      </c>
      <c r="E1022" s="60" t="s">
        <v>2903</v>
      </c>
      <c r="F1022" s="60" t="s">
        <v>2520</v>
      </c>
      <c r="G1022" s="60" t="s">
        <v>2904</v>
      </c>
      <c r="H1022" s="60" t="s">
        <v>2522</v>
      </c>
      <c r="I1022" s="60" t="s">
        <v>2905</v>
      </c>
    </row>
    <row r="1023" spans="2:9" s="56" customFormat="1" ht="120" customHeight="1" x14ac:dyDescent="0.35">
      <c r="B1023" s="61">
        <v>1838</v>
      </c>
      <c r="C1023" s="71" t="s">
        <v>954</v>
      </c>
      <c r="D1023" s="60" t="s">
        <v>2378</v>
      </c>
      <c r="E1023" s="60" t="s">
        <v>2903</v>
      </c>
      <c r="F1023" s="60" t="s">
        <v>2520</v>
      </c>
      <c r="G1023" s="60" t="s">
        <v>2904</v>
      </c>
      <c r="H1023" s="60" t="s">
        <v>2522</v>
      </c>
      <c r="I1023" s="60" t="s">
        <v>2905</v>
      </c>
    </row>
    <row r="1024" spans="2:9" s="56" customFormat="1" ht="120" customHeight="1" x14ac:dyDescent="0.35">
      <c r="B1024" s="59">
        <v>1840</v>
      </c>
      <c r="C1024" s="71" t="s">
        <v>2441</v>
      </c>
      <c r="D1024" s="60" t="s">
        <v>2378</v>
      </c>
      <c r="E1024" s="60" t="s">
        <v>2899</v>
      </c>
      <c r="F1024" s="60" t="s">
        <v>2900</v>
      </c>
      <c r="G1024" s="60" t="s">
        <v>2901</v>
      </c>
      <c r="H1024" s="60" t="s">
        <v>2522</v>
      </c>
      <c r="I1024" s="60" t="s">
        <v>2906</v>
      </c>
    </row>
    <row r="1025" spans="2:9" s="56" customFormat="1" ht="120" customHeight="1" x14ac:dyDescent="0.35">
      <c r="B1025" s="59">
        <v>1841</v>
      </c>
      <c r="C1025" s="71" t="s">
        <v>955</v>
      </c>
      <c r="D1025" s="60" t="s">
        <v>2378</v>
      </c>
      <c r="E1025" s="60" t="s">
        <v>2899</v>
      </c>
      <c r="F1025" s="60" t="s">
        <v>2900</v>
      </c>
      <c r="G1025" s="60" t="s">
        <v>2901</v>
      </c>
      <c r="H1025" s="60" t="s">
        <v>2522</v>
      </c>
      <c r="I1025" s="60" t="s">
        <v>2906</v>
      </c>
    </row>
    <row r="1026" spans="2:9" s="56" customFormat="1" ht="120" customHeight="1" x14ac:dyDescent="0.35">
      <c r="B1026" s="61">
        <v>1842</v>
      </c>
      <c r="C1026" s="71" t="s">
        <v>956</v>
      </c>
      <c r="D1026" s="60" t="s">
        <v>2378</v>
      </c>
      <c r="E1026" s="60" t="s">
        <v>2899</v>
      </c>
      <c r="F1026" s="60" t="s">
        <v>2900</v>
      </c>
      <c r="G1026" s="60" t="s">
        <v>2901</v>
      </c>
      <c r="H1026" s="60" t="s">
        <v>2522</v>
      </c>
      <c r="I1026" s="60" t="s">
        <v>2906</v>
      </c>
    </row>
    <row r="1027" spans="2:9" s="56" customFormat="1" ht="120" customHeight="1" x14ac:dyDescent="0.35">
      <c r="B1027" s="59">
        <v>1844</v>
      </c>
      <c r="C1027" s="71" t="s">
        <v>2442</v>
      </c>
      <c r="D1027" s="60" t="s">
        <v>2378</v>
      </c>
      <c r="E1027" s="60"/>
      <c r="F1027" s="60"/>
      <c r="G1027" s="60"/>
      <c r="H1027" s="60"/>
      <c r="I1027" s="60"/>
    </row>
    <row r="1028" spans="2:9" x14ac:dyDescent="0.35">
      <c r="B1028" s="59">
        <v>1845</v>
      </c>
      <c r="C1028" s="71" t="s">
        <v>957</v>
      </c>
      <c r="D1028" s="60" t="s">
        <v>2373</v>
      </c>
      <c r="E1028" s="60"/>
      <c r="F1028" s="60"/>
      <c r="G1028" s="60"/>
      <c r="H1028" s="60"/>
      <c r="I1028" s="60"/>
    </row>
    <row r="1029" spans="2:9" ht="188.5" x14ac:dyDescent="0.35">
      <c r="B1029" s="59">
        <v>1889</v>
      </c>
      <c r="C1029" s="71" t="s">
        <v>958</v>
      </c>
      <c r="D1029" s="60" t="s">
        <v>2378</v>
      </c>
      <c r="E1029" s="60" t="s">
        <v>2907</v>
      </c>
      <c r="F1029" s="60" t="s">
        <v>2908</v>
      </c>
      <c r="G1029" s="60" t="s">
        <v>2901</v>
      </c>
      <c r="H1029" s="60" t="s">
        <v>2909</v>
      </c>
      <c r="I1029" s="60" t="s">
        <v>2910</v>
      </c>
    </row>
    <row r="1030" spans="2:9" s="56" customFormat="1" ht="120" customHeight="1" x14ac:dyDescent="0.35">
      <c r="B1030" s="59">
        <v>1890</v>
      </c>
      <c r="C1030" s="71" t="s">
        <v>959</v>
      </c>
      <c r="D1030" s="60" t="s">
        <v>2378</v>
      </c>
      <c r="E1030" s="60" t="s">
        <v>2907</v>
      </c>
      <c r="F1030" s="60" t="s">
        <v>2908</v>
      </c>
      <c r="G1030" s="60" t="s">
        <v>2901</v>
      </c>
      <c r="H1030" s="60" t="s">
        <v>2909</v>
      </c>
      <c r="I1030" s="60" t="s">
        <v>2910</v>
      </c>
    </row>
    <row r="1031" spans="2:9" s="56" customFormat="1" ht="120" customHeight="1" x14ac:dyDescent="0.35">
      <c r="B1031" s="59">
        <v>1892</v>
      </c>
      <c r="C1031" s="71" t="s">
        <v>960</v>
      </c>
      <c r="D1031" s="60" t="s">
        <v>2373</v>
      </c>
      <c r="E1031" s="60"/>
      <c r="F1031" s="60"/>
      <c r="G1031" s="60"/>
      <c r="H1031" s="60"/>
      <c r="I1031" s="60"/>
    </row>
    <row r="1032" spans="2:9" x14ac:dyDescent="0.35">
      <c r="B1032" s="59">
        <v>1893</v>
      </c>
      <c r="C1032" s="71" t="s">
        <v>961</v>
      </c>
      <c r="D1032" s="60" t="s">
        <v>2373</v>
      </c>
      <c r="E1032" s="60"/>
      <c r="F1032" s="60"/>
      <c r="G1032" s="60"/>
      <c r="H1032" s="60"/>
      <c r="I1032" s="60"/>
    </row>
    <row r="1033" spans="2:9" x14ac:dyDescent="0.35">
      <c r="B1033" s="59">
        <v>1925</v>
      </c>
      <c r="C1033" s="71" t="s">
        <v>962</v>
      </c>
      <c r="D1033" s="60" t="s">
        <v>2371</v>
      </c>
      <c r="E1033" s="60"/>
      <c r="F1033" s="60"/>
      <c r="G1033" s="60"/>
      <c r="H1033" s="60"/>
      <c r="I1033" s="60"/>
    </row>
    <row r="1034" spans="2:9" x14ac:dyDescent="0.35">
      <c r="B1034" s="59">
        <v>1926</v>
      </c>
      <c r="C1034" s="71" t="s">
        <v>963</v>
      </c>
      <c r="D1034" s="60" t="s">
        <v>2371</v>
      </c>
      <c r="E1034" s="60"/>
      <c r="F1034" s="60"/>
      <c r="G1034" s="60"/>
      <c r="H1034" s="60"/>
      <c r="I1034" s="60"/>
    </row>
    <row r="1035" spans="2:9" x14ac:dyDescent="0.35">
      <c r="B1035" s="59">
        <v>1927</v>
      </c>
      <c r="C1035" s="71" t="s">
        <v>964</v>
      </c>
      <c r="D1035" s="60" t="s">
        <v>2371</v>
      </c>
      <c r="E1035" s="60"/>
      <c r="F1035" s="60"/>
      <c r="G1035" s="60"/>
      <c r="H1035" s="60"/>
      <c r="I1035" s="60"/>
    </row>
    <row r="1036" spans="2:9" x14ac:dyDescent="0.35">
      <c r="B1036" s="59">
        <v>1930</v>
      </c>
      <c r="C1036" s="71" t="s">
        <v>965</v>
      </c>
      <c r="D1036" s="60" t="s">
        <v>2371</v>
      </c>
      <c r="E1036" s="60"/>
      <c r="F1036" s="60"/>
      <c r="G1036" s="60"/>
      <c r="H1036" s="60"/>
      <c r="I1036" s="60"/>
    </row>
    <row r="1037" spans="2:9" x14ac:dyDescent="0.35">
      <c r="B1037" s="59">
        <v>1931</v>
      </c>
      <c r="C1037" s="71" t="s">
        <v>966</v>
      </c>
      <c r="D1037" s="60" t="s">
        <v>2371</v>
      </c>
      <c r="E1037" s="60"/>
      <c r="F1037" s="60"/>
      <c r="G1037" s="60"/>
      <c r="H1037" s="60"/>
      <c r="I1037" s="60"/>
    </row>
    <row r="1038" spans="2:9" x14ac:dyDescent="0.35">
      <c r="B1038" s="59">
        <v>1953</v>
      </c>
      <c r="C1038" s="71" t="s">
        <v>967</v>
      </c>
      <c r="D1038" s="60" t="s">
        <v>2389</v>
      </c>
      <c r="E1038" s="60"/>
      <c r="F1038" s="60"/>
      <c r="G1038" s="60"/>
      <c r="H1038" s="60"/>
      <c r="I1038" s="60"/>
    </row>
    <row r="1039" spans="2:9" x14ac:dyDescent="0.35">
      <c r="B1039" s="59">
        <v>1954</v>
      </c>
      <c r="C1039" s="71" t="s">
        <v>968</v>
      </c>
      <c r="D1039" s="60" t="s">
        <v>2389</v>
      </c>
      <c r="E1039" s="60"/>
      <c r="F1039" s="60"/>
      <c r="G1039" s="60"/>
      <c r="H1039" s="60"/>
      <c r="I1039" s="60"/>
    </row>
    <row r="1040" spans="2:9" x14ac:dyDescent="0.35">
      <c r="B1040" s="59">
        <v>1955</v>
      </c>
      <c r="C1040" s="71" t="s">
        <v>969</v>
      </c>
      <c r="D1040" s="60" t="s">
        <v>2389</v>
      </c>
      <c r="E1040" s="60"/>
      <c r="F1040" s="60"/>
      <c r="G1040" s="60"/>
      <c r="H1040" s="60"/>
      <c r="I1040" s="60"/>
    </row>
    <row r="1041" spans="2:9" ht="188.5" x14ac:dyDescent="0.35">
      <c r="B1041" s="59">
        <v>1960</v>
      </c>
      <c r="C1041" s="71" t="s">
        <v>970</v>
      </c>
      <c r="D1041" s="60" t="s">
        <v>2402</v>
      </c>
      <c r="E1041" s="60" t="s">
        <v>2667</v>
      </c>
      <c r="F1041" s="60" t="s">
        <v>2668</v>
      </c>
      <c r="G1041" s="60" t="s">
        <v>2669</v>
      </c>
      <c r="H1041" s="60" t="s">
        <v>2670</v>
      </c>
      <c r="I1041" s="60" t="s">
        <v>2671</v>
      </c>
    </row>
    <row r="1042" spans="2:9" s="56" customFormat="1" ht="120" customHeight="1" x14ac:dyDescent="0.35">
      <c r="B1042" s="59">
        <v>1961</v>
      </c>
      <c r="C1042" s="71" t="s">
        <v>971</v>
      </c>
      <c r="D1042" s="60" t="s">
        <v>2377</v>
      </c>
      <c r="E1042" s="53"/>
      <c r="F1042" s="53"/>
      <c r="G1042" s="53"/>
      <c r="H1042" s="53"/>
      <c r="I1042" s="53"/>
    </row>
    <row r="1043" spans="2:9" x14ac:dyDescent="0.35">
      <c r="B1043" s="59">
        <v>1962</v>
      </c>
      <c r="C1043" s="71" t="s">
        <v>972</v>
      </c>
      <c r="D1043" s="60" t="s">
        <v>2377</v>
      </c>
      <c r="E1043" s="53"/>
      <c r="F1043" s="53"/>
      <c r="G1043" s="53"/>
      <c r="H1043" s="53"/>
      <c r="I1043" s="53"/>
    </row>
    <row r="1044" spans="2:9" x14ac:dyDescent="0.35">
      <c r="B1044" s="59">
        <v>1964</v>
      </c>
      <c r="C1044" s="71" t="s">
        <v>973</v>
      </c>
      <c r="D1044" s="60" t="s">
        <v>2377</v>
      </c>
      <c r="E1044" s="53"/>
      <c r="F1044" s="53"/>
      <c r="G1044" s="53"/>
      <c r="H1044" s="53"/>
      <c r="I1044" s="53"/>
    </row>
    <row r="1045" spans="2:9" x14ac:dyDescent="0.35">
      <c r="B1045" s="59">
        <v>1965</v>
      </c>
      <c r="C1045" s="71" t="s">
        <v>974</v>
      </c>
      <c r="D1045" s="60" t="s">
        <v>2377</v>
      </c>
      <c r="E1045" s="53"/>
      <c r="F1045" s="53"/>
      <c r="G1045" s="53"/>
      <c r="H1045" s="53"/>
      <c r="I1045" s="53"/>
    </row>
    <row r="1046" spans="2:9" x14ac:dyDescent="0.35">
      <c r="B1046" s="59">
        <v>1970</v>
      </c>
      <c r="C1046" s="71" t="s">
        <v>975</v>
      </c>
      <c r="D1046" s="60" t="s">
        <v>2377</v>
      </c>
      <c r="E1046" s="53"/>
      <c r="F1046" s="53"/>
      <c r="G1046" s="53"/>
      <c r="H1046" s="53"/>
      <c r="I1046" s="53"/>
    </row>
    <row r="1047" spans="2:9" x14ac:dyDescent="0.35">
      <c r="B1047" s="59">
        <v>1971</v>
      </c>
      <c r="C1047" s="71" t="s">
        <v>976</v>
      </c>
      <c r="D1047" s="60" t="s">
        <v>2377</v>
      </c>
      <c r="E1047" s="53"/>
      <c r="F1047" s="53"/>
      <c r="G1047" s="53"/>
      <c r="H1047" s="53"/>
      <c r="I1047" s="53"/>
    </row>
    <row r="1048" spans="2:9" x14ac:dyDescent="0.35">
      <c r="B1048" s="59">
        <v>1972</v>
      </c>
      <c r="C1048" s="71" t="s">
        <v>977</v>
      </c>
      <c r="D1048" s="60" t="s">
        <v>2377</v>
      </c>
      <c r="E1048" s="53"/>
      <c r="F1048" s="53"/>
      <c r="G1048" s="53"/>
      <c r="H1048" s="53"/>
      <c r="I1048" s="53"/>
    </row>
    <row r="1049" spans="2:9" x14ac:dyDescent="0.35">
      <c r="B1049" s="59">
        <v>1973</v>
      </c>
      <c r="C1049" s="71" t="s">
        <v>978</v>
      </c>
      <c r="D1049" s="60" t="s">
        <v>2377</v>
      </c>
      <c r="E1049" s="53"/>
      <c r="F1049" s="53"/>
      <c r="G1049" s="53"/>
      <c r="H1049" s="53"/>
      <c r="I1049" s="53"/>
    </row>
    <row r="1050" spans="2:9" x14ac:dyDescent="0.35">
      <c r="B1050" s="59">
        <v>1974</v>
      </c>
      <c r="C1050" s="71" t="s">
        <v>979</v>
      </c>
      <c r="D1050" s="60" t="s">
        <v>2377</v>
      </c>
      <c r="E1050" s="53"/>
      <c r="F1050" s="53"/>
      <c r="G1050" s="53"/>
      <c r="H1050" s="53"/>
      <c r="I1050" s="53"/>
    </row>
    <row r="1051" spans="2:9" x14ac:dyDescent="0.35">
      <c r="B1051" s="59">
        <v>1981</v>
      </c>
      <c r="C1051" s="71" t="s">
        <v>980</v>
      </c>
      <c r="D1051" s="60" t="s">
        <v>2376</v>
      </c>
      <c r="E1051" s="53"/>
      <c r="F1051" s="53"/>
      <c r="G1051" s="53"/>
      <c r="H1051" s="53"/>
      <c r="I1051" s="53"/>
    </row>
    <row r="1052" spans="2:9" x14ac:dyDescent="0.35">
      <c r="B1052" s="61">
        <v>1984</v>
      </c>
      <c r="C1052" s="71" t="s">
        <v>981</v>
      </c>
      <c r="D1052" s="60" t="s">
        <v>2376</v>
      </c>
      <c r="E1052" s="53"/>
      <c r="F1052" s="53"/>
      <c r="G1052" s="53"/>
      <c r="H1052" s="53"/>
      <c r="I1052" s="53"/>
    </row>
    <row r="1053" spans="2:9" x14ac:dyDescent="0.35">
      <c r="B1053" s="65"/>
      <c r="C1053" s="25"/>
      <c r="D1053" s="53"/>
      <c r="E1053" s="53"/>
      <c r="F1053" s="53"/>
      <c r="G1053" s="53"/>
      <c r="H1053" s="53"/>
      <c r="I1053" s="53"/>
    </row>
    <row r="1054" spans="2:9" x14ac:dyDescent="0.35">
      <c r="B1054" s="53"/>
      <c r="C1054" s="25"/>
      <c r="D1054" s="53"/>
      <c r="E1054" s="53"/>
      <c r="F1054" s="53"/>
      <c r="G1054" s="53"/>
      <c r="H1054" s="53"/>
      <c r="I1054" s="53"/>
    </row>
    <row r="1055" spans="2:9" x14ac:dyDescent="0.35">
      <c r="B1055" s="14"/>
      <c r="C1055" s="24"/>
      <c r="D1055" s="4"/>
      <c r="E1055" s="53"/>
      <c r="F1055" s="53"/>
      <c r="G1055" s="54"/>
      <c r="H1055" s="55"/>
      <c r="I1055" s="55"/>
    </row>
    <row r="1994" spans="2:9" x14ac:dyDescent="0.35">
      <c r="B1994" s="1">
        <v>567</v>
      </c>
      <c r="C1994" s="72" t="s">
        <v>364</v>
      </c>
      <c r="D1994" t="s">
        <v>2393</v>
      </c>
    </row>
    <row r="1995" spans="2:9" x14ac:dyDescent="0.35">
      <c r="B1995" s="1">
        <v>568</v>
      </c>
      <c r="C1995" s="72" t="s">
        <v>365</v>
      </c>
      <c r="D1995" t="s">
        <v>2393</v>
      </c>
    </row>
    <row r="1996" spans="2:9" x14ac:dyDescent="0.35">
      <c r="B1996" s="1">
        <v>569</v>
      </c>
      <c r="C1996" s="72" t="s">
        <v>366</v>
      </c>
      <c r="D1996" t="s">
        <v>2393</v>
      </c>
    </row>
    <row r="1997" spans="2:9" ht="87" x14ac:dyDescent="0.35">
      <c r="B1997" s="1">
        <v>570</v>
      </c>
      <c r="C1997" s="72" t="s">
        <v>367</v>
      </c>
      <c r="D1997" t="s">
        <v>2377</v>
      </c>
      <c r="E1997" s="56" t="s">
        <v>2457</v>
      </c>
      <c r="F1997" s="56" t="s">
        <v>2458</v>
      </c>
      <c r="G1997" s="57" t="s">
        <v>2459</v>
      </c>
      <c r="H1997" s="58" t="s">
        <v>2455</v>
      </c>
      <c r="I1997" s="58" t="s">
        <v>2463</v>
      </c>
    </row>
    <row r="1998" spans="2:9" x14ac:dyDescent="0.35">
      <c r="G1998" s="57" t="s">
        <v>2454</v>
      </c>
      <c r="H1998" s="58" t="s">
        <v>2456</v>
      </c>
      <c r="I1998" s="58" t="s">
        <v>2464</v>
      </c>
    </row>
    <row r="1999" spans="2:9" x14ac:dyDescent="0.35">
      <c r="G1999" s="57" t="s">
        <v>2460</v>
      </c>
      <c r="H1999" s="58" t="s">
        <v>2453</v>
      </c>
      <c r="I1999" s="58" t="s">
        <v>2462</v>
      </c>
    </row>
    <row r="2000" spans="2:9" x14ac:dyDescent="0.35">
      <c r="G2000" s="57" t="s">
        <v>2461</v>
      </c>
    </row>
    <row r="2170" spans="2:9" ht="87" x14ac:dyDescent="0.35">
      <c r="B2170" s="1">
        <v>571</v>
      </c>
      <c r="C2170" s="72" t="s">
        <v>368</v>
      </c>
      <c r="D2170" t="s">
        <v>2377</v>
      </c>
      <c r="E2170" s="56" t="s">
        <v>2457</v>
      </c>
      <c r="F2170" s="56" t="s">
        <v>2458</v>
      </c>
      <c r="G2170" s="57" t="s">
        <v>2459</v>
      </c>
      <c r="H2170" s="58" t="s">
        <v>2455</v>
      </c>
      <c r="I2170" s="58" t="s">
        <v>2463</v>
      </c>
    </row>
    <row r="2171" spans="2:9" x14ac:dyDescent="0.35">
      <c r="G2171" s="57" t="s">
        <v>2454</v>
      </c>
      <c r="H2171" s="58" t="s">
        <v>2456</v>
      </c>
      <c r="I2171" s="58" t="s">
        <v>2464</v>
      </c>
    </row>
    <row r="2172" spans="2:9" x14ac:dyDescent="0.35">
      <c r="G2172" s="57" t="s">
        <v>2460</v>
      </c>
      <c r="H2172" s="58" t="s">
        <v>2453</v>
      </c>
      <c r="I2172" s="58" t="s">
        <v>2462</v>
      </c>
    </row>
    <row r="2173" spans="2:9" x14ac:dyDescent="0.35">
      <c r="G2173" s="57" t="s">
        <v>2461</v>
      </c>
    </row>
  </sheetData>
  <autoFilter ref="B2:AC1053"/>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showGridLines="0" workbookViewId="0">
      <selection activeCell="D8" sqref="D8"/>
    </sheetView>
  </sheetViews>
  <sheetFormatPr defaultRowHeight="14.5" x14ac:dyDescent="0.35"/>
  <cols>
    <col min="1" max="1" width="47.453125" customWidth="1"/>
    <col min="2" max="2" width="30.7265625" customWidth="1"/>
  </cols>
  <sheetData>
    <row r="1" spans="1:2" x14ac:dyDescent="0.35">
      <c r="A1" s="9" t="s">
        <v>2916</v>
      </c>
      <c r="B1" s="9" t="s">
        <v>2917</v>
      </c>
    </row>
    <row r="2" spans="1:2" x14ac:dyDescent="0.35">
      <c r="A2" s="4" t="s">
        <v>2915</v>
      </c>
      <c r="B2" s="4">
        <v>53</v>
      </c>
    </row>
    <row r="3" spans="1:2" x14ac:dyDescent="0.35">
      <c r="A3" s="4" t="s">
        <v>2911</v>
      </c>
      <c r="B3" s="4">
        <v>395</v>
      </c>
    </row>
    <row r="4" spans="1:2" x14ac:dyDescent="0.35">
      <c r="A4" s="4" t="s">
        <v>2912</v>
      </c>
      <c r="B4" s="4">
        <v>239</v>
      </c>
    </row>
    <row r="5" spans="1:2" x14ac:dyDescent="0.35">
      <c r="A5" s="4" t="s">
        <v>2914</v>
      </c>
      <c r="B5" s="4">
        <v>121</v>
      </c>
    </row>
    <row r="6" spans="1:2" x14ac:dyDescent="0.35">
      <c r="A6" s="4" t="s">
        <v>2913</v>
      </c>
      <c r="B6" s="4">
        <v>239</v>
      </c>
    </row>
    <row r="7" spans="1:2" x14ac:dyDescent="0.35">
      <c r="B7" s="66">
        <f>SUM(B2:B6)</f>
        <v>1047</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I689"/>
  <sheetViews>
    <sheetView workbookViewId="0">
      <selection activeCell="FF3" sqref="A3:XFD3"/>
    </sheetView>
  </sheetViews>
  <sheetFormatPr defaultRowHeight="14.5" x14ac:dyDescent="0.35"/>
  <cols>
    <col min="1" max="1" width="5.26953125" bestFit="1" customWidth="1"/>
    <col min="2" max="2" width="7.1796875" bestFit="1" customWidth="1"/>
    <col min="3" max="3" width="52.7265625" bestFit="1" customWidth="1"/>
    <col min="4" max="4" width="4.81640625" bestFit="1" customWidth="1"/>
    <col min="5" max="5" width="8.453125" bestFit="1" customWidth="1"/>
    <col min="6" max="6" width="12" bestFit="1" customWidth="1"/>
    <col min="7" max="7" width="6.453125" bestFit="1" customWidth="1"/>
    <col min="8" max="8" width="10" bestFit="1" customWidth="1"/>
    <col min="9" max="9" width="12.1796875" bestFit="1" customWidth="1"/>
    <col min="10" max="11" width="8" bestFit="1" customWidth="1"/>
    <col min="12" max="12" width="11.453125" bestFit="1" customWidth="1"/>
    <col min="13" max="13" width="7.81640625" bestFit="1" customWidth="1"/>
    <col min="14" max="14" width="8.1796875" bestFit="1" customWidth="1"/>
    <col min="15" max="15" width="12" bestFit="1" customWidth="1"/>
    <col min="16" max="17" width="9.54296875" bestFit="1" customWidth="1"/>
    <col min="18" max="18" width="11.1796875" bestFit="1" customWidth="1"/>
    <col min="19" max="19" width="10.54296875" bestFit="1" customWidth="1"/>
    <col min="20" max="20" width="5" bestFit="1" customWidth="1"/>
    <col min="21" max="21" width="12.81640625" bestFit="1" customWidth="1"/>
    <col min="22" max="22" width="12.26953125" bestFit="1" customWidth="1"/>
    <col min="23" max="23" width="12.81640625" bestFit="1" customWidth="1"/>
    <col min="24" max="25" width="11" bestFit="1" customWidth="1"/>
    <col min="26" max="26" width="12.81640625" bestFit="1" customWidth="1"/>
    <col min="27" max="27" width="12.1796875" bestFit="1" customWidth="1"/>
    <col min="28" max="28" width="13.1796875" bestFit="1" customWidth="1"/>
    <col min="29" max="29" width="12" bestFit="1" customWidth="1"/>
    <col min="30" max="30" width="11.453125" bestFit="1" customWidth="1"/>
    <col min="31" max="31" width="12" bestFit="1" customWidth="1"/>
    <col min="32" max="32" width="12.26953125" bestFit="1" customWidth="1"/>
    <col min="33" max="33" width="12.453125" bestFit="1" customWidth="1"/>
    <col min="34" max="34" width="10" bestFit="1" customWidth="1"/>
    <col min="35" max="35" width="11.453125" bestFit="1" customWidth="1"/>
    <col min="36" max="36" width="7.7265625" bestFit="1" customWidth="1"/>
    <col min="37" max="37" width="10.1796875" bestFit="1" customWidth="1"/>
    <col min="38" max="38" width="12.81640625" bestFit="1" customWidth="1"/>
    <col min="39" max="39" width="12.1796875" bestFit="1" customWidth="1"/>
    <col min="40" max="40" width="11.7265625" bestFit="1" customWidth="1"/>
    <col min="41" max="41" width="10.1796875" bestFit="1" customWidth="1"/>
    <col min="42" max="42" width="7.54296875" bestFit="1" customWidth="1"/>
    <col min="43" max="43" width="7.453125" bestFit="1" customWidth="1"/>
    <col min="44" max="44" width="11.1796875" bestFit="1" customWidth="1"/>
    <col min="45" max="45" width="12.1796875" bestFit="1" customWidth="1"/>
    <col min="46" max="46" width="11.26953125" bestFit="1" customWidth="1"/>
    <col min="47" max="47" width="11.7265625" bestFit="1" customWidth="1"/>
    <col min="48" max="48" width="9.453125" bestFit="1" customWidth="1"/>
    <col min="49" max="49" width="12.1796875" bestFit="1" customWidth="1"/>
    <col min="50" max="50" width="7.54296875" bestFit="1" customWidth="1"/>
    <col min="51" max="51" width="12.26953125" bestFit="1" customWidth="1"/>
    <col min="52" max="52" width="10.81640625" bestFit="1" customWidth="1"/>
    <col min="53" max="53" width="11.453125" bestFit="1" customWidth="1"/>
    <col min="54" max="54" width="10.453125" bestFit="1" customWidth="1"/>
    <col min="55" max="55" width="11.26953125" bestFit="1" customWidth="1"/>
    <col min="56" max="56" width="11.453125" bestFit="1" customWidth="1"/>
    <col min="57" max="57" width="10.81640625" bestFit="1" customWidth="1"/>
    <col min="58" max="58" width="10" bestFit="1" customWidth="1"/>
    <col min="59" max="59" width="11.26953125" bestFit="1" customWidth="1"/>
    <col min="60" max="61" width="10.81640625" bestFit="1" customWidth="1"/>
    <col min="62" max="62" width="12.453125" bestFit="1" customWidth="1"/>
    <col min="63" max="63" width="11.453125" bestFit="1" customWidth="1"/>
    <col min="64" max="64" width="12.453125" bestFit="1" customWidth="1"/>
    <col min="65" max="65" width="11.1796875" bestFit="1" customWidth="1"/>
    <col min="66" max="66" width="12.26953125" bestFit="1" customWidth="1"/>
    <col min="67" max="67" width="12" bestFit="1" customWidth="1"/>
    <col min="68" max="68" width="6.26953125" bestFit="1" customWidth="1"/>
    <col min="69" max="70" width="12.54296875" bestFit="1" customWidth="1"/>
    <col min="71" max="71" width="11.453125" bestFit="1" customWidth="1"/>
    <col min="72" max="72" width="8.7265625" bestFit="1" customWidth="1"/>
    <col min="73" max="73" width="12" bestFit="1" customWidth="1"/>
    <col min="74" max="74" width="12.54296875" bestFit="1" customWidth="1"/>
    <col min="75" max="76" width="11.453125" bestFit="1" customWidth="1"/>
    <col min="77" max="77" width="5.7265625" bestFit="1" customWidth="1"/>
    <col min="78" max="78" width="8.7265625" bestFit="1" customWidth="1"/>
    <col min="79" max="79" width="11.26953125" bestFit="1" customWidth="1"/>
    <col min="80" max="80" width="10.1796875" bestFit="1" customWidth="1"/>
    <col min="81" max="81" width="12" bestFit="1" customWidth="1"/>
    <col min="82" max="82" width="9.453125" bestFit="1" customWidth="1"/>
    <col min="83" max="83" width="12.1796875" bestFit="1" customWidth="1"/>
    <col min="84" max="84" width="8.453125" bestFit="1" customWidth="1"/>
    <col min="85" max="85" width="10.26953125" bestFit="1" customWidth="1"/>
    <col min="86" max="86" width="12.81640625" bestFit="1" customWidth="1"/>
    <col min="87" max="87" width="10.54296875" bestFit="1" customWidth="1"/>
    <col min="88" max="88" width="5.7265625" bestFit="1" customWidth="1"/>
    <col min="89" max="89" width="8.453125" bestFit="1" customWidth="1"/>
    <col min="90" max="90" width="11.26953125" bestFit="1" customWidth="1"/>
    <col min="91" max="91" width="5.54296875" bestFit="1" customWidth="1"/>
    <col min="92" max="92" width="11.7265625" bestFit="1" customWidth="1"/>
    <col min="94" max="94" width="11.7265625" bestFit="1" customWidth="1"/>
    <col min="95" max="95" width="11.81640625" bestFit="1" customWidth="1"/>
    <col min="96" max="96" width="12.26953125" bestFit="1" customWidth="1"/>
    <col min="97" max="97" width="13.26953125" bestFit="1" customWidth="1"/>
    <col min="99" max="100" width="13.1796875" bestFit="1" customWidth="1"/>
    <col min="101" max="101" width="13.26953125" bestFit="1" customWidth="1"/>
    <col min="102" max="102" width="12.26953125" bestFit="1" customWidth="1"/>
    <col min="103" max="103" width="13.1796875" bestFit="1" customWidth="1"/>
    <col min="104" max="104" width="12.453125" bestFit="1" customWidth="1"/>
    <col min="105" max="105" width="11.81640625" bestFit="1" customWidth="1"/>
    <col min="106" max="106" width="12.81640625" bestFit="1" customWidth="1"/>
    <col min="107" max="107" width="11.7265625" bestFit="1" customWidth="1"/>
    <col min="108" max="109" width="12.453125" bestFit="1" customWidth="1"/>
    <col min="110" max="110" width="12.1796875" bestFit="1" customWidth="1"/>
    <col min="111" max="111" width="11.26953125" bestFit="1" customWidth="1"/>
    <col min="112" max="112" width="9.7265625" bestFit="1" customWidth="1"/>
    <col min="113" max="113" width="6.26953125" bestFit="1" customWidth="1"/>
    <col min="114" max="114" width="11" bestFit="1" customWidth="1"/>
    <col min="115" max="115" width="12.54296875" bestFit="1" customWidth="1"/>
    <col min="116" max="116" width="13.7265625" bestFit="1" customWidth="1"/>
    <col min="117" max="117" width="9" bestFit="1" customWidth="1"/>
    <col min="118" max="118" width="12.1796875" bestFit="1" customWidth="1"/>
    <col min="119" max="119" width="11.54296875" bestFit="1" customWidth="1"/>
    <col min="120" max="120" width="12.26953125" bestFit="1" customWidth="1"/>
    <col min="121" max="121" width="12.453125" bestFit="1" customWidth="1"/>
    <col min="122" max="122" width="11.81640625" bestFit="1" customWidth="1"/>
    <col min="123" max="123" width="9.7265625" bestFit="1" customWidth="1"/>
    <col min="124" max="124" width="11.1796875" bestFit="1" customWidth="1"/>
    <col min="125" max="125" width="8.54296875" bestFit="1" customWidth="1"/>
    <col min="126" max="126" width="8.81640625" bestFit="1" customWidth="1"/>
    <col min="127" max="127" width="11.453125" bestFit="1" customWidth="1"/>
    <col min="128" max="128" width="10.81640625" bestFit="1" customWidth="1"/>
    <col min="129" max="129" width="11.453125" bestFit="1" customWidth="1"/>
    <col min="130" max="130" width="12" bestFit="1" customWidth="1"/>
    <col min="131" max="131" width="11.26953125" bestFit="1" customWidth="1"/>
    <col min="132" max="132" width="12.1796875" bestFit="1" customWidth="1"/>
    <col min="133" max="133" width="11.453125" bestFit="1" customWidth="1"/>
    <col min="134" max="134" width="11.81640625" bestFit="1" customWidth="1"/>
    <col min="135" max="135" width="9.26953125" bestFit="1" customWidth="1"/>
    <col min="136" max="136" width="9.7265625" bestFit="1" customWidth="1"/>
    <col min="137" max="137" width="9.81640625" bestFit="1" customWidth="1"/>
    <col min="138" max="138" width="11.26953125" bestFit="1" customWidth="1"/>
    <col min="139" max="139" width="12" bestFit="1" customWidth="1"/>
    <col min="140" max="140" width="11.54296875" bestFit="1" customWidth="1"/>
    <col min="141" max="141" width="13.81640625" bestFit="1" customWidth="1"/>
    <col min="142" max="142" width="12" bestFit="1" customWidth="1"/>
    <col min="143" max="144" width="11.54296875" bestFit="1" customWidth="1"/>
    <col min="145" max="145" width="10.453125" bestFit="1" customWidth="1"/>
    <col min="146" max="146" width="11.26953125" bestFit="1" customWidth="1"/>
    <col min="147" max="147" width="11.7265625" bestFit="1" customWidth="1"/>
    <col min="148" max="148" width="8.26953125" bestFit="1" customWidth="1"/>
    <col min="149" max="149" width="12.1796875" bestFit="1" customWidth="1"/>
    <col min="150" max="150" width="12.7265625" bestFit="1" customWidth="1"/>
    <col min="151" max="151" width="13.453125" bestFit="1" customWidth="1"/>
    <col min="152" max="152" width="12.26953125" bestFit="1" customWidth="1"/>
    <col min="153" max="153" width="10.7265625" bestFit="1" customWidth="1"/>
    <col min="154" max="154" width="12.81640625" bestFit="1" customWidth="1"/>
    <col min="155" max="155" width="12.1796875" bestFit="1" customWidth="1"/>
    <col min="156" max="156" width="11.7265625" bestFit="1" customWidth="1"/>
    <col min="157" max="157" width="10.1796875" bestFit="1" customWidth="1"/>
    <col min="158" max="158" width="11.453125" bestFit="1" customWidth="1"/>
    <col min="159" max="159" width="12.1796875" bestFit="1" customWidth="1"/>
    <col min="160" max="160" width="13.81640625" bestFit="1" customWidth="1"/>
    <col min="161" max="161" width="13.26953125" bestFit="1" customWidth="1"/>
    <col min="162" max="162" width="11" bestFit="1" customWidth="1"/>
    <col min="163" max="163" width="10.453125" bestFit="1" customWidth="1"/>
    <col min="164" max="164" width="13.7265625" bestFit="1" customWidth="1"/>
    <col min="165" max="165" width="11.81640625" bestFit="1" customWidth="1"/>
    <col min="166" max="166" width="11.7265625" bestFit="1" customWidth="1"/>
    <col min="167" max="167" width="12" bestFit="1" customWidth="1"/>
    <col min="168" max="168" width="11.7265625" bestFit="1" customWidth="1"/>
    <col min="169" max="169" width="12.453125" bestFit="1" customWidth="1"/>
    <col min="170" max="170" width="10.81640625" bestFit="1" customWidth="1"/>
    <col min="171" max="171" width="11.26953125" bestFit="1" customWidth="1"/>
    <col min="172" max="172" width="14.1796875" bestFit="1" customWidth="1"/>
    <col min="173" max="173" width="12.1796875" bestFit="1" customWidth="1"/>
    <col min="174" max="174" width="9.7265625" bestFit="1" customWidth="1"/>
    <col min="175" max="175" width="12.81640625" bestFit="1" customWidth="1"/>
    <col min="176" max="176" width="12.1796875" bestFit="1" customWidth="1"/>
    <col min="177" max="177" width="11.453125" bestFit="1" customWidth="1"/>
    <col min="178" max="178" width="10.54296875" bestFit="1" customWidth="1"/>
    <col min="179" max="179" width="9" bestFit="1" customWidth="1"/>
    <col min="180" max="180" width="11.453125" bestFit="1" customWidth="1"/>
    <col min="181" max="181" width="9.81640625" bestFit="1" customWidth="1"/>
    <col min="182" max="182" width="5.7265625" bestFit="1" customWidth="1"/>
    <col min="183" max="183" width="10.54296875" bestFit="1" customWidth="1"/>
    <col min="184" max="184" width="11.81640625" bestFit="1" customWidth="1"/>
    <col min="185" max="185" width="10.1796875" bestFit="1" customWidth="1"/>
    <col min="186" max="186" width="8.7265625" bestFit="1" customWidth="1"/>
    <col min="187" max="187" width="10.453125" bestFit="1" customWidth="1"/>
    <col min="188" max="188" width="11.7265625" bestFit="1" customWidth="1"/>
    <col min="189" max="189" width="10" bestFit="1" customWidth="1"/>
    <col min="190" max="190" width="8.453125" bestFit="1" customWidth="1"/>
    <col min="191" max="191" width="11.7265625" bestFit="1" customWidth="1"/>
    <col min="192" max="192" width="12" bestFit="1" customWidth="1"/>
    <col min="194" max="194" width="12.7265625" bestFit="1" customWidth="1"/>
    <col min="195" max="195" width="11.26953125" bestFit="1" customWidth="1"/>
    <col min="196" max="196" width="8.81640625" bestFit="1" customWidth="1"/>
    <col min="197" max="197" width="12.453125" bestFit="1" customWidth="1"/>
    <col min="198" max="198" width="12.26953125" bestFit="1" customWidth="1"/>
    <col min="199" max="199" width="8.54296875" bestFit="1" customWidth="1"/>
    <col min="200" max="200" width="7.81640625" bestFit="1" customWidth="1"/>
    <col min="201" max="201" width="11.7265625" bestFit="1" customWidth="1"/>
    <col min="202" max="202" width="7.453125" bestFit="1" customWidth="1"/>
    <col min="203" max="203" width="11.453125" bestFit="1" customWidth="1"/>
    <col min="204" max="204" width="9.7265625" bestFit="1" customWidth="1"/>
    <col min="205" max="205" width="12.54296875" bestFit="1" customWidth="1"/>
    <col min="206" max="206" width="12.453125" bestFit="1" customWidth="1"/>
    <col min="207" max="207" width="9.453125" bestFit="1" customWidth="1"/>
    <col min="208" max="208" width="10.26953125" bestFit="1" customWidth="1"/>
    <col min="209" max="209" width="11.26953125" bestFit="1" customWidth="1"/>
    <col min="210" max="210" width="10.453125" bestFit="1" customWidth="1"/>
    <col min="211" max="211" width="11.81640625" bestFit="1" customWidth="1"/>
    <col min="212" max="212" width="11.453125" bestFit="1" customWidth="1"/>
    <col min="213" max="213" width="11.81640625" bestFit="1" customWidth="1"/>
    <col min="214" max="214" width="11.1796875" bestFit="1" customWidth="1"/>
    <col min="215" max="215" width="9.26953125" bestFit="1" customWidth="1"/>
    <col min="216" max="216" width="4" bestFit="1" customWidth="1"/>
    <col min="217" max="217" width="10.26953125" bestFit="1" customWidth="1"/>
    <col min="218" max="218" width="9.7265625" bestFit="1" customWidth="1"/>
    <col min="219" max="219" width="11.453125" bestFit="1" customWidth="1"/>
    <col min="220" max="220" width="9.26953125" bestFit="1" customWidth="1"/>
    <col min="221" max="221" width="21" bestFit="1" customWidth="1"/>
    <col min="222" max="222" width="12" bestFit="1" customWidth="1"/>
    <col min="223" max="223" width="12.26953125" bestFit="1" customWidth="1"/>
    <col min="224" max="224" width="9.7265625" bestFit="1" customWidth="1"/>
    <col min="225" max="225" width="13.26953125" bestFit="1" customWidth="1"/>
    <col min="226" max="226" width="11" bestFit="1" customWidth="1"/>
    <col min="227" max="227" width="12.1796875" bestFit="1" customWidth="1"/>
    <col min="228" max="228" width="12.453125" bestFit="1" customWidth="1"/>
    <col min="229" max="229" width="12" bestFit="1" customWidth="1"/>
    <col min="230" max="230" width="11.7265625" bestFit="1" customWidth="1"/>
    <col min="231" max="231" width="12" bestFit="1" customWidth="1"/>
    <col min="232" max="232" width="13.54296875" bestFit="1" customWidth="1"/>
    <col min="233" max="233" width="13.7265625" bestFit="1" customWidth="1"/>
    <col min="234" max="234" width="10.453125" bestFit="1" customWidth="1"/>
    <col min="235" max="236" width="12.1796875" bestFit="1" customWidth="1"/>
    <col min="237" max="237" width="12" bestFit="1" customWidth="1"/>
    <col min="238" max="238" width="11.54296875" bestFit="1" customWidth="1"/>
    <col min="239" max="239" width="11.7265625" bestFit="1" customWidth="1"/>
    <col min="240" max="240" width="11.453125" bestFit="1" customWidth="1"/>
    <col min="241" max="241" width="13.26953125" bestFit="1" customWidth="1"/>
    <col min="242" max="242" width="12.26953125" bestFit="1" customWidth="1"/>
    <col min="243" max="243" width="12.453125" bestFit="1" customWidth="1"/>
    <col min="244" max="244" width="11.1796875" bestFit="1" customWidth="1"/>
    <col min="245" max="245" width="11.453125" bestFit="1" customWidth="1"/>
    <col min="246" max="246" width="9.7265625" bestFit="1" customWidth="1"/>
    <col min="247" max="249" width="9.81640625" bestFit="1" customWidth="1"/>
    <col min="250" max="250" width="11.453125" bestFit="1" customWidth="1"/>
    <col min="251" max="251" width="11.54296875" bestFit="1" customWidth="1"/>
    <col min="252" max="252" width="10.54296875" bestFit="1" customWidth="1"/>
    <col min="253" max="253" width="10.81640625" bestFit="1" customWidth="1"/>
    <col min="254" max="254" width="11.54296875" bestFit="1" customWidth="1"/>
    <col min="255" max="255" width="3.54296875" bestFit="1" customWidth="1"/>
    <col min="256" max="256" width="10.81640625" bestFit="1" customWidth="1"/>
    <col min="257" max="257" width="7.453125" bestFit="1" customWidth="1"/>
    <col min="258" max="258" width="8.7265625" bestFit="1" customWidth="1"/>
    <col min="259" max="259" width="5.453125" bestFit="1" customWidth="1"/>
    <col min="260" max="260" width="10.81640625" bestFit="1" customWidth="1"/>
    <col min="261" max="261" width="10.54296875" bestFit="1" customWidth="1"/>
    <col min="262" max="262" width="11.26953125" bestFit="1" customWidth="1"/>
    <col min="263" max="263" width="12.54296875" bestFit="1" customWidth="1"/>
    <col min="265" max="265" width="11.26953125" bestFit="1" customWidth="1"/>
    <col min="266" max="266" width="12" bestFit="1" customWidth="1"/>
    <col min="267" max="267" width="11.26953125" bestFit="1" customWidth="1"/>
    <col min="268" max="268" width="12" bestFit="1" customWidth="1"/>
    <col min="269" max="269" width="11.453125" bestFit="1" customWidth="1"/>
    <col min="270" max="270" width="11" bestFit="1" customWidth="1"/>
    <col min="271" max="271" width="12.26953125" bestFit="1" customWidth="1"/>
    <col min="272" max="272" width="10" bestFit="1" customWidth="1"/>
    <col min="273" max="273" width="11.7265625" bestFit="1" customWidth="1"/>
    <col min="274" max="274" width="12" bestFit="1" customWidth="1"/>
    <col min="276" max="276" width="9.26953125" bestFit="1" customWidth="1"/>
    <col min="277" max="277" width="13.1796875" bestFit="1" customWidth="1"/>
    <col min="278" max="278" width="9.54296875" bestFit="1" customWidth="1"/>
    <col min="280" max="280" width="11.7265625" bestFit="1" customWidth="1"/>
    <col min="281" max="281" width="12.81640625" bestFit="1" customWidth="1"/>
    <col min="282" max="282" width="9.81640625" bestFit="1" customWidth="1"/>
    <col min="283" max="284" width="11.54296875" bestFit="1" customWidth="1"/>
    <col min="285" max="285" width="12.7265625" bestFit="1" customWidth="1"/>
    <col min="286" max="286" width="6.54296875" bestFit="1" customWidth="1"/>
    <col min="287" max="287" width="12.1796875" bestFit="1" customWidth="1"/>
    <col min="288" max="288" width="9.453125" bestFit="1" customWidth="1"/>
    <col min="290" max="290" width="8.7265625" bestFit="1" customWidth="1"/>
    <col min="291" max="291" width="7.7265625" bestFit="1" customWidth="1"/>
    <col min="292" max="292" width="8.54296875" bestFit="1" customWidth="1"/>
    <col min="293" max="293" width="9.7265625" bestFit="1" customWidth="1"/>
    <col min="294" max="294" width="11" bestFit="1" customWidth="1"/>
    <col min="295" max="295" width="13.1796875" bestFit="1" customWidth="1"/>
    <col min="296" max="296" width="12.26953125" bestFit="1" customWidth="1"/>
    <col min="297" max="297" width="12.7265625" bestFit="1" customWidth="1"/>
    <col min="298" max="298" width="11.7265625" bestFit="1" customWidth="1"/>
    <col min="299" max="299" width="10.81640625" bestFit="1" customWidth="1"/>
    <col min="300" max="300" width="11.54296875" bestFit="1" customWidth="1"/>
    <col min="301" max="301" width="7.1796875" bestFit="1" customWidth="1"/>
    <col min="302" max="302" width="10.26953125" bestFit="1" customWidth="1"/>
    <col min="303" max="303" width="9.54296875" bestFit="1" customWidth="1"/>
    <col min="304" max="304" width="7.54296875" bestFit="1" customWidth="1"/>
    <col min="306" max="306" width="12.81640625" bestFit="1" customWidth="1"/>
    <col min="307" max="307" width="12.453125" bestFit="1" customWidth="1"/>
    <col min="308" max="308" width="12.7265625" bestFit="1" customWidth="1"/>
    <col min="309" max="309" width="9" bestFit="1" customWidth="1"/>
    <col min="310" max="310" width="12.1796875" bestFit="1" customWidth="1"/>
    <col min="311" max="311" width="10.1796875" bestFit="1" customWidth="1"/>
    <col min="312" max="312" width="11.7265625" bestFit="1" customWidth="1"/>
    <col min="313" max="313" width="12" bestFit="1" customWidth="1"/>
    <col min="314" max="314" width="10.7265625" bestFit="1" customWidth="1"/>
    <col min="315" max="315" width="7.453125" bestFit="1" customWidth="1"/>
    <col min="316" max="316" width="12" bestFit="1" customWidth="1"/>
    <col min="317" max="317" width="5" bestFit="1" customWidth="1"/>
    <col min="318" max="318" width="13.1796875" bestFit="1" customWidth="1"/>
    <col min="319" max="319" width="11.54296875" bestFit="1" customWidth="1"/>
    <col min="320" max="320" width="12.453125" bestFit="1" customWidth="1"/>
    <col min="321" max="321" width="12.26953125" bestFit="1" customWidth="1"/>
  </cols>
  <sheetData>
    <row r="1" spans="1:321" x14ac:dyDescent="0.35">
      <c r="A1" t="s">
        <v>2022</v>
      </c>
    </row>
    <row r="2" spans="1:321" x14ac:dyDescent="0.35">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c r="AP2">
        <v>41</v>
      </c>
      <c r="AQ2">
        <v>42</v>
      </c>
      <c r="AR2">
        <v>43</v>
      </c>
      <c r="AS2">
        <v>44</v>
      </c>
      <c r="AT2">
        <v>45</v>
      </c>
      <c r="AU2">
        <v>46</v>
      </c>
      <c r="AV2">
        <v>47</v>
      </c>
      <c r="AW2">
        <v>48</v>
      </c>
      <c r="AX2">
        <v>49</v>
      </c>
      <c r="AY2">
        <v>50</v>
      </c>
      <c r="AZ2">
        <v>51</v>
      </c>
      <c r="BA2">
        <v>52</v>
      </c>
      <c r="BB2">
        <v>53</v>
      </c>
      <c r="BC2">
        <v>54</v>
      </c>
      <c r="BD2">
        <v>55</v>
      </c>
      <c r="BE2">
        <v>56</v>
      </c>
      <c r="BF2">
        <v>57</v>
      </c>
      <c r="BG2">
        <v>58</v>
      </c>
      <c r="BH2">
        <v>59</v>
      </c>
      <c r="BI2">
        <v>60</v>
      </c>
      <c r="BJ2">
        <v>61</v>
      </c>
      <c r="BK2">
        <v>62</v>
      </c>
      <c r="BL2">
        <v>63</v>
      </c>
      <c r="BM2">
        <v>64</v>
      </c>
      <c r="BN2">
        <v>65</v>
      </c>
      <c r="BO2">
        <v>66</v>
      </c>
      <c r="BP2">
        <v>67</v>
      </c>
      <c r="BQ2">
        <v>68</v>
      </c>
      <c r="BR2">
        <v>69</v>
      </c>
      <c r="BS2">
        <v>70</v>
      </c>
      <c r="BT2">
        <v>71</v>
      </c>
      <c r="BU2">
        <v>72</v>
      </c>
      <c r="BV2">
        <v>73</v>
      </c>
      <c r="BW2">
        <v>74</v>
      </c>
      <c r="BX2">
        <v>75</v>
      </c>
      <c r="BY2">
        <v>76</v>
      </c>
      <c r="BZ2">
        <v>77</v>
      </c>
      <c r="CA2">
        <v>78</v>
      </c>
      <c r="CB2">
        <v>79</v>
      </c>
      <c r="CC2">
        <v>80</v>
      </c>
      <c r="CD2">
        <v>81</v>
      </c>
      <c r="CE2">
        <v>82</v>
      </c>
      <c r="CF2">
        <v>83</v>
      </c>
      <c r="CG2">
        <v>84</v>
      </c>
      <c r="CH2">
        <v>85</v>
      </c>
      <c r="CI2">
        <v>86</v>
      </c>
      <c r="CJ2">
        <v>87</v>
      </c>
      <c r="CK2">
        <v>88</v>
      </c>
      <c r="CL2">
        <v>89</v>
      </c>
      <c r="CM2">
        <v>90</v>
      </c>
      <c r="CN2">
        <v>91</v>
      </c>
      <c r="CO2">
        <v>92</v>
      </c>
      <c r="CP2">
        <v>93</v>
      </c>
      <c r="CQ2">
        <v>94</v>
      </c>
      <c r="CR2">
        <v>95</v>
      </c>
      <c r="CS2">
        <v>96</v>
      </c>
      <c r="CT2">
        <v>97</v>
      </c>
      <c r="CU2">
        <v>98</v>
      </c>
      <c r="CV2">
        <v>99</v>
      </c>
      <c r="CW2">
        <v>100</v>
      </c>
      <c r="CX2">
        <v>101</v>
      </c>
      <c r="CY2">
        <v>102</v>
      </c>
      <c r="CZ2">
        <v>103</v>
      </c>
      <c r="DA2">
        <v>104</v>
      </c>
      <c r="DB2">
        <v>105</v>
      </c>
      <c r="DC2">
        <v>106</v>
      </c>
      <c r="DD2">
        <v>107</v>
      </c>
      <c r="DE2">
        <v>108</v>
      </c>
      <c r="DF2">
        <v>109</v>
      </c>
      <c r="DG2">
        <v>110</v>
      </c>
      <c r="DH2">
        <v>111</v>
      </c>
      <c r="DI2">
        <v>112</v>
      </c>
      <c r="DJ2">
        <v>113</v>
      </c>
      <c r="DK2">
        <v>114</v>
      </c>
      <c r="DL2">
        <v>115</v>
      </c>
      <c r="DM2">
        <v>116</v>
      </c>
      <c r="DN2">
        <v>117</v>
      </c>
      <c r="DO2">
        <v>118</v>
      </c>
      <c r="DP2">
        <v>119</v>
      </c>
      <c r="DQ2">
        <v>120</v>
      </c>
      <c r="DR2">
        <v>121</v>
      </c>
      <c r="DS2">
        <v>122</v>
      </c>
      <c r="DT2">
        <v>123</v>
      </c>
      <c r="DU2">
        <v>124</v>
      </c>
      <c r="DV2">
        <v>125</v>
      </c>
      <c r="DW2">
        <v>126</v>
      </c>
      <c r="DX2">
        <v>127</v>
      </c>
      <c r="DY2">
        <v>128</v>
      </c>
      <c r="DZ2">
        <v>129</v>
      </c>
      <c r="EA2">
        <v>130</v>
      </c>
      <c r="EB2">
        <v>131</v>
      </c>
      <c r="EC2">
        <v>132</v>
      </c>
      <c r="ED2">
        <v>133</v>
      </c>
      <c r="EE2">
        <v>134</v>
      </c>
      <c r="EF2">
        <v>135</v>
      </c>
      <c r="EG2">
        <v>136</v>
      </c>
      <c r="EH2">
        <v>137</v>
      </c>
      <c r="EI2">
        <v>138</v>
      </c>
      <c r="EJ2">
        <v>139</v>
      </c>
      <c r="EK2">
        <v>140</v>
      </c>
      <c r="EL2">
        <v>141</v>
      </c>
      <c r="EM2">
        <v>142</v>
      </c>
      <c r="EN2">
        <v>143</v>
      </c>
      <c r="EO2">
        <v>144</v>
      </c>
      <c r="EP2">
        <v>145</v>
      </c>
      <c r="EQ2">
        <v>146</v>
      </c>
      <c r="ER2">
        <v>147</v>
      </c>
      <c r="ES2">
        <v>148</v>
      </c>
      <c r="ET2">
        <v>149</v>
      </c>
      <c r="EU2">
        <v>150</v>
      </c>
      <c r="EV2">
        <v>151</v>
      </c>
      <c r="EW2">
        <v>152</v>
      </c>
      <c r="EX2">
        <v>153</v>
      </c>
      <c r="EY2">
        <v>154</v>
      </c>
      <c r="EZ2">
        <v>155</v>
      </c>
      <c r="FA2">
        <v>156</v>
      </c>
      <c r="FB2">
        <v>157</v>
      </c>
      <c r="FC2">
        <v>158</v>
      </c>
      <c r="FD2">
        <v>159</v>
      </c>
      <c r="FE2">
        <v>160</v>
      </c>
      <c r="FF2">
        <v>161</v>
      </c>
      <c r="FG2">
        <v>162</v>
      </c>
      <c r="FH2">
        <v>163</v>
      </c>
      <c r="FI2">
        <v>164</v>
      </c>
      <c r="FJ2">
        <v>165</v>
      </c>
      <c r="FK2">
        <v>166</v>
      </c>
      <c r="FL2">
        <v>167</v>
      </c>
      <c r="FM2">
        <v>168</v>
      </c>
      <c r="FN2">
        <v>169</v>
      </c>
      <c r="FO2">
        <v>170</v>
      </c>
      <c r="FP2">
        <v>171</v>
      </c>
      <c r="FQ2">
        <v>172</v>
      </c>
      <c r="FR2">
        <v>173</v>
      </c>
      <c r="FS2">
        <v>174</v>
      </c>
      <c r="FT2">
        <v>175</v>
      </c>
      <c r="FU2">
        <v>176</v>
      </c>
      <c r="FV2">
        <v>177</v>
      </c>
      <c r="FW2">
        <v>178</v>
      </c>
      <c r="FX2">
        <v>179</v>
      </c>
      <c r="FY2">
        <v>180</v>
      </c>
      <c r="FZ2">
        <v>181</v>
      </c>
      <c r="GA2">
        <v>182</v>
      </c>
      <c r="GB2">
        <v>183</v>
      </c>
      <c r="GC2">
        <v>184</v>
      </c>
      <c r="GD2">
        <v>185</v>
      </c>
      <c r="GE2">
        <v>186</v>
      </c>
      <c r="GF2">
        <v>187</v>
      </c>
      <c r="GG2">
        <v>188</v>
      </c>
      <c r="GH2">
        <v>189</v>
      </c>
      <c r="GI2">
        <v>190</v>
      </c>
      <c r="GJ2">
        <v>191</v>
      </c>
      <c r="GK2">
        <v>192</v>
      </c>
      <c r="GL2">
        <v>193</v>
      </c>
      <c r="GM2">
        <v>194</v>
      </c>
      <c r="GN2">
        <v>195</v>
      </c>
      <c r="GO2">
        <v>196</v>
      </c>
      <c r="GP2">
        <v>197</v>
      </c>
      <c r="GQ2">
        <v>198</v>
      </c>
      <c r="GR2">
        <v>199</v>
      </c>
      <c r="GS2">
        <v>200</v>
      </c>
      <c r="GT2">
        <v>201</v>
      </c>
      <c r="GU2">
        <v>202</v>
      </c>
      <c r="GV2">
        <v>203</v>
      </c>
      <c r="GW2">
        <v>204</v>
      </c>
      <c r="GX2">
        <v>205</v>
      </c>
      <c r="GY2">
        <v>206</v>
      </c>
      <c r="GZ2">
        <v>207</v>
      </c>
      <c r="HA2">
        <v>208</v>
      </c>
      <c r="HB2">
        <v>209</v>
      </c>
      <c r="HC2">
        <v>210</v>
      </c>
      <c r="HD2">
        <v>211</v>
      </c>
      <c r="HE2">
        <v>212</v>
      </c>
      <c r="HF2">
        <v>213</v>
      </c>
      <c r="HG2">
        <v>214</v>
      </c>
      <c r="HH2">
        <v>215</v>
      </c>
      <c r="HI2">
        <v>216</v>
      </c>
      <c r="HJ2">
        <v>217</v>
      </c>
      <c r="HK2">
        <v>218</v>
      </c>
      <c r="HL2">
        <v>219</v>
      </c>
      <c r="HM2">
        <v>220</v>
      </c>
      <c r="HN2">
        <v>221</v>
      </c>
      <c r="HO2">
        <v>222</v>
      </c>
      <c r="HP2">
        <v>223</v>
      </c>
      <c r="HQ2">
        <v>224</v>
      </c>
      <c r="HR2">
        <v>225</v>
      </c>
      <c r="HS2">
        <v>226</v>
      </c>
      <c r="HT2">
        <v>227</v>
      </c>
      <c r="HU2">
        <v>228</v>
      </c>
      <c r="HV2">
        <v>229</v>
      </c>
      <c r="HW2">
        <v>230</v>
      </c>
      <c r="HX2">
        <v>231</v>
      </c>
      <c r="HY2">
        <v>232</v>
      </c>
      <c r="HZ2">
        <v>233</v>
      </c>
      <c r="IA2">
        <v>234</v>
      </c>
      <c r="IB2">
        <v>235</v>
      </c>
      <c r="IC2">
        <v>236</v>
      </c>
      <c r="ID2">
        <v>237</v>
      </c>
      <c r="IE2">
        <v>238</v>
      </c>
      <c r="IF2">
        <v>239</v>
      </c>
      <c r="IG2">
        <v>240</v>
      </c>
      <c r="IH2">
        <v>241</v>
      </c>
      <c r="II2">
        <v>242</v>
      </c>
      <c r="IJ2">
        <v>243</v>
      </c>
      <c r="IK2">
        <v>244</v>
      </c>
      <c r="IL2">
        <v>245</v>
      </c>
      <c r="IM2">
        <v>246</v>
      </c>
      <c r="IN2">
        <v>247</v>
      </c>
      <c r="IO2">
        <v>248</v>
      </c>
      <c r="IP2">
        <v>249</v>
      </c>
      <c r="IQ2">
        <v>250</v>
      </c>
      <c r="IR2">
        <v>251</v>
      </c>
      <c r="IS2">
        <v>252</v>
      </c>
      <c r="IT2">
        <v>253</v>
      </c>
      <c r="IU2">
        <v>254</v>
      </c>
      <c r="IV2">
        <v>255</v>
      </c>
      <c r="IW2">
        <v>256</v>
      </c>
      <c r="IX2">
        <v>257</v>
      </c>
      <c r="IY2">
        <v>258</v>
      </c>
      <c r="IZ2">
        <v>259</v>
      </c>
      <c r="JA2">
        <v>260</v>
      </c>
      <c r="JB2">
        <v>261</v>
      </c>
      <c r="JC2">
        <v>262</v>
      </c>
      <c r="JD2">
        <v>263</v>
      </c>
      <c r="JE2">
        <v>264</v>
      </c>
      <c r="JF2">
        <v>265</v>
      </c>
      <c r="JG2">
        <v>266</v>
      </c>
      <c r="JH2">
        <v>267</v>
      </c>
      <c r="JI2">
        <v>268</v>
      </c>
      <c r="JJ2">
        <v>269</v>
      </c>
      <c r="JK2">
        <v>270</v>
      </c>
      <c r="JL2">
        <v>271</v>
      </c>
      <c r="JM2">
        <v>272</v>
      </c>
      <c r="JN2">
        <v>273</v>
      </c>
      <c r="JO2">
        <v>274</v>
      </c>
      <c r="JP2">
        <v>275</v>
      </c>
      <c r="JQ2">
        <v>276</v>
      </c>
      <c r="JR2">
        <v>277</v>
      </c>
      <c r="JS2">
        <v>278</v>
      </c>
      <c r="JT2">
        <v>279</v>
      </c>
      <c r="JU2">
        <v>280</v>
      </c>
      <c r="JV2">
        <v>281</v>
      </c>
      <c r="JW2">
        <v>282</v>
      </c>
      <c r="JX2">
        <v>283</v>
      </c>
      <c r="JY2">
        <v>284</v>
      </c>
      <c r="JZ2">
        <v>285</v>
      </c>
      <c r="KA2">
        <v>286</v>
      </c>
      <c r="KB2">
        <v>287</v>
      </c>
      <c r="KC2">
        <v>288</v>
      </c>
      <c r="KD2">
        <v>289</v>
      </c>
      <c r="KE2">
        <v>290</v>
      </c>
      <c r="KF2">
        <v>291</v>
      </c>
      <c r="KG2">
        <v>292</v>
      </c>
      <c r="KH2">
        <v>293</v>
      </c>
      <c r="KI2">
        <v>294</v>
      </c>
      <c r="KJ2">
        <v>295</v>
      </c>
      <c r="KK2">
        <v>296</v>
      </c>
      <c r="KL2">
        <v>297</v>
      </c>
      <c r="KM2">
        <v>298</v>
      </c>
      <c r="KN2">
        <v>299</v>
      </c>
      <c r="KO2">
        <v>300</v>
      </c>
      <c r="KP2">
        <v>301</v>
      </c>
      <c r="KQ2">
        <v>302</v>
      </c>
      <c r="KR2">
        <v>303</v>
      </c>
      <c r="KS2">
        <v>304</v>
      </c>
      <c r="KT2">
        <v>305</v>
      </c>
      <c r="KU2">
        <v>306</v>
      </c>
      <c r="KV2">
        <v>307</v>
      </c>
      <c r="KW2">
        <v>308</v>
      </c>
      <c r="KX2">
        <v>309</v>
      </c>
      <c r="KY2">
        <v>310</v>
      </c>
      <c r="KZ2">
        <v>311</v>
      </c>
      <c r="LA2">
        <v>312</v>
      </c>
      <c r="LB2">
        <v>313</v>
      </c>
      <c r="LC2">
        <v>314</v>
      </c>
      <c r="LD2">
        <v>315</v>
      </c>
      <c r="LE2">
        <v>316</v>
      </c>
      <c r="LF2">
        <v>317</v>
      </c>
      <c r="LG2">
        <v>318</v>
      </c>
      <c r="LH2">
        <v>319</v>
      </c>
      <c r="LI2">
        <v>320</v>
      </c>
    </row>
    <row r="3" spans="1:321" x14ac:dyDescent="0.35">
      <c r="A3" t="s">
        <v>2023</v>
      </c>
      <c r="B3" t="s">
        <v>2021</v>
      </c>
      <c r="C3" t="s">
        <v>2020</v>
      </c>
      <c r="D3" t="s">
        <v>2019</v>
      </c>
      <c r="E3" t="s">
        <v>3</v>
      </c>
      <c r="F3" t="s">
        <v>2018</v>
      </c>
      <c r="G3" t="s">
        <v>2017</v>
      </c>
      <c r="H3" t="s">
        <v>2016</v>
      </c>
      <c r="I3" t="s">
        <v>987</v>
      </c>
      <c r="J3" t="s">
        <v>2015</v>
      </c>
      <c r="K3" t="s">
        <v>2014</v>
      </c>
      <c r="L3" t="s">
        <v>2013</v>
      </c>
      <c r="M3" t="s">
        <v>988</v>
      </c>
      <c r="N3" t="s">
        <v>2012</v>
      </c>
      <c r="O3" t="s">
        <v>2011</v>
      </c>
      <c r="P3" t="s">
        <v>2010</v>
      </c>
      <c r="Q3" t="s">
        <v>2009</v>
      </c>
      <c r="R3" t="s">
        <v>2008</v>
      </c>
      <c r="S3" t="s">
        <v>2007</v>
      </c>
      <c r="T3" t="s">
        <v>2006</v>
      </c>
      <c r="U3" t="s">
        <v>2005</v>
      </c>
      <c r="V3" t="s">
        <v>2004</v>
      </c>
      <c r="W3" t="s">
        <v>2003</v>
      </c>
      <c r="X3" t="s">
        <v>2002</v>
      </c>
      <c r="Y3" t="s">
        <v>2001</v>
      </c>
      <c r="Z3" t="s">
        <v>2000</v>
      </c>
      <c r="AA3" t="s">
        <v>1999</v>
      </c>
      <c r="AB3" t="s">
        <v>1998</v>
      </c>
      <c r="AC3" t="s">
        <v>1997</v>
      </c>
      <c r="AD3" t="s">
        <v>1996</v>
      </c>
      <c r="AE3" t="s">
        <v>1995</v>
      </c>
      <c r="AF3" t="s">
        <v>1994</v>
      </c>
      <c r="AG3" t="s">
        <v>1993</v>
      </c>
      <c r="AH3" t="s">
        <v>1992</v>
      </c>
      <c r="AI3" t="s">
        <v>1991</v>
      </c>
      <c r="AJ3" t="s">
        <v>1990</v>
      </c>
      <c r="AK3" t="s">
        <v>1989</v>
      </c>
      <c r="AL3" t="s">
        <v>1988</v>
      </c>
      <c r="AM3" t="s">
        <v>1987</v>
      </c>
      <c r="AN3" t="s">
        <v>1986</v>
      </c>
      <c r="AO3" t="s">
        <v>1985</v>
      </c>
      <c r="AP3" t="s">
        <v>1984</v>
      </c>
      <c r="AQ3" t="s">
        <v>1983</v>
      </c>
      <c r="AR3" t="s">
        <v>1982</v>
      </c>
      <c r="AS3" t="s">
        <v>1981</v>
      </c>
      <c r="AT3" t="s">
        <v>1980</v>
      </c>
      <c r="AU3" t="s">
        <v>1979</v>
      </c>
      <c r="AV3" t="s">
        <v>1978</v>
      </c>
      <c r="AW3" t="s">
        <v>1977</v>
      </c>
      <c r="AX3" t="s">
        <v>1976</v>
      </c>
      <c r="AY3" t="s">
        <v>1975</v>
      </c>
      <c r="AZ3" t="s">
        <v>1974</v>
      </c>
      <c r="BA3" t="s">
        <v>1973</v>
      </c>
      <c r="BB3" t="s">
        <v>1972</v>
      </c>
      <c r="BC3" t="s">
        <v>1971</v>
      </c>
      <c r="BD3" t="s">
        <v>1970</v>
      </c>
      <c r="BE3" t="s">
        <v>1969</v>
      </c>
      <c r="BF3" t="s">
        <v>1968</v>
      </c>
      <c r="BG3" t="s">
        <v>1967</v>
      </c>
      <c r="BH3" t="s">
        <v>1966</v>
      </c>
      <c r="BI3" t="s">
        <v>1965</v>
      </c>
      <c r="BJ3" t="s">
        <v>1964</v>
      </c>
      <c r="BK3" t="s">
        <v>1963</v>
      </c>
      <c r="BL3" t="s">
        <v>1962</v>
      </c>
      <c r="BM3" t="s">
        <v>1961</v>
      </c>
      <c r="BN3" t="s">
        <v>1960</v>
      </c>
      <c r="BO3" t="s">
        <v>1959</v>
      </c>
      <c r="BP3" t="s">
        <v>1958</v>
      </c>
      <c r="BQ3" t="s">
        <v>1957</v>
      </c>
      <c r="BR3" t="s">
        <v>1956</v>
      </c>
      <c r="BS3" t="s">
        <v>1955</v>
      </c>
      <c r="BT3" t="s">
        <v>1954</v>
      </c>
      <c r="BU3" t="s">
        <v>1953</v>
      </c>
      <c r="BV3" t="s">
        <v>1952</v>
      </c>
      <c r="BW3" t="s">
        <v>1951</v>
      </c>
      <c r="BX3" t="s">
        <v>1950</v>
      </c>
      <c r="BY3" t="s">
        <v>1949</v>
      </c>
      <c r="BZ3" t="s">
        <v>1948</v>
      </c>
      <c r="CA3" t="s">
        <v>1947</v>
      </c>
      <c r="CB3" t="s">
        <v>1946</v>
      </c>
      <c r="CC3" t="s">
        <v>1945</v>
      </c>
      <c r="CD3" t="s">
        <v>1944</v>
      </c>
      <c r="CE3" t="s">
        <v>1943</v>
      </c>
      <c r="CF3" t="s">
        <v>1942</v>
      </c>
      <c r="CG3" t="s">
        <v>1941</v>
      </c>
      <c r="CH3" t="s">
        <v>1940</v>
      </c>
      <c r="CI3" t="s">
        <v>1939</v>
      </c>
      <c r="CJ3" t="s">
        <v>1938</v>
      </c>
      <c r="CK3" t="s">
        <v>1937</v>
      </c>
      <c r="CL3" t="s">
        <v>1936</v>
      </c>
      <c r="CM3" t="s">
        <v>1935</v>
      </c>
      <c r="CN3" t="s">
        <v>1934</v>
      </c>
      <c r="CO3" t="s">
        <v>1933</v>
      </c>
      <c r="CP3" t="s">
        <v>1932</v>
      </c>
      <c r="CQ3" t="s">
        <v>1931</v>
      </c>
      <c r="CR3" t="s">
        <v>1930</v>
      </c>
      <c r="CS3" t="s">
        <v>1929</v>
      </c>
      <c r="CT3" t="s">
        <v>1928</v>
      </c>
      <c r="CU3" t="s">
        <v>1927</v>
      </c>
      <c r="CV3" t="s">
        <v>1926</v>
      </c>
      <c r="CW3" t="s">
        <v>1925</v>
      </c>
      <c r="CX3" t="s">
        <v>1924</v>
      </c>
      <c r="CY3" t="s">
        <v>1923</v>
      </c>
      <c r="CZ3" t="s">
        <v>1922</v>
      </c>
      <c r="DA3" t="s">
        <v>1921</v>
      </c>
      <c r="DB3" t="s">
        <v>1920</v>
      </c>
      <c r="DC3" t="s">
        <v>1919</v>
      </c>
      <c r="DD3" t="s">
        <v>1918</v>
      </c>
      <c r="DE3" t="s">
        <v>1917</v>
      </c>
      <c r="DF3" t="s">
        <v>1916</v>
      </c>
      <c r="DG3" t="s">
        <v>1915</v>
      </c>
      <c r="DH3" t="s">
        <v>1914</v>
      </c>
      <c r="DI3" t="s">
        <v>1913</v>
      </c>
      <c r="DJ3" t="s">
        <v>1912</v>
      </c>
      <c r="DK3" t="s">
        <v>1911</v>
      </c>
      <c r="DL3" t="s">
        <v>1910</v>
      </c>
      <c r="DM3" t="s">
        <v>1909</v>
      </c>
      <c r="DN3" t="s">
        <v>1908</v>
      </c>
      <c r="DO3" t="s">
        <v>1907</v>
      </c>
      <c r="DP3" t="s">
        <v>1906</v>
      </c>
      <c r="DQ3" t="s">
        <v>1905</v>
      </c>
      <c r="DR3" t="s">
        <v>1904</v>
      </c>
      <c r="DS3" t="s">
        <v>1903</v>
      </c>
      <c r="DT3" t="s">
        <v>1902</v>
      </c>
      <c r="DU3" t="s">
        <v>1901</v>
      </c>
      <c r="DV3" t="s">
        <v>1900</v>
      </c>
      <c r="DW3" t="s">
        <v>1899</v>
      </c>
      <c r="DX3" t="s">
        <v>1898</v>
      </c>
      <c r="DY3" t="s">
        <v>1897</v>
      </c>
      <c r="DZ3" t="s">
        <v>1896</v>
      </c>
      <c r="EA3" t="s">
        <v>1895</v>
      </c>
      <c r="EB3" t="s">
        <v>1894</v>
      </c>
      <c r="EC3" t="s">
        <v>1870</v>
      </c>
      <c r="ED3" t="s">
        <v>1893</v>
      </c>
      <c r="EE3" t="s">
        <v>1892</v>
      </c>
      <c r="EF3" t="s">
        <v>1891</v>
      </c>
      <c r="EG3" t="s">
        <v>1890</v>
      </c>
      <c r="EH3" t="s">
        <v>1889</v>
      </c>
      <c r="EI3" t="s">
        <v>1888</v>
      </c>
      <c r="EJ3" t="s">
        <v>1887</v>
      </c>
      <c r="EK3" t="s">
        <v>1886</v>
      </c>
      <c r="EL3" t="s">
        <v>1885</v>
      </c>
      <c r="EM3" t="s">
        <v>1884</v>
      </c>
      <c r="EN3" t="s">
        <v>1883</v>
      </c>
      <c r="EO3" t="s">
        <v>1882</v>
      </c>
      <c r="EP3" t="s">
        <v>1046</v>
      </c>
      <c r="EQ3" t="s">
        <v>1881</v>
      </c>
      <c r="ER3" t="s">
        <v>1880</v>
      </c>
      <c r="ES3" t="s">
        <v>1879</v>
      </c>
      <c r="ET3" t="s">
        <v>1878</v>
      </c>
      <c r="EU3" t="s">
        <v>1877</v>
      </c>
      <c r="EV3" t="s">
        <v>1876</v>
      </c>
      <c r="EW3" t="s">
        <v>1875</v>
      </c>
      <c r="EX3" t="s">
        <v>1874</v>
      </c>
      <c r="EY3" t="s">
        <v>1873</v>
      </c>
      <c r="EZ3" t="s">
        <v>1872</v>
      </c>
      <c r="FA3" t="s">
        <v>1871</v>
      </c>
      <c r="FB3" t="s">
        <v>1870</v>
      </c>
      <c r="FC3" t="s">
        <v>1869</v>
      </c>
      <c r="FD3" t="s">
        <v>1868</v>
      </c>
      <c r="FE3" t="s">
        <v>1867</v>
      </c>
      <c r="FF3" t="s">
        <v>1866</v>
      </c>
      <c r="FG3" t="s">
        <v>1865</v>
      </c>
      <c r="FH3" t="s">
        <v>1864</v>
      </c>
      <c r="FI3" t="s">
        <v>1863</v>
      </c>
      <c r="FJ3" t="s">
        <v>1862</v>
      </c>
      <c r="FK3" t="s">
        <v>1861</v>
      </c>
      <c r="FL3" t="s">
        <v>1860</v>
      </c>
      <c r="FM3" t="s">
        <v>1859</v>
      </c>
      <c r="FN3" t="s">
        <v>1858</v>
      </c>
      <c r="FO3" t="s">
        <v>1857</v>
      </c>
      <c r="FP3" t="s">
        <v>1856</v>
      </c>
      <c r="FQ3" t="s">
        <v>1855</v>
      </c>
      <c r="FR3" t="s">
        <v>1854</v>
      </c>
      <c r="FS3" t="s">
        <v>1853</v>
      </c>
      <c r="FT3" t="s">
        <v>1852</v>
      </c>
      <c r="FU3" t="s">
        <v>1851</v>
      </c>
      <c r="FV3" t="s">
        <v>1850</v>
      </c>
      <c r="FW3" t="s">
        <v>1849</v>
      </c>
      <c r="FX3" t="s">
        <v>1848</v>
      </c>
      <c r="FY3" t="s">
        <v>1847</v>
      </c>
      <c r="FZ3" t="s">
        <v>1846</v>
      </c>
      <c r="GA3" t="s">
        <v>1845</v>
      </c>
      <c r="GB3" t="s">
        <v>1844</v>
      </c>
      <c r="GC3" t="s">
        <v>1843</v>
      </c>
      <c r="GD3" t="s">
        <v>1842</v>
      </c>
      <c r="GE3" t="s">
        <v>1841</v>
      </c>
      <c r="GF3" t="s">
        <v>1828</v>
      </c>
      <c r="GG3" t="s">
        <v>1840</v>
      </c>
      <c r="GH3" t="s">
        <v>1839</v>
      </c>
      <c r="GI3" t="s">
        <v>1838</v>
      </c>
      <c r="GJ3" t="s">
        <v>1837</v>
      </c>
      <c r="GK3" t="s">
        <v>1836</v>
      </c>
      <c r="GL3" t="s">
        <v>1835</v>
      </c>
      <c r="GM3" t="s">
        <v>1834</v>
      </c>
      <c r="GN3" t="s">
        <v>1833</v>
      </c>
      <c r="GO3" t="s">
        <v>1832</v>
      </c>
      <c r="GP3" t="s">
        <v>1831</v>
      </c>
      <c r="GQ3" t="s">
        <v>1830</v>
      </c>
      <c r="GR3" t="s">
        <v>1829</v>
      </c>
      <c r="GS3" t="s">
        <v>1828</v>
      </c>
      <c r="GT3" t="s">
        <v>1827</v>
      </c>
      <c r="GU3" t="s">
        <v>1826</v>
      </c>
      <c r="GV3" t="s">
        <v>1825</v>
      </c>
      <c r="GW3" t="s">
        <v>1824</v>
      </c>
      <c r="GX3" t="s">
        <v>1823</v>
      </c>
      <c r="GY3" t="s">
        <v>1822</v>
      </c>
      <c r="GZ3" t="s">
        <v>1821</v>
      </c>
      <c r="HA3" t="s">
        <v>1820</v>
      </c>
      <c r="HB3" t="s">
        <v>1819</v>
      </c>
      <c r="HC3" t="s">
        <v>1818</v>
      </c>
      <c r="HD3" t="s">
        <v>1817</v>
      </c>
      <c r="HE3" t="s">
        <v>1816</v>
      </c>
      <c r="HF3" t="s">
        <v>1815</v>
      </c>
      <c r="HG3" t="s">
        <v>985</v>
      </c>
      <c r="HH3" t="s">
        <v>1814</v>
      </c>
      <c r="HI3" t="s">
        <v>1813</v>
      </c>
      <c r="HJ3" t="s">
        <v>1812</v>
      </c>
      <c r="HK3" t="s">
        <v>1811</v>
      </c>
      <c r="HL3" t="s">
        <v>1810</v>
      </c>
      <c r="HM3" t="s">
        <v>1809</v>
      </c>
      <c r="HN3" t="s">
        <v>1808</v>
      </c>
      <c r="HO3" t="s">
        <v>1807</v>
      </c>
      <c r="HP3" t="s">
        <v>1806</v>
      </c>
      <c r="HQ3" t="s">
        <v>1805</v>
      </c>
      <c r="HR3" t="s">
        <v>1804</v>
      </c>
      <c r="HS3" t="s">
        <v>1803</v>
      </c>
      <c r="HT3" t="s">
        <v>1802</v>
      </c>
      <c r="HU3" t="s">
        <v>1801</v>
      </c>
      <c r="HV3" t="s">
        <v>1800</v>
      </c>
      <c r="HW3" t="s">
        <v>1799</v>
      </c>
      <c r="HX3" t="s">
        <v>1798</v>
      </c>
      <c r="HY3" t="s">
        <v>1797</v>
      </c>
      <c r="HZ3" t="s">
        <v>1796</v>
      </c>
      <c r="IA3" t="s">
        <v>1795</v>
      </c>
      <c r="IB3" t="s">
        <v>1794</v>
      </c>
      <c r="IC3" t="s">
        <v>1793</v>
      </c>
      <c r="ID3" t="s">
        <v>1792</v>
      </c>
      <c r="IE3" t="s">
        <v>1791</v>
      </c>
      <c r="IF3" t="s">
        <v>1790</v>
      </c>
      <c r="IG3" t="s">
        <v>1789</v>
      </c>
      <c r="IH3" t="s">
        <v>1788</v>
      </c>
      <c r="II3" t="s">
        <v>1787</v>
      </c>
      <c r="IJ3" t="s">
        <v>1786</v>
      </c>
      <c r="IK3" t="s">
        <v>1785</v>
      </c>
      <c r="IL3" t="s">
        <v>1784</v>
      </c>
      <c r="IM3" t="s">
        <v>1783</v>
      </c>
      <c r="IN3" t="s">
        <v>1782</v>
      </c>
      <c r="IO3" t="s">
        <v>1781</v>
      </c>
      <c r="IP3" t="s">
        <v>1780</v>
      </c>
      <c r="IQ3" t="s">
        <v>1779</v>
      </c>
      <c r="IR3" t="s">
        <v>1778</v>
      </c>
      <c r="IS3" t="s">
        <v>1777</v>
      </c>
      <c r="IT3" t="s">
        <v>1776</v>
      </c>
      <c r="IU3" t="s">
        <v>1775</v>
      </c>
      <c r="IV3" t="s">
        <v>1774</v>
      </c>
      <c r="IW3" t="s">
        <v>1773</v>
      </c>
      <c r="IX3" t="s">
        <v>1772</v>
      </c>
      <c r="IY3" t="s">
        <v>1771</v>
      </c>
      <c r="IZ3" t="s">
        <v>1770</v>
      </c>
      <c r="JA3" t="s">
        <v>1769</v>
      </c>
      <c r="JB3" t="s">
        <v>1768</v>
      </c>
      <c r="JC3" t="s">
        <v>1767</v>
      </c>
      <c r="JD3" t="s">
        <v>1766</v>
      </c>
      <c r="JE3" t="s">
        <v>1765</v>
      </c>
      <c r="JF3" t="s">
        <v>1764</v>
      </c>
      <c r="JG3" t="s">
        <v>1763</v>
      </c>
      <c r="JH3" t="s">
        <v>1762</v>
      </c>
      <c r="JI3" t="s">
        <v>1761</v>
      </c>
      <c r="JJ3" t="s">
        <v>1760</v>
      </c>
      <c r="JK3" t="s">
        <v>1759</v>
      </c>
      <c r="JL3" t="s">
        <v>1758</v>
      </c>
      <c r="JM3" t="s">
        <v>1757</v>
      </c>
      <c r="JN3" t="s">
        <v>1756</v>
      </c>
      <c r="JO3" t="s">
        <v>1755</v>
      </c>
      <c r="JP3" t="s">
        <v>1754</v>
      </c>
      <c r="JQ3" t="s">
        <v>1753</v>
      </c>
      <c r="JR3" t="s">
        <v>1752</v>
      </c>
      <c r="JS3" t="s">
        <v>1751</v>
      </c>
      <c r="JT3" t="s">
        <v>1750</v>
      </c>
      <c r="JU3" t="s">
        <v>1749</v>
      </c>
      <c r="JV3" t="s">
        <v>1748</v>
      </c>
      <c r="JW3" t="s">
        <v>1747</v>
      </c>
      <c r="JX3" t="s">
        <v>1746</v>
      </c>
      <c r="JY3" t="s">
        <v>1745</v>
      </c>
      <c r="JZ3" t="s">
        <v>1744</v>
      </c>
      <c r="KA3" t="s">
        <v>1743</v>
      </c>
      <c r="KB3" t="s">
        <v>1742</v>
      </c>
      <c r="KC3" t="s">
        <v>1741</v>
      </c>
      <c r="KD3" t="s">
        <v>1740</v>
      </c>
      <c r="KE3" t="s">
        <v>1739</v>
      </c>
      <c r="KF3" t="s">
        <v>1738</v>
      </c>
      <c r="KG3" t="s">
        <v>1737</v>
      </c>
      <c r="KH3" t="s">
        <v>1736</v>
      </c>
      <c r="KI3" t="s">
        <v>1735</v>
      </c>
      <c r="KJ3" t="s">
        <v>1734</v>
      </c>
      <c r="KK3" t="s">
        <v>1733</v>
      </c>
      <c r="KL3" t="s">
        <v>1732</v>
      </c>
      <c r="KM3" t="s">
        <v>1731</v>
      </c>
      <c r="KN3" t="s">
        <v>1730</v>
      </c>
      <c r="KO3" t="s">
        <v>1729</v>
      </c>
      <c r="KP3" t="s">
        <v>1728</v>
      </c>
      <c r="KQ3" t="s">
        <v>1727</v>
      </c>
      <c r="KR3" t="s">
        <v>1726</v>
      </c>
      <c r="KS3" t="s">
        <v>1725</v>
      </c>
      <c r="KT3" t="s">
        <v>1724</v>
      </c>
      <c r="KU3" t="s">
        <v>1723</v>
      </c>
      <c r="KV3" t="s">
        <v>1722</v>
      </c>
      <c r="KW3" t="s">
        <v>1721</v>
      </c>
      <c r="KX3" t="s">
        <v>1720</v>
      </c>
      <c r="KY3" t="s">
        <v>1719</v>
      </c>
      <c r="KZ3" t="s">
        <v>1718</v>
      </c>
      <c r="LA3" t="s">
        <v>1717</v>
      </c>
      <c r="LB3" t="s">
        <v>1716</v>
      </c>
      <c r="LC3" t="s">
        <v>1715</v>
      </c>
      <c r="LD3" t="s">
        <v>1714</v>
      </c>
      <c r="LE3" t="s">
        <v>1713</v>
      </c>
      <c r="LF3" t="s">
        <v>1712</v>
      </c>
      <c r="LG3" t="s">
        <v>1711</v>
      </c>
      <c r="LH3" t="s">
        <v>1710</v>
      </c>
      <c r="LI3" t="s">
        <v>1709</v>
      </c>
    </row>
    <row r="4" spans="1:321" x14ac:dyDescent="0.35">
      <c r="A4">
        <v>1</v>
      </c>
      <c r="B4">
        <v>1225</v>
      </c>
      <c r="C4" t="s">
        <v>1035</v>
      </c>
      <c r="D4" t="s">
        <v>1061</v>
      </c>
      <c r="E4" t="s">
        <v>587</v>
      </c>
      <c r="F4">
        <v>1</v>
      </c>
      <c r="G4">
        <v>160</v>
      </c>
      <c r="H4">
        <v>0</v>
      </c>
      <c r="I4" t="s">
        <v>991</v>
      </c>
      <c r="L4">
        <v>0</v>
      </c>
      <c r="M4">
        <v>0</v>
      </c>
      <c r="N4">
        <v>0</v>
      </c>
      <c r="Q4">
        <v>516</v>
      </c>
      <c r="R4">
        <v>0</v>
      </c>
      <c r="S4">
        <v>0</v>
      </c>
      <c r="W4" t="s">
        <v>1060</v>
      </c>
      <c r="X4">
        <v>0</v>
      </c>
      <c r="Z4">
        <v>10</v>
      </c>
      <c r="AA4">
        <v>16.8993</v>
      </c>
      <c r="AB4">
        <v>3178</v>
      </c>
      <c r="AC4">
        <v>0.81189999999999996</v>
      </c>
      <c r="AD4" s="20">
        <v>44614</v>
      </c>
      <c r="AE4">
        <v>1.0309999999999999</v>
      </c>
      <c r="AF4">
        <v>5.0999999999999997E-2</v>
      </c>
      <c r="AH4">
        <v>495</v>
      </c>
      <c r="AJ4">
        <v>1</v>
      </c>
      <c r="AK4" t="s">
        <v>1154</v>
      </c>
      <c r="AL4">
        <v>15710</v>
      </c>
      <c r="AM4">
        <v>90</v>
      </c>
      <c r="AN4">
        <v>11501001</v>
      </c>
      <c r="AO4">
        <v>0</v>
      </c>
      <c r="AP4">
        <v>1001</v>
      </c>
      <c r="AT4">
        <v>1</v>
      </c>
      <c r="AU4" t="s">
        <v>1059</v>
      </c>
      <c r="AV4" t="s">
        <v>1043</v>
      </c>
      <c r="AW4" t="s">
        <v>1053</v>
      </c>
      <c r="AX4">
        <v>0</v>
      </c>
      <c r="AY4" s="20">
        <v>43274</v>
      </c>
      <c r="BA4" s="20">
        <v>44638</v>
      </c>
      <c r="BB4" t="s">
        <v>1058</v>
      </c>
      <c r="BD4">
        <v>0</v>
      </c>
      <c r="BF4" t="s">
        <v>1044</v>
      </c>
      <c r="BG4" s="20">
        <v>42705</v>
      </c>
      <c r="BH4">
        <v>0</v>
      </c>
      <c r="BI4">
        <v>33</v>
      </c>
      <c r="BJ4">
        <v>0</v>
      </c>
      <c r="BK4">
        <v>0</v>
      </c>
      <c r="BM4" s="20">
        <v>42717</v>
      </c>
      <c r="BN4">
        <v>0</v>
      </c>
      <c r="BO4">
        <v>7897801317092</v>
      </c>
      <c r="BR4" t="s">
        <v>1043</v>
      </c>
      <c r="BS4" t="s">
        <v>1043</v>
      </c>
      <c r="BT4" t="s">
        <v>1043</v>
      </c>
      <c r="BV4">
        <v>1</v>
      </c>
      <c r="BW4">
        <v>30</v>
      </c>
      <c r="BY4">
        <v>66</v>
      </c>
      <c r="CA4">
        <v>0</v>
      </c>
      <c r="CB4" t="s">
        <v>1043</v>
      </c>
      <c r="CE4" t="s">
        <v>1043</v>
      </c>
      <c r="CH4" t="s">
        <v>1043</v>
      </c>
      <c r="CI4" t="s">
        <v>1383</v>
      </c>
      <c r="CK4" t="s">
        <v>1152</v>
      </c>
      <c r="CN4" t="s">
        <v>1056</v>
      </c>
      <c r="CP4">
        <v>1</v>
      </c>
      <c r="CQ4">
        <v>0</v>
      </c>
      <c r="CS4">
        <v>0</v>
      </c>
      <c r="CT4">
        <v>0</v>
      </c>
      <c r="CU4">
        <v>0</v>
      </c>
      <c r="CV4" t="s">
        <v>1045</v>
      </c>
      <c r="CW4">
        <v>0</v>
      </c>
      <c r="CX4">
        <v>0</v>
      </c>
      <c r="CY4">
        <v>0</v>
      </c>
      <c r="CZ4">
        <v>0</v>
      </c>
      <c r="DA4">
        <v>106</v>
      </c>
      <c r="DB4">
        <v>0</v>
      </c>
      <c r="DH4">
        <v>0</v>
      </c>
      <c r="DJ4">
        <v>0</v>
      </c>
      <c r="DL4">
        <v>0</v>
      </c>
      <c r="DN4">
        <v>0</v>
      </c>
      <c r="DO4" t="s">
        <v>1042</v>
      </c>
      <c r="DP4">
        <v>0</v>
      </c>
      <c r="DQ4">
        <v>7.6</v>
      </c>
      <c r="DS4">
        <v>0</v>
      </c>
      <c r="DU4">
        <v>1.65</v>
      </c>
      <c r="DW4">
        <v>0</v>
      </c>
      <c r="DY4">
        <v>0</v>
      </c>
      <c r="DZ4">
        <v>0</v>
      </c>
      <c r="EA4">
        <v>0</v>
      </c>
      <c r="EB4">
        <v>17897801317099</v>
      </c>
      <c r="EE4">
        <v>0</v>
      </c>
      <c r="EF4">
        <v>0</v>
      </c>
      <c r="EL4">
        <v>57897801317097</v>
      </c>
      <c r="EN4" t="s">
        <v>1511</v>
      </c>
      <c r="EO4" t="s">
        <v>1044</v>
      </c>
      <c r="ET4">
        <v>0</v>
      </c>
      <c r="EV4">
        <v>0</v>
      </c>
      <c r="EY4" t="s">
        <v>1052</v>
      </c>
      <c r="EZ4">
        <v>0</v>
      </c>
      <c r="FA4" t="s">
        <v>1043</v>
      </c>
      <c r="FB4">
        <v>0</v>
      </c>
      <c r="FC4">
        <v>0</v>
      </c>
      <c r="FD4" t="s">
        <v>1051</v>
      </c>
      <c r="FE4" t="s">
        <v>1050</v>
      </c>
      <c r="FF4">
        <v>0</v>
      </c>
      <c r="FG4" t="s">
        <v>1050</v>
      </c>
      <c r="FH4">
        <v>27897801317096</v>
      </c>
      <c r="FJ4">
        <v>0</v>
      </c>
      <c r="FK4">
        <v>0</v>
      </c>
      <c r="FP4">
        <v>0</v>
      </c>
      <c r="FR4">
        <v>0</v>
      </c>
      <c r="FS4" t="s">
        <v>1043</v>
      </c>
      <c r="FX4" t="s">
        <v>1042</v>
      </c>
      <c r="GA4">
        <v>0</v>
      </c>
      <c r="GB4" t="s">
        <v>1042</v>
      </c>
      <c r="GD4">
        <v>16</v>
      </c>
      <c r="GE4">
        <v>0</v>
      </c>
      <c r="GG4">
        <v>0</v>
      </c>
      <c r="GN4">
        <v>0</v>
      </c>
      <c r="GO4" t="s">
        <v>1049</v>
      </c>
      <c r="GQ4">
        <v>0</v>
      </c>
      <c r="GU4">
        <v>4</v>
      </c>
      <c r="GY4" t="s">
        <v>1045</v>
      </c>
      <c r="HB4">
        <v>0</v>
      </c>
      <c r="HE4">
        <v>0</v>
      </c>
      <c r="HF4">
        <v>0</v>
      </c>
      <c r="HG4">
        <v>8.0199999999999994E-3</v>
      </c>
      <c r="HK4" t="s">
        <v>1042</v>
      </c>
      <c r="HL4" t="s">
        <v>1048</v>
      </c>
      <c r="HM4">
        <v>0</v>
      </c>
      <c r="HN4">
        <v>0</v>
      </c>
      <c r="HO4">
        <v>24</v>
      </c>
      <c r="HP4">
        <v>4.9700000000000001E-2</v>
      </c>
      <c r="HQ4">
        <v>0</v>
      </c>
      <c r="HR4" t="s">
        <v>1042</v>
      </c>
      <c r="HT4">
        <v>0</v>
      </c>
      <c r="HU4">
        <v>0</v>
      </c>
      <c r="HW4">
        <v>0</v>
      </c>
      <c r="HX4">
        <v>9502</v>
      </c>
      <c r="HY4">
        <v>1</v>
      </c>
      <c r="IA4">
        <v>1.03</v>
      </c>
      <c r="IF4">
        <v>1600</v>
      </c>
      <c r="IG4" s="20">
        <v>42709</v>
      </c>
      <c r="IH4" t="s">
        <v>1046</v>
      </c>
      <c r="II4" t="s">
        <v>1042</v>
      </c>
      <c r="IR4" t="s">
        <v>1045</v>
      </c>
      <c r="IT4">
        <v>0</v>
      </c>
      <c r="JE4">
        <v>0</v>
      </c>
      <c r="JF4">
        <v>0</v>
      </c>
      <c r="JI4" t="s">
        <v>1042</v>
      </c>
      <c r="JJ4">
        <v>0</v>
      </c>
      <c r="JK4">
        <v>0</v>
      </c>
      <c r="JL4">
        <v>0</v>
      </c>
      <c r="JM4">
        <v>0</v>
      </c>
      <c r="JT4">
        <v>0</v>
      </c>
      <c r="JU4" t="s">
        <v>1042</v>
      </c>
      <c r="JW4">
        <v>0</v>
      </c>
      <c r="KA4">
        <v>0</v>
      </c>
      <c r="KF4">
        <v>0</v>
      </c>
      <c r="KG4">
        <v>0</v>
      </c>
      <c r="KH4">
        <v>0</v>
      </c>
      <c r="KI4">
        <v>0</v>
      </c>
      <c r="KS4" t="s">
        <v>1041</v>
      </c>
      <c r="KT4">
        <v>0</v>
      </c>
      <c r="KU4">
        <v>0</v>
      </c>
      <c r="KV4">
        <v>0</v>
      </c>
      <c r="KX4">
        <v>0</v>
      </c>
      <c r="KZ4">
        <v>0</v>
      </c>
      <c r="LF4">
        <v>0</v>
      </c>
      <c r="LH4">
        <v>42840</v>
      </c>
      <c r="LI4">
        <v>0</v>
      </c>
    </row>
    <row r="5" spans="1:321" x14ac:dyDescent="0.35">
      <c r="A5">
        <v>1</v>
      </c>
      <c r="B5">
        <v>12250</v>
      </c>
      <c r="C5" t="s">
        <v>1708</v>
      </c>
      <c r="D5" t="s">
        <v>1139</v>
      </c>
      <c r="E5" t="s">
        <v>1165</v>
      </c>
      <c r="F5">
        <v>80</v>
      </c>
      <c r="G5">
        <v>46</v>
      </c>
      <c r="H5">
        <v>0</v>
      </c>
      <c r="I5" t="s">
        <v>1022</v>
      </c>
      <c r="L5">
        <v>0</v>
      </c>
      <c r="M5">
        <v>0</v>
      </c>
      <c r="N5">
        <v>0</v>
      </c>
      <c r="R5">
        <v>0</v>
      </c>
      <c r="S5">
        <v>0</v>
      </c>
      <c r="W5" t="s">
        <v>1060</v>
      </c>
      <c r="X5">
        <v>0</v>
      </c>
      <c r="Z5">
        <v>1</v>
      </c>
      <c r="AA5">
        <v>0</v>
      </c>
      <c r="AB5">
        <v>0</v>
      </c>
      <c r="AC5">
        <v>103.32</v>
      </c>
      <c r="AD5" s="20">
        <v>44635</v>
      </c>
      <c r="AE5">
        <v>113.85</v>
      </c>
      <c r="AF5">
        <v>0</v>
      </c>
      <c r="AH5">
        <v>0</v>
      </c>
      <c r="AJ5">
        <v>0</v>
      </c>
      <c r="AL5">
        <v>1</v>
      </c>
      <c r="AM5">
        <v>0</v>
      </c>
      <c r="AN5">
        <v>16601003</v>
      </c>
      <c r="AO5">
        <v>0</v>
      </c>
      <c r="AP5">
        <v>1000</v>
      </c>
      <c r="AT5">
        <v>0</v>
      </c>
      <c r="AU5" t="s">
        <v>1059</v>
      </c>
      <c r="AW5" t="s">
        <v>1053</v>
      </c>
      <c r="AX5">
        <v>0</v>
      </c>
      <c r="AY5" s="20">
        <v>40777</v>
      </c>
      <c r="BA5" s="20">
        <v>40777</v>
      </c>
      <c r="BB5" t="s">
        <v>1058</v>
      </c>
      <c r="BD5">
        <v>0</v>
      </c>
      <c r="BF5" t="s">
        <v>1043</v>
      </c>
      <c r="BG5" t="s">
        <v>1042</v>
      </c>
      <c r="BH5">
        <v>0</v>
      </c>
      <c r="BI5">
        <v>1</v>
      </c>
      <c r="BJ5">
        <v>0</v>
      </c>
      <c r="BK5">
        <v>0</v>
      </c>
      <c r="BM5" t="s">
        <v>1042</v>
      </c>
      <c r="BN5">
        <v>0</v>
      </c>
      <c r="BO5">
        <v>3457801100052</v>
      </c>
      <c r="BR5" t="s">
        <v>1043</v>
      </c>
      <c r="BS5" t="s">
        <v>1043</v>
      </c>
      <c r="BT5" t="s">
        <v>1043</v>
      </c>
      <c r="BW5">
        <v>83</v>
      </c>
      <c r="CA5">
        <v>0</v>
      </c>
      <c r="CB5" t="s">
        <v>1057</v>
      </c>
      <c r="CE5" t="s">
        <v>1043</v>
      </c>
      <c r="CH5" t="s">
        <v>1043</v>
      </c>
      <c r="CN5" t="s">
        <v>1056</v>
      </c>
      <c r="CO5" t="s">
        <v>1043</v>
      </c>
      <c r="CP5">
        <v>1</v>
      </c>
      <c r="CQ5">
        <v>0</v>
      </c>
      <c r="CS5">
        <v>0</v>
      </c>
      <c r="CT5">
        <v>0</v>
      </c>
      <c r="CU5">
        <v>0</v>
      </c>
      <c r="CV5" t="s">
        <v>1045</v>
      </c>
      <c r="CW5">
        <v>0</v>
      </c>
      <c r="CX5">
        <v>0</v>
      </c>
      <c r="CY5">
        <v>0</v>
      </c>
      <c r="CZ5">
        <v>0</v>
      </c>
      <c r="DB5">
        <v>0</v>
      </c>
      <c r="DC5" t="s">
        <v>1043</v>
      </c>
      <c r="DF5" t="s">
        <v>1055</v>
      </c>
      <c r="DH5">
        <v>0</v>
      </c>
      <c r="DJ5">
        <v>0</v>
      </c>
      <c r="DK5" t="s">
        <v>1053</v>
      </c>
      <c r="DL5">
        <v>0</v>
      </c>
      <c r="DN5">
        <v>0</v>
      </c>
      <c r="DO5" t="s">
        <v>1042</v>
      </c>
      <c r="DP5">
        <v>0</v>
      </c>
      <c r="DQ5">
        <v>0</v>
      </c>
      <c r="DS5">
        <v>0</v>
      </c>
      <c r="DU5">
        <v>0</v>
      </c>
      <c r="DW5">
        <v>0</v>
      </c>
      <c r="DX5" t="s">
        <v>1043</v>
      </c>
      <c r="DY5">
        <v>0</v>
      </c>
      <c r="DZ5">
        <v>0</v>
      </c>
      <c r="EA5">
        <v>0</v>
      </c>
      <c r="ED5" t="s">
        <v>1045</v>
      </c>
      <c r="EE5">
        <v>0</v>
      </c>
      <c r="EF5">
        <v>0</v>
      </c>
      <c r="EQ5" t="s">
        <v>1044</v>
      </c>
      <c r="ES5" t="s">
        <v>1053</v>
      </c>
      <c r="ET5">
        <v>0</v>
      </c>
      <c r="EV5">
        <v>0</v>
      </c>
      <c r="EY5" t="s">
        <v>1052</v>
      </c>
      <c r="EZ5">
        <v>0</v>
      </c>
      <c r="FA5" t="s">
        <v>1043</v>
      </c>
      <c r="FB5">
        <v>0</v>
      </c>
      <c r="FC5">
        <v>0</v>
      </c>
      <c r="FE5" t="s">
        <v>1050</v>
      </c>
      <c r="FF5">
        <v>0</v>
      </c>
      <c r="FG5" t="s">
        <v>1050</v>
      </c>
      <c r="FJ5">
        <v>0</v>
      </c>
      <c r="FK5">
        <v>0</v>
      </c>
      <c r="FP5">
        <v>0</v>
      </c>
      <c r="FR5">
        <v>0</v>
      </c>
      <c r="FS5" t="s">
        <v>1043</v>
      </c>
      <c r="FX5" t="s">
        <v>1042</v>
      </c>
      <c r="FZ5" t="s">
        <v>1048</v>
      </c>
      <c r="GA5">
        <v>0</v>
      </c>
      <c r="GB5" t="s">
        <v>1042</v>
      </c>
      <c r="GE5">
        <v>0</v>
      </c>
      <c r="GG5">
        <v>0</v>
      </c>
      <c r="GN5">
        <v>0</v>
      </c>
      <c r="GO5" t="s">
        <v>1063</v>
      </c>
      <c r="GQ5">
        <v>0</v>
      </c>
      <c r="GU5">
        <v>0</v>
      </c>
      <c r="GY5" t="s">
        <v>1045</v>
      </c>
      <c r="HB5">
        <v>0</v>
      </c>
      <c r="HE5">
        <v>0</v>
      </c>
      <c r="HF5">
        <v>0</v>
      </c>
      <c r="HG5">
        <v>0</v>
      </c>
      <c r="HK5" s="20">
        <v>44627</v>
      </c>
      <c r="HM5" t="s">
        <v>1047</v>
      </c>
      <c r="HN5">
        <v>0</v>
      </c>
      <c r="HP5">
        <v>0</v>
      </c>
      <c r="HQ5">
        <v>0</v>
      </c>
      <c r="HR5" t="s">
        <v>1042</v>
      </c>
      <c r="HS5" t="s">
        <v>1043</v>
      </c>
      <c r="HT5">
        <v>0</v>
      </c>
      <c r="HU5">
        <v>0</v>
      </c>
      <c r="HW5">
        <v>0</v>
      </c>
      <c r="HX5">
        <v>0</v>
      </c>
      <c r="HY5">
        <v>1</v>
      </c>
      <c r="HZ5" t="s">
        <v>1045</v>
      </c>
      <c r="IA5">
        <v>113.85</v>
      </c>
      <c r="IB5" t="s">
        <v>1045</v>
      </c>
      <c r="ID5" t="s">
        <v>1045</v>
      </c>
      <c r="IF5">
        <v>0</v>
      </c>
      <c r="IG5" t="s">
        <v>1042</v>
      </c>
      <c r="II5" t="s">
        <v>1042</v>
      </c>
      <c r="IR5" t="s">
        <v>1045</v>
      </c>
      <c r="IT5">
        <v>0</v>
      </c>
      <c r="IY5" t="s">
        <v>1044</v>
      </c>
      <c r="IZ5" t="s">
        <v>1043</v>
      </c>
      <c r="JC5" t="s">
        <v>1043</v>
      </c>
      <c r="JE5">
        <v>0</v>
      </c>
      <c r="JF5">
        <v>0</v>
      </c>
      <c r="JI5" t="s">
        <v>1042</v>
      </c>
      <c r="JJ5">
        <v>0</v>
      </c>
      <c r="JK5">
        <v>0</v>
      </c>
      <c r="JL5">
        <v>0</v>
      </c>
      <c r="JM5">
        <v>0</v>
      </c>
      <c r="JQ5" t="s">
        <v>1043</v>
      </c>
      <c r="JT5">
        <v>0</v>
      </c>
      <c r="JU5" t="s">
        <v>1042</v>
      </c>
      <c r="JW5">
        <v>0</v>
      </c>
      <c r="KA5">
        <v>0</v>
      </c>
      <c r="KF5">
        <v>0</v>
      </c>
      <c r="KG5">
        <v>0</v>
      </c>
      <c r="KH5">
        <v>0</v>
      </c>
      <c r="KI5">
        <v>0</v>
      </c>
      <c r="KS5" t="s">
        <v>1073</v>
      </c>
      <c r="KT5">
        <v>0</v>
      </c>
      <c r="KU5">
        <v>0</v>
      </c>
      <c r="KV5">
        <v>0</v>
      </c>
      <c r="KX5">
        <v>0</v>
      </c>
      <c r="KZ5">
        <v>0</v>
      </c>
      <c r="LF5">
        <v>0</v>
      </c>
      <c r="LH5">
        <v>0</v>
      </c>
      <c r="LI5">
        <v>0</v>
      </c>
    </row>
    <row r="6" spans="1:321" x14ac:dyDescent="0.35">
      <c r="A6">
        <v>1</v>
      </c>
      <c r="B6">
        <v>12251</v>
      </c>
      <c r="C6" t="s">
        <v>1707</v>
      </c>
      <c r="D6" t="s">
        <v>1139</v>
      </c>
      <c r="E6" t="s">
        <v>1165</v>
      </c>
      <c r="F6">
        <v>80</v>
      </c>
      <c r="G6">
        <v>9000</v>
      </c>
      <c r="H6">
        <v>0</v>
      </c>
      <c r="I6" t="s">
        <v>1050</v>
      </c>
      <c r="L6">
        <v>0</v>
      </c>
      <c r="M6">
        <v>0</v>
      </c>
      <c r="N6">
        <v>0</v>
      </c>
      <c r="R6">
        <v>0</v>
      </c>
      <c r="S6">
        <v>0</v>
      </c>
      <c r="W6" t="s">
        <v>1060</v>
      </c>
      <c r="X6">
        <v>0</v>
      </c>
      <c r="Z6">
        <v>1</v>
      </c>
      <c r="AA6">
        <v>0</v>
      </c>
      <c r="AB6">
        <v>0</v>
      </c>
      <c r="AC6">
        <v>146.4074</v>
      </c>
      <c r="AD6" s="20">
        <v>40777</v>
      </c>
      <c r="AE6">
        <v>102.04</v>
      </c>
      <c r="AF6">
        <v>0</v>
      </c>
      <c r="AH6">
        <v>0</v>
      </c>
      <c r="AJ6">
        <v>0</v>
      </c>
      <c r="AL6">
        <v>0</v>
      </c>
      <c r="AM6">
        <v>0</v>
      </c>
      <c r="AN6">
        <v>16301003</v>
      </c>
      <c r="AO6">
        <v>0</v>
      </c>
      <c r="AP6">
        <v>1001</v>
      </c>
      <c r="AT6">
        <v>0</v>
      </c>
      <c r="AU6" t="s">
        <v>1059</v>
      </c>
      <c r="AW6" t="s">
        <v>1053</v>
      </c>
      <c r="AX6">
        <v>0</v>
      </c>
      <c r="AY6" s="20">
        <v>40777</v>
      </c>
      <c r="BA6" s="20">
        <v>40777</v>
      </c>
      <c r="BB6" t="s">
        <v>1058</v>
      </c>
      <c r="BD6">
        <v>0</v>
      </c>
      <c r="BF6" t="s">
        <v>1043</v>
      </c>
      <c r="BG6" t="s">
        <v>1042</v>
      </c>
      <c r="BH6">
        <v>0</v>
      </c>
      <c r="BI6">
        <v>1</v>
      </c>
      <c r="BJ6">
        <v>0</v>
      </c>
      <c r="BK6">
        <v>0</v>
      </c>
      <c r="BM6" t="s">
        <v>1042</v>
      </c>
      <c r="BN6">
        <v>0</v>
      </c>
      <c r="BR6" t="s">
        <v>1043</v>
      </c>
      <c r="BS6" t="s">
        <v>1043</v>
      </c>
      <c r="BT6" t="s">
        <v>1043</v>
      </c>
      <c r="BW6">
        <v>83</v>
      </c>
      <c r="CA6">
        <v>0</v>
      </c>
      <c r="CB6" t="s">
        <v>1057</v>
      </c>
      <c r="CE6" t="s">
        <v>1043</v>
      </c>
      <c r="CH6" t="s">
        <v>1043</v>
      </c>
      <c r="CN6" t="s">
        <v>1056</v>
      </c>
      <c r="CO6" t="s">
        <v>1043</v>
      </c>
      <c r="CP6">
        <v>1</v>
      </c>
      <c r="CQ6">
        <v>0</v>
      </c>
      <c r="CS6">
        <v>0</v>
      </c>
      <c r="CT6">
        <v>0</v>
      </c>
      <c r="CU6">
        <v>0</v>
      </c>
      <c r="CV6" t="s">
        <v>1045</v>
      </c>
      <c r="CW6">
        <v>0</v>
      </c>
      <c r="CX6">
        <v>0</v>
      </c>
      <c r="CY6">
        <v>0</v>
      </c>
      <c r="CZ6">
        <v>0</v>
      </c>
      <c r="DB6">
        <v>0</v>
      </c>
      <c r="DC6" t="s">
        <v>1043</v>
      </c>
      <c r="DF6" t="s">
        <v>1055</v>
      </c>
      <c r="DH6">
        <v>0</v>
      </c>
      <c r="DJ6">
        <v>0</v>
      </c>
      <c r="DK6" t="s">
        <v>1053</v>
      </c>
      <c r="DL6">
        <v>0</v>
      </c>
      <c r="DN6">
        <v>0</v>
      </c>
      <c r="DO6" t="s">
        <v>1042</v>
      </c>
      <c r="DP6">
        <v>0</v>
      </c>
      <c r="DQ6">
        <v>0</v>
      </c>
      <c r="DS6">
        <v>0</v>
      </c>
      <c r="DU6">
        <v>0</v>
      </c>
      <c r="DW6">
        <v>0</v>
      </c>
      <c r="DX6" t="s">
        <v>1043</v>
      </c>
      <c r="DY6">
        <v>0</v>
      </c>
      <c r="DZ6">
        <v>0</v>
      </c>
      <c r="EA6">
        <v>0</v>
      </c>
      <c r="ED6" t="s">
        <v>1045</v>
      </c>
      <c r="EE6">
        <v>0</v>
      </c>
      <c r="EF6">
        <v>0</v>
      </c>
      <c r="EQ6" t="s">
        <v>1044</v>
      </c>
      <c r="ES6" t="s">
        <v>1053</v>
      </c>
      <c r="ET6">
        <v>0</v>
      </c>
      <c r="EV6">
        <v>0</v>
      </c>
      <c r="EY6" t="s">
        <v>1052</v>
      </c>
      <c r="EZ6">
        <v>0</v>
      </c>
      <c r="FA6" t="s">
        <v>1043</v>
      </c>
      <c r="FB6">
        <v>0</v>
      </c>
      <c r="FC6">
        <v>0</v>
      </c>
      <c r="FE6" t="s">
        <v>1050</v>
      </c>
      <c r="FF6">
        <v>0</v>
      </c>
      <c r="FG6" t="s">
        <v>1050</v>
      </c>
      <c r="FJ6">
        <v>0</v>
      </c>
      <c r="FK6">
        <v>0</v>
      </c>
      <c r="FP6">
        <v>0</v>
      </c>
      <c r="FR6">
        <v>0</v>
      </c>
      <c r="FS6" t="s">
        <v>1043</v>
      </c>
      <c r="FX6" t="s">
        <v>1042</v>
      </c>
      <c r="FZ6" t="s">
        <v>1048</v>
      </c>
      <c r="GA6">
        <v>0</v>
      </c>
      <c r="GB6" t="s">
        <v>1042</v>
      </c>
      <c r="GE6">
        <v>0</v>
      </c>
      <c r="GG6">
        <v>0</v>
      </c>
      <c r="GN6">
        <v>0</v>
      </c>
      <c r="GO6" t="s">
        <v>1063</v>
      </c>
      <c r="GQ6">
        <v>0</v>
      </c>
      <c r="GU6">
        <v>0</v>
      </c>
      <c r="GY6" t="s">
        <v>1045</v>
      </c>
      <c r="HB6">
        <v>0</v>
      </c>
      <c r="HE6">
        <v>0</v>
      </c>
      <c r="HF6">
        <v>0</v>
      </c>
      <c r="HG6">
        <v>0</v>
      </c>
      <c r="HK6" t="s">
        <v>1042</v>
      </c>
      <c r="HM6" t="s">
        <v>1047</v>
      </c>
      <c r="HN6">
        <v>0</v>
      </c>
      <c r="HP6">
        <v>0</v>
      </c>
      <c r="HQ6">
        <v>0</v>
      </c>
      <c r="HR6" t="s">
        <v>1042</v>
      </c>
      <c r="HS6" t="s">
        <v>1043</v>
      </c>
      <c r="HT6">
        <v>0</v>
      </c>
      <c r="HU6">
        <v>0</v>
      </c>
      <c r="HW6">
        <v>0</v>
      </c>
      <c r="HX6">
        <v>0</v>
      </c>
      <c r="HY6">
        <v>0</v>
      </c>
      <c r="HZ6" t="s">
        <v>1045</v>
      </c>
      <c r="IA6">
        <v>0</v>
      </c>
      <c r="IB6" t="s">
        <v>1045</v>
      </c>
      <c r="ID6" t="s">
        <v>1045</v>
      </c>
      <c r="IF6">
        <v>0</v>
      </c>
      <c r="IG6" t="s">
        <v>1042</v>
      </c>
      <c r="II6" t="s">
        <v>1042</v>
      </c>
      <c r="IR6" t="s">
        <v>1045</v>
      </c>
      <c r="IT6">
        <v>0</v>
      </c>
      <c r="IY6" t="s">
        <v>1044</v>
      </c>
      <c r="IZ6" t="s">
        <v>1043</v>
      </c>
      <c r="JC6" t="s">
        <v>1043</v>
      </c>
      <c r="JE6">
        <v>0</v>
      </c>
      <c r="JF6">
        <v>0</v>
      </c>
      <c r="JI6" t="s">
        <v>1042</v>
      </c>
      <c r="JJ6">
        <v>0</v>
      </c>
      <c r="JK6">
        <v>0</v>
      </c>
      <c r="JL6">
        <v>0</v>
      </c>
      <c r="JM6">
        <v>0</v>
      </c>
      <c r="JQ6" t="s">
        <v>1043</v>
      </c>
      <c r="JT6">
        <v>0</v>
      </c>
      <c r="JU6" t="s">
        <v>1042</v>
      </c>
      <c r="JW6">
        <v>0</v>
      </c>
      <c r="KA6">
        <v>0</v>
      </c>
      <c r="KF6">
        <v>0</v>
      </c>
      <c r="KG6">
        <v>0</v>
      </c>
      <c r="KH6">
        <v>0</v>
      </c>
      <c r="KI6">
        <v>0</v>
      </c>
      <c r="KS6" t="s">
        <v>1073</v>
      </c>
      <c r="KT6">
        <v>0</v>
      </c>
      <c r="KU6">
        <v>0</v>
      </c>
      <c r="KV6">
        <v>0</v>
      </c>
      <c r="KX6">
        <v>0</v>
      </c>
      <c r="KZ6">
        <v>0</v>
      </c>
      <c r="LF6">
        <v>0</v>
      </c>
      <c r="LH6">
        <v>0</v>
      </c>
      <c r="LI6">
        <v>0</v>
      </c>
    </row>
    <row r="7" spans="1:321" x14ac:dyDescent="0.35">
      <c r="A7">
        <v>1</v>
      </c>
      <c r="B7">
        <v>12252</v>
      </c>
      <c r="C7" t="s">
        <v>1706</v>
      </c>
      <c r="D7" t="s">
        <v>1139</v>
      </c>
      <c r="E7" t="s">
        <v>85</v>
      </c>
      <c r="F7">
        <v>80</v>
      </c>
      <c r="G7">
        <v>9000</v>
      </c>
      <c r="H7">
        <v>0</v>
      </c>
      <c r="I7" t="s">
        <v>1705</v>
      </c>
      <c r="L7">
        <v>0</v>
      </c>
      <c r="M7">
        <v>0</v>
      </c>
      <c r="N7">
        <v>0</v>
      </c>
      <c r="R7">
        <v>0</v>
      </c>
      <c r="S7">
        <v>0</v>
      </c>
      <c r="W7" t="s">
        <v>1060</v>
      </c>
      <c r="X7">
        <v>0</v>
      </c>
      <c r="Z7">
        <v>1</v>
      </c>
      <c r="AA7">
        <v>0</v>
      </c>
      <c r="AB7">
        <v>0</v>
      </c>
      <c r="AC7">
        <v>275</v>
      </c>
      <c r="AD7" s="20">
        <v>40778</v>
      </c>
      <c r="AE7">
        <v>293.64999999999998</v>
      </c>
      <c r="AF7">
        <v>0</v>
      </c>
      <c r="AH7">
        <v>0</v>
      </c>
      <c r="AJ7">
        <v>0</v>
      </c>
      <c r="AL7">
        <v>0</v>
      </c>
      <c r="AM7">
        <v>0</v>
      </c>
      <c r="AN7">
        <v>16601003</v>
      </c>
      <c r="AO7">
        <v>0</v>
      </c>
      <c r="AP7">
        <v>1000</v>
      </c>
      <c r="AT7">
        <v>0</v>
      </c>
      <c r="AU7" t="s">
        <v>1059</v>
      </c>
      <c r="AW7" t="s">
        <v>1053</v>
      </c>
      <c r="AX7">
        <v>0</v>
      </c>
      <c r="AY7" s="20">
        <v>40778</v>
      </c>
      <c r="BA7" s="20">
        <v>40778</v>
      </c>
      <c r="BB7" t="s">
        <v>1058</v>
      </c>
      <c r="BD7">
        <v>0</v>
      </c>
      <c r="BF7" t="s">
        <v>1043</v>
      </c>
      <c r="BG7" t="s">
        <v>1042</v>
      </c>
      <c r="BH7">
        <v>0</v>
      </c>
      <c r="BI7">
        <v>1</v>
      </c>
      <c r="BJ7">
        <v>0</v>
      </c>
      <c r="BK7">
        <v>0</v>
      </c>
      <c r="BM7" t="s">
        <v>1042</v>
      </c>
      <c r="BN7">
        <v>0</v>
      </c>
      <c r="BR7" t="s">
        <v>1043</v>
      </c>
      <c r="BS7" t="s">
        <v>1043</v>
      </c>
      <c r="BT7" t="s">
        <v>1043</v>
      </c>
      <c r="BW7">
        <v>83</v>
      </c>
      <c r="CA7">
        <v>0</v>
      </c>
      <c r="CB7" t="s">
        <v>1057</v>
      </c>
      <c r="CE7" t="s">
        <v>1043</v>
      </c>
      <c r="CH7" t="s">
        <v>1043</v>
      </c>
      <c r="CN7" t="s">
        <v>1056</v>
      </c>
      <c r="CO7" t="s">
        <v>1043</v>
      </c>
      <c r="CP7">
        <v>1</v>
      </c>
      <c r="CQ7">
        <v>0</v>
      </c>
      <c r="CS7">
        <v>0</v>
      </c>
      <c r="CT7">
        <v>0</v>
      </c>
      <c r="CU7">
        <v>0</v>
      </c>
      <c r="CV7" t="s">
        <v>1045</v>
      </c>
      <c r="CW7">
        <v>0</v>
      </c>
      <c r="CX7">
        <v>0</v>
      </c>
      <c r="CY7">
        <v>0</v>
      </c>
      <c r="CZ7">
        <v>0</v>
      </c>
      <c r="DB7">
        <v>0</v>
      </c>
      <c r="DC7" t="s">
        <v>1043</v>
      </c>
      <c r="DF7" t="s">
        <v>1055</v>
      </c>
      <c r="DH7">
        <v>0</v>
      </c>
      <c r="DJ7">
        <v>0</v>
      </c>
      <c r="DK7" t="s">
        <v>1053</v>
      </c>
      <c r="DL7">
        <v>0</v>
      </c>
      <c r="DN7">
        <v>0</v>
      </c>
      <c r="DO7" t="s">
        <v>1042</v>
      </c>
      <c r="DP7">
        <v>0</v>
      </c>
      <c r="DQ7">
        <v>0</v>
      </c>
      <c r="DS7">
        <v>0</v>
      </c>
      <c r="DU7">
        <v>0</v>
      </c>
      <c r="DW7">
        <v>0</v>
      </c>
      <c r="DX7" t="s">
        <v>1043</v>
      </c>
      <c r="DY7">
        <v>0</v>
      </c>
      <c r="DZ7">
        <v>0</v>
      </c>
      <c r="EA7">
        <v>0</v>
      </c>
      <c r="ED7" t="s">
        <v>1045</v>
      </c>
      <c r="EE7">
        <v>0</v>
      </c>
      <c r="EF7">
        <v>0</v>
      </c>
      <c r="EQ7" t="s">
        <v>1044</v>
      </c>
      <c r="ES7" t="s">
        <v>1053</v>
      </c>
      <c r="ET7">
        <v>0</v>
      </c>
      <c r="EV7">
        <v>0</v>
      </c>
      <c r="EY7" t="s">
        <v>1052</v>
      </c>
      <c r="EZ7">
        <v>0</v>
      </c>
      <c r="FA7" t="s">
        <v>1043</v>
      </c>
      <c r="FB7">
        <v>0</v>
      </c>
      <c r="FC7">
        <v>0</v>
      </c>
      <c r="FE7" t="s">
        <v>1050</v>
      </c>
      <c r="FF7">
        <v>0</v>
      </c>
      <c r="FG7" t="s">
        <v>1050</v>
      </c>
      <c r="FJ7">
        <v>0</v>
      </c>
      <c r="FK7">
        <v>0</v>
      </c>
      <c r="FP7">
        <v>0</v>
      </c>
      <c r="FR7">
        <v>0</v>
      </c>
      <c r="FS7" t="s">
        <v>1043</v>
      </c>
      <c r="FX7" t="s">
        <v>1042</v>
      </c>
      <c r="FZ7" t="s">
        <v>1048</v>
      </c>
      <c r="GA7">
        <v>0</v>
      </c>
      <c r="GB7" t="s">
        <v>1042</v>
      </c>
      <c r="GE7">
        <v>0</v>
      </c>
      <c r="GG7">
        <v>0</v>
      </c>
      <c r="GN7">
        <v>0</v>
      </c>
      <c r="GO7" t="s">
        <v>1063</v>
      </c>
      <c r="GQ7">
        <v>0</v>
      </c>
      <c r="GU7">
        <v>0</v>
      </c>
      <c r="GY7" t="s">
        <v>1045</v>
      </c>
      <c r="HB7">
        <v>0</v>
      </c>
      <c r="HE7">
        <v>0</v>
      </c>
      <c r="HF7">
        <v>0</v>
      </c>
      <c r="HG7">
        <v>0</v>
      </c>
      <c r="HK7" t="s">
        <v>1042</v>
      </c>
      <c r="HM7" t="s">
        <v>1047</v>
      </c>
      <c r="HN7">
        <v>0</v>
      </c>
      <c r="HP7">
        <v>0</v>
      </c>
      <c r="HQ7">
        <v>0</v>
      </c>
      <c r="HR7" t="s">
        <v>1042</v>
      </c>
      <c r="HS7" t="s">
        <v>1043</v>
      </c>
      <c r="HT7">
        <v>0</v>
      </c>
      <c r="HU7">
        <v>0</v>
      </c>
      <c r="HW7">
        <v>0</v>
      </c>
      <c r="HX7">
        <v>0</v>
      </c>
      <c r="HY7">
        <v>0</v>
      </c>
      <c r="HZ7" t="s">
        <v>1045</v>
      </c>
      <c r="IA7">
        <v>0</v>
      </c>
      <c r="IB7" t="s">
        <v>1045</v>
      </c>
      <c r="ID7" t="s">
        <v>1045</v>
      </c>
      <c r="IF7">
        <v>0</v>
      </c>
      <c r="IG7" t="s">
        <v>1042</v>
      </c>
      <c r="II7" t="s">
        <v>1042</v>
      </c>
      <c r="IR7" t="s">
        <v>1045</v>
      </c>
      <c r="IT7">
        <v>0</v>
      </c>
      <c r="IY7" t="s">
        <v>1044</v>
      </c>
      <c r="IZ7" t="s">
        <v>1043</v>
      </c>
      <c r="JC7" t="s">
        <v>1043</v>
      </c>
      <c r="JE7">
        <v>0</v>
      </c>
      <c r="JF7">
        <v>0</v>
      </c>
      <c r="JI7" t="s">
        <v>1042</v>
      </c>
      <c r="JJ7">
        <v>0</v>
      </c>
      <c r="JK7">
        <v>0</v>
      </c>
      <c r="JL7">
        <v>0</v>
      </c>
      <c r="JM7">
        <v>0</v>
      </c>
      <c r="JQ7" t="s">
        <v>1043</v>
      </c>
      <c r="JT7">
        <v>0</v>
      </c>
      <c r="JU7" t="s">
        <v>1042</v>
      </c>
      <c r="JW7">
        <v>0</v>
      </c>
      <c r="KA7">
        <v>0</v>
      </c>
      <c r="KF7">
        <v>0</v>
      </c>
      <c r="KG7">
        <v>0</v>
      </c>
      <c r="KH7">
        <v>0</v>
      </c>
      <c r="KI7">
        <v>0</v>
      </c>
      <c r="KS7" t="s">
        <v>1073</v>
      </c>
      <c r="KT7">
        <v>0</v>
      </c>
      <c r="KU7">
        <v>0</v>
      </c>
      <c r="KV7">
        <v>0</v>
      </c>
      <c r="KX7">
        <v>0</v>
      </c>
      <c r="KZ7">
        <v>0</v>
      </c>
      <c r="LF7">
        <v>0</v>
      </c>
      <c r="LH7">
        <v>0</v>
      </c>
      <c r="LI7">
        <v>0</v>
      </c>
    </row>
    <row r="8" spans="1:321" x14ac:dyDescent="0.35">
      <c r="A8">
        <v>1</v>
      </c>
      <c r="B8">
        <v>12253</v>
      </c>
      <c r="C8" t="s">
        <v>1704</v>
      </c>
      <c r="D8" t="s">
        <v>1139</v>
      </c>
      <c r="E8" t="s">
        <v>85</v>
      </c>
      <c r="F8">
        <v>80</v>
      </c>
      <c r="G8">
        <v>9000</v>
      </c>
      <c r="H8">
        <v>0</v>
      </c>
      <c r="I8" t="s">
        <v>1050</v>
      </c>
      <c r="L8">
        <v>0</v>
      </c>
      <c r="M8">
        <v>0</v>
      </c>
      <c r="N8">
        <v>0</v>
      </c>
      <c r="R8">
        <v>0</v>
      </c>
      <c r="S8">
        <v>0</v>
      </c>
      <c r="W8" t="s">
        <v>1060</v>
      </c>
      <c r="X8">
        <v>0</v>
      </c>
      <c r="Z8">
        <v>1</v>
      </c>
      <c r="AA8">
        <v>0</v>
      </c>
      <c r="AB8">
        <v>0</v>
      </c>
      <c r="AC8">
        <v>0</v>
      </c>
      <c r="AD8" s="20">
        <v>40778</v>
      </c>
      <c r="AE8">
        <v>1</v>
      </c>
      <c r="AF8">
        <v>0</v>
      </c>
      <c r="AH8">
        <v>0</v>
      </c>
      <c r="AJ8">
        <v>0</v>
      </c>
      <c r="AL8">
        <v>0</v>
      </c>
      <c r="AM8">
        <v>0</v>
      </c>
      <c r="AN8">
        <v>16601001</v>
      </c>
      <c r="AO8">
        <v>0</v>
      </c>
      <c r="AP8">
        <v>1000</v>
      </c>
      <c r="AT8">
        <v>0</v>
      </c>
      <c r="AU8" t="s">
        <v>1059</v>
      </c>
      <c r="AW8" t="s">
        <v>1053</v>
      </c>
      <c r="AX8">
        <v>0</v>
      </c>
      <c r="AY8" s="20">
        <v>40778</v>
      </c>
      <c r="BA8" s="20">
        <v>40778</v>
      </c>
      <c r="BB8" t="s">
        <v>1058</v>
      </c>
      <c r="BD8">
        <v>0</v>
      </c>
      <c r="BF8" t="s">
        <v>1043</v>
      </c>
      <c r="BG8" t="s">
        <v>1042</v>
      </c>
      <c r="BH8">
        <v>0</v>
      </c>
      <c r="BI8">
        <v>1</v>
      </c>
      <c r="BJ8">
        <v>0</v>
      </c>
      <c r="BK8">
        <v>0</v>
      </c>
      <c r="BM8" t="s">
        <v>1042</v>
      </c>
      <c r="BN8">
        <v>0</v>
      </c>
      <c r="BR8" t="s">
        <v>1043</v>
      </c>
      <c r="BS8" t="s">
        <v>1043</v>
      </c>
      <c r="BT8" t="s">
        <v>1043</v>
      </c>
      <c r="BW8">
        <v>83</v>
      </c>
      <c r="CA8">
        <v>0</v>
      </c>
      <c r="CB8" t="s">
        <v>1057</v>
      </c>
      <c r="CE8" t="s">
        <v>1043</v>
      </c>
      <c r="CH8" t="s">
        <v>1043</v>
      </c>
      <c r="CN8" t="s">
        <v>1056</v>
      </c>
      <c r="CO8" t="s">
        <v>1043</v>
      </c>
      <c r="CP8">
        <v>1</v>
      </c>
      <c r="CQ8">
        <v>0</v>
      </c>
      <c r="CS8">
        <v>0</v>
      </c>
      <c r="CT8">
        <v>0</v>
      </c>
      <c r="CU8">
        <v>0</v>
      </c>
      <c r="CV8" t="s">
        <v>1045</v>
      </c>
      <c r="CW8">
        <v>0</v>
      </c>
      <c r="CX8">
        <v>0</v>
      </c>
      <c r="CY8">
        <v>0</v>
      </c>
      <c r="CZ8">
        <v>0</v>
      </c>
      <c r="DB8">
        <v>0</v>
      </c>
      <c r="DC8" t="s">
        <v>1043</v>
      </c>
      <c r="DF8" t="s">
        <v>1055</v>
      </c>
      <c r="DH8">
        <v>0</v>
      </c>
      <c r="DJ8">
        <v>0</v>
      </c>
      <c r="DK8" t="s">
        <v>1053</v>
      </c>
      <c r="DL8">
        <v>0</v>
      </c>
      <c r="DN8">
        <v>0</v>
      </c>
      <c r="DO8" t="s">
        <v>1042</v>
      </c>
      <c r="DP8">
        <v>0</v>
      </c>
      <c r="DQ8">
        <v>0</v>
      </c>
      <c r="DS8">
        <v>0</v>
      </c>
      <c r="DU8">
        <v>0</v>
      </c>
      <c r="DW8">
        <v>0</v>
      </c>
      <c r="DX8" t="s">
        <v>1043</v>
      </c>
      <c r="DY8">
        <v>0</v>
      </c>
      <c r="DZ8">
        <v>0</v>
      </c>
      <c r="EA8">
        <v>0</v>
      </c>
      <c r="ED8" t="s">
        <v>1045</v>
      </c>
      <c r="EE8">
        <v>0</v>
      </c>
      <c r="EF8">
        <v>0</v>
      </c>
      <c r="EQ8" t="s">
        <v>1044</v>
      </c>
      <c r="ES8" t="s">
        <v>1053</v>
      </c>
      <c r="ET8">
        <v>0</v>
      </c>
      <c r="EV8">
        <v>0</v>
      </c>
      <c r="EY8" t="s">
        <v>1052</v>
      </c>
      <c r="EZ8">
        <v>0</v>
      </c>
      <c r="FA8" t="s">
        <v>1043</v>
      </c>
      <c r="FB8">
        <v>0</v>
      </c>
      <c r="FC8">
        <v>0</v>
      </c>
      <c r="FE8" t="s">
        <v>1050</v>
      </c>
      <c r="FF8">
        <v>0</v>
      </c>
      <c r="FG8" t="s">
        <v>1050</v>
      </c>
      <c r="FJ8">
        <v>0</v>
      </c>
      <c r="FK8">
        <v>0</v>
      </c>
      <c r="FP8">
        <v>0</v>
      </c>
      <c r="FR8">
        <v>0</v>
      </c>
      <c r="FS8" t="s">
        <v>1043</v>
      </c>
      <c r="FX8" t="s">
        <v>1042</v>
      </c>
      <c r="FZ8" t="s">
        <v>1048</v>
      </c>
      <c r="GA8">
        <v>0</v>
      </c>
      <c r="GB8" t="s">
        <v>1042</v>
      </c>
      <c r="GE8">
        <v>0</v>
      </c>
      <c r="GG8">
        <v>0</v>
      </c>
      <c r="GN8">
        <v>0</v>
      </c>
      <c r="GO8" t="s">
        <v>1063</v>
      </c>
      <c r="GQ8">
        <v>0</v>
      </c>
      <c r="GU8">
        <v>0</v>
      </c>
      <c r="GY8" t="s">
        <v>1045</v>
      </c>
      <c r="HB8">
        <v>0</v>
      </c>
      <c r="HE8">
        <v>0</v>
      </c>
      <c r="HF8">
        <v>0</v>
      </c>
      <c r="HG8">
        <v>0</v>
      </c>
      <c r="HK8" t="s">
        <v>1042</v>
      </c>
      <c r="HM8" t="s">
        <v>1047</v>
      </c>
      <c r="HN8">
        <v>0</v>
      </c>
      <c r="HP8">
        <v>0</v>
      </c>
      <c r="HQ8">
        <v>0</v>
      </c>
      <c r="HR8" t="s">
        <v>1042</v>
      </c>
      <c r="HS8" t="s">
        <v>1043</v>
      </c>
      <c r="HT8">
        <v>0</v>
      </c>
      <c r="HU8">
        <v>0</v>
      </c>
      <c r="HW8">
        <v>0</v>
      </c>
      <c r="HX8">
        <v>0</v>
      </c>
      <c r="HY8">
        <v>0</v>
      </c>
      <c r="HZ8" t="s">
        <v>1045</v>
      </c>
      <c r="IA8">
        <v>0</v>
      </c>
      <c r="IB8" t="s">
        <v>1045</v>
      </c>
      <c r="ID8" t="s">
        <v>1045</v>
      </c>
      <c r="IF8">
        <v>0</v>
      </c>
      <c r="IG8" t="s">
        <v>1042</v>
      </c>
      <c r="II8" t="s">
        <v>1042</v>
      </c>
      <c r="IR8" t="s">
        <v>1045</v>
      </c>
      <c r="IT8">
        <v>0</v>
      </c>
      <c r="IY8" t="s">
        <v>1044</v>
      </c>
      <c r="IZ8" t="s">
        <v>1043</v>
      </c>
      <c r="JC8" t="s">
        <v>1043</v>
      </c>
      <c r="JE8">
        <v>0</v>
      </c>
      <c r="JF8">
        <v>0</v>
      </c>
      <c r="JI8" t="s">
        <v>1042</v>
      </c>
      <c r="JJ8">
        <v>0</v>
      </c>
      <c r="JK8">
        <v>0</v>
      </c>
      <c r="JL8">
        <v>0</v>
      </c>
      <c r="JM8">
        <v>0</v>
      </c>
      <c r="JQ8" t="s">
        <v>1043</v>
      </c>
      <c r="JT8">
        <v>0</v>
      </c>
      <c r="JU8" t="s">
        <v>1042</v>
      </c>
      <c r="JW8">
        <v>0</v>
      </c>
      <c r="KA8">
        <v>0</v>
      </c>
      <c r="KF8">
        <v>0</v>
      </c>
      <c r="KG8">
        <v>0</v>
      </c>
      <c r="KH8">
        <v>0</v>
      </c>
      <c r="KI8">
        <v>0</v>
      </c>
      <c r="KS8" t="s">
        <v>1073</v>
      </c>
      <c r="KT8">
        <v>0</v>
      </c>
      <c r="KU8">
        <v>0</v>
      </c>
      <c r="KV8">
        <v>0</v>
      </c>
      <c r="KX8">
        <v>0</v>
      </c>
      <c r="KZ8">
        <v>0</v>
      </c>
      <c r="LF8">
        <v>0</v>
      </c>
      <c r="LH8">
        <v>0</v>
      </c>
      <c r="LI8">
        <v>0</v>
      </c>
    </row>
    <row r="9" spans="1:321" x14ac:dyDescent="0.35">
      <c r="A9">
        <v>1</v>
      </c>
      <c r="B9">
        <v>12254</v>
      </c>
      <c r="C9" t="s">
        <v>1703</v>
      </c>
      <c r="D9" t="s">
        <v>1139</v>
      </c>
      <c r="E9" t="s">
        <v>85</v>
      </c>
      <c r="F9">
        <v>80</v>
      </c>
      <c r="G9">
        <v>9000</v>
      </c>
      <c r="H9">
        <v>0</v>
      </c>
      <c r="I9" t="s">
        <v>1050</v>
      </c>
      <c r="L9">
        <v>0</v>
      </c>
      <c r="M9">
        <v>0</v>
      </c>
      <c r="N9">
        <v>0</v>
      </c>
      <c r="R9">
        <v>0</v>
      </c>
      <c r="S9">
        <v>0</v>
      </c>
      <c r="W9" t="s">
        <v>1060</v>
      </c>
      <c r="X9">
        <v>0</v>
      </c>
      <c r="Z9">
        <v>1</v>
      </c>
      <c r="AA9">
        <v>0</v>
      </c>
      <c r="AB9">
        <v>0</v>
      </c>
      <c r="AC9">
        <v>0</v>
      </c>
      <c r="AD9" s="20">
        <v>40778</v>
      </c>
      <c r="AE9">
        <v>1</v>
      </c>
      <c r="AF9">
        <v>0</v>
      </c>
      <c r="AH9">
        <v>0</v>
      </c>
      <c r="AJ9">
        <v>0</v>
      </c>
      <c r="AL9">
        <v>0</v>
      </c>
      <c r="AM9">
        <v>0</v>
      </c>
      <c r="AN9">
        <v>16601001</v>
      </c>
      <c r="AO9">
        <v>0</v>
      </c>
      <c r="AP9">
        <v>1000</v>
      </c>
      <c r="AT9">
        <v>0</v>
      </c>
      <c r="AU9" t="s">
        <v>1059</v>
      </c>
      <c r="AW9" t="s">
        <v>1053</v>
      </c>
      <c r="AX9">
        <v>0</v>
      </c>
      <c r="AY9" s="20">
        <v>40778</v>
      </c>
      <c r="BA9" s="20">
        <v>40778</v>
      </c>
      <c r="BB9" t="s">
        <v>1058</v>
      </c>
      <c r="BD9">
        <v>0</v>
      </c>
      <c r="BF9" t="s">
        <v>1043</v>
      </c>
      <c r="BG9" t="s">
        <v>1042</v>
      </c>
      <c r="BH9">
        <v>0</v>
      </c>
      <c r="BI9">
        <v>1</v>
      </c>
      <c r="BJ9">
        <v>0</v>
      </c>
      <c r="BK9">
        <v>0</v>
      </c>
      <c r="BM9" t="s">
        <v>1042</v>
      </c>
      <c r="BN9">
        <v>0</v>
      </c>
      <c r="BR9" t="s">
        <v>1043</v>
      </c>
      <c r="BS9" t="s">
        <v>1043</v>
      </c>
      <c r="BT9" t="s">
        <v>1043</v>
      </c>
      <c r="BW9">
        <v>83</v>
      </c>
      <c r="CA9">
        <v>0</v>
      </c>
      <c r="CB9" t="s">
        <v>1057</v>
      </c>
      <c r="CE9" t="s">
        <v>1043</v>
      </c>
      <c r="CH9" t="s">
        <v>1043</v>
      </c>
      <c r="CN9" t="s">
        <v>1056</v>
      </c>
      <c r="CO9" t="s">
        <v>1043</v>
      </c>
      <c r="CP9">
        <v>1</v>
      </c>
      <c r="CQ9">
        <v>0</v>
      </c>
      <c r="CS9">
        <v>0</v>
      </c>
      <c r="CT9">
        <v>0</v>
      </c>
      <c r="CU9">
        <v>0</v>
      </c>
      <c r="CV9" t="s">
        <v>1045</v>
      </c>
      <c r="CW9">
        <v>0</v>
      </c>
      <c r="CX9">
        <v>0</v>
      </c>
      <c r="CY9">
        <v>0</v>
      </c>
      <c r="CZ9">
        <v>0</v>
      </c>
      <c r="DB9">
        <v>0</v>
      </c>
      <c r="DC9" t="s">
        <v>1043</v>
      </c>
      <c r="DF9" t="s">
        <v>1055</v>
      </c>
      <c r="DH9">
        <v>0</v>
      </c>
      <c r="DJ9">
        <v>0</v>
      </c>
      <c r="DK9" t="s">
        <v>1053</v>
      </c>
      <c r="DL9">
        <v>0</v>
      </c>
      <c r="DN9">
        <v>0</v>
      </c>
      <c r="DO9" t="s">
        <v>1042</v>
      </c>
      <c r="DP9">
        <v>0</v>
      </c>
      <c r="DQ9">
        <v>0</v>
      </c>
      <c r="DS9">
        <v>0</v>
      </c>
      <c r="DU9">
        <v>0</v>
      </c>
      <c r="DW9">
        <v>0</v>
      </c>
      <c r="DX9" t="s">
        <v>1043</v>
      </c>
      <c r="DY9">
        <v>0</v>
      </c>
      <c r="DZ9">
        <v>0</v>
      </c>
      <c r="EA9">
        <v>0</v>
      </c>
      <c r="ED9" t="s">
        <v>1045</v>
      </c>
      <c r="EE9">
        <v>0</v>
      </c>
      <c r="EF9">
        <v>0</v>
      </c>
      <c r="EQ9" t="s">
        <v>1044</v>
      </c>
      <c r="ES9" t="s">
        <v>1053</v>
      </c>
      <c r="ET9">
        <v>0</v>
      </c>
      <c r="EV9">
        <v>0</v>
      </c>
      <c r="EY9" t="s">
        <v>1052</v>
      </c>
      <c r="EZ9">
        <v>0</v>
      </c>
      <c r="FA9" t="s">
        <v>1043</v>
      </c>
      <c r="FB9">
        <v>0</v>
      </c>
      <c r="FC9">
        <v>0</v>
      </c>
      <c r="FE9" t="s">
        <v>1050</v>
      </c>
      <c r="FF9">
        <v>0</v>
      </c>
      <c r="FG9" t="s">
        <v>1050</v>
      </c>
      <c r="FJ9">
        <v>0</v>
      </c>
      <c r="FK9">
        <v>0</v>
      </c>
      <c r="FP9">
        <v>0</v>
      </c>
      <c r="FR9">
        <v>0</v>
      </c>
      <c r="FS9" t="s">
        <v>1043</v>
      </c>
      <c r="FX9" t="s">
        <v>1042</v>
      </c>
      <c r="FZ9" t="s">
        <v>1048</v>
      </c>
      <c r="GA9">
        <v>0</v>
      </c>
      <c r="GB9" t="s">
        <v>1042</v>
      </c>
      <c r="GE9">
        <v>0</v>
      </c>
      <c r="GG9">
        <v>0</v>
      </c>
      <c r="GN9">
        <v>0</v>
      </c>
      <c r="GO9" t="s">
        <v>1063</v>
      </c>
      <c r="GQ9">
        <v>0</v>
      </c>
      <c r="GU9">
        <v>0</v>
      </c>
      <c r="GY9" t="s">
        <v>1045</v>
      </c>
      <c r="HB9">
        <v>0</v>
      </c>
      <c r="HE9">
        <v>0</v>
      </c>
      <c r="HF9">
        <v>0</v>
      </c>
      <c r="HG9">
        <v>0</v>
      </c>
      <c r="HK9" t="s">
        <v>1042</v>
      </c>
      <c r="HM9" t="s">
        <v>1047</v>
      </c>
      <c r="HN9">
        <v>0</v>
      </c>
      <c r="HP9">
        <v>0</v>
      </c>
      <c r="HQ9">
        <v>0</v>
      </c>
      <c r="HR9" t="s">
        <v>1042</v>
      </c>
      <c r="HS9" t="s">
        <v>1043</v>
      </c>
      <c r="HT9">
        <v>0</v>
      </c>
      <c r="HU9">
        <v>0</v>
      </c>
      <c r="HW9">
        <v>0</v>
      </c>
      <c r="HX9">
        <v>0</v>
      </c>
      <c r="HY9">
        <v>0</v>
      </c>
      <c r="HZ9" t="s">
        <v>1045</v>
      </c>
      <c r="IA9">
        <v>0</v>
      </c>
      <c r="IB9" t="s">
        <v>1045</v>
      </c>
      <c r="ID9" t="s">
        <v>1045</v>
      </c>
      <c r="IF9">
        <v>0</v>
      </c>
      <c r="IG9" t="s">
        <v>1042</v>
      </c>
      <c r="II9" t="s">
        <v>1042</v>
      </c>
      <c r="IR9" t="s">
        <v>1045</v>
      </c>
      <c r="IT9">
        <v>0</v>
      </c>
      <c r="IY9" t="s">
        <v>1044</v>
      </c>
      <c r="IZ9" t="s">
        <v>1043</v>
      </c>
      <c r="JC9" t="s">
        <v>1043</v>
      </c>
      <c r="JE9">
        <v>0</v>
      </c>
      <c r="JF9">
        <v>0</v>
      </c>
      <c r="JI9" t="s">
        <v>1042</v>
      </c>
      <c r="JJ9">
        <v>0</v>
      </c>
      <c r="JK9">
        <v>0</v>
      </c>
      <c r="JL9">
        <v>0</v>
      </c>
      <c r="JM9">
        <v>0</v>
      </c>
      <c r="JQ9" t="s">
        <v>1043</v>
      </c>
      <c r="JT9">
        <v>0</v>
      </c>
      <c r="JU9" t="s">
        <v>1042</v>
      </c>
      <c r="JW9">
        <v>0</v>
      </c>
      <c r="KA9">
        <v>0</v>
      </c>
      <c r="KF9">
        <v>0</v>
      </c>
      <c r="KG9">
        <v>0</v>
      </c>
      <c r="KH9">
        <v>0</v>
      </c>
      <c r="KI9">
        <v>0</v>
      </c>
      <c r="KS9" t="s">
        <v>1073</v>
      </c>
      <c r="KT9">
        <v>0</v>
      </c>
      <c r="KU9">
        <v>0</v>
      </c>
      <c r="KV9">
        <v>0</v>
      </c>
      <c r="KX9">
        <v>0</v>
      </c>
      <c r="KZ9">
        <v>0</v>
      </c>
      <c r="LF9">
        <v>0</v>
      </c>
      <c r="LH9">
        <v>0</v>
      </c>
      <c r="LI9">
        <v>0</v>
      </c>
    </row>
    <row r="10" spans="1:321" x14ac:dyDescent="0.35">
      <c r="A10">
        <v>1</v>
      </c>
      <c r="B10">
        <v>12255</v>
      </c>
      <c r="C10" t="s">
        <v>1702</v>
      </c>
      <c r="D10" t="s">
        <v>1139</v>
      </c>
      <c r="E10" t="s">
        <v>85</v>
      </c>
      <c r="F10">
        <v>80</v>
      </c>
      <c r="G10">
        <v>9000</v>
      </c>
      <c r="H10">
        <v>0</v>
      </c>
      <c r="I10" t="s">
        <v>1050</v>
      </c>
      <c r="L10">
        <v>0</v>
      </c>
      <c r="M10">
        <v>0</v>
      </c>
      <c r="N10">
        <v>0</v>
      </c>
      <c r="R10">
        <v>0</v>
      </c>
      <c r="S10">
        <v>0</v>
      </c>
      <c r="W10" t="s">
        <v>1060</v>
      </c>
      <c r="X10">
        <v>0</v>
      </c>
      <c r="Z10">
        <v>1</v>
      </c>
      <c r="AA10">
        <v>0</v>
      </c>
      <c r="AB10">
        <v>0</v>
      </c>
      <c r="AC10">
        <v>58600</v>
      </c>
      <c r="AD10" s="20">
        <v>40778</v>
      </c>
      <c r="AE10">
        <v>1</v>
      </c>
      <c r="AF10">
        <v>0</v>
      </c>
      <c r="AH10">
        <v>0</v>
      </c>
      <c r="AJ10">
        <v>0</v>
      </c>
      <c r="AL10">
        <v>0</v>
      </c>
      <c r="AM10">
        <v>0</v>
      </c>
      <c r="AN10">
        <v>16601001</v>
      </c>
      <c r="AO10">
        <v>0</v>
      </c>
      <c r="AP10">
        <v>1000</v>
      </c>
      <c r="AT10">
        <v>0</v>
      </c>
      <c r="AU10" t="s">
        <v>1059</v>
      </c>
      <c r="AW10" t="s">
        <v>1053</v>
      </c>
      <c r="AX10">
        <v>0</v>
      </c>
      <c r="AY10" s="20">
        <v>40778</v>
      </c>
      <c r="BA10" s="20">
        <v>40778</v>
      </c>
      <c r="BB10" t="s">
        <v>1058</v>
      </c>
      <c r="BD10">
        <v>0</v>
      </c>
      <c r="BF10" t="s">
        <v>1043</v>
      </c>
      <c r="BG10" t="s">
        <v>1042</v>
      </c>
      <c r="BH10">
        <v>0</v>
      </c>
      <c r="BI10">
        <v>1</v>
      </c>
      <c r="BJ10">
        <v>0</v>
      </c>
      <c r="BK10">
        <v>0</v>
      </c>
      <c r="BM10" t="s">
        <v>1042</v>
      </c>
      <c r="BN10">
        <v>0</v>
      </c>
      <c r="BR10" t="s">
        <v>1043</v>
      </c>
      <c r="BS10" t="s">
        <v>1043</v>
      </c>
      <c r="BT10" t="s">
        <v>1043</v>
      </c>
      <c r="BW10">
        <v>83</v>
      </c>
      <c r="CA10">
        <v>0</v>
      </c>
      <c r="CB10" t="s">
        <v>1057</v>
      </c>
      <c r="CE10" t="s">
        <v>1043</v>
      </c>
      <c r="CH10" t="s">
        <v>1043</v>
      </c>
      <c r="CN10" t="s">
        <v>1056</v>
      </c>
      <c r="CO10" t="s">
        <v>1043</v>
      </c>
      <c r="CP10">
        <v>1</v>
      </c>
      <c r="CQ10">
        <v>0</v>
      </c>
      <c r="CS10">
        <v>0</v>
      </c>
      <c r="CT10">
        <v>0</v>
      </c>
      <c r="CU10">
        <v>0</v>
      </c>
      <c r="CV10" t="s">
        <v>1045</v>
      </c>
      <c r="CW10">
        <v>0</v>
      </c>
      <c r="CX10">
        <v>0</v>
      </c>
      <c r="CY10">
        <v>0</v>
      </c>
      <c r="CZ10">
        <v>0</v>
      </c>
      <c r="DB10">
        <v>0</v>
      </c>
      <c r="DC10" t="s">
        <v>1043</v>
      </c>
      <c r="DF10" t="s">
        <v>1055</v>
      </c>
      <c r="DH10">
        <v>0</v>
      </c>
      <c r="DJ10">
        <v>0</v>
      </c>
      <c r="DK10" t="s">
        <v>1053</v>
      </c>
      <c r="DL10">
        <v>0</v>
      </c>
      <c r="DN10">
        <v>0</v>
      </c>
      <c r="DO10" t="s">
        <v>1042</v>
      </c>
      <c r="DP10">
        <v>0</v>
      </c>
      <c r="DQ10">
        <v>0</v>
      </c>
      <c r="DS10">
        <v>0</v>
      </c>
      <c r="DU10">
        <v>0</v>
      </c>
      <c r="DW10">
        <v>0</v>
      </c>
      <c r="DX10" t="s">
        <v>1043</v>
      </c>
      <c r="DY10">
        <v>0</v>
      </c>
      <c r="DZ10">
        <v>0</v>
      </c>
      <c r="EA10">
        <v>0</v>
      </c>
      <c r="ED10" t="s">
        <v>1045</v>
      </c>
      <c r="EE10">
        <v>0</v>
      </c>
      <c r="EF10">
        <v>0</v>
      </c>
      <c r="EQ10" t="s">
        <v>1044</v>
      </c>
      <c r="ES10" t="s">
        <v>1053</v>
      </c>
      <c r="ET10">
        <v>0</v>
      </c>
      <c r="EV10">
        <v>0</v>
      </c>
      <c r="EY10" t="s">
        <v>1052</v>
      </c>
      <c r="EZ10">
        <v>0</v>
      </c>
      <c r="FA10" t="s">
        <v>1043</v>
      </c>
      <c r="FB10">
        <v>0</v>
      </c>
      <c r="FC10">
        <v>0</v>
      </c>
      <c r="FE10" t="s">
        <v>1050</v>
      </c>
      <c r="FF10">
        <v>0</v>
      </c>
      <c r="FG10" t="s">
        <v>1050</v>
      </c>
      <c r="FJ10">
        <v>0</v>
      </c>
      <c r="FK10">
        <v>0</v>
      </c>
      <c r="FP10">
        <v>0</v>
      </c>
      <c r="FR10">
        <v>0</v>
      </c>
      <c r="FS10" t="s">
        <v>1043</v>
      </c>
      <c r="FX10" t="s">
        <v>1042</v>
      </c>
      <c r="FZ10" t="s">
        <v>1048</v>
      </c>
      <c r="GA10">
        <v>0</v>
      </c>
      <c r="GB10" t="s">
        <v>1042</v>
      </c>
      <c r="GE10">
        <v>0</v>
      </c>
      <c r="GG10">
        <v>0</v>
      </c>
      <c r="GN10">
        <v>0</v>
      </c>
      <c r="GO10" t="s">
        <v>1063</v>
      </c>
      <c r="GQ10">
        <v>0</v>
      </c>
      <c r="GU10">
        <v>0</v>
      </c>
      <c r="GY10" t="s">
        <v>1045</v>
      </c>
      <c r="HB10">
        <v>0</v>
      </c>
      <c r="HE10">
        <v>0</v>
      </c>
      <c r="HF10">
        <v>0</v>
      </c>
      <c r="HG10">
        <v>0</v>
      </c>
      <c r="HK10" t="s">
        <v>1042</v>
      </c>
      <c r="HM10" t="s">
        <v>1047</v>
      </c>
      <c r="HN10">
        <v>0</v>
      </c>
      <c r="HP10">
        <v>0</v>
      </c>
      <c r="HQ10">
        <v>0</v>
      </c>
      <c r="HR10" t="s">
        <v>1042</v>
      </c>
      <c r="HS10" t="s">
        <v>1043</v>
      </c>
      <c r="HT10">
        <v>0</v>
      </c>
      <c r="HU10">
        <v>0</v>
      </c>
      <c r="HW10">
        <v>0</v>
      </c>
      <c r="HX10">
        <v>0</v>
      </c>
      <c r="HY10">
        <v>0</v>
      </c>
      <c r="HZ10" t="s">
        <v>1045</v>
      </c>
      <c r="IA10">
        <v>0</v>
      </c>
      <c r="IB10" t="s">
        <v>1045</v>
      </c>
      <c r="ID10" t="s">
        <v>1045</v>
      </c>
      <c r="IF10">
        <v>0</v>
      </c>
      <c r="IG10" t="s">
        <v>1042</v>
      </c>
      <c r="II10" t="s">
        <v>1042</v>
      </c>
      <c r="IR10" t="s">
        <v>1045</v>
      </c>
      <c r="IT10">
        <v>0</v>
      </c>
      <c r="IY10" t="s">
        <v>1044</v>
      </c>
      <c r="IZ10" t="s">
        <v>1043</v>
      </c>
      <c r="JC10" t="s">
        <v>1043</v>
      </c>
      <c r="JE10">
        <v>0</v>
      </c>
      <c r="JF10">
        <v>0</v>
      </c>
      <c r="JI10" t="s">
        <v>1042</v>
      </c>
      <c r="JJ10">
        <v>0</v>
      </c>
      <c r="JK10">
        <v>0</v>
      </c>
      <c r="JL10">
        <v>0</v>
      </c>
      <c r="JM10">
        <v>0</v>
      </c>
      <c r="JQ10" t="s">
        <v>1043</v>
      </c>
      <c r="JT10">
        <v>0</v>
      </c>
      <c r="JU10" t="s">
        <v>1042</v>
      </c>
      <c r="JW10">
        <v>0</v>
      </c>
      <c r="KA10">
        <v>0</v>
      </c>
      <c r="KF10">
        <v>0</v>
      </c>
      <c r="KG10">
        <v>0</v>
      </c>
      <c r="KH10">
        <v>0</v>
      </c>
      <c r="KI10">
        <v>0</v>
      </c>
      <c r="KS10" t="s">
        <v>1073</v>
      </c>
      <c r="KT10">
        <v>0</v>
      </c>
      <c r="KU10">
        <v>0</v>
      </c>
      <c r="KV10">
        <v>0</v>
      </c>
      <c r="KX10">
        <v>0</v>
      </c>
      <c r="KZ10">
        <v>0</v>
      </c>
      <c r="LF10">
        <v>0</v>
      </c>
      <c r="LH10">
        <v>0</v>
      </c>
      <c r="LI10">
        <v>0</v>
      </c>
    </row>
    <row r="11" spans="1:321" x14ac:dyDescent="0.35">
      <c r="A11">
        <v>1</v>
      </c>
      <c r="B11">
        <v>12256</v>
      </c>
      <c r="C11" t="s">
        <v>1701</v>
      </c>
      <c r="D11" t="s">
        <v>1139</v>
      </c>
      <c r="E11" t="s">
        <v>85</v>
      </c>
      <c r="F11">
        <v>80</v>
      </c>
      <c r="G11">
        <v>9000</v>
      </c>
      <c r="H11">
        <v>0</v>
      </c>
      <c r="I11" t="s">
        <v>1699</v>
      </c>
      <c r="L11">
        <v>0</v>
      </c>
      <c r="M11">
        <v>0</v>
      </c>
      <c r="N11">
        <v>0</v>
      </c>
      <c r="R11">
        <v>0</v>
      </c>
      <c r="S11">
        <v>0</v>
      </c>
      <c r="W11" t="s">
        <v>1060</v>
      </c>
      <c r="X11">
        <v>0</v>
      </c>
      <c r="Z11">
        <v>1</v>
      </c>
      <c r="AA11">
        <v>0</v>
      </c>
      <c r="AB11">
        <v>0</v>
      </c>
      <c r="AC11">
        <v>0</v>
      </c>
      <c r="AD11" s="20">
        <v>40779</v>
      </c>
      <c r="AE11">
        <v>1599.4676999999999</v>
      </c>
      <c r="AF11">
        <v>0</v>
      </c>
      <c r="AH11">
        <v>0</v>
      </c>
      <c r="AJ11">
        <v>0</v>
      </c>
      <c r="AL11">
        <v>0</v>
      </c>
      <c r="AM11">
        <v>0</v>
      </c>
      <c r="AN11">
        <v>16601001</v>
      </c>
      <c r="AO11">
        <v>0</v>
      </c>
      <c r="AP11">
        <v>1000</v>
      </c>
      <c r="AT11">
        <v>0</v>
      </c>
      <c r="AU11" t="s">
        <v>1059</v>
      </c>
      <c r="AW11" t="s">
        <v>1053</v>
      </c>
      <c r="AX11">
        <v>0</v>
      </c>
      <c r="AY11" s="20">
        <v>40778</v>
      </c>
      <c r="BA11" s="20">
        <v>40778</v>
      </c>
      <c r="BB11" t="s">
        <v>1058</v>
      </c>
      <c r="BD11">
        <v>0</v>
      </c>
      <c r="BF11" t="s">
        <v>1043</v>
      </c>
      <c r="BG11" t="s">
        <v>1042</v>
      </c>
      <c r="BH11">
        <v>0</v>
      </c>
      <c r="BI11">
        <v>1</v>
      </c>
      <c r="BJ11">
        <v>0</v>
      </c>
      <c r="BK11">
        <v>0</v>
      </c>
      <c r="BM11" s="20">
        <v>43635</v>
      </c>
      <c r="BN11">
        <v>0</v>
      </c>
      <c r="BR11" t="s">
        <v>1043</v>
      </c>
      <c r="BS11" t="s">
        <v>1043</v>
      </c>
      <c r="BT11" t="s">
        <v>1043</v>
      </c>
      <c r="BW11">
        <v>83</v>
      </c>
      <c r="CA11">
        <v>0</v>
      </c>
      <c r="CB11" t="s">
        <v>1057</v>
      </c>
      <c r="CE11" t="s">
        <v>1043</v>
      </c>
      <c r="CH11" t="s">
        <v>1043</v>
      </c>
      <c r="CN11" t="s">
        <v>1056</v>
      </c>
      <c r="CO11" t="s">
        <v>1043</v>
      </c>
      <c r="CP11">
        <v>1</v>
      </c>
      <c r="CQ11">
        <v>0</v>
      </c>
      <c r="CS11">
        <v>0</v>
      </c>
      <c r="CT11">
        <v>0</v>
      </c>
      <c r="CU11">
        <v>0</v>
      </c>
      <c r="CV11" t="s">
        <v>1045</v>
      </c>
      <c r="CW11">
        <v>0</v>
      </c>
      <c r="CX11">
        <v>0</v>
      </c>
      <c r="CY11">
        <v>0</v>
      </c>
      <c r="CZ11">
        <v>0</v>
      </c>
      <c r="DB11">
        <v>0</v>
      </c>
      <c r="DC11" t="s">
        <v>1043</v>
      </c>
      <c r="DF11" t="s">
        <v>1055</v>
      </c>
      <c r="DH11">
        <v>0</v>
      </c>
      <c r="DJ11">
        <v>0</v>
      </c>
      <c r="DK11" t="s">
        <v>1053</v>
      </c>
      <c r="DL11">
        <v>0</v>
      </c>
      <c r="DN11">
        <v>0</v>
      </c>
      <c r="DO11" t="s">
        <v>1042</v>
      </c>
      <c r="DP11">
        <v>0</v>
      </c>
      <c r="DQ11">
        <v>0</v>
      </c>
      <c r="DS11">
        <v>0</v>
      </c>
      <c r="DU11">
        <v>0</v>
      </c>
      <c r="DW11">
        <v>0</v>
      </c>
      <c r="DX11" t="s">
        <v>1043</v>
      </c>
      <c r="DY11">
        <v>0</v>
      </c>
      <c r="DZ11">
        <v>0</v>
      </c>
      <c r="EA11">
        <v>0</v>
      </c>
      <c r="ED11" t="s">
        <v>1045</v>
      </c>
      <c r="EE11">
        <v>0</v>
      </c>
      <c r="EF11">
        <v>0</v>
      </c>
      <c r="EQ11" t="s">
        <v>1044</v>
      </c>
      <c r="ES11" t="s">
        <v>1053</v>
      </c>
      <c r="ET11">
        <v>0</v>
      </c>
      <c r="EV11">
        <v>0</v>
      </c>
      <c r="EY11" t="s">
        <v>1052</v>
      </c>
      <c r="EZ11">
        <v>0</v>
      </c>
      <c r="FA11" t="s">
        <v>1043</v>
      </c>
      <c r="FB11">
        <v>0</v>
      </c>
      <c r="FC11">
        <v>0</v>
      </c>
      <c r="FE11" t="s">
        <v>1050</v>
      </c>
      <c r="FF11">
        <v>0</v>
      </c>
      <c r="FG11" t="s">
        <v>1050</v>
      </c>
      <c r="FJ11">
        <v>0</v>
      </c>
      <c r="FK11">
        <v>0</v>
      </c>
      <c r="FP11">
        <v>0</v>
      </c>
      <c r="FR11">
        <v>0</v>
      </c>
      <c r="FS11" t="s">
        <v>1043</v>
      </c>
      <c r="FX11" t="s">
        <v>1042</v>
      </c>
      <c r="FZ11" t="s">
        <v>1048</v>
      </c>
      <c r="GA11">
        <v>0</v>
      </c>
      <c r="GB11" t="s">
        <v>1042</v>
      </c>
      <c r="GE11">
        <v>0</v>
      </c>
      <c r="GG11">
        <v>0</v>
      </c>
      <c r="GN11">
        <v>0</v>
      </c>
      <c r="GO11" t="s">
        <v>1063</v>
      </c>
      <c r="GQ11">
        <v>0</v>
      </c>
      <c r="GU11">
        <v>0</v>
      </c>
      <c r="GY11" t="s">
        <v>1045</v>
      </c>
      <c r="HB11">
        <v>0</v>
      </c>
      <c r="HE11">
        <v>0</v>
      </c>
      <c r="HF11">
        <v>0</v>
      </c>
      <c r="HG11">
        <v>0</v>
      </c>
      <c r="HK11" t="s">
        <v>1042</v>
      </c>
      <c r="HM11" t="s">
        <v>1047</v>
      </c>
      <c r="HN11">
        <v>0</v>
      </c>
      <c r="HP11">
        <v>0</v>
      </c>
      <c r="HQ11">
        <v>0</v>
      </c>
      <c r="HR11" t="s">
        <v>1042</v>
      </c>
      <c r="HS11" t="s">
        <v>1043</v>
      </c>
      <c r="HT11">
        <v>0</v>
      </c>
      <c r="HU11">
        <v>0</v>
      </c>
      <c r="HW11">
        <v>0</v>
      </c>
      <c r="HX11">
        <v>0</v>
      </c>
      <c r="HY11">
        <v>0</v>
      </c>
      <c r="HZ11" t="s">
        <v>1045</v>
      </c>
      <c r="IA11">
        <v>0</v>
      </c>
      <c r="IB11" t="s">
        <v>1045</v>
      </c>
      <c r="ID11" t="s">
        <v>1045</v>
      </c>
      <c r="IF11">
        <v>0</v>
      </c>
      <c r="IG11" t="s">
        <v>1042</v>
      </c>
      <c r="II11" t="s">
        <v>1042</v>
      </c>
      <c r="IR11" t="s">
        <v>1045</v>
      </c>
      <c r="IT11">
        <v>0</v>
      </c>
      <c r="IY11" t="s">
        <v>1044</v>
      </c>
      <c r="IZ11" t="s">
        <v>1043</v>
      </c>
      <c r="JC11" t="s">
        <v>1043</v>
      </c>
      <c r="JE11">
        <v>0</v>
      </c>
      <c r="JF11">
        <v>0</v>
      </c>
      <c r="JI11" t="s">
        <v>1042</v>
      </c>
      <c r="JJ11">
        <v>0</v>
      </c>
      <c r="JK11">
        <v>0</v>
      </c>
      <c r="JL11">
        <v>0</v>
      </c>
      <c r="JM11">
        <v>0</v>
      </c>
      <c r="JQ11" t="s">
        <v>1043</v>
      </c>
      <c r="JT11">
        <v>0</v>
      </c>
      <c r="JU11" t="s">
        <v>1042</v>
      </c>
      <c r="JW11">
        <v>0</v>
      </c>
      <c r="KA11">
        <v>0</v>
      </c>
      <c r="KF11">
        <v>0</v>
      </c>
      <c r="KG11">
        <v>0</v>
      </c>
      <c r="KH11">
        <v>0</v>
      </c>
      <c r="KI11">
        <v>0</v>
      </c>
      <c r="KS11" t="s">
        <v>1073</v>
      </c>
      <c r="KT11">
        <v>0</v>
      </c>
      <c r="KU11">
        <v>0</v>
      </c>
      <c r="KV11">
        <v>0</v>
      </c>
      <c r="KX11">
        <v>0</v>
      </c>
      <c r="KZ11">
        <v>0</v>
      </c>
      <c r="LF11">
        <v>0</v>
      </c>
      <c r="LH11">
        <v>0</v>
      </c>
      <c r="LI11">
        <v>0</v>
      </c>
    </row>
    <row r="12" spans="1:321" x14ac:dyDescent="0.35">
      <c r="A12">
        <v>1</v>
      </c>
      <c r="B12">
        <v>12257</v>
      </c>
      <c r="C12" t="s">
        <v>1700</v>
      </c>
      <c r="D12" t="s">
        <v>1139</v>
      </c>
      <c r="E12" t="s">
        <v>85</v>
      </c>
      <c r="F12">
        <v>80</v>
      </c>
      <c r="G12">
        <v>9000</v>
      </c>
      <c r="H12">
        <v>0</v>
      </c>
      <c r="I12" t="s">
        <v>1699</v>
      </c>
      <c r="L12">
        <v>0</v>
      </c>
      <c r="M12">
        <v>0</v>
      </c>
      <c r="N12">
        <v>0</v>
      </c>
      <c r="R12">
        <v>0</v>
      </c>
      <c r="S12">
        <v>0</v>
      </c>
      <c r="W12" t="s">
        <v>1060</v>
      </c>
      <c r="X12">
        <v>0</v>
      </c>
      <c r="Z12">
        <v>1</v>
      </c>
      <c r="AA12">
        <v>0</v>
      </c>
      <c r="AB12">
        <v>0</v>
      </c>
      <c r="AC12">
        <v>1084.9749999999999</v>
      </c>
      <c r="AD12" s="20">
        <v>40779</v>
      </c>
      <c r="AE12">
        <v>1189.6584</v>
      </c>
      <c r="AF12">
        <v>0</v>
      </c>
      <c r="AH12">
        <v>0</v>
      </c>
      <c r="AJ12">
        <v>0</v>
      </c>
      <c r="AL12">
        <v>0</v>
      </c>
      <c r="AM12">
        <v>0</v>
      </c>
      <c r="AN12">
        <v>16601001</v>
      </c>
      <c r="AO12">
        <v>0</v>
      </c>
      <c r="AP12">
        <v>1000</v>
      </c>
      <c r="AT12">
        <v>0</v>
      </c>
      <c r="AU12" t="s">
        <v>1059</v>
      </c>
      <c r="AW12" t="s">
        <v>1053</v>
      </c>
      <c r="AX12">
        <v>0</v>
      </c>
      <c r="AY12" s="20">
        <v>40778</v>
      </c>
      <c r="BA12" s="20">
        <v>40778</v>
      </c>
      <c r="BB12" t="s">
        <v>1058</v>
      </c>
      <c r="BD12">
        <v>0</v>
      </c>
      <c r="BF12" t="s">
        <v>1043</v>
      </c>
      <c r="BG12" t="s">
        <v>1042</v>
      </c>
      <c r="BH12">
        <v>0</v>
      </c>
      <c r="BI12">
        <v>1</v>
      </c>
      <c r="BJ12">
        <v>0</v>
      </c>
      <c r="BK12">
        <v>0</v>
      </c>
      <c r="BM12" t="s">
        <v>1042</v>
      </c>
      <c r="BN12">
        <v>0</v>
      </c>
      <c r="BR12" t="s">
        <v>1043</v>
      </c>
      <c r="BS12" t="s">
        <v>1043</v>
      </c>
      <c r="BT12" t="s">
        <v>1043</v>
      </c>
      <c r="BW12">
        <v>83</v>
      </c>
      <c r="CA12">
        <v>0</v>
      </c>
      <c r="CB12" t="s">
        <v>1057</v>
      </c>
      <c r="CE12" t="s">
        <v>1043</v>
      </c>
      <c r="CH12" t="s">
        <v>1043</v>
      </c>
      <c r="CN12" t="s">
        <v>1056</v>
      </c>
      <c r="CO12" t="s">
        <v>1043</v>
      </c>
      <c r="CP12">
        <v>1</v>
      </c>
      <c r="CQ12">
        <v>0</v>
      </c>
      <c r="CS12">
        <v>0</v>
      </c>
      <c r="CT12">
        <v>0</v>
      </c>
      <c r="CU12">
        <v>0</v>
      </c>
      <c r="CV12" t="s">
        <v>1045</v>
      </c>
      <c r="CW12">
        <v>0</v>
      </c>
      <c r="CX12">
        <v>0</v>
      </c>
      <c r="CY12">
        <v>0</v>
      </c>
      <c r="CZ12">
        <v>0</v>
      </c>
      <c r="DB12">
        <v>0</v>
      </c>
      <c r="DC12" t="s">
        <v>1043</v>
      </c>
      <c r="DF12" t="s">
        <v>1055</v>
      </c>
      <c r="DH12">
        <v>0</v>
      </c>
      <c r="DJ12">
        <v>0</v>
      </c>
      <c r="DK12" t="s">
        <v>1053</v>
      </c>
      <c r="DL12">
        <v>0</v>
      </c>
      <c r="DN12">
        <v>0</v>
      </c>
      <c r="DO12" t="s">
        <v>1042</v>
      </c>
      <c r="DP12">
        <v>0</v>
      </c>
      <c r="DQ12">
        <v>0</v>
      </c>
      <c r="DS12">
        <v>0</v>
      </c>
      <c r="DU12">
        <v>0</v>
      </c>
      <c r="DW12">
        <v>0</v>
      </c>
      <c r="DX12" t="s">
        <v>1043</v>
      </c>
      <c r="DY12">
        <v>0</v>
      </c>
      <c r="DZ12">
        <v>0</v>
      </c>
      <c r="EA12">
        <v>0</v>
      </c>
      <c r="ED12" t="s">
        <v>1045</v>
      </c>
      <c r="EE12">
        <v>0</v>
      </c>
      <c r="EF12">
        <v>0</v>
      </c>
      <c r="EQ12" t="s">
        <v>1044</v>
      </c>
      <c r="ES12" t="s">
        <v>1053</v>
      </c>
      <c r="ET12">
        <v>0</v>
      </c>
      <c r="EV12">
        <v>0</v>
      </c>
      <c r="EY12" t="s">
        <v>1052</v>
      </c>
      <c r="EZ12">
        <v>0</v>
      </c>
      <c r="FA12" t="s">
        <v>1043</v>
      </c>
      <c r="FB12">
        <v>0</v>
      </c>
      <c r="FC12">
        <v>0</v>
      </c>
      <c r="FE12" t="s">
        <v>1050</v>
      </c>
      <c r="FF12">
        <v>0</v>
      </c>
      <c r="FG12" t="s">
        <v>1050</v>
      </c>
      <c r="FJ12">
        <v>0</v>
      </c>
      <c r="FK12">
        <v>0</v>
      </c>
      <c r="FP12">
        <v>0</v>
      </c>
      <c r="FR12">
        <v>0</v>
      </c>
      <c r="FS12" t="s">
        <v>1043</v>
      </c>
      <c r="FX12" t="s">
        <v>1042</v>
      </c>
      <c r="FZ12" t="s">
        <v>1048</v>
      </c>
      <c r="GA12">
        <v>0</v>
      </c>
      <c r="GB12" t="s">
        <v>1042</v>
      </c>
      <c r="GE12">
        <v>0</v>
      </c>
      <c r="GG12">
        <v>0</v>
      </c>
      <c r="GN12">
        <v>0</v>
      </c>
      <c r="GO12" t="s">
        <v>1063</v>
      </c>
      <c r="GQ12">
        <v>0</v>
      </c>
      <c r="GU12">
        <v>0</v>
      </c>
      <c r="GY12" t="s">
        <v>1045</v>
      </c>
      <c r="HB12">
        <v>0</v>
      </c>
      <c r="HE12">
        <v>0</v>
      </c>
      <c r="HF12">
        <v>0</v>
      </c>
      <c r="HG12">
        <v>0</v>
      </c>
      <c r="HK12" t="s">
        <v>1042</v>
      </c>
      <c r="HM12" t="s">
        <v>1047</v>
      </c>
      <c r="HN12">
        <v>0</v>
      </c>
      <c r="HP12">
        <v>0</v>
      </c>
      <c r="HQ12">
        <v>0</v>
      </c>
      <c r="HR12" t="s">
        <v>1042</v>
      </c>
      <c r="HS12" t="s">
        <v>1043</v>
      </c>
      <c r="HT12">
        <v>0</v>
      </c>
      <c r="HU12">
        <v>0</v>
      </c>
      <c r="HW12">
        <v>0</v>
      </c>
      <c r="HX12">
        <v>0</v>
      </c>
      <c r="HY12">
        <v>0</v>
      </c>
      <c r="HZ12" t="s">
        <v>1045</v>
      </c>
      <c r="IA12">
        <v>0</v>
      </c>
      <c r="IB12" t="s">
        <v>1045</v>
      </c>
      <c r="ID12" t="s">
        <v>1045</v>
      </c>
      <c r="IF12">
        <v>0</v>
      </c>
      <c r="IG12" t="s">
        <v>1042</v>
      </c>
      <c r="II12" t="s">
        <v>1042</v>
      </c>
      <c r="IR12" t="s">
        <v>1045</v>
      </c>
      <c r="IT12">
        <v>0</v>
      </c>
      <c r="IY12" t="s">
        <v>1044</v>
      </c>
      <c r="IZ12" t="s">
        <v>1043</v>
      </c>
      <c r="JC12" t="s">
        <v>1043</v>
      </c>
      <c r="JE12">
        <v>0</v>
      </c>
      <c r="JF12">
        <v>0</v>
      </c>
      <c r="JI12" t="s">
        <v>1042</v>
      </c>
      <c r="JJ12">
        <v>0</v>
      </c>
      <c r="JK12">
        <v>0</v>
      </c>
      <c r="JL12">
        <v>0</v>
      </c>
      <c r="JM12">
        <v>0</v>
      </c>
      <c r="JQ12" t="s">
        <v>1043</v>
      </c>
      <c r="JT12">
        <v>0</v>
      </c>
      <c r="JU12" t="s">
        <v>1042</v>
      </c>
      <c r="JW12">
        <v>0</v>
      </c>
      <c r="KA12">
        <v>0</v>
      </c>
      <c r="KF12">
        <v>0</v>
      </c>
      <c r="KG12">
        <v>0</v>
      </c>
      <c r="KH12">
        <v>0</v>
      </c>
      <c r="KI12">
        <v>0</v>
      </c>
      <c r="KS12" t="s">
        <v>1073</v>
      </c>
      <c r="KT12">
        <v>0</v>
      </c>
      <c r="KU12">
        <v>0</v>
      </c>
      <c r="KV12">
        <v>0</v>
      </c>
      <c r="KX12">
        <v>0</v>
      </c>
      <c r="KZ12">
        <v>0</v>
      </c>
      <c r="LF12">
        <v>0</v>
      </c>
      <c r="LH12">
        <v>0</v>
      </c>
      <c r="LI12">
        <v>0</v>
      </c>
    </row>
    <row r="13" spans="1:321" x14ac:dyDescent="0.35">
      <c r="A13">
        <v>1</v>
      </c>
      <c r="B13">
        <v>12258</v>
      </c>
      <c r="C13" t="s">
        <v>1698</v>
      </c>
      <c r="D13" t="s">
        <v>1139</v>
      </c>
      <c r="E13" t="s">
        <v>1165</v>
      </c>
      <c r="F13">
        <v>80</v>
      </c>
      <c r="G13">
        <v>9000</v>
      </c>
      <c r="H13">
        <v>0</v>
      </c>
      <c r="I13" t="s">
        <v>1050</v>
      </c>
      <c r="L13">
        <v>0</v>
      </c>
      <c r="M13">
        <v>0</v>
      </c>
      <c r="N13">
        <v>0</v>
      </c>
      <c r="R13">
        <v>0</v>
      </c>
      <c r="S13">
        <v>0</v>
      </c>
      <c r="W13" t="s">
        <v>1060</v>
      </c>
      <c r="X13">
        <v>0</v>
      </c>
      <c r="Z13">
        <v>1</v>
      </c>
      <c r="AA13">
        <v>0</v>
      </c>
      <c r="AB13">
        <v>0</v>
      </c>
      <c r="AC13">
        <v>0</v>
      </c>
      <c r="AD13" s="20">
        <v>40779</v>
      </c>
      <c r="AE13">
        <v>330</v>
      </c>
      <c r="AF13">
        <v>0</v>
      </c>
      <c r="AH13">
        <v>0</v>
      </c>
      <c r="AJ13">
        <v>0</v>
      </c>
      <c r="AL13">
        <v>0</v>
      </c>
      <c r="AM13">
        <v>0</v>
      </c>
      <c r="AN13">
        <v>16601003</v>
      </c>
      <c r="AO13">
        <v>0</v>
      </c>
      <c r="AP13">
        <v>1000</v>
      </c>
      <c r="AT13">
        <v>0</v>
      </c>
      <c r="AU13" t="s">
        <v>1059</v>
      </c>
      <c r="AW13" t="s">
        <v>1053</v>
      </c>
      <c r="AX13">
        <v>0</v>
      </c>
      <c r="AY13" s="20">
        <v>40779</v>
      </c>
      <c r="BA13" s="20">
        <v>40779</v>
      </c>
      <c r="BB13" t="s">
        <v>1058</v>
      </c>
      <c r="BD13">
        <v>0</v>
      </c>
      <c r="BF13" t="s">
        <v>1043</v>
      </c>
      <c r="BG13" t="s">
        <v>1042</v>
      </c>
      <c r="BH13">
        <v>0</v>
      </c>
      <c r="BI13">
        <v>1</v>
      </c>
      <c r="BJ13">
        <v>0</v>
      </c>
      <c r="BK13">
        <v>0</v>
      </c>
      <c r="BM13" t="s">
        <v>1042</v>
      </c>
      <c r="BN13">
        <v>0</v>
      </c>
      <c r="BR13" t="s">
        <v>1043</v>
      </c>
      <c r="BS13" t="s">
        <v>1043</v>
      </c>
      <c r="BT13" t="s">
        <v>1043</v>
      </c>
      <c r="BW13">
        <v>83</v>
      </c>
      <c r="CA13">
        <v>0</v>
      </c>
      <c r="CB13" t="s">
        <v>1057</v>
      </c>
      <c r="CE13" t="s">
        <v>1043</v>
      </c>
      <c r="CH13" t="s">
        <v>1043</v>
      </c>
      <c r="CN13" t="s">
        <v>1056</v>
      </c>
      <c r="CO13" t="s">
        <v>1043</v>
      </c>
      <c r="CP13">
        <v>1</v>
      </c>
      <c r="CQ13">
        <v>0</v>
      </c>
      <c r="CS13">
        <v>0</v>
      </c>
      <c r="CT13">
        <v>0</v>
      </c>
      <c r="CU13">
        <v>0</v>
      </c>
      <c r="CV13" t="s">
        <v>1045</v>
      </c>
      <c r="CW13">
        <v>0</v>
      </c>
      <c r="CX13">
        <v>0</v>
      </c>
      <c r="CY13">
        <v>0</v>
      </c>
      <c r="CZ13">
        <v>0</v>
      </c>
      <c r="DB13">
        <v>0</v>
      </c>
      <c r="DC13" t="s">
        <v>1043</v>
      </c>
      <c r="DF13" t="s">
        <v>1055</v>
      </c>
      <c r="DH13">
        <v>0</v>
      </c>
      <c r="DJ13">
        <v>0</v>
      </c>
      <c r="DK13" t="s">
        <v>1053</v>
      </c>
      <c r="DL13">
        <v>0</v>
      </c>
      <c r="DN13">
        <v>0</v>
      </c>
      <c r="DO13" t="s">
        <v>1042</v>
      </c>
      <c r="DP13">
        <v>0</v>
      </c>
      <c r="DQ13">
        <v>0</v>
      </c>
      <c r="DS13">
        <v>0</v>
      </c>
      <c r="DU13">
        <v>0</v>
      </c>
      <c r="DW13">
        <v>0</v>
      </c>
      <c r="DX13" t="s">
        <v>1043</v>
      </c>
      <c r="DY13">
        <v>0</v>
      </c>
      <c r="DZ13">
        <v>0</v>
      </c>
      <c r="EA13">
        <v>0</v>
      </c>
      <c r="ED13" t="s">
        <v>1045</v>
      </c>
      <c r="EE13">
        <v>0</v>
      </c>
      <c r="EF13">
        <v>0</v>
      </c>
      <c r="EQ13" t="s">
        <v>1044</v>
      </c>
      <c r="ES13" t="s">
        <v>1053</v>
      </c>
      <c r="ET13">
        <v>0</v>
      </c>
      <c r="EV13">
        <v>0</v>
      </c>
      <c r="EY13" t="s">
        <v>1052</v>
      </c>
      <c r="EZ13">
        <v>0</v>
      </c>
      <c r="FA13" t="s">
        <v>1043</v>
      </c>
      <c r="FB13">
        <v>0</v>
      </c>
      <c r="FC13">
        <v>0</v>
      </c>
      <c r="FE13" t="s">
        <v>1050</v>
      </c>
      <c r="FF13">
        <v>0</v>
      </c>
      <c r="FG13" t="s">
        <v>1050</v>
      </c>
      <c r="FJ13">
        <v>0</v>
      </c>
      <c r="FK13">
        <v>0</v>
      </c>
      <c r="FP13">
        <v>0</v>
      </c>
      <c r="FR13">
        <v>0</v>
      </c>
      <c r="FS13" t="s">
        <v>1043</v>
      </c>
      <c r="FX13" t="s">
        <v>1042</v>
      </c>
      <c r="FZ13" t="s">
        <v>1048</v>
      </c>
      <c r="GA13">
        <v>0</v>
      </c>
      <c r="GB13" t="s">
        <v>1042</v>
      </c>
      <c r="GE13">
        <v>0</v>
      </c>
      <c r="GG13">
        <v>0</v>
      </c>
      <c r="GN13">
        <v>0</v>
      </c>
      <c r="GO13" t="s">
        <v>1063</v>
      </c>
      <c r="GQ13">
        <v>0</v>
      </c>
      <c r="GU13">
        <v>0</v>
      </c>
      <c r="GY13" t="s">
        <v>1045</v>
      </c>
      <c r="HB13">
        <v>0</v>
      </c>
      <c r="HE13">
        <v>0</v>
      </c>
      <c r="HF13">
        <v>0</v>
      </c>
      <c r="HG13">
        <v>0</v>
      </c>
      <c r="HK13" t="s">
        <v>1042</v>
      </c>
      <c r="HM13" t="s">
        <v>1047</v>
      </c>
      <c r="HN13">
        <v>0</v>
      </c>
      <c r="HP13">
        <v>0</v>
      </c>
      <c r="HQ13">
        <v>0</v>
      </c>
      <c r="HR13" t="s">
        <v>1042</v>
      </c>
      <c r="HS13" t="s">
        <v>1043</v>
      </c>
      <c r="HT13">
        <v>0</v>
      </c>
      <c r="HU13">
        <v>0</v>
      </c>
      <c r="HW13">
        <v>0</v>
      </c>
      <c r="HX13">
        <v>0</v>
      </c>
      <c r="HY13">
        <v>0</v>
      </c>
      <c r="HZ13" t="s">
        <v>1045</v>
      </c>
      <c r="IA13">
        <v>0</v>
      </c>
      <c r="IB13" t="s">
        <v>1045</v>
      </c>
      <c r="ID13" t="s">
        <v>1045</v>
      </c>
      <c r="IF13">
        <v>0</v>
      </c>
      <c r="IG13" t="s">
        <v>1042</v>
      </c>
      <c r="II13" t="s">
        <v>1042</v>
      </c>
      <c r="IR13" t="s">
        <v>1045</v>
      </c>
      <c r="IT13">
        <v>0</v>
      </c>
      <c r="IY13" t="s">
        <v>1044</v>
      </c>
      <c r="IZ13" t="s">
        <v>1043</v>
      </c>
      <c r="JC13" t="s">
        <v>1043</v>
      </c>
      <c r="JE13">
        <v>0</v>
      </c>
      <c r="JF13">
        <v>0</v>
      </c>
      <c r="JI13" t="s">
        <v>1042</v>
      </c>
      <c r="JJ13">
        <v>0</v>
      </c>
      <c r="JK13">
        <v>0</v>
      </c>
      <c r="JL13">
        <v>0</v>
      </c>
      <c r="JM13">
        <v>0</v>
      </c>
      <c r="JQ13" t="s">
        <v>1043</v>
      </c>
      <c r="JT13">
        <v>0</v>
      </c>
      <c r="JU13" t="s">
        <v>1042</v>
      </c>
      <c r="JW13">
        <v>0</v>
      </c>
      <c r="KA13">
        <v>0</v>
      </c>
      <c r="KF13">
        <v>0</v>
      </c>
      <c r="KG13">
        <v>0</v>
      </c>
      <c r="KH13">
        <v>0</v>
      </c>
      <c r="KI13">
        <v>0</v>
      </c>
      <c r="KS13" t="s">
        <v>1073</v>
      </c>
      <c r="KT13">
        <v>0</v>
      </c>
      <c r="KU13">
        <v>0</v>
      </c>
      <c r="KV13">
        <v>0</v>
      </c>
      <c r="KX13">
        <v>0</v>
      </c>
      <c r="KZ13">
        <v>0</v>
      </c>
      <c r="LF13">
        <v>0</v>
      </c>
      <c r="LH13">
        <v>0</v>
      </c>
      <c r="LI13">
        <v>0</v>
      </c>
    </row>
    <row r="14" spans="1:321" x14ac:dyDescent="0.35">
      <c r="A14">
        <v>1</v>
      </c>
      <c r="B14">
        <v>12259</v>
      </c>
      <c r="C14" t="s">
        <v>1697</v>
      </c>
      <c r="D14" t="s">
        <v>1139</v>
      </c>
      <c r="E14" t="s">
        <v>1165</v>
      </c>
      <c r="F14">
        <v>80</v>
      </c>
      <c r="G14">
        <v>9000</v>
      </c>
      <c r="H14">
        <v>0</v>
      </c>
      <c r="I14" t="s">
        <v>1532</v>
      </c>
      <c r="L14">
        <v>0</v>
      </c>
      <c r="M14">
        <v>0</v>
      </c>
      <c r="N14">
        <v>0</v>
      </c>
      <c r="R14">
        <v>0</v>
      </c>
      <c r="S14">
        <v>0</v>
      </c>
      <c r="W14" t="s">
        <v>1060</v>
      </c>
      <c r="X14">
        <v>0</v>
      </c>
      <c r="Z14">
        <v>1</v>
      </c>
      <c r="AA14">
        <v>0</v>
      </c>
      <c r="AB14">
        <v>0</v>
      </c>
      <c r="AC14">
        <v>8350</v>
      </c>
      <c r="AD14" t="s">
        <v>1042</v>
      </c>
      <c r="AE14">
        <v>0</v>
      </c>
      <c r="AF14">
        <v>0</v>
      </c>
      <c r="AH14">
        <v>0</v>
      </c>
      <c r="AJ14">
        <v>0</v>
      </c>
      <c r="AL14">
        <v>0</v>
      </c>
      <c r="AM14">
        <v>0</v>
      </c>
      <c r="AN14">
        <v>16601001</v>
      </c>
      <c r="AO14">
        <v>0</v>
      </c>
      <c r="AP14">
        <v>1000</v>
      </c>
      <c r="AT14">
        <v>0</v>
      </c>
      <c r="AU14" t="s">
        <v>1059</v>
      </c>
      <c r="AW14" t="s">
        <v>1053</v>
      </c>
      <c r="AX14">
        <v>0</v>
      </c>
      <c r="AY14" s="20">
        <v>40779</v>
      </c>
      <c r="BA14" s="20">
        <v>40779</v>
      </c>
      <c r="BB14" t="s">
        <v>1058</v>
      </c>
      <c r="BD14">
        <v>0</v>
      </c>
      <c r="BF14" t="s">
        <v>1043</v>
      </c>
      <c r="BG14" t="s">
        <v>1042</v>
      </c>
      <c r="BH14">
        <v>0</v>
      </c>
      <c r="BI14">
        <v>1</v>
      </c>
      <c r="BJ14">
        <v>0</v>
      </c>
      <c r="BK14">
        <v>0</v>
      </c>
      <c r="BM14" t="s">
        <v>1042</v>
      </c>
      <c r="BN14">
        <v>0</v>
      </c>
      <c r="BR14" t="s">
        <v>1043</v>
      </c>
      <c r="BS14" t="s">
        <v>1043</v>
      </c>
      <c r="BT14" t="s">
        <v>1043</v>
      </c>
      <c r="BW14">
        <v>83</v>
      </c>
      <c r="CA14">
        <v>0</v>
      </c>
      <c r="CB14" t="s">
        <v>1057</v>
      </c>
      <c r="CE14" t="s">
        <v>1043</v>
      </c>
      <c r="CH14" t="s">
        <v>1043</v>
      </c>
      <c r="CN14" t="s">
        <v>1056</v>
      </c>
      <c r="CO14" t="s">
        <v>1043</v>
      </c>
      <c r="CP14">
        <v>1</v>
      </c>
      <c r="CQ14">
        <v>0</v>
      </c>
      <c r="CS14">
        <v>0</v>
      </c>
      <c r="CT14">
        <v>0</v>
      </c>
      <c r="CU14">
        <v>0</v>
      </c>
      <c r="CV14" t="s">
        <v>1045</v>
      </c>
      <c r="CW14">
        <v>0</v>
      </c>
      <c r="CX14">
        <v>0</v>
      </c>
      <c r="CY14">
        <v>0</v>
      </c>
      <c r="CZ14">
        <v>0</v>
      </c>
      <c r="DB14">
        <v>0</v>
      </c>
      <c r="DC14" t="s">
        <v>1043</v>
      </c>
      <c r="DF14" t="s">
        <v>1055</v>
      </c>
      <c r="DH14">
        <v>0</v>
      </c>
      <c r="DJ14">
        <v>0</v>
      </c>
      <c r="DK14" t="s">
        <v>1053</v>
      </c>
      <c r="DL14">
        <v>0</v>
      </c>
      <c r="DN14">
        <v>0</v>
      </c>
      <c r="DO14" t="s">
        <v>1042</v>
      </c>
      <c r="DP14">
        <v>0</v>
      </c>
      <c r="DQ14">
        <v>0</v>
      </c>
      <c r="DS14">
        <v>0</v>
      </c>
      <c r="DU14">
        <v>0</v>
      </c>
      <c r="DW14">
        <v>0</v>
      </c>
      <c r="DX14" t="s">
        <v>1043</v>
      </c>
      <c r="DY14">
        <v>0</v>
      </c>
      <c r="DZ14">
        <v>0</v>
      </c>
      <c r="EA14">
        <v>0</v>
      </c>
      <c r="ED14" t="s">
        <v>1045</v>
      </c>
      <c r="EE14">
        <v>0</v>
      </c>
      <c r="EF14">
        <v>0</v>
      </c>
      <c r="EQ14" t="s">
        <v>1044</v>
      </c>
      <c r="ES14" t="s">
        <v>1053</v>
      </c>
      <c r="ET14">
        <v>0</v>
      </c>
      <c r="EV14">
        <v>0</v>
      </c>
      <c r="EY14" t="s">
        <v>1052</v>
      </c>
      <c r="EZ14">
        <v>0</v>
      </c>
      <c r="FA14" t="s">
        <v>1043</v>
      </c>
      <c r="FB14">
        <v>0</v>
      </c>
      <c r="FC14">
        <v>0</v>
      </c>
      <c r="FE14" t="s">
        <v>1050</v>
      </c>
      <c r="FF14">
        <v>0</v>
      </c>
      <c r="FG14" t="s">
        <v>1050</v>
      </c>
      <c r="FJ14">
        <v>0</v>
      </c>
      <c r="FK14">
        <v>0</v>
      </c>
      <c r="FP14">
        <v>0</v>
      </c>
      <c r="FR14">
        <v>0</v>
      </c>
      <c r="FS14" t="s">
        <v>1043</v>
      </c>
      <c r="FX14" t="s">
        <v>1042</v>
      </c>
      <c r="FZ14" t="s">
        <v>1048</v>
      </c>
      <c r="GA14">
        <v>0</v>
      </c>
      <c r="GB14" t="s">
        <v>1042</v>
      </c>
      <c r="GE14">
        <v>0</v>
      </c>
      <c r="GG14">
        <v>0</v>
      </c>
      <c r="GN14">
        <v>0</v>
      </c>
      <c r="GO14" t="s">
        <v>1063</v>
      </c>
      <c r="GQ14">
        <v>0</v>
      </c>
      <c r="GU14">
        <v>0</v>
      </c>
      <c r="GY14" t="s">
        <v>1045</v>
      </c>
      <c r="HB14">
        <v>0</v>
      </c>
      <c r="HE14">
        <v>0</v>
      </c>
      <c r="HF14">
        <v>0</v>
      </c>
      <c r="HG14">
        <v>0</v>
      </c>
      <c r="HK14" t="s">
        <v>1042</v>
      </c>
      <c r="HM14" t="s">
        <v>1047</v>
      </c>
      <c r="HN14">
        <v>0</v>
      </c>
      <c r="HP14">
        <v>0</v>
      </c>
      <c r="HQ14">
        <v>0</v>
      </c>
      <c r="HR14" t="s">
        <v>1042</v>
      </c>
      <c r="HS14" t="s">
        <v>1043</v>
      </c>
      <c r="HT14">
        <v>0</v>
      </c>
      <c r="HU14">
        <v>0</v>
      </c>
      <c r="HW14">
        <v>0</v>
      </c>
      <c r="HX14">
        <v>0</v>
      </c>
      <c r="HY14">
        <v>0</v>
      </c>
      <c r="HZ14" t="s">
        <v>1045</v>
      </c>
      <c r="IA14">
        <v>0</v>
      </c>
      <c r="IB14" t="s">
        <v>1045</v>
      </c>
      <c r="ID14" t="s">
        <v>1045</v>
      </c>
      <c r="IF14">
        <v>0</v>
      </c>
      <c r="IG14" t="s">
        <v>1042</v>
      </c>
      <c r="II14" t="s">
        <v>1042</v>
      </c>
      <c r="IR14" t="s">
        <v>1045</v>
      </c>
      <c r="IT14">
        <v>0</v>
      </c>
      <c r="IY14" t="s">
        <v>1044</v>
      </c>
      <c r="IZ14" t="s">
        <v>1043</v>
      </c>
      <c r="JC14" t="s">
        <v>1043</v>
      </c>
      <c r="JE14">
        <v>0</v>
      </c>
      <c r="JF14">
        <v>0</v>
      </c>
      <c r="JI14" t="s">
        <v>1042</v>
      </c>
      <c r="JJ14">
        <v>0</v>
      </c>
      <c r="JK14">
        <v>0</v>
      </c>
      <c r="JL14">
        <v>0</v>
      </c>
      <c r="JM14">
        <v>0</v>
      </c>
      <c r="JQ14" t="s">
        <v>1043</v>
      </c>
      <c r="JT14">
        <v>0</v>
      </c>
      <c r="JU14" t="s">
        <v>1042</v>
      </c>
      <c r="JW14">
        <v>0</v>
      </c>
      <c r="KA14">
        <v>0</v>
      </c>
      <c r="KF14">
        <v>0</v>
      </c>
      <c r="KG14">
        <v>0</v>
      </c>
      <c r="KH14">
        <v>0</v>
      </c>
      <c r="KI14">
        <v>0</v>
      </c>
      <c r="KS14" t="s">
        <v>1073</v>
      </c>
      <c r="KT14">
        <v>0</v>
      </c>
      <c r="KU14">
        <v>0</v>
      </c>
      <c r="KV14">
        <v>0</v>
      </c>
      <c r="KX14">
        <v>0</v>
      </c>
      <c r="KZ14">
        <v>0</v>
      </c>
      <c r="LF14">
        <v>0</v>
      </c>
      <c r="LH14">
        <v>0</v>
      </c>
      <c r="LI14">
        <v>0</v>
      </c>
    </row>
    <row r="15" spans="1:321" x14ac:dyDescent="0.35">
      <c r="A15">
        <v>1</v>
      </c>
      <c r="B15">
        <v>1226</v>
      </c>
      <c r="C15" t="s">
        <v>1036</v>
      </c>
      <c r="D15" t="s">
        <v>1061</v>
      </c>
      <c r="E15" t="s">
        <v>587</v>
      </c>
      <c r="F15">
        <v>1</v>
      </c>
      <c r="G15">
        <v>160</v>
      </c>
      <c r="H15">
        <v>0</v>
      </c>
      <c r="I15" t="s">
        <v>991</v>
      </c>
      <c r="L15">
        <v>0</v>
      </c>
      <c r="M15">
        <v>0</v>
      </c>
      <c r="N15">
        <v>0</v>
      </c>
      <c r="Q15">
        <v>516</v>
      </c>
      <c r="R15">
        <v>0</v>
      </c>
      <c r="S15">
        <v>0</v>
      </c>
      <c r="W15" t="s">
        <v>1060</v>
      </c>
      <c r="X15">
        <v>0</v>
      </c>
      <c r="Z15">
        <v>25</v>
      </c>
      <c r="AA15">
        <v>16.144300000000001</v>
      </c>
      <c r="AB15">
        <v>2281</v>
      </c>
      <c r="AC15">
        <v>0.58940000000000003</v>
      </c>
      <c r="AD15" s="20">
        <v>44664</v>
      </c>
      <c r="AE15">
        <v>0.86</v>
      </c>
      <c r="AF15">
        <v>5.0999999999999997E-2</v>
      </c>
      <c r="AH15">
        <v>256</v>
      </c>
      <c r="AJ15">
        <v>1</v>
      </c>
      <c r="AK15" t="s">
        <v>1154</v>
      </c>
      <c r="AL15">
        <v>11875</v>
      </c>
      <c r="AM15">
        <v>212</v>
      </c>
      <c r="AN15">
        <v>11501001</v>
      </c>
      <c r="AO15">
        <v>0</v>
      </c>
      <c r="AP15">
        <v>1001</v>
      </c>
      <c r="AT15">
        <v>1</v>
      </c>
      <c r="AU15" t="s">
        <v>1059</v>
      </c>
      <c r="AV15" t="s">
        <v>1043</v>
      </c>
      <c r="AW15" t="s">
        <v>1053</v>
      </c>
      <c r="AX15">
        <v>5</v>
      </c>
      <c r="AY15" s="20">
        <v>43274</v>
      </c>
      <c r="BA15" s="20">
        <v>44659</v>
      </c>
      <c r="BB15" t="s">
        <v>1058</v>
      </c>
      <c r="BD15">
        <v>0</v>
      </c>
      <c r="BF15" t="s">
        <v>1044</v>
      </c>
      <c r="BG15" s="20">
        <v>42705</v>
      </c>
      <c r="BH15">
        <v>0</v>
      </c>
      <c r="BI15">
        <v>33</v>
      </c>
      <c r="BJ15">
        <v>0</v>
      </c>
      <c r="BK15">
        <v>0</v>
      </c>
      <c r="BM15" s="20">
        <v>42723</v>
      </c>
      <c r="BN15">
        <v>0</v>
      </c>
      <c r="BO15">
        <v>7897801317108</v>
      </c>
      <c r="BR15" t="s">
        <v>1043</v>
      </c>
      <c r="BS15" t="s">
        <v>1043</v>
      </c>
      <c r="BT15" t="s">
        <v>1043</v>
      </c>
      <c r="BV15">
        <v>1</v>
      </c>
      <c r="BW15">
        <v>30</v>
      </c>
      <c r="BY15">
        <v>66</v>
      </c>
      <c r="CA15">
        <v>0</v>
      </c>
      <c r="CB15" t="s">
        <v>1043</v>
      </c>
      <c r="CE15" t="s">
        <v>1043</v>
      </c>
      <c r="CH15" t="s">
        <v>1043</v>
      </c>
      <c r="CI15" t="s">
        <v>1383</v>
      </c>
      <c r="CK15" t="s">
        <v>1152</v>
      </c>
      <c r="CN15" t="s">
        <v>1056</v>
      </c>
      <c r="CP15">
        <v>1</v>
      </c>
      <c r="CQ15">
        <v>0</v>
      </c>
      <c r="CS15">
        <v>0</v>
      </c>
      <c r="CT15">
        <v>0</v>
      </c>
      <c r="CU15">
        <v>0</v>
      </c>
      <c r="CV15" t="s">
        <v>1045</v>
      </c>
      <c r="CW15">
        <v>0</v>
      </c>
      <c r="CX15">
        <v>0</v>
      </c>
      <c r="CY15">
        <v>0</v>
      </c>
      <c r="CZ15">
        <v>0</v>
      </c>
      <c r="DA15">
        <v>35</v>
      </c>
      <c r="DB15">
        <v>0</v>
      </c>
      <c r="DH15">
        <v>0</v>
      </c>
      <c r="DJ15">
        <v>0</v>
      </c>
      <c r="DL15">
        <v>0</v>
      </c>
      <c r="DN15">
        <v>0</v>
      </c>
      <c r="DO15" t="s">
        <v>1042</v>
      </c>
      <c r="DP15">
        <v>0</v>
      </c>
      <c r="DQ15">
        <v>7.6</v>
      </c>
      <c r="DS15">
        <v>0</v>
      </c>
      <c r="DU15">
        <v>1.65</v>
      </c>
      <c r="DW15">
        <v>0</v>
      </c>
      <c r="DY15">
        <v>0</v>
      </c>
      <c r="DZ15">
        <v>0</v>
      </c>
      <c r="EA15">
        <v>0</v>
      </c>
      <c r="EB15">
        <v>17897801317105</v>
      </c>
      <c r="EE15">
        <v>0</v>
      </c>
      <c r="EF15">
        <v>0</v>
      </c>
      <c r="EL15">
        <v>57897801317103</v>
      </c>
      <c r="EN15" t="s">
        <v>1511</v>
      </c>
      <c r="EO15" t="s">
        <v>1044</v>
      </c>
      <c r="ET15">
        <v>0</v>
      </c>
      <c r="EV15">
        <v>0</v>
      </c>
      <c r="EY15" t="s">
        <v>1052</v>
      </c>
      <c r="EZ15">
        <v>0</v>
      </c>
      <c r="FA15" t="s">
        <v>1043</v>
      </c>
      <c r="FB15">
        <v>0</v>
      </c>
      <c r="FC15">
        <v>0</v>
      </c>
      <c r="FD15" t="s">
        <v>1051</v>
      </c>
      <c r="FE15" t="s">
        <v>1050</v>
      </c>
      <c r="FF15">
        <v>0</v>
      </c>
      <c r="FG15" t="s">
        <v>1050</v>
      </c>
      <c r="FH15">
        <v>27897801317102</v>
      </c>
      <c r="FJ15">
        <v>0</v>
      </c>
      <c r="FK15">
        <v>0</v>
      </c>
      <c r="FP15">
        <v>0</v>
      </c>
      <c r="FR15">
        <v>0</v>
      </c>
      <c r="FS15" t="s">
        <v>1043</v>
      </c>
      <c r="FX15" t="s">
        <v>1042</v>
      </c>
      <c r="GA15">
        <v>0</v>
      </c>
      <c r="GB15" t="s">
        <v>1042</v>
      </c>
      <c r="GD15">
        <v>16</v>
      </c>
      <c r="GE15">
        <v>0</v>
      </c>
      <c r="GG15">
        <v>0</v>
      </c>
      <c r="GN15">
        <v>0</v>
      </c>
      <c r="GO15" t="s">
        <v>1049</v>
      </c>
      <c r="GQ15">
        <v>0</v>
      </c>
      <c r="GU15">
        <v>4</v>
      </c>
      <c r="GY15" t="s">
        <v>1045</v>
      </c>
      <c r="HB15">
        <v>0</v>
      </c>
      <c r="HE15">
        <v>0</v>
      </c>
      <c r="HF15">
        <v>0</v>
      </c>
      <c r="HG15">
        <v>1.5469999999999999E-2</v>
      </c>
      <c r="HK15" t="s">
        <v>1042</v>
      </c>
      <c r="HL15" t="s">
        <v>1048</v>
      </c>
      <c r="HM15">
        <v>0</v>
      </c>
      <c r="HN15">
        <v>0</v>
      </c>
      <c r="HO15">
        <v>24</v>
      </c>
      <c r="HP15">
        <v>4.9700000000000001E-2</v>
      </c>
      <c r="HQ15">
        <v>0</v>
      </c>
      <c r="HR15" t="s">
        <v>1042</v>
      </c>
      <c r="HT15">
        <v>0</v>
      </c>
      <c r="HU15">
        <v>0</v>
      </c>
      <c r="HW15">
        <v>0</v>
      </c>
      <c r="HX15">
        <v>7056</v>
      </c>
      <c r="HY15">
        <v>1</v>
      </c>
      <c r="IA15">
        <v>0.86</v>
      </c>
      <c r="IF15">
        <v>1800</v>
      </c>
      <c r="IG15" s="20">
        <v>42709</v>
      </c>
      <c r="IH15" t="s">
        <v>1046</v>
      </c>
      <c r="II15" t="s">
        <v>1042</v>
      </c>
      <c r="IR15" t="s">
        <v>1045</v>
      </c>
      <c r="IT15">
        <v>0</v>
      </c>
      <c r="JE15">
        <v>0</v>
      </c>
      <c r="JF15">
        <v>0</v>
      </c>
      <c r="JI15" t="s">
        <v>1042</v>
      </c>
      <c r="JJ15">
        <v>0</v>
      </c>
      <c r="JK15">
        <v>0</v>
      </c>
      <c r="JL15">
        <v>0</v>
      </c>
      <c r="JM15">
        <v>0</v>
      </c>
      <c r="JT15">
        <v>0</v>
      </c>
      <c r="JU15" t="s">
        <v>1042</v>
      </c>
      <c r="JW15">
        <v>0</v>
      </c>
      <c r="KA15">
        <v>0</v>
      </c>
      <c r="KF15">
        <v>0</v>
      </c>
      <c r="KG15">
        <v>0</v>
      </c>
      <c r="KH15">
        <v>0</v>
      </c>
      <c r="KI15">
        <v>0</v>
      </c>
      <c r="KS15" t="s">
        <v>1041</v>
      </c>
      <c r="KT15">
        <v>0</v>
      </c>
      <c r="KU15">
        <v>0</v>
      </c>
      <c r="KV15">
        <v>0</v>
      </c>
      <c r="KX15">
        <v>0</v>
      </c>
      <c r="KZ15">
        <v>0</v>
      </c>
      <c r="LF15">
        <v>0</v>
      </c>
      <c r="LH15">
        <v>223104</v>
      </c>
      <c r="LI15">
        <v>0</v>
      </c>
    </row>
    <row r="16" spans="1:321" x14ac:dyDescent="0.35">
      <c r="A16">
        <v>1</v>
      </c>
      <c r="B16">
        <v>12260</v>
      </c>
      <c r="C16" t="s">
        <v>1696</v>
      </c>
      <c r="D16" t="s">
        <v>1139</v>
      </c>
      <c r="E16" t="s">
        <v>1165</v>
      </c>
      <c r="F16">
        <v>80</v>
      </c>
      <c r="G16">
        <v>9000</v>
      </c>
      <c r="H16">
        <v>0</v>
      </c>
      <c r="I16" t="s">
        <v>1532</v>
      </c>
      <c r="L16">
        <v>0</v>
      </c>
      <c r="M16">
        <v>0</v>
      </c>
      <c r="N16">
        <v>0</v>
      </c>
      <c r="R16">
        <v>0</v>
      </c>
      <c r="S16">
        <v>0</v>
      </c>
      <c r="W16" t="s">
        <v>1060</v>
      </c>
      <c r="X16">
        <v>0</v>
      </c>
      <c r="Z16">
        <v>1</v>
      </c>
      <c r="AA16">
        <v>0</v>
      </c>
      <c r="AB16">
        <v>0</v>
      </c>
      <c r="AC16">
        <v>12478</v>
      </c>
      <c r="AD16" t="s">
        <v>1042</v>
      </c>
      <c r="AE16">
        <v>0</v>
      </c>
      <c r="AF16">
        <v>0</v>
      </c>
      <c r="AH16">
        <v>0</v>
      </c>
      <c r="AJ16">
        <v>0</v>
      </c>
      <c r="AL16">
        <v>0</v>
      </c>
      <c r="AM16">
        <v>0</v>
      </c>
      <c r="AN16">
        <v>16601001</v>
      </c>
      <c r="AO16">
        <v>0</v>
      </c>
      <c r="AP16">
        <v>1000</v>
      </c>
      <c r="AT16">
        <v>0</v>
      </c>
      <c r="AU16" t="s">
        <v>1059</v>
      </c>
      <c r="AW16" t="s">
        <v>1053</v>
      </c>
      <c r="AX16">
        <v>0</v>
      </c>
      <c r="AY16" s="20">
        <v>40779</v>
      </c>
      <c r="BA16" s="20">
        <v>40779</v>
      </c>
      <c r="BB16" t="s">
        <v>1058</v>
      </c>
      <c r="BD16">
        <v>0</v>
      </c>
      <c r="BF16" t="s">
        <v>1043</v>
      </c>
      <c r="BG16" t="s">
        <v>1042</v>
      </c>
      <c r="BH16">
        <v>0</v>
      </c>
      <c r="BI16">
        <v>1</v>
      </c>
      <c r="BJ16">
        <v>0</v>
      </c>
      <c r="BK16">
        <v>0</v>
      </c>
      <c r="BM16" t="s">
        <v>1042</v>
      </c>
      <c r="BN16">
        <v>0</v>
      </c>
      <c r="BR16" t="s">
        <v>1043</v>
      </c>
      <c r="BS16" t="s">
        <v>1043</v>
      </c>
      <c r="BT16" t="s">
        <v>1043</v>
      </c>
      <c r="BW16">
        <v>83</v>
      </c>
      <c r="CA16">
        <v>0</v>
      </c>
      <c r="CB16" t="s">
        <v>1057</v>
      </c>
      <c r="CE16" t="s">
        <v>1043</v>
      </c>
      <c r="CH16" t="s">
        <v>1043</v>
      </c>
      <c r="CN16" t="s">
        <v>1056</v>
      </c>
      <c r="CO16" t="s">
        <v>1043</v>
      </c>
      <c r="CP16">
        <v>1</v>
      </c>
      <c r="CQ16">
        <v>0</v>
      </c>
      <c r="CS16">
        <v>0</v>
      </c>
      <c r="CT16">
        <v>0</v>
      </c>
      <c r="CU16">
        <v>0</v>
      </c>
      <c r="CV16" t="s">
        <v>1045</v>
      </c>
      <c r="CW16">
        <v>0</v>
      </c>
      <c r="CX16">
        <v>0</v>
      </c>
      <c r="CY16">
        <v>0</v>
      </c>
      <c r="CZ16">
        <v>0</v>
      </c>
      <c r="DB16">
        <v>0</v>
      </c>
      <c r="DC16" t="s">
        <v>1043</v>
      </c>
      <c r="DF16" t="s">
        <v>1055</v>
      </c>
      <c r="DH16">
        <v>0</v>
      </c>
      <c r="DJ16">
        <v>0</v>
      </c>
      <c r="DK16" t="s">
        <v>1053</v>
      </c>
      <c r="DL16">
        <v>0</v>
      </c>
      <c r="DN16">
        <v>0</v>
      </c>
      <c r="DO16" t="s">
        <v>1042</v>
      </c>
      <c r="DP16">
        <v>0</v>
      </c>
      <c r="DQ16">
        <v>0</v>
      </c>
      <c r="DS16">
        <v>0</v>
      </c>
      <c r="DU16">
        <v>0</v>
      </c>
      <c r="DW16">
        <v>0</v>
      </c>
      <c r="DX16" t="s">
        <v>1043</v>
      </c>
      <c r="DY16">
        <v>0</v>
      </c>
      <c r="DZ16">
        <v>0</v>
      </c>
      <c r="EA16">
        <v>0</v>
      </c>
      <c r="ED16" t="s">
        <v>1045</v>
      </c>
      <c r="EE16">
        <v>0</v>
      </c>
      <c r="EF16">
        <v>0</v>
      </c>
      <c r="EQ16" t="s">
        <v>1044</v>
      </c>
      <c r="ES16" t="s">
        <v>1053</v>
      </c>
      <c r="ET16">
        <v>0</v>
      </c>
      <c r="EV16">
        <v>0</v>
      </c>
      <c r="EY16" t="s">
        <v>1052</v>
      </c>
      <c r="EZ16">
        <v>0</v>
      </c>
      <c r="FA16" t="s">
        <v>1043</v>
      </c>
      <c r="FB16">
        <v>0</v>
      </c>
      <c r="FC16">
        <v>0</v>
      </c>
      <c r="FE16" t="s">
        <v>1050</v>
      </c>
      <c r="FF16">
        <v>0</v>
      </c>
      <c r="FG16" t="s">
        <v>1050</v>
      </c>
      <c r="FJ16">
        <v>0</v>
      </c>
      <c r="FK16">
        <v>0</v>
      </c>
      <c r="FP16">
        <v>0</v>
      </c>
      <c r="FR16">
        <v>0</v>
      </c>
      <c r="FS16" t="s">
        <v>1043</v>
      </c>
      <c r="FX16" t="s">
        <v>1042</v>
      </c>
      <c r="FZ16" t="s">
        <v>1048</v>
      </c>
      <c r="GA16">
        <v>0</v>
      </c>
      <c r="GB16" t="s">
        <v>1042</v>
      </c>
      <c r="GE16">
        <v>0</v>
      </c>
      <c r="GG16">
        <v>0</v>
      </c>
      <c r="GN16">
        <v>0</v>
      </c>
      <c r="GO16" t="s">
        <v>1063</v>
      </c>
      <c r="GQ16">
        <v>0</v>
      </c>
      <c r="GU16">
        <v>0</v>
      </c>
      <c r="GY16" t="s">
        <v>1045</v>
      </c>
      <c r="HB16">
        <v>0</v>
      </c>
      <c r="HE16">
        <v>0</v>
      </c>
      <c r="HF16">
        <v>0</v>
      </c>
      <c r="HG16">
        <v>0</v>
      </c>
      <c r="HK16" t="s">
        <v>1042</v>
      </c>
      <c r="HM16" t="s">
        <v>1047</v>
      </c>
      <c r="HN16">
        <v>0</v>
      </c>
      <c r="HP16">
        <v>0</v>
      </c>
      <c r="HQ16">
        <v>0</v>
      </c>
      <c r="HR16" t="s">
        <v>1042</v>
      </c>
      <c r="HS16" t="s">
        <v>1043</v>
      </c>
      <c r="HT16">
        <v>0</v>
      </c>
      <c r="HU16">
        <v>0</v>
      </c>
      <c r="HW16">
        <v>0</v>
      </c>
      <c r="HX16">
        <v>0</v>
      </c>
      <c r="HY16">
        <v>0</v>
      </c>
      <c r="HZ16" t="s">
        <v>1045</v>
      </c>
      <c r="IA16">
        <v>0</v>
      </c>
      <c r="IB16" t="s">
        <v>1045</v>
      </c>
      <c r="ID16" t="s">
        <v>1045</v>
      </c>
      <c r="IF16">
        <v>0</v>
      </c>
      <c r="IG16" t="s">
        <v>1042</v>
      </c>
      <c r="II16" t="s">
        <v>1042</v>
      </c>
      <c r="IR16" t="s">
        <v>1045</v>
      </c>
      <c r="IT16">
        <v>0</v>
      </c>
      <c r="IY16" t="s">
        <v>1044</v>
      </c>
      <c r="IZ16" t="s">
        <v>1043</v>
      </c>
      <c r="JC16" t="s">
        <v>1043</v>
      </c>
      <c r="JE16">
        <v>0</v>
      </c>
      <c r="JF16">
        <v>0</v>
      </c>
      <c r="JI16" t="s">
        <v>1042</v>
      </c>
      <c r="JJ16">
        <v>0</v>
      </c>
      <c r="JK16">
        <v>0</v>
      </c>
      <c r="JL16">
        <v>0</v>
      </c>
      <c r="JM16">
        <v>0</v>
      </c>
      <c r="JQ16" t="s">
        <v>1043</v>
      </c>
      <c r="JT16">
        <v>0</v>
      </c>
      <c r="JU16" t="s">
        <v>1042</v>
      </c>
      <c r="JW16">
        <v>0</v>
      </c>
      <c r="KA16">
        <v>0</v>
      </c>
      <c r="KF16">
        <v>0</v>
      </c>
      <c r="KG16">
        <v>0</v>
      </c>
      <c r="KH16">
        <v>0</v>
      </c>
      <c r="KI16">
        <v>0</v>
      </c>
      <c r="KS16" t="s">
        <v>1073</v>
      </c>
      <c r="KT16">
        <v>0</v>
      </c>
      <c r="KU16">
        <v>0</v>
      </c>
      <c r="KV16">
        <v>0</v>
      </c>
      <c r="KX16">
        <v>0</v>
      </c>
      <c r="KZ16">
        <v>0</v>
      </c>
      <c r="LF16">
        <v>0</v>
      </c>
      <c r="LH16">
        <v>0</v>
      </c>
      <c r="LI16">
        <v>0</v>
      </c>
    </row>
    <row r="17" spans="1:321" x14ac:dyDescent="0.35">
      <c r="A17">
        <v>1</v>
      </c>
      <c r="B17">
        <v>12261</v>
      </c>
      <c r="C17" t="s">
        <v>1695</v>
      </c>
      <c r="D17" t="s">
        <v>1133</v>
      </c>
      <c r="E17" t="s">
        <v>1165</v>
      </c>
      <c r="F17">
        <v>80</v>
      </c>
      <c r="G17">
        <v>8800</v>
      </c>
      <c r="H17">
        <v>0</v>
      </c>
      <c r="I17" t="s">
        <v>1050</v>
      </c>
      <c r="L17">
        <v>0</v>
      </c>
      <c r="M17">
        <v>0</v>
      </c>
      <c r="N17">
        <v>0</v>
      </c>
      <c r="R17">
        <v>0</v>
      </c>
      <c r="S17">
        <v>0</v>
      </c>
      <c r="W17" t="s">
        <v>1060</v>
      </c>
      <c r="X17">
        <v>0</v>
      </c>
      <c r="Z17">
        <v>1</v>
      </c>
      <c r="AA17">
        <v>0</v>
      </c>
      <c r="AB17">
        <v>0</v>
      </c>
      <c r="AC17">
        <v>18682.439999999999</v>
      </c>
      <c r="AD17" s="20">
        <v>40785</v>
      </c>
      <c r="AE17">
        <v>18682.439999999999</v>
      </c>
      <c r="AF17">
        <v>0</v>
      </c>
      <c r="AH17">
        <v>0</v>
      </c>
      <c r="AJ17">
        <v>0</v>
      </c>
      <c r="AL17">
        <v>0</v>
      </c>
      <c r="AM17">
        <v>0</v>
      </c>
      <c r="AN17">
        <v>16301013</v>
      </c>
      <c r="AO17">
        <v>0</v>
      </c>
      <c r="AP17">
        <v>2720</v>
      </c>
      <c r="AT17">
        <v>0</v>
      </c>
      <c r="AU17" t="s">
        <v>1059</v>
      </c>
      <c r="AW17" t="s">
        <v>1053</v>
      </c>
      <c r="AX17">
        <v>0</v>
      </c>
      <c r="AY17" s="20">
        <v>40780</v>
      </c>
      <c r="BA17" s="20">
        <v>40780</v>
      </c>
      <c r="BB17" t="s">
        <v>1058</v>
      </c>
      <c r="BD17">
        <v>0</v>
      </c>
      <c r="BF17" t="s">
        <v>1043</v>
      </c>
      <c r="BG17" t="s">
        <v>1042</v>
      </c>
      <c r="BH17">
        <v>0</v>
      </c>
      <c r="BI17">
        <v>1</v>
      </c>
      <c r="BJ17">
        <v>0</v>
      </c>
      <c r="BK17">
        <v>0</v>
      </c>
      <c r="BM17" t="s">
        <v>1042</v>
      </c>
      <c r="BN17">
        <v>0</v>
      </c>
      <c r="BR17" t="s">
        <v>1043</v>
      </c>
      <c r="BS17" t="s">
        <v>1043</v>
      </c>
      <c r="BT17" t="s">
        <v>1043</v>
      </c>
      <c r="BW17">
        <v>70</v>
      </c>
      <c r="CA17">
        <v>0</v>
      </c>
      <c r="CB17" t="s">
        <v>1057</v>
      </c>
      <c r="CE17" t="s">
        <v>1043</v>
      </c>
      <c r="CH17" t="s">
        <v>1043</v>
      </c>
      <c r="CN17" t="s">
        <v>1056</v>
      </c>
      <c r="CO17" t="s">
        <v>1043</v>
      </c>
      <c r="CP17">
        <v>1</v>
      </c>
      <c r="CQ17">
        <v>0</v>
      </c>
      <c r="CS17">
        <v>0</v>
      </c>
      <c r="CT17">
        <v>0</v>
      </c>
      <c r="CU17">
        <v>0</v>
      </c>
      <c r="CV17" t="s">
        <v>1045</v>
      </c>
      <c r="CW17">
        <v>0</v>
      </c>
      <c r="CX17">
        <v>0</v>
      </c>
      <c r="CY17">
        <v>0</v>
      </c>
      <c r="CZ17">
        <v>0</v>
      </c>
      <c r="DB17">
        <v>0</v>
      </c>
      <c r="DC17" t="s">
        <v>1043</v>
      </c>
      <c r="DF17" t="s">
        <v>1055</v>
      </c>
      <c r="DH17">
        <v>0</v>
      </c>
      <c r="DJ17">
        <v>0</v>
      </c>
      <c r="DK17" t="s">
        <v>1053</v>
      </c>
      <c r="DL17">
        <v>0</v>
      </c>
      <c r="DN17">
        <v>0</v>
      </c>
      <c r="DO17" t="s">
        <v>1042</v>
      </c>
      <c r="DP17">
        <v>0</v>
      </c>
      <c r="DQ17">
        <v>0</v>
      </c>
      <c r="DS17">
        <v>0</v>
      </c>
      <c r="DU17">
        <v>0</v>
      </c>
      <c r="DW17">
        <v>0</v>
      </c>
      <c r="DX17" t="s">
        <v>1043</v>
      </c>
      <c r="DY17">
        <v>0</v>
      </c>
      <c r="DZ17">
        <v>0</v>
      </c>
      <c r="EA17">
        <v>0</v>
      </c>
      <c r="ED17" t="s">
        <v>1045</v>
      </c>
      <c r="EE17">
        <v>0</v>
      </c>
      <c r="EF17">
        <v>0</v>
      </c>
      <c r="EQ17" t="s">
        <v>1044</v>
      </c>
      <c r="ES17" t="s">
        <v>1053</v>
      </c>
      <c r="ET17">
        <v>0</v>
      </c>
      <c r="EV17">
        <v>0</v>
      </c>
      <c r="EY17" t="s">
        <v>1052</v>
      </c>
      <c r="EZ17">
        <v>0</v>
      </c>
      <c r="FA17" t="s">
        <v>1043</v>
      </c>
      <c r="FB17">
        <v>0</v>
      </c>
      <c r="FC17">
        <v>0</v>
      </c>
      <c r="FE17" t="s">
        <v>1050</v>
      </c>
      <c r="FF17">
        <v>0</v>
      </c>
      <c r="FG17" t="s">
        <v>1050</v>
      </c>
      <c r="FJ17">
        <v>0</v>
      </c>
      <c r="FK17">
        <v>0</v>
      </c>
      <c r="FP17">
        <v>0</v>
      </c>
      <c r="FR17">
        <v>0</v>
      </c>
      <c r="FS17" t="s">
        <v>1043</v>
      </c>
      <c r="FX17" t="s">
        <v>1042</v>
      </c>
      <c r="FZ17" t="s">
        <v>1048</v>
      </c>
      <c r="GA17">
        <v>0</v>
      </c>
      <c r="GB17" t="s">
        <v>1042</v>
      </c>
      <c r="GE17">
        <v>0</v>
      </c>
      <c r="GG17">
        <v>0</v>
      </c>
      <c r="GN17">
        <v>0</v>
      </c>
      <c r="GO17" t="s">
        <v>1063</v>
      </c>
      <c r="GQ17">
        <v>0</v>
      </c>
      <c r="GU17">
        <v>0</v>
      </c>
      <c r="GY17" t="s">
        <v>1045</v>
      </c>
      <c r="HB17">
        <v>0</v>
      </c>
      <c r="HE17">
        <v>0</v>
      </c>
      <c r="HF17">
        <v>0</v>
      </c>
      <c r="HG17">
        <v>0</v>
      </c>
      <c r="HK17" t="s">
        <v>1042</v>
      </c>
      <c r="HM17" t="s">
        <v>1047</v>
      </c>
      <c r="HN17">
        <v>0</v>
      </c>
      <c r="HP17">
        <v>0</v>
      </c>
      <c r="HQ17">
        <v>0</v>
      </c>
      <c r="HR17" t="s">
        <v>1042</v>
      </c>
      <c r="HS17" t="s">
        <v>1043</v>
      </c>
      <c r="HT17">
        <v>0</v>
      </c>
      <c r="HU17">
        <v>0</v>
      </c>
      <c r="HW17">
        <v>0</v>
      </c>
      <c r="HX17">
        <v>0</v>
      </c>
      <c r="HY17">
        <v>0</v>
      </c>
      <c r="HZ17" t="s">
        <v>1045</v>
      </c>
      <c r="IA17">
        <v>0</v>
      </c>
      <c r="IB17" t="s">
        <v>1045</v>
      </c>
      <c r="ID17" t="s">
        <v>1045</v>
      </c>
      <c r="IF17">
        <v>0</v>
      </c>
      <c r="IG17" t="s">
        <v>1042</v>
      </c>
      <c r="II17" t="s">
        <v>1042</v>
      </c>
      <c r="IR17" t="s">
        <v>1045</v>
      </c>
      <c r="IT17">
        <v>0</v>
      </c>
      <c r="IY17" t="s">
        <v>1044</v>
      </c>
      <c r="IZ17" t="s">
        <v>1043</v>
      </c>
      <c r="JC17" t="s">
        <v>1043</v>
      </c>
      <c r="JE17">
        <v>0</v>
      </c>
      <c r="JF17">
        <v>0</v>
      </c>
      <c r="JI17" t="s">
        <v>1042</v>
      </c>
      <c r="JJ17">
        <v>0</v>
      </c>
      <c r="JK17">
        <v>0</v>
      </c>
      <c r="JL17">
        <v>0</v>
      </c>
      <c r="JM17">
        <v>0</v>
      </c>
      <c r="JQ17" t="s">
        <v>1043</v>
      </c>
      <c r="JT17">
        <v>0</v>
      </c>
      <c r="JU17" t="s">
        <v>1042</v>
      </c>
      <c r="JW17">
        <v>0</v>
      </c>
      <c r="KA17">
        <v>0</v>
      </c>
      <c r="KF17">
        <v>0</v>
      </c>
      <c r="KG17">
        <v>0</v>
      </c>
      <c r="KH17">
        <v>0</v>
      </c>
      <c r="KI17">
        <v>0</v>
      </c>
      <c r="KS17" t="s">
        <v>1073</v>
      </c>
      <c r="KT17">
        <v>0</v>
      </c>
      <c r="KU17">
        <v>0</v>
      </c>
      <c r="KV17">
        <v>0</v>
      </c>
      <c r="KX17">
        <v>0</v>
      </c>
      <c r="KZ17">
        <v>0</v>
      </c>
      <c r="LF17">
        <v>0</v>
      </c>
      <c r="LH17">
        <v>0</v>
      </c>
      <c r="LI17">
        <v>0</v>
      </c>
    </row>
    <row r="18" spans="1:321" x14ac:dyDescent="0.35">
      <c r="A18">
        <v>1</v>
      </c>
      <c r="B18">
        <v>12262</v>
      </c>
      <c r="C18" t="s">
        <v>1694</v>
      </c>
      <c r="D18" t="s">
        <v>1139</v>
      </c>
      <c r="E18" t="s">
        <v>85</v>
      </c>
      <c r="F18">
        <v>80</v>
      </c>
      <c r="G18">
        <v>9000</v>
      </c>
      <c r="H18">
        <v>0</v>
      </c>
      <c r="I18" t="s">
        <v>1532</v>
      </c>
      <c r="L18">
        <v>0</v>
      </c>
      <c r="M18">
        <v>0</v>
      </c>
      <c r="N18">
        <v>0</v>
      </c>
      <c r="R18">
        <v>0</v>
      </c>
      <c r="S18">
        <v>0</v>
      </c>
      <c r="W18" t="s">
        <v>1060</v>
      </c>
      <c r="X18">
        <v>0</v>
      </c>
      <c r="Z18">
        <v>1</v>
      </c>
      <c r="AA18">
        <v>0</v>
      </c>
      <c r="AB18">
        <v>0</v>
      </c>
      <c r="AC18">
        <v>4412.92</v>
      </c>
      <c r="AD18" s="20">
        <v>43903</v>
      </c>
      <c r="AE18">
        <v>4050.87</v>
      </c>
      <c r="AF18">
        <v>0</v>
      </c>
      <c r="AH18">
        <v>0</v>
      </c>
      <c r="AJ18">
        <v>0</v>
      </c>
      <c r="AL18">
        <v>0</v>
      </c>
      <c r="AM18">
        <v>0</v>
      </c>
      <c r="AN18">
        <v>16601001</v>
      </c>
      <c r="AO18">
        <v>0</v>
      </c>
      <c r="AP18">
        <v>1000</v>
      </c>
      <c r="AT18">
        <v>0</v>
      </c>
      <c r="AU18" t="s">
        <v>1059</v>
      </c>
      <c r="AW18" t="s">
        <v>1053</v>
      </c>
      <c r="AX18">
        <v>0</v>
      </c>
      <c r="AY18" s="20">
        <v>40780</v>
      </c>
      <c r="BA18" s="20">
        <v>40780</v>
      </c>
      <c r="BB18" t="s">
        <v>1058</v>
      </c>
      <c r="BD18">
        <v>0</v>
      </c>
      <c r="BF18" t="s">
        <v>1043</v>
      </c>
      <c r="BG18" t="s">
        <v>1042</v>
      </c>
      <c r="BH18">
        <v>0</v>
      </c>
      <c r="BI18">
        <v>1</v>
      </c>
      <c r="BJ18">
        <v>0</v>
      </c>
      <c r="BK18">
        <v>0</v>
      </c>
      <c r="BM18" t="s">
        <v>1042</v>
      </c>
      <c r="BN18">
        <v>0</v>
      </c>
      <c r="BR18" t="s">
        <v>1043</v>
      </c>
      <c r="BS18" t="s">
        <v>1043</v>
      </c>
      <c r="BT18" t="s">
        <v>1043</v>
      </c>
      <c r="BW18">
        <v>83</v>
      </c>
      <c r="CA18">
        <v>0</v>
      </c>
      <c r="CB18" t="s">
        <v>1057</v>
      </c>
      <c r="CE18" t="s">
        <v>1043</v>
      </c>
      <c r="CH18" t="s">
        <v>1043</v>
      </c>
      <c r="CN18" t="s">
        <v>1056</v>
      </c>
      <c r="CO18" t="s">
        <v>1043</v>
      </c>
      <c r="CP18">
        <v>1</v>
      </c>
      <c r="CQ18">
        <v>0</v>
      </c>
      <c r="CS18">
        <v>0</v>
      </c>
      <c r="CT18">
        <v>0</v>
      </c>
      <c r="CU18">
        <v>0</v>
      </c>
      <c r="CV18" t="s">
        <v>1045</v>
      </c>
      <c r="CW18">
        <v>0</v>
      </c>
      <c r="CX18">
        <v>0</v>
      </c>
      <c r="CY18">
        <v>0</v>
      </c>
      <c r="CZ18">
        <v>0</v>
      </c>
      <c r="DB18">
        <v>0</v>
      </c>
      <c r="DC18" t="s">
        <v>1043</v>
      </c>
      <c r="DF18" t="s">
        <v>1055</v>
      </c>
      <c r="DH18">
        <v>0</v>
      </c>
      <c r="DJ18">
        <v>0</v>
      </c>
      <c r="DK18" t="s">
        <v>1053</v>
      </c>
      <c r="DL18">
        <v>0</v>
      </c>
      <c r="DN18">
        <v>0</v>
      </c>
      <c r="DO18" t="s">
        <v>1042</v>
      </c>
      <c r="DP18">
        <v>0</v>
      </c>
      <c r="DQ18">
        <v>0</v>
      </c>
      <c r="DS18">
        <v>0</v>
      </c>
      <c r="DU18">
        <v>0</v>
      </c>
      <c r="DW18">
        <v>0</v>
      </c>
      <c r="DX18" t="s">
        <v>1043</v>
      </c>
      <c r="DY18">
        <v>0</v>
      </c>
      <c r="DZ18">
        <v>0</v>
      </c>
      <c r="EA18">
        <v>0</v>
      </c>
      <c r="ED18" t="s">
        <v>1045</v>
      </c>
      <c r="EE18">
        <v>0</v>
      </c>
      <c r="EF18">
        <v>0</v>
      </c>
      <c r="EQ18" t="s">
        <v>1044</v>
      </c>
      <c r="ES18" t="s">
        <v>1053</v>
      </c>
      <c r="ET18">
        <v>0</v>
      </c>
      <c r="EV18">
        <v>0</v>
      </c>
      <c r="EY18" t="s">
        <v>1052</v>
      </c>
      <c r="EZ18">
        <v>0</v>
      </c>
      <c r="FA18" t="s">
        <v>1043</v>
      </c>
      <c r="FB18">
        <v>0</v>
      </c>
      <c r="FC18">
        <v>0</v>
      </c>
      <c r="FE18" t="s">
        <v>1050</v>
      </c>
      <c r="FF18">
        <v>0</v>
      </c>
      <c r="FG18" t="s">
        <v>1050</v>
      </c>
      <c r="FJ18">
        <v>0</v>
      </c>
      <c r="FK18">
        <v>0</v>
      </c>
      <c r="FP18">
        <v>0</v>
      </c>
      <c r="FR18">
        <v>0</v>
      </c>
      <c r="FS18" t="s">
        <v>1043</v>
      </c>
      <c r="FX18" t="s">
        <v>1042</v>
      </c>
      <c r="FZ18" t="s">
        <v>1048</v>
      </c>
      <c r="GA18">
        <v>0</v>
      </c>
      <c r="GB18" t="s">
        <v>1042</v>
      </c>
      <c r="GE18">
        <v>0</v>
      </c>
      <c r="GG18">
        <v>0</v>
      </c>
      <c r="GN18">
        <v>0</v>
      </c>
      <c r="GO18" t="s">
        <v>1063</v>
      </c>
      <c r="GQ18">
        <v>0</v>
      </c>
      <c r="GU18">
        <v>0</v>
      </c>
      <c r="GY18" t="s">
        <v>1045</v>
      </c>
      <c r="HB18">
        <v>0</v>
      </c>
      <c r="HE18">
        <v>0</v>
      </c>
      <c r="HF18">
        <v>0</v>
      </c>
      <c r="HG18">
        <v>0</v>
      </c>
      <c r="HK18" t="s">
        <v>1042</v>
      </c>
      <c r="HM18" t="s">
        <v>1047</v>
      </c>
      <c r="HN18">
        <v>0</v>
      </c>
      <c r="HP18">
        <v>0</v>
      </c>
      <c r="HQ18">
        <v>0</v>
      </c>
      <c r="HR18" t="s">
        <v>1042</v>
      </c>
      <c r="HS18" t="s">
        <v>1043</v>
      </c>
      <c r="HT18">
        <v>0</v>
      </c>
      <c r="HU18">
        <v>0</v>
      </c>
      <c r="HW18">
        <v>0</v>
      </c>
      <c r="HX18">
        <v>0</v>
      </c>
      <c r="HY18">
        <v>1</v>
      </c>
      <c r="HZ18" t="s">
        <v>1045</v>
      </c>
      <c r="IA18">
        <v>4050.87</v>
      </c>
      <c r="IB18" t="s">
        <v>1045</v>
      </c>
      <c r="ID18" t="s">
        <v>1045</v>
      </c>
      <c r="IF18">
        <v>0</v>
      </c>
      <c r="IG18" t="s">
        <v>1042</v>
      </c>
      <c r="II18" t="s">
        <v>1042</v>
      </c>
      <c r="IR18" t="s">
        <v>1045</v>
      </c>
      <c r="IT18">
        <v>0</v>
      </c>
      <c r="IY18" t="s">
        <v>1044</v>
      </c>
      <c r="IZ18" t="s">
        <v>1043</v>
      </c>
      <c r="JC18" t="s">
        <v>1043</v>
      </c>
      <c r="JE18">
        <v>0</v>
      </c>
      <c r="JF18">
        <v>0</v>
      </c>
      <c r="JI18" t="s">
        <v>1042</v>
      </c>
      <c r="JJ18">
        <v>0</v>
      </c>
      <c r="JK18">
        <v>0</v>
      </c>
      <c r="JL18">
        <v>0</v>
      </c>
      <c r="JM18">
        <v>0</v>
      </c>
      <c r="JQ18" t="s">
        <v>1043</v>
      </c>
      <c r="JT18">
        <v>0</v>
      </c>
      <c r="JU18" t="s">
        <v>1042</v>
      </c>
      <c r="JW18">
        <v>0</v>
      </c>
      <c r="KA18">
        <v>0</v>
      </c>
      <c r="KF18">
        <v>0</v>
      </c>
      <c r="KG18">
        <v>0</v>
      </c>
      <c r="KH18">
        <v>0</v>
      </c>
      <c r="KI18">
        <v>0</v>
      </c>
      <c r="KS18" t="s">
        <v>1073</v>
      </c>
      <c r="KT18">
        <v>0</v>
      </c>
      <c r="KU18">
        <v>0</v>
      </c>
      <c r="KV18">
        <v>0</v>
      </c>
      <c r="KX18">
        <v>0</v>
      </c>
      <c r="KZ18">
        <v>0</v>
      </c>
      <c r="LF18">
        <v>0</v>
      </c>
      <c r="LH18">
        <v>0</v>
      </c>
      <c r="LI18">
        <v>0</v>
      </c>
    </row>
    <row r="19" spans="1:321" x14ac:dyDescent="0.35">
      <c r="A19">
        <v>1</v>
      </c>
      <c r="B19">
        <v>12263</v>
      </c>
      <c r="C19" t="s">
        <v>1693</v>
      </c>
      <c r="D19" t="s">
        <v>1139</v>
      </c>
      <c r="E19" t="s">
        <v>587</v>
      </c>
      <c r="F19">
        <v>80</v>
      </c>
      <c r="G19">
        <v>9000</v>
      </c>
      <c r="H19">
        <v>0</v>
      </c>
      <c r="I19" t="s">
        <v>1323</v>
      </c>
      <c r="L19">
        <v>0</v>
      </c>
      <c r="M19">
        <v>0</v>
      </c>
      <c r="N19">
        <v>0</v>
      </c>
      <c r="R19">
        <v>0</v>
      </c>
      <c r="S19">
        <v>0</v>
      </c>
      <c r="W19" t="s">
        <v>1060</v>
      </c>
      <c r="X19">
        <v>0</v>
      </c>
      <c r="Z19">
        <v>1</v>
      </c>
      <c r="AA19">
        <v>0</v>
      </c>
      <c r="AB19">
        <v>0</v>
      </c>
      <c r="AC19">
        <v>16.14</v>
      </c>
      <c r="AD19" s="20">
        <v>40781</v>
      </c>
      <c r="AE19">
        <v>5.94</v>
      </c>
      <c r="AF19">
        <v>0</v>
      </c>
      <c r="AH19">
        <v>0</v>
      </c>
      <c r="AJ19">
        <v>0</v>
      </c>
      <c r="AL19">
        <v>0</v>
      </c>
      <c r="AM19">
        <v>0</v>
      </c>
      <c r="AN19">
        <v>16601001</v>
      </c>
      <c r="AO19">
        <v>0</v>
      </c>
      <c r="AP19">
        <v>1000</v>
      </c>
      <c r="AT19">
        <v>0</v>
      </c>
      <c r="AU19" t="s">
        <v>1059</v>
      </c>
      <c r="AW19" t="s">
        <v>1053</v>
      </c>
      <c r="AX19">
        <v>0</v>
      </c>
      <c r="AY19" s="20">
        <v>40781</v>
      </c>
      <c r="BA19" s="20">
        <v>40781</v>
      </c>
      <c r="BB19" t="s">
        <v>1058</v>
      </c>
      <c r="BD19">
        <v>0</v>
      </c>
      <c r="BF19" t="s">
        <v>1043</v>
      </c>
      <c r="BG19" t="s">
        <v>1042</v>
      </c>
      <c r="BH19">
        <v>0</v>
      </c>
      <c r="BI19">
        <v>1</v>
      </c>
      <c r="BJ19">
        <v>0</v>
      </c>
      <c r="BK19">
        <v>0</v>
      </c>
      <c r="BM19" t="s">
        <v>1042</v>
      </c>
      <c r="BN19">
        <v>0</v>
      </c>
      <c r="BR19" t="s">
        <v>1043</v>
      </c>
      <c r="BS19" t="s">
        <v>1043</v>
      </c>
      <c r="BT19" t="s">
        <v>1043</v>
      </c>
      <c r="BW19">
        <v>63</v>
      </c>
      <c r="CA19">
        <v>0</v>
      </c>
      <c r="CB19" t="s">
        <v>1057</v>
      </c>
      <c r="CE19" t="s">
        <v>1043</v>
      </c>
      <c r="CH19" t="s">
        <v>1043</v>
      </c>
      <c r="CN19" t="s">
        <v>1074</v>
      </c>
      <c r="CO19" t="s">
        <v>1043</v>
      </c>
      <c r="CP19">
        <v>1</v>
      </c>
      <c r="CQ19">
        <v>0</v>
      </c>
      <c r="CS19">
        <v>0</v>
      </c>
      <c r="CT19">
        <v>0</v>
      </c>
      <c r="CU19">
        <v>0</v>
      </c>
      <c r="CV19" t="s">
        <v>1045</v>
      </c>
      <c r="CW19">
        <v>0</v>
      </c>
      <c r="CX19">
        <v>0</v>
      </c>
      <c r="CY19">
        <v>0</v>
      </c>
      <c r="CZ19">
        <v>0</v>
      </c>
      <c r="DB19">
        <v>0</v>
      </c>
      <c r="DC19" t="s">
        <v>1043</v>
      </c>
      <c r="DF19" t="s">
        <v>1055</v>
      </c>
      <c r="DH19">
        <v>0</v>
      </c>
      <c r="DJ19">
        <v>0</v>
      </c>
      <c r="DK19" t="s">
        <v>1053</v>
      </c>
      <c r="DL19">
        <v>0</v>
      </c>
      <c r="DN19">
        <v>0</v>
      </c>
      <c r="DO19" t="s">
        <v>1042</v>
      </c>
      <c r="DP19">
        <v>0</v>
      </c>
      <c r="DQ19">
        <v>0</v>
      </c>
      <c r="DS19">
        <v>0</v>
      </c>
      <c r="DU19">
        <v>0</v>
      </c>
      <c r="DW19">
        <v>0</v>
      </c>
      <c r="DX19" t="s">
        <v>1043</v>
      </c>
      <c r="DY19">
        <v>0</v>
      </c>
      <c r="DZ19">
        <v>0</v>
      </c>
      <c r="EA19">
        <v>0</v>
      </c>
      <c r="ED19" t="s">
        <v>1045</v>
      </c>
      <c r="EE19">
        <v>0</v>
      </c>
      <c r="EF19">
        <v>0</v>
      </c>
      <c r="EQ19" t="s">
        <v>1044</v>
      </c>
      <c r="ES19" t="s">
        <v>1053</v>
      </c>
      <c r="ET19">
        <v>0</v>
      </c>
      <c r="EV19">
        <v>0</v>
      </c>
      <c r="EY19" t="s">
        <v>1052</v>
      </c>
      <c r="EZ19">
        <v>0</v>
      </c>
      <c r="FA19" t="s">
        <v>1043</v>
      </c>
      <c r="FB19">
        <v>0</v>
      </c>
      <c r="FC19">
        <v>0</v>
      </c>
      <c r="FE19" t="s">
        <v>1050</v>
      </c>
      <c r="FF19">
        <v>0</v>
      </c>
      <c r="FG19" t="s">
        <v>1050</v>
      </c>
      <c r="FJ19">
        <v>0</v>
      </c>
      <c r="FK19">
        <v>0</v>
      </c>
      <c r="FP19">
        <v>0</v>
      </c>
      <c r="FR19">
        <v>0</v>
      </c>
      <c r="FX19" t="s">
        <v>1042</v>
      </c>
      <c r="FZ19" t="s">
        <v>1048</v>
      </c>
      <c r="GA19">
        <v>0</v>
      </c>
      <c r="GB19" t="s">
        <v>1042</v>
      </c>
      <c r="GE19">
        <v>0</v>
      </c>
      <c r="GG19">
        <v>0</v>
      </c>
      <c r="GN19">
        <v>0</v>
      </c>
      <c r="GO19" t="s">
        <v>1063</v>
      </c>
      <c r="GQ19">
        <v>0</v>
      </c>
      <c r="GU19">
        <v>0</v>
      </c>
      <c r="GY19" t="s">
        <v>1045</v>
      </c>
      <c r="HB19">
        <v>0</v>
      </c>
      <c r="HE19">
        <v>0</v>
      </c>
      <c r="HF19">
        <v>0</v>
      </c>
      <c r="HG19">
        <v>0</v>
      </c>
      <c r="HK19" t="s">
        <v>1042</v>
      </c>
      <c r="HM19" t="s">
        <v>1047</v>
      </c>
      <c r="HN19">
        <v>0</v>
      </c>
      <c r="HP19">
        <v>0</v>
      </c>
      <c r="HQ19">
        <v>0</v>
      </c>
      <c r="HR19" t="s">
        <v>1042</v>
      </c>
      <c r="HS19" t="s">
        <v>1043</v>
      </c>
      <c r="HT19">
        <v>0</v>
      </c>
      <c r="HU19">
        <v>0</v>
      </c>
      <c r="HW19">
        <v>0</v>
      </c>
      <c r="HX19">
        <v>0</v>
      </c>
      <c r="HY19">
        <v>0</v>
      </c>
      <c r="HZ19" t="s">
        <v>1045</v>
      </c>
      <c r="IA19">
        <v>0</v>
      </c>
      <c r="IB19" t="s">
        <v>1045</v>
      </c>
      <c r="ID19" t="s">
        <v>1045</v>
      </c>
      <c r="IF19">
        <v>0</v>
      </c>
      <c r="IG19" t="s">
        <v>1042</v>
      </c>
      <c r="II19" t="s">
        <v>1042</v>
      </c>
      <c r="IR19" t="s">
        <v>1045</v>
      </c>
      <c r="IT19">
        <v>0</v>
      </c>
      <c r="IY19" t="s">
        <v>1044</v>
      </c>
      <c r="IZ19" t="s">
        <v>1043</v>
      </c>
      <c r="JC19" t="s">
        <v>1043</v>
      </c>
      <c r="JE19">
        <v>0</v>
      </c>
      <c r="JF19">
        <v>0</v>
      </c>
      <c r="JI19" t="s">
        <v>1042</v>
      </c>
      <c r="JJ19">
        <v>0</v>
      </c>
      <c r="JK19">
        <v>0</v>
      </c>
      <c r="JL19">
        <v>0</v>
      </c>
      <c r="JM19">
        <v>0</v>
      </c>
      <c r="JQ19" t="s">
        <v>1043</v>
      </c>
      <c r="JT19">
        <v>0</v>
      </c>
      <c r="JU19" t="s">
        <v>1042</v>
      </c>
      <c r="JW19">
        <v>0</v>
      </c>
      <c r="KA19">
        <v>0</v>
      </c>
      <c r="KF19">
        <v>0</v>
      </c>
      <c r="KG19">
        <v>0</v>
      </c>
      <c r="KH19">
        <v>0</v>
      </c>
      <c r="KI19">
        <v>0</v>
      </c>
      <c r="KS19" t="s">
        <v>1073</v>
      </c>
      <c r="KT19">
        <v>0</v>
      </c>
      <c r="KU19">
        <v>0</v>
      </c>
      <c r="KV19">
        <v>0</v>
      </c>
      <c r="KX19">
        <v>0</v>
      </c>
      <c r="KZ19">
        <v>0</v>
      </c>
      <c r="LF19">
        <v>0</v>
      </c>
      <c r="LH19">
        <v>0</v>
      </c>
      <c r="LI19">
        <v>0</v>
      </c>
    </row>
    <row r="20" spans="1:321" x14ac:dyDescent="0.35">
      <c r="A20">
        <v>1</v>
      </c>
      <c r="B20">
        <v>12264</v>
      </c>
      <c r="C20" t="s">
        <v>1692</v>
      </c>
      <c r="D20" t="s">
        <v>1139</v>
      </c>
      <c r="E20" t="s">
        <v>85</v>
      </c>
      <c r="F20">
        <v>80</v>
      </c>
      <c r="G20">
        <v>9000</v>
      </c>
      <c r="H20">
        <v>0</v>
      </c>
      <c r="I20" t="s">
        <v>1509</v>
      </c>
      <c r="L20">
        <v>0</v>
      </c>
      <c r="M20">
        <v>0</v>
      </c>
      <c r="N20">
        <v>0</v>
      </c>
      <c r="R20">
        <v>0</v>
      </c>
      <c r="S20">
        <v>0</v>
      </c>
      <c r="W20" t="s">
        <v>1060</v>
      </c>
      <c r="X20">
        <v>0</v>
      </c>
      <c r="Z20">
        <v>1</v>
      </c>
      <c r="AA20">
        <v>0</v>
      </c>
      <c r="AB20">
        <v>0</v>
      </c>
      <c r="AC20">
        <v>486.23669999999998</v>
      </c>
      <c r="AD20" s="20">
        <v>40766</v>
      </c>
      <c r="AE20">
        <v>467.78</v>
      </c>
      <c r="AF20">
        <v>0</v>
      </c>
      <c r="AH20">
        <v>0</v>
      </c>
      <c r="AJ20">
        <v>0</v>
      </c>
      <c r="AL20">
        <v>0</v>
      </c>
      <c r="AM20">
        <v>0</v>
      </c>
      <c r="AN20">
        <v>16601001</v>
      </c>
      <c r="AO20">
        <v>0</v>
      </c>
      <c r="AP20">
        <v>1000</v>
      </c>
      <c r="AT20">
        <v>0</v>
      </c>
      <c r="AU20" t="s">
        <v>1059</v>
      </c>
      <c r="AW20" t="s">
        <v>1053</v>
      </c>
      <c r="AX20">
        <v>0</v>
      </c>
      <c r="AY20" s="20">
        <v>40781</v>
      </c>
      <c r="BA20" s="20">
        <v>40781</v>
      </c>
      <c r="BB20" t="s">
        <v>1058</v>
      </c>
      <c r="BD20">
        <v>0</v>
      </c>
      <c r="BF20" t="s">
        <v>1043</v>
      </c>
      <c r="BG20" t="s">
        <v>1042</v>
      </c>
      <c r="BH20">
        <v>0</v>
      </c>
      <c r="BI20">
        <v>1</v>
      </c>
      <c r="BJ20">
        <v>0</v>
      </c>
      <c r="BK20">
        <v>0</v>
      </c>
      <c r="BM20" t="s">
        <v>1042</v>
      </c>
      <c r="BN20">
        <v>0</v>
      </c>
      <c r="BR20" t="s">
        <v>1043</v>
      </c>
      <c r="BS20" t="s">
        <v>1043</v>
      </c>
      <c r="BT20" t="s">
        <v>1043</v>
      </c>
      <c r="BW20">
        <v>83</v>
      </c>
      <c r="CA20">
        <v>0</v>
      </c>
      <c r="CB20" t="s">
        <v>1057</v>
      </c>
      <c r="CE20" t="s">
        <v>1043</v>
      </c>
      <c r="CH20" t="s">
        <v>1043</v>
      </c>
      <c r="CN20" t="s">
        <v>1056</v>
      </c>
      <c r="CO20" t="s">
        <v>1043</v>
      </c>
      <c r="CP20">
        <v>1</v>
      </c>
      <c r="CQ20">
        <v>0</v>
      </c>
      <c r="CS20">
        <v>0</v>
      </c>
      <c r="CT20">
        <v>0</v>
      </c>
      <c r="CU20">
        <v>0</v>
      </c>
      <c r="CV20" t="s">
        <v>1045</v>
      </c>
      <c r="CW20">
        <v>0</v>
      </c>
      <c r="CX20">
        <v>0</v>
      </c>
      <c r="CY20">
        <v>0</v>
      </c>
      <c r="CZ20">
        <v>0</v>
      </c>
      <c r="DB20">
        <v>0</v>
      </c>
      <c r="DC20" t="s">
        <v>1043</v>
      </c>
      <c r="DF20" t="s">
        <v>1055</v>
      </c>
      <c r="DH20">
        <v>0</v>
      </c>
      <c r="DJ20">
        <v>0</v>
      </c>
      <c r="DK20" t="s">
        <v>1053</v>
      </c>
      <c r="DL20">
        <v>0</v>
      </c>
      <c r="DN20">
        <v>0</v>
      </c>
      <c r="DO20" t="s">
        <v>1042</v>
      </c>
      <c r="DP20">
        <v>0</v>
      </c>
      <c r="DQ20">
        <v>0</v>
      </c>
      <c r="DS20">
        <v>0</v>
      </c>
      <c r="DU20">
        <v>0</v>
      </c>
      <c r="DW20">
        <v>0</v>
      </c>
      <c r="DX20" t="s">
        <v>1043</v>
      </c>
      <c r="DY20">
        <v>0</v>
      </c>
      <c r="DZ20">
        <v>0</v>
      </c>
      <c r="EA20">
        <v>0</v>
      </c>
      <c r="ED20" t="s">
        <v>1045</v>
      </c>
      <c r="EE20">
        <v>0</v>
      </c>
      <c r="EF20">
        <v>0</v>
      </c>
      <c r="EQ20" t="s">
        <v>1044</v>
      </c>
      <c r="ES20" t="s">
        <v>1053</v>
      </c>
      <c r="ET20">
        <v>0</v>
      </c>
      <c r="EV20">
        <v>0</v>
      </c>
      <c r="EY20" t="s">
        <v>1052</v>
      </c>
      <c r="EZ20">
        <v>0</v>
      </c>
      <c r="FA20" t="s">
        <v>1043</v>
      </c>
      <c r="FB20">
        <v>0</v>
      </c>
      <c r="FC20">
        <v>0</v>
      </c>
      <c r="FE20" t="s">
        <v>1050</v>
      </c>
      <c r="FF20">
        <v>0</v>
      </c>
      <c r="FG20" t="s">
        <v>1050</v>
      </c>
      <c r="FJ20">
        <v>0</v>
      </c>
      <c r="FK20">
        <v>0</v>
      </c>
      <c r="FP20">
        <v>0</v>
      </c>
      <c r="FR20">
        <v>0</v>
      </c>
      <c r="FS20" t="s">
        <v>1043</v>
      </c>
      <c r="FX20" t="s">
        <v>1042</v>
      </c>
      <c r="FZ20" t="s">
        <v>1048</v>
      </c>
      <c r="GA20">
        <v>0</v>
      </c>
      <c r="GB20" t="s">
        <v>1042</v>
      </c>
      <c r="GE20">
        <v>0</v>
      </c>
      <c r="GG20">
        <v>0</v>
      </c>
      <c r="GN20">
        <v>0</v>
      </c>
      <c r="GO20" t="s">
        <v>1063</v>
      </c>
      <c r="GQ20">
        <v>0</v>
      </c>
      <c r="GU20">
        <v>0</v>
      </c>
      <c r="GY20" t="s">
        <v>1045</v>
      </c>
      <c r="HB20">
        <v>0</v>
      </c>
      <c r="HE20">
        <v>0</v>
      </c>
      <c r="HF20">
        <v>0</v>
      </c>
      <c r="HG20">
        <v>0</v>
      </c>
      <c r="HK20" t="s">
        <v>1042</v>
      </c>
      <c r="HM20" t="s">
        <v>1047</v>
      </c>
      <c r="HN20">
        <v>0</v>
      </c>
      <c r="HP20">
        <v>0</v>
      </c>
      <c r="HQ20">
        <v>0</v>
      </c>
      <c r="HR20" t="s">
        <v>1042</v>
      </c>
      <c r="HS20" t="s">
        <v>1043</v>
      </c>
      <c r="HT20">
        <v>0</v>
      </c>
      <c r="HU20">
        <v>0</v>
      </c>
      <c r="HW20">
        <v>0</v>
      </c>
      <c r="HX20">
        <v>0</v>
      </c>
      <c r="HY20">
        <v>0</v>
      </c>
      <c r="HZ20" t="s">
        <v>1045</v>
      </c>
      <c r="IA20">
        <v>0</v>
      </c>
      <c r="IB20" t="s">
        <v>1045</v>
      </c>
      <c r="ID20" t="s">
        <v>1045</v>
      </c>
      <c r="IF20">
        <v>0</v>
      </c>
      <c r="IG20" t="s">
        <v>1042</v>
      </c>
      <c r="II20" t="s">
        <v>1042</v>
      </c>
      <c r="IR20" t="s">
        <v>1045</v>
      </c>
      <c r="IT20">
        <v>0</v>
      </c>
      <c r="IY20" t="s">
        <v>1044</v>
      </c>
      <c r="IZ20" t="s">
        <v>1043</v>
      </c>
      <c r="JC20" t="s">
        <v>1043</v>
      </c>
      <c r="JE20">
        <v>0</v>
      </c>
      <c r="JF20">
        <v>0</v>
      </c>
      <c r="JI20" t="s">
        <v>1042</v>
      </c>
      <c r="JJ20">
        <v>0</v>
      </c>
      <c r="JK20">
        <v>0</v>
      </c>
      <c r="JL20">
        <v>0</v>
      </c>
      <c r="JM20">
        <v>0</v>
      </c>
      <c r="JQ20" t="s">
        <v>1043</v>
      </c>
      <c r="JT20">
        <v>0</v>
      </c>
      <c r="JU20" t="s">
        <v>1042</v>
      </c>
      <c r="JW20">
        <v>0</v>
      </c>
      <c r="KA20">
        <v>0</v>
      </c>
      <c r="KF20">
        <v>0</v>
      </c>
      <c r="KG20">
        <v>0</v>
      </c>
      <c r="KH20">
        <v>0</v>
      </c>
      <c r="KI20">
        <v>0</v>
      </c>
      <c r="KS20" t="s">
        <v>1073</v>
      </c>
      <c r="KT20">
        <v>0</v>
      </c>
      <c r="KU20">
        <v>0</v>
      </c>
      <c r="KV20">
        <v>0</v>
      </c>
      <c r="KX20">
        <v>0</v>
      </c>
      <c r="KZ20">
        <v>0</v>
      </c>
      <c r="LF20">
        <v>0</v>
      </c>
      <c r="LH20">
        <v>0</v>
      </c>
      <c r="LI20">
        <v>0</v>
      </c>
    </row>
    <row r="21" spans="1:321" x14ac:dyDescent="0.35">
      <c r="A21">
        <v>1</v>
      </c>
      <c r="B21">
        <v>12265</v>
      </c>
      <c r="C21" t="s">
        <v>1691</v>
      </c>
      <c r="D21" t="s">
        <v>1076</v>
      </c>
      <c r="E21" t="s">
        <v>85</v>
      </c>
      <c r="F21">
        <v>80</v>
      </c>
      <c r="G21">
        <v>49</v>
      </c>
      <c r="H21">
        <v>0</v>
      </c>
      <c r="I21" t="s">
        <v>1690</v>
      </c>
      <c r="L21">
        <v>0</v>
      </c>
      <c r="M21">
        <v>0</v>
      </c>
      <c r="N21">
        <v>0</v>
      </c>
      <c r="R21">
        <v>0</v>
      </c>
      <c r="S21">
        <v>0</v>
      </c>
      <c r="W21" t="s">
        <v>1060</v>
      </c>
      <c r="X21">
        <v>0</v>
      </c>
      <c r="Z21">
        <v>1</v>
      </c>
      <c r="AA21">
        <v>0</v>
      </c>
      <c r="AB21">
        <v>0</v>
      </c>
      <c r="AC21">
        <v>0.15</v>
      </c>
      <c r="AD21" s="20">
        <v>40780</v>
      </c>
      <c r="AE21">
        <v>1</v>
      </c>
      <c r="AF21">
        <v>0</v>
      </c>
      <c r="AH21">
        <v>0</v>
      </c>
      <c r="AJ21">
        <v>0</v>
      </c>
      <c r="AL21">
        <v>1</v>
      </c>
      <c r="AM21">
        <v>0</v>
      </c>
      <c r="AN21">
        <v>16601001</v>
      </c>
      <c r="AO21">
        <v>0</v>
      </c>
      <c r="AP21">
        <v>1000</v>
      </c>
      <c r="AT21">
        <v>0</v>
      </c>
      <c r="AU21" t="s">
        <v>1059</v>
      </c>
      <c r="AW21" t="s">
        <v>1053</v>
      </c>
      <c r="AX21">
        <v>0</v>
      </c>
      <c r="AY21" s="20">
        <v>40781</v>
      </c>
      <c r="BA21" s="20">
        <v>40781</v>
      </c>
      <c r="BB21" t="s">
        <v>1058</v>
      </c>
      <c r="BD21">
        <v>0</v>
      </c>
      <c r="BF21" t="s">
        <v>1043</v>
      </c>
      <c r="BG21" t="s">
        <v>1042</v>
      </c>
      <c r="BH21">
        <v>0</v>
      </c>
      <c r="BI21">
        <v>1</v>
      </c>
      <c r="BJ21">
        <v>0</v>
      </c>
      <c r="BK21">
        <v>0</v>
      </c>
      <c r="BM21" t="s">
        <v>1042</v>
      </c>
      <c r="BN21">
        <v>0</v>
      </c>
      <c r="BR21" t="s">
        <v>1043</v>
      </c>
      <c r="BS21" t="s">
        <v>1043</v>
      </c>
      <c r="BT21" t="s">
        <v>1043</v>
      </c>
      <c r="BW21">
        <v>60</v>
      </c>
      <c r="CA21">
        <v>0</v>
      </c>
      <c r="CB21" t="s">
        <v>1057</v>
      </c>
      <c r="CE21" t="s">
        <v>1043</v>
      </c>
      <c r="CH21" t="s">
        <v>1043</v>
      </c>
      <c r="CN21" t="s">
        <v>1056</v>
      </c>
      <c r="CO21" t="s">
        <v>1043</v>
      </c>
      <c r="CP21">
        <v>1</v>
      </c>
      <c r="CQ21">
        <v>0</v>
      </c>
      <c r="CS21">
        <v>0</v>
      </c>
      <c r="CT21">
        <v>0</v>
      </c>
      <c r="CU21">
        <v>0</v>
      </c>
      <c r="CV21" t="s">
        <v>1045</v>
      </c>
      <c r="CW21">
        <v>0</v>
      </c>
      <c r="CX21">
        <v>0</v>
      </c>
      <c r="CY21">
        <v>0</v>
      </c>
      <c r="CZ21">
        <v>0</v>
      </c>
      <c r="DB21">
        <v>0</v>
      </c>
      <c r="DC21" t="s">
        <v>1043</v>
      </c>
      <c r="DF21" t="s">
        <v>1055</v>
      </c>
      <c r="DH21">
        <v>0</v>
      </c>
      <c r="DJ21">
        <v>0</v>
      </c>
      <c r="DK21" t="s">
        <v>1053</v>
      </c>
      <c r="DL21">
        <v>0</v>
      </c>
      <c r="DN21">
        <v>0</v>
      </c>
      <c r="DO21" t="s">
        <v>1042</v>
      </c>
      <c r="DP21">
        <v>0</v>
      </c>
      <c r="DQ21">
        <v>0</v>
      </c>
      <c r="DS21">
        <v>0</v>
      </c>
      <c r="DU21">
        <v>0</v>
      </c>
      <c r="DW21">
        <v>0</v>
      </c>
      <c r="DX21" t="s">
        <v>1043</v>
      </c>
      <c r="DY21">
        <v>0</v>
      </c>
      <c r="DZ21">
        <v>0</v>
      </c>
      <c r="EA21">
        <v>0</v>
      </c>
      <c r="ED21" t="s">
        <v>1045</v>
      </c>
      <c r="EE21">
        <v>0</v>
      </c>
      <c r="EF21">
        <v>0</v>
      </c>
      <c r="EQ21" t="s">
        <v>1044</v>
      </c>
      <c r="ES21" t="s">
        <v>1053</v>
      </c>
      <c r="ET21">
        <v>0</v>
      </c>
      <c r="EV21">
        <v>0</v>
      </c>
      <c r="EY21" t="s">
        <v>1052</v>
      </c>
      <c r="EZ21">
        <v>0</v>
      </c>
      <c r="FA21" t="s">
        <v>1043</v>
      </c>
      <c r="FB21">
        <v>0</v>
      </c>
      <c r="FC21">
        <v>0</v>
      </c>
      <c r="FE21" t="s">
        <v>1050</v>
      </c>
      <c r="FF21">
        <v>0</v>
      </c>
      <c r="FG21" t="s">
        <v>1050</v>
      </c>
      <c r="FJ21">
        <v>0</v>
      </c>
      <c r="FK21">
        <v>0</v>
      </c>
      <c r="FP21">
        <v>0</v>
      </c>
      <c r="FR21">
        <v>0</v>
      </c>
      <c r="FS21" t="s">
        <v>1043</v>
      </c>
      <c r="FX21" t="s">
        <v>1042</v>
      </c>
      <c r="FZ21" t="s">
        <v>1048</v>
      </c>
      <c r="GA21">
        <v>0</v>
      </c>
      <c r="GB21" t="s">
        <v>1042</v>
      </c>
      <c r="GE21">
        <v>0</v>
      </c>
      <c r="GG21">
        <v>0</v>
      </c>
      <c r="GN21">
        <v>0</v>
      </c>
      <c r="GO21" t="s">
        <v>1063</v>
      </c>
      <c r="GQ21">
        <v>0</v>
      </c>
      <c r="GU21">
        <v>0</v>
      </c>
      <c r="GY21" t="s">
        <v>1045</v>
      </c>
      <c r="HB21">
        <v>0</v>
      </c>
      <c r="HE21">
        <v>0</v>
      </c>
      <c r="HF21">
        <v>0</v>
      </c>
      <c r="HG21">
        <v>0</v>
      </c>
      <c r="HK21" t="s">
        <v>1042</v>
      </c>
      <c r="HM21" t="s">
        <v>1047</v>
      </c>
      <c r="HN21">
        <v>0</v>
      </c>
      <c r="HP21">
        <v>0</v>
      </c>
      <c r="HQ21">
        <v>0</v>
      </c>
      <c r="HR21" t="s">
        <v>1042</v>
      </c>
      <c r="HS21" t="s">
        <v>1043</v>
      </c>
      <c r="HT21">
        <v>0</v>
      </c>
      <c r="HU21">
        <v>0</v>
      </c>
      <c r="HW21">
        <v>0</v>
      </c>
      <c r="HX21">
        <v>0</v>
      </c>
      <c r="HY21">
        <v>0</v>
      </c>
      <c r="HZ21" t="s">
        <v>1045</v>
      </c>
      <c r="IA21">
        <v>0</v>
      </c>
      <c r="IB21" t="s">
        <v>1045</v>
      </c>
      <c r="ID21" t="s">
        <v>1045</v>
      </c>
      <c r="IF21">
        <v>0</v>
      </c>
      <c r="IG21" t="s">
        <v>1042</v>
      </c>
      <c r="II21" t="s">
        <v>1042</v>
      </c>
      <c r="IR21" t="s">
        <v>1045</v>
      </c>
      <c r="IT21">
        <v>0</v>
      </c>
      <c r="IY21" t="s">
        <v>1044</v>
      </c>
      <c r="IZ21" t="s">
        <v>1043</v>
      </c>
      <c r="JC21" t="s">
        <v>1043</v>
      </c>
      <c r="JE21">
        <v>0</v>
      </c>
      <c r="JF21">
        <v>0</v>
      </c>
      <c r="JI21" t="s">
        <v>1042</v>
      </c>
      <c r="JJ21">
        <v>0</v>
      </c>
      <c r="JK21">
        <v>0</v>
      </c>
      <c r="JL21">
        <v>0</v>
      </c>
      <c r="JM21">
        <v>0</v>
      </c>
      <c r="JQ21" t="s">
        <v>1043</v>
      </c>
      <c r="JT21">
        <v>0</v>
      </c>
      <c r="JU21" t="s">
        <v>1042</v>
      </c>
      <c r="JW21">
        <v>0</v>
      </c>
      <c r="KA21">
        <v>0</v>
      </c>
      <c r="KF21">
        <v>0</v>
      </c>
      <c r="KG21">
        <v>0</v>
      </c>
      <c r="KH21">
        <v>0</v>
      </c>
      <c r="KI21">
        <v>0</v>
      </c>
      <c r="KS21" t="s">
        <v>1073</v>
      </c>
      <c r="KT21">
        <v>0</v>
      </c>
      <c r="KU21">
        <v>0</v>
      </c>
      <c r="KV21">
        <v>0</v>
      </c>
      <c r="KX21">
        <v>0</v>
      </c>
      <c r="KZ21">
        <v>0</v>
      </c>
      <c r="LF21">
        <v>0</v>
      </c>
      <c r="LH21">
        <v>0</v>
      </c>
      <c r="LI21">
        <v>0</v>
      </c>
    </row>
    <row r="22" spans="1:321" x14ac:dyDescent="0.35">
      <c r="A22">
        <v>1</v>
      </c>
      <c r="B22">
        <v>12266</v>
      </c>
      <c r="C22" t="s">
        <v>1689</v>
      </c>
      <c r="D22" t="s">
        <v>1139</v>
      </c>
      <c r="E22" t="s">
        <v>85</v>
      </c>
      <c r="F22">
        <v>80</v>
      </c>
      <c r="G22">
        <v>9000</v>
      </c>
      <c r="H22">
        <v>0</v>
      </c>
      <c r="I22" t="s">
        <v>1509</v>
      </c>
      <c r="L22">
        <v>0</v>
      </c>
      <c r="M22">
        <v>0</v>
      </c>
      <c r="N22">
        <v>0</v>
      </c>
      <c r="R22">
        <v>0</v>
      </c>
      <c r="S22">
        <v>0</v>
      </c>
      <c r="W22" t="s">
        <v>1060</v>
      </c>
      <c r="X22">
        <v>0</v>
      </c>
      <c r="Z22">
        <v>1</v>
      </c>
      <c r="AA22">
        <v>0</v>
      </c>
      <c r="AB22">
        <v>0</v>
      </c>
      <c r="AC22">
        <v>346.64670000000001</v>
      </c>
      <c r="AD22" s="20">
        <v>40780</v>
      </c>
      <c r="AE22">
        <v>333.47</v>
      </c>
      <c r="AF22">
        <v>0</v>
      </c>
      <c r="AH22">
        <v>0</v>
      </c>
      <c r="AJ22">
        <v>0</v>
      </c>
      <c r="AL22">
        <v>0</v>
      </c>
      <c r="AM22">
        <v>0</v>
      </c>
      <c r="AN22">
        <v>16601001</v>
      </c>
      <c r="AO22">
        <v>0</v>
      </c>
      <c r="AP22">
        <v>1000</v>
      </c>
      <c r="AT22">
        <v>0</v>
      </c>
      <c r="AU22" t="s">
        <v>1059</v>
      </c>
      <c r="AW22" t="s">
        <v>1053</v>
      </c>
      <c r="AX22">
        <v>0</v>
      </c>
      <c r="AY22" s="20">
        <v>40781</v>
      </c>
      <c r="BA22" s="20">
        <v>40781</v>
      </c>
      <c r="BB22" t="s">
        <v>1058</v>
      </c>
      <c r="BD22">
        <v>0</v>
      </c>
      <c r="BF22" t="s">
        <v>1043</v>
      </c>
      <c r="BG22" t="s">
        <v>1042</v>
      </c>
      <c r="BH22">
        <v>0</v>
      </c>
      <c r="BI22">
        <v>1</v>
      </c>
      <c r="BJ22">
        <v>0</v>
      </c>
      <c r="BK22">
        <v>0</v>
      </c>
      <c r="BM22" t="s">
        <v>1042</v>
      </c>
      <c r="BN22">
        <v>0</v>
      </c>
      <c r="BR22" t="s">
        <v>1043</v>
      </c>
      <c r="BS22" t="s">
        <v>1043</v>
      </c>
      <c r="BT22" t="s">
        <v>1043</v>
      </c>
      <c r="BW22">
        <v>83</v>
      </c>
      <c r="CA22">
        <v>0</v>
      </c>
      <c r="CB22" t="s">
        <v>1057</v>
      </c>
      <c r="CE22" t="s">
        <v>1043</v>
      </c>
      <c r="CH22" t="s">
        <v>1043</v>
      </c>
      <c r="CN22" t="s">
        <v>1056</v>
      </c>
      <c r="CO22" t="s">
        <v>1043</v>
      </c>
      <c r="CP22">
        <v>1</v>
      </c>
      <c r="CQ22">
        <v>0</v>
      </c>
      <c r="CS22">
        <v>0</v>
      </c>
      <c r="CT22">
        <v>0</v>
      </c>
      <c r="CU22">
        <v>0</v>
      </c>
      <c r="CV22" t="s">
        <v>1045</v>
      </c>
      <c r="CW22">
        <v>0</v>
      </c>
      <c r="CX22">
        <v>0</v>
      </c>
      <c r="CY22">
        <v>0</v>
      </c>
      <c r="CZ22">
        <v>0</v>
      </c>
      <c r="DB22">
        <v>0</v>
      </c>
      <c r="DC22" t="s">
        <v>1043</v>
      </c>
      <c r="DF22" t="s">
        <v>1055</v>
      </c>
      <c r="DH22">
        <v>0</v>
      </c>
      <c r="DJ22">
        <v>0</v>
      </c>
      <c r="DK22" t="s">
        <v>1053</v>
      </c>
      <c r="DL22">
        <v>0</v>
      </c>
      <c r="DN22">
        <v>0</v>
      </c>
      <c r="DO22" t="s">
        <v>1042</v>
      </c>
      <c r="DP22">
        <v>0</v>
      </c>
      <c r="DQ22">
        <v>0</v>
      </c>
      <c r="DS22">
        <v>0</v>
      </c>
      <c r="DU22">
        <v>0</v>
      </c>
      <c r="DW22">
        <v>0</v>
      </c>
      <c r="DX22" t="s">
        <v>1043</v>
      </c>
      <c r="DY22">
        <v>0</v>
      </c>
      <c r="DZ22">
        <v>0</v>
      </c>
      <c r="EA22">
        <v>0</v>
      </c>
      <c r="ED22" t="s">
        <v>1045</v>
      </c>
      <c r="EE22">
        <v>0</v>
      </c>
      <c r="EF22">
        <v>0</v>
      </c>
      <c r="EQ22" t="s">
        <v>1044</v>
      </c>
      <c r="ES22" t="s">
        <v>1053</v>
      </c>
      <c r="ET22">
        <v>0</v>
      </c>
      <c r="EV22">
        <v>0</v>
      </c>
      <c r="EY22" t="s">
        <v>1052</v>
      </c>
      <c r="EZ22">
        <v>0</v>
      </c>
      <c r="FA22" t="s">
        <v>1043</v>
      </c>
      <c r="FB22">
        <v>0</v>
      </c>
      <c r="FC22">
        <v>0</v>
      </c>
      <c r="FE22" t="s">
        <v>1050</v>
      </c>
      <c r="FF22">
        <v>0</v>
      </c>
      <c r="FG22" t="s">
        <v>1050</v>
      </c>
      <c r="FJ22">
        <v>0</v>
      </c>
      <c r="FK22">
        <v>0</v>
      </c>
      <c r="FP22">
        <v>0</v>
      </c>
      <c r="FR22">
        <v>0</v>
      </c>
      <c r="FS22" t="s">
        <v>1043</v>
      </c>
      <c r="FX22" t="s">
        <v>1042</v>
      </c>
      <c r="FZ22" t="s">
        <v>1048</v>
      </c>
      <c r="GA22">
        <v>0</v>
      </c>
      <c r="GB22" t="s">
        <v>1042</v>
      </c>
      <c r="GE22">
        <v>0</v>
      </c>
      <c r="GG22">
        <v>0</v>
      </c>
      <c r="GN22">
        <v>0</v>
      </c>
      <c r="GO22" t="s">
        <v>1063</v>
      </c>
      <c r="GQ22">
        <v>0</v>
      </c>
      <c r="GU22">
        <v>0</v>
      </c>
      <c r="GY22" t="s">
        <v>1045</v>
      </c>
      <c r="HB22">
        <v>0</v>
      </c>
      <c r="HE22">
        <v>0</v>
      </c>
      <c r="HF22">
        <v>0</v>
      </c>
      <c r="HG22">
        <v>0</v>
      </c>
      <c r="HK22" t="s">
        <v>1042</v>
      </c>
      <c r="HM22" t="s">
        <v>1047</v>
      </c>
      <c r="HN22">
        <v>0</v>
      </c>
      <c r="HP22">
        <v>0</v>
      </c>
      <c r="HQ22">
        <v>0</v>
      </c>
      <c r="HR22" t="s">
        <v>1042</v>
      </c>
      <c r="HS22" t="s">
        <v>1043</v>
      </c>
      <c r="HT22">
        <v>0</v>
      </c>
      <c r="HU22">
        <v>0</v>
      </c>
      <c r="HW22">
        <v>0</v>
      </c>
      <c r="HX22">
        <v>0</v>
      </c>
      <c r="HY22">
        <v>0</v>
      </c>
      <c r="HZ22" t="s">
        <v>1045</v>
      </c>
      <c r="IA22">
        <v>0</v>
      </c>
      <c r="IB22" t="s">
        <v>1045</v>
      </c>
      <c r="ID22" t="s">
        <v>1045</v>
      </c>
      <c r="IF22">
        <v>0</v>
      </c>
      <c r="IG22" t="s">
        <v>1042</v>
      </c>
      <c r="II22" t="s">
        <v>1042</v>
      </c>
      <c r="IR22" t="s">
        <v>1045</v>
      </c>
      <c r="IT22">
        <v>0</v>
      </c>
      <c r="IY22" t="s">
        <v>1044</v>
      </c>
      <c r="IZ22" t="s">
        <v>1043</v>
      </c>
      <c r="JC22" t="s">
        <v>1043</v>
      </c>
      <c r="JE22">
        <v>0</v>
      </c>
      <c r="JF22">
        <v>0</v>
      </c>
      <c r="JI22" t="s">
        <v>1042</v>
      </c>
      <c r="JJ22">
        <v>0</v>
      </c>
      <c r="JK22">
        <v>0</v>
      </c>
      <c r="JL22">
        <v>0</v>
      </c>
      <c r="JM22">
        <v>0</v>
      </c>
      <c r="JQ22" t="s">
        <v>1043</v>
      </c>
      <c r="JT22">
        <v>0</v>
      </c>
      <c r="JU22" t="s">
        <v>1042</v>
      </c>
      <c r="JW22">
        <v>0</v>
      </c>
      <c r="KA22">
        <v>0</v>
      </c>
      <c r="KF22">
        <v>0</v>
      </c>
      <c r="KG22">
        <v>0</v>
      </c>
      <c r="KH22">
        <v>0</v>
      </c>
      <c r="KI22">
        <v>0</v>
      </c>
      <c r="KS22" t="s">
        <v>1073</v>
      </c>
      <c r="KT22">
        <v>0</v>
      </c>
      <c r="KU22">
        <v>0</v>
      </c>
      <c r="KV22">
        <v>0</v>
      </c>
      <c r="KX22">
        <v>0</v>
      </c>
      <c r="KZ22">
        <v>0</v>
      </c>
      <c r="LF22">
        <v>0</v>
      </c>
      <c r="LH22">
        <v>0</v>
      </c>
      <c r="LI22">
        <v>0</v>
      </c>
    </row>
    <row r="23" spans="1:321" x14ac:dyDescent="0.35">
      <c r="A23">
        <v>1</v>
      </c>
      <c r="B23">
        <v>12267</v>
      </c>
      <c r="C23" t="s">
        <v>1688</v>
      </c>
      <c r="D23" t="s">
        <v>1139</v>
      </c>
      <c r="E23" t="s">
        <v>85</v>
      </c>
      <c r="F23">
        <v>80</v>
      </c>
      <c r="G23">
        <v>9000</v>
      </c>
      <c r="H23">
        <v>0</v>
      </c>
      <c r="I23" t="s">
        <v>1323</v>
      </c>
      <c r="L23">
        <v>0</v>
      </c>
      <c r="M23">
        <v>0</v>
      </c>
      <c r="N23">
        <v>0</v>
      </c>
      <c r="R23">
        <v>0</v>
      </c>
      <c r="S23">
        <v>0</v>
      </c>
      <c r="W23" t="s">
        <v>1060</v>
      </c>
      <c r="X23">
        <v>0</v>
      </c>
      <c r="Z23">
        <v>1</v>
      </c>
      <c r="AA23">
        <v>0</v>
      </c>
      <c r="AB23">
        <v>0</v>
      </c>
      <c r="AC23">
        <v>8.85</v>
      </c>
      <c r="AD23" s="20">
        <v>40780</v>
      </c>
      <c r="AE23">
        <v>5.95</v>
      </c>
      <c r="AF23">
        <v>0</v>
      </c>
      <c r="AH23">
        <v>0</v>
      </c>
      <c r="AJ23">
        <v>0</v>
      </c>
      <c r="AL23">
        <v>1</v>
      </c>
      <c r="AM23">
        <v>0</v>
      </c>
      <c r="AN23">
        <v>16601001</v>
      </c>
      <c r="AO23">
        <v>0</v>
      </c>
      <c r="AP23">
        <v>1000</v>
      </c>
      <c r="AT23">
        <v>0</v>
      </c>
      <c r="AU23" t="s">
        <v>1059</v>
      </c>
      <c r="AW23" t="s">
        <v>1053</v>
      </c>
      <c r="AX23">
        <v>0</v>
      </c>
      <c r="AY23" s="20">
        <v>40781</v>
      </c>
      <c r="BA23" s="20">
        <v>40781</v>
      </c>
      <c r="BB23" t="s">
        <v>1058</v>
      </c>
      <c r="BD23">
        <v>0</v>
      </c>
      <c r="BF23" t="s">
        <v>1043</v>
      </c>
      <c r="BG23" t="s">
        <v>1042</v>
      </c>
      <c r="BH23">
        <v>0</v>
      </c>
      <c r="BI23">
        <v>1</v>
      </c>
      <c r="BJ23">
        <v>0</v>
      </c>
      <c r="BK23">
        <v>0</v>
      </c>
      <c r="BM23" t="s">
        <v>1042</v>
      </c>
      <c r="BN23">
        <v>0</v>
      </c>
      <c r="BR23" t="s">
        <v>1043</v>
      </c>
      <c r="BS23" t="s">
        <v>1043</v>
      </c>
      <c r="BT23" t="s">
        <v>1043</v>
      </c>
      <c r="BW23">
        <v>83</v>
      </c>
      <c r="CA23">
        <v>0</v>
      </c>
      <c r="CB23" t="s">
        <v>1057</v>
      </c>
      <c r="CE23" t="s">
        <v>1043</v>
      </c>
      <c r="CH23" t="s">
        <v>1043</v>
      </c>
      <c r="CN23" t="s">
        <v>1056</v>
      </c>
      <c r="CO23" t="s">
        <v>1043</v>
      </c>
      <c r="CP23">
        <v>1</v>
      </c>
      <c r="CQ23">
        <v>0</v>
      </c>
      <c r="CS23">
        <v>0</v>
      </c>
      <c r="CT23">
        <v>0</v>
      </c>
      <c r="CU23">
        <v>0</v>
      </c>
      <c r="CV23" t="s">
        <v>1045</v>
      </c>
      <c r="CW23">
        <v>0</v>
      </c>
      <c r="CX23">
        <v>0</v>
      </c>
      <c r="CY23">
        <v>0</v>
      </c>
      <c r="CZ23">
        <v>0</v>
      </c>
      <c r="DB23">
        <v>0</v>
      </c>
      <c r="DC23" t="s">
        <v>1043</v>
      </c>
      <c r="DF23" t="s">
        <v>1055</v>
      </c>
      <c r="DH23">
        <v>0</v>
      </c>
      <c r="DJ23">
        <v>0</v>
      </c>
      <c r="DK23" t="s">
        <v>1053</v>
      </c>
      <c r="DL23">
        <v>0</v>
      </c>
      <c r="DN23">
        <v>0</v>
      </c>
      <c r="DO23" t="s">
        <v>1042</v>
      </c>
      <c r="DP23">
        <v>0</v>
      </c>
      <c r="DQ23">
        <v>0</v>
      </c>
      <c r="DS23">
        <v>0</v>
      </c>
      <c r="DU23">
        <v>0</v>
      </c>
      <c r="DW23">
        <v>0</v>
      </c>
      <c r="DX23" t="s">
        <v>1043</v>
      </c>
      <c r="DY23">
        <v>0</v>
      </c>
      <c r="DZ23">
        <v>0</v>
      </c>
      <c r="EA23">
        <v>0</v>
      </c>
      <c r="ED23" t="s">
        <v>1045</v>
      </c>
      <c r="EE23">
        <v>0</v>
      </c>
      <c r="EF23">
        <v>0</v>
      </c>
      <c r="EQ23" t="s">
        <v>1044</v>
      </c>
      <c r="ES23" t="s">
        <v>1053</v>
      </c>
      <c r="ET23">
        <v>0</v>
      </c>
      <c r="EV23">
        <v>0</v>
      </c>
      <c r="EY23" t="s">
        <v>1052</v>
      </c>
      <c r="EZ23">
        <v>0</v>
      </c>
      <c r="FA23" t="s">
        <v>1043</v>
      </c>
      <c r="FB23">
        <v>0</v>
      </c>
      <c r="FC23">
        <v>0</v>
      </c>
      <c r="FE23" t="s">
        <v>1050</v>
      </c>
      <c r="FF23">
        <v>0</v>
      </c>
      <c r="FG23" t="s">
        <v>1050</v>
      </c>
      <c r="FJ23">
        <v>0</v>
      </c>
      <c r="FK23">
        <v>0</v>
      </c>
      <c r="FP23">
        <v>0</v>
      </c>
      <c r="FR23">
        <v>0</v>
      </c>
      <c r="FS23" t="s">
        <v>1043</v>
      </c>
      <c r="FX23" t="s">
        <v>1042</v>
      </c>
      <c r="FZ23" t="s">
        <v>1048</v>
      </c>
      <c r="GA23">
        <v>0</v>
      </c>
      <c r="GB23" t="s">
        <v>1042</v>
      </c>
      <c r="GE23">
        <v>0</v>
      </c>
      <c r="GG23">
        <v>0</v>
      </c>
      <c r="GN23">
        <v>0</v>
      </c>
      <c r="GO23" t="s">
        <v>1063</v>
      </c>
      <c r="GQ23">
        <v>0</v>
      </c>
      <c r="GU23">
        <v>0</v>
      </c>
      <c r="GY23" t="s">
        <v>1045</v>
      </c>
      <c r="HB23">
        <v>0</v>
      </c>
      <c r="HE23">
        <v>0</v>
      </c>
      <c r="HF23">
        <v>0</v>
      </c>
      <c r="HG23">
        <v>0</v>
      </c>
      <c r="HK23" t="s">
        <v>1042</v>
      </c>
      <c r="HM23" t="s">
        <v>1047</v>
      </c>
      <c r="HN23">
        <v>0</v>
      </c>
      <c r="HP23">
        <v>0</v>
      </c>
      <c r="HQ23">
        <v>0</v>
      </c>
      <c r="HR23" t="s">
        <v>1042</v>
      </c>
      <c r="HS23" t="s">
        <v>1043</v>
      </c>
      <c r="HT23">
        <v>0</v>
      </c>
      <c r="HU23">
        <v>0</v>
      </c>
      <c r="HW23">
        <v>0</v>
      </c>
      <c r="HX23">
        <v>0</v>
      </c>
      <c r="HY23">
        <v>0</v>
      </c>
      <c r="HZ23" t="s">
        <v>1045</v>
      </c>
      <c r="IA23">
        <v>0</v>
      </c>
      <c r="IB23" t="s">
        <v>1045</v>
      </c>
      <c r="ID23" t="s">
        <v>1045</v>
      </c>
      <c r="IF23">
        <v>0</v>
      </c>
      <c r="IG23" t="s">
        <v>1042</v>
      </c>
      <c r="II23" t="s">
        <v>1042</v>
      </c>
      <c r="IR23" t="s">
        <v>1045</v>
      </c>
      <c r="IT23">
        <v>0</v>
      </c>
      <c r="IY23" t="s">
        <v>1044</v>
      </c>
      <c r="IZ23" t="s">
        <v>1043</v>
      </c>
      <c r="JC23" t="s">
        <v>1043</v>
      </c>
      <c r="JE23">
        <v>0</v>
      </c>
      <c r="JF23">
        <v>0</v>
      </c>
      <c r="JI23" t="s">
        <v>1042</v>
      </c>
      <c r="JJ23">
        <v>0</v>
      </c>
      <c r="JK23">
        <v>0</v>
      </c>
      <c r="JL23">
        <v>0</v>
      </c>
      <c r="JM23">
        <v>0</v>
      </c>
      <c r="JQ23" t="s">
        <v>1043</v>
      </c>
      <c r="JT23">
        <v>0</v>
      </c>
      <c r="JU23" t="s">
        <v>1042</v>
      </c>
      <c r="JW23">
        <v>0</v>
      </c>
      <c r="KA23">
        <v>0</v>
      </c>
      <c r="KF23">
        <v>0</v>
      </c>
      <c r="KG23">
        <v>0</v>
      </c>
      <c r="KH23">
        <v>0</v>
      </c>
      <c r="KI23">
        <v>0</v>
      </c>
      <c r="KS23" t="s">
        <v>1073</v>
      </c>
      <c r="KT23">
        <v>0</v>
      </c>
      <c r="KU23">
        <v>0</v>
      </c>
      <c r="KV23">
        <v>0</v>
      </c>
      <c r="KX23">
        <v>0</v>
      </c>
      <c r="KZ23">
        <v>0</v>
      </c>
      <c r="LF23">
        <v>0</v>
      </c>
      <c r="LH23">
        <v>0</v>
      </c>
      <c r="LI23">
        <v>0</v>
      </c>
    </row>
    <row r="24" spans="1:321" x14ac:dyDescent="0.35">
      <c r="A24">
        <v>1</v>
      </c>
      <c r="B24">
        <v>12268</v>
      </c>
      <c r="C24" t="s">
        <v>1687</v>
      </c>
      <c r="D24" t="s">
        <v>1139</v>
      </c>
      <c r="E24" t="s">
        <v>85</v>
      </c>
      <c r="F24">
        <v>80</v>
      </c>
      <c r="G24">
        <v>9000</v>
      </c>
      <c r="H24">
        <v>0</v>
      </c>
      <c r="I24" t="s">
        <v>1323</v>
      </c>
      <c r="L24">
        <v>0</v>
      </c>
      <c r="M24">
        <v>0</v>
      </c>
      <c r="N24">
        <v>0</v>
      </c>
      <c r="R24">
        <v>0</v>
      </c>
      <c r="S24">
        <v>0</v>
      </c>
      <c r="W24" t="s">
        <v>1060</v>
      </c>
      <c r="X24">
        <v>0</v>
      </c>
      <c r="Z24">
        <v>1</v>
      </c>
      <c r="AA24">
        <v>0</v>
      </c>
      <c r="AB24">
        <v>0</v>
      </c>
      <c r="AC24">
        <v>2.4422999999999999</v>
      </c>
      <c r="AD24" s="20">
        <v>40780</v>
      </c>
      <c r="AE24">
        <v>5.95</v>
      </c>
      <c r="AF24">
        <v>0</v>
      </c>
      <c r="AH24">
        <v>0</v>
      </c>
      <c r="AJ24">
        <v>0</v>
      </c>
      <c r="AL24">
        <v>0</v>
      </c>
      <c r="AM24">
        <v>0</v>
      </c>
      <c r="AN24">
        <v>16601001</v>
      </c>
      <c r="AO24">
        <v>0</v>
      </c>
      <c r="AP24">
        <v>1000</v>
      </c>
      <c r="AT24">
        <v>0</v>
      </c>
      <c r="AU24" t="s">
        <v>1059</v>
      </c>
      <c r="AW24" t="s">
        <v>1053</v>
      </c>
      <c r="AX24">
        <v>0</v>
      </c>
      <c r="AY24" s="20">
        <v>40781</v>
      </c>
      <c r="BA24" s="20">
        <v>40781</v>
      </c>
      <c r="BB24" t="s">
        <v>1058</v>
      </c>
      <c r="BD24">
        <v>0</v>
      </c>
      <c r="BF24" t="s">
        <v>1043</v>
      </c>
      <c r="BG24" t="s">
        <v>1042</v>
      </c>
      <c r="BH24">
        <v>0</v>
      </c>
      <c r="BI24">
        <v>1</v>
      </c>
      <c r="BJ24">
        <v>0</v>
      </c>
      <c r="BK24">
        <v>0</v>
      </c>
      <c r="BM24" t="s">
        <v>1042</v>
      </c>
      <c r="BN24">
        <v>0</v>
      </c>
      <c r="BR24" t="s">
        <v>1043</v>
      </c>
      <c r="BS24" t="s">
        <v>1043</v>
      </c>
      <c r="BT24" t="s">
        <v>1043</v>
      </c>
      <c r="BW24">
        <v>83</v>
      </c>
      <c r="CA24">
        <v>0</v>
      </c>
      <c r="CB24" t="s">
        <v>1057</v>
      </c>
      <c r="CE24" t="s">
        <v>1043</v>
      </c>
      <c r="CH24" t="s">
        <v>1043</v>
      </c>
      <c r="CN24" t="s">
        <v>1056</v>
      </c>
      <c r="CO24" t="s">
        <v>1043</v>
      </c>
      <c r="CP24">
        <v>1</v>
      </c>
      <c r="CQ24">
        <v>0</v>
      </c>
      <c r="CS24">
        <v>0</v>
      </c>
      <c r="CT24">
        <v>0</v>
      </c>
      <c r="CU24">
        <v>0</v>
      </c>
      <c r="CV24" t="s">
        <v>1045</v>
      </c>
      <c r="CW24">
        <v>0</v>
      </c>
      <c r="CX24">
        <v>0</v>
      </c>
      <c r="CY24">
        <v>0</v>
      </c>
      <c r="CZ24">
        <v>0</v>
      </c>
      <c r="DB24">
        <v>0</v>
      </c>
      <c r="DC24" t="s">
        <v>1043</v>
      </c>
      <c r="DF24" t="s">
        <v>1055</v>
      </c>
      <c r="DH24">
        <v>0</v>
      </c>
      <c r="DJ24">
        <v>0</v>
      </c>
      <c r="DK24" t="s">
        <v>1053</v>
      </c>
      <c r="DL24">
        <v>0</v>
      </c>
      <c r="DN24">
        <v>0</v>
      </c>
      <c r="DO24" t="s">
        <v>1042</v>
      </c>
      <c r="DP24">
        <v>0</v>
      </c>
      <c r="DQ24">
        <v>0</v>
      </c>
      <c r="DS24">
        <v>0</v>
      </c>
      <c r="DU24">
        <v>0</v>
      </c>
      <c r="DW24">
        <v>0</v>
      </c>
      <c r="DX24" t="s">
        <v>1043</v>
      </c>
      <c r="DY24">
        <v>0</v>
      </c>
      <c r="DZ24">
        <v>0</v>
      </c>
      <c r="EA24">
        <v>0</v>
      </c>
      <c r="ED24" t="s">
        <v>1045</v>
      </c>
      <c r="EE24">
        <v>0</v>
      </c>
      <c r="EF24">
        <v>0</v>
      </c>
      <c r="EQ24" t="s">
        <v>1044</v>
      </c>
      <c r="ES24" t="s">
        <v>1053</v>
      </c>
      <c r="ET24">
        <v>0</v>
      </c>
      <c r="EV24">
        <v>0</v>
      </c>
      <c r="EY24" t="s">
        <v>1052</v>
      </c>
      <c r="EZ24">
        <v>0</v>
      </c>
      <c r="FA24" t="s">
        <v>1043</v>
      </c>
      <c r="FB24">
        <v>0</v>
      </c>
      <c r="FC24">
        <v>0</v>
      </c>
      <c r="FE24" t="s">
        <v>1050</v>
      </c>
      <c r="FF24">
        <v>0</v>
      </c>
      <c r="FG24" t="s">
        <v>1050</v>
      </c>
      <c r="FJ24">
        <v>0</v>
      </c>
      <c r="FK24">
        <v>0</v>
      </c>
      <c r="FP24">
        <v>0</v>
      </c>
      <c r="FR24">
        <v>0</v>
      </c>
      <c r="FS24" t="s">
        <v>1043</v>
      </c>
      <c r="FX24" t="s">
        <v>1042</v>
      </c>
      <c r="FZ24" t="s">
        <v>1048</v>
      </c>
      <c r="GA24">
        <v>0</v>
      </c>
      <c r="GB24" t="s">
        <v>1042</v>
      </c>
      <c r="GE24">
        <v>0</v>
      </c>
      <c r="GG24">
        <v>0</v>
      </c>
      <c r="GN24">
        <v>0</v>
      </c>
      <c r="GO24" t="s">
        <v>1063</v>
      </c>
      <c r="GQ24">
        <v>0</v>
      </c>
      <c r="GU24">
        <v>0</v>
      </c>
      <c r="GY24" t="s">
        <v>1045</v>
      </c>
      <c r="HB24">
        <v>0</v>
      </c>
      <c r="HE24">
        <v>0</v>
      </c>
      <c r="HF24">
        <v>0</v>
      </c>
      <c r="HG24">
        <v>0</v>
      </c>
      <c r="HK24" t="s">
        <v>1042</v>
      </c>
      <c r="HM24" t="s">
        <v>1047</v>
      </c>
      <c r="HN24">
        <v>0</v>
      </c>
      <c r="HP24">
        <v>0</v>
      </c>
      <c r="HQ24">
        <v>0</v>
      </c>
      <c r="HR24" t="s">
        <v>1042</v>
      </c>
      <c r="HS24" t="s">
        <v>1043</v>
      </c>
      <c r="HT24">
        <v>0</v>
      </c>
      <c r="HU24">
        <v>0</v>
      </c>
      <c r="HW24">
        <v>0</v>
      </c>
      <c r="HX24">
        <v>0</v>
      </c>
      <c r="HY24">
        <v>0</v>
      </c>
      <c r="HZ24" t="s">
        <v>1045</v>
      </c>
      <c r="IA24">
        <v>0</v>
      </c>
      <c r="IB24" t="s">
        <v>1045</v>
      </c>
      <c r="ID24" t="s">
        <v>1045</v>
      </c>
      <c r="IF24">
        <v>0</v>
      </c>
      <c r="IG24" t="s">
        <v>1042</v>
      </c>
      <c r="II24" t="s">
        <v>1042</v>
      </c>
      <c r="IR24" t="s">
        <v>1045</v>
      </c>
      <c r="IT24">
        <v>0</v>
      </c>
      <c r="IY24" t="s">
        <v>1044</v>
      </c>
      <c r="IZ24" t="s">
        <v>1043</v>
      </c>
      <c r="JC24" t="s">
        <v>1043</v>
      </c>
      <c r="JE24">
        <v>0</v>
      </c>
      <c r="JF24">
        <v>0</v>
      </c>
      <c r="JI24" t="s">
        <v>1042</v>
      </c>
      <c r="JJ24">
        <v>0</v>
      </c>
      <c r="JK24">
        <v>0</v>
      </c>
      <c r="JL24">
        <v>0</v>
      </c>
      <c r="JM24">
        <v>0</v>
      </c>
      <c r="JQ24" t="s">
        <v>1043</v>
      </c>
      <c r="JT24">
        <v>0</v>
      </c>
      <c r="JU24" t="s">
        <v>1042</v>
      </c>
      <c r="JW24">
        <v>0</v>
      </c>
      <c r="KA24">
        <v>0</v>
      </c>
      <c r="KF24">
        <v>0</v>
      </c>
      <c r="KG24">
        <v>0</v>
      </c>
      <c r="KH24">
        <v>0</v>
      </c>
      <c r="KI24">
        <v>0</v>
      </c>
      <c r="KS24" t="s">
        <v>1073</v>
      </c>
      <c r="KT24">
        <v>0</v>
      </c>
      <c r="KU24">
        <v>0</v>
      </c>
      <c r="KV24">
        <v>0</v>
      </c>
      <c r="KX24">
        <v>0</v>
      </c>
      <c r="KZ24">
        <v>0</v>
      </c>
      <c r="LF24">
        <v>0</v>
      </c>
      <c r="LH24">
        <v>0</v>
      </c>
      <c r="LI24">
        <v>0</v>
      </c>
    </row>
    <row r="25" spans="1:321" x14ac:dyDescent="0.35">
      <c r="A25">
        <v>1</v>
      </c>
      <c r="B25">
        <v>12269</v>
      </c>
      <c r="C25" t="s">
        <v>1686</v>
      </c>
      <c r="D25" t="s">
        <v>1139</v>
      </c>
      <c r="E25" t="s">
        <v>85</v>
      </c>
      <c r="F25">
        <v>80</v>
      </c>
      <c r="G25">
        <v>9000</v>
      </c>
      <c r="H25">
        <v>0</v>
      </c>
      <c r="I25" t="s">
        <v>1323</v>
      </c>
      <c r="L25">
        <v>0</v>
      </c>
      <c r="M25">
        <v>0</v>
      </c>
      <c r="N25">
        <v>0</v>
      </c>
      <c r="R25">
        <v>0</v>
      </c>
      <c r="S25">
        <v>0</v>
      </c>
      <c r="W25" t="s">
        <v>1060</v>
      </c>
      <c r="X25">
        <v>0</v>
      </c>
      <c r="Z25">
        <v>1</v>
      </c>
      <c r="AA25">
        <v>0</v>
      </c>
      <c r="AB25">
        <v>0</v>
      </c>
      <c r="AC25">
        <v>2.4426999999999999</v>
      </c>
      <c r="AD25" s="20">
        <v>40781</v>
      </c>
      <c r="AE25">
        <v>5.95</v>
      </c>
      <c r="AF25">
        <v>0</v>
      </c>
      <c r="AH25">
        <v>0</v>
      </c>
      <c r="AJ25">
        <v>0</v>
      </c>
      <c r="AL25">
        <v>0</v>
      </c>
      <c r="AM25">
        <v>0</v>
      </c>
      <c r="AN25">
        <v>16601001</v>
      </c>
      <c r="AO25">
        <v>0</v>
      </c>
      <c r="AP25">
        <v>1000</v>
      </c>
      <c r="AT25">
        <v>0</v>
      </c>
      <c r="AU25" t="s">
        <v>1059</v>
      </c>
      <c r="AW25" t="s">
        <v>1053</v>
      </c>
      <c r="AX25">
        <v>0</v>
      </c>
      <c r="AY25" s="20">
        <v>40781</v>
      </c>
      <c r="BA25" s="20">
        <v>40781</v>
      </c>
      <c r="BB25" t="s">
        <v>1058</v>
      </c>
      <c r="BD25">
        <v>0</v>
      </c>
      <c r="BF25" t="s">
        <v>1043</v>
      </c>
      <c r="BG25" t="s">
        <v>1042</v>
      </c>
      <c r="BH25">
        <v>0</v>
      </c>
      <c r="BI25">
        <v>1</v>
      </c>
      <c r="BJ25">
        <v>0</v>
      </c>
      <c r="BK25">
        <v>0</v>
      </c>
      <c r="BM25" t="s">
        <v>1042</v>
      </c>
      <c r="BN25">
        <v>0</v>
      </c>
      <c r="BR25" t="s">
        <v>1043</v>
      </c>
      <c r="BS25" t="s">
        <v>1043</v>
      </c>
      <c r="BT25" t="s">
        <v>1043</v>
      </c>
      <c r="BW25">
        <v>83</v>
      </c>
      <c r="CA25">
        <v>0</v>
      </c>
      <c r="CB25" t="s">
        <v>1057</v>
      </c>
      <c r="CE25" t="s">
        <v>1043</v>
      </c>
      <c r="CH25" t="s">
        <v>1043</v>
      </c>
      <c r="CN25" t="s">
        <v>1056</v>
      </c>
      <c r="CO25" t="s">
        <v>1043</v>
      </c>
      <c r="CP25">
        <v>1</v>
      </c>
      <c r="CQ25">
        <v>0</v>
      </c>
      <c r="CS25">
        <v>0</v>
      </c>
      <c r="CT25">
        <v>0</v>
      </c>
      <c r="CU25">
        <v>0</v>
      </c>
      <c r="CV25" t="s">
        <v>1045</v>
      </c>
      <c r="CW25">
        <v>0</v>
      </c>
      <c r="CX25">
        <v>0</v>
      </c>
      <c r="CY25">
        <v>0</v>
      </c>
      <c r="CZ25">
        <v>0</v>
      </c>
      <c r="DB25">
        <v>0</v>
      </c>
      <c r="DC25" t="s">
        <v>1043</v>
      </c>
      <c r="DF25" t="s">
        <v>1055</v>
      </c>
      <c r="DH25">
        <v>0</v>
      </c>
      <c r="DJ25">
        <v>0</v>
      </c>
      <c r="DK25" t="s">
        <v>1053</v>
      </c>
      <c r="DL25">
        <v>0</v>
      </c>
      <c r="DN25">
        <v>0</v>
      </c>
      <c r="DO25" t="s">
        <v>1042</v>
      </c>
      <c r="DP25">
        <v>0</v>
      </c>
      <c r="DQ25">
        <v>0</v>
      </c>
      <c r="DS25">
        <v>0</v>
      </c>
      <c r="DU25">
        <v>0</v>
      </c>
      <c r="DW25">
        <v>0</v>
      </c>
      <c r="DX25" t="s">
        <v>1043</v>
      </c>
      <c r="DY25">
        <v>0</v>
      </c>
      <c r="DZ25">
        <v>0</v>
      </c>
      <c r="EA25">
        <v>0</v>
      </c>
      <c r="ED25" t="s">
        <v>1045</v>
      </c>
      <c r="EE25">
        <v>0</v>
      </c>
      <c r="EF25">
        <v>0</v>
      </c>
      <c r="EQ25" t="s">
        <v>1044</v>
      </c>
      <c r="ES25" t="s">
        <v>1053</v>
      </c>
      <c r="ET25">
        <v>0</v>
      </c>
      <c r="EV25">
        <v>0</v>
      </c>
      <c r="EY25" t="s">
        <v>1052</v>
      </c>
      <c r="EZ25">
        <v>0</v>
      </c>
      <c r="FA25" t="s">
        <v>1043</v>
      </c>
      <c r="FB25">
        <v>0</v>
      </c>
      <c r="FC25">
        <v>0</v>
      </c>
      <c r="FE25" t="s">
        <v>1050</v>
      </c>
      <c r="FF25">
        <v>0</v>
      </c>
      <c r="FG25" t="s">
        <v>1050</v>
      </c>
      <c r="FJ25">
        <v>0</v>
      </c>
      <c r="FK25">
        <v>0</v>
      </c>
      <c r="FP25">
        <v>0</v>
      </c>
      <c r="FR25">
        <v>0</v>
      </c>
      <c r="FS25" t="s">
        <v>1043</v>
      </c>
      <c r="FX25" t="s">
        <v>1042</v>
      </c>
      <c r="FZ25" t="s">
        <v>1048</v>
      </c>
      <c r="GA25">
        <v>0</v>
      </c>
      <c r="GB25" t="s">
        <v>1042</v>
      </c>
      <c r="GE25">
        <v>0</v>
      </c>
      <c r="GG25">
        <v>0</v>
      </c>
      <c r="GN25">
        <v>0</v>
      </c>
      <c r="GO25" t="s">
        <v>1063</v>
      </c>
      <c r="GQ25">
        <v>0</v>
      </c>
      <c r="GU25">
        <v>0</v>
      </c>
      <c r="GY25" t="s">
        <v>1045</v>
      </c>
      <c r="HB25">
        <v>0</v>
      </c>
      <c r="HE25">
        <v>0</v>
      </c>
      <c r="HF25">
        <v>0</v>
      </c>
      <c r="HG25">
        <v>0</v>
      </c>
      <c r="HK25" t="s">
        <v>1042</v>
      </c>
      <c r="HM25" t="s">
        <v>1047</v>
      </c>
      <c r="HN25">
        <v>0</v>
      </c>
      <c r="HP25">
        <v>0</v>
      </c>
      <c r="HQ25">
        <v>0</v>
      </c>
      <c r="HR25" t="s">
        <v>1042</v>
      </c>
      <c r="HS25" t="s">
        <v>1043</v>
      </c>
      <c r="HT25">
        <v>0</v>
      </c>
      <c r="HU25">
        <v>0</v>
      </c>
      <c r="HW25">
        <v>0</v>
      </c>
      <c r="HX25">
        <v>0</v>
      </c>
      <c r="HY25">
        <v>0</v>
      </c>
      <c r="HZ25" t="s">
        <v>1045</v>
      </c>
      <c r="IA25">
        <v>0</v>
      </c>
      <c r="IB25" t="s">
        <v>1045</v>
      </c>
      <c r="ID25" t="s">
        <v>1045</v>
      </c>
      <c r="IF25">
        <v>0</v>
      </c>
      <c r="IG25" t="s">
        <v>1042</v>
      </c>
      <c r="II25" t="s">
        <v>1042</v>
      </c>
      <c r="IR25" t="s">
        <v>1045</v>
      </c>
      <c r="IT25">
        <v>0</v>
      </c>
      <c r="IY25" t="s">
        <v>1044</v>
      </c>
      <c r="IZ25" t="s">
        <v>1043</v>
      </c>
      <c r="JC25" t="s">
        <v>1043</v>
      </c>
      <c r="JE25">
        <v>0</v>
      </c>
      <c r="JF25">
        <v>0</v>
      </c>
      <c r="JI25" t="s">
        <v>1042</v>
      </c>
      <c r="JJ25">
        <v>0</v>
      </c>
      <c r="JK25">
        <v>0</v>
      </c>
      <c r="JL25">
        <v>0</v>
      </c>
      <c r="JM25">
        <v>0</v>
      </c>
      <c r="JQ25" t="s">
        <v>1043</v>
      </c>
      <c r="JT25">
        <v>0</v>
      </c>
      <c r="JU25" t="s">
        <v>1042</v>
      </c>
      <c r="JW25">
        <v>0</v>
      </c>
      <c r="KA25">
        <v>0</v>
      </c>
      <c r="KF25">
        <v>0</v>
      </c>
      <c r="KG25">
        <v>0</v>
      </c>
      <c r="KH25">
        <v>0</v>
      </c>
      <c r="KI25">
        <v>0</v>
      </c>
      <c r="KS25" t="s">
        <v>1073</v>
      </c>
      <c r="KT25">
        <v>0</v>
      </c>
      <c r="KU25">
        <v>0</v>
      </c>
      <c r="KV25">
        <v>0</v>
      </c>
      <c r="KX25">
        <v>0</v>
      </c>
      <c r="KZ25">
        <v>0</v>
      </c>
      <c r="LF25">
        <v>0</v>
      </c>
      <c r="LH25">
        <v>0</v>
      </c>
      <c r="LI25">
        <v>0</v>
      </c>
    </row>
    <row r="26" spans="1:321" x14ac:dyDescent="0.35">
      <c r="A26">
        <v>1</v>
      </c>
      <c r="B26">
        <v>1227</v>
      </c>
      <c r="C26" t="s">
        <v>1037</v>
      </c>
      <c r="D26" t="s">
        <v>1061</v>
      </c>
      <c r="E26" t="s">
        <v>587</v>
      </c>
      <c r="F26">
        <v>1</v>
      </c>
      <c r="G26">
        <v>160</v>
      </c>
      <c r="H26">
        <v>0</v>
      </c>
      <c r="I26" t="s">
        <v>991</v>
      </c>
      <c r="L26">
        <v>0</v>
      </c>
      <c r="M26">
        <v>0</v>
      </c>
      <c r="N26">
        <v>0</v>
      </c>
      <c r="Q26">
        <v>516</v>
      </c>
      <c r="R26">
        <v>0</v>
      </c>
      <c r="S26">
        <v>0</v>
      </c>
      <c r="W26" t="s">
        <v>1060</v>
      </c>
      <c r="X26">
        <v>0</v>
      </c>
      <c r="Z26">
        <v>10</v>
      </c>
      <c r="AA26">
        <v>23.735299999999999</v>
      </c>
      <c r="AB26">
        <v>10480</v>
      </c>
      <c r="AC26">
        <v>0.78120000000000001</v>
      </c>
      <c r="AD26" s="20">
        <v>44648</v>
      </c>
      <c r="AE26">
        <v>0.99199999999999999</v>
      </c>
      <c r="AF26">
        <v>6.4699999999999994E-2</v>
      </c>
      <c r="AH26">
        <v>2131</v>
      </c>
      <c r="AJ26">
        <v>1</v>
      </c>
      <c r="AK26" t="s">
        <v>1154</v>
      </c>
      <c r="AL26">
        <v>49430</v>
      </c>
      <c r="AM26">
        <v>90</v>
      </c>
      <c r="AN26">
        <v>11501001</v>
      </c>
      <c r="AO26">
        <v>0</v>
      </c>
      <c r="AP26">
        <v>1001</v>
      </c>
      <c r="AT26">
        <v>1</v>
      </c>
      <c r="AU26" t="s">
        <v>1059</v>
      </c>
      <c r="AV26" t="s">
        <v>1043</v>
      </c>
      <c r="AW26" t="s">
        <v>1053</v>
      </c>
      <c r="AX26">
        <v>5</v>
      </c>
      <c r="AY26" s="20">
        <v>43274</v>
      </c>
      <c r="BA26" s="20">
        <v>44524</v>
      </c>
      <c r="BB26" t="s">
        <v>1058</v>
      </c>
      <c r="BD26">
        <v>0</v>
      </c>
      <c r="BF26" t="s">
        <v>1044</v>
      </c>
      <c r="BG26" s="20">
        <v>42640</v>
      </c>
      <c r="BH26">
        <v>0</v>
      </c>
      <c r="BI26">
        <v>33</v>
      </c>
      <c r="BJ26">
        <v>0</v>
      </c>
      <c r="BK26">
        <v>0</v>
      </c>
      <c r="BM26" s="20">
        <v>42642</v>
      </c>
      <c r="BN26">
        <v>0</v>
      </c>
      <c r="BO26">
        <v>7897801317115</v>
      </c>
      <c r="BR26" t="s">
        <v>1043</v>
      </c>
      <c r="BS26" t="s">
        <v>1043</v>
      </c>
      <c r="BT26" t="s">
        <v>1043</v>
      </c>
      <c r="BV26">
        <v>1</v>
      </c>
      <c r="BW26">
        <v>30</v>
      </c>
      <c r="BY26">
        <v>66</v>
      </c>
      <c r="CA26">
        <v>0</v>
      </c>
      <c r="CB26" t="s">
        <v>1043</v>
      </c>
      <c r="CE26" t="s">
        <v>1043</v>
      </c>
      <c r="CH26" t="s">
        <v>1043</v>
      </c>
      <c r="CI26" t="s">
        <v>1383</v>
      </c>
      <c r="CK26" t="s">
        <v>1152</v>
      </c>
      <c r="CN26" t="s">
        <v>1056</v>
      </c>
      <c r="CP26">
        <v>1</v>
      </c>
      <c r="CQ26">
        <v>80</v>
      </c>
      <c r="CS26">
        <v>0</v>
      </c>
      <c r="CT26">
        <v>0</v>
      </c>
      <c r="CU26">
        <v>0</v>
      </c>
      <c r="CV26" t="s">
        <v>1045</v>
      </c>
      <c r="CW26">
        <v>0</v>
      </c>
      <c r="CX26">
        <v>0</v>
      </c>
      <c r="CY26">
        <v>0</v>
      </c>
      <c r="CZ26">
        <v>0</v>
      </c>
      <c r="DA26">
        <v>37</v>
      </c>
      <c r="DB26">
        <v>0</v>
      </c>
      <c r="DH26">
        <v>0</v>
      </c>
      <c r="DJ26">
        <v>0</v>
      </c>
      <c r="DL26">
        <v>0</v>
      </c>
      <c r="DN26">
        <v>0</v>
      </c>
      <c r="DO26" t="s">
        <v>1042</v>
      </c>
      <c r="DP26">
        <v>0</v>
      </c>
      <c r="DQ26">
        <v>7.6</v>
      </c>
      <c r="DS26">
        <v>0</v>
      </c>
      <c r="DU26">
        <v>1.65</v>
      </c>
      <c r="DW26">
        <v>0</v>
      </c>
      <c r="DY26">
        <v>0</v>
      </c>
      <c r="DZ26">
        <v>0</v>
      </c>
      <c r="EA26">
        <v>0</v>
      </c>
      <c r="EB26">
        <v>17897801317112</v>
      </c>
      <c r="EE26">
        <v>0</v>
      </c>
      <c r="EF26">
        <v>0</v>
      </c>
      <c r="EL26">
        <v>57897801317110</v>
      </c>
      <c r="EN26" t="s">
        <v>1511</v>
      </c>
      <c r="EO26" t="s">
        <v>1044</v>
      </c>
      <c r="ET26">
        <v>0</v>
      </c>
      <c r="EV26">
        <v>0</v>
      </c>
      <c r="EY26" t="s">
        <v>1052</v>
      </c>
      <c r="EZ26">
        <v>0</v>
      </c>
      <c r="FA26" t="s">
        <v>1043</v>
      </c>
      <c r="FB26">
        <v>0</v>
      </c>
      <c r="FC26">
        <v>0</v>
      </c>
      <c r="FD26" t="s">
        <v>1051</v>
      </c>
      <c r="FE26" t="s">
        <v>1050</v>
      </c>
      <c r="FF26">
        <v>0</v>
      </c>
      <c r="FG26" t="s">
        <v>1050</v>
      </c>
      <c r="FH26">
        <v>27897801317119</v>
      </c>
      <c r="FJ26">
        <v>0</v>
      </c>
      <c r="FK26">
        <v>0</v>
      </c>
      <c r="FP26">
        <v>0</v>
      </c>
      <c r="FR26">
        <v>0</v>
      </c>
      <c r="FS26" t="s">
        <v>1043</v>
      </c>
      <c r="FX26" t="s">
        <v>1042</v>
      </c>
      <c r="GA26">
        <v>0</v>
      </c>
      <c r="GB26" t="s">
        <v>1042</v>
      </c>
      <c r="GD26">
        <v>16</v>
      </c>
      <c r="GE26">
        <v>0</v>
      </c>
      <c r="GG26">
        <v>0</v>
      </c>
      <c r="GN26">
        <v>0</v>
      </c>
      <c r="GO26" t="s">
        <v>1049</v>
      </c>
      <c r="GQ26">
        <v>0</v>
      </c>
      <c r="GU26">
        <v>4</v>
      </c>
      <c r="GY26" t="s">
        <v>1045</v>
      </c>
      <c r="HB26">
        <v>0</v>
      </c>
      <c r="HE26">
        <v>0</v>
      </c>
      <c r="HF26">
        <v>0</v>
      </c>
      <c r="HG26">
        <v>1.2970000000000001E-2</v>
      </c>
      <c r="HK26" t="s">
        <v>1042</v>
      </c>
      <c r="HL26" t="s">
        <v>1048</v>
      </c>
      <c r="HM26">
        <v>0</v>
      </c>
      <c r="HN26">
        <v>0</v>
      </c>
      <c r="HO26">
        <v>24</v>
      </c>
      <c r="HP26">
        <v>6.4299999999999996E-2</v>
      </c>
      <c r="HQ26">
        <v>0</v>
      </c>
      <c r="HR26" t="s">
        <v>1042</v>
      </c>
      <c r="HT26">
        <v>0</v>
      </c>
      <c r="HU26">
        <v>0</v>
      </c>
      <c r="HW26">
        <v>0</v>
      </c>
      <c r="HX26">
        <v>30158</v>
      </c>
      <c r="HY26">
        <v>1</v>
      </c>
      <c r="IA26">
        <v>0.99</v>
      </c>
      <c r="IF26">
        <v>1240</v>
      </c>
      <c r="IG26" s="20">
        <v>42678</v>
      </c>
      <c r="IH26" t="s">
        <v>1046</v>
      </c>
      <c r="II26" t="s">
        <v>1042</v>
      </c>
      <c r="IR26" t="s">
        <v>1045</v>
      </c>
      <c r="IT26">
        <v>0</v>
      </c>
      <c r="JE26">
        <v>0</v>
      </c>
      <c r="JF26">
        <v>0</v>
      </c>
      <c r="JI26" t="s">
        <v>1042</v>
      </c>
      <c r="JJ26">
        <v>0</v>
      </c>
      <c r="JK26">
        <v>0</v>
      </c>
      <c r="JL26">
        <v>0</v>
      </c>
      <c r="JM26">
        <v>0</v>
      </c>
      <c r="JT26">
        <v>0</v>
      </c>
      <c r="JU26" t="s">
        <v>1042</v>
      </c>
      <c r="JW26">
        <v>0</v>
      </c>
      <c r="KA26">
        <v>0</v>
      </c>
      <c r="KF26">
        <v>0</v>
      </c>
      <c r="KG26">
        <v>0</v>
      </c>
      <c r="KH26">
        <v>0</v>
      </c>
      <c r="KI26">
        <v>0</v>
      </c>
      <c r="KS26" t="s">
        <v>1041</v>
      </c>
      <c r="KT26">
        <v>0</v>
      </c>
      <c r="KU26">
        <v>0</v>
      </c>
      <c r="KV26">
        <v>0</v>
      </c>
      <c r="KX26">
        <v>0</v>
      </c>
      <c r="KZ26">
        <v>0</v>
      </c>
      <c r="LF26">
        <v>0</v>
      </c>
      <c r="LH26">
        <v>40656</v>
      </c>
      <c r="LI26">
        <v>0</v>
      </c>
    </row>
    <row r="27" spans="1:321" x14ac:dyDescent="0.35">
      <c r="A27">
        <v>1</v>
      </c>
      <c r="B27">
        <v>12270</v>
      </c>
      <c r="C27" t="s">
        <v>1685</v>
      </c>
      <c r="D27" t="s">
        <v>1139</v>
      </c>
      <c r="E27" t="s">
        <v>85</v>
      </c>
      <c r="F27">
        <v>80</v>
      </c>
      <c r="G27">
        <v>9000</v>
      </c>
      <c r="H27">
        <v>0</v>
      </c>
      <c r="I27" t="s">
        <v>1323</v>
      </c>
      <c r="L27">
        <v>0</v>
      </c>
      <c r="M27">
        <v>0</v>
      </c>
      <c r="N27">
        <v>0</v>
      </c>
      <c r="R27">
        <v>0</v>
      </c>
      <c r="S27">
        <v>0</v>
      </c>
      <c r="W27" t="s">
        <v>1060</v>
      </c>
      <c r="X27">
        <v>0</v>
      </c>
      <c r="Z27">
        <v>1</v>
      </c>
      <c r="AA27">
        <v>0</v>
      </c>
      <c r="AB27">
        <v>0</v>
      </c>
      <c r="AC27">
        <v>6.51</v>
      </c>
      <c r="AD27" s="20">
        <v>40781</v>
      </c>
      <c r="AE27">
        <v>5.95</v>
      </c>
      <c r="AF27">
        <v>0</v>
      </c>
      <c r="AH27">
        <v>0</v>
      </c>
      <c r="AJ27">
        <v>0</v>
      </c>
      <c r="AL27">
        <v>1</v>
      </c>
      <c r="AM27">
        <v>0</v>
      </c>
      <c r="AN27">
        <v>16601001</v>
      </c>
      <c r="AO27">
        <v>0</v>
      </c>
      <c r="AP27">
        <v>1000</v>
      </c>
      <c r="AT27">
        <v>0</v>
      </c>
      <c r="AU27" t="s">
        <v>1059</v>
      </c>
      <c r="AW27" t="s">
        <v>1053</v>
      </c>
      <c r="AX27">
        <v>0</v>
      </c>
      <c r="AY27" s="20">
        <v>40781</v>
      </c>
      <c r="BA27" s="20">
        <v>40781</v>
      </c>
      <c r="BB27" t="s">
        <v>1058</v>
      </c>
      <c r="BD27">
        <v>0</v>
      </c>
      <c r="BF27" t="s">
        <v>1043</v>
      </c>
      <c r="BG27" t="s">
        <v>1042</v>
      </c>
      <c r="BH27">
        <v>0</v>
      </c>
      <c r="BI27">
        <v>1</v>
      </c>
      <c r="BJ27">
        <v>0</v>
      </c>
      <c r="BK27">
        <v>0</v>
      </c>
      <c r="BM27" t="s">
        <v>1042</v>
      </c>
      <c r="BN27">
        <v>0</v>
      </c>
      <c r="BR27" t="s">
        <v>1043</v>
      </c>
      <c r="BS27" t="s">
        <v>1043</v>
      </c>
      <c r="BT27" t="s">
        <v>1043</v>
      </c>
      <c r="BW27">
        <v>83</v>
      </c>
      <c r="CA27">
        <v>0</v>
      </c>
      <c r="CB27" t="s">
        <v>1057</v>
      </c>
      <c r="CE27" t="s">
        <v>1043</v>
      </c>
      <c r="CH27" t="s">
        <v>1043</v>
      </c>
      <c r="CN27" t="s">
        <v>1056</v>
      </c>
      <c r="CO27" t="s">
        <v>1043</v>
      </c>
      <c r="CP27">
        <v>1</v>
      </c>
      <c r="CQ27">
        <v>0</v>
      </c>
      <c r="CS27">
        <v>0</v>
      </c>
      <c r="CT27">
        <v>0</v>
      </c>
      <c r="CU27">
        <v>0</v>
      </c>
      <c r="CV27" t="s">
        <v>1045</v>
      </c>
      <c r="CW27">
        <v>0</v>
      </c>
      <c r="CX27">
        <v>0</v>
      </c>
      <c r="CY27">
        <v>0</v>
      </c>
      <c r="CZ27">
        <v>0</v>
      </c>
      <c r="DB27">
        <v>0</v>
      </c>
      <c r="DC27" t="s">
        <v>1043</v>
      </c>
      <c r="DF27" t="s">
        <v>1055</v>
      </c>
      <c r="DH27">
        <v>0</v>
      </c>
      <c r="DJ27">
        <v>0</v>
      </c>
      <c r="DK27" t="s">
        <v>1053</v>
      </c>
      <c r="DL27">
        <v>0</v>
      </c>
      <c r="DN27">
        <v>0</v>
      </c>
      <c r="DO27" t="s">
        <v>1042</v>
      </c>
      <c r="DP27">
        <v>0</v>
      </c>
      <c r="DQ27">
        <v>0</v>
      </c>
      <c r="DS27">
        <v>0</v>
      </c>
      <c r="DU27">
        <v>0</v>
      </c>
      <c r="DW27">
        <v>0</v>
      </c>
      <c r="DX27" t="s">
        <v>1043</v>
      </c>
      <c r="DY27">
        <v>0</v>
      </c>
      <c r="DZ27">
        <v>0</v>
      </c>
      <c r="EA27">
        <v>0</v>
      </c>
      <c r="ED27" t="s">
        <v>1045</v>
      </c>
      <c r="EE27">
        <v>0</v>
      </c>
      <c r="EF27">
        <v>0</v>
      </c>
      <c r="EQ27" t="s">
        <v>1044</v>
      </c>
      <c r="ES27" t="s">
        <v>1053</v>
      </c>
      <c r="ET27">
        <v>0</v>
      </c>
      <c r="EV27">
        <v>0</v>
      </c>
      <c r="EY27" t="s">
        <v>1052</v>
      </c>
      <c r="EZ27">
        <v>0</v>
      </c>
      <c r="FA27" t="s">
        <v>1043</v>
      </c>
      <c r="FB27">
        <v>0</v>
      </c>
      <c r="FC27">
        <v>0</v>
      </c>
      <c r="FE27" t="s">
        <v>1050</v>
      </c>
      <c r="FF27">
        <v>0</v>
      </c>
      <c r="FG27" t="s">
        <v>1050</v>
      </c>
      <c r="FJ27">
        <v>0</v>
      </c>
      <c r="FK27">
        <v>0</v>
      </c>
      <c r="FP27">
        <v>0</v>
      </c>
      <c r="FR27">
        <v>0</v>
      </c>
      <c r="FS27" t="s">
        <v>1043</v>
      </c>
      <c r="FX27" t="s">
        <v>1042</v>
      </c>
      <c r="FZ27" t="s">
        <v>1048</v>
      </c>
      <c r="GA27">
        <v>0</v>
      </c>
      <c r="GB27" t="s">
        <v>1042</v>
      </c>
      <c r="GE27">
        <v>0</v>
      </c>
      <c r="GG27">
        <v>0</v>
      </c>
      <c r="GN27">
        <v>0</v>
      </c>
      <c r="GO27" t="s">
        <v>1063</v>
      </c>
      <c r="GQ27">
        <v>0</v>
      </c>
      <c r="GU27">
        <v>0</v>
      </c>
      <c r="GY27" t="s">
        <v>1045</v>
      </c>
      <c r="HB27">
        <v>0</v>
      </c>
      <c r="HE27">
        <v>0</v>
      </c>
      <c r="HF27">
        <v>0</v>
      </c>
      <c r="HG27">
        <v>0</v>
      </c>
      <c r="HK27" t="s">
        <v>1042</v>
      </c>
      <c r="HM27" t="s">
        <v>1047</v>
      </c>
      <c r="HN27">
        <v>0</v>
      </c>
      <c r="HP27">
        <v>0</v>
      </c>
      <c r="HQ27">
        <v>0</v>
      </c>
      <c r="HR27" t="s">
        <v>1042</v>
      </c>
      <c r="HS27" t="s">
        <v>1043</v>
      </c>
      <c r="HT27">
        <v>0</v>
      </c>
      <c r="HU27">
        <v>0</v>
      </c>
      <c r="HW27">
        <v>0</v>
      </c>
      <c r="HX27">
        <v>0</v>
      </c>
      <c r="HY27">
        <v>0</v>
      </c>
      <c r="HZ27" t="s">
        <v>1045</v>
      </c>
      <c r="IA27">
        <v>0</v>
      </c>
      <c r="IB27" t="s">
        <v>1045</v>
      </c>
      <c r="ID27" t="s">
        <v>1045</v>
      </c>
      <c r="IF27">
        <v>0</v>
      </c>
      <c r="IG27" t="s">
        <v>1042</v>
      </c>
      <c r="II27" t="s">
        <v>1042</v>
      </c>
      <c r="IR27" t="s">
        <v>1045</v>
      </c>
      <c r="IT27">
        <v>0</v>
      </c>
      <c r="IY27" t="s">
        <v>1044</v>
      </c>
      <c r="IZ27" t="s">
        <v>1043</v>
      </c>
      <c r="JC27" t="s">
        <v>1043</v>
      </c>
      <c r="JE27">
        <v>0</v>
      </c>
      <c r="JF27">
        <v>0</v>
      </c>
      <c r="JI27" t="s">
        <v>1042</v>
      </c>
      <c r="JJ27">
        <v>0</v>
      </c>
      <c r="JK27">
        <v>0</v>
      </c>
      <c r="JL27">
        <v>0</v>
      </c>
      <c r="JM27">
        <v>0</v>
      </c>
      <c r="JQ27" t="s">
        <v>1043</v>
      </c>
      <c r="JT27">
        <v>0</v>
      </c>
      <c r="JU27" t="s">
        <v>1042</v>
      </c>
      <c r="JW27">
        <v>0</v>
      </c>
      <c r="KA27">
        <v>0</v>
      </c>
      <c r="KF27">
        <v>0</v>
      </c>
      <c r="KG27">
        <v>0</v>
      </c>
      <c r="KH27">
        <v>0</v>
      </c>
      <c r="KI27">
        <v>0</v>
      </c>
      <c r="KS27" t="s">
        <v>1073</v>
      </c>
      <c r="KT27">
        <v>0</v>
      </c>
      <c r="KU27">
        <v>0</v>
      </c>
      <c r="KV27">
        <v>0</v>
      </c>
      <c r="KX27">
        <v>0</v>
      </c>
      <c r="KZ27">
        <v>0</v>
      </c>
      <c r="LF27">
        <v>0</v>
      </c>
      <c r="LH27">
        <v>0</v>
      </c>
      <c r="LI27">
        <v>0</v>
      </c>
    </row>
    <row r="28" spans="1:321" x14ac:dyDescent="0.35">
      <c r="A28">
        <v>1</v>
      </c>
      <c r="B28">
        <v>12271</v>
      </c>
      <c r="C28" t="s">
        <v>1684</v>
      </c>
      <c r="D28" t="s">
        <v>1139</v>
      </c>
      <c r="E28" t="s">
        <v>85</v>
      </c>
      <c r="F28">
        <v>80</v>
      </c>
      <c r="G28">
        <v>9000</v>
      </c>
      <c r="H28">
        <v>0</v>
      </c>
      <c r="I28" t="s">
        <v>1323</v>
      </c>
      <c r="L28">
        <v>0</v>
      </c>
      <c r="M28">
        <v>0</v>
      </c>
      <c r="N28">
        <v>0</v>
      </c>
      <c r="R28">
        <v>0</v>
      </c>
      <c r="S28">
        <v>0</v>
      </c>
      <c r="W28" t="s">
        <v>1060</v>
      </c>
      <c r="X28">
        <v>0</v>
      </c>
      <c r="Z28">
        <v>1</v>
      </c>
      <c r="AA28">
        <v>0</v>
      </c>
      <c r="AB28">
        <v>0</v>
      </c>
      <c r="AC28">
        <v>4.7916999999999996</v>
      </c>
      <c r="AD28" s="20">
        <v>42032</v>
      </c>
      <c r="AE28">
        <v>5.28</v>
      </c>
      <c r="AF28">
        <v>0</v>
      </c>
      <c r="AH28">
        <v>0</v>
      </c>
      <c r="AJ28">
        <v>0</v>
      </c>
      <c r="AL28">
        <v>1</v>
      </c>
      <c r="AM28">
        <v>0</v>
      </c>
      <c r="AN28">
        <v>16601001</v>
      </c>
      <c r="AO28">
        <v>0</v>
      </c>
      <c r="AP28">
        <v>1000</v>
      </c>
      <c r="AT28">
        <v>0</v>
      </c>
      <c r="AU28" t="s">
        <v>1059</v>
      </c>
      <c r="AW28" t="s">
        <v>1053</v>
      </c>
      <c r="AX28">
        <v>0</v>
      </c>
      <c r="AY28" s="20">
        <v>40781</v>
      </c>
      <c r="BA28" s="20">
        <v>40781</v>
      </c>
      <c r="BB28" t="s">
        <v>1058</v>
      </c>
      <c r="BD28">
        <v>0</v>
      </c>
      <c r="BF28" t="s">
        <v>1043</v>
      </c>
      <c r="BG28" t="s">
        <v>1042</v>
      </c>
      <c r="BH28">
        <v>0</v>
      </c>
      <c r="BI28">
        <v>1</v>
      </c>
      <c r="BJ28">
        <v>0</v>
      </c>
      <c r="BK28">
        <v>0</v>
      </c>
      <c r="BM28" t="s">
        <v>1042</v>
      </c>
      <c r="BN28">
        <v>0</v>
      </c>
      <c r="BR28" t="s">
        <v>1043</v>
      </c>
      <c r="BS28" t="s">
        <v>1043</v>
      </c>
      <c r="BT28" t="s">
        <v>1043</v>
      </c>
      <c r="BW28">
        <v>83</v>
      </c>
      <c r="CA28">
        <v>0</v>
      </c>
      <c r="CB28" t="s">
        <v>1057</v>
      </c>
      <c r="CE28" t="s">
        <v>1043</v>
      </c>
      <c r="CH28" t="s">
        <v>1043</v>
      </c>
      <c r="CN28" t="s">
        <v>1056</v>
      </c>
      <c r="CO28" t="s">
        <v>1043</v>
      </c>
      <c r="CP28">
        <v>1</v>
      </c>
      <c r="CQ28">
        <v>0</v>
      </c>
      <c r="CS28">
        <v>0</v>
      </c>
      <c r="CT28">
        <v>0</v>
      </c>
      <c r="CU28">
        <v>0</v>
      </c>
      <c r="CV28" t="s">
        <v>1045</v>
      </c>
      <c r="CW28">
        <v>0</v>
      </c>
      <c r="CX28">
        <v>0</v>
      </c>
      <c r="CY28">
        <v>0</v>
      </c>
      <c r="CZ28">
        <v>0</v>
      </c>
      <c r="DB28">
        <v>0</v>
      </c>
      <c r="DC28" t="s">
        <v>1043</v>
      </c>
      <c r="DF28" t="s">
        <v>1055</v>
      </c>
      <c r="DH28">
        <v>0</v>
      </c>
      <c r="DJ28">
        <v>0</v>
      </c>
      <c r="DK28" t="s">
        <v>1053</v>
      </c>
      <c r="DL28">
        <v>0</v>
      </c>
      <c r="DN28">
        <v>0</v>
      </c>
      <c r="DO28" t="s">
        <v>1042</v>
      </c>
      <c r="DP28">
        <v>0</v>
      </c>
      <c r="DQ28">
        <v>0</v>
      </c>
      <c r="DS28">
        <v>0</v>
      </c>
      <c r="DU28">
        <v>0</v>
      </c>
      <c r="DW28">
        <v>0</v>
      </c>
      <c r="DX28" t="s">
        <v>1043</v>
      </c>
      <c r="DY28">
        <v>0</v>
      </c>
      <c r="DZ28">
        <v>0</v>
      </c>
      <c r="EA28">
        <v>0</v>
      </c>
      <c r="ED28" t="s">
        <v>1045</v>
      </c>
      <c r="EE28">
        <v>0</v>
      </c>
      <c r="EF28">
        <v>0</v>
      </c>
      <c r="EQ28" t="s">
        <v>1044</v>
      </c>
      <c r="ES28" t="s">
        <v>1053</v>
      </c>
      <c r="ET28">
        <v>0</v>
      </c>
      <c r="EV28">
        <v>0</v>
      </c>
      <c r="EY28" t="s">
        <v>1052</v>
      </c>
      <c r="EZ28">
        <v>0</v>
      </c>
      <c r="FA28" t="s">
        <v>1043</v>
      </c>
      <c r="FB28">
        <v>0</v>
      </c>
      <c r="FC28">
        <v>0</v>
      </c>
      <c r="FE28" t="s">
        <v>1050</v>
      </c>
      <c r="FF28">
        <v>0</v>
      </c>
      <c r="FG28" t="s">
        <v>1050</v>
      </c>
      <c r="FJ28">
        <v>0</v>
      </c>
      <c r="FK28">
        <v>0</v>
      </c>
      <c r="FP28">
        <v>0</v>
      </c>
      <c r="FR28">
        <v>0</v>
      </c>
      <c r="FS28" t="s">
        <v>1043</v>
      </c>
      <c r="FX28" t="s">
        <v>1042</v>
      </c>
      <c r="FZ28" t="s">
        <v>1048</v>
      </c>
      <c r="GA28">
        <v>0</v>
      </c>
      <c r="GB28" t="s">
        <v>1042</v>
      </c>
      <c r="GE28">
        <v>0</v>
      </c>
      <c r="GG28">
        <v>0</v>
      </c>
      <c r="GN28">
        <v>0</v>
      </c>
      <c r="GO28" t="s">
        <v>1063</v>
      </c>
      <c r="GQ28">
        <v>0</v>
      </c>
      <c r="GU28">
        <v>0</v>
      </c>
      <c r="GY28" t="s">
        <v>1045</v>
      </c>
      <c r="HB28">
        <v>0</v>
      </c>
      <c r="HE28">
        <v>0</v>
      </c>
      <c r="HF28">
        <v>0</v>
      </c>
      <c r="HG28">
        <v>0</v>
      </c>
      <c r="HK28" t="s">
        <v>1042</v>
      </c>
      <c r="HM28" t="s">
        <v>1047</v>
      </c>
      <c r="HN28">
        <v>0</v>
      </c>
      <c r="HP28">
        <v>0</v>
      </c>
      <c r="HQ28">
        <v>0</v>
      </c>
      <c r="HR28" t="s">
        <v>1042</v>
      </c>
      <c r="HS28" t="s">
        <v>1043</v>
      </c>
      <c r="HT28">
        <v>0</v>
      </c>
      <c r="HU28">
        <v>0</v>
      </c>
      <c r="HW28">
        <v>0</v>
      </c>
      <c r="HX28">
        <v>0</v>
      </c>
      <c r="HY28">
        <v>0</v>
      </c>
      <c r="HZ28" t="s">
        <v>1045</v>
      </c>
      <c r="IA28">
        <v>0</v>
      </c>
      <c r="IB28" t="s">
        <v>1045</v>
      </c>
      <c r="ID28" t="s">
        <v>1045</v>
      </c>
      <c r="IF28">
        <v>0</v>
      </c>
      <c r="IG28" t="s">
        <v>1042</v>
      </c>
      <c r="II28" t="s">
        <v>1042</v>
      </c>
      <c r="IR28" t="s">
        <v>1045</v>
      </c>
      <c r="IT28">
        <v>0</v>
      </c>
      <c r="IY28" t="s">
        <v>1044</v>
      </c>
      <c r="IZ28" t="s">
        <v>1043</v>
      </c>
      <c r="JC28" t="s">
        <v>1043</v>
      </c>
      <c r="JE28">
        <v>0</v>
      </c>
      <c r="JF28">
        <v>0</v>
      </c>
      <c r="JI28" t="s">
        <v>1042</v>
      </c>
      <c r="JJ28">
        <v>0</v>
      </c>
      <c r="JK28">
        <v>0</v>
      </c>
      <c r="JL28">
        <v>0</v>
      </c>
      <c r="JM28">
        <v>0</v>
      </c>
      <c r="JQ28" t="s">
        <v>1043</v>
      </c>
      <c r="JT28">
        <v>0</v>
      </c>
      <c r="JU28" t="s">
        <v>1042</v>
      </c>
      <c r="JW28">
        <v>0</v>
      </c>
      <c r="KA28">
        <v>0</v>
      </c>
      <c r="KF28">
        <v>0</v>
      </c>
      <c r="KG28">
        <v>0</v>
      </c>
      <c r="KH28">
        <v>0</v>
      </c>
      <c r="KI28">
        <v>0</v>
      </c>
      <c r="KS28" t="s">
        <v>1073</v>
      </c>
      <c r="KT28">
        <v>0</v>
      </c>
      <c r="KU28">
        <v>0</v>
      </c>
      <c r="KV28">
        <v>0</v>
      </c>
      <c r="KX28">
        <v>0</v>
      </c>
      <c r="KZ28">
        <v>0</v>
      </c>
      <c r="LF28">
        <v>0</v>
      </c>
      <c r="LH28">
        <v>0</v>
      </c>
      <c r="LI28">
        <v>0</v>
      </c>
    </row>
    <row r="29" spans="1:321" x14ac:dyDescent="0.35">
      <c r="A29">
        <v>1</v>
      </c>
      <c r="B29">
        <v>12272</v>
      </c>
      <c r="C29" t="s">
        <v>1683</v>
      </c>
      <c r="D29" t="s">
        <v>1139</v>
      </c>
      <c r="E29" t="s">
        <v>587</v>
      </c>
      <c r="F29">
        <v>80</v>
      </c>
      <c r="G29">
        <v>9000</v>
      </c>
      <c r="H29">
        <v>0</v>
      </c>
      <c r="I29" t="s">
        <v>1323</v>
      </c>
      <c r="L29">
        <v>0</v>
      </c>
      <c r="M29">
        <v>0</v>
      </c>
      <c r="N29">
        <v>0</v>
      </c>
      <c r="R29">
        <v>0</v>
      </c>
      <c r="S29">
        <v>0</v>
      </c>
      <c r="W29" t="s">
        <v>1060</v>
      </c>
      <c r="X29">
        <v>0</v>
      </c>
      <c r="Z29">
        <v>1</v>
      </c>
      <c r="AA29">
        <v>0</v>
      </c>
      <c r="AB29">
        <v>0</v>
      </c>
      <c r="AC29">
        <v>1.7670999999999999</v>
      </c>
      <c r="AD29" s="20">
        <v>40781</v>
      </c>
      <c r="AE29">
        <v>1.7</v>
      </c>
      <c r="AF29">
        <v>0</v>
      </c>
      <c r="AH29">
        <v>0</v>
      </c>
      <c r="AJ29">
        <v>0</v>
      </c>
      <c r="AL29">
        <v>0</v>
      </c>
      <c r="AM29">
        <v>0</v>
      </c>
      <c r="AN29">
        <v>16601001</v>
      </c>
      <c r="AO29">
        <v>0</v>
      </c>
      <c r="AP29">
        <v>1000</v>
      </c>
      <c r="AT29">
        <v>0</v>
      </c>
      <c r="AU29" t="s">
        <v>1059</v>
      </c>
      <c r="AW29" t="s">
        <v>1053</v>
      </c>
      <c r="AX29">
        <v>0</v>
      </c>
      <c r="AY29" s="20">
        <v>40781</v>
      </c>
      <c r="BA29" s="20">
        <v>40781</v>
      </c>
      <c r="BB29" t="s">
        <v>1058</v>
      </c>
      <c r="BD29">
        <v>0</v>
      </c>
      <c r="BF29" t="s">
        <v>1043</v>
      </c>
      <c r="BG29" t="s">
        <v>1042</v>
      </c>
      <c r="BH29">
        <v>0</v>
      </c>
      <c r="BI29">
        <v>1</v>
      </c>
      <c r="BJ29">
        <v>0</v>
      </c>
      <c r="BK29">
        <v>0</v>
      </c>
      <c r="BM29" t="s">
        <v>1042</v>
      </c>
      <c r="BN29">
        <v>0</v>
      </c>
      <c r="BR29" t="s">
        <v>1043</v>
      </c>
      <c r="BS29" t="s">
        <v>1043</v>
      </c>
      <c r="BT29" t="s">
        <v>1043</v>
      </c>
      <c r="BW29">
        <v>83</v>
      </c>
      <c r="CA29">
        <v>0</v>
      </c>
      <c r="CB29" t="s">
        <v>1057</v>
      </c>
      <c r="CE29" t="s">
        <v>1043</v>
      </c>
      <c r="CH29" t="s">
        <v>1043</v>
      </c>
      <c r="CN29" t="s">
        <v>1074</v>
      </c>
      <c r="CO29" t="s">
        <v>1043</v>
      </c>
      <c r="CP29">
        <v>1</v>
      </c>
      <c r="CQ29">
        <v>0</v>
      </c>
      <c r="CS29">
        <v>0</v>
      </c>
      <c r="CT29">
        <v>0</v>
      </c>
      <c r="CU29">
        <v>0</v>
      </c>
      <c r="CV29" t="s">
        <v>1045</v>
      </c>
      <c r="CW29">
        <v>0</v>
      </c>
      <c r="CX29">
        <v>0</v>
      </c>
      <c r="CY29">
        <v>0</v>
      </c>
      <c r="CZ29">
        <v>0</v>
      </c>
      <c r="DB29">
        <v>0</v>
      </c>
      <c r="DC29" t="s">
        <v>1043</v>
      </c>
      <c r="DF29" t="s">
        <v>1055</v>
      </c>
      <c r="DH29">
        <v>0</v>
      </c>
      <c r="DJ29">
        <v>0</v>
      </c>
      <c r="DK29" t="s">
        <v>1053</v>
      </c>
      <c r="DL29">
        <v>0</v>
      </c>
      <c r="DN29">
        <v>0</v>
      </c>
      <c r="DO29" t="s">
        <v>1042</v>
      </c>
      <c r="DP29">
        <v>0</v>
      </c>
      <c r="DQ29">
        <v>0</v>
      </c>
      <c r="DS29">
        <v>0</v>
      </c>
      <c r="DU29">
        <v>0</v>
      </c>
      <c r="DW29">
        <v>0</v>
      </c>
      <c r="DX29" t="s">
        <v>1043</v>
      </c>
      <c r="DY29">
        <v>0</v>
      </c>
      <c r="DZ29">
        <v>0</v>
      </c>
      <c r="EA29">
        <v>0</v>
      </c>
      <c r="ED29" t="s">
        <v>1045</v>
      </c>
      <c r="EE29">
        <v>0</v>
      </c>
      <c r="EF29">
        <v>0</v>
      </c>
      <c r="EQ29" t="s">
        <v>1044</v>
      </c>
      <c r="ES29" t="s">
        <v>1053</v>
      </c>
      <c r="ET29">
        <v>0</v>
      </c>
      <c r="EV29">
        <v>0</v>
      </c>
      <c r="EY29" t="s">
        <v>1052</v>
      </c>
      <c r="EZ29">
        <v>0</v>
      </c>
      <c r="FA29" t="s">
        <v>1043</v>
      </c>
      <c r="FB29">
        <v>0</v>
      </c>
      <c r="FC29">
        <v>0</v>
      </c>
      <c r="FE29" t="s">
        <v>1050</v>
      </c>
      <c r="FF29">
        <v>0</v>
      </c>
      <c r="FG29" t="s">
        <v>1050</v>
      </c>
      <c r="FJ29">
        <v>0</v>
      </c>
      <c r="FK29">
        <v>0</v>
      </c>
      <c r="FP29">
        <v>0</v>
      </c>
      <c r="FR29">
        <v>0</v>
      </c>
      <c r="FX29" t="s">
        <v>1042</v>
      </c>
      <c r="FZ29" t="s">
        <v>1048</v>
      </c>
      <c r="GA29">
        <v>0</v>
      </c>
      <c r="GB29" t="s">
        <v>1042</v>
      </c>
      <c r="GE29">
        <v>0</v>
      </c>
      <c r="GG29">
        <v>0</v>
      </c>
      <c r="GN29">
        <v>0</v>
      </c>
      <c r="GO29" t="s">
        <v>1063</v>
      </c>
      <c r="GQ29">
        <v>0</v>
      </c>
      <c r="GU29">
        <v>0</v>
      </c>
      <c r="GY29" t="s">
        <v>1045</v>
      </c>
      <c r="HB29">
        <v>0</v>
      </c>
      <c r="HE29">
        <v>0</v>
      </c>
      <c r="HF29">
        <v>0</v>
      </c>
      <c r="HG29">
        <v>0</v>
      </c>
      <c r="HK29" t="s">
        <v>1042</v>
      </c>
      <c r="HM29" t="s">
        <v>1047</v>
      </c>
      <c r="HN29">
        <v>0</v>
      </c>
      <c r="HP29">
        <v>0</v>
      </c>
      <c r="HQ29">
        <v>0</v>
      </c>
      <c r="HR29" t="s">
        <v>1042</v>
      </c>
      <c r="HS29" t="s">
        <v>1043</v>
      </c>
      <c r="HT29">
        <v>0</v>
      </c>
      <c r="HU29">
        <v>0</v>
      </c>
      <c r="HW29">
        <v>0</v>
      </c>
      <c r="HX29">
        <v>0</v>
      </c>
      <c r="HY29">
        <v>0</v>
      </c>
      <c r="HZ29" t="s">
        <v>1045</v>
      </c>
      <c r="IA29">
        <v>0</v>
      </c>
      <c r="IB29" t="s">
        <v>1045</v>
      </c>
      <c r="ID29" t="s">
        <v>1045</v>
      </c>
      <c r="IF29">
        <v>0</v>
      </c>
      <c r="IG29" t="s">
        <v>1042</v>
      </c>
      <c r="II29" t="s">
        <v>1042</v>
      </c>
      <c r="IR29" t="s">
        <v>1045</v>
      </c>
      <c r="IT29">
        <v>0</v>
      </c>
      <c r="IY29" t="s">
        <v>1044</v>
      </c>
      <c r="IZ29" t="s">
        <v>1043</v>
      </c>
      <c r="JC29" t="s">
        <v>1043</v>
      </c>
      <c r="JE29">
        <v>0</v>
      </c>
      <c r="JF29">
        <v>0</v>
      </c>
      <c r="JI29" t="s">
        <v>1042</v>
      </c>
      <c r="JJ29">
        <v>0</v>
      </c>
      <c r="JK29">
        <v>0</v>
      </c>
      <c r="JL29">
        <v>0</v>
      </c>
      <c r="JM29">
        <v>0</v>
      </c>
      <c r="JQ29" t="s">
        <v>1043</v>
      </c>
      <c r="JT29">
        <v>0</v>
      </c>
      <c r="JU29" t="s">
        <v>1042</v>
      </c>
      <c r="JW29">
        <v>0</v>
      </c>
      <c r="KA29">
        <v>0</v>
      </c>
      <c r="KF29">
        <v>0</v>
      </c>
      <c r="KG29">
        <v>0</v>
      </c>
      <c r="KH29">
        <v>0</v>
      </c>
      <c r="KI29">
        <v>0</v>
      </c>
      <c r="KS29" t="s">
        <v>1073</v>
      </c>
      <c r="KT29">
        <v>0</v>
      </c>
      <c r="KU29">
        <v>0</v>
      </c>
      <c r="KV29">
        <v>0</v>
      </c>
      <c r="KX29">
        <v>0</v>
      </c>
      <c r="KZ29">
        <v>0</v>
      </c>
      <c r="LF29">
        <v>0</v>
      </c>
      <c r="LH29">
        <v>0</v>
      </c>
      <c r="LI29">
        <v>0</v>
      </c>
    </row>
    <row r="30" spans="1:321" x14ac:dyDescent="0.35">
      <c r="A30">
        <v>1</v>
      </c>
      <c r="B30">
        <v>12273</v>
      </c>
      <c r="C30" t="s">
        <v>1682</v>
      </c>
      <c r="D30" t="s">
        <v>1139</v>
      </c>
      <c r="E30" t="s">
        <v>85</v>
      </c>
      <c r="F30">
        <v>80</v>
      </c>
      <c r="G30">
        <v>9000</v>
      </c>
      <c r="H30">
        <v>0</v>
      </c>
      <c r="I30" t="s">
        <v>1323</v>
      </c>
      <c r="L30">
        <v>0</v>
      </c>
      <c r="M30">
        <v>0</v>
      </c>
      <c r="N30">
        <v>0</v>
      </c>
      <c r="R30">
        <v>0</v>
      </c>
      <c r="S30">
        <v>0</v>
      </c>
      <c r="W30" t="s">
        <v>1060</v>
      </c>
      <c r="X30">
        <v>0</v>
      </c>
      <c r="Z30">
        <v>1</v>
      </c>
      <c r="AA30">
        <v>0</v>
      </c>
      <c r="AB30">
        <v>0</v>
      </c>
      <c r="AC30">
        <v>13.106999999999999</v>
      </c>
      <c r="AD30" s="20">
        <v>40781</v>
      </c>
      <c r="AE30">
        <v>12.61</v>
      </c>
      <c r="AF30">
        <v>0</v>
      </c>
      <c r="AH30">
        <v>0</v>
      </c>
      <c r="AJ30">
        <v>0</v>
      </c>
      <c r="AL30">
        <v>1</v>
      </c>
      <c r="AM30">
        <v>0</v>
      </c>
      <c r="AN30">
        <v>16601001</v>
      </c>
      <c r="AO30">
        <v>0</v>
      </c>
      <c r="AP30">
        <v>1000</v>
      </c>
      <c r="AT30">
        <v>0</v>
      </c>
      <c r="AU30" t="s">
        <v>1059</v>
      </c>
      <c r="AW30" t="s">
        <v>1053</v>
      </c>
      <c r="AX30">
        <v>0</v>
      </c>
      <c r="AY30" s="20">
        <v>40781</v>
      </c>
      <c r="BA30" s="20">
        <v>40781</v>
      </c>
      <c r="BB30" t="s">
        <v>1058</v>
      </c>
      <c r="BD30">
        <v>0</v>
      </c>
      <c r="BF30" t="s">
        <v>1043</v>
      </c>
      <c r="BG30" t="s">
        <v>1042</v>
      </c>
      <c r="BH30">
        <v>0</v>
      </c>
      <c r="BI30">
        <v>1</v>
      </c>
      <c r="BJ30">
        <v>0</v>
      </c>
      <c r="BK30">
        <v>0</v>
      </c>
      <c r="BM30" s="20">
        <v>42744</v>
      </c>
      <c r="BN30">
        <v>0</v>
      </c>
      <c r="BR30" t="s">
        <v>1043</v>
      </c>
      <c r="BS30" t="s">
        <v>1043</v>
      </c>
      <c r="BT30" t="s">
        <v>1043</v>
      </c>
      <c r="BW30">
        <v>83</v>
      </c>
      <c r="CA30">
        <v>0</v>
      </c>
      <c r="CB30" t="s">
        <v>1057</v>
      </c>
      <c r="CE30" t="s">
        <v>1043</v>
      </c>
      <c r="CH30" t="s">
        <v>1043</v>
      </c>
      <c r="CN30" t="s">
        <v>1056</v>
      </c>
      <c r="CO30" t="s">
        <v>1043</v>
      </c>
      <c r="CP30">
        <v>1</v>
      </c>
      <c r="CQ30">
        <v>0</v>
      </c>
      <c r="CS30">
        <v>0</v>
      </c>
      <c r="CT30">
        <v>0</v>
      </c>
      <c r="CU30">
        <v>0</v>
      </c>
      <c r="CV30" t="s">
        <v>1045</v>
      </c>
      <c r="CW30">
        <v>0</v>
      </c>
      <c r="CX30">
        <v>0</v>
      </c>
      <c r="CY30">
        <v>0</v>
      </c>
      <c r="CZ30">
        <v>0</v>
      </c>
      <c r="DB30">
        <v>0</v>
      </c>
      <c r="DC30" t="s">
        <v>1043</v>
      </c>
      <c r="DF30" t="s">
        <v>1055</v>
      </c>
      <c r="DH30">
        <v>0</v>
      </c>
      <c r="DJ30">
        <v>0</v>
      </c>
      <c r="DK30" t="s">
        <v>1053</v>
      </c>
      <c r="DL30">
        <v>0</v>
      </c>
      <c r="DN30">
        <v>0</v>
      </c>
      <c r="DO30" t="s">
        <v>1042</v>
      </c>
      <c r="DP30">
        <v>0</v>
      </c>
      <c r="DQ30">
        <v>0</v>
      </c>
      <c r="DS30">
        <v>0</v>
      </c>
      <c r="DU30">
        <v>0</v>
      </c>
      <c r="DW30">
        <v>0</v>
      </c>
      <c r="DX30" t="s">
        <v>1043</v>
      </c>
      <c r="DY30">
        <v>0</v>
      </c>
      <c r="DZ30">
        <v>0</v>
      </c>
      <c r="EA30">
        <v>0</v>
      </c>
      <c r="ED30" t="s">
        <v>1045</v>
      </c>
      <c r="EE30">
        <v>0</v>
      </c>
      <c r="EF30">
        <v>0</v>
      </c>
      <c r="EQ30" t="s">
        <v>1044</v>
      </c>
      <c r="ES30" t="s">
        <v>1053</v>
      </c>
      <c r="ET30">
        <v>0</v>
      </c>
      <c r="EV30">
        <v>0</v>
      </c>
      <c r="EY30" t="s">
        <v>1052</v>
      </c>
      <c r="EZ30">
        <v>0</v>
      </c>
      <c r="FA30" t="s">
        <v>1043</v>
      </c>
      <c r="FB30">
        <v>0</v>
      </c>
      <c r="FC30">
        <v>0</v>
      </c>
      <c r="FE30" t="s">
        <v>1050</v>
      </c>
      <c r="FF30">
        <v>0</v>
      </c>
      <c r="FG30" t="s">
        <v>1050</v>
      </c>
      <c r="FJ30">
        <v>0</v>
      </c>
      <c r="FK30">
        <v>0</v>
      </c>
      <c r="FP30">
        <v>0</v>
      </c>
      <c r="FR30">
        <v>0</v>
      </c>
      <c r="FS30" t="s">
        <v>1043</v>
      </c>
      <c r="FX30" t="s">
        <v>1042</v>
      </c>
      <c r="FZ30" t="s">
        <v>1048</v>
      </c>
      <c r="GA30">
        <v>0</v>
      </c>
      <c r="GB30" t="s">
        <v>1042</v>
      </c>
      <c r="GE30">
        <v>0</v>
      </c>
      <c r="GG30">
        <v>0</v>
      </c>
      <c r="GN30">
        <v>0</v>
      </c>
      <c r="GO30" t="s">
        <v>1063</v>
      </c>
      <c r="GQ30">
        <v>0</v>
      </c>
      <c r="GU30">
        <v>0</v>
      </c>
      <c r="GY30" t="s">
        <v>1045</v>
      </c>
      <c r="HB30">
        <v>0</v>
      </c>
      <c r="HE30">
        <v>0</v>
      </c>
      <c r="HF30">
        <v>0</v>
      </c>
      <c r="HG30">
        <v>0</v>
      </c>
      <c r="HK30" t="s">
        <v>1042</v>
      </c>
      <c r="HM30" t="s">
        <v>1047</v>
      </c>
      <c r="HN30">
        <v>0</v>
      </c>
      <c r="HP30">
        <v>0</v>
      </c>
      <c r="HQ30">
        <v>0</v>
      </c>
      <c r="HR30" t="s">
        <v>1042</v>
      </c>
      <c r="HS30" t="s">
        <v>1043</v>
      </c>
      <c r="HT30">
        <v>0</v>
      </c>
      <c r="HU30">
        <v>0</v>
      </c>
      <c r="HW30">
        <v>0</v>
      </c>
      <c r="HX30">
        <v>0</v>
      </c>
      <c r="HY30">
        <v>0</v>
      </c>
      <c r="HZ30" t="s">
        <v>1045</v>
      </c>
      <c r="IA30">
        <v>0</v>
      </c>
      <c r="IB30" t="s">
        <v>1045</v>
      </c>
      <c r="ID30" t="s">
        <v>1045</v>
      </c>
      <c r="IF30">
        <v>0</v>
      </c>
      <c r="IG30" t="s">
        <v>1042</v>
      </c>
      <c r="II30" t="s">
        <v>1042</v>
      </c>
      <c r="IR30" t="s">
        <v>1045</v>
      </c>
      <c r="IT30">
        <v>0</v>
      </c>
      <c r="IY30" t="s">
        <v>1044</v>
      </c>
      <c r="IZ30" t="s">
        <v>1043</v>
      </c>
      <c r="JC30" t="s">
        <v>1043</v>
      </c>
      <c r="JE30">
        <v>0</v>
      </c>
      <c r="JF30">
        <v>0</v>
      </c>
      <c r="JI30" t="s">
        <v>1042</v>
      </c>
      <c r="JJ30">
        <v>0</v>
      </c>
      <c r="JK30">
        <v>0</v>
      </c>
      <c r="JL30">
        <v>0</v>
      </c>
      <c r="JM30">
        <v>0</v>
      </c>
      <c r="JQ30" t="s">
        <v>1043</v>
      </c>
      <c r="JT30">
        <v>0</v>
      </c>
      <c r="JU30" t="s">
        <v>1042</v>
      </c>
      <c r="JW30">
        <v>0</v>
      </c>
      <c r="KA30">
        <v>0</v>
      </c>
      <c r="KF30">
        <v>0</v>
      </c>
      <c r="KG30">
        <v>0</v>
      </c>
      <c r="KH30">
        <v>0</v>
      </c>
      <c r="KI30">
        <v>0</v>
      </c>
      <c r="KS30" t="s">
        <v>1073</v>
      </c>
      <c r="KT30">
        <v>0</v>
      </c>
      <c r="KU30">
        <v>0</v>
      </c>
      <c r="KV30">
        <v>0</v>
      </c>
      <c r="KX30">
        <v>0</v>
      </c>
      <c r="KZ30">
        <v>0</v>
      </c>
      <c r="LF30">
        <v>0</v>
      </c>
      <c r="LH30">
        <v>0</v>
      </c>
      <c r="LI30">
        <v>0</v>
      </c>
    </row>
    <row r="31" spans="1:321" x14ac:dyDescent="0.35">
      <c r="A31">
        <v>1</v>
      </c>
      <c r="B31">
        <v>12274</v>
      </c>
      <c r="C31" t="s">
        <v>1681</v>
      </c>
      <c r="D31" t="s">
        <v>1139</v>
      </c>
      <c r="E31" t="s">
        <v>85</v>
      </c>
      <c r="F31">
        <v>80</v>
      </c>
      <c r="G31">
        <v>9000</v>
      </c>
      <c r="H31">
        <v>0</v>
      </c>
      <c r="I31" t="s">
        <v>1323</v>
      </c>
      <c r="L31">
        <v>0</v>
      </c>
      <c r="M31">
        <v>0</v>
      </c>
      <c r="N31">
        <v>0</v>
      </c>
      <c r="R31">
        <v>0</v>
      </c>
      <c r="S31">
        <v>0</v>
      </c>
      <c r="W31" t="s">
        <v>1060</v>
      </c>
      <c r="X31">
        <v>0</v>
      </c>
      <c r="Z31">
        <v>1</v>
      </c>
      <c r="AA31">
        <v>0</v>
      </c>
      <c r="AB31">
        <v>0</v>
      </c>
      <c r="AC31">
        <v>27.79</v>
      </c>
      <c r="AD31" s="20">
        <v>40781</v>
      </c>
      <c r="AE31">
        <v>37.5</v>
      </c>
      <c r="AF31">
        <v>0</v>
      </c>
      <c r="AH31">
        <v>0</v>
      </c>
      <c r="AJ31">
        <v>0</v>
      </c>
      <c r="AL31">
        <v>1</v>
      </c>
      <c r="AM31">
        <v>0</v>
      </c>
      <c r="AN31">
        <v>16601001</v>
      </c>
      <c r="AO31">
        <v>0</v>
      </c>
      <c r="AP31">
        <v>1000</v>
      </c>
      <c r="AT31">
        <v>0</v>
      </c>
      <c r="AU31" t="s">
        <v>1059</v>
      </c>
      <c r="AW31" t="s">
        <v>1053</v>
      </c>
      <c r="AX31">
        <v>0</v>
      </c>
      <c r="AY31" s="20">
        <v>40781</v>
      </c>
      <c r="BA31" s="20">
        <v>40781</v>
      </c>
      <c r="BB31" t="s">
        <v>1058</v>
      </c>
      <c r="BD31">
        <v>0</v>
      </c>
      <c r="BF31" t="s">
        <v>1043</v>
      </c>
      <c r="BG31" t="s">
        <v>1042</v>
      </c>
      <c r="BH31">
        <v>0</v>
      </c>
      <c r="BI31">
        <v>1</v>
      </c>
      <c r="BJ31">
        <v>0</v>
      </c>
      <c r="BK31">
        <v>0</v>
      </c>
      <c r="BM31" t="s">
        <v>1042</v>
      </c>
      <c r="BN31">
        <v>0</v>
      </c>
      <c r="BR31" t="s">
        <v>1043</v>
      </c>
      <c r="BS31" t="s">
        <v>1043</v>
      </c>
      <c r="BT31" t="s">
        <v>1043</v>
      </c>
      <c r="BW31">
        <v>83</v>
      </c>
      <c r="CA31">
        <v>0</v>
      </c>
      <c r="CB31" t="s">
        <v>1057</v>
      </c>
      <c r="CE31" t="s">
        <v>1043</v>
      </c>
      <c r="CH31" t="s">
        <v>1043</v>
      </c>
      <c r="CN31" t="s">
        <v>1056</v>
      </c>
      <c r="CO31" t="s">
        <v>1043</v>
      </c>
      <c r="CP31">
        <v>1</v>
      </c>
      <c r="CQ31">
        <v>0</v>
      </c>
      <c r="CS31">
        <v>0</v>
      </c>
      <c r="CT31">
        <v>0</v>
      </c>
      <c r="CU31">
        <v>0</v>
      </c>
      <c r="CV31" t="s">
        <v>1045</v>
      </c>
      <c r="CW31">
        <v>0</v>
      </c>
      <c r="CX31">
        <v>0</v>
      </c>
      <c r="CY31">
        <v>0</v>
      </c>
      <c r="CZ31">
        <v>0</v>
      </c>
      <c r="DB31">
        <v>0</v>
      </c>
      <c r="DC31" t="s">
        <v>1043</v>
      </c>
      <c r="DF31" t="s">
        <v>1055</v>
      </c>
      <c r="DH31">
        <v>0</v>
      </c>
      <c r="DJ31">
        <v>0</v>
      </c>
      <c r="DK31" t="s">
        <v>1053</v>
      </c>
      <c r="DL31">
        <v>0</v>
      </c>
      <c r="DN31">
        <v>0</v>
      </c>
      <c r="DO31" t="s">
        <v>1042</v>
      </c>
      <c r="DP31">
        <v>0</v>
      </c>
      <c r="DQ31">
        <v>0</v>
      </c>
      <c r="DS31">
        <v>0</v>
      </c>
      <c r="DU31">
        <v>0</v>
      </c>
      <c r="DW31">
        <v>0</v>
      </c>
      <c r="DX31" t="s">
        <v>1043</v>
      </c>
      <c r="DY31">
        <v>0</v>
      </c>
      <c r="DZ31">
        <v>0</v>
      </c>
      <c r="EA31">
        <v>0</v>
      </c>
      <c r="ED31" t="s">
        <v>1045</v>
      </c>
      <c r="EE31">
        <v>0</v>
      </c>
      <c r="EF31">
        <v>0</v>
      </c>
      <c r="EQ31" t="s">
        <v>1044</v>
      </c>
      <c r="ES31" t="s">
        <v>1053</v>
      </c>
      <c r="ET31">
        <v>0</v>
      </c>
      <c r="EV31">
        <v>0</v>
      </c>
      <c r="EY31" t="s">
        <v>1052</v>
      </c>
      <c r="EZ31">
        <v>0</v>
      </c>
      <c r="FA31" t="s">
        <v>1043</v>
      </c>
      <c r="FB31">
        <v>0</v>
      </c>
      <c r="FC31">
        <v>0</v>
      </c>
      <c r="FE31" t="s">
        <v>1050</v>
      </c>
      <c r="FF31">
        <v>0</v>
      </c>
      <c r="FG31" t="s">
        <v>1050</v>
      </c>
      <c r="FJ31">
        <v>0</v>
      </c>
      <c r="FK31">
        <v>0</v>
      </c>
      <c r="FP31">
        <v>0</v>
      </c>
      <c r="FR31">
        <v>0</v>
      </c>
      <c r="FS31" t="s">
        <v>1043</v>
      </c>
      <c r="FX31" t="s">
        <v>1042</v>
      </c>
      <c r="FZ31" t="s">
        <v>1048</v>
      </c>
      <c r="GA31">
        <v>0</v>
      </c>
      <c r="GB31" t="s">
        <v>1042</v>
      </c>
      <c r="GE31">
        <v>0</v>
      </c>
      <c r="GG31">
        <v>0</v>
      </c>
      <c r="GN31">
        <v>0</v>
      </c>
      <c r="GO31" t="s">
        <v>1063</v>
      </c>
      <c r="GQ31">
        <v>0</v>
      </c>
      <c r="GU31">
        <v>0</v>
      </c>
      <c r="GY31" t="s">
        <v>1045</v>
      </c>
      <c r="HB31">
        <v>0</v>
      </c>
      <c r="HE31">
        <v>0</v>
      </c>
      <c r="HF31">
        <v>0</v>
      </c>
      <c r="HG31">
        <v>0</v>
      </c>
      <c r="HK31" t="s">
        <v>1042</v>
      </c>
      <c r="HM31" t="s">
        <v>1047</v>
      </c>
      <c r="HN31">
        <v>0</v>
      </c>
      <c r="HP31">
        <v>0</v>
      </c>
      <c r="HQ31">
        <v>0</v>
      </c>
      <c r="HR31" t="s">
        <v>1042</v>
      </c>
      <c r="HS31" t="s">
        <v>1043</v>
      </c>
      <c r="HT31">
        <v>0</v>
      </c>
      <c r="HU31">
        <v>0</v>
      </c>
      <c r="HW31">
        <v>0</v>
      </c>
      <c r="HX31">
        <v>0</v>
      </c>
      <c r="HY31">
        <v>0</v>
      </c>
      <c r="HZ31" t="s">
        <v>1045</v>
      </c>
      <c r="IA31">
        <v>0</v>
      </c>
      <c r="IB31" t="s">
        <v>1045</v>
      </c>
      <c r="ID31" t="s">
        <v>1045</v>
      </c>
      <c r="IF31">
        <v>0</v>
      </c>
      <c r="IG31" t="s">
        <v>1042</v>
      </c>
      <c r="II31" t="s">
        <v>1042</v>
      </c>
      <c r="IR31" t="s">
        <v>1045</v>
      </c>
      <c r="IT31">
        <v>0</v>
      </c>
      <c r="IY31" t="s">
        <v>1044</v>
      </c>
      <c r="IZ31" t="s">
        <v>1043</v>
      </c>
      <c r="JC31" t="s">
        <v>1043</v>
      </c>
      <c r="JE31">
        <v>0</v>
      </c>
      <c r="JF31">
        <v>0</v>
      </c>
      <c r="JI31" t="s">
        <v>1042</v>
      </c>
      <c r="JJ31">
        <v>0</v>
      </c>
      <c r="JK31">
        <v>0</v>
      </c>
      <c r="JL31">
        <v>0</v>
      </c>
      <c r="JM31">
        <v>0</v>
      </c>
      <c r="JQ31" t="s">
        <v>1043</v>
      </c>
      <c r="JT31">
        <v>0</v>
      </c>
      <c r="JU31" t="s">
        <v>1042</v>
      </c>
      <c r="JW31">
        <v>0</v>
      </c>
      <c r="KA31">
        <v>0</v>
      </c>
      <c r="KF31">
        <v>0</v>
      </c>
      <c r="KG31">
        <v>0</v>
      </c>
      <c r="KH31">
        <v>0</v>
      </c>
      <c r="KI31">
        <v>0</v>
      </c>
      <c r="KS31" t="s">
        <v>1073</v>
      </c>
      <c r="KT31">
        <v>0</v>
      </c>
      <c r="KU31">
        <v>0</v>
      </c>
      <c r="KV31">
        <v>0</v>
      </c>
      <c r="KX31">
        <v>0</v>
      </c>
      <c r="KZ31">
        <v>0</v>
      </c>
      <c r="LF31">
        <v>0</v>
      </c>
      <c r="LH31">
        <v>0</v>
      </c>
      <c r="LI31">
        <v>0</v>
      </c>
    </row>
    <row r="32" spans="1:321" x14ac:dyDescent="0.35">
      <c r="A32">
        <v>1</v>
      </c>
      <c r="B32">
        <v>12275</v>
      </c>
      <c r="C32" t="s">
        <v>1680</v>
      </c>
      <c r="D32" t="s">
        <v>1139</v>
      </c>
      <c r="E32" t="s">
        <v>85</v>
      </c>
      <c r="F32">
        <v>80</v>
      </c>
      <c r="G32">
        <v>9000</v>
      </c>
      <c r="H32">
        <v>0</v>
      </c>
      <c r="I32" t="s">
        <v>1323</v>
      </c>
      <c r="L32">
        <v>0</v>
      </c>
      <c r="M32">
        <v>0</v>
      </c>
      <c r="N32">
        <v>0</v>
      </c>
      <c r="R32">
        <v>0</v>
      </c>
      <c r="S32">
        <v>0</v>
      </c>
      <c r="W32" t="s">
        <v>1060</v>
      </c>
      <c r="X32">
        <v>0</v>
      </c>
      <c r="Z32">
        <v>1</v>
      </c>
      <c r="AA32">
        <v>0</v>
      </c>
      <c r="AB32">
        <v>0</v>
      </c>
      <c r="AC32">
        <v>19.728999999999999</v>
      </c>
      <c r="AD32" s="20">
        <v>40781</v>
      </c>
      <c r="AE32">
        <v>20.28</v>
      </c>
      <c r="AF32">
        <v>0</v>
      </c>
      <c r="AH32">
        <v>0</v>
      </c>
      <c r="AJ32">
        <v>0</v>
      </c>
      <c r="AL32">
        <v>0</v>
      </c>
      <c r="AM32">
        <v>0</v>
      </c>
      <c r="AN32">
        <v>16601001</v>
      </c>
      <c r="AO32">
        <v>0</v>
      </c>
      <c r="AP32">
        <v>1000</v>
      </c>
      <c r="AT32">
        <v>0</v>
      </c>
      <c r="AU32" t="s">
        <v>1059</v>
      </c>
      <c r="AW32" t="s">
        <v>1053</v>
      </c>
      <c r="AX32">
        <v>0</v>
      </c>
      <c r="AY32" s="20">
        <v>40781</v>
      </c>
      <c r="BA32" s="20">
        <v>40781</v>
      </c>
      <c r="BB32" t="s">
        <v>1058</v>
      </c>
      <c r="BD32">
        <v>0</v>
      </c>
      <c r="BF32" t="s">
        <v>1043</v>
      </c>
      <c r="BG32" t="s">
        <v>1042</v>
      </c>
      <c r="BH32">
        <v>0</v>
      </c>
      <c r="BI32">
        <v>1</v>
      </c>
      <c r="BJ32">
        <v>0</v>
      </c>
      <c r="BK32">
        <v>0</v>
      </c>
      <c r="BM32" t="s">
        <v>1042</v>
      </c>
      <c r="BN32">
        <v>0</v>
      </c>
      <c r="BR32" t="s">
        <v>1043</v>
      </c>
      <c r="BS32" t="s">
        <v>1043</v>
      </c>
      <c r="BT32" t="s">
        <v>1043</v>
      </c>
      <c r="BW32">
        <v>83</v>
      </c>
      <c r="CA32">
        <v>0</v>
      </c>
      <c r="CB32" t="s">
        <v>1057</v>
      </c>
      <c r="CE32" t="s">
        <v>1043</v>
      </c>
      <c r="CH32" t="s">
        <v>1043</v>
      </c>
      <c r="CN32" t="s">
        <v>1056</v>
      </c>
      <c r="CO32" t="s">
        <v>1043</v>
      </c>
      <c r="CP32">
        <v>1</v>
      </c>
      <c r="CQ32">
        <v>0</v>
      </c>
      <c r="CS32">
        <v>0</v>
      </c>
      <c r="CT32">
        <v>0</v>
      </c>
      <c r="CU32">
        <v>0</v>
      </c>
      <c r="CV32" t="s">
        <v>1045</v>
      </c>
      <c r="CW32">
        <v>0</v>
      </c>
      <c r="CX32">
        <v>0</v>
      </c>
      <c r="CY32">
        <v>0</v>
      </c>
      <c r="CZ32">
        <v>0</v>
      </c>
      <c r="DB32">
        <v>0</v>
      </c>
      <c r="DC32" t="s">
        <v>1043</v>
      </c>
      <c r="DF32" t="s">
        <v>1055</v>
      </c>
      <c r="DH32">
        <v>0</v>
      </c>
      <c r="DJ32">
        <v>0</v>
      </c>
      <c r="DK32" t="s">
        <v>1053</v>
      </c>
      <c r="DL32">
        <v>0</v>
      </c>
      <c r="DN32">
        <v>0</v>
      </c>
      <c r="DO32" t="s">
        <v>1042</v>
      </c>
      <c r="DP32">
        <v>0</v>
      </c>
      <c r="DQ32">
        <v>0</v>
      </c>
      <c r="DS32">
        <v>0</v>
      </c>
      <c r="DU32">
        <v>0</v>
      </c>
      <c r="DW32">
        <v>0</v>
      </c>
      <c r="DX32" t="s">
        <v>1043</v>
      </c>
      <c r="DY32">
        <v>0</v>
      </c>
      <c r="DZ32">
        <v>0</v>
      </c>
      <c r="EA32">
        <v>0</v>
      </c>
      <c r="ED32" t="s">
        <v>1045</v>
      </c>
      <c r="EE32">
        <v>0</v>
      </c>
      <c r="EF32">
        <v>0</v>
      </c>
      <c r="EQ32" t="s">
        <v>1044</v>
      </c>
      <c r="ES32" t="s">
        <v>1053</v>
      </c>
      <c r="ET32">
        <v>0</v>
      </c>
      <c r="EV32">
        <v>0</v>
      </c>
      <c r="EY32" t="s">
        <v>1052</v>
      </c>
      <c r="EZ32">
        <v>0</v>
      </c>
      <c r="FA32" t="s">
        <v>1043</v>
      </c>
      <c r="FB32">
        <v>0</v>
      </c>
      <c r="FC32">
        <v>0</v>
      </c>
      <c r="FE32" t="s">
        <v>1050</v>
      </c>
      <c r="FF32">
        <v>0</v>
      </c>
      <c r="FG32" t="s">
        <v>1050</v>
      </c>
      <c r="FJ32">
        <v>0</v>
      </c>
      <c r="FK32">
        <v>0</v>
      </c>
      <c r="FP32">
        <v>0</v>
      </c>
      <c r="FR32">
        <v>0</v>
      </c>
      <c r="FS32" t="s">
        <v>1043</v>
      </c>
      <c r="FX32" t="s">
        <v>1042</v>
      </c>
      <c r="FZ32" t="s">
        <v>1048</v>
      </c>
      <c r="GA32">
        <v>0</v>
      </c>
      <c r="GB32" t="s">
        <v>1042</v>
      </c>
      <c r="GE32">
        <v>0</v>
      </c>
      <c r="GG32">
        <v>0</v>
      </c>
      <c r="GN32">
        <v>0</v>
      </c>
      <c r="GO32" t="s">
        <v>1063</v>
      </c>
      <c r="GQ32">
        <v>0</v>
      </c>
      <c r="GU32">
        <v>0</v>
      </c>
      <c r="GY32" t="s">
        <v>1045</v>
      </c>
      <c r="HB32">
        <v>0</v>
      </c>
      <c r="HE32">
        <v>0</v>
      </c>
      <c r="HF32">
        <v>0</v>
      </c>
      <c r="HG32">
        <v>0</v>
      </c>
      <c r="HK32" t="s">
        <v>1042</v>
      </c>
      <c r="HM32" t="s">
        <v>1047</v>
      </c>
      <c r="HN32">
        <v>0</v>
      </c>
      <c r="HP32">
        <v>0</v>
      </c>
      <c r="HQ32">
        <v>0</v>
      </c>
      <c r="HR32" t="s">
        <v>1042</v>
      </c>
      <c r="HS32" t="s">
        <v>1043</v>
      </c>
      <c r="HT32">
        <v>0</v>
      </c>
      <c r="HU32">
        <v>0</v>
      </c>
      <c r="HW32">
        <v>0</v>
      </c>
      <c r="HX32">
        <v>0</v>
      </c>
      <c r="HY32">
        <v>0</v>
      </c>
      <c r="HZ32" t="s">
        <v>1045</v>
      </c>
      <c r="IA32">
        <v>0</v>
      </c>
      <c r="IB32" t="s">
        <v>1045</v>
      </c>
      <c r="ID32" t="s">
        <v>1045</v>
      </c>
      <c r="IF32">
        <v>0</v>
      </c>
      <c r="IG32" t="s">
        <v>1042</v>
      </c>
      <c r="II32" t="s">
        <v>1042</v>
      </c>
      <c r="IR32" t="s">
        <v>1045</v>
      </c>
      <c r="IT32">
        <v>0</v>
      </c>
      <c r="IY32" t="s">
        <v>1044</v>
      </c>
      <c r="IZ32" t="s">
        <v>1043</v>
      </c>
      <c r="JC32" t="s">
        <v>1043</v>
      </c>
      <c r="JE32">
        <v>0</v>
      </c>
      <c r="JF32">
        <v>0</v>
      </c>
      <c r="JI32" t="s">
        <v>1042</v>
      </c>
      <c r="JJ32">
        <v>0</v>
      </c>
      <c r="JK32">
        <v>0</v>
      </c>
      <c r="JL32">
        <v>0</v>
      </c>
      <c r="JM32">
        <v>0</v>
      </c>
      <c r="JQ32" t="s">
        <v>1043</v>
      </c>
      <c r="JT32">
        <v>0</v>
      </c>
      <c r="JU32" t="s">
        <v>1042</v>
      </c>
      <c r="JW32">
        <v>0</v>
      </c>
      <c r="KA32">
        <v>0</v>
      </c>
      <c r="KF32">
        <v>0</v>
      </c>
      <c r="KG32">
        <v>0</v>
      </c>
      <c r="KH32">
        <v>0</v>
      </c>
      <c r="KI32">
        <v>0</v>
      </c>
      <c r="KS32" t="s">
        <v>1073</v>
      </c>
      <c r="KT32">
        <v>0</v>
      </c>
      <c r="KU32">
        <v>0</v>
      </c>
      <c r="KV32">
        <v>0</v>
      </c>
      <c r="KX32">
        <v>0</v>
      </c>
      <c r="KZ32">
        <v>0</v>
      </c>
      <c r="LF32">
        <v>0</v>
      </c>
      <c r="LH32">
        <v>0</v>
      </c>
      <c r="LI32">
        <v>0</v>
      </c>
    </row>
    <row r="33" spans="1:321" x14ac:dyDescent="0.35">
      <c r="A33">
        <v>1</v>
      </c>
      <c r="B33">
        <v>12276</v>
      </c>
      <c r="C33" t="s">
        <v>1679</v>
      </c>
      <c r="D33" t="s">
        <v>1139</v>
      </c>
      <c r="E33" t="s">
        <v>85</v>
      </c>
      <c r="F33">
        <v>80</v>
      </c>
      <c r="G33">
        <v>9000</v>
      </c>
      <c r="H33">
        <v>0</v>
      </c>
      <c r="I33" t="s">
        <v>1323</v>
      </c>
      <c r="L33">
        <v>0</v>
      </c>
      <c r="M33">
        <v>0</v>
      </c>
      <c r="N33">
        <v>0</v>
      </c>
      <c r="R33">
        <v>0</v>
      </c>
      <c r="S33">
        <v>0</v>
      </c>
      <c r="W33" t="s">
        <v>1060</v>
      </c>
      <c r="X33">
        <v>0</v>
      </c>
      <c r="Z33">
        <v>1</v>
      </c>
      <c r="AA33">
        <v>0</v>
      </c>
      <c r="AB33">
        <v>0</v>
      </c>
      <c r="AC33">
        <v>1.7670999999999999</v>
      </c>
      <c r="AD33" s="20">
        <v>40781</v>
      </c>
      <c r="AE33">
        <v>1.7</v>
      </c>
      <c r="AF33">
        <v>0</v>
      </c>
      <c r="AH33">
        <v>0</v>
      </c>
      <c r="AJ33">
        <v>0</v>
      </c>
      <c r="AL33">
        <v>0</v>
      </c>
      <c r="AM33">
        <v>0</v>
      </c>
      <c r="AN33">
        <v>16601001</v>
      </c>
      <c r="AO33">
        <v>0</v>
      </c>
      <c r="AP33">
        <v>1000</v>
      </c>
      <c r="AT33">
        <v>0</v>
      </c>
      <c r="AU33" t="s">
        <v>1059</v>
      </c>
      <c r="AW33" t="s">
        <v>1053</v>
      </c>
      <c r="AX33">
        <v>0</v>
      </c>
      <c r="AY33" s="20">
        <v>40781</v>
      </c>
      <c r="BA33" s="20">
        <v>40781</v>
      </c>
      <c r="BB33" t="s">
        <v>1058</v>
      </c>
      <c r="BD33">
        <v>0</v>
      </c>
      <c r="BF33" t="s">
        <v>1043</v>
      </c>
      <c r="BG33" t="s">
        <v>1042</v>
      </c>
      <c r="BH33">
        <v>0</v>
      </c>
      <c r="BI33">
        <v>1</v>
      </c>
      <c r="BJ33">
        <v>0</v>
      </c>
      <c r="BK33">
        <v>0</v>
      </c>
      <c r="BM33" t="s">
        <v>1042</v>
      </c>
      <c r="BN33">
        <v>0</v>
      </c>
      <c r="BR33" t="s">
        <v>1043</v>
      </c>
      <c r="BS33" t="s">
        <v>1043</v>
      </c>
      <c r="BT33" t="s">
        <v>1043</v>
      </c>
      <c r="BW33">
        <v>83</v>
      </c>
      <c r="CA33">
        <v>0</v>
      </c>
      <c r="CB33" t="s">
        <v>1057</v>
      </c>
      <c r="CE33" t="s">
        <v>1043</v>
      </c>
      <c r="CH33" t="s">
        <v>1043</v>
      </c>
      <c r="CN33" t="s">
        <v>1056</v>
      </c>
      <c r="CO33" t="s">
        <v>1043</v>
      </c>
      <c r="CP33">
        <v>1</v>
      </c>
      <c r="CQ33">
        <v>0</v>
      </c>
      <c r="CS33">
        <v>0</v>
      </c>
      <c r="CT33">
        <v>0</v>
      </c>
      <c r="CU33">
        <v>0</v>
      </c>
      <c r="CV33" t="s">
        <v>1045</v>
      </c>
      <c r="CW33">
        <v>0</v>
      </c>
      <c r="CX33">
        <v>0</v>
      </c>
      <c r="CY33">
        <v>0</v>
      </c>
      <c r="CZ33">
        <v>0</v>
      </c>
      <c r="DB33">
        <v>0</v>
      </c>
      <c r="DC33" t="s">
        <v>1043</v>
      </c>
      <c r="DF33" t="s">
        <v>1055</v>
      </c>
      <c r="DH33">
        <v>0</v>
      </c>
      <c r="DJ33">
        <v>0</v>
      </c>
      <c r="DK33" t="s">
        <v>1053</v>
      </c>
      <c r="DL33">
        <v>0</v>
      </c>
      <c r="DN33">
        <v>0</v>
      </c>
      <c r="DO33" t="s">
        <v>1042</v>
      </c>
      <c r="DP33">
        <v>0</v>
      </c>
      <c r="DQ33">
        <v>0</v>
      </c>
      <c r="DS33">
        <v>0</v>
      </c>
      <c r="DU33">
        <v>0</v>
      </c>
      <c r="DW33">
        <v>0</v>
      </c>
      <c r="DX33" t="s">
        <v>1043</v>
      </c>
      <c r="DY33">
        <v>0</v>
      </c>
      <c r="DZ33">
        <v>0</v>
      </c>
      <c r="EA33">
        <v>0</v>
      </c>
      <c r="ED33" t="s">
        <v>1045</v>
      </c>
      <c r="EE33">
        <v>0</v>
      </c>
      <c r="EF33">
        <v>0</v>
      </c>
      <c r="EQ33" t="s">
        <v>1044</v>
      </c>
      <c r="ES33" t="s">
        <v>1053</v>
      </c>
      <c r="ET33">
        <v>0</v>
      </c>
      <c r="EV33">
        <v>0</v>
      </c>
      <c r="EY33" t="s">
        <v>1052</v>
      </c>
      <c r="EZ33">
        <v>0</v>
      </c>
      <c r="FA33" t="s">
        <v>1043</v>
      </c>
      <c r="FB33">
        <v>0</v>
      </c>
      <c r="FC33">
        <v>0</v>
      </c>
      <c r="FE33" t="s">
        <v>1050</v>
      </c>
      <c r="FF33">
        <v>0</v>
      </c>
      <c r="FG33" t="s">
        <v>1050</v>
      </c>
      <c r="FJ33">
        <v>0</v>
      </c>
      <c r="FK33">
        <v>0</v>
      </c>
      <c r="FP33">
        <v>0</v>
      </c>
      <c r="FR33">
        <v>0</v>
      </c>
      <c r="FS33" t="s">
        <v>1043</v>
      </c>
      <c r="FX33" t="s">
        <v>1042</v>
      </c>
      <c r="FZ33" t="s">
        <v>1048</v>
      </c>
      <c r="GA33">
        <v>0</v>
      </c>
      <c r="GB33" t="s">
        <v>1042</v>
      </c>
      <c r="GE33">
        <v>0</v>
      </c>
      <c r="GG33">
        <v>0</v>
      </c>
      <c r="GN33">
        <v>0</v>
      </c>
      <c r="GO33" t="s">
        <v>1063</v>
      </c>
      <c r="GQ33">
        <v>0</v>
      </c>
      <c r="GU33">
        <v>0</v>
      </c>
      <c r="GY33" t="s">
        <v>1045</v>
      </c>
      <c r="HB33">
        <v>0</v>
      </c>
      <c r="HE33">
        <v>0</v>
      </c>
      <c r="HF33">
        <v>0</v>
      </c>
      <c r="HG33">
        <v>0</v>
      </c>
      <c r="HK33" t="s">
        <v>1042</v>
      </c>
      <c r="HM33" t="s">
        <v>1047</v>
      </c>
      <c r="HN33">
        <v>0</v>
      </c>
      <c r="HP33">
        <v>0</v>
      </c>
      <c r="HQ33">
        <v>0</v>
      </c>
      <c r="HR33" t="s">
        <v>1042</v>
      </c>
      <c r="HS33" t="s">
        <v>1043</v>
      </c>
      <c r="HT33">
        <v>0</v>
      </c>
      <c r="HU33">
        <v>0</v>
      </c>
      <c r="HW33">
        <v>0</v>
      </c>
      <c r="HX33">
        <v>0</v>
      </c>
      <c r="HY33">
        <v>0</v>
      </c>
      <c r="HZ33" t="s">
        <v>1045</v>
      </c>
      <c r="IA33">
        <v>0</v>
      </c>
      <c r="IB33" t="s">
        <v>1045</v>
      </c>
      <c r="ID33" t="s">
        <v>1045</v>
      </c>
      <c r="IF33">
        <v>0</v>
      </c>
      <c r="IG33" t="s">
        <v>1042</v>
      </c>
      <c r="II33" t="s">
        <v>1042</v>
      </c>
      <c r="IR33" t="s">
        <v>1045</v>
      </c>
      <c r="IT33">
        <v>0</v>
      </c>
      <c r="IY33" t="s">
        <v>1044</v>
      </c>
      <c r="IZ33" t="s">
        <v>1043</v>
      </c>
      <c r="JC33" t="s">
        <v>1043</v>
      </c>
      <c r="JE33">
        <v>0</v>
      </c>
      <c r="JF33">
        <v>0</v>
      </c>
      <c r="JI33" t="s">
        <v>1042</v>
      </c>
      <c r="JJ33">
        <v>0</v>
      </c>
      <c r="JK33">
        <v>0</v>
      </c>
      <c r="JL33">
        <v>0</v>
      </c>
      <c r="JM33">
        <v>0</v>
      </c>
      <c r="JQ33" t="s">
        <v>1043</v>
      </c>
      <c r="JT33">
        <v>0</v>
      </c>
      <c r="JU33" t="s">
        <v>1042</v>
      </c>
      <c r="JW33">
        <v>0</v>
      </c>
      <c r="KA33">
        <v>0</v>
      </c>
      <c r="KF33">
        <v>0</v>
      </c>
      <c r="KG33">
        <v>0</v>
      </c>
      <c r="KH33">
        <v>0</v>
      </c>
      <c r="KI33">
        <v>0</v>
      </c>
      <c r="KS33" t="s">
        <v>1073</v>
      </c>
      <c r="KT33">
        <v>0</v>
      </c>
      <c r="KU33">
        <v>0</v>
      </c>
      <c r="KV33">
        <v>0</v>
      </c>
      <c r="KX33">
        <v>0</v>
      </c>
      <c r="KZ33">
        <v>0</v>
      </c>
      <c r="LF33">
        <v>0</v>
      </c>
      <c r="LH33">
        <v>0</v>
      </c>
      <c r="LI33">
        <v>0</v>
      </c>
    </row>
    <row r="34" spans="1:321" x14ac:dyDescent="0.35">
      <c r="A34">
        <v>1</v>
      </c>
      <c r="B34">
        <v>12277</v>
      </c>
      <c r="C34" t="s">
        <v>1678</v>
      </c>
      <c r="D34" t="s">
        <v>1139</v>
      </c>
      <c r="E34" t="s">
        <v>587</v>
      </c>
      <c r="F34">
        <v>80</v>
      </c>
      <c r="G34">
        <v>9000</v>
      </c>
      <c r="H34">
        <v>0</v>
      </c>
      <c r="I34" t="s">
        <v>1323</v>
      </c>
      <c r="L34">
        <v>0</v>
      </c>
      <c r="M34">
        <v>0</v>
      </c>
      <c r="N34">
        <v>0</v>
      </c>
      <c r="R34">
        <v>0</v>
      </c>
      <c r="S34">
        <v>0</v>
      </c>
      <c r="W34" t="s">
        <v>1060</v>
      </c>
      <c r="X34">
        <v>0</v>
      </c>
      <c r="Z34">
        <v>1</v>
      </c>
      <c r="AA34">
        <v>0</v>
      </c>
      <c r="AB34">
        <v>0</v>
      </c>
      <c r="AC34">
        <v>2.4531999999999998</v>
      </c>
      <c r="AD34" s="20">
        <v>40781</v>
      </c>
      <c r="AE34">
        <v>2.35</v>
      </c>
      <c r="AF34">
        <v>0</v>
      </c>
      <c r="AH34">
        <v>0</v>
      </c>
      <c r="AJ34">
        <v>0</v>
      </c>
      <c r="AL34">
        <v>0</v>
      </c>
      <c r="AM34">
        <v>0</v>
      </c>
      <c r="AN34">
        <v>16601001</v>
      </c>
      <c r="AO34">
        <v>0</v>
      </c>
      <c r="AP34">
        <v>1000</v>
      </c>
      <c r="AT34">
        <v>0</v>
      </c>
      <c r="AU34" t="s">
        <v>1059</v>
      </c>
      <c r="AW34" t="s">
        <v>1053</v>
      </c>
      <c r="AX34">
        <v>0</v>
      </c>
      <c r="AY34" s="20">
        <v>40781</v>
      </c>
      <c r="BA34" s="20">
        <v>40781</v>
      </c>
      <c r="BB34" t="s">
        <v>1058</v>
      </c>
      <c r="BD34">
        <v>0</v>
      </c>
      <c r="BF34" t="s">
        <v>1043</v>
      </c>
      <c r="BG34" t="s">
        <v>1042</v>
      </c>
      <c r="BH34">
        <v>0</v>
      </c>
      <c r="BI34">
        <v>1</v>
      </c>
      <c r="BJ34">
        <v>0</v>
      </c>
      <c r="BK34">
        <v>0</v>
      </c>
      <c r="BM34" t="s">
        <v>1042</v>
      </c>
      <c r="BN34">
        <v>0</v>
      </c>
      <c r="BR34" t="s">
        <v>1043</v>
      </c>
      <c r="BS34" t="s">
        <v>1043</v>
      </c>
      <c r="BT34" t="s">
        <v>1043</v>
      </c>
      <c r="BW34">
        <v>83</v>
      </c>
      <c r="CA34">
        <v>0</v>
      </c>
      <c r="CB34" t="s">
        <v>1057</v>
      </c>
      <c r="CE34" t="s">
        <v>1043</v>
      </c>
      <c r="CH34" t="s">
        <v>1043</v>
      </c>
      <c r="CN34" t="s">
        <v>1074</v>
      </c>
      <c r="CO34" t="s">
        <v>1043</v>
      </c>
      <c r="CP34">
        <v>1</v>
      </c>
      <c r="CQ34">
        <v>0</v>
      </c>
      <c r="CS34">
        <v>0</v>
      </c>
      <c r="CT34">
        <v>0</v>
      </c>
      <c r="CU34">
        <v>0</v>
      </c>
      <c r="CV34" t="s">
        <v>1045</v>
      </c>
      <c r="CW34">
        <v>0</v>
      </c>
      <c r="CX34">
        <v>0</v>
      </c>
      <c r="CY34">
        <v>0</v>
      </c>
      <c r="CZ34">
        <v>0</v>
      </c>
      <c r="DB34">
        <v>0</v>
      </c>
      <c r="DC34" t="s">
        <v>1043</v>
      </c>
      <c r="DF34" t="s">
        <v>1055</v>
      </c>
      <c r="DH34">
        <v>0</v>
      </c>
      <c r="DJ34">
        <v>0</v>
      </c>
      <c r="DK34" t="s">
        <v>1053</v>
      </c>
      <c r="DL34">
        <v>0</v>
      </c>
      <c r="DN34">
        <v>0</v>
      </c>
      <c r="DO34" t="s">
        <v>1042</v>
      </c>
      <c r="DP34">
        <v>0</v>
      </c>
      <c r="DQ34">
        <v>0</v>
      </c>
      <c r="DS34">
        <v>0</v>
      </c>
      <c r="DU34">
        <v>0</v>
      </c>
      <c r="DW34">
        <v>0</v>
      </c>
      <c r="DX34" t="s">
        <v>1043</v>
      </c>
      <c r="DY34">
        <v>0</v>
      </c>
      <c r="DZ34">
        <v>0</v>
      </c>
      <c r="EA34">
        <v>0</v>
      </c>
      <c r="ED34" t="s">
        <v>1045</v>
      </c>
      <c r="EE34">
        <v>0</v>
      </c>
      <c r="EF34">
        <v>0</v>
      </c>
      <c r="EQ34" t="s">
        <v>1044</v>
      </c>
      <c r="ES34" t="s">
        <v>1053</v>
      </c>
      <c r="ET34">
        <v>0</v>
      </c>
      <c r="EV34">
        <v>0</v>
      </c>
      <c r="EY34" t="s">
        <v>1052</v>
      </c>
      <c r="EZ34">
        <v>0</v>
      </c>
      <c r="FA34" t="s">
        <v>1043</v>
      </c>
      <c r="FB34">
        <v>0</v>
      </c>
      <c r="FC34">
        <v>0</v>
      </c>
      <c r="FE34" t="s">
        <v>1050</v>
      </c>
      <c r="FF34">
        <v>0</v>
      </c>
      <c r="FG34" t="s">
        <v>1050</v>
      </c>
      <c r="FJ34">
        <v>0</v>
      </c>
      <c r="FK34">
        <v>0</v>
      </c>
      <c r="FP34">
        <v>0</v>
      </c>
      <c r="FR34">
        <v>0</v>
      </c>
      <c r="FX34" t="s">
        <v>1042</v>
      </c>
      <c r="FZ34" t="s">
        <v>1048</v>
      </c>
      <c r="GA34">
        <v>0</v>
      </c>
      <c r="GB34" t="s">
        <v>1042</v>
      </c>
      <c r="GE34">
        <v>0</v>
      </c>
      <c r="GG34">
        <v>0</v>
      </c>
      <c r="GN34">
        <v>0</v>
      </c>
      <c r="GO34" t="s">
        <v>1063</v>
      </c>
      <c r="GQ34">
        <v>0</v>
      </c>
      <c r="GU34">
        <v>0</v>
      </c>
      <c r="GY34" t="s">
        <v>1045</v>
      </c>
      <c r="HB34">
        <v>0</v>
      </c>
      <c r="HE34">
        <v>0</v>
      </c>
      <c r="HF34">
        <v>0</v>
      </c>
      <c r="HG34">
        <v>0</v>
      </c>
      <c r="HK34" t="s">
        <v>1042</v>
      </c>
      <c r="HM34" t="s">
        <v>1047</v>
      </c>
      <c r="HN34">
        <v>0</v>
      </c>
      <c r="HP34">
        <v>0</v>
      </c>
      <c r="HQ34">
        <v>0</v>
      </c>
      <c r="HR34" t="s">
        <v>1042</v>
      </c>
      <c r="HS34" t="s">
        <v>1043</v>
      </c>
      <c r="HT34">
        <v>0</v>
      </c>
      <c r="HU34">
        <v>0</v>
      </c>
      <c r="HW34">
        <v>0</v>
      </c>
      <c r="HX34">
        <v>0</v>
      </c>
      <c r="HY34">
        <v>0</v>
      </c>
      <c r="HZ34" t="s">
        <v>1045</v>
      </c>
      <c r="IA34">
        <v>0</v>
      </c>
      <c r="IB34" t="s">
        <v>1045</v>
      </c>
      <c r="ID34" t="s">
        <v>1045</v>
      </c>
      <c r="IF34">
        <v>0</v>
      </c>
      <c r="IG34" t="s">
        <v>1042</v>
      </c>
      <c r="II34" t="s">
        <v>1042</v>
      </c>
      <c r="IR34" t="s">
        <v>1045</v>
      </c>
      <c r="IT34">
        <v>0</v>
      </c>
      <c r="IY34" t="s">
        <v>1044</v>
      </c>
      <c r="IZ34" t="s">
        <v>1043</v>
      </c>
      <c r="JC34" t="s">
        <v>1043</v>
      </c>
      <c r="JE34">
        <v>0</v>
      </c>
      <c r="JF34">
        <v>0</v>
      </c>
      <c r="JI34" t="s">
        <v>1042</v>
      </c>
      <c r="JJ34">
        <v>0</v>
      </c>
      <c r="JK34">
        <v>0</v>
      </c>
      <c r="JL34">
        <v>0</v>
      </c>
      <c r="JM34">
        <v>0</v>
      </c>
      <c r="JQ34" t="s">
        <v>1043</v>
      </c>
      <c r="JT34">
        <v>0</v>
      </c>
      <c r="JU34" t="s">
        <v>1042</v>
      </c>
      <c r="JW34">
        <v>0</v>
      </c>
      <c r="KA34">
        <v>0</v>
      </c>
      <c r="KF34">
        <v>0</v>
      </c>
      <c r="KG34">
        <v>0</v>
      </c>
      <c r="KH34">
        <v>0</v>
      </c>
      <c r="KI34">
        <v>0</v>
      </c>
      <c r="KS34" t="s">
        <v>1073</v>
      </c>
      <c r="KT34">
        <v>0</v>
      </c>
      <c r="KU34">
        <v>0</v>
      </c>
      <c r="KV34">
        <v>0</v>
      </c>
      <c r="KX34">
        <v>0</v>
      </c>
      <c r="KZ34">
        <v>0</v>
      </c>
      <c r="LF34">
        <v>0</v>
      </c>
      <c r="LH34">
        <v>0</v>
      </c>
      <c r="LI34">
        <v>0</v>
      </c>
    </row>
    <row r="35" spans="1:321" x14ac:dyDescent="0.35">
      <c r="A35">
        <v>1</v>
      </c>
      <c r="B35">
        <v>12278</v>
      </c>
      <c r="C35" t="s">
        <v>1677</v>
      </c>
      <c r="D35" t="s">
        <v>1139</v>
      </c>
      <c r="E35" t="s">
        <v>587</v>
      </c>
      <c r="F35">
        <v>80</v>
      </c>
      <c r="G35">
        <v>9000</v>
      </c>
      <c r="H35">
        <v>0</v>
      </c>
      <c r="I35" t="s">
        <v>1323</v>
      </c>
      <c r="L35">
        <v>0</v>
      </c>
      <c r="M35">
        <v>0</v>
      </c>
      <c r="N35">
        <v>0</v>
      </c>
      <c r="R35">
        <v>0</v>
      </c>
      <c r="S35">
        <v>0</v>
      </c>
      <c r="W35" t="s">
        <v>1060</v>
      </c>
      <c r="X35">
        <v>0</v>
      </c>
      <c r="Z35">
        <v>1</v>
      </c>
      <c r="AA35">
        <v>0</v>
      </c>
      <c r="AB35">
        <v>0</v>
      </c>
      <c r="AC35">
        <v>2.4531999999999998</v>
      </c>
      <c r="AD35" s="20">
        <v>40781</v>
      </c>
      <c r="AE35">
        <v>2.35</v>
      </c>
      <c r="AF35">
        <v>0</v>
      </c>
      <c r="AH35">
        <v>0</v>
      </c>
      <c r="AJ35">
        <v>0</v>
      </c>
      <c r="AL35">
        <v>0</v>
      </c>
      <c r="AM35">
        <v>0</v>
      </c>
      <c r="AN35">
        <v>16601001</v>
      </c>
      <c r="AO35">
        <v>0</v>
      </c>
      <c r="AP35">
        <v>1000</v>
      </c>
      <c r="AT35">
        <v>0</v>
      </c>
      <c r="AU35" t="s">
        <v>1059</v>
      </c>
      <c r="AW35" t="s">
        <v>1053</v>
      </c>
      <c r="AX35">
        <v>0</v>
      </c>
      <c r="AY35" s="20">
        <v>40781</v>
      </c>
      <c r="BA35" s="20">
        <v>40781</v>
      </c>
      <c r="BB35" t="s">
        <v>1058</v>
      </c>
      <c r="BD35">
        <v>0</v>
      </c>
      <c r="BF35" t="s">
        <v>1043</v>
      </c>
      <c r="BG35" t="s">
        <v>1042</v>
      </c>
      <c r="BH35">
        <v>0</v>
      </c>
      <c r="BI35">
        <v>1</v>
      </c>
      <c r="BJ35">
        <v>0</v>
      </c>
      <c r="BK35">
        <v>0</v>
      </c>
      <c r="BM35" t="s">
        <v>1042</v>
      </c>
      <c r="BN35">
        <v>0</v>
      </c>
      <c r="BR35" t="s">
        <v>1043</v>
      </c>
      <c r="BS35" t="s">
        <v>1043</v>
      </c>
      <c r="BT35" t="s">
        <v>1043</v>
      </c>
      <c r="BW35">
        <v>83</v>
      </c>
      <c r="CA35">
        <v>0</v>
      </c>
      <c r="CB35" t="s">
        <v>1057</v>
      </c>
      <c r="CE35" t="s">
        <v>1043</v>
      </c>
      <c r="CH35" t="s">
        <v>1043</v>
      </c>
      <c r="CN35" t="s">
        <v>1074</v>
      </c>
      <c r="CO35" t="s">
        <v>1043</v>
      </c>
      <c r="CP35">
        <v>1</v>
      </c>
      <c r="CQ35">
        <v>0</v>
      </c>
      <c r="CS35">
        <v>0</v>
      </c>
      <c r="CT35">
        <v>0</v>
      </c>
      <c r="CU35">
        <v>0</v>
      </c>
      <c r="CV35" t="s">
        <v>1045</v>
      </c>
      <c r="CW35">
        <v>0</v>
      </c>
      <c r="CX35">
        <v>0</v>
      </c>
      <c r="CY35">
        <v>0</v>
      </c>
      <c r="CZ35">
        <v>0</v>
      </c>
      <c r="DB35">
        <v>0</v>
      </c>
      <c r="DC35" t="s">
        <v>1043</v>
      </c>
      <c r="DF35" t="s">
        <v>1055</v>
      </c>
      <c r="DH35">
        <v>0</v>
      </c>
      <c r="DJ35">
        <v>0</v>
      </c>
      <c r="DK35" t="s">
        <v>1053</v>
      </c>
      <c r="DL35">
        <v>0</v>
      </c>
      <c r="DN35">
        <v>0</v>
      </c>
      <c r="DO35" t="s">
        <v>1042</v>
      </c>
      <c r="DP35">
        <v>0</v>
      </c>
      <c r="DQ35">
        <v>0</v>
      </c>
      <c r="DS35">
        <v>0</v>
      </c>
      <c r="DU35">
        <v>0</v>
      </c>
      <c r="DW35">
        <v>0</v>
      </c>
      <c r="DX35" t="s">
        <v>1043</v>
      </c>
      <c r="DY35">
        <v>0</v>
      </c>
      <c r="DZ35">
        <v>0</v>
      </c>
      <c r="EA35">
        <v>0</v>
      </c>
      <c r="ED35" t="s">
        <v>1045</v>
      </c>
      <c r="EE35">
        <v>0</v>
      </c>
      <c r="EF35">
        <v>0</v>
      </c>
      <c r="EQ35" t="s">
        <v>1044</v>
      </c>
      <c r="ES35" t="s">
        <v>1053</v>
      </c>
      <c r="ET35">
        <v>0</v>
      </c>
      <c r="EV35">
        <v>0</v>
      </c>
      <c r="EY35" t="s">
        <v>1052</v>
      </c>
      <c r="EZ35">
        <v>0</v>
      </c>
      <c r="FA35" t="s">
        <v>1043</v>
      </c>
      <c r="FB35">
        <v>0</v>
      </c>
      <c r="FC35">
        <v>0</v>
      </c>
      <c r="FE35" t="s">
        <v>1050</v>
      </c>
      <c r="FF35">
        <v>0</v>
      </c>
      <c r="FG35" t="s">
        <v>1050</v>
      </c>
      <c r="FJ35">
        <v>0</v>
      </c>
      <c r="FK35">
        <v>0</v>
      </c>
      <c r="FP35">
        <v>0</v>
      </c>
      <c r="FR35">
        <v>0</v>
      </c>
      <c r="FX35" t="s">
        <v>1042</v>
      </c>
      <c r="FZ35" t="s">
        <v>1048</v>
      </c>
      <c r="GA35">
        <v>0</v>
      </c>
      <c r="GB35" t="s">
        <v>1042</v>
      </c>
      <c r="GE35">
        <v>0</v>
      </c>
      <c r="GG35">
        <v>0</v>
      </c>
      <c r="GN35">
        <v>0</v>
      </c>
      <c r="GO35" t="s">
        <v>1063</v>
      </c>
      <c r="GQ35">
        <v>0</v>
      </c>
      <c r="GU35">
        <v>0</v>
      </c>
      <c r="GY35" t="s">
        <v>1045</v>
      </c>
      <c r="HB35">
        <v>0</v>
      </c>
      <c r="HE35">
        <v>0</v>
      </c>
      <c r="HF35">
        <v>0</v>
      </c>
      <c r="HG35">
        <v>0</v>
      </c>
      <c r="HK35" t="s">
        <v>1042</v>
      </c>
      <c r="HM35" t="s">
        <v>1047</v>
      </c>
      <c r="HN35">
        <v>0</v>
      </c>
      <c r="HP35">
        <v>0</v>
      </c>
      <c r="HQ35">
        <v>0</v>
      </c>
      <c r="HR35" t="s">
        <v>1042</v>
      </c>
      <c r="HS35" t="s">
        <v>1043</v>
      </c>
      <c r="HT35">
        <v>0</v>
      </c>
      <c r="HU35">
        <v>0</v>
      </c>
      <c r="HW35">
        <v>0</v>
      </c>
      <c r="HX35">
        <v>0</v>
      </c>
      <c r="HY35">
        <v>0</v>
      </c>
      <c r="HZ35" t="s">
        <v>1045</v>
      </c>
      <c r="IA35">
        <v>0</v>
      </c>
      <c r="IB35" t="s">
        <v>1045</v>
      </c>
      <c r="ID35" t="s">
        <v>1045</v>
      </c>
      <c r="IF35">
        <v>0</v>
      </c>
      <c r="IG35" t="s">
        <v>1042</v>
      </c>
      <c r="II35" t="s">
        <v>1042</v>
      </c>
      <c r="IR35" t="s">
        <v>1045</v>
      </c>
      <c r="IT35">
        <v>0</v>
      </c>
      <c r="IY35" t="s">
        <v>1044</v>
      </c>
      <c r="IZ35" t="s">
        <v>1043</v>
      </c>
      <c r="JC35" t="s">
        <v>1043</v>
      </c>
      <c r="JE35">
        <v>0</v>
      </c>
      <c r="JF35">
        <v>0</v>
      </c>
      <c r="JI35" t="s">
        <v>1042</v>
      </c>
      <c r="JJ35">
        <v>0</v>
      </c>
      <c r="JK35">
        <v>0</v>
      </c>
      <c r="JL35">
        <v>0</v>
      </c>
      <c r="JM35">
        <v>0</v>
      </c>
      <c r="JQ35" t="s">
        <v>1043</v>
      </c>
      <c r="JT35">
        <v>0</v>
      </c>
      <c r="JU35" t="s">
        <v>1042</v>
      </c>
      <c r="JW35">
        <v>0</v>
      </c>
      <c r="KA35">
        <v>0</v>
      </c>
      <c r="KF35">
        <v>0</v>
      </c>
      <c r="KG35">
        <v>0</v>
      </c>
      <c r="KH35">
        <v>0</v>
      </c>
      <c r="KI35">
        <v>0</v>
      </c>
      <c r="KS35" t="s">
        <v>1073</v>
      </c>
      <c r="KT35">
        <v>0</v>
      </c>
      <c r="KU35">
        <v>0</v>
      </c>
      <c r="KV35">
        <v>0</v>
      </c>
      <c r="KX35">
        <v>0</v>
      </c>
      <c r="KZ35">
        <v>0</v>
      </c>
      <c r="LF35">
        <v>0</v>
      </c>
      <c r="LH35">
        <v>0</v>
      </c>
      <c r="LI35">
        <v>0</v>
      </c>
    </row>
    <row r="36" spans="1:321" x14ac:dyDescent="0.35">
      <c r="A36">
        <v>1</v>
      </c>
      <c r="B36">
        <v>12279</v>
      </c>
      <c r="C36" t="s">
        <v>1676</v>
      </c>
      <c r="D36" t="s">
        <v>1139</v>
      </c>
      <c r="E36" t="s">
        <v>85</v>
      </c>
      <c r="F36">
        <v>80</v>
      </c>
      <c r="G36">
        <v>9000</v>
      </c>
      <c r="H36">
        <v>0</v>
      </c>
      <c r="I36" t="s">
        <v>1323</v>
      </c>
      <c r="L36">
        <v>0</v>
      </c>
      <c r="M36">
        <v>0</v>
      </c>
      <c r="N36">
        <v>0</v>
      </c>
      <c r="R36">
        <v>0</v>
      </c>
      <c r="S36">
        <v>0</v>
      </c>
      <c r="W36" t="s">
        <v>1060</v>
      </c>
      <c r="X36">
        <v>0</v>
      </c>
      <c r="Z36">
        <v>1</v>
      </c>
      <c r="AA36">
        <v>0</v>
      </c>
      <c r="AB36">
        <v>0</v>
      </c>
      <c r="AC36">
        <v>73.024900000000002</v>
      </c>
      <c r="AD36" s="20">
        <v>40781</v>
      </c>
      <c r="AE36">
        <v>70.25</v>
      </c>
      <c r="AF36">
        <v>0</v>
      </c>
      <c r="AH36">
        <v>0</v>
      </c>
      <c r="AJ36">
        <v>0</v>
      </c>
      <c r="AL36">
        <v>0</v>
      </c>
      <c r="AM36">
        <v>0</v>
      </c>
      <c r="AN36">
        <v>16601001</v>
      </c>
      <c r="AO36">
        <v>0</v>
      </c>
      <c r="AP36">
        <v>1000</v>
      </c>
      <c r="AT36">
        <v>0</v>
      </c>
      <c r="AU36" t="s">
        <v>1059</v>
      </c>
      <c r="AW36" t="s">
        <v>1053</v>
      </c>
      <c r="AX36">
        <v>0</v>
      </c>
      <c r="AY36" s="20">
        <v>40781</v>
      </c>
      <c r="BA36" s="20">
        <v>40781</v>
      </c>
      <c r="BB36" t="s">
        <v>1058</v>
      </c>
      <c r="BD36">
        <v>0</v>
      </c>
      <c r="BF36" t="s">
        <v>1043</v>
      </c>
      <c r="BG36" t="s">
        <v>1042</v>
      </c>
      <c r="BH36">
        <v>0</v>
      </c>
      <c r="BI36">
        <v>1</v>
      </c>
      <c r="BJ36">
        <v>0</v>
      </c>
      <c r="BK36">
        <v>0</v>
      </c>
      <c r="BM36" t="s">
        <v>1042</v>
      </c>
      <c r="BN36">
        <v>0</v>
      </c>
      <c r="BR36" t="s">
        <v>1043</v>
      </c>
      <c r="BS36" t="s">
        <v>1043</v>
      </c>
      <c r="BT36" t="s">
        <v>1043</v>
      </c>
      <c r="BW36">
        <v>83</v>
      </c>
      <c r="CA36">
        <v>0</v>
      </c>
      <c r="CB36" t="s">
        <v>1057</v>
      </c>
      <c r="CE36" t="s">
        <v>1043</v>
      </c>
      <c r="CH36" t="s">
        <v>1043</v>
      </c>
      <c r="CN36" t="s">
        <v>1056</v>
      </c>
      <c r="CO36" t="s">
        <v>1043</v>
      </c>
      <c r="CP36">
        <v>1</v>
      </c>
      <c r="CQ36">
        <v>0</v>
      </c>
      <c r="CS36">
        <v>0</v>
      </c>
      <c r="CT36">
        <v>0</v>
      </c>
      <c r="CU36">
        <v>0</v>
      </c>
      <c r="CV36" t="s">
        <v>1045</v>
      </c>
      <c r="CW36">
        <v>0</v>
      </c>
      <c r="CX36">
        <v>0</v>
      </c>
      <c r="CY36">
        <v>0</v>
      </c>
      <c r="CZ36">
        <v>0</v>
      </c>
      <c r="DB36">
        <v>0</v>
      </c>
      <c r="DC36" t="s">
        <v>1043</v>
      </c>
      <c r="DF36" t="s">
        <v>1055</v>
      </c>
      <c r="DH36">
        <v>0</v>
      </c>
      <c r="DJ36">
        <v>0</v>
      </c>
      <c r="DK36" t="s">
        <v>1053</v>
      </c>
      <c r="DL36">
        <v>0</v>
      </c>
      <c r="DN36">
        <v>0</v>
      </c>
      <c r="DO36" t="s">
        <v>1042</v>
      </c>
      <c r="DP36">
        <v>0</v>
      </c>
      <c r="DQ36">
        <v>0</v>
      </c>
      <c r="DS36">
        <v>0</v>
      </c>
      <c r="DU36">
        <v>0</v>
      </c>
      <c r="DW36">
        <v>0</v>
      </c>
      <c r="DX36" t="s">
        <v>1043</v>
      </c>
      <c r="DY36">
        <v>0</v>
      </c>
      <c r="DZ36">
        <v>0</v>
      </c>
      <c r="EA36">
        <v>0</v>
      </c>
      <c r="ED36" t="s">
        <v>1045</v>
      </c>
      <c r="EE36">
        <v>0</v>
      </c>
      <c r="EF36">
        <v>0</v>
      </c>
      <c r="EQ36" t="s">
        <v>1044</v>
      </c>
      <c r="ES36" t="s">
        <v>1053</v>
      </c>
      <c r="ET36">
        <v>0</v>
      </c>
      <c r="EV36">
        <v>0</v>
      </c>
      <c r="EY36" t="s">
        <v>1052</v>
      </c>
      <c r="EZ36">
        <v>0</v>
      </c>
      <c r="FA36" t="s">
        <v>1043</v>
      </c>
      <c r="FB36">
        <v>0</v>
      </c>
      <c r="FC36">
        <v>0</v>
      </c>
      <c r="FE36" t="s">
        <v>1050</v>
      </c>
      <c r="FF36">
        <v>0</v>
      </c>
      <c r="FG36" t="s">
        <v>1050</v>
      </c>
      <c r="FJ36">
        <v>0</v>
      </c>
      <c r="FK36">
        <v>0</v>
      </c>
      <c r="FP36">
        <v>0</v>
      </c>
      <c r="FR36">
        <v>0</v>
      </c>
      <c r="FS36" t="s">
        <v>1043</v>
      </c>
      <c r="FX36" t="s">
        <v>1042</v>
      </c>
      <c r="FZ36" t="s">
        <v>1048</v>
      </c>
      <c r="GA36">
        <v>0</v>
      </c>
      <c r="GB36" t="s">
        <v>1042</v>
      </c>
      <c r="GE36">
        <v>0</v>
      </c>
      <c r="GG36">
        <v>0</v>
      </c>
      <c r="GN36">
        <v>0</v>
      </c>
      <c r="GO36" t="s">
        <v>1063</v>
      </c>
      <c r="GQ36">
        <v>0</v>
      </c>
      <c r="GU36">
        <v>0</v>
      </c>
      <c r="GY36" t="s">
        <v>1045</v>
      </c>
      <c r="HB36">
        <v>0</v>
      </c>
      <c r="HE36">
        <v>0</v>
      </c>
      <c r="HF36">
        <v>0</v>
      </c>
      <c r="HG36">
        <v>0</v>
      </c>
      <c r="HK36" t="s">
        <v>1042</v>
      </c>
      <c r="HM36" t="s">
        <v>1047</v>
      </c>
      <c r="HN36">
        <v>0</v>
      </c>
      <c r="HP36">
        <v>0</v>
      </c>
      <c r="HQ36">
        <v>0</v>
      </c>
      <c r="HR36" t="s">
        <v>1042</v>
      </c>
      <c r="HS36" t="s">
        <v>1043</v>
      </c>
      <c r="HT36">
        <v>0</v>
      </c>
      <c r="HU36">
        <v>0</v>
      </c>
      <c r="HW36">
        <v>0</v>
      </c>
      <c r="HX36">
        <v>0</v>
      </c>
      <c r="HY36">
        <v>0</v>
      </c>
      <c r="HZ36" t="s">
        <v>1045</v>
      </c>
      <c r="IA36">
        <v>0</v>
      </c>
      <c r="IB36" t="s">
        <v>1045</v>
      </c>
      <c r="ID36" t="s">
        <v>1045</v>
      </c>
      <c r="IF36">
        <v>0</v>
      </c>
      <c r="IG36" t="s">
        <v>1042</v>
      </c>
      <c r="II36" t="s">
        <v>1042</v>
      </c>
      <c r="IR36" t="s">
        <v>1045</v>
      </c>
      <c r="IT36">
        <v>0</v>
      </c>
      <c r="IY36" t="s">
        <v>1044</v>
      </c>
      <c r="IZ36" t="s">
        <v>1043</v>
      </c>
      <c r="JC36" t="s">
        <v>1043</v>
      </c>
      <c r="JE36">
        <v>0</v>
      </c>
      <c r="JF36">
        <v>0</v>
      </c>
      <c r="JI36" t="s">
        <v>1042</v>
      </c>
      <c r="JJ36">
        <v>0</v>
      </c>
      <c r="JK36">
        <v>0</v>
      </c>
      <c r="JL36">
        <v>0</v>
      </c>
      <c r="JM36">
        <v>0</v>
      </c>
      <c r="JQ36" t="s">
        <v>1043</v>
      </c>
      <c r="JT36">
        <v>0</v>
      </c>
      <c r="JU36" t="s">
        <v>1042</v>
      </c>
      <c r="JW36">
        <v>0</v>
      </c>
      <c r="KA36">
        <v>0</v>
      </c>
      <c r="KF36">
        <v>0</v>
      </c>
      <c r="KG36">
        <v>0</v>
      </c>
      <c r="KH36">
        <v>0</v>
      </c>
      <c r="KI36">
        <v>0</v>
      </c>
      <c r="KS36" t="s">
        <v>1073</v>
      </c>
      <c r="KT36">
        <v>0</v>
      </c>
      <c r="KU36">
        <v>0</v>
      </c>
      <c r="KV36">
        <v>0</v>
      </c>
      <c r="KX36">
        <v>0</v>
      </c>
      <c r="KZ36">
        <v>0</v>
      </c>
      <c r="LF36">
        <v>0</v>
      </c>
      <c r="LH36">
        <v>0</v>
      </c>
      <c r="LI36">
        <v>0</v>
      </c>
    </row>
    <row r="37" spans="1:321" x14ac:dyDescent="0.35">
      <c r="A37">
        <v>1</v>
      </c>
      <c r="B37">
        <v>1228</v>
      </c>
      <c r="C37" t="s">
        <v>1038</v>
      </c>
      <c r="D37" t="s">
        <v>1061</v>
      </c>
      <c r="E37" t="s">
        <v>587</v>
      </c>
      <c r="F37">
        <v>1</v>
      </c>
      <c r="G37">
        <v>160</v>
      </c>
      <c r="H37">
        <v>0</v>
      </c>
      <c r="I37" t="s">
        <v>991</v>
      </c>
      <c r="L37">
        <v>0</v>
      </c>
      <c r="M37">
        <v>0</v>
      </c>
      <c r="N37">
        <v>0</v>
      </c>
      <c r="Q37">
        <v>516</v>
      </c>
      <c r="R37">
        <v>0</v>
      </c>
      <c r="S37">
        <v>0</v>
      </c>
      <c r="W37" t="s">
        <v>1060</v>
      </c>
      <c r="X37">
        <v>0</v>
      </c>
      <c r="Z37">
        <v>25</v>
      </c>
      <c r="AA37">
        <v>22.6737</v>
      </c>
      <c r="AB37">
        <v>12114</v>
      </c>
      <c r="AC37">
        <v>0.67830000000000001</v>
      </c>
      <c r="AD37" s="20">
        <v>44664</v>
      </c>
      <c r="AE37">
        <v>0.99</v>
      </c>
      <c r="AF37">
        <v>6.5199999999999994E-2</v>
      </c>
      <c r="AH37">
        <v>1729</v>
      </c>
      <c r="AJ37">
        <v>1</v>
      </c>
      <c r="AK37" t="s">
        <v>1154</v>
      </c>
      <c r="AL37">
        <v>46200</v>
      </c>
      <c r="AM37">
        <v>218</v>
      </c>
      <c r="AN37">
        <v>11501001</v>
      </c>
      <c r="AO37">
        <v>0</v>
      </c>
      <c r="AP37">
        <v>1001</v>
      </c>
      <c r="AT37">
        <v>1</v>
      </c>
      <c r="AU37" t="s">
        <v>1059</v>
      </c>
      <c r="AV37" t="s">
        <v>1043</v>
      </c>
      <c r="AW37" t="s">
        <v>1053</v>
      </c>
      <c r="AX37">
        <v>5</v>
      </c>
      <c r="AY37" s="20">
        <v>43274</v>
      </c>
      <c r="BA37" s="20">
        <v>44652</v>
      </c>
      <c r="BB37" t="s">
        <v>1058</v>
      </c>
      <c r="BD37">
        <v>0</v>
      </c>
      <c r="BF37" t="s">
        <v>1044</v>
      </c>
      <c r="BG37" s="20">
        <v>42705</v>
      </c>
      <c r="BH37">
        <v>0</v>
      </c>
      <c r="BI37">
        <v>33</v>
      </c>
      <c r="BJ37">
        <v>0</v>
      </c>
      <c r="BK37">
        <v>0</v>
      </c>
      <c r="BM37" s="20">
        <v>42716</v>
      </c>
      <c r="BN37">
        <v>0</v>
      </c>
      <c r="BO37">
        <v>7897801317122</v>
      </c>
      <c r="BR37" t="s">
        <v>1043</v>
      </c>
      <c r="BS37" t="s">
        <v>1043</v>
      </c>
      <c r="BT37" t="s">
        <v>1043</v>
      </c>
      <c r="BV37">
        <v>1</v>
      </c>
      <c r="BW37">
        <v>30</v>
      </c>
      <c r="BY37">
        <v>66</v>
      </c>
      <c r="CA37">
        <v>0</v>
      </c>
      <c r="CB37" t="s">
        <v>1043</v>
      </c>
      <c r="CE37" t="s">
        <v>1043</v>
      </c>
      <c r="CH37" t="s">
        <v>1043</v>
      </c>
      <c r="CI37" t="s">
        <v>1383</v>
      </c>
      <c r="CK37" t="s">
        <v>1152</v>
      </c>
      <c r="CN37" t="s">
        <v>1056</v>
      </c>
      <c r="CP37">
        <v>1</v>
      </c>
      <c r="CQ37">
        <v>0</v>
      </c>
      <c r="CS37">
        <v>0</v>
      </c>
      <c r="CT37">
        <v>0</v>
      </c>
      <c r="CU37">
        <v>0</v>
      </c>
      <c r="CV37" t="s">
        <v>1045</v>
      </c>
      <c r="CW37">
        <v>0</v>
      </c>
      <c r="CX37">
        <v>0</v>
      </c>
      <c r="CY37">
        <v>0</v>
      </c>
      <c r="CZ37">
        <v>0</v>
      </c>
      <c r="DA37">
        <v>37</v>
      </c>
      <c r="DB37">
        <v>0</v>
      </c>
      <c r="DH37">
        <v>0</v>
      </c>
      <c r="DJ37">
        <v>0</v>
      </c>
      <c r="DL37">
        <v>0</v>
      </c>
      <c r="DN37">
        <v>0</v>
      </c>
      <c r="DO37" t="s">
        <v>1042</v>
      </c>
      <c r="DP37">
        <v>0</v>
      </c>
      <c r="DQ37">
        <v>7.6</v>
      </c>
      <c r="DS37">
        <v>0</v>
      </c>
      <c r="DU37">
        <v>1.65</v>
      </c>
      <c r="DW37">
        <v>0</v>
      </c>
      <c r="DY37">
        <v>0</v>
      </c>
      <c r="DZ37">
        <v>0</v>
      </c>
      <c r="EA37">
        <v>0</v>
      </c>
      <c r="EB37">
        <v>17897801317129</v>
      </c>
      <c r="EE37">
        <v>0</v>
      </c>
      <c r="EF37">
        <v>0</v>
      </c>
      <c r="EL37">
        <v>57897801317127</v>
      </c>
      <c r="EN37" t="s">
        <v>1511</v>
      </c>
      <c r="EO37" t="s">
        <v>1044</v>
      </c>
      <c r="ET37">
        <v>0</v>
      </c>
      <c r="EV37">
        <v>0</v>
      </c>
      <c r="EY37" t="s">
        <v>1052</v>
      </c>
      <c r="EZ37">
        <v>0</v>
      </c>
      <c r="FA37" t="s">
        <v>1043</v>
      </c>
      <c r="FB37">
        <v>0</v>
      </c>
      <c r="FC37">
        <v>0</v>
      </c>
      <c r="FD37" t="s">
        <v>1051</v>
      </c>
      <c r="FE37" t="s">
        <v>1050</v>
      </c>
      <c r="FF37">
        <v>0</v>
      </c>
      <c r="FG37" t="s">
        <v>1050</v>
      </c>
      <c r="FH37">
        <v>27897801317126</v>
      </c>
      <c r="FJ37">
        <v>0</v>
      </c>
      <c r="FK37">
        <v>0</v>
      </c>
      <c r="FP37">
        <v>0</v>
      </c>
      <c r="FR37">
        <v>0</v>
      </c>
      <c r="FS37" t="s">
        <v>1043</v>
      </c>
      <c r="FX37" t="s">
        <v>1042</v>
      </c>
      <c r="GA37">
        <v>0</v>
      </c>
      <c r="GB37" t="s">
        <v>1042</v>
      </c>
      <c r="GD37">
        <v>16</v>
      </c>
      <c r="GE37">
        <v>0</v>
      </c>
      <c r="GG37">
        <v>0</v>
      </c>
      <c r="GN37">
        <v>0</v>
      </c>
      <c r="GO37" t="s">
        <v>1049</v>
      </c>
      <c r="GQ37">
        <v>0</v>
      </c>
      <c r="GU37">
        <v>4</v>
      </c>
      <c r="GY37" t="s">
        <v>1045</v>
      </c>
      <c r="HB37">
        <v>0</v>
      </c>
      <c r="HE37">
        <v>0</v>
      </c>
      <c r="HF37">
        <v>0</v>
      </c>
      <c r="HG37">
        <v>3.0089999999999999E-2</v>
      </c>
      <c r="HK37" t="s">
        <v>1042</v>
      </c>
      <c r="HL37" t="s">
        <v>1048</v>
      </c>
      <c r="HM37">
        <v>0</v>
      </c>
      <c r="HN37">
        <v>0</v>
      </c>
      <c r="HO37">
        <v>24</v>
      </c>
      <c r="HP37">
        <v>6.9500000000000006E-2</v>
      </c>
      <c r="HQ37">
        <v>0</v>
      </c>
      <c r="HR37" t="s">
        <v>1042</v>
      </c>
      <c r="HT37">
        <v>0</v>
      </c>
      <c r="HU37">
        <v>0</v>
      </c>
      <c r="HW37">
        <v>0</v>
      </c>
      <c r="HX37">
        <v>36595</v>
      </c>
      <c r="HY37">
        <v>1</v>
      </c>
      <c r="IA37">
        <v>0.99</v>
      </c>
      <c r="IF37">
        <v>1125</v>
      </c>
      <c r="IG37" s="20">
        <v>42709</v>
      </c>
      <c r="IH37" t="s">
        <v>1046</v>
      </c>
      <c r="II37" t="s">
        <v>1042</v>
      </c>
      <c r="IR37" t="s">
        <v>1045</v>
      </c>
      <c r="IT37">
        <v>0</v>
      </c>
      <c r="JE37">
        <v>0</v>
      </c>
      <c r="JF37">
        <v>0</v>
      </c>
      <c r="JI37" t="s">
        <v>1042</v>
      </c>
      <c r="JJ37">
        <v>0</v>
      </c>
      <c r="JK37">
        <v>0</v>
      </c>
      <c r="JL37">
        <v>0</v>
      </c>
      <c r="JM37">
        <v>0</v>
      </c>
      <c r="JT37">
        <v>0</v>
      </c>
      <c r="JU37" t="s">
        <v>1042</v>
      </c>
      <c r="JW37">
        <v>0</v>
      </c>
      <c r="KA37">
        <v>0</v>
      </c>
      <c r="KF37">
        <v>0</v>
      </c>
      <c r="KG37">
        <v>0</v>
      </c>
      <c r="KH37">
        <v>0</v>
      </c>
      <c r="KI37">
        <v>0</v>
      </c>
      <c r="KS37" t="s">
        <v>1041</v>
      </c>
      <c r="KT37">
        <v>0</v>
      </c>
      <c r="KU37">
        <v>0</v>
      </c>
      <c r="KV37">
        <v>0</v>
      </c>
      <c r="KX37">
        <v>0</v>
      </c>
      <c r="KZ37">
        <v>0</v>
      </c>
      <c r="LF37">
        <v>0</v>
      </c>
      <c r="LH37">
        <v>239232</v>
      </c>
      <c r="LI37">
        <v>0</v>
      </c>
    </row>
    <row r="38" spans="1:321" x14ac:dyDescent="0.35">
      <c r="A38">
        <v>1</v>
      </c>
      <c r="B38">
        <v>12280</v>
      </c>
      <c r="C38" t="s">
        <v>1675</v>
      </c>
      <c r="D38" t="s">
        <v>1139</v>
      </c>
      <c r="E38" t="s">
        <v>85</v>
      </c>
      <c r="F38">
        <v>80</v>
      </c>
      <c r="G38">
        <v>9000</v>
      </c>
      <c r="H38">
        <v>0</v>
      </c>
      <c r="I38" t="s">
        <v>1323</v>
      </c>
      <c r="L38">
        <v>0</v>
      </c>
      <c r="M38">
        <v>0</v>
      </c>
      <c r="N38">
        <v>0</v>
      </c>
      <c r="R38">
        <v>0</v>
      </c>
      <c r="S38">
        <v>0</v>
      </c>
      <c r="W38" t="s">
        <v>1060</v>
      </c>
      <c r="X38">
        <v>0</v>
      </c>
      <c r="Z38">
        <v>1</v>
      </c>
      <c r="AA38">
        <v>0</v>
      </c>
      <c r="AB38">
        <v>0</v>
      </c>
      <c r="AC38">
        <v>59.082299999999996</v>
      </c>
      <c r="AD38" s="20">
        <v>42013</v>
      </c>
      <c r="AE38">
        <v>65.104699999999994</v>
      </c>
      <c r="AF38">
        <v>0</v>
      </c>
      <c r="AH38">
        <v>0</v>
      </c>
      <c r="AJ38">
        <v>0</v>
      </c>
      <c r="AL38">
        <v>1</v>
      </c>
      <c r="AM38">
        <v>0</v>
      </c>
      <c r="AN38">
        <v>16601001</v>
      </c>
      <c r="AO38">
        <v>0</v>
      </c>
      <c r="AP38">
        <v>1000</v>
      </c>
      <c r="AT38">
        <v>0</v>
      </c>
      <c r="AU38" t="s">
        <v>1059</v>
      </c>
      <c r="AW38" t="s">
        <v>1053</v>
      </c>
      <c r="AX38">
        <v>0</v>
      </c>
      <c r="AY38" s="20">
        <v>42013</v>
      </c>
      <c r="BA38" s="20">
        <v>40781</v>
      </c>
      <c r="BB38" t="s">
        <v>1058</v>
      </c>
      <c r="BD38">
        <v>0</v>
      </c>
      <c r="BF38" t="s">
        <v>1043</v>
      </c>
      <c r="BG38" t="s">
        <v>1042</v>
      </c>
      <c r="BH38">
        <v>0</v>
      </c>
      <c r="BI38">
        <v>1</v>
      </c>
      <c r="BJ38">
        <v>0</v>
      </c>
      <c r="BK38">
        <v>0</v>
      </c>
      <c r="BM38" t="s">
        <v>1042</v>
      </c>
      <c r="BN38">
        <v>0</v>
      </c>
      <c r="BR38" t="s">
        <v>1043</v>
      </c>
      <c r="BS38" t="s">
        <v>1043</v>
      </c>
      <c r="BT38" t="s">
        <v>1043</v>
      </c>
      <c r="BW38">
        <v>83</v>
      </c>
      <c r="CA38">
        <v>0</v>
      </c>
      <c r="CB38" t="s">
        <v>1057</v>
      </c>
      <c r="CE38" t="s">
        <v>1043</v>
      </c>
      <c r="CH38" t="s">
        <v>1043</v>
      </c>
      <c r="CN38" t="s">
        <v>1056</v>
      </c>
      <c r="CO38" t="s">
        <v>1043</v>
      </c>
      <c r="CP38">
        <v>1</v>
      </c>
      <c r="CQ38">
        <v>0</v>
      </c>
      <c r="CS38">
        <v>0</v>
      </c>
      <c r="CT38">
        <v>0</v>
      </c>
      <c r="CU38">
        <v>0</v>
      </c>
      <c r="CV38" t="s">
        <v>1045</v>
      </c>
      <c r="CW38">
        <v>0</v>
      </c>
      <c r="CX38">
        <v>0</v>
      </c>
      <c r="CY38">
        <v>0</v>
      </c>
      <c r="CZ38">
        <v>0</v>
      </c>
      <c r="DB38">
        <v>0</v>
      </c>
      <c r="DC38" t="s">
        <v>1043</v>
      </c>
      <c r="DF38" t="s">
        <v>1055</v>
      </c>
      <c r="DH38">
        <v>0</v>
      </c>
      <c r="DJ38">
        <v>0</v>
      </c>
      <c r="DK38" t="s">
        <v>1053</v>
      </c>
      <c r="DL38">
        <v>0</v>
      </c>
      <c r="DN38">
        <v>0</v>
      </c>
      <c r="DO38" t="s">
        <v>1042</v>
      </c>
      <c r="DP38">
        <v>0</v>
      </c>
      <c r="DQ38">
        <v>0</v>
      </c>
      <c r="DS38">
        <v>0</v>
      </c>
      <c r="DU38">
        <v>0</v>
      </c>
      <c r="DW38">
        <v>0</v>
      </c>
      <c r="DX38" t="s">
        <v>1043</v>
      </c>
      <c r="DY38">
        <v>0</v>
      </c>
      <c r="DZ38">
        <v>0</v>
      </c>
      <c r="EA38">
        <v>0</v>
      </c>
      <c r="ED38" t="s">
        <v>1045</v>
      </c>
      <c r="EE38">
        <v>0</v>
      </c>
      <c r="EF38">
        <v>0</v>
      </c>
      <c r="EQ38" t="s">
        <v>1044</v>
      </c>
      <c r="ES38" t="s">
        <v>1053</v>
      </c>
      <c r="ET38">
        <v>0</v>
      </c>
      <c r="EV38">
        <v>0</v>
      </c>
      <c r="EY38" t="s">
        <v>1052</v>
      </c>
      <c r="EZ38">
        <v>0</v>
      </c>
      <c r="FA38" t="s">
        <v>1043</v>
      </c>
      <c r="FB38">
        <v>0</v>
      </c>
      <c r="FC38">
        <v>0</v>
      </c>
      <c r="FE38" t="s">
        <v>1050</v>
      </c>
      <c r="FF38">
        <v>0</v>
      </c>
      <c r="FG38" t="s">
        <v>1050</v>
      </c>
      <c r="FJ38">
        <v>0</v>
      </c>
      <c r="FK38">
        <v>0</v>
      </c>
      <c r="FP38">
        <v>0</v>
      </c>
      <c r="FR38">
        <v>0</v>
      </c>
      <c r="FS38" t="s">
        <v>1043</v>
      </c>
      <c r="FX38" t="s">
        <v>1042</v>
      </c>
      <c r="FZ38" t="s">
        <v>1048</v>
      </c>
      <c r="GA38">
        <v>0</v>
      </c>
      <c r="GB38" t="s">
        <v>1042</v>
      </c>
      <c r="GE38">
        <v>0</v>
      </c>
      <c r="GG38">
        <v>0</v>
      </c>
      <c r="GN38">
        <v>0</v>
      </c>
      <c r="GO38" t="s">
        <v>1063</v>
      </c>
      <c r="GQ38">
        <v>0</v>
      </c>
      <c r="GU38">
        <v>0</v>
      </c>
      <c r="GY38" t="s">
        <v>1045</v>
      </c>
      <c r="HB38">
        <v>0</v>
      </c>
      <c r="HE38">
        <v>0</v>
      </c>
      <c r="HF38">
        <v>0</v>
      </c>
      <c r="HG38">
        <v>0</v>
      </c>
      <c r="HK38" t="s">
        <v>1042</v>
      </c>
      <c r="HM38" t="s">
        <v>1047</v>
      </c>
      <c r="HN38">
        <v>0</v>
      </c>
      <c r="HP38">
        <v>0</v>
      </c>
      <c r="HQ38">
        <v>0</v>
      </c>
      <c r="HR38" s="20">
        <v>44221</v>
      </c>
      <c r="HS38" t="s">
        <v>1043</v>
      </c>
      <c r="HT38">
        <v>0</v>
      </c>
      <c r="HU38">
        <v>0</v>
      </c>
      <c r="HW38">
        <v>0</v>
      </c>
      <c r="HX38">
        <v>0</v>
      </c>
      <c r="HY38">
        <v>0</v>
      </c>
      <c r="HZ38" t="s">
        <v>1045</v>
      </c>
      <c r="IA38">
        <v>0</v>
      </c>
      <c r="IB38" t="s">
        <v>1045</v>
      </c>
      <c r="ID38" t="s">
        <v>1045</v>
      </c>
      <c r="IF38">
        <v>0</v>
      </c>
      <c r="IG38" t="s">
        <v>1042</v>
      </c>
      <c r="II38" t="s">
        <v>1042</v>
      </c>
      <c r="IR38" t="s">
        <v>1045</v>
      </c>
      <c r="IT38">
        <v>0</v>
      </c>
      <c r="IY38" t="s">
        <v>1044</v>
      </c>
      <c r="IZ38" t="s">
        <v>1043</v>
      </c>
      <c r="JC38" t="s">
        <v>1043</v>
      </c>
      <c r="JE38">
        <v>0</v>
      </c>
      <c r="JF38">
        <v>0</v>
      </c>
      <c r="JI38" t="s">
        <v>1042</v>
      </c>
      <c r="JJ38">
        <v>0</v>
      </c>
      <c r="JK38">
        <v>0</v>
      </c>
      <c r="JL38">
        <v>0</v>
      </c>
      <c r="JM38">
        <v>0</v>
      </c>
      <c r="JQ38" t="s">
        <v>1043</v>
      </c>
      <c r="JT38">
        <v>0</v>
      </c>
      <c r="JU38" t="s">
        <v>1042</v>
      </c>
      <c r="JW38">
        <v>0</v>
      </c>
      <c r="KA38">
        <v>0</v>
      </c>
      <c r="KF38">
        <v>0</v>
      </c>
      <c r="KG38">
        <v>0</v>
      </c>
      <c r="KH38">
        <v>0</v>
      </c>
      <c r="KI38">
        <v>0</v>
      </c>
      <c r="KS38" t="s">
        <v>1073</v>
      </c>
      <c r="KT38">
        <v>0</v>
      </c>
      <c r="KU38">
        <v>0</v>
      </c>
      <c r="KV38">
        <v>0</v>
      </c>
      <c r="KX38">
        <v>0</v>
      </c>
      <c r="KZ38">
        <v>0</v>
      </c>
      <c r="LF38">
        <v>0</v>
      </c>
      <c r="LH38">
        <v>0</v>
      </c>
      <c r="LI38">
        <v>0</v>
      </c>
    </row>
    <row r="39" spans="1:321" x14ac:dyDescent="0.35">
      <c r="A39">
        <v>1</v>
      </c>
      <c r="B39">
        <v>12281</v>
      </c>
      <c r="C39" t="s">
        <v>1674</v>
      </c>
      <c r="D39" t="s">
        <v>1139</v>
      </c>
      <c r="E39" t="s">
        <v>587</v>
      </c>
      <c r="F39">
        <v>80</v>
      </c>
      <c r="G39">
        <v>9000</v>
      </c>
      <c r="H39">
        <v>0</v>
      </c>
      <c r="I39" t="s">
        <v>1323</v>
      </c>
      <c r="L39">
        <v>0</v>
      </c>
      <c r="M39">
        <v>0</v>
      </c>
      <c r="N39">
        <v>0</v>
      </c>
      <c r="R39">
        <v>0</v>
      </c>
      <c r="S39">
        <v>0</v>
      </c>
      <c r="W39" t="s">
        <v>1060</v>
      </c>
      <c r="X39">
        <v>0</v>
      </c>
      <c r="Z39">
        <v>1</v>
      </c>
      <c r="AA39">
        <v>0</v>
      </c>
      <c r="AB39">
        <v>0</v>
      </c>
      <c r="AC39">
        <v>64.365700000000004</v>
      </c>
      <c r="AD39" s="20">
        <v>40781</v>
      </c>
      <c r="AE39">
        <v>61.92</v>
      </c>
      <c r="AF39">
        <v>0</v>
      </c>
      <c r="AH39">
        <v>0</v>
      </c>
      <c r="AJ39">
        <v>0</v>
      </c>
      <c r="AL39">
        <v>0</v>
      </c>
      <c r="AM39">
        <v>0</v>
      </c>
      <c r="AN39">
        <v>16601001</v>
      </c>
      <c r="AO39">
        <v>0</v>
      </c>
      <c r="AP39">
        <v>1000</v>
      </c>
      <c r="AT39">
        <v>0</v>
      </c>
      <c r="AU39" t="s">
        <v>1059</v>
      </c>
      <c r="AW39" t="s">
        <v>1053</v>
      </c>
      <c r="AX39">
        <v>0</v>
      </c>
      <c r="AY39" s="20">
        <v>40781</v>
      </c>
      <c r="BA39" s="20">
        <v>40781</v>
      </c>
      <c r="BB39" t="s">
        <v>1058</v>
      </c>
      <c r="BD39">
        <v>0</v>
      </c>
      <c r="BF39" t="s">
        <v>1043</v>
      </c>
      <c r="BG39" t="s">
        <v>1042</v>
      </c>
      <c r="BH39">
        <v>0</v>
      </c>
      <c r="BI39">
        <v>1</v>
      </c>
      <c r="BJ39">
        <v>0</v>
      </c>
      <c r="BK39">
        <v>0</v>
      </c>
      <c r="BM39" t="s">
        <v>1042</v>
      </c>
      <c r="BN39">
        <v>0</v>
      </c>
      <c r="BR39" t="s">
        <v>1043</v>
      </c>
      <c r="BS39" t="s">
        <v>1043</v>
      </c>
      <c r="BT39" t="s">
        <v>1043</v>
      </c>
      <c r="BW39">
        <v>83</v>
      </c>
      <c r="CA39">
        <v>0</v>
      </c>
      <c r="CB39" t="s">
        <v>1057</v>
      </c>
      <c r="CE39" t="s">
        <v>1043</v>
      </c>
      <c r="CH39" t="s">
        <v>1043</v>
      </c>
      <c r="CN39" t="s">
        <v>1074</v>
      </c>
      <c r="CO39" t="s">
        <v>1043</v>
      </c>
      <c r="CP39">
        <v>1</v>
      </c>
      <c r="CQ39">
        <v>0</v>
      </c>
      <c r="CS39">
        <v>0</v>
      </c>
      <c r="CT39">
        <v>0</v>
      </c>
      <c r="CU39">
        <v>0</v>
      </c>
      <c r="CV39" t="s">
        <v>1045</v>
      </c>
      <c r="CW39">
        <v>0</v>
      </c>
      <c r="CX39">
        <v>0</v>
      </c>
      <c r="CY39">
        <v>0</v>
      </c>
      <c r="CZ39">
        <v>0</v>
      </c>
      <c r="DB39">
        <v>0</v>
      </c>
      <c r="DC39" t="s">
        <v>1043</v>
      </c>
      <c r="DF39" t="s">
        <v>1055</v>
      </c>
      <c r="DH39">
        <v>0</v>
      </c>
      <c r="DJ39">
        <v>0</v>
      </c>
      <c r="DK39" t="s">
        <v>1053</v>
      </c>
      <c r="DL39">
        <v>0</v>
      </c>
      <c r="DN39">
        <v>0</v>
      </c>
      <c r="DO39" t="s">
        <v>1042</v>
      </c>
      <c r="DP39">
        <v>0</v>
      </c>
      <c r="DQ39">
        <v>0</v>
      </c>
      <c r="DS39">
        <v>0</v>
      </c>
      <c r="DU39">
        <v>0</v>
      </c>
      <c r="DW39">
        <v>0</v>
      </c>
      <c r="DX39" t="s">
        <v>1043</v>
      </c>
      <c r="DY39">
        <v>0</v>
      </c>
      <c r="DZ39">
        <v>0</v>
      </c>
      <c r="EA39">
        <v>0</v>
      </c>
      <c r="ED39" t="s">
        <v>1045</v>
      </c>
      <c r="EE39">
        <v>0</v>
      </c>
      <c r="EF39">
        <v>0</v>
      </c>
      <c r="EQ39" t="s">
        <v>1044</v>
      </c>
      <c r="ES39" t="s">
        <v>1053</v>
      </c>
      <c r="ET39">
        <v>0</v>
      </c>
      <c r="EV39">
        <v>0</v>
      </c>
      <c r="EY39" t="s">
        <v>1052</v>
      </c>
      <c r="EZ39">
        <v>0</v>
      </c>
      <c r="FA39" t="s">
        <v>1043</v>
      </c>
      <c r="FB39">
        <v>0</v>
      </c>
      <c r="FC39">
        <v>0</v>
      </c>
      <c r="FE39" t="s">
        <v>1050</v>
      </c>
      <c r="FF39">
        <v>0</v>
      </c>
      <c r="FG39" t="s">
        <v>1050</v>
      </c>
      <c r="FJ39">
        <v>0</v>
      </c>
      <c r="FK39">
        <v>0</v>
      </c>
      <c r="FP39">
        <v>0</v>
      </c>
      <c r="FR39">
        <v>0</v>
      </c>
      <c r="FX39" t="s">
        <v>1042</v>
      </c>
      <c r="FZ39" t="s">
        <v>1048</v>
      </c>
      <c r="GA39">
        <v>0</v>
      </c>
      <c r="GB39" t="s">
        <v>1042</v>
      </c>
      <c r="GE39">
        <v>0</v>
      </c>
      <c r="GG39">
        <v>0</v>
      </c>
      <c r="GN39">
        <v>0</v>
      </c>
      <c r="GO39" t="s">
        <v>1063</v>
      </c>
      <c r="GQ39">
        <v>0</v>
      </c>
      <c r="GU39">
        <v>0</v>
      </c>
      <c r="GY39" t="s">
        <v>1045</v>
      </c>
      <c r="HB39">
        <v>0</v>
      </c>
      <c r="HE39">
        <v>0</v>
      </c>
      <c r="HF39">
        <v>0</v>
      </c>
      <c r="HG39">
        <v>0</v>
      </c>
      <c r="HK39" t="s">
        <v>1042</v>
      </c>
      <c r="HM39" t="s">
        <v>1047</v>
      </c>
      <c r="HN39">
        <v>0</v>
      </c>
      <c r="HP39">
        <v>0</v>
      </c>
      <c r="HQ39">
        <v>0</v>
      </c>
      <c r="HR39" t="s">
        <v>1042</v>
      </c>
      <c r="HS39" t="s">
        <v>1043</v>
      </c>
      <c r="HT39">
        <v>0</v>
      </c>
      <c r="HU39">
        <v>0</v>
      </c>
      <c r="HW39">
        <v>0</v>
      </c>
      <c r="HX39">
        <v>0</v>
      </c>
      <c r="HY39">
        <v>0</v>
      </c>
      <c r="HZ39" t="s">
        <v>1045</v>
      </c>
      <c r="IA39">
        <v>0</v>
      </c>
      <c r="IB39" t="s">
        <v>1045</v>
      </c>
      <c r="ID39" t="s">
        <v>1045</v>
      </c>
      <c r="IF39">
        <v>0</v>
      </c>
      <c r="IG39" t="s">
        <v>1042</v>
      </c>
      <c r="II39" t="s">
        <v>1042</v>
      </c>
      <c r="IR39" t="s">
        <v>1045</v>
      </c>
      <c r="IT39">
        <v>0</v>
      </c>
      <c r="IY39" t="s">
        <v>1044</v>
      </c>
      <c r="IZ39" t="s">
        <v>1043</v>
      </c>
      <c r="JC39" t="s">
        <v>1043</v>
      </c>
      <c r="JE39">
        <v>0</v>
      </c>
      <c r="JF39">
        <v>0</v>
      </c>
      <c r="JI39" t="s">
        <v>1042</v>
      </c>
      <c r="JJ39">
        <v>0</v>
      </c>
      <c r="JK39">
        <v>0</v>
      </c>
      <c r="JL39">
        <v>0</v>
      </c>
      <c r="JM39">
        <v>0</v>
      </c>
      <c r="JQ39" t="s">
        <v>1043</v>
      </c>
      <c r="JT39">
        <v>0</v>
      </c>
      <c r="JU39" t="s">
        <v>1042</v>
      </c>
      <c r="JW39">
        <v>0</v>
      </c>
      <c r="KA39">
        <v>0</v>
      </c>
      <c r="KF39">
        <v>0</v>
      </c>
      <c r="KG39">
        <v>0</v>
      </c>
      <c r="KH39">
        <v>0</v>
      </c>
      <c r="KI39">
        <v>0</v>
      </c>
      <c r="KS39" t="s">
        <v>1073</v>
      </c>
      <c r="KT39">
        <v>0</v>
      </c>
      <c r="KU39">
        <v>0</v>
      </c>
      <c r="KV39">
        <v>0</v>
      </c>
      <c r="KX39">
        <v>0</v>
      </c>
      <c r="KZ39">
        <v>0</v>
      </c>
      <c r="LF39">
        <v>0</v>
      </c>
      <c r="LH39">
        <v>0</v>
      </c>
      <c r="LI39">
        <v>0</v>
      </c>
    </row>
    <row r="40" spans="1:321" x14ac:dyDescent="0.35">
      <c r="A40">
        <v>1</v>
      </c>
      <c r="B40">
        <v>12282</v>
      </c>
      <c r="C40" t="s">
        <v>1673</v>
      </c>
      <c r="D40" t="s">
        <v>1139</v>
      </c>
      <c r="E40" t="s">
        <v>85</v>
      </c>
      <c r="F40">
        <v>80</v>
      </c>
      <c r="G40">
        <v>9000</v>
      </c>
      <c r="H40">
        <v>0</v>
      </c>
      <c r="I40" t="s">
        <v>1672</v>
      </c>
      <c r="L40">
        <v>0</v>
      </c>
      <c r="M40">
        <v>0</v>
      </c>
      <c r="N40">
        <v>0</v>
      </c>
      <c r="R40">
        <v>0</v>
      </c>
      <c r="S40">
        <v>0</v>
      </c>
      <c r="W40" t="s">
        <v>1060</v>
      </c>
      <c r="X40">
        <v>0</v>
      </c>
      <c r="Z40">
        <v>1</v>
      </c>
      <c r="AA40">
        <v>0</v>
      </c>
      <c r="AB40">
        <v>0</v>
      </c>
      <c r="AC40">
        <v>10.73</v>
      </c>
      <c r="AD40" s="20">
        <v>41470</v>
      </c>
      <c r="AE40">
        <v>9.9</v>
      </c>
      <c r="AF40">
        <v>0</v>
      </c>
      <c r="AH40">
        <v>0</v>
      </c>
      <c r="AJ40">
        <v>0</v>
      </c>
      <c r="AL40">
        <v>1</v>
      </c>
      <c r="AM40">
        <v>0</v>
      </c>
      <c r="AN40">
        <v>437761</v>
      </c>
      <c r="AO40">
        <v>0</v>
      </c>
      <c r="AP40">
        <v>2740</v>
      </c>
      <c r="AT40">
        <v>0</v>
      </c>
      <c r="AU40" t="s">
        <v>1059</v>
      </c>
      <c r="AW40" t="s">
        <v>1053</v>
      </c>
      <c r="AX40">
        <v>0</v>
      </c>
      <c r="AY40" s="20">
        <v>40781</v>
      </c>
      <c r="BA40" s="20">
        <v>40781</v>
      </c>
      <c r="BB40" t="s">
        <v>1058</v>
      </c>
      <c r="BD40">
        <v>0</v>
      </c>
      <c r="BF40" t="s">
        <v>1043</v>
      </c>
      <c r="BG40" t="s">
        <v>1042</v>
      </c>
      <c r="BH40">
        <v>0</v>
      </c>
      <c r="BI40">
        <v>1</v>
      </c>
      <c r="BJ40">
        <v>0</v>
      </c>
      <c r="BK40">
        <v>0</v>
      </c>
      <c r="BM40" t="s">
        <v>1042</v>
      </c>
      <c r="BN40">
        <v>0</v>
      </c>
      <c r="BO40">
        <v>3457801092067</v>
      </c>
      <c r="BR40" t="s">
        <v>1043</v>
      </c>
      <c r="BS40" t="s">
        <v>1043</v>
      </c>
      <c r="BT40" t="s">
        <v>1043</v>
      </c>
      <c r="BW40">
        <v>83</v>
      </c>
      <c r="CA40">
        <v>0</v>
      </c>
      <c r="CB40" t="s">
        <v>1057</v>
      </c>
      <c r="CE40" t="s">
        <v>1043</v>
      </c>
      <c r="CH40" t="s">
        <v>1043</v>
      </c>
      <c r="CN40" t="s">
        <v>1056</v>
      </c>
      <c r="CO40" t="s">
        <v>1043</v>
      </c>
      <c r="CP40">
        <v>1</v>
      </c>
      <c r="CQ40">
        <v>0</v>
      </c>
      <c r="CS40">
        <v>0</v>
      </c>
      <c r="CT40">
        <v>0</v>
      </c>
      <c r="CU40">
        <v>0</v>
      </c>
      <c r="CV40" t="s">
        <v>1045</v>
      </c>
      <c r="CW40">
        <v>0</v>
      </c>
      <c r="CX40">
        <v>0</v>
      </c>
      <c r="CY40">
        <v>0</v>
      </c>
      <c r="CZ40">
        <v>0</v>
      </c>
      <c r="DB40">
        <v>0</v>
      </c>
      <c r="DC40" t="s">
        <v>1043</v>
      </c>
      <c r="DF40" t="s">
        <v>1055</v>
      </c>
      <c r="DH40">
        <v>0</v>
      </c>
      <c r="DJ40">
        <v>0</v>
      </c>
      <c r="DK40" t="s">
        <v>1053</v>
      </c>
      <c r="DL40">
        <v>0</v>
      </c>
      <c r="DN40">
        <v>0</v>
      </c>
      <c r="DO40" t="s">
        <v>1042</v>
      </c>
      <c r="DP40">
        <v>0</v>
      </c>
      <c r="DQ40">
        <v>0</v>
      </c>
      <c r="DS40">
        <v>0</v>
      </c>
      <c r="DU40">
        <v>0</v>
      </c>
      <c r="DW40">
        <v>0</v>
      </c>
      <c r="DX40" t="s">
        <v>1043</v>
      </c>
      <c r="DY40">
        <v>0</v>
      </c>
      <c r="DZ40">
        <v>0</v>
      </c>
      <c r="EA40">
        <v>0</v>
      </c>
      <c r="ED40" t="s">
        <v>1045</v>
      </c>
      <c r="EE40">
        <v>0</v>
      </c>
      <c r="EF40">
        <v>0</v>
      </c>
      <c r="EQ40" t="s">
        <v>1044</v>
      </c>
      <c r="ES40" t="s">
        <v>1053</v>
      </c>
      <c r="ET40">
        <v>0</v>
      </c>
      <c r="EV40">
        <v>0</v>
      </c>
      <c r="EY40" t="s">
        <v>1052</v>
      </c>
      <c r="EZ40">
        <v>0</v>
      </c>
      <c r="FA40" t="s">
        <v>1043</v>
      </c>
      <c r="FB40">
        <v>0</v>
      </c>
      <c r="FC40">
        <v>0</v>
      </c>
      <c r="FE40" t="s">
        <v>1050</v>
      </c>
      <c r="FF40">
        <v>0</v>
      </c>
      <c r="FG40" t="s">
        <v>1050</v>
      </c>
      <c r="FJ40">
        <v>0</v>
      </c>
      <c r="FK40">
        <v>0</v>
      </c>
      <c r="FP40">
        <v>0</v>
      </c>
      <c r="FR40">
        <v>0</v>
      </c>
      <c r="FS40" t="s">
        <v>1043</v>
      </c>
      <c r="FX40" t="s">
        <v>1042</v>
      </c>
      <c r="FZ40" t="s">
        <v>1048</v>
      </c>
      <c r="GA40">
        <v>0</v>
      </c>
      <c r="GB40" t="s">
        <v>1042</v>
      </c>
      <c r="GE40">
        <v>0</v>
      </c>
      <c r="GG40">
        <v>0</v>
      </c>
      <c r="GN40">
        <v>0</v>
      </c>
      <c r="GO40" t="s">
        <v>1063</v>
      </c>
      <c r="GQ40">
        <v>0</v>
      </c>
      <c r="GU40">
        <v>0</v>
      </c>
      <c r="GY40" t="s">
        <v>1045</v>
      </c>
      <c r="HB40">
        <v>0</v>
      </c>
      <c r="HE40">
        <v>0</v>
      </c>
      <c r="HF40">
        <v>0</v>
      </c>
      <c r="HG40">
        <v>0</v>
      </c>
      <c r="HK40" t="s">
        <v>1042</v>
      </c>
      <c r="HM40" t="s">
        <v>1047</v>
      </c>
      <c r="HN40">
        <v>0</v>
      </c>
      <c r="HP40">
        <v>0</v>
      </c>
      <c r="HQ40">
        <v>0</v>
      </c>
      <c r="HR40" t="s">
        <v>1042</v>
      </c>
      <c r="HS40" t="s">
        <v>1043</v>
      </c>
      <c r="HT40">
        <v>0</v>
      </c>
      <c r="HU40">
        <v>0</v>
      </c>
      <c r="HW40">
        <v>0</v>
      </c>
      <c r="HX40">
        <v>0</v>
      </c>
      <c r="HY40">
        <v>0</v>
      </c>
      <c r="HZ40" t="s">
        <v>1045</v>
      </c>
      <c r="IA40">
        <v>0</v>
      </c>
      <c r="IB40" t="s">
        <v>1045</v>
      </c>
      <c r="ID40" t="s">
        <v>1045</v>
      </c>
      <c r="IF40">
        <v>0</v>
      </c>
      <c r="IG40" t="s">
        <v>1042</v>
      </c>
      <c r="II40" t="s">
        <v>1042</v>
      </c>
      <c r="IR40" t="s">
        <v>1045</v>
      </c>
      <c r="IT40">
        <v>0</v>
      </c>
      <c r="IY40" t="s">
        <v>1044</v>
      </c>
      <c r="IZ40" t="s">
        <v>1043</v>
      </c>
      <c r="JC40" t="s">
        <v>1043</v>
      </c>
      <c r="JE40">
        <v>0</v>
      </c>
      <c r="JF40">
        <v>0</v>
      </c>
      <c r="JI40" t="s">
        <v>1042</v>
      </c>
      <c r="JJ40">
        <v>0</v>
      </c>
      <c r="JK40">
        <v>0</v>
      </c>
      <c r="JL40">
        <v>0</v>
      </c>
      <c r="JM40">
        <v>0</v>
      </c>
      <c r="JQ40" t="s">
        <v>1043</v>
      </c>
      <c r="JT40">
        <v>0</v>
      </c>
      <c r="JU40" t="s">
        <v>1042</v>
      </c>
      <c r="JW40">
        <v>0</v>
      </c>
      <c r="KA40">
        <v>0</v>
      </c>
      <c r="KF40">
        <v>0</v>
      </c>
      <c r="KG40">
        <v>0</v>
      </c>
      <c r="KH40">
        <v>0</v>
      </c>
      <c r="KI40">
        <v>0</v>
      </c>
      <c r="KS40" t="s">
        <v>1073</v>
      </c>
      <c r="KT40">
        <v>0</v>
      </c>
      <c r="KU40">
        <v>0</v>
      </c>
      <c r="KV40">
        <v>0</v>
      </c>
      <c r="KX40">
        <v>0</v>
      </c>
      <c r="KZ40">
        <v>0</v>
      </c>
      <c r="LF40">
        <v>0</v>
      </c>
      <c r="LH40">
        <v>0</v>
      </c>
      <c r="LI40">
        <v>0</v>
      </c>
    </row>
    <row r="41" spans="1:321" x14ac:dyDescent="0.35">
      <c r="A41">
        <v>1</v>
      </c>
      <c r="B41">
        <v>12283</v>
      </c>
      <c r="C41" t="s">
        <v>1671</v>
      </c>
      <c r="D41" t="s">
        <v>1076</v>
      </c>
      <c r="E41" t="s">
        <v>85</v>
      </c>
      <c r="F41">
        <v>50</v>
      </c>
      <c r="G41">
        <v>51</v>
      </c>
      <c r="H41">
        <v>0</v>
      </c>
      <c r="I41" t="s">
        <v>1509</v>
      </c>
      <c r="L41">
        <v>0</v>
      </c>
      <c r="M41">
        <v>0</v>
      </c>
      <c r="N41">
        <v>0</v>
      </c>
      <c r="P41">
        <v>306</v>
      </c>
      <c r="R41">
        <v>0</v>
      </c>
      <c r="S41">
        <v>0</v>
      </c>
      <c r="W41" t="s">
        <v>1060</v>
      </c>
      <c r="X41">
        <v>0</v>
      </c>
      <c r="Z41">
        <v>1</v>
      </c>
      <c r="AA41">
        <v>0</v>
      </c>
      <c r="AB41">
        <v>32</v>
      </c>
      <c r="AC41">
        <v>69.897499999999994</v>
      </c>
      <c r="AD41" s="20">
        <v>44305</v>
      </c>
      <c r="AE41">
        <v>73</v>
      </c>
      <c r="AF41">
        <v>0</v>
      </c>
      <c r="AH41">
        <v>17</v>
      </c>
      <c r="AJ41">
        <v>0</v>
      </c>
      <c r="AL41">
        <v>1</v>
      </c>
      <c r="AM41">
        <v>8</v>
      </c>
      <c r="AN41">
        <v>11501004</v>
      </c>
      <c r="AO41">
        <v>0</v>
      </c>
      <c r="AP41">
        <v>1000</v>
      </c>
      <c r="AT41">
        <v>0</v>
      </c>
      <c r="AU41" t="s">
        <v>1059</v>
      </c>
      <c r="AW41" t="s">
        <v>1053</v>
      </c>
      <c r="AX41">
        <v>0</v>
      </c>
      <c r="AY41" s="20">
        <v>43195</v>
      </c>
      <c r="BA41" s="20">
        <v>40781</v>
      </c>
      <c r="BB41" t="s">
        <v>1058</v>
      </c>
      <c r="BD41">
        <v>0</v>
      </c>
      <c r="BF41" t="s">
        <v>1043</v>
      </c>
      <c r="BG41" t="s">
        <v>1042</v>
      </c>
      <c r="BH41">
        <v>0</v>
      </c>
      <c r="BI41">
        <v>1</v>
      </c>
      <c r="BJ41">
        <v>0</v>
      </c>
      <c r="BK41">
        <v>0</v>
      </c>
      <c r="BM41" s="20">
        <v>41928</v>
      </c>
      <c r="BN41">
        <v>0</v>
      </c>
      <c r="BO41">
        <v>3457801092074</v>
      </c>
      <c r="BR41" t="s">
        <v>1043</v>
      </c>
      <c r="BS41" t="s">
        <v>1043</v>
      </c>
      <c r="BT41" t="s">
        <v>1043</v>
      </c>
      <c r="BW41">
        <v>48</v>
      </c>
      <c r="CA41">
        <v>0</v>
      </c>
      <c r="CB41" t="s">
        <v>1057</v>
      </c>
      <c r="CE41" t="s">
        <v>1043</v>
      </c>
      <c r="CH41" t="s">
        <v>1043</v>
      </c>
      <c r="CN41" t="s">
        <v>1056</v>
      </c>
      <c r="CO41" t="s">
        <v>1043</v>
      </c>
      <c r="CP41">
        <v>1</v>
      </c>
      <c r="CQ41">
        <v>0</v>
      </c>
      <c r="CS41">
        <v>0</v>
      </c>
      <c r="CT41">
        <v>0</v>
      </c>
      <c r="CU41">
        <v>0</v>
      </c>
      <c r="CV41" t="s">
        <v>1045</v>
      </c>
      <c r="CW41">
        <v>0</v>
      </c>
      <c r="CX41">
        <v>0</v>
      </c>
      <c r="CY41">
        <v>0</v>
      </c>
      <c r="CZ41">
        <v>0</v>
      </c>
      <c r="DB41">
        <v>0</v>
      </c>
      <c r="DC41" t="s">
        <v>1043</v>
      </c>
      <c r="DF41" t="s">
        <v>1055</v>
      </c>
      <c r="DH41">
        <v>0</v>
      </c>
      <c r="DJ41">
        <v>0</v>
      </c>
      <c r="DK41" t="s">
        <v>1053</v>
      </c>
      <c r="DL41">
        <v>0</v>
      </c>
      <c r="DN41">
        <v>0</v>
      </c>
      <c r="DO41" t="s">
        <v>1042</v>
      </c>
      <c r="DP41">
        <v>0</v>
      </c>
      <c r="DQ41">
        <v>0</v>
      </c>
      <c r="DS41">
        <v>0</v>
      </c>
      <c r="DU41">
        <v>0</v>
      </c>
      <c r="DW41">
        <v>0</v>
      </c>
      <c r="DX41" t="s">
        <v>1043</v>
      </c>
      <c r="DY41">
        <v>0</v>
      </c>
      <c r="DZ41">
        <v>0</v>
      </c>
      <c r="EA41">
        <v>0</v>
      </c>
      <c r="ED41" t="s">
        <v>1045</v>
      </c>
      <c r="EE41">
        <v>0</v>
      </c>
      <c r="EF41">
        <v>0</v>
      </c>
      <c r="EQ41" t="s">
        <v>1044</v>
      </c>
      <c r="ES41" t="s">
        <v>1053</v>
      </c>
      <c r="ET41">
        <v>0</v>
      </c>
      <c r="EV41">
        <v>0</v>
      </c>
      <c r="EY41" t="s">
        <v>1052</v>
      </c>
      <c r="EZ41">
        <v>0</v>
      </c>
      <c r="FA41" t="s">
        <v>1043</v>
      </c>
      <c r="FB41">
        <v>0</v>
      </c>
      <c r="FC41">
        <v>0</v>
      </c>
      <c r="FE41" t="s">
        <v>1050</v>
      </c>
      <c r="FF41">
        <v>0</v>
      </c>
      <c r="FG41" t="s">
        <v>1050</v>
      </c>
      <c r="FJ41">
        <v>0</v>
      </c>
      <c r="FK41">
        <v>0</v>
      </c>
      <c r="FP41">
        <v>0</v>
      </c>
      <c r="FR41">
        <v>0</v>
      </c>
      <c r="FS41" t="s">
        <v>1043</v>
      </c>
      <c r="FX41" t="s">
        <v>1042</v>
      </c>
      <c r="FZ41" t="s">
        <v>1048</v>
      </c>
      <c r="GA41">
        <v>0</v>
      </c>
      <c r="GB41" t="s">
        <v>1042</v>
      </c>
      <c r="GE41">
        <v>0</v>
      </c>
      <c r="GG41">
        <v>0</v>
      </c>
      <c r="GN41">
        <v>0</v>
      </c>
      <c r="GO41" t="s">
        <v>1063</v>
      </c>
      <c r="GQ41">
        <v>0</v>
      </c>
      <c r="GU41">
        <v>0</v>
      </c>
      <c r="GY41" t="s">
        <v>1045</v>
      </c>
      <c r="HB41">
        <v>0</v>
      </c>
      <c r="HE41">
        <v>0</v>
      </c>
      <c r="HF41">
        <v>0</v>
      </c>
      <c r="HG41">
        <v>0</v>
      </c>
      <c r="HK41" t="s">
        <v>1042</v>
      </c>
      <c r="HM41" t="s">
        <v>1047</v>
      </c>
      <c r="HN41">
        <v>0</v>
      </c>
      <c r="HP41">
        <v>0</v>
      </c>
      <c r="HQ41">
        <v>0</v>
      </c>
      <c r="HR41" s="20">
        <v>44221</v>
      </c>
      <c r="HS41" t="s">
        <v>1043</v>
      </c>
      <c r="HT41">
        <v>0</v>
      </c>
      <c r="HU41">
        <v>0</v>
      </c>
      <c r="HW41">
        <v>0</v>
      </c>
      <c r="HX41">
        <v>48</v>
      </c>
      <c r="HY41">
        <v>1</v>
      </c>
      <c r="HZ41" t="s">
        <v>1045</v>
      </c>
      <c r="IA41">
        <v>73</v>
      </c>
      <c r="IB41" t="s">
        <v>1045</v>
      </c>
      <c r="ID41" t="s">
        <v>1045</v>
      </c>
      <c r="IF41">
        <v>0</v>
      </c>
      <c r="IG41" t="s">
        <v>1042</v>
      </c>
      <c r="II41" t="s">
        <v>1042</v>
      </c>
      <c r="IR41" t="s">
        <v>1045</v>
      </c>
      <c r="IT41">
        <v>0</v>
      </c>
      <c r="IY41" t="s">
        <v>1044</v>
      </c>
      <c r="IZ41" t="s">
        <v>1043</v>
      </c>
      <c r="JC41" t="s">
        <v>1043</v>
      </c>
      <c r="JE41">
        <v>0</v>
      </c>
      <c r="JF41">
        <v>0</v>
      </c>
      <c r="JI41" t="s">
        <v>1042</v>
      </c>
      <c r="JJ41">
        <v>0</v>
      </c>
      <c r="JK41">
        <v>0</v>
      </c>
      <c r="JL41">
        <v>0</v>
      </c>
      <c r="JM41">
        <v>0</v>
      </c>
      <c r="JQ41" t="s">
        <v>1043</v>
      </c>
      <c r="JT41">
        <v>0</v>
      </c>
      <c r="JU41" t="s">
        <v>1042</v>
      </c>
      <c r="JW41">
        <v>0</v>
      </c>
      <c r="KA41">
        <v>0</v>
      </c>
      <c r="KF41">
        <v>0</v>
      </c>
      <c r="KG41">
        <v>0</v>
      </c>
      <c r="KH41">
        <v>0</v>
      </c>
      <c r="KI41">
        <v>0</v>
      </c>
      <c r="KS41" t="s">
        <v>1073</v>
      </c>
      <c r="KT41">
        <v>0</v>
      </c>
      <c r="KU41">
        <v>0</v>
      </c>
      <c r="KV41">
        <v>0</v>
      </c>
      <c r="KX41">
        <v>0</v>
      </c>
      <c r="KZ41">
        <v>0</v>
      </c>
      <c r="LF41">
        <v>0</v>
      </c>
      <c r="LH41">
        <v>0</v>
      </c>
      <c r="LI41">
        <v>0</v>
      </c>
    </row>
    <row r="42" spans="1:321" x14ac:dyDescent="0.35">
      <c r="A42">
        <v>1</v>
      </c>
      <c r="B42">
        <v>12284</v>
      </c>
      <c r="C42" t="s">
        <v>1670</v>
      </c>
      <c r="D42" t="s">
        <v>1139</v>
      </c>
      <c r="E42" t="s">
        <v>587</v>
      </c>
      <c r="F42">
        <v>80</v>
      </c>
      <c r="G42">
        <v>9000</v>
      </c>
      <c r="H42">
        <v>0</v>
      </c>
      <c r="I42" t="s">
        <v>1323</v>
      </c>
      <c r="L42">
        <v>0</v>
      </c>
      <c r="M42">
        <v>0</v>
      </c>
      <c r="N42">
        <v>0</v>
      </c>
      <c r="R42">
        <v>0</v>
      </c>
      <c r="S42">
        <v>0</v>
      </c>
      <c r="W42" t="s">
        <v>1060</v>
      </c>
      <c r="X42">
        <v>0</v>
      </c>
      <c r="Z42">
        <v>1</v>
      </c>
      <c r="AA42">
        <v>0</v>
      </c>
      <c r="AB42">
        <v>0</v>
      </c>
      <c r="AC42">
        <v>4.5427</v>
      </c>
      <c r="AD42" s="20">
        <v>40781</v>
      </c>
      <c r="AE42">
        <v>4.37</v>
      </c>
      <c r="AF42">
        <v>0</v>
      </c>
      <c r="AH42">
        <v>0</v>
      </c>
      <c r="AJ42">
        <v>0</v>
      </c>
      <c r="AL42">
        <v>0</v>
      </c>
      <c r="AM42">
        <v>0</v>
      </c>
      <c r="AN42">
        <v>16601001</v>
      </c>
      <c r="AO42">
        <v>0</v>
      </c>
      <c r="AP42">
        <v>1000</v>
      </c>
      <c r="AT42">
        <v>0</v>
      </c>
      <c r="AU42" t="s">
        <v>1059</v>
      </c>
      <c r="AW42" t="s">
        <v>1053</v>
      </c>
      <c r="AX42">
        <v>0</v>
      </c>
      <c r="AY42" s="20">
        <v>40781</v>
      </c>
      <c r="BA42" s="20">
        <v>40781</v>
      </c>
      <c r="BB42" t="s">
        <v>1058</v>
      </c>
      <c r="BD42">
        <v>0</v>
      </c>
      <c r="BF42" t="s">
        <v>1043</v>
      </c>
      <c r="BG42" t="s">
        <v>1042</v>
      </c>
      <c r="BH42">
        <v>0</v>
      </c>
      <c r="BI42">
        <v>1</v>
      </c>
      <c r="BJ42">
        <v>0</v>
      </c>
      <c r="BK42">
        <v>0</v>
      </c>
      <c r="BM42" t="s">
        <v>1042</v>
      </c>
      <c r="BN42">
        <v>0</v>
      </c>
      <c r="BR42" t="s">
        <v>1043</v>
      </c>
      <c r="BS42" t="s">
        <v>1043</v>
      </c>
      <c r="BT42" t="s">
        <v>1043</v>
      </c>
      <c r="BW42">
        <v>83</v>
      </c>
      <c r="CA42">
        <v>0</v>
      </c>
      <c r="CB42" t="s">
        <v>1057</v>
      </c>
      <c r="CE42" t="s">
        <v>1043</v>
      </c>
      <c r="CH42" t="s">
        <v>1043</v>
      </c>
      <c r="CN42" t="s">
        <v>1074</v>
      </c>
      <c r="CO42" t="s">
        <v>1043</v>
      </c>
      <c r="CP42">
        <v>1</v>
      </c>
      <c r="CQ42">
        <v>0</v>
      </c>
      <c r="CS42">
        <v>0</v>
      </c>
      <c r="CT42">
        <v>0</v>
      </c>
      <c r="CU42">
        <v>0</v>
      </c>
      <c r="CV42" t="s">
        <v>1045</v>
      </c>
      <c r="CW42">
        <v>0</v>
      </c>
      <c r="CX42">
        <v>0</v>
      </c>
      <c r="CY42">
        <v>0</v>
      </c>
      <c r="CZ42">
        <v>0</v>
      </c>
      <c r="DB42">
        <v>0</v>
      </c>
      <c r="DC42" t="s">
        <v>1043</v>
      </c>
      <c r="DF42" t="s">
        <v>1055</v>
      </c>
      <c r="DH42">
        <v>0</v>
      </c>
      <c r="DJ42">
        <v>0</v>
      </c>
      <c r="DK42" t="s">
        <v>1053</v>
      </c>
      <c r="DL42">
        <v>0</v>
      </c>
      <c r="DN42">
        <v>0</v>
      </c>
      <c r="DO42" t="s">
        <v>1042</v>
      </c>
      <c r="DP42">
        <v>0</v>
      </c>
      <c r="DQ42">
        <v>0</v>
      </c>
      <c r="DS42">
        <v>0</v>
      </c>
      <c r="DU42">
        <v>0</v>
      </c>
      <c r="DW42">
        <v>0</v>
      </c>
      <c r="DX42" t="s">
        <v>1043</v>
      </c>
      <c r="DY42">
        <v>0</v>
      </c>
      <c r="DZ42">
        <v>0</v>
      </c>
      <c r="EA42">
        <v>0</v>
      </c>
      <c r="ED42" t="s">
        <v>1045</v>
      </c>
      <c r="EE42">
        <v>0</v>
      </c>
      <c r="EF42">
        <v>0</v>
      </c>
      <c r="EQ42" t="s">
        <v>1044</v>
      </c>
      <c r="ES42" t="s">
        <v>1053</v>
      </c>
      <c r="ET42">
        <v>0</v>
      </c>
      <c r="EV42">
        <v>0</v>
      </c>
      <c r="EY42" t="s">
        <v>1052</v>
      </c>
      <c r="EZ42">
        <v>0</v>
      </c>
      <c r="FA42" t="s">
        <v>1043</v>
      </c>
      <c r="FB42">
        <v>0</v>
      </c>
      <c r="FC42">
        <v>0</v>
      </c>
      <c r="FE42" t="s">
        <v>1050</v>
      </c>
      <c r="FF42">
        <v>0</v>
      </c>
      <c r="FG42" t="s">
        <v>1050</v>
      </c>
      <c r="FJ42">
        <v>0</v>
      </c>
      <c r="FK42">
        <v>0</v>
      </c>
      <c r="FP42">
        <v>0</v>
      </c>
      <c r="FR42">
        <v>0</v>
      </c>
      <c r="FX42" t="s">
        <v>1042</v>
      </c>
      <c r="FZ42" t="s">
        <v>1048</v>
      </c>
      <c r="GA42">
        <v>0</v>
      </c>
      <c r="GB42" t="s">
        <v>1042</v>
      </c>
      <c r="GE42">
        <v>0</v>
      </c>
      <c r="GG42">
        <v>0</v>
      </c>
      <c r="GN42">
        <v>0</v>
      </c>
      <c r="GO42" t="s">
        <v>1063</v>
      </c>
      <c r="GQ42">
        <v>0</v>
      </c>
      <c r="GU42">
        <v>0</v>
      </c>
      <c r="GY42" t="s">
        <v>1045</v>
      </c>
      <c r="HB42">
        <v>0</v>
      </c>
      <c r="HE42">
        <v>0</v>
      </c>
      <c r="HF42">
        <v>0</v>
      </c>
      <c r="HG42">
        <v>0</v>
      </c>
      <c r="HK42" t="s">
        <v>1042</v>
      </c>
      <c r="HM42" t="s">
        <v>1047</v>
      </c>
      <c r="HN42">
        <v>0</v>
      </c>
      <c r="HP42">
        <v>0</v>
      </c>
      <c r="HQ42">
        <v>0</v>
      </c>
      <c r="HR42" t="s">
        <v>1042</v>
      </c>
      <c r="HS42" t="s">
        <v>1043</v>
      </c>
      <c r="HT42">
        <v>0</v>
      </c>
      <c r="HU42">
        <v>0</v>
      </c>
      <c r="HW42">
        <v>0</v>
      </c>
      <c r="HX42">
        <v>0</v>
      </c>
      <c r="HY42">
        <v>0</v>
      </c>
      <c r="HZ42" t="s">
        <v>1045</v>
      </c>
      <c r="IA42">
        <v>0</v>
      </c>
      <c r="IB42" t="s">
        <v>1045</v>
      </c>
      <c r="ID42" t="s">
        <v>1045</v>
      </c>
      <c r="IF42">
        <v>0</v>
      </c>
      <c r="IG42" t="s">
        <v>1042</v>
      </c>
      <c r="II42" t="s">
        <v>1042</v>
      </c>
      <c r="IR42" t="s">
        <v>1045</v>
      </c>
      <c r="IT42">
        <v>0</v>
      </c>
      <c r="IY42" t="s">
        <v>1044</v>
      </c>
      <c r="IZ42" t="s">
        <v>1043</v>
      </c>
      <c r="JC42" t="s">
        <v>1043</v>
      </c>
      <c r="JE42">
        <v>0</v>
      </c>
      <c r="JF42">
        <v>0</v>
      </c>
      <c r="JI42" t="s">
        <v>1042</v>
      </c>
      <c r="JJ42">
        <v>0</v>
      </c>
      <c r="JK42">
        <v>0</v>
      </c>
      <c r="JL42">
        <v>0</v>
      </c>
      <c r="JM42">
        <v>0</v>
      </c>
      <c r="JQ42" t="s">
        <v>1043</v>
      </c>
      <c r="JT42">
        <v>0</v>
      </c>
      <c r="JU42" t="s">
        <v>1042</v>
      </c>
      <c r="JW42">
        <v>0</v>
      </c>
      <c r="KA42">
        <v>0</v>
      </c>
      <c r="KF42">
        <v>0</v>
      </c>
      <c r="KG42">
        <v>0</v>
      </c>
      <c r="KH42">
        <v>0</v>
      </c>
      <c r="KI42">
        <v>0</v>
      </c>
      <c r="KS42" t="s">
        <v>1073</v>
      </c>
      <c r="KT42">
        <v>0</v>
      </c>
      <c r="KU42">
        <v>0</v>
      </c>
      <c r="KV42">
        <v>0</v>
      </c>
      <c r="KX42">
        <v>0</v>
      </c>
      <c r="KZ42">
        <v>0</v>
      </c>
      <c r="LF42">
        <v>0</v>
      </c>
      <c r="LH42">
        <v>0</v>
      </c>
      <c r="LI42">
        <v>0</v>
      </c>
    </row>
    <row r="43" spans="1:321" x14ac:dyDescent="0.35">
      <c r="A43">
        <v>1</v>
      </c>
      <c r="B43">
        <v>12285</v>
      </c>
      <c r="C43" t="s">
        <v>1669</v>
      </c>
      <c r="D43" t="s">
        <v>1139</v>
      </c>
      <c r="E43" t="s">
        <v>587</v>
      </c>
      <c r="F43">
        <v>80</v>
      </c>
      <c r="G43">
        <v>9000</v>
      </c>
      <c r="H43">
        <v>0</v>
      </c>
      <c r="I43" t="s">
        <v>1323</v>
      </c>
      <c r="L43">
        <v>0</v>
      </c>
      <c r="M43">
        <v>0</v>
      </c>
      <c r="N43">
        <v>0</v>
      </c>
      <c r="R43">
        <v>0</v>
      </c>
      <c r="S43">
        <v>0</v>
      </c>
      <c r="W43" t="s">
        <v>1060</v>
      </c>
      <c r="X43">
        <v>0</v>
      </c>
      <c r="Z43">
        <v>1</v>
      </c>
      <c r="AA43">
        <v>0</v>
      </c>
      <c r="AB43">
        <v>0</v>
      </c>
      <c r="AC43">
        <v>4.5423</v>
      </c>
      <c r="AD43" s="20">
        <v>40781</v>
      </c>
      <c r="AE43">
        <v>4.37</v>
      </c>
      <c r="AF43">
        <v>0</v>
      </c>
      <c r="AH43">
        <v>0</v>
      </c>
      <c r="AJ43">
        <v>0</v>
      </c>
      <c r="AL43">
        <v>0</v>
      </c>
      <c r="AM43">
        <v>0</v>
      </c>
      <c r="AN43">
        <v>16601001</v>
      </c>
      <c r="AO43">
        <v>0</v>
      </c>
      <c r="AP43">
        <v>1000</v>
      </c>
      <c r="AT43">
        <v>0</v>
      </c>
      <c r="AU43" t="s">
        <v>1059</v>
      </c>
      <c r="AW43" t="s">
        <v>1053</v>
      </c>
      <c r="AX43">
        <v>0</v>
      </c>
      <c r="AY43" s="20">
        <v>40781</v>
      </c>
      <c r="BA43" s="20">
        <v>40781</v>
      </c>
      <c r="BB43" t="s">
        <v>1058</v>
      </c>
      <c r="BD43">
        <v>0</v>
      </c>
      <c r="BF43" t="s">
        <v>1043</v>
      </c>
      <c r="BG43" t="s">
        <v>1042</v>
      </c>
      <c r="BH43">
        <v>0</v>
      </c>
      <c r="BI43">
        <v>1</v>
      </c>
      <c r="BJ43">
        <v>0</v>
      </c>
      <c r="BK43">
        <v>0</v>
      </c>
      <c r="BM43" t="s">
        <v>1042</v>
      </c>
      <c r="BN43">
        <v>0</v>
      </c>
      <c r="BR43" t="s">
        <v>1043</v>
      </c>
      <c r="BS43" t="s">
        <v>1043</v>
      </c>
      <c r="BT43" t="s">
        <v>1043</v>
      </c>
      <c r="BW43">
        <v>83</v>
      </c>
      <c r="CA43">
        <v>0</v>
      </c>
      <c r="CB43" t="s">
        <v>1057</v>
      </c>
      <c r="CE43" t="s">
        <v>1043</v>
      </c>
      <c r="CH43" t="s">
        <v>1043</v>
      </c>
      <c r="CN43" t="s">
        <v>1074</v>
      </c>
      <c r="CO43" t="s">
        <v>1043</v>
      </c>
      <c r="CP43">
        <v>1</v>
      </c>
      <c r="CQ43">
        <v>0</v>
      </c>
      <c r="CS43">
        <v>0</v>
      </c>
      <c r="CT43">
        <v>0</v>
      </c>
      <c r="CU43">
        <v>0</v>
      </c>
      <c r="CV43" t="s">
        <v>1045</v>
      </c>
      <c r="CW43">
        <v>0</v>
      </c>
      <c r="CX43">
        <v>0</v>
      </c>
      <c r="CY43">
        <v>0</v>
      </c>
      <c r="CZ43">
        <v>0</v>
      </c>
      <c r="DB43">
        <v>0</v>
      </c>
      <c r="DC43" t="s">
        <v>1043</v>
      </c>
      <c r="DF43" t="s">
        <v>1055</v>
      </c>
      <c r="DH43">
        <v>0</v>
      </c>
      <c r="DJ43">
        <v>0</v>
      </c>
      <c r="DK43" t="s">
        <v>1053</v>
      </c>
      <c r="DL43">
        <v>0</v>
      </c>
      <c r="DN43">
        <v>0</v>
      </c>
      <c r="DO43" t="s">
        <v>1042</v>
      </c>
      <c r="DP43">
        <v>0</v>
      </c>
      <c r="DQ43">
        <v>0</v>
      </c>
      <c r="DS43">
        <v>0</v>
      </c>
      <c r="DU43">
        <v>0</v>
      </c>
      <c r="DW43">
        <v>0</v>
      </c>
      <c r="DX43" t="s">
        <v>1043</v>
      </c>
      <c r="DY43">
        <v>0</v>
      </c>
      <c r="DZ43">
        <v>0</v>
      </c>
      <c r="EA43">
        <v>0</v>
      </c>
      <c r="ED43" t="s">
        <v>1045</v>
      </c>
      <c r="EE43">
        <v>0</v>
      </c>
      <c r="EF43">
        <v>0</v>
      </c>
      <c r="EQ43" t="s">
        <v>1044</v>
      </c>
      <c r="ES43" t="s">
        <v>1053</v>
      </c>
      <c r="ET43">
        <v>0</v>
      </c>
      <c r="EV43">
        <v>0</v>
      </c>
      <c r="EY43" t="s">
        <v>1052</v>
      </c>
      <c r="EZ43">
        <v>0</v>
      </c>
      <c r="FA43" t="s">
        <v>1043</v>
      </c>
      <c r="FB43">
        <v>0</v>
      </c>
      <c r="FC43">
        <v>0</v>
      </c>
      <c r="FE43" t="s">
        <v>1050</v>
      </c>
      <c r="FF43">
        <v>0</v>
      </c>
      <c r="FG43" t="s">
        <v>1050</v>
      </c>
      <c r="FJ43">
        <v>0</v>
      </c>
      <c r="FK43">
        <v>0</v>
      </c>
      <c r="FP43">
        <v>0</v>
      </c>
      <c r="FR43">
        <v>0</v>
      </c>
      <c r="FX43" t="s">
        <v>1042</v>
      </c>
      <c r="FZ43" t="s">
        <v>1048</v>
      </c>
      <c r="GA43">
        <v>0</v>
      </c>
      <c r="GB43" t="s">
        <v>1042</v>
      </c>
      <c r="GE43">
        <v>0</v>
      </c>
      <c r="GG43">
        <v>0</v>
      </c>
      <c r="GN43">
        <v>0</v>
      </c>
      <c r="GO43" t="s">
        <v>1063</v>
      </c>
      <c r="GQ43">
        <v>0</v>
      </c>
      <c r="GU43">
        <v>0</v>
      </c>
      <c r="GY43" t="s">
        <v>1045</v>
      </c>
      <c r="HB43">
        <v>0</v>
      </c>
      <c r="HE43">
        <v>0</v>
      </c>
      <c r="HF43">
        <v>0</v>
      </c>
      <c r="HG43">
        <v>0</v>
      </c>
      <c r="HK43" t="s">
        <v>1042</v>
      </c>
      <c r="HM43" t="s">
        <v>1047</v>
      </c>
      <c r="HN43">
        <v>0</v>
      </c>
      <c r="HP43">
        <v>0</v>
      </c>
      <c r="HQ43">
        <v>0</v>
      </c>
      <c r="HR43" t="s">
        <v>1042</v>
      </c>
      <c r="HS43" t="s">
        <v>1043</v>
      </c>
      <c r="HT43">
        <v>0</v>
      </c>
      <c r="HU43">
        <v>0</v>
      </c>
      <c r="HW43">
        <v>0</v>
      </c>
      <c r="HX43">
        <v>0</v>
      </c>
      <c r="HY43">
        <v>0</v>
      </c>
      <c r="HZ43" t="s">
        <v>1045</v>
      </c>
      <c r="IA43">
        <v>0</v>
      </c>
      <c r="IB43" t="s">
        <v>1045</v>
      </c>
      <c r="ID43" t="s">
        <v>1045</v>
      </c>
      <c r="IF43">
        <v>0</v>
      </c>
      <c r="IG43" t="s">
        <v>1042</v>
      </c>
      <c r="II43" t="s">
        <v>1042</v>
      </c>
      <c r="IR43" t="s">
        <v>1045</v>
      </c>
      <c r="IT43">
        <v>0</v>
      </c>
      <c r="IY43" t="s">
        <v>1044</v>
      </c>
      <c r="IZ43" t="s">
        <v>1043</v>
      </c>
      <c r="JC43" t="s">
        <v>1043</v>
      </c>
      <c r="JE43">
        <v>0</v>
      </c>
      <c r="JF43">
        <v>0</v>
      </c>
      <c r="JI43" t="s">
        <v>1042</v>
      </c>
      <c r="JJ43">
        <v>0</v>
      </c>
      <c r="JK43">
        <v>0</v>
      </c>
      <c r="JL43">
        <v>0</v>
      </c>
      <c r="JM43">
        <v>0</v>
      </c>
      <c r="JQ43" t="s">
        <v>1043</v>
      </c>
      <c r="JT43">
        <v>0</v>
      </c>
      <c r="JU43" t="s">
        <v>1042</v>
      </c>
      <c r="JW43">
        <v>0</v>
      </c>
      <c r="KA43">
        <v>0</v>
      </c>
      <c r="KF43">
        <v>0</v>
      </c>
      <c r="KG43">
        <v>0</v>
      </c>
      <c r="KH43">
        <v>0</v>
      </c>
      <c r="KI43">
        <v>0</v>
      </c>
      <c r="KS43" t="s">
        <v>1073</v>
      </c>
      <c r="KT43">
        <v>0</v>
      </c>
      <c r="KU43">
        <v>0</v>
      </c>
      <c r="KV43">
        <v>0</v>
      </c>
      <c r="KX43">
        <v>0</v>
      </c>
      <c r="KZ43">
        <v>0</v>
      </c>
      <c r="LF43">
        <v>0</v>
      </c>
      <c r="LH43">
        <v>0</v>
      </c>
      <c r="LI43">
        <v>0</v>
      </c>
    </row>
    <row r="44" spans="1:321" x14ac:dyDescent="0.35">
      <c r="A44">
        <v>1</v>
      </c>
      <c r="B44">
        <v>12286</v>
      </c>
      <c r="C44" t="s">
        <v>1668</v>
      </c>
      <c r="D44" t="s">
        <v>1139</v>
      </c>
      <c r="E44" t="s">
        <v>85</v>
      </c>
      <c r="F44">
        <v>80</v>
      </c>
      <c r="G44">
        <v>9000</v>
      </c>
      <c r="H44">
        <v>0</v>
      </c>
      <c r="I44" t="s">
        <v>1323</v>
      </c>
      <c r="L44">
        <v>0</v>
      </c>
      <c r="M44">
        <v>0</v>
      </c>
      <c r="N44">
        <v>0</v>
      </c>
      <c r="R44">
        <v>0</v>
      </c>
      <c r="S44">
        <v>0</v>
      </c>
      <c r="W44" t="s">
        <v>1060</v>
      </c>
      <c r="X44">
        <v>0</v>
      </c>
      <c r="Z44">
        <v>1</v>
      </c>
      <c r="AA44">
        <v>0</v>
      </c>
      <c r="AB44">
        <v>0</v>
      </c>
      <c r="AC44">
        <v>4.5425000000000004</v>
      </c>
      <c r="AD44" s="20">
        <v>40780</v>
      </c>
      <c r="AE44">
        <v>4.37</v>
      </c>
      <c r="AF44">
        <v>0</v>
      </c>
      <c r="AH44">
        <v>0</v>
      </c>
      <c r="AJ44">
        <v>0</v>
      </c>
      <c r="AL44">
        <v>0</v>
      </c>
      <c r="AM44">
        <v>0</v>
      </c>
      <c r="AN44">
        <v>16601001</v>
      </c>
      <c r="AO44">
        <v>0</v>
      </c>
      <c r="AP44">
        <v>1000</v>
      </c>
      <c r="AT44">
        <v>0</v>
      </c>
      <c r="AU44" t="s">
        <v>1059</v>
      </c>
      <c r="AW44" t="s">
        <v>1053</v>
      </c>
      <c r="AX44">
        <v>0</v>
      </c>
      <c r="AY44" s="20">
        <v>40781</v>
      </c>
      <c r="BA44" s="20">
        <v>40781</v>
      </c>
      <c r="BB44" t="s">
        <v>1058</v>
      </c>
      <c r="BD44">
        <v>0</v>
      </c>
      <c r="BF44" t="s">
        <v>1043</v>
      </c>
      <c r="BG44" t="s">
        <v>1042</v>
      </c>
      <c r="BH44">
        <v>0</v>
      </c>
      <c r="BI44">
        <v>1</v>
      </c>
      <c r="BJ44">
        <v>0</v>
      </c>
      <c r="BK44">
        <v>0</v>
      </c>
      <c r="BM44" t="s">
        <v>1042</v>
      </c>
      <c r="BN44">
        <v>0</v>
      </c>
      <c r="BR44" t="s">
        <v>1043</v>
      </c>
      <c r="BS44" t="s">
        <v>1043</v>
      </c>
      <c r="BT44" t="s">
        <v>1043</v>
      </c>
      <c r="BW44">
        <v>83</v>
      </c>
      <c r="CA44">
        <v>0</v>
      </c>
      <c r="CB44" t="s">
        <v>1057</v>
      </c>
      <c r="CE44" t="s">
        <v>1043</v>
      </c>
      <c r="CH44" t="s">
        <v>1043</v>
      </c>
      <c r="CN44" t="s">
        <v>1056</v>
      </c>
      <c r="CO44" t="s">
        <v>1043</v>
      </c>
      <c r="CP44">
        <v>1</v>
      </c>
      <c r="CQ44">
        <v>0</v>
      </c>
      <c r="CS44">
        <v>0</v>
      </c>
      <c r="CT44">
        <v>0</v>
      </c>
      <c r="CU44">
        <v>0</v>
      </c>
      <c r="CV44" t="s">
        <v>1045</v>
      </c>
      <c r="CW44">
        <v>0</v>
      </c>
      <c r="CX44">
        <v>0</v>
      </c>
      <c r="CY44">
        <v>0</v>
      </c>
      <c r="CZ44">
        <v>0</v>
      </c>
      <c r="DB44">
        <v>0</v>
      </c>
      <c r="DC44" t="s">
        <v>1043</v>
      </c>
      <c r="DF44" t="s">
        <v>1055</v>
      </c>
      <c r="DH44">
        <v>0</v>
      </c>
      <c r="DJ44">
        <v>0</v>
      </c>
      <c r="DK44" t="s">
        <v>1053</v>
      </c>
      <c r="DL44">
        <v>0</v>
      </c>
      <c r="DN44">
        <v>0</v>
      </c>
      <c r="DO44" t="s">
        <v>1042</v>
      </c>
      <c r="DP44">
        <v>0</v>
      </c>
      <c r="DQ44">
        <v>0</v>
      </c>
      <c r="DS44">
        <v>0</v>
      </c>
      <c r="DU44">
        <v>0</v>
      </c>
      <c r="DW44">
        <v>0</v>
      </c>
      <c r="DX44" t="s">
        <v>1043</v>
      </c>
      <c r="DY44">
        <v>0</v>
      </c>
      <c r="DZ44">
        <v>0</v>
      </c>
      <c r="EA44">
        <v>0</v>
      </c>
      <c r="ED44" t="s">
        <v>1045</v>
      </c>
      <c r="EE44">
        <v>0</v>
      </c>
      <c r="EF44">
        <v>0</v>
      </c>
      <c r="EQ44" t="s">
        <v>1044</v>
      </c>
      <c r="ES44" t="s">
        <v>1053</v>
      </c>
      <c r="ET44">
        <v>0</v>
      </c>
      <c r="EV44">
        <v>0</v>
      </c>
      <c r="EY44" t="s">
        <v>1052</v>
      </c>
      <c r="EZ44">
        <v>0</v>
      </c>
      <c r="FA44" t="s">
        <v>1043</v>
      </c>
      <c r="FB44">
        <v>0</v>
      </c>
      <c r="FC44">
        <v>0</v>
      </c>
      <c r="FE44" t="s">
        <v>1050</v>
      </c>
      <c r="FF44">
        <v>0</v>
      </c>
      <c r="FG44" t="s">
        <v>1050</v>
      </c>
      <c r="FJ44">
        <v>0</v>
      </c>
      <c r="FK44">
        <v>0</v>
      </c>
      <c r="FP44">
        <v>0</v>
      </c>
      <c r="FR44">
        <v>0</v>
      </c>
      <c r="FS44" t="s">
        <v>1043</v>
      </c>
      <c r="FX44" t="s">
        <v>1042</v>
      </c>
      <c r="FZ44" t="s">
        <v>1048</v>
      </c>
      <c r="GA44">
        <v>0</v>
      </c>
      <c r="GB44" t="s">
        <v>1042</v>
      </c>
      <c r="GE44">
        <v>0</v>
      </c>
      <c r="GG44">
        <v>0</v>
      </c>
      <c r="GN44">
        <v>0</v>
      </c>
      <c r="GO44" t="s">
        <v>1063</v>
      </c>
      <c r="GQ44">
        <v>0</v>
      </c>
      <c r="GU44">
        <v>0</v>
      </c>
      <c r="GY44" t="s">
        <v>1045</v>
      </c>
      <c r="HB44">
        <v>0</v>
      </c>
      <c r="HE44">
        <v>0</v>
      </c>
      <c r="HF44">
        <v>0</v>
      </c>
      <c r="HG44">
        <v>0</v>
      </c>
      <c r="HK44" t="s">
        <v>1042</v>
      </c>
      <c r="HM44" t="s">
        <v>1047</v>
      </c>
      <c r="HN44">
        <v>0</v>
      </c>
      <c r="HP44">
        <v>0</v>
      </c>
      <c r="HQ44">
        <v>0</v>
      </c>
      <c r="HR44" t="s">
        <v>1042</v>
      </c>
      <c r="HS44" t="s">
        <v>1043</v>
      </c>
      <c r="HT44">
        <v>0</v>
      </c>
      <c r="HU44">
        <v>0</v>
      </c>
      <c r="HW44">
        <v>0</v>
      </c>
      <c r="HX44">
        <v>0</v>
      </c>
      <c r="HY44">
        <v>0</v>
      </c>
      <c r="HZ44" t="s">
        <v>1045</v>
      </c>
      <c r="IA44">
        <v>0</v>
      </c>
      <c r="IB44" t="s">
        <v>1045</v>
      </c>
      <c r="ID44" t="s">
        <v>1045</v>
      </c>
      <c r="IF44">
        <v>0</v>
      </c>
      <c r="IG44" t="s">
        <v>1042</v>
      </c>
      <c r="II44" t="s">
        <v>1042</v>
      </c>
      <c r="IR44" t="s">
        <v>1045</v>
      </c>
      <c r="IT44">
        <v>0</v>
      </c>
      <c r="IY44" t="s">
        <v>1044</v>
      </c>
      <c r="IZ44" t="s">
        <v>1043</v>
      </c>
      <c r="JC44" t="s">
        <v>1043</v>
      </c>
      <c r="JE44">
        <v>0</v>
      </c>
      <c r="JF44">
        <v>0</v>
      </c>
      <c r="JI44" t="s">
        <v>1042</v>
      </c>
      <c r="JJ44">
        <v>0</v>
      </c>
      <c r="JK44">
        <v>0</v>
      </c>
      <c r="JL44">
        <v>0</v>
      </c>
      <c r="JM44">
        <v>0</v>
      </c>
      <c r="JQ44" t="s">
        <v>1043</v>
      </c>
      <c r="JT44">
        <v>0</v>
      </c>
      <c r="JU44" t="s">
        <v>1042</v>
      </c>
      <c r="JW44">
        <v>0</v>
      </c>
      <c r="KA44">
        <v>0</v>
      </c>
      <c r="KF44">
        <v>0</v>
      </c>
      <c r="KG44">
        <v>0</v>
      </c>
      <c r="KH44">
        <v>0</v>
      </c>
      <c r="KI44">
        <v>0</v>
      </c>
      <c r="KS44" t="s">
        <v>1073</v>
      </c>
      <c r="KT44">
        <v>0</v>
      </c>
      <c r="KU44">
        <v>0</v>
      </c>
      <c r="KV44">
        <v>0</v>
      </c>
      <c r="KX44">
        <v>0</v>
      </c>
      <c r="KZ44">
        <v>0</v>
      </c>
      <c r="LF44">
        <v>0</v>
      </c>
      <c r="LH44">
        <v>0</v>
      </c>
      <c r="LI44">
        <v>0</v>
      </c>
    </row>
    <row r="45" spans="1:321" x14ac:dyDescent="0.35">
      <c r="A45">
        <v>1</v>
      </c>
      <c r="B45">
        <v>12287</v>
      </c>
      <c r="C45" t="s">
        <v>1667</v>
      </c>
      <c r="D45" t="s">
        <v>1139</v>
      </c>
      <c r="E45" t="s">
        <v>85</v>
      </c>
      <c r="F45">
        <v>80</v>
      </c>
      <c r="G45">
        <v>9000</v>
      </c>
      <c r="H45">
        <v>0</v>
      </c>
      <c r="I45" t="s">
        <v>1323</v>
      </c>
      <c r="L45">
        <v>0</v>
      </c>
      <c r="M45">
        <v>0</v>
      </c>
      <c r="N45">
        <v>0</v>
      </c>
      <c r="R45">
        <v>0</v>
      </c>
      <c r="S45">
        <v>0</v>
      </c>
      <c r="W45" t="s">
        <v>1060</v>
      </c>
      <c r="X45">
        <v>0</v>
      </c>
      <c r="Z45">
        <v>1</v>
      </c>
      <c r="AA45">
        <v>0</v>
      </c>
      <c r="AB45">
        <v>0</v>
      </c>
      <c r="AC45">
        <v>4.5426000000000002</v>
      </c>
      <c r="AD45" s="20">
        <v>40781</v>
      </c>
      <c r="AE45">
        <v>4.37</v>
      </c>
      <c r="AF45">
        <v>0</v>
      </c>
      <c r="AH45">
        <v>0</v>
      </c>
      <c r="AJ45">
        <v>0</v>
      </c>
      <c r="AL45">
        <v>0</v>
      </c>
      <c r="AM45">
        <v>0</v>
      </c>
      <c r="AN45">
        <v>16601001</v>
      </c>
      <c r="AO45">
        <v>0</v>
      </c>
      <c r="AP45">
        <v>1000</v>
      </c>
      <c r="AT45">
        <v>0</v>
      </c>
      <c r="AU45" t="s">
        <v>1059</v>
      </c>
      <c r="AW45" t="s">
        <v>1053</v>
      </c>
      <c r="AX45">
        <v>0</v>
      </c>
      <c r="AY45" s="20">
        <v>40781</v>
      </c>
      <c r="BA45" s="20">
        <v>40781</v>
      </c>
      <c r="BB45" t="s">
        <v>1058</v>
      </c>
      <c r="BD45">
        <v>0</v>
      </c>
      <c r="BF45" t="s">
        <v>1043</v>
      </c>
      <c r="BG45" t="s">
        <v>1042</v>
      </c>
      <c r="BH45">
        <v>0</v>
      </c>
      <c r="BI45">
        <v>1</v>
      </c>
      <c r="BJ45">
        <v>0</v>
      </c>
      <c r="BK45">
        <v>0</v>
      </c>
      <c r="BM45" t="s">
        <v>1042</v>
      </c>
      <c r="BN45">
        <v>0</v>
      </c>
      <c r="BR45" t="s">
        <v>1043</v>
      </c>
      <c r="BS45" t="s">
        <v>1043</v>
      </c>
      <c r="BT45" t="s">
        <v>1043</v>
      </c>
      <c r="BW45">
        <v>83</v>
      </c>
      <c r="CA45">
        <v>0</v>
      </c>
      <c r="CB45" t="s">
        <v>1057</v>
      </c>
      <c r="CE45" t="s">
        <v>1043</v>
      </c>
      <c r="CH45" t="s">
        <v>1043</v>
      </c>
      <c r="CN45" t="s">
        <v>1056</v>
      </c>
      <c r="CO45" t="s">
        <v>1043</v>
      </c>
      <c r="CP45">
        <v>1</v>
      </c>
      <c r="CQ45">
        <v>0</v>
      </c>
      <c r="CS45">
        <v>0</v>
      </c>
      <c r="CT45">
        <v>0</v>
      </c>
      <c r="CU45">
        <v>0</v>
      </c>
      <c r="CV45" t="s">
        <v>1045</v>
      </c>
      <c r="CW45">
        <v>0</v>
      </c>
      <c r="CX45">
        <v>0</v>
      </c>
      <c r="CY45">
        <v>0</v>
      </c>
      <c r="CZ45">
        <v>0</v>
      </c>
      <c r="DB45">
        <v>0</v>
      </c>
      <c r="DC45" t="s">
        <v>1043</v>
      </c>
      <c r="DF45" t="s">
        <v>1055</v>
      </c>
      <c r="DH45">
        <v>0</v>
      </c>
      <c r="DJ45">
        <v>0</v>
      </c>
      <c r="DK45" t="s">
        <v>1053</v>
      </c>
      <c r="DL45">
        <v>0</v>
      </c>
      <c r="DN45">
        <v>0</v>
      </c>
      <c r="DO45" t="s">
        <v>1042</v>
      </c>
      <c r="DP45">
        <v>0</v>
      </c>
      <c r="DQ45">
        <v>0</v>
      </c>
      <c r="DS45">
        <v>0</v>
      </c>
      <c r="DU45">
        <v>0</v>
      </c>
      <c r="DW45">
        <v>0</v>
      </c>
      <c r="DX45" t="s">
        <v>1043</v>
      </c>
      <c r="DY45">
        <v>0</v>
      </c>
      <c r="DZ45">
        <v>0</v>
      </c>
      <c r="EA45">
        <v>0</v>
      </c>
      <c r="ED45" t="s">
        <v>1045</v>
      </c>
      <c r="EE45">
        <v>0</v>
      </c>
      <c r="EF45">
        <v>0</v>
      </c>
      <c r="EQ45" t="s">
        <v>1044</v>
      </c>
      <c r="ES45" t="s">
        <v>1053</v>
      </c>
      <c r="ET45">
        <v>0</v>
      </c>
      <c r="EV45">
        <v>0</v>
      </c>
      <c r="EY45" t="s">
        <v>1052</v>
      </c>
      <c r="EZ45">
        <v>0</v>
      </c>
      <c r="FA45" t="s">
        <v>1043</v>
      </c>
      <c r="FB45">
        <v>0</v>
      </c>
      <c r="FC45">
        <v>0</v>
      </c>
      <c r="FE45" t="s">
        <v>1050</v>
      </c>
      <c r="FF45">
        <v>0</v>
      </c>
      <c r="FG45" t="s">
        <v>1050</v>
      </c>
      <c r="FJ45">
        <v>0</v>
      </c>
      <c r="FK45">
        <v>0</v>
      </c>
      <c r="FP45">
        <v>0</v>
      </c>
      <c r="FR45">
        <v>0</v>
      </c>
      <c r="FS45" t="s">
        <v>1043</v>
      </c>
      <c r="FX45" t="s">
        <v>1042</v>
      </c>
      <c r="FZ45" t="s">
        <v>1048</v>
      </c>
      <c r="GA45">
        <v>0</v>
      </c>
      <c r="GB45" t="s">
        <v>1042</v>
      </c>
      <c r="GE45">
        <v>0</v>
      </c>
      <c r="GG45">
        <v>0</v>
      </c>
      <c r="GN45">
        <v>0</v>
      </c>
      <c r="GO45" t="s">
        <v>1063</v>
      </c>
      <c r="GQ45">
        <v>0</v>
      </c>
      <c r="GU45">
        <v>0</v>
      </c>
      <c r="GY45" t="s">
        <v>1045</v>
      </c>
      <c r="HB45">
        <v>0</v>
      </c>
      <c r="HE45">
        <v>0</v>
      </c>
      <c r="HF45">
        <v>0</v>
      </c>
      <c r="HG45">
        <v>0</v>
      </c>
      <c r="HK45" t="s">
        <v>1042</v>
      </c>
      <c r="HM45" t="s">
        <v>1047</v>
      </c>
      <c r="HN45">
        <v>0</v>
      </c>
      <c r="HP45">
        <v>0</v>
      </c>
      <c r="HQ45">
        <v>0</v>
      </c>
      <c r="HR45" t="s">
        <v>1042</v>
      </c>
      <c r="HS45" t="s">
        <v>1043</v>
      </c>
      <c r="HT45">
        <v>0</v>
      </c>
      <c r="HU45">
        <v>0</v>
      </c>
      <c r="HW45">
        <v>0</v>
      </c>
      <c r="HX45">
        <v>0</v>
      </c>
      <c r="HY45">
        <v>0</v>
      </c>
      <c r="HZ45" t="s">
        <v>1045</v>
      </c>
      <c r="IA45">
        <v>0</v>
      </c>
      <c r="IB45" t="s">
        <v>1045</v>
      </c>
      <c r="ID45" t="s">
        <v>1045</v>
      </c>
      <c r="IF45">
        <v>0</v>
      </c>
      <c r="IG45" t="s">
        <v>1042</v>
      </c>
      <c r="II45" t="s">
        <v>1042</v>
      </c>
      <c r="IR45" t="s">
        <v>1045</v>
      </c>
      <c r="IT45">
        <v>0</v>
      </c>
      <c r="IY45" t="s">
        <v>1044</v>
      </c>
      <c r="IZ45" t="s">
        <v>1043</v>
      </c>
      <c r="JC45" t="s">
        <v>1043</v>
      </c>
      <c r="JE45">
        <v>0</v>
      </c>
      <c r="JF45">
        <v>0</v>
      </c>
      <c r="JI45" t="s">
        <v>1042</v>
      </c>
      <c r="JJ45">
        <v>0</v>
      </c>
      <c r="JK45">
        <v>0</v>
      </c>
      <c r="JL45">
        <v>0</v>
      </c>
      <c r="JM45">
        <v>0</v>
      </c>
      <c r="JQ45" t="s">
        <v>1043</v>
      </c>
      <c r="JT45">
        <v>0</v>
      </c>
      <c r="JU45" t="s">
        <v>1042</v>
      </c>
      <c r="JW45">
        <v>0</v>
      </c>
      <c r="KA45">
        <v>0</v>
      </c>
      <c r="KF45">
        <v>0</v>
      </c>
      <c r="KG45">
        <v>0</v>
      </c>
      <c r="KH45">
        <v>0</v>
      </c>
      <c r="KI45">
        <v>0</v>
      </c>
      <c r="KS45" t="s">
        <v>1073</v>
      </c>
      <c r="KT45">
        <v>0</v>
      </c>
      <c r="KU45">
        <v>0</v>
      </c>
      <c r="KV45">
        <v>0</v>
      </c>
      <c r="KX45">
        <v>0</v>
      </c>
      <c r="KZ45">
        <v>0</v>
      </c>
      <c r="LF45">
        <v>0</v>
      </c>
      <c r="LH45">
        <v>0</v>
      </c>
      <c r="LI45">
        <v>0</v>
      </c>
    </row>
    <row r="46" spans="1:321" x14ac:dyDescent="0.35">
      <c r="A46">
        <v>1</v>
      </c>
      <c r="B46">
        <v>12288</v>
      </c>
      <c r="C46" t="s">
        <v>1666</v>
      </c>
      <c r="D46" t="s">
        <v>1139</v>
      </c>
      <c r="E46" t="s">
        <v>85</v>
      </c>
      <c r="F46">
        <v>80</v>
      </c>
      <c r="G46">
        <v>9000</v>
      </c>
      <c r="H46">
        <v>0</v>
      </c>
      <c r="I46" t="s">
        <v>1323</v>
      </c>
      <c r="L46">
        <v>0</v>
      </c>
      <c r="M46">
        <v>0</v>
      </c>
      <c r="N46">
        <v>0</v>
      </c>
      <c r="R46">
        <v>0</v>
      </c>
      <c r="S46">
        <v>0</v>
      </c>
      <c r="W46" t="s">
        <v>1060</v>
      </c>
      <c r="X46">
        <v>0</v>
      </c>
      <c r="Z46">
        <v>1</v>
      </c>
      <c r="AA46">
        <v>0</v>
      </c>
      <c r="AB46">
        <v>0</v>
      </c>
      <c r="AC46">
        <v>4.5425000000000004</v>
      </c>
      <c r="AD46" s="20">
        <v>40689</v>
      </c>
      <c r="AE46">
        <v>4.37</v>
      </c>
      <c r="AF46">
        <v>0</v>
      </c>
      <c r="AH46">
        <v>0</v>
      </c>
      <c r="AJ46">
        <v>0</v>
      </c>
      <c r="AL46">
        <v>0</v>
      </c>
      <c r="AM46">
        <v>0</v>
      </c>
      <c r="AN46">
        <v>16601001</v>
      </c>
      <c r="AO46">
        <v>0</v>
      </c>
      <c r="AP46">
        <v>1000</v>
      </c>
      <c r="AT46">
        <v>0</v>
      </c>
      <c r="AU46" t="s">
        <v>1059</v>
      </c>
      <c r="AW46" t="s">
        <v>1053</v>
      </c>
      <c r="AX46">
        <v>0</v>
      </c>
      <c r="AY46" s="20">
        <v>40781</v>
      </c>
      <c r="BA46" s="20">
        <v>40781</v>
      </c>
      <c r="BB46" t="s">
        <v>1058</v>
      </c>
      <c r="BD46">
        <v>0</v>
      </c>
      <c r="BF46" t="s">
        <v>1043</v>
      </c>
      <c r="BG46" t="s">
        <v>1042</v>
      </c>
      <c r="BH46">
        <v>0</v>
      </c>
      <c r="BI46">
        <v>1</v>
      </c>
      <c r="BJ46">
        <v>0</v>
      </c>
      <c r="BK46">
        <v>0</v>
      </c>
      <c r="BM46" t="s">
        <v>1042</v>
      </c>
      <c r="BN46">
        <v>0</v>
      </c>
      <c r="BR46" t="s">
        <v>1043</v>
      </c>
      <c r="BS46" t="s">
        <v>1043</v>
      </c>
      <c r="BT46" t="s">
        <v>1043</v>
      </c>
      <c r="BW46">
        <v>83</v>
      </c>
      <c r="CA46">
        <v>0</v>
      </c>
      <c r="CB46" t="s">
        <v>1057</v>
      </c>
      <c r="CE46" t="s">
        <v>1043</v>
      </c>
      <c r="CH46" t="s">
        <v>1043</v>
      </c>
      <c r="CN46" t="s">
        <v>1056</v>
      </c>
      <c r="CO46" t="s">
        <v>1043</v>
      </c>
      <c r="CP46">
        <v>1</v>
      </c>
      <c r="CQ46">
        <v>0</v>
      </c>
      <c r="CS46">
        <v>0</v>
      </c>
      <c r="CT46">
        <v>0</v>
      </c>
      <c r="CU46">
        <v>0</v>
      </c>
      <c r="CV46" t="s">
        <v>1045</v>
      </c>
      <c r="CW46">
        <v>0</v>
      </c>
      <c r="CX46">
        <v>0</v>
      </c>
      <c r="CY46">
        <v>0</v>
      </c>
      <c r="CZ46">
        <v>0</v>
      </c>
      <c r="DB46">
        <v>0</v>
      </c>
      <c r="DC46" t="s">
        <v>1043</v>
      </c>
      <c r="DF46" t="s">
        <v>1055</v>
      </c>
      <c r="DH46">
        <v>0</v>
      </c>
      <c r="DJ46">
        <v>0</v>
      </c>
      <c r="DK46" t="s">
        <v>1053</v>
      </c>
      <c r="DL46">
        <v>0</v>
      </c>
      <c r="DN46">
        <v>0</v>
      </c>
      <c r="DO46" t="s">
        <v>1042</v>
      </c>
      <c r="DP46">
        <v>0</v>
      </c>
      <c r="DQ46">
        <v>0</v>
      </c>
      <c r="DS46">
        <v>0</v>
      </c>
      <c r="DU46">
        <v>0</v>
      </c>
      <c r="DW46">
        <v>0</v>
      </c>
      <c r="DX46" t="s">
        <v>1043</v>
      </c>
      <c r="DY46">
        <v>0</v>
      </c>
      <c r="DZ46">
        <v>0</v>
      </c>
      <c r="EA46">
        <v>0</v>
      </c>
      <c r="ED46" t="s">
        <v>1045</v>
      </c>
      <c r="EE46">
        <v>0</v>
      </c>
      <c r="EF46">
        <v>0</v>
      </c>
      <c r="EQ46" t="s">
        <v>1044</v>
      </c>
      <c r="ES46" t="s">
        <v>1053</v>
      </c>
      <c r="ET46">
        <v>0</v>
      </c>
      <c r="EV46">
        <v>0</v>
      </c>
      <c r="EY46" t="s">
        <v>1052</v>
      </c>
      <c r="EZ46">
        <v>0</v>
      </c>
      <c r="FA46" t="s">
        <v>1043</v>
      </c>
      <c r="FB46">
        <v>0</v>
      </c>
      <c r="FC46">
        <v>0</v>
      </c>
      <c r="FE46" t="s">
        <v>1050</v>
      </c>
      <c r="FF46">
        <v>0</v>
      </c>
      <c r="FG46" t="s">
        <v>1050</v>
      </c>
      <c r="FJ46">
        <v>0</v>
      </c>
      <c r="FK46">
        <v>0</v>
      </c>
      <c r="FP46">
        <v>0</v>
      </c>
      <c r="FR46">
        <v>0</v>
      </c>
      <c r="FS46" t="s">
        <v>1043</v>
      </c>
      <c r="FX46" t="s">
        <v>1042</v>
      </c>
      <c r="FZ46" t="s">
        <v>1048</v>
      </c>
      <c r="GA46">
        <v>0</v>
      </c>
      <c r="GB46" t="s">
        <v>1042</v>
      </c>
      <c r="GE46">
        <v>0</v>
      </c>
      <c r="GG46">
        <v>0</v>
      </c>
      <c r="GN46">
        <v>0</v>
      </c>
      <c r="GO46" t="s">
        <v>1063</v>
      </c>
      <c r="GQ46">
        <v>0</v>
      </c>
      <c r="GU46">
        <v>0</v>
      </c>
      <c r="GY46" t="s">
        <v>1045</v>
      </c>
      <c r="HB46">
        <v>0</v>
      </c>
      <c r="HE46">
        <v>0</v>
      </c>
      <c r="HF46">
        <v>0</v>
      </c>
      <c r="HG46">
        <v>0</v>
      </c>
      <c r="HK46" t="s">
        <v>1042</v>
      </c>
      <c r="HM46" t="s">
        <v>1047</v>
      </c>
      <c r="HN46">
        <v>0</v>
      </c>
      <c r="HP46">
        <v>0</v>
      </c>
      <c r="HQ46">
        <v>0</v>
      </c>
      <c r="HR46" t="s">
        <v>1042</v>
      </c>
      <c r="HS46" t="s">
        <v>1043</v>
      </c>
      <c r="HT46">
        <v>0</v>
      </c>
      <c r="HU46">
        <v>0</v>
      </c>
      <c r="HW46">
        <v>0</v>
      </c>
      <c r="HX46">
        <v>0</v>
      </c>
      <c r="HY46">
        <v>0</v>
      </c>
      <c r="HZ46" t="s">
        <v>1045</v>
      </c>
      <c r="IA46">
        <v>0</v>
      </c>
      <c r="IB46" t="s">
        <v>1045</v>
      </c>
      <c r="ID46" t="s">
        <v>1045</v>
      </c>
      <c r="IF46">
        <v>0</v>
      </c>
      <c r="IG46" t="s">
        <v>1042</v>
      </c>
      <c r="II46" t="s">
        <v>1042</v>
      </c>
      <c r="IR46" t="s">
        <v>1045</v>
      </c>
      <c r="IT46">
        <v>0</v>
      </c>
      <c r="IY46" t="s">
        <v>1044</v>
      </c>
      <c r="IZ46" t="s">
        <v>1043</v>
      </c>
      <c r="JC46" t="s">
        <v>1043</v>
      </c>
      <c r="JE46">
        <v>0</v>
      </c>
      <c r="JF46">
        <v>0</v>
      </c>
      <c r="JI46" t="s">
        <v>1042</v>
      </c>
      <c r="JJ46">
        <v>0</v>
      </c>
      <c r="JK46">
        <v>0</v>
      </c>
      <c r="JL46">
        <v>0</v>
      </c>
      <c r="JM46">
        <v>0</v>
      </c>
      <c r="JQ46" t="s">
        <v>1043</v>
      </c>
      <c r="JT46">
        <v>0</v>
      </c>
      <c r="JU46" t="s">
        <v>1042</v>
      </c>
      <c r="JW46">
        <v>0</v>
      </c>
      <c r="KA46">
        <v>0</v>
      </c>
      <c r="KF46">
        <v>0</v>
      </c>
      <c r="KG46">
        <v>0</v>
      </c>
      <c r="KH46">
        <v>0</v>
      </c>
      <c r="KI46">
        <v>0</v>
      </c>
      <c r="KS46" t="s">
        <v>1073</v>
      </c>
      <c r="KT46">
        <v>0</v>
      </c>
      <c r="KU46">
        <v>0</v>
      </c>
      <c r="KV46">
        <v>0</v>
      </c>
      <c r="KX46">
        <v>0</v>
      </c>
      <c r="KZ46">
        <v>0</v>
      </c>
      <c r="LF46">
        <v>0</v>
      </c>
      <c r="LH46">
        <v>0</v>
      </c>
      <c r="LI46">
        <v>0</v>
      </c>
    </row>
    <row r="47" spans="1:321" x14ac:dyDescent="0.35">
      <c r="A47">
        <v>1</v>
      </c>
      <c r="B47">
        <v>12289</v>
      </c>
      <c r="C47" t="s">
        <v>1665</v>
      </c>
      <c r="D47" t="s">
        <v>1139</v>
      </c>
      <c r="E47" t="s">
        <v>1165</v>
      </c>
      <c r="F47">
        <v>80</v>
      </c>
      <c r="G47">
        <v>9000</v>
      </c>
      <c r="H47">
        <v>0</v>
      </c>
      <c r="I47" t="s">
        <v>1663</v>
      </c>
      <c r="L47">
        <v>0</v>
      </c>
      <c r="M47">
        <v>0</v>
      </c>
      <c r="N47">
        <v>0</v>
      </c>
      <c r="R47">
        <v>0</v>
      </c>
      <c r="S47">
        <v>0</v>
      </c>
      <c r="W47" t="s">
        <v>1060</v>
      </c>
      <c r="X47">
        <v>0</v>
      </c>
      <c r="Z47">
        <v>1</v>
      </c>
      <c r="AA47">
        <v>0</v>
      </c>
      <c r="AB47">
        <v>0</v>
      </c>
      <c r="AC47">
        <v>21500</v>
      </c>
      <c r="AD47" t="s">
        <v>1042</v>
      </c>
      <c r="AE47">
        <v>0</v>
      </c>
      <c r="AF47">
        <v>0</v>
      </c>
      <c r="AH47">
        <v>0</v>
      </c>
      <c r="AJ47">
        <v>0</v>
      </c>
      <c r="AL47">
        <v>0</v>
      </c>
      <c r="AM47">
        <v>0</v>
      </c>
      <c r="AN47">
        <v>16601001</v>
      </c>
      <c r="AO47">
        <v>0</v>
      </c>
      <c r="AP47">
        <v>1000</v>
      </c>
      <c r="AT47">
        <v>0</v>
      </c>
      <c r="AU47" t="s">
        <v>1059</v>
      </c>
      <c r="AW47" t="s">
        <v>1053</v>
      </c>
      <c r="AX47">
        <v>0</v>
      </c>
      <c r="AY47" s="20">
        <v>40779</v>
      </c>
      <c r="BA47" s="20">
        <v>40779</v>
      </c>
      <c r="BB47" t="s">
        <v>1058</v>
      </c>
      <c r="BD47">
        <v>0</v>
      </c>
      <c r="BF47" t="s">
        <v>1043</v>
      </c>
      <c r="BG47" t="s">
        <v>1042</v>
      </c>
      <c r="BH47">
        <v>0</v>
      </c>
      <c r="BI47">
        <v>1</v>
      </c>
      <c r="BJ47">
        <v>0</v>
      </c>
      <c r="BK47">
        <v>0</v>
      </c>
      <c r="BM47" t="s">
        <v>1042</v>
      </c>
      <c r="BN47">
        <v>0</v>
      </c>
      <c r="BR47" t="s">
        <v>1043</v>
      </c>
      <c r="BS47" t="s">
        <v>1043</v>
      </c>
      <c r="BT47" t="s">
        <v>1043</v>
      </c>
      <c r="BW47">
        <v>83</v>
      </c>
      <c r="CA47">
        <v>0</v>
      </c>
      <c r="CB47" t="s">
        <v>1057</v>
      </c>
      <c r="CE47" t="s">
        <v>1043</v>
      </c>
      <c r="CH47" t="s">
        <v>1043</v>
      </c>
      <c r="CN47" t="s">
        <v>1056</v>
      </c>
      <c r="CO47" t="s">
        <v>1043</v>
      </c>
      <c r="CP47">
        <v>1</v>
      </c>
      <c r="CQ47">
        <v>0</v>
      </c>
      <c r="CS47">
        <v>0</v>
      </c>
      <c r="CT47">
        <v>0</v>
      </c>
      <c r="CU47">
        <v>0</v>
      </c>
      <c r="CV47" t="s">
        <v>1045</v>
      </c>
      <c r="CW47">
        <v>0</v>
      </c>
      <c r="CX47">
        <v>0</v>
      </c>
      <c r="CY47">
        <v>0</v>
      </c>
      <c r="CZ47">
        <v>0</v>
      </c>
      <c r="DB47">
        <v>0</v>
      </c>
      <c r="DC47" t="s">
        <v>1043</v>
      </c>
      <c r="DF47" t="s">
        <v>1055</v>
      </c>
      <c r="DH47">
        <v>0</v>
      </c>
      <c r="DJ47">
        <v>0</v>
      </c>
      <c r="DK47" t="s">
        <v>1053</v>
      </c>
      <c r="DL47">
        <v>0</v>
      </c>
      <c r="DN47">
        <v>0</v>
      </c>
      <c r="DO47" t="s">
        <v>1042</v>
      </c>
      <c r="DP47">
        <v>0</v>
      </c>
      <c r="DQ47">
        <v>0</v>
      </c>
      <c r="DS47">
        <v>0</v>
      </c>
      <c r="DU47">
        <v>0</v>
      </c>
      <c r="DW47">
        <v>0</v>
      </c>
      <c r="DX47" t="s">
        <v>1043</v>
      </c>
      <c r="DY47">
        <v>0</v>
      </c>
      <c r="DZ47">
        <v>0</v>
      </c>
      <c r="EA47">
        <v>0</v>
      </c>
      <c r="ED47" t="s">
        <v>1045</v>
      </c>
      <c r="EE47">
        <v>0</v>
      </c>
      <c r="EF47">
        <v>0</v>
      </c>
      <c r="EQ47" t="s">
        <v>1044</v>
      </c>
      <c r="ES47" t="s">
        <v>1053</v>
      </c>
      <c r="ET47">
        <v>0</v>
      </c>
      <c r="EV47">
        <v>0</v>
      </c>
      <c r="EY47" t="s">
        <v>1052</v>
      </c>
      <c r="EZ47">
        <v>0</v>
      </c>
      <c r="FA47" t="s">
        <v>1043</v>
      </c>
      <c r="FB47">
        <v>0</v>
      </c>
      <c r="FC47">
        <v>0</v>
      </c>
      <c r="FE47" t="s">
        <v>1050</v>
      </c>
      <c r="FF47">
        <v>0</v>
      </c>
      <c r="FG47" t="s">
        <v>1050</v>
      </c>
      <c r="FJ47">
        <v>0</v>
      </c>
      <c r="FK47">
        <v>0</v>
      </c>
      <c r="FP47">
        <v>0</v>
      </c>
      <c r="FR47">
        <v>0</v>
      </c>
      <c r="FS47" t="s">
        <v>1043</v>
      </c>
      <c r="FX47" t="s">
        <v>1042</v>
      </c>
      <c r="FZ47" t="s">
        <v>1048</v>
      </c>
      <c r="GA47">
        <v>0</v>
      </c>
      <c r="GB47" t="s">
        <v>1042</v>
      </c>
      <c r="GE47">
        <v>0</v>
      </c>
      <c r="GG47">
        <v>0</v>
      </c>
      <c r="GN47">
        <v>0</v>
      </c>
      <c r="GO47" t="s">
        <v>1063</v>
      </c>
      <c r="GQ47">
        <v>0</v>
      </c>
      <c r="GU47">
        <v>0</v>
      </c>
      <c r="GY47" t="s">
        <v>1045</v>
      </c>
      <c r="HB47">
        <v>0</v>
      </c>
      <c r="HE47">
        <v>0</v>
      </c>
      <c r="HF47">
        <v>0</v>
      </c>
      <c r="HG47">
        <v>0</v>
      </c>
      <c r="HK47" t="s">
        <v>1042</v>
      </c>
      <c r="HM47" t="s">
        <v>1047</v>
      </c>
      <c r="HN47">
        <v>0</v>
      </c>
      <c r="HP47">
        <v>0</v>
      </c>
      <c r="HQ47">
        <v>0</v>
      </c>
      <c r="HR47" t="s">
        <v>1042</v>
      </c>
      <c r="HS47" t="s">
        <v>1043</v>
      </c>
      <c r="HT47">
        <v>0</v>
      </c>
      <c r="HU47">
        <v>0</v>
      </c>
      <c r="HW47">
        <v>0</v>
      </c>
      <c r="HX47">
        <v>0</v>
      </c>
      <c r="HY47">
        <v>0</v>
      </c>
      <c r="HZ47" t="s">
        <v>1045</v>
      </c>
      <c r="IA47">
        <v>0</v>
      </c>
      <c r="IB47" t="s">
        <v>1045</v>
      </c>
      <c r="ID47" t="s">
        <v>1045</v>
      </c>
      <c r="IF47">
        <v>0</v>
      </c>
      <c r="IG47" t="s">
        <v>1042</v>
      </c>
      <c r="II47" t="s">
        <v>1042</v>
      </c>
      <c r="IR47" t="s">
        <v>1045</v>
      </c>
      <c r="IT47">
        <v>0</v>
      </c>
      <c r="IY47" t="s">
        <v>1044</v>
      </c>
      <c r="IZ47" t="s">
        <v>1043</v>
      </c>
      <c r="JC47" t="s">
        <v>1043</v>
      </c>
      <c r="JE47">
        <v>0</v>
      </c>
      <c r="JF47">
        <v>0</v>
      </c>
      <c r="JI47" t="s">
        <v>1042</v>
      </c>
      <c r="JJ47">
        <v>0</v>
      </c>
      <c r="JK47">
        <v>0</v>
      </c>
      <c r="JL47">
        <v>0</v>
      </c>
      <c r="JM47">
        <v>0</v>
      </c>
      <c r="JQ47" t="s">
        <v>1043</v>
      </c>
      <c r="JT47">
        <v>0</v>
      </c>
      <c r="JU47" t="s">
        <v>1042</v>
      </c>
      <c r="JW47">
        <v>0</v>
      </c>
      <c r="KA47">
        <v>0</v>
      </c>
      <c r="KF47">
        <v>0</v>
      </c>
      <c r="KG47">
        <v>0</v>
      </c>
      <c r="KH47">
        <v>0</v>
      </c>
      <c r="KI47">
        <v>0</v>
      </c>
      <c r="KS47" t="s">
        <v>1073</v>
      </c>
      <c r="KT47">
        <v>0</v>
      </c>
      <c r="KU47">
        <v>0</v>
      </c>
      <c r="KV47">
        <v>0</v>
      </c>
      <c r="KX47">
        <v>0</v>
      </c>
      <c r="KZ47">
        <v>0</v>
      </c>
      <c r="LF47">
        <v>0</v>
      </c>
      <c r="LH47">
        <v>0</v>
      </c>
      <c r="LI47">
        <v>0</v>
      </c>
    </row>
    <row r="48" spans="1:321" x14ac:dyDescent="0.35">
      <c r="A48">
        <v>1</v>
      </c>
      <c r="B48">
        <v>1229</v>
      </c>
      <c r="C48" t="s">
        <v>1039</v>
      </c>
      <c r="D48" t="s">
        <v>1061</v>
      </c>
      <c r="E48" t="s">
        <v>587</v>
      </c>
      <c r="F48">
        <v>1</v>
      </c>
      <c r="G48">
        <v>160</v>
      </c>
      <c r="H48">
        <v>0</v>
      </c>
      <c r="I48" t="s">
        <v>991</v>
      </c>
      <c r="L48">
        <v>0</v>
      </c>
      <c r="M48">
        <v>0</v>
      </c>
      <c r="N48">
        <v>0</v>
      </c>
      <c r="Q48">
        <v>516</v>
      </c>
      <c r="R48">
        <v>0</v>
      </c>
      <c r="S48">
        <v>0</v>
      </c>
      <c r="W48" t="s">
        <v>1060</v>
      </c>
      <c r="X48">
        <v>0</v>
      </c>
      <c r="Z48">
        <v>10</v>
      </c>
      <c r="AA48">
        <v>30.900300000000001</v>
      </c>
      <c r="AB48">
        <v>1429</v>
      </c>
      <c r="AC48">
        <v>0.71389999999999998</v>
      </c>
      <c r="AD48" t="s">
        <v>1042</v>
      </c>
      <c r="AE48">
        <v>0</v>
      </c>
      <c r="AF48">
        <v>0.1</v>
      </c>
      <c r="AH48">
        <v>141</v>
      </c>
      <c r="AJ48">
        <v>1</v>
      </c>
      <c r="AK48" t="s">
        <v>1154</v>
      </c>
      <c r="AL48">
        <v>5960</v>
      </c>
      <c r="AM48">
        <v>87</v>
      </c>
      <c r="AN48">
        <v>11501001</v>
      </c>
      <c r="AO48">
        <v>0</v>
      </c>
      <c r="AP48">
        <v>1001</v>
      </c>
      <c r="AT48">
        <v>1</v>
      </c>
      <c r="AU48" t="s">
        <v>1059</v>
      </c>
      <c r="AV48" t="s">
        <v>1043</v>
      </c>
      <c r="AW48" t="s">
        <v>1053</v>
      </c>
      <c r="AX48">
        <v>5</v>
      </c>
      <c r="AY48" s="20">
        <v>43274</v>
      </c>
      <c r="BA48" s="20">
        <v>44525</v>
      </c>
      <c r="BB48" t="s">
        <v>1058</v>
      </c>
      <c r="BD48">
        <v>0</v>
      </c>
      <c r="BF48" t="s">
        <v>1044</v>
      </c>
      <c r="BG48" s="20">
        <v>42705</v>
      </c>
      <c r="BH48">
        <v>0</v>
      </c>
      <c r="BI48">
        <v>33</v>
      </c>
      <c r="BJ48">
        <v>0</v>
      </c>
      <c r="BK48">
        <v>0</v>
      </c>
      <c r="BM48" s="20">
        <v>42739</v>
      </c>
      <c r="BN48">
        <v>0</v>
      </c>
      <c r="BO48">
        <v>7897801317139</v>
      </c>
      <c r="BR48" t="s">
        <v>1043</v>
      </c>
      <c r="BS48" t="s">
        <v>1043</v>
      </c>
      <c r="BT48" t="s">
        <v>1043</v>
      </c>
      <c r="BV48">
        <v>1</v>
      </c>
      <c r="BW48">
        <v>30</v>
      </c>
      <c r="BY48">
        <v>66</v>
      </c>
      <c r="CA48">
        <v>0</v>
      </c>
      <c r="CB48" t="s">
        <v>1043</v>
      </c>
      <c r="CE48" t="s">
        <v>1043</v>
      </c>
      <c r="CH48" t="s">
        <v>1043</v>
      </c>
      <c r="CI48" t="s">
        <v>1383</v>
      </c>
      <c r="CK48" t="s">
        <v>1152</v>
      </c>
      <c r="CN48" t="s">
        <v>1056</v>
      </c>
      <c r="CP48">
        <v>1</v>
      </c>
      <c r="CQ48">
        <v>0</v>
      </c>
      <c r="CS48">
        <v>0</v>
      </c>
      <c r="CT48">
        <v>0</v>
      </c>
      <c r="CU48">
        <v>0</v>
      </c>
      <c r="CV48" t="s">
        <v>1045</v>
      </c>
      <c r="CW48">
        <v>0</v>
      </c>
      <c r="CX48">
        <v>0</v>
      </c>
      <c r="CY48">
        <v>0</v>
      </c>
      <c r="CZ48">
        <v>0</v>
      </c>
      <c r="DA48">
        <v>105</v>
      </c>
      <c r="DB48">
        <v>0</v>
      </c>
      <c r="DH48">
        <v>0</v>
      </c>
      <c r="DJ48">
        <v>0</v>
      </c>
      <c r="DL48">
        <v>0</v>
      </c>
      <c r="DN48">
        <v>0</v>
      </c>
      <c r="DO48" t="s">
        <v>1042</v>
      </c>
      <c r="DP48">
        <v>0</v>
      </c>
      <c r="DQ48">
        <v>7.6</v>
      </c>
      <c r="DS48">
        <v>0</v>
      </c>
      <c r="DU48">
        <v>1.65</v>
      </c>
      <c r="DW48">
        <v>0</v>
      </c>
      <c r="DY48">
        <v>0</v>
      </c>
      <c r="DZ48">
        <v>0</v>
      </c>
      <c r="EA48">
        <v>0</v>
      </c>
      <c r="EB48">
        <v>17897801317136</v>
      </c>
      <c r="EE48">
        <v>0</v>
      </c>
      <c r="EF48">
        <v>0</v>
      </c>
      <c r="EL48">
        <v>57897801317134</v>
      </c>
      <c r="EN48" t="s">
        <v>1511</v>
      </c>
      <c r="EO48" t="s">
        <v>1044</v>
      </c>
      <c r="ET48">
        <v>0</v>
      </c>
      <c r="EV48">
        <v>0</v>
      </c>
      <c r="EY48" t="s">
        <v>1052</v>
      </c>
      <c r="EZ48">
        <v>0</v>
      </c>
      <c r="FA48" t="s">
        <v>1043</v>
      </c>
      <c r="FB48">
        <v>0</v>
      </c>
      <c r="FC48">
        <v>0</v>
      </c>
      <c r="FD48" t="s">
        <v>1051</v>
      </c>
      <c r="FE48" t="s">
        <v>1050</v>
      </c>
      <c r="FF48">
        <v>0</v>
      </c>
      <c r="FG48" t="s">
        <v>1050</v>
      </c>
      <c r="FH48">
        <v>27897801317133</v>
      </c>
      <c r="FJ48">
        <v>0</v>
      </c>
      <c r="FK48">
        <v>0</v>
      </c>
      <c r="FP48">
        <v>0</v>
      </c>
      <c r="FR48">
        <v>0</v>
      </c>
      <c r="FS48" t="s">
        <v>1043</v>
      </c>
      <c r="FX48" t="s">
        <v>1042</v>
      </c>
      <c r="GA48">
        <v>0</v>
      </c>
      <c r="GB48" t="s">
        <v>1042</v>
      </c>
      <c r="GD48">
        <v>16</v>
      </c>
      <c r="GE48">
        <v>0</v>
      </c>
      <c r="GG48">
        <v>0</v>
      </c>
      <c r="GN48">
        <v>0</v>
      </c>
      <c r="GO48" t="s">
        <v>1049</v>
      </c>
      <c r="GQ48">
        <v>0</v>
      </c>
      <c r="GU48">
        <v>4</v>
      </c>
      <c r="GY48" t="s">
        <v>1045</v>
      </c>
      <c r="HB48">
        <v>0</v>
      </c>
      <c r="HE48">
        <v>0</v>
      </c>
      <c r="HF48">
        <v>0</v>
      </c>
      <c r="HG48">
        <v>2.4E-2</v>
      </c>
      <c r="HK48" t="s">
        <v>1042</v>
      </c>
      <c r="HL48" t="s">
        <v>1048</v>
      </c>
      <c r="HM48">
        <v>0</v>
      </c>
      <c r="HN48">
        <v>0</v>
      </c>
      <c r="HO48">
        <v>24</v>
      </c>
      <c r="HP48">
        <v>8.0699999999999994E-2</v>
      </c>
      <c r="HQ48">
        <v>0</v>
      </c>
      <c r="HR48" t="s">
        <v>1042</v>
      </c>
      <c r="HT48">
        <v>0</v>
      </c>
      <c r="HU48">
        <v>0</v>
      </c>
      <c r="HW48">
        <v>0</v>
      </c>
      <c r="HX48">
        <v>4467</v>
      </c>
      <c r="HY48">
        <v>0</v>
      </c>
      <c r="IA48">
        <v>0</v>
      </c>
      <c r="IF48">
        <v>720</v>
      </c>
      <c r="IG48" s="20">
        <v>42709</v>
      </c>
      <c r="IH48" t="s">
        <v>1046</v>
      </c>
      <c r="II48" t="s">
        <v>1042</v>
      </c>
      <c r="IR48" t="s">
        <v>1045</v>
      </c>
      <c r="IT48">
        <v>0</v>
      </c>
      <c r="JE48">
        <v>0</v>
      </c>
      <c r="JF48">
        <v>0</v>
      </c>
      <c r="JI48" t="s">
        <v>1042</v>
      </c>
      <c r="JJ48">
        <v>0</v>
      </c>
      <c r="JK48">
        <v>0</v>
      </c>
      <c r="JL48">
        <v>0</v>
      </c>
      <c r="JM48">
        <v>0</v>
      </c>
      <c r="JT48">
        <v>0</v>
      </c>
      <c r="JU48" t="s">
        <v>1042</v>
      </c>
      <c r="JW48">
        <v>0</v>
      </c>
      <c r="KA48">
        <v>0</v>
      </c>
      <c r="KF48">
        <v>0</v>
      </c>
      <c r="KG48">
        <v>0</v>
      </c>
      <c r="KH48">
        <v>0</v>
      </c>
      <c r="KI48">
        <v>0</v>
      </c>
      <c r="KS48" t="s">
        <v>1041</v>
      </c>
      <c r="KT48">
        <v>0</v>
      </c>
      <c r="KU48">
        <v>0</v>
      </c>
      <c r="KV48">
        <v>0</v>
      </c>
      <c r="KX48">
        <v>0</v>
      </c>
      <c r="KZ48">
        <v>0</v>
      </c>
      <c r="LF48">
        <v>0</v>
      </c>
      <c r="LH48">
        <v>34944</v>
      </c>
      <c r="LI48">
        <v>0</v>
      </c>
    </row>
    <row r="49" spans="1:321" x14ac:dyDescent="0.35">
      <c r="A49">
        <v>1</v>
      </c>
      <c r="B49">
        <v>12290</v>
      </c>
      <c r="C49" t="s">
        <v>1664</v>
      </c>
      <c r="D49" t="s">
        <v>1139</v>
      </c>
      <c r="E49" t="s">
        <v>1165</v>
      </c>
      <c r="F49">
        <v>80</v>
      </c>
      <c r="G49">
        <v>9000</v>
      </c>
      <c r="H49">
        <v>0</v>
      </c>
      <c r="I49" t="s">
        <v>1663</v>
      </c>
      <c r="L49">
        <v>0</v>
      </c>
      <c r="M49">
        <v>0</v>
      </c>
      <c r="N49">
        <v>0</v>
      </c>
      <c r="R49">
        <v>0</v>
      </c>
      <c r="S49">
        <v>0</v>
      </c>
      <c r="W49" t="s">
        <v>1060</v>
      </c>
      <c r="X49">
        <v>0</v>
      </c>
      <c r="Z49">
        <v>1</v>
      </c>
      <c r="AA49">
        <v>0</v>
      </c>
      <c r="AB49">
        <v>0</v>
      </c>
      <c r="AC49">
        <v>33300</v>
      </c>
      <c r="AD49" t="s">
        <v>1042</v>
      </c>
      <c r="AE49">
        <v>0</v>
      </c>
      <c r="AF49">
        <v>0</v>
      </c>
      <c r="AH49">
        <v>0</v>
      </c>
      <c r="AJ49">
        <v>0</v>
      </c>
      <c r="AL49">
        <v>0</v>
      </c>
      <c r="AM49">
        <v>0</v>
      </c>
      <c r="AN49">
        <v>16601001</v>
      </c>
      <c r="AO49">
        <v>0</v>
      </c>
      <c r="AP49">
        <v>1000</v>
      </c>
      <c r="AT49">
        <v>0</v>
      </c>
      <c r="AU49" t="s">
        <v>1059</v>
      </c>
      <c r="AW49" t="s">
        <v>1053</v>
      </c>
      <c r="AX49">
        <v>0</v>
      </c>
      <c r="AY49" s="20">
        <v>40779</v>
      </c>
      <c r="BA49" s="20">
        <v>40779</v>
      </c>
      <c r="BB49" t="s">
        <v>1058</v>
      </c>
      <c r="BD49">
        <v>0</v>
      </c>
      <c r="BF49" t="s">
        <v>1043</v>
      </c>
      <c r="BG49" t="s">
        <v>1042</v>
      </c>
      <c r="BH49">
        <v>0</v>
      </c>
      <c r="BI49">
        <v>1</v>
      </c>
      <c r="BJ49">
        <v>0</v>
      </c>
      <c r="BK49">
        <v>0</v>
      </c>
      <c r="BM49" t="s">
        <v>1042</v>
      </c>
      <c r="BN49">
        <v>0</v>
      </c>
      <c r="BR49" t="s">
        <v>1043</v>
      </c>
      <c r="BS49" t="s">
        <v>1043</v>
      </c>
      <c r="BT49" t="s">
        <v>1043</v>
      </c>
      <c r="BW49">
        <v>83</v>
      </c>
      <c r="CA49">
        <v>0</v>
      </c>
      <c r="CB49" t="s">
        <v>1057</v>
      </c>
      <c r="CE49" t="s">
        <v>1043</v>
      </c>
      <c r="CH49" t="s">
        <v>1043</v>
      </c>
      <c r="CN49" t="s">
        <v>1056</v>
      </c>
      <c r="CO49" t="s">
        <v>1043</v>
      </c>
      <c r="CP49">
        <v>1</v>
      </c>
      <c r="CQ49">
        <v>0</v>
      </c>
      <c r="CS49">
        <v>0</v>
      </c>
      <c r="CT49">
        <v>0</v>
      </c>
      <c r="CU49">
        <v>0</v>
      </c>
      <c r="CV49" t="s">
        <v>1045</v>
      </c>
      <c r="CW49">
        <v>0</v>
      </c>
      <c r="CX49">
        <v>0</v>
      </c>
      <c r="CY49">
        <v>0</v>
      </c>
      <c r="CZ49">
        <v>0</v>
      </c>
      <c r="DB49">
        <v>0</v>
      </c>
      <c r="DC49" t="s">
        <v>1043</v>
      </c>
      <c r="DF49" t="s">
        <v>1055</v>
      </c>
      <c r="DH49">
        <v>0</v>
      </c>
      <c r="DJ49">
        <v>0</v>
      </c>
      <c r="DK49" t="s">
        <v>1053</v>
      </c>
      <c r="DL49">
        <v>0</v>
      </c>
      <c r="DN49">
        <v>0</v>
      </c>
      <c r="DO49" t="s">
        <v>1042</v>
      </c>
      <c r="DP49">
        <v>0</v>
      </c>
      <c r="DQ49">
        <v>0</v>
      </c>
      <c r="DS49">
        <v>0</v>
      </c>
      <c r="DU49">
        <v>0</v>
      </c>
      <c r="DW49">
        <v>0</v>
      </c>
      <c r="DX49" t="s">
        <v>1043</v>
      </c>
      <c r="DY49">
        <v>0</v>
      </c>
      <c r="DZ49">
        <v>0</v>
      </c>
      <c r="EA49">
        <v>0</v>
      </c>
      <c r="ED49" t="s">
        <v>1045</v>
      </c>
      <c r="EE49">
        <v>0</v>
      </c>
      <c r="EF49">
        <v>0</v>
      </c>
      <c r="EQ49" t="s">
        <v>1044</v>
      </c>
      <c r="ES49" t="s">
        <v>1053</v>
      </c>
      <c r="ET49">
        <v>0</v>
      </c>
      <c r="EV49">
        <v>0</v>
      </c>
      <c r="EY49" t="s">
        <v>1052</v>
      </c>
      <c r="EZ49">
        <v>0</v>
      </c>
      <c r="FA49" t="s">
        <v>1043</v>
      </c>
      <c r="FB49">
        <v>0</v>
      </c>
      <c r="FC49">
        <v>0</v>
      </c>
      <c r="FE49" t="s">
        <v>1050</v>
      </c>
      <c r="FF49">
        <v>0</v>
      </c>
      <c r="FG49" t="s">
        <v>1050</v>
      </c>
      <c r="FJ49">
        <v>0</v>
      </c>
      <c r="FK49">
        <v>0</v>
      </c>
      <c r="FP49">
        <v>0</v>
      </c>
      <c r="FR49">
        <v>0</v>
      </c>
      <c r="FS49" t="s">
        <v>1043</v>
      </c>
      <c r="FX49" t="s">
        <v>1042</v>
      </c>
      <c r="FZ49" t="s">
        <v>1048</v>
      </c>
      <c r="GA49">
        <v>0</v>
      </c>
      <c r="GB49" t="s">
        <v>1042</v>
      </c>
      <c r="GE49">
        <v>0</v>
      </c>
      <c r="GG49">
        <v>0</v>
      </c>
      <c r="GN49">
        <v>0</v>
      </c>
      <c r="GO49" t="s">
        <v>1063</v>
      </c>
      <c r="GQ49">
        <v>0</v>
      </c>
      <c r="GU49">
        <v>0</v>
      </c>
      <c r="GY49" t="s">
        <v>1045</v>
      </c>
      <c r="HB49">
        <v>0</v>
      </c>
      <c r="HE49">
        <v>0</v>
      </c>
      <c r="HF49">
        <v>0</v>
      </c>
      <c r="HG49">
        <v>0</v>
      </c>
      <c r="HK49" t="s">
        <v>1042</v>
      </c>
      <c r="HM49" t="s">
        <v>1047</v>
      </c>
      <c r="HN49">
        <v>0</v>
      </c>
      <c r="HP49">
        <v>0</v>
      </c>
      <c r="HQ49">
        <v>0</v>
      </c>
      <c r="HR49" t="s">
        <v>1042</v>
      </c>
      <c r="HS49" t="s">
        <v>1043</v>
      </c>
      <c r="HT49">
        <v>0</v>
      </c>
      <c r="HU49">
        <v>0</v>
      </c>
      <c r="HW49">
        <v>0</v>
      </c>
      <c r="HX49">
        <v>0</v>
      </c>
      <c r="HY49">
        <v>0</v>
      </c>
      <c r="HZ49" t="s">
        <v>1045</v>
      </c>
      <c r="IA49">
        <v>0</v>
      </c>
      <c r="IB49" t="s">
        <v>1045</v>
      </c>
      <c r="ID49" t="s">
        <v>1045</v>
      </c>
      <c r="IF49">
        <v>0</v>
      </c>
      <c r="IG49" t="s">
        <v>1042</v>
      </c>
      <c r="II49" t="s">
        <v>1042</v>
      </c>
      <c r="IR49" t="s">
        <v>1045</v>
      </c>
      <c r="IT49">
        <v>0</v>
      </c>
      <c r="IY49" t="s">
        <v>1044</v>
      </c>
      <c r="IZ49" t="s">
        <v>1043</v>
      </c>
      <c r="JC49" t="s">
        <v>1043</v>
      </c>
      <c r="JE49">
        <v>0</v>
      </c>
      <c r="JF49">
        <v>0</v>
      </c>
      <c r="JI49" t="s">
        <v>1042</v>
      </c>
      <c r="JJ49">
        <v>0</v>
      </c>
      <c r="JK49">
        <v>0</v>
      </c>
      <c r="JL49">
        <v>0</v>
      </c>
      <c r="JM49">
        <v>0</v>
      </c>
      <c r="JQ49" t="s">
        <v>1043</v>
      </c>
      <c r="JT49">
        <v>0</v>
      </c>
      <c r="JU49" t="s">
        <v>1042</v>
      </c>
      <c r="JW49">
        <v>0</v>
      </c>
      <c r="KA49">
        <v>0</v>
      </c>
      <c r="KF49">
        <v>0</v>
      </c>
      <c r="KG49">
        <v>0</v>
      </c>
      <c r="KH49">
        <v>0</v>
      </c>
      <c r="KI49">
        <v>0</v>
      </c>
      <c r="KS49" t="s">
        <v>1073</v>
      </c>
      <c r="KT49">
        <v>0</v>
      </c>
      <c r="KU49">
        <v>0</v>
      </c>
      <c r="KV49">
        <v>0</v>
      </c>
      <c r="KX49">
        <v>0</v>
      </c>
      <c r="KZ49">
        <v>0</v>
      </c>
      <c r="LF49">
        <v>0</v>
      </c>
      <c r="LH49">
        <v>0</v>
      </c>
      <c r="LI49">
        <v>0</v>
      </c>
    </row>
    <row r="50" spans="1:321" x14ac:dyDescent="0.35">
      <c r="A50">
        <v>1</v>
      </c>
      <c r="B50">
        <v>12291</v>
      </c>
      <c r="C50" t="s">
        <v>1662</v>
      </c>
      <c r="D50" t="s">
        <v>1139</v>
      </c>
      <c r="E50" t="s">
        <v>587</v>
      </c>
      <c r="F50">
        <v>80</v>
      </c>
      <c r="G50">
        <v>9000</v>
      </c>
      <c r="H50">
        <v>0</v>
      </c>
      <c r="I50" t="s">
        <v>1323</v>
      </c>
      <c r="L50">
        <v>0</v>
      </c>
      <c r="M50">
        <v>0</v>
      </c>
      <c r="N50">
        <v>0</v>
      </c>
      <c r="R50">
        <v>0</v>
      </c>
      <c r="S50">
        <v>0</v>
      </c>
      <c r="W50" t="s">
        <v>1060</v>
      </c>
      <c r="X50">
        <v>0</v>
      </c>
      <c r="Z50">
        <v>1</v>
      </c>
      <c r="AA50">
        <v>0</v>
      </c>
      <c r="AB50">
        <v>0</v>
      </c>
      <c r="AC50">
        <v>2.4426999999999999</v>
      </c>
      <c r="AD50" s="20">
        <v>40781</v>
      </c>
      <c r="AE50">
        <v>2.35</v>
      </c>
      <c r="AF50">
        <v>0</v>
      </c>
      <c r="AH50">
        <v>0</v>
      </c>
      <c r="AJ50">
        <v>0</v>
      </c>
      <c r="AL50">
        <v>0</v>
      </c>
      <c r="AM50">
        <v>0</v>
      </c>
      <c r="AN50">
        <v>16601001</v>
      </c>
      <c r="AO50">
        <v>0</v>
      </c>
      <c r="AP50">
        <v>1000</v>
      </c>
      <c r="AT50">
        <v>0</v>
      </c>
      <c r="AU50" t="s">
        <v>1059</v>
      </c>
      <c r="AW50" t="s">
        <v>1053</v>
      </c>
      <c r="AX50">
        <v>0</v>
      </c>
      <c r="AY50" s="20">
        <v>40781</v>
      </c>
      <c r="BA50" s="20">
        <v>40781</v>
      </c>
      <c r="BB50" t="s">
        <v>1058</v>
      </c>
      <c r="BD50">
        <v>0</v>
      </c>
      <c r="BF50" t="s">
        <v>1043</v>
      </c>
      <c r="BG50" t="s">
        <v>1042</v>
      </c>
      <c r="BH50">
        <v>0</v>
      </c>
      <c r="BI50">
        <v>1</v>
      </c>
      <c r="BJ50">
        <v>0</v>
      </c>
      <c r="BK50">
        <v>0</v>
      </c>
      <c r="BM50" t="s">
        <v>1042</v>
      </c>
      <c r="BN50">
        <v>0</v>
      </c>
      <c r="BR50" t="s">
        <v>1043</v>
      </c>
      <c r="BS50" t="s">
        <v>1043</v>
      </c>
      <c r="BT50" t="s">
        <v>1043</v>
      </c>
      <c r="BW50">
        <v>83</v>
      </c>
      <c r="CA50">
        <v>0</v>
      </c>
      <c r="CB50" t="s">
        <v>1057</v>
      </c>
      <c r="CE50" t="s">
        <v>1043</v>
      </c>
      <c r="CH50" t="s">
        <v>1043</v>
      </c>
      <c r="CN50" t="s">
        <v>1074</v>
      </c>
      <c r="CO50" t="s">
        <v>1043</v>
      </c>
      <c r="CP50">
        <v>1</v>
      </c>
      <c r="CQ50">
        <v>0</v>
      </c>
      <c r="CS50">
        <v>0</v>
      </c>
      <c r="CT50">
        <v>0</v>
      </c>
      <c r="CU50">
        <v>0</v>
      </c>
      <c r="CV50" t="s">
        <v>1045</v>
      </c>
      <c r="CW50">
        <v>0</v>
      </c>
      <c r="CX50">
        <v>0</v>
      </c>
      <c r="CY50">
        <v>0</v>
      </c>
      <c r="CZ50">
        <v>0</v>
      </c>
      <c r="DB50">
        <v>0</v>
      </c>
      <c r="DC50" t="s">
        <v>1043</v>
      </c>
      <c r="DF50" t="s">
        <v>1055</v>
      </c>
      <c r="DH50">
        <v>0</v>
      </c>
      <c r="DJ50">
        <v>0</v>
      </c>
      <c r="DK50" t="s">
        <v>1053</v>
      </c>
      <c r="DL50">
        <v>0</v>
      </c>
      <c r="DN50">
        <v>0</v>
      </c>
      <c r="DO50" t="s">
        <v>1042</v>
      </c>
      <c r="DP50">
        <v>0</v>
      </c>
      <c r="DQ50">
        <v>0</v>
      </c>
      <c r="DS50">
        <v>0</v>
      </c>
      <c r="DU50">
        <v>0</v>
      </c>
      <c r="DW50">
        <v>0</v>
      </c>
      <c r="DX50" t="s">
        <v>1043</v>
      </c>
      <c r="DY50">
        <v>0</v>
      </c>
      <c r="DZ50">
        <v>0</v>
      </c>
      <c r="EA50">
        <v>0</v>
      </c>
      <c r="ED50" t="s">
        <v>1045</v>
      </c>
      <c r="EE50">
        <v>0</v>
      </c>
      <c r="EF50">
        <v>0</v>
      </c>
      <c r="EQ50" t="s">
        <v>1044</v>
      </c>
      <c r="ES50" t="s">
        <v>1053</v>
      </c>
      <c r="ET50">
        <v>0</v>
      </c>
      <c r="EV50">
        <v>0</v>
      </c>
      <c r="EY50" t="s">
        <v>1052</v>
      </c>
      <c r="EZ50">
        <v>0</v>
      </c>
      <c r="FA50" t="s">
        <v>1043</v>
      </c>
      <c r="FB50">
        <v>0</v>
      </c>
      <c r="FC50">
        <v>0</v>
      </c>
      <c r="FE50" t="s">
        <v>1050</v>
      </c>
      <c r="FF50">
        <v>0</v>
      </c>
      <c r="FG50" t="s">
        <v>1050</v>
      </c>
      <c r="FJ50">
        <v>0</v>
      </c>
      <c r="FK50">
        <v>0</v>
      </c>
      <c r="FP50">
        <v>0</v>
      </c>
      <c r="FR50">
        <v>0</v>
      </c>
      <c r="FX50" t="s">
        <v>1042</v>
      </c>
      <c r="FZ50" t="s">
        <v>1048</v>
      </c>
      <c r="GA50">
        <v>0</v>
      </c>
      <c r="GB50" t="s">
        <v>1042</v>
      </c>
      <c r="GE50">
        <v>0</v>
      </c>
      <c r="GG50">
        <v>0</v>
      </c>
      <c r="GN50">
        <v>0</v>
      </c>
      <c r="GO50" t="s">
        <v>1063</v>
      </c>
      <c r="GQ50">
        <v>0</v>
      </c>
      <c r="GU50">
        <v>0</v>
      </c>
      <c r="GY50" t="s">
        <v>1045</v>
      </c>
      <c r="HB50">
        <v>0</v>
      </c>
      <c r="HE50">
        <v>0</v>
      </c>
      <c r="HF50">
        <v>0</v>
      </c>
      <c r="HG50">
        <v>0</v>
      </c>
      <c r="HK50" t="s">
        <v>1042</v>
      </c>
      <c r="HM50" t="s">
        <v>1047</v>
      </c>
      <c r="HN50">
        <v>0</v>
      </c>
      <c r="HP50">
        <v>0</v>
      </c>
      <c r="HQ50">
        <v>0</v>
      </c>
      <c r="HR50" t="s">
        <v>1042</v>
      </c>
      <c r="HS50" t="s">
        <v>1043</v>
      </c>
      <c r="HT50">
        <v>0</v>
      </c>
      <c r="HU50">
        <v>0</v>
      </c>
      <c r="HW50">
        <v>0</v>
      </c>
      <c r="HX50">
        <v>0</v>
      </c>
      <c r="HY50">
        <v>0</v>
      </c>
      <c r="HZ50" t="s">
        <v>1045</v>
      </c>
      <c r="IA50">
        <v>0</v>
      </c>
      <c r="IB50" t="s">
        <v>1045</v>
      </c>
      <c r="ID50" t="s">
        <v>1045</v>
      </c>
      <c r="IF50">
        <v>0</v>
      </c>
      <c r="IG50" t="s">
        <v>1042</v>
      </c>
      <c r="II50" t="s">
        <v>1042</v>
      </c>
      <c r="IR50" t="s">
        <v>1045</v>
      </c>
      <c r="IT50">
        <v>0</v>
      </c>
      <c r="IY50" t="s">
        <v>1044</v>
      </c>
      <c r="IZ50" t="s">
        <v>1043</v>
      </c>
      <c r="JC50" t="s">
        <v>1043</v>
      </c>
      <c r="JE50">
        <v>0</v>
      </c>
      <c r="JF50">
        <v>0</v>
      </c>
      <c r="JI50" t="s">
        <v>1042</v>
      </c>
      <c r="JJ50">
        <v>0</v>
      </c>
      <c r="JK50">
        <v>0</v>
      </c>
      <c r="JL50">
        <v>0</v>
      </c>
      <c r="JM50">
        <v>0</v>
      </c>
      <c r="JQ50" t="s">
        <v>1043</v>
      </c>
      <c r="JT50">
        <v>0</v>
      </c>
      <c r="JU50" t="s">
        <v>1042</v>
      </c>
      <c r="JW50">
        <v>0</v>
      </c>
      <c r="KA50">
        <v>0</v>
      </c>
      <c r="KF50">
        <v>0</v>
      </c>
      <c r="KG50">
        <v>0</v>
      </c>
      <c r="KH50">
        <v>0</v>
      </c>
      <c r="KI50">
        <v>0</v>
      </c>
      <c r="KS50" t="s">
        <v>1073</v>
      </c>
      <c r="KT50">
        <v>0</v>
      </c>
      <c r="KU50">
        <v>0</v>
      </c>
      <c r="KV50">
        <v>0</v>
      </c>
      <c r="KX50">
        <v>0</v>
      </c>
      <c r="KZ50">
        <v>0</v>
      </c>
      <c r="LF50">
        <v>0</v>
      </c>
      <c r="LH50">
        <v>0</v>
      </c>
      <c r="LI50">
        <v>0</v>
      </c>
    </row>
    <row r="51" spans="1:321" x14ac:dyDescent="0.35">
      <c r="A51">
        <v>1</v>
      </c>
      <c r="B51">
        <v>12292</v>
      </c>
      <c r="C51" t="s">
        <v>1661</v>
      </c>
      <c r="D51" t="s">
        <v>1139</v>
      </c>
      <c r="E51" t="s">
        <v>587</v>
      </c>
      <c r="F51">
        <v>80</v>
      </c>
      <c r="G51">
        <v>51</v>
      </c>
      <c r="H51">
        <v>0</v>
      </c>
      <c r="I51" t="s">
        <v>1323</v>
      </c>
      <c r="L51">
        <v>0</v>
      </c>
      <c r="M51">
        <v>0</v>
      </c>
      <c r="N51">
        <v>0</v>
      </c>
      <c r="R51">
        <v>0</v>
      </c>
      <c r="S51">
        <v>0</v>
      </c>
      <c r="W51" t="s">
        <v>1060</v>
      </c>
      <c r="X51">
        <v>0</v>
      </c>
      <c r="Z51">
        <v>1</v>
      </c>
      <c r="AA51">
        <v>0</v>
      </c>
      <c r="AB51">
        <v>0</v>
      </c>
      <c r="AC51">
        <v>5.7038000000000002</v>
      </c>
      <c r="AD51" s="20">
        <v>44601</v>
      </c>
      <c r="AE51">
        <v>5.7038000000000002</v>
      </c>
      <c r="AF51">
        <v>0</v>
      </c>
      <c r="AH51">
        <v>0</v>
      </c>
      <c r="AJ51">
        <v>0</v>
      </c>
      <c r="AL51">
        <v>0</v>
      </c>
      <c r="AM51">
        <v>0</v>
      </c>
      <c r="AN51">
        <v>16601001</v>
      </c>
      <c r="AO51">
        <v>0</v>
      </c>
      <c r="AP51">
        <v>1000</v>
      </c>
      <c r="AT51">
        <v>0</v>
      </c>
      <c r="AU51" t="s">
        <v>1059</v>
      </c>
      <c r="AW51" t="s">
        <v>1053</v>
      </c>
      <c r="AX51">
        <v>0</v>
      </c>
      <c r="AY51" s="20">
        <v>40781</v>
      </c>
      <c r="BA51" s="20">
        <v>40781</v>
      </c>
      <c r="BB51" t="s">
        <v>1058</v>
      </c>
      <c r="BD51">
        <v>0</v>
      </c>
      <c r="BF51" t="s">
        <v>1043</v>
      </c>
      <c r="BG51" t="s">
        <v>1042</v>
      </c>
      <c r="BH51">
        <v>0</v>
      </c>
      <c r="BI51">
        <v>1</v>
      </c>
      <c r="BJ51">
        <v>0</v>
      </c>
      <c r="BK51">
        <v>0</v>
      </c>
      <c r="BM51" t="s">
        <v>1042</v>
      </c>
      <c r="BN51">
        <v>0</v>
      </c>
      <c r="BR51" t="s">
        <v>1043</v>
      </c>
      <c r="BS51" t="s">
        <v>1043</v>
      </c>
      <c r="BT51" t="s">
        <v>1043</v>
      </c>
      <c r="BW51">
        <v>63</v>
      </c>
      <c r="CA51">
        <v>0</v>
      </c>
      <c r="CB51" t="s">
        <v>1057</v>
      </c>
      <c r="CE51" t="s">
        <v>1043</v>
      </c>
      <c r="CH51" t="s">
        <v>1043</v>
      </c>
      <c r="CN51" t="s">
        <v>1074</v>
      </c>
      <c r="CO51" t="s">
        <v>1043</v>
      </c>
      <c r="CP51">
        <v>1</v>
      </c>
      <c r="CQ51">
        <v>0</v>
      </c>
      <c r="CS51">
        <v>0</v>
      </c>
      <c r="CT51">
        <v>0</v>
      </c>
      <c r="CU51">
        <v>0</v>
      </c>
      <c r="CV51" t="s">
        <v>1045</v>
      </c>
      <c r="CW51">
        <v>0</v>
      </c>
      <c r="CX51">
        <v>0</v>
      </c>
      <c r="CY51">
        <v>0</v>
      </c>
      <c r="CZ51">
        <v>0</v>
      </c>
      <c r="DB51">
        <v>0</v>
      </c>
      <c r="DC51" t="s">
        <v>1043</v>
      </c>
      <c r="DF51" t="s">
        <v>1055</v>
      </c>
      <c r="DH51">
        <v>0</v>
      </c>
      <c r="DJ51">
        <v>0</v>
      </c>
      <c r="DK51" t="s">
        <v>1053</v>
      </c>
      <c r="DL51">
        <v>0</v>
      </c>
      <c r="DN51">
        <v>0</v>
      </c>
      <c r="DO51" t="s">
        <v>1042</v>
      </c>
      <c r="DP51">
        <v>0</v>
      </c>
      <c r="DQ51">
        <v>0</v>
      </c>
      <c r="DS51">
        <v>0</v>
      </c>
      <c r="DU51">
        <v>0</v>
      </c>
      <c r="DW51">
        <v>0</v>
      </c>
      <c r="DX51" t="s">
        <v>1043</v>
      </c>
      <c r="DY51">
        <v>0</v>
      </c>
      <c r="DZ51">
        <v>0</v>
      </c>
      <c r="EA51">
        <v>0</v>
      </c>
      <c r="ED51" t="s">
        <v>1045</v>
      </c>
      <c r="EE51">
        <v>0</v>
      </c>
      <c r="EF51">
        <v>0</v>
      </c>
      <c r="EQ51" t="s">
        <v>1044</v>
      </c>
      <c r="ES51" t="s">
        <v>1053</v>
      </c>
      <c r="ET51">
        <v>0</v>
      </c>
      <c r="EV51">
        <v>0</v>
      </c>
      <c r="EY51" t="s">
        <v>1052</v>
      </c>
      <c r="EZ51">
        <v>0</v>
      </c>
      <c r="FA51" t="s">
        <v>1043</v>
      </c>
      <c r="FB51">
        <v>0</v>
      </c>
      <c r="FC51">
        <v>0</v>
      </c>
      <c r="FE51" t="s">
        <v>1050</v>
      </c>
      <c r="FF51">
        <v>0</v>
      </c>
      <c r="FG51" t="s">
        <v>1050</v>
      </c>
      <c r="FJ51">
        <v>0</v>
      </c>
      <c r="FK51">
        <v>0</v>
      </c>
      <c r="FP51">
        <v>0</v>
      </c>
      <c r="FR51">
        <v>0</v>
      </c>
      <c r="FX51" t="s">
        <v>1042</v>
      </c>
      <c r="FZ51" t="s">
        <v>1048</v>
      </c>
      <c r="GA51">
        <v>0</v>
      </c>
      <c r="GB51" t="s">
        <v>1042</v>
      </c>
      <c r="GE51">
        <v>0</v>
      </c>
      <c r="GG51">
        <v>0</v>
      </c>
      <c r="GN51">
        <v>0</v>
      </c>
      <c r="GO51" t="s">
        <v>1063</v>
      </c>
      <c r="GQ51">
        <v>0</v>
      </c>
      <c r="GU51">
        <v>0</v>
      </c>
      <c r="GY51" t="s">
        <v>1045</v>
      </c>
      <c r="HB51">
        <v>0</v>
      </c>
      <c r="HE51">
        <v>0</v>
      </c>
      <c r="HF51">
        <v>0</v>
      </c>
      <c r="HG51">
        <v>0</v>
      </c>
      <c r="HK51" s="20">
        <v>44592</v>
      </c>
      <c r="HM51" t="s">
        <v>1047</v>
      </c>
      <c r="HN51">
        <v>0</v>
      </c>
      <c r="HP51">
        <v>0</v>
      </c>
      <c r="HQ51">
        <v>0</v>
      </c>
      <c r="HR51" t="s">
        <v>1042</v>
      </c>
      <c r="HS51" t="s">
        <v>1043</v>
      </c>
      <c r="HT51">
        <v>0</v>
      </c>
      <c r="HU51">
        <v>0</v>
      </c>
      <c r="HW51">
        <v>0</v>
      </c>
      <c r="HX51">
        <v>0</v>
      </c>
      <c r="HY51">
        <v>1</v>
      </c>
      <c r="HZ51" t="s">
        <v>1045</v>
      </c>
      <c r="IA51">
        <v>5.7</v>
      </c>
      <c r="IB51" t="s">
        <v>1045</v>
      </c>
      <c r="ID51" t="s">
        <v>1045</v>
      </c>
      <c r="IF51">
        <v>0</v>
      </c>
      <c r="IG51" t="s">
        <v>1042</v>
      </c>
      <c r="II51" t="s">
        <v>1042</v>
      </c>
      <c r="IR51" t="s">
        <v>1045</v>
      </c>
      <c r="IT51">
        <v>0</v>
      </c>
      <c r="IY51" t="s">
        <v>1044</v>
      </c>
      <c r="IZ51" t="s">
        <v>1043</v>
      </c>
      <c r="JC51" t="s">
        <v>1043</v>
      </c>
      <c r="JE51">
        <v>0</v>
      </c>
      <c r="JF51">
        <v>0</v>
      </c>
      <c r="JI51" t="s">
        <v>1042</v>
      </c>
      <c r="JJ51">
        <v>0</v>
      </c>
      <c r="JK51">
        <v>0</v>
      </c>
      <c r="JL51">
        <v>0</v>
      </c>
      <c r="JM51">
        <v>0</v>
      </c>
      <c r="JQ51" t="s">
        <v>1043</v>
      </c>
      <c r="JT51">
        <v>0</v>
      </c>
      <c r="JU51" t="s">
        <v>1042</v>
      </c>
      <c r="JW51">
        <v>0</v>
      </c>
      <c r="KA51">
        <v>0</v>
      </c>
      <c r="KF51">
        <v>0</v>
      </c>
      <c r="KG51">
        <v>0</v>
      </c>
      <c r="KH51">
        <v>0</v>
      </c>
      <c r="KI51">
        <v>0</v>
      </c>
      <c r="KS51" t="s">
        <v>1073</v>
      </c>
      <c r="KT51">
        <v>0</v>
      </c>
      <c r="KU51">
        <v>0</v>
      </c>
      <c r="KV51">
        <v>0</v>
      </c>
      <c r="KX51">
        <v>0</v>
      </c>
      <c r="KZ51">
        <v>0</v>
      </c>
      <c r="LF51">
        <v>0</v>
      </c>
      <c r="LH51">
        <v>0</v>
      </c>
      <c r="LI51">
        <v>0</v>
      </c>
    </row>
    <row r="52" spans="1:321" x14ac:dyDescent="0.35">
      <c r="A52">
        <v>1</v>
      </c>
      <c r="B52">
        <v>12293</v>
      </c>
      <c r="C52" t="s">
        <v>1660</v>
      </c>
      <c r="D52" t="s">
        <v>1139</v>
      </c>
      <c r="E52" t="s">
        <v>85</v>
      </c>
      <c r="F52">
        <v>80</v>
      </c>
      <c r="G52">
        <v>9000</v>
      </c>
      <c r="H52">
        <v>0</v>
      </c>
      <c r="I52" t="s">
        <v>1050</v>
      </c>
      <c r="L52">
        <v>0</v>
      </c>
      <c r="M52">
        <v>0</v>
      </c>
      <c r="N52">
        <v>0</v>
      </c>
      <c r="R52">
        <v>0</v>
      </c>
      <c r="S52">
        <v>0</v>
      </c>
      <c r="W52" t="s">
        <v>1060</v>
      </c>
      <c r="X52">
        <v>0</v>
      </c>
      <c r="Z52">
        <v>1</v>
      </c>
      <c r="AA52">
        <v>0</v>
      </c>
      <c r="AB52">
        <v>0</v>
      </c>
      <c r="AC52">
        <v>0</v>
      </c>
      <c r="AD52" s="20">
        <v>40781</v>
      </c>
      <c r="AE52">
        <v>4.37</v>
      </c>
      <c r="AF52">
        <v>0</v>
      </c>
      <c r="AH52">
        <v>0</v>
      </c>
      <c r="AJ52">
        <v>0</v>
      </c>
      <c r="AL52">
        <v>0</v>
      </c>
      <c r="AM52">
        <v>0</v>
      </c>
      <c r="AN52">
        <v>16601001</v>
      </c>
      <c r="AO52">
        <v>0</v>
      </c>
      <c r="AP52">
        <v>1000</v>
      </c>
      <c r="AT52">
        <v>0</v>
      </c>
      <c r="AU52" t="s">
        <v>1059</v>
      </c>
      <c r="AW52" t="s">
        <v>1053</v>
      </c>
      <c r="AX52">
        <v>0</v>
      </c>
      <c r="AY52" s="20">
        <v>40781</v>
      </c>
      <c r="BA52" s="20">
        <v>40781</v>
      </c>
      <c r="BB52" t="s">
        <v>1058</v>
      </c>
      <c r="BD52">
        <v>0</v>
      </c>
      <c r="BF52" t="s">
        <v>1043</v>
      </c>
      <c r="BG52" t="s">
        <v>1042</v>
      </c>
      <c r="BH52">
        <v>0</v>
      </c>
      <c r="BI52">
        <v>1</v>
      </c>
      <c r="BJ52">
        <v>0</v>
      </c>
      <c r="BK52">
        <v>0</v>
      </c>
      <c r="BM52" t="s">
        <v>1042</v>
      </c>
      <c r="BN52">
        <v>0</v>
      </c>
      <c r="BR52" t="s">
        <v>1043</v>
      </c>
      <c r="BS52" t="s">
        <v>1043</v>
      </c>
      <c r="BT52" t="s">
        <v>1043</v>
      </c>
      <c r="BW52">
        <v>83</v>
      </c>
      <c r="CA52">
        <v>0</v>
      </c>
      <c r="CB52" t="s">
        <v>1057</v>
      </c>
      <c r="CE52" t="s">
        <v>1043</v>
      </c>
      <c r="CH52" t="s">
        <v>1043</v>
      </c>
      <c r="CN52" t="s">
        <v>1056</v>
      </c>
      <c r="CO52" t="s">
        <v>1043</v>
      </c>
      <c r="CP52">
        <v>1</v>
      </c>
      <c r="CQ52">
        <v>0</v>
      </c>
      <c r="CS52">
        <v>0</v>
      </c>
      <c r="CT52">
        <v>0</v>
      </c>
      <c r="CU52">
        <v>0</v>
      </c>
      <c r="CV52" t="s">
        <v>1045</v>
      </c>
      <c r="CW52">
        <v>0</v>
      </c>
      <c r="CX52">
        <v>0</v>
      </c>
      <c r="CY52">
        <v>0</v>
      </c>
      <c r="CZ52">
        <v>0</v>
      </c>
      <c r="DB52">
        <v>0</v>
      </c>
      <c r="DC52" t="s">
        <v>1043</v>
      </c>
      <c r="DF52" t="s">
        <v>1055</v>
      </c>
      <c r="DH52">
        <v>0</v>
      </c>
      <c r="DJ52">
        <v>0</v>
      </c>
      <c r="DK52" t="s">
        <v>1053</v>
      </c>
      <c r="DL52">
        <v>0</v>
      </c>
      <c r="DN52">
        <v>0</v>
      </c>
      <c r="DO52" t="s">
        <v>1042</v>
      </c>
      <c r="DP52">
        <v>0</v>
      </c>
      <c r="DQ52">
        <v>0</v>
      </c>
      <c r="DS52">
        <v>0</v>
      </c>
      <c r="DU52">
        <v>0</v>
      </c>
      <c r="DW52">
        <v>0</v>
      </c>
      <c r="DX52" t="s">
        <v>1043</v>
      </c>
      <c r="DY52">
        <v>0</v>
      </c>
      <c r="DZ52">
        <v>0</v>
      </c>
      <c r="EA52">
        <v>0</v>
      </c>
      <c r="ED52" t="s">
        <v>1045</v>
      </c>
      <c r="EE52">
        <v>0</v>
      </c>
      <c r="EF52">
        <v>0</v>
      </c>
      <c r="EQ52" t="s">
        <v>1044</v>
      </c>
      <c r="ES52" t="s">
        <v>1053</v>
      </c>
      <c r="ET52">
        <v>0</v>
      </c>
      <c r="EV52">
        <v>0</v>
      </c>
      <c r="EY52" t="s">
        <v>1052</v>
      </c>
      <c r="EZ52">
        <v>0</v>
      </c>
      <c r="FA52" t="s">
        <v>1043</v>
      </c>
      <c r="FB52">
        <v>0</v>
      </c>
      <c r="FC52">
        <v>0</v>
      </c>
      <c r="FE52" t="s">
        <v>1050</v>
      </c>
      <c r="FF52">
        <v>0</v>
      </c>
      <c r="FG52" t="s">
        <v>1050</v>
      </c>
      <c r="FJ52">
        <v>0</v>
      </c>
      <c r="FK52">
        <v>0</v>
      </c>
      <c r="FP52">
        <v>0</v>
      </c>
      <c r="FR52">
        <v>0</v>
      </c>
      <c r="FS52" t="s">
        <v>1043</v>
      </c>
      <c r="FX52" t="s">
        <v>1042</v>
      </c>
      <c r="FZ52" t="s">
        <v>1048</v>
      </c>
      <c r="GA52">
        <v>0</v>
      </c>
      <c r="GB52" t="s">
        <v>1042</v>
      </c>
      <c r="GE52">
        <v>0</v>
      </c>
      <c r="GG52">
        <v>0</v>
      </c>
      <c r="GN52">
        <v>0</v>
      </c>
      <c r="GO52" t="s">
        <v>1063</v>
      </c>
      <c r="GQ52">
        <v>0</v>
      </c>
      <c r="GU52">
        <v>0</v>
      </c>
      <c r="GY52" t="s">
        <v>1045</v>
      </c>
      <c r="HB52">
        <v>0</v>
      </c>
      <c r="HE52">
        <v>0</v>
      </c>
      <c r="HF52">
        <v>0</v>
      </c>
      <c r="HG52">
        <v>0</v>
      </c>
      <c r="HK52" t="s">
        <v>1042</v>
      </c>
      <c r="HM52" t="s">
        <v>1047</v>
      </c>
      <c r="HN52">
        <v>0</v>
      </c>
      <c r="HP52">
        <v>0</v>
      </c>
      <c r="HQ52">
        <v>0</v>
      </c>
      <c r="HR52" t="s">
        <v>1042</v>
      </c>
      <c r="HS52" t="s">
        <v>1043</v>
      </c>
      <c r="HT52">
        <v>0</v>
      </c>
      <c r="HU52">
        <v>0</v>
      </c>
      <c r="HW52">
        <v>0</v>
      </c>
      <c r="HX52">
        <v>0</v>
      </c>
      <c r="HY52">
        <v>0</v>
      </c>
      <c r="HZ52" t="s">
        <v>1045</v>
      </c>
      <c r="IA52">
        <v>0</v>
      </c>
      <c r="IB52" t="s">
        <v>1045</v>
      </c>
      <c r="ID52" t="s">
        <v>1045</v>
      </c>
      <c r="IF52">
        <v>0</v>
      </c>
      <c r="IG52" t="s">
        <v>1042</v>
      </c>
      <c r="II52" t="s">
        <v>1042</v>
      </c>
      <c r="IR52" t="s">
        <v>1045</v>
      </c>
      <c r="IT52">
        <v>0</v>
      </c>
      <c r="IY52" t="s">
        <v>1044</v>
      </c>
      <c r="IZ52" t="s">
        <v>1043</v>
      </c>
      <c r="JC52" t="s">
        <v>1043</v>
      </c>
      <c r="JE52">
        <v>0</v>
      </c>
      <c r="JF52">
        <v>0</v>
      </c>
      <c r="JI52" t="s">
        <v>1042</v>
      </c>
      <c r="JJ52">
        <v>0</v>
      </c>
      <c r="JK52">
        <v>0</v>
      </c>
      <c r="JL52">
        <v>0</v>
      </c>
      <c r="JM52">
        <v>0</v>
      </c>
      <c r="JQ52" t="s">
        <v>1043</v>
      </c>
      <c r="JT52">
        <v>0</v>
      </c>
      <c r="JU52" t="s">
        <v>1042</v>
      </c>
      <c r="JW52">
        <v>0</v>
      </c>
      <c r="KA52">
        <v>0</v>
      </c>
      <c r="KF52">
        <v>0</v>
      </c>
      <c r="KG52">
        <v>0</v>
      </c>
      <c r="KH52">
        <v>0</v>
      </c>
      <c r="KI52">
        <v>0</v>
      </c>
      <c r="KS52" t="s">
        <v>1073</v>
      </c>
      <c r="KT52">
        <v>0</v>
      </c>
      <c r="KU52">
        <v>0</v>
      </c>
      <c r="KV52">
        <v>0</v>
      </c>
      <c r="KX52">
        <v>0</v>
      </c>
      <c r="KZ52">
        <v>0</v>
      </c>
      <c r="LF52">
        <v>0</v>
      </c>
      <c r="LH52">
        <v>0</v>
      </c>
      <c r="LI52">
        <v>0</v>
      </c>
    </row>
    <row r="53" spans="1:321" x14ac:dyDescent="0.35">
      <c r="A53">
        <v>1</v>
      </c>
      <c r="B53">
        <v>12294</v>
      </c>
      <c r="C53" t="s">
        <v>1660</v>
      </c>
      <c r="D53" t="s">
        <v>1139</v>
      </c>
      <c r="E53" t="s">
        <v>85</v>
      </c>
      <c r="F53">
        <v>80</v>
      </c>
      <c r="G53">
        <v>9000</v>
      </c>
      <c r="H53">
        <v>0</v>
      </c>
      <c r="I53" t="s">
        <v>1323</v>
      </c>
      <c r="L53">
        <v>0</v>
      </c>
      <c r="M53">
        <v>0</v>
      </c>
      <c r="N53">
        <v>0</v>
      </c>
      <c r="R53">
        <v>0</v>
      </c>
      <c r="S53">
        <v>0</v>
      </c>
      <c r="W53" t="s">
        <v>1060</v>
      </c>
      <c r="X53">
        <v>0</v>
      </c>
      <c r="Z53">
        <v>1</v>
      </c>
      <c r="AA53">
        <v>0</v>
      </c>
      <c r="AB53">
        <v>0</v>
      </c>
      <c r="AC53">
        <v>4.5426000000000002</v>
      </c>
      <c r="AD53" s="20">
        <v>40781</v>
      </c>
      <c r="AE53">
        <v>4.37</v>
      </c>
      <c r="AF53">
        <v>0</v>
      </c>
      <c r="AH53">
        <v>0</v>
      </c>
      <c r="AJ53">
        <v>0</v>
      </c>
      <c r="AL53">
        <v>0</v>
      </c>
      <c r="AM53">
        <v>0</v>
      </c>
      <c r="AN53">
        <v>16601001</v>
      </c>
      <c r="AO53">
        <v>0</v>
      </c>
      <c r="AP53">
        <v>1000</v>
      </c>
      <c r="AT53">
        <v>0</v>
      </c>
      <c r="AU53" t="s">
        <v>1059</v>
      </c>
      <c r="AW53" t="s">
        <v>1053</v>
      </c>
      <c r="AX53">
        <v>0</v>
      </c>
      <c r="AY53" s="20">
        <v>40781</v>
      </c>
      <c r="BA53" s="20">
        <v>40781</v>
      </c>
      <c r="BB53" t="s">
        <v>1058</v>
      </c>
      <c r="BD53">
        <v>0</v>
      </c>
      <c r="BF53" t="s">
        <v>1043</v>
      </c>
      <c r="BG53" t="s">
        <v>1042</v>
      </c>
      <c r="BH53">
        <v>0</v>
      </c>
      <c r="BI53">
        <v>1</v>
      </c>
      <c r="BJ53">
        <v>0</v>
      </c>
      <c r="BK53">
        <v>0</v>
      </c>
      <c r="BM53" t="s">
        <v>1042</v>
      </c>
      <c r="BN53">
        <v>0</v>
      </c>
      <c r="BR53" t="s">
        <v>1043</v>
      </c>
      <c r="BS53" t="s">
        <v>1043</v>
      </c>
      <c r="BT53" t="s">
        <v>1043</v>
      </c>
      <c r="BW53">
        <v>83</v>
      </c>
      <c r="CA53">
        <v>0</v>
      </c>
      <c r="CB53" t="s">
        <v>1057</v>
      </c>
      <c r="CE53" t="s">
        <v>1043</v>
      </c>
      <c r="CH53" t="s">
        <v>1043</v>
      </c>
      <c r="CN53" t="s">
        <v>1056</v>
      </c>
      <c r="CO53" t="s">
        <v>1043</v>
      </c>
      <c r="CP53">
        <v>1</v>
      </c>
      <c r="CQ53">
        <v>0</v>
      </c>
      <c r="CS53">
        <v>0</v>
      </c>
      <c r="CT53">
        <v>0</v>
      </c>
      <c r="CU53">
        <v>0</v>
      </c>
      <c r="CV53" t="s">
        <v>1045</v>
      </c>
      <c r="CW53">
        <v>0</v>
      </c>
      <c r="CX53">
        <v>0</v>
      </c>
      <c r="CY53">
        <v>0</v>
      </c>
      <c r="CZ53">
        <v>0</v>
      </c>
      <c r="DB53">
        <v>0</v>
      </c>
      <c r="DC53" t="s">
        <v>1043</v>
      </c>
      <c r="DF53" t="s">
        <v>1055</v>
      </c>
      <c r="DH53">
        <v>0</v>
      </c>
      <c r="DJ53">
        <v>0</v>
      </c>
      <c r="DK53" t="s">
        <v>1053</v>
      </c>
      <c r="DL53">
        <v>0</v>
      </c>
      <c r="DN53">
        <v>0</v>
      </c>
      <c r="DO53" t="s">
        <v>1042</v>
      </c>
      <c r="DP53">
        <v>0</v>
      </c>
      <c r="DQ53">
        <v>0</v>
      </c>
      <c r="DS53">
        <v>0</v>
      </c>
      <c r="DU53">
        <v>0</v>
      </c>
      <c r="DW53">
        <v>0</v>
      </c>
      <c r="DX53" t="s">
        <v>1043</v>
      </c>
      <c r="DY53">
        <v>0</v>
      </c>
      <c r="DZ53">
        <v>0</v>
      </c>
      <c r="EA53">
        <v>0</v>
      </c>
      <c r="ED53" t="s">
        <v>1045</v>
      </c>
      <c r="EE53">
        <v>0</v>
      </c>
      <c r="EF53">
        <v>0</v>
      </c>
      <c r="EQ53" t="s">
        <v>1044</v>
      </c>
      <c r="ES53" t="s">
        <v>1053</v>
      </c>
      <c r="ET53">
        <v>0</v>
      </c>
      <c r="EV53">
        <v>0</v>
      </c>
      <c r="EY53" t="s">
        <v>1052</v>
      </c>
      <c r="EZ53">
        <v>0</v>
      </c>
      <c r="FA53" t="s">
        <v>1043</v>
      </c>
      <c r="FB53">
        <v>0</v>
      </c>
      <c r="FC53">
        <v>0</v>
      </c>
      <c r="FE53" t="s">
        <v>1050</v>
      </c>
      <c r="FF53">
        <v>0</v>
      </c>
      <c r="FG53" t="s">
        <v>1050</v>
      </c>
      <c r="FJ53">
        <v>0</v>
      </c>
      <c r="FK53">
        <v>0</v>
      </c>
      <c r="FP53">
        <v>0</v>
      </c>
      <c r="FR53">
        <v>0</v>
      </c>
      <c r="FS53" t="s">
        <v>1043</v>
      </c>
      <c r="FX53" t="s">
        <v>1042</v>
      </c>
      <c r="FZ53" t="s">
        <v>1048</v>
      </c>
      <c r="GA53">
        <v>0</v>
      </c>
      <c r="GB53" t="s">
        <v>1042</v>
      </c>
      <c r="GE53">
        <v>0</v>
      </c>
      <c r="GG53">
        <v>0</v>
      </c>
      <c r="GN53">
        <v>0</v>
      </c>
      <c r="GO53" t="s">
        <v>1063</v>
      </c>
      <c r="GQ53">
        <v>0</v>
      </c>
      <c r="GU53">
        <v>0</v>
      </c>
      <c r="GY53" t="s">
        <v>1045</v>
      </c>
      <c r="HB53">
        <v>0</v>
      </c>
      <c r="HE53">
        <v>0</v>
      </c>
      <c r="HF53">
        <v>0</v>
      </c>
      <c r="HG53">
        <v>0</v>
      </c>
      <c r="HK53" t="s">
        <v>1042</v>
      </c>
      <c r="HM53" t="s">
        <v>1047</v>
      </c>
      <c r="HN53">
        <v>0</v>
      </c>
      <c r="HP53">
        <v>0</v>
      </c>
      <c r="HQ53">
        <v>0</v>
      </c>
      <c r="HR53" t="s">
        <v>1042</v>
      </c>
      <c r="HS53" t="s">
        <v>1043</v>
      </c>
      <c r="HT53">
        <v>0</v>
      </c>
      <c r="HU53">
        <v>0</v>
      </c>
      <c r="HW53">
        <v>0</v>
      </c>
      <c r="HX53">
        <v>0</v>
      </c>
      <c r="HY53">
        <v>0</v>
      </c>
      <c r="HZ53" t="s">
        <v>1045</v>
      </c>
      <c r="IA53">
        <v>0</v>
      </c>
      <c r="IB53" t="s">
        <v>1045</v>
      </c>
      <c r="ID53" t="s">
        <v>1045</v>
      </c>
      <c r="IF53">
        <v>0</v>
      </c>
      <c r="IG53" t="s">
        <v>1042</v>
      </c>
      <c r="II53" t="s">
        <v>1042</v>
      </c>
      <c r="IR53" t="s">
        <v>1045</v>
      </c>
      <c r="IT53">
        <v>0</v>
      </c>
      <c r="IY53" t="s">
        <v>1044</v>
      </c>
      <c r="IZ53" t="s">
        <v>1043</v>
      </c>
      <c r="JC53" t="s">
        <v>1043</v>
      </c>
      <c r="JE53">
        <v>0</v>
      </c>
      <c r="JF53">
        <v>0</v>
      </c>
      <c r="JI53" t="s">
        <v>1042</v>
      </c>
      <c r="JJ53">
        <v>0</v>
      </c>
      <c r="JK53">
        <v>0</v>
      </c>
      <c r="JL53">
        <v>0</v>
      </c>
      <c r="JM53">
        <v>0</v>
      </c>
      <c r="JQ53" t="s">
        <v>1043</v>
      </c>
      <c r="JT53">
        <v>0</v>
      </c>
      <c r="JU53" t="s">
        <v>1042</v>
      </c>
      <c r="JW53">
        <v>0</v>
      </c>
      <c r="KA53">
        <v>0</v>
      </c>
      <c r="KF53">
        <v>0</v>
      </c>
      <c r="KG53">
        <v>0</v>
      </c>
      <c r="KH53">
        <v>0</v>
      </c>
      <c r="KI53">
        <v>0</v>
      </c>
      <c r="KS53" t="s">
        <v>1073</v>
      </c>
      <c r="KT53">
        <v>0</v>
      </c>
      <c r="KU53">
        <v>0</v>
      </c>
      <c r="KV53">
        <v>0</v>
      </c>
      <c r="KX53">
        <v>0</v>
      </c>
      <c r="KZ53">
        <v>0</v>
      </c>
      <c r="LF53">
        <v>0</v>
      </c>
      <c r="LH53">
        <v>0</v>
      </c>
      <c r="LI53">
        <v>0</v>
      </c>
    </row>
    <row r="54" spans="1:321" x14ac:dyDescent="0.35">
      <c r="A54">
        <v>1</v>
      </c>
      <c r="B54">
        <v>12295</v>
      </c>
      <c r="C54" t="s">
        <v>1659</v>
      </c>
      <c r="D54" t="s">
        <v>1139</v>
      </c>
      <c r="E54" t="s">
        <v>85</v>
      </c>
      <c r="F54">
        <v>80</v>
      </c>
      <c r="G54">
        <v>9000</v>
      </c>
      <c r="H54">
        <v>0</v>
      </c>
      <c r="I54" t="s">
        <v>1050</v>
      </c>
      <c r="L54">
        <v>0</v>
      </c>
      <c r="M54">
        <v>0</v>
      </c>
      <c r="N54">
        <v>0</v>
      </c>
      <c r="R54">
        <v>0</v>
      </c>
      <c r="S54">
        <v>0</v>
      </c>
      <c r="W54" t="s">
        <v>1060</v>
      </c>
      <c r="X54">
        <v>0</v>
      </c>
      <c r="Z54">
        <v>1</v>
      </c>
      <c r="AA54">
        <v>0</v>
      </c>
      <c r="AB54">
        <v>0</v>
      </c>
      <c r="AC54">
        <v>0</v>
      </c>
      <c r="AD54" s="20">
        <v>40781</v>
      </c>
      <c r="AE54">
        <v>233.47</v>
      </c>
      <c r="AF54">
        <v>0</v>
      </c>
      <c r="AH54">
        <v>0</v>
      </c>
      <c r="AJ54">
        <v>0</v>
      </c>
      <c r="AL54">
        <v>0</v>
      </c>
      <c r="AM54">
        <v>0</v>
      </c>
      <c r="AN54">
        <v>16601003</v>
      </c>
      <c r="AO54">
        <v>0</v>
      </c>
      <c r="AP54">
        <v>1000</v>
      </c>
      <c r="AT54">
        <v>0</v>
      </c>
      <c r="AU54" t="s">
        <v>1059</v>
      </c>
      <c r="AW54" t="s">
        <v>1053</v>
      </c>
      <c r="AX54">
        <v>0</v>
      </c>
      <c r="AY54" s="20">
        <v>40781</v>
      </c>
      <c r="BA54" s="20">
        <v>40781</v>
      </c>
      <c r="BB54" t="s">
        <v>1058</v>
      </c>
      <c r="BD54">
        <v>0</v>
      </c>
      <c r="BF54" t="s">
        <v>1043</v>
      </c>
      <c r="BG54" t="s">
        <v>1042</v>
      </c>
      <c r="BH54">
        <v>0</v>
      </c>
      <c r="BI54">
        <v>1</v>
      </c>
      <c r="BJ54">
        <v>0</v>
      </c>
      <c r="BK54">
        <v>0</v>
      </c>
      <c r="BM54" t="s">
        <v>1042</v>
      </c>
      <c r="BN54">
        <v>0</v>
      </c>
      <c r="BR54" t="s">
        <v>1043</v>
      </c>
      <c r="BS54" t="s">
        <v>1043</v>
      </c>
      <c r="BT54" t="s">
        <v>1043</v>
      </c>
      <c r="BW54">
        <v>83</v>
      </c>
      <c r="CA54">
        <v>0</v>
      </c>
      <c r="CB54" t="s">
        <v>1057</v>
      </c>
      <c r="CE54" t="s">
        <v>1043</v>
      </c>
      <c r="CH54" t="s">
        <v>1043</v>
      </c>
      <c r="CN54" t="s">
        <v>1056</v>
      </c>
      <c r="CO54" t="s">
        <v>1043</v>
      </c>
      <c r="CP54">
        <v>1</v>
      </c>
      <c r="CQ54">
        <v>0</v>
      </c>
      <c r="CS54">
        <v>0</v>
      </c>
      <c r="CT54">
        <v>0</v>
      </c>
      <c r="CU54">
        <v>0</v>
      </c>
      <c r="CV54" t="s">
        <v>1045</v>
      </c>
      <c r="CW54">
        <v>0</v>
      </c>
      <c r="CX54">
        <v>0</v>
      </c>
      <c r="CY54">
        <v>0</v>
      </c>
      <c r="CZ54">
        <v>0</v>
      </c>
      <c r="DB54">
        <v>0</v>
      </c>
      <c r="DC54" t="s">
        <v>1043</v>
      </c>
      <c r="DF54" t="s">
        <v>1055</v>
      </c>
      <c r="DH54">
        <v>0</v>
      </c>
      <c r="DJ54">
        <v>0</v>
      </c>
      <c r="DK54" t="s">
        <v>1053</v>
      </c>
      <c r="DL54">
        <v>0</v>
      </c>
      <c r="DN54">
        <v>0</v>
      </c>
      <c r="DO54" t="s">
        <v>1042</v>
      </c>
      <c r="DP54">
        <v>0</v>
      </c>
      <c r="DQ54">
        <v>0</v>
      </c>
      <c r="DS54">
        <v>0</v>
      </c>
      <c r="DU54">
        <v>0</v>
      </c>
      <c r="DW54">
        <v>0</v>
      </c>
      <c r="DX54" t="s">
        <v>1043</v>
      </c>
      <c r="DY54">
        <v>0</v>
      </c>
      <c r="DZ54">
        <v>0</v>
      </c>
      <c r="EA54">
        <v>0</v>
      </c>
      <c r="ED54" t="s">
        <v>1045</v>
      </c>
      <c r="EE54">
        <v>0</v>
      </c>
      <c r="EF54">
        <v>0</v>
      </c>
      <c r="EQ54" t="s">
        <v>1044</v>
      </c>
      <c r="ES54" t="s">
        <v>1053</v>
      </c>
      <c r="ET54">
        <v>0</v>
      </c>
      <c r="EV54">
        <v>0</v>
      </c>
      <c r="EY54" t="s">
        <v>1052</v>
      </c>
      <c r="EZ54">
        <v>0</v>
      </c>
      <c r="FA54" t="s">
        <v>1043</v>
      </c>
      <c r="FB54">
        <v>0</v>
      </c>
      <c r="FC54">
        <v>0</v>
      </c>
      <c r="FE54" t="s">
        <v>1050</v>
      </c>
      <c r="FF54">
        <v>0</v>
      </c>
      <c r="FG54" t="s">
        <v>1050</v>
      </c>
      <c r="FJ54">
        <v>0</v>
      </c>
      <c r="FK54">
        <v>0</v>
      </c>
      <c r="FP54">
        <v>0</v>
      </c>
      <c r="FR54">
        <v>0</v>
      </c>
      <c r="FS54" t="s">
        <v>1043</v>
      </c>
      <c r="FX54" t="s">
        <v>1042</v>
      </c>
      <c r="FZ54" t="s">
        <v>1048</v>
      </c>
      <c r="GA54">
        <v>0</v>
      </c>
      <c r="GB54" t="s">
        <v>1042</v>
      </c>
      <c r="GE54">
        <v>0</v>
      </c>
      <c r="GG54">
        <v>0</v>
      </c>
      <c r="GN54">
        <v>0</v>
      </c>
      <c r="GO54" t="s">
        <v>1063</v>
      </c>
      <c r="GQ54">
        <v>0</v>
      </c>
      <c r="GU54">
        <v>0</v>
      </c>
      <c r="GY54" t="s">
        <v>1045</v>
      </c>
      <c r="HB54">
        <v>0</v>
      </c>
      <c r="HE54">
        <v>0</v>
      </c>
      <c r="HF54">
        <v>0</v>
      </c>
      <c r="HG54">
        <v>0</v>
      </c>
      <c r="HK54" t="s">
        <v>1042</v>
      </c>
      <c r="HM54" t="s">
        <v>1047</v>
      </c>
      <c r="HN54">
        <v>0</v>
      </c>
      <c r="HP54">
        <v>0</v>
      </c>
      <c r="HQ54">
        <v>0</v>
      </c>
      <c r="HR54" t="s">
        <v>1042</v>
      </c>
      <c r="HS54" t="s">
        <v>1043</v>
      </c>
      <c r="HT54">
        <v>0</v>
      </c>
      <c r="HU54">
        <v>0</v>
      </c>
      <c r="HW54">
        <v>0</v>
      </c>
      <c r="HX54">
        <v>0</v>
      </c>
      <c r="HY54">
        <v>0</v>
      </c>
      <c r="HZ54" t="s">
        <v>1045</v>
      </c>
      <c r="IA54">
        <v>0</v>
      </c>
      <c r="IB54" t="s">
        <v>1045</v>
      </c>
      <c r="ID54" t="s">
        <v>1045</v>
      </c>
      <c r="IF54">
        <v>0</v>
      </c>
      <c r="IG54" t="s">
        <v>1042</v>
      </c>
      <c r="II54" t="s">
        <v>1042</v>
      </c>
      <c r="IR54" t="s">
        <v>1045</v>
      </c>
      <c r="IT54">
        <v>0</v>
      </c>
      <c r="IY54" t="s">
        <v>1044</v>
      </c>
      <c r="IZ54" t="s">
        <v>1043</v>
      </c>
      <c r="JC54" t="s">
        <v>1043</v>
      </c>
      <c r="JE54">
        <v>0</v>
      </c>
      <c r="JF54">
        <v>0</v>
      </c>
      <c r="JI54" t="s">
        <v>1042</v>
      </c>
      <c r="JJ54">
        <v>0</v>
      </c>
      <c r="JK54">
        <v>0</v>
      </c>
      <c r="JL54">
        <v>0</v>
      </c>
      <c r="JM54">
        <v>0</v>
      </c>
      <c r="JQ54" t="s">
        <v>1043</v>
      </c>
      <c r="JT54">
        <v>0</v>
      </c>
      <c r="JU54" t="s">
        <v>1042</v>
      </c>
      <c r="JW54">
        <v>0</v>
      </c>
      <c r="KA54">
        <v>0</v>
      </c>
      <c r="KF54">
        <v>0</v>
      </c>
      <c r="KG54">
        <v>0</v>
      </c>
      <c r="KH54">
        <v>0</v>
      </c>
      <c r="KI54">
        <v>0</v>
      </c>
      <c r="KS54" t="s">
        <v>1073</v>
      </c>
      <c r="KT54">
        <v>0</v>
      </c>
      <c r="KU54">
        <v>0</v>
      </c>
      <c r="KV54">
        <v>0</v>
      </c>
      <c r="KX54">
        <v>0</v>
      </c>
      <c r="KZ54">
        <v>0</v>
      </c>
      <c r="LF54">
        <v>0</v>
      </c>
      <c r="LH54">
        <v>0</v>
      </c>
      <c r="LI54">
        <v>0</v>
      </c>
    </row>
    <row r="55" spans="1:321" x14ac:dyDescent="0.35">
      <c r="A55">
        <v>1</v>
      </c>
      <c r="B55">
        <v>12296</v>
      </c>
      <c r="C55" t="s">
        <v>1658</v>
      </c>
      <c r="D55" t="s">
        <v>1139</v>
      </c>
      <c r="E55" t="s">
        <v>85</v>
      </c>
      <c r="F55">
        <v>80</v>
      </c>
      <c r="G55">
        <v>9000</v>
      </c>
      <c r="H55">
        <v>0</v>
      </c>
      <c r="I55" t="s">
        <v>1050</v>
      </c>
      <c r="L55">
        <v>0</v>
      </c>
      <c r="M55">
        <v>0</v>
      </c>
      <c r="N55">
        <v>0</v>
      </c>
      <c r="R55">
        <v>0</v>
      </c>
      <c r="S55">
        <v>0</v>
      </c>
      <c r="W55" t="s">
        <v>1060</v>
      </c>
      <c r="X55">
        <v>0</v>
      </c>
      <c r="Z55">
        <v>1</v>
      </c>
      <c r="AA55">
        <v>0</v>
      </c>
      <c r="AB55">
        <v>0</v>
      </c>
      <c r="AC55">
        <v>0</v>
      </c>
      <c r="AD55" s="20">
        <v>40781</v>
      </c>
      <c r="AE55">
        <v>197</v>
      </c>
      <c r="AF55">
        <v>0</v>
      </c>
      <c r="AH55">
        <v>0</v>
      </c>
      <c r="AJ55">
        <v>0</v>
      </c>
      <c r="AL55">
        <v>0</v>
      </c>
      <c r="AM55">
        <v>0</v>
      </c>
      <c r="AN55">
        <v>16601003</v>
      </c>
      <c r="AO55">
        <v>0</v>
      </c>
      <c r="AP55">
        <v>1000</v>
      </c>
      <c r="AT55">
        <v>0</v>
      </c>
      <c r="AU55" t="s">
        <v>1059</v>
      </c>
      <c r="AW55" t="s">
        <v>1053</v>
      </c>
      <c r="AX55">
        <v>0</v>
      </c>
      <c r="AY55" s="20">
        <v>40781</v>
      </c>
      <c r="BA55" s="20">
        <v>40781</v>
      </c>
      <c r="BB55" t="s">
        <v>1058</v>
      </c>
      <c r="BD55">
        <v>0</v>
      </c>
      <c r="BF55" t="s">
        <v>1043</v>
      </c>
      <c r="BG55" t="s">
        <v>1042</v>
      </c>
      <c r="BH55">
        <v>0</v>
      </c>
      <c r="BI55">
        <v>1</v>
      </c>
      <c r="BJ55">
        <v>0</v>
      </c>
      <c r="BK55">
        <v>0</v>
      </c>
      <c r="BM55" t="s">
        <v>1042</v>
      </c>
      <c r="BN55">
        <v>0</v>
      </c>
      <c r="BR55" t="s">
        <v>1043</v>
      </c>
      <c r="BS55" t="s">
        <v>1043</v>
      </c>
      <c r="BT55" t="s">
        <v>1043</v>
      </c>
      <c r="BW55">
        <v>83</v>
      </c>
      <c r="CA55">
        <v>0</v>
      </c>
      <c r="CB55" t="s">
        <v>1057</v>
      </c>
      <c r="CE55" t="s">
        <v>1043</v>
      </c>
      <c r="CH55" t="s">
        <v>1043</v>
      </c>
      <c r="CN55" t="s">
        <v>1056</v>
      </c>
      <c r="CO55" t="s">
        <v>1043</v>
      </c>
      <c r="CP55">
        <v>1</v>
      </c>
      <c r="CQ55">
        <v>0</v>
      </c>
      <c r="CS55">
        <v>0</v>
      </c>
      <c r="CT55">
        <v>0</v>
      </c>
      <c r="CU55">
        <v>0</v>
      </c>
      <c r="CV55" t="s">
        <v>1045</v>
      </c>
      <c r="CW55">
        <v>0</v>
      </c>
      <c r="CX55">
        <v>0</v>
      </c>
      <c r="CY55">
        <v>0</v>
      </c>
      <c r="CZ55">
        <v>0</v>
      </c>
      <c r="DB55">
        <v>0</v>
      </c>
      <c r="DC55" t="s">
        <v>1043</v>
      </c>
      <c r="DF55" t="s">
        <v>1055</v>
      </c>
      <c r="DH55">
        <v>0</v>
      </c>
      <c r="DJ55">
        <v>0</v>
      </c>
      <c r="DK55" t="s">
        <v>1053</v>
      </c>
      <c r="DL55">
        <v>0</v>
      </c>
      <c r="DN55">
        <v>0</v>
      </c>
      <c r="DO55" t="s">
        <v>1042</v>
      </c>
      <c r="DP55">
        <v>0</v>
      </c>
      <c r="DQ55">
        <v>0</v>
      </c>
      <c r="DS55">
        <v>0</v>
      </c>
      <c r="DU55">
        <v>0</v>
      </c>
      <c r="DW55">
        <v>0</v>
      </c>
      <c r="DX55" t="s">
        <v>1043</v>
      </c>
      <c r="DY55">
        <v>0</v>
      </c>
      <c r="DZ55">
        <v>0</v>
      </c>
      <c r="EA55">
        <v>0</v>
      </c>
      <c r="ED55" t="s">
        <v>1045</v>
      </c>
      <c r="EE55">
        <v>0</v>
      </c>
      <c r="EF55">
        <v>0</v>
      </c>
      <c r="EQ55" t="s">
        <v>1044</v>
      </c>
      <c r="ES55" t="s">
        <v>1053</v>
      </c>
      <c r="ET55">
        <v>0</v>
      </c>
      <c r="EV55">
        <v>0</v>
      </c>
      <c r="EY55" t="s">
        <v>1052</v>
      </c>
      <c r="EZ55">
        <v>0</v>
      </c>
      <c r="FA55" t="s">
        <v>1043</v>
      </c>
      <c r="FB55">
        <v>0</v>
      </c>
      <c r="FC55">
        <v>0</v>
      </c>
      <c r="FE55" t="s">
        <v>1050</v>
      </c>
      <c r="FF55">
        <v>0</v>
      </c>
      <c r="FG55" t="s">
        <v>1050</v>
      </c>
      <c r="FJ55">
        <v>0</v>
      </c>
      <c r="FK55">
        <v>0</v>
      </c>
      <c r="FP55">
        <v>0</v>
      </c>
      <c r="FR55">
        <v>0</v>
      </c>
      <c r="FS55" t="s">
        <v>1043</v>
      </c>
      <c r="FX55" t="s">
        <v>1042</v>
      </c>
      <c r="FZ55" t="s">
        <v>1048</v>
      </c>
      <c r="GA55">
        <v>0</v>
      </c>
      <c r="GB55" t="s">
        <v>1042</v>
      </c>
      <c r="GE55">
        <v>0</v>
      </c>
      <c r="GG55">
        <v>0</v>
      </c>
      <c r="GN55">
        <v>0</v>
      </c>
      <c r="GO55" t="s">
        <v>1063</v>
      </c>
      <c r="GQ55">
        <v>0</v>
      </c>
      <c r="GU55">
        <v>0</v>
      </c>
      <c r="GY55" t="s">
        <v>1045</v>
      </c>
      <c r="HB55">
        <v>0</v>
      </c>
      <c r="HE55">
        <v>0</v>
      </c>
      <c r="HF55">
        <v>0</v>
      </c>
      <c r="HG55">
        <v>0</v>
      </c>
      <c r="HK55" t="s">
        <v>1042</v>
      </c>
      <c r="HM55" t="s">
        <v>1047</v>
      </c>
      <c r="HN55">
        <v>0</v>
      </c>
      <c r="HP55">
        <v>0</v>
      </c>
      <c r="HQ55">
        <v>0</v>
      </c>
      <c r="HR55" t="s">
        <v>1042</v>
      </c>
      <c r="HS55" t="s">
        <v>1043</v>
      </c>
      <c r="HT55">
        <v>0</v>
      </c>
      <c r="HU55">
        <v>0</v>
      </c>
      <c r="HW55">
        <v>0</v>
      </c>
      <c r="HX55">
        <v>0</v>
      </c>
      <c r="HY55">
        <v>0</v>
      </c>
      <c r="HZ55" t="s">
        <v>1045</v>
      </c>
      <c r="IA55">
        <v>0</v>
      </c>
      <c r="IB55" t="s">
        <v>1045</v>
      </c>
      <c r="ID55" t="s">
        <v>1045</v>
      </c>
      <c r="IF55">
        <v>0</v>
      </c>
      <c r="IG55" t="s">
        <v>1042</v>
      </c>
      <c r="II55" t="s">
        <v>1042</v>
      </c>
      <c r="IR55" t="s">
        <v>1045</v>
      </c>
      <c r="IT55">
        <v>0</v>
      </c>
      <c r="IY55" t="s">
        <v>1044</v>
      </c>
      <c r="IZ55" t="s">
        <v>1043</v>
      </c>
      <c r="JC55" t="s">
        <v>1043</v>
      </c>
      <c r="JE55">
        <v>0</v>
      </c>
      <c r="JF55">
        <v>0</v>
      </c>
      <c r="JI55" t="s">
        <v>1042</v>
      </c>
      <c r="JJ55">
        <v>0</v>
      </c>
      <c r="JK55">
        <v>0</v>
      </c>
      <c r="JL55">
        <v>0</v>
      </c>
      <c r="JM55">
        <v>0</v>
      </c>
      <c r="JQ55" t="s">
        <v>1043</v>
      </c>
      <c r="JT55">
        <v>0</v>
      </c>
      <c r="JU55" t="s">
        <v>1042</v>
      </c>
      <c r="JW55">
        <v>0</v>
      </c>
      <c r="KA55">
        <v>0</v>
      </c>
      <c r="KF55">
        <v>0</v>
      </c>
      <c r="KG55">
        <v>0</v>
      </c>
      <c r="KH55">
        <v>0</v>
      </c>
      <c r="KI55">
        <v>0</v>
      </c>
      <c r="KS55" t="s">
        <v>1073</v>
      </c>
      <c r="KT55">
        <v>0</v>
      </c>
      <c r="KU55">
        <v>0</v>
      </c>
      <c r="KV55">
        <v>0</v>
      </c>
      <c r="KX55">
        <v>0</v>
      </c>
      <c r="KZ55">
        <v>0</v>
      </c>
      <c r="LF55">
        <v>0</v>
      </c>
      <c r="LH55">
        <v>0</v>
      </c>
      <c r="LI55">
        <v>0</v>
      </c>
    </row>
    <row r="56" spans="1:321" x14ac:dyDescent="0.35">
      <c r="A56">
        <v>1</v>
      </c>
      <c r="B56">
        <v>12297</v>
      </c>
      <c r="C56" t="s">
        <v>1657</v>
      </c>
      <c r="D56" t="s">
        <v>1139</v>
      </c>
      <c r="E56" t="s">
        <v>1085</v>
      </c>
      <c r="F56">
        <v>80</v>
      </c>
      <c r="G56">
        <v>9000</v>
      </c>
      <c r="H56">
        <v>0</v>
      </c>
      <c r="I56" t="s">
        <v>1656</v>
      </c>
      <c r="L56">
        <v>0</v>
      </c>
      <c r="M56">
        <v>0</v>
      </c>
      <c r="N56">
        <v>0</v>
      </c>
      <c r="R56">
        <v>0</v>
      </c>
      <c r="S56">
        <v>0</v>
      </c>
      <c r="W56" t="s">
        <v>1060</v>
      </c>
      <c r="X56">
        <v>0</v>
      </c>
      <c r="Z56">
        <v>1</v>
      </c>
      <c r="AA56">
        <v>0</v>
      </c>
      <c r="AB56">
        <v>0</v>
      </c>
      <c r="AC56">
        <v>26.088000000000001</v>
      </c>
      <c r="AD56" s="20">
        <v>44501</v>
      </c>
      <c r="AE56">
        <v>28.75</v>
      </c>
      <c r="AF56">
        <v>0</v>
      </c>
      <c r="AH56">
        <v>0</v>
      </c>
      <c r="AJ56">
        <v>0</v>
      </c>
      <c r="AL56">
        <v>1</v>
      </c>
      <c r="AM56">
        <v>0</v>
      </c>
      <c r="AN56">
        <v>16601003</v>
      </c>
      <c r="AO56">
        <v>0</v>
      </c>
      <c r="AP56">
        <v>1000</v>
      </c>
      <c r="AT56">
        <v>0</v>
      </c>
      <c r="AU56" t="s">
        <v>1059</v>
      </c>
      <c r="AW56" t="s">
        <v>1053</v>
      </c>
      <c r="AX56">
        <v>0</v>
      </c>
      <c r="AY56" s="20">
        <v>40781</v>
      </c>
      <c r="BA56" s="20">
        <v>40781</v>
      </c>
      <c r="BB56" t="s">
        <v>1058</v>
      </c>
      <c r="BD56">
        <v>0</v>
      </c>
      <c r="BF56" t="s">
        <v>1043</v>
      </c>
      <c r="BG56" t="s">
        <v>1042</v>
      </c>
      <c r="BH56">
        <v>0</v>
      </c>
      <c r="BI56">
        <v>1</v>
      </c>
      <c r="BJ56">
        <v>0</v>
      </c>
      <c r="BK56">
        <v>0</v>
      </c>
      <c r="BM56" t="s">
        <v>1042</v>
      </c>
      <c r="BN56">
        <v>0</v>
      </c>
      <c r="BR56" t="s">
        <v>1043</v>
      </c>
      <c r="BS56" t="s">
        <v>1043</v>
      </c>
      <c r="BT56" t="s">
        <v>1043</v>
      </c>
      <c r="BW56">
        <v>83</v>
      </c>
      <c r="CA56">
        <v>0</v>
      </c>
      <c r="CB56" t="s">
        <v>1057</v>
      </c>
      <c r="CE56" t="s">
        <v>1043</v>
      </c>
      <c r="CH56" t="s">
        <v>1043</v>
      </c>
      <c r="CN56" t="s">
        <v>1056</v>
      </c>
      <c r="CO56" t="s">
        <v>1043</v>
      </c>
      <c r="CP56">
        <v>1</v>
      </c>
      <c r="CQ56">
        <v>0</v>
      </c>
      <c r="CS56">
        <v>0</v>
      </c>
      <c r="CT56">
        <v>0</v>
      </c>
      <c r="CU56">
        <v>0</v>
      </c>
      <c r="CV56" t="s">
        <v>1045</v>
      </c>
      <c r="CW56">
        <v>0</v>
      </c>
      <c r="CX56">
        <v>0</v>
      </c>
      <c r="CY56">
        <v>0</v>
      </c>
      <c r="CZ56">
        <v>0</v>
      </c>
      <c r="DB56">
        <v>0</v>
      </c>
      <c r="DC56" t="s">
        <v>1043</v>
      </c>
      <c r="DF56" t="s">
        <v>1055</v>
      </c>
      <c r="DH56">
        <v>0</v>
      </c>
      <c r="DJ56">
        <v>0</v>
      </c>
      <c r="DK56" t="s">
        <v>1053</v>
      </c>
      <c r="DL56">
        <v>0</v>
      </c>
      <c r="DN56">
        <v>0</v>
      </c>
      <c r="DO56" t="s">
        <v>1042</v>
      </c>
      <c r="DP56">
        <v>0</v>
      </c>
      <c r="DQ56">
        <v>0</v>
      </c>
      <c r="DS56">
        <v>0</v>
      </c>
      <c r="DU56">
        <v>0</v>
      </c>
      <c r="DW56">
        <v>0</v>
      </c>
      <c r="DX56" t="s">
        <v>1043</v>
      </c>
      <c r="DY56">
        <v>0</v>
      </c>
      <c r="DZ56">
        <v>0</v>
      </c>
      <c r="EA56">
        <v>0</v>
      </c>
      <c r="ED56" t="s">
        <v>1045</v>
      </c>
      <c r="EE56">
        <v>0</v>
      </c>
      <c r="EF56">
        <v>0</v>
      </c>
      <c r="EQ56" t="s">
        <v>1044</v>
      </c>
      <c r="ES56" t="s">
        <v>1053</v>
      </c>
      <c r="ET56">
        <v>0</v>
      </c>
      <c r="EV56">
        <v>0</v>
      </c>
      <c r="EY56" t="s">
        <v>1052</v>
      </c>
      <c r="EZ56">
        <v>0</v>
      </c>
      <c r="FA56" t="s">
        <v>1043</v>
      </c>
      <c r="FB56">
        <v>0</v>
      </c>
      <c r="FC56">
        <v>0</v>
      </c>
      <c r="FE56" t="s">
        <v>1050</v>
      </c>
      <c r="FF56">
        <v>0</v>
      </c>
      <c r="FG56" t="s">
        <v>1050</v>
      </c>
      <c r="FJ56">
        <v>0</v>
      </c>
      <c r="FK56">
        <v>0</v>
      </c>
      <c r="FP56">
        <v>0</v>
      </c>
      <c r="FR56">
        <v>0</v>
      </c>
      <c r="FS56" t="s">
        <v>1043</v>
      </c>
      <c r="FX56" t="s">
        <v>1042</v>
      </c>
      <c r="FZ56" t="s">
        <v>1048</v>
      </c>
      <c r="GA56">
        <v>0</v>
      </c>
      <c r="GB56" t="s">
        <v>1042</v>
      </c>
      <c r="GE56">
        <v>0</v>
      </c>
      <c r="GG56">
        <v>0</v>
      </c>
      <c r="GN56">
        <v>0</v>
      </c>
      <c r="GO56" t="s">
        <v>1063</v>
      </c>
      <c r="GQ56">
        <v>0</v>
      </c>
      <c r="GU56">
        <v>0</v>
      </c>
      <c r="GY56" t="s">
        <v>1045</v>
      </c>
      <c r="HB56">
        <v>0</v>
      </c>
      <c r="HE56">
        <v>0</v>
      </c>
      <c r="HF56">
        <v>0</v>
      </c>
      <c r="HG56">
        <v>0</v>
      </c>
      <c r="HK56" t="s">
        <v>1042</v>
      </c>
      <c r="HM56" t="s">
        <v>1047</v>
      </c>
      <c r="HN56">
        <v>0</v>
      </c>
      <c r="HP56">
        <v>0</v>
      </c>
      <c r="HQ56">
        <v>0</v>
      </c>
      <c r="HR56" t="s">
        <v>1042</v>
      </c>
      <c r="HS56" t="s">
        <v>1043</v>
      </c>
      <c r="HT56">
        <v>0</v>
      </c>
      <c r="HU56">
        <v>0</v>
      </c>
      <c r="HW56">
        <v>0</v>
      </c>
      <c r="HX56">
        <v>0</v>
      </c>
      <c r="HY56">
        <v>1</v>
      </c>
      <c r="HZ56" t="s">
        <v>1045</v>
      </c>
      <c r="IA56">
        <v>28.75</v>
      </c>
      <c r="IB56" t="s">
        <v>1045</v>
      </c>
      <c r="ID56" t="s">
        <v>1045</v>
      </c>
      <c r="IF56">
        <v>0</v>
      </c>
      <c r="IG56" t="s">
        <v>1042</v>
      </c>
      <c r="II56" t="s">
        <v>1042</v>
      </c>
      <c r="IR56" t="s">
        <v>1045</v>
      </c>
      <c r="IT56">
        <v>0</v>
      </c>
      <c r="IY56" t="s">
        <v>1044</v>
      </c>
      <c r="IZ56" t="s">
        <v>1043</v>
      </c>
      <c r="JC56" t="s">
        <v>1043</v>
      </c>
      <c r="JE56">
        <v>0</v>
      </c>
      <c r="JF56">
        <v>0</v>
      </c>
      <c r="JI56" t="s">
        <v>1042</v>
      </c>
      <c r="JJ56">
        <v>0</v>
      </c>
      <c r="JK56">
        <v>0</v>
      </c>
      <c r="JL56">
        <v>0</v>
      </c>
      <c r="JM56">
        <v>0</v>
      </c>
      <c r="JQ56" t="s">
        <v>1043</v>
      </c>
      <c r="JT56">
        <v>0</v>
      </c>
      <c r="JU56" t="s">
        <v>1042</v>
      </c>
      <c r="JW56">
        <v>0</v>
      </c>
      <c r="KA56">
        <v>0</v>
      </c>
      <c r="KF56">
        <v>0</v>
      </c>
      <c r="KG56">
        <v>0</v>
      </c>
      <c r="KH56">
        <v>0</v>
      </c>
      <c r="KI56">
        <v>0</v>
      </c>
      <c r="KS56" t="s">
        <v>1073</v>
      </c>
      <c r="KT56">
        <v>0</v>
      </c>
      <c r="KU56">
        <v>0</v>
      </c>
      <c r="KV56">
        <v>0</v>
      </c>
      <c r="KX56">
        <v>0</v>
      </c>
      <c r="KZ56">
        <v>0</v>
      </c>
      <c r="LF56">
        <v>0</v>
      </c>
      <c r="LH56">
        <v>0</v>
      </c>
      <c r="LI56">
        <v>0</v>
      </c>
    </row>
    <row r="57" spans="1:321" x14ac:dyDescent="0.35">
      <c r="A57">
        <v>1</v>
      </c>
      <c r="B57">
        <v>12298</v>
      </c>
      <c r="C57" t="s">
        <v>1655</v>
      </c>
      <c r="D57" t="s">
        <v>1139</v>
      </c>
      <c r="E57" t="s">
        <v>19</v>
      </c>
      <c r="F57">
        <v>80</v>
      </c>
      <c r="G57">
        <v>9000</v>
      </c>
      <c r="H57">
        <v>0</v>
      </c>
      <c r="I57" t="s">
        <v>1653</v>
      </c>
      <c r="L57">
        <v>0</v>
      </c>
      <c r="M57">
        <v>0</v>
      </c>
      <c r="N57">
        <v>0</v>
      </c>
      <c r="R57">
        <v>0</v>
      </c>
      <c r="S57">
        <v>0</v>
      </c>
      <c r="W57" t="s">
        <v>1060</v>
      </c>
      <c r="X57">
        <v>0</v>
      </c>
      <c r="Z57">
        <v>1</v>
      </c>
      <c r="AA57">
        <v>0</v>
      </c>
      <c r="AB57">
        <v>0</v>
      </c>
      <c r="AC57">
        <v>14.2</v>
      </c>
      <c r="AD57" s="20">
        <v>40781</v>
      </c>
      <c r="AE57">
        <v>14.2</v>
      </c>
      <c r="AF57">
        <v>0</v>
      </c>
      <c r="AH57">
        <v>0</v>
      </c>
      <c r="AJ57">
        <v>0</v>
      </c>
      <c r="AL57">
        <v>0</v>
      </c>
      <c r="AM57">
        <v>0</v>
      </c>
      <c r="AN57">
        <v>16601003</v>
      </c>
      <c r="AO57">
        <v>0</v>
      </c>
      <c r="AP57">
        <v>1000</v>
      </c>
      <c r="AT57">
        <v>0</v>
      </c>
      <c r="AU57" t="s">
        <v>1059</v>
      </c>
      <c r="AW57" t="s">
        <v>1053</v>
      </c>
      <c r="AX57">
        <v>0</v>
      </c>
      <c r="AY57" s="20">
        <v>40781</v>
      </c>
      <c r="BA57" s="20">
        <v>40781</v>
      </c>
      <c r="BB57" t="s">
        <v>1058</v>
      </c>
      <c r="BD57">
        <v>0</v>
      </c>
      <c r="BF57" t="s">
        <v>1043</v>
      </c>
      <c r="BG57" t="s">
        <v>1042</v>
      </c>
      <c r="BH57">
        <v>0</v>
      </c>
      <c r="BI57">
        <v>1</v>
      </c>
      <c r="BJ57">
        <v>0</v>
      </c>
      <c r="BK57">
        <v>0</v>
      </c>
      <c r="BM57" t="s">
        <v>1042</v>
      </c>
      <c r="BN57">
        <v>0</v>
      </c>
      <c r="BR57" t="s">
        <v>1043</v>
      </c>
      <c r="BS57" t="s">
        <v>1043</v>
      </c>
      <c r="BT57" t="s">
        <v>1043</v>
      </c>
      <c r="BW57">
        <v>83</v>
      </c>
      <c r="CA57">
        <v>0</v>
      </c>
      <c r="CB57" t="s">
        <v>1057</v>
      </c>
      <c r="CE57" t="s">
        <v>1043</v>
      </c>
      <c r="CH57" t="s">
        <v>1043</v>
      </c>
      <c r="CN57" t="s">
        <v>1056</v>
      </c>
      <c r="CO57" t="s">
        <v>1043</v>
      </c>
      <c r="CP57">
        <v>1</v>
      </c>
      <c r="CQ57">
        <v>0</v>
      </c>
      <c r="CS57">
        <v>0</v>
      </c>
      <c r="CT57">
        <v>0</v>
      </c>
      <c r="CU57">
        <v>0</v>
      </c>
      <c r="CV57" t="s">
        <v>1045</v>
      </c>
      <c r="CW57">
        <v>0</v>
      </c>
      <c r="CX57">
        <v>0</v>
      </c>
      <c r="CY57">
        <v>0</v>
      </c>
      <c r="CZ57">
        <v>0</v>
      </c>
      <c r="DB57">
        <v>0</v>
      </c>
      <c r="DC57" t="s">
        <v>1043</v>
      </c>
      <c r="DF57" t="s">
        <v>1055</v>
      </c>
      <c r="DH57">
        <v>0</v>
      </c>
      <c r="DJ57">
        <v>0</v>
      </c>
      <c r="DK57" t="s">
        <v>1053</v>
      </c>
      <c r="DL57">
        <v>0</v>
      </c>
      <c r="DN57">
        <v>0</v>
      </c>
      <c r="DO57" t="s">
        <v>1042</v>
      </c>
      <c r="DP57">
        <v>0</v>
      </c>
      <c r="DQ57">
        <v>0</v>
      </c>
      <c r="DS57">
        <v>0</v>
      </c>
      <c r="DU57">
        <v>0</v>
      </c>
      <c r="DW57">
        <v>0</v>
      </c>
      <c r="DX57" t="s">
        <v>1043</v>
      </c>
      <c r="DY57">
        <v>0</v>
      </c>
      <c r="DZ57">
        <v>0</v>
      </c>
      <c r="EA57">
        <v>0</v>
      </c>
      <c r="ED57" t="s">
        <v>1045</v>
      </c>
      <c r="EE57">
        <v>0</v>
      </c>
      <c r="EF57">
        <v>0</v>
      </c>
      <c r="EQ57" t="s">
        <v>1044</v>
      </c>
      <c r="ES57" t="s">
        <v>1053</v>
      </c>
      <c r="ET57">
        <v>0</v>
      </c>
      <c r="EV57">
        <v>0</v>
      </c>
      <c r="EY57" t="s">
        <v>1052</v>
      </c>
      <c r="EZ57">
        <v>0</v>
      </c>
      <c r="FA57" t="s">
        <v>1043</v>
      </c>
      <c r="FB57">
        <v>0</v>
      </c>
      <c r="FC57">
        <v>0</v>
      </c>
      <c r="FE57" t="s">
        <v>1050</v>
      </c>
      <c r="FF57">
        <v>0</v>
      </c>
      <c r="FG57" t="s">
        <v>1050</v>
      </c>
      <c r="FJ57">
        <v>0</v>
      </c>
      <c r="FK57">
        <v>0</v>
      </c>
      <c r="FP57">
        <v>0</v>
      </c>
      <c r="FR57">
        <v>0</v>
      </c>
      <c r="FS57" t="s">
        <v>1043</v>
      </c>
      <c r="FX57" t="s">
        <v>1042</v>
      </c>
      <c r="FZ57" t="s">
        <v>1048</v>
      </c>
      <c r="GA57">
        <v>0</v>
      </c>
      <c r="GB57" t="s">
        <v>1042</v>
      </c>
      <c r="GE57">
        <v>0</v>
      </c>
      <c r="GG57">
        <v>0</v>
      </c>
      <c r="GN57">
        <v>0</v>
      </c>
      <c r="GO57" t="s">
        <v>1063</v>
      </c>
      <c r="GQ57">
        <v>0</v>
      </c>
      <c r="GU57">
        <v>0</v>
      </c>
      <c r="GY57" t="s">
        <v>1045</v>
      </c>
      <c r="HB57">
        <v>0</v>
      </c>
      <c r="HE57">
        <v>0</v>
      </c>
      <c r="HF57">
        <v>0</v>
      </c>
      <c r="HG57">
        <v>0</v>
      </c>
      <c r="HK57" t="s">
        <v>1042</v>
      </c>
      <c r="HM57" t="s">
        <v>1047</v>
      </c>
      <c r="HN57">
        <v>0</v>
      </c>
      <c r="HP57">
        <v>0</v>
      </c>
      <c r="HQ57">
        <v>0</v>
      </c>
      <c r="HR57" t="s">
        <v>1042</v>
      </c>
      <c r="HS57" t="s">
        <v>1043</v>
      </c>
      <c r="HT57">
        <v>0</v>
      </c>
      <c r="HU57">
        <v>0</v>
      </c>
      <c r="HW57">
        <v>0</v>
      </c>
      <c r="HX57">
        <v>0</v>
      </c>
      <c r="HY57">
        <v>0</v>
      </c>
      <c r="HZ57" t="s">
        <v>1045</v>
      </c>
      <c r="IA57">
        <v>0</v>
      </c>
      <c r="IB57" t="s">
        <v>1045</v>
      </c>
      <c r="ID57" t="s">
        <v>1045</v>
      </c>
      <c r="IF57">
        <v>0</v>
      </c>
      <c r="IG57" t="s">
        <v>1042</v>
      </c>
      <c r="II57" t="s">
        <v>1042</v>
      </c>
      <c r="IR57" t="s">
        <v>1045</v>
      </c>
      <c r="IT57">
        <v>0</v>
      </c>
      <c r="IY57" t="s">
        <v>1044</v>
      </c>
      <c r="IZ57" t="s">
        <v>1043</v>
      </c>
      <c r="JC57" t="s">
        <v>1043</v>
      </c>
      <c r="JE57">
        <v>0</v>
      </c>
      <c r="JF57">
        <v>0</v>
      </c>
      <c r="JI57" t="s">
        <v>1042</v>
      </c>
      <c r="JJ57">
        <v>0</v>
      </c>
      <c r="JK57">
        <v>0</v>
      </c>
      <c r="JL57">
        <v>0</v>
      </c>
      <c r="JM57">
        <v>0</v>
      </c>
      <c r="JQ57" t="s">
        <v>1043</v>
      </c>
      <c r="JT57">
        <v>0</v>
      </c>
      <c r="JU57" t="s">
        <v>1042</v>
      </c>
      <c r="JW57">
        <v>0</v>
      </c>
      <c r="KA57">
        <v>0</v>
      </c>
      <c r="KF57">
        <v>0</v>
      </c>
      <c r="KG57">
        <v>0</v>
      </c>
      <c r="KH57">
        <v>0</v>
      </c>
      <c r="KI57">
        <v>0</v>
      </c>
      <c r="KS57" t="s">
        <v>1073</v>
      </c>
      <c r="KT57">
        <v>0</v>
      </c>
      <c r="KU57">
        <v>0</v>
      </c>
      <c r="KV57">
        <v>0</v>
      </c>
      <c r="KX57">
        <v>0</v>
      </c>
      <c r="KZ57">
        <v>0</v>
      </c>
      <c r="LF57">
        <v>0</v>
      </c>
      <c r="LH57">
        <v>0</v>
      </c>
      <c r="LI57">
        <v>0</v>
      </c>
    </row>
    <row r="58" spans="1:321" x14ac:dyDescent="0.35">
      <c r="A58">
        <v>1</v>
      </c>
      <c r="B58">
        <v>12299</v>
      </c>
      <c r="C58" t="s">
        <v>1654</v>
      </c>
      <c r="D58" t="s">
        <v>1139</v>
      </c>
      <c r="E58" t="s">
        <v>19</v>
      </c>
      <c r="F58">
        <v>80</v>
      </c>
      <c r="G58">
        <v>9000</v>
      </c>
      <c r="H58">
        <v>0</v>
      </c>
      <c r="I58" t="s">
        <v>1653</v>
      </c>
      <c r="L58">
        <v>0</v>
      </c>
      <c r="M58">
        <v>0</v>
      </c>
      <c r="N58">
        <v>0</v>
      </c>
      <c r="R58">
        <v>0</v>
      </c>
      <c r="S58">
        <v>0</v>
      </c>
      <c r="W58" t="s">
        <v>1060</v>
      </c>
      <c r="X58">
        <v>0</v>
      </c>
      <c r="Z58">
        <v>1</v>
      </c>
      <c r="AA58">
        <v>0</v>
      </c>
      <c r="AB58">
        <v>0</v>
      </c>
      <c r="AC58">
        <v>20.059999999999999</v>
      </c>
      <c r="AD58" s="20">
        <v>40781</v>
      </c>
      <c r="AE58">
        <v>20.059999999999999</v>
      </c>
      <c r="AF58">
        <v>0</v>
      </c>
      <c r="AH58">
        <v>0</v>
      </c>
      <c r="AJ58">
        <v>0</v>
      </c>
      <c r="AL58">
        <v>0</v>
      </c>
      <c r="AM58">
        <v>0</v>
      </c>
      <c r="AN58">
        <v>16601003</v>
      </c>
      <c r="AO58">
        <v>0</v>
      </c>
      <c r="AP58">
        <v>1000</v>
      </c>
      <c r="AT58">
        <v>0</v>
      </c>
      <c r="AU58" t="s">
        <v>1059</v>
      </c>
      <c r="AW58" t="s">
        <v>1053</v>
      </c>
      <c r="AX58">
        <v>0</v>
      </c>
      <c r="AY58" s="20">
        <v>40781</v>
      </c>
      <c r="BA58" s="20">
        <v>40781</v>
      </c>
      <c r="BB58" t="s">
        <v>1058</v>
      </c>
      <c r="BD58">
        <v>0</v>
      </c>
      <c r="BF58" t="s">
        <v>1043</v>
      </c>
      <c r="BG58" t="s">
        <v>1042</v>
      </c>
      <c r="BH58">
        <v>0</v>
      </c>
      <c r="BI58">
        <v>1</v>
      </c>
      <c r="BJ58">
        <v>0</v>
      </c>
      <c r="BK58">
        <v>0</v>
      </c>
      <c r="BM58" t="s">
        <v>1042</v>
      </c>
      <c r="BN58">
        <v>0</v>
      </c>
      <c r="BR58" t="s">
        <v>1043</v>
      </c>
      <c r="BS58" t="s">
        <v>1043</v>
      </c>
      <c r="BT58" t="s">
        <v>1043</v>
      </c>
      <c r="BW58">
        <v>83</v>
      </c>
      <c r="CA58">
        <v>0</v>
      </c>
      <c r="CB58" t="s">
        <v>1057</v>
      </c>
      <c r="CE58" t="s">
        <v>1043</v>
      </c>
      <c r="CH58" t="s">
        <v>1043</v>
      </c>
      <c r="CN58" t="s">
        <v>1056</v>
      </c>
      <c r="CO58" t="s">
        <v>1043</v>
      </c>
      <c r="CP58">
        <v>1</v>
      </c>
      <c r="CQ58">
        <v>0</v>
      </c>
      <c r="CS58">
        <v>0</v>
      </c>
      <c r="CT58">
        <v>0</v>
      </c>
      <c r="CU58">
        <v>0</v>
      </c>
      <c r="CV58" t="s">
        <v>1045</v>
      </c>
      <c r="CW58">
        <v>0</v>
      </c>
      <c r="CX58">
        <v>0</v>
      </c>
      <c r="CY58">
        <v>0</v>
      </c>
      <c r="CZ58">
        <v>0</v>
      </c>
      <c r="DB58">
        <v>0</v>
      </c>
      <c r="DC58" t="s">
        <v>1043</v>
      </c>
      <c r="DF58" t="s">
        <v>1055</v>
      </c>
      <c r="DH58">
        <v>0</v>
      </c>
      <c r="DJ58">
        <v>0</v>
      </c>
      <c r="DK58" t="s">
        <v>1053</v>
      </c>
      <c r="DL58">
        <v>0</v>
      </c>
      <c r="DN58">
        <v>0</v>
      </c>
      <c r="DO58" t="s">
        <v>1042</v>
      </c>
      <c r="DP58">
        <v>0</v>
      </c>
      <c r="DQ58">
        <v>0</v>
      </c>
      <c r="DS58">
        <v>0</v>
      </c>
      <c r="DU58">
        <v>0</v>
      </c>
      <c r="DW58">
        <v>0</v>
      </c>
      <c r="DX58" t="s">
        <v>1043</v>
      </c>
      <c r="DY58">
        <v>0</v>
      </c>
      <c r="DZ58">
        <v>0</v>
      </c>
      <c r="EA58">
        <v>0</v>
      </c>
      <c r="ED58" t="s">
        <v>1045</v>
      </c>
      <c r="EE58">
        <v>0</v>
      </c>
      <c r="EF58">
        <v>0</v>
      </c>
      <c r="EQ58" t="s">
        <v>1044</v>
      </c>
      <c r="ES58" t="s">
        <v>1053</v>
      </c>
      <c r="ET58">
        <v>0</v>
      </c>
      <c r="EV58">
        <v>0</v>
      </c>
      <c r="EY58" t="s">
        <v>1052</v>
      </c>
      <c r="EZ58">
        <v>0</v>
      </c>
      <c r="FA58" t="s">
        <v>1043</v>
      </c>
      <c r="FB58">
        <v>0</v>
      </c>
      <c r="FC58">
        <v>0</v>
      </c>
      <c r="FE58" t="s">
        <v>1050</v>
      </c>
      <c r="FF58">
        <v>0</v>
      </c>
      <c r="FG58" t="s">
        <v>1050</v>
      </c>
      <c r="FJ58">
        <v>0</v>
      </c>
      <c r="FK58">
        <v>0</v>
      </c>
      <c r="FP58">
        <v>0</v>
      </c>
      <c r="FR58">
        <v>0</v>
      </c>
      <c r="FS58" t="s">
        <v>1043</v>
      </c>
      <c r="FX58" t="s">
        <v>1042</v>
      </c>
      <c r="FZ58" t="s">
        <v>1048</v>
      </c>
      <c r="GA58">
        <v>0</v>
      </c>
      <c r="GB58" t="s">
        <v>1042</v>
      </c>
      <c r="GE58">
        <v>0</v>
      </c>
      <c r="GG58">
        <v>0</v>
      </c>
      <c r="GN58">
        <v>0</v>
      </c>
      <c r="GO58" t="s">
        <v>1063</v>
      </c>
      <c r="GQ58">
        <v>0</v>
      </c>
      <c r="GU58">
        <v>0</v>
      </c>
      <c r="GY58" t="s">
        <v>1045</v>
      </c>
      <c r="HB58">
        <v>0</v>
      </c>
      <c r="HE58">
        <v>0</v>
      </c>
      <c r="HF58">
        <v>0</v>
      </c>
      <c r="HG58">
        <v>0</v>
      </c>
      <c r="HK58" t="s">
        <v>1042</v>
      </c>
      <c r="HM58" t="s">
        <v>1047</v>
      </c>
      <c r="HN58">
        <v>0</v>
      </c>
      <c r="HP58">
        <v>0</v>
      </c>
      <c r="HQ58">
        <v>0</v>
      </c>
      <c r="HR58" t="s">
        <v>1042</v>
      </c>
      <c r="HS58" t="s">
        <v>1043</v>
      </c>
      <c r="HT58">
        <v>0</v>
      </c>
      <c r="HU58">
        <v>0</v>
      </c>
      <c r="HW58">
        <v>0</v>
      </c>
      <c r="HX58">
        <v>0</v>
      </c>
      <c r="HY58">
        <v>0</v>
      </c>
      <c r="HZ58" t="s">
        <v>1045</v>
      </c>
      <c r="IA58">
        <v>0</v>
      </c>
      <c r="IB58" t="s">
        <v>1045</v>
      </c>
      <c r="ID58" t="s">
        <v>1045</v>
      </c>
      <c r="IF58">
        <v>0</v>
      </c>
      <c r="IG58" t="s">
        <v>1042</v>
      </c>
      <c r="II58" t="s">
        <v>1042</v>
      </c>
      <c r="IR58" t="s">
        <v>1045</v>
      </c>
      <c r="IT58">
        <v>0</v>
      </c>
      <c r="IY58" t="s">
        <v>1044</v>
      </c>
      <c r="IZ58" t="s">
        <v>1043</v>
      </c>
      <c r="JC58" t="s">
        <v>1043</v>
      </c>
      <c r="JE58">
        <v>0</v>
      </c>
      <c r="JF58">
        <v>0</v>
      </c>
      <c r="JI58" t="s">
        <v>1042</v>
      </c>
      <c r="JJ58">
        <v>0</v>
      </c>
      <c r="JK58">
        <v>0</v>
      </c>
      <c r="JL58">
        <v>0</v>
      </c>
      <c r="JM58">
        <v>0</v>
      </c>
      <c r="JQ58" t="s">
        <v>1043</v>
      </c>
      <c r="JT58">
        <v>0</v>
      </c>
      <c r="JU58" t="s">
        <v>1042</v>
      </c>
      <c r="JW58">
        <v>0</v>
      </c>
      <c r="KA58">
        <v>0</v>
      </c>
      <c r="KF58">
        <v>0</v>
      </c>
      <c r="KG58">
        <v>0</v>
      </c>
      <c r="KH58">
        <v>0</v>
      </c>
      <c r="KI58">
        <v>0</v>
      </c>
      <c r="KS58" t="s">
        <v>1073</v>
      </c>
      <c r="KT58">
        <v>0</v>
      </c>
      <c r="KU58">
        <v>0</v>
      </c>
      <c r="KV58">
        <v>0</v>
      </c>
      <c r="KX58">
        <v>0</v>
      </c>
      <c r="KZ58">
        <v>0</v>
      </c>
      <c r="LF58">
        <v>0</v>
      </c>
      <c r="LH58">
        <v>0</v>
      </c>
      <c r="LI58">
        <v>0</v>
      </c>
    </row>
    <row r="59" spans="1:321" x14ac:dyDescent="0.35">
      <c r="A59">
        <v>1</v>
      </c>
      <c r="B59">
        <v>1230</v>
      </c>
      <c r="C59" t="s">
        <v>631</v>
      </c>
      <c r="D59" t="s">
        <v>1061</v>
      </c>
      <c r="E59" t="s">
        <v>587</v>
      </c>
      <c r="F59">
        <v>1</v>
      </c>
      <c r="G59">
        <v>160</v>
      </c>
      <c r="H59">
        <v>0</v>
      </c>
      <c r="I59" t="s">
        <v>991</v>
      </c>
      <c r="L59">
        <v>0</v>
      </c>
      <c r="M59">
        <v>0</v>
      </c>
      <c r="N59">
        <v>0</v>
      </c>
      <c r="Q59">
        <v>516</v>
      </c>
      <c r="R59">
        <v>0</v>
      </c>
      <c r="S59">
        <v>0</v>
      </c>
      <c r="W59" t="s">
        <v>1060</v>
      </c>
      <c r="X59">
        <v>0</v>
      </c>
      <c r="Z59">
        <v>50</v>
      </c>
      <c r="AA59">
        <v>15.089600000000001</v>
      </c>
      <c r="AB59">
        <v>150846</v>
      </c>
      <c r="AC59">
        <v>0.48599999999999999</v>
      </c>
      <c r="AD59" s="20">
        <v>44664</v>
      </c>
      <c r="AE59">
        <v>0.39</v>
      </c>
      <c r="AF59">
        <v>4.4999999999999998E-2</v>
      </c>
      <c r="AH59">
        <v>74342</v>
      </c>
      <c r="AJ59">
        <v>1</v>
      </c>
      <c r="AK59" t="s">
        <v>1154</v>
      </c>
      <c r="AL59">
        <v>239400</v>
      </c>
      <c r="AM59">
        <v>180</v>
      </c>
      <c r="AN59">
        <v>11501001</v>
      </c>
      <c r="AO59">
        <v>0</v>
      </c>
      <c r="AP59">
        <v>1001</v>
      </c>
      <c r="AT59">
        <v>1</v>
      </c>
      <c r="AU59" t="s">
        <v>1059</v>
      </c>
      <c r="AV59" t="s">
        <v>1043</v>
      </c>
      <c r="AW59" t="s">
        <v>1053</v>
      </c>
      <c r="AX59">
        <v>5</v>
      </c>
      <c r="AY59" s="20">
        <v>42977</v>
      </c>
      <c r="BA59" s="20">
        <v>44252</v>
      </c>
      <c r="BB59" t="s">
        <v>1058</v>
      </c>
      <c r="BD59">
        <v>0</v>
      </c>
      <c r="BF59" t="s">
        <v>1044</v>
      </c>
      <c r="BG59" s="20">
        <v>40340</v>
      </c>
      <c r="BH59">
        <v>0</v>
      </c>
      <c r="BI59">
        <v>33</v>
      </c>
      <c r="BJ59">
        <v>0</v>
      </c>
      <c r="BK59">
        <v>0</v>
      </c>
      <c r="BM59" s="20">
        <v>40290</v>
      </c>
      <c r="BN59">
        <v>0</v>
      </c>
      <c r="BO59">
        <v>7897801309615</v>
      </c>
      <c r="BR59" t="s">
        <v>1043</v>
      </c>
      <c r="BS59" t="s">
        <v>1043</v>
      </c>
      <c r="BT59" t="s">
        <v>1043</v>
      </c>
      <c r="BV59">
        <v>1</v>
      </c>
      <c r="BW59">
        <v>30</v>
      </c>
      <c r="BY59">
        <v>66</v>
      </c>
      <c r="CA59">
        <v>0</v>
      </c>
      <c r="CB59" t="s">
        <v>1043</v>
      </c>
      <c r="CE59" t="s">
        <v>1043</v>
      </c>
      <c r="CH59" t="s">
        <v>1043</v>
      </c>
      <c r="CI59" t="s">
        <v>1383</v>
      </c>
      <c r="CK59" t="s">
        <v>1152</v>
      </c>
      <c r="CN59" t="s">
        <v>1056</v>
      </c>
      <c r="CP59">
        <v>1</v>
      </c>
      <c r="CQ59">
        <v>2000</v>
      </c>
      <c r="CS59">
        <v>0</v>
      </c>
      <c r="CT59">
        <v>0</v>
      </c>
      <c r="CU59">
        <v>0</v>
      </c>
      <c r="CV59" t="s">
        <v>1045</v>
      </c>
      <c r="CW59">
        <v>0</v>
      </c>
      <c r="CX59">
        <v>0</v>
      </c>
      <c r="CY59">
        <v>0</v>
      </c>
      <c r="CZ59">
        <v>0</v>
      </c>
      <c r="DA59">
        <v>32</v>
      </c>
      <c r="DB59">
        <v>400000</v>
      </c>
      <c r="DH59">
        <v>0</v>
      </c>
      <c r="DJ59">
        <v>0</v>
      </c>
      <c r="DL59">
        <v>0</v>
      </c>
      <c r="DN59">
        <v>0</v>
      </c>
      <c r="DO59" t="s">
        <v>1042</v>
      </c>
      <c r="DP59">
        <v>0</v>
      </c>
      <c r="DQ59">
        <v>7.6</v>
      </c>
      <c r="DS59">
        <v>0</v>
      </c>
      <c r="DU59">
        <v>1.65</v>
      </c>
      <c r="DW59">
        <v>0</v>
      </c>
      <c r="DY59">
        <v>0</v>
      </c>
      <c r="DZ59">
        <v>0</v>
      </c>
      <c r="EA59">
        <v>0</v>
      </c>
      <c r="EB59">
        <v>17897801309612</v>
      </c>
      <c r="EE59">
        <v>0</v>
      </c>
      <c r="EF59">
        <v>0</v>
      </c>
      <c r="EK59" t="s">
        <v>1570</v>
      </c>
      <c r="EL59">
        <v>57897801309610</v>
      </c>
      <c r="EN59" t="s">
        <v>1511</v>
      </c>
      <c r="EO59" t="s">
        <v>1044</v>
      </c>
      <c r="ET59">
        <v>0</v>
      </c>
      <c r="EV59">
        <v>0</v>
      </c>
      <c r="EY59" t="s">
        <v>1052</v>
      </c>
      <c r="EZ59">
        <v>0</v>
      </c>
      <c r="FA59" t="s">
        <v>1043</v>
      </c>
      <c r="FB59">
        <v>0</v>
      </c>
      <c r="FC59">
        <v>0</v>
      </c>
      <c r="FD59" t="s">
        <v>1051</v>
      </c>
      <c r="FE59" t="s">
        <v>1050</v>
      </c>
      <c r="FF59">
        <v>0</v>
      </c>
      <c r="FG59" t="s">
        <v>1050</v>
      </c>
      <c r="FH59">
        <v>27897801309619</v>
      </c>
      <c r="FJ59">
        <v>0</v>
      </c>
      <c r="FK59">
        <v>0</v>
      </c>
      <c r="FP59">
        <v>0</v>
      </c>
      <c r="FR59">
        <v>0</v>
      </c>
      <c r="FS59" t="s">
        <v>1043</v>
      </c>
      <c r="FX59" t="s">
        <v>1042</v>
      </c>
      <c r="GA59">
        <v>0</v>
      </c>
      <c r="GB59" t="s">
        <v>1042</v>
      </c>
      <c r="GD59">
        <v>16</v>
      </c>
      <c r="GE59">
        <v>0</v>
      </c>
      <c r="GG59">
        <v>0</v>
      </c>
      <c r="GN59">
        <v>0</v>
      </c>
      <c r="GO59" t="s">
        <v>1049</v>
      </c>
      <c r="GQ59">
        <v>0</v>
      </c>
      <c r="GU59">
        <v>10</v>
      </c>
      <c r="GY59" t="s">
        <v>1045</v>
      </c>
      <c r="HB59">
        <v>0</v>
      </c>
      <c r="HE59">
        <v>12</v>
      </c>
      <c r="HF59">
        <v>0</v>
      </c>
      <c r="HG59">
        <v>3.823E-2</v>
      </c>
      <c r="HK59" t="s">
        <v>1042</v>
      </c>
      <c r="HL59" t="s">
        <v>1048</v>
      </c>
      <c r="HM59">
        <v>0</v>
      </c>
      <c r="HN59">
        <v>0</v>
      </c>
      <c r="HO59">
        <v>24</v>
      </c>
      <c r="HP59">
        <v>4.7699999999999999E-2</v>
      </c>
      <c r="HQ59">
        <v>0</v>
      </c>
      <c r="HR59" s="20">
        <v>44221</v>
      </c>
      <c r="HT59">
        <v>0</v>
      </c>
      <c r="HU59">
        <v>0</v>
      </c>
      <c r="HW59">
        <v>0</v>
      </c>
      <c r="HX59">
        <v>331176</v>
      </c>
      <c r="HY59">
        <v>1</v>
      </c>
      <c r="IA59">
        <v>0.39</v>
      </c>
      <c r="IF59">
        <v>3150</v>
      </c>
      <c r="IG59" s="20">
        <v>40365</v>
      </c>
      <c r="IH59" t="s">
        <v>1046</v>
      </c>
      <c r="II59" t="s">
        <v>1042</v>
      </c>
      <c r="IR59" t="s">
        <v>1045</v>
      </c>
      <c r="IT59">
        <v>0</v>
      </c>
      <c r="JE59">
        <v>0</v>
      </c>
      <c r="JF59">
        <v>0</v>
      </c>
      <c r="JI59" t="s">
        <v>1042</v>
      </c>
      <c r="JJ59">
        <v>0</v>
      </c>
      <c r="JK59">
        <v>0</v>
      </c>
      <c r="JL59">
        <v>0</v>
      </c>
      <c r="JM59">
        <v>0</v>
      </c>
      <c r="JT59">
        <v>0</v>
      </c>
      <c r="JU59" t="s">
        <v>1042</v>
      </c>
      <c r="JW59">
        <v>0</v>
      </c>
      <c r="KA59">
        <v>0</v>
      </c>
      <c r="KF59">
        <v>0</v>
      </c>
      <c r="KG59">
        <v>0</v>
      </c>
      <c r="KH59">
        <v>0</v>
      </c>
      <c r="KI59">
        <v>0</v>
      </c>
      <c r="KS59" t="s">
        <v>1041</v>
      </c>
      <c r="KT59">
        <v>0</v>
      </c>
      <c r="KU59">
        <v>0</v>
      </c>
      <c r="KV59">
        <v>0</v>
      </c>
      <c r="KX59">
        <v>0</v>
      </c>
      <c r="KZ59">
        <v>0</v>
      </c>
      <c r="LF59">
        <v>0</v>
      </c>
      <c r="LH59">
        <v>367584</v>
      </c>
      <c r="LI59">
        <v>0</v>
      </c>
    </row>
    <row r="60" spans="1:321" x14ac:dyDescent="0.35">
      <c r="A60">
        <v>1</v>
      </c>
      <c r="B60">
        <v>12300</v>
      </c>
      <c r="C60" t="s">
        <v>1652</v>
      </c>
      <c r="D60" t="s">
        <v>1139</v>
      </c>
      <c r="E60" t="s">
        <v>85</v>
      </c>
      <c r="F60">
        <v>80</v>
      </c>
      <c r="G60">
        <v>9000</v>
      </c>
      <c r="H60">
        <v>0</v>
      </c>
      <c r="I60" t="s">
        <v>1050</v>
      </c>
      <c r="L60">
        <v>0</v>
      </c>
      <c r="M60">
        <v>0</v>
      </c>
      <c r="N60">
        <v>0</v>
      </c>
      <c r="R60">
        <v>0</v>
      </c>
      <c r="S60">
        <v>0</v>
      </c>
      <c r="W60" t="s">
        <v>1060</v>
      </c>
      <c r="X60">
        <v>0</v>
      </c>
      <c r="Z60">
        <v>1</v>
      </c>
      <c r="AA60">
        <v>0</v>
      </c>
      <c r="AB60">
        <v>0</v>
      </c>
      <c r="AC60">
        <v>0</v>
      </c>
      <c r="AD60" s="20">
        <v>40781</v>
      </c>
      <c r="AE60">
        <v>70</v>
      </c>
      <c r="AF60">
        <v>0</v>
      </c>
      <c r="AH60">
        <v>0</v>
      </c>
      <c r="AJ60">
        <v>0</v>
      </c>
      <c r="AL60">
        <v>0</v>
      </c>
      <c r="AM60">
        <v>0</v>
      </c>
      <c r="AN60">
        <v>16601003</v>
      </c>
      <c r="AO60">
        <v>0</v>
      </c>
      <c r="AP60">
        <v>1000</v>
      </c>
      <c r="AT60">
        <v>0</v>
      </c>
      <c r="AU60" t="s">
        <v>1059</v>
      </c>
      <c r="AW60" t="s">
        <v>1053</v>
      </c>
      <c r="AX60">
        <v>0</v>
      </c>
      <c r="AY60" s="20">
        <v>40781</v>
      </c>
      <c r="BA60" s="20">
        <v>40781</v>
      </c>
      <c r="BB60" t="s">
        <v>1058</v>
      </c>
      <c r="BD60">
        <v>0</v>
      </c>
      <c r="BF60" t="s">
        <v>1043</v>
      </c>
      <c r="BG60" t="s">
        <v>1042</v>
      </c>
      <c r="BH60">
        <v>0</v>
      </c>
      <c r="BI60">
        <v>1</v>
      </c>
      <c r="BJ60">
        <v>0</v>
      </c>
      <c r="BK60">
        <v>0</v>
      </c>
      <c r="BM60" t="s">
        <v>1042</v>
      </c>
      <c r="BN60">
        <v>0</v>
      </c>
      <c r="BR60" t="s">
        <v>1043</v>
      </c>
      <c r="BS60" t="s">
        <v>1043</v>
      </c>
      <c r="BT60" t="s">
        <v>1043</v>
      </c>
      <c r="BW60">
        <v>83</v>
      </c>
      <c r="CA60">
        <v>0</v>
      </c>
      <c r="CB60" t="s">
        <v>1057</v>
      </c>
      <c r="CE60" t="s">
        <v>1043</v>
      </c>
      <c r="CH60" t="s">
        <v>1043</v>
      </c>
      <c r="CN60" t="s">
        <v>1056</v>
      </c>
      <c r="CO60" t="s">
        <v>1043</v>
      </c>
      <c r="CP60">
        <v>1</v>
      </c>
      <c r="CQ60">
        <v>0</v>
      </c>
      <c r="CS60">
        <v>0</v>
      </c>
      <c r="CT60">
        <v>0</v>
      </c>
      <c r="CU60">
        <v>0</v>
      </c>
      <c r="CV60" t="s">
        <v>1045</v>
      </c>
      <c r="CW60">
        <v>0</v>
      </c>
      <c r="CX60">
        <v>0</v>
      </c>
      <c r="CY60">
        <v>0</v>
      </c>
      <c r="CZ60">
        <v>0</v>
      </c>
      <c r="DB60">
        <v>0</v>
      </c>
      <c r="DC60" t="s">
        <v>1043</v>
      </c>
      <c r="DF60" t="s">
        <v>1055</v>
      </c>
      <c r="DH60">
        <v>0</v>
      </c>
      <c r="DJ60">
        <v>0</v>
      </c>
      <c r="DK60" t="s">
        <v>1053</v>
      </c>
      <c r="DL60">
        <v>0</v>
      </c>
      <c r="DN60">
        <v>0</v>
      </c>
      <c r="DO60" t="s">
        <v>1042</v>
      </c>
      <c r="DP60">
        <v>0</v>
      </c>
      <c r="DQ60">
        <v>0</v>
      </c>
      <c r="DS60">
        <v>0</v>
      </c>
      <c r="DU60">
        <v>0</v>
      </c>
      <c r="DW60">
        <v>0</v>
      </c>
      <c r="DX60" t="s">
        <v>1043</v>
      </c>
      <c r="DY60">
        <v>0</v>
      </c>
      <c r="DZ60">
        <v>0</v>
      </c>
      <c r="EA60">
        <v>0</v>
      </c>
      <c r="ED60" t="s">
        <v>1045</v>
      </c>
      <c r="EE60">
        <v>0</v>
      </c>
      <c r="EF60">
        <v>0</v>
      </c>
      <c r="EQ60" t="s">
        <v>1044</v>
      </c>
      <c r="ES60" t="s">
        <v>1053</v>
      </c>
      <c r="ET60">
        <v>0</v>
      </c>
      <c r="EV60">
        <v>0</v>
      </c>
      <c r="EY60" t="s">
        <v>1052</v>
      </c>
      <c r="EZ60">
        <v>0</v>
      </c>
      <c r="FA60" t="s">
        <v>1043</v>
      </c>
      <c r="FB60">
        <v>0</v>
      </c>
      <c r="FC60">
        <v>0</v>
      </c>
      <c r="FE60" t="s">
        <v>1050</v>
      </c>
      <c r="FF60">
        <v>0</v>
      </c>
      <c r="FG60" t="s">
        <v>1050</v>
      </c>
      <c r="FJ60">
        <v>0</v>
      </c>
      <c r="FK60">
        <v>0</v>
      </c>
      <c r="FP60">
        <v>0</v>
      </c>
      <c r="FR60">
        <v>0</v>
      </c>
      <c r="FS60" t="s">
        <v>1043</v>
      </c>
      <c r="FX60" t="s">
        <v>1042</v>
      </c>
      <c r="FZ60" t="s">
        <v>1048</v>
      </c>
      <c r="GA60">
        <v>0</v>
      </c>
      <c r="GB60" t="s">
        <v>1042</v>
      </c>
      <c r="GE60">
        <v>0</v>
      </c>
      <c r="GG60">
        <v>0</v>
      </c>
      <c r="GN60">
        <v>0</v>
      </c>
      <c r="GO60" t="s">
        <v>1063</v>
      </c>
      <c r="GQ60">
        <v>0</v>
      </c>
      <c r="GU60">
        <v>0</v>
      </c>
      <c r="GY60" t="s">
        <v>1045</v>
      </c>
      <c r="HB60">
        <v>0</v>
      </c>
      <c r="HE60">
        <v>0</v>
      </c>
      <c r="HF60">
        <v>0</v>
      </c>
      <c r="HG60">
        <v>0</v>
      </c>
      <c r="HK60" t="s">
        <v>1042</v>
      </c>
      <c r="HM60" t="s">
        <v>1047</v>
      </c>
      <c r="HN60">
        <v>0</v>
      </c>
      <c r="HP60">
        <v>0</v>
      </c>
      <c r="HQ60">
        <v>0</v>
      </c>
      <c r="HR60" t="s">
        <v>1042</v>
      </c>
      <c r="HS60" t="s">
        <v>1043</v>
      </c>
      <c r="HT60">
        <v>0</v>
      </c>
      <c r="HU60">
        <v>0</v>
      </c>
      <c r="HW60">
        <v>0</v>
      </c>
      <c r="HX60">
        <v>0</v>
      </c>
      <c r="HY60">
        <v>0</v>
      </c>
      <c r="HZ60" t="s">
        <v>1045</v>
      </c>
      <c r="IA60">
        <v>0</v>
      </c>
      <c r="IB60" t="s">
        <v>1045</v>
      </c>
      <c r="ID60" t="s">
        <v>1045</v>
      </c>
      <c r="IF60">
        <v>0</v>
      </c>
      <c r="IG60" t="s">
        <v>1042</v>
      </c>
      <c r="II60" t="s">
        <v>1042</v>
      </c>
      <c r="IR60" t="s">
        <v>1045</v>
      </c>
      <c r="IT60">
        <v>0</v>
      </c>
      <c r="IY60" t="s">
        <v>1044</v>
      </c>
      <c r="IZ60" t="s">
        <v>1043</v>
      </c>
      <c r="JC60" t="s">
        <v>1043</v>
      </c>
      <c r="JE60">
        <v>0</v>
      </c>
      <c r="JF60">
        <v>0</v>
      </c>
      <c r="JI60" t="s">
        <v>1042</v>
      </c>
      <c r="JJ60">
        <v>0</v>
      </c>
      <c r="JK60">
        <v>0</v>
      </c>
      <c r="JL60">
        <v>0</v>
      </c>
      <c r="JM60">
        <v>0</v>
      </c>
      <c r="JQ60" t="s">
        <v>1043</v>
      </c>
      <c r="JT60">
        <v>0</v>
      </c>
      <c r="JU60" t="s">
        <v>1042</v>
      </c>
      <c r="JW60">
        <v>0</v>
      </c>
      <c r="KA60">
        <v>0</v>
      </c>
      <c r="KF60">
        <v>0</v>
      </c>
      <c r="KG60">
        <v>0</v>
      </c>
      <c r="KH60">
        <v>0</v>
      </c>
      <c r="KI60">
        <v>0</v>
      </c>
      <c r="KS60" t="s">
        <v>1073</v>
      </c>
      <c r="KT60">
        <v>0</v>
      </c>
      <c r="KU60">
        <v>0</v>
      </c>
      <c r="KV60">
        <v>0</v>
      </c>
      <c r="KX60">
        <v>0</v>
      </c>
      <c r="KZ60">
        <v>0</v>
      </c>
      <c r="LF60">
        <v>0</v>
      </c>
      <c r="LH60">
        <v>0</v>
      </c>
      <c r="LI60">
        <v>0</v>
      </c>
    </row>
    <row r="61" spans="1:321" x14ac:dyDescent="0.35">
      <c r="A61">
        <v>1</v>
      </c>
      <c r="B61">
        <v>12301</v>
      </c>
      <c r="C61" t="s">
        <v>1651</v>
      </c>
      <c r="D61" t="s">
        <v>1139</v>
      </c>
      <c r="E61" t="s">
        <v>85</v>
      </c>
      <c r="F61">
        <v>80</v>
      </c>
      <c r="G61">
        <v>9000</v>
      </c>
      <c r="H61">
        <v>0</v>
      </c>
      <c r="I61" t="s">
        <v>1050</v>
      </c>
      <c r="L61">
        <v>0</v>
      </c>
      <c r="M61">
        <v>0</v>
      </c>
      <c r="N61">
        <v>0</v>
      </c>
      <c r="R61">
        <v>0</v>
      </c>
      <c r="S61">
        <v>0</v>
      </c>
      <c r="W61" t="s">
        <v>1060</v>
      </c>
      <c r="X61">
        <v>0</v>
      </c>
      <c r="Z61">
        <v>1</v>
      </c>
      <c r="AA61">
        <v>0</v>
      </c>
      <c r="AB61">
        <v>0</v>
      </c>
      <c r="AC61">
        <v>0</v>
      </c>
      <c r="AD61" s="20">
        <v>40781</v>
      </c>
      <c r="AE61">
        <v>300</v>
      </c>
      <c r="AF61">
        <v>0</v>
      </c>
      <c r="AH61">
        <v>0</v>
      </c>
      <c r="AJ61">
        <v>0</v>
      </c>
      <c r="AL61">
        <v>0</v>
      </c>
      <c r="AM61">
        <v>0</v>
      </c>
      <c r="AN61">
        <v>16601003</v>
      </c>
      <c r="AO61">
        <v>0</v>
      </c>
      <c r="AP61">
        <v>1000</v>
      </c>
      <c r="AT61">
        <v>0</v>
      </c>
      <c r="AU61" t="s">
        <v>1059</v>
      </c>
      <c r="AW61" t="s">
        <v>1053</v>
      </c>
      <c r="AX61">
        <v>0</v>
      </c>
      <c r="AY61" s="20">
        <v>40781</v>
      </c>
      <c r="BA61" s="20">
        <v>40781</v>
      </c>
      <c r="BB61" t="s">
        <v>1058</v>
      </c>
      <c r="BD61">
        <v>0</v>
      </c>
      <c r="BF61" t="s">
        <v>1043</v>
      </c>
      <c r="BG61" t="s">
        <v>1042</v>
      </c>
      <c r="BH61">
        <v>0</v>
      </c>
      <c r="BI61">
        <v>1</v>
      </c>
      <c r="BJ61">
        <v>0</v>
      </c>
      <c r="BK61">
        <v>0</v>
      </c>
      <c r="BM61" t="s">
        <v>1042</v>
      </c>
      <c r="BN61">
        <v>0</v>
      </c>
      <c r="BR61" t="s">
        <v>1043</v>
      </c>
      <c r="BS61" t="s">
        <v>1043</v>
      </c>
      <c r="BT61" t="s">
        <v>1043</v>
      </c>
      <c r="BW61">
        <v>83</v>
      </c>
      <c r="CA61">
        <v>0</v>
      </c>
      <c r="CB61" t="s">
        <v>1057</v>
      </c>
      <c r="CE61" t="s">
        <v>1043</v>
      </c>
      <c r="CH61" t="s">
        <v>1043</v>
      </c>
      <c r="CN61" t="s">
        <v>1056</v>
      </c>
      <c r="CO61" t="s">
        <v>1043</v>
      </c>
      <c r="CP61">
        <v>1</v>
      </c>
      <c r="CQ61">
        <v>0</v>
      </c>
      <c r="CS61">
        <v>0</v>
      </c>
      <c r="CT61">
        <v>0</v>
      </c>
      <c r="CU61">
        <v>0</v>
      </c>
      <c r="CV61" t="s">
        <v>1045</v>
      </c>
      <c r="CW61">
        <v>0</v>
      </c>
      <c r="CX61">
        <v>0</v>
      </c>
      <c r="CY61">
        <v>0</v>
      </c>
      <c r="CZ61">
        <v>0</v>
      </c>
      <c r="DB61">
        <v>0</v>
      </c>
      <c r="DC61" t="s">
        <v>1043</v>
      </c>
      <c r="DF61" t="s">
        <v>1055</v>
      </c>
      <c r="DH61">
        <v>0</v>
      </c>
      <c r="DJ61">
        <v>0</v>
      </c>
      <c r="DK61" t="s">
        <v>1053</v>
      </c>
      <c r="DL61">
        <v>0</v>
      </c>
      <c r="DN61">
        <v>0</v>
      </c>
      <c r="DO61" t="s">
        <v>1042</v>
      </c>
      <c r="DP61">
        <v>0</v>
      </c>
      <c r="DQ61">
        <v>0</v>
      </c>
      <c r="DS61">
        <v>0</v>
      </c>
      <c r="DU61">
        <v>0</v>
      </c>
      <c r="DW61">
        <v>0</v>
      </c>
      <c r="DX61" t="s">
        <v>1043</v>
      </c>
      <c r="DY61">
        <v>0</v>
      </c>
      <c r="DZ61">
        <v>0</v>
      </c>
      <c r="EA61">
        <v>0</v>
      </c>
      <c r="ED61" t="s">
        <v>1045</v>
      </c>
      <c r="EE61">
        <v>0</v>
      </c>
      <c r="EF61">
        <v>0</v>
      </c>
      <c r="EQ61" t="s">
        <v>1044</v>
      </c>
      <c r="ES61" t="s">
        <v>1053</v>
      </c>
      <c r="ET61">
        <v>0</v>
      </c>
      <c r="EV61">
        <v>0</v>
      </c>
      <c r="EY61" t="s">
        <v>1052</v>
      </c>
      <c r="EZ61">
        <v>0</v>
      </c>
      <c r="FA61" t="s">
        <v>1043</v>
      </c>
      <c r="FB61">
        <v>0</v>
      </c>
      <c r="FC61">
        <v>0</v>
      </c>
      <c r="FE61" t="s">
        <v>1050</v>
      </c>
      <c r="FF61">
        <v>0</v>
      </c>
      <c r="FG61" t="s">
        <v>1050</v>
      </c>
      <c r="FJ61">
        <v>0</v>
      </c>
      <c r="FK61">
        <v>0</v>
      </c>
      <c r="FP61">
        <v>0</v>
      </c>
      <c r="FR61">
        <v>0</v>
      </c>
      <c r="FS61" t="s">
        <v>1043</v>
      </c>
      <c r="FX61" t="s">
        <v>1042</v>
      </c>
      <c r="FZ61" t="s">
        <v>1048</v>
      </c>
      <c r="GA61">
        <v>0</v>
      </c>
      <c r="GB61" t="s">
        <v>1042</v>
      </c>
      <c r="GE61">
        <v>0</v>
      </c>
      <c r="GG61">
        <v>0</v>
      </c>
      <c r="GN61">
        <v>0</v>
      </c>
      <c r="GO61" t="s">
        <v>1063</v>
      </c>
      <c r="GQ61">
        <v>0</v>
      </c>
      <c r="GU61">
        <v>0</v>
      </c>
      <c r="GY61" t="s">
        <v>1045</v>
      </c>
      <c r="HB61">
        <v>0</v>
      </c>
      <c r="HE61">
        <v>0</v>
      </c>
      <c r="HF61">
        <v>0</v>
      </c>
      <c r="HG61">
        <v>0</v>
      </c>
      <c r="HK61" t="s">
        <v>1042</v>
      </c>
      <c r="HM61" t="s">
        <v>1047</v>
      </c>
      <c r="HN61">
        <v>0</v>
      </c>
      <c r="HP61">
        <v>0</v>
      </c>
      <c r="HQ61">
        <v>0</v>
      </c>
      <c r="HR61" t="s">
        <v>1042</v>
      </c>
      <c r="HS61" t="s">
        <v>1043</v>
      </c>
      <c r="HT61">
        <v>0</v>
      </c>
      <c r="HU61">
        <v>0</v>
      </c>
      <c r="HW61">
        <v>0</v>
      </c>
      <c r="HX61">
        <v>0</v>
      </c>
      <c r="HY61">
        <v>0</v>
      </c>
      <c r="HZ61" t="s">
        <v>1045</v>
      </c>
      <c r="IA61">
        <v>0</v>
      </c>
      <c r="IB61" t="s">
        <v>1045</v>
      </c>
      <c r="ID61" t="s">
        <v>1045</v>
      </c>
      <c r="IF61">
        <v>0</v>
      </c>
      <c r="IG61" t="s">
        <v>1042</v>
      </c>
      <c r="II61" t="s">
        <v>1042</v>
      </c>
      <c r="IR61" t="s">
        <v>1045</v>
      </c>
      <c r="IT61">
        <v>0</v>
      </c>
      <c r="IY61" t="s">
        <v>1044</v>
      </c>
      <c r="IZ61" t="s">
        <v>1043</v>
      </c>
      <c r="JC61" t="s">
        <v>1043</v>
      </c>
      <c r="JE61">
        <v>0</v>
      </c>
      <c r="JF61">
        <v>0</v>
      </c>
      <c r="JI61" t="s">
        <v>1042</v>
      </c>
      <c r="JJ61">
        <v>0</v>
      </c>
      <c r="JK61">
        <v>0</v>
      </c>
      <c r="JL61">
        <v>0</v>
      </c>
      <c r="JM61">
        <v>0</v>
      </c>
      <c r="JQ61" t="s">
        <v>1043</v>
      </c>
      <c r="JT61">
        <v>0</v>
      </c>
      <c r="JU61" t="s">
        <v>1042</v>
      </c>
      <c r="JW61">
        <v>0</v>
      </c>
      <c r="KA61">
        <v>0</v>
      </c>
      <c r="KF61">
        <v>0</v>
      </c>
      <c r="KG61">
        <v>0</v>
      </c>
      <c r="KH61">
        <v>0</v>
      </c>
      <c r="KI61">
        <v>0</v>
      </c>
      <c r="KS61" t="s">
        <v>1073</v>
      </c>
      <c r="KT61">
        <v>0</v>
      </c>
      <c r="KU61">
        <v>0</v>
      </c>
      <c r="KV61">
        <v>0</v>
      </c>
      <c r="KX61">
        <v>0</v>
      </c>
      <c r="KZ61">
        <v>0</v>
      </c>
      <c r="LF61">
        <v>0</v>
      </c>
      <c r="LH61">
        <v>0</v>
      </c>
      <c r="LI61">
        <v>0</v>
      </c>
    </row>
    <row r="62" spans="1:321" x14ac:dyDescent="0.35">
      <c r="A62">
        <v>1</v>
      </c>
      <c r="B62">
        <v>12302</v>
      </c>
      <c r="C62" t="s">
        <v>1650</v>
      </c>
      <c r="D62" t="s">
        <v>1139</v>
      </c>
      <c r="E62" t="s">
        <v>85</v>
      </c>
      <c r="F62">
        <v>80</v>
      </c>
      <c r="G62">
        <v>9000</v>
      </c>
      <c r="H62">
        <v>0</v>
      </c>
      <c r="I62" t="s">
        <v>1050</v>
      </c>
      <c r="L62">
        <v>0</v>
      </c>
      <c r="M62">
        <v>0</v>
      </c>
      <c r="N62">
        <v>0</v>
      </c>
      <c r="R62">
        <v>0</v>
      </c>
      <c r="S62">
        <v>0</v>
      </c>
      <c r="W62" t="s">
        <v>1060</v>
      </c>
      <c r="X62">
        <v>0</v>
      </c>
      <c r="Z62">
        <v>1</v>
      </c>
      <c r="AA62">
        <v>0</v>
      </c>
      <c r="AB62">
        <v>0</v>
      </c>
      <c r="AC62">
        <v>0</v>
      </c>
      <c r="AD62" s="20">
        <v>40781</v>
      </c>
      <c r="AE62">
        <v>1274.74</v>
      </c>
      <c r="AF62">
        <v>0</v>
      </c>
      <c r="AH62">
        <v>0</v>
      </c>
      <c r="AJ62">
        <v>0</v>
      </c>
      <c r="AL62">
        <v>0</v>
      </c>
      <c r="AM62">
        <v>0</v>
      </c>
      <c r="AN62">
        <v>16301003</v>
      </c>
      <c r="AO62">
        <v>0</v>
      </c>
      <c r="AP62">
        <v>1003</v>
      </c>
      <c r="AT62">
        <v>0</v>
      </c>
      <c r="AU62" t="s">
        <v>1059</v>
      </c>
      <c r="AW62" t="s">
        <v>1053</v>
      </c>
      <c r="AX62">
        <v>0</v>
      </c>
      <c r="AY62" s="20">
        <v>40781</v>
      </c>
      <c r="BA62" s="20">
        <v>40781</v>
      </c>
      <c r="BB62" t="s">
        <v>1058</v>
      </c>
      <c r="BD62">
        <v>0</v>
      </c>
      <c r="BF62" t="s">
        <v>1043</v>
      </c>
      <c r="BG62" t="s">
        <v>1042</v>
      </c>
      <c r="BH62">
        <v>0</v>
      </c>
      <c r="BI62">
        <v>1</v>
      </c>
      <c r="BJ62">
        <v>0</v>
      </c>
      <c r="BK62">
        <v>0</v>
      </c>
      <c r="BM62" t="s">
        <v>1042</v>
      </c>
      <c r="BN62">
        <v>0</v>
      </c>
      <c r="BR62" t="s">
        <v>1043</v>
      </c>
      <c r="BS62" t="s">
        <v>1043</v>
      </c>
      <c r="BT62" t="s">
        <v>1043</v>
      </c>
      <c r="BW62">
        <v>83</v>
      </c>
      <c r="CA62">
        <v>0</v>
      </c>
      <c r="CB62" t="s">
        <v>1057</v>
      </c>
      <c r="CE62" t="s">
        <v>1043</v>
      </c>
      <c r="CH62" t="s">
        <v>1043</v>
      </c>
      <c r="CN62" t="s">
        <v>1056</v>
      </c>
      <c r="CO62" t="s">
        <v>1043</v>
      </c>
      <c r="CP62">
        <v>1</v>
      </c>
      <c r="CQ62">
        <v>0</v>
      </c>
      <c r="CS62">
        <v>0</v>
      </c>
      <c r="CT62">
        <v>0</v>
      </c>
      <c r="CU62">
        <v>0</v>
      </c>
      <c r="CV62" t="s">
        <v>1045</v>
      </c>
      <c r="CW62">
        <v>0</v>
      </c>
      <c r="CX62">
        <v>0</v>
      </c>
      <c r="CY62">
        <v>0</v>
      </c>
      <c r="CZ62">
        <v>0</v>
      </c>
      <c r="DB62">
        <v>0</v>
      </c>
      <c r="DC62" t="s">
        <v>1043</v>
      </c>
      <c r="DF62" t="s">
        <v>1055</v>
      </c>
      <c r="DH62">
        <v>0</v>
      </c>
      <c r="DJ62">
        <v>0</v>
      </c>
      <c r="DK62" t="s">
        <v>1053</v>
      </c>
      <c r="DL62">
        <v>0</v>
      </c>
      <c r="DN62">
        <v>0</v>
      </c>
      <c r="DO62" t="s">
        <v>1042</v>
      </c>
      <c r="DP62">
        <v>0</v>
      </c>
      <c r="DQ62">
        <v>0</v>
      </c>
      <c r="DS62">
        <v>0</v>
      </c>
      <c r="DU62">
        <v>0</v>
      </c>
      <c r="DW62">
        <v>0</v>
      </c>
      <c r="DX62" t="s">
        <v>1043</v>
      </c>
      <c r="DY62">
        <v>0</v>
      </c>
      <c r="DZ62">
        <v>0</v>
      </c>
      <c r="EA62">
        <v>0</v>
      </c>
      <c r="ED62" t="s">
        <v>1045</v>
      </c>
      <c r="EE62">
        <v>0</v>
      </c>
      <c r="EF62">
        <v>0</v>
      </c>
      <c r="EQ62" t="s">
        <v>1044</v>
      </c>
      <c r="ES62" t="s">
        <v>1053</v>
      </c>
      <c r="ET62">
        <v>0</v>
      </c>
      <c r="EV62">
        <v>0</v>
      </c>
      <c r="EY62" t="s">
        <v>1052</v>
      </c>
      <c r="EZ62">
        <v>0</v>
      </c>
      <c r="FA62" t="s">
        <v>1043</v>
      </c>
      <c r="FB62">
        <v>0</v>
      </c>
      <c r="FC62">
        <v>0</v>
      </c>
      <c r="FE62" t="s">
        <v>1050</v>
      </c>
      <c r="FF62">
        <v>0</v>
      </c>
      <c r="FG62" t="s">
        <v>1050</v>
      </c>
      <c r="FJ62">
        <v>0</v>
      </c>
      <c r="FK62">
        <v>0</v>
      </c>
      <c r="FP62">
        <v>0</v>
      </c>
      <c r="FR62">
        <v>0</v>
      </c>
      <c r="FS62" t="s">
        <v>1043</v>
      </c>
      <c r="FX62" t="s">
        <v>1042</v>
      </c>
      <c r="FZ62" t="s">
        <v>1048</v>
      </c>
      <c r="GA62">
        <v>0</v>
      </c>
      <c r="GB62" t="s">
        <v>1042</v>
      </c>
      <c r="GE62">
        <v>0</v>
      </c>
      <c r="GG62">
        <v>0</v>
      </c>
      <c r="GN62">
        <v>0</v>
      </c>
      <c r="GO62" t="s">
        <v>1063</v>
      </c>
      <c r="GQ62">
        <v>0</v>
      </c>
      <c r="GU62">
        <v>0</v>
      </c>
      <c r="GY62" t="s">
        <v>1045</v>
      </c>
      <c r="HB62">
        <v>0</v>
      </c>
      <c r="HE62">
        <v>0</v>
      </c>
      <c r="HF62">
        <v>0</v>
      </c>
      <c r="HG62">
        <v>0</v>
      </c>
      <c r="HK62" t="s">
        <v>1042</v>
      </c>
      <c r="HM62" t="s">
        <v>1047</v>
      </c>
      <c r="HN62">
        <v>0</v>
      </c>
      <c r="HP62">
        <v>0</v>
      </c>
      <c r="HQ62">
        <v>0</v>
      </c>
      <c r="HR62" t="s">
        <v>1042</v>
      </c>
      <c r="HS62" t="s">
        <v>1043</v>
      </c>
      <c r="HT62">
        <v>0</v>
      </c>
      <c r="HU62">
        <v>0</v>
      </c>
      <c r="HW62">
        <v>0</v>
      </c>
      <c r="HX62">
        <v>0</v>
      </c>
      <c r="HY62">
        <v>0</v>
      </c>
      <c r="HZ62" t="s">
        <v>1045</v>
      </c>
      <c r="IA62">
        <v>0</v>
      </c>
      <c r="IB62" t="s">
        <v>1045</v>
      </c>
      <c r="ID62" t="s">
        <v>1045</v>
      </c>
      <c r="IF62">
        <v>0</v>
      </c>
      <c r="IG62" t="s">
        <v>1042</v>
      </c>
      <c r="II62" t="s">
        <v>1042</v>
      </c>
      <c r="IR62" t="s">
        <v>1045</v>
      </c>
      <c r="IT62">
        <v>0</v>
      </c>
      <c r="IY62" t="s">
        <v>1044</v>
      </c>
      <c r="IZ62" t="s">
        <v>1043</v>
      </c>
      <c r="JC62" t="s">
        <v>1043</v>
      </c>
      <c r="JE62">
        <v>0</v>
      </c>
      <c r="JF62">
        <v>0</v>
      </c>
      <c r="JI62" t="s">
        <v>1042</v>
      </c>
      <c r="JJ62">
        <v>0</v>
      </c>
      <c r="JK62">
        <v>0</v>
      </c>
      <c r="JL62">
        <v>0</v>
      </c>
      <c r="JM62">
        <v>0</v>
      </c>
      <c r="JQ62" t="s">
        <v>1043</v>
      </c>
      <c r="JT62">
        <v>0</v>
      </c>
      <c r="JU62" t="s">
        <v>1042</v>
      </c>
      <c r="JW62">
        <v>0</v>
      </c>
      <c r="KA62">
        <v>0</v>
      </c>
      <c r="KF62">
        <v>0</v>
      </c>
      <c r="KG62">
        <v>0</v>
      </c>
      <c r="KH62">
        <v>0</v>
      </c>
      <c r="KI62">
        <v>0</v>
      </c>
      <c r="KS62" t="s">
        <v>1073</v>
      </c>
      <c r="KT62">
        <v>0</v>
      </c>
      <c r="KU62">
        <v>0</v>
      </c>
      <c r="KV62">
        <v>0</v>
      </c>
      <c r="KX62">
        <v>0</v>
      </c>
      <c r="KZ62">
        <v>0</v>
      </c>
      <c r="LF62">
        <v>0</v>
      </c>
      <c r="LH62">
        <v>0</v>
      </c>
      <c r="LI62">
        <v>0</v>
      </c>
    </row>
    <row r="63" spans="1:321" x14ac:dyDescent="0.35">
      <c r="A63">
        <v>1</v>
      </c>
      <c r="B63">
        <v>12303</v>
      </c>
      <c r="C63" t="s">
        <v>1649</v>
      </c>
      <c r="D63" t="s">
        <v>1139</v>
      </c>
      <c r="E63" t="s">
        <v>85</v>
      </c>
      <c r="F63">
        <v>80</v>
      </c>
      <c r="G63">
        <v>9000</v>
      </c>
      <c r="H63">
        <v>0</v>
      </c>
      <c r="I63" t="s">
        <v>1331</v>
      </c>
      <c r="L63">
        <v>0</v>
      </c>
      <c r="M63">
        <v>0</v>
      </c>
      <c r="N63">
        <v>0</v>
      </c>
      <c r="R63">
        <v>0</v>
      </c>
      <c r="S63">
        <v>0</v>
      </c>
      <c r="W63" t="s">
        <v>1060</v>
      </c>
      <c r="X63">
        <v>0</v>
      </c>
      <c r="Z63">
        <v>1</v>
      </c>
      <c r="AA63">
        <v>0</v>
      </c>
      <c r="AB63">
        <v>0</v>
      </c>
      <c r="AC63">
        <v>225.57</v>
      </c>
      <c r="AD63" s="20">
        <v>40781</v>
      </c>
      <c r="AE63">
        <v>217</v>
      </c>
      <c r="AF63">
        <v>0</v>
      </c>
      <c r="AH63">
        <v>0</v>
      </c>
      <c r="AJ63">
        <v>0</v>
      </c>
      <c r="AL63">
        <v>0</v>
      </c>
      <c r="AM63">
        <v>0</v>
      </c>
      <c r="AN63">
        <v>16601001</v>
      </c>
      <c r="AO63">
        <v>0</v>
      </c>
      <c r="AP63">
        <v>1000</v>
      </c>
      <c r="AT63">
        <v>0</v>
      </c>
      <c r="AU63" t="s">
        <v>1059</v>
      </c>
      <c r="AW63" t="s">
        <v>1053</v>
      </c>
      <c r="AX63">
        <v>0</v>
      </c>
      <c r="AY63" s="20">
        <v>40781</v>
      </c>
      <c r="BA63" s="20">
        <v>40781</v>
      </c>
      <c r="BB63" t="s">
        <v>1058</v>
      </c>
      <c r="BD63">
        <v>0</v>
      </c>
      <c r="BF63" t="s">
        <v>1043</v>
      </c>
      <c r="BG63" t="s">
        <v>1042</v>
      </c>
      <c r="BH63">
        <v>0</v>
      </c>
      <c r="BI63">
        <v>1</v>
      </c>
      <c r="BJ63">
        <v>0</v>
      </c>
      <c r="BK63">
        <v>0</v>
      </c>
      <c r="BM63" t="s">
        <v>1042</v>
      </c>
      <c r="BN63">
        <v>0</v>
      </c>
      <c r="BR63" t="s">
        <v>1043</v>
      </c>
      <c r="BS63" t="s">
        <v>1043</v>
      </c>
      <c r="BT63" t="s">
        <v>1043</v>
      </c>
      <c r="BW63">
        <v>83</v>
      </c>
      <c r="CA63">
        <v>0</v>
      </c>
      <c r="CB63" t="s">
        <v>1057</v>
      </c>
      <c r="CE63" t="s">
        <v>1043</v>
      </c>
      <c r="CH63" t="s">
        <v>1043</v>
      </c>
      <c r="CN63" t="s">
        <v>1056</v>
      </c>
      <c r="CO63" t="s">
        <v>1043</v>
      </c>
      <c r="CP63">
        <v>1</v>
      </c>
      <c r="CQ63">
        <v>0</v>
      </c>
      <c r="CS63">
        <v>0</v>
      </c>
      <c r="CT63">
        <v>0</v>
      </c>
      <c r="CU63">
        <v>0</v>
      </c>
      <c r="CV63" t="s">
        <v>1045</v>
      </c>
      <c r="CW63">
        <v>0</v>
      </c>
      <c r="CX63">
        <v>0</v>
      </c>
      <c r="CY63">
        <v>0</v>
      </c>
      <c r="CZ63">
        <v>0</v>
      </c>
      <c r="DB63">
        <v>0</v>
      </c>
      <c r="DC63" t="s">
        <v>1043</v>
      </c>
      <c r="DF63" t="s">
        <v>1055</v>
      </c>
      <c r="DH63">
        <v>0</v>
      </c>
      <c r="DJ63">
        <v>0</v>
      </c>
      <c r="DK63" t="s">
        <v>1053</v>
      </c>
      <c r="DL63">
        <v>0</v>
      </c>
      <c r="DN63">
        <v>0</v>
      </c>
      <c r="DO63" t="s">
        <v>1042</v>
      </c>
      <c r="DP63">
        <v>0</v>
      </c>
      <c r="DQ63">
        <v>0</v>
      </c>
      <c r="DS63">
        <v>0</v>
      </c>
      <c r="DU63">
        <v>0</v>
      </c>
      <c r="DW63">
        <v>0</v>
      </c>
      <c r="DX63" t="s">
        <v>1043</v>
      </c>
      <c r="DY63">
        <v>0</v>
      </c>
      <c r="DZ63">
        <v>0</v>
      </c>
      <c r="EA63">
        <v>0</v>
      </c>
      <c r="ED63" t="s">
        <v>1045</v>
      </c>
      <c r="EE63">
        <v>0</v>
      </c>
      <c r="EF63">
        <v>0</v>
      </c>
      <c r="EQ63" t="s">
        <v>1044</v>
      </c>
      <c r="ES63" t="s">
        <v>1053</v>
      </c>
      <c r="ET63">
        <v>0</v>
      </c>
      <c r="EV63">
        <v>0</v>
      </c>
      <c r="EY63" t="s">
        <v>1052</v>
      </c>
      <c r="EZ63">
        <v>0</v>
      </c>
      <c r="FA63" t="s">
        <v>1043</v>
      </c>
      <c r="FB63">
        <v>0</v>
      </c>
      <c r="FC63">
        <v>0</v>
      </c>
      <c r="FE63" t="s">
        <v>1050</v>
      </c>
      <c r="FF63">
        <v>0</v>
      </c>
      <c r="FG63" t="s">
        <v>1050</v>
      </c>
      <c r="FJ63">
        <v>0</v>
      </c>
      <c r="FK63">
        <v>0</v>
      </c>
      <c r="FP63">
        <v>0</v>
      </c>
      <c r="FR63">
        <v>0</v>
      </c>
      <c r="FS63" t="s">
        <v>1043</v>
      </c>
      <c r="FX63" t="s">
        <v>1042</v>
      </c>
      <c r="FZ63" t="s">
        <v>1048</v>
      </c>
      <c r="GA63">
        <v>0</v>
      </c>
      <c r="GB63" t="s">
        <v>1042</v>
      </c>
      <c r="GE63">
        <v>0</v>
      </c>
      <c r="GG63">
        <v>0</v>
      </c>
      <c r="GN63">
        <v>0</v>
      </c>
      <c r="GO63" t="s">
        <v>1063</v>
      </c>
      <c r="GQ63">
        <v>0</v>
      </c>
      <c r="GU63">
        <v>0</v>
      </c>
      <c r="GY63" t="s">
        <v>1045</v>
      </c>
      <c r="HB63">
        <v>0</v>
      </c>
      <c r="HE63">
        <v>0</v>
      </c>
      <c r="HF63">
        <v>0</v>
      </c>
      <c r="HG63">
        <v>0</v>
      </c>
      <c r="HK63" t="s">
        <v>1042</v>
      </c>
      <c r="HM63" t="s">
        <v>1047</v>
      </c>
      <c r="HN63">
        <v>0</v>
      </c>
      <c r="HP63">
        <v>0</v>
      </c>
      <c r="HQ63">
        <v>0</v>
      </c>
      <c r="HR63" t="s">
        <v>1042</v>
      </c>
      <c r="HS63" t="s">
        <v>1043</v>
      </c>
      <c r="HT63">
        <v>0</v>
      </c>
      <c r="HU63">
        <v>0</v>
      </c>
      <c r="HW63">
        <v>0</v>
      </c>
      <c r="HX63">
        <v>0</v>
      </c>
      <c r="HY63">
        <v>0</v>
      </c>
      <c r="HZ63" t="s">
        <v>1045</v>
      </c>
      <c r="IA63">
        <v>0</v>
      </c>
      <c r="IB63" t="s">
        <v>1045</v>
      </c>
      <c r="ID63" t="s">
        <v>1045</v>
      </c>
      <c r="IF63">
        <v>0</v>
      </c>
      <c r="IG63" t="s">
        <v>1042</v>
      </c>
      <c r="II63" t="s">
        <v>1042</v>
      </c>
      <c r="IR63" t="s">
        <v>1045</v>
      </c>
      <c r="IT63">
        <v>0</v>
      </c>
      <c r="IY63" t="s">
        <v>1044</v>
      </c>
      <c r="IZ63" t="s">
        <v>1043</v>
      </c>
      <c r="JC63" t="s">
        <v>1043</v>
      </c>
      <c r="JE63">
        <v>0</v>
      </c>
      <c r="JF63">
        <v>0</v>
      </c>
      <c r="JI63" t="s">
        <v>1042</v>
      </c>
      <c r="JJ63">
        <v>0</v>
      </c>
      <c r="JK63">
        <v>0</v>
      </c>
      <c r="JL63">
        <v>0</v>
      </c>
      <c r="JM63">
        <v>0</v>
      </c>
      <c r="JQ63" t="s">
        <v>1043</v>
      </c>
      <c r="JT63">
        <v>0</v>
      </c>
      <c r="JU63" t="s">
        <v>1042</v>
      </c>
      <c r="JW63">
        <v>0</v>
      </c>
      <c r="KA63">
        <v>0</v>
      </c>
      <c r="KF63">
        <v>0</v>
      </c>
      <c r="KG63">
        <v>0</v>
      </c>
      <c r="KH63">
        <v>0</v>
      </c>
      <c r="KI63">
        <v>0</v>
      </c>
      <c r="KS63" t="s">
        <v>1073</v>
      </c>
      <c r="KT63">
        <v>0</v>
      </c>
      <c r="KU63">
        <v>0</v>
      </c>
      <c r="KV63">
        <v>0</v>
      </c>
      <c r="KX63">
        <v>0</v>
      </c>
      <c r="KZ63">
        <v>0</v>
      </c>
      <c r="LF63">
        <v>0</v>
      </c>
      <c r="LH63">
        <v>0</v>
      </c>
      <c r="LI63">
        <v>0</v>
      </c>
    </row>
    <row r="64" spans="1:321" x14ac:dyDescent="0.35">
      <c r="A64">
        <v>1</v>
      </c>
      <c r="B64">
        <v>12304</v>
      </c>
      <c r="C64" t="s">
        <v>1648</v>
      </c>
      <c r="D64" t="s">
        <v>1139</v>
      </c>
      <c r="E64" t="s">
        <v>85</v>
      </c>
      <c r="F64">
        <v>80</v>
      </c>
      <c r="G64">
        <v>9000</v>
      </c>
      <c r="H64">
        <v>0</v>
      </c>
      <c r="I64" t="s">
        <v>1509</v>
      </c>
      <c r="L64">
        <v>0</v>
      </c>
      <c r="M64">
        <v>0</v>
      </c>
      <c r="N64">
        <v>0</v>
      </c>
      <c r="R64">
        <v>0</v>
      </c>
      <c r="S64">
        <v>0</v>
      </c>
      <c r="W64" t="s">
        <v>1060</v>
      </c>
      <c r="X64">
        <v>0</v>
      </c>
      <c r="Z64">
        <v>1</v>
      </c>
      <c r="AA64">
        <v>0</v>
      </c>
      <c r="AB64">
        <v>0</v>
      </c>
      <c r="AC64">
        <v>346.64499999999998</v>
      </c>
      <c r="AD64" s="20">
        <v>40781</v>
      </c>
      <c r="AE64">
        <v>333.47</v>
      </c>
      <c r="AF64">
        <v>0</v>
      </c>
      <c r="AH64">
        <v>0</v>
      </c>
      <c r="AJ64">
        <v>0</v>
      </c>
      <c r="AL64">
        <v>0</v>
      </c>
      <c r="AM64">
        <v>0</v>
      </c>
      <c r="AN64">
        <v>16601001</v>
      </c>
      <c r="AO64">
        <v>0</v>
      </c>
      <c r="AP64">
        <v>1000</v>
      </c>
      <c r="AT64">
        <v>0</v>
      </c>
      <c r="AU64" t="s">
        <v>1059</v>
      </c>
      <c r="AW64" t="s">
        <v>1053</v>
      </c>
      <c r="AX64">
        <v>0</v>
      </c>
      <c r="AY64" s="20">
        <v>40781</v>
      </c>
      <c r="BA64" s="20">
        <v>40781</v>
      </c>
      <c r="BB64" t="s">
        <v>1058</v>
      </c>
      <c r="BD64">
        <v>0</v>
      </c>
      <c r="BF64" t="s">
        <v>1043</v>
      </c>
      <c r="BG64" t="s">
        <v>1042</v>
      </c>
      <c r="BH64">
        <v>0</v>
      </c>
      <c r="BI64">
        <v>1</v>
      </c>
      <c r="BJ64">
        <v>0</v>
      </c>
      <c r="BK64">
        <v>0</v>
      </c>
      <c r="BM64" t="s">
        <v>1042</v>
      </c>
      <c r="BN64">
        <v>0</v>
      </c>
      <c r="BR64" t="s">
        <v>1043</v>
      </c>
      <c r="BS64" t="s">
        <v>1043</v>
      </c>
      <c r="BT64" t="s">
        <v>1043</v>
      </c>
      <c r="BW64">
        <v>83</v>
      </c>
      <c r="CA64">
        <v>0</v>
      </c>
      <c r="CB64" t="s">
        <v>1057</v>
      </c>
      <c r="CE64" t="s">
        <v>1043</v>
      </c>
      <c r="CH64" t="s">
        <v>1043</v>
      </c>
      <c r="CN64" t="s">
        <v>1056</v>
      </c>
      <c r="CO64" t="s">
        <v>1043</v>
      </c>
      <c r="CP64">
        <v>1</v>
      </c>
      <c r="CQ64">
        <v>0</v>
      </c>
      <c r="CS64">
        <v>0</v>
      </c>
      <c r="CT64">
        <v>0</v>
      </c>
      <c r="CU64">
        <v>0</v>
      </c>
      <c r="CV64" t="s">
        <v>1045</v>
      </c>
      <c r="CW64">
        <v>0</v>
      </c>
      <c r="CX64">
        <v>0</v>
      </c>
      <c r="CY64">
        <v>0</v>
      </c>
      <c r="CZ64">
        <v>0</v>
      </c>
      <c r="DB64">
        <v>0</v>
      </c>
      <c r="DC64" t="s">
        <v>1043</v>
      </c>
      <c r="DF64" t="s">
        <v>1055</v>
      </c>
      <c r="DH64">
        <v>0</v>
      </c>
      <c r="DJ64">
        <v>0</v>
      </c>
      <c r="DK64" t="s">
        <v>1053</v>
      </c>
      <c r="DL64">
        <v>0</v>
      </c>
      <c r="DN64">
        <v>0</v>
      </c>
      <c r="DO64" t="s">
        <v>1042</v>
      </c>
      <c r="DP64">
        <v>0</v>
      </c>
      <c r="DQ64">
        <v>0</v>
      </c>
      <c r="DS64">
        <v>0</v>
      </c>
      <c r="DU64">
        <v>0</v>
      </c>
      <c r="DW64">
        <v>0</v>
      </c>
      <c r="DX64" t="s">
        <v>1043</v>
      </c>
      <c r="DY64">
        <v>0</v>
      </c>
      <c r="DZ64">
        <v>0</v>
      </c>
      <c r="EA64">
        <v>0</v>
      </c>
      <c r="ED64" t="s">
        <v>1045</v>
      </c>
      <c r="EE64">
        <v>0</v>
      </c>
      <c r="EF64">
        <v>0</v>
      </c>
      <c r="EQ64" t="s">
        <v>1044</v>
      </c>
      <c r="ES64" t="s">
        <v>1053</v>
      </c>
      <c r="ET64">
        <v>0</v>
      </c>
      <c r="EV64">
        <v>0</v>
      </c>
      <c r="EY64" t="s">
        <v>1052</v>
      </c>
      <c r="EZ64">
        <v>0</v>
      </c>
      <c r="FA64" t="s">
        <v>1043</v>
      </c>
      <c r="FB64">
        <v>0</v>
      </c>
      <c r="FC64">
        <v>0</v>
      </c>
      <c r="FE64" t="s">
        <v>1050</v>
      </c>
      <c r="FF64">
        <v>0</v>
      </c>
      <c r="FG64" t="s">
        <v>1050</v>
      </c>
      <c r="FJ64">
        <v>0</v>
      </c>
      <c r="FK64">
        <v>0</v>
      </c>
      <c r="FP64">
        <v>0</v>
      </c>
      <c r="FR64">
        <v>0</v>
      </c>
      <c r="FS64" t="s">
        <v>1043</v>
      </c>
      <c r="FX64" t="s">
        <v>1042</v>
      </c>
      <c r="FZ64" t="s">
        <v>1048</v>
      </c>
      <c r="GA64">
        <v>0</v>
      </c>
      <c r="GB64" t="s">
        <v>1042</v>
      </c>
      <c r="GE64">
        <v>0</v>
      </c>
      <c r="GG64">
        <v>0</v>
      </c>
      <c r="GN64">
        <v>0</v>
      </c>
      <c r="GO64" t="s">
        <v>1063</v>
      </c>
      <c r="GQ64">
        <v>0</v>
      </c>
      <c r="GU64">
        <v>0</v>
      </c>
      <c r="GY64" t="s">
        <v>1045</v>
      </c>
      <c r="HB64">
        <v>0</v>
      </c>
      <c r="HE64">
        <v>0</v>
      </c>
      <c r="HF64">
        <v>0</v>
      </c>
      <c r="HG64">
        <v>0</v>
      </c>
      <c r="HK64" t="s">
        <v>1042</v>
      </c>
      <c r="HM64" t="s">
        <v>1047</v>
      </c>
      <c r="HN64">
        <v>0</v>
      </c>
      <c r="HP64">
        <v>0</v>
      </c>
      <c r="HQ64">
        <v>0</v>
      </c>
      <c r="HR64" t="s">
        <v>1042</v>
      </c>
      <c r="HS64" t="s">
        <v>1043</v>
      </c>
      <c r="HT64">
        <v>0</v>
      </c>
      <c r="HU64">
        <v>0</v>
      </c>
      <c r="HW64">
        <v>0</v>
      </c>
      <c r="HX64">
        <v>0</v>
      </c>
      <c r="HY64">
        <v>0</v>
      </c>
      <c r="HZ64" t="s">
        <v>1045</v>
      </c>
      <c r="IA64">
        <v>0</v>
      </c>
      <c r="IB64" t="s">
        <v>1045</v>
      </c>
      <c r="ID64" t="s">
        <v>1045</v>
      </c>
      <c r="IF64">
        <v>0</v>
      </c>
      <c r="IG64" t="s">
        <v>1042</v>
      </c>
      <c r="II64" t="s">
        <v>1042</v>
      </c>
      <c r="IR64" t="s">
        <v>1045</v>
      </c>
      <c r="IT64">
        <v>0</v>
      </c>
      <c r="IY64" t="s">
        <v>1044</v>
      </c>
      <c r="IZ64" t="s">
        <v>1043</v>
      </c>
      <c r="JC64" t="s">
        <v>1043</v>
      </c>
      <c r="JE64">
        <v>0</v>
      </c>
      <c r="JF64">
        <v>0</v>
      </c>
      <c r="JI64" t="s">
        <v>1042</v>
      </c>
      <c r="JJ64">
        <v>0</v>
      </c>
      <c r="JK64">
        <v>0</v>
      </c>
      <c r="JL64">
        <v>0</v>
      </c>
      <c r="JM64">
        <v>0</v>
      </c>
      <c r="JQ64" t="s">
        <v>1043</v>
      </c>
      <c r="JT64">
        <v>0</v>
      </c>
      <c r="JU64" t="s">
        <v>1042</v>
      </c>
      <c r="JW64">
        <v>0</v>
      </c>
      <c r="KA64">
        <v>0</v>
      </c>
      <c r="KF64">
        <v>0</v>
      </c>
      <c r="KG64">
        <v>0</v>
      </c>
      <c r="KH64">
        <v>0</v>
      </c>
      <c r="KI64">
        <v>0</v>
      </c>
      <c r="KS64" t="s">
        <v>1073</v>
      </c>
      <c r="KT64">
        <v>0</v>
      </c>
      <c r="KU64">
        <v>0</v>
      </c>
      <c r="KV64">
        <v>0</v>
      </c>
      <c r="KX64">
        <v>0</v>
      </c>
      <c r="KZ64">
        <v>0</v>
      </c>
      <c r="LF64">
        <v>0</v>
      </c>
      <c r="LH64">
        <v>0</v>
      </c>
      <c r="LI64">
        <v>0</v>
      </c>
    </row>
    <row r="65" spans="1:321" x14ac:dyDescent="0.35">
      <c r="A65">
        <v>1</v>
      </c>
      <c r="B65">
        <v>12305</v>
      </c>
      <c r="C65" t="s">
        <v>1647</v>
      </c>
      <c r="D65" t="s">
        <v>1139</v>
      </c>
      <c r="E65" t="s">
        <v>85</v>
      </c>
      <c r="F65">
        <v>80</v>
      </c>
      <c r="G65">
        <v>9000</v>
      </c>
      <c r="H65">
        <v>0</v>
      </c>
      <c r="I65" t="s">
        <v>1509</v>
      </c>
      <c r="L65">
        <v>0</v>
      </c>
      <c r="M65">
        <v>0</v>
      </c>
      <c r="N65">
        <v>0</v>
      </c>
      <c r="R65">
        <v>0</v>
      </c>
      <c r="S65">
        <v>0</v>
      </c>
      <c r="W65" t="s">
        <v>1060</v>
      </c>
      <c r="X65">
        <v>0</v>
      </c>
      <c r="Z65">
        <v>1</v>
      </c>
      <c r="AA65">
        <v>0</v>
      </c>
      <c r="AB65">
        <v>0</v>
      </c>
      <c r="AC65">
        <v>486.25639999999999</v>
      </c>
      <c r="AD65" s="20">
        <v>40781</v>
      </c>
      <c r="AE65">
        <v>467.78</v>
      </c>
      <c r="AF65">
        <v>0</v>
      </c>
      <c r="AH65">
        <v>0</v>
      </c>
      <c r="AJ65">
        <v>0</v>
      </c>
      <c r="AL65">
        <v>0</v>
      </c>
      <c r="AM65">
        <v>0</v>
      </c>
      <c r="AN65">
        <v>16601001</v>
      </c>
      <c r="AO65">
        <v>0</v>
      </c>
      <c r="AP65">
        <v>1000</v>
      </c>
      <c r="AT65">
        <v>0</v>
      </c>
      <c r="AU65" t="s">
        <v>1059</v>
      </c>
      <c r="AW65" t="s">
        <v>1053</v>
      </c>
      <c r="AX65">
        <v>0</v>
      </c>
      <c r="AY65" s="20">
        <v>40781</v>
      </c>
      <c r="BA65" s="20">
        <v>40781</v>
      </c>
      <c r="BB65" t="s">
        <v>1058</v>
      </c>
      <c r="BD65">
        <v>0</v>
      </c>
      <c r="BF65" t="s">
        <v>1043</v>
      </c>
      <c r="BG65" t="s">
        <v>1042</v>
      </c>
      <c r="BH65">
        <v>0</v>
      </c>
      <c r="BI65">
        <v>1</v>
      </c>
      <c r="BJ65">
        <v>0</v>
      </c>
      <c r="BK65">
        <v>0</v>
      </c>
      <c r="BM65" t="s">
        <v>1042</v>
      </c>
      <c r="BN65">
        <v>0</v>
      </c>
      <c r="BR65" t="s">
        <v>1043</v>
      </c>
      <c r="BS65" t="s">
        <v>1043</v>
      </c>
      <c r="BT65" t="s">
        <v>1043</v>
      </c>
      <c r="BW65">
        <v>83</v>
      </c>
      <c r="CA65">
        <v>0</v>
      </c>
      <c r="CB65" t="s">
        <v>1057</v>
      </c>
      <c r="CE65" t="s">
        <v>1043</v>
      </c>
      <c r="CH65" t="s">
        <v>1043</v>
      </c>
      <c r="CN65" t="s">
        <v>1056</v>
      </c>
      <c r="CO65" t="s">
        <v>1043</v>
      </c>
      <c r="CP65">
        <v>1</v>
      </c>
      <c r="CQ65">
        <v>0</v>
      </c>
      <c r="CS65">
        <v>0</v>
      </c>
      <c r="CT65">
        <v>0</v>
      </c>
      <c r="CU65">
        <v>0</v>
      </c>
      <c r="CV65" t="s">
        <v>1045</v>
      </c>
      <c r="CW65">
        <v>0</v>
      </c>
      <c r="CX65">
        <v>0</v>
      </c>
      <c r="CY65">
        <v>0</v>
      </c>
      <c r="CZ65">
        <v>0</v>
      </c>
      <c r="DB65">
        <v>0</v>
      </c>
      <c r="DC65" t="s">
        <v>1043</v>
      </c>
      <c r="DF65" t="s">
        <v>1055</v>
      </c>
      <c r="DH65">
        <v>0</v>
      </c>
      <c r="DJ65">
        <v>0</v>
      </c>
      <c r="DK65" t="s">
        <v>1053</v>
      </c>
      <c r="DL65">
        <v>0</v>
      </c>
      <c r="DN65">
        <v>0</v>
      </c>
      <c r="DO65" t="s">
        <v>1042</v>
      </c>
      <c r="DP65">
        <v>0</v>
      </c>
      <c r="DQ65">
        <v>0</v>
      </c>
      <c r="DS65">
        <v>0</v>
      </c>
      <c r="DU65">
        <v>0</v>
      </c>
      <c r="DW65">
        <v>0</v>
      </c>
      <c r="DX65" t="s">
        <v>1043</v>
      </c>
      <c r="DY65">
        <v>0</v>
      </c>
      <c r="DZ65">
        <v>0</v>
      </c>
      <c r="EA65">
        <v>0</v>
      </c>
      <c r="ED65" t="s">
        <v>1045</v>
      </c>
      <c r="EE65">
        <v>0</v>
      </c>
      <c r="EF65">
        <v>0</v>
      </c>
      <c r="EQ65" t="s">
        <v>1044</v>
      </c>
      <c r="ES65" t="s">
        <v>1053</v>
      </c>
      <c r="ET65">
        <v>0</v>
      </c>
      <c r="EV65">
        <v>0</v>
      </c>
      <c r="EY65" t="s">
        <v>1052</v>
      </c>
      <c r="EZ65">
        <v>0</v>
      </c>
      <c r="FA65" t="s">
        <v>1043</v>
      </c>
      <c r="FB65">
        <v>0</v>
      </c>
      <c r="FC65">
        <v>0</v>
      </c>
      <c r="FE65" t="s">
        <v>1050</v>
      </c>
      <c r="FF65">
        <v>0</v>
      </c>
      <c r="FG65" t="s">
        <v>1050</v>
      </c>
      <c r="FJ65">
        <v>0</v>
      </c>
      <c r="FK65">
        <v>0</v>
      </c>
      <c r="FP65">
        <v>0</v>
      </c>
      <c r="FR65">
        <v>0</v>
      </c>
      <c r="FS65" t="s">
        <v>1043</v>
      </c>
      <c r="FX65" t="s">
        <v>1042</v>
      </c>
      <c r="FZ65" t="s">
        <v>1048</v>
      </c>
      <c r="GA65">
        <v>0</v>
      </c>
      <c r="GB65" t="s">
        <v>1042</v>
      </c>
      <c r="GE65">
        <v>0</v>
      </c>
      <c r="GG65">
        <v>0</v>
      </c>
      <c r="GN65">
        <v>0</v>
      </c>
      <c r="GO65" t="s">
        <v>1063</v>
      </c>
      <c r="GQ65">
        <v>0</v>
      </c>
      <c r="GU65">
        <v>0</v>
      </c>
      <c r="GY65" t="s">
        <v>1045</v>
      </c>
      <c r="HB65">
        <v>0</v>
      </c>
      <c r="HE65">
        <v>0</v>
      </c>
      <c r="HF65">
        <v>0</v>
      </c>
      <c r="HG65">
        <v>0</v>
      </c>
      <c r="HK65" t="s">
        <v>1042</v>
      </c>
      <c r="HM65" t="s">
        <v>1047</v>
      </c>
      <c r="HN65">
        <v>0</v>
      </c>
      <c r="HP65">
        <v>0</v>
      </c>
      <c r="HQ65">
        <v>0</v>
      </c>
      <c r="HR65" t="s">
        <v>1042</v>
      </c>
      <c r="HS65" t="s">
        <v>1043</v>
      </c>
      <c r="HT65">
        <v>0</v>
      </c>
      <c r="HU65">
        <v>0</v>
      </c>
      <c r="HW65">
        <v>0</v>
      </c>
      <c r="HX65">
        <v>0</v>
      </c>
      <c r="HY65">
        <v>0</v>
      </c>
      <c r="HZ65" t="s">
        <v>1045</v>
      </c>
      <c r="IA65">
        <v>0</v>
      </c>
      <c r="IB65" t="s">
        <v>1045</v>
      </c>
      <c r="ID65" t="s">
        <v>1045</v>
      </c>
      <c r="IF65">
        <v>0</v>
      </c>
      <c r="IG65" t="s">
        <v>1042</v>
      </c>
      <c r="II65" t="s">
        <v>1042</v>
      </c>
      <c r="IR65" t="s">
        <v>1045</v>
      </c>
      <c r="IT65">
        <v>0</v>
      </c>
      <c r="IY65" t="s">
        <v>1044</v>
      </c>
      <c r="IZ65" t="s">
        <v>1043</v>
      </c>
      <c r="JC65" t="s">
        <v>1043</v>
      </c>
      <c r="JE65">
        <v>0</v>
      </c>
      <c r="JF65">
        <v>0</v>
      </c>
      <c r="JI65" t="s">
        <v>1042</v>
      </c>
      <c r="JJ65">
        <v>0</v>
      </c>
      <c r="JK65">
        <v>0</v>
      </c>
      <c r="JL65">
        <v>0</v>
      </c>
      <c r="JM65">
        <v>0</v>
      </c>
      <c r="JQ65" t="s">
        <v>1043</v>
      </c>
      <c r="JT65">
        <v>0</v>
      </c>
      <c r="JU65" t="s">
        <v>1042</v>
      </c>
      <c r="JW65">
        <v>0</v>
      </c>
      <c r="KA65">
        <v>0</v>
      </c>
      <c r="KF65">
        <v>0</v>
      </c>
      <c r="KG65">
        <v>0</v>
      </c>
      <c r="KH65">
        <v>0</v>
      </c>
      <c r="KI65">
        <v>0</v>
      </c>
      <c r="KS65" t="s">
        <v>1073</v>
      </c>
      <c r="KT65">
        <v>0</v>
      </c>
      <c r="KU65">
        <v>0</v>
      </c>
      <c r="KV65">
        <v>0</v>
      </c>
      <c r="KX65">
        <v>0</v>
      </c>
      <c r="KZ65">
        <v>0</v>
      </c>
      <c r="LF65">
        <v>0</v>
      </c>
      <c r="LH65">
        <v>0</v>
      </c>
      <c r="LI65">
        <v>0</v>
      </c>
    </row>
    <row r="66" spans="1:321" x14ac:dyDescent="0.35">
      <c r="A66">
        <v>1</v>
      </c>
      <c r="B66">
        <v>12306</v>
      </c>
      <c r="C66" t="s">
        <v>1646</v>
      </c>
      <c r="D66" t="s">
        <v>1139</v>
      </c>
      <c r="E66" t="s">
        <v>85</v>
      </c>
      <c r="F66">
        <v>80</v>
      </c>
      <c r="G66">
        <v>9000</v>
      </c>
      <c r="H66">
        <v>0</v>
      </c>
      <c r="I66" t="s">
        <v>1645</v>
      </c>
      <c r="L66">
        <v>0</v>
      </c>
      <c r="M66">
        <v>0</v>
      </c>
      <c r="N66">
        <v>0</v>
      </c>
      <c r="R66">
        <v>0</v>
      </c>
      <c r="S66">
        <v>0</v>
      </c>
      <c r="W66" t="s">
        <v>1060</v>
      </c>
      <c r="X66">
        <v>0</v>
      </c>
      <c r="Z66">
        <v>1</v>
      </c>
      <c r="AA66">
        <v>0</v>
      </c>
      <c r="AB66">
        <v>0</v>
      </c>
      <c r="AC66">
        <v>7.5632999999999999</v>
      </c>
      <c r="AD66" t="s">
        <v>1042</v>
      </c>
      <c r="AE66">
        <v>0</v>
      </c>
      <c r="AF66">
        <v>0</v>
      </c>
      <c r="AH66">
        <v>0</v>
      </c>
      <c r="AJ66">
        <v>0</v>
      </c>
      <c r="AL66">
        <v>0</v>
      </c>
      <c r="AM66">
        <v>0</v>
      </c>
      <c r="AN66">
        <v>16601001</v>
      </c>
      <c r="AO66">
        <v>0</v>
      </c>
      <c r="AP66">
        <v>1000</v>
      </c>
      <c r="AT66">
        <v>0</v>
      </c>
      <c r="AU66" t="s">
        <v>1059</v>
      </c>
      <c r="AW66" t="s">
        <v>1053</v>
      </c>
      <c r="AX66">
        <v>0</v>
      </c>
      <c r="AY66" s="20">
        <v>40781</v>
      </c>
      <c r="BA66" s="20">
        <v>40781</v>
      </c>
      <c r="BB66" t="s">
        <v>1058</v>
      </c>
      <c r="BD66">
        <v>0</v>
      </c>
      <c r="BF66" t="s">
        <v>1043</v>
      </c>
      <c r="BG66" t="s">
        <v>1042</v>
      </c>
      <c r="BH66">
        <v>0</v>
      </c>
      <c r="BI66">
        <v>1</v>
      </c>
      <c r="BJ66">
        <v>0</v>
      </c>
      <c r="BK66">
        <v>0</v>
      </c>
      <c r="BM66" t="s">
        <v>1042</v>
      </c>
      <c r="BN66">
        <v>0</v>
      </c>
      <c r="BR66" t="s">
        <v>1043</v>
      </c>
      <c r="BS66" t="s">
        <v>1043</v>
      </c>
      <c r="BT66" t="s">
        <v>1043</v>
      </c>
      <c r="BW66">
        <v>83</v>
      </c>
      <c r="CA66">
        <v>0</v>
      </c>
      <c r="CB66" t="s">
        <v>1057</v>
      </c>
      <c r="CE66" t="s">
        <v>1043</v>
      </c>
      <c r="CH66" t="s">
        <v>1043</v>
      </c>
      <c r="CN66" t="s">
        <v>1056</v>
      </c>
      <c r="CO66" t="s">
        <v>1043</v>
      </c>
      <c r="CP66">
        <v>1</v>
      </c>
      <c r="CQ66">
        <v>0</v>
      </c>
      <c r="CS66">
        <v>0</v>
      </c>
      <c r="CT66">
        <v>0</v>
      </c>
      <c r="CU66">
        <v>0</v>
      </c>
      <c r="CV66" t="s">
        <v>1045</v>
      </c>
      <c r="CW66">
        <v>0</v>
      </c>
      <c r="CX66">
        <v>0</v>
      </c>
      <c r="CY66">
        <v>0</v>
      </c>
      <c r="CZ66">
        <v>0</v>
      </c>
      <c r="DB66">
        <v>0</v>
      </c>
      <c r="DC66" t="s">
        <v>1043</v>
      </c>
      <c r="DF66" t="s">
        <v>1055</v>
      </c>
      <c r="DH66">
        <v>0</v>
      </c>
      <c r="DJ66">
        <v>0</v>
      </c>
      <c r="DK66" t="s">
        <v>1053</v>
      </c>
      <c r="DL66">
        <v>0</v>
      </c>
      <c r="DN66">
        <v>0</v>
      </c>
      <c r="DO66" t="s">
        <v>1042</v>
      </c>
      <c r="DP66">
        <v>0</v>
      </c>
      <c r="DQ66">
        <v>0</v>
      </c>
      <c r="DS66">
        <v>0</v>
      </c>
      <c r="DU66">
        <v>0</v>
      </c>
      <c r="DW66">
        <v>0</v>
      </c>
      <c r="DX66" t="s">
        <v>1043</v>
      </c>
      <c r="DY66">
        <v>0</v>
      </c>
      <c r="DZ66">
        <v>0</v>
      </c>
      <c r="EA66">
        <v>0</v>
      </c>
      <c r="ED66" t="s">
        <v>1045</v>
      </c>
      <c r="EE66">
        <v>0</v>
      </c>
      <c r="EF66">
        <v>0</v>
      </c>
      <c r="EQ66" t="s">
        <v>1044</v>
      </c>
      <c r="ES66" t="s">
        <v>1053</v>
      </c>
      <c r="ET66">
        <v>0</v>
      </c>
      <c r="EV66">
        <v>0</v>
      </c>
      <c r="EY66" t="s">
        <v>1052</v>
      </c>
      <c r="EZ66">
        <v>0</v>
      </c>
      <c r="FA66" t="s">
        <v>1043</v>
      </c>
      <c r="FB66">
        <v>0</v>
      </c>
      <c r="FC66">
        <v>0</v>
      </c>
      <c r="FE66" t="s">
        <v>1050</v>
      </c>
      <c r="FF66">
        <v>0</v>
      </c>
      <c r="FG66" t="s">
        <v>1050</v>
      </c>
      <c r="FJ66">
        <v>0</v>
      </c>
      <c r="FK66">
        <v>0</v>
      </c>
      <c r="FP66">
        <v>0</v>
      </c>
      <c r="FR66">
        <v>0</v>
      </c>
      <c r="FS66" t="s">
        <v>1043</v>
      </c>
      <c r="FX66" t="s">
        <v>1042</v>
      </c>
      <c r="FZ66" t="s">
        <v>1048</v>
      </c>
      <c r="GA66">
        <v>0</v>
      </c>
      <c r="GB66" t="s">
        <v>1042</v>
      </c>
      <c r="GE66">
        <v>0</v>
      </c>
      <c r="GG66">
        <v>0</v>
      </c>
      <c r="GN66">
        <v>0</v>
      </c>
      <c r="GO66" t="s">
        <v>1063</v>
      </c>
      <c r="GQ66">
        <v>0</v>
      </c>
      <c r="GU66">
        <v>0</v>
      </c>
      <c r="GY66" t="s">
        <v>1045</v>
      </c>
      <c r="HB66">
        <v>0</v>
      </c>
      <c r="HE66">
        <v>0</v>
      </c>
      <c r="HF66">
        <v>0</v>
      </c>
      <c r="HG66">
        <v>0</v>
      </c>
      <c r="HK66" t="s">
        <v>1042</v>
      </c>
      <c r="HM66" t="s">
        <v>1047</v>
      </c>
      <c r="HN66">
        <v>0</v>
      </c>
      <c r="HP66">
        <v>0</v>
      </c>
      <c r="HQ66">
        <v>0</v>
      </c>
      <c r="HR66" t="s">
        <v>1042</v>
      </c>
      <c r="HS66" t="s">
        <v>1043</v>
      </c>
      <c r="HT66">
        <v>0</v>
      </c>
      <c r="HU66">
        <v>0</v>
      </c>
      <c r="HW66">
        <v>0</v>
      </c>
      <c r="HX66">
        <v>0</v>
      </c>
      <c r="HY66">
        <v>0</v>
      </c>
      <c r="HZ66" t="s">
        <v>1045</v>
      </c>
      <c r="IA66">
        <v>0</v>
      </c>
      <c r="IB66" t="s">
        <v>1045</v>
      </c>
      <c r="ID66" t="s">
        <v>1045</v>
      </c>
      <c r="IF66">
        <v>0</v>
      </c>
      <c r="IG66" t="s">
        <v>1042</v>
      </c>
      <c r="II66" t="s">
        <v>1042</v>
      </c>
      <c r="IR66" t="s">
        <v>1045</v>
      </c>
      <c r="IT66">
        <v>0</v>
      </c>
      <c r="IY66" t="s">
        <v>1044</v>
      </c>
      <c r="IZ66" t="s">
        <v>1043</v>
      </c>
      <c r="JC66" t="s">
        <v>1043</v>
      </c>
      <c r="JE66">
        <v>0</v>
      </c>
      <c r="JF66">
        <v>0</v>
      </c>
      <c r="JI66" t="s">
        <v>1042</v>
      </c>
      <c r="JJ66">
        <v>0</v>
      </c>
      <c r="JK66">
        <v>0</v>
      </c>
      <c r="JL66">
        <v>0</v>
      </c>
      <c r="JM66">
        <v>0</v>
      </c>
      <c r="JQ66" t="s">
        <v>1043</v>
      </c>
      <c r="JT66">
        <v>0</v>
      </c>
      <c r="JU66" t="s">
        <v>1042</v>
      </c>
      <c r="JW66">
        <v>0</v>
      </c>
      <c r="KA66">
        <v>0</v>
      </c>
      <c r="KF66">
        <v>0</v>
      </c>
      <c r="KG66">
        <v>0</v>
      </c>
      <c r="KH66">
        <v>0</v>
      </c>
      <c r="KI66">
        <v>0</v>
      </c>
      <c r="KS66" t="s">
        <v>1073</v>
      </c>
      <c r="KT66">
        <v>0</v>
      </c>
      <c r="KU66">
        <v>0</v>
      </c>
      <c r="KV66">
        <v>0</v>
      </c>
      <c r="KX66">
        <v>0</v>
      </c>
      <c r="KZ66">
        <v>0</v>
      </c>
      <c r="LF66">
        <v>0</v>
      </c>
      <c r="LH66">
        <v>0</v>
      </c>
      <c r="LI66">
        <v>0</v>
      </c>
    </row>
    <row r="67" spans="1:321" x14ac:dyDescent="0.35">
      <c r="A67">
        <v>1</v>
      </c>
      <c r="B67">
        <v>12307</v>
      </c>
      <c r="C67" t="s">
        <v>1644</v>
      </c>
      <c r="D67" t="s">
        <v>1139</v>
      </c>
      <c r="E67" t="s">
        <v>85</v>
      </c>
      <c r="F67">
        <v>80</v>
      </c>
      <c r="G67">
        <v>9000</v>
      </c>
      <c r="H67">
        <v>0</v>
      </c>
      <c r="I67" t="s">
        <v>1323</v>
      </c>
      <c r="L67">
        <v>0</v>
      </c>
      <c r="M67">
        <v>0</v>
      </c>
      <c r="N67">
        <v>0</v>
      </c>
      <c r="R67">
        <v>0</v>
      </c>
      <c r="S67">
        <v>0</v>
      </c>
      <c r="W67" t="s">
        <v>1060</v>
      </c>
      <c r="X67">
        <v>0</v>
      </c>
      <c r="Z67">
        <v>1</v>
      </c>
      <c r="AA67">
        <v>0</v>
      </c>
      <c r="AB67">
        <v>0</v>
      </c>
      <c r="AC67">
        <v>1.0914999999999999</v>
      </c>
      <c r="AD67" s="20">
        <v>40689</v>
      </c>
      <c r="AE67">
        <v>1.05</v>
      </c>
      <c r="AF67">
        <v>0</v>
      </c>
      <c r="AH67">
        <v>0</v>
      </c>
      <c r="AJ67">
        <v>0</v>
      </c>
      <c r="AL67">
        <v>0</v>
      </c>
      <c r="AM67">
        <v>0</v>
      </c>
      <c r="AN67">
        <v>16601001</v>
      </c>
      <c r="AO67">
        <v>0</v>
      </c>
      <c r="AP67">
        <v>1000</v>
      </c>
      <c r="AT67">
        <v>0</v>
      </c>
      <c r="AU67" t="s">
        <v>1059</v>
      </c>
      <c r="AW67" t="s">
        <v>1053</v>
      </c>
      <c r="AX67">
        <v>0</v>
      </c>
      <c r="AY67" s="20">
        <v>40781</v>
      </c>
      <c r="BA67" s="20">
        <v>40781</v>
      </c>
      <c r="BB67" t="s">
        <v>1058</v>
      </c>
      <c r="BD67">
        <v>0</v>
      </c>
      <c r="BF67" t="s">
        <v>1043</v>
      </c>
      <c r="BG67" t="s">
        <v>1042</v>
      </c>
      <c r="BH67">
        <v>0</v>
      </c>
      <c r="BI67">
        <v>1</v>
      </c>
      <c r="BJ67">
        <v>0</v>
      </c>
      <c r="BK67">
        <v>0</v>
      </c>
      <c r="BM67" t="s">
        <v>1042</v>
      </c>
      <c r="BN67">
        <v>0</v>
      </c>
      <c r="BR67" t="s">
        <v>1043</v>
      </c>
      <c r="BS67" t="s">
        <v>1043</v>
      </c>
      <c r="BT67" t="s">
        <v>1043</v>
      </c>
      <c r="BW67">
        <v>83</v>
      </c>
      <c r="CA67">
        <v>0</v>
      </c>
      <c r="CB67" t="s">
        <v>1057</v>
      </c>
      <c r="CE67" t="s">
        <v>1043</v>
      </c>
      <c r="CH67" t="s">
        <v>1043</v>
      </c>
      <c r="CN67" t="s">
        <v>1056</v>
      </c>
      <c r="CO67" t="s">
        <v>1043</v>
      </c>
      <c r="CP67">
        <v>1</v>
      </c>
      <c r="CQ67">
        <v>0</v>
      </c>
      <c r="CS67">
        <v>0</v>
      </c>
      <c r="CT67">
        <v>0</v>
      </c>
      <c r="CU67">
        <v>0</v>
      </c>
      <c r="CV67" t="s">
        <v>1045</v>
      </c>
      <c r="CW67">
        <v>0</v>
      </c>
      <c r="CX67">
        <v>0</v>
      </c>
      <c r="CY67">
        <v>0</v>
      </c>
      <c r="CZ67">
        <v>0</v>
      </c>
      <c r="DB67">
        <v>0</v>
      </c>
      <c r="DC67" t="s">
        <v>1043</v>
      </c>
      <c r="DF67" t="s">
        <v>1055</v>
      </c>
      <c r="DH67">
        <v>0</v>
      </c>
      <c r="DJ67">
        <v>0</v>
      </c>
      <c r="DK67" t="s">
        <v>1053</v>
      </c>
      <c r="DL67">
        <v>0</v>
      </c>
      <c r="DN67">
        <v>0</v>
      </c>
      <c r="DO67" t="s">
        <v>1042</v>
      </c>
      <c r="DP67">
        <v>0</v>
      </c>
      <c r="DQ67">
        <v>0</v>
      </c>
      <c r="DS67">
        <v>0</v>
      </c>
      <c r="DU67">
        <v>0</v>
      </c>
      <c r="DW67">
        <v>0</v>
      </c>
      <c r="DX67" t="s">
        <v>1043</v>
      </c>
      <c r="DY67">
        <v>0</v>
      </c>
      <c r="DZ67">
        <v>0</v>
      </c>
      <c r="EA67">
        <v>0</v>
      </c>
      <c r="ED67" t="s">
        <v>1045</v>
      </c>
      <c r="EE67">
        <v>0</v>
      </c>
      <c r="EF67">
        <v>0</v>
      </c>
      <c r="EQ67" t="s">
        <v>1044</v>
      </c>
      <c r="ES67" t="s">
        <v>1053</v>
      </c>
      <c r="ET67">
        <v>0</v>
      </c>
      <c r="EV67">
        <v>0</v>
      </c>
      <c r="EY67" t="s">
        <v>1052</v>
      </c>
      <c r="EZ67">
        <v>0</v>
      </c>
      <c r="FA67" t="s">
        <v>1043</v>
      </c>
      <c r="FB67">
        <v>0</v>
      </c>
      <c r="FC67">
        <v>0</v>
      </c>
      <c r="FE67" t="s">
        <v>1050</v>
      </c>
      <c r="FF67">
        <v>0</v>
      </c>
      <c r="FG67" t="s">
        <v>1050</v>
      </c>
      <c r="FJ67">
        <v>0</v>
      </c>
      <c r="FK67">
        <v>0</v>
      </c>
      <c r="FP67">
        <v>0</v>
      </c>
      <c r="FR67">
        <v>0</v>
      </c>
      <c r="FS67" t="s">
        <v>1043</v>
      </c>
      <c r="FX67" t="s">
        <v>1042</v>
      </c>
      <c r="FZ67" t="s">
        <v>1048</v>
      </c>
      <c r="GA67">
        <v>0</v>
      </c>
      <c r="GB67" t="s">
        <v>1042</v>
      </c>
      <c r="GE67">
        <v>0</v>
      </c>
      <c r="GG67">
        <v>0</v>
      </c>
      <c r="GN67">
        <v>0</v>
      </c>
      <c r="GO67" t="s">
        <v>1063</v>
      </c>
      <c r="GQ67">
        <v>0</v>
      </c>
      <c r="GU67">
        <v>0</v>
      </c>
      <c r="GY67" t="s">
        <v>1045</v>
      </c>
      <c r="HB67">
        <v>0</v>
      </c>
      <c r="HE67">
        <v>0</v>
      </c>
      <c r="HF67">
        <v>0</v>
      </c>
      <c r="HG67">
        <v>0</v>
      </c>
      <c r="HK67" t="s">
        <v>1042</v>
      </c>
      <c r="HM67" t="s">
        <v>1047</v>
      </c>
      <c r="HN67">
        <v>0</v>
      </c>
      <c r="HP67">
        <v>0</v>
      </c>
      <c r="HQ67">
        <v>0</v>
      </c>
      <c r="HR67" t="s">
        <v>1042</v>
      </c>
      <c r="HS67" t="s">
        <v>1043</v>
      </c>
      <c r="HT67">
        <v>0</v>
      </c>
      <c r="HU67">
        <v>0</v>
      </c>
      <c r="HW67">
        <v>0</v>
      </c>
      <c r="HX67">
        <v>0</v>
      </c>
      <c r="HY67">
        <v>0</v>
      </c>
      <c r="HZ67" t="s">
        <v>1045</v>
      </c>
      <c r="IA67">
        <v>0</v>
      </c>
      <c r="IB67" t="s">
        <v>1045</v>
      </c>
      <c r="ID67" t="s">
        <v>1045</v>
      </c>
      <c r="IF67">
        <v>0</v>
      </c>
      <c r="IG67" t="s">
        <v>1042</v>
      </c>
      <c r="II67" t="s">
        <v>1042</v>
      </c>
      <c r="IR67" t="s">
        <v>1045</v>
      </c>
      <c r="IT67">
        <v>0</v>
      </c>
      <c r="IY67" t="s">
        <v>1044</v>
      </c>
      <c r="IZ67" t="s">
        <v>1043</v>
      </c>
      <c r="JC67" t="s">
        <v>1043</v>
      </c>
      <c r="JE67">
        <v>0</v>
      </c>
      <c r="JF67">
        <v>0</v>
      </c>
      <c r="JI67" t="s">
        <v>1042</v>
      </c>
      <c r="JJ67">
        <v>0</v>
      </c>
      <c r="JK67">
        <v>0</v>
      </c>
      <c r="JL67">
        <v>0</v>
      </c>
      <c r="JM67">
        <v>0</v>
      </c>
      <c r="JQ67" t="s">
        <v>1043</v>
      </c>
      <c r="JT67">
        <v>0</v>
      </c>
      <c r="JU67" t="s">
        <v>1042</v>
      </c>
      <c r="JW67">
        <v>0</v>
      </c>
      <c r="KA67">
        <v>0</v>
      </c>
      <c r="KF67">
        <v>0</v>
      </c>
      <c r="KG67">
        <v>0</v>
      </c>
      <c r="KH67">
        <v>0</v>
      </c>
      <c r="KI67">
        <v>0</v>
      </c>
      <c r="KS67" t="s">
        <v>1073</v>
      </c>
      <c r="KT67">
        <v>0</v>
      </c>
      <c r="KU67">
        <v>0</v>
      </c>
      <c r="KV67">
        <v>0</v>
      </c>
      <c r="KX67">
        <v>0</v>
      </c>
      <c r="KZ67">
        <v>0</v>
      </c>
      <c r="LF67">
        <v>0</v>
      </c>
      <c r="LH67">
        <v>0</v>
      </c>
      <c r="LI67">
        <v>0</v>
      </c>
    </row>
    <row r="68" spans="1:321" x14ac:dyDescent="0.35">
      <c r="A68">
        <v>1</v>
      </c>
      <c r="B68">
        <v>12308</v>
      </c>
      <c r="C68" t="s">
        <v>1643</v>
      </c>
      <c r="D68" t="s">
        <v>1139</v>
      </c>
      <c r="E68" t="s">
        <v>587</v>
      </c>
      <c r="F68">
        <v>80</v>
      </c>
      <c r="G68">
        <v>9000</v>
      </c>
      <c r="H68">
        <v>0</v>
      </c>
      <c r="I68" t="s">
        <v>1323</v>
      </c>
      <c r="L68">
        <v>0</v>
      </c>
      <c r="M68">
        <v>0</v>
      </c>
      <c r="N68">
        <v>0</v>
      </c>
      <c r="R68">
        <v>0</v>
      </c>
      <c r="S68">
        <v>0</v>
      </c>
      <c r="W68" t="s">
        <v>1060</v>
      </c>
      <c r="X68">
        <v>0</v>
      </c>
      <c r="Z68">
        <v>1</v>
      </c>
      <c r="AA68">
        <v>0</v>
      </c>
      <c r="AB68">
        <v>0</v>
      </c>
      <c r="AC68">
        <v>1.0913999999999999</v>
      </c>
      <c r="AD68" t="s">
        <v>1042</v>
      </c>
      <c r="AE68">
        <v>0</v>
      </c>
      <c r="AF68">
        <v>0</v>
      </c>
      <c r="AH68">
        <v>0</v>
      </c>
      <c r="AJ68">
        <v>0</v>
      </c>
      <c r="AL68">
        <v>0</v>
      </c>
      <c r="AM68">
        <v>0</v>
      </c>
      <c r="AN68">
        <v>16601001</v>
      </c>
      <c r="AO68">
        <v>0</v>
      </c>
      <c r="AP68">
        <v>1000</v>
      </c>
      <c r="AT68">
        <v>0</v>
      </c>
      <c r="AU68" t="s">
        <v>1059</v>
      </c>
      <c r="AW68" t="s">
        <v>1053</v>
      </c>
      <c r="AX68">
        <v>0</v>
      </c>
      <c r="AY68" s="20">
        <v>40781</v>
      </c>
      <c r="BA68" s="20">
        <v>40781</v>
      </c>
      <c r="BB68" t="s">
        <v>1058</v>
      </c>
      <c r="BD68">
        <v>0</v>
      </c>
      <c r="BF68" t="s">
        <v>1043</v>
      </c>
      <c r="BG68" t="s">
        <v>1042</v>
      </c>
      <c r="BH68">
        <v>0</v>
      </c>
      <c r="BI68">
        <v>1</v>
      </c>
      <c r="BJ68">
        <v>0</v>
      </c>
      <c r="BK68">
        <v>0</v>
      </c>
      <c r="BM68" t="s">
        <v>1042</v>
      </c>
      <c r="BN68">
        <v>0</v>
      </c>
      <c r="BR68" t="s">
        <v>1043</v>
      </c>
      <c r="BS68" t="s">
        <v>1043</v>
      </c>
      <c r="BT68" t="s">
        <v>1043</v>
      </c>
      <c r="BW68">
        <v>83</v>
      </c>
      <c r="CA68">
        <v>0</v>
      </c>
      <c r="CB68" t="s">
        <v>1057</v>
      </c>
      <c r="CE68" t="s">
        <v>1043</v>
      </c>
      <c r="CH68" t="s">
        <v>1043</v>
      </c>
      <c r="CN68" t="s">
        <v>1056</v>
      </c>
      <c r="CO68" t="s">
        <v>1043</v>
      </c>
      <c r="CP68">
        <v>1</v>
      </c>
      <c r="CQ68">
        <v>0</v>
      </c>
      <c r="CS68">
        <v>0</v>
      </c>
      <c r="CT68">
        <v>0</v>
      </c>
      <c r="CU68">
        <v>0</v>
      </c>
      <c r="CV68" t="s">
        <v>1045</v>
      </c>
      <c r="CW68">
        <v>0</v>
      </c>
      <c r="CX68">
        <v>0</v>
      </c>
      <c r="CY68">
        <v>0</v>
      </c>
      <c r="CZ68">
        <v>0</v>
      </c>
      <c r="DB68">
        <v>0</v>
      </c>
      <c r="DC68" t="s">
        <v>1043</v>
      </c>
      <c r="DF68" t="s">
        <v>1055</v>
      </c>
      <c r="DH68">
        <v>0</v>
      </c>
      <c r="DJ68">
        <v>0</v>
      </c>
      <c r="DK68" t="s">
        <v>1053</v>
      </c>
      <c r="DL68">
        <v>0</v>
      </c>
      <c r="DN68">
        <v>0</v>
      </c>
      <c r="DO68" t="s">
        <v>1042</v>
      </c>
      <c r="DP68">
        <v>0</v>
      </c>
      <c r="DQ68">
        <v>0</v>
      </c>
      <c r="DS68">
        <v>0</v>
      </c>
      <c r="DU68">
        <v>0</v>
      </c>
      <c r="DW68">
        <v>0</v>
      </c>
      <c r="DX68" t="s">
        <v>1043</v>
      </c>
      <c r="DY68">
        <v>0</v>
      </c>
      <c r="DZ68">
        <v>0</v>
      </c>
      <c r="EA68">
        <v>0</v>
      </c>
      <c r="ED68" t="s">
        <v>1045</v>
      </c>
      <c r="EE68">
        <v>0</v>
      </c>
      <c r="EF68">
        <v>0</v>
      </c>
      <c r="EQ68" t="s">
        <v>1044</v>
      </c>
      <c r="ES68" t="s">
        <v>1053</v>
      </c>
      <c r="ET68">
        <v>0</v>
      </c>
      <c r="EV68">
        <v>0</v>
      </c>
      <c r="EY68" t="s">
        <v>1052</v>
      </c>
      <c r="EZ68">
        <v>0</v>
      </c>
      <c r="FA68" t="s">
        <v>1043</v>
      </c>
      <c r="FB68">
        <v>0</v>
      </c>
      <c r="FC68">
        <v>0</v>
      </c>
      <c r="FE68" t="s">
        <v>1050</v>
      </c>
      <c r="FF68">
        <v>0</v>
      </c>
      <c r="FG68" t="s">
        <v>1050</v>
      </c>
      <c r="FJ68">
        <v>0</v>
      </c>
      <c r="FK68">
        <v>0</v>
      </c>
      <c r="FP68">
        <v>0</v>
      </c>
      <c r="FR68">
        <v>0</v>
      </c>
      <c r="FS68" t="s">
        <v>1043</v>
      </c>
      <c r="FX68" t="s">
        <v>1042</v>
      </c>
      <c r="FZ68" t="s">
        <v>1048</v>
      </c>
      <c r="GA68">
        <v>0</v>
      </c>
      <c r="GB68" t="s">
        <v>1042</v>
      </c>
      <c r="GE68">
        <v>0</v>
      </c>
      <c r="GG68">
        <v>0</v>
      </c>
      <c r="GN68">
        <v>0</v>
      </c>
      <c r="GO68" t="s">
        <v>1063</v>
      </c>
      <c r="GQ68">
        <v>0</v>
      </c>
      <c r="GU68">
        <v>0</v>
      </c>
      <c r="GY68" t="s">
        <v>1045</v>
      </c>
      <c r="HB68">
        <v>0</v>
      </c>
      <c r="HE68">
        <v>0</v>
      </c>
      <c r="HF68">
        <v>0</v>
      </c>
      <c r="HG68">
        <v>0</v>
      </c>
      <c r="HK68" t="s">
        <v>1042</v>
      </c>
      <c r="HM68" t="s">
        <v>1047</v>
      </c>
      <c r="HN68">
        <v>0</v>
      </c>
      <c r="HP68">
        <v>0</v>
      </c>
      <c r="HQ68">
        <v>0</v>
      </c>
      <c r="HR68" t="s">
        <v>1042</v>
      </c>
      <c r="HS68" t="s">
        <v>1043</v>
      </c>
      <c r="HT68">
        <v>0</v>
      </c>
      <c r="HU68">
        <v>0</v>
      </c>
      <c r="HW68">
        <v>0</v>
      </c>
      <c r="HX68">
        <v>0</v>
      </c>
      <c r="HY68">
        <v>0</v>
      </c>
      <c r="HZ68" t="s">
        <v>1045</v>
      </c>
      <c r="IA68">
        <v>0</v>
      </c>
      <c r="IB68" t="s">
        <v>1045</v>
      </c>
      <c r="ID68" t="s">
        <v>1045</v>
      </c>
      <c r="IF68">
        <v>0</v>
      </c>
      <c r="IG68" t="s">
        <v>1042</v>
      </c>
      <c r="II68" t="s">
        <v>1042</v>
      </c>
      <c r="IR68" t="s">
        <v>1045</v>
      </c>
      <c r="IT68">
        <v>0</v>
      </c>
      <c r="IY68" t="s">
        <v>1044</v>
      </c>
      <c r="IZ68" t="s">
        <v>1043</v>
      </c>
      <c r="JC68" t="s">
        <v>1043</v>
      </c>
      <c r="JE68">
        <v>0</v>
      </c>
      <c r="JF68">
        <v>0</v>
      </c>
      <c r="JI68" t="s">
        <v>1042</v>
      </c>
      <c r="JJ68">
        <v>0</v>
      </c>
      <c r="JK68">
        <v>0</v>
      </c>
      <c r="JL68">
        <v>0</v>
      </c>
      <c r="JM68">
        <v>0</v>
      </c>
      <c r="JQ68" t="s">
        <v>1043</v>
      </c>
      <c r="JT68">
        <v>0</v>
      </c>
      <c r="JU68" t="s">
        <v>1042</v>
      </c>
      <c r="JW68">
        <v>0</v>
      </c>
      <c r="KA68">
        <v>0</v>
      </c>
      <c r="KF68">
        <v>0</v>
      </c>
      <c r="KG68">
        <v>0</v>
      </c>
      <c r="KH68">
        <v>0</v>
      </c>
      <c r="KI68">
        <v>0</v>
      </c>
      <c r="KS68" t="s">
        <v>1073</v>
      </c>
      <c r="KT68">
        <v>0</v>
      </c>
      <c r="KU68">
        <v>0</v>
      </c>
      <c r="KV68">
        <v>0</v>
      </c>
      <c r="KX68">
        <v>0</v>
      </c>
      <c r="KZ68">
        <v>0</v>
      </c>
      <c r="LF68">
        <v>0</v>
      </c>
      <c r="LH68">
        <v>0</v>
      </c>
      <c r="LI68">
        <v>0</v>
      </c>
    </row>
    <row r="69" spans="1:321" x14ac:dyDescent="0.35">
      <c r="A69">
        <v>1</v>
      </c>
      <c r="B69">
        <v>12309</v>
      </c>
      <c r="C69" t="s">
        <v>1642</v>
      </c>
      <c r="D69" t="s">
        <v>1139</v>
      </c>
      <c r="E69" t="s">
        <v>85</v>
      </c>
      <c r="F69">
        <v>80</v>
      </c>
      <c r="G69">
        <v>9000</v>
      </c>
      <c r="H69">
        <v>0</v>
      </c>
      <c r="I69" t="s">
        <v>1323</v>
      </c>
      <c r="L69">
        <v>0</v>
      </c>
      <c r="M69">
        <v>0</v>
      </c>
      <c r="N69">
        <v>0</v>
      </c>
      <c r="R69">
        <v>0</v>
      </c>
      <c r="S69">
        <v>0</v>
      </c>
      <c r="W69" t="s">
        <v>1060</v>
      </c>
      <c r="X69">
        <v>0</v>
      </c>
      <c r="Z69">
        <v>1</v>
      </c>
      <c r="AA69">
        <v>0</v>
      </c>
      <c r="AB69">
        <v>0</v>
      </c>
      <c r="AC69">
        <v>1.0913999999999999</v>
      </c>
      <c r="AD69" s="20">
        <v>40781</v>
      </c>
      <c r="AE69">
        <v>1.05</v>
      </c>
      <c r="AF69">
        <v>0</v>
      </c>
      <c r="AH69">
        <v>0</v>
      </c>
      <c r="AJ69">
        <v>0</v>
      </c>
      <c r="AL69">
        <v>0</v>
      </c>
      <c r="AM69">
        <v>0</v>
      </c>
      <c r="AN69">
        <v>16601001</v>
      </c>
      <c r="AO69">
        <v>0</v>
      </c>
      <c r="AP69">
        <v>1000</v>
      </c>
      <c r="AT69">
        <v>0</v>
      </c>
      <c r="AU69" t="s">
        <v>1059</v>
      </c>
      <c r="AW69" t="s">
        <v>1053</v>
      </c>
      <c r="AX69">
        <v>0</v>
      </c>
      <c r="AY69" s="20">
        <v>40781</v>
      </c>
      <c r="BA69" s="20">
        <v>40781</v>
      </c>
      <c r="BB69" t="s">
        <v>1058</v>
      </c>
      <c r="BD69">
        <v>0</v>
      </c>
      <c r="BF69" t="s">
        <v>1043</v>
      </c>
      <c r="BG69" t="s">
        <v>1042</v>
      </c>
      <c r="BH69">
        <v>0</v>
      </c>
      <c r="BI69">
        <v>1</v>
      </c>
      <c r="BJ69">
        <v>0</v>
      </c>
      <c r="BK69">
        <v>0</v>
      </c>
      <c r="BM69" t="s">
        <v>1042</v>
      </c>
      <c r="BN69">
        <v>0</v>
      </c>
      <c r="BR69" t="s">
        <v>1043</v>
      </c>
      <c r="BS69" t="s">
        <v>1043</v>
      </c>
      <c r="BT69" t="s">
        <v>1043</v>
      </c>
      <c r="BW69">
        <v>83</v>
      </c>
      <c r="CA69">
        <v>0</v>
      </c>
      <c r="CB69" t="s">
        <v>1057</v>
      </c>
      <c r="CE69" t="s">
        <v>1043</v>
      </c>
      <c r="CH69" t="s">
        <v>1043</v>
      </c>
      <c r="CN69" t="s">
        <v>1056</v>
      </c>
      <c r="CO69" t="s">
        <v>1043</v>
      </c>
      <c r="CP69">
        <v>1</v>
      </c>
      <c r="CQ69">
        <v>0</v>
      </c>
      <c r="CS69">
        <v>0</v>
      </c>
      <c r="CT69">
        <v>0</v>
      </c>
      <c r="CU69">
        <v>0</v>
      </c>
      <c r="CV69" t="s">
        <v>1045</v>
      </c>
      <c r="CW69">
        <v>0</v>
      </c>
      <c r="CX69">
        <v>0</v>
      </c>
      <c r="CY69">
        <v>0</v>
      </c>
      <c r="CZ69">
        <v>0</v>
      </c>
      <c r="DB69">
        <v>0</v>
      </c>
      <c r="DC69" t="s">
        <v>1043</v>
      </c>
      <c r="DF69" t="s">
        <v>1055</v>
      </c>
      <c r="DH69">
        <v>0</v>
      </c>
      <c r="DJ69">
        <v>0</v>
      </c>
      <c r="DK69" t="s">
        <v>1053</v>
      </c>
      <c r="DL69">
        <v>0</v>
      </c>
      <c r="DN69">
        <v>0</v>
      </c>
      <c r="DO69" t="s">
        <v>1042</v>
      </c>
      <c r="DP69">
        <v>0</v>
      </c>
      <c r="DQ69">
        <v>0</v>
      </c>
      <c r="DS69">
        <v>0</v>
      </c>
      <c r="DU69">
        <v>0</v>
      </c>
      <c r="DW69">
        <v>0</v>
      </c>
      <c r="DX69" t="s">
        <v>1043</v>
      </c>
      <c r="DY69">
        <v>0</v>
      </c>
      <c r="DZ69">
        <v>0</v>
      </c>
      <c r="EA69">
        <v>0</v>
      </c>
      <c r="ED69" t="s">
        <v>1045</v>
      </c>
      <c r="EE69">
        <v>0</v>
      </c>
      <c r="EF69">
        <v>0</v>
      </c>
      <c r="EQ69" t="s">
        <v>1044</v>
      </c>
      <c r="ES69" t="s">
        <v>1053</v>
      </c>
      <c r="ET69">
        <v>0</v>
      </c>
      <c r="EV69">
        <v>0</v>
      </c>
      <c r="EY69" t="s">
        <v>1052</v>
      </c>
      <c r="EZ69">
        <v>0</v>
      </c>
      <c r="FA69" t="s">
        <v>1043</v>
      </c>
      <c r="FB69">
        <v>0</v>
      </c>
      <c r="FC69">
        <v>0</v>
      </c>
      <c r="FE69" t="s">
        <v>1050</v>
      </c>
      <c r="FF69">
        <v>0</v>
      </c>
      <c r="FG69" t="s">
        <v>1050</v>
      </c>
      <c r="FJ69">
        <v>0</v>
      </c>
      <c r="FK69">
        <v>0</v>
      </c>
      <c r="FP69">
        <v>0</v>
      </c>
      <c r="FR69">
        <v>0</v>
      </c>
      <c r="FS69" t="s">
        <v>1043</v>
      </c>
      <c r="FX69" t="s">
        <v>1042</v>
      </c>
      <c r="FZ69" t="s">
        <v>1048</v>
      </c>
      <c r="GA69">
        <v>0</v>
      </c>
      <c r="GB69" t="s">
        <v>1042</v>
      </c>
      <c r="GE69">
        <v>0</v>
      </c>
      <c r="GG69">
        <v>0</v>
      </c>
      <c r="GN69">
        <v>0</v>
      </c>
      <c r="GO69" t="s">
        <v>1063</v>
      </c>
      <c r="GQ69">
        <v>0</v>
      </c>
      <c r="GU69">
        <v>0</v>
      </c>
      <c r="GY69" t="s">
        <v>1045</v>
      </c>
      <c r="HB69">
        <v>0</v>
      </c>
      <c r="HE69">
        <v>0</v>
      </c>
      <c r="HF69">
        <v>0</v>
      </c>
      <c r="HG69">
        <v>0</v>
      </c>
      <c r="HK69" t="s">
        <v>1042</v>
      </c>
      <c r="HM69" t="s">
        <v>1047</v>
      </c>
      <c r="HN69">
        <v>0</v>
      </c>
      <c r="HP69">
        <v>0</v>
      </c>
      <c r="HQ69">
        <v>0</v>
      </c>
      <c r="HR69" t="s">
        <v>1042</v>
      </c>
      <c r="HS69" t="s">
        <v>1043</v>
      </c>
      <c r="HT69">
        <v>0</v>
      </c>
      <c r="HU69">
        <v>0</v>
      </c>
      <c r="HW69">
        <v>0</v>
      </c>
      <c r="HX69">
        <v>0</v>
      </c>
      <c r="HY69">
        <v>0</v>
      </c>
      <c r="HZ69" t="s">
        <v>1045</v>
      </c>
      <c r="IA69">
        <v>0</v>
      </c>
      <c r="IB69" t="s">
        <v>1045</v>
      </c>
      <c r="ID69" t="s">
        <v>1045</v>
      </c>
      <c r="IF69">
        <v>0</v>
      </c>
      <c r="IG69" t="s">
        <v>1042</v>
      </c>
      <c r="II69" t="s">
        <v>1042</v>
      </c>
      <c r="IR69" t="s">
        <v>1045</v>
      </c>
      <c r="IT69">
        <v>0</v>
      </c>
      <c r="IY69" t="s">
        <v>1044</v>
      </c>
      <c r="IZ69" t="s">
        <v>1043</v>
      </c>
      <c r="JC69" t="s">
        <v>1043</v>
      </c>
      <c r="JE69">
        <v>0</v>
      </c>
      <c r="JF69">
        <v>0</v>
      </c>
      <c r="JI69" t="s">
        <v>1042</v>
      </c>
      <c r="JJ69">
        <v>0</v>
      </c>
      <c r="JK69">
        <v>0</v>
      </c>
      <c r="JL69">
        <v>0</v>
      </c>
      <c r="JM69">
        <v>0</v>
      </c>
      <c r="JQ69" t="s">
        <v>1043</v>
      </c>
      <c r="JT69">
        <v>0</v>
      </c>
      <c r="JU69" t="s">
        <v>1042</v>
      </c>
      <c r="JW69">
        <v>0</v>
      </c>
      <c r="KA69">
        <v>0</v>
      </c>
      <c r="KF69">
        <v>0</v>
      </c>
      <c r="KG69">
        <v>0</v>
      </c>
      <c r="KH69">
        <v>0</v>
      </c>
      <c r="KI69">
        <v>0</v>
      </c>
      <c r="KS69" t="s">
        <v>1073</v>
      </c>
      <c r="KT69">
        <v>0</v>
      </c>
      <c r="KU69">
        <v>0</v>
      </c>
      <c r="KV69">
        <v>0</v>
      </c>
      <c r="KX69">
        <v>0</v>
      </c>
      <c r="KZ69">
        <v>0</v>
      </c>
      <c r="LF69">
        <v>0</v>
      </c>
      <c r="LH69">
        <v>0</v>
      </c>
      <c r="LI69">
        <v>0</v>
      </c>
    </row>
    <row r="70" spans="1:321" x14ac:dyDescent="0.35">
      <c r="A70">
        <v>1</v>
      </c>
      <c r="B70">
        <v>1231</v>
      </c>
      <c r="C70" t="s">
        <v>632</v>
      </c>
      <c r="D70" t="s">
        <v>1061</v>
      </c>
      <c r="E70" t="s">
        <v>587</v>
      </c>
      <c r="F70">
        <v>1</v>
      </c>
      <c r="G70">
        <v>160</v>
      </c>
      <c r="H70">
        <v>0</v>
      </c>
      <c r="I70" t="s">
        <v>991</v>
      </c>
      <c r="L70">
        <v>0</v>
      </c>
      <c r="M70">
        <v>0</v>
      </c>
      <c r="N70">
        <v>0</v>
      </c>
      <c r="Q70">
        <v>516</v>
      </c>
      <c r="R70">
        <v>0</v>
      </c>
      <c r="S70">
        <v>0</v>
      </c>
      <c r="W70" t="s">
        <v>1060</v>
      </c>
      <c r="X70">
        <v>0</v>
      </c>
      <c r="Z70">
        <v>50</v>
      </c>
      <c r="AA70">
        <v>21.1906</v>
      </c>
      <c r="AB70">
        <v>337131</v>
      </c>
      <c r="AC70">
        <v>0.64019999999999999</v>
      </c>
      <c r="AD70" s="20">
        <v>44664</v>
      </c>
      <c r="AE70">
        <v>0.51</v>
      </c>
      <c r="AF70">
        <v>6.3600000000000004E-2</v>
      </c>
      <c r="AH70">
        <v>281843</v>
      </c>
      <c r="AJ70">
        <v>1</v>
      </c>
      <c r="AK70" t="s">
        <v>1154</v>
      </c>
      <c r="AL70">
        <v>1261150</v>
      </c>
      <c r="AM70">
        <v>176</v>
      </c>
      <c r="AN70">
        <v>11501001</v>
      </c>
      <c r="AO70">
        <v>0</v>
      </c>
      <c r="AP70">
        <v>1001</v>
      </c>
      <c r="AT70">
        <v>1</v>
      </c>
      <c r="AU70" t="s">
        <v>1059</v>
      </c>
      <c r="AV70" t="s">
        <v>1043</v>
      </c>
      <c r="AW70" t="s">
        <v>1053</v>
      </c>
      <c r="AX70">
        <v>5</v>
      </c>
      <c r="AY70" s="20">
        <v>42977</v>
      </c>
      <c r="BA70" s="20">
        <v>44384</v>
      </c>
      <c r="BB70" t="s">
        <v>1058</v>
      </c>
      <c r="BD70">
        <v>0</v>
      </c>
      <c r="BF70" t="s">
        <v>1044</v>
      </c>
      <c r="BG70" s="20">
        <v>40340</v>
      </c>
      <c r="BH70">
        <v>0</v>
      </c>
      <c r="BI70">
        <v>33</v>
      </c>
      <c r="BJ70">
        <v>0</v>
      </c>
      <c r="BK70">
        <v>0</v>
      </c>
      <c r="BM70" s="20">
        <v>40290</v>
      </c>
      <c r="BN70">
        <v>0</v>
      </c>
      <c r="BO70">
        <v>7897801309622</v>
      </c>
      <c r="BR70" t="s">
        <v>1043</v>
      </c>
      <c r="BS70" t="s">
        <v>1043</v>
      </c>
      <c r="BT70" t="s">
        <v>1043</v>
      </c>
      <c r="BV70">
        <v>1</v>
      </c>
      <c r="BW70">
        <v>30</v>
      </c>
      <c r="BY70">
        <v>66</v>
      </c>
      <c r="CA70">
        <v>0</v>
      </c>
      <c r="CB70" t="s">
        <v>1043</v>
      </c>
      <c r="CE70" t="s">
        <v>1043</v>
      </c>
      <c r="CH70" t="s">
        <v>1043</v>
      </c>
      <c r="CI70" t="s">
        <v>1383</v>
      </c>
      <c r="CK70" t="s">
        <v>1152</v>
      </c>
      <c r="CN70" t="s">
        <v>1056</v>
      </c>
      <c r="CP70">
        <v>1</v>
      </c>
      <c r="CQ70">
        <v>5200</v>
      </c>
      <c r="CS70">
        <v>0</v>
      </c>
      <c r="CT70">
        <v>0</v>
      </c>
      <c r="CU70">
        <v>0</v>
      </c>
      <c r="CV70" t="s">
        <v>1045</v>
      </c>
      <c r="CW70">
        <v>0</v>
      </c>
      <c r="CX70">
        <v>0</v>
      </c>
      <c r="CY70">
        <v>0</v>
      </c>
      <c r="CZ70">
        <v>0</v>
      </c>
      <c r="DA70">
        <v>35</v>
      </c>
      <c r="DB70">
        <v>700000</v>
      </c>
      <c r="DH70">
        <v>0</v>
      </c>
      <c r="DJ70">
        <v>0</v>
      </c>
      <c r="DL70">
        <v>0</v>
      </c>
      <c r="DN70">
        <v>0</v>
      </c>
      <c r="DO70" t="s">
        <v>1042</v>
      </c>
      <c r="DP70">
        <v>0</v>
      </c>
      <c r="DQ70">
        <v>7.6</v>
      </c>
      <c r="DS70">
        <v>0</v>
      </c>
      <c r="DU70">
        <v>1.65</v>
      </c>
      <c r="DW70">
        <v>0</v>
      </c>
      <c r="DY70">
        <v>0</v>
      </c>
      <c r="DZ70">
        <v>0</v>
      </c>
      <c r="EA70">
        <v>0</v>
      </c>
      <c r="EB70">
        <v>17897801309629</v>
      </c>
      <c r="EE70">
        <v>0</v>
      </c>
      <c r="EF70">
        <v>0</v>
      </c>
      <c r="EK70" t="s">
        <v>1570</v>
      </c>
      <c r="EL70">
        <v>57897801309627</v>
      </c>
      <c r="EN70" t="s">
        <v>1511</v>
      </c>
      <c r="EO70" t="s">
        <v>1044</v>
      </c>
      <c r="ET70">
        <v>0</v>
      </c>
      <c r="EV70">
        <v>0</v>
      </c>
      <c r="EY70" t="s">
        <v>1052</v>
      </c>
      <c r="EZ70">
        <v>0</v>
      </c>
      <c r="FA70" t="s">
        <v>1043</v>
      </c>
      <c r="FB70">
        <v>0</v>
      </c>
      <c r="FC70">
        <v>0</v>
      </c>
      <c r="FD70" t="s">
        <v>1051</v>
      </c>
      <c r="FE70" t="s">
        <v>1050</v>
      </c>
      <c r="FF70">
        <v>0</v>
      </c>
      <c r="FG70" t="s">
        <v>1050</v>
      </c>
      <c r="FH70">
        <v>27897801309626</v>
      </c>
      <c r="FJ70">
        <v>0</v>
      </c>
      <c r="FK70">
        <v>0</v>
      </c>
      <c r="FP70">
        <v>0</v>
      </c>
      <c r="FR70">
        <v>0</v>
      </c>
      <c r="FS70" t="s">
        <v>1043</v>
      </c>
      <c r="FX70" t="s">
        <v>1042</v>
      </c>
      <c r="GA70">
        <v>0</v>
      </c>
      <c r="GB70" t="s">
        <v>1042</v>
      </c>
      <c r="GD70">
        <v>16</v>
      </c>
      <c r="GE70">
        <v>0</v>
      </c>
      <c r="GG70">
        <v>0</v>
      </c>
      <c r="GN70">
        <v>0</v>
      </c>
      <c r="GO70" t="s">
        <v>1049</v>
      </c>
      <c r="GQ70">
        <v>0</v>
      </c>
      <c r="GU70">
        <v>99</v>
      </c>
      <c r="GY70" t="s">
        <v>1045</v>
      </c>
      <c r="HB70">
        <v>0</v>
      </c>
      <c r="HE70">
        <v>12</v>
      </c>
      <c r="HF70">
        <v>0</v>
      </c>
      <c r="HG70">
        <v>5.2679999999999998E-2</v>
      </c>
      <c r="HK70" t="s">
        <v>1042</v>
      </c>
      <c r="HL70" t="s">
        <v>1048</v>
      </c>
      <c r="HM70">
        <v>0</v>
      </c>
      <c r="HN70">
        <v>0</v>
      </c>
      <c r="HO70">
        <v>24</v>
      </c>
      <c r="HP70">
        <v>6.3200000000000006E-2</v>
      </c>
      <c r="HQ70">
        <v>0</v>
      </c>
      <c r="HR70" s="20">
        <v>44221</v>
      </c>
      <c r="HT70">
        <v>0</v>
      </c>
      <c r="HU70">
        <v>0</v>
      </c>
      <c r="HW70">
        <v>0</v>
      </c>
      <c r="HX70">
        <v>1492726</v>
      </c>
      <c r="HY70">
        <v>1</v>
      </c>
      <c r="IA70">
        <v>0.51</v>
      </c>
      <c r="IF70">
        <v>5450</v>
      </c>
      <c r="IG70" s="20">
        <v>40365</v>
      </c>
      <c r="IH70" t="s">
        <v>1046</v>
      </c>
      <c r="II70" t="s">
        <v>1042</v>
      </c>
      <c r="IR70" t="s">
        <v>1045</v>
      </c>
      <c r="IT70">
        <v>0</v>
      </c>
      <c r="JE70">
        <v>0</v>
      </c>
      <c r="JF70">
        <v>0</v>
      </c>
      <c r="JI70" t="s">
        <v>1042</v>
      </c>
      <c r="JJ70">
        <v>0</v>
      </c>
      <c r="JK70">
        <v>0</v>
      </c>
      <c r="JL70">
        <v>0</v>
      </c>
      <c r="JM70">
        <v>0</v>
      </c>
      <c r="JT70">
        <v>0</v>
      </c>
      <c r="JU70" t="s">
        <v>1042</v>
      </c>
      <c r="JW70">
        <v>0</v>
      </c>
      <c r="KA70">
        <v>0</v>
      </c>
      <c r="KF70">
        <v>0</v>
      </c>
      <c r="KG70">
        <v>0</v>
      </c>
      <c r="KH70">
        <v>0</v>
      </c>
      <c r="KI70">
        <v>0</v>
      </c>
      <c r="KS70" t="s">
        <v>1041</v>
      </c>
      <c r="KT70">
        <v>0</v>
      </c>
      <c r="KU70">
        <v>0</v>
      </c>
      <c r="KV70">
        <v>0</v>
      </c>
      <c r="KX70">
        <v>0</v>
      </c>
      <c r="KZ70">
        <v>0</v>
      </c>
      <c r="LF70">
        <v>0</v>
      </c>
      <c r="LH70">
        <v>374472</v>
      </c>
      <c r="LI70">
        <v>0</v>
      </c>
    </row>
    <row r="71" spans="1:321" x14ac:dyDescent="0.35">
      <c r="A71">
        <v>1</v>
      </c>
      <c r="B71">
        <v>12310</v>
      </c>
      <c r="C71" t="s">
        <v>1641</v>
      </c>
      <c r="D71" t="s">
        <v>1139</v>
      </c>
      <c r="E71" t="s">
        <v>587</v>
      </c>
      <c r="F71">
        <v>80</v>
      </c>
      <c r="G71">
        <v>9000</v>
      </c>
      <c r="H71">
        <v>0</v>
      </c>
      <c r="I71" t="s">
        <v>1323</v>
      </c>
      <c r="L71">
        <v>0</v>
      </c>
      <c r="M71">
        <v>0</v>
      </c>
      <c r="N71">
        <v>0</v>
      </c>
      <c r="R71">
        <v>0</v>
      </c>
      <c r="S71">
        <v>0</v>
      </c>
      <c r="W71" t="s">
        <v>1060</v>
      </c>
      <c r="X71">
        <v>0</v>
      </c>
      <c r="Z71">
        <v>1</v>
      </c>
      <c r="AA71">
        <v>0</v>
      </c>
      <c r="AB71">
        <v>0</v>
      </c>
      <c r="AC71">
        <v>4.5423</v>
      </c>
      <c r="AD71" s="20">
        <v>40781</v>
      </c>
      <c r="AE71">
        <v>4.37</v>
      </c>
      <c r="AF71">
        <v>0</v>
      </c>
      <c r="AH71">
        <v>0</v>
      </c>
      <c r="AJ71">
        <v>0</v>
      </c>
      <c r="AL71">
        <v>0</v>
      </c>
      <c r="AM71">
        <v>0</v>
      </c>
      <c r="AN71">
        <v>16601001</v>
      </c>
      <c r="AO71">
        <v>0</v>
      </c>
      <c r="AP71">
        <v>1000</v>
      </c>
      <c r="AT71">
        <v>0</v>
      </c>
      <c r="AU71" t="s">
        <v>1059</v>
      </c>
      <c r="AW71" t="s">
        <v>1053</v>
      </c>
      <c r="AX71">
        <v>0</v>
      </c>
      <c r="AY71" s="20">
        <v>40781</v>
      </c>
      <c r="BA71" s="20">
        <v>40781</v>
      </c>
      <c r="BB71" t="s">
        <v>1058</v>
      </c>
      <c r="BD71">
        <v>0</v>
      </c>
      <c r="BF71" t="s">
        <v>1043</v>
      </c>
      <c r="BG71" t="s">
        <v>1042</v>
      </c>
      <c r="BH71">
        <v>0</v>
      </c>
      <c r="BI71">
        <v>1</v>
      </c>
      <c r="BJ71">
        <v>0</v>
      </c>
      <c r="BK71">
        <v>0</v>
      </c>
      <c r="BM71" t="s">
        <v>1042</v>
      </c>
      <c r="BN71">
        <v>0</v>
      </c>
      <c r="BR71" t="s">
        <v>1043</v>
      </c>
      <c r="BS71" t="s">
        <v>1043</v>
      </c>
      <c r="BT71" t="s">
        <v>1043</v>
      </c>
      <c r="BW71">
        <v>83</v>
      </c>
      <c r="CA71">
        <v>0</v>
      </c>
      <c r="CB71" t="s">
        <v>1057</v>
      </c>
      <c r="CE71" t="s">
        <v>1043</v>
      </c>
      <c r="CH71" t="s">
        <v>1043</v>
      </c>
      <c r="CN71" t="s">
        <v>1056</v>
      </c>
      <c r="CO71" t="s">
        <v>1043</v>
      </c>
      <c r="CP71">
        <v>1</v>
      </c>
      <c r="CQ71">
        <v>0</v>
      </c>
      <c r="CS71">
        <v>0</v>
      </c>
      <c r="CT71">
        <v>0</v>
      </c>
      <c r="CU71">
        <v>0</v>
      </c>
      <c r="CV71" t="s">
        <v>1045</v>
      </c>
      <c r="CW71">
        <v>0</v>
      </c>
      <c r="CX71">
        <v>0</v>
      </c>
      <c r="CY71">
        <v>0</v>
      </c>
      <c r="CZ71">
        <v>0</v>
      </c>
      <c r="DB71">
        <v>0</v>
      </c>
      <c r="DC71" t="s">
        <v>1043</v>
      </c>
      <c r="DF71" t="s">
        <v>1055</v>
      </c>
      <c r="DH71">
        <v>0</v>
      </c>
      <c r="DJ71">
        <v>0</v>
      </c>
      <c r="DK71" t="s">
        <v>1053</v>
      </c>
      <c r="DL71">
        <v>0</v>
      </c>
      <c r="DN71">
        <v>0</v>
      </c>
      <c r="DO71" t="s">
        <v>1042</v>
      </c>
      <c r="DP71">
        <v>0</v>
      </c>
      <c r="DQ71">
        <v>0</v>
      </c>
      <c r="DS71">
        <v>0</v>
      </c>
      <c r="DU71">
        <v>0</v>
      </c>
      <c r="DW71">
        <v>0</v>
      </c>
      <c r="DX71" t="s">
        <v>1043</v>
      </c>
      <c r="DY71">
        <v>0</v>
      </c>
      <c r="DZ71">
        <v>0</v>
      </c>
      <c r="EA71">
        <v>0</v>
      </c>
      <c r="ED71" t="s">
        <v>1045</v>
      </c>
      <c r="EE71">
        <v>0</v>
      </c>
      <c r="EF71">
        <v>0</v>
      </c>
      <c r="EQ71" t="s">
        <v>1044</v>
      </c>
      <c r="ES71" t="s">
        <v>1053</v>
      </c>
      <c r="ET71">
        <v>0</v>
      </c>
      <c r="EV71">
        <v>0</v>
      </c>
      <c r="EY71" t="s">
        <v>1052</v>
      </c>
      <c r="EZ71">
        <v>0</v>
      </c>
      <c r="FA71" t="s">
        <v>1043</v>
      </c>
      <c r="FB71">
        <v>0</v>
      </c>
      <c r="FC71">
        <v>0</v>
      </c>
      <c r="FE71" t="s">
        <v>1050</v>
      </c>
      <c r="FF71">
        <v>0</v>
      </c>
      <c r="FG71" t="s">
        <v>1050</v>
      </c>
      <c r="FJ71">
        <v>0</v>
      </c>
      <c r="FK71">
        <v>0</v>
      </c>
      <c r="FP71">
        <v>0</v>
      </c>
      <c r="FR71">
        <v>0</v>
      </c>
      <c r="FS71" t="s">
        <v>1043</v>
      </c>
      <c r="FX71" t="s">
        <v>1042</v>
      </c>
      <c r="FZ71" t="s">
        <v>1048</v>
      </c>
      <c r="GA71">
        <v>0</v>
      </c>
      <c r="GB71" t="s">
        <v>1042</v>
      </c>
      <c r="GE71">
        <v>0</v>
      </c>
      <c r="GG71">
        <v>0</v>
      </c>
      <c r="GN71">
        <v>0</v>
      </c>
      <c r="GO71" t="s">
        <v>1063</v>
      </c>
      <c r="GQ71">
        <v>0</v>
      </c>
      <c r="GU71">
        <v>0</v>
      </c>
      <c r="GY71" t="s">
        <v>1045</v>
      </c>
      <c r="HB71">
        <v>0</v>
      </c>
      <c r="HE71">
        <v>0</v>
      </c>
      <c r="HF71">
        <v>0</v>
      </c>
      <c r="HG71">
        <v>0</v>
      </c>
      <c r="HK71" t="s">
        <v>1042</v>
      </c>
      <c r="HM71" t="s">
        <v>1047</v>
      </c>
      <c r="HN71">
        <v>0</v>
      </c>
      <c r="HP71">
        <v>0</v>
      </c>
      <c r="HQ71">
        <v>0</v>
      </c>
      <c r="HR71" t="s">
        <v>1042</v>
      </c>
      <c r="HS71" t="s">
        <v>1043</v>
      </c>
      <c r="HT71">
        <v>0</v>
      </c>
      <c r="HU71">
        <v>0</v>
      </c>
      <c r="HW71">
        <v>0</v>
      </c>
      <c r="HX71">
        <v>0</v>
      </c>
      <c r="HY71">
        <v>0</v>
      </c>
      <c r="HZ71" t="s">
        <v>1045</v>
      </c>
      <c r="IA71">
        <v>0</v>
      </c>
      <c r="IB71" t="s">
        <v>1045</v>
      </c>
      <c r="ID71" t="s">
        <v>1045</v>
      </c>
      <c r="IF71">
        <v>0</v>
      </c>
      <c r="IG71" t="s">
        <v>1042</v>
      </c>
      <c r="II71" t="s">
        <v>1042</v>
      </c>
      <c r="IR71" t="s">
        <v>1045</v>
      </c>
      <c r="IT71">
        <v>0</v>
      </c>
      <c r="IY71" t="s">
        <v>1044</v>
      </c>
      <c r="IZ71" t="s">
        <v>1043</v>
      </c>
      <c r="JC71" t="s">
        <v>1043</v>
      </c>
      <c r="JE71">
        <v>0</v>
      </c>
      <c r="JF71">
        <v>0</v>
      </c>
      <c r="JI71" t="s">
        <v>1042</v>
      </c>
      <c r="JJ71">
        <v>0</v>
      </c>
      <c r="JK71">
        <v>0</v>
      </c>
      <c r="JL71">
        <v>0</v>
      </c>
      <c r="JM71">
        <v>0</v>
      </c>
      <c r="JQ71" t="s">
        <v>1043</v>
      </c>
      <c r="JT71">
        <v>0</v>
      </c>
      <c r="JU71" t="s">
        <v>1042</v>
      </c>
      <c r="JW71">
        <v>0</v>
      </c>
      <c r="KA71">
        <v>0</v>
      </c>
      <c r="KF71">
        <v>0</v>
      </c>
      <c r="KG71">
        <v>0</v>
      </c>
      <c r="KH71">
        <v>0</v>
      </c>
      <c r="KI71">
        <v>0</v>
      </c>
      <c r="KS71" t="s">
        <v>1073</v>
      </c>
      <c r="KT71">
        <v>0</v>
      </c>
      <c r="KU71">
        <v>0</v>
      </c>
      <c r="KV71">
        <v>0</v>
      </c>
      <c r="KX71">
        <v>0</v>
      </c>
      <c r="KZ71">
        <v>0</v>
      </c>
      <c r="LF71">
        <v>0</v>
      </c>
      <c r="LH71">
        <v>0</v>
      </c>
      <c r="LI71">
        <v>0</v>
      </c>
    </row>
    <row r="72" spans="1:321" x14ac:dyDescent="0.35">
      <c r="A72">
        <v>1</v>
      </c>
      <c r="B72">
        <v>12311</v>
      </c>
      <c r="C72" t="s">
        <v>1640</v>
      </c>
      <c r="D72" t="s">
        <v>1139</v>
      </c>
      <c r="E72" t="s">
        <v>587</v>
      </c>
      <c r="F72">
        <v>80</v>
      </c>
      <c r="G72">
        <v>9000</v>
      </c>
      <c r="H72">
        <v>0</v>
      </c>
      <c r="I72" t="s">
        <v>1639</v>
      </c>
      <c r="L72">
        <v>0</v>
      </c>
      <c r="M72">
        <v>0</v>
      </c>
      <c r="N72">
        <v>0</v>
      </c>
      <c r="R72">
        <v>0</v>
      </c>
      <c r="S72">
        <v>0</v>
      </c>
      <c r="W72" t="s">
        <v>1060</v>
      </c>
      <c r="X72">
        <v>0</v>
      </c>
      <c r="Z72">
        <v>1</v>
      </c>
      <c r="AA72">
        <v>0</v>
      </c>
      <c r="AB72">
        <v>0</v>
      </c>
      <c r="AC72">
        <v>4.5449999999999999</v>
      </c>
      <c r="AD72" s="20">
        <v>40781</v>
      </c>
      <c r="AE72">
        <v>4.37</v>
      </c>
      <c r="AF72">
        <v>0</v>
      </c>
      <c r="AH72">
        <v>0</v>
      </c>
      <c r="AJ72">
        <v>0</v>
      </c>
      <c r="AL72">
        <v>0</v>
      </c>
      <c r="AM72">
        <v>0</v>
      </c>
      <c r="AN72">
        <v>16601001</v>
      </c>
      <c r="AO72">
        <v>0</v>
      </c>
      <c r="AP72">
        <v>1000</v>
      </c>
      <c r="AT72">
        <v>0</v>
      </c>
      <c r="AU72" t="s">
        <v>1059</v>
      </c>
      <c r="AW72" t="s">
        <v>1053</v>
      </c>
      <c r="AX72">
        <v>0</v>
      </c>
      <c r="AY72" s="20">
        <v>40781</v>
      </c>
      <c r="BA72" s="20">
        <v>40781</v>
      </c>
      <c r="BB72" t="s">
        <v>1058</v>
      </c>
      <c r="BD72">
        <v>0</v>
      </c>
      <c r="BF72" t="s">
        <v>1043</v>
      </c>
      <c r="BG72" t="s">
        <v>1042</v>
      </c>
      <c r="BH72">
        <v>0</v>
      </c>
      <c r="BI72">
        <v>1</v>
      </c>
      <c r="BJ72">
        <v>0</v>
      </c>
      <c r="BK72">
        <v>0</v>
      </c>
      <c r="BM72" t="s">
        <v>1042</v>
      </c>
      <c r="BN72">
        <v>0</v>
      </c>
      <c r="BR72" t="s">
        <v>1043</v>
      </c>
      <c r="BS72" t="s">
        <v>1043</v>
      </c>
      <c r="BT72" t="s">
        <v>1043</v>
      </c>
      <c r="BW72">
        <v>83</v>
      </c>
      <c r="CA72">
        <v>0</v>
      </c>
      <c r="CB72" t="s">
        <v>1057</v>
      </c>
      <c r="CE72" t="s">
        <v>1043</v>
      </c>
      <c r="CH72" t="s">
        <v>1043</v>
      </c>
      <c r="CN72" t="s">
        <v>1056</v>
      </c>
      <c r="CO72" t="s">
        <v>1043</v>
      </c>
      <c r="CP72">
        <v>1</v>
      </c>
      <c r="CQ72">
        <v>0</v>
      </c>
      <c r="CS72">
        <v>0</v>
      </c>
      <c r="CT72">
        <v>0</v>
      </c>
      <c r="CU72">
        <v>0</v>
      </c>
      <c r="CV72" t="s">
        <v>1045</v>
      </c>
      <c r="CW72">
        <v>0</v>
      </c>
      <c r="CX72">
        <v>0</v>
      </c>
      <c r="CY72">
        <v>0</v>
      </c>
      <c r="CZ72">
        <v>0</v>
      </c>
      <c r="DB72">
        <v>0</v>
      </c>
      <c r="DC72" t="s">
        <v>1043</v>
      </c>
      <c r="DF72" t="s">
        <v>1055</v>
      </c>
      <c r="DH72">
        <v>0</v>
      </c>
      <c r="DJ72">
        <v>0</v>
      </c>
      <c r="DK72" t="s">
        <v>1053</v>
      </c>
      <c r="DL72">
        <v>0</v>
      </c>
      <c r="DN72">
        <v>0</v>
      </c>
      <c r="DO72" t="s">
        <v>1042</v>
      </c>
      <c r="DP72">
        <v>0</v>
      </c>
      <c r="DQ72">
        <v>0</v>
      </c>
      <c r="DS72">
        <v>0</v>
      </c>
      <c r="DU72">
        <v>0</v>
      </c>
      <c r="DW72">
        <v>0</v>
      </c>
      <c r="DX72" t="s">
        <v>1043</v>
      </c>
      <c r="DY72">
        <v>0</v>
      </c>
      <c r="DZ72">
        <v>0</v>
      </c>
      <c r="EA72">
        <v>0</v>
      </c>
      <c r="ED72" t="s">
        <v>1045</v>
      </c>
      <c r="EE72">
        <v>0</v>
      </c>
      <c r="EF72">
        <v>0</v>
      </c>
      <c r="EQ72" t="s">
        <v>1044</v>
      </c>
      <c r="ES72" t="s">
        <v>1053</v>
      </c>
      <c r="ET72">
        <v>0</v>
      </c>
      <c r="EV72">
        <v>0</v>
      </c>
      <c r="EY72" t="s">
        <v>1052</v>
      </c>
      <c r="EZ72">
        <v>0</v>
      </c>
      <c r="FA72" t="s">
        <v>1043</v>
      </c>
      <c r="FB72">
        <v>0</v>
      </c>
      <c r="FC72">
        <v>0</v>
      </c>
      <c r="FE72" t="s">
        <v>1050</v>
      </c>
      <c r="FF72">
        <v>0</v>
      </c>
      <c r="FG72" t="s">
        <v>1050</v>
      </c>
      <c r="FJ72">
        <v>0</v>
      </c>
      <c r="FK72">
        <v>0</v>
      </c>
      <c r="FP72">
        <v>0</v>
      </c>
      <c r="FR72">
        <v>0</v>
      </c>
      <c r="FS72" t="s">
        <v>1043</v>
      </c>
      <c r="FX72" t="s">
        <v>1042</v>
      </c>
      <c r="FZ72" t="s">
        <v>1048</v>
      </c>
      <c r="GA72">
        <v>0</v>
      </c>
      <c r="GB72" t="s">
        <v>1042</v>
      </c>
      <c r="GE72">
        <v>0</v>
      </c>
      <c r="GG72">
        <v>0</v>
      </c>
      <c r="GN72">
        <v>0</v>
      </c>
      <c r="GO72" t="s">
        <v>1063</v>
      </c>
      <c r="GQ72">
        <v>0</v>
      </c>
      <c r="GU72">
        <v>0</v>
      </c>
      <c r="GY72" t="s">
        <v>1045</v>
      </c>
      <c r="HB72">
        <v>0</v>
      </c>
      <c r="HE72">
        <v>0</v>
      </c>
      <c r="HF72">
        <v>0</v>
      </c>
      <c r="HG72">
        <v>0</v>
      </c>
      <c r="HK72" t="s">
        <v>1042</v>
      </c>
      <c r="HM72" t="s">
        <v>1047</v>
      </c>
      <c r="HN72">
        <v>0</v>
      </c>
      <c r="HP72">
        <v>0</v>
      </c>
      <c r="HQ72">
        <v>0</v>
      </c>
      <c r="HR72" t="s">
        <v>1042</v>
      </c>
      <c r="HS72" t="s">
        <v>1043</v>
      </c>
      <c r="HT72">
        <v>0</v>
      </c>
      <c r="HU72">
        <v>0</v>
      </c>
      <c r="HW72">
        <v>0</v>
      </c>
      <c r="HX72">
        <v>0</v>
      </c>
      <c r="HY72">
        <v>0</v>
      </c>
      <c r="HZ72" t="s">
        <v>1045</v>
      </c>
      <c r="IA72">
        <v>0</v>
      </c>
      <c r="IB72" t="s">
        <v>1045</v>
      </c>
      <c r="ID72" t="s">
        <v>1045</v>
      </c>
      <c r="IF72">
        <v>0</v>
      </c>
      <c r="IG72" t="s">
        <v>1042</v>
      </c>
      <c r="II72" t="s">
        <v>1042</v>
      </c>
      <c r="IR72" t="s">
        <v>1045</v>
      </c>
      <c r="IT72">
        <v>0</v>
      </c>
      <c r="IY72" t="s">
        <v>1044</v>
      </c>
      <c r="IZ72" t="s">
        <v>1043</v>
      </c>
      <c r="JC72" t="s">
        <v>1043</v>
      </c>
      <c r="JE72">
        <v>0</v>
      </c>
      <c r="JF72">
        <v>0</v>
      </c>
      <c r="JI72" t="s">
        <v>1042</v>
      </c>
      <c r="JJ72">
        <v>0</v>
      </c>
      <c r="JK72">
        <v>0</v>
      </c>
      <c r="JL72">
        <v>0</v>
      </c>
      <c r="JM72">
        <v>0</v>
      </c>
      <c r="JQ72" t="s">
        <v>1043</v>
      </c>
      <c r="JT72">
        <v>0</v>
      </c>
      <c r="JU72" t="s">
        <v>1042</v>
      </c>
      <c r="JW72">
        <v>0</v>
      </c>
      <c r="KA72">
        <v>0</v>
      </c>
      <c r="KF72">
        <v>0</v>
      </c>
      <c r="KG72">
        <v>0</v>
      </c>
      <c r="KH72">
        <v>0</v>
      </c>
      <c r="KI72">
        <v>0</v>
      </c>
      <c r="KS72" t="s">
        <v>1073</v>
      </c>
      <c r="KT72">
        <v>0</v>
      </c>
      <c r="KU72">
        <v>0</v>
      </c>
      <c r="KV72">
        <v>0</v>
      </c>
      <c r="KX72">
        <v>0</v>
      </c>
      <c r="KZ72">
        <v>0</v>
      </c>
      <c r="LF72">
        <v>0</v>
      </c>
      <c r="LH72">
        <v>0</v>
      </c>
      <c r="LI72">
        <v>0</v>
      </c>
    </row>
    <row r="73" spans="1:321" x14ac:dyDescent="0.35">
      <c r="A73">
        <v>1</v>
      </c>
      <c r="B73">
        <v>12312</v>
      </c>
      <c r="C73" t="s">
        <v>1638</v>
      </c>
      <c r="D73" t="s">
        <v>1139</v>
      </c>
      <c r="E73" t="s">
        <v>85</v>
      </c>
      <c r="F73">
        <v>80</v>
      </c>
      <c r="G73">
        <v>9000</v>
      </c>
      <c r="H73">
        <v>0</v>
      </c>
      <c r="I73" t="s">
        <v>1583</v>
      </c>
      <c r="L73">
        <v>0</v>
      </c>
      <c r="M73">
        <v>0</v>
      </c>
      <c r="N73">
        <v>0</v>
      </c>
      <c r="R73">
        <v>0</v>
      </c>
      <c r="S73">
        <v>0</v>
      </c>
      <c r="W73" t="s">
        <v>1060</v>
      </c>
      <c r="X73">
        <v>0</v>
      </c>
      <c r="Z73">
        <v>1</v>
      </c>
      <c r="AA73">
        <v>0</v>
      </c>
      <c r="AB73">
        <v>0</v>
      </c>
      <c r="AC73">
        <v>1.1954</v>
      </c>
      <c r="AD73" s="20">
        <v>40781</v>
      </c>
      <c r="AE73">
        <v>164</v>
      </c>
      <c r="AF73">
        <v>0</v>
      </c>
      <c r="AH73">
        <v>0</v>
      </c>
      <c r="AJ73">
        <v>0</v>
      </c>
      <c r="AL73">
        <v>0</v>
      </c>
      <c r="AM73">
        <v>0</v>
      </c>
      <c r="AN73">
        <v>16601001</v>
      </c>
      <c r="AO73">
        <v>0</v>
      </c>
      <c r="AP73">
        <v>1000</v>
      </c>
      <c r="AT73">
        <v>0</v>
      </c>
      <c r="AU73" t="s">
        <v>1059</v>
      </c>
      <c r="AW73" t="s">
        <v>1053</v>
      </c>
      <c r="AX73">
        <v>0</v>
      </c>
      <c r="AY73" s="20">
        <v>40781</v>
      </c>
      <c r="BA73" s="20">
        <v>40781</v>
      </c>
      <c r="BB73" t="s">
        <v>1058</v>
      </c>
      <c r="BD73">
        <v>0</v>
      </c>
      <c r="BF73" t="s">
        <v>1043</v>
      </c>
      <c r="BG73" t="s">
        <v>1042</v>
      </c>
      <c r="BH73">
        <v>0</v>
      </c>
      <c r="BI73">
        <v>1</v>
      </c>
      <c r="BJ73">
        <v>0</v>
      </c>
      <c r="BK73">
        <v>0</v>
      </c>
      <c r="BM73" t="s">
        <v>1042</v>
      </c>
      <c r="BN73">
        <v>0</v>
      </c>
      <c r="BR73" t="s">
        <v>1043</v>
      </c>
      <c r="BS73" t="s">
        <v>1043</v>
      </c>
      <c r="BT73" t="s">
        <v>1043</v>
      </c>
      <c r="BW73">
        <v>83</v>
      </c>
      <c r="CA73">
        <v>0</v>
      </c>
      <c r="CB73" t="s">
        <v>1057</v>
      </c>
      <c r="CE73" t="s">
        <v>1043</v>
      </c>
      <c r="CH73" t="s">
        <v>1043</v>
      </c>
      <c r="CN73" t="s">
        <v>1056</v>
      </c>
      <c r="CO73" t="s">
        <v>1043</v>
      </c>
      <c r="CP73">
        <v>1</v>
      </c>
      <c r="CQ73">
        <v>0</v>
      </c>
      <c r="CS73">
        <v>0</v>
      </c>
      <c r="CT73">
        <v>0</v>
      </c>
      <c r="CU73">
        <v>0</v>
      </c>
      <c r="CV73" t="s">
        <v>1045</v>
      </c>
      <c r="CW73">
        <v>0</v>
      </c>
      <c r="CX73">
        <v>0</v>
      </c>
      <c r="CY73">
        <v>0</v>
      </c>
      <c r="CZ73">
        <v>0</v>
      </c>
      <c r="DB73">
        <v>0</v>
      </c>
      <c r="DC73" t="s">
        <v>1043</v>
      </c>
      <c r="DF73" t="s">
        <v>1055</v>
      </c>
      <c r="DH73">
        <v>0</v>
      </c>
      <c r="DJ73">
        <v>0</v>
      </c>
      <c r="DK73" t="s">
        <v>1053</v>
      </c>
      <c r="DL73">
        <v>0</v>
      </c>
      <c r="DN73">
        <v>0</v>
      </c>
      <c r="DO73" t="s">
        <v>1042</v>
      </c>
      <c r="DP73">
        <v>0</v>
      </c>
      <c r="DQ73">
        <v>0</v>
      </c>
      <c r="DS73">
        <v>0</v>
      </c>
      <c r="DU73">
        <v>0</v>
      </c>
      <c r="DW73">
        <v>0</v>
      </c>
      <c r="DX73" t="s">
        <v>1043</v>
      </c>
      <c r="DY73">
        <v>0</v>
      </c>
      <c r="DZ73">
        <v>0</v>
      </c>
      <c r="EA73">
        <v>0</v>
      </c>
      <c r="ED73" t="s">
        <v>1045</v>
      </c>
      <c r="EE73">
        <v>0</v>
      </c>
      <c r="EF73">
        <v>0</v>
      </c>
      <c r="EQ73" t="s">
        <v>1044</v>
      </c>
      <c r="ES73" t="s">
        <v>1053</v>
      </c>
      <c r="ET73">
        <v>0</v>
      </c>
      <c r="EV73">
        <v>0</v>
      </c>
      <c r="EY73" t="s">
        <v>1052</v>
      </c>
      <c r="EZ73">
        <v>0</v>
      </c>
      <c r="FA73" t="s">
        <v>1043</v>
      </c>
      <c r="FB73">
        <v>0</v>
      </c>
      <c r="FC73">
        <v>0</v>
      </c>
      <c r="FE73" t="s">
        <v>1050</v>
      </c>
      <c r="FF73">
        <v>0</v>
      </c>
      <c r="FG73" t="s">
        <v>1050</v>
      </c>
      <c r="FJ73">
        <v>0</v>
      </c>
      <c r="FK73">
        <v>0</v>
      </c>
      <c r="FP73">
        <v>0</v>
      </c>
      <c r="FR73">
        <v>0</v>
      </c>
      <c r="FS73" t="s">
        <v>1043</v>
      </c>
      <c r="FX73" t="s">
        <v>1042</v>
      </c>
      <c r="FZ73" t="s">
        <v>1048</v>
      </c>
      <c r="GA73">
        <v>0</v>
      </c>
      <c r="GB73" t="s">
        <v>1042</v>
      </c>
      <c r="GE73">
        <v>0</v>
      </c>
      <c r="GG73">
        <v>0</v>
      </c>
      <c r="GN73">
        <v>0</v>
      </c>
      <c r="GO73" t="s">
        <v>1063</v>
      </c>
      <c r="GQ73">
        <v>0</v>
      </c>
      <c r="GU73">
        <v>0</v>
      </c>
      <c r="GY73" t="s">
        <v>1045</v>
      </c>
      <c r="HB73">
        <v>0</v>
      </c>
      <c r="HE73">
        <v>0</v>
      </c>
      <c r="HF73">
        <v>0</v>
      </c>
      <c r="HG73">
        <v>0</v>
      </c>
      <c r="HK73" t="s">
        <v>1042</v>
      </c>
      <c r="HM73" t="s">
        <v>1047</v>
      </c>
      <c r="HN73">
        <v>0</v>
      </c>
      <c r="HP73">
        <v>0</v>
      </c>
      <c r="HQ73">
        <v>0</v>
      </c>
      <c r="HR73" t="s">
        <v>1042</v>
      </c>
      <c r="HS73" t="s">
        <v>1043</v>
      </c>
      <c r="HT73">
        <v>0</v>
      </c>
      <c r="HU73">
        <v>0</v>
      </c>
      <c r="HW73">
        <v>0</v>
      </c>
      <c r="HX73">
        <v>0</v>
      </c>
      <c r="HY73">
        <v>0</v>
      </c>
      <c r="HZ73" t="s">
        <v>1045</v>
      </c>
      <c r="IA73">
        <v>0</v>
      </c>
      <c r="IB73" t="s">
        <v>1045</v>
      </c>
      <c r="ID73" t="s">
        <v>1045</v>
      </c>
      <c r="IF73">
        <v>0</v>
      </c>
      <c r="IG73" t="s">
        <v>1042</v>
      </c>
      <c r="II73" t="s">
        <v>1042</v>
      </c>
      <c r="IR73" t="s">
        <v>1045</v>
      </c>
      <c r="IT73">
        <v>0</v>
      </c>
      <c r="IY73" t="s">
        <v>1044</v>
      </c>
      <c r="IZ73" t="s">
        <v>1043</v>
      </c>
      <c r="JC73" t="s">
        <v>1043</v>
      </c>
      <c r="JE73">
        <v>0</v>
      </c>
      <c r="JF73">
        <v>0</v>
      </c>
      <c r="JI73" t="s">
        <v>1042</v>
      </c>
      <c r="JJ73">
        <v>0</v>
      </c>
      <c r="JK73">
        <v>0</v>
      </c>
      <c r="JL73">
        <v>0</v>
      </c>
      <c r="JM73">
        <v>0</v>
      </c>
      <c r="JQ73" t="s">
        <v>1043</v>
      </c>
      <c r="JT73">
        <v>0</v>
      </c>
      <c r="JU73" t="s">
        <v>1042</v>
      </c>
      <c r="JW73">
        <v>0</v>
      </c>
      <c r="KA73">
        <v>0</v>
      </c>
      <c r="KF73">
        <v>0</v>
      </c>
      <c r="KG73">
        <v>0</v>
      </c>
      <c r="KH73">
        <v>0</v>
      </c>
      <c r="KI73">
        <v>0</v>
      </c>
      <c r="KS73" t="s">
        <v>1073</v>
      </c>
      <c r="KT73">
        <v>0</v>
      </c>
      <c r="KU73">
        <v>0</v>
      </c>
      <c r="KV73">
        <v>0</v>
      </c>
      <c r="KX73">
        <v>0</v>
      </c>
      <c r="KZ73">
        <v>0</v>
      </c>
      <c r="LF73">
        <v>0</v>
      </c>
      <c r="LH73">
        <v>0</v>
      </c>
      <c r="LI73">
        <v>0</v>
      </c>
    </row>
    <row r="74" spans="1:321" x14ac:dyDescent="0.35">
      <c r="A74">
        <v>1</v>
      </c>
      <c r="B74">
        <v>12313</v>
      </c>
      <c r="C74" t="s">
        <v>1637</v>
      </c>
      <c r="D74" t="s">
        <v>1139</v>
      </c>
      <c r="E74" t="s">
        <v>587</v>
      </c>
      <c r="F74">
        <v>80</v>
      </c>
      <c r="G74">
        <v>9000</v>
      </c>
      <c r="H74">
        <v>0</v>
      </c>
      <c r="I74" t="s">
        <v>1323</v>
      </c>
      <c r="L74">
        <v>0</v>
      </c>
      <c r="M74">
        <v>0</v>
      </c>
      <c r="N74">
        <v>0</v>
      </c>
      <c r="R74">
        <v>0</v>
      </c>
      <c r="S74">
        <v>0</v>
      </c>
      <c r="W74" t="s">
        <v>1060</v>
      </c>
      <c r="X74">
        <v>0</v>
      </c>
      <c r="Z74">
        <v>1</v>
      </c>
      <c r="AA74">
        <v>0</v>
      </c>
      <c r="AB74">
        <v>0</v>
      </c>
      <c r="AC74">
        <v>1.0913999999999999</v>
      </c>
      <c r="AD74" t="s">
        <v>1042</v>
      </c>
      <c r="AE74">
        <v>0</v>
      </c>
      <c r="AF74">
        <v>0</v>
      </c>
      <c r="AH74">
        <v>0</v>
      </c>
      <c r="AJ74">
        <v>0</v>
      </c>
      <c r="AL74">
        <v>0</v>
      </c>
      <c r="AM74">
        <v>0</v>
      </c>
      <c r="AN74">
        <v>16601001</v>
      </c>
      <c r="AO74">
        <v>0</v>
      </c>
      <c r="AP74">
        <v>1000</v>
      </c>
      <c r="AT74">
        <v>0</v>
      </c>
      <c r="AU74" t="s">
        <v>1059</v>
      </c>
      <c r="AW74" t="s">
        <v>1053</v>
      </c>
      <c r="AX74">
        <v>0</v>
      </c>
      <c r="AY74" s="20">
        <v>40781</v>
      </c>
      <c r="BA74" s="20">
        <v>40781</v>
      </c>
      <c r="BB74" t="s">
        <v>1058</v>
      </c>
      <c r="BD74">
        <v>0</v>
      </c>
      <c r="BF74" t="s">
        <v>1043</v>
      </c>
      <c r="BG74" t="s">
        <v>1042</v>
      </c>
      <c r="BH74">
        <v>0</v>
      </c>
      <c r="BI74">
        <v>1</v>
      </c>
      <c r="BJ74">
        <v>0</v>
      </c>
      <c r="BK74">
        <v>0</v>
      </c>
      <c r="BM74" t="s">
        <v>1042</v>
      </c>
      <c r="BN74">
        <v>0</v>
      </c>
      <c r="BR74" t="s">
        <v>1043</v>
      </c>
      <c r="BS74" t="s">
        <v>1043</v>
      </c>
      <c r="BT74" t="s">
        <v>1043</v>
      </c>
      <c r="BW74">
        <v>83</v>
      </c>
      <c r="CA74">
        <v>0</v>
      </c>
      <c r="CB74" t="s">
        <v>1057</v>
      </c>
      <c r="CE74" t="s">
        <v>1043</v>
      </c>
      <c r="CH74" t="s">
        <v>1043</v>
      </c>
      <c r="CN74" t="s">
        <v>1056</v>
      </c>
      <c r="CO74" t="s">
        <v>1043</v>
      </c>
      <c r="CP74">
        <v>1</v>
      </c>
      <c r="CQ74">
        <v>0</v>
      </c>
      <c r="CS74">
        <v>0</v>
      </c>
      <c r="CT74">
        <v>0</v>
      </c>
      <c r="CU74">
        <v>0</v>
      </c>
      <c r="CV74" t="s">
        <v>1045</v>
      </c>
      <c r="CW74">
        <v>0</v>
      </c>
      <c r="CX74">
        <v>0</v>
      </c>
      <c r="CY74">
        <v>0</v>
      </c>
      <c r="CZ74">
        <v>0</v>
      </c>
      <c r="DB74">
        <v>0</v>
      </c>
      <c r="DC74" t="s">
        <v>1043</v>
      </c>
      <c r="DF74" t="s">
        <v>1055</v>
      </c>
      <c r="DH74">
        <v>0</v>
      </c>
      <c r="DJ74">
        <v>0</v>
      </c>
      <c r="DK74" t="s">
        <v>1053</v>
      </c>
      <c r="DL74">
        <v>0</v>
      </c>
      <c r="DN74">
        <v>0</v>
      </c>
      <c r="DO74" t="s">
        <v>1042</v>
      </c>
      <c r="DP74">
        <v>0</v>
      </c>
      <c r="DQ74">
        <v>0</v>
      </c>
      <c r="DS74">
        <v>0</v>
      </c>
      <c r="DU74">
        <v>0</v>
      </c>
      <c r="DW74">
        <v>0</v>
      </c>
      <c r="DX74" t="s">
        <v>1043</v>
      </c>
      <c r="DY74">
        <v>0</v>
      </c>
      <c r="DZ74">
        <v>0</v>
      </c>
      <c r="EA74">
        <v>0</v>
      </c>
      <c r="ED74" t="s">
        <v>1045</v>
      </c>
      <c r="EE74">
        <v>0</v>
      </c>
      <c r="EF74">
        <v>0</v>
      </c>
      <c r="EQ74" t="s">
        <v>1044</v>
      </c>
      <c r="ES74" t="s">
        <v>1053</v>
      </c>
      <c r="ET74">
        <v>0</v>
      </c>
      <c r="EV74">
        <v>0</v>
      </c>
      <c r="EY74" t="s">
        <v>1052</v>
      </c>
      <c r="EZ74">
        <v>0</v>
      </c>
      <c r="FA74" t="s">
        <v>1043</v>
      </c>
      <c r="FB74">
        <v>0</v>
      </c>
      <c r="FC74">
        <v>0</v>
      </c>
      <c r="FE74" t="s">
        <v>1050</v>
      </c>
      <c r="FF74">
        <v>0</v>
      </c>
      <c r="FG74" t="s">
        <v>1050</v>
      </c>
      <c r="FJ74">
        <v>0</v>
      </c>
      <c r="FK74">
        <v>0</v>
      </c>
      <c r="FP74">
        <v>0</v>
      </c>
      <c r="FR74">
        <v>0</v>
      </c>
      <c r="FS74" t="s">
        <v>1043</v>
      </c>
      <c r="FX74" t="s">
        <v>1042</v>
      </c>
      <c r="FZ74" t="s">
        <v>1048</v>
      </c>
      <c r="GA74">
        <v>0</v>
      </c>
      <c r="GB74" t="s">
        <v>1042</v>
      </c>
      <c r="GE74">
        <v>0</v>
      </c>
      <c r="GG74">
        <v>0</v>
      </c>
      <c r="GN74">
        <v>0</v>
      </c>
      <c r="GO74" t="s">
        <v>1063</v>
      </c>
      <c r="GQ74">
        <v>0</v>
      </c>
      <c r="GU74">
        <v>0</v>
      </c>
      <c r="GY74" t="s">
        <v>1045</v>
      </c>
      <c r="HB74">
        <v>0</v>
      </c>
      <c r="HE74">
        <v>0</v>
      </c>
      <c r="HF74">
        <v>0</v>
      </c>
      <c r="HG74">
        <v>0</v>
      </c>
      <c r="HK74" t="s">
        <v>1042</v>
      </c>
      <c r="HM74" t="s">
        <v>1047</v>
      </c>
      <c r="HN74">
        <v>0</v>
      </c>
      <c r="HP74">
        <v>0</v>
      </c>
      <c r="HQ74">
        <v>0</v>
      </c>
      <c r="HR74" t="s">
        <v>1042</v>
      </c>
      <c r="HS74" t="s">
        <v>1043</v>
      </c>
      <c r="HT74">
        <v>0</v>
      </c>
      <c r="HU74">
        <v>0</v>
      </c>
      <c r="HW74">
        <v>0</v>
      </c>
      <c r="HX74">
        <v>0</v>
      </c>
      <c r="HY74">
        <v>0</v>
      </c>
      <c r="HZ74" t="s">
        <v>1045</v>
      </c>
      <c r="IA74">
        <v>0</v>
      </c>
      <c r="IB74" t="s">
        <v>1045</v>
      </c>
      <c r="ID74" t="s">
        <v>1045</v>
      </c>
      <c r="IF74">
        <v>0</v>
      </c>
      <c r="IG74" t="s">
        <v>1042</v>
      </c>
      <c r="II74" t="s">
        <v>1042</v>
      </c>
      <c r="IR74" t="s">
        <v>1045</v>
      </c>
      <c r="IT74">
        <v>0</v>
      </c>
      <c r="IY74" t="s">
        <v>1044</v>
      </c>
      <c r="IZ74" t="s">
        <v>1043</v>
      </c>
      <c r="JC74" t="s">
        <v>1043</v>
      </c>
      <c r="JE74">
        <v>0</v>
      </c>
      <c r="JF74">
        <v>0</v>
      </c>
      <c r="JI74" t="s">
        <v>1042</v>
      </c>
      <c r="JJ74">
        <v>0</v>
      </c>
      <c r="JK74">
        <v>0</v>
      </c>
      <c r="JL74">
        <v>0</v>
      </c>
      <c r="JM74">
        <v>0</v>
      </c>
      <c r="JQ74" t="s">
        <v>1043</v>
      </c>
      <c r="JT74">
        <v>0</v>
      </c>
      <c r="JU74" t="s">
        <v>1042</v>
      </c>
      <c r="JW74">
        <v>0</v>
      </c>
      <c r="KA74">
        <v>0</v>
      </c>
      <c r="KF74">
        <v>0</v>
      </c>
      <c r="KG74">
        <v>0</v>
      </c>
      <c r="KH74">
        <v>0</v>
      </c>
      <c r="KI74">
        <v>0</v>
      </c>
      <c r="KS74" t="s">
        <v>1073</v>
      </c>
      <c r="KT74">
        <v>0</v>
      </c>
      <c r="KU74">
        <v>0</v>
      </c>
      <c r="KV74">
        <v>0</v>
      </c>
      <c r="KX74">
        <v>0</v>
      </c>
      <c r="KZ74">
        <v>0</v>
      </c>
      <c r="LF74">
        <v>0</v>
      </c>
      <c r="LH74">
        <v>0</v>
      </c>
      <c r="LI74">
        <v>0</v>
      </c>
    </row>
    <row r="75" spans="1:321" x14ac:dyDescent="0.35">
      <c r="A75">
        <v>1</v>
      </c>
      <c r="B75">
        <v>12314</v>
      </c>
      <c r="C75" t="s">
        <v>1636</v>
      </c>
      <c r="D75" t="s">
        <v>1139</v>
      </c>
      <c r="E75" t="s">
        <v>85</v>
      </c>
      <c r="F75">
        <v>80</v>
      </c>
      <c r="G75">
        <v>9000</v>
      </c>
      <c r="H75">
        <v>0</v>
      </c>
      <c r="I75" t="s">
        <v>1583</v>
      </c>
      <c r="L75">
        <v>0</v>
      </c>
      <c r="M75">
        <v>0</v>
      </c>
      <c r="N75">
        <v>0</v>
      </c>
      <c r="R75">
        <v>0</v>
      </c>
      <c r="S75">
        <v>0</v>
      </c>
      <c r="W75" t="s">
        <v>1060</v>
      </c>
      <c r="X75">
        <v>0</v>
      </c>
      <c r="Z75">
        <v>1</v>
      </c>
      <c r="AA75">
        <v>0</v>
      </c>
      <c r="AB75">
        <v>0</v>
      </c>
      <c r="AC75">
        <v>1.5583</v>
      </c>
      <c r="AD75" s="20">
        <v>40781</v>
      </c>
      <c r="AE75">
        <v>1.5</v>
      </c>
      <c r="AF75">
        <v>0</v>
      </c>
      <c r="AH75">
        <v>0</v>
      </c>
      <c r="AJ75">
        <v>0</v>
      </c>
      <c r="AL75">
        <v>0</v>
      </c>
      <c r="AM75">
        <v>0</v>
      </c>
      <c r="AN75">
        <v>16601001</v>
      </c>
      <c r="AO75">
        <v>0</v>
      </c>
      <c r="AP75">
        <v>1000</v>
      </c>
      <c r="AT75">
        <v>0</v>
      </c>
      <c r="AU75" t="s">
        <v>1059</v>
      </c>
      <c r="AW75" t="s">
        <v>1053</v>
      </c>
      <c r="AX75">
        <v>0</v>
      </c>
      <c r="AY75" s="20">
        <v>40781</v>
      </c>
      <c r="BA75" s="20">
        <v>40781</v>
      </c>
      <c r="BB75" t="s">
        <v>1058</v>
      </c>
      <c r="BD75">
        <v>0</v>
      </c>
      <c r="BF75" t="s">
        <v>1043</v>
      </c>
      <c r="BG75" t="s">
        <v>1042</v>
      </c>
      <c r="BH75">
        <v>0</v>
      </c>
      <c r="BI75">
        <v>1</v>
      </c>
      <c r="BJ75">
        <v>0</v>
      </c>
      <c r="BK75">
        <v>0</v>
      </c>
      <c r="BM75" t="s">
        <v>1042</v>
      </c>
      <c r="BN75">
        <v>0</v>
      </c>
      <c r="BR75" t="s">
        <v>1043</v>
      </c>
      <c r="BS75" t="s">
        <v>1043</v>
      </c>
      <c r="BT75" t="s">
        <v>1043</v>
      </c>
      <c r="BW75">
        <v>83</v>
      </c>
      <c r="CA75">
        <v>0</v>
      </c>
      <c r="CB75" t="s">
        <v>1057</v>
      </c>
      <c r="CE75" t="s">
        <v>1043</v>
      </c>
      <c r="CH75" t="s">
        <v>1043</v>
      </c>
      <c r="CN75" t="s">
        <v>1056</v>
      </c>
      <c r="CO75" t="s">
        <v>1043</v>
      </c>
      <c r="CP75">
        <v>1</v>
      </c>
      <c r="CQ75">
        <v>0</v>
      </c>
      <c r="CS75">
        <v>0</v>
      </c>
      <c r="CT75">
        <v>0</v>
      </c>
      <c r="CU75">
        <v>0</v>
      </c>
      <c r="CV75" t="s">
        <v>1045</v>
      </c>
      <c r="CW75">
        <v>0</v>
      </c>
      <c r="CX75">
        <v>0</v>
      </c>
      <c r="CY75">
        <v>0</v>
      </c>
      <c r="CZ75">
        <v>0</v>
      </c>
      <c r="DB75">
        <v>0</v>
      </c>
      <c r="DC75" t="s">
        <v>1043</v>
      </c>
      <c r="DF75" t="s">
        <v>1055</v>
      </c>
      <c r="DH75">
        <v>0</v>
      </c>
      <c r="DJ75">
        <v>0</v>
      </c>
      <c r="DK75" t="s">
        <v>1053</v>
      </c>
      <c r="DL75">
        <v>0</v>
      </c>
      <c r="DN75">
        <v>0</v>
      </c>
      <c r="DO75" t="s">
        <v>1042</v>
      </c>
      <c r="DP75">
        <v>0</v>
      </c>
      <c r="DQ75">
        <v>0</v>
      </c>
      <c r="DS75">
        <v>0</v>
      </c>
      <c r="DU75">
        <v>0</v>
      </c>
      <c r="DW75">
        <v>0</v>
      </c>
      <c r="DX75" t="s">
        <v>1043</v>
      </c>
      <c r="DY75">
        <v>0</v>
      </c>
      <c r="DZ75">
        <v>0</v>
      </c>
      <c r="EA75">
        <v>0</v>
      </c>
      <c r="ED75" t="s">
        <v>1045</v>
      </c>
      <c r="EE75">
        <v>0</v>
      </c>
      <c r="EF75">
        <v>0</v>
      </c>
      <c r="EQ75" t="s">
        <v>1044</v>
      </c>
      <c r="ES75" t="s">
        <v>1053</v>
      </c>
      <c r="ET75">
        <v>0</v>
      </c>
      <c r="EV75">
        <v>0</v>
      </c>
      <c r="EY75" t="s">
        <v>1052</v>
      </c>
      <c r="EZ75">
        <v>0</v>
      </c>
      <c r="FA75" t="s">
        <v>1043</v>
      </c>
      <c r="FB75">
        <v>0</v>
      </c>
      <c r="FC75">
        <v>0</v>
      </c>
      <c r="FE75" t="s">
        <v>1050</v>
      </c>
      <c r="FF75">
        <v>0</v>
      </c>
      <c r="FG75" t="s">
        <v>1050</v>
      </c>
      <c r="FJ75">
        <v>0</v>
      </c>
      <c r="FK75">
        <v>0</v>
      </c>
      <c r="FP75">
        <v>0</v>
      </c>
      <c r="FR75">
        <v>0</v>
      </c>
      <c r="FS75" t="s">
        <v>1043</v>
      </c>
      <c r="FX75" t="s">
        <v>1042</v>
      </c>
      <c r="FZ75" t="s">
        <v>1048</v>
      </c>
      <c r="GA75">
        <v>0</v>
      </c>
      <c r="GB75" t="s">
        <v>1042</v>
      </c>
      <c r="GE75">
        <v>0</v>
      </c>
      <c r="GG75">
        <v>0</v>
      </c>
      <c r="GN75">
        <v>0</v>
      </c>
      <c r="GO75" t="s">
        <v>1063</v>
      </c>
      <c r="GQ75">
        <v>0</v>
      </c>
      <c r="GU75">
        <v>0</v>
      </c>
      <c r="GY75" t="s">
        <v>1045</v>
      </c>
      <c r="HB75">
        <v>0</v>
      </c>
      <c r="HE75">
        <v>0</v>
      </c>
      <c r="HF75">
        <v>0</v>
      </c>
      <c r="HG75">
        <v>0</v>
      </c>
      <c r="HK75" t="s">
        <v>1042</v>
      </c>
      <c r="HM75" t="s">
        <v>1047</v>
      </c>
      <c r="HN75">
        <v>0</v>
      </c>
      <c r="HP75">
        <v>0</v>
      </c>
      <c r="HQ75">
        <v>0</v>
      </c>
      <c r="HR75" t="s">
        <v>1042</v>
      </c>
      <c r="HS75" t="s">
        <v>1043</v>
      </c>
      <c r="HT75">
        <v>0</v>
      </c>
      <c r="HU75">
        <v>0</v>
      </c>
      <c r="HW75">
        <v>0</v>
      </c>
      <c r="HX75">
        <v>0</v>
      </c>
      <c r="HY75">
        <v>0</v>
      </c>
      <c r="HZ75" t="s">
        <v>1045</v>
      </c>
      <c r="IA75">
        <v>0</v>
      </c>
      <c r="IB75" t="s">
        <v>1045</v>
      </c>
      <c r="ID75" t="s">
        <v>1045</v>
      </c>
      <c r="IF75">
        <v>0</v>
      </c>
      <c r="IG75" t="s">
        <v>1042</v>
      </c>
      <c r="II75" t="s">
        <v>1042</v>
      </c>
      <c r="IR75" t="s">
        <v>1045</v>
      </c>
      <c r="IT75">
        <v>0</v>
      </c>
      <c r="IY75" t="s">
        <v>1044</v>
      </c>
      <c r="IZ75" t="s">
        <v>1043</v>
      </c>
      <c r="JC75" t="s">
        <v>1043</v>
      </c>
      <c r="JE75">
        <v>0</v>
      </c>
      <c r="JF75">
        <v>0</v>
      </c>
      <c r="JI75" t="s">
        <v>1042</v>
      </c>
      <c r="JJ75">
        <v>0</v>
      </c>
      <c r="JK75">
        <v>0</v>
      </c>
      <c r="JL75">
        <v>0</v>
      </c>
      <c r="JM75">
        <v>0</v>
      </c>
      <c r="JQ75" t="s">
        <v>1043</v>
      </c>
      <c r="JT75">
        <v>0</v>
      </c>
      <c r="JU75" t="s">
        <v>1042</v>
      </c>
      <c r="JW75">
        <v>0</v>
      </c>
      <c r="KA75">
        <v>0</v>
      </c>
      <c r="KF75">
        <v>0</v>
      </c>
      <c r="KG75">
        <v>0</v>
      </c>
      <c r="KH75">
        <v>0</v>
      </c>
      <c r="KI75">
        <v>0</v>
      </c>
      <c r="KS75" t="s">
        <v>1073</v>
      </c>
      <c r="KT75">
        <v>0</v>
      </c>
      <c r="KU75">
        <v>0</v>
      </c>
      <c r="KV75">
        <v>0</v>
      </c>
      <c r="KX75">
        <v>0</v>
      </c>
      <c r="KZ75">
        <v>0</v>
      </c>
      <c r="LF75">
        <v>0</v>
      </c>
      <c r="LH75">
        <v>0</v>
      </c>
      <c r="LI75">
        <v>0</v>
      </c>
    </row>
    <row r="76" spans="1:321" x14ac:dyDescent="0.35">
      <c r="A76">
        <v>1</v>
      </c>
      <c r="B76">
        <v>12315</v>
      </c>
      <c r="C76" t="s">
        <v>1635</v>
      </c>
      <c r="D76" t="s">
        <v>1139</v>
      </c>
      <c r="E76" t="s">
        <v>85</v>
      </c>
      <c r="F76">
        <v>80</v>
      </c>
      <c r="G76">
        <v>9000</v>
      </c>
      <c r="H76">
        <v>0</v>
      </c>
      <c r="I76" t="s">
        <v>1583</v>
      </c>
      <c r="L76">
        <v>0</v>
      </c>
      <c r="M76">
        <v>0</v>
      </c>
      <c r="N76">
        <v>0</v>
      </c>
      <c r="R76">
        <v>0</v>
      </c>
      <c r="S76">
        <v>0</v>
      </c>
      <c r="W76" t="s">
        <v>1060</v>
      </c>
      <c r="X76">
        <v>0</v>
      </c>
      <c r="Z76">
        <v>1</v>
      </c>
      <c r="AA76">
        <v>0</v>
      </c>
      <c r="AB76">
        <v>0</v>
      </c>
      <c r="AC76">
        <v>2.4312999999999998</v>
      </c>
      <c r="AD76" s="20">
        <v>40781</v>
      </c>
      <c r="AE76">
        <v>2.2999999999999998</v>
      </c>
      <c r="AF76">
        <v>0</v>
      </c>
      <c r="AH76">
        <v>0</v>
      </c>
      <c r="AJ76">
        <v>0</v>
      </c>
      <c r="AL76">
        <v>0</v>
      </c>
      <c r="AM76">
        <v>0</v>
      </c>
      <c r="AN76">
        <v>16601001</v>
      </c>
      <c r="AO76">
        <v>0</v>
      </c>
      <c r="AP76">
        <v>1000</v>
      </c>
      <c r="AT76">
        <v>0</v>
      </c>
      <c r="AU76" t="s">
        <v>1059</v>
      </c>
      <c r="AW76" t="s">
        <v>1053</v>
      </c>
      <c r="AX76">
        <v>0</v>
      </c>
      <c r="AY76" s="20">
        <v>40781</v>
      </c>
      <c r="BA76" s="20">
        <v>40781</v>
      </c>
      <c r="BB76" t="s">
        <v>1058</v>
      </c>
      <c r="BD76">
        <v>0</v>
      </c>
      <c r="BF76" t="s">
        <v>1043</v>
      </c>
      <c r="BG76" t="s">
        <v>1042</v>
      </c>
      <c r="BH76">
        <v>0</v>
      </c>
      <c r="BI76">
        <v>1</v>
      </c>
      <c r="BJ76">
        <v>0</v>
      </c>
      <c r="BK76">
        <v>0</v>
      </c>
      <c r="BM76" t="s">
        <v>1042</v>
      </c>
      <c r="BN76">
        <v>0</v>
      </c>
      <c r="BR76" t="s">
        <v>1043</v>
      </c>
      <c r="BS76" t="s">
        <v>1043</v>
      </c>
      <c r="BT76" t="s">
        <v>1043</v>
      </c>
      <c r="BW76">
        <v>83</v>
      </c>
      <c r="CA76">
        <v>0</v>
      </c>
      <c r="CB76" t="s">
        <v>1057</v>
      </c>
      <c r="CE76" t="s">
        <v>1043</v>
      </c>
      <c r="CH76" t="s">
        <v>1043</v>
      </c>
      <c r="CN76" t="s">
        <v>1056</v>
      </c>
      <c r="CO76" t="s">
        <v>1043</v>
      </c>
      <c r="CP76">
        <v>1</v>
      </c>
      <c r="CQ76">
        <v>0</v>
      </c>
      <c r="CS76">
        <v>0</v>
      </c>
      <c r="CT76">
        <v>0</v>
      </c>
      <c r="CU76">
        <v>0</v>
      </c>
      <c r="CV76" t="s">
        <v>1045</v>
      </c>
      <c r="CW76">
        <v>0</v>
      </c>
      <c r="CX76">
        <v>0</v>
      </c>
      <c r="CY76">
        <v>0</v>
      </c>
      <c r="CZ76">
        <v>0</v>
      </c>
      <c r="DB76">
        <v>0</v>
      </c>
      <c r="DC76" t="s">
        <v>1043</v>
      </c>
      <c r="DF76" t="s">
        <v>1055</v>
      </c>
      <c r="DH76">
        <v>0</v>
      </c>
      <c r="DJ76">
        <v>0</v>
      </c>
      <c r="DK76" t="s">
        <v>1053</v>
      </c>
      <c r="DL76">
        <v>0</v>
      </c>
      <c r="DN76">
        <v>0</v>
      </c>
      <c r="DO76" t="s">
        <v>1042</v>
      </c>
      <c r="DP76">
        <v>0</v>
      </c>
      <c r="DQ76">
        <v>0</v>
      </c>
      <c r="DS76">
        <v>0</v>
      </c>
      <c r="DU76">
        <v>0</v>
      </c>
      <c r="DW76">
        <v>0</v>
      </c>
      <c r="DX76" t="s">
        <v>1043</v>
      </c>
      <c r="DY76">
        <v>0</v>
      </c>
      <c r="DZ76">
        <v>0</v>
      </c>
      <c r="EA76">
        <v>0</v>
      </c>
      <c r="ED76" t="s">
        <v>1045</v>
      </c>
      <c r="EE76">
        <v>0</v>
      </c>
      <c r="EF76">
        <v>0</v>
      </c>
      <c r="EQ76" t="s">
        <v>1044</v>
      </c>
      <c r="ES76" t="s">
        <v>1053</v>
      </c>
      <c r="ET76">
        <v>0</v>
      </c>
      <c r="EV76">
        <v>0</v>
      </c>
      <c r="EY76" t="s">
        <v>1052</v>
      </c>
      <c r="EZ76">
        <v>0</v>
      </c>
      <c r="FA76" t="s">
        <v>1043</v>
      </c>
      <c r="FB76">
        <v>0</v>
      </c>
      <c r="FC76">
        <v>0</v>
      </c>
      <c r="FE76" t="s">
        <v>1050</v>
      </c>
      <c r="FF76">
        <v>0</v>
      </c>
      <c r="FG76" t="s">
        <v>1050</v>
      </c>
      <c r="FJ76">
        <v>0</v>
      </c>
      <c r="FK76">
        <v>0</v>
      </c>
      <c r="FP76">
        <v>0</v>
      </c>
      <c r="FR76">
        <v>0</v>
      </c>
      <c r="FS76" t="s">
        <v>1043</v>
      </c>
      <c r="FX76" t="s">
        <v>1042</v>
      </c>
      <c r="FZ76" t="s">
        <v>1048</v>
      </c>
      <c r="GA76">
        <v>0</v>
      </c>
      <c r="GB76" t="s">
        <v>1042</v>
      </c>
      <c r="GE76">
        <v>0</v>
      </c>
      <c r="GG76">
        <v>0</v>
      </c>
      <c r="GN76">
        <v>0</v>
      </c>
      <c r="GO76" t="s">
        <v>1063</v>
      </c>
      <c r="GQ76">
        <v>0</v>
      </c>
      <c r="GU76">
        <v>0</v>
      </c>
      <c r="GY76" t="s">
        <v>1045</v>
      </c>
      <c r="HB76">
        <v>0</v>
      </c>
      <c r="HE76">
        <v>0</v>
      </c>
      <c r="HF76">
        <v>0</v>
      </c>
      <c r="HG76">
        <v>0</v>
      </c>
      <c r="HK76" t="s">
        <v>1042</v>
      </c>
      <c r="HM76" t="s">
        <v>1047</v>
      </c>
      <c r="HN76">
        <v>0</v>
      </c>
      <c r="HP76">
        <v>0</v>
      </c>
      <c r="HQ76">
        <v>0</v>
      </c>
      <c r="HR76" t="s">
        <v>1042</v>
      </c>
      <c r="HS76" t="s">
        <v>1043</v>
      </c>
      <c r="HT76">
        <v>0</v>
      </c>
      <c r="HU76">
        <v>0</v>
      </c>
      <c r="HW76">
        <v>0</v>
      </c>
      <c r="HX76">
        <v>0</v>
      </c>
      <c r="HY76">
        <v>0</v>
      </c>
      <c r="HZ76" t="s">
        <v>1045</v>
      </c>
      <c r="IA76">
        <v>0</v>
      </c>
      <c r="IB76" t="s">
        <v>1045</v>
      </c>
      <c r="ID76" t="s">
        <v>1045</v>
      </c>
      <c r="IF76">
        <v>0</v>
      </c>
      <c r="IG76" t="s">
        <v>1042</v>
      </c>
      <c r="II76" t="s">
        <v>1042</v>
      </c>
      <c r="IR76" t="s">
        <v>1045</v>
      </c>
      <c r="IT76">
        <v>0</v>
      </c>
      <c r="IY76" t="s">
        <v>1044</v>
      </c>
      <c r="IZ76" t="s">
        <v>1043</v>
      </c>
      <c r="JC76" t="s">
        <v>1043</v>
      </c>
      <c r="JE76">
        <v>0</v>
      </c>
      <c r="JF76">
        <v>0</v>
      </c>
      <c r="JI76" t="s">
        <v>1042</v>
      </c>
      <c r="JJ76">
        <v>0</v>
      </c>
      <c r="JK76">
        <v>0</v>
      </c>
      <c r="JL76">
        <v>0</v>
      </c>
      <c r="JM76">
        <v>0</v>
      </c>
      <c r="JQ76" t="s">
        <v>1043</v>
      </c>
      <c r="JT76">
        <v>0</v>
      </c>
      <c r="JU76" t="s">
        <v>1042</v>
      </c>
      <c r="JW76">
        <v>0</v>
      </c>
      <c r="KA76">
        <v>0</v>
      </c>
      <c r="KF76">
        <v>0</v>
      </c>
      <c r="KG76">
        <v>0</v>
      </c>
      <c r="KH76">
        <v>0</v>
      </c>
      <c r="KI76">
        <v>0</v>
      </c>
      <c r="KS76" t="s">
        <v>1073</v>
      </c>
      <c r="KT76">
        <v>0</v>
      </c>
      <c r="KU76">
        <v>0</v>
      </c>
      <c r="KV76">
        <v>0</v>
      </c>
      <c r="KX76">
        <v>0</v>
      </c>
      <c r="KZ76">
        <v>0</v>
      </c>
      <c r="LF76">
        <v>0</v>
      </c>
      <c r="LH76">
        <v>0</v>
      </c>
      <c r="LI76">
        <v>0</v>
      </c>
    </row>
    <row r="77" spans="1:321" x14ac:dyDescent="0.35">
      <c r="A77">
        <v>1</v>
      </c>
      <c r="B77">
        <v>12316</v>
      </c>
      <c r="C77" t="s">
        <v>1634</v>
      </c>
      <c r="D77" t="s">
        <v>1139</v>
      </c>
      <c r="E77" t="s">
        <v>85</v>
      </c>
      <c r="F77">
        <v>80</v>
      </c>
      <c r="G77">
        <v>9000</v>
      </c>
      <c r="H77">
        <v>0</v>
      </c>
      <c r="I77" t="s">
        <v>1583</v>
      </c>
      <c r="L77">
        <v>0</v>
      </c>
      <c r="M77">
        <v>0</v>
      </c>
      <c r="N77">
        <v>0</v>
      </c>
      <c r="R77">
        <v>0</v>
      </c>
      <c r="S77">
        <v>0</v>
      </c>
      <c r="W77" t="s">
        <v>1060</v>
      </c>
      <c r="X77">
        <v>0</v>
      </c>
      <c r="Z77">
        <v>1</v>
      </c>
      <c r="AA77">
        <v>0</v>
      </c>
      <c r="AB77">
        <v>0</v>
      </c>
      <c r="AC77">
        <v>3.1695000000000002</v>
      </c>
      <c r="AD77" s="20">
        <v>40781</v>
      </c>
      <c r="AE77">
        <v>3.05</v>
      </c>
      <c r="AF77">
        <v>0</v>
      </c>
      <c r="AH77">
        <v>0</v>
      </c>
      <c r="AJ77">
        <v>0</v>
      </c>
      <c r="AL77">
        <v>0</v>
      </c>
      <c r="AM77">
        <v>0</v>
      </c>
      <c r="AN77">
        <v>16601001</v>
      </c>
      <c r="AO77">
        <v>0</v>
      </c>
      <c r="AP77">
        <v>1000</v>
      </c>
      <c r="AT77">
        <v>0</v>
      </c>
      <c r="AU77" t="s">
        <v>1059</v>
      </c>
      <c r="AW77" t="s">
        <v>1053</v>
      </c>
      <c r="AX77">
        <v>0</v>
      </c>
      <c r="AY77" s="20">
        <v>40781</v>
      </c>
      <c r="BA77" s="20">
        <v>40781</v>
      </c>
      <c r="BB77" t="s">
        <v>1058</v>
      </c>
      <c r="BD77">
        <v>0</v>
      </c>
      <c r="BF77" t="s">
        <v>1043</v>
      </c>
      <c r="BG77" t="s">
        <v>1042</v>
      </c>
      <c r="BH77">
        <v>0</v>
      </c>
      <c r="BI77">
        <v>1</v>
      </c>
      <c r="BJ77">
        <v>0</v>
      </c>
      <c r="BK77">
        <v>0</v>
      </c>
      <c r="BM77" t="s">
        <v>1042</v>
      </c>
      <c r="BN77">
        <v>0</v>
      </c>
      <c r="BR77" t="s">
        <v>1043</v>
      </c>
      <c r="BS77" t="s">
        <v>1043</v>
      </c>
      <c r="BT77" t="s">
        <v>1043</v>
      </c>
      <c r="BW77">
        <v>83</v>
      </c>
      <c r="CA77">
        <v>0</v>
      </c>
      <c r="CB77" t="s">
        <v>1057</v>
      </c>
      <c r="CE77" t="s">
        <v>1043</v>
      </c>
      <c r="CH77" t="s">
        <v>1043</v>
      </c>
      <c r="CN77" t="s">
        <v>1056</v>
      </c>
      <c r="CO77" t="s">
        <v>1043</v>
      </c>
      <c r="CP77">
        <v>1</v>
      </c>
      <c r="CQ77">
        <v>0</v>
      </c>
      <c r="CS77">
        <v>0</v>
      </c>
      <c r="CT77">
        <v>0</v>
      </c>
      <c r="CU77">
        <v>0</v>
      </c>
      <c r="CV77" t="s">
        <v>1045</v>
      </c>
      <c r="CW77">
        <v>0</v>
      </c>
      <c r="CX77">
        <v>0</v>
      </c>
      <c r="CY77">
        <v>0</v>
      </c>
      <c r="CZ77">
        <v>0</v>
      </c>
      <c r="DB77">
        <v>0</v>
      </c>
      <c r="DC77" t="s">
        <v>1043</v>
      </c>
      <c r="DF77" t="s">
        <v>1055</v>
      </c>
      <c r="DH77">
        <v>0</v>
      </c>
      <c r="DJ77">
        <v>0</v>
      </c>
      <c r="DK77" t="s">
        <v>1053</v>
      </c>
      <c r="DL77">
        <v>0</v>
      </c>
      <c r="DN77">
        <v>0</v>
      </c>
      <c r="DO77" t="s">
        <v>1042</v>
      </c>
      <c r="DP77">
        <v>0</v>
      </c>
      <c r="DQ77">
        <v>0</v>
      </c>
      <c r="DS77">
        <v>0</v>
      </c>
      <c r="DU77">
        <v>0</v>
      </c>
      <c r="DW77">
        <v>0</v>
      </c>
      <c r="DX77" t="s">
        <v>1043</v>
      </c>
      <c r="DY77">
        <v>0</v>
      </c>
      <c r="DZ77">
        <v>0</v>
      </c>
      <c r="EA77">
        <v>0</v>
      </c>
      <c r="ED77" t="s">
        <v>1045</v>
      </c>
      <c r="EE77">
        <v>0</v>
      </c>
      <c r="EF77">
        <v>0</v>
      </c>
      <c r="EQ77" t="s">
        <v>1044</v>
      </c>
      <c r="ES77" t="s">
        <v>1053</v>
      </c>
      <c r="ET77">
        <v>0</v>
      </c>
      <c r="EV77">
        <v>0</v>
      </c>
      <c r="EY77" t="s">
        <v>1052</v>
      </c>
      <c r="EZ77">
        <v>0</v>
      </c>
      <c r="FA77" t="s">
        <v>1043</v>
      </c>
      <c r="FB77">
        <v>0</v>
      </c>
      <c r="FC77">
        <v>0</v>
      </c>
      <c r="FE77" t="s">
        <v>1050</v>
      </c>
      <c r="FF77">
        <v>0</v>
      </c>
      <c r="FG77" t="s">
        <v>1050</v>
      </c>
      <c r="FJ77">
        <v>0</v>
      </c>
      <c r="FK77">
        <v>0</v>
      </c>
      <c r="FP77">
        <v>0</v>
      </c>
      <c r="FR77">
        <v>0</v>
      </c>
      <c r="FS77" t="s">
        <v>1043</v>
      </c>
      <c r="FX77" t="s">
        <v>1042</v>
      </c>
      <c r="FZ77" t="s">
        <v>1048</v>
      </c>
      <c r="GA77">
        <v>0</v>
      </c>
      <c r="GB77" t="s">
        <v>1042</v>
      </c>
      <c r="GE77">
        <v>0</v>
      </c>
      <c r="GG77">
        <v>0</v>
      </c>
      <c r="GN77">
        <v>0</v>
      </c>
      <c r="GO77" t="s">
        <v>1063</v>
      </c>
      <c r="GQ77">
        <v>0</v>
      </c>
      <c r="GU77">
        <v>0</v>
      </c>
      <c r="GY77" t="s">
        <v>1045</v>
      </c>
      <c r="HB77">
        <v>0</v>
      </c>
      <c r="HE77">
        <v>0</v>
      </c>
      <c r="HF77">
        <v>0</v>
      </c>
      <c r="HG77">
        <v>0</v>
      </c>
      <c r="HK77" t="s">
        <v>1042</v>
      </c>
      <c r="HM77" t="s">
        <v>1047</v>
      </c>
      <c r="HN77">
        <v>0</v>
      </c>
      <c r="HP77">
        <v>0</v>
      </c>
      <c r="HQ77">
        <v>0</v>
      </c>
      <c r="HR77" t="s">
        <v>1042</v>
      </c>
      <c r="HS77" t="s">
        <v>1043</v>
      </c>
      <c r="HT77">
        <v>0</v>
      </c>
      <c r="HU77">
        <v>0</v>
      </c>
      <c r="HW77">
        <v>0</v>
      </c>
      <c r="HX77">
        <v>0</v>
      </c>
      <c r="HY77">
        <v>0</v>
      </c>
      <c r="HZ77" t="s">
        <v>1045</v>
      </c>
      <c r="IA77">
        <v>0</v>
      </c>
      <c r="IB77" t="s">
        <v>1045</v>
      </c>
      <c r="ID77" t="s">
        <v>1045</v>
      </c>
      <c r="IF77">
        <v>0</v>
      </c>
      <c r="IG77" t="s">
        <v>1042</v>
      </c>
      <c r="II77" t="s">
        <v>1042</v>
      </c>
      <c r="IR77" t="s">
        <v>1045</v>
      </c>
      <c r="IT77">
        <v>0</v>
      </c>
      <c r="IY77" t="s">
        <v>1044</v>
      </c>
      <c r="IZ77" t="s">
        <v>1043</v>
      </c>
      <c r="JC77" t="s">
        <v>1043</v>
      </c>
      <c r="JE77">
        <v>0</v>
      </c>
      <c r="JF77">
        <v>0</v>
      </c>
      <c r="JI77" t="s">
        <v>1042</v>
      </c>
      <c r="JJ77">
        <v>0</v>
      </c>
      <c r="JK77">
        <v>0</v>
      </c>
      <c r="JL77">
        <v>0</v>
      </c>
      <c r="JM77">
        <v>0</v>
      </c>
      <c r="JQ77" t="s">
        <v>1043</v>
      </c>
      <c r="JT77">
        <v>0</v>
      </c>
      <c r="JU77" t="s">
        <v>1042</v>
      </c>
      <c r="JW77">
        <v>0</v>
      </c>
      <c r="KA77">
        <v>0</v>
      </c>
      <c r="KF77">
        <v>0</v>
      </c>
      <c r="KG77">
        <v>0</v>
      </c>
      <c r="KH77">
        <v>0</v>
      </c>
      <c r="KI77">
        <v>0</v>
      </c>
      <c r="KS77" t="s">
        <v>1073</v>
      </c>
      <c r="KT77">
        <v>0</v>
      </c>
      <c r="KU77">
        <v>0</v>
      </c>
      <c r="KV77">
        <v>0</v>
      </c>
      <c r="KX77">
        <v>0</v>
      </c>
      <c r="KZ77">
        <v>0</v>
      </c>
      <c r="LF77">
        <v>0</v>
      </c>
      <c r="LH77">
        <v>0</v>
      </c>
      <c r="LI77">
        <v>0</v>
      </c>
    </row>
    <row r="78" spans="1:321" x14ac:dyDescent="0.35">
      <c r="A78">
        <v>1</v>
      </c>
      <c r="B78">
        <v>12317</v>
      </c>
      <c r="C78" t="s">
        <v>1633</v>
      </c>
      <c r="D78" t="s">
        <v>1139</v>
      </c>
      <c r="E78" t="s">
        <v>85</v>
      </c>
      <c r="F78">
        <v>80</v>
      </c>
      <c r="G78">
        <v>9000</v>
      </c>
      <c r="H78">
        <v>0</v>
      </c>
      <c r="I78" t="s">
        <v>1583</v>
      </c>
      <c r="L78">
        <v>0</v>
      </c>
      <c r="M78">
        <v>0</v>
      </c>
      <c r="N78">
        <v>0</v>
      </c>
      <c r="R78">
        <v>0</v>
      </c>
      <c r="S78">
        <v>0</v>
      </c>
      <c r="W78" t="s">
        <v>1060</v>
      </c>
      <c r="X78">
        <v>0</v>
      </c>
      <c r="Z78">
        <v>1</v>
      </c>
      <c r="AA78">
        <v>0</v>
      </c>
      <c r="AB78">
        <v>0</v>
      </c>
      <c r="AC78">
        <v>3.9504000000000001</v>
      </c>
      <c r="AD78" s="20">
        <v>40781</v>
      </c>
      <c r="AE78">
        <v>3.8</v>
      </c>
      <c r="AF78">
        <v>0</v>
      </c>
      <c r="AH78">
        <v>0</v>
      </c>
      <c r="AJ78">
        <v>0</v>
      </c>
      <c r="AL78">
        <v>0</v>
      </c>
      <c r="AM78">
        <v>0</v>
      </c>
      <c r="AN78">
        <v>16601001</v>
      </c>
      <c r="AO78">
        <v>0</v>
      </c>
      <c r="AP78">
        <v>1000</v>
      </c>
      <c r="AT78">
        <v>0</v>
      </c>
      <c r="AU78" t="s">
        <v>1059</v>
      </c>
      <c r="AW78" t="s">
        <v>1053</v>
      </c>
      <c r="AX78">
        <v>0</v>
      </c>
      <c r="AY78" s="20">
        <v>40781</v>
      </c>
      <c r="BA78" s="20">
        <v>40781</v>
      </c>
      <c r="BB78" t="s">
        <v>1058</v>
      </c>
      <c r="BD78">
        <v>0</v>
      </c>
      <c r="BF78" t="s">
        <v>1043</v>
      </c>
      <c r="BG78" t="s">
        <v>1042</v>
      </c>
      <c r="BH78">
        <v>0</v>
      </c>
      <c r="BI78">
        <v>1</v>
      </c>
      <c r="BJ78">
        <v>0</v>
      </c>
      <c r="BK78">
        <v>0</v>
      </c>
      <c r="BM78" t="s">
        <v>1042</v>
      </c>
      <c r="BN78">
        <v>0</v>
      </c>
      <c r="BR78" t="s">
        <v>1043</v>
      </c>
      <c r="BS78" t="s">
        <v>1043</v>
      </c>
      <c r="BT78" t="s">
        <v>1043</v>
      </c>
      <c r="BW78">
        <v>83</v>
      </c>
      <c r="CA78">
        <v>0</v>
      </c>
      <c r="CB78" t="s">
        <v>1057</v>
      </c>
      <c r="CE78" t="s">
        <v>1043</v>
      </c>
      <c r="CH78" t="s">
        <v>1043</v>
      </c>
      <c r="CN78" t="s">
        <v>1056</v>
      </c>
      <c r="CO78" t="s">
        <v>1043</v>
      </c>
      <c r="CP78">
        <v>1</v>
      </c>
      <c r="CQ78">
        <v>0</v>
      </c>
      <c r="CS78">
        <v>0</v>
      </c>
      <c r="CT78">
        <v>0</v>
      </c>
      <c r="CU78">
        <v>0</v>
      </c>
      <c r="CV78" t="s">
        <v>1045</v>
      </c>
      <c r="CW78">
        <v>0</v>
      </c>
      <c r="CX78">
        <v>0</v>
      </c>
      <c r="CY78">
        <v>0</v>
      </c>
      <c r="CZ78">
        <v>0</v>
      </c>
      <c r="DB78">
        <v>0</v>
      </c>
      <c r="DC78" t="s">
        <v>1043</v>
      </c>
      <c r="DF78" t="s">
        <v>1055</v>
      </c>
      <c r="DH78">
        <v>0</v>
      </c>
      <c r="DJ78">
        <v>0</v>
      </c>
      <c r="DK78" t="s">
        <v>1053</v>
      </c>
      <c r="DL78">
        <v>0</v>
      </c>
      <c r="DN78">
        <v>0</v>
      </c>
      <c r="DO78" t="s">
        <v>1042</v>
      </c>
      <c r="DP78">
        <v>0</v>
      </c>
      <c r="DQ78">
        <v>0</v>
      </c>
      <c r="DS78">
        <v>0</v>
      </c>
      <c r="DU78">
        <v>0</v>
      </c>
      <c r="DW78">
        <v>0</v>
      </c>
      <c r="DX78" t="s">
        <v>1043</v>
      </c>
      <c r="DY78">
        <v>0</v>
      </c>
      <c r="DZ78">
        <v>0</v>
      </c>
      <c r="EA78">
        <v>0</v>
      </c>
      <c r="ED78" t="s">
        <v>1045</v>
      </c>
      <c r="EE78">
        <v>0</v>
      </c>
      <c r="EF78">
        <v>0</v>
      </c>
      <c r="EQ78" t="s">
        <v>1044</v>
      </c>
      <c r="ES78" t="s">
        <v>1053</v>
      </c>
      <c r="ET78">
        <v>0</v>
      </c>
      <c r="EV78">
        <v>0</v>
      </c>
      <c r="EY78" t="s">
        <v>1052</v>
      </c>
      <c r="EZ78">
        <v>0</v>
      </c>
      <c r="FA78" t="s">
        <v>1043</v>
      </c>
      <c r="FB78">
        <v>0</v>
      </c>
      <c r="FC78">
        <v>0</v>
      </c>
      <c r="FE78" t="s">
        <v>1050</v>
      </c>
      <c r="FF78">
        <v>0</v>
      </c>
      <c r="FG78" t="s">
        <v>1050</v>
      </c>
      <c r="FJ78">
        <v>0</v>
      </c>
      <c r="FK78">
        <v>0</v>
      </c>
      <c r="FP78">
        <v>0</v>
      </c>
      <c r="FR78">
        <v>0</v>
      </c>
      <c r="FS78" t="s">
        <v>1043</v>
      </c>
      <c r="FX78" t="s">
        <v>1042</v>
      </c>
      <c r="FZ78" t="s">
        <v>1048</v>
      </c>
      <c r="GA78">
        <v>0</v>
      </c>
      <c r="GB78" t="s">
        <v>1042</v>
      </c>
      <c r="GE78">
        <v>0</v>
      </c>
      <c r="GG78">
        <v>0</v>
      </c>
      <c r="GN78">
        <v>0</v>
      </c>
      <c r="GO78" t="s">
        <v>1063</v>
      </c>
      <c r="GQ78">
        <v>0</v>
      </c>
      <c r="GU78">
        <v>0</v>
      </c>
      <c r="GY78" t="s">
        <v>1045</v>
      </c>
      <c r="HB78">
        <v>0</v>
      </c>
      <c r="HE78">
        <v>0</v>
      </c>
      <c r="HF78">
        <v>0</v>
      </c>
      <c r="HG78">
        <v>0</v>
      </c>
      <c r="HK78" t="s">
        <v>1042</v>
      </c>
      <c r="HM78" t="s">
        <v>1047</v>
      </c>
      <c r="HN78">
        <v>0</v>
      </c>
      <c r="HP78">
        <v>0</v>
      </c>
      <c r="HQ78">
        <v>0</v>
      </c>
      <c r="HR78" t="s">
        <v>1042</v>
      </c>
      <c r="HS78" t="s">
        <v>1043</v>
      </c>
      <c r="HT78">
        <v>0</v>
      </c>
      <c r="HU78">
        <v>0</v>
      </c>
      <c r="HW78">
        <v>0</v>
      </c>
      <c r="HX78">
        <v>0</v>
      </c>
      <c r="HY78">
        <v>0</v>
      </c>
      <c r="HZ78" t="s">
        <v>1045</v>
      </c>
      <c r="IA78">
        <v>0</v>
      </c>
      <c r="IB78" t="s">
        <v>1045</v>
      </c>
      <c r="ID78" t="s">
        <v>1045</v>
      </c>
      <c r="IF78">
        <v>0</v>
      </c>
      <c r="IG78" t="s">
        <v>1042</v>
      </c>
      <c r="II78" t="s">
        <v>1042</v>
      </c>
      <c r="IR78" t="s">
        <v>1045</v>
      </c>
      <c r="IT78">
        <v>0</v>
      </c>
      <c r="IY78" t="s">
        <v>1044</v>
      </c>
      <c r="IZ78" t="s">
        <v>1043</v>
      </c>
      <c r="JC78" t="s">
        <v>1043</v>
      </c>
      <c r="JE78">
        <v>0</v>
      </c>
      <c r="JF78">
        <v>0</v>
      </c>
      <c r="JI78" t="s">
        <v>1042</v>
      </c>
      <c r="JJ78">
        <v>0</v>
      </c>
      <c r="JK78">
        <v>0</v>
      </c>
      <c r="JL78">
        <v>0</v>
      </c>
      <c r="JM78">
        <v>0</v>
      </c>
      <c r="JQ78" t="s">
        <v>1043</v>
      </c>
      <c r="JT78">
        <v>0</v>
      </c>
      <c r="JU78" t="s">
        <v>1042</v>
      </c>
      <c r="JW78">
        <v>0</v>
      </c>
      <c r="KA78">
        <v>0</v>
      </c>
      <c r="KF78">
        <v>0</v>
      </c>
      <c r="KG78">
        <v>0</v>
      </c>
      <c r="KH78">
        <v>0</v>
      </c>
      <c r="KI78">
        <v>0</v>
      </c>
      <c r="KS78" t="s">
        <v>1073</v>
      </c>
      <c r="KT78">
        <v>0</v>
      </c>
      <c r="KU78">
        <v>0</v>
      </c>
      <c r="KV78">
        <v>0</v>
      </c>
      <c r="KX78">
        <v>0</v>
      </c>
      <c r="KZ78">
        <v>0</v>
      </c>
      <c r="LF78">
        <v>0</v>
      </c>
      <c r="LH78">
        <v>0</v>
      </c>
      <c r="LI78">
        <v>0</v>
      </c>
    </row>
    <row r="79" spans="1:321" x14ac:dyDescent="0.35">
      <c r="A79">
        <v>1</v>
      </c>
      <c r="B79">
        <v>12318</v>
      </c>
      <c r="C79" t="s">
        <v>1632</v>
      </c>
      <c r="D79" t="s">
        <v>1139</v>
      </c>
      <c r="E79" t="s">
        <v>85</v>
      </c>
      <c r="F79">
        <v>80</v>
      </c>
      <c r="G79">
        <v>9000</v>
      </c>
      <c r="H79">
        <v>0</v>
      </c>
      <c r="I79" t="s">
        <v>1583</v>
      </c>
      <c r="L79">
        <v>0</v>
      </c>
      <c r="M79">
        <v>0</v>
      </c>
      <c r="N79">
        <v>0</v>
      </c>
      <c r="R79">
        <v>0</v>
      </c>
      <c r="S79">
        <v>0</v>
      </c>
      <c r="W79" t="s">
        <v>1060</v>
      </c>
      <c r="X79">
        <v>0</v>
      </c>
      <c r="Z79">
        <v>1</v>
      </c>
      <c r="AA79">
        <v>0</v>
      </c>
      <c r="AB79">
        <v>0</v>
      </c>
      <c r="AC79">
        <v>7.5869999999999997</v>
      </c>
      <c r="AD79" s="20">
        <v>40781</v>
      </c>
      <c r="AE79">
        <v>7.3</v>
      </c>
      <c r="AF79">
        <v>0</v>
      </c>
      <c r="AH79">
        <v>0</v>
      </c>
      <c r="AJ79">
        <v>0</v>
      </c>
      <c r="AL79">
        <v>0</v>
      </c>
      <c r="AM79">
        <v>0</v>
      </c>
      <c r="AN79">
        <v>16601001</v>
      </c>
      <c r="AO79">
        <v>0</v>
      </c>
      <c r="AP79">
        <v>1000</v>
      </c>
      <c r="AT79">
        <v>0</v>
      </c>
      <c r="AU79" t="s">
        <v>1059</v>
      </c>
      <c r="AW79" t="s">
        <v>1053</v>
      </c>
      <c r="AX79">
        <v>0</v>
      </c>
      <c r="AY79" s="20">
        <v>40781</v>
      </c>
      <c r="BA79" s="20">
        <v>40781</v>
      </c>
      <c r="BB79" t="s">
        <v>1058</v>
      </c>
      <c r="BD79">
        <v>0</v>
      </c>
      <c r="BF79" t="s">
        <v>1043</v>
      </c>
      <c r="BG79" t="s">
        <v>1042</v>
      </c>
      <c r="BH79">
        <v>0</v>
      </c>
      <c r="BI79">
        <v>1</v>
      </c>
      <c r="BJ79">
        <v>0</v>
      </c>
      <c r="BK79">
        <v>0</v>
      </c>
      <c r="BM79" t="s">
        <v>1042</v>
      </c>
      <c r="BN79">
        <v>0</v>
      </c>
      <c r="BR79" t="s">
        <v>1043</v>
      </c>
      <c r="BS79" t="s">
        <v>1043</v>
      </c>
      <c r="BT79" t="s">
        <v>1043</v>
      </c>
      <c r="BW79">
        <v>83</v>
      </c>
      <c r="CA79">
        <v>0</v>
      </c>
      <c r="CB79" t="s">
        <v>1057</v>
      </c>
      <c r="CE79" t="s">
        <v>1043</v>
      </c>
      <c r="CH79" t="s">
        <v>1043</v>
      </c>
      <c r="CN79" t="s">
        <v>1056</v>
      </c>
      <c r="CO79" t="s">
        <v>1043</v>
      </c>
      <c r="CP79">
        <v>1</v>
      </c>
      <c r="CQ79">
        <v>0</v>
      </c>
      <c r="CS79">
        <v>0</v>
      </c>
      <c r="CT79">
        <v>0</v>
      </c>
      <c r="CU79">
        <v>0</v>
      </c>
      <c r="CV79" t="s">
        <v>1045</v>
      </c>
      <c r="CW79">
        <v>0</v>
      </c>
      <c r="CX79">
        <v>0</v>
      </c>
      <c r="CY79">
        <v>0</v>
      </c>
      <c r="CZ79">
        <v>0</v>
      </c>
      <c r="DB79">
        <v>0</v>
      </c>
      <c r="DC79" t="s">
        <v>1043</v>
      </c>
      <c r="DF79" t="s">
        <v>1055</v>
      </c>
      <c r="DH79">
        <v>0</v>
      </c>
      <c r="DJ79">
        <v>0</v>
      </c>
      <c r="DK79" t="s">
        <v>1053</v>
      </c>
      <c r="DL79">
        <v>0</v>
      </c>
      <c r="DN79">
        <v>0</v>
      </c>
      <c r="DO79" t="s">
        <v>1042</v>
      </c>
      <c r="DP79">
        <v>0</v>
      </c>
      <c r="DQ79">
        <v>0</v>
      </c>
      <c r="DS79">
        <v>0</v>
      </c>
      <c r="DU79">
        <v>0</v>
      </c>
      <c r="DW79">
        <v>0</v>
      </c>
      <c r="DX79" t="s">
        <v>1043</v>
      </c>
      <c r="DY79">
        <v>0</v>
      </c>
      <c r="DZ79">
        <v>0</v>
      </c>
      <c r="EA79">
        <v>0</v>
      </c>
      <c r="ED79" t="s">
        <v>1045</v>
      </c>
      <c r="EE79">
        <v>0</v>
      </c>
      <c r="EF79">
        <v>0</v>
      </c>
      <c r="EQ79" t="s">
        <v>1044</v>
      </c>
      <c r="ES79" t="s">
        <v>1053</v>
      </c>
      <c r="ET79">
        <v>0</v>
      </c>
      <c r="EV79">
        <v>0</v>
      </c>
      <c r="EY79" t="s">
        <v>1052</v>
      </c>
      <c r="EZ79">
        <v>0</v>
      </c>
      <c r="FA79" t="s">
        <v>1043</v>
      </c>
      <c r="FB79">
        <v>0</v>
      </c>
      <c r="FC79">
        <v>0</v>
      </c>
      <c r="FE79" t="s">
        <v>1050</v>
      </c>
      <c r="FF79">
        <v>0</v>
      </c>
      <c r="FG79" t="s">
        <v>1050</v>
      </c>
      <c r="FJ79">
        <v>0</v>
      </c>
      <c r="FK79">
        <v>0</v>
      </c>
      <c r="FP79">
        <v>0</v>
      </c>
      <c r="FR79">
        <v>0</v>
      </c>
      <c r="FS79" t="s">
        <v>1043</v>
      </c>
      <c r="FX79" t="s">
        <v>1042</v>
      </c>
      <c r="FZ79" t="s">
        <v>1048</v>
      </c>
      <c r="GA79">
        <v>0</v>
      </c>
      <c r="GB79" t="s">
        <v>1042</v>
      </c>
      <c r="GE79">
        <v>0</v>
      </c>
      <c r="GG79">
        <v>0</v>
      </c>
      <c r="GN79">
        <v>0</v>
      </c>
      <c r="GO79" t="s">
        <v>1063</v>
      </c>
      <c r="GQ79">
        <v>0</v>
      </c>
      <c r="GU79">
        <v>0</v>
      </c>
      <c r="GY79" t="s">
        <v>1045</v>
      </c>
      <c r="HB79">
        <v>0</v>
      </c>
      <c r="HE79">
        <v>0</v>
      </c>
      <c r="HF79">
        <v>0</v>
      </c>
      <c r="HG79">
        <v>0</v>
      </c>
      <c r="HK79" t="s">
        <v>1042</v>
      </c>
      <c r="HM79" t="s">
        <v>1047</v>
      </c>
      <c r="HN79">
        <v>0</v>
      </c>
      <c r="HP79">
        <v>0</v>
      </c>
      <c r="HQ79">
        <v>0</v>
      </c>
      <c r="HR79" t="s">
        <v>1042</v>
      </c>
      <c r="HS79" t="s">
        <v>1043</v>
      </c>
      <c r="HT79">
        <v>0</v>
      </c>
      <c r="HU79">
        <v>0</v>
      </c>
      <c r="HW79">
        <v>0</v>
      </c>
      <c r="HX79">
        <v>0</v>
      </c>
      <c r="HY79">
        <v>0</v>
      </c>
      <c r="HZ79" t="s">
        <v>1045</v>
      </c>
      <c r="IA79">
        <v>0</v>
      </c>
      <c r="IB79" t="s">
        <v>1045</v>
      </c>
      <c r="ID79" t="s">
        <v>1045</v>
      </c>
      <c r="IF79">
        <v>0</v>
      </c>
      <c r="IG79" t="s">
        <v>1042</v>
      </c>
      <c r="II79" t="s">
        <v>1042</v>
      </c>
      <c r="IR79" t="s">
        <v>1045</v>
      </c>
      <c r="IT79">
        <v>0</v>
      </c>
      <c r="IY79" t="s">
        <v>1044</v>
      </c>
      <c r="IZ79" t="s">
        <v>1043</v>
      </c>
      <c r="JC79" t="s">
        <v>1043</v>
      </c>
      <c r="JE79">
        <v>0</v>
      </c>
      <c r="JF79">
        <v>0</v>
      </c>
      <c r="JI79" t="s">
        <v>1042</v>
      </c>
      <c r="JJ79">
        <v>0</v>
      </c>
      <c r="JK79">
        <v>0</v>
      </c>
      <c r="JL79">
        <v>0</v>
      </c>
      <c r="JM79">
        <v>0</v>
      </c>
      <c r="JQ79" t="s">
        <v>1043</v>
      </c>
      <c r="JT79">
        <v>0</v>
      </c>
      <c r="JU79" t="s">
        <v>1042</v>
      </c>
      <c r="JW79">
        <v>0</v>
      </c>
      <c r="KA79">
        <v>0</v>
      </c>
      <c r="KF79">
        <v>0</v>
      </c>
      <c r="KG79">
        <v>0</v>
      </c>
      <c r="KH79">
        <v>0</v>
      </c>
      <c r="KI79">
        <v>0</v>
      </c>
      <c r="KS79" t="s">
        <v>1073</v>
      </c>
      <c r="KT79">
        <v>0</v>
      </c>
      <c r="KU79">
        <v>0</v>
      </c>
      <c r="KV79">
        <v>0</v>
      </c>
      <c r="KX79">
        <v>0</v>
      </c>
      <c r="KZ79">
        <v>0</v>
      </c>
      <c r="LF79">
        <v>0</v>
      </c>
      <c r="LH79">
        <v>0</v>
      </c>
      <c r="LI79">
        <v>0</v>
      </c>
    </row>
    <row r="80" spans="1:321" x14ac:dyDescent="0.35">
      <c r="A80">
        <v>1</v>
      </c>
      <c r="B80">
        <v>12319</v>
      </c>
      <c r="C80" t="s">
        <v>1631</v>
      </c>
      <c r="D80" t="s">
        <v>1139</v>
      </c>
      <c r="E80" t="s">
        <v>587</v>
      </c>
      <c r="F80">
        <v>80</v>
      </c>
      <c r="G80">
        <v>9000</v>
      </c>
      <c r="H80">
        <v>0</v>
      </c>
      <c r="I80" t="s">
        <v>1050</v>
      </c>
      <c r="L80">
        <v>0</v>
      </c>
      <c r="M80">
        <v>0</v>
      </c>
      <c r="N80">
        <v>0</v>
      </c>
      <c r="R80">
        <v>0</v>
      </c>
      <c r="S80">
        <v>0</v>
      </c>
      <c r="W80" t="s">
        <v>1060</v>
      </c>
      <c r="X80">
        <v>0</v>
      </c>
      <c r="Z80">
        <v>1</v>
      </c>
      <c r="AA80">
        <v>0</v>
      </c>
      <c r="AB80">
        <v>0</v>
      </c>
      <c r="AC80">
        <v>0</v>
      </c>
      <c r="AD80" t="s">
        <v>1042</v>
      </c>
      <c r="AE80">
        <v>0</v>
      </c>
      <c r="AF80">
        <v>0</v>
      </c>
      <c r="AH80">
        <v>0</v>
      </c>
      <c r="AJ80">
        <v>0</v>
      </c>
      <c r="AL80">
        <v>0</v>
      </c>
      <c r="AM80">
        <v>0</v>
      </c>
      <c r="AN80">
        <v>16601001</v>
      </c>
      <c r="AO80">
        <v>0</v>
      </c>
      <c r="AP80">
        <v>1000</v>
      </c>
      <c r="AT80">
        <v>0</v>
      </c>
      <c r="AU80" t="s">
        <v>1059</v>
      </c>
      <c r="AW80" t="s">
        <v>1053</v>
      </c>
      <c r="AX80">
        <v>0</v>
      </c>
      <c r="AY80" s="20">
        <v>40781</v>
      </c>
      <c r="BA80" s="20">
        <v>40781</v>
      </c>
      <c r="BB80" t="s">
        <v>1058</v>
      </c>
      <c r="BD80">
        <v>0</v>
      </c>
      <c r="BF80" t="s">
        <v>1043</v>
      </c>
      <c r="BG80" t="s">
        <v>1042</v>
      </c>
      <c r="BH80">
        <v>0</v>
      </c>
      <c r="BI80">
        <v>1</v>
      </c>
      <c r="BJ80">
        <v>0</v>
      </c>
      <c r="BK80">
        <v>0</v>
      </c>
      <c r="BM80" t="s">
        <v>1042</v>
      </c>
      <c r="BN80">
        <v>0</v>
      </c>
      <c r="BR80" t="s">
        <v>1043</v>
      </c>
      <c r="BS80" t="s">
        <v>1043</v>
      </c>
      <c r="BT80" t="s">
        <v>1043</v>
      </c>
      <c r="BW80">
        <v>83</v>
      </c>
      <c r="CA80">
        <v>0</v>
      </c>
      <c r="CB80" t="s">
        <v>1057</v>
      </c>
      <c r="CE80" t="s">
        <v>1043</v>
      </c>
      <c r="CH80" t="s">
        <v>1043</v>
      </c>
      <c r="CN80" t="s">
        <v>1056</v>
      </c>
      <c r="CO80" t="s">
        <v>1043</v>
      </c>
      <c r="CP80">
        <v>1</v>
      </c>
      <c r="CQ80">
        <v>0</v>
      </c>
      <c r="CS80">
        <v>0</v>
      </c>
      <c r="CT80">
        <v>0</v>
      </c>
      <c r="CU80">
        <v>0</v>
      </c>
      <c r="CV80" t="s">
        <v>1045</v>
      </c>
      <c r="CW80">
        <v>0</v>
      </c>
      <c r="CX80">
        <v>0</v>
      </c>
      <c r="CY80">
        <v>0</v>
      </c>
      <c r="CZ80">
        <v>0</v>
      </c>
      <c r="DB80">
        <v>0</v>
      </c>
      <c r="DC80" t="s">
        <v>1043</v>
      </c>
      <c r="DF80" t="s">
        <v>1055</v>
      </c>
      <c r="DH80">
        <v>0</v>
      </c>
      <c r="DJ80">
        <v>0</v>
      </c>
      <c r="DK80" t="s">
        <v>1053</v>
      </c>
      <c r="DL80">
        <v>0</v>
      </c>
      <c r="DN80">
        <v>0</v>
      </c>
      <c r="DO80" t="s">
        <v>1042</v>
      </c>
      <c r="DP80">
        <v>0</v>
      </c>
      <c r="DQ80">
        <v>0</v>
      </c>
      <c r="DS80">
        <v>0</v>
      </c>
      <c r="DU80">
        <v>0</v>
      </c>
      <c r="DW80">
        <v>0</v>
      </c>
      <c r="DX80" t="s">
        <v>1043</v>
      </c>
      <c r="DY80">
        <v>0</v>
      </c>
      <c r="DZ80">
        <v>0</v>
      </c>
      <c r="EA80">
        <v>0</v>
      </c>
      <c r="ED80" t="s">
        <v>1045</v>
      </c>
      <c r="EE80">
        <v>0</v>
      </c>
      <c r="EF80">
        <v>0</v>
      </c>
      <c r="EQ80" t="s">
        <v>1044</v>
      </c>
      <c r="ES80" t="s">
        <v>1053</v>
      </c>
      <c r="ET80">
        <v>0</v>
      </c>
      <c r="EV80">
        <v>0</v>
      </c>
      <c r="EY80" t="s">
        <v>1052</v>
      </c>
      <c r="EZ80">
        <v>0</v>
      </c>
      <c r="FA80" t="s">
        <v>1043</v>
      </c>
      <c r="FB80">
        <v>0</v>
      </c>
      <c r="FC80">
        <v>0</v>
      </c>
      <c r="FE80" t="s">
        <v>1050</v>
      </c>
      <c r="FF80">
        <v>0</v>
      </c>
      <c r="FG80" t="s">
        <v>1050</v>
      </c>
      <c r="FJ80">
        <v>0</v>
      </c>
      <c r="FK80">
        <v>0</v>
      </c>
      <c r="FP80">
        <v>0</v>
      </c>
      <c r="FR80">
        <v>0</v>
      </c>
      <c r="FS80" t="s">
        <v>1043</v>
      </c>
      <c r="FX80" t="s">
        <v>1042</v>
      </c>
      <c r="FZ80" t="s">
        <v>1048</v>
      </c>
      <c r="GA80">
        <v>0</v>
      </c>
      <c r="GB80" t="s">
        <v>1042</v>
      </c>
      <c r="GE80">
        <v>0</v>
      </c>
      <c r="GG80">
        <v>0</v>
      </c>
      <c r="GN80">
        <v>0</v>
      </c>
      <c r="GO80" t="s">
        <v>1063</v>
      </c>
      <c r="GQ80">
        <v>0</v>
      </c>
      <c r="GU80">
        <v>0</v>
      </c>
      <c r="GY80" t="s">
        <v>1045</v>
      </c>
      <c r="HB80">
        <v>0</v>
      </c>
      <c r="HE80">
        <v>0</v>
      </c>
      <c r="HF80">
        <v>0</v>
      </c>
      <c r="HG80">
        <v>0</v>
      </c>
      <c r="HK80" t="s">
        <v>1042</v>
      </c>
      <c r="HM80" t="s">
        <v>1047</v>
      </c>
      <c r="HN80">
        <v>0</v>
      </c>
      <c r="HP80">
        <v>0</v>
      </c>
      <c r="HQ80">
        <v>0</v>
      </c>
      <c r="HR80" t="s">
        <v>1042</v>
      </c>
      <c r="HS80" t="s">
        <v>1043</v>
      </c>
      <c r="HT80">
        <v>0</v>
      </c>
      <c r="HU80">
        <v>0</v>
      </c>
      <c r="HW80">
        <v>0</v>
      </c>
      <c r="HX80">
        <v>0</v>
      </c>
      <c r="HY80">
        <v>0</v>
      </c>
      <c r="HZ80" t="s">
        <v>1045</v>
      </c>
      <c r="IA80">
        <v>0</v>
      </c>
      <c r="IB80" t="s">
        <v>1045</v>
      </c>
      <c r="ID80" t="s">
        <v>1045</v>
      </c>
      <c r="IF80">
        <v>0</v>
      </c>
      <c r="IG80" t="s">
        <v>1042</v>
      </c>
      <c r="II80" t="s">
        <v>1042</v>
      </c>
      <c r="IR80" t="s">
        <v>1045</v>
      </c>
      <c r="IT80">
        <v>0</v>
      </c>
      <c r="IY80" t="s">
        <v>1044</v>
      </c>
      <c r="IZ80" t="s">
        <v>1043</v>
      </c>
      <c r="JC80" t="s">
        <v>1043</v>
      </c>
      <c r="JE80">
        <v>0</v>
      </c>
      <c r="JF80">
        <v>0</v>
      </c>
      <c r="JI80" t="s">
        <v>1042</v>
      </c>
      <c r="JJ80">
        <v>0</v>
      </c>
      <c r="JK80">
        <v>0</v>
      </c>
      <c r="JL80">
        <v>0</v>
      </c>
      <c r="JM80">
        <v>0</v>
      </c>
      <c r="JQ80" t="s">
        <v>1043</v>
      </c>
      <c r="JT80">
        <v>0</v>
      </c>
      <c r="JU80" t="s">
        <v>1042</v>
      </c>
      <c r="JW80">
        <v>0</v>
      </c>
      <c r="KA80">
        <v>0</v>
      </c>
      <c r="KF80">
        <v>0</v>
      </c>
      <c r="KG80">
        <v>0</v>
      </c>
      <c r="KH80">
        <v>0</v>
      </c>
      <c r="KI80">
        <v>0</v>
      </c>
      <c r="KS80" t="s">
        <v>1073</v>
      </c>
      <c r="KT80">
        <v>0</v>
      </c>
      <c r="KU80">
        <v>0</v>
      </c>
      <c r="KV80">
        <v>0</v>
      </c>
      <c r="KX80">
        <v>0</v>
      </c>
      <c r="KZ80">
        <v>0</v>
      </c>
      <c r="LF80">
        <v>0</v>
      </c>
      <c r="LH80">
        <v>0</v>
      </c>
      <c r="LI80">
        <v>0</v>
      </c>
    </row>
    <row r="81" spans="1:321" x14ac:dyDescent="0.35">
      <c r="A81">
        <v>1</v>
      </c>
      <c r="B81">
        <v>1232</v>
      </c>
      <c r="C81" t="s">
        <v>633</v>
      </c>
      <c r="D81" t="s">
        <v>1061</v>
      </c>
      <c r="E81" t="s">
        <v>587</v>
      </c>
      <c r="F81">
        <v>1</v>
      </c>
      <c r="G81">
        <v>160</v>
      </c>
      <c r="H81">
        <v>0</v>
      </c>
      <c r="I81" t="s">
        <v>991</v>
      </c>
      <c r="L81">
        <v>0</v>
      </c>
      <c r="M81">
        <v>0</v>
      </c>
      <c r="N81">
        <v>0</v>
      </c>
      <c r="Q81">
        <v>516</v>
      </c>
      <c r="R81">
        <v>0</v>
      </c>
      <c r="S81">
        <v>0</v>
      </c>
      <c r="W81" t="s">
        <v>1060</v>
      </c>
      <c r="X81">
        <v>0</v>
      </c>
      <c r="Z81">
        <v>25</v>
      </c>
      <c r="AA81">
        <v>27.588799999999999</v>
      </c>
      <c r="AB81">
        <v>43159</v>
      </c>
      <c r="AC81">
        <v>0.48720000000000002</v>
      </c>
      <c r="AD81" s="20">
        <v>42977</v>
      </c>
      <c r="AE81">
        <v>0.73140000000000005</v>
      </c>
      <c r="AF81">
        <v>0.1</v>
      </c>
      <c r="AH81">
        <v>39302</v>
      </c>
      <c r="AJ81">
        <v>1</v>
      </c>
      <c r="AK81" t="s">
        <v>1154</v>
      </c>
      <c r="AL81">
        <v>159325</v>
      </c>
      <c r="AM81">
        <v>262</v>
      </c>
      <c r="AN81">
        <v>11501001</v>
      </c>
      <c r="AO81">
        <v>0</v>
      </c>
      <c r="AP81">
        <v>1001</v>
      </c>
      <c r="AT81">
        <v>1</v>
      </c>
      <c r="AU81" t="s">
        <v>1059</v>
      </c>
      <c r="AV81" t="s">
        <v>1043</v>
      </c>
      <c r="AW81" t="s">
        <v>1053</v>
      </c>
      <c r="AX81">
        <v>5</v>
      </c>
      <c r="AY81" s="20">
        <v>42977</v>
      </c>
      <c r="BA81" s="20">
        <v>44384</v>
      </c>
      <c r="BB81" t="s">
        <v>1058</v>
      </c>
      <c r="BD81">
        <v>0</v>
      </c>
      <c r="BF81" t="s">
        <v>1044</v>
      </c>
      <c r="BG81" s="20">
        <v>40340</v>
      </c>
      <c r="BH81">
        <v>0</v>
      </c>
      <c r="BI81">
        <v>33</v>
      </c>
      <c r="BJ81">
        <v>0</v>
      </c>
      <c r="BK81">
        <v>0</v>
      </c>
      <c r="BM81" s="20">
        <v>40290</v>
      </c>
      <c r="BN81">
        <v>0</v>
      </c>
      <c r="BO81">
        <v>7897801309639</v>
      </c>
      <c r="BR81" t="s">
        <v>1043</v>
      </c>
      <c r="BS81" t="s">
        <v>1043</v>
      </c>
      <c r="BT81" t="s">
        <v>1043</v>
      </c>
      <c r="BV81">
        <v>1</v>
      </c>
      <c r="BW81">
        <v>30</v>
      </c>
      <c r="BY81">
        <v>66</v>
      </c>
      <c r="CA81">
        <v>0</v>
      </c>
      <c r="CB81" t="s">
        <v>1043</v>
      </c>
      <c r="CE81" t="s">
        <v>1043</v>
      </c>
      <c r="CH81" t="s">
        <v>1043</v>
      </c>
      <c r="CI81" t="s">
        <v>1383</v>
      </c>
      <c r="CK81" t="s">
        <v>1152</v>
      </c>
      <c r="CN81" t="s">
        <v>1056</v>
      </c>
      <c r="CP81">
        <v>1</v>
      </c>
      <c r="CQ81">
        <v>2000</v>
      </c>
      <c r="CS81">
        <v>0</v>
      </c>
      <c r="CT81">
        <v>0</v>
      </c>
      <c r="CU81">
        <v>0</v>
      </c>
      <c r="CV81" t="s">
        <v>1045</v>
      </c>
      <c r="CW81">
        <v>0</v>
      </c>
      <c r="CX81">
        <v>0</v>
      </c>
      <c r="CY81">
        <v>0</v>
      </c>
      <c r="CZ81">
        <v>0</v>
      </c>
      <c r="DA81">
        <v>31</v>
      </c>
      <c r="DB81">
        <v>70000</v>
      </c>
      <c r="DH81">
        <v>0</v>
      </c>
      <c r="DJ81">
        <v>0</v>
      </c>
      <c r="DL81">
        <v>0</v>
      </c>
      <c r="DN81">
        <v>0</v>
      </c>
      <c r="DO81" t="s">
        <v>1042</v>
      </c>
      <c r="DP81">
        <v>0</v>
      </c>
      <c r="DQ81">
        <v>7.6</v>
      </c>
      <c r="DS81">
        <v>0</v>
      </c>
      <c r="DU81">
        <v>1.65</v>
      </c>
      <c r="DW81">
        <v>0</v>
      </c>
      <c r="DY81">
        <v>0</v>
      </c>
      <c r="DZ81">
        <v>0</v>
      </c>
      <c r="EA81">
        <v>0</v>
      </c>
      <c r="EB81">
        <v>17897801309636</v>
      </c>
      <c r="EE81">
        <v>0</v>
      </c>
      <c r="EF81">
        <v>0</v>
      </c>
      <c r="EK81" t="s">
        <v>1570</v>
      </c>
      <c r="EL81">
        <v>57897801309634</v>
      </c>
      <c r="EN81" t="s">
        <v>1511</v>
      </c>
      <c r="EO81" t="s">
        <v>1044</v>
      </c>
      <c r="ET81">
        <v>0</v>
      </c>
      <c r="EV81">
        <v>0</v>
      </c>
      <c r="EY81" t="s">
        <v>1052</v>
      </c>
      <c r="EZ81">
        <v>0</v>
      </c>
      <c r="FA81" t="s">
        <v>1043</v>
      </c>
      <c r="FB81">
        <v>0</v>
      </c>
      <c r="FC81">
        <v>0</v>
      </c>
      <c r="FD81" t="s">
        <v>1051</v>
      </c>
      <c r="FE81" t="s">
        <v>1050</v>
      </c>
      <c r="FF81">
        <v>0</v>
      </c>
      <c r="FG81" t="s">
        <v>1050</v>
      </c>
      <c r="FH81">
        <v>27897801309633</v>
      </c>
      <c r="FJ81">
        <v>0</v>
      </c>
      <c r="FK81">
        <v>0</v>
      </c>
      <c r="FP81">
        <v>0</v>
      </c>
      <c r="FR81">
        <v>0</v>
      </c>
      <c r="FS81" t="s">
        <v>1043</v>
      </c>
      <c r="FX81" t="s">
        <v>1042</v>
      </c>
      <c r="GA81">
        <v>0</v>
      </c>
      <c r="GB81" t="s">
        <v>1042</v>
      </c>
      <c r="GD81">
        <v>16</v>
      </c>
      <c r="GE81">
        <v>0</v>
      </c>
      <c r="GG81">
        <v>0</v>
      </c>
      <c r="GN81">
        <v>0</v>
      </c>
      <c r="GO81" t="s">
        <v>1049</v>
      </c>
      <c r="GQ81">
        <v>0</v>
      </c>
      <c r="GU81">
        <v>10</v>
      </c>
      <c r="GY81" t="s">
        <v>1045</v>
      </c>
      <c r="HB81">
        <v>0</v>
      </c>
      <c r="HE81">
        <v>12</v>
      </c>
      <c r="HF81">
        <v>0</v>
      </c>
      <c r="HG81">
        <v>4.555E-2</v>
      </c>
      <c r="HK81" t="s">
        <v>1042</v>
      </c>
      <c r="HL81" t="s">
        <v>1048</v>
      </c>
      <c r="HM81">
        <v>0</v>
      </c>
      <c r="HN81">
        <v>0</v>
      </c>
      <c r="HO81">
        <v>24</v>
      </c>
      <c r="HP81">
        <v>9.9400000000000002E-2</v>
      </c>
      <c r="HQ81">
        <v>0</v>
      </c>
      <c r="HR81" s="20">
        <v>44221</v>
      </c>
      <c r="HT81">
        <v>0</v>
      </c>
      <c r="HU81">
        <v>0</v>
      </c>
      <c r="HW81">
        <v>0</v>
      </c>
      <c r="HX81">
        <v>221544</v>
      </c>
      <c r="HY81">
        <v>0</v>
      </c>
      <c r="IA81">
        <v>0</v>
      </c>
      <c r="IF81">
        <v>1050</v>
      </c>
      <c r="IG81" s="20">
        <v>40365</v>
      </c>
      <c r="IH81" t="s">
        <v>1046</v>
      </c>
      <c r="II81" t="s">
        <v>1042</v>
      </c>
      <c r="IR81" t="s">
        <v>1045</v>
      </c>
      <c r="IT81">
        <v>0</v>
      </c>
      <c r="JE81">
        <v>0</v>
      </c>
      <c r="JF81">
        <v>0</v>
      </c>
      <c r="JI81" t="s">
        <v>1042</v>
      </c>
      <c r="JJ81">
        <v>0</v>
      </c>
      <c r="JK81">
        <v>0</v>
      </c>
      <c r="JL81">
        <v>0</v>
      </c>
      <c r="JM81">
        <v>0</v>
      </c>
      <c r="JT81">
        <v>0</v>
      </c>
      <c r="JU81" t="s">
        <v>1042</v>
      </c>
      <c r="JW81">
        <v>0</v>
      </c>
      <c r="KA81">
        <v>0</v>
      </c>
      <c r="KF81">
        <v>0</v>
      </c>
      <c r="KG81">
        <v>0</v>
      </c>
      <c r="KH81">
        <v>0</v>
      </c>
      <c r="KI81">
        <v>0</v>
      </c>
      <c r="KS81" t="s">
        <v>1041</v>
      </c>
      <c r="KT81">
        <v>0</v>
      </c>
      <c r="KU81">
        <v>0</v>
      </c>
      <c r="KV81">
        <v>0</v>
      </c>
      <c r="KX81">
        <v>0</v>
      </c>
      <c r="KZ81">
        <v>0</v>
      </c>
      <c r="LF81">
        <v>0</v>
      </c>
      <c r="LH81">
        <v>261240</v>
      </c>
      <c r="LI81">
        <v>0</v>
      </c>
    </row>
    <row r="82" spans="1:321" x14ac:dyDescent="0.35">
      <c r="A82">
        <v>1</v>
      </c>
      <c r="B82">
        <v>12320</v>
      </c>
      <c r="C82" t="s">
        <v>1630</v>
      </c>
      <c r="D82" t="s">
        <v>1139</v>
      </c>
      <c r="E82" t="s">
        <v>85</v>
      </c>
      <c r="F82">
        <v>80</v>
      </c>
      <c r="G82">
        <v>9000</v>
      </c>
      <c r="H82">
        <v>0</v>
      </c>
      <c r="I82" t="s">
        <v>1583</v>
      </c>
      <c r="L82">
        <v>0</v>
      </c>
      <c r="M82">
        <v>0</v>
      </c>
      <c r="N82">
        <v>0</v>
      </c>
      <c r="R82">
        <v>0</v>
      </c>
      <c r="S82">
        <v>0</v>
      </c>
      <c r="W82" t="s">
        <v>1060</v>
      </c>
      <c r="X82">
        <v>0</v>
      </c>
      <c r="Z82">
        <v>1</v>
      </c>
      <c r="AA82">
        <v>0</v>
      </c>
      <c r="AB82">
        <v>0</v>
      </c>
      <c r="AC82">
        <v>8.5236999999999998</v>
      </c>
      <c r="AD82" s="20">
        <v>40781</v>
      </c>
      <c r="AE82">
        <v>8.1999999999999993</v>
      </c>
      <c r="AF82">
        <v>0</v>
      </c>
      <c r="AH82">
        <v>0</v>
      </c>
      <c r="AJ82">
        <v>0</v>
      </c>
      <c r="AL82">
        <v>0</v>
      </c>
      <c r="AM82">
        <v>0</v>
      </c>
      <c r="AN82">
        <v>16601001</v>
      </c>
      <c r="AO82">
        <v>0</v>
      </c>
      <c r="AP82">
        <v>1000</v>
      </c>
      <c r="AT82">
        <v>0</v>
      </c>
      <c r="AU82" t="s">
        <v>1059</v>
      </c>
      <c r="AW82" t="s">
        <v>1053</v>
      </c>
      <c r="AX82">
        <v>0</v>
      </c>
      <c r="AY82" s="20">
        <v>40781</v>
      </c>
      <c r="BA82" s="20">
        <v>40781</v>
      </c>
      <c r="BB82" t="s">
        <v>1058</v>
      </c>
      <c r="BD82">
        <v>0</v>
      </c>
      <c r="BF82" t="s">
        <v>1043</v>
      </c>
      <c r="BG82" t="s">
        <v>1042</v>
      </c>
      <c r="BH82">
        <v>0</v>
      </c>
      <c r="BI82">
        <v>1</v>
      </c>
      <c r="BJ82">
        <v>0</v>
      </c>
      <c r="BK82">
        <v>0</v>
      </c>
      <c r="BM82" t="s">
        <v>1042</v>
      </c>
      <c r="BN82">
        <v>0</v>
      </c>
      <c r="BR82" t="s">
        <v>1043</v>
      </c>
      <c r="BS82" t="s">
        <v>1043</v>
      </c>
      <c r="BT82" t="s">
        <v>1043</v>
      </c>
      <c r="BW82">
        <v>83</v>
      </c>
      <c r="CA82">
        <v>0</v>
      </c>
      <c r="CB82" t="s">
        <v>1057</v>
      </c>
      <c r="CE82" t="s">
        <v>1043</v>
      </c>
      <c r="CH82" t="s">
        <v>1043</v>
      </c>
      <c r="CN82" t="s">
        <v>1056</v>
      </c>
      <c r="CO82" t="s">
        <v>1043</v>
      </c>
      <c r="CP82">
        <v>1</v>
      </c>
      <c r="CQ82">
        <v>0</v>
      </c>
      <c r="CS82">
        <v>0</v>
      </c>
      <c r="CT82">
        <v>0</v>
      </c>
      <c r="CU82">
        <v>0</v>
      </c>
      <c r="CV82" t="s">
        <v>1045</v>
      </c>
      <c r="CW82">
        <v>0</v>
      </c>
      <c r="CX82">
        <v>0</v>
      </c>
      <c r="CY82">
        <v>0</v>
      </c>
      <c r="CZ82">
        <v>0</v>
      </c>
      <c r="DB82">
        <v>0</v>
      </c>
      <c r="DC82" t="s">
        <v>1043</v>
      </c>
      <c r="DF82" t="s">
        <v>1055</v>
      </c>
      <c r="DH82">
        <v>0</v>
      </c>
      <c r="DJ82">
        <v>0</v>
      </c>
      <c r="DK82" t="s">
        <v>1053</v>
      </c>
      <c r="DL82">
        <v>0</v>
      </c>
      <c r="DN82">
        <v>0</v>
      </c>
      <c r="DO82" t="s">
        <v>1042</v>
      </c>
      <c r="DP82">
        <v>0</v>
      </c>
      <c r="DQ82">
        <v>0</v>
      </c>
      <c r="DS82">
        <v>0</v>
      </c>
      <c r="DU82">
        <v>0</v>
      </c>
      <c r="DW82">
        <v>0</v>
      </c>
      <c r="DX82" t="s">
        <v>1043</v>
      </c>
      <c r="DY82">
        <v>0</v>
      </c>
      <c r="DZ82">
        <v>0</v>
      </c>
      <c r="EA82">
        <v>0</v>
      </c>
      <c r="ED82" t="s">
        <v>1045</v>
      </c>
      <c r="EE82">
        <v>0</v>
      </c>
      <c r="EF82">
        <v>0</v>
      </c>
      <c r="EQ82" t="s">
        <v>1044</v>
      </c>
      <c r="ES82" t="s">
        <v>1053</v>
      </c>
      <c r="ET82">
        <v>0</v>
      </c>
      <c r="EV82">
        <v>0</v>
      </c>
      <c r="EY82" t="s">
        <v>1052</v>
      </c>
      <c r="EZ82">
        <v>0</v>
      </c>
      <c r="FA82" t="s">
        <v>1043</v>
      </c>
      <c r="FB82">
        <v>0</v>
      </c>
      <c r="FC82">
        <v>0</v>
      </c>
      <c r="FE82" t="s">
        <v>1050</v>
      </c>
      <c r="FF82">
        <v>0</v>
      </c>
      <c r="FG82" t="s">
        <v>1050</v>
      </c>
      <c r="FJ82">
        <v>0</v>
      </c>
      <c r="FK82">
        <v>0</v>
      </c>
      <c r="FP82">
        <v>0</v>
      </c>
      <c r="FR82">
        <v>0</v>
      </c>
      <c r="FS82" t="s">
        <v>1043</v>
      </c>
      <c r="FX82" t="s">
        <v>1042</v>
      </c>
      <c r="FZ82" t="s">
        <v>1048</v>
      </c>
      <c r="GA82">
        <v>0</v>
      </c>
      <c r="GB82" t="s">
        <v>1042</v>
      </c>
      <c r="GE82">
        <v>0</v>
      </c>
      <c r="GG82">
        <v>0</v>
      </c>
      <c r="GN82">
        <v>0</v>
      </c>
      <c r="GO82" t="s">
        <v>1063</v>
      </c>
      <c r="GQ82">
        <v>0</v>
      </c>
      <c r="GU82">
        <v>0</v>
      </c>
      <c r="GY82" t="s">
        <v>1045</v>
      </c>
      <c r="HB82">
        <v>0</v>
      </c>
      <c r="HE82">
        <v>0</v>
      </c>
      <c r="HF82">
        <v>0</v>
      </c>
      <c r="HG82">
        <v>0</v>
      </c>
      <c r="HK82" t="s">
        <v>1042</v>
      </c>
      <c r="HM82" t="s">
        <v>1047</v>
      </c>
      <c r="HN82">
        <v>0</v>
      </c>
      <c r="HP82">
        <v>0</v>
      </c>
      <c r="HQ82">
        <v>0</v>
      </c>
      <c r="HR82" t="s">
        <v>1042</v>
      </c>
      <c r="HS82" t="s">
        <v>1043</v>
      </c>
      <c r="HT82">
        <v>0</v>
      </c>
      <c r="HU82">
        <v>0</v>
      </c>
      <c r="HW82">
        <v>0</v>
      </c>
      <c r="HX82">
        <v>0</v>
      </c>
      <c r="HY82">
        <v>0</v>
      </c>
      <c r="HZ82" t="s">
        <v>1045</v>
      </c>
      <c r="IA82">
        <v>0</v>
      </c>
      <c r="IB82" t="s">
        <v>1045</v>
      </c>
      <c r="ID82" t="s">
        <v>1045</v>
      </c>
      <c r="IF82">
        <v>0</v>
      </c>
      <c r="IG82" t="s">
        <v>1042</v>
      </c>
      <c r="II82" t="s">
        <v>1042</v>
      </c>
      <c r="IR82" t="s">
        <v>1045</v>
      </c>
      <c r="IT82">
        <v>0</v>
      </c>
      <c r="IY82" t="s">
        <v>1044</v>
      </c>
      <c r="IZ82" t="s">
        <v>1043</v>
      </c>
      <c r="JC82" t="s">
        <v>1043</v>
      </c>
      <c r="JE82">
        <v>0</v>
      </c>
      <c r="JF82">
        <v>0</v>
      </c>
      <c r="JI82" t="s">
        <v>1042</v>
      </c>
      <c r="JJ82">
        <v>0</v>
      </c>
      <c r="JK82">
        <v>0</v>
      </c>
      <c r="JL82">
        <v>0</v>
      </c>
      <c r="JM82">
        <v>0</v>
      </c>
      <c r="JQ82" t="s">
        <v>1043</v>
      </c>
      <c r="JT82">
        <v>0</v>
      </c>
      <c r="JU82" t="s">
        <v>1042</v>
      </c>
      <c r="JW82">
        <v>0</v>
      </c>
      <c r="KA82">
        <v>0</v>
      </c>
      <c r="KF82">
        <v>0</v>
      </c>
      <c r="KG82">
        <v>0</v>
      </c>
      <c r="KH82">
        <v>0</v>
      </c>
      <c r="KI82">
        <v>0</v>
      </c>
      <c r="KS82" t="s">
        <v>1073</v>
      </c>
      <c r="KT82">
        <v>0</v>
      </c>
      <c r="KU82">
        <v>0</v>
      </c>
      <c r="KV82">
        <v>0</v>
      </c>
      <c r="KX82">
        <v>0</v>
      </c>
      <c r="KZ82">
        <v>0</v>
      </c>
      <c r="LF82">
        <v>0</v>
      </c>
      <c r="LH82">
        <v>0</v>
      </c>
      <c r="LI82">
        <v>0</v>
      </c>
    </row>
    <row r="83" spans="1:321" x14ac:dyDescent="0.35">
      <c r="A83">
        <v>1</v>
      </c>
      <c r="B83">
        <v>12321</v>
      </c>
      <c r="C83" t="s">
        <v>1629</v>
      </c>
      <c r="D83" t="s">
        <v>1139</v>
      </c>
      <c r="E83" t="s">
        <v>85</v>
      </c>
      <c r="F83">
        <v>80</v>
      </c>
      <c r="G83">
        <v>9000</v>
      </c>
      <c r="H83">
        <v>0</v>
      </c>
      <c r="I83" t="s">
        <v>1323</v>
      </c>
      <c r="L83">
        <v>0</v>
      </c>
      <c r="M83">
        <v>0</v>
      </c>
      <c r="N83">
        <v>0</v>
      </c>
      <c r="R83">
        <v>0</v>
      </c>
      <c r="S83">
        <v>0</v>
      </c>
      <c r="W83" t="s">
        <v>1060</v>
      </c>
      <c r="X83">
        <v>0</v>
      </c>
      <c r="Z83">
        <v>1</v>
      </c>
      <c r="AA83">
        <v>0</v>
      </c>
      <c r="AB83">
        <v>0</v>
      </c>
      <c r="AC83">
        <v>1.7670999999999999</v>
      </c>
      <c r="AD83" s="20">
        <v>40767</v>
      </c>
      <c r="AE83">
        <v>1.7</v>
      </c>
      <c r="AF83">
        <v>0</v>
      </c>
      <c r="AH83">
        <v>0</v>
      </c>
      <c r="AJ83">
        <v>0</v>
      </c>
      <c r="AL83">
        <v>0</v>
      </c>
      <c r="AM83">
        <v>0</v>
      </c>
      <c r="AN83">
        <v>16601001</v>
      </c>
      <c r="AO83">
        <v>0</v>
      </c>
      <c r="AP83">
        <v>1000</v>
      </c>
      <c r="AT83">
        <v>0</v>
      </c>
      <c r="AU83" t="s">
        <v>1059</v>
      </c>
      <c r="AW83" t="s">
        <v>1053</v>
      </c>
      <c r="AX83">
        <v>0</v>
      </c>
      <c r="AY83" s="20">
        <v>40781</v>
      </c>
      <c r="BA83" s="20">
        <v>40781</v>
      </c>
      <c r="BB83" t="s">
        <v>1058</v>
      </c>
      <c r="BD83">
        <v>0</v>
      </c>
      <c r="BF83" t="s">
        <v>1043</v>
      </c>
      <c r="BG83" t="s">
        <v>1042</v>
      </c>
      <c r="BH83">
        <v>0</v>
      </c>
      <c r="BI83">
        <v>1</v>
      </c>
      <c r="BJ83">
        <v>0</v>
      </c>
      <c r="BK83">
        <v>0</v>
      </c>
      <c r="BM83" t="s">
        <v>1042</v>
      </c>
      <c r="BN83">
        <v>0</v>
      </c>
      <c r="BR83" t="s">
        <v>1043</v>
      </c>
      <c r="BS83" t="s">
        <v>1043</v>
      </c>
      <c r="BT83" t="s">
        <v>1043</v>
      </c>
      <c r="BW83">
        <v>83</v>
      </c>
      <c r="CA83">
        <v>0</v>
      </c>
      <c r="CB83" t="s">
        <v>1057</v>
      </c>
      <c r="CE83" t="s">
        <v>1043</v>
      </c>
      <c r="CH83" t="s">
        <v>1043</v>
      </c>
      <c r="CN83" t="s">
        <v>1056</v>
      </c>
      <c r="CO83" t="s">
        <v>1043</v>
      </c>
      <c r="CP83">
        <v>1</v>
      </c>
      <c r="CQ83">
        <v>0</v>
      </c>
      <c r="CS83">
        <v>0</v>
      </c>
      <c r="CT83">
        <v>0</v>
      </c>
      <c r="CU83">
        <v>0</v>
      </c>
      <c r="CV83" t="s">
        <v>1045</v>
      </c>
      <c r="CW83">
        <v>0</v>
      </c>
      <c r="CX83">
        <v>0</v>
      </c>
      <c r="CY83">
        <v>0</v>
      </c>
      <c r="CZ83">
        <v>0</v>
      </c>
      <c r="DB83">
        <v>0</v>
      </c>
      <c r="DC83" t="s">
        <v>1043</v>
      </c>
      <c r="DF83" t="s">
        <v>1055</v>
      </c>
      <c r="DH83">
        <v>0</v>
      </c>
      <c r="DJ83">
        <v>0</v>
      </c>
      <c r="DK83" t="s">
        <v>1053</v>
      </c>
      <c r="DL83">
        <v>0</v>
      </c>
      <c r="DN83">
        <v>0</v>
      </c>
      <c r="DO83" t="s">
        <v>1042</v>
      </c>
      <c r="DP83">
        <v>0</v>
      </c>
      <c r="DQ83">
        <v>0</v>
      </c>
      <c r="DS83">
        <v>0</v>
      </c>
      <c r="DU83">
        <v>0</v>
      </c>
      <c r="DW83">
        <v>0</v>
      </c>
      <c r="DX83" t="s">
        <v>1043</v>
      </c>
      <c r="DY83">
        <v>0</v>
      </c>
      <c r="DZ83">
        <v>0</v>
      </c>
      <c r="EA83">
        <v>0</v>
      </c>
      <c r="ED83" t="s">
        <v>1045</v>
      </c>
      <c r="EE83">
        <v>0</v>
      </c>
      <c r="EF83">
        <v>0</v>
      </c>
      <c r="EQ83" t="s">
        <v>1044</v>
      </c>
      <c r="ES83" t="s">
        <v>1053</v>
      </c>
      <c r="ET83">
        <v>0</v>
      </c>
      <c r="EV83">
        <v>0</v>
      </c>
      <c r="EY83" t="s">
        <v>1052</v>
      </c>
      <c r="EZ83">
        <v>0</v>
      </c>
      <c r="FA83" t="s">
        <v>1043</v>
      </c>
      <c r="FB83">
        <v>0</v>
      </c>
      <c r="FC83">
        <v>0</v>
      </c>
      <c r="FE83" t="s">
        <v>1050</v>
      </c>
      <c r="FF83">
        <v>0</v>
      </c>
      <c r="FG83" t="s">
        <v>1050</v>
      </c>
      <c r="FJ83">
        <v>0</v>
      </c>
      <c r="FK83">
        <v>0</v>
      </c>
      <c r="FP83">
        <v>0</v>
      </c>
      <c r="FR83">
        <v>0</v>
      </c>
      <c r="FS83" t="s">
        <v>1043</v>
      </c>
      <c r="FX83" t="s">
        <v>1042</v>
      </c>
      <c r="FZ83" t="s">
        <v>1048</v>
      </c>
      <c r="GA83">
        <v>0</v>
      </c>
      <c r="GB83" t="s">
        <v>1042</v>
      </c>
      <c r="GE83">
        <v>0</v>
      </c>
      <c r="GG83">
        <v>0</v>
      </c>
      <c r="GN83">
        <v>0</v>
      </c>
      <c r="GO83" t="s">
        <v>1063</v>
      </c>
      <c r="GQ83">
        <v>0</v>
      </c>
      <c r="GU83">
        <v>0</v>
      </c>
      <c r="GY83" t="s">
        <v>1045</v>
      </c>
      <c r="HB83">
        <v>0</v>
      </c>
      <c r="HE83">
        <v>0</v>
      </c>
      <c r="HF83">
        <v>0</v>
      </c>
      <c r="HG83">
        <v>0</v>
      </c>
      <c r="HK83" t="s">
        <v>1042</v>
      </c>
      <c r="HM83" t="s">
        <v>1047</v>
      </c>
      <c r="HN83">
        <v>0</v>
      </c>
      <c r="HP83">
        <v>0</v>
      </c>
      <c r="HQ83">
        <v>0</v>
      </c>
      <c r="HR83" t="s">
        <v>1042</v>
      </c>
      <c r="HS83" t="s">
        <v>1043</v>
      </c>
      <c r="HT83">
        <v>0</v>
      </c>
      <c r="HU83">
        <v>0</v>
      </c>
      <c r="HW83">
        <v>0</v>
      </c>
      <c r="HX83">
        <v>0</v>
      </c>
      <c r="HY83">
        <v>0</v>
      </c>
      <c r="HZ83" t="s">
        <v>1045</v>
      </c>
      <c r="IA83">
        <v>0</v>
      </c>
      <c r="IB83" t="s">
        <v>1045</v>
      </c>
      <c r="ID83" t="s">
        <v>1045</v>
      </c>
      <c r="IF83">
        <v>0</v>
      </c>
      <c r="IG83" t="s">
        <v>1042</v>
      </c>
      <c r="II83" t="s">
        <v>1042</v>
      </c>
      <c r="IR83" t="s">
        <v>1045</v>
      </c>
      <c r="IT83">
        <v>0</v>
      </c>
      <c r="IY83" t="s">
        <v>1044</v>
      </c>
      <c r="IZ83" t="s">
        <v>1043</v>
      </c>
      <c r="JC83" t="s">
        <v>1043</v>
      </c>
      <c r="JE83">
        <v>0</v>
      </c>
      <c r="JF83">
        <v>0</v>
      </c>
      <c r="JI83" t="s">
        <v>1042</v>
      </c>
      <c r="JJ83">
        <v>0</v>
      </c>
      <c r="JK83">
        <v>0</v>
      </c>
      <c r="JL83">
        <v>0</v>
      </c>
      <c r="JM83">
        <v>0</v>
      </c>
      <c r="JQ83" t="s">
        <v>1043</v>
      </c>
      <c r="JT83">
        <v>0</v>
      </c>
      <c r="JU83" t="s">
        <v>1042</v>
      </c>
      <c r="JW83">
        <v>0</v>
      </c>
      <c r="KA83">
        <v>0</v>
      </c>
      <c r="KF83">
        <v>0</v>
      </c>
      <c r="KG83">
        <v>0</v>
      </c>
      <c r="KH83">
        <v>0</v>
      </c>
      <c r="KI83">
        <v>0</v>
      </c>
      <c r="KS83" t="s">
        <v>1073</v>
      </c>
      <c r="KT83">
        <v>0</v>
      </c>
      <c r="KU83">
        <v>0</v>
      </c>
      <c r="KV83">
        <v>0</v>
      </c>
      <c r="KX83">
        <v>0</v>
      </c>
      <c r="KZ83">
        <v>0</v>
      </c>
      <c r="LF83">
        <v>0</v>
      </c>
      <c r="LH83">
        <v>0</v>
      </c>
      <c r="LI83">
        <v>0</v>
      </c>
    </row>
    <row r="84" spans="1:321" x14ac:dyDescent="0.35">
      <c r="A84">
        <v>1</v>
      </c>
      <c r="B84">
        <v>12322</v>
      </c>
      <c r="C84" t="s">
        <v>1628</v>
      </c>
      <c r="D84" t="s">
        <v>1139</v>
      </c>
      <c r="E84" t="s">
        <v>587</v>
      </c>
      <c r="F84">
        <v>80</v>
      </c>
      <c r="G84">
        <v>9000</v>
      </c>
      <c r="H84">
        <v>0</v>
      </c>
      <c r="I84" t="s">
        <v>1323</v>
      </c>
      <c r="L84">
        <v>0</v>
      </c>
      <c r="M84">
        <v>0</v>
      </c>
      <c r="N84">
        <v>0</v>
      </c>
      <c r="R84">
        <v>0</v>
      </c>
      <c r="S84">
        <v>0</v>
      </c>
      <c r="W84" t="s">
        <v>1060</v>
      </c>
      <c r="X84">
        <v>0</v>
      </c>
      <c r="Z84">
        <v>1</v>
      </c>
      <c r="AA84">
        <v>0</v>
      </c>
      <c r="AB84">
        <v>0</v>
      </c>
      <c r="AC84">
        <v>1.7672000000000001</v>
      </c>
      <c r="AD84" t="s">
        <v>1042</v>
      </c>
      <c r="AE84">
        <v>0</v>
      </c>
      <c r="AF84">
        <v>0</v>
      </c>
      <c r="AH84">
        <v>0</v>
      </c>
      <c r="AJ84">
        <v>0</v>
      </c>
      <c r="AL84">
        <v>0</v>
      </c>
      <c r="AM84">
        <v>0</v>
      </c>
      <c r="AN84">
        <v>16601001</v>
      </c>
      <c r="AO84">
        <v>0</v>
      </c>
      <c r="AP84">
        <v>1000</v>
      </c>
      <c r="AT84">
        <v>0</v>
      </c>
      <c r="AU84" t="s">
        <v>1059</v>
      </c>
      <c r="AW84" t="s">
        <v>1053</v>
      </c>
      <c r="AX84">
        <v>0</v>
      </c>
      <c r="AY84" s="20">
        <v>40781</v>
      </c>
      <c r="BA84" s="20">
        <v>40781</v>
      </c>
      <c r="BB84" t="s">
        <v>1058</v>
      </c>
      <c r="BD84">
        <v>0</v>
      </c>
      <c r="BF84" t="s">
        <v>1043</v>
      </c>
      <c r="BG84" t="s">
        <v>1042</v>
      </c>
      <c r="BH84">
        <v>0</v>
      </c>
      <c r="BI84">
        <v>1</v>
      </c>
      <c r="BJ84">
        <v>0</v>
      </c>
      <c r="BK84">
        <v>0</v>
      </c>
      <c r="BM84" t="s">
        <v>1042</v>
      </c>
      <c r="BN84">
        <v>0</v>
      </c>
      <c r="BR84" t="s">
        <v>1043</v>
      </c>
      <c r="BS84" t="s">
        <v>1043</v>
      </c>
      <c r="BT84" t="s">
        <v>1043</v>
      </c>
      <c r="BW84">
        <v>83</v>
      </c>
      <c r="CA84">
        <v>0</v>
      </c>
      <c r="CB84" t="s">
        <v>1057</v>
      </c>
      <c r="CE84" t="s">
        <v>1043</v>
      </c>
      <c r="CH84" t="s">
        <v>1043</v>
      </c>
      <c r="CN84" t="s">
        <v>1056</v>
      </c>
      <c r="CO84" t="s">
        <v>1043</v>
      </c>
      <c r="CP84">
        <v>1</v>
      </c>
      <c r="CQ84">
        <v>0</v>
      </c>
      <c r="CS84">
        <v>0</v>
      </c>
      <c r="CT84">
        <v>0</v>
      </c>
      <c r="CU84">
        <v>0</v>
      </c>
      <c r="CV84" t="s">
        <v>1045</v>
      </c>
      <c r="CW84">
        <v>0</v>
      </c>
      <c r="CX84">
        <v>0</v>
      </c>
      <c r="CY84">
        <v>0</v>
      </c>
      <c r="CZ84">
        <v>0</v>
      </c>
      <c r="DB84">
        <v>0</v>
      </c>
      <c r="DC84" t="s">
        <v>1043</v>
      </c>
      <c r="DF84" t="s">
        <v>1055</v>
      </c>
      <c r="DH84">
        <v>0</v>
      </c>
      <c r="DJ84">
        <v>0</v>
      </c>
      <c r="DK84" t="s">
        <v>1053</v>
      </c>
      <c r="DL84">
        <v>0</v>
      </c>
      <c r="DN84">
        <v>0</v>
      </c>
      <c r="DO84" t="s">
        <v>1042</v>
      </c>
      <c r="DP84">
        <v>0</v>
      </c>
      <c r="DQ84">
        <v>0</v>
      </c>
      <c r="DS84">
        <v>0</v>
      </c>
      <c r="DU84">
        <v>0</v>
      </c>
      <c r="DW84">
        <v>0</v>
      </c>
      <c r="DX84" t="s">
        <v>1043</v>
      </c>
      <c r="DY84">
        <v>0</v>
      </c>
      <c r="DZ84">
        <v>0</v>
      </c>
      <c r="EA84">
        <v>0</v>
      </c>
      <c r="ED84" t="s">
        <v>1045</v>
      </c>
      <c r="EE84">
        <v>0</v>
      </c>
      <c r="EF84">
        <v>0</v>
      </c>
      <c r="EQ84" t="s">
        <v>1044</v>
      </c>
      <c r="ES84" t="s">
        <v>1053</v>
      </c>
      <c r="ET84">
        <v>0</v>
      </c>
      <c r="EV84">
        <v>0</v>
      </c>
      <c r="EY84" t="s">
        <v>1052</v>
      </c>
      <c r="EZ84">
        <v>0</v>
      </c>
      <c r="FA84" t="s">
        <v>1043</v>
      </c>
      <c r="FB84">
        <v>0</v>
      </c>
      <c r="FC84">
        <v>0</v>
      </c>
      <c r="FE84" t="s">
        <v>1050</v>
      </c>
      <c r="FF84">
        <v>0</v>
      </c>
      <c r="FG84" t="s">
        <v>1050</v>
      </c>
      <c r="FJ84">
        <v>0</v>
      </c>
      <c r="FK84">
        <v>0</v>
      </c>
      <c r="FP84">
        <v>0</v>
      </c>
      <c r="FR84">
        <v>0</v>
      </c>
      <c r="FS84" t="s">
        <v>1043</v>
      </c>
      <c r="FX84" t="s">
        <v>1042</v>
      </c>
      <c r="FZ84" t="s">
        <v>1048</v>
      </c>
      <c r="GA84">
        <v>0</v>
      </c>
      <c r="GB84" t="s">
        <v>1042</v>
      </c>
      <c r="GE84">
        <v>0</v>
      </c>
      <c r="GG84">
        <v>0</v>
      </c>
      <c r="GN84">
        <v>0</v>
      </c>
      <c r="GO84" t="s">
        <v>1063</v>
      </c>
      <c r="GQ84">
        <v>0</v>
      </c>
      <c r="GU84">
        <v>0</v>
      </c>
      <c r="GY84" t="s">
        <v>1045</v>
      </c>
      <c r="HB84">
        <v>0</v>
      </c>
      <c r="HE84">
        <v>0</v>
      </c>
      <c r="HF84">
        <v>0</v>
      </c>
      <c r="HG84">
        <v>0</v>
      </c>
      <c r="HK84" t="s">
        <v>1042</v>
      </c>
      <c r="HM84" t="s">
        <v>1047</v>
      </c>
      <c r="HN84">
        <v>0</v>
      </c>
      <c r="HP84">
        <v>0</v>
      </c>
      <c r="HQ84">
        <v>0</v>
      </c>
      <c r="HR84" t="s">
        <v>1042</v>
      </c>
      <c r="HS84" t="s">
        <v>1043</v>
      </c>
      <c r="HT84">
        <v>0</v>
      </c>
      <c r="HU84">
        <v>0</v>
      </c>
      <c r="HW84">
        <v>0</v>
      </c>
      <c r="HX84">
        <v>0</v>
      </c>
      <c r="HY84">
        <v>0</v>
      </c>
      <c r="HZ84" t="s">
        <v>1045</v>
      </c>
      <c r="IA84">
        <v>0</v>
      </c>
      <c r="IB84" t="s">
        <v>1045</v>
      </c>
      <c r="ID84" t="s">
        <v>1045</v>
      </c>
      <c r="IF84">
        <v>0</v>
      </c>
      <c r="IG84" t="s">
        <v>1042</v>
      </c>
      <c r="II84" t="s">
        <v>1042</v>
      </c>
      <c r="IR84" t="s">
        <v>1045</v>
      </c>
      <c r="IT84">
        <v>0</v>
      </c>
      <c r="IY84" t="s">
        <v>1044</v>
      </c>
      <c r="IZ84" t="s">
        <v>1043</v>
      </c>
      <c r="JC84" t="s">
        <v>1043</v>
      </c>
      <c r="JE84">
        <v>0</v>
      </c>
      <c r="JF84">
        <v>0</v>
      </c>
      <c r="JI84" t="s">
        <v>1042</v>
      </c>
      <c r="JJ84">
        <v>0</v>
      </c>
      <c r="JK84">
        <v>0</v>
      </c>
      <c r="JL84">
        <v>0</v>
      </c>
      <c r="JM84">
        <v>0</v>
      </c>
      <c r="JQ84" t="s">
        <v>1043</v>
      </c>
      <c r="JT84">
        <v>0</v>
      </c>
      <c r="JU84" t="s">
        <v>1042</v>
      </c>
      <c r="JW84">
        <v>0</v>
      </c>
      <c r="KA84">
        <v>0</v>
      </c>
      <c r="KF84">
        <v>0</v>
      </c>
      <c r="KG84">
        <v>0</v>
      </c>
      <c r="KH84">
        <v>0</v>
      </c>
      <c r="KI84">
        <v>0</v>
      </c>
      <c r="KS84" t="s">
        <v>1073</v>
      </c>
      <c r="KT84">
        <v>0</v>
      </c>
      <c r="KU84">
        <v>0</v>
      </c>
      <c r="KV84">
        <v>0</v>
      </c>
      <c r="KX84">
        <v>0</v>
      </c>
      <c r="KZ84">
        <v>0</v>
      </c>
      <c r="LF84">
        <v>0</v>
      </c>
      <c r="LH84">
        <v>0</v>
      </c>
      <c r="LI84">
        <v>0</v>
      </c>
    </row>
    <row r="85" spans="1:321" x14ac:dyDescent="0.35">
      <c r="A85">
        <v>1</v>
      </c>
      <c r="B85">
        <v>12323</v>
      </c>
      <c r="C85" t="s">
        <v>1627</v>
      </c>
      <c r="D85" t="s">
        <v>1139</v>
      </c>
      <c r="E85" t="s">
        <v>85</v>
      </c>
      <c r="F85">
        <v>80</v>
      </c>
      <c r="G85">
        <v>9000</v>
      </c>
      <c r="H85">
        <v>0</v>
      </c>
      <c r="I85" t="s">
        <v>1323</v>
      </c>
      <c r="L85">
        <v>0</v>
      </c>
      <c r="M85">
        <v>0</v>
      </c>
      <c r="N85">
        <v>0</v>
      </c>
      <c r="R85">
        <v>0</v>
      </c>
      <c r="S85">
        <v>0</v>
      </c>
      <c r="W85" t="s">
        <v>1060</v>
      </c>
      <c r="X85">
        <v>0</v>
      </c>
      <c r="Z85">
        <v>1</v>
      </c>
      <c r="AA85">
        <v>0</v>
      </c>
      <c r="AB85">
        <v>0</v>
      </c>
      <c r="AC85">
        <v>1.7946</v>
      </c>
      <c r="AD85" s="20">
        <v>40781</v>
      </c>
      <c r="AE85">
        <v>1.7</v>
      </c>
      <c r="AF85">
        <v>0</v>
      </c>
      <c r="AH85">
        <v>0</v>
      </c>
      <c r="AJ85">
        <v>0</v>
      </c>
      <c r="AL85">
        <v>0</v>
      </c>
      <c r="AM85">
        <v>0</v>
      </c>
      <c r="AN85">
        <v>16601001</v>
      </c>
      <c r="AO85">
        <v>0</v>
      </c>
      <c r="AP85">
        <v>1000</v>
      </c>
      <c r="AT85">
        <v>0</v>
      </c>
      <c r="AU85" t="s">
        <v>1059</v>
      </c>
      <c r="AW85" t="s">
        <v>1053</v>
      </c>
      <c r="AX85">
        <v>0</v>
      </c>
      <c r="AY85" s="20">
        <v>40781</v>
      </c>
      <c r="BA85" s="20">
        <v>40781</v>
      </c>
      <c r="BB85" t="s">
        <v>1058</v>
      </c>
      <c r="BD85">
        <v>0</v>
      </c>
      <c r="BF85" t="s">
        <v>1043</v>
      </c>
      <c r="BG85" t="s">
        <v>1042</v>
      </c>
      <c r="BH85">
        <v>0</v>
      </c>
      <c r="BI85">
        <v>1</v>
      </c>
      <c r="BJ85">
        <v>0</v>
      </c>
      <c r="BK85">
        <v>0</v>
      </c>
      <c r="BM85" t="s">
        <v>1042</v>
      </c>
      <c r="BN85">
        <v>0</v>
      </c>
      <c r="BR85" t="s">
        <v>1043</v>
      </c>
      <c r="BS85" t="s">
        <v>1043</v>
      </c>
      <c r="BT85" t="s">
        <v>1043</v>
      </c>
      <c r="BW85">
        <v>83</v>
      </c>
      <c r="CA85">
        <v>0</v>
      </c>
      <c r="CB85" t="s">
        <v>1057</v>
      </c>
      <c r="CE85" t="s">
        <v>1043</v>
      </c>
      <c r="CH85" t="s">
        <v>1043</v>
      </c>
      <c r="CN85" t="s">
        <v>1056</v>
      </c>
      <c r="CO85" t="s">
        <v>1043</v>
      </c>
      <c r="CP85">
        <v>1</v>
      </c>
      <c r="CQ85">
        <v>0</v>
      </c>
      <c r="CS85">
        <v>0</v>
      </c>
      <c r="CT85">
        <v>0</v>
      </c>
      <c r="CU85">
        <v>0</v>
      </c>
      <c r="CV85" t="s">
        <v>1045</v>
      </c>
      <c r="CW85">
        <v>0</v>
      </c>
      <c r="CX85">
        <v>0</v>
      </c>
      <c r="CY85">
        <v>0</v>
      </c>
      <c r="CZ85">
        <v>0</v>
      </c>
      <c r="DB85">
        <v>0</v>
      </c>
      <c r="DC85" t="s">
        <v>1043</v>
      </c>
      <c r="DF85" t="s">
        <v>1055</v>
      </c>
      <c r="DH85">
        <v>0</v>
      </c>
      <c r="DJ85">
        <v>0</v>
      </c>
      <c r="DK85" t="s">
        <v>1053</v>
      </c>
      <c r="DL85">
        <v>0</v>
      </c>
      <c r="DN85">
        <v>0</v>
      </c>
      <c r="DO85" t="s">
        <v>1042</v>
      </c>
      <c r="DP85">
        <v>0</v>
      </c>
      <c r="DQ85">
        <v>0</v>
      </c>
      <c r="DS85">
        <v>0</v>
      </c>
      <c r="DU85">
        <v>0</v>
      </c>
      <c r="DW85">
        <v>0</v>
      </c>
      <c r="DX85" t="s">
        <v>1043</v>
      </c>
      <c r="DY85">
        <v>0</v>
      </c>
      <c r="DZ85">
        <v>0</v>
      </c>
      <c r="EA85">
        <v>0</v>
      </c>
      <c r="ED85" t="s">
        <v>1045</v>
      </c>
      <c r="EE85">
        <v>0</v>
      </c>
      <c r="EF85">
        <v>0</v>
      </c>
      <c r="EQ85" t="s">
        <v>1044</v>
      </c>
      <c r="ES85" t="s">
        <v>1053</v>
      </c>
      <c r="ET85">
        <v>0</v>
      </c>
      <c r="EV85">
        <v>0</v>
      </c>
      <c r="EY85" t="s">
        <v>1052</v>
      </c>
      <c r="EZ85">
        <v>0</v>
      </c>
      <c r="FA85" t="s">
        <v>1043</v>
      </c>
      <c r="FB85">
        <v>0</v>
      </c>
      <c r="FC85">
        <v>0</v>
      </c>
      <c r="FE85" t="s">
        <v>1050</v>
      </c>
      <c r="FF85">
        <v>0</v>
      </c>
      <c r="FG85" t="s">
        <v>1050</v>
      </c>
      <c r="FJ85">
        <v>0</v>
      </c>
      <c r="FK85">
        <v>0</v>
      </c>
      <c r="FP85">
        <v>0</v>
      </c>
      <c r="FR85">
        <v>0</v>
      </c>
      <c r="FS85" t="s">
        <v>1043</v>
      </c>
      <c r="FX85" t="s">
        <v>1042</v>
      </c>
      <c r="FZ85" t="s">
        <v>1048</v>
      </c>
      <c r="GA85">
        <v>0</v>
      </c>
      <c r="GB85" t="s">
        <v>1042</v>
      </c>
      <c r="GE85">
        <v>0</v>
      </c>
      <c r="GG85">
        <v>0</v>
      </c>
      <c r="GN85">
        <v>0</v>
      </c>
      <c r="GO85" t="s">
        <v>1063</v>
      </c>
      <c r="GQ85">
        <v>0</v>
      </c>
      <c r="GU85">
        <v>0</v>
      </c>
      <c r="GY85" t="s">
        <v>1045</v>
      </c>
      <c r="HB85">
        <v>0</v>
      </c>
      <c r="HE85">
        <v>0</v>
      </c>
      <c r="HF85">
        <v>0</v>
      </c>
      <c r="HG85">
        <v>0</v>
      </c>
      <c r="HK85" t="s">
        <v>1042</v>
      </c>
      <c r="HM85" t="s">
        <v>1047</v>
      </c>
      <c r="HN85">
        <v>0</v>
      </c>
      <c r="HP85">
        <v>0</v>
      </c>
      <c r="HQ85">
        <v>0</v>
      </c>
      <c r="HR85" t="s">
        <v>1042</v>
      </c>
      <c r="HS85" t="s">
        <v>1043</v>
      </c>
      <c r="HT85">
        <v>0</v>
      </c>
      <c r="HU85">
        <v>0</v>
      </c>
      <c r="HW85">
        <v>0</v>
      </c>
      <c r="HX85">
        <v>0</v>
      </c>
      <c r="HY85">
        <v>0</v>
      </c>
      <c r="HZ85" t="s">
        <v>1045</v>
      </c>
      <c r="IA85">
        <v>0</v>
      </c>
      <c r="IB85" t="s">
        <v>1045</v>
      </c>
      <c r="ID85" t="s">
        <v>1045</v>
      </c>
      <c r="IF85">
        <v>0</v>
      </c>
      <c r="IG85" t="s">
        <v>1042</v>
      </c>
      <c r="II85" t="s">
        <v>1042</v>
      </c>
      <c r="IR85" t="s">
        <v>1045</v>
      </c>
      <c r="IT85">
        <v>0</v>
      </c>
      <c r="IY85" t="s">
        <v>1044</v>
      </c>
      <c r="IZ85" t="s">
        <v>1043</v>
      </c>
      <c r="JC85" t="s">
        <v>1043</v>
      </c>
      <c r="JE85">
        <v>0</v>
      </c>
      <c r="JF85">
        <v>0</v>
      </c>
      <c r="JI85" t="s">
        <v>1042</v>
      </c>
      <c r="JJ85">
        <v>0</v>
      </c>
      <c r="JK85">
        <v>0</v>
      </c>
      <c r="JL85">
        <v>0</v>
      </c>
      <c r="JM85">
        <v>0</v>
      </c>
      <c r="JQ85" t="s">
        <v>1043</v>
      </c>
      <c r="JT85">
        <v>0</v>
      </c>
      <c r="JU85" t="s">
        <v>1042</v>
      </c>
      <c r="JW85">
        <v>0</v>
      </c>
      <c r="KA85">
        <v>0</v>
      </c>
      <c r="KF85">
        <v>0</v>
      </c>
      <c r="KG85">
        <v>0</v>
      </c>
      <c r="KH85">
        <v>0</v>
      </c>
      <c r="KI85">
        <v>0</v>
      </c>
      <c r="KS85" t="s">
        <v>1073</v>
      </c>
      <c r="KT85">
        <v>0</v>
      </c>
      <c r="KU85">
        <v>0</v>
      </c>
      <c r="KV85">
        <v>0</v>
      </c>
      <c r="KX85">
        <v>0</v>
      </c>
      <c r="KZ85">
        <v>0</v>
      </c>
      <c r="LF85">
        <v>0</v>
      </c>
      <c r="LH85">
        <v>0</v>
      </c>
      <c r="LI85">
        <v>0</v>
      </c>
    </row>
    <row r="86" spans="1:321" x14ac:dyDescent="0.35">
      <c r="A86">
        <v>1</v>
      </c>
      <c r="B86">
        <v>12324</v>
      </c>
      <c r="C86" t="s">
        <v>1626</v>
      </c>
      <c r="D86" t="s">
        <v>1139</v>
      </c>
      <c r="E86" t="s">
        <v>587</v>
      </c>
      <c r="F86">
        <v>80</v>
      </c>
      <c r="G86">
        <v>9000</v>
      </c>
      <c r="H86">
        <v>0</v>
      </c>
      <c r="I86" t="s">
        <v>1323</v>
      </c>
      <c r="L86">
        <v>0</v>
      </c>
      <c r="M86">
        <v>0</v>
      </c>
      <c r="N86">
        <v>0</v>
      </c>
      <c r="R86">
        <v>0</v>
      </c>
      <c r="S86">
        <v>0</v>
      </c>
      <c r="W86" t="s">
        <v>1060</v>
      </c>
      <c r="X86">
        <v>0</v>
      </c>
      <c r="Z86">
        <v>1</v>
      </c>
      <c r="AA86">
        <v>0</v>
      </c>
      <c r="AB86">
        <v>0</v>
      </c>
      <c r="AC86">
        <v>1.0913999999999999</v>
      </c>
      <c r="AD86" s="20">
        <v>40781</v>
      </c>
      <c r="AE86">
        <v>1.05</v>
      </c>
      <c r="AF86">
        <v>0</v>
      </c>
      <c r="AH86">
        <v>0</v>
      </c>
      <c r="AJ86">
        <v>0</v>
      </c>
      <c r="AL86">
        <v>0</v>
      </c>
      <c r="AM86">
        <v>0</v>
      </c>
      <c r="AN86">
        <v>16601001</v>
      </c>
      <c r="AO86">
        <v>0</v>
      </c>
      <c r="AP86">
        <v>1000</v>
      </c>
      <c r="AT86">
        <v>0</v>
      </c>
      <c r="AU86" t="s">
        <v>1059</v>
      </c>
      <c r="AW86" t="s">
        <v>1053</v>
      </c>
      <c r="AX86">
        <v>0</v>
      </c>
      <c r="AY86" s="20">
        <v>40781</v>
      </c>
      <c r="BA86" s="20">
        <v>40781</v>
      </c>
      <c r="BB86" t="s">
        <v>1058</v>
      </c>
      <c r="BD86">
        <v>0</v>
      </c>
      <c r="BF86" t="s">
        <v>1043</v>
      </c>
      <c r="BG86" t="s">
        <v>1042</v>
      </c>
      <c r="BH86">
        <v>0</v>
      </c>
      <c r="BI86">
        <v>1</v>
      </c>
      <c r="BJ86">
        <v>0</v>
      </c>
      <c r="BK86">
        <v>0</v>
      </c>
      <c r="BM86" t="s">
        <v>1042</v>
      </c>
      <c r="BN86">
        <v>0</v>
      </c>
      <c r="BR86" t="s">
        <v>1043</v>
      </c>
      <c r="BS86" t="s">
        <v>1043</v>
      </c>
      <c r="BT86" t="s">
        <v>1043</v>
      </c>
      <c r="BW86">
        <v>83</v>
      </c>
      <c r="CA86">
        <v>0</v>
      </c>
      <c r="CB86" t="s">
        <v>1057</v>
      </c>
      <c r="CE86" t="s">
        <v>1043</v>
      </c>
      <c r="CH86" t="s">
        <v>1043</v>
      </c>
      <c r="CN86" t="s">
        <v>1056</v>
      </c>
      <c r="CO86" t="s">
        <v>1043</v>
      </c>
      <c r="CP86">
        <v>1</v>
      </c>
      <c r="CQ86">
        <v>0</v>
      </c>
      <c r="CS86">
        <v>0</v>
      </c>
      <c r="CT86">
        <v>0</v>
      </c>
      <c r="CU86">
        <v>0</v>
      </c>
      <c r="CV86" t="s">
        <v>1045</v>
      </c>
      <c r="CW86">
        <v>0</v>
      </c>
      <c r="CX86">
        <v>0</v>
      </c>
      <c r="CY86">
        <v>0</v>
      </c>
      <c r="CZ86">
        <v>0</v>
      </c>
      <c r="DB86">
        <v>0</v>
      </c>
      <c r="DC86" t="s">
        <v>1043</v>
      </c>
      <c r="DF86" t="s">
        <v>1055</v>
      </c>
      <c r="DH86">
        <v>0</v>
      </c>
      <c r="DJ86">
        <v>0</v>
      </c>
      <c r="DK86" t="s">
        <v>1053</v>
      </c>
      <c r="DL86">
        <v>0</v>
      </c>
      <c r="DN86">
        <v>0</v>
      </c>
      <c r="DO86" t="s">
        <v>1042</v>
      </c>
      <c r="DP86">
        <v>0</v>
      </c>
      <c r="DQ86">
        <v>0</v>
      </c>
      <c r="DS86">
        <v>0</v>
      </c>
      <c r="DU86">
        <v>0</v>
      </c>
      <c r="DW86">
        <v>0</v>
      </c>
      <c r="DX86" t="s">
        <v>1043</v>
      </c>
      <c r="DY86">
        <v>0</v>
      </c>
      <c r="DZ86">
        <v>0</v>
      </c>
      <c r="EA86">
        <v>0</v>
      </c>
      <c r="ED86" t="s">
        <v>1045</v>
      </c>
      <c r="EE86">
        <v>0</v>
      </c>
      <c r="EF86">
        <v>0</v>
      </c>
      <c r="EQ86" t="s">
        <v>1044</v>
      </c>
      <c r="ES86" t="s">
        <v>1053</v>
      </c>
      <c r="ET86">
        <v>0</v>
      </c>
      <c r="EV86">
        <v>0</v>
      </c>
      <c r="EY86" t="s">
        <v>1052</v>
      </c>
      <c r="EZ86">
        <v>0</v>
      </c>
      <c r="FA86" t="s">
        <v>1043</v>
      </c>
      <c r="FB86">
        <v>0</v>
      </c>
      <c r="FC86">
        <v>0</v>
      </c>
      <c r="FE86" t="s">
        <v>1050</v>
      </c>
      <c r="FF86">
        <v>0</v>
      </c>
      <c r="FG86" t="s">
        <v>1050</v>
      </c>
      <c r="FJ86">
        <v>0</v>
      </c>
      <c r="FK86">
        <v>0</v>
      </c>
      <c r="FP86">
        <v>0</v>
      </c>
      <c r="FR86">
        <v>0</v>
      </c>
      <c r="FS86" t="s">
        <v>1043</v>
      </c>
      <c r="FX86" t="s">
        <v>1042</v>
      </c>
      <c r="FZ86" t="s">
        <v>1048</v>
      </c>
      <c r="GA86">
        <v>0</v>
      </c>
      <c r="GB86" t="s">
        <v>1042</v>
      </c>
      <c r="GE86">
        <v>0</v>
      </c>
      <c r="GG86">
        <v>0</v>
      </c>
      <c r="GN86">
        <v>0</v>
      </c>
      <c r="GO86" t="s">
        <v>1063</v>
      </c>
      <c r="GQ86">
        <v>0</v>
      </c>
      <c r="GU86">
        <v>0</v>
      </c>
      <c r="GY86" t="s">
        <v>1045</v>
      </c>
      <c r="HB86">
        <v>0</v>
      </c>
      <c r="HE86">
        <v>0</v>
      </c>
      <c r="HF86">
        <v>0</v>
      </c>
      <c r="HG86">
        <v>0</v>
      </c>
      <c r="HK86" t="s">
        <v>1042</v>
      </c>
      <c r="HM86" t="s">
        <v>1047</v>
      </c>
      <c r="HN86">
        <v>0</v>
      </c>
      <c r="HP86">
        <v>0</v>
      </c>
      <c r="HQ86">
        <v>0</v>
      </c>
      <c r="HR86" t="s">
        <v>1042</v>
      </c>
      <c r="HS86" t="s">
        <v>1043</v>
      </c>
      <c r="HT86">
        <v>0</v>
      </c>
      <c r="HU86">
        <v>0</v>
      </c>
      <c r="HW86">
        <v>0</v>
      </c>
      <c r="HX86">
        <v>0</v>
      </c>
      <c r="HY86">
        <v>0</v>
      </c>
      <c r="HZ86" t="s">
        <v>1045</v>
      </c>
      <c r="IA86">
        <v>0</v>
      </c>
      <c r="IB86" t="s">
        <v>1045</v>
      </c>
      <c r="ID86" t="s">
        <v>1045</v>
      </c>
      <c r="IF86">
        <v>0</v>
      </c>
      <c r="IG86" t="s">
        <v>1042</v>
      </c>
      <c r="II86" t="s">
        <v>1042</v>
      </c>
      <c r="IR86" t="s">
        <v>1045</v>
      </c>
      <c r="IT86">
        <v>0</v>
      </c>
      <c r="IY86" t="s">
        <v>1044</v>
      </c>
      <c r="IZ86" t="s">
        <v>1043</v>
      </c>
      <c r="JC86" t="s">
        <v>1043</v>
      </c>
      <c r="JE86">
        <v>0</v>
      </c>
      <c r="JF86">
        <v>0</v>
      </c>
      <c r="JI86" t="s">
        <v>1042</v>
      </c>
      <c r="JJ86">
        <v>0</v>
      </c>
      <c r="JK86">
        <v>0</v>
      </c>
      <c r="JL86">
        <v>0</v>
      </c>
      <c r="JM86">
        <v>0</v>
      </c>
      <c r="JQ86" t="s">
        <v>1043</v>
      </c>
      <c r="JT86">
        <v>0</v>
      </c>
      <c r="JU86" t="s">
        <v>1042</v>
      </c>
      <c r="JW86">
        <v>0</v>
      </c>
      <c r="KA86">
        <v>0</v>
      </c>
      <c r="KF86">
        <v>0</v>
      </c>
      <c r="KG86">
        <v>0</v>
      </c>
      <c r="KH86">
        <v>0</v>
      </c>
      <c r="KI86">
        <v>0</v>
      </c>
      <c r="KS86" t="s">
        <v>1073</v>
      </c>
      <c r="KT86">
        <v>0</v>
      </c>
      <c r="KU86">
        <v>0</v>
      </c>
      <c r="KV86">
        <v>0</v>
      </c>
      <c r="KX86">
        <v>0</v>
      </c>
      <c r="KZ86">
        <v>0</v>
      </c>
      <c r="LF86">
        <v>0</v>
      </c>
      <c r="LH86">
        <v>0</v>
      </c>
      <c r="LI86">
        <v>0</v>
      </c>
    </row>
    <row r="87" spans="1:321" x14ac:dyDescent="0.35">
      <c r="A87">
        <v>1</v>
      </c>
      <c r="B87">
        <v>12325</v>
      </c>
      <c r="C87" t="s">
        <v>1625</v>
      </c>
      <c r="D87" t="s">
        <v>1139</v>
      </c>
      <c r="E87" t="s">
        <v>85</v>
      </c>
      <c r="F87">
        <v>80</v>
      </c>
      <c r="G87">
        <v>9000</v>
      </c>
      <c r="H87">
        <v>0</v>
      </c>
      <c r="I87" t="s">
        <v>1323</v>
      </c>
      <c r="L87">
        <v>0</v>
      </c>
      <c r="M87">
        <v>0</v>
      </c>
      <c r="N87">
        <v>0</v>
      </c>
      <c r="R87">
        <v>0</v>
      </c>
      <c r="S87">
        <v>0</v>
      </c>
      <c r="W87" t="s">
        <v>1060</v>
      </c>
      <c r="X87">
        <v>0</v>
      </c>
      <c r="Z87">
        <v>1</v>
      </c>
      <c r="AA87">
        <v>0</v>
      </c>
      <c r="AB87">
        <v>0</v>
      </c>
      <c r="AC87">
        <v>1.7765</v>
      </c>
      <c r="AD87" s="20">
        <v>40771</v>
      </c>
      <c r="AE87">
        <v>1.7</v>
      </c>
      <c r="AF87">
        <v>0</v>
      </c>
      <c r="AH87">
        <v>0</v>
      </c>
      <c r="AJ87">
        <v>0</v>
      </c>
      <c r="AL87">
        <v>0</v>
      </c>
      <c r="AM87">
        <v>0</v>
      </c>
      <c r="AN87">
        <v>16601001</v>
      </c>
      <c r="AO87">
        <v>0</v>
      </c>
      <c r="AP87">
        <v>1000</v>
      </c>
      <c r="AT87">
        <v>0</v>
      </c>
      <c r="AU87" t="s">
        <v>1059</v>
      </c>
      <c r="AW87" t="s">
        <v>1053</v>
      </c>
      <c r="AX87">
        <v>0</v>
      </c>
      <c r="AY87" s="20">
        <v>40781</v>
      </c>
      <c r="BA87" s="20">
        <v>40781</v>
      </c>
      <c r="BB87" t="s">
        <v>1058</v>
      </c>
      <c r="BD87">
        <v>0</v>
      </c>
      <c r="BF87" t="s">
        <v>1043</v>
      </c>
      <c r="BG87" t="s">
        <v>1042</v>
      </c>
      <c r="BH87">
        <v>0</v>
      </c>
      <c r="BI87">
        <v>1</v>
      </c>
      <c r="BJ87">
        <v>0</v>
      </c>
      <c r="BK87">
        <v>0</v>
      </c>
      <c r="BM87" t="s">
        <v>1042</v>
      </c>
      <c r="BN87">
        <v>0</v>
      </c>
      <c r="BR87" t="s">
        <v>1043</v>
      </c>
      <c r="BS87" t="s">
        <v>1043</v>
      </c>
      <c r="BT87" t="s">
        <v>1043</v>
      </c>
      <c r="BW87">
        <v>83</v>
      </c>
      <c r="CA87">
        <v>0</v>
      </c>
      <c r="CB87" t="s">
        <v>1057</v>
      </c>
      <c r="CE87" t="s">
        <v>1043</v>
      </c>
      <c r="CH87" t="s">
        <v>1043</v>
      </c>
      <c r="CN87" t="s">
        <v>1056</v>
      </c>
      <c r="CO87" t="s">
        <v>1043</v>
      </c>
      <c r="CP87">
        <v>1</v>
      </c>
      <c r="CQ87">
        <v>0</v>
      </c>
      <c r="CS87">
        <v>0</v>
      </c>
      <c r="CT87">
        <v>0</v>
      </c>
      <c r="CU87">
        <v>0</v>
      </c>
      <c r="CV87" t="s">
        <v>1045</v>
      </c>
      <c r="CW87">
        <v>0</v>
      </c>
      <c r="CX87">
        <v>0</v>
      </c>
      <c r="CY87">
        <v>0</v>
      </c>
      <c r="CZ87">
        <v>0</v>
      </c>
      <c r="DB87">
        <v>0</v>
      </c>
      <c r="DC87" t="s">
        <v>1043</v>
      </c>
      <c r="DF87" t="s">
        <v>1055</v>
      </c>
      <c r="DH87">
        <v>0</v>
      </c>
      <c r="DJ87">
        <v>0</v>
      </c>
      <c r="DK87" t="s">
        <v>1053</v>
      </c>
      <c r="DL87">
        <v>0</v>
      </c>
      <c r="DN87">
        <v>0</v>
      </c>
      <c r="DO87" t="s">
        <v>1042</v>
      </c>
      <c r="DP87">
        <v>0</v>
      </c>
      <c r="DQ87">
        <v>0</v>
      </c>
      <c r="DS87">
        <v>0</v>
      </c>
      <c r="DU87">
        <v>0</v>
      </c>
      <c r="DW87">
        <v>0</v>
      </c>
      <c r="DX87" t="s">
        <v>1043</v>
      </c>
      <c r="DY87">
        <v>0</v>
      </c>
      <c r="DZ87">
        <v>0</v>
      </c>
      <c r="EA87">
        <v>0</v>
      </c>
      <c r="ED87" t="s">
        <v>1045</v>
      </c>
      <c r="EE87">
        <v>0</v>
      </c>
      <c r="EF87">
        <v>0</v>
      </c>
      <c r="EQ87" t="s">
        <v>1044</v>
      </c>
      <c r="ES87" t="s">
        <v>1053</v>
      </c>
      <c r="ET87">
        <v>0</v>
      </c>
      <c r="EV87">
        <v>0</v>
      </c>
      <c r="EY87" t="s">
        <v>1052</v>
      </c>
      <c r="EZ87">
        <v>0</v>
      </c>
      <c r="FA87" t="s">
        <v>1043</v>
      </c>
      <c r="FB87">
        <v>0</v>
      </c>
      <c r="FC87">
        <v>0</v>
      </c>
      <c r="FE87" t="s">
        <v>1050</v>
      </c>
      <c r="FF87">
        <v>0</v>
      </c>
      <c r="FG87" t="s">
        <v>1050</v>
      </c>
      <c r="FJ87">
        <v>0</v>
      </c>
      <c r="FK87">
        <v>0</v>
      </c>
      <c r="FP87">
        <v>0</v>
      </c>
      <c r="FR87">
        <v>0</v>
      </c>
      <c r="FS87" t="s">
        <v>1043</v>
      </c>
      <c r="FX87" t="s">
        <v>1042</v>
      </c>
      <c r="FZ87" t="s">
        <v>1048</v>
      </c>
      <c r="GA87">
        <v>0</v>
      </c>
      <c r="GB87" t="s">
        <v>1042</v>
      </c>
      <c r="GE87">
        <v>0</v>
      </c>
      <c r="GG87">
        <v>0</v>
      </c>
      <c r="GN87">
        <v>0</v>
      </c>
      <c r="GO87" t="s">
        <v>1063</v>
      </c>
      <c r="GQ87">
        <v>0</v>
      </c>
      <c r="GU87">
        <v>0</v>
      </c>
      <c r="GY87" t="s">
        <v>1045</v>
      </c>
      <c r="HB87">
        <v>0</v>
      </c>
      <c r="HE87">
        <v>0</v>
      </c>
      <c r="HF87">
        <v>0</v>
      </c>
      <c r="HG87">
        <v>0</v>
      </c>
      <c r="HK87" t="s">
        <v>1042</v>
      </c>
      <c r="HM87" t="s">
        <v>1047</v>
      </c>
      <c r="HN87">
        <v>0</v>
      </c>
      <c r="HP87">
        <v>0</v>
      </c>
      <c r="HQ87">
        <v>0</v>
      </c>
      <c r="HR87" t="s">
        <v>1042</v>
      </c>
      <c r="HS87" t="s">
        <v>1043</v>
      </c>
      <c r="HT87">
        <v>0</v>
      </c>
      <c r="HU87">
        <v>0</v>
      </c>
      <c r="HW87">
        <v>0</v>
      </c>
      <c r="HX87">
        <v>0</v>
      </c>
      <c r="HY87">
        <v>0</v>
      </c>
      <c r="HZ87" t="s">
        <v>1045</v>
      </c>
      <c r="IA87">
        <v>0</v>
      </c>
      <c r="IB87" t="s">
        <v>1045</v>
      </c>
      <c r="ID87" t="s">
        <v>1045</v>
      </c>
      <c r="IF87">
        <v>0</v>
      </c>
      <c r="IG87" t="s">
        <v>1042</v>
      </c>
      <c r="II87" t="s">
        <v>1042</v>
      </c>
      <c r="IR87" t="s">
        <v>1045</v>
      </c>
      <c r="IT87">
        <v>0</v>
      </c>
      <c r="IY87" t="s">
        <v>1044</v>
      </c>
      <c r="IZ87" t="s">
        <v>1043</v>
      </c>
      <c r="JC87" t="s">
        <v>1043</v>
      </c>
      <c r="JE87">
        <v>0</v>
      </c>
      <c r="JF87">
        <v>0</v>
      </c>
      <c r="JI87" t="s">
        <v>1042</v>
      </c>
      <c r="JJ87">
        <v>0</v>
      </c>
      <c r="JK87">
        <v>0</v>
      </c>
      <c r="JL87">
        <v>0</v>
      </c>
      <c r="JM87">
        <v>0</v>
      </c>
      <c r="JQ87" t="s">
        <v>1043</v>
      </c>
      <c r="JT87">
        <v>0</v>
      </c>
      <c r="JU87" t="s">
        <v>1042</v>
      </c>
      <c r="JW87">
        <v>0</v>
      </c>
      <c r="KA87">
        <v>0</v>
      </c>
      <c r="KF87">
        <v>0</v>
      </c>
      <c r="KG87">
        <v>0</v>
      </c>
      <c r="KH87">
        <v>0</v>
      </c>
      <c r="KI87">
        <v>0</v>
      </c>
      <c r="KS87" t="s">
        <v>1073</v>
      </c>
      <c r="KT87">
        <v>0</v>
      </c>
      <c r="KU87">
        <v>0</v>
      </c>
      <c r="KV87">
        <v>0</v>
      </c>
      <c r="KX87">
        <v>0</v>
      </c>
      <c r="KZ87">
        <v>0</v>
      </c>
      <c r="LF87">
        <v>0</v>
      </c>
      <c r="LH87">
        <v>0</v>
      </c>
      <c r="LI87">
        <v>0</v>
      </c>
    </row>
    <row r="88" spans="1:321" x14ac:dyDescent="0.35">
      <c r="A88">
        <v>1</v>
      </c>
      <c r="B88">
        <v>12326</v>
      </c>
      <c r="C88" t="s">
        <v>1624</v>
      </c>
      <c r="D88" t="s">
        <v>1139</v>
      </c>
      <c r="E88" t="s">
        <v>85</v>
      </c>
      <c r="F88">
        <v>80</v>
      </c>
      <c r="G88">
        <v>9000</v>
      </c>
      <c r="H88">
        <v>0</v>
      </c>
      <c r="I88" t="s">
        <v>1513</v>
      </c>
      <c r="L88">
        <v>0</v>
      </c>
      <c r="M88">
        <v>0</v>
      </c>
      <c r="N88">
        <v>0</v>
      </c>
      <c r="R88">
        <v>0</v>
      </c>
      <c r="S88">
        <v>0</v>
      </c>
      <c r="W88" t="s">
        <v>1060</v>
      </c>
      <c r="X88">
        <v>0</v>
      </c>
      <c r="Z88">
        <v>1</v>
      </c>
      <c r="AA88">
        <v>0</v>
      </c>
      <c r="AB88">
        <v>0</v>
      </c>
      <c r="AC88">
        <v>163.3767</v>
      </c>
      <c r="AD88" s="20">
        <v>43223</v>
      </c>
      <c r="AE88">
        <v>180.03</v>
      </c>
      <c r="AF88">
        <v>0</v>
      </c>
      <c r="AH88">
        <v>0</v>
      </c>
      <c r="AJ88">
        <v>0</v>
      </c>
      <c r="AL88">
        <v>1</v>
      </c>
      <c r="AM88">
        <v>0</v>
      </c>
      <c r="AN88">
        <v>16601001</v>
      </c>
      <c r="AO88">
        <v>0</v>
      </c>
      <c r="AP88">
        <v>1000</v>
      </c>
      <c r="AT88">
        <v>0</v>
      </c>
      <c r="AU88" t="s">
        <v>1059</v>
      </c>
      <c r="AW88" t="s">
        <v>1053</v>
      </c>
      <c r="AX88">
        <v>0</v>
      </c>
      <c r="AY88" s="20">
        <v>40781</v>
      </c>
      <c r="BA88" s="20">
        <v>40781</v>
      </c>
      <c r="BB88" t="s">
        <v>1058</v>
      </c>
      <c r="BD88">
        <v>0</v>
      </c>
      <c r="BF88" t="s">
        <v>1043</v>
      </c>
      <c r="BG88" t="s">
        <v>1042</v>
      </c>
      <c r="BH88">
        <v>0</v>
      </c>
      <c r="BI88">
        <v>1</v>
      </c>
      <c r="BJ88">
        <v>0</v>
      </c>
      <c r="BK88">
        <v>0</v>
      </c>
      <c r="BM88" s="20">
        <v>41319</v>
      </c>
      <c r="BN88">
        <v>0</v>
      </c>
      <c r="BO88">
        <v>3457801088657</v>
      </c>
      <c r="BR88" t="s">
        <v>1043</v>
      </c>
      <c r="BS88" t="s">
        <v>1043</v>
      </c>
      <c r="BT88" t="s">
        <v>1043</v>
      </c>
      <c r="BW88">
        <v>83</v>
      </c>
      <c r="CA88">
        <v>0</v>
      </c>
      <c r="CB88" t="s">
        <v>1057</v>
      </c>
      <c r="CE88" t="s">
        <v>1043</v>
      </c>
      <c r="CH88" t="s">
        <v>1043</v>
      </c>
      <c r="CN88" t="s">
        <v>1056</v>
      </c>
      <c r="CO88" t="s">
        <v>1043</v>
      </c>
      <c r="CP88">
        <v>1</v>
      </c>
      <c r="CQ88">
        <v>0</v>
      </c>
      <c r="CS88">
        <v>0</v>
      </c>
      <c r="CT88">
        <v>0</v>
      </c>
      <c r="CU88">
        <v>0</v>
      </c>
      <c r="CV88" t="s">
        <v>1045</v>
      </c>
      <c r="CW88">
        <v>0</v>
      </c>
      <c r="CX88">
        <v>0</v>
      </c>
      <c r="CY88">
        <v>0</v>
      </c>
      <c r="CZ88">
        <v>0</v>
      </c>
      <c r="DB88">
        <v>0</v>
      </c>
      <c r="DC88" t="s">
        <v>1043</v>
      </c>
      <c r="DF88" t="s">
        <v>1055</v>
      </c>
      <c r="DH88">
        <v>0</v>
      </c>
      <c r="DJ88">
        <v>0</v>
      </c>
      <c r="DK88" t="s">
        <v>1053</v>
      </c>
      <c r="DL88">
        <v>0</v>
      </c>
      <c r="DN88">
        <v>0</v>
      </c>
      <c r="DO88" t="s">
        <v>1042</v>
      </c>
      <c r="DP88">
        <v>0</v>
      </c>
      <c r="DQ88">
        <v>0</v>
      </c>
      <c r="DS88">
        <v>0</v>
      </c>
      <c r="DU88">
        <v>0</v>
      </c>
      <c r="DW88">
        <v>0</v>
      </c>
      <c r="DX88" t="s">
        <v>1043</v>
      </c>
      <c r="DY88">
        <v>0</v>
      </c>
      <c r="DZ88">
        <v>0</v>
      </c>
      <c r="EA88">
        <v>0</v>
      </c>
      <c r="ED88" t="s">
        <v>1045</v>
      </c>
      <c r="EE88">
        <v>0</v>
      </c>
      <c r="EF88">
        <v>0</v>
      </c>
      <c r="EQ88" t="s">
        <v>1044</v>
      </c>
      <c r="ES88" t="s">
        <v>1053</v>
      </c>
      <c r="ET88">
        <v>0</v>
      </c>
      <c r="EV88">
        <v>0</v>
      </c>
      <c r="EY88" t="s">
        <v>1052</v>
      </c>
      <c r="EZ88">
        <v>0</v>
      </c>
      <c r="FA88" t="s">
        <v>1043</v>
      </c>
      <c r="FB88">
        <v>0</v>
      </c>
      <c r="FC88">
        <v>0</v>
      </c>
      <c r="FE88" t="s">
        <v>1050</v>
      </c>
      <c r="FF88">
        <v>0</v>
      </c>
      <c r="FG88" t="s">
        <v>1050</v>
      </c>
      <c r="FJ88">
        <v>0</v>
      </c>
      <c r="FK88">
        <v>0</v>
      </c>
      <c r="FP88">
        <v>0</v>
      </c>
      <c r="FR88">
        <v>0</v>
      </c>
      <c r="FS88" t="s">
        <v>1043</v>
      </c>
      <c r="FX88" t="s">
        <v>1042</v>
      </c>
      <c r="FZ88" t="s">
        <v>1048</v>
      </c>
      <c r="GA88">
        <v>0</v>
      </c>
      <c r="GB88" t="s">
        <v>1042</v>
      </c>
      <c r="GE88">
        <v>0</v>
      </c>
      <c r="GG88">
        <v>0</v>
      </c>
      <c r="GN88">
        <v>0</v>
      </c>
      <c r="GO88" t="s">
        <v>1063</v>
      </c>
      <c r="GQ88">
        <v>0</v>
      </c>
      <c r="GU88">
        <v>0</v>
      </c>
      <c r="GY88" t="s">
        <v>1045</v>
      </c>
      <c r="HB88">
        <v>0</v>
      </c>
      <c r="HE88">
        <v>0</v>
      </c>
      <c r="HF88">
        <v>0</v>
      </c>
      <c r="HG88">
        <v>0</v>
      </c>
      <c r="HK88" t="s">
        <v>1042</v>
      </c>
      <c r="HM88" t="s">
        <v>1047</v>
      </c>
      <c r="HN88">
        <v>0</v>
      </c>
      <c r="HP88">
        <v>0</v>
      </c>
      <c r="HQ88">
        <v>0</v>
      </c>
      <c r="HR88" t="s">
        <v>1042</v>
      </c>
      <c r="HS88" t="s">
        <v>1043</v>
      </c>
      <c r="HT88">
        <v>0</v>
      </c>
      <c r="HU88">
        <v>0</v>
      </c>
      <c r="HW88">
        <v>0</v>
      </c>
      <c r="HX88">
        <v>0</v>
      </c>
      <c r="HY88">
        <v>1</v>
      </c>
      <c r="HZ88" t="s">
        <v>1045</v>
      </c>
      <c r="IA88">
        <v>180.03</v>
      </c>
      <c r="IB88" t="s">
        <v>1045</v>
      </c>
      <c r="ID88" t="s">
        <v>1045</v>
      </c>
      <c r="IF88">
        <v>0</v>
      </c>
      <c r="IG88" t="s">
        <v>1042</v>
      </c>
      <c r="II88" t="s">
        <v>1042</v>
      </c>
      <c r="IR88" t="s">
        <v>1045</v>
      </c>
      <c r="IT88">
        <v>0</v>
      </c>
      <c r="IY88" t="s">
        <v>1044</v>
      </c>
      <c r="IZ88" t="s">
        <v>1043</v>
      </c>
      <c r="JC88" t="s">
        <v>1043</v>
      </c>
      <c r="JE88">
        <v>0</v>
      </c>
      <c r="JF88">
        <v>0</v>
      </c>
      <c r="JI88" t="s">
        <v>1042</v>
      </c>
      <c r="JJ88">
        <v>0</v>
      </c>
      <c r="JK88">
        <v>0</v>
      </c>
      <c r="JL88">
        <v>0</v>
      </c>
      <c r="JM88">
        <v>0</v>
      </c>
      <c r="JQ88" t="s">
        <v>1043</v>
      </c>
      <c r="JT88">
        <v>0</v>
      </c>
      <c r="JU88" t="s">
        <v>1042</v>
      </c>
      <c r="JW88">
        <v>0</v>
      </c>
      <c r="KA88">
        <v>0</v>
      </c>
      <c r="KF88">
        <v>0</v>
      </c>
      <c r="KG88">
        <v>0</v>
      </c>
      <c r="KH88">
        <v>0</v>
      </c>
      <c r="KI88">
        <v>0</v>
      </c>
      <c r="KS88" t="s">
        <v>1073</v>
      </c>
      <c r="KT88">
        <v>0</v>
      </c>
      <c r="KU88">
        <v>0</v>
      </c>
      <c r="KV88">
        <v>0</v>
      </c>
      <c r="KX88">
        <v>0</v>
      </c>
      <c r="KZ88">
        <v>0</v>
      </c>
      <c r="LF88">
        <v>0</v>
      </c>
      <c r="LH88">
        <v>0</v>
      </c>
      <c r="LI88">
        <v>0</v>
      </c>
    </row>
    <row r="89" spans="1:321" x14ac:dyDescent="0.35">
      <c r="A89">
        <v>1</v>
      </c>
      <c r="B89">
        <v>12327</v>
      </c>
      <c r="C89" t="s">
        <v>1623</v>
      </c>
      <c r="D89" t="s">
        <v>1139</v>
      </c>
      <c r="E89" t="s">
        <v>587</v>
      </c>
      <c r="F89">
        <v>80</v>
      </c>
      <c r="G89">
        <v>9000</v>
      </c>
      <c r="H89">
        <v>0</v>
      </c>
      <c r="I89" t="s">
        <v>1323</v>
      </c>
      <c r="L89">
        <v>0</v>
      </c>
      <c r="M89">
        <v>0</v>
      </c>
      <c r="N89">
        <v>0</v>
      </c>
      <c r="R89">
        <v>0</v>
      </c>
      <c r="S89">
        <v>0</v>
      </c>
      <c r="W89" t="s">
        <v>1060</v>
      </c>
      <c r="X89">
        <v>0</v>
      </c>
      <c r="Z89">
        <v>1</v>
      </c>
      <c r="AA89">
        <v>0</v>
      </c>
      <c r="AB89">
        <v>0</v>
      </c>
      <c r="AC89">
        <v>29.833600000000001</v>
      </c>
      <c r="AD89" t="s">
        <v>1042</v>
      </c>
      <c r="AE89">
        <v>0</v>
      </c>
      <c r="AF89">
        <v>0</v>
      </c>
      <c r="AH89">
        <v>0</v>
      </c>
      <c r="AJ89">
        <v>0</v>
      </c>
      <c r="AL89">
        <v>0</v>
      </c>
      <c r="AM89">
        <v>0</v>
      </c>
      <c r="AN89">
        <v>16601001</v>
      </c>
      <c r="AO89">
        <v>0</v>
      </c>
      <c r="AP89">
        <v>1000</v>
      </c>
      <c r="AT89">
        <v>0</v>
      </c>
      <c r="AU89" t="s">
        <v>1059</v>
      </c>
      <c r="AW89" t="s">
        <v>1053</v>
      </c>
      <c r="AX89">
        <v>0</v>
      </c>
      <c r="AY89" s="20">
        <v>40781</v>
      </c>
      <c r="BA89" s="20">
        <v>40781</v>
      </c>
      <c r="BB89" t="s">
        <v>1058</v>
      </c>
      <c r="BD89">
        <v>0</v>
      </c>
      <c r="BF89" t="s">
        <v>1043</v>
      </c>
      <c r="BG89" t="s">
        <v>1042</v>
      </c>
      <c r="BH89">
        <v>0</v>
      </c>
      <c r="BI89">
        <v>1</v>
      </c>
      <c r="BJ89">
        <v>0</v>
      </c>
      <c r="BK89">
        <v>0</v>
      </c>
      <c r="BM89" t="s">
        <v>1042</v>
      </c>
      <c r="BN89">
        <v>0</v>
      </c>
      <c r="BR89" t="s">
        <v>1043</v>
      </c>
      <c r="BS89" t="s">
        <v>1043</v>
      </c>
      <c r="BT89" t="s">
        <v>1043</v>
      </c>
      <c r="BW89">
        <v>83</v>
      </c>
      <c r="CA89">
        <v>0</v>
      </c>
      <c r="CB89" t="s">
        <v>1057</v>
      </c>
      <c r="CE89" t="s">
        <v>1043</v>
      </c>
      <c r="CH89" t="s">
        <v>1043</v>
      </c>
      <c r="CN89" t="s">
        <v>1074</v>
      </c>
      <c r="CO89" t="s">
        <v>1043</v>
      </c>
      <c r="CP89">
        <v>1</v>
      </c>
      <c r="CQ89">
        <v>0</v>
      </c>
      <c r="CS89">
        <v>0</v>
      </c>
      <c r="CT89">
        <v>0</v>
      </c>
      <c r="CU89">
        <v>0</v>
      </c>
      <c r="CV89" t="s">
        <v>1045</v>
      </c>
      <c r="CW89">
        <v>0</v>
      </c>
      <c r="CX89">
        <v>0</v>
      </c>
      <c r="CY89">
        <v>0</v>
      </c>
      <c r="CZ89">
        <v>0</v>
      </c>
      <c r="DB89">
        <v>0</v>
      </c>
      <c r="DC89" t="s">
        <v>1043</v>
      </c>
      <c r="DF89" t="s">
        <v>1055</v>
      </c>
      <c r="DH89">
        <v>0</v>
      </c>
      <c r="DJ89">
        <v>0</v>
      </c>
      <c r="DK89" t="s">
        <v>1053</v>
      </c>
      <c r="DL89">
        <v>0</v>
      </c>
      <c r="DN89">
        <v>0</v>
      </c>
      <c r="DO89" t="s">
        <v>1042</v>
      </c>
      <c r="DP89">
        <v>0</v>
      </c>
      <c r="DQ89">
        <v>0</v>
      </c>
      <c r="DS89">
        <v>0</v>
      </c>
      <c r="DU89">
        <v>0</v>
      </c>
      <c r="DW89">
        <v>0</v>
      </c>
      <c r="DX89" t="s">
        <v>1043</v>
      </c>
      <c r="DY89">
        <v>0</v>
      </c>
      <c r="DZ89">
        <v>0</v>
      </c>
      <c r="EA89">
        <v>0</v>
      </c>
      <c r="ED89" t="s">
        <v>1045</v>
      </c>
      <c r="EE89">
        <v>0</v>
      </c>
      <c r="EF89">
        <v>0</v>
      </c>
      <c r="EQ89" t="s">
        <v>1044</v>
      </c>
      <c r="ES89" t="s">
        <v>1053</v>
      </c>
      <c r="ET89">
        <v>0</v>
      </c>
      <c r="EV89">
        <v>0</v>
      </c>
      <c r="EY89" t="s">
        <v>1052</v>
      </c>
      <c r="EZ89">
        <v>0</v>
      </c>
      <c r="FA89" t="s">
        <v>1043</v>
      </c>
      <c r="FB89">
        <v>0</v>
      </c>
      <c r="FC89">
        <v>0</v>
      </c>
      <c r="FE89" t="s">
        <v>1050</v>
      </c>
      <c r="FF89">
        <v>0</v>
      </c>
      <c r="FG89" t="s">
        <v>1050</v>
      </c>
      <c r="FJ89">
        <v>0</v>
      </c>
      <c r="FK89">
        <v>0</v>
      </c>
      <c r="FP89">
        <v>0</v>
      </c>
      <c r="FR89">
        <v>0</v>
      </c>
      <c r="FX89" t="s">
        <v>1042</v>
      </c>
      <c r="FZ89" t="s">
        <v>1048</v>
      </c>
      <c r="GA89">
        <v>0</v>
      </c>
      <c r="GB89" t="s">
        <v>1042</v>
      </c>
      <c r="GE89">
        <v>0</v>
      </c>
      <c r="GG89">
        <v>0</v>
      </c>
      <c r="GN89">
        <v>0</v>
      </c>
      <c r="GO89" t="s">
        <v>1063</v>
      </c>
      <c r="GQ89">
        <v>0</v>
      </c>
      <c r="GU89">
        <v>0</v>
      </c>
      <c r="GY89" t="s">
        <v>1045</v>
      </c>
      <c r="HB89">
        <v>0</v>
      </c>
      <c r="HE89">
        <v>0</v>
      </c>
      <c r="HF89">
        <v>0</v>
      </c>
      <c r="HG89">
        <v>0</v>
      </c>
      <c r="HK89" t="s">
        <v>1042</v>
      </c>
      <c r="HM89" t="s">
        <v>1047</v>
      </c>
      <c r="HN89">
        <v>0</v>
      </c>
      <c r="HP89">
        <v>0</v>
      </c>
      <c r="HQ89">
        <v>0</v>
      </c>
      <c r="HR89" t="s">
        <v>1042</v>
      </c>
      <c r="HS89" t="s">
        <v>1043</v>
      </c>
      <c r="HT89">
        <v>0</v>
      </c>
      <c r="HU89">
        <v>0</v>
      </c>
      <c r="HW89">
        <v>0</v>
      </c>
      <c r="HX89">
        <v>0</v>
      </c>
      <c r="HY89">
        <v>0</v>
      </c>
      <c r="HZ89" t="s">
        <v>1045</v>
      </c>
      <c r="IA89">
        <v>0</v>
      </c>
      <c r="IB89" t="s">
        <v>1045</v>
      </c>
      <c r="ID89" t="s">
        <v>1045</v>
      </c>
      <c r="IF89">
        <v>0</v>
      </c>
      <c r="IG89" t="s">
        <v>1042</v>
      </c>
      <c r="II89" t="s">
        <v>1042</v>
      </c>
      <c r="IR89" t="s">
        <v>1045</v>
      </c>
      <c r="IT89">
        <v>0</v>
      </c>
      <c r="IY89" t="s">
        <v>1044</v>
      </c>
      <c r="IZ89" t="s">
        <v>1043</v>
      </c>
      <c r="JC89" t="s">
        <v>1043</v>
      </c>
      <c r="JE89">
        <v>0</v>
      </c>
      <c r="JF89">
        <v>0</v>
      </c>
      <c r="JI89" t="s">
        <v>1042</v>
      </c>
      <c r="JJ89">
        <v>0</v>
      </c>
      <c r="JK89">
        <v>0</v>
      </c>
      <c r="JL89">
        <v>0</v>
      </c>
      <c r="JM89">
        <v>0</v>
      </c>
      <c r="JQ89" t="s">
        <v>1043</v>
      </c>
      <c r="JT89">
        <v>0</v>
      </c>
      <c r="JU89" t="s">
        <v>1042</v>
      </c>
      <c r="JW89">
        <v>0</v>
      </c>
      <c r="KA89">
        <v>0</v>
      </c>
      <c r="KF89">
        <v>0</v>
      </c>
      <c r="KG89">
        <v>0</v>
      </c>
      <c r="KH89">
        <v>0</v>
      </c>
      <c r="KI89">
        <v>0</v>
      </c>
      <c r="KS89" t="s">
        <v>1073</v>
      </c>
      <c r="KT89">
        <v>0</v>
      </c>
      <c r="KU89">
        <v>0</v>
      </c>
      <c r="KV89">
        <v>0</v>
      </c>
      <c r="KX89">
        <v>0</v>
      </c>
      <c r="KZ89">
        <v>0</v>
      </c>
      <c r="LF89">
        <v>0</v>
      </c>
      <c r="LH89">
        <v>0</v>
      </c>
      <c r="LI89">
        <v>0</v>
      </c>
    </row>
    <row r="90" spans="1:321" x14ac:dyDescent="0.35">
      <c r="A90">
        <v>1</v>
      </c>
      <c r="B90">
        <v>12328</v>
      </c>
      <c r="C90" t="s">
        <v>1622</v>
      </c>
      <c r="D90" t="s">
        <v>1139</v>
      </c>
      <c r="E90" t="s">
        <v>85</v>
      </c>
      <c r="F90">
        <v>80</v>
      </c>
      <c r="G90">
        <v>9000</v>
      </c>
      <c r="H90">
        <v>0</v>
      </c>
      <c r="I90" t="s">
        <v>1505</v>
      </c>
      <c r="L90">
        <v>0</v>
      </c>
      <c r="M90">
        <v>0</v>
      </c>
      <c r="N90">
        <v>0</v>
      </c>
      <c r="R90">
        <v>0</v>
      </c>
      <c r="S90">
        <v>0</v>
      </c>
      <c r="W90" t="s">
        <v>1060</v>
      </c>
      <c r="X90">
        <v>0</v>
      </c>
      <c r="Z90">
        <v>1</v>
      </c>
      <c r="AA90">
        <v>0</v>
      </c>
      <c r="AB90">
        <v>0</v>
      </c>
      <c r="AC90">
        <v>6.1420000000000003</v>
      </c>
      <c r="AD90" t="s">
        <v>1042</v>
      </c>
      <c r="AE90">
        <v>0</v>
      </c>
      <c r="AF90">
        <v>0</v>
      </c>
      <c r="AH90">
        <v>0</v>
      </c>
      <c r="AJ90">
        <v>0</v>
      </c>
      <c r="AL90">
        <v>0</v>
      </c>
      <c r="AM90">
        <v>0</v>
      </c>
      <c r="AN90">
        <v>16601001</v>
      </c>
      <c r="AO90">
        <v>0</v>
      </c>
      <c r="AP90">
        <v>1001</v>
      </c>
      <c r="AT90">
        <v>0</v>
      </c>
      <c r="AU90" t="s">
        <v>1059</v>
      </c>
      <c r="AW90" t="s">
        <v>1053</v>
      </c>
      <c r="AX90">
        <v>0</v>
      </c>
      <c r="AY90" s="20">
        <v>40781</v>
      </c>
      <c r="BA90" s="20">
        <v>40781</v>
      </c>
      <c r="BB90" t="s">
        <v>1058</v>
      </c>
      <c r="BD90">
        <v>0</v>
      </c>
      <c r="BF90" t="s">
        <v>1043</v>
      </c>
      <c r="BG90" t="s">
        <v>1042</v>
      </c>
      <c r="BH90">
        <v>0</v>
      </c>
      <c r="BI90">
        <v>1</v>
      </c>
      <c r="BJ90">
        <v>0</v>
      </c>
      <c r="BK90">
        <v>0</v>
      </c>
      <c r="BM90" t="s">
        <v>1042</v>
      </c>
      <c r="BN90">
        <v>0</v>
      </c>
      <c r="BR90" t="s">
        <v>1043</v>
      </c>
      <c r="BS90" t="s">
        <v>1043</v>
      </c>
      <c r="BT90" t="s">
        <v>1043</v>
      </c>
      <c r="BW90">
        <v>83</v>
      </c>
      <c r="CA90">
        <v>0</v>
      </c>
      <c r="CB90" t="s">
        <v>1057</v>
      </c>
      <c r="CE90" t="s">
        <v>1043</v>
      </c>
      <c r="CH90" t="s">
        <v>1043</v>
      </c>
      <c r="CN90" t="s">
        <v>1074</v>
      </c>
      <c r="CO90" t="s">
        <v>1043</v>
      </c>
      <c r="CP90">
        <v>1</v>
      </c>
      <c r="CQ90">
        <v>0</v>
      </c>
      <c r="CS90">
        <v>0</v>
      </c>
      <c r="CT90">
        <v>0</v>
      </c>
      <c r="CU90">
        <v>0</v>
      </c>
      <c r="CV90" t="s">
        <v>1045</v>
      </c>
      <c r="CW90">
        <v>0</v>
      </c>
      <c r="CX90">
        <v>0</v>
      </c>
      <c r="CY90">
        <v>0</v>
      </c>
      <c r="CZ90">
        <v>0</v>
      </c>
      <c r="DB90">
        <v>0</v>
      </c>
      <c r="DC90" t="s">
        <v>1043</v>
      </c>
      <c r="DF90" t="s">
        <v>1055</v>
      </c>
      <c r="DH90">
        <v>0</v>
      </c>
      <c r="DJ90">
        <v>0</v>
      </c>
      <c r="DK90" t="s">
        <v>1053</v>
      </c>
      <c r="DL90">
        <v>0</v>
      </c>
      <c r="DN90">
        <v>0</v>
      </c>
      <c r="DO90" t="s">
        <v>1042</v>
      </c>
      <c r="DP90">
        <v>0</v>
      </c>
      <c r="DQ90">
        <v>0</v>
      </c>
      <c r="DS90">
        <v>0</v>
      </c>
      <c r="DU90">
        <v>0</v>
      </c>
      <c r="DW90">
        <v>0</v>
      </c>
      <c r="DX90" t="s">
        <v>1043</v>
      </c>
      <c r="DY90">
        <v>0</v>
      </c>
      <c r="DZ90">
        <v>0</v>
      </c>
      <c r="EA90">
        <v>0</v>
      </c>
      <c r="ED90" t="s">
        <v>1045</v>
      </c>
      <c r="EE90">
        <v>0</v>
      </c>
      <c r="EF90">
        <v>0</v>
      </c>
      <c r="EQ90" t="s">
        <v>1044</v>
      </c>
      <c r="ES90" t="s">
        <v>1053</v>
      </c>
      <c r="ET90">
        <v>0</v>
      </c>
      <c r="EV90">
        <v>0</v>
      </c>
      <c r="EY90" t="s">
        <v>1052</v>
      </c>
      <c r="EZ90">
        <v>0</v>
      </c>
      <c r="FA90" t="s">
        <v>1043</v>
      </c>
      <c r="FB90">
        <v>0</v>
      </c>
      <c r="FC90">
        <v>0</v>
      </c>
      <c r="FE90" t="s">
        <v>1050</v>
      </c>
      <c r="FF90">
        <v>0</v>
      </c>
      <c r="FG90" t="s">
        <v>1050</v>
      </c>
      <c r="FJ90">
        <v>0</v>
      </c>
      <c r="FK90">
        <v>0</v>
      </c>
      <c r="FP90">
        <v>0</v>
      </c>
      <c r="FR90">
        <v>0</v>
      </c>
      <c r="FX90" t="s">
        <v>1042</v>
      </c>
      <c r="FZ90" t="s">
        <v>1048</v>
      </c>
      <c r="GA90">
        <v>0</v>
      </c>
      <c r="GB90" t="s">
        <v>1042</v>
      </c>
      <c r="GE90">
        <v>0</v>
      </c>
      <c r="GG90">
        <v>0</v>
      </c>
      <c r="GN90">
        <v>0</v>
      </c>
      <c r="GO90" t="s">
        <v>1063</v>
      </c>
      <c r="GQ90">
        <v>0</v>
      </c>
      <c r="GU90">
        <v>0</v>
      </c>
      <c r="GY90" t="s">
        <v>1045</v>
      </c>
      <c r="HB90">
        <v>0</v>
      </c>
      <c r="HE90">
        <v>0</v>
      </c>
      <c r="HF90">
        <v>0</v>
      </c>
      <c r="HG90">
        <v>0</v>
      </c>
      <c r="HK90" t="s">
        <v>1042</v>
      </c>
      <c r="HM90" t="s">
        <v>1047</v>
      </c>
      <c r="HN90">
        <v>0</v>
      </c>
      <c r="HP90">
        <v>0</v>
      </c>
      <c r="HQ90">
        <v>0</v>
      </c>
      <c r="HR90" t="s">
        <v>1042</v>
      </c>
      <c r="HS90" t="s">
        <v>1043</v>
      </c>
      <c r="HT90">
        <v>0</v>
      </c>
      <c r="HU90">
        <v>0</v>
      </c>
      <c r="HW90">
        <v>0</v>
      </c>
      <c r="HX90">
        <v>0</v>
      </c>
      <c r="HY90">
        <v>0</v>
      </c>
      <c r="HZ90" t="s">
        <v>1045</v>
      </c>
      <c r="IA90">
        <v>0</v>
      </c>
      <c r="IB90" t="s">
        <v>1045</v>
      </c>
      <c r="ID90" t="s">
        <v>1045</v>
      </c>
      <c r="IF90">
        <v>0</v>
      </c>
      <c r="IG90" t="s">
        <v>1042</v>
      </c>
      <c r="II90" t="s">
        <v>1042</v>
      </c>
      <c r="IR90" t="s">
        <v>1045</v>
      </c>
      <c r="IT90">
        <v>0</v>
      </c>
      <c r="IY90" t="s">
        <v>1044</v>
      </c>
      <c r="IZ90" t="s">
        <v>1043</v>
      </c>
      <c r="JC90" t="s">
        <v>1043</v>
      </c>
      <c r="JE90">
        <v>0</v>
      </c>
      <c r="JF90">
        <v>0</v>
      </c>
      <c r="JI90" t="s">
        <v>1042</v>
      </c>
      <c r="JJ90">
        <v>0</v>
      </c>
      <c r="JK90">
        <v>0</v>
      </c>
      <c r="JL90">
        <v>0</v>
      </c>
      <c r="JM90">
        <v>0</v>
      </c>
      <c r="JQ90" t="s">
        <v>1043</v>
      </c>
      <c r="JT90">
        <v>0</v>
      </c>
      <c r="JU90" t="s">
        <v>1042</v>
      </c>
      <c r="JW90">
        <v>0</v>
      </c>
      <c r="KA90">
        <v>0</v>
      </c>
      <c r="KF90">
        <v>0</v>
      </c>
      <c r="KG90">
        <v>0</v>
      </c>
      <c r="KH90">
        <v>0</v>
      </c>
      <c r="KI90">
        <v>0</v>
      </c>
      <c r="KS90" t="s">
        <v>1073</v>
      </c>
      <c r="KT90">
        <v>0</v>
      </c>
      <c r="KU90">
        <v>0</v>
      </c>
      <c r="KV90">
        <v>0</v>
      </c>
      <c r="KX90">
        <v>0</v>
      </c>
      <c r="KZ90">
        <v>0</v>
      </c>
      <c r="LF90">
        <v>0</v>
      </c>
      <c r="LH90">
        <v>0</v>
      </c>
      <c r="LI90">
        <v>0</v>
      </c>
    </row>
    <row r="91" spans="1:321" x14ac:dyDescent="0.35">
      <c r="A91">
        <v>1</v>
      </c>
      <c r="B91">
        <v>12329</v>
      </c>
      <c r="C91" t="s">
        <v>1621</v>
      </c>
      <c r="D91" t="s">
        <v>1139</v>
      </c>
      <c r="E91" t="s">
        <v>85</v>
      </c>
      <c r="F91">
        <v>80</v>
      </c>
      <c r="G91">
        <v>9000</v>
      </c>
      <c r="H91">
        <v>0</v>
      </c>
      <c r="I91" t="s">
        <v>1050</v>
      </c>
      <c r="L91">
        <v>0</v>
      </c>
      <c r="M91">
        <v>0</v>
      </c>
      <c r="N91">
        <v>0</v>
      </c>
      <c r="R91">
        <v>0</v>
      </c>
      <c r="S91">
        <v>0</v>
      </c>
      <c r="W91" t="s">
        <v>1060</v>
      </c>
      <c r="X91">
        <v>0</v>
      </c>
      <c r="Z91">
        <v>1</v>
      </c>
      <c r="AA91">
        <v>0</v>
      </c>
      <c r="AB91">
        <v>0</v>
      </c>
      <c r="AC91">
        <v>0</v>
      </c>
      <c r="AD91" s="20">
        <v>40781</v>
      </c>
      <c r="AE91">
        <v>78.75</v>
      </c>
      <c r="AF91">
        <v>0</v>
      </c>
      <c r="AH91">
        <v>0</v>
      </c>
      <c r="AJ91">
        <v>0</v>
      </c>
      <c r="AL91">
        <v>0</v>
      </c>
      <c r="AM91">
        <v>0</v>
      </c>
      <c r="AN91">
        <v>16601003</v>
      </c>
      <c r="AO91">
        <v>0</v>
      </c>
      <c r="AP91">
        <v>1000</v>
      </c>
      <c r="AT91">
        <v>0</v>
      </c>
      <c r="AU91" t="s">
        <v>1059</v>
      </c>
      <c r="AW91" t="s">
        <v>1053</v>
      </c>
      <c r="AX91">
        <v>0</v>
      </c>
      <c r="AY91" s="20">
        <v>40781</v>
      </c>
      <c r="BA91" s="20">
        <v>40781</v>
      </c>
      <c r="BB91" t="s">
        <v>1058</v>
      </c>
      <c r="BD91">
        <v>0</v>
      </c>
      <c r="BF91" t="s">
        <v>1043</v>
      </c>
      <c r="BG91" t="s">
        <v>1042</v>
      </c>
      <c r="BH91">
        <v>0</v>
      </c>
      <c r="BI91">
        <v>1</v>
      </c>
      <c r="BJ91">
        <v>0</v>
      </c>
      <c r="BK91">
        <v>0</v>
      </c>
      <c r="BM91" t="s">
        <v>1042</v>
      </c>
      <c r="BN91">
        <v>0</v>
      </c>
      <c r="BR91" t="s">
        <v>1043</v>
      </c>
      <c r="BS91" t="s">
        <v>1043</v>
      </c>
      <c r="BT91" t="s">
        <v>1043</v>
      </c>
      <c r="BW91">
        <v>83</v>
      </c>
      <c r="CA91">
        <v>0</v>
      </c>
      <c r="CB91" t="s">
        <v>1057</v>
      </c>
      <c r="CE91" t="s">
        <v>1043</v>
      </c>
      <c r="CH91" t="s">
        <v>1043</v>
      </c>
      <c r="CN91" t="s">
        <v>1056</v>
      </c>
      <c r="CO91" t="s">
        <v>1043</v>
      </c>
      <c r="CP91">
        <v>1</v>
      </c>
      <c r="CQ91">
        <v>0</v>
      </c>
      <c r="CS91">
        <v>0</v>
      </c>
      <c r="CT91">
        <v>0</v>
      </c>
      <c r="CU91">
        <v>0</v>
      </c>
      <c r="CV91" t="s">
        <v>1045</v>
      </c>
      <c r="CW91">
        <v>0</v>
      </c>
      <c r="CX91">
        <v>0</v>
      </c>
      <c r="CY91">
        <v>0</v>
      </c>
      <c r="CZ91">
        <v>0</v>
      </c>
      <c r="DB91">
        <v>0</v>
      </c>
      <c r="DC91" t="s">
        <v>1043</v>
      </c>
      <c r="DF91" t="s">
        <v>1055</v>
      </c>
      <c r="DH91">
        <v>0</v>
      </c>
      <c r="DJ91">
        <v>0</v>
      </c>
      <c r="DK91" t="s">
        <v>1053</v>
      </c>
      <c r="DL91">
        <v>0</v>
      </c>
      <c r="DN91">
        <v>0</v>
      </c>
      <c r="DO91" t="s">
        <v>1042</v>
      </c>
      <c r="DP91">
        <v>0</v>
      </c>
      <c r="DQ91">
        <v>0</v>
      </c>
      <c r="DS91">
        <v>0</v>
      </c>
      <c r="DU91">
        <v>0</v>
      </c>
      <c r="DW91">
        <v>0</v>
      </c>
      <c r="DX91" t="s">
        <v>1043</v>
      </c>
      <c r="DY91">
        <v>0</v>
      </c>
      <c r="DZ91">
        <v>0</v>
      </c>
      <c r="EA91">
        <v>0</v>
      </c>
      <c r="ED91" t="s">
        <v>1045</v>
      </c>
      <c r="EE91">
        <v>0</v>
      </c>
      <c r="EF91">
        <v>0</v>
      </c>
      <c r="EQ91" t="s">
        <v>1044</v>
      </c>
      <c r="ES91" t="s">
        <v>1053</v>
      </c>
      <c r="ET91">
        <v>0</v>
      </c>
      <c r="EV91">
        <v>0</v>
      </c>
      <c r="EY91" t="s">
        <v>1052</v>
      </c>
      <c r="EZ91">
        <v>0</v>
      </c>
      <c r="FA91" t="s">
        <v>1043</v>
      </c>
      <c r="FB91">
        <v>0</v>
      </c>
      <c r="FC91">
        <v>0</v>
      </c>
      <c r="FE91" t="s">
        <v>1050</v>
      </c>
      <c r="FF91">
        <v>0</v>
      </c>
      <c r="FG91" t="s">
        <v>1050</v>
      </c>
      <c r="FJ91">
        <v>0</v>
      </c>
      <c r="FK91">
        <v>0</v>
      </c>
      <c r="FP91">
        <v>0</v>
      </c>
      <c r="FR91">
        <v>0</v>
      </c>
      <c r="FS91" t="s">
        <v>1043</v>
      </c>
      <c r="FX91" t="s">
        <v>1042</v>
      </c>
      <c r="FZ91" t="s">
        <v>1048</v>
      </c>
      <c r="GA91">
        <v>0</v>
      </c>
      <c r="GB91" t="s">
        <v>1042</v>
      </c>
      <c r="GE91">
        <v>0</v>
      </c>
      <c r="GG91">
        <v>0</v>
      </c>
      <c r="GN91">
        <v>0</v>
      </c>
      <c r="GO91" t="s">
        <v>1063</v>
      </c>
      <c r="GQ91">
        <v>0</v>
      </c>
      <c r="GU91">
        <v>0</v>
      </c>
      <c r="GY91" t="s">
        <v>1045</v>
      </c>
      <c r="HB91">
        <v>0</v>
      </c>
      <c r="HE91">
        <v>0</v>
      </c>
      <c r="HF91">
        <v>0</v>
      </c>
      <c r="HG91">
        <v>0</v>
      </c>
      <c r="HK91" t="s">
        <v>1042</v>
      </c>
      <c r="HM91" t="s">
        <v>1047</v>
      </c>
      <c r="HN91">
        <v>0</v>
      </c>
      <c r="HP91">
        <v>0</v>
      </c>
      <c r="HQ91">
        <v>0</v>
      </c>
      <c r="HR91" t="s">
        <v>1042</v>
      </c>
      <c r="HS91" t="s">
        <v>1043</v>
      </c>
      <c r="HT91">
        <v>0</v>
      </c>
      <c r="HU91">
        <v>0</v>
      </c>
      <c r="HW91">
        <v>0</v>
      </c>
      <c r="HX91">
        <v>0</v>
      </c>
      <c r="HY91">
        <v>0</v>
      </c>
      <c r="HZ91" t="s">
        <v>1045</v>
      </c>
      <c r="IA91">
        <v>0</v>
      </c>
      <c r="IB91" t="s">
        <v>1045</v>
      </c>
      <c r="ID91" t="s">
        <v>1045</v>
      </c>
      <c r="IF91">
        <v>0</v>
      </c>
      <c r="IG91" t="s">
        <v>1042</v>
      </c>
      <c r="II91" t="s">
        <v>1042</v>
      </c>
      <c r="IR91" t="s">
        <v>1045</v>
      </c>
      <c r="IT91">
        <v>0</v>
      </c>
      <c r="IY91" t="s">
        <v>1044</v>
      </c>
      <c r="IZ91" t="s">
        <v>1043</v>
      </c>
      <c r="JC91" t="s">
        <v>1043</v>
      </c>
      <c r="JE91">
        <v>0</v>
      </c>
      <c r="JF91">
        <v>0</v>
      </c>
      <c r="JI91" t="s">
        <v>1042</v>
      </c>
      <c r="JJ91">
        <v>0</v>
      </c>
      <c r="JK91">
        <v>0</v>
      </c>
      <c r="JL91">
        <v>0</v>
      </c>
      <c r="JM91">
        <v>0</v>
      </c>
      <c r="JQ91" t="s">
        <v>1043</v>
      </c>
      <c r="JT91">
        <v>0</v>
      </c>
      <c r="JU91" t="s">
        <v>1042</v>
      </c>
      <c r="JW91">
        <v>0</v>
      </c>
      <c r="KA91">
        <v>0</v>
      </c>
      <c r="KF91">
        <v>0</v>
      </c>
      <c r="KG91">
        <v>0</v>
      </c>
      <c r="KH91">
        <v>0</v>
      </c>
      <c r="KI91">
        <v>0</v>
      </c>
      <c r="KS91" t="s">
        <v>1073</v>
      </c>
      <c r="KT91">
        <v>0</v>
      </c>
      <c r="KU91">
        <v>0</v>
      </c>
      <c r="KV91">
        <v>0</v>
      </c>
      <c r="KX91">
        <v>0</v>
      </c>
      <c r="KZ91">
        <v>0</v>
      </c>
      <c r="LF91">
        <v>0</v>
      </c>
      <c r="LH91">
        <v>0</v>
      </c>
      <c r="LI91">
        <v>0</v>
      </c>
    </row>
    <row r="92" spans="1:321" x14ac:dyDescent="0.35">
      <c r="A92">
        <v>1</v>
      </c>
      <c r="B92">
        <v>1233</v>
      </c>
      <c r="C92" t="s">
        <v>1620</v>
      </c>
      <c r="D92" t="s">
        <v>1061</v>
      </c>
      <c r="E92" t="s">
        <v>587</v>
      </c>
      <c r="F92">
        <v>1</v>
      </c>
      <c r="G92">
        <v>160</v>
      </c>
      <c r="H92">
        <v>0</v>
      </c>
      <c r="I92" t="s">
        <v>991</v>
      </c>
      <c r="L92">
        <v>0</v>
      </c>
      <c r="M92">
        <v>0</v>
      </c>
      <c r="N92">
        <v>0</v>
      </c>
      <c r="Q92">
        <v>516</v>
      </c>
      <c r="R92">
        <v>0</v>
      </c>
      <c r="S92">
        <v>0</v>
      </c>
      <c r="W92" t="s">
        <v>1060</v>
      </c>
      <c r="X92">
        <v>0</v>
      </c>
      <c r="Z92">
        <v>50</v>
      </c>
      <c r="AA92">
        <v>15.378</v>
      </c>
      <c r="AB92">
        <v>2187747</v>
      </c>
      <c r="AC92">
        <v>0.33900000000000002</v>
      </c>
      <c r="AD92" t="s">
        <v>1042</v>
      </c>
      <c r="AE92">
        <v>0</v>
      </c>
      <c r="AF92">
        <v>6.3600000000000004E-2</v>
      </c>
      <c r="AH92">
        <v>1526225</v>
      </c>
      <c r="AJ92">
        <v>1</v>
      </c>
      <c r="AK92" t="s">
        <v>1154</v>
      </c>
      <c r="AL92">
        <v>1261150</v>
      </c>
      <c r="AM92">
        <v>176</v>
      </c>
      <c r="AN92">
        <v>11501001</v>
      </c>
      <c r="AO92">
        <v>0</v>
      </c>
      <c r="AP92">
        <v>1001</v>
      </c>
      <c r="AT92">
        <v>1</v>
      </c>
      <c r="AU92" t="s">
        <v>1059</v>
      </c>
      <c r="AV92" t="s">
        <v>1043</v>
      </c>
      <c r="AW92" t="s">
        <v>1053</v>
      </c>
      <c r="AX92">
        <v>0</v>
      </c>
      <c r="AY92" s="20">
        <v>44246</v>
      </c>
      <c r="BA92" s="20">
        <v>44246</v>
      </c>
      <c r="BB92" t="s">
        <v>1058</v>
      </c>
      <c r="BD92">
        <v>0</v>
      </c>
      <c r="BF92" t="s">
        <v>1044</v>
      </c>
      <c r="BG92" t="s">
        <v>1042</v>
      </c>
      <c r="BH92">
        <v>0</v>
      </c>
      <c r="BI92">
        <v>33</v>
      </c>
      <c r="BJ92">
        <v>0</v>
      </c>
      <c r="BK92">
        <v>0</v>
      </c>
      <c r="BM92" t="s">
        <v>1042</v>
      </c>
      <c r="BN92">
        <v>0</v>
      </c>
      <c r="BO92">
        <v>7897801310598</v>
      </c>
      <c r="BR92" t="s">
        <v>1043</v>
      </c>
      <c r="BS92" t="s">
        <v>1043</v>
      </c>
      <c r="BT92" t="s">
        <v>1043</v>
      </c>
      <c r="BV92">
        <v>1</v>
      </c>
      <c r="BW92">
        <v>30</v>
      </c>
      <c r="BY92">
        <v>66</v>
      </c>
      <c r="CA92">
        <v>0</v>
      </c>
      <c r="CB92" t="s">
        <v>1043</v>
      </c>
      <c r="CE92" t="s">
        <v>1043</v>
      </c>
      <c r="CH92" t="s">
        <v>1043</v>
      </c>
      <c r="CI92" t="s">
        <v>1383</v>
      </c>
      <c r="CK92" t="s">
        <v>1152</v>
      </c>
      <c r="CN92" t="s">
        <v>1056</v>
      </c>
      <c r="CP92">
        <v>1</v>
      </c>
      <c r="CQ92">
        <v>5200</v>
      </c>
      <c r="CS92">
        <v>0</v>
      </c>
      <c r="CT92">
        <v>0</v>
      </c>
      <c r="CU92">
        <v>0</v>
      </c>
      <c r="CV92" t="s">
        <v>1045</v>
      </c>
      <c r="CW92">
        <v>0</v>
      </c>
      <c r="CX92">
        <v>0</v>
      </c>
      <c r="CY92">
        <v>0</v>
      </c>
      <c r="CZ92">
        <v>0</v>
      </c>
      <c r="DB92">
        <v>700000</v>
      </c>
      <c r="DH92">
        <v>0</v>
      </c>
      <c r="DJ92">
        <v>0</v>
      </c>
      <c r="DL92">
        <v>0</v>
      </c>
      <c r="DN92">
        <v>0</v>
      </c>
      <c r="DO92" t="s">
        <v>1042</v>
      </c>
      <c r="DP92">
        <v>0</v>
      </c>
      <c r="DQ92">
        <v>7.6</v>
      </c>
      <c r="DS92">
        <v>0</v>
      </c>
      <c r="DU92">
        <v>1.65</v>
      </c>
      <c r="DW92">
        <v>0</v>
      </c>
      <c r="DY92">
        <v>0</v>
      </c>
      <c r="DZ92">
        <v>0</v>
      </c>
      <c r="EA92">
        <v>0</v>
      </c>
      <c r="EB92">
        <v>17897801310595</v>
      </c>
      <c r="EE92">
        <v>0</v>
      </c>
      <c r="EF92">
        <v>0</v>
      </c>
      <c r="EK92" t="s">
        <v>1570</v>
      </c>
      <c r="EL92">
        <v>57897801310593</v>
      </c>
      <c r="EN92" t="s">
        <v>1511</v>
      </c>
      <c r="EO92" t="s">
        <v>1044</v>
      </c>
      <c r="ET92">
        <v>0</v>
      </c>
      <c r="EV92">
        <v>0</v>
      </c>
      <c r="EY92" t="s">
        <v>1052</v>
      </c>
      <c r="EZ92">
        <v>0</v>
      </c>
      <c r="FA92" t="s">
        <v>1043</v>
      </c>
      <c r="FB92">
        <v>0</v>
      </c>
      <c r="FC92">
        <v>0</v>
      </c>
      <c r="FD92" t="s">
        <v>1051</v>
      </c>
      <c r="FE92" t="s">
        <v>1050</v>
      </c>
      <c r="FF92">
        <v>0</v>
      </c>
      <c r="FG92" t="s">
        <v>1050</v>
      </c>
      <c r="FH92">
        <v>27897801310592</v>
      </c>
      <c r="FJ92">
        <v>0</v>
      </c>
      <c r="FK92">
        <v>0</v>
      </c>
      <c r="FP92">
        <v>0</v>
      </c>
      <c r="FR92">
        <v>0</v>
      </c>
      <c r="FS92" t="s">
        <v>1043</v>
      </c>
      <c r="FX92" t="s">
        <v>1042</v>
      </c>
      <c r="GA92">
        <v>0</v>
      </c>
      <c r="GB92" t="s">
        <v>1042</v>
      </c>
      <c r="GD92">
        <v>16</v>
      </c>
      <c r="GE92">
        <v>0</v>
      </c>
      <c r="GG92">
        <v>0</v>
      </c>
      <c r="GN92">
        <v>0</v>
      </c>
      <c r="GO92" t="s">
        <v>1049</v>
      </c>
      <c r="GQ92">
        <v>0</v>
      </c>
      <c r="GU92">
        <v>99</v>
      </c>
      <c r="GY92" t="s">
        <v>1045</v>
      </c>
      <c r="HB92">
        <v>0</v>
      </c>
      <c r="HE92">
        <v>12</v>
      </c>
      <c r="HF92">
        <v>0</v>
      </c>
      <c r="HG92">
        <v>5.2679999999999998E-2</v>
      </c>
      <c r="HK92" t="s">
        <v>1042</v>
      </c>
      <c r="HL92" t="s">
        <v>1048</v>
      </c>
      <c r="HM92">
        <v>0</v>
      </c>
      <c r="HN92">
        <v>0</v>
      </c>
      <c r="HO92">
        <v>24</v>
      </c>
      <c r="HP92">
        <v>6.1600000000000002E-2</v>
      </c>
      <c r="HQ92">
        <v>0</v>
      </c>
      <c r="HR92" t="s">
        <v>1042</v>
      </c>
      <c r="HT92">
        <v>0</v>
      </c>
      <c r="HU92">
        <v>0</v>
      </c>
      <c r="HW92">
        <v>0</v>
      </c>
      <c r="HX92">
        <v>3747050</v>
      </c>
      <c r="HY92">
        <v>0</v>
      </c>
      <c r="IA92">
        <v>0</v>
      </c>
      <c r="IF92">
        <v>5450</v>
      </c>
      <c r="IG92" s="20">
        <v>40365</v>
      </c>
      <c r="IH92" t="s">
        <v>1046</v>
      </c>
      <c r="II92" t="s">
        <v>1042</v>
      </c>
      <c r="IR92" t="s">
        <v>1045</v>
      </c>
      <c r="IT92">
        <v>0</v>
      </c>
      <c r="JE92">
        <v>0</v>
      </c>
      <c r="JF92">
        <v>0</v>
      </c>
      <c r="JI92" t="s">
        <v>1042</v>
      </c>
      <c r="JJ92">
        <v>0</v>
      </c>
      <c r="JK92">
        <v>0</v>
      </c>
      <c r="JL92">
        <v>0</v>
      </c>
      <c r="JM92">
        <v>0</v>
      </c>
      <c r="JT92">
        <v>0</v>
      </c>
      <c r="JU92" t="s">
        <v>1042</v>
      </c>
      <c r="JW92">
        <v>0</v>
      </c>
      <c r="KA92">
        <v>0</v>
      </c>
      <c r="KF92">
        <v>0</v>
      </c>
      <c r="KG92">
        <v>0</v>
      </c>
      <c r="KH92">
        <v>0</v>
      </c>
      <c r="KI92">
        <v>0</v>
      </c>
      <c r="KS92" t="s">
        <v>1041</v>
      </c>
      <c r="KT92">
        <v>0</v>
      </c>
      <c r="KU92">
        <v>0</v>
      </c>
      <c r="KV92">
        <v>0</v>
      </c>
      <c r="KX92">
        <v>0</v>
      </c>
      <c r="KZ92">
        <v>0</v>
      </c>
      <c r="LF92">
        <v>0</v>
      </c>
      <c r="LH92">
        <v>0</v>
      </c>
      <c r="LI92">
        <v>0</v>
      </c>
    </row>
    <row r="93" spans="1:321" x14ac:dyDescent="0.35">
      <c r="A93">
        <v>1</v>
      </c>
      <c r="B93">
        <v>12330</v>
      </c>
      <c r="C93" t="s">
        <v>1619</v>
      </c>
      <c r="D93" t="s">
        <v>1139</v>
      </c>
      <c r="E93" t="s">
        <v>85</v>
      </c>
      <c r="F93">
        <v>80</v>
      </c>
      <c r="G93">
        <v>9000</v>
      </c>
      <c r="H93">
        <v>0</v>
      </c>
      <c r="I93" t="s">
        <v>1050</v>
      </c>
      <c r="L93">
        <v>0</v>
      </c>
      <c r="M93">
        <v>0</v>
      </c>
      <c r="N93">
        <v>0</v>
      </c>
      <c r="R93">
        <v>0</v>
      </c>
      <c r="S93">
        <v>0</v>
      </c>
      <c r="W93" t="s">
        <v>1060</v>
      </c>
      <c r="X93">
        <v>0</v>
      </c>
      <c r="Z93">
        <v>1</v>
      </c>
      <c r="AA93">
        <v>0</v>
      </c>
      <c r="AB93">
        <v>0</v>
      </c>
      <c r="AC93">
        <v>0</v>
      </c>
      <c r="AD93" s="20">
        <v>40781</v>
      </c>
      <c r="AE93">
        <v>52.5</v>
      </c>
      <c r="AF93">
        <v>0</v>
      </c>
      <c r="AH93">
        <v>0</v>
      </c>
      <c r="AJ93">
        <v>0</v>
      </c>
      <c r="AL93">
        <v>0</v>
      </c>
      <c r="AM93">
        <v>0</v>
      </c>
      <c r="AN93">
        <v>16601003</v>
      </c>
      <c r="AO93">
        <v>0</v>
      </c>
      <c r="AP93">
        <v>1000</v>
      </c>
      <c r="AT93">
        <v>0</v>
      </c>
      <c r="AU93" t="s">
        <v>1059</v>
      </c>
      <c r="AW93" t="s">
        <v>1053</v>
      </c>
      <c r="AX93">
        <v>0</v>
      </c>
      <c r="AY93" s="20">
        <v>40781</v>
      </c>
      <c r="BA93" s="20">
        <v>40781</v>
      </c>
      <c r="BB93" t="s">
        <v>1058</v>
      </c>
      <c r="BD93">
        <v>0</v>
      </c>
      <c r="BF93" t="s">
        <v>1043</v>
      </c>
      <c r="BG93" t="s">
        <v>1042</v>
      </c>
      <c r="BH93">
        <v>0</v>
      </c>
      <c r="BI93">
        <v>1</v>
      </c>
      <c r="BJ93">
        <v>0</v>
      </c>
      <c r="BK93">
        <v>0</v>
      </c>
      <c r="BM93" t="s">
        <v>1042</v>
      </c>
      <c r="BN93">
        <v>0</v>
      </c>
      <c r="BR93" t="s">
        <v>1043</v>
      </c>
      <c r="BS93" t="s">
        <v>1043</v>
      </c>
      <c r="BT93" t="s">
        <v>1043</v>
      </c>
      <c r="BW93">
        <v>83</v>
      </c>
      <c r="CA93">
        <v>0</v>
      </c>
      <c r="CB93" t="s">
        <v>1057</v>
      </c>
      <c r="CE93" t="s">
        <v>1043</v>
      </c>
      <c r="CH93" t="s">
        <v>1043</v>
      </c>
      <c r="CN93" t="s">
        <v>1056</v>
      </c>
      <c r="CO93" t="s">
        <v>1043</v>
      </c>
      <c r="CP93">
        <v>1</v>
      </c>
      <c r="CQ93">
        <v>0</v>
      </c>
      <c r="CS93">
        <v>0</v>
      </c>
      <c r="CT93">
        <v>0</v>
      </c>
      <c r="CU93">
        <v>0</v>
      </c>
      <c r="CV93" t="s">
        <v>1045</v>
      </c>
      <c r="CW93">
        <v>0</v>
      </c>
      <c r="CX93">
        <v>0</v>
      </c>
      <c r="CY93">
        <v>0</v>
      </c>
      <c r="CZ93">
        <v>0</v>
      </c>
      <c r="DB93">
        <v>0</v>
      </c>
      <c r="DC93" t="s">
        <v>1043</v>
      </c>
      <c r="DF93" t="s">
        <v>1055</v>
      </c>
      <c r="DH93">
        <v>0</v>
      </c>
      <c r="DJ93">
        <v>0</v>
      </c>
      <c r="DK93" t="s">
        <v>1053</v>
      </c>
      <c r="DL93">
        <v>0</v>
      </c>
      <c r="DN93">
        <v>0</v>
      </c>
      <c r="DO93" t="s">
        <v>1042</v>
      </c>
      <c r="DP93">
        <v>0</v>
      </c>
      <c r="DQ93">
        <v>0</v>
      </c>
      <c r="DS93">
        <v>0</v>
      </c>
      <c r="DU93">
        <v>0</v>
      </c>
      <c r="DW93">
        <v>0</v>
      </c>
      <c r="DX93" t="s">
        <v>1043</v>
      </c>
      <c r="DY93">
        <v>0</v>
      </c>
      <c r="DZ93">
        <v>0</v>
      </c>
      <c r="EA93">
        <v>0</v>
      </c>
      <c r="ED93" t="s">
        <v>1045</v>
      </c>
      <c r="EE93">
        <v>0</v>
      </c>
      <c r="EF93">
        <v>0</v>
      </c>
      <c r="EQ93" t="s">
        <v>1044</v>
      </c>
      <c r="ES93" t="s">
        <v>1053</v>
      </c>
      <c r="ET93">
        <v>0</v>
      </c>
      <c r="EV93">
        <v>0</v>
      </c>
      <c r="EY93" t="s">
        <v>1052</v>
      </c>
      <c r="EZ93">
        <v>0</v>
      </c>
      <c r="FA93" t="s">
        <v>1043</v>
      </c>
      <c r="FB93">
        <v>0</v>
      </c>
      <c r="FC93">
        <v>0</v>
      </c>
      <c r="FE93" t="s">
        <v>1050</v>
      </c>
      <c r="FF93">
        <v>0</v>
      </c>
      <c r="FG93" t="s">
        <v>1050</v>
      </c>
      <c r="FJ93">
        <v>0</v>
      </c>
      <c r="FK93">
        <v>0</v>
      </c>
      <c r="FP93">
        <v>0</v>
      </c>
      <c r="FR93">
        <v>0</v>
      </c>
      <c r="FS93" t="s">
        <v>1043</v>
      </c>
      <c r="FX93" t="s">
        <v>1042</v>
      </c>
      <c r="FZ93" t="s">
        <v>1048</v>
      </c>
      <c r="GA93">
        <v>0</v>
      </c>
      <c r="GB93" t="s">
        <v>1042</v>
      </c>
      <c r="GE93">
        <v>0</v>
      </c>
      <c r="GG93">
        <v>0</v>
      </c>
      <c r="GN93">
        <v>0</v>
      </c>
      <c r="GO93" t="s">
        <v>1063</v>
      </c>
      <c r="GQ93">
        <v>0</v>
      </c>
      <c r="GU93">
        <v>0</v>
      </c>
      <c r="GY93" t="s">
        <v>1045</v>
      </c>
      <c r="HB93">
        <v>0</v>
      </c>
      <c r="HE93">
        <v>0</v>
      </c>
      <c r="HF93">
        <v>0</v>
      </c>
      <c r="HG93">
        <v>0</v>
      </c>
      <c r="HK93" t="s">
        <v>1042</v>
      </c>
      <c r="HM93" t="s">
        <v>1047</v>
      </c>
      <c r="HN93">
        <v>0</v>
      </c>
      <c r="HP93">
        <v>0</v>
      </c>
      <c r="HQ93">
        <v>0</v>
      </c>
      <c r="HR93" t="s">
        <v>1042</v>
      </c>
      <c r="HS93" t="s">
        <v>1043</v>
      </c>
      <c r="HT93">
        <v>0</v>
      </c>
      <c r="HU93">
        <v>0</v>
      </c>
      <c r="HW93">
        <v>0</v>
      </c>
      <c r="HX93">
        <v>0</v>
      </c>
      <c r="HY93">
        <v>0</v>
      </c>
      <c r="HZ93" t="s">
        <v>1045</v>
      </c>
      <c r="IA93">
        <v>0</v>
      </c>
      <c r="IB93" t="s">
        <v>1045</v>
      </c>
      <c r="ID93" t="s">
        <v>1045</v>
      </c>
      <c r="IF93">
        <v>0</v>
      </c>
      <c r="IG93" t="s">
        <v>1042</v>
      </c>
      <c r="II93" t="s">
        <v>1042</v>
      </c>
      <c r="IR93" t="s">
        <v>1045</v>
      </c>
      <c r="IT93">
        <v>0</v>
      </c>
      <c r="IY93" t="s">
        <v>1044</v>
      </c>
      <c r="IZ93" t="s">
        <v>1043</v>
      </c>
      <c r="JC93" t="s">
        <v>1043</v>
      </c>
      <c r="JE93">
        <v>0</v>
      </c>
      <c r="JF93">
        <v>0</v>
      </c>
      <c r="JI93" t="s">
        <v>1042</v>
      </c>
      <c r="JJ93">
        <v>0</v>
      </c>
      <c r="JK93">
        <v>0</v>
      </c>
      <c r="JL93">
        <v>0</v>
      </c>
      <c r="JM93">
        <v>0</v>
      </c>
      <c r="JQ93" t="s">
        <v>1043</v>
      </c>
      <c r="JT93">
        <v>0</v>
      </c>
      <c r="JU93" t="s">
        <v>1042</v>
      </c>
      <c r="JW93">
        <v>0</v>
      </c>
      <c r="KA93">
        <v>0</v>
      </c>
      <c r="KF93">
        <v>0</v>
      </c>
      <c r="KG93">
        <v>0</v>
      </c>
      <c r="KH93">
        <v>0</v>
      </c>
      <c r="KI93">
        <v>0</v>
      </c>
      <c r="KS93" t="s">
        <v>1073</v>
      </c>
      <c r="KT93">
        <v>0</v>
      </c>
      <c r="KU93">
        <v>0</v>
      </c>
      <c r="KV93">
        <v>0</v>
      </c>
      <c r="KX93">
        <v>0</v>
      </c>
      <c r="KZ93">
        <v>0</v>
      </c>
      <c r="LF93">
        <v>0</v>
      </c>
      <c r="LH93">
        <v>0</v>
      </c>
      <c r="LI93">
        <v>0</v>
      </c>
    </row>
    <row r="94" spans="1:321" x14ac:dyDescent="0.35">
      <c r="A94">
        <v>1</v>
      </c>
      <c r="B94">
        <v>12331</v>
      </c>
      <c r="C94" t="s">
        <v>1618</v>
      </c>
      <c r="D94" t="s">
        <v>1139</v>
      </c>
      <c r="E94" t="s">
        <v>85</v>
      </c>
      <c r="F94">
        <v>80</v>
      </c>
      <c r="G94">
        <v>9000</v>
      </c>
      <c r="H94">
        <v>0</v>
      </c>
      <c r="I94" t="s">
        <v>1050</v>
      </c>
      <c r="L94">
        <v>0</v>
      </c>
      <c r="M94">
        <v>0</v>
      </c>
      <c r="N94">
        <v>0</v>
      </c>
      <c r="R94">
        <v>0</v>
      </c>
      <c r="S94">
        <v>0</v>
      </c>
      <c r="W94" t="s">
        <v>1060</v>
      </c>
      <c r="X94">
        <v>0</v>
      </c>
      <c r="Z94">
        <v>1</v>
      </c>
      <c r="AA94">
        <v>0</v>
      </c>
      <c r="AB94">
        <v>0</v>
      </c>
      <c r="AC94">
        <v>0</v>
      </c>
      <c r="AD94" s="20">
        <v>40781</v>
      </c>
      <c r="AE94">
        <v>99.75</v>
      </c>
      <c r="AF94">
        <v>0</v>
      </c>
      <c r="AH94">
        <v>0</v>
      </c>
      <c r="AJ94">
        <v>0</v>
      </c>
      <c r="AL94">
        <v>0</v>
      </c>
      <c r="AM94">
        <v>0</v>
      </c>
      <c r="AN94">
        <v>16601003</v>
      </c>
      <c r="AO94">
        <v>0</v>
      </c>
      <c r="AP94">
        <v>1000</v>
      </c>
      <c r="AT94">
        <v>0</v>
      </c>
      <c r="AU94" t="s">
        <v>1059</v>
      </c>
      <c r="AW94" t="s">
        <v>1053</v>
      </c>
      <c r="AX94">
        <v>0</v>
      </c>
      <c r="AY94" s="20">
        <v>40781</v>
      </c>
      <c r="BA94" s="20">
        <v>40781</v>
      </c>
      <c r="BB94" t="s">
        <v>1058</v>
      </c>
      <c r="BD94">
        <v>0</v>
      </c>
      <c r="BF94" t="s">
        <v>1043</v>
      </c>
      <c r="BG94" t="s">
        <v>1042</v>
      </c>
      <c r="BH94">
        <v>0</v>
      </c>
      <c r="BI94">
        <v>1</v>
      </c>
      <c r="BJ94">
        <v>0</v>
      </c>
      <c r="BK94">
        <v>0</v>
      </c>
      <c r="BM94" t="s">
        <v>1042</v>
      </c>
      <c r="BN94">
        <v>0</v>
      </c>
      <c r="BR94" t="s">
        <v>1043</v>
      </c>
      <c r="BS94" t="s">
        <v>1043</v>
      </c>
      <c r="BT94" t="s">
        <v>1043</v>
      </c>
      <c r="BW94">
        <v>83</v>
      </c>
      <c r="CA94">
        <v>0</v>
      </c>
      <c r="CB94" t="s">
        <v>1057</v>
      </c>
      <c r="CE94" t="s">
        <v>1043</v>
      </c>
      <c r="CH94" t="s">
        <v>1043</v>
      </c>
      <c r="CN94" t="s">
        <v>1056</v>
      </c>
      <c r="CO94" t="s">
        <v>1043</v>
      </c>
      <c r="CP94">
        <v>1</v>
      </c>
      <c r="CQ94">
        <v>0</v>
      </c>
      <c r="CS94">
        <v>0</v>
      </c>
      <c r="CT94">
        <v>0</v>
      </c>
      <c r="CU94">
        <v>0</v>
      </c>
      <c r="CV94" t="s">
        <v>1045</v>
      </c>
      <c r="CW94">
        <v>0</v>
      </c>
      <c r="CX94">
        <v>0</v>
      </c>
      <c r="CY94">
        <v>0</v>
      </c>
      <c r="CZ94">
        <v>0</v>
      </c>
      <c r="DB94">
        <v>0</v>
      </c>
      <c r="DC94" t="s">
        <v>1043</v>
      </c>
      <c r="DF94" t="s">
        <v>1055</v>
      </c>
      <c r="DH94">
        <v>0</v>
      </c>
      <c r="DJ94">
        <v>0</v>
      </c>
      <c r="DK94" t="s">
        <v>1053</v>
      </c>
      <c r="DL94">
        <v>0</v>
      </c>
      <c r="DN94">
        <v>0</v>
      </c>
      <c r="DO94" t="s">
        <v>1042</v>
      </c>
      <c r="DP94">
        <v>0</v>
      </c>
      <c r="DQ94">
        <v>0</v>
      </c>
      <c r="DS94">
        <v>0</v>
      </c>
      <c r="DU94">
        <v>0</v>
      </c>
      <c r="DW94">
        <v>0</v>
      </c>
      <c r="DX94" t="s">
        <v>1043</v>
      </c>
      <c r="DY94">
        <v>0</v>
      </c>
      <c r="DZ94">
        <v>0</v>
      </c>
      <c r="EA94">
        <v>0</v>
      </c>
      <c r="ED94" t="s">
        <v>1045</v>
      </c>
      <c r="EE94">
        <v>0</v>
      </c>
      <c r="EF94">
        <v>0</v>
      </c>
      <c r="EQ94" t="s">
        <v>1044</v>
      </c>
      <c r="ES94" t="s">
        <v>1053</v>
      </c>
      <c r="ET94">
        <v>0</v>
      </c>
      <c r="EV94">
        <v>0</v>
      </c>
      <c r="EY94" t="s">
        <v>1052</v>
      </c>
      <c r="EZ94">
        <v>0</v>
      </c>
      <c r="FA94" t="s">
        <v>1043</v>
      </c>
      <c r="FB94">
        <v>0</v>
      </c>
      <c r="FC94">
        <v>0</v>
      </c>
      <c r="FE94" t="s">
        <v>1050</v>
      </c>
      <c r="FF94">
        <v>0</v>
      </c>
      <c r="FG94" t="s">
        <v>1050</v>
      </c>
      <c r="FJ94">
        <v>0</v>
      </c>
      <c r="FK94">
        <v>0</v>
      </c>
      <c r="FP94">
        <v>0</v>
      </c>
      <c r="FR94">
        <v>0</v>
      </c>
      <c r="FS94" t="s">
        <v>1043</v>
      </c>
      <c r="FX94" t="s">
        <v>1042</v>
      </c>
      <c r="FZ94" t="s">
        <v>1048</v>
      </c>
      <c r="GA94">
        <v>0</v>
      </c>
      <c r="GB94" t="s">
        <v>1042</v>
      </c>
      <c r="GE94">
        <v>0</v>
      </c>
      <c r="GG94">
        <v>0</v>
      </c>
      <c r="GN94">
        <v>0</v>
      </c>
      <c r="GO94" t="s">
        <v>1063</v>
      </c>
      <c r="GQ94">
        <v>0</v>
      </c>
      <c r="GU94">
        <v>0</v>
      </c>
      <c r="GY94" t="s">
        <v>1045</v>
      </c>
      <c r="HB94">
        <v>0</v>
      </c>
      <c r="HE94">
        <v>0</v>
      </c>
      <c r="HF94">
        <v>0</v>
      </c>
      <c r="HG94">
        <v>0</v>
      </c>
      <c r="HK94" t="s">
        <v>1042</v>
      </c>
      <c r="HM94" t="s">
        <v>1047</v>
      </c>
      <c r="HN94">
        <v>0</v>
      </c>
      <c r="HP94">
        <v>0</v>
      </c>
      <c r="HQ94">
        <v>0</v>
      </c>
      <c r="HR94" t="s">
        <v>1042</v>
      </c>
      <c r="HS94" t="s">
        <v>1043</v>
      </c>
      <c r="HT94">
        <v>0</v>
      </c>
      <c r="HU94">
        <v>0</v>
      </c>
      <c r="HW94">
        <v>0</v>
      </c>
      <c r="HX94">
        <v>0</v>
      </c>
      <c r="HY94">
        <v>0</v>
      </c>
      <c r="HZ94" t="s">
        <v>1045</v>
      </c>
      <c r="IA94">
        <v>0</v>
      </c>
      <c r="IB94" t="s">
        <v>1045</v>
      </c>
      <c r="ID94" t="s">
        <v>1045</v>
      </c>
      <c r="IF94">
        <v>0</v>
      </c>
      <c r="IG94" t="s">
        <v>1042</v>
      </c>
      <c r="II94" t="s">
        <v>1042</v>
      </c>
      <c r="IR94" t="s">
        <v>1045</v>
      </c>
      <c r="IT94">
        <v>0</v>
      </c>
      <c r="IY94" t="s">
        <v>1044</v>
      </c>
      <c r="IZ94" t="s">
        <v>1043</v>
      </c>
      <c r="JC94" t="s">
        <v>1043</v>
      </c>
      <c r="JE94">
        <v>0</v>
      </c>
      <c r="JF94">
        <v>0</v>
      </c>
      <c r="JI94" t="s">
        <v>1042</v>
      </c>
      <c r="JJ94">
        <v>0</v>
      </c>
      <c r="JK94">
        <v>0</v>
      </c>
      <c r="JL94">
        <v>0</v>
      </c>
      <c r="JM94">
        <v>0</v>
      </c>
      <c r="JQ94" t="s">
        <v>1043</v>
      </c>
      <c r="JT94">
        <v>0</v>
      </c>
      <c r="JU94" t="s">
        <v>1042</v>
      </c>
      <c r="JW94">
        <v>0</v>
      </c>
      <c r="KA94">
        <v>0</v>
      </c>
      <c r="KF94">
        <v>0</v>
      </c>
      <c r="KG94">
        <v>0</v>
      </c>
      <c r="KH94">
        <v>0</v>
      </c>
      <c r="KI94">
        <v>0</v>
      </c>
      <c r="KS94" t="s">
        <v>1073</v>
      </c>
      <c r="KT94">
        <v>0</v>
      </c>
      <c r="KU94">
        <v>0</v>
      </c>
      <c r="KV94">
        <v>0</v>
      </c>
      <c r="KX94">
        <v>0</v>
      </c>
      <c r="KZ94">
        <v>0</v>
      </c>
      <c r="LF94">
        <v>0</v>
      </c>
      <c r="LH94">
        <v>0</v>
      </c>
      <c r="LI94">
        <v>0</v>
      </c>
    </row>
    <row r="95" spans="1:321" x14ac:dyDescent="0.35">
      <c r="A95">
        <v>1</v>
      </c>
      <c r="B95">
        <v>12332</v>
      </c>
      <c r="C95" t="s">
        <v>1617</v>
      </c>
      <c r="D95" t="s">
        <v>1139</v>
      </c>
      <c r="E95" t="s">
        <v>85</v>
      </c>
      <c r="F95">
        <v>80</v>
      </c>
      <c r="G95">
        <v>9000</v>
      </c>
      <c r="H95">
        <v>0</v>
      </c>
      <c r="I95" t="s">
        <v>1501</v>
      </c>
      <c r="L95">
        <v>0</v>
      </c>
      <c r="M95">
        <v>0</v>
      </c>
      <c r="N95">
        <v>0</v>
      </c>
      <c r="R95">
        <v>0</v>
      </c>
      <c r="S95">
        <v>0</v>
      </c>
      <c r="W95" t="s">
        <v>1060</v>
      </c>
      <c r="X95">
        <v>0</v>
      </c>
      <c r="Z95">
        <v>1</v>
      </c>
      <c r="AA95">
        <v>0</v>
      </c>
      <c r="AB95">
        <v>0</v>
      </c>
      <c r="AC95">
        <v>51.6</v>
      </c>
      <c r="AD95" s="20">
        <v>40784</v>
      </c>
      <c r="AE95">
        <v>51</v>
      </c>
      <c r="AF95">
        <v>0</v>
      </c>
      <c r="AH95">
        <v>0</v>
      </c>
      <c r="AJ95">
        <v>0</v>
      </c>
      <c r="AL95">
        <v>1</v>
      </c>
      <c r="AM95">
        <v>0</v>
      </c>
      <c r="AN95">
        <v>16601001</v>
      </c>
      <c r="AO95">
        <v>0</v>
      </c>
      <c r="AP95">
        <v>1000</v>
      </c>
      <c r="AT95">
        <v>0</v>
      </c>
      <c r="AU95" t="s">
        <v>1059</v>
      </c>
      <c r="AW95" t="s">
        <v>1053</v>
      </c>
      <c r="AX95">
        <v>0</v>
      </c>
      <c r="AY95" s="20">
        <v>40784</v>
      </c>
      <c r="BA95" s="20">
        <v>40784</v>
      </c>
      <c r="BB95" t="s">
        <v>1058</v>
      </c>
      <c r="BD95">
        <v>0</v>
      </c>
      <c r="BF95" t="s">
        <v>1043</v>
      </c>
      <c r="BG95" t="s">
        <v>1042</v>
      </c>
      <c r="BH95">
        <v>0</v>
      </c>
      <c r="BI95">
        <v>1</v>
      </c>
      <c r="BJ95">
        <v>0</v>
      </c>
      <c r="BK95">
        <v>0</v>
      </c>
      <c r="BM95" t="s">
        <v>1042</v>
      </c>
      <c r="BN95">
        <v>0</v>
      </c>
      <c r="BR95" t="s">
        <v>1043</v>
      </c>
      <c r="BS95" t="s">
        <v>1043</v>
      </c>
      <c r="BT95" t="s">
        <v>1043</v>
      </c>
      <c r="BW95">
        <v>83</v>
      </c>
      <c r="CA95">
        <v>0</v>
      </c>
      <c r="CB95" t="s">
        <v>1057</v>
      </c>
      <c r="CE95" t="s">
        <v>1043</v>
      </c>
      <c r="CH95" t="s">
        <v>1043</v>
      </c>
      <c r="CN95" t="s">
        <v>1056</v>
      </c>
      <c r="CO95" t="s">
        <v>1043</v>
      </c>
      <c r="CP95">
        <v>1</v>
      </c>
      <c r="CQ95">
        <v>0</v>
      </c>
      <c r="CS95">
        <v>0</v>
      </c>
      <c r="CT95">
        <v>0</v>
      </c>
      <c r="CU95">
        <v>0</v>
      </c>
      <c r="CV95" t="s">
        <v>1045</v>
      </c>
      <c r="CW95">
        <v>0</v>
      </c>
      <c r="CX95">
        <v>0</v>
      </c>
      <c r="CY95">
        <v>0</v>
      </c>
      <c r="CZ95">
        <v>0</v>
      </c>
      <c r="DB95">
        <v>0</v>
      </c>
      <c r="DC95" t="s">
        <v>1043</v>
      </c>
      <c r="DF95" t="s">
        <v>1055</v>
      </c>
      <c r="DH95">
        <v>0</v>
      </c>
      <c r="DJ95">
        <v>0</v>
      </c>
      <c r="DK95" t="s">
        <v>1053</v>
      </c>
      <c r="DL95">
        <v>0</v>
      </c>
      <c r="DN95">
        <v>0</v>
      </c>
      <c r="DO95" t="s">
        <v>1042</v>
      </c>
      <c r="DP95">
        <v>0</v>
      </c>
      <c r="DQ95">
        <v>0</v>
      </c>
      <c r="DS95">
        <v>0</v>
      </c>
      <c r="DU95">
        <v>0</v>
      </c>
      <c r="DW95">
        <v>0</v>
      </c>
      <c r="DX95" t="s">
        <v>1043</v>
      </c>
      <c r="DY95">
        <v>0</v>
      </c>
      <c r="DZ95">
        <v>0</v>
      </c>
      <c r="EA95">
        <v>0</v>
      </c>
      <c r="ED95" t="s">
        <v>1045</v>
      </c>
      <c r="EE95">
        <v>0</v>
      </c>
      <c r="EF95">
        <v>0</v>
      </c>
      <c r="EQ95" t="s">
        <v>1044</v>
      </c>
      <c r="ES95" t="s">
        <v>1053</v>
      </c>
      <c r="ET95">
        <v>0</v>
      </c>
      <c r="EV95">
        <v>0</v>
      </c>
      <c r="EY95" t="s">
        <v>1052</v>
      </c>
      <c r="EZ95">
        <v>0</v>
      </c>
      <c r="FA95" t="s">
        <v>1043</v>
      </c>
      <c r="FB95">
        <v>0</v>
      </c>
      <c r="FC95">
        <v>0</v>
      </c>
      <c r="FE95" t="s">
        <v>1050</v>
      </c>
      <c r="FF95">
        <v>0</v>
      </c>
      <c r="FG95" t="s">
        <v>1050</v>
      </c>
      <c r="FJ95">
        <v>0</v>
      </c>
      <c r="FK95">
        <v>0</v>
      </c>
      <c r="FP95">
        <v>0</v>
      </c>
      <c r="FR95">
        <v>0</v>
      </c>
      <c r="FS95" t="s">
        <v>1043</v>
      </c>
      <c r="FX95" t="s">
        <v>1042</v>
      </c>
      <c r="FZ95" t="s">
        <v>1048</v>
      </c>
      <c r="GA95">
        <v>0</v>
      </c>
      <c r="GB95" t="s">
        <v>1042</v>
      </c>
      <c r="GE95">
        <v>0</v>
      </c>
      <c r="GG95">
        <v>0</v>
      </c>
      <c r="GN95">
        <v>0</v>
      </c>
      <c r="GO95" t="s">
        <v>1063</v>
      </c>
      <c r="GQ95">
        <v>0</v>
      </c>
      <c r="GU95">
        <v>0</v>
      </c>
      <c r="GY95" t="s">
        <v>1045</v>
      </c>
      <c r="HB95">
        <v>0</v>
      </c>
      <c r="HE95">
        <v>0</v>
      </c>
      <c r="HF95">
        <v>0</v>
      </c>
      <c r="HG95">
        <v>0</v>
      </c>
      <c r="HK95" t="s">
        <v>1042</v>
      </c>
      <c r="HM95" t="s">
        <v>1047</v>
      </c>
      <c r="HN95">
        <v>0</v>
      </c>
      <c r="HP95">
        <v>0</v>
      </c>
      <c r="HQ95">
        <v>0</v>
      </c>
      <c r="HR95" t="s">
        <v>1042</v>
      </c>
      <c r="HS95" t="s">
        <v>1043</v>
      </c>
      <c r="HT95">
        <v>0</v>
      </c>
      <c r="HU95">
        <v>0</v>
      </c>
      <c r="HW95">
        <v>0</v>
      </c>
      <c r="HX95">
        <v>0</v>
      </c>
      <c r="HY95">
        <v>0</v>
      </c>
      <c r="HZ95" t="s">
        <v>1045</v>
      </c>
      <c r="IA95">
        <v>0</v>
      </c>
      <c r="IB95" t="s">
        <v>1045</v>
      </c>
      <c r="ID95" t="s">
        <v>1045</v>
      </c>
      <c r="IF95">
        <v>0</v>
      </c>
      <c r="IG95" t="s">
        <v>1042</v>
      </c>
      <c r="II95" t="s">
        <v>1042</v>
      </c>
      <c r="IR95" t="s">
        <v>1045</v>
      </c>
      <c r="IT95">
        <v>0</v>
      </c>
      <c r="IY95" t="s">
        <v>1044</v>
      </c>
      <c r="IZ95" t="s">
        <v>1043</v>
      </c>
      <c r="JC95" t="s">
        <v>1043</v>
      </c>
      <c r="JE95">
        <v>0</v>
      </c>
      <c r="JF95">
        <v>0</v>
      </c>
      <c r="JI95" t="s">
        <v>1042</v>
      </c>
      <c r="JJ95">
        <v>0</v>
      </c>
      <c r="JK95">
        <v>0</v>
      </c>
      <c r="JL95">
        <v>0</v>
      </c>
      <c r="JM95">
        <v>0</v>
      </c>
      <c r="JQ95" t="s">
        <v>1043</v>
      </c>
      <c r="JT95">
        <v>0</v>
      </c>
      <c r="JU95" t="s">
        <v>1042</v>
      </c>
      <c r="JW95">
        <v>0</v>
      </c>
      <c r="KA95">
        <v>0</v>
      </c>
      <c r="KF95">
        <v>0</v>
      </c>
      <c r="KG95">
        <v>0</v>
      </c>
      <c r="KH95">
        <v>0</v>
      </c>
      <c r="KI95">
        <v>0</v>
      </c>
      <c r="KS95" t="s">
        <v>1073</v>
      </c>
      <c r="KT95">
        <v>0</v>
      </c>
      <c r="KU95">
        <v>0</v>
      </c>
      <c r="KV95">
        <v>0</v>
      </c>
      <c r="KX95">
        <v>0</v>
      </c>
      <c r="KZ95">
        <v>0</v>
      </c>
      <c r="LF95">
        <v>0</v>
      </c>
      <c r="LH95">
        <v>0</v>
      </c>
      <c r="LI95">
        <v>0</v>
      </c>
    </row>
    <row r="96" spans="1:321" x14ac:dyDescent="0.35">
      <c r="A96">
        <v>1</v>
      </c>
      <c r="B96">
        <v>12333</v>
      </c>
      <c r="C96" t="s">
        <v>1616</v>
      </c>
      <c r="D96" t="s">
        <v>1139</v>
      </c>
      <c r="E96" t="s">
        <v>587</v>
      </c>
      <c r="F96">
        <v>80</v>
      </c>
      <c r="G96">
        <v>0</v>
      </c>
      <c r="H96">
        <v>0</v>
      </c>
      <c r="I96" t="s">
        <v>1323</v>
      </c>
      <c r="L96">
        <v>0</v>
      </c>
      <c r="M96">
        <v>0</v>
      </c>
      <c r="N96">
        <v>0</v>
      </c>
      <c r="R96">
        <v>0</v>
      </c>
      <c r="S96">
        <v>0</v>
      </c>
      <c r="W96" t="s">
        <v>1060</v>
      </c>
      <c r="X96">
        <v>0</v>
      </c>
      <c r="Z96">
        <v>1</v>
      </c>
      <c r="AA96">
        <v>0</v>
      </c>
      <c r="AB96">
        <v>0</v>
      </c>
      <c r="AC96">
        <v>0.87119999999999997</v>
      </c>
      <c r="AD96" s="20">
        <v>44120</v>
      </c>
      <c r="AE96">
        <v>0.96</v>
      </c>
      <c r="AF96">
        <v>0</v>
      </c>
      <c r="AH96">
        <v>0</v>
      </c>
      <c r="AJ96">
        <v>0</v>
      </c>
      <c r="AL96">
        <v>1</v>
      </c>
      <c r="AM96">
        <v>0</v>
      </c>
      <c r="AN96">
        <v>437721</v>
      </c>
      <c r="AO96">
        <v>0</v>
      </c>
      <c r="AP96">
        <v>1001</v>
      </c>
      <c r="AT96">
        <v>0</v>
      </c>
      <c r="AU96" t="s">
        <v>1059</v>
      </c>
      <c r="AW96" t="s">
        <v>1053</v>
      </c>
      <c r="AX96">
        <v>0</v>
      </c>
      <c r="AY96" s="20">
        <v>40784</v>
      </c>
      <c r="BA96" s="20">
        <v>40784</v>
      </c>
      <c r="BB96" t="s">
        <v>1058</v>
      </c>
      <c r="BD96">
        <v>0</v>
      </c>
      <c r="BF96" t="s">
        <v>1043</v>
      </c>
      <c r="BG96" t="s">
        <v>1042</v>
      </c>
      <c r="BH96">
        <v>0</v>
      </c>
      <c r="BI96">
        <v>1</v>
      </c>
      <c r="BJ96">
        <v>0</v>
      </c>
      <c r="BK96">
        <v>0</v>
      </c>
      <c r="BM96" t="s">
        <v>1042</v>
      </c>
      <c r="BN96">
        <v>0</v>
      </c>
      <c r="BR96" t="s">
        <v>1043</v>
      </c>
      <c r="BS96" t="s">
        <v>1043</v>
      </c>
      <c r="BT96" t="s">
        <v>1043</v>
      </c>
      <c r="BW96">
        <v>83</v>
      </c>
      <c r="CA96">
        <v>0</v>
      </c>
      <c r="CB96" t="s">
        <v>1057</v>
      </c>
      <c r="CE96" t="s">
        <v>1043</v>
      </c>
      <c r="CH96" t="s">
        <v>1043</v>
      </c>
      <c r="CN96" t="s">
        <v>1056</v>
      </c>
      <c r="CO96" t="s">
        <v>1043</v>
      </c>
      <c r="CP96">
        <v>1</v>
      </c>
      <c r="CQ96">
        <v>0</v>
      </c>
      <c r="CS96">
        <v>0</v>
      </c>
      <c r="CT96">
        <v>0</v>
      </c>
      <c r="CU96">
        <v>0</v>
      </c>
      <c r="CV96" t="s">
        <v>1045</v>
      </c>
      <c r="CW96">
        <v>0</v>
      </c>
      <c r="CX96">
        <v>0</v>
      </c>
      <c r="CY96">
        <v>0</v>
      </c>
      <c r="CZ96">
        <v>0</v>
      </c>
      <c r="DB96">
        <v>0</v>
      </c>
      <c r="DC96" t="s">
        <v>1043</v>
      </c>
      <c r="DF96" t="s">
        <v>1055</v>
      </c>
      <c r="DH96">
        <v>0</v>
      </c>
      <c r="DJ96">
        <v>0</v>
      </c>
      <c r="DK96" t="s">
        <v>1053</v>
      </c>
      <c r="DL96">
        <v>0</v>
      </c>
      <c r="DN96">
        <v>0</v>
      </c>
      <c r="DO96" t="s">
        <v>1042</v>
      </c>
      <c r="DP96">
        <v>0</v>
      </c>
      <c r="DQ96">
        <v>0</v>
      </c>
      <c r="DS96">
        <v>0</v>
      </c>
      <c r="DU96">
        <v>0</v>
      </c>
      <c r="DW96">
        <v>0</v>
      </c>
      <c r="DX96" t="s">
        <v>1043</v>
      </c>
      <c r="DY96">
        <v>0</v>
      </c>
      <c r="DZ96">
        <v>0</v>
      </c>
      <c r="EA96">
        <v>0</v>
      </c>
      <c r="ED96" t="s">
        <v>1045</v>
      </c>
      <c r="EE96">
        <v>0</v>
      </c>
      <c r="EF96">
        <v>0</v>
      </c>
      <c r="EQ96" t="s">
        <v>1044</v>
      </c>
      <c r="ES96" t="s">
        <v>1053</v>
      </c>
      <c r="ET96">
        <v>0</v>
      </c>
      <c r="EV96">
        <v>0</v>
      </c>
      <c r="EY96" t="s">
        <v>1052</v>
      </c>
      <c r="EZ96">
        <v>0</v>
      </c>
      <c r="FA96" t="s">
        <v>1043</v>
      </c>
      <c r="FB96">
        <v>0</v>
      </c>
      <c r="FC96">
        <v>0</v>
      </c>
      <c r="FE96" t="s">
        <v>1050</v>
      </c>
      <c r="FF96">
        <v>0</v>
      </c>
      <c r="FG96" t="s">
        <v>1050</v>
      </c>
      <c r="FJ96">
        <v>0</v>
      </c>
      <c r="FK96">
        <v>0</v>
      </c>
      <c r="FP96">
        <v>0</v>
      </c>
      <c r="FR96">
        <v>0</v>
      </c>
      <c r="FS96" t="s">
        <v>1043</v>
      </c>
      <c r="FX96" t="s">
        <v>1042</v>
      </c>
      <c r="FZ96" t="s">
        <v>1048</v>
      </c>
      <c r="GA96">
        <v>0</v>
      </c>
      <c r="GB96" t="s">
        <v>1042</v>
      </c>
      <c r="GE96">
        <v>0</v>
      </c>
      <c r="GG96">
        <v>0</v>
      </c>
      <c r="GN96">
        <v>0</v>
      </c>
      <c r="GO96" t="s">
        <v>1063</v>
      </c>
      <c r="GQ96">
        <v>0</v>
      </c>
      <c r="GU96">
        <v>0</v>
      </c>
      <c r="GY96" t="s">
        <v>1045</v>
      </c>
      <c r="HB96">
        <v>0</v>
      </c>
      <c r="HE96">
        <v>0</v>
      </c>
      <c r="HF96">
        <v>0</v>
      </c>
      <c r="HG96">
        <v>0</v>
      </c>
      <c r="HK96" t="s">
        <v>1042</v>
      </c>
      <c r="HM96" t="s">
        <v>1047</v>
      </c>
      <c r="HN96">
        <v>0</v>
      </c>
      <c r="HP96">
        <v>0</v>
      </c>
      <c r="HQ96">
        <v>0</v>
      </c>
      <c r="HR96" t="s">
        <v>1042</v>
      </c>
      <c r="HS96" t="s">
        <v>1043</v>
      </c>
      <c r="HT96">
        <v>0</v>
      </c>
      <c r="HU96">
        <v>0</v>
      </c>
      <c r="HW96">
        <v>0</v>
      </c>
      <c r="HX96">
        <v>0</v>
      </c>
      <c r="HY96">
        <v>1</v>
      </c>
      <c r="HZ96" t="s">
        <v>1045</v>
      </c>
      <c r="IA96">
        <v>0.96</v>
      </c>
      <c r="IB96" t="s">
        <v>1045</v>
      </c>
      <c r="ID96" t="s">
        <v>1045</v>
      </c>
      <c r="IF96">
        <v>0</v>
      </c>
      <c r="IG96" t="s">
        <v>1042</v>
      </c>
      <c r="II96" t="s">
        <v>1042</v>
      </c>
      <c r="IR96" t="s">
        <v>1045</v>
      </c>
      <c r="IT96">
        <v>0</v>
      </c>
      <c r="IY96" t="s">
        <v>1044</v>
      </c>
      <c r="IZ96" t="s">
        <v>1043</v>
      </c>
      <c r="JC96" t="s">
        <v>1043</v>
      </c>
      <c r="JE96">
        <v>0</v>
      </c>
      <c r="JF96">
        <v>0</v>
      </c>
      <c r="JI96" t="s">
        <v>1042</v>
      </c>
      <c r="JJ96">
        <v>0</v>
      </c>
      <c r="JK96">
        <v>0</v>
      </c>
      <c r="JL96">
        <v>0</v>
      </c>
      <c r="JM96">
        <v>0</v>
      </c>
      <c r="JQ96" t="s">
        <v>1043</v>
      </c>
      <c r="JT96">
        <v>0</v>
      </c>
      <c r="JU96" t="s">
        <v>1042</v>
      </c>
      <c r="JW96">
        <v>0</v>
      </c>
      <c r="KA96">
        <v>0</v>
      </c>
      <c r="KF96">
        <v>0</v>
      </c>
      <c r="KG96">
        <v>0</v>
      </c>
      <c r="KH96">
        <v>0</v>
      </c>
      <c r="KI96">
        <v>0</v>
      </c>
      <c r="KS96" t="s">
        <v>1073</v>
      </c>
      <c r="KT96">
        <v>0</v>
      </c>
      <c r="KU96">
        <v>0</v>
      </c>
      <c r="KV96">
        <v>0</v>
      </c>
      <c r="KX96">
        <v>0</v>
      </c>
      <c r="KZ96">
        <v>0</v>
      </c>
      <c r="LF96">
        <v>0</v>
      </c>
      <c r="LH96">
        <v>0</v>
      </c>
      <c r="LI96">
        <v>0</v>
      </c>
    </row>
    <row r="97" spans="1:321" x14ac:dyDescent="0.35">
      <c r="A97">
        <v>1</v>
      </c>
      <c r="B97">
        <v>12334</v>
      </c>
      <c r="C97" t="s">
        <v>1615</v>
      </c>
      <c r="D97" t="s">
        <v>1139</v>
      </c>
      <c r="E97" t="s">
        <v>587</v>
      </c>
      <c r="F97">
        <v>80</v>
      </c>
      <c r="G97">
        <v>0</v>
      </c>
      <c r="H97">
        <v>0</v>
      </c>
      <c r="I97" t="s">
        <v>1323</v>
      </c>
      <c r="L97">
        <v>0</v>
      </c>
      <c r="M97">
        <v>0</v>
      </c>
      <c r="N97">
        <v>0</v>
      </c>
      <c r="R97">
        <v>0</v>
      </c>
      <c r="S97">
        <v>0</v>
      </c>
      <c r="W97" t="s">
        <v>1060</v>
      </c>
      <c r="X97">
        <v>0</v>
      </c>
      <c r="Z97">
        <v>1</v>
      </c>
      <c r="AA97">
        <v>0</v>
      </c>
      <c r="AB97">
        <v>0</v>
      </c>
      <c r="AC97">
        <v>0.29060000000000002</v>
      </c>
      <c r="AD97" s="20">
        <v>44120</v>
      </c>
      <c r="AE97">
        <v>0.96</v>
      </c>
      <c r="AF97">
        <v>0</v>
      </c>
      <c r="AH97">
        <v>0</v>
      </c>
      <c r="AJ97">
        <v>0</v>
      </c>
      <c r="AL97">
        <v>1</v>
      </c>
      <c r="AM97">
        <v>0</v>
      </c>
      <c r="AN97">
        <v>437721</v>
      </c>
      <c r="AO97">
        <v>0</v>
      </c>
      <c r="AP97">
        <v>1001</v>
      </c>
      <c r="AT97">
        <v>0</v>
      </c>
      <c r="AU97" t="s">
        <v>1059</v>
      </c>
      <c r="AW97" t="s">
        <v>1053</v>
      </c>
      <c r="AX97">
        <v>0</v>
      </c>
      <c r="AY97" s="20">
        <v>41729</v>
      </c>
      <c r="BA97" s="20">
        <v>40784</v>
      </c>
      <c r="BB97" t="s">
        <v>1058</v>
      </c>
      <c r="BD97">
        <v>0</v>
      </c>
      <c r="BF97" t="s">
        <v>1043</v>
      </c>
      <c r="BG97" t="s">
        <v>1042</v>
      </c>
      <c r="BH97">
        <v>0</v>
      </c>
      <c r="BI97">
        <v>1</v>
      </c>
      <c r="BJ97">
        <v>0</v>
      </c>
      <c r="BK97">
        <v>0</v>
      </c>
      <c r="BM97" t="s">
        <v>1042</v>
      </c>
      <c r="BN97">
        <v>0</v>
      </c>
      <c r="BO97">
        <v>3457801112772</v>
      </c>
      <c r="BR97" t="s">
        <v>1043</v>
      </c>
      <c r="BS97" t="s">
        <v>1043</v>
      </c>
      <c r="BT97" t="s">
        <v>1043</v>
      </c>
      <c r="BW97">
        <v>83</v>
      </c>
      <c r="CA97">
        <v>0</v>
      </c>
      <c r="CB97" t="s">
        <v>1057</v>
      </c>
      <c r="CE97" t="s">
        <v>1043</v>
      </c>
      <c r="CH97" t="s">
        <v>1043</v>
      </c>
      <c r="CN97" t="s">
        <v>1056</v>
      </c>
      <c r="CO97" t="s">
        <v>1043</v>
      </c>
      <c r="CP97">
        <v>1</v>
      </c>
      <c r="CQ97">
        <v>0</v>
      </c>
      <c r="CS97">
        <v>0</v>
      </c>
      <c r="CT97">
        <v>0</v>
      </c>
      <c r="CU97">
        <v>0</v>
      </c>
      <c r="CV97" t="s">
        <v>1045</v>
      </c>
      <c r="CW97">
        <v>0</v>
      </c>
      <c r="CX97">
        <v>0</v>
      </c>
      <c r="CY97">
        <v>0</v>
      </c>
      <c r="CZ97">
        <v>0</v>
      </c>
      <c r="DB97">
        <v>0</v>
      </c>
      <c r="DC97" t="s">
        <v>1043</v>
      </c>
      <c r="DF97" t="s">
        <v>1055</v>
      </c>
      <c r="DH97">
        <v>0</v>
      </c>
      <c r="DJ97">
        <v>0</v>
      </c>
      <c r="DK97" t="s">
        <v>1053</v>
      </c>
      <c r="DL97">
        <v>0</v>
      </c>
      <c r="DN97">
        <v>0</v>
      </c>
      <c r="DO97" t="s">
        <v>1042</v>
      </c>
      <c r="DP97">
        <v>0</v>
      </c>
      <c r="DQ97">
        <v>0</v>
      </c>
      <c r="DS97">
        <v>0</v>
      </c>
      <c r="DU97">
        <v>0</v>
      </c>
      <c r="DW97">
        <v>0</v>
      </c>
      <c r="DX97" t="s">
        <v>1043</v>
      </c>
      <c r="DY97">
        <v>0</v>
      </c>
      <c r="DZ97">
        <v>0</v>
      </c>
      <c r="EA97">
        <v>0</v>
      </c>
      <c r="ED97" t="s">
        <v>1045</v>
      </c>
      <c r="EE97">
        <v>0</v>
      </c>
      <c r="EF97">
        <v>0</v>
      </c>
      <c r="EQ97" t="s">
        <v>1044</v>
      </c>
      <c r="ES97" t="s">
        <v>1053</v>
      </c>
      <c r="ET97">
        <v>0</v>
      </c>
      <c r="EV97">
        <v>0</v>
      </c>
      <c r="EY97" t="s">
        <v>1052</v>
      </c>
      <c r="EZ97">
        <v>0</v>
      </c>
      <c r="FA97" t="s">
        <v>1043</v>
      </c>
      <c r="FB97">
        <v>0</v>
      </c>
      <c r="FC97">
        <v>0</v>
      </c>
      <c r="FE97" t="s">
        <v>1050</v>
      </c>
      <c r="FF97">
        <v>0</v>
      </c>
      <c r="FG97" t="s">
        <v>1050</v>
      </c>
      <c r="FJ97">
        <v>0</v>
      </c>
      <c r="FK97">
        <v>0</v>
      </c>
      <c r="FP97">
        <v>0</v>
      </c>
      <c r="FR97">
        <v>0</v>
      </c>
      <c r="FS97" t="s">
        <v>1043</v>
      </c>
      <c r="FX97" t="s">
        <v>1042</v>
      </c>
      <c r="FZ97" t="s">
        <v>1048</v>
      </c>
      <c r="GA97">
        <v>0</v>
      </c>
      <c r="GB97" t="s">
        <v>1042</v>
      </c>
      <c r="GE97">
        <v>0</v>
      </c>
      <c r="GG97">
        <v>0</v>
      </c>
      <c r="GN97">
        <v>0</v>
      </c>
      <c r="GO97" t="s">
        <v>1063</v>
      </c>
      <c r="GQ97">
        <v>0</v>
      </c>
      <c r="GU97">
        <v>0</v>
      </c>
      <c r="GY97" t="s">
        <v>1045</v>
      </c>
      <c r="HB97">
        <v>0</v>
      </c>
      <c r="HE97">
        <v>0</v>
      </c>
      <c r="HF97">
        <v>0</v>
      </c>
      <c r="HG97">
        <v>0</v>
      </c>
      <c r="HK97" t="s">
        <v>1042</v>
      </c>
      <c r="HM97" t="s">
        <v>1047</v>
      </c>
      <c r="HN97">
        <v>0</v>
      </c>
      <c r="HP97">
        <v>0</v>
      </c>
      <c r="HQ97">
        <v>0</v>
      </c>
      <c r="HR97" s="20">
        <v>44221</v>
      </c>
      <c r="HS97" t="s">
        <v>1043</v>
      </c>
      <c r="HT97">
        <v>0</v>
      </c>
      <c r="HU97">
        <v>0</v>
      </c>
      <c r="HW97">
        <v>0</v>
      </c>
      <c r="HX97">
        <v>0</v>
      </c>
      <c r="HY97">
        <v>1</v>
      </c>
      <c r="HZ97" t="s">
        <v>1045</v>
      </c>
      <c r="IA97">
        <v>0.96</v>
      </c>
      <c r="IB97" t="s">
        <v>1045</v>
      </c>
      <c r="ID97" t="s">
        <v>1045</v>
      </c>
      <c r="IF97">
        <v>0</v>
      </c>
      <c r="IG97" t="s">
        <v>1042</v>
      </c>
      <c r="II97" t="s">
        <v>1042</v>
      </c>
      <c r="IR97" t="s">
        <v>1045</v>
      </c>
      <c r="IT97">
        <v>0</v>
      </c>
      <c r="IY97" t="s">
        <v>1044</v>
      </c>
      <c r="IZ97" t="s">
        <v>1043</v>
      </c>
      <c r="JC97" t="s">
        <v>1043</v>
      </c>
      <c r="JE97">
        <v>0</v>
      </c>
      <c r="JF97">
        <v>0</v>
      </c>
      <c r="JI97" t="s">
        <v>1042</v>
      </c>
      <c r="JJ97">
        <v>0</v>
      </c>
      <c r="JK97">
        <v>0</v>
      </c>
      <c r="JL97">
        <v>0</v>
      </c>
      <c r="JM97">
        <v>0</v>
      </c>
      <c r="JQ97" t="s">
        <v>1043</v>
      </c>
      <c r="JT97">
        <v>0</v>
      </c>
      <c r="JU97" t="s">
        <v>1042</v>
      </c>
      <c r="JW97">
        <v>0</v>
      </c>
      <c r="KA97">
        <v>0</v>
      </c>
      <c r="KF97">
        <v>0</v>
      </c>
      <c r="KG97">
        <v>0</v>
      </c>
      <c r="KH97">
        <v>0</v>
      </c>
      <c r="KI97">
        <v>0</v>
      </c>
      <c r="KS97" t="s">
        <v>1073</v>
      </c>
      <c r="KT97">
        <v>0</v>
      </c>
      <c r="KU97">
        <v>0</v>
      </c>
      <c r="KV97">
        <v>0</v>
      </c>
      <c r="KX97">
        <v>0</v>
      </c>
      <c r="KZ97">
        <v>0</v>
      </c>
      <c r="LF97">
        <v>0</v>
      </c>
      <c r="LH97">
        <v>0</v>
      </c>
      <c r="LI97">
        <v>0</v>
      </c>
    </row>
    <row r="98" spans="1:321" x14ac:dyDescent="0.35">
      <c r="A98">
        <v>1</v>
      </c>
      <c r="B98">
        <v>12335</v>
      </c>
      <c r="C98" t="s">
        <v>1614</v>
      </c>
      <c r="D98" t="s">
        <v>1139</v>
      </c>
      <c r="E98" t="s">
        <v>587</v>
      </c>
      <c r="F98">
        <v>80</v>
      </c>
      <c r="G98">
        <v>51</v>
      </c>
      <c r="H98">
        <v>0</v>
      </c>
      <c r="I98" t="s">
        <v>1323</v>
      </c>
      <c r="L98">
        <v>0</v>
      </c>
      <c r="M98">
        <v>0</v>
      </c>
      <c r="N98">
        <v>0</v>
      </c>
      <c r="R98">
        <v>0</v>
      </c>
      <c r="S98">
        <v>0</v>
      </c>
      <c r="W98" t="s">
        <v>1060</v>
      </c>
      <c r="X98">
        <v>0</v>
      </c>
      <c r="Z98">
        <v>1</v>
      </c>
      <c r="AA98">
        <v>0</v>
      </c>
      <c r="AB98">
        <v>0</v>
      </c>
      <c r="AC98">
        <v>0.53539999999999999</v>
      </c>
      <c r="AD98" s="20">
        <v>44300</v>
      </c>
      <c r="AE98">
        <v>0.59</v>
      </c>
      <c r="AF98">
        <v>0</v>
      </c>
      <c r="AH98">
        <v>0</v>
      </c>
      <c r="AJ98">
        <v>0</v>
      </c>
      <c r="AL98">
        <v>1</v>
      </c>
      <c r="AM98">
        <v>0</v>
      </c>
      <c r="AN98">
        <v>437721</v>
      </c>
      <c r="AO98">
        <v>0</v>
      </c>
      <c r="AP98">
        <v>1001</v>
      </c>
      <c r="AT98">
        <v>0</v>
      </c>
      <c r="AU98" t="s">
        <v>1059</v>
      </c>
      <c r="AW98" t="s">
        <v>1053</v>
      </c>
      <c r="AX98">
        <v>0</v>
      </c>
      <c r="AY98" s="20">
        <v>40784</v>
      </c>
      <c r="BA98" s="20">
        <v>40784</v>
      </c>
      <c r="BB98" t="s">
        <v>1058</v>
      </c>
      <c r="BD98">
        <v>0</v>
      </c>
      <c r="BF98" t="s">
        <v>1043</v>
      </c>
      <c r="BG98" t="s">
        <v>1042</v>
      </c>
      <c r="BH98">
        <v>0</v>
      </c>
      <c r="BI98">
        <v>1</v>
      </c>
      <c r="BJ98">
        <v>0</v>
      </c>
      <c r="BK98">
        <v>0</v>
      </c>
      <c r="BM98" t="s">
        <v>1042</v>
      </c>
      <c r="BN98">
        <v>0</v>
      </c>
      <c r="BR98" t="s">
        <v>1043</v>
      </c>
      <c r="BS98" t="s">
        <v>1043</v>
      </c>
      <c r="BT98" t="s">
        <v>1043</v>
      </c>
      <c r="BW98">
        <v>83</v>
      </c>
      <c r="CA98">
        <v>0</v>
      </c>
      <c r="CB98" t="s">
        <v>1057</v>
      </c>
      <c r="CE98" t="s">
        <v>1043</v>
      </c>
      <c r="CH98" t="s">
        <v>1043</v>
      </c>
      <c r="CN98" t="s">
        <v>1056</v>
      </c>
      <c r="CO98" t="s">
        <v>1043</v>
      </c>
      <c r="CP98">
        <v>1</v>
      </c>
      <c r="CQ98">
        <v>0</v>
      </c>
      <c r="CS98">
        <v>0</v>
      </c>
      <c r="CT98">
        <v>0</v>
      </c>
      <c r="CU98">
        <v>0</v>
      </c>
      <c r="CV98" t="s">
        <v>1045</v>
      </c>
      <c r="CW98">
        <v>0</v>
      </c>
      <c r="CX98">
        <v>0</v>
      </c>
      <c r="CY98">
        <v>0</v>
      </c>
      <c r="CZ98">
        <v>0</v>
      </c>
      <c r="DB98">
        <v>0</v>
      </c>
      <c r="DC98" t="s">
        <v>1043</v>
      </c>
      <c r="DF98" t="s">
        <v>1055</v>
      </c>
      <c r="DH98">
        <v>0</v>
      </c>
      <c r="DJ98">
        <v>0</v>
      </c>
      <c r="DK98" t="s">
        <v>1053</v>
      </c>
      <c r="DL98">
        <v>0</v>
      </c>
      <c r="DN98">
        <v>0</v>
      </c>
      <c r="DO98" t="s">
        <v>1042</v>
      </c>
      <c r="DP98">
        <v>0</v>
      </c>
      <c r="DQ98">
        <v>0</v>
      </c>
      <c r="DS98">
        <v>0</v>
      </c>
      <c r="DU98">
        <v>0</v>
      </c>
      <c r="DW98">
        <v>0</v>
      </c>
      <c r="DX98" t="s">
        <v>1043</v>
      </c>
      <c r="DY98">
        <v>0</v>
      </c>
      <c r="DZ98">
        <v>0</v>
      </c>
      <c r="EA98">
        <v>0</v>
      </c>
      <c r="ED98" t="s">
        <v>1045</v>
      </c>
      <c r="EE98">
        <v>0</v>
      </c>
      <c r="EF98">
        <v>0</v>
      </c>
      <c r="EQ98" t="s">
        <v>1044</v>
      </c>
      <c r="ES98" t="s">
        <v>1053</v>
      </c>
      <c r="ET98">
        <v>0</v>
      </c>
      <c r="EV98">
        <v>0</v>
      </c>
      <c r="EY98" t="s">
        <v>1052</v>
      </c>
      <c r="EZ98">
        <v>0</v>
      </c>
      <c r="FA98" t="s">
        <v>1043</v>
      </c>
      <c r="FB98">
        <v>0</v>
      </c>
      <c r="FC98">
        <v>0</v>
      </c>
      <c r="FE98" t="s">
        <v>1050</v>
      </c>
      <c r="FF98">
        <v>0</v>
      </c>
      <c r="FG98" t="s">
        <v>1050</v>
      </c>
      <c r="FJ98">
        <v>0</v>
      </c>
      <c r="FK98">
        <v>0</v>
      </c>
      <c r="FP98">
        <v>0</v>
      </c>
      <c r="FR98">
        <v>0</v>
      </c>
      <c r="FS98" t="s">
        <v>1043</v>
      </c>
      <c r="FX98" t="s">
        <v>1042</v>
      </c>
      <c r="FZ98" t="s">
        <v>1048</v>
      </c>
      <c r="GA98">
        <v>0</v>
      </c>
      <c r="GB98" t="s">
        <v>1042</v>
      </c>
      <c r="GE98">
        <v>0</v>
      </c>
      <c r="GG98">
        <v>0</v>
      </c>
      <c r="GN98">
        <v>0</v>
      </c>
      <c r="GO98" t="s">
        <v>1063</v>
      </c>
      <c r="GQ98">
        <v>0</v>
      </c>
      <c r="GU98">
        <v>0</v>
      </c>
      <c r="GY98" t="s">
        <v>1045</v>
      </c>
      <c r="HB98">
        <v>0</v>
      </c>
      <c r="HE98">
        <v>0</v>
      </c>
      <c r="HF98">
        <v>0</v>
      </c>
      <c r="HG98">
        <v>0</v>
      </c>
      <c r="HK98" t="s">
        <v>1042</v>
      </c>
      <c r="HM98" t="s">
        <v>1047</v>
      </c>
      <c r="HN98">
        <v>0</v>
      </c>
      <c r="HP98">
        <v>0</v>
      </c>
      <c r="HQ98">
        <v>0</v>
      </c>
      <c r="HR98" t="s">
        <v>1042</v>
      </c>
      <c r="HS98" t="s">
        <v>1043</v>
      </c>
      <c r="HT98">
        <v>0</v>
      </c>
      <c r="HU98">
        <v>0</v>
      </c>
      <c r="HW98">
        <v>0</v>
      </c>
      <c r="HX98">
        <v>0</v>
      </c>
      <c r="HY98">
        <v>1</v>
      </c>
      <c r="HZ98" t="s">
        <v>1045</v>
      </c>
      <c r="IA98">
        <v>0.59</v>
      </c>
      <c r="IB98" t="s">
        <v>1045</v>
      </c>
      <c r="ID98" t="s">
        <v>1045</v>
      </c>
      <c r="IF98">
        <v>0</v>
      </c>
      <c r="IG98" t="s">
        <v>1042</v>
      </c>
      <c r="II98" t="s">
        <v>1042</v>
      </c>
      <c r="IR98" t="s">
        <v>1045</v>
      </c>
      <c r="IT98">
        <v>0</v>
      </c>
      <c r="IY98" t="s">
        <v>1044</v>
      </c>
      <c r="IZ98" t="s">
        <v>1043</v>
      </c>
      <c r="JC98" t="s">
        <v>1043</v>
      </c>
      <c r="JE98">
        <v>0</v>
      </c>
      <c r="JF98">
        <v>0</v>
      </c>
      <c r="JI98" t="s">
        <v>1042</v>
      </c>
      <c r="JJ98">
        <v>0</v>
      </c>
      <c r="JK98">
        <v>0</v>
      </c>
      <c r="JL98">
        <v>0</v>
      </c>
      <c r="JM98">
        <v>0</v>
      </c>
      <c r="JQ98" t="s">
        <v>1043</v>
      </c>
      <c r="JT98">
        <v>0</v>
      </c>
      <c r="JU98" t="s">
        <v>1042</v>
      </c>
      <c r="JW98">
        <v>0</v>
      </c>
      <c r="KA98">
        <v>0</v>
      </c>
      <c r="KF98">
        <v>0</v>
      </c>
      <c r="KG98">
        <v>0</v>
      </c>
      <c r="KH98">
        <v>0</v>
      </c>
      <c r="KI98">
        <v>0</v>
      </c>
      <c r="KS98" t="s">
        <v>1073</v>
      </c>
      <c r="KT98">
        <v>0</v>
      </c>
      <c r="KU98">
        <v>0</v>
      </c>
      <c r="KV98">
        <v>0</v>
      </c>
      <c r="KX98">
        <v>0</v>
      </c>
      <c r="KZ98">
        <v>0</v>
      </c>
      <c r="LF98">
        <v>0</v>
      </c>
      <c r="LH98">
        <v>0</v>
      </c>
      <c r="LI98">
        <v>0</v>
      </c>
    </row>
    <row r="99" spans="1:321" x14ac:dyDescent="0.35">
      <c r="A99">
        <v>1</v>
      </c>
      <c r="B99">
        <v>12336</v>
      </c>
      <c r="C99" t="s">
        <v>1613</v>
      </c>
      <c r="D99" t="s">
        <v>1076</v>
      </c>
      <c r="E99" t="s">
        <v>85</v>
      </c>
      <c r="F99">
        <v>80</v>
      </c>
      <c r="G99">
        <v>9000</v>
      </c>
      <c r="H99">
        <v>0</v>
      </c>
      <c r="I99" t="s">
        <v>1612</v>
      </c>
      <c r="L99">
        <v>0</v>
      </c>
      <c r="M99">
        <v>0</v>
      </c>
      <c r="N99">
        <v>0</v>
      </c>
      <c r="R99">
        <v>0</v>
      </c>
      <c r="S99">
        <v>0</v>
      </c>
      <c r="W99" t="s">
        <v>1060</v>
      </c>
      <c r="X99">
        <v>0</v>
      </c>
      <c r="Z99">
        <v>1</v>
      </c>
      <c r="AA99">
        <v>0</v>
      </c>
      <c r="AB99">
        <v>0</v>
      </c>
      <c r="AC99">
        <v>0.88339999999999996</v>
      </c>
      <c r="AD99" s="20">
        <v>40766</v>
      </c>
      <c r="AE99">
        <v>0.85</v>
      </c>
      <c r="AF99">
        <v>0</v>
      </c>
      <c r="AH99">
        <v>0</v>
      </c>
      <c r="AJ99">
        <v>0</v>
      </c>
      <c r="AL99">
        <v>0</v>
      </c>
      <c r="AM99">
        <v>0</v>
      </c>
      <c r="AN99">
        <v>16601001</v>
      </c>
      <c r="AO99">
        <v>0</v>
      </c>
      <c r="AP99">
        <v>1000</v>
      </c>
      <c r="AT99">
        <v>0</v>
      </c>
      <c r="AU99" t="s">
        <v>1059</v>
      </c>
      <c r="AW99" t="s">
        <v>1053</v>
      </c>
      <c r="AX99">
        <v>0</v>
      </c>
      <c r="AY99" s="20">
        <v>40784</v>
      </c>
      <c r="BA99" s="20">
        <v>40784</v>
      </c>
      <c r="BB99" t="s">
        <v>1058</v>
      </c>
      <c r="BD99">
        <v>0</v>
      </c>
      <c r="BF99" t="s">
        <v>1043</v>
      </c>
      <c r="BG99" t="s">
        <v>1042</v>
      </c>
      <c r="BH99">
        <v>0</v>
      </c>
      <c r="BI99">
        <v>1</v>
      </c>
      <c r="BJ99">
        <v>0</v>
      </c>
      <c r="BK99">
        <v>0</v>
      </c>
      <c r="BM99" t="s">
        <v>1042</v>
      </c>
      <c r="BN99">
        <v>0</v>
      </c>
      <c r="BR99" t="s">
        <v>1043</v>
      </c>
      <c r="BS99" t="s">
        <v>1043</v>
      </c>
      <c r="BT99" t="s">
        <v>1043</v>
      </c>
      <c r="BW99">
        <v>60</v>
      </c>
      <c r="CA99">
        <v>0</v>
      </c>
      <c r="CB99" t="s">
        <v>1057</v>
      </c>
      <c r="CE99" t="s">
        <v>1043</v>
      </c>
      <c r="CH99" t="s">
        <v>1043</v>
      </c>
      <c r="CN99" t="s">
        <v>1056</v>
      </c>
      <c r="CO99" t="s">
        <v>1043</v>
      </c>
      <c r="CP99">
        <v>1</v>
      </c>
      <c r="CQ99">
        <v>0</v>
      </c>
      <c r="CS99">
        <v>0</v>
      </c>
      <c r="CT99">
        <v>0</v>
      </c>
      <c r="CU99">
        <v>0</v>
      </c>
      <c r="CV99" t="s">
        <v>1045</v>
      </c>
      <c r="CW99">
        <v>0</v>
      </c>
      <c r="CX99">
        <v>0</v>
      </c>
      <c r="CY99">
        <v>0</v>
      </c>
      <c r="CZ99">
        <v>0</v>
      </c>
      <c r="DB99">
        <v>0</v>
      </c>
      <c r="DC99" t="s">
        <v>1043</v>
      </c>
      <c r="DF99" t="s">
        <v>1055</v>
      </c>
      <c r="DH99">
        <v>0</v>
      </c>
      <c r="DJ99">
        <v>0</v>
      </c>
      <c r="DK99" t="s">
        <v>1053</v>
      </c>
      <c r="DL99">
        <v>0</v>
      </c>
      <c r="DN99">
        <v>0</v>
      </c>
      <c r="DO99" t="s">
        <v>1042</v>
      </c>
      <c r="DP99">
        <v>0</v>
      </c>
      <c r="DQ99">
        <v>0</v>
      </c>
      <c r="DS99">
        <v>0</v>
      </c>
      <c r="DU99">
        <v>0</v>
      </c>
      <c r="DW99">
        <v>0</v>
      </c>
      <c r="DX99" t="s">
        <v>1043</v>
      </c>
      <c r="DY99">
        <v>0</v>
      </c>
      <c r="DZ99">
        <v>0</v>
      </c>
      <c r="EA99">
        <v>0</v>
      </c>
      <c r="ED99" t="s">
        <v>1045</v>
      </c>
      <c r="EE99">
        <v>0</v>
      </c>
      <c r="EF99">
        <v>0</v>
      </c>
      <c r="EQ99" t="s">
        <v>1044</v>
      </c>
      <c r="ES99" t="s">
        <v>1053</v>
      </c>
      <c r="ET99">
        <v>0</v>
      </c>
      <c r="EV99">
        <v>0</v>
      </c>
      <c r="EY99" t="s">
        <v>1052</v>
      </c>
      <c r="EZ99">
        <v>0</v>
      </c>
      <c r="FA99" t="s">
        <v>1043</v>
      </c>
      <c r="FB99">
        <v>0</v>
      </c>
      <c r="FC99">
        <v>0</v>
      </c>
      <c r="FE99" t="s">
        <v>1050</v>
      </c>
      <c r="FF99">
        <v>0</v>
      </c>
      <c r="FG99" t="s">
        <v>1050</v>
      </c>
      <c r="FJ99">
        <v>0</v>
      </c>
      <c r="FK99">
        <v>0</v>
      </c>
      <c r="FP99">
        <v>0</v>
      </c>
      <c r="FR99">
        <v>0</v>
      </c>
      <c r="FS99" t="s">
        <v>1043</v>
      </c>
      <c r="FX99" t="s">
        <v>1042</v>
      </c>
      <c r="FZ99" t="s">
        <v>1048</v>
      </c>
      <c r="GA99">
        <v>0</v>
      </c>
      <c r="GB99" t="s">
        <v>1042</v>
      </c>
      <c r="GE99">
        <v>0</v>
      </c>
      <c r="GG99">
        <v>0</v>
      </c>
      <c r="GN99">
        <v>0</v>
      </c>
      <c r="GO99" t="s">
        <v>1063</v>
      </c>
      <c r="GQ99">
        <v>0</v>
      </c>
      <c r="GU99">
        <v>0</v>
      </c>
      <c r="GY99" t="s">
        <v>1045</v>
      </c>
      <c r="HB99">
        <v>0</v>
      </c>
      <c r="HE99">
        <v>0</v>
      </c>
      <c r="HF99">
        <v>0</v>
      </c>
      <c r="HG99">
        <v>0</v>
      </c>
      <c r="HK99" t="s">
        <v>1042</v>
      </c>
      <c r="HM99" t="s">
        <v>1047</v>
      </c>
      <c r="HN99">
        <v>0</v>
      </c>
      <c r="HP99">
        <v>0</v>
      </c>
      <c r="HQ99">
        <v>0</v>
      </c>
      <c r="HR99" t="s">
        <v>1042</v>
      </c>
      <c r="HS99" t="s">
        <v>1043</v>
      </c>
      <c r="HT99">
        <v>0</v>
      </c>
      <c r="HU99">
        <v>0</v>
      </c>
      <c r="HW99">
        <v>0</v>
      </c>
      <c r="HX99">
        <v>0</v>
      </c>
      <c r="HY99">
        <v>0</v>
      </c>
      <c r="HZ99" t="s">
        <v>1045</v>
      </c>
      <c r="IA99">
        <v>0</v>
      </c>
      <c r="IB99" t="s">
        <v>1045</v>
      </c>
      <c r="ID99" t="s">
        <v>1045</v>
      </c>
      <c r="IF99">
        <v>0</v>
      </c>
      <c r="IG99" t="s">
        <v>1042</v>
      </c>
      <c r="II99" t="s">
        <v>1042</v>
      </c>
      <c r="IR99" t="s">
        <v>1045</v>
      </c>
      <c r="IT99">
        <v>0</v>
      </c>
      <c r="IY99" t="s">
        <v>1044</v>
      </c>
      <c r="IZ99" t="s">
        <v>1043</v>
      </c>
      <c r="JC99" t="s">
        <v>1043</v>
      </c>
      <c r="JE99">
        <v>0</v>
      </c>
      <c r="JF99">
        <v>0</v>
      </c>
      <c r="JI99" t="s">
        <v>1042</v>
      </c>
      <c r="JJ99">
        <v>0</v>
      </c>
      <c r="JK99">
        <v>0</v>
      </c>
      <c r="JL99">
        <v>0</v>
      </c>
      <c r="JM99">
        <v>0</v>
      </c>
      <c r="JQ99" t="s">
        <v>1043</v>
      </c>
      <c r="JT99">
        <v>0</v>
      </c>
      <c r="JU99" t="s">
        <v>1042</v>
      </c>
      <c r="JW99">
        <v>0</v>
      </c>
      <c r="KA99">
        <v>0</v>
      </c>
      <c r="KF99">
        <v>0</v>
      </c>
      <c r="KG99">
        <v>0</v>
      </c>
      <c r="KH99">
        <v>0</v>
      </c>
      <c r="KI99">
        <v>0</v>
      </c>
      <c r="KS99" t="s">
        <v>1073</v>
      </c>
      <c r="KT99">
        <v>0</v>
      </c>
      <c r="KU99">
        <v>0</v>
      </c>
      <c r="KV99">
        <v>0</v>
      </c>
      <c r="KX99">
        <v>0</v>
      </c>
      <c r="KZ99">
        <v>0</v>
      </c>
      <c r="LF99">
        <v>0</v>
      </c>
      <c r="LH99">
        <v>0</v>
      </c>
      <c r="LI99">
        <v>0</v>
      </c>
    </row>
    <row r="100" spans="1:321" x14ac:dyDescent="0.35">
      <c r="A100">
        <v>1</v>
      </c>
      <c r="B100">
        <v>12337</v>
      </c>
      <c r="C100" t="s">
        <v>1611</v>
      </c>
      <c r="D100" t="s">
        <v>1139</v>
      </c>
      <c r="E100" t="s">
        <v>1165</v>
      </c>
      <c r="F100">
        <v>80</v>
      </c>
      <c r="G100">
        <v>9000</v>
      </c>
      <c r="H100">
        <v>0</v>
      </c>
      <c r="I100" t="s">
        <v>1442</v>
      </c>
      <c r="L100">
        <v>0</v>
      </c>
      <c r="M100">
        <v>0</v>
      </c>
      <c r="N100">
        <v>0</v>
      </c>
      <c r="R100">
        <v>0</v>
      </c>
      <c r="S100">
        <v>0</v>
      </c>
      <c r="W100" t="s">
        <v>1060</v>
      </c>
      <c r="X100">
        <v>0</v>
      </c>
      <c r="Z100">
        <v>1</v>
      </c>
      <c r="AA100">
        <v>0</v>
      </c>
      <c r="AB100">
        <v>0</v>
      </c>
      <c r="AC100">
        <v>3.63</v>
      </c>
      <c r="AD100" s="20">
        <v>42440</v>
      </c>
      <c r="AE100">
        <v>4</v>
      </c>
      <c r="AF100">
        <v>0</v>
      </c>
      <c r="AH100">
        <v>0</v>
      </c>
      <c r="AJ100">
        <v>0</v>
      </c>
      <c r="AL100">
        <v>1</v>
      </c>
      <c r="AM100">
        <v>0</v>
      </c>
      <c r="AN100">
        <v>16601001</v>
      </c>
      <c r="AO100">
        <v>0</v>
      </c>
      <c r="AP100">
        <v>1000</v>
      </c>
      <c r="AT100">
        <v>0</v>
      </c>
      <c r="AU100" t="s">
        <v>1059</v>
      </c>
      <c r="AW100" t="s">
        <v>1053</v>
      </c>
      <c r="AX100">
        <v>0</v>
      </c>
      <c r="AY100" s="20">
        <v>40784</v>
      </c>
      <c r="BA100" s="20">
        <v>40784</v>
      </c>
      <c r="BB100" t="s">
        <v>1058</v>
      </c>
      <c r="BD100">
        <v>0</v>
      </c>
      <c r="BF100" t="s">
        <v>1043</v>
      </c>
      <c r="BG100" t="s">
        <v>1042</v>
      </c>
      <c r="BH100">
        <v>0</v>
      </c>
      <c r="BI100">
        <v>1</v>
      </c>
      <c r="BJ100">
        <v>0</v>
      </c>
      <c r="BK100">
        <v>0</v>
      </c>
      <c r="BM100" t="s">
        <v>1042</v>
      </c>
      <c r="BN100">
        <v>0</v>
      </c>
      <c r="BO100">
        <v>3457801140607</v>
      </c>
      <c r="BR100" t="s">
        <v>1043</v>
      </c>
      <c r="BS100" t="s">
        <v>1043</v>
      </c>
      <c r="BT100" t="s">
        <v>1043</v>
      </c>
      <c r="BW100">
        <v>83</v>
      </c>
      <c r="CA100">
        <v>0</v>
      </c>
      <c r="CB100" t="s">
        <v>1057</v>
      </c>
      <c r="CE100" t="s">
        <v>1043</v>
      </c>
      <c r="CH100" t="s">
        <v>1043</v>
      </c>
      <c r="CN100" t="s">
        <v>1056</v>
      </c>
      <c r="CO100" t="s">
        <v>1043</v>
      </c>
      <c r="CP100">
        <v>1</v>
      </c>
      <c r="CQ100">
        <v>0</v>
      </c>
      <c r="CS100">
        <v>0</v>
      </c>
      <c r="CT100">
        <v>0</v>
      </c>
      <c r="CU100">
        <v>0</v>
      </c>
      <c r="CV100" t="s">
        <v>1045</v>
      </c>
      <c r="CW100">
        <v>0</v>
      </c>
      <c r="CX100">
        <v>0</v>
      </c>
      <c r="CY100">
        <v>0</v>
      </c>
      <c r="CZ100">
        <v>0</v>
      </c>
      <c r="DB100">
        <v>0</v>
      </c>
      <c r="DC100" t="s">
        <v>1043</v>
      </c>
      <c r="DF100" t="s">
        <v>1055</v>
      </c>
      <c r="DH100">
        <v>0</v>
      </c>
      <c r="DJ100">
        <v>0</v>
      </c>
      <c r="DK100" t="s">
        <v>1053</v>
      </c>
      <c r="DL100">
        <v>0</v>
      </c>
      <c r="DN100">
        <v>0</v>
      </c>
      <c r="DO100" t="s">
        <v>1042</v>
      </c>
      <c r="DP100">
        <v>0</v>
      </c>
      <c r="DQ100">
        <v>0</v>
      </c>
      <c r="DS100">
        <v>0</v>
      </c>
      <c r="DU100">
        <v>0</v>
      </c>
      <c r="DW100">
        <v>0</v>
      </c>
      <c r="DX100" t="s">
        <v>1043</v>
      </c>
      <c r="DY100">
        <v>0</v>
      </c>
      <c r="DZ100">
        <v>0</v>
      </c>
      <c r="EA100">
        <v>0</v>
      </c>
      <c r="ED100" t="s">
        <v>1045</v>
      </c>
      <c r="EE100">
        <v>0</v>
      </c>
      <c r="EF100">
        <v>0</v>
      </c>
      <c r="EQ100" t="s">
        <v>1044</v>
      </c>
      <c r="ES100" t="s">
        <v>1053</v>
      </c>
      <c r="ET100">
        <v>0</v>
      </c>
      <c r="EV100">
        <v>0</v>
      </c>
      <c r="EY100" t="s">
        <v>1052</v>
      </c>
      <c r="EZ100">
        <v>0</v>
      </c>
      <c r="FA100" t="s">
        <v>1043</v>
      </c>
      <c r="FB100">
        <v>0</v>
      </c>
      <c r="FC100">
        <v>0</v>
      </c>
      <c r="FE100" t="s">
        <v>1050</v>
      </c>
      <c r="FF100">
        <v>0</v>
      </c>
      <c r="FG100" t="s">
        <v>1050</v>
      </c>
      <c r="FJ100">
        <v>0</v>
      </c>
      <c r="FK100">
        <v>0</v>
      </c>
      <c r="FP100">
        <v>0</v>
      </c>
      <c r="FR100">
        <v>0</v>
      </c>
      <c r="FS100" t="s">
        <v>1043</v>
      </c>
      <c r="FX100" t="s">
        <v>1042</v>
      </c>
      <c r="FZ100" t="s">
        <v>1048</v>
      </c>
      <c r="GA100">
        <v>0</v>
      </c>
      <c r="GB100" t="s">
        <v>1042</v>
      </c>
      <c r="GE100">
        <v>0</v>
      </c>
      <c r="GG100">
        <v>0</v>
      </c>
      <c r="GN100">
        <v>0</v>
      </c>
      <c r="GO100" t="s">
        <v>1063</v>
      </c>
      <c r="GQ100">
        <v>0</v>
      </c>
      <c r="GU100">
        <v>0</v>
      </c>
      <c r="GY100" t="s">
        <v>1045</v>
      </c>
      <c r="HB100">
        <v>0</v>
      </c>
      <c r="HE100">
        <v>0</v>
      </c>
      <c r="HF100">
        <v>0</v>
      </c>
      <c r="HG100">
        <v>0</v>
      </c>
      <c r="HK100" t="s">
        <v>1042</v>
      </c>
      <c r="HM100" t="s">
        <v>1047</v>
      </c>
      <c r="HN100">
        <v>0</v>
      </c>
      <c r="HP100">
        <v>0</v>
      </c>
      <c r="HQ100">
        <v>0</v>
      </c>
      <c r="HR100" t="s">
        <v>1042</v>
      </c>
      <c r="HS100" t="s">
        <v>1043</v>
      </c>
      <c r="HT100">
        <v>0</v>
      </c>
      <c r="HU100">
        <v>0</v>
      </c>
      <c r="HW100">
        <v>0</v>
      </c>
      <c r="HX100">
        <v>0</v>
      </c>
      <c r="HY100">
        <v>0</v>
      </c>
      <c r="HZ100" t="s">
        <v>1045</v>
      </c>
      <c r="IA100">
        <v>0</v>
      </c>
      <c r="IB100" t="s">
        <v>1045</v>
      </c>
      <c r="ID100" t="s">
        <v>1045</v>
      </c>
      <c r="IF100">
        <v>0</v>
      </c>
      <c r="IG100" t="s">
        <v>1042</v>
      </c>
      <c r="II100" t="s">
        <v>1042</v>
      </c>
      <c r="IR100" t="s">
        <v>1045</v>
      </c>
      <c r="IT100">
        <v>0</v>
      </c>
      <c r="IY100" t="s">
        <v>1044</v>
      </c>
      <c r="IZ100" t="s">
        <v>1043</v>
      </c>
      <c r="JC100" t="s">
        <v>1043</v>
      </c>
      <c r="JE100">
        <v>0</v>
      </c>
      <c r="JF100">
        <v>0</v>
      </c>
      <c r="JI100" t="s">
        <v>1042</v>
      </c>
      <c r="JJ100">
        <v>0</v>
      </c>
      <c r="JK100">
        <v>0</v>
      </c>
      <c r="JL100">
        <v>0</v>
      </c>
      <c r="JM100">
        <v>0</v>
      </c>
      <c r="JQ100" t="s">
        <v>1043</v>
      </c>
      <c r="JT100">
        <v>0</v>
      </c>
      <c r="JU100" t="s">
        <v>1042</v>
      </c>
      <c r="JW100">
        <v>0</v>
      </c>
      <c r="KA100">
        <v>0</v>
      </c>
      <c r="KF100">
        <v>0</v>
      </c>
      <c r="KG100">
        <v>0</v>
      </c>
      <c r="KH100">
        <v>0</v>
      </c>
      <c r="KI100">
        <v>0</v>
      </c>
      <c r="KS100" t="s">
        <v>1073</v>
      </c>
      <c r="KT100">
        <v>0</v>
      </c>
      <c r="KU100">
        <v>0</v>
      </c>
      <c r="KV100">
        <v>0</v>
      </c>
      <c r="KX100">
        <v>0</v>
      </c>
      <c r="KZ100">
        <v>0</v>
      </c>
      <c r="LF100">
        <v>0</v>
      </c>
      <c r="LH100">
        <v>0</v>
      </c>
      <c r="LI100">
        <v>0</v>
      </c>
    </row>
    <row r="101" spans="1:321" x14ac:dyDescent="0.35">
      <c r="A101">
        <v>1</v>
      </c>
      <c r="B101">
        <v>12338</v>
      </c>
      <c r="C101" t="s">
        <v>1610</v>
      </c>
      <c r="D101" t="s">
        <v>1139</v>
      </c>
      <c r="E101" t="s">
        <v>1165</v>
      </c>
      <c r="F101">
        <v>80</v>
      </c>
      <c r="G101">
        <v>9000</v>
      </c>
      <c r="H101">
        <v>0</v>
      </c>
      <c r="I101" t="s">
        <v>1442</v>
      </c>
      <c r="L101">
        <v>0</v>
      </c>
      <c r="M101">
        <v>0</v>
      </c>
      <c r="N101">
        <v>0</v>
      </c>
      <c r="R101">
        <v>0</v>
      </c>
      <c r="S101">
        <v>0</v>
      </c>
      <c r="W101" t="s">
        <v>1060</v>
      </c>
      <c r="X101">
        <v>0</v>
      </c>
      <c r="Z101">
        <v>1</v>
      </c>
      <c r="AA101">
        <v>0</v>
      </c>
      <c r="AB101">
        <v>0</v>
      </c>
      <c r="AC101">
        <v>28.76</v>
      </c>
      <c r="AD101" s="20">
        <v>40784</v>
      </c>
      <c r="AE101">
        <v>15.8</v>
      </c>
      <c r="AF101">
        <v>0</v>
      </c>
      <c r="AH101">
        <v>0</v>
      </c>
      <c r="AJ101">
        <v>0</v>
      </c>
      <c r="AL101">
        <v>1</v>
      </c>
      <c r="AM101">
        <v>0</v>
      </c>
      <c r="AN101">
        <v>16601001</v>
      </c>
      <c r="AO101">
        <v>0</v>
      </c>
      <c r="AP101">
        <v>1000</v>
      </c>
      <c r="AT101">
        <v>0</v>
      </c>
      <c r="AU101" t="s">
        <v>1059</v>
      </c>
      <c r="AW101" t="s">
        <v>1053</v>
      </c>
      <c r="AX101">
        <v>0</v>
      </c>
      <c r="AY101" s="20">
        <v>40784</v>
      </c>
      <c r="BA101" s="20">
        <v>40784</v>
      </c>
      <c r="BB101" t="s">
        <v>1058</v>
      </c>
      <c r="BD101">
        <v>0</v>
      </c>
      <c r="BF101" t="s">
        <v>1043</v>
      </c>
      <c r="BG101" t="s">
        <v>1042</v>
      </c>
      <c r="BH101">
        <v>0</v>
      </c>
      <c r="BI101">
        <v>1</v>
      </c>
      <c r="BJ101">
        <v>0</v>
      </c>
      <c r="BK101">
        <v>0</v>
      </c>
      <c r="BM101" t="s">
        <v>1042</v>
      </c>
      <c r="BN101">
        <v>0</v>
      </c>
      <c r="BR101" t="s">
        <v>1043</v>
      </c>
      <c r="BS101" t="s">
        <v>1043</v>
      </c>
      <c r="BT101" t="s">
        <v>1043</v>
      </c>
      <c r="BW101">
        <v>83</v>
      </c>
      <c r="CA101">
        <v>0</v>
      </c>
      <c r="CB101" t="s">
        <v>1057</v>
      </c>
      <c r="CE101" t="s">
        <v>1043</v>
      </c>
      <c r="CH101" t="s">
        <v>1043</v>
      </c>
      <c r="CN101" t="s">
        <v>1056</v>
      </c>
      <c r="CO101" t="s">
        <v>1043</v>
      </c>
      <c r="CP101">
        <v>1</v>
      </c>
      <c r="CQ101">
        <v>0</v>
      </c>
      <c r="CS101">
        <v>0</v>
      </c>
      <c r="CT101">
        <v>0</v>
      </c>
      <c r="CU101">
        <v>0</v>
      </c>
      <c r="CV101" t="s">
        <v>1045</v>
      </c>
      <c r="CW101">
        <v>0</v>
      </c>
      <c r="CX101">
        <v>0</v>
      </c>
      <c r="CY101">
        <v>0</v>
      </c>
      <c r="CZ101">
        <v>0</v>
      </c>
      <c r="DB101">
        <v>0</v>
      </c>
      <c r="DC101" t="s">
        <v>1043</v>
      </c>
      <c r="DF101" t="s">
        <v>1055</v>
      </c>
      <c r="DH101">
        <v>0</v>
      </c>
      <c r="DJ101">
        <v>0</v>
      </c>
      <c r="DK101" t="s">
        <v>1053</v>
      </c>
      <c r="DL101">
        <v>0</v>
      </c>
      <c r="DN101">
        <v>0</v>
      </c>
      <c r="DO101" t="s">
        <v>1042</v>
      </c>
      <c r="DP101">
        <v>0</v>
      </c>
      <c r="DQ101">
        <v>0</v>
      </c>
      <c r="DS101">
        <v>0</v>
      </c>
      <c r="DU101">
        <v>0</v>
      </c>
      <c r="DW101">
        <v>0</v>
      </c>
      <c r="DX101" t="s">
        <v>1043</v>
      </c>
      <c r="DY101">
        <v>0</v>
      </c>
      <c r="DZ101">
        <v>0</v>
      </c>
      <c r="EA101">
        <v>0</v>
      </c>
      <c r="ED101" t="s">
        <v>1045</v>
      </c>
      <c r="EE101">
        <v>0</v>
      </c>
      <c r="EF101">
        <v>0</v>
      </c>
      <c r="EQ101" t="s">
        <v>1044</v>
      </c>
      <c r="ES101" t="s">
        <v>1053</v>
      </c>
      <c r="ET101">
        <v>0</v>
      </c>
      <c r="EV101">
        <v>0</v>
      </c>
      <c r="EY101" t="s">
        <v>1052</v>
      </c>
      <c r="EZ101">
        <v>0</v>
      </c>
      <c r="FA101" t="s">
        <v>1043</v>
      </c>
      <c r="FB101">
        <v>0</v>
      </c>
      <c r="FC101">
        <v>0</v>
      </c>
      <c r="FE101" t="s">
        <v>1050</v>
      </c>
      <c r="FF101">
        <v>0</v>
      </c>
      <c r="FG101" t="s">
        <v>1050</v>
      </c>
      <c r="FJ101">
        <v>0</v>
      </c>
      <c r="FK101">
        <v>0</v>
      </c>
      <c r="FP101">
        <v>0</v>
      </c>
      <c r="FR101">
        <v>0</v>
      </c>
      <c r="FS101" t="s">
        <v>1043</v>
      </c>
      <c r="FX101" t="s">
        <v>1042</v>
      </c>
      <c r="FZ101" t="s">
        <v>1048</v>
      </c>
      <c r="GA101">
        <v>0</v>
      </c>
      <c r="GB101" t="s">
        <v>1042</v>
      </c>
      <c r="GE101">
        <v>0</v>
      </c>
      <c r="GG101">
        <v>0</v>
      </c>
      <c r="GN101">
        <v>0</v>
      </c>
      <c r="GO101" t="s">
        <v>1063</v>
      </c>
      <c r="GQ101">
        <v>0</v>
      </c>
      <c r="GU101">
        <v>0</v>
      </c>
      <c r="GY101" t="s">
        <v>1045</v>
      </c>
      <c r="HB101">
        <v>0</v>
      </c>
      <c r="HE101">
        <v>0</v>
      </c>
      <c r="HF101">
        <v>0</v>
      </c>
      <c r="HG101">
        <v>0</v>
      </c>
      <c r="HK101" t="s">
        <v>1042</v>
      </c>
      <c r="HM101" t="s">
        <v>1047</v>
      </c>
      <c r="HN101">
        <v>0</v>
      </c>
      <c r="HP101">
        <v>0</v>
      </c>
      <c r="HQ101">
        <v>0</v>
      </c>
      <c r="HR101" t="s">
        <v>1042</v>
      </c>
      <c r="HS101" t="s">
        <v>1043</v>
      </c>
      <c r="HT101">
        <v>0</v>
      </c>
      <c r="HU101">
        <v>0</v>
      </c>
      <c r="HW101">
        <v>0</v>
      </c>
      <c r="HX101">
        <v>0</v>
      </c>
      <c r="HY101">
        <v>0</v>
      </c>
      <c r="HZ101" t="s">
        <v>1045</v>
      </c>
      <c r="IA101">
        <v>0</v>
      </c>
      <c r="IB101" t="s">
        <v>1045</v>
      </c>
      <c r="ID101" t="s">
        <v>1045</v>
      </c>
      <c r="IF101">
        <v>0</v>
      </c>
      <c r="IG101" t="s">
        <v>1042</v>
      </c>
      <c r="II101" t="s">
        <v>1042</v>
      </c>
      <c r="IR101" t="s">
        <v>1045</v>
      </c>
      <c r="IT101">
        <v>0</v>
      </c>
      <c r="IY101" t="s">
        <v>1044</v>
      </c>
      <c r="IZ101" t="s">
        <v>1043</v>
      </c>
      <c r="JC101" t="s">
        <v>1043</v>
      </c>
      <c r="JE101">
        <v>0</v>
      </c>
      <c r="JF101">
        <v>0</v>
      </c>
      <c r="JI101" t="s">
        <v>1042</v>
      </c>
      <c r="JJ101">
        <v>0</v>
      </c>
      <c r="JK101">
        <v>0</v>
      </c>
      <c r="JL101">
        <v>0</v>
      </c>
      <c r="JM101">
        <v>0</v>
      </c>
      <c r="JQ101" t="s">
        <v>1043</v>
      </c>
      <c r="JT101">
        <v>0</v>
      </c>
      <c r="JU101" t="s">
        <v>1042</v>
      </c>
      <c r="JW101">
        <v>0</v>
      </c>
      <c r="KA101">
        <v>0</v>
      </c>
      <c r="KF101">
        <v>0</v>
      </c>
      <c r="KG101">
        <v>0</v>
      </c>
      <c r="KH101">
        <v>0</v>
      </c>
      <c r="KI101">
        <v>0</v>
      </c>
      <c r="KS101" t="s">
        <v>1073</v>
      </c>
      <c r="KT101">
        <v>0</v>
      </c>
      <c r="KU101">
        <v>0</v>
      </c>
      <c r="KV101">
        <v>0</v>
      </c>
      <c r="KX101">
        <v>0</v>
      </c>
      <c r="KZ101">
        <v>0</v>
      </c>
      <c r="LF101">
        <v>0</v>
      </c>
      <c r="LH101">
        <v>0</v>
      </c>
      <c r="LI101">
        <v>0</v>
      </c>
    </row>
    <row r="102" spans="1:321" x14ac:dyDescent="0.35">
      <c r="A102">
        <v>1</v>
      </c>
      <c r="B102">
        <v>12339</v>
      </c>
      <c r="C102" t="s">
        <v>1609</v>
      </c>
      <c r="D102" t="s">
        <v>1139</v>
      </c>
      <c r="E102" t="s">
        <v>85</v>
      </c>
      <c r="F102">
        <v>80</v>
      </c>
      <c r="G102">
        <v>9000</v>
      </c>
      <c r="H102">
        <v>0</v>
      </c>
      <c r="I102" t="s">
        <v>1583</v>
      </c>
      <c r="L102">
        <v>0</v>
      </c>
      <c r="M102">
        <v>0</v>
      </c>
      <c r="N102">
        <v>0</v>
      </c>
      <c r="R102">
        <v>0</v>
      </c>
      <c r="S102">
        <v>0</v>
      </c>
      <c r="W102" t="s">
        <v>1060</v>
      </c>
      <c r="X102">
        <v>0</v>
      </c>
      <c r="Z102">
        <v>1</v>
      </c>
      <c r="AA102">
        <v>0</v>
      </c>
      <c r="AB102">
        <v>0</v>
      </c>
      <c r="AC102">
        <v>58.575000000000003</v>
      </c>
      <c r="AD102" s="20">
        <v>41228</v>
      </c>
      <c r="AE102">
        <v>1</v>
      </c>
      <c r="AF102">
        <v>0</v>
      </c>
      <c r="AH102">
        <v>0</v>
      </c>
      <c r="AJ102">
        <v>0</v>
      </c>
      <c r="AL102">
        <v>1</v>
      </c>
      <c r="AM102">
        <v>0</v>
      </c>
      <c r="AN102">
        <v>16601001</v>
      </c>
      <c r="AO102">
        <v>0</v>
      </c>
      <c r="AP102">
        <v>1000</v>
      </c>
      <c r="AT102">
        <v>0</v>
      </c>
      <c r="AU102" t="s">
        <v>1059</v>
      </c>
      <c r="AW102" t="s">
        <v>1053</v>
      </c>
      <c r="AX102">
        <v>0</v>
      </c>
      <c r="AY102" s="20">
        <v>40784</v>
      </c>
      <c r="BA102" s="20">
        <v>40784</v>
      </c>
      <c r="BB102" t="s">
        <v>1058</v>
      </c>
      <c r="BD102">
        <v>0</v>
      </c>
      <c r="BF102" t="s">
        <v>1043</v>
      </c>
      <c r="BG102" t="s">
        <v>1042</v>
      </c>
      <c r="BH102">
        <v>0</v>
      </c>
      <c r="BI102">
        <v>1</v>
      </c>
      <c r="BJ102">
        <v>0</v>
      </c>
      <c r="BK102">
        <v>0</v>
      </c>
      <c r="BM102" t="s">
        <v>1042</v>
      </c>
      <c r="BN102">
        <v>0</v>
      </c>
      <c r="BO102">
        <v>3457801084758</v>
      </c>
      <c r="BR102" t="s">
        <v>1043</v>
      </c>
      <c r="BS102" t="s">
        <v>1043</v>
      </c>
      <c r="BT102" t="s">
        <v>1043</v>
      </c>
      <c r="BW102">
        <v>83</v>
      </c>
      <c r="CA102">
        <v>0</v>
      </c>
      <c r="CB102" t="s">
        <v>1057</v>
      </c>
      <c r="CE102" t="s">
        <v>1043</v>
      </c>
      <c r="CH102" t="s">
        <v>1043</v>
      </c>
      <c r="CN102" t="s">
        <v>1056</v>
      </c>
      <c r="CO102" t="s">
        <v>1043</v>
      </c>
      <c r="CP102">
        <v>1</v>
      </c>
      <c r="CQ102">
        <v>0</v>
      </c>
      <c r="CS102">
        <v>0</v>
      </c>
      <c r="CT102">
        <v>0</v>
      </c>
      <c r="CU102">
        <v>0</v>
      </c>
      <c r="CV102" t="s">
        <v>1045</v>
      </c>
      <c r="CW102">
        <v>0</v>
      </c>
      <c r="CX102">
        <v>0</v>
      </c>
      <c r="CY102">
        <v>0</v>
      </c>
      <c r="CZ102">
        <v>0</v>
      </c>
      <c r="DB102">
        <v>0</v>
      </c>
      <c r="DC102" t="s">
        <v>1043</v>
      </c>
      <c r="DF102" t="s">
        <v>1055</v>
      </c>
      <c r="DH102">
        <v>0</v>
      </c>
      <c r="DJ102">
        <v>0</v>
      </c>
      <c r="DK102" t="s">
        <v>1053</v>
      </c>
      <c r="DL102">
        <v>0</v>
      </c>
      <c r="DN102">
        <v>0</v>
      </c>
      <c r="DO102" t="s">
        <v>1042</v>
      </c>
      <c r="DP102">
        <v>0</v>
      </c>
      <c r="DQ102">
        <v>0</v>
      </c>
      <c r="DS102">
        <v>0</v>
      </c>
      <c r="DU102">
        <v>0</v>
      </c>
      <c r="DW102">
        <v>0</v>
      </c>
      <c r="DX102" t="s">
        <v>1043</v>
      </c>
      <c r="DY102">
        <v>0</v>
      </c>
      <c r="DZ102">
        <v>0</v>
      </c>
      <c r="EA102">
        <v>0</v>
      </c>
      <c r="ED102" t="s">
        <v>1045</v>
      </c>
      <c r="EE102">
        <v>0</v>
      </c>
      <c r="EF102">
        <v>0</v>
      </c>
      <c r="EQ102" t="s">
        <v>1044</v>
      </c>
      <c r="ES102" t="s">
        <v>1053</v>
      </c>
      <c r="ET102">
        <v>0</v>
      </c>
      <c r="EV102">
        <v>0</v>
      </c>
      <c r="EY102" t="s">
        <v>1052</v>
      </c>
      <c r="EZ102">
        <v>0</v>
      </c>
      <c r="FA102" t="s">
        <v>1043</v>
      </c>
      <c r="FB102">
        <v>0</v>
      </c>
      <c r="FC102">
        <v>0</v>
      </c>
      <c r="FE102" t="s">
        <v>1050</v>
      </c>
      <c r="FF102">
        <v>0</v>
      </c>
      <c r="FG102" t="s">
        <v>1050</v>
      </c>
      <c r="FJ102">
        <v>0</v>
      </c>
      <c r="FK102">
        <v>0</v>
      </c>
      <c r="FP102">
        <v>0</v>
      </c>
      <c r="FR102">
        <v>0</v>
      </c>
      <c r="FS102" t="s">
        <v>1043</v>
      </c>
      <c r="FX102" t="s">
        <v>1042</v>
      </c>
      <c r="FZ102" t="s">
        <v>1048</v>
      </c>
      <c r="GA102">
        <v>0</v>
      </c>
      <c r="GB102" t="s">
        <v>1042</v>
      </c>
      <c r="GE102">
        <v>0</v>
      </c>
      <c r="GG102">
        <v>0</v>
      </c>
      <c r="GN102">
        <v>0</v>
      </c>
      <c r="GO102" t="s">
        <v>1063</v>
      </c>
      <c r="GQ102">
        <v>0</v>
      </c>
      <c r="GU102">
        <v>0</v>
      </c>
      <c r="GY102" t="s">
        <v>1045</v>
      </c>
      <c r="HB102">
        <v>0</v>
      </c>
      <c r="HE102">
        <v>0</v>
      </c>
      <c r="HF102">
        <v>0</v>
      </c>
      <c r="HG102">
        <v>0</v>
      </c>
      <c r="HK102" t="s">
        <v>1042</v>
      </c>
      <c r="HM102" t="s">
        <v>1047</v>
      </c>
      <c r="HN102">
        <v>0</v>
      </c>
      <c r="HP102">
        <v>0</v>
      </c>
      <c r="HQ102">
        <v>0</v>
      </c>
      <c r="HR102" t="s">
        <v>1042</v>
      </c>
      <c r="HS102" t="s">
        <v>1043</v>
      </c>
      <c r="HT102">
        <v>0</v>
      </c>
      <c r="HU102">
        <v>0</v>
      </c>
      <c r="HW102">
        <v>0</v>
      </c>
      <c r="HX102">
        <v>0</v>
      </c>
      <c r="HY102">
        <v>0</v>
      </c>
      <c r="HZ102" t="s">
        <v>1045</v>
      </c>
      <c r="IA102">
        <v>0</v>
      </c>
      <c r="IB102" t="s">
        <v>1045</v>
      </c>
      <c r="ID102" t="s">
        <v>1045</v>
      </c>
      <c r="IF102">
        <v>0</v>
      </c>
      <c r="IG102" t="s">
        <v>1042</v>
      </c>
      <c r="II102" t="s">
        <v>1042</v>
      </c>
      <c r="IR102" t="s">
        <v>1045</v>
      </c>
      <c r="IT102">
        <v>0</v>
      </c>
      <c r="IY102" t="s">
        <v>1044</v>
      </c>
      <c r="IZ102" t="s">
        <v>1043</v>
      </c>
      <c r="JC102" t="s">
        <v>1043</v>
      </c>
      <c r="JE102">
        <v>0</v>
      </c>
      <c r="JF102">
        <v>0</v>
      </c>
      <c r="JI102" t="s">
        <v>1042</v>
      </c>
      <c r="JJ102">
        <v>0</v>
      </c>
      <c r="JK102">
        <v>0</v>
      </c>
      <c r="JL102">
        <v>0</v>
      </c>
      <c r="JM102">
        <v>0</v>
      </c>
      <c r="JQ102" t="s">
        <v>1043</v>
      </c>
      <c r="JT102">
        <v>0</v>
      </c>
      <c r="JU102" t="s">
        <v>1042</v>
      </c>
      <c r="JW102">
        <v>0</v>
      </c>
      <c r="KA102">
        <v>0</v>
      </c>
      <c r="KF102">
        <v>0</v>
      </c>
      <c r="KG102">
        <v>0</v>
      </c>
      <c r="KH102">
        <v>0</v>
      </c>
      <c r="KI102">
        <v>0</v>
      </c>
      <c r="KS102" t="s">
        <v>1073</v>
      </c>
      <c r="KT102">
        <v>0</v>
      </c>
      <c r="KU102">
        <v>0</v>
      </c>
      <c r="KV102">
        <v>0</v>
      </c>
      <c r="KX102">
        <v>0</v>
      </c>
      <c r="KZ102">
        <v>0</v>
      </c>
      <c r="LF102">
        <v>0</v>
      </c>
      <c r="LH102">
        <v>0</v>
      </c>
      <c r="LI102">
        <v>0</v>
      </c>
    </row>
    <row r="103" spans="1:321" x14ac:dyDescent="0.35">
      <c r="A103">
        <v>1</v>
      </c>
      <c r="B103">
        <v>1234</v>
      </c>
      <c r="C103" t="s">
        <v>1608</v>
      </c>
      <c r="D103" t="s">
        <v>1061</v>
      </c>
      <c r="E103" t="s">
        <v>587</v>
      </c>
      <c r="F103">
        <v>1</v>
      </c>
      <c r="G103">
        <v>160</v>
      </c>
      <c r="H103">
        <v>0</v>
      </c>
      <c r="I103" t="s">
        <v>991</v>
      </c>
      <c r="L103">
        <v>0</v>
      </c>
      <c r="M103">
        <v>0</v>
      </c>
      <c r="N103">
        <v>0</v>
      </c>
      <c r="Q103">
        <v>516</v>
      </c>
      <c r="R103">
        <v>0</v>
      </c>
      <c r="S103">
        <v>0</v>
      </c>
      <c r="W103" t="s">
        <v>1060</v>
      </c>
      <c r="X103">
        <v>0</v>
      </c>
      <c r="Z103">
        <v>50</v>
      </c>
      <c r="AA103">
        <v>15.378</v>
      </c>
      <c r="AB103">
        <v>2187747</v>
      </c>
      <c r="AC103">
        <v>0.33900000000000002</v>
      </c>
      <c r="AD103" t="s">
        <v>1042</v>
      </c>
      <c r="AE103">
        <v>0</v>
      </c>
      <c r="AF103">
        <v>6.3600000000000004E-2</v>
      </c>
      <c r="AH103">
        <v>1526225</v>
      </c>
      <c r="AJ103">
        <v>1</v>
      </c>
      <c r="AK103" t="s">
        <v>1154</v>
      </c>
      <c r="AL103">
        <v>1261150</v>
      </c>
      <c r="AM103">
        <v>176</v>
      </c>
      <c r="AN103">
        <v>11501001</v>
      </c>
      <c r="AO103">
        <v>0</v>
      </c>
      <c r="AP103">
        <v>1001</v>
      </c>
      <c r="AT103">
        <v>1</v>
      </c>
      <c r="AU103" t="s">
        <v>1059</v>
      </c>
      <c r="AV103" t="s">
        <v>1043</v>
      </c>
      <c r="AW103" t="s">
        <v>1053</v>
      </c>
      <c r="AX103">
        <v>0</v>
      </c>
      <c r="AY103" s="20">
        <v>44246</v>
      </c>
      <c r="BA103" s="20">
        <v>44246</v>
      </c>
      <c r="BB103" t="s">
        <v>1058</v>
      </c>
      <c r="BD103">
        <v>0</v>
      </c>
      <c r="BF103" t="s">
        <v>1044</v>
      </c>
      <c r="BG103" t="s">
        <v>1042</v>
      </c>
      <c r="BH103">
        <v>0</v>
      </c>
      <c r="BI103">
        <v>33</v>
      </c>
      <c r="BJ103">
        <v>0</v>
      </c>
      <c r="BK103">
        <v>0</v>
      </c>
      <c r="BM103" t="s">
        <v>1042</v>
      </c>
      <c r="BN103">
        <v>0</v>
      </c>
      <c r="BO103">
        <v>7897801310604</v>
      </c>
      <c r="BR103" t="s">
        <v>1043</v>
      </c>
      <c r="BS103" t="s">
        <v>1043</v>
      </c>
      <c r="BT103" t="s">
        <v>1043</v>
      </c>
      <c r="BV103">
        <v>1</v>
      </c>
      <c r="BW103">
        <v>30</v>
      </c>
      <c r="BY103">
        <v>66</v>
      </c>
      <c r="CA103">
        <v>0</v>
      </c>
      <c r="CB103" t="s">
        <v>1043</v>
      </c>
      <c r="CE103" t="s">
        <v>1043</v>
      </c>
      <c r="CH103" t="s">
        <v>1043</v>
      </c>
      <c r="CI103" t="s">
        <v>1383</v>
      </c>
      <c r="CK103" t="s">
        <v>1152</v>
      </c>
      <c r="CN103" t="s">
        <v>1056</v>
      </c>
      <c r="CP103">
        <v>1</v>
      </c>
      <c r="CQ103">
        <v>5200</v>
      </c>
      <c r="CS103">
        <v>0</v>
      </c>
      <c r="CT103">
        <v>0</v>
      </c>
      <c r="CU103">
        <v>0</v>
      </c>
      <c r="CV103" t="s">
        <v>1045</v>
      </c>
      <c r="CW103">
        <v>0</v>
      </c>
      <c r="CX103">
        <v>0</v>
      </c>
      <c r="CY103">
        <v>0</v>
      </c>
      <c r="CZ103">
        <v>0</v>
      </c>
      <c r="DB103">
        <v>700000</v>
      </c>
      <c r="DH103">
        <v>0</v>
      </c>
      <c r="DJ103">
        <v>0</v>
      </c>
      <c r="DL103">
        <v>0</v>
      </c>
      <c r="DN103">
        <v>0</v>
      </c>
      <c r="DO103" t="s">
        <v>1042</v>
      </c>
      <c r="DP103">
        <v>0</v>
      </c>
      <c r="DQ103">
        <v>7.6</v>
      </c>
      <c r="DS103">
        <v>0</v>
      </c>
      <c r="DU103">
        <v>1.65</v>
      </c>
      <c r="DW103">
        <v>0</v>
      </c>
      <c r="DY103">
        <v>0</v>
      </c>
      <c r="DZ103">
        <v>0</v>
      </c>
      <c r="EA103">
        <v>0</v>
      </c>
      <c r="EB103">
        <v>17897801310601</v>
      </c>
      <c r="EE103">
        <v>0</v>
      </c>
      <c r="EF103">
        <v>0</v>
      </c>
      <c r="EK103" t="s">
        <v>1570</v>
      </c>
      <c r="EL103">
        <v>57897801310609</v>
      </c>
      <c r="EN103" t="s">
        <v>1511</v>
      </c>
      <c r="EO103" t="s">
        <v>1044</v>
      </c>
      <c r="ET103">
        <v>0</v>
      </c>
      <c r="EV103">
        <v>0</v>
      </c>
      <c r="EY103" t="s">
        <v>1052</v>
      </c>
      <c r="EZ103">
        <v>0</v>
      </c>
      <c r="FA103" t="s">
        <v>1043</v>
      </c>
      <c r="FB103">
        <v>0</v>
      </c>
      <c r="FC103">
        <v>0</v>
      </c>
      <c r="FD103" t="s">
        <v>1051</v>
      </c>
      <c r="FE103" t="s">
        <v>1050</v>
      </c>
      <c r="FF103">
        <v>0</v>
      </c>
      <c r="FG103" t="s">
        <v>1050</v>
      </c>
      <c r="FH103">
        <v>27897801310608</v>
      </c>
      <c r="FJ103">
        <v>0</v>
      </c>
      <c r="FK103">
        <v>0</v>
      </c>
      <c r="FP103">
        <v>0</v>
      </c>
      <c r="FR103">
        <v>0</v>
      </c>
      <c r="FS103" t="s">
        <v>1043</v>
      </c>
      <c r="FX103" t="s">
        <v>1042</v>
      </c>
      <c r="GA103">
        <v>0</v>
      </c>
      <c r="GB103" t="s">
        <v>1042</v>
      </c>
      <c r="GD103">
        <v>16</v>
      </c>
      <c r="GE103">
        <v>0</v>
      </c>
      <c r="GG103">
        <v>0</v>
      </c>
      <c r="GN103">
        <v>0</v>
      </c>
      <c r="GO103" t="s">
        <v>1049</v>
      </c>
      <c r="GQ103">
        <v>0</v>
      </c>
      <c r="GU103">
        <v>99</v>
      </c>
      <c r="GY103" t="s">
        <v>1045</v>
      </c>
      <c r="HB103">
        <v>0</v>
      </c>
      <c r="HE103">
        <v>12</v>
      </c>
      <c r="HF103">
        <v>0</v>
      </c>
      <c r="HG103">
        <v>5.2679999999999998E-2</v>
      </c>
      <c r="HK103" t="s">
        <v>1042</v>
      </c>
      <c r="HL103" t="s">
        <v>1048</v>
      </c>
      <c r="HM103">
        <v>0</v>
      </c>
      <c r="HN103">
        <v>0</v>
      </c>
      <c r="HO103">
        <v>24</v>
      </c>
      <c r="HP103">
        <v>6.1600000000000002E-2</v>
      </c>
      <c r="HQ103">
        <v>0</v>
      </c>
      <c r="HR103" t="s">
        <v>1042</v>
      </c>
      <c r="HT103">
        <v>0</v>
      </c>
      <c r="HU103">
        <v>0</v>
      </c>
      <c r="HW103">
        <v>0</v>
      </c>
      <c r="HX103">
        <v>3747050</v>
      </c>
      <c r="HY103">
        <v>0</v>
      </c>
      <c r="IA103">
        <v>0</v>
      </c>
      <c r="IF103">
        <v>5450</v>
      </c>
      <c r="IG103" s="20">
        <v>40365</v>
      </c>
      <c r="IH103" t="s">
        <v>1046</v>
      </c>
      <c r="II103" t="s">
        <v>1042</v>
      </c>
      <c r="IR103" t="s">
        <v>1045</v>
      </c>
      <c r="IT103">
        <v>0</v>
      </c>
      <c r="JE103">
        <v>0</v>
      </c>
      <c r="JF103">
        <v>0</v>
      </c>
      <c r="JI103" t="s">
        <v>1042</v>
      </c>
      <c r="JJ103">
        <v>0</v>
      </c>
      <c r="JK103">
        <v>0</v>
      </c>
      <c r="JL103">
        <v>0</v>
      </c>
      <c r="JM103">
        <v>0</v>
      </c>
      <c r="JT103">
        <v>0</v>
      </c>
      <c r="JU103" t="s">
        <v>1042</v>
      </c>
      <c r="JW103">
        <v>0</v>
      </c>
      <c r="KA103">
        <v>0</v>
      </c>
      <c r="KF103">
        <v>0</v>
      </c>
      <c r="KG103">
        <v>0</v>
      </c>
      <c r="KH103">
        <v>0</v>
      </c>
      <c r="KI103">
        <v>0</v>
      </c>
      <c r="KS103" t="s">
        <v>1041</v>
      </c>
      <c r="KT103">
        <v>0</v>
      </c>
      <c r="KU103">
        <v>0</v>
      </c>
      <c r="KV103">
        <v>0</v>
      </c>
      <c r="KX103">
        <v>0</v>
      </c>
      <c r="KZ103">
        <v>0</v>
      </c>
      <c r="LF103">
        <v>0</v>
      </c>
      <c r="LH103">
        <v>0</v>
      </c>
      <c r="LI103">
        <v>0</v>
      </c>
    </row>
    <row r="104" spans="1:321" x14ac:dyDescent="0.35">
      <c r="A104">
        <v>1</v>
      </c>
      <c r="B104">
        <v>12340</v>
      </c>
      <c r="C104" t="s">
        <v>1607</v>
      </c>
      <c r="D104" t="s">
        <v>1139</v>
      </c>
      <c r="E104" t="s">
        <v>1165</v>
      </c>
      <c r="F104">
        <v>80</v>
      </c>
      <c r="G104">
        <v>9000</v>
      </c>
      <c r="H104">
        <v>0</v>
      </c>
      <c r="I104" t="s">
        <v>1583</v>
      </c>
      <c r="L104">
        <v>0</v>
      </c>
      <c r="M104">
        <v>0</v>
      </c>
      <c r="N104">
        <v>0</v>
      </c>
      <c r="R104">
        <v>0</v>
      </c>
      <c r="S104">
        <v>0</v>
      </c>
      <c r="W104" t="s">
        <v>1060</v>
      </c>
      <c r="X104">
        <v>0</v>
      </c>
      <c r="Z104">
        <v>1</v>
      </c>
      <c r="AA104">
        <v>0</v>
      </c>
      <c r="AB104">
        <v>0</v>
      </c>
      <c r="AC104">
        <v>23.698</v>
      </c>
      <c r="AD104" s="20">
        <v>40784</v>
      </c>
      <c r="AE104">
        <v>22.8</v>
      </c>
      <c r="AF104">
        <v>0</v>
      </c>
      <c r="AH104">
        <v>0</v>
      </c>
      <c r="AJ104">
        <v>0</v>
      </c>
      <c r="AL104">
        <v>0</v>
      </c>
      <c r="AM104">
        <v>0</v>
      </c>
      <c r="AN104">
        <v>16601001</v>
      </c>
      <c r="AO104">
        <v>0</v>
      </c>
      <c r="AP104">
        <v>2720</v>
      </c>
      <c r="AT104">
        <v>0</v>
      </c>
      <c r="AU104" t="s">
        <v>1059</v>
      </c>
      <c r="AW104" t="s">
        <v>1053</v>
      </c>
      <c r="AX104">
        <v>0</v>
      </c>
      <c r="AY104" s="20">
        <v>40784</v>
      </c>
      <c r="BA104" s="20">
        <v>40784</v>
      </c>
      <c r="BB104" t="s">
        <v>1058</v>
      </c>
      <c r="BD104">
        <v>0</v>
      </c>
      <c r="BF104" t="s">
        <v>1043</v>
      </c>
      <c r="BG104" t="s">
        <v>1042</v>
      </c>
      <c r="BH104">
        <v>0</v>
      </c>
      <c r="BI104">
        <v>1</v>
      </c>
      <c r="BJ104">
        <v>0</v>
      </c>
      <c r="BK104">
        <v>0</v>
      </c>
      <c r="BM104" t="s">
        <v>1042</v>
      </c>
      <c r="BN104">
        <v>0</v>
      </c>
      <c r="BR104" t="s">
        <v>1043</v>
      </c>
      <c r="BS104" t="s">
        <v>1043</v>
      </c>
      <c r="BT104" t="s">
        <v>1043</v>
      </c>
      <c r="BW104">
        <v>83</v>
      </c>
      <c r="CA104">
        <v>0</v>
      </c>
      <c r="CB104" t="s">
        <v>1057</v>
      </c>
      <c r="CE104" t="s">
        <v>1043</v>
      </c>
      <c r="CH104" t="s">
        <v>1043</v>
      </c>
      <c r="CN104" t="s">
        <v>1056</v>
      </c>
      <c r="CO104" t="s">
        <v>1043</v>
      </c>
      <c r="CP104">
        <v>1</v>
      </c>
      <c r="CQ104">
        <v>0</v>
      </c>
      <c r="CS104">
        <v>0</v>
      </c>
      <c r="CT104">
        <v>0</v>
      </c>
      <c r="CU104">
        <v>0</v>
      </c>
      <c r="CV104" t="s">
        <v>1045</v>
      </c>
      <c r="CW104">
        <v>0</v>
      </c>
      <c r="CX104">
        <v>0</v>
      </c>
      <c r="CY104">
        <v>0</v>
      </c>
      <c r="CZ104">
        <v>0</v>
      </c>
      <c r="DB104">
        <v>0</v>
      </c>
      <c r="DC104" t="s">
        <v>1043</v>
      </c>
      <c r="DF104" t="s">
        <v>1055</v>
      </c>
      <c r="DH104">
        <v>0</v>
      </c>
      <c r="DJ104">
        <v>0</v>
      </c>
      <c r="DK104" t="s">
        <v>1053</v>
      </c>
      <c r="DL104">
        <v>0</v>
      </c>
      <c r="DN104">
        <v>0</v>
      </c>
      <c r="DO104" t="s">
        <v>1042</v>
      </c>
      <c r="DP104">
        <v>0</v>
      </c>
      <c r="DQ104">
        <v>0</v>
      </c>
      <c r="DS104">
        <v>0</v>
      </c>
      <c r="DU104">
        <v>0</v>
      </c>
      <c r="DW104">
        <v>0</v>
      </c>
      <c r="DX104" t="s">
        <v>1043</v>
      </c>
      <c r="DY104">
        <v>0</v>
      </c>
      <c r="DZ104">
        <v>0</v>
      </c>
      <c r="EA104">
        <v>0</v>
      </c>
      <c r="ED104" t="s">
        <v>1045</v>
      </c>
      <c r="EE104">
        <v>0</v>
      </c>
      <c r="EF104">
        <v>0</v>
      </c>
      <c r="EQ104" t="s">
        <v>1044</v>
      </c>
      <c r="ES104" t="s">
        <v>1053</v>
      </c>
      <c r="ET104">
        <v>0</v>
      </c>
      <c r="EV104">
        <v>0</v>
      </c>
      <c r="EY104" t="s">
        <v>1052</v>
      </c>
      <c r="EZ104">
        <v>0</v>
      </c>
      <c r="FA104" t="s">
        <v>1043</v>
      </c>
      <c r="FB104">
        <v>0</v>
      </c>
      <c r="FC104">
        <v>0</v>
      </c>
      <c r="FE104" t="s">
        <v>1050</v>
      </c>
      <c r="FF104">
        <v>0</v>
      </c>
      <c r="FG104" t="s">
        <v>1050</v>
      </c>
      <c r="FJ104">
        <v>0</v>
      </c>
      <c r="FK104">
        <v>0</v>
      </c>
      <c r="FP104">
        <v>0</v>
      </c>
      <c r="FR104">
        <v>0</v>
      </c>
      <c r="FS104" t="s">
        <v>1043</v>
      </c>
      <c r="FX104" t="s">
        <v>1042</v>
      </c>
      <c r="FZ104" t="s">
        <v>1048</v>
      </c>
      <c r="GA104">
        <v>0</v>
      </c>
      <c r="GB104" t="s">
        <v>1042</v>
      </c>
      <c r="GE104">
        <v>0</v>
      </c>
      <c r="GG104">
        <v>0</v>
      </c>
      <c r="GN104">
        <v>0</v>
      </c>
      <c r="GO104" t="s">
        <v>1063</v>
      </c>
      <c r="GQ104">
        <v>0</v>
      </c>
      <c r="GU104">
        <v>0</v>
      </c>
      <c r="GY104" t="s">
        <v>1045</v>
      </c>
      <c r="HB104">
        <v>0</v>
      </c>
      <c r="HE104">
        <v>0</v>
      </c>
      <c r="HF104">
        <v>0</v>
      </c>
      <c r="HG104">
        <v>0</v>
      </c>
      <c r="HK104" t="s">
        <v>1042</v>
      </c>
      <c r="HM104" t="s">
        <v>1047</v>
      </c>
      <c r="HN104">
        <v>0</v>
      </c>
      <c r="HP104">
        <v>0</v>
      </c>
      <c r="HQ104">
        <v>0</v>
      </c>
      <c r="HR104" t="s">
        <v>1042</v>
      </c>
      <c r="HS104" t="s">
        <v>1043</v>
      </c>
      <c r="HT104">
        <v>0</v>
      </c>
      <c r="HU104">
        <v>0</v>
      </c>
      <c r="HW104">
        <v>0</v>
      </c>
      <c r="HX104">
        <v>0</v>
      </c>
      <c r="HY104">
        <v>0</v>
      </c>
      <c r="HZ104" t="s">
        <v>1045</v>
      </c>
      <c r="IA104">
        <v>0</v>
      </c>
      <c r="IB104" t="s">
        <v>1045</v>
      </c>
      <c r="ID104" t="s">
        <v>1045</v>
      </c>
      <c r="IF104">
        <v>0</v>
      </c>
      <c r="IG104" t="s">
        <v>1042</v>
      </c>
      <c r="II104" t="s">
        <v>1042</v>
      </c>
      <c r="IR104" t="s">
        <v>1045</v>
      </c>
      <c r="IT104">
        <v>0</v>
      </c>
      <c r="IY104" t="s">
        <v>1044</v>
      </c>
      <c r="IZ104" t="s">
        <v>1043</v>
      </c>
      <c r="JC104" t="s">
        <v>1043</v>
      </c>
      <c r="JE104">
        <v>0</v>
      </c>
      <c r="JF104">
        <v>0</v>
      </c>
      <c r="JI104" t="s">
        <v>1042</v>
      </c>
      <c r="JJ104">
        <v>0</v>
      </c>
      <c r="JK104">
        <v>0</v>
      </c>
      <c r="JL104">
        <v>0</v>
      </c>
      <c r="JM104">
        <v>0</v>
      </c>
      <c r="JQ104" t="s">
        <v>1043</v>
      </c>
      <c r="JT104">
        <v>0</v>
      </c>
      <c r="JU104" t="s">
        <v>1042</v>
      </c>
      <c r="JW104">
        <v>0</v>
      </c>
      <c r="KA104">
        <v>0</v>
      </c>
      <c r="KF104">
        <v>0</v>
      </c>
      <c r="KG104">
        <v>0</v>
      </c>
      <c r="KH104">
        <v>0</v>
      </c>
      <c r="KI104">
        <v>0</v>
      </c>
      <c r="KS104" t="s">
        <v>1073</v>
      </c>
      <c r="KT104">
        <v>0</v>
      </c>
      <c r="KU104">
        <v>0</v>
      </c>
      <c r="KV104">
        <v>0</v>
      </c>
      <c r="KX104">
        <v>0</v>
      </c>
      <c r="KZ104">
        <v>0</v>
      </c>
      <c r="LF104">
        <v>0</v>
      </c>
      <c r="LH104">
        <v>0</v>
      </c>
      <c r="LI104">
        <v>0</v>
      </c>
    </row>
    <row r="105" spans="1:321" x14ac:dyDescent="0.35">
      <c r="A105">
        <v>1</v>
      </c>
      <c r="B105">
        <v>123401</v>
      </c>
      <c r="C105" t="s">
        <v>1606</v>
      </c>
      <c r="D105" t="s">
        <v>1139</v>
      </c>
      <c r="E105" t="s">
        <v>85</v>
      </c>
      <c r="F105">
        <v>80</v>
      </c>
      <c r="G105">
        <v>9000</v>
      </c>
      <c r="H105">
        <v>0</v>
      </c>
      <c r="I105" t="s">
        <v>1605</v>
      </c>
      <c r="L105">
        <v>0</v>
      </c>
      <c r="M105">
        <v>0</v>
      </c>
      <c r="N105">
        <v>0</v>
      </c>
      <c r="R105">
        <v>0</v>
      </c>
      <c r="S105">
        <v>0</v>
      </c>
      <c r="W105" t="s">
        <v>1060</v>
      </c>
      <c r="X105">
        <v>0</v>
      </c>
      <c r="Z105">
        <v>1</v>
      </c>
      <c r="AA105">
        <v>0</v>
      </c>
      <c r="AB105">
        <v>0</v>
      </c>
      <c r="AC105">
        <v>2241</v>
      </c>
      <c r="AD105" s="20">
        <v>40794</v>
      </c>
      <c r="AE105">
        <v>2700</v>
      </c>
      <c r="AF105">
        <v>0</v>
      </c>
      <c r="AH105">
        <v>0</v>
      </c>
      <c r="AJ105">
        <v>0</v>
      </c>
      <c r="AL105">
        <v>0</v>
      </c>
      <c r="AM105">
        <v>0</v>
      </c>
      <c r="AN105">
        <v>16601001</v>
      </c>
      <c r="AO105">
        <v>0</v>
      </c>
      <c r="AP105">
        <v>1000</v>
      </c>
      <c r="AT105">
        <v>0</v>
      </c>
      <c r="AU105" t="s">
        <v>1059</v>
      </c>
      <c r="AW105" t="s">
        <v>1053</v>
      </c>
      <c r="AX105">
        <v>0</v>
      </c>
      <c r="AY105" s="20">
        <v>40786</v>
      </c>
      <c r="BA105" s="20">
        <v>40786</v>
      </c>
      <c r="BB105" t="s">
        <v>1058</v>
      </c>
      <c r="BD105">
        <v>0</v>
      </c>
      <c r="BF105" t="s">
        <v>1043</v>
      </c>
      <c r="BG105" t="s">
        <v>1042</v>
      </c>
      <c r="BH105">
        <v>0</v>
      </c>
      <c r="BI105">
        <v>1</v>
      </c>
      <c r="BJ105">
        <v>0</v>
      </c>
      <c r="BK105">
        <v>0</v>
      </c>
      <c r="BM105" t="s">
        <v>1042</v>
      </c>
      <c r="BN105">
        <v>0</v>
      </c>
      <c r="BR105" t="s">
        <v>1043</v>
      </c>
      <c r="BS105" t="s">
        <v>1043</v>
      </c>
      <c r="BT105" t="s">
        <v>1043</v>
      </c>
      <c r="BW105">
        <v>83</v>
      </c>
      <c r="CA105">
        <v>0</v>
      </c>
      <c r="CB105" t="s">
        <v>1057</v>
      </c>
      <c r="CE105" t="s">
        <v>1043</v>
      </c>
      <c r="CH105" t="s">
        <v>1043</v>
      </c>
      <c r="CN105" t="s">
        <v>1056</v>
      </c>
      <c r="CO105" t="s">
        <v>1043</v>
      </c>
      <c r="CP105">
        <v>1</v>
      </c>
      <c r="CQ105">
        <v>0</v>
      </c>
      <c r="CS105">
        <v>0</v>
      </c>
      <c r="CT105">
        <v>0</v>
      </c>
      <c r="CU105">
        <v>0</v>
      </c>
      <c r="CV105" t="s">
        <v>1045</v>
      </c>
      <c r="CW105">
        <v>0</v>
      </c>
      <c r="CX105">
        <v>0</v>
      </c>
      <c r="CY105">
        <v>0</v>
      </c>
      <c r="CZ105">
        <v>0</v>
      </c>
      <c r="DB105">
        <v>0</v>
      </c>
      <c r="DC105" t="s">
        <v>1043</v>
      </c>
      <c r="DF105" t="s">
        <v>1055</v>
      </c>
      <c r="DH105">
        <v>0</v>
      </c>
      <c r="DJ105">
        <v>0</v>
      </c>
      <c r="DK105" t="s">
        <v>1053</v>
      </c>
      <c r="DL105">
        <v>0</v>
      </c>
      <c r="DN105">
        <v>0</v>
      </c>
      <c r="DO105" t="s">
        <v>1042</v>
      </c>
      <c r="DP105">
        <v>0</v>
      </c>
      <c r="DQ105">
        <v>0</v>
      </c>
      <c r="DS105">
        <v>0</v>
      </c>
      <c r="DU105">
        <v>0</v>
      </c>
      <c r="DW105">
        <v>0</v>
      </c>
      <c r="DX105" t="s">
        <v>1043</v>
      </c>
      <c r="DY105">
        <v>0</v>
      </c>
      <c r="DZ105">
        <v>0</v>
      </c>
      <c r="EA105">
        <v>0</v>
      </c>
      <c r="ED105" t="s">
        <v>1045</v>
      </c>
      <c r="EE105">
        <v>0</v>
      </c>
      <c r="EF105">
        <v>0</v>
      </c>
      <c r="EQ105" t="s">
        <v>1044</v>
      </c>
      <c r="ES105" t="s">
        <v>1053</v>
      </c>
      <c r="ET105">
        <v>0</v>
      </c>
      <c r="EV105">
        <v>0</v>
      </c>
      <c r="EY105" t="s">
        <v>1052</v>
      </c>
      <c r="EZ105">
        <v>0</v>
      </c>
      <c r="FA105" t="s">
        <v>1043</v>
      </c>
      <c r="FB105">
        <v>0</v>
      </c>
      <c r="FC105">
        <v>0</v>
      </c>
      <c r="FE105" t="s">
        <v>1050</v>
      </c>
      <c r="FF105">
        <v>0</v>
      </c>
      <c r="FG105" t="s">
        <v>1050</v>
      </c>
      <c r="FJ105">
        <v>0</v>
      </c>
      <c r="FK105">
        <v>0</v>
      </c>
      <c r="FP105">
        <v>0</v>
      </c>
      <c r="FR105">
        <v>0</v>
      </c>
      <c r="FS105" t="s">
        <v>1043</v>
      </c>
      <c r="FX105" t="s">
        <v>1042</v>
      </c>
      <c r="FZ105" t="s">
        <v>1048</v>
      </c>
      <c r="GA105">
        <v>0</v>
      </c>
      <c r="GB105" t="s">
        <v>1042</v>
      </c>
      <c r="GE105">
        <v>0</v>
      </c>
      <c r="GG105">
        <v>0</v>
      </c>
      <c r="GN105">
        <v>0</v>
      </c>
      <c r="GO105" t="s">
        <v>1063</v>
      </c>
      <c r="GQ105">
        <v>0</v>
      </c>
      <c r="GU105">
        <v>0</v>
      </c>
      <c r="GY105" t="s">
        <v>1045</v>
      </c>
      <c r="HB105">
        <v>0</v>
      </c>
      <c r="HE105">
        <v>0</v>
      </c>
      <c r="HF105">
        <v>0</v>
      </c>
      <c r="HG105">
        <v>0</v>
      </c>
      <c r="HK105" t="s">
        <v>1042</v>
      </c>
      <c r="HM105" t="s">
        <v>1047</v>
      </c>
      <c r="HN105">
        <v>0</v>
      </c>
      <c r="HP105">
        <v>0</v>
      </c>
      <c r="HQ105">
        <v>0</v>
      </c>
      <c r="HR105" t="s">
        <v>1042</v>
      </c>
      <c r="HS105" t="s">
        <v>1043</v>
      </c>
      <c r="HT105">
        <v>0</v>
      </c>
      <c r="HU105">
        <v>0</v>
      </c>
      <c r="HW105">
        <v>0</v>
      </c>
      <c r="HX105">
        <v>0</v>
      </c>
      <c r="HY105">
        <v>0</v>
      </c>
      <c r="HZ105" t="s">
        <v>1045</v>
      </c>
      <c r="IA105">
        <v>0</v>
      </c>
      <c r="IB105" t="s">
        <v>1045</v>
      </c>
      <c r="ID105" t="s">
        <v>1045</v>
      </c>
      <c r="IF105">
        <v>0</v>
      </c>
      <c r="IG105" t="s">
        <v>1042</v>
      </c>
      <c r="II105" t="s">
        <v>1042</v>
      </c>
      <c r="IR105" t="s">
        <v>1045</v>
      </c>
      <c r="IT105">
        <v>0</v>
      </c>
      <c r="IY105" t="s">
        <v>1044</v>
      </c>
      <c r="IZ105" t="s">
        <v>1043</v>
      </c>
      <c r="JC105" t="s">
        <v>1043</v>
      </c>
      <c r="JE105">
        <v>0</v>
      </c>
      <c r="JF105">
        <v>0</v>
      </c>
      <c r="JI105" t="s">
        <v>1042</v>
      </c>
      <c r="JJ105">
        <v>0</v>
      </c>
      <c r="JK105">
        <v>0</v>
      </c>
      <c r="JL105">
        <v>0</v>
      </c>
      <c r="JM105">
        <v>0</v>
      </c>
      <c r="JQ105" t="s">
        <v>1043</v>
      </c>
      <c r="JT105">
        <v>0</v>
      </c>
      <c r="JU105" t="s">
        <v>1042</v>
      </c>
      <c r="JW105">
        <v>0</v>
      </c>
      <c r="KA105">
        <v>0</v>
      </c>
      <c r="KF105">
        <v>0</v>
      </c>
      <c r="KG105">
        <v>0</v>
      </c>
      <c r="KH105">
        <v>0</v>
      </c>
      <c r="KI105">
        <v>0</v>
      </c>
      <c r="KS105" t="s">
        <v>1073</v>
      </c>
      <c r="KT105">
        <v>0</v>
      </c>
      <c r="KU105">
        <v>0</v>
      </c>
      <c r="KV105">
        <v>0</v>
      </c>
      <c r="KX105">
        <v>0</v>
      </c>
      <c r="KZ105">
        <v>0</v>
      </c>
      <c r="LF105">
        <v>0</v>
      </c>
      <c r="LH105">
        <v>0</v>
      </c>
      <c r="LI105">
        <v>0</v>
      </c>
    </row>
    <row r="106" spans="1:321" x14ac:dyDescent="0.35">
      <c r="A106">
        <v>1</v>
      </c>
      <c r="B106">
        <v>12341</v>
      </c>
      <c r="C106" t="s">
        <v>1604</v>
      </c>
      <c r="D106" t="s">
        <v>1139</v>
      </c>
      <c r="E106" t="s">
        <v>1165</v>
      </c>
      <c r="F106">
        <v>80</v>
      </c>
      <c r="G106">
        <v>9000</v>
      </c>
      <c r="H106">
        <v>0</v>
      </c>
      <c r="I106" t="s">
        <v>1583</v>
      </c>
      <c r="L106">
        <v>0</v>
      </c>
      <c r="M106">
        <v>0</v>
      </c>
      <c r="N106">
        <v>0</v>
      </c>
      <c r="R106">
        <v>0</v>
      </c>
      <c r="S106">
        <v>0</v>
      </c>
      <c r="W106" t="s">
        <v>1060</v>
      </c>
      <c r="X106">
        <v>0</v>
      </c>
      <c r="Z106">
        <v>1</v>
      </c>
      <c r="AA106">
        <v>0</v>
      </c>
      <c r="AB106">
        <v>0</v>
      </c>
      <c r="AC106">
        <v>15.1747</v>
      </c>
      <c r="AD106" s="20">
        <v>40784</v>
      </c>
      <c r="AE106">
        <v>14.6</v>
      </c>
      <c r="AF106">
        <v>0</v>
      </c>
      <c r="AH106">
        <v>0</v>
      </c>
      <c r="AJ106">
        <v>0</v>
      </c>
      <c r="AL106">
        <v>0</v>
      </c>
      <c r="AM106">
        <v>0</v>
      </c>
      <c r="AN106">
        <v>16601001</v>
      </c>
      <c r="AO106">
        <v>0</v>
      </c>
      <c r="AP106">
        <v>1000</v>
      </c>
      <c r="AT106">
        <v>0</v>
      </c>
      <c r="AU106" t="s">
        <v>1059</v>
      </c>
      <c r="AW106" t="s">
        <v>1053</v>
      </c>
      <c r="AX106">
        <v>0</v>
      </c>
      <c r="AY106" s="20">
        <v>40784</v>
      </c>
      <c r="BA106" s="20">
        <v>40784</v>
      </c>
      <c r="BB106" t="s">
        <v>1058</v>
      </c>
      <c r="BD106">
        <v>0</v>
      </c>
      <c r="BF106" t="s">
        <v>1043</v>
      </c>
      <c r="BG106" t="s">
        <v>1042</v>
      </c>
      <c r="BH106">
        <v>0</v>
      </c>
      <c r="BI106">
        <v>1</v>
      </c>
      <c r="BJ106">
        <v>0</v>
      </c>
      <c r="BK106">
        <v>0</v>
      </c>
      <c r="BM106" t="s">
        <v>1042</v>
      </c>
      <c r="BN106">
        <v>0</v>
      </c>
      <c r="BR106" t="s">
        <v>1043</v>
      </c>
      <c r="BS106" t="s">
        <v>1043</v>
      </c>
      <c r="BT106" t="s">
        <v>1043</v>
      </c>
      <c r="BW106">
        <v>83</v>
      </c>
      <c r="CA106">
        <v>0</v>
      </c>
      <c r="CB106" t="s">
        <v>1057</v>
      </c>
      <c r="CE106" t="s">
        <v>1043</v>
      </c>
      <c r="CH106" t="s">
        <v>1043</v>
      </c>
      <c r="CN106" t="s">
        <v>1056</v>
      </c>
      <c r="CO106" t="s">
        <v>1043</v>
      </c>
      <c r="CP106">
        <v>1</v>
      </c>
      <c r="CQ106">
        <v>0</v>
      </c>
      <c r="CS106">
        <v>0</v>
      </c>
      <c r="CT106">
        <v>0</v>
      </c>
      <c r="CU106">
        <v>0</v>
      </c>
      <c r="CV106" t="s">
        <v>1045</v>
      </c>
      <c r="CW106">
        <v>0</v>
      </c>
      <c r="CX106">
        <v>0</v>
      </c>
      <c r="CY106">
        <v>0</v>
      </c>
      <c r="CZ106">
        <v>0</v>
      </c>
      <c r="DB106">
        <v>0</v>
      </c>
      <c r="DC106" t="s">
        <v>1043</v>
      </c>
      <c r="DF106" t="s">
        <v>1055</v>
      </c>
      <c r="DH106">
        <v>0</v>
      </c>
      <c r="DJ106">
        <v>0</v>
      </c>
      <c r="DK106" t="s">
        <v>1053</v>
      </c>
      <c r="DL106">
        <v>0</v>
      </c>
      <c r="DN106">
        <v>0</v>
      </c>
      <c r="DO106" t="s">
        <v>1042</v>
      </c>
      <c r="DP106">
        <v>0</v>
      </c>
      <c r="DQ106">
        <v>0</v>
      </c>
      <c r="DS106">
        <v>0</v>
      </c>
      <c r="DU106">
        <v>0</v>
      </c>
      <c r="DW106">
        <v>0</v>
      </c>
      <c r="DX106" t="s">
        <v>1043</v>
      </c>
      <c r="DY106">
        <v>0</v>
      </c>
      <c r="DZ106">
        <v>0</v>
      </c>
      <c r="EA106">
        <v>0</v>
      </c>
      <c r="ED106" t="s">
        <v>1045</v>
      </c>
      <c r="EE106">
        <v>0</v>
      </c>
      <c r="EF106">
        <v>0</v>
      </c>
      <c r="EQ106" t="s">
        <v>1044</v>
      </c>
      <c r="ES106" t="s">
        <v>1053</v>
      </c>
      <c r="ET106">
        <v>0</v>
      </c>
      <c r="EV106">
        <v>0</v>
      </c>
      <c r="EY106" t="s">
        <v>1052</v>
      </c>
      <c r="EZ106">
        <v>0</v>
      </c>
      <c r="FA106" t="s">
        <v>1043</v>
      </c>
      <c r="FB106">
        <v>0</v>
      </c>
      <c r="FC106">
        <v>0</v>
      </c>
      <c r="FE106" t="s">
        <v>1050</v>
      </c>
      <c r="FF106">
        <v>0</v>
      </c>
      <c r="FG106" t="s">
        <v>1050</v>
      </c>
      <c r="FJ106">
        <v>0</v>
      </c>
      <c r="FK106">
        <v>0</v>
      </c>
      <c r="FP106">
        <v>0</v>
      </c>
      <c r="FR106">
        <v>0</v>
      </c>
      <c r="FS106" t="s">
        <v>1043</v>
      </c>
      <c r="FX106" t="s">
        <v>1042</v>
      </c>
      <c r="FZ106" t="s">
        <v>1048</v>
      </c>
      <c r="GA106">
        <v>0</v>
      </c>
      <c r="GB106" t="s">
        <v>1042</v>
      </c>
      <c r="GE106">
        <v>0</v>
      </c>
      <c r="GG106">
        <v>0</v>
      </c>
      <c r="GN106">
        <v>0</v>
      </c>
      <c r="GO106" t="s">
        <v>1063</v>
      </c>
      <c r="GQ106">
        <v>0</v>
      </c>
      <c r="GU106">
        <v>0</v>
      </c>
      <c r="GY106" t="s">
        <v>1045</v>
      </c>
      <c r="HB106">
        <v>0</v>
      </c>
      <c r="HE106">
        <v>0</v>
      </c>
      <c r="HF106">
        <v>0</v>
      </c>
      <c r="HG106">
        <v>0</v>
      </c>
      <c r="HK106" t="s">
        <v>1042</v>
      </c>
      <c r="HM106" t="s">
        <v>1047</v>
      </c>
      <c r="HN106">
        <v>0</v>
      </c>
      <c r="HP106">
        <v>0</v>
      </c>
      <c r="HQ106">
        <v>0</v>
      </c>
      <c r="HR106" t="s">
        <v>1042</v>
      </c>
      <c r="HS106" t="s">
        <v>1043</v>
      </c>
      <c r="HT106">
        <v>0</v>
      </c>
      <c r="HU106">
        <v>0</v>
      </c>
      <c r="HW106">
        <v>0</v>
      </c>
      <c r="HX106">
        <v>0</v>
      </c>
      <c r="HY106">
        <v>0</v>
      </c>
      <c r="HZ106" t="s">
        <v>1045</v>
      </c>
      <c r="IA106">
        <v>0</v>
      </c>
      <c r="IB106" t="s">
        <v>1045</v>
      </c>
      <c r="ID106" t="s">
        <v>1045</v>
      </c>
      <c r="IF106">
        <v>0</v>
      </c>
      <c r="IG106" t="s">
        <v>1042</v>
      </c>
      <c r="II106" t="s">
        <v>1042</v>
      </c>
      <c r="IR106" t="s">
        <v>1045</v>
      </c>
      <c r="IT106">
        <v>0</v>
      </c>
      <c r="IY106" t="s">
        <v>1044</v>
      </c>
      <c r="IZ106" t="s">
        <v>1043</v>
      </c>
      <c r="JC106" t="s">
        <v>1043</v>
      </c>
      <c r="JE106">
        <v>0</v>
      </c>
      <c r="JF106">
        <v>0</v>
      </c>
      <c r="JI106" t="s">
        <v>1042</v>
      </c>
      <c r="JJ106">
        <v>0</v>
      </c>
      <c r="JK106">
        <v>0</v>
      </c>
      <c r="JL106">
        <v>0</v>
      </c>
      <c r="JM106">
        <v>0</v>
      </c>
      <c r="JQ106" t="s">
        <v>1043</v>
      </c>
      <c r="JT106">
        <v>0</v>
      </c>
      <c r="JU106" t="s">
        <v>1042</v>
      </c>
      <c r="JW106">
        <v>0</v>
      </c>
      <c r="KA106">
        <v>0</v>
      </c>
      <c r="KF106">
        <v>0</v>
      </c>
      <c r="KG106">
        <v>0</v>
      </c>
      <c r="KH106">
        <v>0</v>
      </c>
      <c r="KI106">
        <v>0</v>
      </c>
      <c r="KS106" t="s">
        <v>1073</v>
      </c>
      <c r="KT106">
        <v>0</v>
      </c>
      <c r="KU106">
        <v>0</v>
      </c>
      <c r="KV106">
        <v>0</v>
      </c>
      <c r="KX106">
        <v>0</v>
      </c>
      <c r="KZ106">
        <v>0</v>
      </c>
      <c r="LF106">
        <v>0</v>
      </c>
      <c r="LH106">
        <v>0</v>
      </c>
      <c r="LI106">
        <v>0</v>
      </c>
    </row>
    <row r="107" spans="1:321" x14ac:dyDescent="0.35">
      <c r="A107">
        <v>1</v>
      </c>
      <c r="B107">
        <v>12342</v>
      </c>
      <c r="C107" t="s">
        <v>1603</v>
      </c>
      <c r="D107" t="s">
        <v>1139</v>
      </c>
      <c r="E107" t="s">
        <v>85</v>
      </c>
      <c r="F107">
        <v>80</v>
      </c>
      <c r="G107">
        <v>9000</v>
      </c>
      <c r="H107">
        <v>0</v>
      </c>
      <c r="I107" t="s">
        <v>1050</v>
      </c>
      <c r="L107">
        <v>0</v>
      </c>
      <c r="M107">
        <v>0</v>
      </c>
      <c r="N107">
        <v>0</v>
      </c>
      <c r="R107">
        <v>0</v>
      </c>
      <c r="S107">
        <v>0</v>
      </c>
      <c r="W107" t="s">
        <v>1060</v>
      </c>
      <c r="X107">
        <v>0</v>
      </c>
      <c r="Z107">
        <v>1</v>
      </c>
      <c r="AA107">
        <v>0</v>
      </c>
      <c r="AB107">
        <v>0</v>
      </c>
      <c r="AC107">
        <v>0</v>
      </c>
      <c r="AD107" s="20">
        <v>40785</v>
      </c>
      <c r="AE107">
        <v>90.95</v>
      </c>
      <c r="AF107">
        <v>0</v>
      </c>
      <c r="AH107">
        <v>0</v>
      </c>
      <c r="AJ107">
        <v>0</v>
      </c>
      <c r="AL107">
        <v>0</v>
      </c>
      <c r="AM107">
        <v>0</v>
      </c>
      <c r="AN107">
        <v>16601001</v>
      </c>
      <c r="AO107">
        <v>0</v>
      </c>
      <c r="AP107">
        <v>1000</v>
      </c>
      <c r="AT107">
        <v>0</v>
      </c>
      <c r="AU107" t="s">
        <v>1059</v>
      </c>
      <c r="AW107" t="s">
        <v>1053</v>
      </c>
      <c r="AX107">
        <v>0</v>
      </c>
      <c r="AY107" s="20">
        <v>40785</v>
      </c>
      <c r="BA107" s="20">
        <v>40785</v>
      </c>
      <c r="BB107" t="s">
        <v>1058</v>
      </c>
      <c r="BD107">
        <v>0</v>
      </c>
      <c r="BF107" t="s">
        <v>1043</v>
      </c>
      <c r="BG107" t="s">
        <v>1042</v>
      </c>
      <c r="BH107">
        <v>0</v>
      </c>
      <c r="BI107">
        <v>1</v>
      </c>
      <c r="BJ107">
        <v>0</v>
      </c>
      <c r="BK107">
        <v>0</v>
      </c>
      <c r="BM107" t="s">
        <v>1042</v>
      </c>
      <c r="BN107">
        <v>0</v>
      </c>
      <c r="BR107" t="s">
        <v>1043</v>
      </c>
      <c r="BS107" t="s">
        <v>1043</v>
      </c>
      <c r="BT107" t="s">
        <v>1043</v>
      </c>
      <c r="BW107">
        <v>83</v>
      </c>
      <c r="CA107">
        <v>0</v>
      </c>
      <c r="CB107" t="s">
        <v>1057</v>
      </c>
      <c r="CE107" t="s">
        <v>1043</v>
      </c>
      <c r="CH107" t="s">
        <v>1043</v>
      </c>
      <c r="CN107" t="s">
        <v>1056</v>
      </c>
      <c r="CO107" t="s">
        <v>1043</v>
      </c>
      <c r="CP107">
        <v>1</v>
      </c>
      <c r="CQ107">
        <v>0</v>
      </c>
      <c r="CS107">
        <v>0</v>
      </c>
      <c r="CT107">
        <v>0</v>
      </c>
      <c r="CU107">
        <v>0</v>
      </c>
      <c r="CV107" t="s">
        <v>1045</v>
      </c>
      <c r="CW107">
        <v>0</v>
      </c>
      <c r="CX107">
        <v>0</v>
      </c>
      <c r="CY107">
        <v>0</v>
      </c>
      <c r="CZ107">
        <v>0</v>
      </c>
      <c r="DB107">
        <v>0</v>
      </c>
      <c r="DC107" t="s">
        <v>1043</v>
      </c>
      <c r="DF107" t="s">
        <v>1055</v>
      </c>
      <c r="DH107">
        <v>0</v>
      </c>
      <c r="DJ107">
        <v>0</v>
      </c>
      <c r="DK107" t="s">
        <v>1053</v>
      </c>
      <c r="DL107">
        <v>0</v>
      </c>
      <c r="DN107">
        <v>0</v>
      </c>
      <c r="DO107" t="s">
        <v>1042</v>
      </c>
      <c r="DP107">
        <v>0</v>
      </c>
      <c r="DQ107">
        <v>0</v>
      </c>
      <c r="DS107">
        <v>0</v>
      </c>
      <c r="DU107">
        <v>0</v>
      </c>
      <c r="DW107">
        <v>0</v>
      </c>
      <c r="DX107" t="s">
        <v>1043</v>
      </c>
      <c r="DY107">
        <v>0</v>
      </c>
      <c r="DZ107">
        <v>0</v>
      </c>
      <c r="EA107">
        <v>0</v>
      </c>
      <c r="ED107" t="s">
        <v>1045</v>
      </c>
      <c r="EE107">
        <v>0</v>
      </c>
      <c r="EF107">
        <v>0</v>
      </c>
      <c r="EQ107" t="s">
        <v>1044</v>
      </c>
      <c r="ES107" t="s">
        <v>1053</v>
      </c>
      <c r="ET107">
        <v>0</v>
      </c>
      <c r="EV107">
        <v>0</v>
      </c>
      <c r="EY107" t="s">
        <v>1052</v>
      </c>
      <c r="EZ107">
        <v>0</v>
      </c>
      <c r="FA107" t="s">
        <v>1043</v>
      </c>
      <c r="FB107">
        <v>0</v>
      </c>
      <c r="FC107">
        <v>0</v>
      </c>
      <c r="FE107" t="s">
        <v>1050</v>
      </c>
      <c r="FF107">
        <v>0</v>
      </c>
      <c r="FG107" t="s">
        <v>1050</v>
      </c>
      <c r="FJ107">
        <v>0</v>
      </c>
      <c r="FK107">
        <v>0</v>
      </c>
      <c r="FP107">
        <v>0</v>
      </c>
      <c r="FR107">
        <v>0</v>
      </c>
      <c r="FS107" t="s">
        <v>1043</v>
      </c>
      <c r="FX107" t="s">
        <v>1042</v>
      </c>
      <c r="FZ107" t="s">
        <v>1048</v>
      </c>
      <c r="GA107">
        <v>0</v>
      </c>
      <c r="GB107" t="s">
        <v>1042</v>
      </c>
      <c r="GE107">
        <v>0</v>
      </c>
      <c r="GG107">
        <v>0</v>
      </c>
      <c r="GN107">
        <v>0</v>
      </c>
      <c r="GO107" t="s">
        <v>1063</v>
      </c>
      <c r="GQ107">
        <v>0</v>
      </c>
      <c r="GU107">
        <v>0</v>
      </c>
      <c r="GY107" t="s">
        <v>1045</v>
      </c>
      <c r="HB107">
        <v>0</v>
      </c>
      <c r="HE107">
        <v>0</v>
      </c>
      <c r="HF107">
        <v>0</v>
      </c>
      <c r="HG107">
        <v>0</v>
      </c>
      <c r="HK107" t="s">
        <v>1042</v>
      </c>
      <c r="HM107" t="s">
        <v>1047</v>
      </c>
      <c r="HN107">
        <v>0</v>
      </c>
      <c r="HP107">
        <v>0</v>
      </c>
      <c r="HQ107">
        <v>0</v>
      </c>
      <c r="HR107" t="s">
        <v>1042</v>
      </c>
      <c r="HS107" t="s">
        <v>1043</v>
      </c>
      <c r="HT107">
        <v>0</v>
      </c>
      <c r="HU107">
        <v>0</v>
      </c>
      <c r="HW107">
        <v>0</v>
      </c>
      <c r="HX107">
        <v>0</v>
      </c>
      <c r="HY107">
        <v>0</v>
      </c>
      <c r="HZ107" t="s">
        <v>1045</v>
      </c>
      <c r="IA107">
        <v>0</v>
      </c>
      <c r="IB107" t="s">
        <v>1045</v>
      </c>
      <c r="ID107" t="s">
        <v>1045</v>
      </c>
      <c r="IF107">
        <v>0</v>
      </c>
      <c r="IG107" t="s">
        <v>1042</v>
      </c>
      <c r="II107" t="s">
        <v>1042</v>
      </c>
      <c r="IR107" t="s">
        <v>1045</v>
      </c>
      <c r="IT107">
        <v>0</v>
      </c>
      <c r="IY107" t="s">
        <v>1044</v>
      </c>
      <c r="IZ107" t="s">
        <v>1043</v>
      </c>
      <c r="JC107" t="s">
        <v>1043</v>
      </c>
      <c r="JE107">
        <v>0</v>
      </c>
      <c r="JF107">
        <v>0</v>
      </c>
      <c r="JI107" t="s">
        <v>1042</v>
      </c>
      <c r="JJ107">
        <v>0</v>
      </c>
      <c r="JK107">
        <v>0</v>
      </c>
      <c r="JL107">
        <v>0</v>
      </c>
      <c r="JM107">
        <v>0</v>
      </c>
      <c r="JQ107" t="s">
        <v>1043</v>
      </c>
      <c r="JT107">
        <v>0</v>
      </c>
      <c r="JU107" t="s">
        <v>1042</v>
      </c>
      <c r="JW107">
        <v>0</v>
      </c>
      <c r="KA107">
        <v>0</v>
      </c>
      <c r="KF107">
        <v>0</v>
      </c>
      <c r="KG107">
        <v>0</v>
      </c>
      <c r="KH107">
        <v>0</v>
      </c>
      <c r="KI107">
        <v>0</v>
      </c>
      <c r="KS107" t="s">
        <v>1073</v>
      </c>
      <c r="KT107">
        <v>0</v>
      </c>
      <c r="KU107">
        <v>0</v>
      </c>
      <c r="KV107">
        <v>0</v>
      </c>
      <c r="KX107">
        <v>0</v>
      </c>
      <c r="KZ107">
        <v>0</v>
      </c>
      <c r="LF107">
        <v>0</v>
      </c>
      <c r="LH107">
        <v>0</v>
      </c>
      <c r="LI107">
        <v>0</v>
      </c>
    </row>
    <row r="108" spans="1:321" x14ac:dyDescent="0.35">
      <c r="A108">
        <v>1</v>
      </c>
      <c r="B108">
        <v>12343</v>
      </c>
      <c r="C108" t="s">
        <v>1602</v>
      </c>
      <c r="D108" t="s">
        <v>1139</v>
      </c>
      <c r="E108" t="s">
        <v>85</v>
      </c>
      <c r="F108">
        <v>80</v>
      </c>
      <c r="G108">
        <v>9000</v>
      </c>
      <c r="H108">
        <v>0</v>
      </c>
      <c r="I108" t="s">
        <v>1050</v>
      </c>
      <c r="L108">
        <v>0</v>
      </c>
      <c r="M108">
        <v>0</v>
      </c>
      <c r="N108">
        <v>0</v>
      </c>
      <c r="R108">
        <v>0</v>
      </c>
      <c r="S108">
        <v>0</v>
      </c>
      <c r="W108" t="s">
        <v>1060</v>
      </c>
      <c r="X108">
        <v>0</v>
      </c>
      <c r="Z108">
        <v>1</v>
      </c>
      <c r="AA108">
        <v>0</v>
      </c>
      <c r="AB108">
        <v>0</v>
      </c>
      <c r="AC108">
        <v>0</v>
      </c>
      <c r="AD108" t="s">
        <v>1042</v>
      </c>
      <c r="AE108">
        <v>15.9</v>
      </c>
      <c r="AF108">
        <v>0</v>
      </c>
      <c r="AH108">
        <v>0</v>
      </c>
      <c r="AJ108">
        <v>0</v>
      </c>
      <c r="AL108">
        <v>0</v>
      </c>
      <c r="AM108">
        <v>0</v>
      </c>
      <c r="AN108">
        <v>16601001</v>
      </c>
      <c r="AO108">
        <v>0</v>
      </c>
      <c r="AP108">
        <v>1000</v>
      </c>
      <c r="AT108">
        <v>0</v>
      </c>
      <c r="AU108" t="s">
        <v>1059</v>
      </c>
      <c r="AW108" t="s">
        <v>1053</v>
      </c>
      <c r="AX108">
        <v>0</v>
      </c>
      <c r="AY108" s="20">
        <v>40785</v>
      </c>
      <c r="BA108" s="20">
        <v>40785</v>
      </c>
      <c r="BB108" t="s">
        <v>1058</v>
      </c>
      <c r="BD108">
        <v>0</v>
      </c>
      <c r="BF108" t="s">
        <v>1043</v>
      </c>
      <c r="BG108" t="s">
        <v>1042</v>
      </c>
      <c r="BH108">
        <v>0</v>
      </c>
      <c r="BI108">
        <v>1</v>
      </c>
      <c r="BJ108">
        <v>0</v>
      </c>
      <c r="BK108">
        <v>0</v>
      </c>
      <c r="BM108" t="s">
        <v>1042</v>
      </c>
      <c r="BN108">
        <v>0</v>
      </c>
      <c r="BR108" t="s">
        <v>1043</v>
      </c>
      <c r="BS108" t="s">
        <v>1043</v>
      </c>
      <c r="BT108" t="s">
        <v>1043</v>
      </c>
      <c r="BW108">
        <v>83</v>
      </c>
      <c r="CA108">
        <v>0</v>
      </c>
      <c r="CB108" t="s">
        <v>1057</v>
      </c>
      <c r="CE108" t="s">
        <v>1043</v>
      </c>
      <c r="CH108" t="s">
        <v>1043</v>
      </c>
      <c r="CN108" t="s">
        <v>1056</v>
      </c>
      <c r="CO108" t="s">
        <v>1043</v>
      </c>
      <c r="CP108">
        <v>1</v>
      </c>
      <c r="CQ108">
        <v>0</v>
      </c>
      <c r="CS108">
        <v>0</v>
      </c>
      <c r="CT108">
        <v>0</v>
      </c>
      <c r="CU108">
        <v>0</v>
      </c>
      <c r="CV108" t="s">
        <v>1045</v>
      </c>
      <c r="CW108">
        <v>0</v>
      </c>
      <c r="CX108">
        <v>0</v>
      </c>
      <c r="CY108">
        <v>0</v>
      </c>
      <c r="CZ108">
        <v>0</v>
      </c>
      <c r="DB108">
        <v>0</v>
      </c>
      <c r="DC108" t="s">
        <v>1043</v>
      </c>
      <c r="DF108" t="s">
        <v>1055</v>
      </c>
      <c r="DH108">
        <v>0</v>
      </c>
      <c r="DJ108">
        <v>0</v>
      </c>
      <c r="DK108" t="s">
        <v>1053</v>
      </c>
      <c r="DL108">
        <v>0</v>
      </c>
      <c r="DN108">
        <v>0</v>
      </c>
      <c r="DO108" t="s">
        <v>1042</v>
      </c>
      <c r="DP108">
        <v>0</v>
      </c>
      <c r="DQ108">
        <v>0</v>
      </c>
      <c r="DS108">
        <v>0</v>
      </c>
      <c r="DU108">
        <v>0</v>
      </c>
      <c r="DW108">
        <v>0</v>
      </c>
      <c r="DX108" t="s">
        <v>1043</v>
      </c>
      <c r="DY108">
        <v>0</v>
      </c>
      <c r="DZ108">
        <v>0</v>
      </c>
      <c r="EA108">
        <v>0</v>
      </c>
      <c r="ED108" t="s">
        <v>1045</v>
      </c>
      <c r="EE108">
        <v>0</v>
      </c>
      <c r="EF108">
        <v>0</v>
      </c>
      <c r="EQ108" t="s">
        <v>1044</v>
      </c>
      <c r="ES108" t="s">
        <v>1053</v>
      </c>
      <c r="ET108">
        <v>0</v>
      </c>
      <c r="EV108">
        <v>0</v>
      </c>
      <c r="EY108" t="s">
        <v>1052</v>
      </c>
      <c r="EZ108">
        <v>0</v>
      </c>
      <c r="FA108" t="s">
        <v>1043</v>
      </c>
      <c r="FB108">
        <v>0</v>
      </c>
      <c r="FC108">
        <v>0</v>
      </c>
      <c r="FE108" t="s">
        <v>1050</v>
      </c>
      <c r="FF108">
        <v>0</v>
      </c>
      <c r="FG108" t="s">
        <v>1050</v>
      </c>
      <c r="FJ108">
        <v>0</v>
      </c>
      <c r="FK108">
        <v>0</v>
      </c>
      <c r="FP108">
        <v>0</v>
      </c>
      <c r="FR108">
        <v>0</v>
      </c>
      <c r="FS108" t="s">
        <v>1043</v>
      </c>
      <c r="FX108" t="s">
        <v>1042</v>
      </c>
      <c r="FZ108" t="s">
        <v>1048</v>
      </c>
      <c r="GA108">
        <v>0</v>
      </c>
      <c r="GB108" t="s">
        <v>1042</v>
      </c>
      <c r="GE108">
        <v>0</v>
      </c>
      <c r="GG108">
        <v>0</v>
      </c>
      <c r="GN108">
        <v>0</v>
      </c>
      <c r="GO108" t="s">
        <v>1063</v>
      </c>
      <c r="GQ108">
        <v>0</v>
      </c>
      <c r="GU108">
        <v>0</v>
      </c>
      <c r="GY108" t="s">
        <v>1045</v>
      </c>
      <c r="HB108">
        <v>0</v>
      </c>
      <c r="HE108">
        <v>0</v>
      </c>
      <c r="HF108">
        <v>0</v>
      </c>
      <c r="HG108">
        <v>0</v>
      </c>
      <c r="HK108" t="s">
        <v>1042</v>
      </c>
      <c r="HM108" t="s">
        <v>1047</v>
      </c>
      <c r="HN108">
        <v>0</v>
      </c>
      <c r="HP108">
        <v>0</v>
      </c>
      <c r="HQ108">
        <v>0</v>
      </c>
      <c r="HR108" t="s">
        <v>1042</v>
      </c>
      <c r="HS108" t="s">
        <v>1043</v>
      </c>
      <c r="HT108">
        <v>0</v>
      </c>
      <c r="HU108">
        <v>0</v>
      </c>
      <c r="HW108">
        <v>0</v>
      </c>
      <c r="HX108">
        <v>0</v>
      </c>
      <c r="HY108">
        <v>0</v>
      </c>
      <c r="HZ108" t="s">
        <v>1045</v>
      </c>
      <c r="IA108">
        <v>0</v>
      </c>
      <c r="IB108" t="s">
        <v>1045</v>
      </c>
      <c r="ID108" t="s">
        <v>1045</v>
      </c>
      <c r="IF108">
        <v>0</v>
      </c>
      <c r="IG108" t="s">
        <v>1042</v>
      </c>
      <c r="II108" t="s">
        <v>1042</v>
      </c>
      <c r="IR108" t="s">
        <v>1045</v>
      </c>
      <c r="IT108">
        <v>0</v>
      </c>
      <c r="IY108" t="s">
        <v>1044</v>
      </c>
      <c r="IZ108" t="s">
        <v>1043</v>
      </c>
      <c r="JC108" t="s">
        <v>1043</v>
      </c>
      <c r="JE108">
        <v>0</v>
      </c>
      <c r="JF108">
        <v>0</v>
      </c>
      <c r="JI108" t="s">
        <v>1042</v>
      </c>
      <c r="JJ108">
        <v>0</v>
      </c>
      <c r="JK108">
        <v>0</v>
      </c>
      <c r="JL108">
        <v>0</v>
      </c>
      <c r="JM108">
        <v>0</v>
      </c>
      <c r="JQ108" t="s">
        <v>1043</v>
      </c>
      <c r="JT108">
        <v>0</v>
      </c>
      <c r="JU108" t="s">
        <v>1042</v>
      </c>
      <c r="JW108">
        <v>0</v>
      </c>
      <c r="KA108">
        <v>0</v>
      </c>
      <c r="KF108">
        <v>0</v>
      </c>
      <c r="KG108">
        <v>0</v>
      </c>
      <c r="KH108">
        <v>0</v>
      </c>
      <c r="KI108">
        <v>0</v>
      </c>
      <c r="KS108" t="s">
        <v>1073</v>
      </c>
      <c r="KT108">
        <v>0</v>
      </c>
      <c r="KU108">
        <v>0</v>
      </c>
      <c r="KV108">
        <v>0</v>
      </c>
      <c r="KX108">
        <v>0</v>
      </c>
      <c r="KZ108">
        <v>0</v>
      </c>
      <c r="LF108">
        <v>0</v>
      </c>
      <c r="LH108">
        <v>0</v>
      </c>
      <c r="LI108">
        <v>0</v>
      </c>
    </row>
    <row r="109" spans="1:321" x14ac:dyDescent="0.35">
      <c r="A109">
        <v>1</v>
      </c>
      <c r="B109">
        <v>12344</v>
      </c>
      <c r="C109" t="s">
        <v>1601</v>
      </c>
      <c r="D109" t="s">
        <v>1139</v>
      </c>
      <c r="E109" t="s">
        <v>85</v>
      </c>
      <c r="F109">
        <v>80</v>
      </c>
      <c r="G109">
        <v>9000</v>
      </c>
      <c r="H109">
        <v>0</v>
      </c>
      <c r="I109" t="s">
        <v>1050</v>
      </c>
      <c r="L109">
        <v>0</v>
      </c>
      <c r="M109">
        <v>0</v>
      </c>
      <c r="N109">
        <v>0</v>
      </c>
      <c r="R109">
        <v>0</v>
      </c>
      <c r="S109">
        <v>0</v>
      </c>
      <c r="W109" t="s">
        <v>1060</v>
      </c>
      <c r="X109">
        <v>0</v>
      </c>
      <c r="Z109">
        <v>1</v>
      </c>
      <c r="AA109">
        <v>0</v>
      </c>
      <c r="AB109">
        <v>0</v>
      </c>
      <c r="AC109">
        <v>0</v>
      </c>
      <c r="AD109" s="20">
        <v>40785</v>
      </c>
      <c r="AE109">
        <v>2129.6</v>
      </c>
      <c r="AF109">
        <v>0</v>
      </c>
      <c r="AH109">
        <v>0</v>
      </c>
      <c r="AJ109">
        <v>0</v>
      </c>
      <c r="AL109">
        <v>0</v>
      </c>
      <c r="AM109">
        <v>0</v>
      </c>
      <c r="AN109">
        <v>16601001</v>
      </c>
      <c r="AO109">
        <v>0</v>
      </c>
      <c r="AP109">
        <v>1000</v>
      </c>
      <c r="AT109">
        <v>0</v>
      </c>
      <c r="AU109" t="s">
        <v>1059</v>
      </c>
      <c r="AW109" t="s">
        <v>1053</v>
      </c>
      <c r="AX109">
        <v>0</v>
      </c>
      <c r="AY109" s="20">
        <v>40785</v>
      </c>
      <c r="BA109" s="20">
        <v>40785</v>
      </c>
      <c r="BB109" t="s">
        <v>1058</v>
      </c>
      <c r="BD109">
        <v>0</v>
      </c>
      <c r="BF109" t="s">
        <v>1043</v>
      </c>
      <c r="BG109" t="s">
        <v>1042</v>
      </c>
      <c r="BH109">
        <v>0</v>
      </c>
      <c r="BI109">
        <v>1</v>
      </c>
      <c r="BJ109">
        <v>0</v>
      </c>
      <c r="BK109">
        <v>0</v>
      </c>
      <c r="BM109" t="s">
        <v>1042</v>
      </c>
      <c r="BN109">
        <v>0</v>
      </c>
      <c r="BR109" t="s">
        <v>1043</v>
      </c>
      <c r="BS109" t="s">
        <v>1043</v>
      </c>
      <c r="BT109" t="s">
        <v>1043</v>
      </c>
      <c r="BW109">
        <v>83</v>
      </c>
      <c r="CA109">
        <v>0</v>
      </c>
      <c r="CB109" t="s">
        <v>1057</v>
      </c>
      <c r="CE109" t="s">
        <v>1043</v>
      </c>
      <c r="CH109" t="s">
        <v>1043</v>
      </c>
      <c r="CN109" t="s">
        <v>1056</v>
      </c>
      <c r="CO109" t="s">
        <v>1043</v>
      </c>
      <c r="CP109">
        <v>1</v>
      </c>
      <c r="CQ109">
        <v>0</v>
      </c>
      <c r="CS109">
        <v>0</v>
      </c>
      <c r="CT109">
        <v>0</v>
      </c>
      <c r="CU109">
        <v>0</v>
      </c>
      <c r="CV109" t="s">
        <v>1045</v>
      </c>
      <c r="CW109">
        <v>0</v>
      </c>
      <c r="CX109">
        <v>0</v>
      </c>
      <c r="CY109">
        <v>0</v>
      </c>
      <c r="CZ109">
        <v>0</v>
      </c>
      <c r="DB109">
        <v>0</v>
      </c>
      <c r="DC109" t="s">
        <v>1043</v>
      </c>
      <c r="DF109" t="s">
        <v>1055</v>
      </c>
      <c r="DH109">
        <v>0</v>
      </c>
      <c r="DJ109">
        <v>0</v>
      </c>
      <c r="DK109" t="s">
        <v>1053</v>
      </c>
      <c r="DL109">
        <v>0</v>
      </c>
      <c r="DN109">
        <v>0</v>
      </c>
      <c r="DO109" t="s">
        <v>1042</v>
      </c>
      <c r="DP109">
        <v>0</v>
      </c>
      <c r="DQ109">
        <v>0</v>
      </c>
      <c r="DS109">
        <v>0</v>
      </c>
      <c r="DU109">
        <v>0</v>
      </c>
      <c r="DW109">
        <v>0</v>
      </c>
      <c r="DX109" t="s">
        <v>1043</v>
      </c>
      <c r="DY109">
        <v>0</v>
      </c>
      <c r="DZ109">
        <v>0</v>
      </c>
      <c r="EA109">
        <v>0</v>
      </c>
      <c r="ED109" t="s">
        <v>1045</v>
      </c>
      <c r="EE109">
        <v>0</v>
      </c>
      <c r="EF109">
        <v>0</v>
      </c>
      <c r="EQ109" t="s">
        <v>1044</v>
      </c>
      <c r="ES109" t="s">
        <v>1053</v>
      </c>
      <c r="ET109">
        <v>0</v>
      </c>
      <c r="EV109">
        <v>0</v>
      </c>
      <c r="EY109" t="s">
        <v>1052</v>
      </c>
      <c r="EZ109">
        <v>0</v>
      </c>
      <c r="FA109" t="s">
        <v>1043</v>
      </c>
      <c r="FB109">
        <v>0</v>
      </c>
      <c r="FC109">
        <v>0</v>
      </c>
      <c r="FE109" t="s">
        <v>1050</v>
      </c>
      <c r="FF109">
        <v>0</v>
      </c>
      <c r="FG109" t="s">
        <v>1050</v>
      </c>
      <c r="FJ109">
        <v>0</v>
      </c>
      <c r="FK109">
        <v>0</v>
      </c>
      <c r="FP109">
        <v>0</v>
      </c>
      <c r="FR109">
        <v>0</v>
      </c>
      <c r="FS109" t="s">
        <v>1043</v>
      </c>
      <c r="FX109" t="s">
        <v>1042</v>
      </c>
      <c r="FZ109" t="s">
        <v>1048</v>
      </c>
      <c r="GA109">
        <v>0</v>
      </c>
      <c r="GB109" t="s">
        <v>1042</v>
      </c>
      <c r="GE109">
        <v>0</v>
      </c>
      <c r="GG109">
        <v>0</v>
      </c>
      <c r="GN109">
        <v>0</v>
      </c>
      <c r="GO109" t="s">
        <v>1063</v>
      </c>
      <c r="GQ109">
        <v>0</v>
      </c>
      <c r="GU109">
        <v>0</v>
      </c>
      <c r="GY109" t="s">
        <v>1045</v>
      </c>
      <c r="HB109">
        <v>0</v>
      </c>
      <c r="HE109">
        <v>0</v>
      </c>
      <c r="HF109">
        <v>0</v>
      </c>
      <c r="HG109">
        <v>0</v>
      </c>
      <c r="HK109" t="s">
        <v>1042</v>
      </c>
      <c r="HM109" t="s">
        <v>1047</v>
      </c>
      <c r="HN109">
        <v>0</v>
      </c>
      <c r="HP109">
        <v>0</v>
      </c>
      <c r="HQ109">
        <v>0</v>
      </c>
      <c r="HR109" t="s">
        <v>1042</v>
      </c>
      <c r="HS109" t="s">
        <v>1043</v>
      </c>
      <c r="HT109">
        <v>0</v>
      </c>
      <c r="HU109">
        <v>0</v>
      </c>
      <c r="HW109">
        <v>0</v>
      </c>
      <c r="HX109">
        <v>0</v>
      </c>
      <c r="HY109">
        <v>0</v>
      </c>
      <c r="HZ109" t="s">
        <v>1045</v>
      </c>
      <c r="IA109">
        <v>0</v>
      </c>
      <c r="IB109" t="s">
        <v>1045</v>
      </c>
      <c r="ID109" t="s">
        <v>1045</v>
      </c>
      <c r="IF109">
        <v>0</v>
      </c>
      <c r="IG109" t="s">
        <v>1042</v>
      </c>
      <c r="II109" t="s">
        <v>1042</v>
      </c>
      <c r="IR109" t="s">
        <v>1045</v>
      </c>
      <c r="IT109">
        <v>0</v>
      </c>
      <c r="IY109" t="s">
        <v>1044</v>
      </c>
      <c r="IZ109" t="s">
        <v>1043</v>
      </c>
      <c r="JC109" t="s">
        <v>1043</v>
      </c>
      <c r="JE109">
        <v>0</v>
      </c>
      <c r="JF109">
        <v>0</v>
      </c>
      <c r="JI109" t="s">
        <v>1042</v>
      </c>
      <c r="JJ109">
        <v>0</v>
      </c>
      <c r="JK109">
        <v>0</v>
      </c>
      <c r="JL109">
        <v>0</v>
      </c>
      <c r="JM109">
        <v>0</v>
      </c>
      <c r="JQ109" t="s">
        <v>1043</v>
      </c>
      <c r="JT109">
        <v>0</v>
      </c>
      <c r="JU109" t="s">
        <v>1042</v>
      </c>
      <c r="JW109">
        <v>0</v>
      </c>
      <c r="KA109">
        <v>0</v>
      </c>
      <c r="KF109">
        <v>0</v>
      </c>
      <c r="KG109">
        <v>0</v>
      </c>
      <c r="KH109">
        <v>0</v>
      </c>
      <c r="KI109">
        <v>0</v>
      </c>
      <c r="KS109" t="s">
        <v>1073</v>
      </c>
      <c r="KT109">
        <v>0</v>
      </c>
      <c r="KU109">
        <v>0</v>
      </c>
      <c r="KV109">
        <v>0</v>
      </c>
      <c r="KX109">
        <v>0</v>
      </c>
      <c r="KZ109">
        <v>0</v>
      </c>
      <c r="LF109">
        <v>0</v>
      </c>
      <c r="LH109">
        <v>0</v>
      </c>
      <c r="LI109">
        <v>0</v>
      </c>
    </row>
    <row r="110" spans="1:321" x14ac:dyDescent="0.35">
      <c r="A110">
        <v>1</v>
      </c>
      <c r="B110">
        <v>12345</v>
      </c>
      <c r="C110" t="s">
        <v>1600</v>
      </c>
      <c r="D110" t="s">
        <v>1139</v>
      </c>
      <c r="E110" t="s">
        <v>85</v>
      </c>
      <c r="F110">
        <v>80</v>
      </c>
      <c r="G110">
        <v>9000</v>
      </c>
      <c r="H110">
        <v>0</v>
      </c>
      <c r="I110" t="s">
        <v>1050</v>
      </c>
      <c r="L110">
        <v>0</v>
      </c>
      <c r="M110">
        <v>0</v>
      </c>
      <c r="N110">
        <v>0</v>
      </c>
      <c r="R110">
        <v>0</v>
      </c>
      <c r="S110">
        <v>0</v>
      </c>
      <c r="W110" t="s">
        <v>1060</v>
      </c>
      <c r="X110">
        <v>0</v>
      </c>
      <c r="Z110">
        <v>1</v>
      </c>
      <c r="AA110">
        <v>0</v>
      </c>
      <c r="AB110">
        <v>0</v>
      </c>
      <c r="AC110">
        <v>0</v>
      </c>
      <c r="AD110" s="20">
        <v>40785</v>
      </c>
      <c r="AE110">
        <v>0</v>
      </c>
      <c r="AF110">
        <v>0</v>
      </c>
      <c r="AH110">
        <v>0</v>
      </c>
      <c r="AJ110">
        <v>0</v>
      </c>
      <c r="AL110">
        <v>0</v>
      </c>
      <c r="AM110">
        <v>0</v>
      </c>
      <c r="AN110">
        <v>16601001</v>
      </c>
      <c r="AO110">
        <v>0</v>
      </c>
      <c r="AP110">
        <v>1000</v>
      </c>
      <c r="AT110">
        <v>0</v>
      </c>
      <c r="AU110" t="s">
        <v>1059</v>
      </c>
      <c r="AW110" t="s">
        <v>1053</v>
      </c>
      <c r="AX110">
        <v>0</v>
      </c>
      <c r="AY110" s="20">
        <v>40785</v>
      </c>
      <c r="BA110" s="20">
        <v>40785</v>
      </c>
      <c r="BB110" t="s">
        <v>1058</v>
      </c>
      <c r="BD110">
        <v>0</v>
      </c>
      <c r="BF110" t="s">
        <v>1043</v>
      </c>
      <c r="BG110" t="s">
        <v>1042</v>
      </c>
      <c r="BH110">
        <v>0</v>
      </c>
      <c r="BI110">
        <v>1</v>
      </c>
      <c r="BJ110">
        <v>0</v>
      </c>
      <c r="BK110">
        <v>0</v>
      </c>
      <c r="BM110" t="s">
        <v>1042</v>
      </c>
      <c r="BN110">
        <v>0</v>
      </c>
      <c r="BR110" t="s">
        <v>1043</v>
      </c>
      <c r="BS110" t="s">
        <v>1043</v>
      </c>
      <c r="BT110" t="s">
        <v>1043</v>
      </c>
      <c r="BW110">
        <v>83</v>
      </c>
      <c r="CA110">
        <v>0</v>
      </c>
      <c r="CB110" t="s">
        <v>1057</v>
      </c>
      <c r="CE110" t="s">
        <v>1043</v>
      </c>
      <c r="CH110" t="s">
        <v>1043</v>
      </c>
      <c r="CN110" t="s">
        <v>1056</v>
      </c>
      <c r="CO110" t="s">
        <v>1043</v>
      </c>
      <c r="CP110">
        <v>1</v>
      </c>
      <c r="CQ110">
        <v>0</v>
      </c>
      <c r="CS110">
        <v>0</v>
      </c>
      <c r="CT110">
        <v>0</v>
      </c>
      <c r="CU110">
        <v>0</v>
      </c>
      <c r="CV110" t="s">
        <v>1045</v>
      </c>
      <c r="CW110">
        <v>0</v>
      </c>
      <c r="CX110">
        <v>0</v>
      </c>
      <c r="CY110">
        <v>0</v>
      </c>
      <c r="CZ110">
        <v>0</v>
      </c>
      <c r="DB110">
        <v>0</v>
      </c>
      <c r="DC110" t="s">
        <v>1043</v>
      </c>
      <c r="DF110" t="s">
        <v>1055</v>
      </c>
      <c r="DH110">
        <v>0</v>
      </c>
      <c r="DJ110">
        <v>0</v>
      </c>
      <c r="DK110" t="s">
        <v>1053</v>
      </c>
      <c r="DL110">
        <v>0</v>
      </c>
      <c r="DN110">
        <v>0</v>
      </c>
      <c r="DO110" t="s">
        <v>1042</v>
      </c>
      <c r="DP110">
        <v>0</v>
      </c>
      <c r="DQ110">
        <v>0</v>
      </c>
      <c r="DS110">
        <v>0</v>
      </c>
      <c r="DU110">
        <v>0</v>
      </c>
      <c r="DW110">
        <v>0</v>
      </c>
      <c r="DX110" t="s">
        <v>1043</v>
      </c>
      <c r="DY110">
        <v>0</v>
      </c>
      <c r="DZ110">
        <v>0</v>
      </c>
      <c r="EA110">
        <v>0</v>
      </c>
      <c r="ED110" t="s">
        <v>1045</v>
      </c>
      <c r="EE110">
        <v>0</v>
      </c>
      <c r="EF110">
        <v>0</v>
      </c>
      <c r="EQ110" t="s">
        <v>1044</v>
      </c>
      <c r="ES110" t="s">
        <v>1053</v>
      </c>
      <c r="ET110">
        <v>0</v>
      </c>
      <c r="EV110">
        <v>0</v>
      </c>
      <c r="EY110" t="s">
        <v>1052</v>
      </c>
      <c r="EZ110">
        <v>0</v>
      </c>
      <c r="FA110" t="s">
        <v>1043</v>
      </c>
      <c r="FB110">
        <v>0</v>
      </c>
      <c r="FC110">
        <v>0</v>
      </c>
      <c r="FE110" t="s">
        <v>1050</v>
      </c>
      <c r="FF110">
        <v>0</v>
      </c>
      <c r="FG110" t="s">
        <v>1050</v>
      </c>
      <c r="FJ110">
        <v>0</v>
      </c>
      <c r="FK110">
        <v>0</v>
      </c>
      <c r="FP110">
        <v>0</v>
      </c>
      <c r="FR110">
        <v>0</v>
      </c>
      <c r="FS110" t="s">
        <v>1043</v>
      </c>
      <c r="FX110" t="s">
        <v>1042</v>
      </c>
      <c r="FZ110" t="s">
        <v>1048</v>
      </c>
      <c r="GA110">
        <v>0</v>
      </c>
      <c r="GB110" t="s">
        <v>1042</v>
      </c>
      <c r="GE110">
        <v>0</v>
      </c>
      <c r="GG110">
        <v>0</v>
      </c>
      <c r="GN110">
        <v>0</v>
      </c>
      <c r="GO110" t="s">
        <v>1063</v>
      </c>
      <c r="GQ110">
        <v>0</v>
      </c>
      <c r="GU110">
        <v>0</v>
      </c>
      <c r="GY110" t="s">
        <v>1045</v>
      </c>
      <c r="HB110">
        <v>0</v>
      </c>
      <c r="HE110">
        <v>0</v>
      </c>
      <c r="HF110">
        <v>0</v>
      </c>
      <c r="HG110">
        <v>0</v>
      </c>
      <c r="HK110" t="s">
        <v>1042</v>
      </c>
      <c r="HM110" t="s">
        <v>1047</v>
      </c>
      <c r="HN110">
        <v>0</v>
      </c>
      <c r="HP110">
        <v>0</v>
      </c>
      <c r="HQ110">
        <v>0</v>
      </c>
      <c r="HR110" t="s">
        <v>1042</v>
      </c>
      <c r="HS110" t="s">
        <v>1043</v>
      </c>
      <c r="HT110">
        <v>0</v>
      </c>
      <c r="HU110">
        <v>0</v>
      </c>
      <c r="HW110">
        <v>0</v>
      </c>
      <c r="HX110">
        <v>0</v>
      </c>
      <c r="HY110">
        <v>0</v>
      </c>
      <c r="HZ110" t="s">
        <v>1045</v>
      </c>
      <c r="IA110">
        <v>0</v>
      </c>
      <c r="IB110" t="s">
        <v>1045</v>
      </c>
      <c r="ID110" t="s">
        <v>1045</v>
      </c>
      <c r="IF110">
        <v>0</v>
      </c>
      <c r="IG110" t="s">
        <v>1042</v>
      </c>
      <c r="II110" t="s">
        <v>1042</v>
      </c>
      <c r="IR110" t="s">
        <v>1045</v>
      </c>
      <c r="IT110">
        <v>0</v>
      </c>
      <c r="IY110" t="s">
        <v>1044</v>
      </c>
      <c r="IZ110" t="s">
        <v>1043</v>
      </c>
      <c r="JC110" t="s">
        <v>1043</v>
      </c>
      <c r="JE110">
        <v>0</v>
      </c>
      <c r="JF110">
        <v>0</v>
      </c>
      <c r="JI110" t="s">
        <v>1042</v>
      </c>
      <c r="JJ110">
        <v>0</v>
      </c>
      <c r="JK110">
        <v>0</v>
      </c>
      <c r="JL110">
        <v>0</v>
      </c>
      <c r="JM110">
        <v>0</v>
      </c>
      <c r="JQ110" t="s">
        <v>1043</v>
      </c>
      <c r="JT110">
        <v>0</v>
      </c>
      <c r="JU110" t="s">
        <v>1042</v>
      </c>
      <c r="JW110">
        <v>0</v>
      </c>
      <c r="KA110">
        <v>0</v>
      </c>
      <c r="KF110">
        <v>0</v>
      </c>
      <c r="KG110">
        <v>0</v>
      </c>
      <c r="KH110">
        <v>0</v>
      </c>
      <c r="KI110">
        <v>0</v>
      </c>
      <c r="KS110" t="s">
        <v>1073</v>
      </c>
      <c r="KT110">
        <v>0</v>
      </c>
      <c r="KU110">
        <v>0</v>
      </c>
      <c r="KV110">
        <v>0</v>
      </c>
      <c r="KX110">
        <v>0</v>
      </c>
      <c r="KZ110">
        <v>0</v>
      </c>
      <c r="LF110">
        <v>0</v>
      </c>
      <c r="LH110">
        <v>0</v>
      </c>
      <c r="LI110">
        <v>0</v>
      </c>
    </row>
    <row r="111" spans="1:321" x14ac:dyDescent="0.35">
      <c r="A111">
        <v>1</v>
      </c>
      <c r="B111">
        <v>12346</v>
      </c>
      <c r="C111" t="s">
        <v>1599</v>
      </c>
      <c r="D111" t="s">
        <v>1139</v>
      </c>
      <c r="E111" t="s">
        <v>85</v>
      </c>
      <c r="F111">
        <v>80</v>
      </c>
      <c r="G111">
        <v>9000</v>
      </c>
      <c r="H111">
        <v>0</v>
      </c>
      <c r="I111" t="s">
        <v>1050</v>
      </c>
      <c r="L111">
        <v>0</v>
      </c>
      <c r="M111">
        <v>0</v>
      </c>
      <c r="N111">
        <v>0</v>
      </c>
      <c r="R111">
        <v>0</v>
      </c>
      <c r="S111">
        <v>0</v>
      </c>
      <c r="W111" t="s">
        <v>1060</v>
      </c>
      <c r="X111">
        <v>0</v>
      </c>
      <c r="Z111">
        <v>1</v>
      </c>
      <c r="AA111">
        <v>0</v>
      </c>
      <c r="AB111">
        <v>0</v>
      </c>
      <c r="AC111">
        <v>0</v>
      </c>
      <c r="AD111" s="20">
        <v>40693</v>
      </c>
      <c r="AE111">
        <v>0</v>
      </c>
      <c r="AF111">
        <v>0</v>
      </c>
      <c r="AH111">
        <v>0</v>
      </c>
      <c r="AJ111">
        <v>0</v>
      </c>
      <c r="AL111">
        <v>0</v>
      </c>
      <c r="AM111">
        <v>0</v>
      </c>
      <c r="AN111">
        <v>16601001</v>
      </c>
      <c r="AO111">
        <v>0</v>
      </c>
      <c r="AP111">
        <v>1000</v>
      </c>
      <c r="AT111">
        <v>0</v>
      </c>
      <c r="AU111" t="s">
        <v>1059</v>
      </c>
      <c r="AW111" t="s">
        <v>1053</v>
      </c>
      <c r="AX111">
        <v>0</v>
      </c>
      <c r="AY111" s="20">
        <v>40785</v>
      </c>
      <c r="BA111" s="20">
        <v>40785</v>
      </c>
      <c r="BB111" t="s">
        <v>1058</v>
      </c>
      <c r="BD111">
        <v>0</v>
      </c>
      <c r="BF111" t="s">
        <v>1043</v>
      </c>
      <c r="BG111" t="s">
        <v>1042</v>
      </c>
      <c r="BH111">
        <v>0</v>
      </c>
      <c r="BI111">
        <v>1</v>
      </c>
      <c r="BJ111">
        <v>0</v>
      </c>
      <c r="BK111">
        <v>0</v>
      </c>
      <c r="BM111" t="s">
        <v>1042</v>
      </c>
      <c r="BN111">
        <v>0</v>
      </c>
      <c r="BR111" t="s">
        <v>1043</v>
      </c>
      <c r="BS111" t="s">
        <v>1043</v>
      </c>
      <c r="BT111" t="s">
        <v>1043</v>
      </c>
      <c r="BW111">
        <v>83</v>
      </c>
      <c r="CA111">
        <v>0</v>
      </c>
      <c r="CB111" t="s">
        <v>1057</v>
      </c>
      <c r="CE111" t="s">
        <v>1043</v>
      </c>
      <c r="CH111" t="s">
        <v>1043</v>
      </c>
      <c r="CN111" t="s">
        <v>1074</v>
      </c>
      <c r="CO111" t="s">
        <v>1043</v>
      </c>
      <c r="CP111">
        <v>1</v>
      </c>
      <c r="CQ111">
        <v>0</v>
      </c>
      <c r="CS111">
        <v>0</v>
      </c>
      <c r="CT111">
        <v>0</v>
      </c>
      <c r="CU111">
        <v>0</v>
      </c>
      <c r="CV111" t="s">
        <v>1045</v>
      </c>
      <c r="CW111">
        <v>0</v>
      </c>
      <c r="CX111">
        <v>0</v>
      </c>
      <c r="CY111">
        <v>0</v>
      </c>
      <c r="CZ111">
        <v>0</v>
      </c>
      <c r="DB111">
        <v>0</v>
      </c>
      <c r="DC111" t="s">
        <v>1043</v>
      </c>
      <c r="DF111" t="s">
        <v>1055</v>
      </c>
      <c r="DH111">
        <v>0</v>
      </c>
      <c r="DJ111">
        <v>0</v>
      </c>
      <c r="DK111" t="s">
        <v>1053</v>
      </c>
      <c r="DL111">
        <v>0</v>
      </c>
      <c r="DN111">
        <v>0</v>
      </c>
      <c r="DO111" t="s">
        <v>1042</v>
      </c>
      <c r="DP111">
        <v>0</v>
      </c>
      <c r="DQ111">
        <v>0</v>
      </c>
      <c r="DS111">
        <v>0</v>
      </c>
      <c r="DU111">
        <v>0</v>
      </c>
      <c r="DW111">
        <v>0</v>
      </c>
      <c r="DX111" t="s">
        <v>1043</v>
      </c>
      <c r="DY111">
        <v>0</v>
      </c>
      <c r="DZ111">
        <v>0</v>
      </c>
      <c r="EA111">
        <v>0</v>
      </c>
      <c r="ED111" t="s">
        <v>1045</v>
      </c>
      <c r="EE111">
        <v>0</v>
      </c>
      <c r="EF111">
        <v>0</v>
      </c>
      <c r="EQ111" t="s">
        <v>1044</v>
      </c>
      <c r="ES111" t="s">
        <v>1053</v>
      </c>
      <c r="ET111">
        <v>0</v>
      </c>
      <c r="EV111">
        <v>0</v>
      </c>
      <c r="EY111" t="s">
        <v>1052</v>
      </c>
      <c r="EZ111">
        <v>0</v>
      </c>
      <c r="FA111" t="s">
        <v>1043</v>
      </c>
      <c r="FB111">
        <v>0</v>
      </c>
      <c r="FC111">
        <v>0</v>
      </c>
      <c r="FE111" t="s">
        <v>1050</v>
      </c>
      <c r="FF111">
        <v>0</v>
      </c>
      <c r="FG111" t="s">
        <v>1050</v>
      </c>
      <c r="FJ111">
        <v>0</v>
      </c>
      <c r="FK111">
        <v>0</v>
      </c>
      <c r="FP111">
        <v>0</v>
      </c>
      <c r="FR111">
        <v>0</v>
      </c>
      <c r="FX111" t="s">
        <v>1042</v>
      </c>
      <c r="FZ111" t="s">
        <v>1048</v>
      </c>
      <c r="GA111">
        <v>0</v>
      </c>
      <c r="GB111" t="s">
        <v>1042</v>
      </c>
      <c r="GE111">
        <v>0</v>
      </c>
      <c r="GG111">
        <v>0</v>
      </c>
      <c r="GN111">
        <v>0</v>
      </c>
      <c r="GO111" t="s">
        <v>1063</v>
      </c>
      <c r="GQ111">
        <v>0</v>
      </c>
      <c r="GU111">
        <v>0</v>
      </c>
      <c r="GY111" t="s">
        <v>1045</v>
      </c>
      <c r="HB111">
        <v>0</v>
      </c>
      <c r="HE111">
        <v>0</v>
      </c>
      <c r="HF111">
        <v>0</v>
      </c>
      <c r="HG111">
        <v>0</v>
      </c>
      <c r="HK111" t="s">
        <v>1042</v>
      </c>
      <c r="HM111" t="s">
        <v>1047</v>
      </c>
      <c r="HN111">
        <v>0</v>
      </c>
      <c r="HP111">
        <v>0</v>
      </c>
      <c r="HQ111">
        <v>0</v>
      </c>
      <c r="HR111" t="s">
        <v>1042</v>
      </c>
      <c r="HS111" t="s">
        <v>1043</v>
      </c>
      <c r="HT111">
        <v>0</v>
      </c>
      <c r="HU111">
        <v>0</v>
      </c>
      <c r="HW111">
        <v>0</v>
      </c>
      <c r="HX111">
        <v>0</v>
      </c>
      <c r="HY111">
        <v>0</v>
      </c>
      <c r="HZ111" t="s">
        <v>1045</v>
      </c>
      <c r="IA111">
        <v>0</v>
      </c>
      <c r="IB111" t="s">
        <v>1045</v>
      </c>
      <c r="ID111" t="s">
        <v>1045</v>
      </c>
      <c r="IF111">
        <v>0</v>
      </c>
      <c r="IG111" t="s">
        <v>1042</v>
      </c>
      <c r="II111" t="s">
        <v>1042</v>
      </c>
      <c r="IR111" t="s">
        <v>1045</v>
      </c>
      <c r="IT111">
        <v>0</v>
      </c>
      <c r="IY111" t="s">
        <v>1044</v>
      </c>
      <c r="IZ111" t="s">
        <v>1043</v>
      </c>
      <c r="JC111" t="s">
        <v>1043</v>
      </c>
      <c r="JE111">
        <v>0</v>
      </c>
      <c r="JF111">
        <v>0</v>
      </c>
      <c r="JI111" t="s">
        <v>1042</v>
      </c>
      <c r="JJ111">
        <v>0</v>
      </c>
      <c r="JK111">
        <v>0</v>
      </c>
      <c r="JL111">
        <v>0</v>
      </c>
      <c r="JM111">
        <v>0</v>
      </c>
      <c r="JQ111" t="s">
        <v>1043</v>
      </c>
      <c r="JT111">
        <v>0</v>
      </c>
      <c r="JU111" t="s">
        <v>1042</v>
      </c>
      <c r="JW111">
        <v>0</v>
      </c>
      <c r="KA111">
        <v>0</v>
      </c>
      <c r="KF111">
        <v>0</v>
      </c>
      <c r="KG111">
        <v>0</v>
      </c>
      <c r="KH111">
        <v>0</v>
      </c>
      <c r="KI111">
        <v>0</v>
      </c>
      <c r="KS111" t="s">
        <v>1073</v>
      </c>
      <c r="KT111">
        <v>0</v>
      </c>
      <c r="KU111">
        <v>0</v>
      </c>
      <c r="KV111">
        <v>0</v>
      </c>
      <c r="KX111">
        <v>0</v>
      </c>
      <c r="KZ111">
        <v>0</v>
      </c>
      <c r="LF111">
        <v>0</v>
      </c>
      <c r="LH111">
        <v>0</v>
      </c>
      <c r="LI111">
        <v>0</v>
      </c>
    </row>
    <row r="112" spans="1:321" x14ac:dyDescent="0.35">
      <c r="A112">
        <v>1</v>
      </c>
      <c r="B112">
        <v>12347</v>
      </c>
      <c r="C112" t="s">
        <v>1598</v>
      </c>
      <c r="D112" t="s">
        <v>1139</v>
      </c>
      <c r="E112" t="s">
        <v>85</v>
      </c>
      <c r="F112">
        <v>80</v>
      </c>
      <c r="G112">
        <v>9000</v>
      </c>
      <c r="H112">
        <v>0</v>
      </c>
      <c r="I112" t="s">
        <v>1050</v>
      </c>
      <c r="L112">
        <v>0</v>
      </c>
      <c r="M112">
        <v>0</v>
      </c>
      <c r="N112">
        <v>0</v>
      </c>
      <c r="R112">
        <v>0</v>
      </c>
      <c r="S112">
        <v>0</v>
      </c>
      <c r="W112" t="s">
        <v>1060</v>
      </c>
      <c r="X112">
        <v>0</v>
      </c>
      <c r="Z112">
        <v>1</v>
      </c>
      <c r="AA112">
        <v>0</v>
      </c>
      <c r="AB112">
        <v>0</v>
      </c>
      <c r="AC112">
        <v>0</v>
      </c>
      <c r="AD112" s="20">
        <v>40785</v>
      </c>
      <c r="AE112">
        <v>5240</v>
      </c>
      <c r="AF112">
        <v>0</v>
      </c>
      <c r="AH112">
        <v>0</v>
      </c>
      <c r="AJ112">
        <v>0</v>
      </c>
      <c r="AL112">
        <v>0</v>
      </c>
      <c r="AM112">
        <v>0</v>
      </c>
      <c r="AN112">
        <v>16601001</v>
      </c>
      <c r="AO112">
        <v>0</v>
      </c>
      <c r="AP112">
        <v>1000</v>
      </c>
      <c r="AT112">
        <v>0</v>
      </c>
      <c r="AU112" t="s">
        <v>1059</v>
      </c>
      <c r="AW112" t="s">
        <v>1053</v>
      </c>
      <c r="AX112">
        <v>0</v>
      </c>
      <c r="AY112" s="20">
        <v>40785</v>
      </c>
      <c r="BA112" s="20">
        <v>40785</v>
      </c>
      <c r="BB112" t="s">
        <v>1058</v>
      </c>
      <c r="BD112">
        <v>0</v>
      </c>
      <c r="BF112" t="s">
        <v>1043</v>
      </c>
      <c r="BG112" t="s">
        <v>1042</v>
      </c>
      <c r="BH112">
        <v>0</v>
      </c>
      <c r="BI112">
        <v>1</v>
      </c>
      <c r="BJ112">
        <v>0</v>
      </c>
      <c r="BK112">
        <v>0</v>
      </c>
      <c r="BM112" t="s">
        <v>1042</v>
      </c>
      <c r="BN112">
        <v>0</v>
      </c>
      <c r="BR112" t="s">
        <v>1043</v>
      </c>
      <c r="BS112" t="s">
        <v>1043</v>
      </c>
      <c r="BT112" t="s">
        <v>1043</v>
      </c>
      <c r="BW112">
        <v>83</v>
      </c>
      <c r="CA112">
        <v>0</v>
      </c>
      <c r="CB112" t="s">
        <v>1057</v>
      </c>
      <c r="CE112" t="s">
        <v>1043</v>
      </c>
      <c r="CH112" t="s">
        <v>1043</v>
      </c>
      <c r="CN112" t="s">
        <v>1074</v>
      </c>
      <c r="CO112" t="s">
        <v>1043</v>
      </c>
      <c r="CP112">
        <v>1</v>
      </c>
      <c r="CQ112">
        <v>0</v>
      </c>
      <c r="CS112">
        <v>0</v>
      </c>
      <c r="CT112">
        <v>0</v>
      </c>
      <c r="CU112">
        <v>0</v>
      </c>
      <c r="CV112" t="s">
        <v>1045</v>
      </c>
      <c r="CW112">
        <v>0</v>
      </c>
      <c r="CX112">
        <v>0</v>
      </c>
      <c r="CY112">
        <v>0</v>
      </c>
      <c r="CZ112">
        <v>0</v>
      </c>
      <c r="DB112">
        <v>0</v>
      </c>
      <c r="DC112" t="s">
        <v>1043</v>
      </c>
      <c r="DF112" t="s">
        <v>1055</v>
      </c>
      <c r="DH112">
        <v>0</v>
      </c>
      <c r="DJ112">
        <v>0</v>
      </c>
      <c r="DK112" t="s">
        <v>1053</v>
      </c>
      <c r="DL112">
        <v>0</v>
      </c>
      <c r="DN112">
        <v>0</v>
      </c>
      <c r="DO112" t="s">
        <v>1042</v>
      </c>
      <c r="DP112">
        <v>0</v>
      </c>
      <c r="DQ112">
        <v>0</v>
      </c>
      <c r="DS112">
        <v>0</v>
      </c>
      <c r="DU112">
        <v>0</v>
      </c>
      <c r="DW112">
        <v>0</v>
      </c>
      <c r="DX112" t="s">
        <v>1043</v>
      </c>
      <c r="DY112">
        <v>0</v>
      </c>
      <c r="DZ112">
        <v>0</v>
      </c>
      <c r="EA112">
        <v>0</v>
      </c>
      <c r="ED112" t="s">
        <v>1045</v>
      </c>
      <c r="EE112">
        <v>0</v>
      </c>
      <c r="EF112">
        <v>0</v>
      </c>
      <c r="EQ112" t="s">
        <v>1044</v>
      </c>
      <c r="ES112" t="s">
        <v>1053</v>
      </c>
      <c r="ET112">
        <v>0</v>
      </c>
      <c r="EV112">
        <v>0</v>
      </c>
      <c r="EY112" t="s">
        <v>1052</v>
      </c>
      <c r="EZ112">
        <v>0</v>
      </c>
      <c r="FA112" t="s">
        <v>1043</v>
      </c>
      <c r="FB112">
        <v>0</v>
      </c>
      <c r="FC112">
        <v>0</v>
      </c>
      <c r="FE112" t="s">
        <v>1050</v>
      </c>
      <c r="FF112">
        <v>0</v>
      </c>
      <c r="FG112" t="s">
        <v>1050</v>
      </c>
      <c r="FJ112">
        <v>0</v>
      </c>
      <c r="FK112">
        <v>0</v>
      </c>
      <c r="FP112">
        <v>0</v>
      </c>
      <c r="FR112">
        <v>0</v>
      </c>
      <c r="FX112" t="s">
        <v>1042</v>
      </c>
      <c r="FZ112" t="s">
        <v>1048</v>
      </c>
      <c r="GA112">
        <v>0</v>
      </c>
      <c r="GB112" t="s">
        <v>1042</v>
      </c>
      <c r="GE112">
        <v>0</v>
      </c>
      <c r="GG112">
        <v>0</v>
      </c>
      <c r="GN112">
        <v>0</v>
      </c>
      <c r="GO112" t="s">
        <v>1063</v>
      </c>
      <c r="GQ112">
        <v>0</v>
      </c>
      <c r="GU112">
        <v>0</v>
      </c>
      <c r="GY112" t="s">
        <v>1045</v>
      </c>
      <c r="HB112">
        <v>0</v>
      </c>
      <c r="HE112">
        <v>0</v>
      </c>
      <c r="HF112">
        <v>0</v>
      </c>
      <c r="HG112">
        <v>0</v>
      </c>
      <c r="HK112" t="s">
        <v>1042</v>
      </c>
      <c r="HM112" t="s">
        <v>1047</v>
      </c>
      <c r="HN112">
        <v>0</v>
      </c>
      <c r="HP112">
        <v>0</v>
      </c>
      <c r="HQ112">
        <v>0</v>
      </c>
      <c r="HR112" t="s">
        <v>1042</v>
      </c>
      <c r="HS112" t="s">
        <v>1043</v>
      </c>
      <c r="HT112">
        <v>0</v>
      </c>
      <c r="HU112">
        <v>0</v>
      </c>
      <c r="HW112">
        <v>0</v>
      </c>
      <c r="HX112">
        <v>0</v>
      </c>
      <c r="HY112">
        <v>0</v>
      </c>
      <c r="HZ112" t="s">
        <v>1045</v>
      </c>
      <c r="IA112">
        <v>0</v>
      </c>
      <c r="IB112" t="s">
        <v>1045</v>
      </c>
      <c r="ID112" t="s">
        <v>1045</v>
      </c>
      <c r="IF112">
        <v>0</v>
      </c>
      <c r="IG112" t="s">
        <v>1042</v>
      </c>
      <c r="II112" t="s">
        <v>1042</v>
      </c>
      <c r="IR112" t="s">
        <v>1045</v>
      </c>
      <c r="IT112">
        <v>0</v>
      </c>
      <c r="IY112" t="s">
        <v>1044</v>
      </c>
      <c r="IZ112" t="s">
        <v>1043</v>
      </c>
      <c r="JC112" t="s">
        <v>1043</v>
      </c>
      <c r="JE112">
        <v>0</v>
      </c>
      <c r="JF112">
        <v>0</v>
      </c>
      <c r="JI112" t="s">
        <v>1042</v>
      </c>
      <c r="JJ112">
        <v>0</v>
      </c>
      <c r="JK112">
        <v>0</v>
      </c>
      <c r="JL112">
        <v>0</v>
      </c>
      <c r="JM112">
        <v>0</v>
      </c>
      <c r="JQ112" t="s">
        <v>1043</v>
      </c>
      <c r="JT112">
        <v>0</v>
      </c>
      <c r="JU112" t="s">
        <v>1042</v>
      </c>
      <c r="JW112">
        <v>0</v>
      </c>
      <c r="KA112">
        <v>0</v>
      </c>
      <c r="KF112">
        <v>0</v>
      </c>
      <c r="KG112">
        <v>0</v>
      </c>
      <c r="KH112">
        <v>0</v>
      </c>
      <c r="KI112">
        <v>0</v>
      </c>
      <c r="KS112" t="s">
        <v>1073</v>
      </c>
      <c r="KT112">
        <v>0</v>
      </c>
      <c r="KU112">
        <v>0</v>
      </c>
      <c r="KV112">
        <v>0</v>
      </c>
      <c r="KX112">
        <v>0</v>
      </c>
      <c r="KZ112">
        <v>0</v>
      </c>
      <c r="LF112">
        <v>0</v>
      </c>
      <c r="LH112">
        <v>0</v>
      </c>
      <c r="LI112">
        <v>0</v>
      </c>
    </row>
    <row r="113" spans="1:321" x14ac:dyDescent="0.35">
      <c r="A113">
        <v>1</v>
      </c>
      <c r="B113">
        <v>12348</v>
      </c>
      <c r="C113" t="s">
        <v>1597</v>
      </c>
      <c r="D113" t="s">
        <v>1139</v>
      </c>
      <c r="E113" t="s">
        <v>85</v>
      </c>
      <c r="F113">
        <v>80</v>
      </c>
      <c r="G113">
        <v>9000</v>
      </c>
      <c r="H113">
        <v>0</v>
      </c>
      <c r="I113" t="s">
        <v>1050</v>
      </c>
      <c r="L113">
        <v>0</v>
      </c>
      <c r="M113">
        <v>0</v>
      </c>
      <c r="N113">
        <v>0</v>
      </c>
      <c r="R113">
        <v>0</v>
      </c>
      <c r="S113">
        <v>0</v>
      </c>
      <c r="W113" t="s">
        <v>1060</v>
      </c>
      <c r="X113">
        <v>0</v>
      </c>
      <c r="Z113">
        <v>1</v>
      </c>
      <c r="AA113">
        <v>0</v>
      </c>
      <c r="AB113">
        <v>0</v>
      </c>
      <c r="AC113">
        <v>0</v>
      </c>
      <c r="AD113" s="20">
        <v>40785</v>
      </c>
      <c r="AE113">
        <v>0</v>
      </c>
      <c r="AF113">
        <v>0</v>
      </c>
      <c r="AH113">
        <v>0</v>
      </c>
      <c r="AJ113">
        <v>0</v>
      </c>
      <c r="AL113">
        <v>0</v>
      </c>
      <c r="AM113">
        <v>0</v>
      </c>
      <c r="AN113">
        <v>16601001</v>
      </c>
      <c r="AO113">
        <v>0</v>
      </c>
      <c r="AP113">
        <v>1000</v>
      </c>
      <c r="AT113">
        <v>0</v>
      </c>
      <c r="AU113" t="s">
        <v>1059</v>
      </c>
      <c r="AW113" t="s">
        <v>1053</v>
      </c>
      <c r="AX113">
        <v>0</v>
      </c>
      <c r="AY113" s="20">
        <v>40785</v>
      </c>
      <c r="BA113" s="20">
        <v>40785</v>
      </c>
      <c r="BB113" t="s">
        <v>1058</v>
      </c>
      <c r="BD113">
        <v>0</v>
      </c>
      <c r="BF113" t="s">
        <v>1043</v>
      </c>
      <c r="BG113" t="s">
        <v>1042</v>
      </c>
      <c r="BH113">
        <v>0</v>
      </c>
      <c r="BI113">
        <v>1</v>
      </c>
      <c r="BJ113">
        <v>0</v>
      </c>
      <c r="BK113">
        <v>0</v>
      </c>
      <c r="BM113" t="s">
        <v>1042</v>
      </c>
      <c r="BN113">
        <v>0</v>
      </c>
      <c r="BR113" t="s">
        <v>1043</v>
      </c>
      <c r="BS113" t="s">
        <v>1043</v>
      </c>
      <c r="BT113" t="s">
        <v>1043</v>
      </c>
      <c r="BW113">
        <v>83</v>
      </c>
      <c r="CA113">
        <v>0</v>
      </c>
      <c r="CB113" t="s">
        <v>1057</v>
      </c>
      <c r="CE113" t="s">
        <v>1043</v>
      </c>
      <c r="CH113" t="s">
        <v>1043</v>
      </c>
      <c r="CN113" t="s">
        <v>1056</v>
      </c>
      <c r="CO113" t="s">
        <v>1043</v>
      </c>
      <c r="CP113">
        <v>1</v>
      </c>
      <c r="CQ113">
        <v>0</v>
      </c>
      <c r="CS113">
        <v>0</v>
      </c>
      <c r="CT113">
        <v>0</v>
      </c>
      <c r="CU113">
        <v>0</v>
      </c>
      <c r="CV113" t="s">
        <v>1045</v>
      </c>
      <c r="CW113">
        <v>0</v>
      </c>
      <c r="CX113">
        <v>0</v>
      </c>
      <c r="CY113">
        <v>0</v>
      </c>
      <c r="CZ113">
        <v>0</v>
      </c>
      <c r="DB113">
        <v>0</v>
      </c>
      <c r="DC113" t="s">
        <v>1043</v>
      </c>
      <c r="DF113" t="s">
        <v>1055</v>
      </c>
      <c r="DH113">
        <v>0</v>
      </c>
      <c r="DJ113">
        <v>0</v>
      </c>
      <c r="DK113" t="s">
        <v>1053</v>
      </c>
      <c r="DL113">
        <v>0</v>
      </c>
      <c r="DN113">
        <v>0</v>
      </c>
      <c r="DO113" t="s">
        <v>1042</v>
      </c>
      <c r="DP113">
        <v>0</v>
      </c>
      <c r="DQ113">
        <v>0</v>
      </c>
      <c r="DS113">
        <v>0</v>
      </c>
      <c r="DU113">
        <v>0</v>
      </c>
      <c r="DW113">
        <v>0</v>
      </c>
      <c r="DX113" t="s">
        <v>1043</v>
      </c>
      <c r="DY113">
        <v>0</v>
      </c>
      <c r="DZ113">
        <v>0</v>
      </c>
      <c r="EA113">
        <v>0</v>
      </c>
      <c r="ED113" t="s">
        <v>1045</v>
      </c>
      <c r="EE113">
        <v>0</v>
      </c>
      <c r="EF113">
        <v>0</v>
      </c>
      <c r="EQ113" t="s">
        <v>1044</v>
      </c>
      <c r="ES113" t="s">
        <v>1053</v>
      </c>
      <c r="ET113">
        <v>0</v>
      </c>
      <c r="EV113">
        <v>0</v>
      </c>
      <c r="EY113" t="s">
        <v>1052</v>
      </c>
      <c r="EZ113">
        <v>0</v>
      </c>
      <c r="FA113" t="s">
        <v>1043</v>
      </c>
      <c r="FB113">
        <v>0</v>
      </c>
      <c r="FC113">
        <v>0</v>
      </c>
      <c r="FE113" t="s">
        <v>1050</v>
      </c>
      <c r="FF113">
        <v>0</v>
      </c>
      <c r="FG113" t="s">
        <v>1050</v>
      </c>
      <c r="FJ113">
        <v>0</v>
      </c>
      <c r="FK113">
        <v>0</v>
      </c>
      <c r="FP113">
        <v>0</v>
      </c>
      <c r="FR113">
        <v>0</v>
      </c>
      <c r="FS113" t="s">
        <v>1043</v>
      </c>
      <c r="FX113" t="s">
        <v>1042</v>
      </c>
      <c r="FZ113" t="s">
        <v>1048</v>
      </c>
      <c r="GA113">
        <v>0</v>
      </c>
      <c r="GB113" t="s">
        <v>1042</v>
      </c>
      <c r="GE113">
        <v>0</v>
      </c>
      <c r="GG113">
        <v>0</v>
      </c>
      <c r="GN113">
        <v>0</v>
      </c>
      <c r="GO113" t="s">
        <v>1063</v>
      </c>
      <c r="GQ113">
        <v>0</v>
      </c>
      <c r="GU113">
        <v>0</v>
      </c>
      <c r="GY113" t="s">
        <v>1045</v>
      </c>
      <c r="HB113">
        <v>0</v>
      </c>
      <c r="HE113">
        <v>0</v>
      </c>
      <c r="HF113">
        <v>0</v>
      </c>
      <c r="HG113">
        <v>0</v>
      </c>
      <c r="HK113" t="s">
        <v>1042</v>
      </c>
      <c r="HM113" t="s">
        <v>1047</v>
      </c>
      <c r="HN113">
        <v>0</v>
      </c>
      <c r="HP113">
        <v>0</v>
      </c>
      <c r="HQ113">
        <v>0</v>
      </c>
      <c r="HR113" t="s">
        <v>1042</v>
      </c>
      <c r="HS113" t="s">
        <v>1043</v>
      </c>
      <c r="HT113">
        <v>0</v>
      </c>
      <c r="HU113">
        <v>0</v>
      </c>
      <c r="HW113">
        <v>0</v>
      </c>
      <c r="HX113">
        <v>0</v>
      </c>
      <c r="HY113">
        <v>0</v>
      </c>
      <c r="HZ113" t="s">
        <v>1045</v>
      </c>
      <c r="IA113">
        <v>0</v>
      </c>
      <c r="IB113" t="s">
        <v>1045</v>
      </c>
      <c r="ID113" t="s">
        <v>1045</v>
      </c>
      <c r="IF113">
        <v>0</v>
      </c>
      <c r="IG113" t="s">
        <v>1042</v>
      </c>
      <c r="II113" t="s">
        <v>1042</v>
      </c>
      <c r="IR113" t="s">
        <v>1045</v>
      </c>
      <c r="IT113">
        <v>0</v>
      </c>
      <c r="IY113" t="s">
        <v>1044</v>
      </c>
      <c r="IZ113" t="s">
        <v>1043</v>
      </c>
      <c r="JC113" t="s">
        <v>1043</v>
      </c>
      <c r="JE113">
        <v>0</v>
      </c>
      <c r="JF113">
        <v>0</v>
      </c>
      <c r="JI113" t="s">
        <v>1042</v>
      </c>
      <c r="JJ113">
        <v>0</v>
      </c>
      <c r="JK113">
        <v>0</v>
      </c>
      <c r="JL113">
        <v>0</v>
      </c>
      <c r="JM113">
        <v>0</v>
      </c>
      <c r="JQ113" t="s">
        <v>1043</v>
      </c>
      <c r="JT113">
        <v>0</v>
      </c>
      <c r="JU113" t="s">
        <v>1042</v>
      </c>
      <c r="JW113">
        <v>0</v>
      </c>
      <c r="KA113">
        <v>0</v>
      </c>
      <c r="KF113">
        <v>0</v>
      </c>
      <c r="KG113">
        <v>0</v>
      </c>
      <c r="KH113">
        <v>0</v>
      </c>
      <c r="KI113">
        <v>0</v>
      </c>
      <c r="KS113" t="s">
        <v>1073</v>
      </c>
      <c r="KT113">
        <v>0</v>
      </c>
      <c r="KU113">
        <v>0</v>
      </c>
      <c r="KV113">
        <v>0</v>
      </c>
      <c r="KX113">
        <v>0</v>
      </c>
      <c r="KZ113">
        <v>0</v>
      </c>
      <c r="LF113">
        <v>0</v>
      </c>
      <c r="LH113">
        <v>0</v>
      </c>
      <c r="LI113">
        <v>0</v>
      </c>
    </row>
    <row r="114" spans="1:321" x14ac:dyDescent="0.35">
      <c r="A114">
        <v>1</v>
      </c>
      <c r="B114">
        <v>12349</v>
      </c>
      <c r="C114" t="s">
        <v>1596</v>
      </c>
      <c r="D114" t="s">
        <v>1139</v>
      </c>
      <c r="E114" t="s">
        <v>85</v>
      </c>
      <c r="F114">
        <v>80</v>
      </c>
      <c r="G114">
        <v>9000</v>
      </c>
      <c r="H114">
        <v>0</v>
      </c>
      <c r="I114" t="s">
        <v>1050</v>
      </c>
      <c r="L114">
        <v>0</v>
      </c>
      <c r="M114">
        <v>0</v>
      </c>
      <c r="N114">
        <v>0</v>
      </c>
      <c r="R114">
        <v>0</v>
      </c>
      <c r="S114">
        <v>0</v>
      </c>
      <c r="W114" t="s">
        <v>1060</v>
      </c>
      <c r="X114">
        <v>0</v>
      </c>
      <c r="Z114">
        <v>1</v>
      </c>
      <c r="AA114">
        <v>0</v>
      </c>
      <c r="AB114">
        <v>0</v>
      </c>
      <c r="AC114">
        <v>0</v>
      </c>
      <c r="AD114" s="20">
        <v>40785</v>
      </c>
      <c r="AE114">
        <v>0</v>
      </c>
      <c r="AF114">
        <v>0</v>
      </c>
      <c r="AH114">
        <v>0</v>
      </c>
      <c r="AJ114">
        <v>0</v>
      </c>
      <c r="AL114">
        <v>0</v>
      </c>
      <c r="AM114">
        <v>0</v>
      </c>
      <c r="AN114">
        <v>16601001</v>
      </c>
      <c r="AO114">
        <v>0</v>
      </c>
      <c r="AP114">
        <v>1000</v>
      </c>
      <c r="AT114">
        <v>0</v>
      </c>
      <c r="AU114" t="s">
        <v>1059</v>
      </c>
      <c r="AW114" t="s">
        <v>1053</v>
      </c>
      <c r="AX114">
        <v>0</v>
      </c>
      <c r="AY114" s="20">
        <v>40785</v>
      </c>
      <c r="BA114" s="20">
        <v>40785</v>
      </c>
      <c r="BB114" t="s">
        <v>1058</v>
      </c>
      <c r="BD114">
        <v>0</v>
      </c>
      <c r="BF114" t="s">
        <v>1043</v>
      </c>
      <c r="BG114" t="s">
        <v>1042</v>
      </c>
      <c r="BH114">
        <v>0</v>
      </c>
      <c r="BI114">
        <v>1</v>
      </c>
      <c r="BJ114">
        <v>0</v>
      </c>
      <c r="BK114">
        <v>0</v>
      </c>
      <c r="BM114" t="s">
        <v>1042</v>
      </c>
      <c r="BN114">
        <v>0</v>
      </c>
      <c r="BR114" t="s">
        <v>1043</v>
      </c>
      <c r="BS114" t="s">
        <v>1043</v>
      </c>
      <c r="BT114" t="s">
        <v>1043</v>
      </c>
      <c r="BW114">
        <v>83</v>
      </c>
      <c r="CA114">
        <v>0</v>
      </c>
      <c r="CB114" t="s">
        <v>1057</v>
      </c>
      <c r="CE114" t="s">
        <v>1043</v>
      </c>
      <c r="CH114" t="s">
        <v>1043</v>
      </c>
      <c r="CN114" t="s">
        <v>1056</v>
      </c>
      <c r="CO114" t="s">
        <v>1043</v>
      </c>
      <c r="CP114">
        <v>1</v>
      </c>
      <c r="CQ114">
        <v>0</v>
      </c>
      <c r="CS114">
        <v>0</v>
      </c>
      <c r="CT114">
        <v>0</v>
      </c>
      <c r="CU114">
        <v>0</v>
      </c>
      <c r="CV114" t="s">
        <v>1045</v>
      </c>
      <c r="CW114">
        <v>0</v>
      </c>
      <c r="CX114">
        <v>0</v>
      </c>
      <c r="CY114">
        <v>0</v>
      </c>
      <c r="CZ114">
        <v>0</v>
      </c>
      <c r="DB114">
        <v>0</v>
      </c>
      <c r="DC114" t="s">
        <v>1043</v>
      </c>
      <c r="DF114" t="s">
        <v>1055</v>
      </c>
      <c r="DH114">
        <v>0</v>
      </c>
      <c r="DJ114">
        <v>0</v>
      </c>
      <c r="DK114" t="s">
        <v>1053</v>
      </c>
      <c r="DL114">
        <v>0</v>
      </c>
      <c r="DN114">
        <v>0</v>
      </c>
      <c r="DO114" t="s">
        <v>1042</v>
      </c>
      <c r="DP114">
        <v>0</v>
      </c>
      <c r="DQ114">
        <v>0</v>
      </c>
      <c r="DS114">
        <v>0</v>
      </c>
      <c r="DU114">
        <v>0</v>
      </c>
      <c r="DW114">
        <v>0</v>
      </c>
      <c r="DX114" t="s">
        <v>1043</v>
      </c>
      <c r="DY114">
        <v>0</v>
      </c>
      <c r="DZ114">
        <v>0</v>
      </c>
      <c r="EA114">
        <v>0</v>
      </c>
      <c r="ED114" t="s">
        <v>1045</v>
      </c>
      <c r="EE114">
        <v>0</v>
      </c>
      <c r="EF114">
        <v>0</v>
      </c>
      <c r="EQ114" t="s">
        <v>1044</v>
      </c>
      <c r="ES114" t="s">
        <v>1053</v>
      </c>
      <c r="ET114">
        <v>0</v>
      </c>
      <c r="EV114">
        <v>0</v>
      </c>
      <c r="EY114" t="s">
        <v>1052</v>
      </c>
      <c r="EZ114">
        <v>0</v>
      </c>
      <c r="FA114" t="s">
        <v>1043</v>
      </c>
      <c r="FB114">
        <v>0</v>
      </c>
      <c r="FC114">
        <v>0</v>
      </c>
      <c r="FE114" t="s">
        <v>1050</v>
      </c>
      <c r="FF114">
        <v>0</v>
      </c>
      <c r="FG114" t="s">
        <v>1050</v>
      </c>
      <c r="FJ114">
        <v>0</v>
      </c>
      <c r="FK114">
        <v>0</v>
      </c>
      <c r="FP114">
        <v>0</v>
      </c>
      <c r="FR114">
        <v>0</v>
      </c>
      <c r="FS114" t="s">
        <v>1043</v>
      </c>
      <c r="FX114" t="s">
        <v>1042</v>
      </c>
      <c r="FZ114" t="s">
        <v>1048</v>
      </c>
      <c r="GA114">
        <v>0</v>
      </c>
      <c r="GB114" t="s">
        <v>1042</v>
      </c>
      <c r="GE114">
        <v>0</v>
      </c>
      <c r="GG114">
        <v>0</v>
      </c>
      <c r="GN114">
        <v>0</v>
      </c>
      <c r="GO114" t="s">
        <v>1063</v>
      </c>
      <c r="GQ114">
        <v>0</v>
      </c>
      <c r="GU114">
        <v>0</v>
      </c>
      <c r="GY114" t="s">
        <v>1045</v>
      </c>
      <c r="HB114">
        <v>0</v>
      </c>
      <c r="HE114">
        <v>0</v>
      </c>
      <c r="HF114">
        <v>0</v>
      </c>
      <c r="HG114">
        <v>0</v>
      </c>
      <c r="HK114" t="s">
        <v>1042</v>
      </c>
      <c r="HM114" t="s">
        <v>1047</v>
      </c>
      <c r="HN114">
        <v>0</v>
      </c>
      <c r="HP114">
        <v>0</v>
      </c>
      <c r="HQ114">
        <v>0</v>
      </c>
      <c r="HR114" t="s">
        <v>1042</v>
      </c>
      <c r="HS114" t="s">
        <v>1043</v>
      </c>
      <c r="HT114">
        <v>0</v>
      </c>
      <c r="HU114">
        <v>0</v>
      </c>
      <c r="HW114">
        <v>0</v>
      </c>
      <c r="HX114">
        <v>0</v>
      </c>
      <c r="HY114">
        <v>0</v>
      </c>
      <c r="HZ114" t="s">
        <v>1045</v>
      </c>
      <c r="IA114">
        <v>0</v>
      </c>
      <c r="IB114" t="s">
        <v>1045</v>
      </c>
      <c r="ID114" t="s">
        <v>1045</v>
      </c>
      <c r="IF114">
        <v>0</v>
      </c>
      <c r="IG114" t="s">
        <v>1042</v>
      </c>
      <c r="II114" t="s">
        <v>1042</v>
      </c>
      <c r="IR114" t="s">
        <v>1045</v>
      </c>
      <c r="IT114">
        <v>0</v>
      </c>
      <c r="IY114" t="s">
        <v>1044</v>
      </c>
      <c r="IZ114" t="s">
        <v>1043</v>
      </c>
      <c r="JC114" t="s">
        <v>1043</v>
      </c>
      <c r="JE114">
        <v>0</v>
      </c>
      <c r="JF114">
        <v>0</v>
      </c>
      <c r="JI114" t="s">
        <v>1042</v>
      </c>
      <c r="JJ114">
        <v>0</v>
      </c>
      <c r="JK114">
        <v>0</v>
      </c>
      <c r="JL114">
        <v>0</v>
      </c>
      <c r="JM114">
        <v>0</v>
      </c>
      <c r="JQ114" t="s">
        <v>1043</v>
      </c>
      <c r="JT114">
        <v>0</v>
      </c>
      <c r="JU114" t="s">
        <v>1042</v>
      </c>
      <c r="JW114">
        <v>0</v>
      </c>
      <c r="KA114">
        <v>0</v>
      </c>
      <c r="KF114">
        <v>0</v>
      </c>
      <c r="KG114">
        <v>0</v>
      </c>
      <c r="KH114">
        <v>0</v>
      </c>
      <c r="KI114">
        <v>0</v>
      </c>
      <c r="KS114" t="s">
        <v>1073</v>
      </c>
      <c r="KT114">
        <v>0</v>
      </c>
      <c r="KU114">
        <v>0</v>
      </c>
      <c r="KV114">
        <v>0</v>
      </c>
      <c r="KX114">
        <v>0</v>
      </c>
      <c r="KZ114">
        <v>0</v>
      </c>
      <c r="LF114">
        <v>0</v>
      </c>
      <c r="LH114">
        <v>0</v>
      </c>
      <c r="LI114">
        <v>0</v>
      </c>
    </row>
    <row r="115" spans="1:321" x14ac:dyDescent="0.35">
      <c r="A115">
        <v>1</v>
      </c>
      <c r="B115">
        <v>1235</v>
      </c>
      <c r="C115" t="s">
        <v>634</v>
      </c>
      <c r="D115" t="s">
        <v>1061</v>
      </c>
      <c r="E115" t="s">
        <v>587</v>
      </c>
      <c r="F115">
        <v>1</v>
      </c>
      <c r="G115">
        <v>160</v>
      </c>
      <c r="H115">
        <v>0</v>
      </c>
      <c r="I115" t="s">
        <v>991</v>
      </c>
      <c r="L115">
        <v>0</v>
      </c>
      <c r="M115">
        <v>0</v>
      </c>
      <c r="N115">
        <v>0</v>
      </c>
      <c r="Q115">
        <v>516</v>
      </c>
      <c r="R115">
        <v>0</v>
      </c>
      <c r="S115">
        <v>0</v>
      </c>
      <c r="W115" t="s">
        <v>1060</v>
      </c>
      <c r="X115">
        <v>0</v>
      </c>
      <c r="Z115">
        <v>50</v>
      </c>
      <c r="AA115">
        <v>21.3322</v>
      </c>
      <c r="AB115">
        <v>5437</v>
      </c>
      <c r="AC115">
        <v>0.72689999999999999</v>
      </c>
      <c r="AD115" s="20">
        <v>42139</v>
      </c>
      <c r="AE115">
        <v>0.92300000000000004</v>
      </c>
      <c r="AF115">
        <v>9.1999999999999998E-2</v>
      </c>
      <c r="AH115">
        <v>845</v>
      </c>
      <c r="AJ115">
        <v>1</v>
      </c>
      <c r="AK115" t="s">
        <v>1154</v>
      </c>
      <c r="AL115">
        <v>19000</v>
      </c>
      <c r="AM115">
        <v>137</v>
      </c>
      <c r="AN115">
        <v>11501001</v>
      </c>
      <c r="AO115">
        <v>0</v>
      </c>
      <c r="AP115">
        <v>1001</v>
      </c>
      <c r="AT115">
        <v>1</v>
      </c>
      <c r="AU115" t="s">
        <v>1059</v>
      </c>
      <c r="AV115" t="s">
        <v>1043</v>
      </c>
      <c r="AW115" t="s">
        <v>1053</v>
      </c>
      <c r="AX115">
        <v>5</v>
      </c>
      <c r="AY115" s="20">
        <v>42139</v>
      </c>
      <c r="BA115" s="20">
        <v>44252</v>
      </c>
      <c r="BB115" t="s">
        <v>1058</v>
      </c>
      <c r="BD115">
        <v>0</v>
      </c>
      <c r="BF115" t="s">
        <v>1044</v>
      </c>
      <c r="BG115" s="20">
        <v>40787</v>
      </c>
      <c r="BH115">
        <v>0</v>
      </c>
      <c r="BI115">
        <v>33</v>
      </c>
      <c r="BJ115">
        <v>0</v>
      </c>
      <c r="BK115">
        <v>0</v>
      </c>
      <c r="BM115" s="20">
        <v>40793</v>
      </c>
      <c r="BN115">
        <v>0</v>
      </c>
      <c r="BO115">
        <v>7897801309646</v>
      </c>
      <c r="BR115" t="s">
        <v>1043</v>
      </c>
      <c r="BS115" t="s">
        <v>1043</v>
      </c>
      <c r="BT115" t="s">
        <v>1043</v>
      </c>
      <c r="BV115">
        <v>1</v>
      </c>
      <c r="BW115">
        <v>30</v>
      </c>
      <c r="BY115">
        <v>66</v>
      </c>
      <c r="CA115">
        <v>0</v>
      </c>
      <c r="CB115" t="s">
        <v>1043</v>
      </c>
      <c r="CE115" t="s">
        <v>1043</v>
      </c>
      <c r="CH115" t="s">
        <v>1043</v>
      </c>
      <c r="CI115" t="s">
        <v>1383</v>
      </c>
      <c r="CK115" t="s">
        <v>1152</v>
      </c>
      <c r="CN115" t="s">
        <v>1056</v>
      </c>
      <c r="CP115">
        <v>1</v>
      </c>
      <c r="CQ115">
        <v>1000</v>
      </c>
      <c r="CS115">
        <v>0</v>
      </c>
      <c r="CT115">
        <v>0</v>
      </c>
      <c r="CU115">
        <v>0</v>
      </c>
      <c r="CV115" t="s">
        <v>1045</v>
      </c>
      <c r="CW115">
        <v>0</v>
      </c>
      <c r="CX115">
        <v>0</v>
      </c>
      <c r="CY115">
        <v>0</v>
      </c>
      <c r="CZ115">
        <v>0</v>
      </c>
      <c r="DA115">
        <v>22</v>
      </c>
      <c r="DB115">
        <v>10000</v>
      </c>
      <c r="DH115">
        <v>0</v>
      </c>
      <c r="DJ115">
        <v>0</v>
      </c>
      <c r="DL115">
        <v>0</v>
      </c>
      <c r="DN115">
        <v>0</v>
      </c>
      <c r="DO115" t="s">
        <v>1042</v>
      </c>
      <c r="DP115">
        <v>0</v>
      </c>
      <c r="DQ115">
        <v>7.6</v>
      </c>
      <c r="DS115">
        <v>0</v>
      </c>
      <c r="DU115">
        <v>1.65</v>
      </c>
      <c r="DW115">
        <v>0</v>
      </c>
      <c r="DY115">
        <v>0</v>
      </c>
      <c r="DZ115">
        <v>0</v>
      </c>
      <c r="EA115">
        <v>0</v>
      </c>
      <c r="EB115">
        <v>17897801309643</v>
      </c>
      <c r="EE115">
        <v>0</v>
      </c>
      <c r="EF115">
        <v>0</v>
      </c>
      <c r="EK115" t="s">
        <v>1570</v>
      </c>
      <c r="EL115">
        <v>57897801309641</v>
      </c>
      <c r="EN115" t="s">
        <v>1511</v>
      </c>
      <c r="EO115" t="s">
        <v>1044</v>
      </c>
      <c r="ET115">
        <v>0</v>
      </c>
      <c r="EV115">
        <v>0</v>
      </c>
      <c r="EY115" t="s">
        <v>1052</v>
      </c>
      <c r="EZ115">
        <v>0</v>
      </c>
      <c r="FA115" t="s">
        <v>1043</v>
      </c>
      <c r="FB115">
        <v>0</v>
      </c>
      <c r="FC115">
        <v>0</v>
      </c>
      <c r="FD115" t="s">
        <v>1051</v>
      </c>
      <c r="FE115" t="s">
        <v>1050</v>
      </c>
      <c r="FF115">
        <v>0</v>
      </c>
      <c r="FG115" t="s">
        <v>1050</v>
      </c>
      <c r="FH115">
        <v>27897801309640</v>
      </c>
      <c r="FJ115">
        <v>0</v>
      </c>
      <c r="FK115">
        <v>0</v>
      </c>
      <c r="FP115">
        <v>0</v>
      </c>
      <c r="FR115">
        <v>0</v>
      </c>
      <c r="FS115" t="s">
        <v>1043</v>
      </c>
      <c r="FX115" t="s">
        <v>1042</v>
      </c>
      <c r="GA115">
        <v>0</v>
      </c>
      <c r="GB115" t="s">
        <v>1042</v>
      </c>
      <c r="GD115">
        <v>16</v>
      </c>
      <c r="GE115">
        <v>0</v>
      </c>
      <c r="GG115">
        <v>0</v>
      </c>
      <c r="GN115">
        <v>0</v>
      </c>
      <c r="GO115" t="s">
        <v>1049</v>
      </c>
      <c r="GQ115">
        <v>0</v>
      </c>
      <c r="GU115">
        <v>10</v>
      </c>
      <c r="GY115" t="s">
        <v>1045</v>
      </c>
      <c r="HB115">
        <v>0</v>
      </c>
      <c r="HE115">
        <v>12</v>
      </c>
      <c r="HF115">
        <v>0</v>
      </c>
      <c r="HG115">
        <v>3.823E-2</v>
      </c>
      <c r="HK115" t="s">
        <v>1042</v>
      </c>
      <c r="HL115" t="s">
        <v>1048</v>
      </c>
      <c r="HM115">
        <v>0</v>
      </c>
      <c r="HN115">
        <v>0</v>
      </c>
      <c r="HO115">
        <v>26</v>
      </c>
      <c r="HP115">
        <v>9.1999999999999998E-2</v>
      </c>
      <c r="HQ115">
        <v>0</v>
      </c>
      <c r="HR115" s="20">
        <v>44221</v>
      </c>
      <c r="HT115">
        <v>0</v>
      </c>
      <c r="HU115">
        <v>0</v>
      </c>
      <c r="HW115">
        <v>0</v>
      </c>
      <c r="HX115">
        <v>16262</v>
      </c>
      <c r="HY115">
        <v>0</v>
      </c>
      <c r="IA115">
        <v>0</v>
      </c>
      <c r="IF115">
        <v>3150</v>
      </c>
      <c r="IG115" s="20">
        <v>40365</v>
      </c>
      <c r="IH115" t="s">
        <v>1046</v>
      </c>
      <c r="II115" t="s">
        <v>1042</v>
      </c>
      <c r="IR115" t="s">
        <v>1045</v>
      </c>
      <c r="IT115">
        <v>0</v>
      </c>
      <c r="JE115">
        <v>0</v>
      </c>
      <c r="JF115">
        <v>0</v>
      </c>
      <c r="JI115" t="s">
        <v>1042</v>
      </c>
      <c r="JJ115">
        <v>0</v>
      </c>
      <c r="JK115">
        <v>0</v>
      </c>
      <c r="JL115">
        <v>0</v>
      </c>
      <c r="JM115">
        <v>0</v>
      </c>
      <c r="JT115">
        <v>0</v>
      </c>
      <c r="JU115" t="s">
        <v>1042</v>
      </c>
      <c r="JW115">
        <v>0</v>
      </c>
      <c r="KA115">
        <v>0</v>
      </c>
      <c r="KF115">
        <v>0</v>
      </c>
      <c r="KG115">
        <v>0</v>
      </c>
      <c r="KH115">
        <v>0</v>
      </c>
      <c r="KI115">
        <v>0</v>
      </c>
      <c r="KS115" t="s">
        <v>1041</v>
      </c>
      <c r="KT115">
        <v>0</v>
      </c>
      <c r="KU115">
        <v>0</v>
      </c>
      <c r="KV115">
        <v>0</v>
      </c>
      <c r="KX115">
        <v>0</v>
      </c>
      <c r="KZ115">
        <v>0</v>
      </c>
      <c r="LF115">
        <v>0</v>
      </c>
      <c r="LH115">
        <v>271152</v>
      </c>
      <c r="LI115">
        <v>0</v>
      </c>
    </row>
    <row r="116" spans="1:321" x14ac:dyDescent="0.35">
      <c r="A116">
        <v>1</v>
      </c>
      <c r="B116">
        <v>12350</v>
      </c>
      <c r="C116" t="s">
        <v>1595</v>
      </c>
      <c r="D116" t="s">
        <v>1139</v>
      </c>
      <c r="E116" t="s">
        <v>85</v>
      </c>
      <c r="F116">
        <v>80</v>
      </c>
      <c r="G116">
        <v>9000</v>
      </c>
      <c r="H116">
        <v>0</v>
      </c>
      <c r="I116" t="s">
        <v>1114</v>
      </c>
      <c r="L116">
        <v>0</v>
      </c>
      <c r="M116">
        <v>0</v>
      </c>
      <c r="N116">
        <v>0</v>
      </c>
      <c r="R116">
        <v>0</v>
      </c>
      <c r="S116">
        <v>0</v>
      </c>
      <c r="W116" t="s">
        <v>1060</v>
      </c>
      <c r="X116">
        <v>0</v>
      </c>
      <c r="Z116">
        <v>1</v>
      </c>
      <c r="AA116">
        <v>0</v>
      </c>
      <c r="AB116">
        <v>0</v>
      </c>
      <c r="AC116">
        <v>572.17999999999995</v>
      </c>
      <c r="AD116" s="20">
        <v>44314</v>
      </c>
      <c r="AE116">
        <v>630.5</v>
      </c>
      <c r="AF116">
        <v>0</v>
      </c>
      <c r="AH116">
        <v>0</v>
      </c>
      <c r="AJ116">
        <v>0</v>
      </c>
      <c r="AL116">
        <v>1</v>
      </c>
      <c r="AM116">
        <v>0</v>
      </c>
      <c r="AN116">
        <v>16601001</v>
      </c>
      <c r="AO116">
        <v>0</v>
      </c>
      <c r="AP116">
        <v>1000</v>
      </c>
      <c r="AT116">
        <v>0</v>
      </c>
      <c r="AU116" t="s">
        <v>1059</v>
      </c>
      <c r="AW116" t="s">
        <v>1053</v>
      </c>
      <c r="AX116">
        <v>0</v>
      </c>
      <c r="AY116" s="20">
        <v>43735</v>
      </c>
      <c r="BA116" s="20">
        <v>40785</v>
      </c>
      <c r="BB116" t="s">
        <v>1058</v>
      </c>
      <c r="BD116">
        <v>0</v>
      </c>
      <c r="BF116" t="s">
        <v>1043</v>
      </c>
      <c r="BG116" t="s">
        <v>1042</v>
      </c>
      <c r="BH116">
        <v>0</v>
      </c>
      <c r="BI116">
        <v>1</v>
      </c>
      <c r="BJ116">
        <v>0</v>
      </c>
      <c r="BK116">
        <v>0</v>
      </c>
      <c r="BM116" s="20">
        <v>44027</v>
      </c>
      <c r="BN116">
        <v>0</v>
      </c>
      <c r="BR116" t="s">
        <v>1043</v>
      </c>
      <c r="BS116" t="s">
        <v>1043</v>
      </c>
      <c r="BT116" t="s">
        <v>1043</v>
      </c>
      <c r="BW116">
        <v>83</v>
      </c>
      <c r="CA116">
        <v>0</v>
      </c>
      <c r="CB116" t="s">
        <v>1057</v>
      </c>
      <c r="CE116" t="s">
        <v>1043</v>
      </c>
      <c r="CH116" t="s">
        <v>1043</v>
      </c>
      <c r="CN116" t="s">
        <v>1056</v>
      </c>
      <c r="CO116" t="s">
        <v>1043</v>
      </c>
      <c r="CP116">
        <v>1</v>
      </c>
      <c r="CQ116">
        <v>0</v>
      </c>
      <c r="CS116">
        <v>0</v>
      </c>
      <c r="CT116">
        <v>0</v>
      </c>
      <c r="CU116">
        <v>0</v>
      </c>
      <c r="CV116" t="s">
        <v>1045</v>
      </c>
      <c r="CW116">
        <v>0</v>
      </c>
      <c r="CX116">
        <v>0</v>
      </c>
      <c r="CY116">
        <v>0</v>
      </c>
      <c r="CZ116">
        <v>0</v>
      </c>
      <c r="DB116">
        <v>0</v>
      </c>
      <c r="DC116" t="s">
        <v>1043</v>
      </c>
      <c r="DF116" t="s">
        <v>1055</v>
      </c>
      <c r="DH116">
        <v>0</v>
      </c>
      <c r="DJ116">
        <v>0</v>
      </c>
      <c r="DK116" t="s">
        <v>1053</v>
      </c>
      <c r="DL116">
        <v>0</v>
      </c>
      <c r="DN116">
        <v>0</v>
      </c>
      <c r="DO116" t="s">
        <v>1042</v>
      </c>
      <c r="DP116">
        <v>0</v>
      </c>
      <c r="DQ116">
        <v>0</v>
      </c>
      <c r="DS116">
        <v>0</v>
      </c>
      <c r="DU116">
        <v>0</v>
      </c>
      <c r="DW116">
        <v>0</v>
      </c>
      <c r="DX116" t="s">
        <v>1043</v>
      </c>
      <c r="DY116">
        <v>0</v>
      </c>
      <c r="DZ116">
        <v>0</v>
      </c>
      <c r="EA116">
        <v>0</v>
      </c>
      <c r="ED116" t="s">
        <v>1045</v>
      </c>
      <c r="EE116">
        <v>0</v>
      </c>
      <c r="EF116">
        <v>0</v>
      </c>
      <c r="EQ116" t="s">
        <v>1044</v>
      </c>
      <c r="ES116" t="s">
        <v>1053</v>
      </c>
      <c r="ET116">
        <v>0</v>
      </c>
      <c r="EV116">
        <v>0</v>
      </c>
      <c r="EY116" t="s">
        <v>1052</v>
      </c>
      <c r="EZ116">
        <v>0</v>
      </c>
      <c r="FA116" t="s">
        <v>1043</v>
      </c>
      <c r="FB116">
        <v>0</v>
      </c>
      <c r="FC116">
        <v>0</v>
      </c>
      <c r="FE116" t="s">
        <v>1050</v>
      </c>
      <c r="FF116">
        <v>0</v>
      </c>
      <c r="FG116" t="s">
        <v>1050</v>
      </c>
      <c r="FJ116">
        <v>0</v>
      </c>
      <c r="FK116">
        <v>0</v>
      </c>
      <c r="FP116">
        <v>0</v>
      </c>
      <c r="FR116">
        <v>0</v>
      </c>
      <c r="FS116" t="s">
        <v>1043</v>
      </c>
      <c r="FX116" t="s">
        <v>1042</v>
      </c>
      <c r="FZ116" t="s">
        <v>1048</v>
      </c>
      <c r="GA116">
        <v>0</v>
      </c>
      <c r="GB116" t="s">
        <v>1042</v>
      </c>
      <c r="GE116">
        <v>0</v>
      </c>
      <c r="GG116">
        <v>0</v>
      </c>
      <c r="GN116">
        <v>0</v>
      </c>
      <c r="GO116" t="s">
        <v>1063</v>
      </c>
      <c r="GQ116">
        <v>0</v>
      </c>
      <c r="GU116">
        <v>0</v>
      </c>
      <c r="GY116" t="s">
        <v>1045</v>
      </c>
      <c r="HB116">
        <v>0</v>
      </c>
      <c r="HE116">
        <v>0</v>
      </c>
      <c r="HF116">
        <v>0</v>
      </c>
      <c r="HG116">
        <v>0</v>
      </c>
      <c r="HK116" t="s">
        <v>1042</v>
      </c>
      <c r="HM116" t="s">
        <v>1047</v>
      </c>
      <c r="HN116">
        <v>0</v>
      </c>
      <c r="HP116">
        <v>0</v>
      </c>
      <c r="HQ116">
        <v>0</v>
      </c>
      <c r="HR116" s="20">
        <v>44221</v>
      </c>
      <c r="HS116" t="s">
        <v>1043</v>
      </c>
      <c r="HT116">
        <v>0</v>
      </c>
      <c r="HU116">
        <v>0</v>
      </c>
      <c r="HW116">
        <v>0</v>
      </c>
      <c r="HX116">
        <v>0</v>
      </c>
      <c r="HY116">
        <v>1</v>
      </c>
      <c r="HZ116" t="s">
        <v>1045</v>
      </c>
      <c r="IA116">
        <v>630.5</v>
      </c>
      <c r="IB116" t="s">
        <v>1045</v>
      </c>
      <c r="ID116" t="s">
        <v>1045</v>
      </c>
      <c r="IF116">
        <v>0</v>
      </c>
      <c r="IG116" t="s">
        <v>1042</v>
      </c>
      <c r="II116" t="s">
        <v>1042</v>
      </c>
      <c r="IR116" t="s">
        <v>1045</v>
      </c>
      <c r="IT116">
        <v>0</v>
      </c>
      <c r="IY116" t="s">
        <v>1044</v>
      </c>
      <c r="IZ116" t="s">
        <v>1043</v>
      </c>
      <c r="JC116" t="s">
        <v>1043</v>
      </c>
      <c r="JE116">
        <v>0</v>
      </c>
      <c r="JF116">
        <v>0</v>
      </c>
      <c r="JI116" t="s">
        <v>1042</v>
      </c>
      <c r="JJ116">
        <v>0</v>
      </c>
      <c r="JK116">
        <v>0</v>
      </c>
      <c r="JL116">
        <v>0</v>
      </c>
      <c r="JM116">
        <v>0</v>
      </c>
      <c r="JQ116" t="s">
        <v>1043</v>
      </c>
      <c r="JT116">
        <v>0</v>
      </c>
      <c r="JU116" t="s">
        <v>1042</v>
      </c>
      <c r="JW116">
        <v>0</v>
      </c>
      <c r="KA116">
        <v>0</v>
      </c>
      <c r="KF116">
        <v>0</v>
      </c>
      <c r="KG116">
        <v>0</v>
      </c>
      <c r="KH116">
        <v>0</v>
      </c>
      <c r="KI116">
        <v>0</v>
      </c>
      <c r="KS116" t="s">
        <v>1073</v>
      </c>
      <c r="KT116">
        <v>0</v>
      </c>
      <c r="KU116">
        <v>0</v>
      </c>
      <c r="KV116">
        <v>0</v>
      </c>
      <c r="KX116">
        <v>0</v>
      </c>
      <c r="KZ116">
        <v>0</v>
      </c>
      <c r="LF116">
        <v>0</v>
      </c>
      <c r="LH116">
        <v>0</v>
      </c>
      <c r="LI116">
        <v>0</v>
      </c>
    </row>
    <row r="117" spans="1:321" x14ac:dyDescent="0.35">
      <c r="A117">
        <v>1</v>
      </c>
      <c r="B117">
        <v>12351</v>
      </c>
      <c r="C117" t="s">
        <v>1594</v>
      </c>
      <c r="D117" t="s">
        <v>1139</v>
      </c>
      <c r="E117" t="s">
        <v>85</v>
      </c>
      <c r="F117">
        <v>80</v>
      </c>
      <c r="G117">
        <v>9000</v>
      </c>
      <c r="H117">
        <v>0</v>
      </c>
      <c r="I117" t="s">
        <v>1592</v>
      </c>
      <c r="L117">
        <v>0</v>
      </c>
      <c r="M117">
        <v>0</v>
      </c>
      <c r="N117">
        <v>0</v>
      </c>
      <c r="R117">
        <v>0</v>
      </c>
      <c r="S117">
        <v>0</v>
      </c>
      <c r="W117" t="s">
        <v>1060</v>
      </c>
      <c r="X117">
        <v>0</v>
      </c>
      <c r="Z117">
        <v>1</v>
      </c>
      <c r="AA117">
        <v>0</v>
      </c>
      <c r="AB117">
        <v>0</v>
      </c>
      <c r="AC117">
        <v>3012.14</v>
      </c>
      <c r="AD117" s="20">
        <v>41064</v>
      </c>
      <c r="AE117">
        <v>3569</v>
      </c>
      <c r="AF117">
        <v>0</v>
      </c>
      <c r="AH117">
        <v>0</v>
      </c>
      <c r="AJ117">
        <v>0</v>
      </c>
      <c r="AL117">
        <v>1</v>
      </c>
      <c r="AM117">
        <v>0</v>
      </c>
      <c r="AN117">
        <v>16601001</v>
      </c>
      <c r="AO117">
        <v>0</v>
      </c>
      <c r="AP117">
        <v>1000</v>
      </c>
      <c r="AT117">
        <v>0</v>
      </c>
      <c r="AU117" t="s">
        <v>1059</v>
      </c>
      <c r="AW117" t="s">
        <v>1053</v>
      </c>
      <c r="AX117">
        <v>0</v>
      </c>
      <c r="AY117" s="20">
        <v>41064</v>
      </c>
      <c r="BA117" s="20">
        <v>40785</v>
      </c>
      <c r="BB117" t="s">
        <v>1058</v>
      </c>
      <c r="BD117">
        <v>0</v>
      </c>
      <c r="BF117" t="s">
        <v>1043</v>
      </c>
      <c r="BG117" t="s">
        <v>1042</v>
      </c>
      <c r="BH117">
        <v>0</v>
      </c>
      <c r="BI117">
        <v>1</v>
      </c>
      <c r="BJ117">
        <v>0</v>
      </c>
      <c r="BK117">
        <v>0</v>
      </c>
      <c r="BM117" s="20">
        <v>40991</v>
      </c>
      <c r="BN117">
        <v>0</v>
      </c>
      <c r="BR117" t="s">
        <v>1043</v>
      </c>
      <c r="BS117" t="s">
        <v>1043</v>
      </c>
      <c r="BT117" t="s">
        <v>1043</v>
      </c>
      <c r="BW117">
        <v>83</v>
      </c>
      <c r="CA117">
        <v>0</v>
      </c>
      <c r="CB117" t="s">
        <v>1057</v>
      </c>
      <c r="CE117" t="s">
        <v>1043</v>
      </c>
      <c r="CH117" t="s">
        <v>1043</v>
      </c>
      <c r="CN117" t="s">
        <v>1056</v>
      </c>
      <c r="CO117" t="s">
        <v>1043</v>
      </c>
      <c r="CP117">
        <v>1</v>
      </c>
      <c r="CQ117">
        <v>0</v>
      </c>
      <c r="CS117">
        <v>0</v>
      </c>
      <c r="CT117">
        <v>0</v>
      </c>
      <c r="CU117">
        <v>0</v>
      </c>
      <c r="CV117" t="s">
        <v>1045</v>
      </c>
      <c r="CW117">
        <v>0</v>
      </c>
      <c r="CX117">
        <v>0</v>
      </c>
      <c r="CY117">
        <v>0</v>
      </c>
      <c r="CZ117">
        <v>0</v>
      </c>
      <c r="DB117">
        <v>0</v>
      </c>
      <c r="DC117" t="s">
        <v>1043</v>
      </c>
      <c r="DF117" t="s">
        <v>1055</v>
      </c>
      <c r="DH117">
        <v>0</v>
      </c>
      <c r="DJ117">
        <v>0</v>
      </c>
      <c r="DK117" t="s">
        <v>1053</v>
      </c>
      <c r="DL117">
        <v>0</v>
      </c>
      <c r="DN117">
        <v>0</v>
      </c>
      <c r="DO117" t="s">
        <v>1042</v>
      </c>
      <c r="DP117">
        <v>0</v>
      </c>
      <c r="DQ117">
        <v>0</v>
      </c>
      <c r="DS117">
        <v>0</v>
      </c>
      <c r="DU117">
        <v>0</v>
      </c>
      <c r="DW117">
        <v>0</v>
      </c>
      <c r="DX117" t="s">
        <v>1043</v>
      </c>
      <c r="DY117">
        <v>0</v>
      </c>
      <c r="DZ117">
        <v>0</v>
      </c>
      <c r="EA117">
        <v>0</v>
      </c>
      <c r="ED117" t="s">
        <v>1045</v>
      </c>
      <c r="EE117">
        <v>0</v>
      </c>
      <c r="EF117">
        <v>0</v>
      </c>
      <c r="EQ117" t="s">
        <v>1044</v>
      </c>
      <c r="ES117" t="s">
        <v>1053</v>
      </c>
      <c r="ET117">
        <v>0</v>
      </c>
      <c r="EV117">
        <v>0</v>
      </c>
      <c r="EY117" t="s">
        <v>1052</v>
      </c>
      <c r="EZ117">
        <v>0</v>
      </c>
      <c r="FA117" t="s">
        <v>1043</v>
      </c>
      <c r="FB117">
        <v>0</v>
      </c>
      <c r="FC117">
        <v>0</v>
      </c>
      <c r="FE117" t="s">
        <v>1050</v>
      </c>
      <c r="FF117">
        <v>0</v>
      </c>
      <c r="FG117" t="s">
        <v>1050</v>
      </c>
      <c r="FJ117">
        <v>0</v>
      </c>
      <c r="FK117">
        <v>0</v>
      </c>
      <c r="FP117">
        <v>0</v>
      </c>
      <c r="FR117">
        <v>0</v>
      </c>
      <c r="FS117" t="s">
        <v>1043</v>
      </c>
      <c r="FX117" t="s">
        <v>1042</v>
      </c>
      <c r="FZ117" t="s">
        <v>1048</v>
      </c>
      <c r="GA117">
        <v>0</v>
      </c>
      <c r="GB117" t="s">
        <v>1042</v>
      </c>
      <c r="GE117">
        <v>0</v>
      </c>
      <c r="GG117">
        <v>0</v>
      </c>
      <c r="GN117">
        <v>0</v>
      </c>
      <c r="GO117" t="s">
        <v>1063</v>
      </c>
      <c r="GQ117">
        <v>0</v>
      </c>
      <c r="GU117">
        <v>0</v>
      </c>
      <c r="GY117" t="s">
        <v>1045</v>
      </c>
      <c r="HB117">
        <v>0</v>
      </c>
      <c r="HE117">
        <v>0</v>
      </c>
      <c r="HF117">
        <v>0</v>
      </c>
      <c r="HG117">
        <v>0</v>
      </c>
      <c r="HK117" t="s">
        <v>1042</v>
      </c>
      <c r="HM117" t="s">
        <v>1047</v>
      </c>
      <c r="HN117">
        <v>0</v>
      </c>
      <c r="HP117">
        <v>0</v>
      </c>
      <c r="HQ117">
        <v>0</v>
      </c>
      <c r="HR117" s="20">
        <v>44221</v>
      </c>
      <c r="HS117" t="s">
        <v>1043</v>
      </c>
      <c r="HT117">
        <v>0</v>
      </c>
      <c r="HU117">
        <v>0</v>
      </c>
      <c r="HW117">
        <v>0</v>
      </c>
      <c r="HX117">
        <v>0</v>
      </c>
      <c r="HY117">
        <v>0</v>
      </c>
      <c r="HZ117" t="s">
        <v>1045</v>
      </c>
      <c r="IA117">
        <v>0</v>
      </c>
      <c r="IB117" t="s">
        <v>1045</v>
      </c>
      <c r="ID117" t="s">
        <v>1045</v>
      </c>
      <c r="IF117">
        <v>0</v>
      </c>
      <c r="IG117" t="s">
        <v>1042</v>
      </c>
      <c r="II117" t="s">
        <v>1042</v>
      </c>
      <c r="IR117" t="s">
        <v>1045</v>
      </c>
      <c r="IT117">
        <v>0</v>
      </c>
      <c r="IY117" t="s">
        <v>1044</v>
      </c>
      <c r="IZ117" t="s">
        <v>1043</v>
      </c>
      <c r="JC117" t="s">
        <v>1043</v>
      </c>
      <c r="JE117">
        <v>0</v>
      </c>
      <c r="JF117">
        <v>0</v>
      </c>
      <c r="JI117" t="s">
        <v>1042</v>
      </c>
      <c r="JJ117">
        <v>0</v>
      </c>
      <c r="JK117">
        <v>0</v>
      </c>
      <c r="JL117">
        <v>0</v>
      </c>
      <c r="JM117">
        <v>0</v>
      </c>
      <c r="JQ117" t="s">
        <v>1043</v>
      </c>
      <c r="JT117">
        <v>0</v>
      </c>
      <c r="JU117" t="s">
        <v>1042</v>
      </c>
      <c r="JW117">
        <v>0</v>
      </c>
      <c r="KA117">
        <v>0</v>
      </c>
      <c r="KF117">
        <v>0</v>
      </c>
      <c r="KG117">
        <v>0</v>
      </c>
      <c r="KH117">
        <v>0</v>
      </c>
      <c r="KI117">
        <v>0</v>
      </c>
      <c r="KS117" t="s">
        <v>1073</v>
      </c>
      <c r="KT117">
        <v>0</v>
      </c>
      <c r="KU117">
        <v>0</v>
      </c>
      <c r="KV117">
        <v>0</v>
      </c>
      <c r="KX117">
        <v>0</v>
      </c>
      <c r="KZ117">
        <v>0</v>
      </c>
      <c r="LF117">
        <v>0</v>
      </c>
      <c r="LH117">
        <v>0</v>
      </c>
      <c r="LI117">
        <v>0</v>
      </c>
    </row>
    <row r="118" spans="1:321" x14ac:dyDescent="0.35">
      <c r="A118">
        <v>1</v>
      </c>
      <c r="B118">
        <v>12352</v>
      </c>
      <c r="C118" t="s">
        <v>1593</v>
      </c>
      <c r="D118" t="s">
        <v>1139</v>
      </c>
      <c r="E118" t="s">
        <v>85</v>
      </c>
      <c r="F118">
        <v>80</v>
      </c>
      <c r="G118">
        <v>9000</v>
      </c>
      <c r="H118">
        <v>0</v>
      </c>
      <c r="I118" t="s">
        <v>1592</v>
      </c>
      <c r="L118">
        <v>0</v>
      </c>
      <c r="M118">
        <v>0</v>
      </c>
      <c r="N118">
        <v>0</v>
      </c>
      <c r="R118">
        <v>0</v>
      </c>
      <c r="S118">
        <v>0</v>
      </c>
      <c r="W118" t="s">
        <v>1060</v>
      </c>
      <c r="X118">
        <v>0</v>
      </c>
      <c r="Z118">
        <v>1</v>
      </c>
      <c r="AA118">
        <v>0</v>
      </c>
      <c r="AB118">
        <v>0</v>
      </c>
      <c r="AC118">
        <v>1491.39</v>
      </c>
      <c r="AD118" s="20">
        <v>40911</v>
      </c>
      <c r="AE118">
        <v>1980</v>
      </c>
      <c r="AF118">
        <v>0</v>
      </c>
      <c r="AH118">
        <v>0</v>
      </c>
      <c r="AJ118">
        <v>0</v>
      </c>
      <c r="AL118">
        <v>1</v>
      </c>
      <c r="AM118">
        <v>0</v>
      </c>
      <c r="AN118">
        <v>16601001</v>
      </c>
      <c r="AO118">
        <v>0</v>
      </c>
      <c r="AP118">
        <v>1000</v>
      </c>
      <c r="AT118">
        <v>0</v>
      </c>
      <c r="AU118" t="s">
        <v>1059</v>
      </c>
      <c r="AW118" t="s">
        <v>1053</v>
      </c>
      <c r="AX118">
        <v>0</v>
      </c>
      <c r="AY118" s="20">
        <v>40911</v>
      </c>
      <c r="BA118" s="20">
        <v>40785</v>
      </c>
      <c r="BB118" t="s">
        <v>1058</v>
      </c>
      <c r="BD118">
        <v>0</v>
      </c>
      <c r="BF118" t="s">
        <v>1043</v>
      </c>
      <c r="BG118" t="s">
        <v>1042</v>
      </c>
      <c r="BH118">
        <v>0</v>
      </c>
      <c r="BI118">
        <v>1</v>
      </c>
      <c r="BJ118">
        <v>0</v>
      </c>
      <c r="BK118">
        <v>0</v>
      </c>
      <c r="BM118" s="20">
        <v>40991</v>
      </c>
      <c r="BN118">
        <v>0</v>
      </c>
      <c r="BO118">
        <v>3457801071499</v>
      </c>
      <c r="BR118" t="s">
        <v>1043</v>
      </c>
      <c r="BS118" t="s">
        <v>1043</v>
      </c>
      <c r="BT118" t="s">
        <v>1043</v>
      </c>
      <c r="BW118">
        <v>83</v>
      </c>
      <c r="CA118">
        <v>0</v>
      </c>
      <c r="CB118" t="s">
        <v>1057</v>
      </c>
      <c r="CE118" t="s">
        <v>1043</v>
      </c>
      <c r="CH118" t="s">
        <v>1043</v>
      </c>
      <c r="CN118" t="s">
        <v>1056</v>
      </c>
      <c r="CO118" t="s">
        <v>1043</v>
      </c>
      <c r="CP118">
        <v>1</v>
      </c>
      <c r="CQ118">
        <v>0</v>
      </c>
      <c r="CS118">
        <v>0</v>
      </c>
      <c r="CT118">
        <v>0</v>
      </c>
      <c r="CU118">
        <v>0</v>
      </c>
      <c r="CV118" t="s">
        <v>1045</v>
      </c>
      <c r="CW118">
        <v>0</v>
      </c>
      <c r="CX118">
        <v>0</v>
      </c>
      <c r="CY118">
        <v>0</v>
      </c>
      <c r="CZ118">
        <v>0</v>
      </c>
      <c r="DB118">
        <v>0</v>
      </c>
      <c r="DC118" t="s">
        <v>1043</v>
      </c>
      <c r="DF118" t="s">
        <v>1055</v>
      </c>
      <c r="DH118">
        <v>0</v>
      </c>
      <c r="DJ118">
        <v>0</v>
      </c>
      <c r="DK118" t="s">
        <v>1053</v>
      </c>
      <c r="DL118">
        <v>0</v>
      </c>
      <c r="DN118">
        <v>0</v>
      </c>
      <c r="DO118" t="s">
        <v>1042</v>
      </c>
      <c r="DP118">
        <v>0</v>
      </c>
      <c r="DQ118">
        <v>0</v>
      </c>
      <c r="DS118">
        <v>0</v>
      </c>
      <c r="DU118">
        <v>0</v>
      </c>
      <c r="DW118">
        <v>0</v>
      </c>
      <c r="DX118" t="s">
        <v>1043</v>
      </c>
      <c r="DY118">
        <v>0</v>
      </c>
      <c r="DZ118">
        <v>0</v>
      </c>
      <c r="EA118">
        <v>0</v>
      </c>
      <c r="ED118" t="s">
        <v>1045</v>
      </c>
      <c r="EE118">
        <v>0</v>
      </c>
      <c r="EF118">
        <v>0</v>
      </c>
      <c r="EQ118" t="s">
        <v>1044</v>
      </c>
      <c r="ES118" t="s">
        <v>1053</v>
      </c>
      <c r="ET118">
        <v>0</v>
      </c>
      <c r="EV118">
        <v>0</v>
      </c>
      <c r="EY118" t="s">
        <v>1052</v>
      </c>
      <c r="EZ118">
        <v>0</v>
      </c>
      <c r="FA118" t="s">
        <v>1043</v>
      </c>
      <c r="FB118">
        <v>0</v>
      </c>
      <c r="FC118">
        <v>0</v>
      </c>
      <c r="FE118" t="s">
        <v>1050</v>
      </c>
      <c r="FF118">
        <v>0</v>
      </c>
      <c r="FG118" t="s">
        <v>1050</v>
      </c>
      <c r="FJ118">
        <v>0</v>
      </c>
      <c r="FK118">
        <v>0</v>
      </c>
      <c r="FP118">
        <v>0</v>
      </c>
      <c r="FR118">
        <v>0</v>
      </c>
      <c r="FS118" t="s">
        <v>1043</v>
      </c>
      <c r="FX118" t="s">
        <v>1042</v>
      </c>
      <c r="FZ118" t="s">
        <v>1048</v>
      </c>
      <c r="GA118">
        <v>0</v>
      </c>
      <c r="GB118" t="s">
        <v>1042</v>
      </c>
      <c r="GE118">
        <v>0</v>
      </c>
      <c r="GG118">
        <v>0</v>
      </c>
      <c r="GN118">
        <v>0</v>
      </c>
      <c r="GO118" t="s">
        <v>1063</v>
      </c>
      <c r="GQ118">
        <v>0</v>
      </c>
      <c r="GU118">
        <v>0</v>
      </c>
      <c r="GY118" t="s">
        <v>1045</v>
      </c>
      <c r="HB118">
        <v>0</v>
      </c>
      <c r="HE118">
        <v>0</v>
      </c>
      <c r="HF118">
        <v>0</v>
      </c>
      <c r="HG118">
        <v>0</v>
      </c>
      <c r="HK118" t="s">
        <v>1042</v>
      </c>
      <c r="HM118" t="s">
        <v>1047</v>
      </c>
      <c r="HN118">
        <v>0</v>
      </c>
      <c r="HP118">
        <v>0</v>
      </c>
      <c r="HQ118">
        <v>0</v>
      </c>
      <c r="HR118" s="20">
        <v>44221</v>
      </c>
      <c r="HS118" t="s">
        <v>1043</v>
      </c>
      <c r="HT118">
        <v>0</v>
      </c>
      <c r="HU118">
        <v>0</v>
      </c>
      <c r="HW118">
        <v>0</v>
      </c>
      <c r="HX118">
        <v>0</v>
      </c>
      <c r="HY118">
        <v>0</v>
      </c>
      <c r="HZ118" t="s">
        <v>1045</v>
      </c>
      <c r="IA118">
        <v>0</v>
      </c>
      <c r="IB118" t="s">
        <v>1045</v>
      </c>
      <c r="ID118" t="s">
        <v>1045</v>
      </c>
      <c r="IF118">
        <v>0</v>
      </c>
      <c r="IG118" t="s">
        <v>1042</v>
      </c>
      <c r="II118" t="s">
        <v>1042</v>
      </c>
      <c r="IR118" t="s">
        <v>1045</v>
      </c>
      <c r="IT118">
        <v>0</v>
      </c>
      <c r="IY118" t="s">
        <v>1044</v>
      </c>
      <c r="IZ118" t="s">
        <v>1043</v>
      </c>
      <c r="JC118" t="s">
        <v>1043</v>
      </c>
      <c r="JE118">
        <v>0</v>
      </c>
      <c r="JF118">
        <v>0</v>
      </c>
      <c r="JI118" t="s">
        <v>1042</v>
      </c>
      <c r="JJ118">
        <v>0</v>
      </c>
      <c r="JK118">
        <v>0</v>
      </c>
      <c r="JL118">
        <v>0</v>
      </c>
      <c r="JM118">
        <v>0</v>
      </c>
      <c r="JQ118" t="s">
        <v>1043</v>
      </c>
      <c r="JT118">
        <v>0</v>
      </c>
      <c r="JU118" t="s">
        <v>1042</v>
      </c>
      <c r="JW118">
        <v>0</v>
      </c>
      <c r="KA118">
        <v>0</v>
      </c>
      <c r="KF118">
        <v>0</v>
      </c>
      <c r="KG118">
        <v>0</v>
      </c>
      <c r="KH118">
        <v>0</v>
      </c>
      <c r="KI118">
        <v>0</v>
      </c>
      <c r="KS118" t="s">
        <v>1073</v>
      </c>
      <c r="KT118">
        <v>0</v>
      </c>
      <c r="KU118">
        <v>0</v>
      </c>
      <c r="KV118">
        <v>0</v>
      </c>
      <c r="KX118">
        <v>0</v>
      </c>
      <c r="KZ118">
        <v>0</v>
      </c>
      <c r="LF118">
        <v>0</v>
      </c>
      <c r="LH118">
        <v>0</v>
      </c>
      <c r="LI118">
        <v>0</v>
      </c>
    </row>
    <row r="119" spans="1:321" x14ac:dyDescent="0.35">
      <c r="A119">
        <v>1</v>
      </c>
      <c r="B119">
        <v>12353</v>
      </c>
      <c r="C119" t="s">
        <v>1591</v>
      </c>
      <c r="D119" t="s">
        <v>1139</v>
      </c>
      <c r="E119" t="s">
        <v>85</v>
      </c>
      <c r="F119">
        <v>80</v>
      </c>
      <c r="G119">
        <v>9000</v>
      </c>
      <c r="H119">
        <v>0</v>
      </c>
      <c r="I119" t="s">
        <v>1590</v>
      </c>
      <c r="L119">
        <v>0</v>
      </c>
      <c r="M119">
        <v>0</v>
      </c>
      <c r="N119">
        <v>0</v>
      </c>
      <c r="R119">
        <v>0</v>
      </c>
      <c r="S119">
        <v>0</v>
      </c>
      <c r="W119" t="s">
        <v>1060</v>
      </c>
      <c r="X119">
        <v>0</v>
      </c>
      <c r="Z119">
        <v>1</v>
      </c>
      <c r="AA119">
        <v>0</v>
      </c>
      <c r="AB119">
        <v>0</v>
      </c>
      <c r="AC119">
        <v>4483.2</v>
      </c>
      <c r="AD119" s="20">
        <v>41064</v>
      </c>
      <c r="AE119">
        <v>5312</v>
      </c>
      <c r="AF119">
        <v>0</v>
      </c>
      <c r="AH119">
        <v>0</v>
      </c>
      <c r="AJ119">
        <v>0</v>
      </c>
      <c r="AL119">
        <v>1</v>
      </c>
      <c r="AM119">
        <v>0</v>
      </c>
      <c r="AN119">
        <v>16601001</v>
      </c>
      <c r="AO119">
        <v>0</v>
      </c>
      <c r="AP119">
        <v>1000</v>
      </c>
      <c r="AT119">
        <v>0</v>
      </c>
      <c r="AU119" t="s">
        <v>1059</v>
      </c>
      <c r="AW119" t="s">
        <v>1053</v>
      </c>
      <c r="AX119">
        <v>0</v>
      </c>
      <c r="AY119" s="20">
        <v>41064</v>
      </c>
      <c r="BA119" s="20">
        <v>40785</v>
      </c>
      <c r="BB119" t="s">
        <v>1058</v>
      </c>
      <c r="BD119">
        <v>0</v>
      </c>
      <c r="BF119" t="s">
        <v>1043</v>
      </c>
      <c r="BG119" t="s">
        <v>1042</v>
      </c>
      <c r="BH119">
        <v>0</v>
      </c>
      <c r="BI119">
        <v>1</v>
      </c>
      <c r="BJ119">
        <v>0</v>
      </c>
      <c r="BK119">
        <v>0</v>
      </c>
      <c r="BM119" t="s">
        <v>1042</v>
      </c>
      <c r="BN119">
        <v>0</v>
      </c>
      <c r="BR119" t="s">
        <v>1043</v>
      </c>
      <c r="BS119" t="s">
        <v>1043</v>
      </c>
      <c r="BT119" t="s">
        <v>1043</v>
      </c>
      <c r="BW119">
        <v>83</v>
      </c>
      <c r="CA119">
        <v>0</v>
      </c>
      <c r="CB119" t="s">
        <v>1057</v>
      </c>
      <c r="CE119" t="s">
        <v>1043</v>
      </c>
      <c r="CH119" t="s">
        <v>1043</v>
      </c>
      <c r="CN119" t="s">
        <v>1056</v>
      </c>
      <c r="CO119" t="s">
        <v>1043</v>
      </c>
      <c r="CP119">
        <v>1</v>
      </c>
      <c r="CQ119">
        <v>0</v>
      </c>
      <c r="CS119">
        <v>0</v>
      </c>
      <c r="CT119">
        <v>0</v>
      </c>
      <c r="CU119">
        <v>0</v>
      </c>
      <c r="CV119" t="s">
        <v>1045</v>
      </c>
      <c r="CW119">
        <v>0</v>
      </c>
      <c r="CX119">
        <v>0</v>
      </c>
      <c r="CY119">
        <v>0</v>
      </c>
      <c r="CZ119">
        <v>0</v>
      </c>
      <c r="DB119">
        <v>0</v>
      </c>
      <c r="DC119" t="s">
        <v>1043</v>
      </c>
      <c r="DF119" t="s">
        <v>1055</v>
      </c>
      <c r="DH119">
        <v>0</v>
      </c>
      <c r="DJ119">
        <v>0</v>
      </c>
      <c r="DK119" t="s">
        <v>1053</v>
      </c>
      <c r="DL119">
        <v>0</v>
      </c>
      <c r="DN119">
        <v>0</v>
      </c>
      <c r="DO119" t="s">
        <v>1042</v>
      </c>
      <c r="DP119">
        <v>0</v>
      </c>
      <c r="DQ119">
        <v>0</v>
      </c>
      <c r="DS119">
        <v>0</v>
      </c>
      <c r="DU119">
        <v>0</v>
      </c>
      <c r="DW119">
        <v>0</v>
      </c>
      <c r="DX119" t="s">
        <v>1043</v>
      </c>
      <c r="DY119">
        <v>0</v>
      </c>
      <c r="DZ119">
        <v>0</v>
      </c>
      <c r="EA119">
        <v>0</v>
      </c>
      <c r="ED119" t="s">
        <v>1045</v>
      </c>
      <c r="EE119">
        <v>0</v>
      </c>
      <c r="EF119">
        <v>0</v>
      </c>
      <c r="EQ119" t="s">
        <v>1044</v>
      </c>
      <c r="ES119" t="s">
        <v>1053</v>
      </c>
      <c r="ET119">
        <v>0</v>
      </c>
      <c r="EV119">
        <v>0</v>
      </c>
      <c r="EY119" t="s">
        <v>1052</v>
      </c>
      <c r="EZ119">
        <v>0</v>
      </c>
      <c r="FA119" t="s">
        <v>1043</v>
      </c>
      <c r="FB119">
        <v>0</v>
      </c>
      <c r="FC119">
        <v>0</v>
      </c>
      <c r="FE119" t="s">
        <v>1050</v>
      </c>
      <c r="FF119">
        <v>0</v>
      </c>
      <c r="FG119" t="s">
        <v>1050</v>
      </c>
      <c r="FJ119">
        <v>0</v>
      </c>
      <c r="FK119">
        <v>0</v>
      </c>
      <c r="FP119">
        <v>0</v>
      </c>
      <c r="FR119">
        <v>0</v>
      </c>
      <c r="FS119" t="s">
        <v>1043</v>
      </c>
      <c r="FX119" t="s">
        <v>1042</v>
      </c>
      <c r="FZ119" t="s">
        <v>1048</v>
      </c>
      <c r="GA119">
        <v>0</v>
      </c>
      <c r="GB119" t="s">
        <v>1042</v>
      </c>
      <c r="GE119">
        <v>0</v>
      </c>
      <c r="GG119">
        <v>0</v>
      </c>
      <c r="GN119">
        <v>0</v>
      </c>
      <c r="GO119" t="s">
        <v>1063</v>
      </c>
      <c r="GQ119">
        <v>0</v>
      </c>
      <c r="GU119">
        <v>0</v>
      </c>
      <c r="GY119" t="s">
        <v>1045</v>
      </c>
      <c r="HB119">
        <v>0</v>
      </c>
      <c r="HE119">
        <v>0</v>
      </c>
      <c r="HF119">
        <v>0</v>
      </c>
      <c r="HG119">
        <v>0</v>
      </c>
      <c r="HK119" t="s">
        <v>1042</v>
      </c>
      <c r="HM119" t="s">
        <v>1047</v>
      </c>
      <c r="HN119">
        <v>0</v>
      </c>
      <c r="HP119">
        <v>0</v>
      </c>
      <c r="HQ119">
        <v>0</v>
      </c>
      <c r="HR119" s="20">
        <v>44221</v>
      </c>
      <c r="HS119" t="s">
        <v>1043</v>
      </c>
      <c r="HT119">
        <v>0</v>
      </c>
      <c r="HU119">
        <v>0</v>
      </c>
      <c r="HW119">
        <v>0</v>
      </c>
      <c r="HX119">
        <v>0</v>
      </c>
      <c r="HY119">
        <v>0</v>
      </c>
      <c r="HZ119" t="s">
        <v>1045</v>
      </c>
      <c r="IA119">
        <v>0</v>
      </c>
      <c r="IB119" t="s">
        <v>1045</v>
      </c>
      <c r="ID119" t="s">
        <v>1045</v>
      </c>
      <c r="IF119">
        <v>0</v>
      </c>
      <c r="IG119" t="s">
        <v>1042</v>
      </c>
      <c r="II119" t="s">
        <v>1042</v>
      </c>
      <c r="IR119" t="s">
        <v>1045</v>
      </c>
      <c r="IT119">
        <v>0</v>
      </c>
      <c r="IY119" t="s">
        <v>1044</v>
      </c>
      <c r="IZ119" t="s">
        <v>1043</v>
      </c>
      <c r="JC119" t="s">
        <v>1043</v>
      </c>
      <c r="JE119">
        <v>0</v>
      </c>
      <c r="JF119">
        <v>0</v>
      </c>
      <c r="JI119" t="s">
        <v>1042</v>
      </c>
      <c r="JJ119">
        <v>0</v>
      </c>
      <c r="JK119">
        <v>0</v>
      </c>
      <c r="JL119">
        <v>0</v>
      </c>
      <c r="JM119">
        <v>0</v>
      </c>
      <c r="JQ119" t="s">
        <v>1043</v>
      </c>
      <c r="JT119">
        <v>0</v>
      </c>
      <c r="JU119" t="s">
        <v>1042</v>
      </c>
      <c r="JW119">
        <v>0</v>
      </c>
      <c r="KA119">
        <v>0</v>
      </c>
      <c r="KF119">
        <v>0</v>
      </c>
      <c r="KG119">
        <v>0</v>
      </c>
      <c r="KH119">
        <v>0</v>
      </c>
      <c r="KI119">
        <v>0</v>
      </c>
      <c r="KS119" t="s">
        <v>1073</v>
      </c>
      <c r="KT119">
        <v>0</v>
      </c>
      <c r="KU119">
        <v>0</v>
      </c>
      <c r="KV119">
        <v>0</v>
      </c>
      <c r="KX119">
        <v>0</v>
      </c>
      <c r="KZ119">
        <v>0</v>
      </c>
      <c r="LF119">
        <v>0</v>
      </c>
      <c r="LH119">
        <v>0</v>
      </c>
      <c r="LI119">
        <v>0</v>
      </c>
    </row>
    <row r="120" spans="1:321" x14ac:dyDescent="0.35">
      <c r="A120">
        <v>1</v>
      </c>
      <c r="B120">
        <v>12354</v>
      </c>
      <c r="C120" t="s">
        <v>1589</v>
      </c>
      <c r="D120" t="s">
        <v>1139</v>
      </c>
      <c r="E120" t="s">
        <v>85</v>
      </c>
      <c r="F120">
        <v>80</v>
      </c>
      <c r="G120">
        <v>9000</v>
      </c>
      <c r="H120">
        <v>0</v>
      </c>
      <c r="I120" t="s">
        <v>1588</v>
      </c>
      <c r="L120">
        <v>0</v>
      </c>
      <c r="M120">
        <v>0</v>
      </c>
      <c r="N120">
        <v>0</v>
      </c>
      <c r="R120">
        <v>0</v>
      </c>
      <c r="S120">
        <v>0</v>
      </c>
      <c r="W120" t="s">
        <v>1060</v>
      </c>
      <c r="X120">
        <v>0</v>
      </c>
      <c r="Z120">
        <v>1</v>
      </c>
      <c r="AA120">
        <v>0</v>
      </c>
      <c r="AB120">
        <v>0</v>
      </c>
      <c r="AC120">
        <v>3992.84</v>
      </c>
      <c r="AD120" s="20">
        <v>41064</v>
      </c>
      <c r="AE120">
        <v>4731</v>
      </c>
      <c r="AF120">
        <v>0</v>
      </c>
      <c r="AH120">
        <v>0</v>
      </c>
      <c r="AJ120">
        <v>0</v>
      </c>
      <c r="AL120">
        <v>1</v>
      </c>
      <c r="AM120">
        <v>0</v>
      </c>
      <c r="AN120">
        <v>16601001</v>
      </c>
      <c r="AO120">
        <v>0</v>
      </c>
      <c r="AP120">
        <v>1000</v>
      </c>
      <c r="AT120">
        <v>0</v>
      </c>
      <c r="AU120" t="s">
        <v>1059</v>
      </c>
      <c r="AW120" t="s">
        <v>1053</v>
      </c>
      <c r="AX120">
        <v>0</v>
      </c>
      <c r="AY120" s="20">
        <v>41064</v>
      </c>
      <c r="BA120" s="20">
        <v>40785</v>
      </c>
      <c r="BB120" t="s">
        <v>1058</v>
      </c>
      <c r="BD120">
        <v>0</v>
      </c>
      <c r="BF120" t="s">
        <v>1043</v>
      </c>
      <c r="BG120" t="s">
        <v>1042</v>
      </c>
      <c r="BH120">
        <v>0</v>
      </c>
      <c r="BI120">
        <v>1</v>
      </c>
      <c r="BJ120">
        <v>0</v>
      </c>
      <c r="BK120">
        <v>0</v>
      </c>
      <c r="BM120" t="s">
        <v>1042</v>
      </c>
      <c r="BN120">
        <v>0</v>
      </c>
      <c r="BR120" t="s">
        <v>1043</v>
      </c>
      <c r="BS120" t="s">
        <v>1043</v>
      </c>
      <c r="BT120" t="s">
        <v>1043</v>
      </c>
      <c r="BW120">
        <v>83</v>
      </c>
      <c r="CA120">
        <v>0</v>
      </c>
      <c r="CB120" t="s">
        <v>1057</v>
      </c>
      <c r="CE120" t="s">
        <v>1043</v>
      </c>
      <c r="CH120" t="s">
        <v>1043</v>
      </c>
      <c r="CN120" t="s">
        <v>1056</v>
      </c>
      <c r="CO120" t="s">
        <v>1043</v>
      </c>
      <c r="CP120">
        <v>1</v>
      </c>
      <c r="CQ120">
        <v>0</v>
      </c>
      <c r="CS120">
        <v>0</v>
      </c>
      <c r="CT120">
        <v>0</v>
      </c>
      <c r="CU120">
        <v>0</v>
      </c>
      <c r="CV120" t="s">
        <v>1045</v>
      </c>
      <c r="CW120">
        <v>0</v>
      </c>
      <c r="CX120">
        <v>0</v>
      </c>
      <c r="CY120">
        <v>0</v>
      </c>
      <c r="CZ120">
        <v>0</v>
      </c>
      <c r="DB120">
        <v>0</v>
      </c>
      <c r="DC120" t="s">
        <v>1043</v>
      </c>
      <c r="DF120" t="s">
        <v>1055</v>
      </c>
      <c r="DH120">
        <v>0</v>
      </c>
      <c r="DJ120">
        <v>0</v>
      </c>
      <c r="DK120" t="s">
        <v>1053</v>
      </c>
      <c r="DL120">
        <v>0</v>
      </c>
      <c r="DN120">
        <v>0</v>
      </c>
      <c r="DO120" t="s">
        <v>1042</v>
      </c>
      <c r="DP120">
        <v>0</v>
      </c>
      <c r="DQ120">
        <v>0</v>
      </c>
      <c r="DS120">
        <v>0</v>
      </c>
      <c r="DU120">
        <v>0</v>
      </c>
      <c r="DW120">
        <v>0</v>
      </c>
      <c r="DX120" t="s">
        <v>1043</v>
      </c>
      <c r="DY120">
        <v>0</v>
      </c>
      <c r="DZ120">
        <v>0</v>
      </c>
      <c r="EA120">
        <v>0</v>
      </c>
      <c r="ED120" t="s">
        <v>1045</v>
      </c>
      <c r="EE120">
        <v>0</v>
      </c>
      <c r="EF120">
        <v>0</v>
      </c>
      <c r="EQ120" t="s">
        <v>1044</v>
      </c>
      <c r="ES120" t="s">
        <v>1053</v>
      </c>
      <c r="ET120">
        <v>0</v>
      </c>
      <c r="EV120">
        <v>0</v>
      </c>
      <c r="EY120" t="s">
        <v>1052</v>
      </c>
      <c r="EZ120">
        <v>0</v>
      </c>
      <c r="FA120" t="s">
        <v>1043</v>
      </c>
      <c r="FB120">
        <v>0</v>
      </c>
      <c r="FC120">
        <v>0</v>
      </c>
      <c r="FE120" t="s">
        <v>1050</v>
      </c>
      <c r="FF120">
        <v>0</v>
      </c>
      <c r="FG120" t="s">
        <v>1050</v>
      </c>
      <c r="FJ120">
        <v>0</v>
      </c>
      <c r="FK120">
        <v>0</v>
      </c>
      <c r="FP120">
        <v>0</v>
      </c>
      <c r="FR120">
        <v>0</v>
      </c>
      <c r="FS120" t="s">
        <v>1043</v>
      </c>
      <c r="FX120" t="s">
        <v>1042</v>
      </c>
      <c r="FZ120" t="s">
        <v>1048</v>
      </c>
      <c r="GA120">
        <v>0</v>
      </c>
      <c r="GB120" t="s">
        <v>1042</v>
      </c>
      <c r="GE120">
        <v>0</v>
      </c>
      <c r="GG120">
        <v>0</v>
      </c>
      <c r="GN120">
        <v>0</v>
      </c>
      <c r="GO120" t="s">
        <v>1063</v>
      </c>
      <c r="GQ120">
        <v>0</v>
      </c>
      <c r="GU120">
        <v>0</v>
      </c>
      <c r="GY120" t="s">
        <v>1045</v>
      </c>
      <c r="HB120">
        <v>0</v>
      </c>
      <c r="HE120">
        <v>0</v>
      </c>
      <c r="HF120">
        <v>0</v>
      </c>
      <c r="HG120">
        <v>0</v>
      </c>
      <c r="HK120" t="s">
        <v>1042</v>
      </c>
      <c r="HM120" t="s">
        <v>1047</v>
      </c>
      <c r="HN120">
        <v>0</v>
      </c>
      <c r="HP120">
        <v>0</v>
      </c>
      <c r="HQ120">
        <v>0</v>
      </c>
      <c r="HR120" s="20">
        <v>44221</v>
      </c>
      <c r="HS120" t="s">
        <v>1043</v>
      </c>
      <c r="HT120">
        <v>0</v>
      </c>
      <c r="HU120">
        <v>0</v>
      </c>
      <c r="HW120">
        <v>0</v>
      </c>
      <c r="HX120">
        <v>0</v>
      </c>
      <c r="HY120">
        <v>0</v>
      </c>
      <c r="HZ120" t="s">
        <v>1045</v>
      </c>
      <c r="IA120">
        <v>0</v>
      </c>
      <c r="IB120" t="s">
        <v>1045</v>
      </c>
      <c r="ID120" t="s">
        <v>1045</v>
      </c>
      <c r="IF120">
        <v>0</v>
      </c>
      <c r="IG120" t="s">
        <v>1042</v>
      </c>
      <c r="II120" t="s">
        <v>1042</v>
      </c>
      <c r="IR120" t="s">
        <v>1045</v>
      </c>
      <c r="IT120">
        <v>0</v>
      </c>
      <c r="IY120" t="s">
        <v>1044</v>
      </c>
      <c r="IZ120" t="s">
        <v>1043</v>
      </c>
      <c r="JC120" t="s">
        <v>1043</v>
      </c>
      <c r="JE120">
        <v>0</v>
      </c>
      <c r="JF120">
        <v>0</v>
      </c>
      <c r="JI120" t="s">
        <v>1042</v>
      </c>
      <c r="JJ120">
        <v>0</v>
      </c>
      <c r="JK120">
        <v>0</v>
      </c>
      <c r="JL120">
        <v>0</v>
      </c>
      <c r="JM120">
        <v>0</v>
      </c>
      <c r="JQ120" t="s">
        <v>1043</v>
      </c>
      <c r="JT120">
        <v>0</v>
      </c>
      <c r="JU120" t="s">
        <v>1042</v>
      </c>
      <c r="JW120">
        <v>0</v>
      </c>
      <c r="KA120">
        <v>0</v>
      </c>
      <c r="KF120">
        <v>0</v>
      </c>
      <c r="KG120">
        <v>0</v>
      </c>
      <c r="KH120">
        <v>0</v>
      </c>
      <c r="KI120">
        <v>0</v>
      </c>
      <c r="KS120" t="s">
        <v>1073</v>
      </c>
      <c r="KT120">
        <v>0</v>
      </c>
      <c r="KU120">
        <v>0</v>
      </c>
      <c r="KV120">
        <v>0</v>
      </c>
      <c r="KX120">
        <v>0</v>
      </c>
      <c r="KZ120">
        <v>0</v>
      </c>
      <c r="LF120">
        <v>0</v>
      </c>
      <c r="LH120">
        <v>0</v>
      </c>
      <c r="LI120">
        <v>0</v>
      </c>
    </row>
    <row r="121" spans="1:321" x14ac:dyDescent="0.35">
      <c r="A121">
        <v>1</v>
      </c>
      <c r="B121">
        <v>12355</v>
      </c>
      <c r="C121" t="s">
        <v>1587</v>
      </c>
      <c r="D121" t="s">
        <v>1139</v>
      </c>
      <c r="E121" t="s">
        <v>85</v>
      </c>
      <c r="F121">
        <v>80</v>
      </c>
      <c r="G121">
        <v>9000</v>
      </c>
      <c r="H121">
        <v>0</v>
      </c>
      <c r="I121" t="s">
        <v>1050</v>
      </c>
      <c r="L121">
        <v>0</v>
      </c>
      <c r="M121">
        <v>0</v>
      </c>
      <c r="N121">
        <v>0</v>
      </c>
      <c r="R121">
        <v>0</v>
      </c>
      <c r="S121">
        <v>0</v>
      </c>
      <c r="W121" t="s">
        <v>1060</v>
      </c>
      <c r="X121">
        <v>0</v>
      </c>
      <c r="Z121">
        <v>1</v>
      </c>
      <c r="AA121">
        <v>0</v>
      </c>
      <c r="AB121">
        <v>0</v>
      </c>
      <c r="AC121">
        <v>0</v>
      </c>
      <c r="AD121" s="20">
        <v>40785</v>
      </c>
      <c r="AE121">
        <v>0</v>
      </c>
      <c r="AF121">
        <v>0</v>
      </c>
      <c r="AH121">
        <v>0</v>
      </c>
      <c r="AJ121">
        <v>0</v>
      </c>
      <c r="AL121">
        <v>0</v>
      </c>
      <c r="AM121">
        <v>0</v>
      </c>
      <c r="AN121">
        <v>16601001</v>
      </c>
      <c r="AO121">
        <v>0</v>
      </c>
      <c r="AP121">
        <v>1000</v>
      </c>
      <c r="AT121">
        <v>0</v>
      </c>
      <c r="AU121" t="s">
        <v>1059</v>
      </c>
      <c r="AW121" t="s">
        <v>1053</v>
      </c>
      <c r="AX121">
        <v>0</v>
      </c>
      <c r="AY121" s="20">
        <v>40785</v>
      </c>
      <c r="BA121" s="20">
        <v>40785</v>
      </c>
      <c r="BB121" t="s">
        <v>1058</v>
      </c>
      <c r="BD121">
        <v>0</v>
      </c>
      <c r="BF121" t="s">
        <v>1043</v>
      </c>
      <c r="BG121" t="s">
        <v>1042</v>
      </c>
      <c r="BH121">
        <v>0</v>
      </c>
      <c r="BI121">
        <v>1</v>
      </c>
      <c r="BJ121">
        <v>0</v>
      </c>
      <c r="BK121">
        <v>0</v>
      </c>
      <c r="BM121" t="s">
        <v>1042</v>
      </c>
      <c r="BN121">
        <v>0</v>
      </c>
      <c r="BR121" t="s">
        <v>1043</v>
      </c>
      <c r="BS121" t="s">
        <v>1043</v>
      </c>
      <c r="BT121" t="s">
        <v>1043</v>
      </c>
      <c r="BW121">
        <v>83</v>
      </c>
      <c r="CA121">
        <v>0</v>
      </c>
      <c r="CB121" t="s">
        <v>1057</v>
      </c>
      <c r="CE121" t="s">
        <v>1043</v>
      </c>
      <c r="CH121" t="s">
        <v>1043</v>
      </c>
      <c r="CN121" t="s">
        <v>1056</v>
      </c>
      <c r="CO121" t="s">
        <v>1043</v>
      </c>
      <c r="CP121">
        <v>1</v>
      </c>
      <c r="CQ121">
        <v>0</v>
      </c>
      <c r="CS121">
        <v>0</v>
      </c>
      <c r="CT121">
        <v>0</v>
      </c>
      <c r="CU121">
        <v>0</v>
      </c>
      <c r="CV121" t="s">
        <v>1045</v>
      </c>
      <c r="CW121">
        <v>0</v>
      </c>
      <c r="CX121">
        <v>0</v>
      </c>
      <c r="CY121">
        <v>0</v>
      </c>
      <c r="CZ121">
        <v>0</v>
      </c>
      <c r="DB121">
        <v>0</v>
      </c>
      <c r="DC121" t="s">
        <v>1043</v>
      </c>
      <c r="DF121" t="s">
        <v>1055</v>
      </c>
      <c r="DH121">
        <v>0</v>
      </c>
      <c r="DJ121">
        <v>0</v>
      </c>
      <c r="DK121" t="s">
        <v>1053</v>
      </c>
      <c r="DL121">
        <v>0</v>
      </c>
      <c r="DN121">
        <v>0</v>
      </c>
      <c r="DO121" t="s">
        <v>1042</v>
      </c>
      <c r="DP121">
        <v>0</v>
      </c>
      <c r="DQ121">
        <v>0</v>
      </c>
      <c r="DS121">
        <v>0</v>
      </c>
      <c r="DU121">
        <v>0</v>
      </c>
      <c r="DW121">
        <v>0</v>
      </c>
      <c r="DX121" t="s">
        <v>1043</v>
      </c>
      <c r="DY121">
        <v>0</v>
      </c>
      <c r="DZ121">
        <v>0</v>
      </c>
      <c r="EA121">
        <v>0</v>
      </c>
      <c r="ED121" t="s">
        <v>1045</v>
      </c>
      <c r="EE121">
        <v>0</v>
      </c>
      <c r="EF121">
        <v>0</v>
      </c>
      <c r="EQ121" t="s">
        <v>1044</v>
      </c>
      <c r="ES121" t="s">
        <v>1053</v>
      </c>
      <c r="ET121">
        <v>0</v>
      </c>
      <c r="EV121">
        <v>0</v>
      </c>
      <c r="EY121" t="s">
        <v>1052</v>
      </c>
      <c r="EZ121">
        <v>0</v>
      </c>
      <c r="FA121" t="s">
        <v>1043</v>
      </c>
      <c r="FB121">
        <v>0</v>
      </c>
      <c r="FC121">
        <v>0</v>
      </c>
      <c r="FE121" t="s">
        <v>1050</v>
      </c>
      <c r="FF121">
        <v>0</v>
      </c>
      <c r="FG121" t="s">
        <v>1050</v>
      </c>
      <c r="FJ121">
        <v>0</v>
      </c>
      <c r="FK121">
        <v>0</v>
      </c>
      <c r="FP121">
        <v>0</v>
      </c>
      <c r="FR121">
        <v>0</v>
      </c>
      <c r="FS121" t="s">
        <v>1043</v>
      </c>
      <c r="FX121" t="s">
        <v>1042</v>
      </c>
      <c r="FZ121" t="s">
        <v>1048</v>
      </c>
      <c r="GA121">
        <v>0</v>
      </c>
      <c r="GB121" t="s">
        <v>1042</v>
      </c>
      <c r="GE121">
        <v>0</v>
      </c>
      <c r="GG121">
        <v>0</v>
      </c>
      <c r="GN121">
        <v>0</v>
      </c>
      <c r="GO121" t="s">
        <v>1063</v>
      </c>
      <c r="GQ121">
        <v>0</v>
      </c>
      <c r="GU121">
        <v>0</v>
      </c>
      <c r="GY121" t="s">
        <v>1045</v>
      </c>
      <c r="HB121">
        <v>0</v>
      </c>
      <c r="HE121">
        <v>0</v>
      </c>
      <c r="HF121">
        <v>0</v>
      </c>
      <c r="HG121">
        <v>0</v>
      </c>
      <c r="HK121" t="s">
        <v>1042</v>
      </c>
      <c r="HM121" t="s">
        <v>1047</v>
      </c>
      <c r="HN121">
        <v>0</v>
      </c>
      <c r="HP121">
        <v>0</v>
      </c>
      <c r="HQ121">
        <v>0</v>
      </c>
      <c r="HR121" t="s">
        <v>1042</v>
      </c>
      <c r="HS121" t="s">
        <v>1043</v>
      </c>
      <c r="HT121">
        <v>0</v>
      </c>
      <c r="HU121">
        <v>0</v>
      </c>
      <c r="HW121">
        <v>0</v>
      </c>
      <c r="HX121">
        <v>0</v>
      </c>
      <c r="HY121">
        <v>0</v>
      </c>
      <c r="HZ121" t="s">
        <v>1045</v>
      </c>
      <c r="IA121">
        <v>0</v>
      </c>
      <c r="IB121" t="s">
        <v>1045</v>
      </c>
      <c r="ID121" t="s">
        <v>1045</v>
      </c>
      <c r="IF121">
        <v>0</v>
      </c>
      <c r="IG121" t="s">
        <v>1042</v>
      </c>
      <c r="II121" t="s">
        <v>1042</v>
      </c>
      <c r="IR121" t="s">
        <v>1045</v>
      </c>
      <c r="IT121">
        <v>0</v>
      </c>
      <c r="IY121" t="s">
        <v>1044</v>
      </c>
      <c r="IZ121" t="s">
        <v>1043</v>
      </c>
      <c r="JC121" t="s">
        <v>1043</v>
      </c>
      <c r="JE121">
        <v>0</v>
      </c>
      <c r="JF121">
        <v>0</v>
      </c>
      <c r="JI121" t="s">
        <v>1042</v>
      </c>
      <c r="JJ121">
        <v>0</v>
      </c>
      <c r="JK121">
        <v>0</v>
      </c>
      <c r="JL121">
        <v>0</v>
      </c>
      <c r="JM121">
        <v>0</v>
      </c>
      <c r="JQ121" t="s">
        <v>1043</v>
      </c>
      <c r="JT121">
        <v>0</v>
      </c>
      <c r="JU121" t="s">
        <v>1042</v>
      </c>
      <c r="JW121">
        <v>0</v>
      </c>
      <c r="KA121">
        <v>0</v>
      </c>
      <c r="KF121">
        <v>0</v>
      </c>
      <c r="KG121">
        <v>0</v>
      </c>
      <c r="KH121">
        <v>0</v>
      </c>
      <c r="KI121">
        <v>0</v>
      </c>
      <c r="KS121" t="s">
        <v>1073</v>
      </c>
      <c r="KT121">
        <v>0</v>
      </c>
      <c r="KU121">
        <v>0</v>
      </c>
      <c r="KV121">
        <v>0</v>
      </c>
      <c r="KX121">
        <v>0</v>
      </c>
      <c r="KZ121">
        <v>0</v>
      </c>
      <c r="LF121">
        <v>0</v>
      </c>
      <c r="LH121">
        <v>0</v>
      </c>
      <c r="LI121">
        <v>0</v>
      </c>
    </row>
    <row r="122" spans="1:321" x14ac:dyDescent="0.35">
      <c r="A122">
        <v>1</v>
      </c>
      <c r="B122">
        <v>12356</v>
      </c>
      <c r="C122" t="s">
        <v>1586</v>
      </c>
      <c r="D122" t="s">
        <v>1139</v>
      </c>
      <c r="E122" t="s">
        <v>85</v>
      </c>
      <c r="F122">
        <v>80</v>
      </c>
      <c r="G122">
        <v>9000</v>
      </c>
      <c r="H122">
        <v>0</v>
      </c>
      <c r="I122" t="s">
        <v>1050</v>
      </c>
      <c r="L122">
        <v>0</v>
      </c>
      <c r="M122">
        <v>0</v>
      </c>
      <c r="N122">
        <v>0</v>
      </c>
      <c r="R122">
        <v>0</v>
      </c>
      <c r="S122">
        <v>0</v>
      </c>
      <c r="W122" t="s">
        <v>1060</v>
      </c>
      <c r="X122">
        <v>0</v>
      </c>
      <c r="Z122">
        <v>1</v>
      </c>
      <c r="AA122">
        <v>0</v>
      </c>
      <c r="AB122">
        <v>0</v>
      </c>
      <c r="AC122">
        <v>0</v>
      </c>
      <c r="AD122" s="20">
        <v>40785</v>
      </c>
      <c r="AE122">
        <v>0</v>
      </c>
      <c r="AF122">
        <v>0</v>
      </c>
      <c r="AH122">
        <v>0</v>
      </c>
      <c r="AJ122">
        <v>0</v>
      </c>
      <c r="AL122">
        <v>0</v>
      </c>
      <c r="AM122">
        <v>0</v>
      </c>
      <c r="AN122">
        <v>16601001</v>
      </c>
      <c r="AO122">
        <v>0</v>
      </c>
      <c r="AP122">
        <v>1000</v>
      </c>
      <c r="AT122">
        <v>0</v>
      </c>
      <c r="AU122" t="s">
        <v>1059</v>
      </c>
      <c r="AW122" t="s">
        <v>1053</v>
      </c>
      <c r="AX122">
        <v>0</v>
      </c>
      <c r="AY122" s="20">
        <v>40785</v>
      </c>
      <c r="BA122" s="20">
        <v>40785</v>
      </c>
      <c r="BB122" t="s">
        <v>1058</v>
      </c>
      <c r="BD122">
        <v>0</v>
      </c>
      <c r="BF122" t="s">
        <v>1043</v>
      </c>
      <c r="BG122" t="s">
        <v>1042</v>
      </c>
      <c r="BH122">
        <v>0</v>
      </c>
      <c r="BI122">
        <v>1</v>
      </c>
      <c r="BJ122">
        <v>0</v>
      </c>
      <c r="BK122">
        <v>0</v>
      </c>
      <c r="BM122" t="s">
        <v>1042</v>
      </c>
      <c r="BN122">
        <v>0</v>
      </c>
      <c r="BR122" t="s">
        <v>1043</v>
      </c>
      <c r="BS122" t="s">
        <v>1043</v>
      </c>
      <c r="BT122" t="s">
        <v>1043</v>
      </c>
      <c r="BW122">
        <v>83</v>
      </c>
      <c r="CA122">
        <v>0</v>
      </c>
      <c r="CB122" t="s">
        <v>1057</v>
      </c>
      <c r="CE122" t="s">
        <v>1043</v>
      </c>
      <c r="CH122" t="s">
        <v>1043</v>
      </c>
      <c r="CN122" t="s">
        <v>1056</v>
      </c>
      <c r="CO122" t="s">
        <v>1043</v>
      </c>
      <c r="CP122">
        <v>1</v>
      </c>
      <c r="CQ122">
        <v>0</v>
      </c>
      <c r="CS122">
        <v>0</v>
      </c>
      <c r="CT122">
        <v>0</v>
      </c>
      <c r="CU122">
        <v>0</v>
      </c>
      <c r="CV122" t="s">
        <v>1045</v>
      </c>
      <c r="CW122">
        <v>0</v>
      </c>
      <c r="CX122">
        <v>0</v>
      </c>
      <c r="CY122">
        <v>0</v>
      </c>
      <c r="CZ122">
        <v>0</v>
      </c>
      <c r="DB122">
        <v>0</v>
      </c>
      <c r="DC122" t="s">
        <v>1043</v>
      </c>
      <c r="DF122" t="s">
        <v>1055</v>
      </c>
      <c r="DH122">
        <v>0</v>
      </c>
      <c r="DJ122">
        <v>0</v>
      </c>
      <c r="DK122" t="s">
        <v>1053</v>
      </c>
      <c r="DL122">
        <v>0</v>
      </c>
      <c r="DN122">
        <v>0</v>
      </c>
      <c r="DO122" t="s">
        <v>1042</v>
      </c>
      <c r="DP122">
        <v>0</v>
      </c>
      <c r="DQ122">
        <v>0</v>
      </c>
      <c r="DS122">
        <v>0</v>
      </c>
      <c r="DU122">
        <v>0</v>
      </c>
      <c r="DW122">
        <v>0</v>
      </c>
      <c r="DX122" t="s">
        <v>1043</v>
      </c>
      <c r="DY122">
        <v>0</v>
      </c>
      <c r="DZ122">
        <v>0</v>
      </c>
      <c r="EA122">
        <v>0</v>
      </c>
      <c r="ED122" t="s">
        <v>1045</v>
      </c>
      <c r="EE122">
        <v>0</v>
      </c>
      <c r="EF122">
        <v>0</v>
      </c>
      <c r="EQ122" t="s">
        <v>1044</v>
      </c>
      <c r="ES122" t="s">
        <v>1053</v>
      </c>
      <c r="ET122">
        <v>0</v>
      </c>
      <c r="EV122">
        <v>0</v>
      </c>
      <c r="EY122" t="s">
        <v>1052</v>
      </c>
      <c r="EZ122">
        <v>0</v>
      </c>
      <c r="FA122" t="s">
        <v>1043</v>
      </c>
      <c r="FB122">
        <v>0</v>
      </c>
      <c r="FC122">
        <v>0</v>
      </c>
      <c r="FE122" t="s">
        <v>1050</v>
      </c>
      <c r="FF122">
        <v>0</v>
      </c>
      <c r="FG122" t="s">
        <v>1050</v>
      </c>
      <c r="FJ122">
        <v>0</v>
      </c>
      <c r="FK122">
        <v>0</v>
      </c>
      <c r="FP122">
        <v>0</v>
      </c>
      <c r="FR122">
        <v>0</v>
      </c>
      <c r="FS122" t="s">
        <v>1043</v>
      </c>
      <c r="FX122" t="s">
        <v>1042</v>
      </c>
      <c r="FZ122" t="s">
        <v>1048</v>
      </c>
      <c r="GA122">
        <v>0</v>
      </c>
      <c r="GB122" t="s">
        <v>1042</v>
      </c>
      <c r="GE122">
        <v>0</v>
      </c>
      <c r="GG122">
        <v>0</v>
      </c>
      <c r="GN122">
        <v>0</v>
      </c>
      <c r="GO122" t="s">
        <v>1063</v>
      </c>
      <c r="GQ122">
        <v>0</v>
      </c>
      <c r="GU122">
        <v>0</v>
      </c>
      <c r="GY122" t="s">
        <v>1045</v>
      </c>
      <c r="HB122">
        <v>0</v>
      </c>
      <c r="HE122">
        <v>0</v>
      </c>
      <c r="HF122">
        <v>0</v>
      </c>
      <c r="HG122">
        <v>0</v>
      </c>
      <c r="HK122" t="s">
        <v>1042</v>
      </c>
      <c r="HM122" t="s">
        <v>1047</v>
      </c>
      <c r="HN122">
        <v>0</v>
      </c>
      <c r="HP122">
        <v>0</v>
      </c>
      <c r="HQ122">
        <v>0</v>
      </c>
      <c r="HR122" t="s">
        <v>1042</v>
      </c>
      <c r="HS122" t="s">
        <v>1043</v>
      </c>
      <c r="HT122">
        <v>0</v>
      </c>
      <c r="HU122">
        <v>0</v>
      </c>
      <c r="HW122">
        <v>0</v>
      </c>
      <c r="HX122">
        <v>0</v>
      </c>
      <c r="HY122">
        <v>0</v>
      </c>
      <c r="HZ122" t="s">
        <v>1045</v>
      </c>
      <c r="IA122">
        <v>0</v>
      </c>
      <c r="IB122" t="s">
        <v>1045</v>
      </c>
      <c r="ID122" t="s">
        <v>1045</v>
      </c>
      <c r="IF122">
        <v>0</v>
      </c>
      <c r="IG122" t="s">
        <v>1042</v>
      </c>
      <c r="II122" t="s">
        <v>1042</v>
      </c>
      <c r="IR122" t="s">
        <v>1045</v>
      </c>
      <c r="IT122">
        <v>0</v>
      </c>
      <c r="IY122" t="s">
        <v>1044</v>
      </c>
      <c r="IZ122" t="s">
        <v>1043</v>
      </c>
      <c r="JC122" t="s">
        <v>1043</v>
      </c>
      <c r="JE122">
        <v>0</v>
      </c>
      <c r="JF122">
        <v>0</v>
      </c>
      <c r="JI122" t="s">
        <v>1042</v>
      </c>
      <c r="JJ122">
        <v>0</v>
      </c>
      <c r="JK122">
        <v>0</v>
      </c>
      <c r="JL122">
        <v>0</v>
      </c>
      <c r="JM122">
        <v>0</v>
      </c>
      <c r="JQ122" t="s">
        <v>1043</v>
      </c>
      <c r="JT122">
        <v>0</v>
      </c>
      <c r="JU122" t="s">
        <v>1042</v>
      </c>
      <c r="JW122">
        <v>0</v>
      </c>
      <c r="KA122">
        <v>0</v>
      </c>
      <c r="KF122">
        <v>0</v>
      </c>
      <c r="KG122">
        <v>0</v>
      </c>
      <c r="KH122">
        <v>0</v>
      </c>
      <c r="KI122">
        <v>0</v>
      </c>
      <c r="KS122" t="s">
        <v>1073</v>
      </c>
      <c r="KT122">
        <v>0</v>
      </c>
      <c r="KU122">
        <v>0</v>
      </c>
      <c r="KV122">
        <v>0</v>
      </c>
      <c r="KX122">
        <v>0</v>
      </c>
      <c r="KZ122">
        <v>0</v>
      </c>
      <c r="LF122">
        <v>0</v>
      </c>
      <c r="LH122">
        <v>0</v>
      </c>
      <c r="LI122">
        <v>0</v>
      </c>
    </row>
    <row r="123" spans="1:321" x14ac:dyDescent="0.35">
      <c r="A123">
        <v>1</v>
      </c>
      <c r="B123">
        <v>12357</v>
      </c>
      <c r="C123" t="s">
        <v>1585</v>
      </c>
      <c r="D123" t="s">
        <v>1139</v>
      </c>
      <c r="E123" t="s">
        <v>85</v>
      </c>
      <c r="F123">
        <v>80</v>
      </c>
      <c r="G123">
        <v>9000</v>
      </c>
      <c r="H123">
        <v>0</v>
      </c>
      <c r="I123" t="s">
        <v>1583</v>
      </c>
      <c r="L123">
        <v>0</v>
      </c>
      <c r="M123">
        <v>0</v>
      </c>
      <c r="N123">
        <v>0</v>
      </c>
      <c r="R123">
        <v>0</v>
      </c>
      <c r="S123">
        <v>0</v>
      </c>
      <c r="W123" t="s">
        <v>1060</v>
      </c>
      <c r="X123">
        <v>0</v>
      </c>
      <c r="Z123">
        <v>1</v>
      </c>
      <c r="AA123">
        <v>0</v>
      </c>
      <c r="AB123">
        <v>0</v>
      </c>
      <c r="AC123">
        <v>1.3919999999999999</v>
      </c>
      <c r="AD123" s="20">
        <v>40785</v>
      </c>
      <c r="AE123">
        <v>75.8</v>
      </c>
      <c r="AF123">
        <v>0</v>
      </c>
      <c r="AH123">
        <v>0</v>
      </c>
      <c r="AJ123">
        <v>0</v>
      </c>
      <c r="AL123">
        <v>0</v>
      </c>
      <c r="AM123">
        <v>0</v>
      </c>
      <c r="AN123">
        <v>16601001</v>
      </c>
      <c r="AO123">
        <v>0</v>
      </c>
      <c r="AP123">
        <v>1000</v>
      </c>
      <c r="AT123">
        <v>0</v>
      </c>
      <c r="AU123" t="s">
        <v>1059</v>
      </c>
      <c r="AW123" t="s">
        <v>1053</v>
      </c>
      <c r="AX123">
        <v>0</v>
      </c>
      <c r="AY123" s="20">
        <v>40785</v>
      </c>
      <c r="BA123" s="20">
        <v>40785</v>
      </c>
      <c r="BB123" t="s">
        <v>1058</v>
      </c>
      <c r="BD123">
        <v>0</v>
      </c>
      <c r="BF123" t="s">
        <v>1043</v>
      </c>
      <c r="BG123" t="s">
        <v>1042</v>
      </c>
      <c r="BH123">
        <v>0</v>
      </c>
      <c r="BI123">
        <v>1</v>
      </c>
      <c r="BJ123">
        <v>0</v>
      </c>
      <c r="BK123">
        <v>0</v>
      </c>
      <c r="BM123" t="s">
        <v>1042</v>
      </c>
      <c r="BN123">
        <v>0</v>
      </c>
      <c r="BR123" t="s">
        <v>1043</v>
      </c>
      <c r="BS123" t="s">
        <v>1043</v>
      </c>
      <c r="BT123" t="s">
        <v>1043</v>
      </c>
      <c r="BW123">
        <v>83</v>
      </c>
      <c r="CA123">
        <v>0</v>
      </c>
      <c r="CB123" t="s">
        <v>1057</v>
      </c>
      <c r="CE123" t="s">
        <v>1043</v>
      </c>
      <c r="CH123" t="s">
        <v>1043</v>
      </c>
      <c r="CN123" t="s">
        <v>1056</v>
      </c>
      <c r="CO123" t="s">
        <v>1043</v>
      </c>
      <c r="CP123">
        <v>1</v>
      </c>
      <c r="CQ123">
        <v>0</v>
      </c>
      <c r="CS123">
        <v>0</v>
      </c>
      <c r="CT123">
        <v>0</v>
      </c>
      <c r="CU123">
        <v>0</v>
      </c>
      <c r="CV123" t="s">
        <v>1045</v>
      </c>
      <c r="CW123">
        <v>0</v>
      </c>
      <c r="CX123">
        <v>0</v>
      </c>
      <c r="CY123">
        <v>0</v>
      </c>
      <c r="CZ123">
        <v>0</v>
      </c>
      <c r="DB123">
        <v>0</v>
      </c>
      <c r="DC123" t="s">
        <v>1043</v>
      </c>
      <c r="DF123" t="s">
        <v>1055</v>
      </c>
      <c r="DH123">
        <v>0</v>
      </c>
      <c r="DJ123">
        <v>0</v>
      </c>
      <c r="DK123" t="s">
        <v>1053</v>
      </c>
      <c r="DL123">
        <v>0</v>
      </c>
      <c r="DN123">
        <v>0</v>
      </c>
      <c r="DO123" t="s">
        <v>1042</v>
      </c>
      <c r="DP123">
        <v>0</v>
      </c>
      <c r="DQ123">
        <v>0</v>
      </c>
      <c r="DS123">
        <v>0</v>
      </c>
      <c r="DU123">
        <v>0</v>
      </c>
      <c r="DW123">
        <v>0</v>
      </c>
      <c r="DX123" t="s">
        <v>1043</v>
      </c>
      <c r="DY123">
        <v>0</v>
      </c>
      <c r="DZ123">
        <v>0</v>
      </c>
      <c r="EA123">
        <v>0</v>
      </c>
      <c r="ED123" t="s">
        <v>1045</v>
      </c>
      <c r="EE123">
        <v>0</v>
      </c>
      <c r="EF123">
        <v>0</v>
      </c>
      <c r="EQ123" t="s">
        <v>1044</v>
      </c>
      <c r="ES123" t="s">
        <v>1053</v>
      </c>
      <c r="ET123">
        <v>0</v>
      </c>
      <c r="EV123">
        <v>0</v>
      </c>
      <c r="EY123" t="s">
        <v>1052</v>
      </c>
      <c r="EZ123">
        <v>0</v>
      </c>
      <c r="FA123" t="s">
        <v>1043</v>
      </c>
      <c r="FB123">
        <v>0</v>
      </c>
      <c r="FC123">
        <v>0</v>
      </c>
      <c r="FE123" t="s">
        <v>1050</v>
      </c>
      <c r="FF123">
        <v>0</v>
      </c>
      <c r="FG123" t="s">
        <v>1050</v>
      </c>
      <c r="FJ123">
        <v>0</v>
      </c>
      <c r="FK123">
        <v>0</v>
      </c>
      <c r="FP123">
        <v>0</v>
      </c>
      <c r="FR123">
        <v>0</v>
      </c>
      <c r="FS123" t="s">
        <v>1043</v>
      </c>
      <c r="FX123" t="s">
        <v>1042</v>
      </c>
      <c r="FZ123" t="s">
        <v>1048</v>
      </c>
      <c r="GA123">
        <v>0</v>
      </c>
      <c r="GB123" t="s">
        <v>1042</v>
      </c>
      <c r="GE123">
        <v>0</v>
      </c>
      <c r="GG123">
        <v>0</v>
      </c>
      <c r="GN123">
        <v>0</v>
      </c>
      <c r="GO123" t="s">
        <v>1063</v>
      </c>
      <c r="GQ123">
        <v>0</v>
      </c>
      <c r="GU123">
        <v>0</v>
      </c>
      <c r="GY123" t="s">
        <v>1045</v>
      </c>
      <c r="HB123">
        <v>0</v>
      </c>
      <c r="HE123">
        <v>0</v>
      </c>
      <c r="HF123">
        <v>0</v>
      </c>
      <c r="HG123">
        <v>0</v>
      </c>
      <c r="HK123" t="s">
        <v>1042</v>
      </c>
      <c r="HM123" t="s">
        <v>1047</v>
      </c>
      <c r="HN123">
        <v>0</v>
      </c>
      <c r="HP123">
        <v>0</v>
      </c>
      <c r="HQ123">
        <v>0</v>
      </c>
      <c r="HR123" t="s">
        <v>1042</v>
      </c>
      <c r="HS123" t="s">
        <v>1043</v>
      </c>
      <c r="HT123">
        <v>0</v>
      </c>
      <c r="HU123">
        <v>0</v>
      </c>
      <c r="HW123">
        <v>0</v>
      </c>
      <c r="HX123">
        <v>0</v>
      </c>
      <c r="HY123">
        <v>0</v>
      </c>
      <c r="HZ123" t="s">
        <v>1045</v>
      </c>
      <c r="IA123">
        <v>0</v>
      </c>
      <c r="IB123" t="s">
        <v>1045</v>
      </c>
      <c r="ID123" t="s">
        <v>1045</v>
      </c>
      <c r="IF123">
        <v>0</v>
      </c>
      <c r="IG123" t="s">
        <v>1042</v>
      </c>
      <c r="II123" t="s">
        <v>1042</v>
      </c>
      <c r="IR123" t="s">
        <v>1045</v>
      </c>
      <c r="IT123">
        <v>0</v>
      </c>
      <c r="IY123" t="s">
        <v>1044</v>
      </c>
      <c r="IZ123" t="s">
        <v>1043</v>
      </c>
      <c r="JC123" t="s">
        <v>1043</v>
      </c>
      <c r="JE123">
        <v>0</v>
      </c>
      <c r="JF123">
        <v>0</v>
      </c>
      <c r="JI123" t="s">
        <v>1042</v>
      </c>
      <c r="JJ123">
        <v>0</v>
      </c>
      <c r="JK123">
        <v>0</v>
      </c>
      <c r="JL123">
        <v>0</v>
      </c>
      <c r="JM123">
        <v>0</v>
      </c>
      <c r="JQ123" t="s">
        <v>1043</v>
      </c>
      <c r="JT123">
        <v>0</v>
      </c>
      <c r="JU123" t="s">
        <v>1042</v>
      </c>
      <c r="JW123">
        <v>0</v>
      </c>
      <c r="KA123">
        <v>0</v>
      </c>
      <c r="KF123">
        <v>0</v>
      </c>
      <c r="KG123">
        <v>0</v>
      </c>
      <c r="KH123">
        <v>0</v>
      </c>
      <c r="KI123">
        <v>0</v>
      </c>
      <c r="KS123" t="s">
        <v>1073</v>
      </c>
      <c r="KT123">
        <v>0</v>
      </c>
      <c r="KU123">
        <v>0</v>
      </c>
      <c r="KV123">
        <v>0</v>
      </c>
      <c r="KX123">
        <v>0</v>
      </c>
      <c r="KZ123">
        <v>0</v>
      </c>
      <c r="LF123">
        <v>0</v>
      </c>
      <c r="LH123">
        <v>0</v>
      </c>
      <c r="LI123">
        <v>0</v>
      </c>
    </row>
    <row r="124" spans="1:321" x14ac:dyDescent="0.35">
      <c r="A124">
        <v>1</v>
      </c>
      <c r="B124">
        <v>12358</v>
      </c>
      <c r="C124" t="s">
        <v>1584</v>
      </c>
      <c r="D124" t="s">
        <v>1139</v>
      </c>
      <c r="E124" t="s">
        <v>85</v>
      </c>
      <c r="F124">
        <v>80</v>
      </c>
      <c r="G124">
        <v>9000</v>
      </c>
      <c r="H124">
        <v>0</v>
      </c>
      <c r="I124" t="s">
        <v>1583</v>
      </c>
      <c r="L124">
        <v>0</v>
      </c>
      <c r="M124">
        <v>0</v>
      </c>
      <c r="N124">
        <v>0</v>
      </c>
      <c r="R124">
        <v>0</v>
      </c>
      <c r="S124">
        <v>0</v>
      </c>
      <c r="W124" t="s">
        <v>1060</v>
      </c>
      <c r="X124">
        <v>0</v>
      </c>
      <c r="Z124">
        <v>1</v>
      </c>
      <c r="AA124">
        <v>0</v>
      </c>
      <c r="AB124">
        <v>0</v>
      </c>
      <c r="AC124">
        <v>146.56</v>
      </c>
      <c r="AD124" s="20">
        <v>40785</v>
      </c>
      <c r="AE124">
        <v>141</v>
      </c>
      <c r="AF124">
        <v>0</v>
      </c>
      <c r="AH124">
        <v>0</v>
      </c>
      <c r="AJ124">
        <v>0</v>
      </c>
      <c r="AL124">
        <v>0</v>
      </c>
      <c r="AM124">
        <v>0</v>
      </c>
      <c r="AN124">
        <v>16601001</v>
      </c>
      <c r="AO124">
        <v>0</v>
      </c>
      <c r="AP124">
        <v>1000</v>
      </c>
      <c r="AT124">
        <v>0</v>
      </c>
      <c r="AU124" t="s">
        <v>1059</v>
      </c>
      <c r="AW124" t="s">
        <v>1053</v>
      </c>
      <c r="AX124">
        <v>0</v>
      </c>
      <c r="AY124" s="20">
        <v>40785</v>
      </c>
      <c r="BA124" s="20">
        <v>40785</v>
      </c>
      <c r="BB124" t="s">
        <v>1058</v>
      </c>
      <c r="BD124">
        <v>0</v>
      </c>
      <c r="BF124" t="s">
        <v>1043</v>
      </c>
      <c r="BG124" t="s">
        <v>1042</v>
      </c>
      <c r="BH124">
        <v>0</v>
      </c>
      <c r="BI124">
        <v>1</v>
      </c>
      <c r="BJ124">
        <v>0</v>
      </c>
      <c r="BK124">
        <v>0</v>
      </c>
      <c r="BM124" t="s">
        <v>1042</v>
      </c>
      <c r="BN124">
        <v>0</v>
      </c>
      <c r="BR124" t="s">
        <v>1043</v>
      </c>
      <c r="BS124" t="s">
        <v>1043</v>
      </c>
      <c r="BT124" t="s">
        <v>1043</v>
      </c>
      <c r="BW124">
        <v>83</v>
      </c>
      <c r="CA124">
        <v>0</v>
      </c>
      <c r="CB124" t="s">
        <v>1057</v>
      </c>
      <c r="CE124" t="s">
        <v>1043</v>
      </c>
      <c r="CH124" t="s">
        <v>1043</v>
      </c>
      <c r="CN124" t="s">
        <v>1056</v>
      </c>
      <c r="CO124" t="s">
        <v>1043</v>
      </c>
      <c r="CP124">
        <v>1</v>
      </c>
      <c r="CQ124">
        <v>0</v>
      </c>
      <c r="CS124">
        <v>0</v>
      </c>
      <c r="CT124">
        <v>0</v>
      </c>
      <c r="CU124">
        <v>0</v>
      </c>
      <c r="CV124" t="s">
        <v>1045</v>
      </c>
      <c r="CW124">
        <v>0</v>
      </c>
      <c r="CX124">
        <v>0</v>
      </c>
      <c r="CY124">
        <v>0</v>
      </c>
      <c r="CZ124">
        <v>0</v>
      </c>
      <c r="DB124">
        <v>0</v>
      </c>
      <c r="DC124" t="s">
        <v>1043</v>
      </c>
      <c r="DF124" t="s">
        <v>1055</v>
      </c>
      <c r="DH124">
        <v>0</v>
      </c>
      <c r="DJ124">
        <v>0</v>
      </c>
      <c r="DK124" t="s">
        <v>1053</v>
      </c>
      <c r="DL124">
        <v>0</v>
      </c>
      <c r="DN124">
        <v>0</v>
      </c>
      <c r="DO124" t="s">
        <v>1042</v>
      </c>
      <c r="DP124">
        <v>0</v>
      </c>
      <c r="DQ124">
        <v>0</v>
      </c>
      <c r="DS124">
        <v>0</v>
      </c>
      <c r="DU124">
        <v>0</v>
      </c>
      <c r="DW124">
        <v>0</v>
      </c>
      <c r="DX124" t="s">
        <v>1043</v>
      </c>
      <c r="DY124">
        <v>0</v>
      </c>
      <c r="DZ124">
        <v>0</v>
      </c>
      <c r="EA124">
        <v>0</v>
      </c>
      <c r="ED124" t="s">
        <v>1045</v>
      </c>
      <c r="EE124">
        <v>0</v>
      </c>
      <c r="EF124">
        <v>0</v>
      </c>
      <c r="EQ124" t="s">
        <v>1044</v>
      </c>
      <c r="ES124" t="s">
        <v>1053</v>
      </c>
      <c r="ET124">
        <v>0</v>
      </c>
      <c r="EV124">
        <v>0</v>
      </c>
      <c r="EY124" t="s">
        <v>1052</v>
      </c>
      <c r="EZ124">
        <v>0</v>
      </c>
      <c r="FA124" t="s">
        <v>1043</v>
      </c>
      <c r="FB124">
        <v>0</v>
      </c>
      <c r="FC124">
        <v>0</v>
      </c>
      <c r="FE124" t="s">
        <v>1050</v>
      </c>
      <c r="FF124">
        <v>0</v>
      </c>
      <c r="FG124" t="s">
        <v>1050</v>
      </c>
      <c r="FJ124">
        <v>0</v>
      </c>
      <c r="FK124">
        <v>0</v>
      </c>
      <c r="FP124">
        <v>0</v>
      </c>
      <c r="FR124">
        <v>0</v>
      </c>
      <c r="FS124" t="s">
        <v>1043</v>
      </c>
      <c r="FX124" t="s">
        <v>1042</v>
      </c>
      <c r="FZ124" t="s">
        <v>1048</v>
      </c>
      <c r="GA124">
        <v>0</v>
      </c>
      <c r="GB124" t="s">
        <v>1042</v>
      </c>
      <c r="GE124">
        <v>0</v>
      </c>
      <c r="GG124">
        <v>0</v>
      </c>
      <c r="GN124">
        <v>0</v>
      </c>
      <c r="GO124" t="s">
        <v>1063</v>
      </c>
      <c r="GQ124">
        <v>0</v>
      </c>
      <c r="GU124">
        <v>0</v>
      </c>
      <c r="GY124" t="s">
        <v>1045</v>
      </c>
      <c r="HB124">
        <v>0</v>
      </c>
      <c r="HE124">
        <v>0</v>
      </c>
      <c r="HF124">
        <v>0</v>
      </c>
      <c r="HG124">
        <v>0</v>
      </c>
      <c r="HK124" t="s">
        <v>1042</v>
      </c>
      <c r="HM124" t="s">
        <v>1047</v>
      </c>
      <c r="HN124">
        <v>0</v>
      </c>
      <c r="HP124">
        <v>0</v>
      </c>
      <c r="HQ124">
        <v>0</v>
      </c>
      <c r="HR124" t="s">
        <v>1042</v>
      </c>
      <c r="HS124" t="s">
        <v>1043</v>
      </c>
      <c r="HT124">
        <v>0</v>
      </c>
      <c r="HU124">
        <v>0</v>
      </c>
      <c r="HW124">
        <v>0</v>
      </c>
      <c r="HX124">
        <v>0</v>
      </c>
      <c r="HY124">
        <v>0</v>
      </c>
      <c r="HZ124" t="s">
        <v>1045</v>
      </c>
      <c r="IA124">
        <v>0</v>
      </c>
      <c r="IB124" t="s">
        <v>1045</v>
      </c>
      <c r="ID124" t="s">
        <v>1045</v>
      </c>
      <c r="IF124">
        <v>0</v>
      </c>
      <c r="IG124" t="s">
        <v>1042</v>
      </c>
      <c r="II124" t="s">
        <v>1042</v>
      </c>
      <c r="IR124" t="s">
        <v>1045</v>
      </c>
      <c r="IT124">
        <v>0</v>
      </c>
      <c r="IY124" t="s">
        <v>1044</v>
      </c>
      <c r="IZ124" t="s">
        <v>1043</v>
      </c>
      <c r="JC124" t="s">
        <v>1043</v>
      </c>
      <c r="JE124">
        <v>0</v>
      </c>
      <c r="JF124">
        <v>0</v>
      </c>
      <c r="JI124" t="s">
        <v>1042</v>
      </c>
      <c r="JJ124">
        <v>0</v>
      </c>
      <c r="JK124">
        <v>0</v>
      </c>
      <c r="JL124">
        <v>0</v>
      </c>
      <c r="JM124">
        <v>0</v>
      </c>
      <c r="JQ124" t="s">
        <v>1043</v>
      </c>
      <c r="JT124">
        <v>0</v>
      </c>
      <c r="JU124" t="s">
        <v>1042</v>
      </c>
      <c r="JW124">
        <v>0</v>
      </c>
      <c r="KA124">
        <v>0</v>
      </c>
      <c r="KF124">
        <v>0</v>
      </c>
      <c r="KG124">
        <v>0</v>
      </c>
      <c r="KH124">
        <v>0</v>
      </c>
      <c r="KI124">
        <v>0</v>
      </c>
      <c r="KS124" t="s">
        <v>1073</v>
      </c>
      <c r="KT124">
        <v>0</v>
      </c>
      <c r="KU124">
        <v>0</v>
      </c>
      <c r="KV124">
        <v>0</v>
      </c>
      <c r="KX124">
        <v>0</v>
      </c>
      <c r="KZ124">
        <v>0</v>
      </c>
      <c r="LF124">
        <v>0</v>
      </c>
      <c r="LH124">
        <v>0</v>
      </c>
      <c r="LI124">
        <v>0</v>
      </c>
    </row>
    <row r="125" spans="1:321" x14ac:dyDescent="0.35">
      <c r="A125">
        <v>1</v>
      </c>
      <c r="B125">
        <v>12359</v>
      </c>
      <c r="C125" t="s">
        <v>1582</v>
      </c>
      <c r="D125" t="s">
        <v>1139</v>
      </c>
      <c r="E125" t="s">
        <v>85</v>
      </c>
      <c r="F125">
        <v>80</v>
      </c>
      <c r="G125">
        <v>9000</v>
      </c>
      <c r="H125">
        <v>0</v>
      </c>
      <c r="I125" t="s">
        <v>1578</v>
      </c>
      <c r="L125">
        <v>0</v>
      </c>
      <c r="M125">
        <v>0</v>
      </c>
      <c r="N125">
        <v>0</v>
      </c>
      <c r="R125">
        <v>0</v>
      </c>
      <c r="S125">
        <v>0</v>
      </c>
      <c r="W125" t="s">
        <v>1060</v>
      </c>
      <c r="X125">
        <v>0</v>
      </c>
      <c r="Z125">
        <v>1</v>
      </c>
      <c r="AA125">
        <v>0</v>
      </c>
      <c r="AB125">
        <v>0</v>
      </c>
      <c r="AC125">
        <v>2.39</v>
      </c>
      <c r="AD125" s="20">
        <v>40785</v>
      </c>
      <c r="AE125">
        <v>2.2999999999999998</v>
      </c>
      <c r="AF125">
        <v>0</v>
      </c>
      <c r="AH125">
        <v>0</v>
      </c>
      <c r="AJ125">
        <v>0</v>
      </c>
      <c r="AL125">
        <v>0</v>
      </c>
      <c r="AM125">
        <v>0</v>
      </c>
      <c r="AN125">
        <v>16601001</v>
      </c>
      <c r="AO125">
        <v>0</v>
      </c>
      <c r="AP125">
        <v>1000</v>
      </c>
      <c r="AT125">
        <v>0</v>
      </c>
      <c r="AU125" t="s">
        <v>1059</v>
      </c>
      <c r="AW125" t="s">
        <v>1053</v>
      </c>
      <c r="AX125">
        <v>0</v>
      </c>
      <c r="AY125" s="20">
        <v>40785</v>
      </c>
      <c r="BA125" s="20">
        <v>40785</v>
      </c>
      <c r="BB125" t="s">
        <v>1058</v>
      </c>
      <c r="BD125">
        <v>0</v>
      </c>
      <c r="BF125" t="s">
        <v>1043</v>
      </c>
      <c r="BG125" t="s">
        <v>1042</v>
      </c>
      <c r="BH125">
        <v>0</v>
      </c>
      <c r="BI125">
        <v>1</v>
      </c>
      <c r="BJ125">
        <v>0</v>
      </c>
      <c r="BK125">
        <v>0</v>
      </c>
      <c r="BM125" t="s">
        <v>1042</v>
      </c>
      <c r="BN125">
        <v>0</v>
      </c>
      <c r="BR125" t="s">
        <v>1043</v>
      </c>
      <c r="BS125" t="s">
        <v>1043</v>
      </c>
      <c r="BT125" t="s">
        <v>1043</v>
      </c>
      <c r="BW125">
        <v>83</v>
      </c>
      <c r="CA125">
        <v>0</v>
      </c>
      <c r="CB125" t="s">
        <v>1057</v>
      </c>
      <c r="CE125" t="s">
        <v>1043</v>
      </c>
      <c r="CH125" t="s">
        <v>1043</v>
      </c>
      <c r="CN125" t="s">
        <v>1056</v>
      </c>
      <c r="CO125" t="s">
        <v>1043</v>
      </c>
      <c r="CP125">
        <v>1</v>
      </c>
      <c r="CQ125">
        <v>0</v>
      </c>
      <c r="CS125">
        <v>0</v>
      </c>
      <c r="CT125">
        <v>0</v>
      </c>
      <c r="CU125">
        <v>0</v>
      </c>
      <c r="CV125" t="s">
        <v>1045</v>
      </c>
      <c r="CW125">
        <v>0</v>
      </c>
      <c r="CX125">
        <v>0</v>
      </c>
      <c r="CY125">
        <v>0</v>
      </c>
      <c r="CZ125">
        <v>0</v>
      </c>
      <c r="DB125">
        <v>0</v>
      </c>
      <c r="DC125" t="s">
        <v>1043</v>
      </c>
      <c r="DF125" t="s">
        <v>1055</v>
      </c>
      <c r="DH125">
        <v>0</v>
      </c>
      <c r="DJ125">
        <v>0</v>
      </c>
      <c r="DK125" t="s">
        <v>1053</v>
      </c>
      <c r="DL125">
        <v>0</v>
      </c>
      <c r="DN125">
        <v>0</v>
      </c>
      <c r="DO125" t="s">
        <v>1042</v>
      </c>
      <c r="DP125">
        <v>0</v>
      </c>
      <c r="DQ125">
        <v>0</v>
      </c>
      <c r="DS125">
        <v>0</v>
      </c>
      <c r="DU125">
        <v>0</v>
      </c>
      <c r="DW125">
        <v>0</v>
      </c>
      <c r="DX125" t="s">
        <v>1043</v>
      </c>
      <c r="DY125">
        <v>0</v>
      </c>
      <c r="DZ125">
        <v>0</v>
      </c>
      <c r="EA125">
        <v>0</v>
      </c>
      <c r="ED125" t="s">
        <v>1045</v>
      </c>
      <c r="EE125">
        <v>0</v>
      </c>
      <c r="EF125">
        <v>0</v>
      </c>
      <c r="EQ125" t="s">
        <v>1044</v>
      </c>
      <c r="ES125" t="s">
        <v>1053</v>
      </c>
      <c r="ET125">
        <v>0</v>
      </c>
      <c r="EV125">
        <v>0</v>
      </c>
      <c r="EY125" t="s">
        <v>1052</v>
      </c>
      <c r="EZ125">
        <v>0</v>
      </c>
      <c r="FA125" t="s">
        <v>1043</v>
      </c>
      <c r="FB125">
        <v>0</v>
      </c>
      <c r="FC125">
        <v>0</v>
      </c>
      <c r="FE125" t="s">
        <v>1050</v>
      </c>
      <c r="FF125">
        <v>0</v>
      </c>
      <c r="FG125" t="s">
        <v>1050</v>
      </c>
      <c r="FJ125">
        <v>0</v>
      </c>
      <c r="FK125">
        <v>0</v>
      </c>
      <c r="FP125">
        <v>0</v>
      </c>
      <c r="FR125">
        <v>0</v>
      </c>
      <c r="FS125" t="s">
        <v>1043</v>
      </c>
      <c r="FX125" t="s">
        <v>1042</v>
      </c>
      <c r="FZ125" t="s">
        <v>1048</v>
      </c>
      <c r="GA125">
        <v>0</v>
      </c>
      <c r="GB125" t="s">
        <v>1042</v>
      </c>
      <c r="GE125">
        <v>0</v>
      </c>
      <c r="GG125">
        <v>0</v>
      </c>
      <c r="GN125">
        <v>0</v>
      </c>
      <c r="GO125" t="s">
        <v>1063</v>
      </c>
      <c r="GQ125">
        <v>0</v>
      </c>
      <c r="GU125">
        <v>0</v>
      </c>
      <c r="GY125" t="s">
        <v>1045</v>
      </c>
      <c r="HB125">
        <v>0</v>
      </c>
      <c r="HE125">
        <v>0</v>
      </c>
      <c r="HF125">
        <v>0</v>
      </c>
      <c r="HG125">
        <v>0</v>
      </c>
      <c r="HK125" t="s">
        <v>1042</v>
      </c>
      <c r="HM125" t="s">
        <v>1047</v>
      </c>
      <c r="HN125">
        <v>0</v>
      </c>
      <c r="HP125">
        <v>0</v>
      </c>
      <c r="HQ125">
        <v>0</v>
      </c>
      <c r="HR125" t="s">
        <v>1042</v>
      </c>
      <c r="HS125" t="s">
        <v>1043</v>
      </c>
      <c r="HT125">
        <v>0</v>
      </c>
      <c r="HU125">
        <v>0</v>
      </c>
      <c r="HW125">
        <v>0</v>
      </c>
      <c r="HX125">
        <v>0</v>
      </c>
      <c r="HY125">
        <v>0</v>
      </c>
      <c r="HZ125" t="s">
        <v>1045</v>
      </c>
      <c r="IA125">
        <v>0</v>
      </c>
      <c r="IB125" t="s">
        <v>1045</v>
      </c>
      <c r="ID125" t="s">
        <v>1045</v>
      </c>
      <c r="IF125">
        <v>0</v>
      </c>
      <c r="IG125" t="s">
        <v>1042</v>
      </c>
      <c r="II125" t="s">
        <v>1042</v>
      </c>
      <c r="IR125" t="s">
        <v>1045</v>
      </c>
      <c r="IT125">
        <v>0</v>
      </c>
      <c r="IY125" t="s">
        <v>1044</v>
      </c>
      <c r="IZ125" t="s">
        <v>1043</v>
      </c>
      <c r="JC125" t="s">
        <v>1043</v>
      </c>
      <c r="JE125">
        <v>0</v>
      </c>
      <c r="JF125">
        <v>0</v>
      </c>
      <c r="JI125" t="s">
        <v>1042</v>
      </c>
      <c r="JJ125">
        <v>0</v>
      </c>
      <c r="JK125">
        <v>0</v>
      </c>
      <c r="JL125">
        <v>0</v>
      </c>
      <c r="JM125">
        <v>0</v>
      </c>
      <c r="JQ125" t="s">
        <v>1043</v>
      </c>
      <c r="JT125">
        <v>0</v>
      </c>
      <c r="JU125" t="s">
        <v>1042</v>
      </c>
      <c r="JW125">
        <v>0</v>
      </c>
      <c r="KA125">
        <v>0</v>
      </c>
      <c r="KF125">
        <v>0</v>
      </c>
      <c r="KG125">
        <v>0</v>
      </c>
      <c r="KH125">
        <v>0</v>
      </c>
      <c r="KI125">
        <v>0</v>
      </c>
      <c r="KS125" t="s">
        <v>1073</v>
      </c>
      <c r="KT125">
        <v>0</v>
      </c>
      <c r="KU125">
        <v>0</v>
      </c>
      <c r="KV125">
        <v>0</v>
      </c>
      <c r="KX125">
        <v>0</v>
      </c>
      <c r="KZ125">
        <v>0</v>
      </c>
      <c r="LF125">
        <v>0</v>
      </c>
      <c r="LH125">
        <v>0</v>
      </c>
      <c r="LI125">
        <v>0</v>
      </c>
    </row>
    <row r="126" spans="1:321" x14ac:dyDescent="0.35">
      <c r="A126">
        <v>1</v>
      </c>
      <c r="B126">
        <v>1236</v>
      </c>
      <c r="C126" t="s">
        <v>635</v>
      </c>
      <c r="D126" t="s">
        <v>1061</v>
      </c>
      <c r="E126" t="s">
        <v>587</v>
      </c>
      <c r="F126">
        <v>1</v>
      </c>
      <c r="G126">
        <v>160</v>
      </c>
      <c r="H126">
        <v>0</v>
      </c>
      <c r="I126" t="s">
        <v>991</v>
      </c>
      <c r="L126">
        <v>0</v>
      </c>
      <c r="M126">
        <v>0</v>
      </c>
      <c r="N126">
        <v>0</v>
      </c>
      <c r="Q126">
        <v>516</v>
      </c>
      <c r="R126">
        <v>0</v>
      </c>
      <c r="S126">
        <v>0</v>
      </c>
      <c r="W126" t="s">
        <v>1060</v>
      </c>
      <c r="X126">
        <v>0</v>
      </c>
      <c r="Z126">
        <v>50</v>
      </c>
      <c r="AA126">
        <v>28.652799999999999</v>
      </c>
      <c r="AB126">
        <v>13207</v>
      </c>
      <c r="AC126">
        <v>1.0104</v>
      </c>
      <c r="AD126" s="20">
        <v>44375</v>
      </c>
      <c r="AE126">
        <v>1.25</v>
      </c>
      <c r="AF126">
        <v>0.1</v>
      </c>
      <c r="AH126">
        <v>10051</v>
      </c>
      <c r="AJ126">
        <v>1</v>
      </c>
      <c r="AK126" t="s">
        <v>1154</v>
      </c>
      <c r="AL126">
        <v>329050</v>
      </c>
      <c r="AM126">
        <v>107</v>
      </c>
      <c r="AN126">
        <v>11501001</v>
      </c>
      <c r="AO126">
        <v>0</v>
      </c>
      <c r="AP126">
        <v>1001</v>
      </c>
      <c r="AT126">
        <v>1</v>
      </c>
      <c r="AU126" t="s">
        <v>1059</v>
      </c>
      <c r="AV126" t="s">
        <v>1043</v>
      </c>
      <c r="AW126" t="s">
        <v>1053</v>
      </c>
      <c r="AX126">
        <v>5</v>
      </c>
      <c r="AY126" s="20">
        <v>42705</v>
      </c>
      <c r="BA126" s="20">
        <v>44384</v>
      </c>
      <c r="BB126" t="s">
        <v>1058</v>
      </c>
      <c r="BD126">
        <v>0</v>
      </c>
      <c r="BF126" t="s">
        <v>1044</v>
      </c>
      <c r="BG126" s="20">
        <v>40787</v>
      </c>
      <c r="BH126">
        <v>0</v>
      </c>
      <c r="BI126">
        <v>33</v>
      </c>
      <c r="BJ126">
        <v>0</v>
      </c>
      <c r="BK126">
        <v>0</v>
      </c>
      <c r="BM126" s="20">
        <v>40793</v>
      </c>
      <c r="BN126">
        <v>0</v>
      </c>
      <c r="BO126">
        <v>7897801309653</v>
      </c>
      <c r="BR126" t="s">
        <v>1043</v>
      </c>
      <c r="BS126" t="s">
        <v>1043</v>
      </c>
      <c r="BT126" t="s">
        <v>1043</v>
      </c>
      <c r="BV126">
        <v>1</v>
      </c>
      <c r="BW126">
        <v>30</v>
      </c>
      <c r="BY126">
        <v>66</v>
      </c>
      <c r="CA126">
        <v>0</v>
      </c>
      <c r="CB126" t="s">
        <v>1043</v>
      </c>
      <c r="CE126" t="s">
        <v>1043</v>
      </c>
      <c r="CH126" t="s">
        <v>1043</v>
      </c>
      <c r="CI126" t="s">
        <v>1383</v>
      </c>
      <c r="CK126" t="s">
        <v>1152</v>
      </c>
      <c r="CN126" t="s">
        <v>1056</v>
      </c>
      <c r="CP126">
        <v>1</v>
      </c>
      <c r="CQ126">
        <v>2100</v>
      </c>
      <c r="CS126">
        <v>0</v>
      </c>
      <c r="CT126">
        <v>0</v>
      </c>
      <c r="CU126">
        <v>0</v>
      </c>
      <c r="CV126" t="s">
        <v>1045</v>
      </c>
      <c r="CW126">
        <v>0</v>
      </c>
      <c r="CX126">
        <v>0</v>
      </c>
      <c r="CY126">
        <v>0</v>
      </c>
      <c r="CZ126">
        <v>0</v>
      </c>
      <c r="DA126">
        <v>26</v>
      </c>
      <c r="DB126">
        <v>70000</v>
      </c>
      <c r="DH126">
        <v>0</v>
      </c>
      <c r="DJ126">
        <v>0</v>
      </c>
      <c r="DL126">
        <v>0</v>
      </c>
      <c r="DN126">
        <v>0</v>
      </c>
      <c r="DO126" t="s">
        <v>1042</v>
      </c>
      <c r="DP126">
        <v>0</v>
      </c>
      <c r="DQ126">
        <v>7.6</v>
      </c>
      <c r="DS126">
        <v>0</v>
      </c>
      <c r="DU126">
        <v>1.65</v>
      </c>
      <c r="DW126">
        <v>0</v>
      </c>
      <c r="DY126">
        <v>0</v>
      </c>
      <c r="DZ126">
        <v>0</v>
      </c>
      <c r="EA126">
        <v>0</v>
      </c>
      <c r="EB126">
        <v>17897801309650</v>
      </c>
      <c r="EE126">
        <v>0</v>
      </c>
      <c r="EF126">
        <v>0</v>
      </c>
      <c r="EK126" t="s">
        <v>1570</v>
      </c>
      <c r="EL126">
        <v>57897801309658</v>
      </c>
      <c r="EN126" t="s">
        <v>1511</v>
      </c>
      <c r="EO126" t="s">
        <v>1044</v>
      </c>
      <c r="ET126">
        <v>0</v>
      </c>
      <c r="EV126">
        <v>0</v>
      </c>
      <c r="EY126" t="s">
        <v>1052</v>
      </c>
      <c r="EZ126">
        <v>0</v>
      </c>
      <c r="FA126" t="s">
        <v>1043</v>
      </c>
      <c r="FB126">
        <v>0</v>
      </c>
      <c r="FC126">
        <v>0</v>
      </c>
      <c r="FD126" t="s">
        <v>1051</v>
      </c>
      <c r="FE126" t="s">
        <v>1050</v>
      </c>
      <c r="FF126">
        <v>0</v>
      </c>
      <c r="FG126" t="s">
        <v>1050</v>
      </c>
      <c r="FH126">
        <v>27897801309657</v>
      </c>
      <c r="FJ126">
        <v>0</v>
      </c>
      <c r="FK126">
        <v>0</v>
      </c>
      <c r="FP126">
        <v>0</v>
      </c>
      <c r="FR126">
        <v>0</v>
      </c>
      <c r="FS126" t="s">
        <v>1043</v>
      </c>
      <c r="FX126" t="s">
        <v>1042</v>
      </c>
      <c r="GA126">
        <v>0</v>
      </c>
      <c r="GB126" t="s">
        <v>1042</v>
      </c>
      <c r="GD126">
        <v>16</v>
      </c>
      <c r="GE126">
        <v>0</v>
      </c>
      <c r="GG126">
        <v>0</v>
      </c>
      <c r="GN126">
        <v>0</v>
      </c>
      <c r="GO126" t="s">
        <v>1049</v>
      </c>
      <c r="GQ126">
        <v>0</v>
      </c>
      <c r="GU126">
        <v>40</v>
      </c>
      <c r="GY126" t="s">
        <v>1045</v>
      </c>
      <c r="HB126">
        <v>0</v>
      </c>
      <c r="HE126">
        <v>12</v>
      </c>
      <c r="HF126">
        <v>25</v>
      </c>
      <c r="HG126">
        <v>5.2679999999999998E-2</v>
      </c>
      <c r="HK126" t="s">
        <v>1042</v>
      </c>
      <c r="HL126" t="s">
        <v>1048</v>
      </c>
      <c r="HM126">
        <v>0</v>
      </c>
      <c r="HN126">
        <v>0</v>
      </c>
      <c r="HO126">
        <v>26</v>
      </c>
      <c r="HP126">
        <v>0.1069</v>
      </c>
      <c r="HQ126">
        <v>0</v>
      </c>
      <c r="HR126" s="20">
        <v>44221</v>
      </c>
      <c r="HT126">
        <v>0</v>
      </c>
      <c r="HU126">
        <v>0</v>
      </c>
      <c r="HW126">
        <v>0</v>
      </c>
      <c r="HX126">
        <v>347051</v>
      </c>
      <c r="HY126">
        <v>1</v>
      </c>
      <c r="IA126">
        <v>1.25</v>
      </c>
      <c r="IF126">
        <v>5350</v>
      </c>
      <c r="IG126" t="s">
        <v>1042</v>
      </c>
      <c r="IH126" t="s">
        <v>1046</v>
      </c>
      <c r="II126" t="s">
        <v>1042</v>
      </c>
      <c r="IR126" t="s">
        <v>1045</v>
      </c>
      <c r="IT126">
        <v>0</v>
      </c>
      <c r="JE126">
        <v>0</v>
      </c>
      <c r="JF126">
        <v>0</v>
      </c>
      <c r="JI126" t="s">
        <v>1042</v>
      </c>
      <c r="JJ126">
        <v>0</v>
      </c>
      <c r="JK126">
        <v>0</v>
      </c>
      <c r="JL126">
        <v>0</v>
      </c>
      <c r="JM126">
        <v>0</v>
      </c>
      <c r="JT126">
        <v>0</v>
      </c>
      <c r="JU126" t="s">
        <v>1042</v>
      </c>
      <c r="JW126">
        <v>0</v>
      </c>
      <c r="KA126">
        <v>0</v>
      </c>
      <c r="KF126">
        <v>0</v>
      </c>
      <c r="KG126">
        <v>0</v>
      </c>
      <c r="KH126">
        <v>0</v>
      </c>
      <c r="KI126">
        <v>0</v>
      </c>
      <c r="KS126" t="s">
        <v>1041</v>
      </c>
      <c r="KT126">
        <v>0</v>
      </c>
      <c r="KU126">
        <v>0</v>
      </c>
      <c r="KV126">
        <v>0</v>
      </c>
      <c r="KX126">
        <v>0</v>
      </c>
      <c r="KZ126">
        <v>0</v>
      </c>
      <c r="LF126">
        <v>0</v>
      </c>
      <c r="LH126">
        <v>257208</v>
      </c>
      <c r="LI126">
        <v>0</v>
      </c>
    </row>
    <row r="127" spans="1:321" x14ac:dyDescent="0.35">
      <c r="A127">
        <v>1</v>
      </c>
      <c r="B127">
        <v>12360</v>
      </c>
      <c r="C127" t="s">
        <v>1581</v>
      </c>
      <c r="D127" t="s">
        <v>1139</v>
      </c>
      <c r="E127" t="s">
        <v>85</v>
      </c>
      <c r="F127">
        <v>80</v>
      </c>
      <c r="G127">
        <v>9000</v>
      </c>
      <c r="H127">
        <v>0</v>
      </c>
      <c r="I127" t="s">
        <v>1578</v>
      </c>
      <c r="L127">
        <v>0</v>
      </c>
      <c r="M127">
        <v>0</v>
      </c>
      <c r="N127">
        <v>0</v>
      </c>
      <c r="R127">
        <v>0</v>
      </c>
      <c r="S127">
        <v>0</v>
      </c>
      <c r="W127" t="s">
        <v>1060</v>
      </c>
      <c r="X127">
        <v>0</v>
      </c>
      <c r="Z127">
        <v>1</v>
      </c>
      <c r="AA127">
        <v>0</v>
      </c>
      <c r="AB127">
        <v>0</v>
      </c>
      <c r="AC127">
        <v>17.46</v>
      </c>
      <c r="AD127" s="20">
        <v>40766</v>
      </c>
      <c r="AE127">
        <v>16.8</v>
      </c>
      <c r="AF127">
        <v>0</v>
      </c>
      <c r="AH127">
        <v>0</v>
      </c>
      <c r="AJ127">
        <v>0</v>
      </c>
      <c r="AL127">
        <v>0</v>
      </c>
      <c r="AM127">
        <v>0</v>
      </c>
      <c r="AN127">
        <v>16601001</v>
      </c>
      <c r="AO127">
        <v>0</v>
      </c>
      <c r="AP127">
        <v>1000</v>
      </c>
      <c r="AT127">
        <v>0</v>
      </c>
      <c r="AU127" t="s">
        <v>1059</v>
      </c>
      <c r="AW127" t="s">
        <v>1053</v>
      </c>
      <c r="AX127">
        <v>0</v>
      </c>
      <c r="AY127" s="20">
        <v>40785</v>
      </c>
      <c r="BA127" s="20">
        <v>40785</v>
      </c>
      <c r="BB127" t="s">
        <v>1058</v>
      </c>
      <c r="BD127">
        <v>0</v>
      </c>
      <c r="BF127" t="s">
        <v>1043</v>
      </c>
      <c r="BG127" t="s">
        <v>1042</v>
      </c>
      <c r="BH127">
        <v>0</v>
      </c>
      <c r="BI127">
        <v>1</v>
      </c>
      <c r="BJ127">
        <v>0</v>
      </c>
      <c r="BK127">
        <v>0</v>
      </c>
      <c r="BM127" t="s">
        <v>1042</v>
      </c>
      <c r="BN127">
        <v>0</v>
      </c>
      <c r="BR127" t="s">
        <v>1043</v>
      </c>
      <c r="BS127" t="s">
        <v>1043</v>
      </c>
      <c r="BT127" t="s">
        <v>1043</v>
      </c>
      <c r="BW127">
        <v>83</v>
      </c>
      <c r="CA127">
        <v>0</v>
      </c>
      <c r="CB127" t="s">
        <v>1057</v>
      </c>
      <c r="CE127" t="s">
        <v>1043</v>
      </c>
      <c r="CH127" t="s">
        <v>1043</v>
      </c>
      <c r="CN127" t="s">
        <v>1056</v>
      </c>
      <c r="CO127" t="s">
        <v>1043</v>
      </c>
      <c r="CP127">
        <v>1</v>
      </c>
      <c r="CQ127">
        <v>0</v>
      </c>
      <c r="CS127">
        <v>0</v>
      </c>
      <c r="CT127">
        <v>0</v>
      </c>
      <c r="CU127">
        <v>0</v>
      </c>
      <c r="CV127" t="s">
        <v>1045</v>
      </c>
      <c r="CW127">
        <v>0</v>
      </c>
      <c r="CX127">
        <v>0</v>
      </c>
      <c r="CY127">
        <v>0</v>
      </c>
      <c r="CZ127">
        <v>0</v>
      </c>
      <c r="DB127">
        <v>0</v>
      </c>
      <c r="DC127" t="s">
        <v>1043</v>
      </c>
      <c r="DF127" t="s">
        <v>1055</v>
      </c>
      <c r="DH127">
        <v>0</v>
      </c>
      <c r="DJ127">
        <v>0</v>
      </c>
      <c r="DK127" t="s">
        <v>1053</v>
      </c>
      <c r="DL127">
        <v>0</v>
      </c>
      <c r="DN127">
        <v>0</v>
      </c>
      <c r="DO127" t="s">
        <v>1042</v>
      </c>
      <c r="DP127">
        <v>0</v>
      </c>
      <c r="DQ127">
        <v>0</v>
      </c>
      <c r="DS127">
        <v>0</v>
      </c>
      <c r="DU127">
        <v>0</v>
      </c>
      <c r="DW127">
        <v>0</v>
      </c>
      <c r="DX127" t="s">
        <v>1043</v>
      </c>
      <c r="DY127">
        <v>0</v>
      </c>
      <c r="DZ127">
        <v>0</v>
      </c>
      <c r="EA127">
        <v>0</v>
      </c>
      <c r="ED127" t="s">
        <v>1045</v>
      </c>
      <c r="EE127">
        <v>0</v>
      </c>
      <c r="EF127">
        <v>0</v>
      </c>
      <c r="EQ127" t="s">
        <v>1044</v>
      </c>
      <c r="ES127" t="s">
        <v>1053</v>
      </c>
      <c r="ET127">
        <v>0</v>
      </c>
      <c r="EV127">
        <v>0</v>
      </c>
      <c r="EY127" t="s">
        <v>1052</v>
      </c>
      <c r="EZ127">
        <v>0</v>
      </c>
      <c r="FA127" t="s">
        <v>1043</v>
      </c>
      <c r="FB127">
        <v>0</v>
      </c>
      <c r="FC127">
        <v>0</v>
      </c>
      <c r="FE127" t="s">
        <v>1050</v>
      </c>
      <c r="FF127">
        <v>0</v>
      </c>
      <c r="FG127" t="s">
        <v>1050</v>
      </c>
      <c r="FJ127">
        <v>0</v>
      </c>
      <c r="FK127">
        <v>0</v>
      </c>
      <c r="FP127">
        <v>0</v>
      </c>
      <c r="FR127">
        <v>0</v>
      </c>
      <c r="FS127" t="s">
        <v>1043</v>
      </c>
      <c r="FX127" t="s">
        <v>1042</v>
      </c>
      <c r="FZ127" t="s">
        <v>1048</v>
      </c>
      <c r="GA127">
        <v>0</v>
      </c>
      <c r="GB127" t="s">
        <v>1042</v>
      </c>
      <c r="GE127">
        <v>0</v>
      </c>
      <c r="GG127">
        <v>0</v>
      </c>
      <c r="GN127">
        <v>0</v>
      </c>
      <c r="GO127" t="s">
        <v>1063</v>
      </c>
      <c r="GQ127">
        <v>0</v>
      </c>
      <c r="GU127">
        <v>0</v>
      </c>
      <c r="GY127" t="s">
        <v>1045</v>
      </c>
      <c r="HB127">
        <v>0</v>
      </c>
      <c r="HE127">
        <v>0</v>
      </c>
      <c r="HF127">
        <v>0</v>
      </c>
      <c r="HG127">
        <v>0</v>
      </c>
      <c r="HK127" t="s">
        <v>1042</v>
      </c>
      <c r="HM127" t="s">
        <v>1047</v>
      </c>
      <c r="HN127">
        <v>0</v>
      </c>
      <c r="HP127">
        <v>0</v>
      </c>
      <c r="HQ127">
        <v>0</v>
      </c>
      <c r="HR127" t="s">
        <v>1042</v>
      </c>
      <c r="HS127" t="s">
        <v>1043</v>
      </c>
      <c r="HT127">
        <v>0</v>
      </c>
      <c r="HU127">
        <v>0</v>
      </c>
      <c r="HW127">
        <v>0</v>
      </c>
      <c r="HX127">
        <v>0</v>
      </c>
      <c r="HY127">
        <v>0</v>
      </c>
      <c r="HZ127" t="s">
        <v>1045</v>
      </c>
      <c r="IA127">
        <v>0</v>
      </c>
      <c r="IB127" t="s">
        <v>1045</v>
      </c>
      <c r="ID127" t="s">
        <v>1045</v>
      </c>
      <c r="IF127">
        <v>0</v>
      </c>
      <c r="IG127" t="s">
        <v>1042</v>
      </c>
      <c r="II127" t="s">
        <v>1042</v>
      </c>
      <c r="IR127" t="s">
        <v>1045</v>
      </c>
      <c r="IT127">
        <v>0</v>
      </c>
      <c r="IY127" t="s">
        <v>1044</v>
      </c>
      <c r="IZ127" t="s">
        <v>1043</v>
      </c>
      <c r="JC127" t="s">
        <v>1043</v>
      </c>
      <c r="JE127">
        <v>0</v>
      </c>
      <c r="JF127">
        <v>0</v>
      </c>
      <c r="JI127" t="s">
        <v>1042</v>
      </c>
      <c r="JJ127">
        <v>0</v>
      </c>
      <c r="JK127">
        <v>0</v>
      </c>
      <c r="JL127">
        <v>0</v>
      </c>
      <c r="JM127">
        <v>0</v>
      </c>
      <c r="JQ127" t="s">
        <v>1043</v>
      </c>
      <c r="JT127">
        <v>0</v>
      </c>
      <c r="JU127" t="s">
        <v>1042</v>
      </c>
      <c r="JW127">
        <v>0</v>
      </c>
      <c r="KA127">
        <v>0</v>
      </c>
      <c r="KF127">
        <v>0</v>
      </c>
      <c r="KG127">
        <v>0</v>
      </c>
      <c r="KH127">
        <v>0</v>
      </c>
      <c r="KI127">
        <v>0</v>
      </c>
      <c r="KS127" t="s">
        <v>1073</v>
      </c>
      <c r="KT127">
        <v>0</v>
      </c>
      <c r="KU127">
        <v>0</v>
      </c>
      <c r="KV127">
        <v>0</v>
      </c>
      <c r="KX127">
        <v>0</v>
      </c>
      <c r="KZ127">
        <v>0</v>
      </c>
      <c r="LF127">
        <v>0</v>
      </c>
      <c r="LH127">
        <v>0</v>
      </c>
      <c r="LI127">
        <v>0</v>
      </c>
    </row>
    <row r="128" spans="1:321" x14ac:dyDescent="0.35">
      <c r="A128">
        <v>1</v>
      </c>
      <c r="B128">
        <v>12361</v>
      </c>
      <c r="C128" t="s">
        <v>1580</v>
      </c>
      <c r="D128" t="s">
        <v>1139</v>
      </c>
      <c r="E128" t="s">
        <v>85</v>
      </c>
      <c r="F128">
        <v>80</v>
      </c>
      <c r="G128">
        <v>9000</v>
      </c>
      <c r="H128">
        <v>0</v>
      </c>
      <c r="I128" t="s">
        <v>1578</v>
      </c>
      <c r="L128">
        <v>0</v>
      </c>
      <c r="M128">
        <v>0</v>
      </c>
      <c r="N128">
        <v>0</v>
      </c>
      <c r="R128">
        <v>0</v>
      </c>
      <c r="S128">
        <v>0</v>
      </c>
      <c r="W128" t="s">
        <v>1060</v>
      </c>
      <c r="X128">
        <v>0</v>
      </c>
      <c r="Z128">
        <v>1</v>
      </c>
      <c r="AA128">
        <v>0</v>
      </c>
      <c r="AB128">
        <v>0</v>
      </c>
      <c r="AC128">
        <v>2.39</v>
      </c>
      <c r="AD128" s="20">
        <v>40785</v>
      </c>
      <c r="AE128">
        <v>2.2999999999999998</v>
      </c>
      <c r="AF128">
        <v>0</v>
      </c>
      <c r="AH128">
        <v>0</v>
      </c>
      <c r="AJ128">
        <v>0</v>
      </c>
      <c r="AL128">
        <v>0</v>
      </c>
      <c r="AM128">
        <v>0</v>
      </c>
      <c r="AN128">
        <v>16601001</v>
      </c>
      <c r="AO128">
        <v>0</v>
      </c>
      <c r="AP128">
        <v>1000</v>
      </c>
      <c r="AT128">
        <v>0</v>
      </c>
      <c r="AU128" t="s">
        <v>1059</v>
      </c>
      <c r="AW128" t="s">
        <v>1053</v>
      </c>
      <c r="AX128">
        <v>0</v>
      </c>
      <c r="AY128" s="20">
        <v>40785</v>
      </c>
      <c r="BA128" s="20">
        <v>40785</v>
      </c>
      <c r="BB128" t="s">
        <v>1058</v>
      </c>
      <c r="BD128">
        <v>0</v>
      </c>
      <c r="BF128" t="s">
        <v>1043</v>
      </c>
      <c r="BG128" t="s">
        <v>1042</v>
      </c>
      <c r="BH128">
        <v>0</v>
      </c>
      <c r="BI128">
        <v>1</v>
      </c>
      <c r="BJ128">
        <v>0</v>
      </c>
      <c r="BK128">
        <v>0</v>
      </c>
      <c r="BM128" t="s">
        <v>1042</v>
      </c>
      <c r="BN128">
        <v>0</v>
      </c>
      <c r="BR128" t="s">
        <v>1043</v>
      </c>
      <c r="BS128" t="s">
        <v>1043</v>
      </c>
      <c r="BT128" t="s">
        <v>1043</v>
      </c>
      <c r="BW128">
        <v>83</v>
      </c>
      <c r="CA128">
        <v>0</v>
      </c>
      <c r="CB128" t="s">
        <v>1057</v>
      </c>
      <c r="CE128" t="s">
        <v>1043</v>
      </c>
      <c r="CH128" t="s">
        <v>1043</v>
      </c>
      <c r="CN128" t="s">
        <v>1056</v>
      </c>
      <c r="CO128" t="s">
        <v>1043</v>
      </c>
      <c r="CP128">
        <v>1</v>
      </c>
      <c r="CQ128">
        <v>0</v>
      </c>
      <c r="CS128">
        <v>0</v>
      </c>
      <c r="CT128">
        <v>0</v>
      </c>
      <c r="CU128">
        <v>0</v>
      </c>
      <c r="CV128" t="s">
        <v>1045</v>
      </c>
      <c r="CW128">
        <v>0</v>
      </c>
      <c r="CX128">
        <v>0</v>
      </c>
      <c r="CY128">
        <v>0</v>
      </c>
      <c r="CZ128">
        <v>0</v>
      </c>
      <c r="DB128">
        <v>0</v>
      </c>
      <c r="DC128" t="s">
        <v>1043</v>
      </c>
      <c r="DF128" t="s">
        <v>1055</v>
      </c>
      <c r="DH128">
        <v>0</v>
      </c>
      <c r="DJ128">
        <v>0</v>
      </c>
      <c r="DK128" t="s">
        <v>1053</v>
      </c>
      <c r="DL128">
        <v>0</v>
      </c>
      <c r="DN128">
        <v>0</v>
      </c>
      <c r="DO128" t="s">
        <v>1042</v>
      </c>
      <c r="DP128">
        <v>0</v>
      </c>
      <c r="DQ128">
        <v>0</v>
      </c>
      <c r="DS128">
        <v>0</v>
      </c>
      <c r="DU128">
        <v>0</v>
      </c>
      <c r="DW128">
        <v>0</v>
      </c>
      <c r="DX128" t="s">
        <v>1043</v>
      </c>
      <c r="DY128">
        <v>0</v>
      </c>
      <c r="DZ128">
        <v>0</v>
      </c>
      <c r="EA128">
        <v>0</v>
      </c>
      <c r="ED128" t="s">
        <v>1045</v>
      </c>
      <c r="EE128">
        <v>0</v>
      </c>
      <c r="EF128">
        <v>0</v>
      </c>
      <c r="EQ128" t="s">
        <v>1044</v>
      </c>
      <c r="ES128" t="s">
        <v>1053</v>
      </c>
      <c r="ET128">
        <v>0</v>
      </c>
      <c r="EV128">
        <v>0</v>
      </c>
      <c r="EY128" t="s">
        <v>1052</v>
      </c>
      <c r="EZ128">
        <v>0</v>
      </c>
      <c r="FA128" t="s">
        <v>1043</v>
      </c>
      <c r="FB128">
        <v>0</v>
      </c>
      <c r="FC128">
        <v>0</v>
      </c>
      <c r="FE128" t="s">
        <v>1050</v>
      </c>
      <c r="FF128">
        <v>0</v>
      </c>
      <c r="FG128" t="s">
        <v>1050</v>
      </c>
      <c r="FJ128">
        <v>0</v>
      </c>
      <c r="FK128">
        <v>0</v>
      </c>
      <c r="FP128">
        <v>0</v>
      </c>
      <c r="FR128">
        <v>0</v>
      </c>
      <c r="FS128" t="s">
        <v>1043</v>
      </c>
      <c r="FX128" t="s">
        <v>1042</v>
      </c>
      <c r="FZ128" t="s">
        <v>1048</v>
      </c>
      <c r="GA128">
        <v>0</v>
      </c>
      <c r="GB128" t="s">
        <v>1042</v>
      </c>
      <c r="GE128">
        <v>0</v>
      </c>
      <c r="GG128">
        <v>0</v>
      </c>
      <c r="GN128">
        <v>0</v>
      </c>
      <c r="GO128" t="s">
        <v>1063</v>
      </c>
      <c r="GQ128">
        <v>0</v>
      </c>
      <c r="GU128">
        <v>0</v>
      </c>
      <c r="GY128" t="s">
        <v>1045</v>
      </c>
      <c r="HB128">
        <v>0</v>
      </c>
      <c r="HE128">
        <v>0</v>
      </c>
      <c r="HF128">
        <v>0</v>
      </c>
      <c r="HG128">
        <v>0</v>
      </c>
      <c r="HK128" t="s">
        <v>1042</v>
      </c>
      <c r="HM128" t="s">
        <v>1047</v>
      </c>
      <c r="HN128">
        <v>0</v>
      </c>
      <c r="HP128">
        <v>0</v>
      </c>
      <c r="HQ128">
        <v>0</v>
      </c>
      <c r="HR128" t="s">
        <v>1042</v>
      </c>
      <c r="HS128" t="s">
        <v>1043</v>
      </c>
      <c r="HT128">
        <v>0</v>
      </c>
      <c r="HU128">
        <v>0</v>
      </c>
      <c r="HW128">
        <v>0</v>
      </c>
      <c r="HX128">
        <v>0</v>
      </c>
      <c r="HY128">
        <v>0</v>
      </c>
      <c r="HZ128" t="s">
        <v>1045</v>
      </c>
      <c r="IA128">
        <v>0</v>
      </c>
      <c r="IB128" t="s">
        <v>1045</v>
      </c>
      <c r="ID128" t="s">
        <v>1045</v>
      </c>
      <c r="IF128">
        <v>0</v>
      </c>
      <c r="IG128" t="s">
        <v>1042</v>
      </c>
      <c r="II128" t="s">
        <v>1042</v>
      </c>
      <c r="IR128" t="s">
        <v>1045</v>
      </c>
      <c r="IT128">
        <v>0</v>
      </c>
      <c r="IY128" t="s">
        <v>1044</v>
      </c>
      <c r="IZ128" t="s">
        <v>1043</v>
      </c>
      <c r="JC128" t="s">
        <v>1043</v>
      </c>
      <c r="JE128">
        <v>0</v>
      </c>
      <c r="JF128">
        <v>0</v>
      </c>
      <c r="JI128" t="s">
        <v>1042</v>
      </c>
      <c r="JJ128">
        <v>0</v>
      </c>
      <c r="JK128">
        <v>0</v>
      </c>
      <c r="JL128">
        <v>0</v>
      </c>
      <c r="JM128">
        <v>0</v>
      </c>
      <c r="JQ128" t="s">
        <v>1043</v>
      </c>
      <c r="JT128">
        <v>0</v>
      </c>
      <c r="JU128" t="s">
        <v>1042</v>
      </c>
      <c r="JW128">
        <v>0</v>
      </c>
      <c r="KA128">
        <v>0</v>
      </c>
      <c r="KF128">
        <v>0</v>
      </c>
      <c r="KG128">
        <v>0</v>
      </c>
      <c r="KH128">
        <v>0</v>
      </c>
      <c r="KI128">
        <v>0</v>
      </c>
      <c r="KS128" t="s">
        <v>1073</v>
      </c>
      <c r="KT128">
        <v>0</v>
      </c>
      <c r="KU128">
        <v>0</v>
      </c>
      <c r="KV128">
        <v>0</v>
      </c>
      <c r="KX128">
        <v>0</v>
      </c>
      <c r="KZ128">
        <v>0</v>
      </c>
      <c r="LF128">
        <v>0</v>
      </c>
      <c r="LH128">
        <v>0</v>
      </c>
      <c r="LI128">
        <v>0</v>
      </c>
    </row>
    <row r="129" spans="1:321" x14ac:dyDescent="0.35">
      <c r="A129">
        <v>1</v>
      </c>
      <c r="B129">
        <v>12362</v>
      </c>
      <c r="C129" t="s">
        <v>1579</v>
      </c>
      <c r="D129" t="s">
        <v>1139</v>
      </c>
      <c r="E129" t="s">
        <v>85</v>
      </c>
      <c r="F129">
        <v>80</v>
      </c>
      <c r="G129">
        <v>9000</v>
      </c>
      <c r="H129">
        <v>0</v>
      </c>
      <c r="I129" t="s">
        <v>1578</v>
      </c>
      <c r="L129">
        <v>0</v>
      </c>
      <c r="M129">
        <v>0</v>
      </c>
      <c r="N129">
        <v>0</v>
      </c>
      <c r="R129">
        <v>0</v>
      </c>
      <c r="S129">
        <v>0</v>
      </c>
      <c r="W129" t="s">
        <v>1060</v>
      </c>
      <c r="X129">
        <v>0</v>
      </c>
      <c r="Z129">
        <v>1</v>
      </c>
      <c r="AA129">
        <v>0</v>
      </c>
      <c r="AB129">
        <v>0</v>
      </c>
      <c r="AC129">
        <v>2.39</v>
      </c>
      <c r="AD129" s="20">
        <v>40785</v>
      </c>
      <c r="AE129">
        <v>2.2999999999999998</v>
      </c>
      <c r="AF129">
        <v>0</v>
      </c>
      <c r="AH129">
        <v>0</v>
      </c>
      <c r="AJ129">
        <v>0</v>
      </c>
      <c r="AL129">
        <v>0</v>
      </c>
      <c r="AM129">
        <v>0</v>
      </c>
      <c r="AN129">
        <v>16601001</v>
      </c>
      <c r="AO129">
        <v>0</v>
      </c>
      <c r="AP129">
        <v>1000</v>
      </c>
      <c r="AT129">
        <v>0</v>
      </c>
      <c r="AU129" t="s">
        <v>1059</v>
      </c>
      <c r="AW129" t="s">
        <v>1053</v>
      </c>
      <c r="AX129">
        <v>0</v>
      </c>
      <c r="AY129" s="20">
        <v>40785</v>
      </c>
      <c r="BA129" s="20">
        <v>40785</v>
      </c>
      <c r="BB129" t="s">
        <v>1058</v>
      </c>
      <c r="BD129">
        <v>0</v>
      </c>
      <c r="BF129" t="s">
        <v>1043</v>
      </c>
      <c r="BG129" t="s">
        <v>1042</v>
      </c>
      <c r="BH129">
        <v>0</v>
      </c>
      <c r="BI129">
        <v>1</v>
      </c>
      <c r="BJ129">
        <v>0</v>
      </c>
      <c r="BK129">
        <v>0</v>
      </c>
      <c r="BM129" t="s">
        <v>1042</v>
      </c>
      <c r="BN129">
        <v>0</v>
      </c>
      <c r="BR129" t="s">
        <v>1043</v>
      </c>
      <c r="BS129" t="s">
        <v>1043</v>
      </c>
      <c r="BT129" t="s">
        <v>1043</v>
      </c>
      <c r="BW129">
        <v>83</v>
      </c>
      <c r="CA129">
        <v>0</v>
      </c>
      <c r="CB129" t="s">
        <v>1057</v>
      </c>
      <c r="CE129" t="s">
        <v>1043</v>
      </c>
      <c r="CH129" t="s">
        <v>1043</v>
      </c>
      <c r="CN129" t="s">
        <v>1056</v>
      </c>
      <c r="CO129" t="s">
        <v>1043</v>
      </c>
      <c r="CP129">
        <v>1</v>
      </c>
      <c r="CQ129">
        <v>0</v>
      </c>
      <c r="CS129">
        <v>0</v>
      </c>
      <c r="CT129">
        <v>0</v>
      </c>
      <c r="CU129">
        <v>0</v>
      </c>
      <c r="CV129" t="s">
        <v>1045</v>
      </c>
      <c r="CW129">
        <v>0</v>
      </c>
      <c r="CX129">
        <v>0</v>
      </c>
      <c r="CY129">
        <v>0</v>
      </c>
      <c r="CZ129">
        <v>0</v>
      </c>
      <c r="DB129">
        <v>0</v>
      </c>
      <c r="DC129" t="s">
        <v>1043</v>
      </c>
      <c r="DF129" t="s">
        <v>1055</v>
      </c>
      <c r="DH129">
        <v>0</v>
      </c>
      <c r="DJ129">
        <v>0</v>
      </c>
      <c r="DK129" t="s">
        <v>1053</v>
      </c>
      <c r="DL129">
        <v>0</v>
      </c>
      <c r="DN129">
        <v>0</v>
      </c>
      <c r="DO129" t="s">
        <v>1042</v>
      </c>
      <c r="DP129">
        <v>0</v>
      </c>
      <c r="DQ129">
        <v>0</v>
      </c>
      <c r="DS129">
        <v>0</v>
      </c>
      <c r="DU129">
        <v>0</v>
      </c>
      <c r="DW129">
        <v>0</v>
      </c>
      <c r="DX129" t="s">
        <v>1043</v>
      </c>
      <c r="DY129">
        <v>0</v>
      </c>
      <c r="DZ129">
        <v>0</v>
      </c>
      <c r="EA129">
        <v>0</v>
      </c>
      <c r="ED129" t="s">
        <v>1045</v>
      </c>
      <c r="EE129">
        <v>0</v>
      </c>
      <c r="EF129">
        <v>0</v>
      </c>
      <c r="EQ129" t="s">
        <v>1044</v>
      </c>
      <c r="ES129" t="s">
        <v>1053</v>
      </c>
      <c r="ET129">
        <v>0</v>
      </c>
      <c r="EV129">
        <v>0</v>
      </c>
      <c r="EY129" t="s">
        <v>1052</v>
      </c>
      <c r="EZ129">
        <v>0</v>
      </c>
      <c r="FA129" t="s">
        <v>1043</v>
      </c>
      <c r="FB129">
        <v>0</v>
      </c>
      <c r="FC129">
        <v>0</v>
      </c>
      <c r="FE129" t="s">
        <v>1050</v>
      </c>
      <c r="FF129">
        <v>0</v>
      </c>
      <c r="FG129" t="s">
        <v>1050</v>
      </c>
      <c r="FJ129">
        <v>0</v>
      </c>
      <c r="FK129">
        <v>0</v>
      </c>
      <c r="FP129">
        <v>0</v>
      </c>
      <c r="FR129">
        <v>0</v>
      </c>
      <c r="FS129" t="s">
        <v>1043</v>
      </c>
      <c r="FX129" t="s">
        <v>1042</v>
      </c>
      <c r="FZ129" t="s">
        <v>1048</v>
      </c>
      <c r="GA129">
        <v>0</v>
      </c>
      <c r="GB129" t="s">
        <v>1042</v>
      </c>
      <c r="GE129">
        <v>0</v>
      </c>
      <c r="GG129">
        <v>0</v>
      </c>
      <c r="GN129">
        <v>0</v>
      </c>
      <c r="GO129" t="s">
        <v>1063</v>
      </c>
      <c r="GQ129">
        <v>0</v>
      </c>
      <c r="GU129">
        <v>0</v>
      </c>
      <c r="GY129" t="s">
        <v>1045</v>
      </c>
      <c r="HB129">
        <v>0</v>
      </c>
      <c r="HE129">
        <v>0</v>
      </c>
      <c r="HF129">
        <v>0</v>
      </c>
      <c r="HG129">
        <v>0</v>
      </c>
      <c r="HK129" t="s">
        <v>1042</v>
      </c>
      <c r="HM129" t="s">
        <v>1047</v>
      </c>
      <c r="HN129">
        <v>0</v>
      </c>
      <c r="HP129">
        <v>0</v>
      </c>
      <c r="HQ129">
        <v>0</v>
      </c>
      <c r="HR129" t="s">
        <v>1042</v>
      </c>
      <c r="HS129" t="s">
        <v>1043</v>
      </c>
      <c r="HT129">
        <v>0</v>
      </c>
      <c r="HU129">
        <v>0</v>
      </c>
      <c r="HW129">
        <v>0</v>
      </c>
      <c r="HX129">
        <v>0</v>
      </c>
      <c r="HY129">
        <v>0</v>
      </c>
      <c r="HZ129" t="s">
        <v>1045</v>
      </c>
      <c r="IA129">
        <v>0</v>
      </c>
      <c r="IB129" t="s">
        <v>1045</v>
      </c>
      <c r="ID129" t="s">
        <v>1045</v>
      </c>
      <c r="IF129">
        <v>0</v>
      </c>
      <c r="IG129" t="s">
        <v>1042</v>
      </c>
      <c r="II129" t="s">
        <v>1042</v>
      </c>
      <c r="IR129" t="s">
        <v>1045</v>
      </c>
      <c r="IT129">
        <v>0</v>
      </c>
      <c r="IY129" t="s">
        <v>1044</v>
      </c>
      <c r="IZ129" t="s">
        <v>1043</v>
      </c>
      <c r="JC129" t="s">
        <v>1043</v>
      </c>
      <c r="JE129">
        <v>0</v>
      </c>
      <c r="JF129">
        <v>0</v>
      </c>
      <c r="JI129" t="s">
        <v>1042</v>
      </c>
      <c r="JJ129">
        <v>0</v>
      </c>
      <c r="JK129">
        <v>0</v>
      </c>
      <c r="JL129">
        <v>0</v>
      </c>
      <c r="JM129">
        <v>0</v>
      </c>
      <c r="JQ129" t="s">
        <v>1043</v>
      </c>
      <c r="JT129">
        <v>0</v>
      </c>
      <c r="JU129" t="s">
        <v>1042</v>
      </c>
      <c r="JW129">
        <v>0</v>
      </c>
      <c r="KA129">
        <v>0</v>
      </c>
      <c r="KF129">
        <v>0</v>
      </c>
      <c r="KG129">
        <v>0</v>
      </c>
      <c r="KH129">
        <v>0</v>
      </c>
      <c r="KI129">
        <v>0</v>
      </c>
      <c r="KS129" t="s">
        <v>1073</v>
      </c>
      <c r="KT129">
        <v>0</v>
      </c>
      <c r="KU129">
        <v>0</v>
      </c>
      <c r="KV129">
        <v>0</v>
      </c>
      <c r="KX129">
        <v>0</v>
      </c>
      <c r="KZ129">
        <v>0</v>
      </c>
      <c r="LF129">
        <v>0</v>
      </c>
      <c r="LH129">
        <v>0</v>
      </c>
      <c r="LI129">
        <v>0</v>
      </c>
    </row>
    <row r="130" spans="1:321" x14ac:dyDescent="0.35">
      <c r="A130">
        <v>1</v>
      </c>
      <c r="B130">
        <v>12363</v>
      </c>
      <c r="C130" t="s">
        <v>1577</v>
      </c>
      <c r="D130" t="s">
        <v>1139</v>
      </c>
      <c r="E130" t="s">
        <v>85</v>
      </c>
      <c r="F130">
        <v>80</v>
      </c>
      <c r="G130">
        <v>9000</v>
      </c>
      <c r="H130">
        <v>0</v>
      </c>
      <c r="I130" t="s">
        <v>1442</v>
      </c>
      <c r="L130">
        <v>0</v>
      </c>
      <c r="M130">
        <v>0</v>
      </c>
      <c r="N130">
        <v>0</v>
      </c>
      <c r="R130">
        <v>0</v>
      </c>
      <c r="S130">
        <v>0</v>
      </c>
      <c r="W130" t="s">
        <v>1060</v>
      </c>
      <c r="X130">
        <v>0</v>
      </c>
      <c r="Z130">
        <v>1</v>
      </c>
      <c r="AA130">
        <v>0</v>
      </c>
      <c r="AB130">
        <v>0</v>
      </c>
      <c r="AC130">
        <v>2.5950000000000002</v>
      </c>
      <c r="AD130" s="20">
        <v>40785</v>
      </c>
      <c r="AE130">
        <v>2.5</v>
      </c>
      <c r="AF130">
        <v>0</v>
      </c>
      <c r="AH130">
        <v>0</v>
      </c>
      <c r="AJ130">
        <v>0</v>
      </c>
      <c r="AL130">
        <v>0</v>
      </c>
      <c r="AM130">
        <v>0</v>
      </c>
      <c r="AN130">
        <v>16601001</v>
      </c>
      <c r="AO130">
        <v>0</v>
      </c>
      <c r="AP130">
        <v>1000</v>
      </c>
      <c r="AT130">
        <v>0</v>
      </c>
      <c r="AU130" t="s">
        <v>1059</v>
      </c>
      <c r="AW130" t="s">
        <v>1053</v>
      </c>
      <c r="AX130">
        <v>0</v>
      </c>
      <c r="AY130" s="20">
        <v>40785</v>
      </c>
      <c r="BA130" s="20">
        <v>40785</v>
      </c>
      <c r="BB130" t="s">
        <v>1058</v>
      </c>
      <c r="BD130">
        <v>0</v>
      </c>
      <c r="BF130" t="s">
        <v>1043</v>
      </c>
      <c r="BG130" t="s">
        <v>1042</v>
      </c>
      <c r="BH130">
        <v>0</v>
      </c>
      <c r="BI130">
        <v>1</v>
      </c>
      <c r="BJ130">
        <v>0</v>
      </c>
      <c r="BK130">
        <v>0</v>
      </c>
      <c r="BM130" t="s">
        <v>1042</v>
      </c>
      <c r="BN130">
        <v>0</v>
      </c>
      <c r="BR130" t="s">
        <v>1043</v>
      </c>
      <c r="BS130" t="s">
        <v>1043</v>
      </c>
      <c r="BT130" t="s">
        <v>1043</v>
      </c>
      <c r="BW130">
        <v>83</v>
      </c>
      <c r="CA130">
        <v>0</v>
      </c>
      <c r="CB130" t="s">
        <v>1057</v>
      </c>
      <c r="CE130" t="s">
        <v>1043</v>
      </c>
      <c r="CH130" t="s">
        <v>1043</v>
      </c>
      <c r="CN130" t="s">
        <v>1056</v>
      </c>
      <c r="CO130" t="s">
        <v>1043</v>
      </c>
      <c r="CP130">
        <v>1</v>
      </c>
      <c r="CQ130">
        <v>0</v>
      </c>
      <c r="CS130">
        <v>0</v>
      </c>
      <c r="CT130">
        <v>0</v>
      </c>
      <c r="CU130">
        <v>0</v>
      </c>
      <c r="CV130" t="s">
        <v>1045</v>
      </c>
      <c r="CW130">
        <v>0</v>
      </c>
      <c r="CX130">
        <v>0</v>
      </c>
      <c r="CY130">
        <v>0</v>
      </c>
      <c r="CZ130">
        <v>0</v>
      </c>
      <c r="DB130">
        <v>0</v>
      </c>
      <c r="DC130" t="s">
        <v>1043</v>
      </c>
      <c r="DF130" t="s">
        <v>1055</v>
      </c>
      <c r="DH130">
        <v>0</v>
      </c>
      <c r="DJ130">
        <v>0</v>
      </c>
      <c r="DK130" t="s">
        <v>1053</v>
      </c>
      <c r="DL130">
        <v>0</v>
      </c>
      <c r="DN130">
        <v>0</v>
      </c>
      <c r="DO130" t="s">
        <v>1042</v>
      </c>
      <c r="DP130">
        <v>0</v>
      </c>
      <c r="DQ130">
        <v>0</v>
      </c>
      <c r="DS130">
        <v>0</v>
      </c>
      <c r="DU130">
        <v>0</v>
      </c>
      <c r="DW130">
        <v>0</v>
      </c>
      <c r="DX130" t="s">
        <v>1043</v>
      </c>
      <c r="DY130">
        <v>0</v>
      </c>
      <c r="DZ130">
        <v>0</v>
      </c>
      <c r="EA130">
        <v>0</v>
      </c>
      <c r="ED130" t="s">
        <v>1045</v>
      </c>
      <c r="EE130">
        <v>0</v>
      </c>
      <c r="EF130">
        <v>0</v>
      </c>
      <c r="EQ130" t="s">
        <v>1044</v>
      </c>
      <c r="ES130" t="s">
        <v>1053</v>
      </c>
      <c r="ET130">
        <v>0</v>
      </c>
      <c r="EV130">
        <v>0</v>
      </c>
      <c r="EY130" t="s">
        <v>1052</v>
      </c>
      <c r="EZ130">
        <v>0</v>
      </c>
      <c r="FA130" t="s">
        <v>1043</v>
      </c>
      <c r="FB130">
        <v>0</v>
      </c>
      <c r="FC130">
        <v>0</v>
      </c>
      <c r="FE130" t="s">
        <v>1050</v>
      </c>
      <c r="FF130">
        <v>0</v>
      </c>
      <c r="FG130" t="s">
        <v>1050</v>
      </c>
      <c r="FJ130">
        <v>0</v>
      </c>
      <c r="FK130">
        <v>0</v>
      </c>
      <c r="FP130">
        <v>0</v>
      </c>
      <c r="FR130">
        <v>0</v>
      </c>
      <c r="FS130" t="s">
        <v>1043</v>
      </c>
      <c r="FX130" t="s">
        <v>1042</v>
      </c>
      <c r="FZ130" t="s">
        <v>1048</v>
      </c>
      <c r="GA130">
        <v>0</v>
      </c>
      <c r="GB130" t="s">
        <v>1042</v>
      </c>
      <c r="GE130">
        <v>0</v>
      </c>
      <c r="GG130">
        <v>0</v>
      </c>
      <c r="GN130">
        <v>0</v>
      </c>
      <c r="GO130" t="s">
        <v>1063</v>
      </c>
      <c r="GQ130">
        <v>0</v>
      </c>
      <c r="GU130">
        <v>0</v>
      </c>
      <c r="GY130" t="s">
        <v>1045</v>
      </c>
      <c r="HB130">
        <v>0</v>
      </c>
      <c r="HE130">
        <v>0</v>
      </c>
      <c r="HF130">
        <v>0</v>
      </c>
      <c r="HG130">
        <v>0</v>
      </c>
      <c r="HK130" t="s">
        <v>1042</v>
      </c>
      <c r="HM130" t="s">
        <v>1047</v>
      </c>
      <c r="HN130">
        <v>0</v>
      </c>
      <c r="HP130">
        <v>0</v>
      </c>
      <c r="HQ130">
        <v>0</v>
      </c>
      <c r="HR130" t="s">
        <v>1042</v>
      </c>
      <c r="HS130" t="s">
        <v>1043</v>
      </c>
      <c r="HT130">
        <v>0</v>
      </c>
      <c r="HU130">
        <v>0</v>
      </c>
      <c r="HW130">
        <v>0</v>
      </c>
      <c r="HX130">
        <v>0</v>
      </c>
      <c r="HY130">
        <v>0</v>
      </c>
      <c r="HZ130" t="s">
        <v>1045</v>
      </c>
      <c r="IA130">
        <v>0</v>
      </c>
      <c r="IB130" t="s">
        <v>1045</v>
      </c>
      <c r="ID130" t="s">
        <v>1045</v>
      </c>
      <c r="IF130">
        <v>0</v>
      </c>
      <c r="IG130" t="s">
        <v>1042</v>
      </c>
      <c r="II130" t="s">
        <v>1042</v>
      </c>
      <c r="IR130" t="s">
        <v>1045</v>
      </c>
      <c r="IT130">
        <v>0</v>
      </c>
      <c r="IY130" t="s">
        <v>1044</v>
      </c>
      <c r="IZ130" t="s">
        <v>1043</v>
      </c>
      <c r="JC130" t="s">
        <v>1043</v>
      </c>
      <c r="JE130">
        <v>0</v>
      </c>
      <c r="JF130">
        <v>0</v>
      </c>
      <c r="JI130" t="s">
        <v>1042</v>
      </c>
      <c r="JJ130">
        <v>0</v>
      </c>
      <c r="JK130">
        <v>0</v>
      </c>
      <c r="JL130">
        <v>0</v>
      </c>
      <c r="JM130">
        <v>0</v>
      </c>
      <c r="JQ130" t="s">
        <v>1043</v>
      </c>
      <c r="JT130">
        <v>0</v>
      </c>
      <c r="JU130" t="s">
        <v>1042</v>
      </c>
      <c r="JW130">
        <v>0</v>
      </c>
      <c r="KA130">
        <v>0</v>
      </c>
      <c r="KF130">
        <v>0</v>
      </c>
      <c r="KG130">
        <v>0</v>
      </c>
      <c r="KH130">
        <v>0</v>
      </c>
      <c r="KI130">
        <v>0</v>
      </c>
      <c r="KS130" t="s">
        <v>1073</v>
      </c>
      <c r="KT130">
        <v>0</v>
      </c>
      <c r="KU130">
        <v>0</v>
      </c>
      <c r="KV130">
        <v>0</v>
      </c>
      <c r="KX130">
        <v>0</v>
      </c>
      <c r="KZ130">
        <v>0</v>
      </c>
      <c r="LF130">
        <v>0</v>
      </c>
      <c r="LH130">
        <v>0</v>
      </c>
      <c r="LI130">
        <v>0</v>
      </c>
    </row>
    <row r="131" spans="1:321" x14ac:dyDescent="0.35">
      <c r="A131">
        <v>1</v>
      </c>
      <c r="B131">
        <v>12364</v>
      </c>
      <c r="C131" t="s">
        <v>1576</v>
      </c>
      <c r="D131" t="s">
        <v>1139</v>
      </c>
      <c r="E131" t="s">
        <v>85</v>
      </c>
      <c r="F131">
        <v>80</v>
      </c>
      <c r="G131">
        <v>9000</v>
      </c>
      <c r="H131">
        <v>0</v>
      </c>
      <c r="I131" t="s">
        <v>1442</v>
      </c>
      <c r="L131">
        <v>0</v>
      </c>
      <c r="M131">
        <v>0</v>
      </c>
      <c r="N131">
        <v>0</v>
      </c>
      <c r="R131">
        <v>0</v>
      </c>
      <c r="S131">
        <v>0</v>
      </c>
      <c r="W131" t="s">
        <v>1060</v>
      </c>
      <c r="X131">
        <v>0</v>
      </c>
      <c r="Z131">
        <v>1</v>
      </c>
      <c r="AA131">
        <v>0</v>
      </c>
      <c r="AB131">
        <v>0</v>
      </c>
      <c r="AC131">
        <v>2.59</v>
      </c>
      <c r="AD131" s="20">
        <v>40785</v>
      </c>
      <c r="AE131">
        <v>2.5</v>
      </c>
      <c r="AF131">
        <v>0</v>
      </c>
      <c r="AH131">
        <v>0</v>
      </c>
      <c r="AJ131">
        <v>0</v>
      </c>
      <c r="AL131">
        <v>0</v>
      </c>
      <c r="AM131">
        <v>0</v>
      </c>
      <c r="AN131">
        <v>16601001</v>
      </c>
      <c r="AO131">
        <v>0</v>
      </c>
      <c r="AP131">
        <v>1000</v>
      </c>
      <c r="AT131">
        <v>0</v>
      </c>
      <c r="AU131" t="s">
        <v>1059</v>
      </c>
      <c r="AW131" t="s">
        <v>1053</v>
      </c>
      <c r="AX131">
        <v>0</v>
      </c>
      <c r="AY131" s="20">
        <v>40785</v>
      </c>
      <c r="BA131" s="20">
        <v>40785</v>
      </c>
      <c r="BB131" t="s">
        <v>1058</v>
      </c>
      <c r="BD131">
        <v>0</v>
      </c>
      <c r="BF131" t="s">
        <v>1043</v>
      </c>
      <c r="BG131" t="s">
        <v>1042</v>
      </c>
      <c r="BH131">
        <v>0</v>
      </c>
      <c r="BI131">
        <v>1</v>
      </c>
      <c r="BJ131">
        <v>0</v>
      </c>
      <c r="BK131">
        <v>0</v>
      </c>
      <c r="BM131" t="s">
        <v>1042</v>
      </c>
      <c r="BN131">
        <v>0</v>
      </c>
      <c r="BR131" t="s">
        <v>1043</v>
      </c>
      <c r="BS131" t="s">
        <v>1043</v>
      </c>
      <c r="BT131" t="s">
        <v>1043</v>
      </c>
      <c r="BW131">
        <v>83</v>
      </c>
      <c r="CA131">
        <v>0</v>
      </c>
      <c r="CB131" t="s">
        <v>1057</v>
      </c>
      <c r="CE131" t="s">
        <v>1043</v>
      </c>
      <c r="CH131" t="s">
        <v>1043</v>
      </c>
      <c r="CN131" t="s">
        <v>1056</v>
      </c>
      <c r="CO131" t="s">
        <v>1043</v>
      </c>
      <c r="CP131">
        <v>1</v>
      </c>
      <c r="CQ131">
        <v>0</v>
      </c>
      <c r="CS131">
        <v>0</v>
      </c>
      <c r="CT131">
        <v>0</v>
      </c>
      <c r="CU131">
        <v>0</v>
      </c>
      <c r="CV131" t="s">
        <v>1045</v>
      </c>
      <c r="CW131">
        <v>0</v>
      </c>
      <c r="CX131">
        <v>0</v>
      </c>
      <c r="CY131">
        <v>0</v>
      </c>
      <c r="CZ131">
        <v>0</v>
      </c>
      <c r="DB131">
        <v>0</v>
      </c>
      <c r="DC131" t="s">
        <v>1043</v>
      </c>
      <c r="DF131" t="s">
        <v>1055</v>
      </c>
      <c r="DH131">
        <v>0</v>
      </c>
      <c r="DJ131">
        <v>0</v>
      </c>
      <c r="DK131" t="s">
        <v>1053</v>
      </c>
      <c r="DL131">
        <v>0</v>
      </c>
      <c r="DN131">
        <v>0</v>
      </c>
      <c r="DO131" t="s">
        <v>1042</v>
      </c>
      <c r="DP131">
        <v>0</v>
      </c>
      <c r="DQ131">
        <v>0</v>
      </c>
      <c r="DS131">
        <v>0</v>
      </c>
      <c r="DU131">
        <v>0</v>
      </c>
      <c r="DW131">
        <v>0</v>
      </c>
      <c r="DX131" t="s">
        <v>1043</v>
      </c>
      <c r="DY131">
        <v>0</v>
      </c>
      <c r="DZ131">
        <v>0</v>
      </c>
      <c r="EA131">
        <v>0</v>
      </c>
      <c r="ED131" t="s">
        <v>1045</v>
      </c>
      <c r="EE131">
        <v>0</v>
      </c>
      <c r="EF131">
        <v>0</v>
      </c>
      <c r="EQ131" t="s">
        <v>1044</v>
      </c>
      <c r="ES131" t="s">
        <v>1053</v>
      </c>
      <c r="ET131">
        <v>0</v>
      </c>
      <c r="EV131">
        <v>0</v>
      </c>
      <c r="EY131" t="s">
        <v>1052</v>
      </c>
      <c r="EZ131">
        <v>0</v>
      </c>
      <c r="FA131" t="s">
        <v>1043</v>
      </c>
      <c r="FB131">
        <v>0</v>
      </c>
      <c r="FC131">
        <v>0</v>
      </c>
      <c r="FE131" t="s">
        <v>1050</v>
      </c>
      <c r="FF131">
        <v>0</v>
      </c>
      <c r="FG131" t="s">
        <v>1050</v>
      </c>
      <c r="FJ131">
        <v>0</v>
      </c>
      <c r="FK131">
        <v>0</v>
      </c>
      <c r="FP131">
        <v>0</v>
      </c>
      <c r="FR131">
        <v>0</v>
      </c>
      <c r="FS131" t="s">
        <v>1043</v>
      </c>
      <c r="FX131" t="s">
        <v>1042</v>
      </c>
      <c r="FZ131" t="s">
        <v>1048</v>
      </c>
      <c r="GA131">
        <v>0</v>
      </c>
      <c r="GB131" t="s">
        <v>1042</v>
      </c>
      <c r="GE131">
        <v>0</v>
      </c>
      <c r="GG131">
        <v>0</v>
      </c>
      <c r="GN131">
        <v>0</v>
      </c>
      <c r="GO131" t="s">
        <v>1063</v>
      </c>
      <c r="GQ131">
        <v>0</v>
      </c>
      <c r="GU131">
        <v>0</v>
      </c>
      <c r="GY131" t="s">
        <v>1045</v>
      </c>
      <c r="HB131">
        <v>0</v>
      </c>
      <c r="HE131">
        <v>0</v>
      </c>
      <c r="HF131">
        <v>0</v>
      </c>
      <c r="HG131">
        <v>0</v>
      </c>
      <c r="HK131" t="s">
        <v>1042</v>
      </c>
      <c r="HM131" t="s">
        <v>1047</v>
      </c>
      <c r="HN131">
        <v>0</v>
      </c>
      <c r="HP131">
        <v>0</v>
      </c>
      <c r="HQ131">
        <v>0</v>
      </c>
      <c r="HR131" t="s">
        <v>1042</v>
      </c>
      <c r="HS131" t="s">
        <v>1043</v>
      </c>
      <c r="HT131">
        <v>0</v>
      </c>
      <c r="HU131">
        <v>0</v>
      </c>
      <c r="HW131">
        <v>0</v>
      </c>
      <c r="HX131">
        <v>0</v>
      </c>
      <c r="HY131">
        <v>0</v>
      </c>
      <c r="HZ131" t="s">
        <v>1045</v>
      </c>
      <c r="IA131">
        <v>0</v>
      </c>
      <c r="IB131" t="s">
        <v>1045</v>
      </c>
      <c r="ID131" t="s">
        <v>1045</v>
      </c>
      <c r="IF131">
        <v>0</v>
      </c>
      <c r="IG131" t="s">
        <v>1042</v>
      </c>
      <c r="II131" t="s">
        <v>1042</v>
      </c>
      <c r="IR131" t="s">
        <v>1045</v>
      </c>
      <c r="IT131">
        <v>0</v>
      </c>
      <c r="IY131" t="s">
        <v>1044</v>
      </c>
      <c r="IZ131" t="s">
        <v>1043</v>
      </c>
      <c r="JC131" t="s">
        <v>1043</v>
      </c>
      <c r="JE131">
        <v>0</v>
      </c>
      <c r="JF131">
        <v>0</v>
      </c>
      <c r="JI131" t="s">
        <v>1042</v>
      </c>
      <c r="JJ131">
        <v>0</v>
      </c>
      <c r="JK131">
        <v>0</v>
      </c>
      <c r="JL131">
        <v>0</v>
      </c>
      <c r="JM131">
        <v>0</v>
      </c>
      <c r="JQ131" t="s">
        <v>1043</v>
      </c>
      <c r="JT131">
        <v>0</v>
      </c>
      <c r="JU131" t="s">
        <v>1042</v>
      </c>
      <c r="JW131">
        <v>0</v>
      </c>
      <c r="KA131">
        <v>0</v>
      </c>
      <c r="KF131">
        <v>0</v>
      </c>
      <c r="KG131">
        <v>0</v>
      </c>
      <c r="KH131">
        <v>0</v>
      </c>
      <c r="KI131">
        <v>0</v>
      </c>
      <c r="KS131" t="s">
        <v>1073</v>
      </c>
      <c r="KT131">
        <v>0</v>
      </c>
      <c r="KU131">
        <v>0</v>
      </c>
      <c r="KV131">
        <v>0</v>
      </c>
      <c r="KX131">
        <v>0</v>
      </c>
      <c r="KZ131">
        <v>0</v>
      </c>
      <c r="LF131">
        <v>0</v>
      </c>
      <c r="LH131">
        <v>0</v>
      </c>
      <c r="LI131">
        <v>0</v>
      </c>
    </row>
    <row r="132" spans="1:321" x14ac:dyDescent="0.35">
      <c r="A132">
        <v>1</v>
      </c>
      <c r="B132">
        <v>12365</v>
      </c>
      <c r="C132" t="s">
        <v>1575</v>
      </c>
      <c r="D132" t="s">
        <v>1139</v>
      </c>
      <c r="E132" t="s">
        <v>85</v>
      </c>
      <c r="F132">
        <v>80</v>
      </c>
      <c r="G132">
        <v>9000</v>
      </c>
      <c r="H132">
        <v>0</v>
      </c>
      <c r="I132" t="s">
        <v>1442</v>
      </c>
      <c r="L132">
        <v>0</v>
      </c>
      <c r="M132">
        <v>0</v>
      </c>
      <c r="N132">
        <v>0</v>
      </c>
      <c r="R132">
        <v>0</v>
      </c>
      <c r="S132">
        <v>0</v>
      </c>
      <c r="W132" t="s">
        <v>1060</v>
      </c>
      <c r="X132">
        <v>0</v>
      </c>
      <c r="Z132">
        <v>1</v>
      </c>
      <c r="AA132">
        <v>0</v>
      </c>
      <c r="AB132">
        <v>0</v>
      </c>
      <c r="AC132">
        <v>2.59</v>
      </c>
      <c r="AD132" s="20">
        <v>40785</v>
      </c>
      <c r="AE132">
        <v>2.5</v>
      </c>
      <c r="AF132">
        <v>0</v>
      </c>
      <c r="AH132">
        <v>0</v>
      </c>
      <c r="AJ132">
        <v>0</v>
      </c>
      <c r="AL132">
        <v>0</v>
      </c>
      <c r="AM132">
        <v>0</v>
      </c>
      <c r="AN132">
        <v>16601001</v>
      </c>
      <c r="AO132">
        <v>0</v>
      </c>
      <c r="AP132">
        <v>1000</v>
      </c>
      <c r="AT132">
        <v>0</v>
      </c>
      <c r="AU132" t="s">
        <v>1059</v>
      </c>
      <c r="AW132" t="s">
        <v>1053</v>
      </c>
      <c r="AX132">
        <v>0</v>
      </c>
      <c r="AY132" s="20">
        <v>40785</v>
      </c>
      <c r="BA132" s="20">
        <v>40785</v>
      </c>
      <c r="BB132" t="s">
        <v>1058</v>
      </c>
      <c r="BD132">
        <v>0</v>
      </c>
      <c r="BF132" t="s">
        <v>1043</v>
      </c>
      <c r="BG132" t="s">
        <v>1042</v>
      </c>
      <c r="BH132">
        <v>0</v>
      </c>
      <c r="BI132">
        <v>1</v>
      </c>
      <c r="BJ132">
        <v>0</v>
      </c>
      <c r="BK132">
        <v>0</v>
      </c>
      <c r="BM132" t="s">
        <v>1042</v>
      </c>
      <c r="BN132">
        <v>0</v>
      </c>
      <c r="BR132" t="s">
        <v>1043</v>
      </c>
      <c r="BS132" t="s">
        <v>1043</v>
      </c>
      <c r="BT132" t="s">
        <v>1043</v>
      </c>
      <c r="BW132">
        <v>83</v>
      </c>
      <c r="CA132">
        <v>0</v>
      </c>
      <c r="CB132" t="s">
        <v>1057</v>
      </c>
      <c r="CE132" t="s">
        <v>1043</v>
      </c>
      <c r="CH132" t="s">
        <v>1043</v>
      </c>
      <c r="CN132" t="s">
        <v>1056</v>
      </c>
      <c r="CO132" t="s">
        <v>1043</v>
      </c>
      <c r="CP132">
        <v>1</v>
      </c>
      <c r="CQ132">
        <v>0</v>
      </c>
      <c r="CS132">
        <v>0</v>
      </c>
      <c r="CT132">
        <v>0</v>
      </c>
      <c r="CU132">
        <v>0</v>
      </c>
      <c r="CV132" t="s">
        <v>1045</v>
      </c>
      <c r="CW132">
        <v>0</v>
      </c>
      <c r="CX132">
        <v>0</v>
      </c>
      <c r="CY132">
        <v>0</v>
      </c>
      <c r="CZ132">
        <v>0</v>
      </c>
      <c r="DB132">
        <v>0</v>
      </c>
      <c r="DC132" t="s">
        <v>1043</v>
      </c>
      <c r="DF132" t="s">
        <v>1055</v>
      </c>
      <c r="DH132">
        <v>0</v>
      </c>
      <c r="DJ132">
        <v>0</v>
      </c>
      <c r="DK132" t="s">
        <v>1053</v>
      </c>
      <c r="DL132">
        <v>0</v>
      </c>
      <c r="DN132">
        <v>0</v>
      </c>
      <c r="DO132" t="s">
        <v>1042</v>
      </c>
      <c r="DP132">
        <v>0</v>
      </c>
      <c r="DQ132">
        <v>0</v>
      </c>
      <c r="DS132">
        <v>0</v>
      </c>
      <c r="DU132">
        <v>0</v>
      </c>
      <c r="DW132">
        <v>0</v>
      </c>
      <c r="DX132" t="s">
        <v>1043</v>
      </c>
      <c r="DY132">
        <v>0</v>
      </c>
      <c r="DZ132">
        <v>0</v>
      </c>
      <c r="EA132">
        <v>0</v>
      </c>
      <c r="ED132" t="s">
        <v>1045</v>
      </c>
      <c r="EE132">
        <v>0</v>
      </c>
      <c r="EF132">
        <v>0</v>
      </c>
      <c r="EQ132" t="s">
        <v>1044</v>
      </c>
      <c r="ES132" t="s">
        <v>1053</v>
      </c>
      <c r="ET132">
        <v>0</v>
      </c>
      <c r="EV132">
        <v>0</v>
      </c>
      <c r="EY132" t="s">
        <v>1052</v>
      </c>
      <c r="EZ132">
        <v>0</v>
      </c>
      <c r="FA132" t="s">
        <v>1043</v>
      </c>
      <c r="FB132">
        <v>0</v>
      </c>
      <c r="FC132">
        <v>0</v>
      </c>
      <c r="FE132" t="s">
        <v>1050</v>
      </c>
      <c r="FF132">
        <v>0</v>
      </c>
      <c r="FG132" t="s">
        <v>1050</v>
      </c>
      <c r="FJ132">
        <v>0</v>
      </c>
      <c r="FK132">
        <v>0</v>
      </c>
      <c r="FP132">
        <v>0</v>
      </c>
      <c r="FR132">
        <v>0</v>
      </c>
      <c r="FS132" t="s">
        <v>1043</v>
      </c>
      <c r="FX132" t="s">
        <v>1042</v>
      </c>
      <c r="FZ132" t="s">
        <v>1048</v>
      </c>
      <c r="GA132">
        <v>0</v>
      </c>
      <c r="GB132" t="s">
        <v>1042</v>
      </c>
      <c r="GE132">
        <v>0</v>
      </c>
      <c r="GG132">
        <v>0</v>
      </c>
      <c r="GN132">
        <v>0</v>
      </c>
      <c r="GO132" t="s">
        <v>1063</v>
      </c>
      <c r="GQ132">
        <v>0</v>
      </c>
      <c r="GU132">
        <v>0</v>
      </c>
      <c r="GY132" t="s">
        <v>1045</v>
      </c>
      <c r="HB132">
        <v>0</v>
      </c>
      <c r="HE132">
        <v>0</v>
      </c>
      <c r="HF132">
        <v>0</v>
      </c>
      <c r="HG132">
        <v>0</v>
      </c>
      <c r="HK132" t="s">
        <v>1042</v>
      </c>
      <c r="HM132" t="s">
        <v>1047</v>
      </c>
      <c r="HN132">
        <v>0</v>
      </c>
      <c r="HP132">
        <v>0</v>
      </c>
      <c r="HQ132">
        <v>0</v>
      </c>
      <c r="HR132" t="s">
        <v>1042</v>
      </c>
      <c r="HS132" t="s">
        <v>1043</v>
      </c>
      <c r="HT132">
        <v>0</v>
      </c>
      <c r="HU132">
        <v>0</v>
      </c>
      <c r="HW132">
        <v>0</v>
      </c>
      <c r="HX132">
        <v>0</v>
      </c>
      <c r="HY132">
        <v>0</v>
      </c>
      <c r="HZ132" t="s">
        <v>1045</v>
      </c>
      <c r="IA132">
        <v>0</v>
      </c>
      <c r="IB132" t="s">
        <v>1045</v>
      </c>
      <c r="ID132" t="s">
        <v>1045</v>
      </c>
      <c r="IF132">
        <v>0</v>
      </c>
      <c r="IG132" t="s">
        <v>1042</v>
      </c>
      <c r="II132" t="s">
        <v>1042</v>
      </c>
      <c r="IR132" t="s">
        <v>1045</v>
      </c>
      <c r="IT132">
        <v>0</v>
      </c>
      <c r="IY132" t="s">
        <v>1044</v>
      </c>
      <c r="IZ132" t="s">
        <v>1043</v>
      </c>
      <c r="JC132" t="s">
        <v>1043</v>
      </c>
      <c r="JE132">
        <v>0</v>
      </c>
      <c r="JF132">
        <v>0</v>
      </c>
      <c r="JI132" t="s">
        <v>1042</v>
      </c>
      <c r="JJ132">
        <v>0</v>
      </c>
      <c r="JK132">
        <v>0</v>
      </c>
      <c r="JL132">
        <v>0</v>
      </c>
      <c r="JM132">
        <v>0</v>
      </c>
      <c r="JQ132" t="s">
        <v>1043</v>
      </c>
      <c r="JT132">
        <v>0</v>
      </c>
      <c r="JU132" t="s">
        <v>1042</v>
      </c>
      <c r="JW132">
        <v>0</v>
      </c>
      <c r="KA132">
        <v>0</v>
      </c>
      <c r="KF132">
        <v>0</v>
      </c>
      <c r="KG132">
        <v>0</v>
      </c>
      <c r="KH132">
        <v>0</v>
      </c>
      <c r="KI132">
        <v>0</v>
      </c>
      <c r="KS132" t="s">
        <v>1073</v>
      </c>
      <c r="KT132">
        <v>0</v>
      </c>
      <c r="KU132">
        <v>0</v>
      </c>
      <c r="KV132">
        <v>0</v>
      </c>
      <c r="KX132">
        <v>0</v>
      </c>
      <c r="KZ132">
        <v>0</v>
      </c>
      <c r="LF132">
        <v>0</v>
      </c>
      <c r="LH132">
        <v>0</v>
      </c>
      <c r="LI132">
        <v>0</v>
      </c>
    </row>
    <row r="133" spans="1:321" x14ac:dyDescent="0.35">
      <c r="A133">
        <v>1</v>
      </c>
      <c r="B133">
        <v>12366</v>
      </c>
      <c r="C133" t="s">
        <v>1574</v>
      </c>
      <c r="D133" t="s">
        <v>1139</v>
      </c>
      <c r="E133" t="s">
        <v>85</v>
      </c>
      <c r="F133">
        <v>80</v>
      </c>
      <c r="G133">
        <v>9000</v>
      </c>
      <c r="H133">
        <v>0</v>
      </c>
      <c r="I133" t="s">
        <v>1442</v>
      </c>
      <c r="L133">
        <v>0</v>
      </c>
      <c r="M133">
        <v>0</v>
      </c>
      <c r="N133">
        <v>0</v>
      </c>
      <c r="R133">
        <v>0</v>
      </c>
      <c r="S133">
        <v>0</v>
      </c>
      <c r="W133" t="s">
        <v>1060</v>
      </c>
      <c r="X133">
        <v>0</v>
      </c>
      <c r="Z133">
        <v>1</v>
      </c>
      <c r="AA133">
        <v>0</v>
      </c>
      <c r="AB133">
        <v>0</v>
      </c>
      <c r="AC133">
        <v>2.59</v>
      </c>
      <c r="AD133" s="20">
        <v>40785</v>
      </c>
      <c r="AE133">
        <v>2.5</v>
      </c>
      <c r="AF133">
        <v>0</v>
      </c>
      <c r="AH133">
        <v>0</v>
      </c>
      <c r="AJ133">
        <v>0</v>
      </c>
      <c r="AL133">
        <v>0</v>
      </c>
      <c r="AM133">
        <v>0</v>
      </c>
      <c r="AN133">
        <v>16601001</v>
      </c>
      <c r="AO133">
        <v>0</v>
      </c>
      <c r="AP133">
        <v>1000</v>
      </c>
      <c r="AT133">
        <v>0</v>
      </c>
      <c r="AU133" t="s">
        <v>1059</v>
      </c>
      <c r="AW133" t="s">
        <v>1053</v>
      </c>
      <c r="AX133">
        <v>0</v>
      </c>
      <c r="AY133" s="20">
        <v>40785</v>
      </c>
      <c r="BA133" s="20">
        <v>40785</v>
      </c>
      <c r="BB133" t="s">
        <v>1058</v>
      </c>
      <c r="BD133">
        <v>0</v>
      </c>
      <c r="BF133" t="s">
        <v>1043</v>
      </c>
      <c r="BG133" t="s">
        <v>1042</v>
      </c>
      <c r="BH133">
        <v>0</v>
      </c>
      <c r="BI133">
        <v>1</v>
      </c>
      <c r="BJ133">
        <v>0</v>
      </c>
      <c r="BK133">
        <v>0</v>
      </c>
      <c r="BM133" t="s">
        <v>1042</v>
      </c>
      <c r="BN133">
        <v>0</v>
      </c>
      <c r="BR133" t="s">
        <v>1043</v>
      </c>
      <c r="BS133" t="s">
        <v>1043</v>
      </c>
      <c r="BT133" t="s">
        <v>1043</v>
      </c>
      <c r="BW133">
        <v>83</v>
      </c>
      <c r="CA133">
        <v>0</v>
      </c>
      <c r="CB133" t="s">
        <v>1057</v>
      </c>
      <c r="CE133" t="s">
        <v>1043</v>
      </c>
      <c r="CH133" t="s">
        <v>1043</v>
      </c>
      <c r="CN133" t="s">
        <v>1056</v>
      </c>
      <c r="CO133" t="s">
        <v>1043</v>
      </c>
      <c r="CP133">
        <v>1</v>
      </c>
      <c r="CQ133">
        <v>0</v>
      </c>
      <c r="CS133">
        <v>0</v>
      </c>
      <c r="CT133">
        <v>0</v>
      </c>
      <c r="CU133">
        <v>0</v>
      </c>
      <c r="CV133" t="s">
        <v>1045</v>
      </c>
      <c r="CW133">
        <v>0</v>
      </c>
      <c r="CX133">
        <v>0</v>
      </c>
      <c r="CY133">
        <v>0</v>
      </c>
      <c r="CZ133">
        <v>0</v>
      </c>
      <c r="DB133">
        <v>0</v>
      </c>
      <c r="DC133" t="s">
        <v>1043</v>
      </c>
      <c r="DF133" t="s">
        <v>1055</v>
      </c>
      <c r="DH133">
        <v>0</v>
      </c>
      <c r="DJ133">
        <v>0</v>
      </c>
      <c r="DK133" t="s">
        <v>1053</v>
      </c>
      <c r="DL133">
        <v>0</v>
      </c>
      <c r="DN133">
        <v>0</v>
      </c>
      <c r="DO133" t="s">
        <v>1042</v>
      </c>
      <c r="DP133">
        <v>0</v>
      </c>
      <c r="DQ133">
        <v>0</v>
      </c>
      <c r="DS133">
        <v>0</v>
      </c>
      <c r="DU133">
        <v>0</v>
      </c>
      <c r="DW133">
        <v>0</v>
      </c>
      <c r="DX133" t="s">
        <v>1043</v>
      </c>
      <c r="DY133">
        <v>0</v>
      </c>
      <c r="DZ133">
        <v>0</v>
      </c>
      <c r="EA133">
        <v>0</v>
      </c>
      <c r="ED133" t="s">
        <v>1045</v>
      </c>
      <c r="EE133">
        <v>0</v>
      </c>
      <c r="EF133">
        <v>0</v>
      </c>
      <c r="EQ133" t="s">
        <v>1044</v>
      </c>
      <c r="ES133" t="s">
        <v>1053</v>
      </c>
      <c r="ET133">
        <v>0</v>
      </c>
      <c r="EV133">
        <v>0</v>
      </c>
      <c r="EY133" t="s">
        <v>1052</v>
      </c>
      <c r="EZ133">
        <v>0</v>
      </c>
      <c r="FA133" t="s">
        <v>1043</v>
      </c>
      <c r="FB133">
        <v>0</v>
      </c>
      <c r="FC133">
        <v>0</v>
      </c>
      <c r="FE133" t="s">
        <v>1050</v>
      </c>
      <c r="FF133">
        <v>0</v>
      </c>
      <c r="FG133" t="s">
        <v>1050</v>
      </c>
      <c r="FJ133">
        <v>0</v>
      </c>
      <c r="FK133">
        <v>0</v>
      </c>
      <c r="FP133">
        <v>0</v>
      </c>
      <c r="FR133">
        <v>0</v>
      </c>
      <c r="FS133" t="s">
        <v>1043</v>
      </c>
      <c r="FX133" t="s">
        <v>1042</v>
      </c>
      <c r="FZ133" t="s">
        <v>1048</v>
      </c>
      <c r="GA133">
        <v>0</v>
      </c>
      <c r="GB133" t="s">
        <v>1042</v>
      </c>
      <c r="GE133">
        <v>0</v>
      </c>
      <c r="GG133">
        <v>0</v>
      </c>
      <c r="GN133">
        <v>0</v>
      </c>
      <c r="GO133" t="s">
        <v>1063</v>
      </c>
      <c r="GQ133">
        <v>0</v>
      </c>
      <c r="GU133">
        <v>0</v>
      </c>
      <c r="GY133" t="s">
        <v>1045</v>
      </c>
      <c r="HB133">
        <v>0</v>
      </c>
      <c r="HE133">
        <v>0</v>
      </c>
      <c r="HF133">
        <v>0</v>
      </c>
      <c r="HG133">
        <v>0</v>
      </c>
      <c r="HK133" t="s">
        <v>1042</v>
      </c>
      <c r="HM133" t="s">
        <v>1047</v>
      </c>
      <c r="HN133">
        <v>0</v>
      </c>
      <c r="HP133">
        <v>0</v>
      </c>
      <c r="HQ133">
        <v>0</v>
      </c>
      <c r="HR133" t="s">
        <v>1042</v>
      </c>
      <c r="HS133" t="s">
        <v>1043</v>
      </c>
      <c r="HT133">
        <v>0</v>
      </c>
      <c r="HU133">
        <v>0</v>
      </c>
      <c r="HW133">
        <v>0</v>
      </c>
      <c r="HX133">
        <v>0</v>
      </c>
      <c r="HY133">
        <v>0</v>
      </c>
      <c r="HZ133" t="s">
        <v>1045</v>
      </c>
      <c r="IA133">
        <v>0</v>
      </c>
      <c r="IB133" t="s">
        <v>1045</v>
      </c>
      <c r="ID133" t="s">
        <v>1045</v>
      </c>
      <c r="IF133">
        <v>0</v>
      </c>
      <c r="IG133" t="s">
        <v>1042</v>
      </c>
      <c r="II133" t="s">
        <v>1042</v>
      </c>
      <c r="IR133" t="s">
        <v>1045</v>
      </c>
      <c r="IT133">
        <v>0</v>
      </c>
      <c r="IY133" t="s">
        <v>1044</v>
      </c>
      <c r="IZ133" t="s">
        <v>1043</v>
      </c>
      <c r="JC133" t="s">
        <v>1043</v>
      </c>
      <c r="JE133">
        <v>0</v>
      </c>
      <c r="JF133">
        <v>0</v>
      </c>
      <c r="JI133" t="s">
        <v>1042</v>
      </c>
      <c r="JJ133">
        <v>0</v>
      </c>
      <c r="JK133">
        <v>0</v>
      </c>
      <c r="JL133">
        <v>0</v>
      </c>
      <c r="JM133">
        <v>0</v>
      </c>
      <c r="JQ133" t="s">
        <v>1043</v>
      </c>
      <c r="JT133">
        <v>0</v>
      </c>
      <c r="JU133" t="s">
        <v>1042</v>
      </c>
      <c r="JW133">
        <v>0</v>
      </c>
      <c r="KA133">
        <v>0</v>
      </c>
      <c r="KF133">
        <v>0</v>
      </c>
      <c r="KG133">
        <v>0</v>
      </c>
      <c r="KH133">
        <v>0</v>
      </c>
      <c r="KI133">
        <v>0</v>
      </c>
      <c r="KS133" t="s">
        <v>1073</v>
      </c>
      <c r="KT133">
        <v>0</v>
      </c>
      <c r="KU133">
        <v>0</v>
      </c>
      <c r="KV133">
        <v>0</v>
      </c>
      <c r="KX133">
        <v>0</v>
      </c>
      <c r="KZ133">
        <v>0</v>
      </c>
      <c r="LF133">
        <v>0</v>
      </c>
      <c r="LH133">
        <v>0</v>
      </c>
      <c r="LI133">
        <v>0</v>
      </c>
    </row>
    <row r="134" spans="1:321" x14ac:dyDescent="0.35">
      <c r="A134">
        <v>1</v>
      </c>
      <c r="B134">
        <v>12367</v>
      </c>
      <c r="C134" t="s">
        <v>1573</v>
      </c>
      <c r="D134" t="s">
        <v>1139</v>
      </c>
      <c r="E134" t="s">
        <v>85</v>
      </c>
      <c r="F134">
        <v>80</v>
      </c>
      <c r="G134">
        <v>9000</v>
      </c>
      <c r="H134">
        <v>0</v>
      </c>
      <c r="I134" t="s">
        <v>1442</v>
      </c>
      <c r="L134">
        <v>0</v>
      </c>
      <c r="M134">
        <v>0</v>
      </c>
      <c r="N134">
        <v>0</v>
      </c>
      <c r="R134">
        <v>0</v>
      </c>
      <c r="S134">
        <v>0</v>
      </c>
      <c r="W134" t="s">
        <v>1060</v>
      </c>
      <c r="X134">
        <v>0</v>
      </c>
      <c r="Z134">
        <v>1</v>
      </c>
      <c r="AA134">
        <v>0</v>
      </c>
      <c r="AB134">
        <v>0</v>
      </c>
      <c r="AC134">
        <v>2.59</v>
      </c>
      <c r="AD134" s="20">
        <v>40785</v>
      </c>
      <c r="AE134">
        <v>2.5</v>
      </c>
      <c r="AF134">
        <v>0</v>
      </c>
      <c r="AH134">
        <v>0</v>
      </c>
      <c r="AJ134">
        <v>0</v>
      </c>
      <c r="AL134">
        <v>0</v>
      </c>
      <c r="AM134">
        <v>0</v>
      </c>
      <c r="AN134">
        <v>16601001</v>
      </c>
      <c r="AO134">
        <v>0</v>
      </c>
      <c r="AP134">
        <v>1000</v>
      </c>
      <c r="AT134">
        <v>0</v>
      </c>
      <c r="AU134" t="s">
        <v>1059</v>
      </c>
      <c r="AW134" t="s">
        <v>1053</v>
      </c>
      <c r="AX134">
        <v>0</v>
      </c>
      <c r="AY134" s="20">
        <v>40785</v>
      </c>
      <c r="BA134" s="20">
        <v>40785</v>
      </c>
      <c r="BB134" t="s">
        <v>1058</v>
      </c>
      <c r="BD134">
        <v>0</v>
      </c>
      <c r="BF134" t="s">
        <v>1043</v>
      </c>
      <c r="BG134" t="s">
        <v>1042</v>
      </c>
      <c r="BH134">
        <v>0</v>
      </c>
      <c r="BI134">
        <v>1</v>
      </c>
      <c r="BJ134">
        <v>0</v>
      </c>
      <c r="BK134">
        <v>0</v>
      </c>
      <c r="BM134" t="s">
        <v>1042</v>
      </c>
      <c r="BN134">
        <v>0</v>
      </c>
      <c r="BR134" t="s">
        <v>1043</v>
      </c>
      <c r="BS134" t="s">
        <v>1043</v>
      </c>
      <c r="BT134" t="s">
        <v>1043</v>
      </c>
      <c r="BW134">
        <v>83</v>
      </c>
      <c r="CA134">
        <v>0</v>
      </c>
      <c r="CB134" t="s">
        <v>1057</v>
      </c>
      <c r="CE134" t="s">
        <v>1043</v>
      </c>
      <c r="CH134" t="s">
        <v>1043</v>
      </c>
      <c r="CN134" t="s">
        <v>1056</v>
      </c>
      <c r="CO134" t="s">
        <v>1043</v>
      </c>
      <c r="CP134">
        <v>1</v>
      </c>
      <c r="CQ134">
        <v>0</v>
      </c>
      <c r="CS134">
        <v>0</v>
      </c>
      <c r="CT134">
        <v>0</v>
      </c>
      <c r="CU134">
        <v>0</v>
      </c>
      <c r="CV134" t="s">
        <v>1045</v>
      </c>
      <c r="CW134">
        <v>0</v>
      </c>
      <c r="CX134">
        <v>0</v>
      </c>
      <c r="CY134">
        <v>0</v>
      </c>
      <c r="CZ134">
        <v>0</v>
      </c>
      <c r="DB134">
        <v>0</v>
      </c>
      <c r="DC134" t="s">
        <v>1043</v>
      </c>
      <c r="DF134" t="s">
        <v>1055</v>
      </c>
      <c r="DH134">
        <v>0</v>
      </c>
      <c r="DJ134">
        <v>0</v>
      </c>
      <c r="DK134" t="s">
        <v>1053</v>
      </c>
      <c r="DL134">
        <v>0</v>
      </c>
      <c r="DN134">
        <v>0</v>
      </c>
      <c r="DO134" t="s">
        <v>1042</v>
      </c>
      <c r="DP134">
        <v>0</v>
      </c>
      <c r="DQ134">
        <v>0</v>
      </c>
      <c r="DS134">
        <v>0</v>
      </c>
      <c r="DU134">
        <v>0</v>
      </c>
      <c r="DW134">
        <v>0</v>
      </c>
      <c r="DX134" t="s">
        <v>1043</v>
      </c>
      <c r="DY134">
        <v>0</v>
      </c>
      <c r="DZ134">
        <v>0</v>
      </c>
      <c r="EA134">
        <v>0</v>
      </c>
      <c r="ED134" t="s">
        <v>1045</v>
      </c>
      <c r="EE134">
        <v>0</v>
      </c>
      <c r="EF134">
        <v>0</v>
      </c>
      <c r="EQ134" t="s">
        <v>1044</v>
      </c>
      <c r="ES134" t="s">
        <v>1053</v>
      </c>
      <c r="ET134">
        <v>0</v>
      </c>
      <c r="EV134">
        <v>0</v>
      </c>
      <c r="EY134" t="s">
        <v>1052</v>
      </c>
      <c r="EZ134">
        <v>0</v>
      </c>
      <c r="FA134" t="s">
        <v>1043</v>
      </c>
      <c r="FB134">
        <v>0</v>
      </c>
      <c r="FC134">
        <v>0</v>
      </c>
      <c r="FE134" t="s">
        <v>1050</v>
      </c>
      <c r="FF134">
        <v>0</v>
      </c>
      <c r="FG134" t="s">
        <v>1050</v>
      </c>
      <c r="FJ134">
        <v>0</v>
      </c>
      <c r="FK134">
        <v>0</v>
      </c>
      <c r="FP134">
        <v>0</v>
      </c>
      <c r="FR134">
        <v>0</v>
      </c>
      <c r="FS134" t="s">
        <v>1043</v>
      </c>
      <c r="FX134" t="s">
        <v>1042</v>
      </c>
      <c r="FZ134" t="s">
        <v>1048</v>
      </c>
      <c r="GA134">
        <v>0</v>
      </c>
      <c r="GB134" t="s">
        <v>1042</v>
      </c>
      <c r="GE134">
        <v>0</v>
      </c>
      <c r="GG134">
        <v>0</v>
      </c>
      <c r="GN134">
        <v>0</v>
      </c>
      <c r="GO134" t="s">
        <v>1063</v>
      </c>
      <c r="GQ134">
        <v>0</v>
      </c>
      <c r="GU134">
        <v>0</v>
      </c>
      <c r="GY134" t="s">
        <v>1045</v>
      </c>
      <c r="HB134">
        <v>0</v>
      </c>
      <c r="HE134">
        <v>0</v>
      </c>
      <c r="HF134">
        <v>0</v>
      </c>
      <c r="HG134">
        <v>0</v>
      </c>
      <c r="HK134" t="s">
        <v>1042</v>
      </c>
      <c r="HM134" t="s">
        <v>1047</v>
      </c>
      <c r="HN134">
        <v>0</v>
      </c>
      <c r="HP134">
        <v>0</v>
      </c>
      <c r="HQ134">
        <v>0</v>
      </c>
      <c r="HR134" t="s">
        <v>1042</v>
      </c>
      <c r="HS134" t="s">
        <v>1043</v>
      </c>
      <c r="HT134">
        <v>0</v>
      </c>
      <c r="HU134">
        <v>0</v>
      </c>
      <c r="HW134">
        <v>0</v>
      </c>
      <c r="HX134">
        <v>0</v>
      </c>
      <c r="HY134">
        <v>0</v>
      </c>
      <c r="HZ134" t="s">
        <v>1045</v>
      </c>
      <c r="IA134">
        <v>0</v>
      </c>
      <c r="IB134" t="s">
        <v>1045</v>
      </c>
      <c r="ID134" t="s">
        <v>1045</v>
      </c>
      <c r="IF134">
        <v>0</v>
      </c>
      <c r="IG134" t="s">
        <v>1042</v>
      </c>
      <c r="II134" t="s">
        <v>1042</v>
      </c>
      <c r="IR134" t="s">
        <v>1045</v>
      </c>
      <c r="IT134">
        <v>0</v>
      </c>
      <c r="IY134" t="s">
        <v>1044</v>
      </c>
      <c r="IZ134" t="s">
        <v>1043</v>
      </c>
      <c r="JC134" t="s">
        <v>1043</v>
      </c>
      <c r="JE134">
        <v>0</v>
      </c>
      <c r="JF134">
        <v>0</v>
      </c>
      <c r="JI134" t="s">
        <v>1042</v>
      </c>
      <c r="JJ134">
        <v>0</v>
      </c>
      <c r="JK134">
        <v>0</v>
      </c>
      <c r="JL134">
        <v>0</v>
      </c>
      <c r="JM134">
        <v>0</v>
      </c>
      <c r="JQ134" t="s">
        <v>1043</v>
      </c>
      <c r="JT134">
        <v>0</v>
      </c>
      <c r="JU134" t="s">
        <v>1042</v>
      </c>
      <c r="JW134">
        <v>0</v>
      </c>
      <c r="KA134">
        <v>0</v>
      </c>
      <c r="KF134">
        <v>0</v>
      </c>
      <c r="KG134">
        <v>0</v>
      </c>
      <c r="KH134">
        <v>0</v>
      </c>
      <c r="KI134">
        <v>0</v>
      </c>
      <c r="KS134" t="s">
        <v>1073</v>
      </c>
      <c r="KT134">
        <v>0</v>
      </c>
      <c r="KU134">
        <v>0</v>
      </c>
      <c r="KV134">
        <v>0</v>
      </c>
      <c r="KX134">
        <v>0</v>
      </c>
      <c r="KZ134">
        <v>0</v>
      </c>
      <c r="LF134">
        <v>0</v>
      </c>
      <c r="LH134">
        <v>0</v>
      </c>
      <c r="LI134">
        <v>0</v>
      </c>
    </row>
    <row r="135" spans="1:321" x14ac:dyDescent="0.35">
      <c r="A135">
        <v>1</v>
      </c>
      <c r="B135">
        <v>12368</v>
      </c>
      <c r="C135" t="s">
        <v>1572</v>
      </c>
      <c r="D135" t="s">
        <v>1139</v>
      </c>
      <c r="E135" t="s">
        <v>85</v>
      </c>
      <c r="F135">
        <v>80</v>
      </c>
      <c r="G135">
        <v>9000</v>
      </c>
      <c r="H135">
        <v>0</v>
      </c>
      <c r="I135" t="s">
        <v>1442</v>
      </c>
      <c r="L135">
        <v>0</v>
      </c>
      <c r="M135">
        <v>0</v>
      </c>
      <c r="N135">
        <v>0</v>
      </c>
      <c r="R135">
        <v>0</v>
      </c>
      <c r="S135">
        <v>0</v>
      </c>
      <c r="W135" t="s">
        <v>1060</v>
      </c>
      <c r="X135">
        <v>0</v>
      </c>
      <c r="Z135">
        <v>1</v>
      </c>
      <c r="AA135">
        <v>0</v>
      </c>
      <c r="AB135">
        <v>0</v>
      </c>
      <c r="AC135">
        <v>2.59</v>
      </c>
      <c r="AD135" s="20">
        <v>40785</v>
      </c>
      <c r="AE135">
        <v>2.5</v>
      </c>
      <c r="AF135">
        <v>0</v>
      </c>
      <c r="AH135">
        <v>0</v>
      </c>
      <c r="AJ135">
        <v>0</v>
      </c>
      <c r="AL135">
        <v>0</v>
      </c>
      <c r="AM135">
        <v>0</v>
      </c>
      <c r="AN135">
        <v>16601001</v>
      </c>
      <c r="AO135">
        <v>0</v>
      </c>
      <c r="AP135">
        <v>1000</v>
      </c>
      <c r="AT135">
        <v>0</v>
      </c>
      <c r="AU135" t="s">
        <v>1059</v>
      </c>
      <c r="AW135" t="s">
        <v>1053</v>
      </c>
      <c r="AX135">
        <v>0</v>
      </c>
      <c r="AY135" s="20">
        <v>40785</v>
      </c>
      <c r="BA135" s="20">
        <v>40785</v>
      </c>
      <c r="BB135" t="s">
        <v>1058</v>
      </c>
      <c r="BD135">
        <v>0</v>
      </c>
      <c r="BF135" t="s">
        <v>1043</v>
      </c>
      <c r="BG135" t="s">
        <v>1042</v>
      </c>
      <c r="BH135">
        <v>0</v>
      </c>
      <c r="BI135">
        <v>1</v>
      </c>
      <c r="BJ135">
        <v>0</v>
      </c>
      <c r="BK135">
        <v>0</v>
      </c>
      <c r="BM135" t="s">
        <v>1042</v>
      </c>
      <c r="BN135">
        <v>0</v>
      </c>
      <c r="BR135" t="s">
        <v>1043</v>
      </c>
      <c r="BS135" t="s">
        <v>1043</v>
      </c>
      <c r="BT135" t="s">
        <v>1043</v>
      </c>
      <c r="BW135">
        <v>83</v>
      </c>
      <c r="CA135">
        <v>0</v>
      </c>
      <c r="CB135" t="s">
        <v>1057</v>
      </c>
      <c r="CE135" t="s">
        <v>1043</v>
      </c>
      <c r="CH135" t="s">
        <v>1043</v>
      </c>
      <c r="CN135" t="s">
        <v>1056</v>
      </c>
      <c r="CO135" t="s">
        <v>1043</v>
      </c>
      <c r="CP135">
        <v>1</v>
      </c>
      <c r="CQ135">
        <v>0</v>
      </c>
      <c r="CS135">
        <v>0</v>
      </c>
      <c r="CT135">
        <v>0</v>
      </c>
      <c r="CU135">
        <v>0</v>
      </c>
      <c r="CV135" t="s">
        <v>1045</v>
      </c>
      <c r="CW135">
        <v>0</v>
      </c>
      <c r="CX135">
        <v>0</v>
      </c>
      <c r="CY135">
        <v>0</v>
      </c>
      <c r="CZ135">
        <v>0</v>
      </c>
      <c r="DB135">
        <v>0</v>
      </c>
      <c r="DC135" t="s">
        <v>1043</v>
      </c>
      <c r="DF135" t="s">
        <v>1055</v>
      </c>
      <c r="DH135">
        <v>0</v>
      </c>
      <c r="DJ135">
        <v>0</v>
      </c>
      <c r="DK135" t="s">
        <v>1053</v>
      </c>
      <c r="DL135">
        <v>0</v>
      </c>
      <c r="DN135">
        <v>0</v>
      </c>
      <c r="DO135" t="s">
        <v>1042</v>
      </c>
      <c r="DP135">
        <v>0</v>
      </c>
      <c r="DQ135">
        <v>0</v>
      </c>
      <c r="DS135">
        <v>0</v>
      </c>
      <c r="DU135">
        <v>0</v>
      </c>
      <c r="DW135">
        <v>0</v>
      </c>
      <c r="DX135" t="s">
        <v>1043</v>
      </c>
      <c r="DY135">
        <v>0</v>
      </c>
      <c r="DZ135">
        <v>0</v>
      </c>
      <c r="EA135">
        <v>0</v>
      </c>
      <c r="ED135" t="s">
        <v>1045</v>
      </c>
      <c r="EE135">
        <v>0</v>
      </c>
      <c r="EF135">
        <v>0</v>
      </c>
      <c r="EQ135" t="s">
        <v>1044</v>
      </c>
      <c r="ES135" t="s">
        <v>1053</v>
      </c>
      <c r="ET135">
        <v>0</v>
      </c>
      <c r="EV135">
        <v>0</v>
      </c>
      <c r="EY135" t="s">
        <v>1052</v>
      </c>
      <c r="EZ135">
        <v>0</v>
      </c>
      <c r="FA135" t="s">
        <v>1043</v>
      </c>
      <c r="FB135">
        <v>0</v>
      </c>
      <c r="FC135">
        <v>0</v>
      </c>
      <c r="FE135" t="s">
        <v>1050</v>
      </c>
      <c r="FF135">
        <v>0</v>
      </c>
      <c r="FG135" t="s">
        <v>1050</v>
      </c>
      <c r="FJ135">
        <v>0</v>
      </c>
      <c r="FK135">
        <v>0</v>
      </c>
      <c r="FP135">
        <v>0</v>
      </c>
      <c r="FR135">
        <v>0</v>
      </c>
      <c r="FS135" t="s">
        <v>1043</v>
      </c>
      <c r="FX135" t="s">
        <v>1042</v>
      </c>
      <c r="FZ135" t="s">
        <v>1048</v>
      </c>
      <c r="GA135">
        <v>0</v>
      </c>
      <c r="GB135" t="s">
        <v>1042</v>
      </c>
      <c r="GE135">
        <v>0</v>
      </c>
      <c r="GG135">
        <v>0</v>
      </c>
      <c r="GN135">
        <v>0</v>
      </c>
      <c r="GO135" t="s">
        <v>1063</v>
      </c>
      <c r="GQ135">
        <v>0</v>
      </c>
      <c r="GU135">
        <v>0</v>
      </c>
      <c r="GY135" t="s">
        <v>1045</v>
      </c>
      <c r="HB135">
        <v>0</v>
      </c>
      <c r="HE135">
        <v>0</v>
      </c>
      <c r="HF135">
        <v>0</v>
      </c>
      <c r="HG135">
        <v>0</v>
      </c>
      <c r="HK135" t="s">
        <v>1042</v>
      </c>
      <c r="HM135" t="s">
        <v>1047</v>
      </c>
      <c r="HN135">
        <v>0</v>
      </c>
      <c r="HP135">
        <v>0</v>
      </c>
      <c r="HQ135">
        <v>0</v>
      </c>
      <c r="HR135" t="s">
        <v>1042</v>
      </c>
      <c r="HS135" t="s">
        <v>1043</v>
      </c>
      <c r="HT135">
        <v>0</v>
      </c>
      <c r="HU135">
        <v>0</v>
      </c>
      <c r="HW135">
        <v>0</v>
      </c>
      <c r="HX135">
        <v>0</v>
      </c>
      <c r="HY135">
        <v>0</v>
      </c>
      <c r="HZ135" t="s">
        <v>1045</v>
      </c>
      <c r="IA135">
        <v>0</v>
      </c>
      <c r="IB135" t="s">
        <v>1045</v>
      </c>
      <c r="ID135" t="s">
        <v>1045</v>
      </c>
      <c r="IF135">
        <v>0</v>
      </c>
      <c r="IG135" t="s">
        <v>1042</v>
      </c>
      <c r="II135" t="s">
        <v>1042</v>
      </c>
      <c r="IR135" t="s">
        <v>1045</v>
      </c>
      <c r="IT135">
        <v>0</v>
      </c>
      <c r="IY135" t="s">
        <v>1044</v>
      </c>
      <c r="IZ135" t="s">
        <v>1043</v>
      </c>
      <c r="JC135" t="s">
        <v>1043</v>
      </c>
      <c r="JE135">
        <v>0</v>
      </c>
      <c r="JF135">
        <v>0</v>
      </c>
      <c r="JI135" t="s">
        <v>1042</v>
      </c>
      <c r="JJ135">
        <v>0</v>
      </c>
      <c r="JK135">
        <v>0</v>
      </c>
      <c r="JL135">
        <v>0</v>
      </c>
      <c r="JM135">
        <v>0</v>
      </c>
      <c r="JQ135" t="s">
        <v>1043</v>
      </c>
      <c r="JT135">
        <v>0</v>
      </c>
      <c r="JU135" t="s">
        <v>1042</v>
      </c>
      <c r="JW135">
        <v>0</v>
      </c>
      <c r="KA135">
        <v>0</v>
      </c>
      <c r="KF135">
        <v>0</v>
      </c>
      <c r="KG135">
        <v>0</v>
      </c>
      <c r="KH135">
        <v>0</v>
      </c>
      <c r="KI135">
        <v>0</v>
      </c>
      <c r="KS135" t="s">
        <v>1073</v>
      </c>
      <c r="KT135">
        <v>0</v>
      </c>
      <c r="KU135">
        <v>0</v>
      </c>
      <c r="KV135">
        <v>0</v>
      </c>
      <c r="KX135">
        <v>0</v>
      </c>
      <c r="KZ135">
        <v>0</v>
      </c>
      <c r="LF135">
        <v>0</v>
      </c>
      <c r="LH135">
        <v>0</v>
      </c>
      <c r="LI135">
        <v>0</v>
      </c>
    </row>
    <row r="136" spans="1:321" x14ac:dyDescent="0.35">
      <c r="A136">
        <v>1</v>
      </c>
      <c r="B136">
        <v>12369</v>
      </c>
      <c r="C136" t="s">
        <v>1571</v>
      </c>
      <c r="D136" t="s">
        <v>1139</v>
      </c>
      <c r="E136" t="s">
        <v>85</v>
      </c>
      <c r="F136">
        <v>80</v>
      </c>
      <c r="G136">
        <v>9000</v>
      </c>
      <c r="H136">
        <v>0</v>
      </c>
      <c r="I136" t="s">
        <v>1442</v>
      </c>
      <c r="L136">
        <v>0</v>
      </c>
      <c r="M136">
        <v>0</v>
      </c>
      <c r="N136">
        <v>0</v>
      </c>
      <c r="R136">
        <v>0</v>
      </c>
      <c r="S136">
        <v>0</v>
      </c>
      <c r="W136" t="s">
        <v>1060</v>
      </c>
      <c r="X136">
        <v>0</v>
      </c>
      <c r="Z136">
        <v>1</v>
      </c>
      <c r="AA136">
        <v>0</v>
      </c>
      <c r="AB136">
        <v>0</v>
      </c>
      <c r="AC136">
        <v>2.59</v>
      </c>
      <c r="AD136" s="20">
        <v>40785</v>
      </c>
      <c r="AE136">
        <v>2.5</v>
      </c>
      <c r="AF136">
        <v>0</v>
      </c>
      <c r="AH136">
        <v>0</v>
      </c>
      <c r="AJ136">
        <v>0</v>
      </c>
      <c r="AL136">
        <v>0</v>
      </c>
      <c r="AM136">
        <v>0</v>
      </c>
      <c r="AN136">
        <v>16601001</v>
      </c>
      <c r="AO136">
        <v>0</v>
      </c>
      <c r="AP136">
        <v>1000</v>
      </c>
      <c r="AT136">
        <v>0</v>
      </c>
      <c r="AU136" t="s">
        <v>1059</v>
      </c>
      <c r="AW136" t="s">
        <v>1053</v>
      </c>
      <c r="AX136">
        <v>0</v>
      </c>
      <c r="AY136" s="20">
        <v>40785</v>
      </c>
      <c r="BA136" s="20">
        <v>40785</v>
      </c>
      <c r="BB136" t="s">
        <v>1058</v>
      </c>
      <c r="BD136">
        <v>0</v>
      </c>
      <c r="BF136" t="s">
        <v>1043</v>
      </c>
      <c r="BG136" t="s">
        <v>1042</v>
      </c>
      <c r="BH136">
        <v>0</v>
      </c>
      <c r="BI136">
        <v>1</v>
      </c>
      <c r="BJ136">
        <v>0</v>
      </c>
      <c r="BK136">
        <v>0</v>
      </c>
      <c r="BM136" t="s">
        <v>1042</v>
      </c>
      <c r="BN136">
        <v>0</v>
      </c>
      <c r="BR136" t="s">
        <v>1043</v>
      </c>
      <c r="BS136" t="s">
        <v>1043</v>
      </c>
      <c r="BT136" t="s">
        <v>1043</v>
      </c>
      <c r="BW136">
        <v>83</v>
      </c>
      <c r="CA136">
        <v>0</v>
      </c>
      <c r="CB136" t="s">
        <v>1057</v>
      </c>
      <c r="CE136" t="s">
        <v>1043</v>
      </c>
      <c r="CH136" t="s">
        <v>1043</v>
      </c>
      <c r="CN136" t="s">
        <v>1056</v>
      </c>
      <c r="CO136" t="s">
        <v>1043</v>
      </c>
      <c r="CP136">
        <v>1</v>
      </c>
      <c r="CQ136">
        <v>0</v>
      </c>
      <c r="CS136">
        <v>0</v>
      </c>
      <c r="CT136">
        <v>0</v>
      </c>
      <c r="CU136">
        <v>0</v>
      </c>
      <c r="CV136" t="s">
        <v>1045</v>
      </c>
      <c r="CW136">
        <v>0</v>
      </c>
      <c r="CX136">
        <v>0</v>
      </c>
      <c r="CY136">
        <v>0</v>
      </c>
      <c r="CZ136">
        <v>0</v>
      </c>
      <c r="DB136">
        <v>0</v>
      </c>
      <c r="DC136" t="s">
        <v>1043</v>
      </c>
      <c r="DF136" t="s">
        <v>1055</v>
      </c>
      <c r="DH136">
        <v>0</v>
      </c>
      <c r="DJ136">
        <v>0</v>
      </c>
      <c r="DK136" t="s">
        <v>1053</v>
      </c>
      <c r="DL136">
        <v>0</v>
      </c>
      <c r="DN136">
        <v>0</v>
      </c>
      <c r="DO136" t="s">
        <v>1042</v>
      </c>
      <c r="DP136">
        <v>0</v>
      </c>
      <c r="DQ136">
        <v>0</v>
      </c>
      <c r="DS136">
        <v>0</v>
      </c>
      <c r="DU136">
        <v>0</v>
      </c>
      <c r="DW136">
        <v>0</v>
      </c>
      <c r="DX136" t="s">
        <v>1043</v>
      </c>
      <c r="DY136">
        <v>0</v>
      </c>
      <c r="DZ136">
        <v>0</v>
      </c>
      <c r="EA136">
        <v>0</v>
      </c>
      <c r="ED136" t="s">
        <v>1045</v>
      </c>
      <c r="EE136">
        <v>0</v>
      </c>
      <c r="EF136">
        <v>0</v>
      </c>
      <c r="EQ136" t="s">
        <v>1044</v>
      </c>
      <c r="ES136" t="s">
        <v>1053</v>
      </c>
      <c r="ET136">
        <v>0</v>
      </c>
      <c r="EV136">
        <v>0</v>
      </c>
      <c r="EY136" t="s">
        <v>1052</v>
      </c>
      <c r="EZ136">
        <v>0</v>
      </c>
      <c r="FA136" t="s">
        <v>1043</v>
      </c>
      <c r="FB136">
        <v>0</v>
      </c>
      <c r="FC136">
        <v>0</v>
      </c>
      <c r="FE136" t="s">
        <v>1050</v>
      </c>
      <c r="FF136">
        <v>0</v>
      </c>
      <c r="FG136" t="s">
        <v>1050</v>
      </c>
      <c r="FJ136">
        <v>0</v>
      </c>
      <c r="FK136">
        <v>0</v>
      </c>
      <c r="FP136">
        <v>0</v>
      </c>
      <c r="FR136">
        <v>0</v>
      </c>
      <c r="FS136" t="s">
        <v>1043</v>
      </c>
      <c r="FX136" t="s">
        <v>1042</v>
      </c>
      <c r="FZ136" t="s">
        <v>1048</v>
      </c>
      <c r="GA136">
        <v>0</v>
      </c>
      <c r="GB136" t="s">
        <v>1042</v>
      </c>
      <c r="GE136">
        <v>0</v>
      </c>
      <c r="GG136">
        <v>0</v>
      </c>
      <c r="GN136">
        <v>0</v>
      </c>
      <c r="GO136" t="s">
        <v>1063</v>
      </c>
      <c r="GQ136">
        <v>0</v>
      </c>
      <c r="GU136">
        <v>0</v>
      </c>
      <c r="GY136" t="s">
        <v>1045</v>
      </c>
      <c r="HB136">
        <v>0</v>
      </c>
      <c r="HE136">
        <v>0</v>
      </c>
      <c r="HF136">
        <v>0</v>
      </c>
      <c r="HG136">
        <v>0</v>
      </c>
      <c r="HK136" t="s">
        <v>1042</v>
      </c>
      <c r="HM136" t="s">
        <v>1047</v>
      </c>
      <c r="HN136">
        <v>0</v>
      </c>
      <c r="HP136">
        <v>0</v>
      </c>
      <c r="HQ136">
        <v>0</v>
      </c>
      <c r="HR136" t="s">
        <v>1042</v>
      </c>
      <c r="HS136" t="s">
        <v>1043</v>
      </c>
      <c r="HT136">
        <v>0</v>
      </c>
      <c r="HU136">
        <v>0</v>
      </c>
      <c r="HW136">
        <v>0</v>
      </c>
      <c r="HX136">
        <v>0</v>
      </c>
      <c r="HY136">
        <v>0</v>
      </c>
      <c r="HZ136" t="s">
        <v>1045</v>
      </c>
      <c r="IA136">
        <v>0</v>
      </c>
      <c r="IB136" t="s">
        <v>1045</v>
      </c>
      <c r="ID136" t="s">
        <v>1045</v>
      </c>
      <c r="IF136">
        <v>0</v>
      </c>
      <c r="IG136" t="s">
        <v>1042</v>
      </c>
      <c r="II136" t="s">
        <v>1042</v>
      </c>
      <c r="IR136" t="s">
        <v>1045</v>
      </c>
      <c r="IT136">
        <v>0</v>
      </c>
      <c r="IY136" t="s">
        <v>1044</v>
      </c>
      <c r="IZ136" t="s">
        <v>1043</v>
      </c>
      <c r="JC136" t="s">
        <v>1043</v>
      </c>
      <c r="JE136">
        <v>0</v>
      </c>
      <c r="JF136">
        <v>0</v>
      </c>
      <c r="JI136" t="s">
        <v>1042</v>
      </c>
      <c r="JJ136">
        <v>0</v>
      </c>
      <c r="JK136">
        <v>0</v>
      </c>
      <c r="JL136">
        <v>0</v>
      </c>
      <c r="JM136">
        <v>0</v>
      </c>
      <c r="JQ136" t="s">
        <v>1043</v>
      </c>
      <c r="JT136">
        <v>0</v>
      </c>
      <c r="JU136" t="s">
        <v>1042</v>
      </c>
      <c r="JW136">
        <v>0</v>
      </c>
      <c r="KA136">
        <v>0</v>
      </c>
      <c r="KF136">
        <v>0</v>
      </c>
      <c r="KG136">
        <v>0</v>
      </c>
      <c r="KH136">
        <v>0</v>
      </c>
      <c r="KI136">
        <v>0</v>
      </c>
      <c r="KS136" t="s">
        <v>1073</v>
      </c>
      <c r="KT136">
        <v>0</v>
      </c>
      <c r="KU136">
        <v>0</v>
      </c>
      <c r="KV136">
        <v>0</v>
      </c>
      <c r="KX136">
        <v>0</v>
      </c>
      <c r="KZ136">
        <v>0</v>
      </c>
      <c r="LF136">
        <v>0</v>
      </c>
      <c r="LH136">
        <v>0</v>
      </c>
      <c r="LI136">
        <v>0</v>
      </c>
    </row>
    <row r="137" spans="1:321" x14ac:dyDescent="0.35">
      <c r="A137">
        <v>1</v>
      </c>
      <c r="B137">
        <v>1237</v>
      </c>
      <c r="C137" t="s">
        <v>636</v>
      </c>
      <c r="D137" t="s">
        <v>1061</v>
      </c>
      <c r="E137" t="s">
        <v>587</v>
      </c>
      <c r="F137">
        <v>1</v>
      </c>
      <c r="G137">
        <v>160</v>
      </c>
      <c r="H137">
        <v>0</v>
      </c>
      <c r="I137" t="s">
        <v>991</v>
      </c>
      <c r="L137">
        <v>0</v>
      </c>
      <c r="M137">
        <v>0</v>
      </c>
      <c r="N137">
        <v>0</v>
      </c>
      <c r="Q137">
        <v>516</v>
      </c>
      <c r="R137">
        <v>0</v>
      </c>
      <c r="S137">
        <v>0</v>
      </c>
      <c r="W137" t="s">
        <v>1060</v>
      </c>
      <c r="X137">
        <v>0</v>
      </c>
      <c r="Z137">
        <v>25</v>
      </c>
      <c r="AA137">
        <v>36.668799999999997</v>
      </c>
      <c r="AB137">
        <v>4436</v>
      </c>
      <c r="AC137">
        <v>1.0923</v>
      </c>
      <c r="AD137" s="20">
        <v>42178</v>
      </c>
      <c r="AE137">
        <v>1.387</v>
      </c>
      <c r="AF137">
        <v>0.14399999999999999</v>
      </c>
      <c r="AH137">
        <v>3928</v>
      </c>
      <c r="AJ137">
        <v>1</v>
      </c>
      <c r="AK137" t="s">
        <v>1154</v>
      </c>
      <c r="AL137">
        <v>54000</v>
      </c>
      <c r="AM137">
        <v>176</v>
      </c>
      <c r="AN137">
        <v>11501001</v>
      </c>
      <c r="AO137">
        <v>0</v>
      </c>
      <c r="AP137">
        <v>1001</v>
      </c>
      <c r="AT137">
        <v>1</v>
      </c>
      <c r="AU137" t="s">
        <v>1059</v>
      </c>
      <c r="AV137" t="s">
        <v>1043</v>
      </c>
      <c r="AW137" t="s">
        <v>1053</v>
      </c>
      <c r="AX137">
        <v>5</v>
      </c>
      <c r="AY137" s="20">
        <v>42178</v>
      </c>
      <c r="BA137" s="20">
        <v>44526</v>
      </c>
      <c r="BB137" t="s">
        <v>1058</v>
      </c>
      <c r="BD137">
        <v>0</v>
      </c>
      <c r="BF137" t="s">
        <v>1044</v>
      </c>
      <c r="BG137" s="20">
        <v>40787</v>
      </c>
      <c r="BH137">
        <v>0</v>
      </c>
      <c r="BI137">
        <v>33</v>
      </c>
      <c r="BJ137">
        <v>0</v>
      </c>
      <c r="BK137">
        <v>0</v>
      </c>
      <c r="BM137" s="20">
        <v>40793</v>
      </c>
      <c r="BN137">
        <v>0</v>
      </c>
      <c r="BO137">
        <v>7897801309660</v>
      </c>
      <c r="BR137" t="s">
        <v>1043</v>
      </c>
      <c r="BS137" t="s">
        <v>1043</v>
      </c>
      <c r="BT137" t="s">
        <v>1043</v>
      </c>
      <c r="BV137">
        <v>1</v>
      </c>
      <c r="BW137">
        <v>30</v>
      </c>
      <c r="BY137">
        <v>66</v>
      </c>
      <c r="CA137">
        <v>0</v>
      </c>
      <c r="CB137" t="s">
        <v>1043</v>
      </c>
      <c r="CE137" t="s">
        <v>1043</v>
      </c>
      <c r="CH137" t="s">
        <v>1043</v>
      </c>
      <c r="CI137" t="s">
        <v>1383</v>
      </c>
      <c r="CK137" t="s">
        <v>1152</v>
      </c>
      <c r="CN137" t="s">
        <v>1056</v>
      </c>
      <c r="CP137">
        <v>1</v>
      </c>
      <c r="CQ137">
        <v>1500</v>
      </c>
      <c r="CS137">
        <v>0</v>
      </c>
      <c r="CT137">
        <v>0</v>
      </c>
      <c r="CU137">
        <v>0</v>
      </c>
      <c r="CV137" t="s">
        <v>1045</v>
      </c>
      <c r="CW137">
        <v>0</v>
      </c>
      <c r="CX137">
        <v>0</v>
      </c>
      <c r="CY137">
        <v>0</v>
      </c>
      <c r="CZ137">
        <v>0</v>
      </c>
      <c r="DA137">
        <v>26</v>
      </c>
      <c r="DB137">
        <v>15000</v>
      </c>
      <c r="DH137">
        <v>0</v>
      </c>
      <c r="DJ137">
        <v>0</v>
      </c>
      <c r="DL137">
        <v>0</v>
      </c>
      <c r="DN137">
        <v>0</v>
      </c>
      <c r="DO137" t="s">
        <v>1042</v>
      </c>
      <c r="DP137">
        <v>0</v>
      </c>
      <c r="DQ137">
        <v>7.6</v>
      </c>
      <c r="DS137">
        <v>0</v>
      </c>
      <c r="DU137">
        <v>1.65</v>
      </c>
      <c r="DW137">
        <v>0</v>
      </c>
      <c r="DY137">
        <v>0</v>
      </c>
      <c r="DZ137">
        <v>0</v>
      </c>
      <c r="EA137">
        <v>0</v>
      </c>
      <c r="EB137">
        <v>17897801309667</v>
      </c>
      <c r="EE137">
        <v>0</v>
      </c>
      <c r="EF137">
        <v>0</v>
      </c>
      <c r="EK137" t="s">
        <v>1570</v>
      </c>
      <c r="EL137">
        <v>57897801309665</v>
      </c>
      <c r="EN137" t="s">
        <v>1511</v>
      </c>
      <c r="EO137" t="s">
        <v>1044</v>
      </c>
      <c r="ET137">
        <v>0</v>
      </c>
      <c r="EV137">
        <v>0</v>
      </c>
      <c r="EY137" t="s">
        <v>1052</v>
      </c>
      <c r="EZ137">
        <v>0</v>
      </c>
      <c r="FA137" t="s">
        <v>1043</v>
      </c>
      <c r="FB137">
        <v>0</v>
      </c>
      <c r="FC137">
        <v>0</v>
      </c>
      <c r="FD137" t="s">
        <v>1051</v>
      </c>
      <c r="FE137" t="s">
        <v>1050</v>
      </c>
      <c r="FF137">
        <v>0</v>
      </c>
      <c r="FG137" t="s">
        <v>1050</v>
      </c>
      <c r="FH137">
        <v>27897801309664</v>
      </c>
      <c r="FJ137">
        <v>0</v>
      </c>
      <c r="FK137">
        <v>0</v>
      </c>
      <c r="FP137">
        <v>0</v>
      </c>
      <c r="FR137">
        <v>0</v>
      </c>
      <c r="FS137" t="s">
        <v>1043</v>
      </c>
      <c r="FX137" t="s">
        <v>1042</v>
      </c>
      <c r="GA137">
        <v>0</v>
      </c>
      <c r="GB137" t="s">
        <v>1042</v>
      </c>
      <c r="GD137">
        <v>16</v>
      </c>
      <c r="GE137">
        <v>0</v>
      </c>
      <c r="GG137">
        <v>0</v>
      </c>
      <c r="GN137">
        <v>0</v>
      </c>
      <c r="GO137" t="s">
        <v>1049</v>
      </c>
      <c r="GQ137">
        <v>0</v>
      </c>
      <c r="GU137">
        <v>10</v>
      </c>
      <c r="GY137" t="s">
        <v>1045</v>
      </c>
      <c r="HB137">
        <v>0</v>
      </c>
      <c r="HE137">
        <v>12</v>
      </c>
      <c r="HF137">
        <v>25</v>
      </c>
      <c r="HG137">
        <v>5.0779999999999999E-2</v>
      </c>
      <c r="HK137" t="s">
        <v>1042</v>
      </c>
      <c r="HL137" t="s">
        <v>1048</v>
      </c>
      <c r="HM137">
        <v>0</v>
      </c>
      <c r="HN137">
        <v>0</v>
      </c>
      <c r="HO137">
        <v>26</v>
      </c>
      <c r="HP137">
        <v>0.14399999999999999</v>
      </c>
      <c r="HQ137">
        <v>0</v>
      </c>
      <c r="HR137" s="20">
        <v>44221</v>
      </c>
      <c r="HT137">
        <v>0</v>
      </c>
      <c r="HU137">
        <v>0</v>
      </c>
      <c r="HW137">
        <v>0</v>
      </c>
      <c r="HX137">
        <v>63012</v>
      </c>
      <c r="HY137">
        <v>0</v>
      </c>
      <c r="IA137">
        <v>0</v>
      </c>
      <c r="IF137">
        <v>1050</v>
      </c>
      <c r="IG137" s="20">
        <v>40365</v>
      </c>
      <c r="IH137" t="s">
        <v>1046</v>
      </c>
      <c r="II137" t="s">
        <v>1042</v>
      </c>
      <c r="IR137" t="s">
        <v>1045</v>
      </c>
      <c r="IT137">
        <v>0</v>
      </c>
      <c r="JE137">
        <v>0</v>
      </c>
      <c r="JF137">
        <v>0</v>
      </c>
      <c r="JI137" t="s">
        <v>1042</v>
      </c>
      <c r="JJ137">
        <v>0</v>
      </c>
      <c r="JK137">
        <v>0</v>
      </c>
      <c r="JL137">
        <v>0</v>
      </c>
      <c r="JM137">
        <v>0</v>
      </c>
      <c r="JT137">
        <v>0</v>
      </c>
      <c r="JU137" t="s">
        <v>1042</v>
      </c>
      <c r="JW137">
        <v>0</v>
      </c>
      <c r="KA137">
        <v>0</v>
      </c>
      <c r="KF137">
        <v>0</v>
      </c>
      <c r="KG137">
        <v>0</v>
      </c>
      <c r="KH137">
        <v>0</v>
      </c>
      <c r="KI137">
        <v>0</v>
      </c>
      <c r="KS137" t="s">
        <v>1041</v>
      </c>
      <c r="KT137">
        <v>0</v>
      </c>
      <c r="KU137">
        <v>0</v>
      </c>
      <c r="KV137">
        <v>0</v>
      </c>
      <c r="KX137">
        <v>0</v>
      </c>
      <c r="KZ137">
        <v>0</v>
      </c>
      <c r="LF137">
        <v>0</v>
      </c>
      <c r="LH137">
        <v>190008</v>
      </c>
      <c r="LI137">
        <v>0</v>
      </c>
    </row>
    <row r="138" spans="1:321" x14ac:dyDescent="0.35">
      <c r="A138">
        <v>1</v>
      </c>
      <c r="B138">
        <v>12370</v>
      </c>
      <c r="C138" t="s">
        <v>1569</v>
      </c>
      <c r="D138" t="s">
        <v>1139</v>
      </c>
      <c r="E138" t="s">
        <v>85</v>
      </c>
      <c r="F138">
        <v>80</v>
      </c>
      <c r="G138">
        <v>9000</v>
      </c>
      <c r="H138">
        <v>0</v>
      </c>
      <c r="I138" t="s">
        <v>1442</v>
      </c>
      <c r="L138">
        <v>0</v>
      </c>
      <c r="M138">
        <v>0</v>
      </c>
      <c r="N138">
        <v>0</v>
      </c>
      <c r="R138">
        <v>0</v>
      </c>
      <c r="S138">
        <v>0</v>
      </c>
      <c r="W138" t="s">
        <v>1060</v>
      </c>
      <c r="X138">
        <v>0</v>
      </c>
      <c r="Z138">
        <v>1</v>
      </c>
      <c r="AA138">
        <v>0</v>
      </c>
      <c r="AB138">
        <v>0</v>
      </c>
      <c r="AC138">
        <v>2.7549999999999999</v>
      </c>
      <c r="AD138" s="20">
        <v>40785</v>
      </c>
      <c r="AE138">
        <v>2.5</v>
      </c>
      <c r="AF138">
        <v>0</v>
      </c>
      <c r="AH138">
        <v>0</v>
      </c>
      <c r="AJ138">
        <v>0</v>
      </c>
      <c r="AL138">
        <v>0</v>
      </c>
      <c r="AM138">
        <v>0</v>
      </c>
      <c r="AN138">
        <v>16601001</v>
      </c>
      <c r="AO138">
        <v>0</v>
      </c>
      <c r="AP138">
        <v>1000</v>
      </c>
      <c r="AT138">
        <v>0</v>
      </c>
      <c r="AU138" t="s">
        <v>1059</v>
      </c>
      <c r="AW138" t="s">
        <v>1053</v>
      </c>
      <c r="AX138">
        <v>0</v>
      </c>
      <c r="AY138" s="20">
        <v>40785</v>
      </c>
      <c r="BA138" s="20">
        <v>40785</v>
      </c>
      <c r="BB138" t="s">
        <v>1058</v>
      </c>
      <c r="BD138">
        <v>0</v>
      </c>
      <c r="BF138" t="s">
        <v>1043</v>
      </c>
      <c r="BG138" t="s">
        <v>1042</v>
      </c>
      <c r="BH138">
        <v>0</v>
      </c>
      <c r="BI138">
        <v>1</v>
      </c>
      <c r="BJ138">
        <v>0</v>
      </c>
      <c r="BK138">
        <v>0</v>
      </c>
      <c r="BM138" t="s">
        <v>1042</v>
      </c>
      <c r="BN138">
        <v>0</v>
      </c>
      <c r="BR138" t="s">
        <v>1043</v>
      </c>
      <c r="BS138" t="s">
        <v>1043</v>
      </c>
      <c r="BT138" t="s">
        <v>1043</v>
      </c>
      <c r="BW138">
        <v>83</v>
      </c>
      <c r="CA138">
        <v>0</v>
      </c>
      <c r="CB138" t="s">
        <v>1057</v>
      </c>
      <c r="CE138" t="s">
        <v>1043</v>
      </c>
      <c r="CH138" t="s">
        <v>1043</v>
      </c>
      <c r="CN138" t="s">
        <v>1056</v>
      </c>
      <c r="CO138" t="s">
        <v>1043</v>
      </c>
      <c r="CP138">
        <v>1</v>
      </c>
      <c r="CQ138">
        <v>0</v>
      </c>
      <c r="CS138">
        <v>0</v>
      </c>
      <c r="CT138">
        <v>0</v>
      </c>
      <c r="CU138">
        <v>0</v>
      </c>
      <c r="CV138" t="s">
        <v>1045</v>
      </c>
      <c r="CW138">
        <v>0</v>
      </c>
      <c r="CX138">
        <v>0</v>
      </c>
      <c r="CY138">
        <v>0</v>
      </c>
      <c r="CZ138">
        <v>0</v>
      </c>
      <c r="DB138">
        <v>0</v>
      </c>
      <c r="DC138" t="s">
        <v>1043</v>
      </c>
      <c r="DF138" t="s">
        <v>1055</v>
      </c>
      <c r="DH138">
        <v>0</v>
      </c>
      <c r="DJ138">
        <v>0</v>
      </c>
      <c r="DK138" t="s">
        <v>1053</v>
      </c>
      <c r="DL138">
        <v>0</v>
      </c>
      <c r="DN138">
        <v>0</v>
      </c>
      <c r="DO138" t="s">
        <v>1042</v>
      </c>
      <c r="DP138">
        <v>0</v>
      </c>
      <c r="DQ138">
        <v>0</v>
      </c>
      <c r="DS138">
        <v>0</v>
      </c>
      <c r="DU138">
        <v>0</v>
      </c>
      <c r="DW138">
        <v>0</v>
      </c>
      <c r="DX138" t="s">
        <v>1043</v>
      </c>
      <c r="DY138">
        <v>0</v>
      </c>
      <c r="DZ138">
        <v>0</v>
      </c>
      <c r="EA138">
        <v>0</v>
      </c>
      <c r="ED138" t="s">
        <v>1045</v>
      </c>
      <c r="EE138">
        <v>0</v>
      </c>
      <c r="EF138">
        <v>0</v>
      </c>
      <c r="EQ138" t="s">
        <v>1044</v>
      </c>
      <c r="ES138" t="s">
        <v>1053</v>
      </c>
      <c r="ET138">
        <v>0</v>
      </c>
      <c r="EV138">
        <v>0</v>
      </c>
      <c r="EY138" t="s">
        <v>1052</v>
      </c>
      <c r="EZ138">
        <v>0</v>
      </c>
      <c r="FA138" t="s">
        <v>1043</v>
      </c>
      <c r="FB138">
        <v>0</v>
      </c>
      <c r="FC138">
        <v>0</v>
      </c>
      <c r="FE138" t="s">
        <v>1050</v>
      </c>
      <c r="FF138">
        <v>0</v>
      </c>
      <c r="FG138" t="s">
        <v>1050</v>
      </c>
      <c r="FJ138">
        <v>0</v>
      </c>
      <c r="FK138">
        <v>0</v>
      </c>
      <c r="FP138">
        <v>0</v>
      </c>
      <c r="FR138">
        <v>0</v>
      </c>
      <c r="FS138" t="s">
        <v>1043</v>
      </c>
      <c r="FX138" t="s">
        <v>1042</v>
      </c>
      <c r="FZ138" t="s">
        <v>1048</v>
      </c>
      <c r="GA138">
        <v>0</v>
      </c>
      <c r="GB138" t="s">
        <v>1042</v>
      </c>
      <c r="GE138">
        <v>0</v>
      </c>
      <c r="GG138">
        <v>0</v>
      </c>
      <c r="GN138">
        <v>0</v>
      </c>
      <c r="GO138" t="s">
        <v>1063</v>
      </c>
      <c r="GQ138">
        <v>0</v>
      </c>
      <c r="GU138">
        <v>0</v>
      </c>
      <c r="GY138" t="s">
        <v>1045</v>
      </c>
      <c r="HB138">
        <v>0</v>
      </c>
      <c r="HE138">
        <v>0</v>
      </c>
      <c r="HF138">
        <v>0</v>
      </c>
      <c r="HG138">
        <v>0</v>
      </c>
      <c r="HK138" t="s">
        <v>1042</v>
      </c>
      <c r="HM138" t="s">
        <v>1047</v>
      </c>
      <c r="HN138">
        <v>0</v>
      </c>
      <c r="HP138">
        <v>0</v>
      </c>
      <c r="HQ138">
        <v>0</v>
      </c>
      <c r="HR138" t="s">
        <v>1042</v>
      </c>
      <c r="HS138" t="s">
        <v>1043</v>
      </c>
      <c r="HT138">
        <v>0</v>
      </c>
      <c r="HU138">
        <v>0</v>
      </c>
      <c r="HW138">
        <v>0</v>
      </c>
      <c r="HX138">
        <v>0</v>
      </c>
      <c r="HY138">
        <v>0</v>
      </c>
      <c r="HZ138" t="s">
        <v>1045</v>
      </c>
      <c r="IA138">
        <v>0</v>
      </c>
      <c r="IB138" t="s">
        <v>1045</v>
      </c>
      <c r="ID138" t="s">
        <v>1045</v>
      </c>
      <c r="IF138">
        <v>0</v>
      </c>
      <c r="IG138" t="s">
        <v>1042</v>
      </c>
      <c r="II138" t="s">
        <v>1042</v>
      </c>
      <c r="IR138" t="s">
        <v>1045</v>
      </c>
      <c r="IT138">
        <v>0</v>
      </c>
      <c r="IY138" t="s">
        <v>1044</v>
      </c>
      <c r="IZ138" t="s">
        <v>1043</v>
      </c>
      <c r="JC138" t="s">
        <v>1043</v>
      </c>
      <c r="JE138">
        <v>0</v>
      </c>
      <c r="JF138">
        <v>0</v>
      </c>
      <c r="JI138" t="s">
        <v>1042</v>
      </c>
      <c r="JJ138">
        <v>0</v>
      </c>
      <c r="JK138">
        <v>0</v>
      </c>
      <c r="JL138">
        <v>0</v>
      </c>
      <c r="JM138">
        <v>0</v>
      </c>
      <c r="JQ138" t="s">
        <v>1043</v>
      </c>
      <c r="JT138">
        <v>0</v>
      </c>
      <c r="JU138" t="s">
        <v>1042</v>
      </c>
      <c r="JW138">
        <v>0</v>
      </c>
      <c r="KA138">
        <v>0</v>
      </c>
      <c r="KF138">
        <v>0</v>
      </c>
      <c r="KG138">
        <v>0</v>
      </c>
      <c r="KH138">
        <v>0</v>
      </c>
      <c r="KI138">
        <v>0</v>
      </c>
      <c r="KS138" t="s">
        <v>1073</v>
      </c>
      <c r="KT138">
        <v>0</v>
      </c>
      <c r="KU138">
        <v>0</v>
      </c>
      <c r="KV138">
        <v>0</v>
      </c>
      <c r="KX138">
        <v>0</v>
      </c>
      <c r="KZ138">
        <v>0</v>
      </c>
      <c r="LF138">
        <v>0</v>
      </c>
      <c r="LH138">
        <v>0</v>
      </c>
      <c r="LI138">
        <v>0</v>
      </c>
    </row>
    <row r="139" spans="1:321" x14ac:dyDescent="0.35">
      <c r="A139">
        <v>1</v>
      </c>
      <c r="B139">
        <v>12371</v>
      </c>
      <c r="C139" t="s">
        <v>1568</v>
      </c>
      <c r="D139" t="s">
        <v>1139</v>
      </c>
      <c r="E139" t="s">
        <v>85</v>
      </c>
      <c r="F139">
        <v>80</v>
      </c>
      <c r="G139">
        <v>9000</v>
      </c>
      <c r="H139">
        <v>0</v>
      </c>
      <c r="I139" t="s">
        <v>1442</v>
      </c>
      <c r="L139">
        <v>0</v>
      </c>
      <c r="M139">
        <v>0</v>
      </c>
      <c r="N139">
        <v>0</v>
      </c>
      <c r="R139">
        <v>0</v>
      </c>
      <c r="S139">
        <v>0</v>
      </c>
      <c r="W139" t="s">
        <v>1060</v>
      </c>
      <c r="X139">
        <v>0</v>
      </c>
      <c r="Z139">
        <v>1</v>
      </c>
      <c r="AA139">
        <v>0</v>
      </c>
      <c r="AB139">
        <v>0</v>
      </c>
      <c r="AC139">
        <v>2.59</v>
      </c>
      <c r="AD139" s="20">
        <v>40785</v>
      </c>
      <c r="AE139">
        <v>2.5</v>
      </c>
      <c r="AF139">
        <v>0</v>
      </c>
      <c r="AH139">
        <v>0</v>
      </c>
      <c r="AJ139">
        <v>0</v>
      </c>
      <c r="AL139">
        <v>0</v>
      </c>
      <c r="AM139">
        <v>0</v>
      </c>
      <c r="AN139">
        <v>16601001</v>
      </c>
      <c r="AO139">
        <v>0</v>
      </c>
      <c r="AP139">
        <v>1000</v>
      </c>
      <c r="AT139">
        <v>0</v>
      </c>
      <c r="AU139" t="s">
        <v>1059</v>
      </c>
      <c r="AW139" t="s">
        <v>1053</v>
      </c>
      <c r="AX139">
        <v>0</v>
      </c>
      <c r="AY139" s="20">
        <v>40785</v>
      </c>
      <c r="BA139" s="20">
        <v>40785</v>
      </c>
      <c r="BB139" t="s">
        <v>1058</v>
      </c>
      <c r="BD139">
        <v>0</v>
      </c>
      <c r="BF139" t="s">
        <v>1043</v>
      </c>
      <c r="BG139" t="s">
        <v>1042</v>
      </c>
      <c r="BH139">
        <v>0</v>
      </c>
      <c r="BI139">
        <v>1</v>
      </c>
      <c r="BJ139">
        <v>0</v>
      </c>
      <c r="BK139">
        <v>0</v>
      </c>
      <c r="BM139" t="s">
        <v>1042</v>
      </c>
      <c r="BN139">
        <v>0</v>
      </c>
      <c r="BR139" t="s">
        <v>1043</v>
      </c>
      <c r="BS139" t="s">
        <v>1043</v>
      </c>
      <c r="BT139" t="s">
        <v>1043</v>
      </c>
      <c r="BW139">
        <v>83</v>
      </c>
      <c r="CA139">
        <v>0</v>
      </c>
      <c r="CB139" t="s">
        <v>1057</v>
      </c>
      <c r="CE139" t="s">
        <v>1043</v>
      </c>
      <c r="CH139" t="s">
        <v>1043</v>
      </c>
      <c r="CN139" t="s">
        <v>1056</v>
      </c>
      <c r="CO139" t="s">
        <v>1043</v>
      </c>
      <c r="CP139">
        <v>1</v>
      </c>
      <c r="CQ139">
        <v>0</v>
      </c>
      <c r="CS139">
        <v>0</v>
      </c>
      <c r="CT139">
        <v>0</v>
      </c>
      <c r="CU139">
        <v>0</v>
      </c>
      <c r="CV139" t="s">
        <v>1045</v>
      </c>
      <c r="CW139">
        <v>0</v>
      </c>
      <c r="CX139">
        <v>0</v>
      </c>
      <c r="CY139">
        <v>0</v>
      </c>
      <c r="CZ139">
        <v>0</v>
      </c>
      <c r="DB139">
        <v>0</v>
      </c>
      <c r="DC139" t="s">
        <v>1043</v>
      </c>
      <c r="DF139" t="s">
        <v>1055</v>
      </c>
      <c r="DH139">
        <v>0</v>
      </c>
      <c r="DJ139">
        <v>0</v>
      </c>
      <c r="DK139" t="s">
        <v>1053</v>
      </c>
      <c r="DL139">
        <v>0</v>
      </c>
      <c r="DN139">
        <v>0</v>
      </c>
      <c r="DO139" t="s">
        <v>1042</v>
      </c>
      <c r="DP139">
        <v>0</v>
      </c>
      <c r="DQ139">
        <v>0</v>
      </c>
      <c r="DS139">
        <v>0</v>
      </c>
      <c r="DU139">
        <v>0</v>
      </c>
      <c r="DW139">
        <v>0</v>
      </c>
      <c r="DX139" t="s">
        <v>1043</v>
      </c>
      <c r="DY139">
        <v>0</v>
      </c>
      <c r="DZ139">
        <v>0</v>
      </c>
      <c r="EA139">
        <v>0</v>
      </c>
      <c r="ED139" t="s">
        <v>1045</v>
      </c>
      <c r="EE139">
        <v>0</v>
      </c>
      <c r="EF139">
        <v>0</v>
      </c>
      <c r="EQ139" t="s">
        <v>1044</v>
      </c>
      <c r="ES139" t="s">
        <v>1053</v>
      </c>
      <c r="ET139">
        <v>0</v>
      </c>
      <c r="EV139">
        <v>0</v>
      </c>
      <c r="EY139" t="s">
        <v>1052</v>
      </c>
      <c r="EZ139">
        <v>0</v>
      </c>
      <c r="FA139" t="s">
        <v>1043</v>
      </c>
      <c r="FB139">
        <v>0</v>
      </c>
      <c r="FC139">
        <v>0</v>
      </c>
      <c r="FE139" t="s">
        <v>1050</v>
      </c>
      <c r="FF139">
        <v>0</v>
      </c>
      <c r="FG139" t="s">
        <v>1050</v>
      </c>
      <c r="FJ139">
        <v>0</v>
      </c>
      <c r="FK139">
        <v>0</v>
      </c>
      <c r="FP139">
        <v>0</v>
      </c>
      <c r="FR139">
        <v>0</v>
      </c>
      <c r="FS139" t="s">
        <v>1043</v>
      </c>
      <c r="FX139" t="s">
        <v>1042</v>
      </c>
      <c r="FZ139" t="s">
        <v>1048</v>
      </c>
      <c r="GA139">
        <v>0</v>
      </c>
      <c r="GB139" t="s">
        <v>1042</v>
      </c>
      <c r="GE139">
        <v>0</v>
      </c>
      <c r="GG139">
        <v>0</v>
      </c>
      <c r="GN139">
        <v>0</v>
      </c>
      <c r="GO139" t="s">
        <v>1063</v>
      </c>
      <c r="GQ139">
        <v>0</v>
      </c>
      <c r="GU139">
        <v>0</v>
      </c>
      <c r="GY139" t="s">
        <v>1045</v>
      </c>
      <c r="HB139">
        <v>0</v>
      </c>
      <c r="HE139">
        <v>0</v>
      </c>
      <c r="HF139">
        <v>0</v>
      </c>
      <c r="HG139">
        <v>0</v>
      </c>
      <c r="HK139" t="s">
        <v>1042</v>
      </c>
      <c r="HM139" t="s">
        <v>1047</v>
      </c>
      <c r="HN139">
        <v>0</v>
      </c>
      <c r="HP139">
        <v>0</v>
      </c>
      <c r="HQ139">
        <v>0</v>
      </c>
      <c r="HR139" t="s">
        <v>1042</v>
      </c>
      <c r="HS139" t="s">
        <v>1043</v>
      </c>
      <c r="HT139">
        <v>0</v>
      </c>
      <c r="HU139">
        <v>0</v>
      </c>
      <c r="HW139">
        <v>0</v>
      </c>
      <c r="HX139">
        <v>0</v>
      </c>
      <c r="HY139">
        <v>0</v>
      </c>
      <c r="HZ139" t="s">
        <v>1045</v>
      </c>
      <c r="IA139">
        <v>0</v>
      </c>
      <c r="IB139" t="s">
        <v>1045</v>
      </c>
      <c r="ID139" t="s">
        <v>1045</v>
      </c>
      <c r="IF139">
        <v>0</v>
      </c>
      <c r="IG139" t="s">
        <v>1042</v>
      </c>
      <c r="II139" t="s">
        <v>1042</v>
      </c>
      <c r="IR139" t="s">
        <v>1045</v>
      </c>
      <c r="IT139">
        <v>0</v>
      </c>
      <c r="IY139" t="s">
        <v>1044</v>
      </c>
      <c r="IZ139" t="s">
        <v>1043</v>
      </c>
      <c r="JC139" t="s">
        <v>1043</v>
      </c>
      <c r="JE139">
        <v>0</v>
      </c>
      <c r="JF139">
        <v>0</v>
      </c>
      <c r="JI139" t="s">
        <v>1042</v>
      </c>
      <c r="JJ139">
        <v>0</v>
      </c>
      <c r="JK139">
        <v>0</v>
      </c>
      <c r="JL139">
        <v>0</v>
      </c>
      <c r="JM139">
        <v>0</v>
      </c>
      <c r="JQ139" t="s">
        <v>1043</v>
      </c>
      <c r="JT139">
        <v>0</v>
      </c>
      <c r="JU139" t="s">
        <v>1042</v>
      </c>
      <c r="JW139">
        <v>0</v>
      </c>
      <c r="KA139">
        <v>0</v>
      </c>
      <c r="KF139">
        <v>0</v>
      </c>
      <c r="KG139">
        <v>0</v>
      </c>
      <c r="KH139">
        <v>0</v>
      </c>
      <c r="KI139">
        <v>0</v>
      </c>
      <c r="KS139" t="s">
        <v>1073</v>
      </c>
      <c r="KT139">
        <v>0</v>
      </c>
      <c r="KU139">
        <v>0</v>
      </c>
      <c r="KV139">
        <v>0</v>
      </c>
      <c r="KX139">
        <v>0</v>
      </c>
      <c r="KZ139">
        <v>0</v>
      </c>
      <c r="LF139">
        <v>0</v>
      </c>
      <c r="LH139">
        <v>0</v>
      </c>
      <c r="LI139">
        <v>0</v>
      </c>
    </row>
    <row r="140" spans="1:321" x14ac:dyDescent="0.35">
      <c r="A140">
        <v>1</v>
      </c>
      <c r="B140">
        <v>12372</v>
      </c>
      <c r="C140" t="s">
        <v>1567</v>
      </c>
      <c r="D140" t="s">
        <v>1139</v>
      </c>
      <c r="E140" t="s">
        <v>85</v>
      </c>
      <c r="F140">
        <v>80</v>
      </c>
      <c r="G140">
        <v>9000</v>
      </c>
      <c r="H140">
        <v>0</v>
      </c>
      <c r="I140" t="s">
        <v>1442</v>
      </c>
      <c r="L140">
        <v>0</v>
      </c>
      <c r="M140">
        <v>0</v>
      </c>
      <c r="N140">
        <v>0</v>
      </c>
      <c r="R140">
        <v>0</v>
      </c>
      <c r="S140">
        <v>0</v>
      </c>
      <c r="W140" t="s">
        <v>1060</v>
      </c>
      <c r="X140">
        <v>0</v>
      </c>
      <c r="Z140">
        <v>1</v>
      </c>
      <c r="AA140">
        <v>0</v>
      </c>
      <c r="AB140">
        <v>0</v>
      </c>
      <c r="AC140">
        <v>2.59</v>
      </c>
      <c r="AD140" s="20">
        <v>40785</v>
      </c>
      <c r="AE140">
        <v>2.5</v>
      </c>
      <c r="AF140">
        <v>0</v>
      </c>
      <c r="AH140">
        <v>0</v>
      </c>
      <c r="AJ140">
        <v>0</v>
      </c>
      <c r="AL140">
        <v>0</v>
      </c>
      <c r="AM140">
        <v>0</v>
      </c>
      <c r="AN140">
        <v>16601001</v>
      </c>
      <c r="AO140">
        <v>0</v>
      </c>
      <c r="AP140">
        <v>1000</v>
      </c>
      <c r="AT140">
        <v>0</v>
      </c>
      <c r="AU140" t="s">
        <v>1059</v>
      </c>
      <c r="AW140" t="s">
        <v>1053</v>
      </c>
      <c r="AX140">
        <v>0</v>
      </c>
      <c r="AY140" s="20">
        <v>40785</v>
      </c>
      <c r="BA140" s="20">
        <v>40785</v>
      </c>
      <c r="BB140" t="s">
        <v>1058</v>
      </c>
      <c r="BD140">
        <v>0</v>
      </c>
      <c r="BF140" t="s">
        <v>1043</v>
      </c>
      <c r="BG140" t="s">
        <v>1042</v>
      </c>
      <c r="BH140">
        <v>0</v>
      </c>
      <c r="BI140">
        <v>1</v>
      </c>
      <c r="BJ140">
        <v>0</v>
      </c>
      <c r="BK140">
        <v>0</v>
      </c>
      <c r="BM140" t="s">
        <v>1042</v>
      </c>
      <c r="BN140">
        <v>0</v>
      </c>
      <c r="BR140" t="s">
        <v>1043</v>
      </c>
      <c r="BS140" t="s">
        <v>1043</v>
      </c>
      <c r="BT140" t="s">
        <v>1043</v>
      </c>
      <c r="BW140">
        <v>83</v>
      </c>
      <c r="CA140">
        <v>0</v>
      </c>
      <c r="CB140" t="s">
        <v>1057</v>
      </c>
      <c r="CE140" t="s">
        <v>1043</v>
      </c>
      <c r="CH140" t="s">
        <v>1043</v>
      </c>
      <c r="CN140" t="s">
        <v>1056</v>
      </c>
      <c r="CO140" t="s">
        <v>1043</v>
      </c>
      <c r="CP140">
        <v>1</v>
      </c>
      <c r="CQ140">
        <v>0</v>
      </c>
      <c r="CS140">
        <v>0</v>
      </c>
      <c r="CT140">
        <v>0</v>
      </c>
      <c r="CU140">
        <v>0</v>
      </c>
      <c r="CV140" t="s">
        <v>1045</v>
      </c>
      <c r="CW140">
        <v>0</v>
      </c>
      <c r="CX140">
        <v>0</v>
      </c>
      <c r="CY140">
        <v>0</v>
      </c>
      <c r="CZ140">
        <v>0</v>
      </c>
      <c r="DB140">
        <v>0</v>
      </c>
      <c r="DC140" t="s">
        <v>1043</v>
      </c>
      <c r="DF140" t="s">
        <v>1055</v>
      </c>
      <c r="DH140">
        <v>0</v>
      </c>
      <c r="DJ140">
        <v>0</v>
      </c>
      <c r="DK140" t="s">
        <v>1053</v>
      </c>
      <c r="DL140">
        <v>0</v>
      </c>
      <c r="DN140">
        <v>0</v>
      </c>
      <c r="DO140" t="s">
        <v>1042</v>
      </c>
      <c r="DP140">
        <v>0</v>
      </c>
      <c r="DQ140">
        <v>0</v>
      </c>
      <c r="DS140">
        <v>0</v>
      </c>
      <c r="DU140">
        <v>0</v>
      </c>
      <c r="DW140">
        <v>0</v>
      </c>
      <c r="DX140" t="s">
        <v>1043</v>
      </c>
      <c r="DY140">
        <v>0</v>
      </c>
      <c r="DZ140">
        <v>0</v>
      </c>
      <c r="EA140">
        <v>0</v>
      </c>
      <c r="ED140" t="s">
        <v>1045</v>
      </c>
      <c r="EE140">
        <v>0</v>
      </c>
      <c r="EF140">
        <v>0</v>
      </c>
      <c r="EQ140" t="s">
        <v>1044</v>
      </c>
      <c r="ES140" t="s">
        <v>1053</v>
      </c>
      <c r="ET140">
        <v>0</v>
      </c>
      <c r="EV140">
        <v>0</v>
      </c>
      <c r="EY140" t="s">
        <v>1052</v>
      </c>
      <c r="EZ140">
        <v>0</v>
      </c>
      <c r="FA140" t="s">
        <v>1043</v>
      </c>
      <c r="FB140">
        <v>0</v>
      </c>
      <c r="FC140">
        <v>0</v>
      </c>
      <c r="FE140" t="s">
        <v>1050</v>
      </c>
      <c r="FF140">
        <v>0</v>
      </c>
      <c r="FG140" t="s">
        <v>1050</v>
      </c>
      <c r="FJ140">
        <v>0</v>
      </c>
      <c r="FK140">
        <v>0</v>
      </c>
      <c r="FP140">
        <v>0</v>
      </c>
      <c r="FR140">
        <v>0</v>
      </c>
      <c r="FS140" t="s">
        <v>1043</v>
      </c>
      <c r="FX140" t="s">
        <v>1042</v>
      </c>
      <c r="FZ140" t="s">
        <v>1048</v>
      </c>
      <c r="GA140">
        <v>0</v>
      </c>
      <c r="GB140" t="s">
        <v>1042</v>
      </c>
      <c r="GE140">
        <v>0</v>
      </c>
      <c r="GG140">
        <v>0</v>
      </c>
      <c r="GN140">
        <v>0</v>
      </c>
      <c r="GO140" t="s">
        <v>1063</v>
      </c>
      <c r="GQ140">
        <v>0</v>
      </c>
      <c r="GU140">
        <v>0</v>
      </c>
      <c r="GY140" t="s">
        <v>1045</v>
      </c>
      <c r="HB140">
        <v>0</v>
      </c>
      <c r="HE140">
        <v>0</v>
      </c>
      <c r="HF140">
        <v>0</v>
      </c>
      <c r="HG140">
        <v>0</v>
      </c>
      <c r="HK140" t="s">
        <v>1042</v>
      </c>
      <c r="HM140" t="s">
        <v>1047</v>
      </c>
      <c r="HN140">
        <v>0</v>
      </c>
      <c r="HP140">
        <v>0</v>
      </c>
      <c r="HQ140">
        <v>0</v>
      </c>
      <c r="HR140" t="s">
        <v>1042</v>
      </c>
      <c r="HS140" t="s">
        <v>1043</v>
      </c>
      <c r="HT140">
        <v>0</v>
      </c>
      <c r="HU140">
        <v>0</v>
      </c>
      <c r="HW140">
        <v>0</v>
      </c>
      <c r="HX140">
        <v>0</v>
      </c>
      <c r="HY140">
        <v>0</v>
      </c>
      <c r="HZ140" t="s">
        <v>1045</v>
      </c>
      <c r="IA140">
        <v>0</v>
      </c>
      <c r="IB140" t="s">
        <v>1045</v>
      </c>
      <c r="ID140" t="s">
        <v>1045</v>
      </c>
      <c r="IF140">
        <v>0</v>
      </c>
      <c r="IG140" t="s">
        <v>1042</v>
      </c>
      <c r="II140" t="s">
        <v>1042</v>
      </c>
      <c r="IR140" t="s">
        <v>1045</v>
      </c>
      <c r="IT140">
        <v>0</v>
      </c>
      <c r="IY140" t="s">
        <v>1044</v>
      </c>
      <c r="IZ140" t="s">
        <v>1043</v>
      </c>
      <c r="JC140" t="s">
        <v>1043</v>
      </c>
      <c r="JE140">
        <v>0</v>
      </c>
      <c r="JF140">
        <v>0</v>
      </c>
      <c r="JI140" t="s">
        <v>1042</v>
      </c>
      <c r="JJ140">
        <v>0</v>
      </c>
      <c r="JK140">
        <v>0</v>
      </c>
      <c r="JL140">
        <v>0</v>
      </c>
      <c r="JM140">
        <v>0</v>
      </c>
      <c r="JQ140" t="s">
        <v>1043</v>
      </c>
      <c r="JT140">
        <v>0</v>
      </c>
      <c r="JU140" t="s">
        <v>1042</v>
      </c>
      <c r="JW140">
        <v>0</v>
      </c>
      <c r="KA140">
        <v>0</v>
      </c>
      <c r="KF140">
        <v>0</v>
      </c>
      <c r="KG140">
        <v>0</v>
      </c>
      <c r="KH140">
        <v>0</v>
      </c>
      <c r="KI140">
        <v>0</v>
      </c>
      <c r="KS140" t="s">
        <v>1073</v>
      </c>
      <c r="KT140">
        <v>0</v>
      </c>
      <c r="KU140">
        <v>0</v>
      </c>
      <c r="KV140">
        <v>0</v>
      </c>
      <c r="KX140">
        <v>0</v>
      </c>
      <c r="KZ140">
        <v>0</v>
      </c>
      <c r="LF140">
        <v>0</v>
      </c>
      <c r="LH140">
        <v>0</v>
      </c>
      <c r="LI140">
        <v>0</v>
      </c>
    </row>
    <row r="141" spans="1:321" x14ac:dyDescent="0.35">
      <c r="A141">
        <v>1</v>
      </c>
      <c r="B141">
        <v>12373</v>
      </c>
      <c r="C141" t="s">
        <v>1567</v>
      </c>
      <c r="D141" t="s">
        <v>1139</v>
      </c>
      <c r="E141" t="s">
        <v>85</v>
      </c>
      <c r="F141">
        <v>80</v>
      </c>
      <c r="G141">
        <v>9000</v>
      </c>
      <c r="H141">
        <v>0</v>
      </c>
      <c r="I141" t="s">
        <v>1050</v>
      </c>
      <c r="L141">
        <v>0</v>
      </c>
      <c r="M141">
        <v>0</v>
      </c>
      <c r="N141">
        <v>0</v>
      </c>
      <c r="R141">
        <v>0</v>
      </c>
      <c r="S141">
        <v>0</v>
      </c>
      <c r="W141" t="s">
        <v>1060</v>
      </c>
      <c r="X141">
        <v>0</v>
      </c>
      <c r="Z141">
        <v>1</v>
      </c>
      <c r="AA141">
        <v>0</v>
      </c>
      <c r="AB141">
        <v>0</v>
      </c>
      <c r="AC141">
        <v>0</v>
      </c>
      <c r="AD141" s="20">
        <v>40785</v>
      </c>
      <c r="AE141">
        <v>2.5</v>
      </c>
      <c r="AF141">
        <v>0</v>
      </c>
      <c r="AH141">
        <v>0</v>
      </c>
      <c r="AJ141">
        <v>0</v>
      </c>
      <c r="AL141">
        <v>0</v>
      </c>
      <c r="AM141">
        <v>0</v>
      </c>
      <c r="AN141">
        <v>16601001</v>
      </c>
      <c r="AO141">
        <v>0</v>
      </c>
      <c r="AP141">
        <v>1000</v>
      </c>
      <c r="AT141">
        <v>0</v>
      </c>
      <c r="AU141" t="s">
        <v>1059</v>
      </c>
      <c r="AW141" t="s">
        <v>1053</v>
      </c>
      <c r="AX141">
        <v>0</v>
      </c>
      <c r="AY141" s="20">
        <v>40785</v>
      </c>
      <c r="BA141" s="20">
        <v>40785</v>
      </c>
      <c r="BB141" t="s">
        <v>1058</v>
      </c>
      <c r="BD141">
        <v>0</v>
      </c>
      <c r="BF141" t="s">
        <v>1043</v>
      </c>
      <c r="BG141" t="s">
        <v>1042</v>
      </c>
      <c r="BH141">
        <v>0</v>
      </c>
      <c r="BI141">
        <v>1</v>
      </c>
      <c r="BJ141">
        <v>0</v>
      </c>
      <c r="BK141">
        <v>0</v>
      </c>
      <c r="BM141" t="s">
        <v>1042</v>
      </c>
      <c r="BN141">
        <v>0</v>
      </c>
      <c r="BR141" t="s">
        <v>1043</v>
      </c>
      <c r="BS141" t="s">
        <v>1043</v>
      </c>
      <c r="BT141" t="s">
        <v>1043</v>
      </c>
      <c r="BW141">
        <v>83</v>
      </c>
      <c r="CA141">
        <v>0</v>
      </c>
      <c r="CB141" t="s">
        <v>1057</v>
      </c>
      <c r="CE141" t="s">
        <v>1043</v>
      </c>
      <c r="CH141" t="s">
        <v>1043</v>
      </c>
      <c r="CN141" t="s">
        <v>1056</v>
      </c>
      <c r="CO141" t="s">
        <v>1043</v>
      </c>
      <c r="CP141">
        <v>1</v>
      </c>
      <c r="CQ141">
        <v>0</v>
      </c>
      <c r="CS141">
        <v>0</v>
      </c>
      <c r="CT141">
        <v>0</v>
      </c>
      <c r="CU141">
        <v>0</v>
      </c>
      <c r="CV141" t="s">
        <v>1045</v>
      </c>
      <c r="CW141">
        <v>0</v>
      </c>
      <c r="CX141">
        <v>0</v>
      </c>
      <c r="CY141">
        <v>0</v>
      </c>
      <c r="CZ141">
        <v>0</v>
      </c>
      <c r="DB141">
        <v>0</v>
      </c>
      <c r="DC141" t="s">
        <v>1043</v>
      </c>
      <c r="DF141" t="s">
        <v>1055</v>
      </c>
      <c r="DH141">
        <v>0</v>
      </c>
      <c r="DJ141">
        <v>0</v>
      </c>
      <c r="DK141" t="s">
        <v>1053</v>
      </c>
      <c r="DL141">
        <v>0</v>
      </c>
      <c r="DN141">
        <v>0</v>
      </c>
      <c r="DO141" t="s">
        <v>1042</v>
      </c>
      <c r="DP141">
        <v>0</v>
      </c>
      <c r="DQ141">
        <v>0</v>
      </c>
      <c r="DS141">
        <v>0</v>
      </c>
      <c r="DU141">
        <v>0</v>
      </c>
      <c r="DW141">
        <v>0</v>
      </c>
      <c r="DX141" t="s">
        <v>1043</v>
      </c>
      <c r="DY141">
        <v>0</v>
      </c>
      <c r="DZ141">
        <v>0</v>
      </c>
      <c r="EA141">
        <v>0</v>
      </c>
      <c r="ED141" t="s">
        <v>1045</v>
      </c>
      <c r="EE141">
        <v>0</v>
      </c>
      <c r="EF141">
        <v>0</v>
      </c>
      <c r="EQ141" t="s">
        <v>1044</v>
      </c>
      <c r="ES141" t="s">
        <v>1053</v>
      </c>
      <c r="ET141">
        <v>0</v>
      </c>
      <c r="EV141">
        <v>0</v>
      </c>
      <c r="EY141" t="s">
        <v>1052</v>
      </c>
      <c r="EZ141">
        <v>0</v>
      </c>
      <c r="FA141" t="s">
        <v>1043</v>
      </c>
      <c r="FB141">
        <v>0</v>
      </c>
      <c r="FC141">
        <v>0</v>
      </c>
      <c r="FE141" t="s">
        <v>1050</v>
      </c>
      <c r="FF141">
        <v>0</v>
      </c>
      <c r="FG141" t="s">
        <v>1050</v>
      </c>
      <c r="FJ141">
        <v>0</v>
      </c>
      <c r="FK141">
        <v>0</v>
      </c>
      <c r="FP141">
        <v>0</v>
      </c>
      <c r="FR141">
        <v>0</v>
      </c>
      <c r="FS141" t="s">
        <v>1043</v>
      </c>
      <c r="FX141" t="s">
        <v>1042</v>
      </c>
      <c r="FZ141" t="s">
        <v>1048</v>
      </c>
      <c r="GA141">
        <v>0</v>
      </c>
      <c r="GB141" t="s">
        <v>1042</v>
      </c>
      <c r="GE141">
        <v>0</v>
      </c>
      <c r="GG141">
        <v>0</v>
      </c>
      <c r="GN141">
        <v>0</v>
      </c>
      <c r="GO141" t="s">
        <v>1063</v>
      </c>
      <c r="GQ141">
        <v>0</v>
      </c>
      <c r="GU141">
        <v>0</v>
      </c>
      <c r="GY141" t="s">
        <v>1045</v>
      </c>
      <c r="HB141">
        <v>0</v>
      </c>
      <c r="HE141">
        <v>0</v>
      </c>
      <c r="HF141">
        <v>0</v>
      </c>
      <c r="HG141">
        <v>0</v>
      </c>
      <c r="HK141" t="s">
        <v>1042</v>
      </c>
      <c r="HM141" t="s">
        <v>1047</v>
      </c>
      <c r="HN141">
        <v>0</v>
      </c>
      <c r="HP141">
        <v>0</v>
      </c>
      <c r="HQ141">
        <v>0</v>
      </c>
      <c r="HR141" t="s">
        <v>1042</v>
      </c>
      <c r="HS141" t="s">
        <v>1043</v>
      </c>
      <c r="HT141">
        <v>0</v>
      </c>
      <c r="HU141">
        <v>0</v>
      </c>
      <c r="HW141">
        <v>0</v>
      </c>
      <c r="HX141">
        <v>0</v>
      </c>
      <c r="HY141">
        <v>0</v>
      </c>
      <c r="HZ141" t="s">
        <v>1045</v>
      </c>
      <c r="IA141">
        <v>0</v>
      </c>
      <c r="IB141" t="s">
        <v>1045</v>
      </c>
      <c r="ID141" t="s">
        <v>1045</v>
      </c>
      <c r="IF141">
        <v>0</v>
      </c>
      <c r="IG141" t="s">
        <v>1042</v>
      </c>
      <c r="II141" t="s">
        <v>1042</v>
      </c>
      <c r="IR141" t="s">
        <v>1045</v>
      </c>
      <c r="IT141">
        <v>0</v>
      </c>
      <c r="IY141" t="s">
        <v>1044</v>
      </c>
      <c r="IZ141" t="s">
        <v>1043</v>
      </c>
      <c r="JC141" t="s">
        <v>1043</v>
      </c>
      <c r="JE141">
        <v>0</v>
      </c>
      <c r="JF141">
        <v>0</v>
      </c>
      <c r="JI141" t="s">
        <v>1042</v>
      </c>
      <c r="JJ141">
        <v>0</v>
      </c>
      <c r="JK141">
        <v>0</v>
      </c>
      <c r="JL141">
        <v>0</v>
      </c>
      <c r="JM141">
        <v>0</v>
      </c>
      <c r="JQ141" t="s">
        <v>1043</v>
      </c>
      <c r="JT141">
        <v>0</v>
      </c>
      <c r="JU141" t="s">
        <v>1042</v>
      </c>
      <c r="JW141">
        <v>0</v>
      </c>
      <c r="KA141">
        <v>0</v>
      </c>
      <c r="KF141">
        <v>0</v>
      </c>
      <c r="KG141">
        <v>0</v>
      </c>
      <c r="KH141">
        <v>0</v>
      </c>
      <c r="KI141">
        <v>0</v>
      </c>
      <c r="KS141" t="s">
        <v>1073</v>
      </c>
      <c r="KT141">
        <v>0</v>
      </c>
      <c r="KU141">
        <v>0</v>
      </c>
      <c r="KV141">
        <v>0</v>
      </c>
      <c r="KX141">
        <v>0</v>
      </c>
      <c r="KZ141">
        <v>0</v>
      </c>
      <c r="LF141">
        <v>0</v>
      </c>
      <c r="LH141">
        <v>0</v>
      </c>
      <c r="LI141">
        <v>0</v>
      </c>
    </row>
    <row r="142" spans="1:321" x14ac:dyDescent="0.35">
      <c r="A142">
        <v>1</v>
      </c>
      <c r="B142">
        <v>12374</v>
      </c>
      <c r="C142" t="s">
        <v>1566</v>
      </c>
      <c r="D142" t="s">
        <v>1139</v>
      </c>
      <c r="E142" t="s">
        <v>85</v>
      </c>
      <c r="F142">
        <v>80</v>
      </c>
      <c r="G142">
        <v>9000</v>
      </c>
      <c r="H142">
        <v>0</v>
      </c>
      <c r="I142" t="s">
        <v>1442</v>
      </c>
      <c r="L142">
        <v>0</v>
      </c>
      <c r="M142">
        <v>0</v>
      </c>
      <c r="N142">
        <v>0</v>
      </c>
      <c r="R142">
        <v>0</v>
      </c>
      <c r="S142">
        <v>0</v>
      </c>
      <c r="W142" t="s">
        <v>1060</v>
      </c>
      <c r="X142">
        <v>0</v>
      </c>
      <c r="Z142">
        <v>1</v>
      </c>
      <c r="AA142">
        <v>0</v>
      </c>
      <c r="AB142">
        <v>0</v>
      </c>
      <c r="AC142">
        <v>2.5950000000000002</v>
      </c>
      <c r="AD142" s="20">
        <v>40785</v>
      </c>
      <c r="AE142">
        <v>2.5</v>
      </c>
      <c r="AF142">
        <v>0</v>
      </c>
      <c r="AH142">
        <v>0</v>
      </c>
      <c r="AJ142">
        <v>0</v>
      </c>
      <c r="AL142">
        <v>0</v>
      </c>
      <c r="AM142">
        <v>0</v>
      </c>
      <c r="AN142">
        <v>16601001</v>
      </c>
      <c r="AO142">
        <v>0</v>
      </c>
      <c r="AP142">
        <v>1000</v>
      </c>
      <c r="AT142">
        <v>0</v>
      </c>
      <c r="AU142" t="s">
        <v>1059</v>
      </c>
      <c r="AW142" t="s">
        <v>1053</v>
      </c>
      <c r="AX142">
        <v>0</v>
      </c>
      <c r="AY142" s="20">
        <v>40785</v>
      </c>
      <c r="BA142" s="20">
        <v>40785</v>
      </c>
      <c r="BB142" t="s">
        <v>1058</v>
      </c>
      <c r="BD142">
        <v>0</v>
      </c>
      <c r="BF142" t="s">
        <v>1043</v>
      </c>
      <c r="BG142" t="s">
        <v>1042</v>
      </c>
      <c r="BH142">
        <v>0</v>
      </c>
      <c r="BI142">
        <v>1</v>
      </c>
      <c r="BJ142">
        <v>0</v>
      </c>
      <c r="BK142">
        <v>0</v>
      </c>
      <c r="BM142" t="s">
        <v>1042</v>
      </c>
      <c r="BN142">
        <v>0</v>
      </c>
      <c r="BR142" t="s">
        <v>1043</v>
      </c>
      <c r="BS142" t="s">
        <v>1043</v>
      </c>
      <c r="BT142" t="s">
        <v>1043</v>
      </c>
      <c r="BW142">
        <v>83</v>
      </c>
      <c r="CA142">
        <v>0</v>
      </c>
      <c r="CB142" t="s">
        <v>1057</v>
      </c>
      <c r="CE142" t="s">
        <v>1043</v>
      </c>
      <c r="CH142" t="s">
        <v>1043</v>
      </c>
      <c r="CN142" t="s">
        <v>1056</v>
      </c>
      <c r="CO142" t="s">
        <v>1043</v>
      </c>
      <c r="CP142">
        <v>1</v>
      </c>
      <c r="CQ142">
        <v>0</v>
      </c>
      <c r="CS142">
        <v>0</v>
      </c>
      <c r="CT142">
        <v>0</v>
      </c>
      <c r="CU142">
        <v>0</v>
      </c>
      <c r="CV142" t="s">
        <v>1045</v>
      </c>
      <c r="CW142">
        <v>0</v>
      </c>
      <c r="CX142">
        <v>0</v>
      </c>
      <c r="CY142">
        <v>0</v>
      </c>
      <c r="CZ142">
        <v>0</v>
      </c>
      <c r="DB142">
        <v>0</v>
      </c>
      <c r="DC142" t="s">
        <v>1043</v>
      </c>
      <c r="DF142" t="s">
        <v>1055</v>
      </c>
      <c r="DH142">
        <v>0</v>
      </c>
      <c r="DJ142">
        <v>0</v>
      </c>
      <c r="DK142" t="s">
        <v>1053</v>
      </c>
      <c r="DL142">
        <v>0</v>
      </c>
      <c r="DN142">
        <v>0</v>
      </c>
      <c r="DO142" t="s">
        <v>1042</v>
      </c>
      <c r="DP142">
        <v>0</v>
      </c>
      <c r="DQ142">
        <v>0</v>
      </c>
      <c r="DS142">
        <v>0</v>
      </c>
      <c r="DU142">
        <v>0</v>
      </c>
      <c r="DW142">
        <v>0</v>
      </c>
      <c r="DX142" t="s">
        <v>1043</v>
      </c>
      <c r="DY142">
        <v>0</v>
      </c>
      <c r="DZ142">
        <v>0</v>
      </c>
      <c r="EA142">
        <v>0</v>
      </c>
      <c r="ED142" t="s">
        <v>1045</v>
      </c>
      <c r="EE142">
        <v>0</v>
      </c>
      <c r="EF142">
        <v>0</v>
      </c>
      <c r="EQ142" t="s">
        <v>1044</v>
      </c>
      <c r="ES142" t="s">
        <v>1053</v>
      </c>
      <c r="ET142">
        <v>0</v>
      </c>
      <c r="EV142">
        <v>0</v>
      </c>
      <c r="EY142" t="s">
        <v>1052</v>
      </c>
      <c r="EZ142">
        <v>0</v>
      </c>
      <c r="FA142" t="s">
        <v>1043</v>
      </c>
      <c r="FB142">
        <v>0</v>
      </c>
      <c r="FC142">
        <v>0</v>
      </c>
      <c r="FE142" t="s">
        <v>1050</v>
      </c>
      <c r="FF142">
        <v>0</v>
      </c>
      <c r="FG142" t="s">
        <v>1050</v>
      </c>
      <c r="FJ142">
        <v>0</v>
      </c>
      <c r="FK142">
        <v>0</v>
      </c>
      <c r="FP142">
        <v>0</v>
      </c>
      <c r="FR142">
        <v>0</v>
      </c>
      <c r="FS142" t="s">
        <v>1043</v>
      </c>
      <c r="FX142" t="s">
        <v>1042</v>
      </c>
      <c r="FZ142" t="s">
        <v>1048</v>
      </c>
      <c r="GA142">
        <v>0</v>
      </c>
      <c r="GB142" t="s">
        <v>1042</v>
      </c>
      <c r="GE142">
        <v>0</v>
      </c>
      <c r="GG142">
        <v>0</v>
      </c>
      <c r="GN142">
        <v>0</v>
      </c>
      <c r="GO142" t="s">
        <v>1063</v>
      </c>
      <c r="GQ142">
        <v>0</v>
      </c>
      <c r="GU142">
        <v>0</v>
      </c>
      <c r="GY142" t="s">
        <v>1045</v>
      </c>
      <c r="HB142">
        <v>0</v>
      </c>
      <c r="HE142">
        <v>0</v>
      </c>
      <c r="HF142">
        <v>0</v>
      </c>
      <c r="HG142">
        <v>0</v>
      </c>
      <c r="HK142" t="s">
        <v>1042</v>
      </c>
      <c r="HM142" t="s">
        <v>1047</v>
      </c>
      <c r="HN142">
        <v>0</v>
      </c>
      <c r="HP142">
        <v>0</v>
      </c>
      <c r="HQ142">
        <v>0</v>
      </c>
      <c r="HR142" t="s">
        <v>1042</v>
      </c>
      <c r="HS142" t="s">
        <v>1043</v>
      </c>
      <c r="HT142">
        <v>0</v>
      </c>
      <c r="HU142">
        <v>0</v>
      </c>
      <c r="HW142">
        <v>0</v>
      </c>
      <c r="HX142">
        <v>0</v>
      </c>
      <c r="HY142">
        <v>0</v>
      </c>
      <c r="HZ142" t="s">
        <v>1045</v>
      </c>
      <c r="IA142">
        <v>0</v>
      </c>
      <c r="IB142" t="s">
        <v>1045</v>
      </c>
      <c r="ID142" t="s">
        <v>1045</v>
      </c>
      <c r="IF142">
        <v>0</v>
      </c>
      <c r="IG142" t="s">
        <v>1042</v>
      </c>
      <c r="II142" t="s">
        <v>1042</v>
      </c>
      <c r="IR142" t="s">
        <v>1045</v>
      </c>
      <c r="IT142">
        <v>0</v>
      </c>
      <c r="IY142" t="s">
        <v>1044</v>
      </c>
      <c r="IZ142" t="s">
        <v>1043</v>
      </c>
      <c r="JC142" t="s">
        <v>1043</v>
      </c>
      <c r="JE142">
        <v>0</v>
      </c>
      <c r="JF142">
        <v>0</v>
      </c>
      <c r="JI142" t="s">
        <v>1042</v>
      </c>
      <c r="JJ142">
        <v>0</v>
      </c>
      <c r="JK142">
        <v>0</v>
      </c>
      <c r="JL142">
        <v>0</v>
      </c>
      <c r="JM142">
        <v>0</v>
      </c>
      <c r="JQ142" t="s">
        <v>1043</v>
      </c>
      <c r="JT142">
        <v>0</v>
      </c>
      <c r="JU142" t="s">
        <v>1042</v>
      </c>
      <c r="JW142">
        <v>0</v>
      </c>
      <c r="KA142">
        <v>0</v>
      </c>
      <c r="KF142">
        <v>0</v>
      </c>
      <c r="KG142">
        <v>0</v>
      </c>
      <c r="KH142">
        <v>0</v>
      </c>
      <c r="KI142">
        <v>0</v>
      </c>
      <c r="KS142" t="s">
        <v>1073</v>
      </c>
      <c r="KT142">
        <v>0</v>
      </c>
      <c r="KU142">
        <v>0</v>
      </c>
      <c r="KV142">
        <v>0</v>
      </c>
      <c r="KX142">
        <v>0</v>
      </c>
      <c r="KZ142">
        <v>0</v>
      </c>
      <c r="LF142">
        <v>0</v>
      </c>
      <c r="LH142">
        <v>0</v>
      </c>
      <c r="LI142">
        <v>0</v>
      </c>
    </row>
    <row r="143" spans="1:321" x14ac:dyDescent="0.35">
      <c r="A143">
        <v>1</v>
      </c>
      <c r="B143">
        <v>12375</v>
      </c>
      <c r="C143" t="s">
        <v>1565</v>
      </c>
      <c r="D143" t="s">
        <v>1139</v>
      </c>
      <c r="E143" t="s">
        <v>85</v>
      </c>
      <c r="F143">
        <v>80</v>
      </c>
      <c r="G143">
        <v>9000</v>
      </c>
      <c r="H143">
        <v>0</v>
      </c>
      <c r="I143" t="s">
        <v>1442</v>
      </c>
      <c r="L143">
        <v>0</v>
      </c>
      <c r="M143">
        <v>0</v>
      </c>
      <c r="N143">
        <v>0</v>
      </c>
      <c r="R143">
        <v>0</v>
      </c>
      <c r="S143">
        <v>0</v>
      </c>
      <c r="W143" t="s">
        <v>1060</v>
      </c>
      <c r="X143">
        <v>0</v>
      </c>
      <c r="Z143">
        <v>1</v>
      </c>
      <c r="AA143">
        <v>0</v>
      </c>
      <c r="AB143">
        <v>0</v>
      </c>
      <c r="AC143">
        <v>2.59</v>
      </c>
      <c r="AD143" s="20">
        <v>40785</v>
      </c>
      <c r="AE143">
        <v>2.5</v>
      </c>
      <c r="AF143">
        <v>0</v>
      </c>
      <c r="AH143">
        <v>0</v>
      </c>
      <c r="AJ143">
        <v>0</v>
      </c>
      <c r="AL143">
        <v>0</v>
      </c>
      <c r="AM143">
        <v>0</v>
      </c>
      <c r="AN143">
        <v>16601001</v>
      </c>
      <c r="AO143">
        <v>0</v>
      </c>
      <c r="AP143">
        <v>1000</v>
      </c>
      <c r="AT143">
        <v>0</v>
      </c>
      <c r="AU143" t="s">
        <v>1059</v>
      </c>
      <c r="AW143" t="s">
        <v>1053</v>
      </c>
      <c r="AX143">
        <v>0</v>
      </c>
      <c r="AY143" s="20">
        <v>40785</v>
      </c>
      <c r="BA143" s="20">
        <v>40785</v>
      </c>
      <c r="BB143" t="s">
        <v>1058</v>
      </c>
      <c r="BD143">
        <v>0</v>
      </c>
      <c r="BF143" t="s">
        <v>1043</v>
      </c>
      <c r="BG143" t="s">
        <v>1042</v>
      </c>
      <c r="BH143">
        <v>0</v>
      </c>
      <c r="BI143">
        <v>1</v>
      </c>
      <c r="BJ143">
        <v>0</v>
      </c>
      <c r="BK143">
        <v>0</v>
      </c>
      <c r="BM143" t="s">
        <v>1042</v>
      </c>
      <c r="BN143">
        <v>0</v>
      </c>
      <c r="BR143" t="s">
        <v>1043</v>
      </c>
      <c r="BS143" t="s">
        <v>1043</v>
      </c>
      <c r="BT143" t="s">
        <v>1043</v>
      </c>
      <c r="BW143">
        <v>83</v>
      </c>
      <c r="CA143">
        <v>0</v>
      </c>
      <c r="CB143" t="s">
        <v>1057</v>
      </c>
      <c r="CE143" t="s">
        <v>1043</v>
      </c>
      <c r="CH143" t="s">
        <v>1043</v>
      </c>
      <c r="CN143" t="s">
        <v>1056</v>
      </c>
      <c r="CO143" t="s">
        <v>1043</v>
      </c>
      <c r="CP143">
        <v>1</v>
      </c>
      <c r="CQ143">
        <v>0</v>
      </c>
      <c r="CS143">
        <v>0</v>
      </c>
      <c r="CT143">
        <v>0</v>
      </c>
      <c r="CU143">
        <v>0</v>
      </c>
      <c r="CV143" t="s">
        <v>1045</v>
      </c>
      <c r="CW143">
        <v>0</v>
      </c>
      <c r="CX143">
        <v>0</v>
      </c>
      <c r="CY143">
        <v>0</v>
      </c>
      <c r="CZ143">
        <v>0</v>
      </c>
      <c r="DB143">
        <v>0</v>
      </c>
      <c r="DC143" t="s">
        <v>1043</v>
      </c>
      <c r="DF143" t="s">
        <v>1055</v>
      </c>
      <c r="DH143">
        <v>0</v>
      </c>
      <c r="DJ143">
        <v>0</v>
      </c>
      <c r="DK143" t="s">
        <v>1053</v>
      </c>
      <c r="DL143">
        <v>0</v>
      </c>
      <c r="DN143">
        <v>0</v>
      </c>
      <c r="DO143" t="s">
        <v>1042</v>
      </c>
      <c r="DP143">
        <v>0</v>
      </c>
      <c r="DQ143">
        <v>0</v>
      </c>
      <c r="DS143">
        <v>0</v>
      </c>
      <c r="DU143">
        <v>0</v>
      </c>
      <c r="DW143">
        <v>0</v>
      </c>
      <c r="DX143" t="s">
        <v>1043</v>
      </c>
      <c r="DY143">
        <v>0</v>
      </c>
      <c r="DZ143">
        <v>0</v>
      </c>
      <c r="EA143">
        <v>0</v>
      </c>
      <c r="ED143" t="s">
        <v>1045</v>
      </c>
      <c r="EE143">
        <v>0</v>
      </c>
      <c r="EF143">
        <v>0</v>
      </c>
      <c r="EQ143" t="s">
        <v>1044</v>
      </c>
      <c r="ES143" t="s">
        <v>1053</v>
      </c>
      <c r="ET143">
        <v>0</v>
      </c>
      <c r="EV143">
        <v>0</v>
      </c>
      <c r="EY143" t="s">
        <v>1052</v>
      </c>
      <c r="EZ143">
        <v>0</v>
      </c>
      <c r="FA143" t="s">
        <v>1043</v>
      </c>
      <c r="FB143">
        <v>0</v>
      </c>
      <c r="FC143">
        <v>0</v>
      </c>
      <c r="FE143" t="s">
        <v>1050</v>
      </c>
      <c r="FF143">
        <v>0</v>
      </c>
      <c r="FG143" t="s">
        <v>1050</v>
      </c>
      <c r="FJ143">
        <v>0</v>
      </c>
      <c r="FK143">
        <v>0</v>
      </c>
      <c r="FP143">
        <v>0</v>
      </c>
      <c r="FR143">
        <v>0</v>
      </c>
      <c r="FS143" t="s">
        <v>1043</v>
      </c>
      <c r="FX143" t="s">
        <v>1042</v>
      </c>
      <c r="FZ143" t="s">
        <v>1048</v>
      </c>
      <c r="GA143">
        <v>0</v>
      </c>
      <c r="GB143" t="s">
        <v>1042</v>
      </c>
      <c r="GE143">
        <v>0</v>
      </c>
      <c r="GG143">
        <v>0</v>
      </c>
      <c r="GN143">
        <v>0</v>
      </c>
      <c r="GO143" t="s">
        <v>1063</v>
      </c>
      <c r="GQ143">
        <v>0</v>
      </c>
      <c r="GU143">
        <v>0</v>
      </c>
      <c r="GY143" t="s">
        <v>1045</v>
      </c>
      <c r="HB143">
        <v>0</v>
      </c>
      <c r="HE143">
        <v>0</v>
      </c>
      <c r="HF143">
        <v>0</v>
      </c>
      <c r="HG143">
        <v>0</v>
      </c>
      <c r="HK143" t="s">
        <v>1042</v>
      </c>
      <c r="HM143" t="s">
        <v>1047</v>
      </c>
      <c r="HN143">
        <v>0</v>
      </c>
      <c r="HP143">
        <v>0</v>
      </c>
      <c r="HQ143">
        <v>0</v>
      </c>
      <c r="HR143" t="s">
        <v>1042</v>
      </c>
      <c r="HS143" t="s">
        <v>1043</v>
      </c>
      <c r="HT143">
        <v>0</v>
      </c>
      <c r="HU143">
        <v>0</v>
      </c>
      <c r="HW143">
        <v>0</v>
      </c>
      <c r="HX143">
        <v>0</v>
      </c>
      <c r="HY143">
        <v>0</v>
      </c>
      <c r="HZ143" t="s">
        <v>1045</v>
      </c>
      <c r="IA143">
        <v>0</v>
      </c>
      <c r="IB143" t="s">
        <v>1045</v>
      </c>
      <c r="ID143" t="s">
        <v>1045</v>
      </c>
      <c r="IF143">
        <v>0</v>
      </c>
      <c r="IG143" t="s">
        <v>1042</v>
      </c>
      <c r="II143" t="s">
        <v>1042</v>
      </c>
      <c r="IR143" t="s">
        <v>1045</v>
      </c>
      <c r="IT143">
        <v>0</v>
      </c>
      <c r="IY143" t="s">
        <v>1044</v>
      </c>
      <c r="IZ143" t="s">
        <v>1043</v>
      </c>
      <c r="JC143" t="s">
        <v>1043</v>
      </c>
      <c r="JE143">
        <v>0</v>
      </c>
      <c r="JF143">
        <v>0</v>
      </c>
      <c r="JI143" t="s">
        <v>1042</v>
      </c>
      <c r="JJ143">
        <v>0</v>
      </c>
      <c r="JK143">
        <v>0</v>
      </c>
      <c r="JL143">
        <v>0</v>
      </c>
      <c r="JM143">
        <v>0</v>
      </c>
      <c r="JQ143" t="s">
        <v>1043</v>
      </c>
      <c r="JT143">
        <v>0</v>
      </c>
      <c r="JU143" t="s">
        <v>1042</v>
      </c>
      <c r="JW143">
        <v>0</v>
      </c>
      <c r="KA143">
        <v>0</v>
      </c>
      <c r="KF143">
        <v>0</v>
      </c>
      <c r="KG143">
        <v>0</v>
      </c>
      <c r="KH143">
        <v>0</v>
      </c>
      <c r="KI143">
        <v>0</v>
      </c>
      <c r="KS143" t="s">
        <v>1073</v>
      </c>
      <c r="KT143">
        <v>0</v>
      </c>
      <c r="KU143">
        <v>0</v>
      </c>
      <c r="KV143">
        <v>0</v>
      </c>
      <c r="KX143">
        <v>0</v>
      </c>
      <c r="KZ143">
        <v>0</v>
      </c>
      <c r="LF143">
        <v>0</v>
      </c>
      <c r="LH143">
        <v>0</v>
      </c>
      <c r="LI143">
        <v>0</v>
      </c>
    </row>
    <row r="144" spans="1:321" x14ac:dyDescent="0.35">
      <c r="A144">
        <v>1</v>
      </c>
      <c r="B144">
        <v>12376</v>
      </c>
      <c r="C144" t="s">
        <v>1564</v>
      </c>
      <c r="D144" t="s">
        <v>1139</v>
      </c>
      <c r="E144" t="s">
        <v>85</v>
      </c>
      <c r="F144">
        <v>80</v>
      </c>
      <c r="G144">
        <v>9000</v>
      </c>
      <c r="H144">
        <v>0</v>
      </c>
      <c r="I144" t="s">
        <v>1442</v>
      </c>
      <c r="L144">
        <v>0</v>
      </c>
      <c r="M144">
        <v>0</v>
      </c>
      <c r="N144">
        <v>0</v>
      </c>
      <c r="R144">
        <v>0</v>
      </c>
      <c r="S144">
        <v>0</v>
      </c>
      <c r="W144" t="s">
        <v>1060</v>
      </c>
      <c r="X144">
        <v>0</v>
      </c>
      <c r="Z144">
        <v>1</v>
      </c>
      <c r="AA144">
        <v>0</v>
      </c>
      <c r="AB144">
        <v>0</v>
      </c>
      <c r="AC144">
        <v>2.59</v>
      </c>
      <c r="AD144" s="20">
        <v>40785</v>
      </c>
      <c r="AE144">
        <v>2.5</v>
      </c>
      <c r="AF144">
        <v>0</v>
      </c>
      <c r="AH144">
        <v>0</v>
      </c>
      <c r="AJ144">
        <v>0</v>
      </c>
      <c r="AL144">
        <v>0</v>
      </c>
      <c r="AM144">
        <v>0</v>
      </c>
      <c r="AN144">
        <v>16601001</v>
      </c>
      <c r="AO144">
        <v>0</v>
      </c>
      <c r="AP144">
        <v>1000</v>
      </c>
      <c r="AT144">
        <v>0</v>
      </c>
      <c r="AU144" t="s">
        <v>1059</v>
      </c>
      <c r="AW144" t="s">
        <v>1053</v>
      </c>
      <c r="AX144">
        <v>0</v>
      </c>
      <c r="AY144" s="20">
        <v>40785</v>
      </c>
      <c r="BA144" s="20">
        <v>40785</v>
      </c>
      <c r="BB144" t="s">
        <v>1058</v>
      </c>
      <c r="BD144">
        <v>0</v>
      </c>
      <c r="BF144" t="s">
        <v>1043</v>
      </c>
      <c r="BG144" t="s">
        <v>1042</v>
      </c>
      <c r="BH144">
        <v>0</v>
      </c>
      <c r="BI144">
        <v>1</v>
      </c>
      <c r="BJ144">
        <v>0</v>
      </c>
      <c r="BK144">
        <v>0</v>
      </c>
      <c r="BM144" t="s">
        <v>1042</v>
      </c>
      <c r="BN144">
        <v>0</v>
      </c>
      <c r="BR144" t="s">
        <v>1043</v>
      </c>
      <c r="BS144" t="s">
        <v>1043</v>
      </c>
      <c r="BT144" t="s">
        <v>1043</v>
      </c>
      <c r="BW144">
        <v>83</v>
      </c>
      <c r="CA144">
        <v>0</v>
      </c>
      <c r="CB144" t="s">
        <v>1057</v>
      </c>
      <c r="CE144" t="s">
        <v>1043</v>
      </c>
      <c r="CH144" t="s">
        <v>1043</v>
      </c>
      <c r="CN144" t="s">
        <v>1056</v>
      </c>
      <c r="CO144" t="s">
        <v>1043</v>
      </c>
      <c r="CP144">
        <v>1</v>
      </c>
      <c r="CQ144">
        <v>0</v>
      </c>
      <c r="CS144">
        <v>0</v>
      </c>
      <c r="CT144">
        <v>0</v>
      </c>
      <c r="CU144">
        <v>0</v>
      </c>
      <c r="CV144" t="s">
        <v>1045</v>
      </c>
      <c r="CW144">
        <v>0</v>
      </c>
      <c r="CX144">
        <v>0</v>
      </c>
      <c r="CY144">
        <v>0</v>
      </c>
      <c r="CZ144">
        <v>0</v>
      </c>
      <c r="DB144">
        <v>0</v>
      </c>
      <c r="DC144" t="s">
        <v>1043</v>
      </c>
      <c r="DF144" t="s">
        <v>1055</v>
      </c>
      <c r="DH144">
        <v>0</v>
      </c>
      <c r="DJ144">
        <v>0</v>
      </c>
      <c r="DK144" t="s">
        <v>1053</v>
      </c>
      <c r="DL144">
        <v>0</v>
      </c>
      <c r="DN144">
        <v>0</v>
      </c>
      <c r="DO144" t="s">
        <v>1042</v>
      </c>
      <c r="DP144">
        <v>0</v>
      </c>
      <c r="DQ144">
        <v>0</v>
      </c>
      <c r="DS144">
        <v>0</v>
      </c>
      <c r="DU144">
        <v>0</v>
      </c>
      <c r="DW144">
        <v>0</v>
      </c>
      <c r="DX144" t="s">
        <v>1043</v>
      </c>
      <c r="DY144">
        <v>0</v>
      </c>
      <c r="DZ144">
        <v>0</v>
      </c>
      <c r="EA144">
        <v>0</v>
      </c>
      <c r="ED144" t="s">
        <v>1045</v>
      </c>
      <c r="EE144">
        <v>0</v>
      </c>
      <c r="EF144">
        <v>0</v>
      </c>
      <c r="EQ144" t="s">
        <v>1044</v>
      </c>
      <c r="ES144" t="s">
        <v>1053</v>
      </c>
      <c r="ET144">
        <v>0</v>
      </c>
      <c r="EV144">
        <v>0</v>
      </c>
      <c r="EY144" t="s">
        <v>1052</v>
      </c>
      <c r="EZ144">
        <v>0</v>
      </c>
      <c r="FA144" t="s">
        <v>1043</v>
      </c>
      <c r="FB144">
        <v>0</v>
      </c>
      <c r="FC144">
        <v>0</v>
      </c>
      <c r="FE144" t="s">
        <v>1050</v>
      </c>
      <c r="FF144">
        <v>0</v>
      </c>
      <c r="FG144" t="s">
        <v>1050</v>
      </c>
      <c r="FJ144">
        <v>0</v>
      </c>
      <c r="FK144">
        <v>0</v>
      </c>
      <c r="FP144">
        <v>0</v>
      </c>
      <c r="FR144">
        <v>0</v>
      </c>
      <c r="FS144" t="s">
        <v>1043</v>
      </c>
      <c r="FX144" t="s">
        <v>1042</v>
      </c>
      <c r="FZ144" t="s">
        <v>1048</v>
      </c>
      <c r="GA144">
        <v>0</v>
      </c>
      <c r="GB144" t="s">
        <v>1042</v>
      </c>
      <c r="GE144">
        <v>0</v>
      </c>
      <c r="GG144">
        <v>0</v>
      </c>
      <c r="GN144">
        <v>0</v>
      </c>
      <c r="GO144" t="s">
        <v>1063</v>
      </c>
      <c r="GQ144">
        <v>0</v>
      </c>
      <c r="GU144">
        <v>0</v>
      </c>
      <c r="GY144" t="s">
        <v>1045</v>
      </c>
      <c r="HB144">
        <v>0</v>
      </c>
      <c r="HE144">
        <v>0</v>
      </c>
      <c r="HF144">
        <v>0</v>
      </c>
      <c r="HG144">
        <v>0</v>
      </c>
      <c r="HK144" t="s">
        <v>1042</v>
      </c>
      <c r="HM144" t="s">
        <v>1047</v>
      </c>
      <c r="HN144">
        <v>0</v>
      </c>
      <c r="HP144">
        <v>0</v>
      </c>
      <c r="HQ144">
        <v>0</v>
      </c>
      <c r="HR144" t="s">
        <v>1042</v>
      </c>
      <c r="HS144" t="s">
        <v>1043</v>
      </c>
      <c r="HT144">
        <v>0</v>
      </c>
      <c r="HU144">
        <v>0</v>
      </c>
      <c r="HW144">
        <v>0</v>
      </c>
      <c r="HX144">
        <v>0</v>
      </c>
      <c r="HY144">
        <v>0</v>
      </c>
      <c r="HZ144" t="s">
        <v>1045</v>
      </c>
      <c r="IA144">
        <v>0</v>
      </c>
      <c r="IB144" t="s">
        <v>1045</v>
      </c>
      <c r="ID144" t="s">
        <v>1045</v>
      </c>
      <c r="IF144">
        <v>0</v>
      </c>
      <c r="IG144" t="s">
        <v>1042</v>
      </c>
      <c r="II144" t="s">
        <v>1042</v>
      </c>
      <c r="IR144" t="s">
        <v>1045</v>
      </c>
      <c r="IT144">
        <v>0</v>
      </c>
      <c r="IY144" t="s">
        <v>1044</v>
      </c>
      <c r="IZ144" t="s">
        <v>1043</v>
      </c>
      <c r="JC144" t="s">
        <v>1043</v>
      </c>
      <c r="JE144">
        <v>0</v>
      </c>
      <c r="JF144">
        <v>0</v>
      </c>
      <c r="JI144" t="s">
        <v>1042</v>
      </c>
      <c r="JJ144">
        <v>0</v>
      </c>
      <c r="JK144">
        <v>0</v>
      </c>
      <c r="JL144">
        <v>0</v>
      </c>
      <c r="JM144">
        <v>0</v>
      </c>
      <c r="JQ144" t="s">
        <v>1043</v>
      </c>
      <c r="JT144">
        <v>0</v>
      </c>
      <c r="JU144" t="s">
        <v>1042</v>
      </c>
      <c r="JW144">
        <v>0</v>
      </c>
      <c r="KA144">
        <v>0</v>
      </c>
      <c r="KF144">
        <v>0</v>
      </c>
      <c r="KG144">
        <v>0</v>
      </c>
      <c r="KH144">
        <v>0</v>
      </c>
      <c r="KI144">
        <v>0</v>
      </c>
      <c r="KS144" t="s">
        <v>1073</v>
      </c>
      <c r="KT144">
        <v>0</v>
      </c>
      <c r="KU144">
        <v>0</v>
      </c>
      <c r="KV144">
        <v>0</v>
      </c>
      <c r="KX144">
        <v>0</v>
      </c>
      <c r="KZ144">
        <v>0</v>
      </c>
      <c r="LF144">
        <v>0</v>
      </c>
      <c r="LH144">
        <v>0</v>
      </c>
      <c r="LI144">
        <v>0</v>
      </c>
    </row>
    <row r="145" spans="1:321" x14ac:dyDescent="0.35">
      <c r="A145">
        <v>1</v>
      </c>
      <c r="B145">
        <v>12377</v>
      </c>
      <c r="C145" t="s">
        <v>1563</v>
      </c>
      <c r="D145" t="s">
        <v>1139</v>
      </c>
      <c r="E145" t="s">
        <v>85</v>
      </c>
      <c r="F145">
        <v>80</v>
      </c>
      <c r="G145">
        <v>9000</v>
      </c>
      <c r="H145">
        <v>0</v>
      </c>
      <c r="I145" t="s">
        <v>1050</v>
      </c>
      <c r="L145">
        <v>0</v>
      </c>
      <c r="M145">
        <v>0</v>
      </c>
      <c r="N145">
        <v>0</v>
      </c>
      <c r="R145">
        <v>0</v>
      </c>
      <c r="S145">
        <v>0</v>
      </c>
      <c r="W145" t="s">
        <v>1060</v>
      </c>
      <c r="X145">
        <v>0</v>
      </c>
      <c r="Z145">
        <v>1</v>
      </c>
      <c r="AA145">
        <v>0</v>
      </c>
      <c r="AB145">
        <v>0</v>
      </c>
      <c r="AC145">
        <v>0</v>
      </c>
      <c r="AD145" s="20">
        <v>40785</v>
      </c>
      <c r="AE145">
        <v>72.599999999999994</v>
      </c>
      <c r="AF145">
        <v>0</v>
      </c>
      <c r="AH145">
        <v>0</v>
      </c>
      <c r="AJ145">
        <v>0</v>
      </c>
      <c r="AL145">
        <v>0</v>
      </c>
      <c r="AM145">
        <v>0</v>
      </c>
      <c r="AN145">
        <v>16601001</v>
      </c>
      <c r="AO145">
        <v>0</v>
      </c>
      <c r="AP145">
        <v>1000</v>
      </c>
      <c r="AT145">
        <v>0</v>
      </c>
      <c r="AU145" t="s">
        <v>1059</v>
      </c>
      <c r="AW145" t="s">
        <v>1053</v>
      </c>
      <c r="AX145">
        <v>0</v>
      </c>
      <c r="AY145" s="20">
        <v>40785</v>
      </c>
      <c r="BA145" s="20">
        <v>40785</v>
      </c>
      <c r="BB145" t="s">
        <v>1058</v>
      </c>
      <c r="BD145">
        <v>0</v>
      </c>
      <c r="BF145" t="s">
        <v>1043</v>
      </c>
      <c r="BG145" t="s">
        <v>1042</v>
      </c>
      <c r="BH145">
        <v>0</v>
      </c>
      <c r="BI145">
        <v>1</v>
      </c>
      <c r="BJ145">
        <v>0</v>
      </c>
      <c r="BK145">
        <v>0</v>
      </c>
      <c r="BM145" t="s">
        <v>1042</v>
      </c>
      <c r="BN145">
        <v>0</v>
      </c>
      <c r="BR145" t="s">
        <v>1043</v>
      </c>
      <c r="BS145" t="s">
        <v>1043</v>
      </c>
      <c r="BT145" t="s">
        <v>1043</v>
      </c>
      <c r="BW145">
        <v>83</v>
      </c>
      <c r="CA145">
        <v>0</v>
      </c>
      <c r="CB145" t="s">
        <v>1057</v>
      </c>
      <c r="CE145" t="s">
        <v>1043</v>
      </c>
      <c r="CH145" t="s">
        <v>1043</v>
      </c>
      <c r="CN145" t="s">
        <v>1056</v>
      </c>
      <c r="CO145" t="s">
        <v>1043</v>
      </c>
      <c r="CP145">
        <v>1</v>
      </c>
      <c r="CQ145">
        <v>0</v>
      </c>
      <c r="CS145">
        <v>0</v>
      </c>
      <c r="CT145">
        <v>0</v>
      </c>
      <c r="CU145">
        <v>0</v>
      </c>
      <c r="CV145" t="s">
        <v>1045</v>
      </c>
      <c r="CW145">
        <v>0</v>
      </c>
      <c r="CX145">
        <v>0</v>
      </c>
      <c r="CY145">
        <v>0</v>
      </c>
      <c r="CZ145">
        <v>0</v>
      </c>
      <c r="DB145">
        <v>0</v>
      </c>
      <c r="DC145" t="s">
        <v>1043</v>
      </c>
      <c r="DF145" t="s">
        <v>1055</v>
      </c>
      <c r="DH145">
        <v>0</v>
      </c>
      <c r="DJ145">
        <v>0</v>
      </c>
      <c r="DK145" t="s">
        <v>1053</v>
      </c>
      <c r="DL145">
        <v>0</v>
      </c>
      <c r="DN145">
        <v>0</v>
      </c>
      <c r="DO145" t="s">
        <v>1042</v>
      </c>
      <c r="DP145">
        <v>0</v>
      </c>
      <c r="DQ145">
        <v>0</v>
      </c>
      <c r="DS145">
        <v>0</v>
      </c>
      <c r="DU145">
        <v>0</v>
      </c>
      <c r="DW145">
        <v>0</v>
      </c>
      <c r="DX145" t="s">
        <v>1043</v>
      </c>
      <c r="DY145">
        <v>0</v>
      </c>
      <c r="DZ145">
        <v>0</v>
      </c>
      <c r="EA145">
        <v>0</v>
      </c>
      <c r="ED145" t="s">
        <v>1045</v>
      </c>
      <c r="EE145">
        <v>0</v>
      </c>
      <c r="EF145">
        <v>0</v>
      </c>
      <c r="EQ145" t="s">
        <v>1044</v>
      </c>
      <c r="ES145" t="s">
        <v>1053</v>
      </c>
      <c r="ET145">
        <v>0</v>
      </c>
      <c r="EV145">
        <v>0</v>
      </c>
      <c r="EY145" t="s">
        <v>1052</v>
      </c>
      <c r="EZ145">
        <v>0</v>
      </c>
      <c r="FA145" t="s">
        <v>1043</v>
      </c>
      <c r="FB145">
        <v>0</v>
      </c>
      <c r="FC145">
        <v>0</v>
      </c>
      <c r="FE145" t="s">
        <v>1050</v>
      </c>
      <c r="FF145">
        <v>0</v>
      </c>
      <c r="FG145" t="s">
        <v>1050</v>
      </c>
      <c r="FJ145">
        <v>0</v>
      </c>
      <c r="FK145">
        <v>0</v>
      </c>
      <c r="FP145">
        <v>0</v>
      </c>
      <c r="FR145">
        <v>0</v>
      </c>
      <c r="FS145" t="s">
        <v>1043</v>
      </c>
      <c r="FX145" t="s">
        <v>1042</v>
      </c>
      <c r="FZ145" t="s">
        <v>1048</v>
      </c>
      <c r="GA145">
        <v>0</v>
      </c>
      <c r="GB145" t="s">
        <v>1042</v>
      </c>
      <c r="GE145">
        <v>0</v>
      </c>
      <c r="GG145">
        <v>0</v>
      </c>
      <c r="GN145">
        <v>0</v>
      </c>
      <c r="GO145" t="s">
        <v>1063</v>
      </c>
      <c r="GQ145">
        <v>0</v>
      </c>
      <c r="GU145">
        <v>0</v>
      </c>
      <c r="GY145" t="s">
        <v>1045</v>
      </c>
      <c r="HB145">
        <v>0</v>
      </c>
      <c r="HE145">
        <v>0</v>
      </c>
      <c r="HF145">
        <v>0</v>
      </c>
      <c r="HG145">
        <v>0</v>
      </c>
      <c r="HK145" t="s">
        <v>1042</v>
      </c>
      <c r="HM145" t="s">
        <v>1047</v>
      </c>
      <c r="HN145">
        <v>0</v>
      </c>
      <c r="HP145">
        <v>0</v>
      </c>
      <c r="HQ145">
        <v>0</v>
      </c>
      <c r="HR145" t="s">
        <v>1042</v>
      </c>
      <c r="HS145" t="s">
        <v>1043</v>
      </c>
      <c r="HT145">
        <v>0</v>
      </c>
      <c r="HU145">
        <v>0</v>
      </c>
      <c r="HW145">
        <v>0</v>
      </c>
      <c r="HX145">
        <v>0</v>
      </c>
      <c r="HY145">
        <v>0</v>
      </c>
      <c r="HZ145" t="s">
        <v>1045</v>
      </c>
      <c r="IA145">
        <v>0</v>
      </c>
      <c r="IB145" t="s">
        <v>1045</v>
      </c>
      <c r="ID145" t="s">
        <v>1045</v>
      </c>
      <c r="IF145">
        <v>0</v>
      </c>
      <c r="IG145" t="s">
        <v>1042</v>
      </c>
      <c r="II145" t="s">
        <v>1042</v>
      </c>
      <c r="IR145" t="s">
        <v>1045</v>
      </c>
      <c r="IT145">
        <v>0</v>
      </c>
      <c r="IY145" t="s">
        <v>1044</v>
      </c>
      <c r="IZ145" t="s">
        <v>1043</v>
      </c>
      <c r="JC145" t="s">
        <v>1043</v>
      </c>
      <c r="JE145">
        <v>0</v>
      </c>
      <c r="JF145">
        <v>0</v>
      </c>
      <c r="JI145" t="s">
        <v>1042</v>
      </c>
      <c r="JJ145">
        <v>0</v>
      </c>
      <c r="JK145">
        <v>0</v>
      </c>
      <c r="JL145">
        <v>0</v>
      </c>
      <c r="JM145">
        <v>0</v>
      </c>
      <c r="JQ145" t="s">
        <v>1043</v>
      </c>
      <c r="JT145">
        <v>0</v>
      </c>
      <c r="JU145" t="s">
        <v>1042</v>
      </c>
      <c r="JW145">
        <v>0</v>
      </c>
      <c r="KA145">
        <v>0</v>
      </c>
      <c r="KF145">
        <v>0</v>
      </c>
      <c r="KG145">
        <v>0</v>
      </c>
      <c r="KH145">
        <v>0</v>
      </c>
      <c r="KI145">
        <v>0</v>
      </c>
      <c r="KS145" t="s">
        <v>1073</v>
      </c>
      <c r="KT145">
        <v>0</v>
      </c>
      <c r="KU145">
        <v>0</v>
      </c>
      <c r="KV145">
        <v>0</v>
      </c>
      <c r="KX145">
        <v>0</v>
      </c>
      <c r="KZ145">
        <v>0</v>
      </c>
      <c r="LF145">
        <v>0</v>
      </c>
      <c r="LH145">
        <v>0</v>
      </c>
      <c r="LI145">
        <v>0</v>
      </c>
    </row>
    <row r="146" spans="1:321" x14ac:dyDescent="0.35">
      <c r="A146">
        <v>1</v>
      </c>
      <c r="B146">
        <v>12378</v>
      </c>
      <c r="C146" t="s">
        <v>1562</v>
      </c>
      <c r="D146" t="s">
        <v>1139</v>
      </c>
      <c r="E146" t="s">
        <v>85</v>
      </c>
      <c r="F146">
        <v>80</v>
      </c>
      <c r="G146">
        <v>9000</v>
      </c>
      <c r="H146">
        <v>0</v>
      </c>
      <c r="I146" t="s">
        <v>1442</v>
      </c>
      <c r="L146">
        <v>0</v>
      </c>
      <c r="M146">
        <v>0</v>
      </c>
      <c r="N146">
        <v>0</v>
      </c>
      <c r="R146">
        <v>0</v>
      </c>
      <c r="S146">
        <v>0</v>
      </c>
      <c r="W146" t="s">
        <v>1060</v>
      </c>
      <c r="X146">
        <v>0</v>
      </c>
      <c r="Z146">
        <v>1</v>
      </c>
      <c r="AA146">
        <v>0</v>
      </c>
      <c r="AB146">
        <v>0</v>
      </c>
      <c r="AC146">
        <v>2.5950000000000002</v>
      </c>
      <c r="AD146" s="20">
        <v>40785</v>
      </c>
      <c r="AE146">
        <v>2.5</v>
      </c>
      <c r="AF146">
        <v>0</v>
      </c>
      <c r="AH146">
        <v>0</v>
      </c>
      <c r="AJ146">
        <v>0</v>
      </c>
      <c r="AL146">
        <v>0</v>
      </c>
      <c r="AM146">
        <v>0</v>
      </c>
      <c r="AN146">
        <v>16601001</v>
      </c>
      <c r="AO146">
        <v>0</v>
      </c>
      <c r="AP146">
        <v>1000</v>
      </c>
      <c r="AT146">
        <v>0</v>
      </c>
      <c r="AU146" t="s">
        <v>1059</v>
      </c>
      <c r="AW146" t="s">
        <v>1053</v>
      </c>
      <c r="AX146">
        <v>0</v>
      </c>
      <c r="AY146" s="20">
        <v>40785</v>
      </c>
      <c r="BA146" s="20">
        <v>40785</v>
      </c>
      <c r="BB146" t="s">
        <v>1058</v>
      </c>
      <c r="BD146">
        <v>0</v>
      </c>
      <c r="BF146" t="s">
        <v>1043</v>
      </c>
      <c r="BG146" t="s">
        <v>1042</v>
      </c>
      <c r="BH146">
        <v>0</v>
      </c>
      <c r="BI146">
        <v>1</v>
      </c>
      <c r="BJ146">
        <v>0</v>
      </c>
      <c r="BK146">
        <v>0</v>
      </c>
      <c r="BM146" t="s">
        <v>1042</v>
      </c>
      <c r="BN146">
        <v>0</v>
      </c>
      <c r="BR146" t="s">
        <v>1043</v>
      </c>
      <c r="BS146" t="s">
        <v>1043</v>
      </c>
      <c r="BT146" t="s">
        <v>1043</v>
      </c>
      <c r="BW146">
        <v>83</v>
      </c>
      <c r="CA146">
        <v>0</v>
      </c>
      <c r="CB146" t="s">
        <v>1057</v>
      </c>
      <c r="CE146" t="s">
        <v>1043</v>
      </c>
      <c r="CH146" t="s">
        <v>1043</v>
      </c>
      <c r="CN146" t="s">
        <v>1056</v>
      </c>
      <c r="CO146" t="s">
        <v>1043</v>
      </c>
      <c r="CP146">
        <v>1</v>
      </c>
      <c r="CQ146">
        <v>0</v>
      </c>
      <c r="CS146">
        <v>0</v>
      </c>
      <c r="CT146">
        <v>0</v>
      </c>
      <c r="CU146">
        <v>0</v>
      </c>
      <c r="CV146" t="s">
        <v>1045</v>
      </c>
      <c r="CW146">
        <v>0</v>
      </c>
      <c r="CX146">
        <v>0</v>
      </c>
      <c r="CY146">
        <v>0</v>
      </c>
      <c r="CZ146">
        <v>0</v>
      </c>
      <c r="DB146">
        <v>0</v>
      </c>
      <c r="DC146" t="s">
        <v>1043</v>
      </c>
      <c r="DF146" t="s">
        <v>1055</v>
      </c>
      <c r="DH146">
        <v>0</v>
      </c>
      <c r="DJ146">
        <v>0</v>
      </c>
      <c r="DK146" t="s">
        <v>1053</v>
      </c>
      <c r="DL146">
        <v>0</v>
      </c>
      <c r="DN146">
        <v>0</v>
      </c>
      <c r="DO146" t="s">
        <v>1042</v>
      </c>
      <c r="DP146">
        <v>0</v>
      </c>
      <c r="DQ146">
        <v>0</v>
      </c>
      <c r="DS146">
        <v>0</v>
      </c>
      <c r="DU146">
        <v>0</v>
      </c>
      <c r="DW146">
        <v>0</v>
      </c>
      <c r="DX146" t="s">
        <v>1043</v>
      </c>
      <c r="DY146">
        <v>0</v>
      </c>
      <c r="DZ146">
        <v>0</v>
      </c>
      <c r="EA146">
        <v>0</v>
      </c>
      <c r="ED146" t="s">
        <v>1045</v>
      </c>
      <c r="EE146">
        <v>0</v>
      </c>
      <c r="EF146">
        <v>0</v>
      </c>
      <c r="EQ146" t="s">
        <v>1044</v>
      </c>
      <c r="ES146" t="s">
        <v>1053</v>
      </c>
      <c r="ET146">
        <v>0</v>
      </c>
      <c r="EV146">
        <v>0</v>
      </c>
      <c r="EY146" t="s">
        <v>1052</v>
      </c>
      <c r="EZ146">
        <v>0</v>
      </c>
      <c r="FA146" t="s">
        <v>1043</v>
      </c>
      <c r="FB146">
        <v>0</v>
      </c>
      <c r="FC146">
        <v>0</v>
      </c>
      <c r="FE146" t="s">
        <v>1050</v>
      </c>
      <c r="FF146">
        <v>0</v>
      </c>
      <c r="FG146" t="s">
        <v>1050</v>
      </c>
      <c r="FJ146">
        <v>0</v>
      </c>
      <c r="FK146">
        <v>0</v>
      </c>
      <c r="FP146">
        <v>0</v>
      </c>
      <c r="FR146">
        <v>0</v>
      </c>
      <c r="FS146" t="s">
        <v>1043</v>
      </c>
      <c r="FX146" t="s">
        <v>1042</v>
      </c>
      <c r="FZ146" t="s">
        <v>1048</v>
      </c>
      <c r="GA146">
        <v>0</v>
      </c>
      <c r="GB146" t="s">
        <v>1042</v>
      </c>
      <c r="GE146">
        <v>0</v>
      </c>
      <c r="GG146">
        <v>0</v>
      </c>
      <c r="GN146">
        <v>0</v>
      </c>
      <c r="GO146" t="s">
        <v>1063</v>
      </c>
      <c r="GQ146">
        <v>0</v>
      </c>
      <c r="GU146">
        <v>0</v>
      </c>
      <c r="GY146" t="s">
        <v>1045</v>
      </c>
      <c r="HB146">
        <v>0</v>
      </c>
      <c r="HE146">
        <v>0</v>
      </c>
      <c r="HF146">
        <v>0</v>
      </c>
      <c r="HG146">
        <v>0</v>
      </c>
      <c r="HK146" t="s">
        <v>1042</v>
      </c>
      <c r="HM146" t="s">
        <v>1047</v>
      </c>
      <c r="HN146">
        <v>0</v>
      </c>
      <c r="HP146">
        <v>0</v>
      </c>
      <c r="HQ146">
        <v>0</v>
      </c>
      <c r="HR146" t="s">
        <v>1042</v>
      </c>
      <c r="HS146" t="s">
        <v>1043</v>
      </c>
      <c r="HT146">
        <v>0</v>
      </c>
      <c r="HU146">
        <v>0</v>
      </c>
      <c r="HW146">
        <v>0</v>
      </c>
      <c r="HX146">
        <v>0</v>
      </c>
      <c r="HY146">
        <v>0</v>
      </c>
      <c r="HZ146" t="s">
        <v>1045</v>
      </c>
      <c r="IA146">
        <v>0</v>
      </c>
      <c r="IB146" t="s">
        <v>1045</v>
      </c>
      <c r="ID146" t="s">
        <v>1045</v>
      </c>
      <c r="IF146">
        <v>0</v>
      </c>
      <c r="IG146" t="s">
        <v>1042</v>
      </c>
      <c r="II146" t="s">
        <v>1042</v>
      </c>
      <c r="IR146" t="s">
        <v>1045</v>
      </c>
      <c r="IT146">
        <v>0</v>
      </c>
      <c r="IY146" t="s">
        <v>1044</v>
      </c>
      <c r="IZ146" t="s">
        <v>1043</v>
      </c>
      <c r="JC146" t="s">
        <v>1043</v>
      </c>
      <c r="JE146">
        <v>0</v>
      </c>
      <c r="JF146">
        <v>0</v>
      </c>
      <c r="JI146" t="s">
        <v>1042</v>
      </c>
      <c r="JJ146">
        <v>0</v>
      </c>
      <c r="JK146">
        <v>0</v>
      </c>
      <c r="JL146">
        <v>0</v>
      </c>
      <c r="JM146">
        <v>0</v>
      </c>
      <c r="JQ146" t="s">
        <v>1043</v>
      </c>
      <c r="JT146">
        <v>0</v>
      </c>
      <c r="JU146" t="s">
        <v>1042</v>
      </c>
      <c r="JW146">
        <v>0</v>
      </c>
      <c r="KA146">
        <v>0</v>
      </c>
      <c r="KF146">
        <v>0</v>
      </c>
      <c r="KG146">
        <v>0</v>
      </c>
      <c r="KH146">
        <v>0</v>
      </c>
      <c r="KI146">
        <v>0</v>
      </c>
      <c r="KS146" t="s">
        <v>1073</v>
      </c>
      <c r="KT146">
        <v>0</v>
      </c>
      <c r="KU146">
        <v>0</v>
      </c>
      <c r="KV146">
        <v>0</v>
      </c>
      <c r="KX146">
        <v>0</v>
      </c>
      <c r="KZ146">
        <v>0</v>
      </c>
      <c r="LF146">
        <v>0</v>
      </c>
      <c r="LH146">
        <v>0</v>
      </c>
      <c r="LI146">
        <v>0</v>
      </c>
    </row>
    <row r="147" spans="1:321" x14ac:dyDescent="0.35">
      <c r="A147">
        <v>1</v>
      </c>
      <c r="B147">
        <v>12379</v>
      </c>
      <c r="C147" t="s">
        <v>1561</v>
      </c>
      <c r="D147" t="s">
        <v>1139</v>
      </c>
      <c r="E147" t="s">
        <v>85</v>
      </c>
      <c r="F147">
        <v>80</v>
      </c>
      <c r="G147">
        <v>9000</v>
      </c>
      <c r="H147">
        <v>0</v>
      </c>
      <c r="I147" t="s">
        <v>1442</v>
      </c>
      <c r="L147">
        <v>0</v>
      </c>
      <c r="M147">
        <v>0</v>
      </c>
      <c r="N147">
        <v>0</v>
      </c>
      <c r="R147">
        <v>0</v>
      </c>
      <c r="S147">
        <v>0</v>
      </c>
      <c r="W147" t="s">
        <v>1060</v>
      </c>
      <c r="X147">
        <v>0</v>
      </c>
      <c r="Z147">
        <v>1</v>
      </c>
      <c r="AA147">
        <v>0</v>
      </c>
      <c r="AB147">
        <v>0</v>
      </c>
      <c r="AC147">
        <v>2.59</v>
      </c>
      <c r="AD147" s="20">
        <v>40785</v>
      </c>
      <c r="AE147">
        <v>2.5</v>
      </c>
      <c r="AF147">
        <v>0</v>
      </c>
      <c r="AH147">
        <v>0</v>
      </c>
      <c r="AJ147">
        <v>0</v>
      </c>
      <c r="AL147">
        <v>0</v>
      </c>
      <c r="AM147">
        <v>0</v>
      </c>
      <c r="AN147">
        <v>16601001</v>
      </c>
      <c r="AO147">
        <v>0</v>
      </c>
      <c r="AP147">
        <v>1000</v>
      </c>
      <c r="AT147">
        <v>0</v>
      </c>
      <c r="AU147" t="s">
        <v>1059</v>
      </c>
      <c r="AW147" t="s">
        <v>1053</v>
      </c>
      <c r="AX147">
        <v>0</v>
      </c>
      <c r="AY147" s="20">
        <v>40785</v>
      </c>
      <c r="BA147" s="20">
        <v>40785</v>
      </c>
      <c r="BB147" t="s">
        <v>1058</v>
      </c>
      <c r="BD147">
        <v>0</v>
      </c>
      <c r="BF147" t="s">
        <v>1043</v>
      </c>
      <c r="BG147" t="s">
        <v>1042</v>
      </c>
      <c r="BH147">
        <v>0</v>
      </c>
      <c r="BI147">
        <v>1</v>
      </c>
      <c r="BJ147">
        <v>0</v>
      </c>
      <c r="BK147">
        <v>0</v>
      </c>
      <c r="BM147" t="s">
        <v>1042</v>
      </c>
      <c r="BN147">
        <v>0</v>
      </c>
      <c r="BR147" t="s">
        <v>1043</v>
      </c>
      <c r="BS147" t="s">
        <v>1043</v>
      </c>
      <c r="BT147" t="s">
        <v>1043</v>
      </c>
      <c r="BW147">
        <v>83</v>
      </c>
      <c r="CA147">
        <v>0</v>
      </c>
      <c r="CB147" t="s">
        <v>1057</v>
      </c>
      <c r="CE147" t="s">
        <v>1043</v>
      </c>
      <c r="CH147" t="s">
        <v>1043</v>
      </c>
      <c r="CN147" t="s">
        <v>1056</v>
      </c>
      <c r="CO147" t="s">
        <v>1043</v>
      </c>
      <c r="CP147">
        <v>1</v>
      </c>
      <c r="CQ147">
        <v>0</v>
      </c>
      <c r="CS147">
        <v>0</v>
      </c>
      <c r="CT147">
        <v>0</v>
      </c>
      <c r="CU147">
        <v>0</v>
      </c>
      <c r="CV147" t="s">
        <v>1045</v>
      </c>
      <c r="CW147">
        <v>0</v>
      </c>
      <c r="CX147">
        <v>0</v>
      </c>
      <c r="CY147">
        <v>0</v>
      </c>
      <c r="CZ147">
        <v>0</v>
      </c>
      <c r="DB147">
        <v>0</v>
      </c>
      <c r="DC147" t="s">
        <v>1043</v>
      </c>
      <c r="DF147" t="s">
        <v>1055</v>
      </c>
      <c r="DH147">
        <v>0</v>
      </c>
      <c r="DJ147">
        <v>0</v>
      </c>
      <c r="DK147" t="s">
        <v>1053</v>
      </c>
      <c r="DL147">
        <v>0</v>
      </c>
      <c r="DN147">
        <v>0</v>
      </c>
      <c r="DO147" t="s">
        <v>1042</v>
      </c>
      <c r="DP147">
        <v>0</v>
      </c>
      <c r="DQ147">
        <v>0</v>
      </c>
      <c r="DS147">
        <v>0</v>
      </c>
      <c r="DU147">
        <v>0</v>
      </c>
      <c r="DW147">
        <v>0</v>
      </c>
      <c r="DX147" t="s">
        <v>1043</v>
      </c>
      <c r="DY147">
        <v>0</v>
      </c>
      <c r="DZ147">
        <v>0</v>
      </c>
      <c r="EA147">
        <v>0</v>
      </c>
      <c r="ED147" t="s">
        <v>1045</v>
      </c>
      <c r="EE147">
        <v>0</v>
      </c>
      <c r="EF147">
        <v>0</v>
      </c>
      <c r="EQ147" t="s">
        <v>1044</v>
      </c>
      <c r="ES147" t="s">
        <v>1053</v>
      </c>
      <c r="ET147">
        <v>0</v>
      </c>
      <c r="EV147">
        <v>0</v>
      </c>
      <c r="EY147" t="s">
        <v>1052</v>
      </c>
      <c r="EZ147">
        <v>0</v>
      </c>
      <c r="FA147" t="s">
        <v>1043</v>
      </c>
      <c r="FB147">
        <v>0</v>
      </c>
      <c r="FC147">
        <v>0</v>
      </c>
      <c r="FE147" t="s">
        <v>1050</v>
      </c>
      <c r="FF147">
        <v>0</v>
      </c>
      <c r="FG147" t="s">
        <v>1050</v>
      </c>
      <c r="FJ147">
        <v>0</v>
      </c>
      <c r="FK147">
        <v>0</v>
      </c>
      <c r="FP147">
        <v>0</v>
      </c>
      <c r="FR147">
        <v>0</v>
      </c>
      <c r="FS147" t="s">
        <v>1043</v>
      </c>
      <c r="FX147" t="s">
        <v>1042</v>
      </c>
      <c r="FZ147" t="s">
        <v>1048</v>
      </c>
      <c r="GA147">
        <v>0</v>
      </c>
      <c r="GB147" t="s">
        <v>1042</v>
      </c>
      <c r="GE147">
        <v>0</v>
      </c>
      <c r="GG147">
        <v>0</v>
      </c>
      <c r="GN147">
        <v>0</v>
      </c>
      <c r="GO147" t="s">
        <v>1063</v>
      </c>
      <c r="GQ147">
        <v>0</v>
      </c>
      <c r="GU147">
        <v>0</v>
      </c>
      <c r="GY147" t="s">
        <v>1045</v>
      </c>
      <c r="HB147">
        <v>0</v>
      </c>
      <c r="HE147">
        <v>0</v>
      </c>
      <c r="HF147">
        <v>0</v>
      </c>
      <c r="HG147">
        <v>0</v>
      </c>
      <c r="HK147" t="s">
        <v>1042</v>
      </c>
      <c r="HM147" t="s">
        <v>1047</v>
      </c>
      <c r="HN147">
        <v>0</v>
      </c>
      <c r="HP147">
        <v>0</v>
      </c>
      <c r="HQ147">
        <v>0</v>
      </c>
      <c r="HR147" t="s">
        <v>1042</v>
      </c>
      <c r="HS147" t="s">
        <v>1043</v>
      </c>
      <c r="HT147">
        <v>0</v>
      </c>
      <c r="HU147">
        <v>0</v>
      </c>
      <c r="HW147">
        <v>0</v>
      </c>
      <c r="HX147">
        <v>0</v>
      </c>
      <c r="HY147">
        <v>0</v>
      </c>
      <c r="HZ147" t="s">
        <v>1045</v>
      </c>
      <c r="IA147">
        <v>0</v>
      </c>
      <c r="IB147" t="s">
        <v>1045</v>
      </c>
      <c r="ID147" t="s">
        <v>1045</v>
      </c>
      <c r="IF147">
        <v>0</v>
      </c>
      <c r="IG147" t="s">
        <v>1042</v>
      </c>
      <c r="II147" t="s">
        <v>1042</v>
      </c>
      <c r="IR147" t="s">
        <v>1045</v>
      </c>
      <c r="IT147">
        <v>0</v>
      </c>
      <c r="IY147" t="s">
        <v>1044</v>
      </c>
      <c r="IZ147" t="s">
        <v>1043</v>
      </c>
      <c r="JC147" t="s">
        <v>1043</v>
      </c>
      <c r="JE147">
        <v>0</v>
      </c>
      <c r="JF147">
        <v>0</v>
      </c>
      <c r="JI147" t="s">
        <v>1042</v>
      </c>
      <c r="JJ147">
        <v>0</v>
      </c>
      <c r="JK147">
        <v>0</v>
      </c>
      <c r="JL147">
        <v>0</v>
      </c>
      <c r="JM147">
        <v>0</v>
      </c>
      <c r="JQ147" t="s">
        <v>1043</v>
      </c>
      <c r="JT147">
        <v>0</v>
      </c>
      <c r="JU147" t="s">
        <v>1042</v>
      </c>
      <c r="JW147">
        <v>0</v>
      </c>
      <c r="KA147">
        <v>0</v>
      </c>
      <c r="KF147">
        <v>0</v>
      </c>
      <c r="KG147">
        <v>0</v>
      </c>
      <c r="KH147">
        <v>0</v>
      </c>
      <c r="KI147">
        <v>0</v>
      </c>
      <c r="KS147" t="s">
        <v>1073</v>
      </c>
      <c r="KT147">
        <v>0</v>
      </c>
      <c r="KU147">
        <v>0</v>
      </c>
      <c r="KV147">
        <v>0</v>
      </c>
      <c r="KX147">
        <v>0</v>
      </c>
      <c r="KZ147">
        <v>0</v>
      </c>
      <c r="LF147">
        <v>0</v>
      </c>
      <c r="LH147">
        <v>0</v>
      </c>
      <c r="LI147">
        <v>0</v>
      </c>
    </row>
    <row r="148" spans="1:321" x14ac:dyDescent="0.35">
      <c r="A148">
        <v>1</v>
      </c>
      <c r="B148">
        <v>1238</v>
      </c>
      <c r="C148" t="s">
        <v>1560</v>
      </c>
      <c r="D148" t="s">
        <v>1061</v>
      </c>
      <c r="E148" t="s">
        <v>587</v>
      </c>
      <c r="F148">
        <v>1</v>
      </c>
      <c r="G148">
        <v>8888</v>
      </c>
      <c r="H148">
        <v>0</v>
      </c>
      <c r="I148" t="s">
        <v>991</v>
      </c>
      <c r="L148">
        <v>0</v>
      </c>
      <c r="M148">
        <v>0</v>
      </c>
      <c r="N148">
        <v>0</v>
      </c>
      <c r="Q148">
        <v>516</v>
      </c>
      <c r="R148">
        <v>0</v>
      </c>
      <c r="S148">
        <v>0</v>
      </c>
      <c r="W148" t="s">
        <v>1060</v>
      </c>
      <c r="X148">
        <v>0</v>
      </c>
      <c r="Z148">
        <v>25</v>
      </c>
      <c r="AA148">
        <v>9.2629999999999999</v>
      </c>
      <c r="AB148">
        <v>0</v>
      </c>
      <c r="AC148">
        <v>0.44030000000000002</v>
      </c>
      <c r="AD148" t="s">
        <v>1042</v>
      </c>
      <c r="AE148">
        <v>0</v>
      </c>
      <c r="AF148">
        <v>7.8E-2</v>
      </c>
      <c r="AH148">
        <v>0</v>
      </c>
      <c r="AJ148">
        <v>0</v>
      </c>
      <c r="AK148" t="s">
        <v>1154</v>
      </c>
      <c r="AL148">
        <v>100</v>
      </c>
      <c r="AM148">
        <v>212</v>
      </c>
      <c r="AN148">
        <v>11501001</v>
      </c>
      <c r="AO148">
        <v>0</v>
      </c>
      <c r="AP148">
        <v>1001</v>
      </c>
      <c r="AT148">
        <v>0</v>
      </c>
      <c r="AU148" t="s">
        <v>1059</v>
      </c>
      <c r="AV148" t="s">
        <v>1043</v>
      </c>
      <c r="AW148" t="s">
        <v>1053</v>
      </c>
      <c r="AX148">
        <v>5</v>
      </c>
      <c r="AY148" s="20">
        <v>43274</v>
      </c>
      <c r="BA148" s="20">
        <v>43677</v>
      </c>
      <c r="BB148" t="s">
        <v>1058</v>
      </c>
      <c r="BD148">
        <v>0</v>
      </c>
      <c r="BF148" t="s">
        <v>1043</v>
      </c>
      <c r="BG148" s="20">
        <v>42705</v>
      </c>
      <c r="BH148">
        <v>0</v>
      </c>
      <c r="BI148">
        <v>33</v>
      </c>
      <c r="BJ148">
        <v>0</v>
      </c>
      <c r="BK148">
        <v>0</v>
      </c>
      <c r="BM148" s="20">
        <v>42755</v>
      </c>
      <c r="BN148">
        <v>0</v>
      </c>
      <c r="BO148">
        <v>7897801317146</v>
      </c>
      <c r="BR148" t="s">
        <v>1043</v>
      </c>
      <c r="BS148" t="s">
        <v>1043</v>
      </c>
      <c r="BT148" t="s">
        <v>1043</v>
      </c>
      <c r="BV148">
        <v>1</v>
      </c>
      <c r="BW148">
        <v>30</v>
      </c>
      <c r="BY148">
        <v>66</v>
      </c>
      <c r="CA148">
        <v>0</v>
      </c>
      <c r="CB148" t="s">
        <v>1043</v>
      </c>
      <c r="CE148" t="s">
        <v>1043</v>
      </c>
      <c r="CH148" t="s">
        <v>1043</v>
      </c>
      <c r="CI148" t="s">
        <v>1383</v>
      </c>
      <c r="CK148" t="s">
        <v>1152</v>
      </c>
      <c r="CN148" t="s">
        <v>1056</v>
      </c>
      <c r="CP148">
        <v>1</v>
      </c>
      <c r="CQ148">
        <v>0</v>
      </c>
      <c r="CS148">
        <v>0</v>
      </c>
      <c r="CT148">
        <v>0</v>
      </c>
      <c r="CU148">
        <v>0</v>
      </c>
      <c r="CV148" t="s">
        <v>1045</v>
      </c>
      <c r="CW148">
        <v>0</v>
      </c>
      <c r="CX148">
        <v>0</v>
      </c>
      <c r="CY148">
        <v>0</v>
      </c>
      <c r="CZ148">
        <v>0</v>
      </c>
      <c r="DA148">
        <v>24</v>
      </c>
      <c r="DB148">
        <v>0</v>
      </c>
      <c r="DH148">
        <v>0</v>
      </c>
      <c r="DJ148">
        <v>0</v>
      </c>
      <c r="DL148">
        <v>0</v>
      </c>
      <c r="DN148">
        <v>0</v>
      </c>
      <c r="DO148" t="s">
        <v>1042</v>
      </c>
      <c r="DP148">
        <v>0</v>
      </c>
      <c r="DQ148">
        <v>7.6</v>
      </c>
      <c r="DS148">
        <v>0</v>
      </c>
      <c r="DU148">
        <v>1.65</v>
      </c>
      <c r="DW148">
        <v>0</v>
      </c>
      <c r="DY148">
        <v>0</v>
      </c>
      <c r="DZ148">
        <v>0</v>
      </c>
      <c r="EA148">
        <v>0</v>
      </c>
      <c r="EB148">
        <v>17897801317143</v>
      </c>
      <c r="EE148">
        <v>0</v>
      </c>
      <c r="EF148">
        <v>0</v>
      </c>
      <c r="EL148">
        <v>57897801317141</v>
      </c>
      <c r="EN148" t="s">
        <v>1511</v>
      </c>
      <c r="EO148" t="s">
        <v>1044</v>
      </c>
      <c r="ET148">
        <v>0</v>
      </c>
      <c r="EV148">
        <v>0</v>
      </c>
      <c r="EY148" t="s">
        <v>1052</v>
      </c>
      <c r="EZ148">
        <v>0</v>
      </c>
      <c r="FA148" t="s">
        <v>1043</v>
      </c>
      <c r="FB148">
        <v>0</v>
      </c>
      <c r="FC148">
        <v>0</v>
      </c>
      <c r="FD148" t="s">
        <v>1051</v>
      </c>
      <c r="FE148" t="s">
        <v>1050</v>
      </c>
      <c r="FF148">
        <v>0</v>
      </c>
      <c r="FG148" t="s">
        <v>1050</v>
      </c>
      <c r="FH148">
        <v>27897801317140</v>
      </c>
      <c r="FJ148">
        <v>0</v>
      </c>
      <c r="FK148">
        <v>0</v>
      </c>
      <c r="FP148">
        <v>0</v>
      </c>
      <c r="FR148">
        <v>0</v>
      </c>
      <c r="FS148" t="s">
        <v>1043</v>
      </c>
      <c r="FX148" t="s">
        <v>1042</v>
      </c>
      <c r="GA148">
        <v>0</v>
      </c>
      <c r="GB148" t="s">
        <v>1042</v>
      </c>
      <c r="GD148">
        <v>16</v>
      </c>
      <c r="GE148">
        <v>0</v>
      </c>
      <c r="GG148">
        <v>0</v>
      </c>
      <c r="GN148">
        <v>0</v>
      </c>
      <c r="GO148" t="s">
        <v>1049</v>
      </c>
      <c r="GQ148">
        <v>0</v>
      </c>
      <c r="GU148">
        <v>2</v>
      </c>
      <c r="GY148" t="s">
        <v>1045</v>
      </c>
      <c r="HB148">
        <v>0</v>
      </c>
      <c r="HE148">
        <v>0</v>
      </c>
      <c r="HF148">
        <v>0</v>
      </c>
      <c r="HG148">
        <v>1.7850000000000001E-2</v>
      </c>
      <c r="HK148" t="s">
        <v>1042</v>
      </c>
      <c r="HM148">
        <v>0</v>
      </c>
      <c r="HN148">
        <v>0</v>
      </c>
      <c r="HP148">
        <v>7.7499999999999999E-2</v>
      </c>
      <c r="HQ148">
        <v>0</v>
      </c>
      <c r="HR148" t="s">
        <v>1042</v>
      </c>
      <c r="HT148">
        <v>0</v>
      </c>
      <c r="HU148">
        <v>0</v>
      </c>
      <c r="HW148">
        <v>0</v>
      </c>
      <c r="HX148">
        <v>0</v>
      </c>
      <c r="HY148">
        <v>0</v>
      </c>
      <c r="IA148">
        <v>0</v>
      </c>
      <c r="IF148">
        <v>1250</v>
      </c>
      <c r="IG148" s="20">
        <v>42709</v>
      </c>
      <c r="IH148" t="s">
        <v>1046</v>
      </c>
      <c r="II148" t="s">
        <v>1042</v>
      </c>
      <c r="IR148" t="s">
        <v>1044</v>
      </c>
      <c r="IT148">
        <v>0</v>
      </c>
      <c r="JE148">
        <v>0</v>
      </c>
      <c r="JF148">
        <v>0</v>
      </c>
      <c r="JI148" t="s">
        <v>1042</v>
      </c>
      <c r="JJ148">
        <v>0</v>
      </c>
      <c r="JK148">
        <v>0</v>
      </c>
      <c r="JL148">
        <v>0</v>
      </c>
      <c r="JM148">
        <v>0</v>
      </c>
      <c r="JT148">
        <v>0</v>
      </c>
      <c r="JU148" t="s">
        <v>1042</v>
      </c>
      <c r="JW148">
        <v>0</v>
      </c>
      <c r="KA148">
        <v>0</v>
      </c>
      <c r="KF148">
        <v>0</v>
      </c>
      <c r="KG148">
        <v>0</v>
      </c>
      <c r="KH148">
        <v>0</v>
      </c>
      <c r="KI148">
        <v>0</v>
      </c>
      <c r="KS148" t="s">
        <v>1041</v>
      </c>
      <c r="KT148">
        <v>0</v>
      </c>
      <c r="KU148">
        <v>0</v>
      </c>
      <c r="KV148">
        <v>0</v>
      </c>
      <c r="KX148">
        <v>0</v>
      </c>
      <c r="KZ148">
        <v>0</v>
      </c>
      <c r="LF148">
        <v>0</v>
      </c>
      <c r="LH148">
        <v>0</v>
      </c>
      <c r="LI148">
        <v>0</v>
      </c>
    </row>
    <row r="149" spans="1:321" x14ac:dyDescent="0.35">
      <c r="A149">
        <v>1</v>
      </c>
      <c r="B149">
        <v>12380</v>
      </c>
      <c r="C149" t="s">
        <v>1559</v>
      </c>
      <c r="D149" t="s">
        <v>1139</v>
      </c>
      <c r="E149" t="s">
        <v>85</v>
      </c>
      <c r="F149">
        <v>80</v>
      </c>
      <c r="G149">
        <v>9000</v>
      </c>
      <c r="H149">
        <v>0</v>
      </c>
      <c r="I149" t="s">
        <v>1442</v>
      </c>
      <c r="L149">
        <v>0</v>
      </c>
      <c r="M149">
        <v>0</v>
      </c>
      <c r="N149">
        <v>0</v>
      </c>
      <c r="R149">
        <v>0</v>
      </c>
      <c r="S149">
        <v>0</v>
      </c>
      <c r="W149" t="s">
        <v>1060</v>
      </c>
      <c r="X149">
        <v>0</v>
      </c>
      <c r="Z149">
        <v>1</v>
      </c>
      <c r="AA149">
        <v>0</v>
      </c>
      <c r="AB149">
        <v>0</v>
      </c>
      <c r="AC149">
        <v>2.59</v>
      </c>
      <c r="AD149" s="20">
        <v>40785</v>
      </c>
      <c r="AE149">
        <v>2.5</v>
      </c>
      <c r="AF149">
        <v>0</v>
      </c>
      <c r="AH149">
        <v>0</v>
      </c>
      <c r="AJ149">
        <v>0</v>
      </c>
      <c r="AL149">
        <v>0</v>
      </c>
      <c r="AM149">
        <v>0</v>
      </c>
      <c r="AN149">
        <v>16601001</v>
      </c>
      <c r="AO149">
        <v>0</v>
      </c>
      <c r="AP149">
        <v>1000</v>
      </c>
      <c r="AT149">
        <v>0</v>
      </c>
      <c r="AU149" t="s">
        <v>1059</v>
      </c>
      <c r="AW149" t="s">
        <v>1053</v>
      </c>
      <c r="AX149">
        <v>0</v>
      </c>
      <c r="AY149" s="20">
        <v>40785</v>
      </c>
      <c r="BA149" s="20">
        <v>40785</v>
      </c>
      <c r="BB149" t="s">
        <v>1058</v>
      </c>
      <c r="BD149">
        <v>0</v>
      </c>
      <c r="BF149" t="s">
        <v>1043</v>
      </c>
      <c r="BG149" t="s">
        <v>1042</v>
      </c>
      <c r="BH149">
        <v>0</v>
      </c>
      <c r="BI149">
        <v>1</v>
      </c>
      <c r="BJ149">
        <v>0</v>
      </c>
      <c r="BK149">
        <v>0</v>
      </c>
      <c r="BM149" t="s">
        <v>1042</v>
      </c>
      <c r="BN149">
        <v>0</v>
      </c>
      <c r="BR149" t="s">
        <v>1043</v>
      </c>
      <c r="BS149" t="s">
        <v>1043</v>
      </c>
      <c r="BT149" t="s">
        <v>1043</v>
      </c>
      <c r="BW149">
        <v>83</v>
      </c>
      <c r="CA149">
        <v>0</v>
      </c>
      <c r="CB149" t="s">
        <v>1057</v>
      </c>
      <c r="CE149" t="s">
        <v>1043</v>
      </c>
      <c r="CH149" t="s">
        <v>1043</v>
      </c>
      <c r="CN149" t="s">
        <v>1056</v>
      </c>
      <c r="CO149" t="s">
        <v>1043</v>
      </c>
      <c r="CP149">
        <v>1</v>
      </c>
      <c r="CQ149">
        <v>0</v>
      </c>
      <c r="CS149">
        <v>0</v>
      </c>
      <c r="CT149">
        <v>0</v>
      </c>
      <c r="CU149">
        <v>0</v>
      </c>
      <c r="CV149" t="s">
        <v>1045</v>
      </c>
      <c r="CW149">
        <v>0</v>
      </c>
      <c r="CX149">
        <v>0</v>
      </c>
      <c r="CY149">
        <v>0</v>
      </c>
      <c r="CZ149">
        <v>0</v>
      </c>
      <c r="DB149">
        <v>0</v>
      </c>
      <c r="DC149" t="s">
        <v>1043</v>
      </c>
      <c r="DF149" t="s">
        <v>1055</v>
      </c>
      <c r="DH149">
        <v>0</v>
      </c>
      <c r="DJ149">
        <v>0</v>
      </c>
      <c r="DK149" t="s">
        <v>1053</v>
      </c>
      <c r="DL149">
        <v>0</v>
      </c>
      <c r="DN149">
        <v>0</v>
      </c>
      <c r="DO149" t="s">
        <v>1042</v>
      </c>
      <c r="DP149">
        <v>0</v>
      </c>
      <c r="DQ149">
        <v>0</v>
      </c>
      <c r="DS149">
        <v>0</v>
      </c>
      <c r="DU149">
        <v>0</v>
      </c>
      <c r="DW149">
        <v>0</v>
      </c>
      <c r="DX149" t="s">
        <v>1043</v>
      </c>
      <c r="DY149">
        <v>0</v>
      </c>
      <c r="DZ149">
        <v>0</v>
      </c>
      <c r="EA149">
        <v>0</v>
      </c>
      <c r="ED149" t="s">
        <v>1045</v>
      </c>
      <c r="EE149">
        <v>0</v>
      </c>
      <c r="EF149">
        <v>0</v>
      </c>
      <c r="EQ149" t="s">
        <v>1044</v>
      </c>
      <c r="ES149" t="s">
        <v>1053</v>
      </c>
      <c r="ET149">
        <v>0</v>
      </c>
      <c r="EV149">
        <v>0</v>
      </c>
      <c r="EY149" t="s">
        <v>1052</v>
      </c>
      <c r="EZ149">
        <v>0</v>
      </c>
      <c r="FA149" t="s">
        <v>1043</v>
      </c>
      <c r="FB149">
        <v>0</v>
      </c>
      <c r="FC149">
        <v>0</v>
      </c>
      <c r="FE149" t="s">
        <v>1050</v>
      </c>
      <c r="FF149">
        <v>0</v>
      </c>
      <c r="FG149" t="s">
        <v>1050</v>
      </c>
      <c r="FJ149">
        <v>0</v>
      </c>
      <c r="FK149">
        <v>0</v>
      </c>
      <c r="FP149">
        <v>0</v>
      </c>
      <c r="FR149">
        <v>0</v>
      </c>
      <c r="FS149" t="s">
        <v>1043</v>
      </c>
      <c r="FX149" t="s">
        <v>1042</v>
      </c>
      <c r="FZ149" t="s">
        <v>1048</v>
      </c>
      <c r="GA149">
        <v>0</v>
      </c>
      <c r="GB149" t="s">
        <v>1042</v>
      </c>
      <c r="GE149">
        <v>0</v>
      </c>
      <c r="GG149">
        <v>0</v>
      </c>
      <c r="GN149">
        <v>0</v>
      </c>
      <c r="GO149" t="s">
        <v>1063</v>
      </c>
      <c r="GQ149">
        <v>0</v>
      </c>
      <c r="GU149">
        <v>0</v>
      </c>
      <c r="GY149" t="s">
        <v>1045</v>
      </c>
      <c r="HB149">
        <v>0</v>
      </c>
      <c r="HE149">
        <v>0</v>
      </c>
      <c r="HF149">
        <v>0</v>
      </c>
      <c r="HG149">
        <v>0</v>
      </c>
      <c r="HK149" t="s">
        <v>1042</v>
      </c>
      <c r="HM149" t="s">
        <v>1047</v>
      </c>
      <c r="HN149">
        <v>0</v>
      </c>
      <c r="HP149">
        <v>0</v>
      </c>
      <c r="HQ149">
        <v>0</v>
      </c>
      <c r="HR149" t="s">
        <v>1042</v>
      </c>
      <c r="HS149" t="s">
        <v>1043</v>
      </c>
      <c r="HT149">
        <v>0</v>
      </c>
      <c r="HU149">
        <v>0</v>
      </c>
      <c r="HW149">
        <v>0</v>
      </c>
      <c r="HX149">
        <v>0</v>
      </c>
      <c r="HY149">
        <v>0</v>
      </c>
      <c r="HZ149" t="s">
        <v>1045</v>
      </c>
      <c r="IA149">
        <v>0</v>
      </c>
      <c r="IB149" t="s">
        <v>1045</v>
      </c>
      <c r="ID149" t="s">
        <v>1045</v>
      </c>
      <c r="IF149">
        <v>0</v>
      </c>
      <c r="IG149" t="s">
        <v>1042</v>
      </c>
      <c r="II149" t="s">
        <v>1042</v>
      </c>
      <c r="IR149" t="s">
        <v>1045</v>
      </c>
      <c r="IT149">
        <v>0</v>
      </c>
      <c r="IY149" t="s">
        <v>1044</v>
      </c>
      <c r="IZ149" t="s">
        <v>1043</v>
      </c>
      <c r="JC149" t="s">
        <v>1043</v>
      </c>
      <c r="JE149">
        <v>0</v>
      </c>
      <c r="JF149">
        <v>0</v>
      </c>
      <c r="JI149" t="s">
        <v>1042</v>
      </c>
      <c r="JJ149">
        <v>0</v>
      </c>
      <c r="JK149">
        <v>0</v>
      </c>
      <c r="JL149">
        <v>0</v>
      </c>
      <c r="JM149">
        <v>0</v>
      </c>
      <c r="JQ149" t="s">
        <v>1043</v>
      </c>
      <c r="JT149">
        <v>0</v>
      </c>
      <c r="JU149" t="s">
        <v>1042</v>
      </c>
      <c r="JW149">
        <v>0</v>
      </c>
      <c r="KA149">
        <v>0</v>
      </c>
      <c r="KF149">
        <v>0</v>
      </c>
      <c r="KG149">
        <v>0</v>
      </c>
      <c r="KH149">
        <v>0</v>
      </c>
      <c r="KI149">
        <v>0</v>
      </c>
      <c r="KS149" t="s">
        <v>1073</v>
      </c>
      <c r="KT149">
        <v>0</v>
      </c>
      <c r="KU149">
        <v>0</v>
      </c>
      <c r="KV149">
        <v>0</v>
      </c>
      <c r="KX149">
        <v>0</v>
      </c>
      <c r="KZ149">
        <v>0</v>
      </c>
      <c r="LF149">
        <v>0</v>
      </c>
      <c r="LH149">
        <v>0</v>
      </c>
      <c r="LI149">
        <v>0</v>
      </c>
    </row>
    <row r="150" spans="1:321" x14ac:dyDescent="0.35">
      <c r="A150">
        <v>1</v>
      </c>
      <c r="B150">
        <v>12381</v>
      </c>
      <c r="C150" t="s">
        <v>1558</v>
      </c>
      <c r="D150" t="s">
        <v>1139</v>
      </c>
      <c r="E150" t="s">
        <v>85</v>
      </c>
      <c r="F150">
        <v>80</v>
      </c>
      <c r="G150">
        <v>9000</v>
      </c>
      <c r="H150">
        <v>0</v>
      </c>
      <c r="I150" t="s">
        <v>1442</v>
      </c>
      <c r="L150">
        <v>0</v>
      </c>
      <c r="M150">
        <v>0</v>
      </c>
      <c r="N150">
        <v>0</v>
      </c>
      <c r="R150">
        <v>0</v>
      </c>
      <c r="S150">
        <v>0</v>
      </c>
      <c r="W150" t="s">
        <v>1060</v>
      </c>
      <c r="X150">
        <v>0</v>
      </c>
      <c r="Z150">
        <v>1</v>
      </c>
      <c r="AA150">
        <v>0</v>
      </c>
      <c r="AB150">
        <v>0</v>
      </c>
      <c r="AC150">
        <v>2.59</v>
      </c>
      <c r="AD150" s="20">
        <v>40785</v>
      </c>
      <c r="AE150">
        <v>2.5</v>
      </c>
      <c r="AF150">
        <v>0</v>
      </c>
      <c r="AH150">
        <v>0</v>
      </c>
      <c r="AJ150">
        <v>0</v>
      </c>
      <c r="AL150">
        <v>0</v>
      </c>
      <c r="AM150">
        <v>0</v>
      </c>
      <c r="AN150">
        <v>16601001</v>
      </c>
      <c r="AO150">
        <v>0</v>
      </c>
      <c r="AP150">
        <v>1000</v>
      </c>
      <c r="AT150">
        <v>0</v>
      </c>
      <c r="AU150" t="s">
        <v>1059</v>
      </c>
      <c r="AW150" t="s">
        <v>1053</v>
      </c>
      <c r="AX150">
        <v>0</v>
      </c>
      <c r="AY150" s="20">
        <v>40785</v>
      </c>
      <c r="BA150" s="20">
        <v>40785</v>
      </c>
      <c r="BB150" t="s">
        <v>1058</v>
      </c>
      <c r="BD150">
        <v>0</v>
      </c>
      <c r="BF150" t="s">
        <v>1043</v>
      </c>
      <c r="BG150" t="s">
        <v>1042</v>
      </c>
      <c r="BH150">
        <v>0</v>
      </c>
      <c r="BI150">
        <v>1</v>
      </c>
      <c r="BJ150">
        <v>0</v>
      </c>
      <c r="BK150">
        <v>0</v>
      </c>
      <c r="BM150" t="s">
        <v>1042</v>
      </c>
      <c r="BN150">
        <v>0</v>
      </c>
      <c r="BR150" t="s">
        <v>1043</v>
      </c>
      <c r="BS150" t="s">
        <v>1043</v>
      </c>
      <c r="BT150" t="s">
        <v>1043</v>
      </c>
      <c r="BW150">
        <v>83</v>
      </c>
      <c r="CA150">
        <v>0</v>
      </c>
      <c r="CB150" t="s">
        <v>1057</v>
      </c>
      <c r="CE150" t="s">
        <v>1043</v>
      </c>
      <c r="CH150" t="s">
        <v>1043</v>
      </c>
      <c r="CN150" t="s">
        <v>1056</v>
      </c>
      <c r="CO150" t="s">
        <v>1043</v>
      </c>
      <c r="CP150">
        <v>1</v>
      </c>
      <c r="CQ150">
        <v>0</v>
      </c>
      <c r="CS150">
        <v>0</v>
      </c>
      <c r="CT150">
        <v>0</v>
      </c>
      <c r="CU150">
        <v>0</v>
      </c>
      <c r="CV150" t="s">
        <v>1045</v>
      </c>
      <c r="CW150">
        <v>0</v>
      </c>
      <c r="CX150">
        <v>0</v>
      </c>
      <c r="CY150">
        <v>0</v>
      </c>
      <c r="CZ150">
        <v>0</v>
      </c>
      <c r="DB150">
        <v>0</v>
      </c>
      <c r="DC150" t="s">
        <v>1043</v>
      </c>
      <c r="DF150" t="s">
        <v>1055</v>
      </c>
      <c r="DH150">
        <v>0</v>
      </c>
      <c r="DJ150">
        <v>0</v>
      </c>
      <c r="DK150" t="s">
        <v>1053</v>
      </c>
      <c r="DL150">
        <v>0</v>
      </c>
      <c r="DN150">
        <v>0</v>
      </c>
      <c r="DO150" t="s">
        <v>1042</v>
      </c>
      <c r="DP150">
        <v>0</v>
      </c>
      <c r="DQ150">
        <v>0</v>
      </c>
      <c r="DS150">
        <v>0</v>
      </c>
      <c r="DU150">
        <v>0</v>
      </c>
      <c r="DW150">
        <v>0</v>
      </c>
      <c r="DX150" t="s">
        <v>1043</v>
      </c>
      <c r="DY150">
        <v>0</v>
      </c>
      <c r="DZ150">
        <v>0</v>
      </c>
      <c r="EA150">
        <v>0</v>
      </c>
      <c r="ED150" t="s">
        <v>1045</v>
      </c>
      <c r="EE150">
        <v>0</v>
      </c>
      <c r="EF150">
        <v>0</v>
      </c>
      <c r="EQ150" t="s">
        <v>1044</v>
      </c>
      <c r="ES150" t="s">
        <v>1053</v>
      </c>
      <c r="ET150">
        <v>0</v>
      </c>
      <c r="EV150">
        <v>0</v>
      </c>
      <c r="EY150" t="s">
        <v>1052</v>
      </c>
      <c r="EZ150">
        <v>0</v>
      </c>
      <c r="FA150" t="s">
        <v>1043</v>
      </c>
      <c r="FB150">
        <v>0</v>
      </c>
      <c r="FC150">
        <v>0</v>
      </c>
      <c r="FE150" t="s">
        <v>1050</v>
      </c>
      <c r="FF150">
        <v>0</v>
      </c>
      <c r="FG150" t="s">
        <v>1050</v>
      </c>
      <c r="FJ150">
        <v>0</v>
      </c>
      <c r="FK150">
        <v>0</v>
      </c>
      <c r="FP150">
        <v>0</v>
      </c>
      <c r="FR150">
        <v>0</v>
      </c>
      <c r="FS150" t="s">
        <v>1043</v>
      </c>
      <c r="FX150" t="s">
        <v>1042</v>
      </c>
      <c r="FZ150" t="s">
        <v>1048</v>
      </c>
      <c r="GA150">
        <v>0</v>
      </c>
      <c r="GB150" t="s">
        <v>1042</v>
      </c>
      <c r="GE150">
        <v>0</v>
      </c>
      <c r="GG150">
        <v>0</v>
      </c>
      <c r="GN150">
        <v>0</v>
      </c>
      <c r="GO150" t="s">
        <v>1063</v>
      </c>
      <c r="GQ150">
        <v>0</v>
      </c>
      <c r="GU150">
        <v>0</v>
      </c>
      <c r="GY150" t="s">
        <v>1045</v>
      </c>
      <c r="HB150">
        <v>0</v>
      </c>
      <c r="HE150">
        <v>0</v>
      </c>
      <c r="HF150">
        <v>0</v>
      </c>
      <c r="HG150">
        <v>0</v>
      </c>
      <c r="HK150" t="s">
        <v>1042</v>
      </c>
      <c r="HM150" t="s">
        <v>1047</v>
      </c>
      <c r="HN150">
        <v>0</v>
      </c>
      <c r="HP150">
        <v>0</v>
      </c>
      <c r="HQ150">
        <v>0</v>
      </c>
      <c r="HR150" t="s">
        <v>1042</v>
      </c>
      <c r="HS150" t="s">
        <v>1043</v>
      </c>
      <c r="HT150">
        <v>0</v>
      </c>
      <c r="HU150">
        <v>0</v>
      </c>
      <c r="HW150">
        <v>0</v>
      </c>
      <c r="HX150">
        <v>0</v>
      </c>
      <c r="HY150">
        <v>0</v>
      </c>
      <c r="HZ150" t="s">
        <v>1045</v>
      </c>
      <c r="IA150">
        <v>0</v>
      </c>
      <c r="IB150" t="s">
        <v>1045</v>
      </c>
      <c r="ID150" t="s">
        <v>1045</v>
      </c>
      <c r="IF150">
        <v>0</v>
      </c>
      <c r="IG150" t="s">
        <v>1042</v>
      </c>
      <c r="II150" t="s">
        <v>1042</v>
      </c>
      <c r="IR150" t="s">
        <v>1045</v>
      </c>
      <c r="IT150">
        <v>0</v>
      </c>
      <c r="IY150" t="s">
        <v>1044</v>
      </c>
      <c r="IZ150" t="s">
        <v>1043</v>
      </c>
      <c r="JC150" t="s">
        <v>1043</v>
      </c>
      <c r="JE150">
        <v>0</v>
      </c>
      <c r="JF150">
        <v>0</v>
      </c>
      <c r="JI150" t="s">
        <v>1042</v>
      </c>
      <c r="JJ150">
        <v>0</v>
      </c>
      <c r="JK150">
        <v>0</v>
      </c>
      <c r="JL150">
        <v>0</v>
      </c>
      <c r="JM150">
        <v>0</v>
      </c>
      <c r="JQ150" t="s">
        <v>1043</v>
      </c>
      <c r="JT150">
        <v>0</v>
      </c>
      <c r="JU150" t="s">
        <v>1042</v>
      </c>
      <c r="JW150">
        <v>0</v>
      </c>
      <c r="KA150">
        <v>0</v>
      </c>
      <c r="KF150">
        <v>0</v>
      </c>
      <c r="KG150">
        <v>0</v>
      </c>
      <c r="KH150">
        <v>0</v>
      </c>
      <c r="KI150">
        <v>0</v>
      </c>
      <c r="KS150" t="s">
        <v>1073</v>
      </c>
      <c r="KT150">
        <v>0</v>
      </c>
      <c r="KU150">
        <v>0</v>
      </c>
      <c r="KV150">
        <v>0</v>
      </c>
      <c r="KX150">
        <v>0</v>
      </c>
      <c r="KZ150">
        <v>0</v>
      </c>
      <c r="LF150">
        <v>0</v>
      </c>
      <c r="LH150">
        <v>0</v>
      </c>
      <c r="LI150">
        <v>0</v>
      </c>
    </row>
    <row r="151" spans="1:321" x14ac:dyDescent="0.35">
      <c r="A151">
        <v>1</v>
      </c>
      <c r="B151">
        <v>12382</v>
      </c>
      <c r="C151" t="s">
        <v>1557</v>
      </c>
      <c r="D151" t="s">
        <v>1139</v>
      </c>
      <c r="E151" t="s">
        <v>85</v>
      </c>
      <c r="F151">
        <v>80</v>
      </c>
      <c r="G151">
        <v>9000</v>
      </c>
      <c r="H151">
        <v>0</v>
      </c>
      <c r="I151" t="s">
        <v>1442</v>
      </c>
      <c r="L151">
        <v>0</v>
      </c>
      <c r="M151">
        <v>0</v>
      </c>
      <c r="N151">
        <v>0</v>
      </c>
      <c r="R151">
        <v>0</v>
      </c>
      <c r="S151">
        <v>0</v>
      </c>
      <c r="W151" t="s">
        <v>1060</v>
      </c>
      <c r="X151">
        <v>0</v>
      </c>
      <c r="Z151">
        <v>1</v>
      </c>
      <c r="AA151">
        <v>0</v>
      </c>
      <c r="AB151">
        <v>0</v>
      </c>
      <c r="AC151">
        <v>2.5950000000000002</v>
      </c>
      <c r="AD151" s="20">
        <v>40785</v>
      </c>
      <c r="AE151">
        <v>2.5</v>
      </c>
      <c r="AF151">
        <v>0</v>
      </c>
      <c r="AH151">
        <v>0</v>
      </c>
      <c r="AJ151">
        <v>0</v>
      </c>
      <c r="AL151">
        <v>0</v>
      </c>
      <c r="AM151">
        <v>0</v>
      </c>
      <c r="AN151">
        <v>16601001</v>
      </c>
      <c r="AO151">
        <v>0</v>
      </c>
      <c r="AP151">
        <v>1000</v>
      </c>
      <c r="AT151">
        <v>0</v>
      </c>
      <c r="AU151" t="s">
        <v>1059</v>
      </c>
      <c r="AW151" t="s">
        <v>1053</v>
      </c>
      <c r="AX151">
        <v>0</v>
      </c>
      <c r="AY151" s="20">
        <v>40785</v>
      </c>
      <c r="BA151" s="20">
        <v>40785</v>
      </c>
      <c r="BB151" t="s">
        <v>1058</v>
      </c>
      <c r="BD151">
        <v>0</v>
      </c>
      <c r="BF151" t="s">
        <v>1043</v>
      </c>
      <c r="BG151" t="s">
        <v>1042</v>
      </c>
      <c r="BH151">
        <v>0</v>
      </c>
      <c r="BI151">
        <v>1</v>
      </c>
      <c r="BJ151">
        <v>0</v>
      </c>
      <c r="BK151">
        <v>0</v>
      </c>
      <c r="BM151" t="s">
        <v>1042</v>
      </c>
      <c r="BN151">
        <v>0</v>
      </c>
      <c r="BR151" t="s">
        <v>1043</v>
      </c>
      <c r="BS151" t="s">
        <v>1043</v>
      </c>
      <c r="BT151" t="s">
        <v>1043</v>
      </c>
      <c r="BW151">
        <v>83</v>
      </c>
      <c r="CA151">
        <v>0</v>
      </c>
      <c r="CB151" t="s">
        <v>1057</v>
      </c>
      <c r="CE151" t="s">
        <v>1043</v>
      </c>
      <c r="CH151" t="s">
        <v>1043</v>
      </c>
      <c r="CN151" t="s">
        <v>1056</v>
      </c>
      <c r="CO151" t="s">
        <v>1043</v>
      </c>
      <c r="CP151">
        <v>1</v>
      </c>
      <c r="CQ151">
        <v>0</v>
      </c>
      <c r="CS151">
        <v>0</v>
      </c>
      <c r="CT151">
        <v>0</v>
      </c>
      <c r="CU151">
        <v>0</v>
      </c>
      <c r="CV151" t="s">
        <v>1045</v>
      </c>
      <c r="CW151">
        <v>0</v>
      </c>
      <c r="CX151">
        <v>0</v>
      </c>
      <c r="CY151">
        <v>0</v>
      </c>
      <c r="CZ151">
        <v>0</v>
      </c>
      <c r="DB151">
        <v>0</v>
      </c>
      <c r="DC151" t="s">
        <v>1043</v>
      </c>
      <c r="DF151" t="s">
        <v>1055</v>
      </c>
      <c r="DH151">
        <v>0</v>
      </c>
      <c r="DJ151">
        <v>0</v>
      </c>
      <c r="DK151" t="s">
        <v>1053</v>
      </c>
      <c r="DL151">
        <v>0</v>
      </c>
      <c r="DN151">
        <v>0</v>
      </c>
      <c r="DO151" t="s">
        <v>1042</v>
      </c>
      <c r="DP151">
        <v>0</v>
      </c>
      <c r="DQ151">
        <v>0</v>
      </c>
      <c r="DS151">
        <v>0</v>
      </c>
      <c r="DU151">
        <v>0</v>
      </c>
      <c r="DW151">
        <v>0</v>
      </c>
      <c r="DX151" t="s">
        <v>1043</v>
      </c>
      <c r="DY151">
        <v>0</v>
      </c>
      <c r="DZ151">
        <v>0</v>
      </c>
      <c r="EA151">
        <v>0</v>
      </c>
      <c r="ED151" t="s">
        <v>1045</v>
      </c>
      <c r="EE151">
        <v>0</v>
      </c>
      <c r="EF151">
        <v>0</v>
      </c>
      <c r="EQ151" t="s">
        <v>1044</v>
      </c>
      <c r="ES151" t="s">
        <v>1053</v>
      </c>
      <c r="ET151">
        <v>0</v>
      </c>
      <c r="EV151">
        <v>0</v>
      </c>
      <c r="EY151" t="s">
        <v>1052</v>
      </c>
      <c r="EZ151">
        <v>0</v>
      </c>
      <c r="FA151" t="s">
        <v>1043</v>
      </c>
      <c r="FB151">
        <v>0</v>
      </c>
      <c r="FC151">
        <v>0</v>
      </c>
      <c r="FE151" t="s">
        <v>1050</v>
      </c>
      <c r="FF151">
        <v>0</v>
      </c>
      <c r="FG151" t="s">
        <v>1050</v>
      </c>
      <c r="FJ151">
        <v>0</v>
      </c>
      <c r="FK151">
        <v>0</v>
      </c>
      <c r="FP151">
        <v>0</v>
      </c>
      <c r="FR151">
        <v>0</v>
      </c>
      <c r="FS151" t="s">
        <v>1043</v>
      </c>
      <c r="FX151" t="s">
        <v>1042</v>
      </c>
      <c r="FZ151" t="s">
        <v>1048</v>
      </c>
      <c r="GA151">
        <v>0</v>
      </c>
      <c r="GB151" t="s">
        <v>1042</v>
      </c>
      <c r="GE151">
        <v>0</v>
      </c>
      <c r="GG151">
        <v>0</v>
      </c>
      <c r="GN151">
        <v>0</v>
      </c>
      <c r="GO151" t="s">
        <v>1063</v>
      </c>
      <c r="GQ151">
        <v>0</v>
      </c>
      <c r="GU151">
        <v>0</v>
      </c>
      <c r="GY151" t="s">
        <v>1045</v>
      </c>
      <c r="HB151">
        <v>0</v>
      </c>
      <c r="HE151">
        <v>0</v>
      </c>
      <c r="HF151">
        <v>0</v>
      </c>
      <c r="HG151">
        <v>0</v>
      </c>
      <c r="HK151" t="s">
        <v>1042</v>
      </c>
      <c r="HM151" t="s">
        <v>1047</v>
      </c>
      <c r="HN151">
        <v>0</v>
      </c>
      <c r="HP151">
        <v>0</v>
      </c>
      <c r="HQ151">
        <v>0</v>
      </c>
      <c r="HR151" t="s">
        <v>1042</v>
      </c>
      <c r="HS151" t="s">
        <v>1043</v>
      </c>
      <c r="HT151">
        <v>0</v>
      </c>
      <c r="HU151">
        <v>0</v>
      </c>
      <c r="HW151">
        <v>0</v>
      </c>
      <c r="HX151">
        <v>0</v>
      </c>
      <c r="HY151">
        <v>0</v>
      </c>
      <c r="HZ151" t="s">
        <v>1045</v>
      </c>
      <c r="IA151">
        <v>0</v>
      </c>
      <c r="IB151" t="s">
        <v>1045</v>
      </c>
      <c r="ID151" t="s">
        <v>1045</v>
      </c>
      <c r="IF151">
        <v>0</v>
      </c>
      <c r="IG151" t="s">
        <v>1042</v>
      </c>
      <c r="II151" t="s">
        <v>1042</v>
      </c>
      <c r="IR151" t="s">
        <v>1045</v>
      </c>
      <c r="IT151">
        <v>0</v>
      </c>
      <c r="IY151" t="s">
        <v>1044</v>
      </c>
      <c r="IZ151" t="s">
        <v>1043</v>
      </c>
      <c r="JC151" t="s">
        <v>1043</v>
      </c>
      <c r="JE151">
        <v>0</v>
      </c>
      <c r="JF151">
        <v>0</v>
      </c>
      <c r="JI151" t="s">
        <v>1042</v>
      </c>
      <c r="JJ151">
        <v>0</v>
      </c>
      <c r="JK151">
        <v>0</v>
      </c>
      <c r="JL151">
        <v>0</v>
      </c>
      <c r="JM151">
        <v>0</v>
      </c>
      <c r="JQ151" t="s">
        <v>1043</v>
      </c>
      <c r="JT151">
        <v>0</v>
      </c>
      <c r="JU151" t="s">
        <v>1042</v>
      </c>
      <c r="JW151">
        <v>0</v>
      </c>
      <c r="KA151">
        <v>0</v>
      </c>
      <c r="KF151">
        <v>0</v>
      </c>
      <c r="KG151">
        <v>0</v>
      </c>
      <c r="KH151">
        <v>0</v>
      </c>
      <c r="KI151">
        <v>0</v>
      </c>
      <c r="KS151" t="s">
        <v>1073</v>
      </c>
      <c r="KT151">
        <v>0</v>
      </c>
      <c r="KU151">
        <v>0</v>
      </c>
      <c r="KV151">
        <v>0</v>
      </c>
      <c r="KX151">
        <v>0</v>
      </c>
      <c r="KZ151">
        <v>0</v>
      </c>
      <c r="LF151">
        <v>0</v>
      </c>
      <c r="LH151">
        <v>0</v>
      </c>
      <c r="LI151">
        <v>0</v>
      </c>
    </row>
    <row r="152" spans="1:321" x14ac:dyDescent="0.35">
      <c r="A152">
        <v>1</v>
      </c>
      <c r="B152">
        <v>12383</v>
      </c>
      <c r="C152" t="s">
        <v>1556</v>
      </c>
      <c r="D152" t="s">
        <v>1139</v>
      </c>
      <c r="E152" t="s">
        <v>85</v>
      </c>
      <c r="F152">
        <v>80</v>
      </c>
      <c r="G152">
        <v>9000</v>
      </c>
      <c r="H152">
        <v>0</v>
      </c>
      <c r="I152" t="s">
        <v>1442</v>
      </c>
      <c r="L152">
        <v>0</v>
      </c>
      <c r="M152">
        <v>0</v>
      </c>
      <c r="N152">
        <v>0</v>
      </c>
      <c r="R152">
        <v>0</v>
      </c>
      <c r="S152">
        <v>0</v>
      </c>
      <c r="W152" t="s">
        <v>1060</v>
      </c>
      <c r="X152">
        <v>0</v>
      </c>
      <c r="Z152">
        <v>1</v>
      </c>
      <c r="AA152">
        <v>0</v>
      </c>
      <c r="AB152">
        <v>0</v>
      </c>
      <c r="AC152">
        <v>2.59</v>
      </c>
      <c r="AD152" s="20">
        <v>40785</v>
      </c>
      <c r="AE152">
        <v>2.5</v>
      </c>
      <c r="AF152">
        <v>0</v>
      </c>
      <c r="AH152">
        <v>0</v>
      </c>
      <c r="AJ152">
        <v>0</v>
      </c>
      <c r="AL152">
        <v>0</v>
      </c>
      <c r="AM152">
        <v>0</v>
      </c>
      <c r="AN152">
        <v>16601001</v>
      </c>
      <c r="AO152">
        <v>0</v>
      </c>
      <c r="AP152">
        <v>1000</v>
      </c>
      <c r="AT152">
        <v>0</v>
      </c>
      <c r="AU152" t="s">
        <v>1059</v>
      </c>
      <c r="AW152" t="s">
        <v>1053</v>
      </c>
      <c r="AX152">
        <v>0</v>
      </c>
      <c r="AY152" s="20">
        <v>40785</v>
      </c>
      <c r="BA152" s="20">
        <v>40785</v>
      </c>
      <c r="BB152" t="s">
        <v>1058</v>
      </c>
      <c r="BD152">
        <v>0</v>
      </c>
      <c r="BF152" t="s">
        <v>1043</v>
      </c>
      <c r="BG152" t="s">
        <v>1042</v>
      </c>
      <c r="BH152">
        <v>0</v>
      </c>
      <c r="BI152">
        <v>1</v>
      </c>
      <c r="BJ152">
        <v>0</v>
      </c>
      <c r="BK152">
        <v>0</v>
      </c>
      <c r="BM152" t="s">
        <v>1042</v>
      </c>
      <c r="BN152">
        <v>0</v>
      </c>
      <c r="BR152" t="s">
        <v>1043</v>
      </c>
      <c r="BS152" t="s">
        <v>1043</v>
      </c>
      <c r="BT152" t="s">
        <v>1043</v>
      </c>
      <c r="BW152">
        <v>83</v>
      </c>
      <c r="CA152">
        <v>0</v>
      </c>
      <c r="CB152" t="s">
        <v>1057</v>
      </c>
      <c r="CE152" t="s">
        <v>1043</v>
      </c>
      <c r="CH152" t="s">
        <v>1043</v>
      </c>
      <c r="CN152" t="s">
        <v>1056</v>
      </c>
      <c r="CO152" t="s">
        <v>1043</v>
      </c>
      <c r="CP152">
        <v>1</v>
      </c>
      <c r="CQ152">
        <v>0</v>
      </c>
      <c r="CS152">
        <v>0</v>
      </c>
      <c r="CT152">
        <v>0</v>
      </c>
      <c r="CU152">
        <v>0</v>
      </c>
      <c r="CV152" t="s">
        <v>1045</v>
      </c>
      <c r="CW152">
        <v>0</v>
      </c>
      <c r="CX152">
        <v>0</v>
      </c>
      <c r="CY152">
        <v>0</v>
      </c>
      <c r="CZ152">
        <v>0</v>
      </c>
      <c r="DB152">
        <v>0</v>
      </c>
      <c r="DC152" t="s">
        <v>1043</v>
      </c>
      <c r="DF152" t="s">
        <v>1055</v>
      </c>
      <c r="DH152">
        <v>0</v>
      </c>
      <c r="DJ152">
        <v>0</v>
      </c>
      <c r="DK152" t="s">
        <v>1053</v>
      </c>
      <c r="DL152">
        <v>0</v>
      </c>
      <c r="DN152">
        <v>0</v>
      </c>
      <c r="DO152" t="s">
        <v>1042</v>
      </c>
      <c r="DP152">
        <v>0</v>
      </c>
      <c r="DQ152">
        <v>0</v>
      </c>
      <c r="DS152">
        <v>0</v>
      </c>
      <c r="DU152">
        <v>0</v>
      </c>
      <c r="DW152">
        <v>0</v>
      </c>
      <c r="DX152" t="s">
        <v>1043</v>
      </c>
      <c r="DY152">
        <v>0</v>
      </c>
      <c r="DZ152">
        <v>0</v>
      </c>
      <c r="EA152">
        <v>0</v>
      </c>
      <c r="ED152" t="s">
        <v>1045</v>
      </c>
      <c r="EE152">
        <v>0</v>
      </c>
      <c r="EF152">
        <v>0</v>
      </c>
      <c r="EQ152" t="s">
        <v>1044</v>
      </c>
      <c r="ES152" t="s">
        <v>1053</v>
      </c>
      <c r="ET152">
        <v>0</v>
      </c>
      <c r="EV152">
        <v>0</v>
      </c>
      <c r="EY152" t="s">
        <v>1052</v>
      </c>
      <c r="EZ152">
        <v>0</v>
      </c>
      <c r="FA152" t="s">
        <v>1043</v>
      </c>
      <c r="FB152">
        <v>0</v>
      </c>
      <c r="FC152">
        <v>0</v>
      </c>
      <c r="FE152" t="s">
        <v>1050</v>
      </c>
      <c r="FF152">
        <v>0</v>
      </c>
      <c r="FG152" t="s">
        <v>1050</v>
      </c>
      <c r="FJ152">
        <v>0</v>
      </c>
      <c r="FK152">
        <v>0</v>
      </c>
      <c r="FP152">
        <v>0</v>
      </c>
      <c r="FR152">
        <v>0</v>
      </c>
      <c r="FS152" t="s">
        <v>1043</v>
      </c>
      <c r="FX152" t="s">
        <v>1042</v>
      </c>
      <c r="FZ152" t="s">
        <v>1048</v>
      </c>
      <c r="GA152">
        <v>0</v>
      </c>
      <c r="GB152" t="s">
        <v>1042</v>
      </c>
      <c r="GE152">
        <v>0</v>
      </c>
      <c r="GG152">
        <v>0</v>
      </c>
      <c r="GN152">
        <v>0</v>
      </c>
      <c r="GO152" t="s">
        <v>1063</v>
      </c>
      <c r="GQ152">
        <v>0</v>
      </c>
      <c r="GU152">
        <v>0</v>
      </c>
      <c r="GY152" t="s">
        <v>1045</v>
      </c>
      <c r="HB152">
        <v>0</v>
      </c>
      <c r="HE152">
        <v>0</v>
      </c>
      <c r="HF152">
        <v>0</v>
      </c>
      <c r="HG152">
        <v>0</v>
      </c>
      <c r="HK152" t="s">
        <v>1042</v>
      </c>
      <c r="HM152" t="s">
        <v>1047</v>
      </c>
      <c r="HN152">
        <v>0</v>
      </c>
      <c r="HP152">
        <v>0</v>
      </c>
      <c r="HQ152">
        <v>0</v>
      </c>
      <c r="HR152" t="s">
        <v>1042</v>
      </c>
      <c r="HS152" t="s">
        <v>1043</v>
      </c>
      <c r="HT152">
        <v>0</v>
      </c>
      <c r="HU152">
        <v>0</v>
      </c>
      <c r="HW152">
        <v>0</v>
      </c>
      <c r="HX152">
        <v>0</v>
      </c>
      <c r="HY152">
        <v>0</v>
      </c>
      <c r="HZ152" t="s">
        <v>1045</v>
      </c>
      <c r="IA152">
        <v>0</v>
      </c>
      <c r="IB152" t="s">
        <v>1045</v>
      </c>
      <c r="ID152" t="s">
        <v>1045</v>
      </c>
      <c r="IF152">
        <v>0</v>
      </c>
      <c r="IG152" t="s">
        <v>1042</v>
      </c>
      <c r="II152" t="s">
        <v>1042</v>
      </c>
      <c r="IR152" t="s">
        <v>1045</v>
      </c>
      <c r="IT152">
        <v>0</v>
      </c>
      <c r="IY152" t="s">
        <v>1044</v>
      </c>
      <c r="IZ152" t="s">
        <v>1043</v>
      </c>
      <c r="JC152" t="s">
        <v>1043</v>
      </c>
      <c r="JE152">
        <v>0</v>
      </c>
      <c r="JF152">
        <v>0</v>
      </c>
      <c r="JI152" t="s">
        <v>1042</v>
      </c>
      <c r="JJ152">
        <v>0</v>
      </c>
      <c r="JK152">
        <v>0</v>
      </c>
      <c r="JL152">
        <v>0</v>
      </c>
      <c r="JM152">
        <v>0</v>
      </c>
      <c r="JQ152" t="s">
        <v>1043</v>
      </c>
      <c r="JT152">
        <v>0</v>
      </c>
      <c r="JU152" t="s">
        <v>1042</v>
      </c>
      <c r="JW152">
        <v>0</v>
      </c>
      <c r="KA152">
        <v>0</v>
      </c>
      <c r="KF152">
        <v>0</v>
      </c>
      <c r="KG152">
        <v>0</v>
      </c>
      <c r="KH152">
        <v>0</v>
      </c>
      <c r="KI152">
        <v>0</v>
      </c>
      <c r="KS152" t="s">
        <v>1073</v>
      </c>
      <c r="KT152">
        <v>0</v>
      </c>
      <c r="KU152">
        <v>0</v>
      </c>
      <c r="KV152">
        <v>0</v>
      </c>
      <c r="KX152">
        <v>0</v>
      </c>
      <c r="KZ152">
        <v>0</v>
      </c>
      <c r="LF152">
        <v>0</v>
      </c>
      <c r="LH152">
        <v>0</v>
      </c>
      <c r="LI152">
        <v>0</v>
      </c>
    </row>
    <row r="153" spans="1:321" x14ac:dyDescent="0.35">
      <c r="A153">
        <v>1</v>
      </c>
      <c r="B153">
        <v>12384</v>
      </c>
      <c r="C153" t="s">
        <v>1555</v>
      </c>
      <c r="D153" t="s">
        <v>1139</v>
      </c>
      <c r="E153" t="s">
        <v>85</v>
      </c>
      <c r="F153">
        <v>80</v>
      </c>
      <c r="G153">
        <v>9000</v>
      </c>
      <c r="H153">
        <v>0</v>
      </c>
      <c r="I153" t="s">
        <v>1442</v>
      </c>
      <c r="L153">
        <v>0</v>
      </c>
      <c r="M153">
        <v>0</v>
      </c>
      <c r="N153">
        <v>0</v>
      </c>
      <c r="R153">
        <v>0</v>
      </c>
      <c r="S153">
        <v>0</v>
      </c>
      <c r="W153" t="s">
        <v>1060</v>
      </c>
      <c r="X153">
        <v>0</v>
      </c>
      <c r="Z153">
        <v>1</v>
      </c>
      <c r="AA153">
        <v>0</v>
      </c>
      <c r="AB153">
        <v>0</v>
      </c>
      <c r="AC153">
        <v>2.59</v>
      </c>
      <c r="AD153" s="20">
        <v>40785</v>
      </c>
      <c r="AE153">
        <v>2.5499999999999998</v>
      </c>
      <c r="AF153">
        <v>0</v>
      </c>
      <c r="AH153">
        <v>0</v>
      </c>
      <c r="AJ153">
        <v>0</v>
      </c>
      <c r="AL153">
        <v>0</v>
      </c>
      <c r="AM153">
        <v>0</v>
      </c>
      <c r="AN153">
        <v>16601001</v>
      </c>
      <c r="AO153">
        <v>0</v>
      </c>
      <c r="AP153">
        <v>1000</v>
      </c>
      <c r="AT153">
        <v>0</v>
      </c>
      <c r="AU153" t="s">
        <v>1059</v>
      </c>
      <c r="AW153" t="s">
        <v>1053</v>
      </c>
      <c r="AX153">
        <v>0</v>
      </c>
      <c r="AY153" s="20">
        <v>40785</v>
      </c>
      <c r="BA153" s="20">
        <v>40785</v>
      </c>
      <c r="BB153" t="s">
        <v>1058</v>
      </c>
      <c r="BD153">
        <v>0</v>
      </c>
      <c r="BF153" t="s">
        <v>1043</v>
      </c>
      <c r="BG153" t="s">
        <v>1042</v>
      </c>
      <c r="BH153">
        <v>0</v>
      </c>
      <c r="BI153">
        <v>1</v>
      </c>
      <c r="BJ153">
        <v>0</v>
      </c>
      <c r="BK153">
        <v>0</v>
      </c>
      <c r="BM153" t="s">
        <v>1042</v>
      </c>
      <c r="BN153">
        <v>0</v>
      </c>
      <c r="BR153" t="s">
        <v>1043</v>
      </c>
      <c r="BS153" t="s">
        <v>1043</v>
      </c>
      <c r="BT153" t="s">
        <v>1043</v>
      </c>
      <c r="BW153">
        <v>83</v>
      </c>
      <c r="CA153">
        <v>0</v>
      </c>
      <c r="CB153" t="s">
        <v>1057</v>
      </c>
      <c r="CE153" t="s">
        <v>1043</v>
      </c>
      <c r="CH153" t="s">
        <v>1043</v>
      </c>
      <c r="CN153" t="s">
        <v>1056</v>
      </c>
      <c r="CO153" t="s">
        <v>1043</v>
      </c>
      <c r="CP153">
        <v>1</v>
      </c>
      <c r="CQ153">
        <v>0</v>
      </c>
      <c r="CS153">
        <v>0</v>
      </c>
      <c r="CT153">
        <v>0</v>
      </c>
      <c r="CU153">
        <v>0</v>
      </c>
      <c r="CV153" t="s">
        <v>1045</v>
      </c>
      <c r="CW153">
        <v>0</v>
      </c>
      <c r="CX153">
        <v>0</v>
      </c>
      <c r="CY153">
        <v>0</v>
      </c>
      <c r="CZ153">
        <v>0</v>
      </c>
      <c r="DB153">
        <v>0</v>
      </c>
      <c r="DC153" t="s">
        <v>1043</v>
      </c>
      <c r="DF153" t="s">
        <v>1055</v>
      </c>
      <c r="DH153">
        <v>0</v>
      </c>
      <c r="DJ153">
        <v>0</v>
      </c>
      <c r="DK153" t="s">
        <v>1053</v>
      </c>
      <c r="DL153">
        <v>0</v>
      </c>
      <c r="DN153">
        <v>0</v>
      </c>
      <c r="DO153" t="s">
        <v>1042</v>
      </c>
      <c r="DP153">
        <v>0</v>
      </c>
      <c r="DQ153">
        <v>0</v>
      </c>
      <c r="DS153">
        <v>0</v>
      </c>
      <c r="DU153">
        <v>0</v>
      </c>
      <c r="DW153">
        <v>0</v>
      </c>
      <c r="DX153" t="s">
        <v>1043</v>
      </c>
      <c r="DY153">
        <v>0</v>
      </c>
      <c r="DZ153">
        <v>0</v>
      </c>
      <c r="EA153">
        <v>0</v>
      </c>
      <c r="ED153" t="s">
        <v>1045</v>
      </c>
      <c r="EE153">
        <v>0</v>
      </c>
      <c r="EF153">
        <v>0</v>
      </c>
      <c r="EQ153" t="s">
        <v>1044</v>
      </c>
      <c r="ES153" t="s">
        <v>1053</v>
      </c>
      <c r="ET153">
        <v>0</v>
      </c>
      <c r="EV153">
        <v>0</v>
      </c>
      <c r="EY153" t="s">
        <v>1052</v>
      </c>
      <c r="EZ153">
        <v>0</v>
      </c>
      <c r="FA153" t="s">
        <v>1043</v>
      </c>
      <c r="FB153">
        <v>0</v>
      </c>
      <c r="FC153">
        <v>0</v>
      </c>
      <c r="FE153" t="s">
        <v>1050</v>
      </c>
      <c r="FF153">
        <v>0</v>
      </c>
      <c r="FG153" t="s">
        <v>1050</v>
      </c>
      <c r="FJ153">
        <v>0</v>
      </c>
      <c r="FK153">
        <v>0</v>
      </c>
      <c r="FP153">
        <v>0</v>
      </c>
      <c r="FR153">
        <v>0</v>
      </c>
      <c r="FS153" t="s">
        <v>1043</v>
      </c>
      <c r="FX153" t="s">
        <v>1042</v>
      </c>
      <c r="FZ153" t="s">
        <v>1048</v>
      </c>
      <c r="GA153">
        <v>0</v>
      </c>
      <c r="GB153" t="s">
        <v>1042</v>
      </c>
      <c r="GE153">
        <v>0</v>
      </c>
      <c r="GG153">
        <v>0</v>
      </c>
      <c r="GN153">
        <v>0</v>
      </c>
      <c r="GO153" t="s">
        <v>1063</v>
      </c>
      <c r="GQ153">
        <v>0</v>
      </c>
      <c r="GU153">
        <v>0</v>
      </c>
      <c r="GY153" t="s">
        <v>1045</v>
      </c>
      <c r="HB153">
        <v>0</v>
      </c>
      <c r="HE153">
        <v>0</v>
      </c>
      <c r="HF153">
        <v>0</v>
      </c>
      <c r="HG153">
        <v>0</v>
      </c>
      <c r="HK153" t="s">
        <v>1042</v>
      </c>
      <c r="HM153" t="s">
        <v>1047</v>
      </c>
      <c r="HN153">
        <v>0</v>
      </c>
      <c r="HP153">
        <v>0</v>
      </c>
      <c r="HQ153">
        <v>0</v>
      </c>
      <c r="HR153" t="s">
        <v>1042</v>
      </c>
      <c r="HS153" t="s">
        <v>1043</v>
      </c>
      <c r="HT153">
        <v>0</v>
      </c>
      <c r="HU153">
        <v>0</v>
      </c>
      <c r="HW153">
        <v>0</v>
      </c>
      <c r="HX153">
        <v>0</v>
      </c>
      <c r="HY153">
        <v>0</v>
      </c>
      <c r="HZ153" t="s">
        <v>1045</v>
      </c>
      <c r="IA153">
        <v>0</v>
      </c>
      <c r="IB153" t="s">
        <v>1045</v>
      </c>
      <c r="ID153" t="s">
        <v>1045</v>
      </c>
      <c r="IF153">
        <v>0</v>
      </c>
      <c r="IG153" t="s">
        <v>1042</v>
      </c>
      <c r="II153" t="s">
        <v>1042</v>
      </c>
      <c r="IR153" t="s">
        <v>1045</v>
      </c>
      <c r="IT153">
        <v>0</v>
      </c>
      <c r="IY153" t="s">
        <v>1044</v>
      </c>
      <c r="IZ153" t="s">
        <v>1043</v>
      </c>
      <c r="JC153" t="s">
        <v>1043</v>
      </c>
      <c r="JE153">
        <v>0</v>
      </c>
      <c r="JF153">
        <v>0</v>
      </c>
      <c r="JI153" t="s">
        <v>1042</v>
      </c>
      <c r="JJ153">
        <v>0</v>
      </c>
      <c r="JK153">
        <v>0</v>
      </c>
      <c r="JL153">
        <v>0</v>
      </c>
      <c r="JM153">
        <v>0</v>
      </c>
      <c r="JQ153" t="s">
        <v>1043</v>
      </c>
      <c r="JT153">
        <v>0</v>
      </c>
      <c r="JU153" t="s">
        <v>1042</v>
      </c>
      <c r="JW153">
        <v>0</v>
      </c>
      <c r="KA153">
        <v>0</v>
      </c>
      <c r="KF153">
        <v>0</v>
      </c>
      <c r="KG153">
        <v>0</v>
      </c>
      <c r="KH153">
        <v>0</v>
      </c>
      <c r="KI153">
        <v>0</v>
      </c>
      <c r="KS153" t="s">
        <v>1073</v>
      </c>
      <c r="KT153">
        <v>0</v>
      </c>
      <c r="KU153">
        <v>0</v>
      </c>
      <c r="KV153">
        <v>0</v>
      </c>
      <c r="KX153">
        <v>0</v>
      </c>
      <c r="KZ153">
        <v>0</v>
      </c>
      <c r="LF153">
        <v>0</v>
      </c>
      <c r="LH153">
        <v>0</v>
      </c>
      <c r="LI153">
        <v>0</v>
      </c>
    </row>
    <row r="154" spans="1:321" x14ac:dyDescent="0.35">
      <c r="A154">
        <v>1</v>
      </c>
      <c r="B154">
        <v>12385</v>
      </c>
      <c r="C154" t="s">
        <v>1554</v>
      </c>
      <c r="D154" t="s">
        <v>1139</v>
      </c>
      <c r="E154" t="s">
        <v>85</v>
      </c>
      <c r="F154">
        <v>80</v>
      </c>
      <c r="G154">
        <v>9000</v>
      </c>
      <c r="H154">
        <v>0</v>
      </c>
      <c r="I154" t="s">
        <v>1442</v>
      </c>
      <c r="L154">
        <v>0</v>
      </c>
      <c r="M154">
        <v>0</v>
      </c>
      <c r="N154">
        <v>0</v>
      </c>
      <c r="R154">
        <v>0</v>
      </c>
      <c r="S154">
        <v>0</v>
      </c>
      <c r="W154" t="s">
        <v>1060</v>
      </c>
      <c r="X154">
        <v>0</v>
      </c>
      <c r="Z154">
        <v>1</v>
      </c>
      <c r="AA154">
        <v>0</v>
      </c>
      <c r="AB154">
        <v>0</v>
      </c>
      <c r="AC154">
        <v>2.59</v>
      </c>
      <c r="AD154" s="20">
        <v>40785</v>
      </c>
      <c r="AE154">
        <v>2.5499999999999998</v>
      </c>
      <c r="AF154">
        <v>0</v>
      </c>
      <c r="AH154">
        <v>0</v>
      </c>
      <c r="AJ154">
        <v>0</v>
      </c>
      <c r="AL154">
        <v>0</v>
      </c>
      <c r="AM154">
        <v>0</v>
      </c>
      <c r="AN154">
        <v>16601001</v>
      </c>
      <c r="AO154">
        <v>0</v>
      </c>
      <c r="AP154">
        <v>1000</v>
      </c>
      <c r="AT154">
        <v>0</v>
      </c>
      <c r="AU154" t="s">
        <v>1059</v>
      </c>
      <c r="AW154" t="s">
        <v>1053</v>
      </c>
      <c r="AX154">
        <v>0</v>
      </c>
      <c r="AY154" s="20">
        <v>40785</v>
      </c>
      <c r="BA154" s="20">
        <v>40785</v>
      </c>
      <c r="BB154" t="s">
        <v>1058</v>
      </c>
      <c r="BD154">
        <v>0</v>
      </c>
      <c r="BF154" t="s">
        <v>1043</v>
      </c>
      <c r="BG154" t="s">
        <v>1042</v>
      </c>
      <c r="BH154">
        <v>0</v>
      </c>
      <c r="BI154">
        <v>1</v>
      </c>
      <c r="BJ154">
        <v>0</v>
      </c>
      <c r="BK154">
        <v>0</v>
      </c>
      <c r="BM154" t="s">
        <v>1042</v>
      </c>
      <c r="BN154">
        <v>0</v>
      </c>
      <c r="BR154" t="s">
        <v>1043</v>
      </c>
      <c r="BS154" t="s">
        <v>1043</v>
      </c>
      <c r="BT154" t="s">
        <v>1043</v>
      </c>
      <c r="BW154">
        <v>83</v>
      </c>
      <c r="CA154">
        <v>0</v>
      </c>
      <c r="CB154" t="s">
        <v>1057</v>
      </c>
      <c r="CE154" t="s">
        <v>1043</v>
      </c>
      <c r="CH154" t="s">
        <v>1043</v>
      </c>
      <c r="CN154" t="s">
        <v>1056</v>
      </c>
      <c r="CO154" t="s">
        <v>1043</v>
      </c>
      <c r="CP154">
        <v>1</v>
      </c>
      <c r="CQ154">
        <v>0</v>
      </c>
      <c r="CS154">
        <v>0</v>
      </c>
      <c r="CT154">
        <v>0</v>
      </c>
      <c r="CU154">
        <v>0</v>
      </c>
      <c r="CV154" t="s">
        <v>1045</v>
      </c>
      <c r="CW154">
        <v>0</v>
      </c>
      <c r="CX154">
        <v>0</v>
      </c>
      <c r="CY154">
        <v>0</v>
      </c>
      <c r="CZ154">
        <v>0</v>
      </c>
      <c r="DB154">
        <v>0</v>
      </c>
      <c r="DC154" t="s">
        <v>1043</v>
      </c>
      <c r="DF154" t="s">
        <v>1055</v>
      </c>
      <c r="DH154">
        <v>0</v>
      </c>
      <c r="DJ154">
        <v>0</v>
      </c>
      <c r="DK154" t="s">
        <v>1053</v>
      </c>
      <c r="DL154">
        <v>0</v>
      </c>
      <c r="DN154">
        <v>0</v>
      </c>
      <c r="DO154" t="s">
        <v>1042</v>
      </c>
      <c r="DP154">
        <v>0</v>
      </c>
      <c r="DQ154">
        <v>0</v>
      </c>
      <c r="DS154">
        <v>0</v>
      </c>
      <c r="DU154">
        <v>0</v>
      </c>
      <c r="DW154">
        <v>0</v>
      </c>
      <c r="DX154" t="s">
        <v>1043</v>
      </c>
      <c r="DY154">
        <v>0</v>
      </c>
      <c r="DZ154">
        <v>0</v>
      </c>
      <c r="EA154">
        <v>0</v>
      </c>
      <c r="ED154" t="s">
        <v>1045</v>
      </c>
      <c r="EE154">
        <v>0</v>
      </c>
      <c r="EF154">
        <v>0</v>
      </c>
      <c r="EQ154" t="s">
        <v>1044</v>
      </c>
      <c r="ES154" t="s">
        <v>1053</v>
      </c>
      <c r="ET154">
        <v>0</v>
      </c>
      <c r="EV154">
        <v>0</v>
      </c>
      <c r="EY154" t="s">
        <v>1052</v>
      </c>
      <c r="EZ154">
        <v>0</v>
      </c>
      <c r="FA154" t="s">
        <v>1043</v>
      </c>
      <c r="FB154">
        <v>0</v>
      </c>
      <c r="FC154">
        <v>0</v>
      </c>
      <c r="FE154" t="s">
        <v>1050</v>
      </c>
      <c r="FF154">
        <v>0</v>
      </c>
      <c r="FG154" t="s">
        <v>1050</v>
      </c>
      <c r="FJ154">
        <v>0</v>
      </c>
      <c r="FK154">
        <v>0</v>
      </c>
      <c r="FP154">
        <v>0</v>
      </c>
      <c r="FR154">
        <v>0</v>
      </c>
      <c r="FS154" t="s">
        <v>1043</v>
      </c>
      <c r="FX154" t="s">
        <v>1042</v>
      </c>
      <c r="FZ154" t="s">
        <v>1048</v>
      </c>
      <c r="GA154">
        <v>0</v>
      </c>
      <c r="GB154" t="s">
        <v>1042</v>
      </c>
      <c r="GE154">
        <v>0</v>
      </c>
      <c r="GG154">
        <v>0</v>
      </c>
      <c r="GN154">
        <v>0</v>
      </c>
      <c r="GO154" t="s">
        <v>1063</v>
      </c>
      <c r="GQ154">
        <v>0</v>
      </c>
      <c r="GU154">
        <v>0</v>
      </c>
      <c r="GY154" t="s">
        <v>1045</v>
      </c>
      <c r="HB154">
        <v>0</v>
      </c>
      <c r="HE154">
        <v>0</v>
      </c>
      <c r="HF154">
        <v>0</v>
      </c>
      <c r="HG154">
        <v>0</v>
      </c>
      <c r="HK154" t="s">
        <v>1042</v>
      </c>
      <c r="HM154" t="s">
        <v>1047</v>
      </c>
      <c r="HN154">
        <v>0</v>
      </c>
      <c r="HP154">
        <v>0</v>
      </c>
      <c r="HQ154">
        <v>0</v>
      </c>
      <c r="HR154" t="s">
        <v>1042</v>
      </c>
      <c r="HS154" t="s">
        <v>1043</v>
      </c>
      <c r="HT154">
        <v>0</v>
      </c>
      <c r="HU154">
        <v>0</v>
      </c>
      <c r="HW154">
        <v>0</v>
      </c>
      <c r="HX154">
        <v>0</v>
      </c>
      <c r="HY154">
        <v>0</v>
      </c>
      <c r="HZ154" t="s">
        <v>1045</v>
      </c>
      <c r="IA154">
        <v>0</v>
      </c>
      <c r="IB154" t="s">
        <v>1045</v>
      </c>
      <c r="ID154" t="s">
        <v>1045</v>
      </c>
      <c r="IF154">
        <v>0</v>
      </c>
      <c r="IG154" t="s">
        <v>1042</v>
      </c>
      <c r="II154" t="s">
        <v>1042</v>
      </c>
      <c r="IR154" t="s">
        <v>1045</v>
      </c>
      <c r="IT154">
        <v>0</v>
      </c>
      <c r="IY154" t="s">
        <v>1044</v>
      </c>
      <c r="IZ154" t="s">
        <v>1043</v>
      </c>
      <c r="JC154" t="s">
        <v>1043</v>
      </c>
      <c r="JE154">
        <v>0</v>
      </c>
      <c r="JF154">
        <v>0</v>
      </c>
      <c r="JI154" t="s">
        <v>1042</v>
      </c>
      <c r="JJ154">
        <v>0</v>
      </c>
      <c r="JK154">
        <v>0</v>
      </c>
      <c r="JL154">
        <v>0</v>
      </c>
      <c r="JM154">
        <v>0</v>
      </c>
      <c r="JQ154" t="s">
        <v>1043</v>
      </c>
      <c r="JT154">
        <v>0</v>
      </c>
      <c r="JU154" t="s">
        <v>1042</v>
      </c>
      <c r="JW154">
        <v>0</v>
      </c>
      <c r="KA154">
        <v>0</v>
      </c>
      <c r="KF154">
        <v>0</v>
      </c>
      <c r="KG154">
        <v>0</v>
      </c>
      <c r="KH154">
        <v>0</v>
      </c>
      <c r="KI154">
        <v>0</v>
      </c>
      <c r="KS154" t="s">
        <v>1073</v>
      </c>
      <c r="KT154">
        <v>0</v>
      </c>
      <c r="KU154">
        <v>0</v>
      </c>
      <c r="KV154">
        <v>0</v>
      </c>
      <c r="KX154">
        <v>0</v>
      </c>
      <c r="KZ154">
        <v>0</v>
      </c>
      <c r="LF154">
        <v>0</v>
      </c>
      <c r="LH154">
        <v>0</v>
      </c>
      <c r="LI154">
        <v>0</v>
      </c>
    </row>
    <row r="155" spans="1:321" x14ac:dyDescent="0.35">
      <c r="A155">
        <v>1</v>
      </c>
      <c r="B155">
        <v>12386</v>
      </c>
      <c r="C155" t="s">
        <v>1553</v>
      </c>
      <c r="D155" t="s">
        <v>1139</v>
      </c>
      <c r="E155" t="s">
        <v>85</v>
      </c>
      <c r="F155">
        <v>80</v>
      </c>
      <c r="G155">
        <v>9000</v>
      </c>
      <c r="H155">
        <v>0</v>
      </c>
      <c r="I155" t="s">
        <v>1442</v>
      </c>
      <c r="L155">
        <v>0</v>
      </c>
      <c r="M155">
        <v>0</v>
      </c>
      <c r="N155">
        <v>0</v>
      </c>
      <c r="R155">
        <v>0</v>
      </c>
      <c r="S155">
        <v>0</v>
      </c>
      <c r="W155" t="s">
        <v>1060</v>
      </c>
      <c r="X155">
        <v>0</v>
      </c>
      <c r="Z155">
        <v>1</v>
      </c>
      <c r="AA155">
        <v>0</v>
      </c>
      <c r="AB155">
        <v>0</v>
      </c>
      <c r="AC155">
        <v>2.5950000000000002</v>
      </c>
      <c r="AD155" s="20">
        <v>40785</v>
      </c>
      <c r="AE155">
        <v>2.5499999999999998</v>
      </c>
      <c r="AF155">
        <v>0</v>
      </c>
      <c r="AH155">
        <v>0</v>
      </c>
      <c r="AJ155">
        <v>0</v>
      </c>
      <c r="AL155">
        <v>0</v>
      </c>
      <c r="AM155">
        <v>0</v>
      </c>
      <c r="AN155">
        <v>16601001</v>
      </c>
      <c r="AO155">
        <v>0</v>
      </c>
      <c r="AP155">
        <v>1000</v>
      </c>
      <c r="AT155">
        <v>0</v>
      </c>
      <c r="AU155" t="s">
        <v>1059</v>
      </c>
      <c r="AW155" t="s">
        <v>1053</v>
      </c>
      <c r="AX155">
        <v>0</v>
      </c>
      <c r="AY155" s="20">
        <v>40785</v>
      </c>
      <c r="BA155" s="20">
        <v>40785</v>
      </c>
      <c r="BB155" t="s">
        <v>1058</v>
      </c>
      <c r="BD155">
        <v>0</v>
      </c>
      <c r="BF155" t="s">
        <v>1043</v>
      </c>
      <c r="BG155" t="s">
        <v>1042</v>
      </c>
      <c r="BH155">
        <v>0</v>
      </c>
      <c r="BI155">
        <v>1</v>
      </c>
      <c r="BJ155">
        <v>0</v>
      </c>
      <c r="BK155">
        <v>0</v>
      </c>
      <c r="BM155" t="s">
        <v>1042</v>
      </c>
      <c r="BN155">
        <v>0</v>
      </c>
      <c r="BR155" t="s">
        <v>1043</v>
      </c>
      <c r="BS155" t="s">
        <v>1043</v>
      </c>
      <c r="BT155" t="s">
        <v>1043</v>
      </c>
      <c r="BW155">
        <v>83</v>
      </c>
      <c r="CA155">
        <v>0</v>
      </c>
      <c r="CB155" t="s">
        <v>1057</v>
      </c>
      <c r="CE155" t="s">
        <v>1043</v>
      </c>
      <c r="CH155" t="s">
        <v>1043</v>
      </c>
      <c r="CN155" t="s">
        <v>1056</v>
      </c>
      <c r="CO155" t="s">
        <v>1043</v>
      </c>
      <c r="CP155">
        <v>1</v>
      </c>
      <c r="CQ155">
        <v>0</v>
      </c>
      <c r="CS155">
        <v>0</v>
      </c>
      <c r="CT155">
        <v>0</v>
      </c>
      <c r="CU155">
        <v>0</v>
      </c>
      <c r="CV155" t="s">
        <v>1045</v>
      </c>
      <c r="CW155">
        <v>0</v>
      </c>
      <c r="CX155">
        <v>0</v>
      </c>
      <c r="CY155">
        <v>0</v>
      </c>
      <c r="CZ155">
        <v>0</v>
      </c>
      <c r="DB155">
        <v>0</v>
      </c>
      <c r="DC155" t="s">
        <v>1043</v>
      </c>
      <c r="DF155" t="s">
        <v>1055</v>
      </c>
      <c r="DH155">
        <v>0</v>
      </c>
      <c r="DJ155">
        <v>0</v>
      </c>
      <c r="DK155" t="s">
        <v>1053</v>
      </c>
      <c r="DL155">
        <v>0</v>
      </c>
      <c r="DN155">
        <v>0</v>
      </c>
      <c r="DO155" t="s">
        <v>1042</v>
      </c>
      <c r="DP155">
        <v>0</v>
      </c>
      <c r="DQ155">
        <v>0</v>
      </c>
      <c r="DS155">
        <v>0</v>
      </c>
      <c r="DU155">
        <v>0</v>
      </c>
      <c r="DW155">
        <v>0</v>
      </c>
      <c r="DX155" t="s">
        <v>1043</v>
      </c>
      <c r="DY155">
        <v>0</v>
      </c>
      <c r="DZ155">
        <v>0</v>
      </c>
      <c r="EA155">
        <v>0</v>
      </c>
      <c r="ED155" t="s">
        <v>1045</v>
      </c>
      <c r="EE155">
        <v>0</v>
      </c>
      <c r="EF155">
        <v>0</v>
      </c>
      <c r="EQ155" t="s">
        <v>1044</v>
      </c>
      <c r="ES155" t="s">
        <v>1053</v>
      </c>
      <c r="ET155">
        <v>0</v>
      </c>
      <c r="EV155">
        <v>0</v>
      </c>
      <c r="EY155" t="s">
        <v>1052</v>
      </c>
      <c r="EZ155">
        <v>0</v>
      </c>
      <c r="FA155" t="s">
        <v>1043</v>
      </c>
      <c r="FB155">
        <v>0</v>
      </c>
      <c r="FC155">
        <v>0</v>
      </c>
      <c r="FE155" t="s">
        <v>1050</v>
      </c>
      <c r="FF155">
        <v>0</v>
      </c>
      <c r="FG155" t="s">
        <v>1050</v>
      </c>
      <c r="FJ155">
        <v>0</v>
      </c>
      <c r="FK155">
        <v>0</v>
      </c>
      <c r="FP155">
        <v>0</v>
      </c>
      <c r="FR155">
        <v>0</v>
      </c>
      <c r="FS155" t="s">
        <v>1043</v>
      </c>
      <c r="FX155" t="s">
        <v>1042</v>
      </c>
      <c r="FZ155" t="s">
        <v>1048</v>
      </c>
      <c r="GA155">
        <v>0</v>
      </c>
      <c r="GB155" t="s">
        <v>1042</v>
      </c>
      <c r="GE155">
        <v>0</v>
      </c>
      <c r="GG155">
        <v>0</v>
      </c>
      <c r="GN155">
        <v>0</v>
      </c>
      <c r="GO155" t="s">
        <v>1063</v>
      </c>
      <c r="GQ155">
        <v>0</v>
      </c>
      <c r="GU155">
        <v>0</v>
      </c>
      <c r="GY155" t="s">
        <v>1045</v>
      </c>
      <c r="HB155">
        <v>0</v>
      </c>
      <c r="HE155">
        <v>0</v>
      </c>
      <c r="HF155">
        <v>0</v>
      </c>
      <c r="HG155">
        <v>0</v>
      </c>
      <c r="HK155" t="s">
        <v>1042</v>
      </c>
      <c r="HM155" t="s">
        <v>1047</v>
      </c>
      <c r="HN155">
        <v>0</v>
      </c>
      <c r="HP155">
        <v>0</v>
      </c>
      <c r="HQ155">
        <v>0</v>
      </c>
      <c r="HR155" t="s">
        <v>1042</v>
      </c>
      <c r="HS155" t="s">
        <v>1043</v>
      </c>
      <c r="HT155">
        <v>0</v>
      </c>
      <c r="HU155">
        <v>0</v>
      </c>
      <c r="HW155">
        <v>0</v>
      </c>
      <c r="HX155">
        <v>0</v>
      </c>
      <c r="HY155">
        <v>0</v>
      </c>
      <c r="HZ155" t="s">
        <v>1045</v>
      </c>
      <c r="IA155">
        <v>0</v>
      </c>
      <c r="IB155" t="s">
        <v>1045</v>
      </c>
      <c r="ID155" t="s">
        <v>1045</v>
      </c>
      <c r="IF155">
        <v>0</v>
      </c>
      <c r="IG155" t="s">
        <v>1042</v>
      </c>
      <c r="II155" t="s">
        <v>1042</v>
      </c>
      <c r="IR155" t="s">
        <v>1045</v>
      </c>
      <c r="IT155">
        <v>0</v>
      </c>
      <c r="IY155" t="s">
        <v>1044</v>
      </c>
      <c r="IZ155" t="s">
        <v>1043</v>
      </c>
      <c r="JC155" t="s">
        <v>1043</v>
      </c>
      <c r="JE155">
        <v>0</v>
      </c>
      <c r="JF155">
        <v>0</v>
      </c>
      <c r="JI155" t="s">
        <v>1042</v>
      </c>
      <c r="JJ155">
        <v>0</v>
      </c>
      <c r="JK155">
        <v>0</v>
      </c>
      <c r="JL155">
        <v>0</v>
      </c>
      <c r="JM155">
        <v>0</v>
      </c>
      <c r="JQ155" t="s">
        <v>1043</v>
      </c>
      <c r="JT155">
        <v>0</v>
      </c>
      <c r="JU155" t="s">
        <v>1042</v>
      </c>
      <c r="JW155">
        <v>0</v>
      </c>
      <c r="KA155">
        <v>0</v>
      </c>
      <c r="KF155">
        <v>0</v>
      </c>
      <c r="KG155">
        <v>0</v>
      </c>
      <c r="KH155">
        <v>0</v>
      </c>
      <c r="KI155">
        <v>0</v>
      </c>
      <c r="KS155" t="s">
        <v>1073</v>
      </c>
      <c r="KT155">
        <v>0</v>
      </c>
      <c r="KU155">
        <v>0</v>
      </c>
      <c r="KV155">
        <v>0</v>
      </c>
      <c r="KX155">
        <v>0</v>
      </c>
      <c r="KZ155">
        <v>0</v>
      </c>
      <c r="LF155">
        <v>0</v>
      </c>
      <c r="LH155">
        <v>0</v>
      </c>
      <c r="LI155">
        <v>0</v>
      </c>
    </row>
    <row r="156" spans="1:321" x14ac:dyDescent="0.35">
      <c r="A156">
        <v>1</v>
      </c>
      <c r="B156">
        <v>12387</v>
      </c>
      <c r="C156" t="s">
        <v>1552</v>
      </c>
      <c r="D156" t="s">
        <v>1139</v>
      </c>
      <c r="E156" t="s">
        <v>85</v>
      </c>
      <c r="F156">
        <v>80</v>
      </c>
      <c r="G156">
        <v>9000</v>
      </c>
      <c r="H156">
        <v>0</v>
      </c>
      <c r="I156" t="s">
        <v>1442</v>
      </c>
      <c r="L156">
        <v>0</v>
      </c>
      <c r="M156">
        <v>0</v>
      </c>
      <c r="N156">
        <v>0</v>
      </c>
      <c r="R156">
        <v>0</v>
      </c>
      <c r="S156">
        <v>0</v>
      </c>
      <c r="W156" t="s">
        <v>1060</v>
      </c>
      <c r="X156">
        <v>0</v>
      </c>
      <c r="Z156">
        <v>1</v>
      </c>
      <c r="AA156">
        <v>0</v>
      </c>
      <c r="AB156">
        <v>0</v>
      </c>
      <c r="AC156">
        <v>2.59</v>
      </c>
      <c r="AD156" s="20">
        <v>40785</v>
      </c>
      <c r="AE156">
        <v>2.5</v>
      </c>
      <c r="AF156">
        <v>0</v>
      </c>
      <c r="AH156">
        <v>0</v>
      </c>
      <c r="AJ156">
        <v>0</v>
      </c>
      <c r="AL156">
        <v>0</v>
      </c>
      <c r="AM156">
        <v>0</v>
      </c>
      <c r="AN156">
        <v>16601001</v>
      </c>
      <c r="AO156">
        <v>0</v>
      </c>
      <c r="AP156">
        <v>1000</v>
      </c>
      <c r="AT156">
        <v>0</v>
      </c>
      <c r="AU156" t="s">
        <v>1059</v>
      </c>
      <c r="AW156" t="s">
        <v>1053</v>
      </c>
      <c r="AX156">
        <v>0</v>
      </c>
      <c r="AY156" s="20">
        <v>40785</v>
      </c>
      <c r="BA156" s="20">
        <v>40785</v>
      </c>
      <c r="BB156" t="s">
        <v>1058</v>
      </c>
      <c r="BD156">
        <v>0</v>
      </c>
      <c r="BF156" t="s">
        <v>1043</v>
      </c>
      <c r="BG156" t="s">
        <v>1042</v>
      </c>
      <c r="BH156">
        <v>0</v>
      </c>
      <c r="BI156">
        <v>1</v>
      </c>
      <c r="BJ156">
        <v>0</v>
      </c>
      <c r="BK156">
        <v>0</v>
      </c>
      <c r="BM156" t="s">
        <v>1042</v>
      </c>
      <c r="BN156">
        <v>0</v>
      </c>
      <c r="BR156" t="s">
        <v>1043</v>
      </c>
      <c r="BS156" t="s">
        <v>1043</v>
      </c>
      <c r="BT156" t="s">
        <v>1043</v>
      </c>
      <c r="BW156">
        <v>83</v>
      </c>
      <c r="CA156">
        <v>0</v>
      </c>
      <c r="CB156" t="s">
        <v>1057</v>
      </c>
      <c r="CE156" t="s">
        <v>1043</v>
      </c>
      <c r="CH156" t="s">
        <v>1043</v>
      </c>
      <c r="CN156" t="s">
        <v>1056</v>
      </c>
      <c r="CO156" t="s">
        <v>1043</v>
      </c>
      <c r="CP156">
        <v>1</v>
      </c>
      <c r="CQ156">
        <v>0</v>
      </c>
      <c r="CS156">
        <v>0</v>
      </c>
      <c r="CT156">
        <v>0</v>
      </c>
      <c r="CU156">
        <v>0</v>
      </c>
      <c r="CV156" t="s">
        <v>1045</v>
      </c>
      <c r="CW156">
        <v>0</v>
      </c>
      <c r="CX156">
        <v>0</v>
      </c>
      <c r="CY156">
        <v>0</v>
      </c>
      <c r="CZ156">
        <v>0</v>
      </c>
      <c r="DB156">
        <v>0</v>
      </c>
      <c r="DC156" t="s">
        <v>1043</v>
      </c>
      <c r="DF156" t="s">
        <v>1055</v>
      </c>
      <c r="DH156">
        <v>0</v>
      </c>
      <c r="DJ156">
        <v>0</v>
      </c>
      <c r="DK156" t="s">
        <v>1053</v>
      </c>
      <c r="DL156">
        <v>0</v>
      </c>
      <c r="DN156">
        <v>0</v>
      </c>
      <c r="DO156" t="s">
        <v>1042</v>
      </c>
      <c r="DP156">
        <v>0</v>
      </c>
      <c r="DQ156">
        <v>0</v>
      </c>
      <c r="DS156">
        <v>0</v>
      </c>
      <c r="DU156">
        <v>0</v>
      </c>
      <c r="DW156">
        <v>0</v>
      </c>
      <c r="DX156" t="s">
        <v>1043</v>
      </c>
      <c r="DY156">
        <v>0</v>
      </c>
      <c r="DZ156">
        <v>0</v>
      </c>
      <c r="EA156">
        <v>0</v>
      </c>
      <c r="ED156" t="s">
        <v>1045</v>
      </c>
      <c r="EE156">
        <v>0</v>
      </c>
      <c r="EF156">
        <v>0</v>
      </c>
      <c r="EQ156" t="s">
        <v>1044</v>
      </c>
      <c r="ES156" t="s">
        <v>1053</v>
      </c>
      <c r="ET156">
        <v>0</v>
      </c>
      <c r="EV156">
        <v>0</v>
      </c>
      <c r="EY156" t="s">
        <v>1052</v>
      </c>
      <c r="EZ156">
        <v>0</v>
      </c>
      <c r="FA156" t="s">
        <v>1043</v>
      </c>
      <c r="FB156">
        <v>0</v>
      </c>
      <c r="FC156">
        <v>0</v>
      </c>
      <c r="FE156" t="s">
        <v>1050</v>
      </c>
      <c r="FF156">
        <v>0</v>
      </c>
      <c r="FG156" t="s">
        <v>1050</v>
      </c>
      <c r="FJ156">
        <v>0</v>
      </c>
      <c r="FK156">
        <v>0</v>
      </c>
      <c r="FP156">
        <v>0</v>
      </c>
      <c r="FR156">
        <v>0</v>
      </c>
      <c r="FS156" t="s">
        <v>1043</v>
      </c>
      <c r="FX156" t="s">
        <v>1042</v>
      </c>
      <c r="FZ156" t="s">
        <v>1048</v>
      </c>
      <c r="GA156">
        <v>0</v>
      </c>
      <c r="GB156" t="s">
        <v>1042</v>
      </c>
      <c r="GE156">
        <v>0</v>
      </c>
      <c r="GG156">
        <v>0</v>
      </c>
      <c r="GN156">
        <v>0</v>
      </c>
      <c r="GO156" t="s">
        <v>1063</v>
      </c>
      <c r="GQ156">
        <v>0</v>
      </c>
      <c r="GU156">
        <v>0</v>
      </c>
      <c r="GY156" t="s">
        <v>1045</v>
      </c>
      <c r="HB156">
        <v>0</v>
      </c>
      <c r="HE156">
        <v>0</v>
      </c>
      <c r="HF156">
        <v>0</v>
      </c>
      <c r="HG156">
        <v>0</v>
      </c>
      <c r="HK156" t="s">
        <v>1042</v>
      </c>
      <c r="HM156" t="s">
        <v>1047</v>
      </c>
      <c r="HN156">
        <v>0</v>
      </c>
      <c r="HP156">
        <v>0</v>
      </c>
      <c r="HQ156">
        <v>0</v>
      </c>
      <c r="HR156" t="s">
        <v>1042</v>
      </c>
      <c r="HS156" t="s">
        <v>1043</v>
      </c>
      <c r="HT156">
        <v>0</v>
      </c>
      <c r="HU156">
        <v>0</v>
      </c>
      <c r="HW156">
        <v>0</v>
      </c>
      <c r="HX156">
        <v>0</v>
      </c>
      <c r="HY156">
        <v>0</v>
      </c>
      <c r="HZ156" t="s">
        <v>1045</v>
      </c>
      <c r="IA156">
        <v>0</v>
      </c>
      <c r="IB156" t="s">
        <v>1045</v>
      </c>
      <c r="ID156" t="s">
        <v>1045</v>
      </c>
      <c r="IF156">
        <v>0</v>
      </c>
      <c r="IG156" t="s">
        <v>1042</v>
      </c>
      <c r="II156" t="s">
        <v>1042</v>
      </c>
      <c r="IR156" t="s">
        <v>1045</v>
      </c>
      <c r="IT156">
        <v>0</v>
      </c>
      <c r="IY156" t="s">
        <v>1044</v>
      </c>
      <c r="IZ156" t="s">
        <v>1043</v>
      </c>
      <c r="JC156" t="s">
        <v>1043</v>
      </c>
      <c r="JE156">
        <v>0</v>
      </c>
      <c r="JF156">
        <v>0</v>
      </c>
      <c r="JI156" t="s">
        <v>1042</v>
      </c>
      <c r="JJ156">
        <v>0</v>
      </c>
      <c r="JK156">
        <v>0</v>
      </c>
      <c r="JL156">
        <v>0</v>
      </c>
      <c r="JM156">
        <v>0</v>
      </c>
      <c r="JQ156" t="s">
        <v>1043</v>
      </c>
      <c r="JT156">
        <v>0</v>
      </c>
      <c r="JU156" t="s">
        <v>1042</v>
      </c>
      <c r="JW156">
        <v>0</v>
      </c>
      <c r="KA156">
        <v>0</v>
      </c>
      <c r="KF156">
        <v>0</v>
      </c>
      <c r="KG156">
        <v>0</v>
      </c>
      <c r="KH156">
        <v>0</v>
      </c>
      <c r="KI156">
        <v>0</v>
      </c>
      <c r="KS156" t="s">
        <v>1073</v>
      </c>
      <c r="KT156">
        <v>0</v>
      </c>
      <c r="KU156">
        <v>0</v>
      </c>
      <c r="KV156">
        <v>0</v>
      </c>
      <c r="KX156">
        <v>0</v>
      </c>
      <c r="KZ156">
        <v>0</v>
      </c>
      <c r="LF156">
        <v>0</v>
      </c>
      <c r="LH156">
        <v>0</v>
      </c>
      <c r="LI156">
        <v>0</v>
      </c>
    </row>
    <row r="157" spans="1:321" x14ac:dyDescent="0.35">
      <c r="A157">
        <v>1</v>
      </c>
      <c r="B157">
        <v>12388</v>
      </c>
      <c r="C157" t="s">
        <v>1551</v>
      </c>
      <c r="D157" t="s">
        <v>1139</v>
      </c>
      <c r="E157" t="s">
        <v>85</v>
      </c>
      <c r="F157">
        <v>80</v>
      </c>
      <c r="G157">
        <v>9000</v>
      </c>
      <c r="H157">
        <v>0</v>
      </c>
      <c r="I157" t="s">
        <v>1442</v>
      </c>
      <c r="L157">
        <v>0</v>
      </c>
      <c r="M157">
        <v>0</v>
      </c>
      <c r="N157">
        <v>0</v>
      </c>
      <c r="R157">
        <v>0</v>
      </c>
      <c r="S157">
        <v>0</v>
      </c>
      <c r="W157" t="s">
        <v>1060</v>
      </c>
      <c r="X157">
        <v>0</v>
      </c>
      <c r="Z157">
        <v>1</v>
      </c>
      <c r="AA157">
        <v>0</v>
      </c>
      <c r="AB157">
        <v>0</v>
      </c>
      <c r="AC157">
        <v>2.59</v>
      </c>
      <c r="AD157" s="20">
        <v>40785</v>
      </c>
      <c r="AE157">
        <v>2.5</v>
      </c>
      <c r="AF157">
        <v>0</v>
      </c>
      <c r="AH157">
        <v>0</v>
      </c>
      <c r="AJ157">
        <v>0</v>
      </c>
      <c r="AL157">
        <v>0</v>
      </c>
      <c r="AM157">
        <v>0</v>
      </c>
      <c r="AN157">
        <v>16601001</v>
      </c>
      <c r="AO157">
        <v>0</v>
      </c>
      <c r="AP157">
        <v>1000</v>
      </c>
      <c r="AT157">
        <v>0</v>
      </c>
      <c r="AU157" t="s">
        <v>1059</v>
      </c>
      <c r="AW157" t="s">
        <v>1053</v>
      </c>
      <c r="AX157">
        <v>0</v>
      </c>
      <c r="AY157" s="20">
        <v>40785</v>
      </c>
      <c r="BA157" s="20">
        <v>40785</v>
      </c>
      <c r="BB157" t="s">
        <v>1058</v>
      </c>
      <c r="BD157">
        <v>0</v>
      </c>
      <c r="BF157" t="s">
        <v>1043</v>
      </c>
      <c r="BG157" t="s">
        <v>1042</v>
      </c>
      <c r="BH157">
        <v>0</v>
      </c>
      <c r="BI157">
        <v>1</v>
      </c>
      <c r="BJ157">
        <v>0</v>
      </c>
      <c r="BK157">
        <v>0</v>
      </c>
      <c r="BM157" t="s">
        <v>1042</v>
      </c>
      <c r="BN157">
        <v>0</v>
      </c>
      <c r="BR157" t="s">
        <v>1043</v>
      </c>
      <c r="BS157" t="s">
        <v>1043</v>
      </c>
      <c r="BT157" t="s">
        <v>1043</v>
      </c>
      <c r="BW157">
        <v>83</v>
      </c>
      <c r="CA157">
        <v>0</v>
      </c>
      <c r="CB157" t="s">
        <v>1057</v>
      </c>
      <c r="CE157" t="s">
        <v>1043</v>
      </c>
      <c r="CH157" t="s">
        <v>1043</v>
      </c>
      <c r="CN157" t="s">
        <v>1056</v>
      </c>
      <c r="CO157" t="s">
        <v>1043</v>
      </c>
      <c r="CP157">
        <v>1</v>
      </c>
      <c r="CQ157">
        <v>0</v>
      </c>
      <c r="CS157">
        <v>0</v>
      </c>
      <c r="CT157">
        <v>0</v>
      </c>
      <c r="CU157">
        <v>0</v>
      </c>
      <c r="CV157" t="s">
        <v>1045</v>
      </c>
      <c r="CW157">
        <v>0</v>
      </c>
      <c r="CX157">
        <v>0</v>
      </c>
      <c r="CY157">
        <v>0</v>
      </c>
      <c r="CZ157">
        <v>0</v>
      </c>
      <c r="DB157">
        <v>0</v>
      </c>
      <c r="DC157" t="s">
        <v>1043</v>
      </c>
      <c r="DF157" t="s">
        <v>1055</v>
      </c>
      <c r="DH157">
        <v>0</v>
      </c>
      <c r="DJ157">
        <v>0</v>
      </c>
      <c r="DK157" t="s">
        <v>1053</v>
      </c>
      <c r="DL157">
        <v>0</v>
      </c>
      <c r="DN157">
        <v>0</v>
      </c>
      <c r="DO157" t="s">
        <v>1042</v>
      </c>
      <c r="DP157">
        <v>0</v>
      </c>
      <c r="DQ157">
        <v>0</v>
      </c>
      <c r="DS157">
        <v>0</v>
      </c>
      <c r="DU157">
        <v>0</v>
      </c>
      <c r="DW157">
        <v>0</v>
      </c>
      <c r="DX157" t="s">
        <v>1043</v>
      </c>
      <c r="DY157">
        <v>0</v>
      </c>
      <c r="DZ157">
        <v>0</v>
      </c>
      <c r="EA157">
        <v>0</v>
      </c>
      <c r="ED157" t="s">
        <v>1045</v>
      </c>
      <c r="EE157">
        <v>0</v>
      </c>
      <c r="EF157">
        <v>0</v>
      </c>
      <c r="EQ157" t="s">
        <v>1044</v>
      </c>
      <c r="ES157" t="s">
        <v>1053</v>
      </c>
      <c r="ET157">
        <v>0</v>
      </c>
      <c r="EV157">
        <v>0</v>
      </c>
      <c r="EY157" t="s">
        <v>1052</v>
      </c>
      <c r="EZ157">
        <v>0</v>
      </c>
      <c r="FA157" t="s">
        <v>1043</v>
      </c>
      <c r="FB157">
        <v>0</v>
      </c>
      <c r="FC157">
        <v>0</v>
      </c>
      <c r="FE157" t="s">
        <v>1050</v>
      </c>
      <c r="FF157">
        <v>0</v>
      </c>
      <c r="FG157" t="s">
        <v>1050</v>
      </c>
      <c r="FJ157">
        <v>0</v>
      </c>
      <c r="FK157">
        <v>0</v>
      </c>
      <c r="FP157">
        <v>0</v>
      </c>
      <c r="FR157">
        <v>0</v>
      </c>
      <c r="FS157" t="s">
        <v>1043</v>
      </c>
      <c r="FX157" t="s">
        <v>1042</v>
      </c>
      <c r="FZ157" t="s">
        <v>1048</v>
      </c>
      <c r="GA157">
        <v>0</v>
      </c>
      <c r="GB157" t="s">
        <v>1042</v>
      </c>
      <c r="GE157">
        <v>0</v>
      </c>
      <c r="GG157">
        <v>0</v>
      </c>
      <c r="GN157">
        <v>0</v>
      </c>
      <c r="GO157" t="s">
        <v>1063</v>
      </c>
      <c r="GQ157">
        <v>0</v>
      </c>
      <c r="GU157">
        <v>0</v>
      </c>
      <c r="GY157" t="s">
        <v>1045</v>
      </c>
      <c r="HB157">
        <v>0</v>
      </c>
      <c r="HE157">
        <v>0</v>
      </c>
      <c r="HF157">
        <v>0</v>
      </c>
      <c r="HG157">
        <v>0</v>
      </c>
      <c r="HK157" t="s">
        <v>1042</v>
      </c>
      <c r="HM157" t="s">
        <v>1047</v>
      </c>
      <c r="HN157">
        <v>0</v>
      </c>
      <c r="HP157">
        <v>0</v>
      </c>
      <c r="HQ157">
        <v>0</v>
      </c>
      <c r="HR157" t="s">
        <v>1042</v>
      </c>
      <c r="HS157" t="s">
        <v>1043</v>
      </c>
      <c r="HT157">
        <v>0</v>
      </c>
      <c r="HU157">
        <v>0</v>
      </c>
      <c r="HW157">
        <v>0</v>
      </c>
      <c r="HX157">
        <v>0</v>
      </c>
      <c r="HY157">
        <v>0</v>
      </c>
      <c r="HZ157" t="s">
        <v>1045</v>
      </c>
      <c r="IA157">
        <v>0</v>
      </c>
      <c r="IB157" t="s">
        <v>1045</v>
      </c>
      <c r="ID157" t="s">
        <v>1045</v>
      </c>
      <c r="IF157">
        <v>0</v>
      </c>
      <c r="IG157" t="s">
        <v>1042</v>
      </c>
      <c r="II157" t="s">
        <v>1042</v>
      </c>
      <c r="IR157" t="s">
        <v>1045</v>
      </c>
      <c r="IT157">
        <v>0</v>
      </c>
      <c r="IY157" t="s">
        <v>1044</v>
      </c>
      <c r="IZ157" t="s">
        <v>1043</v>
      </c>
      <c r="JC157" t="s">
        <v>1043</v>
      </c>
      <c r="JE157">
        <v>0</v>
      </c>
      <c r="JF157">
        <v>0</v>
      </c>
      <c r="JI157" t="s">
        <v>1042</v>
      </c>
      <c r="JJ157">
        <v>0</v>
      </c>
      <c r="JK157">
        <v>0</v>
      </c>
      <c r="JL157">
        <v>0</v>
      </c>
      <c r="JM157">
        <v>0</v>
      </c>
      <c r="JQ157" t="s">
        <v>1043</v>
      </c>
      <c r="JT157">
        <v>0</v>
      </c>
      <c r="JU157" t="s">
        <v>1042</v>
      </c>
      <c r="JW157">
        <v>0</v>
      </c>
      <c r="KA157">
        <v>0</v>
      </c>
      <c r="KF157">
        <v>0</v>
      </c>
      <c r="KG157">
        <v>0</v>
      </c>
      <c r="KH157">
        <v>0</v>
      </c>
      <c r="KI157">
        <v>0</v>
      </c>
      <c r="KS157" t="s">
        <v>1073</v>
      </c>
      <c r="KT157">
        <v>0</v>
      </c>
      <c r="KU157">
        <v>0</v>
      </c>
      <c r="KV157">
        <v>0</v>
      </c>
      <c r="KX157">
        <v>0</v>
      </c>
      <c r="KZ157">
        <v>0</v>
      </c>
      <c r="LF157">
        <v>0</v>
      </c>
      <c r="LH157">
        <v>0</v>
      </c>
      <c r="LI157">
        <v>0</v>
      </c>
    </row>
    <row r="158" spans="1:321" x14ac:dyDescent="0.35">
      <c r="A158">
        <v>1</v>
      </c>
      <c r="B158">
        <v>12389</v>
      </c>
      <c r="C158" t="s">
        <v>1550</v>
      </c>
      <c r="D158" t="s">
        <v>1139</v>
      </c>
      <c r="E158" t="s">
        <v>85</v>
      </c>
      <c r="F158">
        <v>80</v>
      </c>
      <c r="G158">
        <v>9000</v>
      </c>
      <c r="H158">
        <v>0</v>
      </c>
      <c r="I158" t="s">
        <v>1442</v>
      </c>
      <c r="L158">
        <v>0</v>
      </c>
      <c r="M158">
        <v>0</v>
      </c>
      <c r="N158">
        <v>0</v>
      </c>
      <c r="R158">
        <v>0</v>
      </c>
      <c r="S158">
        <v>0</v>
      </c>
      <c r="W158" t="s">
        <v>1060</v>
      </c>
      <c r="X158">
        <v>0</v>
      </c>
      <c r="Z158">
        <v>1</v>
      </c>
      <c r="AA158">
        <v>0</v>
      </c>
      <c r="AB158">
        <v>0</v>
      </c>
      <c r="AC158">
        <v>2.59</v>
      </c>
      <c r="AD158" s="20">
        <v>40785</v>
      </c>
      <c r="AE158">
        <v>2.5</v>
      </c>
      <c r="AF158">
        <v>0</v>
      </c>
      <c r="AH158">
        <v>0</v>
      </c>
      <c r="AJ158">
        <v>0</v>
      </c>
      <c r="AL158">
        <v>0</v>
      </c>
      <c r="AM158">
        <v>0</v>
      </c>
      <c r="AN158">
        <v>16601001</v>
      </c>
      <c r="AO158">
        <v>0</v>
      </c>
      <c r="AP158">
        <v>1000</v>
      </c>
      <c r="AT158">
        <v>0</v>
      </c>
      <c r="AU158" t="s">
        <v>1059</v>
      </c>
      <c r="AW158" t="s">
        <v>1053</v>
      </c>
      <c r="AX158">
        <v>0</v>
      </c>
      <c r="AY158" s="20">
        <v>40785</v>
      </c>
      <c r="BA158" s="20">
        <v>40785</v>
      </c>
      <c r="BB158" t="s">
        <v>1058</v>
      </c>
      <c r="BD158">
        <v>0</v>
      </c>
      <c r="BF158" t="s">
        <v>1043</v>
      </c>
      <c r="BG158" t="s">
        <v>1042</v>
      </c>
      <c r="BH158">
        <v>0</v>
      </c>
      <c r="BI158">
        <v>1</v>
      </c>
      <c r="BJ158">
        <v>0</v>
      </c>
      <c r="BK158">
        <v>0</v>
      </c>
      <c r="BM158" t="s">
        <v>1042</v>
      </c>
      <c r="BN158">
        <v>0</v>
      </c>
      <c r="BR158" t="s">
        <v>1043</v>
      </c>
      <c r="BS158" t="s">
        <v>1043</v>
      </c>
      <c r="BT158" t="s">
        <v>1043</v>
      </c>
      <c r="BW158">
        <v>83</v>
      </c>
      <c r="CA158">
        <v>0</v>
      </c>
      <c r="CB158" t="s">
        <v>1057</v>
      </c>
      <c r="CE158" t="s">
        <v>1043</v>
      </c>
      <c r="CH158" t="s">
        <v>1043</v>
      </c>
      <c r="CN158" t="s">
        <v>1056</v>
      </c>
      <c r="CO158" t="s">
        <v>1043</v>
      </c>
      <c r="CP158">
        <v>1</v>
      </c>
      <c r="CQ158">
        <v>0</v>
      </c>
      <c r="CS158">
        <v>0</v>
      </c>
      <c r="CT158">
        <v>0</v>
      </c>
      <c r="CU158">
        <v>0</v>
      </c>
      <c r="CV158" t="s">
        <v>1045</v>
      </c>
      <c r="CW158">
        <v>0</v>
      </c>
      <c r="CX158">
        <v>0</v>
      </c>
      <c r="CY158">
        <v>0</v>
      </c>
      <c r="CZ158">
        <v>0</v>
      </c>
      <c r="DB158">
        <v>0</v>
      </c>
      <c r="DC158" t="s">
        <v>1043</v>
      </c>
      <c r="DF158" t="s">
        <v>1055</v>
      </c>
      <c r="DH158">
        <v>0</v>
      </c>
      <c r="DJ158">
        <v>0</v>
      </c>
      <c r="DK158" t="s">
        <v>1053</v>
      </c>
      <c r="DL158">
        <v>0</v>
      </c>
      <c r="DN158">
        <v>0</v>
      </c>
      <c r="DO158" t="s">
        <v>1042</v>
      </c>
      <c r="DP158">
        <v>0</v>
      </c>
      <c r="DQ158">
        <v>0</v>
      </c>
      <c r="DS158">
        <v>0</v>
      </c>
      <c r="DU158">
        <v>0</v>
      </c>
      <c r="DW158">
        <v>0</v>
      </c>
      <c r="DX158" t="s">
        <v>1043</v>
      </c>
      <c r="DY158">
        <v>0</v>
      </c>
      <c r="DZ158">
        <v>0</v>
      </c>
      <c r="EA158">
        <v>0</v>
      </c>
      <c r="ED158" t="s">
        <v>1045</v>
      </c>
      <c r="EE158">
        <v>0</v>
      </c>
      <c r="EF158">
        <v>0</v>
      </c>
      <c r="EQ158" t="s">
        <v>1044</v>
      </c>
      <c r="ES158" t="s">
        <v>1053</v>
      </c>
      <c r="ET158">
        <v>0</v>
      </c>
      <c r="EV158">
        <v>0</v>
      </c>
      <c r="EY158" t="s">
        <v>1052</v>
      </c>
      <c r="EZ158">
        <v>0</v>
      </c>
      <c r="FA158" t="s">
        <v>1043</v>
      </c>
      <c r="FB158">
        <v>0</v>
      </c>
      <c r="FC158">
        <v>0</v>
      </c>
      <c r="FE158" t="s">
        <v>1050</v>
      </c>
      <c r="FF158">
        <v>0</v>
      </c>
      <c r="FG158" t="s">
        <v>1050</v>
      </c>
      <c r="FJ158">
        <v>0</v>
      </c>
      <c r="FK158">
        <v>0</v>
      </c>
      <c r="FP158">
        <v>0</v>
      </c>
      <c r="FR158">
        <v>0</v>
      </c>
      <c r="FS158" t="s">
        <v>1043</v>
      </c>
      <c r="FX158" t="s">
        <v>1042</v>
      </c>
      <c r="FZ158" t="s">
        <v>1048</v>
      </c>
      <c r="GA158">
        <v>0</v>
      </c>
      <c r="GB158" t="s">
        <v>1042</v>
      </c>
      <c r="GE158">
        <v>0</v>
      </c>
      <c r="GG158">
        <v>0</v>
      </c>
      <c r="GN158">
        <v>0</v>
      </c>
      <c r="GO158" t="s">
        <v>1063</v>
      </c>
      <c r="GQ158">
        <v>0</v>
      </c>
      <c r="GU158">
        <v>0</v>
      </c>
      <c r="GY158" t="s">
        <v>1045</v>
      </c>
      <c r="HB158">
        <v>0</v>
      </c>
      <c r="HE158">
        <v>0</v>
      </c>
      <c r="HF158">
        <v>0</v>
      </c>
      <c r="HG158">
        <v>0</v>
      </c>
      <c r="HK158" t="s">
        <v>1042</v>
      </c>
      <c r="HM158" t="s">
        <v>1047</v>
      </c>
      <c r="HN158">
        <v>0</v>
      </c>
      <c r="HP158">
        <v>0</v>
      </c>
      <c r="HQ158">
        <v>0</v>
      </c>
      <c r="HR158" t="s">
        <v>1042</v>
      </c>
      <c r="HS158" t="s">
        <v>1043</v>
      </c>
      <c r="HT158">
        <v>0</v>
      </c>
      <c r="HU158">
        <v>0</v>
      </c>
      <c r="HW158">
        <v>0</v>
      </c>
      <c r="HX158">
        <v>0</v>
      </c>
      <c r="HY158">
        <v>0</v>
      </c>
      <c r="HZ158" t="s">
        <v>1045</v>
      </c>
      <c r="IA158">
        <v>0</v>
      </c>
      <c r="IB158" t="s">
        <v>1045</v>
      </c>
      <c r="ID158" t="s">
        <v>1045</v>
      </c>
      <c r="IF158">
        <v>0</v>
      </c>
      <c r="IG158" t="s">
        <v>1042</v>
      </c>
      <c r="II158" t="s">
        <v>1042</v>
      </c>
      <c r="IR158" t="s">
        <v>1045</v>
      </c>
      <c r="IT158">
        <v>0</v>
      </c>
      <c r="IY158" t="s">
        <v>1044</v>
      </c>
      <c r="IZ158" t="s">
        <v>1043</v>
      </c>
      <c r="JC158" t="s">
        <v>1043</v>
      </c>
      <c r="JE158">
        <v>0</v>
      </c>
      <c r="JF158">
        <v>0</v>
      </c>
      <c r="JI158" t="s">
        <v>1042</v>
      </c>
      <c r="JJ158">
        <v>0</v>
      </c>
      <c r="JK158">
        <v>0</v>
      </c>
      <c r="JL158">
        <v>0</v>
      </c>
      <c r="JM158">
        <v>0</v>
      </c>
      <c r="JQ158" t="s">
        <v>1043</v>
      </c>
      <c r="JT158">
        <v>0</v>
      </c>
      <c r="JU158" t="s">
        <v>1042</v>
      </c>
      <c r="JW158">
        <v>0</v>
      </c>
      <c r="KA158">
        <v>0</v>
      </c>
      <c r="KF158">
        <v>0</v>
      </c>
      <c r="KG158">
        <v>0</v>
      </c>
      <c r="KH158">
        <v>0</v>
      </c>
      <c r="KI158">
        <v>0</v>
      </c>
      <c r="KS158" t="s">
        <v>1073</v>
      </c>
      <c r="KT158">
        <v>0</v>
      </c>
      <c r="KU158">
        <v>0</v>
      </c>
      <c r="KV158">
        <v>0</v>
      </c>
      <c r="KX158">
        <v>0</v>
      </c>
      <c r="KZ158">
        <v>0</v>
      </c>
      <c r="LF158">
        <v>0</v>
      </c>
      <c r="LH158">
        <v>0</v>
      </c>
      <c r="LI158">
        <v>0</v>
      </c>
    </row>
    <row r="159" spans="1:321" x14ac:dyDescent="0.35">
      <c r="A159">
        <v>1</v>
      </c>
      <c r="B159">
        <v>1239</v>
      </c>
      <c r="C159" t="s">
        <v>1549</v>
      </c>
      <c r="D159" t="s">
        <v>1061</v>
      </c>
      <c r="E159" t="s">
        <v>587</v>
      </c>
      <c r="F159">
        <v>1</v>
      </c>
      <c r="G159">
        <v>8888</v>
      </c>
      <c r="H159">
        <v>0</v>
      </c>
      <c r="I159" t="s">
        <v>991</v>
      </c>
      <c r="L159">
        <v>0</v>
      </c>
      <c r="M159">
        <v>0</v>
      </c>
      <c r="N159">
        <v>0</v>
      </c>
      <c r="Q159">
        <v>516</v>
      </c>
      <c r="R159">
        <v>0</v>
      </c>
      <c r="S159">
        <v>0</v>
      </c>
      <c r="W159" t="s">
        <v>1060</v>
      </c>
      <c r="X159">
        <v>0</v>
      </c>
      <c r="Z159">
        <v>10</v>
      </c>
      <c r="AA159">
        <v>9.6959999999999997</v>
      </c>
      <c r="AB159">
        <v>0</v>
      </c>
      <c r="AC159">
        <v>0.45810000000000001</v>
      </c>
      <c r="AD159" t="s">
        <v>1042</v>
      </c>
      <c r="AE159">
        <v>0</v>
      </c>
      <c r="AF159">
        <v>8.1000000000000003E-2</v>
      </c>
      <c r="AH159">
        <v>0</v>
      </c>
      <c r="AJ159">
        <v>0</v>
      </c>
      <c r="AK159" t="s">
        <v>1154</v>
      </c>
      <c r="AL159">
        <v>240</v>
      </c>
      <c r="AM159">
        <v>0</v>
      </c>
      <c r="AN159">
        <v>11501001</v>
      </c>
      <c r="AO159">
        <v>0</v>
      </c>
      <c r="AP159">
        <v>1001</v>
      </c>
      <c r="AT159">
        <v>0</v>
      </c>
      <c r="AU159" t="s">
        <v>1059</v>
      </c>
      <c r="AV159" t="s">
        <v>1043</v>
      </c>
      <c r="AW159" t="s">
        <v>1053</v>
      </c>
      <c r="AX159">
        <v>5</v>
      </c>
      <c r="AY159" s="20">
        <v>43274</v>
      </c>
      <c r="BA159" s="20">
        <v>43677</v>
      </c>
      <c r="BB159" t="s">
        <v>1058</v>
      </c>
      <c r="BD159">
        <v>0</v>
      </c>
      <c r="BF159" t="s">
        <v>1043</v>
      </c>
      <c r="BG159" s="20">
        <v>42705</v>
      </c>
      <c r="BH159">
        <v>0</v>
      </c>
      <c r="BI159">
        <v>33</v>
      </c>
      <c r="BJ159">
        <v>0</v>
      </c>
      <c r="BK159">
        <v>0</v>
      </c>
      <c r="BM159" s="20">
        <v>42755</v>
      </c>
      <c r="BN159">
        <v>0</v>
      </c>
      <c r="BO159">
        <v>7897801317153</v>
      </c>
      <c r="BR159" t="s">
        <v>1043</v>
      </c>
      <c r="BS159" t="s">
        <v>1043</v>
      </c>
      <c r="BT159" t="s">
        <v>1043</v>
      </c>
      <c r="BV159">
        <v>1</v>
      </c>
      <c r="BW159">
        <v>30</v>
      </c>
      <c r="BY159">
        <v>66</v>
      </c>
      <c r="CA159">
        <v>0</v>
      </c>
      <c r="CB159" t="s">
        <v>1043</v>
      </c>
      <c r="CE159" t="s">
        <v>1043</v>
      </c>
      <c r="CH159" t="s">
        <v>1043</v>
      </c>
      <c r="CI159" t="s">
        <v>1383</v>
      </c>
      <c r="CK159" t="s">
        <v>1152</v>
      </c>
      <c r="CN159" t="s">
        <v>1056</v>
      </c>
      <c r="CP159">
        <v>1</v>
      </c>
      <c r="CQ159">
        <v>0</v>
      </c>
      <c r="CS159">
        <v>0</v>
      </c>
      <c r="CT159">
        <v>0</v>
      </c>
      <c r="CU159">
        <v>0</v>
      </c>
      <c r="CV159" t="s">
        <v>1045</v>
      </c>
      <c r="CW159">
        <v>0</v>
      </c>
      <c r="CX159">
        <v>0</v>
      </c>
      <c r="CY159">
        <v>0</v>
      </c>
      <c r="CZ159">
        <v>0</v>
      </c>
      <c r="DA159">
        <v>25</v>
      </c>
      <c r="DB159">
        <v>0</v>
      </c>
      <c r="DH159">
        <v>0</v>
      </c>
      <c r="DJ159">
        <v>0</v>
      </c>
      <c r="DL159">
        <v>0</v>
      </c>
      <c r="DN159">
        <v>0</v>
      </c>
      <c r="DO159" t="s">
        <v>1042</v>
      </c>
      <c r="DP159">
        <v>0</v>
      </c>
      <c r="DQ159">
        <v>7.6</v>
      </c>
      <c r="DS159">
        <v>0</v>
      </c>
      <c r="DU159">
        <v>1.65</v>
      </c>
      <c r="DW159">
        <v>0</v>
      </c>
      <c r="DY159">
        <v>0</v>
      </c>
      <c r="DZ159">
        <v>0</v>
      </c>
      <c r="EA159">
        <v>0</v>
      </c>
      <c r="EB159">
        <v>17897801317150</v>
      </c>
      <c r="EE159">
        <v>0</v>
      </c>
      <c r="EF159">
        <v>0</v>
      </c>
      <c r="EL159">
        <v>57897801317158</v>
      </c>
      <c r="EN159" t="s">
        <v>1511</v>
      </c>
      <c r="EO159" t="s">
        <v>1044</v>
      </c>
      <c r="ET159">
        <v>0</v>
      </c>
      <c r="EV159">
        <v>0</v>
      </c>
      <c r="EY159" t="s">
        <v>1052</v>
      </c>
      <c r="EZ159">
        <v>0</v>
      </c>
      <c r="FA159" t="s">
        <v>1043</v>
      </c>
      <c r="FB159">
        <v>0</v>
      </c>
      <c r="FC159">
        <v>0</v>
      </c>
      <c r="FD159" t="s">
        <v>1051</v>
      </c>
      <c r="FE159" t="s">
        <v>1050</v>
      </c>
      <c r="FF159">
        <v>0</v>
      </c>
      <c r="FG159" t="s">
        <v>1050</v>
      </c>
      <c r="FH159">
        <v>27897801317157</v>
      </c>
      <c r="FJ159">
        <v>0</v>
      </c>
      <c r="FK159">
        <v>0</v>
      </c>
      <c r="FP159">
        <v>0</v>
      </c>
      <c r="FR159">
        <v>0</v>
      </c>
      <c r="FS159" t="s">
        <v>1043</v>
      </c>
      <c r="FX159" t="s">
        <v>1042</v>
      </c>
      <c r="GA159">
        <v>0</v>
      </c>
      <c r="GB159" t="s">
        <v>1042</v>
      </c>
      <c r="GD159">
        <v>16</v>
      </c>
      <c r="GE159">
        <v>0</v>
      </c>
      <c r="GG159">
        <v>0</v>
      </c>
      <c r="GN159">
        <v>0</v>
      </c>
      <c r="GO159" t="s">
        <v>1049</v>
      </c>
      <c r="GQ159">
        <v>0</v>
      </c>
      <c r="GU159">
        <v>2</v>
      </c>
      <c r="GY159" t="s">
        <v>1045</v>
      </c>
      <c r="HB159">
        <v>0</v>
      </c>
      <c r="HE159">
        <v>0</v>
      </c>
      <c r="HF159">
        <v>0</v>
      </c>
      <c r="HG159">
        <v>9.41E-3</v>
      </c>
      <c r="HK159" t="s">
        <v>1042</v>
      </c>
      <c r="HL159" t="s">
        <v>1048</v>
      </c>
      <c r="HM159">
        <v>0</v>
      </c>
      <c r="HN159">
        <v>0</v>
      </c>
      <c r="HP159">
        <v>7.7499999999999999E-2</v>
      </c>
      <c r="HQ159">
        <v>0</v>
      </c>
      <c r="HR159" t="s">
        <v>1042</v>
      </c>
      <c r="HT159">
        <v>0</v>
      </c>
      <c r="HU159">
        <v>0</v>
      </c>
      <c r="HW159">
        <v>0</v>
      </c>
      <c r="HX159">
        <v>0</v>
      </c>
      <c r="HY159">
        <v>0</v>
      </c>
      <c r="IA159">
        <v>0</v>
      </c>
      <c r="IF159">
        <v>1600</v>
      </c>
      <c r="IG159" s="20">
        <v>42709</v>
      </c>
      <c r="IH159" t="s">
        <v>1046</v>
      </c>
      <c r="II159" t="s">
        <v>1042</v>
      </c>
      <c r="IR159" t="s">
        <v>1044</v>
      </c>
      <c r="IT159">
        <v>0</v>
      </c>
      <c r="JE159">
        <v>0</v>
      </c>
      <c r="JF159">
        <v>0</v>
      </c>
      <c r="JI159" t="s">
        <v>1042</v>
      </c>
      <c r="JJ159">
        <v>0</v>
      </c>
      <c r="JK159">
        <v>0</v>
      </c>
      <c r="JL159">
        <v>0</v>
      </c>
      <c r="JM159">
        <v>0</v>
      </c>
      <c r="JT159">
        <v>0</v>
      </c>
      <c r="JU159" t="s">
        <v>1042</v>
      </c>
      <c r="JW159">
        <v>0</v>
      </c>
      <c r="KA159">
        <v>0</v>
      </c>
      <c r="KF159">
        <v>0</v>
      </c>
      <c r="KG159">
        <v>0</v>
      </c>
      <c r="KH159">
        <v>0</v>
      </c>
      <c r="KI159">
        <v>0</v>
      </c>
      <c r="KS159" t="s">
        <v>1041</v>
      </c>
      <c r="KT159">
        <v>0</v>
      </c>
      <c r="KU159">
        <v>0</v>
      </c>
      <c r="KV159">
        <v>0</v>
      </c>
      <c r="KX159">
        <v>0</v>
      </c>
      <c r="KZ159">
        <v>0</v>
      </c>
      <c r="LF159">
        <v>0</v>
      </c>
      <c r="LH159">
        <v>0</v>
      </c>
      <c r="LI159">
        <v>0</v>
      </c>
    </row>
    <row r="160" spans="1:321" x14ac:dyDescent="0.35">
      <c r="A160">
        <v>1</v>
      </c>
      <c r="B160">
        <v>12390</v>
      </c>
      <c r="C160" t="s">
        <v>1548</v>
      </c>
      <c r="D160" t="s">
        <v>1139</v>
      </c>
      <c r="E160" t="s">
        <v>85</v>
      </c>
      <c r="F160">
        <v>80</v>
      </c>
      <c r="G160">
        <v>9000</v>
      </c>
      <c r="H160">
        <v>0</v>
      </c>
      <c r="I160" t="s">
        <v>1442</v>
      </c>
      <c r="L160">
        <v>0</v>
      </c>
      <c r="M160">
        <v>0</v>
      </c>
      <c r="N160">
        <v>0</v>
      </c>
      <c r="R160">
        <v>0</v>
      </c>
      <c r="S160">
        <v>0</v>
      </c>
      <c r="W160" t="s">
        <v>1060</v>
      </c>
      <c r="X160">
        <v>0</v>
      </c>
      <c r="Z160">
        <v>1</v>
      </c>
      <c r="AA160">
        <v>0</v>
      </c>
      <c r="AB160">
        <v>0</v>
      </c>
      <c r="AC160">
        <v>36.590699999999998</v>
      </c>
      <c r="AD160" s="20">
        <v>40785</v>
      </c>
      <c r="AE160">
        <v>9.6</v>
      </c>
      <c r="AF160">
        <v>0</v>
      </c>
      <c r="AH160">
        <v>0</v>
      </c>
      <c r="AJ160">
        <v>0</v>
      </c>
      <c r="AL160">
        <v>0</v>
      </c>
      <c r="AM160">
        <v>0</v>
      </c>
      <c r="AN160">
        <v>16601001</v>
      </c>
      <c r="AO160">
        <v>0</v>
      </c>
      <c r="AP160">
        <v>1000</v>
      </c>
      <c r="AT160">
        <v>0</v>
      </c>
      <c r="AU160" t="s">
        <v>1059</v>
      </c>
      <c r="AW160" t="s">
        <v>1053</v>
      </c>
      <c r="AX160">
        <v>0</v>
      </c>
      <c r="AY160" s="20">
        <v>40785</v>
      </c>
      <c r="BA160" s="20">
        <v>40785</v>
      </c>
      <c r="BB160" t="s">
        <v>1058</v>
      </c>
      <c r="BD160">
        <v>0</v>
      </c>
      <c r="BF160" t="s">
        <v>1043</v>
      </c>
      <c r="BG160" t="s">
        <v>1042</v>
      </c>
      <c r="BH160">
        <v>0</v>
      </c>
      <c r="BI160">
        <v>1</v>
      </c>
      <c r="BJ160">
        <v>0</v>
      </c>
      <c r="BK160">
        <v>0</v>
      </c>
      <c r="BM160" t="s">
        <v>1042</v>
      </c>
      <c r="BN160">
        <v>0</v>
      </c>
      <c r="BR160" t="s">
        <v>1043</v>
      </c>
      <c r="BS160" t="s">
        <v>1043</v>
      </c>
      <c r="BT160" t="s">
        <v>1043</v>
      </c>
      <c r="BW160">
        <v>83</v>
      </c>
      <c r="CA160">
        <v>0</v>
      </c>
      <c r="CB160" t="s">
        <v>1057</v>
      </c>
      <c r="CE160" t="s">
        <v>1043</v>
      </c>
      <c r="CH160" t="s">
        <v>1043</v>
      </c>
      <c r="CN160" t="s">
        <v>1056</v>
      </c>
      <c r="CO160" t="s">
        <v>1043</v>
      </c>
      <c r="CP160">
        <v>1</v>
      </c>
      <c r="CQ160">
        <v>0</v>
      </c>
      <c r="CS160">
        <v>0</v>
      </c>
      <c r="CT160">
        <v>0</v>
      </c>
      <c r="CU160">
        <v>0</v>
      </c>
      <c r="CV160" t="s">
        <v>1045</v>
      </c>
      <c r="CW160">
        <v>0</v>
      </c>
      <c r="CX160">
        <v>0</v>
      </c>
      <c r="CY160">
        <v>0</v>
      </c>
      <c r="CZ160">
        <v>0</v>
      </c>
      <c r="DB160">
        <v>0</v>
      </c>
      <c r="DC160" t="s">
        <v>1043</v>
      </c>
      <c r="DF160" t="s">
        <v>1055</v>
      </c>
      <c r="DH160">
        <v>0</v>
      </c>
      <c r="DJ160">
        <v>0</v>
      </c>
      <c r="DK160" t="s">
        <v>1053</v>
      </c>
      <c r="DL160">
        <v>0</v>
      </c>
      <c r="DN160">
        <v>0</v>
      </c>
      <c r="DO160" t="s">
        <v>1042</v>
      </c>
      <c r="DP160">
        <v>0</v>
      </c>
      <c r="DQ160">
        <v>0</v>
      </c>
      <c r="DS160">
        <v>0</v>
      </c>
      <c r="DU160">
        <v>0</v>
      </c>
      <c r="DW160">
        <v>0</v>
      </c>
      <c r="DX160" t="s">
        <v>1043</v>
      </c>
      <c r="DY160">
        <v>0</v>
      </c>
      <c r="DZ160">
        <v>0</v>
      </c>
      <c r="EA160">
        <v>0</v>
      </c>
      <c r="ED160" t="s">
        <v>1045</v>
      </c>
      <c r="EE160">
        <v>0</v>
      </c>
      <c r="EF160">
        <v>0</v>
      </c>
      <c r="EQ160" t="s">
        <v>1044</v>
      </c>
      <c r="ES160" t="s">
        <v>1053</v>
      </c>
      <c r="ET160">
        <v>0</v>
      </c>
      <c r="EV160">
        <v>0</v>
      </c>
      <c r="EY160" t="s">
        <v>1052</v>
      </c>
      <c r="EZ160">
        <v>0</v>
      </c>
      <c r="FA160" t="s">
        <v>1043</v>
      </c>
      <c r="FB160">
        <v>0</v>
      </c>
      <c r="FC160">
        <v>0</v>
      </c>
      <c r="FE160" t="s">
        <v>1050</v>
      </c>
      <c r="FF160">
        <v>0</v>
      </c>
      <c r="FG160" t="s">
        <v>1050</v>
      </c>
      <c r="FJ160">
        <v>0</v>
      </c>
      <c r="FK160">
        <v>0</v>
      </c>
      <c r="FP160">
        <v>0</v>
      </c>
      <c r="FR160">
        <v>0</v>
      </c>
      <c r="FS160" t="s">
        <v>1043</v>
      </c>
      <c r="FX160" t="s">
        <v>1042</v>
      </c>
      <c r="FZ160" t="s">
        <v>1048</v>
      </c>
      <c r="GA160">
        <v>0</v>
      </c>
      <c r="GB160" t="s">
        <v>1042</v>
      </c>
      <c r="GE160">
        <v>0</v>
      </c>
      <c r="GG160">
        <v>0</v>
      </c>
      <c r="GN160">
        <v>0</v>
      </c>
      <c r="GO160" t="s">
        <v>1063</v>
      </c>
      <c r="GQ160">
        <v>0</v>
      </c>
      <c r="GU160">
        <v>0</v>
      </c>
      <c r="GY160" t="s">
        <v>1045</v>
      </c>
      <c r="HB160">
        <v>0</v>
      </c>
      <c r="HE160">
        <v>0</v>
      </c>
      <c r="HF160">
        <v>0</v>
      </c>
      <c r="HG160">
        <v>0</v>
      </c>
      <c r="HK160" t="s">
        <v>1042</v>
      </c>
      <c r="HM160" t="s">
        <v>1047</v>
      </c>
      <c r="HN160">
        <v>0</v>
      </c>
      <c r="HP160">
        <v>0</v>
      </c>
      <c r="HQ160">
        <v>0</v>
      </c>
      <c r="HR160" t="s">
        <v>1042</v>
      </c>
      <c r="HS160" t="s">
        <v>1043</v>
      </c>
      <c r="HT160">
        <v>0</v>
      </c>
      <c r="HU160">
        <v>0</v>
      </c>
      <c r="HW160">
        <v>0</v>
      </c>
      <c r="HX160">
        <v>0</v>
      </c>
      <c r="HY160">
        <v>0</v>
      </c>
      <c r="HZ160" t="s">
        <v>1045</v>
      </c>
      <c r="IA160">
        <v>0</v>
      </c>
      <c r="IB160" t="s">
        <v>1045</v>
      </c>
      <c r="ID160" t="s">
        <v>1045</v>
      </c>
      <c r="IF160">
        <v>0</v>
      </c>
      <c r="IG160" t="s">
        <v>1042</v>
      </c>
      <c r="II160" t="s">
        <v>1042</v>
      </c>
      <c r="IR160" t="s">
        <v>1045</v>
      </c>
      <c r="IT160">
        <v>0</v>
      </c>
      <c r="IY160" t="s">
        <v>1044</v>
      </c>
      <c r="IZ160" t="s">
        <v>1043</v>
      </c>
      <c r="JC160" t="s">
        <v>1043</v>
      </c>
      <c r="JE160">
        <v>0</v>
      </c>
      <c r="JF160">
        <v>0</v>
      </c>
      <c r="JI160" t="s">
        <v>1042</v>
      </c>
      <c r="JJ160">
        <v>0</v>
      </c>
      <c r="JK160">
        <v>0</v>
      </c>
      <c r="JL160">
        <v>0</v>
      </c>
      <c r="JM160">
        <v>0</v>
      </c>
      <c r="JQ160" t="s">
        <v>1043</v>
      </c>
      <c r="JT160">
        <v>0</v>
      </c>
      <c r="JU160" t="s">
        <v>1042</v>
      </c>
      <c r="JW160">
        <v>0</v>
      </c>
      <c r="KA160">
        <v>0</v>
      </c>
      <c r="KF160">
        <v>0</v>
      </c>
      <c r="KG160">
        <v>0</v>
      </c>
      <c r="KH160">
        <v>0</v>
      </c>
      <c r="KI160">
        <v>0</v>
      </c>
      <c r="KS160" t="s">
        <v>1073</v>
      </c>
      <c r="KT160">
        <v>0</v>
      </c>
      <c r="KU160">
        <v>0</v>
      </c>
      <c r="KV160">
        <v>0</v>
      </c>
      <c r="KX160">
        <v>0</v>
      </c>
      <c r="KZ160">
        <v>0</v>
      </c>
      <c r="LF160">
        <v>0</v>
      </c>
      <c r="LH160">
        <v>0</v>
      </c>
      <c r="LI160">
        <v>0</v>
      </c>
    </row>
    <row r="161" spans="1:321" x14ac:dyDescent="0.35">
      <c r="A161">
        <v>1</v>
      </c>
      <c r="B161">
        <v>12392</v>
      </c>
      <c r="C161" t="s">
        <v>1547</v>
      </c>
      <c r="D161" t="s">
        <v>1139</v>
      </c>
      <c r="E161" t="s">
        <v>85</v>
      </c>
      <c r="F161">
        <v>80</v>
      </c>
      <c r="G161">
        <v>9000</v>
      </c>
      <c r="H161">
        <v>0</v>
      </c>
      <c r="I161" t="s">
        <v>991</v>
      </c>
      <c r="L161">
        <v>0</v>
      </c>
      <c r="M161">
        <v>0</v>
      </c>
      <c r="N161">
        <v>0</v>
      </c>
      <c r="R161">
        <v>0</v>
      </c>
      <c r="S161">
        <v>0</v>
      </c>
      <c r="W161" t="s">
        <v>1060</v>
      </c>
      <c r="X161">
        <v>0</v>
      </c>
      <c r="Z161">
        <v>1</v>
      </c>
      <c r="AA161">
        <v>0</v>
      </c>
      <c r="AB161">
        <v>0</v>
      </c>
      <c r="AC161">
        <v>6.7575000000000003</v>
      </c>
      <c r="AD161" s="20">
        <v>40785</v>
      </c>
      <c r="AE161">
        <v>6.5</v>
      </c>
      <c r="AF161">
        <v>0</v>
      </c>
      <c r="AH161">
        <v>0</v>
      </c>
      <c r="AJ161">
        <v>0</v>
      </c>
      <c r="AL161">
        <v>0</v>
      </c>
      <c r="AM161">
        <v>0</v>
      </c>
      <c r="AN161">
        <v>16601001</v>
      </c>
      <c r="AO161">
        <v>0</v>
      </c>
      <c r="AP161">
        <v>1000</v>
      </c>
      <c r="AT161">
        <v>0</v>
      </c>
      <c r="AU161" t="s">
        <v>1059</v>
      </c>
      <c r="AW161" t="s">
        <v>1053</v>
      </c>
      <c r="AX161">
        <v>0</v>
      </c>
      <c r="AY161" s="20">
        <v>40785</v>
      </c>
      <c r="BA161" s="20">
        <v>40785</v>
      </c>
      <c r="BB161" t="s">
        <v>1058</v>
      </c>
      <c r="BD161">
        <v>0</v>
      </c>
      <c r="BF161" t="s">
        <v>1043</v>
      </c>
      <c r="BG161" t="s">
        <v>1042</v>
      </c>
      <c r="BH161">
        <v>0</v>
      </c>
      <c r="BI161">
        <v>1</v>
      </c>
      <c r="BJ161">
        <v>0</v>
      </c>
      <c r="BK161">
        <v>0</v>
      </c>
      <c r="BM161" t="s">
        <v>1042</v>
      </c>
      <c r="BN161">
        <v>0</v>
      </c>
      <c r="BR161" t="s">
        <v>1043</v>
      </c>
      <c r="BS161" t="s">
        <v>1043</v>
      </c>
      <c r="BT161" t="s">
        <v>1043</v>
      </c>
      <c r="BW161">
        <v>83</v>
      </c>
      <c r="CA161">
        <v>0</v>
      </c>
      <c r="CB161" t="s">
        <v>1057</v>
      </c>
      <c r="CE161" t="s">
        <v>1043</v>
      </c>
      <c r="CH161" t="s">
        <v>1043</v>
      </c>
      <c r="CN161" t="s">
        <v>1056</v>
      </c>
      <c r="CO161" t="s">
        <v>1043</v>
      </c>
      <c r="CP161">
        <v>1</v>
      </c>
      <c r="CQ161">
        <v>0</v>
      </c>
      <c r="CS161">
        <v>0</v>
      </c>
      <c r="CT161">
        <v>0</v>
      </c>
      <c r="CU161">
        <v>0</v>
      </c>
      <c r="CV161" t="s">
        <v>1045</v>
      </c>
      <c r="CW161">
        <v>0</v>
      </c>
      <c r="CX161">
        <v>0</v>
      </c>
      <c r="CY161">
        <v>0</v>
      </c>
      <c r="CZ161">
        <v>0</v>
      </c>
      <c r="DB161">
        <v>0</v>
      </c>
      <c r="DC161" t="s">
        <v>1043</v>
      </c>
      <c r="DF161" t="s">
        <v>1055</v>
      </c>
      <c r="DH161">
        <v>0</v>
      </c>
      <c r="DJ161">
        <v>0</v>
      </c>
      <c r="DK161" t="s">
        <v>1053</v>
      </c>
      <c r="DL161">
        <v>0</v>
      </c>
      <c r="DN161">
        <v>0</v>
      </c>
      <c r="DO161" t="s">
        <v>1042</v>
      </c>
      <c r="DP161">
        <v>0</v>
      </c>
      <c r="DQ161">
        <v>0</v>
      </c>
      <c r="DS161">
        <v>0</v>
      </c>
      <c r="DU161">
        <v>0</v>
      </c>
      <c r="DW161">
        <v>0</v>
      </c>
      <c r="DX161" t="s">
        <v>1043</v>
      </c>
      <c r="DY161">
        <v>0</v>
      </c>
      <c r="DZ161">
        <v>0</v>
      </c>
      <c r="EA161">
        <v>0</v>
      </c>
      <c r="ED161" t="s">
        <v>1045</v>
      </c>
      <c r="EE161">
        <v>0</v>
      </c>
      <c r="EF161">
        <v>0</v>
      </c>
      <c r="EQ161" t="s">
        <v>1044</v>
      </c>
      <c r="ES161" t="s">
        <v>1053</v>
      </c>
      <c r="ET161">
        <v>0</v>
      </c>
      <c r="EV161">
        <v>0</v>
      </c>
      <c r="EY161" t="s">
        <v>1052</v>
      </c>
      <c r="EZ161">
        <v>0</v>
      </c>
      <c r="FA161" t="s">
        <v>1043</v>
      </c>
      <c r="FB161">
        <v>0</v>
      </c>
      <c r="FC161">
        <v>0</v>
      </c>
      <c r="FE161" t="s">
        <v>1050</v>
      </c>
      <c r="FF161">
        <v>0</v>
      </c>
      <c r="FG161" t="s">
        <v>1050</v>
      </c>
      <c r="FJ161">
        <v>0</v>
      </c>
      <c r="FK161">
        <v>0</v>
      </c>
      <c r="FP161">
        <v>0</v>
      </c>
      <c r="FR161">
        <v>0</v>
      </c>
      <c r="FS161" t="s">
        <v>1043</v>
      </c>
      <c r="FX161" t="s">
        <v>1042</v>
      </c>
      <c r="FZ161" t="s">
        <v>1048</v>
      </c>
      <c r="GA161">
        <v>0</v>
      </c>
      <c r="GB161" t="s">
        <v>1042</v>
      </c>
      <c r="GE161">
        <v>0</v>
      </c>
      <c r="GG161">
        <v>0</v>
      </c>
      <c r="GN161">
        <v>0</v>
      </c>
      <c r="GO161" t="s">
        <v>1063</v>
      </c>
      <c r="GQ161">
        <v>0</v>
      </c>
      <c r="GU161">
        <v>0</v>
      </c>
      <c r="GY161" t="s">
        <v>1045</v>
      </c>
      <c r="HB161">
        <v>0</v>
      </c>
      <c r="HE161">
        <v>0</v>
      </c>
      <c r="HF161">
        <v>0</v>
      </c>
      <c r="HG161">
        <v>0</v>
      </c>
      <c r="HK161" t="s">
        <v>1042</v>
      </c>
      <c r="HM161" t="s">
        <v>1047</v>
      </c>
      <c r="HN161">
        <v>0</v>
      </c>
      <c r="HP161">
        <v>0</v>
      </c>
      <c r="HQ161">
        <v>0</v>
      </c>
      <c r="HR161" t="s">
        <v>1042</v>
      </c>
      <c r="HS161" t="s">
        <v>1043</v>
      </c>
      <c r="HT161">
        <v>0</v>
      </c>
      <c r="HU161">
        <v>0</v>
      </c>
      <c r="HW161">
        <v>0</v>
      </c>
      <c r="HX161">
        <v>0</v>
      </c>
      <c r="HY161">
        <v>0</v>
      </c>
      <c r="HZ161" t="s">
        <v>1045</v>
      </c>
      <c r="IA161">
        <v>0</v>
      </c>
      <c r="IB161" t="s">
        <v>1045</v>
      </c>
      <c r="ID161" t="s">
        <v>1045</v>
      </c>
      <c r="IF161">
        <v>0</v>
      </c>
      <c r="IG161" t="s">
        <v>1042</v>
      </c>
      <c r="II161" t="s">
        <v>1042</v>
      </c>
      <c r="IR161" t="s">
        <v>1045</v>
      </c>
      <c r="IT161">
        <v>0</v>
      </c>
      <c r="IY161" t="s">
        <v>1044</v>
      </c>
      <c r="IZ161" t="s">
        <v>1043</v>
      </c>
      <c r="JC161" t="s">
        <v>1043</v>
      </c>
      <c r="JE161">
        <v>0</v>
      </c>
      <c r="JF161">
        <v>0</v>
      </c>
      <c r="JI161" t="s">
        <v>1042</v>
      </c>
      <c r="JJ161">
        <v>0</v>
      </c>
      <c r="JK161">
        <v>0</v>
      </c>
      <c r="JL161">
        <v>0</v>
      </c>
      <c r="JM161">
        <v>0</v>
      </c>
      <c r="JQ161" t="s">
        <v>1043</v>
      </c>
      <c r="JT161">
        <v>0</v>
      </c>
      <c r="JU161" t="s">
        <v>1042</v>
      </c>
      <c r="JW161">
        <v>0</v>
      </c>
      <c r="KA161">
        <v>0</v>
      </c>
      <c r="KF161">
        <v>0</v>
      </c>
      <c r="KG161">
        <v>0</v>
      </c>
      <c r="KH161">
        <v>0</v>
      </c>
      <c r="KI161">
        <v>0</v>
      </c>
      <c r="KS161" t="s">
        <v>1073</v>
      </c>
      <c r="KT161">
        <v>0</v>
      </c>
      <c r="KU161">
        <v>0</v>
      </c>
      <c r="KV161">
        <v>0</v>
      </c>
      <c r="KX161">
        <v>0</v>
      </c>
      <c r="KZ161">
        <v>0</v>
      </c>
      <c r="LF161">
        <v>0</v>
      </c>
      <c r="LH161">
        <v>0</v>
      </c>
      <c r="LI161">
        <v>0</v>
      </c>
    </row>
    <row r="162" spans="1:321" x14ac:dyDescent="0.35">
      <c r="A162">
        <v>1</v>
      </c>
      <c r="B162">
        <v>12393</v>
      </c>
      <c r="C162" t="s">
        <v>1546</v>
      </c>
      <c r="D162" t="s">
        <v>1139</v>
      </c>
      <c r="E162" t="s">
        <v>85</v>
      </c>
      <c r="F162">
        <v>80</v>
      </c>
      <c r="G162">
        <v>9000</v>
      </c>
      <c r="H162">
        <v>0</v>
      </c>
      <c r="I162" t="s">
        <v>994</v>
      </c>
      <c r="L162">
        <v>0</v>
      </c>
      <c r="M162">
        <v>0</v>
      </c>
      <c r="N162">
        <v>0</v>
      </c>
      <c r="R162">
        <v>0</v>
      </c>
      <c r="S162">
        <v>0</v>
      </c>
      <c r="W162" t="s">
        <v>1060</v>
      </c>
      <c r="X162">
        <v>0</v>
      </c>
      <c r="Z162">
        <v>1</v>
      </c>
      <c r="AA162">
        <v>0</v>
      </c>
      <c r="AB162">
        <v>0</v>
      </c>
      <c r="AC162">
        <v>1.87</v>
      </c>
      <c r="AD162" s="20">
        <v>40785</v>
      </c>
      <c r="AE162">
        <v>1.8</v>
      </c>
      <c r="AF162">
        <v>0</v>
      </c>
      <c r="AH162">
        <v>0</v>
      </c>
      <c r="AJ162">
        <v>0</v>
      </c>
      <c r="AL162">
        <v>0</v>
      </c>
      <c r="AM162">
        <v>0</v>
      </c>
      <c r="AN162">
        <v>16601001</v>
      </c>
      <c r="AO162">
        <v>0</v>
      </c>
      <c r="AP162">
        <v>1000</v>
      </c>
      <c r="AT162">
        <v>0</v>
      </c>
      <c r="AU162" t="s">
        <v>1059</v>
      </c>
      <c r="AW162" t="s">
        <v>1053</v>
      </c>
      <c r="AX162">
        <v>0</v>
      </c>
      <c r="AY162" s="20">
        <v>40785</v>
      </c>
      <c r="BA162" s="20">
        <v>40785</v>
      </c>
      <c r="BB162" t="s">
        <v>1058</v>
      </c>
      <c r="BD162">
        <v>0</v>
      </c>
      <c r="BF162" t="s">
        <v>1043</v>
      </c>
      <c r="BG162" t="s">
        <v>1042</v>
      </c>
      <c r="BH162">
        <v>0</v>
      </c>
      <c r="BI162">
        <v>1</v>
      </c>
      <c r="BJ162">
        <v>0</v>
      </c>
      <c r="BK162">
        <v>0</v>
      </c>
      <c r="BM162" t="s">
        <v>1042</v>
      </c>
      <c r="BN162">
        <v>0</v>
      </c>
      <c r="BR162" t="s">
        <v>1043</v>
      </c>
      <c r="BS162" t="s">
        <v>1043</v>
      </c>
      <c r="BT162" t="s">
        <v>1043</v>
      </c>
      <c r="BW162">
        <v>83</v>
      </c>
      <c r="CA162">
        <v>0</v>
      </c>
      <c r="CB162" t="s">
        <v>1057</v>
      </c>
      <c r="CE162" t="s">
        <v>1043</v>
      </c>
      <c r="CH162" t="s">
        <v>1043</v>
      </c>
      <c r="CN162" t="s">
        <v>1056</v>
      </c>
      <c r="CO162" t="s">
        <v>1043</v>
      </c>
      <c r="CP162">
        <v>1</v>
      </c>
      <c r="CQ162">
        <v>0</v>
      </c>
      <c r="CS162">
        <v>0</v>
      </c>
      <c r="CT162">
        <v>0</v>
      </c>
      <c r="CU162">
        <v>0</v>
      </c>
      <c r="CV162" t="s">
        <v>1045</v>
      </c>
      <c r="CW162">
        <v>0</v>
      </c>
      <c r="CX162">
        <v>0</v>
      </c>
      <c r="CY162">
        <v>0</v>
      </c>
      <c r="CZ162">
        <v>0</v>
      </c>
      <c r="DB162">
        <v>0</v>
      </c>
      <c r="DC162" t="s">
        <v>1043</v>
      </c>
      <c r="DF162" t="s">
        <v>1055</v>
      </c>
      <c r="DH162">
        <v>0</v>
      </c>
      <c r="DJ162">
        <v>0</v>
      </c>
      <c r="DK162" t="s">
        <v>1053</v>
      </c>
      <c r="DL162">
        <v>0</v>
      </c>
      <c r="DN162">
        <v>0</v>
      </c>
      <c r="DO162" t="s">
        <v>1042</v>
      </c>
      <c r="DP162">
        <v>0</v>
      </c>
      <c r="DQ162">
        <v>0</v>
      </c>
      <c r="DS162">
        <v>0</v>
      </c>
      <c r="DU162">
        <v>0</v>
      </c>
      <c r="DW162">
        <v>0</v>
      </c>
      <c r="DX162" t="s">
        <v>1043</v>
      </c>
      <c r="DY162">
        <v>0</v>
      </c>
      <c r="DZ162">
        <v>0</v>
      </c>
      <c r="EA162">
        <v>0</v>
      </c>
      <c r="ED162" t="s">
        <v>1045</v>
      </c>
      <c r="EE162">
        <v>0</v>
      </c>
      <c r="EF162">
        <v>0</v>
      </c>
      <c r="EQ162" t="s">
        <v>1044</v>
      </c>
      <c r="ES162" t="s">
        <v>1053</v>
      </c>
      <c r="ET162">
        <v>0</v>
      </c>
      <c r="EV162">
        <v>0</v>
      </c>
      <c r="EY162" t="s">
        <v>1052</v>
      </c>
      <c r="EZ162">
        <v>0</v>
      </c>
      <c r="FA162" t="s">
        <v>1043</v>
      </c>
      <c r="FB162">
        <v>0</v>
      </c>
      <c r="FC162">
        <v>0</v>
      </c>
      <c r="FE162" t="s">
        <v>1050</v>
      </c>
      <c r="FF162">
        <v>0</v>
      </c>
      <c r="FG162" t="s">
        <v>1050</v>
      </c>
      <c r="FJ162">
        <v>0</v>
      </c>
      <c r="FK162">
        <v>0</v>
      </c>
      <c r="FP162">
        <v>0</v>
      </c>
      <c r="FR162">
        <v>0</v>
      </c>
      <c r="FS162" t="s">
        <v>1043</v>
      </c>
      <c r="FX162" t="s">
        <v>1042</v>
      </c>
      <c r="FZ162" t="s">
        <v>1048</v>
      </c>
      <c r="GA162">
        <v>0</v>
      </c>
      <c r="GB162" t="s">
        <v>1042</v>
      </c>
      <c r="GE162">
        <v>0</v>
      </c>
      <c r="GG162">
        <v>0</v>
      </c>
      <c r="GN162">
        <v>0</v>
      </c>
      <c r="GO162" t="s">
        <v>1063</v>
      </c>
      <c r="GQ162">
        <v>0</v>
      </c>
      <c r="GU162">
        <v>0</v>
      </c>
      <c r="GY162" t="s">
        <v>1045</v>
      </c>
      <c r="HB162">
        <v>0</v>
      </c>
      <c r="HE162">
        <v>0</v>
      </c>
      <c r="HF162">
        <v>0</v>
      </c>
      <c r="HG162">
        <v>0</v>
      </c>
      <c r="HK162" t="s">
        <v>1042</v>
      </c>
      <c r="HM162" t="s">
        <v>1047</v>
      </c>
      <c r="HN162">
        <v>0</v>
      </c>
      <c r="HP162">
        <v>0</v>
      </c>
      <c r="HQ162">
        <v>0</v>
      </c>
      <c r="HR162" t="s">
        <v>1042</v>
      </c>
      <c r="HS162" t="s">
        <v>1043</v>
      </c>
      <c r="HT162">
        <v>0</v>
      </c>
      <c r="HU162">
        <v>0</v>
      </c>
      <c r="HW162">
        <v>0</v>
      </c>
      <c r="HX162">
        <v>0</v>
      </c>
      <c r="HY162">
        <v>0</v>
      </c>
      <c r="HZ162" t="s">
        <v>1045</v>
      </c>
      <c r="IA162">
        <v>0</v>
      </c>
      <c r="IB162" t="s">
        <v>1045</v>
      </c>
      <c r="ID162" t="s">
        <v>1045</v>
      </c>
      <c r="IF162">
        <v>0</v>
      </c>
      <c r="IG162" t="s">
        <v>1042</v>
      </c>
      <c r="II162" t="s">
        <v>1042</v>
      </c>
      <c r="IR162" t="s">
        <v>1045</v>
      </c>
      <c r="IT162">
        <v>0</v>
      </c>
      <c r="IY162" t="s">
        <v>1044</v>
      </c>
      <c r="IZ162" t="s">
        <v>1043</v>
      </c>
      <c r="JC162" t="s">
        <v>1043</v>
      </c>
      <c r="JE162">
        <v>0</v>
      </c>
      <c r="JF162">
        <v>0</v>
      </c>
      <c r="JI162" t="s">
        <v>1042</v>
      </c>
      <c r="JJ162">
        <v>0</v>
      </c>
      <c r="JK162">
        <v>0</v>
      </c>
      <c r="JL162">
        <v>0</v>
      </c>
      <c r="JM162">
        <v>0</v>
      </c>
      <c r="JQ162" t="s">
        <v>1043</v>
      </c>
      <c r="JT162">
        <v>0</v>
      </c>
      <c r="JU162" t="s">
        <v>1042</v>
      </c>
      <c r="JW162">
        <v>0</v>
      </c>
      <c r="KA162">
        <v>0</v>
      </c>
      <c r="KF162">
        <v>0</v>
      </c>
      <c r="KG162">
        <v>0</v>
      </c>
      <c r="KH162">
        <v>0</v>
      </c>
      <c r="KI162">
        <v>0</v>
      </c>
      <c r="KS162" t="s">
        <v>1073</v>
      </c>
      <c r="KT162">
        <v>0</v>
      </c>
      <c r="KU162">
        <v>0</v>
      </c>
      <c r="KV162">
        <v>0</v>
      </c>
      <c r="KX162">
        <v>0</v>
      </c>
      <c r="KZ162">
        <v>0</v>
      </c>
      <c r="LF162">
        <v>0</v>
      </c>
      <c r="LH162">
        <v>0</v>
      </c>
      <c r="LI162">
        <v>0</v>
      </c>
    </row>
    <row r="163" spans="1:321" x14ac:dyDescent="0.35">
      <c r="A163">
        <v>1</v>
      </c>
      <c r="B163">
        <v>12394</v>
      </c>
      <c r="C163" t="s">
        <v>1545</v>
      </c>
      <c r="D163" t="s">
        <v>1139</v>
      </c>
      <c r="E163" t="s">
        <v>85</v>
      </c>
      <c r="F163">
        <v>80</v>
      </c>
      <c r="G163">
        <v>9000</v>
      </c>
      <c r="H163">
        <v>0</v>
      </c>
      <c r="I163" t="s">
        <v>994</v>
      </c>
      <c r="L163">
        <v>0</v>
      </c>
      <c r="M163">
        <v>0</v>
      </c>
      <c r="N163">
        <v>0</v>
      </c>
      <c r="R163">
        <v>0</v>
      </c>
      <c r="S163">
        <v>0</v>
      </c>
      <c r="W163" t="s">
        <v>1060</v>
      </c>
      <c r="X163">
        <v>0</v>
      </c>
      <c r="Z163">
        <v>1</v>
      </c>
      <c r="AA163">
        <v>0</v>
      </c>
      <c r="AB163">
        <v>0</v>
      </c>
      <c r="AC163">
        <v>1.3512999999999999</v>
      </c>
      <c r="AD163" s="20">
        <v>40785</v>
      </c>
      <c r="AE163">
        <v>5.4</v>
      </c>
      <c r="AF163">
        <v>0</v>
      </c>
      <c r="AH163">
        <v>0</v>
      </c>
      <c r="AJ163">
        <v>0</v>
      </c>
      <c r="AL163">
        <v>0</v>
      </c>
      <c r="AM163">
        <v>0</v>
      </c>
      <c r="AN163">
        <v>16601001</v>
      </c>
      <c r="AO163">
        <v>0</v>
      </c>
      <c r="AP163">
        <v>1000</v>
      </c>
      <c r="AT163">
        <v>0</v>
      </c>
      <c r="AU163" t="s">
        <v>1059</v>
      </c>
      <c r="AW163" t="s">
        <v>1053</v>
      </c>
      <c r="AX163">
        <v>0</v>
      </c>
      <c r="AY163" s="20">
        <v>40785</v>
      </c>
      <c r="BA163" s="20">
        <v>40785</v>
      </c>
      <c r="BB163" t="s">
        <v>1058</v>
      </c>
      <c r="BD163">
        <v>0</v>
      </c>
      <c r="BF163" t="s">
        <v>1043</v>
      </c>
      <c r="BG163" t="s">
        <v>1042</v>
      </c>
      <c r="BH163">
        <v>0</v>
      </c>
      <c r="BI163">
        <v>1</v>
      </c>
      <c r="BJ163">
        <v>0</v>
      </c>
      <c r="BK163">
        <v>0</v>
      </c>
      <c r="BM163" t="s">
        <v>1042</v>
      </c>
      <c r="BN163">
        <v>0</v>
      </c>
      <c r="BR163" t="s">
        <v>1043</v>
      </c>
      <c r="BS163" t="s">
        <v>1043</v>
      </c>
      <c r="BT163" t="s">
        <v>1043</v>
      </c>
      <c r="BW163">
        <v>83</v>
      </c>
      <c r="CA163">
        <v>0</v>
      </c>
      <c r="CB163" t="s">
        <v>1057</v>
      </c>
      <c r="CE163" t="s">
        <v>1043</v>
      </c>
      <c r="CH163" t="s">
        <v>1043</v>
      </c>
      <c r="CN163" t="s">
        <v>1056</v>
      </c>
      <c r="CO163" t="s">
        <v>1043</v>
      </c>
      <c r="CP163">
        <v>1</v>
      </c>
      <c r="CQ163">
        <v>0</v>
      </c>
      <c r="CS163">
        <v>0</v>
      </c>
      <c r="CT163">
        <v>0</v>
      </c>
      <c r="CU163">
        <v>0</v>
      </c>
      <c r="CV163" t="s">
        <v>1045</v>
      </c>
      <c r="CW163">
        <v>0</v>
      </c>
      <c r="CX163">
        <v>0</v>
      </c>
      <c r="CY163">
        <v>0</v>
      </c>
      <c r="CZ163">
        <v>0</v>
      </c>
      <c r="DB163">
        <v>0</v>
      </c>
      <c r="DC163" t="s">
        <v>1043</v>
      </c>
      <c r="DF163" t="s">
        <v>1055</v>
      </c>
      <c r="DH163">
        <v>0</v>
      </c>
      <c r="DJ163">
        <v>0</v>
      </c>
      <c r="DK163" t="s">
        <v>1053</v>
      </c>
      <c r="DL163">
        <v>0</v>
      </c>
      <c r="DN163">
        <v>0</v>
      </c>
      <c r="DO163" t="s">
        <v>1042</v>
      </c>
      <c r="DP163">
        <v>0</v>
      </c>
      <c r="DQ163">
        <v>0</v>
      </c>
      <c r="DS163">
        <v>0</v>
      </c>
      <c r="DU163">
        <v>0</v>
      </c>
      <c r="DW163">
        <v>0</v>
      </c>
      <c r="DX163" t="s">
        <v>1043</v>
      </c>
      <c r="DY163">
        <v>0</v>
      </c>
      <c r="DZ163">
        <v>0</v>
      </c>
      <c r="EA163">
        <v>0</v>
      </c>
      <c r="ED163" t="s">
        <v>1045</v>
      </c>
      <c r="EE163">
        <v>0</v>
      </c>
      <c r="EF163">
        <v>0</v>
      </c>
      <c r="EQ163" t="s">
        <v>1044</v>
      </c>
      <c r="ES163" t="s">
        <v>1053</v>
      </c>
      <c r="ET163">
        <v>0</v>
      </c>
      <c r="EV163">
        <v>0</v>
      </c>
      <c r="EY163" t="s">
        <v>1052</v>
      </c>
      <c r="EZ163">
        <v>0</v>
      </c>
      <c r="FA163" t="s">
        <v>1043</v>
      </c>
      <c r="FB163">
        <v>0</v>
      </c>
      <c r="FC163">
        <v>0</v>
      </c>
      <c r="FE163" t="s">
        <v>1050</v>
      </c>
      <c r="FF163">
        <v>0</v>
      </c>
      <c r="FG163" t="s">
        <v>1050</v>
      </c>
      <c r="FJ163">
        <v>0</v>
      </c>
      <c r="FK163">
        <v>0</v>
      </c>
      <c r="FP163">
        <v>0</v>
      </c>
      <c r="FR163">
        <v>0</v>
      </c>
      <c r="FS163" t="s">
        <v>1043</v>
      </c>
      <c r="FX163" t="s">
        <v>1042</v>
      </c>
      <c r="FZ163" t="s">
        <v>1048</v>
      </c>
      <c r="GA163">
        <v>0</v>
      </c>
      <c r="GB163" t="s">
        <v>1042</v>
      </c>
      <c r="GE163">
        <v>0</v>
      </c>
      <c r="GG163">
        <v>0</v>
      </c>
      <c r="GN163">
        <v>0</v>
      </c>
      <c r="GO163" t="s">
        <v>1063</v>
      </c>
      <c r="GQ163">
        <v>0</v>
      </c>
      <c r="GU163">
        <v>0</v>
      </c>
      <c r="GY163" t="s">
        <v>1045</v>
      </c>
      <c r="HB163">
        <v>0</v>
      </c>
      <c r="HE163">
        <v>0</v>
      </c>
      <c r="HF163">
        <v>0</v>
      </c>
      <c r="HG163">
        <v>0</v>
      </c>
      <c r="HK163" t="s">
        <v>1042</v>
      </c>
      <c r="HM163" t="s">
        <v>1047</v>
      </c>
      <c r="HN163">
        <v>0</v>
      </c>
      <c r="HP163">
        <v>0</v>
      </c>
      <c r="HQ163">
        <v>0</v>
      </c>
      <c r="HR163" t="s">
        <v>1042</v>
      </c>
      <c r="HS163" t="s">
        <v>1043</v>
      </c>
      <c r="HT163">
        <v>0</v>
      </c>
      <c r="HU163">
        <v>0</v>
      </c>
      <c r="HW163">
        <v>0</v>
      </c>
      <c r="HX163">
        <v>0</v>
      </c>
      <c r="HY163">
        <v>0</v>
      </c>
      <c r="HZ163" t="s">
        <v>1045</v>
      </c>
      <c r="IA163">
        <v>0</v>
      </c>
      <c r="IB163" t="s">
        <v>1045</v>
      </c>
      <c r="ID163" t="s">
        <v>1045</v>
      </c>
      <c r="IF163">
        <v>0</v>
      </c>
      <c r="IG163" t="s">
        <v>1042</v>
      </c>
      <c r="II163" t="s">
        <v>1042</v>
      </c>
      <c r="IR163" t="s">
        <v>1045</v>
      </c>
      <c r="IT163">
        <v>0</v>
      </c>
      <c r="IY163" t="s">
        <v>1044</v>
      </c>
      <c r="IZ163" t="s">
        <v>1043</v>
      </c>
      <c r="JC163" t="s">
        <v>1043</v>
      </c>
      <c r="JE163">
        <v>0</v>
      </c>
      <c r="JF163">
        <v>0</v>
      </c>
      <c r="JI163" t="s">
        <v>1042</v>
      </c>
      <c r="JJ163">
        <v>0</v>
      </c>
      <c r="JK163">
        <v>0</v>
      </c>
      <c r="JL163">
        <v>0</v>
      </c>
      <c r="JM163">
        <v>0</v>
      </c>
      <c r="JQ163" t="s">
        <v>1043</v>
      </c>
      <c r="JT163">
        <v>0</v>
      </c>
      <c r="JU163" t="s">
        <v>1042</v>
      </c>
      <c r="JW163">
        <v>0</v>
      </c>
      <c r="KA163">
        <v>0</v>
      </c>
      <c r="KF163">
        <v>0</v>
      </c>
      <c r="KG163">
        <v>0</v>
      </c>
      <c r="KH163">
        <v>0</v>
      </c>
      <c r="KI163">
        <v>0</v>
      </c>
      <c r="KS163" t="s">
        <v>1073</v>
      </c>
      <c r="KT163">
        <v>0</v>
      </c>
      <c r="KU163">
        <v>0</v>
      </c>
      <c r="KV163">
        <v>0</v>
      </c>
      <c r="KX163">
        <v>0</v>
      </c>
      <c r="KZ163">
        <v>0</v>
      </c>
      <c r="LF163">
        <v>0</v>
      </c>
      <c r="LH163">
        <v>0</v>
      </c>
      <c r="LI163">
        <v>0</v>
      </c>
    </row>
    <row r="164" spans="1:321" x14ac:dyDescent="0.35">
      <c r="A164">
        <v>1</v>
      </c>
      <c r="B164">
        <v>12395</v>
      </c>
      <c r="C164" t="s">
        <v>1544</v>
      </c>
      <c r="D164" t="s">
        <v>1139</v>
      </c>
      <c r="E164" t="s">
        <v>85</v>
      </c>
      <c r="F164">
        <v>80</v>
      </c>
      <c r="G164">
        <v>9000</v>
      </c>
      <c r="H164">
        <v>0</v>
      </c>
      <c r="I164" t="s">
        <v>1329</v>
      </c>
      <c r="L164">
        <v>0</v>
      </c>
      <c r="M164">
        <v>0</v>
      </c>
      <c r="N164">
        <v>0</v>
      </c>
      <c r="R164">
        <v>0</v>
      </c>
      <c r="S164">
        <v>0</v>
      </c>
      <c r="W164" t="s">
        <v>1060</v>
      </c>
      <c r="X164">
        <v>0</v>
      </c>
      <c r="Z164">
        <v>1</v>
      </c>
      <c r="AA164">
        <v>0</v>
      </c>
      <c r="AB164">
        <v>0</v>
      </c>
      <c r="AC164">
        <v>7.0674999999999999</v>
      </c>
      <c r="AD164" s="20">
        <v>40785</v>
      </c>
      <c r="AE164">
        <v>6.8</v>
      </c>
      <c r="AF164">
        <v>0</v>
      </c>
      <c r="AH164">
        <v>0</v>
      </c>
      <c r="AJ164">
        <v>0</v>
      </c>
      <c r="AL164">
        <v>0</v>
      </c>
      <c r="AM164">
        <v>0</v>
      </c>
      <c r="AN164">
        <v>16601001</v>
      </c>
      <c r="AO164">
        <v>0</v>
      </c>
      <c r="AP164">
        <v>1000</v>
      </c>
      <c r="AT164">
        <v>0</v>
      </c>
      <c r="AU164" t="s">
        <v>1059</v>
      </c>
      <c r="AW164" t="s">
        <v>1053</v>
      </c>
      <c r="AX164">
        <v>0</v>
      </c>
      <c r="AY164" s="20">
        <v>40785</v>
      </c>
      <c r="BA164" s="20">
        <v>40785</v>
      </c>
      <c r="BB164" t="s">
        <v>1058</v>
      </c>
      <c r="BD164">
        <v>0</v>
      </c>
      <c r="BF164" t="s">
        <v>1043</v>
      </c>
      <c r="BG164" t="s">
        <v>1042</v>
      </c>
      <c r="BH164">
        <v>0</v>
      </c>
      <c r="BI164">
        <v>1</v>
      </c>
      <c r="BJ164">
        <v>0</v>
      </c>
      <c r="BK164">
        <v>0</v>
      </c>
      <c r="BM164" t="s">
        <v>1042</v>
      </c>
      <c r="BN164">
        <v>0</v>
      </c>
      <c r="BR164" t="s">
        <v>1043</v>
      </c>
      <c r="BS164" t="s">
        <v>1043</v>
      </c>
      <c r="BT164" t="s">
        <v>1043</v>
      </c>
      <c r="BW164">
        <v>83</v>
      </c>
      <c r="CA164">
        <v>0</v>
      </c>
      <c r="CB164" t="s">
        <v>1057</v>
      </c>
      <c r="CE164" t="s">
        <v>1043</v>
      </c>
      <c r="CH164" t="s">
        <v>1043</v>
      </c>
      <c r="CN164" t="s">
        <v>1056</v>
      </c>
      <c r="CO164" t="s">
        <v>1043</v>
      </c>
      <c r="CP164">
        <v>1</v>
      </c>
      <c r="CQ164">
        <v>0</v>
      </c>
      <c r="CS164">
        <v>0</v>
      </c>
      <c r="CT164">
        <v>0</v>
      </c>
      <c r="CU164">
        <v>0</v>
      </c>
      <c r="CV164" t="s">
        <v>1045</v>
      </c>
      <c r="CW164">
        <v>0</v>
      </c>
      <c r="CX164">
        <v>0</v>
      </c>
      <c r="CY164">
        <v>0</v>
      </c>
      <c r="CZ164">
        <v>0</v>
      </c>
      <c r="DB164">
        <v>0</v>
      </c>
      <c r="DC164" t="s">
        <v>1043</v>
      </c>
      <c r="DF164" t="s">
        <v>1055</v>
      </c>
      <c r="DH164">
        <v>0</v>
      </c>
      <c r="DJ164">
        <v>0</v>
      </c>
      <c r="DK164" t="s">
        <v>1053</v>
      </c>
      <c r="DL164">
        <v>0</v>
      </c>
      <c r="DN164">
        <v>0</v>
      </c>
      <c r="DO164" t="s">
        <v>1042</v>
      </c>
      <c r="DP164">
        <v>0</v>
      </c>
      <c r="DQ164">
        <v>0</v>
      </c>
      <c r="DS164">
        <v>0</v>
      </c>
      <c r="DU164">
        <v>0</v>
      </c>
      <c r="DW164">
        <v>0</v>
      </c>
      <c r="DX164" t="s">
        <v>1043</v>
      </c>
      <c r="DY164">
        <v>0</v>
      </c>
      <c r="DZ164">
        <v>0</v>
      </c>
      <c r="EA164">
        <v>0</v>
      </c>
      <c r="ED164" t="s">
        <v>1045</v>
      </c>
      <c r="EE164">
        <v>0</v>
      </c>
      <c r="EF164">
        <v>0</v>
      </c>
      <c r="EQ164" t="s">
        <v>1044</v>
      </c>
      <c r="ES164" t="s">
        <v>1053</v>
      </c>
      <c r="ET164">
        <v>0</v>
      </c>
      <c r="EV164">
        <v>0</v>
      </c>
      <c r="EY164" t="s">
        <v>1052</v>
      </c>
      <c r="EZ164">
        <v>0</v>
      </c>
      <c r="FA164" t="s">
        <v>1043</v>
      </c>
      <c r="FB164">
        <v>0</v>
      </c>
      <c r="FC164">
        <v>0</v>
      </c>
      <c r="FE164" t="s">
        <v>1050</v>
      </c>
      <c r="FF164">
        <v>0</v>
      </c>
      <c r="FG164" t="s">
        <v>1050</v>
      </c>
      <c r="FJ164">
        <v>0</v>
      </c>
      <c r="FK164">
        <v>0</v>
      </c>
      <c r="FP164">
        <v>0</v>
      </c>
      <c r="FR164">
        <v>0</v>
      </c>
      <c r="FS164" t="s">
        <v>1043</v>
      </c>
      <c r="FX164" t="s">
        <v>1042</v>
      </c>
      <c r="FZ164" t="s">
        <v>1048</v>
      </c>
      <c r="GA164">
        <v>0</v>
      </c>
      <c r="GB164" t="s">
        <v>1042</v>
      </c>
      <c r="GE164">
        <v>0</v>
      </c>
      <c r="GG164">
        <v>0</v>
      </c>
      <c r="GN164">
        <v>0</v>
      </c>
      <c r="GO164" t="s">
        <v>1063</v>
      </c>
      <c r="GQ164">
        <v>0</v>
      </c>
      <c r="GU164">
        <v>0</v>
      </c>
      <c r="GY164" t="s">
        <v>1045</v>
      </c>
      <c r="HB164">
        <v>0</v>
      </c>
      <c r="HE164">
        <v>0</v>
      </c>
      <c r="HF164">
        <v>0</v>
      </c>
      <c r="HG164">
        <v>0</v>
      </c>
      <c r="HK164" t="s">
        <v>1042</v>
      </c>
      <c r="HM164" t="s">
        <v>1047</v>
      </c>
      <c r="HN164">
        <v>0</v>
      </c>
      <c r="HP164">
        <v>0</v>
      </c>
      <c r="HQ164">
        <v>0</v>
      </c>
      <c r="HR164" t="s">
        <v>1042</v>
      </c>
      <c r="HS164" t="s">
        <v>1043</v>
      </c>
      <c r="HT164">
        <v>0</v>
      </c>
      <c r="HU164">
        <v>0</v>
      </c>
      <c r="HW164">
        <v>0</v>
      </c>
      <c r="HX164">
        <v>0</v>
      </c>
      <c r="HY164">
        <v>0</v>
      </c>
      <c r="HZ164" t="s">
        <v>1045</v>
      </c>
      <c r="IA164">
        <v>0</v>
      </c>
      <c r="IB164" t="s">
        <v>1045</v>
      </c>
      <c r="ID164" t="s">
        <v>1045</v>
      </c>
      <c r="IF164">
        <v>0</v>
      </c>
      <c r="IG164" t="s">
        <v>1042</v>
      </c>
      <c r="II164" t="s">
        <v>1042</v>
      </c>
      <c r="IR164" t="s">
        <v>1045</v>
      </c>
      <c r="IT164">
        <v>0</v>
      </c>
      <c r="IY164" t="s">
        <v>1044</v>
      </c>
      <c r="IZ164" t="s">
        <v>1043</v>
      </c>
      <c r="JC164" t="s">
        <v>1043</v>
      </c>
      <c r="JE164">
        <v>0</v>
      </c>
      <c r="JF164">
        <v>0</v>
      </c>
      <c r="JI164" t="s">
        <v>1042</v>
      </c>
      <c r="JJ164">
        <v>0</v>
      </c>
      <c r="JK164">
        <v>0</v>
      </c>
      <c r="JL164">
        <v>0</v>
      </c>
      <c r="JM164">
        <v>0</v>
      </c>
      <c r="JQ164" t="s">
        <v>1043</v>
      </c>
      <c r="JT164">
        <v>0</v>
      </c>
      <c r="JU164" t="s">
        <v>1042</v>
      </c>
      <c r="JW164">
        <v>0</v>
      </c>
      <c r="KA164">
        <v>0</v>
      </c>
      <c r="KF164">
        <v>0</v>
      </c>
      <c r="KG164">
        <v>0</v>
      </c>
      <c r="KH164">
        <v>0</v>
      </c>
      <c r="KI164">
        <v>0</v>
      </c>
      <c r="KS164" t="s">
        <v>1073</v>
      </c>
      <c r="KT164">
        <v>0</v>
      </c>
      <c r="KU164">
        <v>0</v>
      </c>
      <c r="KV164">
        <v>0</v>
      </c>
      <c r="KX164">
        <v>0</v>
      </c>
      <c r="KZ164">
        <v>0</v>
      </c>
      <c r="LF164">
        <v>0</v>
      </c>
      <c r="LH164">
        <v>0</v>
      </c>
      <c r="LI164">
        <v>0</v>
      </c>
    </row>
    <row r="165" spans="1:321" x14ac:dyDescent="0.35">
      <c r="A165">
        <v>1</v>
      </c>
      <c r="B165">
        <v>12396</v>
      </c>
      <c r="C165" t="s">
        <v>1543</v>
      </c>
      <c r="D165" t="s">
        <v>1139</v>
      </c>
      <c r="E165" t="s">
        <v>85</v>
      </c>
      <c r="F165">
        <v>80</v>
      </c>
      <c r="G165">
        <v>9000</v>
      </c>
      <c r="H165">
        <v>0</v>
      </c>
      <c r="I165" t="s">
        <v>1050</v>
      </c>
      <c r="L165">
        <v>0</v>
      </c>
      <c r="M165">
        <v>0</v>
      </c>
      <c r="N165">
        <v>0</v>
      </c>
      <c r="R165">
        <v>0</v>
      </c>
      <c r="S165">
        <v>0</v>
      </c>
      <c r="W165" t="s">
        <v>1060</v>
      </c>
      <c r="X165">
        <v>0</v>
      </c>
      <c r="Z165">
        <v>1</v>
      </c>
      <c r="AA165">
        <v>0</v>
      </c>
      <c r="AB165">
        <v>0</v>
      </c>
      <c r="AC165">
        <v>0</v>
      </c>
      <c r="AD165" s="20">
        <v>40785</v>
      </c>
      <c r="AE165">
        <v>0</v>
      </c>
      <c r="AF165">
        <v>0</v>
      </c>
      <c r="AH165">
        <v>0</v>
      </c>
      <c r="AJ165">
        <v>0</v>
      </c>
      <c r="AL165">
        <v>0</v>
      </c>
      <c r="AM165">
        <v>0</v>
      </c>
      <c r="AN165">
        <v>16601001</v>
      </c>
      <c r="AO165">
        <v>0</v>
      </c>
      <c r="AP165">
        <v>1000</v>
      </c>
      <c r="AT165">
        <v>0</v>
      </c>
      <c r="AU165" t="s">
        <v>1059</v>
      </c>
      <c r="AW165" t="s">
        <v>1053</v>
      </c>
      <c r="AX165">
        <v>0</v>
      </c>
      <c r="AY165" s="20">
        <v>40785</v>
      </c>
      <c r="BA165" s="20">
        <v>40785</v>
      </c>
      <c r="BB165" t="s">
        <v>1058</v>
      </c>
      <c r="BD165">
        <v>0</v>
      </c>
      <c r="BF165" t="s">
        <v>1043</v>
      </c>
      <c r="BG165" t="s">
        <v>1042</v>
      </c>
      <c r="BH165">
        <v>0</v>
      </c>
      <c r="BI165">
        <v>1</v>
      </c>
      <c r="BJ165">
        <v>0</v>
      </c>
      <c r="BK165">
        <v>0</v>
      </c>
      <c r="BM165" t="s">
        <v>1042</v>
      </c>
      <c r="BN165">
        <v>0</v>
      </c>
      <c r="BR165" t="s">
        <v>1043</v>
      </c>
      <c r="BS165" t="s">
        <v>1043</v>
      </c>
      <c r="BT165" t="s">
        <v>1043</v>
      </c>
      <c r="BW165">
        <v>83</v>
      </c>
      <c r="CA165">
        <v>0</v>
      </c>
      <c r="CB165" t="s">
        <v>1057</v>
      </c>
      <c r="CE165" t="s">
        <v>1043</v>
      </c>
      <c r="CH165" t="s">
        <v>1043</v>
      </c>
      <c r="CN165" t="s">
        <v>1056</v>
      </c>
      <c r="CO165" t="s">
        <v>1043</v>
      </c>
      <c r="CP165">
        <v>1</v>
      </c>
      <c r="CQ165">
        <v>0</v>
      </c>
      <c r="CS165">
        <v>0</v>
      </c>
      <c r="CT165">
        <v>0</v>
      </c>
      <c r="CU165">
        <v>0</v>
      </c>
      <c r="CV165" t="s">
        <v>1045</v>
      </c>
      <c r="CW165">
        <v>0</v>
      </c>
      <c r="CX165">
        <v>0</v>
      </c>
      <c r="CY165">
        <v>0</v>
      </c>
      <c r="CZ165">
        <v>0</v>
      </c>
      <c r="DB165">
        <v>0</v>
      </c>
      <c r="DC165" t="s">
        <v>1043</v>
      </c>
      <c r="DF165" t="s">
        <v>1055</v>
      </c>
      <c r="DH165">
        <v>0</v>
      </c>
      <c r="DJ165">
        <v>0</v>
      </c>
      <c r="DK165" t="s">
        <v>1053</v>
      </c>
      <c r="DL165">
        <v>0</v>
      </c>
      <c r="DN165">
        <v>0</v>
      </c>
      <c r="DO165" t="s">
        <v>1042</v>
      </c>
      <c r="DP165">
        <v>0</v>
      </c>
      <c r="DQ165">
        <v>0</v>
      </c>
      <c r="DS165">
        <v>0</v>
      </c>
      <c r="DU165">
        <v>0</v>
      </c>
      <c r="DW165">
        <v>0</v>
      </c>
      <c r="DX165" t="s">
        <v>1043</v>
      </c>
      <c r="DY165">
        <v>0</v>
      </c>
      <c r="DZ165">
        <v>0</v>
      </c>
      <c r="EA165">
        <v>0</v>
      </c>
      <c r="ED165" t="s">
        <v>1045</v>
      </c>
      <c r="EE165">
        <v>0</v>
      </c>
      <c r="EF165">
        <v>0</v>
      </c>
      <c r="EQ165" t="s">
        <v>1044</v>
      </c>
      <c r="ES165" t="s">
        <v>1053</v>
      </c>
      <c r="ET165">
        <v>0</v>
      </c>
      <c r="EV165">
        <v>0</v>
      </c>
      <c r="EY165" t="s">
        <v>1052</v>
      </c>
      <c r="EZ165">
        <v>0</v>
      </c>
      <c r="FA165" t="s">
        <v>1043</v>
      </c>
      <c r="FB165">
        <v>0</v>
      </c>
      <c r="FC165">
        <v>0</v>
      </c>
      <c r="FE165" t="s">
        <v>1050</v>
      </c>
      <c r="FF165">
        <v>0</v>
      </c>
      <c r="FG165" t="s">
        <v>1050</v>
      </c>
      <c r="FJ165">
        <v>0</v>
      </c>
      <c r="FK165">
        <v>0</v>
      </c>
      <c r="FP165">
        <v>0</v>
      </c>
      <c r="FR165">
        <v>0</v>
      </c>
      <c r="FS165" t="s">
        <v>1043</v>
      </c>
      <c r="FX165" t="s">
        <v>1042</v>
      </c>
      <c r="FZ165" t="s">
        <v>1048</v>
      </c>
      <c r="GA165">
        <v>0</v>
      </c>
      <c r="GB165" t="s">
        <v>1042</v>
      </c>
      <c r="GE165">
        <v>0</v>
      </c>
      <c r="GG165">
        <v>0</v>
      </c>
      <c r="GN165">
        <v>0</v>
      </c>
      <c r="GO165" t="s">
        <v>1063</v>
      </c>
      <c r="GQ165">
        <v>0</v>
      </c>
      <c r="GU165">
        <v>0</v>
      </c>
      <c r="GY165" t="s">
        <v>1045</v>
      </c>
      <c r="HB165">
        <v>0</v>
      </c>
      <c r="HE165">
        <v>0</v>
      </c>
      <c r="HF165">
        <v>0</v>
      </c>
      <c r="HG165">
        <v>0</v>
      </c>
      <c r="HK165" t="s">
        <v>1042</v>
      </c>
      <c r="HM165" t="s">
        <v>1047</v>
      </c>
      <c r="HN165">
        <v>0</v>
      </c>
      <c r="HP165">
        <v>0</v>
      </c>
      <c r="HQ165">
        <v>0</v>
      </c>
      <c r="HR165" t="s">
        <v>1042</v>
      </c>
      <c r="HS165" t="s">
        <v>1043</v>
      </c>
      <c r="HT165">
        <v>0</v>
      </c>
      <c r="HU165">
        <v>0</v>
      </c>
      <c r="HW165">
        <v>0</v>
      </c>
      <c r="HX165">
        <v>0</v>
      </c>
      <c r="HY165">
        <v>0</v>
      </c>
      <c r="HZ165" t="s">
        <v>1045</v>
      </c>
      <c r="IA165">
        <v>0</v>
      </c>
      <c r="IB165" t="s">
        <v>1045</v>
      </c>
      <c r="ID165" t="s">
        <v>1045</v>
      </c>
      <c r="IF165">
        <v>0</v>
      </c>
      <c r="IG165" t="s">
        <v>1042</v>
      </c>
      <c r="II165" t="s">
        <v>1042</v>
      </c>
      <c r="IR165" t="s">
        <v>1045</v>
      </c>
      <c r="IT165">
        <v>0</v>
      </c>
      <c r="IY165" t="s">
        <v>1044</v>
      </c>
      <c r="IZ165" t="s">
        <v>1043</v>
      </c>
      <c r="JC165" t="s">
        <v>1043</v>
      </c>
      <c r="JE165">
        <v>0</v>
      </c>
      <c r="JF165">
        <v>0</v>
      </c>
      <c r="JI165" t="s">
        <v>1042</v>
      </c>
      <c r="JJ165">
        <v>0</v>
      </c>
      <c r="JK165">
        <v>0</v>
      </c>
      <c r="JL165">
        <v>0</v>
      </c>
      <c r="JM165">
        <v>0</v>
      </c>
      <c r="JQ165" t="s">
        <v>1043</v>
      </c>
      <c r="JT165">
        <v>0</v>
      </c>
      <c r="JU165" t="s">
        <v>1042</v>
      </c>
      <c r="JW165">
        <v>0</v>
      </c>
      <c r="KA165">
        <v>0</v>
      </c>
      <c r="KF165">
        <v>0</v>
      </c>
      <c r="KG165">
        <v>0</v>
      </c>
      <c r="KH165">
        <v>0</v>
      </c>
      <c r="KI165">
        <v>0</v>
      </c>
      <c r="KS165" t="s">
        <v>1073</v>
      </c>
      <c r="KT165">
        <v>0</v>
      </c>
      <c r="KU165">
        <v>0</v>
      </c>
      <c r="KV165">
        <v>0</v>
      </c>
      <c r="KX165">
        <v>0</v>
      </c>
      <c r="KZ165">
        <v>0</v>
      </c>
      <c r="LF165">
        <v>0</v>
      </c>
      <c r="LH165">
        <v>0</v>
      </c>
      <c r="LI165">
        <v>0</v>
      </c>
    </row>
    <row r="166" spans="1:321" x14ac:dyDescent="0.35">
      <c r="A166">
        <v>1</v>
      </c>
      <c r="B166">
        <v>12397</v>
      </c>
      <c r="C166" t="s">
        <v>1542</v>
      </c>
      <c r="D166" t="s">
        <v>1139</v>
      </c>
      <c r="E166" t="s">
        <v>85</v>
      </c>
      <c r="F166">
        <v>80</v>
      </c>
      <c r="G166">
        <v>9000</v>
      </c>
      <c r="H166">
        <v>0</v>
      </c>
      <c r="I166" t="s">
        <v>1050</v>
      </c>
      <c r="L166">
        <v>0</v>
      </c>
      <c r="M166">
        <v>0</v>
      </c>
      <c r="N166">
        <v>0</v>
      </c>
      <c r="R166">
        <v>0</v>
      </c>
      <c r="S166">
        <v>0</v>
      </c>
      <c r="W166" t="s">
        <v>1060</v>
      </c>
      <c r="X166">
        <v>0</v>
      </c>
      <c r="Z166">
        <v>1</v>
      </c>
      <c r="AA166">
        <v>0</v>
      </c>
      <c r="AB166">
        <v>0</v>
      </c>
      <c r="AC166">
        <v>0</v>
      </c>
      <c r="AD166" s="20">
        <v>40785</v>
      </c>
      <c r="AE166">
        <v>0</v>
      </c>
      <c r="AF166">
        <v>0</v>
      </c>
      <c r="AH166">
        <v>0</v>
      </c>
      <c r="AJ166">
        <v>0</v>
      </c>
      <c r="AL166">
        <v>0</v>
      </c>
      <c r="AM166">
        <v>0</v>
      </c>
      <c r="AN166">
        <v>16601001</v>
      </c>
      <c r="AO166">
        <v>0</v>
      </c>
      <c r="AP166">
        <v>1000</v>
      </c>
      <c r="AT166">
        <v>0</v>
      </c>
      <c r="AU166" t="s">
        <v>1059</v>
      </c>
      <c r="AW166" t="s">
        <v>1053</v>
      </c>
      <c r="AX166">
        <v>0</v>
      </c>
      <c r="AY166" s="20">
        <v>40785</v>
      </c>
      <c r="BA166" s="20">
        <v>40785</v>
      </c>
      <c r="BB166" t="s">
        <v>1058</v>
      </c>
      <c r="BD166">
        <v>0</v>
      </c>
      <c r="BF166" t="s">
        <v>1043</v>
      </c>
      <c r="BG166" t="s">
        <v>1042</v>
      </c>
      <c r="BH166">
        <v>0</v>
      </c>
      <c r="BI166">
        <v>1</v>
      </c>
      <c r="BJ166">
        <v>0</v>
      </c>
      <c r="BK166">
        <v>0</v>
      </c>
      <c r="BM166" t="s">
        <v>1042</v>
      </c>
      <c r="BN166">
        <v>0</v>
      </c>
      <c r="BR166" t="s">
        <v>1043</v>
      </c>
      <c r="BS166" t="s">
        <v>1043</v>
      </c>
      <c r="BT166" t="s">
        <v>1043</v>
      </c>
      <c r="BW166">
        <v>83</v>
      </c>
      <c r="CA166">
        <v>0</v>
      </c>
      <c r="CB166" t="s">
        <v>1057</v>
      </c>
      <c r="CE166" t="s">
        <v>1043</v>
      </c>
      <c r="CH166" t="s">
        <v>1043</v>
      </c>
      <c r="CN166" t="s">
        <v>1056</v>
      </c>
      <c r="CO166" t="s">
        <v>1043</v>
      </c>
      <c r="CP166">
        <v>1</v>
      </c>
      <c r="CQ166">
        <v>0</v>
      </c>
      <c r="CS166">
        <v>0</v>
      </c>
      <c r="CT166">
        <v>0</v>
      </c>
      <c r="CU166">
        <v>0</v>
      </c>
      <c r="CV166" t="s">
        <v>1045</v>
      </c>
      <c r="CW166">
        <v>0</v>
      </c>
      <c r="CX166">
        <v>0</v>
      </c>
      <c r="CY166">
        <v>0</v>
      </c>
      <c r="CZ166">
        <v>0</v>
      </c>
      <c r="DB166">
        <v>0</v>
      </c>
      <c r="DC166" t="s">
        <v>1043</v>
      </c>
      <c r="DF166" t="s">
        <v>1055</v>
      </c>
      <c r="DH166">
        <v>0</v>
      </c>
      <c r="DJ166">
        <v>0</v>
      </c>
      <c r="DK166" t="s">
        <v>1053</v>
      </c>
      <c r="DL166">
        <v>0</v>
      </c>
      <c r="DN166">
        <v>0</v>
      </c>
      <c r="DO166" t="s">
        <v>1042</v>
      </c>
      <c r="DP166">
        <v>0</v>
      </c>
      <c r="DQ166">
        <v>0</v>
      </c>
      <c r="DS166">
        <v>0</v>
      </c>
      <c r="DU166">
        <v>0</v>
      </c>
      <c r="DW166">
        <v>0</v>
      </c>
      <c r="DX166" t="s">
        <v>1043</v>
      </c>
      <c r="DY166">
        <v>0</v>
      </c>
      <c r="DZ166">
        <v>0</v>
      </c>
      <c r="EA166">
        <v>0</v>
      </c>
      <c r="ED166" t="s">
        <v>1045</v>
      </c>
      <c r="EE166">
        <v>0</v>
      </c>
      <c r="EF166">
        <v>0</v>
      </c>
      <c r="EQ166" t="s">
        <v>1044</v>
      </c>
      <c r="ES166" t="s">
        <v>1053</v>
      </c>
      <c r="ET166">
        <v>0</v>
      </c>
      <c r="EV166">
        <v>0</v>
      </c>
      <c r="EY166" t="s">
        <v>1052</v>
      </c>
      <c r="EZ166">
        <v>0</v>
      </c>
      <c r="FA166" t="s">
        <v>1043</v>
      </c>
      <c r="FB166">
        <v>0</v>
      </c>
      <c r="FC166">
        <v>0</v>
      </c>
      <c r="FE166" t="s">
        <v>1050</v>
      </c>
      <c r="FF166">
        <v>0</v>
      </c>
      <c r="FG166" t="s">
        <v>1050</v>
      </c>
      <c r="FJ166">
        <v>0</v>
      </c>
      <c r="FK166">
        <v>0</v>
      </c>
      <c r="FP166">
        <v>0</v>
      </c>
      <c r="FR166">
        <v>0</v>
      </c>
      <c r="FS166" t="s">
        <v>1043</v>
      </c>
      <c r="FX166" t="s">
        <v>1042</v>
      </c>
      <c r="FZ166" t="s">
        <v>1048</v>
      </c>
      <c r="GA166">
        <v>0</v>
      </c>
      <c r="GB166" t="s">
        <v>1042</v>
      </c>
      <c r="GE166">
        <v>0</v>
      </c>
      <c r="GG166">
        <v>0</v>
      </c>
      <c r="GN166">
        <v>0</v>
      </c>
      <c r="GO166" t="s">
        <v>1063</v>
      </c>
      <c r="GQ166">
        <v>0</v>
      </c>
      <c r="GU166">
        <v>0</v>
      </c>
      <c r="GY166" t="s">
        <v>1045</v>
      </c>
      <c r="HB166">
        <v>0</v>
      </c>
      <c r="HE166">
        <v>0</v>
      </c>
      <c r="HF166">
        <v>0</v>
      </c>
      <c r="HG166">
        <v>0</v>
      </c>
      <c r="HK166" t="s">
        <v>1042</v>
      </c>
      <c r="HM166" t="s">
        <v>1047</v>
      </c>
      <c r="HN166">
        <v>0</v>
      </c>
      <c r="HP166">
        <v>0</v>
      </c>
      <c r="HQ166">
        <v>0</v>
      </c>
      <c r="HR166" t="s">
        <v>1042</v>
      </c>
      <c r="HS166" t="s">
        <v>1043</v>
      </c>
      <c r="HT166">
        <v>0</v>
      </c>
      <c r="HU166">
        <v>0</v>
      </c>
      <c r="HW166">
        <v>0</v>
      </c>
      <c r="HX166">
        <v>0</v>
      </c>
      <c r="HY166">
        <v>0</v>
      </c>
      <c r="HZ166" t="s">
        <v>1045</v>
      </c>
      <c r="IA166">
        <v>0</v>
      </c>
      <c r="IB166" t="s">
        <v>1045</v>
      </c>
      <c r="ID166" t="s">
        <v>1045</v>
      </c>
      <c r="IF166">
        <v>0</v>
      </c>
      <c r="IG166" t="s">
        <v>1042</v>
      </c>
      <c r="II166" t="s">
        <v>1042</v>
      </c>
      <c r="IR166" t="s">
        <v>1045</v>
      </c>
      <c r="IT166">
        <v>0</v>
      </c>
      <c r="IY166" t="s">
        <v>1044</v>
      </c>
      <c r="IZ166" t="s">
        <v>1043</v>
      </c>
      <c r="JC166" t="s">
        <v>1043</v>
      </c>
      <c r="JE166">
        <v>0</v>
      </c>
      <c r="JF166">
        <v>0</v>
      </c>
      <c r="JI166" t="s">
        <v>1042</v>
      </c>
      <c r="JJ166">
        <v>0</v>
      </c>
      <c r="JK166">
        <v>0</v>
      </c>
      <c r="JL166">
        <v>0</v>
      </c>
      <c r="JM166">
        <v>0</v>
      </c>
      <c r="JQ166" t="s">
        <v>1043</v>
      </c>
      <c r="JT166">
        <v>0</v>
      </c>
      <c r="JU166" t="s">
        <v>1042</v>
      </c>
      <c r="JW166">
        <v>0</v>
      </c>
      <c r="KA166">
        <v>0</v>
      </c>
      <c r="KF166">
        <v>0</v>
      </c>
      <c r="KG166">
        <v>0</v>
      </c>
      <c r="KH166">
        <v>0</v>
      </c>
      <c r="KI166">
        <v>0</v>
      </c>
      <c r="KS166" t="s">
        <v>1073</v>
      </c>
      <c r="KT166">
        <v>0</v>
      </c>
      <c r="KU166">
        <v>0</v>
      </c>
      <c r="KV166">
        <v>0</v>
      </c>
      <c r="KX166">
        <v>0</v>
      </c>
      <c r="KZ166">
        <v>0</v>
      </c>
      <c r="LF166">
        <v>0</v>
      </c>
      <c r="LH166">
        <v>0</v>
      </c>
      <c r="LI166">
        <v>0</v>
      </c>
    </row>
    <row r="167" spans="1:321" x14ac:dyDescent="0.35">
      <c r="A167">
        <v>1</v>
      </c>
      <c r="B167">
        <v>12398</v>
      </c>
      <c r="C167" t="s">
        <v>1541</v>
      </c>
      <c r="D167" t="s">
        <v>1139</v>
      </c>
      <c r="E167" t="s">
        <v>85</v>
      </c>
      <c r="F167">
        <v>80</v>
      </c>
      <c r="G167">
        <v>9000</v>
      </c>
      <c r="H167">
        <v>0</v>
      </c>
      <c r="I167" t="s">
        <v>1050</v>
      </c>
      <c r="L167">
        <v>0</v>
      </c>
      <c r="M167">
        <v>0</v>
      </c>
      <c r="N167">
        <v>0</v>
      </c>
      <c r="R167">
        <v>0</v>
      </c>
      <c r="S167">
        <v>0</v>
      </c>
      <c r="W167" t="s">
        <v>1060</v>
      </c>
      <c r="X167">
        <v>0</v>
      </c>
      <c r="Z167">
        <v>1</v>
      </c>
      <c r="AA167">
        <v>0</v>
      </c>
      <c r="AB167">
        <v>0</v>
      </c>
      <c r="AC167">
        <v>0</v>
      </c>
      <c r="AD167" s="20">
        <v>40785</v>
      </c>
      <c r="AE167">
        <v>0</v>
      </c>
      <c r="AF167">
        <v>0</v>
      </c>
      <c r="AH167">
        <v>0</v>
      </c>
      <c r="AJ167">
        <v>0</v>
      </c>
      <c r="AL167">
        <v>0</v>
      </c>
      <c r="AM167">
        <v>0</v>
      </c>
      <c r="AN167">
        <v>16601001</v>
      </c>
      <c r="AO167">
        <v>0</v>
      </c>
      <c r="AP167">
        <v>1000</v>
      </c>
      <c r="AT167">
        <v>0</v>
      </c>
      <c r="AU167" t="s">
        <v>1059</v>
      </c>
      <c r="AW167" t="s">
        <v>1053</v>
      </c>
      <c r="AX167">
        <v>0</v>
      </c>
      <c r="AY167" s="20">
        <v>40785</v>
      </c>
      <c r="BA167" s="20">
        <v>40785</v>
      </c>
      <c r="BB167" t="s">
        <v>1058</v>
      </c>
      <c r="BD167">
        <v>0</v>
      </c>
      <c r="BF167" t="s">
        <v>1043</v>
      </c>
      <c r="BG167" t="s">
        <v>1042</v>
      </c>
      <c r="BH167">
        <v>0</v>
      </c>
      <c r="BI167">
        <v>1</v>
      </c>
      <c r="BJ167">
        <v>0</v>
      </c>
      <c r="BK167">
        <v>0</v>
      </c>
      <c r="BM167" t="s">
        <v>1042</v>
      </c>
      <c r="BN167">
        <v>0</v>
      </c>
      <c r="BR167" t="s">
        <v>1043</v>
      </c>
      <c r="BS167" t="s">
        <v>1043</v>
      </c>
      <c r="BT167" t="s">
        <v>1043</v>
      </c>
      <c r="BW167">
        <v>83</v>
      </c>
      <c r="CA167">
        <v>0</v>
      </c>
      <c r="CB167" t="s">
        <v>1057</v>
      </c>
      <c r="CE167" t="s">
        <v>1043</v>
      </c>
      <c r="CH167" t="s">
        <v>1043</v>
      </c>
      <c r="CN167" t="s">
        <v>1056</v>
      </c>
      <c r="CO167" t="s">
        <v>1043</v>
      </c>
      <c r="CP167">
        <v>1</v>
      </c>
      <c r="CQ167">
        <v>0</v>
      </c>
      <c r="CS167">
        <v>0</v>
      </c>
      <c r="CT167">
        <v>0</v>
      </c>
      <c r="CU167">
        <v>0</v>
      </c>
      <c r="CV167" t="s">
        <v>1045</v>
      </c>
      <c r="CW167">
        <v>0</v>
      </c>
      <c r="CX167">
        <v>0</v>
      </c>
      <c r="CY167">
        <v>0</v>
      </c>
      <c r="CZ167">
        <v>0</v>
      </c>
      <c r="DB167">
        <v>0</v>
      </c>
      <c r="DC167" t="s">
        <v>1043</v>
      </c>
      <c r="DF167" t="s">
        <v>1055</v>
      </c>
      <c r="DH167">
        <v>0</v>
      </c>
      <c r="DJ167">
        <v>0</v>
      </c>
      <c r="DK167" t="s">
        <v>1053</v>
      </c>
      <c r="DL167">
        <v>0</v>
      </c>
      <c r="DN167">
        <v>0</v>
      </c>
      <c r="DO167" t="s">
        <v>1042</v>
      </c>
      <c r="DP167">
        <v>0</v>
      </c>
      <c r="DQ167">
        <v>0</v>
      </c>
      <c r="DS167">
        <v>0</v>
      </c>
      <c r="DU167">
        <v>0</v>
      </c>
      <c r="DW167">
        <v>0</v>
      </c>
      <c r="DX167" t="s">
        <v>1043</v>
      </c>
      <c r="DY167">
        <v>0</v>
      </c>
      <c r="DZ167">
        <v>0</v>
      </c>
      <c r="EA167">
        <v>0</v>
      </c>
      <c r="ED167" t="s">
        <v>1045</v>
      </c>
      <c r="EE167">
        <v>0</v>
      </c>
      <c r="EF167">
        <v>0</v>
      </c>
      <c r="EQ167" t="s">
        <v>1044</v>
      </c>
      <c r="ES167" t="s">
        <v>1053</v>
      </c>
      <c r="ET167">
        <v>0</v>
      </c>
      <c r="EV167">
        <v>0</v>
      </c>
      <c r="EY167" t="s">
        <v>1052</v>
      </c>
      <c r="EZ167">
        <v>0</v>
      </c>
      <c r="FA167" t="s">
        <v>1043</v>
      </c>
      <c r="FB167">
        <v>0</v>
      </c>
      <c r="FC167">
        <v>0</v>
      </c>
      <c r="FE167" t="s">
        <v>1050</v>
      </c>
      <c r="FF167">
        <v>0</v>
      </c>
      <c r="FG167" t="s">
        <v>1050</v>
      </c>
      <c r="FJ167">
        <v>0</v>
      </c>
      <c r="FK167">
        <v>0</v>
      </c>
      <c r="FP167">
        <v>0</v>
      </c>
      <c r="FR167">
        <v>0</v>
      </c>
      <c r="FS167" t="s">
        <v>1043</v>
      </c>
      <c r="FX167" t="s">
        <v>1042</v>
      </c>
      <c r="FZ167" t="s">
        <v>1048</v>
      </c>
      <c r="GA167">
        <v>0</v>
      </c>
      <c r="GB167" t="s">
        <v>1042</v>
      </c>
      <c r="GE167">
        <v>0</v>
      </c>
      <c r="GG167">
        <v>0</v>
      </c>
      <c r="GN167">
        <v>0</v>
      </c>
      <c r="GO167" t="s">
        <v>1063</v>
      </c>
      <c r="GQ167">
        <v>0</v>
      </c>
      <c r="GU167">
        <v>0</v>
      </c>
      <c r="GY167" t="s">
        <v>1045</v>
      </c>
      <c r="HB167">
        <v>0</v>
      </c>
      <c r="HE167">
        <v>0</v>
      </c>
      <c r="HF167">
        <v>0</v>
      </c>
      <c r="HG167">
        <v>0</v>
      </c>
      <c r="HK167" t="s">
        <v>1042</v>
      </c>
      <c r="HM167" t="s">
        <v>1047</v>
      </c>
      <c r="HN167">
        <v>0</v>
      </c>
      <c r="HP167">
        <v>0</v>
      </c>
      <c r="HQ167">
        <v>0</v>
      </c>
      <c r="HR167" t="s">
        <v>1042</v>
      </c>
      <c r="HS167" t="s">
        <v>1043</v>
      </c>
      <c r="HT167">
        <v>0</v>
      </c>
      <c r="HU167">
        <v>0</v>
      </c>
      <c r="HW167">
        <v>0</v>
      </c>
      <c r="HX167">
        <v>0</v>
      </c>
      <c r="HY167">
        <v>0</v>
      </c>
      <c r="HZ167" t="s">
        <v>1045</v>
      </c>
      <c r="IA167">
        <v>0</v>
      </c>
      <c r="IB167" t="s">
        <v>1045</v>
      </c>
      <c r="ID167" t="s">
        <v>1045</v>
      </c>
      <c r="IF167">
        <v>0</v>
      </c>
      <c r="IG167" t="s">
        <v>1042</v>
      </c>
      <c r="II167" t="s">
        <v>1042</v>
      </c>
      <c r="IR167" t="s">
        <v>1045</v>
      </c>
      <c r="IT167">
        <v>0</v>
      </c>
      <c r="IY167" t="s">
        <v>1044</v>
      </c>
      <c r="IZ167" t="s">
        <v>1043</v>
      </c>
      <c r="JC167" t="s">
        <v>1043</v>
      </c>
      <c r="JE167">
        <v>0</v>
      </c>
      <c r="JF167">
        <v>0</v>
      </c>
      <c r="JI167" t="s">
        <v>1042</v>
      </c>
      <c r="JJ167">
        <v>0</v>
      </c>
      <c r="JK167">
        <v>0</v>
      </c>
      <c r="JL167">
        <v>0</v>
      </c>
      <c r="JM167">
        <v>0</v>
      </c>
      <c r="JQ167" t="s">
        <v>1043</v>
      </c>
      <c r="JT167">
        <v>0</v>
      </c>
      <c r="JU167" t="s">
        <v>1042</v>
      </c>
      <c r="JW167">
        <v>0</v>
      </c>
      <c r="KA167">
        <v>0</v>
      </c>
      <c r="KF167">
        <v>0</v>
      </c>
      <c r="KG167">
        <v>0</v>
      </c>
      <c r="KH167">
        <v>0</v>
      </c>
      <c r="KI167">
        <v>0</v>
      </c>
      <c r="KS167" t="s">
        <v>1073</v>
      </c>
      <c r="KT167">
        <v>0</v>
      </c>
      <c r="KU167">
        <v>0</v>
      </c>
      <c r="KV167">
        <v>0</v>
      </c>
      <c r="KX167">
        <v>0</v>
      </c>
      <c r="KZ167">
        <v>0</v>
      </c>
      <c r="LF167">
        <v>0</v>
      </c>
      <c r="LH167">
        <v>0</v>
      </c>
      <c r="LI167">
        <v>0</v>
      </c>
    </row>
    <row r="168" spans="1:321" x14ac:dyDescent="0.35">
      <c r="A168">
        <v>1</v>
      </c>
      <c r="B168">
        <v>12399</v>
      </c>
      <c r="C168" t="s">
        <v>1540</v>
      </c>
      <c r="D168" t="s">
        <v>1139</v>
      </c>
      <c r="E168" t="s">
        <v>85</v>
      </c>
      <c r="F168">
        <v>80</v>
      </c>
      <c r="G168">
        <v>9000</v>
      </c>
      <c r="H168">
        <v>0</v>
      </c>
      <c r="I168" t="s">
        <v>1050</v>
      </c>
      <c r="L168">
        <v>0</v>
      </c>
      <c r="M168">
        <v>0</v>
      </c>
      <c r="N168">
        <v>0</v>
      </c>
      <c r="R168">
        <v>0</v>
      </c>
      <c r="S168">
        <v>0</v>
      </c>
      <c r="W168" t="s">
        <v>1060</v>
      </c>
      <c r="X168">
        <v>0</v>
      </c>
      <c r="Z168">
        <v>1</v>
      </c>
      <c r="AA168">
        <v>0</v>
      </c>
      <c r="AB168">
        <v>0</v>
      </c>
      <c r="AC168">
        <v>0</v>
      </c>
      <c r="AD168" s="20">
        <v>40785</v>
      </c>
      <c r="AE168">
        <v>0</v>
      </c>
      <c r="AF168">
        <v>0</v>
      </c>
      <c r="AH168">
        <v>0</v>
      </c>
      <c r="AJ168">
        <v>0</v>
      </c>
      <c r="AL168">
        <v>0</v>
      </c>
      <c r="AM168">
        <v>0</v>
      </c>
      <c r="AN168">
        <v>16601001</v>
      </c>
      <c r="AO168">
        <v>0</v>
      </c>
      <c r="AP168">
        <v>1000</v>
      </c>
      <c r="AT168">
        <v>0</v>
      </c>
      <c r="AU168" t="s">
        <v>1059</v>
      </c>
      <c r="AW168" t="s">
        <v>1053</v>
      </c>
      <c r="AX168">
        <v>0</v>
      </c>
      <c r="AY168" s="20">
        <v>40785</v>
      </c>
      <c r="BA168" s="20">
        <v>40785</v>
      </c>
      <c r="BB168" t="s">
        <v>1058</v>
      </c>
      <c r="BD168">
        <v>0</v>
      </c>
      <c r="BF168" t="s">
        <v>1043</v>
      </c>
      <c r="BG168" t="s">
        <v>1042</v>
      </c>
      <c r="BH168">
        <v>0</v>
      </c>
      <c r="BI168">
        <v>1</v>
      </c>
      <c r="BJ168">
        <v>0</v>
      </c>
      <c r="BK168">
        <v>0</v>
      </c>
      <c r="BM168" t="s">
        <v>1042</v>
      </c>
      <c r="BN168">
        <v>0</v>
      </c>
      <c r="BR168" t="s">
        <v>1043</v>
      </c>
      <c r="BS168" t="s">
        <v>1043</v>
      </c>
      <c r="BT168" t="s">
        <v>1043</v>
      </c>
      <c r="BW168">
        <v>83</v>
      </c>
      <c r="CA168">
        <v>0</v>
      </c>
      <c r="CB168" t="s">
        <v>1057</v>
      </c>
      <c r="CE168" t="s">
        <v>1043</v>
      </c>
      <c r="CH168" t="s">
        <v>1043</v>
      </c>
      <c r="CN168" t="s">
        <v>1056</v>
      </c>
      <c r="CO168" t="s">
        <v>1043</v>
      </c>
      <c r="CP168">
        <v>1</v>
      </c>
      <c r="CQ168">
        <v>0</v>
      </c>
      <c r="CS168">
        <v>0</v>
      </c>
      <c r="CT168">
        <v>0</v>
      </c>
      <c r="CU168">
        <v>0</v>
      </c>
      <c r="CV168" t="s">
        <v>1045</v>
      </c>
      <c r="CW168">
        <v>0</v>
      </c>
      <c r="CX168">
        <v>0</v>
      </c>
      <c r="CY168">
        <v>0</v>
      </c>
      <c r="CZ168">
        <v>0</v>
      </c>
      <c r="DB168">
        <v>0</v>
      </c>
      <c r="DC168" t="s">
        <v>1043</v>
      </c>
      <c r="DF168" t="s">
        <v>1055</v>
      </c>
      <c r="DH168">
        <v>0</v>
      </c>
      <c r="DJ168">
        <v>0</v>
      </c>
      <c r="DK168" t="s">
        <v>1053</v>
      </c>
      <c r="DL168">
        <v>0</v>
      </c>
      <c r="DN168">
        <v>0</v>
      </c>
      <c r="DO168" t="s">
        <v>1042</v>
      </c>
      <c r="DP168">
        <v>0</v>
      </c>
      <c r="DQ168">
        <v>0</v>
      </c>
      <c r="DS168">
        <v>0</v>
      </c>
      <c r="DU168">
        <v>0</v>
      </c>
      <c r="DW168">
        <v>0</v>
      </c>
      <c r="DX168" t="s">
        <v>1043</v>
      </c>
      <c r="DY168">
        <v>0</v>
      </c>
      <c r="DZ168">
        <v>0</v>
      </c>
      <c r="EA168">
        <v>0</v>
      </c>
      <c r="ED168" t="s">
        <v>1045</v>
      </c>
      <c r="EE168">
        <v>0</v>
      </c>
      <c r="EF168">
        <v>0</v>
      </c>
      <c r="EQ168" t="s">
        <v>1044</v>
      </c>
      <c r="ES168" t="s">
        <v>1053</v>
      </c>
      <c r="ET168">
        <v>0</v>
      </c>
      <c r="EV168">
        <v>0</v>
      </c>
      <c r="EY168" t="s">
        <v>1052</v>
      </c>
      <c r="EZ168">
        <v>0</v>
      </c>
      <c r="FA168" t="s">
        <v>1043</v>
      </c>
      <c r="FB168">
        <v>0</v>
      </c>
      <c r="FC168">
        <v>0</v>
      </c>
      <c r="FE168" t="s">
        <v>1050</v>
      </c>
      <c r="FF168">
        <v>0</v>
      </c>
      <c r="FG168" t="s">
        <v>1050</v>
      </c>
      <c r="FJ168">
        <v>0</v>
      </c>
      <c r="FK168">
        <v>0</v>
      </c>
      <c r="FP168">
        <v>0</v>
      </c>
      <c r="FR168">
        <v>0</v>
      </c>
      <c r="FS168" t="s">
        <v>1043</v>
      </c>
      <c r="FX168" t="s">
        <v>1042</v>
      </c>
      <c r="FZ168" t="s">
        <v>1048</v>
      </c>
      <c r="GA168">
        <v>0</v>
      </c>
      <c r="GB168" t="s">
        <v>1042</v>
      </c>
      <c r="GE168">
        <v>0</v>
      </c>
      <c r="GG168">
        <v>0</v>
      </c>
      <c r="GN168">
        <v>0</v>
      </c>
      <c r="GO168" t="s">
        <v>1063</v>
      </c>
      <c r="GQ168">
        <v>0</v>
      </c>
      <c r="GU168">
        <v>0</v>
      </c>
      <c r="GY168" t="s">
        <v>1045</v>
      </c>
      <c r="HB168">
        <v>0</v>
      </c>
      <c r="HE168">
        <v>0</v>
      </c>
      <c r="HF168">
        <v>0</v>
      </c>
      <c r="HG168">
        <v>0</v>
      </c>
      <c r="HK168" t="s">
        <v>1042</v>
      </c>
      <c r="HM168" t="s">
        <v>1047</v>
      </c>
      <c r="HN168">
        <v>0</v>
      </c>
      <c r="HP168">
        <v>0</v>
      </c>
      <c r="HQ168">
        <v>0</v>
      </c>
      <c r="HR168" t="s">
        <v>1042</v>
      </c>
      <c r="HS168" t="s">
        <v>1043</v>
      </c>
      <c r="HT168">
        <v>0</v>
      </c>
      <c r="HU168">
        <v>0</v>
      </c>
      <c r="HW168">
        <v>0</v>
      </c>
      <c r="HX168">
        <v>0</v>
      </c>
      <c r="HY168">
        <v>0</v>
      </c>
      <c r="HZ168" t="s">
        <v>1045</v>
      </c>
      <c r="IA168">
        <v>0</v>
      </c>
      <c r="IB168" t="s">
        <v>1045</v>
      </c>
      <c r="ID168" t="s">
        <v>1045</v>
      </c>
      <c r="IF168">
        <v>0</v>
      </c>
      <c r="IG168" t="s">
        <v>1042</v>
      </c>
      <c r="II168" t="s">
        <v>1042</v>
      </c>
      <c r="IR168" t="s">
        <v>1045</v>
      </c>
      <c r="IT168">
        <v>0</v>
      </c>
      <c r="IY168" t="s">
        <v>1044</v>
      </c>
      <c r="IZ168" t="s">
        <v>1043</v>
      </c>
      <c r="JC168" t="s">
        <v>1043</v>
      </c>
      <c r="JE168">
        <v>0</v>
      </c>
      <c r="JF168">
        <v>0</v>
      </c>
      <c r="JI168" t="s">
        <v>1042</v>
      </c>
      <c r="JJ168">
        <v>0</v>
      </c>
      <c r="JK168">
        <v>0</v>
      </c>
      <c r="JL168">
        <v>0</v>
      </c>
      <c r="JM168">
        <v>0</v>
      </c>
      <c r="JQ168" t="s">
        <v>1043</v>
      </c>
      <c r="JT168">
        <v>0</v>
      </c>
      <c r="JU168" t="s">
        <v>1042</v>
      </c>
      <c r="JW168">
        <v>0</v>
      </c>
      <c r="KA168">
        <v>0</v>
      </c>
      <c r="KF168">
        <v>0</v>
      </c>
      <c r="KG168">
        <v>0</v>
      </c>
      <c r="KH168">
        <v>0</v>
      </c>
      <c r="KI168">
        <v>0</v>
      </c>
      <c r="KS168" t="s">
        <v>1073</v>
      </c>
      <c r="KT168">
        <v>0</v>
      </c>
      <c r="KU168">
        <v>0</v>
      </c>
      <c r="KV168">
        <v>0</v>
      </c>
      <c r="KX168">
        <v>0</v>
      </c>
      <c r="KZ168">
        <v>0</v>
      </c>
      <c r="LF168">
        <v>0</v>
      </c>
      <c r="LH168">
        <v>0</v>
      </c>
      <c r="LI168">
        <v>0</v>
      </c>
    </row>
    <row r="169" spans="1:321" x14ac:dyDescent="0.35">
      <c r="A169">
        <v>1</v>
      </c>
      <c r="B169">
        <v>1240</v>
      </c>
      <c r="C169" t="s">
        <v>1539</v>
      </c>
      <c r="D169" t="s">
        <v>1061</v>
      </c>
      <c r="E169" t="s">
        <v>587</v>
      </c>
      <c r="F169">
        <v>1</v>
      </c>
      <c r="G169">
        <v>8888</v>
      </c>
      <c r="H169">
        <v>0</v>
      </c>
      <c r="I169" t="s">
        <v>991</v>
      </c>
      <c r="L169">
        <v>0</v>
      </c>
      <c r="M169">
        <v>0</v>
      </c>
      <c r="N169">
        <v>0</v>
      </c>
      <c r="Q169">
        <v>516</v>
      </c>
      <c r="R169">
        <v>0</v>
      </c>
      <c r="S169">
        <v>0</v>
      </c>
      <c r="W169" t="s">
        <v>1060</v>
      </c>
      <c r="X169">
        <v>0</v>
      </c>
      <c r="Z169">
        <v>10</v>
      </c>
      <c r="AA169">
        <v>13.023</v>
      </c>
      <c r="AB169">
        <v>0</v>
      </c>
      <c r="AC169">
        <v>0.57520000000000004</v>
      </c>
      <c r="AD169" t="s">
        <v>1042</v>
      </c>
      <c r="AE169">
        <v>0</v>
      </c>
      <c r="AF169">
        <v>0.104</v>
      </c>
      <c r="AH169">
        <v>0</v>
      </c>
      <c r="AJ169">
        <v>0</v>
      </c>
      <c r="AK169" t="s">
        <v>1154</v>
      </c>
      <c r="AL169">
        <v>320</v>
      </c>
      <c r="AM169">
        <v>0</v>
      </c>
      <c r="AN169">
        <v>11501001</v>
      </c>
      <c r="AO169">
        <v>0</v>
      </c>
      <c r="AP169">
        <v>1001</v>
      </c>
      <c r="AT169">
        <v>0</v>
      </c>
      <c r="AU169" t="s">
        <v>1059</v>
      </c>
      <c r="AV169" t="s">
        <v>1043</v>
      </c>
      <c r="AW169" t="s">
        <v>1053</v>
      </c>
      <c r="AX169">
        <v>5</v>
      </c>
      <c r="AY169" s="20">
        <v>43274</v>
      </c>
      <c r="BA169" s="20">
        <v>43677</v>
      </c>
      <c r="BB169" t="s">
        <v>1058</v>
      </c>
      <c r="BD169">
        <v>0</v>
      </c>
      <c r="BF169" t="s">
        <v>1043</v>
      </c>
      <c r="BG169" s="20">
        <v>42705</v>
      </c>
      <c r="BH169">
        <v>0</v>
      </c>
      <c r="BI169">
        <v>33</v>
      </c>
      <c r="BJ169">
        <v>0</v>
      </c>
      <c r="BK169">
        <v>0</v>
      </c>
      <c r="BM169" s="20">
        <v>42714</v>
      </c>
      <c r="BN169">
        <v>0</v>
      </c>
      <c r="BO169">
        <v>7897801317160</v>
      </c>
      <c r="BR169" t="s">
        <v>1043</v>
      </c>
      <c r="BS169" t="s">
        <v>1043</v>
      </c>
      <c r="BT169" t="s">
        <v>1043</v>
      </c>
      <c r="BV169">
        <v>1</v>
      </c>
      <c r="BW169">
        <v>30</v>
      </c>
      <c r="BY169">
        <v>66</v>
      </c>
      <c r="CA169">
        <v>0</v>
      </c>
      <c r="CB169" t="s">
        <v>1043</v>
      </c>
      <c r="CE169" t="s">
        <v>1043</v>
      </c>
      <c r="CH169" t="s">
        <v>1043</v>
      </c>
      <c r="CI169" t="s">
        <v>1383</v>
      </c>
      <c r="CK169" t="s">
        <v>1152</v>
      </c>
      <c r="CN169" t="s">
        <v>1056</v>
      </c>
      <c r="CP169">
        <v>1</v>
      </c>
      <c r="CQ169">
        <v>0</v>
      </c>
      <c r="CS169">
        <v>0</v>
      </c>
      <c r="CT169">
        <v>0</v>
      </c>
      <c r="CU169">
        <v>0</v>
      </c>
      <c r="CV169" t="s">
        <v>1045</v>
      </c>
      <c r="CW169">
        <v>0</v>
      </c>
      <c r="CX169">
        <v>0</v>
      </c>
      <c r="CY169">
        <v>0</v>
      </c>
      <c r="CZ169">
        <v>0</v>
      </c>
      <c r="DA169">
        <v>27</v>
      </c>
      <c r="DB169">
        <v>0</v>
      </c>
      <c r="DH169">
        <v>0</v>
      </c>
      <c r="DJ169">
        <v>0</v>
      </c>
      <c r="DL169">
        <v>0</v>
      </c>
      <c r="DN169">
        <v>0</v>
      </c>
      <c r="DO169" t="s">
        <v>1042</v>
      </c>
      <c r="DP169">
        <v>0</v>
      </c>
      <c r="DQ169">
        <v>7.6</v>
      </c>
      <c r="DS169">
        <v>0</v>
      </c>
      <c r="DU169">
        <v>1.65</v>
      </c>
      <c r="DW169">
        <v>0</v>
      </c>
      <c r="DY169">
        <v>0</v>
      </c>
      <c r="DZ169">
        <v>0</v>
      </c>
      <c r="EA169">
        <v>0</v>
      </c>
      <c r="EB169">
        <v>17897801317167</v>
      </c>
      <c r="EE169">
        <v>0</v>
      </c>
      <c r="EF169">
        <v>0</v>
      </c>
      <c r="EL169">
        <v>57897801317165</v>
      </c>
      <c r="EN169" t="s">
        <v>1511</v>
      </c>
      <c r="EO169" t="s">
        <v>1044</v>
      </c>
      <c r="ET169">
        <v>0</v>
      </c>
      <c r="EV169">
        <v>0</v>
      </c>
      <c r="EY169" t="s">
        <v>1052</v>
      </c>
      <c r="EZ169">
        <v>0</v>
      </c>
      <c r="FA169" t="s">
        <v>1043</v>
      </c>
      <c r="FB169">
        <v>0</v>
      </c>
      <c r="FC169">
        <v>0</v>
      </c>
      <c r="FD169" t="s">
        <v>1051</v>
      </c>
      <c r="FE169" t="s">
        <v>1050</v>
      </c>
      <c r="FF169">
        <v>0</v>
      </c>
      <c r="FG169" t="s">
        <v>1050</v>
      </c>
      <c r="FH169">
        <v>27897801317164</v>
      </c>
      <c r="FJ169">
        <v>0</v>
      </c>
      <c r="FK169">
        <v>0</v>
      </c>
      <c r="FP169">
        <v>0</v>
      </c>
      <c r="FR169">
        <v>0</v>
      </c>
      <c r="FS169" t="s">
        <v>1043</v>
      </c>
      <c r="FX169" t="s">
        <v>1042</v>
      </c>
      <c r="GA169">
        <v>0</v>
      </c>
      <c r="GB169" t="s">
        <v>1042</v>
      </c>
      <c r="GD169">
        <v>16</v>
      </c>
      <c r="GE169">
        <v>0</v>
      </c>
      <c r="GG169">
        <v>0</v>
      </c>
      <c r="GN169">
        <v>0</v>
      </c>
      <c r="GO169" t="s">
        <v>1049</v>
      </c>
      <c r="GQ169">
        <v>0</v>
      </c>
      <c r="GU169">
        <v>2</v>
      </c>
      <c r="GY169" t="s">
        <v>1045</v>
      </c>
      <c r="HB169">
        <v>0</v>
      </c>
      <c r="HE169">
        <v>0</v>
      </c>
      <c r="HF169">
        <v>0</v>
      </c>
      <c r="HG169">
        <v>1.5610000000000001E-2</v>
      </c>
      <c r="HK169" t="s">
        <v>1042</v>
      </c>
      <c r="HL169" t="s">
        <v>1048</v>
      </c>
      <c r="HM169">
        <v>0</v>
      </c>
      <c r="HN169">
        <v>0</v>
      </c>
      <c r="HP169">
        <v>0.104</v>
      </c>
      <c r="HQ169">
        <v>0</v>
      </c>
      <c r="HR169" t="s">
        <v>1042</v>
      </c>
      <c r="HT169">
        <v>0</v>
      </c>
      <c r="HU169">
        <v>0</v>
      </c>
      <c r="HW169">
        <v>0</v>
      </c>
      <c r="HX169">
        <v>0</v>
      </c>
      <c r="HY169">
        <v>0</v>
      </c>
      <c r="IA169">
        <v>0</v>
      </c>
      <c r="IF169">
        <v>1240</v>
      </c>
      <c r="IG169" s="20">
        <v>42709</v>
      </c>
      <c r="IH169" t="s">
        <v>1046</v>
      </c>
      <c r="II169" t="s">
        <v>1042</v>
      </c>
      <c r="IR169" t="s">
        <v>1044</v>
      </c>
      <c r="IT169">
        <v>0</v>
      </c>
      <c r="JE169">
        <v>0</v>
      </c>
      <c r="JF169">
        <v>0</v>
      </c>
      <c r="JI169" t="s">
        <v>1042</v>
      </c>
      <c r="JJ169">
        <v>0</v>
      </c>
      <c r="JK169">
        <v>0</v>
      </c>
      <c r="JL169">
        <v>0</v>
      </c>
      <c r="JM169">
        <v>0</v>
      </c>
      <c r="JT169">
        <v>0</v>
      </c>
      <c r="JU169" t="s">
        <v>1042</v>
      </c>
      <c r="JW169">
        <v>0</v>
      </c>
      <c r="KA169">
        <v>0</v>
      </c>
      <c r="KF169">
        <v>0</v>
      </c>
      <c r="KG169">
        <v>0</v>
      </c>
      <c r="KH169">
        <v>0</v>
      </c>
      <c r="KI169">
        <v>0</v>
      </c>
      <c r="KS169" t="s">
        <v>1041</v>
      </c>
      <c r="KT169">
        <v>0</v>
      </c>
      <c r="KU169">
        <v>0</v>
      </c>
      <c r="KV169">
        <v>0</v>
      </c>
      <c r="KX169">
        <v>0</v>
      </c>
      <c r="KZ169">
        <v>0</v>
      </c>
      <c r="LF169">
        <v>0</v>
      </c>
      <c r="LH169">
        <v>0</v>
      </c>
      <c r="LI169">
        <v>0</v>
      </c>
    </row>
    <row r="170" spans="1:321" x14ac:dyDescent="0.35">
      <c r="A170">
        <v>1</v>
      </c>
      <c r="B170">
        <v>12400</v>
      </c>
      <c r="C170" t="s">
        <v>1538</v>
      </c>
      <c r="D170" t="s">
        <v>1139</v>
      </c>
      <c r="E170" t="s">
        <v>85</v>
      </c>
      <c r="F170">
        <v>80</v>
      </c>
      <c r="G170">
        <v>9000</v>
      </c>
      <c r="H170">
        <v>0</v>
      </c>
      <c r="I170" t="s">
        <v>1537</v>
      </c>
      <c r="L170">
        <v>0</v>
      </c>
      <c r="M170">
        <v>0</v>
      </c>
      <c r="N170">
        <v>0</v>
      </c>
      <c r="R170">
        <v>0</v>
      </c>
      <c r="S170">
        <v>0</v>
      </c>
      <c r="W170" t="s">
        <v>1060</v>
      </c>
      <c r="X170">
        <v>0</v>
      </c>
      <c r="Z170">
        <v>1</v>
      </c>
      <c r="AA170">
        <v>0</v>
      </c>
      <c r="AB170">
        <v>0</v>
      </c>
      <c r="AC170">
        <v>249</v>
      </c>
      <c r="AD170" s="20">
        <v>40794</v>
      </c>
      <c r="AE170">
        <v>300</v>
      </c>
      <c r="AF170">
        <v>0</v>
      </c>
      <c r="AH170">
        <v>0</v>
      </c>
      <c r="AJ170">
        <v>0</v>
      </c>
      <c r="AL170">
        <v>0</v>
      </c>
      <c r="AM170">
        <v>0</v>
      </c>
      <c r="AN170">
        <v>16601001</v>
      </c>
      <c r="AO170">
        <v>0</v>
      </c>
      <c r="AP170">
        <v>1000</v>
      </c>
      <c r="AT170">
        <v>0</v>
      </c>
      <c r="AU170" t="s">
        <v>1059</v>
      </c>
      <c r="AW170" t="s">
        <v>1053</v>
      </c>
      <c r="AX170">
        <v>0</v>
      </c>
      <c r="AY170" s="20">
        <v>40786</v>
      </c>
      <c r="BA170" s="20">
        <v>40786</v>
      </c>
      <c r="BB170" t="s">
        <v>1058</v>
      </c>
      <c r="BD170">
        <v>0</v>
      </c>
      <c r="BF170" t="s">
        <v>1043</v>
      </c>
      <c r="BG170" t="s">
        <v>1042</v>
      </c>
      <c r="BH170">
        <v>0</v>
      </c>
      <c r="BI170">
        <v>1</v>
      </c>
      <c r="BJ170">
        <v>0</v>
      </c>
      <c r="BK170">
        <v>0</v>
      </c>
      <c r="BM170" t="s">
        <v>1042</v>
      </c>
      <c r="BN170">
        <v>0</v>
      </c>
      <c r="BR170" t="s">
        <v>1043</v>
      </c>
      <c r="BS170" t="s">
        <v>1043</v>
      </c>
      <c r="BT170" t="s">
        <v>1043</v>
      </c>
      <c r="BW170">
        <v>83</v>
      </c>
      <c r="CA170">
        <v>0</v>
      </c>
      <c r="CB170" t="s">
        <v>1057</v>
      </c>
      <c r="CE170" t="s">
        <v>1043</v>
      </c>
      <c r="CH170" t="s">
        <v>1043</v>
      </c>
      <c r="CN170" t="s">
        <v>1056</v>
      </c>
      <c r="CO170" t="s">
        <v>1043</v>
      </c>
      <c r="CP170">
        <v>1</v>
      </c>
      <c r="CQ170">
        <v>0</v>
      </c>
      <c r="CS170">
        <v>0</v>
      </c>
      <c r="CT170">
        <v>0</v>
      </c>
      <c r="CU170">
        <v>0</v>
      </c>
      <c r="CV170" t="s">
        <v>1045</v>
      </c>
      <c r="CW170">
        <v>0</v>
      </c>
      <c r="CX170">
        <v>0</v>
      </c>
      <c r="CY170">
        <v>0</v>
      </c>
      <c r="CZ170">
        <v>0</v>
      </c>
      <c r="DB170">
        <v>0</v>
      </c>
      <c r="DC170" t="s">
        <v>1043</v>
      </c>
      <c r="DF170" t="s">
        <v>1055</v>
      </c>
      <c r="DH170">
        <v>0</v>
      </c>
      <c r="DJ170">
        <v>0</v>
      </c>
      <c r="DK170" t="s">
        <v>1053</v>
      </c>
      <c r="DL170">
        <v>0</v>
      </c>
      <c r="DN170">
        <v>0</v>
      </c>
      <c r="DO170" t="s">
        <v>1042</v>
      </c>
      <c r="DP170">
        <v>0</v>
      </c>
      <c r="DQ170">
        <v>0</v>
      </c>
      <c r="DS170">
        <v>0</v>
      </c>
      <c r="DU170">
        <v>0</v>
      </c>
      <c r="DW170">
        <v>0</v>
      </c>
      <c r="DX170" t="s">
        <v>1043</v>
      </c>
      <c r="DY170">
        <v>0</v>
      </c>
      <c r="DZ170">
        <v>0</v>
      </c>
      <c r="EA170">
        <v>0</v>
      </c>
      <c r="ED170" t="s">
        <v>1045</v>
      </c>
      <c r="EE170">
        <v>0</v>
      </c>
      <c r="EF170">
        <v>0</v>
      </c>
      <c r="EQ170" t="s">
        <v>1044</v>
      </c>
      <c r="ES170" t="s">
        <v>1053</v>
      </c>
      <c r="ET170">
        <v>0</v>
      </c>
      <c r="EV170">
        <v>0</v>
      </c>
      <c r="EY170" t="s">
        <v>1052</v>
      </c>
      <c r="EZ170">
        <v>0</v>
      </c>
      <c r="FA170" t="s">
        <v>1043</v>
      </c>
      <c r="FB170">
        <v>0</v>
      </c>
      <c r="FC170">
        <v>0</v>
      </c>
      <c r="FE170" t="s">
        <v>1050</v>
      </c>
      <c r="FF170">
        <v>0</v>
      </c>
      <c r="FG170" t="s">
        <v>1050</v>
      </c>
      <c r="FJ170">
        <v>0</v>
      </c>
      <c r="FK170">
        <v>0</v>
      </c>
      <c r="FP170">
        <v>0</v>
      </c>
      <c r="FR170">
        <v>0</v>
      </c>
      <c r="FS170" t="s">
        <v>1043</v>
      </c>
      <c r="FX170" t="s">
        <v>1042</v>
      </c>
      <c r="FZ170" t="s">
        <v>1048</v>
      </c>
      <c r="GA170">
        <v>0</v>
      </c>
      <c r="GB170" t="s">
        <v>1042</v>
      </c>
      <c r="GE170">
        <v>0</v>
      </c>
      <c r="GG170">
        <v>0</v>
      </c>
      <c r="GN170">
        <v>0</v>
      </c>
      <c r="GO170" t="s">
        <v>1063</v>
      </c>
      <c r="GQ170">
        <v>0</v>
      </c>
      <c r="GU170">
        <v>0</v>
      </c>
      <c r="GY170" t="s">
        <v>1045</v>
      </c>
      <c r="HB170">
        <v>0</v>
      </c>
      <c r="HE170">
        <v>0</v>
      </c>
      <c r="HF170">
        <v>0</v>
      </c>
      <c r="HG170">
        <v>0</v>
      </c>
      <c r="HK170" t="s">
        <v>1042</v>
      </c>
      <c r="HM170" t="s">
        <v>1047</v>
      </c>
      <c r="HN170">
        <v>0</v>
      </c>
      <c r="HP170">
        <v>0</v>
      </c>
      <c r="HQ170">
        <v>0</v>
      </c>
      <c r="HR170" t="s">
        <v>1042</v>
      </c>
      <c r="HS170" t="s">
        <v>1043</v>
      </c>
      <c r="HT170">
        <v>0</v>
      </c>
      <c r="HU170">
        <v>0</v>
      </c>
      <c r="HW170">
        <v>0</v>
      </c>
      <c r="HX170">
        <v>0</v>
      </c>
      <c r="HY170">
        <v>0</v>
      </c>
      <c r="HZ170" t="s">
        <v>1045</v>
      </c>
      <c r="IA170">
        <v>0</v>
      </c>
      <c r="IB170" t="s">
        <v>1045</v>
      </c>
      <c r="ID170" t="s">
        <v>1045</v>
      </c>
      <c r="IF170">
        <v>0</v>
      </c>
      <c r="IG170" t="s">
        <v>1042</v>
      </c>
      <c r="II170" t="s">
        <v>1042</v>
      </c>
      <c r="IR170" t="s">
        <v>1045</v>
      </c>
      <c r="IT170">
        <v>0</v>
      </c>
      <c r="IY170" t="s">
        <v>1044</v>
      </c>
      <c r="IZ170" t="s">
        <v>1043</v>
      </c>
      <c r="JC170" t="s">
        <v>1043</v>
      </c>
      <c r="JE170">
        <v>0</v>
      </c>
      <c r="JF170">
        <v>0</v>
      </c>
      <c r="JI170" t="s">
        <v>1042</v>
      </c>
      <c r="JJ170">
        <v>0</v>
      </c>
      <c r="JK170">
        <v>0</v>
      </c>
      <c r="JL170">
        <v>0</v>
      </c>
      <c r="JM170">
        <v>0</v>
      </c>
      <c r="JQ170" t="s">
        <v>1043</v>
      </c>
      <c r="JT170">
        <v>0</v>
      </c>
      <c r="JU170" t="s">
        <v>1042</v>
      </c>
      <c r="JW170">
        <v>0</v>
      </c>
      <c r="KA170">
        <v>0</v>
      </c>
      <c r="KF170">
        <v>0</v>
      </c>
      <c r="KG170">
        <v>0</v>
      </c>
      <c r="KH170">
        <v>0</v>
      </c>
      <c r="KI170">
        <v>0</v>
      </c>
      <c r="KS170" t="s">
        <v>1073</v>
      </c>
      <c r="KT170">
        <v>0</v>
      </c>
      <c r="KU170">
        <v>0</v>
      </c>
      <c r="KV170">
        <v>0</v>
      </c>
      <c r="KX170">
        <v>0</v>
      </c>
      <c r="KZ170">
        <v>0</v>
      </c>
      <c r="LF170">
        <v>0</v>
      </c>
      <c r="LH170">
        <v>0</v>
      </c>
      <c r="LI170">
        <v>0</v>
      </c>
    </row>
    <row r="171" spans="1:321" x14ac:dyDescent="0.35">
      <c r="A171">
        <v>1</v>
      </c>
      <c r="B171">
        <v>12402</v>
      </c>
      <c r="C171" t="s">
        <v>1536</v>
      </c>
      <c r="D171" t="s">
        <v>1139</v>
      </c>
      <c r="E171" t="s">
        <v>85</v>
      </c>
      <c r="F171">
        <v>80</v>
      </c>
      <c r="G171">
        <v>9000</v>
      </c>
      <c r="H171">
        <v>0</v>
      </c>
      <c r="I171" t="s">
        <v>1535</v>
      </c>
      <c r="L171">
        <v>0</v>
      </c>
      <c r="M171">
        <v>0</v>
      </c>
      <c r="N171">
        <v>0</v>
      </c>
      <c r="R171">
        <v>0</v>
      </c>
      <c r="S171">
        <v>0</v>
      </c>
      <c r="W171" t="s">
        <v>1060</v>
      </c>
      <c r="X171">
        <v>0</v>
      </c>
      <c r="Z171">
        <v>1</v>
      </c>
      <c r="AA171">
        <v>0</v>
      </c>
      <c r="AB171">
        <v>0</v>
      </c>
      <c r="AC171">
        <v>332</v>
      </c>
      <c r="AD171" s="20">
        <v>40794</v>
      </c>
      <c r="AE171">
        <v>400</v>
      </c>
      <c r="AF171">
        <v>0</v>
      </c>
      <c r="AH171">
        <v>0</v>
      </c>
      <c r="AJ171">
        <v>0</v>
      </c>
      <c r="AL171">
        <v>0</v>
      </c>
      <c r="AM171">
        <v>0</v>
      </c>
      <c r="AN171">
        <v>16601001</v>
      </c>
      <c r="AO171">
        <v>0</v>
      </c>
      <c r="AP171">
        <v>1000</v>
      </c>
      <c r="AT171">
        <v>0</v>
      </c>
      <c r="AU171" t="s">
        <v>1059</v>
      </c>
      <c r="AW171" t="s">
        <v>1053</v>
      </c>
      <c r="AX171">
        <v>0</v>
      </c>
      <c r="AY171" s="20">
        <v>40786</v>
      </c>
      <c r="BA171" s="20">
        <v>40786</v>
      </c>
      <c r="BB171" t="s">
        <v>1058</v>
      </c>
      <c r="BD171">
        <v>0</v>
      </c>
      <c r="BF171" t="s">
        <v>1043</v>
      </c>
      <c r="BG171" t="s">
        <v>1042</v>
      </c>
      <c r="BH171">
        <v>0</v>
      </c>
      <c r="BI171">
        <v>1</v>
      </c>
      <c r="BJ171">
        <v>0</v>
      </c>
      <c r="BK171">
        <v>0</v>
      </c>
      <c r="BM171" t="s">
        <v>1042</v>
      </c>
      <c r="BN171">
        <v>0</v>
      </c>
      <c r="BR171" t="s">
        <v>1043</v>
      </c>
      <c r="BS171" t="s">
        <v>1043</v>
      </c>
      <c r="BT171" t="s">
        <v>1043</v>
      </c>
      <c r="BW171">
        <v>83</v>
      </c>
      <c r="CA171">
        <v>0</v>
      </c>
      <c r="CB171" t="s">
        <v>1057</v>
      </c>
      <c r="CE171" t="s">
        <v>1043</v>
      </c>
      <c r="CH171" t="s">
        <v>1043</v>
      </c>
      <c r="CN171" t="s">
        <v>1056</v>
      </c>
      <c r="CO171" t="s">
        <v>1043</v>
      </c>
      <c r="CP171">
        <v>1</v>
      </c>
      <c r="CQ171">
        <v>0</v>
      </c>
      <c r="CS171">
        <v>0</v>
      </c>
      <c r="CT171">
        <v>0</v>
      </c>
      <c r="CU171">
        <v>0</v>
      </c>
      <c r="CV171" t="s">
        <v>1045</v>
      </c>
      <c r="CW171">
        <v>0</v>
      </c>
      <c r="CX171">
        <v>0</v>
      </c>
      <c r="CY171">
        <v>0</v>
      </c>
      <c r="CZ171">
        <v>0</v>
      </c>
      <c r="DB171">
        <v>0</v>
      </c>
      <c r="DC171" t="s">
        <v>1043</v>
      </c>
      <c r="DF171" t="s">
        <v>1055</v>
      </c>
      <c r="DH171">
        <v>0</v>
      </c>
      <c r="DJ171">
        <v>0</v>
      </c>
      <c r="DK171" t="s">
        <v>1053</v>
      </c>
      <c r="DL171">
        <v>0</v>
      </c>
      <c r="DN171">
        <v>0</v>
      </c>
      <c r="DO171" t="s">
        <v>1042</v>
      </c>
      <c r="DP171">
        <v>0</v>
      </c>
      <c r="DQ171">
        <v>0</v>
      </c>
      <c r="DS171">
        <v>0</v>
      </c>
      <c r="DU171">
        <v>0</v>
      </c>
      <c r="DW171">
        <v>0</v>
      </c>
      <c r="DX171" t="s">
        <v>1043</v>
      </c>
      <c r="DY171">
        <v>0</v>
      </c>
      <c r="DZ171">
        <v>0</v>
      </c>
      <c r="EA171">
        <v>0</v>
      </c>
      <c r="ED171" t="s">
        <v>1045</v>
      </c>
      <c r="EE171">
        <v>0</v>
      </c>
      <c r="EF171">
        <v>0</v>
      </c>
      <c r="EQ171" t="s">
        <v>1044</v>
      </c>
      <c r="ES171" t="s">
        <v>1053</v>
      </c>
      <c r="ET171">
        <v>0</v>
      </c>
      <c r="EV171">
        <v>0</v>
      </c>
      <c r="EY171" t="s">
        <v>1052</v>
      </c>
      <c r="EZ171">
        <v>0</v>
      </c>
      <c r="FA171" t="s">
        <v>1043</v>
      </c>
      <c r="FB171">
        <v>0</v>
      </c>
      <c r="FC171">
        <v>0</v>
      </c>
      <c r="FE171" t="s">
        <v>1050</v>
      </c>
      <c r="FF171">
        <v>0</v>
      </c>
      <c r="FG171" t="s">
        <v>1050</v>
      </c>
      <c r="FJ171">
        <v>0</v>
      </c>
      <c r="FK171">
        <v>0</v>
      </c>
      <c r="FP171">
        <v>0</v>
      </c>
      <c r="FR171">
        <v>0</v>
      </c>
      <c r="FS171" t="s">
        <v>1043</v>
      </c>
      <c r="FX171" t="s">
        <v>1042</v>
      </c>
      <c r="FZ171" t="s">
        <v>1048</v>
      </c>
      <c r="GA171">
        <v>0</v>
      </c>
      <c r="GB171" t="s">
        <v>1042</v>
      </c>
      <c r="GE171">
        <v>0</v>
      </c>
      <c r="GG171">
        <v>0</v>
      </c>
      <c r="GN171">
        <v>0</v>
      </c>
      <c r="GO171" t="s">
        <v>1063</v>
      </c>
      <c r="GQ171">
        <v>0</v>
      </c>
      <c r="GU171">
        <v>0</v>
      </c>
      <c r="GY171" t="s">
        <v>1045</v>
      </c>
      <c r="HB171">
        <v>0</v>
      </c>
      <c r="HE171">
        <v>0</v>
      </c>
      <c r="HF171">
        <v>0</v>
      </c>
      <c r="HG171">
        <v>0</v>
      </c>
      <c r="HK171" t="s">
        <v>1042</v>
      </c>
      <c r="HM171" t="s">
        <v>1047</v>
      </c>
      <c r="HN171">
        <v>0</v>
      </c>
      <c r="HP171">
        <v>0</v>
      </c>
      <c r="HQ171">
        <v>0</v>
      </c>
      <c r="HR171" t="s">
        <v>1042</v>
      </c>
      <c r="HS171" t="s">
        <v>1043</v>
      </c>
      <c r="HT171">
        <v>0</v>
      </c>
      <c r="HU171">
        <v>0</v>
      </c>
      <c r="HW171">
        <v>0</v>
      </c>
      <c r="HX171">
        <v>0</v>
      </c>
      <c r="HY171">
        <v>0</v>
      </c>
      <c r="HZ171" t="s">
        <v>1045</v>
      </c>
      <c r="IA171">
        <v>0</v>
      </c>
      <c r="IB171" t="s">
        <v>1045</v>
      </c>
      <c r="ID171" t="s">
        <v>1045</v>
      </c>
      <c r="IF171">
        <v>0</v>
      </c>
      <c r="IG171" t="s">
        <v>1042</v>
      </c>
      <c r="II171" t="s">
        <v>1042</v>
      </c>
      <c r="IR171" t="s">
        <v>1045</v>
      </c>
      <c r="IT171">
        <v>0</v>
      </c>
      <c r="IY171" t="s">
        <v>1044</v>
      </c>
      <c r="IZ171" t="s">
        <v>1043</v>
      </c>
      <c r="JC171" t="s">
        <v>1043</v>
      </c>
      <c r="JE171">
        <v>0</v>
      </c>
      <c r="JF171">
        <v>0</v>
      </c>
      <c r="JI171" t="s">
        <v>1042</v>
      </c>
      <c r="JJ171">
        <v>0</v>
      </c>
      <c r="JK171">
        <v>0</v>
      </c>
      <c r="JL171">
        <v>0</v>
      </c>
      <c r="JM171">
        <v>0</v>
      </c>
      <c r="JQ171" t="s">
        <v>1043</v>
      </c>
      <c r="JT171">
        <v>0</v>
      </c>
      <c r="JU171" t="s">
        <v>1042</v>
      </c>
      <c r="JW171">
        <v>0</v>
      </c>
      <c r="KA171">
        <v>0</v>
      </c>
      <c r="KF171">
        <v>0</v>
      </c>
      <c r="KG171">
        <v>0</v>
      </c>
      <c r="KH171">
        <v>0</v>
      </c>
      <c r="KI171">
        <v>0</v>
      </c>
      <c r="KS171" t="s">
        <v>1073</v>
      </c>
      <c r="KT171">
        <v>0</v>
      </c>
      <c r="KU171">
        <v>0</v>
      </c>
      <c r="KV171">
        <v>0</v>
      </c>
      <c r="KX171">
        <v>0</v>
      </c>
      <c r="KZ171">
        <v>0</v>
      </c>
      <c r="LF171">
        <v>0</v>
      </c>
      <c r="LH171">
        <v>0</v>
      </c>
      <c r="LI171">
        <v>0</v>
      </c>
    </row>
    <row r="172" spans="1:321" x14ac:dyDescent="0.35">
      <c r="A172">
        <v>1</v>
      </c>
      <c r="B172">
        <v>12403</v>
      </c>
      <c r="C172" t="s">
        <v>1534</v>
      </c>
      <c r="D172" t="s">
        <v>1139</v>
      </c>
      <c r="E172" t="s">
        <v>85</v>
      </c>
      <c r="F172">
        <v>80</v>
      </c>
      <c r="G172">
        <v>9000</v>
      </c>
      <c r="H172">
        <v>0</v>
      </c>
      <c r="I172" t="s">
        <v>1532</v>
      </c>
      <c r="L172">
        <v>0</v>
      </c>
      <c r="M172">
        <v>0</v>
      </c>
      <c r="N172">
        <v>0</v>
      </c>
      <c r="R172">
        <v>0</v>
      </c>
      <c r="S172">
        <v>0</v>
      </c>
      <c r="W172" t="s">
        <v>1060</v>
      </c>
      <c r="X172">
        <v>0</v>
      </c>
      <c r="Z172">
        <v>1</v>
      </c>
      <c r="AA172">
        <v>0</v>
      </c>
      <c r="AB172">
        <v>0</v>
      </c>
      <c r="AC172">
        <v>104425</v>
      </c>
      <c r="AD172" s="20">
        <v>40786</v>
      </c>
      <c r="AE172">
        <v>0</v>
      </c>
      <c r="AF172">
        <v>0</v>
      </c>
      <c r="AH172">
        <v>0</v>
      </c>
      <c r="AJ172">
        <v>0</v>
      </c>
      <c r="AL172">
        <v>0</v>
      </c>
      <c r="AM172">
        <v>0</v>
      </c>
      <c r="AN172">
        <v>16601001</v>
      </c>
      <c r="AO172">
        <v>0</v>
      </c>
      <c r="AP172">
        <v>1000</v>
      </c>
      <c r="AT172">
        <v>0</v>
      </c>
      <c r="AU172" t="s">
        <v>1059</v>
      </c>
      <c r="AW172" t="s">
        <v>1053</v>
      </c>
      <c r="AX172">
        <v>0</v>
      </c>
      <c r="AY172" s="20">
        <v>40786</v>
      </c>
      <c r="BA172" s="20">
        <v>40786</v>
      </c>
      <c r="BB172" t="s">
        <v>1058</v>
      </c>
      <c r="BD172">
        <v>0</v>
      </c>
      <c r="BF172" t="s">
        <v>1043</v>
      </c>
      <c r="BG172" t="s">
        <v>1042</v>
      </c>
      <c r="BH172">
        <v>0</v>
      </c>
      <c r="BI172">
        <v>1</v>
      </c>
      <c r="BJ172">
        <v>0</v>
      </c>
      <c r="BK172">
        <v>0</v>
      </c>
      <c r="BM172" t="s">
        <v>1042</v>
      </c>
      <c r="BN172">
        <v>0</v>
      </c>
      <c r="BR172" t="s">
        <v>1043</v>
      </c>
      <c r="BS172" t="s">
        <v>1043</v>
      </c>
      <c r="BT172" t="s">
        <v>1043</v>
      </c>
      <c r="BW172">
        <v>83</v>
      </c>
      <c r="CA172">
        <v>0</v>
      </c>
      <c r="CB172" t="s">
        <v>1057</v>
      </c>
      <c r="CE172" t="s">
        <v>1043</v>
      </c>
      <c r="CH172" t="s">
        <v>1043</v>
      </c>
      <c r="CN172" t="s">
        <v>1056</v>
      </c>
      <c r="CO172" t="s">
        <v>1043</v>
      </c>
      <c r="CP172">
        <v>1</v>
      </c>
      <c r="CQ172">
        <v>0</v>
      </c>
      <c r="CS172">
        <v>0</v>
      </c>
      <c r="CT172">
        <v>0</v>
      </c>
      <c r="CU172">
        <v>0</v>
      </c>
      <c r="CV172" t="s">
        <v>1045</v>
      </c>
      <c r="CW172">
        <v>0</v>
      </c>
      <c r="CX172">
        <v>0</v>
      </c>
      <c r="CY172">
        <v>0</v>
      </c>
      <c r="CZ172">
        <v>0</v>
      </c>
      <c r="DB172">
        <v>0</v>
      </c>
      <c r="DC172" t="s">
        <v>1043</v>
      </c>
      <c r="DF172" t="s">
        <v>1055</v>
      </c>
      <c r="DH172">
        <v>0</v>
      </c>
      <c r="DJ172">
        <v>0</v>
      </c>
      <c r="DK172" t="s">
        <v>1053</v>
      </c>
      <c r="DL172">
        <v>0</v>
      </c>
      <c r="DN172">
        <v>0</v>
      </c>
      <c r="DO172" t="s">
        <v>1042</v>
      </c>
      <c r="DP172">
        <v>0</v>
      </c>
      <c r="DQ172">
        <v>0</v>
      </c>
      <c r="DS172">
        <v>0</v>
      </c>
      <c r="DU172">
        <v>0</v>
      </c>
      <c r="DW172">
        <v>0</v>
      </c>
      <c r="DX172" t="s">
        <v>1043</v>
      </c>
      <c r="DY172">
        <v>0</v>
      </c>
      <c r="DZ172">
        <v>0</v>
      </c>
      <c r="EA172">
        <v>0</v>
      </c>
      <c r="ED172" t="s">
        <v>1045</v>
      </c>
      <c r="EE172">
        <v>0</v>
      </c>
      <c r="EF172">
        <v>0</v>
      </c>
      <c r="EQ172" t="s">
        <v>1044</v>
      </c>
      <c r="ES172" t="s">
        <v>1053</v>
      </c>
      <c r="ET172">
        <v>0</v>
      </c>
      <c r="EV172">
        <v>0</v>
      </c>
      <c r="EY172" t="s">
        <v>1052</v>
      </c>
      <c r="EZ172">
        <v>0</v>
      </c>
      <c r="FA172" t="s">
        <v>1043</v>
      </c>
      <c r="FB172">
        <v>0</v>
      </c>
      <c r="FC172">
        <v>0</v>
      </c>
      <c r="FE172" t="s">
        <v>1050</v>
      </c>
      <c r="FF172">
        <v>0</v>
      </c>
      <c r="FG172" t="s">
        <v>1050</v>
      </c>
      <c r="FJ172">
        <v>0</v>
      </c>
      <c r="FK172">
        <v>0</v>
      </c>
      <c r="FP172">
        <v>0</v>
      </c>
      <c r="FR172">
        <v>0</v>
      </c>
      <c r="FS172" t="s">
        <v>1043</v>
      </c>
      <c r="FX172" t="s">
        <v>1042</v>
      </c>
      <c r="FZ172" t="s">
        <v>1048</v>
      </c>
      <c r="GA172">
        <v>0</v>
      </c>
      <c r="GB172" t="s">
        <v>1042</v>
      </c>
      <c r="GE172">
        <v>0</v>
      </c>
      <c r="GG172">
        <v>0</v>
      </c>
      <c r="GN172">
        <v>0</v>
      </c>
      <c r="GO172" t="s">
        <v>1063</v>
      </c>
      <c r="GQ172">
        <v>0</v>
      </c>
      <c r="GU172">
        <v>0</v>
      </c>
      <c r="GY172" t="s">
        <v>1045</v>
      </c>
      <c r="HB172">
        <v>0</v>
      </c>
      <c r="HE172">
        <v>0</v>
      </c>
      <c r="HF172">
        <v>0</v>
      </c>
      <c r="HG172">
        <v>0</v>
      </c>
      <c r="HK172" t="s">
        <v>1042</v>
      </c>
      <c r="HM172" t="s">
        <v>1047</v>
      </c>
      <c r="HN172">
        <v>0</v>
      </c>
      <c r="HP172">
        <v>0</v>
      </c>
      <c r="HQ172">
        <v>0</v>
      </c>
      <c r="HR172" t="s">
        <v>1042</v>
      </c>
      <c r="HS172" t="s">
        <v>1043</v>
      </c>
      <c r="HT172">
        <v>0</v>
      </c>
      <c r="HU172">
        <v>0</v>
      </c>
      <c r="HW172">
        <v>0</v>
      </c>
      <c r="HX172">
        <v>0</v>
      </c>
      <c r="HY172">
        <v>0</v>
      </c>
      <c r="HZ172" t="s">
        <v>1045</v>
      </c>
      <c r="IA172">
        <v>0</v>
      </c>
      <c r="IB172" t="s">
        <v>1045</v>
      </c>
      <c r="ID172" t="s">
        <v>1045</v>
      </c>
      <c r="IF172">
        <v>0</v>
      </c>
      <c r="IG172" t="s">
        <v>1042</v>
      </c>
      <c r="II172" t="s">
        <v>1042</v>
      </c>
      <c r="IR172" t="s">
        <v>1045</v>
      </c>
      <c r="IT172">
        <v>0</v>
      </c>
      <c r="IY172" t="s">
        <v>1044</v>
      </c>
      <c r="IZ172" t="s">
        <v>1043</v>
      </c>
      <c r="JC172" t="s">
        <v>1043</v>
      </c>
      <c r="JE172">
        <v>0</v>
      </c>
      <c r="JF172">
        <v>0</v>
      </c>
      <c r="JI172" t="s">
        <v>1042</v>
      </c>
      <c r="JJ172">
        <v>0</v>
      </c>
      <c r="JK172">
        <v>0</v>
      </c>
      <c r="JL172">
        <v>0</v>
      </c>
      <c r="JM172">
        <v>0</v>
      </c>
      <c r="JQ172" t="s">
        <v>1043</v>
      </c>
      <c r="JT172">
        <v>0</v>
      </c>
      <c r="JU172" t="s">
        <v>1042</v>
      </c>
      <c r="JW172">
        <v>0</v>
      </c>
      <c r="KA172">
        <v>0</v>
      </c>
      <c r="KF172">
        <v>0</v>
      </c>
      <c r="KG172">
        <v>0</v>
      </c>
      <c r="KH172">
        <v>0</v>
      </c>
      <c r="KI172">
        <v>0</v>
      </c>
      <c r="KS172" t="s">
        <v>1073</v>
      </c>
      <c r="KT172">
        <v>0</v>
      </c>
      <c r="KU172">
        <v>0</v>
      </c>
      <c r="KV172">
        <v>0</v>
      </c>
      <c r="KX172">
        <v>0</v>
      </c>
      <c r="KZ172">
        <v>0</v>
      </c>
      <c r="LF172">
        <v>0</v>
      </c>
      <c r="LH172">
        <v>0</v>
      </c>
      <c r="LI172">
        <v>0</v>
      </c>
    </row>
    <row r="173" spans="1:321" x14ac:dyDescent="0.35">
      <c r="A173">
        <v>1</v>
      </c>
      <c r="B173">
        <v>12404</v>
      </c>
      <c r="C173" t="s">
        <v>1533</v>
      </c>
      <c r="D173" t="s">
        <v>1139</v>
      </c>
      <c r="E173" t="s">
        <v>85</v>
      </c>
      <c r="F173">
        <v>80</v>
      </c>
      <c r="G173">
        <v>9000</v>
      </c>
      <c r="H173">
        <v>0</v>
      </c>
      <c r="I173" t="s">
        <v>1532</v>
      </c>
      <c r="L173">
        <v>0</v>
      </c>
      <c r="M173">
        <v>0</v>
      </c>
      <c r="N173">
        <v>0</v>
      </c>
      <c r="R173">
        <v>0</v>
      </c>
      <c r="S173">
        <v>0</v>
      </c>
      <c r="W173" t="s">
        <v>1060</v>
      </c>
      <c r="X173">
        <v>0</v>
      </c>
      <c r="Z173">
        <v>1</v>
      </c>
      <c r="AA173">
        <v>0</v>
      </c>
      <c r="AB173">
        <v>0</v>
      </c>
      <c r="AC173">
        <v>104425</v>
      </c>
      <c r="AD173" s="20">
        <v>40786</v>
      </c>
      <c r="AE173">
        <v>0</v>
      </c>
      <c r="AF173">
        <v>0</v>
      </c>
      <c r="AH173">
        <v>0</v>
      </c>
      <c r="AJ173">
        <v>0</v>
      </c>
      <c r="AL173">
        <v>0</v>
      </c>
      <c r="AM173">
        <v>0</v>
      </c>
      <c r="AN173">
        <v>16601001</v>
      </c>
      <c r="AO173">
        <v>0</v>
      </c>
      <c r="AP173">
        <v>1000</v>
      </c>
      <c r="AT173">
        <v>0</v>
      </c>
      <c r="AU173" t="s">
        <v>1059</v>
      </c>
      <c r="AW173" t="s">
        <v>1053</v>
      </c>
      <c r="AX173">
        <v>0</v>
      </c>
      <c r="AY173" s="20">
        <v>40786</v>
      </c>
      <c r="BA173" s="20">
        <v>40786</v>
      </c>
      <c r="BB173" t="s">
        <v>1058</v>
      </c>
      <c r="BD173">
        <v>0</v>
      </c>
      <c r="BF173" t="s">
        <v>1043</v>
      </c>
      <c r="BG173" t="s">
        <v>1042</v>
      </c>
      <c r="BH173">
        <v>0</v>
      </c>
      <c r="BI173">
        <v>1</v>
      </c>
      <c r="BJ173">
        <v>0</v>
      </c>
      <c r="BK173">
        <v>0</v>
      </c>
      <c r="BM173" t="s">
        <v>1042</v>
      </c>
      <c r="BN173">
        <v>0</v>
      </c>
      <c r="BR173" t="s">
        <v>1043</v>
      </c>
      <c r="BS173" t="s">
        <v>1043</v>
      </c>
      <c r="BT173" t="s">
        <v>1043</v>
      </c>
      <c r="BW173">
        <v>83</v>
      </c>
      <c r="CA173">
        <v>0</v>
      </c>
      <c r="CB173" t="s">
        <v>1057</v>
      </c>
      <c r="CE173" t="s">
        <v>1043</v>
      </c>
      <c r="CH173" t="s">
        <v>1043</v>
      </c>
      <c r="CN173" t="s">
        <v>1056</v>
      </c>
      <c r="CO173" t="s">
        <v>1043</v>
      </c>
      <c r="CP173">
        <v>1</v>
      </c>
      <c r="CQ173">
        <v>0</v>
      </c>
      <c r="CS173">
        <v>0</v>
      </c>
      <c r="CT173">
        <v>0</v>
      </c>
      <c r="CU173">
        <v>0</v>
      </c>
      <c r="CV173" t="s">
        <v>1045</v>
      </c>
      <c r="CW173">
        <v>0</v>
      </c>
      <c r="CX173">
        <v>0</v>
      </c>
      <c r="CY173">
        <v>0</v>
      </c>
      <c r="CZ173">
        <v>0</v>
      </c>
      <c r="DB173">
        <v>0</v>
      </c>
      <c r="DC173" t="s">
        <v>1043</v>
      </c>
      <c r="DF173" t="s">
        <v>1055</v>
      </c>
      <c r="DH173">
        <v>0</v>
      </c>
      <c r="DJ173">
        <v>0</v>
      </c>
      <c r="DK173" t="s">
        <v>1053</v>
      </c>
      <c r="DL173">
        <v>0</v>
      </c>
      <c r="DN173">
        <v>0</v>
      </c>
      <c r="DO173" t="s">
        <v>1042</v>
      </c>
      <c r="DP173">
        <v>0</v>
      </c>
      <c r="DQ173">
        <v>0</v>
      </c>
      <c r="DS173">
        <v>0</v>
      </c>
      <c r="DU173">
        <v>0</v>
      </c>
      <c r="DW173">
        <v>0</v>
      </c>
      <c r="DX173" t="s">
        <v>1043</v>
      </c>
      <c r="DY173">
        <v>0</v>
      </c>
      <c r="DZ173">
        <v>0</v>
      </c>
      <c r="EA173">
        <v>0</v>
      </c>
      <c r="ED173" t="s">
        <v>1045</v>
      </c>
      <c r="EE173">
        <v>0</v>
      </c>
      <c r="EF173">
        <v>0</v>
      </c>
      <c r="EQ173" t="s">
        <v>1044</v>
      </c>
      <c r="ES173" t="s">
        <v>1053</v>
      </c>
      <c r="ET173">
        <v>0</v>
      </c>
      <c r="EV173">
        <v>0</v>
      </c>
      <c r="EY173" t="s">
        <v>1052</v>
      </c>
      <c r="EZ173">
        <v>0</v>
      </c>
      <c r="FA173" t="s">
        <v>1043</v>
      </c>
      <c r="FB173">
        <v>0</v>
      </c>
      <c r="FC173">
        <v>0</v>
      </c>
      <c r="FE173" t="s">
        <v>1050</v>
      </c>
      <c r="FF173">
        <v>0</v>
      </c>
      <c r="FG173" t="s">
        <v>1050</v>
      </c>
      <c r="FJ173">
        <v>0</v>
      </c>
      <c r="FK173">
        <v>0</v>
      </c>
      <c r="FP173">
        <v>0</v>
      </c>
      <c r="FR173">
        <v>0</v>
      </c>
      <c r="FS173" t="s">
        <v>1043</v>
      </c>
      <c r="FX173" t="s">
        <v>1042</v>
      </c>
      <c r="FZ173" t="s">
        <v>1048</v>
      </c>
      <c r="GA173">
        <v>0</v>
      </c>
      <c r="GB173" t="s">
        <v>1042</v>
      </c>
      <c r="GE173">
        <v>0</v>
      </c>
      <c r="GG173">
        <v>0</v>
      </c>
      <c r="GN173">
        <v>0</v>
      </c>
      <c r="GO173" t="s">
        <v>1063</v>
      </c>
      <c r="GQ173">
        <v>0</v>
      </c>
      <c r="GU173">
        <v>0</v>
      </c>
      <c r="GY173" t="s">
        <v>1045</v>
      </c>
      <c r="HB173">
        <v>0</v>
      </c>
      <c r="HE173">
        <v>0</v>
      </c>
      <c r="HF173">
        <v>0</v>
      </c>
      <c r="HG173">
        <v>0</v>
      </c>
      <c r="HK173" t="s">
        <v>1042</v>
      </c>
      <c r="HM173" t="s">
        <v>1047</v>
      </c>
      <c r="HN173">
        <v>0</v>
      </c>
      <c r="HP173">
        <v>0</v>
      </c>
      <c r="HQ173">
        <v>0</v>
      </c>
      <c r="HR173" t="s">
        <v>1042</v>
      </c>
      <c r="HS173" t="s">
        <v>1043</v>
      </c>
      <c r="HT173">
        <v>0</v>
      </c>
      <c r="HU173">
        <v>0</v>
      </c>
      <c r="HW173">
        <v>0</v>
      </c>
      <c r="HX173">
        <v>0</v>
      </c>
      <c r="HY173">
        <v>0</v>
      </c>
      <c r="HZ173" t="s">
        <v>1045</v>
      </c>
      <c r="IA173">
        <v>0</v>
      </c>
      <c r="IB173" t="s">
        <v>1045</v>
      </c>
      <c r="ID173" t="s">
        <v>1045</v>
      </c>
      <c r="IF173">
        <v>0</v>
      </c>
      <c r="IG173" t="s">
        <v>1042</v>
      </c>
      <c r="II173" t="s">
        <v>1042</v>
      </c>
      <c r="IR173" t="s">
        <v>1045</v>
      </c>
      <c r="IT173">
        <v>0</v>
      </c>
      <c r="IY173" t="s">
        <v>1044</v>
      </c>
      <c r="IZ173" t="s">
        <v>1043</v>
      </c>
      <c r="JC173" t="s">
        <v>1043</v>
      </c>
      <c r="JE173">
        <v>0</v>
      </c>
      <c r="JF173">
        <v>0</v>
      </c>
      <c r="JI173" t="s">
        <v>1042</v>
      </c>
      <c r="JJ173">
        <v>0</v>
      </c>
      <c r="JK173">
        <v>0</v>
      </c>
      <c r="JL173">
        <v>0</v>
      </c>
      <c r="JM173">
        <v>0</v>
      </c>
      <c r="JQ173" t="s">
        <v>1043</v>
      </c>
      <c r="JT173">
        <v>0</v>
      </c>
      <c r="JU173" t="s">
        <v>1042</v>
      </c>
      <c r="JW173">
        <v>0</v>
      </c>
      <c r="KA173">
        <v>0</v>
      </c>
      <c r="KF173">
        <v>0</v>
      </c>
      <c r="KG173">
        <v>0</v>
      </c>
      <c r="KH173">
        <v>0</v>
      </c>
      <c r="KI173">
        <v>0</v>
      </c>
      <c r="KS173" t="s">
        <v>1073</v>
      </c>
      <c r="KT173">
        <v>0</v>
      </c>
      <c r="KU173">
        <v>0</v>
      </c>
      <c r="KV173">
        <v>0</v>
      </c>
      <c r="KX173">
        <v>0</v>
      </c>
      <c r="KZ173">
        <v>0</v>
      </c>
      <c r="LF173">
        <v>0</v>
      </c>
      <c r="LH173">
        <v>0</v>
      </c>
      <c r="LI173">
        <v>0</v>
      </c>
    </row>
    <row r="174" spans="1:321" x14ac:dyDescent="0.35">
      <c r="A174">
        <v>1</v>
      </c>
      <c r="B174">
        <v>12405</v>
      </c>
      <c r="C174" t="s">
        <v>1531</v>
      </c>
      <c r="D174" t="s">
        <v>1139</v>
      </c>
      <c r="E174" t="s">
        <v>85</v>
      </c>
      <c r="F174">
        <v>80</v>
      </c>
      <c r="G174">
        <v>9000</v>
      </c>
      <c r="H174">
        <v>0</v>
      </c>
      <c r="I174" t="s">
        <v>1505</v>
      </c>
      <c r="L174">
        <v>0</v>
      </c>
      <c r="M174">
        <v>0</v>
      </c>
      <c r="N174">
        <v>0</v>
      </c>
      <c r="R174">
        <v>0</v>
      </c>
      <c r="S174">
        <v>0</v>
      </c>
      <c r="W174" t="s">
        <v>1060</v>
      </c>
      <c r="X174">
        <v>0</v>
      </c>
      <c r="Z174">
        <v>1</v>
      </c>
      <c r="AA174">
        <v>0</v>
      </c>
      <c r="AB174">
        <v>0</v>
      </c>
      <c r="AC174">
        <v>13.409700000000001</v>
      </c>
      <c r="AD174" s="20">
        <v>40786</v>
      </c>
      <c r="AE174">
        <v>0</v>
      </c>
      <c r="AF174">
        <v>0</v>
      </c>
      <c r="AH174">
        <v>0</v>
      </c>
      <c r="AJ174">
        <v>0</v>
      </c>
      <c r="AL174">
        <v>0</v>
      </c>
      <c r="AM174">
        <v>0</v>
      </c>
      <c r="AN174">
        <v>16601001</v>
      </c>
      <c r="AO174">
        <v>0</v>
      </c>
      <c r="AP174">
        <v>1000</v>
      </c>
      <c r="AT174">
        <v>0</v>
      </c>
      <c r="AU174" t="s">
        <v>1059</v>
      </c>
      <c r="AW174" t="s">
        <v>1053</v>
      </c>
      <c r="AX174">
        <v>0</v>
      </c>
      <c r="AY174" s="20">
        <v>40786</v>
      </c>
      <c r="BA174" s="20">
        <v>40786</v>
      </c>
      <c r="BB174" t="s">
        <v>1058</v>
      </c>
      <c r="BD174">
        <v>0</v>
      </c>
      <c r="BF174" t="s">
        <v>1043</v>
      </c>
      <c r="BG174" t="s">
        <v>1042</v>
      </c>
      <c r="BH174">
        <v>0</v>
      </c>
      <c r="BI174">
        <v>1</v>
      </c>
      <c r="BJ174">
        <v>0</v>
      </c>
      <c r="BK174">
        <v>0</v>
      </c>
      <c r="BM174" t="s">
        <v>1042</v>
      </c>
      <c r="BN174">
        <v>0</v>
      </c>
      <c r="BR174" t="s">
        <v>1043</v>
      </c>
      <c r="BS174" t="s">
        <v>1043</v>
      </c>
      <c r="BT174" t="s">
        <v>1043</v>
      </c>
      <c r="BW174">
        <v>83</v>
      </c>
      <c r="CA174">
        <v>0</v>
      </c>
      <c r="CB174" t="s">
        <v>1057</v>
      </c>
      <c r="CE174" t="s">
        <v>1043</v>
      </c>
      <c r="CH174" t="s">
        <v>1043</v>
      </c>
      <c r="CN174" t="s">
        <v>1056</v>
      </c>
      <c r="CO174" t="s">
        <v>1043</v>
      </c>
      <c r="CP174">
        <v>1</v>
      </c>
      <c r="CQ174">
        <v>0</v>
      </c>
      <c r="CS174">
        <v>0</v>
      </c>
      <c r="CT174">
        <v>0</v>
      </c>
      <c r="CU174">
        <v>0</v>
      </c>
      <c r="CV174" t="s">
        <v>1045</v>
      </c>
      <c r="CW174">
        <v>0</v>
      </c>
      <c r="CX174">
        <v>0</v>
      </c>
      <c r="CY174">
        <v>0</v>
      </c>
      <c r="CZ174">
        <v>0</v>
      </c>
      <c r="DB174">
        <v>0</v>
      </c>
      <c r="DC174" t="s">
        <v>1043</v>
      </c>
      <c r="DF174" t="s">
        <v>1055</v>
      </c>
      <c r="DH174">
        <v>0</v>
      </c>
      <c r="DJ174">
        <v>0</v>
      </c>
      <c r="DK174" t="s">
        <v>1053</v>
      </c>
      <c r="DL174">
        <v>0</v>
      </c>
      <c r="DN174">
        <v>0</v>
      </c>
      <c r="DO174" t="s">
        <v>1042</v>
      </c>
      <c r="DP174">
        <v>0</v>
      </c>
      <c r="DQ174">
        <v>0</v>
      </c>
      <c r="DS174">
        <v>0</v>
      </c>
      <c r="DU174">
        <v>0</v>
      </c>
      <c r="DW174">
        <v>0</v>
      </c>
      <c r="DX174" t="s">
        <v>1043</v>
      </c>
      <c r="DY174">
        <v>0</v>
      </c>
      <c r="DZ174">
        <v>0</v>
      </c>
      <c r="EA174">
        <v>0</v>
      </c>
      <c r="ED174" t="s">
        <v>1045</v>
      </c>
      <c r="EE174">
        <v>0</v>
      </c>
      <c r="EF174">
        <v>0</v>
      </c>
      <c r="EQ174" t="s">
        <v>1044</v>
      </c>
      <c r="ES174" t="s">
        <v>1053</v>
      </c>
      <c r="ET174">
        <v>0</v>
      </c>
      <c r="EV174">
        <v>0</v>
      </c>
      <c r="EY174" t="s">
        <v>1052</v>
      </c>
      <c r="EZ174">
        <v>0</v>
      </c>
      <c r="FA174" t="s">
        <v>1043</v>
      </c>
      <c r="FB174">
        <v>0</v>
      </c>
      <c r="FC174">
        <v>0</v>
      </c>
      <c r="FE174" t="s">
        <v>1050</v>
      </c>
      <c r="FF174">
        <v>0</v>
      </c>
      <c r="FG174" t="s">
        <v>1050</v>
      </c>
      <c r="FJ174">
        <v>0</v>
      </c>
      <c r="FK174">
        <v>0</v>
      </c>
      <c r="FP174">
        <v>0</v>
      </c>
      <c r="FR174">
        <v>0</v>
      </c>
      <c r="FS174" t="s">
        <v>1043</v>
      </c>
      <c r="FX174" t="s">
        <v>1042</v>
      </c>
      <c r="FZ174" t="s">
        <v>1048</v>
      </c>
      <c r="GA174">
        <v>0</v>
      </c>
      <c r="GB174" t="s">
        <v>1042</v>
      </c>
      <c r="GE174">
        <v>0</v>
      </c>
      <c r="GG174">
        <v>0</v>
      </c>
      <c r="GN174">
        <v>0</v>
      </c>
      <c r="GO174" t="s">
        <v>1063</v>
      </c>
      <c r="GQ174">
        <v>0</v>
      </c>
      <c r="GU174">
        <v>0</v>
      </c>
      <c r="GY174" t="s">
        <v>1045</v>
      </c>
      <c r="HB174">
        <v>0</v>
      </c>
      <c r="HE174">
        <v>0</v>
      </c>
      <c r="HF174">
        <v>0</v>
      </c>
      <c r="HG174">
        <v>0</v>
      </c>
      <c r="HK174" t="s">
        <v>1042</v>
      </c>
      <c r="HM174" t="s">
        <v>1047</v>
      </c>
      <c r="HN174">
        <v>0</v>
      </c>
      <c r="HP174">
        <v>0</v>
      </c>
      <c r="HQ174">
        <v>0</v>
      </c>
      <c r="HR174" t="s">
        <v>1042</v>
      </c>
      <c r="HS174" t="s">
        <v>1043</v>
      </c>
      <c r="HT174">
        <v>0</v>
      </c>
      <c r="HU174">
        <v>0</v>
      </c>
      <c r="HW174">
        <v>0</v>
      </c>
      <c r="HX174">
        <v>0</v>
      </c>
      <c r="HY174">
        <v>0</v>
      </c>
      <c r="HZ174" t="s">
        <v>1045</v>
      </c>
      <c r="IA174">
        <v>0</v>
      </c>
      <c r="IB174" t="s">
        <v>1045</v>
      </c>
      <c r="ID174" t="s">
        <v>1045</v>
      </c>
      <c r="IF174">
        <v>0</v>
      </c>
      <c r="IG174" t="s">
        <v>1042</v>
      </c>
      <c r="II174" t="s">
        <v>1042</v>
      </c>
      <c r="IR174" t="s">
        <v>1045</v>
      </c>
      <c r="IT174">
        <v>0</v>
      </c>
      <c r="IY174" t="s">
        <v>1044</v>
      </c>
      <c r="IZ174" t="s">
        <v>1043</v>
      </c>
      <c r="JC174" t="s">
        <v>1043</v>
      </c>
      <c r="JE174">
        <v>0</v>
      </c>
      <c r="JF174">
        <v>0</v>
      </c>
      <c r="JI174" t="s">
        <v>1042</v>
      </c>
      <c r="JJ174">
        <v>0</v>
      </c>
      <c r="JK174">
        <v>0</v>
      </c>
      <c r="JL174">
        <v>0</v>
      </c>
      <c r="JM174">
        <v>0</v>
      </c>
      <c r="JQ174" t="s">
        <v>1043</v>
      </c>
      <c r="JT174">
        <v>0</v>
      </c>
      <c r="JU174" t="s">
        <v>1042</v>
      </c>
      <c r="JW174">
        <v>0</v>
      </c>
      <c r="KA174">
        <v>0</v>
      </c>
      <c r="KF174">
        <v>0</v>
      </c>
      <c r="KG174">
        <v>0</v>
      </c>
      <c r="KH174">
        <v>0</v>
      </c>
      <c r="KI174">
        <v>0</v>
      </c>
      <c r="KS174" t="s">
        <v>1073</v>
      </c>
      <c r="KT174">
        <v>0</v>
      </c>
      <c r="KU174">
        <v>0</v>
      </c>
      <c r="KV174">
        <v>0</v>
      </c>
      <c r="KX174">
        <v>0</v>
      </c>
      <c r="KZ174">
        <v>0</v>
      </c>
      <c r="LF174">
        <v>0</v>
      </c>
      <c r="LH174">
        <v>0</v>
      </c>
      <c r="LI174">
        <v>0</v>
      </c>
    </row>
    <row r="175" spans="1:321" x14ac:dyDescent="0.35">
      <c r="A175">
        <v>1</v>
      </c>
      <c r="B175">
        <v>12406</v>
      </c>
      <c r="C175" t="s">
        <v>1530</v>
      </c>
      <c r="D175" t="s">
        <v>1139</v>
      </c>
      <c r="E175" t="s">
        <v>85</v>
      </c>
      <c r="F175">
        <v>80</v>
      </c>
      <c r="G175">
        <v>9000</v>
      </c>
      <c r="H175">
        <v>0</v>
      </c>
      <c r="I175" t="s">
        <v>1513</v>
      </c>
      <c r="L175">
        <v>0</v>
      </c>
      <c r="M175">
        <v>0</v>
      </c>
      <c r="N175">
        <v>0</v>
      </c>
      <c r="R175">
        <v>0</v>
      </c>
      <c r="S175">
        <v>0</v>
      </c>
      <c r="W175" t="s">
        <v>1060</v>
      </c>
      <c r="X175">
        <v>0</v>
      </c>
      <c r="Z175">
        <v>1</v>
      </c>
      <c r="AA175">
        <v>0</v>
      </c>
      <c r="AB175">
        <v>0</v>
      </c>
      <c r="AC175">
        <v>70.178700000000006</v>
      </c>
      <c r="AD175" s="20">
        <v>40786</v>
      </c>
      <c r="AE175">
        <v>0</v>
      </c>
      <c r="AF175">
        <v>0</v>
      </c>
      <c r="AH175">
        <v>0</v>
      </c>
      <c r="AJ175">
        <v>0</v>
      </c>
      <c r="AL175">
        <v>0</v>
      </c>
      <c r="AM175">
        <v>0</v>
      </c>
      <c r="AN175">
        <v>16601001</v>
      </c>
      <c r="AO175">
        <v>0</v>
      </c>
      <c r="AP175">
        <v>1000</v>
      </c>
      <c r="AT175">
        <v>0</v>
      </c>
      <c r="AU175" t="s">
        <v>1059</v>
      </c>
      <c r="AW175" t="s">
        <v>1053</v>
      </c>
      <c r="AX175">
        <v>0</v>
      </c>
      <c r="AY175" s="20">
        <v>40786</v>
      </c>
      <c r="BA175" s="20">
        <v>40786</v>
      </c>
      <c r="BB175" t="s">
        <v>1058</v>
      </c>
      <c r="BD175">
        <v>0</v>
      </c>
      <c r="BF175" t="s">
        <v>1043</v>
      </c>
      <c r="BG175" t="s">
        <v>1042</v>
      </c>
      <c r="BH175">
        <v>0</v>
      </c>
      <c r="BI175">
        <v>1</v>
      </c>
      <c r="BJ175">
        <v>0</v>
      </c>
      <c r="BK175">
        <v>0</v>
      </c>
      <c r="BM175" t="s">
        <v>1042</v>
      </c>
      <c r="BN175">
        <v>0</v>
      </c>
      <c r="BR175" t="s">
        <v>1043</v>
      </c>
      <c r="BS175" t="s">
        <v>1043</v>
      </c>
      <c r="BT175" t="s">
        <v>1043</v>
      </c>
      <c r="BW175">
        <v>83</v>
      </c>
      <c r="CA175">
        <v>0</v>
      </c>
      <c r="CB175" t="s">
        <v>1057</v>
      </c>
      <c r="CE175" t="s">
        <v>1043</v>
      </c>
      <c r="CH175" t="s">
        <v>1043</v>
      </c>
      <c r="CN175" t="s">
        <v>1056</v>
      </c>
      <c r="CO175" t="s">
        <v>1043</v>
      </c>
      <c r="CP175">
        <v>1</v>
      </c>
      <c r="CQ175">
        <v>0</v>
      </c>
      <c r="CS175">
        <v>0</v>
      </c>
      <c r="CT175">
        <v>0</v>
      </c>
      <c r="CU175">
        <v>0</v>
      </c>
      <c r="CV175" t="s">
        <v>1045</v>
      </c>
      <c r="CW175">
        <v>0</v>
      </c>
      <c r="CX175">
        <v>0</v>
      </c>
      <c r="CY175">
        <v>0</v>
      </c>
      <c r="CZ175">
        <v>0</v>
      </c>
      <c r="DB175">
        <v>0</v>
      </c>
      <c r="DC175" t="s">
        <v>1043</v>
      </c>
      <c r="DF175" t="s">
        <v>1055</v>
      </c>
      <c r="DH175">
        <v>0</v>
      </c>
      <c r="DJ175">
        <v>0</v>
      </c>
      <c r="DK175" t="s">
        <v>1053</v>
      </c>
      <c r="DL175">
        <v>0</v>
      </c>
      <c r="DN175">
        <v>0</v>
      </c>
      <c r="DO175" t="s">
        <v>1042</v>
      </c>
      <c r="DP175">
        <v>0</v>
      </c>
      <c r="DQ175">
        <v>0</v>
      </c>
      <c r="DS175">
        <v>0</v>
      </c>
      <c r="DU175">
        <v>0</v>
      </c>
      <c r="DW175">
        <v>0</v>
      </c>
      <c r="DX175" t="s">
        <v>1043</v>
      </c>
      <c r="DY175">
        <v>0</v>
      </c>
      <c r="DZ175">
        <v>0</v>
      </c>
      <c r="EA175">
        <v>0</v>
      </c>
      <c r="ED175" t="s">
        <v>1045</v>
      </c>
      <c r="EE175">
        <v>0</v>
      </c>
      <c r="EF175">
        <v>0</v>
      </c>
      <c r="EQ175" t="s">
        <v>1044</v>
      </c>
      <c r="ES175" t="s">
        <v>1053</v>
      </c>
      <c r="ET175">
        <v>0</v>
      </c>
      <c r="EV175">
        <v>0</v>
      </c>
      <c r="EY175" t="s">
        <v>1052</v>
      </c>
      <c r="EZ175">
        <v>0</v>
      </c>
      <c r="FA175" t="s">
        <v>1043</v>
      </c>
      <c r="FB175">
        <v>0</v>
      </c>
      <c r="FC175">
        <v>0</v>
      </c>
      <c r="FE175" t="s">
        <v>1050</v>
      </c>
      <c r="FF175">
        <v>0</v>
      </c>
      <c r="FG175" t="s">
        <v>1050</v>
      </c>
      <c r="FJ175">
        <v>0</v>
      </c>
      <c r="FK175">
        <v>0</v>
      </c>
      <c r="FP175">
        <v>0</v>
      </c>
      <c r="FR175">
        <v>0</v>
      </c>
      <c r="FS175" t="s">
        <v>1043</v>
      </c>
      <c r="FX175" t="s">
        <v>1042</v>
      </c>
      <c r="FZ175" t="s">
        <v>1048</v>
      </c>
      <c r="GA175">
        <v>0</v>
      </c>
      <c r="GB175" t="s">
        <v>1042</v>
      </c>
      <c r="GE175">
        <v>0</v>
      </c>
      <c r="GG175">
        <v>0</v>
      </c>
      <c r="GN175">
        <v>0</v>
      </c>
      <c r="GO175" t="s">
        <v>1063</v>
      </c>
      <c r="GQ175">
        <v>0</v>
      </c>
      <c r="GU175">
        <v>0</v>
      </c>
      <c r="GY175" t="s">
        <v>1045</v>
      </c>
      <c r="HB175">
        <v>0</v>
      </c>
      <c r="HE175">
        <v>0</v>
      </c>
      <c r="HF175">
        <v>0</v>
      </c>
      <c r="HG175">
        <v>0</v>
      </c>
      <c r="HK175" t="s">
        <v>1042</v>
      </c>
      <c r="HM175" t="s">
        <v>1047</v>
      </c>
      <c r="HN175">
        <v>0</v>
      </c>
      <c r="HP175">
        <v>0</v>
      </c>
      <c r="HQ175">
        <v>0</v>
      </c>
      <c r="HR175" t="s">
        <v>1042</v>
      </c>
      <c r="HS175" t="s">
        <v>1043</v>
      </c>
      <c r="HT175">
        <v>0</v>
      </c>
      <c r="HU175">
        <v>0</v>
      </c>
      <c r="HW175">
        <v>0</v>
      </c>
      <c r="HX175">
        <v>0</v>
      </c>
      <c r="HY175">
        <v>0</v>
      </c>
      <c r="HZ175" t="s">
        <v>1045</v>
      </c>
      <c r="IA175">
        <v>0</v>
      </c>
      <c r="IB175" t="s">
        <v>1045</v>
      </c>
      <c r="ID175" t="s">
        <v>1045</v>
      </c>
      <c r="IF175">
        <v>0</v>
      </c>
      <c r="IG175" t="s">
        <v>1042</v>
      </c>
      <c r="II175" t="s">
        <v>1042</v>
      </c>
      <c r="IR175" t="s">
        <v>1045</v>
      </c>
      <c r="IT175">
        <v>0</v>
      </c>
      <c r="IY175" t="s">
        <v>1044</v>
      </c>
      <c r="IZ175" t="s">
        <v>1043</v>
      </c>
      <c r="JC175" t="s">
        <v>1043</v>
      </c>
      <c r="JE175">
        <v>0</v>
      </c>
      <c r="JF175">
        <v>0</v>
      </c>
      <c r="JI175" t="s">
        <v>1042</v>
      </c>
      <c r="JJ175">
        <v>0</v>
      </c>
      <c r="JK175">
        <v>0</v>
      </c>
      <c r="JL175">
        <v>0</v>
      </c>
      <c r="JM175">
        <v>0</v>
      </c>
      <c r="JQ175" t="s">
        <v>1043</v>
      </c>
      <c r="JT175">
        <v>0</v>
      </c>
      <c r="JU175" t="s">
        <v>1042</v>
      </c>
      <c r="JW175">
        <v>0</v>
      </c>
      <c r="KA175">
        <v>0</v>
      </c>
      <c r="KF175">
        <v>0</v>
      </c>
      <c r="KG175">
        <v>0</v>
      </c>
      <c r="KH175">
        <v>0</v>
      </c>
      <c r="KI175">
        <v>0</v>
      </c>
      <c r="KS175" t="s">
        <v>1073</v>
      </c>
      <c r="KT175">
        <v>0</v>
      </c>
      <c r="KU175">
        <v>0</v>
      </c>
      <c r="KV175">
        <v>0</v>
      </c>
      <c r="KX175">
        <v>0</v>
      </c>
      <c r="KZ175">
        <v>0</v>
      </c>
      <c r="LF175">
        <v>0</v>
      </c>
      <c r="LH175">
        <v>0</v>
      </c>
      <c r="LI175">
        <v>0</v>
      </c>
    </row>
    <row r="176" spans="1:321" x14ac:dyDescent="0.35">
      <c r="A176">
        <v>1</v>
      </c>
      <c r="B176">
        <v>12407</v>
      </c>
      <c r="C176" t="s">
        <v>1529</v>
      </c>
      <c r="D176" t="s">
        <v>1139</v>
      </c>
      <c r="E176" t="s">
        <v>85</v>
      </c>
      <c r="F176">
        <v>80</v>
      </c>
      <c r="G176">
        <v>9000</v>
      </c>
      <c r="H176">
        <v>0</v>
      </c>
      <c r="I176" t="s">
        <v>1409</v>
      </c>
      <c r="L176">
        <v>0</v>
      </c>
      <c r="M176">
        <v>0</v>
      </c>
      <c r="N176">
        <v>0</v>
      </c>
      <c r="R176">
        <v>0</v>
      </c>
      <c r="S176">
        <v>0</v>
      </c>
      <c r="W176" t="s">
        <v>1060</v>
      </c>
      <c r="X176">
        <v>0</v>
      </c>
      <c r="Z176">
        <v>1</v>
      </c>
      <c r="AA176">
        <v>0</v>
      </c>
      <c r="AB176">
        <v>0</v>
      </c>
      <c r="AC176">
        <v>2.64</v>
      </c>
      <c r="AD176" s="20">
        <v>40786</v>
      </c>
      <c r="AE176">
        <v>0</v>
      </c>
      <c r="AF176">
        <v>0</v>
      </c>
      <c r="AH176">
        <v>0</v>
      </c>
      <c r="AJ176">
        <v>0</v>
      </c>
      <c r="AL176">
        <v>1</v>
      </c>
      <c r="AM176">
        <v>0</v>
      </c>
      <c r="AN176">
        <v>16601001</v>
      </c>
      <c r="AO176">
        <v>0</v>
      </c>
      <c r="AP176">
        <v>1000</v>
      </c>
      <c r="AT176">
        <v>0</v>
      </c>
      <c r="AU176" t="s">
        <v>1059</v>
      </c>
      <c r="AW176" t="s">
        <v>1053</v>
      </c>
      <c r="AX176">
        <v>0</v>
      </c>
      <c r="AY176" s="20">
        <v>40786</v>
      </c>
      <c r="BA176" s="20">
        <v>40786</v>
      </c>
      <c r="BB176" t="s">
        <v>1058</v>
      </c>
      <c r="BD176">
        <v>0</v>
      </c>
      <c r="BF176" t="s">
        <v>1043</v>
      </c>
      <c r="BG176" t="s">
        <v>1042</v>
      </c>
      <c r="BH176">
        <v>0</v>
      </c>
      <c r="BI176">
        <v>1</v>
      </c>
      <c r="BJ176">
        <v>0</v>
      </c>
      <c r="BK176">
        <v>0</v>
      </c>
      <c r="BM176" t="s">
        <v>1042</v>
      </c>
      <c r="BN176">
        <v>0</v>
      </c>
      <c r="BR176" t="s">
        <v>1043</v>
      </c>
      <c r="BS176" t="s">
        <v>1043</v>
      </c>
      <c r="BT176" t="s">
        <v>1043</v>
      </c>
      <c r="BW176">
        <v>83</v>
      </c>
      <c r="CA176">
        <v>0</v>
      </c>
      <c r="CB176" t="s">
        <v>1057</v>
      </c>
      <c r="CE176" t="s">
        <v>1043</v>
      </c>
      <c r="CH176" t="s">
        <v>1043</v>
      </c>
      <c r="CN176" t="s">
        <v>1056</v>
      </c>
      <c r="CO176" t="s">
        <v>1043</v>
      </c>
      <c r="CP176">
        <v>1</v>
      </c>
      <c r="CQ176">
        <v>0</v>
      </c>
      <c r="CS176">
        <v>0</v>
      </c>
      <c r="CT176">
        <v>0</v>
      </c>
      <c r="CU176">
        <v>0</v>
      </c>
      <c r="CV176" t="s">
        <v>1045</v>
      </c>
      <c r="CW176">
        <v>0</v>
      </c>
      <c r="CX176">
        <v>0</v>
      </c>
      <c r="CY176">
        <v>0</v>
      </c>
      <c r="CZ176">
        <v>0</v>
      </c>
      <c r="DB176">
        <v>0</v>
      </c>
      <c r="DC176" t="s">
        <v>1043</v>
      </c>
      <c r="DF176" t="s">
        <v>1055</v>
      </c>
      <c r="DH176">
        <v>0</v>
      </c>
      <c r="DJ176">
        <v>0</v>
      </c>
      <c r="DK176" t="s">
        <v>1053</v>
      </c>
      <c r="DL176">
        <v>0</v>
      </c>
      <c r="DN176">
        <v>0</v>
      </c>
      <c r="DO176" t="s">
        <v>1042</v>
      </c>
      <c r="DP176">
        <v>0</v>
      </c>
      <c r="DQ176">
        <v>0</v>
      </c>
      <c r="DS176">
        <v>0</v>
      </c>
      <c r="DU176">
        <v>0</v>
      </c>
      <c r="DW176">
        <v>0</v>
      </c>
      <c r="DX176" t="s">
        <v>1043</v>
      </c>
      <c r="DY176">
        <v>0</v>
      </c>
      <c r="DZ176">
        <v>0</v>
      </c>
      <c r="EA176">
        <v>0</v>
      </c>
      <c r="ED176" t="s">
        <v>1045</v>
      </c>
      <c r="EE176">
        <v>0</v>
      </c>
      <c r="EF176">
        <v>0</v>
      </c>
      <c r="EQ176" t="s">
        <v>1044</v>
      </c>
      <c r="ES176" t="s">
        <v>1053</v>
      </c>
      <c r="ET176">
        <v>0</v>
      </c>
      <c r="EV176">
        <v>0</v>
      </c>
      <c r="EY176" t="s">
        <v>1052</v>
      </c>
      <c r="EZ176">
        <v>0</v>
      </c>
      <c r="FA176" t="s">
        <v>1043</v>
      </c>
      <c r="FB176">
        <v>0</v>
      </c>
      <c r="FC176">
        <v>0</v>
      </c>
      <c r="FE176" t="s">
        <v>1050</v>
      </c>
      <c r="FF176">
        <v>0</v>
      </c>
      <c r="FG176" t="s">
        <v>1050</v>
      </c>
      <c r="FJ176">
        <v>0</v>
      </c>
      <c r="FK176">
        <v>0</v>
      </c>
      <c r="FP176">
        <v>0</v>
      </c>
      <c r="FR176">
        <v>0</v>
      </c>
      <c r="FS176" t="s">
        <v>1043</v>
      </c>
      <c r="FX176" t="s">
        <v>1042</v>
      </c>
      <c r="FZ176" t="s">
        <v>1048</v>
      </c>
      <c r="GA176">
        <v>0</v>
      </c>
      <c r="GB176" t="s">
        <v>1042</v>
      </c>
      <c r="GE176">
        <v>0</v>
      </c>
      <c r="GG176">
        <v>0</v>
      </c>
      <c r="GN176">
        <v>0</v>
      </c>
      <c r="GO176" t="s">
        <v>1063</v>
      </c>
      <c r="GQ176">
        <v>0</v>
      </c>
      <c r="GU176">
        <v>0</v>
      </c>
      <c r="GY176" t="s">
        <v>1045</v>
      </c>
      <c r="HB176">
        <v>0</v>
      </c>
      <c r="HE176">
        <v>0</v>
      </c>
      <c r="HF176">
        <v>0</v>
      </c>
      <c r="HG176">
        <v>0</v>
      </c>
      <c r="HK176" t="s">
        <v>1042</v>
      </c>
      <c r="HM176" t="s">
        <v>1047</v>
      </c>
      <c r="HN176">
        <v>0</v>
      </c>
      <c r="HP176">
        <v>0</v>
      </c>
      <c r="HQ176">
        <v>0</v>
      </c>
      <c r="HR176" t="s">
        <v>1042</v>
      </c>
      <c r="HS176" t="s">
        <v>1043</v>
      </c>
      <c r="HT176">
        <v>0</v>
      </c>
      <c r="HU176">
        <v>0</v>
      </c>
      <c r="HW176">
        <v>0</v>
      </c>
      <c r="HX176">
        <v>0</v>
      </c>
      <c r="HY176">
        <v>0</v>
      </c>
      <c r="HZ176" t="s">
        <v>1045</v>
      </c>
      <c r="IA176">
        <v>0</v>
      </c>
      <c r="IB176" t="s">
        <v>1045</v>
      </c>
      <c r="ID176" t="s">
        <v>1045</v>
      </c>
      <c r="IF176">
        <v>0</v>
      </c>
      <c r="IG176" t="s">
        <v>1042</v>
      </c>
      <c r="II176" t="s">
        <v>1042</v>
      </c>
      <c r="IR176" t="s">
        <v>1045</v>
      </c>
      <c r="IT176">
        <v>0</v>
      </c>
      <c r="IY176" t="s">
        <v>1044</v>
      </c>
      <c r="IZ176" t="s">
        <v>1043</v>
      </c>
      <c r="JC176" t="s">
        <v>1043</v>
      </c>
      <c r="JE176">
        <v>0</v>
      </c>
      <c r="JF176">
        <v>0</v>
      </c>
      <c r="JI176" t="s">
        <v>1042</v>
      </c>
      <c r="JJ176">
        <v>0</v>
      </c>
      <c r="JK176">
        <v>0</v>
      </c>
      <c r="JL176">
        <v>0</v>
      </c>
      <c r="JM176">
        <v>0</v>
      </c>
      <c r="JQ176" t="s">
        <v>1043</v>
      </c>
      <c r="JT176">
        <v>0</v>
      </c>
      <c r="JU176" t="s">
        <v>1042</v>
      </c>
      <c r="JW176">
        <v>0</v>
      </c>
      <c r="KA176">
        <v>0</v>
      </c>
      <c r="KF176">
        <v>0</v>
      </c>
      <c r="KG176">
        <v>0</v>
      </c>
      <c r="KH176">
        <v>0</v>
      </c>
      <c r="KI176">
        <v>0</v>
      </c>
      <c r="KS176" t="s">
        <v>1073</v>
      </c>
      <c r="KT176">
        <v>0</v>
      </c>
      <c r="KU176">
        <v>0</v>
      </c>
      <c r="KV176">
        <v>0</v>
      </c>
      <c r="KX176">
        <v>0</v>
      </c>
      <c r="KZ176">
        <v>0</v>
      </c>
      <c r="LF176">
        <v>0</v>
      </c>
      <c r="LH176">
        <v>0</v>
      </c>
      <c r="LI176">
        <v>0</v>
      </c>
    </row>
    <row r="177" spans="1:321" x14ac:dyDescent="0.35">
      <c r="A177">
        <v>1</v>
      </c>
      <c r="B177">
        <v>12408</v>
      </c>
      <c r="C177" t="s">
        <v>1528</v>
      </c>
      <c r="D177" t="s">
        <v>1139</v>
      </c>
      <c r="E177" t="s">
        <v>85</v>
      </c>
      <c r="F177">
        <v>80</v>
      </c>
      <c r="G177">
        <v>9000</v>
      </c>
      <c r="H177">
        <v>0</v>
      </c>
      <c r="I177" t="s">
        <v>1050</v>
      </c>
      <c r="L177">
        <v>0</v>
      </c>
      <c r="M177">
        <v>0</v>
      </c>
      <c r="N177">
        <v>0</v>
      </c>
      <c r="R177">
        <v>0</v>
      </c>
      <c r="S177">
        <v>0</v>
      </c>
      <c r="W177" t="s">
        <v>1060</v>
      </c>
      <c r="X177">
        <v>0</v>
      </c>
      <c r="Z177">
        <v>1</v>
      </c>
      <c r="AA177">
        <v>0</v>
      </c>
      <c r="AB177">
        <v>0</v>
      </c>
      <c r="AC177">
        <v>0</v>
      </c>
      <c r="AD177" s="20">
        <v>40788</v>
      </c>
      <c r="AE177">
        <v>350.29</v>
      </c>
      <c r="AF177">
        <v>0</v>
      </c>
      <c r="AH177">
        <v>0</v>
      </c>
      <c r="AJ177">
        <v>0</v>
      </c>
      <c r="AL177">
        <v>0</v>
      </c>
      <c r="AM177">
        <v>0</v>
      </c>
      <c r="AN177">
        <v>16601001</v>
      </c>
      <c r="AO177">
        <v>0</v>
      </c>
      <c r="AP177">
        <v>1000</v>
      </c>
      <c r="AT177">
        <v>0</v>
      </c>
      <c r="AU177" t="s">
        <v>1059</v>
      </c>
      <c r="AW177" t="s">
        <v>1053</v>
      </c>
      <c r="AX177">
        <v>0</v>
      </c>
      <c r="AY177" s="20">
        <v>40788</v>
      </c>
      <c r="BA177" s="20">
        <v>40788</v>
      </c>
      <c r="BB177" t="s">
        <v>1058</v>
      </c>
      <c r="BD177">
        <v>0</v>
      </c>
      <c r="BF177" t="s">
        <v>1043</v>
      </c>
      <c r="BG177" t="s">
        <v>1042</v>
      </c>
      <c r="BH177">
        <v>0</v>
      </c>
      <c r="BI177">
        <v>1</v>
      </c>
      <c r="BJ177">
        <v>0</v>
      </c>
      <c r="BK177">
        <v>0</v>
      </c>
      <c r="BM177" t="s">
        <v>1042</v>
      </c>
      <c r="BN177">
        <v>0</v>
      </c>
      <c r="BR177" t="s">
        <v>1043</v>
      </c>
      <c r="BS177" t="s">
        <v>1043</v>
      </c>
      <c r="BT177" t="s">
        <v>1043</v>
      </c>
      <c r="BW177">
        <v>83</v>
      </c>
      <c r="CA177">
        <v>0</v>
      </c>
      <c r="CB177" t="s">
        <v>1057</v>
      </c>
      <c r="CE177" t="s">
        <v>1043</v>
      </c>
      <c r="CH177" t="s">
        <v>1043</v>
      </c>
      <c r="CN177" t="s">
        <v>1056</v>
      </c>
      <c r="CO177" t="s">
        <v>1043</v>
      </c>
      <c r="CP177">
        <v>1</v>
      </c>
      <c r="CQ177">
        <v>0</v>
      </c>
      <c r="CS177">
        <v>0</v>
      </c>
      <c r="CT177">
        <v>0</v>
      </c>
      <c r="CU177">
        <v>0</v>
      </c>
      <c r="CV177" t="s">
        <v>1045</v>
      </c>
      <c r="CW177">
        <v>0</v>
      </c>
      <c r="CX177">
        <v>0</v>
      </c>
      <c r="CY177">
        <v>0</v>
      </c>
      <c r="CZ177">
        <v>0</v>
      </c>
      <c r="DB177">
        <v>0</v>
      </c>
      <c r="DC177" t="s">
        <v>1043</v>
      </c>
      <c r="DF177" t="s">
        <v>1055</v>
      </c>
      <c r="DH177">
        <v>0</v>
      </c>
      <c r="DJ177">
        <v>0</v>
      </c>
      <c r="DK177" t="s">
        <v>1053</v>
      </c>
      <c r="DL177">
        <v>0</v>
      </c>
      <c r="DN177">
        <v>0</v>
      </c>
      <c r="DO177" t="s">
        <v>1042</v>
      </c>
      <c r="DP177">
        <v>0</v>
      </c>
      <c r="DQ177">
        <v>0</v>
      </c>
      <c r="DS177">
        <v>0</v>
      </c>
      <c r="DU177">
        <v>0</v>
      </c>
      <c r="DW177">
        <v>0</v>
      </c>
      <c r="DX177" t="s">
        <v>1043</v>
      </c>
      <c r="DY177">
        <v>0</v>
      </c>
      <c r="DZ177">
        <v>0</v>
      </c>
      <c r="EA177">
        <v>0</v>
      </c>
      <c r="ED177" t="s">
        <v>1045</v>
      </c>
      <c r="EE177">
        <v>0</v>
      </c>
      <c r="EF177">
        <v>0</v>
      </c>
      <c r="EQ177" t="s">
        <v>1044</v>
      </c>
      <c r="ES177" t="s">
        <v>1053</v>
      </c>
      <c r="ET177">
        <v>0</v>
      </c>
      <c r="EV177">
        <v>0</v>
      </c>
      <c r="EY177" t="s">
        <v>1052</v>
      </c>
      <c r="EZ177">
        <v>0</v>
      </c>
      <c r="FA177" t="s">
        <v>1043</v>
      </c>
      <c r="FB177">
        <v>0</v>
      </c>
      <c r="FC177">
        <v>0</v>
      </c>
      <c r="FE177" t="s">
        <v>1050</v>
      </c>
      <c r="FF177">
        <v>0</v>
      </c>
      <c r="FG177" t="s">
        <v>1050</v>
      </c>
      <c r="FJ177">
        <v>0</v>
      </c>
      <c r="FK177">
        <v>0</v>
      </c>
      <c r="FP177">
        <v>0</v>
      </c>
      <c r="FR177">
        <v>0</v>
      </c>
      <c r="FS177" t="s">
        <v>1043</v>
      </c>
      <c r="FX177" t="s">
        <v>1042</v>
      </c>
      <c r="FZ177" t="s">
        <v>1048</v>
      </c>
      <c r="GA177">
        <v>0</v>
      </c>
      <c r="GB177" t="s">
        <v>1042</v>
      </c>
      <c r="GE177">
        <v>0</v>
      </c>
      <c r="GG177">
        <v>0</v>
      </c>
      <c r="GN177">
        <v>0</v>
      </c>
      <c r="GO177" t="s">
        <v>1063</v>
      </c>
      <c r="GQ177">
        <v>0</v>
      </c>
      <c r="GU177">
        <v>0</v>
      </c>
      <c r="GY177" t="s">
        <v>1045</v>
      </c>
      <c r="HB177">
        <v>0</v>
      </c>
      <c r="HE177">
        <v>0</v>
      </c>
      <c r="HF177">
        <v>0</v>
      </c>
      <c r="HG177">
        <v>0</v>
      </c>
      <c r="HK177" t="s">
        <v>1042</v>
      </c>
      <c r="HM177" t="s">
        <v>1047</v>
      </c>
      <c r="HN177">
        <v>0</v>
      </c>
      <c r="HP177">
        <v>0</v>
      </c>
      <c r="HQ177">
        <v>0</v>
      </c>
      <c r="HR177" t="s">
        <v>1042</v>
      </c>
      <c r="HS177" t="s">
        <v>1043</v>
      </c>
      <c r="HT177">
        <v>0</v>
      </c>
      <c r="HU177">
        <v>0</v>
      </c>
      <c r="HW177">
        <v>0</v>
      </c>
      <c r="HX177">
        <v>0</v>
      </c>
      <c r="HY177">
        <v>0</v>
      </c>
      <c r="HZ177" t="s">
        <v>1045</v>
      </c>
      <c r="IA177">
        <v>0</v>
      </c>
      <c r="IB177" t="s">
        <v>1045</v>
      </c>
      <c r="ID177" t="s">
        <v>1045</v>
      </c>
      <c r="IF177">
        <v>0</v>
      </c>
      <c r="IG177" t="s">
        <v>1042</v>
      </c>
      <c r="II177" t="s">
        <v>1042</v>
      </c>
      <c r="IR177" t="s">
        <v>1045</v>
      </c>
      <c r="IT177">
        <v>0</v>
      </c>
      <c r="IY177" t="s">
        <v>1044</v>
      </c>
      <c r="IZ177" t="s">
        <v>1043</v>
      </c>
      <c r="JC177" t="s">
        <v>1043</v>
      </c>
      <c r="JE177">
        <v>0</v>
      </c>
      <c r="JF177">
        <v>0</v>
      </c>
      <c r="JI177" t="s">
        <v>1042</v>
      </c>
      <c r="JJ177">
        <v>0</v>
      </c>
      <c r="JK177">
        <v>0</v>
      </c>
      <c r="JL177">
        <v>0</v>
      </c>
      <c r="JM177">
        <v>0</v>
      </c>
      <c r="JQ177" t="s">
        <v>1043</v>
      </c>
      <c r="JT177">
        <v>0</v>
      </c>
      <c r="JU177" t="s">
        <v>1042</v>
      </c>
      <c r="JW177">
        <v>0</v>
      </c>
      <c r="KA177">
        <v>0</v>
      </c>
      <c r="KF177">
        <v>0</v>
      </c>
      <c r="KG177">
        <v>0</v>
      </c>
      <c r="KH177">
        <v>0</v>
      </c>
      <c r="KI177">
        <v>0</v>
      </c>
      <c r="KS177" t="s">
        <v>1073</v>
      </c>
      <c r="KT177">
        <v>0</v>
      </c>
      <c r="KU177">
        <v>0</v>
      </c>
      <c r="KV177">
        <v>0</v>
      </c>
      <c r="KX177">
        <v>0</v>
      </c>
      <c r="KZ177">
        <v>0</v>
      </c>
      <c r="LF177">
        <v>0</v>
      </c>
      <c r="LH177">
        <v>0</v>
      </c>
      <c r="LI177">
        <v>0</v>
      </c>
    </row>
    <row r="178" spans="1:321" x14ac:dyDescent="0.35">
      <c r="A178">
        <v>1</v>
      </c>
      <c r="B178">
        <v>12409</v>
      </c>
      <c r="C178" t="s">
        <v>1527</v>
      </c>
      <c r="D178" t="s">
        <v>1139</v>
      </c>
      <c r="E178" t="s">
        <v>85</v>
      </c>
      <c r="F178">
        <v>80</v>
      </c>
      <c r="G178">
        <v>9000</v>
      </c>
      <c r="H178">
        <v>0</v>
      </c>
      <c r="I178" t="s">
        <v>1050</v>
      </c>
      <c r="L178">
        <v>0</v>
      </c>
      <c r="M178">
        <v>0</v>
      </c>
      <c r="N178">
        <v>0</v>
      </c>
      <c r="R178">
        <v>0</v>
      </c>
      <c r="S178">
        <v>0</v>
      </c>
      <c r="W178" t="s">
        <v>1060</v>
      </c>
      <c r="X178">
        <v>0</v>
      </c>
      <c r="Z178">
        <v>1</v>
      </c>
      <c r="AA178">
        <v>0</v>
      </c>
      <c r="AB178">
        <v>0</v>
      </c>
      <c r="AC178">
        <v>0</v>
      </c>
      <c r="AD178" s="20">
        <v>40788</v>
      </c>
      <c r="AE178">
        <v>5.3</v>
      </c>
      <c r="AF178">
        <v>0</v>
      </c>
      <c r="AH178">
        <v>0</v>
      </c>
      <c r="AJ178">
        <v>0</v>
      </c>
      <c r="AL178">
        <v>0</v>
      </c>
      <c r="AM178">
        <v>0</v>
      </c>
      <c r="AN178">
        <v>16601001</v>
      </c>
      <c r="AO178">
        <v>0</v>
      </c>
      <c r="AP178">
        <v>1000</v>
      </c>
      <c r="AT178">
        <v>0</v>
      </c>
      <c r="AU178" t="s">
        <v>1059</v>
      </c>
      <c r="AW178" t="s">
        <v>1053</v>
      </c>
      <c r="AX178">
        <v>0</v>
      </c>
      <c r="AY178" s="20">
        <v>40788</v>
      </c>
      <c r="BA178" s="20">
        <v>40788</v>
      </c>
      <c r="BB178" t="s">
        <v>1058</v>
      </c>
      <c r="BD178">
        <v>0</v>
      </c>
      <c r="BF178" t="s">
        <v>1043</v>
      </c>
      <c r="BG178" t="s">
        <v>1042</v>
      </c>
      <c r="BH178">
        <v>0</v>
      </c>
      <c r="BI178">
        <v>1</v>
      </c>
      <c r="BJ178">
        <v>0</v>
      </c>
      <c r="BK178">
        <v>0</v>
      </c>
      <c r="BM178" t="s">
        <v>1042</v>
      </c>
      <c r="BN178">
        <v>0</v>
      </c>
      <c r="BR178" t="s">
        <v>1043</v>
      </c>
      <c r="BS178" t="s">
        <v>1043</v>
      </c>
      <c r="BT178" t="s">
        <v>1043</v>
      </c>
      <c r="BW178">
        <v>83</v>
      </c>
      <c r="CA178">
        <v>0</v>
      </c>
      <c r="CB178" t="s">
        <v>1057</v>
      </c>
      <c r="CE178" t="s">
        <v>1043</v>
      </c>
      <c r="CH178" t="s">
        <v>1043</v>
      </c>
      <c r="CN178" t="s">
        <v>1056</v>
      </c>
      <c r="CO178" t="s">
        <v>1043</v>
      </c>
      <c r="CP178">
        <v>1</v>
      </c>
      <c r="CQ178">
        <v>0</v>
      </c>
      <c r="CS178">
        <v>0</v>
      </c>
      <c r="CT178">
        <v>0</v>
      </c>
      <c r="CU178">
        <v>0</v>
      </c>
      <c r="CV178" t="s">
        <v>1045</v>
      </c>
      <c r="CW178">
        <v>0</v>
      </c>
      <c r="CX178">
        <v>0</v>
      </c>
      <c r="CY178">
        <v>0</v>
      </c>
      <c r="CZ178">
        <v>0</v>
      </c>
      <c r="DB178">
        <v>0</v>
      </c>
      <c r="DC178" t="s">
        <v>1043</v>
      </c>
      <c r="DF178" t="s">
        <v>1055</v>
      </c>
      <c r="DH178">
        <v>0</v>
      </c>
      <c r="DJ178">
        <v>0</v>
      </c>
      <c r="DK178" t="s">
        <v>1053</v>
      </c>
      <c r="DL178">
        <v>0</v>
      </c>
      <c r="DN178">
        <v>0</v>
      </c>
      <c r="DO178" t="s">
        <v>1042</v>
      </c>
      <c r="DP178">
        <v>0</v>
      </c>
      <c r="DQ178">
        <v>0</v>
      </c>
      <c r="DS178">
        <v>0</v>
      </c>
      <c r="DU178">
        <v>0</v>
      </c>
      <c r="DW178">
        <v>0</v>
      </c>
      <c r="DX178" t="s">
        <v>1043</v>
      </c>
      <c r="DY178">
        <v>0</v>
      </c>
      <c r="DZ178">
        <v>0</v>
      </c>
      <c r="EA178">
        <v>0</v>
      </c>
      <c r="ED178" t="s">
        <v>1045</v>
      </c>
      <c r="EE178">
        <v>0</v>
      </c>
      <c r="EF178">
        <v>0</v>
      </c>
      <c r="EQ178" t="s">
        <v>1044</v>
      </c>
      <c r="ES178" t="s">
        <v>1053</v>
      </c>
      <c r="ET178">
        <v>0</v>
      </c>
      <c r="EV178">
        <v>0</v>
      </c>
      <c r="EY178" t="s">
        <v>1052</v>
      </c>
      <c r="EZ178">
        <v>0</v>
      </c>
      <c r="FA178" t="s">
        <v>1043</v>
      </c>
      <c r="FB178">
        <v>0</v>
      </c>
      <c r="FC178">
        <v>0</v>
      </c>
      <c r="FE178" t="s">
        <v>1050</v>
      </c>
      <c r="FF178">
        <v>0</v>
      </c>
      <c r="FG178" t="s">
        <v>1050</v>
      </c>
      <c r="FJ178">
        <v>0</v>
      </c>
      <c r="FK178">
        <v>0</v>
      </c>
      <c r="FP178">
        <v>0</v>
      </c>
      <c r="FR178">
        <v>0</v>
      </c>
      <c r="FS178" t="s">
        <v>1043</v>
      </c>
      <c r="FX178" t="s">
        <v>1042</v>
      </c>
      <c r="FZ178" t="s">
        <v>1048</v>
      </c>
      <c r="GA178">
        <v>0</v>
      </c>
      <c r="GB178" t="s">
        <v>1042</v>
      </c>
      <c r="GE178">
        <v>0</v>
      </c>
      <c r="GG178">
        <v>0</v>
      </c>
      <c r="GN178">
        <v>0</v>
      </c>
      <c r="GO178" t="s">
        <v>1063</v>
      </c>
      <c r="GQ178">
        <v>0</v>
      </c>
      <c r="GU178">
        <v>0</v>
      </c>
      <c r="GY178" t="s">
        <v>1045</v>
      </c>
      <c r="HB178">
        <v>0</v>
      </c>
      <c r="HE178">
        <v>0</v>
      </c>
      <c r="HF178">
        <v>0</v>
      </c>
      <c r="HG178">
        <v>0</v>
      </c>
      <c r="HK178" t="s">
        <v>1042</v>
      </c>
      <c r="HM178" t="s">
        <v>1047</v>
      </c>
      <c r="HN178">
        <v>0</v>
      </c>
      <c r="HP178">
        <v>0</v>
      </c>
      <c r="HQ178">
        <v>0</v>
      </c>
      <c r="HR178" t="s">
        <v>1042</v>
      </c>
      <c r="HS178" t="s">
        <v>1043</v>
      </c>
      <c r="HT178">
        <v>0</v>
      </c>
      <c r="HU178">
        <v>0</v>
      </c>
      <c r="HW178">
        <v>0</v>
      </c>
      <c r="HX178">
        <v>0</v>
      </c>
      <c r="HY178">
        <v>0</v>
      </c>
      <c r="HZ178" t="s">
        <v>1045</v>
      </c>
      <c r="IA178">
        <v>0</v>
      </c>
      <c r="IB178" t="s">
        <v>1045</v>
      </c>
      <c r="ID178" t="s">
        <v>1045</v>
      </c>
      <c r="IF178">
        <v>0</v>
      </c>
      <c r="IG178" t="s">
        <v>1042</v>
      </c>
      <c r="II178" t="s">
        <v>1042</v>
      </c>
      <c r="IR178" t="s">
        <v>1045</v>
      </c>
      <c r="IT178">
        <v>0</v>
      </c>
      <c r="IY178" t="s">
        <v>1044</v>
      </c>
      <c r="IZ178" t="s">
        <v>1043</v>
      </c>
      <c r="JC178" t="s">
        <v>1043</v>
      </c>
      <c r="JE178">
        <v>0</v>
      </c>
      <c r="JF178">
        <v>0</v>
      </c>
      <c r="JI178" t="s">
        <v>1042</v>
      </c>
      <c r="JJ178">
        <v>0</v>
      </c>
      <c r="JK178">
        <v>0</v>
      </c>
      <c r="JL178">
        <v>0</v>
      </c>
      <c r="JM178">
        <v>0</v>
      </c>
      <c r="JQ178" t="s">
        <v>1043</v>
      </c>
      <c r="JT178">
        <v>0</v>
      </c>
      <c r="JU178" t="s">
        <v>1042</v>
      </c>
      <c r="JW178">
        <v>0</v>
      </c>
      <c r="KA178">
        <v>0</v>
      </c>
      <c r="KF178">
        <v>0</v>
      </c>
      <c r="KG178">
        <v>0</v>
      </c>
      <c r="KH178">
        <v>0</v>
      </c>
      <c r="KI178">
        <v>0</v>
      </c>
      <c r="KS178" t="s">
        <v>1073</v>
      </c>
      <c r="KT178">
        <v>0</v>
      </c>
      <c r="KU178">
        <v>0</v>
      </c>
      <c r="KV178">
        <v>0</v>
      </c>
      <c r="KX178">
        <v>0</v>
      </c>
      <c r="KZ178">
        <v>0</v>
      </c>
      <c r="LF178">
        <v>0</v>
      </c>
      <c r="LH178">
        <v>0</v>
      </c>
      <c r="LI178">
        <v>0</v>
      </c>
    </row>
    <row r="179" spans="1:321" x14ac:dyDescent="0.35">
      <c r="A179">
        <v>1</v>
      </c>
      <c r="B179">
        <v>1241</v>
      </c>
      <c r="C179" t="s">
        <v>1526</v>
      </c>
      <c r="D179" t="s">
        <v>1061</v>
      </c>
      <c r="E179" t="s">
        <v>587</v>
      </c>
      <c r="F179">
        <v>1</v>
      </c>
      <c r="G179">
        <v>8888</v>
      </c>
      <c r="H179">
        <v>0</v>
      </c>
      <c r="I179" t="s">
        <v>991</v>
      </c>
      <c r="L179">
        <v>0</v>
      </c>
      <c r="M179">
        <v>0</v>
      </c>
      <c r="N179">
        <v>0</v>
      </c>
      <c r="Q179">
        <v>516</v>
      </c>
      <c r="R179">
        <v>0</v>
      </c>
      <c r="S179">
        <v>0</v>
      </c>
      <c r="W179" t="s">
        <v>1060</v>
      </c>
      <c r="X179">
        <v>0</v>
      </c>
      <c r="Z179">
        <v>25</v>
      </c>
      <c r="AA179">
        <v>12.443</v>
      </c>
      <c r="AB179">
        <v>0</v>
      </c>
      <c r="AC179">
        <v>0.55610000000000004</v>
      </c>
      <c r="AD179" t="s">
        <v>1042</v>
      </c>
      <c r="AE179">
        <v>0</v>
      </c>
      <c r="AF179">
        <v>0.1</v>
      </c>
      <c r="AH179">
        <v>0</v>
      </c>
      <c r="AJ179">
        <v>0</v>
      </c>
      <c r="AK179" t="s">
        <v>1154</v>
      </c>
      <c r="AL179">
        <v>1225</v>
      </c>
      <c r="AM179">
        <v>0</v>
      </c>
      <c r="AN179">
        <v>11501001</v>
      </c>
      <c r="AO179">
        <v>0</v>
      </c>
      <c r="AP179">
        <v>1001</v>
      </c>
      <c r="AT179">
        <v>0</v>
      </c>
      <c r="AU179" t="s">
        <v>1059</v>
      </c>
      <c r="AV179" t="s">
        <v>1043</v>
      </c>
      <c r="AW179" t="s">
        <v>1053</v>
      </c>
      <c r="AX179">
        <v>5</v>
      </c>
      <c r="AY179" s="20">
        <v>43274</v>
      </c>
      <c r="BA179" s="20">
        <v>43677</v>
      </c>
      <c r="BB179" t="s">
        <v>1058</v>
      </c>
      <c r="BD179">
        <v>0</v>
      </c>
      <c r="BF179" t="s">
        <v>1043</v>
      </c>
      <c r="BG179" s="20">
        <v>42705</v>
      </c>
      <c r="BH179">
        <v>0</v>
      </c>
      <c r="BI179">
        <v>33</v>
      </c>
      <c r="BJ179">
        <v>0</v>
      </c>
      <c r="BK179">
        <v>0</v>
      </c>
      <c r="BM179" s="20">
        <v>42717</v>
      </c>
      <c r="BN179">
        <v>0</v>
      </c>
      <c r="BO179">
        <v>7897801317177</v>
      </c>
      <c r="BR179" t="s">
        <v>1043</v>
      </c>
      <c r="BS179" t="s">
        <v>1043</v>
      </c>
      <c r="BT179" t="s">
        <v>1043</v>
      </c>
      <c r="BV179">
        <v>1</v>
      </c>
      <c r="BW179">
        <v>30</v>
      </c>
      <c r="BY179">
        <v>66</v>
      </c>
      <c r="CA179">
        <v>0</v>
      </c>
      <c r="CB179" t="s">
        <v>1043</v>
      </c>
      <c r="CE179" t="s">
        <v>1043</v>
      </c>
      <c r="CH179" t="s">
        <v>1043</v>
      </c>
      <c r="CI179" t="s">
        <v>1383</v>
      </c>
      <c r="CK179" t="s">
        <v>1152</v>
      </c>
      <c r="CN179" t="s">
        <v>1056</v>
      </c>
      <c r="CP179">
        <v>1</v>
      </c>
      <c r="CQ179">
        <v>0</v>
      </c>
      <c r="CS179">
        <v>0</v>
      </c>
      <c r="CT179">
        <v>0</v>
      </c>
      <c r="CU179">
        <v>0</v>
      </c>
      <c r="CV179" t="s">
        <v>1045</v>
      </c>
      <c r="CW179">
        <v>0</v>
      </c>
      <c r="CX179">
        <v>0</v>
      </c>
      <c r="CY179">
        <v>0</v>
      </c>
      <c r="CZ179">
        <v>0</v>
      </c>
      <c r="DA179">
        <v>25</v>
      </c>
      <c r="DB179">
        <v>0</v>
      </c>
      <c r="DH179">
        <v>0</v>
      </c>
      <c r="DJ179">
        <v>0</v>
      </c>
      <c r="DL179">
        <v>0</v>
      </c>
      <c r="DN179">
        <v>0</v>
      </c>
      <c r="DO179" t="s">
        <v>1042</v>
      </c>
      <c r="DP179">
        <v>0</v>
      </c>
      <c r="DQ179">
        <v>7.6</v>
      </c>
      <c r="DS179">
        <v>0</v>
      </c>
      <c r="DU179">
        <v>1.65</v>
      </c>
      <c r="DW179">
        <v>0</v>
      </c>
      <c r="DY179">
        <v>0</v>
      </c>
      <c r="DZ179">
        <v>0</v>
      </c>
      <c r="EA179">
        <v>0</v>
      </c>
      <c r="EB179">
        <v>17897801317174</v>
      </c>
      <c r="EE179">
        <v>0</v>
      </c>
      <c r="EF179">
        <v>0</v>
      </c>
      <c r="EL179">
        <v>57897801317172</v>
      </c>
      <c r="EN179" t="s">
        <v>1511</v>
      </c>
      <c r="EO179" t="s">
        <v>1044</v>
      </c>
      <c r="ET179">
        <v>0</v>
      </c>
      <c r="EV179">
        <v>0</v>
      </c>
      <c r="EY179" t="s">
        <v>1052</v>
      </c>
      <c r="EZ179">
        <v>0</v>
      </c>
      <c r="FA179" t="s">
        <v>1043</v>
      </c>
      <c r="FB179">
        <v>0</v>
      </c>
      <c r="FC179">
        <v>0</v>
      </c>
      <c r="FD179" t="s">
        <v>1051</v>
      </c>
      <c r="FE179" t="s">
        <v>1050</v>
      </c>
      <c r="FF179">
        <v>0</v>
      </c>
      <c r="FG179" t="s">
        <v>1050</v>
      </c>
      <c r="FH179">
        <v>27897801317171</v>
      </c>
      <c r="FJ179">
        <v>0</v>
      </c>
      <c r="FK179">
        <v>0</v>
      </c>
      <c r="FP179">
        <v>0</v>
      </c>
      <c r="FR179">
        <v>0</v>
      </c>
      <c r="FS179" t="s">
        <v>1043</v>
      </c>
      <c r="FX179" t="s">
        <v>1042</v>
      </c>
      <c r="GA179">
        <v>0</v>
      </c>
      <c r="GB179" t="s">
        <v>1042</v>
      </c>
      <c r="GD179">
        <v>16</v>
      </c>
      <c r="GE179">
        <v>0</v>
      </c>
      <c r="GG179">
        <v>0</v>
      </c>
      <c r="GN179">
        <v>0</v>
      </c>
      <c r="GO179" t="s">
        <v>1049</v>
      </c>
      <c r="GQ179">
        <v>0</v>
      </c>
      <c r="GU179">
        <v>2</v>
      </c>
      <c r="GY179" t="s">
        <v>1045</v>
      </c>
      <c r="HB179">
        <v>0</v>
      </c>
      <c r="HE179">
        <v>0</v>
      </c>
      <c r="HF179">
        <v>0</v>
      </c>
      <c r="HG179">
        <v>2.5989999999999999E-2</v>
      </c>
      <c r="HK179" t="s">
        <v>1042</v>
      </c>
      <c r="HM179">
        <v>0</v>
      </c>
      <c r="HN179">
        <v>0</v>
      </c>
      <c r="HP179">
        <v>9.98E-2</v>
      </c>
      <c r="HQ179">
        <v>0</v>
      </c>
      <c r="HR179" t="s">
        <v>1042</v>
      </c>
      <c r="HT179">
        <v>0</v>
      </c>
      <c r="HU179">
        <v>0</v>
      </c>
      <c r="HW179">
        <v>0</v>
      </c>
      <c r="HX179">
        <v>0</v>
      </c>
      <c r="HY179">
        <v>0</v>
      </c>
      <c r="IA179">
        <v>0</v>
      </c>
      <c r="IF179">
        <v>1250</v>
      </c>
      <c r="IG179" s="20">
        <v>42709</v>
      </c>
      <c r="IH179" t="s">
        <v>1046</v>
      </c>
      <c r="II179" t="s">
        <v>1042</v>
      </c>
      <c r="IR179" t="s">
        <v>1044</v>
      </c>
      <c r="IT179">
        <v>0</v>
      </c>
      <c r="JE179">
        <v>0</v>
      </c>
      <c r="JF179">
        <v>0</v>
      </c>
      <c r="JI179" t="s">
        <v>1042</v>
      </c>
      <c r="JJ179">
        <v>0</v>
      </c>
      <c r="JK179">
        <v>0</v>
      </c>
      <c r="JL179">
        <v>0</v>
      </c>
      <c r="JM179">
        <v>0</v>
      </c>
      <c r="JT179">
        <v>0</v>
      </c>
      <c r="JU179" t="s">
        <v>1042</v>
      </c>
      <c r="JW179">
        <v>0</v>
      </c>
      <c r="KA179">
        <v>0</v>
      </c>
      <c r="KF179">
        <v>0</v>
      </c>
      <c r="KG179">
        <v>0</v>
      </c>
      <c r="KH179">
        <v>0</v>
      </c>
      <c r="KI179">
        <v>0</v>
      </c>
      <c r="KS179" t="s">
        <v>1041</v>
      </c>
      <c r="KT179">
        <v>0</v>
      </c>
      <c r="KU179">
        <v>0</v>
      </c>
      <c r="KV179">
        <v>0</v>
      </c>
      <c r="KX179">
        <v>0</v>
      </c>
      <c r="KZ179">
        <v>0</v>
      </c>
      <c r="LF179">
        <v>0</v>
      </c>
      <c r="LH179">
        <v>0</v>
      </c>
      <c r="LI179">
        <v>0</v>
      </c>
    </row>
    <row r="180" spans="1:321" x14ac:dyDescent="0.35">
      <c r="A180">
        <v>1</v>
      </c>
      <c r="B180">
        <v>12410</v>
      </c>
      <c r="C180" t="s">
        <v>1525</v>
      </c>
      <c r="D180" t="s">
        <v>1139</v>
      </c>
      <c r="E180" t="s">
        <v>85</v>
      </c>
      <c r="F180">
        <v>80</v>
      </c>
      <c r="G180">
        <v>9000</v>
      </c>
      <c r="H180">
        <v>0</v>
      </c>
      <c r="I180" t="s">
        <v>1050</v>
      </c>
      <c r="L180">
        <v>0</v>
      </c>
      <c r="M180">
        <v>0</v>
      </c>
      <c r="N180">
        <v>0</v>
      </c>
      <c r="R180">
        <v>0</v>
      </c>
      <c r="S180">
        <v>0</v>
      </c>
      <c r="W180" t="s">
        <v>1060</v>
      </c>
      <c r="X180">
        <v>0</v>
      </c>
      <c r="Z180">
        <v>1</v>
      </c>
      <c r="AA180">
        <v>0</v>
      </c>
      <c r="AB180">
        <v>0</v>
      </c>
      <c r="AC180">
        <v>0</v>
      </c>
      <c r="AD180" s="20">
        <v>40788</v>
      </c>
      <c r="AE180">
        <v>0</v>
      </c>
      <c r="AF180">
        <v>0</v>
      </c>
      <c r="AH180">
        <v>0</v>
      </c>
      <c r="AJ180">
        <v>0</v>
      </c>
      <c r="AL180">
        <v>0</v>
      </c>
      <c r="AM180">
        <v>0</v>
      </c>
      <c r="AN180">
        <v>16601001</v>
      </c>
      <c r="AO180">
        <v>0</v>
      </c>
      <c r="AP180">
        <v>1000</v>
      </c>
      <c r="AT180">
        <v>0</v>
      </c>
      <c r="AU180" t="s">
        <v>1059</v>
      </c>
      <c r="AW180" t="s">
        <v>1053</v>
      </c>
      <c r="AX180">
        <v>0</v>
      </c>
      <c r="AY180" s="20">
        <v>40788</v>
      </c>
      <c r="BA180" s="20">
        <v>40788</v>
      </c>
      <c r="BB180" t="s">
        <v>1058</v>
      </c>
      <c r="BD180">
        <v>0</v>
      </c>
      <c r="BF180" t="s">
        <v>1043</v>
      </c>
      <c r="BG180" t="s">
        <v>1042</v>
      </c>
      <c r="BH180">
        <v>0</v>
      </c>
      <c r="BI180">
        <v>1</v>
      </c>
      <c r="BJ180">
        <v>0</v>
      </c>
      <c r="BK180">
        <v>0</v>
      </c>
      <c r="BM180" t="s">
        <v>1042</v>
      </c>
      <c r="BN180">
        <v>0</v>
      </c>
      <c r="BR180" t="s">
        <v>1043</v>
      </c>
      <c r="BS180" t="s">
        <v>1043</v>
      </c>
      <c r="BT180" t="s">
        <v>1043</v>
      </c>
      <c r="BW180">
        <v>83</v>
      </c>
      <c r="CA180">
        <v>0</v>
      </c>
      <c r="CB180" t="s">
        <v>1057</v>
      </c>
      <c r="CE180" t="s">
        <v>1043</v>
      </c>
      <c r="CH180" t="s">
        <v>1043</v>
      </c>
      <c r="CN180" t="s">
        <v>1056</v>
      </c>
      <c r="CO180" t="s">
        <v>1043</v>
      </c>
      <c r="CP180">
        <v>1</v>
      </c>
      <c r="CQ180">
        <v>0</v>
      </c>
      <c r="CS180">
        <v>0</v>
      </c>
      <c r="CT180">
        <v>0</v>
      </c>
      <c r="CU180">
        <v>0</v>
      </c>
      <c r="CV180" t="s">
        <v>1045</v>
      </c>
      <c r="CW180">
        <v>0</v>
      </c>
      <c r="CX180">
        <v>0</v>
      </c>
      <c r="CY180">
        <v>0</v>
      </c>
      <c r="CZ180">
        <v>0</v>
      </c>
      <c r="DB180">
        <v>0</v>
      </c>
      <c r="DC180" t="s">
        <v>1043</v>
      </c>
      <c r="DF180" t="s">
        <v>1055</v>
      </c>
      <c r="DH180">
        <v>0</v>
      </c>
      <c r="DJ180">
        <v>0</v>
      </c>
      <c r="DK180" t="s">
        <v>1053</v>
      </c>
      <c r="DL180">
        <v>0</v>
      </c>
      <c r="DN180">
        <v>0</v>
      </c>
      <c r="DO180" t="s">
        <v>1042</v>
      </c>
      <c r="DP180">
        <v>0</v>
      </c>
      <c r="DQ180">
        <v>0</v>
      </c>
      <c r="DS180">
        <v>0</v>
      </c>
      <c r="DU180">
        <v>0</v>
      </c>
      <c r="DW180">
        <v>0</v>
      </c>
      <c r="DX180" t="s">
        <v>1043</v>
      </c>
      <c r="DY180">
        <v>0</v>
      </c>
      <c r="DZ180">
        <v>0</v>
      </c>
      <c r="EA180">
        <v>0</v>
      </c>
      <c r="ED180" t="s">
        <v>1045</v>
      </c>
      <c r="EE180">
        <v>0</v>
      </c>
      <c r="EF180">
        <v>0</v>
      </c>
      <c r="EQ180" t="s">
        <v>1044</v>
      </c>
      <c r="ES180" t="s">
        <v>1053</v>
      </c>
      <c r="ET180">
        <v>0</v>
      </c>
      <c r="EV180">
        <v>0</v>
      </c>
      <c r="EY180" t="s">
        <v>1052</v>
      </c>
      <c r="EZ180">
        <v>0</v>
      </c>
      <c r="FA180" t="s">
        <v>1043</v>
      </c>
      <c r="FB180">
        <v>0</v>
      </c>
      <c r="FC180">
        <v>0</v>
      </c>
      <c r="FE180" t="s">
        <v>1050</v>
      </c>
      <c r="FF180">
        <v>0</v>
      </c>
      <c r="FG180" t="s">
        <v>1050</v>
      </c>
      <c r="FJ180">
        <v>0</v>
      </c>
      <c r="FK180">
        <v>0</v>
      </c>
      <c r="FP180">
        <v>0</v>
      </c>
      <c r="FR180">
        <v>0</v>
      </c>
      <c r="FS180" t="s">
        <v>1043</v>
      </c>
      <c r="FX180" t="s">
        <v>1042</v>
      </c>
      <c r="FZ180" t="s">
        <v>1048</v>
      </c>
      <c r="GA180">
        <v>0</v>
      </c>
      <c r="GB180" t="s">
        <v>1042</v>
      </c>
      <c r="GE180">
        <v>0</v>
      </c>
      <c r="GG180">
        <v>0</v>
      </c>
      <c r="GN180">
        <v>0</v>
      </c>
      <c r="GO180" t="s">
        <v>1063</v>
      </c>
      <c r="GQ180">
        <v>0</v>
      </c>
      <c r="GU180">
        <v>0</v>
      </c>
      <c r="GY180" t="s">
        <v>1045</v>
      </c>
      <c r="HB180">
        <v>0</v>
      </c>
      <c r="HE180">
        <v>0</v>
      </c>
      <c r="HF180">
        <v>0</v>
      </c>
      <c r="HG180">
        <v>0</v>
      </c>
      <c r="HK180" t="s">
        <v>1042</v>
      </c>
      <c r="HM180" t="s">
        <v>1047</v>
      </c>
      <c r="HN180">
        <v>0</v>
      </c>
      <c r="HP180">
        <v>0</v>
      </c>
      <c r="HQ180">
        <v>0</v>
      </c>
      <c r="HR180" t="s">
        <v>1042</v>
      </c>
      <c r="HS180" t="s">
        <v>1043</v>
      </c>
      <c r="HT180">
        <v>0</v>
      </c>
      <c r="HU180">
        <v>0</v>
      </c>
      <c r="HW180">
        <v>0</v>
      </c>
      <c r="HX180">
        <v>0</v>
      </c>
      <c r="HY180">
        <v>0</v>
      </c>
      <c r="HZ180" t="s">
        <v>1045</v>
      </c>
      <c r="IA180">
        <v>0</v>
      </c>
      <c r="IB180" t="s">
        <v>1045</v>
      </c>
      <c r="ID180" t="s">
        <v>1045</v>
      </c>
      <c r="IF180">
        <v>0</v>
      </c>
      <c r="IG180" t="s">
        <v>1042</v>
      </c>
      <c r="II180" t="s">
        <v>1042</v>
      </c>
      <c r="IR180" t="s">
        <v>1045</v>
      </c>
      <c r="IT180">
        <v>0</v>
      </c>
      <c r="IY180" t="s">
        <v>1044</v>
      </c>
      <c r="IZ180" t="s">
        <v>1043</v>
      </c>
      <c r="JC180" t="s">
        <v>1043</v>
      </c>
      <c r="JE180">
        <v>0</v>
      </c>
      <c r="JF180">
        <v>0</v>
      </c>
      <c r="JI180" t="s">
        <v>1042</v>
      </c>
      <c r="JJ180">
        <v>0</v>
      </c>
      <c r="JK180">
        <v>0</v>
      </c>
      <c r="JL180">
        <v>0</v>
      </c>
      <c r="JM180">
        <v>0</v>
      </c>
      <c r="JQ180" t="s">
        <v>1043</v>
      </c>
      <c r="JT180">
        <v>0</v>
      </c>
      <c r="JU180" t="s">
        <v>1042</v>
      </c>
      <c r="JW180">
        <v>0</v>
      </c>
      <c r="KA180">
        <v>0</v>
      </c>
      <c r="KF180">
        <v>0</v>
      </c>
      <c r="KG180">
        <v>0</v>
      </c>
      <c r="KH180">
        <v>0</v>
      </c>
      <c r="KI180">
        <v>0</v>
      </c>
      <c r="KS180" t="s">
        <v>1073</v>
      </c>
      <c r="KT180">
        <v>0</v>
      </c>
      <c r="KU180">
        <v>0</v>
      </c>
      <c r="KV180">
        <v>0</v>
      </c>
      <c r="KX180">
        <v>0</v>
      </c>
      <c r="KZ180">
        <v>0</v>
      </c>
      <c r="LF180">
        <v>0</v>
      </c>
      <c r="LH180">
        <v>0</v>
      </c>
      <c r="LI180">
        <v>0</v>
      </c>
    </row>
    <row r="181" spans="1:321" x14ac:dyDescent="0.35">
      <c r="A181">
        <v>1</v>
      </c>
      <c r="B181">
        <v>12411</v>
      </c>
      <c r="C181" t="s">
        <v>1524</v>
      </c>
      <c r="D181" t="s">
        <v>1139</v>
      </c>
      <c r="E181" t="s">
        <v>1165</v>
      </c>
      <c r="F181">
        <v>80</v>
      </c>
      <c r="G181">
        <v>9000</v>
      </c>
      <c r="H181">
        <v>0</v>
      </c>
      <c r="I181" t="s">
        <v>1050</v>
      </c>
      <c r="L181">
        <v>0</v>
      </c>
      <c r="M181">
        <v>0</v>
      </c>
      <c r="N181">
        <v>0</v>
      </c>
      <c r="R181">
        <v>0</v>
      </c>
      <c r="S181">
        <v>0</v>
      </c>
      <c r="W181" t="s">
        <v>1060</v>
      </c>
      <c r="X181">
        <v>0</v>
      </c>
      <c r="Z181">
        <v>1</v>
      </c>
      <c r="AA181">
        <v>0</v>
      </c>
      <c r="AB181">
        <v>0</v>
      </c>
      <c r="AC181">
        <v>0</v>
      </c>
      <c r="AD181" s="20">
        <v>40791</v>
      </c>
      <c r="AE181">
        <v>131.27000000000001</v>
      </c>
      <c r="AF181">
        <v>0</v>
      </c>
      <c r="AH181">
        <v>0</v>
      </c>
      <c r="AJ181">
        <v>0</v>
      </c>
      <c r="AL181">
        <v>0</v>
      </c>
      <c r="AM181">
        <v>0</v>
      </c>
      <c r="AN181">
        <v>16601003</v>
      </c>
      <c r="AO181">
        <v>0</v>
      </c>
      <c r="AP181">
        <v>1001</v>
      </c>
      <c r="AT181">
        <v>0</v>
      </c>
      <c r="AU181" t="s">
        <v>1059</v>
      </c>
      <c r="AW181" t="s">
        <v>1053</v>
      </c>
      <c r="AX181">
        <v>0</v>
      </c>
      <c r="AY181" s="20">
        <v>40791</v>
      </c>
      <c r="BA181" s="20">
        <v>40791</v>
      </c>
      <c r="BB181" t="s">
        <v>1058</v>
      </c>
      <c r="BD181">
        <v>0</v>
      </c>
      <c r="BF181" t="s">
        <v>1043</v>
      </c>
      <c r="BG181" t="s">
        <v>1042</v>
      </c>
      <c r="BH181">
        <v>0</v>
      </c>
      <c r="BI181">
        <v>1</v>
      </c>
      <c r="BJ181">
        <v>0</v>
      </c>
      <c r="BK181">
        <v>0</v>
      </c>
      <c r="BM181" t="s">
        <v>1042</v>
      </c>
      <c r="BN181">
        <v>0</v>
      </c>
      <c r="BR181" t="s">
        <v>1043</v>
      </c>
      <c r="BS181" t="s">
        <v>1043</v>
      </c>
      <c r="BT181" t="s">
        <v>1043</v>
      </c>
      <c r="BW181">
        <v>55</v>
      </c>
      <c r="CA181">
        <v>0</v>
      </c>
      <c r="CB181" t="s">
        <v>1057</v>
      </c>
      <c r="CE181" t="s">
        <v>1043</v>
      </c>
      <c r="CH181" t="s">
        <v>1043</v>
      </c>
      <c r="CN181" t="s">
        <v>1056</v>
      </c>
      <c r="CO181" t="s">
        <v>1043</v>
      </c>
      <c r="CP181">
        <v>1</v>
      </c>
      <c r="CQ181">
        <v>0</v>
      </c>
      <c r="CS181">
        <v>0</v>
      </c>
      <c r="CT181">
        <v>0</v>
      </c>
      <c r="CU181">
        <v>0</v>
      </c>
      <c r="CV181" t="s">
        <v>1045</v>
      </c>
      <c r="CW181">
        <v>0</v>
      </c>
      <c r="CX181">
        <v>0</v>
      </c>
      <c r="CY181">
        <v>0</v>
      </c>
      <c r="CZ181">
        <v>0</v>
      </c>
      <c r="DB181">
        <v>0</v>
      </c>
      <c r="DC181" t="s">
        <v>1043</v>
      </c>
      <c r="DF181" t="s">
        <v>1055</v>
      </c>
      <c r="DH181">
        <v>0</v>
      </c>
      <c r="DJ181">
        <v>0</v>
      </c>
      <c r="DK181" t="s">
        <v>1053</v>
      </c>
      <c r="DL181">
        <v>0</v>
      </c>
      <c r="DN181">
        <v>0</v>
      </c>
      <c r="DO181" t="s">
        <v>1042</v>
      </c>
      <c r="DP181">
        <v>0</v>
      </c>
      <c r="DQ181">
        <v>0</v>
      </c>
      <c r="DS181">
        <v>0</v>
      </c>
      <c r="DU181">
        <v>0</v>
      </c>
      <c r="DW181">
        <v>0</v>
      </c>
      <c r="DX181" t="s">
        <v>1043</v>
      </c>
      <c r="DY181">
        <v>0</v>
      </c>
      <c r="DZ181">
        <v>0</v>
      </c>
      <c r="EA181">
        <v>0</v>
      </c>
      <c r="ED181" t="s">
        <v>1045</v>
      </c>
      <c r="EE181">
        <v>0</v>
      </c>
      <c r="EF181">
        <v>0</v>
      </c>
      <c r="EQ181" t="s">
        <v>1044</v>
      </c>
      <c r="ES181" t="s">
        <v>1053</v>
      </c>
      <c r="ET181">
        <v>0</v>
      </c>
      <c r="EV181">
        <v>0</v>
      </c>
      <c r="EY181" t="s">
        <v>1052</v>
      </c>
      <c r="EZ181">
        <v>0</v>
      </c>
      <c r="FA181" t="s">
        <v>1043</v>
      </c>
      <c r="FB181">
        <v>0</v>
      </c>
      <c r="FC181">
        <v>0</v>
      </c>
      <c r="FE181" t="s">
        <v>1050</v>
      </c>
      <c r="FF181">
        <v>0</v>
      </c>
      <c r="FG181" t="s">
        <v>1050</v>
      </c>
      <c r="FJ181">
        <v>0</v>
      </c>
      <c r="FK181">
        <v>0</v>
      </c>
      <c r="FP181">
        <v>0</v>
      </c>
      <c r="FR181">
        <v>0</v>
      </c>
      <c r="FS181" t="s">
        <v>1043</v>
      </c>
      <c r="FX181" t="s">
        <v>1042</v>
      </c>
      <c r="FZ181" t="s">
        <v>1048</v>
      </c>
      <c r="GA181">
        <v>0</v>
      </c>
      <c r="GB181" t="s">
        <v>1042</v>
      </c>
      <c r="GE181">
        <v>0</v>
      </c>
      <c r="GG181">
        <v>0</v>
      </c>
      <c r="GN181">
        <v>0</v>
      </c>
      <c r="GO181" t="s">
        <v>1063</v>
      </c>
      <c r="GQ181">
        <v>0</v>
      </c>
      <c r="GU181">
        <v>0</v>
      </c>
      <c r="GY181" t="s">
        <v>1045</v>
      </c>
      <c r="HB181">
        <v>0</v>
      </c>
      <c r="HE181">
        <v>0</v>
      </c>
      <c r="HF181">
        <v>0</v>
      </c>
      <c r="HG181">
        <v>0</v>
      </c>
      <c r="HK181" t="s">
        <v>1042</v>
      </c>
      <c r="HM181" t="s">
        <v>1047</v>
      </c>
      <c r="HN181">
        <v>0</v>
      </c>
      <c r="HP181">
        <v>0</v>
      </c>
      <c r="HQ181">
        <v>0</v>
      </c>
      <c r="HR181" t="s">
        <v>1042</v>
      </c>
      <c r="HS181" t="s">
        <v>1043</v>
      </c>
      <c r="HT181">
        <v>0</v>
      </c>
      <c r="HU181">
        <v>0</v>
      </c>
      <c r="HW181">
        <v>0</v>
      </c>
      <c r="HX181">
        <v>0</v>
      </c>
      <c r="HY181">
        <v>0</v>
      </c>
      <c r="HZ181" t="s">
        <v>1045</v>
      </c>
      <c r="IA181">
        <v>0</v>
      </c>
      <c r="IB181" t="s">
        <v>1045</v>
      </c>
      <c r="ID181" t="s">
        <v>1045</v>
      </c>
      <c r="IF181">
        <v>0</v>
      </c>
      <c r="IG181" t="s">
        <v>1042</v>
      </c>
      <c r="II181" t="s">
        <v>1042</v>
      </c>
      <c r="IR181" t="s">
        <v>1045</v>
      </c>
      <c r="IT181">
        <v>0</v>
      </c>
      <c r="IY181" t="s">
        <v>1044</v>
      </c>
      <c r="IZ181" t="s">
        <v>1043</v>
      </c>
      <c r="JC181" t="s">
        <v>1043</v>
      </c>
      <c r="JE181">
        <v>0</v>
      </c>
      <c r="JF181">
        <v>0</v>
      </c>
      <c r="JI181" t="s">
        <v>1042</v>
      </c>
      <c r="JJ181">
        <v>0</v>
      </c>
      <c r="JK181">
        <v>0</v>
      </c>
      <c r="JL181">
        <v>0</v>
      </c>
      <c r="JM181">
        <v>0</v>
      </c>
      <c r="JQ181" t="s">
        <v>1043</v>
      </c>
      <c r="JT181">
        <v>0</v>
      </c>
      <c r="JU181" t="s">
        <v>1042</v>
      </c>
      <c r="JW181">
        <v>0</v>
      </c>
      <c r="KA181">
        <v>0</v>
      </c>
      <c r="KF181">
        <v>0</v>
      </c>
      <c r="KG181">
        <v>0</v>
      </c>
      <c r="KH181">
        <v>0</v>
      </c>
      <c r="KI181">
        <v>0</v>
      </c>
      <c r="KS181" t="s">
        <v>1073</v>
      </c>
      <c r="KT181">
        <v>0</v>
      </c>
      <c r="KU181">
        <v>0</v>
      </c>
      <c r="KV181">
        <v>0</v>
      </c>
      <c r="KX181">
        <v>0</v>
      </c>
      <c r="KZ181">
        <v>0</v>
      </c>
      <c r="LF181">
        <v>0</v>
      </c>
      <c r="LH181">
        <v>0</v>
      </c>
      <c r="LI181">
        <v>0</v>
      </c>
    </row>
    <row r="182" spans="1:321" x14ac:dyDescent="0.35">
      <c r="A182">
        <v>1</v>
      </c>
      <c r="B182">
        <v>12412</v>
      </c>
      <c r="C182" t="s">
        <v>1523</v>
      </c>
      <c r="D182" t="s">
        <v>1139</v>
      </c>
      <c r="E182" t="s">
        <v>1165</v>
      </c>
      <c r="F182">
        <v>80</v>
      </c>
      <c r="G182">
        <v>9000</v>
      </c>
      <c r="H182">
        <v>0</v>
      </c>
      <c r="I182" t="s">
        <v>1050</v>
      </c>
      <c r="L182">
        <v>0</v>
      </c>
      <c r="M182">
        <v>0</v>
      </c>
      <c r="N182">
        <v>0</v>
      </c>
      <c r="R182">
        <v>0</v>
      </c>
      <c r="S182">
        <v>0</v>
      </c>
      <c r="W182" t="s">
        <v>1060</v>
      </c>
      <c r="X182">
        <v>0</v>
      </c>
      <c r="Z182">
        <v>1</v>
      </c>
      <c r="AA182">
        <v>0</v>
      </c>
      <c r="AB182">
        <v>0</v>
      </c>
      <c r="AC182">
        <v>0</v>
      </c>
      <c r="AD182" s="20">
        <v>40791</v>
      </c>
      <c r="AE182">
        <v>26.49</v>
      </c>
      <c r="AF182">
        <v>0</v>
      </c>
      <c r="AH182">
        <v>0</v>
      </c>
      <c r="AJ182">
        <v>0</v>
      </c>
      <c r="AL182">
        <v>0</v>
      </c>
      <c r="AM182">
        <v>0</v>
      </c>
      <c r="AN182">
        <v>16601003</v>
      </c>
      <c r="AO182">
        <v>0</v>
      </c>
      <c r="AP182">
        <v>1001</v>
      </c>
      <c r="AT182">
        <v>0</v>
      </c>
      <c r="AU182" t="s">
        <v>1059</v>
      </c>
      <c r="AW182" t="s">
        <v>1053</v>
      </c>
      <c r="AX182">
        <v>0</v>
      </c>
      <c r="AY182" s="20">
        <v>40791</v>
      </c>
      <c r="BA182" s="20">
        <v>40791</v>
      </c>
      <c r="BB182" t="s">
        <v>1058</v>
      </c>
      <c r="BD182">
        <v>0</v>
      </c>
      <c r="BF182" t="s">
        <v>1043</v>
      </c>
      <c r="BG182" t="s">
        <v>1042</v>
      </c>
      <c r="BH182">
        <v>0</v>
      </c>
      <c r="BI182">
        <v>1</v>
      </c>
      <c r="BJ182">
        <v>0</v>
      </c>
      <c r="BK182">
        <v>0</v>
      </c>
      <c r="BM182" t="s">
        <v>1042</v>
      </c>
      <c r="BN182">
        <v>0</v>
      </c>
      <c r="BR182" t="s">
        <v>1043</v>
      </c>
      <c r="BS182" t="s">
        <v>1043</v>
      </c>
      <c r="BT182" t="s">
        <v>1043</v>
      </c>
      <c r="BW182">
        <v>55</v>
      </c>
      <c r="CA182">
        <v>0</v>
      </c>
      <c r="CB182" t="s">
        <v>1057</v>
      </c>
      <c r="CE182" t="s">
        <v>1043</v>
      </c>
      <c r="CH182" t="s">
        <v>1043</v>
      </c>
      <c r="CN182" t="s">
        <v>1056</v>
      </c>
      <c r="CO182" t="s">
        <v>1043</v>
      </c>
      <c r="CP182">
        <v>1</v>
      </c>
      <c r="CQ182">
        <v>0</v>
      </c>
      <c r="CS182">
        <v>0</v>
      </c>
      <c r="CT182">
        <v>0</v>
      </c>
      <c r="CU182">
        <v>0</v>
      </c>
      <c r="CV182" t="s">
        <v>1045</v>
      </c>
      <c r="CW182">
        <v>0</v>
      </c>
      <c r="CX182">
        <v>0</v>
      </c>
      <c r="CY182">
        <v>0</v>
      </c>
      <c r="CZ182">
        <v>0</v>
      </c>
      <c r="DB182">
        <v>0</v>
      </c>
      <c r="DC182" t="s">
        <v>1043</v>
      </c>
      <c r="DF182" t="s">
        <v>1055</v>
      </c>
      <c r="DH182">
        <v>0</v>
      </c>
      <c r="DJ182">
        <v>0</v>
      </c>
      <c r="DK182" t="s">
        <v>1053</v>
      </c>
      <c r="DL182">
        <v>0</v>
      </c>
      <c r="DN182">
        <v>0</v>
      </c>
      <c r="DO182" t="s">
        <v>1042</v>
      </c>
      <c r="DP182">
        <v>0</v>
      </c>
      <c r="DQ182">
        <v>0</v>
      </c>
      <c r="DS182">
        <v>0</v>
      </c>
      <c r="DU182">
        <v>0</v>
      </c>
      <c r="DW182">
        <v>0</v>
      </c>
      <c r="DX182" t="s">
        <v>1043</v>
      </c>
      <c r="DY182">
        <v>0</v>
      </c>
      <c r="DZ182">
        <v>0</v>
      </c>
      <c r="EA182">
        <v>0</v>
      </c>
      <c r="ED182" t="s">
        <v>1045</v>
      </c>
      <c r="EE182">
        <v>0</v>
      </c>
      <c r="EF182">
        <v>0</v>
      </c>
      <c r="EQ182" t="s">
        <v>1044</v>
      </c>
      <c r="ES182" t="s">
        <v>1053</v>
      </c>
      <c r="ET182">
        <v>0</v>
      </c>
      <c r="EV182">
        <v>0</v>
      </c>
      <c r="EY182" t="s">
        <v>1052</v>
      </c>
      <c r="EZ182">
        <v>0</v>
      </c>
      <c r="FA182" t="s">
        <v>1043</v>
      </c>
      <c r="FB182">
        <v>0</v>
      </c>
      <c r="FC182">
        <v>0</v>
      </c>
      <c r="FE182" t="s">
        <v>1050</v>
      </c>
      <c r="FF182">
        <v>0</v>
      </c>
      <c r="FG182" t="s">
        <v>1050</v>
      </c>
      <c r="FJ182">
        <v>0</v>
      </c>
      <c r="FK182">
        <v>0</v>
      </c>
      <c r="FP182">
        <v>0</v>
      </c>
      <c r="FR182">
        <v>0</v>
      </c>
      <c r="FS182" t="s">
        <v>1043</v>
      </c>
      <c r="FX182" t="s">
        <v>1042</v>
      </c>
      <c r="FZ182" t="s">
        <v>1048</v>
      </c>
      <c r="GA182">
        <v>0</v>
      </c>
      <c r="GB182" t="s">
        <v>1042</v>
      </c>
      <c r="GE182">
        <v>0</v>
      </c>
      <c r="GG182">
        <v>0</v>
      </c>
      <c r="GN182">
        <v>0</v>
      </c>
      <c r="GO182" t="s">
        <v>1063</v>
      </c>
      <c r="GQ182">
        <v>0</v>
      </c>
      <c r="GU182">
        <v>0</v>
      </c>
      <c r="GY182" t="s">
        <v>1045</v>
      </c>
      <c r="HB182">
        <v>0</v>
      </c>
      <c r="HE182">
        <v>0</v>
      </c>
      <c r="HF182">
        <v>0</v>
      </c>
      <c r="HG182">
        <v>0</v>
      </c>
      <c r="HK182" t="s">
        <v>1042</v>
      </c>
      <c r="HM182" t="s">
        <v>1047</v>
      </c>
      <c r="HN182">
        <v>0</v>
      </c>
      <c r="HP182">
        <v>0</v>
      </c>
      <c r="HQ182">
        <v>0</v>
      </c>
      <c r="HR182" t="s">
        <v>1042</v>
      </c>
      <c r="HS182" t="s">
        <v>1043</v>
      </c>
      <c r="HT182">
        <v>0</v>
      </c>
      <c r="HU182">
        <v>0</v>
      </c>
      <c r="HW182">
        <v>0</v>
      </c>
      <c r="HX182">
        <v>0</v>
      </c>
      <c r="HY182">
        <v>0</v>
      </c>
      <c r="HZ182" t="s">
        <v>1045</v>
      </c>
      <c r="IA182">
        <v>0</v>
      </c>
      <c r="IB182" t="s">
        <v>1045</v>
      </c>
      <c r="ID182" t="s">
        <v>1045</v>
      </c>
      <c r="IF182">
        <v>0</v>
      </c>
      <c r="IG182" t="s">
        <v>1042</v>
      </c>
      <c r="II182" t="s">
        <v>1042</v>
      </c>
      <c r="IR182" t="s">
        <v>1045</v>
      </c>
      <c r="IT182">
        <v>0</v>
      </c>
      <c r="IY182" t="s">
        <v>1044</v>
      </c>
      <c r="IZ182" t="s">
        <v>1043</v>
      </c>
      <c r="JC182" t="s">
        <v>1043</v>
      </c>
      <c r="JE182">
        <v>0</v>
      </c>
      <c r="JF182">
        <v>0</v>
      </c>
      <c r="JI182" t="s">
        <v>1042</v>
      </c>
      <c r="JJ182">
        <v>0</v>
      </c>
      <c r="JK182">
        <v>0</v>
      </c>
      <c r="JL182">
        <v>0</v>
      </c>
      <c r="JM182">
        <v>0</v>
      </c>
      <c r="JQ182" t="s">
        <v>1043</v>
      </c>
      <c r="JT182">
        <v>0</v>
      </c>
      <c r="JU182" t="s">
        <v>1042</v>
      </c>
      <c r="JW182">
        <v>0</v>
      </c>
      <c r="KA182">
        <v>0</v>
      </c>
      <c r="KF182">
        <v>0</v>
      </c>
      <c r="KG182">
        <v>0</v>
      </c>
      <c r="KH182">
        <v>0</v>
      </c>
      <c r="KI182">
        <v>0</v>
      </c>
      <c r="KS182" t="s">
        <v>1073</v>
      </c>
      <c r="KT182">
        <v>0</v>
      </c>
      <c r="KU182">
        <v>0</v>
      </c>
      <c r="KV182">
        <v>0</v>
      </c>
      <c r="KX182">
        <v>0</v>
      </c>
      <c r="KZ182">
        <v>0</v>
      </c>
      <c r="LF182">
        <v>0</v>
      </c>
      <c r="LH182">
        <v>0</v>
      </c>
      <c r="LI182">
        <v>0</v>
      </c>
    </row>
    <row r="183" spans="1:321" x14ac:dyDescent="0.35">
      <c r="A183">
        <v>1</v>
      </c>
      <c r="B183">
        <v>12413</v>
      </c>
      <c r="C183" t="s">
        <v>1522</v>
      </c>
      <c r="D183" t="s">
        <v>1139</v>
      </c>
      <c r="E183" t="s">
        <v>1165</v>
      </c>
      <c r="F183">
        <v>80</v>
      </c>
      <c r="G183">
        <v>9000</v>
      </c>
      <c r="H183">
        <v>0</v>
      </c>
      <c r="I183" t="s">
        <v>1050</v>
      </c>
      <c r="L183">
        <v>0</v>
      </c>
      <c r="M183">
        <v>0</v>
      </c>
      <c r="N183">
        <v>0</v>
      </c>
      <c r="R183">
        <v>0</v>
      </c>
      <c r="S183">
        <v>0</v>
      </c>
      <c r="W183" t="s">
        <v>1060</v>
      </c>
      <c r="X183">
        <v>0</v>
      </c>
      <c r="Z183">
        <v>1</v>
      </c>
      <c r="AA183">
        <v>0</v>
      </c>
      <c r="AB183">
        <v>0</v>
      </c>
      <c r="AC183">
        <v>0</v>
      </c>
      <c r="AD183" s="20">
        <v>40791</v>
      </c>
      <c r="AE183">
        <v>3197.07</v>
      </c>
      <c r="AF183">
        <v>0</v>
      </c>
      <c r="AH183">
        <v>0</v>
      </c>
      <c r="AJ183">
        <v>0</v>
      </c>
      <c r="AL183">
        <v>0</v>
      </c>
      <c r="AM183">
        <v>0</v>
      </c>
      <c r="AN183">
        <v>16601003</v>
      </c>
      <c r="AO183">
        <v>0</v>
      </c>
      <c r="AP183">
        <v>1001</v>
      </c>
      <c r="AT183">
        <v>0</v>
      </c>
      <c r="AU183" t="s">
        <v>1059</v>
      </c>
      <c r="AW183" t="s">
        <v>1053</v>
      </c>
      <c r="AX183">
        <v>0</v>
      </c>
      <c r="AY183" s="20">
        <v>40791</v>
      </c>
      <c r="BA183" s="20">
        <v>40791</v>
      </c>
      <c r="BB183" t="s">
        <v>1058</v>
      </c>
      <c r="BD183">
        <v>0</v>
      </c>
      <c r="BF183" t="s">
        <v>1043</v>
      </c>
      <c r="BG183" t="s">
        <v>1042</v>
      </c>
      <c r="BH183">
        <v>0</v>
      </c>
      <c r="BI183">
        <v>1</v>
      </c>
      <c r="BJ183">
        <v>0</v>
      </c>
      <c r="BK183">
        <v>0</v>
      </c>
      <c r="BM183" t="s">
        <v>1042</v>
      </c>
      <c r="BN183">
        <v>0</v>
      </c>
      <c r="BR183" t="s">
        <v>1043</v>
      </c>
      <c r="BS183" t="s">
        <v>1043</v>
      </c>
      <c r="BT183" t="s">
        <v>1043</v>
      </c>
      <c r="BW183">
        <v>55</v>
      </c>
      <c r="CA183">
        <v>0</v>
      </c>
      <c r="CB183" t="s">
        <v>1057</v>
      </c>
      <c r="CE183" t="s">
        <v>1043</v>
      </c>
      <c r="CH183" t="s">
        <v>1043</v>
      </c>
      <c r="CN183" t="s">
        <v>1056</v>
      </c>
      <c r="CO183" t="s">
        <v>1043</v>
      </c>
      <c r="CP183">
        <v>1</v>
      </c>
      <c r="CQ183">
        <v>0</v>
      </c>
      <c r="CS183">
        <v>0</v>
      </c>
      <c r="CT183">
        <v>0</v>
      </c>
      <c r="CU183">
        <v>0</v>
      </c>
      <c r="CV183" t="s">
        <v>1045</v>
      </c>
      <c r="CW183">
        <v>0</v>
      </c>
      <c r="CX183">
        <v>0</v>
      </c>
      <c r="CY183">
        <v>0</v>
      </c>
      <c r="CZ183">
        <v>0</v>
      </c>
      <c r="DB183">
        <v>0</v>
      </c>
      <c r="DC183" t="s">
        <v>1043</v>
      </c>
      <c r="DF183" t="s">
        <v>1055</v>
      </c>
      <c r="DH183">
        <v>0</v>
      </c>
      <c r="DJ183">
        <v>0</v>
      </c>
      <c r="DK183" t="s">
        <v>1053</v>
      </c>
      <c r="DL183">
        <v>0</v>
      </c>
      <c r="DN183">
        <v>0</v>
      </c>
      <c r="DO183" t="s">
        <v>1042</v>
      </c>
      <c r="DP183">
        <v>0</v>
      </c>
      <c r="DQ183">
        <v>0</v>
      </c>
      <c r="DS183">
        <v>0</v>
      </c>
      <c r="DU183">
        <v>0</v>
      </c>
      <c r="DW183">
        <v>0</v>
      </c>
      <c r="DX183" t="s">
        <v>1043</v>
      </c>
      <c r="DY183">
        <v>0</v>
      </c>
      <c r="DZ183">
        <v>0</v>
      </c>
      <c r="EA183">
        <v>0</v>
      </c>
      <c r="ED183" t="s">
        <v>1045</v>
      </c>
      <c r="EE183">
        <v>0</v>
      </c>
      <c r="EF183">
        <v>0</v>
      </c>
      <c r="EQ183" t="s">
        <v>1044</v>
      </c>
      <c r="ES183" t="s">
        <v>1053</v>
      </c>
      <c r="ET183">
        <v>0</v>
      </c>
      <c r="EV183">
        <v>0</v>
      </c>
      <c r="EY183" t="s">
        <v>1052</v>
      </c>
      <c r="EZ183">
        <v>0</v>
      </c>
      <c r="FA183" t="s">
        <v>1043</v>
      </c>
      <c r="FB183">
        <v>0</v>
      </c>
      <c r="FC183">
        <v>0</v>
      </c>
      <c r="FE183" t="s">
        <v>1050</v>
      </c>
      <c r="FF183">
        <v>0</v>
      </c>
      <c r="FG183" t="s">
        <v>1050</v>
      </c>
      <c r="FJ183">
        <v>0</v>
      </c>
      <c r="FK183">
        <v>0</v>
      </c>
      <c r="FP183">
        <v>0</v>
      </c>
      <c r="FR183">
        <v>0</v>
      </c>
      <c r="FS183" t="s">
        <v>1043</v>
      </c>
      <c r="FX183" t="s">
        <v>1042</v>
      </c>
      <c r="FZ183" t="s">
        <v>1048</v>
      </c>
      <c r="GA183">
        <v>0</v>
      </c>
      <c r="GB183" t="s">
        <v>1042</v>
      </c>
      <c r="GE183">
        <v>0</v>
      </c>
      <c r="GG183">
        <v>0</v>
      </c>
      <c r="GN183">
        <v>0</v>
      </c>
      <c r="GO183" t="s">
        <v>1063</v>
      </c>
      <c r="GQ183">
        <v>0</v>
      </c>
      <c r="GU183">
        <v>0</v>
      </c>
      <c r="GY183" t="s">
        <v>1045</v>
      </c>
      <c r="HB183">
        <v>0</v>
      </c>
      <c r="HE183">
        <v>0</v>
      </c>
      <c r="HF183">
        <v>0</v>
      </c>
      <c r="HG183">
        <v>0</v>
      </c>
      <c r="HK183" t="s">
        <v>1042</v>
      </c>
      <c r="HM183" t="s">
        <v>1047</v>
      </c>
      <c r="HN183">
        <v>0</v>
      </c>
      <c r="HP183">
        <v>0</v>
      </c>
      <c r="HQ183">
        <v>0</v>
      </c>
      <c r="HR183" t="s">
        <v>1042</v>
      </c>
      <c r="HS183" t="s">
        <v>1043</v>
      </c>
      <c r="HT183">
        <v>0</v>
      </c>
      <c r="HU183">
        <v>0</v>
      </c>
      <c r="HW183">
        <v>0</v>
      </c>
      <c r="HX183">
        <v>0</v>
      </c>
      <c r="HY183">
        <v>0</v>
      </c>
      <c r="HZ183" t="s">
        <v>1045</v>
      </c>
      <c r="IA183">
        <v>0</v>
      </c>
      <c r="IB183" t="s">
        <v>1045</v>
      </c>
      <c r="ID183" t="s">
        <v>1045</v>
      </c>
      <c r="IF183">
        <v>0</v>
      </c>
      <c r="IG183" t="s">
        <v>1042</v>
      </c>
      <c r="II183" t="s">
        <v>1042</v>
      </c>
      <c r="IR183" t="s">
        <v>1045</v>
      </c>
      <c r="IT183">
        <v>0</v>
      </c>
      <c r="IY183" t="s">
        <v>1044</v>
      </c>
      <c r="IZ183" t="s">
        <v>1043</v>
      </c>
      <c r="JC183" t="s">
        <v>1043</v>
      </c>
      <c r="JE183">
        <v>0</v>
      </c>
      <c r="JF183">
        <v>0</v>
      </c>
      <c r="JI183" t="s">
        <v>1042</v>
      </c>
      <c r="JJ183">
        <v>0</v>
      </c>
      <c r="JK183">
        <v>0</v>
      </c>
      <c r="JL183">
        <v>0</v>
      </c>
      <c r="JM183">
        <v>0</v>
      </c>
      <c r="JQ183" t="s">
        <v>1043</v>
      </c>
      <c r="JT183">
        <v>0</v>
      </c>
      <c r="JU183" t="s">
        <v>1042</v>
      </c>
      <c r="JW183">
        <v>0</v>
      </c>
      <c r="KA183">
        <v>0</v>
      </c>
      <c r="KF183">
        <v>0</v>
      </c>
      <c r="KG183">
        <v>0</v>
      </c>
      <c r="KH183">
        <v>0</v>
      </c>
      <c r="KI183">
        <v>0</v>
      </c>
      <c r="KS183" t="s">
        <v>1073</v>
      </c>
      <c r="KT183">
        <v>0</v>
      </c>
      <c r="KU183">
        <v>0</v>
      </c>
      <c r="KV183">
        <v>0</v>
      </c>
      <c r="KX183">
        <v>0</v>
      </c>
      <c r="KZ183">
        <v>0</v>
      </c>
      <c r="LF183">
        <v>0</v>
      </c>
      <c r="LH183">
        <v>0</v>
      </c>
      <c r="LI183">
        <v>0</v>
      </c>
    </row>
    <row r="184" spans="1:321" x14ac:dyDescent="0.35">
      <c r="A184">
        <v>1</v>
      </c>
      <c r="B184">
        <v>12414</v>
      </c>
      <c r="C184" t="s">
        <v>1521</v>
      </c>
      <c r="D184" t="s">
        <v>1139</v>
      </c>
      <c r="E184" t="s">
        <v>1165</v>
      </c>
      <c r="F184">
        <v>80</v>
      </c>
      <c r="G184">
        <v>9000</v>
      </c>
      <c r="H184">
        <v>0</v>
      </c>
      <c r="I184" t="s">
        <v>1050</v>
      </c>
      <c r="L184">
        <v>0</v>
      </c>
      <c r="M184">
        <v>0</v>
      </c>
      <c r="N184">
        <v>0</v>
      </c>
      <c r="R184">
        <v>0</v>
      </c>
      <c r="S184">
        <v>0</v>
      </c>
      <c r="W184" t="s">
        <v>1060</v>
      </c>
      <c r="X184">
        <v>0</v>
      </c>
      <c r="Z184">
        <v>1</v>
      </c>
      <c r="AA184">
        <v>0</v>
      </c>
      <c r="AB184">
        <v>0</v>
      </c>
      <c r="AC184">
        <v>0</v>
      </c>
      <c r="AD184" s="20">
        <v>40791</v>
      </c>
      <c r="AE184">
        <v>1668.86</v>
      </c>
      <c r="AF184">
        <v>0</v>
      </c>
      <c r="AH184">
        <v>0</v>
      </c>
      <c r="AJ184">
        <v>0</v>
      </c>
      <c r="AL184">
        <v>0</v>
      </c>
      <c r="AM184">
        <v>0</v>
      </c>
      <c r="AN184">
        <v>16601003</v>
      </c>
      <c r="AO184">
        <v>0</v>
      </c>
      <c r="AP184">
        <v>1001</v>
      </c>
      <c r="AT184">
        <v>0</v>
      </c>
      <c r="AU184" t="s">
        <v>1059</v>
      </c>
      <c r="AW184" t="s">
        <v>1053</v>
      </c>
      <c r="AX184">
        <v>0</v>
      </c>
      <c r="AY184" s="20">
        <v>40791</v>
      </c>
      <c r="BA184" s="20">
        <v>40791</v>
      </c>
      <c r="BB184" t="s">
        <v>1058</v>
      </c>
      <c r="BD184">
        <v>0</v>
      </c>
      <c r="BF184" t="s">
        <v>1043</v>
      </c>
      <c r="BG184" t="s">
        <v>1042</v>
      </c>
      <c r="BH184">
        <v>0</v>
      </c>
      <c r="BI184">
        <v>1</v>
      </c>
      <c r="BJ184">
        <v>0</v>
      </c>
      <c r="BK184">
        <v>0</v>
      </c>
      <c r="BM184" t="s">
        <v>1042</v>
      </c>
      <c r="BN184">
        <v>0</v>
      </c>
      <c r="BR184" t="s">
        <v>1043</v>
      </c>
      <c r="BS184" t="s">
        <v>1043</v>
      </c>
      <c r="BT184" t="s">
        <v>1043</v>
      </c>
      <c r="BW184">
        <v>55</v>
      </c>
      <c r="CA184">
        <v>0</v>
      </c>
      <c r="CB184" t="s">
        <v>1057</v>
      </c>
      <c r="CE184" t="s">
        <v>1043</v>
      </c>
      <c r="CH184" t="s">
        <v>1043</v>
      </c>
      <c r="CN184" t="s">
        <v>1056</v>
      </c>
      <c r="CO184" t="s">
        <v>1043</v>
      </c>
      <c r="CP184">
        <v>1</v>
      </c>
      <c r="CQ184">
        <v>0</v>
      </c>
      <c r="CS184">
        <v>0</v>
      </c>
      <c r="CT184">
        <v>0</v>
      </c>
      <c r="CU184">
        <v>0</v>
      </c>
      <c r="CV184" t="s">
        <v>1045</v>
      </c>
      <c r="CW184">
        <v>0</v>
      </c>
      <c r="CX184">
        <v>0</v>
      </c>
      <c r="CY184">
        <v>0</v>
      </c>
      <c r="CZ184">
        <v>0</v>
      </c>
      <c r="DB184">
        <v>0</v>
      </c>
      <c r="DC184" t="s">
        <v>1043</v>
      </c>
      <c r="DF184" t="s">
        <v>1055</v>
      </c>
      <c r="DH184">
        <v>0</v>
      </c>
      <c r="DJ184">
        <v>0</v>
      </c>
      <c r="DK184" t="s">
        <v>1053</v>
      </c>
      <c r="DL184">
        <v>0</v>
      </c>
      <c r="DN184">
        <v>0</v>
      </c>
      <c r="DO184" t="s">
        <v>1042</v>
      </c>
      <c r="DP184">
        <v>0</v>
      </c>
      <c r="DQ184">
        <v>0</v>
      </c>
      <c r="DS184">
        <v>0</v>
      </c>
      <c r="DU184">
        <v>0</v>
      </c>
      <c r="DW184">
        <v>0</v>
      </c>
      <c r="DX184" t="s">
        <v>1043</v>
      </c>
      <c r="DY184">
        <v>0</v>
      </c>
      <c r="DZ184">
        <v>0</v>
      </c>
      <c r="EA184">
        <v>0</v>
      </c>
      <c r="ED184" t="s">
        <v>1045</v>
      </c>
      <c r="EE184">
        <v>0</v>
      </c>
      <c r="EF184">
        <v>0</v>
      </c>
      <c r="EQ184" t="s">
        <v>1044</v>
      </c>
      <c r="ES184" t="s">
        <v>1053</v>
      </c>
      <c r="ET184">
        <v>0</v>
      </c>
      <c r="EV184">
        <v>0</v>
      </c>
      <c r="EY184" t="s">
        <v>1052</v>
      </c>
      <c r="EZ184">
        <v>0</v>
      </c>
      <c r="FA184" t="s">
        <v>1043</v>
      </c>
      <c r="FB184">
        <v>0</v>
      </c>
      <c r="FC184">
        <v>0</v>
      </c>
      <c r="FE184" t="s">
        <v>1050</v>
      </c>
      <c r="FF184">
        <v>0</v>
      </c>
      <c r="FG184" t="s">
        <v>1050</v>
      </c>
      <c r="FJ184">
        <v>0</v>
      </c>
      <c r="FK184">
        <v>0</v>
      </c>
      <c r="FP184">
        <v>0</v>
      </c>
      <c r="FR184">
        <v>0</v>
      </c>
      <c r="FS184" t="s">
        <v>1043</v>
      </c>
      <c r="FX184" t="s">
        <v>1042</v>
      </c>
      <c r="FZ184" t="s">
        <v>1048</v>
      </c>
      <c r="GA184">
        <v>0</v>
      </c>
      <c r="GB184" t="s">
        <v>1042</v>
      </c>
      <c r="GE184">
        <v>0</v>
      </c>
      <c r="GG184">
        <v>0</v>
      </c>
      <c r="GN184">
        <v>0</v>
      </c>
      <c r="GO184" t="s">
        <v>1063</v>
      </c>
      <c r="GQ184">
        <v>0</v>
      </c>
      <c r="GU184">
        <v>0</v>
      </c>
      <c r="GY184" t="s">
        <v>1045</v>
      </c>
      <c r="HB184">
        <v>0</v>
      </c>
      <c r="HE184">
        <v>0</v>
      </c>
      <c r="HF184">
        <v>0</v>
      </c>
      <c r="HG184">
        <v>0</v>
      </c>
      <c r="HK184" t="s">
        <v>1042</v>
      </c>
      <c r="HM184" t="s">
        <v>1047</v>
      </c>
      <c r="HN184">
        <v>0</v>
      </c>
      <c r="HP184">
        <v>0</v>
      </c>
      <c r="HQ184">
        <v>0</v>
      </c>
      <c r="HR184" t="s">
        <v>1042</v>
      </c>
      <c r="HS184" t="s">
        <v>1043</v>
      </c>
      <c r="HT184">
        <v>0</v>
      </c>
      <c r="HU184">
        <v>0</v>
      </c>
      <c r="HW184">
        <v>0</v>
      </c>
      <c r="HX184">
        <v>0</v>
      </c>
      <c r="HY184">
        <v>0</v>
      </c>
      <c r="HZ184" t="s">
        <v>1045</v>
      </c>
      <c r="IA184">
        <v>0</v>
      </c>
      <c r="IB184" t="s">
        <v>1045</v>
      </c>
      <c r="ID184" t="s">
        <v>1045</v>
      </c>
      <c r="IF184">
        <v>0</v>
      </c>
      <c r="IG184" t="s">
        <v>1042</v>
      </c>
      <c r="II184" t="s">
        <v>1042</v>
      </c>
      <c r="IR184" t="s">
        <v>1045</v>
      </c>
      <c r="IT184">
        <v>0</v>
      </c>
      <c r="IY184" t="s">
        <v>1044</v>
      </c>
      <c r="IZ184" t="s">
        <v>1043</v>
      </c>
      <c r="JC184" t="s">
        <v>1043</v>
      </c>
      <c r="JE184">
        <v>0</v>
      </c>
      <c r="JF184">
        <v>0</v>
      </c>
      <c r="JI184" t="s">
        <v>1042</v>
      </c>
      <c r="JJ184">
        <v>0</v>
      </c>
      <c r="JK184">
        <v>0</v>
      </c>
      <c r="JL184">
        <v>0</v>
      </c>
      <c r="JM184">
        <v>0</v>
      </c>
      <c r="JQ184" t="s">
        <v>1043</v>
      </c>
      <c r="JT184">
        <v>0</v>
      </c>
      <c r="JU184" t="s">
        <v>1042</v>
      </c>
      <c r="JW184">
        <v>0</v>
      </c>
      <c r="KA184">
        <v>0</v>
      </c>
      <c r="KF184">
        <v>0</v>
      </c>
      <c r="KG184">
        <v>0</v>
      </c>
      <c r="KH184">
        <v>0</v>
      </c>
      <c r="KI184">
        <v>0</v>
      </c>
      <c r="KS184" t="s">
        <v>1073</v>
      </c>
      <c r="KT184">
        <v>0</v>
      </c>
      <c r="KU184">
        <v>0</v>
      </c>
      <c r="KV184">
        <v>0</v>
      </c>
      <c r="KX184">
        <v>0</v>
      </c>
      <c r="KZ184">
        <v>0</v>
      </c>
      <c r="LF184">
        <v>0</v>
      </c>
      <c r="LH184">
        <v>0</v>
      </c>
      <c r="LI184">
        <v>0</v>
      </c>
    </row>
    <row r="185" spans="1:321" x14ac:dyDescent="0.35">
      <c r="A185">
        <v>1</v>
      </c>
      <c r="B185">
        <v>12415</v>
      </c>
      <c r="C185" t="s">
        <v>1520</v>
      </c>
      <c r="D185" t="s">
        <v>1139</v>
      </c>
      <c r="E185" t="s">
        <v>85</v>
      </c>
      <c r="F185">
        <v>80</v>
      </c>
      <c r="G185">
        <v>9000</v>
      </c>
      <c r="H185">
        <v>0</v>
      </c>
      <c r="I185" t="s">
        <v>1519</v>
      </c>
      <c r="L185">
        <v>0</v>
      </c>
      <c r="M185">
        <v>0</v>
      </c>
      <c r="N185">
        <v>0</v>
      </c>
      <c r="R185">
        <v>0</v>
      </c>
      <c r="S185">
        <v>0</v>
      </c>
      <c r="W185" t="s">
        <v>1060</v>
      </c>
      <c r="X185">
        <v>0</v>
      </c>
      <c r="Z185">
        <v>1</v>
      </c>
      <c r="AA185">
        <v>0</v>
      </c>
      <c r="AB185">
        <v>0</v>
      </c>
      <c r="AC185">
        <v>40.54</v>
      </c>
      <c r="AD185" s="20">
        <v>40792</v>
      </c>
      <c r="AE185">
        <v>39</v>
      </c>
      <c r="AF185">
        <v>0</v>
      </c>
      <c r="AH185">
        <v>0</v>
      </c>
      <c r="AJ185">
        <v>0</v>
      </c>
      <c r="AL185">
        <v>0</v>
      </c>
      <c r="AM185">
        <v>0</v>
      </c>
      <c r="AN185">
        <v>16601001</v>
      </c>
      <c r="AO185">
        <v>0</v>
      </c>
      <c r="AP185">
        <v>1000</v>
      </c>
      <c r="AT185">
        <v>0</v>
      </c>
      <c r="AU185" t="s">
        <v>1059</v>
      </c>
      <c r="AW185" t="s">
        <v>1053</v>
      </c>
      <c r="AX185">
        <v>0</v>
      </c>
      <c r="AY185" s="20">
        <v>40792</v>
      </c>
      <c r="BA185" s="20">
        <v>40792</v>
      </c>
      <c r="BB185" t="s">
        <v>1058</v>
      </c>
      <c r="BD185">
        <v>0</v>
      </c>
      <c r="BF185" t="s">
        <v>1043</v>
      </c>
      <c r="BG185" t="s">
        <v>1042</v>
      </c>
      <c r="BH185">
        <v>0</v>
      </c>
      <c r="BI185">
        <v>1</v>
      </c>
      <c r="BJ185">
        <v>0</v>
      </c>
      <c r="BK185">
        <v>0</v>
      </c>
      <c r="BM185" t="s">
        <v>1042</v>
      </c>
      <c r="BN185">
        <v>0</v>
      </c>
      <c r="BR185" t="s">
        <v>1043</v>
      </c>
      <c r="BS185" t="s">
        <v>1043</v>
      </c>
      <c r="BT185" t="s">
        <v>1043</v>
      </c>
      <c r="BW185">
        <v>83</v>
      </c>
      <c r="CA185">
        <v>0</v>
      </c>
      <c r="CB185" t="s">
        <v>1057</v>
      </c>
      <c r="CE185" t="s">
        <v>1043</v>
      </c>
      <c r="CH185" t="s">
        <v>1043</v>
      </c>
      <c r="CN185" t="s">
        <v>1056</v>
      </c>
      <c r="CO185" t="s">
        <v>1043</v>
      </c>
      <c r="CP185">
        <v>1</v>
      </c>
      <c r="CQ185">
        <v>0</v>
      </c>
      <c r="CS185">
        <v>0</v>
      </c>
      <c r="CT185">
        <v>0</v>
      </c>
      <c r="CU185">
        <v>0</v>
      </c>
      <c r="CV185" t="s">
        <v>1045</v>
      </c>
      <c r="CW185">
        <v>0</v>
      </c>
      <c r="CX185">
        <v>0</v>
      </c>
      <c r="CY185">
        <v>0</v>
      </c>
      <c r="CZ185">
        <v>0</v>
      </c>
      <c r="DB185">
        <v>0</v>
      </c>
      <c r="DC185" t="s">
        <v>1043</v>
      </c>
      <c r="DF185" t="s">
        <v>1055</v>
      </c>
      <c r="DH185">
        <v>0</v>
      </c>
      <c r="DJ185">
        <v>0</v>
      </c>
      <c r="DK185" t="s">
        <v>1053</v>
      </c>
      <c r="DL185">
        <v>0</v>
      </c>
      <c r="DN185">
        <v>0</v>
      </c>
      <c r="DO185" t="s">
        <v>1042</v>
      </c>
      <c r="DP185">
        <v>0</v>
      </c>
      <c r="DQ185">
        <v>0</v>
      </c>
      <c r="DS185">
        <v>0</v>
      </c>
      <c r="DU185">
        <v>0</v>
      </c>
      <c r="DW185">
        <v>0</v>
      </c>
      <c r="DX185" t="s">
        <v>1043</v>
      </c>
      <c r="DY185">
        <v>0</v>
      </c>
      <c r="DZ185">
        <v>0</v>
      </c>
      <c r="EA185">
        <v>0</v>
      </c>
      <c r="ED185" t="s">
        <v>1045</v>
      </c>
      <c r="EE185">
        <v>0</v>
      </c>
      <c r="EF185">
        <v>0</v>
      </c>
      <c r="EQ185" t="s">
        <v>1044</v>
      </c>
      <c r="ES185" t="s">
        <v>1053</v>
      </c>
      <c r="ET185">
        <v>0</v>
      </c>
      <c r="EV185">
        <v>0</v>
      </c>
      <c r="EY185" t="s">
        <v>1052</v>
      </c>
      <c r="EZ185">
        <v>0</v>
      </c>
      <c r="FA185" t="s">
        <v>1043</v>
      </c>
      <c r="FB185">
        <v>0</v>
      </c>
      <c r="FC185">
        <v>0</v>
      </c>
      <c r="FE185" t="s">
        <v>1050</v>
      </c>
      <c r="FF185">
        <v>0</v>
      </c>
      <c r="FG185" t="s">
        <v>1050</v>
      </c>
      <c r="FJ185">
        <v>0</v>
      </c>
      <c r="FK185">
        <v>0</v>
      </c>
      <c r="FP185">
        <v>0</v>
      </c>
      <c r="FR185">
        <v>0</v>
      </c>
      <c r="FS185" t="s">
        <v>1043</v>
      </c>
      <c r="FX185" t="s">
        <v>1042</v>
      </c>
      <c r="FZ185" t="s">
        <v>1048</v>
      </c>
      <c r="GA185">
        <v>0</v>
      </c>
      <c r="GB185" t="s">
        <v>1042</v>
      </c>
      <c r="GE185">
        <v>0</v>
      </c>
      <c r="GG185">
        <v>0</v>
      </c>
      <c r="GN185">
        <v>0</v>
      </c>
      <c r="GO185" t="s">
        <v>1063</v>
      </c>
      <c r="GQ185">
        <v>0</v>
      </c>
      <c r="GU185">
        <v>0</v>
      </c>
      <c r="GY185" t="s">
        <v>1045</v>
      </c>
      <c r="HB185">
        <v>0</v>
      </c>
      <c r="HE185">
        <v>0</v>
      </c>
      <c r="HF185">
        <v>0</v>
      </c>
      <c r="HG185">
        <v>0</v>
      </c>
      <c r="HK185" t="s">
        <v>1042</v>
      </c>
      <c r="HM185" t="s">
        <v>1047</v>
      </c>
      <c r="HN185">
        <v>0</v>
      </c>
      <c r="HP185">
        <v>0</v>
      </c>
      <c r="HQ185">
        <v>0</v>
      </c>
      <c r="HR185" t="s">
        <v>1042</v>
      </c>
      <c r="HS185" t="s">
        <v>1043</v>
      </c>
      <c r="HT185">
        <v>0</v>
      </c>
      <c r="HU185">
        <v>0</v>
      </c>
      <c r="HW185">
        <v>0</v>
      </c>
      <c r="HX185">
        <v>0</v>
      </c>
      <c r="HY185">
        <v>0</v>
      </c>
      <c r="HZ185" t="s">
        <v>1045</v>
      </c>
      <c r="IA185">
        <v>0</v>
      </c>
      <c r="IB185" t="s">
        <v>1045</v>
      </c>
      <c r="ID185" t="s">
        <v>1045</v>
      </c>
      <c r="IF185">
        <v>0</v>
      </c>
      <c r="IG185" t="s">
        <v>1042</v>
      </c>
      <c r="II185" t="s">
        <v>1042</v>
      </c>
      <c r="IR185" t="s">
        <v>1045</v>
      </c>
      <c r="IT185">
        <v>0</v>
      </c>
      <c r="IY185" t="s">
        <v>1044</v>
      </c>
      <c r="IZ185" t="s">
        <v>1043</v>
      </c>
      <c r="JC185" t="s">
        <v>1043</v>
      </c>
      <c r="JE185">
        <v>0</v>
      </c>
      <c r="JF185">
        <v>0</v>
      </c>
      <c r="JI185" t="s">
        <v>1042</v>
      </c>
      <c r="JJ185">
        <v>0</v>
      </c>
      <c r="JK185">
        <v>0</v>
      </c>
      <c r="JL185">
        <v>0</v>
      </c>
      <c r="JM185">
        <v>0</v>
      </c>
      <c r="JQ185" t="s">
        <v>1043</v>
      </c>
      <c r="JT185">
        <v>0</v>
      </c>
      <c r="JU185" t="s">
        <v>1042</v>
      </c>
      <c r="JW185">
        <v>0</v>
      </c>
      <c r="KA185">
        <v>0</v>
      </c>
      <c r="KF185">
        <v>0</v>
      </c>
      <c r="KG185">
        <v>0</v>
      </c>
      <c r="KH185">
        <v>0</v>
      </c>
      <c r="KI185">
        <v>0</v>
      </c>
      <c r="KS185" t="s">
        <v>1073</v>
      </c>
      <c r="KT185">
        <v>0</v>
      </c>
      <c r="KU185">
        <v>0</v>
      </c>
      <c r="KV185">
        <v>0</v>
      </c>
      <c r="KX185">
        <v>0</v>
      </c>
      <c r="KZ185">
        <v>0</v>
      </c>
      <c r="LF185">
        <v>0</v>
      </c>
      <c r="LH185">
        <v>0</v>
      </c>
      <c r="LI185">
        <v>0</v>
      </c>
    </row>
    <row r="186" spans="1:321" x14ac:dyDescent="0.35">
      <c r="A186">
        <v>1</v>
      </c>
      <c r="B186">
        <v>12416</v>
      </c>
      <c r="C186" t="s">
        <v>1518</v>
      </c>
      <c r="D186" t="s">
        <v>1139</v>
      </c>
      <c r="E186" t="s">
        <v>85</v>
      </c>
      <c r="F186">
        <v>80</v>
      </c>
      <c r="G186">
        <v>9000</v>
      </c>
      <c r="H186">
        <v>0</v>
      </c>
      <c r="I186" t="s">
        <v>1409</v>
      </c>
      <c r="L186">
        <v>0</v>
      </c>
      <c r="M186">
        <v>0</v>
      </c>
      <c r="N186">
        <v>0</v>
      </c>
      <c r="R186">
        <v>0</v>
      </c>
      <c r="S186">
        <v>0</v>
      </c>
      <c r="W186" t="s">
        <v>1060</v>
      </c>
      <c r="X186">
        <v>0</v>
      </c>
      <c r="Z186">
        <v>1</v>
      </c>
      <c r="AA186">
        <v>0</v>
      </c>
      <c r="AB186">
        <v>0</v>
      </c>
      <c r="AC186">
        <v>11.305</v>
      </c>
      <c r="AD186" s="20">
        <v>40792</v>
      </c>
      <c r="AE186">
        <v>10.82</v>
      </c>
      <c r="AF186">
        <v>0</v>
      </c>
      <c r="AH186">
        <v>0</v>
      </c>
      <c r="AJ186">
        <v>0</v>
      </c>
      <c r="AL186">
        <v>0</v>
      </c>
      <c r="AM186">
        <v>0</v>
      </c>
      <c r="AN186">
        <v>16601001</v>
      </c>
      <c r="AO186">
        <v>0</v>
      </c>
      <c r="AP186">
        <v>1000</v>
      </c>
      <c r="AT186">
        <v>0</v>
      </c>
      <c r="AU186" t="s">
        <v>1059</v>
      </c>
      <c r="AW186" t="s">
        <v>1053</v>
      </c>
      <c r="AX186">
        <v>0</v>
      </c>
      <c r="AY186" s="20">
        <v>40792</v>
      </c>
      <c r="BA186" s="20">
        <v>40792</v>
      </c>
      <c r="BB186" t="s">
        <v>1058</v>
      </c>
      <c r="BD186">
        <v>0</v>
      </c>
      <c r="BF186" t="s">
        <v>1043</v>
      </c>
      <c r="BG186" t="s">
        <v>1042</v>
      </c>
      <c r="BH186">
        <v>0</v>
      </c>
      <c r="BI186">
        <v>1</v>
      </c>
      <c r="BJ186">
        <v>0</v>
      </c>
      <c r="BK186">
        <v>0</v>
      </c>
      <c r="BM186" t="s">
        <v>1042</v>
      </c>
      <c r="BN186">
        <v>0</v>
      </c>
      <c r="BR186" t="s">
        <v>1043</v>
      </c>
      <c r="BS186" t="s">
        <v>1043</v>
      </c>
      <c r="BT186" t="s">
        <v>1043</v>
      </c>
      <c r="BW186">
        <v>83</v>
      </c>
      <c r="CA186">
        <v>0</v>
      </c>
      <c r="CB186" t="s">
        <v>1057</v>
      </c>
      <c r="CE186" t="s">
        <v>1043</v>
      </c>
      <c r="CH186" t="s">
        <v>1043</v>
      </c>
      <c r="CN186" t="s">
        <v>1056</v>
      </c>
      <c r="CO186" t="s">
        <v>1043</v>
      </c>
      <c r="CP186">
        <v>1</v>
      </c>
      <c r="CQ186">
        <v>0</v>
      </c>
      <c r="CS186">
        <v>0</v>
      </c>
      <c r="CT186">
        <v>0</v>
      </c>
      <c r="CU186">
        <v>0</v>
      </c>
      <c r="CV186" t="s">
        <v>1045</v>
      </c>
      <c r="CW186">
        <v>0</v>
      </c>
      <c r="CX186">
        <v>0</v>
      </c>
      <c r="CY186">
        <v>0</v>
      </c>
      <c r="CZ186">
        <v>0</v>
      </c>
      <c r="DB186">
        <v>0</v>
      </c>
      <c r="DC186" t="s">
        <v>1043</v>
      </c>
      <c r="DF186" t="s">
        <v>1055</v>
      </c>
      <c r="DH186">
        <v>0</v>
      </c>
      <c r="DJ186">
        <v>0</v>
      </c>
      <c r="DK186" t="s">
        <v>1053</v>
      </c>
      <c r="DL186">
        <v>0</v>
      </c>
      <c r="DN186">
        <v>0</v>
      </c>
      <c r="DO186" t="s">
        <v>1042</v>
      </c>
      <c r="DP186">
        <v>0</v>
      </c>
      <c r="DQ186">
        <v>0</v>
      </c>
      <c r="DS186">
        <v>0</v>
      </c>
      <c r="DU186">
        <v>0</v>
      </c>
      <c r="DW186">
        <v>0</v>
      </c>
      <c r="DX186" t="s">
        <v>1043</v>
      </c>
      <c r="DY186">
        <v>0</v>
      </c>
      <c r="DZ186">
        <v>0</v>
      </c>
      <c r="EA186">
        <v>0</v>
      </c>
      <c r="ED186" t="s">
        <v>1045</v>
      </c>
      <c r="EE186">
        <v>0</v>
      </c>
      <c r="EF186">
        <v>0</v>
      </c>
      <c r="EQ186" t="s">
        <v>1044</v>
      </c>
      <c r="ES186" t="s">
        <v>1053</v>
      </c>
      <c r="ET186">
        <v>0</v>
      </c>
      <c r="EV186">
        <v>0</v>
      </c>
      <c r="EY186" t="s">
        <v>1052</v>
      </c>
      <c r="EZ186">
        <v>0</v>
      </c>
      <c r="FA186" t="s">
        <v>1043</v>
      </c>
      <c r="FB186">
        <v>0</v>
      </c>
      <c r="FC186">
        <v>0</v>
      </c>
      <c r="FE186" t="s">
        <v>1050</v>
      </c>
      <c r="FF186">
        <v>0</v>
      </c>
      <c r="FG186" t="s">
        <v>1050</v>
      </c>
      <c r="FJ186">
        <v>0</v>
      </c>
      <c r="FK186">
        <v>0</v>
      </c>
      <c r="FP186">
        <v>0</v>
      </c>
      <c r="FR186">
        <v>0</v>
      </c>
      <c r="FS186" t="s">
        <v>1043</v>
      </c>
      <c r="FX186" t="s">
        <v>1042</v>
      </c>
      <c r="FZ186" t="s">
        <v>1048</v>
      </c>
      <c r="GA186">
        <v>0</v>
      </c>
      <c r="GB186" t="s">
        <v>1042</v>
      </c>
      <c r="GE186">
        <v>0</v>
      </c>
      <c r="GG186">
        <v>0</v>
      </c>
      <c r="GN186">
        <v>0</v>
      </c>
      <c r="GO186" t="s">
        <v>1063</v>
      </c>
      <c r="GQ186">
        <v>0</v>
      </c>
      <c r="GU186">
        <v>0</v>
      </c>
      <c r="GY186" t="s">
        <v>1045</v>
      </c>
      <c r="HB186">
        <v>0</v>
      </c>
      <c r="HE186">
        <v>0</v>
      </c>
      <c r="HF186">
        <v>0</v>
      </c>
      <c r="HG186">
        <v>0</v>
      </c>
      <c r="HK186" t="s">
        <v>1042</v>
      </c>
      <c r="HM186" t="s">
        <v>1047</v>
      </c>
      <c r="HN186">
        <v>0</v>
      </c>
      <c r="HP186">
        <v>0</v>
      </c>
      <c r="HQ186">
        <v>0</v>
      </c>
      <c r="HR186" t="s">
        <v>1042</v>
      </c>
      <c r="HS186" t="s">
        <v>1043</v>
      </c>
      <c r="HT186">
        <v>0</v>
      </c>
      <c r="HU186">
        <v>0</v>
      </c>
      <c r="HW186">
        <v>0</v>
      </c>
      <c r="HX186">
        <v>0</v>
      </c>
      <c r="HY186">
        <v>0</v>
      </c>
      <c r="HZ186" t="s">
        <v>1045</v>
      </c>
      <c r="IA186">
        <v>0</v>
      </c>
      <c r="IB186" t="s">
        <v>1045</v>
      </c>
      <c r="ID186" t="s">
        <v>1045</v>
      </c>
      <c r="IF186">
        <v>0</v>
      </c>
      <c r="IG186" t="s">
        <v>1042</v>
      </c>
      <c r="II186" t="s">
        <v>1042</v>
      </c>
      <c r="IR186" t="s">
        <v>1045</v>
      </c>
      <c r="IT186">
        <v>0</v>
      </c>
      <c r="IY186" t="s">
        <v>1044</v>
      </c>
      <c r="IZ186" t="s">
        <v>1043</v>
      </c>
      <c r="JC186" t="s">
        <v>1043</v>
      </c>
      <c r="JE186">
        <v>0</v>
      </c>
      <c r="JF186">
        <v>0</v>
      </c>
      <c r="JI186" t="s">
        <v>1042</v>
      </c>
      <c r="JJ186">
        <v>0</v>
      </c>
      <c r="JK186">
        <v>0</v>
      </c>
      <c r="JL186">
        <v>0</v>
      </c>
      <c r="JM186">
        <v>0</v>
      </c>
      <c r="JQ186" t="s">
        <v>1043</v>
      </c>
      <c r="JT186">
        <v>0</v>
      </c>
      <c r="JU186" t="s">
        <v>1042</v>
      </c>
      <c r="JW186">
        <v>0</v>
      </c>
      <c r="KA186">
        <v>0</v>
      </c>
      <c r="KF186">
        <v>0</v>
      </c>
      <c r="KG186">
        <v>0</v>
      </c>
      <c r="KH186">
        <v>0</v>
      </c>
      <c r="KI186">
        <v>0</v>
      </c>
      <c r="KS186" t="s">
        <v>1073</v>
      </c>
      <c r="KT186">
        <v>0</v>
      </c>
      <c r="KU186">
        <v>0</v>
      </c>
      <c r="KV186">
        <v>0</v>
      </c>
      <c r="KX186">
        <v>0</v>
      </c>
      <c r="KZ186">
        <v>0</v>
      </c>
      <c r="LF186">
        <v>0</v>
      </c>
      <c r="LH186">
        <v>0</v>
      </c>
      <c r="LI186">
        <v>0</v>
      </c>
    </row>
    <row r="187" spans="1:321" x14ac:dyDescent="0.35">
      <c r="A187">
        <v>1</v>
      </c>
      <c r="B187">
        <v>12417</v>
      </c>
      <c r="C187" t="s">
        <v>1517</v>
      </c>
      <c r="D187" t="s">
        <v>1076</v>
      </c>
      <c r="E187" t="s">
        <v>85</v>
      </c>
      <c r="F187">
        <v>50</v>
      </c>
      <c r="G187">
        <v>51</v>
      </c>
      <c r="H187">
        <v>0</v>
      </c>
      <c r="I187" t="s">
        <v>1515</v>
      </c>
      <c r="L187">
        <v>0</v>
      </c>
      <c r="M187">
        <v>0</v>
      </c>
      <c r="N187">
        <v>0</v>
      </c>
      <c r="R187">
        <v>0</v>
      </c>
      <c r="S187">
        <v>0</v>
      </c>
      <c r="W187" t="s">
        <v>1060</v>
      </c>
      <c r="X187">
        <v>0</v>
      </c>
      <c r="Z187">
        <v>1</v>
      </c>
      <c r="AA187">
        <v>0</v>
      </c>
      <c r="AB187">
        <v>4</v>
      </c>
      <c r="AC187">
        <v>30.03</v>
      </c>
      <c r="AD187" s="20">
        <v>44327</v>
      </c>
      <c r="AE187">
        <v>33.087600000000002</v>
      </c>
      <c r="AF187">
        <v>0</v>
      </c>
      <c r="AH187">
        <v>2</v>
      </c>
      <c r="AJ187">
        <v>0</v>
      </c>
      <c r="AL187">
        <v>1</v>
      </c>
      <c r="AM187">
        <v>2</v>
      </c>
      <c r="AN187">
        <v>11501004</v>
      </c>
      <c r="AO187">
        <v>0</v>
      </c>
      <c r="AP187">
        <v>1001</v>
      </c>
      <c r="AT187">
        <v>0</v>
      </c>
      <c r="AU187" t="s">
        <v>1059</v>
      </c>
      <c r="AW187" t="s">
        <v>1053</v>
      </c>
      <c r="AX187">
        <v>0</v>
      </c>
      <c r="AY187" s="20">
        <v>44153</v>
      </c>
      <c r="BA187" s="20">
        <v>40792</v>
      </c>
      <c r="BB187" t="s">
        <v>1058</v>
      </c>
      <c r="BD187">
        <v>0</v>
      </c>
      <c r="BF187" t="s">
        <v>1043</v>
      </c>
      <c r="BG187" t="s">
        <v>1042</v>
      </c>
      <c r="BH187">
        <v>0</v>
      </c>
      <c r="BI187">
        <v>1</v>
      </c>
      <c r="BJ187">
        <v>0</v>
      </c>
      <c r="BK187">
        <v>0</v>
      </c>
      <c r="BM187" s="20">
        <v>43950</v>
      </c>
      <c r="BN187">
        <v>0</v>
      </c>
      <c r="BO187">
        <v>3457801080972</v>
      </c>
      <c r="BR187" t="s">
        <v>1043</v>
      </c>
      <c r="BS187" t="s">
        <v>1043</v>
      </c>
      <c r="BT187" t="s">
        <v>1043</v>
      </c>
      <c r="BW187">
        <v>48</v>
      </c>
      <c r="CA187">
        <v>0</v>
      </c>
      <c r="CB187" t="s">
        <v>1057</v>
      </c>
      <c r="CE187" t="s">
        <v>1043</v>
      </c>
      <c r="CH187" t="s">
        <v>1043</v>
      </c>
      <c r="CN187" t="s">
        <v>1056</v>
      </c>
      <c r="CO187" t="s">
        <v>1043</v>
      </c>
      <c r="CP187">
        <v>1</v>
      </c>
      <c r="CQ187">
        <v>0</v>
      </c>
      <c r="CS187">
        <v>0</v>
      </c>
      <c r="CT187">
        <v>0</v>
      </c>
      <c r="CU187">
        <v>0</v>
      </c>
      <c r="CV187" t="s">
        <v>1045</v>
      </c>
      <c r="CW187">
        <v>0</v>
      </c>
      <c r="CX187">
        <v>0</v>
      </c>
      <c r="CY187">
        <v>0</v>
      </c>
      <c r="CZ187">
        <v>0</v>
      </c>
      <c r="DB187">
        <v>0</v>
      </c>
      <c r="DC187" t="s">
        <v>1043</v>
      </c>
      <c r="DF187" t="s">
        <v>1055</v>
      </c>
      <c r="DH187">
        <v>0</v>
      </c>
      <c r="DJ187">
        <v>0</v>
      </c>
      <c r="DK187" t="s">
        <v>1053</v>
      </c>
      <c r="DL187">
        <v>0</v>
      </c>
      <c r="DN187">
        <v>0</v>
      </c>
      <c r="DO187" t="s">
        <v>1042</v>
      </c>
      <c r="DP187">
        <v>0</v>
      </c>
      <c r="DQ187">
        <v>0</v>
      </c>
      <c r="DS187">
        <v>0</v>
      </c>
      <c r="DU187">
        <v>0</v>
      </c>
      <c r="DW187">
        <v>0</v>
      </c>
      <c r="DX187" t="s">
        <v>1043</v>
      </c>
      <c r="DY187">
        <v>0</v>
      </c>
      <c r="DZ187">
        <v>0</v>
      </c>
      <c r="EA187">
        <v>0</v>
      </c>
      <c r="ED187" t="s">
        <v>1045</v>
      </c>
      <c r="EE187">
        <v>0</v>
      </c>
      <c r="EF187">
        <v>0</v>
      </c>
      <c r="EQ187" t="s">
        <v>1044</v>
      </c>
      <c r="ES187" t="s">
        <v>1053</v>
      </c>
      <c r="ET187">
        <v>0</v>
      </c>
      <c r="EV187">
        <v>0</v>
      </c>
      <c r="EY187" t="s">
        <v>1052</v>
      </c>
      <c r="EZ187">
        <v>0</v>
      </c>
      <c r="FA187" t="s">
        <v>1043</v>
      </c>
      <c r="FB187">
        <v>0</v>
      </c>
      <c r="FC187">
        <v>0</v>
      </c>
      <c r="FE187" t="s">
        <v>1050</v>
      </c>
      <c r="FF187">
        <v>0</v>
      </c>
      <c r="FG187" t="s">
        <v>1050</v>
      </c>
      <c r="FJ187">
        <v>0</v>
      </c>
      <c r="FK187">
        <v>0</v>
      </c>
      <c r="FP187">
        <v>0</v>
      </c>
      <c r="FR187">
        <v>0</v>
      </c>
      <c r="FS187" t="s">
        <v>1043</v>
      </c>
      <c r="FX187" t="s">
        <v>1042</v>
      </c>
      <c r="FZ187" t="s">
        <v>1048</v>
      </c>
      <c r="GA187">
        <v>0</v>
      </c>
      <c r="GB187" t="s">
        <v>1042</v>
      </c>
      <c r="GE187">
        <v>0</v>
      </c>
      <c r="GG187">
        <v>0</v>
      </c>
      <c r="GN187">
        <v>0</v>
      </c>
      <c r="GO187" t="s">
        <v>1063</v>
      </c>
      <c r="GQ187">
        <v>0</v>
      </c>
      <c r="GU187">
        <v>0</v>
      </c>
      <c r="GY187" t="s">
        <v>1045</v>
      </c>
      <c r="HB187">
        <v>0</v>
      </c>
      <c r="HE187">
        <v>0</v>
      </c>
      <c r="HF187">
        <v>0</v>
      </c>
      <c r="HG187">
        <v>0</v>
      </c>
      <c r="HK187" t="s">
        <v>1042</v>
      </c>
      <c r="HM187" t="s">
        <v>1047</v>
      </c>
      <c r="HN187">
        <v>0</v>
      </c>
      <c r="HP187">
        <v>0</v>
      </c>
      <c r="HQ187">
        <v>0</v>
      </c>
      <c r="HR187" s="20">
        <v>44221</v>
      </c>
      <c r="HS187" t="s">
        <v>1043</v>
      </c>
      <c r="HT187">
        <v>0</v>
      </c>
      <c r="HU187">
        <v>0</v>
      </c>
      <c r="HW187">
        <v>0</v>
      </c>
      <c r="HX187">
        <v>6</v>
      </c>
      <c r="HY187">
        <v>1</v>
      </c>
      <c r="HZ187" t="s">
        <v>1045</v>
      </c>
      <c r="IA187">
        <v>33.090000000000003</v>
      </c>
      <c r="IB187" t="s">
        <v>1045</v>
      </c>
      <c r="ID187" t="s">
        <v>1045</v>
      </c>
      <c r="IF187">
        <v>0</v>
      </c>
      <c r="IG187" t="s">
        <v>1042</v>
      </c>
      <c r="II187" t="s">
        <v>1042</v>
      </c>
      <c r="IR187" t="s">
        <v>1045</v>
      </c>
      <c r="IT187">
        <v>0</v>
      </c>
      <c r="IY187" t="s">
        <v>1044</v>
      </c>
      <c r="IZ187" t="s">
        <v>1043</v>
      </c>
      <c r="JC187" t="s">
        <v>1043</v>
      </c>
      <c r="JE187">
        <v>0</v>
      </c>
      <c r="JF187">
        <v>0</v>
      </c>
      <c r="JI187" t="s">
        <v>1042</v>
      </c>
      <c r="JJ187">
        <v>0</v>
      </c>
      <c r="JK187">
        <v>0</v>
      </c>
      <c r="JL187">
        <v>0</v>
      </c>
      <c r="JM187">
        <v>0</v>
      </c>
      <c r="JQ187" t="s">
        <v>1043</v>
      </c>
      <c r="JT187">
        <v>0</v>
      </c>
      <c r="JU187" t="s">
        <v>1042</v>
      </c>
      <c r="JW187">
        <v>0</v>
      </c>
      <c r="KA187">
        <v>0</v>
      </c>
      <c r="KF187">
        <v>0</v>
      </c>
      <c r="KG187">
        <v>0</v>
      </c>
      <c r="KH187">
        <v>0</v>
      </c>
      <c r="KI187">
        <v>0</v>
      </c>
      <c r="KS187" t="s">
        <v>1073</v>
      </c>
      <c r="KT187">
        <v>0</v>
      </c>
      <c r="KU187">
        <v>0</v>
      </c>
      <c r="KV187">
        <v>0</v>
      </c>
      <c r="KX187">
        <v>0</v>
      </c>
      <c r="KZ187">
        <v>0</v>
      </c>
      <c r="LF187">
        <v>0</v>
      </c>
      <c r="LH187">
        <v>0</v>
      </c>
      <c r="LI187">
        <v>0</v>
      </c>
    </row>
    <row r="188" spans="1:321" x14ac:dyDescent="0.35">
      <c r="A188">
        <v>1</v>
      </c>
      <c r="B188">
        <v>12418</v>
      </c>
      <c r="C188" t="s">
        <v>1516</v>
      </c>
      <c r="D188" t="s">
        <v>1076</v>
      </c>
      <c r="E188" t="s">
        <v>85</v>
      </c>
      <c r="F188">
        <v>50</v>
      </c>
      <c r="G188">
        <v>51</v>
      </c>
      <c r="H188">
        <v>0</v>
      </c>
      <c r="I188" t="s">
        <v>1515</v>
      </c>
      <c r="L188">
        <v>0</v>
      </c>
      <c r="M188">
        <v>0</v>
      </c>
      <c r="N188">
        <v>0</v>
      </c>
      <c r="P188">
        <v>306</v>
      </c>
      <c r="R188">
        <v>0</v>
      </c>
      <c r="S188">
        <v>0</v>
      </c>
      <c r="W188" t="s">
        <v>1060</v>
      </c>
      <c r="X188">
        <v>0</v>
      </c>
      <c r="Z188">
        <v>1</v>
      </c>
      <c r="AA188">
        <v>0</v>
      </c>
      <c r="AB188">
        <v>6</v>
      </c>
      <c r="AC188">
        <v>19.918600000000001</v>
      </c>
      <c r="AD188" s="20">
        <v>44475</v>
      </c>
      <c r="AE188">
        <v>21.95</v>
      </c>
      <c r="AF188">
        <v>0</v>
      </c>
      <c r="AH188">
        <v>3</v>
      </c>
      <c r="AJ188">
        <v>0</v>
      </c>
      <c r="AL188">
        <v>1</v>
      </c>
      <c r="AM188">
        <v>9</v>
      </c>
      <c r="AN188">
        <v>11501004</v>
      </c>
      <c r="AO188">
        <v>0</v>
      </c>
      <c r="AP188">
        <v>1000</v>
      </c>
      <c r="AT188">
        <v>0</v>
      </c>
      <c r="AU188" t="s">
        <v>1059</v>
      </c>
      <c r="AW188" t="s">
        <v>1053</v>
      </c>
      <c r="AX188">
        <v>0</v>
      </c>
      <c r="AY188" s="20">
        <v>44067</v>
      </c>
      <c r="BA188" s="20">
        <v>40792</v>
      </c>
      <c r="BB188" t="s">
        <v>1058</v>
      </c>
      <c r="BD188">
        <v>0</v>
      </c>
      <c r="BF188" t="s">
        <v>1043</v>
      </c>
      <c r="BG188" t="s">
        <v>1042</v>
      </c>
      <c r="BH188">
        <v>0</v>
      </c>
      <c r="BI188">
        <v>1</v>
      </c>
      <c r="BJ188">
        <v>0</v>
      </c>
      <c r="BK188">
        <v>0</v>
      </c>
      <c r="BM188" s="20">
        <v>41654</v>
      </c>
      <c r="BN188">
        <v>0</v>
      </c>
      <c r="BO188">
        <v>3457801083751</v>
      </c>
      <c r="BR188" t="s">
        <v>1043</v>
      </c>
      <c r="BS188" t="s">
        <v>1043</v>
      </c>
      <c r="BT188" t="s">
        <v>1043</v>
      </c>
      <c r="BW188">
        <v>48</v>
      </c>
      <c r="CA188">
        <v>0</v>
      </c>
      <c r="CB188" t="s">
        <v>1057</v>
      </c>
      <c r="CE188" t="s">
        <v>1043</v>
      </c>
      <c r="CH188" t="s">
        <v>1043</v>
      </c>
      <c r="CN188" t="s">
        <v>1056</v>
      </c>
      <c r="CO188" t="s">
        <v>1043</v>
      </c>
      <c r="CP188">
        <v>1</v>
      </c>
      <c r="CQ188">
        <v>0</v>
      </c>
      <c r="CS188">
        <v>0</v>
      </c>
      <c r="CT188">
        <v>0</v>
      </c>
      <c r="CU188">
        <v>0</v>
      </c>
      <c r="CV188" t="s">
        <v>1045</v>
      </c>
      <c r="CW188">
        <v>0</v>
      </c>
      <c r="CX188">
        <v>0</v>
      </c>
      <c r="CY188">
        <v>0</v>
      </c>
      <c r="CZ188">
        <v>0</v>
      </c>
      <c r="DB188">
        <v>0</v>
      </c>
      <c r="DC188" t="s">
        <v>1043</v>
      </c>
      <c r="DF188" t="s">
        <v>1055</v>
      </c>
      <c r="DH188">
        <v>0</v>
      </c>
      <c r="DJ188">
        <v>0</v>
      </c>
      <c r="DK188" t="s">
        <v>1053</v>
      </c>
      <c r="DL188">
        <v>0</v>
      </c>
      <c r="DN188">
        <v>0</v>
      </c>
      <c r="DO188" t="s">
        <v>1042</v>
      </c>
      <c r="DP188">
        <v>0</v>
      </c>
      <c r="DQ188">
        <v>0</v>
      </c>
      <c r="DS188">
        <v>0</v>
      </c>
      <c r="DU188">
        <v>0</v>
      </c>
      <c r="DW188">
        <v>0</v>
      </c>
      <c r="DX188" t="s">
        <v>1043</v>
      </c>
      <c r="DY188">
        <v>0</v>
      </c>
      <c r="DZ188">
        <v>0</v>
      </c>
      <c r="EA188">
        <v>0</v>
      </c>
      <c r="ED188" t="s">
        <v>1045</v>
      </c>
      <c r="EE188">
        <v>0</v>
      </c>
      <c r="EF188">
        <v>0</v>
      </c>
      <c r="EQ188" t="s">
        <v>1044</v>
      </c>
      <c r="ES188" t="s">
        <v>1053</v>
      </c>
      <c r="ET188">
        <v>0</v>
      </c>
      <c r="EV188">
        <v>0</v>
      </c>
      <c r="EY188" t="s">
        <v>1052</v>
      </c>
      <c r="EZ188">
        <v>0</v>
      </c>
      <c r="FA188" t="s">
        <v>1043</v>
      </c>
      <c r="FB188">
        <v>0</v>
      </c>
      <c r="FC188">
        <v>0</v>
      </c>
      <c r="FE188" t="s">
        <v>1050</v>
      </c>
      <c r="FF188">
        <v>0</v>
      </c>
      <c r="FG188" t="s">
        <v>1050</v>
      </c>
      <c r="FJ188">
        <v>0</v>
      </c>
      <c r="FK188">
        <v>0</v>
      </c>
      <c r="FP188">
        <v>0</v>
      </c>
      <c r="FR188">
        <v>0</v>
      </c>
      <c r="FS188" t="s">
        <v>1043</v>
      </c>
      <c r="FX188" t="s">
        <v>1042</v>
      </c>
      <c r="FZ188" t="s">
        <v>1048</v>
      </c>
      <c r="GA188">
        <v>0</v>
      </c>
      <c r="GB188" t="s">
        <v>1042</v>
      </c>
      <c r="GE188">
        <v>0</v>
      </c>
      <c r="GG188">
        <v>0</v>
      </c>
      <c r="GN188">
        <v>0</v>
      </c>
      <c r="GO188" t="s">
        <v>1063</v>
      </c>
      <c r="GQ188">
        <v>0</v>
      </c>
      <c r="GU188">
        <v>0</v>
      </c>
      <c r="GY188" t="s">
        <v>1045</v>
      </c>
      <c r="HB188">
        <v>0</v>
      </c>
      <c r="HE188">
        <v>0</v>
      </c>
      <c r="HF188">
        <v>0</v>
      </c>
      <c r="HG188">
        <v>0</v>
      </c>
      <c r="HK188" t="s">
        <v>1042</v>
      </c>
      <c r="HM188" t="s">
        <v>1047</v>
      </c>
      <c r="HN188">
        <v>0</v>
      </c>
      <c r="HP188">
        <v>0</v>
      </c>
      <c r="HQ188">
        <v>0</v>
      </c>
      <c r="HR188" s="20">
        <v>44221</v>
      </c>
      <c r="HS188" t="s">
        <v>1043</v>
      </c>
      <c r="HT188">
        <v>0</v>
      </c>
      <c r="HU188">
        <v>0</v>
      </c>
      <c r="HW188">
        <v>0</v>
      </c>
      <c r="HX188">
        <v>12</v>
      </c>
      <c r="HY188">
        <v>1</v>
      </c>
      <c r="HZ188" t="s">
        <v>1045</v>
      </c>
      <c r="IA188">
        <v>21.5</v>
      </c>
      <c r="IB188" t="s">
        <v>1045</v>
      </c>
      <c r="ID188" t="s">
        <v>1045</v>
      </c>
      <c r="IF188">
        <v>0</v>
      </c>
      <c r="IG188" t="s">
        <v>1042</v>
      </c>
      <c r="II188" t="s">
        <v>1042</v>
      </c>
      <c r="IR188" t="s">
        <v>1045</v>
      </c>
      <c r="IT188">
        <v>0</v>
      </c>
      <c r="IY188" t="s">
        <v>1044</v>
      </c>
      <c r="IZ188" t="s">
        <v>1043</v>
      </c>
      <c r="JC188" t="s">
        <v>1043</v>
      </c>
      <c r="JE188">
        <v>0</v>
      </c>
      <c r="JF188">
        <v>0</v>
      </c>
      <c r="JI188" t="s">
        <v>1042</v>
      </c>
      <c r="JJ188">
        <v>0</v>
      </c>
      <c r="JK188">
        <v>0</v>
      </c>
      <c r="JL188">
        <v>0</v>
      </c>
      <c r="JM188">
        <v>0</v>
      </c>
      <c r="JQ188" t="s">
        <v>1043</v>
      </c>
      <c r="JT188">
        <v>0</v>
      </c>
      <c r="JU188" t="s">
        <v>1042</v>
      </c>
      <c r="JW188">
        <v>0</v>
      </c>
      <c r="KA188">
        <v>0</v>
      </c>
      <c r="KF188">
        <v>0</v>
      </c>
      <c r="KG188">
        <v>0</v>
      </c>
      <c r="KH188">
        <v>0</v>
      </c>
      <c r="KI188">
        <v>0</v>
      </c>
      <c r="KS188" t="s">
        <v>1073</v>
      </c>
      <c r="KT188">
        <v>0</v>
      </c>
      <c r="KU188">
        <v>0</v>
      </c>
      <c r="KV188">
        <v>0</v>
      </c>
      <c r="KX188">
        <v>0</v>
      </c>
      <c r="KZ188">
        <v>0</v>
      </c>
      <c r="LF188">
        <v>0</v>
      </c>
      <c r="LH188">
        <v>0</v>
      </c>
      <c r="LI188">
        <v>0</v>
      </c>
    </row>
    <row r="189" spans="1:321" x14ac:dyDescent="0.35">
      <c r="A189">
        <v>1</v>
      </c>
      <c r="B189">
        <v>12419</v>
      </c>
      <c r="C189" t="s">
        <v>1514</v>
      </c>
      <c r="D189" t="s">
        <v>1139</v>
      </c>
      <c r="E189" t="s">
        <v>85</v>
      </c>
      <c r="F189">
        <v>80</v>
      </c>
      <c r="G189">
        <v>9000</v>
      </c>
      <c r="H189">
        <v>0</v>
      </c>
      <c r="I189" t="s">
        <v>1513</v>
      </c>
      <c r="L189">
        <v>0</v>
      </c>
      <c r="M189">
        <v>0</v>
      </c>
      <c r="N189">
        <v>0</v>
      </c>
      <c r="R189">
        <v>0</v>
      </c>
      <c r="S189">
        <v>0</v>
      </c>
      <c r="W189" t="s">
        <v>1060</v>
      </c>
      <c r="X189">
        <v>0</v>
      </c>
      <c r="Z189">
        <v>1</v>
      </c>
      <c r="AA189">
        <v>0</v>
      </c>
      <c r="AB189">
        <v>0</v>
      </c>
      <c r="AC189">
        <v>40.546700000000001</v>
      </c>
      <c r="AD189" s="20">
        <v>40792</v>
      </c>
      <c r="AE189">
        <v>39</v>
      </c>
      <c r="AF189">
        <v>0</v>
      </c>
      <c r="AH189">
        <v>0</v>
      </c>
      <c r="AJ189">
        <v>0</v>
      </c>
      <c r="AL189">
        <v>0</v>
      </c>
      <c r="AM189">
        <v>0</v>
      </c>
      <c r="AN189">
        <v>16601001</v>
      </c>
      <c r="AO189">
        <v>0</v>
      </c>
      <c r="AP189">
        <v>1000</v>
      </c>
      <c r="AT189">
        <v>0</v>
      </c>
      <c r="AU189" t="s">
        <v>1059</v>
      </c>
      <c r="AW189" t="s">
        <v>1053</v>
      </c>
      <c r="AX189">
        <v>0</v>
      </c>
      <c r="AY189" s="20">
        <v>40792</v>
      </c>
      <c r="BA189" s="20">
        <v>40792</v>
      </c>
      <c r="BB189" t="s">
        <v>1058</v>
      </c>
      <c r="BD189">
        <v>0</v>
      </c>
      <c r="BF189" t="s">
        <v>1043</v>
      </c>
      <c r="BG189" t="s">
        <v>1042</v>
      </c>
      <c r="BH189">
        <v>0</v>
      </c>
      <c r="BI189">
        <v>1</v>
      </c>
      <c r="BJ189">
        <v>0</v>
      </c>
      <c r="BK189">
        <v>0</v>
      </c>
      <c r="BM189" t="s">
        <v>1042</v>
      </c>
      <c r="BN189">
        <v>0</v>
      </c>
      <c r="BR189" t="s">
        <v>1043</v>
      </c>
      <c r="BS189" t="s">
        <v>1043</v>
      </c>
      <c r="BT189" t="s">
        <v>1043</v>
      </c>
      <c r="BW189">
        <v>83</v>
      </c>
      <c r="CA189">
        <v>0</v>
      </c>
      <c r="CB189" t="s">
        <v>1057</v>
      </c>
      <c r="CE189" t="s">
        <v>1043</v>
      </c>
      <c r="CH189" t="s">
        <v>1043</v>
      </c>
      <c r="CN189" t="s">
        <v>1056</v>
      </c>
      <c r="CO189" t="s">
        <v>1043</v>
      </c>
      <c r="CP189">
        <v>1</v>
      </c>
      <c r="CQ189">
        <v>0</v>
      </c>
      <c r="CS189">
        <v>0</v>
      </c>
      <c r="CT189">
        <v>0</v>
      </c>
      <c r="CU189">
        <v>0</v>
      </c>
      <c r="CV189" t="s">
        <v>1045</v>
      </c>
      <c r="CW189">
        <v>0</v>
      </c>
      <c r="CX189">
        <v>0</v>
      </c>
      <c r="CY189">
        <v>0</v>
      </c>
      <c r="CZ189">
        <v>0</v>
      </c>
      <c r="DB189">
        <v>0</v>
      </c>
      <c r="DC189" t="s">
        <v>1043</v>
      </c>
      <c r="DF189" t="s">
        <v>1055</v>
      </c>
      <c r="DH189">
        <v>0</v>
      </c>
      <c r="DJ189">
        <v>0</v>
      </c>
      <c r="DK189" t="s">
        <v>1053</v>
      </c>
      <c r="DL189">
        <v>0</v>
      </c>
      <c r="DN189">
        <v>0</v>
      </c>
      <c r="DO189" t="s">
        <v>1042</v>
      </c>
      <c r="DP189">
        <v>0</v>
      </c>
      <c r="DQ189">
        <v>0</v>
      </c>
      <c r="DS189">
        <v>0</v>
      </c>
      <c r="DU189">
        <v>0</v>
      </c>
      <c r="DW189">
        <v>0</v>
      </c>
      <c r="DX189" t="s">
        <v>1043</v>
      </c>
      <c r="DY189">
        <v>0</v>
      </c>
      <c r="DZ189">
        <v>0</v>
      </c>
      <c r="EA189">
        <v>0</v>
      </c>
      <c r="ED189" t="s">
        <v>1045</v>
      </c>
      <c r="EE189">
        <v>0</v>
      </c>
      <c r="EF189">
        <v>0</v>
      </c>
      <c r="EQ189" t="s">
        <v>1044</v>
      </c>
      <c r="ES189" t="s">
        <v>1053</v>
      </c>
      <c r="ET189">
        <v>0</v>
      </c>
      <c r="EV189">
        <v>0</v>
      </c>
      <c r="EY189" t="s">
        <v>1052</v>
      </c>
      <c r="EZ189">
        <v>0</v>
      </c>
      <c r="FA189" t="s">
        <v>1043</v>
      </c>
      <c r="FB189">
        <v>0</v>
      </c>
      <c r="FC189">
        <v>0</v>
      </c>
      <c r="FE189" t="s">
        <v>1050</v>
      </c>
      <c r="FF189">
        <v>0</v>
      </c>
      <c r="FG189" t="s">
        <v>1050</v>
      </c>
      <c r="FJ189">
        <v>0</v>
      </c>
      <c r="FK189">
        <v>0</v>
      </c>
      <c r="FP189">
        <v>0</v>
      </c>
      <c r="FR189">
        <v>0</v>
      </c>
      <c r="FS189" t="s">
        <v>1043</v>
      </c>
      <c r="FX189" t="s">
        <v>1042</v>
      </c>
      <c r="FZ189" t="s">
        <v>1048</v>
      </c>
      <c r="GA189">
        <v>0</v>
      </c>
      <c r="GB189" t="s">
        <v>1042</v>
      </c>
      <c r="GE189">
        <v>0</v>
      </c>
      <c r="GG189">
        <v>0</v>
      </c>
      <c r="GN189">
        <v>0</v>
      </c>
      <c r="GO189" t="s">
        <v>1063</v>
      </c>
      <c r="GQ189">
        <v>0</v>
      </c>
      <c r="GU189">
        <v>0</v>
      </c>
      <c r="GY189" t="s">
        <v>1045</v>
      </c>
      <c r="HB189">
        <v>0</v>
      </c>
      <c r="HE189">
        <v>0</v>
      </c>
      <c r="HF189">
        <v>0</v>
      </c>
      <c r="HG189">
        <v>0</v>
      </c>
      <c r="HK189" t="s">
        <v>1042</v>
      </c>
      <c r="HM189" t="s">
        <v>1047</v>
      </c>
      <c r="HN189">
        <v>0</v>
      </c>
      <c r="HP189">
        <v>0</v>
      </c>
      <c r="HQ189">
        <v>0</v>
      </c>
      <c r="HR189" t="s">
        <v>1042</v>
      </c>
      <c r="HS189" t="s">
        <v>1043</v>
      </c>
      <c r="HT189">
        <v>0</v>
      </c>
      <c r="HU189">
        <v>0</v>
      </c>
      <c r="HW189">
        <v>0</v>
      </c>
      <c r="HX189">
        <v>0</v>
      </c>
      <c r="HY189">
        <v>0</v>
      </c>
      <c r="HZ189" t="s">
        <v>1045</v>
      </c>
      <c r="IA189">
        <v>0</v>
      </c>
      <c r="IB189" t="s">
        <v>1045</v>
      </c>
      <c r="ID189" t="s">
        <v>1045</v>
      </c>
      <c r="IF189">
        <v>0</v>
      </c>
      <c r="IG189" t="s">
        <v>1042</v>
      </c>
      <c r="II189" t="s">
        <v>1042</v>
      </c>
      <c r="IR189" t="s">
        <v>1045</v>
      </c>
      <c r="IT189">
        <v>0</v>
      </c>
      <c r="IY189" t="s">
        <v>1044</v>
      </c>
      <c r="IZ189" t="s">
        <v>1043</v>
      </c>
      <c r="JC189" t="s">
        <v>1043</v>
      </c>
      <c r="JE189">
        <v>0</v>
      </c>
      <c r="JF189">
        <v>0</v>
      </c>
      <c r="JI189" t="s">
        <v>1042</v>
      </c>
      <c r="JJ189">
        <v>0</v>
      </c>
      <c r="JK189">
        <v>0</v>
      </c>
      <c r="JL189">
        <v>0</v>
      </c>
      <c r="JM189">
        <v>0</v>
      </c>
      <c r="JQ189" t="s">
        <v>1043</v>
      </c>
      <c r="JT189">
        <v>0</v>
      </c>
      <c r="JU189" t="s">
        <v>1042</v>
      </c>
      <c r="JW189">
        <v>0</v>
      </c>
      <c r="KA189">
        <v>0</v>
      </c>
      <c r="KF189">
        <v>0</v>
      </c>
      <c r="KG189">
        <v>0</v>
      </c>
      <c r="KH189">
        <v>0</v>
      </c>
      <c r="KI189">
        <v>0</v>
      </c>
      <c r="KS189" t="s">
        <v>1073</v>
      </c>
      <c r="KT189">
        <v>0</v>
      </c>
      <c r="KU189">
        <v>0</v>
      </c>
      <c r="KV189">
        <v>0</v>
      </c>
      <c r="KX189">
        <v>0</v>
      </c>
      <c r="KZ189">
        <v>0</v>
      </c>
      <c r="LF189">
        <v>0</v>
      </c>
      <c r="LH189">
        <v>0</v>
      </c>
      <c r="LI189">
        <v>0</v>
      </c>
    </row>
    <row r="190" spans="1:321" x14ac:dyDescent="0.35">
      <c r="A190">
        <v>1</v>
      </c>
      <c r="B190">
        <v>1242</v>
      </c>
      <c r="C190" t="s">
        <v>1512</v>
      </c>
      <c r="D190" t="s">
        <v>1061</v>
      </c>
      <c r="E190" t="s">
        <v>587</v>
      </c>
      <c r="F190">
        <v>1</v>
      </c>
      <c r="G190">
        <v>8888</v>
      </c>
      <c r="H190">
        <v>0</v>
      </c>
      <c r="I190" t="s">
        <v>991</v>
      </c>
      <c r="L190">
        <v>0</v>
      </c>
      <c r="M190">
        <v>0</v>
      </c>
      <c r="N190">
        <v>0</v>
      </c>
      <c r="Q190">
        <v>516</v>
      </c>
      <c r="R190">
        <v>0</v>
      </c>
      <c r="S190">
        <v>0</v>
      </c>
      <c r="W190" t="s">
        <v>1060</v>
      </c>
      <c r="X190">
        <v>0</v>
      </c>
      <c r="Z190">
        <v>10</v>
      </c>
      <c r="AA190">
        <v>16.666</v>
      </c>
      <c r="AB190">
        <v>0</v>
      </c>
      <c r="AC190">
        <v>0.74199999999999999</v>
      </c>
      <c r="AD190" t="s">
        <v>1042</v>
      </c>
      <c r="AE190">
        <v>0</v>
      </c>
      <c r="AF190">
        <v>0.13300000000000001</v>
      </c>
      <c r="AH190">
        <v>0</v>
      </c>
      <c r="AJ190">
        <v>0</v>
      </c>
      <c r="AK190" t="s">
        <v>1154</v>
      </c>
      <c r="AL190">
        <v>50</v>
      </c>
      <c r="AM190">
        <v>0</v>
      </c>
      <c r="AN190">
        <v>11501001</v>
      </c>
      <c r="AO190">
        <v>0</v>
      </c>
      <c r="AP190">
        <v>1001</v>
      </c>
      <c r="AT190">
        <v>0</v>
      </c>
      <c r="AU190" t="s">
        <v>1059</v>
      </c>
      <c r="AV190" t="s">
        <v>1043</v>
      </c>
      <c r="AW190" t="s">
        <v>1053</v>
      </c>
      <c r="AX190">
        <v>5</v>
      </c>
      <c r="AY190" s="20">
        <v>43274</v>
      </c>
      <c r="BA190" s="20">
        <v>43677</v>
      </c>
      <c r="BB190" t="s">
        <v>1058</v>
      </c>
      <c r="BD190">
        <v>0</v>
      </c>
      <c r="BF190" t="s">
        <v>1043</v>
      </c>
      <c r="BG190" s="20">
        <v>42705</v>
      </c>
      <c r="BH190">
        <v>0</v>
      </c>
      <c r="BI190">
        <v>33</v>
      </c>
      <c r="BJ190">
        <v>0</v>
      </c>
      <c r="BK190">
        <v>0</v>
      </c>
      <c r="BM190" s="20">
        <v>42734</v>
      </c>
      <c r="BN190">
        <v>0</v>
      </c>
      <c r="BO190">
        <v>7897801317184</v>
      </c>
      <c r="BR190" t="s">
        <v>1043</v>
      </c>
      <c r="BS190" t="s">
        <v>1043</v>
      </c>
      <c r="BT190" t="s">
        <v>1043</v>
      </c>
      <c r="BV190">
        <v>1</v>
      </c>
      <c r="BW190">
        <v>30</v>
      </c>
      <c r="BY190">
        <v>66</v>
      </c>
      <c r="CA190">
        <v>0</v>
      </c>
      <c r="CB190" t="s">
        <v>1043</v>
      </c>
      <c r="CE190" t="s">
        <v>1043</v>
      </c>
      <c r="CH190" t="s">
        <v>1043</v>
      </c>
      <c r="CI190" t="s">
        <v>1383</v>
      </c>
      <c r="CK190" t="s">
        <v>1152</v>
      </c>
      <c r="CN190" t="s">
        <v>1056</v>
      </c>
      <c r="CP190">
        <v>1</v>
      </c>
      <c r="CQ190">
        <v>0</v>
      </c>
      <c r="CS190">
        <v>0</v>
      </c>
      <c r="CT190">
        <v>0</v>
      </c>
      <c r="CU190">
        <v>0</v>
      </c>
      <c r="CV190" t="s">
        <v>1045</v>
      </c>
      <c r="CW190">
        <v>0</v>
      </c>
      <c r="CX190">
        <v>0</v>
      </c>
      <c r="CY190">
        <v>0</v>
      </c>
      <c r="CZ190">
        <v>0</v>
      </c>
      <c r="DA190">
        <v>26</v>
      </c>
      <c r="DB190">
        <v>0</v>
      </c>
      <c r="DH190">
        <v>0</v>
      </c>
      <c r="DJ190">
        <v>0</v>
      </c>
      <c r="DL190">
        <v>0</v>
      </c>
      <c r="DN190">
        <v>0</v>
      </c>
      <c r="DO190" t="s">
        <v>1042</v>
      </c>
      <c r="DP190">
        <v>0</v>
      </c>
      <c r="DQ190">
        <v>7.6</v>
      </c>
      <c r="DS190">
        <v>0</v>
      </c>
      <c r="DU190">
        <v>1.65</v>
      </c>
      <c r="DW190">
        <v>0</v>
      </c>
      <c r="DY190">
        <v>0</v>
      </c>
      <c r="DZ190">
        <v>0</v>
      </c>
      <c r="EA190">
        <v>0</v>
      </c>
      <c r="EB190">
        <v>17897801317181</v>
      </c>
      <c r="EE190">
        <v>0</v>
      </c>
      <c r="EF190">
        <v>0</v>
      </c>
      <c r="EL190">
        <v>57897801317189</v>
      </c>
      <c r="EN190" t="s">
        <v>1511</v>
      </c>
      <c r="EO190" t="s">
        <v>1044</v>
      </c>
      <c r="ET190">
        <v>0</v>
      </c>
      <c r="EV190">
        <v>0</v>
      </c>
      <c r="EY190" t="s">
        <v>1052</v>
      </c>
      <c r="EZ190">
        <v>0</v>
      </c>
      <c r="FA190" t="s">
        <v>1043</v>
      </c>
      <c r="FB190">
        <v>0</v>
      </c>
      <c r="FC190">
        <v>0</v>
      </c>
      <c r="FD190" t="s">
        <v>1051</v>
      </c>
      <c r="FE190" t="s">
        <v>1050</v>
      </c>
      <c r="FF190">
        <v>0</v>
      </c>
      <c r="FG190" t="s">
        <v>1050</v>
      </c>
      <c r="FH190">
        <v>27897801317188</v>
      </c>
      <c r="FJ190">
        <v>0</v>
      </c>
      <c r="FK190">
        <v>0</v>
      </c>
      <c r="FP190">
        <v>0</v>
      </c>
      <c r="FR190">
        <v>0</v>
      </c>
      <c r="FS190" t="s">
        <v>1043</v>
      </c>
      <c r="FX190" t="s">
        <v>1042</v>
      </c>
      <c r="GA190">
        <v>0</v>
      </c>
      <c r="GB190" t="s">
        <v>1042</v>
      </c>
      <c r="GD190">
        <v>16</v>
      </c>
      <c r="GE190">
        <v>0</v>
      </c>
      <c r="GG190">
        <v>0</v>
      </c>
      <c r="GN190">
        <v>0</v>
      </c>
      <c r="GO190" t="s">
        <v>1049</v>
      </c>
      <c r="GQ190">
        <v>0</v>
      </c>
      <c r="GU190">
        <v>2</v>
      </c>
      <c r="GY190" t="s">
        <v>1045</v>
      </c>
      <c r="HB190">
        <v>0</v>
      </c>
      <c r="HE190">
        <v>0</v>
      </c>
      <c r="HF190">
        <v>0</v>
      </c>
      <c r="HG190">
        <v>1.907E-2</v>
      </c>
      <c r="HK190" t="s">
        <v>1042</v>
      </c>
      <c r="HM190">
        <v>0</v>
      </c>
      <c r="HN190">
        <v>0</v>
      </c>
      <c r="HP190">
        <v>0.12839999999999999</v>
      </c>
      <c r="HQ190">
        <v>0</v>
      </c>
      <c r="HR190" t="s">
        <v>1042</v>
      </c>
      <c r="HT190">
        <v>0</v>
      </c>
      <c r="HU190">
        <v>0</v>
      </c>
      <c r="HW190">
        <v>0</v>
      </c>
      <c r="HX190">
        <v>0</v>
      </c>
      <c r="HY190">
        <v>0</v>
      </c>
      <c r="IA190">
        <v>0</v>
      </c>
      <c r="IF190">
        <v>630</v>
      </c>
      <c r="IG190" s="20">
        <v>42709</v>
      </c>
      <c r="IH190" t="s">
        <v>1046</v>
      </c>
      <c r="II190" t="s">
        <v>1042</v>
      </c>
      <c r="IR190" t="s">
        <v>1044</v>
      </c>
      <c r="IT190">
        <v>0</v>
      </c>
      <c r="JE190">
        <v>0</v>
      </c>
      <c r="JF190">
        <v>0</v>
      </c>
      <c r="JI190" t="s">
        <v>1042</v>
      </c>
      <c r="JJ190">
        <v>0</v>
      </c>
      <c r="JK190">
        <v>0</v>
      </c>
      <c r="JL190">
        <v>0</v>
      </c>
      <c r="JM190">
        <v>0</v>
      </c>
      <c r="JT190">
        <v>0</v>
      </c>
      <c r="JU190" t="s">
        <v>1042</v>
      </c>
      <c r="JW190">
        <v>0</v>
      </c>
      <c r="KA190">
        <v>0</v>
      </c>
      <c r="KF190">
        <v>0</v>
      </c>
      <c r="KG190">
        <v>0</v>
      </c>
      <c r="KH190">
        <v>0</v>
      </c>
      <c r="KI190">
        <v>0</v>
      </c>
      <c r="KS190" t="s">
        <v>1041</v>
      </c>
      <c r="KT190">
        <v>0</v>
      </c>
      <c r="KU190">
        <v>0</v>
      </c>
      <c r="KV190">
        <v>0</v>
      </c>
      <c r="KX190">
        <v>0</v>
      </c>
      <c r="KZ190">
        <v>0</v>
      </c>
      <c r="LF190">
        <v>0</v>
      </c>
      <c r="LH190">
        <v>0</v>
      </c>
      <c r="LI190">
        <v>0</v>
      </c>
    </row>
    <row r="191" spans="1:321" x14ac:dyDescent="0.35">
      <c r="A191">
        <v>1</v>
      </c>
      <c r="B191">
        <v>12420</v>
      </c>
      <c r="C191" t="s">
        <v>1510</v>
      </c>
      <c r="D191" t="s">
        <v>1139</v>
      </c>
      <c r="E191" t="s">
        <v>85</v>
      </c>
      <c r="F191">
        <v>80</v>
      </c>
      <c r="G191">
        <v>9000</v>
      </c>
      <c r="H191">
        <v>0</v>
      </c>
      <c r="I191" t="s">
        <v>1509</v>
      </c>
      <c r="L191">
        <v>0</v>
      </c>
      <c r="M191">
        <v>0</v>
      </c>
      <c r="N191">
        <v>0</v>
      </c>
      <c r="R191">
        <v>0</v>
      </c>
      <c r="S191">
        <v>0</v>
      </c>
      <c r="W191" t="s">
        <v>1060</v>
      </c>
      <c r="X191">
        <v>0</v>
      </c>
      <c r="Z191">
        <v>1</v>
      </c>
      <c r="AA191">
        <v>0</v>
      </c>
      <c r="AB191">
        <v>0</v>
      </c>
      <c r="AC191">
        <v>59.22</v>
      </c>
      <c r="AD191" s="20">
        <v>40792</v>
      </c>
      <c r="AE191">
        <v>59.8</v>
      </c>
      <c r="AF191">
        <v>0</v>
      </c>
      <c r="AH191">
        <v>0</v>
      </c>
      <c r="AJ191">
        <v>0</v>
      </c>
      <c r="AL191">
        <v>0</v>
      </c>
      <c r="AM191">
        <v>0</v>
      </c>
      <c r="AN191">
        <v>16601001</v>
      </c>
      <c r="AO191">
        <v>0</v>
      </c>
      <c r="AP191">
        <v>1000</v>
      </c>
      <c r="AT191">
        <v>0</v>
      </c>
      <c r="AU191" t="s">
        <v>1059</v>
      </c>
      <c r="AW191" t="s">
        <v>1053</v>
      </c>
      <c r="AX191">
        <v>0</v>
      </c>
      <c r="AY191" s="20">
        <v>40792</v>
      </c>
      <c r="BA191" s="20">
        <v>40792</v>
      </c>
      <c r="BB191" t="s">
        <v>1058</v>
      </c>
      <c r="BD191">
        <v>0</v>
      </c>
      <c r="BF191" t="s">
        <v>1043</v>
      </c>
      <c r="BG191" t="s">
        <v>1042</v>
      </c>
      <c r="BH191">
        <v>0</v>
      </c>
      <c r="BI191">
        <v>1</v>
      </c>
      <c r="BJ191">
        <v>0</v>
      </c>
      <c r="BK191">
        <v>0</v>
      </c>
      <c r="BM191" t="s">
        <v>1042</v>
      </c>
      <c r="BN191">
        <v>0</v>
      </c>
      <c r="BR191" t="s">
        <v>1043</v>
      </c>
      <c r="BS191" t="s">
        <v>1043</v>
      </c>
      <c r="BT191" t="s">
        <v>1043</v>
      </c>
      <c r="BW191">
        <v>83</v>
      </c>
      <c r="CA191">
        <v>0</v>
      </c>
      <c r="CB191" t="s">
        <v>1057</v>
      </c>
      <c r="CE191" t="s">
        <v>1043</v>
      </c>
      <c r="CH191" t="s">
        <v>1043</v>
      </c>
      <c r="CN191" t="s">
        <v>1056</v>
      </c>
      <c r="CO191" t="s">
        <v>1043</v>
      </c>
      <c r="CP191">
        <v>1</v>
      </c>
      <c r="CQ191">
        <v>0</v>
      </c>
      <c r="CS191">
        <v>0</v>
      </c>
      <c r="CT191">
        <v>0</v>
      </c>
      <c r="CU191">
        <v>0</v>
      </c>
      <c r="CV191" t="s">
        <v>1045</v>
      </c>
      <c r="CW191">
        <v>0</v>
      </c>
      <c r="CX191">
        <v>0</v>
      </c>
      <c r="CY191">
        <v>0</v>
      </c>
      <c r="CZ191">
        <v>0</v>
      </c>
      <c r="DB191">
        <v>0</v>
      </c>
      <c r="DC191" t="s">
        <v>1043</v>
      </c>
      <c r="DF191" t="s">
        <v>1055</v>
      </c>
      <c r="DH191">
        <v>0</v>
      </c>
      <c r="DJ191">
        <v>0</v>
      </c>
      <c r="DK191" t="s">
        <v>1053</v>
      </c>
      <c r="DL191">
        <v>0</v>
      </c>
      <c r="DN191">
        <v>0</v>
      </c>
      <c r="DO191" t="s">
        <v>1042</v>
      </c>
      <c r="DP191">
        <v>0</v>
      </c>
      <c r="DQ191">
        <v>0</v>
      </c>
      <c r="DS191">
        <v>0</v>
      </c>
      <c r="DU191">
        <v>0</v>
      </c>
      <c r="DW191">
        <v>0</v>
      </c>
      <c r="DX191" t="s">
        <v>1043</v>
      </c>
      <c r="DY191">
        <v>0</v>
      </c>
      <c r="DZ191">
        <v>0</v>
      </c>
      <c r="EA191">
        <v>0</v>
      </c>
      <c r="ED191" t="s">
        <v>1045</v>
      </c>
      <c r="EE191">
        <v>0</v>
      </c>
      <c r="EF191">
        <v>0</v>
      </c>
      <c r="EQ191" t="s">
        <v>1044</v>
      </c>
      <c r="ES191" t="s">
        <v>1053</v>
      </c>
      <c r="ET191">
        <v>0</v>
      </c>
      <c r="EV191">
        <v>0</v>
      </c>
      <c r="EY191" t="s">
        <v>1052</v>
      </c>
      <c r="EZ191">
        <v>0</v>
      </c>
      <c r="FA191" t="s">
        <v>1043</v>
      </c>
      <c r="FB191">
        <v>0</v>
      </c>
      <c r="FC191">
        <v>0</v>
      </c>
      <c r="FE191" t="s">
        <v>1050</v>
      </c>
      <c r="FF191">
        <v>0</v>
      </c>
      <c r="FG191" t="s">
        <v>1050</v>
      </c>
      <c r="FJ191">
        <v>0</v>
      </c>
      <c r="FK191">
        <v>0</v>
      </c>
      <c r="FP191">
        <v>0</v>
      </c>
      <c r="FR191">
        <v>0</v>
      </c>
      <c r="FS191" t="s">
        <v>1043</v>
      </c>
      <c r="FX191" t="s">
        <v>1042</v>
      </c>
      <c r="FZ191" t="s">
        <v>1048</v>
      </c>
      <c r="GA191">
        <v>0</v>
      </c>
      <c r="GB191" t="s">
        <v>1042</v>
      </c>
      <c r="GE191">
        <v>0</v>
      </c>
      <c r="GG191">
        <v>0</v>
      </c>
      <c r="GN191">
        <v>0</v>
      </c>
      <c r="GO191" t="s">
        <v>1063</v>
      </c>
      <c r="GQ191">
        <v>0</v>
      </c>
      <c r="GU191">
        <v>0</v>
      </c>
      <c r="GY191" t="s">
        <v>1045</v>
      </c>
      <c r="HB191">
        <v>0</v>
      </c>
      <c r="HE191">
        <v>0</v>
      </c>
      <c r="HF191">
        <v>0</v>
      </c>
      <c r="HG191">
        <v>0</v>
      </c>
      <c r="HK191" t="s">
        <v>1042</v>
      </c>
      <c r="HM191" t="s">
        <v>1047</v>
      </c>
      <c r="HN191">
        <v>0</v>
      </c>
      <c r="HP191">
        <v>0</v>
      </c>
      <c r="HQ191">
        <v>0</v>
      </c>
      <c r="HR191" t="s">
        <v>1042</v>
      </c>
      <c r="HS191" t="s">
        <v>1043</v>
      </c>
      <c r="HT191">
        <v>0</v>
      </c>
      <c r="HU191">
        <v>0</v>
      </c>
      <c r="HW191">
        <v>0</v>
      </c>
      <c r="HX191">
        <v>0</v>
      </c>
      <c r="HY191">
        <v>0</v>
      </c>
      <c r="HZ191" t="s">
        <v>1045</v>
      </c>
      <c r="IA191">
        <v>0</v>
      </c>
      <c r="IB191" t="s">
        <v>1045</v>
      </c>
      <c r="ID191" t="s">
        <v>1045</v>
      </c>
      <c r="IF191">
        <v>0</v>
      </c>
      <c r="IG191" t="s">
        <v>1042</v>
      </c>
      <c r="II191" t="s">
        <v>1042</v>
      </c>
      <c r="IR191" t="s">
        <v>1045</v>
      </c>
      <c r="IT191">
        <v>0</v>
      </c>
      <c r="IY191" t="s">
        <v>1044</v>
      </c>
      <c r="IZ191" t="s">
        <v>1043</v>
      </c>
      <c r="JC191" t="s">
        <v>1043</v>
      </c>
      <c r="JE191">
        <v>0</v>
      </c>
      <c r="JF191">
        <v>0</v>
      </c>
      <c r="JI191" t="s">
        <v>1042</v>
      </c>
      <c r="JJ191">
        <v>0</v>
      </c>
      <c r="JK191">
        <v>0</v>
      </c>
      <c r="JL191">
        <v>0</v>
      </c>
      <c r="JM191">
        <v>0</v>
      </c>
      <c r="JQ191" t="s">
        <v>1043</v>
      </c>
      <c r="JT191">
        <v>0</v>
      </c>
      <c r="JU191" t="s">
        <v>1042</v>
      </c>
      <c r="JW191">
        <v>0</v>
      </c>
      <c r="KA191">
        <v>0</v>
      </c>
      <c r="KF191">
        <v>0</v>
      </c>
      <c r="KG191">
        <v>0</v>
      </c>
      <c r="KH191">
        <v>0</v>
      </c>
      <c r="KI191">
        <v>0</v>
      </c>
      <c r="KS191" t="s">
        <v>1073</v>
      </c>
      <c r="KT191">
        <v>0</v>
      </c>
      <c r="KU191">
        <v>0</v>
      </c>
      <c r="KV191">
        <v>0</v>
      </c>
      <c r="KX191">
        <v>0</v>
      </c>
      <c r="KZ191">
        <v>0</v>
      </c>
      <c r="LF191">
        <v>0</v>
      </c>
      <c r="LH191">
        <v>0</v>
      </c>
      <c r="LI191">
        <v>0</v>
      </c>
    </row>
    <row r="192" spans="1:321" x14ac:dyDescent="0.35">
      <c r="A192">
        <v>1</v>
      </c>
      <c r="B192">
        <v>12421</v>
      </c>
      <c r="C192" t="s">
        <v>1508</v>
      </c>
      <c r="D192" t="s">
        <v>1139</v>
      </c>
      <c r="E192" t="s">
        <v>85</v>
      </c>
      <c r="F192">
        <v>80</v>
      </c>
      <c r="G192">
        <v>9000</v>
      </c>
      <c r="H192">
        <v>0</v>
      </c>
      <c r="I192" t="s">
        <v>1501</v>
      </c>
      <c r="L192">
        <v>0</v>
      </c>
      <c r="M192">
        <v>0</v>
      </c>
      <c r="N192">
        <v>0</v>
      </c>
      <c r="R192">
        <v>0</v>
      </c>
      <c r="S192">
        <v>0</v>
      </c>
      <c r="W192" t="s">
        <v>1060</v>
      </c>
      <c r="X192">
        <v>0</v>
      </c>
      <c r="Z192">
        <v>1</v>
      </c>
      <c r="AA192">
        <v>0</v>
      </c>
      <c r="AB192">
        <v>0</v>
      </c>
      <c r="AC192">
        <v>115.6</v>
      </c>
      <c r="AD192" s="20">
        <v>40792</v>
      </c>
      <c r="AE192">
        <v>115.6</v>
      </c>
      <c r="AF192">
        <v>0</v>
      </c>
      <c r="AH192">
        <v>0</v>
      </c>
      <c r="AJ192">
        <v>0</v>
      </c>
      <c r="AL192">
        <v>0</v>
      </c>
      <c r="AM192">
        <v>0</v>
      </c>
      <c r="AN192">
        <v>16601001</v>
      </c>
      <c r="AO192">
        <v>0</v>
      </c>
      <c r="AP192">
        <v>1000</v>
      </c>
      <c r="AT192">
        <v>0</v>
      </c>
      <c r="AU192" t="s">
        <v>1059</v>
      </c>
      <c r="AW192" t="s">
        <v>1053</v>
      </c>
      <c r="AX192">
        <v>0</v>
      </c>
      <c r="AY192" s="20">
        <v>40792</v>
      </c>
      <c r="BA192" s="20">
        <v>40792</v>
      </c>
      <c r="BB192" t="s">
        <v>1058</v>
      </c>
      <c r="BD192">
        <v>0</v>
      </c>
      <c r="BF192" t="s">
        <v>1043</v>
      </c>
      <c r="BG192" t="s">
        <v>1042</v>
      </c>
      <c r="BH192">
        <v>0</v>
      </c>
      <c r="BI192">
        <v>1</v>
      </c>
      <c r="BJ192">
        <v>0</v>
      </c>
      <c r="BK192">
        <v>0</v>
      </c>
      <c r="BM192" t="s">
        <v>1042</v>
      </c>
      <c r="BN192">
        <v>0</v>
      </c>
      <c r="BR192" t="s">
        <v>1043</v>
      </c>
      <c r="BS192" t="s">
        <v>1043</v>
      </c>
      <c r="BT192" t="s">
        <v>1043</v>
      </c>
      <c r="BW192">
        <v>83</v>
      </c>
      <c r="CA192">
        <v>0</v>
      </c>
      <c r="CB192" t="s">
        <v>1057</v>
      </c>
      <c r="CE192" t="s">
        <v>1043</v>
      </c>
      <c r="CH192" t="s">
        <v>1043</v>
      </c>
      <c r="CN192" t="s">
        <v>1056</v>
      </c>
      <c r="CO192" t="s">
        <v>1043</v>
      </c>
      <c r="CP192">
        <v>1</v>
      </c>
      <c r="CQ192">
        <v>0</v>
      </c>
      <c r="CS192">
        <v>0</v>
      </c>
      <c r="CT192">
        <v>0</v>
      </c>
      <c r="CU192">
        <v>0</v>
      </c>
      <c r="CV192" t="s">
        <v>1045</v>
      </c>
      <c r="CW192">
        <v>0</v>
      </c>
      <c r="CX192">
        <v>0</v>
      </c>
      <c r="CY192">
        <v>0</v>
      </c>
      <c r="CZ192">
        <v>0</v>
      </c>
      <c r="DB192">
        <v>0</v>
      </c>
      <c r="DC192" t="s">
        <v>1043</v>
      </c>
      <c r="DF192" t="s">
        <v>1055</v>
      </c>
      <c r="DH192">
        <v>0</v>
      </c>
      <c r="DJ192">
        <v>0</v>
      </c>
      <c r="DK192" t="s">
        <v>1053</v>
      </c>
      <c r="DL192">
        <v>0</v>
      </c>
      <c r="DN192">
        <v>0</v>
      </c>
      <c r="DO192" t="s">
        <v>1042</v>
      </c>
      <c r="DP192">
        <v>0</v>
      </c>
      <c r="DQ192">
        <v>0</v>
      </c>
      <c r="DS192">
        <v>0</v>
      </c>
      <c r="DU192">
        <v>0</v>
      </c>
      <c r="DW192">
        <v>0</v>
      </c>
      <c r="DX192" t="s">
        <v>1043</v>
      </c>
      <c r="DY192">
        <v>0</v>
      </c>
      <c r="DZ192">
        <v>0</v>
      </c>
      <c r="EA192">
        <v>0</v>
      </c>
      <c r="ED192" t="s">
        <v>1045</v>
      </c>
      <c r="EE192">
        <v>0</v>
      </c>
      <c r="EF192">
        <v>0</v>
      </c>
      <c r="EQ192" t="s">
        <v>1044</v>
      </c>
      <c r="ES192" t="s">
        <v>1053</v>
      </c>
      <c r="ET192">
        <v>0</v>
      </c>
      <c r="EV192">
        <v>0</v>
      </c>
      <c r="EY192" t="s">
        <v>1052</v>
      </c>
      <c r="EZ192">
        <v>0</v>
      </c>
      <c r="FA192" t="s">
        <v>1043</v>
      </c>
      <c r="FB192">
        <v>0</v>
      </c>
      <c r="FC192">
        <v>0</v>
      </c>
      <c r="FE192" t="s">
        <v>1050</v>
      </c>
      <c r="FF192">
        <v>0</v>
      </c>
      <c r="FG192" t="s">
        <v>1050</v>
      </c>
      <c r="FJ192">
        <v>0</v>
      </c>
      <c r="FK192">
        <v>0</v>
      </c>
      <c r="FP192">
        <v>0</v>
      </c>
      <c r="FR192">
        <v>0</v>
      </c>
      <c r="FS192" t="s">
        <v>1043</v>
      </c>
      <c r="FX192" t="s">
        <v>1042</v>
      </c>
      <c r="FZ192" t="s">
        <v>1048</v>
      </c>
      <c r="GA192">
        <v>0</v>
      </c>
      <c r="GB192" t="s">
        <v>1042</v>
      </c>
      <c r="GE192">
        <v>0</v>
      </c>
      <c r="GG192">
        <v>0</v>
      </c>
      <c r="GN192">
        <v>0</v>
      </c>
      <c r="GO192" t="s">
        <v>1063</v>
      </c>
      <c r="GQ192">
        <v>0</v>
      </c>
      <c r="GU192">
        <v>0</v>
      </c>
      <c r="GY192" t="s">
        <v>1045</v>
      </c>
      <c r="HB192">
        <v>0</v>
      </c>
      <c r="HE192">
        <v>0</v>
      </c>
      <c r="HF192">
        <v>0</v>
      </c>
      <c r="HG192">
        <v>0</v>
      </c>
      <c r="HK192" t="s">
        <v>1042</v>
      </c>
      <c r="HM192" t="s">
        <v>1047</v>
      </c>
      <c r="HN192">
        <v>0</v>
      </c>
      <c r="HP192">
        <v>0</v>
      </c>
      <c r="HQ192">
        <v>0</v>
      </c>
      <c r="HR192" t="s">
        <v>1042</v>
      </c>
      <c r="HS192" t="s">
        <v>1043</v>
      </c>
      <c r="HT192">
        <v>0</v>
      </c>
      <c r="HU192">
        <v>0</v>
      </c>
      <c r="HW192">
        <v>0</v>
      </c>
      <c r="HX192">
        <v>0</v>
      </c>
      <c r="HY192">
        <v>0</v>
      </c>
      <c r="HZ192" t="s">
        <v>1045</v>
      </c>
      <c r="IA192">
        <v>0</v>
      </c>
      <c r="IB192" t="s">
        <v>1045</v>
      </c>
      <c r="ID192" t="s">
        <v>1045</v>
      </c>
      <c r="IF192">
        <v>0</v>
      </c>
      <c r="IG192" t="s">
        <v>1042</v>
      </c>
      <c r="II192" t="s">
        <v>1042</v>
      </c>
      <c r="IR192" t="s">
        <v>1045</v>
      </c>
      <c r="IT192">
        <v>0</v>
      </c>
      <c r="IY192" t="s">
        <v>1044</v>
      </c>
      <c r="IZ192" t="s">
        <v>1043</v>
      </c>
      <c r="JC192" t="s">
        <v>1043</v>
      </c>
      <c r="JE192">
        <v>0</v>
      </c>
      <c r="JF192">
        <v>0</v>
      </c>
      <c r="JI192" t="s">
        <v>1042</v>
      </c>
      <c r="JJ192">
        <v>0</v>
      </c>
      <c r="JK192">
        <v>0</v>
      </c>
      <c r="JL192">
        <v>0</v>
      </c>
      <c r="JM192">
        <v>0</v>
      </c>
      <c r="JQ192" t="s">
        <v>1043</v>
      </c>
      <c r="JT192">
        <v>0</v>
      </c>
      <c r="JU192" t="s">
        <v>1042</v>
      </c>
      <c r="JW192">
        <v>0</v>
      </c>
      <c r="KA192">
        <v>0</v>
      </c>
      <c r="KF192">
        <v>0</v>
      </c>
      <c r="KG192">
        <v>0</v>
      </c>
      <c r="KH192">
        <v>0</v>
      </c>
      <c r="KI192">
        <v>0</v>
      </c>
      <c r="KS192" t="s">
        <v>1073</v>
      </c>
      <c r="KT192">
        <v>0</v>
      </c>
      <c r="KU192">
        <v>0</v>
      </c>
      <c r="KV192">
        <v>0</v>
      </c>
      <c r="KX192">
        <v>0</v>
      </c>
      <c r="KZ192">
        <v>0</v>
      </c>
      <c r="LF192">
        <v>0</v>
      </c>
      <c r="LH192">
        <v>0</v>
      </c>
      <c r="LI192">
        <v>0</v>
      </c>
    </row>
    <row r="193" spans="1:321" x14ac:dyDescent="0.35">
      <c r="A193">
        <v>1</v>
      </c>
      <c r="B193">
        <v>12422</v>
      </c>
      <c r="C193" t="s">
        <v>1507</v>
      </c>
      <c r="D193" t="s">
        <v>1139</v>
      </c>
      <c r="E193" t="s">
        <v>85</v>
      </c>
      <c r="F193">
        <v>80</v>
      </c>
      <c r="G193">
        <v>9000</v>
      </c>
      <c r="H193">
        <v>0</v>
      </c>
      <c r="I193" t="s">
        <v>1505</v>
      </c>
      <c r="L193">
        <v>0</v>
      </c>
      <c r="M193">
        <v>0</v>
      </c>
      <c r="N193">
        <v>0</v>
      </c>
      <c r="R193">
        <v>0</v>
      </c>
      <c r="S193">
        <v>0</v>
      </c>
      <c r="W193" t="s">
        <v>1060</v>
      </c>
      <c r="X193">
        <v>0</v>
      </c>
      <c r="Z193">
        <v>1</v>
      </c>
      <c r="AA193">
        <v>0</v>
      </c>
      <c r="AB193">
        <v>0</v>
      </c>
      <c r="AC193">
        <v>675.56</v>
      </c>
      <c r="AD193" s="20">
        <v>40792</v>
      </c>
      <c r="AE193">
        <v>649</v>
      </c>
      <c r="AF193">
        <v>0</v>
      </c>
      <c r="AH193">
        <v>0</v>
      </c>
      <c r="AJ193">
        <v>0</v>
      </c>
      <c r="AL193">
        <v>0</v>
      </c>
      <c r="AM193">
        <v>0</v>
      </c>
      <c r="AN193">
        <v>16601001</v>
      </c>
      <c r="AO193">
        <v>0</v>
      </c>
      <c r="AP193">
        <v>1000</v>
      </c>
      <c r="AT193">
        <v>0</v>
      </c>
      <c r="AU193" t="s">
        <v>1059</v>
      </c>
      <c r="AW193" t="s">
        <v>1053</v>
      </c>
      <c r="AX193">
        <v>0</v>
      </c>
      <c r="AY193" s="20">
        <v>40792</v>
      </c>
      <c r="BA193" s="20">
        <v>40792</v>
      </c>
      <c r="BB193" t="s">
        <v>1058</v>
      </c>
      <c r="BD193">
        <v>0</v>
      </c>
      <c r="BF193" t="s">
        <v>1043</v>
      </c>
      <c r="BG193" t="s">
        <v>1042</v>
      </c>
      <c r="BH193">
        <v>0</v>
      </c>
      <c r="BI193">
        <v>1</v>
      </c>
      <c r="BJ193">
        <v>0</v>
      </c>
      <c r="BK193">
        <v>0</v>
      </c>
      <c r="BM193" t="s">
        <v>1042</v>
      </c>
      <c r="BN193">
        <v>0</v>
      </c>
      <c r="BR193" t="s">
        <v>1043</v>
      </c>
      <c r="BS193" t="s">
        <v>1043</v>
      </c>
      <c r="BT193" t="s">
        <v>1043</v>
      </c>
      <c r="BW193">
        <v>83</v>
      </c>
      <c r="CA193">
        <v>0</v>
      </c>
      <c r="CB193" t="s">
        <v>1057</v>
      </c>
      <c r="CE193" t="s">
        <v>1043</v>
      </c>
      <c r="CH193" t="s">
        <v>1043</v>
      </c>
      <c r="CN193" t="s">
        <v>1056</v>
      </c>
      <c r="CO193" t="s">
        <v>1043</v>
      </c>
      <c r="CP193">
        <v>1</v>
      </c>
      <c r="CQ193">
        <v>0</v>
      </c>
      <c r="CS193">
        <v>0</v>
      </c>
      <c r="CT193">
        <v>0</v>
      </c>
      <c r="CU193">
        <v>0</v>
      </c>
      <c r="CV193" t="s">
        <v>1045</v>
      </c>
      <c r="CW193">
        <v>0</v>
      </c>
      <c r="CX193">
        <v>0</v>
      </c>
      <c r="CY193">
        <v>0</v>
      </c>
      <c r="CZ193">
        <v>0</v>
      </c>
      <c r="DB193">
        <v>0</v>
      </c>
      <c r="DC193" t="s">
        <v>1043</v>
      </c>
      <c r="DF193" t="s">
        <v>1055</v>
      </c>
      <c r="DH193">
        <v>0</v>
      </c>
      <c r="DJ193">
        <v>0</v>
      </c>
      <c r="DK193" t="s">
        <v>1053</v>
      </c>
      <c r="DL193">
        <v>0</v>
      </c>
      <c r="DN193">
        <v>0</v>
      </c>
      <c r="DO193" t="s">
        <v>1042</v>
      </c>
      <c r="DP193">
        <v>0</v>
      </c>
      <c r="DQ193">
        <v>0</v>
      </c>
      <c r="DS193">
        <v>0</v>
      </c>
      <c r="DU193">
        <v>0</v>
      </c>
      <c r="DW193">
        <v>0</v>
      </c>
      <c r="DX193" t="s">
        <v>1043</v>
      </c>
      <c r="DY193">
        <v>0</v>
      </c>
      <c r="DZ193">
        <v>0</v>
      </c>
      <c r="EA193">
        <v>0</v>
      </c>
      <c r="ED193" t="s">
        <v>1045</v>
      </c>
      <c r="EE193">
        <v>0</v>
      </c>
      <c r="EF193">
        <v>0</v>
      </c>
      <c r="EQ193" t="s">
        <v>1044</v>
      </c>
      <c r="ES193" t="s">
        <v>1053</v>
      </c>
      <c r="ET193">
        <v>0</v>
      </c>
      <c r="EV193">
        <v>0</v>
      </c>
      <c r="EY193" t="s">
        <v>1052</v>
      </c>
      <c r="EZ193">
        <v>0</v>
      </c>
      <c r="FA193" t="s">
        <v>1043</v>
      </c>
      <c r="FB193">
        <v>0</v>
      </c>
      <c r="FC193">
        <v>0</v>
      </c>
      <c r="FE193" t="s">
        <v>1050</v>
      </c>
      <c r="FF193">
        <v>0</v>
      </c>
      <c r="FG193" t="s">
        <v>1050</v>
      </c>
      <c r="FJ193">
        <v>0</v>
      </c>
      <c r="FK193">
        <v>0</v>
      </c>
      <c r="FP193">
        <v>0</v>
      </c>
      <c r="FR193">
        <v>0</v>
      </c>
      <c r="FS193" t="s">
        <v>1043</v>
      </c>
      <c r="FX193" t="s">
        <v>1042</v>
      </c>
      <c r="FZ193" t="s">
        <v>1048</v>
      </c>
      <c r="GA193">
        <v>0</v>
      </c>
      <c r="GB193" t="s">
        <v>1042</v>
      </c>
      <c r="GE193">
        <v>0</v>
      </c>
      <c r="GG193">
        <v>0</v>
      </c>
      <c r="GN193">
        <v>0</v>
      </c>
      <c r="GO193" t="s">
        <v>1063</v>
      </c>
      <c r="GQ193">
        <v>0</v>
      </c>
      <c r="GU193">
        <v>0</v>
      </c>
      <c r="GY193" t="s">
        <v>1045</v>
      </c>
      <c r="HB193">
        <v>0</v>
      </c>
      <c r="HE193">
        <v>0</v>
      </c>
      <c r="HF193">
        <v>0</v>
      </c>
      <c r="HG193">
        <v>0</v>
      </c>
      <c r="HK193" t="s">
        <v>1042</v>
      </c>
      <c r="HM193" t="s">
        <v>1047</v>
      </c>
      <c r="HN193">
        <v>0</v>
      </c>
      <c r="HP193">
        <v>0</v>
      </c>
      <c r="HQ193">
        <v>0</v>
      </c>
      <c r="HR193" t="s">
        <v>1042</v>
      </c>
      <c r="HS193" t="s">
        <v>1043</v>
      </c>
      <c r="HT193">
        <v>0</v>
      </c>
      <c r="HU193">
        <v>0</v>
      </c>
      <c r="HW193">
        <v>0</v>
      </c>
      <c r="HX193">
        <v>0</v>
      </c>
      <c r="HY193">
        <v>0</v>
      </c>
      <c r="HZ193" t="s">
        <v>1045</v>
      </c>
      <c r="IA193">
        <v>0</v>
      </c>
      <c r="IB193" t="s">
        <v>1045</v>
      </c>
      <c r="ID193" t="s">
        <v>1045</v>
      </c>
      <c r="IF193">
        <v>0</v>
      </c>
      <c r="IG193" t="s">
        <v>1042</v>
      </c>
      <c r="II193" t="s">
        <v>1042</v>
      </c>
      <c r="IR193" t="s">
        <v>1045</v>
      </c>
      <c r="IT193">
        <v>0</v>
      </c>
      <c r="IY193" t="s">
        <v>1044</v>
      </c>
      <c r="IZ193" t="s">
        <v>1043</v>
      </c>
      <c r="JC193" t="s">
        <v>1043</v>
      </c>
      <c r="JE193">
        <v>0</v>
      </c>
      <c r="JF193">
        <v>0</v>
      </c>
      <c r="JI193" t="s">
        <v>1042</v>
      </c>
      <c r="JJ193">
        <v>0</v>
      </c>
      <c r="JK193">
        <v>0</v>
      </c>
      <c r="JL193">
        <v>0</v>
      </c>
      <c r="JM193">
        <v>0</v>
      </c>
      <c r="JQ193" t="s">
        <v>1043</v>
      </c>
      <c r="JT193">
        <v>0</v>
      </c>
      <c r="JU193" t="s">
        <v>1042</v>
      </c>
      <c r="JW193">
        <v>0</v>
      </c>
      <c r="KA193">
        <v>0</v>
      </c>
      <c r="KF193">
        <v>0</v>
      </c>
      <c r="KG193">
        <v>0</v>
      </c>
      <c r="KH193">
        <v>0</v>
      </c>
      <c r="KI193">
        <v>0</v>
      </c>
      <c r="KS193" t="s">
        <v>1073</v>
      </c>
      <c r="KT193">
        <v>0</v>
      </c>
      <c r="KU193">
        <v>0</v>
      </c>
      <c r="KV193">
        <v>0</v>
      </c>
      <c r="KX193">
        <v>0</v>
      </c>
      <c r="KZ193">
        <v>0</v>
      </c>
      <c r="LF193">
        <v>0</v>
      </c>
      <c r="LH193">
        <v>0</v>
      </c>
      <c r="LI193">
        <v>0</v>
      </c>
    </row>
    <row r="194" spans="1:321" x14ac:dyDescent="0.35">
      <c r="A194">
        <v>1</v>
      </c>
      <c r="B194">
        <v>12423</v>
      </c>
      <c r="C194" t="s">
        <v>1506</v>
      </c>
      <c r="D194" t="s">
        <v>1139</v>
      </c>
      <c r="E194" t="s">
        <v>85</v>
      </c>
      <c r="F194">
        <v>80</v>
      </c>
      <c r="G194">
        <v>9000</v>
      </c>
      <c r="H194">
        <v>0</v>
      </c>
      <c r="I194" t="s">
        <v>1505</v>
      </c>
      <c r="L194">
        <v>0</v>
      </c>
      <c r="M194">
        <v>0</v>
      </c>
      <c r="N194">
        <v>0</v>
      </c>
      <c r="R194">
        <v>0</v>
      </c>
      <c r="S194">
        <v>0</v>
      </c>
      <c r="W194" t="s">
        <v>1060</v>
      </c>
      <c r="X194">
        <v>0</v>
      </c>
      <c r="Z194">
        <v>1</v>
      </c>
      <c r="AA194">
        <v>0</v>
      </c>
      <c r="AB194">
        <v>0</v>
      </c>
      <c r="AC194">
        <v>40.04</v>
      </c>
      <c r="AD194" s="20">
        <v>40792</v>
      </c>
      <c r="AE194">
        <v>280</v>
      </c>
      <c r="AF194">
        <v>0</v>
      </c>
      <c r="AH194">
        <v>0</v>
      </c>
      <c r="AJ194">
        <v>0</v>
      </c>
      <c r="AL194">
        <v>1</v>
      </c>
      <c r="AM194">
        <v>0</v>
      </c>
      <c r="AN194">
        <v>16601001</v>
      </c>
      <c r="AO194">
        <v>0</v>
      </c>
      <c r="AP194">
        <v>1000</v>
      </c>
      <c r="AT194">
        <v>0</v>
      </c>
      <c r="AU194" t="s">
        <v>1059</v>
      </c>
      <c r="AW194" t="s">
        <v>1053</v>
      </c>
      <c r="AX194">
        <v>0</v>
      </c>
      <c r="AY194" s="20">
        <v>40792</v>
      </c>
      <c r="BA194" s="20">
        <v>40792</v>
      </c>
      <c r="BB194" t="s">
        <v>1058</v>
      </c>
      <c r="BD194">
        <v>0</v>
      </c>
      <c r="BF194" t="s">
        <v>1043</v>
      </c>
      <c r="BG194" t="s">
        <v>1042</v>
      </c>
      <c r="BH194">
        <v>0</v>
      </c>
      <c r="BI194">
        <v>1</v>
      </c>
      <c r="BJ194">
        <v>0</v>
      </c>
      <c r="BK194">
        <v>0</v>
      </c>
      <c r="BM194" t="s">
        <v>1042</v>
      </c>
      <c r="BN194">
        <v>0</v>
      </c>
      <c r="BR194" t="s">
        <v>1043</v>
      </c>
      <c r="BS194" t="s">
        <v>1043</v>
      </c>
      <c r="BT194" t="s">
        <v>1043</v>
      </c>
      <c r="BW194">
        <v>83</v>
      </c>
      <c r="CA194">
        <v>0</v>
      </c>
      <c r="CB194" t="s">
        <v>1057</v>
      </c>
      <c r="CE194" t="s">
        <v>1043</v>
      </c>
      <c r="CH194" t="s">
        <v>1043</v>
      </c>
      <c r="CN194" t="s">
        <v>1056</v>
      </c>
      <c r="CO194" t="s">
        <v>1043</v>
      </c>
      <c r="CP194">
        <v>1</v>
      </c>
      <c r="CQ194">
        <v>0</v>
      </c>
      <c r="CS194">
        <v>0</v>
      </c>
      <c r="CT194">
        <v>0</v>
      </c>
      <c r="CU194">
        <v>0</v>
      </c>
      <c r="CV194" t="s">
        <v>1045</v>
      </c>
      <c r="CW194">
        <v>0</v>
      </c>
      <c r="CX194">
        <v>0</v>
      </c>
      <c r="CY194">
        <v>0</v>
      </c>
      <c r="CZ194">
        <v>0</v>
      </c>
      <c r="DB194">
        <v>0</v>
      </c>
      <c r="DC194" t="s">
        <v>1043</v>
      </c>
      <c r="DF194" t="s">
        <v>1055</v>
      </c>
      <c r="DH194">
        <v>0</v>
      </c>
      <c r="DJ194">
        <v>0</v>
      </c>
      <c r="DK194" t="s">
        <v>1053</v>
      </c>
      <c r="DL194">
        <v>0</v>
      </c>
      <c r="DN194">
        <v>0</v>
      </c>
      <c r="DO194" t="s">
        <v>1042</v>
      </c>
      <c r="DP194">
        <v>0</v>
      </c>
      <c r="DQ194">
        <v>0</v>
      </c>
      <c r="DS194">
        <v>0</v>
      </c>
      <c r="DU194">
        <v>0</v>
      </c>
      <c r="DW194">
        <v>0</v>
      </c>
      <c r="DX194" t="s">
        <v>1043</v>
      </c>
      <c r="DY194">
        <v>0</v>
      </c>
      <c r="DZ194">
        <v>0</v>
      </c>
      <c r="EA194">
        <v>0</v>
      </c>
      <c r="ED194" t="s">
        <v>1045</v>
      </c>
      <c r="EE194">
        <v>0</v>
      </c>
      <c r="EF194">
        <v>0</v>
      </c>
      <c r="EQ194" t="s">
        <v>1044</v>
      </c>
      <c r="ES194" t="s">
        <v>1053</v>
      </c>
      <c r="ET194">
        <v>0</v>
      </c>
      <c r="EV194">
        <v>0</v>
      </c>
      <c r="EY194" t="s">
        <v>1052</v>
      </c>
      <c r="EZ194">
        <v>0</v>
      </c>
      <c r="FA194" t="s">
        <v>1043</v>
      </c>
      <c r="FB194">
        <v>0</v>
      </c>
      <c r="FC194">
        <v>0</v>
      </c>
      <c r="FE194" t="s">
        <v>1050</v>
      </c>
      <c r="FF194">
        <v>0</v>
      </c>
      <c r="FG194" t="s">
        <v>1050</v>
      </c>
      <c r="FJ194">
        <v>0</v>
      </c>
      <c r="FK194">
        <v>0</v>
      </c>
      <c r="FP194">
        <v>0</v>
      </c>
      <c r="FR194">
        <v>0</v>
      </c>
      <c r="FS194" t="s">
        <v>1043</v>
      </c>
      <c r="FX194" t="s">
        <v>1042</v>
      </c>
      <c r="FZ194" t="s">
        <v>1048</v>
      </c>
      <c r="GA194">
        <v>0</v>
      </c>
      <c r="GB194" t="s">
        <v>1042</v>
      </c>
      <c r="GE194">
        <v>0</v>
      </c>
      <c r="GG194">
        <v>0</v>
      </c>
      <c r="GN194">
        <v>0</v>
      </c>
      <c r="GO194" t="s">
        <v>1063</v>
      </c>
      <c r="GQ194">
        <v>0</v>
      </c>
      <c r="GU194">
        <v>0</v>
      </c>
      <c r="GY194" t="s">
        <v>1045</v>
      </c>
      <c r="HB194">
        <v>0</v>
      </c>
      <c r="HE194">
        <v>0</v>
      </c>
      <c r="HF194">
        <v>0</v>
      </c>
      <c r="HG194">
        <v>0</v>
      </c>
      <c r="HK194" t="s">
        <v>1042</v>
      </c>
      <c r="HM194" t="s">
        <v>1047</v>
      </c>
      <c r="HN194">
        <v>0</v>
      </c>
      <c r="HP194">
        <v>0</v>
      </c>
      <c r="HQ194">
        <v>0</v>
      </c>
      <c r="HR194" t="s">
        <v>1042</v>
      </c>
      <c r="HS194" t="s">
        <v>1043</v>
      </c>
      <c r="HT194">
        <v>0</v>
      </c>
      <c r="HU194">
        <v>0</v>
      </c>
      <c r="HW194">
        <v>0</v>
      </c>
      <c r="HX194">
        <v>0</v>
      </c>
      <c r="HY194">
        <v>0</v>
      </c>
      <c r="HZ194" t="s">
        <v>1045</v>
      </c>
      <c r="IA194">
        <v>0</v>
      </c>
      <c r="IB194" t="s">
        <v>1045</v>
      </c>
      <c r="ID194" t="s">
        <v>1045</v>
      </c>
      <c r="IF194">
        <v>0</v>
      </c>
      <c r="IG194" t="s">
        <v>1042</v>
      </c>
      <c r="II194" t="s">
        <v>1042</v>
      </c>
      <c r="IR194" t="s">
        <v>1045</v>
      </c>
      <c r="IT194">
        <v>0</v>
      </c>
      <c r="IY194" t="s">
        <v>1044</v>
      </c>
      <c r="IZ194" t="s">
        <v>1043</v>
      </c>
      <c r="JC194" t="s">
        <v>1043</v>
      </c>
      <c r="JE194">
        <v>0</v>
      </c>
      <c r="JF194">
        <v>0</v>
      </c>
      <c r="JI194" t="s">
        <v>1042</v>
      </c>
      <c r="JJ194">
        <v>0</v>
      </c>
      <c r="JK194">
        <v>0</v>
      </c>
      <c r="JL194">
        <v>0</v>
      </c>
      <c r="JM194">
        <v>0</v>
      </c>
      <c r="JQ194" t="s">
        <v>1043</v>
      </c>
      <c r="JT194">
        <v>0</v>
      </c>
      <c r="JU194" t="s">
        <v>1042</v>
      </c>
      <c r="JW194">
        <v>0</v>
      </c>
      <c r="KA194">
        <v>0</v>
      </c>
      <c r="KF194">
        <v>0</v>
      </c>
      <c r="KG194">
        <v>0</v>
      </c>
      <c r="KH194">
        <v>0</v>
      </c>
      <c r="KI194">
        <v>0</v>
      </c>
      <c r="KS194" t="s">
        <v>1073</v>
      </c>
      <c r="KT194">
        <v>0</v>
      </c>
      <c r="KU194">
        <v>0</v>
      </c>
      <c r="KV194">
        <v>0</v>
      </c>
      <c r="KX194">
        <v>0</v>
      </c>
      <c r="KZ194">
        <v>0</v>
      </c>
      <c r="LF194">
        <v>0</v>
      </c>
      <c r="LH194">
        <v>0</v>
      </c>
      <c r="LI194">
        <v>0</v>
      </c>
    </row>
    <row r="195" spans="1:321" x14ac:dyDescent="0.35">
      <c r="A195">
        <v>1</v>
      </c>
      <c r="B195">
        <v>12424</v>
      </c>
      <c r="C195" t="s">
        <v>1504</v>
      </c>
      <c r="D195" t="s">
        <v>1139</v>
      </c>
      <c r="E195" t="s">
        <v>85</v>
      </c>
      <c r="F195">
        <v>80</v>
      </c>
      <c r="G195">
        <v>9000</v>
      </c>
      <c r="H195">
        <v>0</v>
      </c>
      <c r="I195" t="s">
        <v>1503</v>
      </c>
      <c r="L195">
        <v>0</v>
      </c>
      <c r="M195">
        <v>0</v>
      </c>
      <c r="N195">
        <v>0</v>
      </c>
      <c r="R195">
        <v>0</v>
      </c>
      <c r="S195">
        <v>0</v>
      </c>
      <c r="W195" t="s">
        <v>1060</v>
      </c>
      <c r="X195">
        <v>0</v>
      </c>
      <c r="Z195">
        <v>1</v>
      </c>
      <c r="AA195">
        <v>0</v>
      </c>
      <c r="AB195">
        <v>0</v>
      </c>
      <c r="AC195">
        <v>521.10500000000002</v>
      </c>
      <c r="AD195" s="20">
        <v>42579</v>
      </c>
      <c r="AE195">
        <v>574.22</v>
      </c>
      <c r="AF195">
        <v>0</v>
      </c>
      <c r="AH195">
        <v>0</v>
      </c>
      <c r="AJ195">
        <v>0</v>
      </c>
      <c r="AL195">
        <v>1</v>
      </c>
      <c r="AM195">
        <v>0</v>
      </c>
      <c r="AN195">
        <v>437711</v>
      </c>
      <c r="AO195">
        <v>0</v>
      </c>
      <c r="AP195">
        <v>1002</v>
      </c>
      <c r="AT195">
        <v>0</v>
      </c>
      <c r="AU195" t="s">
        <v>1059</v>
      </c>
      <c r="AW195" t="s">
        <v>1053</v>
      </c>
      <c r="AX195">
        <v>0</v>
      </c>
      <c r="AY195" s="20">
        <v>40792</v>
      </c>
      <c r="BA195" s="20">
        <v>40792</v>
      </c>
      <c r="BB195" t="s">
        <v>1058</v>
      </c>
      <c r="BD195">
        <v>0</v>
      </c>
      <c r="BF195" t="s">
        <v>1043</v>
      </c>
      <c r="BG195" t="s">
        <v>1042</v>
      </c>
      <c r="BH195">
        <v>0</v>
      </c>
      <c r="BI195">
        <v>1</v>
      </c>
      <c r="BJ195">
        <v>0</v>
      </c>
      <c r="BK195">
        <v>0</v>
      </c>
      <c r="BM195" t="s">
        <v>1042</v>
      </c>
      <c r="BN195">
        <v>0</v>
      </c>
      <c r="BO195">
        <v>3457801073196</v>
      </c>
      <c r="BR195" t="s">
        <v>1043</v>
      </c>
      <c r="BS195" t="s">
        <v>1043</v>
      </c>
      <c r="BT195" t="s">
        <v>1043</v>
      </c>
      <c r="BW195">
        <v>83</v>
      </c>
      <c r="CA195">
        <v>0</v>
      </c>
      <c r="CB195" t="s">
        <v>1057</v>
      </c>
      <c r="CE195" t="s">
        <v>1043</v>
      </c>
      <c r="CH195" t="s">
        <v>1043</v>
      </c>
      <c r="CN195" t="s">
        <v>1056</v>
      </c>
      <c r="CO195" t="s">
        <v>1043</v>
      </c>
      <c r="CP195">
        <v>1</v>
      </c>
      <c r="CQ195">
        <v>0</v>
      </c>
      <c r="CS195">
        <v>0</v>
      </c>
      <c r="CT195">
        <v>0</v>
      </c>
      <c r="CU195">
        <v>0</v>
      </c>
      <c r="CV195" t="s">
        <v>1045</v>
      </c>
      <c r="CW195">
        <v>0</v>
      </c>
      <c r="CX195">
        <v>0</v>
      </c>
      <c r="CY195">
        <v>0</v>
      </c>
      <c r="CZ195">
        <v>0</v>
      </c>
      <c r="DB195">
        <v>0</v>
      </c>
      <c r="DC195" t="s">
        <v>1043</v>
      </c>
      <c r="DF195" t="s">
        <v>1055</v>
      </c>
      <c r="DH195">
        <v>0</v>
      </c>
      <c r="DJ195">
        <v>0</v>
      </c>
      <c r="DK195" t="s">
        <v>1053</v>
      </c>
      <c r="DL195">
        <v>0</v>
      </c>
      <c r="DN195">
        <v>0</v>
      </c>
      <c r="DO195" t="s">
        <v>1042</v>
      </c>
      <c r="DP195">
        <v>0</v>
      </c>
      <c r="DQ195">
        <v>0</v>
      </c>
      <c r="DS195">
        <v>0</v>
      </c>
      <c r="DU195">
        <v>0</v>
      </c>
      <c r="DW195">
        <v>0</v>
      </c>
      <c r="DX195" t="s">
        <v>1043</v>
      </c>
      <c r="DY195">
        <v>0</v>
      </c>
      <c r="DZ195">
        <v>0</v>
      </c>
      <c r="EA195">
        <v>0</v>
      </c>
      <c r="ED195" t="s">
        <v>1045</v>
      </c>
      <c r="EE195">
        <v>0</v>
      </c>
      <c r="EF195">
        <v>0</v>
      </c>
      <c r="EQ195" t="s">
        <v>1044</v>
      </c>
      <c r="ES195" t="s">
        <v>1053</v>
      </c>
      <c r="ET195">
        <v>0</v>
      </c>
      <c r="EV195">
        <v>0</v>
      </c>
      <c r="EY195" t="s">
        <v>1052</v>
      </c>
      <c r="EZ195">
        <v>0</v>
      </c>
      <c r="FA195" t="s">
        <v>1043</v>
      </c>
      <c r="FB195">
        <v>0</v>
      </c>
      <c r="FC195">
        <v>0</v>
      </c>
      <c r="FE195" t="s">
        <v>1050</v>
      </c>
      <c r="FF195">
        <v>0</v>
      </c>
      <c r="FG195" t="s">
        <v>1050</v>
      </c>
      <c r="FJ195">
        <v>0</v>
      </c>
      <c r="FK195">
        <v>0</v>
      </c>
      <c r="FP195">
        <v>0</v>
      </c>
      <c r="FR195">
        <v>0</v>
      </c>
      <c r="FS195" t="s">
        <v>1043</v>
      </c>
      <c r="FX195" t="s">
        <v>1042</v>
      </c>
      <c r="FZ195" t="s">
        <v>1048</v>
      </c>
      <c r="GA195">
        <v>0</v>
      </c>
      <c r="GB195" t="s">
        <v>1042</v>
      </c>
      <c r="GE195">
        <v>0</v>
      </c>
      <c r="GG195">
        <v>0</v>
      </c>
      <c r="GN195">
        <v>0</v>
      </c>
      <c r="GO195" t="s">
        <v>1063</v>
      </c>
      <c r="GQ195">
        <v>0</v>
      </c>
      <c r="GU195">
        <v>0</v>
      </c>
      <c r="GY195" t="s">
        <v>1045</v>
      </c>
      <c r="HB195">
        <v>0</v>
      </c>
      <c r="HE195">
        <v>0</v>
      </c>
      <c r="HF195">
        <v>0</v>
      </c>
      <c r="HG195">
        <v>0</v>
      </c>
      <c r="HK195" t="s">
        <v>1042</v>
      </c>
      <c r="HM195" t="s">
        <v>1047</v>
      </c>
      <c r="HN195">
        <v>0</v>
      </c>
      <c r="HP195">
        <v>0</v>
      </c>
      <c r="HQ195">
        <v>0</v>
      </c>
      <c r="HR195" t="s">
        <v>1042</v>
      </c>
      <c r="HS195" t="s">
        <v>1043</v>
      </c>
      <c r="HT195">
        <v>0</v>
      </c>
      <c r="HU195">
        <v>0</v>
      </c>
      <c r="HW195">
        <v>0</v>
      </c>
      <c r="HX195">
        <v>0</v>
      </c>
      <c r="HY195">
        <v>0</v>
      </c>
      <c r="HZ195" t="s">
        <v>1045</v>
      </c>
      <c r="IA195">
        <v>0</v>
      </c>
      <c r="IB195" t="s">
        <v>1045</v>
      </c>
      <c r="ID195" t="s">
        <v>1045</v>
      </c>
      <c r="IF195">
        <v>0</v>
      </c>
      <c r="IG195" t="s">
        <v>1042</v>
      </c>
      <c r="II195" t="s">
        <v>1042</v>
      </c>
      <c r="IR195" t="s">
        <v>1045</v>
      </c>
      <c r="IT195">
        <v>0</v>
      </c>
      <c r="IY195" t="s">
        <v>1044</v>
      </c>
      <c r="IZ195" t="s">
        <v>1043</v>
      </c>
      <c r="JC195" t="s">
        <v>1043</v>
      </c>
      <c r="JE195">
        <v>0</v>
      </c>
      <c r="JF195">
        <v>0</v>
      </c>
      <c r="JI195" t="s">
        <v>1042</v>
      </c>
      <c r="JJ195">
        <v>0</v>
      </c>
      <c r="JK195">
        <v>0</v>
      </c>
      <c r="JL195">
        <v>0</v>
      </c>
      <c r="JM195">
        <v>0</v>
      </c>
      <c r="JQ195" t="s">
        <v>1043</v>
      </c>
      <c r="JT195">
        <v>0</v>
      </c>
      <c r="JU195" t="s">
        <v>1042</v>
      </c>
      <c r="JW195">
        <v>0</v>
      </c>
      <c r="KA195">
        <v>0</v>
      </c>
      <c r="KF195">
        <v>0</v>
      </c>
      <c r="KG195">
        <v>0</v>
      </c>
      <c r="KH195">
        <v>0</v>
      </c>
      <c r="KI195">
        <v>0</v>
      </c>
      <c r="KS195" t="s">
        <v>1073</v>
      </c>
      <c r="KT195">
        <v>0</v>
      </c>
      <c r="KU195">
        <v>0</v>
      </c>
      <c r="KV195">
        <v>0</v>
      </c>
      <c r="KX195">
        <v>0</v>
      </c>
      <c r="KZ195">
        <v>0</v>
      </c>
      <c r="LF195">
        <v>0</v>
      </c>
      <c r="LH195">
        <v>0</v>
      </c>
      <c r="LI195">
        <v>0</v>
      </c>
    </row>
    <row r="196" spans="1:321" x14ac:dyDescent="0.35">
      <c r="A196">
        <v>1</v>
      </c>
      <c r="B196">
        <v>12425</v>
      </c>
      <c r="C196" t="s">
        <v>1502</v>
      </c>
      <c r="D196" t="s">
        <v>1139</v>
      </c>
      <c r="E196" t="s">
        <v>85</v>
      </c>
      <c r="F196">
        <v>80</v>
      </c>
      <c r="G196">
        <v>9000</v>
      </c>
      <c r="H196">
        <v>0</v>
      </c>
      <c r="I196" t="s">
        <v>1501</v>
      </c>
      <c r="L196">
        <v>0</v>
      </c>
      <c r="M196">
        <v>0</v>
      </c>
      <c r="N196">
        <v>0</v>
      </c>
      <c r="R196">
        <v>0</v>
      </c>
      <c r="S196">
        <v>0</v>
      </c>
      <c r="W196" t="s">
        <v>1060</v>
      </c>
      <c r="X196">
        <v>0</v>
      </c>
      <c r="Z196">
        <v>1</v>
      </c>
      <c r="AA196">
        <v>0</v>
      </c>
      <c r="AB196">
        <v>0</v>
      </c>
      <c r="AC196">
        <v>47</v>
      </c>
      <c r="AD196" s="20">
        <v>40792</v>
      </c>
      <c r="AE196">
        <v>47</v>
      </c>
      <c r="AF196">
        <v>0</v>
      </c>
      <c r="AH196">
        <v>0</v>
      </c>
      <c r="AJ196">
        <v>0</v>
      </c>
      <c r="AL196">
        <v>0</v>
      </c>
      <c r="AM196">
        <v>0</v>
      </c>
      <c r="AN196">
        <v>16601001</v>
      </c>
      <c r="AO196">
        <v>0</v>
      </c>
      <c r="AP196">
        <v>1000</v>
      </c>
      <c r="AT196">
        <v>0</v>
      </c>
      <c r="AU196" t="s">
        <v>1059</v>
      </c>
      <c r="AW196" t="s">
        <v>1053</v>
      </c>
      <c r="AX196">
        <v>0</v>
      </c>
      <c r="AY196" s="20">
        <v>40792</v>
      </c>
      <c r="BA196" s="20">
        <v>40792</v>
      </c>
      <c r="BB196" t="s">
        <v>1058</v>
      </c>
      <c r="BD196">
        <v>0</v>
      </c>
      <c r="BF196" t="s">
        <v>1043</v>
      </c>
      <c r="BG196" t="s">
        <v>1042</v>
      </c>
      <c r="BH196">
        <v>0</v>
      </c>
      <c r="BI196">
        <v>1</v>
      </c>
      <c r="BJ196">
        <v>0</v>
      </c>
      <c r="BK196">
        <v>0</v>
      </c>
      <c r="BM196" t="s">
        <v>1042</v>
      </c>
      <c r="BN196">
        <v>0</v>
      </c>
      <c r="BR196" t="s">
        <v>1043</v>
      </c>
      <c r="BS196" t="s">
        <v>1043</v>
      </c>
      <c r="BT196" t="s">
        <v>1043</v>
      </c>
      <c r="BW196">
        <v>83</v>
      </c>
      <c r="CA196">
        <v>0</v>
      </c>
      <c r="CB196" t="s">
        <v>1057</v>
      </c>
      <c r="CE196" t="s">
        <v>1043</v>
      </c>
      <c r="CH196" t="s">
        <v>1043</v>
      </c>
      <c r="CN196" t="s">
        <v>1056</v>
      </c>
      <c r="CO196" t="s">
        <v>1043</v>
      </c>
      <c r="CP196">
        <v>1</v>
      </c>
      <c r="CQ196">
        <v>0</v>
      </c>
      <c r="CS196">
        <v>0</v>
      </c>
      <c r="CT196">
        <v>0</v>
      </c>
      <c r="CU196">
        <v>0</v>
      </c>
      <c r="CV196" t="s">
        <v>1045</v>
      </c>
      <c r="CW196">
        <v>0</v>
      </c>
      <c r="CX196">
        <v>0</v>
      </c>
      <c r="CY196">
        <v>0</v>
      </c>
      <c r="CZ196">
        <v>0</v>
      </c>
      <c r="DB196">
        <v>0</v>
      </c>
      <c r="DC196" t="s">
        <v>1043</v>
      </c>
      <c r="DF196" t="s">
        <v>1055</v>
      </c>
      <c r="DH196">
        <v>0</v>
      </c>
      <c r="DJ196">
        <v>0</v>
      </c>
      <c r="DK196" t="s">
        <v>1053</v>
      </c>
      <c r="DL196">
        <v>0</v>
      </c>
      <c r="DN196">
        <v>0</v>
      </c>
      <c r="DO196" t="s">
        <v>1042</v>
      </c>
      <c r="DP196">
        <v>0</v>
      </c>
      <c r="DQ196">
        <v>0</v>
      </c>
      <c r="DS196">
        <v>0</v>
      </c>
      <c r="DU196">
        <v>0</v>
      </c>
      <c r="DW196">
        <v>0</v>
      </c>
      <c r="DX196" t="s">
        <v>1043</v>
      </c>
      <c r="DY196">
        <v>0</v>
      </c>
      <c r="DZ196">
        <v>0</v>
      </c>
      <c r="EA196">
        <v>0</v>
      </c>
      <c r="ED196" t="s">
        <v>1045</v>
      </c>
      <c r="EE196">
        <v>0</v>
      </c>
      <c r="EF196">
        <v>0</v>
      </c>
      <c r="EQ196" t="s">
        <v>1044</v>
      </c>
      <c r="ES196" t="s">
        <v>1053</v>
      </c>
      <c r="ET196">
        <v>0</v>
      </c>
      <c r="EV196">
        <v>0</v>
      </c>
      <c r="EY196" t="s">
        <v>1052</v>
      </c>
      <c r="EZ196">
        <v>0</v>
      </c>
      <c r="FA196" t="s">
        <v>1043</v>
      </c>
      <c r="FB196">
        <v>0</v>
      </c>
      <c r="FC196">
        <v>0</v>
      </c>
      <c r="FE196" t="s">
        <v>1050</v>
      </c>
      <c r="FF196">
        <v>0</v>
      </c>
      <c r="FG196" t="s">
        <v>1050</v>
      </c>
      <c r="FJ196">
        <v>0</v>
      </c>
      <c r="FK196">
        <v>0</v>
      </c>
      <c r="FP196">
        <v>0</v>
      </c>
      <c r="FR196">
        <v>0</v>
      </c>
      <c r="FS196" t="s">
        <v>1043</v>
      </c>
      <c r="FX196" t="s">
        <v>1042</v>
      </c>
      <c r="FZ196" t="s">
        <v>1048</v>
      </c>
      <c r="GA196">
        <v>0</v>
      </c>
      <c r="GB196" t="s">
        <v>1042</v>
      </c>
      <c r="GE196">
        <v>0</v>
      </c>
      <c r="GG196">
        <v>0</v>
      </c>
      <c r="GN196">
        <v>0</v>
      </c>
      <c r="GO196" t="s">
        <v>1063</v>
      </c>
      <c r="GQ196">
        <v>0</v>
      </c>
      <c r="GU196">
        <v>0</v>
      </c>
      <c r="GY196" t="s">
        <v>1045</v>
      </c>
      <c r="HB196">
        <v>0</v>
      </c>
      <c r="HE196">
        <v>0</v>
      </c>
      <c r="HF196">
        <v>0</v>
      </c>
      <c r="HG196">
        <v>0</v>
      </c>
      <c r="HK196" t="s">
        <v>1042</v>
      </c>
      <c r="HM196" t="s">
        <v>1047</v>
      </c>
      <c r="HN196">
        <v>0</v>
      </c>
      <c r="HP196">
        <v>0</v>
      </c>
      <c r="HQ196">
        <v>0</v>
      </c>
      <c r="HR196" t="s">
        <v>1042</v>
      </c>
      <c r="HS196" t="s">
        <v>1043</v>
      </c>
      <c r="HT196">
        <v>0</v>
      </c>
      <c r="HU196">
        <v>0</v>
      </c>
      <c r="HW196">
        <v>0</v>
      </c>
      <c r="HX196">
        <v>0</v>
      </c>
      <c r="HY196">
        <v>0</v>
      </c>
      <c r="HZ196" t="s">
        <v>1045</v>
      </c>
      <c r="IA196">
        <v>0</v>
      </c>
      <c r="IB196" t="s">
        <v>1045</v>
      </c>
      <c r="ID196" t="s">
        <v>1045</v>
      </c>
      <c r="IF196">
        <v>0</v>
      </c>
      <c r="IG196" t="s">
        <v>1042</v>
      </c>
      <c r="II196" t="s">
        <v>1042</v>
      </c>
      <c r="IR196" t="s">
        <v>1045</v>
      </c>
      <c r="IT196">
        <v>0</v>
      </c>
      <c r="IY196" t="s">
        <v>1044</v>
      </c>
      <c r="IZ196" t="s">
        <v>1043</v>
      </c>
      <c r="JC196" t="s">
        <v>1043</v>
      </c>
      <c r="JE196">
        <v>0</v>
      </c>
      <c r="JF196">
        <v>0</v>
      </c>
      <c r="JI196" t="s">
        <v>1042</v>
      </c>
      <c r="JJ196">
        <v>0</v>
      </c>
      <c r="JK196">
        <v>0</v>
      </c>
      <c r="JL196">
        <v>0</v>
      </c>
      <c r="JM196">
        <v>0</v>
      </c>
      <c r="JQ196" t="s">
        <v>1043</v>
      </c>
      <c r="JT196">
        <v>0</v>
      </c>
      <c r="JU196" t="s">
        <v>1042</v>
      </c>
      <c r="JW196">
        <v>0</v>
      </c>
      <c r="KA196">
        <v>0</v>
      </c>
      <c r="KF196">
        <v>0</v>
      </c>
      <c r="KG196">
        <v>0</v>
      </c>
      <c r="KH196">
        <v>0</v>
      </c>
      <c r="KI196">
        <v>0</v>
      </c>
      <c r="KS196" t="s">
        <v>1073</v>
      </c>
      <c r="KT196">
        <v>0</v>
      </c>
      <c r="KU196">
        <v>0</v>
      </c>
      <c r="KV196">
        <v>0</v>
      </c>
      <c r="KX196">
        <v>0</v>
      </c>
      <c r="KZ196">
        <v>0</v>
      </c>
      <c r="LF196">
        <v>0</v>
      </c>
      <c r="LH196">
        <v>0</v>
      </c>
      <c r="LI196">
        <v>0</v>
      </c>
    </row>
    <row r="197" spans="1:321" x14ac:dyDescent="0.35">
      <c r="A197">
        <v>1</v>
      </c>
      <c r="B197">
        <v>12426</v>
      </c>
      <c r="C197" t="s">
        <v>1500</v>
      </c>
      <c r="D197" t="s">
        <v>1133</v>
      </c>
      <c r="E197" t="s">
        <v>85</v>
      </c>
      <c r="F197">
        <v>80</v>
      </c>
      <c r="G197">
        <v>8800</v>
      </c>
      <c r="H197">
        <v>0</v>
      </c>
      <c r="I197" t="s">
        <v>1493</v>
      </c>
      <c r="L197">
        <v>0</v>
      </c>
      <c r="M197">
        <v>0</v>
      </c>
      <c r="N197">
        <v>0</v>
      </c>
      <c r="R197">
        <v>0</v>
      </c>
      <c r="S197">
        <v>0</v>
      </c>
      <c r="W197" t="s">
        <v>1060</v>
      </c>
      <c r="X197">
        <v>0</v>
      </c>
      <c r="Z197">
        <v>1</v>
      </c>
      <c r="AA197">
        <v>0</v>
      </c>
      <c r="AB197">
        <v>0</v>
      </c>
      <c r="AC197">
        <v>1.5178</v>
      </c>
      <c r="AD197" s="20">
        <v>40777</v>
      </c>
      <c r="AE197">
        <v>2.2000000000000002</v>
      </c>
      <c r="AF197">
        <v>0</v>
      </c>
      <c r="AH197">
        <v>0</v>
      </c>
      <c r="AJ197">
        <v>0</v>
      </c>
      <c r="AL197">
        <v>0</v>
      </c>
      <c r="AM197">
        <v>0</v>
      </c>
      <c r="AN197">
        <v>16601001</v>
      </c>
      <c r="AO197">
        <v>0</v>
      </c>
      <c r="AP197">
        <v>1000</v>
      </c>
      <c r="AT197">
        <v>0</v>
      </c>
      <c r="AU197" t="s">
        <v>1059</v>
      </c>
      <c r="AW197" t="s">
        <v>1053</v>
      </c>
      <c r="AX197">
        <v>0</v>
      </c>
      <c r="AY197" s="20">
        <v>40792</v>
      </c>
      <c r="BA197" s="20">
        <v>40792</v>
      </c>
      <c r="BB197" t="s">
        <v>1058</v>
      </c>
      <c r="BD197">
        <v>0</v>
      </c>
      <c r="BF197" t="s">
        <v>1043</v>
      </c>
      <c r="BG197" t="s">
        <v>1042</v>
      </c>
      <c r="BH197">
        <v>0</v>
      </c>
      <c r="BI197">
        <v>1</v>
      </c>
      <c r="BJ197">
        <v>0</v>
      </c>
      <c r="BK197">
        <v>0</v>
      </c>
      <c r="BM197" t="s">
        <v>1042</v>
      </c>
      <c r="BN197">
        <v>0</v>
      </c>
      <c r="BR197" t="s">
        <v>1043</v>
      </c>
      <c r="BS197" t="s">
        <v>1043</v>
      </c>
      <c r="BT197" t="s">
        <v>1043</v>
      </c>
      <c r="BW197">
        <v>83</v>
      </c>
      <c r="CA197">
        <v>0</v>
      </c>
      <c r="CB197" t="s">
        <v>1057</v>
      </c>
      <c r="CE197" t="s">
        <v>1043</v>
      </c>
      <c r="CH197" t="s">
        <v>1043</v>
      </c>
      <c r="CN197" t="s">
        <v>1056</v>
      </c>
      <c r="CO197" t="s">
        <v>1043</v>
      </c>
      <c r="CP197">
        <v>1</v>
      </c>
      <c r="CQ197">
        <v>0</v>
      </c>
      <c r="CS197">
        <v>0</v>
      </c>
      <c r="CT197">
        <v>0</v>
      </c>
      <c r="CU197">
        <v>0</v>
      </c>
      <c r="CV197" t="s">
        <v>1045</v>
      </c>
      <c r="CW197">
        <v>0</v>
      </c>
      <c r="CX197">
        <v>0</v>
      </c>
      <c r="CY197">
        <v>0</v>
      </c>
      <c r="CZ197">
        <v>0</v>
      </c>
      <c r="DB197">
        <v>0</v>
      </c>
      <c r="DC197" t="s">
        <v>1043</v>
      </c>
      <c r="DF197" t="s">
        <v>1055</v>
      </c>
      <c r="DH197">
        <v>0</v>
      </c>
      <c r="DJ197">
        <v>0</v>
      </c>
      <c r="DK197" t="s">
        <v>1053</v>
      </c>
      <c r="DL197">
        <v>0</v>
      </c>
      <c r="DN197">
        <v>0</v>
      </c>
      <c r="DO197" t="s">
        <v>1042</v>
      </c>
      <c r="DP197">
        <v>0</v>
      </c>
      <c r="DQ197">
        <v>0</v>
      </c>
      <c r="DS197">
        <v>0</v>
      </c>
      <c r="DU197">
        <v>0</v>
      </c>
      <c r="DW197">
        <v>0</v>
      </c>
      <c r="DX197" t="s">
        <v>1043</v>
      </c>
      <c r="DY197">
        <v>0</v>
      </c>
      <c r="DZ197">
        <v>0</v>
      </c>
      <c r="EA197">
        <v>0</v>
      </c>
      <c r="ED197" t="s">
        <v>1045</v>
      </c>
      <c r="EE197">
        <v>0</v>
      </c>
      <c r="EF197">
        <v>0</v>
      </c>
      <c r="EQ197" t="s">
        <v>1044</v>
      </c>
      <c r="ES197" t="s">
        <v>1053</v>
      </c>
      <c r="ET197">
        <v>0</v>
      </c>
      <c r="EV197">
        <v>0</v>
      </c>
      <c r="EY197" t="s">
        <v>1052</v>
      </c>
      <c r="EZ197">
        <v>0</v>
      </c>
      <c r="FA197" t="s">
        <v>1043</v>
      </c>
      <c r="FB197">
        <v>0</v>
      </c>
      <c r="FC197">
        <v>0</v>
      </c>
      <c r="FE197" t="s">
        <v>1050</v>
      </c>
      <c r="FF197">
        <v>0</v>
      </c>
      <c r="FG197" t="s">
        <v>1050</v>
      </c>
      <c r="FJ197">
        <v>0</v>
      </c>
      <c r="FK197">
        <v>0</v>
      </c>
      <c r="FP197">
        <v>0</v>
      </c>
      <c r="FR197">
        <v>0</v>
      </c>
      <c r="FS197" t="s">
        <v>1043</v>
      </c>
      <c r="FX197" t="s">
        <v>1042</v>
      </c>
      <c r="FZ197" t="s">
        <v>1048</v>
      </c>
      <c r="GA197">
        <v>0</v>
      </c>
      <c r="GB197" t="s">
        <v>1042</v>
      </c>
      <c r="GE197">
        <v>0</v>
      </c>
      <c r="GG197">
        <v>0</v>
      </c>
      <c r="GN197">
        <v>0</v>
      </c>
      <c r="GO197" t="s">
        <v>1063</v>
      </c>
      <c r="GQ197">
        <v>0</v>
      </c>
      <c r="GU197">
        <v>0</v>
      </c>
      <c r="GY197" t="s">
        <v>1045</v>
      </c>
      <c r="HB197">
        <v>0</v>
      </c>
      <c r="HE197">
        <v>0</v>
      </c>
      <c r="HF197">
        <v>0</v>
      </c>
      <c r="HG197">
        <v>0</v>
      </c>
      <c r="HK197" t="s">
        <v>1042</v>
      </c>
      <c r="HM197" t="s">
        <v>1047</v>
      </c>
      <c r="HN197">
        <v>0</v>
      </c>
      <c r="HP197">
        <v>0</v>
      </c>
      <c r="HQ197">
        <v>0</v>
      </c>
      <c r="HR197" t="s">
        <v>1042</v>
      </c>
      <c r="HS197" t="s">
        <v>1043</v>
      </c>
      <c r="HT197">
        <v>0</v>
      </c>
      <c r="HU197">
        <v>0</v>
      </c>
      <c r="HW197">
        <v>0</v>
      </c>
      <c r="HX197">
        <v>0</v>
      </c>
      <c r="HY197">
        <v>0</v>
      </c>
      <c r="HZ197" t="s">
        <v>1045</v>
      </c>
      <c r="IA197">
        <v>0</v>
      </c>
      <c r="IB197" t="s">
        <v>1045</v>
      </c>
      <c r="ID197" t="s">
        <v>1045</v>
      </c>
      <c r="IF197">
        <v>0</v>
      </c>
      <c r="IG197" t="s">
        <v>1042</v>
      </c>
      <c r="II197" t="s">
        <v>1042</v>
      </c>
      <c r="IR197" t="s">
        <v>1045</v>
      </c>
      <c r="IT197">
        <v>0</v>
      </c>
      <c r="IY197" t="s">
        <v>1044</v>
      </c>
      <c r="IZ197" t="s">
        <v>1043</v>
      </c>
      <c r="JC197" t="s">
        <v>1043</v>
      </c>
      <c r="JE197">
        <v>0</v>
      </c>
      <c r="JF197">
        <v>0</v>
      </c>
      <c r="JI197" t="s">
        <v>1042</v>
      </c>
      <c r="JJ197">
        <v>0</v>
      </c>
      <c r="JK197">
        <v>0</v>
      </c>
      <c r="JL197">
        <v>0</v>
      </c>
      <c r="JM197">
        <v>0</v>
      </c>
      <c r="JQ197" t="s">
        <v>1043</v>
      </c>
      <c r="JT197">
        <v>0</v>
      </c>
      <c r="JU197" t="s">
        <v>1042</v>
      </c>
      <c r="JW197">
        <v>0</v>
      </c>
      <c r="KA197">
        <v>0</v>
      </c>
      <c r="KF197">
        <v>0</v>
      </c>
      <c r="KG197">
        <v>0</v>
      </c>
      <c r="KH197">
        <v>0</v>
      </c>
      <c r="KI197">
        <v>0</v>
      </c>
      <c r="KS197" t="s">
        <v>1073</v>
      </c>
      <c r="KT197">
        <v>0</v>
      </c>
      <c r="KU197">
        <v>0</v>
      </c>
      <c r="KV197">
        <v>0</v>
      </c>
      <c r="KX197">
        <v>0</v>
      </c>
      <c r="KZ197">
        <v>0</v>
      </c>
      <c r="LF197">
        <v>0</v>
      </c>
      <c r="LH197">
        <v>0</v>
      </c>
      <c r="LI197">
        <v>0</v>
      </c>
    </row>
    <row r="198" spans="1:321" x14ac:dyDescent="0.35">
      <c r="A198">
        <v>1</v>
      </c>
      <c r="B198">
        <v>12427</v>
      </c>
      <c r="C198" t="s">
        <v>1499</v>
      </c>
      <c r="D198" t="s">
        <v>1133</v>
      </c>
      <c r="E198" t="s">
        <v>85</v>
      </c>
      <c r="F198">
        <v>80</v>
      </c>
      <c r="G198">
        <v>8800</v>
      </c>
      <c r="H198">
        <v>0</v>
      </c>
      <c r="I198" t="s">
        <v>1498</v>
      </c>
      <c r="L198">
        <v>0</v>
      </c>
      <c r="M198">
        <v>0</v>
      </c>
      <c r="N198">
        <v>0</v>
      </c>
      <c r="R198">
        <v>0</v>
      </c>
      <c r="S198">
        <v>0</v>
      </c>
      <c r="W198" t="s">
        <v>1060</v>
      </c>
      <c r="X198">
        <v>0</v>
      </c>
      <c r="Z198">
        <v>1</v>
      </c>
      <c r="AA198">
        <v>0</v>
      </c>
      <c r="AB198">
        <v>0</v>
      </c>
      <c r="AC198">
        <v>1.4737</v>
      </c>
      <c r="AD198" s="20">
        <v>40777</v>
      </c>
      <c r="AE198">
        <v>1.34</v>
      </c>
      <c r="AF198">
        <v>0</v>
      </c>
      <c r="AH198">
        <v>0</v>
      </c>
      <c r="AJ198">
        <v>0</v>
      </c>
      <c r="AL198">
        <v>0</v>
      </c>
      <c r="AM198">
        <v>0</v>
      </c>
      <c r="AN198">
        <v>16601001</v>
      </c>
      <c r="AO198">
        <v>0</v>
      </c>
      <c r="AP198">
        <v>1000</v>
      </c>
      <c r="AT198">
        <v>0</v>
      </c>
      <c r="AU198" t="s">
        <v>1059</v>
      </c>
      <c r="AW198" t="s">
        <v>1053</v>
      </c>
      <c r="AX198">
        <v>0</v>
      </c>
      <c r="AY198" s="20">
        <v>40792</v>
      </c>
      <c r="BA198" s="20">
        <v>40792</v>
      </c>
      <c r="BB198" t="s">
        <v>1058</v>
      </c>
      <c r="BD198">
        <v>0</v>
      </c>
      <c r="BF198" t="s">
        <v>1043</v>
      </c>
      <c r="BG198" t="s">
        <v>1042</v>
      </c>
      <c r="BH198">
        <v>0</v>
      </c>
      <c r="BI198">
        <v>1</v>
      </c>
      <c r="BJ198">
        <v>0</v>
      </c>
      <c r="BK198">
        <v>0</v>
      </c>
      <c r="BM198" t="s">
        <v>1042</v>
      </c>
      <c r="BN198">
        <v>0</v>
      </c>
      <c r="BR198" t="s">
        <v>1043</v>
      </c>
      <c r="BS198" t="s">
        <v>1043</v>
      </c>
      <c r="BT198" t="s">
        <v>1043</v>
      </c>
      <c r="BW198">
        <v>83</v>
      </c>
      <c r="CA198">
        <v>0</v>
      </c>
      <c r="CB198" t="s">
        <v>1057</v>
      </c>
      <c r="CE198" t="s">
        <v>1043</v>
      </c>
      <c r="CH198" t="s">
        <v>1043</v>
      </c>
      <c r="CN198" t="s">
        <v>1056</v>
      </c>
      <c r="CO198" t="s">
        <v>1043</v>
      </c>
      <c r="CP198">
        <v>1</v>
      </c>
      <c r="CQ198">
        <v>0</v>
      </c>
      <c r="CS198">
        <v>0</v>
      </c>
      <c r="CT198">
        <v>0</v>
      </c>
      <c r="CU198">
        <v>0</v>
      </c>
      <c r="CV198" t="s">
        <v>1045</v>
      </c>
      <c r="CW198">
        <v>0</v>
      </c>
      <c r="CX198">
        <v>0</v>
      </c>
      <c r="CY198">
        <v>0</v>
      </c>
      <c r="CZ198">
        <v>0</v>
      </c>
      <c r="DB198">
        <v>0</v>
      </c>
      <c r="DC198" t="s">
        <v>1043</v>
      </c>
      <c r="DF198" t="s">
        <v>1055</v>
      </c>
      <c r="DH198">
        <v>0</v>
      </c>
      <c r="DJ198">
        <v>0</v>
      </c>
      <c r="DK198" t="s">
        <v>1053</v>
      </c>
      <c r="DL198">
        <v>0</v>
      </c>
      <c r="DN198">
        <v>0</v>
      </c>
      <c r="DO198" t="s">
        <v>1042</v>
      </c>
      <c r="DP198">
        <v>0</v>
      </c>
      <c r="DQ198">
        <v>0</v>
      </c>
      <c r="DS198">
        <v>0</v>
      </c>
      <c r="DU198">
        <v>0</v>
      </c>
      <c r="DW198">
        <v>0</v>
      </c>
      <c r="DX198" t="s">
        <v>1043</v>
      </c>
      <c r="DY198">
        <v>0</v>
      </c>
      <c r="DZ198">
        <v>0</v>
      </c>
      <c r="EA198">
        <v>0</v>
      </c>
      <c r="ED198" t="s">
        <v>1045</v>
      </c>
      <c r="EE198">
        <v>0</v>
      </c>
      <c r="EF198">
        <v>0</v>
      </c>
      <c r="EQ198" t="s">
        <v>1044</v>
      </c>
      <c r="ES198" t="s">
        <v>1053</v>
      </c>
      <c r="ET198">
        <v>0</v>
      </c>
      <c r="EV198">
        <v>0</v>
      </c>
      <c r="EY198" t="s">
        <v>1052</v>
      </c>
      <c r="EZ198">
        <v>0</v>
      </c>
      <c r="FA198" t="s">
        <v>1043</v>
      </c>
      <c r="FB198">
        <v>0</v>
      </c>
      <c r="FC198">
        <v>0</v>
      </c>
      <c r="FE198" t="s">
        <v>1050</v>
      </c>
      <c r="FF198">
        <v>0</v>
      </c>
      <c r="FG198" t="s">
        <v>1050</v>
      </c>
      <c r="FJ198">
        <v>0</v>
      </c>
      <c r="FK198">
        <v>0</v>
      </c>
      <c r="FP198">
        <v>0</v>
      </c>
      <c r="FR198">
        <v>0</v>
      </c>
      <c r="FS198" t="s">
        <v>1043</v>
      </c>
      <c r="FX198" t="s">
        <v>1042</v>
      </c>
      <c r="FZ198" t="s">
        <v>1048</v>
      </c>
      <c r="GA198">
        <v>0</v>
      </c>
      <c r="GB198" t="s">
        <v>1042</v>
      </c>
      <c r="GE198">
        <v>0</v>
      </c>
      <c r="GG198">
        <v>0</v>
      </c>
      <c r="GN198">
        <v>0</v>
      </c>
      <c r="GO198" t="s">
        <v>1063</v>
      </c>
      <c r="GQ198">
        <v>0</v>
      </c>
      <c r="GU198">
        <v>0</v>
      </c>
      <c r="GY198" t="s">
        <v>1045</v>
      </c>
      <c r="HB198">
        <v>0</v>
      </c>
      <c r="HE198">
        <v>0</v>
      </c>
      <c r="HF198">
        <v>0</v>
      </c>
      <c r="HG198">
        <v>0</v>
      </c>
      <c r="HK198" t="s">
        <v>1042</v>
      </c>
      <c r="HM198" t="s">
        <v>1047</v>
      </c>
      <c r="HN198">
        <v>0</v>
      </c>
      <c r="HP198">
        <v>0</v>
      </c>
      <c r="HQ198">
        <v>0</v>
      </c>
      <c r="HR198" t="s">
        <v>1042</v>
      </c>
      <c r="HS198" t="s">
        <v>1043</v>
      </c>
      <c r="HT198">
        <v>0</v>
      </c>
      <c r="HU198">
        <v>0</v>
      </c>
      <c r="HW198">
        <v>0</v>
      </c>
      <c r="HX198">
        <v>0</v>
      </c>
      <c r="HY198">
        <v>0</v>
      </c>
      <c r="HZ198" t="s">
        <v>1045</v>
      </c>
      <c r="IA198">
        <v>0</v>
      </c>
      <c r="IB198" t="s">
        <v>1045</v>
      </c>
      <c r="ID198" t="s">
        <v>1045</v>
      </c>
      <c r="IF198">
        <v>0</v>
      </c>
      <c r="IG198" t="s">
        <v>1042</v>
      </c>
      <c r="II198" t="s">
        <v>1042</v>
      </c>
      <c r="IR198" t="s">
        <v>1045</v>
      </c>
      <c r="IT198">
        <v>0</v>
      </c>
      <c r="IY198" t="s">
        <v>1044</v>
      </c>
      <c r="IZ198" t="s">
        <v>1043</v>
      </c>
      <c r="JC198" t="s">
        <v>1043</v>
      </c>
      <c r="JE198">
        <v>0</v>
      </c>
      <c r="JF198">
        <v>0</v>
      </c>
      <c r="JI198" t="s">
        <v>1042</v>
      </c>
      <c r="JJ198">
        <v>0</v>
      </c>
      <c r="JK198">
        <v>0</v>
      </c>
      <c r="JL198">
        <v>0</v>
      </c>
      <c r="JM198">
        <v>0</v>
      </c>
      <c r="JQ198" t="s">
        <v>1043</v>
      </c>
      <c r="JT198">
        <v>0</v>
      </c>
      <c r="JU198" t="s">
        <v>1042</v>
      </c>
      <c r="JW198">
        <v>0</v>
      </c>
      <c r="KA198">
        <v>0</v>
      </c>
      <c r="KF198">
        <v>0</v>
      </c>
      <c r="KG198">
        <v>0</v>
      </c>
      <c r="KH198">
        <v>0</v>
      </c>
      <c r="KI198">
        <v>0</v>
      </c>
      <c r="KS198" t="s">
        <v>1073</v>
      </c>
      <c r="KT198">
        <v>0</v>
      </c>
      <c r="KU198">
        <v>0</v>
      </c>
      <c r="KV198">
        <v>0</v>
      </c>
      <c r="KX198">
        <v>0</v>
      </c>
      <c r="KZ198">
        <v>0</v>
      </c>
      <c r="LF198">
        <v>0</v>
      </c>
      <c r="LH198">
        <v>0</v>
      </c>
      <c r="LI198">
        <v>0</v>
      </c>
    </row>
    <row r="199" spans="1:321" x14ac:dyDescent="0.35">
      <c r="A199">
        <v>1</v>
      </c>
      <c r="B199">
        <v>12428</v>
      </c>
      <c r="C199" t="s">
        <v>1497</v>
      </c>
      <c r="D199" t="s">
        <v>1139</v>
      </c>
      <c r="E199" t="s">
        <v>85</v>
      </c>
      <c r="F199">
        <v>80</v>
      </c>
      <c r="G199">
        <v>9000</v>
      </c>
      <c r="H199">
        <v>0</v>
      </c>
      <c r="I199" t="s">
        <v>1496</v>
      </c>
      <c r="L199">
        <v>0</v>
      </c>
      <c r="M199">
        <v>0</v>
      </c>
      <c r="N199">
        <v>0</v>
      </c>
      <c r="R199">
        <v>0</v>
      </c>
      <c r="S199">
        <v>0</v>
      </c>
      <c r="W199" t="s">
        <v>1060</v>
      </c>
      <c r="X199">
        <v>0</v>
      </c>
      <c r="Z199">
        <v>1</v>
      </c>
      <c r="AA199">
        <v>0</v>
      </c>
      <c r="AB199">
        <v>0</v>
      </c>
      <c r="AC199">
        <v>2.66</v>
      </c>
      <c r="AD199" s="20">
        <v>40792</v>
      </c>
      <c r="AE199">
        <v>2.41</v>
      </c>
      <c r="AF199">
        <v>0</v>
      </c>
      <c r="AH199">
        <v>0</v>
      </c>
      <c r="AJ199">
        <v>0</v>
      </c>
      <c r="AL199">
        <v>0</v>
      </c>
      <c r="AM199">
        <v>0</v>
      </c>
      <c r="AN199">
        <v>16601001</v>
      </c>
      <c r="AO199">
        <v>0</v>
      </c>
      <c r="AP199">
        <v>1000</v>
      </c>
      <c r="AT199">
        <v>0</v>
      </c>
      <c r="AU199" t="s">
        <v>1059</v>
      </c>
      <c r="AW199" t="s">
        <v>1053</v>
      </c>
      <c r="AX199">
        <v>0</v>
      </c>
      <c r="AY199" s="20">
        <v>40792</v>
      </c>
      <c r="BA199" s="20">
        <v>40792</v>
      </c>
      <c r="BB199" t="s">
        <v>1058</v>
      </c>
      <c r="BD199">
        <v>0</v>
      </c>
      <c r="BF199" t="s">
        <v>1043</v>
      </c>
      <c r="BG199" t="s">
        <v>1042</v>
      </c>
      <c r="BH199">
        <v>0</v>
      </c>
      <c r="BI199">
        <v>1</v>
      </c>
      <c r="BJ199">
        <v>0</v>
      </c>
      <c r="BK199">
        <v>0</v>
      </c>
      <c r="BM199" t="s">
        <v>1042</v>
      </c>
      <c r="BN199">
        <v>0</v>
      </c>
      <c r="BR199" t="s">
        <v>1043</v>
      </c>
      <c r="BS199" t="s">
        <v>1043</v>
      </c>
      <c r="BT199" t="s">
        <v>1043</v>
      </c>
      <c r="BW199">
        <v>83</v>
      </c>
      <c r="CA199">
        <v>0</v>
      </c>
      <c r="CB199" t="s">
        <v>1057</v>
      </c>
      <c r="CE199" t="s">
        <v>1043</v>
      </c>
      <c r="CH199" t="s">
        <v>1043</v>
      </c>
      <c r="CN199" t="s">
        <v>1056</v>
      </c>
      <c r="CO199" t="s">
        <v>1043</v>
      </c>
      <c r="CP199">
        <v>1</v>
      </c>
      <c r="CQ199">
        <v>0</v>
      </c>
      <c r="CS199">
        <v>0</v>
      </c>
      <c r="CT199">
        <v>0</v>
      </c>
      <c r="CU199">
        <v>0</v>
      </c>
      <c r="CV199" t="s">
        <v>1045</v>
      </c>
      <c r="CW199">
        <v>0</v>
      </c>
      <c r="CX199">
        <v>0</v>
      </c>
      <c r="CY199">
        <v>0</v>
      </c>
      <c r="CZ199">
        <v>0</v>
      </c>
      <c r="DB199">
        <v>0</v>
      </c>
      <c r="DC199" t="s">
        <v>1043</v>
      </c>
      <c r="DF199" t="s">
        <v>1055</v>
      </c>
      <c r="DH199">
        <v>0</v>
      </c>
      <c r="DJ199">
        <v>0</v>
      </c>
      <c r="DK199" t="s">
        <v>1053</v>
      </c>
      <c r="DL199">
        <v>0</v>
      </c>
      <c r="DN199">
        <v>0</v>
      </c>
      <c r="DO199" t="s">
        <v>1042</v>
      </c>
      <c r="DP199">
        <v>0</v>
      </c>
      <c r="DQ199">
        <v>0</v>
      </c>
      <c r="DS199">
        <v>0</v>
      </c>
      <c r="DU199">
        <v>0</v>
      </c>
      <c r="DW199">
        <v>0</v>
      </c>
      <c r="DX199" t="s">
        <v>1043</v>
      </c>
      <c r="DY199">
        <v>0</v>
      </c>
      <c r="DZ199">
        <v>0</v>
      </c>
      <c r="EA199">
        <v>0</v>
      </c>
      <c r="ED199" t="s">
        <v>1045</v>
      </c>
      <c r="EE199">
        <v>0</v>
      </c>
      <c r="EF199">
        <v>0</v>
      </c>
      <c r="EQ199" t="s">
        <v>1044</v>
      </c>
      <c r="ES199" t="s">
        <v>1053</v>
      </c>
      <c r="ET199">
        <v>0</v>
      </c>
      <c r="EV199">
        <v>0</v>
      </c>
      <c r="EY199" t="s">
        <v>1052</v>
      </c>
      <c r="EZ199">
        <v>0</v>
      </c>
      <c r="FA199" t="s">
        <v>1043</v>
      </c>
      <c r="FB199">
        <v>0</v>
      </c>
      <c r="FC199">
        <v>0</v>
      </c>
      <c r="FE199" t="s">
        <v>1050</v>
      </c>
      <c r="FF199">
        <v>0</v>
      </c>
      <c r="FG199" t="s">
        <v>1050</v>
      </c>
      <c r="FJ199">
        <v>0</v>
      </c>
      <c r="FK199">
        <v>0</v>
      </c>
      <c r="FP199">
        <v>0</v>
      </c>
      <c r="FR199">
        <v>0</v>
      </c>
      <c r="FS199" t="s">
        <v>1043</v>
      </c>
      <c r="FX199" t="s">
        <v>1042</v>
      </c>
      <c r="FZ199" t="s">
        <v>1048</v>
      </c>
      <c r="GA199">
        <v>0</v>
      </c>
      <c r="GB199" t="s">
        <v>1042</v>
      </c>
      <c r="GE199">
        <v>0</v>
      </c>
      <c r="GG199">
        <v>0</v>
      </c>
      <c r="GN199">
        <v>0</v>
      </c>
      <c r="GO199" t="s">
        <v>1063</v>
      </c>
      <c r="GQ199">
        <v>0</v>
      </c>
      <c r="GU199">
        <v>0</v>
      </c>
      <c r="GY199" t="s">
        <v>1045</v>
      </c>
      <c r="HB199">
        <v>0</v>
      </c>
      <c r="HE199">
        <v>0</v>
      </c>
      <c r="HF199">
        <v>0</v>
      </c>
      <c r="HG199">
        <v>0</v>
      </c>
      <c r="HK199" t="s">
        <v>1042</v>
      </c>
      <c r="HM199" t="s">
        <v>1047</v>
      </c>
      <c r="HN199">
        <v>0</v>
      </c>
      <c r="HP199">
        <v>0</v>
      </c>
      <c r="HQ199">
        <v>0</v>
      </c>
      <c r="HR199" t="s">
        <v>1042</v>
      </c>
      <c r="HS199" t="s">
        <v>1043</v>
      </c>
      <c r="HT199">
        <v>0</v>
      </c>
      <c r="HU199">
        <v>0</v>
      </c>
      <c r="HW199">
        <v>0</v>
      </c>
      <c r="HX199">
        <v>0</v>
      </c>
      <c r="HY199">
        <v>0</v>
      </c>
      <c r="HZ199" t="s">
        <v>1045</v>
      </c>
      <c r="IA199">
        <v>0</v>
      </c>
      <c r="IB199" t="s">
        <v>1045</v>
      </c>
      <c r="ID199" t="s">
        <v>1045</v>
      </c>
      <c r="IF199">
        <v>0</v>
      </c>
      <c r="IG199" t="s">
        <v>1042</v>
      </c>
      <c r="II199" t="s">
        <v>1042</v>
      </c>
      <c r="IR199" t="s">
        <v>1045</v>
      </c>
      <c r="IT199">
        <v>0</v>
      </c>
      <c r="IY199" t="s">
        <v>1044</v>
      </c>
      <c r="IZ199" t="s">
        <v>1043</v>
      </c>
      <c r="JC199" t="s">
        <v>1043</v>
      </c>
      <c r="JE199">
        <v>0</v>
      </c>
      <c r="JF199">
        <v>0</v>
      </c>
      <c r="JI199" t="s">
        <v>1042</v>
      </c>
      <c r="JJ199">
        <v>0</v>
      </c>
      <c r="JK199">
        <v>0</v>
      </c>
      <c r="JL199">
        <v>0</v>
      </c>
      <c r="JM199">
        <v>0</v>
      </c>
      <c r="JQ199" t="s">
        <v>1043</v>
      </c>
      <c r="JT199">
        <v>0</v>
      </c>
      <c r="JU199" t="s">
        <v>1042</v>
      </c>
      <c r="JW199">
        <v>0</v>
      </c>
      <c r="KA199">
        <v>0</v>
      </c>
      <c r="KF199">
        <v>0</v>
      </c>
      <c r="KG199">
        <v>0</v>
      </c>
      <c r="KH199">
        <v>0</v>
      </c>
      <c r="KI199">
        <v>0</v>
      </c>
      <c r="KS199" t="s">
        <v>1073</v>
      </c>
      <c r="KT199">
        <v>0</v>
      </c>
      <c r="KU199">
        <v>0</v>
      </c>
      <c r="KV199">
        <v>0</v>
      </c>
      <c r="KX199">
        <v>0</v>
      </c>
      <c r="KZ199">
        <v>0</v>
      </c>
      <c r="LF199">
        <v>0</v>
      </c>
      <c r="LH199">
        <v>0</v>
      </c>
      <c r="LI199">
        <v>0</v>
      </c>
    </row>
    <row r="200" spans="1:321" x14ac:dyDescent="0.35">
      <c r="A200">
        <v>1</v>
      </c>
      <c r="B200">
        <v>12429</v>
      </c>
      <c r="C200" t="s">
        <v>1495</v>
      </c>
      <c r="D200" t="s">
        <v>1139</v>
      </c>
      <c r="E200" t="s">
        <v>85</v>
      </c>
      <c r="F200">
        <v>80</v>
      </c>
      <c r="G200">
        <v>9000</v>
      </c>
      <c r="H200">
        <v>0</v>
      </c>
      <c r="I200" t="s">
        <v>1493</v>
      </c>
      <c r="L200">
        <v>0</v>
      </c>
      <c r="M200">
        <v>0</v>
      </c>
      <c r="N200">
        <v>0</v>
      </c>
      <c r="R200">
        <v>0</v>
      </c>
      <c r="S200">
        <v>0</v>
      </c>
      <c r="W200" t="s">
        <v>1060</v>
      </c>
      <c r="X200">
        <v>0</v>
      </c>
      <c r="Z200">
        <v>1</v>
      </c>
      <c r="AA200">
        <v>0</v>
      </c>
      <c r="AB200">
        <v>0</v>
      </c>
      <c r="AC200">
        <v>8.69</v>
      </c>
      <c r="AD200" s="20">
        <v>40792</v>
      </c>
      <c r="AE200">
        <v>7.9</v>
      </c>
      <c r="AF200">
        <v>0</v>
      </c>
      <c r="AH200">
        <v>0</v>
      </c>
      <c r="AJ200">
        <v>0</v>
      </c>
      <c r="AL200">
        <v>0</v>
      </c>
      <c r="AM200">
        <v>0</v>
      </c>
      <c r="AN200">
        <v>16601001</v>
      </c>
      <c r="AO200">
        <v>0</v>
      </c>
      <c r="AP200">
        <v>1000</v>
      </c>
      <c r="AT200">
        <v>0</v>
      </c>
      <c r="AU200" t="s">
        <v>1059</v>
      </c>
      <c r="AW200" t="s">
        <v>1053</v>
      </c>
      <c r="AX200">
        <v>0</v>
      </c>
      <c r="AY200" s="20">
        <v>40792</v>
      </c>
      <c r="BA200" s="20">
        <v>40792</v>
      </c>
      <c r="BB200" t="s">
        <v>1058</v>
      </c>
      <c r="BD200">
        <v>0</v>
      </c>
      <c r="BF200" t="s">
        <v>1043</v>
      </c>
      <c r="BG200" t="s">
        <v>1042</v>
      </c>
      <c r="BH200">
        <v>0</v>
      </c>
      <c r="BI200">
        <v>1</v>
      </c>
      <c r="BJ200">
        <v>0</v>
      </c>
      <c r="BK200">
        <v>0</v>
      </c>
      <c r="BM200" t="s">
        <v>1042</v>
      </c>
      <c r="BN200">
        <v>0</v>
      </c>
      <c r="BR200" t="s">
        <v>1043</v>
      </c>
      <c r="BS200" t="s">
        <v>1043</v>
      </c>
      <c r="BT200" t="s">
        <v>1043</v>
      </c>
      <c r="BW200">
        <v>83</v>
      </c>
      <c r="CA200">
        <v>0</v>
      </c>
      <c r="CB200" t="s">
        <v>1057</v>
      </c>
      <c r="CE200" t="s">
        <v>1043</v>
      </c>
      <c r="CH200" t="s">
        <v>1043</v>
      </c>
      <c r="CN200" t="s">
        <v>1056</v>
      </c>
      <c r="CO200" t="s">
        <v>1043</v>
      </c>
      <c r="CP200">
        <v>1</v>
      </c>
      <c r="CQ200">
        <v>0</v>
      </c>
      <c r="CS200">
        <v>0</v>
      </c>
      <c r="CT200">
        <v>0</v>
      </c>
      <c r="CU200">
        <v>0</v>
      </c>
      <c r="CV200" t="s">
        <v>1045</v>
      </c>
      <c r="CW200">
        <v>0</v>
      </c>
      <c r="CX200">
        <v>0</v>
      </c>
      <c r="CY200">
        <v>0</v>
      </c>
      <c r="CZ200">
        <v>0</v>
      </c>
      <c r="DB200">
        <v>0</v>
      </c>
      <c r="DC200" t="s">
        <v>1043</v>
      </c>
      <c r="DF200" t="s">
        <v>1055</v>
      </c>
      <c r="DH200">
        <v>0</v>
      </c>
      <c r="DJ200">
        <v>0</v>
      </c>
      <c r="DK200" t="s">
        <v>1053</v>
      </c>
      <c r="DL200">
        <v>0</v>
      </c>
      <c r="DN200">
        <v>0</v>
      </c>
      <c r="DO200" t="s">
        <v>1042</v>
      </c>
      <c r="DP200">
        <v>0</v>
      </c>
      <c r="DQ200">
        <v>0</v>
      </c>
      <c r="DS200">
        <v>0</v>
      </c>
      <c r="DU200">
        <v>0</v>
      </c>
      <c r="DW200">
        <v>0</v>
      </c>
      <c r="DX200" t="s">
        <v>1043</v>
      </c>
      <c r="DY200">
        <v>0</v>
      </c>
      <c r="DZ200">
        <v>0</v>
      </c>
      <c r="EA200">
        <v>0</v>
      </c>
      <c r="ED200" t="s">
        <v>1045</v>
      </c>
      <c r="EE200">
        <v>0</v>
      </c>
      <c r="EF200">
        <v>0</v>
      </c>
      <c r="EQ200" t="s">
        <v>1044</v>
      </c>
      <c r="ES200" t="s">
        <v>1053</v>
      </c>
      <c r="ET200">
        <v>0</v>
      </c>
      <c r="EV200">
        <v>0</v>
      </c>
      <c r="EY200" t="s">
        <v>1052</v>
      </c>
      <c r="EZ200">
        <v>0</v>
      </c>
      <c r="FA200" t="s">
        <v>1043</v>
      </c>
      <c r="FB200">
        <v>0</v>
      </c>
      <c r="FC200">
        <v>0</v>
      </c>
      <c r="FE200" t="s">
        <v>1050</v>
      </c>
      <c r="FF200">
        <v>0</v>
      </c>
      <c r="FG200" t="s">
        <v>1050</v>
      </c>
      <c r="FJ200">
        <v>0</v>
      </c>
      <c r="FK200">
        <v>0</v>
      </c>
      <c r="FP200">
        <v>0</v>
      </c>
      <c r="FR200">
        <v>0</v>
      </c>
      <c r="FS200" t="s">
        <v>1043</v>
      </c>
      <c r="FX200" t="s">
        <v>1042</v>
      </c>
      <c r="FZ200" t="s">
        <v>1048</v>
      </c>
      <c r="GA200">
        <v>0</v>
      </c>
      <c r="GB200" t="s">
        <v>1042</v>
      </c>
      <c r="GE200">
        <v>0</v>
      </c>
      <c r="GG200">
        <v>0</v>
      </c>
      <c r="GN200">
        <v>0</v>
      </c>
      <c r="GO200" t="s">
        <v>1063</v>
      </c>
      <c r="GQ200">
        <v>0</v>
      </c>
      <c r="GU200">
        <v>0</v>
      </c>
      <c r="GY200" t="s">
        <v>1045</v>
      </c>
      <c r="HB200">
        <v>0</v>
      </c>
      <c r="HE200">
        <v>0</v>
      </c>
      <c r="HF200">
        <v>0</v>
      </c>
      <c r="HG200">
        <v>0</v>
      </c>
      <c r="HK200" t="s">
        <v>1042</v>
      </c>
      <c r="HM200" t="s">
        <v>1047</v>
      </c>
      <c r="HN200">
        <v>0</v>
      </c>
      <c r="HP200">
        <v>0</v>
      </c>
      <c r="HQ200">
        <v>0</v>
      </c>
      <c r="HR200" t="s">
        <v>1042</v>
      </c>
      <c r="HS200" t="s">
        <v>1043</v>
      </c>
      <c r="HT200">
        <v>0</v>
      </c>
      <c r="HU200">
        <v>0</v>
      </c>
      <c r="HW200">
        <v>0</v>
      </c>
      <c r="HX200">
        <v>0</v>
      </c>
      <c r="HY200">
        <v>0</v>
      </c>
      <c r="HZ200" t="s">
        <v>1045</v>
      </c>
      <c r="IA200">
        <v>0</v>
      </c>
      <c r="IB200" t="s">
        <v>1045</v>
      </c>
      <c r="ID200" t="s">
        <v>1045</v>
      </c>
      <c r="IF200">
        <v>0</v>
      </c>
      <c r="IG200" t="s">
        <v>1042</v>
      </c>
      <c r="II200" t="s">
        <v>1042</v>
      </c>
      <c r="IR200" t="s">
        <v>1045</v>
      </c>
      <c r="IT200">
        <v>0</v>
      </c>
      <c r="IY200" t="s">
        <v>1044</v>
      </c>
      <c r="IZ200" t="s">
        <v>1043</v>
      </c>
      <c r="JC200" t="s">
        <v>1043</v>
      </c>
      <c r="JE200">
        <v>0</v>
      </c>
      <c r="JF200">
        <v>0</v>
      </c>
      <c r="JI200" t="s">
        <v>1042</v>
      </c>
      <c r="JJ200">
        <v>0</v>
      </c>
      <c r="JK200">
        <v>0</v>
      </c>
      <c r="JL200">
        <v>0</v>
      </c>
      <c r="JM200">
        <v>0</v>
      </c>
      <c r="JQ200" t="s">
        <v>1043</v>
      </c>
      <c r="JT200">
        <v>0</v>
      </c>
      <c r="JU200" t="s">
        <v>1042</v>
      </c>
      <c r="JW200">
        <v>0</v>
      </c>
      <c r="KA200">
        <v>0</v>
      </c>
      <c r="KF200">
        <v>0</v>
      </c>
      <c r="KG200">
        <v>0</v>
      </c>
      <c r="KH200">
        <v>0</v>
      </c>
      <c r="KI200">
        <v>0</v>
      </c>
      <c r="KS200" t="s">
        <v>1073</v>
      </c>
      <c r="KT200">
        <v>0</v>
      </c>
      <c r="KU200">
        <v>0</v>
      </c>
      <c r="KV200">
        <v>0</v>
      </c>
      <c r="KX200">
        <v>0</v>
      </c>
      <c r="KZ200">
        <v>0</v>
      </c>
      <c r="LF200">
        <v>0</v>
      </c>
      <c r="LH200">
        <v>0</v>
      </c>
      <c r="LI200">
        <v>0</v>
      </c>
    </row>
    <row r="201" spans="1:321" x14ac:dyDescent="0.35">
      <c r="A201">
        <v>1</v>
      </c>
      <c r="B201">
        <v>12430</v>
      </c>
      <c r="C201" t="s">
        <v>1494</v>
      </c>
      <c r="D201" t="s">
        <v>1139</v>
      </c>
      <c r="E201" t="s">
        <v>85</v>
      </c>
      <c r="F201">
        <v>80</v>
      </c>
      <c r="G201">
        <v>9000</v>
      </c>
      <c r="H201">
        <v>0</v>
      </c>
      <c r="I201" t="s">
        <v>1493</v>
      </c>
      <c r="L201">
        <v>0</v>
      </c>
      <c r="M201">
        <v>0</v>
      </c>
      <c r="N201">
        <v>0</v>
      </c>
      <c r="R201">
        <v>0</v>
      </c>
      <c r="S201">
        <v>0</v>
      </c>
      <c r="W201" t="s">
        <v>1060</v>
      </c>
      <c r="X201">
        <v>0</v>
      </c>
      <c r="Z201">
        <v>1</v>
      </c>
      <c r="AA201">
        <v>0</v>
      </c>
      <c r="AB201">
        <v>0</v>
      </c>
      <c r="AC201">
        <v>1.5173000000000001</v>
      </c>
      <c r="AD201" s="20">
        <v>40792</v>
      </c>
      <c r="AE201">
        <v>0</v>
      </c>
      <c r="AF201">
        <v>0</v>
      </c>
      <c r="AH201">
        <v>0</v>
      </c>
      <c r="AJ201">
        <v>0</v>
      </c>
      <c r="AL201">
        <v>0</v>
      </c>
      <c r="AM201">
        <v>0</v>
      </c>
      <c r="AN201">
        <v>16601001</v>
      </c>
      <c r="AO201">
        <v>0</v>
      </c>
      <c r="AP201">
        <v>1000</v>
      </c>
      <c r="AT201">
        <v>0</v>
      </c>
      <c r="AU201" t="s">
        <v>1059</v>
      </c>
      <c r="AW201" t="s">
        <v>1053</v>
      </c>
      <c r="AX201">
        <v>0</v>
      </c>
      <c r="AY201" s="20">
        <v>40792</v>
      </c>
      <c r="BA201" s="20">
        <v>40792</v>
      </c>
      <c r="BB201" t="s">
        <v>1058</v>
      </c>
      <c r="BD201">
        <v>0</v>
      </c>
      <c r="BF201" t="s">
        <v>1043</v>
      </c>
      <c r="BG201" t="s">
        <v>1042</v>
      </c>
      <c r="BH201">
        <v>0</v>
      </c>
      <c r="BI201">
        <v>1</v>
      </c>
      <c r="BJ201">
        <v>0</v>
      </c>
      <c r="BK201">
        <v>0</v>
      </c>
      <c r="BM201" t="s">
        <v>1042</v>
      </c>
      <c r="BN201">
        <v>0</v>
      </c>
      <c r="BR201" t="s">
        <v>1043</v>
      </c>
      <c r="BS201" t="s">
        <v>1043</v>
      </c>
      <c r="BT201" t="s">
        <v>1043</v>
      </c>
      <c r="BW201">
        <v>83</v>
      </c>
      <c r="CA201">
        <v>0</v>
      </c>
      <c r="CB201" t="s">
        <v>1057</v>
      </c>
      <c r="CE201" t="s">
        <v>1043</v>
      </c>
      <c r="CH201" t="s">
        <v>1043</v>
      </c>
      <c r="CN201" t="s">
        <v>1056</v>
      </c>
      <c r="CO201" t="s">
        <v>1043</v>
      </c>
      <c r="CP201">
        <v>1</v>
      </c>
      <c r="CQ201">
        <v>0</v>
      </c>
      <c r="CS201">
        <v>0</v>
      </c>
      <c r="CT201">
        <v>0</v>
      </c>
      <c r="CU201">
        <v>0</v>
      </c>
      <c r="CV201" t="s">
        <v>1045</v>
      </c>
      <c r="CW201">
        <v>0</v>
      </c>
      <c r="CX201">
        <v>0</v>
      </c>
      <c r="CY201">
        <v>0</v>
      </c>
      <c r="CZ201">
        <v>0</v>
      </c>
      <c r="DB201">
        <v>0</v>
      </c>
      <c r="DC201" t="s">
        <v>1043</v>
      </c>
      <c r="DF201" t="s">
        <v>1055</v>
      </c>
      <c r="DH201">
        <v>0</v>
      </c>
      <c r="DJ201">
        <v>0</v>
      </c>
      <c r="DK201" t="s">
        <v>1053</v>
      </c>
      <c r="DL201">
        <v>0</v>
      </c>
      <c r="DN201">
        <v>0</v>
      </c>
      <c r="DO201" t="s">
        <v>1042</v>
      </c>
      <c r="DP201">
        <v>0</v>
      </c>
      <c r="DQ201">
        <v>0</v>
      </c>
      <c r="DS201">
        <v>0</v>
      </c>
      <c r="DU201">
        <v>0</v>
      </c>
      <c r="DW201">
        <v>0</v>
      </c>
      <c r="DX201" t="s">
        <v>1043</v>
      </c>
      <c r="DY201">
        <v>0</v>
      </c>
      <c r="DZ201">
        <v>0</v>
      </c>
      <c r="EA201">
        <v>0</v>
      </c>
      <c r="ED201" t="s">
        <v>1045</v>
      </c>
      <c r="EE201">
        <v>0</v>
      </c>
      <c r="EF201">
        <v>0</v>
      </c>
      <c r="EQ201" t="s">
        <v>1044</v>
      </c>
      <c r="ES201" t="s">
        <v>1053</v>
      </c>
      <c r="ET201">
        <v>0</v>
      </c>
      <c r="EV201">
        <v>0</v>
      </c>
      <c r="EY201" t="s">
        <v>1052</v>
      </c>
      <c r="EZ201">
        <v>0</v>
      </c>
      <c r="FA201" t="s">
        <v>1043</v>
      </c>
      <c r="FB201">
        <v>0</v>
      </c>
      <c r="FC201">
        <v>0</v>
      </c>
      <c r="FE201" t="s">
        <v>1050</v>
      </c>
      <c r="FF201">
        <v>0</v>
      </c>
      <c r="FG201" t="s">
        <v>1050</v>
      </c>
      <c r="FJ201">
        <v>0</v>
      </c>
      <c r="FK201">
        <v>0</v>
      </c>
      <c r="FP201">
        <v>0</v>
      </c>
      <c r="FR201">
        <v>0</v>
      </c>
      <c r="FS201" t="s">
        <v>1043</v>
      </c>
      <c r="FX201" t="s">
        <v>1042</v>
      </c>
      <c r="FZ201" t="s">
        <v>1048</v>
      </c>
      <c r="GA201">
        <v>0</v>
      </c>
      <c r="GB201" t="s">
        <v>1042</v>
      </c>
      <c r="GE201">
        <v>0</v>
      </c>
      <c r="GG201">
        <v>0</v>
      </c>
      <c r="GN201">
        <v>0</v>
      </c>
      <c r="GO201" t="s">
        <v>1063</v>
      </c>
      <c r="GQ201">
        <v>0</v>
      </c>
      <c r="GU201">
        <v>0</v>
      </c>
      <c r="GY201" t="s">
        <v>1045</v>
      </c>
      <c r="HB201">
        <v>0</v>
      </c>
      <c r="HE201">
        <v>0</v>
      </c>
      <c r="HF201">
        <v>0</v>
      </c>
      <c r="HG201">
        <v>0</v>
      </c>
      <c r="HK201" t="s">
        <v>1042</v>
      </c>
      <c r="HM201" t="s">
        <v>1047</v>
      </c>
      <c r="HN201">
        <v>0</v>
      </c>
      <c r="HP201">
        <v>0</v>
      </c>
      <c r="HQ201">
        <v>0</v>
      </c>
      <c r="HR201" t="s">
        <v>1042</v>
      </c>
      <c r="HS201" t="s">
        <v>1043</v>
      </c>
      <c r="HT201">
        <v>0</v>
      </c>
      <c r="HU201">
        <v>0</v>
      </c>
      <c r="HW201">
        <v>0</v>
      </c>
      <c r="HX201">
        <v>0</v>
      </c>
      <c r="HY201">
        <v>0</v>
      </c>
      <c r="HZ201" t="s">
        <v>1045</v>
      </c>
      <c r="IA201">
        <v>0</v>
      </c>
      <c r="IB201" t="s">
        <v>1045</v>
      </c>
      <c r="ID201" t="s">
        <v>1045</v>
      </c>
      <c r="IF201">
        <v>0</v>
      </c>
      <c r="IG201" t="s">
        <v>1042</v>
      </c>
      <c r="II201" t="s">
        <v>1042</v>
      </c>
      <c r="IR201" t="s">
        <v>1045</v>
      </c>
      <c r="IT201">
        <v>0</v>
      </c>
      <c r="IY201" t="s">
        <v>1044</v>
      </c>
      <c r="IZ201" t="s">
        <v>1043</v>
      </c>
      <c r="JC201" t="s">
        <v>1043</v>
      </c>
      <c r="JE201">
        <v>0</v>
      </c>
      <c r="JF201">
        <v>0</v>
      </c>
      <c r="JI201" t="s">
        <v>1042</v>
      </c>
      <c r="JJ201">
        <v>0</v>
      </c>
      <c r="JK201">
        <v>0</v>
      </c>
      <c r="JL201">
        <v>0</v>
      </c>
      <c r="JM201">
        <v>0</v>
      </c>
      <c r="JQ201" t="s">
        <v>1043</v>
      </c>
      <c r="JT201">
        <v>0</v>
      </c>
      <c r="JU201" t="s">
        <v>1042</v>
      </c>
      <c r="JW201">
        <v>0</v>
      </c>
      <c r="KA201">
        <v>0</v>
      </c>
      <c r="KF201">
        <v>0</v>
      </c>
      <c r="KG201">
        <v>0</v>
      </c>
      <c r="KH201">
        <v>0</v>
      </c>
      <c r="KI201">
        <v>0</v>
      </c>
      <c r="KS201" t="s">
        <v>1073</v>
      </c>
      <c r="KT201">
        <v>0</v>
      </c>
      <c r="KU201">
        <v>0</v>
      </c>
      <c r="KV201">
        <v>0</v>
      </c>
      <c r="KX201">
        <v>0</v>
      </c>
      <c r="KZ201">
        <v>0</v>
      </c>
      <c r="LF201">
        <v>0</v>
      </c>
      <c r="LH201">
        <v>0</v>
      </c>
      <c r="LI201">
        <v>0</v>
      </c>
    </row>
    <row r="202" spans="1:321" x14ac:dyDescent="0.35">
      <c r="A202">
        <v>1</v>
      </c>
      <c r="B202">
        <v>12431</v>
      </c>
      <c r="C202" t="s">
        <v>1492</v>
      </c>
      <c r="D202" t="s">
        <v>1139</v>
      </c>
      <c r="E202" t="s">
        <v>85</v>
      </c>
      <c r="F202">
        <v>80</v>
      </c>
      <c r="G202">
        <v>9000</v>
      </c>
      <c r="H202">
        <v>0</v>
      </c>
      <c r="I202" t="s">
        <v>1327</v>
      </c>
      <c r="L202">
        <v>0</v>
      </c>
      <c r="M202">
        <v>0</v>
      </c>
      <c r="N202">
        <v>0</v>
      </c>
      <c r="R202">
        <v>0</v>
      </c>
      <c r="S202">
        <v>0</v>
      </c>
      <c r="W202" t="s">
        <v>1060</v>
      </c>
      <c r="X202">
        <v>0</v>
      </c>
      <c r="Z202">
        <v>1</v>
      </c>
      <c r="AA202">
        <v>0</v>
      </c>
      <c r="AB202">
        <v>0</v>
      </c>
      <c r="AC202">
        <v>31.899100000000001</v>
      </c>
      <c r="AD202" s="20">
        <v>40792</v>
      </c>
      <c r="AE202">
        <v>29</v>
      </c>
      <c r="AF202">
        <v>0</v>
      </c>
      <c r="AH202">
        <v>0</v>
      </c>
      <c r="AJ202">
        <v>0</v>
      </c>
      <c r="AL202">
        <v>0</v>
      </c>
      <c r="AM202">
        <v>0</v>
      </c>
      <c r="AN202">
        <v>16601001</v>
      </c>
      <c r="AO202">
        <v>0</v>
      </c>
      <c r="AP202">
        <v>1000</v>
      </c>
      <c r="AT202">
        <v>0</v>
      </c>
      <c r="AU202" t="s">
        <v>1059</v>
      </c>
      <c r="AW202" t="s">
        <v>1053</v>
      </c>
      <c r="AX202">
        <v>0</v>
      </c>
      <c r="AY202" s="20">
        <v>40792</v>
      </c>
      <c r="BA202" s="20">
        <v>40792</v>
      </c>
      <c r="BB202" t="s">
        <v>1058</v>
      </c>
      <c r="BD202">
        <v>0</v>
      </c>
      <c r="BF202" t="s">
        <v>1043</v>
      </c>
      <c r="BG202" t="s">
        <v>1042</v>
      </c>
      <c r="BH202">
        <v>0</v>
      </c>
      <c r="BI202">
        <v>1</v>
      </c>
      <c r="BJ202">
        <v>0</v>
      </c>
      <c r="BK202">
        <v>0</v>
      </c>
      <c r="BM202" t="s">
        <v>1042</v>
      </c>
      <c r="BN202">
        <v>0</v>
      </c>
      <c r="BR202" t="s">
        <v>1043</v>
      </c>
      <c r="BS202" t="s">
        <v>1043</v>
      </c>
      <c r="BT202" t="s">
        <v>1043</v>
      </c>
      <c r="BW202">
        <v>83</v>
      </c>
      <c r="CA202">
        <v>0</v>
      </c>
      <c r="CB202" t="s">
        <v>1057</v>
      </c>
      <c r="CE202" t="s">
        <v>1043</v>
      </c>
      <c r="CH202" t="s">
        <v>1043</v>
      </c>
      <c r="CN202" t="s">
        <v>1056</v>
      </c>
      <c r="CO202" t="s">
        <v>1043</v>
      </c>
      <c r="CP202">
        <v>1</v>
      </c>
      <c r="CQ202">
        <v>0</v>
      </c>
      <c r="CS202">
        <v>0</v>
      </c>
      <c r="CT202">
        <v>0</v>
      </c>
      <c r="CU202">
        <v>0</v>
      </c>
      <c r="CV202" t="s">
        <v>1045</v>
      </c>
      <c r="CW202">
        <v>0</v>
      </c>
      <c r="CX202">
        <v>0</v>
      </c>
      <c r="CY202">
        <v>0</v>
      </c>
      <c r="CZ202">
        <v>0</v>
      </c>
      <c r="DB202">
        <v>0</v>
      </c>
      <c r="DC202" t="s">
        <v>1043</v>
      </c>
      <c r="DF202" t="s">
        <v>1055</v>
      </c>
      <c r="DH202">
        <v>0</v>
      </c>
      <c r="DJ202">
        <v>0</v>
      </c>
      <c r="DK202" t="s">
        <v>1053</v>
      </c>
      <c r="DL202">
        <v>0</v>
      </c>
      <c r="DN202">
        <v>0</v>
      </c>
      <c r="DO202" t="s">
        <v>1042</v>
      </c>
      <c r="DP202">
        <v>0</v>
      </c>
      <c r="DQ202">
        <v>0</v>
      </c>
      <c r="DS202">
        <v>0</v>
      </c>
      <c r="DU202">
        <v>0</v>
      </c>
      <c r="DW202">
        <v>0</v>
      </c>
      <c r="DX202" t="s">
        <v>1043</v>
      </c>
      <c r="DY202">
        <v>0</v>
      </c>
      <c r="DZ202">
        <v>0</v>
      </c>
      <c r="EA202">
        <v>0</v>
      </c>
      <c r="ED202" t="s">
        <v>1045</v>
      </c>
      <c r="EE202">
        <v>0</v>
      </c>
      <c r="EF202">
        <v>0</v>
      </c>
      <c r="EQ202" t="s">
        <v>1044</v>
      </c>
      <c r="ES202" t="s">
        <v>1053</v>
      </c>
      <c r="ET202">
        <v>0</v>
      </c>
      <c r="EV202">
        <v>0</v>
      </c>
      <c r="EY202" t="s">
        <v>1052</v>
      </c>
      <c r="EZ202">
        <v>0</v>
      </c>
      <c r="FA202" t="s">
        <v>1043</v>
      </c>
      <c r="FB202">
        <v>0</v>
      </c>
      <c r="FC202">
        <v>0</v>
      </c>
      <c r="FE202" t="s">
        <v>1050</v>
      </c>
      <c r="FF202">
        <v>0</v>
      </c>
      <c r="FG202" t="s">
        <v>1050</v>
      </c>
      <c r="FJ202">
        <v>0</v>
      </c>
      <c r="FK202">
        <v>0</v>
      </c>
      <c r="FP202">
        <v>0</v>
      </c>
      <c r="FR202">
        <v>0</v>
      </c>
      <c r="FS202" t="s">
        <v>1043</v>
      </c>
      <c r="FX202" t="s">
        <v>1042</v>
      </c>
      <c r="FZ202" t="s">
        <v>1048</v>
      </c>
      <c r="GA202">
        <v>0</v>
      </c>
      <c r="GB202" t="s">
        <v>1042</v>
      </c>
      <c r="GE202">
        <v>0</v>
      </c>
      <c r="GG202">
        <v>0</v>
      </c>
      <c r="GN202">
        <v>0</v>
      </c>
      <c r="GO202" t="s">
        <v>1063</v>
      </c>
      <c r="GQ202">
        <v>0</v>
      </c>
      <c r="GU202">
        <v>0</v>
      </c>
      <c r="GY202" t="s">
        <v>1045</v>
      </c>
      <c r="HB202">
        <v>0</v>
      </c>
      <c r="HE202">
        <v>0</v>
      </c>
      <c r="HF202">
        <v>0</v>
      </c>
      <c r="HG202">
        <v>0</v>
      </c>
      <c r="HK202" t="s">
        <v>1042</v>
      </c>
      <c r="HM202" t="s">
        <v>1047</v>
      </c>
      <c r="HN202">
        <v>0</v>
      </c>
      <c r="HP202">
        <v>0</v>
      </c>
      <c r="HQ202">
        <v>0</v>
      </c>
      <c r="HR202" t="s">
        <v>1042</v>
      </c>
      <c r="HS202" t="s">
        <v>1043</v>
      </c>
      <c r="HT202">
        <v>0</v>
      </c>
      <c r="HU202">
        <v>0</v>
      </c>
      <c r="HW202">
        <v>0</v>
      </c>
      <c r="HX202">
        <v>0</v>
      </c>
      <c r="HY202">
        <v>0</v>
      </c>
      <c r="HZ202" t="s">
        <v>1045</v>
      </c>
      <c r="IA202">
        <v>0</v>
      </c>
      <c r="IB202" t="s">
        <v>1045</v>
      </c>
      <c r="ID202" t="s">
        <v>1045</v>
      </c>
      <c r="IF202">
        <v>0</v>
      </c>
      <c r="IG202" t="s">
        <v>1042</v>
      </c>
      <c r="II202" t="s">
        <v>1042</v>
      </c>
      <c r="IR202" t="s">
        <v>1045</v>
      </c>
      <c r="IT202">
        <v>0</v>
      </c>
      <c r="IY202" t="s">
        <v>1044</v>
      </c>
      <c r="IZ202" t="s">
        <v>1043</v>
      </c>
      <c r="JC202" t="s">
        <v>1043</v>
      </c>
      <c r="JE202">
        <v>0</v>
      </c>
      <c r="JF202">
        <v>0</v>
      </c>
      <c r="JI202" t="s">
        <v>1042</v>
      </c>
      <c r="JJ202">
        <v>0</v>
      </c>
      <c r="JK202">
        <v>0</v>
      </c>
      <c r="JL202">
        <v>0</v>
      </c>
      <c r="JM202">
        <v>0</v>
      </c>
      <c r="JQ202" t="s">
        <v>1043</v>
      </c>
      <c r="JT202">
        <v>0</v>
      </c>
      <c r="JU202" t="s">
        <v>1042</v>
      </c>
      <c r="JW202">
        <v>0</v>
      </c>
      <c r="KA202">
        <v>0</v>
      </c>
      <c r="KF202">
        <v>0</v>
      </c>
      <c r="KG202">
        <v>0</v>
      </c>
      <c r="KH202">
        <v>0</v>
      </c>
      <c r="KI202">
        <v>0</v>
      </c>
      <c r="KS202" t="s">
        <v>1073</v>
      </c>
      <c r="KT202">
        <v>0</v>
      </c>
      <c r="KU202">
        <v>0</v>
      </c>
      <c r="KV202">
        <v>0</v>
      </c>
      <c r="KX202">
        <v>0</v>
      </c>
      <c r="KZ202">
        <v>0</v>
      </c>
      <c r="LF202">
        <v>0</v>
      </c>
      <c r="LH202">
        <v>0</v>
      </c>
      <c r="LI202">
        <v>0</v>
      </c>
    </row>
    <row r="203" spans="1:321" x14ac:dyDescent="0.35">
      <c r="A203">
        <v>1</v>
      </c>
      <c r="B203">
        <v>12432</v>
      </c>
      <c r="C203" t="s">
        <v>1491</v>
      </c>
      <c r="D203" t="s">
        <v>1139</v>
      </c>
      <c r="E203" t="s">
        <v>85</v>
      </c>
      <c r="F203">
        <v>80</v>
      </c>
      <c r="G203">
        <v>9000</v>
      </c>
      <c r="H203">
        <v>0</v>
      </c>
      <c r="I203" t="s">
        <v>1323</v>
      </c>
      <c r="L203">
        <v>0</v>
      </c>
      <c r="M203">
        <v>0</v>
      </c>
      <c r="N203">
        <v>0</v>
      </c>
      <c r="R203">
        <v>0</v>
      </c>
      <c r="S203">
        <v>0</v>
      </c>
      <c r="W203" t="s">
        <v>1060</v>
      </c>
      <c r="X203">
        <v>0</v>
      </c>
      <c r="Z203">
        <v>1</v>
      </c>
      <c r="AA203">
        <v>0</v>
      </c>
      <c r="AB203">
        <v>0</v>
      </c>
      <c r="AC203">
        <v>5.3996000000000004</v>
      </c>
      <c r="AD203" s="20">
        <v>40792</v>
      </c>
      <c r="AE203">
        <v>2.8</v>
      </c>
      <c r="AF203">
        <v>0</v>
      </c>
      <c r="AH203">
        <v>0</v>
      </c>
      <c r="AJ203">
        <v>0</v>
      </c>
      <c r="AL203">
        <v>0</v>
      </c>
      <c r="AM203">
        <v>0</v>
      </c>
      <c r="AN203">
        <v>16601001</v>
      </c>
      <c r="AO203">
        <v>0</v>
      </c>
      <c r="AP203">
        <v>1000</v>
      </c>
      <c r="AT203">
        <v>0</v>
      </c>
      <c r="AU203" t="s">
        <v>1059</v>
      </c>
      <c r="AW203" t="s">
        <v>1053</v>
      </c>
      <c r="AX203">
        <v>0</v>
      </c>
      <c r="AY203" s="20">
        <v>40792</v>
      </c>
      <c r="BA203" s="20">
        <v>40792</v>
      </c>
      <c r="BB203" t="s">
        <v>1058</v>
      </c>
      <c r="BD203">
        <v>0</v>
      </c>
      <c r="BF203" t="s">
        <v>1043</v>
      </c>
      <c r="BG203" t="s">
        <v>1042</v>
      </c>
      <c r="BH203">
        <v>0</v>
      </c>
      <c r="BI203">
        <v>1</v>
      </c>
      <c r="BJ203">
        <v>0</v>
      </c>
      <c r="BK203">
        <v>0</v>
      </c>
      <c r="BM203" t="s">
        <v>1042</v>
      </c>
      <c r="BN203">
        <v>0</v>
      </c>
      <c r="BR203" t="s">
        <v>1043</v>
      </c>
      <c r="BS203" t="s">
        <v>1043</v>
      </c>
      <c r="BT203" t="s">
        <v>1043</v>
      </c>
      <c r="BW203">
        <v>83</v>
      </c>
      <c r="CA203">
        <v>0</v>
      </c>
      <c r="CB203" t="s">
        <v>1057</v>
      </c>
      <c r="CE203" t="s">
        <v>1043</v>
      </c>
      <c r="CH203" t="s">
        <v>1043</v>
      </c>
      <c r="CN203" t="s">
        <v>1056</v>
      </c>
      <c r="CO203" t="s">
        <v>1043</v>
      </c>
      <c r="CP203">
        <v>1</v>
      </c>
      <c r="CQ203">
        <v>0</v>
      </c>
      <c r="CS203">
        <v>0</v>
      </c>
      <c r="CT203">
        <v>0</v>
      </c>
      <c r="CU203">
        <v>0</v>
      </c>
      <c r="CV203" t="s">
        <v>1045</v>
      </c>
      <c r="CW203">
        <v>0</v>
      </c>
      <c r="CX203">
        <v>0</v>
      </c>
      <c r="CY203">
        <v>0</v>
      </c>
      <c r="CZ203">
        <v>0</v>
      </c>
      <c r="DB203">
        <v>0</v>
      </c>
      <c r="DC203" t="s">
        <v>1043</v>
      </c>
      <c r="DF203" t="s">
        <v>1055</v>
      </c>
      <c r="DH203">
        <v>0</v>
      </c>
      <c r="DJ203">
        <v>0</v>
      </c>
      <c r="DK203" t="s">
        <v>1053</v>
      </c>
      <c r="DL203">
        <v>0</v>
      </c>
      <c r="DN203">
        <v>0</v>
      </c>
      <c r="DO203" t="s">
        <v>1042</v>
      </c>
      <c r="DP203">
        <v>0</v>
      </c>
      <c r="DQ203">
        <v>0</v>
      </c>
      <c r="DS203">
        <v>0</v>
      </c>
      <c r="DU203">
        <v>0</v>
      </c>
      <c r="DW203">
        <v>0</v>
      </c>
      <c r="DX203" t="s">
        <v>1043</v>
      </c>
      <c r="DY203">
        <v>0</v>
      </c>
      <c r="DZ203">
        <v>0</v>
      </c>
      <c r="EA203">
        <v>0</v>
      </c>
      <c r="ED203" t="s">
        <v>1045</v>
      </c>
      <c r="EE203">
        <v>0</v>
      </c>
      <c r="EF203">
        <v>0</v>
      </c>
      <c r="EQ203" t="s">
        <v>1044</v>
      </c>
      <c r="ES203" t="s">
        <v>1053</v>
      </c>
      <c r="ET203">
        <v>0</v>
      </c>
      <c r="EV203">
        <v>0</v>
      </c>
      <c r="EY203" t="s">
        <v>1052</v>
      </c>
      <c r="EZ203">
        <v>0</v>
      </c>
      <c r="FA203" t="s">
        <v>1043</v>
      </c>
      <c r="FB203">
        <v>0</v>
      </c>
      <c r="FC203">
        <v>0</v>
      </c>
      <c r="FE203" t="s">
        <v>1050</v>
      </c>
      <c r="FF203">
        <v>0</v>
      </c>
      <c r="FG203" t="s">
        <v>1050</v>
      </c>
      <c r="FJ203">
        <v>0</v>
      </c>
      <c r="FK203">
        <v>0</v>
      </c>
      <c r="FP203">
        <v>0</v>
      </c>
      <c r="FR203">
        <v>0</v>
      </c>
      <c r="FS203" t="s">
        <v>1043</v>
      </c>
      <c r="FX203" t="s">
        <v>1042</v>
      </c>
      <c r="FZ203" t="s">
        <v>1048</v>
      </c>
      <c r="GA203">
        <v>0</v>
      </c>
      <c r="GB203" t="s">
        <v>1042</v>
      </c>
      <c r="GE203">
        <v>0</v>
      </c>
      <c r="GG203">
        <v>0</v>
      </c>
      <c r="GN203">
        <v>0</v>
      </c>
      <c r="GO203" t="s">
        <v>1063</v>
      </c>
      <c r="GQ203">
        <v>0</v>
      </c>
      <c r="GU203">
        <v>0</v>
      </c>
      <c r="GY203" t="s">
        <v>1045</v>
      </c>
      <c r="HB203">
        <v>0</v>
      </c>
      <c r="HE203">
        <v>0</v>
      </c>
      <c r="HF203">
        <v>0</v>
      </c>
      <c r="HG203">
        <v>0</v>
      </c>
      <c r="HK203" t="s">
        <v>1042</v>
      </c>
      <c r="HM203" t="s">
        <v>1047</v>
      </c>
      <c r="HN203">
        <v>0</v>
      </c>
      <c r="HP203">
        <v>0</v>
      </c>
      <c r="HQ203">
        <v>0</v>
      </c>
      <c r="HR203" t="s">
        <v>1042</v>
      </c>
      <c r="HS203" t="s">
        <v>1043</v>
      </c>
      <c r="HT203">
        <v>0</v>
      </c>
      <c r="HU203">
        <v>0</v>
      </c>
      <c r="HW203">
        <v>0</v>
      </c>
      <c r="HX203">
        <v>0</v>
      </c>
      <c r="HY203">
        <v>0</v>
      </c>
      <c r="HZ203" t="s">
        <v>1045</v>
      </c>
      <c r="IA203">
        <v>0</v>
      </c>
      <c r="IB203" t="s">
        <v>1045</v>
      </c>
      <c r="ID203" t="s">
        <v>1045</v>
      </c>
      <c r="IF203">
        <v>0</v>
      </c>
      <c r="IG203" t="s">
        <v>1042</v>
      </c>
      <c r="II203" t="s">
        <v>1042</v>
      </c>
      <c r="IR203" t="s">
        <v>1045</v>
      </c>
      <c r="IT203">
        <v>0</v>
      </c>
      <c r="IY203" t="s">
        <v>1044</v>
      </c>
      <c r="IZ203" t="s">
        <v>1043</v>
      </c>
      <c r="JC203" t="s">
        <v>1043</v>
      </c>
      <c r="JE203">
        <v>0</v>
      </c>
      <c r="JF203">
        <v>0</v>
      </c>
      <c r="JI203" t="s">
        <v>1042</v>
      </c>
      <c r="JJ203">
        <v>0</v>
      </c>
      <c r="JK203">
        <v>0</v>
      </c>
      <c r="JL203">
        <v>0</v>
      </c>
      <c r="JM203">
        <v>0</v>
      </c>
      <c r="JQ203" t="s">
        <v>1043</v>
      </c>
      <c r="JT203">
        <v>0</v>
      </c>
      <c r="JU203" t="s">
        <v>1042</v>
      </c>
      <c r="JW203">
        <v>0</v>
      </c>
      <c r="KA203">
        <v>0</v>
      </c>
      <c r="KF203">
        <v>0</v>
      </c>
      <c r="KG203">
        <v>0</v>
      </c>
      <c r="KH203">
        <v>0</v>
      </c>
      <c r="KI203">
        <v>0</v>
      </c>
      <c r="KS203" t="s">
        <v>1073</v>
      </c>
      <c r="KT203">
        <v>0</v>
      </c>
      <c r="KU203">
        <v>0</v>
      </c>
      <c r="KV203">
        <v>0</v>
      </c>
      <c r="KX203">
        <v>0</v>
      </c>
      <c r="KZ203">
        <v>0</v>
      </c>
      <c r="LF203">
        <v>0</v>
      </c>
      <c r="LH203">
        <v>0</v>
      </c>
      <c r="LI203">
        <v>0</v>
      </c>
    </row>
    <row r="204" spans="1:321" x14ac:dyDescent="0.35">
      <c r="A204">
        <v>1</v>
      </c>
      <c r="B204">
        <v>12433</v>
      </c>
      <c r="C204" t="s">
        <v>1490</v>
      </c>
      <c r="D204" t="s">
        <v>1139</v>
      </c>
      <c r="E204" t="s">
        <v>85</v>
      </c>
      <c r="F204">
        <v>80</v>
      </c>
      <c r="G204">
        <v>9000</v>
      </c>
      <c r="H204">
        <v>0</v>
      </c>
      <c r="I204" t="s">
        <v>1323</v>
      </c>
      <c r="L204">
        <v>0</v>
      </c>
      <c r="M204">
        <v>0</v>
      </c>
      <c r="N204">
        <v>0</v>
      </c>
      <c r="R204">
        <v>0</v>
      </c>
      <c r="S204">
        <v>0</v>
      </c>
      <c r="W204" t="s">
        <v>1060</v>
      </c>
      <c r="X204">
        <v>0</v>
      </c>
      <c r="Z204">
        <v>1</v>
      </c>
      <c r="AA204">
        <v>0</v>
      </c>
      <c r="AB204">
        <v>0</v>
      </c>
      <c r="AC204">
        <v>3.3</v>
      </c>
      <c r="AD204" s="20">
        <v>40792</v>
      </c>
      <c r="AE204">
        <v>3</v>
      </c>
      <c r="AF204">
        <v>0</v>
      </c>
      <c r="AH204">
        <v>0</v>
      </c>
      <c r="AJ204">
        <v>0</v>
      </c>
      <c r="AL204">
        <v>0</v>
      </c>
      <c r="AM204">
        <v>0</v>
      </c>
      <c r="AN204">
        <v>16601001</v>
      </c>
      <c r="AO204">
        <v>0</v>
      </c>
      <c r="AP204">
        <v>1000</v>
      </c>
      <c r="AT204">
        <v>0</v>
      </c>
      <c r="AU204" t="s">
        <v>1059</v>
      </c>
      <c r="AW204" t="s">
        <v>1053</v>
      </c>
      <c r="AX204">
        <v>0</v>
      </c>
      <c r="AY204" s="20">
        <v>40792</v>
      </c>
      <c r="BA204" s="20">
        <v>40792</v>
      </c>
      <c r="BB204" t="s">
        <v>1058</v>
      </c>
      <c r="BD204">
        <v>0</v>
      </c>
      <c r="BF204" t="s">
        <v>1043</v>
      </c>
      <c r="BG204" t="s">
        <v>1042</v>
      </c>
      <c r="BH204">
        <v>0</v>
      </c>
      <c r="BI204">
        <v>1</v>
      </c>
      <c r="BJ204">
        <v>0</v>
      </c>
      <c r="BK204">
        <v>0</v>
      </c>
      <c r="BM204" t="s">
        <v>1042</v>
      </c>
      <c r="BN204">
        <v>0</v>
      </c>
      <c r="BR204" t="s">
        <v>1043</v>
      </c>
      <c r="BS204" t="s">
        <v>1043</v>
      </c>
      <c r="BT204" t="s">
        <v>1043</v>
      </c>
      <c r="BW204">
        <v>83</v>
      </c>
      <c r="CA204">
        <v>0</v>
      </c>
      <c r="CB204" t="s">
        <v>1057</v>
      </c>
      <c r="CE204" t="s">
        <v>1043</v>
      </c>
      <c r="CH204" t="s">
        <v>1043</v>
      </c>
      <c r="CN204" t="s">
        <v>1056</v>
      </c>
      <c r="CO204" t="s">
        <v>1043</v>
      </c>
      <c r="CP204">
        <v>1</v>
      </c>
      <c r="CQ204">
        <v>0</v>
      </c>
      <c r="CS204">
        <v>0</v>
      </c>
      <c r="CT204">
        <v>0</v>
      </c>
      <c r="CU204">
        <v>0</v>
      </c>
      <c r="CV204" t="s">
        <v>1045</v>
      </c>
      <c r="CW204">
        <v>0</v>
      </c>
      <c r="CX204">
        <v>0</v>
      </c>
      <c r="CY204">
        <v>0</v>
      </c>
      <c r="CZ204">
        <v>0</v>
      </c>
      <c r="DB204">
        <v>0</v>
      </c>
      <c r="DC204" t="s">
        <v>1043</v>
      </c>
      <c r="DF204" t="s">
        <v>1055</v>
      </c>
      <c r="DH204">
        <v>0</v>
      </c>
      <c r="DJ204">
        <v>0</v>
      </c>
      <c r="DK204" t="s">
        <v>1053</v>
      </c>
      <c r="DL204">
        <v>0</v>
      </c>
      <c r="DN204">
        <v>0</v>
      </c>
      <c r="DO204" t="s">
        <v>1042</v>
      </c>
      <c r="DP204">
        <v>0</v>
      </c>
      <c r="DQ204">
        <v>0</v>
      </c>
      <c r="DS204">
        <v>0</v>
      </c>
      <c r="DU204">
        <v>0</v>
      </c>
      <c r="DW204">
        <v>0</v>
      </c>
      <c r="DX204" t="s">
        <v>1043</v>
      </c>
      <c r="DY204">
        <v>0</v>
      </c>
      <c r="DZ204">
        <v>0</v>
      </c>
      <c r="EA204">
        <v>0</v>
      </c>
      <c r="ED204" t="s">
        <v>1045</v>
      </c>
      <c r="EE204">
        <v>0</v>
      </c>
      <c r="EF204">
        <v>0</v>
      </c>
      <c r="EQ204" t="s">
        <v>1044</v>
      </c>
      <c r="ES204" t="s">
        <v>1053</v>
      </c>
      <c r="ET204">
        <v>0</v>
      </c>
      <c r="EV204">
        <v>0</v>
      </c>
      <c r="EY204" t="s">
        <v>1052</v>
      </c>
      <c r="EZ204">
        <v>0</v>
      </c>
      <c r="FA204" t="s">
        <v>1043</v>
      </c>
      <c r="FB204">
        <v>0</v>
      </c>
      <c r="FC204">
        <v>0</v>
      </c>
      <c r="FE204" t="s">
        <v>1050</v>
      </c>
      <c r="FF204">
        <v>0</v>
      </c>
      <c r="FG204" t="s">
        <v>1050</v>
      </c>
      <c r="FJ204">
        <v>0</v>
      </c>
      <c r="FK204">
        <v>0</v>
      </c>
      <c r="FP204">
        <v>0</v>
      </c>
      <c r="FR204">
        <v>0</v>
      </c>
      <c r="FS204" t="s">
        <v>1043</v>
      </c>
      <c r="FX204" t="s">
        <v>1042</v>
      </c>
      <c r="FZ204" t="s">
        <v>1048</v>
      </c>
      <c r="GA204">
        <v>0</v>
      </c>
      <c r="GB204" t="s">
        <v>1042</v>
      </c>
      <c r="GE204">
        <v>0</v>
      </c>
      <c r="GG204">
        <v>0</v>
      </c>
      <c r="GN204">
        <v>0</v>
      </c>
      <c r="GO204" t="s">
        <v>1063</v>
      </c>
      <c r="GQ204">
        <v>0</v>
      </c>
      <c r="GU204">
        <v>0</v>
      </c>
      <c r="GY204" t="s">
        <v>1045</v>
      </c>
      <c r="HB204">
        <v>0</v>
      </c>
      <c r="HE204">
        <v>0</v>
      </c>
      <c r="HF204">
        <v>0</v>
      </c>
      <c r="HG204">
        <v>0</v>
      </c>
      <c r="HK204" t="s">
        <v>1042</v>
      </c>
      <c r="HM204" t="s">
        <v>1047</v>
      </c>
      <c r="HN204">
        <v>0</v>
      </c>
      <c r="HP204">
        <v>0</v>
      </c>
      <c r="HQ204">
        <v>0</v>
      </c>
      <c r="HR204" t="s">
        <v>1042</v>
      </c>
      <c r="HS204" t="s">
        <v>1043</v>
      </c>
      <c r="HT204">
        <v>0</v>
      </c>
      <c r="HU204">
        <v>0</v>
      </c>
      <c r="HW204">
        <v>0</v>
      </c>
      <c r="HX204">
        <v>0</v>
      </c>
      <c r="HY204">
        <v>0</v>
      </c>
      <c r="HZ204" t="s">
        <v>1045</v>
      </c>
      <c r="IA204">
        <v>0</v>
      </c>
      <c r="IB204" t="s">
        <v>1045</v>
      </c>
      <c r="ID204" t="s">
        <v>1045</v>
      </c>
      <c r="IF204">
        <v>0</v>
      </c>
      <c r="IG204" t="s">
        <v>1042</v>
      </c>
      <c r="II204" t="s">
        <v>1042</v>
      </c>
      <c r="IR204" t="s">
        <v>1045</v>
      </c>
      <c r="IT204">
        <v>0</v>
      </c>
      <c r="IY204" t="s">
        <v>1044</v>
      </c>
      <c r="IZ204" t="s">
        <v>1043</v>
      </c>
      <c r="JC204" t="s">
        <v>1043</v>
      </c>
      <c r="JE204">
        <v>0</v>
      </c>
      <c r="JF204">
        <v>0</v>
      </c>
      <c r="JI204" t="s">
        <v>1042</v>
      </c>
      <c r="JJ204">
        <v>0</v>
      </c>
      <c r="JK204">
        <v>0</v>
      </c>
      <c r="JL204">
        <v>0</v>
      </c>
      <c r="JM204">
        <v>0</v>
      </c>
      <c r="JQ204" t="s">
        <v>1043</v>
      </c>
      <c r="JT204">
        <v>0</v>
      </c>
      <c r="JU204" t="s">
        <v>1042</v>
      </c>
      <c r="JW204">
        <v>0</v>
      </c>
      <c r="KA204">
        <v>0</v>
      </c>
      <c r="KF204">
        <v>0</v>
      </c>
      <c r="KG204">
        <v>0</v>
      </c>
      <c r="KH204">
        <v>0</v>
      </c>
      <c r="KI204">
        <v>0</v>
      </c>
      <c r="KS204" t="s">
        <v>1073</v>
      </c>
      <c r="KT204">
        <v>0</v>
      </c>
      <c r="KU204">
        <v>0</v>
      </c>
      <c r="KV204">
        <v>0</v>
      </c>
      <c r="KX204">
        <v>0</v>
      </c>
      <c r="KZ204">
        <v>0</v>
      </c>
      <c r="LF204">
        <v>0</v>
      </c>
      <c r="LH204">
        <v>0</v>
      </c>
      <c r="LI204">
        <v>0</v>
      </c>
    </row>
    <row r="205" spans="1:321" x14ac:dyDescent="0.35">
      <c r="A205">
        <v>1</v>
      </c>
      <c r="B205">
        <v>12434</v>
      </c>
      <c r="C205" t="s">
        <v>1489</v>
      </c>
      <c r="D205" t="s">
        <v>1139</v>
      </c>
      <c r="E205" t="s">
        <v>85</v>
      </c>
      <c r="F205">
        <v>80</v>
      </c>
      <c r="G205">
        <v>9000</v>
      </c>
      <c r="H205">
        <v>0</v>
      </c>
      <c r="I205" t="s">
        <v>1244</v>
      </c>
      <c r="L205">
        <v>0</v>
      </c>
      <c r="M205">
        <v>0</v>
      </c>
      <c r="N205">
        <v>0</v>
      </c>
      <c r="R205">
        <v>0</v>
      </c>
      <c r="S205">
        <v>0</v>
      </c>
      <c r="W205" t="s">
        <v>1060</v>
      </c>
      <c r="X205">
        <v>0</v>
      </c>
      <c r="Z205">
        <v>1</v>
      </c>
      <c r="AA205">
        <v>0</v>
      </c>
      <c r="AB205">
        <v>0</v>
      </c>
      <c r="AC205">
        <v>2.1998000000000002</v>
      </c>
      <c r="AD205" s="20">
        <v>40792</v>
      </c>
      <c r="AE205">
        <v>2</v>
      </c>
      <c r="AF205">
        <v>0</v>
      </c>
      <c r="AH205">
        <v>0</v>
      </c>
      <c r="AJ205">
        <v>0</v>
      </c>
      <c r="AL205">
        <v>0</v>
      </c>
      <c r="AM205">
        <v>0</v>
      </c>
      <c r="AN205">
        <v>16601001</v>
      </c>
      <c r="AO205">
        <v>0</v>
      </c>
      <c r="AP205">
        <v>1000</v>
      </c>
      <c r="AT205">
        <v>0</v>
      </c>
      <c r="AU205" t="s">
        <v>1059</v>
      </c>
      <c r="AW205" t="s">
        <v>1053</v>
      </c>
      <c r="AX205">
        <v>0</v>
      </c>
      <c r="AY205" s="20">
        <v>40792</v>
      </c>
      <c r="BA205" s="20">
        <v>40792</v>
      </c>
      <c r="BB205" t="s">
        <v>1058</v>
      </c>
      <c r="BD205">
        <v>0</v>
      </c>
      <c r="BF205" t="s">
        <v>1043</v>
      </c>
      <c r="BG205" t="s">
        <v>1042</v>
      </c>
      <c r="BH205">
        <v>0</v>
      </c>
      <c r="BI205">
        <v>1</v>
      </c>
      <c r="BJ205">
        <v>0</v>
      </c>
      <c r="BK205">
        <v>0</v>
      </c>
      <c r="BM205" t="s">
        <v>1042</v>
      </c>
      <c r="BN205">
        <v>0</v>
      </c>
      <c r="BR205" t="s">
        <v>1043</v>
      </c>
      <c r="BS205" t="s">
        <v>1043</v>
      </c>
      <c r="BT205" t="s">
        <v>1043</v>
      </c>
      <c r="BW205">
        <v>83</v>
      </c>
      <c r="CA205">
        <v>0</v>
      </c>
      <c r="CB205" t="s">
        <v>1057</v>
      </c>
      <c r="CE205" t="s">
        <v>1043</v>
      </c>
      <c r="CH205" t="s">
        <v>1043</v>
      </c>
      <c r="CN205" t="s">
        <v>1056</v>
      </c>
      <c r="CO205" t="s">
        <v>1043</v>
      </c>
      <c r="CP205">
        <v>1</v>
      </c>
      <c r="CQ205">
        <v>0</v>
      </c>
      <c r="CS205">
        <v>0</v>
      </c>
      <c r="CT205">
        <v>0</v>
      </c>
      <c r="CU205">
        <v>0</v>
      </c>
      <c r="CV205" t="s">
        <v>1045</v>
      </c>
      <c r="CW205">
        <v>0</v>
      </c>
      <c r="CX205">
        <v>0</v>
      </c>
      <c r="CY205">
        <v>0</v>
      </c>
      <c r="CZ205">
        <v>0</v>
      </c>
      <c r="DB205">
        <v>0</v>
      </c>
      <c r="DC205" t="s">
        <v>1043</v>
      </c>
      <c r="DF205" t="s">
        <v>1055</v>
      </c>
      <c r="DH205">
        <v>0</v>
      </c>
      <c r="DJ205">
        <v>0</v>
      </c>
      <c r="DK205" t="s">
        <v>1053</v>
      </c>
      <c r="DL205">
        <v>0</v>
      </c>
      <c r="DN205">
        <v>0</v>
      </c>
      <c r="DO205" t="s">
        <v>1042</v>
      </c>
      <c r="DP205">
        <v>0</v>
      </c>
      <c r="DQ205">
        <v>0</v>
      </c>
      <c r="DS205">
        <v>0</v>
      </c>
      <c r="DU205">
        <v>0</v>
      </c>
      <c r="DW205">
        <v>0</v>
      </c>
      <c r="DX205" t="s">
        <v>1043</v>
      </c>
      <c r="DY205">
        <v>0</v>
      </c>
      <c r="DZ205">
        <v>0</v>
      </c>
      <c r="EA205">
        <v>0</v>
      </c>
      <c r="ED205" t="s">
        <v>1045</v>
      </c>
      <c r="EE205">
        <v>0</v>
      </c>
      <c r="EF205">
        <v>0</v>
      </c>
      <c r="EQ205" t="s">
        <v>1044</v>
      </c>
      <c r="ES205" t="s">
        <v>1053</v>
      </c>
      <c r="ET205">
        <v>0</v>
      </c>
      <c r="EV205">
        <v>0</v>
      </c>
      <c r="EY205" t="s">
        <v>1052</v>
      </c>
      <c r="EZ205">
        <v>0</v>
      </c>
      <c r="FA205" t="s">
        <v>1043</v>
      </c>
      <c r="FB205">
        <v>0</v>
      </c>
      <c r="FC205">
        <v>0</v>
      </c>
      <c r="FE205" t="s">
        <v>1050</v>
      </c>
      <c r="FF205">
        <v>0</v>
      </c>
      <c r="FG205" t="s">
        <v>1050</v>
      </c>
      <c r="FJ205">
        <v>0</v>
      </c>
      <c r="FK205">
        <v>0</v>
      </c>
      <c r="FP205">
        <v>0</v>
      </c>
      <c r="FR205">
        <v>0</v>
      </c>
      <c r="FS205" t="s">
        <v>1043</v>
      </c>
      <c r="FX205" t="s">
        <v>1042</v>
      </c>
      <c r="FZ205" t="s">
        <v>1048</v>
      </c>
      <c r="GA205">
        <v>0</v>
      </c>
      <c r="GB205" t="s">
        <v>1042</v>
      </c>
      <c r="GE205">
        <v>0</v>
      </c>
      <c r="GG205">
        <v>0</v>
      </c>
      <c r="GN205">
        <v>0</v>
      </c>
      <c r="GO205" t="s">
        <v>1063</v>
      </c>
      <c r="GQ205">
        <v>0</v>
      </c>
      <c r="GU205">
        <v>0</v>
      </c>
      <c r="GY205" t="s">
        <v>1045</v>
      </c>
      <c r="HB205">
        <v>0</v>
      </c>
      <c r="HE205">
        <v>0</v>
      </c>
      <c r="HF205">
        <v>0</v>
      </c>
      <c r="HG205">
        <v>0</v>
      </c>
      <c r="HK205" t="s">
        <v>1042</v>
      </c>
      <c r="HM205" t="s">
        <v>1047</v>
      </c>
      <c r="HN205">
        <v>0</v>
      </c>
      <c r="HP205">
        <v>0</v>
      </c>
      <c r="HQ205">
        <v>0</v>
      </c>
      <c r="HR205" t="s">
        <v>1042</v>
      </c>
      <c r="HS205" t="s">
        <v>1043</v>
      </c>
      <c r="HT205">
        <v>0</v>
      </c>
      <c r="HU205">
        <v>0</v>
      </c>
      <c r="HW205">
        <v>0</v>
      </c>
      <c r="HX205">
        <v>0</v>
      </c>
      <c r="HY205">
        <v>0</v>
      </c>
      <c r="HZ205" t="s">
        <v>1045</v>
      </c>
      <c r="IA205">
        <v>0</v>
      </c>
      <c r="IB205" t="s">
        <v>1045</v>
      </c>
      <c r="ID205" t="s">
        <v>1045</v>
      </c>
      <c r="IF205">
        <v>0</v>
      </c>
      <c r="IG205" t="s">
        <v>1042</v>
      </c>
      <c r="II205" t="s">
        <v>1042</v>
      </c>
      <c r="IR205" t="s">
        <v>1045</v>
      </c>
      <c r="IT205">
        <v>0</v>
      </c>
      <c r="IY205" t="s">
        <v>1044</v>
      </c>
      <c r="IZ205" t="s">
        <v>1043</v>
      </c>
      <c r="JC205" t="s">
        <v>1043</v>
      </c>
      <c r="JE205">
        <v>0</v>
      </c>
      <c r="JF205">
        <v>0</v>
      </c>
      <c r="JI205" t="s">
        <v>1042</v>
      </c>
      <c r="JJ205">
        <v>0</v>
      </c>
      <c r="JK205">
        <v>0</v>
      </c>
      <c r="JL205">
        <v>0</v>
      </c>
      <c r="JM205">
        <v>0</v>
      </c>
      <c r="JQ205" t="s">
        <v>1043</v>
      </c>
      <c r="JT205">
        <v>0</v>
      </c>
      <c r="JU205" t="s">
        <v>1042</v>
      </c>
      <c r="JW205">
        <v>0</v>
      </c>
      <c r="KA205">
        <v>0</v>
      </c>
      <c r="KF205">
        <v>0</v>
      </c>
      <c r="KG205">
        <v>0</v>
      </c>
      <c r="KH205">
        <v>0</v>
      </c>
      <c r="KI205">
        <v>0</v>
      </c>
      <c r="KS205" t="s">
        <v>1073</v>
      </c>
      <c r="KT205">
        <v>0</v>
      </c>
      <c r="KU205">
        <v>0</v>
      </c>
      <c r="KV205">
        <v>0</v>
      </c>
      <c r="KX205">
        <v>0</v>
      </c>
      <c r="KZ205">
        <v>0</v>
      </c>
      <c r="LF205">
        <v>0</v>
      </c>
      <c r="LH205">
        <v>0</v>
      </c>
      <c r="LI205">
        <v>0</v>
      </c>
    </row>
    <row r="206" spans="1:321" x14ac:dyDescent="0.35">
      <c r="A206">
        <v>1</v>
      </c>
      <c r="B206">
        <v>12435</v>
      </c>
      <c r="C206" t="s">
        <v>1488</v>
      </c>
      <c r="D206" t="s">
        <v>1139</v>
      </c>
      <c r="E206" t="s">
        <v>85</v>
      </c>
      <c r="F206">
        <v>80</v>
      </c>
      <c r="G206">
        <v>9000</v>
      </c>
      <c r="H206">
        <v>0</v>
      </c>
      <c r="I206" t="s">
        <v>1442</v>
      </c>
      <c r="L206">
        <v>0</v>
      </c>
      <c r="M206">
        <v>0</v>
      </c>
      <c r="N206">
        <v>0</v>
      </c>
      <c r="R206">
        <v>0</v>
      </c>
      <c r="S206">
        <v>0</v>
      </c>
      <c r="W206" t="s">
        <v>1060</v>
      </c>
      <c r="X206">
        <v>0</v>
      </c>
      <c r="Z206">
        <v>1</v>
      </c>
      <c r="AA206">
        <v>0</v>
      </c>
      <c r="AB206">
        <v>0</v>
      </c>
      <c r="AC206">
        <v>2.7300000000000001E-2</v>
      </c>
      <c r="AD206" s="20">
        <v>44109</v>
      </c>
      <c r="AE206">
        <v>0.03</v>
      </c>
      <c r="AF206">
        <v>0</v>
      </c>
      <c r="AH206">
        <v>0</v>
      </c>
      <c r="AJ206">
        <v>0</v>
      </c>
      <c r="AL206">
        <v>1</v>
      </c>
      <c r="AM206">
        <v>0</v>
      </c>
      <c r="AN206">
        <v>16601001</v>
      </c>
      <c r="AO206">
        <v>0</v>
      </c>
      <c r="AP206">
        <v>1000</v>
      </c>
      <c r="AT206">
        <v>0</v>
      </c>
      <c r="AU206" t="s">
        <v>1059</v>
      </c>
      <c r="AW206" t="s">
        <v>1053</v>
      </c>
      <c r="AX206">
        <v>0</v>
      </c>
      <c r="AY206" s="20">
        <v>40792</v>
      </c>
      <c r="BA206" s="20">
        <v>40792</v>
      </c>
      <c r="BB206" t="s">
        <v>1058</v>
      </c>
      <c r="BD206">
        <v>0</v>
      </c>
      <c r="BF206" t="s">
        <v>1043</v>
      </c>
      <c r="BG206" t="s">
        <v>1042</v>
      </c>
      <c r="BH206">
        <v>0</v>
      </c>
      <c r="BI206">
        <v>1</v>
      </c>
      <c r="BJ206">
        <v>0</v>
      </c>
      <c r="BK206">
        <v>0</v>
      </c>
      <c r="BM206" t="s">
        <v>1042</v>
      </c>
      <c r="BN206">
        <v>0</v>
      </c>
      <c r="BR206" t="s">
        <v>1043</v>
      </c>
      <c r="BS206" t="s">
        <v>1043</v>
      </c>
      <c r="BT206" t="s">
        <v>1043</v>
      </c>
      <c r="BW206">
        <v>83</v>
      </c>
      <c r="CA206">
        <v>0</v>
      </c>
      <c r="CB206" t="s">
        <v>1057</v>
      </c>
      <c r="CE206" t="s">
        <v>1043</v>
      </c>
      <c r="CH206" t="s">
        <v>1043</v>
      </c>
      <c r="CN206" t="s">
        <v>1056</v>
      </c>
      <c r="CO206" t="s">
        <v>1043</v>
      </c>
      <c r="CP206">
        <v>1</v>
      </c>
      <c r="CQ206">
        <v>0</v>
      </c>
      <c r="CS206">
        <v>0</v>
      </c>
      <c r="CT206">
        <v>0</v>
      </c>
      <c r="CU206">
        <v>0</v>
      </c>
      <c r="CV206" t="s">
        <v>1045</v>
      </c>
      <c r="CW206">
        <v>0</v>
      </c>
      <c r="CX206">
        <v>0</v>
      </c>
      <c r="CY206">
        <v>0</v>
      </c>
      <c r="CZ206">
        <v>0</v>
      </c>
      <c r="DB206">
        <v>0</v>
      </c>
      <c r="DC206" t="s">
        <v>1043</v>
      </c>
      <c r="DF206" t="s">
        <v>1055</v>
      </c>
      <c r="DH206">
        <v>0</v>
      </c>
      <c r="DJ206">
        <v>0</v>
      </c>
      <c r="DK206" t="s">
        <v>1053</v>
      </c>
      <c r="DL206">
        <v>0</v>
      </c>
      <c r="DN206">
        <v>0</v>
      </c>
      <c r="DO206" t="s">
        <v>1042</v>
      </c>
      <c r="DP206">
        <v>0</v>
      </c>
      <c r="DQ206">
        <v>0</v>
      </c>
      <c r="DS206">
        <v>0</v>
      </c>
      <c r="DU206">
        <v>0</v>
      </c>
      <c r="DW206">
        <v>0</v>
      </c>
      <c r="DX206" t="s">
        <v>1043</v>
      </c>
      <c r="DY206">
        <v>0</v>
      </c>
      <c r="DZ206">
        <v>0</v>
      </c>
      <c r="EA206">
        <v>0</v>
      </c>
      <c r="ED206" t="s">
        <v>1045</v>
      </c>
      <c r="EE206">
        <v>0</v>
      </c>
      <c r="EF206">
        <v>0</v>
      </c>
      <c r="EQ206" t="s">
        <v>1044</v>
      </c>
      <c r="ES206" t="s">
        <v>1053</v>
      </c>
      <c r="ET206">
        <v>0</v>
      </c>
      <c r="EV206">
        <v>0</v>
      </c>
      <c r="EY206" t="s">
        <v>1052</v>
      </c>
      <c r="EZ206">
        <v>0</v>
      </c>
      <c r="FA206" t="s">
        <v>1043</v>
      </c>
      <c r="FB206">
        <v>0</v>
      </c>
      <c r="FC206">
        <v>0</v>
      </c>
      <c r="FE206" t="s">
        <v>1050</v>
      </c>
      <c r="FF206">
        <v>0</v>
      </c>
      <c r="FG206" t="s">
        <v>1050</v>
      </c>
      <c r="FJ206">
        <v>0</v>
      </c>
      <c r="FK206">
        <v>0</v>
      </c>
      <c r="FP206">
        <v>0</v>
      </c>
      <c r="FR206">
        <v>0</v>
      </c>
      <c r="FS206" t="s">
        <v>1043</v>
      </c>
      <c r="FX206" t="s">
        <v>1042</v>
      </c>
      <c r="FZ206" t="s">
        <v>1048</v>
      </c>
      <c r="GA206">
        <v>0</v>
      </c>
      <c r="GB206" t="s">
        <v>1042</v>
      </c>
      <c r="GE206">
        <v>0</v>
      </c>
      <c r="GG206">
        <v>0</v>
      </c>
      <c r="GN206">
        <v>0</v>
      </c>
      <c r="GO206" t="s">
        <v>1063</v>
      </c>
      <c r="GQ206">
        <v>0</v>
      </c>
      <c r="GU206">
        <v>0</v>
      </c>
      <c r="GY206" t="s">
        <v>1045</v>
      </c>
      <c r="HB206">
        <v>0</v>
      </c>
      <c r="HE206">
        <v>0</v>
      </c>
      <c r="HF206">
        <v>0</v>
      </c>
      <c r="HG206">
        <v>0</v>
      </c>
      <c r="HK206" t="s">
        <v>1042</v>
      </c>
      <c r="HM206" t="s">
        <v>1047</v>
      </c>
      <c r="HN206">
        <v>0</v>
      </c>
      <c r="HP206">
        <v>0</v>
      </c>
      <c r="HQ206">
        <v>0</v>
      </c>
      <c r="HR206" t="s">
        <v>1042</v>
      </c>
      <c r="HS206" t="s">
        <v>1043</v>
      </c>
      <c r="HT206">
        <v>0</v>
      </c>
      <c r="HU206">
        <v>0</v>
      </c>
      <c r="HW206">
        <v>0</v>
      </c>
      <c r="HX206">
        <v>0</v>
      </c>
      <c r="HY206">
        <v>1</v>
      </c>
      <c r="HZ206" t="s">
        <v>1045</v>
      </c>
      <c r="IA206">
        <v>0.03</v>
      </c>
      <c r="IB206" t="s">
        <v>1045</v>
      </c>
      <c r="ID206" t="s">
        <v>1045</v>
      </c>
      <c r="IF206">
        <v>0</v>
      </c>
      <c r="IG206" t="s">
        <v>1042</v>
      </c>
      <c r="II206" t="s">
        <v>1042</v>
      </c>
      <c r="IR206" t="s">
        <v>1045</v>
      </c>
      <c r="IT206">
        <v>0</v>
      </c>
      <c r="IY206" t="s">
        <v>1044</v>
      </c>
      <c r="IZ206" t="s">
        <v>1043</v>
      </c>
      <c r="JC206" t="s">
        <v>1043</v>
      </c>
      <c r="JE206">
        <v>0</v>
      </c>
      <c r="JF206">
        <v>0</v>
      </c>
      <c r="JI206" t="s">
        <v>1042</v>
      </c>
      <c r="JJ206">
        <v>0</v>
      </c>
      <c r="JK206">
        <v>0</v>
      </c>
      <c r="JL206">
        <v>0</v>
      </c>
      <c r="JM206">
        <v>0</v>
      </c>
      <c r="JQ206" t="s">
        <v>1043</v>
      </c>
      <c r="JT206">
        <v>0</v>
      </c>
      <c r="JU206" t="s">
        <v>1042</v>
      </c>
      <c r="JW206">
        <v>0</v>
      </c>
      <c r="KA206">
        <v>0</v>
      </c>
      <c r="KF206">
        <v>0</v>
      </c>
      <c r="KG206">
        <v>0</v>
      </c>
      <c r="KH206">
        <v>0</v>
      </c>
      <c r="KI206">
        <v>0</v>
      </c>
      <c r="KS206" t="s">
        <v>1073</v>
      </c>
      <c r="KT206">
        <v>0</v>
      </c>
      <c r="KU206">
        <v>0</v>
      </c>
      <c r="KV206">
        <v>0</v>
      </c>
      <c r="KX206">
        <v>0</v>
      </c>
      <c r="KZ206">
        <v>0</v>
      </c>
      <c r="LF206">
        <v>0</v>
      </c>
      <c r="LH206">
        <v>0</v>
      </c>
      <c r="LI206">
        <v>0</v>
      </c>
    </row>
    <row r="207" spans="1:321" x14ac:dyDescent="0.35">
      <c r="A207">
        <v>1</v>
      </c>
      <c r="B207">
        <v>12436</v>
      </c>
      <c r="C207" t="s">
        <v>1487</v>
      </c>
      <c r="D207" t="s">
        <v>1076</v>
      </c>
      <c r="E207" t="s">
        <v>85</v>
      </c>
      <c r="F207">
        <v>50</v>
      </c>
      <c r="G207">
        <v>49</v>
      </c>
      <c r="H207">
        <v>0</v>
      </c>
      <c r="I207" t="s">
        <v>1486</v>
      </c>
      <c r="L207">
        <v>0</v>
      </c>
      <c r="M207">
        <v>0</v>
      </c>
      <c r="N207">
        <v>0</v>
      </c>
      <c r="P207">
        <v>306</v>
      </c>
      <c r="R207">
        <v>0</v>
      </c>
      <c r="S207">
        <v>0</v>
      </c>
      <c r="W207" t="s">
        <v>1060</v>
      </c>
      <c r="X207">
        <v>0</v>
      </c>
      <c r="Z207">
        <v>1</v>
      </c>
      <c r="AA207">
        <v>0</v>
      </c>
      <c r="AB207">
        <v>30</v>
      </c>
      <c r="AC207">
        <v>9.0800000000000006E-2</v>
      </c>
      <c r="AD207" s="20">
        <v>44699</v>
      </c>
      <c r="AE207">
        <v>0.1</v>
      </c>
      <c r="AF207">
        <v>0</v>
      </c>
      <c r="AH207">
        <v>15</v>
      </c>
      <c r="AJ207">
        <v>0</v>
      </c>
      <c r="AL207">
        <v>1</v>
      </c>
      <c r="AM207">
        <v>50</v>
      </c>
      <c r="AN207">
        <v>11501004</v>
      </c>
      <c r="AO207">
        <v>0</v>
      </c>
      <c r="AP207">
        <v>1000</v>
      </c>
      <c r="AT207">
        <v>0</v>
      </c>
      <c r="AU207" t="s">
        <v>1059</v>
      </c>
      <c r="AW207" t="s">
        <v>1053</v>
      </c>
      <c r="AX207">
        <v>0</v>
      </c>
      <c r="AY207" s="20">
        <v>44158</v>
      </c>
      <c r="BA207" s="20">
        <v>40792</v>
      </c>
      <c r="BB207" t="s">
        <v>1058</v>
      </c>
      <c r="BD207">
        <v>0</v>
      </c>
      <c r="BF207" t="s">
        <v>1043</v>
      </c>
      <c r="BG207" t="s">
        <v>1042</v>
      </c>
      <c r="BH207">
        <v>0</v>
      </c>
      <c r="BI207">
        <v>1</v>
      </c>
      <c r="BJ207">
        <v>0</v>
      </c>
      <c r="BK207">
        <v>0</v>
      </c>
      <c r="BM207" s="20">
        <v>41896</v>
      </c>
      <c r="BN207">
        <v>0</v>
      </c>
      <c r="BO207">
        <v>3457801062060</v>
      </c>
      <c r="BR207" t="s">
        <v>1043</v>
      </c>
      <c r="BS207" t="s">
        <v>1043</v>
      </c>
      <c r="BT207" t="s">
        <v>1043</v>
      </c>
      <c r="BW207">
        <v>48</v>
      </c>
      <c r="CA207">
        <v>0</v>
      </c>
      <c r="CB207" t="s">
        <v>1057</v>
      </c>
      <c r="CE207" t="s">
        <v>1043</v>
      </c>
      <c r="CH207" t="s">
        <v>1043</v>
      </c>
      <c r="CN207" t="s">
        <v>1056</v>
      </c>
      <c r="CO207" t="s">
        <v>1043</v>
      </c>
      <c r="CP207">
        <v>1</v>
      </c>
      <c r="CQ207">
        <v>0</v>
      </c>
      <c r="CS207">
        <v>0</v>
      </c>
      <c r="CT207">
        <v>0</v>
      </c>
      <c r="CU207">
        <v>0</v>
      </c>
      <c r="CV207" t="s">
        <v>1045</v>
      </c>
      <c r="CW207">
        <v>0</v>
      </c>
      <c r="CX207">
        <v>0</v>
      </c>
      <c r="CY207">
        <v>0</v>
      </c>
      <c r="CZ207">
        <v>0</v>
      </c>
      <c r="DB207">
        <v>0</v>
      </c>
      <c r="DC207" t="s">
        <v>1043</v>
      </c>
      <c r="DF207" t="s">
        <v>1055</v>
      </c>
      <c r="DH207">
        <v>0</v>
      </c>
      <c r="DJ207">
        <v>0</v>
      </c>
      <c r="DK207" t="s">
        <v>1053</v>
      </c>
      <c r="DL207">
        <v>0</v>
      </c>
      <c r="DN207">
        <v>0</v>
      </c>
      <c r="DO207" t="s">
        <v>1042</v>
      </c>
      <c r="DP207">
        <v>0</v>
      </c>
      <c r="DQ207">
        <v>0</v>
      </c>
      <c r="DS207">
        <v>0</v>
      </c>
      <c r="DU207">
        <v>0</v>
      </c>
      <c r="DW207">
        <v>0</v>
      </c>
      <c r="DX207" t="s">
        <v>1043</v>
      </c>
      <c r="DY207">
        <v>0</v>
      </c>
      <c r="DZ207">
        <v>0</v>
      </c>
      <c r="EA207">
        <v>0</v>
      </c>
      <c r="ED207" t="s">
        <v>1045</v>
      </c>
      <c r="EE207">
        <v>0</v>
      </c>
      <c r="EF207">
        <v>0</v>
      </c>
      <c r="EQ207" t="s">
        <v>1044</v>
      </c>
      <c r="ES207" t="s">
        <v>1053</v>
      </c>
      <c r="ET207">
        <v>0</v>
      </c>
      <c r="EV207">
        <v>0</v>
      </c>
      <c r="EY207" t="s">
        <v>1052</v>
      </c>
      <c r="EZ207">
        <v>0</v>
      </c>
      <c r="FA207" t="s">
        <v>1043</v>
      </c>
      <c r="FB207">
        <v>0</v>
      </c>
      <c r="FC207">
        <v>0</v>
      </c>
      <c r="FE207" t="s">
        <v>1050</v>
      </c>
      <c r="FF207">
        <v>0</v>
      </c>
      <c r="FG207" t="s">
        <v>1050</v>
      </c>
      <c r="FJ207">
        <v>0</v>
      </c>
      <c r="FK207">
        <v>0</v>
      </c>
      <c r="FP207">
        <v>0</v>
      </c>
      <c r="FR207">
        <v>0</v>
      </c>
      <c r="FS207" t="s">
        <v>1043</v>
      </c>
      <c r="FX207" t="s">
        <v>1042</v>
      </c>
      <c r="FZ207" t="s">
        <v>1048</v>
      </c>
      <c r="GA207">
        <v>0</v>
      </c>
      <c r="GB207" t="s">
        <v>1042</v>
      </c>
      <c r="GE207">
        <v>0</v>
      </c>
      <c r="GG207">
        <v>0</v>
      </c>
      <c r="GN207">
        <v>0</v>
      </c>
      <c r="GO207" t="s">
        <v>1063</v>
      </c>
      <c r="GQ207">
        <v>0</v>
      </c>
      <c r="GU207">
        <v>0</v>
      </c>
      <c r="GY207" t="s">
        <v>1045</v>
      </c>
      <c r="HB207">
        <v>0</v>
      </c>
      <c r="HE207">
        <v>0</v>
      </c>
      <c r="HF207">
        <v>0</v>
      </c>
      <c r="HG207">
        <v>0</v>
      </c>
      <c r="HK207" s="20">
        <v>44685</v>
      </c>
      <c r="HM207" t="s">
        <v>1047</v>
      </c>
      <c r="HN207">
        <v>0</v>
      </c>
      <c r="HP207">
        <v>0</v>
      </c>
      <c r="HQ207">
        <v>0</v>
      </c>
      <c r="HR207" s="20">
        <v>44221</v>
      </c>
      <c r="HS207" t="s">
        <v>1043</v>
      </c>
      <c r="HT207">
        <v>0</v>
      </c>
      <c r="HU207">
        <v>0</v>
      </c>
      <c r="HW207">
        <v>0</v>
      </c>
      <c r="HX207">
        <v>65</v>
      </c>
      <c r="HY207">
        <v>1</v>
      </c>
      <c r="HZ207" t="s">
        <v>1045</v>
      </c>
      <c r="IA207">
        <v>0.1</v>
      </c>
      <c r="IB207" t="s">
        <v>1045</v>
      </c>
      <c r="ID207" t="s">
        <v>1045</v>
      </c>
      <c r="IF207">
        <v>0</v>
      </c>
      <c r="IG207" t="s">
        <v>1042</v>
      </c>
      <c r="II207" t="s">
        <v>1042</v>
      </c>
      <c r="IR207" t="s">
        <v>1045</v>
      </c>
      <c r="IT207">
        <v>0</v>
      </c>
      <c r="IY207" t="s">
        <v>1044</v>
      </c>
      <c r="IZ207" t="s">
        <v>1043</v>
      </c>
      <c r="JC207" t="s">
        <v>1043</v>
      </c>
      <c r="JE207">
        <v>0</v>
      </c>
      <c r="JF207">
        <v>0</v>
      </c>
      <c r="JI207" t="s">
        <v>1042</v>
      </c>
      <c r="JJ207">
        <v>0</v>
      </c>
      <c r="JK207">
        <v>0</v>
      </c>
      <c r="JL207">
        <v>0</v>
      </c>
      <c r="JM207">
        <v>0</v>
      </c>
      <c r="JQ207" t="s">
        <v>1043</v>
      </c>
      <c r="JT207">
        <v>0</v>
      </c>
      <c r="JU207" t="s">
        <v>1042</v>
      </c>
      <c r="JW207">
        <v>0</v>
      </c>
      <c r="KA207">
        <v>0</v>
      </c>
      <c r="KF207">
        <v>0</v>
      </c>
      <c r="KG207">
        <v>0</v>
      </c>
      <c r="KH207">
        <v>0</v>
      </c>
      <c r="KI207">
        <v>0</v>
      </c>
      <c r="KS207" t="s">
        <v>1073</v>
      </c>
      <c r="KT207">
        <v>0</v>
      </c>
      <c r="KU207">
        <v>0</v>
      </c>
      <c r="KV207">
        <v>0</v>
      </c>
      <c r="KX207">
        <v>0</v>
      </c>
      <c r="KZ207">
        <v>0</v>
      </c>
      <c r="LF207">
        <v>0</v>
      </c>
      <c r="LH207">
        <v>0</v>
      </c>
      <c r="LI207">
        <v>0</v>
      </c>
    </row>
    <row r="208" spans="1:321" x14ac:dyDescent="0.35">
      <c r="A208">
        <v>1</v>
      </c>
      <c r="B208">
        <v>12437</v>
      </c>
      <c r="C208" t="s">
        <v>1485</v>
      </c>
      <c r="D208" t="s">
        <v>1139</v>
      </c>
      <c r="E208" t="s">
        <v>85</v>
      </c>
      <c r="F208">
        <v>80</v>
      </c>
      <c r="G208">
        <v>9000</v>
      </c>
      <c r="H208">
        <v>0</v>
      </c>
      <c r="I208" t="s">
        <v>1050</v>
      </c>
      <c r="L208">
        <v>0</v>
      </c>
      <c r="M208">
        <v>0</v>
      </c>
      <c r="N208">
        <v>0</v>
      </c>
      <c r="R208">
        <v>0</v>
      </c>
      <c r="S208">
        <v>0</v>
      </c>
      <c r="W208" t="s">
        <v>1060</v>
      </c>
      <c r="X208">
        <v>0</v>
      </c>
      <c r="Z208">
        <v>1</v>
      </c>
      <c r="AA208">
        <v>0</v>
      </c>
      <c r="AB208">
        <v>0</v>
      </c>
      <c r="AC208">
        <v>0</v>
      </c>
      <c r="AD208" s="20">
        <v>40792</v>
      </c>
      <c r="AE208">
        <v>3.6</v>
      </c>
      <c r="AF208">
        <v>0</v>
      </c>
      <c r="AH208">
        <v>0</v>
      </c>
      <c r="AJ208">
        <v>0</v>
      </c>
      <c r="AL208">
        <v>0</v>
      </c>
      <c r="AM208">
        <v>0</v>
      </c>
      <c r="AN208">
        <v>16601001</v>
      </c>
      <c r="AO208">
        <v>0</v>
      </c>
      <c r="AP208">
        <v>1000</v>
      </c>
      <c r="AT208">
        <v>0</v>
      </c>
      <c r="AU208" t="s">
        <v>1059</v>
      </c>
      <c r="AW208" t="s">
        <v>1053</v>
      </c>
      <c r="AX208">
        <v>0</v>
      </c>
      <c r="AY208" s="20">
        <v>40792</v>
      </c>
      <c r="BA208" s="20">
        <v>40792</v>
      </c>
      <c r="BB208" t="s">
        <v>1058</v>
      </c>
      <c r="BD208">
        <v>0</v>
      </c>
      <c r="BF208" t="s">
        <v>1043</v>
      </c>
      <c r="BG208" t="s">
        <v>1042</v>
      </c>
      <c r="BH208">
        <v>0</v>
      </c>
      <c r="BI208">
        <v>1</v>
      </c>
      <c r="BJ208">
        <v>0</v>
      </c>
      <c r="BK208">
        <v>0</v>
      </c>
      <c r="BM208" t="s">
        <v>1042</v>
      </c>
      <c r="BN208">
        <v>0</v>
      </c>
      <c r="BR208" t="s">
        <v>1043</v>
      </c>
      <c r="BS208" t="s">
        <v>1043</v>
      </c>
      <c r="BT208" t="s">
        <v>1043</v>
      </c>
      <c r="BW208">
        <v>83</v>
      </c>
      <c r="CA208">
        <v>0</v>
      </c>
      <c r="CB208" t="s">
        <v>1057</v>
      </c>
      <c r="CE208" t="s">
        <v>1043</v>
      </c>
      <c r="CH208" t="s">
        <v>1043</v>
      </c>
      <c r="CN208" t="s">
        <v>1056</v>
      </c>
      <c r="CO208" t="s">
        <v>1043</v>
      </c>
      <c r="CP208">
        <v>1</v>
      </c>
      <c r="CQ208">
        <v>0</v>
      </c>
      <c r="CS208">
        <v>0</v>
      </c>
      <c r="CT208">
        <v>0</v>
      </c>
      <c r="CU208">
        <v>0</v>
      </c>
      <c r="CV208" t="s">
        <v>1045</v>
      </c>
      <c r="CW208">
        <v>0</v>
      </c>
      <c r="CX208">
        <v>0</v>
      </c>
      <c r="CY208">
        <v>0</v>
      </c>
      <c r="CZ208">
        <v>0</v>
      </c>
      <c r="DB208">
        <v>0</v>
      </c>
      <c r="DC208" t="s">
        <v>1043</v>
      </c>
      <c r="DF208" t="s">
        <v>1055</v>
      </c>
      <c r="DH208">
        <v>0</v>
      </c>
      <c r="DJ208">
        <v>0</v>
      </c>
      <c r="DK208" t="s">
        <v>1053</v>
      </c>
      <c r="DL208">
        <v>0</v>
      </c>
      <c r="DN208">
        <v>0</v>
      </c>
      <c r="DO208" t="s">
        <v>1042</v>
      </c>
      <c r="DP208">
        <v>0</v>
      </c>
      <c r="DQ208">
        <v>0</v>
      </c>
      <c r="DS208">
        <v>0</v>
      </c>
      <c r="DU208">
        <v>0</v>
      </c>
      <c r="DW208">
        <v>0</v>
      </c>
      <c r="DX208" t="s">
        <v>1043</v>
      </c>
      <c r="DY208">
        <v>0</v>
      </c>
      <c r="DZ208">
        <v>0</v>
      </c>
      <c r="EA208">
        <v>0</v>
      </c>
      <c r="ED208" t="s">
        <v>1045</v>
      </c>
      <c r="EE208">
        <v>0</v>
      </c>
      <c r="EF208">
        <v>0</v>
      </c>
      <c r="EQ208" t="s">
        <v>1044</v>
      </c>
      <c r="ES208" t="s">
        <v>1053</v>
      </c>
      <c r="ET208">
        <v>0</v>
      </c>
      <c r="EV208">
        <v>0</v>
      </c>
      <c r="EY208" t="s">
        <v>1052</v>
      </c>
      <c r="EZ208">
        <v>0</v>
      </c>
      <c r="FA208" t="s">
        <v>1043</v>
      </c>
      <c r="FB208">
        <v>0</v>
      </c>
      <c r="FC208">
        <v>0</v>
      </c>
      <c r="FE208" t="s">
        <v>1050</v>
      </c>
      <c r="FF208">
        <v>0</v>
      </c>
      <c r="FG208" t="s">
        <v>1050</v>
      </c>
      <c r="FJ208">
        <v>0</v>
      </c>
      <c r="FK208">
        <v>0</v>
      </c>
      <c r="FP208">
        <v>0</v>
      </c>
      <c r="FR208">
        <v>0</v>
      </c>
      <c r="FS208" t="s">
        <v>1043</v>
      </c>
      <c r="FX208" t="s">
        <v>1042</v>
      </c>
      <c r="FZ208" t="s">
        <v>1048</v>
      </c>
      <c r="GA208">
        <v>0</v>
      </c>
      <c r="GB208" t="s">
        <v>1042</v>
      </c>
      <c r="GE208">
        <v>0</v>
      </c>
      <c r="GG208">
        <v>0</v>
      </c>
      <c r="GN208">
        <v>0</v>
      </c>
      <c r="GO208" t="s">
        <v>1063</v>
      </c>
      <c r="GQ208">
        <v>0</v>
      </c>
      <c r="GU208">
        <v>0</v>
      </c>
      <c r="GY208" t="s">
        <v>1045</v>
      </c>
      <c r="HB208">
        <v>0</v>
      </c>
      <c r="HE208">
        <v>0</v>
      </c>
      <c r="HF208">
        <v>0</v>
      </c>
      <c r="HG208">
        <v>0</v>
      </c>
      <c r="HK208" t="s">
        <v>1042</v>
      </c>
      <c r="HM208" t="s">
        <v>1047</v>
      </c>
      <c r="HN208">
        <v>0</v>
      </c>
      <c r="HP208">
        <v>0</v>
      </c>
      <c r="HQ208">
        <v>0</v>
      </c>
      <c r="HR208" t="s">
        <v>1042</v>
      </c>
      <c r="HS208" t="s">
        <v>1043</v>
      </c>
      <c r="HT208">
        <v>0</v>
      </c>
      <c r="HU208">
        <v>0</v>
      </c>
      <c r="HW208">
        <v>0</v>
      </c>
      <c r="HX208">
        <v>0</v>
      </c>
      <c r="HY208">
        <v>0</v>
      </c>
      <c r="HZ208" t="s">
        <v>1045</v>
      </c>
      <c r="IA208">
        <v>0</v>
      </c>
      <c r="IB208" t="s">
        <v>1045</v>
      </c>
      <c r="ID208" t="s">
        <v>1045</v>
      </c>
      <c r="IF208">
        <v>0</v>
      </c>
      <c r="IG208" t="s">
        <v>1042</v>
      </c>
      <c r="II208" t="s">
        <v>1042</v>
      </c>
      <c r="IR208" t="s">
        <v>1045</v>
      </c>
      <c r="IT208">
        <v>0</v>
      </c>
      <c r="IY208" t="s">
        <v>1044</v>
      </c>
      <c r="IZ208" t="s">
        <v>1043</v>
      </c>
      <c r="JC208" t="s">
        <v>1043</v>
      </c>
      <c r="JE208">
        <v>0</v>
      </c>
      <c r="JF208">
        <v>0</v>
      </c>
      <c r="JI208" t="s">
        <v>1042</v>
      </c>
      <c r="JJ208">
        <v>0</v>
      </c>
      <c r="JK208">
        <v>0</v>
      </c>
      <c r="JL208">
        <v>0</v>
      </c>
      <c r="JM208">
        <v>0</v>
      </c>
      <c r="JQ208" t="s">
        <v>1043</v>
      </c>
      <c r="JT208">
        <v>0</v>
      </c>
      <c r="JU208" t="s">
        <v>1042</v>
      </c>
      <c r="JW208">
        <v>0</v>
      </c>
      <c r="KA208">
        <v>0</v>
      </c>
      <c r="KF208">
        <v>0</v>
      </c>
      <c r="KG208">
        <v>0</v>
      </c>
      <c r="KH208">
        <v>0</v>
      </c>
      <c r="KI208">
        <v>0</v>
      </c>
      <c r="KS208" t="s">
        <v>1073</v>
      </c>
      <c r="KT208">
        <v>0</v>
      </c>
      <c r="KU208">
        <v>0</v>
      </c>
      <c r="KV208">
        <v>0</v>
      </c>
      <c r="KX208">
        <v>0</v>
      </c>
      <c r="KZ208">
        <v>0</v>
      </c>
      <c r="LF208">
        <v>0</v>
      </c>
      <c r="LH208">
        <v>0</v>
      </c>
      <c r="LI208">
        <v>0</v>
      </c>
    </row>
    <row r="209" spans="1:321" x14ac:dyDescent="0.35">
      <c r="A209">
        <v>1</v>
      </c>
      <c r="B209">
        <v>12438</v>
      </c>
      <c r="C209" t="s">
        <v>1484</v>
      </c>
      <c r="D209" t="s">
        <v>1139</v>
      </c>
      <c r="E209" t="s">
        <v>85</v>
      </c>
      <c r="F209">
        <v>80</v>
      </c>
      <c r="G209">
        <v>9000</v>
      </c>
      <c r="H209">
        <v>0</v>
      </c>
      <c r="I209" t="s">
        <v>1050</v>
      </c>
      <c r="L209">
        <v>0</v>
      </c>
      <c r="M209">
        <v>0</v>
      </c>
      <c r="N209">
        <v>0</v>
      </c>
      <c r="R209">
        <v>0</v>
      </c>
      <c r="S209">
        <v>0</v>
      </c>
      <c r="W209" t="s">
        <v>1060</v>
      </c>
      <c r="X209">
        <v>0</v>
      </c>
      <c r="Z209">
        <v>1</v>
      </c>
      <c r="AA209">
        <v>0</v>
      </c>
      <c r="AB209">
        <v>0</v>
      </c>
      <c r="AC209">
        <v>0</v>
      </c>
      <c r="AD209" s="20">
        <v>40792</v>
      </c>
      <c r="AE209">
        <v>3.6</v>
      </c>
      <c r="AF209">
        <v>0</v>
      </c>
      <c r="AH209">
        <v>0</v>
      </c>
      <c r="AJ209">
        <v>0</v>
      </c>
      <c r="AL209">
        <v>0</v>
      </c>
      <c r="AM209">
        <v>0</v>
      </c>
      <c r="AN209">
        <v>16601001</v>
      </c>
      <c r="AO209">
        <v>0</v>
      </c>
      <c r="AP209">
        <v>1000</v>
      </c>
      <c r="AT209">
        <v>0</v>
      </c>
      <c r="AU209" t="s">
        <v>1059</v>
      </c>
      <c r="AW209" t="s">
        <v>1053</v>
      </c>
      <c r="AX209">
        <v>0</v>
      </c>
      <c r="AY209" s="20">
        <v>40792</v>
      </c>
      <c r="BA209" s="20">
        <v>40792</v>
      </c>
      <c r="BB209" t="s">
        <v>1058</v>
      </c>
      <c r="BD209">
        <v>0</v>
      </c>
      <c r="BF209" t="s">
        <v>1043</v>
      </c>
      <c r="BG209" t="s">
        <v>1042</v>
      </c>
      <c r="BH209">
        <v>0</v>
      </c>
      <c r="BI209">
        <v>1</v>
      </c>
      <c r="BJ209">
        <v>0</v>
      </c>
      <c r="BK209">
        <v>0</v>
      </c>
      <c r="BM209" t="s">
        <v>1042</v>
      </c>
      <c r="BN209">
        <v>0</v>
      </c>
      <c r="BR209" t="s">
        <v>1043</v>
      </c>
      <c r="BS209" t="s">
        <v>1043</v>
      </c>
      <c r="BT209" t="s">
        <v>1043</v>
      </c>
      <c r="BW209">
        <v>83</v>
      </c>
      <c r="CA209">
        <v>0</v>
      </c>
      <c r="CB209" t="s">
        <v>1057</v>
      </c>
      <c r="CE209" t="s">
        <v>1043</v>
      </c>
      <c r="CH209" t="s">
        <v>1043</v>
      </c>
      <c r="CN209" t="s">
        <v>1056</v>
      </c>
      <c r="CO209" t="s">
        <v>1043</v>
      </c>
      <c r="CP209">
        <v>1</v>
      </c>
      <c r="CQ209">
        <v>0</v>
      </c>
      <c r="CS209">
        <v>0</v>
      </c>
      <c r="CT209">
        <v>0</v>
      </c>
      <c r="CU209">
        <v>0</v>
      </c>
      <c r="CV209" t="s">
        <v>1045</v>
      </c>
      <c r="CW209">
        <v>0</v>
      </c>
      <c r="CX209">
        <v>0</v>
      </c>
      <c r="CY209">
        <v>0</v>
      </c>
      <c r="CZ209">
        <v>0</v>
      </c>
      <c r="DB209">
        <v>0</v>
      </c>
      <c r="DC209" t="s">
        <v>1043</v>
      </c>
      <c r="DF209" t="s">
        <v>1055</v>
      </c>
      <c r="DH209">
        <v>0</v>
      </c>
      <c r="DJ209">
        <v>0</v>
      </c>
      <c r="DK209" t="s">
        <v>1053</v>
      </c>
      <c r="DL209">
        <v>0</v>
      </c>
      <c r="DN209">
        <v>0</v>
      </c>
      <c r="DO209" t="s">
        <v>1042</v>
      </c>
      <c r="DP209">
        <v>0</v>
      </c>
      <c r="DQ209">
        <v>0</v>
      </c>
      <c r="DS209">
        <v>0</v>
      </c>
      <c r="DU209">
        <v>0</v>
      </c>
      <c r="DW209">
        <v>0</v>
      </c>
      <c r="DX209" t="s">
        <v>1043</v>
      </c>
      <c r="DY209">
        <v>0</v>
      </c>
      <c r="DZ209">
        <v>0</v>
      </c>
      <c r="EA209">
        <v>0</v>
      </c>
      <c r="ED209" t="s">
        <v>1045</v>
      </c>
      <c r="EE209">
        <v>0</v>
      </c>
      <c r="EF209">
        <v>0</v>
      </c>
      <c r="EQ209" t="s">
        <v>1044</v>
      </c>
      <c r="ES209" t="s">
        <v>1053</v>
      </c>
      <c r="ET209">
        <v>0</v>
      </c>
      <c r="EV209">
        <v>0</v>
      </c>
      <c r="EY209" t="s">
        <v>1052</v>
      </c>
      <c r="EZ209">
        <v>0</v>
      </c>
      <c r="FA209" t="s">
        <v>1043</v>
      </c>
      <c r="FB209">
        <v>0</v>
      </c>
      <c r="FC209">
        <v>0</v>
      </c>
      <c r="FE209" t="s">
        <v>1050</v>
      </c>
      <c r="FF209">
        <v>0</v>
      </c>
      <c r="FG209" t="s">
        <v>1050</v>
      </c>
      <c r="FJ209">
        <v>0</v>
      </c>
      <c r="FK209">
        <v>0</v>
      </c>
      <c r="FP209">
        <v>0</v>
      </c>
      <c r="FR209">
        <v>0</v>
      </c>
      <c r="FS209" t="s">
        <v>1043</v>
      </c>
      <c r="FX209" t="s">
        <v>1042</v>
      </c>
      <c r="FZ209" t="s">
        <v>1048</v>
      </c>
      <c r="GA209">
        <v>0</v>
      </c>
      <c r="GB209" t="s">
        <v>1042</v>
      </c>
      <c r="GE209">
        <v>0</v>
      </c>
      <c r="GG209">
        <v>0</v>
      </c>
      <c r="GN209">
        <v>0</v>
      </c>
      <c r="GO209" t="s">
        <v>1063</v>
      </c>
      <c r="GQ209">
        <v>0</v>
      </c>
      <c r="GU209">
        <v>0</v>
      </c>
      <c r="GY209" t="s">
        <v>1045</v>
      </c>
      <c r="HB209">
        <v>0</v>
      </c>
      <c r="HE209">
        <v>0</v>
      </c>
      <c r="HF209">
        <v>0</v>
      </c>
      <c r="HG209">
        <v>0</v>
      </c>
      <c r="HK209" t="s">
        <v>1042</v>
      </c>
      <c r="HM209" t="s">
        <v>1047</v>
      </c>
      <c r="HN209">
        <v>0</v>
      </c>
      <c r="HP209">
        <v>0</v>
      </c>
      <c r="HQ209">
        <v>0</v>
      </c>
      <c r="HR209" t="s">
        <v>1042</v>
      </c>
      <c r="HS209" t="s">
        <v>1043</v>
      </c>
      <c r="HT209">
        <v>0</v>
      </c>
      <c r="HU209">
        <v>0</v>
      </c>
      <c r="HW209">
        <v>0</v>
      </c>
      <c r="HX209">
        <v>0</v>
      </c>
      <c r="HY209">
        <v>0</v>
      </c>
      <c r="HZ209" t="s">
        <v>1045</v>
      </c>
      <c r="IA209">
        <v>0</v>
      </c>
      <c r="IB209" t="s">
        <v>1045</v>
      </c>
      <c r="ID209" t="s">
        <v>1045</v>
      </c>
      <c r="IF209">
        <v>0</v>
      </c>
      <c r="IG209" t="s">
        <v>1042</v>
      </c>
      <c r="II209" t="s">
        <v>1042</v>
      </c>
      <c r="IR209" t="s">
        <v>1045</v>
      </c>
      <c r="IT209">
        <v>0</v>
      </c>
      <c r="IY209" t="s">
        <v>1044</v>
      </c>
      <c r="IZ209" t="s">
        <v>1043</v>
      </c>
      <c r="JC209" t="s">
        <v>1043</v>
      </c>
      <c r="JE209">
        <v>0</v>
      </c>
      <c r="JF209">
        <v>0</v>
      </c>
      <c r="JI209" t="s">
        <v>1042</v>
      </c>
      <c r="JJ209">
        <v>0</v>
      </c>
      <c r="JK209">
        <v>0</v>
      </c>
      <c r="JL209">
        <v>0</v>
      </c>
      <c r="JM209">
        <v>0</v>
      </c>
      <c r="JQ209" t="s">
        <v>1043</v>
      </c>
      <c r="JT209">
        <v>0</v>
      </c>
      <c r="JU209" t="s">
        <v>1042</v>
      </c>
      <c r="JW209">
        <v>0</v>
      </c>
      <c r="KA209">
        <v>0</v>
      </c>
      <c r="KF209">
        <v>0</v>
      </c>
      <c r="KG209">
        <v>0</v>
      </c>
      <c r="KH209">
        <v>0</v>
      </c>
      <c r="KI209">
        <v>0</v>
      </c>
      <c r="KS209" t="s">
        <v>1073</v>
      </c>
      <c r="KT209">
        <v>0</v>
      </c>
      <c r="KU209">
        <v>0</v>
      </c>
      <c r="KV209">
        <v>0</v>
      </c>
      <c r="KX209">
        <v>0</v>
      </c>
      <c r="KZ209">
        <v>0</v>
      </c>
      <c r="LF209">
        <v>0</v>
      </c>
      <c r="LH209">
        <v>0</v>
      </c>
      <c r="LI209">
        <v>0</v>
      </c>
    </row>
    <row r="210" spans="1:321" x14ac:dyDescent="0.35">
      <c r="A210">
        <v>1</v>
      </c>
      <c r="B210">
        <v>12439</v>
      </c>
      <c r="C210" t="s">
        <v>1483</v>
      </c>
      <c r="D210" t="s">
        <v>1139</v>
      </c>
      <c r="E210" t="s">
        <v>85</v>
      </c>
      <c r="F210">
        <v>80</v>
      </c>
      <c r="G210">
        <v>9000</v>
      </c>
      <c r="H210">
        <v>0</v>
      </c>
      <c r="I210" t="s">
        <v>1050</v>
      </c>
      <c r="L210">
        <v>0</v>
      </c>
      <c r="M210">
        <v>0</v>
      </c>
      <c r="N210">
        <v>0</v>
      </c>
      <c r="R210">
        <v>0</v>
      </c>
      <c r="S210">
        <v>0</v>
      </c>
      <c r="W210" t="s">
        <v>1060</v>
      </c>
      <c r="X210">
        <v>0</v>
      </c>
      <c r="Z210">
        <v>1</v>
      </c>
      <c r="AA210">
        <v>0</v>
      </c>
      <c r="AB210">
        <v>0</v>
      </c>
      <c r="AC210">
        <v>0</v>
      </c>
      <c r="AD210" s="20">
        <v>40792</v>
      </c>
      <c r="AE210">
        <v>3.6</v>
      </c>
      <c r="AF210">
        <v>0</v>
      </c>
      <c r="AH210">
        <v>0</v>
      </c>
      <c r="AJ210">
        <v>0</v>
      </c>
      <c r="AL210">
        <v>0</v>
      </c>
      <c r="AM210">
        <v>0</v>
      </c>
      <c r="AN210">
        <v>16601001</v>
      </c>
      <c r="AO210">
        <v>0</v>
      </c>
      <c r="AP210">
        <v>1000</v>
      </c>
      <c r="AT210">
        <v>0</v>
      </c>
      <c r="AU210" t="s">
        <v>1059</v>
      </c>
      <c r="AW210" t="s">
        <v>1053</v>
      </c>
      <c r="AX210">
        <v>0</v>
      </c>
      <c r="AY210" s="20">
        <v>40792</v>
      </c>
      <c r="BA210" s="20">
        <v>40792</v>
      </c>
      <c r="BB210" t="s">
        <v>1058</v>
      </c>
      <c r="BD210">
        <v>0</v>
      </c>
      <c r="BF210" t="s">
        <v>1043</v>
      </c>
      <c r="BG210" t="s">
        <v>1042</v>
      </c>
      <c r="BH210">
        <v>0</v>
      </c>
      <c r="BI210">
        <v>1</v>
      </c>
      <c r="BJ210">
        <v>0</v>
      </c>
      <c r="BK210">
        <v>0</v>
      </c>
      <c r="BM210" t="s">
        <v>1042</v>
      </c>
      <c r="BN210">
        <v>0</v>
      </c>
      <c r="BR210" t="s">
        <v>1043</v>
      </c>
      <c r="BS210" t="s">
        <v>1043</v>
      </c>
      <c r="BT210" t="s">
        <v>1043</v>
      </c>
      <c r="BW210">
        <v>83</v>
      </c>
      <c r="CA210">
        <v>0</v>
      </c>
      <c r="CB210" t="s">
        <v>1057</v>
      </c>
      <c r="CE210" t="s">
        <v>1043</v>
      </c>
      <c r="CH210" t="s">
        <v>1043</v>
      </c>
      <c r="CN210" t="s">
        <v>1056</v>
      </c>
      <c r="CO210" t="s">
        <v>1043</v>
      </c>
      <c r="CP210">
        <v>1</v>
      </c>
      <c r="CQ210">
        <v>0</v>
      </c>
      <c r="CS210">
        <v>0</v>
      </c>
      <c r="CT210">
        <v>0</v>
      </c>
      <c r="CU210">
        <v>0</v>
      </c>
      <c r="CV210" t="s">
        <v>1045</v>
      </c>
      <c r="CW210">
        <v>0</v>
      </c>
      <c r="CX210">
        <v>0</v>
      </c>
      <c r="CY210">
        <v>0</v>
      </c>
      <c r="CZ210">
        <v>0</v>
      </c>
      <c r="DB210">
        <v>0</v>
      </c>
      <c r="DC210" t="s">
        <v>1043</v>
      </c>
      <c r="DF210" t="s">
        <v>1055</v>
      </c>
      <c r="DH210">
        <v>0</v>
      </c>
      <c r="DJ210">
        <v>0</v>
      </c>
      <c r="DK210" t="s">
        <v>1053</v>
      </c>
      <c r="DL210">
        <v>0</v>
      </c>
      <c r="DN210">
        <v>0</v>
      </c>
      <c r="DO210" t="s">
        <v>1042</v>
      </c>
      <c r="DP210">
        <v>0</v>
      </c>
      <c r="DQ210">
        <v>0</v>
      </c>
      <c r="DS210">
        <v>0</v>
      </c>
      <c r="DU210">
        <v>0</v>
      </c>
      <c r="DW210">
        <v>0</v>
      </c>
      <c r="DX210" t="s">
        <v>1043</v>
      </c>
      <c r="DY210">
        <v>0</v>
      </c>
      <c r="DZ210">
        <v>0</v>
      </c>
      <c r="EA210">
        <v>0</v>
      </c>
      <c r="ED210" t="s">
        <v>1045</v>
      </c>
      <c r="EE210">
        <v>0</v>
      </c>
      <c r="EF210">
        <v>0</v>
      </c>
      <c r="EQ210" t="s">
        <v>1044</v>
      </c>
      <c r="ES210" t="s">
        <v>1053</v>
      </c>
      <c r="ET210">
        <v>0</v>
      </c>
      <c r="EV210">
        <v>0</v>
      </c>
      <c r="EY210" t="s">
        <v>1052</v>
      </c>
      <c r="EZ210">
        <v>0</v>
      </c>
      <c r="FA210" t="s">
        <v>1043</v>
      </c>
      <c r="FB210">
        <v>0</v>
      </c>
      <c r="FC210">
        <v>0</v>
      </c>
      <c r="FE210" t="s">
        <v>1050</v>
      </c>
      <c r="FF210">
        <v>0</v>
      </c>
      <c r="FG210" t="s">
        <v>1050</v>
      </c>
      <c r="FJ210">
        <v>0</v>
      </c>
      <c r="FK210">
        <v>0</v>
      </c>
      <c r="FP210">
        <v>0</v>
      </c>
      <c r="FR210">
        <v>0</v>
      </c>
      <c r="FS210" t="s">
        <v>1043</v>
      </c>
      <c r="FX210" t="s">
        <v>1042</v>
      </c>
      <c r="FZ210" t="s">
        <v>1048</v>
      </c>
      <c r="GA210">
        <v>0</v>
      </c>
      <c r="GB210" t="s">
        <v>1042</v>
      </c>
      <c r="GE210">
        <v>0</v>
      </c>
      <c r="GG210">
        <v>0</v>
      </c>
      <c r="GN210">
        <v>0</v>
      </c>
      <c r="GO210" t="s">
        <v>1063</v>
      </c>
      <c r="GQ210">
        <v>0</v>
      </c>
      <c r="GU210">
        <v>0</v>
      </c>
      <c r="GY210" t="s">
        <v>1045</v>
      </c>
      <c r="HB210">
        <v>0</v>
      </c>
      <c r="HE210">
        <v>0</v>
      </c>
      <c r="HF210">
        <v>0</v>
      </c>
      <c r="HG210">
        <v>0</v>
      </c>
      <c r="HK210" t="s">
        <v>1042</v>
      </c>
      <c r="HM210" t="s">
        <v>1047</v>
      </c>
      <c r="HN210">
        <v>0</v>
      </c>
      <c r="HP210">
        <v>0</v>
      </c>
      <c r="HQ210">
        <v>0</v>
      </c>
      <c r="HR210" t="s">
        <v>1042</v>
      </c>
      <c r="HS210" t="s">
        <v>1043</v>
      </c>
      <c r="HT210">
        <v>0</v>
      </c>
      <c r="HU210">
        <v>0</v>
      </c>
      <c r="HW210">
        <v>0</v>
      </c>
      <c r="HX210">
        <v>0</v>
      </c>
      <c r="HY210">
        <v>0</v>
      </c>
      <c r="HZ210" t="s">
        <v>1045</v>
      </c>
      <c r="IA210">
        <v>0</v>
      </c>
      <c r="IB210" t="s">
        <v>1045</v>
      </c>
      <c r="ID210" t="s">
        <v>1045</v>
      </c>
      <c r="IF210">
        <v>0</v>
      </c>
      <c r="IG210" t="s">
        <v>1042</v>
      </c>
      <c r="II210" t="s">
        <v>1042</v>
      </c>
      <c r="IR210" t="s">
        <v>1045</v>
      </c>
      <c r="IT210">
        <v>0</v>
      </c>
      <c r="IY210" t="s">
        <v>1044</v>
      </c>
      <c r="IZ210" t="s">
        <v>1043</v>
      </c>
      <c r="JC210" t="s">
        <v>1043</v>
      </c>
      <c r="JE210">
        <v>0</v>
      </c>
      <c r="JF210">
        <v>0</v>
      </c>
      <c r="JI210" t="s">
        <v>1042</v>
      </c>
      <c r="JJ210">
        <v>0</v>
      </c>
      <c r="JK210">
        <v>0</v>
      </c>
      <c r="JL210">
        <v>0</v>
      </c>
      <c r="JM210">
        <v>0</v>
      </c>
      <c r="JQ210" t="s">
        <v>1043</v>
      </c>
      <c r="JT210">
        <v>0</v>
      </c>
      <c r="JU210" t="s">
        <v>1042</v>
      </c>
      <c r="JW210">
        <v>0</v>
      </c>
      <c r="KA210">
        <v>0</v>
      </c>
      <c r="KF210">
        <v>0</v>
      </c>
      <c r="KG210">
        <v>0</v>
      </c>
      <c r="KH210">
        <v>0</v>
      </c>
      <c r="KI210">
        <v>0</v>
      </c>
      <c r="KS210" t="s">
        <v>1073</v>
      </c>
      <c r="KT210">
        <v>0</v>
      </c>
      <c r="KU210">
        <v>0</v>
      </c>
      <c r="KV210">
        <v>0</v>
      </c>
      <c r="KX210">
        <v>0</v>
      </c>
      <c r="KZ210">
        <v>0</v>
      </c>
      <c r="LF210">
        <v>0</v>
      </c>
      <c r="LH210">
        <v>0</v>
      </c>
      <c r="LI210">
        <v>0</v>
      </c>
    </row>
    <row r="211" spans="1:321" x14ac:dyDescent="0.35">
      <c r="A211">
        <v>1</v>
      </c>
      <c r="B211">
        <v>12440</v>
      </c>
      <c r="C211" t="s">
        <v>1482</v>
      </c>
      <c r="D211" t="s">
        <v>1139</v>
      </c>
      <c r="E211" t="s">
        <v>1085</v>
      </c>
      <c r="F211">
        <v>80</v>
      </c>
      <c r="G211">
        <v>9000</v>
      </c>
      <c r="H211">
        <v>0</v>
      </c>
      <c r="I211" t="s">
        <v>1050</v>
      </c>
      <c r="L211">
        <v>0</v>
      </c>
      <c r="M211">
        <v>0</v>
      </c>
      <c r="N211">
        <v>0</v>
      </c>
      <c r="R211">
        <v>0</v>
      </c>
      <c r="S211">
        <v>0</v>
      </c>
      <c r="W211" t="s">
        <v>1060</v>
      </c>
      <c r="X211">
        <v>0</v>
      </c>
      <c r="Z211">
        <v>1</v>
      </c>
      <c r="AA211">
        <v>0</v>
      </c>
      <c r="AB211">
        <v>0</v>
      </c>
      <c r="AC211">
        <v>0</v>
      </c>
      <c r="AD211" s="20">
        <v>40792</v>
      </c>
      <c r="AE211">
        <v>3.6</v>
      </c>
      <c r="AF211">
        <v>0</v>
      </c>
      <c r="AH211">
        <v>0</v>
      </c>
      <c r="AJ211">
        <v>0</v>
      </c>
      <c r="AL211">
        <v>0</v>
      </c>
      <c r="AM211">
        <v>0</v>
      </c>
      <c r="AN211">
        <v>16601001</v>
      </c>
      <c r="AO211">
        <v>0</v>
      </c>
      <c r="AP211">
        <v>1000</v>
      </c>
      <c r="AT211">
        <v>0</v>
      </c>
      <c r="AU211" t="s">
        <v>1059</v>
      </c>
      <c r="AW211" t="s">
        <v>1053</v>
      </c>
      <c r="AX211">
        <v>0</v>
      </c>
      <c r="AY211" s="20">
        <v>40792</v>
      </c>
      <c r="BA211" s="20">
        <v>40792</v>
      </c>
      <c r="BB211" t="s">
        <v>1058</v>
      </c>
      <c r="BD211">
        <v>0</v>
      </c>
      <c r="BF211" t="s">
        <v>1043</v>
      </c>
      <c r="BG211" t="s">
        <v>1042</v>
      </c>
      <c r="BH211">
        <v>0</v>
      </c>
      <c r="BI211">
        <v>1</v>
      </c>
      <c r="BJ211">
        <v>0</v>
      </c>
      <c r="BK211">
        <v>0</v>
      </c>
      <c r="BM211" t="s">
        <v>1042</v>
      </c>
      <c r="BN211">
        <v>0</v>
      </c>
      <c r="BR211" t="s">
        <v>1043</v>
      </c>
      <c r="BS211" t="s">
        <v>1043</v>
      </c>
      <c r="BT211" t="s">
        <v>1043</v>
      </c>
      <c r="BW211">
        <v>83</v>
      </c>
      <c r="CA211">
        <v>0</v>
      </c>
      <c r="CB211" t="s">
        <v>1057</v>
      </c>
      <c r="CE211" t="s">
        <v>1043</v>
      </c>
      <c r="CH211" t="s">
        <v>1043</v>
      </c>
      <c r="CN211" t="s">
        <v>1056</v>
      </c>
      <c r="CO211" t="s">
        <v>1043</v>
      </c>
      <c r="CP211">
        <v>1</v>
      </c>
      <c r="CQ211">
        <v>0</v>
      </c>
      <c r="CS211">
        <v>0</v>
      </c>
      <c r="CT211">
        <v>0</v>
      </c>
      <c r="CU211">
        <v>0</v>
      </c>
      <c r="CV211" t="s">
        <v>1045</v>
      </c>
      <c r="CW211">
        <v>0</v>
      </c>
      <c r="CX211">
        <v>0</v>
      </c>
      <c r="CY211">
        <v>0</v>
      </c>
      <c r="CZ211">
        <v>0</v>
      </c>
      <c r="DB211">
        <v>0</v>
      </c>
      <c r="DC211" t="s">
        <v>1043</v>
      </c>
      <c r="DF211" t="s">
        <v>1055</v>
      </c>
      <c r="DH211">
        <v>0</v>
      </c>
      <c r="DJ211">
        <v>0</v>
      </c>
      <c r="DK211" t="s">
        <v>1053</v>
      </c>
      <c r="DL211">
        <v>0</v>
      </c>
      <c r="DN211">
        <v>0</v>
      </c>
      <c r="DO211" t="s">
        <v>1042</v>
      </c>
      <c r="DP211">
        <v>0</v>
      </c>
      <c r="DQ211">
        <v>0</v>
      </c>
      <c r="DS211">
        <v>0</v>
      </c>
      <c r="DU211">
        <v>0</v>
      </c>
      <c r="DW211">
        <v>0</v>
      </c>
      <c r="DX211" t="s">
        <v>1043</v>
      </c>
      <c r="DY211">
        <v>0</v>
      </c>
      <c r="DZ211">
        <v>0</v>
      </c>
      <c r="EA211">
        <v>0</v>
      </c>
      <c r="ED211" t="s">
        <v>1045</v>
      </c>
      <c r="EE211">
        <v>0</v>
      </c>
      <c r="EF211">
        <v>0</v>
      </c>
      <c r="EQ211" t="s">
        <v>1044</v>
      </c>
      <c r="ES211" t="s">
        <v>1053</v>
      </c>
      <c r="ET211">
        <v>0</v>
      </c>
      <c r="EV211">
        <v>0</v>
      </c>
      <c r="EY211" t="s">
        <v>1052</v>
      </c>
      <c r="EZ211">
        <v>0</v>
      </c>
      <c r="FA211" t="s">
        <v>1043</v>
      </c>
      <c r="FB211">
        <v>0</v>
      </c>
      <c r="FC211">
        <v>0</v>
      </c>
      <c r="FE211" t="s">
        <v>1050</v>
      </c>
      <c r="FF211">
        <v>0</v>
      </c>
      <c r="FG211" t="s">
        <v>1050</v>
      </c>
      <c r="FJ211">
        <v>0</v>
      </c>
      <c r="FK211">
        <v>0</v>
      </c>
      <c r="FP211">
        <v>0</v>
      </c>
      <c r="FR211">
        <v>0</v>
      </c>
      <c r="FS211" t="s">
        <v>1043</v>
      </c>
      <c r="FX211" t="s">
        <v>1042</v>
      </c>
      <c r="FZ211" t="s">
        <v>1048</v>
      </c>
      <c r="GA211">
        <v>0</v>
      </c>
      <c r="GB211" t="s">
        <v>1042</v>
      </c>
      <c r="GE211">
        <v>0</v>
      </c>
      <c r="GG211">
        <v>0</v>
      </c>
      <c r="GN211">
        <v>0</v>
      </c>
      <c r="GO211" t="s">
        <v>1063</v>
      </c>
      <c r="GQ211">
        <v>0</v>
      </c>
      <c r="GU211">
        <v>0</v>
      </c>
      <c r="GY211" t="s">
        <v>1045</v>
      </c>
      <c r="HB211">
        <v>0</v>
      </c>
      <c r="HE211">
        <v>0</v>
      </c>
      <c r="HF211">
        <v>0</v>
      </c>
      <c r="HG211">
        <v>0</v>
      </c>
      <c r="HK211" t="s">
        <v>1042</v>
      </c>
      <c r="HM211" t="s">
        <v>1047</v>
      </c>
      <c r="HN211">
        <v>0</v>
      </c>
      <c r="HP211">
        <v>0</v>
      </c>
      <c r="HQ211">
        <v>0</v>
      </c>
      <c r="HR211" t="s">
        <v>1042</v>
      </c>
      <c r="HS211" t="s">
        <v>1043</v>
      </c>
      <c r="HT211">
        <v>0</v>
      </c>
      <c r="HU211">
        <v>0</v>
      </c>
      <c r="HW211">
        <v>0</v>
      </c>
      <c r="HX211">
        <v>0</v>
      </c>
      <c r="HY211">
        <v>0</v>
      </c>
      <c r="HZ211" t="s">
        <v>1045</v>
      </c>
      <c r="IA211">
        <v>0</v>
      </c>
      <c r="IB211" t="s">
        <v>1045</v>
      </c>
      <c r="ID211" t="s">
        <v>1045</v>
      </c>
      <c r="IF211">
        <v>0</v>
      </c>
      <c r="IG211" t="s">
        <v>1042</v>
      </c>
      <c r="II211" t="s">
        <v>1042</v>
      </c>
      <c r="IR211" t="s">
        <v>1045</v>
      </c>
      <c r="IT211">
        <v>0</v>
      </c>
      <c r="IY211" t="s">
        <v>1044</v>
      </c>
      <c r="IZ211" t="s">
        <v>1043</v>
      </c>
      <c r="JC211" t="s">
        <v>1043</v>
      </c>
      <c r="JE211">
        <v>0</v>
      </c>
      <c r="JF211">
        <v>0</v>
      </c>
      <c r="JI211" t="s">
        <v>1042</v>
      </c>
      <c r="JJ211">
        <v>0</v>
      </c>
      <c r="JK211">
        <v>0</v>
      </c>
      <c r="JL211">
        <v>0</v>
      </c>
      <c r="JM211">
        <v>0</v>
      </c>
      <c r="JQ211" t="s">
        <v>1043</v>
      </c>
      <c r="JT211">
        <v>0</v>
      </c>
      <c r="JU211" t="s">
        <v>1042</v>
      </c>
      <c r="JW211">
        <v>0</v>
      </c>
      <c r="KA211">
        <v>0</v>
      </c>
      <c r="KF211">
        <v>0</v>
      </c>
      <c r="KG211">
        <v>0</v>
      </c>
      <c r="KH211">
        <v>0</v>
      </c>
      <c r="KI211">
        <v>0</v>
      </c>
      <c r="KS211" t="s">
        <v>1073</v>
      </c>
      <c r="KT211">
        <v>0</v>
      </c>
      <c r="KU211">
        <v>0</v>
      </c>
      <c r="KV211">
        <v>0</v>
      </c>
      <c r="KX211">
        <v>0</v>
      </c>
      <c r="KZ211">
        <v>0</v>
      </c>
      <c r="LF211">
        <v>0</v>
      </c>
      <c r="LH211">
        <v>0</v>
      </c>
      <c r="LI211">
        <v>0</v>
      </c>
    </row>
    <row r="212" spans="1:321" x14ac:dyDescent="0.35">
      <c r="A212">
        <v>1</v>
      </c>
      <c r="B212">
        <v>12441</v>
      </c>
      <c r="C212" t="s">
        <v>1481</v>
      </c>
      <c r="D212" t="s">
        <v>1139</v>
      </c>
      <c r="E212" t="s">
        <v>85</v>
      </c>
      <c r="F212">
        <v>80</v>
      </c>
      <c r="G212">
        <v>9000</v>
      </c>
      <c r="H212">
        <v>0</v>
      </c>
      <c r="I212" t="s">
        <v>1050</v>
      </c>
      <c r="L212">
        <v>0</v>
      </c>
      <c r="M212">
        <v>0</v>
      </c>
      <c r="N212">
        <v>0</v>
      </c>
      <c r="R212">
        <v>0</v>
      </c>
      <c r="S212">
        <v>0</v>
      </c>
      <c r="W212" t="s">
        <v>1060</v>
      </c>
      <c r="X212">
        <v>0</v>
      </c>
      <c r="Z212">
        <v>1</v>
      </c>
      <c r="AA212">
        <v>0</v>
      </c>
      <c r="AB212">
        <v>0</v>
      </c>
      <c r="AC212">
        <v>0</v>
      </c>
      <c r="AD212" s="20">
        <v>40792</v>
      </c>
      <c r="AE212">
        <v>3.6</v>
      </c>
      <c r="AF212">
        <v>0</v>
      </c>
      <c r="AH212">
        <v>0</v>
      </c>
      <c r="AJ212">
        <v>0</v>
      </c>
      <c r="AL212">
        <v>0</v>
      </c>
      <c r="AM212">
        <v>0</v>
      </c>
      <c r="AN212">
        <v>16601001</v>
      </c>
      <c r="AO212">
        <v>0</v>
      </c>
      <c r="AP212">
        <v>1000</v>
      </c>
      <c r="AT212">
        <v>0</v>
      </c>
      <c r="AU212" t="s">
        <v>1059</v>
      </c>
      <c r="AW212" t="s">
        <v>1053</v>
      </c>
      <c r="AX212">
        <v>0</v>
      </c>
      <c r="AY212" s="20">
        <v>40792</v>
      </c>
      <c r="BA212" s="20">
        <v>40792</v>
      </c>
      <c r="BB212" t="s">
        <v>1058</v>
      </c>
      <c r="BD212">
        <v>0</v>
      </c>
      <c r="BF212" t="s">
        <v>1043</v>
      </c>
      <c r="BG212" t="s">
        <v>1042</v>
      </c>
      <c r="BH212">
        <v>0</v>
      </c>
      <c r="BI212">
        <v>1</v>
      </c>
      <c r="BJ212">
        <v>0</v>
      </c>
      <c r="BK212">
        <v>0</v>
      </c>
      <c r="BM212" t="s">
        <v>1042</v>
      </c>
      <c r="BN212">
        <v>0</v>
      </c>
      <c r="BR212" t="s">
        <v>1043</v>
      </c>
      <c r="BS212" t="s">
        <v>1043</v>
      </c>
      <c r="BT212" t="s">
        <v>1043</v>
      </c>
      <c r="BW212">
        <v>83</v>
      </c>
      <c r="CA212">
        <v>0</v>
      </c>
      <c r="CB212" t="s">
        <v>1057</v>
      </c>
      <c r="CE212" t="s">
        <v>1043</v>
      </c>
      <c r="CH212" t="s">
        <v>1043</v>
      </c>
      <c r="CN212" t="s">
        <v>1056</v>
      </c>
      <c r="CO212" t="s">
        <v>1043</v>
      </c>
      <c r="CP212">
        <v>1</v>
      </c>
      <c r="CQ212">
        <v>0</v>
      </c>
      <c r="CS212">
        <v>0</v>
      </c>
      <c r="CT212">
        <v>0</v>
      </c>
      <c r="CU212">
        <v>0</v>
      </c>
      <c r="CV212" t="s">
        <v>1045</v>
      </c>
      <c r="CW212">
        <v>0</v>
      </c>
      <c r="CX212">
        <v>0</v>
      </c>
      <c r="CY212">
        <v>0</v>
      </c>
      <c r="CZ212">
        <v>0</v>
      </c>
      <c r="DB212">
        <v>0</v>
      </c>
      <c r="DC212" t="s">
        <v>1043</v>
      </c>
      <c r="DF212" t="s">
        <v>1055</v>
      </c>
      <c r="DH212">
        <v>0</v>
      </c>
      <c r="DJ212">
        <v>0</v>
      </c>
      <c r="DK212" t="s">
        <v>1053</v>
      </c>
      <c r="DL212">
        <v>0</v>
      </c>
      <c r="DN212">
        <v>0</v>
      </c>
      <c r="DO212" t="s">
        <v>1042</v>
      </c>
      <c r="DP212">
        <v>0</v>
      </c>
      <c r="DQ212">
        <v>0</v>
      </c>
      <c r="DS212">
        <v>0</v>
      </c>
      <c r="DU212">
        <v>0</v>
      </c>
      <c r="DW212">
        <v>0</v>
      </c>
      <c r="DX212" t="s">
        <v>1043</v>
      </c>
      <c r="DY212">
        <v>0</v>
      </c>
      <c r="DZ212">
        <v>0</v>
      </c>
      <c r="EA212">
        <v>0</v>
      </c>
      <c r="ED212" t="s">
        <v>1045</v>
      </c>
      <c r="EE212">
        <v>0</v>
      </c>
      <c r="EF212">
        <v>0</v>
      </c>
      <c r="EQ212" t="s">
        <v>1044</v>
      </c>
      <c r="ES212" t="s">
        <v>1053</v>
      </c>
      <c r="ET212">
        <v>0</v>
      </c>
      <c r="EV212">
        <v>0</v>
      </c>
      <c r="EY212" t="s">
        <v>1052</v>
      </c>
      <c r="EZ212">
        <v>0</v>
      </c>
      <c r="FA212" t="s">
        <v>1043</v>
      </c>
      <c r="FB212">
        <v>0</v>
      </c>
      <c r="FC212">
        <v>0</v>
      </c>
      <c r="FE212" t="s">
        <v>1050</v>
      </c>
      <c r="FF212">
        <v>0</v>
      </c>
      <c r="FG212" t="s">
        <v>1050</v>
      </c>
      <c r="FJ212">
        <v>0</v>
      </c>
      <c r="FK212">
        <v>0</v>
      </c>
      <c r="FP212">
        <v>0</v>
      </c>
      <c r="FR212">
        <v>0</v>
      </c>
      <c r="FS212" t="s">
        <v>1043</v>
      </c>
      <c r="FX212" t="s">
        <v>1042</v>
      </c>
      <c r="FZ212" t="s">
        <v>1048</v>
      </c>
      <c r="GA212">
        <v>0</v>
      </c>
      <c r="GB212" t="s">
        <v>1042</v>
      </c>
      <c r="GE212">
        <v>0</v>
      </c>
      <c r="GG212">
        <v>0</v>
      </c>
      <c r="GN212">
        <v>0</v>
      </c>
      <c r="GO212" t="s">
        <v>1063</v>
      </c>
      <c r="GQ212">
        <v>0</v>
      </c>
      <c r="GU212">
        <v>0</v>
      </c>
      <c r="GY212" t="s">
        <v>1045</v>
      </c>
      <c r="HB212">
        <v>0</v>
      </c>
      <c r="HE212">
        <v>0</v>
      </c>
      <c r="HF212">
        <v>0</v>
      </c>
      <c r="HG212">
        <v>0</v>
      </c>
      <c r="HK212" t="s">
        <v>1042</v>
      </c>
      <c r="HM212" t="s">
        <v>1047</v>
      </c>
      <c r="HN212">
        <v>0</v>
      </c>
      <c r="HP212">
        <v>0</v>
      </c>
      <c r="HQ212">
        <v>0</v>
      </c>
      <c r="HR212" t="s">
        <v>1042</v>
      </c>
      <c r="HS212" t="s">
        <v>1043</v>
      </c>
      <c r="HT212">
        <v>0</v>
      </c>
      <c r="HU212">
        <v>0</v>
      </c>
      <c r="HW212">
        <v>0</v>
      </c>
      <c r="HX212">
        <v>0</v>
      </c>
      <c r="HY212">
        <v>0</v>
      </c>
      <c r="HZ212" t="s">
        <v>1045</v>
      </c>
      <c r="IA212">
        <v>0</v>
      </c>
      <c r="IB212" t="s">
        <v>1045</v>
      </c>
      <c r="ID212" t="s">
        <v>1045</v>
      </c>
      <c r="IF212">
        <v>0</v>
      </c>
      <c r="IG212" t="s">
        <v>1042</v>
      </c>
      <c r="II212" t="s">
        <v>1042</v>
      </c>
      <c r="IR212" t="s">
        <v>1045</v>
      </c>
      <c r="IT212">
        <v>0</v>
      </c>
      <c r="IY212" t="s">
        <v>1044</v>
      </c>
      <c r="IZ212" t="s">
        <v>1043</v>
      </c>
      <c r="JC212" t="s">
        <v>1043</v>
      </c>
      <c r="JE212">
        <v>0</v>
      </c>
      <c r="JF212">
        <v>0</v>
      </c>
      <c r="JI212" t="s">
        <v>1042</v>
      </c>
      <c r="JJ212">
        <v>0</v>
      </c>
      <c r="JK212">
        <v>0</v>
      </c>
      <c r="JL212">
        <v>0</v>
      </c>
      <c r="JM212">
        <v>0</v>
      </c>
      <c r="JQ212" t="s">
        <v>1043</v>
      </c>
      <c r="JT212">
        <v>0</v>
      </c>
      <c r="JU212" t="s">
        <v>1042</v>
      </c>
      <c r="JW212">
        <v>0</v>
      </c>
      <c r="KA212">
        <v>0</v>
      </c>
      <c r="KF212">
        <v>0</v>
      </c>
      <c r="KG212">
        <v>0</v>
      </c>
      <c r="KH212">
        <v>0</v>
      </c>
      <c r="KI212">
        <v>0</v>
      </c>
      <c r="KS212" t="s">
        <v>1073</v>
      </c>
      <c r="KT212">
        <v>0</v>
      </c>
      <c r="KU212">
        <v>0</v>
      </c>
      <c r="KV212">
        <v>0</v>
      </c>
      <c r="KX212">
        <v>0</v>
      </c>
      <c r="KZ212">
        <v>0</v>
      </c>
      <c r="LF212">
        <v>0</v>
      </c>
      <c r="LH212">
        <v>0</v>
      </c>
      <c r="LI212">
        <v>0</v>
      </c>
    </row>
    <row r="213" spans="1:321" x14ac:dyDescent="0.35">
      <c r="A213">
        <v>1</v>
      </c>
      <c r="B213">
        <v>12442</v>
      </c>
      <c r="C213" t="s">
        <v>1480</v>
      </c>
      <c r="D213" t="s">
        <v>1139</v>
      </c>
      <c r="E213" t="s">
        <v>85</v>
      </c>
      <c r="F213">
        <v>80</v>
      </c>
      <c r="G213">
        <v>9000</v>
      </c>
      <c r="H213">
        <v>0</v>
      </c>
      <c r="I213" t="s">
        <v>1050</v>
      </c>
      <c r="L213">
        <v>0</v>
      </c>
      <c r="M213">
        <v>0</v>
      </c>
      <c r="N213">
        <v>0</v>
      </c>
      <c r="R213">
        <v>0</v>
      </c>
      <c r="S213">
        <v>0</v>
      </c>
      <c r="W213" t="s">
        <v>1060</v>
      </c>
      <c r="X213">
        <v>0</v>
      </c>
      <c r="Z213">
        <v>1</v>
      </c>
      <c r="AA213">
        <v>0</v>
      </c>
      <c r="AB213">
        <v>0</v>
      </c>
      <c r="AC213">
        <v>0</v>
      </c>
      <c r="AD213" s="20">
        <v>40792</v>
      </c>
      <c r="AE213">
        <v>3.6</v>
      </c>
      <c r="AF213">
        <v>0</v>
      </c>
      <c r="AH213">
        <v>0</v>
      </c>
      <c r="AJ213">
        <v>0</v>
      </c>
      <c r="AL213">
        <v>0</v>
      </c>
      <c r="AM213">
        <v>0</v>
      </c>
      <c r="AN213">
        <v>16601001</v>
      </c>
      <c r="AO213">
        <v>0</v>
      </c>
      <c r="AP213">
        <v>1000</v>
      </c>
      <c r="AT213">
        <v>0</v>
      </c>
      <c r="AU213" t="s">
        <v>1059</v>
      </c>
      <c r="AW213" t="s">
        <v>1053</v>
      </c>
      <c r="AX213">
        <v>0</v>
      </c>
      <c r="AY213" s="20">
        <v>40792</v>
      </c>
      <c r="BA213" s="20">
        <v>40792</v>
      </c>
      <c r="BB213" t="s">
        <v>1058</v>
      </c>
      <c r="BD213">
        <v>0</v>
      </c>
      <c r="BF213" t="s">
        <v>1043</v>
      </c>
      <c r="BG213" t="s">
        <v>1042</v>
      </c>
      <c r="BH213">
        <v>0</v>
      </c>
      <c r="BI213">
        <v>1</v>
      </c>
      <c r="BJ213">
        <v>0</v>
      </c>
      <c r="BK213">
        <v>0</v>
      </c>
      <c r="BM213" t="s">
        <v>1042</v>
      </c>
      <c r="BN213">
        <v>0</v>
      </c>
      <c r="BR213" t="s">
        <v>1043</v>
      </c>
      <c r="BS213" t="s">
        <v>1043</v>
      </c>
      <c r="BT213" t="s">
        <v>1043</v>
      </c>
      <c r="BW213">
        <v>83</v>
      </c>
      <c r="CA213">
        <v>0</v>
      </c>
      <c r="CB213" t="s">
        <v>1057</v>
      </c>
      <c r="CE213" t="s">
        <v>1043</v>
      </c>
      <c r="CH213" t="s">
        <v>1043</v>
      </c>
      <c r="CN213" t="s">
        <v>1056</v>
      </c>
      <c r="CO213" t="s">
        <v>1043</v>
      </c>
      <c r="CP213">
        <v>1</v>
      </c>
      <c r="CQ213">
        <v>0</v>
      </c>
      <c r="CS213">
        <v>0</v>
      </c>
      <c r="CT213">
        <v>0</v>
      </c>
      <c r="CU213">
        <v>0</v>
      </c>
      <c r="CV213" t="s">
        <v>1045</v>
      </c>
      <c r="CW213">
        <v>0</v>
      </c>
      <c r="CX213">
        <v>0</v>
      </c>
      <c r="CY213">
        <v>0</v>
      </c>
      <c r="CZ213">
        <v>0</v>
      </c>
      <c r="DB213">
        <v>0</v>
      </c>
      <c r="DC213" t="s">
        <v>1043</v>
      </c>
      <c r="DF213" t="s">
        <v>1055</v>
      </c>
      <c r="DH213">
        <v>0</v>
      </c>
      <c r="DJ213">
        <v>0</v>
      </c>
      <c r="DK213" t="s">
        <v>1053</v>
      </c>
      <c r="DL213">
        <v>0</v>
      </c>
      <c r="DN213">
        <v>0</v>
      </c>
      <c r="DO213" t="s">
        <v>1042</v>
      </c>
      <c r="DP213">
        <v>0</v>
      </c>
      <c r="DQ213">
        <v>0</v>
      </c>
      <c r="DS213">
        <v>0</v>
      </c>
      <c r="DU213">
        <v>0</v>
      </c>
      <c r="DW213">
        <v>0</v>
      </c>
      <c r="DX213" t="s">
        <v>1043</v>
      </c>
      <c r="DY213">
        <v>0</v>
      </c>
      <c r="DZ213">
        <v>0</v>
      </c>
      <c r="EA213">
        <v>0</v>
      </c>
      <c r="ED213" t="s">
        <v>1045</v>
      </c>
      <c r="EE213">
        <v>0</v>
      </c>
      <c r="EF213">
        <v>0</v>
      </c>
      <c r="EQ213" t="s">
        <v>1044</v>
      </c>
      <c r="ES213" t="s">
        <v>1053</v>
      </c>
      <c r="ET213">
        <v>0</v>
      </c>
      <c r="EV213">
        <v>0</v>
      </c>
      <c r="EY213" t="s">
        <v>1052</v>
      </c>
      <c r="EZ213">
        <v>0</v>
      </c>
      <c r="FA213" t="s">
        <v>1043</v>
      </c>
      <c r="FB213">
        <v>0</v>
      </c>
      <c r="FC213">
        <v>0</v>
      </c>
      <c r="FE213" t="s">
        <v>1050</v>
      </c>
      <c r="FF213">
        <v>0</v>
      </c>
      <c r="FG213" t="s">
        <v>1050</v>
      </c>
      <c r="FJ213">
        <v>0</v>
      </c>
      <c r="FK213">
        <v>0</v>
      </c>
      <c r="FP213">
        <v>0</v>
      </c>
      <c r="FR213">
        <v>0</v>
      </c>
      <c r="FS213" t="s">
        <v>1043</v>
      </c>
      <c r="FX213" t="s">
        <v>1042</v>
      </c>
      <c r="FZ213" t="s">
        <v>1048</v>
      </c>
      <c r="GA213">
        <v>0</v>
      </c>
      <c r="GB213" t="s">
        <v>1042</v>
      </c>
      <c r="GE213">
        <v>0</v>
      </c>
      <c r="GG213">
        <v>0</v>
      </c>
      <c r="GN213">
        <v>0</v>
      </c>
      <c r="GO213" t="s">
        <v>1063</v>
      </c>
      <c r="GQ213">
        <v>0</v>
      </c>
      <c r="GU213">
        <v>0</v>
      </c>
      <c r="GY213" t="s">
        <v>1045</v>
      </c>
      <c r="HB213">
        <v>0</v>
      </c>
      <c r="HE213">
        <v>0</v>
      </c>
      <c r="HF213">
        <v>0</v>
      </c>
      <c r="HG213">
        <v>0</v>
      </c>
      <c r="HK213" t="s">
        <v>1042</v>
      </c>
      <c r="HM213" t="s">
        <v>1047</v>
      </c>
      <c r="HN213">
        <v>0</v>
      </c>
      <c r="HP213">
        <v>0</v>
      </c>
      <c r="HQ213">
        <v>0</v>
      </c>
      <c r="HR213" t="s">
        <v>1042</v>
      </c>
      <c r="HS213" t="s">
        <v>1043</v>
      </c>
      <c r="HT213">
        <v>0</v>
      </c>
      <c r="HU213">
        <v>0</v>
      </c>
      <c r="HW213">
        <v>0</v>
      </c>
      <c r="HX213">
        <v>0</v>
      </c>
      <c r="HY213">
        <v>0</v>
      </c>
      <c r="HZ213" t="s">
        <v>1045</v>
      </c>
      <c r="IA213">
        <v>0</v>
      </c>
      <c r="IB213" t="s">
        <v>1045</v>
      </c>
      <c r="ID213" t="s">
        <v>1045</v>
      </c>
      <c r="IF213">
        <v>0</v>
      </c>
      <c r="IG213" t="s">
        <v>1042</v>
      </c>
      <c r="II213" t="s">
        <v>1042</v>
      </c>
      <c r="IR213" t="s">
        <v>1045</v>
      </c>
      <c r="IT213">
        <v>0</v>
      </c>
      <c r="IY213" t="s">
        <v>1044</v>
      </c>
      <c r="IZ213" t="s">
        <v>1043</v>
      </c>
      <c r="JC213" t="s">
        <v>1043</v>
      </c>
      <c r="JE213">
        <v>0</v>
      </c>
      <c r="JF213">
        <v>0</v>
      </c>
      <c r="JI213" t="s">
        <v>1042</v>
      </c>
      <c r="JJ213">
        <v>0</v>
      </c>
      <c r="JK213">
        <v>0</v>
      </c>
      <c r="JL213">
        <v>0</v>
      </c>
      <c r="JM213">
        <v>0</v>
      </c>
      <c r="JQ213" t="s">
        <v>1043</v>
      </c>
      <c r="JT213">
        <v>0</v>
      </c>
      <c r="JU213" t="s">
        <v>1042</v>
      </c>
      <c r="JW213">
        <v>0</v>
      </c>
      <c r="KA213">
        <v>0</v>
      </c>
      <c r="KF213">
        <v>0</v>
      </c>
      <c r="KG213">
        <v>0</v>
      </c>
      <c r="KH213">
        <v>0</v>
      </c>
      <c r="KI213">
        <v>0</v>
      </c>
      <c r="KS213" t="s">
        <v>1073</v>
      </c>
      <c r="KT213">
        <v>0</v>
      </c>
      <c r="KU213">
        <v>0</v>
      </c>
      <c r="KV213">
        <v>0</v>
      </c>
      <c r="KX213">
        <v>0</v>
      </c>
      <c r="KZ213">
        <v>0</v>
      </c>
      <c r="LF213">
        <v>0</v>
      </c>
      <c r="LH213">
        <v>0</v>
      </c>
      <c r="LI213">
        <v>0</v>
      </c>
    </row>
    <row r="214" spans="1:321" x14ac:dyDescent="0.35">
      <c r="A214">
        <v>1</v>
      </c>
      <c r="B214">
        <v>12443</v>
      </c>
      <c r="C214" t="s">
        <v>1479</v>
      </c>
      <c r="D214" t="s">
        <v>1139</v>
      </c>
      <c r="E214" t="s">
        <v>85</v>
      </c>
      <c r="F214">
        <v>80</v>
      </c>
      <c r="G214">
        <v>9000</v>
      </c>
      <c r="H214">
        <v>0</v>
      </c>
      <c r="I214" t="s">
        <v>1050</v>
      </c>
      <c r="L214">
        <v>0</v>
      </c>
      <c r="M214">
        <v>0</v>
      </c>
      <c r="N214">
        <v>0</v>
      </c>
      <c r="R214">
        <v>0</v>
      </c>
      <c r="S214">
        <v>0</v>
      </c>
      <c r="W214" t="s">
        <v>1060</v>
      </c>
      <c r="X214">
        <v>0</v>
      </c>
      <c r="Z214">
        <v>1</v>
      </c>
      <c r="AA214">
        <v>0</v>
      </c>
      <c r="AB214">
        <v>0</v>
      </c>
      <c r="AC214">
        <v>0</v>
      </c>
      <c r="AD214" t="s">
        <v>1042</v>
      </c>
      <c r="AE214">
        <v>3.6</v>
      </c>
      <c r="AF214">
        <v>0</v>
      </c>
      <c r="AH214">
        <v>0</v>
      </c>
      <c r="AJ214">
        <v>0</v>
      </c>
      <c r="AL214">
        <v>0</v>
      </c>
      <c r="AM214">
        <v>0</v>
      </c>
      <c r="AN214">
        <v>16601001</v>
      </c>
      <c r="AO214">
        <v>0</v>
      </c>
      <c r="AP214">
        <v>1000</v>
      </c>
      <c r="AT214">
        <v>0</v>
      </c>
      <c r="AU214" t="s">
        <v>1059</v>
      </c>
      <c r="AW214" t="s">
        <v>1053</v>
      </c>
      <c r="AX214">
        <v>0</v>
      </c>
      <c r="AY214" s="20">
        <v>40792</v>
      </c>
      <c r="BA214" s="20">
        <v>40792</v>
      </c>
      <c r="BB214" t="s">
        <v>1058</v>
      </c>
      <c r="BD214">
        <v>0</v>
      </c>
      <c r="BF214" t="s">
        <v>1043</v>
      </c>
      <c r="BG214" t="s">
        <v>1042</v>
      </c>
      <c r="BH214">
        <v>0</v>
      </c>
      <c r="BI214">
        <v>1</v>
      </c>
      <c r="BJ214">
        <v>0</v>
      </c>
      <c r="BK214">
        <v>0</v>
      </c>
      <c r="BM214" t="s">
        <v>1042</v>
      </c>
      <c r="BN214">
        <v>0</v>
      </c>
      <c r="BR214" t="s">
        <v>1043</v>
      </c>
      <c r="BS214" t="s">
        <v>1043</v>
      </c>
      <c r="BT214" t="s">
        <v>1043</v>
      </c>
      <c r="BW214">
        <v>83</v>
      </c>
      <c r="CA214">
        <v>0</v>
      </c>
      <c r="CB214" t="s">
        <v>1057</v>
      </c>
      <c r="CE214" t="s">
        <v>1043</v>
      </c>
      <c r="CH214" t="s">
        <v>1043</v>
      </c>
      <c r="CN214" t="s">
        <v>1056</v>
      </c>
      <c r="CO214" t="s">
        <v>1043</v>
      </c>
      <c r="CP214">
        <v>1</v>
      </c>
      <c r="CQ214">
        <v>0</v>
      </c>
      <c r="CS214">
        <v>0</v>
      </c>
      <c r="CT214">
        <v>0</v>
      </c>
      <c r="CU214">
        <v>0</v>
      </c>
      <c r="CV214" t="s">
        <v>1045</v>
      </c>
      <c r="CW214">
        <v>0</v>
      </c>
      <c r="CX214">
        <v>0</v>
      </c>
      <c r="CY214">
        <v>0</v>
      </c>
      <c r="CZ214">
        <v>0</v>
      </c>
      <c r="DB214">
        <v>0</v>
      </c>
      <c r="DC214" t="s">
        <v>1043</v>
      </c>
      <c r="DF214" t="s">
        <v>1055</v>
      </c>
      <c r="DH214">
        <v>0</v>
      </c>
      <c r="DJ214">
        <v>0</v>
      </c>
      <c r="DK214" t="s">
        <v>1053</v>
      </c>
      <c r="DL214">
        <v>0</v>
      </c>
      <c r="DN214">
        <v>0</v>
      </c>
      <c r="DO214" t="s">
        <v>1042</v>
      </c>
      <c r="DP214">
        <v>0</v>
      </c>
      <c r="DQ214">
        <v>0</v>
      </c>
      <c r="DS214">
        <v>0</v>
      </c>
      <c r="DU214">
        <v>0</v>
      </c>
      <c r="DW214">
        <v>0</v>
      </c>
      <c r="DX214" t="s">
        <v>1043</v>
      </c>
      <c r="DY214">
        <v>0</v>
      </c>
      <c r="DZ214">
        <v>0</v>
      </c>
      <c r="EA214">
        <v>0</v>
      </c>
      <c r="ED214" t="s">
        <v>1045</v>
      </c>
      <c r="EE214">
        <v>0</v>
      </c>
      <c r="EF214">
        <v>0</v>
      </c>
      <c r="EQ214" t="s">
        <v>1044</v>
      </c>
      <c r="ES214" t="s">
        <v>1053</v>
      </c>
      <c r="ET214">
        <v>0</v>
      </c>
      <c r="EV214">
        <v>0</v>
      </c>
      <c r="EY214" t="s">
        <v>1052</v>
      </c>
      <c r="EZ214">
        <v>0</v>
      </c>
      <c r="FA214" t="s">
        <v>1043</v>
      </c>
      <c r="FB214">
        <v>0</v>
      </c>
      <c r="FC214">
        <v>0</v>
      </c>
      <c r="FE214" t="s">
        <v>1050</v>
      </c>
      <c r="FF214">
        <v>0</v>
      </c>
      <c r="FG214" t="s">
        <v>1050</v>
      </c>
      <c r="FJ214">
        <v>0</v>
      </c>
      <c r="FK214">
        <v>0</v>
      </c>
      <c r="FP214">
        <v>0</v>
      </c>
      <c r="FR214">
        <v>0</v>
      </c>
      <c r="FS214" t="s">
        <v>1043</v>
      </c>
      <c r="FX214" t="s">
        <v>1042</v>
      </c>
      <c r="FZ214" t="s">
        <v>1048</v>
      </c>
      <c r="GA214">
        <v>0</v>
      </c>
      <c r="GB214" t="s">
        <v>1042</v>
      </c>
      <c r="GE214">
        <v>0</v>
      </c>
      <c r="GG214">
        <v>0</v>
      </c>
      <c r="GN214">
        <v>0</v>
      </c>
      <c r="GO214" t="s">
        <v>1063</v>
      </c>
      <c r="GQ214">
        <v>0</v>
      </c>
      <c r="GU214">
        <v>0</v>
      </c>
      <c r="GY214" t="s">
        <v>1045</v>
      </c>
      <c r="HB214">
        <v>0</v>
      </c>
      <c r="HE214">
        <v>0</v>
      </c>
      <c r="HF214">
        <v>0</v>
      </c>
      <c r="HG214">
        <v>0</v>
      </c>
      <c r="HK214" t="s">
        <v>1042</v>
      </c>
      <c r="HM214" t="s">
        <v>1047</v>
      </c>
      <c r="HN214">
        <v>0</v>
      </c>
      <c r="HP214">
        <v>0</v>
      </c>
      <c r="HQ214">
        <v>0</v>
      </c>
      <c r="HR214" t="s">
        <v>1042</v>
      </c>
      <c r="HS214" t="s">
        <v>1043</v>
      </c>
      <c r="HT214">
        <v>0</v>
      </c>
      <c r="HU214">
        <v>0</v>
      </c>
      <c r="HW214">
        <v>0</v>
      </c>
      <c r="HX214">
        <v>0</v>
      </c>
      <c r="HY214">
        <v>0</v>
      </c>
      <c r="HZ214" t="s">
        <v>1045</v>
      </c>
      <c r="IA214">
        <v>0</v>
      </c>
      <c r="IB214" t="s">
        <v>1045</v>
      </c>
      <c r="ID214" t="s">
        <v>1045</v>
      </c>
      <c r="IF214">
        <v>0</v>
      </c>
      <c r="IG214" t="s">
        <v>1042</v>
      </c>
      <c r="II214" t="s">
        <v>1042</v>
      </c>
      <c r="IR214" t="s">
        <v>1045</v>
      </c>
      <c r="IT214">
        <v>0</v>
      </c>
      <c r="IY214" t="s">
        <v>1044</v>
      </c>
      <c r="IZ214" t="s">
        <v>1043</v>
      </c>
      <c r="JC214" t="s">
        <v>1043</v>
      </c>
      <c r="JE214">
        <v>0</v>
      </c>
      <c r="JF214">
        <v>0</v>
      </c>
      <c r="JI214" t="s">
        <v>1042</v>
      </c>
      <c r="JJ214">
        <v>0</v>
      </c>
      <c r="JK214">
        <v>0</v>
      </c>
      <c r="JL214">
        <v>0</v>
      </c>
      <c r="JM214">
        <v>0</v>
      </c>
      <c r="JQ214" t="s">
        <v>1043</v>
      </c>
      <c r="JT214">
        <v>0</v>
      </c>
      <c r="JU214" t="s">
        <v>1042</v>
      </c>
      <c r="JW214">
        <v>0</v>
      </c>
      <c r="KA214">
        <v>0</v>
      </c>
      <c r="KF214">
        <v>0</v>
      </c>
      <c r="KG214">
        <v>0</v>
      </c>
      <c r="KH214">
        <v>0</v>
      </c>
      <c r="KI214">
        <v>0</v>
      </c>
      <c r="KS214" t="s">
        <v>1073</v>
      </c>
      <c r="KT214">
        <v>0</v>
      </c>
      <c r="KU214">
        <v>0</v>
      </c>
      <c r="KV214">
        <v>0</v>
      </c>
      <c r="KX214">
        <v>0</v>
      </c>
      <c r="KZ214">
        <v>0</v>
      </c>
      <c r="LF214">
        <v>0</v>
      </c>
      <c r="LH214">
        <v>0</v>
      </c>
      <c r="LI214">
        <v>0</v>
      </c>
    </row>
    <row r="215" spans="1:321" x14ac:dyDescent="0.35">
      <c r="A215">
        <v>1</v>
      </c>
      <c r="B215">
        <v>12444</v>
      </c>
      <c r="C215" t="s">
        <v>1478</v>
      </c>
      <c r="D215" t="s">
        <v>1139</v>
      </c>
      <c r="E215" t="s">
        <v>85</v>
      </c>
      <c r="F215">
        <v>80</v>
      </c>
      <c r="G215">
        <v>9000</v>
      </c>
      <c r="H215">
        <v>0</v>
      </c>
      <c r="I215" t="s">
        <v>1050</v>
      </c>
      <c r="L215">
        <v>0</v>
      </c>
      <c r="M215">
        <v>0</v>
      </c>
      <c r="N215">
        <v>0</v>
      </c>
      <c r="R215">
        <v>0</v>
      </c>
      <c r="S215">
        <v>0</v>
      </c>
      <c r="W215" t="s">
        <v>1060</v>
      </c>
      <c r="X215">
        <v>0</v>
      </c>
      <c r="Z215">
        <v>1</v>
      </c>
      <c r="AA215">
        <v>0</v>
      </c>
      <c r="AB215">
        <v>0</v>
      </c>
      <c r="AC215">
        <v>0</v>
      </c>
      <c r="AD215" s="20">
        <v>40792</v>
      </c>
      <c r="AE215">
        <v>3.6</v>
      </c>
      <c r="AF215">
        <v>0</v>
      </c>
      <c r="AH215">
        <v>0</v>
      </c>
      <c r="AJ215">
        <v>0</v>
      </c>
      <c r="AL215">
        <v>0</v>
      </c>
      <c r="AM215">
        <v>0</v>
      </c>
      <c r="AN215">
        <v>16601001</v>
      </c>
      <c r="AO215">
        <v>0</v>
      </c>
      <c r="AP215">
        <v>1000</v>
      </c>
      <c r="AT215">
        <v>0</v>
      </c>
      <c r="AU215" t="s">
        <v>1059</v>
      </c>
      <c r="AW215" t="s">
        <v>1053</v>
      </c>
      <c r="AX215">
        <v>0</v>
      </c>
      <c r="AY215" s="20">
        <v>40792</v>
      </c>
      <c r="BA215" s="20">
        <v>40792</v>
      </c>
      <c r="BB215" t="s">
        <v>1058</v>
      </c>
      <c r="BD215">
        <v>0</v>
      </c>
      <c r="BF215" t="s">
        <v>1043</v>
      </c>
      <c r="BG215" t="s">
        <v>1042</v>
      </c>
      <c r="BH215">
        <v>0</v>
      </c>
      <c r="BI215">
        <v>1</v>
      </c>
      <c r="BJ215">
        <v>0</v>
      </c>
      <c r="BK215">
        <v>0</v>
      </c>
      <c r="BM215" t="s">
        <v>1042</v>
      </c>
      <c r="BN215">
        <v>0</v>
      </c>
      <c r="BR215" t="s">
        <v>1043</v>
      </c>
      <c r="BS215" t="s">
        <v>1043</v>
      </c>
      <c r="BT215" t="s">
        <v>1043</v>
      </c>
      <c r="BW215">
        <v>83</v>
      </c>
      <c r="CA215">
        <v>0</v>
      </c>
      <c r="CB215" t="s">
        <v>1057</v>
      </c>
      <c r="CE215" t="s">
        <v>1043</v>
      </c>
      <c r="CH215" t="s">
        <v>1043</v>
      </c>
      <c r="CN215" t="s">
        <v>1056</v>
      </c>
      <c r="CO215" t="s">
        <v>1043</v>
      </c>
      <c r="CP215">
        <v>1</v>
      </c>
      <c r="CQ215">
        <v>0</v>
      </c>
      <c r="CS215">
        <v>0</v>
      </c>
      <c r="CT215">
        <v>0</v>
      </c>
      <c r="CU215">
        <v>0</v>
      </c>
      <c r="CV215" t="s">
        <v>1045</v>
      </c>
      <c r="CW215">
        <v>0</v>
      </c>
      <c r="CX215">
        <v>0</v>
      </c>
      <c r="CY215">
        <v>0</v>
      </c>
      <c r="CZ215">
        <v>0</v>
      </c>
      <c r="DB215">
        <v>0</v>
      </c>
      <c r="DC215" t="s">
        <v>1043</v>
      </c>
      <c r="DF215" t="s">
        <v>1055</v>
      </c>
      <c r="DH215">
        <v>0</v>
      </c>
      <c r="DJ215">
        <v>0</v>
      </c>
      <c r="DK215" t="s">
        <v>1053</v>
      </c>
      <c r="DL215">
        <v>0</v>
      </c>
      <c r="DN215">
        <v>0</v>
      </c>
      <c r="DO215" t="s">
        <v>1042</v>
      </c>
      <c r="DP215">
        <v>0</v>
      </c>
      <c r="DQ215">
        <v>0</v>
      </c>
      <c r="DS215">
        <v>0</v>
      </c>
      <c r="DU215">
        <v>0</v>
      </c>
      <c r="DW215">
        <v>0</v>
      </c>
      <c r="DX215" t="s">
        <v>1043</v>
      </c>
      <c r="DY215">
        <v>0</v>
      </c>
      <c r="DZ215">
        <v>0</v>
      </c>
      <c r="EA215">
        <v>0</v>
      </c>
      <c r="ED215" t="s">
        <v>1045</v>
      </c>
      <c r="EE215">
        <v>0</v>
      </c>
      <c r="EF215">
        <v>0</v>
      </c>
      <c r="EQ215" t="s">
        <v>1044</v>
      </c>
      <c r="ES215" t="s">
        <v>1053</v>
      </c>
      <c r="ET215">
        <v>0</v>
      </c>
      <c r="EV215">
        <v>0</v>
      </c>
      <c r="EY215" t="s">
        <v>1052</v>
      </c>
      <c r="EZ215">
        <v>0</v>
      </c>
      <c r="FA215" t="s">
        <v>1043</v>
      </c>
      <c r="FB215">
        <v>0</v>
      </c>
      <c r="FC215">
        <v>0</v>
      </c>
      <c r="FE215" t="s">
        <v>1050</v>
      </c>
      <c r="FF215">
        <v>0</v>
      </c>
      <c r="FG215" t="s">
        <v>1050</v>
      </c>
      <c r="FJ215">
        <v>0</v>
      </c>
      <c r="FK215">
        <v>0</v>
      </c>
      <c r="FP215">
        <v>0</v>
      </c>
      <c r="FR215">
        <v>0</v>
      </c>
      <c r="FS215" t="s">
        <v>1043</v>
      </c>
      <c r="FX215" t="s">
        <v>1042</v>
      </c>
      <c r="FZ215" t="s">
        <v>1048</v>
      </c>
      <c r="GA215">
        <v>0</v>
      </c>
      <c r="GB215" t="s">
        <v>1042</v>
      </c>
      <c r="GE215">
        <v>0</v>
      </c>
      <c r="GG215">
        <v>0</v>
      </c>
      <c r="GN215">
        <v>0</v>
      </c>
      <c r="GO215" t="s">
        <v>1063</v>
      </c>
      <c r="GQ215">
        <v>0</v>
      </c>
      <c r="GU215">
        <v>0</v>
      </c>
      <c r="GY215" t="s">
        <v>1045</v>
      </c>
      <c r="HB215">
        <v>0</v>
      </c>
      <c r="HE215">
        <v>0</v>
      </c>
      <c r="HF215">
        <v>0</v>
      </c>
      <c r="HG215">
        <v>0</v>
      </c>
      <c r="HK215" t="s">
        <v>1042</v>
      </c>
      <c r="HM215" t="s">
        <v>1047</v>
      </c>
      <c r="HN215">
        <v>0</v>
      </c>
      <c r="HP215">
        <v>0</v>
      </c>
      <c r="HQ215">
        <v>0</v>
      </c>
      <c r="HR215" t="s">
        <v>1042</v>
      </c>
      <c r="HS215" t="s">
        <v>1043</v>
      </c>
      <c r="HT215">
        <v>0</v>
      </c>
      <c r="HU215">
        <v>0</v>
      </c>
      <c r="HW215">
        <v>0</v>
      </c>
      <c r="HX215">
        <v>0</v>
      </c>
      <c r="HY215">
        <v>0</v>
      </c>
      <c r="HZ215" t="s">
        <v>1045</v>
      </c>
      <c r="IA215">
        <v>0</v>
      </c>
      <c r="IB215" t="s">
        <v>1045</v>
      </c>
      <c r="ID215" t="s">
        <v>1045</v>
      </c>
      <c r="IF215">
        <v>0</v>
      </c>
      <c r="IG215" t="s">
        <v>1042</v>
      </c>
      <c r="II215" t="s">
        <v>1042</v>
      </c>
      <c r="IR215" t="s">
        <v>1045</v>
      </c>
      <c r="IT215">
        <v>0</v>
      </c>
      <c r="IY215" t="s">
        <v>1044</v>
      </c>
      <c r="IZ215" t="s">
        <v>1043</v>
      </c>
      <c r="JC215" t="s">
        <v>1043</v>
      </c>
      <c r="JE215">
        <v>0</v>
      </c>
      <c r="JF215">
        <v>0</v>
      </c>
      <c r="JI215" t="s">
        <v>1042</v>
      </c>
      <c r="JJ215">
        <v>0</v>
      </c>
      <c r="JK215">
        <v>0</v>
      </c>
      <c r="JL215">
        <v>0</v>
      </c>
      <c r="JM215">
        <v>0</v>
      </c>
      <c r="JQ215" t="s">
        <v>1043</v>
      </c>
      <c r="JT215">
        <v>0</v>
      </c>
      <c r="JU215" t="s">
        <v>1042</v>
      </c>
      <c r="JW215">
        <v>0</v>
      </c>
      <c r="KA215">
        <v>0</v>
      </c>
      <c r="KF215">
        <v>0</v>
      </c>
      <c r="KG215">
        <v>0</v>
      </c>
      <c r="KH215">
        <v>0</v>
      </c>
      <c r="KI215">
        <v>0</v>
      </c>
      <c r="KS215" t="s">
        <v>1073</v>
      </c>
      <c r="KT215">
        <v>0</v>
      </c>
      <c r="KU215">
        <v>0</v>
      </c>
      <c r="KV215">
        <v>0</v>
      </c>
      <c r="KX215">
        <v>0</v>
      </c>
      <c r="KZ215">
        <v>0</v>
      </c>
      <c r="LF215">
        <v>0</v>
      </c>
      <c r="LH215">
        <v>0</v>
      </c>
      <c r="LI215">
        <v>0</v>
      </c>
    </row>
    <row r="216" spans="1:321" x14ac:dyDescent="0.35">
      <c r="A216">
        <v>1</v>
      </c>
      <c r="B216">
        <v>12445</v>
      </c>
      <c r="C216" t="s">
        <v>1477</v>
      </c>
      <c r="D216" t="s">
        <v>1139</v>
      </c>
      <c r="E216" t="s">
        <v>85</v>
      </c>
      <c r="F216">
        <v>80</v>
      </c>
      <c r="G216">
        <v>9000</v>
      </c>
      <c r="H216">
        <v>0</v>
      </c>
      <c r="I216" t="s">
        <v>1050</v>
      </c>
      <c r="L216">
        <v>0</v>
      </c>
      <c r="M216">
        <v>0</v>
      </c>
      <c r="N216">
        <v>0</v>
      </c>
      <c r="R216">
        <v>0</v>
      </c>
      <c r="S216">
        <v>0</v>
      </c>
      <c r="W216" t="s">
        <v>1060</v>
      </c>
      <c r="X216">
        <v>0</v>
      </c>
      <c r="Z216">
        <v>1</v>
      </c>
      <c r="AA216">
        <v>0</v>
      </c>
      <c r="AB216">
        <v>0</v>
      </c>
      <c r="AC216">
        <v>0</v>
      </c>
      <c r="AD216" s="20">
        <v>40792</v>
      </c>
      <c r="AE216">
        <v>3.6</v>
      </c>
      <c r="AF216">
        <v>0</v>
      </c>
      <c r="AH216">
        <v>0</v>
      </c>
      <c r="AJ216">
        <v>0</v>
      </c>
      <c r="AL216">
        <v>0</v>
      </c>
      <c r="AM216">
        <v>0</v>
      </c>
      <c r="AN216">
        <v>16601001</v>
      </c>
      <c r="AO216">
        <v>0</v>
      </c>
      <c r="AP216">
        <v>1000</v>
      </c>
      <c r="AT216">
        <v>0</v>
      </c>
      <c r="AU216" t="s">
        <v>1059</v>
      </c>
      <c r="AW216" t="s">
        <v>1053</v>
      </c>
      <c r="AX216">
        <v>0</v>
      </c>
      <c r="AY216" s="20">
        <v>40792</v>
      </c>
      <c r="BA216" s="20">
        <v>40792</v>
      </c>
      <c r="BB216" t="s">
        <v>1058</v>
      </c>
      <c r="BD216">
        <v>0</v>
      </c>
      <c r="BF216" t="s">
        <v>1043</v>
      </c>
      <c r="BG216" t="s">
        <v>1042</v>
      </c>
      <c r="BH216">
        <v>0</v>
      </c>
      <c r="BI216">
        <v>1</v>
      </c>
      <c r="BJ216">
        <v>0</v>
      </c>
      <c r="BK216">
        <v>0</v>
      </c>
      <c r="BM216" t="s">
        <v>1042</v>
      </c>
      <c r="BN216">
        <v>0</v>
      </c>
      <c r="BR216" t="s">
        <v>1043</v>
      </c>
      <c r="BS216" t="s">
        <v>1043</v>
      </c>
      <c r="BT216" t="s">
        <v>1043</v>
      </c>
      <c r="BW216">
        <v>83</v>
      </c>
      <c r="CA216">
        <v>0</v>
      </c>
      <c r="CB216" t="s">
        <v>1057</v>
      </c>
      <c r="CE216" t="s">
        <v>1043</v>
      </c>
      <c r="CH216" t="s">
        <v>1043</v>
      </c>
      <c r="CN216" t="s">
        <v>1056</v>
      </c>
      <c r="CO216" t="s">
        <v>1043</v>
      </c>
      <c r="CP216">
        <v>1</v>
      </c>
      <c r="CQ216">
        <v>0</v>
      </c>
      <c r="CS216">
        <v>0</v>
      </c>
      <c r="CT216">
        <v>0</v>
      </c>
      <c r="CU216">
        <v>0</v>
      </c>
      <c r="CV216" t="s">
        <v>1045</v>
      </c>
      <c r="CW216">
        <v>0</v>
      </c>
      <c r="CX216">
        <v>0</v>
      </c>
      <c r="CY216">
        <v>0</v>
      </c>
      <c r="CZ216">
        <v>0</v>
      </c>
      <c r="DB216">
        <v>0</v>
      </c>
      <c r="DC216" t="s">
        <v>1043</v>
      </c>
      <c r="DF216" t="s">
        <v>1055</v>
      </c>
      <c r="DH216">
        <v>0</v>
      </c>
      <c r="DJ216">
        <v>0</v>
      </c>
      <c r="DK216" t="s">
        <v>1053</v>
      </c>
      <c r="DL216">
        <v>0</v>
      </c>
      <c r="DN216">
        <v>0</v>
      </c>
      <c r="DO216" t="s">
        <v>1042</v>
      </c>
      <c r="DP216">
        <v>0</v>
      </c>
      <c r="DQ216">
        <v>0</v>
      </c>
      <c r="DS216">
        <v>0</v>
      </c>
      <c r="DU216">
        <v>0</v>
      </c>
      <c r="DW216">
        <v>0</v>
      </c>
      <c r="DX216" t="s">
        <v>1043</v>
      </c>
      <c r="DY216">
        <v>0</v>
      </c>
      <c r="DZ216">
        <v>0</v>
      </c>
      <c r="EA216">
        <v>0</v>
      </c>
      <c r="ED216" t="s">
        <v>1045</v>
      </c>
      <c r="EE216">
        <v>0</v>
      </c>
      <c r="EF216">
        <v>0</v>
      </c>
      <c r="EQ216" t="s">
        <v>1044</v>
      </c>
      <c r="ES216" t="s">
        <v>1053</v>
      </c>
      <c r="ET216">
        <v>0</v>
      </c>
      <c r="EV216">
        <v>0</v>
      </c>
      <c r="EY216" t="s">
        <v>1052</v>
      </c>
      <c r="EZ216">
        <v>0</v>
      </c>
      <c r="FA216" t="s">
        <v>1043</v>
      </c>
      <c r="FB216">
        <v>0</v>
      </c>
      <c r="FC216">
        <v>0</v>
      </c>
      <c r="FE216" t="s">
        <v>1050</v>
      </c>
      <c r="FF216">
        <v>0</v>
      </c>
      <c r="FG216" t="s">
        <v>1050</v>
      </c>
      <c r="FJ216">
        <v>0</v>
      </c>
      <c r="FK216">
        <v>0</v>
      </c>
      <c r="FP216">
        <v>0</v>
      </c>
      <c r="FR216">
        <v>0</v>
      </c>
      <c r="FS216" t="s">
        <v>1043</v>
      </c>
      <c r="FX216" t="s">
        <v>1042</v>
      </c>
      <c r="FZ216" t="s">
        <v>1048</v>
      </c>
      <c r="GA216">
        <v>0</v>
      </c>
      <c r="GB216" t="s">
        <v>1042</v>
      </c>
      <c r="GE216">
        <v>0</v>
      </c>
      <c r="GG216">
        <v>0</v>
      </c>
      <c r="GN216">
        <v>0</v>
      </c>
      <c r="GO216" t="s">
        <v>1063</v>
      </c>
      <c r="GQ216">
        <v>0</v>
      </c>
      <c r="GU216">
        <v>0</v>
      </c>
      <c r="GY216" t="s">
        <v>1045</v>
      </c>
      <c r="HB216">
        <v>0</v>
      </c>
      <c r="HE216">
        <v>0</v>
      </c>
      <c r="HF216">
        <v>0</v>
      </c>
      <c r="HG216">
        <v>0</v>
      </c>
      <c r="HK216" t="s">
        <v>1042</v>
      </c>
      <c r="HM216" t="s">
        <v>1047</v>
      </c>
      <c r="HN216">
        <v>0</v>
      </c>
      <c r="HP216">
        <v>0</v>
      </c>
      <c r="HQ216">
        <v>0</v>
      </c>
      <c r="HR216" t="s">
        <v>1042</v>
      </c>
      <c r="HS216" t="s">
        <v>1043</v>
      </c>
      <c r="HT216">
        <v>0</v>
      </c>
      <c r="HU216">
        <v>0</v>
      </c>
      <c r="HW216">
        <v>0</v>
      </c>
      <c r="HX216">
        <v>0</v>
      </c>
      <c r="HY216">
        <v>0</v>
      </c>
      <c r="HZ216" t="s">
        <v>1045</v>
      </c>
      <c r="IA216">
        <v>0</v>
      </c>
      <c r="IB216" t="s">
        <v>1045</v>
      </c>
      <c r="ID216" t="s">
        <v>1045</v>
      </c>
      <c r="IF216">
        <v>0</v>
      </c>
      <c r="IG216" t="s">
        <v>1042</v>
      </c>
      <c r="II216" t="s">
        <v>1042</v>
      </c>
      <c r="IR216" t="s">
        <v>1045</v>
      </c>
      <c r="IT216">
        <v>0</v>
      </c>
      <c r="IY216" t="s">
        <v>1044</v>
      </c>
      <c r="IZ216" t="s">
        <v>1043</v>
      </c>
      <c r="JC216" t="s">
        <v>1043</v>
      </c>
      <c r="JE216">
        <v>0</v>
      </c>
      <c r="JF216">
        <v>0</v>
      </c>
      <c r="JI216" t="s">
        <v>1042</v>
      </c>
      <c r="JJ216">
        <v>0</v>
      </c>
      <c r="JK216">
        <v>0</v>
      </c>
      <c r="JL216">
        <v>0</v>
      </c>
      <c r="JM216">
        <v>0</v>
      </c>
      <c r="JQ216" t="s">
        <v>1043</v>
      </c>
      <c r="JT216">
        <v>0</v>
      </c>
      <c r="JU216" t="s">
        <v>1042</v>
      </c>
      <c r="JW216">
        <v>0</v>
      </c>
      <c r="KA216">
        <v>0</v>
      </c>
      <c r="KF216">
        <v>0</v>
      </c>
      <c r="KG216">
        <v>0</v>
      </c>
      <c r="KH216">
        <v>0</v>
      </c>
      <c r="KI216">
        <v>0</v>
      </c>
      <c r="KS216" t="s">
        <v>1073</v>
      </c>
      <c r="KT216">
        <v>0</v>
      </c>
      <c r="KU216">
        <v>0</v>
      </c>
      <c r="KV216">
        <v>0</v>
      </c>
      <c r="KX216">
        <v>0</v>
      </c>
      <c r="KZ216">
        <v>0</v>
      </c>
      <c r="LF216">
        <v>0</v>
      </c>
      <c r="LH216">
        <v>0</v>
      </c>
      <c r="LI216">
        <v>0</v>
      </c>
    </row>
    <row r="217" spans="1:321" x14ac:dyDescent="0.35">
      <c r="A217">
        <v>1</v>
      </c>
      <c r="B217">
        <v>12446</v>
      </c>
      <c r="C217" t="s">
        <v>1476</v>
      </c>
      <c r="D217" t="s">
        <v>1139</v>
      </c>
      <c r="E217" t="s">
        <v>85</v>
      </c>
      <c r="F217">
        <v>80</v>
      </c>
      <c r="G217">
        <v>9000</v>
      </c>
      <c r="H217">
        <v>0</v>
      </c>
      <c r="I217" t="s">
        <v>1050</v>
      </c>
      <c r="L217">
        <v>0</v>
      </c>
      <c r="M217">
        <v>0</v>
      </c>
      <c r="N217">
        <v>0</v>
      </c>
      <c r="R217">
        <v>0</v>
      </c>
      <c r="S217">
        <v>0</v>
      </c>
      <c r="W217" t="s">
        <v>1060</v>
      </c>
      <c r="X217">
        <v>0</v>
      </c>
      <c r="Z217">
        <v>1</v>
      </c>
      <c r="AA217">
        <v>0</v>
      </c>
      <c r="AB217">
        <v>0</v>
      </c>
      <c r="AC217">
        <v>0</v>
      </c>
      <c r="AD217" s="20">
        <v>40792</v>
      </c>
      <c r="AE217">
        <v>3.6</v>
      </c>
      <c r="AF217">
        <v>0</v>
      </c>
      <c r="AH217">
        <v>0</v>
      </c>
      <c r="AJ217">
        <v>0</v>
      </c>
      <c r="AL217">
        <v>0</v>
      </c>
      <c r="AM217">
        <v>0</v>
      </c>
      <c r="AN217">
        <v>16601001</v>
      </c>
      <c r="AO217">
        <v>0</v>
      </c>
      <c r="AP217">
        <v>1000</v>
      </c>
      <c r="AT217">
        <v>0</v>
      </c>
      <c r="AU217" t="s">
        <v>1059</v>
      </c>
      <c r="AW217" t="s">
        <v>1053</v>
      </c>
      <c r="AX217">
        <v>0</v>
      </c>
      <c r="AY217" s="20">
        <v>40792</v>
      </c>
      <c r="BA217" s="20">
        <v>40792</v>
      </c>
      <c r="BB217" t="s">
        <v>1058</v>
      </c>
      <c r="BD217">
        <v>0</v>
      </c>
      <c r="BF217" t="s">
        <v>1043</v>
      </c>
      <c r="BG217" t="s">
        <v>1042</v>
      </c>
      <c r="BH217">
        <v>0</v>
      </c>
      <c r="BI217">
        <v>1</v>
      </c>
      <c r="BJ217">
        <v>0</v>
      </c>
      <c r="BK217">
        <v>0</v>
      </c>
      <c r="BM217" t="s">
        <v>1042</v>
      </c>
      <c r="BN217">
        <v>0</v>
      </c>
      <c r="BR217" t="s">
        <v>1043</v>
      </c>
      <c r="BS217" t="s">
        <v>1043</v>
      </c>
      <c r="BT217" t="s">
        <v>1043</v>
      </c>
      <c r="BW217">
        <v>83</v>
      </c>
      <c r="CA217">
        <v>0</v>
      </c>
      <c r="CB217" t="s">
        <v>1057</v>
      </c>
      <c r="CE217" t="s">
        <v>1043</v>
      </c>
      <c r="CH217" t="s">
        <v>1043</v>
      </c>
      <c r="CN217" t="s">
        <v>1056</v>
      </c>
      <c r="CO217" t="s">
        <v>1043</v>
      </c>
      <c r="CP217">
        <v>1</v>
      </c>
      <c r="CQ217">
        <v>0</v>
      </c>
      <c r="CS217">
        <v>0</v>
      </c>
      <c r="CT217">
        <v>0</v>
      </c>
      <c r="CU217">
        <v>0</v>
      </c>
      <c r="CV217" t="s">
        <v>1045</v>
      </c>
      <c r="CW217">
        <v>0</v>
      </c>
      <c r="CX217">
        <v>0</v>
      </c>
      <c r="CY217">
        <v>0</v>
      </c>
      <c r="CZ217">
        <v>0</v>
      </c>
      <c r="DB217">
        <v>0</v>
      </c>
      <c r="DC217" t="s">
        <v>1043</v>
      </c>
      <c r="DF217" t="s">
        <v>1055</v>
      </c>
      <c r="DH217">
        <v>0</v>
      </c>
      <c r="DJ217">
        <v>0</v>
      </c>
      <c r="DK217" t="s">
        <v>1053</v>
      </c>
      <c r="DL217">
        <v>0</v>
      </c>
      <c r="DN217">
        <v>0</v>
      </c>
      <c r="DO217" t="s">
        <v>1042</v>
      </c>
      <c r="DP217">
        <v>0</v>
      </c>
      <c r="DQ217">
        <v>0</v>
      </c>
      <c r="DS217">
        <v>0</v>
      </c>
      <c r="DU217">
        <v>0</v>
      </c>
      <c r="DW217">
        <v>0</v>
      </c>
      <c r="DX217" t="s">
        <v>1043</v>
      </c>
      <c r="DY217">
        <v>0</v>
      </c>
      <c r="DZ217">
        <v>0</v>
      </c>
      <c r="EA217">
        <v>0</v>
      </c>
      <c r="ED217" t="s">
        <v>1045</v>
      </c>
      <c r="EE217">
        <v>0</v>
      </c>
      <c r="EF217">
        <v>0</v>
      </c>
      <c r="EQ217" t="s">
        <v>1044</v>
      </c>
      <c r="ES217" t="s">
        <v>1053</v>
      </c>
      <c r="ET217">
        <v>0</v>
      </c>
      <c r="EV217">
        <v>0</v>
      </c>
      <c r="EY217" t="s">
        <v>1052</v>
      </c>
      <c r="EZ217">
        <v>0</v>
      </c>
      <c r="FA217" t="s">
        <v>1043</v>
      </c>
      <c r="FB217">
        <v>0</v>
      </c>
      <c r="FC217">
        <v>0</v>
      </c>
      <c r="FE217" t="s">
        <v>1050</v>
      </c>
      <c r="FF217">
        <v>0</v>
      </c>
      <c r="FG217" t="s">
        <v>1050</v>
      </c>
      <c r="FJ217">
        <v>0</v>
      </c>
      <c r="FK217">
        <v>0</v>
      </c>
      <c r="FP217">
        <v>0</v>
      </c>
      <c r="FR217">
        <v>0</v>
      </c>
      <c r="FS217" t="s">
        <v>1043</v>
      </c>
      <c r="FX217" t="s">
        <v>1042</v>
      </c>
      <c r="FZ217" t="s">
        <v>1048</v>
      </c>
      <c r="GA217">
        <v>0</v>
      </c>
      <c r="GB217" t="s">
        <v>1042</v>
      </c>
      <c r="GE217">
        <v>0</v>
      </c>
      <c r="GG217">
        <v>0</v>
      </c>
      <c r="GN217">
        <v>0</v>
      </c>
      <c r="GO217" t="s">
        <v>1063</v>
      </c>
      <c r="GQ217">
        <v>0</v>
      </c>
      <c r="GU217">
        <v>0</v>
      </c>
      <c r="GY217" t="s">
        <v>1045</v>
      </c>
      <c r="HB217">
        <v>0</v>
      </c>
      <c r="HE217">
        <v>0</v>
      </c>
      <c r="HF217">
        <v>0</v>
      </c>
      <c r="HG217">
        <v>0</v>
      </c>
      <c r="HK217" t="s">
        <v>1042</v>
      </c>
      <c r="HM217" t="s">
        <v>1047</v>
      </c>
      <c r="HN217">
        <v>0</v>
      </c>
      <c r="HP217">
        <v>0</v>
      </c>
      <c r="HQ217">
        <v>0</v>
      </c>
      <c r="HR217" t="s">
        <v>1042</v>
      </c>
      <c r="HS217" t="s">
        <v>1043</v>
      </c>
      <c r="HT217">
        <v>0</v>
      </c>
      <c r="HU217">
        <v>0</v>
      </c>
      <c r="HW217">
        <v>0</v>
      </c>
      <c r="HX217">
        <v>0</v>
      </c>
      <c r="HY217">
        <v>0</v>
      </c>
      <c r="HZ217" t="s">
        <v>1045</v>
      </c>
      <c r="IA217">
        <v>0</v>
      </c>
      <c r="IB217" t="s">
        <v>1045</v>
      </c>
      <c r="ID217" t="s">
        <v>1045</v>
      </c>
      <c r="IF217">
        <v>0</v>
      </c>
      <c r="IG217" t="s">
        <v>1042</v>
      </c>
      <c r="II217" t="s">
        <v>1042</v>
      </c>
      <c r="IR217" t="s">
        <v>1045</v>
      </c>
      <c r="IT217">
        <v>0</v>
      </c>
      <c r="IY217" t="s">
        <v>1044</v>
      </c>
      <c r="IZ217" t="s">
        <v>1043</v>
      </c>
      <c r="JC217" t="s">
        <v>1043</v>
      </c>
      <c r="JE217">
        <v>0</v>
      </c>
      <c r="JF217">
        <v>0</v>
      </c>
      <c r="JI217" t="s">
        <v>1042</v>
      </c>
      <c r="JJ217">
        <v>0</v>
      </c>
      <c r="JK217">
        <v>0</v>
      </c>
      <c r="JL217">
        <v>0</v>
      </c>
      <c r="JM217">
        <v>0</v>
      </c>
      <c r="JQ217" t="s">
        <v>1043</v>
      </c>
      <c r="JT217">
        <v>0</v>
      </c>
      <c r="JU217" t="s">
        <v>1042</v>
      </c>
      <c r="JW217">
        <v>0</v>
      </c>
      <c r="KA217">
        <v>0</v>
      </c>
      <c r="KF217">
        <v>0</v>
      </c>
      <c r="KG217">
        <v>0</v>
      </c>
      <c r="KH217">
        <v>0</v>
      </c>
      <c r="KI217">
        <v>0</v>
      </c>
      <c r="KS217" t="s">
        <v>1073</v>
      </c>
      <c r="KT217">
        <v>0</v>
      </c>
      <c r="KU217">
        <v>0</v>
      </c>
      <c r="KV217">
        <v>0</v>
      </c>
      <c r="KX217">
        <v>0</v>
      </c>
      <c r="KZ217">
        <v>0</v>
      </c>
      <c r="LF217">
        <v>0</v>
      </c>
      <c r="LH217">
        <v>0</v>
      </c>
      <c r="LI217">
        <v>0</v>
      </c>
    </row>
    <row r="218" spans="1:321" x14ac:dyDescent="0.35">
      <c r="A218">
        <v>1</v>
      </c>
      <c r="B218">
        <v>12447</v>
      </c>
      <c r="C218" t="s">
        <v>1475</v>
      </c>
      <c r="D218" t="s">
        <v>1139</v>
      </c>
      <c r="E218" t="s">
        <v>85</v>
      </c>
      <c r="F218">
        <v>80</v>
      </c>
      <c r="G218">
        <v>9000</v>
      </c>
      <c r="H218">
        <v>0</v>
      </c>
      <c r="I218" t="s">
        <v>1050</v>
      </c>
      <c r="L218">
        <v>0</v>
      </c>
      <c r="M218">
        <v>0</v>
      </c>
      <c r="N218">
        <v>0</v>
      </c>
      <c r="R218">
        <v>0</v>
      </c>
      <c r="S218">
        <v>0</v>
      </c>
      <c r="W218" t="s">
        <v>1060</v>
      </c>
      <c r="X218">
        <v>0</v>
      </c>
      <c r="Z218">
        <v>1</v>
      </c>
      <c r="AA218">
        <v>0</v>
      </c>
      <c r="AB218">
        <v>0</v>
      </c>
      <c r="AC218">
        <v>0</v>
      </c>
      <c r="AD218" s="20">
        <v>40792</v>
      </c>
      <c r="AE218">
        <v>3.6</v>
      </c>
      <c r="AF218">
        <v>0</v>
      </c>
      <c r="AH218">
        <v>0</v>
      </c>
      <c r="AJ218">
        <v>0</v>
      </c>
      <c r="AL218">
        <v>0</v>
      </c>
      <c r="AM218">
        <v>0</v>
      </c>
      <c r="AN218">
        <v>16601001</v>
      </c>
      <c r="AO218">
        <v>0</v>
      </c>
      <c r="AP218">
        <v>1000</v>
      </c>
      <c r="AT218">
        <v>0</v>
      </c>
      <c r="AU218" t="s">
        <v>1059</v>
      </c>
      <c r="AW218" t="s">
        <v>1053</v>
      </c>
      <c r="AX218">
        <v>0</v>
      </c>
      <c r="AY218" s="20">
        <v>40792</v>
      </c>
      <c r="BA218" s="20">
        <v>40792</v>
      </c>
      <c r="BB218" t="s">
        <v>1058</v>
      </c>
      <c r="BD218">
        <v>0</v>
      </c>
      <c r="BF218" t="s">
        <v>1043</v>
      </c>
      <c r="BG218" t="s">
        <v>1042</v>
      </c>
      <c r="BH218">
        <v>0</v>
      </c>
      <c r="BI218">
        <v>1</v>
      </c>
      <c r="BJ218">
        <v>0</v>
      </c>
      <c r="BK218">
        <v>0</v>
      </c>
      <c r="BM218" t="s">
        <v>1042</v>
      </c>
      <c r="BN218">
        <v>0</v>
      </c>
      <c r="BR218" t="s">
        <v>1043</v>
      </c>
      <c r="BS218" t="s">
        <v>1043</v>
      </c>
      <c r="BT218" t="s">
        <v>1043</v>
      </c>
      <c r="BW218">
        <v>83</v>
      </c>
      <c r="CA218">
        <v>0</v>
      </c>
      <c r="CB218" t="s">
        <v>1057</v>
      </c>
      <c r="CE218" t="s">
        <v>1043</v>
      </c>
      <c r="CH218" t="s">
        <v>1043</v>
      </c>
      <c r="CN218" t="s">
        <v>1056</v>
      </c>
      <c r="CO218" t="s">
        <v>1043</v>
      </c>
      <c r="CP218">
        <v>1</v>
      </c>
      <c r="CQ218">
        <v>0</v>
      </c>
      <c r="CS218">
        <v>0</v>
      </c>
      <c r="CT218">
        <v>0</v>
      </c>
      <c r="CU218">
        <v>0</v>
      </c>
      <c r="CV218" t="s">
        <v>1045</v>
      </c>
      <c r="CW218">
        <v>0</v>
      </c>
      <c r="CX218">
        <v>0</v>
      </c>
      <c r="CY218">
        <v>0</v>
      </c>
      <c r="CZ218">
        <v>0</v>
      </c>
      <c r="DB218">
        <v>0</v>
      </c>
      <c r="DC218" t="s">
        <v>1043</v>
      </c>
      <c r="DF218" t="s">
        <v>1055</v>
      </c>
      <c r="DH218">
        <v>0</v>
      </c>
      <c r="DJ218">
        <v>0</v>
      </c>
      <c r="DK218" t="s">
        <v>1053</v>
      </c>
      <c r="DL218">
        <v>0</v>
      </c>
      <c r="DN218">
        <v>0</v>
      </c>
      <c r="DO218" t="s">
        <v>1042</v>
      </c>
      <c r="DP218">
        <v>0</v>
      </c>
      <c r="DQ218">
        <v>0</v>
      </c>
      <c r="DS218">
        <v>0</v>
      </c>
      <c r="DU218">
        <v>0</v>
      </c>
      <c r="DW218">
        <v>0</v>
      </c>
      <c r="DX218" t="s">
        <v>1043</v>
      </c>
      <c r="DY218">
        <v>0</v>
      </c>
      <c r="DZ218">
        <v>0</v>
      </c>
      <c r="EA218">
        <v>0</v>
      </c>
      <c r="ED218" t="s">
        <v>1045</v>
      </c>
      <c r="EE218">
        <v>0</v>
      </c>
      <c r="EF218">
        <v>0</v>
      </c>
      <c r="EQ218" t="s">
        <v>1044</v>
      </c>
      <c r="ES218" t="s">
        <v>1053</v>
      </c>
      <c r="ET218">
        <v>0</v>
      </c>
      <c r="EV218">
        <v>0</v>
      </c>
      <c r="EY218" t="s">
        <v>1052</v>
      </c>
      <c r="EZ218">
        <v>0</v>
      </c>
      <c r="FA218" t="s">
        <v>1043</v>
      </c>
      <c r="FB218">
        <v>0</v>
      </c>
      <c r="FC218">
        <v>0</v>
      </c>
      <c r="FE218" t="s">
        <v>1050</v>
      </c>
      <c r="FF218">
        <v>0</v>
      </c>
      <c r="FG218" t="s">
        <v>1050</v>
      </c>
      <c r="FJ218">
        <v>0</v>
      </c>
      <c r="FK218">
        <v>0</v>
      </c>
      <c r="FP218">
        <v>0</v>
      </c>
      <c r="FR218">
        <v>0</v>
      </c>
      <c r="FS218" t="s">
        <v>1043</v>
      </c>
      <c r="FX218" t="s">
        <v>1042</v>
      </c>
      <c r="FZ218" t="s">
        <v>1048</v>
      </c>
      <c r="GA218">
        <v>0</v>
      </c>
      <c r="GB218" t="s">
        <v>1042</v>
      </c>
      <c r="GE218">
        <v>0</v>
      </c>
      <c r="GG218">
        <v>0</v>
      </c>
      <c r="GN218">
        <v>0</v>
      </c>
      <c r="GO218" t="s">
        <v>1063</v>
      </c>
      <c r="GQ218">
        <v>0</v>
      </c>
      <c r="GU218">
        <v>0</v>
      </c>
      <c r="GY218" t="s">
        <v>1045</v>
      </c>
      <c r="HB218">
        <v>0</v>
      </c>
      <c r="HE218">
        <v>0</v>
      </c>
      <c r="HF218">
        <v>0</v>
      </c>
      <c r="HG218">
        <v>0</v>
      </c>
      <c r="HK218" t="s">
        <v>1042</v>
      </c>
      <c r="HM218" t="s">
        <v>1047</v>
      </c>
      <c r="HN218">
        <v>0</v>
      </c>
      <c r="HP218">
        <v>0</v>
      </c>
      <c r="HQ218">
        <v>0</v>
      </c>
      <c r="HR218" t="s">
        <v>1042</v>
      </c>
      <c r="HS218" t="s">
        <v>1043</v>
      </c>
      <c r="HT218">
        <v>0</v>
      </c>
      <c r="HU218">
        <v>0</v>
      </c>
      <c r="HW218">
        <v>0</v>
      </c>
      <c r="HX218">
        <v>0</v>
      </c>
      <c r="HY218">
        <v>0</v>
      </c>
      <c r="HZ218" t="s">
        <v>1045</v>
      </c>
      <c r="IA218">
        <v>0</v>
      </c>
      <c r="IB218" t="s">
        <v>1045</v>
      </c>
      <c r="ID218" t="s">
        <v>1045</v>
      </c>
      <c r="IF218">
        <v>0</v>
      </c>
      <c r="IG218" t="s">
        <v>1042</v>
      </c>
      <c r="II218" t="s">
        <v>1042</v>
      </c>
      <c r="IR218" t="s">
        <v>1045</v>
      </c>
      <c r="IT218">
        <v>0</v>
      </c>
      <c r="IY218" t="s">
        <v>1044</v>
      </c>
      <c r="IZ218" t="s">
        <v>1043</v>
      </c>
      <c r="JC218" t="s">
        <v>1043</v>
      </c>
      <c r="JE218">
        <v>0</v>
      </c>
      <c r="JF218">
        <v>0</v>
      </c>
      <c r="JI218" t="s">
        <v>1042</v>
      </c>
      <c r="JJ218">
        <v>0</v>
      </c>
      <c r="JK218">
        <v>0</v>
      </c>
      <c r="JL218">
        <v>0</v>
      </c>
      <c r="JM218">
        <v>0</v>
      </c>
      <c r="JQ218" t="s">
        <v>1043</v>
      </c>
      <c r="JT218">
        <v>0</v>
      </c>
      <c r="JU218" t="s">
        <v>1042</v>
      </c>
      <c r="JW218">
        <v>0</v>
      </c>
      <c r="KA218">
        <v>0</v>
      </c>
      <c r="KF218">
        <v>0</v>
      </c>
      <c r="KG218">
        <v>0</v>
      </c>
      <c r="KH218">
        <v>0</v>
      </c>
      <c r="KI218">
        <v>0</v>
      </c>
      <c r="KS218" t="s">
        <v>1073</v>
      </c>
      <c r="KT218">
        <v>0</v>
      </c>
      <c r="KU218">
        <v>0</v>
      </c>
      <c r="KV218">
        <v>0</v>
      </c>
      <c r="KX218">
        <v>0</v>
      </c>
      <c r="KZ218">
        <v>0</v>
      </c>
      <c r="LF218">
        <v>0</v>
      </c>
      <c r="LH218">
        <v>0</v>
      </c>
      <c r="LI218">
        <v>0</v>
      </c>
    </row>
    <row r="219" spans="1:321" x14ac:dyDescent="0.35">
      <c r="A219">
        <v>1</v>
      </c>
      <c r="B219">
        <v>12448</v>
      </c>
      <c r="C219" t="s">
        <v>1474</v>
      </c>
      <c r="D219" t="s">
        <v>1139</v>
      </c>
      <c r="E219" t="s">
        <v>85</v>
      </c>
      <c r="F219">
        <v>80</v>
      </c>
      <c r="G219">
        <v>9000</v>
      </c>
      <c r="H219">
        <v>0</v>
      </c>
      <c r="I219" t="s">
        <v>1050</v>
      </c>
      <c r="L219">
        <v>0</v>
      </c>
      <c r="M219">
        <v>0</v>
      </c>
      <c r="N219">
        <v>0</v>
      </c>
      <c r="R219">
        <v>0</v>
      </c>
      <c r="S219">
        <v>0</v>
      </c>
      <c r="W219" t="s">
        <v>1060</v>
      </c>
      <c r="X219">
        <v>0</v>
      </c>
      <c r="Z219">
        <v>1</v>
      </c>
      <c r="AA219">
        <v>0</v>
      </c>
      <c r="AB219">
        <v>0</v>
      </c>
      <c r="AC219">
        <v>0</v>
      </c>
      <c r="AD219" s="20">
        <v>40792</v>
      </c>
      <c r="AE219">
        <v>3.6</v>
      </c>
      <c r="AF219">
        <v>0</v>
      </c>
      <c r="AH219">
        <v>0</v>
      </c>
      <c r="AJ219">
        <v>0</v>
      </c>
      <c r="AL219">
        <v>0</v>
      </c>
      <c r="AM219">
        <v>0</v>
      </c>
      <c r="AN219">
        <v>16601001</v>
      </c>
      <c r="AO219">
        <v>0</v>
      </c>
      <c r="AP219">
        <v>1000</v>
      </c>
      <c r="AT219">
        <v>0</v>
      </c>
      <c r="AU219" t="s">
        <v>1059</v>
      </c>
      <c r="AW219" t="s">
        <v>1053</v>
      </c>
      <c r="AX219">
        <v>0</v>
      </c>
      <c r="AY219" s="20">
        <v>40792</v>
      </c>
      <c r="BA219" s="20">
        <v>40792</v>
      </c>
      <c r="BB219" t="s">
        <v>1058</v>
      </c>
      <c r="BD219">
        <v>0</v>
      </c>
      <c r="BF219" t="s">
        <v>1043</v>
      </c>
      <c r="BG219" t="s">
        <v>1042</v>
      </c>
      <c r="BH219">
        <v>0</v>
      </c>
      <c r="BI219">
        <v>1</v>
      </c>
      <c r="BJ219">
        <v>0</v>
      </c>
      <c r="BK219">
        <v>0</v>
      </c>
      <c r="BM219" t="s">
        <v>1042</v>
      </c>
      <c r="BN219">
        <v>0</v>
      </c>
      <c r="BR219" t="s">
        <v>1043</v>
      </c>
      <c r="BS219" t="s">
        <v>1043</v>
      </c>
      <c r="BT219" t="s">
        <v>1043</v>
      </c>
      <c r="BW219">
        <v>83</v>
      </c>
      <c r="CA219">
        <v>0</v>
      </c>
      <c r="CB219" t="s">
        <v>1057</v>
      </c>
      <c r="CE219" t="s">
        <v>1043</v>
      </c>
      <c r="CH219" t="s">
        <v>1043</v>
      </c>
      <c r="CN219" t="s">
        <v>1056</v>
      </c>
      <c r="CO219" t="s">
        <v>1043</v>
      </c>
      <c r="CP219">
        <v>1</v>
      </c>
      <c r="CQ219">
        <v>0</v>
      </c>
      <c r="CS219">
        <v>0</v>
      </c>
      <c r="CT219">
        <v>0</v>
      </c>
      <c r="CU219">
        <v>0</v>
      </c>
      <c r="CV219" t="s">
        <v>1045</v>
      </c>
      <c r="CW219">
        <v>0</v>
      </c>
      <c r="CX219">
        <v>0</v>
      </c>
      <c r="CY219">
        <v>0</v>
      </c>
      <c r="CZ219">
        <v>0</v>
      </c>
      <c r="DB219">
        <v>0</v>
      </c>
      <c r="DC219" t="s">
        <v>1043</v>
      </c>
      <c r="DF219" t="s">
        <v>1055</v>
      </c>
      <c r="DH219">
        <v>0</v>
      </c>
      <c r="DJ219">
        <v>0</v>
      </c>
      <c r="DK219" t="s">
        <v>1053</v>
      </c>
      <c r="DL219">
        <v>0</v>
      </c>
      <c r="DN219">
        <v>0</v>
      </c>
      <c r="DO219" t="s">
        <v>1042</v>
      </c>
      <c r="DP219">
        <v>0</v>
      </c>
      <c r="DQ219">
        <v>0</v>
      </c>
      <c r="DS219">
        <v>0</v>
      </c>
      <c r="DU219">
        <v>0</v>
      </c>
      <c r="DW219">
        <v>0</v>
      </c>
      <c r="DX219" t="s">
        <v>1043</v>
      </c>
      <c r="DY219">
        <v>0</v>
      </c>
      <c r="DZ219">
        <v>0</v>
      </c>
      <c r="EA219">
        <v>0</v>
      </c>
      <c r="ED219" t="s">
        <v>1045</v>
      </c>
      <c r="EE219">
        <v>0</v>
      </c>
      <c r="EF219">
        <v>0</v>
      </c>
      <c r="EQ219" t="s">
        <v>1044</v>
      </c>
      <c r="ES219" t="s">
        <v>1053</v>
      </c>
      <c r="ET219">
        <v>0</v>
      </c>
      <c r="EV219">
        <v>0</v>
      </c>
      <c r="EY219" t="s">
        <v>1052</v>
      </c>
      <c r="EZ219">
        <v>0</v>
      </c>
      <c r="FA219" t="s">
        <v>1043</v>
      </c>
      <c r="FB219">
        <v>0</v>
      </c>
      <c r="FC219">
        <v>0</v>
      </c>
      <c r="FE219" t="s">
        <v>1050</v>
      </c>
      <c r="FF219">
        <v>0</v>
      </c>
      <c r="FG219" t="s">
        <v>1050</v>
      </c>
      <c r="FJ219">
        <v>0</v>
      </c>
      <c r="FK219">
        <v>0</v>
      </c>
      <c r="FP219">
        <v>0</v>
      </c>
      <c r="FR219">
        <v>0</v>
      </c>
      <c r="FS219" t="s">
        <v>1043</v>
      </c>
      <c r="FX219" t="s">
        <v>1042</v>
      </c>
      <c r="FZ219" t="s">
        <v>1048</v>
      </c>
      <c r="GA219">
        <v>0</v>
      </c>
      <c r="GB219" t="s">
        <v>1042</v>
      </c>
      <c r="GE219">
        <v>0</v>
      </c>
      <c r="GG219">
        <v>0</v>
      </c>
      <c r="GN219">
        <v>0</v>
      </c>
      <c r="GO219" t="s">
        <v>1063</v>
      </c>
      <c r="GQ219">
        <v>0</v>
      </c>
      <c r="GU219">
        <v>0</v>
      </c>
      <c r="GY219" t="s">
        <v>1045</v>
      </c>
      <c r="HB219">
        <v>0</v>
      </c>
      <c r="HE219">
        <v>0</v>
      </c>
      <c r="HF219">
        <v>0</v>
      </c>
      <c r="HG219">
        <v>0</v>
      </c>
      <c r="HK219" t="s">
        <v>1042</v>
      </c>
      <c r="HM219" t="s">
        <v>1047</v>
      </c>
      <c r="HN219">
        <v>0</v>
      </c>
      <c r="HP219">
        <v>0</v>
      </c>
      <c r="HQ219">
        <v>0</v>
      </c>
      <c r="HR219" t="s">
        <v>1042</v>
      </c>
      <c r="HS219" t="s">
        <v>1043</v>
      </c>
      <c r="HT219">
        <v>0</v>
      </c>
      <c r="HU219">
        <v>0</v>
      </c>
      <c r="HW219">
        <v>0</v>
      </c>
      <c r="HX219">
        <v>0</v>
      </c>
      <c r="HY219">
        <v>0</v>
      </c>
      <c r="HZ219" t="s">
        <v>1045</v>
      </c>
      <c r="IA219">
        <v>0</v>
      </c>
      <c r="IB219" t="s">
        <v>1045</v>
      </c>
      <c r="ID219" t="s">
        <v>1045</v>
      </c>
      <c r="IF219">
        <v>0</v>
      </c>
      <c r="IG219" t="s">
        <v>1042</v>
      </c>
      <c r="II219" t="s">
        <v>1042</v>
      </c>
      <c r="IR219" t="s">
        <v>1045</v>
      </c>
      <c r="IT219">
        <v>0</v>
      </c>
      <c r="IY219" t="s">
        <v>1044</v>
      </c>
      <c r="IZ219" t="s">
        <v>1043</v>
      </c>
      <c r="JC219" t="s">
        <v>1043</v>
      </c>
      <c r="JE219">
        <v>0</v>
      </c>
      <c r="JF219">
        <v>0</v>
      </c>
      <c r="JI219" t="s">
        <v>1042</v>
      </c>
      <c r="JJ219">
        <v>0</v>
      </c>
      <c r="JK219">
        <v>0</v>
      </c>
      <c r="JL219">
        <v>0</v>
      </c>
      <c r="JM219">
        <v>0</v>
      </c>
      <c r="JQ219" t="s">
        <v>1043</v>
      </c>
      <c r="JT219">
        <v>0</v>
      </c>
      <c r="JU219" t="s">
        <v>1042</v>
      </c>
      <c r="JW219">
        <v>0</v>
      </c>
      <c r="KA219">
        <v>0</v>
      </c>
      <c r="KF219">
        <v>0</v>
      </c>
      <c r="KG219">
        <v>0</v>
      </c>
      <c r="KH219">
        <v>0</v>
      </c>
      <c r="KI219">
        <v>0</v>
      </c>
      <c r="KS219" t="s">
        <v>1073</v>
      </c>
      <c r="KT219">
        <v>0</v>
      </c>
      <c r="KU219">
        <v>0</v>
      </c>
      <c r="KV219">
        <v>0</v>
      </c>
      <c r="KX219">
        <v>0</v>
      </c>
      <c r="KZ219">
        <v>0</v>
      </c>
      <c r="LF219">
        <v>0</v>
      </c>
      <c r="LH219">
        <v>0</v>
      </c>
      <c r="LI219">
        <v>0</v>
      </c>
    </row>
    <row r="220" spans="1:321" x14ac:dyDescent="0.35">
      <c r="A220">
        <v>1</v>
      </c>
      <c r="B220">
        <v>12449</v>
      </c>
      <c r="C220" t="s">
        <v>1473</v>
      </c>
      <c r="D220" t="s">
        <v>1139</v>
      </c>
      <c r="E220" t="s">
        <v>85</v>
      </c>
      <c r="F220">
        <v>80</v>
      </c>
      <c r="G220">
        <v>9000</v>
      </c>
      <c r="H220">
        <v>0</v>
      </c>
      <c r="I220" t="s">
        <v>1050</v>
      </c>
      <c r="L220">
        <v>0</v>
      </c>
      <c r="M220">
        <v>0</v>
      </c>
      <c r="N220">
        <v>0</v>
      </c>
      <c r="R220">
        <v>0</v>
      </c>
      <c r="S220">
        <v>0</v>
      </c>
      <c r="W220" t="s">
        <v>1060</v>
      </c>
      <c r="X220">
        <v>0</v>
      </c>
      <c r="Z220">
        <v>1</v>
      </c>
      <c r="AA220">
        <v>0</v>
      </c>
      <c r="AB220">
        <v>0</v>
      </c>
      <c r="AC220">
        <v>0</v>
      </c>
      <c r="AD220" s="20">
        <v>40792</v>
      </c>
      <c r="AE220">
        <v>3.6</v>
      </c>
      <c r="AF220">
        <v>0</v>
      </c>
      <c r="AH220">
        <v>0</v>
      </c>
      <c r="AJ220">
        <v>0</v>
      </c>
      <c r="AL220">
        <v>0</v>
      </c>
      <c r="AM220">
        <v>0</v>
      </c>
      <c r="AN220">
        <v>16601001</v>
      </c>
      <c r="AO220">
        <v>0</v>
      </c>
      <c r="AP220">
        <v>1000</v>
      </c>
      <c r="AT220">
        <v>0</v>
      </c>
      <c r="AU220" t="s">
        <v>1059</v>
      </c>
      <c r="AW220" t="s">
        <v>1053</v>
      </c>
      <c r="AX220">
        <v>0</v>
      </c>
      <c r="AY220" s="20">
        <v>40792</v>
      </c>
      <c r="BA220" s="20">
        <v>40792</v>
      </c>
      <c r="BB220" t="s">
        <v>1058</v>
      </c>
      <c r="BD220">
        <v>0</v>
      </c>
      <c r="BF220" t="s">
        <v>1043</v>
      </c>
      <c r="BG220" t="s">
        <v>1042</v>
      </c>
      <c r="BH220">
        <v>0</v>
      </c>
      <c r="BI220">
        <v>1</v>
      </c>
      <c r="BJ220">
        <v>0</v>
      </c>
      <c r="BK220">
        <v>0</v>
      </c>
      <c r="BM220" t="s">
        <v>1042</v>
      </c>
      <c r="BN220">
        <v>0</v>
      </c>
      <c r="BR220" t="s">
        <v>1043</v>
      </c>
      <c r="BS220" t="s">
        <v>1043</v>
      </c>
      <c r="BT220" t="s">
        <v>1043</v>
      </c>
      <c r="BW220">
        <v>83</v>
      </c>
      <c r="CA220">
        <v>0</v>
      </c>
      <c r="CB220" t="s">
        <v>1057</v>
      </c>
      <c r="CE220" t="s">
        <v>1043</v>
      </c>
      <c r="CH220" t="s">
        <v>1043</v>
      </c>
      <c r="CN220" t="s">
        <v>1056</v>
      </c>
      <c r="CO220" t="s">
        <v>1043</v>
      </c>
      <c r="CP220">
        <v>1</v>
      </c>
      <c r="CQ220">
        <v>0</v>
      </c>
      <c r="CS220">
        <v>0</v>
      </c>
      <c r="CT220">
        <v>0</v>
      </c>
      <c r="CU220">
        <v>0</v>
      </c>
      <c r="CV220" t="s">
        <v>1045</v>
      </c>
      <c r="CW220">
        <v>0</v>
      </c>
      <c r="CX220">
        <v>0</v>
      </c>
      <c r="CY220">
        <v>0</v>
      </c>
      <c r="CZ220">
        <v>0</v>
      </c>
      <c r="DB220">
        <v>0</v>
      </c>
      <c r="DC220" t="s">
        <v>1043</v>
      </c>
      <c r="DF220" t="s">
        <v>1055</v>
      </c>
      <c r="DH220">
        <v>0</v>
      </c>
      <c r="DJ220">
        <v>0</v>
      </c>
      <c r="DK220" t="s">
        <v>1053</v>
      </c>
      <c r="DL220">
        <v>0</v>
      </c>
      <c r="DN220">
        <v>0</v>
      </c>
      <c r="DO220" t="s">
        <v>1042</v>
      </c>
      <c r="DP220">
        <v>0</v>
      </c>
      <c r="DQ220">
        <v>0</v>
      </c>
      <c r="DS220">
        <v>0</v>
      </c>
      <c r="DU220">
        <v>0</v>
      </c>
      <c r="DW220">
        <v>0</v>
      </c>
      <c r="DX220" t="s">
        <v>1043</v>
      </c>
      <c r="DY220">
        <v>0</v>
      </c>
      <c r="DZ220">
        <v>0</v>
      </c>
      <c r="EA220">
        <v>0</v>
      </c>
      <c r="ED220" t="s">
        <v>1045</v>
      </c>
      <c r="EE220">
        <v>0</v>
      </c>
      <c r="EF220">
        <v>0</v>
      </c>
      <c r="EQ220" t="s">
        <v>1044</v>
      </c>
      <c r="ES220" t="s">
        <v>1053</v>
      </c>
      <c r="ET220">
        <v>0</v>
      </c>
      <c r="EV220">
        <v>0</v>
      </c>
      <c r="EY220" t="s">
        <v>1052</v>
      </c>
      <c r="EZ220">
        <v>0</v>
      </c>
      <c r="FA220" t="s">
        <v>1043</v>
      </c>
      <c r="FB220">
        <v>0</v>
      </c>
      <c r="FC220">
        <v>0</v>
      </c>
      <c r="FE220" t="s">
        <v>1050</v>
      </c>
      <c r="FF220">
        <v>0</v>
      </c>
      <c r="FG220" t="s">
        <v>1050</v>
      </c>
      <c r="FJ220">
        <v>0</v>
      </c>
      <c r="FK220">
        <v>0</v>
      </c>
      <c r="FP220">
        <v>0</v>
      </c>
      <c r="FR220">
        <v>0</v>
      </c>
      <c r="FS220" t="s">
        <v>1043</v>
      </c>
      <c r="FX220" t="s">
        <v>1042</v>
      </c>
      <c r="FZ220" t="s">
        <v>1048</v>
      </c>
      <c r="GA220">
        <v>0</v>
      </c>
      <c r="GB220" t="s">
        <v>1042</v>
      </c>
      <c r="GE220">
        <v>0</v>
      </c>
      <c r="GG220">
        <v>0</v>
      </c>
      <c r="GN220">
        <v>0</v>
      </c>
      <c r="GO220" t="s">
        <v>1063</v>
      </c>
      <c r="GQ220">
        <v>0</v>
      </c>
      <c r="GU220">
        <v>0</v>
      </c>
      <c r="GY220" t="s">
        <v>1045</v>
      </c>
      <c r="HB220">
        <v>0</v>
      </c>
      <c r="HE220">
        <v>0</v>
      </c>
      <c r="HF220">
        <v>0</v>
      </c>
      <c r="HG220">
        <v>0</v>
      </c>
      <c r="HK220" t="s">
        <v>1042</v>
      </c>
      <c r="HM220" t="s">
        <v>1047</v>
      </c>
      <c r="HN220">
        <v>0</v>
      </c>
      <c r="HP220">
        <v>0</v>
      </c>
      <c r="HQ220">
        <v>0</v>
      </c>
      <c r="HR220" t="s">
        <v>1042</v>
      </c>
      <c r="HS220" t="s">
        <v>1043</v>
      </c>
      <c r="HT220">
        <v>0</v>
      </c>
      <c r="HU220">
        <v>0</v>
      </c>
      <c r="HW220">
        <v>0</v>
      </c>
      <c r="HX220">
        <v>0</v>
      </c>
      <c r="HY220">
        <v>0</v>
      </c>
      <c r="HZ220" t="s">
        <v>1045</v>
      </c>
      <c r="IA220">
        <v>0</v>
      </c>
      <c r="IB220" t="s">
        <v>1045</v>
      </c>
      <c r="ID220" t="s">
        <v>1045</v>
      </c>
      <c r="IF220">
        <v>0</v>
      </c>
      <c r="IG220" t="s">
        <v>1042</v>
      </c>
      <c r="II220" t="s">
        <v>1042</v>
      </c>
      <c r="IR220" t="s">
        <v>1045</v>
      </c>
      <c r="IT220">
        <v>0</v>
      </c>
      <c r="IY220" t="s">
        <v>1044</v>
      </c>
      <c r="IZ220" t="s">
        <v>1043</v>
      </c>
      <c r="JC220" t="s">
        <v>1043</v>
      </c>
      <c r="JE220">
        <v>0</v>
      </c>
      <c r="JF220">
        <v>0</v>
      </c>
      <c r="JI220" t="s">
        <v>1042</v>
      </c>
      <c r="JJ220">
        <v>0</v>
      </c>
      <c r="JK220">
        <v>0</v>
      </c>
      <c r="JL220">
        <v>0</v>
      </c>
      <c r="JM220">
        <v>0</v>
      </c>
      <c r="JQ220" t="s">
        <v>1043</v>
      </c>
      <c r="JT220">
        <v>0</v>
      </c>
      <c r="JU220" t="s">
        <v>1042</v>
      </c>
      <c r="JW220">
        <v>0</v>
      </c>
      <c r="KA220">
        <v>0</v>
      </c>
      <c r="KF220">
        <v>0</v>
      </c>
      <c r="KG220">
        <v>0</v>
      </c>
      <c r="KH220">
        <v>0</v>
      </c>
      <c r="KI220">
        <v>0</v>
      </c>
      <c r="KS220" t="s">
        <v>1073</v>
      </c>
      <c r="KT220">
        <v>0</v>
      </c>
      <c r="KU220">
        <v>0</v>
      </c>
      <c r="KV220">
        <v>0</v>
      </c>
      <c r="KX220">
        <v>0</v>
      </c>
      <c r="KZ220">
        <v>0</v>
      </c>
      <c r="LF220">
        <v>0</v>
      </c>
      <c r="LH220">
        <v>0</v>
      </c>
      <c r="LI220">
        <v>0</v>
      </c>
    </row>
    <row r="221" spans="1:321" x14ac:dyDescent="0.35">
      <c r="A221">
        <v>1</v>
      </c>
      <c r="B221">
        <v>1245</v>
      </c>
      <c r="C221" t="s">
        <v>637</v>
      </c>
      <c r="D221" t="s">
        <v>1061</v>
      </c>
      <c r="E221" t="s">
        <v>85</v>
      </c>
      <c r="F221">
        <v>1</v>
      </c>
      <c r="G221">
        <v>240</v>
      </c>
      <c r="H221">
        <v>0</v>
      </c>
      <c r="I221" t="s">
        <v>994</v>
      </c>
      <c r="L221">
        <v>0</v>
      </c>
      <c r="M221">
        <v>0</v>
      </c>
      <c r="N221">
        <v>0</v>
      </c>
      <c r="Q221">
        <v>516</v>
      </c>
      <c r="R221">
        <v>0</v>
      </c>
      <c r="S221">
        <v>0</v>
      </c>
      <c r="W221" t="s">
        <v>1060</v>
      </c>
      <c r="X221">
        <v>0</v>
      </c>
      <c r="Z221">
        <v>50</v>
      </c>
      <c r="AA221">
        <v>4.6082999999999998</v>
      </c>
      <c r="AB221">
        <v>9387</v>
      </c>
      <c r="AC221">
        <v>6.6000000000000003E-2</v>
      </c>
      <c r="AD221" t="s">
        <v>1042</v>
      </c>
      <c r="AE221">
        <v>0</v>
      </c>
      <c r="AF221">
        <v>6.1999999999999998E-3</v>
      </c>
      <c r="AH221">
        <v>347</v>
      </c>
      <c r="AJ221">
        <v>1</v>
      </c>
      <c r="AK221" t="s">
        <v>1154</v>
      </c>
      <c r="AL221">
        <v>34600</v>
      </c>
      <c r="AM221">
        <v>0</v>
      </c>
      <c r="AN221">
        <v>11501001</v>
      </c>
      <c r="AO221">
        <v>0</v>
      </c>
      <c r="AP221">
        <v>1002</v>
      </c>
      <c r="AT221">
        <v>1</v>
      </c>
      <c r="AU221" t="s">
        <v>1059</v>
      </c>
      <c r="AV221" t="s">
        <v>1043</v>
      </c>
      <c r="AW221" t="s">
        <v>1053</v>
      </c>
      <c r="AX221">
        <v>0</v>
      </c>
      <c r="AY221" s="20">
        <v>43274</v>
      </c>
      <c r="BA221" s="20">
        <v>44523</v>
      </c>
      <c r="BB221" t="s">
        <v>1058</v>
      </c>
      <c r="BD221">
        <v>0</v>
      </c>
      <c r="BF221" t="s">
        <v>1044</v>
      </c>
      <c r="BG221" s="20">
        <v>40340</v>
      </c>
      <c r="BH221">
        <v>0</v>
      </c>
      <c r="BI221">
        <v>21</v>
      </c>
      <c r="BJ221">
        <v>0</v>
      </c>
      <c r="BK221">
        <v>0</v>
      </c>
      <c r="BM221" s="20">
        <v>40336</v>
      </c>
      <c r="BN221">
        <v>0</v>
      </c>
      <c r="BO221">
        <v>7897801309981</v>
      </c>
      <c r="BR221" t="s">
        <v>1043</v>
      </c>
      <c r="BS221" t="s">
        <v>1043</v>
      </c>
      <c r="BT221" t="s">
        <v>1043</v>
      </c>
      <c r="BV221">
        <v>1</v>
      </c>
      <c r="BW221">
        <v>2</v>
      </c>
      <c r="BY221">
        <v>67</v>
      </c>
      <c r="CA221">
        <v>0</v>
      </c>
      <c r="CB221" t="s">
        <v>1043</v>
      </c>
      <c r="CE221" t="s">
        <v>1043</v>
      </c>
      <c r="CH221" t="s">
        <v>1043</v>
      </c>
      <c r="CI221" t="s">
        <v>1383</v>
      </c>
      <c r="CK221" t="s">
        <v>1152</v>
      </c>
      <c r="CN221" t="s">
        <v>1056</v>
      </c>
      <c r="CP221">
        <v>1</v>
      </c>
      <c r="CQ221">
        <v>1000</v>
      </c>
      <c r="CS221">
        <v>0</v>
      </c>
      <c r="CT221">
        <v>0</v>
      </c>
      <c r="CU221">
        <v>0</v>
      </c>
      <c r="CV221" t="s">
        <v>1045</v>
      </c>
      <c r="CW221">
        <v>0</v>
      </c>
      <c r="CX221">
        <v>0</v>
      </c>
      <c r="CY221">
        <v>0</v>
      </c>
      <c r="CZ221">
        <v>0</v>
      </c>
      <c r="DA221">
        <v>6</v>
      </c>
      <c r="DB221">
        <v>25000</v>
      </c>
      <c r="DH221">
        <v>0</v>
      </c>
      <c r="DJ221">
        <v>0</v>
      </c>
      <c r="DL221">
        <v>0</v>
      </c>
      <c r="DN221">
        <v>0</v>
      </c>
      <c r="DO221" t="s">
        <v>1042</v>
      </c>
      <c r="DP221">
        <v>0</v>
      </c>
      <c r="DQ221">
        <v>7.6</v>
      </c>
      <c r="DS221">
        <v>0</v>
      </c>
      <c r="DU221">
        <v>1.65</v>
      </c>
      <c r="DW221">
        <v>0</v>
      </c>
      <c r="DY221">
        <v>0</v>
      </c>
      <c r="DZ221">
        <v>0</v>
      </c>
      <c r="EA221">
        <v>0</v>
      </c>
      <c r="EB221">
        <v>17897801309988</v>
      </c>
      <c r="EE221">
        <v>0</v>
      </c>
      <c r="EF221">
        <v>0</v>
      </c>
      <c r="EK221" t="s">
        <v>1054</v>
      </c>
      <c r="EL221">
        <v>57897801309986</v>
      </c>
      <c r="EN221" t="s">
        <v>1012</v>
      </c>
      <c r="ET221">
        <v>0</v>
      </c>
      <c r="EV221">
        <v>0</v>
      </c>
      <c r="EY221" t="s">
        <v>1052</v>
      </c>
      <c r="EZ221">
        <v>0</v>
      </c>
      <c r="FA221" t="s">
        <v>1043</v>
      </c>
      <c r="FB221">
        <v>0</v>
      </c>
      <c r="FC221">
        <v>0</v>
      </c>
      <c r="FD221" t="s">
        <v>1051</v>
      </c>
      <c r="FE221" t="s">
        <v>1050</v>
      </c>
      <c r="FF221">
        <v>1500</v>
      </c>
      <c r="FG221" t="s">
        <v>1050</v>
      </c>
      <c r="FH221">
        <v>27897801309985</v>
      </c>
      <c r="FJ221">
        <v>0</v>
      </c>
      <c r="FK221">
        <v>0</v>
      </c>
      <c r="FP221">
        <v>0</v>
      </c>
      <c r="FR221">
        <v>0</v>
      </c>
      <c r="FS221" t="s">
        <v>1043</v>
      </c>
      <c r="FX221" t="s">
        <v>1042</v>
      </c>
      <c r="GA221">
        <v>0</v>
      </c>
      <c r="GB221" t="s">
        <v>1042</v>
      </c>
      <c r="GD221">
        <v>16</v>
      </c>
      <c r="GE221">
        <v>0</v>
      </c>
      <c r="GG221">
        <v>0</v>
      </c>
      <c r="GN221">
        <v>0</v>
      </c>
      <c r="GO221" t="s">
        <v>1049</v>
      </c>
      <c r="GQ221">
        <v>0</v>
      </c>
      <c r="GU221">
        <v>0</v>
      </c>
      <c r="GY221" t="s">
        <v>1045</v>
      </c>
      <c r="HB221">
        <v>0</v>
      </c>
      <c r="HE221">
        <v>10</v>
      </c>
      <c r="HF221">
        <v>0</v>
      </c>
      <c r="HG221">
        <v>2.0400000000000001E-3</v>
      </c>
      <c r="HK221" t="s">
        <v>1042</v>
      </c>
      <c r="HL221" t="s">
        <v>1048</v>
      </c>
      <c r="HM221">
        <v>0</v>
      </c>
      <c r="HN221">
        <v>0</v>
      </c>
      <c r="HO221">
        <v>25</v>
      </c>
      <c r="HP221">
        <v>6.1999999999999998E-3</v>
      </c>
      <c r="HQ221">
        <v>0</v>
      </c>
      <c r="HR221" s="20">
        <v>40336</v>
      </c>
      <c r="HT221">
        <v>0</v>
      </c>
      <c r="HU221">
        <v>0</v>
      </c>
      <c r="HW221">
        <v>0</v>
      </c>
      <c r="HX221">
        <v>22947</v>
      </c>
      <c r="HY221">
        <v>0</v>
      </c>
      <c r="IA221">
        <v>0</v>
      </c>
      <c r="IF221">
        <v>45000</v>
      </c>
      <c r="IG221" s="20">
        <v>40340</v>
      </c>
      <c r="IH221" t="s">
        <v>1046</v>
      </c>
      <c r="II221" t="s">
        <v>1042</v>
      </c>
      <c r="IR221" t="s">
        <v>1045</v>
      </c>
      <c r="IT221">
        <v>0</v>
      </c>
      <c r="JE221">
        <v>0</v>
      </c>
      <c r="JF221">
        <v>0</v>
      </c>
      <c r="JI221" t="s">
        <v>1042</v>
      </c>
      <c r="JJ221">
        <v>0</v>
      </c>
      <c r="JK221">
        <v>0</v>
      </c>
      <c r="JL221">
        <v>0</v>
      </c>
      <c r="JM221">
        <v>0</v>
      </c>
      <c r="JT221">
        <v>0</v>
      </c>
      <c r="JU221" t="s">
        <v>1042</v>
      </c>
      <c r="JW221">
        <v>0</v>
      </c>
      <c r="KA221">
        <v>0</v>
      </c>
      <c r="KF221">
        <v>0</v>
      </c>
      <c r="KG221">
        <v>0</v>
      </c>
      <c r="KH221">
        <v>0</v>
      </c>
      <c r="KI221">
        <v>0</v>
      </c>
      <c r="KS221" t="s">
        <v>1041</v>
      </c>
      <c r="KT221">
        <v>0</v>
      </c>
      <c r="KU221">
        <v>0</v>
      </c>
      <c r="KV221">
        <v>0</v>
      </c>
      <c r="KX221">
        <v>0</v>
      </c>
      <c r="KZ221">
        <v>0</v>
      </c>
      <c r="LF221">
        <v>0</v>
      </c>
      <c r="LH221">
        <v>219912</v>
      </c>
      <c r="LI221">
        <v>0</v>
      </c>
    </row>
    <row r="222" spans="1:321" x14ac:dyDescent="0.35">
      <c r="A222">
        <v>1</v>
      </c>
      <c r="B222">
        <v>12450</v>
      </c>
      <c r="C222" t="s">
        <v>1472</v>
      </c>
      <c r="D222" t="s">
        <v>1139</v>
      </c>
      <c r="E222" t="s">
        <v>85</v>
      </c>
      <c r="F222">
        <v>80</v>
      </c>
      <c r="G222">
        <v>9000</v>
      </c>
      <c r="H222">
        <v>0</v>
      </c>
      <c r="I222" t="s">
        <v>1050</v>
      </c>
      <c r="L222">
        <v>0</v>
      </c>
      <c r="M222">
        <v>0</v>
      </c>
      <c r="N222">
        <v>0</v>
      </c>
      <c r="R222">
        <v>0</v>
      </c>
      <c r="S222">
        <v>0</v>
      </c>
      <c r="W222" t="s">
        <v>1060</v>
      </c>
      <c r="X222">
        <v>0</v>
      </c>
      <c r="Z222">
        <v>1</v>
      </c>
      <c r="AA222">
        <v>0</v>
      </c>
      <c r="AB222">
        <v>0</v>
      </c>
      <c r="AC222">
        <v>0</v>
      </c>
      <c r="AD222" s="20">
        <v>40703</v>
      </c>
      <c r="AE222">
        <v>3.6</v>
      </c>
      <c r="AF222">
        <v>0</v>
      </c>
      <c r="AH222">
        <v>0</v>
      </c>
      <c r="AJ222">
        <v>0</v>
      </c>
      <c r="AL222">
        <v>0</v>
      </c>
      <c r="AM222">
        <v>0</v>
      </c>
      <c r="AN222">
        <v>16601001</v>
      </c>
      <c r="AO222">
        <v>0</v>
      </c>
      <c r="AP222">
        <v>1000</v>
      </c>
      <c r="AT222">
        <v>0</v>
      </c>
      <c r="AU222" t="s">
        <v>1059</v>
      </c>
      <c r="AW222" t="s">
        <v>1053</v>
      </c>
      <c r="AX222">
        <v>0</v>
      </c>
      <c r="AY222" s="20">
        <v>40792</v>
      </c>
      <c r="BA222" s="20">
        <v>40792</v>
      </c>
      <c r="BB222" t="s">
        <v>1058</v>
      </c>
      <c r="BD222">
        <v>0</v>
      </c>
      <c r="BF222" t="s">
        <v>1043</v>
      </c>
      <c r="BG222" t="s">
        <v>1042</v>
      </c>
      <c r="BH222">
        <v>0</v>
      </c>
      <c r="BI222">
        <v>1</v>
      </c>
      <c r="BJ222">
        <v>0</v>
      </c>
      <c r="BK222">
        <v>0</v>
      </c>
      <c r="BM222" t="s">
        <v>1042</v>
      </c>
      <c r="BN222">
        <v>0</v>
      </c>
      <c r="BR222" t="s">
        <v>1043</v>
      </c>
      <c r="BS222" t="s">
        <v>1043</v>
      </c>
      <c r="BT222" t="s">
        <v>1043</v>
      </c>
      <c r="BW222">
        <v>83</v>
      </c>
      <c r="CA222">
        <v>0</v>
      </c>
      <c r="CB222" t="s">
        <v>1057</v>
      </c>
      <c r="CE222" t="s">
        <v>1043</v>
      </c>
      <c r="CH222" t="s">
        <v>1043</v>
      </c>
      <c r="CN222" t="s">
        <v>1056</v>
      </c>
      <c r="CO222" t="s">
        <v>1043</v>
      </c>
      <c r="CP222">
        <v>1</v>
      </c>
      <c r="CQ222">
        <v>0</v>
      </c>
      <c r="CS222">
        <v>0</v>
      </c>
      <c r="CT222">
        <v>0</v>
      </c>
      <c r="CU222">
        <v>0</v>
      </c>
      <c r="CV222" t="s">
        <v>1045</v>
      </c>
      <c r="CW222">
        <v>0</v>
      </c>
      <c r="CX222">
        <v>0</v>
      </c>
      <c r="CY222">
        <v>0</v>
      </c>
      <c r="CZ222">
        <v>0</v>
      </c>
      <c r="DB222">
        <v>0</v>
      </c>
      <c r="DC222" t="s">
        <v>1043</v>
      </c>
      <c r="DF222" t="s">
        <v>1055</v>
      </c>
      <c r="DH222">
        <v>0</v>
      </c>
      <c r="DJ222">
        <v>0</v>
      </c>
      <c r="DK222" t="s">
        <v>1053</v>
      </c>
      <c r="DL222">
        <v>0</v>
      </c>
      <c r="DN222">
        <v>0</v>
      </c>
      <c r="DO222" t="s">
        <v>1042</v>
      </c>
      <c r="DP222">
        <v>0</v>
      </c>
      <c r="DQ222">
        <v>0</v>
      </c>
      <c r="DS222">
        <v>0</v>
      </c>
      <c r="DU222">
        <v>0</v>
      </c>
      <c r="DW222">
        <v>0</v>
      </c>
      <c r="DX222" t="s">
        <v>1043</v>
      </c>
      <c r="DY222">
        <v>0</v>
      </c>
      <c r="DZ222">
        <v>0</v>
      </c>
      <c r="EA222">
        <v>0</v>
      </c>
      <c r="ED222" t="s">
        <v>1045</v>
      </c>
      <c r="EE222">
        <v>0</v>
      </c>
      <c r="EF222">
        <v>0</v>
      </c>
      <c r="EQ222" t="s">
        <v>1044</v>
      </c>
      <c r="ES222" t="s">
        <v>1053</v>
      </c>
      <c r="ET222">
        <v>0</v>
      </c>
      <c r="EV222">
        <v>0</v>
      </c>
      <c r="EY222" t="s">
        <v>1052</v>
      </c>
      <c r="EZ222">
        <v>0</v>
      </c>
      <c r="FA222" t="s">
        <v>1043</v>
      </c>
      <c r="FB222">
        <v>0</v>
      </c>
      <c r="FC222">
        <v>0</v>
      </c>
      <c r="FE222" t="s">
        <v>1050</v>
      </c>
      <c r="FF222">
        <v>0</v>
      </c>
      <c r="FG222" t="s">
        <v>1050</v>
      </c>
      <c r="FJ222">
        <v>0</v>
      </c>
      <c r="FK222">
        <v>0</v>
      </c>
      <c r="FP222">
        <v>0</v>
      </c>
      <c r="FR222">
        <v>0</v>
      </c>
      <c r="FS222" t="s">
        <v>1043</v>
      </c>
      <c r="FX222" t="s">
        <v>1042</v>
      </c>
      <c r="FZ222" t="s">
        <v>1048</v>
      </c>
      <c r="GA222">
        <v>0</v>
      </c>
      <c r="GB222" t="s">
        <v>1042</v>
      </c>
      <c r="GE222">
        <v>0</v>
      </c>
      <c r="GG222">
        <v>0</v>
      </c>
      <c r="GN222">
        <v>0</v>
      </c>
      <c r="GO222" t="s">
        <v>1063</v>
      </c>
      <c r="GQ222">
        <v>0</v>
      </c>
      <c r="GU222">
        <v>0</v>
      </c>
      <c r="GY222" t="s">
        <v>1045</v>
      </c>
      <c r="HB222">
        <v>0</v>
      </c>
      <c r="HE222">
        <v>0</v>
      </c>
      <c r="HF222">
        <v>0</v>
      </c>
      <c r="HG222">
        <v>0</v>
      </c>
      <c r="HK222" t="s">
        <v>1042</v>
      </c>
      <c r="HM222" t="s">
        <v>1047</v>
      </c>
      <c r="HN222">
        <v>0</v>
      </c>
      <c r="HP222">
        <v>0</v>
      </c>
      <c r="HQ222">
        <v>0</v>
      </c>
      <c r="HR222" t="s">
        <v>1042</v>
      </c>
      <c r="HS222" t="s">
        <v>1043</v>
      </c>
      <c r="HT222">
        <v>0</v>
      </c>
      <c r="HU222">
        <v>0</v>
      </c>
      <c r="HW222">
        <v>0</v>
      </c>
      <c r="HX222">
        <v>0</v>
      </c>
      <c r="HY222">
        <v>0</v>
      </c>
      <c r="HZ222" t="s">
        <v>1045</v>
      </c>
      <c r="IA222">
        <v>0</v>
      </c>
      <c r="IB222" t="s">
        <v>1045</v>
      </c>
      <c r="ID222" t="s">
        <v>1045</v>
      </c>
      <c r="IF222">
        <v>0</v>
      </c>
      <c r="IG222" t="s">
        <v>1042</v>
      </c>
      <c r="II222" t="s">
        <v>1042</v>
      </c>
      <c r="IR222" t="s">
        <v>1045</v>
      </c>
      <c r="IT222">
        <v>0</v>
      </c>
      <c r="IY222" t="s">
        <v>1044</v>
      </c>
      <c r="IZ222" t="s">
        <v>1043</v>
      </c>
      <c r="JC222" t="s">
        <v>1043</v>
      </c>
      <c r="JE222">
        <v>0</v>
      </c>
      <c r="JF222">
        <v>0</v>
      </c>
      <c r="JI222" t="s">
        <v>1042</v>
      </c>
      <c r="JJ222">
        <v>0</v>
      </c>
      <c r="JK222">
        <v>0</v>
      </c>
      <c r="JL222">
        <v>0</v>
      </c>
      <c r="JM222">
        <v>0</v>
      </c>
      <c r="JQ222" t="s">
        <v>1043</v>
      </c>
      <c r="JT222">
        <v>0</v>
      </c>
      <c r="JU222" t="s">
        <v>1042</v>
      </c>
      <c r="JW222">
        <v>0</v>
      </c>
      <c r="KA222">
        <v>0</v>
      </c>
      <c r="KF222">
        <v>0</v>
      </c>
      <c r="KG222">
        <v>0</v>
      </c>
      <c r="KH222">
        <v>0</v>
      </c>
      <c r="KI222">
        <v>0</v>
      </c>
      <c r="KS222" t="s">
        <v>1073</v>
      </c>
      <c r="KT222">
        <v>0</v>
      </c>
      <c r="KU222">
        <v>0</v>
      </c>
      <c r="KV222">
        <v>0</v>
      </c>
      <c r="KX222">
        <v>0</v>
      </c>
      <c r="KZ222">
        <v>0</v>
      </c>
      <c r="LF222">
        <v>0</v>
      </c>
      <c r="LH222">
        <v>0</v>
      </c>
      <c r="LI222">
        <v>0</v>
      </c>
    </row>
    <row r="223" spans="1:321" x14ac:dyDescent="0.35">
      <c r="A223">
        <v>1</v>
      </c>
      <c r="B223">
        <v>12451</v>
      </c>
      <c r="C223" t="s">
        <v>1471</v>
      </c>
      <c r="D223" t="s">
        <v>1139</v>
      </c>
      <c r="E223" t="s">
        <v>85</v>
      </c>
      <c r="F223">
        <v>80</v>
      </c>
      <c r="G223">
        <v>9000</v>
      </c>
      <c r="H223">
        <v>0</v>
      </c>
      <c r="I223" t="s">
        <v>1050</v>
      </c>
      <c r="L223">
        <v>0</v>
      </c>
      <c r="M223">
        <v>0</v>
      </c>
      <c r="N223">
        <v>0</v>
      </c>
      <c r="R223">
        <v>0</v>
      </c>
      <c r="S223">
        <v>0</v>
      </c>
      <c r="W223" t="s">
        <v>1060</v>
      </c>
      <c r="X223">
        <v>0</v>
      </c>
      <c r="Z223">
        <v>1</v>
      </c>
      <c r="AA223">
        <v>0</v>
      </c>
      <c r="AB223">
        <v>0</v>
      </c>
      <c r="AC223">
        <v>0</v>
      </c>
      <c r="AD223" s="20">
        <v>40792</v>
      </c>
      <c r="AE223">
        <v>3.6</v>
      </c>
      <c r="AF223">
        <v>0</v>
      </c>
      <c r="AH223">
        <v>0</v>
      </c>
      <c r="AJ223">
        <v>0</v>
      </c>
      <c r="AL223">
        <v>0</v>
      </c>
      <c r="AM223">
        <v>0</v>
      </c>
      <c r="AN223">
        <v>16601001</v>
      </c>
      <c r="AO223">
        <v>0</v>
      </c>
      <c r="AP223">
        <v>1000</v>
      </c>
      <c r="AT223">
        <v>0</v>
      </c>
      <c r="AU223" t="s">
        <v>1059</v>
      </c>
      <c r="AW223" t="s">
        <v>1053</v>
      </c>
      <c r="AX223">
        <v>0</v>
      </c>
      <c r="AY223" s="20">
        <v>40792</v>
      </c>
      <c r="BA223" s="20">
        <v>40792</v>
      </c>
      <c r="BB223" t="s">
        <v>1058</v>
      </c>
      <c r="BD223">
        <v>0</v>
      </c>
      <c r="BF223" t="s">
        <v>1043</v>
      </c>
      <c r="BG223" t="s">
        <v>1042</v>
      </c>
      <c r="BH223">
        <v>0</v>
      </c>
      <c r="BI223">
        <v>1</v>
      </c>
      <c r="BJ223">
        <v>0</v>
      </c>
      <c r="BK223">
        <v>0</v>
      </c>
      <c r="BM223" t="s">
        <v>1042</v>
      </c>
      <c r="BN223">
        <v>0</v>
      </c>
      <c r="BR223" t="s">
        <v>1043</v>
      </c>
      <c r="BS223" t="s">
        <v>1043</v>
      </c>
      <c r="BT223" t="s">
        <v>1043</v>
      </c>
      <c r="BW223">
        <v>83</v>
      </c>
      <c r="CA223">
        <v>0</v>
      </c>
      <c r="CB223" t="s">
        <v>1057</v>
      </c>
      <c r="CE223" t="s">
        <v>1043</v>
      </c>
      <c r="CH223" t="s">
        <v>1043</v>
      </c>
      <c r="CN223" t="s">
        <v>1056</v>
      </c>
      <c r="CO223" t="s">
        <v>1043</v>
      </c>
      <c r="CP223">
        <v>1</v>
      </c>
      <c r="CQ223">
        <v>0</v>
      </c>
      <c r="CS223">
        <v>0</v>
      </c>
      <c r="CT223">
        <v>0</v>
      </c>
      <c r="CU223">
        <v>0</v>
      </c>
      <c r="CV223" t="s">
        <v>1045</v>
      </c>
      <c r="CW223">
        <v>0</v>
      </c>
      <c r="CX223">
        <v>0</v>
      </c>
      <c r="CY223">
        <v>0</v>
      </c>
      <c r="CZ223">
        <v>0</v>
      </c>
      <c r="DB223">
        <v>0</v>
      </c>
      <c r="DC223" t="s">
        <v>1043</v>
      </c>
      <c r="DF223" t="s">
        <v>1055</v>
      </c>
      <c r="DH223">
        <v>0</v>
      </c>
      <c r="DJ223">
        <v>0</v>
      </c>
      <c r="DK223" t="s">
        <v>1053</v>
      </c>
      <c r="DL223">
        <v>0</v>
      </c>
      <c r="DN223">
        <v>0</v>
      </c>
      <c r="DO223" t="s">
        <v>1042</v>
      </c>
      <c r="DP223">
        <v>0</v>
      </c>
      <c r="DQ223">
        <v>0</v>
      </c>
      <c r="DS223">
        <v>0</v>
      </c>
      <c r="DU223">
        <v>0</v>
      </c>
      <c r="DW223">
        <v>0</v>
      </c>
      <c r="DX223" t="s">
        <v>1043</v>
      </c>
      <c r="DY223">
        <v>0</v>
      </c>
      <c r="DZ223">
        <v>0</v>
      </c>
      <c r="EA223">
        <v>0</v>
      </c>
      <c r="ED223" t="s">
        <v>1045</v>
      </c>
      <c r="EE223">
        <v>0</v>
      </c>
      <c r="EF223">
        <v>0</v>
      </c>
      <c r="EQ223" t="s">
        <v>1044</v>
      </c>
      <c r="ES223" t="s">
        <v>1053</v>
      </c>
      <c r="ET223">
        <v>0</v>
      </c>
      <c r="EV223">
        <v>0</v>
      </c>
      <c r="EY223" t="s">
        <v>1052</v>
      </c>
      <c r="EZ223">
        <v>0</v>
      </c>
      <c r="FA223" t="s">
        <v>1043</v>
      </c>
      <c r="FB223">
        <v>0</v>
      </c>
      <c r="FC223">
        <v>0</v>
      </c>
      <c r="FE223" t="s">
        <v>1050</v>
      </c>
      <c r="FF223">
        <v>0</v>
      </c>
      <c r="FG223" t="s">
        <v>1050</v>
      </c>
      <c r="FJ223">
        <v>0</v>
      </c>
      <c r="FK223">
        <v>0</v>
      </c>
      <c r="FP223">
        <v>0</v>
      </c>
      <c r="FR223">
        <v>0</v>
      </c>
      <c r="FS223" t="s">
        <v>1043</v>
      </c>
      <c r="FX223" t="s">
        <v>1042</v>
      </c>
      <c r="FZ223" t="s">
        <v>1048</v>
      </c>
      <c r="GA223">
        <v>0</v>
      </c>
      <c r="GB223" t="s">
        <v>1042</v>
      </c>
      <c r="GE223">
        <v>0</v>
      </c>
      <c r="GG223">
        <v>0</v>
      </c>
      <c r="GN223">
        <v>0</v>
      </c>
      <c r="GO223" t="s">
        <v>1063</v>
      </c>
      <c r="GQ223">
        <v>0</v>
      </c>
      <c r="GU223">
        <v>0</v>
      </c>
      <c r="GY223" t="s">
        <v>1045</v>
      </c>
      <c r="HB223">
        <v>0</v>
      </c>
      <c r="HE223">
        <v>0</v>
      </c>
      <c r="HF223">
        <v>0</v>
      </c>
      <c r="HG223">
        <v>0</v>
      </c>
      <c r="HK223" t="s">
        <v>1042</v>
      </c>
      <c r="HM223" t="s">
        <v>1047</v>
      </c>
      <c r="HN223">
        <v>0</v>
      </c>
      <c r="HP223">
        <v>0</v>
      </c>
      <c r="HQ223">
        <v>0</v>
      </c>
      <c r="HR223" t="s">
        <v>1042</v>
      </c>
      <c r="HS223" t="s">
        <v>1043</v>
      </c>
      <c r="HT223">
        <v>0</v>
      </c>
      <c r="HU223">
        <v>0</v>
      </c>
      <c r="HW223">
        <v>0</v>
      </c>
      <c r="HX223">
        <v>0</v>
      </c>
      <c r="HY223">
        <v>0</v>
      </c>
      <c r="HZ223" t="s">
        <v>1045</v>
      </c>
      <c r="IA223">
        <v>0</v>
      </c>
      <c r="IB223" t="s">
        <v>1045</v>
      </c>
      <c r="ID223" t="s">
        <v>1045</v>
      </c>
      <c r="IF223">
        <v>0</v>
      </c>
      <c r="IG223" t="s">
        <v>1042</v>
      </c>
      <c r="II223" t="s">
        <v>1042</v>
      </c>
      <c r="IR223" t="s">
        <v>1045</v>
      </c>
      <c r="IT223">
        <v>0</v>
      </c>
      <c r="IY223" t="s">
        <v>1044</v>
      </c>
      <c r="IZ223" t="s">
        <v>1043</v>
      </c>
      <c r="JC223" t="s">
        <v>1043</v>
      </c>
      <c r="JE223">
        <v>0</v>
      </c>
      <c r="JF223">
        <v>0</v>
      </c>
      <c r="JI223" t="s">
        <v>1042</v>
      </c>
      <c r="JJ223">
        <v>0</v>
      </c>
      <c r="JK223">
        <v>0</v>
      </c>
      <c r="JL223">
        <v>0</v>
      </c>
      <c r="JM223">
        <v>0</v>
      </c>
      <c r="JQ223" t="s">
        <v>1043</v>
      </c>
      <c r="JT223">
        <v>0</v>
      </c>
      <c r="JU223" t="s">
        <v>1042</v>
      </c>
      <c r="JW223">
        <v>0</v>
      </c>
      <c r="KA223">
        <v>0</v>
      </c>
      <c r="KF223">
        <v>0</v>
      </c>
      <c r="KG223">
        <v>0</v>
      </c>
      <c r="KH223">
        <v>0</v>
      </c>
      <c r="KI223">
        <v>0</v>
      </c>
      <c r="KS223" t="s">
        <v>1073</v>
      </c>
      <c r="KT223">
        <v>0</v>
      </c>
      <c r="KU223">
        <v>0</v>
      </c>
      <c r="KV223">
        <v>0</v>
      </c>
      <c r="KX223">
        <v>0</v>
      </c>
      <c r="KZ223">
        <v>0</v>
      </c>
      <c r="LF223">
        <v>0</v>
      </c>
      <c r="LH223">
        <v>0</v>
      </c>
      <c r="LI223">
        <v>0</v>
      </c>
    </row>
    <row r="224" spans="1:321" x14ac:dyDescent="0.35">
      <c r="A224">
        <v>1</v>
      </c>
      <c r="B224">
        <v>12452</v>
      </c>
      <c r="C224" t="s">
        <v>1470</v>
      </c>
      <c r="D224" t="s">
        <v>1139</v>
      </c>
      <c r="E224" t="s">
        <v>85</v>
      </c>
      <c r="F224">
        <v>80</v>
      </c>
      <c r="G224">
        <v>9000</v>
      </c>
      <c r="H224">
        <v>0</v>
      </c>
      <c r="I224" t="s">
        <v>1050</v>
      </c>
      <c r="L224">
        <v>0</v>
      </c>
      <c r="M224">
        <v>0</v>
      </c>
      <c r="N224">
        <v>0</v>
      </c>
      <c r="R224">
        <v>0</v>
      </c>
      <c r="S224">
        <v>0</v>
      </c>
      <c r="W224" t="s">
        <v>1060</v>
      </c>
      <c r="X224">
        <v>0</v>
      </c>
      <c r="Z224">
        <v>1</v>
      </c>
      <c r="AA224">
        <v>0</v>
      </c>
      <c r="AB224">
        <v>0</v>
      </c>
      <c r="AC224">
        <v>0</v>
      </c>
      <c r="AD224" s="20">
        <v>40792</v>
      </c>
      <c r="AE224">
        <v>3.6</v>
      </c>
      <c r="AF224">
        <v>0</v>
      </c>
      <c r="AH224">
        <v>0</v>
      </c>
      <c r="AJ224">
        <v>0</v>
      </c>
      <c r="AL224">
        <v>0</v>
      </c>
      <c r="AM224">
        <v>0</v>
      </c>
      <c r="AN224">
        <v>16601001</v>
      </c>
      <c r="AO224">
        <v>0</v>
      </c>
      <c r="AP224">
        <v>1000</v>
      </c>
      <c r="AT224">
        <v>0</v>
      </c>
      <c r="AU224" t="s">
        <v>1059</v>
      </c>
      <c r="AW224" t="s">
        <v>1053</v>
      </c>
      <c r="AX224">
        <v>0</v>
      </c>
      <c r="AY224" s="20">
        <v>40792</v>
      </c>
      <c r="BA224" s="20">
        <v>40792</v>
      </c>
      <c r="BB224" t="s">
        <v>1058</v>
      </c>
      <c r="BD224">
        <v>0</v>
      </c>
      <c r="BF224" t="s">
        <v>1043</v>
      </c>
      <c r="BG224" t="s">
        <v>1042</v>
      </c>
      <c r="BH224">
        <v>0</v>
      </c>
      <c r="BI224">
        <v>1</v>
      </c>
      <c r="BJ224">
        <v>0</v>
      </c>
      <c r="BK224">
        <v>0</v>
      </c>
      <c r="BM224" t="s">
        <v>1042</v>
      </c>
      <c r="BN224">
        <v>0</v>
      </c>
      <c r="BR224" t="s">
        <v>1043</v>
      </c>
      <c r="BS224" t="s">
        <v>1043</v>
      </c>
      <c r="BT224" t="s">
        <v>1043</v>
      </c>
      <c r="BW224">
        <v>83</v>
      </c>
      <c r="CA224">
        <v>0</v>
      </c>
      <c r="CB224" t="s">
        <v>1057</v>
      </c>
      <c r="CE224" t="s">
        <v>1043</v>
      </c>
      <c r="CH224" t="s">
        <v>1043</v>
      </c>
      <c r="CN224" t="s">
        <v>1056</v>
      </c>
      <c r="CO224" t="s">
        <v>1043</v>
      </c>
      <c r="CP224">
        <v>1</v>
      </c>
      <c r="CQ224">
        <v>0</v>
      </c>
      <c r="CS224">
        <v>0</v>
      </c>
      <c r="CT224">
        <v>0</v>
      </c>
      <c r="CU224">
        <v>0</v>
      </c>
      <c r="CV224" t="s">
        <v>1045</v>
      </c>
      <c r="CW224">
        <v>0</v>
      </c>
      <c r="CX224">
        <v>0</v>
      </c>
      <c r="CY224">
        <v>0</v>
      </c>
      <c r="CZ224">
        <v>0</v>
      </c>
      <c r="DB224">
        <v>0</v>
      </c>
      <c r="DC224" t="s">
        <v>1043</v>
      </c>
      <c r="DF224" t="s">
        <v>1055</v>
      </c>
      <c r="DH224">
        <v>0</v>
      </c>
      <c r="DJ224">
        <v>0</v>
      </c>
      <c r="DK224" t="s">
        <v>1053</v>
      </c>
      <c r="DL224">
        <v>0</v>
      </c>
      <c r="DN224">
        <v>0</v>
      </c>
      <c r="DO224" t="s">
        <v>1042</v>
      </c>
      <c r="DP224">
        <v>0</v>
      </c>
      <c r="DQ224">
        <v>0</v>
      </c>
      <c r="DS224">
        <v>0</v>
      </c>
      <c r="DU224">
        <v>0</v>
      </c>
      <c r="DW224">
        <v>0</v>
      </c>
      <c r="DX224" t="s">
        <v>1043</v>
      </c>
      <c r="DY224">
        <v>0</v>
      </c>
      <c r="DZ224">
        <v>0</v>
      </c>
      <c r="EA224">
        <v>0</v>
      </c>
      <c r="ED224" t="s">
        <v>1045</v>
      </c>
      <c r="EE224">
        <v>0</v>
      </c>
      <c r="EF224">
        <v>0</v>
      </c>
      <c r="EQ224" t="s">
        <v>1044</v>
      </c>
      <c r="ES224" t="s">
        <v>1053</v>
      </c>
      <c r="ET224">
        <v>0</v>
      </c>
      <c r="EV224">
        <v>0</v>
      </c>
      <c r="EY224" t="s">
        <v>1052</v>
      </c>
      <c r="EZ224">
        <v>0</v>
      </c>
      <c r="FA224" t="s">
        <v>1043</v>
      </c>
      <c r="FB224">
        <v>0</v>
      </c>
      <c r="FC224">
        <v>0</v>
      </c>
      <c r="FE224" t="s">
        <v>1050</v>
      </c>
      <c r="FF224">
        <v>0</v>
      </c>
      <c r="FG224" t="s">
        <v>1050</v>
      </c>
      <c r="FJ224">
        <v>0</v>
      </c>
      <c r="FK224">
        <v>0</v>
      </c>
      <c r="FP224">
        <v>0</v>
      </c>
      <c r="FR224">
        <v>0</v>
      </c>
      <c r="FS224" t="s">
        <v>1043</v>
      </c>
      <c r="FX224" t="s">
        <v>1042</v>
      </c>
      <c r="FZ224" t="s">
        <v>1048</v>
      </c>
      <c r="GA224">
        <v>0</v>
      </c>
      <c r="GB224" t="s">
        <v>1042</v>
      </c>
      <c r="GE224">
        <v>0</v>
      </c>
      <c r="GG224">
        <v>0</v>
      </c>
      <c r="GN224">
        <v>0</v>
      </c>
      <c r="GO224" t="s">
        <v>1063</v>
      </c>
      <c r="GQ224">
        <v>0</v>
      </c>
      <c r="GU224">
        <v>0</v>
      </c>
      <c r="GY224" t="s">
        <v>1045</v>
      </c>
      <c r="HB224">
        <v>0</v>
      </c>
      <c r="HE224">
        <v>0</v>
      </c>
      <c r="HF224">
        <v>0</v>
      </c>
      <c r="HG224">
        <v>0</v>
      </c>
      <c r="HK224" t="s">
        <v>1042</v>
      </c>
      <c r="HM224" t="s">
        <v>1047</v>
      </c>
      <c r="HN224">
        <v>0</v>
      </c>
      <c r="HP224">
        <v>0</v>
      </c>
      <c r="HQ224">
        <v>0</v>
      </c>
      <c r="HR224" t="s">
        <v>1042</v>
      </c>
      <c r="HS224" t="s">
        <v>1043</v>
      </c>
      <c r="HT224">
        <v>0</v>
      </c>
      <c r="HU224">
        <v>0</v>
      </c>
      <c r="HW224">
        <v>0</v>
      </c>
      <c r="HX224">
        <v>0</v>
      </c>
      <c r="HY224">
        <v>0</v>
      </c>
      <c r="HZ224" t="s">
        <v>1045</v>
      </c>
      <c r="IA224">
        <v>0</v>
      </c>
      <c r="IB224" t="s">
        <v>1045</v>
      </c>
      <c r="ID224" t="s">
        <v>1045</v>
      </c>
      <c r="IF224">
        <v>0</v>
      </c>
      <c r="IG224" t="s">
        <v>1042</v>
      </c>
      <c r="II224" t="s">
        <v>1042</v>
      </c>
      <c r="IR224" t="s">
        <v>1045</v>
      </c>
      <c r="IT224">
        <v>0</v>
      </c>
      <c r="IY224" t="s">
        <v>1044</v>
      </c>
      <c r="IZ224" t="s">
        <v>1043</v>
      </c>
      <c r="JC224" t="s">
        <v>1043</v>
      </c>
      <c r="JE224">
        <v>0</v>
      </c>
      <c r="JF224">
        <v>0</v>
      </c>
      <c r="JI224" t="s">
        <v>1042</v>
      </c>
      <c r="JJ224">
        <v>0</v>
      </c>
      <c r="JK224">
        <v>0</v>
      </c>
      <c r="JL224">
        <v>0</v>
      </c>
      <c r="JM224">
        <v>0</v>
      </c>
      <c r="JQ224" t="s">
        <v>1043</v>
      </c>
      <c r="JT224">
        <v>0</v>
      </c>
      <c r="JU224" t="s">
        <v>1042</v>
      </c>
      <c r="JW224">
        <v>0</v>
      </c>
      <c r="KA224">
        <v>0</v>
      </c>
      <c r="KF224">
        <v>0</v>
      </c>
      <c r="KG224">
        <v>0</v>
      </c>
      <c r="KH224">
        <v>0</v>
      </c>
      <c r="KI224">
        <v>0</v>
      </c>
      <c r="KS224" t="s">
        <v>1073</v>
      </c>
      <c r="KT224">
        <v>0</v>
      </c>
      <c r="KU224">
        <v>0</v>
      </c>
      <c r="KV224">
        <v>0</v>
      </c>
      <c r="KX224">
        <v>0</v>
      </c>
      <c r="KZ224">
        <v>0</v>
      </c>
      <c r="LF224">
        <v>0</v>
      </c>
      <c r="LH224">
        <v>0</v>
      </c>
      <c r="LI224">
        <v>0</v>
      </c>
    </row>
    <row r="225" spans="1:321" x14ac:dyDescent="0.35">
      <c r="A225">
        <v>1</v>
      </c>
      <c r="B225">
        <v>12453</v>
      </c>
      <c r="C225" t="s">
        <v>1469</v>
      </c>
      <c r="D225" t="s">
        <v>1139</v>
      </c>
      <c r="E225" t="s">
        <v>85</v>
      </c>
      <c r="F225">
        <v>80</v>
      </c>
      <c r="G225">
        <v>9000</v>
      </c>
      <c r="H225">
        <v>0</v>
      </c>
      <c r="I225" t="s">
        <v>1050</v>
      </c>
      <c r="L225">
        <v>0</v>
      </c>
      <c r="M225">
        <v>0</v>
      </c>
      <c r="N225">
        <v>0</v>
      </c>
      <c r="R225">
        <v>0</v>
      </c>
      <c r="S225">
        <v>0</v>
      </c>
      <c r="W225" t="s">
        <v>1060</v>
      </c>
      <c r="X225">
        <v>0</v>
      </c>
      <c r="Z225">
        <v>1</v>
      </c>
      <c r="AA225">
        <v>0</v>
      </c>
      <c r="AB225">
        <v>0</v>
      </c>
      <c r="AC225">
        <v>0</v>
      </c>
      <c r="AD225" s="20">
        <v>40792</v>
      </c>
      <c r="AE225">
        <v>3.6</v>
      </c>
      <c r="AF225">
        <v>0</v>
      </c>
      <c r="AH225">
        <v>0</v>
      </c>
      <c r="AJ225">
        <v>0</v>
      </c>
      <c r="AL225">
        <v>0</v>
      </c>
      <c r="AM225">
        <v>0</v>
      </c>
      <c r="AN225">
        <v>16601001</v>
      </c>
      <c r="AO225">
        <v>0</v>
      </c>
      <c r="AP225">
        <v>1000</v>
      </c>
      <c r="AT225">
        <v>0</v>
      </c>
      <c r="AU225" t="s">
        <v>1059</v>
      </c>
      <c r="AW225" t="s">
        <v>1053</v>
      </c>
      <c r="AX225">
        <v>0</v>
      </c>
      <c r="AY225" s="20">
        <v>40792</v>
      </c>
      <c r="BA225" s="20">
        <v>40792</v>
      </c>
      <c r="BB225" t="s">
        <v>1058</v>
      </c>
      <c r="BD225">
        <v>0</v>
      </c>
      <c r="BF225" t="s">
        <v>1043</v>
      </c>
      <c r="BG225" t="s">
        <v>1042</v>
      </c>
      <c r="BH225">
        <v>0</v>
      </c>
      <c r="BI225">
        <v>1</v>
      </c>
      <c r="BJ225">
        <v>0</v>
      </c>
      <c r="BK225">
        <v>0</v>
      </c>
      <c r="BM225" t="s">
        <v>1042</v>
      </c>
      <c r="BN225">
        <v>0</v>
      </c>
      <c r="BR225" t="s">
        <v>1043</v>
      </c>
      <c r="BS225" t="s">
        <v>1043</v>
      </c>
      <c r="BT225" t="s">
        <v>1043</v>
      </c>
      <c r="BW225">
        <v>83</v>
      </c>
      <c r="CA225">
        <v>0</v>
      </c>
      <c r="CB225" t="s">
        <v>1057</v>
      </c>
      <c r="CE225" t="s">
        <v>1043</v>
      </c>
      <c r="CH225" t="s">
        <v>1043</v>
      </c>
      <c r="CN225" t="s">
        <v>1056</v>
      </c>
      <c r="CO225" t="s">
        <v>1043</v>
      </c>
      <c r="CP225">
        <v>1</v>
      </c>
      <c r="CQ225">
        <v>0</v>
      </c>
      <c r="CS225">
        <v>0</v>
      </c>
      <c r="CT225">
        <v>0</v>
      </c>
      <c r="CU225">
        <v>0</v>
      </c>
      <c r="CV225" t="s">
        <v>1045</v>
      </c>
      <c r="CW225">
        <v>0</v>
      </c>
      <c r="CX225">
        <v>0</v>
      </c>
      <c r="CY225">
        <v>0</v>
      </c>
      <c r="CZ225">
        <v>0</v>
      </c>
      <c r="DB225">
        <v>0</v>
      </c>
      <c r="DC225" t="s">
        <v>1043</v>
      </c>
      <c r="DF225" t="s">
        <v>1055</v>
      </c>
      <c r="DH225">
        <v>0</v>
      </c>
      <c r="DJ225">
        <v>0</v>
      </c>
      <c r="DK225" t="s">
        <v>1053</v>
      </c>
      <c r="DL225">
        <v>0</v>
      </c>
      <c r="DN225">
        <v>0</v>
      </c>
      <c r="DO225" t="s">
        <v>1042</v>
      </c>
      <c r="DP225">
        <v>0</v>
      </c>
      <c r="DQ225">
        <v>0</v>
      </c>
      <c r="DS225">
        <v>0</v>
      </c>
      <c r="DU225">
        <v>0</v>
      </c>
      <c r="DW225">
        <v>0</v>
      </c>
      <c r="DX225" t="s">
        <v>1043</v>
      </c>
      <c r="DY225">
        <v>0</v>
      </c>
      <c r="DZ225">
        <v>0</v>
      </c>
      <c r="EA225">
        <v>0</v>
      </c>
      <c r="ED225" t="s">
        <v>1045</v>
      </c>
      <c r="EE225">
        <v>0</v>
      </c>
      <c r="EF225">
        <v>0</v>
      </c>
      <c r="EQ225" t="s">
        <v>1044</v>
      </c>
      <c r="ES225" t="s">
        <v>1053</v>
      </c>
      <c r="ET225">
        <v>0</v>
      </c>
      <c r="EV225">
        <v>0</v>
      </c>
      <c r="EY225" t="s">
        <v>1052</v>
      </c>
      <c r="EZ225">
        <v>0</v>
      </c>
      <c r="FA225" t="s">
        <v>1043</v>
      </c>
      <c r="FB225">
        <v>0</v>
      </c>
      <c r="FC225">
        <v>0</v>
      </c>
      <c r="FE225" t="s">
        <v>1050</v>
      </c>
      <c r="FF225">
        <v>0</v>
      </c>
      <c r="FG225" t="s">
        <v>1050</v>
      </c>
      <c r="FJ225">
        <v>0</v>
      </c>
      <c r="FK225">
        <v>0</v>
      </c>
      <c r="FP225">
        <v>0</v>
      </c>
      <c r="FR225">
        <v>0</v>
      </c>
      <c r="FS225" t="s">
        <v>1043</v>
      </c>
      <c r="FX225" t="s">
        <v>1042</v>
      </c>
      <c r="FZ225" t="s">
        <v>1048</v>
      </c>
      <c r="GA225">
        <v>0</v>
      </c>
      <c r="GB225" t="s">
        <v>1042</v>
      </c>
      <c r="GE225">
        <v>0</v>
      </c>
      <c r="GG225">
        <v>0</v>
      </c>
      <c r="GN225">
        <v>0</v>
      </c>
      <c r="GO225" t="s">
        <v>1063</v>
      </c>
      <c r="GQ225">
        <v>0</v>
      </c>
      <c r="GU225">
        <v>0</v>
      </c>
      <c r="GY225" t="s">
        <v>1045</v>
      </c>
      <c r="HB225">
        <v>0</v>
      </c>
      <c r="HE225">
        <v>0</v>
      </c>
      <c r="HF225">
        <v>0</v>
      </c>
      <c r="HG225">
        <v>0</v>
      </c>
      <c r="HK225" t="s">
        <v>1042</v>
      </c>
      <c r="HM225" t="s">
        <v>1047</v>
      </c>
      <c r="HN225">
        <v>0</v>
      </c>
      <c r="HP225">
        <v>0</v>
      </c>
      <c r="HQ225">
        <v>0</v>
      </c>
      <c r="HR225" t="s">
        <v>1042</v>
      </c>
      <c r="HS225" t="s">
        <v>1043</v>
      </c>
      <c r="HT225">
        <v>0</v>
      </c>
      <c r="HU225">
        <v>0</v>
      </c>
      <c r="HW225">
        <v>0</v>
      </c>
      <c r="HX225">
        <v>0</v>
      </c>
      <c r="HY225">
        <v>0</v>
      </c>
      <c r="HZ225" t="s">
        <v>1045</v>
      </c>
      <c r="IA225">
        <v>0</v>
      </c>
      <c r="IB225" t="s">
        <v>1045</v>
      </c>
      <c r="ID225" t="s">
        <v>1045</v>
      </c>
      <c r="IF225">
        <v>0</v>
      </c>
      <c r="IG225" t="s">
        <v>1042</v>
      </c>
      <c r="II225" t="s">
        <v>1042</v>
      </c>
      <c r="IR225" t="s">
        <v>1045</v>
      </c>
      <c r="IT225">
        <v>0</v>
      </c>
      <c r="IY225" t="s">
        <v>1044</v>
      </c>
      <c r="IZ225" t="s">
        <v>1043</v>
      </c>
      <c r="JC225" t="s">
        <v>1043</v>
      </c>
      <c r="JE225">
        <v>0</v>
      </c>
      <c r="JF225">
        <v>0</v>
      </c>
      <c r="JI225" t="s">
        <v>1042</v>
      </c>
      <c r="JJ225">
        <v>0</v>
      </c>
      <c r="JK225">
        <v>0</v>
      </c>
      <c r="JL225">
        <v>0</v>
      </c>
      <c r="JM225">
        <v>0</v>
      </c>
      <c r="JQ225" t="s">
        <v>1043</v>
      </c>
      <c r="JT225">
        <v>0</v>
      </c>
      <c r="JU225" t="s">
        <v>1042</v>
      </c>
      <c r="JW225">
        <v>0</v>
      </c>
      <c r="KA225">
        <v>0</v>
      </c>
      <c r="KF225">
        <v>0</v>
      </c>
      <c r="KG225">
        <v>0</v>
      </c>
      <c r="KH225">
        <v>0</v>
      </c>
      <c r="KI225">
        <v>0</v>
      </c>
      <c r="KS225" t="s">
        <v>1073</v>
      </c>
      <c r="KT225">
        <v>0</v>
      </c>
      <c r="KU225">
        <v>0</v>
      </c>
      <c r="KV225">
        <v>0</v>
      </c>
      <c r="KX225">
        <v>0</v>
      </c>
      <c r="KZ225">
        <v>0</v>
      </c>
      <c r="LF225">
        <v>0</v>
      </c>
      <c r="LH225">
        <v>0</v>
      </c>
      <c r="LI225">
        <v>0</v>
      </c>
    </row>
    <row r="226" spans="1:321" x14ac:dyDescent="0.35">
      <c r="A226">
        <v>1</v>
      </c>
      <c r="B226">
        <v>12454</v>
      </c>
      <c r="C226" t="s">
        <v>1468</v>
      </c>
      <c r="D226" t="s">
        <v>1139</v>
      </c>
      <c r="E226" t="s">
        <v>85</v>
      </c>
      <c r="F226">
        <v>80</v>
      </c>
      <c r="G226">
        <v>9000</v>
      </c>
      <c r="H226">
        <v>0</v>
      </c>
      <c r="I226" t="s">
        <v>1050</v>
      </c>
      <c r="L226">
        <v>0</v>
      </c>
      <c r="M226">
        <v>0</v>
      </c>
      <c r="N226">
        <v>0</v>
      </c>
      <c r="R226">
        <v>0</v>
      </c>
      <c r="S226">
        <v>0</v>
      </c>
      <c r="W226" t="s">
        <v>1060</v>
      </c>
      <c r="X226">
        <v>0</v>
      </c>
      <c r="Z226">
        <v>1</v>
      </c>
      <c r="AA226">
        <v>0</v>
      </c>
      <c r="AB226">
        <v>0</v>
      </c>
      <c r="AC226">
        <v>0</v>
      </c>
      <c r="AD226" s="20">
        <v>40792</v>
      </c>
      <c r="AE226">
        <v>3.6</v>
      </c>
      <c r="AF226">
        <v>0</v>
      </c>
      <c r="AH226">
        <v>0</v>
      </c>
      <c r="AJ226">
        <v>0</v>
      </c>
      <c r="AL226">
        <v>0</v>
      </c>
      <c r="AM226">
        <v>0</v>
      </c>
      <c r="AN226">
        <v>16601001</v>
      </c>
      <c r="AO226">
        <v>0</v>
      </c>
      <c r="AP226">
        <v>1000</v>
      </c>
      <c r="AT226">
        <v>0</v>
      </c>
      <c r="AU226" t="s">
        <v>1059</v>
      </c>
      <c r="AW226" t="s">
        <v>1053</v>
      </c>
      <c r="AX226">
        <v>0</v>
      </c>
      <c r="AY226" s="20">
        <v>40792</v>
      </c>
      <c r="BA226" s="20">
        <v>40792</v>
      </c>
      <c r="BB226" t="s">
        <v>1058</v>
      </c>
      <c r="BD226">
        <v>0</v>
      </c>
      <c r="BF226" t="s">
        <v>1043</v>
      </c>
      <c r="BG226" t="s">
        <v>1042</v>
      </c>
      <c r="BH226">
        <v>0</v>
      </c>
      <c r="BI226">
        <v>1</v>
      </c>
      <c r="BJ226">
        <v>0</v>
      </c>
      <c r="BK226">
        <v>0</v>
      </c>
      <c r="BM226" t="s">
        <v>1042</v>
      </c>
      <c r="BN226">
        <v>0</v>
      </c>
      <c r="BR226" t="s">
        <v>1043</v>
      </c>
      <c r="BS226" t="s">
        <v>1043</v>
      </c>
      <c r="BT226" t="s">
        <v>1043</v>
      </c>
      <c r="BW226">
        <v>83</v>
      </c>
      <c r="CA226">
        <v>0</v>
      </c>
      <c r="CB226" t="s">
        <v>1057</v>
      </c>
      <c r="CE226" t="s">
        <v>1043</v>
      </c>
      <c r="CH226" t="s">
        <v>1043</v>
      </c>
      <c r="CN226" t="s">
        <v>1056</v>
      </c>
      <c r="CO226" t="s">
        <v>1043</v>
      </c>
      <c r="CP226">
        <v>1</v>
      </c>
      <c r="CQ226">
        <v>0</v>
      </c>
      <c r="CS226">
        <v>0</v>
      </c>
      <c r="CT226">
        <v>0</v>
      </c>
      <c r="CU226">
        <v>0</v>
      </c>
      <c r="CV226" t="s">
        <v>1045</v>
      </c>
      <c r="CW226">
        <v>0</v>
      </c>
      <c r="CX226">
        <v>0</v>
      </c>
      <c r="CY226">
        <v>0</v>
      </c>
      <c r="CZ226">
        <v>0</v>
      </c>
      <c r="DB226">
        <v>0</v>
      </c>
      <c r="DC226" t="s">
        <v>1043</v>
      </c>
      <c r="DF226" t="s">
        <v>1055</v>
      </c>
      <c r="DH226">
        <v>0</v>
      </c>
      <c r="DJ226">
        <v>0</v>
      </c>
      <c r="DK226" t="s">
        <v>1053</v>
      </c>
      <c r="DL226">
        <v>0</v>
      </c>
      <c r="DN226">
        <v>0</v>
      </c>
      <c r="DO226" t="s">
        <v>1042</v>
      </c>
      <c r="DP226">
        <v>0</v>
      </c>
      <c r="DQ226">
        <v>0</v>
      </c>
      <c r="DS226">
        <v>0</v>
      </c>
      <c r="DU226">
        <v>0</v>
      </c>
      <c r="DW226">
        <v>0</v>
      </c>
      <c r="DX226" t="s">
        <v>1043</v>
      </c>
      <c r="DY226">
        <v>0</v>
      </c>
      <c r="DZ226">
        <v>0</v>
      </c>
      <c r="EA226">
        <v>0</v>
      </c>
      <c r="ED226" t="s">
        <v>1045</v>
      </c>
      <c r="EE226">
        <v>0</v>
      </c>
      <c r="EF226">
        <v>0</v>
      </c>
      <c r="EQ226" t="s">
        <v>1044</v>
      </c>
      <c r="ES226" t="s">
        <v>1053</v>
      </c>
      <c r="ET226">
        <v>0</v>
      </c>
      <c r="EV226">
        <v>0</v>
      </c>
      <c r="EY226" t="s">
        <v>1052</v>
      </c>
      <c r="EZ226">
        <v>0</v>
      </c>
      <c r="FA226" t="s">
        <v>1043</v>
      </c>
      <c r="FB226">
        <v>0</v>
      </c>
      <c r="FC226">
        <v>0</v>
      </c>
      <c r="FE226" t="s">
        <v>1050</v>
      </c>
      <c r="FF226">
        <v>0</v>
      </c>
      <c r="FG226" t="s">
        <v>1050</v>
      </c>
      <c r="FJ226">
        <v>0</v>
      </c>
      <c r="FK226">
        <v>0</v>
      </c>
      <c r="FP226">
        <v>0</v>
      </c>
      <c r="FR226">
        <v>0</v>
      </c>
      <c r="FS226" t="s">
        <v>1043</v>
      </c>
      <c r="FX226" t="s">
        <v>1042</v>
      </c>
      <c r="FZ226" t="s">
        <v>1048</v>
      </c>
      <c r="GA226">
        <v>0</v>
      </c>
      <c r="GB226" t="s">
        <v>1042</v>
      </c>
      <c r="GE226">
        <v>0</v>
      </c>
      <c r="GG226">
        <v>0</v>
      </c>
      <c r="GN226">
        <v>0</v>
      </c>
      <c r="GO226" t="s">
        <v>1063</v>
      </c>
      <c r="GQ226">
        <v>0</v>
      </c>
      <c r="GU226">
        <v>0</v>
      </c>
      <c r="GY226" t="s">
        <v>1045</v>
      </c>
      <c r="HB226">
        <v>0</v>
      </c>
      <c r="HE226">
        <v>0</v>
      </c>
      <c r="HF226">
        <v>0</v>
      </c>
      <c r="HG226">
        <v>0</v>
      </c>
      <c r="HK226" t="s">
        <v>1042</v>
      </c>
      <c r="HM226" t="s">
        <v>1047</v>
      </c>
      <c r="HN226">
        <v>0</v>
      </c>
      <c r="HP226">
        <v>0</v>
      </c>
      <c r="HQ226">
        <v>0</v>
      </c>
      <c r="HR226" t="s">
        <v>1042</v>
      </c>
      <c r="HS226" t="s">
        <v>1043</v>
      </c>
      <c r="HT226">
        <v>0</v>
      </c>
      <c r="HU226">
        <v>0</v>
      </c>
      <c r="HW226">
        <v>0</v>
      </c>
      <c r="HX226">
        <v>0</v>
      </c>
      <c r="HY226">
        <v>0</v>
      </c>
      <c r="HZ226" t="s">
        <v>1045</v>
      </c>
      <c r="IA226">
        <v>0</v>
      </c>
      <c r="IB226" t="s">
        <v>1045</v>
      </c>
      <c r="ID226" t="s">
        <v>1045</v>
      </c>
      <c r="IF226">
        <v>0</v>
      </c>
      <c r="IG226" t="s">
        <v>1042</v>
      </c>
      <c r="II226" t="s">
        <v>1042</v>
      </c>
      <c r="IR226" t="s">
        <v>1045</v>
      </c>
      <c r="IT226">
        <v>0</v>
      </c>
      <c r="IY226" t="s">
        <v>1044</v>
      </c>
      <c r="IZ226" t="s">
        <v>1043</v>
      </c>
      <c r="JC226" t="s">
        <v>1043</v>
      </c>
      <c r="JE226">
        <v>0</v>
      </c>
      <c r="JF226">
        <v>0</v>
      </c>
      <c r="JI226" t="s">
        <v>1042</v>
      </c>
      <c r="JJ226">
        <v>0</v>
      </c>
      <c r="JK226">
        <v>0</v>
      </c>
      <c r="JL226">
        <v>0</v>
      </c>
      <c r="JM226">
        <v>0</v>
      </c>
      <c r="JQ226" t="s">
        <v>1043</v>
      </c>
      <c r="JT226">
        <v>0</v>
      </c>
      <c r="JU226" t="s">
        <v>1042</v>
      </c>
      <c r="JW226">
        <v>0</v>
      </c>
      <c r="KA226">
        <v>0</v>
      </c>
      <c r="KF226">
        <v>0</v>
      </c>
      <c r="KG226">
        <v>0</v>
      </c>
      <c r="KH226">
        <v>0</v>
      </c>
      <c r="KI226">
        <v>0</v>
      </c>
      <c r="KS226" t="s">
        <v>1073</v>
      </c>
      <c r="KT226">
        <v>0</v>
      </c>
      <c r="KU226">
        <v>0</v>
      </c>
      <c r="KV226">
        <v>0</v>
      </c>
      <c r="KX226">
        <v>0</v>
      </c>
      <c r="KZ226">
        <v>0</v>
      </c>
      <c r="LF226">
        <v>0</v>
      </c>
      <c r="LH226">
        <v>0</v>
      </c>
      <c r="LI226">
        <v>0</v>
      </c>
    </row>
    <row r="227" spans="1:321" x14ac:dyDescent="0.35">
      <c r="A227">
        <v>1</v>
      </c>
      <c r="B227">
        <v>12455</v>
      </c>
      <c r="C227" t="s">
        <v>1467</v>
      </c>
      <c r="D227" t="s">
        <v>1139</v>
      </c>
      <c r="E227" t="s">
        <v>85</v>
      </c>
      <c r="F227">
        <v>80</v>
      </c>
      <c r="G227">
        <v>9000</v>
      </c>
      <c r="H227">
        <v>0</v>
      </c>
      <c r="I227" t="s">
        <v>1050</v>
      </c>
      <c r="L227">
        <v>0</v>
      </c>
      <c r="M227">
        <v>0</v>
      </c>
      <c r="N227">
        <v>0</v>
      </c>
      <c r="R227">
        <v>0</v>
      </c>
      <c r="S227">
        <v>0</v>
      </c>
      <c r="W227" t="s">
        <v>1060</v>
      </c>
      <c r="X227">
        <v>0</v>
      </c>
      <c r="Z227">
        <v>1</v>
      </c>
      <c r="AA227">
        <v>0</v>
      </c>
      <c r="AB227">
        <v>0</v>
      </c>
      <c r="AC227">
        <v>0</v>
      </c>
      <c r="AD227" s="20">
        <v>40792</v>
      </c>
      <c r="AE227">
        <v>3.6</v>
      </c>
      <c r="AF227">
        <v>0</v>
      </c>
      <c r="AH227">
        <v>0</v>
      </c>
      <c r="AJ227">
        <v>0</v>
      </c>
      <c r="AL227">
        <v>0</v>
      </c>
      <c r="AM227">
        <v>0</v>
      </c>
      <c r="AN227">
        <v>16601001</v>
      </c>
      <c r="AO227">
        <v>0</v>
      </c>
      <c r="AP227">
        <v>1000</v>
      </c>
      <c r="AT227">
        <v>0</v>
      </c>
      <c r="AU227" t="s">
        <v>1059</v>
      </c>
      <c r="AW227" t="s">
        <v>1053</v>
      </c>
      <c r="AX227">
        <v>0</v>
      </c>
      <c r="AY227" s="20">
        <v>40792</v>
      </c>
      <c r="BA227" s="20">
        <v>40792</v>
      </c>
      <c r="BB227" t="s">
        <v>1058</v>
      </c>
      <c r="BD227">
        <v>0</v>
      </c>
      <c r="BF227" t="s">
        <v>1043</v>
      </c>
      <c r="BG227" t="s">
        <v>1042</v>
      </c>
      <c r="BH227">
        <v>0</v>
      </c>
      <c r="BI227">
        <v>1</v>
      </c>
      <c r="BJ227">
        <v>0</v>
      </c>
      <c r="BK227">
        <v>0</v>
      </c>
      <c r="BM227" t="s">
        <v>1042</v>
      </c>
      <c r="BN227">
        <v>0</v>
      </c>
      <c r="BR227" t="s">
        <v>1043</v>
      </c>
      <c r="BS227" t="s">
        <v>1043</v>
      </c>
      <c r="BT227" t="s">
        <v>1043</v>
      </c>
      <c r="BW227">
        <v>83</v>
      </c>
      <c r="CA227">
        <v>0</v>
      </c>
      <c r="CB227" t="s">
        <v>1057</v>
      </c>
      <c r="CE227" t="s">
        <v>1043</v>
      </c>
      <c r="CH227" t="s">
        <v>1043</v>
      </c>
      <c r="CN227" t="s">
        <v>1056</v>
      </c>
      <c r="CO227" t="s">
        <v>1043</v>
      </c>
      <c r="CP227">
        <v>1</v>
      </c>
      <c r="CQ227">
        <v>0</v>
      </c>
      <c r="CS227">
        <v>0</v>
      </c>
      <c r="CT227">
        <v>0</v>
      </c>
      <c r="CU227">
        <v>0</v>
      </c>
      <c r="CV227" t="s">
        <v>1045</v>
      </c>
      <c r="CW227">
        <v>0</v>
      </c>
      <c r="CX227">
        <v>0</v>
      </c>
      <c r="CY227">
        <v>0</v>
      </c>
      <c r="CZ227">
        <v>0</v>
      </c>
      <c r="DB227">
        <v>0</v>
      </c>
      <c r="DC227" t="s">
        <v>1043</v>
      </c>
      <c r="DF227" t="s">
        <v>1055</v>
      </c>
      <c r="DH227">
        <v>0</v>
      </c>
      <c r="DJ227">
        <v>0</v>
      </c>
      <c r="DK227" t="s">
        <v>1053</v>
      </c>
      <c r="DL227">
        <v>0</v>
      </c>
      <c r="DN227">
        <v>0</v>
      </c>
      <c r="DO227" t="s">
        <v>1042</v>
      </c>
      <c r="DP227">
        <v>0</v>
      </c>
      <c r="DQ227">
        <v>0</v>
      </c>
      <c r="DS227">
        <v>0</v>
      </c>
      <c r="DU227">
        <v>0</v>
      </c>
      <c r="DW227">
        <v>0</v>
      </c>
      <c r="DX227" t="s">
        <v>1043</v>
      </c>
      <c r="DY227">
        <v>0</v>
      </c>
      <c r="DZ227">
        <v>0</v>
      </c>
      <c r="EA227">
        <v>0</v>
      </c>
      <c r="ED227" t="s">
        <v>1045</v>
      </c>
      <c r="EE227">
        <v>0</v>
      </c>
      <c r="EF227">
        <v>0</v>
      </c>
      <c r="EQ227" t="s">
        <v>1044</v>
      </c>
      <c r="ES227" t="s">
        <v>1053</v>
      </c>
      <c r="ET227">
        <v>0</v>
      </c>
      <c r="EV227">
        <v>0</v>
      </c>
      <c r="EY227" t="s">
        <v>1052</v>
      </c>
      <c r="EZ227">
        <v>0</v>
      </c>
      <c r="FA227" t="s">
        <v>1043</v>
      </c>
      <c r="FB227">
        <v>0</v>
      </c>
      <c r="FC227">
        <v>0</v>
      </c>
      <c r="FE227" t="s">
        <v>1050</v>
      </c>
      <c r="FF227">
        <v>0</v>
      </c>
      <c r="FG227" t="s">
        <v>1050</v>
      </c>
      <c r="FJ227">
        <v>0</v>
      </c>
      <c r="FK227">
        <v>0</v>
      </c>
      <c r="FP227">
        <v>0</v>
      </c>
      <c r="FR227">
        <v>0</v>
      </c>
      <c r="FS227" t="s">
        <v>1043</v>
      </c>
      <c r="FX227" t="s">
        <v>1042</v>
      </c>
      <c r="FZ227" t="s">
        <v>1048</v>
      </c>
      <c r="GA227">
        <v>0</v>
      </c>
      <c r="GB227" t="s">
        <v>1042</v>
      </c>
      <c r="GE227">
        <v>0</v>
      </c>
      <c r="GG227">
        <v>0</v>
      </c>
      <c r="GN227">
        <v>0</v>
      </c>
      <c r="GO227" t="s">
        <v>1063</v>
      </c>
      <c r="GQ227">
        <v>0</v>
      </c>
      <c r="GU227">
        <v>0</v>
      </c>
      <c r="GY227" t="s">
        <v>1045</v>
      </c>
      <c r="HB227">
        <v>0</v>
      </c>
      <c r="HE227">
        <v>0</v>
      </c>
      <c r="HF227">
        <v>0</v>
      </c>
      <c r="HG227">
        <v>0</v>
      </c>
      <c r="HK227" t="s">
        <v>1042</v>
      </c>
      <c r="HM227" t="s">
        <v>1047</v>
      </c>
      <c r="HN227">
        <v>0</v>
      </c>
      <c r="HP227">
        <v>0</v>
      </c>
      <c r="HQ227">
        <v>0</v>
      </c>
      <c r="HR227" t="s">
        <v>1042</v>
      </c>
      <c r="HS227" t="s">
        <v>1043</v>
      </c>
      <c r="HT227">
        <v>0</v>
      </c>
      <c r="HU227">
        <v>0</v>
      </c>
      <c r="HW227">
        <v>0</v>
      </c>
      <c r="HX227">
        <v>0</v>
      </c>
      <c r="HY227">
        <v>0</v>
      </c>
      <c r="HZ227" t="s">
        <v>1045</v>
      </c>
      <c r="IA227">
        <v>0</v>
      </c>
      <c r="IB227" t="s">
        <v>1045</v>
      </c>
      <c r="ID227" t="s">
        <v>1045</v>
      </c>
      <c r="IF227">
        <v>0</v>
      </c>
      <c r="IG227" t="s">
        <v>1042</v>
      </c>
      <c r="II227" t="s">
        <v>1042</v>
      </c>
      <c r="IR227" t="s">
        <v>1045</v>
      </c>
      <c r="IT227">
        <v>0</v>
      </c>
      <c r="IY227" t="s">
        <v>1044</v>
      </c>
      <c r="IZ227" t="s">
        <v>1043</v>
      </c>
      <c r="JC227" t="s">
        <v>1043</v>
      </c>
      <c r="JE227">
        <v>0</v>
      </c>
      <c r="JF227">
        <v>0</v>
      </c>
      <c r="JI227" t="s">
        <v>1042</v>
      </c>
      <c r="JJ227">
        <v>0</v>
      </c>
      <c r="JK227">
        <v>0</v>
      </c>
      <c r="JL227">
        <v>0</v>
      </c>
      <c r="JM227">
        <v>0</v>
      </c>
      <c r="JQ227" t="s">
        <v>1043</v>
      </c>
      <c r="JT227">
        <v>0</v>
      </c>
      <c r="JU227" t="s">
        <v>1042</v>
      </c>
      <c r="JW227">
        <v>0</v>
      </c>
      <c r="KA227">
        <v>0</v>
      </c>
      <c r="KF227">
        <v>0</v>
      </c>
      <c r="KG227">
        <v>0</v>
      </c>
      <c r="KH227">
        <v>0</v>
      </c>
      <c r="KI227">
        <v>0</v>
      </c>
      <c r="KS227" t="s">
        <v>1073</v>
      </c>
      <c r="KT227">
        <v>0</v>
      </c>
      <c r="KU227">
        <v>0</v>
      </c>
      <c r="KV227">
        <v>0</v>
      </c>
      <c r="KX227">
        <v>0</v>
      </c>
      <c r="KZ227">
        <v>0</v>
      </c>
      <c r="LF227">
        <v>0</v>
      </c>
      <c r="LH227">
        <v>0</v>
      </c>
      <c r="LI227">
        <v>0</v>
      </c>
    </row>
    <row r="228" spans="1:321" x14ac:dyDescent="0.35">
      <c r="A228">
        <v>1</v>
      </c>
      <c r="B228">
        <v>12456</v>
      </c>
      <c r="C228" t="s">
        <v>1466</v>
      </c>
      <c r="D228" t="s">
        <v>1139</v>
      </c>
      <c r="E228" t="s">
        <v>85</v>
      </c>
      <c r="F228">
        <v>80</v>
      </c>
      <c r="G228">
        <v>9000</v>
      </c>
      <c r="H228">
        <v>0</v>
      </c>
      <c r="I228" t="s">
        <v>1050</v>
      </c>
      <c r="L228">
        <v>0</v>
      </c>
      <c r="M228">
        <v>0</v>
      </c>
      <c r="N228">
        <v>0</v>
      </c>
      <c r="R228">
        <v>0</v>
      </c>
      <c r="S228">
        <v>0</v>
      </c>
      <c r="W228" t="s">
        <v>1060</v>
      </c>
      <c r="X228">
        <v>0</v>
      </c>
      <c r="Z228">
        <v>1</v>
      </c>
      <c r="AA228">
        <v>0</v>
      </c>
      <c r="AB228">
        <v>0</v>
      </c>
      <c r="AC228">
        <v>0</v>
      </c>
      <c r="AD228" s="20">
        <v>40792</v>
      </c>
      <c r="AE228">
        <v>3.6</v>
      </c>
      <c r="AF228">
        <v>0</v>
      </c>
      <c r="AH228">
        <v>0</v>
      </c>
      <c r="AJ228">
        <v>0</v>
      </c>
      <c r="AL228">
        <v>0</v>
      </c>
      <c r="AM228">
        <v>0</v>
      </c>
      <c r="AN228">
        <v>16601001</v>
      </c>
      <c r="AO228">
        <v>0</v>
      </c>
      <c r="AP228">
        <v>1000</v>
      </c>
      <c r="AT228">
        <v>0</v>
      </c>
      <c r="AU228" t="s">
        <v>1059</v>
      </c>
      <c r="AW228" t="s">
        <v>1053</v>
      </c>
      <c r="AX228">
        <v>0</v>
      </c>
      <c r="AY228" s="20">
        <v>40792</v>
      </c>
      <c r="BA228" s="20">
        <v>40792</v>
      </c>
      <c r="BB228" t="s">
        <v>1058</v>
      </c>
      <c r="BD228">
        <v>0</v>
      </c>
      <c r="BF228" t="s">
        <v>1043</v>
      </c>
      <c r="BG228" t="s">
        <v>1042</v>
      </c>
      <c r="BH228">
        <v>0</v>
      </c>
      <c r="BI228">
        <v>1</v>
      </c>
      <c r="BJ228">
        <v>0</v>
      </c>
      <c r="BK228">
        <v>0</v>
      </c>
      <c r="BM228" t="s">
        <v>1042</v>
      </c>
      <c r="BN228">
        <v>0</v>
      </c>
      <c r="BR228" t="s">
        <v>1043</v>
      </c>
      <c r="BS228" t="s">
        <v>1043</v>
      </c>
      <c r="BT228" t="s">
        <v>1043</v>
      </c>
      <c r="BW228">
        <v>83</v>
      </c>
      <c r="CA228">
        <v>0</v>
      </c>
      <c r="CB228" t="s">
        <v>1057</v>
      </c>
      <c r="CE228" t="s">
        <v>1043</v>
      </c>
      <c r="CH228" t="s">
        <v>1043</v>
      </c>
      <c r="CN228" t="s">
        <v>1056</v>
      </c>
      <c r="CO228" t="s">
        <v>1043</v>
      </c>
      <c r="CP228">
        <v>1</v>
      </c>
      <c r="CQ228">
        <v>0</v>
      </c>
      <c r="CS228">
        <v>0</v>
      </c>
      <c r="CT228">
        <v>0</v>
      </c>
      <c r="CU228">
        <v>0</v>
      </c>
      <c r="CV228" t="s">
        <v>1045</v>
      </c>
      <c r="CW228">
        <v>0</v>
      </c>
      <c r="CX228">
        <v>0</v>
      </c>
      <c r="CY228">
        <v>0</v>
      </c>
      <c r="CZ228">
        <v>0</v>
      </c>
      <c r="DB228">
        <v>0</v>
      </c>
      <c r="DC228" t="s">
        <v>1043</v>
      </c>
      <c r="DF228" t="s">
        <v>1055</v>
      </c>
      <c r="DH228">
        <v>0</v>
      </c>
      <c r="DJ228">
        <v>0</v>
      </c>
      <c r="DK228" t="s">
        <v>1053</v>
      </c>
      <c r="DL228">
        <v>0</v>
      </c>
      <c r="DN228">
        <v>0</v>
      </c>
      <c r="DO228" t="s">
        <v>1042</v>
      </c>
      <c r="DP228">
        <v>0</v>
      </c>
      <c r="DQ228">
        <v>0</v>
      </c>
      <c r="DS228">
        <v>0</v>
      </c>
      <c r="DU228">
        <v>0</v>
      </c>
      <c r="DW228">
        <v>0</v>
      </c>
      <c r="DX228" t="s">
        <v>1043</v>
      </c>
      <c r="DY228">
        <v>0</v>
      </c>
      <c r="DZ228">
        <v>0</v>
      </c>
      <c r="EA228">
        <v>0</v>
      </c>
      <c r="ED228" t="s">
        <v>1045</v>
      </c>
      <c r="EE228">
        <v>0</v>
      </c>
      <c r="EF228">
        <v>0</v>
      </c>
      <c r="EQ228" t="s">
        <v>1044</v>
      </c>
      <c r="ES228" t="s">
        <v>1053</v>
      </c>
      <c r="ET228">
        <v>0</v>
      </c>
      <c r="EV228">
        <v>0</v>
      </c>
      <c r="EY228" t="s">
        <v>1052</v>
      </c>
      <c r="EZ228">
        <v>0</v>
      </c>
      <c r="FA228" t="s">
        <v>1043</v>
      </c>
      <c r="FB228">
        <v>0</v>
      </c>
      <c r="FC228">
        <v>0</v>
      </c>
      <c r="FE228" t="s">
        <v>1050</v>
      </c>
      <c r="FF228">
        <v>0</v>
      </c>
      <c r="FG228" t="s">
        <v>1050</v>
      </c>
      <c r="FJ228">
        <v>0</v>
      </c>
      <c r="FK228">
        <v>0</v>
      </c>
      <c r="FP228">
        <v>0</v>
      </c>
      <c r="FR228">
        <v>0</v>
      </c>
      <c r="FS228" t="s">
        <v>1043</v>
      </c>
      <c r="FX228" t="s">
        <v>1042</v>
      </c>
      <c r="FZ228" t="s">
        <v>1048</v>
      </c>
      <c r="GA228">
        <v>0</v>
      </c>
      <c r="GB228" t="s">
        <v>1042</v>
      </c>
      <c r="GE228">
        <v>0</v>
      </c>
      <c r="GG228">
        <v>0</v>
      </c>
      <c r="GN228">
        <v>0</v>
      </c>
      <c r="GO228" t="s">
        <v>1063</v>
      </c>
      <c r="GQ228">
        <v>0</v>
      </c>
      <c r="GU228">
        <v>0</v>
      </c>
      <c r="GY228" t="s">
        <v>1045</v>
      </c>
      <c r="HB228">
        <v>0</v>
      </c>
      <c r="HE228">
        <v>0</v>
      </c>
      <c r="HF228">
        <v>0</v>
      </c>
      <c r="HG228">
        <v>0</v>
      </c>
      <c r="HK228" t="s">
        <v>1042</v>
      </c>
      <c r="HM228" t="s">
        <v>1047</v>
      </c>
      <c r="HN228">
        <v>0</v>
      </c>
      <c r="HP228">
        <v>0</v>
      </c>
      <c r="HQ228">
        <v>0</v>
      </c>
      <c r="HR228" t="s">
        <v>1042</v>
      </c>
      <c r="HS228" t="s">
        <v>1043</v>
      </c>
      <c r="HT228">
        <v>0</v>
      </c>
      <c r="HU228">
        <v>0</v>
      </c>
      <c r="HW228">
        <v>0</v>
      </c>
      <c r="HX228">
        <v>0</v>
      </c>
      <c r="HY228">
        <v>0</v>
      </c>
      <c r="HZ228" t="s">
        <v>1045</v>
      </c>
      <c r="IA228">
        <v>0</v>
      </c>
      <c r="IB228" t="s">
        <v>1045</v>
      </c>
      <c r="ID228" t="s">
        <v>1045</v>
      </c>
      <c r="IF228">
        <v>0</v>
      </c>
      <c r="IG228" t="s">
        <v>1042</v>
      </c>
      <c r="II228" t="s">
        <v>1042</v>
      </c>
      <c r="IR228" t="s">
        <v>1045</v>
      </c>
      <c r="IT228">
        <v>0</v>
      </c>
      <c r="IY228" t="s">
        <v>1044</v>
      </c>
      <c r="IZ228" t="s">
        <v>1043</v>
      </c>
      <c r="JC228" t="s">
        <v>1043</v>
      </c>
      <c r="JE228">
        <v>0</v>
      </c>
      <c r="JF228">
        <v>0</v>
      </c>
      <c r="JI228" t="s">
        <v>1042</v>
      </c>
      <c r="JJ228">
        <v>0</v>
      </c>
      <c r="JK228">
        <v>0</v>
      </c>
      <c r="JL228">
        <v>0</v>
      </c>
      <c r="JM228">
        <v>0</v>
      </c>
      <c r="JQ228" t="s">
        <v>1043</v>
      </c>
      <c r="JT228">
        <v>0</v>
      </c>
      <c r="JU228" t="s">
        <v>1042</v>
      </c>
      <c r="JW228">
        <v>0</v>
      </c>
      <c r="KA228">
        <v>0</v>
      </c>
      <c r="KF228">
        <v>0</v>
      </c>
      <c r="KG228">
        <v>0</v>
      </c>
      <c r="KH228">
        <v>0</v>
      </c>
      <c r="KI228">
        <v>0</v>
      </c>
      <c r="KS228" t="s">
        <v>1073</v>
      </c>
      <c r="KT228">
        <v>0</v>
      </c>
      <c r="KU228">
        <v>0</v>
      </c>
      <c r="KV228">
        <v>0</v>
      </c>
      <c r="KX228">
        <v>0</v>
      </c>
      <c r="KZ228">
        <v>0</v>
      </c>
      <c r="LF228">
        <v>0</v>
      </c>
      <c r="LH228">
        <v>0</v>
      </c>
      <c r="LI228">
        <v>0</v>
      </c>
    </row>
    <row r="229" spans="1:321" x14ac:dyDescent="0.35">
      <c r="A229">
        <v>1</v>
      </c>
      <c r="B229">
        <v>12457</v>
      </c>
      <c r="C229" t="s">
        <v>1465</v>
      </c>
      <c r="D229" t="s">
        <v>1139</v>
      </c>
      <c r="E229" t="s">
        <v>85</v>
      </c>
      <c r="F229">
        <v>80</v>
      </c>
      <c r="G229">
        <v>9000</v>
      </c>
      <c r="H229">
        <v>0</v>
      </c>
      <c r="I229" t="s">
        <v>1050</v>
      </c>
      <c r="L229">
        <v>0</v>
      </c>
      <c r="M229">
        <v>0</v>
      </c>
      <c r="N229">
        <v>0</v>
      </c>
      <c r="R229">
        <v>0</v>
      </c>
      <c r="S229">
        <v>0</v>
      </c>
      <c r="W229" t="s">
        <v>1060</v>
      </c>
      <c r="X229">
        <v>0</v>
      </c>
      <c r="Z229">
        <v>1</v>
      </c>
      <c r="AA229">
        <v>0</v>
      </c>
      <c r="AB229">
        <v>0</v>
      </c>
      <c r="AC229">
        <v>0</v>
      </c>
      <c r="AD229" s="20">
        <v>40792</v>
      </c>
      <c r="AE229">
        <v>3.6</v>
      </c>
      <c r="AF229">
        <v>0</v>
      </c>
      <c r="AH229">
        <v>0</v>
      </c>
      <c r="AJ229">
        <v>0</v>
      </c>
      <c r="AL229">
        <v>0</v>
      </c>
      <c r="AM229">
        <v>0</v>
      </c>
      <c r="AN229">
        <v>16601001</v>
      </c>
      <c r="AO229">
        <v>0</v>
      </c>
      <c r="AP229">
        <v>1000</v>
      </c>
      <c r="AT229">
        <v>0</v>
      </c>
      <c r="AU229" t="s">
        <v>1059</v>
      </c>
      <c r="AW229" t="s">
        <v>1053</v>
      </c>
      <c r="AX229">
        <v>0</v>
      </c>
      <c r="AY229" s="20">
        <v>40792</v>
      </c>
      <c r="BA229" s="20">
        <v>40792</v>
      </c>
      <c r="BB229" t="s">
        <v>1058</v>
      </c>
      <c r="BD229">
        <v>0</v>
      </c>
      <c r="BF229" t="s">
        <v>1043</v>
      </c>
      <c r="BG229" t="s">
        <v>1042</v>
      </c>
      <c r="BH229">
        <v>0</v>
      </c>
      <c r="BI229">
        <v>1</v>
      </c>
      <c r="BJ229">
        <v>0</v>
      </c>
      <c r="BK229">
        <v>0</v>
      </c>
      <c r="BM229" t="s">
        <v>1042</v>
      </c>
      <c r="BN229">
        <v>0</v>
      </c>
      <c r="BR229" t="s">
        <v>1043</v>
      </c>
      <c r="BS229" t="s">
        <v>1043</v>
      </c>
      <c r="BT229" t="s">
        <v>1043</v>
      </c>
      <c r="BW229">
        <v>83</v>
      </c>
      <c r="CA229">
        <v>0</v>
      </c>
      <c r="CB229" t="s">
        <v>1057</v>
      </c>
      <c r="CE229" t="s">
        <v>1043</v>
      </c>
      <c r="CH229" t="s">
        <v>1043</v>
      </c>
      <c r="CN229" t="s">
        <v>1056</v>
      </c>
      <c r="CO229" t="s">
        <v>1043</v>
      </c>
      <c r="CP229">
        <v>1</v>
      </c>
      <c r="CQ229">
        <v>0</v>
      </c>
      <c r="CS229">
        <v>0</v>
      </c>
      <c r="CT229">
        <v>0</v>
      </c>
      <c r="CU229">
        <v>0</v>
      </c>
      <c r="CV229" t="s">
        <v>1045</v>
      </c>
      <c r="CW229">
        <v>0</v>
      </c>
      <c r="CX229">
        <v>0</v>
      </c>
      <c r="CY229">
        <v>0</v>
      </c>
      <c r="CZ229">
        <v>0</v>
      </c>
      <c r="DB229">
        <v>0</v>
      </c>
      <c r="DC229" t="s">
        <v>1043</v>
      </c>
      <c r="DF229" t="s">
        <v>1055</v>
      </c>
      <c r="DH229">
        <v>0</v>
      </c>
      <c r="DJ229">
        <v>0</v>
      </c>
      <c r="DK229" t="s">
        <v>1053</v>
      </c>
      <c r="DL229">
        <v>0</v>
      </c>
      <c r="DN229">
        <v>0</v>
      </c>
      <c r="DO229" t="s">
        <v>1042</v>
      </c>
      <c r="DP229">
        <v>0</v>
      </c>
      <c r="DQ229">
        <v>0</v>
      </c>
      <c r="DS229">
        <v>0</v>
      </c>
      <c r="DU229">
        <v>0</v>
      </c>
      <c r="DW229">
        <v>0</v>
      </c>
      <c r="DX229" t="s">
        <v>1043</v>
      </c>
      <c r="DY229">
        <v>0</v>
      </c>
      <c r="DZ229">
        <v>0</v>
      </c>
      <c r="EA229">
        <v>0</v>
      </c>
      <c r="ED229" t="s">
        <v>1045</v>
      </c>
      <c r="EE229">
        <v>0</v>
      </c>
      <c r="EF229">
        <v>0</v>
      </c>
      <c r="EQ229" t="s">
        <v>1044</v>
      </c>
      <c r="ES229" t="s">
        <v>1053</v>
      </c>
      <c r="ET229">
        <v>0</v>
      </c>
      <c r="EV229">
        <v>0</v>
      </c>
      <c r="EY229" t="s">
        <v>1052</v>
      </c>
      <c r="EZ229">
        <v>0</v>
      </c>
      <c r="FA229" t="s">
        <v>1043</v>
      </c>
      <c r="FB229">
        <v>0</v>
      </c>
      <c r="FC229">
        <v>0</v>
      </c>
      <c r="FE229" t="s">
        <v>1050</v>
      </c>
      <c r="FF229">
        <v>0</v>
      </c>
      <c r="FG229" t="s">
        <v>1050</v>
      </c>
      <c r="FJ229">
        <v>0</v>
      </c>
      <c r="FK229">
        <v>0</v>
      </c>
      <c r="FP229">
        <v>0</v>
      </c>
      <c r="FR229">
        <v>0</v>
      </c>
      <c r="FS229" t="s">
        <v>1043</v>
      </c>
      <c r="FX229" t="s">
        <v>1042</v>
      </c>
      <c r="FZ229" t="s">
        <v>1048</v>
      </c>
      <c r="GA229">
        <v>0</v>
      </c>
      <c r="GB229" t="s">
        <v>1042</v>
      </c>
      <c r="GE229">
        <v>0</v>
      </c>
      <c r="GG229">
        <v>0</v>
      </c>
      <c r="GN229">
        <v>0</v>
      </c>
      <c r="GO229" t="s">
        <v>1063</v>
      </c>
      <c r="GQ229">
        <v>0</v>
      </c>
      <c r="GU229">
        <v>0</v>
      </c>
      <c r="GY229" t="s">
        <v>1045</v>
      </c>
      <c r="HB229">
        <v>0</v>
      </c>
      <c r="HE229">
        <v>0</v>
      </c>
      <c r="HF229">
        <v>0</v>
      </c>
      <c r="HG229">
        <v>0</v>
      </c>
      <c r="HK229" t="s">
        <v>1042</v>
      </c>
      <c r="HM229" t="s">
        <v>1047</v>
      </c>
      <c r="HN229">
        <v>0</v>
      </c>
      <c r="HP229">
        <v>0</v>
      </c>
      <c r="HQ229">
        <v>0</v>
      </c>
      <c r="HR229" t="s">
        <v>1042</v>
      </c>
      <c r="HS229" t="s">
        <v>1043</v>
      </c>
      <c r="HT229">
        <v>0</v>
      </c>
      <c r="HU229">
        <v>0</v>
      </c>
      <c r="HW229">
        <v>0</v>
      </c>
      <c r="HX229">
        <v>0</v>
      </c>
      <c r="HY229">
        <v>0</v>
      </c>
      <c r="HZ229" t="s">
        <v>1045</v>
      </c>
      <c r="IA229">
        <v>0</v>
      </c>
      <c r="IB229" t="s">
        <v>1045</v>
      </c>
      <c r="ID229" t="s">
        <v>1045</v>
      </c>
      <c r="IF229">
        <v>0</v>
      </c>
      <c r="IG229" t="s">
        <v>1042</v>
      </c>
      <c r="II229" t="s">
        <v>1042</v>
      </c>
      <c r="IR229" t="s">
        <v>1045</v>
      </c>
      <c r="IT229">
        <v>0</v>
      </c>
      <c r="IY229" t="s">
        <v>1044</v>
      </c>
      <c r="IZ229" t="s">
        <v>1043</v>
      </c>
      <c r="JC229" t="s">
        <v>1043</v>
      </c>
      <c r="JE229">
        <v>0</v>
      </c>
      <c r="JF229">
        <v>0</v>
      </c>
      <c r="JI229" t="s">
        <v>1042</v>
      </c>
      <c r="JJ229">
        <v>0</v>
      </c>
      <c r="JK229">
        <v>0</v>
      </c>
      <c r="JL229">
        <v>0</v>
      </c>
      <c r="JM229">
        <v>0</v>
      </c>
      <c r="JQ229" t="s">
        <v>1043</v>
      </c>
      <c r="JT229">
        <v>0</v>
      </c>
      <c r="JU229" t="s">
        <v>1042</v>
      </c>
      <c r="JW229">
        <v>0</v>
      </c>
      <c r="KA229">
        <v>0</v>
      </c>
      <c r="KF229">
        <v>0</v>
      </c>
      <c r="KG229">
        <v>0</v>
      </c>
      <c r="KH229">
        <v>0</v>
      </c>
      <c r="KI229">
        <v>0</v>
      </c>
      <c r="KS229" t="s">
        <v>1073</v>
      </c>
      <c r="KT229">
        <v>0</v>
      </c>
      <c r="KU229">
        <v>0</v>
      </c>
      <c r="KV229">
        <v>0</v>
      </c>
      <c r="KX229">
        <v>0</v>
      </c>
      <c r="KZ229">
        <v>0</v>
      </c>
      <c r="LF229">
        <v>0</v>
      </c>
      <c r="LH229">
        <v>0</v>
      </c>
      <c r="LI229">
        <v>0</v>
      </c>
    </row>
    <row r="230" spans="1:321" x14ac:dyDescent="0.35">
      <c r="A230">
        <v>1</v>
      </c>
      <c r="B230">
        <v>12458</v>
      </c>
      <c r="C230" t="s">
        <v>1464</v>
      </c>
      <c r="D230" t="s">
        <v>1139</v>
      </c>
      <c r="E230" t="s">
        <v>85</v>
      </c>
      <c r="F230">
        <v>80</v>
      </c>
      <c r="G230">
        <v>9000</v>
      </c>
      <c r="H230">
        <v>0</v>
      </c>
      <c r="I230" t="s">
        <v>1050</v>
      </c>
      <c r="L230">
        <v>0</v>
      </c>
      <c r="M230">
        <v>0</v>
      </c>
      <c r="N230">
        <v>0</v>
      </c>
      <c r="R230">
        <v>0</v>
      </c>
      <c r="S230">
        <v>0</v>
      </c>
      <c r="W230" t="s">
        <v>1060</v>
      </c>
      <c r="X230">
        <v>0</v>
      </c>
      <c r="Z230">
        <v>1</v>
      </c>
      <c r="AA230">
        <v>0</v>
      </c>
      <c r="AB230">
        <v>0</v>
      </c>
      <c r="AC230">
        <v>0</v>
      </c>
      <c r="AD230" s="20">
        <v>40792</v>
      </c>
      <c r="AE230">
        <v>3.6</v>
      </c>
      <c r="AF230">
        <v>0</v>
      </c>
      <c r="AH230">
        <v>0</v>
      </c>
      <c r="AJ230">
        <v>0</v>
      </c>
      <c r="AL230">
        <v>0</v>
      </c>
      <c r="AM230">
        <v>0</v>
      </c>
      <c r="AN230">
        <v>16601001</v>
      </c>
      <c r="AO230">
        <v>0</v>
      </c>
      <c r="AP230">
        <v>1000</v>
      </c>
      <c r="AT230">
        <v>0</v>
      </c>
      <c r="AU230" t="s">
        <v>1059</v>
      </c>
      <c r="AW230" t="s">
        <v>1053</v>
      </c>
      <c r="AX230">
        <v>0</v>
      </c>
      <c r="AY230" s="20">
        <v>40792</v>
      </c>
      <c r="BA230" s="20">
        <v>40792</v>
      </c>
      <c r="BB230" t="s">
        <v>1058</v>
      </c>
      <c r="BD230">
        <v>0</v>
      </c>
      <c r="BF230" t="s">
        <v>1043</v>
      </c>
      <c r="BG230" t="s">
        <v>1042</v>
      </c>
      <c r="BH230">
        <v>0</v>
      </c>
      <c r="BI230">
        <v>1</v>
      </c>
      <c r="BJ230">
        <v>0</v>
      </c>
      <c r="BK230">
        <v>0</v>
      </c>
      <c r="BM230" t="s">
        <v>1042</v>
      </c>
      <c r="BN230">
        <v>0</v>
      </c>
      <c r="BR230" t="s">
        <v>1043</v>
      </c>
      <c r="BS230" t="s">
        <v>1043</v>
      </c>
      <c r="BT230" t="s">
        <v>1043</v>
      </c>
      <c r="BW230">
        <v>83</v>
      </c>
      <c r="CA230">
        <v>0</v>
      </c>
      <c r="CB230" t="s">
        <v>1057</v>
      </c>
      <c r="CE230" t="s">
        <v>1043</v>
      </c>
      <c r="CH230" t="s">
        <v>1043</v>
      </c>
      <c r="CN230" t="s">
        <v>1056</v>
      </c>
      <c r="CO230" t="s">
        <v>1043</v>
      </c>
      <c r="CP230">
        <v>1</v>
      </c>
      <c r="CQ230">
        <v>0</v>
      </c>
      <c r="CS230">
        <v>0</v>
      </c>
      <c r="CT230">
        <v>0</v>
      </c>
      <c r="CU230">
        <v>0</v>
      </c>
      <c r="CV230" t="s">
        <v>1045</v>
      </c>
      <c r="CW230">
        <v>0</v>
      </c>
      <c r="CX230">
        <v>0</v>
      </c>
      <c r="CY230">
        <v>0</v>
      </c>
      <c r="CZ230">
        <v>0</v>
      </c>
      <c r="DB230">
        <v>0</v>
      </c>
      <c r="DC230" t="s">
        <v>1043</v>
      </c>
      <c r="DF230" t="s">
        <v>1055</v>
      </c>
      <c r="DH230">
        <v>0</v>
      </c>
      <c r="DJ230">
        <v>0</v>
      </c>
      <c r="DK230" t="s">
        <v>1053</v>
      </c>
      <c r="DL230">
        <v>0</v>
      </c>
      <c r="DN230">
        <v>0</v>
      </c>
      <c r="DO230" t="s">
        <v>1042</v>
      </c>
      <c r="DP230">
        <v>0</v>
      </c>
      <c r="DQ230">
        <v>0</v>
      </c>
      <c r="DS230">
        <v>0</v>
      </c>
      <c r="DU230">
        <v>0</v>
      </c>
      <c r="DW230">
        <v>0</v>
      </c>
      <c r="DX230" t="s">
        <v>1043</v>
      </c>
      <c r="DY230">
        <v>0</v>
      </c>
      <c r="DZ230">
        <v>0</v>
      </c>
      <c r="EA230">
        <v>0</v>
      </c>
      <c r="ED230" t="s">
        <v>1045</v>
      </c>
      <c r="EE230">
        <v>0</v>
      </c>
      <c r="EF230">
        <v>0</v>
      </c>
      <c r="EQ230" t="s">
        <v>1044</v>
      </c>
      <c r="ES230" t="s">
        <v>1053</v>
      </c>
      <c r="ET230">
        <v>0</v>
      </c>
      <c r="EV230">
        <v>0</v>
      </c>
      <c r="EY230" t="s">
        <v>1052</v>
      </c>
      <c r="EZ230">
        <v>0</v>
      </c>
      <c r="FA230" t="s">
        <v>1043</v>
      </c>
      <c r="FB230">
        <v>0</v>
      </c>
      <c r="FC230">
        <v>0</v>
      </c>
      <c r="FE230" t="s">
        <v>1050</v>
      </c>
      <c r="FF230">
        <v>0</v>
      </c>
      <c r="FG230" t="s">
        <v>1050</v>
      </c>
      <c r="FJ230">
        <v>0</v>
      </c>
      <c r="FK230">
        <v>0</v>
      </c>
      <c r="FP230">
        <v>0</v>
      </c>
      <c r="FR230">
        <v>0</v>
      </c>
      <c r="FS230" t="s">
        <v>1043</v>
      </c>
      <c r="FX230" t="s">
        <v>1042</v>
      </c>
      <c r="FZ230" t="s">
        <v>1048</v>
      </c>
      <c r="GA230">
        <v>0</v>
      </c>
      <c r="GB230" t="s">
        <v>1042</v>
      </c>
      <c r="GE230">
        <v>0</v>
      </c>
      <c r="GG230">
        <v>0</v>
      </c>
      <c r="GN230">
        <v>0</v>
      </c>
      <c r="GO230" t="s">
        <v>1063</v>
      </c>
      <c r="GQ230">
        <v>0</v>
      </c>
      <c r="GU230">
        <v>0</v>
      </c>
      <c r="GY230" t="s">
        <v>1045</v>
      </c>
      <c r="HB230">
        <v>0</v>
      </c>
      <c r="HE230">
        <v>0</v>
      </c>
      <c r="HF230">
        <v>0</v>
      </c>
      <c r="HG230">
        <v>0</v>
      </c>
      <c r="HK230" t="s">
        <v>1042</v>
      </c>
      <c r="HM230" t="s">
        <v>1047</v>
      </c>
      <c r="HN230">
        <v>0</v>
      </c>
      <c r="HP230">
        <v>0</v>
      </c>
      <c r="HQ230">
        <v>0</v>
      </c>
      <c r="HR230" t="s">
        <v>1042</v>
      </c>
      <c r="HS230" t="s">
        <v>1043</v>
      </c>
      <c r="HT230">
        <v>0</v>
      </c>
      <c r="HU230">
        <v>0</v>
      </c>
      <c r="HW230">
        <v>0</v>
      </c>
      <c r="HX230">
        <v>0</v>
      </c>
      <c r="HY230">
        <v>0</v>
      </c>
      <c r="HZ230" t="s">
        <v>1045</v>
      </c>
      <c r="IA230">
        <v>0</v>
      </c>
      <c r="IB230" t="s">
        <v>1045</v>
      </c>
      <c r="ID230" t="s">
        <v>1045</v>
      </c>
      <c r="IF230">
        <v>0</v>
      </c>
      <c r="IG230" t="s">
        <v>1042</v>
      </c>
      <c r="II230" t="s">
        <v>1042</v>
      </c>
      <c r="IR230" t="s">
        <v>1045</v>
      </c>
      <c r="IT230">
        <v>0</v>
      </c>
      <c r="IY230" t="s">
        <v>1044</v>
      </c>
      <c r="IZ230" t="s">
        <v>1043</v>
      </c>
      <c r="JC230" t="s">
        <v>1043</v>
      </c>
      <c r="JE230">
        <v>0</v>
      </c>
      <c r="JF230">
        <v>0</v>
      </c>
      <c r="JI230" t="s">
        <v>1042</v>
      </c>
      <c r="JJ230">
        <v>0</v>
      </c>
      <c r="JK230">
        <v>0</v>
      </c>
      <c r="JL230">
        <v>0</v>
      </c>
      <c r="JM230">
        <v>0</v>
      </c>
      <c r="JQ230" t="s">
        <v>1043</v>
      </c>
      <c r="JT230">
        <v>0</v>
      </c>
      <c r="JU230" t="s">
        <v>1042</v>
      </c>
      <c r="JW230">
        <v>0</v>
      </c>
      <c r="KA230">
        <v>0</v>
      </c>
      <c r="KF230">
        <v>0</v>
      </c>
      <c r="KG230">
        <v>0</v>
      </c>
      <c r="KH230">
        <v>0</v>
      </c>
      <c r="KI230">
        <v>0</v>
      </c>
      <c r="KS230" t="s">
        <v>1073</v>
      </c>
      <c r="KT230">
        <v>0</v>
      </c>
      <c r="KU230">
        <v>0</v>
      </c>
      <c r="KV230">
        <v>0</v>
      </c>
      <c r="KX230">
        <v>0</v>
      </c>
      <c r="KZ230">
        <v>0</v>
      </c>
      <c r="LF230">
        <v>0</v>
      </c>
      <c r="LH230">
        <v>0</v>
      </c>
      <c r="LI230">
        <v>0</v>
      </c>
    </row>
    <row r="231" spans="1:321" x14ac:dyDescent="0.35">
      <c r="A231">
        <v>1</v>
      </c>
      <c r="B231">
        <v>12459</v>
      </c>
      <c r="C231" t="s">
        <v>1463</v>
      </c>
      <c r="D231" t="s">
        <v>1139</v>
      </c>
      <c r="E231" t="s">
        <v>85</v>
      </c>
      <c r="F231">
        <v>80</v>
      </c>
      <c r="G231">
        <v>9000</v>
      </c>
      <c r="H231">
        <v>0</v>
      </c>
      <c r="I231" t="s">
        <v>1050</v>
      </c>
      <c r="L231">
        <v>0</v>
      </c>
      <c r="M231">
        <v>0</v>
      </c>
      <c r="N231">
        <v>0</v>
      </c>
      <c r="R231">
        <v>0</v>
      </c>
      <c r="S231">
        <v>0</v>
      </c>
      <c r="W231" t="s">
        <v>1060</v>
      </c>
      <c r="X231">
        <v>0</v>
      </c>
      <c r="Z231">
        <v>1</v>
      </c>
      <c r="AA231">
        <v>0</v>
      </c>
      <c r="AB231">
        <v>0</v>
      </c>
      <c r="AC231">
        <v>0</v>
      </c>
      <c r="AD231" s="20">
        <v>40792</v>
      </c>
      <c r="AE231">
        <v>3.6</v>
      </c>
      <c r="AF231">
        <v>0</v>
      </c>
      <c r="AH231">
        <v>0</v>
      </c>
      <c r="AJ231">
        <v>0</v>
      </c>
      <c r="AL231">
        <v>0</v>
      </c>
      <c r="AM231">
        <v>0</v>
      </c>
      <c r="AN231">
        <v>16601001</v>
      </c>
      <c r="AO231">
        <v>0</v>
      </c>
      <c r="AP231">
        <v>1000</v>
      </c>
      <c r="AT231">
        <v>0</v>
      </c>
      <c r="AU231" t="s">
        <v>1059</v>
      </c>
      <c r="AW231" t="s">
        <v>1053</v>
      </c>
      <c r="AX231">
        <v>0</v>
      </c>
      <c r="AY231" s="20">
        <v>40792</v>
      </c>
      <c r="BA231" s="20">
        <v>40792</v>
      </c>
      <c r="BB231" t="s">
        <v>1058</v>
      </c>
      <c r="BD231">
        <v>0</v>
      </c>
      <c r="BF231" t="s">
        <v>1043</v>
      </c>
      <c r="BG231" t="s">
        <v>1042</v>
      </c>
      <c r="BH231">
        <v>0</v>
      </c>
      <c r="BI231">
        <v>1</v>
      </c>
      <c r="BJ231">
        <v>0</v>
      </c>
      <c r="BK231">
        <v>0</v>
      </c>
      <c r="BM231" t="s">
        <v>1042</v>
      </c>
      <c r="BN231">
        <v>0</v>
      </c>
      <c r="BR231" t="s">
        <v>1043</v>
      </c>
      <c r="BS231" t="s">
        <v>1043</v>
      </c>
      <c r="BT231" t="s">
        <v>1043</v>
      </c>
      <c r="BW231">
        <v>83</v>
      </c>
      <c r="CA231">
        <v>0</v>
      </c>
      <c r="CB231" t="s">
        <v>1057</v>
      </c>
      <c r="CE231" t="s">
        <v>1043</v>
      </c>
      <c r="CH231" t="s">
        <v>1043</v>
      </c>
      <c r="CN231" t="s">
        <v>1056</v>
      </c>
      <c r="CO231" t="s">
        <v>1043</v>
      </c>
      <c r="CP231">
        <v>1</v>
      </c>
      <c r="CQ231">
        <v>0</v>
      </c>
      <c r="CS231">
        <v>0</v>
      </c>
      <c r="CT231">
        <v>0</v>
      </c>
      <c r="CU231">
        <v>0</v>
      </c>
      <c r="CV231" t="s">
        <v>1045</v>
      </c>
      <c r="CW231">
        <v>0</v>
      </c>
      <c r="CX231">
        <v>0</v>
      </c>
      <c r="CY231">
        <v>0</v>
      </c>
      <c r="CZ231">
        <v>0</v>
      </c>
      <c r="DB231">
        <v>0</v>
      </c>
      <c r="DC231" t="s">
        <v>1043</v>
      </c>
      <c r="DF231" t="s">
        <v>1055</v>
      </c>
      <c r="DH231">
        <v>0</v>
      </c>
      <c r="DJ231">
        <v>0</v>
      </c>
      <c r="DK231" t="s">
        <v>1053</v>
      </c>
      <c r="DL231">
        <v>0</v>
      </c>
      <c r="DN231">
        <v>0</v>
      </c>
      <c r="DO231" t="s">
        <v>1042</v>
      </c>
      <c r="DP231">
        <v>0</v>
      </c>
      <c r="DQ231">
        <v>0</v>
      </c>
      <c r="DS231">
        <v>0</v>
      </c>
      <c r="DU231">
        <v>0</v>
      </c>
      <c r="DW231">
        <v>0</v>
      </c>
      <c r="DX231" t="s">
        <v>1043</v>
      </c>
      <c r="DY231">
        <v>0</v>
      </c>
      <c r="DZ231">
        <v>0</v>
      </c>
      <c r="EA231">
        <v>0</v>
      </c>
      <c r="ED231" t="s">
        <v>1045</v>
      </c>
      <c r="EE231">
        <v>0</v>
      </c>
      <c r="EF231">
        <v>0</v>
      </c>
      <c r="EQ231" t="s">
        <v>1044</v>
      </c>
      <c r="ES231" t="s">
        <v>1053</v>
      </c>
      <c r="ET231">
        <v>0</v>
      </c>
      <c r="EV231">
        <v>0</v>
      </c>
      <c r="EY231" t="s">
        <v>1052</v>
      </c>
      <c r="EZ231">
        <v>0</v>
      </c>
      <c r="FA231" t="s">
        <v>1043</v>
      </c>
      <c r="FB231">
        <v>0</v>
      </c>
      <c r="FC231">
        <v>0</v>
      </c>
      <c r="FE231" t="s">
        <v>1050</v>
      </c>
      <c r="FF231">
        <v>0</v>
      </c>
      <c r="FG231" t="s">
        <v>1050</v>
      </c>
      <c r="FJ231">
        <v>0</v>
      </c>
      <c r="FK231">
        <v>0</v>
      </c>
      <c r="FP231">
        <v>0</v>
      </c>
      <c r="FR231">
        <v>0</v>
      </c>
      <c r="FS231" t="s">
        <v>1043</v>
      </c>
      <c r="FX231" t="s">
        <v>1042</v>
      </c>
      <c r="FZ231" t="s">
        <v>1048</v>
      </c>
      <c r="GA231">
        <v>0</v>
      </c>
      <c r="GB231" t="s">
        <v>1042</v>
      </c>
      <c r="GE231">
        <v>0</v>
      </c>
      <c r="GG231">
        <v>0</v>
      </c>
      <c r="GN231">
        <v>0</v>
      </c>
      <c r="GO231" t="s">
        <v>1063</v>
      </c>
      <c r="GQ231">
        <v>0</v>
      </c>
      <c r="GU231">
        <v>0</v>
      </c>
      <c r="GY231" t="s">
        <v>1045</v>
      </c>
      <c r="HB231">
        <v>0</v>
      </c>
      <c r="HE231">
        <v>0</v>
      </c>
      <c r="HF231">
        <v>0</v>
      </c>
      <c r="HG231">
        <v>0</v>
      </c>
      <c r="HK231" t="s">
        <v>1042</v>
      </c>
      <c r="HM231" t="s">
        <v>1047</v>
      </c>
      <c r="HN231">
        <v>0</v>
      </c>
      <c r="HP231">
        <v>0</v>
      </c>
      <c r="HQ231">
        <v>0</v>
      </c>
      <c r="HR231" t="s">
        <v>1042</v>
      </c>
      <c r="HS231" t="s">
        <v>1043</v>
      </c>
      <c r="HT231">
        <v>0</v>
      </c>
      <c r="HU231">
        <v>0</v>
      </c>
      <c r="HW231">
        <v>0</v>
      </c>
      <c r="HX231">
        <v>0</v>
      </c>
      <c r="HY231">
        <v>0</v>
      </c>
      <c r="HZ231" t="s">
        <v>1045</v>
      </c>
      <c r="IA231">
        <v>0</v>
      </c>
      <c r="IB231" t="s">
        <v>1045</v>
      </c>
      <c r="ID231" t="s">
        <v>1045</v>
      </c>
      <c r="IF231">
        <v>0</v>
      </c>
      <c r="IG231" t="s">
        <v>1042</v>
      </c>
      <c r="II231" t="s">
        <v>1042</v>
      </c>
      <c r="IR231" t="s">
        <v>1045</v>
      </c>
      <c r="IT231">
        <v>0</v>
      </c>
      <c r="IY231" t="s">
        <v>1044</v>
      </c>
      <c r="IZ231" t="s">
        <v>1043</v>
      </c>
      <c r="JC231" t="s">
        <v>1043</v>
      </c>
      <c r="JE231">
        <v>0</v>
      </c>
      <c r="JF231">
        <v>0</v>
      </c>
      <c r="JI231" t="s">
        <v>1042</v>
      </c>
      <c r="JJ231">
        <v>0</v>
      </c>
      <c r="JK231">
        <v>0</v>
      </c>
      <c r="JL231">
        <v>0</v>
      </c>
      <c r="JM231">
        <v>0</v>
      </c>
      <c r="JQ231" t="s">
        <v>1043</v>
      </c>
      <c r="JT231">
        <v>0</v>
      </c>
      <c r="JU231" t="s">
        <v>1042</v>
      </c>
      <c r="JW231">
        <v>0</v>
      </c>
      <c r="KA231">
        <v>0</v>
      </c>
      <c r="KF231">
        <v>0</v>
      </c>
      <c r="KG231">
        <v>0</v>
      </c>
      <c r="KH231">
        <v>0</v>
      </c>
      <c r="KI231">
        <v>0</v>
      </c>
      <c r="KS231" t="s">
        <v>1073</v>
      </c>
      <c r="KT231">
        <v>0</v>
      </c>
      <c r="KU231">
        <v>0</v>
      </c>
      <c r="KV231">
        <v>0</v>
      </c>
      <c r="KX231">
        <v>0</v>
      </c>
      <c r="KZ231">
        <v>0</v>
      </c>
      <c r="LF231">
        <v>0</v>
      </c>
      <c r="LH231">
        <v>0</v>
      </c>
      <c r="LI231">
        <v>0</v>
      </c>
    </row>
    <row r="232" spans="1:321" x14ac:dyDescent="0.35">
      <c r="A232">
        <v>1</v>
      </c>
      <c r="B232" t="s">
        <v>1462</v>
      </c>
      <c r="C232" t="s">
        <v>1461</v>
      </c>
      <c r="D232" t="s">
        <v>1064</v>
      </c>
      <c r="E232" t="s">
        <v>85</v>
      </c>
      <c r="F232">
        <v>15</v>
      </c>
      <c r="G232">
        <v>240</v>
      </c>
      <c r="H232">
        <v>0</v>
      </c>
      <c r="I232" t="s">
        <v>994</v>
      </c>
      <c r="L232">
        <v>0</v>
      </c>
      <c r="M232">
        <v>0</v>
      </c>
      <c r="N232">
        <v>0</v>
      </c>
      <c r="Q232">
        <v>516</v>
      </c>
      <c r="R232">
        <v>0</v>
      </c>
      <c r="S232">
        <v>0</v>
      </c>
      <c r="W232" t="s">
        <v>1060</v>
      </c>
      <c r="X232">
        <v>0</v>
      </c>
      <c r="Z232">
        <v>1</v>
      </c>
      <c r="AA232">
        <v>1.9039999999999999</v>
      </c>
      <c r="AB232">
        <v>0</v>
      </c>
      <c r="AC232">
        <v>3.5299999999999998E-2</v>
      </c>
      <c r="AD232" t="s">
        <v>1042</v>
      </c>
      <c r="AE232">
        <v>0</v>
      </c>
      <c r="AF232">
        <v>6.0000000000000001E-3</v>
      </c>
      <c r="AH232">
        <v>0</v>
      </c>
      <c r="AJ232">
        <v>1</v>
      </c>
      <c r="AK232" t="s">
        <v>1154</v>
      </c>
      <c r="AL232">
        <v>0</v>
      </c>
      <c r="AM232">
        <v>5236</v>
      </c>
      <c r="AN232">
        <v>11501002</v>
      </c>
      <c r="AO232">
        <v>0</v>
      </c>
      <c r="AP232">
        <v>2720</v>
      </c>
      <c r="AT232">
        <v>1</v>
      </c>
      <c r="AU232" t="s">
        <v>1059</v>
      </c>
      <c r="AV232" t="s">
        <v>1043</v>
      </c>
      <c r="AW232" t="s">
        <v>1053</v>
      </c>
      <c r="AX232">
        <v>0</v>
      </c>
      <c r="AY232" s="20">
        <v>43797</v>
      </c>
      <c r="BA232" s="20">
        <v>43797</v>
      </c>
      <c r="BB232" t="s">
        <v>1058</v>
      </c>
      <c r="BD232">
        <v>0</v>
      </c>
      <c r="BF232" t="s">
        <v>1044</v>
      </c>
      <c r="BG232" t="s">
        <v>1042</v>
      </c>
      <c r="BH232">
        <v>0</v>
      </c>
      <c r="BI232">
        <v>21</v>
      </c>
      <c r="BJ232">
        <v>0</v>
      </c>
      <c r="BK232">
        <v>0</v>
      </c>
      <c r="BM232" s="20">
        <v>43798</v>
      </c>
      <c r="BN232">
        <v>0</v>
      </c>
      <c r="BO232">
        <v>3578010027852</v>
      </c>
      <c r="BR232" t="s">
        <v>1043</v>
      </c>
      <c r="BS232" t="s">
        <v>1043</v>
      </c>
      <c r="BT232" t="s">
        <v>1043</v>
      </c>
      <c r="BV232">
        <v>1</v>
      </c>
      <c r="BW232">
        <v>2</v>
      </c>
      <c r="BY232">
        <v>67</v>
      </c>
      <c r="CA232">
        <v>0</v>
      </c>
      <c r="CB232" t="s">
        <v>1043</v>
      </c>
      <c r="CE232" t="s">
        <v>1043</v>
      </c>
      <c r="CH232" t="s">
        <v>1043</v>
      </c>
      <c r="CI232" t="s">
        <v>1383</v>
      </c>
      <c r="CK232" t="s">
        <v>1152</v>
      </c>
      <c r="CN232" t="s">
        <v>1056</v>
      </c>
      <c r="CP232">
        <v>1</v>
      </c>
      <c r="CQ232">
        <v>1000</v>
      </c>
      <c r="CS232">
        <v>0</v>
      </c>
      <c r="CT232">
        <v>0</v>
      </c>
      <c r="CU232">
        <v>0</v>
      </c>
      <c r="CV232" t="s">
        <v>1045</v>
      </c>
      <c r="CW232">
        <v>0</v>
      </c>
      <c r="CX232">
        <v>0</v>
      </c>
      <c r="CY232">
        <v>0</v>
      </c>
      <c r="CZ232">
        <v>0</v>
      </c>
      <c r="DA232">
        <v>1</v>
      </c>
      <c r="DB232">
        <v>25000</v>
      </c>
      <c r="DH232">
        <v>0</v>
      </c>
      <c r="DJ232">
        <v>0</v>
      </c>
      <c r="DL232">
        <v>0</v>
      </c>
      <c r="DN232">
        <v>0</v>
      </c>
      <c r="DO232" t="s">
        <v>1042</v>
      </c>
      <c r="DP232">
        <v>0</v>
      </c>
      <c r="DQ232">
        <v>7.6</v>
      </c>
      <c r="DS232">
        <v>0</v>
      </c>
      <c r="DU232">
        <v>1.65</v>
      </c>
      <c r="DW232">
        <v>0</v>
      </c>
      <c r="DY232">
        <v>0</v>
      </c>
      <c r="DZ232">
        <v>0</v>
      </c>
      <c r="EA232">
        <v>0</v>
      </c>
      <c r="EB232">
        <v>13578010027859</v>
      </c>
      <c r="EE232">
        <v>0</v>
      </c>
      <c r="EF232">
        <v>0</v>
      </c>
      <c r="EK232" t="s">
        <v>1054</v>
      </c>
      <c r="EL232">
        <v>53578010027857</v>
      </c>
      <c r="EN232" t="s">
        <v>1012</v>
      </c>
      <c r="ET232">
        <v>0</v>
      </c>
      <c r="EV232">
        <v>0</v>
      </c>
      <c r="EY232" t="s">
        <v>1052</v>
      </c>
      <c r="EZ232">
        <v>0</v>
      </c>
      <c r="FA232" t="s">
        <v>1043</v>
      </c>
      <c r="FB232">
        <v>0</v>
      </c>
      <c r="FC232">
        <v>0</v>
      </c>
      <c r="FD232" t="s">
        <v>1051</v>
      </c>
      <c r="FE232" t="s">
        <v>1050</v>
      </c>
      <c r="FF232">
        <v>0</v>
      </c>
      <c r="FG232" t="s">
        <v>1050</v>
      </c>
      <c r="FH232">
        <v>23578010027856</v>
      </c>
      <c r="FJ232">
        <v>0</v>
      </c>
      <c r="FK232">
        <v>0</v>
      </c>
      <c r="FP232">
        <v>0</v>
      </c>
      <c r="FR232">
        <v>0</v>
      </c>
      <c r="FS232" t="s">
        <v>1043</v>
      </c>
      <c r="FX232" t="s">
        <v>1042</v>
      </c>
      <c r="GA232">
        <v>0</v>
      </c>
      <c r="GB232" t="s">
        <v>1042</v>
      </c>
      <c r="GD232">
        <v>16</v>
      </c>
      <c r="GE232">
        <v>0</v>
      </c>
      <c r="GG232">
        <v>0</v>
      </c>
      <c r="GN232">
        <v>0</v>
      </c>
      <c r="GO232" t="s">
        <v>1063</v>
      </c>
      <c r="GQ232">
        <v>0</v>
      </c>
      <c r="GU232">
        <v>0</v>
      </c>
      <c r="GY232" t="s">
        <v>1045</v>
      </c>
      <c r="HB232">
        <v>0</v>
      </c>
      <c r="HE232">
        <v>10</v>
      </c>
      <c r="HF232">
        <v>0</v>
      </c>
      <c r="HG232">
        <v>1.6800000000000001E-3</v>
      </c>
      <c r="HK232" t="s">
        <v>1042</v>
      </c>
      <c r="HL232" t="s">
        <v>1048</v>
      </c>
      <c r="HM232">
        <v>0</v>
      </c>
      <c r="HN232">
        <v>0</v>
      </c>
      <c r="HP232">
        <v>6.3E-3</v>
      </c>
      <c r="HQ232">
        <v>0</v>
      </c>
      <c r="HR232" t="s">
        <v>1042</v>
      </c>
      <c r="HT232">
        <v>0</v>
      </c>
      <c r="HU232">
        <v>0</v>
      </c>
      <c r="HW232">
        <v>0</v>
      </c>
      <c r="HX232">
        <v>0</v>
      </c>
      <c r="HY232">
        <v>0</v>
      </c>
      <c r="IA232">
        <v>0</v>
      </c>
      <c r="IF232">
        <v>90000</v>
      </c>
      <c r="IG232" s="20">
        <v>40340</v>
      </c>
      <c r="IH232" t="s">
        <v>1046</v>
      </c>
      <c r="II232" t="s">
        <v>1042</v>
      </c>
      <c r="IR232" t="s">
        <v>1045</v>
      </c>
      <c r="IT232">
        <v>0</v>
      </c>
      <c r="JE232">
        <v>0</v>
      </c>
      <c r="JF232">
        <v>0</v>
      </c>
      <c r="JI232" t="s">
        <v>1042</v>
      </c>
      <c r="JJ232">
        <v>0</v>
      </c>
      <c r="JK232">
        <v>0</v>
      </c>
      <c r="JL232">
        <v>0</v>
      </c>
      <c r="JM232">
        <v>0</v>
      </c>
      <c r="JT232">
        <v>0</v>
      </c>
      <c r="JU232" t="s">
        <v>1042</v>
      </c>
      <c r="JW232">
        <v>0</v>
      </c>
      <c r="KA232">
        <v>0</v>
      </c>
      <c r="KF232">
        <v>0</v>
      </c>
      <c r="KG232">
        <v>0</v>
      </c>
      <c r="KH232">
        <v>0</v>
      </c>
      <c r="KI232">
        <v>0</v>
      </c>
      <c r="KS232" t="s">
        <v>1041</v>
      </c>
      <c r="KT232">
        <v>0</v>
      </c>
      <c r="KU232">
        <v>0</v>
      </c>
      <c r="KV232">
        <v>0</v>
      </c>
      <c r="KX232">
        <v>0</v>
      </c>
      <c r="KZ232">
        <v>0</v>
      </c>
      <c r="LF232">
        <v>0</v>
      </c>
      <c r="LH232">
        <v>0</v>
      </c>
      <c r="LI232">
        <v>0</v>
      </c>
    </row>
    <row r="233" spans="1:321" x14ac:dyDescent="0.35">
      <c r="A233">
        <v>1</v>
      </c>
      <c r="B233">
        <v>1246</v>
      </c>
      <c r="C233" t="s">
        <v>638</v>
      </c>
      <c r="D233" t="s">
        <v>1061</v>
      </c>
      <c r="E233" t="s">
        <v>85</v>
      </c>
      <c r="F233">
        <v>1</v>
      </c>
      <c r="G233">
        <v>240</v>
      </c>
      <c r="H233">
        <v>0</v>
      </c>
      <c r="I233" t="s">
        <v>994</v>
      </c>
      <c r="L233">
        <v>0</v>
      </c>
      <c r="M233">
        <v>0</v>
      </c>
      <c r="N233">
        <v>0</v>
      </c>
      <c r="Q233">
        <v>516</v>
      </c>
      <c r="R233">
        <v>0</v>
      </c>
      <c r="S233">
        <v>0</v>
      </c>
      <c r="W233" t="s">
        <v>1060</v>
      </c>
      <c r="X233">
        <v>0</v>
      </c>
      <c r="Z233">
        <v>50</v>
      </c>
      <c r="AA233">
        <v>5.4824000000000002</v>
      </c>
      <c r="AB233">
        <v>141050</v>
      </c>
      <c r="AC233">
        <v>9.6000000000000002E-2</v>
      </c>
      <c r="AD233" s="20">
        <v>43892</v>
      </c>
      <c r="AE233">
        <v>0.06</v>
      </c>
      <c r="AF233">
        <v>9.1999999999999998E-3</v>
      </c>
      <c r="AH233">
        <v>26310</v>
      </c>
      <c r="AJ233">
        <v>1</v>
      </c>
      <c r="AK233" t="s">
        <v>1154</v>
      </c>
      <c r="AL233">
        <v>278900</v>
      </c>
      <c r="AM233">
        <v>0</v>
      </c>
      <c r="AN233">
        <v>11501001</v>
      </c>
      <c r="AO233">
        <v>0</v>
      </c>
      <c r="AP233">
        <v>1002</v>
      </c>
      <c r="AT233">
        <v>1</v>
      </c>
      <c r="AU233" t="s">
        <v>1059</v>
      </c>
      <c r="AV233" t="s">
        <v>1043</v>
      </c>
      <c r="AW233" t="s">
        <v>1053</v>
      </c>
      <c r="AX233">
        <v>0</v>
      </c>
      <c r="AY233" s="20">
        <v>43892</v>
      </c>
      <c r="BA233" s="20">
        <v>44222</v>
      </c>
      <c r="BB233" t="s">
        <v>1058</v>
      </c>
      <c r="BD233">
        <v>0</v>
      </c>
      <c r="BF233" t="s">
        <v>1044</v>
      </c>
      <c r="BG233" s="20">
        <v>40340</v>
      </c>
      <c r="BH233">
        <v>0</v>
      </c>
      <c r="BI233">
        <v>21</v>
      </c>
      <c r="BJ233">
        <v>0</v>
      </c>
      <c r="BK233">
        <v>0</v>
      </c>
      <c r="BM233" s="20">
        <v>40336</v>
      </c>
      <c r="BN233">
        <v>0</v>
      </c>
      <c r="BO233">
        <v>7897801309998</v>
      </c>
      <c r="BR233" t="s">
        <v>1043</v>
      </c>
      <c r="BS233" t="s">
        <v>1043</v>
      </c>
      <c r="BT233" t="s">
        <v>1043</v>
      </c>
      <c r="BV233">
        <v>1</v>
      </c>
      <c r="BW233">
        <v>2</v>
      </c>
      <c r="BY233">
        <v>67</v>
      </c>
      <c r="CA233">
        <v>0</v>
      </c>
      <c r="CB233" t="s">
        <v>1043</v>
      </c>
      <c r="CE233" t="s">
        <v>1043</v>
      </c>
      <c r="CH233" t="s">
        <v>1043</v>
      </c>
      <c r="CI233" t="s">
        <v>1383</v>
      </c>
      <c r="CK233" t="s">
        <v>1152</v>
      </c>
      <c r="CN233" t="s">
        <v>1056</v>
      </c>
      <c r="CP233">
        <v>1</v>
      </c>
      <c r="CQ233">
        <v>2500</v>
      </c>
      <c r="CS233">
        <v>0</v>
      </c>
      <c r="CT233">
        <v>0</v>
      </c>
      <c r="CU233">
        <v>0</v>
      </c>
      <c r="CV233" t="s">
        <v>1045</v>
      </c>
      <c r="CW233">
        <v>0</v>
      </c>
      <c r="CX233">
        <v>0</v>
      </c>
      <c r="CY233">
        <v>0</v>
      </c>
      <c r="CZ233">
        <v>0</v>
      </c>
      <c r="DA233">
        <v>8</v>
      </c>
      <c r="DB233">
        <v>90000</v>
      </c>
      <c r="DH233">
        <v>0</v>
      </c>
      <c r="DJ233">
        <v>0</v>
      </c>
      <c r="DL233">
        <v>0</v>
      </c>
      <c r="DN233">
        <v>0</v>
      </c>
      <c r="DO233" t="s">
        <v>1042</v>
      </c>
      <c r="DP233">
        <v>0</v>
      </c>
      <c r="DQ233">
        <v>7.6</v>
      </c>
      <c r="DS233">
        <v>0</v>
      </c>
      <c r="DU233">
        <v>1.65</v>
      </c>
      <c r="DW233">
        <v>0</v>
      </c>
      <c r="DY233">
        <v>0</v>
      </c>
      <c r="DZ233">
        <v>0</v>
      </c>
      <c r="EA233">
        <v>0</v>
      </c>
      <c r="EB233">
        <v>17897801309995</v>
      </c>
      <c r="EE233">
        <v>0</v>
      </c>
      <c r="EF233">
        <v>0</v>
      </c>
      <c r="EK233" t="s">
        <v>1054</v>
      </c>
      <c r="EL233">
        <v>57897801309993</v>
      </c>
      <c r="EN233" t="s">
        <v>1012</v>
      </c>
      <c r="ET233">
        <v>0</v>
      </c>
      <c r="EV233">
        <v>0</v>
      </c>
      <c r="EY233" t="s">
        <v>1052</v>
      </c>
      <c r="EZ233">
        <v>0</v>
      </c>
      <c r="FA233" t="s">
        <v>1043</v>
      </c>
      <c r="FB233">
        <v>0</v>
      </c>
      <c r="FC233">
        <v>0</v>
      </c>
      <c r="FD233" t="s">
        <v>1051</v>
      </c>
      <c r="FE233" t="s">
        <v>1050</v>
      </c>
      <c r="FF233">
        <v>1200</v>
      </c>
      <c r="FG233" t="s">
        <v>1050</v>
      </c>
      <c r="FH233">
        <v>27897801309992</v>
      </c>
      <c r="FJ233">
        <v>0</v>
      </c>
      <c r="FK233">
        <v>0</v>
      </c>
      <c r="FP233">
        <v>0</v>
      </c>
      <c r="FR233">
        <v>0</v>
      </c>
      <c r="FS233" t="s">
        <v>1043</v>
      </c>
      <c r="FX233" t="s">
        <v>1042</v>
      </c>
      <c r="GA233">
        <v>0</v>
      </c>
      <c r="GB233" t="s">
        <v>1042</v>
      </c>
      <c r="GD233">
        <v>16</v>
      </c>
      <c r="GE233">
        <v>0</v>
      </c>
      <c r="GG233">
        <v>0</v>
      </c>
      <c r="GN233">
        <v>0</v>
      </c>
      <c r="GO233" t="s">
        <v>1049</v>
      </c>
      <c r="GQ233">
        <v>0</v>
      </c>
      <c r="GU233">
        <v>0</v>
      </c>
      <c r="GY233" t="s">
        <v>1045</v>
      </c>
      <c r="HB233">
        <v>0</v>
      </c>
      <c r="HE233">
        <v>10</v>
      </c>
      <c r="HF233">
        <v>0</v>
      </c>
      <c r="HG233">
        <v>4.0000000000000001E-3</v>
      </c>
      <c r="HK233" t="s">
        <v>1042</v>
      </c>
      <c r="HL233" t="s">
        <v>1048</v>
      </c>
      <c r="HM233">
        <v>0</v>
      </c>
      <c r="HN233">
        <v>0</v>
      </c>
      <c r="HO233">
        <v>25</v>
      </c>
      <c r="HP233">
        <v>9.1999999999999998E-3</v>
      </c>
      <c r="HQ233">
        <v>0</v>
      </c>
      <c r="HR233" s="20">
        <v>44221</v>
      </c>
      <c r="HT233">
        <v>0</v>
      </c>
      <c r="HU233">
        <v>0</v>
      </c>
      <c r="HW233">
        <v>0</v>
      </c>
      <c r="HX233">
        <v>313160</v>
      </c>
      <c r="HY233">
        <v>1</v>
      </c>
      <c r="IA233">
        <v>0.06</v>
      </c>
      <c r="IF233">
        <v>30000</v>
      </c>
      <c r="IG233" s="20">
        <v>40340</v>
      </c>
      <c r="IH233" t="s">
        <v>1046</v>
      </c>
      <c r="II233" t="s">
        <v>1042</v>
      </c>
      <c r="IR233" t="s">
        <v>1045</v>
      </c>
      <c r="IT233">
        <v>0</v>
      </c>
      <c r="JE233">
        <v>0</v>
      </c>
      <c r="JF233">
        <v>0</v>
      </c>
      <c r="JI233" t="s">
        <v>1042</v>
      </c>
      <c r="JJ233">
        <v>0</v>
      </c>
      <c r="JK233">
        <v>0</v>
      </c>
      <c r="JL233">
        <v>0</v>
      </c>
      <c r="JM233">
        <v>0</v>
      </c>
      <c r="JT233">
        <v>0</v>
      </c>
      <c r="JU233" t="s">
        <v>1042</v>
      </c>
      <c r="JW233">
        <v>0</v>
      </c>
      <c r="KA233">
        <v>0</v>
      </c>
      <c r="KF233">
        <v>0</v>
      </c>
      <c r="KG233">
        <v>0</v>
      </c>
      <c r="KH233">
        <v>0</v>
      </c>
      <c r="KI233">
        <v>0</v>
      </c>
      <c r="KS233" t="s">
        <v>1041</v>
      </c>
      <c r="KT233">
        <v>0</v>
      </c>
      <c r="KU233">
        <v>0</v>
      </c>
      <c r="KV233">
        <v>0</v>
      </c>
      <c r="KX233">
        <v>0</v>
      </c>
      <c r="KZ233">
        <v>0</v>
      </c>
      <c r="LF233">
        <v>0</v>
      </c>
      <c r="LH233">
        <v>403200</v>
      </c>
      <c r="LI233">
        <v>0</v>
      </c>
    </row>
    <row r="234" spans="1:321" x14ac:dyDescent="0.35">
      <c r="A234">
        <v>1</v>
      </c>
      <c r="B234">
        <v>12460</v>
      </c>
      <c r="C234" t="s">
        <v>1460</v>
      </c>
      <c r="D234" t="s">
        <v>1139</v>
      </c>
      <c r="E234" t="s">
        <v>85</v>
      </c>
      <c r="F234">
        <v>80</v>
      </c>
      <c r="G234">
        <v>9000</v>
      </c>
      <c r="H234">
        <v>0</v>
      </c>
      <c r="I234" t="s">
        <v>1050</v>
      </c>
      <c r="L234">
        <v>0</v>
      </c>
      <c r="M234">
        <v>0</v>
      </c>
      <c r="N234">
        <v>0</v>
      </c>
      <c r="R234">
        <v>0</v>
      </c>
      <c r="S234">
        <v>0</v>
      </c>
      <c r="W234" t="s">
        <v>1060</v>
      </c>
      <c r="X234">
        <v>0</v>
      </c>
      <c r="Z234">
        <v>1</v>
      </c>
      <c r="AA234">
        <v>0</v>
      </c>
      <c r="AB234">
        <v>0</v>
      </c>
      <c r="AC234">
        <v>0</v>
      </c>
      <c r="AD234" s="20">
        <v>40792</v>
      </c>
      <c r="AE234">
        <v>3.6</v>
      </c>
      <c r="AF234">
        <v>0</v>
      </c>
      <c r="AH234">
        <v>0</v>
      </c>
      <c r="AJ234">
        <v>0</v>
      </c>
      <c r="AL234">
        <v>0</v>
      </c>
      <c r="AM234">
        <v>0</v>
      </c>
      <c r="AN234">
        <v>16601001</v>
      </c>
      <c r="AO234">
        <v>0</v>
      </c>
      <c r="AP234">
        <v>1000</v>
      </c>
      <c r="AT234">
        <v>0</v>
      </c>
      <c r="AU234" t="s">
        <v>1059</v>
      </c>
      <c r="AW234" t="s">
        <v>1053</v>
      </c>
      <c r="AX234">
        <v>0</v>
      </c>
      <c r="AY234" s="20">
        <v>40792</v>
      </c>
      <c r="BA234" s="20">
        <v>40792</v>
      </c>
      <c r="BB234" t="s">
        <v>1058</v>
      </c>
      <c r="BD234">
        <v>0</v>
      </c>
      <c r="BF234" t="s">
        <v>1043</v>
      </c>
      <c r="BG234" t="s">
        <v>1042</v>
      </c>
      <c r="BH234">
        <v>0</v>
      </c>
      <c r="BI234">
        <v>1</v>
      </c>
      <c r="BJ234">
        <v>0</v>
      </c>
      <c r="BK234">
        <v>0</v>
      </c>
      <c r="BM234" t="s">
        <v>1042</v>
      </c>
      <c r="BN234">
        <v>0</v>
      </c>
      <c r="BR234" t="s">
        <v>1043</v>
      </c>
      <c r="BS234" t="s">
        <v>1043</v>
      </c>
      <c r="BT234" t="s">
        <v>1043</v>
      </c>
      <c r="BW234">
        <v>83</v>
      </c>
      <c r="CA234">
        <v>0</v>
      </c>
      <c r="CB234" t="s">
        <v>1057</v>
      </c>
      <c r="CE234" t="s">
        <v>1043</v>
      </c>
      <c r="CH234" t="s">
        <v>1043</v>
      </c>
      <c r="CN234" t="s">
        <v>1056</v>
      </c>
      <c r="CO234" t="s">
        <v>1043</v>
      </c>
      <c r="CP234">
        <v>1</v>
      </c>
      <c r="CQ234">
        <v>0</v>
      </c>
      <c r="CS234">
        <v>0</v>
      </c>
      <c r="CT234">
        <v>0</v>
      </c>
      <c r="CU234">
        <v>0</v>
      </c>
      <c r="CV234" t="s">
        <v>1045</v>
      </c>
      <c r="CW234">
        <v>0</v>
      </c>
      <c r="CX234">
        <v>0</v>
      </c>
      <c r="CY234">
        <v>0</v>
      </c>
      <c r="CZ234">
        <v>0</v>
      </c>
      <c r="DB234">
        <v>0</v>
      </c>
      <c r="DC234" t="s">
        <v>1043</v>
      </c>
      <c r="DF234" t="s">
        <v>1055</v>
      </c>
      <c r="DH234">
        <v>0</v>
      </c>
      <c r="DJ234">
        <v>0</v>
      </c>
      <c r="DK234" t="s">
        <v>1053</v>
      </c>
      <c r="DL234">
        <v>0</v>
      </c>
      <c r="DN234">
        <v>0</v>
      </c>
      <c r="DO234" t="s">
        <v>1042</v>
      </c>
      <c r="DP234">
        <v>0</v>
      </c>
      <c r="DQ234">
        <v>0</v>
      </c>
      <c r="DS234">
        <v>0</v>
      </c>
      <c r="DU234">
        <v>0</v>
      </c>
      <c r="DW234">
        <v>0</v>
      </c>
      <c r="DX234" t="s">
        <v>1043</v>
      </c>
      <c r="DY234">
        <v>0</v>
      </c>
      <c r="DZ234">
        <v>0</v>
      </c>
      <c r="EA234">
        <v>0</v>
      </c>
      <c r="ED234" t="s">
        <v>1045</v>
      </c>
      <c r="EE234">
        <v>0</v>
      </c>
      <c r="EF234">
        <v>0</v>
      </c>
      <c r="EQ234" t="s">
        <v>1044</v>
      </c>
      <c r="ES234" t="s">
        <v>1053</v>
      </c>
      <c r="ET234">
        <v>0</v>
      </c>
      <c r="EV234">
        <v>0</v>
      </c>
      <c r="EY234" t="s">
        <v>1052</v>
      </c>
      <c r="EZ234">
        <v>0</v>
      </c>
      <c r="FA234" t="s">
        <v>1043</v>
      </c>
      <c r="FB234">
        <v>0</v>
      </c>
      <c r="FC234">
        <v>0</v>
      </c>
      <c r="FE234" t="s">
        <v>1050</v>
      </c>
      <c r="FF234">
        <v>0</v>
      </c>
      <c r="FG234" t="s">
        <v>1050</v>
      </c>
      <c r="FJ234">
        <v>0</v>
      </c>
      <c r="FK234">
        <v>0</v>
      </c>
      <c r="FP234">
        <v>0</v>
      </c>
      <c r="FR234">
        <v>0</v>
      </c>
      <c r="FS234" t="s">
        <v>1043</v>
      </c>
      <c r="FX234" t="s">
        <v>1042</v>
      </c>
      <c r="FZ234" t="s">
        <v>1048</v>
      </c>
      <c r="GA234">
        <v>0</v>
      </c>
      <c r="GB234" t="s">
        <v>1042</v>
      </c>
      <c r="GE234">
        <v>0</v>
      </c>
      <c r="GG234">
        <v>0</v>
      </c>
      <c r="GN234">
        <v>0</v>
      </c>
      <c r="GO234" t="s">
        <v>1063</v>
      </c>
      <c r="GQ234">
        <v>0</v>
      </c>
      <c r="GU234">
        <v>0</v>
      </c>
      <c r="GY234" t="s">
        <v>1045</v>
      </c>
      <c r="HB234">
        <v>0</v>
      </c>
      <c r="HE234">
        <v>0</v>
      </c>
      <c r="HF234">
        <v>0</v>
      </c>
      <c r="HG234">
        <v>0</v>
      </c>
      <c r="HK234" t="s">
        <v>1042</v>
      </c>
      <c r="HM234" t="s">
        <v>1047</v>
      </c>
      <c r="HN234">
        <v>0</v>
      </c>
      <c r="HP234">
        <v>0</v>
      </c>
      <c r="HQ234">
        <v>0</v>
      </c>
      <c r="HR234" t="s">
        <v>1042</v>
      </c>
      <c r="HS234" t="s">
        <v>1043</v>
      </c>
      <c r="HT234">
        <v>0</v>
      </c>
      <c r="HU234">
        <v>0</v>
      </c>
      <c r="HW234">
        <v>0</v>
      </c>
      <c r="HX234">
        <v>0</v>
      </c>
      <c r="HY234">
        <v>0</v>
      </c>
      <c r="HZ234" t="s">
        <v>1045</v>
      </c>
      <c r="IA234">
        <v>0</v>
      </c>
      <c r="IB234" t="s">
        <v>1045</v>
      </c>
      <c r="ID234" t="s">
        <v>1045</v>
      </c>
      <c r="IF234">
        <v>0</v>
      </c>
      <c r="IG234" t="s">
        <v>1042</v>
      </c>
      <c r="II234" t="s">
        <v>1042</v>
      </c>
      <c r="IR234" t="s">
        <v>1045</v>
      </c>
      <c r="IT234">
        <v>0</v>
      </c>
      <c r="IY234" t="s">
        <v>1044</v>
      </c>
      <c r="IZ234" t="s">
        <v>1043</v>
      </c>
      <c r="JC234" t="s">
        <v>1043</v>
      </c>
      <c r="JE234">
        <v>0</v>
      </c>
      <c r="JF234">
        <v>0</v>
      </c>
      <c r="JI234" t="s">
        <v>1042</v>
      </c>
      <c r="JJ234">
        <v>0</v>
      </c>
      <c r="JK234">
        <v>0</v>
      </c>
      <c r="JL234">
        <v>0</v>
      </c>
      <c r="JM234">
        <v>0</v>
      </c>
      <c r="JQ234" t="s">
        <v>1043</v>
      </c>
      <c r="JT234">
        <v>0</v>
      </c>
      <c r="JU234" t="s">
        <v>1042</v>
      </c>
      <c r="JW234">
        <v>0</v>
      </c>
      <c r="KA234">
        <v>0</v>
      </c>
      <c r="KF234">
        <v>0</v>
      </c>
      <c r="KG234">
        <v>0</v>
      </c>
      <c r="KH234">
        <v>0</v>
      </c>
      <c r="KI234">
        <v>0</v>
      </c>
      <c r="KS234" t="s">
        <v>1073</v>
      </c>
      <c r="KT234">
        <v>0</v>
      </c>
      <c r="KU234">
        <v>0</v>
      </c>
      <c r="KV234">
        <v>0</v>
      </c>
      <c r="KX234">
        <v>0</v>
      </c>
      <c r="KZ234">
        <v>0</v>
      </c>
      <c r="LF234">
        <v>0</v>
      </c>
      <c r="LH234">
        <v>0</v>
      </c>
      <c r="LI234">
        <v>0</v>
      </c>
    </row>
    <row r="235" spans="1:321" x14ac:dyDescent="0.35">
      <c r="A235">
        <v>1</v>
      </c>
      <c r="B235">
        <v>12461</v>
      </c>
      <c r="C235" t="s">
        <v>1459</v>
      </c>
      <c r="D235" t="s">
        <v>1139</v>
      </c>
      <c r="E235" t="s">
        <v>85</v>
      </c>
      <c r="F235">
        <v>80</v>
      </c>
      <c r="G235">
        <v>9000</v>
      </c>
      <c r="H235">
        <v>0</v>
      </c>
      <c r="I235" t="s">
        <v>1050</v>
      </c>
      <c r="L235">
        <v>0</v>
      </c>
      <c r="M235">
        <v>0</v>
      </c>
      <c r="N235">
        <v>0</v>
      </c>
      <c r="R235">
        <v>0</v>
      </c>
      <c r="S235">
        <v>0</v>
      </c>
      <c r="W235" t="s">
        <v>1060</v>
      </c>
      <c r="X235">
        <v>0</v>
      </c>
      <c r="Z235">
        <v>1</v>
      </c>
      <c r="AA235">
        <v>0</v>
      </c>
      <c r="AB235">
        <v>0</v>
      </c>
      <c r="AC235">
        <v>0</v>
      </c>
      <c r="AD235" s="20">
        <v>40703</v>
      </c>
      <c r="AE235">
        <v>3.6</v>
      </c>
      <c r="AF235">
        <v>0</v>
      </c>
      <c r="AH235">
        <v>0</v>
      </c>
      <c r="AJ235">
        <v>0</v>
      </c>
      <c r="AL235">
        <v>0</v>
      </c>
      <c r="AM235">
        <v>0</v>
      </c>
      <c r="AN235">
        <v>16601001</v>
      </c>
      <c r="AO235">
        <v>0</v>
      </c>
      <c r="AP235">
        <v>1000</v>
      </c>
      <c r="AT235">
        <v>0</v>
      </c>
      <c r="AU235" t="s">
        <v>1059</v>
      </c>
      <c r="AW235" t="s">
        <v>1053</v>
      </c>
      <c r="AX235">
        <v>0</v>
      </c>
      <c r="AY235" s="20">
        <v>40792</v>
      </c>
      <c r="BA235" s="20">
        <v>40792</v>
      </c>
      <c r="BB235" t="s">
        <v>1058</v>
      </c>
      <c r="BD235">
        <v>0</v>
      </c>
      <c r="BF235" t="s">
        <v>1043</v>
      </c>
      <c r="BG235" t="s">
        <v>1042</v>
      </c>
      <c r="BH235">
        <v>0</v>
      </c>
      <c r="BI235">
        <v>1</v>
      </c>
      <c r="BJ235">
        <v>0</v>
      </c>
      <c r="BK235">
        <v>0</v>
      </c>
      <c r="BM235" t="s">
        <v>1042</v>
      </c>
      <c r="BN235">
        <v>0</v>
      </c>
      <c r="BR235" t="s">
        <v>1043</v>
      </c>
      <c r="BS235" t="s">
        <v>1043</v>
      </c>
      <c r="BT235" t="s">
        <v>1043</v>
      </c>
      <c r="BW235">
        <v>83</v>
      </c>
      <c r="CA235">
        <v>0</v>
      </c>
      <c r="CB235" t="s">
        <v>1057</v>
      </c>
      <c r="CE235" t="s">
        <v>1043</v>
      </c>
      <c r="CH235" t="s">
        <v>1043</v>
      </c>
      <c r="CN235" t="s">
        <v>1056</v>
      </c>
      <c r="CO235" t="s">
        <v>1043</v>
      </c>
      <c r="CP235">
        <v>1</v>
      </c>
      <c r="CQ235">
        <v>0</v>
      </c>
      <c r="CS235">
        <v>0</v>
      </c>
      <c r="CT235">
        <v>0</v>
      </c>
      <c r="CU235">
        <v>0</v>
      </c>
      <c r="CV235" t="s">
        <v>1045</v>
      </c>
      <c r="CW235">
        <v>0</v>
      </c>
      <c r="CX235">
        <v>0</v>
      </c>
      <c r="CY235">
        <v>0</v>
      </c>
      <c r="CZ235">
        <v>0</v>
      </c>
      <c r="DB235">
        <v>0</v>
      </c>
      <c r="DC235" t="s">
        <v>1043</v>
      </c>
      <c r="DF235" t="s">
        <v>1055</v>
      </c>
      <c r="DH235">
        <v>0</v>
      </c>
      <c r="DJ235">
        <v>0</v>
      </c>
      <c r="DK235" t="s">
        <v>1053</v>
      </c>
      <c r="DL235">
        <v>0</v>
      </c>
      <c r="DN235">
        <v>0</v>
      </c>
      <c r="DO235" t="s">
        <v>1042</v>
      </c>
      <c r="DP235">
        <v>0</v>
      </c>
      <c r="DQ235">
        <v>0</v>
      </c>
      <c r="DS235">
        <v>0</v>
      </c>
      <c r="DU235">
        <v>0</v>
      </c>
      <c r="DW235">
        <v>0</v>
      </c>
      <c r="DX235" t="s">
        <v>1043</v>
      </c>
      <c r="DY235">
        <v>0</v>
      </c>
      <c r="DZ235">
        <v>0</v>
      </c>
      <c r="EA235">
        <v>0</v>
      </c>
      <c r="ED235" t="s">
        <v>1045</v>
      </c>
      <c r="EE235">
        <v>0</v>
      </c>
      <c r="EF235">
        <v>0</v>
      </c>
      <c r="EQ235" t="s">
        <v>1044</v>
      </c>
      <c r="ES235" t="s">
        <v>1053</v>
      </c>
      <c r="ET235">
        <v>0</v>
      </c>
      <c r="EV235">
        <v>0</v>
      </c>
      <c r="EY235" t="s">
        <v>1052</v>
      </c>
      <c r="EZ235">
        <v>0</v>
      </c>
      <c r="FA235" t="s">
        <v>1043</v>
      </c>
      <c r="FB235">
        <v>0</v>
      </c>
      <c r="FC235">
        <v>0</v>
      </c>
      <c r="FE235" t="s">
        <v>1050</v>
      </c>
      <c r="FF235">
        <v>0</v>
      </c>
      <c r="FG235" t="s">
        <v>1050</v>
      </c>
      <c r="FJ235">
        <v>0</v>
      </c>
      <c r="FK235">
        <v>0</v>
      </c>
      <c r="FP235">
        <v>0</v>
      </c>
      <c r="FR235">
        <v>0</v>
      </c>
      <c r="FS235" t="s">
        <v>1043</v>
      </c>
      <c r="FX235" t="s">
        <v>1042</v>
      </c>
      <c r="FZ235" t="s">
        <v>1048</v>
      </c>
      <c r="GA235">
        <v>0</v>
      </c>
      <c r="GB235" t="s">
        <v>1042</v>
      </c>
      <c r="GE235">
        <v>0</v>
      </c>
      <c r="GG235">
        <v>0</v>
      </c>
      <c r="GN235">
        <v>0</v>
      </c>
      <c r="GO235" t="s">
        <v>1063</v>
      </c>
      <c r="GQ235">
        <v>0</v>
      </c>
      <c r="GU235">
        <v>0</v>
      </c>
      <c r="GY235" t="s">
        <v>1045</v>
      </c>
      <c r="HB235">
        <v>0</v>
      </c>
      <c r="HE235">
        <v>0</v>
      </c>
      <c r="HF235">
        <v>0</v>
      </c>
      <c r="HG235">
        <v>0</v>
      </c>
      <c r="HK235" t="s">
        <v>1042</v>
      </c>
      <c r="HM235" t="s">
        <v>1047</v>
      </c>
      <c r="HN235">
        <v>0</v>
      </c>
      <c r="HP235">
        <v>0</v>
      </c>
      <c r="HQ235">
        <v>0</v>
      </c>
      <c r="HR235" t="s">
        <v>1042</v>
      </c>
      <c r="HS235" t="s">
        <v>1043</v>
      </c>
      <c r="HT235">
        <v>0</v>
      </c>
      <c r="HU235">
        <v>0</v>
      </c>
      <c r="HW235">
        <v>0</v>
      </c>
      <c r="HX235">
        <v>0</v>
      </c>
      <c r="HY235">
        <v>0</v>
      </c>
      <c r="HZ235" t="s">
        <v>1045</v>
      </c>
      <c r="IA235">
        <v>0</v>
      </c>
      <c r="IB235" t="s">
        <v>1045</v>
      </c>
      <c r="ID235" t="s">
        <v>1045</v>
      </c>
      <c r="IF235">
        <v>0</v>
      </c>
      <c r="IG235" t="s">
        <v>1042</v>
      </c>
      <c r="II235" t="s">
        <v>1042</v>
      </c>
      <c r="IR235" t="s">
        <v>1045</v>
      </c>
      <c r="IT235">
        <v>0</v>
      </c>
      <c r="IY235" t="s">
        <v>1044</v>
      </c>
      <c r="IZ235" t="s">
        <v>1043</v>
      </c>
      <c r="JC235" t="s">
        <v>1043</v>
      </c>
      <c r="JE235">
        <v>0</v>
      </c>
      <c r="JF235">
        <v>0</v>
      </c>
      <c r="JI235" t="s">
        <v>1042</v>
      </c>
      <c r="JJ235">
        <v>0</v>
      </c>
      <c r="JK235">
        <v>0</v>
      </c>
      <c r="JL235">
        <v>0</v>
      </c>
      <c r="JM235">
        <v>0</v>
      </c>
      <c r="JQ235" t="s">
        <v>1043</v>
      </c>
      <c r="JT235">
        <v>0</v>
      </c>
      <c r="JU235" t="s">
        <v>1042</v>
      </c>
      <c r="JW235">
        <v>0</v>
      </c>
      <c r="KA235">
        <v>0</v>
      </c>
      <c r="KF235">
        <v>0</v>
      </c>
      <c r="KG235">
        <v>0</v>
      </c>
      <c r="KH235">
        <v>0</v>
      </c>
      <c r="KI235">
        <v>0</v>
      </c>
      <c r="KS235" t="s">
        <v>1073</v>
      </c>
      <c r="KT235">
        <v>0</v>
      </c>
      <c r="KU235">
        <v>0</v>
      </c>
      <c r="KV235">
        <v>0</v>
      </c>
      <c r="KX235">
        <v>0</v>
      </c>
      <c r="KZ235">
        <v>0</v>
      </c>
      <c r="LF235">
        <v>0</v>
      </c>
      <c r="LH235">
        <v>0</v>
      </c>
      <c r="LI235">
        <v>0</v>
      </c>
    </row>
    <row r="236" spans="1:321" x14ac:dyDescent="0.35">
      <c r="A236">
        <v>1</v>
      </c>
      <c r="B236">
        <v>12462</v>
      </c>
      <c r="C236" t="s">
        <v>1458</v>
      </c>
      <c r="D236" t="s">
        <v>1139</v>
      </c>
      <c r="E236" t="s">
        <v>85</v>
      </c>
      <c r="F236">
        <v>80</v>
      </c>
      <c r="G236">
        <v>9000</v>
      </c>
      <c r="H236">
        <v>0</v>
      </c>
      <c r="I236" t="s">
        <v>1050</v>
      </c>
      <c r="L236">
        <v>0</v>
      </c>
      <c r="M236">
        <v>0</v>
      </c>
      <c r="N236">
        <v>0</v>
      </c>
      <c r="R236">
        <v>0</v>
      </c>
      <c r="S236">
        <v>0</v>
      </c>
      <c r="W236" t="s">
        <v>1060</v>
      </c>
      <c r="X236">
        <v>0</v>
      </c>
      <c r="Z236">
        <v>1</v>
      </c>
      <c r="AA236">
        <v>0</v>
      </c>
      <c r="AB236">
        <v>0</v>
      </c>
      <c r="AC236">
        <v>0</v>
      </c>
      <c r="AD236" s="20">
        <v>40792</v>
      </c>
      <c r="AE236">
        <v>3.6</v>
      </c>
      <c r="AF236">
        <v>0</v>
      </c>
      <c r="AH236">
        <v>0</v>
      </c>
      <c r="AJ236">
        <v>0</v>
      </c>
      <c r="AL236">
        <v>0</v>
      </c>
      <c r="AM236">
        <v>0</v>
      </c>
      <c r="AN236">
        <v>16601001</v>
      </c>
      <c r="AO236">
        <v>0</v>
      </c>
      <c r="AP236">
        <v>1000</v>
      </c>
      <c r="AT236">
        <v>0</v>
      </c>
      <c r="AU236" t="s">
        <v>1059</v>
      </c>
      <c r="AW236" t="s">
        <v>1053</v>
      </c>
      <c r="AX236">
        <v>0</v>
      </c>
      <c r="AY236" s="20">
        <v>40792</v>
      </c>
      <c r="BA236" s="20">
        <v>40792</v>
      </c>
      <c r="BB236" t="s">
        <v>1058</v>
      </c>
      <c r="BD236">
        <v>0</v>
      </c>
      <c r="BF236" t="s">
        <v>1043</v>
      </c>
      <c r="BG236" t="s">
        <v>1042</v>
      </c>
      <c r="BH236">
        <v>0</v>
      </c>
      <c r="BI236">
        <v>1</v>
      </c>
      <c r="BJ236">
        <v>0</v>
      </c>
      <c r="BK236">
        <v>0</v>
      </c>
      <c r="BM236" t="s">
        <v>1042</v>
      </c>
      <c r="BN236">
        <v>0</v>
      </c>
      <c r="BR236" t="s">
        <v>1043</v>
      </c>
      <c r="BS236" t="s">
        <v>1043</v>
      </c>
      <c r="BT236" t="s">
        <v>1043</v>
      </c>
      <c r="BW236">
        <v>83</v>
      </c>
      <c r="CA236">
        <v>0</v>
      </c>
      <c r="CB236" t="s">
        <v>1057</v>
      </c>
      <c r="CE236" t="s">
        <v>1043</v>
      </c>
      <c r="CH236" t="s">
        <v>1043</v>
      </c>
      <c r="CN236" t="s">
        <v>1056</v>
      </c>
      <c r="CO236" t="s">
        <v>1043</v>
      </c>
      <c r="CP236">
        <v>1</v>
      </c>
      <c r="CQ236">
        <v>0</v>
      </c>
      <c r="CS236">
        <v>0</v>
      </c>
      <c r="CT236">
        <v>0</v>
      </c>
      <c r="CU236">
        <v>0</v>
      </c>
      <c r="CV236" t="s">
        <v>1045</v>
      </c>
      <c r="CW236">
        <v>0</v>
      </c>
      <c r="CX236">
        <v>0</v>
      </c>
      <c r="CY236">
        <v>0</v>
      </c>
      <c r="CZ236">
        <v>0</v>
      </c>
      <c r="DB236">
        <v>0</v>
      </c>
      <c r="DC236" t="s">
        <v>1043</v>
      </c>
      <c r="DF236" t="s">
        <v>1055</v>
      </c>
      <c r="DH236">
        <v>0</v>
      </c>
      <c r="DJ236">
        <v>0</v>
      </c>
      <c r="DK236" t="s">
        <v>1053</v>
      </c>
      <c r="DL236">
        <v>0</v>
      </c>
      <c r="DN236">
        <v>0</v>
      </c>
      <c r="DO236" t="s">
        <v>1042</v>
      </c>
      <c r="DP236">
        <v>0</v>
      </c>
      <c r="DQ236">
        <v>0</v>
      </c>
      <c r="DS236">
        <v>0</v>
      </c>
      <c r="DU236">
        <v>0</v>
      </c>
      <c r="DW236">
        <v>0</v>
      </c>
      <c r="DX236" t="s">
        <v>1043</v>
      </c>
      <c r="DY236">
        <v>0</v>
      </c>
      <c r="DZ236">
        <v>0</v>
      </c>
      <c r="EA236">
        <v>0</v>
      </c>
      <c r="ED236" t="s">
        <v>1045</v>
      </c>
      <c r="EE236">
        <v>0</v>
      </c>
      <c r="EF236">
        <v>0</v>
      </c>
      <c r="EQ236" t="s">
        <v>1044</v>
      </c>
      <c r="ES236" t="s">
        <v>1053</v>
      </c>
      <c r="ET236">
        <v>0</v>
      </c>
      <c r="EV236">
        <v>0</v>
      </c>
      <c r="EY236" t="s">
        <v>1052</v>
      </c>
      <c r="EZ236">
        <v>0</v>
      </c>
      <c r="FA236" t="s">
        <v>1043</v>
      </c>
      <c r="FB236">
        <v>0</v>
      </c>
      <c r="FC236">
        <v>0</v>
      </c>
      <c r="FE236" t="s">
        <v>1050</v>
      </c>
      <c r="FF236">
        <v>0</v>
      </c>
      <c r="FG236" t="s">
        <v>1050</v>
      </c>
      <c r="FJ236">
        <v>0</v>
      </c>
      <c r="FK236">
        <v>0</v>
      </c>
      <c r="FP236">
        <v>0</v>
      </c>
      <c r="FR236">
        <v>0</v>
      </c>
      <c r="FS236" t="s">
        <v>1043</v>
      </c>
      <c r="FX236" t="s">
        <v>1042</v>
      </c>
      <c r="FZ236" t="s">
        <v>1048</v>
      </c>
      <c r="GA236">
        <v>0</v>
      </c>
      <c r="GB236" t="s">
        <v>1042</v>
      </c>
      <c r="GE236">
        <v>0</v>
      </c>
      <c r="GG236">
        <v>0</v>
      </c>
      <c r="GN236">
        <v>0</v>
      </c>
      <c r="GO236" t="s">
        <v>1063</v>
      </c>
      <c r="GQ236">
        <v>0</v>
      </c>
      <c r="GU236">
        <v>0</v>
      </c>
      <c r="GY236" t="s">
        <v>1045</v>
      </c>
      <c r="HB236">
        <v>0</v>
      </c>
      <c r="HE236">
        <v>0</v>
      </c>
      <c r="HF236">
        <v>0</v>
      </c>
      <c r="HG236">
        <v>0</v>
      </c>
      <c r="HK236" t="s">
        <v>1042</v>
      </c>
      <c r="HM236" t="s">
        <v>1047</v>
      </c>
      <c r="HN236">
        <v>0</v>
      </c>
      <c r="HP236">
        <v>0</v>
      </c>
      <c r="HQ236">
        <v>0</v>
      </c>
      <c r="HR236" t="s">
        <v>1042</v>
      </c>
      <c r="HS236" t="s">
        <v>1043</v>
      </c>
      <c r="HT236">
        <v>0</v>
      </c>
      <c r="HU236">
        <v>0</v>
      </c>
      <c r="HW236">
        <v>0</v>
      </c>
      <c r="HX236">
        <v>0</v>
      </c>
      <c r="HY236">
        <v>0</v>
      </c>
      <c r="HZ236" t="s">
        <v>1045</v>
      </c>
      <c r="IA236">
        <v>0</v>
      </c>
      <c r="IB236" t="s">
        <v>1045</v>
      </c>
      <c r="ID236" t="s">
        <v>1045</v>
      </c>
      <c r="IF236">
        <v>0</v>
      </c>
      <c r="IG236" t="s">
        <v>1042</v>
      </c>
      <c r="II236" t="s">
        <v>1042</v>
      </c>
      <c r="IR236" t="s">
        <v>1045</v>
      </c>
      <c r="IT236">
        <v>0</v>
      </c>
      <c r="IY236" t="s">
        <v>1044</v>
      </c>
      <c r="IZ236" t="s">
        <v>1043</v>
      </c>
      <c r="JC236" t="s">
        <v>1043</v>
      </c>
      <c r="JE236">
        <v>0</v>
      </c>
      <c r="JF236">
        <v>0</v>
      </c>
      <c r="JI236" t="s">
        <v>1042</v>
      </c>
      <c r="JJ236">
        <v>0</v>
      </c>
      <c r="JK236">
        <v>0</v>
      </c>
      <c r="JL236">
        <v>0</v>
      </c>
      <c r="JM236">
        <v>0</v>
      </c>
      <c r="JQ236" t="s">
        <v>1043</v>
      </c>
      <c r="JT236">
        <v>0</v>
      </c>
      <c r="JU236" t="s">
        <v>1042</v>
      </c>
      <c r="JW236">
        <v>0</v>
      </c>
      <c r="KA236">
        <v>0</v>
      </c>
      <c r="KF236">
        <v>0</v>
      </c>
      <c r="KG236">
        <v>0</v>
      </c>
      <c r="KH236">
        <v>0</v>
      </c>
      <c r="KI236">
        <v>0</v>
      </c>
      <c r="KS236" t="s">
        <v>1073</v>
      </c>
      <c r="KT236">
        <v>0</v>
      </c>
      <c r="KU236">
        <v>0</v>
      </c>
      <c r="KV236">
        <v>0</v>
      </c>
      <c r="KX236">
        <v>0</v>
      </c>
      <c r="KZ236">
        <v>0</v>
      </c>
      <c r="LF236">
        <v>0</v>
      </c>
      <c r="LH236">
        <v>0</v>
      </c>
      <c r="LI236">
        <v>0</v>
      </c>
    </row>
    <row r="237" spans="1:321" x14ac:dyDescent="0.35">
      <c r="A237">
        <v>1</v>
      </c>
      <c r="B237">
        <v>12463</v>
      </c>
      <c r="C237" t="s">
        <v>1457</v>
      </c>
      <c r="D237" t="s">
        <v>1139</v>
      </c>
      <c r="E237" t="s">
        <v>85</v>
      </c>
      <c r="F237">
        <v>80</v>
      </c>
      <c r="G237">
        <v>9000</v>
      </c>
      <c r="H237">
        <v>0</v>
      </c>
      <c r="I237" t="s">
        <v>1050</v>
      </c>
      <c r="L237">
        <v>0</v>
      </c>
      <c r="M237">
        <v>0</v>
      </c>
      <c r="N237">
        <v>0</v>
      </c>
      <c r="R237">
        <v>0</v>
      </c>
      <c r="S237">
        <v>0</v>
      </c>
      <c r="W237" t="s">
        <v>1060</v>
      </c>
      <c r="X237">
        <v>0</v>
      </c>
      <c r="Z237">
        <v>1</v>
      </c>
      <c r="AA237">
        <v>0</v>
      </c>
      <c r="AB237">
        <v>0</v>
      </c>
      <c r="AC237">
        <v>0</v>
      </c>
      <c r="AD237" s="20">
        <v>40792</v>
      </c>
      <c r="AE237">
        <v>3.6</v>
      </c>
      <c r="AF237">
        <v>0</v>
      </c>
      <c r="AH237">
        <v>0</v>
      </c>
      <c r="AJ237">
        <v>0</v>
      </c>
      <c r="AL237">
        <v>0</v>
      </c>
      <c r="AM237">
        <v>0</v>
      </c>
      <c r="AN237">
        <v>16601001</v>
      </c>
      <c r="AO237">
        <v>0</v>
      </c>
      <c r="AP237">
        <v>1000</v>
      </c>
      <c r="AT237">
        <v>0</v>
      </c>
      <c r="AU237" t="s">
        <v>1059</v>
      </c>
      <c r="AW237" t="s">
        <v>1053</v>
      </c>
      <c r="AX237">
        <v>0</v>
      </c>
      <c r="AY237" s="20">
        <v>40792</v>
      </c>
      <c r="BA237" s="20">
        <v>40792</v>
      </c>
      <c r="BB237" t="s">
        <v>1058</v>
      </c>
      <c r="BD237">
        <v>0</v>
      </c>
      <c r="BF237" t="s">
        <v>1043</v>
      </c>
      <c r="BG237" t="s">
        <v>1042</v>
      </c>
      <c r="BH237">
        <v>0</v>
      </c>
      <c r="BI237">
        <v>1</v>
      </c>
      <c r="BJ237">
        <v>0</v>
      </c>
      <c r="BK237">
        <v>0</v>
      </c>
      <c r="BM237" t="s">
        <v>1042</v>
      </c>
      <c r="BN237">
        <v>0</v>
      </c>
      <c r="BR237" t="s">
        <v>1043</v>
      </c>
      <c r="BS237" t="s">
        <v>1043</v>
      </c>
      <c r="BT237" t="s">
        <v>1043</v>
      </c>
      <c r="BW237">
        <v>83</v>
      </c>
      <c r="CA237">
        <v>0</v>
      </c>
      <c r="CB237" t="s">
        <v>1057</v>
      </c>
      <c r="CE237" t="s">
        <v>1043</v>
      </c>
      <c r="CH237" t="s">
        <v>1043</v>
      </c>
      <c r="CN237" t="s">
        <v>1056</v>
      </c>
      <c r="CO237" t="s">
        <v>1043</v>
      </c>
      <c r="CP237">
        <v>1</v>
      </c>
      <c r="CQ237">
        <v>0</v>
      </c>
      <c r="CS237">
        <v>0</v>
      </c>
      <c r="CT237">
        <v>0</v>
      </c>
      <c r="CU237">
        <v>0</v>
      </c>
      <c r="CV237" t="s">
        <v>1045</v>
      </c>
      <c r="CW237">
        <v>0</v>
      </c>
      <c r="CX237">
        <v>0</v>
      </c>
      <c r="CY237">
        <v>0</v>
      </c>
      <c r="CZ237">
        <v>0</v>
      </c>
      <c r="DB237">
        <v>0</v>
      </c>
      <c r="DC237" t="s">
        <v>1043</v>
      </c>
      <c r="DF237" t="s">
        <v>1055</v>
      </c>
      <c r="DH237">
        <v>0</v>
      </c>
      <c r="DJ237">
        <v>0</v>
      </c>
      <c r="DK237" t="s">
        <v>1053</v>
      </c>
      <c r="DL237">
        <v>0</v>
      </c>
      <c r="DN237">
        <v>0</v>
      </c>
      <c r="DO237" t="s">
        <v>1042</v>
      </c>
      <c r="DP237">
        <v>0</v>
      </c>
      <c r="DQ237">
        <v>0</v>
      </c>
      <c r="DS237">
        <v>0</v>
      </c>
      <c r="DU237">
        <v>0</v>
      </c>
      <c r="DW237">
        <v>0</v>
      </c>
      <c r="DX237" t="s">
        <v>1043</v>
      </c>
      <c r="DY237">
        <v>0</v>
      </c>
      <c r="DZ237">
        <v>0</v>
      </c>
      <c r="EA237">
        <v>0</v>
      </c>
      <c r="ED237" t="s">
        <v>1045</v>
      </c>
      <c r="EE237">
        <v>0</v>
      </c>
      <c r="EF237">
        <v>0</v>
      </c>
      <c r="EQ237" t="s">
        <v>1044</v>
      </c>
      <c r="ES237" t="s">
        <v>1053</v>
      </c>
      <c r="ET237">
        <v>0</v>
      </c>
      <c r="EV237">
        <v>0</v>
      </c>
      <c r="EY237" t="s">
        <v>1052</v>
      </c>
      <c r="EZ237">
        <v>0</v>
      </c>
      <c r="FA237" t="s">
        <v>1043</v>
      </c>
      <c r="FB237">
        <v>0</v>
      </c>
      <c r="FC237">
        <v>0</v>
      </c>
      <c r="FE237" t="s">
        <v>1050</v>
      </c>
      <c r="FF237">
        <v>0</v>
      </c>
      <c r="FG237" t="s">
        <v>1050</v>
      </c>
      <c r="FJ237">
        <v>0</v>
      </c>
      <c r="FK237">
        <v>0</v>
      </c>
      <c r="FP237">
        <v>0</v>
      </c>
      <c r="FR237">
        <v>0</v>
      </c>
      <c r="FS237" t="s">
        <v>1043</v>
      </c>
      <c r="FX237" t="s">
        <v>1042</v>
      </c>
      <c r="FZ237" t="s">
        <v>1048</v>
      </c>
      <c r="GA237">
        <v>0</v>
      </c>
      <c r="GB237" t="s">
        <v>1042</v>
      </c>
      <c r="GE237">
        <v>0</v>
      </c>
      <c r="GG237">
        <v>0</v>
      </c>
      <c r="GN237">
        <v>0</v>
      </c>
      <c r="GO237" t="s">
        <v>1063</v>
      </c>
      <c r="GQ237">
        <v>0</v>
      </c>
      <c r="GU237">
        <v>0</v>
      </c>
      <c r="GY237" t="s">
        <v>1045</v>
      </c>
      <c r="HB237">
        <v>0</v>
      </c>
      <c r="HE237">
        <v>0</v>
      </c>
      <c r="HF237">
        <v>0</v>
      </c>
      <c r="HG237">
        <v>0</v>
      </c>
      <c r="HK237" t="s">
        <v>1042</v>
      </c>
      <c r="HM237" t="s">
        <v>1047</v>
      </c>
      <c r="HN237">
        <v>0</v>
      </c>
      <c r="HP237">
        <v>0</v>
      </c>
      <c r="HQ237">
        <v>0</v>
      </c>
      <c r="HR237" t="s">
        <v>1042</v>
      </c>
      <c r="HS237" t="s">
        <v>1043</v>
      </c>
      <c r="HT237">
        <v>0</v>
      </c>
      <c r="HU237">
        <v>0</v>
      </c>
      <c r="HW237">
        <v>0</v>
      </c>
      <c r="HX237">
        <v>0</v>
      </c>
      <c r="HY237">
        <v>0</v>
      </c>
      <c r="HZ237" t="s">
        <v>1045</v>
      </c>
      <c r="IA237">
        <v>0</v>
      </c>
      <c r="IB237" t="s">
        <v>1045</v>
      </c>
      <c r="ID237" t="s">
        <v>1045</v>
      </c>
      <c r="IF237">
        <v>0</v>
      </c>
      <c r="IG237" t="s">
        <v>1042</v>
      </c>
      <c r="II237" t="s">
        <v>1042</v>
      </c>
      <c r="IR237" t="s">
        <v>1045</v>
      </c>
      <c r="IT237">
        <v>0</v>
      </c>
      <c r="IY237" t="s">
        <v>1044</v>
      </c>
      <c r="IZ237" t="s">
        <v>1043</v>
      </c>
      <c r="JC237" t="s">
        <v>1043</v>
      </c>
      <c r="JE237">
        <v>0</v>
      </c>
      <c r="JF237">
        <v>0</v>
      </c>
      <c r="JI237" t="s">
        <v>1042</v>
      </c>
      <c r="JJ237">
        <v>0</v>
      </c>
      <c r="JK237">
        <v>0</v>
      </c>
      <c r="JL237">
        <v>0</v>
      </c>
      <c r="JM237">
        <v>0</v>
      </c>
      <c r="JQ237" t="s">
        <v>1043</v>
      </c>
      <c r="JT237">
        <v>0</v>
      </c>
      <c r="JU237" t="s">
        <v>1042</v>
      </c>
      <c r="JW237">
        <v>0</v>
      </c>
      <c r="KA237">
        <v>0</v>
      </c>
      <c r="KF237">
        <v>0</v>
      </c>
      <c r="KG237">
        <v>0</v>
      </c>
      <c r="KH237">
        <v>0</v>
      </c>
      <c r="KI237">
        <v>0</v>
      </c>
      <c r="KS237" t="s">
        <v>1073</v>
      </c>
      <c r="KT237">
        <v>0</v>
      </c>
      <c r="KU237">
        <v>0</v>
      </c>
      <c r="KV237">
        <v>0</v>
      </c>
      <c r="KX237">
        <v>0</v>
      </c>
      <c r="KZ237">
        <v>0</v>
      </c>
      <c r="LF237">
        <v>0</v>
      </c>
      <c r="LH237">
        <v>0</v>
      </c>
      <c r="LI237">
        <v>0</v>
      </c>
    </row>
    <row r="238" spans="1:321" x14ac:dyDescent="0.35">
      <c r="A238">
        <v>1</v>
      </c>
      <c r="B238">
        <v>12464</v>
      </c>
      <c r="C238" t="s">
        <v>1456</v>
      </c>
      <c r="D238" t="s">
        <v>1139</v>
      </c>
      <c r="E238" t="s">
        <v>85</v>
      </c>
      <c r="F238">
        <v>80</v>
      </c>
      <c r="G238">
        <v>9000</v>
      </c>
      <c r="H238">
        <v>0</v>
      </c>
      <c r="I238" t="s">
        <v>1050</v>
      </c>
      <c r="L238">
        <v>0</v>
      </c>
      <c r="M238">
        <v>0</v>
      </c>
      <c r="N238">
        <v>0</v>
      </c>
      <c r="R238">
        <v>0</v>
      </c>
      <c r="S238">
        <v>0</v>
      </c>
      <c r="W238" t="s">
        <v>1060</v>
      </c>
      <c r="X238">
        <v>0</v>
      </c>
      <c r="Z238">
        <v>1</v>
      </c>
      <c r="AA238">
        <v>0</v>
      </c>
      <c r="AB238">
        <v>0</v>
      </c>
      <c r="AC238">
        <v>0</v>
      </c>
      <c r="AD238" s="20">
        <v>40792</v>
      </c>
      <c r="AE238">
        <v>3.6</v>
      </c>
      <c r="AF238">
        <v>0</v>
      </c>
      <c r="AH238">
        <v>0</v>
      </c>
      <c r="AJ238">
        <v>0</v>
      </c>
      <c r="AL238">
        <v>0</v>
      </c>
      <c r="AM238">
        <v>0</v>
      </c>
      <c r="AN238">
        <v>16601001</v>
      </c>
      <c r="AO238">
        <v>0</v>
      </c>
      <c r="AP238">
        <v>1000</v>
      </c>
      <c r="AT238">
        <v>0</v>
      </c>
      <c r="AU238" t="s">
        <v>1059</v>
      </c>
      <c r="AW238" t="s">
        <v>1053</v>
      </c>
      <c r="AX238">
        <v>0</v>
      </c>
      <c r="AY238" s="20">
        <v>40792</v>
      </c>
      <c r="BA238" s="20">
        <v>40792</v>
      </c>
      <c r="BB238" t="s">
        <v>1058</v>
      </c>
      <c r="BD238">
        <v>0</v>
      </c>
      <c r="BF238" t="s">
        <v>1043</v>
      </c>
      <c r="BG238" t="s">
        <v>1042</v>
      </c>
      <c r="BH238">
        <v>0</v>
      </c>
      <c r="BI238">
        <v>1</v>
      </c>
      <c r="BJ238">
        <v>0</v>
      </c>
      <c r="BK238">
        <v>0</v>
      </c>
      <c r="BM238" t="s">
        <v>1042</v>
      </c>
      <c r="BN238">
        <v>0</v>
      </c>
      <c r="BR238" t="s">
        <v>1043</v>
      </c>
      <c r="BS238" t="s">
        <v>1043</v>
      </c>
      <c r="BT238" t="s">
        <v>1043</v>
      </c>
      <c r="BW238">
        <v>83</v>
      </c>
      <c r="CA238">
        <v>0</v>
      </c>
      <c r="CB238" t="s">
        <v>1057</v>
      </c>
      <c r="CE238" t="s">
        <v>1043</v>
      </c>
      <c r="CH238" t="s">
        <v>1043</v>
      </c>
      <c r="CN238" t="s">
        <v>1056</v>
      </c>
      <c r="CO238" t="s">
        <v>1043</v>
      </c>
      <c r="CP238">
        <v>1</v>
      </c>
      <c r="CQ238">
        <v>0</v>
      </c>
      <c r="CS238">
        <v>0</v>
      </c>
      <c r="CT238">
        <v>0</v>
      </c>
      <c r="CU238">
        <v>0</v>
      </c>
      <c r="CV238" t="s">
        <v>1045</v>
      </c>
      <c r="CW238">
        <v>0</v>
      </c>
      <c r="CX238">
        <v>0</v>
      </c>
      <c r="CY238">
        <v>0</v>
      </c>
      <c r="CZ238">
        <v>0</v>
      </c>
      <c r="DB238">
        <v>0</v>
      </c>
      <c r="DC238" t="s">
        <v>1043</v>
      </c>
      <c r="DF238" t="s">
        <v>1055</v>
      </c>
      <c r="DH238">
        <v>0</v>
      </c>
      <c r="DJ238">
        <v>0</v>
      </c>
      <c r="DK238" t="s">
        <v>1053</v>
      </c>
      <c r="DL238">
        <v>0</v>
      </c>
      <c r="DN238">
        <v>0</v>
      </c>
      <c r="DO238" t="s">
        <v>1042</v>
      </c>
      <c r="DP238">
        <v>0</v>
      </c>
      <c r="DQ238">
        <v>0</v>
      </c>
      <c r="DS238">
        <v>0</v>
      </c>
      <c r="DU238">
        <v>0</v>
      </c>
      <c r="DW238">
        <v>0</v>
      </c>
      <c r="DX238" t="s">
        <v>1043</v>
      </c>
      <c r="DY238">
        <v>0</v>
      </c>
      <c r="DZ238">
        <v>0</v>
      </c>
      <c r="EA238">
        <v>0</v>
      </c>
      <c r="ED238" t="s">
        <v>1045</v>
      </c>
      <c r="EE238">
        <v>0</v>
      </c>
      <c r="EF238">
        <v>0</v>
      </c>
      <c r="EQ238" t="s">
        <v>1044</v>
      </c>
      <c r="ES238" t="s">
        <v>1053</v>
      </c>
      <c r="ET238">
        <v>0</v>
      </c>
      <c r="EV238">
        <v>0</v>
      </c>
      <c r="EY238" t="s">
        <v>1052</v>
      </c>
      <c r="EZ238">
        <v>0</v>
      </c>
      <c r="FA238" t="s">
        <v>1043</v>
      </c>
      <c r="FB238">
        <v>0</v>
      </c>
      <c r="FC238">
        <v>0</v>
      </c>
      <c r="FE238" t="s">
        <v>1050</v>
      </c>
      <c r="FF238">
        <v>0</v>
      </c>
      <c r="FG238" t="s">
        <v>1050</v>
      </c>
      <c r="FJ238">
        <v>0</v>
      </c>
      <c r="FK238">
        <v>0</v>
      </c>
      <c r="FP238">
        <v>0</v>
      </c>
      <c r="FR238">
        <v>0</v>
      </c>
      <c r="FS238" t="s">
        <v>1043</v>
      </c>
      <c r="FX238" t="s">
        <v>1042</v>
      </c>
      <c r="FZ238" t="s">
        <v>1048</v>
      </c>
      <c r="GA238">
        <v>0</v>
      </c>
      <c r="GB238" t="s">
        <v>1042</v>
      </c>
      <c r="GE238">
        <v>0</v>
      </c>
      <c r="GG238">
        <v>0</v>
      </c>
      <c r="GN238">
        <v>0</v>
      </c>
      <c r="GO238" t="s">
        <v>1063</v>
      </c>
      <c r="GQ238">
        <v>0</v>
      </c>
      <c r="GU238">
        <v>0</v>
      </c>
      <c r="GY238" t="s">
        <v>1045</v>
      </c>
      <c r="HB238">
        <v>0</v>
      </c>
      <c r="HE238">
        <v>0</v>
      </c>
      <c r="HF238">
        <v>0</v>
      </c>
      <c r="HG238">
        <v>0</v>
      </c>
      <c r="HK238" t="s">
        <v>1042</v>
      </c>
      <c r="HM238" t="s">
        <v>1047</v>
      </c>
      <c r="HN238">
        <v>0</v>
      </c>
      <c r="HP238">
        <v>0</v>
      </c>
      <c r="HQ238">
        <v>0</v>
      </c>
      <c r="HR238" t="s">
        <v>1042</v>
      </c>
      <c r="HS238" t="s">
        <v>1043</v>
      </c>
      <c r="HT238">
        <v>0</v>
      </c>
      <c r="HU238">
        <v>0</v>
      </c>
      <c r="HW238">
        <v>0</v>
      </c>
      <c r="HX238">
        <v>0</v>
      </c>
      <c r="HY238">
        <v>0</v>
      </c>
      <c r="HZ238" t="s">
        <v>1045</v>
      </c>
      <c r="IA238">
        <v>0</v>
      </c>
      <c r="IB238" t="s">
        <v>1045</v>
      </c>
      <c r="ID238" t="s">
        <v>1045</v>
      </c>
      <c r="IF238">
        <v>0</v>
      </c>
      <c r="IG238" t="s">
        <v>1042</v>
      </c>
      <c r="II238" t="s">
        <v>1042</v>
      </c>
      <c r="IR238" t="s">
        <v>1045</v>
      </c>
      <c r="IT238">
        <v>0</v>
      </c>
      <c r="IY238" t="s">
        <v>1044</v>
      </c>
      <c r="IZ238" t="s">
        <v>1043</v>
      </c>
      <c r="JC238" t="s">
        <v>1043</v>
      </c>
      <c r="JE238">
        <v>0</v>
      </c>
      <c r="JF238">
        <v>0</v>
      </c>
      <c r="JI238" t="s">
        <v>1042</v>
      </c>
      <c r="JJ238">
        <v>0</v>
      </c>
      <c r="JK238">
        <v>0</v>
      </c>
      <c r="JL238">
        <v>0</v>
      </c>
      <c r="JM238">
        <v>0</v>
      </c>
      <c r="JQ238" t="s">
        <v>1043</v>
      </c>
      <c r="JT238">
        <v>0</v>
      </c>
      <c r="JU238" t="s">
        <v>1042</v>
      </c>
      <c r="JW238">
        <v>0</v>
      </c>
      <c r="KA238">
        <v>0</v>
      </c>
      <c r="KF238">
        <v>0</v>
      </c>
      <c r="KG238">
        <v>0</v>
      </c>
      <c r="KH238">
        <v>0</v>
      </c>
      <c r="KI238">
        <v>0</v>
      </c>
      <c r="KS238" t="s">
        <v>1073</v>
      </c>
      <c r="KT238">
        <v>0</v>
      </c>
      <c r="KU238">
        <v>0</v>
      </c>
      <c r="KV238">
        <v>0</v>
      </c>
      <c r="KX238">
        <v>0</v>
      </c>
      <c r="KZ238">
        <v>0</v>
      </c>
      <c r="LF238">
        <v>0</v>
      </c>
      <c r="LH238">
        <v>0</v>
      </c>
      <c r="LI238">
        <v>0</v>
      </c>
    </row>
    <row r="239" spans="1:321" x14ac:dyDescent="0.35">
      <c r="A239">
        <v>1</v>
      </c>
      <c r="B239">
        <v>12465</v>
      </c>
      <c r="C239" t="s">
        <v>1455</v>
      </c>
      <c r="D239" t="s">
        <v>1139</v>
      </c>
      <c r="E239" t="s">
        <v>85</v>
      </c>
      <c r="F239">
        <v>80</v>
      </c>
      <c r="G239">
        <v>9000</v>
      </c>
      <c r="H239">
        <v>0</v>
      </c>
      <c r="I239" t="s">
        <v>1050</v>
      </c>
      <c r="L239">
        <v>0</v>
      </c>
      <c r="M239">
        <v>0</v>
      </c>
      <c r="N239">
        <v>0</v>
      </c>
      <c r="R239">
        <v>0</v>
      </c>
      <c r="S239">
        <v>0</v>
      </c>
      <c r="W239" t="s">
        <v>1060</v>
      </c>
      <c r="X239">
        <v>0</v>
      </c>
      <c r="Z239">
        <v>1</v>
      </c>
      <c r="AA239">
        <v>0</v>
      </c>
      <c r="AB239">
        <v>0</v>
      </c>
      <c r="AC239">
        <v>0</v>
      </c>
      <c r="AD239" s="20">
        <v>40792</v>
      </c>
      <c r="AE239">
        <v>3.6</v>
      </c>
      <c r="AF239">
        <v>0</v>
      </c>
      <c r="AH239">
        <v>0</v>
      </c>
      <c r="AJ239">
        <v>0</v>
      </c>
      <c r="AL239">
        <v>0</v>
      </c>
      <c r="AM239">
        <v>0</v>
      </c>
      <c r="AN239">
        <v>16601001</v>
      </c>
      <c r="AO239">
        <v>0</v>
      </c>
      <c r="AP239">
        <v>1000</v>
      </c>
      <c r="AT239">
        <v>0</v>
      </c>
      <c r="AU239" t="s">
        <v>1059</v>
      </c>
      <c r="AW239" t="s">
        <v>1053</v>
      </c>
      <c r="AX239">
        <v>0</v>
      </c>
      <c r="AY239" s="20">
        <v>40792</v>
      </c>
      <c r="BA239" s="20">
        <v>40792</v>
      </c>
      <c r="BB239" t="s">
        <v>1058</v>
      </c>
      <c r="BD239">
        <v>0</v>
      </c>
      <c r="BF239" t="s">
        <v>1043</v>
      </c>
      <c r="BG239" t="s">
        <v>1042</v>
      </c>
      <c r="BH239">
        <v>0</v>
      </c>
      <c r="BI239">
        <v>1</v>
      </c>
      <c r="BJ239">
        <v>0</v>
      </c>
      <c r="BK239">
        <v>0</v>
      </c>
      <c r="BM239" t="s">
        <v>1042</v>
      </c>
      <c r="BN239">
        <v>0</v>
      </c>
      <c r="BR239" t="s">
        <v>1043</v>
      </c>
      <c r="BS239" t="s">
        <v>1043</v>
      </c>
      <c r="BT239" t="s">
        <v>1043</v>
      </c>
      <c r="BW239">
        <v>83</v>
      </c>
      <c r="CA239">
        <v>0</v>
      </c>
      <c r="CB239" t="s">
        <v>1057</v>
      </c>
      <c r="CE239" t="s">
        <v>1043</v>
      </c>
      <c r="CH239" t="s">
        <v>1043</v>
      </c>
      <c r="CN239" t="s">
        <v>1056</v>
      </c>
      <c r="CO239" t="s">
        <v>1043</v>
      </c>
      <c r="CP239">
        <v>1</v>
      </c>
      <c r="CQ239">
        <v>0</v>
      </c>
      <c r="CS239">
        <v>0</v>
      </c>
      <c r="CT239">
        <v>0</v>
      </c>
      <c r="CU239">
        <v>0</v>
      </c>
      <c r="CV239" t="s">
        <v>1045</v>
      </c>
      <c r="CW239">
        <v>0</v>
      </c>
      <c r="CX239">
        <v>0</v>
      </c>
      <c r="CY239">
        <v>0</v>
      </c>
      <c r="CZ239">
        <v>0</v>
      </c>
      <c r="DB239">
        <v>0</v>
      </c>
      <c r="DC239" t="s">
        <v>1043</v>
      </c>
      <c r="DF239" t="s">
        <v>1055</v>
      </c>
      <c r="DH239">
        <v>0</v>
      </c>
      <c r="DJ239">
        <v>0</v>
      </c>
      <c r="DK239" t="s">
        <v>1053</v>
      </c>
      <c r="DL239">
        <v>0</v>
      </c>
      <c r="DN239">
        <v>0</v>
      </c>
      <c r="DO239" t="s">
        <v>1042</v>
      </c>
      <c r="DP239">
        <v>0</v>
      </c>
      <c r="DQ239">
        <v>0</v>
      </c>
      <c r="DS239">
        <v>0</v>
      </c>
      <c r="DU239">
        <v>0</v>
      </c>
      <c r="DW239">
        <v>0</v>
      </c>
      <c r="DX239" t="s">
        <v>1043</v>
      </c>
      <c r="DY239">
        <v>0</v>
      </c>
      <c r="DZ239">
        <v>0</v>
      </c>
      <c r="EA239">
        <v>0</v>
      </c>
      <c r="ED239" t="s">
        <v>1045</v>
      </c>
      <c r="EE239">
        <v>0</v>
      </c>
      <c r="EF239">
        <v>0</v>
      </c>
      <c r="EQ239" t="s">
        <v>1044</v>
      </c>
      <c r="ES239" t="s">
        <v>1053</v>
      </c>
      <c r="ET239">
        <v>0</v>
      </c>
      <c r="EV239">
        <v>0</v>
      </c>
      <c r="EY239" t="s">
        <v>1052</v>
      </c>
      <c r="EZ239">
        <v>0</v>
      </c>
      <c r="FA239" t="s">
        <v>1043</v>
      </c>
      <c r="FB239">
        <v>0</v>
      </c>
      <c r="FC239">
        <v>0</v>
      </c>
      <c r="FE239" t="s">
        <v>1050</v>
      </c>
      <c r="FF239">
        <v>0</v>
      </c>
      <c r="FG239" t="s">
        <v>1050</v>
      </c>
      <c r="FJ239">
        <v>0</v>
      </c>
      <c r="FK239">
        <v>0</v>
      </c>
      <c r="FP239">
        <v>0</v>
      </c>
      <c r="FR239">
        <v>0</v>
      </c>
      <c r="FS239" t="s">
        <v>1043</v>
      </c>
      <c r="FX239" t="s">
        <v>1042</v>
      </c>
      <c r="FZ239" t="s">
        <v>1048</v>
      </c>
      <c r="GA239">
        <v>0</v>
      </c>
      <c r="GB239" t="s">
        <v>1042</v>
      </c>
      <c r="GE239">
        <v>0</v>
      </c>
      <c r="GG239">
        <v>0</v>
      </c>
      <c r="GN239">
        <v>0</v>
      </c>
      <c r="GO239" t="s">
        <v>1063</v>
      </c>
      <c r="GQ239">
        <v>0</v>
      </c>
      <c r="GU239">
        <v>0</v>
      </c>
      <c r="GY239" t="s">
        <v>1045</v>
      </c>
      <c r="HB239">
        <v>0</v>
      </c>
      <c r="HE239">
        <v>0</v>
      </c>
      <c r="HF239">
        <v>0</v>
      </c>
      <c r="HG239">
        <v>0</v>
      </c>
      <c r="HK239" t="s">
        <v>1042</v>
      </c>
      <c r="HM239" t="s">
        <v>1047</v>
      </c>
      <c r="HN239">
        <v>0</v>
      </c>
      <c r="HP239">
        <v>0</v>
      </c>
      <c r="HQ239">
        <v>0</v>
      </c>
      <c r="HR239" t="s">
        <v>1042</v>
      </c>
      <c r="HS239" t="s">
        <v>1043</v>
      </c>
      <c r="HT239">
        <v>0</v>
      </c>
      <c r="HU239">
        <v>0</v>
      </c>
      <c r="HW239">
        <v>0</v>
      </c>
      <c r="HX239">
        <v>0</v>
      </c>
      <c r="HY239">
        <v>0</v>
      </c>
      <c r="HZ239" t="s">
        <v>1045</v>
      </c>
      <c r="IA239">
        <v>0</v>
      </c>
      <c r="IB239" t="s">
        <v>1045</v>
      </c>
      <c r="ID239" t="s">
        <v>1045</v>
      </c>
      <c r="IF239">
        <v>0</v>
      </c>
      <c r="IG239" t="s">
        <v>1042</v>
      </c>
      <c r="II239" t="s">
        <v>1042</v>
      </c>
      <c r="IR239" t="s">
        <v>1045</v>
      </c>
      <c r="IT239">
        <v>0</v>
      </c>
      <c r="IY239" t="s">
        <v>1044</v>
      </c>
      <c r="IZ239" t="s">
        <v>1043</v>
      </c>
      <c r="JC239" t="s">
        <v>1043</v>
      </c>
      <c r="JE239">
        <v>0</v>
      </c>
      <c r="JF239">
        <v>0</v>
      </c>
      <c r="JI239" t="s">
        <v>1042</v>
      </c>
      <c r="JJ239">
        <v>0</v>
      </c>
      <c r="JK239">
        <v>0</v>
      </c>
      <c r="JL239">
        <v>0</v>
      </c>
      <c r="JM239">
        <v>0</v>
      </c>
      <c r="JQ239" t="s">
        <v>1043</v>
      </c>
      <c r="JT239">
        <v>0</v>
      </c>
      <c r="JU239" t="s">
        <v>1042</v>
      </c>
      <c r="JW239">
        <v>0</v>
      </c>
      <c r="KA239">
        <v>0</v>
      </c>
      <c r="KF239">
        <v>0</v>
      </c>
      <c r="KG239">
        <v>0</v>
      </c>
      <c r="KH239">
        <v>0</v>
      </c>
      <c r="KI239">
        <v>0</v>
      </c>
      <c r="KS239" t="s">
        <v>1073</v>
      </c>
      <c r="KT239">
        <v>0</v>
      </c>
      <c r="KU239">
        <v>0</v>
      </c>
      <c r="KV239">
        <v>0</v>
      </c>
      <c r="KX239">
        <v>0</v>
      </c>
      <c r="KZ239">
        <v>0</v>
      </c>
      <c r="LF239">
        <v>0</v>
      </c>
      <c r="LH239">
        <v>0</v>
      </c>
      <c r="LI239">
        <v>0</v>
      </c>
    </row>
    <row r="240" spans="1:321" x14ac:dyDescent="0.35">
      <c r="A240">
        <v>1</v>
      </c>
      <c r="B240">
        <v>12466</v>
      </c>
      <c r="C240" t="s">
        <v>1454</v>
      </c>
      <c r="D240" t="s">
        <v>1139</v>
      </c>
      <c r="E240" t="s">
        <v>85</v>
      </c>
      <c r="F240">
        <v>80</v>
      </c>
      <c r="G240">
        <v>9000</v>
      </c>
      <c r="H240">
        <v>0</v>
      </c>
      <c r="I240" t="s">
        <v>1050</v>
      </c>
      <c r="L240">
        <v>0</v>
      </c>
      <c r="M240">
        <v>0</v>
      </c>
      <c r="N240">
        <v>0</v>
      </c>
      <c r="R240">
        <v>0</v>
      </c>
      <c r="S240">
        <v>0</v>
      </c>
      <c r="W240" t="s">
        <v>1060</v>
      </c>
      <c r="X240">
        <v>0</v>
      </c>
      <c r="Z240">
        <v>1</v>
      </c>
      <c r="AA240">
        <v>0</v>
      </c>
      <c r="AB240">
        <v>0</v>
      </c>
      <c r="AC240">
        <v>0</v>
      </c>
      <c r="AD240" s="20">
        <v>40792</v>
      </c>
      <c r="AE240">
        <v>3.6</v>
      </c>
      <c r="AF240">
        <v>0</v>
      </c>
      <c r="AH240">
        <v>0</v>
      </c>
      <c r="AJ240">
        <v>0</v>
      </c>
      <c r="AL240">
        <v>0</v>
      </c>
      <c r="AM240">
        <v>0</v>
      </c>
      <c r="AN240">
        <v>16601001</v>
      </c>
      <c r="AO240">
        <v>0</v>
      </c>
      <c r="AP240">
        <v>1000</v>
      </c>
      <c r="AT240">
        <v>0</v>
      </c>
      <c r="AU240" t="s">
        <v>1059</v>
      </c>
      <c r="AW240" t="s">
        <v>1053</v>
      </c>
      <c r="AX240">
        <v>0</v>
      </c>
      <c r="AY240" s="20">
        <v>40792</v>
      </c>
      <c r="BA240" s="20">
        <v>40792</v>
      </c>
      <c r="BB240" t="s">
        <v>1058</v>
      </c>
      <c r="BD240">
        <v>0</v>
      </c>
      <c r="BF240" t="s">
        <v>1043</v>
      </c>
      <c r="BG240" t="s">
        <v>1042</v>
      </c>
      <c r="BH240">
        <v>0</v>
      </c>
      <c r="BI240">
        <v>1</v>
      </c>
      <c r="BJ240">
        <v>0</v>
      </c>
      <c r="BK240">
        <v>0</v>
      </c>
      <c r="BM240" t="s">
        <v>1042</v>
      </c>
      <c r="BN240">
        <v>0</v>
      </c>
      <c r="BR240" t="s">
        <v>1043</v>
      </c>
      <c r="BS240" t="s">
        <v>1043</v>
      </c>
      <c r="BT240" t="s">
        <v>1043</v>
      </c>
      <c r="BW240">
        <v>83</v>
      </c>
      <c r="CA240">
        <v>0</v>
      </c>
      <c r="CB240" t="s">
        <v>1057</v>
      </c>
      <c r="CE240" t="s">
        <v>1043</v>
      </c>
      <c r="CH240" t="s">
        <v>1043</v>
      </c>
      <c r="CN240" t="s">
        <v>1056</v>
      </c>
      <c r="CO240" t="s">
        <v>1043</v>
      </c>
      <c r="CP240">
        <v>1</v>
      </c>
      <c r="CQ240">
        <v>0</v>
      </c>
      <c r="CS240">
        <v>0</v>
      </c>
      <c r="CT240">
        <v>0</v>
      </c>
      <c r="CU240">
        <v>0</v>
      </c>
      <c r="CV240" t="s">
        <v>1045</v>
      </c>
      <c r="CW240">
        <v>0</v>
      </c>
      <c r="CX240">
        <v>0</v>
      </c>
      <c r="CY240">
        <v>0</v>
      </c>
      <c r="CZ240">
        <v>0</v>
      </c>
      <c r="DB240">
        <v>0</v>
      </c>
      <c r="DC240" t="s">
        <v>1043</v>
      </c>
      <c r="DF240" t="s">
        <v>1055</v>
      </c>
      <c r="DH240">
        <v>0</v>
      </c>
      <c r="DJ240">
        <v>0</v>
      </c>
      <c r="DK240" t="s">
        <v>1053</v>
      </c>
      <c r="DL240">
        <v>0</v>
      </c>
      <c r="DN240">
        <v>0</v>
      </c>
      <c r="DO240" t="s">
        <v>1042</v>
      </c>
      <c r="DP240">
        <v>0</v>
      </c>
      <c r="DQ240">
        <v>0</v>
      </c>
      <c r="DS240">
        <v>0</v>
      </c>
      <c r="DU240">
        <v>0</v>
      </c>
      <c r="DW240">
        <v>0</v>
      </c>
      <c r="DX240" t="s">
        <v>1043</v>
      </c>
      <c r="DY240">
        <v>0</v>
      </c>
      <c r="DZ240">
        <v>0</v>
      </c>
      <c r="EA240">
        <v>0</v>
      </c>
      <c r="ED240" t="s">
        <v>1045</v>
      </c>
      <c r="EE240">
        <v>0</v>
      </c>
      <c r="EF240">
        <v>0</v>
      </c>
      <c r="EQ240" t="s">
        <v>1044</v>
      </c>
      <c r="ES240" t="s">
        <v>1053</v>
      </c>
      <c r="ET240">
        <v>0</v>
      </c>
      <c r="EV240">
        <v>0</v>
      </c>
      <c r="EY240" t="s">
        <v>1052</v>
      </c>
      <c r="EZ240">
        <v>0</v>
      </c>
      <c r="FA240" t="s">
        <v>1043</v>
      </c>
      <c r="FB240">
        <v>0</v>
      </c>
      <c r="FC240">
        <v>0</v>
      </c>
      <c r="FE240" t="s">
        <v>1050</v>
      </c>
      <c r="FF240">
        <v>0</v>
      </c>
      <c r="FG240" t="s">
        <v>1050</v>
      </c>
      <c r="FJ240">
        <v>0</v>
      </c>
      <c r="FK240">
        <v>0</v>
      </c>
      <c r="FP240">
        <v>0</v>
      </c>
      <c r="FR240">
        <v>0</v>
      </c>
      <c r="FS240" t="s">
        <v>1043</v>
      </c>
      <c r="FX240" t="s">
        <v>1042</v>
      </c>
      <c r="FZ240" t="s">
        <v>1048</v>
      </c>
      <c r="GA240">
        <v>0</v>
      </c>
      <c r="GB240" t="s">
        <v>1042</v>
      </c>
      <c r="GE240">
        <v>0</v>
      </c>
      <c r="GG240">
        <v>0</v>
      </c>
      <c r="GN240">
        <v>0</v>
      </c>
      <c r="GO240" t="s">
        <v>1063</v>
      </c>
      <c r="GQ240">
        <v>0</v>
      </c>
      <c r="GU240">
        <v>0</v>
      </c>
      <c r="GY240" t="s">
        <v>1045</v>
      </c>
      <c r="HB240">
        <v>0</v>
      </c>
      <c r="HE240">
        <v>0</v>
      </c>
      <c r="HF240">
        <v>0</v>
      </c>
      <c r="HG240">
        <v>0</v>
      </c>
      <c r="HK240" t="s">
        <v>1042</v>
      </c>
      <c r="HM240" t="s">
        <v>1047</v>
      </c>
      <c r="HN240">
        <v>0</v>
      </c>
      <c r="HP240">
        <v>0</v>
      </c>
      <c r="HQ240">
        <v>0</v>
      </c>
      <c r="HR240" t="s">
        <v>1042</v>
      </c>
      <c r="HS240" t="s">
        <v>1043</v>
      </c>
      <c r="HT240">
        <v>0</v>
      </c>
      <c r="HU240">
        <v>0</v>
      </c>
      <c r="HW240">
        <v>0</v>
      </c>
      <c r="HX240">
        <v>0</v>
      </c>
      <c r="HY240">
        <v>0</v>
      </c>
      <c r="HZ240" t="s">
        <v>1045</v>
      </c>
      <c r="IA240">
        <v>0</v>
      </c>
      <c r="IB240" t="s">
        <v>1045</v>
      </c>
      <c r="ID240" t="s">
        <v>1045</v>
      </c>
      <c r="IF240">
        <v>0</v>
      </c>
      <c r="IG240" t="s">
        <v>1042</v>
      </c>
      <c r="II240" t="s">
        <v>1042</v>
      </c>
      <c r="IR240" t="s">
        <v>1045</v>
      </c>
      <c r="IT240">
        <v>0</v>
      </c>
      <c r="IY240" t="s">
        <v>1044</v>
      </c>
      <c r="IZ240" t="s">
        <v>1043</v>
      </c>
      <c r="JC240" t="s">
        <v>1043</v>
      </c>
      <c r="JE240">
        <v>0</v>
      </c>
      <c r="JF240">
        <v>0</v>
      </c>
      <c r="JI240" t="s">
        <v>1042</v>
      </c>
      <c r="JJ240">
        <v>0</v>
      </c>
      <c r="JK240">
        <v>0</v>
      </c>
      <c r="JL240">
        <v>0</v>
      </c>
      <c r="JM240">
        <v>0</v>
      </c>
      <c r="JQ240" t="s">
        <v>1043</v>
      </c>
      <c r="JT240">
        <v>0</v>
      </c>
      <c r="JU240" t="s">
        <v>1042</v>
      </c>
      <c r="JW240">
        <v>0</v>
      </c>
      <c r="KA240">
        <v>0</v>
      </c>
      <c r="KF240">
        <v>0</v>
      </c>
      <c r="KG240">
        <v>0</v>
      </c>
      <c r="KH240">
        <v>0</v>
      </c>
      <c r="KI240">
        <v>0</v>
      </c>
      <c r="KS240" t="s">
        <v>1073</v>
      </c>
      <c r="KT240">
        <v>0</v>
      </c>
      <c r="KU240">
        <v>0</v>
      </c>
      <c r="KV240">
        <v>0</v>
      </c>
      <c r="KX240">
        <v>0</v>
      </c>
      <c r="KZ240">
        <v>0</v>
      </c>
      <c r="LF240">
        <v>0</v>
      </c>
      <c r="LH240">
        <v>0</v>
      </c>
      <c r="LI240">
        <v>0</v>
      </c>
    </row>
    <row r="241" spans="1:321" x14ac:dyDescent="0.35">
      <c r="A241">
        <v>1</v>
      </c>
      <c r="B241">
        <v>12467</v>
      </c>
      <c r="C241" t="s">
        <v>1453</v>
      </c>
      <c r="D241" t="s">
        <v>1139</v>
      </c>
      <c r="E241" t="s">
        <v>85</v>
      </c>
      <c r="F241">
        <v>80</v>
      </c>
      <c r="G241">
        <v>9000</v>
      </c>
      <c r="H241">
        <v>0</v>
      </c>
      <c r="I241" t="s">
        <v>1050</v>
      </c>
      <c r="L241">
        <v>0</v>
      </c>
      <c r="M241">
        <v>0</v>
      </c>
      <c r="N241">
        <v>0</v>
      </c>
      <c r="R241">
        <v>0</v>
      </c>
      <c r="S241">
        <v>0</v>
      </c>
      <c r="W241" t="s">
        <v>1060</v>
      </c>
      <c r="X241">
        <v>0</v>
      </c>
      <c r="Z241">
        <v>1</v>
      </c>
      <c r="AA241">
        <v>0</v>
      </c>
      <c r="AB241">
        <v>0</v>
      </c>
      <c r="AC241">
        <v>0</v>
      </c>
      <c r="AD241" s="20">
        <v>40792</v>
      </c>
      <c r="AE241">
        <v>3.6</v>
      </c>
      <c r="AF241">
        <v>0</v>
      </c>
      <c r="AH241">
        <v>0</v>
      </c>
      <c r="AJ241">
        <v>0</v>
      </c>
      <c r="AL241">
        <v>0</v>
      </c>
      <c r="AM241">
        <v>0</v>
      </c>
      <c r="AN241">
        <v>16601001</v>
      </c>
      <c r="AO241">
        <v>0</v>
      </c>
      <c r="AP241">
        <v>1000</v>
      </c>
      <c r="AT241">
        <v>0</v>
      </c>
      <c r="AU241" t="s">
        <v>1059</v>
      </c>
      <c r="AW241" t="s">
        <v>1053</v>
      </c>
      <c r="AX241">
        <v>0</v>
      </c>
      <c r="AY241" s="20">
        <v>40792</v>
      </c>
      <c r="BA241" s="20">
        <v>40792</v>
      </c>
      <c r="BB241" t="s">
        <v>1058</v>
      </c>
      <c r="BD241">
        <v>0</v>
      </c>
      <c r="BF241" t="s">
        <v>1043</v>
      </c>
      <c r="BG241" t="s">
        <v>1042</v>
      </c>
      <c r="BH241">
        <v>0</v>
      </c>
      <c r="BI241">
        <v>1</v>
      </c>
      <c r="BJ241">
        <v>0</v>
      </c>
      <c r="BK241">
        <v>0</v>
      </c>
      <c r="BM241" t="s">
        <v>1042</v>
      </c>
      <c r="BN241">
        <v>0</v>
      </c>
      <c r="BR241" t="s">
        <v>1043</v>
      </c>
      <c r="BS241" t="s">
        <v>1043</v>
      </c>
      <c r="BT241" t="s">
        <v>1043</v>
      </c>
      <c r="BW241">
        <v>83</v>
      </c>
      <c r="CA241">
        <v>0</v>
      </c>
      <c r="CB241" t="s">
        <v>1057</v>
      </c>
      <c r="CE241" t="s">
        <v>1043</v>
      </c>
      <c r="CH241" t="s">
        <v>1043</v>
      </c>
      <c r="CN241" t="s">
        <v>1056</v>
      </c>
      <c r="CO241" t="s">
        <v>1043</v>
      </c>
      <c r="CP241">
        <v>1</v>
      </c>
      <c r="CQ241">
        <v>0</v>
      </c>
      <c r="CS241">
        <v>0</v>
      </c>
      <c r="CT241">
        <v>0</v>
      </c>
      <c r="CU241">
        <v>0</v>
      </c>
      <c r="CV241" t="s">
        <v>1045</v>
      </c>
      <c r="CW241">
        <v>0</v>
      </c>
      <c r="CX241">
        <v>0</v>
      </c>
      <c r="CY241">
        <v>0</v>
      </c>
      <c r="CZ241">
        <v>0</v>
      </c>
      <c r="DB241">
        <v>0</v>
      </c>
      <c r="DC241" t="s">
        <v>1043</v>
      </c>
      <c r="DF241" t="s">
        <v>1055</v>
      </c>
      <c r="DH241">
        <v>0</v>
      </c>
      <c r="DJ241">
        <v>0</v>
      </c>
      <c r="DK241" t="s">
        <v>1053</v>
      </c>
      <c r="DL241">
        <v>0</v>
      </c>
      <c r="DN241">
        <v>0</v>
      </c>
      <c r="DO241" t="s">
        <v>1042</v>
      </c>
      <c r="DP241">
        <v>0</v>
      </c>
      <c r="DQ241">
        <v>0</v>
      </c>
      <c r="DS241">
        <v>0</v>
      </c>
      <c r="DU241">
        <v>0</v>
      </c>
      <c r="DW241">
        <v>0</v>
      </c>
      <c r="DX241" t="s">
        <v>1043</v>
      </c>
      <c r="DY241">
        <v>0</v>
      </c>
      <c r="DZ241">
        <v>0</v>
      </c>
      <c r="EA241">
        <v>0</v>
      </c>
      <c r="ED241" t="s">
        <v>1045</v>
      </c>
      <c r="EE241">
        <v>0</v>
      </c>
      <c r="EF241">
        <v>0</v>
      </c>
      <c r="EQ241" t="s">
        <v>1044</v>
      </c>
      <c r="ES241" t="s">
        <v>1053</v>
      </c>
      <c r="ET241">
        <v>0</v>
      </c>
      <c r="EV241">
        <v>0</v>
      </c>
      <c r="EY241" t="s">
        <v>1052</v>
      </c>
      <c r="EZ241">
        <v>0</v>
      </c>
      <c r="FA241" t="s">
        <v>1043</v>
      </c>
      <c r="FB241">
        <v>0</v>
      </c>
      <c r="FC241">
        <v>0</v>
      </c>
      <c r="FE241" t="s">
        <v>1050</v>
      </c>
      <c r="FF241">
        <v>0</v>
      </c>
      <c r="FG241" t="s">
        <v>1050</v>
      </c>
      <c r="FJ241">
        <v>0</v>
      </c>
      <c r="FK241">
        <v>0</v>
      </c>
      <c r="FP241">
        <v>0</v>
      </c>
      <c r="FR241">
        <v>0</v>
      </c>
      <c r="FS241" t="s">
        <v>1043</v>
      </c>
      <c r="FX241" t="s">
        <v>1042</v>
      </c>
      <c r="FZ241" t="s">
        <v>1048</v>
      </c>
      <c r="GA241">
        <v>0</v>
      </c>
      <c r="GB241" t="s">
        <v>1042</v>
      </c>
      <c r="GE241">
        <v>0</v>
      </c>
      <c r="GG241">
        <v>0</v>
      </c>
      <c r="GN241">
        <v>0</v>
      </c>
      <c r="GO241" t="s">
        <v>1063</v>
      </c>
      <c r="GQ241">
        <v>0</v>
      </c>
      <c r="GU241">
        <v>0</v>
      </c>
      <c r="GY241" t="s">
        <v>1045</v>
      </c>
      <c r="HB241">
        <v>0</v>
      </c>
      <c r="HE241">
        <v>0</v>
      </c>
      <c r="HF241">
        <v>0</v>
      </c>
      <c r="HG241">
        <v>0</v>
      </c>
      <c r="HK241" t="s">
        <v>1042</v>
      </c>
      <c r="HM241" t="s">
        <v>1047</v>
      </c>
      <c r="HN241">
        <v>0</v>
      </c>
      <c r="HP241">
        <v>0</v>
      </c>
      <c r="HQ241">
        <v>0</v>
      </c>
      <c r="HR241" t="s">
        <v>1042</v>
      </c>
      <c r="HS241" t="s">
        <v>1043</v>
      </c>
      <c r="HT241">
        <v>0</v>
      </c>
      <c r="HU241">
        <v>0</v>
      </c>
      <c r="HW241">
        <v>0</v>
      </c>
      <c r="HX241">
        <v>0</v>
      </c>
      <c r="HY241">
        <v>0</v>
      </c>
      <c r="HZ241" t="s">
        <v>1045</v>
      </c>
      <c r="IA241">
        <v>0</v>
      </c>
      <c r="IB241" t="s">
        <v>1045</v>
      </c>
      <c r="ID241" t="s">
        <v>1045</v>
      </c>
      <c r="IF241">
        <v>0</v>
      </c>
      <c r="IG241" t="s">
        <v>1042</v>
      </c>
      <c r="II241" t="s">
        <v>1042</v>
      </c>
      <c r="IR241" t="s">
        <v>1045</v>
      </c>
      <c r="IT241">
        <v>0</v>
      </c>
      <c r="IY241" t="s">
        <v>1044</v>
      </c>
      <c r="IZ241" t="s">
        <v>1043</v>
      </c>
      <c r="JC241" t="s">
        <v>1043</v>
      </c>
      <c r="JE241">
        <v>0</v>
      </c>
      <c r="JF241">
        <v>0</v>
      </c>
      <c r="JI241" t="s">
        <v>1042</v>
      </c>
      <c r="JJ241">
        <v>0</v>
      </c>
      <c r="JK241">
        <v>0</v>
      </c>
      <c r="JL241">
        <v>0</v>
      </c>
      <c r="JM241">
        <v>0</v>
      </c>
      <c r="JQ241" t="s">
        <v>1043</v>
      </c>
      <c r="JT241">
        <v>0</v>
      </c>
      <c r="JU241" t="s">
        <v>1042</v>
      </c>
      <c r="JW241">
        <v>0</v>
      </c>
      <c r="KA241">
        <v>0</v>
      </c>
      <c r="KF241">
        <v>0</v>
      </c>
      <c r="KG241">
        <v>0</v>
      </c>
      <c r="KH241">
        <v>0</v>
      </c>
      <c r="KI241">
        <v>0</v>
      </c>
      <c r="KS241" t="s">
        <v>1073</v>
      </c>
      <c r="KT241">
        <v>0</v>
      </c>
      <c r="KU241">
        <v>0</v>
      </c>
      <c r="KV241">
        <v>0</v>
      </c>
      <c r="KX241">
        <v>0</v>
      </c>
      <c r="KZ241">
        <v>0</v>
      </c>
      <c r="LF241">
        <v>0</v>
      </c>
      <c r="LH241">
        <v>0</v>
      </c>
      <c r="LI241">
        <v>0</v>
      </c>
    </row>
    <row r="242" spans="1:321" x14ac:dyDescent="0.35">
      <c r="A242">
        <v>1</v>
      </c>
      <c r="B242">
        <v>12468</v>
      </c>
      <c r="C242" t="s">
        <v>1452</v>
      </c>
      <c r="D242" t="s">
        <v>1139</v>
      </c>
      <c r="E242" t="s">
        <v>85</v>
      </c>
      <c r="F242">
        <v>80</v>
      </c>
      <c r="G242">
        <v>9000</v>
      </c>
      <c r="H242">
        <v>0</v>
      </c>
      <c r="I242" t="s">
        <v>1050</v>
      </c>
      <c r="L242">
        <v>0</v>
      </c>
      <c r="M242">
        <v>0</v>
      </c>
      <c r="N242">
        <v>0</v>
      </c>
      <c r="R242">
        <v>0</v>
      </c>
      <c r="S242">
        <v>0</v>
      </c>
      <c r="W242" t="s">
        <v>1060</v>
      </c>
      <c r="X242">
        <v>0</v>
      </c>
      <c r="Z242">
        <v>1</v>
      </c>
      <c r="AA242">
        <v>0</v>
      </c>
      <c r="AB242">
        <v>0</v>
      </c>
      <c r="AC242">
        <v>0</v>
      </c>
      <c r="AD242" s="20">
        <v>40792</v>
      </c>
      <c r="AE242">
        <v>3.6</v>
      </c>
      <c r="AF242">
        <v>0</v>
      </c>
      <c r="AH242">
        <v>0</v>
      </c>
      <c r="AJ242">
        <v>0</v>
      </c>
      <c r="AL242">
        <v>0</v>
      </c>
      <c r="AM242">
        <v>0</v>
      </c>
      <c r="AN242">
        <v>16601001</v>
      </c>
      <c r="AO242">
        <v>0</v>
      </c>
      <c r="AP242">
        <v>1000</v>
      </c>
      <c r="AT242">
        <v>0</v>
      </c>
      <c r="AU242" t="s">
        <v>1059</v>
      </c>
      <c r="AW242" t="s">
        <v>1053</v>
      </c>
      <c r="AX242">
        <v>0</v>
      </c>
      <c r="AY242" s="20">
        <v>40792</v>
      </c>
      <c r="BA242" s="20">
        <v>40792</v>
      </c>
      <c r="BB242" t="s">
        <v>1058</v>
      </c>
      <c r="BD242">
        <v>0</v>
      </c>
      <c r="BF242" t="s">
        <v>1043</v>
      </c>
      <c r="BG242" t="s">
        <v>1042</v>
      </c>
      <c r="BH242">
        <v>0</v>
      </c>
      <c r="BI242">
        <v>1</v>
      </c>
      <c r="BJ242">
        <v>0</v>
      </c>
      <c r="BK242">
        <v>0</v>
      </c>
      <c r="BM242" t="s">
        <v>1042</v>
      </c>
      <c r="BN242">
        <v>0</v>
      </c>
      <c r="BR242" t="s">
        <v>1043</v>
      </c>
      <c r="BS242" t="s">
        <v>1043</v>
      </c>
      <c r="BT242" t="s">
        <v>1043</v>
      </c>
      <c r="BW242">
        <v>83</v>
      </c>
      <c r="CA242">
        <v>0</v>
      </c>
      <c r="CB242" t="s">
        <v>1057</v>
      </c>
      <c r="CE242" t="s">
        <v>1043</v>
      </c>
      <c r="CH242" t="s">
        <v>1043</v>
      </c>
      <c r="CN242" t="s">
        <v>1056</v>
      </c>
      <c r="CO242" t="s">
        <v>1043</v>
      </c>
      <c r="CP242">
        <v>1</v>
      </c>
      <c r="CQ242">
        <v>0</v>
      </c>
      <c r="CS242">
        <v>0</v>
      </c>
      <c r="CT242">
        <v>0</v>
      </c>
      <c r="CU242">
        <v>0</v>
      </c>
      <c r="CV242" t="s">
        <v>1045</v>
      </c>
      <c r="CW242">
        <v>0</v>
      </c>
      <c r="CX242">
        <v>0</v>
      </c>
      <c r="CY242">
        <v>0</v>
      </c>
      <c r="CZ242">
        <v>0</v>
      </c>
      <c r="DB242">
        <v>0</v>
      </c>
      <c r="DC242" t="s">
        <v>1043</v>
      </c>
      <c r="DF242" t="s">
        <v>1055</v>
      </c>
      <c r="DH242">
        <v>0</v>
      </c>
      <c r="DJ242">
        <v>0</v>
      </c>
      <c r="DK242" t="s">
        <v>1053</v>
      </c>
      <c r="DL242">
        <v>0</v>
      </c>
      <c r="DN242">
        <v>0</v>
      </c>
      <c r="DO242" t="s">
        <v>1042</v>
      </c>
      <c r="DP242">
        <v>0</v>
      </c>
      <c r="DQ242">
        <v>0</v>
      </c>
      <c r="DS242">
        <v>0</v>
      </c>
      <c r="DU242">
        <v>0</v>
      </c>
      <c r="DW242">
        <v>0</v>
      </c>
      <c r="DX242" t="s">
        <v>1043</v>
      </c>
      <c r="DY242">
        <v>0</v>
      </c>
      <c r="DZ242">
        <v>0</v>
      </c>
      <c r="EA242">
        <v>0</v>
      </c>
      <c r="ED242" t="s">
        <v>1045</v>
      </c>
      <c r="EE242">
        <v>0</v>
      </c>
      <c r="EF242">
        <v>0</v>
      </c>
      <c r="EQ242" t="s">
        <v>1044</v>
      </c>
      <c r="ES242" t="s">
        <v>1053</v>
      </c>
      <c r="ET242">
        <v>0</v>
      </c>
      <c r="EV242">
        <v>0</v>
      </c>
      <c r="EY242" t="s">
        <v>1052</v>
      </c>
      <c r="EZ242">
        <v>0</v>
      </c>
      <c r="FA242" t="s">
        <v>1043</v>
      </c>
      <c r="FB242">
        <v>0</v>
      </c>
      <c r="FC242">
        <v>0</v>
      </c>
      <c r="FE242" t="s">
        <v>1050</v>
      </c>
      <c r="FF242">
        <v>0</v>
      </c>
      <c r="FG242" t="s">
        <v>1050</v>
      </c>
      <c r="FJ242">
        <v>0</v>
      </c>
      <c r="FK242">
        <v>0</v>
      </c>
      <c r="FP242">
        <v>0</v>
      </c>
      <c r="FR242">
        <v>0</v>
      </c>
      <c r="FS242" t="s">
        <v>1043</v>
      </c>
      <c r="FX242" t="s">
        <v>1042</v>
      </c>
      <c r="FZ242" t="s">
        <v>1048</v>
      </c>
      <c r="GA242">
        <v>0</v>
      </c>
      <c r="GB242" t="s">
        <v>1042</v>
      </c>
      <c r="GE242">
        <v>0</v>
      </c>
      <c r="GG242">
        <v>0</v>
      </c>
      <c r="GN242">
        <v>0</v>
      </c>
      <c r="GO242" t="s">
        <v>1063</v>
      </c>
      <c r="GQ242">
        <v>0</v>
      </c>
      <c r="GU242">
        <v>0</v>
      </c>
      <c r="GY242" t="s">
        <v>1045</v>
      </c>
      <c r="HB242">
        <v>0</v>
      </c>
      <c r="HE242">
        <v>0</v>
      </c>
      <c r="HF242">
        <v>0</v>
      </c>
      <c r="HG242">
        <v>0</v>
      </c>
      <c r="HK242" t="s">
        <v>1042</v>
      </c>
      <c r="HM242" t="s">
        <v>1047</v>
      </c>
      <c r="HN242">
        <v>0</v>
      </c>
      <c r="HP242">
        <v>0</v>
      </c>
      <c r="HQ242">
        <v>0</v>
      </c>
      <c r="HR242" t="s">
        <v>1042</v>
      </c>
      <c r="HS242" t="s">
        <v>1043</v>
      </c>
      <c r="HT242">
        <v>0</v>
      </c>
      <c r="HU242">
        <v>0</v>
      </c>
      <c r="HW242">
        <v>0</v>
      </c>
      <c r="HX242">
        <v>0</v>
      </c>
      <c r="HY242">
        <v>0</v>
      </c>
      <c r="HZ242" t="s">
        <v>1045</v>
      </c>
      <c r="IA242">
        <v>0</v>
      </c>
      <c r="IB242" t="s">
        <v>1045</v>
      </c>
      <c r="ID242" t="s">
        <v>1045</v>
      </c>
      <c r="IF242">
        <v>0</v>
      </c>
      <c r="IG242" t="s">
        <v>1042</v>
      </c>
      <c r="II242" t="s">
        <v>1042</v>
      </c>
      <c r="IR242" t="s">
        <v>1045</v>
      </c>
      <c r="IT242">
        <v>0</v>
      </c>
      <c r="IY242" t="s">
        <v>1044</v>
      </c>
      <c r="IZ242" t="s">
        <v>1043</v>
      </c>
      <c r="JC242" t="s">
        <v>1043</v>
      </c>
      <c r="JE242">
        <v>0</v>
      </c>
      <c r="JF242">
        <v>0</v>
      </c>
      <c r="JI242" t="s">
        <v>1042</v>
      </c>
      <c r="JJ242">
        <v>0</v>
      </c>
      <c r="JK242">
        <v>0</v>
      </c>
      <c r="JL242">
        <v>0</v>
      </c>
      <c r="JM242">
        <v>0</v>
      </c>
      <c r="JQ242" t="s">
        <v>1043</v>
      </c>
      <c r="JT242">
        <v>0</v>
      </c>
      <c r="JU242" t="s">
        <v>1042</v>
      </c>
      <c r="JW242">
        <v>0</v>
      </c>
      <c r="KA242">
        <v>0</v>
      </c>
      <c r="KF242">
        <v>0</v>
      </c>
      <c r="KG242">
        <v>0</v>
      </c>
      <c r="KH242">
        <v>0</v>
      </c>
      <c r="KI242">
        <v>0</v>
      </c>
      <c r="KS242" t="s">
        <v>1073</v>
      </c>
      <c r="KT242">
        <v>0</v>
      </c>
      <c r="KU242">
        <v>0</v>
      </c>
      <c r="KV242">
        <v>0</v>
      </c>
      <c r="KX242">
        <v>0</v>
      </c>
      <c r="KZ242">
        <v>0</v>
      </c>
      <c r="LF242">
        <v>0</v>
      </c>
      <c r="LH242">
        <v>0</v>
      </c>
      <c r="LI242">
        <v>0</v>
      </c>
    </row>
    <row r="243" spans="1:321" x14ac:dyDescent="0.35">
      <c r="A243">
        <v>1</v>
      </c>
      <c r="B243">
        <v>12469</v>
      </c>
      <c r="C243" t="s">
        <v>1451</v>
      </c>
      <c r="D243" t="s">
        <v>1139</v>
      </c>
      <c r="E243" t="s">
        <v>85</v>
      </c>
      <c r="F243">
        <v>80</v>
      </c>
      <c r="G243">
        <v>9000</v>
      </c>
      <c r="H243">
        <v>0</v>
      </c>
      <c r="I243" t="s">
        <v>1050</v>
      </c>
      <c r="L243">
        <v>0</v>
      </c>
      <c r="M243">
        <v>0</v>
      </c>
      <c r="N243">
        <v>0</v>
      </c>
      <c r="R243">
        <v>0</v>
      </c>
      <c r="S243">
        <v>0</v>
      </c>
      <c r="W243" t="s">
        <v>1060</v>
      </c>
      <c r="X243">
        <v>0</v>
      </c>
      <c r="Z243">
        <v>1</v>
      </c>
      <c r="AA243">
        <v>0</v>
      </c>
      <c r="AB243">
        <v>0</v>
      </c>
      <c r="AC243">
        <v>0</v>
      </c>
      <c r="AD243" s="20">
        <v>40792</v>
      </c>
      <c r="AE243">
        <v>3.6</v>
      </c>
      <c r="AF243">
        <v>0</v>
      </c>
      <c r="AH243">
        <v>0</v>
      </c>
      <c r="AJ243">
        <v>0</v>
      </c>
      <c r="AL243">
        <v>0</v>
      </c>
      <c r="AM243">
        <v>0</v>
      </c>
      <c r="AN243">
        <v>16601001</v>
      </c>
      <c r="AO243">
        <v>0</v>
      </c>
      <c r="AP243">
        <v>1000</v>
      </c>
      <c r="AT243">
        <v>0</v>
      </c>
      <c r="AU243" t="s">
        <v>1059</v>
      </c>
      <c r="AW243" t="s">
        <v>1053</v>
      </c>
      <c r="AX243">
        <v>0</v>
      </c>
      <c r="AY243" s="20">
        <v>40792</v>
      </c>
      <c r="BA243" s="20">
        <v>40792</v>
      </c>
      <c r="BB243" t="s">
        <v>1058</v>
      </c>
      <c r="BD243">
        <v>0</v>
      </c>
      <c r="BF243" t="s">
        <v>1043</v>
      </c>
      <c r="BG243" t="s">
        <v>1042</v>
      </c>
      <c r="BH243">
        <v>0</v>
      </c>
      <c r="BI243">
        <v>1</v>
      </c>
      <c r="BJ243">
        <v>0</v>
      </c>
      <c r="BK243">
        <v>0</v>
      </c>
      <c r="BM243" t="s">
        <v>1042</v>
      </c>
      <c r="BN243">
        <v>0</v>
      </c>
      <c r="BR243" t="s">
        <v>1043</v>
      </c>
      <c r="BS243" t="s">
        <v>1043</v>
      </c>
      <c r="BT243" t="s">
        <v>1043</v>
      </c>
      <c r="BW243">
        <v>83</v>
      </c>
      <c r="CA243">
        <v>0</v>
      </c>
      <c r="CB243" t="s">
        <v>1057</v>
      </c>
      <c r="CE243" t="s">
        <v>1043</v>
      </c>
      <c r="CH243" t="s">
        <v>1043</v>
      </c>
      <c r="CN243" t="s">
        <v>1056</v>
      </c>
      <c r="CO243" t="s">
        <v>1043</v>
      </c>
      <c r="CP243">
        <v>1</v>
      </c>
      <c r="CQ243">
        <v>0</v>
      </c>
      <c r="CS243">
        <v>0</v>
      </c>
      <c r="CT243">
        <v>0</v>
      </c>
      <c r="CU243">
        <v>0</v>
      </c>
      <c r="CV243" t="s">
        <v>1045</v>
      </c>
      <c r="CW243">
        <v>0</v>
      </c>
      <c r="CX243">
        <v>0</v>
      </c>
      <c r="CY243">
        <v>0</v>
      </c>
      <c r="CZ243">
        <v>0</v>
      </c>
      <c r="DB243">
        <v>0</v>
      </c>
      <c r="DC243" t="s">
        <v>1043</v>
      </c>
      <c r="DF243" t="s">
        <v>1055</v>
      </c>
      <c r="DH243">
        <v>0</v>
      </c>
      <c r="DJ243">
        <v>0</v>
      </c>
      <c r="DK243" t="s">
        <v>1053</v>
      </c>
      <c r="DL243">
        <v>0</v>
      </c>
      <c r="DN243">
        <v>0</v>
      </c>
      <c r="DO243" t="s">
        <v>1042</v>
      </c>
      <c r="DP243">
        <v>0</v>
      </c>
      <c r="DQ243">
        <v>0</v>
      </c>
      <c r="DS243">
        <v>0</v>
      </c>
      <c r="DU243">
        <v>0</v>
      </c>
      <c r="DW243">
        <v>0</v>
      </c>
      <c r="DX243" t="s">
        <v>1043</v>
      </c>
      <c r="DY243">
        <v>0</v>
      </c>
      <c r="DZ243">
        <v>0</v>
      </c>
      <c r="EA243">
        <v>0</v>
      </c>
      <c r="ED243" t="s">
        <v>1045</v>
      </c>
      <c r="EE243">
        <v>0</v>
      </c>
      <c r="EF243">
        <v>0</v>
      </c>
      <c r="EQ243" t="s">
        <v>1044</v>
      </c>
      <c r="ES243" t="s">
        <v>1053</v>
      </c>
      <c r="ET243">
        <v>0</v>
      </c>
      <c r="EV243">
        <v>0</v>
      </c>
      <c r="EY243" t="s">
        <v>1052</v>
      </c>
      <c r="EZ243">
        <v>0</v>
      </c>
      <c r="FA243" t="s">
        <v>1043</v>
      </c>
      <c r="FB243">
        <v>0</v>
      </c>
      <c r="FC243">
        <v>0</v>
      </c>
      <c r="FE243" t="s">
        <v>1050</v>
      </c>
      <c r="FF243">
        <v>0</v>
      </c>
      <c r="FG243" t="s">
        <v>1050</v>
      </c>
      <c r="FJ243">
        <v>0</v>
      </c>
      <c r="FK243">
        <v>0</v>
      </c>
      <c r="FP243">
        <v>0</v>
      </c>
      <c r="FR243">
        <v>0</v>
      </c>
      <c r="FS243" t="s">
        <v>1043</v>
      </c>
      <c r="FX243" t="s">
        <v>1042</v>
      </c>
      <c r="FZ243" t="s">
        <v>1048</v>
      </c>
      <c r="GA243">
        <v>0</v>
      </c>
      <c r="GB243" t="s">
        <v>1042</v>
      </c>
      <c r="GE243">
        <v>0</v>
      </c>
      <c r="GG243">
        <v>0</v>
      </c>
      <c r="GN243">
        <v>0</v>
      </c>
      <c r="GO243" t="s">
        <v>1063</v>
      </c>
      <c r="GQ243">
        <v>0</v>
      </c>
      <c r="GU243">
        <v>0</v>
      </c>
      <c r="GY243" t="s">
        <v>1045</v>
      </c>
      <c r="HB243">
        <v>0</v>
      </c>
      <c r="HE243">
        <v>0</v>
      </c>
      <c r="HF243">
        <v>0</v>
      </c>
      <c r="HG243">
        <v>0</v>
      </c>
      <c r="HK243" t="s">
        <v>1042</v>
      </c>
      <c r="HM243" t="s">
        <v>1047</v>
      </c>
      <c r="HN243">
        <v>0</v>
      </c>
      <c r="HP243">
        <v>0</v>
      </c>
      <c r="HQ243">
        <v>0</v>
      </c>
      <c r="HR243" t="s">
        <v>1042</v>
      </c>
      <c r="HS243" t="s">
        <v>1043</v>
      </c>
      <c r="HT243">
        <v>0</v>
      </c>
      <c r="HU243">
        <v>0</v>
      </c>
      <c r="HW243">
        <v>0</v>
      </c>
      <c r="HX243">
        <v>0</v>
      </c>
      <c r="HY243">
        <v>0</v>
      </c>
      <c r="HZ243" t="s">
        <v>1045</v>
      </c>
      <c r="IA243">
        <v>0</v>
      </c>
      <c r="IB243" t="s">
        <v>1045</v>
      </c>
      <c r="ID243" t="s">
        <v>1045</v>
      </c>
      <c r="IF243">
        <v>0</v>
      </c>
      <c r="IG243" t="s">
        <v>1042</v>
      </c>
      <c r="II243" t="s">
        <v>1042</v>
      </c>
      <c r="IR243" t="s">
        <v>1045</v>
      </c>
      <c r="IT243">
        <v>0</v>
      </c>
      <c r="IY243" t="s">
        <v>1044</v>
      </c>
      <c r="IZ243" t="s">
        <v>1043</v>
      </c>
      <c r="JC243" t="s">
        <v>1043</v>
      </c>
      <c r="JE243">
        <v>0</v>
      </c>
      <c r="JF243">
        <v>0</v>
      </c>
      <c r="JI243" t="s">
        <v>1042</v>
      </c>
      <c r="JJ243">
        <v>0</v>
      </c>
      <c r="JK243">
        <v>0</v>
      </c>
      <c r="JL243">
        <v>0</v>
      </c>
      <c r="JM243">
        <v>0</v>
      </c>
      <c r="JQ243" t="s">
        <v>1043</v>
      </c>
      <c r="JT243">
        <v>0</v>
      </c>
      <c r="JU243" t="s">
        <v>1042</v>
      </c>
      <c r="JW243">
        <v>0</v>
      </c>
      <c r="KA243">
        <v>0</v>
      </c>
      <c r="KF243">
        <v>0</v>
      </c>
      <c r="KG243">
        <v>0</v>
      </c>
      <c r="KH243">
        <v>0</v>
      </c>
      <c r="KI243">
        <v>0</v>
      </c>
      <c r="KS243" t="s">
        <v>1073</v>
      </c>
      <c r="KT243">
        <v>0</v>
      </c>
      <c r="KU243">
        <v>0</v>
      </c>
      <c r="KV243">
        <v>0</v>
      </c>
      <c r="KX243">
        <v>0</v>
      </c>
      <c r="KZ243">
        <v>0</v>
      </c>
      <c r="LF243">
        <v>0</v>
      </c>
      <c r="LH243">
        <v>0</v>
      </c>
      <c r="LI243">
        <v>0</v>
      </c>
    </row>
    <row r="244" spans="1:321" x14ac:dyDescent="0.35">
      <c r="A244">
        <v>1</v>
      </c>
      <c r="B244" t="s">
        <v>1450</v>
      </c>
      <c r="C244" t="s">
        <v>638</v>
      </c>
      <c r="D244" t="s">
        <v>1064</v>
      </c>
      <c r="E244" t="s">
        <v>85</v>
      </c>
      <c r="F244">
        <v>15</v>
      </c>
      <c r="G244">
        <v>240</v>
      </c>
      <c r="H244">
        <v>0</v>
      </c>
      <c r="I244" t="s">
        <v>994</v>
      </c>
      <c r="L244">
        <v>0</v>
      </c>
      <c r="M244">
        <v>0</v>
      </c>
      <c r="N244">
        <v>0</v>
      </c>
      <c r="Q244">
        <v>516</v>
      </c>
      <c r="R244">
        <v>0</v>
      </c>
      <c r="S244">
        <v>0</v>
      </c>
      <c r="W244" t="s">
        <v>1060</v>
      </c>
      <c r="X244">
        <v>0</v>
      </c>
      <c r="Z244">
        <v>50</v>
      </c>
      <c r="AA244">
        <v>2.2639999999999998</v>
      </c>
      <c r="AB244">
        <v>0</v>
      </c>
      <c r="AC244">
        <v>7.0000000000000007E-2</v>
      </c>
      <c r="AD244" t="s">
        <v>1042</v>
      </c>
      <c r="AE244">
        <v>0</v>
      </c>
      <c r="AF244">
        <v>8.9999999999999993E-3</v>
      </c>
      <c r="AH244">
        <v>0</v>
      </c>
      <c r="AJ244">
        <v>1</v>
      </c>
      <c r="AK244" t="s">
        <v>1154</v>
      </c>
      <c r="AL244">
        <v>278900</v>
      </c>
      <c r="AM244">
        <v>9600</v>
      </c>
      <c r="AN244">
        <v>11501002</v>
      </c>
      <c r="AO244">
        <v>0</v>
      </c>
      <c r="AP244">
        <v>2720</v>
      </c>
      <c r="AT244">
        <v>1</v>
      </c>
      <c r="AU244" t="s">
        <v>1059</v>
      </c>
      <c r="AV244" t="s">
        <v>1043</v>
      </c>
      <c r="AW244" t="s">
        <v>1053</v>
      </c>
      <c r="AX244">
        <v>0</v>
      </c>
      <c r="AY244" s="20">
        <v>43742</v>
      </c>
      <c r="BA244" s="20">
        <v>44165</v>
      </c>
      <c r="BB244" t="s">
        <v>1058</v>
      </c>
      <c r="BD244">
        <v>0</v>
      </c>
      <c r="BF244" t="s">
        <v>1044</v>
      </c>
      <c r="BG244" t="s">
        <v>1042</v>
      </c>
      <c r="BH244">
        <v>0</v>
      </c>
      <c r="BI244">
        <v>21</v>
      </c>
      <c r="BJ244">
        <v>0</v>
      </c>
      <c r="BK244">
        <v>0</v>
      </c>
      <c r="BM244" s="20">
        <v>43742</v>
      </c>
      <c r="BN244">
        <v>0</v>
      </c>
      <c r="BO244">
        <v>3578010027333</v>
      </c>
      <c r="BR244" t="s">
        <v>1043</v>
      </c>
      <c r="BS244" t="s">
        <v>1043</v>
      </c>
      <c r="BT244" t="s">
        <v>1043</v>
      </c>
      <c r="BV244">
        <v>1</v>
      </c>
      <c r="BW244">
        <v>2</v>
      </c>
      <c r="BY244">
        <v>67</v>
      </c>
      <c r="CA244">
        <v>0</v>
      </c>
      <c r="CB244" t="s">
        <v>1043</v>
      </c>
      <c r="CE244" t="s">
        <v>1043</v>
      </c>
      <c r="CH244" t="s">
        <v>1043</v>
      </c>
      <c r="CI244" t="s">
        <v>1383</v>
      </c>
      <c r="CK244" t="s">
        <v>1152</v>
      </c>
      <c r="CN244" t="s">
        <v>1056</v>
      </c>
      <c r="CP244">
        <v>1</v>
      </c>
      <c r="CQ244">
        <v>2500</v>
      </c>
      <c r="CS244">
        <v>0</v>
      </c>
      <c r="CT244">
        <v>0</v>
      </c>
      <c r="CU244">
        <v>0</v>
      </c>
      <c r="CV244" t="s">
        <v>1045</v>
      </c>
      <c r="CW244">
        <v>0</v>
      </c>
      <c r="CX244">
        <v>0</v>
      </c>
      <c r="CY244">
        <v>0</v>
      </c>
      <c r="CZ244">
        <v>0</v>
      </c>
      <c r="DA244">
        <v>1</v>
      </c>
      <c r="DB244">
        <v>90000</v>
      </c>
      <c r="DH244">
        <v>0</v>
      </c>
      <c r="DJ244">
        <v>0</v>
      </c>
      <c r="DL244">
        <v>0</v>
      </c>
      <c r="DN244">
        <v>0</v>
      </c>
      <c r="DO244" t="s">
        <v>1042</v>
      </c>
      <c r="DP244">
        <v>0</v>
      </c>
      <c r="DQ244">
        <v>7.6</v>
      </c>
      <c r="DS244">
        <v>0</v>
      </c>
      <c r="DU244">
        <v>1.65</v>
      </c>
      <c r="DW244">
        <v>0</v>
      </c>
      <c r="DY244">
        <v>0</v>
      </c>
      <c r="DZ244">
        <v>0</v>
      </c>
      <c r="EA244">
        <v>0</v>
      </c>
      <c r="EB244">
        <v>13578010027330</v>
      </c>
      <c r="EE244">
        <v>0</v>
      </c>
      <c r="EF244">
        <v>0</v>
      </c>
      <c r="EK244" t="s">
        <v>1054</v>
      </c>
      <c r="EL244">
        <v>53578010027338</v>
      </c>
      <c r="EN244" t="s">
        <v>1012</v>
      </c>
      <c r="ET244">
        <v>0</v>
      </c>
      <c r="EV244">
        <v>0</v>
      </c>
      <c r="EY244" t="s">
        <v>1052</v>
      </c>
      <c r="EZ244">
        <v>0</v>
      </c>
      <c r="FA244" t="s">
        <v>1043</v>
      </c>
      <c r="FB244">
        <v>0</v>
      </c>
      <c r="FC244">
        <v>0</v>
      </c>
      <c r="FD244" t="s">
        <v>1051</v>
      </c>
      <c r="FE244" t="s">
        <v>1050</v>
      </c>
      <c r="FF244">
        <v>1200</v>
      </c>
      <c r="FG244" t="s">
        <v>1050</v>
      </c>
      <c r="FH244">
        <v>23578010027337</v>
      </c>
      <c r="FJ244">
        <v>0</v>
      </c>
      <c r="FK244">
        <v>0</v>
      </c>
      <c r="FP244">
        <v>0</v>
      </c>
      <c r="FR244">
        <v>0</v>
      </c>
      <c r="FS244" t="s">
        <v>1043</v>
      </c>
      <c r="FX244" t="s">
        <v>1042</v>
      </c>
      <c r="GA244">
        <v>0</v>
      </c>
      <c r="GB244" t="s">
        <v>1042</v>
      </c>
      <c r="GD244">
        <v>16</v>
      </c>
      <c r="GE244">
        <v>0</v>
      </c>
      <c r="GG244">
        <v>0</v>
      </c>
      <c r="GN244">
        <v>0</v>
      </c>
      <c r="GO244" t="s">
        <v>1063</v>
      </c>
      <c r="GQ244">
        <v>0</v>
      </c>
      <c r="GU244">
        <v>99</v>
      </c>
      <c r="GY244" t="s">
        <v>1045</v>
      </c>
      <c r="HB244">
        <v>0</v>
      </c>
      <c r="HE244">
        <v>10</v>
      </c>
      <c r="HF244">
        <v>0</v>
      </c>
      <c r="HG244">
        <v>4.0000000000000001E-3</v>
      </c>
      <c r="HK244" t="s">
        <v>1042</v>
      </c>
      <c r="HL244" t="s">
        <v>1048</v>
      </c>
      <c r="HM244">
        <v>0</v>
      </c>
      <c r="HN244">
        <v>0</v>
      </c>
      <c r="HP244">
        <v>9.1999999999999998E-3</v>
      </c>
      <c r="HQ244">
        <v>0</v>
      </c>
      <c r="HR244" t="s">
        <v>1042</v>
      </c>
      <c r="HT244">
        <v>0</v>
      </c>
      <c r="HU244">
        <v>0</v>
      </c>
      <c r="HW244">
        <v>0</v>
      </c>
      <c r="HX244">
        <v>0</v>
      </c>
      <c r="HY244">
        <v>0</v>
      </c>
      <c r="IA244">
        <v>0</v>
      </c>
      <c r="IF244">
        <v>30000</v>
      </c>
      <c r="IG244" s="20">
        <v>40340</v>
      </c>
      <c r="IH244" t="s">
        <v>1046</v>
      </c>
      <c r="II244" t="s">
        <v>1042</v>
      </c>
      <c r="IR244" t="s">
        <v>1045</v>
      </c>
      <c r="IT244">
        <v>0</v>
      </c>
      <c r="JE244">
        <v>0</v>
      </c>
      <c r="JF244">
        <v>0</v>
      </c>
      <c r="JI244" t="s">
        <v>1042</v>
      </c>
      <c r="JJ244">
        <v>0</v>
      </c>
      <c r="JK244">
        <v>0</v>
      </c>
      <c r="JL244">
        <v>0</v>
      </c>
      <c r="JM244">
        <v>0</v>
      </c>
      <c r="JT244">
        <v>0</v>
      </c>
      <c r="JU244" t="s">
        <v>1042</v>
      </c>
      <c r="JW244">
        <v>0</v>
      </c>
      <c r="KA244">
        <v>0</v>
      </c>
      <c r="KF244">
        <v>0</v>
      </c>
      <c r="KG244">
        <v>0</v>
      </c>
      <c r="KH244">
        <v>0</v>
      </c>
      <c r="KI244">
        <v>0</v>
      </c>
      <c r="KS244" t="s">
        <v>1041</v>
      </c>
      <c r="KT244">
        <v>0</v>
      </c>
      <c r="KU244">
        <v>0</v>
      </c>
      <c r="KV244">
        <v>0</v>
      </c>
      <c r="KX244">
        <v>0</v>
      </c>
      <c r="KZ244">
        <v>0</v>
      </c>
      <c r="LF244">
        <v>0</v>
      </c>
      <c r="LH244">
        <v>0</v>
      </c>
      <c r="LI244">
        <v>0</v>
      </c>
    </row>
    <row r="245" spans="1:321" x14ac:dyDescent="0.35">
      <c r="A245">
        <v>1</v>
      </c>
      <c r="B245">
        <v>1247</v>
      </c>
      <c r="C245" t="s">
        <v>639</v>
      </c>
      <c r="D245" t="s">
        <v>1061</v>
      </c>
      <c r="E245" t="s">
        <v>85</v>
      </c>
      <c r="F245">
        <v>1</v>
      </c>
      <c r="G245">
        <v>240</v>
      </c>
      <c r="H245">
        <v>0</v>
      </c>
      <c r="I245" t="s">
        <v>994</v>
      </c>
      <c r="L245">
        <v>0</v>
      </c>
      <c r="M245">
        <v>0</v>
      </c>
      <c r="N245">
        <v>0</v>
      </c>
      <c r="Q245">
        <v>516</v>
      </c>
      <c r="R245">
        <v>0</v>
      </c>
      <c r="S245">
        <v>0</v>
      </c>
      <c r="W245" t="s">
        <v>1060</v>
      </c>
      <c r="X245">
        <v>0</v>
      </c>
      <c r="Z245">
        <v>30</v>
      </c>
      <c r="AA245">
        <v>8.3699999999999992</v>
      </c>
      <c r="AB245">
        <v>17433</v>
      </c>
      <c r="AC245">
        <v>0.151</v>
      </c>
      <c r="AD245" t="s">
        <v>1042</v>
      </c>
      <c r="AE245">
        <v>0</v>
      </c>
      <c r="AF245">
        <v>1.5599999999999999E-2</v>
      </c>
      <c r="AH245">
        <v>1713</v>
      </c>
      <c r="AJ245">
        <v>1</v>
      </c>
      <c r="AK245" t="s">
        <v>1154</v>
      </c>
      <c r="AL245">
        <v>34950</v>
      </c>
      <c r="AM245">
        <v>0</v>
      </c>
      <c r="AN245">
        <v>11501001</v>
      </c>
      <c r="AO245">
        <v>0</v>
      </c>
      <c r="AP245">
        <v>1002</v>
      </c>
      <c r="AT245">
        <v>1</v>
      </c>
      <c r="AU245" t="s">
        <v>1059</v>
      </c>
      <c r="AV245" t="s">
        <v>1043</v>
      </c>
      <c r="AW245" t="s">
        <v>1053</v>
      </c>
      <c r="AX245">
        <v>5</v>
      </c>
      <c r="AY245" s="20">
        <v>43274</v>
      </c>
      <c r="BA245" s="20">
        <v>44529</v>
      </c>
      <c r="BB245" t="s">
        <v>1058</v>
      </c>
      <c r="BD245">
        <v>0</v>
      </c>
      <c r="BF245" t="s">
        <v>1044</v>
      </c>
      <c r="BG245" s="20">
        <v>40340</v>
      </c>
      <c r="BH245">
        <v>0</v>
      </c>
      <c r="BI245">
        <v>21</v>
      </c>
      <c r="BJ245">
        <v>0</v>
      </c>
      <c r="BK245">
        <v>0</v>
      </c>
      <c r="BM245" s="20">
        <v>40336</v>
      </c>
      <c r="BN245">
        <v>0</v>
      </c>
      <c r="BO245">
        <v>7897801310000</v>
      </c>
      <c r="BR245" t="s">
        <v>1043</v>
      </c>
      <c r="BS245" t="s">
        <v>1043</v>
      </c>
      <c r="BT245" t="s">
        <v>1043</v>
      </c>
      <c r="BV245">
        <v>1</v>
      </c>
      <c r="BW245">
        <v>2</v>
      </c>
      <c r="BY245">
        <v>67</v>
      </c>
      <c r="CA245">
        <v>0</v>
      </c>
      <c r="CB245" t="s">
        <v>1043</v>
      </c>
      <c r="CE245" t="s">
        <v>1043</v>
      </c>
      <c r="CH245" t="s">
        <v>1043</v>
      </c>
      <c r="CI245" t="s">
        <v>1383</v>
      </c>
      <c r="CK245" t="s">
        <v>1152</v>
      </c>
      <c r="CN245" t="s">
        <v>1056</v>
      </c>
      <c r="CP245">
        <v>1</v>
      </c>
      <c r="CQ245">
        <v>300</v>
      </c>
      <c r="CS245">
        <v>0</v>
      </c>
      <c r="CT245">
        <v>0</v>
      </c>
      <c r="CU245">
        <v>0</v>
      </c>
      <c r="CV245" t="s">
        <v>1045</v>
      </c>
      <c r="CW245">
        <v>0</v>
      </c>
      <c r="CX245">
        <v>0</v>
      </c>
      <c r="CY245">
        <v>0</v>
      </c>
      <c r="CZ245">
        <v>0</v>
      </c>
      <c r="DA245">
        <v>7</v>
      </c>
      <c r="DB245">
        <v>10000</v>
      </c>
      <c r="DH245">
        <v>0</v>
      </c>
      <c r="DJ245">
        <v>0</v>
      </c>
      <c r="DL245">
        <v>0</v>
      </c>
      <c r="DN245">
        <v>0</v>
      </c>
      <c r="DO245" t="s">
        <v>1042</v>
      </c>
      <c r="DP245">
        <v>0</v>
      </c>
      <c r="DQ245">
        <v>7.6</v>
      </c>
      <c r="DS245">
        <v>0</v>
      </c>
      <c r="DU245">
        <v>1.65</v>
      </c>
      <c r="DW245">
        <v>0</v>
      </c>
      <c r="DY245">
        <v>0</v>
      </c>
      <c r="DZ245">
        <v>0</v>
      </c>
      <c r="EA245">
        <v>0</v>
      </c>
      <c r="EB245">
        <v>17897801310007</v>
      </c>
      <c r="EE245">
        <v>0</v>
      </c>
      <c r="EF245">
        <v>0</v>
      </c>
      <c r="EL245">
        <v>57897801310005</v>
      </c>
      <c r="EN245" t="s">
        <v>1012</v>
      </c>
      <c r="ET245">
        <v>0</v>
      </c>
      <c r="EV245">
        <v>0</v>
      </c>
      <c r="EY245" t="s">
        <v>1052</v>
      </c>
      <c r="EZ245">
        <v>0</v>
      </c>
      <c r="FA245" t="s">
        <v>1043</v>
      </c>
      <c r="FB245">
        <v>0</v>
      </c>
      <c r="FC245">
        <v>0</v>
      </c>
      <c r="FD245" t="s">
        <v>1051</v>
      </c>
      <c r="FE245" t="s">
        <v>1050</v>
      </c>
      <c r="FF245">
        <v>900</v>
      </c>
      <c r="FG245" t="s">
        <v>1050</v>
      </c>
      <c r="FH245">
        <v>27897801310004</v>
      </c>
      <c r="FJ245">
        <v>0</v>
      </c>
      <c r="FK245">
        <v>0</v>
      </c>
      <c r="FP245">
        <v>0</v>
      </c>
      <c r="FR245">
        <v>0</v>
      </c>
      <c r="FS245" t="s">
        <v>1043</v>
      </c>
      <c r="FX245" t="s">
        <v>1042</v>
      </c>
      <c r="GA245">
        <v>0</v>
      </c>
      <c r="GB245" t="s">
        <v>1042</v>
      </c>
      <c r="GD245">
        <v>16</v>
      </c>
      <c r="GE245">
        <v>0</v>
      </c>
      <c r="GG245">
        <v>0</v>
      </c>
      <c r="GN245">
        <v>0</v>
      </c>
      <c r="GO245" t="s">
        <v>1049</v>
      </c>
      <c r="GQ245">
        <v>0</v>
      </c>
      <c r="GU245">
        <v>0</v>
      </c>
      <c r="GY245" t="s">
        <v>1045</v>
      </c>
      <c r="HB245">
        <v>0</v>
      </c>
      <c r="HE245">
        <v>10</v>
      </c>
      <c r="HF245">
        <v>0</v>
      </c>
      <c r="HG245">
        <v>4.7800000000000004E-3</v>
      </c>
      <c r="HK245" t="s">
        <v>1042</v>
      </c>
      <c r="HL245" t="s">
        <v>1048</v>
      </c>
      <c r="HM245">
        <v>0</v>
      </c>
      <c r="HN245">
        <v>0</v>
      </c>
      <c r="HO245">
        <v>25</v>
      </c>
      <c r="HP245">
        <v>1.5599999999999999E-2</v>
      </c>
      <c r="HQ245">
        <v>0</v>
      </c>
      <c r="HR245" s="20">
        <v>40336</v>
      </c>
      <c r="HT245">
        <v>0</v>
      </c>
      <c r="HU245">
        <v>0</v>
      </c>
      <c r="HW245">
        <v>0</v>
      </c>
      <c r="HX245">
        <v>41013</v>
      </c>
      <c r="HY245">
        <v>0</v>
      </c>
      <c r="IA245">
        <v>0</v>
      </c>
      <c r="IF245">
        <v>18000</v>
      </c>
      <c r="IG245" s="20">
        <v>40340</v>
      </c>
      <c r="IH245" t="s">
        <v>1046</v>
      </c>
      <c r="II245" t="s">
        <v>1042</v>
      </c>
      <c r="IR245" t="s">
        <v>1045</v>
      </c>
      <c r="IT245">
        <v>0</v>
      </c>
      <c r="JE245">
        <v>0</v>
      </c>
      <c r="JF245">
        <v>0</v>
      </c>
      <c r="JI245" t="s">
        <v>1042</v>
      </c>
      <c r="JJ245">
        <v>0</v>
      </c>
      <c r="JK245">
        <v>0</v>
      </c>
      <c r="JL245">
        <v>0</v>
      </c>
      <c r="JM245">
        <v>0</v>
      </c>
      <c r="JT245">
        <v>0</v>
      </c>
      <c r="JU245" t="s">
        <v>1042</v>
      </c>
      <c r="JW245">
        <v>0</v>
      </c>
      <c r="KA245">
        <v>0</v>
      </c>
      <c r="KF245">
        <v>0</v>
      </c>
      <c r="KG245">
        <v>0</v>
      </c>
      <c r="KH245">
        <v>0</v>
      </c>
      <c r="KI245">
        <v>0</v>
      </c>
      <c r="KS245" t="s">
        <v>1041</v>
      </c>
      <c r="KT245">
        <v>0</v>
      </c>
      <c r="KU245">
        <v>0</v>
      </c>
      <c r="KV245">
        <v>0</v>
      </c>
      <c r="KX245">
        <v>0</v>
      </c>
      <c r="KZ245">
        <v>0</v>
      </c>
      <c r="LF245">
        <v>0</v>
      </c>
      <c r="LH245">
        <v>186144</v>
      </c>
      <c r="LI245">
        <v>0</v>
      </c>
    </row>
    <row r="246" spans="1:321" x14ac:dyDescent="0.35">
      <c r="A246">
        <v>1</v>
      </c>
      <c r="B246">
        <v>12470</v>
      </c>
      <c r="C246" t="s">
        <v>1449</v>
      </c>
      <c r="D246" t="s">
        <v>1139</v>
      </c>
      <c r="E246" t="s">
        <v>85</v>
      </c>
      <c r="F246">
        <v>80</v>
      </c>
      <c r="G246">
        <v>9000</v>
      </c>
      <c r="H246">
        <v>0</v>
      </c>
      <c r="I246" t="s">
        <v>1050</v>
      </c>
      <c r="L246">
        <v>0</v>
      </c>
      <c r="M246">
        <v>0</v>
      </c>
      <c r="N246">
        <v>0</v>
      </c>
      <c r="R246">
        <v>0</v>
      </c>
      <c r="S246">
        <v>0</v>
      </c>
      <c r="W246" t="s">
        <v>1060</v>
      </c>
      <c r="X246">
        <v>0</v>
      </c>
      <c r="Z246">
        <v>1</v>
      </c>
      <c r="AA246">
        <v>0</v>
      </c>
      <c r="AB246">
        <v>0</v>
      </c>
      <c r="AC246">
        <v>0</v>
      </c>
      <c r="AD246" s="20">
        <v>40792</v>
      </c>
      <c r="AE246">
        <v>3.6</v>
      </c>
      <c r="AF246">
        <v>0</v>
      </c>
      <c r="AH246">
        <v>0</v>
      </c>
      <c r="AJ246">
        <v>0</v>
      </c>
      <c r="AL246">
        <v>0</v>
      </c>
      <c r="AM246">
        <v>0</v>
      </c>
      <c r="AN246">
        <v>16601001</v>
      </c>
      <c r="AO246">
        <v>0</v>
      </c>
      <c r="AP246">
        <v>1000</v>
      </c>
      <c r="AT246">
        <v>0</v>
      </c>
      <c r="AU246" t="s">
        <v>1059</v>
      </c>
      <c r="AW246" t="s">
        <v>1053</v>
      </c>
      <c r="AX246">
        <v>0</v>
      </c>
      <c r="AY246" s="20">
        <v>40792</v>
      </c>
      <c r="BA246" s="20">
        <v>40792</v>
      </c>
      <c r="BB246" t="s">
        <v>1058</v>
      </c>
      <c r="BD246">
        <v>0</v>
      </c>
      <c r="BF246" t="s">
        <v>1043</v>
      </c>
      <c r="BG246" t="s">
        <v>1042</v>
      </c>
      <c r="BH246">
        <v>0</v>
      </c>
      <c r="BI246">
        <v>1</v>
      </c>
      <c r="BJ246">
        <v>0</v>
      </c>
      <c r="BK246">
        <v>0</v>
      </c>
      <c r="BM246" t="s">
        <v>1042</v>
      </c>
      <c r="BN246">
        <v>0</v>
      </c>
      <c r="BR246" t="s">
        <v>1043</v>
      </c>
      <c r="BS246" t="s">
        <v>1043</v>
      </c>
      <c r="BT246" t="s">
        <v>1043</v>
      </c>
      <c r="BW246">
        <v>83</v>
      </c>
      <c r="CA246">
        <v>0</v>
      </c>
      <c r="CB246" t="s">
        <v>1057</v>
      </c>
      <c r="CE246" t="s">
        <v>1043</v>
      </c>
      <c r="CH246" t="s">
        <v>1043</v>
      </c>
      <c r="CN246" t="s">
        <v>1056</v>
      </c>
      <c r="CO246" t="s">
        <v>1043</v>
      </c>
      <c r="CP246">
        <v>1</v>
      </c>
      <c r="CQ246">
        <v>0</v>
      </c>
      <c r="CS246">
        <v>0</v>
      </c>
      <c r="CT246">
        <v>0</v>
      </c>
      <c r="CU246">
        <v>0</v>
      </c>
      <c r="CV246" t="s">
        <v>1045</v>
      </c>
      <c r="CW246">
        <v>0</v>
      </c>
      <c r="CX246">
        <v>0</v>
      </c>
      <c r="CY246">
        <v>0</v>
      </c>
      <c r="CZ246">
        <v>0</v>
      </c>
      <c r="DB246">
        <v>0</v>
      </c>
      <c r="DC246" t="s">
        <v>1043</v>
      </c>
      <c r="DF246" t="s">
        <v>1055</v>
      </c>
      <c r="DH246">
        <v>0</v>
      </c>
      <c r="DJ246">
        <v>0</v>
      </c>
      <c r="DK246" t="s">
        <v>1053</v>
      </c>
      <c r="DL246">
        <v>0</v>
      </c>
      <c r="DN246">
        <v>0</v>
      </c>
      <c r="DO246" t="s">
        <v>1042</v>
      </c>
      <c r="DP246">
        <v>0</v>
      </c>
      <c r="DQ246">
        <v>0</v>
      </c>
      <c r="DS246">
        <v>0</v>
      </c>
      <c r="DU246">
        <v>0</v>
      </c>
      <c r="DW246">
        <v>0</v>
      </c>
      <c r="DX246" t="s">
        <v>1043</v>
      </c>
      <c r="DY246">
        <v>0</v>
      </c>
      <c r="DZ246">
        <v>0</v>
      </c>
      <c r="EA246">
        <v>0</v>
      </c>
      <c r="ED246" t="s">
        <v>1045</v>
      </c>
      <c r="EE246">
        <v>0</v>
      </c>
      <c r="EF246">
        <v>0</v>
      </c>
      <c r="EQ246" t="s">
        <v>1044</v>
      </c>
      <c r="ES246" t="s">
        <v>1053</v>
      </c>
      <c r="ET246">
        <v>0</v>
      </c>
      <c r="EV246">
        <v>0</v>
      </c>
      <c r="EY246" t="s">
        <v>1052</v>
      </c>
      <c r="EZ246">
        <v>0</v>
      </c>
      <c r="FA246" t="s">
        <v>1043</v>
      </c>
      <c r="FB246">
        <v>0</v>
      </c>
      <c r="FC246">
        <v>0</v>
      </c>
      <c r="FE246" t="s">
        <v>1050</v>
      </c>
      <c r="FF246">
        <v>0</v>
      </c>
      <c r="FG246" t="s">
        <v>1050</v>
      </c>
      <c r="FJ246">
        <v>0</v>
      </c>
      <c r="FK246">
        <v>0</v>
      </c>
      <c r="FP246">
        <v>0</v>
      </c>
      <c r="FR246">
        <v>0</v>
      </c>
      <c r="FS246" t="s">
        <v>1043</v>
      </c>
      <c r="FX246" t="s">
        <v>1042</v>
      </c>
      <c r="FZ246" t="s">
        <v>1048</v>
      </c>
      <c r="GA246">
        <v>0</v>
      </c>
      <c r="GB246" t="s">
        <v>1042</v>
      </c>
      <c r="GE246">
        <v>0</v>
      </c>
      <c r="GG246">
        <v>0</v>
      </c>
      <c r="GN246">
        <v>0</v>
      </c>
      <c r="GO246" t="s">
        <v>1063</v>
      </c>
      <c r="GQ246">
        <v>0</v>
      </c>
      <c r="GU246">
        <v>0</v>
      </c>
      <c r="GY246" t="s">
        <v>1045</v>
      </c>
      <c r="HB246">
        <v>0</v>
      </c>
      <c r="HE246">
        <v>0</v>
      </c>
      <c r="HF246">
        <v>0</v>
      </c>
      <c r="HG246">
        <v>0</v>
      </c>
      <c r="HK246" t="s">
        <v>1042</v>
      </c>
      <c r="HM246" t="s">
        <v>1047</v>
      </c>
      <c r="HN246">
        <v>0</v>
      </c>
      <c r="HP246">
        <v>0</v>
      </c>
      <c r="HQ246">
        <v>0</v>
      </c>
      <c r="HR246" t="s">
        <v>1042</v>
      </c>
      <c r="HS246" t="s">
        <v>1043</v>
      </c>
      <c r="HT246">
        <v>0</v>
      </c>
      <c r="HU246">
        <v>0</v>
      </c>
      <c r="HW246">
        <v>0</v>
      </c>
      <c r="HX246">
        <v>0</v>
      </c>
      <c r="HY246">
        <v>0</v>
      </c>
      <c r="HZ246" t="s">
        <v>1045</v>
      </c>
      <c r="IA246">
        <v>0</v>
      </c>
      <c r="IB246" t="s">
        <v>1045</v>
      </c>
      <c r="ID246" t="s">
        <v>1045</v>
      </c>
      <c r="IF246">
        <v>0</v>
      </c>
      <c r="IG246" t="s">
        <v>1042</v>
      </c>
      <c r="II246" t="s">
        <v>1042</v>
      </c>
      <c r="IR246" t="s">
        <v>1045</v>
      </c>
      <c r="IT246">
        <v>0</v>
      </c>
      <c r="IY246" t="s">
        <v>1044</v>
      </c>
      <c r="IZ246" t="s">
        <v>1043</v>
      </c>
      <c r="JC246" t="s">
        <v>1043</v>
      </c>
      <c r="JE246">
        <v>0</v>
      </c>
      <c r="JF246">
        <v>0</v>
      </c>
      <c r="JI246" t="s">
        <v>1042</v>
      </c>
      <c r="JJ246">
        <v>0</v>
      </c>
      <c r="JK246">
        <v>0</v>
      </c>
      <c r="JL246">
        <v>0</v>
      </c>
      <c r="JM246">
        <v>0</v>
      </c>
      <c r="JQ246" t="s">
        <v>1043</v>
      </c>
      <c r="JT246">
        <v>0</v>
      </c>
      <c r="JU246" t="s">
        <v>1042</v>
      </c>
      <c r="JW246">
        <v>0</v>
      </c>
      <c r="KA246">
        <v>0</v>
      </c>
      <c r="KF246">
        <v>0</v>
      </c>
      <c r="KG246">
        <v>0</v>
      </c>
      <c r="KH246">
        <v>0</v>
      </c>
      <c r="KI246">
        <v>0</v>
      </c>
      <c r="KS246" t="s">
        <v>1073</v>
      </c>
      <c r="KT246">
        <v>0</v>
      </c>
      <c r="KU246">
        <v>0</v>
      </c>
      <c r="KV246">
        <v>0</v>
      </c>
      <c r="KX246">
        <v>0</v>
      </c>
      <c r="KZ246">
        <v>0</v>
      </c>
      <c r="LF246">
        <v>0</v>
      </c>
      <c r="LH246">
        <v>0</v>
      </c>
      <c r="LI246">
        <v>0</v>
      </c>
    </row>
    <row r="247" spans="1:321" x14ac:dyDescent="0.35">
      <c r="A247">
        <v>1</v>
      </c>
      <c r="B247">
        <v>12471</v>
      </c>
      <c r="C247" t="s">
        <v>1449</v>
      </c>
      <c r="D247" t="s">
        <v>1139</v>
      </c>
      <c r="E247" t="s">
        <v>85</v>
      </c>
      <c r="F247">
        <v>80</v>
      </c>
      <c r="G247">
        <v>9000</v>
      </c>
      <c r="H247">
        <v>0</v>
      </c>
      <c r="I247" t="s">
        <v>1050</v>
      </c>
      <c r="L247">
        <v>0</v>
      </c>
      <c r="M247">
        <v>0</v>
      </c>
      <c r="N247">
        <v>0</v>
      </c>
      <c r="R247">
        <v>0</v>
      </c>
      <c r="S247">
        <v>0</v>
      </c>
      <c r="W247" t="s">
        <v>1060</v>
      </c>
      <c r="X247">
        <v>0</v>
      </c>
      <c r="Z247">
        <v>1</v>
      </c>
      <c r="AA247">
        <v>0</v>
      </c>
      <c r="AB247">
        <v>0</v>
      </c>
      <c r="AC247">
        <v>0</v>
      </c>
      <c r="AD247" t="s">
        <v>1042</v>
      </c>
      <c r="AE247">
        <v>3.6</v>
      </c>
      <c r="AF247">
        <v>0</v>
      </c>
      <c r="AH247">
        <v>0</v>
      </c>
      <c r="AJ247">
        <v>0</v>
      </c>
      <c r="AL247">
        <v>0</v>
      </c>
      <c r="AM247">
        <v>0</v>
      </c>
      <c r="AN247">
        <v>16601001</v>
      </c>
      <c r="AO247">
        <v>0</v>
      </c>
      <c r="AP247">
        <v>1000</v>
      </c>
      <c r="AT247">
        <v>0</v>
      </c>
      <c r="AU247" t="s">
        <v>1059</v>
      </c>
      <c r="AW247" t="s">
        <v>1053</v>
      </c>
      <c r="AX247">
        <v>0</v>
      </c>
      <c r="AY247" s="20">
        <v>40792</v>
      </c>
      <c r="BA247" s="20">
        <v>40792</v>
      </c>
      <c r="BB247" t="s">
        <v>1058</v>
      </c>
      <c r="BD247">
        <v>0</v>
      </c>
      <c r="BF247" t="s">
        <v>1043</v>
      </c>
      <c r="BG247" t="s">
        <v>1042</v>
      </c>
      <c r="BH247">
        <v>0</v>
      </c>
      <c r="BI247">
        <v>1</v>
      </c>
      <c r="BJ247">
        <v>0</v>
      </c>
      <c r="BK247">
        <v>0</v>
      </c>
      <c r="BM247" t="s">
        <v>1042</v>
      </c>
      <c r="BN247">
        <v>0</v>
      </c>
      <c r="BR247" t="s">
        <v>1043</v>
      </c>
      <c r="BS247" t="s">
        <v>1043</v>
      </c>
      <c r="BT247" t="s">
        <v>1043</v>
      </c>
      <c r="BW247">
        <v>83</v>
      </c>
      <c r="CA247">
        <v>0</v>
      </c>
      <c r="CB247" t="s">
        <v>1057</v>
      </c>
      <c r="CE247" t="s">
        <v>1043</v>
      </c>
      <c r="CH247" t="s">
        <v>1043</v>
      </c>
      <c r="CN247" t="s">
        <v>1056</v>
      </c>
      <c r="CO247" t="s">
        <v>1043</v>
      </c>
      <c r="CP247">
        <v>1</v>
      </c>
      <c r="CQ247">
        <v>0</v>
      </c>
      <c r="CS247">
        <v>0</v>
      </c>
      <c r="CT247">
        <v>0</v>
      </c>
      <c r="CU247">
        <v>0</v>
      </c>
      <c r="CV247" t="s">
        <v>1045</v>
      </c>
      <c r="CW247">
        <v>0</v>
      </c>
      <c r="CX247">
        <v>0</v>
      </c>
      <c r="CY247">
        <v>0</v>
      </c>
      <c r="CZ247">
        <v>0</v>
      </c>
      <c r="DB247">
        <v>0</v>
      </c>
      <c r="DC247" t="s">
        <v>1043</v>
      </c>
      <c r="DF247" t="s">
        <v>1055</v>
      </c>
      <c r="DH247">
        <v>0</v>
      </c>
      <c r="DJ247">
        <v>0</v>
      </c>
      <c r="DK247" t="s">
        <v>1053</v>
      </c>
      <c r="DL247">
        <v>0</v>
      </c>
      <c r="DN247">
        <v>0</v>
      </c>
      <c r="DO247" t="s">
        <v>1042</v>
      </c>
      <c r="DP247">
        <v>0</v>
      </c>
      <c r="DQ247">
        <v>0</v>
      </c>
      <c r="DS247">
        <v>0</v>
      </c>
      <c r="DU247">
        <v>0</v>
      </c>
      <c r="DW247">
        <v>0</v>
      </c>
      <c r="DX247" t="s">
        <v>1043</v>
      </c>
      <c r="DY247">
        <v>0</v>
      </c>
      <c r="DZ247">
        <v>0</v>
      </c>
      <c r="EA247">
        <v>0</v>
      </c>
      <c r="ED247" t="s">
        <v>1045</v>
      </c>
      <c r="EE247">
        <v>0</v>
      </c>
      <c r="EF247">
        <v>0</v>
      </c>
      <c r="EQ247" t="s">
        <v>1044</v>
      </c>
      <c r="ES247" t="s">
        <v>1053</v>
      </c>
      <c r="ET247">
        <v>0</v>
      </c>
      <c r="EV247">
        <v>0</v>
      </c>
      <c r="EY247" t="s">
        <v>1052</v>
      </c>
      <c r="EZ247">
        <v>0</v>
      </c>
      <c r="FA247" t="s">
        <v>1043</v>
      </c>
      <c r="FB247">
        <v>0</v>
      </c>
      <c r="FC247">
        <v>0</v>
      </c>
      <c r="FE247" t="s">
        <v>1050</v>
      </c>
      <c r="FF247">
        <v>0</v>
      </c>
      <c r="FG247" t="s">
        <v>1050</v>
      </c>
      <c r="FJ247">
        <v>0</v>
      </c>
      <c r="FK247">
        <v>0</v>
      </c>
      <c r="FP247">
        <v>0</v>
      </c>
      <c r="FR247">
        <v>0</v>
      </c>
      <c r="FS247" t="s">
        <v>1043</v>
      </c>
      <c r="FX247" t="s">
        <v>1042</v>
      </c>
      <c r="FZ247" t="s">
        <v>1048</v>
      </c>
      <c r="GA247">
        <v>0</v>
      </c>
      <c r="GB247" t="s">
        <v>1042</v>
      </c>
      <c r="GE247">
        <v>0</v>
      </c>
      <c r="GG247">
        <v>0</v>
      </c>
      <c r="GN247">
        <v>0</v>
      </c>
      <c r="GO247" t="s">
        <v>1063</v>
      </c>
      <c r="GQ247">
        <v>0</v>
      </c>
      <c r="GU247">
        <v>0</v>
      </c>
      <c r="GY247" t="s">
        <v>1045</v>
      </c>
      <c r="HB247">
        <v>0</v>
      </c>
      <c r="HE247">
        <v>0</v>
      </c>
      <c r="HF247">
        <v>0</v>
      </c>
      <c r="HG247">
        <v>0</v>
      </c>
      <c r="HK247" t="s">
        <v>1042</v>
      </c>
      <c r="HM247" t="s">
        <v>1047</v>
      </c>
      <c r="HN247">
        <v>0</v>
      </c>
      <c r="HP247">
        <v>0</v>
      </c>
      <c r="HQ247">
        <v>0</v>
      </c>
      <c r="HR247" t="s">
        <v>1042</v>
      </c>
      <c r="HS247" t="s">
        <v>1043</v>
      </c>
      <c r="HT247">
        <v>0</v>
      </c>
      <c r="HU247">
        <v>0</v>
      </c>
      <c r="HW247">
        <v>0</v>
      </c>
      <c r="HX247">
        <v>0</v>
      </c>
      <c r="HY247">
        <v>0</v>
      </c>
      <c r="HZ247" t="s">
        <v>1045</v>
      </c>
      <c r="IA247">
        <v>0</v>
      </c>
      <c r="IB247" t="s">
        <v>1045</v>
      </c>
      <c r="ID247" t="s">
        <v>1045</v>
      </c>
      <c r="IF247">
        <v>0</v>
      </c>
      <c r="IG247" t="s">
        <v>1042</v>
      </c>
      <c r="II247" t="s">
        <v>1042</v>
      </c>
      <c r="IR247" t="s">
        <v>1045</v>
      </c>
      <c r="IT247">
        <v>0</v>
      </c>
      <c r="IY247" t="s">
        <v>1044</v>
      </c>
      <c r="IZ247" t="s">
        <v>1043</v>
      </c>
      <c r="JC247" t="s">
        <v>1043</v>
      </c>
      <c r="JE247">
        <v>0</v>
      </c>
      <c r="JF247">
        <v>0</v>
      </c>
      <c r="JI247" t="s">
        <v>1042</v>
      </c>
      <c r="JJ247">
        <v>0</v>
      </c>
      <c r="JK247">
        <v>0</v>
      </c>
      <c r="JL247">
        <v>0</v>
      </c>
      <c r="JM247">
        <v>0</v>
      </c>
      <c r="JQ247" t="s">
        <v>1043</v>
      </c>
      <c r="JT247">
        <v>0</v>
      </c>
      <c r="JU247" t="s">
        <v>1042</v>
      </c>
      <c r="JW247">
        <v>0</v>
      </c>
      <c r="KA247">
        <v>0</v>
      </c>
      <c r="KF247">
        <v>0</v>
      </c>
      <c r="KG247">
        <v>0</v>
      </c>
      <c r="KH247">
        <v>0</v>
      </c>
      <c r="KI247">
        <v>0</v>
      </c>
      <c r="KS247" t="s">
        <v>1073</v>
      </c>
      <c r="KT247">
        <v>0</v>
      </c>
      <c r="KU247">
        <v>0</v>
      </c>
      <c r="KV247">
        <v>0</v>
      </c>
      <c r="KX247">
        <v>0</v>
      </c>
      <c r="KZ247">
        <v>0</v>
      </c>
      <c r="LF247">
        <v>0</v>
      </c>
      <c r="LH247">
        <v>0</v>
      </c>
      <c r="LI247">
        <v>0</v>
      </c>
    </row>
    <row r="248" spans="1:321" x14ac:dyDescent="0.35">
      <c r="A248">
        <v>1</v>
      </c>
      <c r="B248">
        <v>12472</v>
      </c>
      <c r="C248" t="s">
        <v>1448</v>
      </c>
      <c r="D248" t="s">
        <v>1139</v>
      </c>
      <c r="E248" t="s">
        <v>85</v>
      </c>
      <c r="F248">
        <v>80</v>
      </c>
      <c r="G248">
        <v>9000</v>
      </c>
      <c r="H248">
        <v>0</v>
      </c>
      <c r="I248" t="s">
        <v>1050</v>
      </c>
      <c r="L248">
        <v>0</v>
      </c>
      <c r="M248">
        <v>0</v>
      </c>
      <c r="N248">
        <v>0</v>
      </c>
      <c r="R248">
        <v>0</v>
      </c>
      <c r="S248">
        <v>0</v>
      </c>
      <c r="W248" t="s">
        <v>1060</v>
      </c>
      <c r="X248">
        <v>0</v>
      </c>
      <c r="Z248">
        <v>1</v>
      </c>
      <c r="AA248">
        <v>0</v>
      </c>
      <c r="AB248">
        <v>0</v>
      </c>
      <c r="AC248">
        <v>0</v>
      </c>
      <c r="AD248" s="20">
        <v>40792</v>
      </c>
      <c r="AE248">
        <v>3.6</v>
      </c>
      <c r="AF248">
        <v>0</v>
      </c>
      <c r="AH248">
        <v>0</v>
      </c>
      <c r="AJ248">
        <v>0</v>
      </c>
      <c r="AL248">
        <v>0</v>
      </c>
      <c r="AM248">
        <v>0</v>
      </c>
      <c r="AN248">
        <v>16601001</v>
      </c>
      <c r="AO248">
        <v>0</v>
      </c>
      <c r="AP248">
        <v>1000</v>
      </c>
      <c r="AT248">
        <v>0</v>
      </c>
      <c r="AU248" t="s">
        <v>1059</v>
      </c>
      <c r="AW248" t="s">
        <v>1053</v>
      </c>
      <c r="AX248">
        <v>0</v>
      </c>
      <c r="AY248" s="20">
        <v>40792</v>
      </c>
      <c r="BA248" s="20">
        <v>40792</v>
      </c>
      <c r="BB248" t="s">
        <v>1058</v>
      </c>
      <c r="BD248">
        <v>0</v>
      </c>
      <c r="BF248" t="s">
        <v>1043</v>
      </c>
      <c r="BG248" t="s">
        <v>1042</v>
      </c>
      <c r="BH248">
        <v>0</v>
      </c>
      <c r="BI248">
        <v>1</v>
      </c>
      <c r="BJ248">
        <v>0</v>
      </c>
      <c r="BK248">
        <v>0</v>
      </c>
      <c r="BM248" t="s">
        <v>1042</v>
      </c>
      <c r="BN248">
        <v>0</v>
      </c>
      <c r="BR248" t="s">
        <v>1043</v>
      </c>
      <c r="BS248" t="s">
        <v>1043</v>
      </c>
      <c r="BT248" t="s">
        <v>1043</v>
      </c>
      <c r="BW248">
        <v>83</v>
      </c>
      <c r="CA248">
        <v>0</v>
      </c>
      <c r="CB248" t="s">
        <v>1057</v>
      </c>
      <c r="CE248" t="s">
        <v>1043</v>
      </c>
      <c r="CH248" t="s">
        <v>1043</v>
      </c>
      <c r="CN248" t="s">
        <v>1056</v>
      </c>
      <c r="CO248" t="s">
        <v>1043</v>
      </c>
      <c r="CP248">
        <v>1</v>
      </c>
      <c r="CQ248">
        <v>0</v>
      </c>
      <c r="CS248">
        <v>0</v>
      </c>
      <c r="CT248">
        <v>0</v>
      </c>
      <c r="CU248">
        <v>0</v>
      </c>
      <c r="CV248" t="s">
        <v>1045</v>
      </c>
      <c r="CW248">
        <v>0</v>
      </c>
      <c r="CX248">
        <v>0</v>
      </c>
      <c r="CY248">
        <v>0</v>
      </c>
      <c r="CZ248">
        <v>0</v>
      </c>
      <c r="DB248">
        <v>0</v>
      </c>
      <c r="DC248" t="s">
        <v>1043</v>
      </c>
      <c r="DF248" t="s">
        <v>1055</v>
      </c>
      <c r="DH248">
        <v>0</v>
      </c>
      <c r="DJ248">
        <v>0</v>
      </c>
      <c r="DK248" t="s">
        <v>1053</v>
      </c>
      <c r="DL248">
        <v>0</v>
      </c>
      <c r="DN248">
        <v>0</v>
      </c>
      <c r="DO248" t="s">
        <v>1042</v>
      </c>
      <c r="DP248">
        <v>0</v>
      </c>
      <c r="DQ248">
        <v>0</v>
      </c>
      <c r="DS248">
        <v>0</v>
      </c>
      <c r="DU248">
        <v>0</v>
      </c>
      <c r="DW248">
        <v>0</v>
      </c>
      <c r="DX248" t="s">
        <v>1043</v>
      </c>
      <c r="DY248">
        <v>0</v>
      </c>
      <c r="DZ248">
        <v>0</v>
      </c>
      <c r="EA248">
        <v>0</v>
      </c>
      <c r="ED248" t="s">
        <v>1045</v>
      </c>
      <c r="EE248">
        <v>0</v>
      </c>
      <c r="EF248">
        <v>0</v>
      </c>
      <c r="EQ248" t="s">
        <v>1044</v>
      </c>
      <c r="ES248" t="s">
        <v>1053</v>
      </c>
      <c r="ET248">
        <v>0</v>
      </c>
      <c r="EV248">
        <v>0</v>
      </c>
      <c r="EY248" t="s">
        <v>1052</v>
      </c>
      <c r="EZ248">
        <v>0</v>
      </c>
      <c r="FA248" t="s">
        <v>1043</v>
      </c>
      <c r="FB248">
        <v>0</v>
      </c>
      <c r="FC248">
        <v>0</v>
      </c>
      <c r="FE248" t="s">
        <v>1050</v>
      </c>
      <c r="FF248">
        <v>0</v>
      </c>
      <c r="FG248" t="s">
        <v>1050</v>
      </c>
      <c r="FJ248">
        <v>0</v>
      </c>
      <c r="FK248">
        <v>0</v>
      </c>
      <c r="FP248">
        <v>0</v>
      </c>
      <c r="FR248">
        <v>0</v>
      </c>
      <c r="FS248" t="s">
        <v>1043</v>
      </c>
      <c r="FX248" t="s">
        <v>1042</v>
      </c>
      <c r="FZ248" t="s">
        <v>1048</v>
      </c>
      <c r="GA248">
        <v>0</v>
      </c>
      <c r="GB248" t="s">
        <v>1042</v>
      </c>
      <c r="GE248">
        <v>0</v>
      </c>
      <c r="GG248">
        <v>0</v>
      </c>
      <c r="GN248">
        <v>0</v>
      </c>
      <c r="GO248" t="s">
        <v>1063</v>
      </c>
      <c r="GQ248">
        <v>0</v>
      </c>
      <c r="GU248">
        <v>0</v>
      </c>
      <c r="GY248" t="s">
        <v>1045</v>
      </c>
      <c r="HB248">
        <v>0</v>
      </c>
      <c r="HE248">
        <v>0</v>
      </c>
      <c r="HF248">
        <v>0</v>
      </c>
      <c r="HG248">
        <v>0</v>
      </c>
      <c r="HK248" t="s">
        <v>1042</v>
      </c>
      <c r="HM248" t="s">
        <v>1047</v>
      </c>
      <c r="HN248">
        <v>0</v>
      </c>
      <c r="HP248">
        <v>0</v>
      </c>
      <c r="HQ248">
        <v>0</v>
      </c>
      <c r="HR248" t="s">
        <v>1042</v>
      </c>
      <c r="HS248" t="s">
        <v>1043</v>
      </c>
      <c r="HT248">
        <v>0</v>
      </c>
      <c r="HU248">
        <v>0</v>
      </c>
      <c r="HW248">
        <v>0</v>
      </c>
      <c r="HX248">
        <v>0</v>
      </c>
      <c r="HY248">
        <v>0</v>
      </c>
      <c r="HZ248" t="s">
        <v>1045</v>
      </c>
      <c r="IA248">
        <v>0</v>
      </c>
      <c r="IB248" t="s">
        <v>1045</v>
      </c>
      <c r="ID248" t="s">
        <v>1045</v>
      </c>
      <c r="IF248">
        <v>0</v>
      </c>
      <c r="IG248" t="s">
        <v>1042</v>
      </c>
      <c r="II248" t="s">
        <v>1042</v>
      </c>
      <c r="IR248" t="s">
        <v>1045</v>
      </c>
      <c r="IT248">
        <v>0</v>
      </c>
      <c r="IY248" t="s">
        <v>1044</v>
      </c>
      <c r="IZ248" t="s">
        <v>1043</v>
      </c>
      <c r="JC248" t="s">
        <v>1043</v>
      </c>
      <c r="JE248">
        <v>0</v>
      </c>
      <c r="JF248">
        <v>0</v>
      </c>
      <c r="JI248" t="s">
        <v>1042</v>
      </c>
      <c r="JJ248">
        <v>0</v>
      </c>
      <c r="JK248">
        <v>0</v>
      </c>
      <c r="JL248">
        <v>0</v>
      </c>
      <c r="JM248">
        <v>0</v>
      </c>
      <c r="JQ248" t="s">
        <v>1043</v>
      </c>
      <c r="JT248">
        <v>0</v>
      </c>
      <c r="JU248" t="s">
        <v>1042</v>
      </c>
      <c r="JW248">
        <v>0</v>
      </c>
      <c r="KA248">
        <v>0</v>
      </c>
      <c r="KF248">
        <v>0</v>
      </c>
      <c r="KG248">
        <v>0</v>
      </c>
      <c r="KH248">
        <v>0</v>
      </c>
      <c r="KI248">
        <v>0</v>
      </c>
      <c r="KS248" t="s">
        <v>1073</v>
      </c>
      <c r="KT248">
        <v>0</v>
      </c>
      <c r="KU248">
        <v>0</v>
      </c>
      <c r="KV248">
        <v>0</v>
      </c>
      <c r="KX248">
        <v>0</v>
      </c>
      <c r="KZ248">
        <v>0</v>
      </c>
      <c r="LF248">
        <v>0</v>
      </c>
      <c r="LH248">
        <v>0</v>
      </c>
      <c r="LI248">
        <v>0</v>
      </c>
    </row>
    <row r="249" spans="1:321" x14ac:dyDescent="0.35">
      <c r="A249">
        <v>1</v>
      </c>
      <c r="B249">
        <v>12473</v>
      </c>
      <c r="C249" t="s">
        <v>1447</v>
      </c>
      <c r="D249" t="s">
        <v>1133</v>
      </c>
      <c r="E249" t="s">
        <v>19</v>
      </c>
      <c r="F249">
        <v>80</v>
      </c>
      <c r="G249">
        <v>9000</v>
      </c>
      <c r="H249">
        <v>0</v>
      </c>
      <c r="I249" t="s">
        <v>1327</v>
      </c>
      <c r="L249">
        <v>0</v>
      </c>
      <c r="M249">
        <v>0</v>
      </c>
      <c r="N249">
        <v>0</v>
      </c>
      <c r="R249">
        <v>0</v>
      </c>
      <c r="S249">
        <v>0</v>
      </c>
      <c r="W249" t="s">
        <v>1060</v>
      </c>
      <c r="X249">
        <v>0</v>
      </c>
      <c r="Z249">
        <v>1</v>
      </c>
      <c r="AA249">
        <v>0</v>
      </c>
      <c r="AB249">
        <v>0</v>
      </c>
      <c r="AC249">
        <v>8.64</v>
      </c>
      <c r="AD249" s="20">
        <v>43187</v>
      </c>
      <c r="AE249">
        <v>9.52</v>
      </c>
      <c r="AF249">
        <v>0</v>
      </c>
      <c r="AH249">
        <v>0</v>
      </c>
      <c r="AJ249">
        <v>0</v>
      </c>
      <c r="AL249">
        <v>1</v>
      </c>
      <c r="AM249">
        <v>0</v>
      </c>
      <c r="AN249">
        <v>16601001</v>
      </c>
      <c r="AO249">
        <v>0</v>
      </c>
      <c r="AP249">
        <v>1000</v>
      </c>
      <c r="AT249">
        <v>0</v>
      </c>
      <c r="AU249" t="s">
        <v>1059</v>
      </c>
      <c r="AW249" t="s">
        <v>1053</v>
      </c>
      <c r="AX249">
        <v>0</v>
      </c>
      <c r="AY249" s="20">
        <v>40792</v>
      </c>
      <c r="BA249" s="20">
        <v>40792</v>
      </c>
      <c r="BB249" t="s">
        <v>1058</v>
      </c>
      <c r="BD249">
        <v>0</v>
      </c>
      <c r="BF249" t="s">
        <v>1043</v>
      </c>
      <c r="BG249" t="s">
        <v>1042</v>
      </c>
      <c r="BH249">
        <v>0</v>
      </c>
      <c r="BI249">
        <v>1</v>
      </c>
      <c r="BJ249">
        <v>0</v>
      </c>
      <c r="BK249">
        <v>0</v>
      </c>
      <c r="BM249" t="s">
        <v>1042</v>
      </c>
      <c r="BN249">
        <v>0</v>
      </c>
      <c r="BR249" t="s">
        <v>1043</v>
      </c>
      <c r="BS249" t="s">
        <v>1043</v>
      </c>
      <c r="BT249" t="s">
        <v>1043</v>
      </c>
      <c r="BW249">
        <v>83</v>
      </c>
      <c r="CA249">
        <v>0</v>
      </c>
      <c r="CB249" t="s">
        <v>1057</v>
      </c>
      <c r="CE249" t="s">
        <v>1043</v>
      </c>
      <c r="CH249" t="s">
        <v>1043</v>
      </c>
      <c r="CN249" t="s">
        <v>1056</v>
      </c>
      <c r="CO249" t="s">
        <v>1043</v>
      </c>
      <c r="CP249">
        <v>1</v>
      </c>
      <c r="CQ249">
        <v>0</v>
      </c>
      <c r="CS249">
        <v>0</v>
      </c>
      <c r="CT249">
        <v>0</v>
      </c>
      <c r="CU249">
        <v>0</v>
      </c>
      <c r="CV249" t="s">
        <v>1045</v>
      </c>
      <c r="CW249">
        <v>0</v>
      </c>
      <c r="CX249">
        <v>0</v>
      </c>
      <c r="CY249">
        <v>0</v>
      </c>
      <c r="CZ249">
        <v>0</v>
      </c>
      <c r="DB249">
        <v>0</v>
      </c>
      <c r="DC249" t="s">
        <v>1043</v>
      </c>
      <c r="DF249" t="s">
        <v>1055</v>
      </c>
      <c r="DH249">
        <v>0</v>
      </c>
      <c r="DJ249">
        <v>0</v>
      </c>
      <c r="DK249" t="s">
        <v>1053</v>
      </c>
      <c r="DL249">
        <v>0</v>
      </c>
      <c r="DN249">
        <v>0</v>
      </c>
      <c r="DO249" t="s">
        <v>1042</v>
      </c>
      <c r="DP249">
        <v>0</v>
      </c>
      <c r="DQ249">
        <v>0</v>
      </c>
      <c r="DS249">
        <v>0</v>
      </c>
      <c r="DU249">
        <v>0</v>
      </c>
      <c r="DW249">
        <v>0</v>
      </c>
      <c r="DX249" t="s">
        <v>1043</v>
      </c>
      <c r="DY249">
        <v>0</v>
      </c>
      <c r="DZ249">
        <v>0</v>
      </c>
      <c r="EA249">
        <v>0</v>
      </c>
      <c r="ED249" t="s">
        <v>1045</v>
      </c>
      <c r="EE249">
        <v>0</v>
      </c>
      <c r="EF249">
        <v>0</v>
      </c>
      <c r="EQ249" t="s">
        <v>1044</v>
      </c>
      <c r="ES249" t="s">
        <v>1053</v>
      </c>
      <c r="ET249">
        <v>0</v>
      </c>
      <c r="EV249">
        <v>0</v>
      </c>
      <c r="EY249" t="s">
        <v>1052</v>
      </c>
      <c r="EZ249">
        <v>0</v>
      </c>
      <c r="FA249" t="s">
        <v>1043</v>
      </c>
      <c r="FB249">
        <v>0</v>
      </c>
      <c r="FC249">
        <v>0</v>
      </c>
      <c r="FE249" t="s">
        <v>1050</v>
      </c>
      <c r="FF249">
        <v>0</v>
      </c>
      <c r="FG249" t="s">
        <v>1050</v>
      </c>
      <c r="FJ249">
        <v>0</v>
      </c>
      <c r="FK249">
        <v>0</v>
      </c>
      <c r="FP249">
        <v>0</v>
      </c>
      <c r="FR249">
        <v>0</v>
      </c>
      <c r="FS249" t="s">
        <v>1043</v>
      </c>
      <c r="FX249" t="s">
        <v>1042</v>
      </c>
      <c r="FZ249" t="s">
        <v>1048</v>
      </c>
      <c r="GA249">
        <v>0</v>
      </c>
      <c r="GB249" t="s">
        <v>1042</v>
      </c>
      <c r="GE249">
        <v>0</v>
      </c>
      <c r="GG249">
        <v>0</v>
      </c>
      <c r="GN249">
        <v>0</v>
      </c>
      <c r="GO249" t="s">
        <v>1063</v>
      </c>
      <c r="GQ249">
        <v>0</v>
      </c>
      <c r="GU249">
        <v>0</v>
      </c>
      <c r="GY249" t="s">
        <v>1045</v>
      </c>
      <c r="HB249">
        <v>0</v>
      </c>
      <c r="HE249">
        <v>0</v>
      </c>
      <c r="HF249">
        <v>0</v>
      </c>
      <c r="HG249">
        <v>0</v>
      </c>
      <c r="HK249" t="s">
        <v>1042</v>
      </c>
      <c r="HM249" t="s">
        <v>1047</v>
      </c>
      <c r="HN249">
        <v>0</v>
      </c>
      <c r="HP249">
        <v>0</v>
      </c>
      <c r="HQ249">
        <v>0</v>
      </c>
      <c r="HR249" t="s">
        <v>1042</v>
      </c>
      <c r="HS249" t="s">
        <v>1043</v>
      </c>
      <c r="HT249">
        <v>0</v>
      </c>
      <c r="HU249">
        <v>0</v>
      </c>
      <c r="HW249">
        <v>0</v>
      </c>
      <c r="HX249">
        <v>0</v>
      </c>
      <c r="HY249">
        <v>1</v>
      </c>
      <c r="HZ249" t="s">
        <v>1045</v>
      </c>
      <c r="IA249">
        <v>9.52</v>
      </c>
      <c r="IB249" t="s">
        <v>1045</v>
      </c>
      <c r="ID249" t="s">
        <v>1045</v>
      </c>
      <c r="IF249">
        <v>0</v>
      </c>
      <c r="IG249" t="s">
        <v>1042</v>
      </c>
      <c r="II249" t="s">
        <v>1042</v>
      </c>
      <c r="IR249" t="s">
        <v>1045</v>
      </c>
      <c r="IT249">
        <v>0</v>
      </c>
      <c r="IY249" t="s">
        <v>1044</v>
      </c>
      <c r="IZ249" t="s">
        <v>1043</v>
      </c>
      <c r="JC249" t="s">
        <v>1043</v>
      </c>
      <c r="JE249">
        <v>0</v>
      </c>
      <c r="JF249">
        <v>0</v>
      </c>
      <c r="JI249" t="s">
        <v>1042</v>
      </c>
      <c r="JJ249">
        <v>0</v>
      </c>
      <c r="JK249">
        <v>0</v>
      </c>
      <c r="JL249">
        <v>0</v>
      </c>
      <c r="JM249">
        <v>0</v>
      </c>
      <c r="JQ249" t="s">
        <v>1043</v>
      </c>
      <c r="JT249">
        <v>0</v>
      </c>
      <c r="JU249" t="s">
        <v>1042</v>
      </c>
      <c r="JW249">
        <v>0</v>
      </c>
      <c r="KA249">
        <v>0</v>
      </c>
      <c r="KF249">
        <v>0</v>
      </c>
      <c r="KG249">
        <v>0</v>
      </c>
      <c r="KH249">
        <v>0</v>
      </c>
      <c r="KI249">
        <v>0</v>
      </c>
      <c r="KS249" t="s">
        <v>1073</v>
      </c>
      <c r="KT249">
        <v>0</v>
      </c>
      <c r="KU249">
        <v>0</v>
      </c>
      <c r="KV249">
        <v>0</v>
      </c>
      <c r="KX249">
        <v>0</v>
      </c>
      <c r="KZ249">
        <v>0</v>
      </c>
      <c r="LF249">
        <v>0</v>
      </c>
      <c r="LH249">
        <v>0</v>
      </c>
      <c r="LI249">
        <v>0</v>
      </c>
    </row>
    <row r="250" spans="1:321" x14ac:dyDescent="0.35">
      <c r="A250">
        <v>1</v>
      </c>
      <c r="B250">
        <v>12474</v>
      </c>
      <c r="C250" t="s">
        <v>1446</v>
      </c>
      <c r="D250" t="s">
        <v>1139</v>
      </c>
      <c r="E250" t="s">
        <v>1085</v>
      </c>
      <c r="F250">
        <v>80</v>
      </c>
      <c r="G250">
        <v>9000</v>
      </c>
      <c r="H250">
        <v>0</v>
      </c>
      <c r="I250" t="s">
        <v>1050</v>
      </c>
      <c r="L250">
        <v>0</v>
      </c>
      <c r="M250">
        <v>0</v>
      </c>
      <c r="N250">
        <v>0</v>
      </c>
      <c r="R250">
        <v>0</v>
      </c>
      <c r="S250">
        <v>0</v>
      </c>
      <c r="W250" t="s">
        <v>1060</v>
      </c>
      <c r="X250">
        <v>0</v>
      </c>
      <c r="Z250">
        <v>1</v>
      </c>
      <c r="AA250">
        <v>0</v>
      </c>
      <c r="AB250">
        <v>0</v>
      </c>
      <c r="AC250">
        <v>0</v>
      </c>
      <c r="AD250" s="20">
        <v>40793</v>
      </c>
      <c r="AE250">
        <v>2.68</v>
      </c>
      <c r="AF250">
        <v>0</v>
      </c>
      <c r="AH250">
        <v>0</v>
      </c>
      <c r="AJ250">
        <v>0</v>
      </c>
      <c r="AL250">
        <v>0</v>
      </c>
      <c r="AM250">
        <v>0</v>
      </c>
      <c r="AN250">
        <v>16601003</v>
      </c>
      <c r="AO250">
        <v>0</v>
      </c>
      <c r="AP250">
        <v>1000</v>
      </c>
      <c r="AT250">
        <v>0</v>
      </c>
      <c r="AU250" t="s">
        <v>1059</v>
      </c>
      <c r="AW250" t="s">
        <v>1053</v>
      </c>
      <c r="AX250">
        <v>0</v>
      </c>
      <c r="AY250" s="20">
        <v>40793</v>
      </c>
      <c r="BA250" s="20">
        <v>40793</v>
      </c>
      <c r="BB250" t="s">
        <v>1058</v>
      </c>
      <c r="BD250">
        <v>0</v>
      </c>
      <c r="BF250" t="s">
        <v>1043</v>
      </c>
      <c r="BG250" t="s">
        <v>1042</v>
      </c>
      <c r="BH250">
        <v>0</v>
      </c>
      <c r="BI250">
        <v>1</v>
      </c>
      <c r="BJ250">
        <v>0</v>
      </c>
      <c r="BK250">
        <v>0</v>
      </c>
      <c r="BM250" t="s">
        <v>1042</v>
      </c>
      <c r="BN250">
        <v>0</v>
      </c>
      <c r="BR250" t="s">
        <v>1043</v>
      </c>
      <c r="BS250" t="s">
        <v>1043</v>
      </c>
      <c r="BT250" t="s">
        <v>1043</v>
      </c>
      <c r="BW250">
        <v>83</v>
      </c>
      <c r="CA250">
        <v>0</v>
      </c>
      <c r="CB250" t="s">
        <v>1057</v>
      </c>
      <c r="CE250" t="s">
        <v>1043</v>
      </c>
      <c r="CH250" t="s">
        <v>1043</v>
      </c>
      <c r="CN250" t="s">
        <v>1056</v>
      </c>
      <c r="CO250" t="s">
        <v>1043</v>
      </c>
      <c r="CP250">
        <v>1</v>
      </c>
      <c r="CQ250">
        <v>0</v>
      </c>
      <c r="CS250">
        <v>0</v>
      </c>
      <c r="CT250">
        <v>0</v>
      </c>
      <c r="CU250">
        <v>0</v>
      </c>
      <c r="CV250" t="s">
        <v>1045</v>
      </c>
      <c r="CW250">
        <v>0</v>
      </c>
      <c r="CX250">
        <v>0</v>
      </c>
      <c r="CY250">
        <v>0</v>
      </c>
      <c r="CZ250">
        <v>0</v>
      </c>
      <c r="DB250">
        <v>0</v>
      </c>
      <c r="DC250" t="s">
        <v>1043</v>
      </c>
      <c r="DF250" t="s">
        <v>1055</v>
      </c>
      <c r="DH250">
        <v>0</v>
      </c>
      <c r="DJ250">
        <v>0</v>
      </c>
      <c r="DK250" t="s">
        <v>1053</v>
      </c>
      <c r="DL250">
        <v>0</v>
      </c>
      <c r="DN250">
        <v>0</v>
      </c>
      <c r="DO250" t="s">
        <v>1042</v>
      </c>
      <c r="DP250">
        <v>0</v>
      </c>
      <c r="DQ250">
        <v>0</v>
      </c>
      <c r="DS250">
        <v>0</v>
      </c>
      <c r="DU250">
        <v>0</v>
      </c>
      <c r="DW250">
        <v>0</v>
      </c>
      <c r="DX250" t="s">
        <v>1043</v>
      </c>
      <c r="DY250">
        <v>0</v>
      </c>
      <c r="DZ250">
        <v>0</v>
      </c>
      <c r="EA250">
        <v>0</v>
      </c>
      <c r="ED250" t="s">
        <v>1045</v>
      </c>
      <c r="EE250">
        <v>0</v>
      </c>
      <c r="EF250">
        <v>0</v>
      </c>
      <c r="EQ250" t="s">
        <v>1044</v>
      </c>
      <c r="ES250" t="s">
        <v>1053</v>
      </c>
      <c r="ET250">
        <v>0</v>
      </c>
      <c r="EV250">
        <v>0</v>
      </c>
      <c r="EY250" t="s">
        <v>1052</v>
      </c>
      <c r="EZ250">
        <v>0</v>
      </c>
      <c r="FA250" t="s">
        <v>1043</v>
      </c>
      <c r="FB250">
        <v>0</v>
      </c>
      <c r="FC250">
        <v>0</v>
      </c>
      <c r="FE250" t="s">
        <v>1050</v>
      </c>
      <c r="FF250">
        <v>0</v>
      </c>
      <c r="FG250" t="s">
        <v>1050</v>
      </c>
      <c r="FJ250">
        <v>0</v>
      </c>
      <c r="FK250">
        <v>0</v>
      </c>
      <c r="FP250">
        <v>0</v>
      </c>
      <c r="FR250">
        <v>0</v>
      </c>
      <c r="FS250" t="s">
        <v>1043</v>
      </c>
      <c r="FX250" t="s">
        <v>1042</v>
      </c>
      <c r="FZ250" t="s">
        <v>1048</v>
      </c>
      <c r="GA250">
        <v>0</v>
      </c>
      <c r="GB250" t="s">
        <v>1042</v>
      </c>
      <c r="GE250">
        <v>0</v>
      </c>
      <c r="GG250">
        <v>0</v>
      </c>
      <c r="GN250">
        <v>0</v>
      </c>
      <c r="GO250" t="s">
        <v>1063</v>
      </c>
      <c r="GQ250">
        <v>0</v>
      </c>
      <c r="GU250">
        <v>0</v>
      </c>
      <c r="GY250" t="s">
        <v>1045</v>
      </c>
      <c r="HB250">
        <v>0</v>
      </c>
      <c r="HE250">
        <v>0</v>
      </c>
      <c r="HF250">
        <v>0</v>
      </c>
      <c r="HG250">
        <v>0</v>
      </c>
      <c r="HK250" t="s">
        <v>1042</v>
      </c>
      <c r="HM250" t="s">
        <v>1047</v>
      </c>
      <c r="HN250">
        <v>0</v>
      </c>
      <c r="HP250">
        <v>0</v>
      </c>
      <c r="HQ250">
        <v>0</v>
      </c>
      <c r="HR250" t="s">
        <v>1042</v>
      </c>
      <c r="HS250" t="s">
        <v>1043</v>
      </c>
      <c r="HT250">
        <v>0</v>
      </c>
      <c r="HU250">
        <v>0</v>
      </c>
      <c r="HW250">
        <v>0</v>
      </c>
      <c r="HX250">
        <v>0</v>
      </c>
      <c r="HY250">
        <v>0</v>
      </c>
      <c r="HZ250" t="s">
        <v>1045</v>
      </c>
      <c r="IA250">
        <v>0</v>
      </c>
      <c r="IB250" t="s">
        <v>1045</v>
      </c>
      <c r="ID250" t="s">
        <v>1045</v>
      </c>
      <c r="IF250">
        <v>0</v>
      </c>
      <c r="IG250" t="s">
        <v>1042</v>
      </c>
      <c r="II250" t="s">
        <v>1042</v>
      </c>
      <c r="IR250" t="s">
        <v>1045</v>
      </c>
      <c r="IT250">
        <v>0</v>
      </c>
      <c r="IY250" t="s">
        <v>1044</v>
      </c>
      <c r="IZ250" t="s">
        <v>1043</v>
      </c>
      <c r="JC250" t="s">
        <v>1043</v>
      </c>
      <c r="JE250">
        <v>0</v>
      </c>
      <c r="JF250">
        <v>0</v>
      </c>
      <c r="JI250" t="s">
        <v>1042</v>
      </c>
      <c r="JJ250">
        <v>0</v>
      </c>
      <c r="JK250">
        <v>0</v>
      </c>
      <c r="JL250">
        <v>0</v>
      </c>
      <c r="JM250">
        <v>0</v>
      </c>
      <c r="JQ250" t="s">
        <v>1043</v>
      </c>
      <c r="JT250">
        <v>0</v>
      </c>
      <c r="JU250" t="s">
        <v>1042</v>
      </c>
      <c r="JW250">
        <v>0</v>
      </c>
      <c r="KA250">
        <v>0</v>
      </c>
      <c r="KF250">
        <v>0</v>
      </c>
      <c r="KG250">
        <v>0</v>
      </c>
      <c r="KH250">
        <v>0</v>
      </c>
      <c r="KI250">
        <v>0</v>
      </c>
      <c r="KS250" t="s">
        <v>1073</v>
      </c>
      <c r="KT250">
        <v>0</v>
      </c>
      <c r="KU250">
        <v>0</v>
      </c>
      <c r="KV250">
        <v>0</v>
      </c>
      <c r="KX250">
        <v>0</v>
      </c>
      <c r="KZ250">
        <v>0</v>
      </c>
      <c r="LF250">
        <v>0</v>
      </c>
      <c r="LH250">
        <v>0</v>
      </c>
      <c r="LI250">
        <v>0</v>
      </c>
    </row>
    <row r="251" spans="1:321" x14ac:dyDescent="0.35">
      <c r="A251">
        <v>1</v>
      </c>
      <c r="B251">
        <v>12475</v>
      </c>
      <c r="C251" t="s">
        <v>1445</v>
      </c>
      <c r="D251" t="s">
        <v>1139</v>
      </c>
      <c r="E251" t="s">
        <v>1085</v>
      </c>
      <c r="F251">
        <v>80</v>
      </c>
      <c r="G251">
        <v>9000</v>
      </c>
      <c r="H251">
        <v>0</v>
      </c>
      <c r="I251" t="s">
        <v>1050</v>
      </c>
      <c r="L251">
        <v>0</v>
      </c>
      <c r="M251">
        <v>0</v>
      </c>
      <c r="N251">
        <v>0</v>
      </c>
      <c r="R251">
        <v>0</v>
      </c>
      <c r="S251">
        <v>0</v>
      </c>
      <c r="W251" t="s">
        <v>1060</v>
      </c>
      <c r="X251">
        <v>0</v>
      </c>
      <c r="Z251">
        <v>1</v>
      </c>
      <c r="AA251">
        <v>0</v>
      </c>
      <c r="AB251">
        <v>0</v>
      </c>
      <c r="AC251">
        <v>0</v>
      </c>
      <c r="AD251" s="20">
        <v>40793</v>
      </c>
      <c r="AE251">
        <v>2.68</v>
      </c>
      <c r="AF251">
        <v>0</v>
      </c>
      <c r="AH251">
        <v>0</v>
      </c>
      <c r="AJ251">
        <v>0</v>
      </c>
      <c r="AL251">
        <v>0</v>
      </c>
      <c r="AM251">
        <v>0</v>
      </c>
      <c r="AN251">
        <v>16601003</v>
      </c>
      <c r="AO251">
        <v>0</v>
      </c>
      <c r="AP251">
        <v>1000</v>
      </c>
      <c r="AT251">
        <v>0</v>
      </c>
      <c r="AU251" t="s">
        <v>1059</v>
      </c>
      <c r="AW251" t="s">
        <v>1053</v>
      </c>
      <c r="AX251">
        <v>0</v>
      </c>
      <c r="AY251" s="20">
        <v>40793</v>
      </c>
      <c r="BA251" s="20">
        <v>40793</v>
      </c>
      <c r="BB251" t="s">
        <v>1058</v>
      </c>
      <c r="BD251">
        <v>0</v>
      </c>
      <c r="BF251" t="s">
        <v>1043</v>
      </c>
      <c r="BG251" t="s">
        <v>1042</v>
      </c>
      <c r="BH251">
        <v>0</v>
      </c>
      <c r="BI251">
        <v>1</v>
      </c>
      <c r="BJ251">
        <v>0</v>
      </c>
      <c r="BK251">
        <v>0</v>
      </c>
      <c r="BM251" t="s">
        <v>1042</v>
      </c>
      <c r="BN251">
        <v>0</v>
      </c>
      <c r="BR251" t="s">
        <v>1043</v>
      </c>
      <c r="BS251" t="s">
        <v>1043</v>
      </c>
      <c r="BT251" t="s">
        <v>1043</v>
      </c>
      <c r="BW251">
        <v>83</v>
      </c>
      <c r="CA251">
        <v>0</v>
      </c>
      <c r="CB251" t="s">
        <v>1057</v>
      </c>
      <c r="CE251" t="s">
        <v>1043</v>
      </c>
      <c r="CH251" t="s">
        <v>1043</v>
      </c>
      <c r="CN251" t="s">
        <v>1056</v>
      </c>
      <c r="CO251" t="s">
        <v>1043</v>
      </c>
      <c r="CP251">
        <v>1</v>
      </c>
      <c r="CQ251">
        <v>0</v>
      </c>
      <c r="CS251">
        <v>0</v>
      </c>
      <c r="CT251">
        <v>0</v>
      </c>
      <c r="CU251">
        <v>0</v>
      </c>
      <c r="CV251" t="s">
        <v>1045</v>
      </c>
      <c r="CW251">
        <v>0</v>
      </c>
      <c r="CX251">
        <v>0</v>
      </c>
      <c r="CY251">
        <v>0</v>
      </c>
      <c r="CZ251">
        <v>0</v>
      </c>
      <c r="DB251">
        <v>0</v>
      </c>
      <c r="DC251" t="s">
        <v>1043</v>
      </c>
      <c r="DF251" t="s">
        <v>1055</v>
      </c>
      <c r="DH251">
        <v>0</v>
      </c>
      <c r="DJ251">
        <v>0</v>
      </c>
      <c r="DK251" t="s">
        <v>1053</v>
      </c>
      <c r="DL251">
        <v>0</v>
      </c>
      <c r="DN251">
        <v>0</v>
      </c>
      <c r="DO251" t="s">
        <v>1042</v>
      </c>
      <c r="DP251">
        <v>0</v>
      </c>
      <c r="DQ251">
        <v>0</v>
      </c>
      <c r="DS251">
        <v>0</v>
      </c>
      <c r="DU251">
        <v>0</v>
      </c>
      <c r="DW251">
        <v>0</v>
      </c>
      <c r="DX251" t="s">
        <v>1043</v>
      </c>
      <c r="DY251">
        <v>0</v>
      </c>
      <c r="DZ251">
        <v>0</v>
      </c>
      <c r="EA251">
        <v>0</v>
      </c>
      <c r="ED251" t="s">
        <v>1045</v>
      </c>
      <c r="EE251">
        <v>0</v>
      </c>
      <c r="EF251">
        <v>0</v>
      </c>
      <c r="EQ251" t="s">
        <v>1044</v>
      </c>
      <c r="ES251" t="s">
        <v>1053</v>
      </c>
      <c r="ET251">
        <v>0</v>
      </c>
      <c r="EV251">
        <v>0</v>
      </c>
      <c r="EY251" t="s">
        <v>1052</v>
      </c>
      <c r="EZ251">
        <v>0</v>
      </c>
      <c r="FA251" t="s">
        <v>1043</v>
      </c>
      <c r="FB251">
        <v>0</v>
      </c>
      <c r="FC251">
        <v>0</v>
      </c>
      <c r="FE251" t="s">
        <v>1050</v>
      </c>
      <c r="FF251">
        <v>0</v>
      </c>
      <c r="FG251" t="s">
        <v>1050</v>
      </c>
      <c r="FJ251">
        <v>0</v>
      </c>
      <c r="FK251">
        <v>0</v>
      </c>
      <c r="FP251">
        <v>0</v>
      </c>
      <c r="FR251">
        <v>0</v>
      </c>
      <c r="FS251" t="s">
        <v>1043</v>
      </c>
      <c r="FX251" t="s">
        <v>1042</v>
      </c>
      <c r="FZ251" t="s">
        <v>1048</v>
      </c>
      <c r="GA251">
        <v>0</v>
      </c>
      <c r="GB251" t="s">
        <v>1042</v>
      </c>
      <c r="GE251">
        <v>0</v>
      </c>
      <c r="GG251">
        <v>0</v>
      </c>
      <c r="GN251">
        <v>0</v>
      </c>
      <c r="GO251" t="s">
        <v>1063</v>
      </c>
      <c r="GQ251">
        <v>0</v>
      </c>
      <c r="GU251">
        <v>0</v>
      </c>
      <c r="GY251" t="s">
        <v>1045</v>
      </c>
      <c r="HB251">
        <v>0</v>
      </c>
      <c r="HE251">
        <v>0</v>
      </c>
      <c r="HF251">
        <v>0</v>
      </c>
      <c r="HG251">
        <v>0</v>
      </c>
      <c r="HK251" t="s">
        <v>1042</v>
      </c>
      <c r="HM251" t="s">
        <v>1047</v>
      </c>
      <c r="HN251">
        <v>0</v>
      </c>
      <c r="HP251">
        <v>0</v>
      </c>
      <c r="HQ251">
        <v>0</v>
      </c>
      <c r="HR251" t="s">
        <v>1042</v>
      </c>
      <c r="HS251" t="s">
        <v>1043</v>
      </c>
      <c r="HT251">
        <v>0</v>
      </c>
      <c r="HU251">
        <v>0</v>
      </c>
      <c r="HW251">
        <v>0</v>
      </c>
      <c r="HX251">
        <v>0</v>
      </c>
      <c r="HY251">
        <v>0</v>
      </c>
      <c r="HZ251" t="s">
        <v>1045</v>
      </c>
      <c r="IA251">
        <v>0</v>
      </c>
      <c r="IB251" t="s">
        <v>1045</v>
      </c>
      <c r="ID251" t="s">
        <v>1045</v>
      </c>
      <c r="IF251">
        <v>0</v>
      </c>
      <c r="IG251" t="s">
        <v>1042</v>
      </c>
      <c r="II251" t="s">
        <v>1042</v>
      </c>
      <c r="IR251" t="s">
        <v>1045</v>
      </c>
      <c r="IT251">
        <v>0</v>
      </c>
      <c r="IY251" t="s">
        <v>1044</v>
      </c>
      <c r="IZ251" t="s">
        <v>1043</v>
      </c>
      <c r="JC251" t="s">
        <v>1043</v>
      </c>
      <c r="JE251">
        <v>0</v>
      </c>
      <c r="JF251">
        <v>0</v>
      </c>
      <c r="JI251" t="s">
        <v>1042</v>
      </c>
      <c r="JJ251">
        <v>0</v>
      </c>
      <c r="JK251">
        <v>0</v>
      </c>
      <c r="JL251">
        <v>0</v>
      </c>
      <c r="JM251">
        <v>0</v>
      </c>
      <c r="JQ251" t="s">
        <v>1043</v>
      </c>
      <c r="JT251">
        <v>0</v>
      </c>
      <c r="JU251" t="s">
        <v>1042</v>
      </c>
      <c r="JW251">
        <v>0</v>
      </c>
      <c r="KA251">
        <v>0</v>
      </c>
      <c r="KF251">
        <v>0</v>
      </c>
      <c r="KG251">
        <v>0</v>
      </c>
      <c r="KH251">
        <v>0</v>
      </c>
      <c r="KI251">
        <v>0</v>
      </c>
      <c r="KS251" t="s">
        <v>1073</v>
      </c>
      <c r="KT251">
        <v>0</v>
      </c>
      <c r="KU251">
        <v>0</v>
      </c>
      <c r="KV251">
        <v>0</v>
      </c>
      <c r="KX251">
        <v>0</v>
      </c>
      <c r="KZ251">
        <v>0</v>
      </c>
      <c r="LF251">
        <v>0</v>
      </c>
      <c r="LH251">
        <v>0</v>
      </c>
      <c r="LI251">
        <v>0</v>
      </c>
    </row>
    <row r="252" spans="1:321" x14ac:dyDescent="0.35">
      <c r="A252">
        <v>1</v>
      </c>
      <c r="B252">
        <v>12476</v>
      </c>
      <c r="C252" t="s">
        <v>1444</v>
      </c>
      <c r="D252" t="s">
        <v>1139</v>
      </c>
      <c r="E252" t="s">
        <v>1085</v>
      </c>
      <c r="F252">
        <v>80</v>
      </c>
      <c r="G252">
        <v>9000</v>
      </c>
      <c r="H252">
        <v>0</v>
      </c>
      <c r="I252" t="s">
        <v>1050</v>
      </c>
      <c r="L252">
        <v>0</v>
      </c>
      <c r="M252">
        <v>0</v>
      </c>
      <c r="N252">
        <v>0</v>
      </c>
      <c r="R252">
        <v>0</v>
      </c>
      <c r="S252">
        <v>0</v>
      </c>
      <c r="W252" t="s">
        <v>1060</v>
      </c>
      <c r="X252">
        <v>0</v>
      </c>
      <c r="Z252">
        <v>1</v>
      </c>
      <c r="AA252">
        <v>0</v>
      </c>
      <c r="AB252">
        <v>0</v>
      </c>
      <c r="AC252">
        <v>0</v>
      </c>
      <c r="AD252" s="20">
        <v>40793</v>
      </c>
      <c r="AE252">
        <v>2.68</v>
      </c>
      <c r="AF252">
        <v>0</v>
      </c>
      <c r="AH252">
        <v>0</v>
      </c>
      <c r="AJ252">
        <v>0</v>
      </c>
      <c r="AL252">
        <v>0</v>
      </c>
      <c r="AM252">
        <v>0</v>
      </c>
      <c r="AN252">
        <v>16601003</v>
      </c>
      <c r="AO252">
        <v>0</v>
      </c>
      <c r="AP252">
        <v>1000</v>
      </c>
      <c r="AT252">
        <v>0</v>
      </c>
      <c r="AU252" t="s">
        <v>1059</v>
      </c>
      <c r="AW252" t="s">
        <v>1053</v>
      </c>
      <c r="AX252">
        <v>0</v>
      </c>
      <c r="AY252" s="20">
        <v>40793</v>
      </c>
      <c r="BA252" s="20">
        <v>40793</v>
      </c>
      <c r="BB252" t="s">
        <v>1058</v>
      </c>
      <c r="BD252">
        <v>0</v>
      </c>
      <c r="BF252" t="s">
        <v>1043</v>
      </c>
      <c r="BG252" t="s">
        <v>1042</v>
      </c>
      <c r="BH252">
        <v>0</v>
      </c>
      <c r="BI252">
        <v>1</v>
      </c>
      <c r="BJ252">
        <v>0</v>
      </c>
      <c r="BK252">
        <v>0</v>
      </c>
      <c r="BM252" t="s">
        <v>1042</v>
      </c>
      <c r="BN252">
        <v>0</v>
      </c>
      <c r="BR252" t="s">
        <v>1043</v>
      </c>
      <c r="BS252" t="s">
        <v>1043</v>
      </c>
      <c r="BT252" t="s">
        <v>1043</v>
      </c>
      <c r="BW252">
        <v>83</v>
      </c>
      <c r="CA252">
        <v>0</v>
      </c>
      <c r="CB252" t="s">
        <v>1057</v>
      </c>
      <c r="CE252" t="s">
        <v>1043</v>
      </c>
      <c r="CH252" t="s">
        <v>1043</v>
      </c>
      <c r="CN252" t="s">
        <v>1056</v>
      </c>
      <c r="CO252" t="s">
        <v>1043</v>
      </c>
      <c r="CP252">
        <v>1</v>
      </c>
      <c r="CQ252">
        <v>0</v>
      </c>
      <c r="CS252">
        <v>0</v>
      </c>
      <c r="CT252">
        <v>0</v>
      </c>
      <c r="CU252">
        <v>0</v>
      </c>
      <c r="CV252" t="s">
        <v>1045</v>
      </c>
      <c r="CW252">
        <v>0</v>
      </c>
      <c r="CX252">
        <v>0</v>
      </c>
      <c r="CY252">
        <v>0</v>
      </c>
      <c r="CZ252">
        <v>0</v>
      </c>
      <c r="DB252">
        <v>0</v>
      </c>
      <c r="DC252" t="s">
        <v>1043</v>
      </c>
      <c r="DF252" t="s">
        <v>1055</v>
      </c>
      <c r="DH252">
        <v>0</v>
      </c>
      <c r="DJ252">
        <v>0</v>
      </c>
      <c r="DK252" t="s">
        <v>1053</v>
      </c>
      <c r="DL252">
        <v>0</v>
      </c>
      <c r="DN252">
        <v>0</v>
      </c>
      <c r="DO252" t="s">
        <v>1042</v>
      </c>
      <c r="DP252">
        <v>0</v>
      </c>
      <c r="DQ252">
        <v>0</v>
      </c>
      <c r="DS252">
        <v>0</v>
      </c>
      <c r="DU252">
        <v>0</v>
      </c>
      <c r="DW252">
        <v>0</v>
      </c>
      <c r="DX252" t="s">
        <v>1043</v>
      </c>
      <c r="DY252">
        <v>0</v>
      </c>
      <c r="DZ252">
        <v>0</v>
      </c>
      <c r="EA252">
        <v>0</v>
      </c>
      <c r="ED252" t="s">
        <v>1045</v>
      </c>
      <c r="EE252">
        <v>0</v>
      </c>
      <c r="EF252">
        <v>0</v>
      </c>
      <c r="EQ252" t="s">
        <v>1044</v>
      </c>
      <c r="ES252" t="s">
        <v>1053</v>
      </c>
      <c r="ET252">
        <v>0</v>
      </c>
      <c r="EV252">
        <v>0</v>
      </c>
      <c r="EY252" t="s">
        <v>1052</v>
      </c>
      <c r="EZ252">
        <v>0</v>
      </c>
      <c r="FA252" t="s">
        <v>1043</v>
      </c>
      <c r="FB252">
        <v>0</v>
      </c>
      <c r="FC252">
        <v>0</v>
      </c>
      <c r="FE252" t="s">
        <v>1050</v>
      </c>
      <c r="FF252">
        <v>0</v>
      </c>
      <c r="FG252" t="s">
        <v>1050</v>
      </c>
      <c r="FJ252">
        <v>0</v>
      </c>
      <c r="FK252">
        <v>0</v>
      </c>
      <c r="FP252">
        <v>0</v>
      </c>
      <c r="FR252">
        <v>0</v>
      </c>
      <c r="FS252" t="s">
        <v>1043</v>
      </c>
      <c r="FX252" t="s">
        <v>1042</v>
      </c>
      <c r="FZ252" t="s">
        <v>1048</v>
      </c>
      <c r="GA252">
        <v>0</v>
      </c>
      <c r="GB252" t="s">
        <v>1042</v>
      </c>
      <c r="GE252">
        <v>0</v>
      </c>
      <c r="GG252">
        <v>0</v>
      </c>
      <c r="GN252">
        <v>0</v>
      </c>
      <c r="GO252" t="s">
        <v>1063</v>
      </c>
      <c r="GQ252">
        <v>0</v>
      </c>
      <c r="GU252">
        <v>0</v>
      </c>
      <c r="GY252" t="s">
        <v>1045</v>
      </c>
      <c r="HB252">
        <v>0</v>
      </c>
      <c r="HE252">
        <v>0</v>
      </c>
      <c r="HF252">
        <v>0</v>
      </c>
      <c r="HG252">
        <v>0</v>
      </c>
      <c r="HK252" t="s">
        <v>1042</v>
      </c>
      <c r="HM252" t="s">
        <v>1047</v>
      </c>
      <c r="HN252">
        <v>0</v>
      </c>
      <c r="HP252">
        <v>0</v>
      </c>
      <c r="HQ252">
        <v>0</v>
      </c>
      <c r="HR252" t="s">
        <v>1042</v>
      </c>
      <c r="HS252" t="s">
        <v>1043</v>
      </c>
      <c r="HT252">
        <v>0</v>
      </c>
      <c r="HU252">
        <v>0</v>
      </c>
      <c r="HW252">
        <v>0</v>
      </c>
      <c r="HX252">
        <v>0</v>
      </c>
      <c r="HY252">
        <v>0</v>
      </c>
      <c r="HZ252" t="s">
        <v>1045</v>
      </c>
      <c r="IA252">
        <v>0</v>
      </c>
      <c r="IB252" t="s">
        <v>1045</v>
      </c>
      <c r="ID252" t="s">
        <v>1045</v>
      </c>
      <c r="IF252">
        <v>0</v>
      </c>
      <c r="IG252" t="s">
        <v>1042</v>
      </c>
      <c r="II252" t="s">
        <v>1042</v>
      </c>
      <c r="IR252" t="s">
        <v>1045</v>
      </c>
      <c r="IT252">
        <v>0</v>
      </c>
      <c r="IY252" t="s">
        <v>1044</v>
      </c>
      <c r="IZ252" t="s">
        <v>1043</v>
      </c>
      <c r="JC252" t="s">
        <v>1043</v>
      </c>
      <c r="JE252">
        <v>0</v>
      </c>
      <c r="JF252">
        <v>0</v>
      </c>
      <c r="JI252" t="s">
        <v>1042</v>
      </c>
      <c r="JJ252">
        <v>0</v>
      </c>
      <c r="JK252">
        <v>0</v>
      </c>
      <c r="JL252">
        <v>0</v>
      </c>
      <c r="JM252">
        <v>0</v>
      </c>
      <c r="JQ252" t="s">
        <v>1043</v>
      </c>
      <c r="JT252">
        <v>0</v>
      </c>
      <c r="JU252" t="s">
        <v>1042</v>
      </c>
      <c r="JW252">
        <v>0</v>
      </c>
      <c r="KA252">
        <v>0</v>
      </c>
      <c r="KF252">
        <v>0</v>
      </c>
      <c r="KG252">
        <v>0</v>
      </c>
      <c r="KH252">
        <v>0</v>
      </c>
      <c r="KI252">
        <v>0</v>
      </c>
      <c r="KS252" t="s">
        <v>1073</v>
      </c>
      <c r="KT252">
        <v>0</v>
      </c>
      <c r="KU252">
        <v>0</v>
      </c>
      <c r="KV252">
        <v>0</v>
      </c>
      <c r="KX252">
        <v>0</v>
      </c>
      <c r="KZ252">
        <v>0</v>
      </c>
      <c r="LF252">
        <v>0</v>
      </c>
      <c r="LH252">
        <v>0</v>
      </c>
      <c r="LI252">
        <v>0</v>
      </c>
    </row>
    <row r="253" spans="1:321" x14ac:dyDescent="0.35">
      <c r="A253">
        <v>1</v>
      </c>
      <c r="B253">
        <v>12477</v>
      </c>
      <c r="C253" t="s">
        <v>1443</v>
      </c>
      <c r="D253" t="s">
        <v>1139</v>
      </c>
      <c r="E253" t="s">
        <v>85</v>
      </c>
      <c r="F253">
        <v>80</v>
      </c>
      <c r="G253">
        <v>9000</v>
      </c>
      <c r="H253">
        <v>0</v>
      </c>
      <c r="I253" t="s">
        <v>1442</v>
      </c>
      <c r="L253">
        <v>0</v>
      </c>
      <c r="M253">
        <v>0</v>
      </c>
      <c r="N253">
        <v>0</v>
      </c>
      <c r="R253">
        <v>0</v>
      </c>
      <c r="S253">
        <v>0</v>
      </c>
      <c r="W253" t="s">
        <v>1060</v>
      </c>
      <c r="X253">
        <v>0</v>
      </c>
      <c r="Z253">
        <v>1</v>
      </c>
      <c r="AA253">
        <v>0</v>
      </c>
      <c r="AB253">
        <v>0</v>
      </c>
      <c r="AC253">
        <v>2.59</v>
      </c>
      <c r="AD253" s="20">
        <v>40785</v>
      </c>
      <c r="AE253">
        <v>2.5</v>
      </c>
      <c r="AF253">
        <v>0</v>
      </c>
      <c r="AH253">
        <v>0</v>
      </c>
      <c r="AJ253">
        <v>0</v>
      </c>
      <c r="AL253">
        <v>0</v>
      </c>
      <c r="AM253">
        <v>0</v>
      </c>
      <c r="AN253">
        <v>16601001</v>
      </c>
      <c r="AO253">
        <v>0</v>
      </c>
      <c r="AP253">
        <v>1000</v>
      </c>
      <c r="AT253">
        <v>0</v>
      </c>
      <c r="AU253" t="s">
        <v>1059</v>
      </c>
      <c r="AW253" t="s">
        <v>1053</v>
      </c>
      <c r="AX253">
        <v>0</v>
      </c>
      <c r="AY253" s="20">
        <v>40785</v>
      </c>
      <c r="BA253" s="20">
        <v>40785</v>
      </c>
      <c r="BB253" t="s">
        <v>1058</v>
      </c>
      <c r="BD253">
        <v>0</v>
      </c>
      <c r="BF253" t="s">
        <v>1043</v>
      </c>
      <c r="BG253" t="s">
        <v>1042</v>
      </c>
      <c r="BH253">
        <v>0</v>
      </c>
      <c r="BI253">
        <v>1</v>
      </c>
      <c r="BJ253">
        <v>0</v>
      </c>
      <c r="BK253">
        <v>0</v>
      </c>
      <c r="BM253" t="s">
        <v>1042</v>
      </c>
      <c r="BN253">
        <v>0</v>
      </c>
      <c r="BR253" t="s">
        <v>1043</v>
      </c>
      <c r="BS253" t="s">
        <v>1043</v>
      </c>
      <c r="BT253" t="s">
        <v>1043</v>
      </c>
      <c r="BW253">
        <v>83</v>
      </c>
      <c r="CA253">
        <v>0</v>
      </c>
      <c r="CB253" t="s">
        <v>1057</v>
      </c>
      <c r="CE253" t="s">
        <v>1043</v>
      </c>
      <c r="CH253" t="s">
        <v>1043</v>
      </c>
      <c r="CN253" t="s">
        <v>1056</v>
      </c>
      <c r="CO253" t="s">
        <v>1043</v>
      </c>
      <c r="CP253">
        <v>1</v>
      </c>
      <c r="CQ253">
        <v>0</v>
      </c>
      <c r="CS253">
        <v>0</v>
      </c>
      <c r="CT253">
        <v>0</v>
      </c>
      <c r="CU253">
        <v>0</v>
      </c>
      <c r="CV253" t="s">
        <v>1045</v>
      </c>
      <c r="CW253">
        <v>0</v>
      </c>
      <c r="CX253">
        <v>0</v>
      </c>
      <c r="CY253">
        <v>0</v>
      </c>
      <c r="CZ253">
        <v>0</v>
      </c>
      <c r="DB253">
        <v>0</v>
      </c>
      <c r="DC253" t="s">
        <v>1043</v>
      </c>
      <c r="DF253" t="s">
        <v>1055</v>
      </c>
      <c r="DH253">
        <v>0</v>
      </c>
      <c r="DJ253">
        <v>0</v>
      </c>
      <c r="DK253" t="s">
        <v>1053</v>
      </c>
      <c r="DL253">
        <v>0</v>
      </c>
      <c r="DN253">
        <v>0</v>
      </c>
      <c r="DO253" t="s">
        <v>1042</v>
      </c>
      <c r="DP253">
        <v>0</v>
      </c>
      <c r="DQ253">
        <v>0</v>
      </c>
      <c r="DS253">
        <v>0</v>
      </c>
      <c r="DU253">
        <v>0</v>
      </c>
      <c r="DW253">
        <v>0</v>
      </c>
      <c r="DX253" t="s">
        <v>1043</v>
      </c>
      <c r="DY253">
        <v>0</v>
      </c>
      <c r="DZ253">
        <v>0</v>
      </c>
      <c r="EA253">
        <v>0</v>
      </c>
      <c r="ED253" t="s">
        <v>1045</v>
      </c>
      <c r="EE253">
        <v>0</v>
      </c>
      <c r="EF253">
        <v>0</v>
      </c>
      <c r="EQ253" t="s">
        <v>1044</v>
      </c>
      <c r="ES253" t="s">
        <v>1053</v>
      </c>
      <c r="ET253">
        <v>0</v>
      </c>
      <c r="EV253">
        <v>0</v>
      </c>
      <c r="EY253" t="s">
        <v>1052</v>
      </c>
      <c r="EZ253">
        <v>0</v>
      </c>
      <c r="FA253" t="s">
        <v>1043</v>
      </c>
      <c r="FB253">
        <v>0</v>
      </c>
      <c r="FC253">
        <v>0</v>
      </c>
      <c r="FE253" t="s">
        <v>1050</v>
      </c>
      <c r="FF253">
        <v>0</v>
      </c>
      <c r="FG253" t="s">
        <v>1050</v>
      </c>
      <c r="FJ253">
        <v>0</v>
      </c>
      <c r="FK253">
        <v>0</v>
      </c>
      <c r="FP253">
        <v>0</v>
      </c>
      <c r="FR253">
        <v>0</v>
      </c>
      <c r="FS253" t="s">
        <v>1043</v>
      </c>
      <c r="FX253" t="s">
        <v>1042</v>
      </c>
      <c r="FZ253" t="s">
        <v>1048</v>
      </c>
      <c r="GA253">
        <v>0</v>
      </c>
      <c r="GB253" t="s">
        <v>1042</v>
      </c>
      <c r="GE253">
        <v>0</v>
      </c>
      <c r="GG253">
        <v>0</v>
      </c>
      <c r="GN253">
        <v>0</v>
      </c>
      <c r="GO253" t="s">
        <v>1063</v>
      </c>
      <c r="GQ253">
        <v>0</v>
      </c>
      <c r="GU253">
        <v>0</v>
      </c>
      <c r="GY253" t="s">
        <v>1045</v>
      </c>
      <c r="HB253">
        <v>0</v>
      </c>
      <c r="HE253">
        <v>0</v>
      </c>
      <c r="HF253">
        <v>0</v>
      </c>
      <c r="HG253">
        <v>0</v>
      </c>
      <c r="HK253" t="s">
        <v>1042</v>
      </c>
      <c r="HM253" t="s">
        <v>1047</v>
      </c>
      <c r="HN253">
        <v>0</v>
      </c>
      <c r="HP253">
        <v>0</v>
      </c>
      <c r="HQ253">
        <v>0</v>
      </c>
      <c r="HR253" t="s">
        <v>1042</v>
      </c>
      <c r="HS253" t="s">
        <v>1043</v>
      </c>
      <c r="HT253">
        <v>0</v>
      </c>
      <c r="HU253">
        <v>0</v>
      </c>
      <c r="HW253">
        <v>0</v>
      </c>
      <c r="HX253">
        <v>0</v>
      </c>
      <c r="HY253">
        <v>0</v>
      </c>
      <c r="HZ253" t="s">
        <v>1045</v>
      </c>
      <c r="IA253">
        <v>0</v>
      </c>
      <c r="IB253" t="s">
        <v>1045</v>
      </c>
      <c r="ID253" t="s">
        <v>1045</v>
      </c>
      <c r="IF253">
        <v>0</v>
      </c>
      <c r="IG253" t="s">
        <v>1042</v>
      </c>
      <c r="II253" t="s">
        <v>1042</v>
      </c>
      <c r="IR253" t="s">
        <v>1045</v>
      </c>
      <c r="IT253">
        <v>0</v>
      </c>
      <c r="IY253" t="s">
        <v>1044</v>
      </c>
      <c r="IZ253" t="s">
        <v>1043</v>
      </c>
      <c r="JC253" t="s">
        <v>1043</v>
      </c>
      <c r="JE253">
        <v>0</v>
      </c>
      <c r="JF253">
        <v>0</v>
      </c>
      <c r="JI253" t="s">
        <v>1042</v>
      </c>
      <c r="JJ253">
        <v>0</v>
      </c>
      <c r="JK253">
        <v>0</v>
      </c>
      <c r="JL253">
        <v>0</v>
      </c>
      <c r="JM253">
        <v>0</v>
      </c>
      <c r="JQ253" t="s">
        <v>1043</v>
      </c>
      <c r="JT253">
        <v>0</v>
      </c>
      <c r="JU253" t="s">
        <v>1042</v>
      </c>
      <c r="JW253">
        <v>0</v>
      </c>
      <c r="KA253">
        <v>0</v>
      </c>
      <c r="KF253">
        <v>0</v>
      </c>
      <c r="KG253">
        <v>0</v>
      </c>
      <c r="KH253">
        <v>0</v>
      </c>
      <c r="KI253">
        <v>0</v>
      </c>
      <c r="KS253" t="s">
        <v>1073</v>
      </c>
      <c r="KT253">
        <v>0</v>
      </c>
      <c r="KU253">
        <v>0</v>
      </c>
      <c r="KV253">
        <v>0</v>
      </c>
      <c r="KX253">
        <v>0</v>
      </c>
      <c r="KZ253">
        <v>0</v>
      </c>
      <c r="LF253">
        <v>0</v>
      </c>
      <c r="LH253">
        <v>0</v>
      </c>
      <c r="LI253">
        <v>0</v>
      </c>
    </row>
    <row r="254" spans="1:321" x14ac:dyDescent="0.35">
      <c r="A254">
        <v>1</v>
      </c>
      <c r="B254">
        <v>12478</v>
      </c>
      <c r="C254" t="s">
        <v>1441</v>
      </c>
      <c r="D254" t="s">
        <v>1139</v>
      </c>
      <c r="E254" t="s">
        <v>1085</v>
      </c>
      <c r="F254">
        <v>80</v>
      </c>
      <c r="G254">
        <v>9000</v>
      </c>
      <c r="H254">
        <v>0</v>
      </c>
      <c r="I254" t="s">
        <v>1050</v>
      </c>
      <c r="L254">
        <v>0</v>
      </c>
      <c r="M254">
        <v>0</v>
      </c>
      <c r="N254">
        <v>0</v>
      </c>
      <c r="R254">
        <v>0</v>
      </c>
      <c r="S254">
        <v>0</v>
      </c>
      <c r="W254" t="s">
        <v>1060</v>
      </c>
      <c r="X254">
        <v>0</v>
      </c>
      <c r="Z254">
        <v>1</v>
      </c>
      <c r="AA254">
        <v>0</v>
      </c>
      <c r="AB254">
        <v>0</v>
      </c>
      <c r="AC254">
        <v>0</v>
      </c>
      <c r="AD254" s="20">
        <v>40793</v>
      </c>
      <c r="AE254">
        <v>2.68</v>
      </c>
      <c r="AF254">
        <v>0</v>
      </c>
      <c r="AH254">
        <v>0</v>
      </c>
      <c r="AJ254">
        <v>0</v>
      </c>
      <c r="AL254">
        <v>0</v>
      </c>
      <c r="AM254">
        <v>0</v>
      </c>
      <c r="AN254">
        <v>16601003</v>
      </c>
      <c r="AO254">
        <v>0</v>
      </c>
      <c r="AP254">
        <v>1000</v>
      </c>
      <c r="AT254">
        <v>0</v>
      </c>
      <c r="AU254" t="s">
        <v>1059</v>
      </c>
      <c r="AW254" t="s">
        <v>1053</v>
      </c>
      <c r="AX254">
        <v>0</v>
      </c>
      <c r="AY254" s="20">
        <v>40793</v>
      </c>
      <c r="BA254" s="20">
        <v>40793</v>
      </c>
      <c r="BB254" t="s">
        <v>1058</v>
      </c>
      <c r="BD254">
        <v>0</v>
      </c>
      <c r="BF254" t="s">
        <v>1043</v>
      </c>
      <c r="BG254" t="s">
        <v>1042</v>
      </c>
      <c r="BH254">
        <v>0</v>
      </c>
      <c r="BI254">
        <v>1</v>
      </c>
      <c r="BJ254">
        <v>0</v>
      </c>
      <c r="BK254">
        <v>0</v>
      </c>
      <c r="BM254" t="s">
        <v>1042</v>
      </c>
      <c r="BN254">
        <v>0</v>
      </c>
      <c r="BR254" t="s">
        <v>1043</v>
      </c>
      <c r="BS254" t="s">
        <v>1043</v>
      </c>
      <c r="BT254" t="s">
        <v>1043</v>
      </c>
      <c r="BW254">
        <v>83</v>
      </c>
      <c r="CA254">
        <v>0</v>
      </c>
      <c r="CB254" t="s">
        <v>1057</v>
      </c>
      <c r="CE254" t="s">
        <v>1043</v>
      </c>
      <c r="CH254" t="s">
        <v>1043</v>
      </c>
      <c r="CN254" t="s">
        <v>1056</v>
      </c>
      <c r="CO254" t="s">
        <v>1043</v>
      </c>
      <c r="CP254">
        <v>1</v>
      </c>
      <c r="CQ254">
        <v>0</v>
      </c>
      <c r="CS254">
        <v>0</v>
      </c>
      <c r="CT254">
        <v>0</v>
      </c>
      <c r="CU254">
        <v>0</v>
      </c>
      <c r="CV254" t="s">
        <v>1045</v>
      </c>
      <c r="CW254">
        <v>0</v>
      </c>
      <c r="CX254">
        <v>0</v>
      </c>
      <c r="CY254">
        <v>0</v>
      </c>
      <c r="CZ254">
        <v>0</v>
      </c>
      <c r="DB254">
        <v>0</v>
      </c>
      <c r="DC254" t="s">
        <v>1043</v>
      </c>
      <c r="DF254" t="s">
        <v>1055</v>
      </c>
      <c r="DH254">
        <v>0</v>
      </c>
      <c r="DJ254">
        <v>0</v>
      </c>
      <c r="DK254" t="s">
        <v>1053</v>
      </c>
      <c r="DL254">
        <v>0</v>
      </c>
      <c r="DN254">
        <v>0</v>
      </c>
      <c r="DO254" t="s">
        <v>1042</v>
      </c>
      <c r="DP254">
        <v>0</v>
      </c>
      <c r="DQ254">
        <v>0</v>
      </c>
      <c r="DS254">
        <v>0</v>
      </c>
      <c r="DU254">
        <v>0</v>
      </c>
      <c r="DW254">
        <v>0</v>
      </c>
      <c r="DX254" t="s">
        <v>1043</v>
      </c>
      <c r="DY254">
        <v>0</v>
      </c>
      <c r="DZ254">
        <v>0</v>
      </c>
      <c r="EA254">
        <v>0</v>
      </c>
      <c r="ED254" t="s">
        <v>1045</v>
      </c>
      <c r="EE254">
        <v>0</v>
      </c>
      <c r="EF254">
        <v>0</v>
      </c>
      <c r="EQ254" t="s">
        <v>1044</v>
      </c>
      <c r="ES254" t="s">
        <v>1053</v>
      </c>
      <c r="ET254">
        <v>0</v>
      </c>
      <c r="EV254">
        <v>0</v>
      </c>
      <c r="EY254" t="s">
        <v>1052</v>
      </c>
      <c r="EZ254">
        <v>0</v>
      </c>
      <c r="FA254" t="s">
        <v>1043</v>
      </c>
      <c r="FB254">
        <v>0</v>
      </c>
      <c r="FC254">
        <v>0</v>
      </c>
      <c r="FE254" t="s">
        <v>1050</v>
      </c>
      <c r="FF254">
        <v>0</v>
      </c>
      <c r="FG254" t="s">
        <v>1050</v>
      </c>
      <c r="FJ254">
        <v>0</v>
      </c>
      <c r="FK254">
        <v>0</v>
      </c>
      <c r="FP254">
        <v>0</v>
      </c>
      <c r="FR254">
        <v>0</v>
      </c>
      <c r="FS254" t="s">
        <v>1043</v>
      </c>
      <c r="FX254" t="s">
        <v>1042</v>
      </c>
      <c r="FZ254" t="s">
        <v>1048</v>
      </c>
      <c r="GA254">
        <v>0</v>
      </c>
      <c r="GB254" t="s">
        <v>1042</v>
      </c>
      <c r="GE254">
        <v>0</v>
      </c>
      <c r="GG254">
        <v>0</v>
      </c>
      <c r="GN254">
        <v>0</v>
      </c>
      <c r="GO254" t="s">
        <v>1063</v>
      </c>
      <c r="GQ254">
        <v>0</v>
      </c>
      <c r="GU254">
        <v>0</v>
      </c>
      <c r="GY254" t="s">
        <v>1045</v>
      </c>
      <c r="HB254">
        <v>0</v>
      </c>
      <c r="HE254">
        <v>0</v>
      </c>
      <c r="HF254">
        <v>0</v>
      </c>
      <c r="HG254">
        <v>0</v>
      </c>
      <c r="HK254" t="s">
        <v>1042</v>
      </c>
      <c r="HM254" t="s">
        <v>1047</v>
      </c>
      <c r="HN254">
        <v>0</v>
      </c>
      <c r="HP254">
        <v>0</v>
      </c>
      <c r="HQ254">
        <v>0</v>
      </c>
      <c r="HR254" t="s">
        <v>1042</v>
      </c>
      <c r="HS254" t="s">
        <v>1043</v>
      </c>
      <c r="HT254">
        <v>0</v>
      </c>
      <c r="HU254">
        <v>0</v>
      </c>
      <c r="HW254">
        <v>0</v>
      </c>
      <c r="HX254">
        <v>0</v>
      </c>
      <c r="HY254">
        <v>0</v>
      </c>
      <c r="HZ254" t="s">
        <v>1045</v>
      </c>
      <c r="IA254">
        <v>0</v>
      </c>
      <c r="IB254" t="s">
        <v>1045</v>
      </c>
      <c r="ID254" t="s">
        <v>1045</v>
      </c>
      <c r="IF254">
        <v>0</v>
      </c>
      <c r="IG254" t="s">
        <v>1042</v>
      </c>
      <c r="II254" t="s">
        <v>1042</v>
      </c>
      <c r="IR254" t="s">
        <v>1045</v>
      </c>
      <c r="IT254">
        <v>0</v>
      </c>
      <c r="IY254" t="s">
        <v>1044</v>
      </c>
      <c r="IZ254" t="s">
        <v>1043</v>
      </c>
      <c r="JC254" t="s">
        <v>1043</v>
      </c>
      <c r="JE254">
        <v>0</v>
      </c>
      <c r="JF254">
        <v>0</v>
      </c>
      <c r="JI254" t="s">
        <v>1042</v>
      </c>
      <c r="JJ254">
        <v>0</v>
      </c>
      <c r="JK254">
        <v>0</v>
      </c>
      <c r="JL254">
        <v>0</v>
      </c>
      <c r="JM254">
        <v>0</v>
      </c>
      <c r="JQ254" t="s">
        <v>1043</v>
      </c>
      <c r="JT254">
        <v>0</v>
      </c>
      <c r="JU254" t="s">
        <v>1042</v>
      </c>
      <c r="JW254">
        <v>0</v>
      </c>
      <c r="KA254">
        <v>0</v>
      </c>
      <c r="KF254">
        <v>0</v>
      </c>
      <c r="KG254">
        <v>0</v>
      </c>
      <c r="KH254">
        <v>0</v>
      </c>
      <c r="KI254">
        <v>0</v>
      </c>
      <c r="KS254" t="s">
        <v>1073</v>
      </c>
      <c r="KT254">
        <v>0</v>
      </c>
      <c r="KU254">
        <v>0</v>
      </c>
      <c r="KV254">
        <v>0</v>
      </c>
      <c r="KX254">
        <v>0</v>
      </c>
      <c r="KZ254">
        <v>0</v>
      </c>
      <c r="LF254">
        <v>0</v>
      </c>
      <c r="LH254">
        <v>0</v>
      </c>
      <c r="LI254">
        <v>0</v>
      </c>
    </row>
    <row r="255" spans="1:321" x14ac:dyDescent="0.35">
      <c r="A255">
        <v>1</v>
      </c>
      <c r="B255">
        <v>12479</v>
      </c>
      <c r="C255" t="s">
        <v>1440</v>
      </c>
      <c r="D255" t="s">
        <v>1139</v>
      </c>
      <c r="E255" t="s">
        <v>1085</v>
      </c>
      <c r="F255">
        <v>80</v>
      </c>
      <c r="G255">
        <v>9000</v>
      </c>
      <c r="H255">
        <v>0</v>
      </c>
      <c r="I255" t="s">
        <v>1050</v>
      </c>
      <c r="L255">
        <v>0</v>
      </c>
      <c r="M255">
        <v>0</v>
      </c>
      <c r="N255">
        <v>0</v>
      </c>
      <c r="R255">
        <v>0</v>
      </c>
      <c r="S255">
        <v>0</v>
      </c>
      <c r="W255" t="s">
        <v>1060</v>
      </c>
      <c r="X255">
        <v>0</v>
      </c>
      <c r="Z255">
        <v>1</v>
      </c>
      <c r="AA255">
        <v>0</v>
      </c>
      <c r="AB255">
        <v>0</v>
      </c>
      <c r="AC255">
        <v>0</v>
      </c>
      <c r="AD255" s="20">
        <v>40793</v>
      </c>
      <c r="AE255">
        <v>2.68</v>
      </c>
      <c r="AF255">
        <v>0</v>
      </c>
      <c r="AH255">
        <v>0</v>
      </c>
      <c r="AJ255">
        <v>0</v>
      </c>
      <c r="AL255">
        <v>0</v>
      </c>
      <c r="AM255">
        <v>0</v>
      </c>
      <c r="AN255">
        <v>16601003</v>
      </c>
      <c r="AO255">
        <v>0</v>
      </c>
      <c r="AP255">
        <v>1000</v>
      </c>
      <c r="AT255">
        <v>0</v>
      </c>
      <c r="AU255" t="s">
        <v>1059</v>
      </c>
      <c r="AW255" t="s">
        <v>1053</v>
      </c>
      <c r="AX255">
        <v>0</v>
      </c>
      <c r="AY255" s="20">
        <v>40793</v>
      </c>
      <c r="BA255" s="20">
        <v>40793</v>
      </c>
      <c r="BB255" t="s">
        <v>1058</v>
      </c>
      <c r="BD255">
        <v>0</v>
      </c>
      <c r="BF255" t="s">
        <v>1043</v>
      </c>
      <c r="BG255" t="s">
        <v>1042</v>
      </c>
      <c r="BH255">
        <v>0</v>
      </c>
      <c r="BI255">
        <v>1</v>
      </c>
      <c r="BJ255">
        <v>0</v>
      </c>
      <c r="BK255">
        <v>0</v>
      </c>
      <c r="BM255" t="s">
        <v>1042</v>
      </c>
      <c r="BN255">
        <v>0</v>
      </c>
      <c r="BR255" t="s">
        <v>1043</v>
      </c>
      <c r="BS255" t="s">
        <v>1043</v>
      </c>
      <c r="BT255" t="s">
        <v>1043</v>
      </c>
      <c r="BW255">
        <v>83</v>
      </c>
      <c r="CA255">
        <v>0</v>
      </c>
      <c r="CB255" t="s">
        <v>1057</v>
      </c>
      <c r="CE255" t="s">
        <v>1043</v>
      </c>
      <c r="CH255" t="s">
        <v>1043</v>
      </c>
      <c r="CN255" t="s">
        <v>1056</v>
      </c>
      <c r="CO255" t="s">
        <v>1043</v>
      </c>
      <c r="CP255">
        <v>1</v>
      </c>
      <c r="CQ255">
        <v>0</v>
      </c>
      <c r="CS255">
        <v>0</v>
      </c>
      <c r="CT255">
        <v>0</v>
      </c>
      <c r="CU255">
        <v>0</v>
      </c>
      <c r="CV255" t="s">
        <v>1045</v>
      </c>
      <c r="CW255">
        <v>0</v>
      </c>
      <c r="CX255">
        <v>0</v>
      </c>
      <c r="CY255">
        <v>0</v>
      </c>
      <c r="CZ255">
        <v>0</v>
      </c>
      <c r="DB255">
        <v>0</v>
      </c>
      <c r="DC255" t="s">
        <v>1043</v>
      </c>
      <c r="DF255" t="s">
        <v>1055</v>
      </c>
      <c r="DH255">
        <v>0</v>
      </c>
      <c r="DJ255">
        <v>0</v>
      </c>
      <c r="DK255" t="s">
        <v>1053</v>
      </c>
      <c r="DL255">
        <v>0</v>
      </c>
      <c r="DN255">
        <v>0</v>
      </c>
      <c r="DO255" t="s">
        <v>1042</v>
      </c>
      <c r="DP255">
        <v>0</v>
      </c>
      <c r="DQ255">
        <v>0</v>
      </c>
      <c r="DS255">
        <v>0</v>
      </c>
      <c r="DU255">
        <v>0</v>
      </c>
      <c r="DW255">
        <v>0</v>
      </c>
      <c r="DX255" t="s">
        <v>1043</v>
      </c>
      <c r="DY255">
        <v>0</v>
      </c>
      <c r="DZ255">
        <v>0</v>
      </c>
      <c r="EA255">
        <v>0</v>
      </c>
      <c r="ED255" t="s">
        <v>1045</v>
      </c>
      <c r="EE255">
        <v>0</v>
      </c>
      <c r="EF255">
        <v>0</v>
      </c>
      <c r="EQ255" t="s">
        <v>1044</v>
      </c>
      <c r="ES255" t="s">
        <v>1053</v>
      </c>
      <c r="ET255">
        <v>0</v>
      </c>
      <c r="EV255">
        <v>0</v>
      </c>
      <c r="EY255" t="s">
        <v>1052</v>
      </c>
      <c r="EZ255">
        <v>0</v>
      </c>
      <c r="FA255" t="s">
        <v>1043</v>
      </c>
      <c r="FB255">
        <v>0</v>
      </c>
      <c r="FC255">
        <v>0</v>
      </c>
      <c r="FE255" t="s">
        <v>1050</v>
      </c>
      <c r="FF255">
        <v>0</v>
      </c>
      <c r="FG255" t="s">
        <v>1050</v>
      </c>
      <c r="FJ255">
        <v>0</v>
      </c>
      <c r="FK255">
        <v>0</v>
      </c>
      <c r="FP255">
        <v>0</v>
      </c>
      <c r="FR255">
        <v>0</v>
      </c>
      <c r="FS255" t="s">
        <v>1043</v>
      </c>
      <c r="FX255" t="s">
        <v>1042</v>
      </c>
      <c r="FZ255" t="s">
        <v>1048</v>
      </c>
      <c r="GA255">
        <v>0</v>
      </c>
      <c r="GB255" t="s">
        <v>1042</v>
      </c>
      <c r="GE255">
        <v>0</v>
      </c>
      <c r="GG255">
        <v>0</v>
      </c>
      <c r="GN255">
        <v>0</v>
      </c>
      <c r="GO255" t="s">
        <v>1063</v>
      </c>
      <c r="GQ255">
        <v>0</v>
      </c>
      <c r="GU255">
        <v>0</v>
      </c>
      <c r="GY255" t="s">
        <v>1045</v>
      </c>
      <c r="HB255">
        <v>0</v>
      </c>
      <c r="HE255">
        <v>0</v>
      </c>
      <c r="HF255">
        <v>0</v>
      </c>
      <c r="HG255">
        <v>0</v>
      </c>
      <c r="HK255" t="s">
        <v>1042</v>
      </c>
      <c r="HM255" t="s">
        <v>1047</v>
      </c>
      <c r="HN255">
        <v>0</v>
      </c>
      <c r="HP255">
        <v>0</v>
      </c>
      <c r="HQ255">
        <v>0</v>
      </c>
      <c r="HR255" t="s">
        <v>1042</v>
      </c>
      <c r="HS255" t="s">
        <v>1043</v>
      </c>
      <c r="HT255">
        <v>0</v>
      </c>
      <c r="HU255">
        <v>0</v>
      </c>
      <c r="HW255">
        <v>0</v>
      </c>
      <c r="HX255">
        <v>0</v>
      </c>
      <c r="HY255">
        <v>0</v>
      </c>
      <c r="HZ255" t="s">
        <v>1045</v>
      </c>
      <c r="IA255">
        <v>0</v>
      </c>
      <c r="IB255" t="s">
        <v>1045</v>
      </c>
      <c r="ID255" t="s">
        <v>1045</v>
      </c>
      <c r="IF255">
        <v>0</v>
      </c>
      <c r="IG255" t="s">
        <v>1042</v>
      </c>
      <c r="II255" t="s">
        <v>1042</v>
      </c>
      <c r="IR255" t="s">
        <v>1045</v>
      </c>
      <c r="IT255">
        <v>0</v>
      </c>
      <c r="IY255" t="s">
        <v>1044</v>
      </c>
      <c r="IZ255" t="s">
        <v>1043</v>
      </c>
      <c r="JC255" t="s">
        <v>1043</v>
      </c>
      <c r="JE255">
        <v>0</v>
      </c>
      <c r="JF255">
        <v>0</v>
      </c>
      <c r="JI255" t="s">
        <v>1042</v>
      </c>
      <c r="JJ255">
        <v>0</v>
      </c>
      <c r="JK255">
        <v>0</v>
      </c>
      <c r="JL255">
        <v>0</v>
      </c>
      <c r="JM255">
        <v>0</v>
      </c>
      <c r="JQ255" t="s">
        <v>1043</v>
      </c>
      <c r="JT255">
        <v>0</v>
      </c>
      <c r="JU255" t="s">
        <v>1042</v>
      </c>
      <c r="JW255">
        <v>0</v>
      </c>
      <c r="KA255">
        <v>0</v>
      </c>
      <c r="KF255">
        <v>0</v>
      </c>
      <c r="KG255">
        <v>0</v>
      </c>
      <c r="KH255">
        <v>0</v>
      </c>
      <c r="KI255">
        <v>0</v>
      </c>
      <c r="KS255" t="s">
        <v>1073</v>
      </c>
      <c r="KT255">
        <v>0</v>
      </c>
      <c r="KU255">
        <v>0</v>
      </c>
      <c r="KV255">
        <v>0</v>
      </c>
      <c r="KX255">
        <v>0</v>
      </c>
      <c r="KZ255">
        <v>0</v>
      </c>
      <c r="LF255">
        <v>0</v>
      </c>
      <c r="LH255">
        <v>0</v>
      </c>
      <c r="LI255">
        <v>0</v>
      </c>
    </row>
    <row r="256" spans="1:321" x14ac:dyDescent="0.35">
      <c r="A256">
        <v>1</v>
      </c>
      <c r="B256" t="s">
        <v>1439</v>
      </c>
      <c r="C256" t="s">
        <v>639</v>
      </c>
      <c r="D256" t="s">
        <v>1064</v>
      </c>
      <c r="E256" t="s">
        <v>85</v>
      </c>
      <c r="F256">
        <v>15</v>
      </c>
      <c r="G256">
        <v>240</v>
      </c>
      <c r="H256">
        <v>0</v>
      </c>
      <c r="I256" t="s">
        <v>994</v>
      </c>
      <c r="L256">
        <v>0</v>
      </c>
      <c r="M256">
        <v>0</v>
      </c>
      <c r="N256">
        <v>0</v>
      </c>
      <c r="Q256">
        <v>516</v>
      </c>
      <c r="R256">
        <v>0</v>
      </c>
      <c r="S256">
        <v>0</v>
      </c>
      <c r="W256" t="s">
        <v>1060</v>
      </c>
      <c r="X256">
        <v>0</v>
      </c>
      <c r="Z256">
        <v>1</v>
      </c>
      <c r="AA256">
        <v>3.4569999999999999</v>
      </c>
      <c r="AB256">
        <v>0</v>
      </c>
      <c r="AC256">
        <v>8.0799999999999997E-2</v>
      </c>
      <c r="AD256" t="s">
        <v>1042</v>
      </c>
      <c r="AE256">
        <v>0</v>
      </c>
      <c r="AF256">
        <v>1.5299999999999999E-2</v>
      </c>
      <c r="AH256">
        <v>0</v>
      </c>
      <c r="AJ256">
        <v>1</v>
      </c>
      <c r="AK256" t="s">
        <v>1154</v>
      </c>
      <c r="AL256">
        <v>34950</v>
      </c>
      <c r="AM256">
        <v>4431</v>
      </c>
      <c r="AN256">
        <v>11501002</v>
      </c>
      <c r="AO256">
        <v>0</v>
      </c>
      <c r="AP256">
        <v>2720</v>
      </c>
      <c r="AT256">
        <v>1</v>
      </c>
      <c r="AU256" t="s">
        <v>1059</v>
      </c>
      <c r="AV256" t="s">
        <v>1043</v>
      </c>
      <c r="AW256" t="s">
        <v>1053</v>
      </c>
      <c r="AX256">
        <v>5</v>
      </c>
      <c r="AY256" s="20">
        <v>43742</v>
      </c>
      <c r="BA256" s="20">
        <v>44526</v>
      </c>
      <c r="BB256" t="s">
        <v>1058</v>
      </c>
      <c r="BD256">
        <v>0</v>
      </c>
      <c r="BF256" t="s">
        <v>1044</v>
      </c>
      <c r="BG256" t="s">
        <v>1042</v>
      </c>
      <c r="BH256">
        <v>0</v>
      </c>
      <c r="BI256">
        <v>21</v>
      </c>
      <c r="BJ256">
        <v>0</v>
      </c>
      <c r="BK256">
        <v>0</v>
      </c>
      <c r="BM256" s="20">
        <v>43742</v>
      </c>
      <c r="BN256">
        <v>0</v>
      </c>
      <c r="BO256">
        <v>3578010027340</v>
      </c>
      <c r="BR256" t="s">
        <v>1043</v>
      </c>
      <c r="BS256" t="s">
        <v>1043</v>
      </c>
      <c r="BT256" t="s">
        <v>1043</v>
      </c>
      <c r="BV256">
        <v>1</v>
      </c>
      <c r="BW256">
        <v>2</v>
      </c>
      <c r="BY256">
        <v>67</v>
      </c>
      <c r="CA256">
        <v>0</v>
      </c>
      <c r="CB256" t="s">
        <v>1043</v>
      </c>
      <c r="CE256" t="s">
        <v>1043</v>
      </c>
      <c r="CH256" t="s">
        <v>1043</v>
      </c>
      <c r="CI256" t="s">
        <v>1383</v>
      </c>
      <c r="CK256" t="s">
        <v>1152</v>
      </c>
      <c r="CN256" t="s">
        <v>1056</v>
      </c>
      <c r="CP256">
        <v>1</v>
      </c>
      <c r="CQ256">
        <v>300</v>
      </c>
      <c r="CS256">
        <v>0</v>
      </c>
      <c r="CT256">
        <v>0</v>
      </c>
      <c r="CU256">
        <v>0</v>
      </c>
      <c r="CV256" t="s">
        <v>1045</v>
      </c>
      <c r="CW256">
        <v>0</v>
      </c>
      <c r="CX256">
        <v>0</v>
      </c>
      <c r="CY256">
        <v>0</v>
      </c>
      <c r="CZ256">
        <v>0</v>
      </c>
      <c r="DA256">
        <v>1</v>
      </c>
      <c r="DB256">
        <v>10000</v>
      </c>
      <c r="DH256">
        <v>0</v>
      </c>
      <c r="DJ256">
        <v>0</v>
      </c>
      <c r="DL256">
        <v>0</v>
      </c>
      <c r="DN256">
        <v>0</v>
      </c>
      <c r="DO256" t="s">
        <v>1042</v>
      </c>
      <c r="DP256">
        <v>0</v>
      </c>
      <c r="DQ256">
        <v>7.6</v>
      </c>
      <c r="DS256">
        <v>0</v>
      </c>
      <c r="DU256">
        <v>1.65</v>
      </c>
      <c r="DW256">
        <v>0</v>
      </c>
      <c r="DY256">
        <v>0</v>
      </c>
      <c r="DZ256">
        <v>0</v>
      </c>
      <c r="EA256">
        <v>0</v>
      </c>
      <c r="EB256">
        <v>13578010027347</v>
      </c>
      <c r="EE256">
        <v>0</v>
      </c>
      <c r="EF256">
        <v>0</v>
      </c>
      <c r="EL256">
        <v>53578010027345</v>
      </c>
      <c r="EN256" t="s">
        <v>1012</v>
      </c>
      <c r="ET256">
        <v>0</v>
      </c>
      <c r="EV256">
        <v>0</v>
      </c>
      <c r="EY256" t="s">
        <v>1052</v>
      </c>
      <c r="EZ256">
        <v>0</v>
      </c>
      <c r="FA256" t="s">
        <v>1043</v>
      </c>
      <c r="FB256">
        <v>0</v>
      </c>
      <c r="FC256">
        <v>0</v>
      </c>
      <c r="FD256" t="s">
        <v>1051</v>
      </c>
      <c r="FE256" t="s">
        <v>1050</v>
      </c>
      <c r="FF256">
        <v>0</v>
      </c>
      <c r="FG256" t="s">
        <v>1050</v>
      </c>
      <c r="FH256">
        <v>23578010027344</v>
      </c>
      <c r="FJ256">
        <v>0</v>
      </c>
      <c r="FK256">
        <v>0</v>
      </c>
      <c r="FP256">
        <v>0</v>
      </c>
      <c r="FR256">
        <v>0</v>
      </c>
      <c r="FS256" t="s">
        <v>1043</v>
      </c>
      <c r="FX256" t="s">
        <v>1042</v>
      </c>
      <c r="GA256">
        <v>0</v>
      </c>
      <c r="GB256" t="s">
        <v>1042</v>
      </c>
      <c r="GD256">
        <v>16</v>
      </c>
      <c r="GE256">
        <v>0</v>
      </c>
      <c r="GG256">
        <v>0</v>
      </c>
      <c r="GN256">
        <v>0</v>
      </c>
      <c r="GO256" t="s">
        <v>1063</v>
      </c>
      <c r="GQ256">
        <v>0</v>
      </c>
      <c r="GU256">
        <v>99</v>
      </c>
      <c r="GY256" t="s">
        <v>1045</v>
      </c>
      <c r="HB256">
        <v>0</v>
      </c>
      <c r="HE256">
        <v>10</v>
      </c>
      <c r="HF256">
        <v>0</v>
      </c>
      <c r="HG256">
        <v>3.7200000000000002E-3</v>
      </c>
      <c r="HK256" t="s">
        <v>1042</v>
      </c>
      <c r="HL256" t="s">
        <v>1048</v>
      </c>
      <c r="HM256">
        <v>0</v>
      </c>
      <c r="HN256">
        <v>0</v>
      </c>
      <c r="HP256">
        <v>1.5299999999999999E-2</v>
      </c>
      <c r="HQ256">
        <v>0</v>
      </c>
      <c r="HR256" t="s">
        <v>1042</v>
      </c>
      <c r="HT256">
        <v>0</v>
      </c>
      <c r="HU256">
        <v>0</v>
      </c>
      <c r="HW256">
        <v>0</v>
      </c>
      <c r="HX256">
        <v>0</v>
      </c>
      <c r="HY256">
        <v>0</v>
      </c>
      <c r="IA256">
        <v>0</v>
      </c>
      <c r="IF256">
        <v>36000</v>
      </c>
      <c r="IG256" s="20">
        <v>40340</v>
      </c>
      <c r="IH256" t="s">
        <v>1046</v>
      </c>
      <c r="II256" t="s">
        <v>1042</v>
      </c>
      <c r="IR256" t="s">
        <v>1045</v>
      </c>
      <c r="IT256">
        <v>0</v>
      </c>
      <c r="JE256">
        <v>0</v>
      </c>
      <c r="JF256">
        <v>0</v>
      </c>
      <c r="JI256" t="s">
        <v>1042</v>
      </c>
      <c r="JJ256">
        <v>0</v>
      </c>
      <c r="JK256">
        <v>0</v>
      </c>
      <c r="JL256">
        <v>0</v>
      </c>
      <c r="JM256">
        <v>0</v>
      </c>
      <c r="JT256">
        <v>0</v>
      </c>
      <c r="JU256" t="s">
        <v>1042</v>
      </c>
      <c r="JW256">
        <v>0</v>
      </c>
      <c r="KA256">
        <v>0</v>
      </c>
      <c r="KF256">
        <v>0</v>
      </c>
      <c r="KG256">
        <v>0</v>
      </c>
      <c r="KH256">
        <v>0</v>
      </c>
      <c r="KI256">
        <v>0</v>
      </c>
      <c r="KS256" t="s">
        <v>1041</v>
      </c>
      <c r="KT256">
        <v>0</v>
      </c>
      <c r="KU256">
        <v>0</v>
      </c>
      <c r="KV256">
        <v>0</v>
      </c>
      <c r="KX256">
        <v>0</v>
      </c>
      <c r="KZ256">
        <v>0</v>
      </c>
      <c r="LF256">
        <v>0</v>
      </c>
      <c r="LH256">
        <v>0</v>
      </c>
      <c r="LI256">
        <v>0</v>
      </c>
    </row>
    <row r="257" spans="1:321" x14ac:dyDescent="0.35">
      <c r="A257">
        <v>1</v>
      </c>
      <c r="B257">
        <v>12480</v>
      </c>
      <c r="C257" t="s">
        <v>1438</v>
      </c>
      <c r="D257" t="s">
        <v>1139</v>
      </c>
      <c r="E257" t="s">
        <v>1085</v>
      </c>
      <c r="F257">
        <v>80</v>
      </c>
      <c r="G257">
        <v>9000</v>
      </c>
      <c r="H257">
        <v>0</v>
      </c>
      <c r="I257" t="s">
        <v>1050</v>
      </c>
      <c r="L257">
        <v>0</v>
      </c>
      <c r="M257">
        <v>0</v>
      </c>
      <c r="N257">
        <v>0</v>
      </c>
      <c r="R257">
        <v>0</v>
      </c>
      <c r="S257">
        <v>0</v>
      </c>
      <c r="W257" t="s">
        <v>1060</v>
      </c>
      <c r="X257">
        <v>0</v>
      </c>
      <c r="Z257">
        <v>1</v>
      </c>
      <c r="AA257">
        <v>0</v>
      </c>
      <c r="AB257">
        <v>0</v>
      </c>
      <c r="AC257">
        <v>0</v>
      </c>
      <c r="AD257" s="20">
        <v>40793</v>
      </c>
      <c r="AE257">
        <v>2.68</v>
      </c>
      <c r="AF257">
        <v>0</v>
      </c>
      <c r="AH257">
        <v>0</v>
      </c>
      <c r="AJ257">
        <v>0</v>
      </c>
      <c r="AL257">
        <v>0</v>
      </c>
      <c r="AM257">
        <v>0</v>
      </c>
      <c r="AN257">
        <v>16601003</v>
      </c>
      <c r="AO257">
        <v>0</v>
      </c>
      <c r="AP257">
        <v>1000</v>
      </c>
      <c r="AT257">
        <v>0</v>
      </c>
      <c r="AU257" t="s">
        <v>1059</v>
      </c>
      <c r="AW257" t="s">
        <v>1053</v>
      </c>
      <c r="AX257">
        <v>0</v>
      </c>
      <c r="AY257" s="20">
        <v>40793</v>
      </c>
      <c r="BA257" s="20">
        <v>40793</v>
      </c>
      <c r="BB257" t="s">
        <v>1058</v>
      </c>
      <c r="BD257">
        <v>0</v>
      </c>
      <c r="BF257" t="s">
        <v>1043</v>
      </c>
      <c r="BG257" t="s">
        <v>1042</v>
      </c>
      <c r="BH257">
        <v>0</v>
      </c>
      <c r="BI257">
        <v>1</v>
      </c>
      <c r="BJ257">
        <v>0</v>
      </c>
      <c r="BK257">
        <v>0</v>
      </c>
      <c r="BM257" t="s">
        <v>1042</v>
      </c>
      <c r="BN257">
        <v>0</v>
      </c>
      <c r="BR257" t="s">
        <v>1043</v>
      </c>
      <c r="BS257" t="s">
        <v>1043</v>
      </c>
      <c r="BT257" t="s">
        <v>1043</v>
      </c>
      <c r="BW257">
        <v>83</v>
      </c>
      <c r="CA257">
        <v>0</v>
      </c>
      <c r="CB257" t="s">
        <v>1057</v>
      </c>
      <c r="CE257" t="s">
        <v>1043</v>
      </c>
      <c r="CH257" t="s">
        <v>1043</v>
      </c>
      <c r="CN257" t="s">
        <v>1056</v>
      </c>
      <c r="CO257" t="s">
        <v>1043</v>
      </c>
      <c r="CP257">
        <v>1</v>
      </c>
      <c r="CQ257">
        <v>0</v>
      </c>
      <c r="CS257">
        <v>0</v>
      </c>
      <c r="CT257">
        <v>0</v>
      </c>
      <c r="CU257">
        <v>0</v>
      </c>
      <c r="CV257" t="s">
        <v>1045</v>
      </c>
      <c r="CW257">
        <v>0</v>
      </c>
      <c r="CX257">
        <v>0</v>
      </c>
      <c r="CY257">
        <v>0</v>
      </c>
      <c r="CZ257">
        <v>0</v>
      </c>
      <c r="DB257">
        <v>0</v>
      </c>
      <c r="DC257" t="s">
        <v>1043</v>
      </c>
      <c r="DF257" t="s">
        <v>1055</v>
      </c>
      <c r="DH257">
        <v>0</v>
      </c>
      <c r="DJ257">
        <v>0</v>
      </c>
      <c r="DK257" t="s">
        <v>1053</v>
      </c>
      <c r="DL257">
        <v>0</v>
      </c>
      <c r="DN257">
        <v>0</v>
      </c>
      <c r="DO257" t="s">
        <v>1042</v>
      </c>
      <c r="DP257">
        <v>0</v>
      </c>
      <c r="DQ257">
        <v>0</v>
      </c>
      <c r="DS257">
        <v>0</v>
      </c>
      <c r="DU257">
        <v>0</v>
      </c>
      <c r="DW257">
        <v>0</v>
      </c>
      <c r="DX257" t="s">
        <v>1043</v>
      </c>
      <c r="DY257">
        <v>0</v>
      </c>
      <c r="DZ257">
        <v>0</v>
      </c>
      <c r="EA257">
        <v>0</v>
      </c>
      <c r="ED257" t="s">
        <v>1045</v>
      </c>
      <c r="EE257">
        <v>0</v>
      </c>
      <c r="EF257">
        <v>0</v>
      </c>
      <c r="EQ257" t="s">
        <v>1044</v>
      </c>
      <c r="ES257" t="s">
        <v>1053</v>
      </c>
      <c r="ET257">
        <v>0</v>
      </c>
      <c r="EV257">
        <v>0</v>
      </c>
      <c r="EY257" t="s">
        <v>1052</v>
      </c>
      <c r="EZ257">
        <v>0</v>
      </c>
      <c r="FA257" t="s">
        <v>1043</v>
      </c>
      <c r="FB257">
        <v>0</v>
      </c>
      <c r="FC257">
        <v>0</v>
      </c>
      <c r="FE257" t="s">
        <v>1050</v>
      </c>
      <c r="FF257">
        <v>0</v>
      </c>
      <c r="FG257" t="s">
        <v>1050</v>
      </c>
      <c r="FJ257">
        <v>0</v>
      </c>
      <c r="FK257">
        <v>0</v>
      </c>
      <c r="FP257">
        <v>0</v>
      </c>
      <c r="FR257">
        <v>0</v>
      </c>
      <c r="FS257" t="s">
        <v>1043</v>
      </c>
      <c r="FX257" t="s">
        <v>1042</v>
      </c>
      <c r="FZ257" t="s">
        <v>1048</v>
      </c>
      <c r="GA257">
        <v>0</v>
      </c>
      <c r="GB257" t="s">
        <v>1042</v>
      </c>
      <c r="GE257">
        <v>0</v>
      </c>
      <c r="GG257">
        <v>0</v>
      </c>
      <c r="GN257">
        <v>0</v>
      </c>
      <c r="GO257" t="s">
        <v>1063</v>
      </c>
      <c r="GQ257">
        <v>0</v>
      </c>
      <c r="GU257">
        <v>0</v>
      </c>
      <c r="GY257" t="s">
        <v>1045</v>
      </c>
      <c r="HB257">
        <v>0</v>
      </c>
      <c r="HE257">
        <v>0</v>
      </c>
      <c r="HF257">
        <v>0</v>
      </c>
      <c r="HG257">
        <v>0</v>
      </c>
      <c r="HK257" t="s">
        <v>1042</v>
      </c>
      <c r="HM257" t="s">
        <v>1047</v>
      </c>
      <c r="HN257">
        <v>0</v>
      </c>
      <c r="HP257">
        <v>0</v>
      </c>
      <c r="HQ257">
        <v>0</v>
      </c>
      <c r="HR257" t="s">
        <v>1042</v>
      </c>
      <c r="HS257" t="s">
        <v>1043</v>
      </c>
      <c r="HT257">
        <v>0</v>
      </c>
      <c r="HU257">
        <v>0</v>
      </c>
      <c r="HW257">
        <v>0</v>
      </c>
      <c r="HX257">
        <v>0</v>
      </c>
      <c r="HY257">
        <v>0</v>
      </c>
      <c r="HZ257" t="s">
        <v>1045</v>
      </c>
      <c r="IA257">
        <v>0</v>
      </c>
      <c r="IB257" t="s">
        <v>1045</v>
      </c>
      <c r="ID257" t="s">
        <v>1045</v>
      </c>
      <c r="IF257">
        <v>0</v>
      </c>
      <c r="IG257" t="s">
        <v>1042</v>
      </c>
      <c r="II257" t="s">
        <v>1042</v>
      </c>
      <c r="IR257" t="s">
        <v>1045</v>
      </c>
      <c r="IT257">
        <v>0</v>
      </c>
      <c r="IY257" t="s">
        <v>1044</v>
      </c>
      <c r="IZ257" t="s">
        <v>1043</v>
      </c>
      <c r="JC257" t="s">
        <v>1043</v>
      </c>
      <c r="JE257">
        <v>0</v>
      </c>
      <c r="JF257">
        <v>0</v>
      </c>
      <c r="JI257" t="s">
        <v>1042</v>
      </c>
      <c r="JJ257">
        <v>0</v>
      </c>
      <c r="JK257">
        <v>0</v>
      </c>
      <c r="JL257">
        <v>0</v>
      </c>
      <c r="JM257">
        <v>0</v>
      </c>
      <c r="JQ257" t="s">
        <v>1043</v>
      </c>
      <c r="JT257">
        <v>0</v>
      </c>
      <c r="JU257" t="s">
        <v>1042</v>
      </c>
      <c r="JW257">
        <v>0</v>
      </c>
      <c r="KA257">
        <v>0</v>
      </c>
      <c r="KF257">
        <v>0</v>
      </c>
      <c r="KG257">
        <v>0</v>
      </c>
      <c r="KH257">
        <v>0</v>
      </c>
      <c r="KI257">
        <v>0</v>
      </c>
      <c r="KS257" t="s">
        <v>1073</v>
      </c>
      <c r="KT257">
        <v>0</v>
      </c>
      <c r="KU257">
        <v>0</v>
      </c>
      <c r="KV257">
        <v>0</v>
      </c>
      <c r="KX257">
        <v>0</v>
      </c>
      <c r="KZ257">
        <v>0</v>
      </c>
      <c r="LF257">
        <v>0</v>
      </c>
      <c r="LH257">
        <v>0</v>
      </c>
      <c r="LI257">
        <v>0</v>
      </c>
    </row>
    <row r="258" spans="1:321" x14ac:dyDescent="0.35">
      <c r="A258">
        <v>1</v>
      </c>
      <c r="B258">
        <v>12481</v>
      </c>
      <c r="C258" t="s">
        <v>1437</v>
      </c>
      <c r="D258" t="s">
        <v>1139</v>
      </c>
      <c r="E258" t="s">
        <v>1085</v>
      </c>
      <c r="F258">
        <v>80</v>
      </c>
      <c r="G258">
        <v>9000</v>
      </c>
      <c r="H258">
        <v>0</v>
      </c>
      <c r="I258" t="s">
        <v>1050</v>
      </c>
      <c r="L258">
        <v>0</v>
      </c>
      <c r="M258">
        <v>0</v>
      </c>
      <c r="N258">
        <v>0</v>
      </c>
      <c r="R258">
        <v>0</v>
      </c>
      <c r="S258">
        <v>0</v>
      </c>
      <c r="W258" t="s">
        <v>1060</v>
      </c>
      <c r="X258">
        <v>0</v>
      </c>
      <c r="Z258">
        <v>1</v>
      </c>
      <c r="AA258">
        <v>0</v>
      </c>
      <c r="AB258">
        <v>0</v>
      </c>
      <c r="AC258">
        <v>0</v>
      </c>
      <c r="AD258" s="20">
        <v>40793</v>
      </c>
      <c r="AE258">
        <v>2.68</v>
      </c>
      <c r="AF258">
        <v>0</v>
      </c>
      <c r="AH258">
        <v>0</v>
      </c>
      <c r="AJ258">
        <v>0</v>
      </c>
      <c r="AL258">
        <v>0</v>
      </c>
      <c r="AM258">
        <v>0</v>
      </c>
      <c r="AN258">
        <v>16601003</v>
      </c>
      <c r="AO258">
        <v>0</v>
      </c>
      <c r="AP258">
        <v>1000</v>
      </c>
      <c r="AT258">
        <v>0</v>
      </c>
      <c r="AU258" t="s">
        <v>1059</v>
      </c>
      <c r="AW258" t="s">
        <v>1053</v>
      </c>
      <c r="AX258">
        <v>0</v>
      </c>
      <c r="AY258" s="20">
        <v>40793</v>
      </c>
      <c r="BA258" s="20">
        <v>40793</v>
      </c>
      <c r="BB258" t="s">
        <v>1058</v>
      </c>
      <c r="BD258">
        <v>0</v>
      </c>
      <c r="BF258" t="s">
        <v>1043</v>
      </c>
      <c r="BG258" t="s">
        <v>1042</v>
      </c>
      <c r="BH258">
        <v>0</v>
      </c>
      <c r="BI258">
        <v>1</v>
      </c>
      <c r="BJ258">
        <v>0</v>
      </c>
      <c r="BK258">
        <v>0</v>
      </c>
      <c r="BM258" t="s">
        <v>1042</v>
      </c>
      <c r="BN258">
        <v>0</v>
      </c>
      <c r="BR258" t="s">
        <v>1043</v>
      </c>
      <c r="BS258" t="s">
        <v>1043</v>
      </c>
      <c r="BT258" t="s">
        <v>1043</v>
      </c>
      <c r="BW258">
        <v>83</v>
      </c>
      <c r="CA258">
        <v>0</v>
      </c>
      <c r="CB258" t="s">
        <v>1057</v>
      </c>
      <c r="CE258" t="s">
        <v>1043</v>
      </c>
      <c r="CH258" t="s">
        <v>1043</v>
      </c>
      <c r="CN258" t="s">
        <v>1056</v>
      </c>
      <c r="CO258" t="s">
        <v>1043</v>
      </c>
      <c r="CP258">
        <v>1</v>
      </c>
      <c r="CQ258">
        <v>0</v>
      </c>
      <c r="CS258">
        <v>0</v>
      </c>
      <c r="CT258">
        <v>0</v>
      </c>
      <c r="CU258">
        <v>0</v>
      </c>
      <c r="CV258" t="s">
        <v>1045</v>
      </c>
      <c r="CW258">
        <v>0</v>
      </c>
      <c r="CX258">
        <v>0</v>
      </c>
      <c r="CY258">
        <v>0</v>
      </c>
      <c r="CZ258">
        <v>0</v>
      </c>
      <c r="DB258">
        <v>0</v>
      </c>
      <c r="DC258" t="s">
        <v>1043</v>
      </c>
      <c r="DF258" t="s">
        <v>1055</v>
      </c>
      <c r="DH258">
        <v>0</v>
      </c>
      <c r="DJ258">
        <v>0</v>
      </c>
      <c r="DK258" t="s">
        <v>1053</v>
      </c>
      <c r="DL258">
        <v>0</v>
      </c>
      <c r="DN258">
        <v>0</v>
      </c>
      <c r="DO258" t="s">
        <v>1042</v>
      </c>
      <c r="DP258">
        <v>0</v>
      </c>
      <c r="DQ258">
        <v>0</v>
      </c>
      <c r="DS258">
        <v>0</v>
      </c>
      <c r="DU258">
        <v>0</v>
      </c>
      <c r="DW258">
        <v>0</v>
      </c>
      <c r="DX258" t="s">
        <v>1043</v>
      </c>
      <c r="DY258">
        <v>0</v>
      </c>
      <c r="DZ258">
        <v>0</v>
      </c>
      <c r="EA258">
        <v>0</v>
      </c>
      <c r="ED258" t="s">
        <v>1045</v>
      </c>
      <c r="EE258">
        <v>0</v>
      </c>
      <c r="EF258">
        <v>0</v>
      </c>
      <c r="EQ258" t="s">
        <v>1044</v>
      </c>
      <c r="ES258" t="s">
        <v>1053</v>
      </c>
      <c r="ET258">
        <v>0</v>
      </c>
      <c r="EV258">
        <v>0</v>
      </c>
      <c r="EY258" t="s">
        <v>1052</v>
      </c>
      <c r="EZ258">
        <v>0</v>
      </c>
      <c r="FA258" t="s">
        <v>1043</v>
      </c>
      <c r="FB258">
        <v>0</v>
      </c>
      <c r="FC258">
        <v>0</v>
      </c>
      <c r="FE258" t="s">
        <v>1050</v>
      </c>
      <c r="FF258">
        <v>0</v>
      </c>
      <c r="FG258" t="s">
        <v>1050</v>
      </c>
      <c r="FJ258">
        <v>0</v>
      </c>
      <c r="FK258">
        <v>0</v>
      </c>
      <c r="FP258">
        <v>0</v>
      </c>
      <c r="FR258">
        <v>0</v>
      </c>
      <c r="FS258" t="s">
        <v>1043</v>
      </c>
      <c r="FX258" t="s">
        <v>1042</v>
      </c>
      <c r="FZ258" t="s">
        <v>1048</v>
      </c>
      <c r="GA258">
        <v>0</v>
      </c>
      <c r="GB258" t="s">
        <v>1042</v>
      </c>
      <c r="GE258">
        <v>0</v>
      </c>
      <c r="GG258">
        <v>0</v>
      </c>
      <c r="GN258">
        <v>0</v>
      </c>
      <c r="GO258" t="s">
        <v>1063</v>
      </c>
      <c r="GQ258">
        <v>0</v>
      </c>
      <c r="GU258">
        <v>0</v>
      </c>
      <c r="GY258" t="s">
        <v>1045</v>
      </c>
      <c r="HB258">
        <v>0</v>
      </c>
      <c r="HE258">
        <v>0</v>
      </c>
      <c r="HF258">
        <v>0</v>
      </c>
      <c r="HG258">
        <v>0</v>
      </c>
      <c r="HK258" t="s">
        <v>1042</v>
      </c>
      <c r="HM258" t="s">
        <v>1047</v>
      </c>
      <c r="HN258">
        <v>0</v>
      </c>
      <c r="HP258">
        <v>0</v>
      </c>
      <c r="HQ258">
        <v>0</v>
      </c>
      <c r="HR258" t="s">
        <v>1042</v>
      </c>
      <c r="HS258" t="s">
        <v>1043</v>
      </c>
      <c r="HT258">
        <v>0</v>
      </c>
      <c r="HU258">
        <v>0</v>
      </c>
      <c r="HW258">
        <v>0</v>
      </c>
      <c r="HX258">
        <v>0</v>
      </c>
      <c r="HY258">
        <v>0</v>
      </c>
      <c r="HZ258" t="s">
        <v>1045</v>
      </c>
      <c r="IA258">
        <v>0</v>
      </c>
      <c r="IB258" t="s">
        <v>1045</v>
      </c>
      <c r="ID258" t="s">
        <v>1045</v>
      </c>
      <c r="IF258">
        <v>0</v>
      </c>
      <c r="IG258" t="s">
        <v>1042</v>
      </c>
      <c r="II258" t="s">
        <v>1042</v>
      </c>
      <c r="IR258" t="s">
        <v>1045</v>
      </c>
      <c r="IT258">
        <v>0</v>
      </c>
      <c r="IY258" t="s">
        <v>1044</v>
      </c>
      <c r="IZ258" t="s">
        <v>1043</v>
      </c>
      <c r="JC258" t="s">
        <v>1043</v>
      </c>
      <c r="JE258">
        <v>0</v>
      </c>
      <c r="JF258">
        <v>0</v>
      </c>
      <c r="JI258" t="s">
        <v>1042</v>
      </c>
      <c r="JJ258">
        <v>0</v>
      </c>
      <c r="JK258">
        <v>0</v>
      </c>
      <c r="JL258">
        <v>0</v>
      </c>
      <c r="JM258">
        <v>0</v>
      </c>
      <c r="JQ258" t="s">
        <v>1043</v>
      </c>
      <c r="JT258">
        <v>0</v>
      </c>
      <c r="JU258" t="s">
        <v>1042</v>
      </c>
      <c r="JW258">
        <v>0</v>
      </c>
      <c r="KA258">
        <v>0</v>
      </c>
      <c r="KF258">
        <v>0</v>
      </c>
      <c r="KG258">
        <v>0</v>
      </c>
      <c r="KH258">
        <v>0</v>
      </c>
      <c r="KI258">
        <v>0</v>
      </c>
      <c r="KS258" t="s">
        <v>1073</v>
      </c>
      <c r="KT258">
        <v>0</v>
      </c>
      <c r="KU258">
        <v>0</v>
      </c>
      <c r="KV258">
        <v>0</v>
      </c>
      <c r="KX258">
        <v>0</v>
      </c>
      <c r="KZ258">
        <v>0</v>
      </c>
      <c r="LF258">
        <v>0</v>
      </c>
      <c r="LH258">
        <v>0</v>
      </c>
      <c r="LI258">
        <v>0</v>
      </c>
    </row>
    <row r="259" spans="1:321" x14ac:dyDescent="0.35">
      <c r="A259">
        <v>1</v>
      </c>
      <c r="B259">
        <v>12482</v>
      </c>
      <c r="C259" t="s">
        <v>1436</v>
      </c>
      <c r="D259" t="s">
        <v>1139</v>
      </c>
      <c r="E259" t="s">
        <v>1085</v>
      </c>
      <c r="F259">
        <v>80</v>
      </c>
      <c r="G259">
        <v>9000</v>
      </c>
      <c r="H259">
        <v>0</v>
      </c>
      <c r="I259" t="s">
        <v>1050</v>
      </c>
      <c r="L259">
        <v>0</v>
      </c>
      <c r="M259">
        <v>0</v>
      </c>
      <c r="N259">
        <v>0</v>
      </c>
      <c r="R259">
        <v>0</v>
      </c>
      <c r="S259">
        <v>0</v>
      </c>
      <c r="W259" t="s">
        <v>1060</v>
      </c>
      <c r="X259">
        <v>0</v>
      </c>
      <c r="Z259">
        <v>1</v>
      </c>
      <c r="AA259">
        <v>0</v>
      </c>
      <c r="AB259">
        <v>0</v>
      </c>
      <c r="AC259">
        <v>0</v>
      </c>
      <c r="AD259" s="20">
        <v>40793</v>
      </c>
      <c r="AE259">
        <v>2.68</v>
      </c>
      <c r="AF259">
        <v>0</v>
      </c>
      <c r="AH259">
        <v>0</v>
      </c>
      <c r="AJ259">
        <v>0</v>
      </c>
      <c r="AL259">
        <v>0</v>
      </c>
      <c r="AM259">
        <v>0</v>
      </c>
      <c r="AN259">
        <v>16601003</v>
      </c>
      <c r="AO259">
        <v>0</v>
      </c>
      <c r="AP259">
        <v>1000</v>
      </c>
      <c r="AT259">
        <v>0</v>
      </c>
      <c r="AU259" t="s">
        <v>1059</v>
      </c>
      <c r="AW259" t="s">
        <v>1053</v>
      </c>
      <c r="AX259">
        <v>0</v>
      </c>
      <c r="AY259" s="20">
        <v>40793</v>
      </c>
      <c r="BA259" s="20">
        <v>40793</v>
      </c>
      <c r="BB259" t="s">
        <v>1058</v>
      </c>
      <c r="BD259">
        <v>0</v>
      </c>
      <c r="BF259" t="s">
        <v>1043</v>
      </c>
      <c r="BG259" t="s">
        <v>1042</v>
      </c>
      <c r="BH259">
        <v>0</v>
      </c>
      <c r="BI259">
        <v>1</v>
      </c>
      <c r="BJ259">
        <v>0</v>
      </c>
      <c r="BK259">
        <v>0</v>
      </c>
      <c r="BM259" t="s">
        <v>1042</v>
      </c>
      <c r="BN259">
        <v>0</v>
      </c>
      <c r="BR259" t="s">
        <v>1043</v>
      </c>
      <c r="BS259" t="s">
        <v>1043</v>
      </c>
      <c r="BT259" t="s">
        <v>1043</v>
      </c>
      <c r="BW259">
        <v>83</v>
      </c>
      <c r="CA259">
        <v>0</v>
      </c>
      <c r="CB259" t="s">
        <v>1057</v>
      </c>
      <c r="CE259" t="s">
        <v>1043</v>
      </c>
      <c r="CH259" t="s">
        <v>1043</v>
      </c>
      <c r="CN259" t="s">
        <v>1056</v>
      </c>
      <c r="CO259" t="s">
        <v>1043</v>
      </c>
      <c r="CP259">
        <v>1</v>
      </c>
      <c r="CQ259">
        <v>0</v>
      </c>
      <c r="CS259">
        <v>0</v>
      </c>
      <c r="CT259">
        <v>0</v>
      </c>
      <c r="CU259">
        <v>0</v>
      </c>
      <c r="CV259" t="s">
        <v>1045</v>
      </c>
      <c r="CW259">
        <v>0</v>
      </c>
      <c r="CX259">
        <v>0</v>
      </c>
      <c r="CY259">
        <v>0</v>
      </c>
      <c r="CZ259">
        <v>0</v>
      </c>
      <c r="DB259">
        <v>0</v>
      </c>
      <c r="DC259" t="s">
        <v>1043</v>
      </c>
      <c r="DF259" t="s">
        <v>1055</v>
      </c>
      <c r="DH259">
        <v>0</v>
      </c>
      <c r="DJ259">
        <v>0</v>
      </c>
      <c r="DK259" t="s">
        <v>1053</v>
      </c>
      <c r="DL259">
        <v>0</v>
      </c>
      <c r="DN259">
        <v>0</v>
      </c>
      <c r="DO259" t="s">
        <v>1042</v>
      </c>
      <c r="DP259">
        <v>0</v>
      </c>
      <c r="DQ259">
        <v>0</v>
      </c>
      <c r="DS259">
        <v>0</v>
      </c>
      <c r="DU259">
        <v>0</v>
      </c>
      <c r="DW259">
        <v>0</v>
      </c>
      <c r="DX259" t="s">
        <v>1043</v>
      </c>
      <c r="DY259">
        <v>0</v>
      </c>
      <c r="DZ259">
        <v>0</v>
      </c>
      <c r="EA259">
        <v>0</v>
      </c>
      <c r="ED259" t="s">
        <v>1045</v>
      </c>
      <c r="EE259">
        <v>0</v>
      </c>
      <c r="EF259">
        <v>0</v>
      </c>
      <c r="EQ259" t="s">
        <v>1044</v>
      </c>
      <c r="ES259" t="s">
        <v>1053</v>
      </c>
      <c r="ET259">
        <v>0</v>
      </c>
      <c r="EV259">
        <v>0</v>
      </c>
      <c r="EY259" t="s">
        <v>1052</v>
      </c>
      <c r="EZ259">
        <v>0</v>
      </c>
      <c r="FA259" t="s">
        <v>1043</v>
      </c>
      <c r="FB259">
        <v>0</v>
      </c>
      <c r="FC259">
        <v>0</v>
      </c>
      <c r="FE259" t="s">
        <v>1050</v>
      </c>
      <c r="FF259">
        <v>0</v>
      </c>
      <c r="FG259" t="s">
        <v>1050</v>
      </c>
      <c r="FJ259">
        <v>0</v>
      </c>
      <c r="FK259">
        <v>0</v>
      </c>
      <c r="FP259">
        <v>0</v>
      </c>
      <c r="FR259">
        <v>0</v>
      </c>
      <c r="FS259" t="s">
        <v>1043</v>
      </c>
      <c r="FX259" t="s">
        <v>1042</v>
      </c>
      <c r="FZ259" t="s">
        <v>1048</v>
      </c>
      <c r="GA259">
        <v>0</v>
      </c>
      <c r="GB259" t="s">
        <v>1042</v>
      </c>
      <c r="GE259">
        <v>0</v>
      </c>
      <c r="GG259">
        <v>0</v>
      </c>
      <c r="GN259">
        <v>0</v>
      </c>
      <c r="GO259" t="s">
        <v>1063</v>
      </c>
      <c r="GQ259">
        <v>0</v>
      </c>
      <c r="GU259">
        <v>0</v>
      </c>
      <c r="GY259" t="s">
        <v>1045</v>
      </c>
      <c r="HB259">
        <v>0</v>
      </c>
      <c r="HE259">
        <v>0</v>
      </c>
      <c r="HF259">
        <v>0</v>
      </c>
      <c r="HG259">
        <v>0</v>
      </c>
      <c r="HK259" t="s">
        <v>1042</v>
      </c>
      <c r="HM259" t="s">
        <v>1047</v>
      </c>
      <c r="HN259">
        <v>0</v>
      </c>
      <c r="HP259">
        <v>0</v>
      </c>
      <c r="HQ259">
        <v>0</v>
      </c>
      <c r="HR259" t="s">
        <v>1042</v>
      </c>
      <c r="HS259" t="s">
        <v>1043</v>
      </c>
      <c r="HT259">
        <v>0</v>
      </c>
      <c r="HU259">
        <v>0</v>
      </c>
      <c r="HW259">
        <v>0</v>
      </c>
      <c r="HX259">
        <v>0</v>
      </c>
      <c r="HY259">
        <v>0</v>
      </c>
      <c r="HZ259" t="s">
        <v>1045</v>
      </c>
      <c r="IA259">
        <v>0</v>
      </c>
      <c r="IB259" t="s">
        <v>1045</v>
      </c>
      <c r="ID259" t="s">
        <v>1045</v>
      </c>
      <c r="IF259">
        <v>0</v>
      </c>
      <c r="IG259" t="s">
        <v>1042</v>
      </c>
      <c r="II259" t="s">
        <v>1042</v>
      </c>
      <c r="IR259" t="s">
        <v>1045</v>
      </c>
      <c r="IT259">
        <v>0</v>
      </c>
      <c r="IY259" t="s">
        <v>1044</v>
      </c>
      <c r="IZ259" t="s">
        <v>1043</v>
      </c>
      <c r="JC259" t="s">
        <v>1043</v>
      </c>
      <c r="JE259">
        <v>0</v>
      </c>
      <c r="JF259">
        <v>0</v>
      </c>
      <c r="JI259" t="s">
        <v>1042</v>
      </c>
      <c r="JJ259">
        <v>0</v>
      </c>
      <c r="JK259">
        <v>0</v>
      </c>
      <c r="JL259">
        <v>0</v>
      </c>
      <c r="JM259">
        <v>0</v>
      </c>
      <c r="JQ259" t="s">
        <v>1043</v>
      </c>
      <c r="JT259">
        <v>0</v>
      </c>
      <c r="JU259" t="s">
        <v>1042</v>
      </c>
      <c r="JW259">
        <v>0</v>
      </c>
      <c r="KA259">
        <v>0</v>
      </c>
      <c r="KF259">
        <v>0</v>
      </c>
      <c r="KG259">
        <v>0</v>
      </c>
      <c r="KH259">
        <v>0</v>
      </c>
      <c r="KI259">
        <v>0</v>
      </c>
      <c r="KS259" t="s">
        <v>1073</v>
      </c>
      <c r="KT259">
        <v>0</v>
      </c>
      <c r="KU259">
        <v>0</v>
      </c>
      <c r="KV259">
        <v>0</v>
      </c>
      <c r="KX259">
        <v>0</v>
      </c>
      <c r="KZ259">
        <v>0</v>
      </c>
      <c r="LF259">
        <v>0</v>
      </c>
      <c r="LH259">
        <v>0</v>
      </c>
      <c r="LI259">
        <v>0</v>
      </c>
    </row>
    <row r="260" spans="1:321" x14ac:dyDescent="0.35">
      <c r="A260">
        <v>1</v>
      </c>
      <c r="B260">
        <v>12483</v>
      </c>
      <c r="C260" t="s">
        <v>1435</v>
      </c>
      <c r="D260" t="s">
        <v>1139</v>
      </c>
      <c r="E260" t="s">
        <v>1085</v>
      </c>
      <c r="F260">
        <v>80</v>
      </c>
      <c r="G260">
        <v>9000</v>
      </c>
      <c r="H260">
        <v>0</v>
      </c>
      <c r="I260" t="s">
        <v>1050</v>
      </c>
      <c r="L260">
        <v>0</v>
      </c>
      <c r="M260">
        <v>0</v>
      </c>
      <c r="N260">
        <v>0</v>
      </c>
      <c r="R260">
        <v>0</v>
      </c>
      <c r="S260">
        <v>0</v>
      </c>
      <c r="W260" t="s">
        <v>1060</v>
      </c>
      <c r="X260">
        <v>0</v>
      </c>
      <c r="Z260">
        <v>1</v>
      </c>
      <c r="AA260">
        <v>0</v>
      </c>
      <c r="AB260">
        <v>0</v>
      </c>
      <c r="AC260">
        <v>0</v>
      </c>
      <c r="AD260" s="20">
        <v>40793</v>
      </c>
      <c r="AE260">
        <v>2.68</v>
      </c>
      <c r="AF260">
        <v>0</v>
      </c>
      <c r="AH260">
        <v>0</v>
      </c>
      <c r="AJ260">
        <v>0</v>
      </c>
      <c r="AL260">
        <v>0</v>
      </c>
      <c r="AM260">
        <v>0</v>
      </c>
      <c r="AN260">
        <v>16601003</v>
      </c>
      <c r="AO260">
        <v>0</v>
      </c>
      <c r="AP260">
        <v>1000</v>
      </c>
      <c r="AT260">
        <v>0</v>
      </c>
      <c r="AU260" t="s">
        <v>1059</v>
      </c>
      <c r="AW260" t="s">
        <v>1053</v>
      </c>
      <c r="AX260">
        <v>0</v>
      </c>
      <c r="AY260" s="20">
        <v>40793</v>
      </c>
      <c r="BA260" s="20">
        <v>40793</v>
      </c>
      <c r="BB260" t="s">
        <v>1058</v>
      </c>
      <c r="BD260">
        <v>0</v>
      </c>
      <c r="BF260" t="s">
        <v>1043</v>
      </c>
      <c r="BG260" t="s">
        <v>1042</v>
      </c>
      <c r="BH260">
        <v>0</v>
      </c>
      <c r="BI260">
        <v>1</v>
      </c>
      <c r="BJ260">
        <v>0</v>
      </c>
      <c r="BK260">
        <v>0</v>
      </c>
      <c r="BM260" t="s">
        <v>1042</v>
      </c>
      <c r="BN260">
        <v>0</v>
      </c>
      <c r="BR260" t="s">
        <v>1043</v>
      </c>
      <c r="BS260" t="s">
        <v>1043</v>
      </c>
      <c r="BT260" t="s">
        <v>1043</v>
      </c>
      <c r="BW260">
        <v>83</v>
      </c>
      <c r="CA260">
        <v>0</v>
      </c>
      <c r="CB260" t="s">
        <v>1057</v>
      </c>
      <c r="CE260" t="s">
        <v>1043</v>
      </c>
      <c r="CH260" t="s">
        <v>1043</v>
      </c>
      <c r="CN260" t="s">
        <v>1056</v>
      </c>
      <c r="CO260" t="s">
        <v>1043</v>
      </c>
      <c r="CP260">
        <v>1</v>
      </c>
      <c r="CQ260">
        <v>0</v>
      </c>
      <c r="CS260">
        <v>0</v>
      </c>
      <c r="CT260">
        <v>0</v>
      </c>
      <c r="CU260">
        <v>0</v>
      </c>
      <c r="CV260" t="s">
        <v>1045</v>
      </c>
      <c r="CW260">
        <v>0</v>
      </c>
      <c r="CX260">
        <v>0</v>
      </c>
      <c r="CY260">
        <v>0</v>
      </c>
      <c r="CZ260">
        <v>0</v>
      </c>
      <c r="DB260">
        <v>0</v>
      </c>
      <c r="DC260" t="s">
        <v>1043</v>
      </c>
      <c r="DF260" t="s">
        <v>1055</v>
      </c>
      <c r="DH260">
        <v>0</v>
      </c>
      <c r="DJ260">
        <v>0</v>
      </c>
      <c r="DK260" t="s">
        <v>1053</v>
      </c>
      <c r="DL260">
        <v>0</v>
      </c>
      <c r="DN260">
        <v>0</v>
      </c>
      <c r="DO260" t="s">
        <v>1042</v>
      </c>
      <c r="DP260">
        <v>0</v>
      </c>
      <c r="DQ260">
        <v>0</v>
      </c>
      <c r="DS260">
        <v>0</v>
      </c>
      <c r="DU260">
        <v>0</v>
      </c>
      <c r="DW260">
        <v>0</v>
      </c>
      <c r="DX260" t="s">
        <v>1043</v>
      </c>
      <c r="DY260">
        <v>0</v>
      </c>
      <c r="DZ260">
        <v>0</v>
      </c>
      <c r="EA260">
        <v>0</v>
      </c>
      <c r="ED260" t="s">
        <v>1045</v>
      </c>
      <c r="EE260">
        <v>0</v>
      </c>
      <c r="EF260">
        <v>0</v>
      </c>
      <c r="EQ260" t="s">
        <v>1044</v>
      </c>
      <c r="ES260" t="s">
        <v>1053</v>
      </c>
      <c r="ET260">
        <v>0</v>
      </c>
      <c r="EV260">
        <v>0</v>
      </c>
      <c r="EY260" t="s">
        <v>1052</v>
      </c>
      <c r="EZ260">
        <v>0</v>
      </c>
      <c r="FA260" t="s">
        <v>1043</v>
      </c>
      <c r="FB260">
        <v>0</v>
      </c>
      <c r="FC260">
        <v>0</v>
      </c>
      <c r="FE260" t="s">
        <v>1050</v>
      </c>
      <c r="FF260">
        <v>0</v>
      </c>
      <c r="FG260" t="s">
        <v>1050</v>
      </c>
      <c r="FJ260">
        <v>0</v>
      </c>
      <c r="FK260">
        <v>0</v>
      </c>
      <c r="FP260">
        <v>0</v>
      </c>
      <c r="FR260">
        <v>0</v>
      </c>
      <c r="FS260" t="s">
        <v>1043</v>
      </c>
      <c r="FX260" t="s">
        <v>1042</v>
      </c>
      <c r="FZ260" t="s">
        <v>1048</v>
      </c>
      <c r="GA260">
        <v>0</v>
      </c>
      <c r="GB260" t="s">
        <v>1042</v>
      </c>
      <c r="GE260">
        <v>0</v>
      </c>
      <c r="GG260">
        <v>0</v>
      </c>
      <c r="GN260">
        <v>0</v>
      </c>
      <c r="GO260" t="s">
        <v>1063</v>
      </c>
      <c r="GQ260">
        <v>0</v>
      </c>
      <c r="GU260">
        <v>0</v>
      </c>
      <c r="GY260" t="s">
        <v>1045</v>
      </c>
      <c r="HB260">
        <v>0</v>
      </c>
      <c r="HE260">
        <v>0</v>
      </c>
      <c r="HF260">
        <v>0</v>
      </c>
      <c r="HG260">
        <v>0</v>
      </c>
      <c r="HK260" t="s">
        <v>1042</v>
      </c>
      <c r="HM260" t="s">
        <v>1047</v>
      </c>
      <c r="HN260">
        <v>0</v>
      </c>
      <c r="HP260">
        <v>0</v>
      </c>
      <c r="HQ260">
        <v>0</v>
      </c>
      <c r="HR260" t="s">
        <v>1042</v>
      </c>
      <c r="HS260" t="s">
        <v>1043</v>
      </c>
      <c r="HT260">
        <v>0</v>
      </c>
      <c r="HU260">
        <v>0</v>
      </c>
      <c r="HW260">
        <v>0</v>
      </c>
      <c r="HX260">
        <v>0</v>
      </c>
      <c r="HY260">
        <v>0</v>
      </c>
      <c r="HZ260" t="s">
        <v>1045</v>
      </c>
      <c r="IA260">
        <v>0</v>
      </c>
      <c r="IB260" t="s">
        <v>1045</v>
      </c>
      <c r="ID260" t="s">
        <v>1045</v>
      </c>
      <c r="IF260">
        <v>0</v>
      </c>
      <c r="IG260" t="s">
        <v>1042</v>
      </c>
      <c r="II260" t="s">
        <v>1042</v>
      </c>
      <c r="IR260" t="s">
        <v>1045</v>
      </c>
      <c r="IT260">
        <v>0</v>
      </c>
      <c r="IY260" t="s">
        <v>1044</v>
      </c>
      <c r="IZ260" t="s">
        <v>1043</v>
      </c>
      <c r="JC260" t="s">
        <v>1043</v>
      </c>
      <c r="JE260">
        <v>0</v>
      </c>
      <c r="JF260">
        <v>0</v>
      </c>
      <c r="JI260" t="s">
        <v>1042</v>
      </c>
      <c r="JJ260">
        <v>0</v>
      </c>
      <c r="JK260">
        <v>0</v>
      </c>
      <c r="JL260">
        <v>0</v>
      </c>
      <c r="JM260">
        <v>0</v>
      </c>
      <c r="JQ260" t="s">
        <v>1043</v>
      </c>
      <c r="JT260">
        <v>0</v>
      </c>
      <c r="JU260" t="s">
        <v>1042</v>
      </c>
      <c r="JW260">
        <v>0</v>
      </c>
      <c r="KA260">
        <v>0</v>
      </c>
      <c r="KF260">
        <v>0</v>
      </c>
      <c r="KG260">
        <v>0</v>
      </c>
      <c r="KH260">
        <v>0</v>
      </c>
      <c r="KI260">
        <v>0</v>
      </c>
      <c r="KS260" t="s">
        <v>1073</v>
      </c>
      <c r="KT260">
        <v>0</v>
      </c>
      <c r="KU260">
        <v>0</v>
      </c>
      <c r="KV260">
        <v>0</v>
      </c>
      <c r="KX260">
        <v>0</v>
      </c>
      <c r="KZ260">
        <v>0</v>
      </c>
      <c r="LF260">
        <v>0</v>
      </c>
      <c r="LH260">
        <v>0</v>
      </c>
      <c r="LI260">
        <v>0</v>
      </c>
    </row>
    <row r="261" spans="1:321" x14ac:dyDescent="0.35">
      <c r="A261">
        <v>1</v>
      </c>
      <c r="B261">
        <v>12484</v>
      </c>
      <c r="C261" t="s">
        <v>1434</v>
      </c>
      <c r="D261" t="s">
        <v>1139</v>
      </c>
      <c r="E261" t="s">
        <v>1085</v>
      </c>
      <c r="F261">
        <v>80</v>
      </c>
      <c r="G261">
        <v>9000</v>
      </c>
      <c r="H261">
        <v>0</v>
      </c>
      <c r="I261" t="s">
        <v>1050</v>
      </c>
      <c r="L261">
        <v>0</v>
      </c>
      <c r="M261">
        <v>0</v>
      </c>
      <c r="N261">
        <v>0</v>
      </c>
      <c r="R261">
        <v>0</v>
      </c>
      <c r="S261">
        <v>0</v>
      </c>
      <c r="W261" t="s">
        <v>1060</v>
      </c>
      <c r="X261">
        <v>0</v>
      </c>
      <c r="Z261">
        <v>1</v>
      </c>
      <c r="AA261">
        <v>0</v>
      </c>
      <c r="AB261">
        <v>0</v>
      </c>
      <c r="AC261">
        <v>0</v>
      </c>
      <c r="AD261" s="20">
        <v>40793</v>
      </c>
      <c r="AE261">
        <v>2.68</v>
      </c>
      <c r="AF261">
        <v>0</v>
      </c>
      <c r="AH261">
        <v>0</v>
      </c>
      <c r="AJ261">
        <v>0</v>
      </c>
      <c r="AL261">
        <v>0</v>
      </c>
      <c r="AM261">
        <v>0</v>
      </c>
      <c r="AN261">
        <v>16601003</v>
      </c>
      <c r="AO261">
        <v>0</v>
      </c>
      <c r="AP261">
        <v>1000</v>
      </c>
      <c r="AT261">
        <v>0</v>
      </c>
      <c r="AU261" t="s">
        <v>1059</v>
      </c>
      <c r="AW261" t="s">
        <v>1053</v>
      </c>
      <c r="AX261">
        <v>0</v>
      </c>
      <c r="AY261" s="20">
        <v>40793</v>
      </c>
      <c r="BA261" s="20">
        <v>40793</v>
      </c>
      <c r="BB261" t="s">
        <v>1058</v>
      </c>
      <c r="BD261">
        <v>0</v>
      </c>
      <c r="BF261" t="s">
        <v>1043</v>
      </c>
      <c r="BG261" t="s">
        <v>1042</v>
      </c>
      <c r="BH261">
        <v>0</v>
      </c>
      <c r="BI261">
        <v>1</v>
      </c>
      <c r="BJ261">
        <v>0</v>
      </c>
      <c r="BK261">
        <v>0</v>
      </c>
      <c r="BM261" t="s">
        <v>1042</v>
      </c>
      <c r="BN261">
        <v>0</v>
      </c>
      <c r="BR261" t="s">
        <v>1043</v>
      </c>
      <c r="BS261" t="s">
        <v>1043</v>
      </c>
      <c r="BT261" t="s">
        <v>1043</v>
      </c>
      <c r="BW261">
        <v>83</v>
      </c>
      <c r="CA261">
        <v>0</v>
      </c>
      <c r="CB261" t="s">
        <v>1057</v>
      </c>
      <c r="CE261" t="s">
        <v>1043</v>
      </c>
      <c r="CH261" t="s">
        <v>1043</v>
      </c>
      <c r="CN261" t="s">
        <v>1056</v>
      </c>
      <c r="CO261" t="s">
        <v>1043</v>
      </c>
      <c r="CP261">
        <v>1</v>
      </c>
      <c r="CQ261">
        <v>0</v>
      </c>
      <c r="CS261">
        <v>0</v>
      </c>
      <c r="CT261">
        <v>0</v>
      </c>
      <c r="CU261">
        <v>0</v>
      </c>
      <c r="CV261" t="s">
        <v>1045</v>
      </c>
      <c r="CW261">
        <v>0</v>
      </c>
      <c r="CX261">
        <v>0</v>
      </c>
      <c r="CY261">
        <v>0</v>
      </c>
      <c r="CZ261">
        <v>0</v>
      </c>
      <c r="DB261">
        <v>0</v>
      </c>
      <c r="DC261" t="s">
        <v>1043</v>
      </c>
      <c r="DF261" t="s">
        <v>1055</v>
      </c>
      <c r="DH261">
        <v>0</v>
      </c>
      <c r="DJ261">
        <v>0</v>
      </c>
      <c r="DK261" t="s">
        <v>1053</v>
      </c>
      <c r="DL261">
        <v>0</v>
      </c>
      <c r="DN261">
        <v>0</v>
      </c>
      <c r="DO261" t="s">
        <v>1042</v>
      </c>
      <c r="DP261">
        <v>0</v>
      </c>
      <c r="DQ261">
        <v>0</v>
      </c>
      <c r="DS261">
        <v>0</v>
      </c>
      <c r="DU261">
        <v>0</v>
      </c>
      <c r="DW261">
        <v>0</v>
      </c>
      <c r="DX261" t="s">
        <v>1043</v>
      </c>
      <c r="DY261">
        <v>0</v>
      </c>
      <c r="DZ261">
        <v>0</v>
      </c>
      <c r="EA261">
        <v>0</v>
      </c>
      <c r="ED261" t="s">
        <v>1045</v>
      </c>
      <c r="EE261">
        <v>0</v>
      </c>
      <c r="EF261">
        <v>0</v>
      </c>
      <c r="EQ261" t="s">
        <v>1044</v>
      </c>
      <c r="ES261" t="s">
        <v>1053</v>
      </c>
      <c r="ET261">
        <v>0</v>
      </c>
      <c r="EV261">
        <v>0</v>
      </c>
      <c r="EY261" t="s">
        <v>1052</v>
      </c>
      <c r="EZ261">
        <v>0</v>
      </c>
      <c r="FA261" t="s">
        <v>1043</v>
      </c>
      <c r="FB261">
        <v>0</v>
      </c>
      <c r="FC261">
        <v>0</v>
      </c>
      <c r="FE261" t="s">
        <v>1050</v>
      </c>
      <c r="FF261">
        <v>0</v>
      </c>
      <c r="FG261" t="s">
        <v>1050</v>
      </c>
      <c r="FJ261">
        <v>0</v>
      </c>
      <c r="FK261">
        <v>0</v>
      </c>
      <c r="FP261">
        <v>0</v>
      </c>
      <c r="FR261">
        <v>0</v>
      </c>
      <c r="FS261" t="s">
        <v>1043</v>
      </c>
      <c r="FX261" t="s">
        <v>1042</v>
      </c>
      <c r="FZ261" t="s">
        <v>1048</v>
      </c>
      <c r="GA261">
        <v>0</v>
      </c>
      <c r="GB261" t="s">
        <v>1042</v>
      </c>
      <c r="GE261">
        <v>0</v>
      </c>
      <c r="GG261">
        <v>0</v>
      </c>
      <c r="GN261">
        <v>0</v>
      </c>
      <c r="GO261" t="s">
        <v>1063</v>
      </c>
      <c r="GQ261">
        <v>0</v>
      </c>
      <c r="GU261">
        <v>0</v>
      </c>
      <c r="GY261" t="s">
        <v>1045</v>
      </c>
      <c r="HB261">
        <v>0</v>
      </c>
      <c r="HE261">
        <v>0</v>
      </c>
      <c r="HF261">
        <v>0</v>
      </c>
      <c r="HG261">
        <v>0</v>
      </c>
      <c r="HK261" t="s">
        <v>1042</v>
      </c>
      <c r="HM261" t="s">
        <v>1047</v>
      </c>
      <c r="HN261">
        <v>0</v>
      </c>
      <c r="HP261">
        <v>0</v>
      </c>
      <c r="HQ261">
        <v>0</v>
      </c>
      <c r="HR261" t="s">
        <v>1042</v>
      </c>
      <c r="HS261" t="s">
        <v>1043</v>
      </c>
      <c r="HT261">
        <v>0</v>
      </c>
      <c r="HU261">
        <v>0</v>
      </c>
      <c r="HW261">
        <v>0</v>
      </c>
      <c r="HX261">
        <v>0</v>
      </c>
      <c r="HY261">
        <v>0</v>
      </c>
      <c r="HZ261" t="s">
        <v>1045</v>
      </c>
      <c r="IA261">
        <v>0</v>
      </c>
      <c r="IB261" t="s">
        <v>1045</v>
      </c>
      <c r="ID261" t="s">
        <v>1045</v>
      </c>
      <c r="IF261">
        <v>0</v>
      </c>
      <c r="IG261" t="s">
        <v>1042</v>
      </c>
      <c r="II261" t="s">
        <v>1042</v>
      </c>
      <c r="IR261" t="s">
        <v>1045</v>
      </c>
      <c r="IT261">
        <v>0</v>
      </c>
      <c r="IY261" t="s">
        <v>1044</v>
      </c>
      <c r="IZ261" t="s">
        <v>1043</v>
      </c>
      <c r="JC261" t="s">
        <v>1043</v>
      </c>
      <c r="JE261">
        <v>0</v>
      </c>
      <c r="JF261">
        <v>0</v>
      </c>
      <c r="JI261" t="s">
        <v>1042</v>
      </c>
      <c r="JJ261">
        <v>0</v>
      </c>
      <c r="JK261">
        <v>0</v>
      </c>
      <c r="JL261">
        <v>0</v>
      </c>
      <c r="JM261">
        <v>0</v>
      </c>
      <c r="JQ261" t="s">
        <v>1043</v>
      </c>
      <c r="JT261">
        <v>0</v>
      </c>
      <c r="JU261" t="s">
        <v>1042</v>
      </c>
      <c r="JW261">
        <v>0</v>
      </c>
      <c r="KA261">
        <v>0</v>
      </c>
      <c r="KF261">
        <v>0</v>
      </c>
      <c r="KG261">
        <v>0</v>
      </c>
      <c r="KH261">
        <v>0</v>
      </c>
      <c r="KI261">
        <v>0</v>
      </c>
      <c r="KS261" t="s">
        <v>1073</v>
      </c>
      <c r="KT261">
        <v>0</v>
      </c>
      <c r="KU261">
        <v>0</v>
      </c>
      <c r="KV261">
        <v>0</v>
      </c>
      <c r="KX261">
        <v>0</v>
      </c>
      <c r="KZ261">
        <v>0</v>
      </c>
      <c r="LF261">
        <v>0</v>
      </c>
      <c r="LH261">
        <v>0</v>
      </c>
      <c r="LI261">
        <v>0</v>
      </c>
    </row>
    <row r="262" spans="1:321" x14ac:dyDescent="0.35">
      <c r="A262">
        <v>1</v>
      </c>
      <c r="B262">
        <v>12485</v>
      </c>
      <c r="C262" t="s">
        <v>1433</v>
      </c>
      <c r="D262" t="s">
        <v>1139</v>
      </c>
      <c r="E262" t="s">
        <v>1085</v>
      </c>
      <c r="F262">
        <v>80</v>
      </c>
      <c r="G262">
        <v>9000</v>
      </c>
      <c r="H262">
        <v>0</v>
      </c>
      <c r="I262" t="s">
        <v>1050</v>
      </c>
      <c r="L262">
        <v>0</v>
      </c>
      <c r="M262">
        <v>0</v>
      </c>
      <c r="N262">
        <v>0</v>
      </c>
      <c r="R262">
        <v>0</v>
      </c>
      <c r="S262">
        <v>0</v>
      </c>
      <c r="W262" t="s">
        <v>1060</v>
      </c>
      <c r="X262">
        <v>0</v>
      </c>
      <c r="Z262">
        <v>1</v>
      </c>
      <c r="AA262">
        <v>0</v>
      </c>
      <c r="AB262">
        <v>0</v>
      </c>
      <c r="AC262">
        <v>0</v>
      </c>
      <c r="AD262" s="20">
        <v>40793</v>
      </c>
      <c r="AE262">
        <v>2.68</v>
      </c>
      <c r="AF262">
        <v>0</v>
      </c>
      <c r="AH262">
        <v>0</v>
      </c>
      <c r="AJ262">
        <v>0</v>
      </c>
      <c r="AL262">
        <v>0</v>
      </c>
      <c r="AM262">
        <v>0</v>
      </c>
      <c r="AN262">
        <v>16601003</v>
      </c>
      <c r="AO262">
        <v>0</v>
      </c>
      <c r="AP262">
        <v>1000</v>
      </c>
      <c r="AT262">
        <v>0</v>
      </c>
      <c r="AU262" t="s">
        <v>1059</v>
      </c>
      <c r="AW262" t="s">
        <v>1053</v>
      </c>
      <c r="AX262">
        <v>0</v>
      </c>
      <c r="AY262" s="20">
        <v>40793</v>
      </c>
      <c r="BA262" s="20">
        <v>40793</v>
      </c>
      <c r="BB262" t="s">
        <v>1058</v>
      </c>
      <c r="BD262">
        <v>0</v>
      </c>
      <c r="BF262" t="s">
        <v>1043</v>
      </c>
      <c r="BG262" t="s">
        <v>1042</v>
      </c>
      <c r="BH262">
        <v>0</v>
      </c>
      <c r="BI262">
        <v>1</v>
      </c>
      <c r="BJ262">
        <v>0</v>
      </c>
      <c r="BK262">
        <v>0</v>
      </c>
      <c r="BM262" t="s">
        <v>1042</v>
      </c>
      <c r="BN262">
        <v>0</v>
      </c>
      <c r="BR262" t="s">
        <v>1043</v>
      </c>
      <c r="BS262" t="s">
        <v>1043</v>
      </c>
      <c r="BT262" t="s">
        <v>1043</v>
      </c>
      <c r="BW262">
        <v>83</v>
      </c>
      <c r="CA262">
        <v>0</v>
      </c>
      <c r="CB262" t="s">
        <v>1057</v>
      </c>
      <c r="CE262" t="s">
        <v>1043</v>
      </c>
      <c r="CH262" t="s">
        <v>1043</v>
      </c>
      <c r="CN262" t="s">
        <v>1056</v>
      </c>
      <c r="CO262" t="s">
        <v>1043</v>
      </c>
      <c r="CP262">
        <v>1</v>
      </c>
      <c r="CQ262">
        <v>0</v>
      </c>
      <c r="CS262">
        <v>0</v>
      </c>
      <c r="CT262">
        <v>0</v>
      </c>
      <c r="CU262">
        <v>0</v>
      </c>
      <c r="CV262" t="s">
        <v>1045</v>
      </c>
      <c r="CW262">
        <v>0</v>
      </c>
      <c r="CX262">
        <v>0</v>
      </c>
      <c r="CY262">
        <v>0</v>
      </c>
      <c r="CZ262">
        <v>0</v>
      </c>
      <c r="DB262">
        <v>0</v>
      </c>
      <c r="DC262" t="s">
        <v>1043</v>
      </c>
      <c r="DF262" t="s">
        <v>1055</v>
      </c>
      <c r="DH262">
        <v>0</v>
      </c>
      <c r="DJ262">
        <v>0</v>
      </c>
      <c r="DK262" t="s">
        <v>1053</v>
      </c>
      <c r="DL262">
        <v>0</v>
      </c>
      <c r="DN262">
        <v>0</v>
      </c>
      <c r="DO262" t="s">
        <v>1042</v>
      </c>
      <c r="DP262">
        <v>0</v>
      </c>
      <c r="DQ262">
        <v>0</v>
      </c>
      <c r="DS262">
        <v>0</v>
      </c>
      <c r="DU262">
        <v>0</v>
      </c>
      <c r="DW262">
        <v>0</v>
      </c>
      <c r="DX262" t="s">
        <v>1043</v>
      </c>
      <c r="DY262">
        <v>0</v>
      </c>
      <c r="DZ262">
        <v>0</v>
      </c>
      <c r="EA262">
        <v>0</v>
      </c>
      <c r="ED262" t="s">
        <v>1045</v>
      </c>
      <c r="EE262">
        <v>0</v>
      </c>
      <c r="EF262">
        <v>0</v>
      </c>
      <c r="EQ262" t="s">
        <v>1044</v>
      </c>
      <c r="ES262" t="s">
        <v>1053</v>
      </c>
      <c r="ET262">
        <v>0</v>
      </c>
      <c r="EV262">
        <v>0</v>
      </c>
      <c r="EY262" t="s">
        <v>1052</v>
      </c>
      <c r="EZ262">
        <v>0</v>
      </c>
      <c r="FA262" t="s">
        <v>1043</v>
      </c>
      <c r="FB262">
        <v>0</v>
      </c>
      <c r="FC262">
        <v>0</v>
      </c>
      <c r="FE262" t="s">
        <v>1050</v>
      </c>
      <c r="FF262">
        <v>0</v>
      </c>
      <c r="FG262" t="s">
        <v>1050</v>
      </c>
      <c r="FJ262">
        <v>0</v>
      </c>
      <c r="FK262">
        <v>0</v>
      </c>
      <c r="FP262">
        <v>0</v>
      </c>
      <c r="FR262">
        <v>0</v>
      </c>
      <c r="FS262" t="s">
        <v>1043</v>
      </c>
      <c r="FX262" t="s">
        <v>1042</v>
      </c>
      <c r="FZ262" t="s">
        <v>1048</v>
      </c>
      <c r="GA262">
        <v>0</v>
      </c>
      <c r="GB262" t="s">
        <v>1042</v>
      </c>
      <c r="GE262">
        <v>0</v>
      </c>
      <c r="GG262">
        <v>0</v>
      </c>
      <c r="GN262">
        <v>0</v>
      </c>
      <c r="GO262" t="s">
        <v>1063</v>
      </c>
      <c r="GQ262">
        <v>0</v>
      </c>
      <c r="GU262">
        <v>0</v>
      </c>
      <c r="GY262" t="s">
        <v>1045</v>
      </c>
      <c r="HB262">
        <v>0</v>
      </c>
      <c r="HE262">
        <v>0</v>
      </c>
      <c r="HF262">
        <v>0</v>
      </c>
      <c r="HG262">
        <v>0</v>
      </c>
      <c r="HK262" t="s">
        <v>1042</v>
      </c>
      <c r="HM262" t="s">
        <v>1047</v>
      </c>
      <c r="HN262">
        <v>0</v>
      </c>
      <c r="HP262">
        <v>0</v>
      </c>
      <c r="HQ262">
        <v>0</v>
      </c>
      <c r="HR262" t="s">
        <v>1042</v>
      </c>
      <c r="HS262" t="s">
        <v>1043</v>
      </c>
      <c r="HT262">
        <v>0</v>
      </c>
      <c r="HU262">
        <v>0</v>
      </c>
      <c r="HW262">
        <v>0</v>
      </c>
      <c r="HX262">
        <v>0</v>
      </c>
      <c r="HY262">
        <v>0</v>
      </c>
      <c r="HZ262" t="s">
        <v>1045</v>
      </c>
      <c r="IA262">
        <v>0</v>
      </c>
      <c r="IB262" t="s">
        <v>1045</v>
      </c>
      <c r="ID262" t="s">
        <v>1045</v>
      </c>
      <c r="IF262">
        <v>0</v>
      </c>
      <c r="IG262" t="s">
        <v>1042</v>
      </c>
      <c r="II262" t="s">
        <v>1042</v>
      </c>
      <c r="IR262" t="s">
        <v>1045</v>
      </c>
      <c r="IT262">
        <v>0</v>
      </c>
      <c r="IY262" t="s">
        <v>1044</v>
      </c>
      <c r="IZ262" t="s">
        <v>1043</v>
      </c>
      <c r="JC262" t="s">
        <v>1043</v>
      </c>
      <c r="JE262">
        <v>0</v>
      </c>
      <c r="JF262">
        <v>0</v>
      </c>
      <c r="JI262" t="s">
        <v>1042</v>
      </c>
      <c r="JJ262">
        <v>0</v>
      </c>
      <c r="JK262">
        <v>0</v>
      </c>
      <c r="JL262">
        <v>0</v>
      </c>
      <c r="JM262">
        <v>0</v>
      </c>
      <c r="JQ262" t="s">
        <v>1043</v>
      </c>
      <c r="JT262">
        <v>0</v>
      </c>
      <c r="JU262" t="s">
        <v>1042</v>
      </c>
      <c r="JW262">
        <v>0</v>
      </c>
      <c r="KA262">
        <v>0</v>
      </c>
      <c r="KF262">
        <v>0</v>
      </c>
      <c r="KG262">
        <v>0</v>
      </c>
      <c r="KH262">
        <v>0</v>
      </c>
      <c r="KI262">
        <v>0</v>
      </c>
      <c r="KS262" t="s">
        <v>1073</v>
      </c>
      <c r="KT262">
        <v>0</v>
      </c>
      <c r="KU262">
        <v>0</v>
      </c>
      <c r="KV262">
        <v>0</v>
      </c>
      <c r="KX262">
        <v>0</v>
      </c>
      <c r="KZ262">
        <v>0</v>
      </c>
      <c r="LF262">
        <v>0</v>
      </c>
      <c r="LH262">
        <v>0</v>
      </c>
      <c r="LI262">
        <v>0</v>
      </c>
    </row>
    <row r="263" spans="1:321" x14ac:dyDescent="0.35">
      <c r="A263">
        <v>1</v>
      </c>
      <c r="B263">
        <v>12486</v>
      </c>
      <c r="C263" t="s">
        <v>1432</v>
      </c>
      <c r="D263" t="s">
        <v>1139</v>
      </c>
      <c r="E263" t="s">
        <v>1085</v>
      </c>
      <c r="F263">
        <v>80</v>
      </c>
      <c r="G263">
        <v>9000</v>
      </c>
      <c r="H263">
        <v>0</v>
      </c>
      <c r="I263" t="s">
        <v>1050</v>
      </c>
      <c r="L263">
        <v>0</v>
      </c>
      <c r="M263">
        <v>0</v>
      </c>
      <c r="N263">
        <v>0</v>
      </c>
      <c r="R263">
        <v>0</v>
      </c>
      <c r="S263">
        <v>0</v>
      </c>
      <c r="W263" t="s">
        <v>1060</v>
      </c>
      <c r="X263">
        <v>0</v>
      </c>
      <c r="Z263">
        <v>1</v>
      </c>
      <c r="AA263">
        <v>0</v>
      </c>
      <c r="AB263">
        <v>0</v>
      </c>
      <c r="AC263">
        <v>0</v>
      </c>
      <c r="AD263" s="20">
        <v>40793</v>
      </c>
      <c r="AE263">
        <v>2.68</v>
      </c>
      <c r="AF263">
        <v>0</v>
      </c>
      <c r="AH263">
        <v>0</v>
      </c>
      <c r="AJ263">
        <v>0</v>
      </c>
      <c r="AL263">
        <v>0</v>
      </c>
      <c r="AM263">
        <v>0</v>
      </c>
      <c r="AN263">
        <v>16601003</v>
      </c>
      <c r="AO263">
        <v>0</v>
      </c>
      <c r="AP263">
        <v>1000</v>
      </c>
      <c r="AT263">
        <v>0</v>
      </c>
      <c r="AU263" t="s">
        <v>1059</v>
      </c>
      <c r="AW263" t="s">
        <v>1053</v>
      </c>
      <c r="AX263">
        <v>0</v>
      </c>
      <c r="AY263" s="20">
        <v>40793</v>
      </c>
      <c r="BA263" s="20">
        <v>40793</v>
      </c>
      <c r="BB263" t="s">
        <v>1058</v>
      </c>
      <c r="BD263">
        <v>0</v>
      </c>
      <c r="BF263" t="s">
        <v>1043</v>
      </c>
      <c r="BG263" t="s">
        <v>1042</v>
      </c>
      <c r="BH263">
        <v>0</v>
      </c>
      <c r="BI263">
        <v>1</v>
      </c>
      <c r="BJ263">
        <v>0</v>
      </c>
      <c r="BK263">
        <v>0</v>
      </c>
      <c r="BM263" t="s">
        <v>1042</v>
      </c>
      <c r="BN263">
        <v>0</v>
      </c>
      <c r="BR263" t="s">
        <v>1043</v>
      </c>
      <c r="BS263" t="s">
        <v>1043</v>
      </c>
      <c r="BT263" t="s">
        <v>1043</v>
      </c>
      <c r="BW263">
        <v>83</v>
      </c>
      <c r="CA263">
        <v>0</v>
      </c>
      <c r="CB263" t="s">
        <v>1057</v>
      </c>
      <c r="CE263" t="s">
        <v>1043</v>
      </c>
      <c r="CH263" t="s">
        <v>1043</v>
      </c>
      <c r="CN263" t="s">
        <v>1056</v>
      </c>
      <c r="CO263" t="s">
        <v>1043</v>
      </c>
      <c r="CP263">
        <v>1</v>
      </c>
      <c r="CQ263">
        <v>0</v>
      </c>
      <c r="CS263">
        <v>0</v>
      </c>
      <c r="CT263">
        <v>0</v>
      </c>
      <c r="CU263">
        <v>0</v>
      </c>
      <c r="CV263" t="s">
        <v>1045</v>
      </c>
      <c r="CW263">
        <v>0</v>
      </c>
      <c r="CX263">
        <v>0</v>
      </c>
      <c r="CY263">
        <v>0</v>
      </c>
      <c r="CZ263">
        <v>0</v>
      </c>
      <c r="DB263">
        <v>0</v>
      </c>
      <c r="DC263" t="s">
        <v>1043</v>
      </c>
      <c r="DF263" t="s">
        <v>1055</v>
      </c>
      <c r="DH263">
        <v>0</v>
      </c>
      <c r="DJ263">
        <v>0</v>
      </c>
      <c r="DK263" t="s">
        <v>1053</v>
      </c>
      <c r="DL263">
        <v>0</v>
      </c>
      <c r="DN263">
        <v>0</v>
      </c>
      <c r="DO263" t="s">
        <v>1042</v>
      </c>
      <c r="DP263">
        <v>0</v>
      </c>
      <c r="DQ263">
        <v>0</v>
      </c>
      <c r="DS263">
        <v>0</v>
      </c>
      <c r="DU263">
        <v>0</v>
      </c>
      <c r="DW263">
        <v>0</v>
      </c>
      <c r="DX263" t="s">
        <v>1043</v>
      </c>
      <c r="DY263">
        <v>0</v>
      </c>
      <c r="DZ263">
        <v>0</v>
      </c>
      <c r="EA263">
        <v>0</v>
      </c>
      <c r="ED263" t="s">
        <v>1045</v>
      </c>
      <c r="EE263">
        <v>0</v>
      </c>
      <c r="EF263">
        <v>0</v>
      </c>
      <c r="EQ263" t="s">
        <v>1044</v>
      </c>
      <c r="ES263" t="s">
        <v>1053</v>
      </c>
      <c r="ET263">
        <v>0</v>
      </c>
      <c r="EV263">
        <v>0</v>
      </c>
      <c r="EY263" t="s">
        <v>1052</v>
      </c>
      <c r="EZ263">
        <v>0</v>
      </c>
      <c r="FA263" t="s">
        <v>1043</v>
      </c>
      <c r="FB263">
        <v>0</v>
      </c>
      <c r="FC263">
        <v>0</v>
      </c>
      <c r="FE263" t="s">
        <v>1050</v>
      </c>
      <c r="FF263">
        <v>0</v>
      </c>
      <c r="FG263" t="s">
        <v>1050</v>
      </c>
      <c r="FJ263">
        <v>0</v>
      </c>
      <c r="FK263">
        <v>0</v>
      </c>
      <c r="FP263">
        <v>0</v>
      </c>
      <c r="FR263">
        <v>0</v>
      </c>
      <c r="FS263" t="s">
        <v>1043</v>
      </c>
      <c r="FX263" t="s">
        <v>1042</v>
      </c>
      <c r="FZ263" t="s">
        <v>1048</v>
      </c>
      <c r="GA263">
        <v>0</v>
      </c>
      <c r="GB263" t="s">
        <v>1042</v>
      </c>
      <c r="GE263">
        <v>0</v>
      </c>
      <c r="GG263">
        <v>0</v>
      </c>
      <c r="GN263">
        <v>0</v>
      </c>
      <c r="GO263" t="s">
        <v>1063</v>
      </c>
      <c r="GQ263">
        <v>0</v>
      </c>
      <c r="GU263">
        <v>0</v>
      </c>
      <c r="GY263" t="s">
        <v>1045</v>
      </c>
      <c r="HB263">
        <v>0</v>
      </c>
      <c r="HE263">
        <v>0</v>
      </c>
      <c r="HF263">
        <v>0</v>
      </c>
      <c r="HG263">
        <v>0</v>
      </c>
      <c r="HK263" t="s">
        <v>1042</v>
      </c>
      <c r="HM263" t="s">
        <v>1047</v>
      </c>
      <c r="HN263">
        <v>0</v>
      </c>
      <c r="HP263">
        <v>0</v>
      </c>
      <c r="HQ263">
        <v>0</v>
      </c>
      <c r="HR263" t="s">
        <v>1042</v>
      </c>
      <c r="HS263" t="s">
        <v>1043</v>
      </c>
      <c r="HT263">
        <v>0</v>
      </c>
      <c r="HU263">
        <v>0</v>
      </c>
      <c r="HW263">
        <v>0</v>
      </c>
      <c r="HX263">
        <v>0</v>
      </c>
      <c r="HY263">
        <v>0</v>
      </c>
      <c r="HZ263" t="s">
        <v>1045</v>
      </c>
      <c r="IA263">
        <v>0</v>
      </c>
      <c r="IB263" t="s">
        <v>1045</v>
      </c>
      <c r="ID263" t="s">
        <v>1045</v>
      </c>
      <c r="IF263">
        <v>0</v>
      </c>
      <c r="IG263" t="s">
        <v>1042</v>
      </c>
      <c r="II263" t="s">
        <v>1042</v>
      </c>
      <c r="IR263" t="s">
        <v>1045</v>
      </c>
      <c r="IT263">
        <v>0</v>
      </c>
      <c r="IY263" t="s">
        <v>1044</v>
      </c>
      <c r="IZ263" t="s">
        <v>1043</v>
      </c>
      <c r="JC263" t="s">
        <v>1043</v>
      </c>
      <c r="JE263">
        <v>0</v>
      </c>
      <c r="JF263">
        <v>0</v>
      </c>
      <c r="JI263" t="s">
        <v>1042</v>
      </c>
      <c r="JJ263">
        <v>0</v>
      </c>
      <c r="JK263">
        <v>0</v>
      </c>
      <c r="JL263">
        <v>0</v>
      </c>
      <c r="JM263">
        <v>0</v>
      </c>
      <c r="JQ263" t="s">
        <v>1043</v>
      </c>
      <c r="JT263">
        <v>0</v>
      </c>
      <c r="JU263" t="s">
        <v>1042</v>
      </c>
      <c r="JW263">
        <v>0</v>
      </c>
      <c r="KA263">
        <v>0</v>
      </c>
      <c r="KF263">
        <v>0</v>
      </c>
      <c r="KG263">
        <v>0</v>
      </c>
      <c r="KH263">
        <v>0</v>
      </c>
      <c r="KI263">
        <v>0</v>
      </c>
      <c r="KS263" t="s">
        <v>1073</v>
      </c>
      <c r="KT263">
        <v>0</v>
      </c>
      <c r="KU263">
        <v>0</v>
      </c>
      <c r="KV263">
        <v>0</v>
      </c>
      <c r="KX263">
        <v>0</v>
      </c>
      <c r="KZ263">
        <v>0</v>
      </c>
      <c r="LF263">
        <v>0</v>
      </c>
      <c r="LH263">
        <v>0</v>
      </c>
      <c r="LI263">
        <v>0</v>
      </c>
    </row>
    <row r="264" spans="1:321" x14ac:dyDescent="0.35">
      <c r="A264">
        <v>1</v>
      </c>
      <c r="B264">
        <v>12487</v>
      </c>
      <c r="C264" t="s">
        <v>1431</v>
      </c>
      <c r="D264" t="s">
        <v>1139</v>
      </c>
      <c r="E264" t="s">
        <v>1085</v>
      </c>
      <c r="F264">
        <v>80</v>
      </c>
      <c r="G264">
        <v>9000</v>
      </c>
      <c r="H264">
        <v>0</v>
      </c>
      <c r="I264" t="s">
        <v>1050</v>
      </c>
      <c r="L264">
        <v>0</v>
      </c>
      <c r="M264">
        <v>0</v>
      </c>
      <c r="N264">
        <v>0</v>
      </c>
      <c r="R264">
        <v>0</v>
      </c>
      <c r="S264">
        <v>0</v>
      </c>
      <c r="W264" t="s">
        <v>1060</v>
      </c>
      <c r="X264">
        <v>0</v>
      </c>
      <c r="Z264">
        <v>1</v>
      </c>
      <c r="AA264">
        <v>0</v>
      </c>
      <c r="AB264">
        <v>0</v>
      </c>
      <c r="AC264">
        <v>0</v>
      </c>
      <c r="AD264" s="20">
        <v>40793</v>
      </c>
      <c r="AE264">
        <v>2.68</v>
      </c>
      <c r="AF264">
        <v>0</v>
      </c>
      <c r="AH264">
        <v>0</v>
      </c>
      <c r="AJ264">
        <v>0</v>
      </c>
      <c r="AL264">
        <v>0</v>
      </c>
      <c r="AM264">
        <v>0</v>
      </c>
      <c r="AN264">
        <v>16601003</v>
      </c>
      <c r="AO264">
        <v>0</v>
      </c>
      <c r="AP264">
        <v>1000</v>
      </c>
      <c r="AT264">
        <v>0</v>
      </c>
      <c r="AU264" t="s">
        <v>1059</v>
      </c>
      <c r="AW264" t="s">
        <v>1053</v>
      </c>
      <c r="AX264">
        <v>0</v>
      </c>
      <c r="AY264" s="20">
        <v>40793</v>
      </c>
      <c r="BA264" s="20">
        <v>40793</v>
      </c>
      <c r="BB264" t="s">
        <v>1058</v>
      </c>
      <c r="BD264">
        <v>0</v>
      </c>
      <c r="BF264" t="s">
        <v>1043</v>
      </c>
      <c r="BG264" t="s">
        <v>1042</v>
      </c>
      <c r="BH264">
        <v>0</v>
      </c>
      <c r="BI264">
        <v>1</v>
      </c>
      <c r="BJ264">
        <v>0</v>
      </c>
      <c r="BK264">
        <v>0</v>
      </c>
      <c r="BM264" t="s">
        <v>1042</v>
      </c>
      <c r="BN264">
        <v>0</v>
      </c>
      <c r="BR264" t="s">
        <v>1043</v>
      </c>
      <c r="BS264" t="s">
        <v>1043</v>
      </c>
      <c r="BT264" t="s">
        <v>1043</v>
      </c>
      <c r="BW264">
        <v>83</v>
      </c>
      <c r="CA264">
        <v>0</v>
      </c>
      <c r="CB264" t="s">
        <v>1057</v>
      </c>
      <c r="CE264" t="s">
        <v>1043</v>
      </c>
      <c r="CH264" t="s">
        <v>1043</v>
      </c>
      <c r="CN264" t="s">
        <v>1056</v>
      </c>
      <c r="CO264" t="s">
        <v>1043</v>
      </c>
      <c r="CP264">
        <v>1</v>
      </c>
      <c r="CQ264">
        <v>0</v>
      </c>
      <c r="CS264">
        <v>0</v>
      </c>
      <c r="CT264">
        <v>0</v>
      </c>
      <c r="CU264">
        <v>0</v>
      </c>
      <c r="CV264" t="s">
        <v>1045</v>
      </c>
      <c r="CW264">
        <v>0</v>
      </c>
      <c r="CX264">
        <v>0</v>
      </c>
      <c r="CY264">
        <v>0</v>
      </c>
      <c r="CZ264">
        <v>0</v>
      </c>
      <c r="DB264">
        <v>0</v>
      </c>
      <c r="DC264" t="s">
        <v>1043</v>
      </c>
      <c r="DF264" t="s">
        <v>1055</v>
      </c>
      <c r="DH264">
        <v>0</v>
      </c>
      <c r="DJ264">
        <v>0</v>
      </c>
      <c r="DK264" t="s">
        <v>1053</v>
      </c>
      <c r="DL264">
        <v>0</v>
      </c>
      <c r="DN264">
        <v>0</v>
      </c>
      <c r="DO264" t="s">
        <v>1042</v>
      </c>
      <c r="DP264">
        <v>0</v>
      </c>
      <c r="DQ264">
        <v>0</v>
      </c>
      <c r="DS264">
        <v>0</v>
      </c>
      <c r="DU264">
        <v>0</v>
      </c>
      <c r="DW264">
        <v>0</v>
      </c>
      <c r="DX264" t="s">
        <v>1043</v>
      </c>
      <c r="DY264">
        <v>0</v>
      </c>
      <c r="DZ264">
        <v>0</v>
      </c>
      <c r="EA264">
        <v>0</v>
      </c>
      <c r="ED264" t="s">
        <v>1045</v>
      </c>
      <c r="EE264">
        <v>0</v>
      </c>
      <c r="EF264">
        <v>0</v>
      </c>
      <c r="EQ264" t="s">
        <v>1044</v>
      </c>
      <c r="ES264" t="s">
        <v>1053</v>
      </c>
      <c r="ET264">
        <v>0</v>
      </c>
      <c r="EV264">
        <v>0</v>
      </c>
      <c r="EY264" t="s">
        <v>1052</v>
      </c>
      <c r="EZ264">
        <v>0</v>
      </c>
      <c r="FA264" t="s">
        <v>1043</v>
      </c>
      <c r="FB264">
        <v>0</v>
      </c>
      <c r="FC264">
        <v>0</v>
      </c>
      <c r="FE264" t="s">
        <v>1050</v>
      </c>
      <c r="FF264">
        <v>0</v>
      </c>
      <c r="FG264" t="s">
        <v>1050</v>
      </c>
      <c r="FJ264">
        <v>0</v>
      </c>
      <c r="FK264">
        <v>0</v>
      </c>
      <c r="FP264">
        <v>0</v>
      </c>
      <c r="FR264">
        <v>0</v>
      </c>
      <c r="FS264" t="s">
        <v>1043</v>
      </c>
      <c r="FX264" t="s">
        <v>1042</v>
      </c>
      <c r="FZ264" t="s">
        <v>1048</v>
      </c>
      <c r="GA264">
        <v>0</v>
      </c>
      <c r="GB264" t="s">
        <v>1042</v>
      </c>
      <c r="GE264">
        <v>0</v>
      </c>
      <c r="GG264">
        <v>0</v>
      </c>
      <c r="GN264">
        <v>0</v>
      </c>
      <c r="GO264" t="s">
        <v>1063</v>
      </c>
      <c r="GQ264">
        <v>0</v>
      </c>
      <c r="GU264">
        <v>0</v>
      </c>
      <c r="GY264" t="s">
        <v>1045</v>
      </c>
      <c r="HB264">
        <v>0</v>
      </c>
      <c r="HE264">
        <v>0</v>
      </c>
      <c r="HF264">
        <v>0</v>
      </c>
      <c r="HG264">
        <v>0</v>
      </c>
      <c r="HK264" t="s">
        <v>1042</v>
      </c>
      <c r="HM264" t="s">
        <v>1047</v>
      </c>
      <c r="HN264">
        <v>0</v>
      </c>
      <c r="HP264">
        <v>0</v>
      </c>
      <c r="HQ264">
        <v>0</v>
      </c>
      <c r="HR264" t="s">
        <v>1042</v>
      </c>
      <c r="HS264" t="s">
        <v>1043</v>
      </c>
      <c r="HT264">
        <v>0</v>
      </c>
      <c r="HU264">
        <v>0</v>
      </c>
      <c r="HW264">
        <v>0</v>
      </c>
      <c r="HX264">
        <v>0</v>
      </c>
      <c r="HY264">
        <v>0</v>
      </c>
      <c r="HZ264" t="s">
        <v>1045</v>
      </c>
      <c r="IA264">
        <v>0</v>
      </c>
      <c r="IB264" t="s">
        <v>1045</v>
      </c>
      <c r="ID264" t="s">
        <v>1045</v>
      </c>
      <c r="IF264">
        <v>0</v>
      </c>
      <c r="IG264" t="s">
        <v>1042</v>
      </c>
      <c r="II264" t="s">
        <v>1042</v>
      </c>
      <c r="IR264" t="s">
        <v>1045</v>
      </c>
      <c r="IT264">
        <v>0</v>
      </c>
      <c r="IY264" t="s">
        <v>1044</v>
      </c>
      <c r="IZ264" t="s">
        <v>1043</v>
      </c>
      <c r="JC264" t="s">
        <v>1043</v>
      </c>
      <c r="JE264">
        <v>0</v>
      </c>
      <c r="JF264">
        <v>0</v>
      </c>
      <c r="JI264" t="s">
        <v>1042</v>
      </c>
      <c r="JJ264">
        <v>0</v>
      </c>
      <c r="JK264">
        <v>0</v>
      </c>
      <c r="JL264">
        <v>0</v>
      </c>
      <c r="JM264">
        <v>0</v>
      </c>
      <c r="JQ264" t="s">
        <v>1043</v>
      </c>
      <c r="JT264">
        <v>0</v>
      </c>
      <c r="JU264" t="s">
        <v>1042</v>
      </c>
      <c r="JW264">
        <v>0</v>
      </c>
      <c r="KA264">
        <v>0</v>
      </c>
      <c r="KF264">
        <v>0</v>
      </c>
      <c r="KG264">
        <v>0</v>
      </c>
      <c r="KH264">
        <v>0</v>
      </c>
      <c r="KI264">
        <v>0</v>
      </c>
      <c r="KS264" t="s">
        <v>1073</v>
      </c>
      <c r="KT264">
        <v>0</v>
      </c>
      <c r="KU264">
        <v>0</v>
      </c>
      <c r="KV264">
        <v>0</v>
      </c>
      <c r="KX264">
        <v>0</v>
      </c>
      <c r="KZ264">
        <v>0</v>
      </c>
      <c r="LF264">
        <v>0</v>
      </c>
      <c r="LH264">
        <v>0</v>
      </c>
      <c r="LI264">
        <v>0</v>
      </c>
    </row>
    <row r="265" spans="1:321" x14ac:dyDescent="0.35">
      <c r="A265">
        <v>1</v>
      </c>
      <c r="B265">
        <v>12488</v>
      </c>
      <c r="C265" t="s">
        <v>1430</v>
      </c>
      <c r="D265" t="s">
        <v>1139</v>
      </c>
      <c r="E265" t="s">
        <v>1085</v>
      </c>
      <c r="F265">
        <v>80</v>
      </c>
      <c r="G265">
        <v>9000</v>
      </c>
      <c r="H265">
        <v>0</v>
      </c>
      <c r="I265" t="s">
        <v>1050</v>
      </c>
      <c r="L265">
        <v>0</v>
      </c>
      <c r="M265">
        <v>0</v>
      </c>
      <c r="N265">
        <v>0</v>
      </c>
      <c r="R265">
        <v>0</v>
      </c>
      <c r="S265">
        <v>0</v>
      </c>
      <c r="W265" t="s">
        <v>1060</v>
      </c>
      <c r="X265">
        <v>0</v>
      </c>
      <c r="Z265">
        <v>1</v>
      </c>
      <c r="AA265">
        <v>0</v>
      </c>
      <c r="AB265">
        <v>0</v>
      </c>
      <c r="AC265">
        <v>0</v>
      </c>
      <c r="AD265" s="20">
        <v>40793</v>
      </c>
      <c r="AE265">
        <v>2.68</v>
      </c>
      <c r="AF265">
        <v>0</v>
      </c>
      <c r="AH265">
        <v>0</v>
      </c>
      <c r="AJ265">
        <v>0</v>
      </c>
      <c r="AL265">
        <v>0</v>
      </c>
      <c r="AM265">
        <v>0</v>
      </c>
      <c r="AN265">
        <v>16601003</v>
      </c>
      <c r="AO265">
        <v>0</v>
      </c>
      <c r="AP265">
        <v>1000</v>
      </c>
      <c r="AT265">
        <v>0</v>
      </c>
      <c r="AU265" t="s">
        <v>1059</v>
      </c>
      <c r="AW265" t="s">
        <v>1053</v>
      </c>
      <c r="AX265">
        <v>0</v>
      </c>
      <c r="AY265" s="20">
        <v>40793</v>
      </c>
      <c r="BA265" s="20">
        <v>40793</v>
      </c>
      <c r="BB265" t="s">
        <v>1058</v>
      </c>
      <c r="BD265">
        <v>0</v>
      </c>
      <c r="BF265" t="s">
        <v>1043</v>
      </c>
      <c r="BG265" t="s">
        <v>1042</v>
      </c>
      <c r="BH265">
        <v>0</v>
      </c>
      <c r="BI265">
        <v>1</v>
      </c>
      <c r="BJ265">
        <v>0</v>
      </c>
      <c r="BK265">
        <v>0</v>
      </c>
      <c r="BM265" t="s">
        <v>1042</v>
      </c>
      <c r="BN265">
        <v>0</v>
      </c>
      <c r="BR265" t="s">
        <v>1043</v>
      </c>
      <c r="BS265" t="s">
        <v>1043</v>
      </c>
      <c r="BT265" t="s">
        <v>1043</v>
      </c>
      <c r="BW265">
        <v>83</v>
      </c>
      <c r="CA265">
        <v>0</v>
      </c>
      <c r="CB265" t="s">
        <v>1057</v>
      </c>
      <c r="CE265" t="s">
        <v>1043</v>
      </c>
      <c r="CH265" t="s">
        <v>1043</v>
      </c>
      <c r="CN265" t="s">
        <v>1056</v>
      </c>
      <c r="CO265" t="s">
        <v>1043</v>
      </c>
      <c r="CP265">
        <v>1</v>
      </c>
      <c r="CQ265">
        <v>0</v>
      </c>
      <c r="CS265">
        <v>0</v>
      </c>
      <c r="CT265">
        <v>0</v>
      </c>
      <c r="CU265">
        <v>0</v>
      </c>
      <c r="CV265" t="s">
        <v>1045</v>
      </c>
      <c r="CW265">
        <v>0</v>
      </c>
      <c r="CX265">
        <v>0</v>
      </c>
      <c r="CY265">
        <v>0</v>
      </c>
      <c r="CZ265">
        <v>0</v>
      </c>
      <c r="DB265">
        <v>0</v>
      </c>
      <c r="DC265" t="s">
        <v>1043</v>
      </c>
      <c r="DF265" t="s">
        <v>1055</v>
      </c>
      <c r="DH265">
        <v>0</v>
      </c>
      <c r="DJ265">
        <v>0</v>
      </c>
      <c r="DK265" t="s">
        <v>1053</v>
      </c>
      <c r="DL265">
        <v>0</v>
      </c>
      <c r="DN265">
        <v>0</v>
      </c>
      <c r="DO265" t="s">
        <v>1042</v>
      </c>
      <c r="DP265">
        <v>0</v>
      </c>
      <c r="DQ265">
        <v>0</v>
      </c>
      <c r="DS265">
        <v>0</v>
      </c>
      <c r="DU265">
        <v>0</v>
      </c>
      <c r="DW265">
        <v>0</v>
      </c>
      <c r="DX265" t="s">
        <v>1043</v>
      </c>
      <c r="DY265">
        <v>0</v>
      </c>
      <c r="DZ265">
        <v>0</v>
      </c>
      <c r="EA265">
        <v>0</v>
      </c>
      <c r="ED265" t="s">
        <v>1045</v>
      </c>
      <c r="EE265">
        <v>0</v>
      </c>
      <c r="EF265">
        <v>0</v>
      </c>
      <c r="EQ265" t="s">
        <v>1044</v>
      </c>
      <c r="ES265" t="s">
        <v>1053</v>
      </c>
      <c r="ET265">
        <v>0</v>
      </c>
      <c r="EV265">
        <v>0</v>
      </c>
      <c r="EY265" t="s">
        <v>1052</v>
      </c>
      <c r="EZ265">
        <v>0</v>
      </c>
      <c r="FA265" t="s">
        <v>1043</v>
      </c>
      <c r="FB265">
        <v>0</v>
      </c>
      <c r="FC265">
        <v>0</v>
      </c>
      <c r="FE265" t="s">
        <v>1050</v>
      </c>
      <c r="FF265">
        <v>0</v>
      </c>
      <c r="FG265" t="s">
        <v>1050</v>
      </c>
      <c r="FJ265">
        <v>0</v>
      </c>
      <c r="FK265">
        <v>0</v>
      </c>
      <c r="FP265">
        <v>0</v>
      </c>
      <c r="FR265">
        <v>0</v>
      </c>
      <c r="FS265" t="s">
        <v>1043</v>
      </c>
      <c r="FX265" t="s">
        <v>1042</v>
      </c>
      <c r="FZ265" t="s">
        <v>1048</v>
      </c>
      <c r="GA265">
        <v>0</v>
      </c>
      <c r="GB265" t="s">
        <v>1042</v>
      </c>
      <c r="GE265">
        <v>0</v>
      </c>
      <c r="GG265">
        <v>0</v>
      </c>
      <c r="GN265">
        <v>0</v>
      </c>
      <c r="GO265" t="s">
        <v>1063</v>
      </c>
      <c r="GQ265">
        <v>0</v>
      </c>
      <c r="GU265">
        <v>0</v>
      </c>
      <c r="GY265" t="s">
        <v>1045</v>
      </c>
      <c r="HB265">
        <v>0</v>
      </c>
      <c r="HE265">
        <v>0</v>
      </c>
      <c r="HF265">
        <v>0</v>
      </c>
      <c r="HG265">
        <v>0</v>
      </c>
      <c r="HK265" t="s">
        <v>1042</v>
      </c>
      <c r="HM265" t="s">
        <v>1047</v>
      </c>
      <c r="HN265">
        <v>0</v>
      </c>
      <c r="HP265">
        <v>0</v>
      </c>
      <c r="HQ265">
        <v>0</v>
      </c>
      <c r="HR265" t="s">
        <v>1042</v>
      </c>
      <c r="HS265" t="s">
        <v>1043</v>
      </c>
      <c r="HT265">
        <v>0</v>
      </c>
      <c r="HU265">
        <v>0</v>
      </c>
      <c r="HW265">
        <v>0</v>
      </c>
      <c r="HX265">
        <v>0</v>
      </c>
      <c r="HY265">
        <v>0</v>
      </c>
      <c r="HZ265" t="s">
        <v>1045</v>
      </c>
      <c r="IA265">
        <v>0</v>
      </c>
      <c r="IB265" t="s">
        <v>1045</v>
      </c>
      <c r="ID265" t="s">
        <v>1045</v>
      </c>
      <c r="IF265">
        <v>0</v>
      </c>
      <c r="IG265" t="s">
        <v>1042</v>
      </c>
      <c r="II265" t="s">
        <v>1042</v>
      </c>
      <c r="IR265" t="s">
        <v>1045</v>
      </c>
      <c r="IT265">
        <v>0</v>
      </c>
      <c r="IY265" t="s">
        <v>1044</v>
      </c>
      <c r="IZ265" t="s">
        <v>1043</v>
      </c>
      <c r="JC265" t="s">
        <v>1043</v>
      </c>
      <c r="JE265">
        <v>0</v>
      </c>
      <c r="JF265">
        <v>0</v>
      </c>
      <c r="JI265" t="s">
        <v>1042</v>
      </c>
      <c r="JJ265">
        <v>0</v>
      </c>
      <c r="JK265">
        <v>0</v>
      </c>
      <c r="JL265">
        <v>0</v>
      </c>
      <c r="JM265">
        <v>0</v>
      </c>
      <c r="JQ265" t="s">
        <v>1043</v>
      </c>
      <c r="JT265">
        <v>0</v>
      </c>
      <c r="JU265" t="s">
        <v>1042</v>
      </c>
      <c r="JW265">
        <v>0</v>
      </c>
      <c r="KA265">
        <v>0</v>
      </c>
      <c r="KF265">
        <v>0</v>
      </c>
      <c r="KG265">
        <v>0</v>
      </c>
      <c r="KH265">
        <v>0</v>
      </c>
      <c r="KI265">
        <v>0</v>
      </c>
      <c r="KS265" t="s">
        <v>1073</v>
      </c>
      <c r="KT265">
        <v>0</v>
      </c>
      <c r="KU265">
        <v>0</v>
      </c>
      <c r="KV265">
        <v>0</v>
      </c>
      <c r="KX265">
        <v>0</v>
      </c>
      <c r="KZ265">
        <v>0</v>
      </c>
      <c r="LF265">
        <v>0</v>
      </c>
      <c r="LH265">
        <v>0</v>
      </c>
      <c r="LI265">
        <v>0</v>
      </c>
    </row>
    <row r="266" spans="1:321" x14ac:dyDescent="0.35">
      <c r="A266">
        <v>1</v>
      </c>
      <c r="B266">
        <v>12489</v>
      </c>
      <c r="C266" t="s">
        <v>1429</v>
      </c>
      <c r="D266" t="s">
        <v>1139</v>
      </c>
      <c r="E266" t="s">
        <v>1085</v>
      </c>
      <c r="F266">
        <v>80</v>
      </c>
      <c r="G266">
        <v>9000</v>
      </c>
      <c r="H266">
        <v>0</v>
      </c>
      <c r="I266" t="s">
        <v>1050</v>
      </c>
      <c r="L266">
        <v>0</v>
      </c>
      <c r="M266">
        <v>0</v>
      </c>
      <c r="N266">
        <v>0</v>
      </c>
      <c r="R266">
        <v>0</v>
      </c>
      <c r="S266">
        <v>0</v>
      </c>
      <c r="W266" t="s">
        <v>1060</v>
      </c>
      <c r="X266">
        <v>0</v>
      </c>
      <c r="Z266">
        <v>1</v>
      </c>
      <c r="AA266">
        <v>0</v>
      </c>
      <c r="AB266">
        <v>0</v>
      </c>
      <c r="AC266">
        <v>0</v>
      </c>
      <c r="AD266" s="20">
        <v>40793</v>
      </c>
      <c r="AE266">
        <v>2.68</v>
      </c>
      <c r="AF266">
        <v>0</v>
      </c>
      <c r="AH266">
        <v>0</v>
      </c>
      <c r="AJ266">
        <v>0</v>
      </c>
      <c r="AL266">
        <v>0</v>
      </c>
      <c r="AM266">
        <v>0</v>
      </c>
      <c r="AN266">
        <v>16601003</v>
      </c>
      <c r="AO266">
        <v>0</v>
      </c>
      <c r="AP266">
        <v>1000</v>
      </c>
      <c r="AT266">
        <v>0</v>
      </c>
      <c r="AU266" t="s">
        <v>1059</v>
      </c>
      <c r="AW266" t="s">
        <v>1053</v>
      </c>
      <c r="AX266">
        <v>0</v>
      </c>
      <c r="AY266" s="20">
        <v>40793</v>
      </c>
      <c r="BA266" s="20">
        <v>40793</v>
      </c>
      <c r="BB266" t="s">
        <v>1058</v>
      </c>
      <c r="BD266">
        <v>0</v>
      </c>
      <c r="BF266" t="s">
        <v>1043</v>
      </c>
      <c r="BG266" t="s">
        <v>1042</v>
      </c>
      <c r="BH266">
        <v>0</v>
      </c>
      <c r="BI266">
        <v>1</v>
      </c>
      <c r="BJ266">
        <v>0</v>
      </c>
      <c r="BK266">
        <v>0</v>
      </c>
      <c r="BM266" t="s">
        <v>1042</v>
      </c>
      <c r="BN266">
        <v>0</v>
      </c>
      <c r="BR266" t="s">
        <v>1043</v>
      </c>
      <c r="BS266" t="s">
        <v>1043</v>
      </c>
      <c r="BT266" t="s">
        <v>1043</v>
      </c>
      <c r="BW266">
        <v>83</v>
      </c>
      <c r="CA266">
        <v>0</v>
      </c>
      <c r="CB266" t="s">
        <v>1057</v>
      </c>
      <c r="CE266" t="s">
        <v>1043</v>
      </c>
      <c r="CH266" t="s">
        <v>1043</v>
      </c>
      <c r="CN266" t="s">
        <v>1056</v>
      </c>
      <c r="CO266" t="s">
        <v>1043</v>
      </c>
      <c r="CP266">
        <v>1</v>
      </c>
      <c r="CQ266">
        <v>0</v>
      </c>
      <c r="CS266">
        <v>0</v>
      </c>
      <c r="CT266">
        <v>0</v>
      </c>
      <c r="CU266">
        <v>0</v>
      </c>
      <c r="CV266" t="s">
        <v>1045</v>
      </c>
      <c r="CW266">
        <v>0</v>
      </c>
      <c r="CX266">
        <v>0</v>
      </c>
      <c r="CY266">
        <v>0</v>
      </c>
      <c r="CZ266">
        <v>0</v>
      </c>
      <c r="DB266">
        <v>0</v>
      </c>
      <c r="DC266" t="s">
        <v>1043</v>
      </c>
      <c r="DF266" t="s">
        <v>1055</v>
      </c>
      <c r="DH266">
        <v>0</v>
      </c>
      <c r="DJ266">
        <v>0</v>
      </c>
      <c r="DK266" t="s">
        <v>1053</v>
      </c>
      <c r="DL266">
        <v>0</v>
      </c>
      <c r="DN266">
        <v>0</v>
      </c>
      <c r="DO266" t="s">
        <v>1042</v>
      </c>
      <c r="DP266">
        <v>0</v>
      </c>
      <c r="DQ266">
        <v>0</v>
      </c>
      <c r="DS266">
        <v>0</v>
      </c>
      <c r="DU266">
        <v>0</v>
      </c>
      <c r="DW266">
        <v>0</v>
      </c>
      <c r="DX266" t="s">
        <v>1043</v>
      </c>
      <c r="DY266">
        <v>0</v>
      </c>
      <c r="DZ266">
        <v>0</v>
      </c>
      <c r="EA266">
        <v>0</v>
      </c>
      <c r="ED266" t="s">
        <v>1045</v>
      </c>
      <c r="EE266">
        <v>0</v>
      </c>
      <c r="EF266">
        <v>0</v>
      </c>
      <c r="EQ266" t="s">
        <v>1044</v>
      </c>
      <c r="ES266" t="s">
        <v>1053</v>
      </c>
      <c r="ET266">
        <v>0</v>
      </c>
      <c r="EV266">
        <v>0</v>
      </c>
      <c r="EY266" t="s">
        <v>1052</v>
      </c>
      <c r="EZ266">
        <v>0</v>
      </c>
      <c r="FA266" t="s">
        <v>1043</v>
      </c>
      <c r="FB266">
        <v>0</v>
      </c>
      <c r="FC266">
        <v>0</v>
      </c>
      <c r="FE266" t="s">
        <v>1050</v>
      </c>
      <c r="FF266">
        <v>0</v>
      </c>
      <c r="FG266" t="s">
        <v>1050</v>
      </c>
      <c r="FJ266">
        <v>0</v>
      </c>
      <c r="FK266">
        <v>0</v>
      </c>
      <c r="FP266">
        <v>0</v>
      </c>
      <c r="FR266">
        <v>0</v>
      </c>
      <c r="FS266" t="s">
        <v>1043</v>
      </c>
      <c r="FX266" t="s">
        <v>1042</v>
      </c>
      <c r="FZ266" t="s">
        <v>1048</v>
      </c>
      <c r="GA266">
        <v>0</v>
      </c>
      <c r="GB266" t="s">
        <v>1042</v>
      </c>
      <c r="GE266">
        <v>0</v>
      </c>
      <c r="GG266">
        <v>0</v>
      </c>
      <c r="GN266">
        <v>0</v>
      </c>
      <c r="GO266" t="s">
        <v>1063</v>
      </c>
      <c r="GQ266">
        <v>0</v>
      </c>
      <c r="GU266">
        <v>0</v>
      </c>
      <c r="GY266" t="s">
        <v>1045</v>
      </c>
      <c r="HB266">
        <v>0</v>
      </c>
      <c r="HE266">
        <v>0</v>
      </c>
      <c r="HF266">
        <v>0</v>
      </c>
      <c r="HG266">
        <v>0</v>
      </c>
      <c r="HK266" t="s">
        <v>1042</v>
      </c>
      <c r="HM266" t="s">
        <v>1047</v>
      </c>
      <c r="HN266">
        <v>0</v>
      </c>
      <c r="HP266">
        <v>0</v>
      </c>
      <c r="HQ266">
        <v>0</v>
      </c>
      <c r="HR266" t="s">
        <v>1042</v>
      </c>
      <c r="HS266" t="s">
        <v>1043</v>
      </c>
      <c r="HT266">
        <v>0</v>
      </c>
      <c r="HU266">
        <v>0</v>
      </c>
      <c r="HW266">
        <v>0</v>
      </c>
      <c r="HX266">
        <v>0</v>
      </c>
      <c r="HY266">
        <v>0</v>
      </c>
      <c r="HZ266" t="s">
        <v>1045</v>
      </c>
      <c r="IA266">
        <v>0</v>
      </c>
      <c r="IB266" t="s">
        <v>1045</v>
      </c>
      <c r="ID266" t="s">
        <v>1045</v>
      </c>
      <c r="IF266">
        <v>0</v>
      </c>
      <c r="IG266" t="s">
        <v>1042</v>
      </c>
      <c r="II266" t="s">
        <v>1042</v>
      </c>
      <c r="IR266" t="s">
        <v>1045</v>
      </c>
      <c r="IT266">
        <v>0</v>
      </c>
      <c r="IY266" t="s">
        <v>1044</v>
      </c>
      <c r="IZ266" t="s">
        <v>1043</v>
      </c>
      <c r="JC266" t="s">
        <v>1043</v>
      </c>
      <c r="JE266">
        <v>0</v>
      </c>
      <c r="JF266">
        <v>0</v>
      </c>
      <c r="JI266" t="s">
        <v>1042</v>
      </c>
      <c r="JJ266">
        <v>0</v>
      </c>
      <c r="JK266">
        <v>0</v>
      </c>
      <c r="JL266">
        <v>0</v>
      </c>
      <c r="JM266">
        <v>0</v>
      </c>
      <c r="JQ266" t="s">
        <v>1043</v>
      </c>
      <c r="JT266">
        <v>0</v>
      </c>
      <c r="JU266" t="s">
        <v>1042</v>
      </c>
      <c r="JW266">
        <v>0</v>
      </c>
      <c r="KA266">
        <v>0</v>
      </c>
      <c r="KF266">
        <v>0</v>
      </c>
      <c r="KG266">
        <v>0</v>
      </c>
      <c r="KH266">
        <v>0</v>
      </c>
      <c r="KI266">
        <v>0</v>
      </c>
      <c r="KS266" t="s">
        <v>1073</v>
      </c>
      <c r="KT266">
        <v>0</v>
      </c>
      <c r="KU266">
        <v>0</v>
      </c>
      <c r="KV266">
        <v>0</v>
      </c>
      <c r="KX266">
        <v>0</v>
      </c>
      <c r="KZ266">
        <v>0</v>
      </c>
      <c r="LF266">
        <v>0</v>
      </c>
      <c r="LH266">
        <v>0</v>
      </c>
      <c r="LI266">
        <v>0</v>
      </c>
    </row>
    <row r="267" spans="1:321" x14ac:dyDescent="0.35">
      <c r="A267">
        <v>1</v>
      </c>
      <c r="B267">
        <v>12490</v>
      </c>
      <c r="C267" t="s">
        <v>1428</v>
      </c>
      <c r="D267" t="s">
        <v>1139</v>
      </c>
      <c r="E267" t="s">
        <v>1085</v>
      </c>
      <c r="F267">
        <v>80</v>
      </c>
      <c r="G267">
        <v>9000</v>
      </c>
      <c r="H267">
        <v>0</v>
      </c>
      <c r="I267" t="s">
        <v>1050</v>
      </c>
      <c r="L267">
        <v>0</v>
      </c>
      <c r="M267">
        <v>0</v>
      </c>
      <c r="N267">
        <v>0</v>
      </c>
      <c r="R267">
        <v>0</v>
      </c>
      <c r="S267">
        <v>0</v>
      </c>
      <c r="W267" t="s">
        <v>1060</v>
      </c>
      <c r="X267">
        <v>0</v>
      </c>
      <c r="Z267">
        <v>1</v>
      </c>
      <c r="AA267">
        <v>0</v>
      </c>
      <c r="AB267">
        <v>0</v>
      </c>
      <c r="AC267">
        <v>0</v>
      </c>
      <c r="AD267" s="20">
        <v>40793</v>
      </c>
      <c r="AE267">
        <v>2.68</v>
      </c>
      <c r="AF267">
        <v>0</v>
      </c>
      <c r="AH267">
        <v>0</v>
      </c>
      <c r="AJ267">
        <v>0</v>
      </c>
      <c r="AL267">
        <v>0</v>
      </c>
      <c r="AM267">
        <v>0</v>
      </c>
      <c r="AN267">
        <v>16601003</v>
      </c>
      <c r="AO267">
        <v>0</v>
      </c>
      <c r="AP267">
        <v>1000</v>
      </c>
      <c r="AT267">
        <v>0</v>
      </c>
      <c r="AU267" t="s">
        <v>1059</v>
      </c>
      <c r="AW267" t="s">
        <v>1053</v>
      </c>
      <c r="AX267">
        <v>0</v>
      </c>
      <c r="AY267" s="20">
        <v>40793</v>
      </c>
      <c r="BA267" s="20">
        <v>40793</v>
      </c>
      <c r="BB267" t="s">
        <v>1058</v>
      </c>
      <c r="BD267">
        <v>0</v>
      </c>
      <c r="BF267" t="s">
        <v>1043</v>
      </c>
      <c r="BG267" t="s">
        <v>1042</v>
      </c>
      <c r="BH267">
        <v>0</v>
      </c>
      <c r="BI267">
        <v>1</v>
      </c>
      <c r="BJ267">
        <v>0</v>
      </c>
      <c r="BK267">
        <v>0</v>
      </c>
      <c r="BM267" t="s">
        <v>1042</v>
      </c>
      <c r="BN267">
        <v>0</v>
      </c>
      <c r="BR267" t="s">
        <v>1043</v>
      </c>
      <c r="BS267" t="s">
        <v>1043</v>
      </c>
      <c r="BT267" t="s">
        <v>1043</v>
      </c>
      <c r="BW267">
        <v>83</v>
      </c>
      <c r="CA267">
        <v>0</v>
      </c>
      <c r="CB267" t="s">
        <v>1057</v>
      </c>
      <c r="CE267" t="s">
        <v>1043</v>
      </c>
      <c r="CH267" t="s">
        <v>1043</v>
      </c>
      <c r="CN267" t="s">
        <v>1056</v>
      </c>
      <c r="CO267" t="s">
        <v>1043</v>
      </c>
      <c r="CP267">
        <v>1</v>
      </c>
      <c r="CQ267">
        <v>0</v>
      </c>
      <c r="CS267">
        <v>0</v>
      </c>
      <c r="CT267">
        <v>0</v>
      </c>
      <c r="CU267">
        <v>0</v>
      </c>
      <c r="CV267" t="s">
        <v>1045</v>
      </c>
      <c r="CW267">
        <v>0</v>
      </c>
      <c r="CX267">
        <v>0</v>
      </c>
      <c r="CY267">
        <v>0</v>
      </c>
      <c r="CZ267">
        <v>0</v>
      </c>
      <c r="DB267">
        <v>0</v>
      </c>
      <c r="DC267" t="s">
        <v>1043</v>
      </c>
      <c r="DF267" t="s">
        <v>1055</v>
      </c>
      <c r="DH267">
        <v>0</v>
      </c>
      <c r="DJ267">
        <v>0</v>
      </c>
      <c r="DK267" t="s">
        <v>1053</v>
      </c>
      <c r="DL267">
        <v>0</v>
      </c>
      <c r="DN267">
        <v>0</v>
      </c>
      <c r="DO267" t="s">
        <v>1042</v>
      </c>
      <c r="DP267">
        <v>0</v>
      </c>
      <c r="DQ267">
        <v>0</v>
      </c>
      <c r="DS267">
        <v>0</v>
      </c>
      <c r="DU267">
        <v>0</v>
      </c>
      <c r="DW267">
        <v>0</v>
      </c>
      <c r="DX267" t="s">
        <v>1043</v>
      </c>
      <c r="DY267">
        <v>0</v>
      </c>
      <c r="DZ267">
        <v>0</v>
      </c>
      <c r="EA267">
        <v>0</v>
      </c>
      <c r="ED267" t="s">
        <v>1045</v>
      </c>
      <c r="EE267">
        <v>0</v>
      </c>
      <c r="EF267">
        <v>0</v>
      </c>
      <c r="EQ267" t="s">
        <v>1044</v>
      </c>
      <c r="ES267" t="s">
        <v>1053</v>
      </c>
      <c r="ET267">
        <v>0</v>
      </c>
      <c r="EV267">
        <v>0</v>
      </c>
      <c r="EY267" t="s">
        <v>1052</v>
      </c>
      <c r="EZ267">
        <v>0</v>
      </c>
      <c r="FA267" t="s">
        <v>1043</v>
      </c>
      <c r="FB267">
        <v>0</v>
      </c>
      <c r="FC267">
        <v>0</v>
      </c>
      <c r="FE267" t="s">
        <v>1050</v>
      </c>
      <c r="FF267">
        <v>0</v>
      </c>
      <c r="FG267" t="s">
        <v>1050</v>
      </c>
      <c r="FJ267">
        <v>0</v>
      </c>
      <c r="FK267">
        <v>0</v>
      </c>
      <c r="FP267">
        <v>0</v>
      </c>
      <c r="FR267">
        <v>0</v>
      </c>
      <c r="FS267" t="s">
        <v>1043</v>
      </c>
      <c r="FX267" t="s">
        <v>1042</v>
      </c>
      <c r="FZ267" t="s">
        <v>1048</v>
      </c>
      <c r="GA267">
        <v>0</v>
      </c>
      <c r="GB267" t="s">
        <v>1042</v>
      </c>
      <c r="GE267">
        <v>0</v>
      </c>
      <c r="GG267">
        <v>0</v>
      </c>
      <c r="GN267">
        <v>0</v>
      </c>
      <c r="GO267" t="s">
        <v>1063</v>
      </c>
      <c r="GQ267">
        <v>0</v>
      </c>
      <c r="GU267">
        <v>0</v>
      </c>
      <c r="GY267" t="s">
        <v>1045</v>
      </c>
      <c r="HB267">
        <v>0</v>
      </c>
      <c r="HE267">
        <v>0</v>
      </c>
      <c r="HF267">
        <v>0</v>
      </c>
      <c r="HG267">
        <v>0</v>
      </c>
      <c r="HK267" t="s">
        <v>1042</v>
      </c>
      <c r="HM267" t="s">
        <v>1047</v>
      </c>
      <c r="HN267">
        <v>0</v>
      </c>
      <c r="HP267">
        <v>0</v>
      </c>
      <c r="HQ267">
        <v>0</v>
      </c>
      <c r="HR267" t="s">
        <v>1042</v>
      </c>
      <c r="HS267" t="s">
        <v>1043</v>
      </c>
      <c r="HT267">
        <v>0</v>
      </c>
      <c r="HU267">
        <v>0</v>
      </c>
      <c r="HW267">
        <v>0</v>
      </c>
      <c r="HX267">
        <v>0</v>
      </c>
      <c r="HY267">
        <v>0</v>
      </c>
      <c r="HZ267" t="s">
        <v>1045</v>
      </c>
      <c r="IA267">
        <v>0</v>
      </c>
      <c r="IB267" t="s">
        <v>1045</v>
      </c>
      <c r="ID267" t="s">
        <v>1045</v>
      </c>
      <c r="IF267">
        <v>0</v>
      </c>
      <c r="IG267" t="s">
        <v>1042</v>
      </c>
      <c r="II267" t="s">
        <v>1042</v>
      </c>
      <c r="IR267" t="s">
        <v>1045</v>
      </c>
      <c r="IT267">
        <v>0</v>
      </c>
      <c r="IY267" t="s">
        <v>1044</v>
      </c>
      <c r="IZ267" t="s">
        <v>1043</v>
      </c>
      <c r="JC267" t="s">
        <v>1043</v>
      </c>
      <c r="JE267">
        <v>0</v>
      </c>
      <c r="JF267">
        <v>0</v>
      </c>
      <c r="JI267" t="s">
        <v>1042</v>
      </c>
      <c r="JJ267">
        <v>0</v>
      </c>
      <c r="JK267">
        <v>0</v>
      </c>
      <c r="JL267">
        <v>0</v>
      </c>
      <c r="JM267">
        <v>0</v>
      </c>
      <c r="JQ267" t="s">
        <v>1043</v>
      </c>
      <c r="JT267">
        <v>0</v>
      </c>
      <c r="JU267" t="s">
        <v>1042</v>
      </c>
      <c r="JW267">
        <v>0</v>
      </c>
      <c r="KA267">
        <v>0</v>
      </c>
      <c r="KF267">
        <v>0</v>
      </c>
      <c r="KG267">
        <v>0</v>
      </c>
      <c r="KH267">
        <v>0</v>
      </c>
      <c r="KI267">
        <v>0</v>
      </c>
      <c r="KS267" t="s">
        <v>1073</v>
      </c>
      <c r="KT267">
        <v>0</v>
      </c>
      <c r="KU267">
        <v>0</v>
      </c>
      <c r="KV267">
        <v>0</v>
      </c>
      <c r="KX267">
        <v>0</v>
      </c>
      <c r="KZ267">
        <v>0</v>
      </c>
      <c r="LF267">
        <v>0</v>
      </c>
      <c r="LH267">
        <v>0</v>
      </c>
      <c r="LI267">
        <v>0</v>
      </c>
    </row>
    <row r="268" spans="1:321" x14ac:dyDescent="0.35">
      <c r="A268">
        <v>1</v>
      </c>
      <c r="B268">
        <v>12491</v>
      </c>
      <c r="C268" t="s">
        <v>1427</v>
      </c>
      <c r="D268" t="s">
        <v>1139</v>
      </c>
      <c r="E268" t="s">
        <v>1085</v>
      </c>
      <c r="F268">
        <v>80</v>
      </c>
      <c r="G268">
        <v>9000</v>
      </c>
      <c r="H268">
        <v>0</v>
      </c>
      <c r="I268" t="s">
        <v>1050</v>
      </c>
      <c r="L268">
        <v>0</v>
      </c>
      <c r="M268">
        <v>0</v>
      </c>
      <c r="N268">
        <v>0</v>
      </c>
      <c r="R268">
        <v>0</v>
      </c>
      <c r="S268">
        <v>0</v>
      </c>
      <c r="W268" t="s">
        <v>1060</v>
      </c>
      <c r="X268">
        <v>0</v>
      </c>
      <c r="Z268">
        <v>1</v>
      </c>
      <c r="AA268">
        <v>0</v>
      </c>
      <c r="AB268">
        <v>0</v>
      </c>
      <c r="AC268">
        <v>0</v>
      </c>
      <c r="AD268" s="20">
        <v>40793</v>
      </c>
      <c r="AE268">
        <v>2.68</v>
      </c>
      <c r="AF268">
        <v>0</v>
      </c>
      <c r="AH268">
        <v>0</v>
      </c>
      <c r="AJ268">
        <v>0</v>
      </c>
      <c r="AL268">
        <v>0</v>
      </c>
      <c r="AM268">
        <v>0</v>
      </c>
      <c r="AN268">
        <v>16601003</v>
      </c>
      <c r="AO268">
        <v>0</v>
      </c>
      <c r="AP268">
        <v>1000</v>
      </c>
      <c r="AT268">
        <v>0</v>
      </c>
      <c r="AU268" t="s">
        <v>1059</v>
      </c>
      <c r="AW268" t="s">
        <v>1053</v>
      </c>
      <c r="AX268">
        <v>0</v>
      </c>
      <c r="AY268" s="20">
        <v>40793</v>
      </c>
      <c r="BA268" s="20">
        <v>40793</v>
      </c>
      <c r="BB268" t="s">
        <v>1058</v>
      </c>
      <c r="BD268">
        <v>0</v>
      </c>
      <c r="BF268" t="s">
        <v>1043</v>
      </c>
      <c r="BG268" t="s">
        <v>1042</v>
      </c>
      <c r="BH268">
        <v>0</v>
      </c>
      <c r="BI268">
        <v>1</v>
      </c>
      <c r="BJ268">
        <v>0</v>
      </c>
      <c r="BK268">
        <v>0</v>
      </c>
      <c r="BM268" t="s">
        <v>1042</v>
      </c>
      <c r="BN268">
        <v>0</v>
      </c>
      <c r="BR268" t="s">
        <v>1043</v>
      </c>
      <c r="BS268" t="s">
        <v>1043</v>
      </c>
      <c r="BT268" t="s">
        <v>1043</v>
      </c>
      <c r="BW268">
        <v>83</v>
      </c>
      <c r="CA268">
        <v>0</v>
      </c>
      <c r="CB268" t="s">
        <v>1057</v>
      </c>
      <c r="CE268" t="s">
        <v>1043</v>
      </c>
      <c r="CH268" t="s">
        <v>1043</v>
      </c>
      <c r="CN268" t="s">
        <v>1056</v>
      </c>
      <c r="CO268" t="s">
        <v>1043</v>
      </c>
      <c r="CP268">
        <v>1</v>
      </c>
      <c r="CQ268">
        <v>0</v>
      </c>
      <c r="CS268">
        <v>0</v>
      </c>
      <c r="CT268">
        <v>0</v>
      </c>
      <c r="CU268">
        <v>0</v>
      </c>
      <c r="CV268" t="s">
        <v>1045</v>
      </c>
      <c r="CW268">
        <v>0</v>
      </c>
      <c r="CX268">
        <v>0</v>
      </c>
      <c r="CY268">
        <v>0</v>
      </c>
      <c r="CZ268">
        <v>0</v>
      </c>
      <c r="DB268">
        <v>0</v>
      </c>
      <c r="DC268" t="s">
        <v>1043</v>
      </c>
      <c r="DF268" t="s">
        <v>1055</v>
      </c>
      <c r="DH268">
        <v>0</v>
      </c>
      <c r="DJ268">
        <v>0</v>
      </c>
      <c r="DK268" t="s">
        <v>1053</v>
      </c>
      <c r="DL268">
        <v>0</v>
      </c>
      <c r="DN268">
        <v>0</v>
      </c>
      <c r="DO268" t="s">
        <v>1042</v>
      </c>
      <c r="DP268">
        <v>0</v>
      </c>
      <c r="DQ268">
        <v>0</v>
      </c>
      <c r="DS268">
        <v>0</v>
      </c>
      <c r="DU268">
        <v>0</v>
      </c>
      <c r="DW268">
        <v>0</v>
      </c>
      <c r="DX268" t="s">
        <v>1043</v>
      </c>
      <c r="DY268">
        <v>0</v>
      </c>
      <c r="DZ268">
        <v>0</v>
      </c>
      <c r="EA268">
        <v>0</v>
      </c>
      <c r="ED268" t="s">
        <v>1045</v>
      </c>
      <c r="EE268">
        <v>0</v>
      </c>
      <c r="EF268">
        <v>0</v>
      </c>
      <c r="EQ268" t="s">
        <v>1044</v>
      </c>
      <c r="ES268" t="s">
        <v>1053</v>
      </c>
      <c r="ET268">
        <v>0</v>
      </c>
      <c r="EV268">
        <v>0</v>
      </c>
      <c r="EY268" t="s">
        <v>1052</v>
      </c>
      <c r="EZ268">
        <v>0</v>
      </c>
      <c r="FA268" t="s">
        <v>1043</v>
      </c>
      <c r="FB268">
        <v>0</v>
      </c>
      <c r="FC268">
        <v>0</v>
      </c>
      <c r="FE268" t="s">
        <v>1050</v>
      </c>
      <c r="FF268">
        <v>0</v>
      </c>
      <c r="FG268" t="s">
        <v>1050</v>
      </c>
      <c r="FJ268">
        <v>0</v>
      </c>
      <c r="FK268">
        <v>0</v>
      </c>
      <c r="FP268">
        <v>0</v>
      </c>
      <c r="FR268">
        <v>0</v>
      </c>
      <c r="FS268" t="s">
        <v>1043</v>
      </c>
      <c r="FX268" t="s">
        <v>1042</v>
      </c>
      <c r="FZ268" t="s">
        <v>1048</v>
      </c>
      <c r="GA268">
        <v>0</v>
      </c>
      <c r="GB268" t="s">
        <v>1042</v>
      </c>
      <c r="GE268">
        <v>0</v>
      </c>
      <c r="GG268">
        <v>0</v>
      </c>
      <c r="GN268">
        <v>0</v>
      </c>
      <c r="GO268" t="s">
        <v>1063</v>
      </c>
      <c r="GQ268">
        <v>0</v>
      </c>
      <c r="GU268">
        <v>0</v>
      </c>
      <c r="GY268" t="s">
        <v>1045</v>
      </c>
      <c r="HB268">
        <v>0</v>
      </c>
      <c r="HE268">
        <v>0</v>
      </c>
      <c r="HF268">
        <v>0</v>
      </c>
      <c r="HG268">
        <v>0</v>
      </c>
      <c r="HK268" t="s">
        <v>1042</v>
      </c>
      <c r="HM268" t="s">
        <v>1047</v>
      </c>
      <c r="HN268">
        <v>0</v>
      </c>
      <c r="HP268">
        <v>0</v>
      </c>
      <c r="HQ268">
        <v>0</v>
      </c>
      <c r="HR268" t="s">
        <v>1042</v>
      </c>
      <c r="HS268" t="s">
        <v>1043</v>
      </c>
      <c r="HT268">
        <v>0</v>
      </c>
      <c r="HU268">
        <v>0</v>
      </c>
      <c r="HW268">
        <v>0</v>
      </c>
      <c r="HX268">
        <v>0</v>
      </c>
      <c r="HY268">
        <v>0</v>
      </c>
      <c r="HZ268" t="s">
        <v>1045</v>
      </c>
      <c r="IA268">
        <v>0</v>
      </c>
      <c r="IB268" t="s">
        <v>1045</v>
      </c>
      <c r="ID268" t="s">
        <v>1045</v>
      </c>
      <c r="IF268">
        <v>0</v>
      </c>
      <c r="IG268" t="s">
        <v>1042</v>
      </c>
      <c r="II268" t="s">
        <v>1042</v>
      </c>
      <c r="IR268" t="s">
        <v>1045</v>
      </c>
      <c r="IT268">
        <v>0</v>
      </c>
      <c r="IY268" t="s">
        <v>1044</v>
      </c>
      <c r="IZ268" t="s">
        <v>1043</v>
      </c>
      <c r="JC268" t="s">
        <v>1043</v>
      </c>
      <c r="JE268">
        <v>0</v>
      </c>
      <c r="JF268">
        <v>0</v>
      </c>
      <c r="JI268" t="s">
        <v>1042</v>
      </c>
      <c r="JJ268">
        <v>0</v>
      </c>
      <c r="JK268">
        <v>0</v>
      </c>
      <c r="JL268">
        <v>0</v>
      </c>
      <c r="JM268">
        <v>0</v>
      </c>
      <c r="JQ268" t="s">
        <v>1043</v>
      </c>
      <c r="JT268">
        <v>0</v>
      </c>
      <c r="JU268" t="s">
        <v>1042</v>
      </c>
      <c r="JW268">
        <v>0</v>
      </c>
      <c r="KA268">
        <v>0</v>
      </c>
      <c r="KF268">
        <v>0</v>
      </c>
      <c r="KG268">
        <v>0</v>
      </c>
      <c r="KH268">
        <v>0</v>
      </c>
      <c r="KI268">
        <v>0</v>
      </c>
      <c r="KS268" t="s">
        <v>1073</v>
      </c>
      <c r="KT268">
        <v>0</v>
      </c>
      <c r="KU268">
        <v>0</v>
      </c>
      <c r="KV268">
        <v>0</v>
      </c>
      <c r="KX268">
        <v>0</v>
      </c>
      <c r="KZ268">
        <v>0</v>
      </c>
      <c r="LF268">
        <v>0</v>
      </c>
      <c r="LH268">
        <v>0</v>
      </c>
      <c r="LI268">
        <v>0</v>
      </c>
    </row>
    <row r="269" spans="1:321" x14ac:dyDescent="0.35">
      <c r="A269">
        <v>1</v>
      </c>
      <c r="B269">
        <v>12492</v>
      </c>
      <c r="C269" t="s">
        <v>1426</v>
      </c>
      <c r="D269" t="s">
        <v>1139</v>
      </c>
      <c r="E269" t="s">
        <v>1085</v>
      </c>
      <c r="F269">
        <v>80</v>
      </c>
      <c r="G269">
        <v>9000</v>
      </c>
      <c r="H269">
        <v>0</v>
      </c>
      <c r="I269" t="s">
        <v>1050</v>
      </c>
      <c r="L269">
        <v>0</v>
      </c>
      <c r="M269">
        <v>0</v>
      </c>
      <c r="N269">
        <v>0</v>
      </c>
      <c r="R269">
        <v>0</v>
      </c>
      <c r="S269">
        <v>0</v>
      </c>
      <c r="W269" t="s">
        <v>1060</v>
      </c>
      <c r="X269">
        <v>0</v>
      </c>
      <c r="Z269">
        <v>1</v>
      </c>
      <c r="AA269">
        <v>0</v>
      </c>
      <c r="AB269">
        <v>0</v>
      </c>
      <c r="AC269">
        <v>0</v>
      </c>
      <c r="AD269" s="20">
        <v>40793</v>
      </c>
      <c r="AE269">
        <v>2.68</v>
      </c>
      <c r="AF269">
        <v>0</v>
      </c>
      <c r="AH269">
        <v>0</v>
      </c>
      <c r="AJ269">
        <v>0</v>
      </c>
      <c r="AL269">
        <v>0</v>
      </c>
      <c r="AM269">
        <v>0</v>
      </c>
      <c r="AN269">
        <v>16601003</v>
      </c>
      <c r="AO269">
        <v>0</v>
      </c>
      <c r="AP269">
        <v>1000</v>
      </c>
      <c r="AT269">
        <v>0</v>
      </c>
      <c r="AU269" t="s">
        <v>1059</v>
      </c>
      <c r="AW269" t="s">
        <v>1053</v>
      </c>
      <c r="AX269">
        <v>0</v>
      </c>
      <c r="AY269" s="20">
        <v>40793</v>
      </c>
      <c r="BA269" s="20">
        <v>40793</v>
      </c>
      <c r="BB269" t="s">
        <v>1058</v>
      </c>
      <c r="BD269">
        <v>0</v>
      </c>
      <c r="BF269" t="s">
        <v>1043</v>
      </c>
      <c r="BG269" t="s">
        <v>1042</v>
      </c>
      <c r="BH269">
        <v>0</v>
      </c>
      <c r="BI269">
        <v>1</v>
      </c>
      <c r="BJ269">
        <v>0</v>
      </c>
      <c r="BK269">
        <v>0</v>
      </c>
      <c r="BM269" t="s">
        <v>1042</v>
      </c>
      <c r="BN269">
        <v>0</v>
      </c>
      <c r="BR269" t="s">
        <v>1043</v>
      </c>
      <c r="BS269" t="s">
        <v>1043</v>
      </c>
      <c r="BT269" t="s">
        <v>1043</v>
      </c>
      <c r="BW269">
        <v>83</v>
      </c>
      <c r="CA269">
        <v>0</v>
      </c>
      <c r="CB269" t="s">
        <v>1057</v>
      </c>
      <c r="CE269" t="s">
        <v>1043</v>
      </c>
      <c r="CH269" t="s">
        <v>1043</v>
      </c>
      <c r="CN269" t="s">
        <v>1056</v>
      </c>
      <c r="CO269" t="s">
        <v>1043</v>
      </c>
      <c r="CP269">
        <v>1</v>
      </c>
      <c r="CQ269">
        <v>0</v>
      </c>
      <c r="CS269">
        <v>0</v>
      </c>
      <c r="CT269">
        <v>0</v>
      </c>
      <c r="CU269">
        <v>0</v>
      </c>
      <c r="CV269" t="s">
        <v>1045</v>
      </c>
      <c r="CW269">
        <v>0</v>
      </c>
      <c r="CX269">
        <v>0</v>
      </c>
      <c r="CY269">
        <v>0</v>
      </c>
      <c r="CZ269">
        <v>0</v>
      </c>
      <c r="DB269">
        <v>0</v>
      </c>
      <c r="DC269" t="s">
        <v>1043</v>
      </c>
      <c r="DF269" t="s">
        <v>1055</v>
      </c>
      <c r="DH269">
        <v>0</v>
      </c>
      <c r="DJ269">
        <v>0</v>
      </c>
      <c r="DK269" t="s">
        <v>1053</v>
      </c>
      <c r="DL269">
        <v>0</v>
      </c>
      <c r="DN269">
        <v>0</v>
      </c>
      <c r="DO269" t="s">
        <v>1042</v>
      </c>
      <c r="DP269">
        <v>0</v>
      </c>
      <c r="DQ269">
        <v>0</v>
      </c>
      <c r="DS269">
        <v>0</v>
      </c>
      <c r="DU269">
        <v>0</v>
      </c>
      <c r="DW269">
        <v>0</v>
      </c>
      <c r="DX269" t="s">
        <v>1043</v>
      </c>
      <c r="DY269">
        <v>0</v>
      </c>
      <c r="DZ269">
        <v>0</v>
      </c>
      <c r="EA269">
        <v>0</v>
      </c>
      <c r="ED269" t="s">
        <v>1045</v>
      </c>
      <c r="EE269">
        <v>0</v>
      </c>
      <c r="EF269">
        <v>0</v>
      </c>
      <c r="EQ269" t="s">
        <v>1044</v>
      </c>
      <c r="ES269" t="s">
        <v>1053</v>
      </c>
      <c r="ET269">
        <v>0</v>
      </c>
      <c r="EV269">
        <v>0</v>
      </c>
      <c r="EY269" t="s">
        <v>1052</v>
      </c>
      <c r="EZ269">
        <v>0</v>
      </c>
      <c r="FA269" t="s">
        <v>1043</v>
      </c>
      <c r="FB269">
        <v>0</v>
      </c>
      <c r="FC269">
        <v>0</v>
      </c>
      <c r="FE269" t="s">
        <v>1050</v>
      </c>
      <c r="FF269">
        <v>0</v>
      </c>
      <c r="FG269" t="s">
        <v>1050</v>
      </c>
      <c r="FJ269">
        <v>0</v>
      </c>
      <c r="FK269">
        <v>0</v>
      </c>
      <c r="FP269">
        <v>0</v>
      </c>
      <c r="FR269">
        <v>0</v>
      </c>
      <c r="FS269" t="s">
        <v>1043</v>
      </c>
      <c r="FX269" t="s">
        <v>1042</v>
      </c>
      <c r="FZ269" t="s">
        <v>1048</v>
      </c>
      <c r="GA269">
        <v>0</v>
      </c>
      <c r="GB269" t="s">
        <v>1042</v>
      </c>
      <c r="GE269">
        <v>0</v>
      </c>
      <c r="GG269">
        <v>0</v>
      </c>
      <c r="GN269">
        <v>0</v>
      </c>
      <c r="GO269" t="s">
        <v>1063</v>
      </c>
      <c r="GQ269">
        <v>0</v>
      </c>
      <c r="GU269">
        <v>0</v>
      </c>
      <c r="GY269" t="s">
        <v>1045</v>
      </c>
      <c r="HB269">
        <v>0</v>
      </c>
      <c r="HE269">
        <v>0</v>
      </c>
      <c r="HF269">
        <v>0</v>
      </c>
      <c r="HG269">
        <v>0</v>
      </c>
      <c r="HK269" t="s">
        <v>1042</v>
      </c>
      <c r="HM269" t="s">
        <v>1047</v>
      </c>
      <c r="HN269">
        <v>0</v>
      </c>
      <c r="HP269">
        <v>0</v>
      </c>
      <c r="HQ269">
        <v>0</v>
      </c>
      <c r="HR269" t="s">
        <v>1042</v>
      </c>
      <c r="HS269" t="s">
        <v>1043</v>
      </c>
      <c r="HT269">
        <v>0</v>
      </c>
      <c r="HU269">
        <v>0</v>
      </c>
      <c r="HW269">
        <v>0</v>
      </c>
      <c r="HX269">
        <v>0</v>
      </c>
      <c r="HY269">
        <v>0</v>
      </c>
      <c r="HZ269" t="s">
        <v>1045</v>
      </c>
      <c r="IA269">
        <v>0</v>
      </c>
      <c r="IB269" t="s">
        <v>1045</v>
      </c>
      <c r="ID269" t="s">
        <v>1045</v>
      </c>
      <c r="IF269">
        <v>0</v>
      </c>
      <c r="IG269" t="s">
        <v>1042</v>
      </c>
      <c r="II269" t="s">
        <v>1042</v>
      </c>
      <c r="IR269" t="s">
        <v>1045</v>
      </c>
      <c r="IT269">
        <v>0</v>
      </c>
      <c r="IY269" t="s">
        <v>1044</v>
      </c>
      <c r="IZ269" t="s">
        <v>1043</v>
      </c>
      <c r="JC269" t="s">
        <v>1043</v>
      </c>
      <c r="JE269">
        <v>0</v>
      </c>
      <c r="JF269">
        <v>0</v>
      </c>
      <c r="JI269" t="s">
        <v>1042</v>
      </c>
      <c r="JJ269">
        <v>0</v>
      </c>
      <c r="JK269">
        <v>0</v>
      </c>
      <c r="JL269">
        <v>0</v>
      </c>
      <c r="JM269">
        <v>0</v>
      </c>
      <c r="JQ269" t="s">
        <v>1043</v>
      </c>
      <c r="JT269">
        <v>0</v>
      </c>
      <c r="JU269" t="s">
        <v>1042</v>
      </c>
      <c r="JW269">
        <v>0</v>
      </c>
      <c r="KA269">
        <v>0</v>
      </c>
      <c r="KF269">
        <v>0</v>
      </c>
      <c r="KG269">
        <v>0</v>
      </c>
      <c r="KH269">
        <v>0</v>
      </c>
      <c r="KI269">
        <v>0</v>
      </c>
      <c r="KS269" t="s">
        <v>1073</v>
      </c>
      <c r="KT269">
        <v>0</v>
      </c>
      <c r="KU269">
        <v>0</v>
      </c>
      <c r="KV269">
        <v>0</v>
      </c>
      <c r="KX269">
        <v>0</v>
      </c>
      <c r="KZ269">
        <v>0</v>
      </c>
      <c r="LF269">
        <v>0</v>
      </c>
      <c r="LH269">
        <v>0</v>
      </c>
      <c r="LI269">
        <v>0</v>
      </c>
    </row>
    <row r="270" spans="1:321" x14ac:dyDescent="0.35">
      <c r="A270">
        <v>1</v>
      </c>
      <c r="B270">
        <v>12493</v>
      </c>
      <c r="C270" t="s">
        <v>1425</v>
      </c>
      <c r="D270" t="s">
        <v>1139</v>
      </c>
      <c r="E270" t="s">
        <v>1085</v>
      </c>
      <c r="F270">
        <v>80</v>
      </c>
      <c r="G270">
        <v>9000</v>
      </c>
      <c r="H270">
        <v>0</v>
      </c>
      <c r="I270" t="s">
        <v>1050</v>
      </c>
      <c r="L270">
        <v>0</v>
      </c>
      <c r="M270">
        <v>0</v>
      </c>
      <c r="N270">
        <v>0</v>
      </c>
      <c r="R270">
        <v>0</v>
      </c>
      <c r="S270">
        <v>0</v>
      </c>
      <c r="W270" t="s">
        <v>1060</v>
      </c>
      <c r="X270">
        <v>0</v>
      </c>
      <c r="Z270">
        <v>1</v>
      </c>
      <c r="AA270">
        <v>0</v>
      </c>
      <c r="AB270">
        <v>0</v>
      </c>
      <c r="AC270">
        <v>0</v>
      </c>
      <c r="AD270" s="20">
        <v>40793</v>
      </c>
      <c r="AE270">
        <v>2.68</v>
      </c>
      <c r="AF270">
        <v>0</v>
      </c>
      <c r="AH270">
        <v>0</v>
      </c>
      <c r="AJ270">
        <v>0</v>
      </c>
      <c r="AL270">
        <v>0</v>
      </c>
      <c r="AM270">
        <v>0</v>
      </c>
      <c r="AN270">
        <v>16601003</v>
      </c>
      <c r="AO270">
        <v>0</v>
      </c>
      <c r="AP270">
        <v>1000</v>
      </c>
      <c r="AT270">
        <v>0</v>
      </c>
      <c r="AU270" t="s">
        <v>1059</v>
      </c>
      <c r="AW270" t="s">
        <v>1053</v>
      </c>
      <c r="AX270">
        <v>0</v>
      </c>
      <c r="AY270" s="20">
        <v>40793</v>
      </c>
      <c r="BA270" s="20">
        <v>40793</v>
      </c>
      <c r="BB270" t="s">
        <v>1058</v>
      </c>
      <c r="BD270">
        <v>0</v>
      </c>
      <c r="BF270" t="s">
        <v>1043</v>
      </c>
      <c r="BG270" t="s">
        <v>1042</v>
      </c>
      <c r="BH270">
        <v>0</v>
      </c>
      <c r="BI270">
        <v>1</v>
      </c>
      <c r="BJ270">
        <v>0</v>
      </c>
      <c r="BK270">
        <v>0</v>
      </c>
      <c r="BM270" t="s">
        <v>1042</v>
      </c>
      <c r="BN270">
        <v>0</v>
      </c>
      <c r="BR270" t="s">
        <v>1043</v>
      </c>
      <c r="BS270" t="s">
        <v>1043</v>
      </c>
      <c r="BT270" t="s">
        <v>1043</v>
      </c>
      <c r="BW270">
        <v>83</v>
      </c>
      <c r="CA270">
        <v>0</v>
      </c>
      <c r="CB270" t="s">
        <v>1057</v>
      </c>
      <c r="CE270" t="s">
        <v>1043</v>
      </c>
      <c r="CH270" t="s">
        <v>1043</v>
      </c>
      <c r="CN270" t="s">
        <v>1056</v>
      </c>
      <c r="CO270" t="s">
        <v>1043</v>
      </c>
      <c r="CP270">
        <v>1</v>
      </c>
      <c r="CQ270">
        <v>0</v>
      </c>
      <c r="CS270">
        <v>0</v>
      </c>
      <c r="CT270">
        <v>0</v>
      </c>
      <c r="CU270">
        <v>0</v>
      </c>
      <c r="CV270" t="s">
        <v>1045</v>
      </c>
      <c r="CW270">
        <v>0</v>
      </c>
      <c r="CX270">
        <v>0</v>
      </c>
      <c r="CY270">
        <v>0</v>
      </c>
      <c r="CZ270">
        <v>0</v>
      </c>
      <c r="DB270">
        <v>0</v>
      </c>
      <c r="DC270" t="s">
        <v>1043</v>
      </c>
      <c r="DF270" t="s">
        <v>1055</v>
      </c>
      <c r="DH270">
        <v>0</v>
      </c>
      <c r="DJ270">
        <v>0</v>
      </c>
      <c r="DK270" t="s">
        <v>1053</v>
      </c>
      <c r="DL270">
        <v>0</v>
      </c>
      <c r="DN270">
        <v>0</v>
      </c>
      <c r="DO270" t="s">
        <v>1042</v>
      </c>
      <c r="DP270">
        <v>0</v>
      </c>
      <c r="DQ270">
        <v>0</v>
      </c>
      <c r="DS270">
        <v>0</v>
      </c>
      <c r="DU270">
        <v>0</v>
      </c>
      <c r="DW270">
        <v>0</v>
      </c>
      <c r="DX270" t="s">
        <v>1043</v>
      </c>
      <c r="DY270">
        <v>0</v>
      </c>
      <c r="DZ270">
        <v>0</v>
      </c>
      <c r="EA270">
        <v>0</v>
      </c>
      <c r="ED270" t="s">
        <v>1045</v>
      </c>
      <c r="EE270">
        <v>0</v>
      </c>
      <c r="EF270">
        <v>0</v>
      </c>
      <c r="EQ270" t="s">
        <v>1044</v>
      </c>
      <c r="ES270" t="s">
        <v>1053</v>
      </c>
      <c r="ET270">
        <v>0</v>
      </c>
      <c r="EV270">
        <v>0</v>
      </c>
      <c r="EY270" t="s">
        <v>1052</v>
      </c>
      <c r="EZ270">
        <v>0</v>
      </c>
      <c r="FA270" t="s">
        <v>1043</v>
      </c>
      <c r="FB270">
        <v>0</v>
      </c>
      <c r="FC270">
        <v>0</v>
      </c>
      <c r="FE270" t="s">
        <v>1050</v>
      </c>
      <c r="FF270">
        <v>0</v>
      </c>
      <c r="FG270" t="s">
        <v>1050</v>
      </c>
      <c r="FJ270">
        <v>0</v>
      </c>
      <c r="FK270">
        <v>0</v>
      </c>
      <c r="FP270">
        <v>0</v>
      </c>
      <c r="FR270">
        <v>0</v>
      </c>
      <c r="FS270" t="s">
        <v>1043</v>
      </c>
      <c r="FX270" t="s">
        <v>1042</v>
      </c>
      <c r="FZ270" t="s">
        <v>1048</v>
      </c>
      <c r="GA270">
        <v>0</v>
      </c>
      <c r="GB270" t="s">
        <v>1042</v>
      </c>
      <c r="GE270">
        <v>0</v>
      </c>
      <c r="GG270">
        <v>0</v>
      </c>
      <c r="GN270">
        <v>0</v>
      </c>
      <c r="GO270" t="s">
        <v>1063</v>
      </c>
      <c r="GQ270">
        <v>0</v>
      </c>
      <c r="GU270">
        <v>0</v>
      </c>
      <c r="GY270" t="s">
        <v>1045</v>
      </c>
      <c r="HB270">
        <v>0</v>
      </c>
      <c r="HE270">
        <v>0</v>
      </c>
      <c r="HF270">
        <v>0</v>
      </c>
      <c r="HG270">
        <v>0</v>
      </c>
      <c r="HK270" t="s">
        <v>1042</v>
      </c>
      <c r="HM270" t="s">
        <v>1047</v>
      </c>
      <c r="HN270">
        <v>0</v>
      </c>
      <c r="HP270">
        <v>0</v>
      </c>
      <c r="HQ270">
        <v>0</v>
      </c>
      <c r="HR270" t="s">
        <v>1042</v>
      </c>
      <c r="HS270" t="s">
        <v>1043</v>
      </c>
      <c r="HT270">
        <v>0</v>
      </c>
      <c r="HU270">
        <v>0</v>
      </c>
      <c r="HW270">
        <v>0</v>
      </c>
      <c r="HX270">
        <v>0</v>
      </c>
      <c r="HY270">
        <v>0</v>
      </c>
      <c r="HZ270" t="s">
        <v>1045</v>
      </c>
      <c r="IA270">
        <v>0</v>
      </c>
      <c r="IB270" t="s">
        <v>1045</v>
      </c>
      <c r="ID270" t="s">
        <v>1045</v>
      </c>
      <c r="IF270">
        <v>0</v>
      </c>
      <c r="IG270" t="s">
        <v>1042</v>
      </c>
      <c r="II270" t="s">
        <v>1042</v>
      </c>
      <c r="IR270" t="s">
        <v>1045</v>
      </c>
      <c r="IT270">
        <v>0</v>
      </c>
      <c r="IY270" t="s">
        <v>1044</v>
      </c>
      <c r="IZ270" t="s">
        <v>1043</v>
      </c>
      <c r="JC270" t="s">
        <v>1043</v>
      </c>
      <c r="JE270">
        <v>0</v>
      </c>
      <c r="JF270">
        <v>0</v>
      </c>
      <c r="JI270" t="s">
        <v>1042</v>
      </c>
      <c r="JJ270">
        <v>0</v>
      </c>
      <c r="JK270">
        <v>0</v>
      </c>
      <c r="JL270">
        <v>0</v>
      </c>
      <c r="JM270">
        <v>0</v>
      </c>
      <c r="JQ270" t="s">
        <v>1043</v>
      </c>
      <c r="JT270">
        <v>0</v>
      </c>
      <c r="JU270" t="s">
        <v>1042</v>
      </c>
      <c r="JW270">
        <v>0</v>
      </c>
      <c r="KA270">
        <v>0</v>
      </c>
      <c r="KF270">
        <v>0</v>
      </c>
      <c r="KG270">
        <v>0</v>
      </c>
      <c r="KH270">
        <v>0</v>
      </c>
      <c r="KI270">
        <v>0</v>
      </c>
      <c r="KS270" t="s">
        <v>1073</v>
      </c>
      <c r="KT270">
        <v>0</v>
      </c>
      <c r="KU270">
        <v>0</v>
      </c>
      <c r="KV270">
        <v>0</v>
      </c>
      <c r="KX270">
        <v>0</v>
      </c>
      <c r="KZ270">
        <v>0</v>
      </c>
      <c r="LF270">
        <v>0</v>
      </c>
      <c r="LH270">
        <v>0</v>
      </c>
      <c r="LI270">
        <v>0</v>
      </c>
    </row>
    <row r="271" spans="1:321" x14ac:dyDescent="0.35">
      <c r="A271">
        <v>1</v>
      </c>
      <c r="B271">
        <v>12494</v>
      </c>
      <c r="C271" t="s">
        <v>1424</v>
      </c>
      <c r="D271" t="s">
        <v>1139</v>
      </c>
      <c r="E271" t="s">
        <v>1085</v>
      </c>
      <c r="F271">
        <v>80</v>
      </c>
      <c r="G271">
        <v>9000</v>
      </c>
      <c r="H271">
        <v>0</v>
      </c>
      <c r="I271" t="s">
        <v>1050</v>
      </c>
      <c r="L271">
        <v>0</v>
      </c>
      <c r="M271">
        <v>0</v>
      </c>
      <c r="N271">
        <v>0</v>
      </c>
      <c r="R271">
        <v>0</v>
      </c>
      <c r="S271">
        <v>0</v>
      </c>
      <c r="W271" t="s">
        <v>1060</v>
      </c>
      <c r="X271">
        <v>0</v>
      </c>
      <c r="Z271">
        <v>1</v>
      </c>
      <c r="AA271">
        <v>0</v>
      </c>
      <c r="AB271">
        <v>0</v>
      </c>
      <c r="AC271">
        <v>0</v>
      </c>
      <c r="AD271" s="20">
        <v>40793</v>
      </c>
      <c r="AE271">
        <v>2.68</v>
      </c>
      <c r="AF271">
        <v>0</v>
      </c>
      <c r="AH271">
        <v>0</v>
      </c>
      <c r="AJ271">
        <v>0</v>
      </c>
      <c r="AL271">
        <v>0</v>
      </c>
      <c r="AM271">
        <v>0</v>
      </c>
      <c r="AN271">
        <v>16601003</v>
      </c>
      <c r="AO271">
        <v>0</v>
      </c>
      <c r="AP271">
        <v>1000</v>
      </c>
      <c r="AT271">
        <v>0</v>
      </c>
      <c r="AU271" t="s">
        <v>1059</v>
      </c>
      <c r="AW271" t="s">
        <v>1053</v>
      </c>
      <c r="AX271">
        <v>0</v>
      </c>
      <c r="AY271" s="20">
        <v>40793</v>
      </c>
      <c r="BA271" s="20">
        <v>40793</v>
      </c>
      <c r="BB271" t="s">
        <v>1058</v>
      </c>
      <c r="BD271">
        <v>0</v>
      </c>
      <c r="BF271" t="s">
        <v>1043</v>
      </c>
      <c r="BG271" t="s">
        <v>1042</v>
      </c>
      <c r="BH271">
        <v>0</v>
      </c>
      <c r="BI271">
        <v>1</v>
      </c>
      <c r="BJ271">
        <v>0</v>
      </c>
      <c r="BK271">
        <v>0</v>
      </c>
      <c r="BM271" t="s">
        <v>1042</v>
      </c>
      <c r="BN271">
        <v>0</v>
      </c>
      <c r="BR271" t="s">
        <v>1043</v>
      </c>
      <c r="BS271" t="s">
        <v>1043</v>
      </c>
      <c r="BT271" t="s">
        <v>1043</v>
      </c>
      <c r="BW271">
        <v>83</v>
      </c>
      <c r="CA271">
        <v>0</v>
      </c>
      <c r="CB271" t="s">
        <v>1057</v>
      </c>
      <c r="CE271" t="s">
        <v>1043</v>
      </c>
      <c r="CH271" t="s">
        <v>1043</v>
      </c>
      <c r="CN271" t="s">
        <v>1056</v>
      </c>
      <c r="CO271" t="s">
        <v>1043</v>
      </c>
      <c r="CP271">
        <v>1</v>
      </c>
      <c r="CQ271">
        <v>0</v>
      </c>
      <c r="CS271">
        <v>0</v>
      </c>
      <c r="CT271">
        <v>0</v>
      </c>
      <c r="CU271">
        <v>0</v>
      </c>
      <c r="CV271" t="s">
        <v>1045</v>
      </c>
      <c r="CW271">
        <v>0</v>
      </c>
      <c r="CX271">
        <v>0</v>
      </c>
      <c r="CY271">
        <v>0</v>
      </c>
      <c r="CZ271">
        <v>0</v>
      </c>
      <c r="DB271">
        <v>0</v>
      </c>
      <c r="DC271" t="s">
        <v>1043</v>
      </c>
      <c r="DF271" t="s">
        <v>1055</v>
      </c>
      <c r="DH271">
        <v>0</v>
      </c>
      <c r="DJ271">
        <v>0</v>
      </c>
      <c r="DK271" t="s">
        <v>1053</v>
      </c>
      <c r="DL271">
        <v>0</v>
      </c>
      <c r="DN271">
        <v>0</v>
      </c>
      <c r="DO271" t="s">
        <v>1042</v>
      </c>
      <c r="DP271">
        <v>0</v>
      </c>
      <c r="DQ271">
        <v>0</v>
      </c>
      <c r="DS271">
        <v>0</v>
      </c>
      <c r="DU271">
        <v>0</v>
      </c>
      <c r="DW271">
        <v>0</v>
      </c>
      <c r="DX271" t="s">
        <v>1043</v>
      </c>
      <c r="DY271">
        <v>0</v>
      </c>
      <c r="DZ271">
        <v>0</v>
      </c>
      <c r="EA271">
        <v>0</v>
      </c>
      <c r="ED271" t="s">
        <v>1045</v>
      </c>
      <c r="EE271">
        <v>0</v>
      </c>
      <c r="EF271">
        <v>0</v>
      </c>
      <c r="EQ271" t="s">
        <v>1044</v>
      </c>
      <c r="ES271" t="s">
        <v>1053</v>
      </c>
      <c r="ET271">
        <v>0</v>
      </c>
      <c r="EV271">
        <v>0</v>
      </c>
      <c r="EY271" t="s">
        <v>1052</v>
      </c>
      <c r="EZ271">
        <v>0</v>
      </c>
      <c r="FA271" t="s">
        <v>1043</v>
      </c>
      <c r="FB271">
        <v>0</v>
      </c>
      <c r="FC271">
        <v>0</v>
      </c>
      <c r="FE271" t="s">
        <v>1050</v>
      </c>
      <c r="FF271">
        <v>0</v>
      </c>
      <c r="FG271" t="s">
        <v>1050</v>
      </c>
      <c r="FJ271">
        <v>0</v>
      </c>
      <c r="FK271">
        <v>0</v>
      </c>
      <c r="FP271">
        <v>0</v>
      </c>
      <c r="FR271">
        <v>0</v>
      </c>
      <c r="FS271" t="s">
        <v>1043</v>
      </c>
      <c r="FX271" t="s">
        <v>1042</v>
      </c>
      <c r="FZ271" t="s">
        <v>1048</v>
      </c>
      <c r="GA271">
        <v>0</v>
      </c>
      <c r="GB271" t="s">
        <v>1042</v>
      </c>
      <c r="GE271">
        <v>0</v>
      </c>
      <c r="GG271">
        <v>0</v>
      </c>
      <c r="GN271">
        <v>0</v>
      </c>
      <c r="GO271" t="s">
        <v>1063</v>
      </c>
      <c r="GQ271">
        <v>0</v>
      </c>
      <c r="GU271">
        <v>0</v>
      </c>
      <c r="GY271" t="s">
        <v>1045</v>
      </c>
      <c r="HB271">
        <v>0</v>
      </c>
      <c r="HE271">
        <v>0</v>
      </c>
      <c r="HF271">
        <v>0</v>
      </c>
      <c r="HG271">
        <v>0</v>
      </c>
      <c r="HK271" t="s">
        <v>1042</v>
      </c>
      <c r="HM271" t="s">
        <v>1047</v>
      </c>
      <c r="HN271">
        <v>0</v>
      </c>
      <c r="HP271">
        <v>0</v>
      </c>
      <c r="HQ271">
        <v>0</v>
      </c>
      <c r="HR271" t="s">
        <v>1042</v>
      </c>
      <c r="HS271" t="s">
        <v>1043</v>
      </c>
      <c r="HT271">
        <v>0</v>
      </c>
      <c r="HU271">
        <v>0</v>
      </c>
      <c r="HW271">
        <v>0</v>
      </c>
      <c r="HX271">
        <v>0</v>
      </c>
      <c r="HY271">
        <v>0</v>
      </c>
      <c r="HZ271" t="s">
        <v>1045</v>
      </c>
      <c r="IA271">
        <v>0</v>
      </c>
      <c r="IB271" t="s">
        <v>1045</v>
      </c>
      <c r="ID271" t="s">
        <v>1045</v>
      </c>
      <c r="IF271">
        <v>0</v>
      </c>
      <c r="IG271" t="s">
        <v>1042</v>
      </c>
      <c r="II271" t="s">
        <v>1042</v>
      </c>
      <c r="IR271" t="s">
        <v>1045</v>
      </c>
      <c r="IT271">
        <v>0</v>
      </c>
      <c r="IY271" t="s">
        <v>1044</v>
      </c>
      <c r="IZ271" t="s">
        <v>1043</v>
      </c>
      <c r="JC271" t="s">
        <v>1043</v>
      </c>
      <c r="JE271">
        <v>0</v>
      </c>
      <c r="JF271">
        <v>0</v>
      </c>
      <c r="JI271" t="s">
        <v>1042</v>
      </c>
      <c r="JJ271">
        <v>0</v>
      </c>
      <c r="JK271">
        <v>0</v>
      </c>
      <c r="JL271">
        <v>0</v>
      </c>
      <c r="JM271">
        <v>0</v>
      </c>
      <c r="JQ271" t="s">
        <v>1043</v>
      </c>
      <c r="JT271">
        <v>0</v>
      </c>
      <c r="JU271" t="s">
        <v>1042</v>
      </c>
      <c r="JW271">
        <v>0</v>
      </c>
      <c r="KA271">
        <v>0</v>
      </c>
      <c r="KF271">
        <v>0</v>
      </c>
      <c r="KG271">
        <v>0</v>
      </c>
      <c r="KH271">
        <v>0</v>
      </c>
      <c r="KI271">
        <v>0</v>
      </c>
      <c r="KS271" t="s">
        <v>1073</v>
      </c>
      <c r="KT271">
        <v>0</v>
      </c>
      <c r="KU271">
        <v>0</v>
      </c>
      <c r="KV271">
        <v>0</v>
      </c>
      <c r="KX271">
        <v>0</v>
      </c>
      <c r="KZ271">
        <v>0</v>
      </c>
      <c r="LF271">
        <v>0</v>
      </c>
      <c r="LH271">
        <v>0</v>
      </c>
      <c r="LI271">
        <v>0</v>
      </c>
    </row>
    <row r="272" spans="1:321" x14ac:dyDescent="0.35">
      <c r="A272">
        <v>1</v>
      </c>
      <c r="B272">
        <v>12495</v>
      </c>
      <c r="C272" t="s">
        <v>1423</v>
      </c>
      <c r="D272" t="s">
        <v>1139</v>
      </c>
      <c r="E272" t="s">
        <v>1085</v>
      </c>
      <c r="F272">
        <v>80</v>
      </c>
      <c r="G272">
        <v>9000</v>
      </c>
      <c r="H272">
        <v>0</v>
      </c>
      <c r="I272" t="s">
        <v>1050</v>
      </c>
      <c r="L272">
        <v>0</v>
      </c>
      <c r="M272">
        <v>0</v>
      </c>
      <c r="N272">
        <v>0</v>
      </c>
      <c r="R272">
        <v>0</v>
      </c>
      <c r="S272">
        <v>0</v>
      </c>
      <c r="W272" t="s">
        <v>1060</v>
      </c>
      <c r="X272">
        <v>0</v>
      </c>
      <c r="Z272">
        <v>1</v>
      </c>
      <c r="AA272">
        <v>0</v>
      </c>
      <c r="AB272">
        <v>0</v>
      </c>
      <c r="AC272">
        <v>0</v>
      </c>
      <c r="AD272" s="20">
        <v>40793</v>
      </c>
      <c r="AE272">
        <v>2.68</v>
      </c>
      <c r="AF272">
        <v>0</v>
      </c>
      <c r="AH272">
        <v>0</v>
      </c>
      <c r="AJ272">
        <v>0</v>
      </c>
      <c r="AL272">
        <v>0</v>
      </c>
      <c r="AM272">
        <v>0</v>
      </c>
      <c r="AN272">
        <v>16601003</v>
      </c>
      <c r="AO272">
        <v>0</v>
      </c>
      <c r="AP272">
        <v>1000</v>
      </c>
      <c r="AT272">
        <v>0</v>
      </c>
      <c r="AU272" t="s">
        <v>1059</v>
      </c>
      <c r="AW272" t="s">
        <v>1053</v>
      </c>
      <c r="AX272">
        <v>0</v>
      </c>
      <c r="AY272" s="20">
        <v>40793</v>
      </c>
      <c r="BA272" s="20">
        <v>40793</v>
      </c>
      <c r="BB272" t="s">
        <v>1058</v>
      </c>
      <c r="BD272">
        <v>0</v>
      </c>
      <c r="BF272" t="s">
        <v>1043</v>
      </c>
      <c r="BG272" t="s">
        <v>1042</v>
      </c>
      <c r="BH272">
        <v>0</v>
      </c>
      <c r="BI272">
        <v>1</v>
      </c>
      <c r="BJ272">
        <v>0</v>
      </c>
      <c r="BK272">
        <v>0</v>
      </c>
      <c r="BM272" t="s">
        <v>1042</v>
      </c>
      <c r="BN272">
        <v>0</v>
      </c>
      <c r="BR272" t="s">
        <v>1043</v>
      </c>
      <c r="BS272" t="s">
        <v>1043</v>
      </c>
      <c r="BT272" t="s">
        <v>1043</v>
      </c>
      <c r="BW272">
        <v>83</v>
      </c>
      <c r="CA272">
        <v>0</v>
      </c>
      <c r="CB272" t="s">
        <v>1057</v>
      </c>
      <c r="CE272" t="s">
        <v>1043</v>
      </c>
      <c r="CH272" t="s">
        <v>1043</v>
      </c>
      <c r="CN272" t="s">
        <v>1056</v>
      </c>
      <c r="CO272" t="s">
        <v>1043</v>
      </c>
      <c r="CP272">
        <v>1</v>
      </c>
      <c r="CQ272">
        <v>0</v>
      </c>
      <c r="CS272">
        <v>0</v>
      </c>
      <c r="CT272">
        <v>0</v>
      </c>
      <c r="CU272">
        <v>0</v>
      </c>
      <c r="CV272" t="s">
        <v>1045</v>
      </c>
      <c r="CW272">
        <v>0</v>
      </c>
      <c r="CX272">
        <v>0</v>
      </c>
      <c r="CY272">
        <v>0</v>
      </c>
      <c r="CZ272">
        <v>0</v>
      </c>
      <c r="DB272">
        <v>0</v>
      </c>
      <c r="DC272" t="s">
        <v>1043</v>
      </c>
      <c r="DF272" t="s">
        <v>1055</v>
      </c>
      <c r="DH272">
        <v>0</v>
      </c>
      <c r="DJ272">
        <v>0</v>
      </c>
      <c r="DK272" t="s">
        <v>1053</v>
      </c>
      <c r="DL272">
        <v>0</v>
      </c>
      <c r="DN272">
        <v>0</v>
      </c>
      <c r="DO272" t="s">
        <v>1042</v>
      </c>
      <c r="DP272">
        <v>0</v>
      </c>
      <c r="DQ272">
        <v>0</v>
      </c>
      <c r="DS272">
        <v>0</v>
      </c>
      <c r="DU272">
        <v>0</v>
      </c>
      <c r="DW272">
        <v>0</v>
      </c>
      <c r="DX272" t="s">
        <v>1043</v>
      </c>
      <c r="DY272">
        <v>0</v>
      </c>
      <c r="DZ272">
        <v>0</v>
      </c>
      <c r="EA272">
        <v>0</v>
      </c>
      <c r="ED272" t="s">
        <v>1045</v>
      </c>
      <c r="EE272">
        <v>0</v>
      </c>
      <c r="EF272">
        <v>0</v>
      </c>
      <c r="EQ272" t="s">
        <v>1044</v>
      </c>
      <c r="ES272" t="s">
        <v>1053</v>
      </c>
      <c r="ET272">
        <v>0</v>
      </c>
      <c r="EV272">
        <v>0</v>
      </c>
      <c r="EY272" t="s">
        <v>1052</v>
      </c>
      <c r="EZ272">
        <v>0</v>
      </c>
      <c r="FA272" t="s">
        <v>1043</v>
      </c>
      <c r="FB272">
        <v>0</v>
      </c>
      <c r="FC272">
        <v>0</v>
      </c>
      <c r="FE272" t="s">
        <v>1050</v>
      </c>
      <c r="FF272">
        <v>0</v>
      </c>
      <c r="FG272" t="s">
        <v>1050</v>
      </c>
      <c r="FJ272">
        <v>0</v>
      </c>
      <c r="FK272">
        <v>0</v>
      </c>
      <c r="FP272">
        <v>0</v>
      </c>
      <c r="FR272">
        <v>0</v>
      </c>
      <c r="FS272" t="s">
        <v>1043</v>
      </c>
      <c r="FX272" t="s">
        <v>1042</v>
      </c>
      <c r="FZ272" t="s">
        <v>1048</v>
      </c>
      <c r="GA272">
        <v>0</v>
      </c>
      <c r="GB272" t="s">
        <v>1042</v>
      </c>
      <c r="GE272">
        <v>0</v>
      </c>
      <c r="GG272">
        <v>0</v>
      </c>
      <c r="GN272">
        <v>0</v>
      </c>
      <c r="GO272" t="s">
        <v>1063</v>
      </c>
      <c r="GQ272">
        <v>0</v>
      </c>
      <c r="GU272">
        <v>0</v>
      </c>
      <c r="GY272" t="s">
        <v>1045</v>
      </c>
      <c r="HB272">
        <v>0</v>
      </c>
      <c r="HE272">
        <v>0</v>
      </c>
      <c r="HF272">
        <v>0</v>
      </c>
      <c r="HG272">
        <v>0</v>
      </c>
      <c r="HK272" t="s">
        <v>1042</v>
      </c>
      <c r="HM272" t="s">
        <v>1047</v>
      </c>
      <c r="HN272">
        <v>0</v>
      </c>
      <c r="HP272">
        <v>0</v>
      </c>
      <c r="HQ272">
        <v>0</v>
      </c>
      <c r="HR272" t="s">
        <v>1042</v>
      </c>
      <c r="HS272" t="s">
        <v>1043</v>
      </c>
      <c r="HT272">
        <v>0</v>
      </c>
      <c r="HU272">
        <v>0</v>
      </c>
      <c r="HW272">
        <v>0</v>
      </c>
      <c r="HX272">
        <v>0</v>
      </c>
      <c r="HY272">
        <v>0</v>
      </c>
      <c r="HZ272" t="s">
        <v>1045</v>
      </c>
      <c r="IA272">
        <v>0</v>
      </c>
      <c r="IB272" t="s">
        <v>1045</v>
      </c>
      <c r="ID272" t="s">
        <v>1045</v>
      </c>
      <c r="IF272">
        <v>0</v>
      </c>
      <c r="IG272" t="s">
        <v>1042</v>
      </c>
      <c r="II272" t="s">
        <v>1042</v>
      </c>
      <c r="IR272" t="s">
        <v>1045</v>
      </c>
      <c r="IT272">
        <v>0</v>
      </c>
      <c r="IY272" t="s">
        <v>1044</v>
      </c>
      <c r="IZ272" t="s">
        <v>1043</v>
      </c>
      <c r="JC272" t="s">
        <v>1043</v>
      </c>
      <c r="JE272">
        <v>0</v>
      </c>
      <c r="JF272">
        <v>0</v>
      </c>
      <c r="JI272" t="s">
        <v>1042</v>
      </c>
      <c r="JJ272">
        <v>0</v>
      </c>
      <c r="JK272">
        <v>0</v>
      </c>
      <c r="JL272">
        <v>0</v>
      </c>
      <c r="JM272">
        <v>0</v>
      </c>
      <c r="JQ272" t="s">
        <v>1043</v>
      </c>
      <c r="JT272">
        <v>0</v>
      </c>
      <c r="JU272" t="s">
        <v>1042</v>
      </c>
      <c r="JW272">
        <v>0</v>
      </c>
      <c r="KA272">
        <v>0</v>
      </c>
      <c r="KF272">
        <v>0</v>
      </c>
      <c r="KG272">
        <v>0</v>
      </c>
      <c r="KH272">
        <v>0</v>
      </c>
      <c r="KI272">
        <v>0</v>
      </c>
      <c r="KS272" t="s">
        <v>1073</v>
      </c>
      <c r="KT272">
        <v>0</v>
      </c>
      <c r="KU272">
        <v>0</v>
      </c>
      <c r="KV272">
        <v>0</v>
      </c>
      <c r="KX272">
        <v>0</v>
      </c>
      <c r="KZ272">
        <v>0</v>
      </c>
      <c r="LF272">
        <v>0</v>
      </c>
      <c r="LH272">
        <v>0</v>
      </c>
      <c r="LI272">
        <v>0</v>
      </c>
    </row>
    <row r="273" spans="1:321" x14ac:dyDescent="0.35">
      <c r="A273">
        <v>1</v>
      </c>
      <c r="B273">
        <v>12496</v>
      </c>
      <c r="C273" t="s">
        <v>1422</v>
      </c>
      <c r="D273" t="s">
        <v>1139</v>
      </c>
      <c r="E273" t="s">
        <v>1085</v>
      </c>
      <c r="F273">
        <v>80</v>
      </c>
      <c r="G273">
        <v>9000</v>
      </c>
      <c r="H273">
        <v>0</v>
      </c>
      <c r="I273" t="s">
        <v>1050</v>
      </c>
      <c r="L273">
        <v>0</v>
      </c>
      <c r="M273">
        <v>0</v>
      </c>
      <c r="N273">
        <v>0</v>
      </c>
      <c r="R273">
        <v>0</v>
      </c>
      <c r="S273">
        <v>0</v>
      </c>
      <c r="W273" t="s">
        <v>1060</v>
      </c>
      <c r="X273">
        <v>0</v>
      </c>
      <c r="Z273">
        <v>1</v>
      </c>
      <c r="AA273">
        <v>0</v>
      </c>
      <c r="AB273">
        <v>0</v>
      </c>
      <c r="AC273">
        <v>0</v>
      </c>
      <c r="AD273" s="20">
        <v>40793</v>
      </c>
      <c r="AE273">
        <v>2.68</v>
      </c>
      <c r="AF273">
        <v>0</v>
      </c>
      <c r="AH273">
        <v>0</v>
      </c>
      <c r="AJ273">
        <v>0</v>
      </c>
      <c r="AL273">
        <v>0</v>
      </c>
      <c r="AM273">
        <v>0</v>
      </c>
      <c r="AN273">
        <v>16601003</v>
      </c>
      <c r="AO273">
        <v>0</v>
      </c>
      <c r="AP273">
        <v>1000</v>
      </c>
      <c r="AT273">
        <v>0</v>
      </c>
      <c r="AU273" t="s">
        <v>1059</v>
      </c>
      <c r="AW273" t="s">
        <v>1053</v>
      </c>
      <c r="AX273">
        <v>0</v>
      </c>
      <c r="AY273" s="20">
        <v>40793</v>
      </c>
      <c r="BA273" s="20">
        <v>40793</v>
      </c>
      <c r="BB273" t="s">
        <v>1058</v>
      </c>
      <c r="BD273">
        <v>0</v>
      </c>
      <c r="BF273" t="s">
        <v>1043</v>
      </c>
      <c r="BG273" t="s">
        <v>1042</v>
      </c>
      <c r="BH273">
        <v>0</v>
      </c>
      <c r="BI273">
        <v>1</v>
      </c>
      <c r="BJ273">
        <v>0</v>
      </c>
      <c r="BK273">
        <v>0</v>
      </c>
      <c r="BM273" t="s">
        <v>1042</v>
      </c>
      <c r="BN273">
        <v>0</v>
      </c>
      <c r="BR273" t="s">
        <v>1043</v>
      </c>
      <c r="BS273" t="s">
        <v>1043</v>
      </c>
      <c r="BT273" t="s">
        <v>1043</v>
      </c>
      <c r="BW273">
        <v>83</v>
      </c>
      <c r="CA273">
        <v>0</v>
      </c>
      <c r="CB273" t="s">
        <v>1057</v>
      </c>
      <c r="CE273" t="s">
        <v>1043</v>
      </c>
      <c r="CH273" t="s">
        <v>1043</v>
      </c>
      <c r="CN273" t="s">
        <v>1056</v>
      </c>
      <c r="CO273" t="s">
        <v>1043</v>
      </c>
      <c r="CP273">
        <v>1</v>
      </c>
      <c r="CQ273">
        <v>0</v>
      </c>
      <c r="CS273">
        <v>0</v>
      </c>
      <c r="CT273">
        <v>0</v>
      </c>
      <c r="CU273">
        <v>0</v>
      </c>
      <c r="CV273" t="s">
        <v>1045</v>
      </c>
      <c r="CW273">
        <v>0</v>
      </c>
      <c r="CX273">
        <v>0</v>
      </c>
      <c r="CY273">
        <v>0</v>
      </c>
      <c r="CZ273">
        <v>0</v>
      </c>
      <c r="DB273">
        <v>0</v>
      </c>
      <c r="DC273" t="s">
        <v>1043</v>
      </c>
      <c r="DF273" t="s">
        <v>1055</v>
      </c>
      <c r="DH273">
        <v>0</v>
      </c>
      <c r="DJ273">
        <v>0</v>
      </c>
      <c r="DK273" t="s">
        <v>1053</v>
      </c>
      <c r="DL273">
        <v>0</v>
      </c>
      <c r="DN273">
        <v>0</v>
      </c>
      <c r="DO273" t="s">
        <v>1042</v>
      </c>
      <c r="DP273">
        <v>0</v>
      </c>
      <c r="DQ273">
        <v>0</v>
      </c>
      <c r="DS273">
        <v>0</v>
      </c>
      <c r="DU273">
        <v>0</v>
      </c>
      <c r="DW273">
        <v>0</v>
      </c>
      <c r="DX273" t="s">
        <v>1043</v>
      </c>
      <c r="DY273">
        <v>0</v>
      </c>
      <c r="DZ273">
        <v>0</v>
      </c>
      <c r="EA273">
        <v>0</v>
      </c>
      <c r="ED273" t="s">
        <v>1045</v>
      </c>
      <c r="EE273">
        <v>0</v>
      </c>
      <c r="EF273">
        <v>0</v>
      </c>
      <c r="EQ273" t="s">
        <v>1044</v>
      </c>
      <c r="ES273" t="s">
        <v>1053</v>
      </c>
      <c r="ET273">
        <v>0</v>
      </c>
      <c r="EV273">
        <v>0</v>
      </c>
      <c r="EY273" t="s">
        <v>1052</v>
      </c>
      <c r="EZ273">
        <v>0</v>
      </c>
      <c r="FA273" t="s">
        <v>1043</v>
      </c>
      <c r="FB273">
        <v>0</v>
      </c>
      <c r="FC273">
        <v>0</v>
      </c>
      <c r="FE273" t="s">
        <v>1050</v>
      </c>
      <c r="FF273">
        <v>0</v>
      </c>
      <c r="FG273" t="s">
        <v>1050</v>
      </c>
      <c r="FJ273">
        <v>0</v>
      </c>
      <c r="FK273">
        <v>0</v>
      </c>
      <c r="FP273">
        <v>0</v>
      </c>
      <c r="FR273">
        <v>0</v>
      </c>
      <c r="FS273" t="s">
        <v>1043</v>
      </c>
      <c r="FX273" t="s">
        <v>1042</v>
      </c>
      <c r="FZ273" t="s">
        <v>1048</v>
      </c>
      <c r="GA273">
        <v>0</v>
      </c>
      <c r="GB273" t="s">
        <v>1042</v>
      </c>
      <c r="GE273">
        <v>0</v>
      </c>
      <c r="GG273">
        <v>0</v>
      </c>
      <c r="GN273">
        <v>0</v>
      </c>
      <c r="GO273" t="s">
        <v>1063</v>
      </c>
      <c r="GQ273">
        <v>0</v>
      </c>
      <c r="GU273">
        <v>0</v>
      </c>
      <c r="GY273" t="s">
        <v>1045</v>
      </c>
      <c r="HB273">
        <v>0</v>
      </c>
      <c r="HE273">
        <v>0</v>
      </c>
      <c r="HF273">
        <v>0</v>
      </c>
      <c r="HG273">
        <v>0</v>
      </c>
      <c r="HK273" t="s">
        <v>1042</v>
      </c>
      <c r="HM273" t="s">
        <v>1047</v>
      </c>
      <c r="HN273">
        <v>0</v>
      </c>
      <c r="HP273">
        <v>0</v>
      </c>
      <c r="HQ273">
        <v>0</v>
      </c>
      <c r="HR273" t="s">
        <v>1042</v>
      </c>
      <c r="HS273" t="s">
        <v>1043</v>
      </c>
      <c r="HT273">
        <v>0</v>
      </c>
      <c r="HU273">
        <v>0</v>
      </c>
      <c r="HW273">
        <v>0</v>
      </c>
      <c r="HX273">
        <v>0</v>
      </c>
      <c r="HY273">
        <v>0</v>
      </c>
      <c r="HZ273" t="s">
        <v>1045</v>
      </c>
      <c r="IA273">
        <v>0</v>
      </c>
      <c r="IB273" t="s">
        <v>1045</v>
      </c>
      <c r="ID273" t="s">
        <v>1045</v>
      </c>
      <c r="IF273">
        <v>0</v>
      </c>
      <c r="IG273" t="s">
        <v>1042</v>
      </c>
      <c r="II273" t="s">
        <v>1042</v>
      </c>
      <c r="IR273" t="s">
        <v>1045</v>
      </c>
      <c r="IT273">
        <v>0</v>
      </c>
      <c r="IY273" t="s">
        <v>1044</v>
      </c>
      <c r="IZ273" t="s">
        <v>1043</v>
      </c>
      <c r="JC273" t="s">
        <v>1043</v>
      </c>
      <c r="JE273">
        <v>0</v>
      </c>
      <c r="JF273">
        <v>0</v>
      </c>
      <c r="JI273" t="s">
        <v>1042</v>
      </c>
      <c r="JJ273">
        <v>0</v>
      </c>
      <c r="JK273">
        <v>0</v>
      </c>
      <c r="JL273">
        <v>0</v>
      </c>
      <c r="JM273">
        <v>0</v>
      </c>
      <c r="JQ273" t="s">
        <v>1043</v>
      </c>
      <c r="JT273">
        <v>0</v>
      </c>
      <c r="JU273" t="s">
        <v>1042</v>
      </c>
      <c r="JW273">
        <v>0</v>
      </c>
      <c r="KA273">
        <v>0</v>
      </c>
      <c r="KF273">
        <v>0</v>
      </c>
      <c r="KG273">
        <v>0</v>
      </c>
      <c r="KH273">
        <v>0</v>
      </c>
      <c r="KI273">
        <v>0</v>
      </c>
      <c r="KS273" t="s">
        <v>1073</v>
      </c>
      <c r="KT273">
        <v>0</v>
      </c>
      <c r="KU273">
        <v>0</v>
      </c>
      <c r="KV273">
        <v>0</v>
      </c>
      <c r="KX273">
        <v>0</v>
      </c>
      <c r="KZ273">
        <v>0</v>
      </c>
      <c r="LF273">
        <v>0</v>
      </c>
      <c r="LH273">
        <v>0</v>
      </c>
      <c r="LI273">
        <v>0</v>
      </c>
    </row>
    <row r="274" spans="1:321" x14ac:dyDescent="0.35">
      <c r="A274">
        <v>1</v>
      </c>
      <c r="B274">
        <v>12497</v>
      </c>
      <c r="C274" t="s">
        <v>1421</v>
      </c>
      <c r="D274" t="s">
        <v>1139</v>
      </c>
      <c r="E274" t="s">
        <v>1085</v>
      </c>
      <c r="F274">
        <v>80</v>
      </c>
      <c r="G274">
        <v>9000</v>
      </c>
      <c r="H274">
        <v>0</v>
      </c>
      <c r="I274" t="s">
        <v>1050</v>
      </c>
      <c r="L274">
        <v>0</v>
      </c>
      <c r="M274">
        <v>0</v>
      </c>
      <c r="N274">
        <v>0</v>
      </c>
      <c r="R274">
        <v>0</v>
      </c>
      <c r="S274">
        <v>0</v>
      </c>
      <c r="W274" t="s">
        <v>1060</v>
      </c>
      <c r="X274">
        <v>0</v>
      </c>
      <c r="Z274">
        <v>1</v>
      </c>
      <c r="AA274">
        <v>0</v>
      </c>
      <c r="AB274">
        <v>0</v>
      </c>
      <c r="AC274">
        <v>0</v>
      </c>
      <c r="AD274" s="20">
        <v>40793</v>
      </c>
      <c r="AE274">
        <v>2.68</v>
      </c>
      <c r="AF274">
        <v>0</v>
      </c>
      <c r="AH274">
        <v>0</v>
      </c>
      <c r="AJ274">
        <v>0</v>
      </c>
      <c r="AL274">
        <v>0</v>
      </c>
      <c r="AM274">
        <v>0</v>
      </c>
      <c r="AN274">
        <v>16601003</v>
      </c>
      <c r="AO274">
        <v>0</v>
      </c>
      <c r="AP274">
        <v>1000</v>
      </c>
      <c r="AT274">
        <v>0</v>
      </c>
      <c r="AU274" t="s">
        <v>1059</v>
      </c>
      <c r="AW274" t="s">
        <v>1053</v>
      </c>
      <c r="AX274">
        <v>0</v>
      </c>
      <c r="AY274" s="20">
        <v>40793</v>
      </c>
      <c r="BA274" s="20">
        <v>40793</v>
      </c>
      <c r="BB274" t="s">
        <v>1058</v>
      </c>
      <c r="BD274">
        <v>0</v>
      </c>
      <c r="BF274" t="s">
        <v>1043</v>
      </c>
      <c r="BG274" t="s">
        <v>1042</v>
      </c>
      <c r="BH274">
        <v>0</v>
      </c>
      <c r="BI274">
        <v>1</v>
      </c>
      <c r="BJ274">
        <v>0</v>
      </c>
      <c r="BK274">
        <v>0</v>
      </c>
      <c r="BM274" t="s">
        <v>1042</v>
      </c>
      <c r="BN274">
        <v>0</v>
      </c>
      <c r="BR274" t="s">
        <v>1043</v>
      </c>
      <c r="BS274" t="s">
        <v>1043</v>
      </c>
      <c r="BT274" t="s">
        <v>1043</v>
      </c>
      <c r="BW274">
        <v>83</v>
      </c>
      <c r="CA274">
        <v>0</v>
      </c>
      <c r="CB274" t="s">
        <v>1057</v>
      </c>
      <c r="CE274" t="s">
        <v>1043</v>
      </c>
      <c r="CH274" t="s">
        <v>1043</v>
      </c>
      <c r="CN274" t="s">
        <v>1056</v>
      </c>
      <c r="CO274" t="s">
        <v>1043</v>
      </c>
      <c r="CP274">
        <v>1</v>
      </c>
      <c r="CQ274">
        <v>0</v>
      </c>
      <c r="CS274">
        <v>0</v>
      </c>
      <c r="CT274">
        <v>0</v>
      </c>
      <c r="CU274">
        <v>0</v>
      </c>
      <c r="CV274" t="s">
        <v>1045</v>
      </c>
      <c r="CW274">
        <v>0</v>
      </c>
      <c r="CX274">
        <v>0</v>
      </c>
      <c r="CY274">
        <v>0</v>
      </c>
      <c r="CZ274">
        <v>0</v>
      </c>
      <c r="DB274">
        <v>0</v>
      </c>
      <c r="DC274" t="s">
        <v>1043</v>
      </c>
      <c r="DF274" t="s">
        <v>1055</v>
      </c>
      <c r="DH274">
        <v>0</v>
      </c>
      <c r="DJ274">
        <v>0</v>
      </c>
      <c r="DK274" t="s">
        <v>1053</v>
      </c>
      <c r="DL274">
        <v>0</v>
      </c>
      <c r="DN274">
        <v>0</v>
      </c>
      <c r="DO274" t="s">
        <v>1042</v>
      </c>
      <c r="DP274">
        <v>0</v>
      </c>
      <c r="DQ274">
        <v>0</v>
      </c>
      <c r="DS274">
        <v>0</v>
      </c>
      <c r="DU274">
        <v>0</v>
      </c>
      <c r="DW274">
        <v>0</v>
      </c>
      <c r="DX274" t="s">
        <v>1043</v>
      </c>
      <c r="DY274">
        <v>0</v>
      </c>
      <c r="DZ274">
        <v>0</v>
      </c>
      <c r="EA274">
        <v>0</v>
      </c>
      <c r="ED274" t="s">
        <v>1045</v>
      </c>
      <c r="EE274">
        <v>0</v>
      </c>
      <c r="EF274">
        <v>0</v>
      </c>
      <c r="EQ274" t="s">
        <v>1044</v>
      </c>
      <c r="ES274" t="s">
        <v>1053</v>
      </c>
      <c r="ET274">
        <v>0</v>
      </c>
      <c r="EV274">
        <v>0</v>
      </c>
      <c r="EY274" t="s">
        <v>1052</v>
      </c>
      <c r="EZ274">
        <v>0</v>
      </c>
      <c r="FA274" t="s">
        <v>1043</v>
      </c>
      <c r="FB274">
        <v>0</v>
      </c>
      <c r="FC274">
        <v>0</v>
      </c>
      <c r="FE274" t="s">
        <v>1050</v>
      </c>
      <c r="FF274">
        <v>0</v>
      </c>
      <c r="FG274" t="s">
        <v>1050</v>
      </c>
      <c r="FJ274">
        <v>0</v>
      </c>
      <c r="FK274">
        <v>0</v>
      </c>
      <c r="FP274">
        <v>0</v>
      </c>
      <c r="FR274">
        <v>0</v>
      </c>
      <c r="FS274" t="s">
        <v>1043</v>
      </c>
      <c r="FX274" t="s">
        <v>1042</v>
      </c>
      <c r="FZ274" t="s">
        <v>1048</v>
      </c>
      <c r="GA274">
        <v>0</v>
      </c>
      <c r="GB274" t="s">
        <v>1042</v>
      </c>
      <c r="GE274">
        <v>0</v>
      </c>
      <c r="GG274">
        <v>0</v>
      </c>
      <c r="GN274">
        <v>0</v>
      </c>
      <c r="GO274" t="s">
        <v>1063</v>
      </c>
      <c r="GQ274">
        <v>0</v>
      </c>
      <c r="GU274">
        <v>0</v>
      </c>
      <c r="GY274" t="s">
        <v>1045</v>
      </c>
      <c r="HB274">
        <v>0</v>
      </c>
      <c r="HE274">
        <v>0</v>
      </c>
      <c r="HF274">
        <v>0</v>
      </c>
      <c r="HG274">
        <v>0</v>
      </c>
      <c r="HK274" t="s">
        <v>1042</v>
      </c>
      <c r="HM274" t="s">
        <v>1047</v>
      </c>
      <c r="HN274">
        <v>0</v>
      </c>
      <c r="HP274">
        <v>0</v>
      </c>
      <c r="HQ274">
        <v>0</v>
      </c>
      <c r="HR274" t="s">
        <v>1042</v>
      </c>
      <c r="HS274" t="s">
        <v>1043</v>
      </c>
      <c r="HT274">
        <v>0</v>
      </c>
      <c r="HU274">
        <v>0</v>
      </c>
      <c r="HW274">
        <v>0</v>
      </c>
      <c r="HX274">
        <v>0</v>
      </c>
      <c r="HY274">
        <v>0</v>
      </c>
      <c r="HZ274" t="s">
        <v>1045</v>
      </c>
      <c r="IA274">
        <v>0</v>
      </c>
      <c r="IB274" t="s">
        <v>1045</v>
      </c>
      <c r="ID274" t="s">
        <v>1045</v>
      </c>
      <c r="IF274">
        <v>0</v>
      </c>
      <c r="IG274" t="s">
        <v>1042</v>
      </c>
      <c r="II274" t="s">
        <v>1042</v>
      </c>
      <c r="IR274" t="s">
        <v>1045</v>
      </c>
      <c r="IT274">
        <v>0</v>
      </c>
      <c r="IY274" t="s">
        <v>1044</v>
      </c>
      <c r="IZ274" t="s">
        <v>1043</v>
      </c>
      <c r="JC274" t="s">
        <v>1043</v>
      </c>
      <c r="JE274">
        <v>0</v>
      </c>
      <c r="JF274">
        <v>0</v>
      </c>
      <c r="JI274" t="s">
        <v>1042</v>
      </c>
      <c r="JJ274">
        <v>0</v>
      </c>
      <c r="JK274">
        <v>0</v>
      </c>
      <c r="JL274">
        <v>0</v>
      </c>
      <c r="JM274">
        <v>0</v>
      </c>
      <c r="JQ274" t="s">
        <v>1043</v>
      </c>
      <c r="JT274">
        <v>0</v>
      </c>
      <c r="JU274" t="s">
        <v>1042</v>
      </c>
      <c r="JW274">
        <v>0</v>
      </c>
      <c r="KA274">
        <v>0</v>
      </c>
      <c r="KF274">
        <v>0</v>
      </c>
      <c r="KG274">
        <v>0</v>
      </c>
      <c r="KH274">
        <v>0</v>
      </c>
      <c r="KI274">
        <v>0</v>
      </c>
      <c r="KS274" t="s">
        <v>1073</v>
      </c>
      <c r="KT274">
        <v>0</v>
      </c>
      <c r="KU274">
        <v>0</v>
      </c>
      <c r="KV274">
        <v>0</v>
      </c>
      <c r="KX274">
        <v>0</v>
      </c>
      <c r="KZ274">
        <v>0</v>
      </c>
      <c r="LF274">
        <v>0</v>
      </c>
      <c r="LH274">
        <v>0</v>
      </c>
      <c r="LI274">
        <v>0</v>
      </c>
    </row>
    <row r="275" spans="1:321" x14ac:dyDescent="0.35">
      <c r="A275">
        <v>1</v>
      </c>
      <c r="B275">
        <v>12498</v>
      </c>
      <c r="C275" t="s">
        <v>1420</v>
      </c>
      <c r="D275" t="s">
        <v>1139</v>
      </c>
      <c r="E275" t="s">
        <v>1085</v>
      </c>
      <c r="F275">
        <v>80</v>
      </c>
      <c r="G275">
        <v>9000</v>
      </c>
      <c r="H275">
        <v>0</v>
      </c>
      <c r="I275" t="s">
        <v>1050</v>
      </c>
      <c r="L275">
        <v>0</v>
      </c>
      <c r="M275">
        <v>0</v>
      </c>
      <c r="N275">
        <v>0</v>
      </c>
      <c r="R275">
        <v>0</v>
      </c>
      <c r="S275">
        <v>0</v>
      </c>
      <c r="W275" t="s">
        <v>1060</v>
      </c>
      <c r="X275">
        <v>0</v>
      </c>
      <c r="Z275">
        <v>1</v>
      </c>
      <c r="AA275">
        <v>0</v>
      </c>
      <c r="AB275">
        <v>0</v>
      </c>
      <c r="AC275">
        <v>0</v>
      </c>
      <c r="AD275" s="20">
        <v>40793</v>
      </c>
      <c r="AE275">
        <v>2.68</v>
      </c>
      <c r="AF275">
        <v>0</v>
      </c>
      <c r="AH275">
        <v>0</v>
      </c>
      <c r="AJ275">
        <v>0</v>
      </c>
      <c r="AL275">
        <v>0</v>
      </c>
      <c r="AM275">
        <v>0</v>
      </c>
      <c r="AN275">
        <v>16601003</v>
      </c>
      <c r="AO275">
        <v>0</v>
      </c>
      <c r="AP275">
        <v>1000</v>
      </c>
      <c r="AT275">
        <v>0</v>
      </c>
      <c r="AU275" t="s">
        <v>1059</v>
      </c>
      <c r="AW275" t="s">
        <v>1053</v>
      </c>
      <c r="AX275">
        <v>0</v>
      </c>
      <c r="AY275" s="20">
        <v>40793</v>
      </c>
      <c r="BA275" s="20">
        <v>40793</v>
      </c>
      <c r="BB275" t="s">
        <v>1058</v>
      </c>
      <c r="BD275">
        <v>0</v>
      </c>
      <c r="BF275" t="s">
        <v>1043</v>
      </c>
      <c r="BG275" t="s">
        <v>1042</v>
      </c>
      <c r="BH275">
        <v>0</v>
      </c>
      <c r="BI275">
        <v>1</v>
      </c>
      <c r="BJ275">
        <v>0</v>
      </c>
      <c r="BK275">
        <v>0</v>
      </c>
      <c r="BM275" t="s">
        <v>1042</v>
      </c>
      <c r="BN275">
        <v>0</v>
      </c>
      <c r="BR275" t="s">
        <v>1043</v>
      </c>
      <c r="BS275" t="s">
        <v>1043</v>
      </c>
      <c r="BT275" t="s">
        <v>1043</v>
      </c>
      <c r="BW275">
        <v>83</v>
      </c>
      <c r="CA275">
        <v>0</v>
      </c>
      <c r="CB275" t="s">
        <v>1057</v>
      </c>
      <c r="CE275" t="s">
        <v>1043</v>
      </c>
      <c r="CH275" t="s">
        <v>1043</v>
      </c>
      <c r="CN275" t="s">
        <v>1056</v>
      </c>
      <c r="CO275" t="s">
        <v>1043</v>
      </c>
      <c r="CP275">
        <v>1</v>
      </c>
      <c r="CQ275">
        <v>0</v>
      </c>
      <c r="CS275">
        <v>0</v>
      </c>
      <c r="CT275">
        <v>0</v>
      </c>
      <c r="CU275">
        <v>0</v>
      </c>
      <c r="CV275" t="s">
        <v>1045</v>
      </c>
      <c r="CW275">
        <v>0</v>
      </c>
      <c r="CX275">
        <v>0</v>
      </c>
      <c r="CY275">
        <v>0</v>
      </c>
      <c r="CZ275">
        <v>0</v>
      </c>
      <c r="DB275">
        <v>0</v>
      </c>
      <c r="DC275" t="s">
        <v>1043</v>
      </c>
      <c r="DF275" t="s">
        <v>1055</v>
      </c>
      <c r="DH275">
        <v>0</v>
      </c>
      <c r="DJ275">
        <v>0</v>
      </c>
      <c r="DK275" t="s">
        <v>1053</v>
      </c>
      <c r="DL275">
        <v>0</v>
      </c>
      <c r="DN275">
        <v>0</v>
      </c>
      <c r="DO275" t="s">
        <v>1042</v>
      </c>
      <c r="DP275">
        <v>0</v>
      </c>
      <c r="DQ275">
        <v>0</v>
      </c>
      <c r="DS275">
        <v>0</v>
      </c>
      <c r="DU275">
        <v>0</v>
      </c>
      <c r="DW275">
        <v>0</v>
      </c>
      <c r="DX275" t="s">
        <v>1043</v>
      </c>
      <c r="DY275">
        <v>0</v>
      </c>
      <c r="DZ275">
        <v>0</v>
      </c>
      <c r="EA275">
        <v>0</v>
      </c>
      <c r="ED275" t="s">
        <v>1045</v>
      </c>
      <c r="EE275">
        <v>0</v>
      </c>
      <c r="EF275">
        <v>0</v>
      </c>
      <c r="EQ275" t="s">
        <v>1044</v>
      </c>
      <c r="ES275" t="s">
        <v>1053</v>
      </c>
      <c r="ET275">
        <v>0</v>
      </c>
      <c r="EV275">
        <v>0</v>
      </c>
      <c r="EY275" t="s">
        <v>1052</v>
      </c>
      <c r="EZ275">
        <v>0</v>
      </c>
      <c r="FA275" t="s">
        <v>1043</v>
      </c>
      <c r="FB275">
        <v>0</v>
      </c>
      <c r="FC275">
        <v>0</v>
      </c>
      <c r="FE275" t="s">
        <v>1050</v>
      </c>
      <c r="FF275">
        <v>0</v>
      </c>
      <c r="FG275" t="s">
        <v>1050</v>
      </c>
      <c r="FJ275">
        <v>0</v>
      </c>
      <c r="FK275">
        <v>0</v>
      </c>
      <c r="FP275">
        <v>0</v>
      </c>
      <c r="FR275">
        <v>0</v>
      </c>
      <c r="FS275" t="s">
        <v>1043</v>
      </c>
      <c r="FX275" t="s">
        <v>1042</v>
      </c>
      <c r="FZ275" t="s">
        <v>1048</v>
      </c>
      <c r="GA275">
        <v>0</v>
      </c>
      <c r="GB275" t="s">
        <v>1042</v>
      </c>
      <c r="GE275">
        <v>0</v>
      </c>
      <c r="GG275">
        <v>0</v>
      </c>
      <c r="GN275">
        <v>0</v>
      </c>
      <c r="GO275" t="s">
        <v>1063</v>
      </c>
      <c r="GQ275">
        <v>0</v>
      </c>
      <c r="GU275">
        <v>0</v>
      </c>
      <c r="GY275" t="s">
        <v>1045</v>
      </c>
      <c r="HB275">
        <v>0</v>
      </c>
      <c r="HE275">
        <v>0</v>
      </c>
      <c r="HF275">
        <v>0</v>
      </c>
      <c r="HG275">
        <v>0</v>
      </c>
      <c r="HK275" t="s">
        <v>1042</v>
      </c>
      <c r="HM275" t="s">
        <v>1047</v>
      </c>
      <c r="HN275">
        <v>0</v>
      </c>
      <c r="HP275">
        <v>0</v>
      </c>
      <c r="HQ275">
        <v>0</v>
      </c>
      <c r="HR275" t="s">
        <v>1042</v>
      </c>
      <c r="HS275" t="s">
        <v>1043</v>
      </c>
      <c r="HT275">
        <v>0</v>
      </c>
      <c r="HU275">
        <v>0</v>
      </c>
      <c r="HW275">
        <v>0</v>
      </c>
      <c r="HX275">
        <v>0</v>
      </c>
      <c r="HY275">
        <v>0</v>
      </c>
      <c r="HZ275" t="s">
        <v>1045</v>
      </c>
      <c r="IA275">
        <v>0</v>
      </c>
      <c r="IB275" t="s">
        <v>1045</v>
      </c>
      <c r="ID275" t="s">
        <v>1045</v>
      </c>
      <c r="IF275">
        <v>0</v>
      </c>
      <c r="IG275" t="s">
        <v>1042</v>
      </c>
      <c r="II275" t="s">
        <v>1042</v>
      </c>
      <c r="IR275" t="s">
        <v>1045</v>
      </c>
      <c r="IT275">
        <v>0</v>
      </c>
      <c r="IY275" t="s">
        <v>1044</v>
      </c>
      <c r="IZ275" t="s">
        <v>1043</v>
      </c>
      <c r="JC275" t="s">
        <v>1043</v>
      </c>
      <c r="JE275">
        <v>0</v>
      </c>
      <c r="JF275">
        <v>0</v>
      </c>
      <c r="JI275" t="s">
        <v>1042</v>
      </c>
      <c r="JJ275">
        <v>0</v>
      </c>
      <c r="JK275">
        <v>0</v>
      </c>
      <c r="JL275">
        <v>0</v>
      </c>
      <c r="JM275">
        <v>0</v>
      </c>
      <c r="JQ275" t="s">
        <v>1043</v>
      </c>
      <c r="JT275">
        <v>0</v>
      </c>
      <c r="JU275" t="s">
        <v>1042</v>
      </c>
      <c r="JW275">
        <v>0</v>
      </c>
      <c r="KA275">
        <v>0</v>
      </c>
      <c r="KF275">
        <v>0</v>
      </c>
      <c r="KG275">
        <v>0</v>
      </c>
      <c r="KH275">
        <v>0</v>
      </c>
      <c r="KI275">
        <v>0</v>
      </c>
      <c r="KS275" t="s">
        <v>1073</v>
      </c>
      <c r="KT275">
        <v>0</v>
      </c>
      <c r="KU275">
        <v>0</v>
      </c>
      <c r="KV275">
        <v>0</v>
      </c>
      <c r="KX275">
        <v>0</v>
      </c>
      <c r="KZ275">
        <v>0</v>
      </c>
      <c r="LF275">
        <v>0</v>
      </c>
      <c r="LH275">
        <v>0</v>
      </c>
      <c r="LI275">
        <v>0</v>
      </c>
    </row>
    <row r="276" spans="1:321" x14ac:dyDescent="0.35">
      <c r="A276">
        <v>1</v>
      </c>
      <c r="B276">
        <v>12499</v>
      </c>
      <c r="C276" t="s">
        <v>1419</v>
      </c>
      <c r="D276" t="s">
        <v>1139</v>
      </c>
      <c r="E276" t="s">
        <v>1085</v>
      </c>
      <c r="F276">
        <v>80</v>
      </c>
      <c r="G276">
        <v>9000</v>
      </c>
      <c r="H276">
        <v>0</v>
      </c>
      <c r="I276" t="s">
        <v>1050</v>
      </c>
      <c r="L276">
        <v>0</v>
      </c>
      <c r="M276">
        <v>0</v>
      </c>
      <c r="N276">
        <v>0</v>
      </c>
      <c r="R276">
        <v>0</v>
      </c>
      <c r="S276">
        <v>0</v>
      </c>
      <c r="W276" t="s">
        <v>1060</v>
      </c>
      <c r="X276">
        <v>0</v>
      </c>
      <c r="Z276">
        <v>1</v>
      </c>
      <c r="AA276">
        <v>0</v>
      </c>
      <c r="AB276">
        <v>0</v>
      </c>
      <c r="AC276">
        <v>0</v>
      </c>
      <c r="AD276" s="20">
        <v>40793</v>
      </c>
      <c r="AE276">
        <v>2.68</v>
      </c>
      <c r="AF276">
        <v>0</v>
      </c>
      <c r="AH276">
        <v>0</v>
      </c>
      <c r="AJ276">
        <v>0</v>
      </c>
      <c r="AL276">
        <v>0</v>
      </c>
      <c r="AM276">
        <v>0</v>
      </c>
      <c r="AN276">
        <v>16601003</v>
      </c>
      <c r="AO276">
        <v>0</v>
      </c>
      <c r="AP276">
        <v>1000</v>
      </c>
      <c r="AT276">
        <v>0</v>
      </c>
      <c r="AU276" t="s">
        <v>1059</v>
      </c>
      <c r="AW276" t="s">
        <v>1053</v>
      </c>
      <c r="AX276">
        <v>0</v>
      </c>
      <c r="AY276" s="20">
        <v>40793</v>
      </c>
      <c r="BA276" s="20">
        <v>40793</v>
      </c>
      <c r="BB276" t="s">
        <v>1058</v>
      </c>
      <c r="BD276">
        <v>0</v>
      </c>
      <c r="BF276" t="s">
        <v>1043</v>
      </c>
      <c r="BG276" t="s">
        <v>1042</v>
      </c>
      <c r="BH276">
        <v>0</v>
      </c>
      <c r="BI276">
        <v>1</v>
      </c>
      <c r="BJ276">
        <v>0</v>
      </c>
      <c r="BK276">
        <v>0</v>
      </c>
      <c r="BM276" t="s">
        <v>1042</v>
      </c>
      <c r="BN276">
        <v>0</v>
      </c>
      <c r="BR276" t="s">
        <v>1043</v>
      </c>
      <c r="BS276" t="s">
        <v>1043</v>
      </c>
      <c r="BT276" t="s">
        <v>1043</v>
      </c>
      <c r="BW276">
        <v>83</v>
      </c>
      <c r="CA276">
        <v>0</v>
      </c>
      <c r="CB276" t="s">
        <v>1057</v>
      </c>
      <c r="CE276" t="s">
        <v>1043</v>
      </c>
      <c r="CH276" t="s">
        <v>1043</v>
      </c>
      <c r="CN276" t="s">
        <v>1056</v>
      </c>
      <c r="CO276" t="s">
        <v>1043</v>
      </c>
      <c r="CP276">
        <v>1</v>
      </c>
      <c r="CQ276">
        <v>0</v>
      </c>
      <c r="CS276">
        <v>0</v>
      </c>
      <c r="CT276">
        <v>0</v>
      </c>
      <c r="CU276">
        <v>0</v>
      </c>
      <c r="CV276" t="s">
        <v>1045</v>
      </c>
      <c r="CW276">
        <v>0</v>
      </c>
      <c r="CX276">
        <v>0</v>
      </c>
      <c r="CY276">
        <v>0</v>
      </c>
      <c r="CZ276">
        <v>0</v>
      </c>
      <c r="DB276">
        <v>0</v>
      </c>
      <c r="DC276" t="s">
        <v>1043</v>
      </c>
      <c r="DF276" t="s">
        <v>1055</v>
      </c>
      <c r="DH276">
        <v>0</v>
      </c>
      <c r="DJ276">
        <v>0</v>
      </c>
      <c r="DK276" t="s">
        <v>1053</v>
      </c>
      <c r="DL276">
        <v>0</v>
      </c>
      <c r="DN276">
        <v>0</v>
      </c>
      <c r="DO276" t="s">
        <v>1042</v>
      </c>
      <c r="DP276">
        <v>0</v>
      </c>
      <c r="DQ276">
        <v>0</v>
      </c>
      <c r="DS276">
        <v>0</v>
      </c>
      <c r="DU276">
        <v>0</v>
      </c>
      <c r="DW276">
        <v>0</v>
      </c>
      <c r="DX276" t="s">
        <v>1043</v>
      </c>
      <c r="DY276">
        <v>0</v>
      </c>
      <c r="DZ276">
        <v>0</v>
      </c>
      <c r="EA276">
        <v>0</v>
      </c>
      <c r="ED276" t="s">
        <v>1045</v>
      </c>
      <c r="EE276">
        <v>0</v>
      </c>
      <c r="EF276">
        <v>0</v>
      </c>
      <c r="EQ276" t="s">
        <v>1044</v>
      </c>
      <c r="ES276" t="s">
        <v>1053</v>
      </c>
      <c r="ET276">
        <v>0</v>
      </c>
      <c r="EV276">
        <v>0</v>
      </c>
      <c r="EY276" t="s">
        <v>1052</v>
      </c>
      <c r="EZ276">
        <v>0</v>
      </c>
      <c r="FA276" t="s">
        <v>1043</v>
      </c>
      <c r="FB276">
        <v>0</v>
      </c>
      <c r="FC276">
        <v>0</v>
      </c>
      <c r="FE276" t="s">
        <v>1050</v>
      </c>
      <c r="FF276">
        <v>0</v>
      </c>
      <c r="FG276" t="s">
        <v>1050</v>
      </c>
      <c r="FJ276">
        <v>0</v>
      </c>
      <c r="FK276">
        <v>0</v>
      </c>
      <c r="FP276">
        <v>0</v>
      </c>
      <c r="FR276">
        <v>0</v>
      </c>
      <c r="FS276" t="s">
        <v>1043</v>
      </c>
      <c r="FX276" t="s">
        <v>1042</v>
      </c>
      <c r="FZ276" t="s">
        <v>1048</v>
      </c>
      <c r="GA276">
        <v>0</v>
      </c>
      <c r="GB276" t="s">
        <v>1042</v>
      </c>
      <c r="GE276">
        <v>0</v>
      </c>
      <c r="GG276">
        <v>0</v>
      </c>
      <c r="GN276">
        <v>0</v>
      </c>
      <c r="GO276" t="s">
        <v>1063</v>
      </c>
      <c r="GQ276">
        <v>0</v>
      </c>
      <c r="GU276">
        <v>0</v>
      </c>
      <c r="GY276" t="s">
        <v>1045</v>
      </c>
      <c r="HB276">
        <v>0</v>
      </c>
      <c r="HE276">
        <v>0</v>
      </c>
      <c r="HF276">
        <v>0</v>
      </c>
      <c r="HG276">
        <v>0</v>
      </c>
      <c r="HK276" t="s">
        <v>1042</v>
      </c>
      <c r="HM276" t="s">
        <v>1047</v>
      </c>
      <c r="HN276">
        <v>0</v>
      </c>
      <c r="HP276">
        <v>0</v>
      </c>
      <c r="HQ276">
        <v>0</v>
      </c>
      <c r="HR276" t="s">
        <v>1042</v>
      </c>
      <c r="HS276" t="s">
        <v>1043</v>
      </c>
      <c r="HT276">
        <v>0</v>
      </c>
      <c r="HU276">
        <v>0</v>
      </c>
      <c r="HW276">
        <v>0</v>
      </c>
      <c r="HX276">
        <v>0</v>
      </c>
      <c r="HY276">
        <v>0</v>
      </c>
      <c r="HZ276" t="s">
        <v>1045</v>
      </c>
      <c r="IA276">
        <v>0</v>
      </c>
      <c r="IB276" t="s">
        <v>1045</v>
      </c>
      <c r="ID276" t="s">
        <v>1045</v>
      </c>
      <c r="IF276">
        <v>0</v>
      </c>
      <c r="IG276" t="s">
        <v>1042</v>
      </c>
      <c r="II276" t="s">
        <v>1042</v>
      </c>
      <c r="IR276" t="s">
        <v>1045</v>
      </c>
      <c r="IT276">
        <v>0</v>
      </c>
      <c r="IY276" t="s">
        <v>1044</v>
      </c>
      <c r="IZ276" t="s">
        <v>1043</v>
      </c>
      <c r="JC276" t="s">
        <v>1043</v>
      </c>
      <c r="JE276">
        <v>0</v>
      </c>
      <c r="JF276">
        <v>0</v>
      </c>
      <c r="JI276" t="s">
        <v>1042</v>
      </c>
      <c r="JJ276">
        <v>0</v>
      </c>
      <c r="JK276">
        <v>0</v>
      </c>
      <c r="JL276">
        <v>0</v>
      </c>
      <c r="JM276">
        <v>0</v>
      </c>
      <c r="JQ276" t="s">
        <v>1043</v>
      </c>
      <c r="JT276">
        <v>0</v>
      </c>
      <c r="JU276" t="s">
        <v>1042</v>
      </c>
      <c r="JW276">
        <v>0</v>
      </c>
      <c r="KA276">
        <v>0</v>
      </c>
      <c r="KF276">
        <v>0</v>
      </c>
      <c r="KG276">
        <v>0</v>
      </c>
      <c r="KH276">
        <v>0</v>
      </c>
      <c r="KI276">
        <v>0</v>
      </c>
      <c r="KS276" t="s">
        <v>1073</v>
      </c>
      <c r="KT276">
        <v>0</v>
      </c>
      <c r="KU276">
        <v>0</v>
      </c>
      <c r="KV276">
        <v>0</v>
      </c>
      <c r="KX276">
        <v>0</v>
      </c>
      <c r="KZ276">
        <v>0</v>
      </c>
      <c r="LF276">
        <v>0</v>
      </c>
      <c r="LH276">
        <v>0</v>
      </c>
      <c r="LI276">
        <v>0</v>
      </c>
    </row>
    <row r="277" spans="1:321" x14ac:dyDescent="0.35">
      <c r="A277">
        <v>1</v>
      </c>
      <c r="B277">
        <v>1250</v>
      </c>
      <c r="C277" t="s">
        <v>640</v>
      </c>
      <c r="D277" t="s">
        <v>1061</v>
      </c>
      <c r="E277" t="s">
        <v>85</v>
      </c>
      <c r="F277">
        <v>1</v>
      </c>
      <c r="G277">
        <v>240</v>
      </c>
      <c r="H277">
        <v>0</v>
      </c>
      <c r="I277" t="s">
        <v>994</v>
      </c>
      <c r="L277">
        <v>0</v>
      </c>
      <c r="M277">
        <v>0</v>
      </c>
      <c r="N277">
        <v>0</v>
      </c>
      <c r="Q277">
        <v>516</v>
      </c>
      <c r="R277">
        <v>0</v>
      </c>
      <c r="S277">
        <v>0</v>
      </c>
      <c r="W277" t="s">
        <v>1060</v>
      </c>
      <c r="X277">
        <v>0</v>
      </c>
      <c r="Z277">
        <v>50</v>
      </c>
      <c r="AA277">
        <v>4.8818000000000001</v>
      </c>
      <c r="AB277">
        <v>173</v>
      </c>
      <c r="AC277">
        <v>3.4799999999999998E-2</v>
      </c>
      <c r="AD277" t="s">
        <v>1042</v>
      </c>
      <c r="AE277">
        <v>0</v>
      </c>
      <c r="AF277">
        <v>6.0000000000000001E-3</v>
      </c>
      <c r="AH277">
        <v>6</v>
      </c>
      <c r="AJ277">
        <v>1</v>
      </c>
      <c r="AK277" t="s">
        <v>1154</v>
      </c>
      <c r="AL277">
        <v>1600</v>
      </c>
      <c r="AM277">
        <v>5236</v>
      </c>
      <c r="AN277">
        <v>11501001</v>
      </c>
      <c r="AO277">
        <v>0</v>
      </c>
      <c r="AP277">
        <v>1002</v>
      </c>
      <c r="AT277">
        <v>1</v>
      </c>
      <c r="AU277" t="s">
        <v>1059</v>
      </c>
      <c r="AV277" t="s">
        <v>1043</v>
      </c>
      <c r="AW277" t="s">
        <v>1053</v>
      </c>
      <c r="AX277">
        <v>0</v>
      </c>
      <c r="AY277" s="20">
        <v>43274</v>
      </c>
      <c r="BA277" s="20">
        <v>43718</v>
      </c>
      <c r="BB277" t="s">
        <v>1058</v>
      </c>
      <c r="BD277">
        <v>0</v>
      </c>
      <c r="BF277" t="s">
        <v>1044</v>
      </c>
      <c r="BG277" s="20">
        <v>40478</v>
      </c>
      <c r="BH277">
        <v>0</v>
      </c>
      <c r="BI277">
        <v>21</v>
      </c>
      <c r="BJ277">
        <v>0</v>
      </c>
      <c r="BK277">
        <v>0</v>
      </c>
      <c r="BM277" s="20">
        <v>40456</v>
      </c>
      <c r="BN277">
        <v>0</v>
      </c>
      <c r="BO277">
        <v>7897801310239</v>
      </c>
      <c r="BR277" t="s">
        <v>1043</v>
      </c>
      <c r="BS277" t="s">
        <v>1043</v>
      </c>
      <c r="BT277" t="s">
        <v>1043</v>
      </c>
      <c r="BV277">
        <v>1</v>
      </c>
      <c r="BW277">
        <v>2</v>
      </c>
      <c r="BY277">
        <v>67</v>
      </c>
      <c r="CA277">
        <v>0</v>
      </c>
      <c r="CB277" t="s">
        <v>1043</v>
      </c>
      <c r="CE277" t="s">
        <v>1043</v>
      </c>
      <c r="CH277" t="s">
        <v>1043</v>
      </c>
      <c r="CI277" t="s">
        <v>1383</v>
      </c>
      <c r="CK277" t="s">
        <v>1152</v>
      </c>
      <c r="CN277" t="s">
        <v>1056</v>
      </c>
      <c r="CP277">
        <v>1</v>
      </c>
      <c r="CQ277">
        <v>100</v>
      </c>
      <c r="CS277">
        <v>0</v>
      </c>
      <c r="CT277">
        <v>0</v>
      </c>
      <c r="CU277">
        <v>0</v>
      </c>
      <c r="CV277" t="s">
        <v>1045</v>
      </c>
      <c r="CW277">
        <v>0</v>
      </c>
      <c r="CX277">
        <v>0</v>
      </c>
      <c r="CY277">
        <v>0</v>
      </c>
      <c r="CZ277">
        <v>0</v>
      </c>
      <c r="DA277">
        <v>4</v>
      </c>
      <c r="DB277">
        <v>2500</v>
      </c>
      <c r="DH277">
        <v>0</v>
      </c>
      <c r="DJ277">
        <v>0</v>
      </c>
      <c r="DL277">
        <v>0</v>
      </c>
      <c r="DN277">
        <v>0</v>
      </c>
      <c r="DO277" t="s">
        <v>1042</v>
      </c>
      <c r="DP277">
        <v>0</v>
      </c>
      <c r="DQ277">
        <v>7.6</v>
      </c>
      <c r="DS277">
        <v>0</v>
      </c>
      <c r="DU277">
        <v>1.65</v>
      </c>
      <c r="DW277">
        <v>0</v>
      </c>
      <c r="DY277">
        <v>0</v>
      </c>
      <c r="DZ277">
        <v>0</v>
      </c>
      <c r="EA277">
        <v>0</v>
      </c>
      <c r="EB277">
        <v>17897801310236</v>
      </c>
      <c r="EE277">
        <v>0</v>
      </c>
      <c r="EF277">
        <v>0</v>
      </c>
      <c r="EL277">
        <v>57897801310234</v>
      </c>
      <c r="EN277" t="s">
        <v>1012</v>
      </c>
      <c r="ET277">
        <v>0</v>
      </c>
      <c r="EV277">
        <v>0</v>
      </c>
      <c r="EY277" t="s">
        <v>1052</v>
      </c>
      <c r="EZ277">
        <v>0</v>
      </c>
      <c r="FA277" t="s">
        <v>1043</v>
      </c>
      <c r="FB277">
        <v>0</v>
      </c>
      <c r="FC277">
        <v>0</v>
      </c>
      <c r="FD277" t="s">
        <v>1051</v>
      </c>
      <c r="FE277" t="s">
        <v>1050</v>
      </c>
      <c r="FF277">
        <v>1500</v>
      </c>
      <c r="FG277" t="s">
        <v>1050</v>
      </c>
      <c r="FH277">
        <v>27897801310233</v>
      </c>
      <c r="FJ277">
        <v>0</v>
      </c>
      <c r="FK277">
        <v>0</v>
      </c>
      <c r="FP277">
        <v>0</v>
      </c>
      <c r="FR277">
        <v>0</v>
      </c>
      <c r="FS277" t="s">
        <v>1043</v>
      </c>
      <c r="FX277" t="s">
        <v>1042</v>
      </c>
      <c r="GA277">
        <v>0</v>
      </c>
      <c r="GB277" t="s">
        <v>1042</v>
      </c>
      <c r="GD277">
        <v>16</v>
      </c>
      <c r="GE277">
        <v>0</v>
      </c>
      <c r="GG277">
        <v>0</v>
      </c>
      <c r="GN277">
        <v>0</v>
      </c>
      <c r="GO277" t="s">
        <v>1049</v>
      </c>
      <c r="GQ277">
        <v>0</v>
      </c>
      <c r="GU277">
        <v>0</v>
      </c>
      <c r="GY277" t="s">
        <v>1045</v>
      </c>
      <c r="HB277">
        <v>0</v>
      </c>
      <c r="HE277">
        <v>10</v>
      </c>
      <c r="HF277">
        <v>0</v>
      </c>
      <c r="HG277">
        <v>2.14E-3</v>
      </c>
      <c r="HK277" t="s">
        <v>1042</v>
      </c>
      <c r="HL277" t="s">
        <v>1048</v>
      </c>
      <c r="HM277">
        <v>0</v>
      </c>
      <c r="HN277">
        <v>0</v>
      </c>
      <c r="HO277">
        <v>27</v>
      </c>
      <c r="HP277">
        <v>6.0000000000000001E-3</v>
      </c>
      <c r="HQ277">
        <v>0</v>
      </c>
      <c r="HR277" s="20">
        <v>40456</v>
      </c>
      <c r="HT277">
        <v>0</v>
      </c>
      <c r="HU277">
        <v>0</v>
      </c>
      <c r="HW277">
        <v>0</v>
      </c>
      <c r="HX277">
        <v>423</v>
      </c>
      <c r="HY277">
        <v>0</v>
      </c>
      <c r="IA277">
        <v>0</v>
      </c>
      <c r="IF277">
        <v>30000</v>
      </c>
      <c r="IG277" s="20">
        <v>40478</v>
      </c>
      <c r="IH277" t="s">
        <v>1046</v>
      </c>
      <c r="II277" t="s">
        <v>1042</v>
      </c>
      <c r="IR277" t="s">
        <v>1045</v>
      </c>
      <c r="IT277">
        <v>0</v>
      </c>
      <c r="JE277">
        <v>0</v>
      </c>
      <c r="JF277">
        <v>0</v>
      </c>
      <c r="JI277" t="s">
        <v>1042</v>
      </c>
      <c r="JJ277">
        <v>0</v>
      </c>
      <c r="JK277">
        <v>0</v>
      </c>
      <c r="JL277">
        <v>0</v>
      </c>
      <c r="JM277">
        <v>0</v>
      </c>
      <c r="JT277">
        <v>0</v>
      </c>
      <c r="JU277" t="s">
        <v>1042</v>
      </c>
      <c r="JW277">
        <v>0</v>
      </c>
      <c r="KA277">
        <v>0</v>
      </c>
      <c r="KF277">
        <v>0</v>
      </c>
      <c r="KG277">
        <v>0</v>
      </c>
      <c r="KH277">
        <v>0</v>
      </c>
      <c r="KI277">
        <v>0</v>
      </c>
      <c r="KS277" t="s">
        <v>1041</v>
      </c>
      <c r="KT277">
        <v>0</v>
      </c>
      <c r="KU277">
        <v>0</v>
      </c>
      <c r="KV277">
        <v>0</v>
      </c>
      <c r="KX277">
        <v>0</v>
      </c>
      <c r="KZ277">
        <v>0</v>
      </c>
      <c r="LF277">
        <v>0</v>
      </c>
      <c r="LH277">
        <v>219912</v>
      </c>
      <c r="LI277">
        <v>0</v>
      </c>
    </row>
    <row r="278" spans="1:321" x14ac:dyDescent="0.35">
      <c r="A278">
        <v>1</v>
      </c>
      <c r="B278">
        <v>12500</v>
      </c>
      <c r="C278" t="s">
        <v>1418</v>
      </c>
      <c r="D278" t="s">
        <v>1139</v>
      </c>
      <c r="E278" t="s">
        <v>1085</v>
      </c>
      <c r="F278">
        <v>80</v>
      </c>
      <c r="G278">
        <v>9000</v>
      </c>
      <c r="H278">
        <v>0</v>
      </c>
      <c r="I278" t="s">
        <v>1050</v>
      </c>
      <c r="L278">
        <v>0</v>
      </c>
      <c r="M278">
        <v>0</v>
      </c>
      <c r="N278">
        <v>0</v>
      </c>
      <c r="R278">
        <v>0</v>
      </c>
      <c r="S278">
        <v>0</v>
      </c>
      <c r="W278" t="s">
        <v>1060</v>
      </c>
      <c r="X278">
        <v>0</v>
      </c>
      <c r="Z278">
        <v>1</v>
      </c>
      <c r="AA278">
        <v>0</v>
      </c>
      <c r="AB278">
        <v>0</v>
      </c>
      <c r="AC278">
        <v>0</v>
      </c>
      <c r="AD278" s="20">
        <v>40793</v>
      </c>
      <c r="AE278">
        <v>2.68</v>
      </c>
      <c r="AF278">
        <v>0</v>
      </c>
      <c r="AH278">
        <v>0</v>
      </c>
      <c r="AJ278">
        <v>0</v>
      </c>
      <c r="AL278">
        <v>0</v>
      </c>
      <c r="AM278">
        <v>0</v>
      </c>
      <c r="AN278">
        <v>16601003</v>
      </c>
      <c r="AO278">
        <v>0</v>
      </c>
      <c r="AP278">
        <v>1000</v>
      </c>
      <c r="AT278">
        <v>0</v>
      </c>
      <c r="AU278" t="s">
        <v>1059</v>
      </c>
      <c r="AW278" t="s">
        <v>1053</v>
      </c>
      <c r="AX278">
        <v>0</v>
      </c>
      <c r="AY278" s="20">
        <v>40793</v>
      </c>
      <c r="BA278" s="20">
        <v>40793</v>
      </c>
      <c r="BB278" t="s">
        <v>1058</v>
      </c>
      <c r="BD278">
        <v>0</v>
      </c>
      <c r="BF278" t="s">
        <v>1043</v>
      </c>
      <c r="BG278" t="s">
        <v>1042</v>
      </c>
      <c r="BH278">
        <v>0</v>
      </c>
      <c r="BI278">
        <v>1</v>
      </c>
      <c r="BJ278">
        <v>0</v>
      </c>
      <c r="BK278">
        <v>0</v>
      </c>
      <c r="BM278" t="s">
        <v>1042</v>
      </c>
      <c r="BN278">
        <v>0</v>
      </c>
      <c r="BR278" t="s">
        <v>1043</v>
      </c>
      <c r="BS278" t="s">
        <v>1043</v>
      </c>
      <c r="BT278" t="s">
        <v>1043</v>
      </c>
      <c r="BW278">
        <v>83</v>
      </c>
      <c r="CA278">
        <v>0</v>
      </c>
      <c r="CB278" t="s">
        <v>1057</v>
      </c>
      <c r="CE278" t="s">
        <v>1043</v>
      </c>
      <c r="CH278" t="s">
        <v>1043</v>
      </c>
      <c r="CN278" t="s">
        <v>1056</v>
      </c>
      <c r="CO278" t="s">
        <v>1043</v>
      </c>
      <c r="CP278">
        <v>1</v>
      </c>
      <c r="CQ278">
        <v>0</v>
      </c>
      <c r="CS278">
        <v>0</v>
      </c>
      <c r="CT278">
        <v>0</v>
      </c>
      <c r="CU278">
        <v>0</v>
      </c>
      <c r="CV278" t="s">
        <v>1045</v>
      </c>
      <c r="CW278">
        <v>0</v>
      </c>
      <c r="CX278">
        <v>0</v>
      </c>
      <c r="CY278">
        <v>0</v>
      </c>
      <c r="CZ278">
        <v>0</v>
      </c>
      <c r="DB278">
        <v>0</v>
      </c>
      <c r="DC278" t="s">
        <v>1043</v>
      </c>
      <c r="DF278" t="s">
        <v>1055</v>
      </c>
      <c r="DH278">
        <v>0</v>
      </c>
      <c r="DJ278">
        <v>0</v>
      </c>
      <c r="DK278" t="s">
        <v>1053</v>
      </c>
      <c r="DL278">
        <v>0</v>
      </c>
      <c r="DN278">
        <v>0</v>
      </c>
      <c r="DO278" t="s">
        <v>1042</v>
      </c>
      <c r="DP278">
        <v>0</v>
      </c>
      <c r="DQ278">
        <v>0</v>
      </c>
      <c r="DS278">
        <v>0</v>
      </c>
      <c r="DU278">
        <v>0</v>
      </c>
      <c r="DW278">
        <v>0</v>
      </c>
      <c r="DX278" t="s">
        <v>1043</v>
      </c>
      <c r="DY278">
        <v>0</v>
      </c>
      <c r="DZ278">
        <v>0</v>
      </c>
      <c r="EA278">
        <v>0</v>
      </c>
      <c r="ED278" t="s">
        <v>1045</v>
      </c>
      <c r="EE278">
        <v>0</v>
      </c>
      <c r="EF278">
        <v>0</v>
      </c>
      <c r="EQ278" t="s">
        <v>1044</v>
      </c>
      <c r="ES278" t="s">
        <v>1053</v>
      </c>
      <c r="ET278">
        <v>0</v>
      </c>
      <c r="EV278">
        <v>0</v>
      </c>
      <c r="EY278" t="s">
        <v>1052</v>
      </c>
      <c r="EZ278">
        <v>0</v>
      </c>
      <c r="FA278" t="s">
        <v>1043</v>
      </c>
      <c r="FB278">
        <v>0</v>
      </c>
      <c r="FC278">
        <v>0</v>
      </c>
      <c r="FE278" t="s">
        <v>1050</v>
      </c>
      <c r="FF278">
        <v>0</v>
      </c>
      <c r="FG278" t="s">
        <v>1050</v>
      </c>
      <c r="FJ278">
        <v>0</v>
      </c>
      <c r="FK278">
        <v>0</v>
      </c>
      <c r="FP278">
        <v>0</v>
      </c>
      <c r="FR278">
        <v>0</v>
      </c>
      <c r="FS278" t="s">
        <v>1043</v>
      </c>
      <c r="FX278" t="s">
        <v>1042</v>
      </c>
      <c r="FZ278" t="s">
        <v>1048</v>
      </c>
      <c r="GA278">
        <v>0</v>
      </c>
      <c r="GB278" t="s">
        <v>1042</v>
      </c>
      <c r="GE278">
        <v>0</v>
      </c>
      <c r="GG278">
        <v>0</v>
      </c>
      <c r="GN278">
        <v>0</v>
      </c>
      <c r="GO278" t="s">
        <v>1063</v>
      </c>
      <c r="GQ278">
        <v>0</v>
      </c>
      <c r="GU278">
        <v>0</v>
      </c>
      <c r="GY278" t="s">
        <v>1045</v>
      </c>
      <c r="HB278">
        <v>0</v>
      </c>
      <c r="HE278">
        <v>0</v>
      </c>
      <c r="HF278">
        <v>0</v>
      </c>
      <c r="HG278">
        <v>0</v>
      </c>
      <c r="HK278" t="s">
        <v>1042</v>
      </c>
      <c r="HM278" t="s">
        <v>1047</v>
      </c>
      <c r="HN278">
        <v>0</v>
      </c>
      <c r="HP278">
        <v>0</v>
      </c>
      <c r="HQ278">
        <v>0</v>
      </c>
      <c r="HR278" t="s">
        <v>1042</v>
      </c>
      <c r="HS278" t="s">
        <v>1043</v>
      </c>
      <c r="HT278">
        <v>0</v>
      </c>
      <c r="HU278">
        <v>0</v>
      </c>
      <c r="HW278">
        <v>0</v>
      </c>
      <c r="HX278">
        <v>0</v>
      </c>
      <c r="HY278">
        <v>0</v>
      </c>
      <c r="HZ278" t="s">
        <v>1045</v>
      </c>
      <c r="IA278">
        <v>0</v>
      </c>
      <c r="IB278" t="s">
        <v>1045</v>
      </c>
      <c r="ID278" t="s">
        <v>1045</v>
      </c>
      <c r="IF278">
        <v>0</v>
      </c>
      <c r="IG278" t="s">
        <v>1042</v>
      </c>
      <c r="II278" t="s">
        <v>1042</v>
      </c>
      <c r="IR278" t="s">
        <v>1045</v>
      </c>
      <c r="IT278">
        <v>0</v>
      </c>
      <c r="IY278" t="s">
        <v>1044</v>
      </c>
      <c r="IZ278" t="s">
        <v>1043</v>
      </c>
      <c r="JC278" t="s">
        <v>1043</v>
      </c>
      <c r="JE278">
        <v>0</v>
      </c>
      <c r="JF278">
        <v>0</v>
      </c>
      <c r="JI278" t="s">
        <v>1042</v>
      </c>
      <c r="JJ278">
        <v>0</v>
      </c>
      <c r="JK278">
        <v>0</v>
      </c>
      <c r="JL278">
        <v>0</v>
      </c>
      <c r="JM278">
        <v>0</v>
      </c>
      <c r="JQ278" t="s">
        <v>1043</v>
      </c>
      <c r="JT278">
        <v>0</v>
      </c>
      <c r="JU278" t="s">
        <v>1042</v>
      </c>
      <c r="JW278">
        <v>0</v>
      </c>
      <c r="KA278">
        <v>0</v>
      </c>
      <c r="KF278">
        <v>0</v>
      </c>
      <c r="KG278">
        <v>0</v>
      </c>
      <c r="KH278">
        <v>0</v>
      </c>
      <c r="KI278">
        <v>0</v>
      </c>
      <c r="KS278" t="s">
        <v>1073</v>
      </c>
      <c r="KT278">
        <v>0</v>
      </c>
      <c r="KU278">
        <v>0</v>
      </c>
      <c r="KV278">
        <v>0</v>
      </c>
      <c r="KX278">
        <v>0</v>
      </c>
      <c r="KZ278">
        <v>0</v>
      </c>
      <c r="LF278">
        <v>0</v>
      </c>
      <c r="LH278">
        <v>0</v>
      </c>
      <c r="LI278">
        <v>0</v>
      </c>
    </row>
    <row r="279" spans="1:321" x14ac:dyDescent="0.35">
      <c r="A279">
        <v>1</v>
      </c>
      <c r="B279">
        <v>12501</v>
      </c>
      <c r="C279" t="s">
        <v>1417</v>
      </c>
      <c r="D279" t="s">
        <v>1139</v>
      </c>
      <c r="E279" t="s">
        <v>1085</v>
      </c>
      <c r="F279">
        <v>80</v>
      </c>
      <c r="G279">
        <v>9000</v>
      </c>
      <c r="H279">
        <v>0</v>
      </c>
      <c r="I279" t="s">
        <v>1050</v>
      </c>
      <c r="L279">
        <v>0</v>
      </c>
      <c r="M279">
        <v>0</v>
      </c>
      <c r="N279">
        <v>0</v>
      </c>
      <c r="R279">
        <v>0</v>
      </c>
      <c r="S279">
        <v>0</v>
      </c>
      <c r="W279" t="s">
        <v>1060</v>
      </c>
      <c r="X279">
        <v>0</v>
      </c>
      <c r="Z279">
        <v>1</v>
      </c>
      <c r="AA279">
        <v>0</v>
      </c>
      <c r="AB279">
        <v>0</v>
      </c>
      <c r="AC279">
        <v>0</v>
      </c>
      <c r="AD279" s="20">
        <v>40793</v>
      </c>
      <c r="AE279">
        <v>2.68</v>
      </c>
      <c r="AF279">
        <v>0</v>
      </c>
      <c r="AH279">
        <v>0</v>
      </c>
      <c r="AJ279">
        <v>0</v>
      </c>
      <c r="AL279">
        <v>0</v>
      </c>
      <c r="AM279">
        <v>0</v>
      </c>
      <c r="AN279">
        <v>16601003</v>
      </c>
      <c r="AO279">
        <v>0</v>
      </c>
      <c r="AP279">
        <v>1000</v>
      </c>
      <c r="AT279">
        <v>0</v>
      </c>
      <c r="AU279" t="s">
        <v>1059</v>
      </c>
      <c r="AW279" t="s">
        <v>1053</v>
      </c>
      <c r="AX279">
        <v>0</v>
      </c>
      <c r="AY279" s="20">
        <v>40793</v>
      </c>
      <c r="BA279" s="20">
        <v>40793</v>
      </c>
      <c r="BB279" t="s">
        <v>1058</v>
      </c>
      <c r="BD279">
        <v>0</v>
      </c>
      <c r="BF279" t="s">
        <v>1043</v>
      </c>
      <c r="BG279" t="s">
        <v>1042</v>
      </c>
      <c r="BH279">
        <v>0</v>
      </c>
      <c r="BI279">
        <v>1</v>
      </c>
      <c r="BJ279">
        <v>0</v>
      </c>
      <c r="BK279">
        <v>0</v>
      </c>
      <c r="BM279" t="s">
        <v>1042</v>
      </c>
      <c r="BN279">
        <v>0</v>
      </c>
      <c r="BR279" t="s">
        <v>1043</v>
      </c>
      <c r="BS279" t="s">
        <v>1043</v>
      </c>
      <c r="BT279" t="s">
        <v>1043</v>
      </c>
      <c r="BW279">
        <v>83</v>
      </c>
      <c r="CA279">
        <v>0</v>
      </c>
      <c r="CB279" t="s">
        <v>1057</v>
      </c>
      <c r="CE279" t="s">
        <v>1043</v>
      </c>
      <c r="CH279" t="s">
        <v>1043</v>
      </c>
      <c r="CN279" t="s">
        <v>1056</v>
      </c>
      <c r="CO279" t="s">
        <v>1043</v>
      </c>
      <c r="CP279">
        <v>1</v>
      </c>
      <c r="CQ279">
        <v>0</v>
      </c>
      <c r="CS279">
        <v>0</v>
      </c>
      <c r="CT279">
        <v>0</v>
      </c>
      <c r="CU279">
        <v>0</v>
      </c>
      <c r="CV279" t="s">
        <v>1045</v>
      </c>
      <c r="CW279">
        <v>0</v>
      </c>
      <c r="CX279">
        <v>0</v>
      </c>
      <c r="CY279">
        <v>0</v>
      </c>
      <c r="CZ279">
        <v>0</v>
      </c>
      <c r="DB279">
        <v>0</v>
      </c>
      <c r="DC279" t="s">
        <v>1043</v>
      </c>
      <c r="DF279" t="s">
        <v>1055</v>
      </c>
      <c r="DH279">
        <v>0</v>
      </c>
      <c r="DJ279">
        <v>0</v>
      </c>
      <c r="DK279" t="s">
        <v>1053</v>
      </c>
      <c r="DL279">
        <v>0</v>
      </c>
      <c r="DN279">
        <v>0</v>
      </c>
      <c r="DO279" t="s">
        <v>1042</v>
      </c>
      <c r="DP279">
        <v>0</v>
      </c>
      <c r="DQ279">
        <v>0</v>
      </c>
      <c r="DS279">
        <v>0</v>
      </c>
      <c r="DU279">
        <v>0</v>
      </c>
      <c r="DW279">
        <v>0</v>
      </c>
      <c r="DX279" t="s">
        <v>1043</v>
      </c>
      <c r="DY279">
        <v>0</v>
      </c>
      <c r="DZ279">
        <v>0</v>
      </c>
      <c r="EA279">
        <v>0</v>
      </c>
      <c r="ED279" t="s">
        <v>1045</v>
      </c>
      <c r="EE279">
        <v>0</v>
      </c>
      <c r="EF279">
        <v>0</v>
      </c>
      <c r="EQ279" t="s">
        <v>1044</v>
      </c>
      <c r="ES279" t="s">
        <v>1053</v>
      </c>
      <c r="ET279">
        <v>0</v>
      </c>
      <c r="EV279">
        <v>0</v>
      </c>
      <c r="EY279" t="s">
        <v>1052</v>
      </c>
      <c r="EZ279">
        <v>0</v>
      </c>
      <c r="FA279" t="s">
        <v>1043</v>
      </c>
      <c r="FB279">
        <v>0</v>
      </c>
      <c r="FC279">
        <v>0</v>
      </c>
      <c r="FE279" t="s">
        <v>1050</v>
      </c>
      <c r="FF279">
        <v>0</v>
      </c>
      <c r="FG279" t="s">
        <v>1050</v>
      </c>
      <c r="FJ279">
        <v>0</v>
      </c>
      <c r="FK279">
        <v>0</v>
      </c>
      <c r="FP279">
        <v>0</v>
      </c>
      <c r="FR279">
        <v>0</v>
      </c>
      <c r="FS279" t="s">
        <v>1043</v>
      </c>
      <c r="FX279" t="s">
        <v>1042</v>
      </c>
      <c r="FZ279" t="s">
        <v>1048</v>
      </c>
      <c r="GA279">
        <v>0</v>
      </c>
      <c r="GB279" t="s">
        <v>1042</v>
      </c>
      <c r="GE279">
        <v>0</v>
      </c>
      <c r="GG279">
        <v>0</v>
      </c>
      <c r="GN279">
        <v>0</v>
      </c>
      <c r="GO279" t="s">
        <v>1063</v>
      </c>
      <c r="GQ279">
        <v>0</v>
      </c>
      <c r="GU279">
        <v>0</v>
      </c>
      <c r="GY279" t="s">
        <v>1045</v>
      </c>
      <c r="HB279">
        <v>0</v>
      </c>
      <c r="HE279">
        <v>0</v>
      </c>
      <c r="HF279">
        <v>0</v>
      </c>
      <c r="HG279">
        <v>0</v>
      </c>
      <c r="HK279" t="s">
        <v>1042</v>
      </c>
      <c r="HM279" t="s">
        <v>1047</v>
      </c>
      <c r="HN279">
        <v>0</v>
      </c>
      <c r="HP279">
        <v>0</v>
      </c>
      <c r="HQ279">
        <v>0</v>
      </c>
      <c r="HR279" t="s">
        <v>1042</v>
      </c>
      <c r="HS279" t="s">
        <v>1043</v>
      </c>
      <c r="HT279">
        <v>0</v>
      </c>
      <c r="HU279">
        <v>0</v>
      </c>
      <c r="HW279">
        <v>0</v>
      </c>
      <c r="HX279">
        <v>0</v>
      </c>
      <c r="HY279">
        <v>0</v>
      </c>
      <c r="HZ279" t="s">
        <v>1045</v>
      </c>
      <c r="IA279">
        <v>0</v>
      </c>
      <c r="IB279" t="s">
        <v>1045</v>
      </c>
      <c r="ID279" t="s">
        <v>1045</v>
      </c>
      <c r="IF279">
        <v>0</v>
      </c>
      <c r="IG279" t="s">
        <v>1042</v>
      </c>
      <c r="II279" t="s">
        <v>1042</v>
      </c>
      <c r="IR279" t="s">
        <v>1045</v>
      </c>
      <c r="IT279">
        <v>0</v>
      </c>
      <c r="IY279" t="s">
        <v>1044</v>
      </c>
      <c r="IZ279" t="s">
        <v>1043</v>
      </c>
      <c r="JC279" t="s">
        <v>1043</v>
      </c>
      <c r="JE279">
        <v>0</v>
      </c>
      <c r="JF279">
        <v>0</v>
      </c>
      <c r="JI279" t="s">
        <v>1042</v>
      </c>
      <c r="JJ279">
        <v>0</v>
      </c>
      <c r="JK279">
        <v>0</v>
      </c>
      <c r="JL279">
        <v>0</v>
      </c>
      <c r="JM279">
        <v>0</v>
      </c>
      <c r="JQ279" t="s">
        <v>1043</v>
      </c>
      <c r="JT279">
        <v>0</v>
      </c>
      <c r="JU279" t="s">
        <v>1042</v>
      </c>
      <c r="JW279">
        <v>0</v>
      </c>
      <c r="KA279">
        <v>0</v>
      </c>
      <c r="KF279">
        <v>0</v>
      </c>
      <c r="KG279">
        <v>0</v>
      </c>
      <c r="KH279">
        <v>0</v>
      </c>
      <c r="KI279">
        <v>0</v>
      </c>
      <c r="KS279" t="s">
        <v>1073</v>
      </c>
      <c r="KT279">
        <v>0</v>
      </c>
      <c r="KU279">
        <v>0</v>
      </c>
      <c r="KV279">
        <v>0</v>
      </c>
      <c r="KX279">
        <v>0</v>
      </c>
      <c r="KZ279">
        <v>0</v>
      </c>
      <c r="LF279">
        <v>0</v>
      </c>
      <c r="LH279">
        <v>0</v>
      </c>
      <c r="LI279">
        <v>0</v>
      </c>
    </row>
    <row r="280" spans="1:321" x14ac:dyDescent="0.35">
      <c r="A280">
        <v>1</v>
      </c>
      <c r="B280">
        <v>12502</v>
      </c>
      <c r="C280" t="s">
        <v>1416</v>
      </c>
      <c r="D280" t="s">
        <v>1139</v>
      </c>
      <c r="E280" t="s">
        <v>1085</v>
      </c>
      <c r="F280">
        <v>80</v>
      </c>
      <c r="G280">
        <v>9000</v>
      </c>
      <c r="H280">
        <v>0</v>
      </c>
      <c r="I280" t="s">
        <v>1050</v>
      </c>
      <c r="L280">
        <v>0</v>
      </c>
      <c r="M280">
        <v>0</v>
      </c>
      <c r="N280">
        <v>0</v>
      </c>
      <c r="R280">
        <v>0</v>
      </c>
      <c r="S280">
        <v>0</v>
      </c>
      <c r="W280" t="s">
        <v>1060</v>
      </c>
      <c r="X280">
        <v>0</v>
      </c>
      <c r="Z280">
        <v>1</v>
      </c>
      <c r="AA280">
        <v>0</v>
      </c>
      <c r="AB280">
        <v>0</v>
      </c>
      <c r="AC280">
        <v>0</v>
      </c>
      <c r="AD280" s="20">
        <v>40793</v>
      </c>
      <c r="AE280">
        <v>2.68</v>
      </c>
      <c r="AF280">
        <v>0</v>
      </c>
      <c r="AH280">
        <v>0</v>
      </c>
      <c r="AJ280">
        <v>0</v>
      </c>
      <c r="AL280">
        <v>0</v>
      </c>
      <c r="AM280">
        <v>0</v>
      </c>
      <c r="AN280">
        <v>16601003</v>
      </c>
      <c r="AO280">
        <v>0</v>
      </c>
      <c r="AP280">
        <v>1000</v>
      </c>
      <c r="AT280">
        <v>0</v>
      </c>
      <c r="AU280" t="s">
        <v>1059</v>
      </c>
      <c r="AW280" t="s">
        <v>1053</v>
      </c>
      <c r="AX280">
        <v>0</v>
      </c>
      <c r="AY280" s="20">
        <v>40793</v>
      </c>
      <c r="BA280" s="20">
        <v>40793</v>
      </c>
      <c r="BB280" t="s">
        <v>1058</v>
      </c>
      <c r="BD280">
        <v>0</v>
      </c>
      <c r="BF280" t="s">
        <v>1043</v>
      </c>
      <c r="BG280" t="s">
        <v>1042</v>
      </c>
      <c r="BH280">
        <v>0</v>
      </c>
      <c r="BI280">
        <v>1</v>
      </c>
      <c r="BJ280">
        <v>0</v>
      </c>
      <c r="BK280">
        <v>0</v>
      </c>
      <c r="BM280" t="s">
        <v>1042</v>
      </c>
      <c r="BN280">
        <v>0</v>
      </c>
      <c r="BR280" t="s">
        <v>1043</v>
      </c>
      <c r="BS280" t="s">
        <v>1043</v>
      </c>
      <c r="BT280" t="s">
        <v>1043</v>
      </c>
      <c r="BW280">
        <v>83</v>
      </c>
      <c r="CA280">
        <v>0</v>
      </c>
      <c r="CB280" t="s">
        <v>1057</v>
      </c>
      <c r="CE280" t="s">
        <v>1043</v>
      </c>
      <c r="CH280" t="s">
        <v>1043</v>
      </c>
      <c r="CN280" t="s">
        <v>1056</v>
      </c>
      <c r="CO280" t="s">
        <v>1043</v>
      </c>
      <c r="CP280">
        <v>1</v>
      </c>
      <c r="CQ280">
        <v>0</v>
      </c>
      <c r="CS280">
        <v>0</v>
      </c>
      <c r="CT280">
        <v>0</v>
      </c>
      <c r="CU280">
        <v>0</v>
      </c>
      <c r="CV280" t="s">
        <v>1045</v>
      </c>
      <c r="CW280">
        <v>0</v>
      </c>
      <c r="CX280">
        <v>0</v>
      </c>
      <c r="CY280">
        <v>0</v>
      </c>
      <c r="CZ280">
        <v>0</v>
      </c>
      <c r="DB280">
        <v>0</v>
      </c>
      <c r="DC280" t="s">
        <v>1043</v>
      </c>
      <c r="DF280" t="s">
        <v>1055</v>
      </c>
      <c r="DH280">
        <v>0</v>
      </c>
      <c r="DJ280">
        <v>0</v>
      </c>
      <c r="DK280" t="s">
        <v>1053</v>
      </c>
      <c r="DL280">
        <v>0</v>
      </c>
      <c r="DN280">
        <v>0</v>
      </c>
      <c r="DO280" t="s">
        <v>1042</v>
      </c>
      <c r="DP280">
        <v>0</v>
      </c>
      <c r="DQ280">
        <v>0</v>
      </c>
      <c r="DS280">
        <v>0</v>
      </c>
      <c r="DU280">
        <v>0</v>
      </c>
      <c r="DW280">
        <v>0</v>
      </c>
      <c r="DX280" t="s">
        <v>1043</v>
      </c>
      <c r="DY280">
        <v>0</v>
      </c>
      <c r="DZ280">
        <v>0</v>
      </c>
      <c r="EA280">
        <v>0</v>
      </c>
      <c r="ED280" t="s">
        <v>1045</v>
      </c>
      <c r="EE280">
        <v>0</v>
      </c>
      <c r="EF280">
        <v>0</v>
      </c>
      <c r="EQ280" t="s">
        <v>1044</v>
      </c>
      <c r="ES280" t="s">
        <v>1053</v>
      </c>
      <c r="ET280">
        <v>0</v>
      </c>
      <c r="EV280">
        <v>0</v>
      </c>
      <c r="EY280" t="s">
        <v>1052</v>
      </c>
      <c r="EZ280">
        <v>0</v>
      </c>
      <c r="FA280" t="s">
        <v>1043</v>
      </c>
      <c r="FB280">
        <v>0</v>
      </c>
      <c r="FC280">
        <v>0</v>
      </c>
      <c r="FE280" t="s">
        <v>1050</v>
      </c>
      <c r="FF280">
        <v>0</v>
      </c>
      <c r="FG280" t="s">
        <v>1050</v>
      </c>
      <c r="FJ280">
        <v>0</v>
      </c>
      <c r="FK280">
        <v>0</v>
      </c>
      <c r="FP280">
        <v>0</v>
      </c>
      <c r="FR280">
        <v>0</v>
      </c>
      <c r="FS280" t="s">
        <v>1043</v>
      </c>
      <c r="FX280" t="s">
        <v>1042</v>
      </c>
      <c r="FZ280" t="s">
        <v>1048</v>
      </c>
      <c r="GA280">
        <v>0</v>
      </c>
      <c r="GB280" t="s">
        <v>1042</v>
      </c>
      <c r="GE280">
        <v>0</v>
      </c>
      <c r="GG280">
        <v>0</v>
      </c>
      <c r="GN280">
        <v>0</v>
      </c>
      <c r="GO280" t="s">
        <v>1063</v>
      </c>
      <c r="GQ280">
        <v>0</v>
      </c>
      <c r="GU280">
        <v>0</v>
      </c>
      <c r="GY280" t="s">
        <v>1045</v>
      </c>
      <c r="HB280">
        <v>0</v>
      </c>
      <c r="HE280">
        <v>0</v>
      </c>
      <c r="HF280">
        <v>0</v>
      </c>
      <c r="HG280">
        <v>0</v>
      </c>
      <c r="HK280" t="s">
        <v>1042</v>
      </c>
      <c r="HM280" t="s">
        <v>1047</v>
      </c>
      <c r="HN280">
        <v>0</v>
      </c>
      <c r="HP280">
        <v>0</v>
      </c>
      <c r="HQ280">
        <v>0</v>
      </c>
      <c r="HR280" t="s">
        <v>1042</v>
      </c>
      <c r="HS280" t="s">
        <v>1043</v>
      </c>
      <c r="HT280">
        <v>0</v>
      </c>
      <c r="HU280">
        <v>0</v>
      </c>
      <c r="HW280">
        <v>0</v>
      </c>
      <c r="HX280">
        <v>0</v>
      </c>
      <c r="HY280">
        <v>0</v>
      </c>
      <c r="HZ280" t="s">
        <v>1045</v>
      </c>
      <c r="IA280">
        <v>0</v>
      </c>
      <c r="IB280" t="s">
        <v>1045</v>
      </c>
      <c r="ID280" t="s">
        <v>1045</v>
      </c>
      <c r="IF280">
        <v>0</v>
      </c>
      <c r="IG280" t="s">
        <v>1042</v>
      </c>
      <c r="II280" t="s">
        <v>1042</v>
      </c>
      <c r="IR280" t="s">
        <v>1045</v>
      </c>
      <c r="IT280">
        <v>0</v>
      </c>
      <c r="IY280" t="s">
        <v>1044</v>
      </c>
      <c r="IZ280" t="s">
        <v>1043</v>
      </c>
      <c r="JC280" t="s">
        <v>1043</v>
      </c>
      <c r="JE280">
        <v>0</v>
      </c>
      <c r="JF280">
        <v>0</v>
      </c>
      <c r="JI280" t="s">
        <v>1042</v>
      </c>
      <c r="JJ280">
        <v>0</v>
      </c>
      <c r="JK280">
        <v>0</v>
      </c>
      <c r="JL280">
        <v>0</v>
      </c>
      <c r="JM280">
        <v>0</v>
      </c>
      <c r="JQ280" t="s">
        <v>1043</v>
      </c>
      <c r="JT280">
        <v>0</v>
      </c>
      <c r="JU280" t="s">
        <v>1042</v>
      </c>
      <c r="JW280">
        <v>0</v>
      </c>
      <c r="KA280">
        <v>0</v>
      </c>
      <c r="KF280">
        <v>0</v>
      </c>
      <c r="KG280">
        <v>0</v>
      </c>
      <c r="KH280">
        <v>0</v>
      </c>
      <c r="KI280">
        <v>0</v>
      </c>
      <c r="KS280" t="s">
        <v>1073</v>
      </c>
      <c r="KT280">
        <v>0</v>
      </c>
      <c r="KU280">
        <v>0</v>
      </c>
      <c r="KV280">
        <v>0</v>
      </c>
      <c r="KX280">
        <v>0</v>
      </c>
      <c r="KZ280">
        <v>0</v>
      </c>
      <c r="LF280">
        <v>0</v>
      </c>
      <c r="LH280">
        <v>0</v>
      </c>
      <c r="LI280">
        <v>0</v>
      </c>
    </row>
    <row r="281" spans="1:321" x14ac:dyDescent="0.35">
      <c r="A281">
        <v>1</v>
      </c>
      <c r="B281">
        <v>12503</v>
      </c>
      <c r="C281" t="s">
        <v>1415</v>
      </c>
      <c r="D281" t="s">
        <v>1139</v>
      </c>
      <c r="E281" t="s">
        <v>1085</v>
      </c>
      <c r="F281">
        <v>80</v>
      </c>
      <c r="G281">
        <v>9000</v>
      </c>
      <c r="H281">
        <v>0</v>
      </c>
      <c r="I281" t="s">
        <v>1050</v>
      </c>
      <c r="L281">
        <v>0</v>
      </c>
      <c r="M281">
        <v>0</v>
      </c>
      <c r="N281">
        <v>0</v>
      </c>
      <c r="R281">
        <v>0</v>
      </c>
      <c r="S281">
        <v>0</v>
      </c>
      <c r="W281" t="s">
        <v>1060</v>
      </c>
      <c r="X281">
        <v>0</v>
      </c>
      <c r="Z281">
        <v>1</v>
      </c>
      <c r="AA281">
        <v>0</v>
      </c>
      <c r="AB281">
        <v>0</v>
      </c>
      <c r="AC281">
        <v>0</v>
      </c>
      <c r="AD281" s="20">
        <v>40793</v>
      </c>
      <c r="AE281">
        <v>2.68</v>
      </c>
      <c r="AF281">
        <v>0</v>
      </c>
      <c r="AH281">
        <v>0</v>
      </c>
      <c r="AJ281">
        <v>0</v>
      </c>
      <c r="AL281">
        <v>0</v>
      </c>
      <c r="AM281">
        <v>0</v>
      </c>
      <c r="AN281">
        <v>16601003</v>
      </c>
      <c r="AO281">
        <v>0</v>
      </c>
      <c r="AP281">
        <v>1000</v>
      </c>
      <c r="AT281">
        <v>0</v>
      </c>
      <c r="AU281" t="s">
        <v>1059</v>
      </c>
      <c r="AW281" t="s">
        <v>1053</v>
      </c>
      <c r="AX281">
        <v>0</v>
      </c>
      <c r="AY281" s="20">
        <v>40793</v>
      </c>
      <c r="BA281" s="20">
        <v>40793</v>
      </c>
      <c r="BB281" t="s">
        <v>1058</v>
      </c>
      <c r="BD281">
        <v>0</v>
      </c>
      <c r="BF281" t="s">
        <v>1043</v>
      </c>
      <c r="BG281" t="s">
        <v>1042</v>
      </c>
      <c r="BH281">
        <v>0</v>
      </c>
      <c r="BI281">
        <v>1</v>
      </c>
      <c r="BJ281">
        <v>0</v>
      </c>
      <c r="BK281">
        <v>0</v>
      </c>
      <c r="BM281" t="s">
        <v>1042</v>
      </c>
      <c r="BN281">
        <v>0</v>
      </c>
      <c r="BR281" t="s">
        <v>1043</v>
      </c>
      <c r="BS281" t="s">
        <v>1043</v>
      </c>
      <c r="BT281" t="s">
        <v>1043</v>
      </c>
      <c r="BW281">
        <v>83</v>
      </c>
      <c r="CA281">
        <v>0</v>
      </c>
      <c r="CB281" t="s">
        <v>1057</v>
      </c>
      <c r="CE281" t="s">
        <v>1043</v>
      </c>
      <c r="CH281" t="s">
        <v>1043</v>
      </c>
      <c r="CN281" t="s">
        <v>1056</v>
      </c>
      <c r="CO281" t="s">
        <v>1043</v>
      </c>
      <c r="CP281">
        <v>1</v>
      </c>
      <c r="CQ281">
        <v>0</v>
      </c>
      <c r="CS281">
        <v>0</v>
      </c>
      <c r="CT281">
        <v>0</v>
      </c>
      <c r="CU281">
        <v>0</v>
      </c>
      <c r="CV281" t="s">
        <v>1045</v>
      </c>
      <c r="CW281">
        <v>0</v>
      </c>
      <c r="CX281">
        <v>0</v>
      </c>
      <c r="CY281">
        <v>0</v>
      </c>
      <c r="CZ281">
        <v>0</v>
      </c>
      <c r="DB281">
        <v>0</v>
      </c>
      <c r="DC281" t="s">
        <v>1043</v>
      </c>
      <c r="DF281" t="s">
        <v>1055</v>
      </c>
      <c r="DH281">
        <v>0</v>
      </c>
      <c r="DJ281">
        <v>0</v>
      </c>
      <c r="DK281" t="s">
        <v>1053</v>
      </c>
      <c r="DL281">
        <v>0</v>
      </c>
      <c r="DN281">
        <v>0</v>
      </c>
      <c r="DO281" t="s">
        <v>1042</v>
      </c>
      <c r="DP281">
        <v>0</v>
      </c>
      <c r="DQ281">
        <v>0</v>
      </c>
      <c r="DS281">
        <v>0</v>
      </c>
      <c r="DU281">
        <v>0</v>
      </c>
      <c r="DW281">
        <v>0</v>
      </c>
      <c r="DX281" t="s">
        <v>1043</v>
      </c>
      <c r="DY281">
        <v>0</v>
      </c>
      <c r="DZ281">
        <v>0</v>
      </c>
      <c r="EA281">
        <v>0</v>
      </c>
      <c r="ED281" t="s">
        <v>1045</v>
      </c>
      <c r="EE281">
        <v>0</v>
      </c>
      <c r="EF281">
        <v>0</v>
      </c>
      <c r="EQ281" t="s">
        <v>1044</v>
      </c>
      <c r="ES281" t="s">
        <v>1053</v>
      </c>
      <c r="ET281">
        <v>0</v>
      </c>
      <c r="EV281">
        <v>0</v>
      </c>
      <c r="EY281" t="s">
        <v>1052</v>
      </c>
      <c r="EZ281">
        <v>0</v>
      </c>
      <c r="FA281" t="s">
        <v>1043</v>
      </c>
      <c r="FB281">
        <v>0</v>
      </c>
      <c r="FC281">
        <v>0</v>
      </c>
      <c r="FE281" t="s">
        <v>1050</v>
      </c>
      <c r="FF281">
        <v>0</v>
      </c>
      <c r="FG281" t="s">
        <v>1050</v>
      </c>
      <c r="FJ281">
        <v>0</v>
      </c>
      <c r="FK281">
        <v>0</v>
      </c>
      <c r="FP281">
        <v>0</v>
      </c>
      <c r="FR281">
        <v>0</v>
      </c>
      <c r="FS281" t="s">
        <v>1043</v>
      </c>
      <c r="FX281" t="s">
        <v>1042</v>
      </c>
      <c r="FZ281" t="s">
        <v>1048</v>
      </c>
      <c r="GA281">
        <v>0</v>
      </c>
      <c r="GB281" t="s">
        <v>1042</v>
      </c>
      <c r="GE281">
        <v>0</v>
      </c>
      <c r="GG281">
        <v>0</v>
      </c>
      <c r="GN281">
        <v>0</v>
      </c>
      <c r="GO281" t="s">
        <v>1063</v>
      </c>
      <c r="GQ281">
        <v>0</v>
      </c>
      <c r="GU281">
        <v>0</v>
      </c>
      <c r="GY281" t="s">
        <v>1045</v>
      </c>
      <c r="HB281">
        <v>0</v>
      </c>
      <c r="HE281">
        <v>0</v>
      </c>
      <c r="HF281">
        <v>0</v>
      </c>
      <c r="HG281">
        <v>0</v>
      </c>
      <c r="HK281" t="s">
        <v>1042</v>
      </c>
      <c r="HM281" t="s">
        <v>1047</v>
      </c>
      <c r="HN281">
        <v>0</v>
      </c>
      <c r="HP281">
        <v>0</v>
      </c>
      <c r="HQ281">
        <v>0</v>
      </c>
      <c r="HR281" t="s">
        <v>1042</v>
      </c>
      <c r="HS281" t="s">
        <v>1043</v>
      </c>
      <c r="HT281">
        <v>0</v>
      </c>
      <c r="HU281">
        <v>0</v>
      </c>
      <c r="HW281">
        <v>0</v>
      </c>
      <c r="HX281">
        <v>0</v>
      </c>
      <c r="HY281">
        <v>0</v>
      </c>
      <c r="HZ281" t="s">
        <v>1045</v>
      </c>
      <c r="IA281">
        <v>0</v>
      </c>
      <c r="IB281" t="s">
        <v>1045</v>
      </c>
      <c r="ID281" t="s">
        <v>1045</v>
      </c>
      <c r="IF281">
        <v>0</v>
      </c>
      <c r="IG281" t="s">
        <v>1042</v>
      </c>
      <c r="II281" t="s">
        <v>1042</v>
      </c>
      <c r="IR281" t="s">
        <v>1045</v>
      </c>
      <c r="IT281">
        <v>0</v>
      </c>
      <c r="IY281" t="s">
        <v>1044</v>
      </c>
      <c r="IZ281" t="s">
        <v>1043</v>
      </c>
      <c r="JC281" t="s">
        <v>1043</v>
      </c>
      <c r="JE281">
        <v>0</v>
      </c>
      <c r="JF281">
        <v>0</v>
      </c>
      <c r="JI281" t="s">
        <v>1042</v>
      </c>
      <c r="JJ281">
        <v>0</v>
      </c>
      <c r="JK281">
        <v>0</v>
      </c>
      <c r="JL281">
        <v>0</v>
      </c>
      <c r="JM281">
        <v>0</v>
      </c>
      <c r="JQ281" t="s">
        <v>1043</v>
      </c>
      <c r="JT281">
        <v>0</v>
      </c>
      <c r="JU281" t="s">
        <v>1042</v>
      </c>
      <c r="JW281">
        <v>0</v>
      </c>
      <c r="KA281">
        <v>0</v>
      </c>
      <c r="KF281">
        <v>0</v>
      </c>
      <c r="KG281">
        <v>0</v>
      </c>
      <c r="KH281">
        <v>0</v>
      </c>
      <c r="KI281">
        <v>0</v>
      </c>
      <c r="KS281" t="s">
        <v>1073</v>
      </c>
      <c r="KT281">
        <v>0</v>
      </c>
      <c r="KU281">
        <v>0</v>
      </c>
      <c r="KV281">
        <v>0</v>
      </c>
      <c r="KX281">
        <v>0</v>
      </c>
      <c r="KZ281">
        <v>0</v>
      </c>
      <c r="LF281">
        <v>0</v>
      </c>
      <c r="LH281">
        <v>0</v>
      </c>
      <c r="LI281">
        <v>0</v>
      </c>
    </row>
    <row r="282" spans="1:321" x14ac:dyDescent="0.35">
      <c r="A282">
        <v>1</v>
      </c>
      <c r="B282">
        <v>12504</v>
      </c>
      <c r="C282" t="s">
        <v>1414</v>
      </c>
      <c r="D282" t="s">
        <v>1139</v>
      </c>
      <c r="E282" t="s">
        <v>1085</v>
      </c>
      <c r="F282">
        <v>80</v>
      </c>
      <c r="G282">
        <v>9000</v>
      </c>
      <c r="H282">
        <v>0</v>
      </c>
      <c r="I282" t="s">
        <v>1050</v>
      </c>
      <c r="L282">
        <v>0</v>
      </c>
      <c r="M282">
        <v>0</v>
      </c>
      <c r="N282">
        <v>0</v>
      </c>
      <c r="R282">
        <v>0</v>
      </c>
      <c r="S282">
        <v>0</v>
      </c>
      <c r="W282" t="s">
        <v>1060</v>
      </c>
      <c r="X282">
        <v>0</v>
      </c>
      <c r="Z282">
        <v>1</v>
      </c>
      <c r="AA282">
        <v>0</v>
      </c>
      <c r="AB282">
        <v>0</v>
      </c>
      <c r="AC282">
        <v>0</v>
      </c>
      <c r="AD282" s="20">
        <v>40793</v>
      </c>
      <c r="AE282">
        <v>2.68</v>
      </c>
      <c r="AF282">
        <v>0</v>
      </c>
      <c r="AH282">
        <v>0</v>
      </c>
      <c r="AJ282">
        <v>0</v>
      </c>
      <c r="AL282">
        <v>0</v>
      </c>
      <c r="AM282">
        <v>0</v>
      </c>
      <c r="AN282">
        <v>16601003</v>
      </c>
      <c r="AO282">
        <v>0</v>
      </c>
      <c r="AP282">
        <v>1000</v>
      </c>
      <c r="AT282">
        <v>0</v>
      </c>
      <c r="AU282" t="s">
        <v>1059</v>
      </c>
      <c r="AW282" t="s">
        <v>1053</v>
      </c>
      <c r="AX282">
        <v>0</v>
      </c>
      <c r="AY282" s="20">
        <v>40793</v>
      </c>
      <c r="BA282" s="20">
        <v>40793</v>
      </c>
      <c r="BB282" t="s">
        <v>1058</v>
      </c>
      <c r="BD282">
        <v>0</v>
      </c>
      <c r="BF282" t="s">
        <v>1043</v>
      </c>
      <c r="BG282" t="s">
        <v>1042</v>
      </c>
      <c r="BH282">
        <v>0</v>
      </c>
      <c r="BI282">
        <v>1</v>
      </c>
      <c r="BJ282">
        <v>0</v>
      </c>
      <c r="BK282">
        <v>0</v>
      </c>
      <c r="BM282" t="s">
        <v>1042</v>
      </c>
      <c r="BN282">
        <v>0</v>
      </c>
      <c r="BR282" t="s">
        <v>1043</v>
      </c>
      <c r="BS282" t="s">
        <v>1043</v>
      </c>
      <c r="BT282" t="s">
        <v>1043</v>
      </c>
      <c r="BW282">
        <v>83</v>
      </c>
      <c r="CA282">
        <v>0</v>
      </c>
      <c r="CB282" t="s">
        <v>1057</v>
      </c>
      <c r="CE282" t="s">
        <v>1043</v>
      </c>
      <c r="CH282" t="s">
        <v>1043</v>
      </c>
      <c r="CN282" t="s">
        <v>1056</v>
      </c>
      <c r="CO282" t="s">
        <v>1043</v>
      </c>
      <c r="CP282">
        <v>1</v>
      </c>
      <c r="CQ282">
        <v>0</v>
      </c>
      <c r="CS282">
        <v>0</v>
      </c>
      <c r="CT282">
        <v>0</v>
      </c>
      <c r="CU282">
        <v>0</v>
      </c>
      <c r="CV282" t="s">
        <v>1045</v>
      </c>
      <c r="CW282">
        <v>0</v>
      </c>
      <c r="CX282">
        <v>0</v>
      </c>
      <c r="CY282">
        <v>0</v>
      </c>
      <c r="CZ282">
        <v>0</v>
      </c>
      <c r="DB282">
        <v>0</v>
      </c>
      <c r="DC282" t="s">
        <v>1043</v>
      </c>
      <c r="DF282" t="s">
        <v>1055</v>
      </c>
      <c r="DH282">
        <v>0</v>
      </c>
      <c r="DJ282">
        <v>0</v>
      </c>
      <c r="DK282" t="s">
        <v>1053</v>
      </c>
      <c r="DL282">
        <v>0</v>
      </c>
      <c r="DN282">
        <v>0</v>
      </c>
      <c r="DO282" t="s">
        <v>1042</v>
      </c>
      <c r="DP282">
        <v>0</v>
      </c>
      <c r="DQ282">
        <v>0</v>
      </c>
      <c r="DS282">
        <v>0</v>
      </c>
      <c r="DU282">
        <v>0</v>
      </c>
      <c r="DW282">
        <v>0</v>
      </c>
      <c r="DX282" t="s">
        <v>1043</v>
      </c>
      <c r="DY282">
        <v>0</v>
      </c>
      <c r="DZ282">
        <v>0</v>
      </c>
      <c r="EA282">
        <v>0</v>
      </c>
      <c r="ED282" t="s">
        <v>1045</v>
      </c>
      <c r="EE282">
        <v>0</v>
      </c>
      <c r="EF282">
        <v>0</v>
      </c>
      <c r="EQ282" t="s">
        <v>1044</v>
      </c>
      <c r="ES282" t="s">
        <v>1053</v>
      </c>
      <c r="ET282">
        <v>0</v>
      </c>
      <c r="EV282">
        <v>0</v>
      </c>
      <c r="EY282" t="s">
        <v>1052</v>
      </c>
      <c r="EZ282">
        <v>0</v>
      </c>
      <c r="FA282" t="s">
        <v>1043</v>
      </c>
      <c r="FB282">
        <v>0</v>
      </c>
      <c r="FC282">
        <v>0</v>
      </c>
      <c r="FE282" t="s">
        <v>1050</v>
      </c>
      <c r="FF282">
        <v>0</v>
      </c>
      <c r="FG282" t="s">
        <v>1050</v>
      </c>
      <c r="FJ282">
        <v>0</v>
      </c>
      <c r="FK282">
        <v>0</v>
      </c>
      <c r="FP282">
        <v>0</v>
      </c>
      <c r="FR282">
        <v>0</v>
      </c>
      <c r="FS282" t="s">
        <v>1043</v>
      </c>
      <c r="FX282" t="s">
        <v>1042</v>
      </c>
      <c r="FZ282" t="s">
        <v>1048</v>
      </c>
      <c r="GA282">
        <v>0</v>
      </c>
      <c r="GB282" t="s">
        <v>1042</v>
      </c>
      <c r="GE282">
        <v>0</v>
      </c>
      <c r="GG282">
        <v>0</v>
      </c>
      <c r="GN282">
        <v>0</v>
      </c>
      <c r="GO282" t="s">
        <v>1063</v>
      </c>
      <c r="GQ282">
        <v>0</v>
      </c>
      <c r="GU282">
        <v>0</v>
      </c>
      <c r="GY282" t="s">
        <v>1045</v>
      </c>
      <c r="HB282">
        <v>0</v>
      </c>
      <c r="HE282">
        <v>0</v>
      </c>
      <c r="HF282">
        <v>0</v>
      </c>
      <c r="HG282">
        <v>0</v>
      </c>
      <c r="HK282" t="s">
        <v>1042</v>
      </c>
      <c r="HM282" t="s">
        <v>1047</v>
      </c>
      <c r="HN282">
        <v>0</v>
      </c>
      <c r="HP282">
        <v>0</v>
      </c>
      <c r="HQ282">
        <v>0</v>
      </c>
      <c r="HR282" t="s">
        <v>1042</v>
      </c>
      <c r="HS282" t="s">
        <v>1043</v>
      </c>
      <c r="HT282">
        <v>0</v>
      </c>
      <c r="HU282">
        <v>0</v>
      </c>
      <c r="HW282">
        <v>0</v>
      </c>
      <c r="HX282">
        <v>0</v>
      </c>
      <c r="HY282">
        <v>0</v>
      </c>
      <c r="HZ282" t="s">
        <v>1045</v>
      </c>
      <c r="IA282">
        <v>0</v>
      </c>
      <c r="IB282" t="s">
        <v>1045</v>
      </c>
      <c r="ID282" t="s">
        <v>1045</v>
      </c>
      <c r="IF282">
        <v>0</v>
      </c>
      <c r="IG282" t="s">
        <v>1042</v>
      </c>
      <c r="II282" t="s">
        <v>1042</v>
      </c>
      <c r="IR282" t="s">
        <v>1045</v>
      </c>
      <c r="IT282">
        <v>0</v>
      </c>
      <c r="IY282" t="s">
        <v>1044</v>
      </c>
      <c r="IZ282" t="s">
        <v>1043</v>
      </c>
      <c r="JC282" t="s">
        <v>1043</v>
      </c>
      <c r="JE282">
        <v>0</v>
      </c>
      <c r="JF282">
        <v>0</v>
      </c>
      <c r="JI282" t="s">
        <v>1042</v>
      </c>
      <c r="JJ282">
        <v>0</v>
      </c>
      <c r="JK282">
        <v>0</v>
      </c>
      <c r="JL282">
        <v>0</v>
      </c>
      <c r="JM282">
        <v>0</v>
      </c>
      <c r="JQ282" t="s">
        <v>1043</v>
      </c>
      <c r="JT282">
        <v>0</v>
      </c>
      <c r="JU282" t="s">
        <v>1042</v>
      </c>
      <c r="JW282">
        <v>0</v>
      </c>
      <c r="KA282">
        <v>0</v>
      </c>
      <c r="KF282">
        <v>0</v>
      </c>
      <c r="KG282">
        <v>0</v>
      </c>
      <c r="KH282">
        <v>0</v>
      </c>
      <c r="KI282">
        <v>0</v>
      </c>
      <c r="KS282" t="s">
        <v>1073</v>
      </c>
      <c r="KT282">
        <v>0</v>
      </c>
      <c r="KU282">
        <v>0</v>
      </c>
      <c r="KV282">
        <v>0</v>
      </c>
      <c r="KX282">
        <v>0</v>
      </c>
      <c r="KZ282">
        <v>0</v>
      </c>
      <c r="LF282">
        <v>0</v>
      </c>
      <c r="LH282">
        <v>0</v>
      </c>
      <c r="LI282">
        <v>0</v>
      </c>
    </row>
    <row r="283" spans="1:321" x14ac:dyDescent="0.35">
      <c r="A283">
        <v>1</v>
      </c>
      <c r="B283">
        <v>12505</v>
      </c>
      <c r="C283" t="s">
        <v>1413</v>
      </c>
      <c r="D283" t="s">
        <v>1139</v>
      </c>
      <c r="E283" t="s">
        <v>1085</v>
      </c>
      <c r="F283">
        <v>80</v>
      </c>
      <c r="G283">
        <v>9000</v>
      </c>
      <c r="H283">
        <v>0</v>
      </c>
      <c r="I283" t="s">
        <v>1050</v>
      </c>
      <c r="L283">
        <v>0</v>
      </c>
      <c r="M283">
        <v>0</v>
      </c>
      <c r="N283">
        <v>0</v>
      </c>
      <c r="R283">
        <v>0</v>
      </c>
      <c r="S283">
        <v>0</v>
      </c>
      <c r="W283" t="s">
        <v>1060</v>
      </c>
      <c r="X283">
        <v>0</v>
      </c>
      <c r="Z283">
        <v>1</v>
      </c>
      <c r="AA283">
        <v>0</v>
      </c>
      <c r="AB283">
        <v>0</v>
      </c>
      <c r="AC283">
        <v>0</v>
      </c>
      <c r="AD283" s="20">
        <v>40793</v>
      </c>
      <c r="AE283">
        <v>2.68</v>
      </c>
      <c r="AF283">
        <v>0</v>
      </c>
      <c r="AH283">
        <v>0</v>
      </c>
      <c r="AJ283">
        <v>0</v>
      </c>
      <c r="AL283">
        <v>0</v>
      </c>
      <c r="AM283">
        <v>0</v>
      </c>
      <c r="AN283">
        <v>16601003</v>
      </c>
      <c r="AO283">
        <v>0</v>
      </c>
      <c r="AP283">
        <v>1000</v>
      </c>
      <c r="AT283">
        <v>0</v>
      </c>
      <c r="AU283" t="s">
        <v>1059</v>
      </c>
      <c r="AW283" t="s">
        <v>1053</v>
      </c>
      <c r="AX283">
        <v>0</v>
      </c>
      <c r="AY283" s="20">
        <v>40793</v>
      </c>
      <c r="BA283" s="20">
        <v>40793</v>
      </c>
      <c r="BB283" t="s">
        <v>1058</v>
      </c>
      <c r="BD283">
        <v>0</v>
      </c>
      <c r="BF283" t="s">
        <v>1043</v>
      </c>
      <c r="BG283" t="s">
        <v>1042</v>
      </c>
      <c r="BH283">
        <v>0</v>
      </c>
      <c r="BI283">
        <v>1</v>
      </c>
      <c r="BJ283">
        <v>0</v>
      </c>
      <c r="BK283">
        <v>0</v>
      </c>
      <c r="BM283" t="s">
        <v>1042</v>
      </c>
      <c r="BN283">
        <v>0</v>
      </c>
      <c r="BR283" t="s">
        <v>1043</v>
      </c>
      <c r="BS283" t="s">
        <v>1043</v>
      </c>
      <c r="BT283" t="s">
        <v>1043</v>
      </c>
      <c r="BW283">
        <v>83</v>
      </c>
      <c r="CA283">
        <v>0</v>
      </c>
      <c r="CB283" t="s">
        <v>1057</v>
      </c>
      <c r="CE283" t="s">
        <v>1043</v>
      </c>
      <c r="CH283" t="s">
        <v>1043</v>
      </c>
      <c r="CN283" t="s">
        <v>1056</v>
      </c>
      <c r="CO283" t="s">
        <v>1043</v>
      </c>
      <c r="CP283">
        <v>1</v>
      </c>
      <c r="CQ283">
        <v>0</v>
      </c>
      <c r="CS283">
        <v>0</v>
      </c>
      <c r="CT283">
        <v>0</v>
      </c>
      <c r="CU283">
        <v>0</v>
      </c>
      <c r="CV283" t="s">
        <v>1045</v>
      </c>
      <c r="CW283">
        <v>0</v>
      </c>
      <c r="CX283">
        <v>0</v>
      </c>
      <c r="CY283">
        <v>0</v>
      </c>
      <c r="CZ283">
        <v>0</v>
      </c>
      <c r="DB283">
        <v>0</v>
      </c>
      <c r="DC283" t="s">
        <v>1043</v>
      </c>
      <c r="DF283" t="s">
        <v>1055</v>
      </c>
      <c r="DH283">
        <v>0</v>
      </c>
      <c r="DJ283">
        <v>0</v>
      </c>
      <c r="DK283" t="s">
        <v>1053</v>
      </c>
      <c r="DL283">
        <v>0</v>
      </c>
      <c r="DN283">
        <v>0</v>
      </c>
      <c r="DO283" t="s">
        <v>1042</v>
      </c>
      <c r="DP283">
        <v>0</v>
      </c>
      <c r="DQ283">
        <v>0</v>
      </c>
      <c r="DS283">
        <v>0</v>
      </c>
      <c r="DU283">
        <v>0</v>
      </c>
      <c r="DW283">
        <v>0</v>
      </c>
      <c r="DX283" t="s">
        <v>1043</v>
      </c>
      <c r="DY283">
        <v>0</v>
      </c>
      <c r="DZ283">
        <v>0</v>
      </c>
      <c r="EA283">
        <v>0</v>
      </c>
      <c r="ED283" t="s">
        <v>1045</v>
      </c>
      <c r="EE283">
        <v>0</v>
      </c>
      <c r="EF283">
        <v>0</v>
      </c>
      <c r="EQ283" t="s">
        <v>1044</v>
      </c>
      <c r="ES283" t="s">
        <v>1053</v>
      </c>
      <c r="ET283">
        <v>0</v>
      </c>
      <c r="EV283">
        <v>0</v>
      </c>
      <c r="EY283" t="s">
        <v>1052</v>
      </c>
      <c r="EZ283">
        <v>0</v>
      </c>
      <c r="FA283" t="s">
        <v>1043</v>
      </c>
      <c r="FB283">
        <v>0</v>
      </c>
      <c r="FC283">
        <v>0</v>
      </c>
      <c r="FE283" t="s">
        <v>1050</v>
      </c>
      <c r="FF283">
        <v>0</v>
      </c>
      <c r="FG283" t="s">
        <v>1050</v>
      </c>
      <c r="FJ283">
        <v>0</v>
      </c>
      <c r="FK283">
        <v>0</v>
      </c>
      <c r="FP283">
        <v>0</v>
      </c>
      <c r="FR283">
        <v>0</v>
      </c>
      <c r="FS283" t="s">
        <v>1043</v>
      </c>
      <c r="FX283" t="s">
        <v>1042</v>
      </c>
      <c r="FZ283" t="s">
        <v>1048</v>
      </c>
      <c r="GA283">
        <v>0</v>
      </c>
      <c r="GB283" t="s">
        <v>1042</v>
      </c>
      <c r="GE283">
        <v>0</v>
      </c>
      <c r="GG283">
        <v>0</v>
      </c>
      <c r="GN283">
        <v>0</v>
      </c>
      <c r="GO283" t="s">
        <v>1063</v>
      </c>
      <c r="GQ283">
        <v>0</v>
      </c>
      <c r="GU283">
        <v>0</v>
      </c>
      <c r="GY283" t="s">
        <v>1045</v>
      </c>
      <c r="HB283">
        <v>0</v>
      </c>
      <c r="HE283">
        <v>0</v>
      </c>
      <c r="HF283">
        <v>0</v>
      </c>
      <c r="HG283">
        <v>0</v>
      </c>
      <c r="HK283" t="s">
        <v>1042</v>
      </c>
      <c r="HM283" t="s">
        <v>1047</v>
      </c>
      <c r="HN283">
        <v>0</v>
      </c>
      <c r="HP283">
        <v>0</v>
      </c>
      <c r="HQ283">
        <v>0</v>
      </c>
      <c r="HR283" t="s">
        <v>1042</v>
      </c>
      <c r="HS283" t="s">
        <v>1043</v>
      </c>
      <c r="HT283">
        <v>0</v>
      </c>
      <c r="HU283">
        <v>0</v>
      </c>
      <c r="HW283">
        <v>0</v>
      </c>
      <c r="HX283">
        <v>0</v>
      </c>
      <c r="HY283">
        <v>0</v>
      </c>
      <c r="HZ283" t="s">
        <v>1045</v>
      </c>
      <c r="IA283">
        <v>0</v>
      </c>
      <c r="IB283" t="s">
        <v>1045</v>
      </c>
      <c r="ID283" t="s">
        <v>1045</v>
      </c>
      <c r="IF283">
        <v>0</v>
      </c>
      <c r="IG283" t="s">
        <v>1042</v>
      </c>
      <c r="II283" t="s">
        <v>1042</v>
      </c>
      <c r="IR283" t="s">
        <v>1045</v>
      </c>
      <c r="IT283">
        <v>0</v>
      </c>
      <c r="IY283" t="s">
        <v>1044</v>
      </c>
      <c r="IZ283" t="s">
        <v>1043</v>
      </c>
      <c r="JC283" t="s">
        <v>1043</v>
      </c>
      <c r="JE283">
        <v>0</v>
      </c>
      <c r="JF283">
        <v>0</v>
      </c>
      <c r="JI283" t="s">
        <v>1042</v>
      </c>
      <c r="JJ283">
        <v>0</v>
      </c>
      <c r="JK283">
        <v>0</v>
      </c>
      <c r="JL283">
        <v>0</v>
      </c>
      <c r="JM283">
        <v>0</v>
      </c>
      <c r="JQ283" t="s">
        <v>1043</v>
      </c>
      <c r="JT283">
        <v>0</v>
      </c>
      <c r="JU283" t="s">
        <v>1042</v>
      </c>
      <c r="JW283">
        <v>0</v>
      </c>
      <c r="KA283">
        <v>0</v>
      </c>
      <c r="KF283">
        <v>0</v>
      </c>
      <c r="KG283">
        <v>0</v>
      </c>
      <c r="KH283">
        <v>0</v>
      </c>
      <c r="KI283">
        <v>0</v>
      </c>
      <c r="KS283" t="s">
        <v>1073</v>
      </c>
      <c r="KT283">
        <v>0</v>
      </c>
      <c r="KU283">
        <v>0</v>
      </c>
      <c r="KV283">
        <v>0</v>
      </c>
      <c r="KX283">
        <v>0</v>
      </c>
      <c r="KZ283">
        <v>0</v>
      </c>
      <c r="LF283">
        <v>0</v>
      </c>
      <c r="LH283">
        <v>0</v>
      </c>
      <c r="LI283">
        <v>0</v>
      </c>
    </row>
    <row r="284" spans="1:321" x14ac:dyDescent="0.35">
      <c r="A284">
        <v>1</v>
      </c>
      <c r="B284">
        <v>12506</v>
      </c>
      <c r="C284" t="s">
        <v>1412</v>
      </c>
      <c r="D284" t="s">
        <v>1139</v>
      </c>
      <c r="E284" t="s">
        <v>1085</v>
      </c>
      <c r="F284">
        <v>80</v>
      </c>
      <c r="G284">
        <v>9000</v>
      </c>
      <c r="H284">
        <v>0</v>
      </c>
      <c r="I284" t="s">
        <v>1050</v>
      </c>
      <c r="L284">
        <v>0</v>
      </c>
      <c r="M284">
        <v>0</v>
      </c>
      <c r="N284">
        <v>0</v>
      </c>
      <c r="R284">
        <v>0</v>
      </c>
      <c r="S284">
        <v>0</v>
      </c>
      <c r="W284" t="s">
        <v>1060</v>
      </c>
      <c r="X284">
        <v>0</v>
      </c>
      <c r="Z284">
        <v>1</v>
      </c>
      <c r="AA284">
        <v>0</v>
      </c>
      <c r="AB284">
        <v>0</v>
      </c>
      <c r="AC284">
        <v>0</v>
      </c>
      <c r="AD284" s="20">
        <v>40793</v>
      </c>
      <c r="AE284">
        <v>2.68</v>
      </c>
      <c r="AF284">
        <v>0</v>
      </c>
      <c r="AH284">
        <v>0</v>
      </c>
      <c r="AJ284">
        <v>0</v>
      </c>
      <c r="AL284">
        <v>0</v>
      </c>
      <c r="AM284">
        <v>0</v>
      </c>
      <c r="AN284">
        <v>16601003</v>
      </c>
      <c r="AO284">
        <v>0</v>
      </c>
      <c r="AP284">
        <v>1000</v>
      </c>
      <c r="AT284">
        <v>0</v>
      </c>
      <c r="AU284" t="s">
        <v>1059</v>
      </c>
      <c r="AW284" t="s">
        <v>1053</v>
      </c>
      <c r="AX284">
        <v>0</v>
      </c>
      <c r="AY284" s="20">
        <v>40793</v>
      </c>
      <c r="BA284" s="20">
        <v>40793</v>
      </c>
      <c r="BB284" t="s">
        <v>1058</v>
      </c>
      <c r="BD284">
        <v>0</v>
      </c>
      <c r="BF284" t="s">
        <v>1043</v>
      </c>
      <c r="BG284" t="s">
        <v>1042</v>
      </c>
      <c r="BH284">
        <v>0</v>
      </c>
      <c r="BI284">
        <v>1</v>
      </c>
      <c r="BJ284">
        <v>0</v>
      </c>
      <c r="BK284">
        <v>0</v>
      </c>
      <c r="BM284" t="s">
        <v>1042</v>
      </c>
      <c r="BN284">
        <v>0</v>
      </c>
      <c r="BR284" t="s">
        <v>1043</v>
      </c>
      <c r="BS284" t="s">
        <v>1043</v>
      </c>
      <c r="BT284" t="s">
        <v>1043</v>
      </c>
      <c r="BW284">
        <v>83</v>
      </c>
      <c r="CA284">
        <v>0</v>
      </c>
      <c r="CB284" t="s">
        <v>1057</v>
      </c>
      <c r="CE284" t="s">
        <v>1043</v>
      </c>
      <c r="CH284" t="s">
        <v>1043</v>
      </c>
      <c r="CN284" t="s">
        <v>1056</v>
      </c>
      <c r="CO284" t="s">
        <v>1043</v>
      </c>
      <c r="CP284">
        <v>1</v>
      </c>
      <c r="CQ284">
        <v>0</v>
      </c>
      <c r="CS284">
        <v>0</v>
      </c>
      <c r="CT284">
        <v>0</v>
      </c>
      <c r="CU284">
        <v>0</v>
      </c>
      <c r="CV284" t="s">
        <v>1045</v>
      </c>
      <c r="CW284">
        <v>0</v>
      </c>
      <c r="CX284">
        <v>0</v>
      </c>
      <c r="CY284">
        <v>0</v>
      </c>
      <c r="CZ284">
        <v>0</v>
      </c>
      <c r="DB284">
        <v>0</v>
      </c>
      <c r="DC284" t="s">
        <v>1043</v>
      </c>
      <c r="DF284" t="s">
        <v>1055</v>
      </c>
      <c r="DH284">
        <v>0</v>
      </c>
      <c r="DJ284">
        <v>0</v>
      </c>
      <c r="DK284" t="s">
        <v>1053</v>
      </c>
      <c r="DL284">
        <v>0</v>
      </c>
      <c r="DN284">
        <v>0</v>
      </c>
      <c r="DO284" t="s">
        <v>1042</v>
      </c>
      <c r="DP284">
        <v>0</v>
      </c>
      <c r="DQ284">
        <v>0</v>
      </c>
      <c r="DS284">
        <v>0</v>
      </c>
      <c r="DU284">
        <v>0</v>
      </c>
      <c r="DW284">
        <v>0</v>
      </c>
      <c r="DX284" t="s">
        <v>1043</v>
      </c>
      <c r="DY284">
        <v>0</v>
      </c>
      <c r="DZ284">
        <v>0</v>
      </c>
      <c r="EA284">
        <v>0</v>
      </c>
      <c r="ED284" t="s">
        <v>1045</v>
      </c>
      <c r="EE284">
        <v>0</v>
      </c>
      <c r="EF284">
        <v>0</v>
      </c>
      <c r="EQ284" t="s">
        <v>1044</v>
      </c>
      <c r="ES284" t="s">
        <v>1053</v>
      </c>
      <c r="ET284">
        <v>0</v>
      </c>
      <c r="EV284">
        <v>0</v>
      </c>
      <c r="EY284" t="s">
        <v>1052</v>
      </c>
      <c r="EZ284">
        <v>0</v>
      </c>
      <c r="FA284" t="s">
        <v>1043</v>
      </c>
      <c r="FB284">
        <v>0</v>
      </c>
      <c r="FC284">
        <v>0</v>
      </c>
      <c r="FE284" t="s">
        <v>1050</v>
      </c>
      <c r="FF284">
        <v>0</v>
      </c>
      <c r="FG284" t="s">
        <v>1050</v>
      </c>
      <c r="FJ284">
        <v>0</v>
      </c>
      <c r="FK284">
        <v>0</v>
      </c>
      <c r="FP284">
        <v>0</v>
      </c>
      <c r="FR284">
        <v>0</v>
      </c>
      <c r="FS284" t="s">
        <v>1043</v>
      </c>
      <c r="FX284" t="s">
        <v>1042</v>
      </c>
      <c r="FZ284" t="s">
        <v>1048</v>
      </c>
      <c r="GA284">
        <v>0</v>
      </c>
      <c r="GB284" t="s">
        <v>1042</v>
      </c>
      <c r="GE284">
        <v>0</v>
      </c>
      <c r="GG284">
        <v>0</v>
      </c>
      <c r="GN284">
        <v>0</v>
      </c>
      <c r="GO284" t="s">
        <v>1063</v>
      </c>
      <c r="GQ284">
        <v>0</v>
      </c>
      <c r="GU284">
        <v>0</v>
      </c>
      <c r="GY284" t="s">
        <v>1045</v>
      </c>
      <c r="HB284">
        <v>0</v>
      </c>
      <c r="HE284">
        <v>0</v>
      </c>
      <c r="HF284">
        <v>0</v>
      </c>
      <c r="HG284">
        <v>0</v>
      </c>
      <c r="HK284" t="s">
        <v>1042</v>
      </c>
      <c r="HM284" t="s">
        <v>1047</v>
      </c>
      <c r="HN284">
        <v>0</v>
      </c>
      <c r="HP284">
        <v>0</v>
      </c>
      <c r="HQ284">
        <v>0</v>
      </c>
      <c r="HR284" t="s">
        <v>1042</v>
      </c>
      <c r="HS284" t="s">
        <v>1043</v>
      </c>
      <c r="HT284">
        <v>0</v>
      </c>
      <c r="HU284">
        <v>0</v>
      </c>
      <c r="HW284">
        <v>0</v>
      </c>
      <c r="HX284">
        <v>0</v>
      </c>
      <c r="HY284">
        <v>0</v>
      </c>
      <c r="HZ284" t="s">
        <v>1045</v>
      </c>
      <c r="IA284">
        <v>0</v>
      </c>
      <c r="IB284" t="s">
        <v>1045</v>
      </c>
      <c r="ID284" t="s">
        <v>1045</v>
      </c>
      <c r="IF284">
        <v>0</v>
      </c>
      <c r="IG284" t="s">
        <v>1042</v>
      </c>
      <c r="II284" t="s">
        <v>1042</v>
      </c>
      <c r="IR284" t="s">
        <v>1045</v>
      </c>
      <c r="IT284">
        <v>0</v>
      </c>
      <c r="IY284" t="s">
        <v>1044</v>
      </c>
      <c r="IZ284" t="s">
        <v>1043</v>
      </c>
      <c r="JC284" t="s">
        <v>1043</v>
      </c>
      <c r="JE284">
        <v>0</v>
      </c>
      <c r="JF284">
        <v>0</v>
      </c>
      <c r="JI284" t="s">
        <v>1042</v>
      </c>
      <c r="JJ284">
        <v>0</v>
      </c>
      <c r="JK284">
        <v>0</v>
      </c>
      <c r="JL284">
        <v>0</v>
      </c>
      <c r="JM284">
        <v>0</v>
      </c>
      <c r="JQ284" t="s">
        <v>1043</v>
      </c>
      <c r="JT284">
        <v>0</v>
      </c>
      <c r="JU284" t="s">
        <v>1042</v>
      </c>
      <c r="JW284">
        <v>0</v>
      </c>
      <c r="KA284">
        <v>0</v>
      </c>
      <c r="KF284">
        <v>0</v>
      </c>
      <c r="KG284">
        <v>0</v>
      </c>
      <c r="KH284">
        <v>0</v>
      </c>
      <c r="KI284">
        <v>0</v>
      </c>
      <c r="KS284" t="s">
        <v>1073</v>
      </c>
      <c r="KT284">
        <v>0</v>
      </c>
      <c r="KU284">
        <v>0</v>
      </c>
      <c r="KV284">
        <v>0</v>
      </c>
      <c r="KX284">
        <v>0</v>
      </c>
      <c r="KZ284">
        <v>0</v>
      </c>
      <c r="LF284">
        <v>0</v>
      </c>
      <c r="LH284">
        <v>0</v>
      </c>
      <c r="LI284">
        <v>0</v>
      </c>
    </row>
    <row r="285" spans="1:321" x14ac:dyDescent="0.35">
      <c r="A285">
        <v>1</v>
      </c>
      <c r="B285">
        <v>12507</v>
      </c>
      <c r="C285" t="s">
        <v>1411</v>
      </c>
      <c r="D285" t="s">
        <v>1139</v>
      </c>
      <c r="E285" t="s">
        <v>1085</v>
      </c>
      <c r="F285">
        <v>80</v>
      </c>
      <c r="G285">
        <v>9000</v>
      </c>
      <c r="H285">
        <v>0</v>
      </c>
      <c r="I285" t="s">
        <v>1050</v>
      </c>
      <c r="L285">
        <v>0</v>
      </c>
      <c r="M285">
        <v>0</v>
      </c>
      <c r="N285">
        <v>0</v>
      </c>
      <c r="R285">
        <v>0</v>
      </c>
      <c r="S285">
        <v>0</v>
      </c>
      <c r="W285" t="s">
        <v>1060</v>
      </c>
      <c r="X285">
        <v>0</v>
      </c>
      <c r="Z285">
        <v>1</v>
      </c>
      <c r="AA285">
        <v>0</v>
      </c>
      <c r="AB285">
        <v>0</v>
      </c>
      <c r="AC285">
        <v>0</v>
      </c>
      <c r="AD285" s="20">
        <v>40793</v>
      </c>
      <c r="AE285">
        <v>2.68</v>
      </c>
      <c r="AF285">
        <v>0</v>
      </c>
      <c r="AH285">
        <v>0</v>
      </c>
      <c r="AJ285">
        <v>0</v>
      </c>
      <c r="AL285">
        <v>0</v>
      </c>
      <c r="AM285">
        <v>0</v>
      </c>
      <c r="AN285">
        <v>16601001</v>
      </c>
      <c r="AO285">
        <v>0</v>
      </c>
      <c r="AP285">
        <v>1000</v>
      </c>
      <c r="AT285">
        <v>0</v>
      </c>
      <c r="AU285" t="s">
        <v>1059</v>
      </c>
      <c r="AW285" t="s">
        <v>1053</v>
      </c>
      <c r="AX285">
        <v>0</v>
      </c>
      <c r="AY285" s="20">
        <v>40793</v>
      </c>
      <c r="BA285" s="20">
        <v>40793</v>
      </c>
      <c r="BB285" t="s">
        <v>1058</v>
      </c>
      <c r="BD285">
        <v>0</v>
      </c>
      <c r="BF285" t="s">
        <v>1043</v>
      </c>
      <c r="BG285" t="s">
        <v>1042</v>
      </c>
      <c r="BH285">
        <v>0</v>
      </c>
      <c r="BI285">
        <v>1</v>
      </c>
      <c r="BJ285">
        <v>0</v>
      </c>
      <c r="BK285">
        <v>0</v>
      </c>
      <c r="BM285" t="s">
        <v>1042</v>
      </c>
      <c r="BN285">
        <v>0</v>
      </c>
      <c r="BR285" t="s">
        <v>1043</v>
      </c>
      <c r="BS285" t="s">
        <v>1043</v>
      </c>
      <c r="BT285" t="s">
        <v>1043</v>
      </c>
      <c r="BW285">
        <v>83</v>
      </c>
      <c r="CA285">
        <v>0</v>
      </c>
      <c r="CB285" t="s">
        <v>1057</v>
      </c>
      <c r="CE285" t="s">
        <v>1043</v>
      </c>
      <c r="CH285" t="s">
        <v>1043</v>
      </c>
      <c r="CN285" t="s">
        <v>1056</v>
      </c>
      <c r="CO285" t="s">
        <v>1043</v>
      </c>
      <c r="CP285">
        <v>1</v>
      </c>
      <c r="CQ285">
        <v>0</v>
      </c>
      <c r="CS285">
        <v>0</v>
      </c>
      <c r="CT285">
        <v>0</v>
      </c>
      <c r="CU285">
        <v>0</v>
      </c>
      <c r="CV285" t="s">
        <v>1045</v>
      </c>
      <c r="CW285">
        <v>0</v>
      </c>
      <c r="CX285">
        <v>0</v>
      </c>
      <c r="CY285">
        <v>0</v>
      </c>
      <c r="CZ285">
        <v>0</v>
      </c>
      <c r="DB285">
        <v>0</v>
      </c>
      <c r="DC285" t="s">
        <v>1043</v>
      </c>
      <c r="DF285" t="s">
        <v>1055</v>
      </c>
      <c r="DH285">
        <v>0</v>
      </c>
      <c r="DJ285">
        <v>0</v>
      </c>
      <c r="DK285" t="s">
        <v>1053</v>
      </c>
      <c r="DL285">
        <v>0</v>
      </c>
      <c r="DN285">
        <v>0</v>
      </c>
      <c r="DO285" t="s">
        <v>1042</v>
      </c>
      <c r="DP285">
        <v>0</v>
      </c>
      <c r="DQ285">
        <v>0</v>
      </c>
      <c r="DS285">
        <v>0</v>
      </c>
      <c r="DU285">
        <v>0</v>
      </c>
      <c r="DW285">
        <v>0</v>
      </c>
      <c r="DX285" t="s">
        <v>1043</v>
      </c>
      <c r="DY285">
        <v>0</v>
      </c>
      <c r="DZ285">
        <v>0</v>
      </c>
      <c r="EA285">
        <v>0</v>
      </c>
      <c r="ED285" t="s">
        <v>1045</v>
      </c>
      <c r="EE285">
        <v>0</v>
      </c>
      <c r="EF285">
        <v>0</v>
      </c>
      <c r="EQ285" t="s">
        <v>1044</v>
      </c>
      <c r="ES285" t="s">
        <v>1053</v>
      </c>
      <c r="ET285">
        <v>0</v>
      </c>
      <c r="EV285">
        <v>0</v>
      </c>
      <c r="EY285" t="s">
        <v>1052</v>
      </c>
      <c r="EZ285">
        <v>0</v>
      </c>
      <c r="FA285" t="s">
        <v>1043</v>
      </c>
      <c r="FB285">
        <v>0</v>
      </c>
      <c r="FC285">
        <v>0</v>
      </c>
      <c r="FE285" t="s">
        <v>1050</v>
      </c>
      <c r="FF285">
        <v>0</v>
      </c>
      <c r="FG285" t="s">
        <v>1050</v>
      </c>
      <c r="FJ285">
        <v>0</v>
      </c>
      <c r="FK285">
        <v>0</v>
      </c>
      <c r="FP285">
        <v>0</v>
      </c>
      <c r="FR285">
        <v>0</v>
      </c>
      <c r="FS285" t="s">
        <v>1043</v>
      </c>
      <c r="FX285" t="s">
        <v>1042</v>
      </c>
      <c r="FZ285" t="s">
        <v>1048</v>
      </c>
      <c r="GA285">
        <v>0</v>
      </c>
      <c r="GB285" t="s">
        <v>1042</v>
      </c>
      <c r="GE285">
        <v>0</v>
      </c>
      <c r="GG285">
        <v>0</v>
      </c>
      <c r="GN285">
        <v>0</v>
      </c>
      <c r="GO285" t="s">
        <v>1063</v>
      </c>
      <c r="GQ285">
        <v>0</v>
      </c>
      <c r="GU285">
        <v>0</v>
      </c>
      <c r="GY285" t="s">
        <v>1045</v>
      </c>
      <c r="HB285">
        <v>0</v>
      </c>
      <c r="HE285">
        <v>0</v>
      </c>
      <c r="HF285">
        <v>0</v>
      </c>
      <c r="HG285">
        <v>0</v>
      </c>
      <c r="HK285" t="s">
        <v>1042</v>
      </c>
      <c r="HM285" t="s">
        <v>1047</v>
      </c>
      <c r="HN285">
        <v>0</v>
      </c>
      <c r="HP285">
        <v>0</v>
      </c>
      <c r="HQ285">
        <v>0</v>
      </c>
      <c r="HR285" t="s">
        <v>1042</v>
      </c>
      <c r="HS285" t="s">
        <v>1043</v>
      </c>
      <c r="HT285">
        <v>0</v>
      </c>
      <c r="HU285">
        <v>0</v>
      </c>
      <c r="HW285">
        <v>0</v>
      </c>
      <c r="HX285">
        <v>0</v>
      </c>
      <c r="HY285">
        <v>0</v>
      </c>
      <c r="HZ285" t="s">
        <v>1045</v>
      </c>
      <c r="IA285">
        <v>0</v>
      </c>
      <c r="IB285" t="s">
        <v>1045</v>
      </c>
      <c r="ID285" t="s">
        <v>1045</v>
      </c>
      <c r="IF285">
        <v>0</v>
      </c>
      <c r="IG285" t="s">
        <v>1042</v>
      </c>
      <c r="II285" t="s">
        <v>1042</v>
      </c>
      <c r="IR285" t="s">
        <v>1045</v>
      </c>
      <c r="IT285">
        <v>0</v>
      </c>
      <c r="IY285" t="s">
        <v>1044</v>
      </c>
      <c r="IZ285" t="s">
        <v>1043</v>
      </c>
      <c r="JC285" t="s">
        <v>1043</v>
      </c>
      <c r="JE285">
        <v>0</v>
      </c>
      <c r="JF285">
        <v>0</v>
      </c>
      <c r="JI285" t="s">
        <v>1042</v>
      </c>
      <c r="JJ285">
        <v>0</v>
      </c>
      <c r="JK285">
        <v>0</v>
      </c>
      <c r="JL285">
        <v>0</v>
      </c>
      <c r="JM285">
        <v>0</v>
      </c>
      <c r="JQ285" t="s">
        <v>1043</v>
      </c>
      <c r="JT285">
        <v>0</v>
      </c>
      <c r="JU285" t="s">
        <v>1042</v>
      </c>
      <c r="JW285">
        <v>0</v>
      </c>
      <c r="KA285">
        <v>0</v>
      </c>
      <c r="KF285">
        <v>0</v>
      </c>
      <c r="KG285">
        <v>0</v>
      </c>
      <c r="KH285">
        <v>0</v>
      </c>
      <c r="KI285">
        <v>0</v>
      </c>
      <c r="KS285" t="s">
        <v>1073</v>
      </c>
      <c r="KT285">
        <v>0</v>
      </c>
      <c r="KU285">
        <v>0</v>
      </c>
      <c r="KV285">
        <v>0</v>
      </c>
      <c r="KX285">
        <v>0</v>
      </c>
      <c r="KZ285">
        <v>0</v>
      </c>
      <c r="LF285">
        <v>0</v>
      </c>
      <c r="LH285">
        <v>0</v>
      </c>
      <c r="LI285">
        <v>0</v>
      </c>
    </row>
    <row r="286" spans="1:321" x14ac:dyDescent="0.35">
      <c r="A286">
        <v>1</v>
      </c>
      <c r="B286">
        <v>12508</v>
      </c>
      <c r="C286" t="s">
        <v>1410</v>
      </c>
      <c r="D286" t="s">
        <v>1139</v>
      </c>
      <c r="E286" t="s">
        <v>85</v>
      </c>
      <c r="F286">
        <v>80</v>
      </c>
      <c r="G286">
        <v>9000</v>
      </c>
      <c r="H286">
        <v>0</v>
      </c>
      <c r="I286" t="s">
        <v>1409</v>
      </c>
      <c r="L286">
        <v>0</v>
      </c>
      <c r="M286">
        <v>0</v>
      </c>
      <c r="N286">
        <v>0</v>
      </c>
      <c r="R286">
        <v>0</v>
      </c>
      <c r="S286">
        <v>0</v>
      </c>
      <c r="W286" t="s">
        <v>1060</v>
      </c>
      <c r="X286">
        <v>0</v>
      </c>
      <c r="Z286">
        <v>1</v>
      </c>
      <c r="AA286">
        <v>0</v>
      </c>
      <c r="AB286">
        <v>0</v>
      </c>
      <c r="AC286">
        <v>3.48</v>
      </c>
      <c r="AD286" s="20">
        <v>40786</v>
      </c>
      <c r="AE286">
        <v>0</v>
      </c>
      <c r="AF286">
        <v>0</v>
      </c>
      <c r="AH286">
        <v>0</v>
      </c>
      <c r="AJ286">
        <v>0</v>
      </c>
      <c r="AL286">
        <v>0</v>
      </c>
      <c r="AM286">
        <v>0</v>
      </c>
      <c r="AN286">
        <v>16601001</v>
      </c>
      <c r="AO286">
        <v>0</v>
      </c>
      <c r="AP286">
        <v>1000</v>
      </c>
      <c r="AT286">
        <v>0</v>
      </c>
      <c r="AU286" t="s">
        <v>1059</v>
      </c>
      <c r="AW286" t="s">
        <v>1053</v>
      </c>
      <c r="AX286">
        <v>0</v>
      </c>
      <c r="AY286" s="20">
        <v>40786</v>
      </c>
      <c r="BA286" s="20">
        <v>40786</v>
      </c>
      <c r="BB286" t="s">
        <v>1058</v>
      </c>
      <c r="BD286">
        <v>0</v>
      </c>
      <c r="BF286" t="s">
        <v>1043</v>
      </c>
      <c r="BG286" t="s">
        <v>1042</v>
      </c>
      <c r="BH286">
        <v>0</v>
      </c>
      <c r="BI286">
        <v>1</v>
      </c>
      <c r="BJ286">
        <v>0</v>
      </c>
      <c r="BK286">
        <v>0</v>
      </c>
      <c r="BM286" t="s">
        <v>1042</v>
      </c>
      <c r="BN286">
        <v>0</v>
      </c>
      <c r="BR286" t="s">
        <v>1043</v>
      </c>
      <c r="BS286" t="s">
        <v>1043</v>
      </c>
      <c r="BT286" t="s">
        <v>1043</v>
      </c>
      <c r="BW286">
        <v>83</v>
      </c>
      <c r="CA286">
        <v>0</v>
      </c>
      <c r="CB286" t="s">
        <v>1057</v>
      </c>
      <c r="CE286" t="s">
        <v>1043</v>
      </c>
      <c r="CH286" t="s">
        <v>1043</v>
      </c>
      <c r="CN286" t="s">
        <v>1056</v>
      </c>
      <c r="CO286" t="s">
        <v>1043</v>
      </c>
      <c r="CP286">
        <v>1</v>
      </c>
      <c r="CQ286">
        <v>0</v>
      </c>
      <c r="CS286">
        <v>0</v>
      </c>
      <c r="CT286">
        <v>0</v>
      </c>
      <c r="CU286">
        <v>0</v>
      </c>
      <c r="CV286" t="s">
        <v>1045</v>
      </c>
      <c r="CW286">
        <v>0</v>
      </c>
      <c r="CX286">
        <v>0</v>
      </c>
      <c r="CY286">
        <v>0</v>
      </c>
      <c r="CZ286">
        <v>0</v>
      </c>
      <c r="DB286">
        <v>0</v>
      </c>
      <c r="DC286" t="s">
        <v>1043</v>
      </c>
      <c r="DF286" t="s">
        <v>1055</v>
      </c>
      <c r="DH286">
        <v>0</v>
      </c>
      <c r="DJ286">
        <v>0</v>
      </c>
      <c r="DK286" t="s">
        <v>1053</v>
      </c>
      <c r="DL286">
        <v>0</v>
      </c>
      <c r="DN286">
        <v>0</v>
      </c>
      <c r="DO286" t="s">
        <v>1042</v>
      </c>
      <c r="DP286">
        <v>0</v>
      </c>
      <c r="DQ286">
        <v>0</v>
      </c>
      <c r="DS286">
        <v>0</v>
      </c>
      <c r="DU286">
        <v>0</v>
      </c>
      <c r="DW286">
        <v>0</v>
      </c>
      <c r="DX286" t="s">
        <v>1043</v>
      </c>
      <c r="DY286">
        <v>0</v>
      </c>
      <c r="DZ286">
        <v>0</v>
      </c>
      <c r="EA286">
        <v>0</v>
      </c>
      <c r="ED286" t="s">
        <v>1045</v>
      </c>
      <c r="EE286">
        <v>0</v>
      </c>
      <c r="EF286">
        <v>0</v>
      </c>
      <c r="EQ286" t="s">
        <v>1044</v>
      </c>
      <c r="ES286" t="s">
        <v>1053</v>
      </c>
      <c r="ET286">
        <v>0</v>
      </c>
      <c r="EV286">
        <v>0</v>
      </c>
      <c r="EY286" t="s">
        <v>1052</v>
      </c>
      <c r="EZ286">
        <v>0</v>
      </c>
      <c r="FA286" t="s">
        <v>1043</v>
      </c>
      <c r="FB286">
        <v>0</v>
      </c>
      <c r="FC286">
        <v>0</v>
      </c>
      <c r="FE286" t="s">
        <v>1050</v>
      </c>
      <c r="FF286">
        <v>0</v>
      </c>
      <c r="FG286" t="s">
        <v>1050</v>
      </c>
      <c r="FJ286">
        <v>0</v>
      </c>
      <c r="FK286">
        <v>0</v>
      </c>
      <c r="FP286">
        <v>0</v>
      </c>
      <c r="FR286">
        <v>0</v>
      </c>
      <c r="FS286" t="s">
        <v>1043</v>
      </c>
      <c r="FX286" t="s">
        <v>1042</v>
      </c>
      <c r="FZ286" t="s">
        <v>1048</v>
      </c>
      <c r="GA286">
        <v>0</v>
      </c>
      <c r="GB286" t="s">
        <v>1042</v>
      </c>
      <c r="GE286">
        <v>0</v>
      </c>
      <c r="GG286">
        <v>0</v>
      </c>
      <c r="GN286">
        <v>0</v>
      </c>
      <c r="GO286" t="s">
        <v>1063</v>
      </c>
      <c r="GQ286">
        <v>0</v>
      </c>
      <c r="GU286">
        <v>0</v>
      </c>
      <c r="GY286" t="s">
        <v>1045</v>
      </c>
      <c r="HB286">
        <v>0</v>
      </c>
      <c r="HE286">
        <v>0</v>
      </c>
      <c r="HF286">
        <v>0</v>
      </c>
      <c r="HG286">
        <v>0</v>
      </c>
      <c r="HK286" t="s">
        <v>1042</v>
      </c>
      <c r="HM286" t="s">
        <v>1047</v>
      </c>
      <c r="HN286">
        <v>0</v>
      </c>
      <c r="HP286">
        <v>0</v>
      </c>
      <c r="HQ286">
        <v>0</v>
      </c>
      <c r="HR286" t="s">
        <v>1042</v>
      </c>
      <c r="HS286" t="s">
        <v>1043</v>
      </c>
      <c r="HT286">
        <v>0</v>
      </c>
      <c r="HU286">
        <v>0</v>
      </c>
      <c r="HW286">
        <v>0</v>
      </c>
      <c r="HX286">
        <v>0</v>
      </c>
      <c r="HY286">
        <v>0</v>
      </c>
      <c r="HZ286" t="s">
        <v>1045</v>
      </c>
      <c r="IA286">
        <v>0</v>
      </c>
      <c r="IB286" t="s">
        <v>1045</v>
      </c>
      <c r="ID286" t="s">
        <v>1045</v>
      </c>
      <c r="IF286">
        <v>0</v>
      </c>
      <c r="IG286" t="s">
        <v>1042</v>
      </c>
      <c r="II286" t="s">
        <v>1042</v>
      </c>
      <c r="IR286" t="s">
        <v>1045</v>
      </c>
      <c r="IT286">
        <v>0</v>
      </c>
      <c r="IY286" t="s">
        <v>1044</v>
      </c>
      <c r="IZ286" t="s">
        <v>1043</v>
      </c>
      <c r="JC286" t="s">
        <v>1043</v>
      </c>
      <c r="JE286">
        <v>0</v>
      </c>
      <c r="JF286">
        <v>0</v>
      </c>
      <c r="JI286" t="s">
        <v>1042</v>
      </c>
      <c r="JJ286">
        <v>0</v>
      </c>
      <c r="JK286">
        <v>0</v>
      </c>
      <c r="JL286">
        <v>0</v>
      </c>
      <c r="JM286">
        <v>0</v>
      </c>
      <c r="JQ286" t="s">
        <v>1043</v>
      </c>
      <c r="JT286">
        <v>0</v>
      </c>
      <c r="JU286" t="s">
        <v>1042</v>
      </c>
      <c r="JW286">
        <v>0</v>
      </c>
      <c r="KA286">
        <v>0</v>
      </c>
      <c r="KF286">
        <v>0</v>
      </c>
      <c r="KG286">
        <v>0</v>
      </c>
      <c r="KH286">
        <v>0</v>
      </c>
      <c r="KI286">
        <v>0</v>
      </c>
      <c r="KS286" t="s">
        <v>1073</v>
      </c>
      <c r="KT286">
        <v>0</v>
      </c>
      <c r="KU286">
        <v>0</v>
      </c>
      <c r="KV286">
        <v>0</v>
      </c>
      <c r="KX286">
        <v>0</v>
      </c>
      <c r="KZ286">
        <v>0</v>
      </c>
      <c r="LF286">
        <v>0</v>
      </c>
      <c r="LH286">
        <v>0</v>
      </c>
      <c r="LI286">
        <v>0</v>
      </c>
    </row>
    <row r="287" spans="1:321" x14ac:dyDescent="0.35">
      <c r="A287">
        <v>1</v>
      </c>
      <c r="B287">
        <v>12509</v>
      </c>
      <c r="C287" t="s">
        <v>1408</v>
      </c>
      <c r="D287" t="s">
        <v>1139</v>
      </c>
      <c r="E287" t="s">
        <v>1085</v>
      </c>
      <c r="F287">
        <v>80</v>
      </c>
      <c r="G287">
        <v>9000</v>
      </c>
      <c r="H287">
        <v>0</v>
      </c>
      <c r="I287" t="s">
        <v>1050</v>
      </c>
      <c r="L287">
        <v>0</v>
      </c>
      <c r="M287">
        <v>0</v>
      </c>
      <c r="N287">
        <v>0</v>
      </c>
      <c r="R287">
        <v>0</v>
      </c>
      <c r="S287">
        <v>0</v>
      </c>
      <c r="W287" t="s">
        <v>1060</v>
      </c>
      <c r="X287">
        <v>0</v>
      </c>
      <c r="Z287">
        <v>1</v>
      </c>
      <c r="AA287">
        <v>0</v>
      </c>
      <c r="AB287">
        <v>0</v>
      </c>
      <c r="AC287">
        <v>0</v>
      </c>
      <c r="AD287" s="20">
        <v>40793</v>
      </c>
      <c r="AE287">
        <v>2.68</v>
      </c>
      <c r="AF287">
        <v>0</v>
      </c>
      <c r="AH287">
        <v>0</v>
      </c>
      <c r="AJ287">
        <v>0</v>
      </c>
      <c r="AL287">
        <v>0</v>
      </c>
      <c r="AM287">
        <v>0</v>
      </c>
      <c r="AN287">
        <v>16601003</v>
      </c>
      <c r="AO287">
        <v>0</v>
      </c>
      <c r="AP287">
        <v>1000</v>
      </c>
      <c r="AT287">
        <v>0</v>
      </c>
      <c r="AU287" t="s">
        <v>1059</v>
      </c>
      <c r="AW287" t="s">
        <v>1053</v>
      </c>
      <c r="AX287">
        <v>0</v>
      </c>
      <c r="AY287" s="20">
        <v>40793</v>
      </c>
      <c r="BA287" s="20">
        <v>40793</v>
      </c>
      <c r="BB287" t="s">
        <v>1058</v>
      </c>
      <c r="BD287">
        <v>0</v>
      </c>
      <c r="BF287" t="s">
        <v>1043</v>
      </c>
      <c r="BG287" t="s">
        <v>1042</v>
      </c>
      <c r="BH287">
        <v>0</v>
      </c>
      <c r="BI287">
        <v>1</v>
      </c>
      <c r="BJ287">
        <v>0</v>
      </c>
      <c r="BK287">
        <v>0</v>
      </c>
      <c r="BM287" t="s">
        <v>1042</v>
      </c>
      <c r="BN287">
        <v>0</v>
      </c>
      <c r="BR287" t="s">
        <v>1043</v>
      </c>
      <c r="BS287" t="s">
        <v>1043</v>
      </c>
      <c r="BT287" t="s">
        <v>1043</v>
      </c>
      <c r="BW287">
        <v>83</v>
      </c>
      <c r="CA287">
        <v>0</v>
      </c>
      <c r="CB287" t="s">
        <v>1057</v>
      </c>
      <c r="CE287" t="s">
        <v>1043</v>
      </c>
      <c r="CH287" t="s">
        <v>1043</v>
      </c>
      <c r="CN287" t="s">
        <v>1056</v>
      </c>
      <c r="CO287" t="s">
        <v>1043</v>
      </c>
      <c r="CP287">
        <v>1</v>
      </c>
      <c r="CQ287">
        <v>0</v>
      </c>
      <c r="CS287">
        <v>0</v>
      </c>
      <c r="CT287">
        <v>0</v>
      </c>
      <c r="CU287">
        <v>0</v>
      </c>
      <c r="CV287" t="s">
        <v>1045</v>
      </c>
      <c r="CW287">
        <v>0</v>
      </c>
      <c r="CX287">
        <v>0</v>
      </c>
      <c r="CY287">
        <v>0</v>
      </c>
      <c r="CZ287">
        <v>0</v>
      </c>
      <c r="DB287">
        <v>0</v>
      </c>
      <c r="DC287" t="s">
        <v>1043</v>
      </c>
      <c r="DF287" t="s">
        <v>1055</v>
      </c>
      <c r="DH287">
        <v>0</v>
      </c>
      <c r="DJ287">
        <v>0</v>
      </c>
      <c r="DK287" t="s">
        <v>1053</v>
      </c>
      <c r="DL287">
        <v>0</v>
      </c>
      <c r="DN287">
        <v>0</v>
      </c>
      <c r="DO287" t="s">
        <v>1042</v>
      </c>
      <c r="DP287">
        <v>0</v>
      </c>
      <c r="DQ287">
        <v>0</v>
      </c>
      <c r="DS287">
        <v>0</v>
      </c>
      <c r="DU287">
        <v>0</v>
      </c>
      <c r="DW287">
        <v>0</v>
      </c>
      <c r="DX287" t="s">
        <v>1043</v>
      </c>
      <c r="DY287">
        <v>0</v>
      </c>
      <c r="DZ287">
        <v>0</v>
      </c>
      <c r="EA287">
        <v>0</v>
      </c>
      <c r="ED287" t="s">
        <v>1045</v>
      </c>
      <c r="EE287">
        <v>0</v>
      </c>
      <c r="EF287">
        <v>0</v>
      </c>
      <c r="EQ287" t="s">
        <v>1044</v>
      </c>
      <c r="ES287" t="s">
        <v>1053</v>
      </c>
      <c r="ET287">
        <v>0</v>
      </c>
      <c r="EV287">
        <v>0</v>
      </c>
      <c r="EY287" t="s">
        <v>1052</v>
      </c>
      <c r="EZ287">
        <v>0</v>
      </c>
      <c r="FA287" t="s">
        <v>1043</v>
      </c>
      <c r="FB287">
        <v>0</v>
      </c>
      <c r="FC287">
        <v>0</v>
      </c>
      <c r="FE287" t="s">
        <v>1050</v>
      </c>
      <c r="FF287">
        <v>0</v>
      </c>
      <c r="FG287" t="s">
        <v>1050</v>
      </c>
      <c r="FJ287">
        <v>0</v>
      </c>
      <c r="FK287">
        <v>0</v>
      </c>
      <c r="FP287">
        <v>0</v>
      </c>
      <c r="FR287">
        <v>0</v>
      </c>
      <c r="FS287" t="s">
        <v>1043</v>
      </c>
      <c r="FX287" t="s">
        <v>1042</v>
      </c>
      <c r="FZ287" t="s">
        <v>1048</v>
      </c>
      <c r="GA287">
        <v>0</v>
      </c>
      <c r="GB287" t="s">
        <v>1042</v>
      </c>
      <c r="GE287">
        <v>0</v>
      </c>
      <c r="GG287">
        <v>0</v>
      </c>
      <c r="GN287">
        <v>0</v>
      </c>
      <c r="GO287" t="s">
        <v>1063</v>
      </c>
      <c r="GQ287">
        <v>0</v>
      </c>
      <c r="GU287">
        <v>0</v>
      </c>
      <c r="GY287" t="s">
        <v>1045</v>
      </c>
      <c r="HB287">
        <v>0</v>
      </c>
      <c r="HE287">
        <v>0</v>
      </c>
      <c r="HF287">
        <v>0</v>
      </c>
      <c r="HG287">
        <v>0</v>
      </c>
      <c r="HK287" t="s">
        <v>1042</v>
      </c>
      <c r="HM287" t="s">
        <v>1047</v>
      </c>
      <c r="HN287">
        <v>0</v>
      </c>
      <c r="HP287">
        <v>0</v>
      </c>
      <c r="HQ287">
        <v>0</v>
      </c>
      <c r="HR287" t="s">
        <v>1042</v>
      </c>
      <c r="HS287" t="s">
        <v>1043</v>
      </c>
      <c r="HT287">
        <v>0</v>
      </c>
      <c r="HU287">
        <v>0</v>
      </c>
      <c r="HW287">
        <v>0</v>
      </c>
      <c r="HX287">
        <v>0</v>
      </c>
      <c r="HY287">
        <v>0</v>
      </c>
      <c r="HZ287" t="s">
        <v>1045</v>
      </c>
      <c r="IA287">
        <v>0</v>
      </c>
      <c r="IB287" t="s">
        <v>1045</v>
      </c>
      <c r="ID287" t="s">
        <v>1045</v>
      </c>
      <c r="IF287">
        <v>0</v>
      </c>
      <c r="IG287" t="s">
        <v>1042</v>
      </c>
      <c r="II287" t="s">
        <v>1042</v>
      </c>
      <c r="IR287" t="s">
        <v>1045</v>
      </c>
      <c r="IT287">
        <v>0</v>
      </c>
      <c r="IY287" t="s">
        <v>1044</v>
      </c>
      <c r="IZ287" t="s">
        <v>1043</v>
      </c>
      <c r="JC287" t="s">
        <v>1043</v>
      </c>
      <c r="JE287">
        <v>0</v>
      </c>
      <c r="JF287">
        <v>0</v>
      </c>
      <c r="JI287" t="s">
        <v>1042</v>
      </c>
      <c r="JJ287">
        <v>0</v>
      </c>
      <c r="JK287">
        <v>0</v>
      </c>
      <c r="JL287">
        <v>0</v>
      </c>
      <c r="JM287">
        <v>0</v>
      </c>
      <c r="JQ287" t="s">
        <v>1043</v>
      </c>
      <c r="JT287">
        <v>0</v>
      </c>
      <c r="JU287" t="s">
        <v>1042</v>
      </c>
      <c r="JW287">
        <v>0</v>
      </c>
      <c r="KA287">
        <v>0</v>
      </c>
      <c r="KF287">
        <v>0</v>
      </c>
      <c r="KG287">
        <v>0</v>
      </c>
      <c r="KH287">
        <v>0</v>
      </c>
      <c r="KI287">
        <v>0</v>
      </c>
      <c r="KS287" t="s">
        <v>1073</v>
      </c>
      <c r="KT287">
        <v>0</v>
      </c>
      <c r="KU287">
        <v>0</v>
      </c>
      <c r="KV287">
        <v>0</v>
      </c>
      <c r="KX287">
        <v>0</v>
      </c>
      <c r="KZ287">
        <v>0</v>
      </c>
      <c r="LF287">
        <v>0</v>
      </c>
      <c r="LH287">
        <v>0</v>
      </c>
      <c r="LI287">
        <v>0</v>
      </c>
    </row>
    <row r="288" spans="1:321" x14ac:dyDescent="0.35">
      <c r="A288">
        <v>1</v>
      </c>
      <c r="B288">
        <v>1251</v>
      </c>
      <c r="C288" t="s">
        <v>641</v>
      </c>
      <c r="D288" t="s">
        <v>1061</v>
      </c>
      <c r="E288" t="s">
        <v>85</v>
      </c>
      <c r="F288">
        <v>1</v>
      </c>
      <c r="G288">
        <v>240</v>
      </c>
      <c r="H288">
        <v>0</v>
      </c>
      <c r="I288" t="s">
        <v>994</v>
      </c>
      <c r="L288">
        <v>0</v>
      </c>
      <c r="M288">
        <v>0</v>
      </c>
      <c r="N288">
        <v>0</v>
      </c>
      <c r="Q288">
        <v>516</v>
      </c>
      <c r="R288">
        <v>0</v>
      </c>
      <c r="S288">
        <v>0</v>
      </c>
      <c r="W288" t="s">
        <v>1060</v>
      </c>
      <c r="X288">
        <v>0</v>
      </c>
      <c r="Z288">
        <v>50</v>
      </c>
      <c r="AA288">
        <v>5.8083</v>
      </c>
      <c r="AB288">
        <v>3305</v>
      </c>
      <c r="AC288">
        <v>0.09</v>
      </c>
      <c r="AD288" s="20">
        <v>43892</v>
      </c>
      <c r="AE288">
        <v>0.05</v>
      </c>
      <c r="AF288">
        <v>8.9999999999999993E-3</v>
      </c>
      <c r="AH288">
        <v>186</v>
      </c>
      <c r="AJ288">
        <v>1</v>
      </c>
      <c r="AK288" t="s">
        <v>1154</v>
      </c>
      <c r="AL288">
        <v>9700</v>
      </c>
      <c r="AM288">
        <v>0</v>
      </c>
      <c r="AN288">
        <v>11501001</v>
      </c>
      <c r="AO288">
        <v>0</v>
      </c>
      <c r="AP288">
        <v>1002</v>
      </c>
      <c r="AT288">
        <v>1</v>
      </c>
      <c r="AU288" t="s">
        <v>1059</v>
      </c>
      <c r="AV288" t="s">
        <v>1043</v>
      </c>
      <c r="AW288" t="s">
        <v>1053</v>
      </c>
      <c r="AX288">
        <v>0</v>
      </c>
      <c r="AY288" s="20">
        <v>43892</v>
      </c>
      <c r="BA288" s="20">
        <v>44354</v>
      </c>
      <c r="BB288" t="s">
        <v>1058</v>
      </c>
      <c r="BD288">
        <v>0</v>
      </c>
      <c r="BF288" t="s">
        <v>1044</v>
      </c>
      <c r="BG288" s="20">
        <v>40478</v>
      </c>
      <c r="BH288">
        <v>0</v>
      </c>
      <c r="BI288">
        <v>21</v>
      </c>
      <c r="BJ288">
        <v>0</v>
      </c>
      <c r="BK288">
        <v>0</v>
      </c>
      <c r="BM288" s="20">
        <v>40456</v>
      </c>
      <c r="BN288">
        <v>0</v>
      </c>
      <c r="BO288">
        <v>7897801310246</v>
      </c>
      <c r="BR288" t="s">
        <v>1043</v>
      </c>
      <c r="BS288" t="s">
        <v>1043</v>
      </c>
      <c r="BT288" t="s">
        <v>1043</v>
      </c>
      <c r="BV288">
        <v>1</v>
      </c>
      <c r="BW288">
        <v>2</v>
      </c>
      <c r="BY288">
        <v>67</v>
      </c>
      <c r="CA288">
        <v>0</v>
      </c>
      <c r="CB288" t="s">
        <v>1043</v>
      </c>
      <c r="CE288" t="s">
        <v>1043</v>
      </c>
      <c r="CH288" t="s">
        <v>1043</v>
      </c>
      <c r="CI288" t="s">
        <v>1383</v>
      </c>
      <c r="CK288" t="s">
        <v>1152</v>
      </c>
      <c r="CN288" t="s">
        <v>1056</v>
      </c>
      <c r="CP288">
        <v>1</v>
      </c>
      <c r="CQ288">
        <v>100</v>
      </c>
      <c r="CS288">
        <v>0</v>
      </c>
      <c r="CT288">
        <v>0</v>
      </c>
      <c r="CU288">
        <v>0</v>
      </c>
      <c r="CV288" t="s">
        <v>1045</v>
      </c>
      <c r="CW288">
        <v>0</v>
      </c>
      <c r="CX288">
        <v>0</v>
      </c>
      <c r="CY288">
        <v>0</v>
      </c>
      <c r="CZ288">
        <v>0</v>
      </c>
      <c r="DA288">
        <v>5</v>
      </c>
      <c r="DB288">
        <v>17000</v>
      </c>
      <c r="DH288">
        <v>0</v>
      </c>
      <c r="DJ288">
        <v>0</v>
      </c>
      <c r="DL288">
        <v>0</v>
      </c>
      <c r="DN288">
        <v>0</v>
      </c>
      <c r="DO288" t="s">
        <v>1042</v>
      </c>
      <c r="DP288">
        <v>0</v>
      </c>
      <c r="DQ288">
        <v>7.6</v>
      </c>
      <c r="DS288">
        <v>0</v>
      </c>
      <c r="DU288">
        <v>1.65</v>
      </c>
      <c r="DW288">
        <v>0</v>
      </c>
      <c r="DY288">
        <v>0</v>
      </c>
      <c r="DZ288">
        <v>0</v>
      </c>
      <c r="EA288">
        <v>0</v>
      </c>
      <c r="EB288">
        <v>17897801310243</v>
      </c>
      <c r="EE288">
        <v>0</v>
      </c>
      <c r="EF288">
        <v>0</v>
      </c>
      <c r="EL288">
        <v>57897801310241</v>
      </c>
      <c r="EN288" t="s">
        <v>1012</v>
      </c>
      <c r="ET288">
        <v>0</v>
      </c>
      <c r="EV288">
        <v>0</v>
      </c>
      <c r="EY288" t="s">
        <v>1052</v>
      </c>
      <c r="EZ288">
        <v>0</v>
      </c>
      <c r="FA288" t="s">
        <v>1043</v>
      </c>
      <c r="FB288">
        <v>0</v>
      </c>
      <c r="FC288">
        <v>0</v>
      </c>
      <c r="FD288" t="s">
        <v>1051</v>
      </c>
      <c r="FE288" t="s">
        <v>1050</v>
      </c>
      <c r="FF288">
        <v>1200</v>
      </c>
      <c r="FG288" t="s">
        <v>1050</v>
      </c>
      <c r="FH288">
        <v>27897801310240</v>
      </c>
      <c r="FJ288">
        <v>0</v>
      </c>
      <c r="FK288">
        <v>0</v>
      </c>
      <c r="FP288">
        <v>0</v>
      </c>
      <c r="FR288">
        <v>0</v>
      </c>
      <c r="FS288" t="s">
        <v>1043</v>
      </c>
      <c r="FX288" t="s">
        <v>1042</v>
      </c>
      <c r="GA288">
        <v>0</v>
      </c>
      <c r="GB288" t="s">
        <v>1042</v>
      </c>
      <c r="GD288">
        <v>16</v>
      </c>
      <c r="GE288">
        <v>0</v>
      </c>
      <c r="GG288">
        <v>0</v>
      </c>
      <c r="GN288">
        <v>0</v>
      </c>
      <c r="GO288" t="s">
        <v>1049</v>
      </c>
      <c r="GQ288">
        <v>0</v>
      </c>
      <c r="GU288">
        <v>0</v>
      </c>
      <c r="GY288" t="s">
        <v>1045</v>
      </c>
      <c r="HB288">
        <v>0</v>
      </c>
      <c r="HE288">
        <v>10</v>
      </c>
      <c r="HF288">
        <v>0</v>
      </c>
      <c r="HG288">
        <v>3.1199999999999999E-3</v>
      </c>
      <c r="HK288" t="s">
        <v>1042</v>
      </c>
      <c r="HL288" t="s">
        <v>1048</v>
      </c>
      <c r="HM288">
        <v>0</v>
      </c>
      <c r="HN288">
        <v>0</v>
      </c>
      <c r="HO288">
        <v>27</v>
      </c>
      <c r="HP288">
        <v>9.1999999999999998E-3</v>
      </c>
      <c r="HQ288">
        <v>0</v>
      </c>
      <c r="HR288" s="20">
        <v>44221</v>
      </c>
      <c r="HT288">
        <v>0</v>
      </c>
      <c r="HU288">
        <v>0</v>
      </c>
      <c r="HW288">
        <v>0</v>
      </c>
      <c r="HX288">
        <v>7983</v>
      </c>
      <c r="HY288">
        <v>1</v>
      </c>
      <c r="IA288">
        <v>0.05</v>
      </c>
      <c r="IF288">
        <v>30000</v>
      </c>
      <c r="IG288" s="20">
        <v>40478</v>
      </c>
      <c r="IH288" t="s">
        <v>1046</v>
      </c>
      <c r="II288" t="s">
        <v>1042</v>
      </c>
      <c r="IR288" t="s">
        <v>1045</v>
      </c>
      <c r="IT288">
        <v>0</v>
      </c>
      <c r="JE288">
        <v>0</v>
      </c>
      <c r="JF288">
        <v>0</v>
      </c>
      <c r="JI288" t="s">
        <v>1042</v>
      </c>
      <c r="JJ288">
        <v>0</v>
      </c>
      <c r="JK288">
        <v>0</v>
      </c>
      <c r="JL288">
        <v>0</v>
      </c>
      <c r="JM288">
        <v>0</v>
      </c>
      <c r="JT288">
        <v>0</v>
      </c>
      <c r="JU288" t="s">
        <v>1042</v>
      </c>
      <c r="JW288">
        <v>0</v>
      </c>
      <c r="KA288">
        <v>0</v>
      </c>
      <c r="KF288">
        <v>0</v>
      </c>
      <c r="KG288">
        <v>0</v>
      </c>
      <c r="KH288">
        <v>0</v>
      </c>
      <c r="KI288">
        <v>0</v>
      </c>
      <c r="KS288" t="s">
        <v>1041</v>
      </c>
      <c r="KT288">
        <v>0</v>
      </c>
      <c r="KU288">
        <v>0</v>
      </c>
      <c r="KV288">
        <v>0</v>
      </c>
      <c r="KX288">
        <v>0</v>
      </c>
      <c r="KZ288">
        <v>0</v>
      </c>
      <c r="LF288">
        <v>0</v>
      </c>
      <c r="LH288">
        <v>403200</v>
      </c>
      <c r="LI288">
        <v>0</v>
      </c>
    </row>
    <row r="289" spans="1:321" x14ac:dyDescent="0.35">
      <c r="A289">
        <v>1</v>
      </c>
      <c r="B289">
        <v>12510</v>
      </c>
      <c r="C289" t="s">
        <v>1407</v>
      </c>
      <c r="D289" t="s">
        <v>1139</v>
      </c>
      <c r="E289" t="s">
        <v>1085</v>
      </c>
      <c r="F289">
        <v>80</v>
      </c>
      <c r="G289">
        <v>9000</v>
      </c>
      <c r="H289">
        <v>0</v>
      </c>
      <c r="I289" t="s">
        <v>1050</v>
      </c>
      <c r="L289">
        <v>0</v>
      </c>
      <c r="M289">
        <v>0</v>
      </c>
      <c r="N289">
        <v>0</v>
      </c>
      <c r="R289">
        <v>0</v>
      </c>
      <c r="S289">
        <v>0</v>
      </c>
      <c r="W289" t="s">
        <v>1060</v>
      </c>
      <c r="X289">
        <v>0</v>
      </c>
      <c r="Z289">
        <v>1</v>
      </c>
      <c r="AA289">
        <v>0</v>
      </c>
      <c r="AB289">
        <v>0</v>
      </c>
      <c r="AC289">
        <v>0</v>
      </c>
      <c r="AD289" s="20">
        <v>40793</v>
      </c>
      <c r="AE289">
        <v>2.68</v>
      </c>
      <c r="AF289">
        <v>0</v>
      </c>
      <c r="AH289">
        <v>0</v>
      </c>
      <c r="AJ289">
        <v>0</v>
      </c>
      <c r="AL289">
        <v>0</v>
      </c>
      <c r="AM289">
        <v>0</v>
      </c>
      <c r="AN289">
        <v>16601001</v>
      </c>
      <c r="AO289">
        <v>0</v>
      </c>
      <c r="AP289">
        <v>1000</v>
      </c>
      <c r="AT289">
        <v>0</v>
      </c>
      <c r="AU289" t="s">
        <v>1059</v>
      </c>
      <c r="AW289" t="s">
        <v>1053</v>
      </c>
      <c r="AX289">
        <v>0</v>
      </c>
      <c r="AY289" s="20">
        <v>40793</v>
      </c>
      <c r="BA289" s="20">
        <v>40793</v>
      </c>
      <c r="BB289" t="s">
        <v>1058</v>
      </c>
      <c r="BD289">
        <v>0</v>
      </c>
      <c r="BF289" t="s">
        <v>1043</v>
      </c>
      <c r="BG289" t="s">
        <v>1042</v>
      </c>
      <c r="BH289">
        <v>0</v>
      </c>
      <c r="BI289">
        <v>1</v>
      </c>
      <c r="BJ289">
        <v>0</v>
      </c>
      <c r="BK289">
        <v>0</v>
      </c>
      <c r="BM289" t="s">
        <v>1042</v>
      </c>
      <c r="BN289">
        <v>0</v>
      </c>
      <c r="BR289" t="s">
        <v>1043</v>
      </c>
      <c r="BS289" t="s">
        <v>1043</v>
      </c>
      <c r="BT289" t="s">
        <v>1043</v>
      </c>
      <c r="BW289">
        <v>83</v>
      </c>
      <c r="CA289">
        <v>0</v>
      </c>
      <c r="CB289" t="s">
        <v>1057</v>
      </c>
      <c r="CE289" t="s">
        <v>1043</v>
      </c>
      <c r="CH289" t="s">
        <v>1043</v>
      </c>
      <c r="CN289" t="s">
        <v>1056</v>
      </c>
      <c r="CO289" t="s">
        <v>1043</v>
      </c>
      <c r="CP289">
        <v>1</v>
      </c>
      <c r="CQ289">
        <v>0</v>
      </c>
      <c r="CS289">
        <v>0</v>
      </c>
      <c r="CT289">
        <v>0</v>
      </c>
      <c r="CU289">
        <v>0</v>
      </c>
      <c r="CV289" t="s">
        <v>1045</v>
      </c>
      <c r="CW289">
        <v>0</v>
      </c>
      <c r="CX289">
        <v>0</v>
      </c>
      <c r="CY289">
        <v>0</v>
      </c>
      <c r="CZ289">
        <v>0</v>
      </c>
      <c r="DB289">
        <v>0</v>
      </c>
      <c r="DC289" t="s">
        <v>1043</v>
      </c>
      <c r="DF289" t="s">
        <v>1055</v>
      </c>
      <c r="DH289">
        <v>0</v>
      </c>
      <c r="DJ289">
        <v>0</v>
      </c>
      <c r="DK289" t="s">
        <v>1053</v>
      </c>
      <c r="DL289">
        <v>0</v>
      </c>
      <c r="DN289">
        <v>0</v>
      </c>
      <c r="DO289" t="s">
        <v>1042</v>
      </c>
      <c r="DP289">
        <v>0</v>
      </c>
      <c r="DQ289">
        <v>0</v>
      </c>
      <c r="DS289">
        <v>0</v>
      </c>
      <c r="DU289">
        <v>0</v>
      </c>
      <c r="DW289">
        <v>0</v>
      </c>
      <c r="DX289" t="s">
        <v>1043</v>
      </c>
      <c r="DY289">
        <v>0</v>
      </c>
      <c r="DZ289">
        <v>0</v>
      </c>
      <c r="EA289">
        <v>0</v>
      </c>
      <c r="ED289" t="s">
        <v>1045</v>
      </c>
      <c r="EE289">
        <v>0</v>
      </c>
      <c r="EF289">
        <v>0</v>
      </c>
      <c r="EQ289" t="s">
        <v>1044</v>
      </c>
      <c r="ES289" t="s">
        <v>1053</v>
      </c>
      <c r="ET289">
        <v>0</v>
      </c>
      <c r="EV289">
        <v>0</v>
      </c>
      <c r="EY289" t="s">
        <v>1052</v>
      </c>
      <c r="EZ289">
        <v>0</v>
      </c>
      <c r="FA289" t="s">
        <v>1043</v>
      </c>
      <c r="FB289">
        <v>0</v>
      </c>
      <c r="FC289">
        <v>0</v>
      </c>
      <c r="FE289" t="s">
        <v>1050</v>
      </c>
      <c r="FF289">
        <v>0</v>
      </c>
      <c r="FG289" t="s">
        <v>1050</v>
      </c>
      <c r="FJ289">
        <v>0</v>
      </c>
      <c r="FK289">
        <v>0</v>
      </c>
      <c r="FP289">
        <v>0</v>
      </c>
      <c r="FR289">
        <v>0</v>
      </c>
      <c r="FS289" t="s">
        <v>1043</v>
      </c>
      <c r="FX289" t="s">
        <v>1042</v>
      </c>
      <c r="FZ289" t="s">
        <v>1048</v>
      </c>
      <c r="GA289">
        <v>0</v>
      </c>
      <c r="GB289" t="s">
        <v>1042</v>
      </c>
      <c r="GE289">
        <v>0</v>
      </c>
      <c r="GG289">
        <v>0</v>
      </c>
      <c r="GN289">
        <v>0</v>
      </c>
      <c r="GO289" t="s">
        <v>1063</v>
      </c>
      <c r="GQ289">
        <v>0</v>
      </c>
      <c r="GU289">
        <v>0</v>
      </c>
      <c r="GY289" t="s">
        <v>1045</v>
      </c>
      <c r="HB289">
        <v>0</v>
      </c>
      <c r="HE289">
        <v>0</v>
      </c>
      <c r="HF289">
        <v>0</v>
      </c>
      <c r="HG289">
        <v>0</v>
      </c>
      <c r="HK289" t="s">
        <v>1042</v>
      </c>
      <c r="HM289" t="s">
        <v>1047</v>
      </c>
      <c r="HN289">
        <v>0</v>
      </c>
      <c r="HP289">
        <v>0</v>
      </c>
      <c r="HQ289">
        <v>0</v>
      </c>
      <c r="HR289" t="s">
        <v>1042</v>
      </c>
      <c r="HS289" t="s">
        <v>1043</v>
      </c>
      <c r="HT289">
        <v>0</v>
      </c>
      <c r="HU289">
        <v>0</v>
      </c>
      <c r="HW289">
        <v>0</v>
      </c>
      <c r="HX289">
        <v>0</v>
      </c>
      <c r="HY289">
        <v>0</v>
      </c>
      <c r="HZ289" t="s">
        <v>1045</v>
      </c>
      <c r="IA289">
        <v>0</v>
      </c>
      <c r="IB289" t="s">
        <v>1045</v>
      </c>
      <c r="ID289" t="s">
        <v>1045</v>
      </c>
      <c r="IF289">
        <v>0</v>
      </c>
      <c r="IG289" t="s">
        <v>1042</v>
      </c>
      <c r="II289" t="s">
        <v>1042</v>
      </c>
      <c r="IR289" t="s">
        <v>1045</v>
      </c>
      <c r="IT289">
        <v>0</v>
      </c>
      <c r="IY289" t="s">
        <v>1044</v>
      </c>
      <c r="IZ289" t="s">
        <v>1043</v>
      </c>
      <c r="JC289" t="s">
        <v>1043</v>
      </c>
      <c r="JE289">
        <v>0</v>
      </c>
      <c r="JF289">
        <v>0</v>
      </c>
      <c r="JI289" t="s">
        <v>1042</v>
      </c>
      <c r="JJ289">
        <v>0</v>
      </c>
      <c r="JK289">
        <v>0</v>
      </c>
      <c r="JL289">
        <v>0</v>
      </c>
      <c r="JM289">
        <v>0</v>
      </c>
      <c r="JQ289" t="s">
        <v>1043</v>
      </c>
      <c r="JT289">
        <v>0</v>
      </c>
      <c r="JU289" t="s">
        <v>1042</v>
      </c>
      <c r="JW289">
        <v>0</v>
      </c>
      <c r="KA289">
        <v>0</v>
      </c>
      <c r="KF289">
        <v>0</v>
      </c>
      <c r="KG289">
        <v>0</v>
      </c>
      <c r="KH289">
        <v>0</v>
      </c>
      <c r="KI289">
        <v>0</v>
      </c>
      <c r="KS289" t="s">
        <v>1073</v>
      </c>
      <c r="KT289">
        <v>0</v>
      </c>
      <c r="KU289">
        <v>0</v>
      </c>
      <c r="KV289">
        <v>0</v>
      </c>
      <c r="KX289">
        <v>0</v>
      </c>
      <c r="KZ289">
        <v>0</v>
      </c>
      <c r="LF289">
        <v>0</v>
      </c>
      <c r="LH289">
        <v>0</v>
      </c>
      <c r="LI289">
        <v>0</v>
      </c>
    </row>
    <row r="290" spans="1:321" x14ac:dyDescent="0.35">
      <c r="A290">
        <v>1</v>
      </c>
      <c r="B290">
        <v>12511</v>
      </c>
      <c r="C290" t="s">
        <v>1406</v>
      </c>
      <c r="D290" t="s">
        <v>1139</v>
      </c>
      <c r="E290" t="s">
        <v>1085</v>
      </c>
      <c r="F290">
        <v>80</v>
      </c>
      <c r="G290">
        <v>9000</v>
      </c>
      <c r="H290">
        <v>0</v>
      </c>
      <c r="I290" t="s">
        <v>1050</v>
      </c>
      <c r="L290">
        <v>0</v>
      </c>
      <c r="M290">
        <v>0</v>
      </c>
      <c r="N290">
        <v>0</v>
      </c>
      <c r="R290">
        <v>0</v>
      </c>
      <c r="S290">
        <v>0</v>
      </c>
      <c r="W290" t="s">
        <v>1060</v>
      </c>
      <c r="X290">
        <v>0</v>
      </c>
      <c r="Z290">
        <v>1</v>
      </c>
      <c r="AA290">
        <v>0</v>
      </c>
      <c r="AB290">
        <v>0</v>
      </c>
      <c r="AC290">
        <v>0</v>
      </c>
      <c r="AD290" s="20">
        <v>40793</v>
      </c>
      <c r="AE290">
        <v>2.68</v>
      </c>
      <c r="AF290">
        <v>0</v>
      </c>
      <c r="AH290">
        <v>0</v>
      </c>
      <c r="AJ290">
        <v>0</v>
      </c>
      <c r="AL290">
        <v>0</v>
      </c>
      <c r="AM290">
        <v>0</v>
      </c>
      <c r="AN290">
        <v>16601001</v>
      </c>
      <c r="AO290">
        <v>0</v>
      </c>
      <c r="AP290">
        <v>1000</v>
      </c>
      <c r="AT290">
        <v>0</v>
      </c>
      <c r="AU290" t="s">
        <v>1059</v>
      </c>
      <c r="AW290" t="s">
        <v>1053</v>
      </c>
      <c r="AX290">
        <v>0</v>
      </c>
      <c r="AY290" s="20">
        <v>40793</v>
      </c>
      <c r="BA290" s="20">
        <v>40793</v>
      </c>
      <c r="BB290" t="s">
        <v>1058</v>
      </c>
      <c r="BD290">
        <v>0</v>
      </c>
      <c r="BF290" t="s">
        <v>1043</v>
      </c>
      <c r="BG290" t="s">
        <v>1042</v>
      </c>
      <c r="BH290">
        <v>0</v>
      </c>
      <c r="BI290">
        <v>1</v>
      </c>
      <c r="BJ290">
        <v>0</v>
      </c>
      <c r="BK290">
        <v>0</v>
      </c>
      <c r="BM290" t="s">
        <v>1042</v>
      </c>
      <c r="BN290">
        <v>0</v>
      </c>
      <c r="BR290" t="s">
        <v>1043</v>
      </c>
      <c r="BS290" t="s">
        <v>1043</v>
      </c>
      <c r="BT290" t="s">
        <v>1043</v>
      </c>
      <c r="BW290">
        <v>83</v>
      </c>
      <c r="CA290">
        <v>0</v>
      </c>
      <c r="CB290" t="s">
        <v>1057</v>
      </c>
      <c r="CE290" t="s">
        <v>1043</v>
      </c>
      <c r="CH290" t="s">
        <v>1043</v>
      </c>
      <c r="CN290" t="s">
        <v>1056</v>
      </c>
      <c r="CO290" t="s">
        <v>1043</v>
      </c>
      <c r="CP290">
        <v>1</v>
      </c>
      <c r="CQ290">
        <v>0</v>
      </c>
      <c r="CS290">
        <v>0</v>
      </c>
      <c r="CT290">
        <v>0</v>
      </c>
      <c r="CU290">
        <v>0</v>
      </c>
      <c r="CV290" t="s">
        <v>1045</v>
      </c>
      <c r="CW290">
        <v>0</v>
      </c>
      <c r="CX290">
        <v>0</v>
      </c>
      <c r="CY290">
        <v>0</v>
      </c>
      <c r="CZ290">
        <v>0</v>
      </c>
      <c r="DB290">
        <v>0</v>
      </c>
      <c r="DC290" t="s">
        <v>1043</v>
      </c>
      <c r="DF290" t="s">
        <v>1055</v>
      </c>
      <c r="DH290">
        <v>0</v>
      </c>
      <c r="DJ290">
        <v>0</v>
      </c>
      <c r="DK290" t="s">
        <v>1053</v>
      </c>
      <c r="DL290">
        <v>0</v>
      </c>
      <c r="DN290">
        <v>0</v>
      </c>
      <c r="DO290" t="s">
        <v>1042</v>
      </c>
      <c r="DP290">
        <v>0</v>
      </c>
      <c r="DQ290">
        <v>0</v>
      </c>
      <c r="DS290">
        <v>0</v>
      </c>
      <c r="DU290">
        <v>0</v>
      </c>
      <c r="DW290">
        <v>0</v>
      </c>
      <c r="DX290" t="s">
        <v>1043</v>
      </c>
      <c r="DY290">
        <v>0</v>
      </c>
      <c r="DZ290">
        <v>0</v>
      </c>
      <c r="EA290">
        <v>0</v>
      </c>
      <c r="ED290" t="s">
        <v>1045</v>
      </c>
      <c r="EE290">
        <v>0</v>
      </c>
      <c r="EF290">
        <v>0</v>
      </c>
      <c r="EQ290" t="s">
        <v>1044</v>
      </c>
      <c r="ES290" t="s">
        <v>1053</v>
      </c>
      <c r="ET290">
        <v>0</v>
      </c>
      <c r="EV290">
        <v>0</v>
      </c>
      <c r="EY290" t="s">
        <v>1052</v>
      </c>
      <c r="EZ290">
        <v>0</v>
      </c>
      <c r="FA290" t="s">
        <v>1043</v>
      </c>
      <c r="FB290">
        <v>0</v>
      </c>
      <c r="FC290">
        <v>0</v>
      </c>
      <c r="FE290" t="s">
        <v>1050</v>
      </c>
      <c r="FF290">
        <v>0</v>
      </c>
      <c r="FG290" t="s">
        <v>1050</v>
      </c>
      <c r="FJ290">
        <v>0</v>
      </c>
      <c r="FK290">
        <v>0</v>
      </c>
      <c r="FP290">
        <v>0</v>
      </c>
      <c r="FR290">
        <v>0</v>
      </c>
      <c r="FS290" t="s">
        <v>1043</v>
      </c>
      <c r="FX290" t="s">
        <v>1042</v>
      </c>
      <c r="FZ290" t="s">
        <v>1048</v>
      </c>
      <c r="GA290">
        <v>0</v>
      </c>
      <c r="GB290" t="s">
        <v>1042</v>
      </c>
      <c r="GE290">
        <v>0</v>
      </c>
      <c r="GG290">
        <v>0</v>
      </c>
      <c r="GN290">
        <v>0</v>
      </c>
      <c r="GO290" t="s">
        <v>1063</v>
      </c>
      <c r="GQ290">
        <v>0</v>
      </c>
      <c r="GU290">
        <v>0</v>
      </c>
      <c r="GY290" t="s">
        <v>1045</v>
      </c>
      <c r="HB290">
        <v>0</v>
      </c>
      <c r="HE290">
        <v>0</v>
      </c>
      <c r="HF290">
        <v>0</v>
      </c>
      <c r="HG290">
        <v>0</v>
      </c>
      <c r="HK290" t="s">
        <v>1042</v>
      </c>
      <c r="HM290" t="s">
        <v>1047</v>
      </c>
      <c r="HN290">
        <v>0</v>
      </c>
      <c r="HP290">
        <v>0</v>
      </c>
      <c r="HQ290">
        <v>0</v>
      </c>
      <c r="HR290" t="s">
        <v>1042</v>
      </c>
      <c r="HS290" t="s">
        <v>1043</v>
      </c>
      <c r="HT290">
        <v>0</v>
      </c>
      <c r="HU290">
        <v>0</v>
      </c>
      <c r="HW290">
        <v>0</v>
      </c>
      <c r="HX290">
        <v>0</v>
      </c>
      <c r="HY290">
        <v>0</v>
      </c>
      <c r="HZ290" t="s">
        <v>1045</v>
      </c>
      <c r="IA290">
        <v>0</v>
      </c>
      <c r="IB290" t="s">
        <v>1045</v>
      </c>
      <c r="ID290" t="s">
        <v>1045</v>
      </c>
      <c r="IF290">
        <v>0</v>
      </c>
      <c r="IG290" t="s">
        <v>1042</v>
      </c>
      <c r="II290" t="s">
        <v>1042</v>
      </c>
      <c r="IR290" t="s">
        <v>1045</v>
      </c>
      <c r="IT290">
        <v>0</v>
      </c>
      <c r="IY290" t="s">
        <v>1044</v>
      </c>
      <c r="IZ290" t="s">
        <v>1043</v>
      </c>
      <c r="JC290" t="s">
        <v>1043</v>
      </c>
      <c r="JE290">
        <v>0</v>
      </c>
      <c r="JF290">
        <v>0</v>
      </c>
      <c r="JI290" t="s">
        <v>1042</v>
      </c>
      <c r="JJ290">
        <v>0</v>
      </c>
      <c r="JK290">
        <v>0</v>
      </c>
      <c r="JL290">
        <v>0</v>
      </c>
      <c r="JM290">
        <v>0</v>
      </c>
      <c r="JQ290" t="s">
        <v>1043</v>
      </c>
      <c r="JT290">
        <v>0</v>
      </c>
      <c r="JU290" t="s">
        <v>1042</v>
      </c>
      <c r="JW290">
        <v>0</v>
      </c>
      <c r="KA290">
        <v>0</v>
      </c>
      <c r="KF290">
        <v>0</v>
      </c>
      <c r="KG290">
        <v>0</v>
      </c>
      <c r="KH290">
        <v>0</v>
      </c>
      <c r="KI290">
        <v>0</v>
      </c>
      <c r="KS290" t="s">
        <v>1073</v>
      </c>
      <c r="KT290">
        <v>0</v>
      </c>
      <c r="KU290">
        <v>0</v>
      </c>
      <c r="KV290">
        <v>0</v>
      </c>
      <c r="KX290">
        <v>0</v>
      </c>
      <c r="KZ290">
        <v>0</v>
      </c>
      <c r="LF290">
        <v>0</v>
      </c>
      <c r="LH290">
        <v>0</v>
      </c>
      <c r="LI290">
        <v>0</v>
      </c>
    </row>
    <row r="291" spans="1:321" x14ac:dyDescent="0.35">
      <c r="A291">
        <v>1</v>
      </c>
      <c r="B291">
        <v>12512</v>
      </c>
      <c r="C291" t="s">
        <v>1405</v>
      </c>
      <c r="D291" t="s">
        <v>1139</v>
      </c>
      <c r="E291" t="s">
        <v>1085</v>
      </c>
      <c r="F291">
        <v>80</v>
      </c>
      <c r="G291">
        <v>9000</v>
      </c>
      <c r="H291">
        <v>0</v>
      </c>
      <c r="I291" t="s">
        <v>1050</v>
      </c>
      <c r="L291">
        <v>0</v>
      </c>
      <c r="M291">
        <v>0</v>
      </c>
      <c r="N291">
        <v>0</v>
      </c>
      <c r="R291">
        <v>0</v>
      </c>
      <c r="S291">
        <v>0</v>
      </c>
      <c r="W291" t="s">
        <v>1060</v>
      </c>
      <c r="X291">
        <v>0</v>
      </c>
      <c r="Z291">
        <v>1</v>
      </c>
      <c r="AA291">
        <v>0</v>
      </c>
      <c r="AB291">
        <v>0</v>
      </c>
      <c r="AC291">
        <v>0</v>
      </c>
      <c r="AD291" s="20">
        <v>40793</v>
      </c>
      <c r="AE291">
        <v>2.68</v>
      </c>
      <c r="AF291">
        <v>0</v>
      </c>
      <c r="AH291">
        <v>0</v>
      </c>
      <c r="AJ291">
        <v>0</v>
      </c>
      <c r="AL291">
        <v>0</v>
      </c>
      <c r="AM291">
        <v>0</v>
      </c>
      <c r="AN291">
        <v>16601003</v>
      </c>
      <c r="AO291">
        <v>0</v>
      </c>
      <c r="AP291">
        <v>1000</v>
      </c>
      <c r="AT291">
        <v>0</v>
      </c>
      <c r="AU291" t="s">
        <v>1059</v>
      </c>
      <c r="AW291" t="s">
        <v>1053</v>
      </c>
      <c r="AX291">
        <v>0</v>
      </c>
      <c r="AY291" s="20">
        <v>40793</v>
      </c>
      <c r="BA291" s="20">
        <v>40793</v>
      </c>
      <c r="BB291" t="s">
        <v>1058</v>
      </c>
      <c r="BD291">
        <v>0</v>
      </c>
      <c r="BF291" t="s">
        <v>1043</v>
      </c>
      <c r="BG291" t="s">
        <v>1042</v>
      </c>
      <c r="BH291">
        <v>0</v>
      </c>
      <c r="BI291">
        <v>1</v>
      </c>
      <c r="BJ291">
        <v>0</v>
      </c>
      <c r="BK291">
        <v>0</v>
      </c>
      <c r="BM291" t="s">
        <v>1042</v>
      </c>
      <c r="BN291">
        <v>0</v>
      </c>
      <c r="BR291" t="s">
        <v>1043</v>
      </c>
      <c r="BS291" t="s">
        <v>1043</v>
      </c>
      <c r="BT291" t="s">
        <v>1043</v>
      </c>
      <c r="BW291">
        <v>83</v>
      </c>
      <c r="CA291">
        <v>0</v>
      </c>
      <c r="CB291" t="s">
        <v>1057</v>
      </c>
      <c r="CE291" t="s">
        <v>1043</v>
      </c>
      <c r="CH291" t="s">
        <v>1043</v>
      </c>
      <c r="CN291" t="s">
        <v>1056</v>
      </c>
      <c r="CO291" t="s">
        <v>1043</v>
      </c>
      <c r="CP291">
        <v>1</v>
      </c>
      <c r="CQ291">
        <v>0</v>
      </c>
      <c r="CS291">
        <v>0</v>
      </c>
      <c r="CT291">
        <v>0</v>
      </c>
      <c r="CU291">
        <v>0</v>
      </c>
      <c r="CV291" t="s">
        <v>1045</v>
      </c>
      <c r="CW291">
        <v>0</v>
      </c>
      <c r="CX291">
        <v>0</v>
      </c>
      <c r="CY291">
        <v>0</v>
      </c>
      <c r="CZ291">
        <v>0</v>
      </c>
      <c r="DB291">
        <v>0</v>
      </c>
      <c r="DC291" t="s">
        <v>1043</v>
      </c>
      <c r="DF291" t="s">
        <v>1055</v>
      </c>
      <c r="DH291">
        <v>0</v>
      </c>
      <c r="DJ291">
        <v>0</v>
      </c>
      <c r="DK291" t="s">
        <v>1053</v>
      </c>
      <c r="DL291">
        <v>0</v>
      </c>
      <c r="DN291">
        <v>0</v>
      </c>
      <c r="DO291" t="s">
        <v>1042</v>
      </c>
      <c r="DP291">
        <v>0</v>
      </c>
      <c r="DQ291">
        <v>0</v>
      </c>
      <c r="DS291">
        <v>0</v>
      </c>
      <c r="DU291">
        <v>0</v>
      </c>
      <c r="DW291">
        <v>0</v>
      </c>
      <c r="DX291" t="s">
        <v>1043</v>
      </c>
      <c r="DY291">
        <v>0</v>
      </c>
      <c r="DZ291">
        <v>0</v>
      </c>
      <c r="EA291">
        <v>0</v>
      </c>
      <c r="ED291" t="s">
        <v>1045</v>
      </c>
      <c r="EE291">
        <v>0</v>
      </c>
      <c r="EF291">
        <v>0</v>
      </c>
      <c r="EQ291" t="s">
        <v>1044</v>
      </c>
      <c r="ES291" t="s">
        <v>1053</v>
      </c>
      <c r="ET291">
        <v>0</v>
      </c>
      <c r="EV291">
        <v>0</v>
      </c>
      <c r="EY291" t="s">
        <v>1052</v>
      </c>
      <c r="EZ291">
        <v>0</v>
      </c>
      <c r="FA291" t="s">
        <v>1043</v>
      </c>
      <c r="FB291">
        <v>0</v>
      </c>
      <c r="FC291">
        <v>0</v>
      </c>
      <c r="FE291" t="s">
        <v>1050</v>
      </c>
      <c r="FF291">
        <v>0</v>
      </c>
      <c r="FG291" t="s">
        <v>1050</v>
      </c>
      <c r="FJ291">
        <v>0</v>
      </c>
      <c r="FK291">
        <v>0</v>
      </c>
      <c r="FP291">
        <v>0</v>
      </c>
      <c r="FR291">
        <v>0</v>
      </c>
      <c r="FS291" t="s">
        <v>1043</v>
      </c>
      <c r="FX291" t="s">
        <v>1042</v>
      </c>
      <c r="FZ291" t="s">
        <v>1048</v>
      </c>
      <c r="GA291">
        <v>0</v>
      </c>
      <c r="GB291" t="s">
        <v>1042</v>
      </c>
      <c r="GE291">
        <v>0</v>
      </c>
      <c r="GG291">
        <v>0</v>
      </c>
      <c r="GN291">
        <v>0</v>
      </c>
      <c r="GO291" t="s">
        <v>1063</v>
      </c>
      <c r="GQ291">
        <v>0</v>
      </c>
      <c r="GU291">
        <v>0</v>
      </c>
      <c r="GY291" t="s">
        <v>1045</v>
      </c>
      <c r="HB291">
        <v>0</v>
      </c>
      <c r="HE291">
        <v>0</v>
      </c>
      <c r="HF291">
        <v>0</v>
      </c>
      <c r="HG291">
        <v>0</v>
      </c>
      <c r="HK291" t="s">
        <v>1042</v>
      </c>
      <c r="HM291" t="s">
        <v>1047</v>
      </c>
      <c r="HN291">
        <v>0</v>
      </c>
      <c r="HP291">
        <v>0</v>
      </c>
      <c r="HQ291">
        <v>0</v>
      </c>
      <c r="HR291" t="s">
        <v>1042</v>
      </c>
      <c r="HS291" t="s">
        <v>1043</v>
      </c>
      <c r="HT291">
        <v>0</v>
      </c>
      <c r="HU291">
        <v>0</v>
      </c>
      <c r="HW291">
        <v>0</v>
      </c>
      <c r="HX291">
        <v>0</v>
      </c>
      <c r="HY291">
        <v>0</v>
      </c>
      <c r="HZ291" t="s">
        <v>1045</v>
      </c>
      <c r="IA291">
        <v>0</v>
      </c>
      <c r="IB291" t="s">
        <v>1045</v>
      </c>
      <c r="ID291" t="s">
        <v>1045</v>
      </c>
      <c r="IF291">
        <v>0</v>
      </c>
      <c r="IG291" t="s">
        <v>1042</v>
      </c>
      <c r="II291" t="s">
        <v>1042</v>
      </c>
      <c r="IR291" t="s">
        <v>1045</v>
      </c>
      <c r="IT291">
        <v>0</v>
      </c>
      <c r="IY291" t="s">
        <v>1044</v>
      </c>
      <c r="IZ291" t="s">
        <v>1043</v>
      </c>
      <c r="JC291" t="s">
        <v>1043</v>
      </c>
      <c r="JE291">
        <v>0</v>
      </c>
      <c r="JF291">
        <v>0</v>
      </c>
      <c r="JI291" t="s">
        <v>1042</v>
      </c>
      <c r="JJ291">
        <v>0</v>
      </c>
      <c r="JK291">
        <v>0</v>
      </c>
      <c r="JL291">
        <v>0</v>
      </c>
      <c r="JM291">
        <v>0</v>
      </c>
      <c r="JQ291" t="s">
        <v>1043</v>
      </c>
      <c r="JT291">
        <v>0</v>
      </c>
      <c r="JU291" t="s">
        <v>1042</v>
      </c>
      <c r="JW291">
        <v>0</v>
      </c>
      <c r="KA291">
        <v>0</v>
      </c>
      <c r="KF291">
        <v>0</v>
      </c>
      <c r="KG291">
        <v>0</v>
      </c>
      <c r="KH291">
        <v>0</v>
      </c>
      <c r="KI291">
        <v>0</v>
      </c>
      <c r="KS291" t="s">
        <v>1073</v>
      </c>
      <c r="KT291">
        <v>0</v>
      </c>
      <c r="KU291">
        <v>0</v>
      </c>
      <c r="KV291">
        <v>0</v>
      </c>
      <c r="KX291">
        <v>0</v>
      </c>
      <c r="KZ291">
        <v>0</v>
      </c>
      <c r="LF291">
        <v>0</v>
      </c>
      <c r="LH291">
        <v>0</v>
      </c>
      <c r="LI291">
        <v>0</v>
      </c>
    </row>
    <row r="292" spans="1:321" x14ac:dyDescent="0.35">
      <c r="A292">
        <v>1</v>
      </c>
      <c r="B292">
        <v>12513</v>
      </c>
      <c r="C292" t="s">
        <v>1404</v>
      </c>
      <c r="D292" t="s">
        <v>1139</v>
      </c>
      <c r="E292" t="s">
        <v>1085</v>
      </c>
      <c r="F292">
        <v>80</v>
      </c>
      <c r="G292">
        <v>9000</v>
      </c>
      <c r="H292">
        <v>0</v>
      </c>
      <c r="I292" t="s">
        <v>1050</v>
      </c>
      <c r="L292">
        <v>0</v>
      </c>
      <c r="M292">
        <v>0</v>
      </c>
      <c r="N292">
        <v>0</v>
      </c>
      <c r="R292">
        <v>0</v>
      </c>
      <c r="S292">
        <v>0</v>
      </c>
      <c r="W292" t="s">
        <v>1060</v>
      </c>
      <c r="X292">
        <v>0</v>
      </c>
      <c r="Z292">
        <v>1</v>
      </c>
      <c r="AA292">
        <v>0</v>
      </c>
      <c r="AB292">
        <v>0</v>
      </c>
      <c r="AC292">
        <v>0</v>
      </c>
      <c r="AD292" s="20">
        <v>40793</v>
      </c>
      <c r="AE292">
        <v>2.68</v>
      </c>
      <c r="AF292">
        <v>0</v>
      </c>
      <c r="AH292">
        <v>0</v>
      </c>
      <c r="AJ292">
        <v>0</v>
      </c>
      <c r="AL292">
        <v>0</v>
      </c>
      <c r="AM292">
        <v>0</v>
      </c>
      <c r="AN292">
        <v>16601003</v>
      </c>
      <c r="AO292">
        <v>0</v>
      </c>
      <c r="AP292">
        <v>1000</v>
      </c>
      <c r="AT292">
        <v>0</v>
      </c>
      <c r="AU292" t="s">
        <v>1059</v>
      </c>
      <c r="AW292" t="s">
        <v>1053</v>
      </c>
      <c r="AX292">
        <v>0</v>
      </c>
      <c r="AY292" s="20">
        <v>40793</v>
      </c>
      <c r="BA292" s="20">
        <v>40793</v>
      </c>
      <c r="BB292" t="s">
        <v>1058</v>
      </c>
      <c r="BD292">
        <v>0</v>
      </c>
      <c r="BF292" t="s">
        <v>1043</v>
      </c>
      <c r="BG292" t="s">
        <v>1042</v>
      </c>
      <c r="BH292">
        <v>0</v>
      </c>
      <c r="BI292">
        <v>1</v>
      </c>
      <c r="BJ292">
        <v>0</v>
      </c>
      <c r="BK292">
        <v>0</v>
      </c>
      <c r="BM292" t="s">
        <v>1042</v>
      </c>
      <c r="BN292">
        <v>0</v>
      </c>
      <c r="BR292" t="s">
        <v>1043</v>
      </c>
      <c r="BS292" t="s">
        <v>1043</v>
      </c>
      <c r="BT292" t="s">
        <v>1043</v>
      </c>
      <c r="BW292">
        <v>83</v>
      </c>
      <c r="BY292" t="s">
        <v>1403</v>
      </c>
      <c r="CA292">
        <v>0</v>
      </c>
      <c r="CB292" t="s">
        <v>1057</v>
      </c>
      <c r="CE292" t="s">
        <v>1043</v>
      </c>
      <c r="CH292" t="s">
        <v>1043</v>
      </c>
      <c r="CN292" t="s">
        <v>1056</v>
      </c>
      <c r="CO292" t="s">
        <v>1043</v>
      </c>
      <c r="CP292">
        <v>1</v>
      </c>
      <c r="CQ292">
        <v>0</v>
      </c>
      <c r="CS292">
        <v>0</v>
      </c>
      <c r="CT292">
        <v>0</v>
      </c>
      <c r="CU292">
        <v>0</v>
      </c>
      <c r="CV292" t="s">
        <v>1045</v>
      </c>
      <c r="CW292">
        <v>0</v>
      </c>
      <c r="CX292">
        <v>0</v>
      </c>
      <c r="CY292">
        <v>0</v>
      </c>
      <c r="CZ292">
        <v>0</v>
      </c>
      <c r="DB292">
        <v>0</v>
      </c>
      <c r="DC292" t="s">
        <v>1043</v>
      </c>
      <c r="DF292" t="s">
        <v>1055</v>
      </c>
      <c r="DH292">
        <v>0</v>
      </c>
      <c r="DJ292">
        <v>0</v>
      </c>
      <c r="DK292" t="s">
        <v>1053</v>
      </c>
      <c r="DL292">
        <v>0</v>
      </c>
      <c r="DN292">
        <v>0</v>
      </c>
      <c r="DO292" t="s">
        <v>1042</v>
      </c>
      <c r="DP292">
        <v>0</v>
      </c>
      <c r="DQ292">
        <v>0</v>
      </c>
      <c r="DS292">
        <v>0</v>
      </c>
      <c r="DU292">
        <v>0</v>
      </c>
      <c r="DW292">
        <v>0</v>
      </c>
      <c r="DX292" t="s">
        <v>1043</v>
      </c>
      <c r="DY292">
        <v>0</v>
      </c>
      <c r="DZ292">
        <v>0</v>
      </c>
      <c r="EA292">
        <v>0</v>
      </c>
      <c r="ED292" t="s">
        <v>1045</v>
      </c>
      <c r="EE292">
        <v>0</v>
      </c>
      <c r="EF292">
        <v>0</v>
      </c>
      <c r="EQ292" t="s">
        <v>1044</v>
      </c>
      <c r="ES292" t="s">
        <v>1053</v>
      </c>
      <c r="ET292">
        <v>0</v>
      </c>
      <c r="EV292">
        <v>0</v>
      </c>
      <c r="EY292" t="s">
        <v>1052</v>
      </c>
      <c r="EZ292">
        <v>0</v>
      </c>
      <c r="FA292" t="s">
        <v>1043</v>
      </c>
      <c r="FB292">
        <v>0</v>
      </c>
      <c r="FC292">
        <v>0</v>
      </c>
      <c r="FE292" t="s">
        <v>1050</v>
      </c>
      <c r="FF292">
        <v>0</v>
      </c>
      <c r="FG292" t="s">
        <v>1050</v>
      </c>
      <c r="FJ292">
        <v>0</v>
      </c>
      <c r="FK292">
        <v>0</v>
      </c>
      <c r="FP292">
        <v>0</v>
      </c>
      <c r="FR292">
        <v>0</v>
      </c>
      <c r="FS292" t="s">
        <v>1043</v>
      </c>
      <c r="FX292" t="s">
        <v>1042</v>
      </c>
      <c r="FZ292" t="s">
        <v>1048</v>
      </c>
      <c r="GA292">
        <v>0</v>
      </c>
      <c r="GB292" t="s">
        <v>1042</v>
      </c>
      <c r="GE292">
        <v>0</v>
      </c>
      <c r="GG292">
        <v>0</v>
      </c>
      <c r="GN292">
        <v>0</v>
      </c>
      <c r="GO292" t="s">
        <v>1063</v>
      </c>
      <c r="GQ292">
        <v>0</v>
      </c>
      <c r="GU292">
        <v>0</v>
      </c>
      <c r="GY292" t="s">
        <v>1045</v>
      </c>
      <c r="HB292">
        <v>0</v>
      </c>
      <c r="HE292">
        <v>0</v>
      </c>
      <c r="HF292">
        <v>0</v>
      </c>
      <c r="HG292">
        <v>0</v>
      </c>
      <c r="HK292" t="s">
        <v>1042</v>
      </c>
      <c r="HM292" t="s">
        <v>1047</v>
      </c>
      <c r="HN292">
        <v>0</v>
      </c>
      <c r="HP292">
        <v>0</v>
      </c>
      <c r="HQ292">
        <v>0</v>
      </c>
      <c r="HR292" t="s">
        <v>1042</v>
      </c>
      <c r="HS292" t="s">
        <v>1043</v>
      </c>
      <c r="HT292">
        <v>0</v>
      </c>
      <c r="HU292">
        <v>0</v>
      </c>
      <c r="HW292">
        <v>0</v>
      </c>
      <c r="HX292">
        <v>0</v>
      </c>
      <c r="HY292">
        <v>0</v>
      </c>
      <c r="HZ292" t="s">
        <v>1045</v>
      </c>
      <c r="IA292">
        <v>0</v>
      </c>
      <c r="IB292" t="s">
        <v>1045</v>
      </c>
      <c r="ID292" t="s">
        <v>1045</v>
      </c>
      <c r="IF292">
        <v>0</v>
      </c>
      <c r="IG292" t="s">
        <v>1042</v>
      </c>
      <c r="II292" t="s">
        <v>1042</v>
      </c>
      <c r="IR292" t="s">
        <v>1045</v>
      </c>
      <c r="IT292">
        <v>0</v>
      </c>
      <c r="IY292" t="s">
        <v>1044</v>
      </c>
      <c r="IZ292" t="s">
        <v>1043</v>
      </c>
      <c r="JC292" t="s">
        <v>1043</v>
      </c>
      <c r="JE292">
        <v>0</v>
      </c>
      <c r="JF292">
        <v>0</v>
      </c>
      <c r="JI292" t="s">
        <v>1042</v>
      </c>
      <c r="JJ292">
        <v>0</v>
      </c>
      <c r="JK292">
        <v>0</v>
      </c>
      <c r="JL292">
        <v>0</v>
      </c>
      <c r="JM292">
        <v>0</v>
      </c>
      <c r="JQ292" t="s">
        <v>1043</v>
      </c>
      <c r="JT292">
        <v>0</v>
      </c>
      <c r="JU292" t="s">
        <v>1042</v>
      </c>
      <c r="JW292">
        <v>0</v>
      </c>
      <c r="KA292">
        <v>0</v>
      </c>
      <c r="KF292">
        <v>0</v>
      </c>
      <c r="KG292">
        <v>0</v>
      </c>
      <c r="KH292">
        <v>0</v>
      </c>
      <c r="KI292">
        <v>0</v>
      </c>
      <c r="KS292" t="s">
        <v>1073</v>
      </c>
      <c r="KT292">
        <v>0</v>
      </c>
      <c r="KU292">
        <v>0</v>
      </c>
      <c r="KV292">
        <v>0</v>
      </c>
      <c r="KX292">
        <v>0</v>
      </c>
      <c r="KZ292">
        <v>0</v>
      </c>
      <c r="LF292">
        <v>0</v>
      </c>
      <c r="LH292">
        <v>0</v>
      </c>
      <c r="LI292">
        <v>0</v>
      </c>
    </row>
    <row r="293" spans="1:321" x14ac:dyDescent="0.35">
      <c r="A293">
        <v>1</v>
      </c>
      <c r="B293">
        <v>12514</v>
      </c>
      <c r="C293" t="s">
        <v>1402</v>
      </c>
      <c r="D293" t="s">
        <v>1139</v>
      </c>
      <c r="E293" t="s">
        <v>1085</v>
      </c>
      <c r="F293">
        <v>80</v>
      </c>
      <c r="G293">
        <v>9000</v>
      </c>
      <c r="H293">
        <v>0</v>
      </c>
      <c r="I293" t="s">
        <v>1050</v>
      </c>
      <c r="L293">
        <v>0</v>
      </c>
      <c r="M293">
        <v>0</v>
      </c>
      <c r="N293">
        <v>0</v>
      </c>
      <c r="R293">
        <v>0</v>
      </c>
      <c r="S293">
        <v>0</v>
      </c>
      <c r="W293" t="s">
        <v>1060</v>
      </c>
      <c r="X293">
        <v>0</v>
      </c>
      <c r="Z293">
        <v>1</v>
      </c>
      <c r="AA293">
        <v>0</v>
      </c>
      <c r="AB293">
        <v>0</v>
      </c>
      <c r="AC293">
        <v>0</v>
      </c>
      <c r="AD293" s="20">
        <v>40793</v>
      </c>
      <c r="AE293">
        <v>2.68</v>
      </c>
      <c r="AF293">
        <v>0</v>
      </c>
      <c r="AH293">
        <v>0</v>
      </c>
      <c r="AJ293">
        <v>0</v>
      </c>
      <c r="AL293">
        <v>0</v>
      </c>
      <c r="AM293">
        <v>0</v>
      </c>
      <c r="AN293">
        <v>16601003</v>
      </c>
      <c r="AO293">
        <v>0</v>
      </c>
      <c r="AP293">
        <v>1000</v>
      </c>
      <c r="AT293">
        <v>0</v>
      </c>
      <c r="AU293" t="s">
        <v>1059</v>
      </c>
      <c r="AW293" t="s">
        <v>1053</v>
      </c>
      <c r="AX293">
        <v>0</v>
      </c>
      <c r="AY293" s="20">
        <v>40793</v>
      </c>
      <c r="BA293" s="20">
        <v>40793</v>
      </c>
      <c r="BB293" t="s">
        <v>1058</v>
      </c>
      <c r="BD293">
        <v>0</v>
      </c>
      <c r="BF293" t="s">
        <v>1043</v>
      </c>
      <c r="BG293" t="s">
        <v>1042</v>
      </c>
      <c r="BH293">
        <v>0</v>
      </c>
      <c r="BI293">
        <v>1</v>
      </c>
      <c r="BJ293">
        <v>0</v>
      </c>
      <c r="BK293">
        <v>0</v>
      </c>
      <c r="BM293" t="s">
        <v>1042</v>
      </c>
      <c r="BN293">
        <v>0</v>
      </c>
      <c r="BR293" t="s">
        <v>1043</v>
      </c>
      <c r="BS293" t="s">
        <v>1043</v>
      </c>
      <c r="BT293" t="s">
        <v>1043</v>
      </c>
      <c r="BW293">
        <v>83</v>
      </c>
      <c r="CA293">
        <v>0</v>
      </c>
      <c r="CB293" t="s">
        <v>1057</v>
      </c>
      <c r="CE293" t="s">
        <v>1043</v>
      </c>
      <c r="CH293" t="s">
        <v>1043</v>
      </c>
      <c r="CN293" t="s">
        <v>1056</v>
      </c>
      <c r="CO293" t="s">
        <v>1043</v>
      </c>
      <c r="CP293">
        <v>1</v>
      </c>
      <c r="CQ293">
        <v>0</v>
      </c>
      <c r="CS293">
        <v>0</v>
      </c>
      <c r="CT293">
        <v>0</v>
      </c>
      <c r="CU293">
        <v>0</v>
      </c>
      <c r="CV293" t="s">
        <v>1045</v>
      </c>
      <c r="CW293">
        <v>0</v>
      </c>
      <c r="CX293">
        <v>0</v>
      </c>
      <c r="CY293">
        <v>0</v>
      </c>
      <c r="CZ293">
        <v>0</v>
      </c>
      <c r="DB293">
        <v>0</v>
      </c>
      <c r="DC293" t="s">
        <v>1043</v>
      </c>
      <c r="DF293" t="s">
        <v>1055</v>
      </c>
      <c r="DH293">
        <v>0</v>
      </c>
      <c r="DJ293">
        <v>0</v>
      </c>
      <c r="DK293" t="s">
        <v>1053</v>
      </c>
      <c r="DL293">
        <v>0</v>
      </c>
      <c r="DN293">
        <v>0</v>
      </c>
      <c r="DO293" t="s">
        <v>1042</v>
      </c>
      <c r="DP293">
        <v>0</v>
      </c>
      <c r="DQ293">
        <v>0</v>
      </c>
      <c r="DS293">
        <v>0</v>
      </c>
      <c r="DU293">
        <v>0</v>
      </c>
      <c r="DW293">
        <v>0</v>
      </c>
      <c r="DX293" t="s">
        <v>1043</v>
      </c>
      <c r="DY293">
        <v>0</v>
      </c>
      <c r="DZ293">
        <v>0</v>
      </c>
      <c r="EA293">
        <v>0</v>
      </c>
      <c r="ED293" t="s">
        <v>1045</v>
      </c>
      <c r="EE293">
        <v>0</v>
      </c>
      <c r="EF293">
        <v>0</v>
      </c>
      <c r="EQ293" t="s">
        <v>1044</v>
      </c>
      <c r="ES293" t="s">
        <v>1053</v>
      </c>
      <c r="ET293">
        <v>0</v>
      </c>
      <c r="EV293">
        <v>0</v>
      </c>
      <c r="EY293" t="s">
        <v>1052</v>
      </c>
      <c r="EZ293">
        <v>0</v>
      </c>
      <c r="FA293" t="s">
        <v>1043</v>
      </c>
      <c r="FB293">
        <v>0</v>
      </c>
      <c r="FC293">
        <v>0</v>
      </c>
      <c r="FE293" t="s">
        <v>1050</v>
      </c>
      <c r="FF293">
        <v>0</v>
      </c>
      <c r="FG293" t="s">
        <v>1050</v>
      </c>
      <c r="FJ293">
        <v>0</v>
      </c>
      <c r="FK293">
        <v>0</v>
      </c>
      <c r="FP293">
        <v>0</v>
      </c>
      <c r="FR293">
        <v>0</v>
      </c>
      <c r="FS293" t="s">
        <v>1043</v>
      </c>
      <c r="FX293" t="s">
        <v>1042</v>
      </c>
      <c r="FZ293" t="s">
        <v>1048</v>
      </c>
      <c r="GA293">
        <v>0</v>
      </c>
      <c r="GB293" t="s">
        <v>1042</v>
      </c>
      <c r="GE293">
        <v>0</v>
      </c>
      <c r="GG293">
        <v>0</v>
      </c>
      <c r="GN293">
        <v>0</v>
      </c>
      <c r="GO293" t="s">
        <v>1063</v>
      </c>
      <c r="GQ293">
        <v>0</v>
      </c>
      <c r="GU293">
        <v>0</v>
      </c>
      <c r="GY293" t="s">
        <v>1045</v>
      </c>
      <c r="HB293">
        <v>0</v>
      </c>
      <c r="HE293">
        <v>0</v>
      </c>
      <c r="HF293">
        <v>0</v>
      </c>
      <c r="HG293">
        <v>0</v>
      </c>
      <c r="HK293" t="s">
        <v>1042</v>
      </c>
      <c r="HM293" t="s">
        <v>1047</v>
      </c>
      <c r="HN293">
        <v>0</v>
      </c>
      <c r="HP293">
        <v>0</v>
      </c>
      <c r="HQ293">
        <v>0</v>
      </c>
      <c r="HR293" t="s">
        <v>1042</v>
      </c>
      <c r="HS293" t="s">
        <v>1043</v>
      </c>
      <c r="HT293">
        <v>0</v>
      </c>
      <c r="HU293">
        <v>0</v>
      </c>
      <c r="HW293">
        <v>0</v>
      </c>
      <c r="HX293">
        <v>0</v>
      </c>
      <c r="HY293">
        <v>0</v>
      </c>
      <c r="HZ293" t="s">
        <v>1045</v>
      </c>
      <c r="IA293">
        <v>0</v>
      </c>
      <c r="IB293" t="s">
        <v>1045</v>
      </c>
      <c r="ID293" t="s">
        <v>1045</v>
      </c>
      <c r="IF293">
        <v>0</v>
      </c>
      <c r="IG293" t="s">
        <v>1042</v>
      </c>
      <c r="II293" t="s">
        <v>1042</v>
      </c>
      <c r="IR293" t="s">
        <v>1045</v>
      </c>
      <c r="IT293">
        <v>0</v>
      </c>
      <c r="IY293" t="s">
        <v>1044</v>
      </c>
      <c r="IZ293" t="s">
        <v>1043</v>
      </c>
      <c r="JC293" t="s">
        <v>1043</v>
      </c>
      <c r="JE293">
        <v>0</v>
      </c>
      <c r="JF293">
        <v>0</v>
      </c>
      <c r="JI293" t="s">
        <v>1042</v>
      </c>
      <c r="JJ293">
        <v>0</v>
      </c>
      <c r="JK293">
        <v>0</v>
      </c>
      <c r="JL293">
        <v>0</v>
      </c>
      <c r="JM293">
        <v>0</v>
      </c>
      <c r="JQ293" t="s">
        <v>1043</v>
      </c>
      <c r="JT293">
        <v>0</v>
      </c>
      <c r="JU293" t="s">
        <v>1042</v>
      </c>
      <c r="JW293">
        <v>0</v>
      </c>
      <c r="KA293">
        <v>0</v>
      </c>
      <c r="KF293">
        <v>0</v>
      </c>
      <c r="KG293">
        <v>0</v>
      </c>
      <c r="KH293">
        <v>0</v>
      </c>
      <c r="KI293">
        <v>0</v>
      </c>
      <c r="KS293" t="s">
        <v>1073</v>
      </c>
      <c r="KT293">
        <v>0</v>
      </c>
      <c r="KU293">
        <v>0</v>
      </c>
      <c r="KV293">
        <v>0</v>
      </c>
      <c r="KX293">
        <v>0</v>
      </c>
      <c r="KZ293">
        <v>0</v>
      </c>
      <c r="LF293">
        <v>0</v>
      </c>
      <c r="LH293">
        <v>0</v>
      </c>
      <c r="LI293">
        <v>0</v>
      </c>
    </row>
    <row r="294" spans="1:321" x14ac:dyDescent="0.35">
      <c r="A294">
        <v>1</v>
      </c>
      <c r="B294">
        <v>12515</v>
      </c>
      <c r="C294" t="s">
        <v>1401</v>
      </c>
      <c r="D294" t="s">
        <v>1139</v>
      </c>
      <c r="E294" t="s">
        <v>1085</v>
      </c>
      <c r="F294">
        <v>80</v>
      </c>
      <c r="G294">
        <v>9000</v>
      </c>
      <c r="H294">
        <v>0</v>
      </c>
      <c r="I294" t="s">
        <v>1050</v>
      </c>
      <c r="L294">
        <v>0</v>
      </c>
      <c r="M294">
        <v>0</v>
      </c>
      <c r="N294">
        <v>0</v>
      </c>
      <c r="R294">
        <v>0</v>
      </c>
      <c r="S294">
        <v>0</v>
      </c>
      <c r="W294" t="s">
        <v>1060</v>
      </c>
      <c r="X294">
        <v>0</v>
      </c>
      <c r="Z294">
        <v>1</v>
      </c>
      <c r="AA294">
        <v>0</v>
      </c>
      <c r="AB294">
        <v>0</v>
      </c>
      <c r="AC294">
        <v>0</v>
      </c>
      <c r="AD294" s="20">
        <v>40793</v>
      </c>
      <c r="AE294">
        <v>2.68</v>
      </c>
      <c r="AF294">
        <v>0</v>
      </c>
      <c r="AH294">
        <v>0</v>
      </c>
      <c r="AJ294">
        <v>0</v>
      </c>
      <c r="AL294">
        <v>0</v>
      </c>
      <c r="AM294">
        <v>0</v>
      </c>
      <c r="AN294">
        <v>16601003</v>
      </c>
      <c r="AO294">
        <v>0</v>
      </c>
      <c r="AP294">
        <v>1000</v>
      </c>
      <c r="AT294">
        <v>0</v>
      </c>
      <c r="AU294" t="s">
        <v>1059</v>
      </c>
      <c r="AW294" t="s">
        <v>1053</v>
      </c>
      <c r="AX294">
        <v>0</v>
      </c>
      <c r="AY294" s="20">
        <v>40793</v>
      </c>
      <c r="BA294" s="20">
        <v>40793</v>
      </c>
      <c r="BB294" t="s">
        <v>1058</v>
      </c>
      <c r="BD294">
        <v>0</v>
      </c>
      <c r="BF294" t="s">
        <v>1043</v>
      </c>
      <c r="BG294" t="s">
        <v>1042</v>
      </c>
      <c r="BH294">
        <v>0</v>
      </c>
      <c r="BI294">
        <v>1</v>
      </c>
      <c r="BJ294">
        <v>0</v>
      </c>
      <c r="BK294">
        <v>0</v>
      </c>
      <c r="BM294" t="s">
        <v>1042</v>
      </c>
      <c r="BN294">
        <v>0</v>
      </c>
      <c r="BR294" t="s">
        <v>1043</v>
      </c>
      <c r="BS294" t="s">
        <v>1043</v>
      </c>
      <c r="BT294" t="s">
        <v>1043</v>
      </c>
      <c r="BW294">
        <v>83</v>
      </c>
      <c r="CA294">
        <v>0</v>
      </c>
      <c r="CB294" t="s">
        <v>1057</v>
      </c>
      <c r="CE294" t="s">
        <v>1043</v>
      </c>
      <c r="CH294" t="s">
        <v>1043</v>
      </c>
      <c r="CN294" t="s">
        <v>1056</v>
      </c>
      <c r="CO294" t="s">
        <v>1043</v>
      </c>
      <c r="CP294">
        <v>1</v>
      </c>
      <c r="CQ294">
        <v>0</v>
      </c>
      <c r="CS294">
        <v>0</v>
      </c>
      <c r="CT294">
        <v>0</v>
      </c>
      <c r="CU294">
        <v>0</v>
      </c>
      <c r="CV294" t="s">
        <v>1045</v>
      </c>
      <c r="CW294">
        <v>0</v>
      </c>
      <c r="CX294">
        <v>0</v>
      </c>
      <c r="CY294">
        <v>0</v>
      </c>
      <c r="CZ294">
        <v>0</v>
      </c>
      <c r="DB294">
        <v>0</v>
      </c>
      <c r="DC294" t="s">
        <v>1043</v>
      </c>
      <c r="DF294" t="s">
        <v>1055</v>
      </c>
      <c r="DH294">
        <v>0</v>
      </c>
      <c r="DJ294">
        <v>0</v>
      </c>
      <c r="DK294" t="s">
        <v>1053</v>
      </c>
      <c r="DL294">
        <v>0</v>
      </c>
      <c r="DN294">
        <v>0</v>
      </c>
      <c r="DO294" t="s">
        <v>1042</v>
      </c>
      <c r="DP294">
        <v>0</v>
      </c>
      <c r="DQ294">
        <v>0</v>
      </c>
      <c r="DS294">
        <v>0</v>
      </c>
      <c r="DU294">
        <v>0</v>
      </c>
      <c r="DW294">
        <v>0</v>
      </c>
      <c r="DX294" t="s">
        <v>1043</v>
      </c>
      <c r="DY294">
        <v>0</v>
      </c>
      <c r="DZ294">
        <v>0</v>
      </c>
      <c r="EA294">
        <v>0</v>
      </c>
      <c r="ED294" t="s">
        <v>1045</v>
      </c>
      <c r="EE294">
        <v>0</v>
      </c>
      <c r="EF294">
        <v>0</v>
      </c>
      <c r="EQ294" t="s">
        <v>1044</v>
      </c>
      <c r="ES294" t="s">
        <v>1053</v>
      </c>
      <c r="ET294">
        <v>0</v>
      </c>
      <c r="EV294">
        <v>0</v>
      </c>
      <c r="EY294" t="s">
        <v>1052</v>
      </c>
      <c r="EZ294">
        <v>0</v>
      </c>
      <c r="FA294" t="s">
        <v>1043</v>
      </c>
      <c r="FB294">
        <v>0</v>
      </c>
      <c r="FC294">
        <v>0</v>
      </c>
      <c r="FE294" t="s">
        <v>1050</v>
      </c>
      <c r="FF294">
        <v>0</v>
      </c>
      <c r="FG294" t="s">
        <v>1050</v>
      </c>
      <c r="FJ294">
        <v>0</v>
      </c>
      <c r="FK294">
        <v>0</v>
      </c>
      <c r="FP294">
        <v>0</v>
      </c>
      <c r="FR294">
        <v>0</v>
      </c>
      <c r="FS294" t="s">
        <v>1043</v>
      </c>
      <c r="FX294" t="s">
        <v>1042</v>
      </c>
      <c r="FZ294" t="s">
        <v>1048</v>
      </c>
      <c r="GA294">
        <v>0</v>
      </c>
      <c r="GB294" t="s">
        <v>1042</v>
      </c>
      <c r="GE294">
        <v>0</v>
      </c>
      <c r="GG294">
        <v>0</v>
      </c>
      <c r="GN294">
        <v>0</v>
      </c>
      <c r="GO294" t="s">
        <v>1063</v>
      </c>
      <c r="GQ294">
        <v>0</v>
      </c>
      <c r="GU294">
        <v>0</v>
      </c>
      <c r="GY294" t="s">
        <v>1045</v>
      </c>
      <c r="HB294">
        <v>0</v>
      </c>
      <c r="HE294">
        <v>0</v>
      </c>
      <c r="HF294">
        <v>0</v>
      </c>
      <c r="HG294">
        <v>0</v>
      </c>
      <c r="HK294" t="s">
        <v>1042</v>
      </c>
      <c r="HM294" t="s">
        <v>1047</v>
      </c>
      <c r="HN294">
        <v>0</v>
      </c>
      <c r="HP294">
        <v>0</v>
      </c>
      <c r="HQ294">
        <v>0</v>
      </c>
      <c r="HR294" t="s">
        <v>1042</v>
      </c>
      <c r="HS294" t="s">
        <v>1043</v>
      </c>
      <c r="HT294">
        <v>0</v>
      </c>
      <c r="HU294">
        <v>0</v>
      </c>
      <c r="HW294">
        <v>0</v>
      </c>
      <c r="HX294">
        <v>0</v>
      </c>
      <c r="HY294">
        <v>0</v>
      </c>
      <c r="HZ294" t="s">
        <v>1045</v>
      </c>
      <c r="IA294">
        <v>0</v>
      </c>
      <c r="IB294" t="s">
        <v>1045</v>
      </c>
      <c r="ID294" t="s">
        <v>1045</v>
      </c>
      <c r="IF294">
        <v>0</v>
      </c>
      <c r="IG294" t="s">
        <v>1042</v>
      </c>
      <c r="II294" t="s">
        <v>1042</v>
      </c>
      <c r="IR294" t="s">
        <v>1045</v>
      </c>
      <c r="IT294">
        <v>0</v>
      </c>
      <c r="IY294" t="s">
        <v>1044</v>
      </c>
      <c r="IZ294" t="s">
        <v>1043</v>
      </c>
      <c r="JC294" t="s">
        <v>1043</v>
      </c>
      <c r="JE294">
        <v>0</v>
      </c>
      <c r="JF294">
        <v>0</v>
      </c>
      <c r="JI294" t="s">
        <v>1042</v>
      </c>
      <c r="JJ294">
        <v>0</v>
      </c>
      <c r="JK294">
        <v>0</v>
      </c>
      <c r="JL294">
        <v>0</v>
      </c>
      <c r="JM294">
        <v>0</v>
      </c>
      <c r="JQ294" t="s">
        <v>1043</v>
      </c>
      <c r="JT294">
        <v>0</v>
      </c>
      <c r="JU294" t="s">
        <v>1042</v>
      </c>
      <c r="JW294">
        <v>0</v>
      </c>
      <c r="KA294">
        <v>0</v>
      </c>
      <c r="KF294">
        <v>0</v>
      </c>
      <c r="KG294">
        <v>0</v>
      </c>
      <c r="KH294">
        <v>0</v>
      </c>
      <c r="KI294">
        <v>0</v>
      </c>
      <c r="KS294" t="s">
        <v>1073</v>
      </c>
      <c r="KT294">
        <v>0</v>
      </c>
      <c r="KU294">
        <v>0</v>
      </c>
      <c r="KV294">
        <v>0</v>
      </c>
      <c r="KX294">
        <v>0</v>
      </c>
      <c r="KZ294">
        <v>0</v>
      </c>
      <c r="LF294">
        <v>0</v>
      </c>
      <c r="LH294">
        <v>0</v>
      </c>
      <c r="LI294">
        <v>0</v>
      </c>
    </row>
    <row r="295" spans="1:321" x14ac:dyDescent="0.35">
      <c r="A295">
        <v>1</v>
      </c>
      <c r="B295">
        <v>12516</v>
      </c>
      <c r="C295" t="s">
        <v>1400</v>
      </c>
      <c r="D295" t="s">
        <v>1139</v>
      </c>
      <c r="E295" t="s">
        <v>1085</v>
      </c>
      <c r="F295">
        <v>80</v>
      </c>
      <c r="G295">
        <v>9000</v>
      </c>
      <c r="H295">
        <v>0</v>
      </c>
      <c r="I295" t="s">
        <v>1050</v>
      </c>
      <c r="L295">
        <v>0</v>
      </c>
      <c r="M295">
        <v>0</v>
      </c>
      <c r="N295">
        <v>0</v>
      </c>
      <c r="R295">
        <v>0</v>
      </c>
      <c r="S295">
        <v>0</v>
      </c>
      <c r="W295" t="s">
        <v>1060</v>
      </c>
      <c r="X295">
        <v>0</v>
      </c>
      <c r="Z295">
        <v>1</v>
      </c>
      <c r="AA295">
        <v>0</v>
      </c>
      <c r="AB295">
        <v>0</v>
      </c>
      <c r="AC295">
        <v>0</v>
      </c>
      <c r="AD295" s="20">
        <v>40793</v>
      </c>
      <c r="AE295">
        <v>2.68</v>
      </c>
      <c r="AF295">
        <v>0</v>
      </c>
      <c r="AH295">
        <v>0</v>
      </c>
      <c r="AJ295">
        <v>0</v>
      </c>
      <c r="AL295">
        <v>0</v>
      </c>
      <c r="AM295">
        <v>0</v>
      </c>
      <c r="AN295">
        <v>16601003</v>
      </c>
      <c r="AO295">
        <v>0</v>
      </c>
      <c r="AP295">
        <v>1000</v>
      </c>
      <c r="AT295">
        <v>0</v>
      </c>
      <c r="AU295" t="s">
        <v>1059</v>
      </c>
      <c r="AW295" t="s">
        <v>1053</v>
      </c>
      <c r="AX295">
        <v>0</v>
      </c>
      <c r="AY295" s="20">
        <v>40793</v>
      </c>
      <c r="BA295" s="20">
        <v>40793</v>
      </c>
      <c r="BB295" t="s">
        <v>1058</v>
      </c>
      <c r="BD295">
        <v>0</v>
      </c>
      <c r="BF295" t="s">
        <v>1043</v>
      </c>
      <c r="BG295" t="s">
        <v>1042</v>
      </c>
      <c r="BH295">
        <v>0</v>
      </c>
      <c r="BI295">
        <v>1</v>
      </c>
      <c r="BJ295">
        <v>0</v>
      </c>
      <c r="BK295">
        <v>0</v>
      </c>
      <c r="BM295" t="s">
        <v>1042</v>
      </c>
      <c r="BN295">
        <v>0</v>
      </c>
      <c r="BR295" t="s">
        <v>1043</v>
      </c>
      <c r="BS295" t="s">
        <v>1043</v>
      </c>
      <c r="BT295" t="s">
        <v>1043</v>
      </c>
      <c r="BW295">
        <v>83</v>
      </c>
      <c r="CA295">
        <v>0</v>
      </c>
      <c r="CB295" t="s">
        <v>1057</v>
      </c>
      <c r="CE295" t="s">
        <v>1043</v>
      </c>
      <c r="CH295" t="s">
        <v>1043</v>
      </c>
      <c r="CN295" t="s">
        <v>1056</v>
      </c>
      <c r="CO295" t="s">
        <v>1043</v>
      </c>
      <c r="CP295">
        <v>1</v>
      </c>
      <c r="CQ295">
        <v>0</v>
      </c>
      <c r="CS295">
        <v>0</v>
      </c>
      <c r="CT295">
        <v>0</v>
      </c>
      <c r="CU295">
        <v>0</v>
      </c>
      <c r="CV295" t="s">
        <v>1045</v>
      </c>
      <c r="CW295">
        <v>0</v>
      </c>
      <c r="CX295">
        <v>0</v>
      </c>
      <c r="CY295">
        <v>0</v>
      </c>
      <c r="CZ295">
        <v>0</v>
      </c>
      <c r="DB295">
        <v>0</v>
      </c>
      <c r="DC295" t="s">
        <v>1043</v>
      </c>
      <c r="DF295" t="s">
        <v>1055</v>
      </c>
      <c r="DH295">
        <v>0</v>
      </c>
      <c r="DJ295">
        <v>0</v>
      </c>
      <c r="DK295" t="s">
        <v>1053</v>
      </c>
      <c r="DL295">
        <v>0</v>
      </c>
      <c r="DN295">
        <v>0</v>
      </c>
      <c r="DO295" t="s">
        <v>1042</v>
      </c>
      <c r="DP295">
        <v>0</v>
      </c>
      <c r="DQ295">
        <v>0</v>
      </c>
      <c r="DS295">
        <v>0</v>
      </c>
      <c r="DU295">
        <v>0</v>
      </c>
      <c r="DW295">
        <v>0</v>
      </c>
      <c r="DX295" t="s">
        <v>1043</v>
      </c>
      <c r="DY295">
        <v>0</v>
      </c>
      <c r="DZ295">
        <v>0</v>
      </c>
      <c r="EA295">
        <v>0</v>
      </c>
      <c r="ED295" t="s">
        <v>1045</v>
      </c>
      <c r="EE295">
        <v>0</v>
      </c>
      <c r="EF295">
        <v>0</v>
      </c>
      <c r="EQ295" t="s">
        <v>1044</v>
      </c>
      <c r="ES295" t="s">
        <v>1053</v>
      </c>
      <c r="ET295">
        <v>0</v>
      </c>
      <c r="EV295">
        <v>0</v>
      </c>
      <c r="EY295" t="s">
        <v>1052</v>
      </c>
      <c r="EZ295">
        <v>0</v>
      </c>
      <c r="FA295" t="s">
        <v>1043</v>
      </c>
      <c r="FB295">
        <v>0</v>
      </c>
      <c r="FC295">
        <v>0</v>
      </c>
      <c r="FE295" t="s">
        <v>1050</v>
      </c>
      <c r="FF295">
        <v>0</v>
      </c>
      <c r="FG295" t="s">
        <v>1050</v>
      </c>
      <c r="FJ295">
        <v>0</v>
      </c>
      <c r="FK295">
        <v>0</v>
      </c>
      <c r="FP295">
        <v>0</v>
      </c>
      <c r="FR295">
        <v>0</v>
      </c>
      <c r="FS295" t="s">
        <v>1043</v>
      </c>
      <c r="FX295" t="s">
        <v>1042</v>
      </c>
      <c r="FZ295" t="s">
        <v>1048</v>
      </c>
      <c r="GA295">
        <v>0</v>
      </c>
      <c r="GB295" t="s">
        <v>1042</v>
      </c>
      <c r="GE295">
        <v>0</v>
      </c>
      <c r="GG295">
        <v>0</v>
      </c>
      <c r="GN295">
        <v>0</v>
      </c>
      <c r="GO295" t="s">
        <v>1063</v>
      </c>
      <c r="GQ295">
        <v>0</v>
      </c>
      <c r="GU295">
        <v>0</v>
      </c>
      <c r="GY295" t="s">
        <v>1045</v>
      </c>
      <c r="HB295">
        <v>0</v>
      </c>
      <c r="HE295">
        <v>0</v>
      </c>
      <c r="HF295">
        <v>0</v>
      </c>
      <c r="HG295">
        <v>0</v>
      </c>
      <c r="HK295" t="s">
        <v>1042</v>
      </c>
      <c r="HM295" t="s">
        <v>1047</v>
      </c>
      <c r="HN295">
        <v>0</v>
      </c>
      <c r="HP295">
        <v>0</v>
      </c>
      <c r="HQ295">
        <v>0</v>
      </c>
      <c r="HR295" t="s">
        <v>1042</v>
      </c>
      <c r="HS295" t="s">
        <v>1043</v>
      </c>
      <c r="HT295">
        <v>0</v>
      </c>
      <c r="HU295">
        <v>0</v>
      </c>
      <c r="HW295">
        <v>0</v>
      </c>
      <c r="HX295">
        <v>0</v>
      </c>
      <c r="HY295">
        <v>0</v>
      </c>
      <c r="HZ295" t="s">
        <v>1045</v>
      </c>
      <c r="IA295">
        <v>0</v>
      </c>
      <c r="IB295" t="s">
        <v>1045</v>
      </c>
      <c r="ID295" t="s">
        <v>1045</v>
      </c>
      <c r="IF295">
        <v>0</v>
      </c>
      <c r="IG295" t="s">
        <v>1042</v>
      </c>
      <c r="II295" t="s">
        <v>1042</v>
      </c>
      <c r="IR295" t="s">
        <v>1045</v>
      </c>
      <c r="IT295">
        <v>0</v>
      </c>
      <c r="IY295" t="s">
        <v>1044</v>
      </c>
      <c r="IZ295" t="s">
        <v>1043</v>
      </c>
      <c r="JC295" t="s">
        <v>1043</v>
      </c>
      <c r="JE295">
        <v>0</v>
      </c>
      <c r="JF295">
        <v>0</v>
      </c>
      <c r="JI295" t="s">
        <v>1042</v>
      </c>
      <c r="JJ295">
        <v>0</v>
      </c>
      <c r="JK295">
        <v>0</v>
      </c>
      <c r="JL295">
        <v>0</v>
      </c>
      <c r="JM295">
        <v>0</v>
      </c>
      <c r="JQ295" t="s">
        <v>1043</v>
      </c>
      <c r="JT295">
        <v>0</v>
      </c>
      <c r="JU295" t="s">
        <v>1042</v>
      </c>
      <c r="JW295">
        <v>0</v>
      </c>
      <c r="KA295">
        <v>0</v>
      </c>
      <c r="KF295">
        <v>0</v>
      </c>
      <c r="KG295">
        <v>0</v>
      </c>
      <c r="KH295">
        <v>0</v>
      </c>
      <c r="KI295">
        <v>0</v>
      </c>
      <c r="KS295" t="s">
        <v>1073</v>
      </c>
      <c r="KT295">
        <v>0</v>
      </c>
      <c r="KU295">
        <v>0</v>
      </c>
      <c r="KV295">
        <v>0</v>
      </c>
      <c r="KX295">
        <v>0</v>
      </c>
      <c r="KZ295">
        <v>0</v>
      </c>
      <c r="LF295">
        <v>0</v>
      </c>
      <c r="LH295">
        <v>0</v>
      </c>
      <c r="LI295">
        <v>0</v>
      </c>
    </row>
    <row r="296" spans="1:321" x14ac:dyDescent="0.35">
      <c r="A296">
        <v>1</v>
      </c>
      <c r="B296">
        <v>12517</v>
      </c>
      <c r="C296" t="s">
        <v>1399</v>
      </c>
      <c r="D296" t="s">
        <v>1139</v>
      </c>
      <c r="E296" t="s">
        <v>1085</v>
      </c>
      <c r="F296">
        <v>80</v>
      </c>
      <c r="G296">
        <v>9000</v>
      </c>
      <c r="H296">
        <v>0</v>
      </c>
      <c r="I296" t="s">
        <v>1050</v>
      </c>
      <c r="L296">
        <v>0</v>
      </c>
      <c r="M296">
        <v>0</v>
      </c>
      <c r="N296">
        <v>0</v>
      </c>
      <c r="R296">
        <v>0</v>
      </c>
      <c r="S296">
        <v>0</v>
      </c>
      <c r="W296" t="s">
        <v>1060</v>
      </c>
      <c r="X296">
        <v>0</v>
      </c>
      <c r="Z296">
        <v>1</v>
      </c>
      <c r="AA296">
        <v>0</v>
      </c>
      <c r="AB296">
        <v>0</v>
      </c>
      <c r="AC296">
        <v>0</v>
      </c>
      <c r="AD296" s="20">
        <v>40793</v>
      </c>
      <c r="AE296">
        <v>2.68</v>
      </c>
      <c r="AF296">
        <v>0</v>
      </c>
      <c r="AH296">
        <v>0</v>
      </c>
      <c r="AJ296">
        <v>0</v>
      </c>
      <c r="AL296">
        <v>0</v>
      </c>
      <c r="AM296">
        <v>0</v>
      </c>
      <c r="AN296">
        <v>16601003</v>
      </c>
      <c r="AO296">
        <v>0</v>
      </c>
      <c r="AP296">
        <v>1000</v>
      </c>
      <c r="AT296">
        <v>0</v>
      </c>
      <c r="AU296" t="s">
        <v>1059</v>
      </c>
      <c r="AW296" t="s">
        <v>1053</v>
      </c>
      <c r="AX296">
        <v>0</v>
      </c>
      <c r="AY296" s="20">
        <v>40793</v>
      </c>
      <c r="BA296" s="20">
        <v>40793</v>
      </c>
      <c r="BB296" t="s">
        <v>1058</v>
      </c>
      <c r="BD296">
        <v>0</v>
      </c>
      <c r="BF296" t="s">
        <v>1043</v>
      </c>
      <c r="BG296" t="s">
        <v>1042</v>
      </c>
      <c r="BH296">
        <v>0</v>
      </c>
      <c r="BI296">
        <v>1</v>
      </c>
      <c r="BJ296">
        <v>0</v>
      </c>
      <c r="BK296">
        <v>0</v>
      </c>
      <c r="BM296" t="s">
        <v>1042</v>
      </c>
      <c r="BN296">
        <v>0</v>
      </c>
      <c r="BR296" t="s">
        <v>1043</v>
      </c>
      <c r="BS296" t="s">
        <v>1043</v>
      </c>
      <c r="BT296" t="s">
        <v>1043</v>
      </c>
      <c r="BW296">
        <v>83</v>
      </c>
      <c r="CA296">
        <v>0</v>
      </c>
      <c r="CB296" t="s">
        <v>1057</v>
      </c>
      <c r="CE296" t="s">
        <v>1043</v>
      </c>
      <c r="CH296" t="s">
        <v>1043</v>
      </c>
      <c r="CN296" t="s">
        <v>1056</v>
      </c>
      <c r="CO296" t="s">
        <v>1043</v>
      </c>
      <c r="CP296">
        <v>1</v>
      </c>
      <c r="CQ296">
        <v>0</v>
      </c>
      <c r="CS296">
        <v>0</v>
      </c>
      <c r="CT296">
        <v>0</v>
      </c>
      <c r="CU296">
        <v>0</v>
      </c>
      <c r="CV296" t="s">
        <v>1045</v>
      </c>
      <c r="CW296">
        <v>0</v>
      </c>
      <c r="CX296">
        <v>0</v>
      </c>
      <c r="CY296">
        <v>0</v>
      </c>
      <c r="CZ296">
        <v>0</v>
      </c>
      <c r="DB296">
        <v>0</v>
      </c>
      <c r="DC296" t="s">
        <v>1043</v>
      </c>
      <c r="DF296" t="s">
        <v>1055</v>
      </c>
      <c r="DH296">
        <v>0</v>
      </c>
      <c r="DJ296">
        <v>0</v>
      </c>
      <c r="DK296" t="s">
        <v>1053</v>
      </c>
      <c r="DL296">
        <v>0</v>
      </c>
      <c r="DN296">
        <v>0</v>
      </c>
      <c r="DO296" t="s">
        <v>1042</v>
      </c>
      <c r="DP296">
        <v>0</v>
      </c>
      <c r="DQ296">
        <v>0</v>
      </c>
      <c r="DS296">
        <v>0</v>
      </c>
      <c r="DU296">
        <v>0</v>
      </c>
      <c r="DW296">
        <v>0</v>
      </c>
      <c r="DX296" t="s">
        <v>1043</v>
      </c>
      <c r="DY296">
        <v>0</v>
      </c>
      <c r="DZ296">
        <v>0</v>
      </c>
      <c r="EA296">
        <v>0</v>
      </c>
      <c r="ED296" t="s">
        <v>1045</v>
      </c>
      <c r="EE296">
        <v>0</v>
      </c>
      <c r="EF296">
        <v>0</v>
      </c>
      <c r="EQ296" t="s">
        <v>1044</v>
      </c>
      <c r="ES296" t="s">
        <v>1053</v>
      </c>
      <c r="ET296">
        <v>0</v>
      </c>
      <c r="EV296">
        <v>0</v>
      </c>
      <c r="EY296" t="s">
        <v>1052</v>
      </c>
      <c r="EZ296">
        <v>0</v>
      </c>
      <c r="FA296" t="s">
        <v>1043</v>
      </c>
      <c r="FB296">
        <v>0</v>
      </c>
      <c r="FC296">
        <v>0</v>
      </c>
      <c r="FE296" t="s">
        <v>1050</v>
      </c>
      <c r="FF296">
        <v>0</v>
      </c>
      <c r="FG296" t="s">
        <v>1050</v>
      </c>
      <c r="FJ296">
        <v>0</v>
      </c>
      <c r="FK296">
        <v>0</v>
      </c>
      <c r="FP296">
        <v>0</v>
      </c>
      <c r="FR296">
        <v>0</v>
      </c>
      <c r="FS296" t="s">
        <v>1043</v>
      </c>
      <c r="FX296" t="s">
        <v>1042</v>
      </c>
      <c r="FZ296" t="s">
        <v>1048</v>
      </c>
      <c r="GA296">
        <v>0</v>
      </c>
      <c r="GB296" t="s">
        <v>1042</v>
      </c>
      <c r="GE296">
        <v>0</v>
      </c>
      <c r="GG296">
        <v>0</v>
      </c>
      <c r="GN296">
        <v>0</v>
      </c>
      <c r="GO296" t="s">
        <v>1063</v>
      </c>
      <c r="GQ296">
        <v>0</v>
      </c>
      <c r="GU296">
        <v>0</v>
      </c>
      <c r="GY296" t="s">
        <v>1045</v>
      </c>
      <c r="HB296">
        <v>0</v>
      </c>
      <c r="HE296">
        <v>0</v>
      </c>
      <c r="HF296">
        <v>0</v>
      </c>
      <c r="HG296">
        <v>0</v>
      </c>
      <c r="HK296" t="s">
        <v>1042</v>
      </c>
      <c r="HM296" t="s">
        <v>1047</v>
      </c>
      <c r="HN296">
        <v>0</v>
      </c>
      <c r="HP296">
        <v>0</v>
      </c>
      <c r="HQ296">
        <v>0</v>
      </c>
      <c r="HR296" t="s">
        <v>1042</v>
      </c>
      <c r="HS296" t="s">
        <v>1043</v>
      </c>
      <c r="HT296">
        <v>0</v>
      </c>
      <c r="HU296">
        <v>0</v>
      </c>
      <c r="HW296">
        <v>0</v>
      </c>
      <c r="HX296">
        <v>0</v>
      </c>
      <c r="HY296">
        <v>0</v>
      </c>
      <c r="HZ296" t="s">
        <v>1045</v>
      </c>
      <c r="IA296">
        <v>0</v>
      </c>
      <c r="IB296" t="s">
        <v>1045</v>
      </c>
      <c r="ID296" t="s">
        <v>1045</v>
      </c>
      <c r="IF296">
        <v>0</v>
      </c>
      <c r="IG296" t="s">
        <v>1042</v>
      </c>
      <c r="II296" t="s">
        <v>1042</v>
      </c>
      <c r="IR296" t="s">
        <v>1045</v>
      </c>
      <c r="IT296">
        <v>0</v>
      </c>
      <c r="IY296" t="s">
        <v>1044</v>
      </c>
      <c r="IZ296" t="s">
        <v>1043</v>
      </c>
      <c r="JC296" t="s">
        <v>1043</v>
      </c>
      <c r="JE296">
        <v>0</v>
      </c>
      <c r="JF296">
        <v>0</v>
      </c>
      <c r="JI296" t="s">
        <v>1042</v>
      </c>
      <c r="JJ296">
        <v>0</v>
      </c>
      <c r="JK296">
        <v>0</v>
      </c>
      <c r="JL296">
        <v>0</v>
      </c>
      <c r="JM296">
        <v>0</v>
      </c>
      <c r="JQ296" t="s">
        <v>1043</v>
      </c>
      <c r="JT296">
        <v>0</v>
      </c>
      <c r="JU296" t="s">
        <v>1042</v>
      </c>
      <c r="JW296">
        <v>0</v>
      </c>
      <c r="KA296">
        <v>0</v>
      </c>
      <c r="KF296">
        <v>0</v>
      </c>
      <c r="KG296">
        <v>0</v>
      </c>
      <c r="KH296">
        <v>0</v>
      </c>
      <c r="KI296">
        <v>0</v>
      </c>
      <c r="KS296" t="s">
        <v>1073</v>
      </c>
      <c r="KT296">
        <v>0</v>
      </c>
      <c r="KU296">
        <v>0</v>
      </c>
      <c r="KV296">
        <v>0</v>
      </c>
      <c r="KX296">
        <v>0</v>
      </c>
      <c r="KZ296">
        <v>0</v>
      </c>
      <c r="LF296">
        <v>0</v>
      </c>
      <c r="LH296">
        <v>0</v>
      </c>
      <c r="LI296">
        <v>0</v>
      </c>
    </row>
    <row r="297" spans="1:321" x14ac:dyDescent="0.35">
      <c r="A297">
        <v>1</v>
      </c>
      <c r="B297">
        <v>12518</v>
      </c>
      <c r="C297" t="s">
        <v>1398</v>
      </c>
      <c r="D297" t="s">
        <v>1139</v>
      </c>
      <c r="E297" t="s">
        <v>1085</v>
      </c>
      <c r="F297">
        <v>80</v>
      </c>
      <c r="G297">
        <v>9000</v>
      </c>
      <c r="H297">
        <v>0</v>
      </c>
      <c r="I297" t="s">
        <v>1050</v>
      </c>
      <c r="L297">
        <v>0</v>
      </c>
      <c r="M297">
        <v>0</v>
      </c>
      <c r="N297">
        <v>0</v>
      </c>
      <c r="R297">
        <v>0</v>
      </c>
      <c r="S297">
        <v>0</v>
      </c>
      <c r="W297" t="s">
        <v>1060</v>
      </c>
      <c r="X297">
        <v>0</v>
      </c>
      <c r="Z297">
        <v>1</v>
      </c>
      <c r="AA297">
        <v>0</v>
      </c>
      <c r="AB297">
        <v>0</v>
      </c>
      <c r="AC297">
        <v>0</v>
      </c>
      <c r="AD297" s="20">
        <v>40793</v>
      </c>
      <c r="AE297">
        <v>2.68</v>
      </c>
      <c r="AF297">
        <v>0</v>
      </c>
      <c r="AH297">
        <v>0</v>
      </c>
      <c r="AJ297">
        <v>0</v>
      </c>
      <c r="AL297">
        <v>0</v>
      </c>
      <c r="AM297">
        <v>0</v>
      </c>
      <c r="AN297">
        <v>16601003</v>
      </c>
      <c r="AO297">
        <v>0</v>
      </c>
      <c r="AP297">
        <v>1000</v>
      </c>
      <c r="AT297">
        <v>0</v>
      </c>
      <c r="AU297" t="s">
        <v>1059</v>
      </c>
      <c r="AW297" t="s">
        <v>1053</v>
      </c>
      <c r="AX297">
        <v>0</v>
      </c>
      <c r="AY297" s="20">
        <v>40793</v>
      </c>
      <c r="BA297" s="20">
        <v>40793</v>
      </c>
      <c r="BB297" t="s">
        <v>1058</v>
      </c>
      <c r="BD297">
        <v>0</v>
      </c>
      <c r="BF297" t="s">
        <v>1043</v>
      </c>
      <c r="BG297" t="s">
        <v>1042</v>
      </c>
      <c r="BH297">
        <v>0</v>
      </c>
      <c r="BI297">
        <v>1</v>
      </c>
      <c r="BJ297">
        <v>0</v>
      </c>
      <c r="BK297">
        <v>0</v>
      </c>
      <c r="BM297" t="s">
        <v>1042</v>
      </c>
      <c r="BN297">
        <v>0</v>
      </c>
      <c r="BR297" t="s">
        <v>1043</v>
      </c>
      <c r="BS297" t="s">
        <v>1043</v>
      </c>
      <c r="BT297" t="s">
        <v>1043</v>
      </c>
      <c r="BW297">
        <v>83</v>
      </c>
      <c r="CA297">
        <v>0</v>
      </c>
      <c r="CB297" t="s">
        <v>1057</v>
      </c>
      <c r="CE297" t="s">
        <v>1043</v>
      </c>
      <c r="CH297" t="s">
        <v>1043</v>
      </c>
      <c r="CN297" t="s">
        <v>1056</v>
      </c>
      <c r="CO297" t="s">
        <v>1043</v>
      </c>
      <c r="CP297">
        <v>1</v>
      </c>
      <c r="CQ297">
        <v>0</v>
      </c>
      <c r="CS297">
        <v>0</v>
      </c>
      <c r="CT297">
        <v>0</v>
      </c>
      <c r="CU297">
        <v>0</v>
      </c>
      <c r="CV297" t="s">
        <v>1045</v>
      </c>
      <c r="CW297">
        <v>0</v>
      </c>
      <c r="CX297">
        <v>0</v>
      </c>
      <c r="CY297">
        <v>0</v>
      </c>
      <c r="CZ297">
        <v>0</v>
      </c>
      <c r="DB297">
        <v>0</v>
      </c>
      <c r="DC297" t="s">
        <v>1043</v>
      </c>
      <c r="DF297" t="s">
        <v>1055</v>
      </c>
      <c r="DH297">
        <v>0</v>
      </c>
      <c r="DJ297">
        <v>0</v>
      </c>
      <c r="DK297" t="s">
        <v>1053</v>
      </c>
      <c r="DL297">
        <v>0</v>
      </c>
      <c r="DN297">
        <v>0</v>
      </c>
      <c r="DO297" t="s">
        <v>1042</v>
      </c>
      <c r="DP297">
        <v>0</v>
      </c>
      <c r="DQ297">
        <v>0</v>
      </c>
      <c r="DS297">
        <v>0</v>
      </c>
      <c r="DU297">
        <v>0</v>
      </c>
      <c r="DW297">
        <v>0</v>
      </c>
      <c r="DX297" t="s">
        <v>1043</v>
      </c>
      <c r="DY297">
        <v>0</v>
      </c>
      <c r="DZ297">
        <v>0</v>
      </c>
      <c r="EA297">
        <v>0</v>
      </c>
      <c r="ED297" t="s">
        <v>1045</v>
      </c>
      <c r="EE297">
        <v>0</v>
      </c>
      <c r="EF297">
        <v>0</v>
      </c>
      <c r="EQ297" t="s">
        <v>1044</v>
      </c>
      <c r="ES297" t="s">
        <v>1053</v>
      </c>
      <c r="ET297">
        <v>0</v>
      </c>
      <c r="EV297">
        <v>0</v>
      </c>
      <c r="EY297" t="s">
        <v>1052</v>
      </c>
      <c r="EZ297">
        <v>0</v>
      </c>
      <c r="FA297" t="s">
        <v>1043</v>
      </c>
      <c r="FB297">
        <v>0</v>
      </c>
      <c r="FC297">
        <v>0</v>
      </c>
      <c r="FE297" t="s">
        <v>1050</v>
      </c>
      <c r="FF297">
        <v>0</v>
      </c>
      <c r="FG297" t="s">
        <v>1050</v>
      </c>
      <c r="FJ297">
        <v>0</v>
      </c>
      <c r="FK297">
        <v>0</v>
      </c>
      <c r="FP297">
        <v>0</v>
      </c>
      <c r="FR297">
        <v>0</v>
      </c>
      <c r="FS297" t="s">
        <v>1043</v>
      </c>
      <c r="FX297" t="s">
        <v>1042</v>
      </c>
      <c r="FZ297" t="s">
        <v>1048</v>
      </c>
      <c r="GA297">
        <v>0</v>
      </c>
      <c r="GB297" t="s">
        <v>1042</v>
      </c>
      <c r="GE297">
        <v>0</v>
      </c>
      <c r="GG297">
        <v>0</v>
      </c>
      <c r="GN297">
        <v>0</v>
      </c>
      <c r="GO297" t="s">
        <v>1063</v>
      </c>
      <c r="GQ297">
        <v>0</v>
      </c>
      <c r="GU297">
        <v>0</v>
      </c>
      <c r="GY297" t="s">
        <v>1045</v>
      </c>
      <c r="HB297">
        <v>0</v>
      </c>
      <c r="HE297">
        <v>0</v>
      </c>
      <c r="HF297">
        <v>0</v>
      </c>
      <c r="HG297">
        <v>0</v>
      </c>
      <c r="HK297" t="s">
        <v>1042</v>
      </c>
      <c r="HM297" t="s">
        <v>1047</v>
      </c>
      <c r="HN297">
        <v>0</v>
      </c>
      <c r="HP297">
        <v>0</v>
      </c>
      <c r="HQ297">
        <v>0</v>
      </c>
      <c r="HR297" t="s">
        <v>1042</v>
      </c>
      <c r="HS297" t="s">
        <v>1043</v>
      </c>
      <c r="HT297">
        <v>0</v>
      </c>
      <c r="HU297">
        <v>0</v>
      </c>
      <c r="HW297">
        <v>0</v>
      </c>
      <c r="HX297">
        <v>0</v>
      </c>
      <c r="HY297">
        <v>0</v>
      </c>
      <c r="HZ297" t="s">
        <v>1045</v>
      </c>
      <c r="IA297">
        <v>0</v>
      </c>
      <c r="IB297" t="s">
        <v>1045</v>
      </c>
      <c r="ID297" t="s">
        <v>1045</v>
      </c>
      <c r="IF297">
        <v>0</v>
      </c>
      <c r="IG297" t="s">
        <v>1042</v>
      </c>
      <c r="II297" t="s">
        <v>1042</v>
      </c>
      <c r="IR297" t="s">
        <v>1045</v>
      </c>
      <c r="IT297">
        <v>0</v>
      </c>
      <c r="IY297" t="s">
        <v>1044</v>
      </c>
      <c r="IZ297" t="s">
        <v>1043</v>
      </c>
      <c r="JC297" t="s">
        <v>1043</v>
      </c>
      <c r="JE297">
        <v>0</v>
      </c>
      <c r="JF297">
        <v>0</v>
      </c>
      <c r="JI297" t="s">
        <v>1042</v>
      </c>
      <c r="JJ297">
        <v>0</v>
      </c>
      <c r="JK297">
        <v>0</v>
      </c>
      <c r="JL297">
        <v>0</v>
      </c>
      <c r="JM297">
        <v>0</v>
      </c>
      <c r="JQ297" t="s">
        <v>1043</v>
      </c>
      <c r="JT297">
        <v>0</v>
      </c>
      <c r="JU297" t="s">
        <v>1042</v>
      </c>
      <c r="JW297">
        <v>0</v>
      </c>
      <c r="KA297">
        <v>0</v>
      </c>
      <c r="KF297">
        <v>0</v>
      </c>
      <c r="KG297">
        <v>0</v>
      </c>
      <c r="KH297">
        <v>0</v>
      </c>
      <c r="KI297">
        <v>0</v>
      </c>
      <c r="KS297" t="s">
        <v>1073</v>
      </c>
      <c r="KT297">
        <v>0</v>
      </c>
      <c r="KU297">
        <v>0</v>
      </c>
      <c r="KV297">
        <v>0</v>
      </c>
      <c r="KX297">
        <v>0</v>
      </c>
      <c r="KZ297">
        <v>0</v>
      </c>
      <c r="LF297">
        <v>0</v>
      </c>
      <c r="LH297">
        <v>0</v>
      </c>
      <c r="LI297">
        <v>0</v>
      </c>
    </row>
    <row r="298" spans="1:321" x14ac:dyDescent="0.35">
      <c r="A298">
        <v>1</v>
      </c>
      <c r="B298">
        <v>12519</v>
      </c>
      <c r="C298" t="s">
        <v>1397</v>
      </c>
      <c r="D298" t="s">
        <v>1139</v>
      </c>
      <c r="E298" t="s">
        <v>1085</v>
      </c>
      <c r="F298">
        <v>80</v>
      </c>
      <c r="G298">
        <v>9000</v>
      </c>
      <c r="H298">
        <v>0</v>
      </c>
      <c r="I298" t="s">
        <v>1050</v>
      </c>
      <c r="L298">
        <v>0</v>
      </c>
      <c r="M298">
        <v>0</v>
      </c>
      <c r="N298">
        <v>0</v>
      </c>
      <c r="R298">
        <v>0</v>
      </c>
      <c r="S298">
        <v>0</v>
      </c>
      <c r="W298" t="s">
        <v>1060</v>
      </c>
      <c r="X298">
        <v>0</v>
      </c>
      <c r="Z298">
        <v>1</v>
      </c>
      <c r="AA298">
        <v>0</v>
      </c>
      <c r="AB298">
        <v>0</v>
      </c>
      <c r="AC298">
        <v>0</v>
      </c>
      <c r="AD298" s="20">
        <v>40793</v>
      </c>
      <c r="AE298">
        <v>2.68</v>
      </c>
      <c r="AF298">
        <v>0</v>
      </c>
      <c r="AH298">
        <v>0</v>
      </c>
      <c r="AJ298">
        <v>0</v>
      </c>
      <c r="AL298">
        <v>0</v>
      </c>
      <c r="AM298">
        <v>0</v>
      </c>
      <c r="AN298">
        <v>16601003</v>
      </c>
      <c r="AO298">
        <v>0</v>
      </c>
      <c r="AP298">
        <v>1000</v>
      </c>
      <c r="AT298">
        <v>0</v>
      </c>
      <c r="AU298" t="s">
        <v>1059</v>
      </c>
      <c r="AW298" t="s">
        <v>1053</v>
      </c>
      <c r="AX298">
        <v>0</v>
      </c>
      <c r="AY298" s="20">
        <v>40793</v>
      </c>
      <c r="BA298" s="20">
        <v>40793</v>
      </c>
      <c r="BB298" t="s">
        <v>1058</v>
      </c>
      <c r="BD298">
        <v>0</v>
      </c>
      <c r="BF298" t="s">
        <v>1043</v>
      </c>
      <c r="BG298" t="s">
        <v>1042</v>
      </c>
      <c r="BH298">
        <v>0</v>
      </c>
      <c r="BI298">
        <v>1</v>
      </c>
      <c r="BJ298">
        <v>0</v>
      </c>
      <c r="BK298">
        <v>0</v>
      </c>
      <c r="BM298" t="s">
        <v>1042</v>
      </c>
      <c r="BN298">
        <v>0</v>
      </c>
      <c r="BR298" t="s">
        <v>1043</v>
      </c>
      <c r="BS298" t="s">
        <v>1043</v>
      </c>
      <c r="BT298" t="s">
        <v>1043</v>
      </c>
      <c r="BW298">
        <v>83</v>
      </c>
      <c r="CA298">
        <v>0</v>
      </c>
      <c r="CB298" t="s">
        <v>1057</v>
      </c>
      <c r="CE298" t="s">
        <v>1043</v>
      </c>
      <c r="CH298" t="s">
        <v>1043</v>
      </c>
      <c r="CN298" t="s">
        <v>1056</v>
      </c>
      <c r="CO298" t="s">
        <v>1043</v>
      </c>
      <c r="CP298">
        <v>1</v>
      </c>
      <c r="CQ298">
        <v>0</v>
      </c>
      <c r="CS298">
        <v>0</v>
      </c>
      <c r="CT298">
        <v>0</v>
      </c>
      <c r="CU298">
        <v>0</v>
      </c>
      <c r="CV298" t="s">
        <v>1045</v>
      </c>
      <c r="CW298">
        <v>0</v>
      </c>
      <c r="CX298">
        <v>0</v>
      </c>
      <c r="CY298">
        <v>0</v>
      </c>
      <c r="CZ298">
        <v>0</v>
      </c>
      <c r="DB298">
        <v>0</v>
      </c>
      <c r="DC298" t="s">
        <v>1043</v>
      </c>
      <c r="DF298" t="s">
        <v>1055</v>
      </c>
      <c r="DH298">
        <v>0</v>
      </c>
      <c r="DJ298">
        <v>0</v>
      </c>
      <c r="DK298" t="s">
        <v>1053</v>
      </c>
      <c r="DL298">
        <v>0</v>
      </c>
      <c r="DN298">
        <v>0</v>
      </c>
      <c r="DO298" t="s">
        <v>1042</v>
      </c>
      <c r="DP298">
        <v>0</v>
      </c>
      <c r="DQ298">
        <v>0</v>
      </c>
      <c r="DS298">
        <v>0</v>
      </c>
      <c r="DU298">
        <v>0</v>
      </c>
      <c r="DW298">
        <v>0</v>
      </c>
      <c r="DX298" t="s">
        <v>1043</v>
      </c>
      <c r="DY298">
        <v>0</v>
      </c>
      <c r="DZ298">
        <v>0</v>
      </c>
      <c r="EA298">
        <v>0</v>
      </c>
      <c r="ED298" t="s">
        <v>1045</v>
      </c>
      <c r="EE298">
        <v>0</v>
      </c>
      <c r="EF298">
        <v>0</v>
      </c>
      <c r="EQ298" t="s">
        <v>1044</v>
      </c>
      <c r="ES298" t="s">
        <v>1053</v>
      </c>
      <c r="ET298">
        <v>0</v>
      </c>
      <c r="EV298">
        <v>0</v>
      </c>
      <c r="EY298" t="s">
        <v>1052</v>
      </c>
      <c r="EZ298">
        <v>0</v>
      </c>
      <c r="FA298" t="s">
        <v>1043</v>
      </c>
      <c r="FB298">
        <v>0</v>
      </c>
      <c r="FC298">
        <v>0</v>
      </c>
      <c r="FE298" t="s">
        <v>1050</v>
      </c>
      <c r="FF298">
        <v>0</v>
      </c>
      <c r="FG298" t="s">
        <v>1050</v>
      </c>
      <c r="FJ298">
        <v>0</v>
      </c>
      <c r="FK298">
        <v>0</v>
      </c>
      <c r="FP298">
        <v>0</v>
      </c>
      <c r="FR298">
        <v>0</v>
      </c>
      <c r="FS298" t="s">
        <v>1043</v>
      </c>
      <c r="FX298" t="s">
        <v>1042</v>
      </c>
      <c r="FZ298" t="s">
        <v>1048</v>
      </c>
      <c r="GA298">
        <v>0</v>
      </c>
      <c r="GB298" t="s">
        <v>1042</v>
      </c>
      <c r="GE298">
        <v>0</v>
      </c>
      <c r="GG298">
        <v>0</v>
      </c>
      <c r="GN298">
        <v>0</v>
      </c>
      <c r="GO298" t="s">
        <v>1063</v>
      </c>
      <c r="GQ298">
        <v>0</v>
      </c>
      <c r="GU298">
        <v>0</v>
      </c>
      <c r="GY298" t="s">
        <v>1045</v>
      </c>
      <c r="HB298">
        <v>0</v>
      </c>
      <c r="HE298">
        <v>0</v>
      </c>
      <c r="HF298">
        <v>0</v>
      </c>
      <c r="HG298">
        <v>0</v>
      </c>
      <c r="HK298" t="s">
        <v>1042</v>
      </c>
      <c r="HM298" t="s">
        <v>1047</v>
      </c>
      <c r="HN298">
        <v>0</v>
      </c>
      <c r="HP298">
        <v>0</v>
      </c>
      <c r="HQ298">
        <v>0</v>
      </c>
      <c r="HR298" t="s">
        <v>1042</v>
      </c>
      <c r="HS298" t="s">
        <v>1043</v>
      </c>
      <c r="HT298">
        <v>0</v>
      </c>
      <c r="HU298">
        <v>0</v>
      </c>
      <c r="HW298">
        <v>0</v>
      </c>
      <c r="HX298">
        <v>0</v>
      </c>
      <c r="HY298">
        <v>0</v>
      </c>
      <c r="HZ298" t="s">
        <v>1045</v>
      </c>
      <c r="IA298">
        <v>0</v>
      </c>
      <c r="IB298" t="s">
        <v>1045</v>
      </c>
      <c r="ID298" t="s">
        <v>1045</v>
      </c>
      <c r="IF298">
        <v>0</v>
      </c>
      <c r="IG298" t="s">
        <v>1042</v>
      </c>
      <c r="II298" t="s">
        <v>1042</v>
      </c>
      <c r="IR298" t="s">
        <v>1045</v>
      </c>
      <c r="IT298">
        <v>0</v>
      </c>
      <c r="IY298" t="s">
        <v>1044</v>
      </c>
      <c r="IZ298" t="s">
        <v>1043</v>
      </c>
      <c r="JC298" t="s">
        <v>1043</v>
      </c>
      <c r="JE298">
        <v>0</v>
      </c>
      <c r="JF298">
        <v>0</v>
      </c>
      <c r="JI298" t="s">
        <v>1042</v>
      </c>
      <c r="JJ298">
        <v>0</v>
      </c>
      <c r="JK298">
        <v>0</v>
      </c>
      <c r="JL298">
        <v>0</v>
      </c>
      <c r="JM298">
        <v>0</v>
      </c>
      <c r="JQ298" t="s">
        <v>1043</v>
      </c>
      <c r="JT298">
        <v>0</v>
      </c>
      <c r="JU298" t="s">
        <v>1042</v>
      </c>
      <c r="JW298">
        <v>0</v>
      </c>
      <c r="KA298">
        <v>0</v>
      </c>
      <c r="KF298">
        <v>0</v>
      </c>
      <c r="KG298">
        <v>0</v>
      </c>
      <c r="KH298">
        <v>0</v>
      </c>
      <c r="KI298">
        <v>0</v>
      </c>
      <c r="KS298" t="s">
        <v>1073</v>
      </c>
      <c r="KT298">
        <v>0</v>
      </c>
      <c r="KU298">
        <v>0</v>
      </c>
      <c r="KV298">
        <v>0</v>
      </c>
      <c r="KX298">
        <v>0</v>
      </c>
      <c r="KZ298">
        <v>0</v>
      </c>
      <c r="LF298">
        <v>0</v>
      </c>
      <c r="LH298">
        <v>0</v>
      </c>
      <c r="LI298">
        <v>0</v>
      </c>
    </row>
    <row r="299" spans="1:321" x14ac:dyDescent="0.35">
      <c r="A299">
        <v>1</v>
      </c>
      <c r="B299" t="s">
        <v>1396</v>
      </c>
      <c r="C299" t="s">
        <v>641</v>
      </c>
      <c r="D299" t="s">
        <v>1064</v>
      </c>
      <c r="E299" t="s">
        <v>85</v>
      </c>
      <c r="F299">
        <v>15</v>
      </c>
      <c r="G299">
        <v>240</v>
      </c>
      <c r="H299">
        <v>0</v>
      </c>
      <c r="I299" t="s">
        <v>994</v>
      </c>
      <c r="L299">
        <v>0</v>
      </c>
      <c r="M299">
        <v>0</v>
      </c>
      <c r="N299">
        <v>0</v>
      </c>
      <c r="Q299">
        <v>516</v>
      </c>
      <c r="R299">
        <v>0</v>
      </c>
      <c r="S299">
        <v>0</v>
      </c>
      <c r="W299" t="s">
        <v>1060</v>
      </c>
      <c r="X299">
        <v>0</v>
      </c>
      <c r="Z299">
        <v>1</v>
      </c>
      <c r="AA299">
        <v>0</v>
      </c>
      <c r="AB299">
        <v>0</v>
      </c>
      <c r="AC299">
        <v>0</v>
      </c>
      <c r="AD299" t="s">
        <v>1042</v>
      </c>
      <c r="AE299">
        <v>0</v>
      </c>
      <c r="AF299">
        <v>1.01E-2</v>
      </c>
      <c r="AH299">
        <v>0</v>
      </c>
      <c r="AJ299">
        <v>1</v>
      </c>
      <c r="AK299" t="s">
        <v>1154</v>
      </c>
      <c r="AL299">
        <v>0</v>
      </c>
      <c r="AM299">
        <v>4800</v>
      </c>
      <c r="AN299">
        <v>11501002</v>
      </c>
      <c r="AO299">
        <v>0</v>
      </c>
      <c r="AP299">
        <v>2720</v>
      </c>
      <c r="AT299">
        <v>1</v>
      </c>
      <c r="AU299" t="s">
        <v>1059</v>
      </c>
      <c r="AV299" t="s">
        <v>1043</v>
      </c>
      <c r="AW299" t="s">
        <v>1053</v>
      </c>
      <c r="AX299">
        <v>0</v>
      </c>
      <c r="AY299" s="20">
        <v>44004</v>
      </c>
      <c r="BA299" s="20">
        <v>44130</v>
      </c>
      <c r="BB299" t="s">
        <v>1058</v>
      </c>
      <c r="BD299">
        <v>0</v>
      </c>
      <c r="BF299" t="s">
        <v>1044</v>
      </c>
      <c r="BG299" t="s">
        <v>1042</v>
      </c>
      <c r="BH299">
        <v>0</v>
      </c>
      <c r="BI299">
        <v>21</v>
      </c>
      <c r="BJ299">
        <v>0</v>
      </c>
      <c r="BK299">
        <v>0</v>
      </c>
      <c r="BM299" s="20">
        <v>44130</v>
      </c>
      <c r="BN299">
        <v>0</v>
      </c>
      <c r="BO299">
        <v>3578010030227</v>
      </c>
      <c r="BR299" t="s">
        <v>1043</v>
      </c>
      <c r="BS299" t="s">
        <v>1043</v>
      </c>
      <c r="BT299" t="s">
        <v>1043</v>
      </c>
      <c r="BV299">
        <v>1</v>
      </c>
      <c r="BW299">
        <v>2</v>
      </c>
      <c r="BY299">
        <v>67</v>
      </c>
      <c r="CA299">
        <v>0</v>
      </c>
      <c r="CB299" t="s">
        <v>1043</v>
      </c>
      <c r="CE299" t="s">
        <v>1043</v>
      </c>
      <c r="CH299" t="s">
        <v>1043</v>
      </c>
      <c r="CI299" t="s">
        <v>1383</v>
      </c>
      <c r="CK299" t="s">
        <v>1152</v>
      </c>
      <c r="CN299" t="s">
        <v>1056</v>
      </c>
      <c r="CP299">
        <v>1</v>
      </c>
      <c r="CQ299">
        <v>100</v>
      </c>
      <c r="CS299">
        <v>0</v>
      </c>
      <c r="CT299">
        <v>0</v>
      </c>
      <c r="CU299">
        <v>0</v>
      </c>
      <c r="CV299" t="s">
        <v>1045</v>
      </c>
      <c r="CW299">
        <v>0</v>
      </c>
      <c r="CX299">
        <v>0</v>
      </c>
      <c r="CY299">
        <v>0</v>
      </c>
      <c r="CZ299">
        <v>0</v>
      </c>
      <c r="DA299">
        <v>1</v>
      </c>
      <c r="DB299">
        <v>17000</v>
      </c>
      <c r="DH299">
        <v>0</v>
      </c>
      <c r="DJ299">
        <v>0</v>
      </c>
      <c r="DL299">
        <v>0</v>
      </c>
      <c r="DN299">
        <v>0</v>
      </c>
      <c r="DO299" t="s">
        <v>1042</v>
      </c>
      <c r="DP299">
        <v>0</v>
      </c>
      <c r="DQ299">
        <v>7.6</v>
      </c>
      <c r="DS299">
        <v>0</v>
      </c>
      <c r="DU299">
        <v>1.65</v>
      </c>
      <c r="DW299">
        <v>0</v>
      </c>
      <c r="DY299">
        <v>0</v>
      </c>
      <c r="DZ299">
        <v>0</v>
      </c>
      <c r="EA299">
        <v>0</v>
      </c>
      <c r="EB299">
        <v>13578010030224</v>
      </c>
      <c r="EE299">
        <v>0</v>
      </c>
      <c r="EF299">
        <v>0</v>
      </c>
      <c r="EL299">
        <v>53578010030222</v>
      </c>
      <c r="EN299" t="s">
        <v>1012</v>
      </c>
      <c r="ET299">
        <v>0</v>
      </c>
      <c r="EV299">
        <v>0</v>
      </c>
      <c r="EY299" t="s">
        <v>1052</v>
      </c>
      <c r="EZ299">
        <v>0</v>
      </c>
      <c r="FA299" t="s">
        <v>1043</v>
      </c>
      <c r="FB299">
        <v>0</v>
      </c>
      <c r="FC299">
        <v>0</v>
      </c>
      <c r="FD299" t="s">
        <v>1051</v>
      </c>
      <c r="FE299" t="s">
        <v>1050</v>
      </c>
      <c r="FF299">
        <v>0</v>
      </c>
      <c r="FG299" t="s">
        <v>1050</v>
      </c>
      <c r="FH299">
        <v>23578010030221</v>
      </c>
      <c r="FJ299">
        <v>0</v>
      </c>
      <c r="FK299">
        <v>0</v>
      </c>
      <c r="FP299">
        <v>0</v>
      </c>
      <c r="FR299">
        <v>0</v>
      </c>
      <c r="FS299" t="s">
        <v>1043</v>
      </c>
      <c r="FX299" t="s">
        <v>1042</v>
      </c>
      <c r="GA299">
        <v>0</v>
      </c>
      <c r="GB299" t="s">
        <v>1042</v>
      </c>
      <c r="GD299">
        <v>16</v>
      </c>
      <c r="GE299">
        <v>0</v>
      </c>
      <c r="GG299">
        <v>0</v>
      </c>
      <c r="GN299">
        <v>0</v>
      </c>
      <c r="GO299" t="s">
        <v>1063</v>
      </c>
      <c r="GQ299">
        <v>0</v>
      </c>
      <c r="GU299">
        <v>0</v>
      </c>
      <c r="GY299" t="s">
        <v>1045</v>
      </c>
      <c r="HB299">
        <v>0</v>
      </c>
      <c r="HE299">
        <v>10</v>
      </c>
      <c r="HF299">
        <v>0</v>
      </c>
      <c r="HG299">
        <v>3.1199999999999999E-3</v>
      </c>
      <c r="HK299" t="s">
        <v>1042</v>
      </c>
      <c r="HL299" t="s">
        <v>1048</v>
      </c>
      <c r="HM299">
        <v>0</v>
      </c>
      <c r="HN299">
        <v>0</v>
      </c>
      <c r="HP299">
        <v>9.1999999999999998E-3</v>
      </c>
      <c r="HQ299">
        <v>0</v>
      </c>
      <c r="HR299" t="s">
        <v>1042</v>
      </c>
      <c r="HT299">
        <v>0</v>
      </c>
      <c r="HU299">
        <v>0</v>
      </c>
      <c r="HW299">
        <v>0</v>
      </c>
      <c r="HX299">
        <v>0</v>
      </c>
      <c r="HY299">
        <v>1</v>
      </c>
      <c r="IA299">
        <v>0.05</v>
      </c>
      <c r="IF299">
        <v>24000</v>
      </c>
      <c r="IG299" s="20">
        <v>40478</v>
      </c>
      <c r="IH299" t="s">
        <v>1046</v>
      </c>
      <c r="II299" t="s">
        <v>1042</v>
      </c>
      <c r="IR299" t="s">
        <v>1045</v>
      </c>
      <c r="IT299">
        <v>0</v>
      </c>
      <c r="JE299">
        <v>0</v>
      </c>
      <c r="JF299">
        <v>0</v>
      </c>
      <c r="JI299" t="s">
        <v>1042</v>
      </c>
      <c r="JJ299">
        <v>0</v>
      </c>
      <c r="JK299">
        <v>0</v>
      </c>
      <c r="JL299">
        <v>0</v>
      </c>
      <c r="JM299">
        <v>0</v>
      </c>
      <c r="JT299">
        <v>0</v>
      </c>
      <c r="JU299" t="s">
        <v>1042</v>
      </c>
      <c r="JW299">
        <v>0</v>
      </c>
      <c r="KA299">
        <v>0</v>
      </c>
      <c r="KF299">
        <v>0</v>
      </c>
      <c r="KG299">
        <v>0</v>
      </c>
      <c r="KH299">
        <v>0</v>
      </c>
      <c r="KI299">
        <v>0</v>
      </c>
      <c r="KS299" t="s">
        <v>1041</v>
      </c>
      <c r="KT299">
        <v>0</v>
      </c>
      <c r="KU299">
        <v>0</v>
      </c>
      <c r="KV299">
        <v>0</v>
      </c>
      <c r="KX299">
        <v>0</v>
      </c>
      <c r="KZ299">
        <v>0</v>
      </c>
      <c r="LF299">
        <v>0</v>
      </c>
      <c r="LH299">
        <v>0</v>
      </c>
      <c r="LI299">
        <v>0</v>
      </c>
    </row>
    <row r="300" spans="1:321" x14ac:dyDescent="0.35">
      <c r="A300">
        <v>1</v>
      </c>
      <c r="B300">
        <v>1252</v>
      </c>
      <c r="C300" t="s">
        <v>642</v>
      </c>
      <c r="D300" t="s">
        <v>1061</v>
      </c>
      <c r="E300" t="s">
        <v>85</v>
      </c>
      <c r="F300">
        <v>1</v>
      </c>
      <c r="G300">
        <v>240</v>
      </c>
      <c r="H300">
        <v>0</v>
      </c>
      <c r="I300" t="s">
        <v>994</v>
      </c>
      <c r="L300">
        <v>0</v>
      </c>
      <c r="M300">
        <v>0</v>
      </c>
      <c r="N300">
        <v>0</v>
      </c>
      <c r="Q300">
        <v>516</v>
      </c>
      <c r="R300">
        <v>0</v>
      </c>
      <c r="S300">
        <v>0</v>
      </c>
      <c r="W300" t="s">
        <v>1060</v>
      </c>
      <c r="X300">
        <v>0</v>
      </c>
      <c r="Z300">
        <v>30</v>
      </c>
      <c r="AA300">
        <v>8.8895999999999997</v>
      </c>
      <c r="AB300">
        <v>860</v>
      </c>
      <c r="AC300">
        <v>6.93E-2</v>
      </c>
      <c r="AD300" s="20">
        <v>43892</v>
      </c>
      <c r="AE300">
        <v>0.25</v>
      </c>
      <c r="AF300">
        <v>1.55E-2</v>
      </c>
      <c r="AH300">
        <v>43</v>
      </c>
      <c r="AJ300">
        <v>1</v>
      </c>
      <c r="AK300" t="s">
        <v>1154</v>
      </c>
      <c r="AL300">
        <v>3390</v>
      </c>
      <c r="AM300">
        <v>0</v>
      </c>
      <c r="AN300">
        <v>11501001</v>
      </c>
      <c r="AO300">
        <v>0</v>
      </c>
      <c r="AP300">
        <v>1002</v>
      </c>
      <c r="AT300">
        <v>1</v>
      </c>
      <c r="AU300" t="s">
        <v>1059</v>
      </c>
      <c r="AV300" t="s">
        <v>1043</v>
      </c>
      <c r="AW300" t="s">
        <v>1053</v>
      </c>
      <c r="AX300">
        <v>0</v>
      </c>
      <c r="AY300" s="20">
        <v>43892</v>
      </c>
      <c r="BA300" s="20">
        <v>44529</v>
      </c>
      <c r="BB300" t="s">
        <v>1058</v>
      </c>
      <c r="BD300">
        <v>0</v>
      </c>
      <c r="BF300" t="s">
        <v>1044</v>
      </c>
      <c r="BG300" s="20">
        <v>40478</v>
      </c>
      <c r="BH300">
        <v>0</v>
      </c>
      <c r="BI300">
        <v>21</v>
      </c>
      <c r="BJ300">
        <v>0</v>
      </c>
      <c r="BK300">
        <v>0</v>
      </c>
      <c r="BM300" s="20">
        <v>40456</v>
      </c>
      <c r="BN300">
        <v>0</v>
      </c>
      <c r="BO300">
        <v>7897801310253</v>
      </c>
      <c r="BR300" t="s">
        <v>1043</v>
      </c>
      <c r="BS300" t="s">
        <v>1043</v>
      </c>
      <c r="BT300" t="s">
        <v>1043</v>
      </c>
      <c r="BV300">
        <v>1</v>
      </c>
      <c r="BW300">
        <v>2</v>
      </c>
      <c r="BY300">
        <v>67</v>
      </c>
      <c r="CA300">
        <v>0</v>
      </c>
      <c r="CB300" t="s">
        <v>1043</v>
      </c>
      <c r="CE300" t="s">
        <v>1043</v>
      </c>
      <c r="CH300" t="s">
        <v>1043</v>
      </c>
      <c r="CI300" t="s">
        <v>1383</v>
      </c>
      <c r="CK300" t="s">
        <v>1152</v>
      </c>
      <c r="CN300" t="s">
        <v>1056</v>
      </c>
      <c r="CP300">
        <v>1</v>
      </c>
      <c r="CQ300">
        <v>40</v>
      </c>
      <c r="CS300">
        <v>0</v>
      </c>
      <c r="CT300">
        <v>0</v>
      </c>
      <c r="CU300">
        <v>0</v>
      </c>
      <c r="CV300" t="s">
        <v>1045</v>
      </c>
      <c r="CW300">
        <v>0</v>
      </c>
      <c r="CX300">
        <v>0</v>
      </c>
      <c r="CY300">
        <v>0</v>
      </c>
      <c r="CZ300">
        <v>0</v>
      </c>
      <c r="DA300">
        <v>8</v>
      </c>
      <c r="DB300">
        <v>1500</v>
      </c>
      <c r="DH300">
        <v>0</v>
      </c>
      <c r="DJ300">
        <v>0</v>
      </c>
      <c r="DL300">
        <v>0</v>
      </c>
      <c r="DN300">
        <v>0</v>
      </c>
      <c r="DO300" t="s">
        <v>1042</v>
      </c>
      <c r="DP300">
        <v>0</v>
      </c>
      <c r="DQ300">
        <v>7.6</v>
      </c>
      <c r="DS300">
        <v>0</v>
      </c>
      <c r="DU300">
        <v>1.65</v>
      </c>
      <c r="DW300">
        <v>0</v>
      </c>
      <c r="DY300">
        <v>0</v>
      </c>
      <c r="DZ300">
        <v>0</v>
      </c>
      <c r="EA300">
        <v>0</v>
      </c>
      <c r="EB300">
        <v>17897801310250</v>
      </c>
      <c r="EE300">
        <v>0</v>
      </c>
      <c r="EF300">
        <v>0</v>
      </c>
      <c r="EL300">
        <v>57897801310258</v>
      </c>
      <c r="EN300" t="s">
        <v>1012</v>
      </c>
      <c r="ET300">
        <v>0</v>
      </c>
      <c r="EV300">
        <v>0</v>
      </c>
      <c r="EY300" t="s">
        <v>1052</v>
      </c>
      <c r="EZ300">
        <v>0</v>
      </c>
      <c r="FA300" t="s">
        <v>1043</v>
      </c>
      <c r="FB300">
        <v>0</v>
      </c>
      <c r="FC300">
        <v>0</v>
      </c>
      <c r="FD300" t="s">
        <v>1051</v>
      </c>
      <c r="FE300" t="s">
        <v>1050</v>
      </c>
      <c r="FF300">
        <v>900</v>
      </c>
      <c r="FG300" t="s">
        <v>1050</v>
      </c>
      <c r="FH300">
        <v>27897801310257</v>
      </c>
      <c r="FJ300">
        <v>0</v>
      </c>
      <c r="FK300">
        <v>0</v>
      </c>
      <c r="FP300">
        <v>0</v>
      </c>
      <c r="FR300">
        <v>0</v>
      </c>
      <c r="FS300" t="s">
        <v>1043</v>
      </c>
      <c r="FX300" t="s">
        <v>1042</v>
      </c>
      <c r="GA300">
        <v>0</v>
      </c>
      <c r="GB300" t="s">
        <v>1042</v>
      </c>
      <c r="GD300">
        <v>16</v>
      </c>
      <c r="GE300">
        <v>0</v>
      </c>
      <c r="GG300">
        <v>0</v>
      </c>
      <c r="GN300">
        <v>0</v>
      </c>
      <c r="GO300" t="s">
        <v>1049</v>
      </c>
      <c r="GQ300">
        <v>0</v>
      </c>
      <c r="GU300">
        <v>0</v>
      </c>
      <c r="GY300" t="s">
        <v>1045</v>
      </c>
      <c r="HB300">
        <v>0</v>
      </c>
      <c r="HE300">
        <v>10</v>
      </c>
      <c r="HF300">
        <v>0</v>
      </c>
      <c r="HG300">
        <v>2.6800000000000001E-3</v>
      </c>
      <c r="HK300" t="s">
        <v>1042</v>
      </c>
      <c r="HL300" t="s">
        <v>1048</v>
      </c>
      <c r="HM300">
        <v>0</v>
      </c>
      <c r="HN300">
        <v>0</v>
      </c>
      <c r="HO300">
        <v>27</v>
      </c>
      <c r="HP300">
        <v>1.55E-2</v>
      </c>
      <c r="HQ300">
        <v>0</v>
      </c>
      <c r="HR300" s="20">
        <v>44221</v>
      </c>
      <c r="HT300">
        <v>0</v>
      </c>
      <c r="HU300">
        <v>0</v>
      </c>
      <c r="HW300">
        <v>0</v>
      </c>
      <c r="HX300">
        <v>2086</v>
      </c>
      <c r="HY300">
        <v>1</v>
      </c>
      <c r="IA300">
        <v>0.25</v>
      </c>
      <c r="IF300">
        <v>18000</v>
      </c>
      <c r="IG300" s="20">
        <v>40478</v>
      </c>
      <c r="IH300" t="s">
        <v>1046</v>
      </c>
      <c r="II300" t="s">
        <v>1042</v>
      </c>
      <c r="IR300" t="s">
        <v>1045</v>
      </c>
      <c r="IT300">
        <v>0</v>
      </c>
      <c r="JE300">
        <v>0</v>
      </c>
      <c r="JF300">
        <v>0</v>
      </c>
      <c r="JI300" t="s">
        <v>1042</v>
      </c>
      <c r="JJ300">
        <v>0</v>
      </c>
      <c r="JK300">
        <v>0</v>
      </c>
      <c r="JL300">
        <v>0</v>
      </c>
      <c r="JM300">
        <v>0</v>
      </c>
      <c r="JT300">
        <v>0</v>
      </c>
      <c r="JU300" t="s">
        <v>1042</v>
      </c>
      <c r="JW300">
        <v>0</v>
      </c>
      <c r="KA300">
        <v>0</v>
      </c>
      <c r="KF300">
        <v>0</v>
      </c>
      <c r="KG300">
        <v>0</v>
      </c>
      <c r="KH300">
        <v>0</v>
      </c>
      <c r="KI300">
        <v>0</v>
      </c>
      <c r="KS300" t="s">
        <v>1041</v>
      </c>
      <c r="KT300">
        <v>0</v>
      </c>
      <c r="KU300">
        <v>0</v>
      </c>
      <c r="KV300">
        <v>0</v>
      </c>
      <c r="KX300">
        <v>0</v>
      </c>
      <c r="KZ300">
        <v>0</v>
      </c>
      <c r="LF300">
        <v>0</v>
      </c>
      <c r="LH300">
        <v>186144</v>
      </c>
      <c r="LI300">
        <v>0</v>
      </c>
    </row>
    <row r="301" spans="1:321" x14ac:dyDescent="0.35">
      <c r="A301">
        <v>1</v>
      </c>
      <c r="B301">
        <v>12520</v>
      </c>
      <c r="C301" t="s">
        <v>1395</v>
      </c>
      <c r="D301" t="s">
        <v>1139</v>
      </c>
      <c r="E301" t="s">
        <v>1085</v>
      </c>
      <c r="F301">
        <v>80</v>
      </c>
      <c r="G301">
        <v>9000</v>
      </c>
      <c r="H301">
        <v>0</v>
      </c>
      <c r="I301" t="s">
        <v>1050</v>
      </c>
      <c r="L301">
        <v>0</v>
      </c>
      <c r="M301">
        <v>0</v>
      </c>
      <c r="N301">
        <v>0</v>
      </c>
      <c r="R301">
        <v>0</v>
      </c>
      <c r="S301">
        <v>0</v>
      </c>
      <c r="W301" t="s">
        <v>1060</v>
      </c>
      <c r="X301">
        <v>0</v>
      </c>
      <c r="Z301">
        <v>1</v>
      </c>
      <c r="AA301">
        <v>0</v>
      </c>
      <c r="AB301">
        <v>0</v>
      </c>
      <c r="AC301">
        <v>0</v>
      </c>
      <c r="AD301" s="20">
        <v>40793</v>
      </c>
      <c r="AE301">
        <v>2.68</v>
      </c>
      <c r="AF301">
        <v>0</v>
      </c>
      <c r="AH301">
        <v>0</v>
      </c>
      <c r="AJ301">
        <v>0</v>
      </c>
      <c r="AL301">
        <v>0</v>
      </c>
      <c r="AM301">
        <v>0</v>
      </c>
      <c r="AN301">
        <v>16601003</v>
      </c>
      <c r="AO301">
        <v>0</v>
      </c>
      <c r="AP301">
        <v>1000</v>
      </c>
      <c r="AT301">
        <v>0</v>
      </c>
      <c r="AU301" t="s">
        <v>1059</v>
      </c>
      <c r="AW301" t="s">
        <v>1053</v>
      </c>
      <c r="AX301">
        <v>0</v>
      </c>
      <c r="AY301" s="20">
        <v>40793</v>
      </c>
      <c r="BA301" s="20">
        <v>40793</v>
      </c>
      <c r="BB301" t="s">
        <v>1058</v>
      </c>
      <c r="BD301">
        <v>0</v>
      </c>
      <c r="BF301" t="s">
        <v>1043</v>
      </c>
      <c r="BG301" t="s">
        <v>1042</v>
      </c>
      <c r="BH301">
        <v>0</v>
      </c>
      <c r="BI301">
        <v>1</v>
      </c>
      <c r="BJ301">
        <v>0</v>
      </c>
      <c r="BK301">
        <v>0</v>
      </c>
      <c r="BM301" t="s">
        <v>1042</v>
      </c>
      <c r="BN301">
        <v>0</v>
      </c>
      <c r="BR301" t="s">
        <v>1043</v>
      </c>
      <c r="BS301" t="s">
        <v>1043</v>
      </c>
      <c r="BT301" t="s">
        <v>1043</v>
      </c>
      <c r="BW301">
        <v>83</v>
      </c>
      <c r="CA301">
        <v>0</v>
      </c>
      <c r="CB301" t="s">
        <v>1057</v>
      </c>
      <c r="CE301" t="s">
        <v>1043</v>
      </c>
      <c r="CH301" t="s">
        <v>1043</v>
      </c>
      <c r="CN301" t="s">
        <v>1056</v>
      </c>
      <c r="CO301" t="s">
        <v>1043</v>
      </c>
      <c r="CP301">
        <v>1</v>
      </c>
      <c r="CQ301">
        <v>0</v>
      </c>
      <c r="CS301">
        <v>0</v>
      </c>
      <c r="CT301">
        <v>0</v>
      </c>
      <c r="CU301">
        <v>0</v>
      </c>
      <c r="CV301" t="s">
        <v>1045</v>
      </c>
      <c r="CW301">
        <v>0</v>
      </c>
      <c r="CX301">
        <v>0</v>
      </c>
      <c r="CY301">
        <v>0</v>
      </c>
      <c r="CZ301">
        <v>0</v>
      </c>
      <c r="DB301">
        <v>0</v>
      </c>
      <c r="DC301" t="s">
        <v>1043</v>
      </c>
      <c r="DF301" t="s">
        <v>1055</v>
      </c>
      <c r="DH301">
        <v>0</v>
      </c>
      <c r="DJ301">
        <v>0</v>
      </c>
      <c r="DK301" t="s">
        <v>1053</v>
      </c>
      <c r="DL301">
        <v>0</v>
      </c>
      <c r="DN301">
        <v>0</v>
      </c>
      <c r="DO301" t="s">
        <v>1042</v>
      </c>
      <c r="DP301">
        <v>0</v>
      </c>
      <c r="DQ301">
        <v>0</v>
      </c>
      <c r="DS301">
        <v>0</v>
      </c>
      <c r="DU301">
        <v>0</v>
      </c>
      <c r="DW301">
        <v>0</v>
      </c>
      <c r="DX301" t="s">
        <v>1043</v>
      </c>
      <c r="DY301">
        <v>0</v>
      </c>
      <c r="DZ301">
        <v>0</v>
      </c>
      <c r="EA301">
        <v>0</v>
      </c>
      <c r="ED301" t="s">
        <v>1045</v>
      </c>
      <c r="EE301">
        <v>0</v>
      </c>
      <c r="EF301">
        <v>0</v>
      </c>
      <c r="EQ301" t="s">
        <v>1044</v>
      </c>
      <c r="ES301" t="s">
        <v>1053</v>
      </c>
      <c r="ET301">
        <v>0</v>
      </c>
      <c r="EV301">
        <v>0</v>
      </c>
      <c r="EY301" t="s">
        <v>1052</v>
      </c>
      <c r="EZ301">
        <v>0</v>
      </c>
      <c r="FA301" t="s">
        <v>1043</v>
      </c>
      <c r="FB301">
        <v>0</v>
      </c>
      <c r="FC301">
        <v>0</v>
      </c>
      <c r="FE301" t="s">
        <v>1050</v>
      </c>
      <c r="FF301">
        <v>0</v>
      </c>
      <c r="FG301" t="s">
        <v>1050</v>
      </c>
      <c r="FJ301">
        <v>0</v>
      </c>
      <c r="FK301">
        <v>0</v>
      </c>
      <c r="FP301">
        <v>0</v>
      </c>
      <c r="FR301">
        <v>0</v>
      </c>
      <c r="FS301" t="s">
        <v>1043</v>
      </c>
      <c r="FX301" t="s">
        <v>1042</v>
      </c>
      <c r="FZ301" t="s">
        <v>1048</v>
      </c>
      <c r="GA301">
        <v>0</v>
      </c>
      <c r="GB301" t="s">
        <v>1042</v>
      </c>
      <c r="GE301">
        <v>0</v>
      </c>
      <c r="GG301">
        <v>0</v>
      </c>
      <c r="GN301">
        <v>0</v>
      </c>
      <c r="GO301" t="s">
        <v>1063</v>
      </c>
      <c r="GQ301">
        <v>0</v>
      </c>
      <c r="GU301">
        <v>0</v>
      </c>
      <c r="GY301" t="s">
        <v>1045</v>
      </c>
      <c r="HB301">
        <v>0</v>
      </c>
      <c r="HE301">
        <v>0</v>
      </c>
      <c r="HF301">
        <v>0</v>
      </c>
      <c r="HG301">
        <v>0</v>
      </c>
      <c r="HK301" t="s">
        <v>1042</v>
      </c>
      <c r="HM301" t="s">
        <v>1047</v>
      </c>
      <c r="HN301">
        <v>0</v>
      </c>
      <c r="HP301">
        <v>0</v>
      </c>
      <c r="HQ301">
        <v>0</v>
      </c>
      <c r="HR301" t="s">
        <v>1042</v>
      </c>
      <c r="HS301" t="s">
        <v>1043</v>
      </c>
      <c r="HT301">
        <v>0</v>
      </c>
      <c r="HU301">
        <v>0</v>
      </c>
      <c r="HW301">
        <v>0</v>
      </c>
      <c r="HX301">
        <v>0</v>
      </c>
      <c r="HY301">
        <v>0</v>
      </c>
      <c r="HZ301" t="s">
        <v>1045</v>
      </c>
      <c r="IA301">
        <v>0</v>
      </c>
      <c r="IB301" t="s">
        <v>1045</v>
      </c>
      <c r="ID301" t="s">
        <v>1045</v>
      </c>
      <c r="IF301">
        <v>0</v>
      </c>
      <c r="IG301" t="s">
        <v>1042</v>
      </c>
      <c r="II301" t="s">
        <v>1042</v>
      </c>
      <c r="IR301" t="s">
        <v>1045</v>
      </c>
      <c r="IT301">
        <v>0</v>
      </c>
      <c r="IY301" t="s">
        <v>1044</v>
      </c>
      <c r="IZ301" t="s">
        <v>1043</v>
      </c>
      <c r="JC301" t="s">
        <v>1043</v>
      </c>
      <c r="JE301">
        <v>0</v>
      </c>
      <c r="JF301">
        <v>0</v>
      </c>
      <c r="JI301" t="s">
        <v>1042</v>
      </c>
      <c r="JJ301">
        <v>0</v>
      </c>
      <c r="JK301">
        <v>0</v>
      </c>
      <c r="JL301">
        <v>0</v>
      </c>
      <c r="JM301">
        <v>0</v>
      </c>
      <c r="JQ301" t="s">
        <v>1043</v>
      </c>
      <c r="JT301">
        <v>0</v>
      </c>
      <c r="JU301" t="s">
        <v>1042</v>
      </c>
      <c r="JW301">
        <v>0</v>
      </c>
      <c r="KA301">
        <v>0</v>
      </c>
      <c r="KF301">
        <v>0</v>
      </c>
      <c r="KG301">
        <v>0</v>
      </c>
      <c r="KH301">
        <v>0</v>
      </c>
      <c r="KI301">
        <v>0</v>
      </c>
      <c r="KS301" t="s">
        <v>1073</v>
      </c>
      <c r="KT301">
        <v>0</v>
      </c>
      <c r="KU301">
        <v>0</v>
      </c>
      <c r="KV301">
        <v>0</v>
      </c>
      <c r="KX301">
        <v>0</v>
      </c>
      <c r="KZ301">
        <v>0</v>
      </c>
      <c r="LF301">
        <v>0</v>
      </c>
      <c r="LH301">
        <v>0</v>
      </c>
      <c r="LI301">
        <v>0</v>
      </c>
    </row>
    <row r="302" spans="1:321" x14ac:dyDescent="0.35">
      <c r="A302">
        <v>1</v>
      </c>
      <c r="B302">
        <v>12521</v>
      </c>
      <c r="C302" t="s">
        <v>1394</v>
      </c>
      <c r="D302" t="s">
        <v>1139</v>
      </c>
      <c r="E302" t="s">
        <v>1085</v>
      </c>
      <c r="F302">
        <v>80</v>
      </c>
      <c r="G302">
        <v>9000</v>
      </c>
      <c r="H302">
        <v>0</v>
      </c>
      <c r="I302" t="s">
        <v>1050</v>
      </c>
      <c r="L302">
        <v>0</v>
      </c>
      <c r="M302">
        <v>0</v>
      </c>
      <c r="N302">
        <v>0</v>
      </c>
      <c r="R302">
        <v>0</v>
      </c>
      <c r="S302">
        <v>0</v>
      </c>
      <c r="W302" t="s">
        <v>1060</v>
      </c>
      <c r="X302">
        <v>0</v>
      </c>
      <c r="Z302">
        <v>1</v>
      </c>
      <c r="AA302">
        <v>0</v>
      </c>
      <c r="AB302">
        <v>0</v>
      </c>
      <c r="AC302">
        <v>0</v>
      </c>
      <c r="AD302" s="20">
        <v>40793</v>
      </c>
      <c r="AE302">
        <v>2.68</v>
      </c>
      <c r="AF302">
        <v>0</v>
      </c>
      <c r="AH302">
        <v>0</v>
      </c>
      <c r="AJ302">
        <v>0</v>
      </c>
      <c r="AL302">
        <v>0</v>
      </c>
      <c r="AM302">
        <v>0</v>
      </c>
      <c r="AN302">
        <v>16601005</v>
      </c>
      <c r="AO302">
        <v>0</v>
      </c>
      <c r="AP302">
        <v>1003</v>
      </c>
      <c r="AT302">
        <v>0</v>
      </c>
      <c r="AU302" t="s">
        <v>1059</v>
      </c>
      <c r="AW302" t="s">
        <v>1053</v>
      </c>
      <c r="AX302">
        <v>0</v>
      </c>
      <c r="AY302" s="20">
        <v>40793</v>
      </c>
      <c r="BA302" s="20">
        <v>40793</v>
      </c>
      <c r="BB302" t="s">
        <v>1058</v>
      </c>
      <c r="BD302">
        <v>0</v>
      </c>
      <c r="BF302" t="s">
        <v>1043</v>
      </c>
      <c r="BG302" t="s">
        <v>1042</v>
      </c>
      <c r="BH302">
        <v>0</v>
      </c>
      <c r="BI302">
        <v>1</v>
      </c>
      <c r="BJ302">
        <v>0</v>
      </c>
      <c r="BK302">
        <v>0</v>
      </c>
      <c r="BM302" t="s">
        <v>1042</v>
      </c>
      <c r="BN302">
        <v>0</v>
      </c>
      <c r="BR302" t="s">
        <v>1043</v>
      </c>
      <c r="BS302" t="s">
        <v>1043</v>
      </c>
      <c r="BT302" t="s">
        <v>1043</v>
      </c>
      <c r="BW302">
        <v>83</v>
      </c>
      <c r="CA302">
        <v>0</v>
      </c>
      <c r="CB302" t="s">
        <v>1057</v>
      </c>
      <c r="CE302" t="s">
        <v>1043</v>
      </c>
      <c r="CH302" t="s">
        <v>1043</v>
      </c>
      <c r="CN302" t="s">
        <v>1056</v>
      </c>
      <c r="CO302" t="s">
        <v>1043</v>
      </c>
      <c r="CP302">
        <v>1</v>
      </c>
      <c r="CQ302">
        <v>0</v>
      </c>
      <c r="CS302">
        <v>0</v>
      </c>
      <c r="CT302">
        <v>0</v>
      </c>
      <c r="CU302">
        <v>0</v>
      </c>
      <c r="CV302" t="s">
        <v>1045</v>
      </c>
      <c r="CW302">
        <v>0</v>
      </c>
      <c r="CX302">
        <v>0</v>
      </c>
      <c r="CY302">
        <v>0</v>
      </c>
      <c r="CZ302">
        <v>0</v>
      </c>
      <c r="DB302">
        <v>0</v>
      </c>
      <c r="DC302" t="s">
        <v>1043</v>
      </c>
      <c r="DF302" t="s">
        <v>1055</v>
      </c>
      <c r="DH302">
        <v>0</v>
      </c>
      <c r="DJ302">
        <v>0</v>
      </c>
      <c r="DK302" t="s">
        <v>1053</v>
      </c>
      <c r="DL302">
        <v>0</v>
      </c>
      <c r="DN302">
        <v>0</v>
      </c>
      <c r="DO302" t="s">
        <v>1042</v>
      </c>
      <c r="DP302">
        <v>0</v>
      </c>
      <c r="DQ302">
        <v>0</v>
      </c>
      <c r="DS302">
        <v>0</v>
      </c>
      <c r="DU302">
        <v>0</v>
      </c>
      <c r="DW302">
        <v>0</v>
      </c>
      <c r="DX302" t="s">
        <v>1043</v>
      </c>
      <c r="DY302">
        <v>0</v>
      </c>
      <c r="DZ302">
        <v>0</v>
      </c>
      <c r="EA302">
        <v>0</v>
      </c>
      <c r="ED302" t="s">
        <v>1045</v>
      </c>
      <c r="EE302">
        <v>0</v>
      </c>
      <c r="EF302">
        <v>0</v>
      </c>
      <c r="EQ302" t="s">
        <v>1044</v>
      </c>
      <c r="ES302" t="s">
        <v>1053</v>
      </c>
      <c r="ET302">
        <v>0</v>
      </c>
      <c r="EV302">
        <v>0</v>
      </c>
      <c r="EY302" t="s">
        <v>1052</v>
      </c>
      <c r="EZ302">
        <v>0</v>
      </c>
      <c r="FA302" t="s">
        <v>1043</v>
      </c>
      <c r="FB302">
        <v>0</v>
      </c>
      <c r="FC302">
        <v>0</v>
      </c>
      <c r="FE302" t="s">
        <v>1050</v>
      </c>
      <c r="FF302">
        <v>0</v>
      </c>
      <c r="FG302" t="s">
        <v>1050</v>
      </c>
      <c r="FJ302">
        <v>0</v>
      </c>
      <c r="FK302">
        <v>0</v>
      </c>
      <c r="FP302">
        <v>0</v>
      </c>
      <c r="FR302">
        <v>0</v>
      </c>
      <c r="FS302" t="s">
        <v>1043</v>
      </c>
      <c r="FX302" t="s">
        <v>1042</v>
      </c>
      <c r="FZ302" t="s">
        <v>1048</v>
      </c>
      <c r="GA302">
        <v>0</v>
      </c>
      <c r="GB302" t="s">
        <v>1042</v>
      </c>
      <c r="GE302">
        <v>0</v>
      </c>
      <c r="GG302">
        <v>0</v>
      </c>
      <c r="GN302">
        <v>0</v>
      </c>
      <c r="GO302" t="s">
        <v>1063</v>
      </c>
      <c r="GQ302">
        <v>0</v>
      </c>
      <c r="GU302">
        <v>0</v>
      </c>
      <c r="GY302" t="s">
        <v>1045</v>
      </c>
      <c r="HB302">
        <v>0</v>
      </c>
      <c r="HE302">
        <v>0</v>
      </c>
      <c r="HF302">
        <v>0</v>
      </c>
      <c r="HG302">
        <v>0</v>
      </c>
      <c r="HK302" t="s">
        <v>1042</v>
      </c>
      <c r="HM302" t="s">
        <v>1047</v>
      </c>
      <c r="HN302">
        <v>0</v>
      </c>
      <c r="HP302">
        <v>0</v>
      </c>
      <c r="HQ302">
        <v>0</v>
      </c>
      <c r="HR302" t="s">
        <v>1042</v>
      </c>
      <c r="HS302" t="s">
        <v>1043</v>
      </c>
      <c r="HT302">
        <v>0</v>
      </c>
      <c r="HU302">
        <v>0</v>
      </c>
      <c r="HW302">
        <v>0</v>
      </c>
      <c r="HX302">
        <v>0</v>
      </c>
      <c r="HY302">
        <v>0</v>
      </c>
      <c r="HZ302" t="s">
        <v>1045</v>
      </c>
      <c r="IA302">
        <v>0</v>
      </c>
      <c r="IB302" t="s">
        <v>1045</v>
      </c>
      <c r="ID302" t="s">
        <v>1045</v>
      </c>
      <c r="IF302">
        <v>0</v>
      </c>
      <c r="IG302" t="s">
        <v>1042</v>
      </c>
      <c r="II302" t="s">
        <v>1042</v>
      </c>
      <c r="IR302" t="s">
        <v>1045</v>
      </c>
      <c r="IT302">
        <v>0</v>
      </c>
      <c r="IY302" t="s">
        <v>1044</v>
      </c>
      <c r="IZ302" t="s">
        <v>1043</v>
      </c>
      <c r="JC302" t="s">
        <v>1043</v>
      </c>
      <c r="JE302">
        <v>0</v>
      </c>
      <c r="JF302">
        <v>0</v>
      </c>
      <c r="JI302" t="s">
        <v>1042</v>
      </c>
      <c r="JJ302">
        <v>0</v>
      </c>
      <c r="JK302">
        <v>0</v>
      </c>
      <c r="JL302">
        <v>0</v>
      </c>
      <c r="JM302">
        <v>0</v>
      </c>
      <c r="JQ302" t="s">
        <v>1043</v>
      </c>
      <c r="JT302">
        <v>0</v>
      </c>
      <c r="JU302" t="s">
        <v>1042</v>
      </c>
      <c r="JW302">
        <v>0</v>
      </c>
      <c r="KA302">
        <v>0</v>
      </c>
      <c r="KF302">
        <v>0</v>
      </c>
      <c r="KG302">
        <v>0</v>
      </c>
      <c r="KH302">
        <v>0</v>
      </c>
      <c r="KI302">
        <v>0</v>
      </c>
      <c r="KS302" t="s">
        <v>1073</v>
      </c>
      <c r="KT302">
        <v>0</v>
      </c>
      <c r="KU302">
        <v>0</v>
      </c>
      <c r="KV302">
        <v>0</v>
      </c>
      <c r="KX302">
        <v>0</v>
      </c>
      <c r="KZ302">
        <v>0</v>
      </c>
      <c r="LF302">
        <v>0</v>
      </c>
      <c r="LH302">
        <v>0</v>
      </c>
      <c r="LI302">
        <v>0</v>
      </c>
    </row>
    <row r="303" spans="1:321" x14ac:dyDescent="0.35">
      <c r="A303">
        <v>1</v>
      </c>
      <c r="B303">
        <v>12522</v>
      </c>
      <c r="C303" t="s">
        <v>1393</v>
      </c>
      <c r="D303" t="s">
        <v>1139</v>
      </c>
      <c r="E303" t="s">
        <v>1085</v>
      </c>
      <c r="F303">
        <v>80</v>
      </c>
      <c r="G303">
        <v>9000</v>
      </c>
      <c r="H303">
        <v>0</v>
      </c>
      <c r="I303" t="s">
        <v>1050</v>
      </c>
      <c r="L303">
        <v>0</v>
      </c>
      <c r="M303">
        <v>0</v>
      </c>
      <c r="N303">
        <v>0</v>
      </c>
      <c r="R303">
        <v>0</v>
      </c>
      <c r="S303">
        <v>0</v>
      </c>
      <c r="W303" t="s">
        <v>1060</v>
      </c>
      <c r="X303">
        <v>0</v>
      </c>
      <c r="Z303">
        <v>1</v>
      </c>
      <c r="AA303">
        <v>0</v>
      </c>
      <c r="AB303">
        <v>0</v>
      </c>
      <c r="AC303">
        <v>0</v>
      </c>
      <c r="AD303" s="20">
        <v>40793</v>
      </c>
      <c r="AE303">
        <v>2.68</v>
      </c>
      <c r="AF303">
        <v>0</v>
      </c>
      <c r="AH303">
        <v>0</v>
      </c>
      <c r="AJ303">
        <v>0</v>
      </c>
      <c r="AL303">
        <v>0</v>
      </c>
      <c r="AM303">
        <v>0</v>
      </c>
      <c r="AN303">
        <v>16601005</v>
      </c>
      <c r="AO303">
        <v>0</v>
      </c>
      <c r="AP303">
        <v>1003</v>
      </c>
      <c r="AT303">
        <v>0</v>
      </c>
      <c r="AU303" t="s">
        <v>1059</v>
      </c>
      <c r="AW303" t="s">
        <v>1053</v>
      </c>
      <c r="AX303">
        <v>0</v>
      </c>
      <c r="AY303" s="20">
        <v>40793</v>
      </c>
      <c r="BA303" s="20">
        <v>40793</v>
      </c>
      <c r="BB303" t="s">
        <v>1058</v>
      </c>
      <c r="BD303">
        <v>0</v>
      </c>
      <c r="BF303" t="s">
        <v>1043</v>
      </c>
      <c r="BG303" t="s">
        <v>1042</v>
      </c>
      <c r="BH303">
        <v>0</v>
      </c>
      <c r="BI303">
        <v>1</v>
      </c>
      <c r="BJ303">
        <v>0</v>
      </c>
      <c r="BK303">
        <v>0</v>
      </c>
      <c r="BM303" t="s">
        <v>1042</v>
      </c>
      <c r="BN303">
        <v>0</v>
      </c>
      <c r="BR303" t="s">
        <v>1043</v>
      </c>
      <c r="BS303" t="s">
        <v>1043</v>
      </c>
      <c r="BT303" t="s">
        <v>1043</v>
      </c>
      <c r="BW303">
        <v>83</v>
      </c>
      <c r="CA303">
        <v>0</v>
      </c>
      <c r="CB303" t="s">
        <v>1057</v>
      </c>
      <c r="CE303" t="s">
        <v>1043</v>
      </c>
      <c r="CH303" t="s">
        <v>1043</v>
      </c>
      <c r="CN303" t="s">
        <v>1056</v>
      </c>
      <c r="CO303" t="s">
        <v>1043</v>
      </c>
      <c r="CP303">
        <v>1</v>
      </c>
      <c r="CQ303">
        <v>0</v>
      </c>
      <c r="CS303">
        <v>0</v>
      </c>
      <c r="CT303">
        <v>0</v>
      </c>
      <c r="CU303">
        <v>0</v>
      </c>
      <c r="CV303" t="s">
        <v>1045</v>
      </c>
      <c r="CW303">
        <v>0</v>
      </c>
      <c r="CX303">
        <v>0</v>
      </c>
      <c r="CY303">
        <v>0</v>
      </c>
      <c r="CZ303">
        <v>0</v>
      </c>
      <c r="DB303">
        <v>0</v>
      </c>
      <c r="DC303" t="s">
        <v>1043</v>
      </c>
      <c r="DF303" t="s">
        <v>1055</v>
      </c>
      <c r="DH303">
        <v>0</v>
      </c>
      <c r="DJ303">
        <v>0</v>
      </c>
      <c r="DK303" t="s">
        <v>1053</v>
      </c>
      <c r="DL303">
        <v>0</v>
      </c>
      <c r="DN303">
        <v>0</v>
      </c>
      <c r="DO303" t="s">
        <v>1042</v>
      </c>
      <c r="DP303">
        <v>0</v>
      </c>
      <c r="DQ303">
        <v>0</v>
      </c>
      <c r="DS303">
        <v>0</v>
      </c>
      <c r="DU303">
        <v>0</v>
      </c>
      <c r="DW303">
        <v>0</v>
      </c>
      <c r="DX303" t="s">
        <v>1043</v>
      </c>
      <c r="DY303">
        <v>0</v>
      </c>
      <c r="DZ303">
        <v>0</v>
      </c>
      <c r="EA303">
        <v>0</v>
      </c>
      <c r="ED303" t="s">
        <v>1045</v>
      </c>
      <c r="EE303">
        <v>0</v>
      </c>
      <c r="EF303">
        <v>0</v>
      </c>
      <c r="EQ303" t="s">
        <v>1044</v>
      </c>
      <c r="ES303" t="s">
        <v>1053</v>
      </c>
      <c r="ET303">
        <v>0</v>
      </c>
      <c r="EV303">
        <v>0</v>
      </c>
      <c r="EY303" t="s">
        <v>1052</v>
      </c>
      <c r="EZ303">
        <v>0</v>
      </c>
      <c r="FA303" t="s">
        <v>1043</v>
      </c>
      <c r="FB303">
        <v>0</v>
      </c>
      <c r="FC303">
        <v>0</v>
      </c>
      <c r="FE303" t="s">
        <v>1050</v>
      </c>
      <c r="FF303">
        <v>0</v>
      </c>
      <c r="FG303" t="s">
        <v>1050</v>
      </c>
      <c r="FJ303">
        <v>0</v>
      </c>
      <c r="FK303">
        <v>0</v>
      </c>
      <c r="FP303">
        <v>0</v>
      </c>
      <c r="FR303">
        <v>0</v>
      </c>
      <c r="FS303" t="s">
        <v>1043</v>
      </c>
      <c r="FX303" t="s">
        <v>1042</v>
      </c>
      <c r="FZ303" t="s">
        <v>1048</v>
      </c>
      <c r="GA303">
        <v>0</v>
      </c>
      <c r="GB303" t="s">
        <v>1042</v>
      </c>
      <c r="GE303">
        <v>0</v>
      </c>
      <c r="GG303">
        <v>0</v>
      </c>
      <c r="GN303">
        <v>0</v>
      </c>
      <c r="GO303" t="s">
        <v>1063</v>
      </c>
      <c r="GQ303">
        <v>0</v>
      </c>
      <c r="GU303">
        <v>0</v>
      </c>
      <c r="GY303" t="s">
        <v>1045</v>
      </c>
      <c r="HB303">
        <v>0</v>
      </c>
      <c r="HE303">
        <v>0</v>
      </c>
      <c r="HF303">
        <v>0</v>
      </c>
      <c r="HG303">
        <v>0</v>
      </c>
      <c r="HK303" t="s">
        <v>1042</v>
      </c>
      <c r="HM303" t="s">
        <v>1047</v>
      </c>
      <c r="HN303">
        <v>0</v>
      </c>
      <c r="HP303">
        <v>0</v>
      </c>
      <c r="HQ303">
        <v>0</v>
      </c>
      <c r="HR303" t="s">
        <v>1042</v>
      </c>
      <c r="HS303" t="s">
        <v>1043</v>
      </c>
      <c r="HT303">
        <v>0</v>
      </c>
      <c r="HU303">
        <v>0</v>
      </c>
      <c r="HW303">
        <v>0</v>
      </c>
      <c r="HX303">
        <v>0</v>
      </c>
      <c r="HY303">
        <v>0</v>
      </c>
      <c r="HZ303" t="s">
        <v>1045</v>
      </c>
      <c r="IA303">
        <v>0</v>
      </c>
      <c r="IB303" t="s">
        <v>1045</v>
      </c>
      <c r="ID303" t="s">
        <v>1045</v>
      </c>
      <c r="IF303">
        <v>0</v>
      </c>
      <c r="IG303" t="s">
        <v>1042</v>
      </c>
      <c r="II303" t="s">
        <v>1042</v>
      </c>
      <c r="IR303" t="s">
        <v>1045</v>
      </c>
      <c r="IT303">
        <v>0</v>
      </c>
      <c r="IY303" t="s">
        <v>1044</v>
      </c>
      <c r="IZ303" t="s">
        <v>1043</v>
      </c>
      <c r="JC303" t="s">
        <v>1043</v>
      </c>
      <c r="JE303">
        <v>0</v>
      </c>
      <c r="JF303">
        <v>0</v>
      </c>
      <c r="JI303" t="s">
        <v>1042</v>
      </c>
      <c r="JJ303">
        <v>0</v>
      </c>
      <c r="JK303">
        <v>0</v>
      </c>
      <c r="JL303">
        <v>0</v>
      </c>
      <c r="JM303">
        <v>0</v>
      </c>
      <c r="JQ303" t="s">
        <v>1043</v>
      </c>
      <c r="JT303">
        <v>0</v>
      </c>
      <c r="JU303" t="s">
        <v>1042</v>
      </c>
      <c r="JW303">
        <v>0</v>
      </c>
      <c r="KA303">
        <v>0</v>
      </c>
      <c r="KF303">
        <v>0</v>
      </c>
      <c r="KG303">
        <v>0</v>
      </c>
      <c r="KH303">
        <v>0</v>
      </c>
      <c r="KI303">
        <v>0</v>
      </c>
      <c r="KS303" t="s">
        <v>1073</v>
      </c>
      <c r="KT303">
        <v>0</v>
      </c>
      <c r="KU303">
        <v>0</v>
      </c>
      <c r="KV303">
        <v>0</v>
      </c>
      <c r="KX303">
        <v>0</v>
      </c>
      <c r="KZ303">
        <v>0</v>
      </c>
      <c r="LF303">
        <v>0</v>
      </c>
      <c r="LH303">
        <v>0</v>
      </c>
      <c r="LI303">
        <v>0</v>
      </c>
    </row>
    <row r="304" spans="1:321" x14ac:dyDescent="0.35">
      <c r="A304">
        <v>1</v>
      </c>
      <c r="B304">
        <v>12523</v>
      </c>
      <c r="C304" t="s">
        <v>1392</v>
      </c>
      <c r="D304" t="s">
        <v>1139</v>
      </c>
      <c r="E304" t="s">
        <v>1085</v>
      </c>
      <c r="F304">
        <v>80</v>
      </c>
      <c r="G304">
        <v>9000</v>
      </c>
      <c r="H304">
        <v>0</v>
      </c>
      <c r="I304" t="s">
        <v>1050</v>
      </c>
      <c r="L304">
        <v>0</v>
      </c>
      <c r="M304">
        <v>0</v>
      </c>
      <c r="N304">
        <v>0</v>
      </c>
      <c r="R304">
        <v>0</v>
      </c>
      <c r="S304">
        <v>0</v>
      </c>
      <c r="W304" t="s">
        <v>1060</v>
      </c>
      <c r="X304">
        <v>0</v>
      </c>
      <c r="Z304">
        <v>1</v>
      </c>
      <c r="AA304">
        <v>0</v>
      </c>
      <c r="AB304">
        <v>0</v>
      </c>
      <c r="AC304">
        <v>0</v>
      </c>
      <c r="AD304" s="20">
        <v>40793</v>
      </c>
      <c r="AE304">
        <v>2.68</v>
      </c>
      <c r="AF304">
        <v>0</v>
      </c>
      <c r="AH304">
        <v>0</v>
      </c>
      <c r="AJ304">
        <v>0</v>
      </c>
      <c r="AL304">
        <v>0</v>
      </c>
      <c r="AM304">
        <v>0</v>
      </c>
      <c r="AN304">
        <v>16601005</v>
      </c>
      <c r="AO304">
        <v>0</v>
      </c>
      <c r="AP304">
        <v>1003</v>
      </c>
      <c r="AT304">
        <v>0</v>
      </c>
      <c r="AU304" t="s">
        <v>1059</v>
      </c>
      <c r="AW304" t="s">
        <v>1053</v>
      </c>
      <c r="AX304">
        <v>0</v>
      </c>
      <c r="AY304" s="20">
        <v>40793</v>
      </c>
      <c r="BA304" s="20">
        <v>40793</v>
      </c>
      <c r="BB304" t="s">
        <v>1058</v>
      </c>
      <c r="BD304">
        <v>0</v>
      </c>
      <c r="BF304" t="s">
        <v>1043</v>
      </c>
      <c r="BG304" t="s">
        <v>1042</v>
      </c>
      <c r="BH304">
        <v>0</v>
      </c>
      <c r="BI304">
        <v>1</v>
      </c>
      <c r="BJ304">
        <v>0</v>
      </c>
      <c r="BK304">
        <v>0</v>
      </c>
      <c r="BM304" t="s">
        <v>1042</v>
      </c>
      <c r="BN304">
        <v>0</v>
      </c>
      <c r="BR304" t="s">
        <v>1043</v>
      </c>
      <c r="BS304" t="s">
        <v>1043</v>
      </c>
      <c r="BT304" t="s">
        <v>1043</v>
      </c>
      <c r="BW304">
        <v>83</v>
      </c>
      <c r="CA304">
        <v>0</v>
      </c>
      <c r="CB304" t="s">
        <v>1057</v>
      </c>
      <c r="CE304" t="s">
        <v>1043</v>
      </c>
      <c r="CH304" t="s">
        <v>1043</v>
      </c>
      <c r="CN304" t="s">
        <v>1056</v>
      </c>
      <c r="CO304" t="s">
        <v>1043</v>
      </c>
      <c r="CP304">
        <v>1</v>
      </c>
      <c r="CQ304">
        <v>0</v>
      </c>
      <c r="CS304">
        <v>0</v>
      </c>
      <c r="CT304">
        <v>0</v>
      </c>
      <c r="CU304">
        <v>0</v>
      </c>
      <c r="CV304" t="s">
        <v>1045</v>
      </c>
      <c r="CW304">
        <v>0</v>
      </c>
      <c r="CX304">
        <v>0</v>
      </c>
      <c r="CY304">
        <v>0</v>
      </c>
      <c r="CZ304">
        <v>0</v>
      </c>
      <c r="DB304">
        <v>0</v>
      </c>
      <c r="DC304" t="s">
        <v>1043</v>
      </c>
      <c r="DF304" t="s">
        <v>1055</v>
      </c>
      <c r="DH304">
        <v>0</v>
      </c>
      <c r="DJ304">
        <v>0</v>
      </c>
      <c r="DK304" t="s">
        <v>1053</v>
      </c>
      <c r="DL304">
        <v>0</v>
      </c>
      <c r="DN304">
        <v>0</v>
      </c>
      <c r="DO304" t="s">
        <v>1042</v>
      </c>
      <c r="DP304">
        <v>0</v>
      </c>
      <c r="DQ304">
        <v>0</v>
      </c>
      <c r="DS304">
        <v>0</v>
      </c>
      <c r="DU304">
        <v>0</v>
      </c>
      <c r="DW304">
        <v>0</v>
      </c>
      <c r="DX304" t="s">
        <v>1043</v>
      </c>
      <c r="DY304">
        <v>0</v>
      </c>
      <c r="DZ304">
        <v>0</v>
      </c>
      <c r="EA304">
        <v>0</v>
      </c>
      <c r="ED304" t="s">
        <v>1045</v>
      </c>
      <c r="EE304">
        <v>0</v>
      </c>
      <c r="EF304">
        <v>0</v>
      </c>
      <c r="EQ304" t="s">
        <v>1044</v>
      </c>
      <c r="ES304" t="s">
        <v>1053</v>
      </c>
      <c r="ET304">
        <v>0</v>
      </c>
      <c r="EV304">
        <v>0</v>
      </c>
      <c r="EY304" t="s">
        <v>1052</v>
      </c>
      <c r="EZ304">
        <v>0</v>
      </c>
      <c r="FA304" t="s">
        <v>1043</v>
      </c>
      <c r="FB304">
        <v>0</v>
      </c>
      <c r="FC304">
        <v>0</v>
      </c>
      <c r="FE304" t="s">
        <v>1050</v>
      </c>
      <c r="FF304">
        <v>0</v>
      </c>
      <c r="FG304" t="s">
        <v>1050</v>
      </c>
      <c r="FJ304">
        <v>0</v>
      </c>
      <c r="FK304">
        <v>0</v>
      </c>
      <c r="FP304">
        <v>0</v>
      </c>
      <c r="FR304">
        <v>0</v>
      </c>
      <c r="FS304" t="s">
        <v>1043</v>
      </c>
      <c r="FX304" t="s">
        <v>1042</v>
      </c>
      <c r="FZ304" t="s">
        <v>1048</v>
      </c>
      <c r="GA304">
        <v>0</v>
      </c>
      <c r="GB304" t="s">
        <v>1042</v>
      </c>
      <c r="GE304">
        <v>0</v>
      </c>
      <c r="GG304">
        <v>0</v>
      </c>
      <c r="GN304">
        <v>0</v>
      </c>
      <c r="GO304" t="s">
        <v>1063</v>
      </c>
      <c r="GQ304">
        <v>0</v>
      </c>
      <c r="GU304">
        <v>0</v>
      </c>
      <c r="GY304" t="s">
        <v>1045</v>
      </c>
      <c r="HB304">
        <v>0</v>
      </c>
      <c r="HE304">
        <v>0</v>
      </c>
      <c r="HF304">
        <v>0</v>
      </c>
      <c r="HG304">
        <v>0</v>
      </c>
      <c r="HK304" t="s">
        <v>1042</v>
      </c>
      <c r="HM304" t="s">
        <v>1047</v>
      </c>
      <c r="HN304">
        <v>0</v>
      </c>
      <c r="HP304">
        <v>0</v>
      </c>
      <c r="HQ304">
        <v>0</v>
      </c>
      <c r="HR304" t="s">
        <v>1042</v>
      </c>
      <c r="HS304" t="s">
        <v>1043</v>
      </c>
      <c r="HT304">
        <v>0</v>
      </c>
      <c r="HU304">
        <v>0</v>
      </c>
      <c r="HW304">
        <v>0</v>
      </c>
      <c r="HX304">
        <v>0</v>
      </c>
      <c r="HY304">
        <v>0</v>
      </c>
      <c r="HZ304" t="s">
        <v>1045</v>
      </c>
      <c r="IA304">
        <v>0</v>
      </c>
      <c r="IB304" t="s">
        <v>1045</v>
      </c>
      <c r="ID304" t="s">
        <v>1045</v>
      </c>
      <c r="IF304">
        <v>0</v>
      </c>
      <c r="IG304" t="s">
        <v>1042</v>
      </c>
      <c r="II304" t="s">
        <v>1042</v>
      </c>
      <c r="IR304" t="s">
        <v>1045</v>
      </c>
      <c r="IT304">
        <v>0</v>
      </c>
      <c r="IY304" t="s">
        <v>1044</v>
      </c>
      <c r="IZ304" t="s">
        <v>1043</v>
      </c>
      <c r="JC304" t="s">
        <v>1043</v>
      </c>
      <c r="JE304">
        <v>0</v>
      </c>
      <c r="JF304">
        <v>0</v>
      </c>
      <c r="JI304" t="s">
        <v>1042</v>
      </c>
      <c r="JJ304">
        <v>0</v>
      </c>
      <c r="JK304">
        <v>0</v>
      </c>
      <c r="JL304">
        <v>0</v>
      </c>
      <c r="JM304">
        <v>0</v>
      </c>
      <c r="JQ304" t="s">
        <v>1043</v>
      </c>
      <c r="JT304">
        <v>0</v>
      </c>
      <c r="JU304" t="s">
        <v>1042</v>
      </c>
      <c r="JW304">
        <v>0</v>
      </c>
      <c r="KA304">
        <v>0</v>
      </c>
      <c r="KF304">
        <v>0</v>
      </c>
      <c r="KG304">
        <v>0</v>
      </c>
      <c r="KH304">
        <v>0</v>
      </c>
      <c r="KI304">
        <v>0</v>
      </c>
      <c r="KS304" t="s">
        <v>1073</v>
      </c>
      <c r="KT304">
        <v>0</v>
      </c>
      <c r="KU304">
        <v>0</v>
      </c>
      <c r="KV304">
        <v>0</v>
      </c>
      <c r="KX304">
        <v>0</v>
      </c>
      <c r="KZ304">
        <v>0</v>
      </c>
      <c r="LF304">
        <v>0</v>
      </c>
      <c r="LH304">
        <v>0</v>
      </c>
      <c r="LI304">
        <v>0</v>
      </c>
    </row>
    <row r="305" spans="1:321" x14ac:dyDescent="0.35">
      <c r="A305">
        <v>1</v>
      </c>
      <c r="B305">
        <v>12524</v>
      </c>
      <c r="C305" t="s">
        <v>1391</v>
      </c>
      <c r="D305" t="s">
        <v>1139</v>
      </c>
      <c r="E305" t="s">
        <v>587</v>
      </c>
      <c r="F305">
        <v>80</v>
      </c>
      <c r="G305">
        <v>9000</v>
      </c>
      <c r="H305">
        <v>0</v>
      </c>
      <c r="I305" t="s">
        <v>1390</v>
      </c>
      <c r="L305">
        <v>0</v>
      </c>
      <c r="M305">
        <v>0</v>
      </c>
      <c r="N305">
        <v>0</v>
      </c>
      <c r="R305">
        <v>0</v>
      </c>
      <c r="S305">
        <v>0</v>
      </c>
      <c r="W305" t="s">
        <v>1060</v>
      </c>
      <c r="X305">
        <v>0</v>
      </c>
      <c r="Z305">
        <v>1</v>
      </c>
      <c r="AA305">
        <v>0</v>
      </c>
      <c r="AB305">
        <v>0</v>
      </c>
      <c r="AC305">
        <v>52.619599999999998</v>
      </c>
      <c r="AD305" s="20">
        <v>40793</v>
      </c>
      <c r="AE305">
        <v>50.62</v>
      </c>
      <c r="AF305">
        <v>0</v>
      </c>
      <c r="AH305">
        <v>0</v>
      </c>
      <c r="AJ305">
        <v>0</v>
      </c>
      <c r="AL305">
        <v>0</v>
      </c>
      <c r="AM305">
        <v>0</v>
      </c>
      <c r="AN305">
        <v>16601001</v>
      </c>
      <c r="AO305">
        <v>0</v>
      </c>
      <c r="AP305">
        <v>1000</v>
      </c>
      <c r="AT305">
        <v>0</v>
      </c>
      <c r="AU305" t="s">
        <v>1059</v>
      </c>
      <c r="AW305" t="s">
        <v>1053</v>
      </c>
      <c r="AX305">
        <v>0</v>
      </c>
      <c r="AY305" s="20">
        <v>40793</v>
      </c>
      <c r="BA305" s="20">
        <v>40793</v>
      </c>
      <c r="BB305" t="s">
        <v>1058</v>
      </c>
      <c r="BD305">
        <v>0</v>
      </c>
      <c r="BF305" t="s">
        <v>1043</v>
      </c>
      <c r="BG305" t="s">
        <v>1042</v>
      </c>
      <c r="BH305">
        <v>0</v>
      </c>
      <c r="BI305">
        <v>1</v>
      </c>
      <c r="BJ305">
        <v>0</v>
      </c>
      <c r="BK305">
        <v>0</v>
      </c>
      <c r="BM305" t="s">
        <v>1042</v>
      </c>
      <c r="BN305">
        <v>0</v>
      </c>
      <c r="BR305" t="s">
        <v>1043</v>
      </c>
      <c r="BS305" t="s">
        <v>1043</v>
      </c>
      <c r="BT305" t="s">
        <v>1043</v>
      </c>
      <c r="BW305">
        <v>83</v>
      </c>
      <c r="CA305">
        <v>0</v>
      </c>
      <c r="CB305" t="s">
        <v>1057</v>
      </c>
      <c r="CE305" t="s">
        <v>1043</v>
      </c>
      <c r="CH305" t="s">
        <v>1043</v>
      </c>
      <c r="CN305" t="s">
        <v>1056</v>
      </c>
      <c r="CO305" t="s">
        <v>1043</v>
      </c>
      <c r="CP305">
        <v>1</v>
      </c>
      <c r="CQ305">
        <v>0</v>
      </c>
      <c r="CS305">
        <v>0</v>
      </c>
      <c r="CT305">
        <v>0</v>
      </c>
      <c r="CU305">
        <v>0</v>
      </c>
      <c r="CV305" t="s">
        <v>1045</v>
      </c>
      <c r="CW305">
        <v>0</v>
      </c>
      <c r="CX305">
        <v>0</v>
      </c>
      <c r="CY305">
        <v>0</v>
      </c>
      <c r="CZ305">
        <v>0</v>
      </c>
      <c r="DB305">
        <v>0</v>
      </c>
      <c r="DC305" t="s">
        <v>1043</v>
      </c>
      <c r="DF305" t="s">
        <v>1055</v>
      </c>
      <c r="DH305">
        <v>0</v>
      </c>
      <c r="DJ305">
        <v>0</v>
      </c>
      <c r="DK305" t="s">
        <v>1053</v>
      </c>
      <c r="DL305">
        <v>0</v>
      </c>
      <c r="DN305">
        <v>0</v>
      </c>
      <c r="DO305" t="s">
        <v>1042</v>
      </c>
      <c r="DP305">
        <v>0</v>
      </c>
      <c r="DQ305">
        <v>0</v>
      </c>
      <c r="DS305">
        <v>0</v>
      </c>
      <c r="DU305">
        <v>0</v>
      </c>
      <c r="DW305">
        <v>0</v>
      </c>
      <c r="DX305" t="s">
        <v>1043</v>
      </c>
      <c r="DY305">
        <v>0</v>
      </c>
      <c r="DZ305">
        <v>0</v>
      </c>
      <c r="EA305">
        <v>0</v>
      </c>
      <c r="ED305" t="s">
        <v>1045</v>
      </c>
      <c r="EE305">
        <v>0</v>
      </c>
      <c r="EF305">
        <v>0</v>
      </c>
      <c r="EQ305" t="s">
        <v>1044</v>
      </c>
      <c r="ES305" t="s">
        <v>1053</v>
      </c>
      <c r="ET305">
        <v>0</v>
      </c>
      <c r="EV305">
        <v>0</v>
      </c>
      <c r="EY305" t="s">
        <v>1052</v>
      </c>
      <c r="EZ305">
        <v>0</v>
      </c>
      <c r="FA305" t="s">
        <v>1043</v>
      </c>
      <c r="FB305">
        <v>0</v>
      </c>
      <c r="FC305">
        <v>0</v>
      </c>
      <c r="FE305" t="s">
        <v>1050</v>
      </c>
      <c r="FF305">
        <v>0</v>
      </c>
      <c r="FG305" t="s">
        <v>1050</v>
      </c>
      <c r="FJ305">
        <v>0</v>
      </c>
      <c r="FK305">
        <v>0</v>
      </c>
      <c r="FP305">
        <v>0</v>
      </c>
      <c r="FR305">
        <v>0</v>
      </c>
      <c r="FS305" t="s">
        <v>1043</v>
      </c>
      <c r="FX305" t="s">
        <v>1042</v>
      </c>
      <c r="FZ305" t="s">
        <v>1048</v>
      </c>
      <c r="GA305">
        <v>0</v>
      </c>
      <c r="GB305" t="s">
        <v>1042</v>
      </c>
      <c r="GE305">
        <v>0</v>
      </c>
      <c r="GG305">
        <v>0</v>
      </c>
      <c r="GN305">
        <v>0</v>
      </c>
      <c r="GO305" t="s">
        <v>1063</v>
      </c>
      <c r="GQ305">
        <v>0</v>
      </c>
      <c r="GU305">
        <v>0</v>
      </c>
      <c r="GY305" t="s">
        <v>1045</v>
      </c>
      <c r="HB305">
        <v>0</v>
      </c>
      <c r="HE305">
        <v>0</v>
      </c>
      <c r="HF305">
        <v>0</v>
      </c>
      <c r="HG305">
        <v>0</v>
      </c>
      <c r="HK305" t="s">
        <v>1042</v>
      </c>
      <c r="HM305" t="s">
        <v>1047</v>
      </c>
      <c r="HN305">
        <v>0</v>
      </c>
      <c r="HP305">
        <v>0</v>
      </c>
      <c r="HQ305">
        <v>0</v>
      </c>
      <c r="HR305" t="s">
        <v>1042</v>
      </c>
      <c r="HS305" t="s">
        <v>1043</v>
      </c>
      <c r="HT305">
        <v>0</v>
      </c>
      <c r="HU305">
        <v>0</v>
      </c>
      <c r="HW305">
        <v>0</v>
      </c>
      <c r="HX305">
        <v>0</v>
      </c>
      <c r="HY305">
        <v>0</v>
      </c>
      <c r="HZ305" t="s">
        <v>1045</v>
      </c>
      <c r="IA305">
        <v>0</v>
      </c>
      <c r="IB305" t="s">
        <v>1045</v>
      </c>
      <c r="ID305" t="s">
        <v>1045</v>
      </c>
      <c r="IF305">
        <v>0</v>
      </c>
      <c r="IG305" t="s">
        <v>1042</v>
      </c>
      <c r="II305" t="s">
        <v>1042</v>
      </c>
      <c r="IR305" t="s">
        <v>1045</v>
      </c>
      <c r="IT305">
        <v>0</v>
      </c>
      <c r="IY305" t="s">
        <v>1044</v>
      </c>
      <c r="IZ305" t="s">
        <v>1043</v>
      </c>
      <c r="JC305" t="s">
        <v>1043</v>
      </c>
      <c r="JE305">
        <v>0</v>
      </c>
      <c r="JF305">
        <v>0</v>
      </c>
      <c r="JI305" t="s">
        <v>1042</v>
      </c>
      <c r="JJ305">
        <v>0</v>
      </c>
      <c r="JK305">
        <v>0</v>
      </c>
      <c r="JL305">
        <v>0</v>
      </c>
      <c r="JM305">
        <v>0</v>
      </c>
      <c r="JQ305" t="s">
        <v>1043</v>
      </c>
      <c r="JT305">
        <v>0</v>
      </c>
      <c r="JU305" t="s">
        <v>1042</v>
      </c>
      <c r="JW305">
        <v>0</v>
      </c>
      <c r="KA305">
        <v>0</v>
      </c>
      <c r="KF305">
        <v>0</v>
      </c>
      <c r="KG305">
        <v>0</v>
      </c>
      <c r="KH305">
        <v>0</v>
      </c>
      <c r="KI305">
        <v>0</v>
      </c>
      <c r="KS305" t="s">
        <v>1073</v>
      </c>
      <c r="KT305">
        <v>0</v>
      </c>
      <c r="KU305">
        <v>0</v>
      </c>
      <c r="KV305">
        <v>0</v>
      </c>
      <c r="KX305">
        <v>0</v>
      </c>
      <c r="KZ305">
        <v>0</v>
      </c>
      <c r="LF305">
        <v>0</v>
      </c>
      <c r="LH305">
        <v>0</v>
      </c>
      <c r="LI305">
        <v>0</v>
      </c>
    </row>
    <row r="306" spans="1:321" x14ac:dyDescent="0.35">
      <c r="A306">
        <v>1</v>
      </c>
      <c r="B306">
        <v>12525</v>
      </c>
      <c r="C306" t="s">
        <v>1389</v>
      </c>
      <c r="D306" t="s">
        <v>1139</v>
      </c>
      <c r="E306" t="s">
        <v>85</v>
      </c>
      <c r="F306">
        <v>80</v>
      </c>
      <c r="G306">
        <v>9000</v>
      </c>
      <c r="H306">
        <v>0</v>
      </c>
      <c r="I306" t="s">
        <v>1333</v>
      </c>
      <c r="L306">
        <v>0</v>
      </c>
      <c r="M306">
        <v>3.25</v>
      </c>
      <c r="N306">
        <v>0</v>
      </c>
      <c r="R306">
        <v>0</v>
      </c>
      <c r="S306">
        <v>0</v>
      </c>
      <c r="W306" t="s">
        <v>1060</v>
      </c>
      <c r="X306">
        <v>0</v>
      </c>
      <c r="Z306">
        <v>1</v>
      </c>
      <c r="AA306">
        <v>0</v>
      </c>
      <c r="AB306">
        <v>0</v>
      </c>
      <c r="AC306">
        <v>47.744999999999997</v>
      </c>
      <c r="AD306" s="20">
        <v>40891</v>
      </c>
      <c r="AE306">
        <v>51.67</v>
      </c>
      <c r="AF306">
        <v>0</v>
      </c>
      <c r="AH306">
        <v>0</v>
      </c>
      <c r="AJ306">
        <v>0</v>
      </c>
      <c r="AL306">
        <v>1</v>
      </c>
      <c r="AM306">
        <v>0</v>
      </c>
      <c r="AN306">
        <v>16601001</v>
      </c>
      <c r="AO306">
        <v>0</v>
      </c>
      <c r="AP306">
        <v>1000</v>
      </c>
      <c r="AT306">
        <v>0</v>
      </c>
      <c r="AU306" t="s">
        <v>1059</v>
      </c>
      <c r="AW306" t="s">
        <v>1053</v>
      </c>
      <c r="AX306">
        <v>0</v>
      </c>
      <c r="AY306" s="20">
        <v>40891</v>
      </c>
      <c r="BA306" s="20">
        <v>40794</v>
      </c>
      <c r="BB306" t="s">
        <v>1058</v>
      </c>
      <c r="BD306">
        <v>0</v>
      </c>
      <c r="BF306" t="s">
        <v>1043</v>
      </c>
      <c r="BG306" t="s">
        <v>1042</v>
      </c>
      <c r="BH306">
        <v>0</v>
      </c>
      <c r="BI306">
        <v>1</v>
      </c>
      <c r="BJ306">
        <v>0</v>
      </c>
      <c r="BK306">
        <v>0</v>
      </c>
      <c r="BM306" t="s">
        <v>1042</v>
      </c>
      <c r="BN306">
        <v>0</v>
      </c>
      <c r="BR306" t="s">
        <v>1043</v>
      </c>
      <c r="BS306" t="s">
        <v>1043</v>
      </c>
      <c r="BT306" t="s">
        <v>1043</v>
      </c>
      <c r="BW306">
        <v>83</v>
      </c>
      <c r="CA306">
        <v>0</v>
      </c>
      <c r="CB306" t="s">
        <v>1057</v>
      </c>
      <c r="CE306" t="s">
        <v>1043</v>
      </c>
      <c r="CH306" t="s">
        <v>1043</v>
      </c>
      <c r="CN306" t="s">
        <v>1056</v>
      </c>
      <c r="CO306" t="s">
        <v>1043</v>
      </c>
      <c r="CP306">
        <v>1</v>
      </c>
      <c r="CQ306">
        <v>0</v>
      </c>
      <c r="CS306">
        <v>0</v>
      </c>
      <c r="CT306">
        <v>0</v>
      </c>
      <c r="CU306">
        <v>0</v>
      </c>
      <c r="CV306" t="s">
        <v>1045</v>
      </c>
      <c r="CW306">
        <v>0</v>
      </c>
      <c r="CX306">
        <v>0</v>
      </c>
      <c r="CY306">
        <v>0</v>
      </c>
      <c r="CZ306">
        <v>0</v>
      </c>
      <c r="DB306">
        <v>0</v>
      </c>
      <c r="DC306" t="s">
        <v>1043</v>
      </c>
      <c r="DF306" t="s">
        <v>1055</v>
      </c>
      <c r="DH306">
        <v>0</v>
      </c>
      <c r="DJ306">
        <v>0</v>
      </c>
      <c r="DK306" t="s">
        <v>1053</v>
      </c>
      <c r="DL306">
        <v>0</v>
      </c>
      <c r="DN306">
        <v>0</v>
      </c>
      <c r="DO306" t="s">
        <v>1042</v>
      </c>
      <c r="DP306">
        <v>0</v>
      </c>
      <c r="DQ306">
        <v>0</v>
      </c>
      <c r="DS306">
        <v>0</v>
      </c>
      <c r="DU306">
        <v>0</v>
      </c>
      <c r="DW306">
        <v>0</v>
      </c>
      <c r="DX306" t="s">
        <v>1043</v>
      </c>
      <c r="DY306">
        <v>0</v>
      </c>
      <c r="DZ306">
        <v>0</v>
      </c>
      <c r="EA306">
        <v>0</v>
      </c>
      <c r="ED306" t="s">
        <v>1045</v>
      </c>
      <c r="EE306">
        <v>0</v>
      </c>
      <c r="EF306">
        <v>0</v>
      </c>
      <c r="EQ306" t="s">
        <v>1044</v>
      </c>
      <c r="ES306" t="s">
        <v>1053</v>
      </c>
      <c r="ET306">
        <v>0</v>
      </c>
      <c r="EV306">
        <v>0</v>
      </c>
      <c r="EY306" t="s">
        <v>1052</v>
      </c>
      <c r="EZ306">
        <v>0</v>
      </c>
      <c r="FA306" t="s">
        <v>1043</v>
      </c>
      <c r="FB306">
        <v>0</v>
      </c>
      <c r="FC306">
        <v>0</v>
      </c>
      <c r="FE306" t="s">
        <v>1050</v>
      </c>
      <c r="FF306">
        <v>0</v>
      </c>
      <c r="FG306" t="s">
        <v>1050</v>
      </c>
      <c r="FJ306">
        <v>0</v>
      </c>
      <c r="FK306">
        <v>0</v>
      </c>
      <c r="FP306">
        <v>0</v>
      </c>
      <c r="FR306">
        <v>0</v>
      </c>
      <c r="FS306" t="s">
        <v>1043</v>
      </c>
      <c r="FX306" t="s">
        <v>1042</v>
      </c>
      <c r="FZ306" t="s">
        <v>1048</v>
      </c>
      <c r="GA306">
        <v>0</v>
      </c>
      <c r="GB306" t="s">
        <v>1042</v>
      </c>
      <c r="GE306">
        <v>0</v>
      </c>
      <c r="GG306">
        <v>0</v>
      </c>
      <c r="GN306">
        <v>0</v>
      </c>
      <c r="GO306" t="s">
        <v>1063</v>
      </c>
      <c r="GQ306">
        <v>0</v>
      </c>
      <c r="GU306">
        <v>0</v>
      </c>
      <c r="GY306" t="s">
        <v>1045</v>
      </c>
      <c r="HB306">
        <v>0</v>
      </c>
      <c r="HE306">
        <v>0</v>
      </c>
      <c r="HF306">
        <v>0</v>
      </c>
      <c r="HG306">
        <v>0</v>
      </c>
      <c r="HK306" t="s">
        <v>1042</v>
      </c>
      <c r="HM306" t="s">
        <v>1047</v>
      </c>
      <c r="HN306">
        <v>0</v>
      </c>
      <c r="HP306">
        <v>0</v>
      </c>
      <c r="HQ306">
        <v>0</v>
      </c>
      <c r="HR306" s="20">
        <v>44221</v>
      </c>
      <c r="HS306" t="s">
        <v>1043</v>
      </c>
      <c r="HT306">
        <v>0</v>
      </c>
      <c r="HU306">
        <v>0</v>
      </c>
      <c r="HW306">
        <v>0</v>
      </c>
      <c r="HX306">
        <v>0</v>
      </c>
      <c r="HY306">
        <v>0</v>
      </c>
      <c r="HZ306" t="s">
        <v>1045</v>
      </c>
      <c r="IA306">
        <v>0</v>
      </c>
      <c r="IB306" t="s">
        <v>1045</v>
      </c>
      <c r="ID306" t="s">
        <v>1045</v>
      </c>
      <c r="IF306">
        <v>0</v>
      </c>
      <c r="IG306" t="s">
        <v>1042</v>
      </c>
      <c r="II306" t="s">
        <v>1042</v>
      </c>
      <c r="IR306" t="s">
        <v>1045</v>
      </c>
      <c r="IT306">
        <v>0</v>
      </c>
      <c r="IY306" t="s">
        <v>1044</v>
      </c>
      <c r="IZ306" t="s">
        <v>1043</v>
      </c>
      <c r="JC306" t="s">
        <v>1043</v>
      </c>
      <c r="JE306">
        <v>0</v>
      </c>
      <c r="JF306">
        <v>0</v>
      </c>
      <c r="JI306" t="s">
        <v>1042</v>
      </c>
      <c r="JJ306">
        <v>0</v>
      </c>
      <c r="JK306">
        <v>0</v>
      </c>
      <c r="JL306">
        <v>0</v>
      </c>
      <c r="JM306">
        <v>0</v>
      </c>
      <c r="JQ306" t="s">
        <v>1043</v>
      </c>
      <c r="JT306">
        <v>0</v>
      </c>
      <c r="JU306" t="s">
        <v>1042</v>
      </c>
      <c r="JW306">
        <v>0</v>
      </c>
      <c r="KA306">
        <v>0</v>
      </c>
      <c r="KF306">
        <v>0</v>
      </c>
      <c r="KG306">
        <v>0</v>
      </c>
      <c r="KH306">
        <v>0</v>
      </c>
      <c r="KI306">
        <v>0</v>
      </c>
      <c r="KS306" t="s">
        <v>1073</v>
      </c>
      <c r="KT306">
        <v>0</v>
      </c>
      <c r="KU306">
        <v>0</v>
      </c>
      <c r="KV306">
        <v>0</v>
      </c>
      <c r="KX306">
        <v>0</v>
      </c>
      <c r="KZ306">
        <v>0</v>
      </c>
      <c r="LF306">
        <v>0</v>
      </c>
      <c r="LH306">
        <v>0</v>
      </c>
      <c r="LI306">
        <v>0</v>
      </c>
    </row>
    <row r="307" spans="1:321" x14ac:dyDescent="0.35">
      <c r="A307">
        <v>1</v>
      </c>
      <c r="B307">
        <v>12526</v>
      </c>
      <c r="C307" t="s">
        <v>1388</v>
      </c>
      <c r="D307" t="s">
        <v>1139</v>
      </c>
      <c r="E307" t="s">
        <v>85</v>
      </c>
      <c r="F307">
        <v>80</v>
      </c>
      <c r="G307">
        <v>9000</v>
      </c>
      <c r="H307">
        <v>0</v>
      </c>
      <c r="I307" t="s">
        <v>1333</v>
      </c>
      <c r="L307">
        <v>0</v>
      </c>
      <c r="M307">
        <v>3.25</v>
      </c>
      <c r="N307">
        <v>0</v>
      </c>
      <c r="R307">
        <v>0</v>
      </c>
      <c r="S307">
        <v>0</v>
      </c>
      <c r="W307" t="s">
        <v>1060</v>
      </c>
      <c r="X307">
        <v>0</v>
      </c>
      <c r="Z307">
        <v>1</v>
      </c>
      <c r="AA307">
        <v>0</v>
      </c>
      <c r="AB307">
        <v>0</v>
      </c>
      <c r="AC307">
        <v>41.018300000000004</v>
      </c>
      <c r="AD307" s="20">
        <v>42382</v>
      </c>
      <c r="AE307">
        <v>44.39</v>
      </c>
      <c r="AF307">
        <v>0</v>
      </c>
      <c r="AH307">
        <v>0</v>
      </c>
      <c r="AJ307">
        <v>0</v>
      </c>
      <c r="AL307">
        <v>1</v>
      </c>
      <c r="AM307">
        <v>0</v>
      </c>
      <c r="AN307">
        <v>16601001</v>
      </c>
      <c r="AO307">
        <v>0</v>
      </c>
      <c r="AP307">
        <v>1000</v>
      </c>
      <c r="AT307">
        <v>0</v>
      </c>
      <c r="AU307" t="s">
        <v>1059</v>
      </c>
      <c r="AW307" t="s">
        <v>1053</v>
      </c>
      <c r="AX307">
        <v>0</v>
      </c>
      <c r="AY307" s="20">
        <v>42382</v>
      </c>
      <c r="BA307" s="20">
        <v>40794</v>
      </c>
      <c r="BB307" t="s">
        <v>1058</v>
      </c>
      <c r="BD307">
        <v>0</v>
      </c>
      <c r="BF307" t="s">
        <v>1043</v>
      </c>
      <c r="BG307" t="s">
        <v>1042</v>
      </c>
      <c r="BH307">
        <v>0</v>
      </c>
      <c r="BI307">
        <v>1</v>
      </c>
      <c r="BJ307">
        <v>0</v>
      </c>
      <c r="BK307">
        <v>0</v>
      </c>
      <c r="BM307" t="s">
        <v>1042</v>
      </c>
      <c r="BN307">
        <v>0</v>
      </c>
      <c r="BO307">
        <v>3457801121965</v>
      </c>
      <c r="BR307" t="s">
        <v>1043</v>
      </c>
      <c r="BS307" t="s">
        <v>1043</v>
      </c>
      <c r="BT307" t="s">
        <v>1043</v>
      </c>
      <c r="BW307">
        <v>83</v>
      </c>
      <c r="CA307">
        <v>0</v>
      </c>
      <c r="CB307" t="s">
        <v>1057</v>
      </c>
      <c r="CE307" t="s">
        <v>1043</v>
      </c>
      <c r="CH307" t="s">
        <v>1043</v>
      </c>
      <c r="CN307" t="s">
        <v>1056</v>
      </c>
      <c r="CO307" t="s">
        <v>1043</v>
      </c>
      <c r="CP307">
        <v>1</v>
      </c>
      <c r="CQ307">
        <v>0</v>
      </c>
      <c r="CS307">
        <v>0</v>
      </c>
      <c r="CT307">
        <v>0</v>
      </c>
      <c r="CU307">
        <v>0</v>
      </c>
      <c r="CV307" t="s">
        <v>1045</v>
      </c>
      <c r="CW307">
        <v>0</v>
      </c>
      <c r="CX307">
        <v>0</v>
      </c>
      <c r="CY307">
        <v>0</v>
      </c>
      <c r="CZ307">
        <v>0</v>
      </c>
      <c r="DB307">
        <v>0</v>
      </c>
      <c r="DC307" t="s">
        <v>1043</v>
      </c>
      <c r="DF307" t="s">
        <v>1055</v>
      </c>
      <c r="DH307">
        <v>0</v>
      </c>
      <c r="DJ307">
        <v>0</v>
      </c>
      <c r="DK307" t="s">
        <v>1053</v>
      </c>
      <c r="DL307">
        <v>0</v>
      </c>
      <c r="DN307">
        <v>0</v>
      </c>
      <c r="DO307" t="s">
        <v>1042</v>
      </c>
      <c r="DP307">
        <v>0</v>
      </c>
      <c r="DQ307">
        <v>0</v>
      </c>
      <c r="DS307">
        <v>0</v>
      </c>
      <c r="DU307">
        <v>0</v>
      </c>
      <c r="DW307">
        <v>0</v>
      </c>
      <c r="DX307" t="s">
        <v>1043</v>
      </c>
      <c r="DY307">
        <v>0</v>
      </c>
      <c r="DZ307">
        <v>0</v>
      </c>
      <c r="EA307">
        <v>0</v>
      </c>
      <c r="ED307" t="s">
        <v>1045</v>
      </c>
      <c r="EE307">
        <v>0</v>
      </c>
      <c r="EF307">
        <v>0</v>
      </c>
      <c r="EQ307" t="s">
        <v>1044</v>
      </c>
      <c r="ES307" t="s">
        <v>1053</v>
      </c>
      <c r="ET307">
        <v>0</v>
      </c>
      <c r="EV307">
        <v>0</v>
      </c>
      <c r="EY307" t="s">
        <v>1052</v>
      </c>
      <c r="EZ307">
        <v>0</v>
      </c>
      <c r="FA307" t="s">
        <v>1043</v>
      </c>
      <c r="FB307">
        <v>0</v>
      </c>
      <c r="FC307">
        <v>0</v>
      </c>
      <c r="FE307" t="s">
        <v>1050</v>
      </c>
      <c r="FF307">
        <v>0</v>
      </c>
      <c r="FG307" t="s">
        <v>1050</v>
      </c>
      <c r="FJ307">
        <v>0</v>
      </c>
      <c r="FK307">
        <v>0</v>
      </c>
      <c r="FP307">
        <v>0</v>
      </c>
      <c r="FR307">
        <v>0</v>
      </c>
      <c r="FS307" t="s">
        <v>1043</v>
      </c>
      <c r="FX307" t="s">
        <v>1042</v>
      </c>
      <c r="FZ307" t="s">
        <v>1048</v>
      </c>
      <c r="GA307">
        <v>0</v>
      </c>
      <c r="GB307" t="s">
        <v>1042</v>
      </c>
      <c r="GE307">
        <v>0</v>
      </c>
      <c r="GG307">
        <v>0</v>
      </c>
      <c r="GN307">
        <v>0</v>
      </c>
      <c r="GO307" t="s">
        <v>1063</v>
      </c>
      <c r="GQ307">
        <v>0</v>
      </c>
      <c r="GU307">
        <v>0</v>
      </c>
      <c r="GY307" t="s">
        <v>1045</v>
      </c>
      <c r="HB307">
        <v>0</v>
      </c>
      <c r="HE307">
        <v>0</v>
      </c>
      <c r="HF307">
        <v>0</v>
      </c>
      <c r="HG307">
        <v>0</v>
      </c>
      <c r="HK307" t="s">
        <v>1042</v>
      </c>
      <c r="HM307" t="s">
        <v>1047</v>
      </c>
      <c r="HN307">
        <v>0</v>
      </c>
      <c r="HP307">
        <v>0</v>
      </c>
      <c r="HQ307">
        <v>0</v>
      </c>
      <c r="HR307" s="20">
        <v>44221</v>
      </c>
      <c r="HS307" t="s">
        <v>1043</v>
      </c>
      <c r="HT307">
        <v>0</v>
      </c>
      <c r="HU307">
        <v>0</v>
      </c>
      <c r="HW307">
        <v>0</v>
      </c>
      <c r="HX307">
        <v>0</v>
      </c>
      <c r="HY307">
        <v>0</v>
      </c>
      <c r="HZ307" t="s">
        <v>1045</v>
      </c>
      <c r="IA307">
        <v>0</v>
      </c>
      <c r="IB307" t="s">
        <v>1045</v>
      </c>
      <c r="ID307" t="s">
        <v>1045</v>
      </c>
      <c r="IF307">
        <v>0</v>
      </c>
      <c r="IG307" t="s">
        <v>1042</v>
      </c>
      <c r="II307" t="s">
        <v>1042</v>
      </c>
      <c r="IR307" t="s">
        <v>1045</v>
      </c>
      <c r="IT307">
        <v>0</v>
      </c>
      <c r="IY307" t="s">
        <v>1044</v>
      </c>
      <c r="IZ307" t="s">
        <v>1043</v>
      </c>
      <c r="JC307" t="s">
        <v>1043</v>
      </c>
      <c r="JE307">
        <v>0</v>
      </c>
      <c r="JF307">
        <v>0</v>
      </c>
      <c r="JI307" t="s">
        <v>1042</v>
      </c>
      <c r="JJ307">
        <v>0</v>
      </c>
      <c r="JK307">
        <v>0</v>
      </c>
      <c r="JL307">
        <v>0</v>
      </c>
      <c r="JM307">
        <v>0</v>
      </c>
      <c r="JQ307" t="s">
        <v>1043</v>
      </c>
      <c r="JT307">
        <v>0</v>
      </c>
      <c r="JU307" t="s">
        <v>1042</v>
      </c>
      <c r="JW307">
        <v>0</v>
      </c>
      <c r="KA307">
        <v>0</v>
      </c>
      <c r="KF307">
        <v>0</v>
      </c>
      <c r="KG307">
        <v>0</v>
      </c>
      <c r="KH307">
        <v>0</v>
      </c>
      <c r="KI307">
        <v>0</v>
      </c>
      <c r="KS307" t="s">
        <v>1073</v>
      </c>
      <c r="KT307">
        <v>0</v>
      </c>
      <c r="KU307">
        <v>0</v>
      </c>
      <c r="KV307">
        <v>0</v>
      </c>
      <c r="KX307">
        <v>0</v>
      </c>
      <c r="KZ307">
        <v>0</v>
      </c>
      <c r="LF307">
        <v>0</v>
      </c>
      <c r="LH307">
        <v>0</v>
      </c>
      <c r="LI307">
        <v>0</v>
      </c>
    </row>
    <row r="308" spans="1:321" x14ac:dyDescent="0.35">
      <c r="A308">
        <v>1</v>
      </c>
      <c r="B308">
        <v>12527</v>
      </c>
      <c r="C308" t="s">
        <v>1387</v>
      </c>
      <c r="D308" t="s">
        <v>1139</v>
      </c>
      <c r="E308" t="s">
        <v>85</v>
      </c>
      <c r="F308">
        <v>80</v>
      </c>
      <c r="G308">
        <v>9000</v>
      </c>
      <c r="H308">
        <v>0</v>
      </c>
      <c r="I308" t="s">
        <v>1050</v>
      </c>
      <c r="L308">
        <v>0</v>
      </c>
      <c r="M308">
        <v>3.25</v>
      </c>
      <c r="N308">
        <v>0</v>
      </c>
      <c r="R308">
        <v>0</v>
      </c>
      <c r="S308">
        <v>0</v>
      </c>
      <c r="W308" t="s">
        <v>1060</v>
      </c>
      <c r="X308">
        <v>0</v>
      </c>
      <c r="Z308">
        <v>1</v>
      </c>
      <c r="AA308">
        <v>0</v>
      </c>
      <c r="AB308">
        <v>0</v>
      </c>
      <c r="AC308">
        <v>0</v>
      </c>
      <c r="AD308" s="20">
        <v>40794</v>
      </c>
      <c r="AE308">
        <v>113.92</v>
      </c>
      <c r="AF308">
        <v>0</v>
      </c>
      <c r="AH308">
        <v>0</v>
      </c>
      <c r="AJ308">
        <v>0</v>
      </c>
      <c r="AL308">
        <v>0</v>
      </c>
      <c r="AM308">
        <v>0</v>
      </c>
      <c r="AN308">
        <v>16601001</v>
      </c>
      <c r="AO308">
        <v>0</v>
      </c>
      <c r="AP308">
        <v>1000</v>
      </c>
      <c r="AT308">
        <v>0</v>
      </c>
      <c r="AU308" t="s">
        <v>1059</v>
      </c>
      <c r="AW308" t="s">
        <v>1053</v>
      </c>
      <c r="AX308">
        <v>0</v>
      </c>
      <c r="AY308" s="20">
        <v>40794</v>
      </c>
      <c r="BA308" s="20">
        <v>40794</v>
      </c>
      <c r="BB308" t="s">
        <v>1058</v>
      </c>
      <c r="BD308">
        <v>0</v>
      </c>
      <c r="BF308" t="s">
        <v>1043</v>
      </c>
      <c r="BG308" t="s">
        <v>1042</v>
      </c>
      <c r="BH308">
        <v>0</v>
      </c>
      <c r="BI308">
        <v>1</v>
      </c>
      <c r="BJ308">
        <v>0</v>
      </c>
      <c r="BK308">
        <v>0</v>
      </c>
      <c r="BM308" t="s">
        <v>1042</v>
      </c>
      <c r="BN308">
        <v>0</v>
      </c>
      <c r="BR308" t="s">
        <v>1043</v>
      </c>
      <c r="BS308" t="s">
        <v>1043</v>
      </c>
      <c r="BT308" t="s">
        <v>1043</v>
      </c>
      <c r="BW308">
        <v>83</v>
      </c>
      <c r="CA308">
        <v>0</v>
      </c>
      <c r="CB308" t="s">
        <v>1057</v>
      </c>
      <c r="CE308" t="s">
        <v>1043</v>
      </c>
      <c r="CH308" t="s">
        <v>1043</v>
      </c>
      <c r="CN308" t="s">
        <v>1056</v>
      </c>
      <c r="CO308" t="s">
        <v>1043</v>
      </c>
      <c r="CP308">
        <v>1</v>
      </c>
      <c r="CQ308">
        <v>0</v>
      </c>
      <c r="CS308">
        <v>0</v>
      </c>
      <c r="CT308">
        <v>0</v>
      </c>
      <c r="CU308">
        <v>0</v>
      </c>
      <c r="CV308" t="s">
        <v>1045</v>
      </c>
      <c r="CW308">
        <v>0</v>
      </c>
      <c r="CX308">
        <v>0</v>
      </c>
      <c r="CY308">
        <v>0</v>
      </c>
      <c r="CZ308">
        <v>0</v>
      </c>
      <c r="DB308">
        <v>0</v>
      </c>
      <c r="DC308" t="s">
        <v>1043</v>
      </c>
      <c r="DF308" t="s">
        <v>1055</v>
      </c>
      <c r="DH308">
        <v>0</v>
      </c>
      <c r="DJ308">
        <v>0</v>
      </c>
      <c r="DK308" t="s">
        <v>1053</v>
      </c>
      <c r="DL308">
        <v>0</v>
      </c>
      <c r="DN308">
        <v>0</v>
      </c>
      <c r="DO308" t="s">
        <v>1042</v>
      </c>
      <c r="DP308">
        <v>0</v>
      </c>
      <c r="DQ308">
        <v>0</v>
      </c>
      <c r="DS308">
        <v>0</v>
      </c>
      <c r="DU308">
        <v>0</v>
      </c>
      <c r="DW308">
        <v>0</v>
      </c>
      <c r="DX308" t="s">
        <v>1043</v>
      </c>
      <c r="DY308">
        <v>0</v>
      </c>
      <c r="DZ308">
        <v>0</v>
      </c>
      <c r="EA308">
        <v>0</v>
      </c>
      <c r="ED308" t="s">
        <v>1045</v>
      </c>
      <c r="EE308">
        <v>0</v>
      </c>
      <c r="EF308">
        <v>0</v>
      </c>
      <c r="EQ308" t="s">
        <v>1044</v>
      </c>
      <c r="ES308" t="s">
        <v>1053</v>
      </c>
      <c r="ET308">
        <v>0</v>
      </c>
      <c r="EV308">
        <v>0</v>
      </c>
      <c r="EY308" t="s">
        <v>1052</v>
      </c>
      <c r="EZ308">
        <v>0</v>
      </c>
      <c r="FA308" t="s">
        <v>1043</v>
      </c>
      <c r="FB308">
        <v>0</v>
      </c>
      <c r="FC308">
        <v>0</v>
      </c>
      <c r="FE308" t="s">
        <v>1050</v>
      </c>
      <c r="FF308">
        <v>0</v>
      </c>
      <c r="FG308" t="s">
        <v>1050</v>
      </c>
      <c r="FJ308">
        <v>0</v>
      </c>
      <c r="FK308">
        <v>0</v>
      </c>
      <c r="FP308">
        <v>0</v>
      </c>
      <c r="FR308">
        <v>0</v>
      </c>
      <c r="FS308" t="s">
        <v>1043</v>
      </c>
      <c r="FX308" t="s">
        <v>1042</v>
      </c>
      <c r="FZ308" t="s">
        <v>1048</v>
      </c>
      <c r="GA308">
        <v>0</v>
      </c>
      <c r="GB308" t="s">
        <v>1042</v>
      </c>
      <c r="GE308">
        <v>0</v>
      </c>
      <c r="GG308">
        <v>0</v>
      </c>
      <c r="GN308">
        <v>0</v>
      </c>
      <c r="GO308" t="s">
        <v>1063</v>
      </c>
      <c r="GQ308">
        <v>0</v>
      </c>
      <c r="GU308">
        <v>0</v>
      </c>
      <c r="GY308" t="s">
        <v>1045</v>
      </c>
      <c r="HB308">
        <v>0</v>
      </c>
      <c r="HE308">
        <v>0</v>
      </c>
      <c r="HF308">
        <v>0</v>
      </c>
      <c r="HG308">
        <v>0</v>
      </c>
      <c r="HK308" t="s">
        <v>1042</v>
      </c>
      <c r="HM308" t="s">
        <v>1047</v>
      </c>
      <c r="HN308">
        <v>0</v>
      </c>
      <c r="HP308">
        <v>0</v>
      </c>
      <c r="HQ308">
        <v>0</v>
      </c>
      <c r="HR308" t="s">
        <v>1042</v>
      </c>
      <c r="HS308" t="s">
        <v>1043</v>
      </c>
      <c r="HT308">
        <v>0</v>
      </c>
      <c r="HU308">
        <v>0</v>
      </c>
      <c r="HW308">
        <v>0</v>
      </c>
      <c r="HX308">
        <v>0</v>
      </c>
      <c r="HY308">
        <v>0</v>
      </c>
      <c r="HZ308" t="s">
        <v>1045</v>
      </c>
      <c r="IA308">
        <v>0</v>
      </c>
      <c r="IB308" t="s">
        <v>1045</v>
      </c>
      <c r="ID308" t="s">
        <v>1045</v>
      </c>
      <c r="IF308">
        <v>0</v>
      </c>
      <c r="IG308" t="s">
        <v>1042</v>
      </c>
      <c r="II308" t="s">
        <v>1042</v>
      </c>
      <c r="IR308" t="s">
        <v>1045</v>
      </c>
      <c r="IT308">
        <v>0</v>
      </c>
      <c r="IY308" t="s">
        <v>1044</v>
      </c>
      <c r="IZ308" t="s">
        <v>1043</v>
      </c>
      <c r="JC308" t="s">
        <v>1043</v>
      </c>
      <c r="JE308">
        <v>0</v>
      </c>
      <c r="JF308">
        <v>0</v>
      </c>
      <c r="JI308" t="s">
        <v>1042</v>
      </c>
      <c r="JJ308">
        <v>0</v>
      </c>
      <c r="JK308">
        <v>0</v>
      </c>
      <c r="JL308">
        <v>0</v>
      </c>
      <c r="JM308">
        <v>0</v>
      </c>
      <c r="JQ308" t="s">
        <v>1043</v>
      </c>
      <c r="JT308">
        <v>0</v>
      </c>
      <c r="JU308" t="s">
        <v>1042</v>
      </c>
      <c r="JW308">
        <v>0</v>
      </c>
      <c r="KA308">
        <v>0</v>
      </c>
      <c r="KF308">
        <v>0</v>
      </c>
      <c r="KG308">
        <v>0</v>
      </c>
      <c r="KH308">
        <v>0</v>
      </c>
      <c r="KI308">
        <v>0</v>
      </c>
      <c r="KS308" t="s">
        <v>1073</v>
      </c>
      <c r="KT308">
        <v>0</v>
      </c>
      <c r="KU308">
        <v>0</v>
      </c>
      <c r="KV308">
        <v>0</v>
      </c>
      <c r="KX308">
        <v>0</v>
      </c>
      <c r="KZ308">
        <v>0</v>
      </c>
      <c r="LF308">
        <v>0</v>
      </c>
      <c r="LH308">
        <v>0</v>
      </c>
      <c r="LI308">
        <v>0</v>
      </c>
    </row>
    <row r="309" spans="1:321" x14ac:dyDescent="0.35">
      <c r="A309">
        <v>1</v>
      </c>
      <c r="B309">
        <v>12528</v>
      </c>
      <c r="C309" t="s">
        <v>1386</v>
      </c>
      <c r="D309" t="s">
        <v>1139</v>
      </c>
      <c r="E309" t="s">
        <v>85</v>
      </c>
      <c r="F309">
        <v>80</v>
      </c>
      <c r="G309">
        <v>9000</v>
      </c>
      <c r="H309">
        <v>0</v>
      </c>
      <c r="I309" t="s">
        <v>1333</v>
      </c>
      <c r="L309">
        <v>0</v>
      </c>
      <c r="M309">
        <v>3.25</v>
      </c>
      <c r="N309">
        <v>0</v>
      </c>
      <c r="R309">
        <v>0</v>
      </c>
      <c r="S309">
        <v>0</v>
      </c>
      <c r="W309" t="s">
        <v>1060</v>
      </c>
      <c r="X309">
        <v>0</v>
      </c>
      <c r="Z309">
        <v>1</v>
      </c>
      <c r="AA309">
        <v>0</v>
      </c>
      <c r="AB309">
        <v>0</v>
      </c>
      <c r="AC309">
        <v>102.81</v>
      </c>
      <c r="AD309" s="20">
        <v>40891</v>
      </c>
      <c r="AE309">
        <v>111.27</v>
      </c>
      <c r="AF309">
        <v>0</v>
      </c>
      <c r="AH309">
        <v>0</v>
      </c>
      <c r="AJ309">
        <v>0</v>
      </c>
      <c r="AL309">
        <v>1</v>
      </c>
      <c r="AM309">
        <v>0</v>
      </c>
      <c r="AN309">
        <v>16601001</v>
      </c>
      <c r="AO309">
        <v>0</v>
      </c>
      <c r="AP309">
        <v>1000</v>
      </c>
      <c r="AT309">
        <v>0</v>
      </c>
      <c r="AU309" t="s">
        <v>1059</v>
      </c>
      <c r="AW309" t="s">
        <v>1053</v>
      </c>
      <c r="AX309">
        <v>0</v>
      </c>
      <c r="AY309" s="20">
        <v>40891</v>
      </c>
      <c r="BA309" s="20">
        <v>40794</v>
      </c>
      <c r="BB309" t="s">
        <v>1058</v>
      </c>
      <c r="BD309">
        <v>0</v>
      </c>
      <c r="BF309" t="s">
        <v>1043</v>
      </c>
      <c r="BG309" t="s">
        <v>1042</v>
      </c>
      <c r="BH309">
        <v>0</v>
      </c>
      <c r="BI309">
        <v>1</v>
      </c>
      <c r="BJ309">
        <v>0</v>
      </c>
      <c r="BK309">
        <v>0</v>
      </c>
      <c r="BM309" t="s">
        <v>1042</v>
      </c>
      <c r="BN309">
        <v>0</v>
      </c>
      <c r="BR309" t="s">
        <v>1043</v>
      </c>
      <c r="BS309" t="s">
        <v>1043</v>
      </c>
      <c r="BT309" t="s">
        <v>1043</v>
      </c>
      <c r="BW309">
        <v>83</v>
      </c>
      <c r="CA309">
        <v>0</v>
      </c>
      <c r="CB309" t="s">
        <v>1057</v>
      </c>
      <c r="CE309" t="s">
        <v>1043</v>
      </c>
      <c r="CH309" t="s">
        <v>1043</v>
      </c>
      <c r="CN309" t="s">
        <v>1056</v>
      </c>
      <c r="CO309" t="s">
        <v>1043</v>
      </c>
      <c r="CP309">
        <v>1</v>
      </c>
      <c r="CQ309">
        <v>0</v>
      </c>
      <c r="CS309">
        <v>0</v>
      </c>
      <c r="CT309">
        <v>0</v>
      </c>
      <c r="CU309">
        <v>0</v>
      </c>
      <c r="CV309" t="s">
        <v>1045</v>
      </c>
      <c r="CW309">
        <v>0</v>
      </c>
      <c r="CX309">
        <v>0</v>
      </c>
      <c r="CY309">
        <v>0</v>
      </c>
      <c r="CZ309">
        <v>0</v>
      </c>
      <c r="DB309">
        <v>0</v>
      </c>
      <c r="DC309" t="s">
        <v>1043</v>
      </c>
      <c r="DF309" t="s">
        <v>1055</v>
      </c>
      <c r="DH309">
        <v>0</v>
      </c>
      <c r="DJ309">
        <v>0</v>
      </c>
      <c r="DK309" t="s">
        <v>1053</v>
      </c>
      <c r="DL309">
        <v>0</v>
      </c>
      <c r="DN309">
        <v>0</v>
      </c>
      <c r="DO309" t="s">
        <v>1042</v>
      </c>
      <c r="DP309">
        <v>0</v>
      </c>
      <c r="DQ309">
        <v>0</v>
      </c>
      <c r="DS309">
        <v>0</v>
      </c>
      <c r="DU309">
        <v>0</v>
      </c>
      <c r="DW309">
        <v>0</v>
      </c>
      <c r="DX309" t="s">
        <v>1043</v>
      </c>
      <c r="DY309">
        <v>0</v>
      </c>
      <c r="DZ309">
        <v>0</v>
      </c>
      <c r="EA309">
        <v>0</v>
      </c>
      <c r="ED309" t="s">
        <v>1045</v>
      </c>
      <c r="EE309">
        <v>0</v>
      </c>
      <c r="EF309">
        <v>0</v>
      </c>
      <c r="EQ309" t="s">
        <v>1044</v>
      </c>
      <c r="ES309" t="s">
        <v>1053</v>
      </c>
      <c r="ET309">
        <v>0</v>
      </c>
      <c r="EV309">
        <v>0</v>
      </c>
      <c r="EY309" t="s">
        <v>1052</v>
      </c>
      <c r="EZ309">
        <v>0</v>
      </c>
      <c r="FA309" t="s">
        <v>1043</v>
      </c>
      <c r="FB309">
        <v>0</v>
      </c>
      <c r="FC309">
        <v>0</v>
      </c>
      <c r="FE309" t="s">
        <v>1050</v>
      </c>
      <c r="FF309">
        <v>0</v>
      </c>
      <c r="FG309" t="s">
        <v>1050</v>
      </c>
      <c r="FJ309">
        <v>0</v>
      </c>
      <c r="FK309">
        <v>0</v>
      </c>
      <c r="FP309">
        <v>0</v>
      </c>
      <c r="FR309">
        <v>0</v>
      </c>
      <c r="FS309" t="s">
        <v>1043</v>
      </c>
      <c r="FX309" t="s">
        <v>1042</v>
      </c>
      <c r="FZ309" t="s">
        <v>1048</v>
      </c>
      <c r="GA309">
        <v>0</v>
      </c>
      <c r="GB309" t="s">
        <v>1042</v>
      </c>
      <c r="GE309">
        <v>0</v>
      </c>
      <c r="GG309">
        <v>0</v>
      </c>
      <c r="GN309">
        <v>0</v>
      </c>
      <c r="GO309" t="s">
        <v>1063</v>
      </c>
      <c r="GQ309">
        <v>0</v>
      </c>
      <c r="GU309">
        <v>0</v>
      </c>
      <c r="GY309" t="s">
        <v>1045</v>
      </c>
      <c r="HB309">
        <v>0</v>
      </c>
      <c r="HE309">
        <v>0</v>
      </c>
      <c r="HF309">
        <v>0</v>
      </c>
      <c r="HG309">
        <v>0</v>
      </c>
      <c r="HK309" t="s">
        <v>1042</v>
      </c>
      <c r="HM309" t="s">
        <v>1047</v>
      </c>
      <c r="HN309">
        <v>0</v>
      </c>
      <c r="HP309">
        <v>0</v>
      </c>
      <c r="HQ309">
        <v>0</v>
      </c>
      <c r="HR309" s="20">
        <v>44221</v>
      </c>
      <c r="HS309" t="s">
        <v>1043</v>
      </c>
      <c r="HT309">
        <v>0</v>
      </c>
      <c r="HU309">
        <v>0</v>
      </c>
      <c r="HW309">
        <v>0</v>
      </c>
      <c r="HX309">
        <v>0</v>
      </c>
      <c r="HY309">
        <v>0</v>
      </c>
      <c r="HZ309" t="s">
        <v>1045</v>
      </c>
      <c r="IA309">
        <v>0</v>
      </c>
      <c r="IB309" t="s">
        <v>1045</v>
      </c>
      <c r="ID309" t="s">
        <v>1045</v>
      </c>
      <c r="IF309">
        <v>0</v>
      </c>
      <c r="IG309" t="s">
        <v>1042</v>
      </c>
      <c r="II309" t="s">
        <v>1042</v>
      </c>
      <c r="IR309" t="s">
        <v>1045</v>
      </c>
      <c r="IT309">
        <v>0</v>
      </c>
      <c r="IY309" t="s">
        <v>1044</v>
      </c>
      <c r="IZ309" t="s">
        <v>1043</v>
      </c>
      <c r="JC309" t="s">
        <v>1043</v>
      </c>
      <c r="JE309">
        <v>0</v>
      </c>
      <c r="JF309">
        <v>0</v>
      </c>
      <c r="JI309" t="s">
        <v>1042</v>
      </c>
      <c r="JJ309">
        <v>0</v>
      </c>
      <c r="JK309">
        <v>0</v>
      </c>
      <c r="JL309">
        <v>0</v>
      </c>
      <c r="JM309">
        <v>0</v>
      </c>
      <c r="JQ309" t="s">
        <v>1043</v>
      </c>
      <c r="JT309">
        <v>0</v>
      </c>
      <c r="JU309" t="s">
        <v>1042</v>
      </c>
      <c r="JW309">
        <v>0</v>
      </c>
      <c r="KA309">
        <v>0</v>
      </c>
      <c r="KF309">
        <v>0</v>
      </c>
      <c r="KG309">
        <v>0</v>
      </c>
      <c r="KH309">
        <v>0</v>
      </c>
      <c r="KI309">
        <v>0</v>
      </c>
      <c r="KS309" t="s">
        <v>1073</v>
      </c>
      <c r="KT309">
        <v>0</v>
      </c>
      <c r="KU309">
        <v>0</v>
      </c>
      <c r="KV309">
        <v>0</v>
      </c>
      <c r="KX309">
        <v>0</v>
      </c>
      <c r="KZ309">
        <v>0</v>
      </c>
      <c r="LF309">
        <v>0</v>
      </c>
      <c r="LH309">
        <v>0</v>
      </c>
      <c r="LI309">
        <v>0</v>
      </c>
    </row>
    <row r="310" spans="1:321" x14ac:dyDescent="0.35">
      <c r="A310">
        <v>1</v>
      </c>
      <c r="B310">
        <v>12529</v>
      </c>
      <c r="C310" t="s">
        <v>1385</v>
      </c>
      <c r="D310" t="s">
        <v>1139</v>
      </c>
      <c r="E310" t="s">
        <v>85</v>
      </c>
      <c r="F310">
        <v>80</v>
      </c>
      <c r="G310">
        <v>9000</v>
      </c>
      <c r="H310">
        <v>0</v>
      </c>
      <c r="I310" t="s">
        <v>1333</v>
      </c>
      <c r="L310">
        <v>0</v>
      </c>
      <c r="M310">
        <v>3.25</v>
      </c>
      <c r="N310">
        <v>0</v>
      </c>
      <c r="R310">
        <v>0</v>
      </c>
      <c r="S310">
        <v>0</v>
      </c>
      <c r="W310" t="s">
        <v>1060</v>
      </c>
      <c r="X310">
        <v>0</v>
      </c>
      <c r="Z310">
        <v>1</v>
      </c>
      <c r="AA310">
        <v>0</v>
      </c>
      <c r="AB310">
        <v>0</v>
      </c>
      <c r="AC310">
        <v>102.81</v>
      </c>
      <c r="AD310" s="20">
        <v>40891</v>
      </c>
      <c r="AE310">
        <v>111.27</v>
      </c>
      <c r="AF310">
        <v>0</v>
      </c>
      <c r="AH310">
        <v>0</v>
      </c>
      <c r="AJ310">
        <v>0</v>
      </c>
      <c r="AL310">
        <v>1</v>
      </c>
      <c r="AM310">
        <v>0</v>
      </c>
      <c r="AN310">
        <v>16601001</v>
      </c>
      <c r="AO310">
        <v>0</v>
      </c>
      <c r="AP310">
        <v>1000</v>
      </c>
      <c r="AT310">
        <v>0</v>
      </c>
      <c r="AU310" t="s">
        <v>1059</v>
      </c>
      <c r="AW310" t="s">
        <v>1053</v>
      </c>
      <c r="AX310">
        <v>0</v>
      </c>
      <c r="AY310" s="20">
        <v>40891</v>
      </c>
      <c r="BA310" s="20">
        <v>40794</v>
      </c>
      <c r="BB310" t="s">
        <v>1058</v>
      </c>
      <c r="BD310">
        <v>0</v>
      </c>
      <c r="BF310" t="s">
        <v>1043</v>
      </c>
      <c r="BG310" t="s">
        <v>1042</v>
      </c>
      <c r="BH310">
        <v>0</v>
      </c>
      <c r="BI310">
        <v>1</v>
      </c>
      <c r="BJ310">
        <v>0</v>
      </c>
      <c r="BK310">
        <v>0</v>
      </c>
      <c r="BM310" t="s">
        <v>1042</v>
      </c>
      <c r="BN310">
        <v>0</v>
      </c>
      <c r="BR310" t="s">
        <v>1043</v>
      </c>
      <c r="BS310" t="s">
        <v>1043</v>
      </c>
      <c r="BT310" t="s">
        <v>1043</v>
      </c>
      <c r="BW310">
        <v>83</v>
      </c>
      <c r="CA310">
        <v>0</v>
      </c>
      <c r="CB310" t="s">
        <v>1057</v>
      </c>
      <c r="CE310" t="s">
        <v>1043</v>
      </c>
      <c r="CH310" t="s">
        <v>1043</v>
      </c>
      <c r="CN310" t="s">
        <v>1056</v>
      </c>
      <c r="CO310" t="s">
        <v>1043</v>
      </c>
      <c r="CP310">
        <v>1</v>
      </c>
      <c r="CQ310">
        <v>0</v>
      </c>
      <c r="CS310">
        <v>0</v>
      </c>
      <c r="CT310">
        <v>0</v>
      </c>
      <c r="CU310">
        <v>0</v>
      </c>
      <c r="CV310" t="s">
        <v>1045</v>
      </c>
      <c r="CW310">
        <v>0</v>
      </c>
      <c r="CX310">
        <v>0</v>
      </c>
      <c r="CY310">
        <v>0</v>
      </c>
      <c r="CZ310">
        <v>0</v>
      </c>
      <c r="DB310">
        <v>0</v>
      </c>
      <c r="DC310" t="s">
        <v>1043</v>
      </c>
      <c r="DF310" t="s">
        <v>1055</v>
      </c>
      <c r="DH310">
        <v>0</v>
      </c>
      <c r="DJ310">
        <v>0</v>
      </c>
      <c r="DK310" t="s">
        <v>1053</v>
      </c>
      <c r="DL310">
        <v>0</v>
      </c>
      <c r="DN310">
        <v>0</v>
      </c>
      <c r="DO310" t="s">
        <v>1042</v>
      </c>
      <c r="DP310">
        <v>0</v>
      </c>
      <c r="DQ310">
        <v>0</v>
      </c>
      <c r="DS310">
        <v>0</v>
      </c>
      <c r="DU310">
        <v>0</v>
      </c>
      <c r="DW310">
        <v>0</v>
      </c>
      <c r="DX310" t="s">
        <v>1043</v>
      </c>
      <c r="DY310">
        <v>0</v>
      </c>
      <c r="DZ310">
        <v>0</v>
      </c>
      <c r="EA310">
        <v>0</v>
      </c>
      <c r="ED310" t="s">
        <v>1045</v>
      </c>
      <c r="EE310">
        <v>0</v>
      </c>
      <c r="EF310">
        <v>0</v>
      </c>
      <c r="EQ310" t="s">
        <v>1044</v>
      </c>
      <c r="ES310" t="s">
        <v>1053</v>
      </c>
      <c r="ET310">
        <v>0</v>
      </c>
      <c r="EV310">
        <v>0</v>
      </c>
      <c r="EY310" t="s">
        <v>1052</v>
      </c>
      <c r="EZ310">
        <v>0</v>
      </c>
      <c r="FA310" t="s">
        <v>1043</v>
      </c>
      <c r="FB310">
        <v>0</v>
      </c>
      <c r="FC310">
        <v>0</v>
      </c>
      <c r="FE310" t="s">
        <v>1050</v>
      </c>
      <c r="FF310">
        <v>0</v>
      </c>
      <c r="FG310" t="s">
        <v>1050</v>
      </c>
      <c r="FJ310">
        <v>0</v>
      </c>
      <c r="FK310">
        <v>0</v>
      </c>
      <c r="FP310">
        <v>0</v>
      </c>
      <c r="FR310">
        <v>0</v>
      </c>
      <c r="FS310" t="s">
        <v>1043</v>
      </c>
      <c r="FX310" t="s">
        <v>1042</v>
      </c>
      <c r="FZ310" t="s">
        <v>1048</v>
      </c>
      <c r="GA310">
        <v>0</v>
      </c>
      <c r="GB310" t="s">
        <v>1042</v>
      </c>
      <c r="GE310">
        <v>0</v>
      </c>
      <c r="GG310">
        <v>0</v>
      </c>
      <c r="GN310">
        <v>0</v>
      </c>
      <c r="GO310" t="s">
        <v>1063</v>
      </c>
      <c r="GQ310">
        <v>0</v>
      </c>
      <c r="GU310">
        <v>0</v>
      </c>
      <c r="GY310" t="s">
        <v>1045</v>
      </c>
      <c r="HB310">
        <v>0</v>
      </c>
      <c r="HE310">
        <v>0</v>
      </c>
      <c r="HF310">
        <v>0</v>
      </c>
      <c r="HG310">
        <v>0</v>
      </c>
      <c r="HK310" t="s">
        <v>1042</v>
      </c>
      <c r="HM310" t="s">
        <v>1047</v>
      </c>
      <c r="HN310">
        <v>0</v>
      </c>
      <c r="HP310">
        <v>0</v>
      </c>
      <c r="HQ310">
        <v>0</v>
      </c>
      <c r="HR310" s="20">
        <v>44221</v>
      </c>
      <c r="HS310" t="s">
        <v>1043</v>
      </c>
      <c r="HT310">
        <v>0</v>
      </c>
      <c r="HU310">
        <v>0</v>
      </c>
      <c r="HW310">
        <v>0</v>
      </c>
      <c r="HX310">
        <v>0</v>
      </c>
      <c r="HY310">
        <v>0</v>
      </c>
      <c r="HZ310" t="s">
        <v>1045</v>
      </c>
      <c r="IA310">
        <v>0</v>
      </c>
      <c r="IB310" t="s">
        <v>1045</v>
      </c>
      <c r="ID310" t="s">
        <v>1045</v>
      </c>
      <c r="IF310">
        <v>0</v>
      </c>
      <c r="IG310" t="s">
        <v>1042</v>
      </c>
      <c r="II310" t="s">
        <v>1042</v>
      </c>
      <c r="IR310" t="s">
        <v>1045</v>
      </c>
      <c r="IT310">
        <v>0</v>
      </c>
      <c r="IY310" t="s">
        <v>1044</v>
      </c>
      <c r="IZ310" t="s">
        <v>1043</v>
      </c>
      <c r="JC310" t="s">
        <v>1043</v>
      </c>
      <c r="JE310">
        <v>0</v>
      </c>
      <c r="JF310">
        <v>0</v>
      </c>
      <c r="JI310" t="s">
        <v>1042</v>
      </c>
      <c r="JJ310">
        <v>0</v>
      </c>
      <c r="JK310">
        <v>0</v>
      </c>
      <c r="JL310">
        <v>0</v>
      </c>
      <c r="JM310">
        <v>0</v>
      </c>
      <c r="JQ310" t="s">
        <v>1043</v>
      </c>
      <c r="JT310">
        <v>0</v>
      </c>
      <c r="JU310" t="s">
        <v>1042</v>
      </c>
      <c r="JW310">
        <v>0</v>
      </c>
      <c r="KA310">
        <v>0</v>
      </c>
      <c r="KF310">
        <v>0</v>
      </c>
      <c r="KG310">
        <v>0</v>
      </c>
      <c r="KH310">
        <v>0</v>
      </c>
      <c r="KI310">
        <v>0</v>
      </c>
      <c r="KS310" t="s">
        <v>1073</v>
      </c>
      <c r="KT310">
        <v>0</v>
      </c>
      <c r="KU310">
        <v>0</v>
      </c>
      <c r="KV310">
        <v>0</v>
      </c>
      <c r="KX310">
        <v>0</v>
      </c>
      <c r="KZ310">
        <v>0</v>
      </c>
      <c r="LF310">
        <v>0</v>
      </c>
      <c r="LH310">
        <v>0</v>
      </c>
      <c r="LI310">
        <v>0</v>
      </c>
    </row>
    <row r="311" spans="1:321" x14ac:dyDescent="0.35">
      <c r="A311">
        <v>1</v>
      </c>
      <c r="B311" t="s">
        <v>1384</v>
      </c>
      <c r="C311" t="s">
        <v>642</v>
      </c>
      <c r="D311" t="s">
        <v>1064</v>
      </c>
      <c r="E311" t="s">
        <v>85</v>
      </c>
      <c r="F311">
        <v>15</v>
      </c>
      <c r="G311">
        <v>240</v>
      </c>
      <c r="H311">
        <v>0</v>
      </c>
      <c r="I311" t="s">
        <v>994</v>
      </c>
      <c r="L311">
        <v>0</v>
      </c>
      <c r="M311">
        <v>0</v>
      </c>
      <c r="N311">
        <v>0</v>
      </c>
      <c r="Q311">
        <v>516</v>
      </c>
      <c r="R311">
        <v>0</v>
      </c>
      <c r="S311">
        <v>0</v>
      </c>
      <c r="W311" t="s">
        <v>1060</v>
      </c>
      <c r="X311">
        <v>0</v>
      </c>
      <c r="Z311">
        <v>30</v>
      </c>
      <c r="AA311">
        <v>3.6720000000000002</v>
      </c>
      <c r="AB311">
        <v>0</v>
      </c>
      <c r="AC311">
        <v>8.5000000000000006E-2</v>
      </c>
      <c r="AD311" t="s">
        <v>1042</v>
      </c>
      <c r="AE311">
        <v>0</v>
      </c>
      <c r="AF311">
        <v>1.52E-2</v>
      </c>
      <c r="AH311">
        <v>0</v>
      </c>
      <c r="AJ311">
        <v>1</v>
      </c>
      <c r="AK311" t="s">
        <v>1154</v>
      </c>
      <c r="AL311">
        <v>3390</v>
      </c>
      <c r="AM311">
        <v>4431</v>
      </c>
      <c r="AN311">
        <v>11501002</v>
      </c>
      <c r="AO311">
        <v>0</v>
      </c>
      <c r="AP311">
        <v>2720</v>
      </c>
      <c r="AT311">
        <v>1</v>
      </c>
      <c r="AU311" t="s">
        <v>1059</v>
      </c>
      <c r="AV311" t="s">
        <v>1043</v>
      </c>
      <c r="AW311" t="s">
        <v>1053</v>
      </c>
      <c r="AX311">
        <v>0</v>
      </c>
      <c r="AY311" s="20">
        <v>43754</v>
      </c>
      <c r="BA311" s="20">
        <v>44529</v>
      </c>
      <c r="BB311" t="s">
        <v>1058</v>
      </c>
      <c r="BD311">
        <v>0</v>
      </c>
      <c r="BF311" t="s">
        <v>1044</v>
      </c>
      <c r="BG311" t="s">
        <v>1042</v>
      </c>
      <c r="BH311">
        <v>0</v>
      </c>
      <c r="BI311">
        <v>21</v>
      </c>
      <c r="BJ311">
        <v>0</v>
      </c>
      <c r="BK311">
        <v>0</v>
      </c>
      <c r="BM311" s="20">
        <v>43755</v>
      </c>
      <c r="BN311">
        <v>0</v>
      </c>
      <c r="BO311">
        <v>3578010027463</v>
      </c>
      <c r="BR311" t="s">
        <v>1043</v>
      </c>
      <c r="BS311" t="s">
        <v>1043</v>
      </c>
      <c r="BT311" t="s">
        <v>1043</v>
      </c>
      <c r="BV311">
        <v>1</v>
      </c>
      <c r="BW311">
        <v>2</v>
      </c>
      <c r="BY311">
        <v>67</v>
      </c>
      <c r="CA311">
        <v>0</v>
      </c>
      <c r="CB311" t="s">
        <v>1043</v>
      </c>
      <c r="CE311" t="s">
        <v>1043</v>
      </c>
      <c r="CH311" t="s">
        <v>1043</v>
      </c>
      <c r="CI311" t="s">
        <v>1383</v>
      </c>
      <c r="CK311" t="s">
        <v>1152</v>
      </c>
      <c r="CN311" t="s">
        <v>1056</v>
      </c>
      <c r="CP311">
        <v>1</v>
      </c>
      <c r="CQ311">
        <v>40</v>
      </c>
      <c r="CS311">
        <v>0</v>
      </c>
      <c r="CT311">
        <v>0</v>
      </c>
      <c r="CU311">
        <v>0</v>
      </c>
      <c r="CV311" t="s">
        <v>1045</v>
      </c>
      <c r="CW311">
        <v>0</v>
      </c>
      <c r="CX311">
        <v>0</v>
      </c>
      <c r="CY311">
        <v>0</v>
      </c>
      <c r="CZ311">
        <v>0</v>
      </c>
      <c r="DA311">
        <v>1</v>
      </c>
      <c r="DB311">
        <v>1500</v>
      </c>
      <c r="DH311">
        <v>0</v>
      </c>
      <c r="DJ311">
        <v>0</v>
      </c>
      <c r="DL311">
        <v>0</v>
      </c>
      <c r="DN311">
        <v>0</v>
      </c>
      <c r="DO311" t="s">
        <v>1042</v>
      </c>
      <c r="DP311">
        <v>0</v>
      </c>
      <c r="DQ311">
        <v>7.6</v>
      </c>
      <c r="DS311">
        <v>0</v>
      </c>
      <c r="DU311">
        <v>1.65</v>
      </c>
      <c r="DW311">
        <v>0</v>
      </c>
      <c r="DY311">
        <v>0</v>
      </c>
      <c r="DZ311">
        <v>0</v>
      </c>
      <c r="EA311">
        <v>0</v>
      </c>
      <c r="EB311">
        <v>13578010027460</v>
      </c>
      <c r="EE311">
        <v>0</v>
      </c>
      <c r="EF311">
        <v>0</v>
      </c>
      <c r="EL311">
        <v>53578010027468</v>
      </c>
      <c r="EN311" t="s">
        <v>1012</v>
      </c>
      <c r="ET311">
        <v>0</v>
      </c>
      <c r="EV311">
        <v>0</v>
      </c>
      <c r="EY311" t="s">
        <v>1052</v>
      </c>
      <c r="EZ311">
        <v>0</v>
      </c>
      <c r="FA311" t="s">
        <v>1043</v>
      </c>
      <c r="FB311">
        <v>0</v>
      </c>
      <c r="FC311">
        <v>0</v>
      </c>
      <c r="FD311" t="s">
        <v>1051</v>
      </c>
      <c r="FE311" t="s">
        <v>1050</v>
      </c>
      <c r="FF311">
        <v>900</v>
      </c>
      <c r="FG311" t="s">
        <v>1050</v>
      </c>
      <c r="FH311">
        <v>23578010027467</v>
      </c>
      <c r="FJ311">
        <v>0</v>
      </c>
      <c r="FK311">
        <v>0</v>
      </c>
      <c r="FP311">
        <v>0</v>
      </c>
      <c r="FR311">
        <v>0</v>
      </c>
      <c r="FS311" t="s">
        <v>1043</v>
      </c>
      <c r="FX311" t="s">
        <v>1042</v>
      </c>
      <c r="GA311">
        <v>0</v>
      </c>
      <c r="GB311" t="s">
        <v>1042</v>
      </c>
      <c r="GD311">
        <v>16</v>
      </c>
      <c r="GE311">
        <v>0</v>
      </c>
      <c r="GG311">
        <v>0</v>
      </c>
      <c r="GN311">
        <v>0</v>
      </c>
      <c r="GO311" t="s">
        <v>1063</v>
      </c>
      <c r="GQ311">
        <v>0</v>
      </c>
      <c r="GU311">
        <v>0</v>
      </c>
      <c r="GY311" t="s">
        <v>1045</v>
      </c>
      <c r="HB311">
        <v>0</v>
      </c>
      <c r="HE311">
        <v>10</v>
      </c>
      <c r="HF311">
        <v>0</v>
      </c>
      <c r="HG311">
        <v>3.4299999999999999E-3</v>
      </c>
      <c r="HK311" t="s">
        <v>1042</v>
      </c>
      <c r="HL311" t="s">
        <v>1048</v>
      </c>
      <c r="HM311">
        <v>0</v>
      </c>
      <c r="HN311">
        <v>0</v>
      </c>
      <c r="HP311">
        <v>1.52E-2</v>
      </c>
      <c r="HQ311">
        <v>0</v>
      </c>
      <c r="HR311" t="s">
        <v>1042</v>
      </c>
      <c r="HT311">
        <v>0</v>
      </c>
      <c r="HU311">
        <v>0</v>
      </c>
      <c r="HW311">
        <v>0</v>
      </c>
      <c r="HX311">
        <v>0</v>
      </c>
      <c r="HY311">
        <v>0</v>
      </c>
      <c r="IA311">
        <v>0</v>
      </c>
      <c r="IF311">
        <v>9000</v>
      </c>
      <c r="IG311" s="20">
        <v>40478</v>
      </c>
      <c r="IH311" t="s">
        <v>1046</v>
      </c>
      <c r="II311" t="s">
        <v>1042</v>
      </c>
      <c r="IR311" t="s">
        <v>1045</v>
      </c>
      <c r="IT311">
        <v>0</v>
      </c>
      <c r="JE311">
        <v>0</v>
      </c>
      <c r="JF311">
        <v>0</v>
      </c>
      <c r="JI311" t="s">
        <v>1042</v>
      </c>
      <c r="JJ311">
        <v>0</v>
      </c>
      <c r="JK311">
        <v>0</v>
      </c>
      <c r="JL311">
        <v>0</v>
      </c>
      <c r="JM311">
        <v>0</v>
      </c>
      <c r="JT311">
        <v>0</v>
      </c>
      <c r="JU311" t="s">
        <v>1042</v>
      </c>
      <c r="JW311">
        <v>0</v>
      </c>
      <c r="KA311">
        <v>0</v>
      </c>
      <c r="KF311">
        <v>0</v>
      </c>
      <c r="KG311">
        <v>0</v>
      </c>
      <c r="KH311">
        <v>0</v>
      </c>
      <c r="KI311">
        <v>0</v>
      </c>
      <c r="KS311" t="s">
        <v>1041</v>
      </c>
      <c r="KT311">
        <v>0</v>
      </c>
      <c r="KU311">
        <v>0</v>
      </c>
      <c r="KV311">
        <v>0</v>
      </c>
      <c r="KX311">
        <v>0</v>
      </c>
      <c r="KZ311">
        <v>0</v>
      </c>
      <c r="LF311">
        <v>0</v>
      </c>
      <c r="LH311">
        <v>0</v>
      </c>
      <c r="LI311">
        <v>0</v>
      </c>
    </row>
    <row r="312" spans="1:321" x14ac:dyDescent="0.35">
      <c r="A312">
        <v>1</v>
      </c>
      <c r="B312">
        <v>12530</v>
      </c>
      <c r="C312" t="s">
        <v>1382</v>
      </c>
      <c r="D312" t="s">
        <v>1139</v>
      </c>
      <c r="E312" t="s">
        <v>85</v>
      </c>
      <c r="F312">
        <v>80</v>
      </c>
      <c r="G312">
        <v>9000</v>
      </c>
      <c r="H312">
        <v>0</v>
      </c>
      <c r="I312" t="s">
        <v>1050</v>
      </c>
      <c r="L312">
        <v>0</v>
      </c>
      <c r="M312">
        <v>3.25</v>
      </c>
      <c r="N312">
        <v>0</v>
      </c>
      <c r="R312">
        <v>0</v>
      </c>
      <c r="S312">
        <v>0</v>
      </c>
      <c r="W312" t="s">
        <v>1060</v>
      </c>
      <c r="X312">
        <v>0</v>
      </c>
      <c r="Z312">
        <v>1</v>
      </c>
      <c r="AA312">
        <v>0</v>
      </c>
      <c r="AB312">
        <v>0</v>
      </c>
      <c r="AC312">
        <v>0</v>
      </c>
      <c r="AD312" s="20">
        <v>40794</v>
      </c>
      <c r="AE312">
        <v>190.63</v>
      </c>
      <c r="AF312">
        <v>0</v>
      </c>
      <c r="AH312">
        <v>0</v>
      </c>
      <c r="AJ312">
        <v>0</v>
      </c>
      <c r="AL312">
        <v>0</v>
      </c>
      <c r="AM312">
        <v>0</v>
      </c>
      <c r="AN312">
        <v>16601001</v>
      </c>
      <c r="AO312">
        <v>0</v>
      </c>
      <c r="AP312">
        <v>1000</v>
      </c>
      <c r="AT312">
        <v>0</v>
      </c>
      <c r="AU312" t="s">
        <v>1059</v>
      </c>
      <c r="AW312" t="s">
        <v>1053</v>
      </c>
      <c r="AX312">
        <v>0</v>
      </c>
      <c r="AY312" s="20">
        <v>40794</v>
      </c>
      <c r="BA312" s="20">
        <v>40794</v>
      </c>
      <c r="BB312" t="s">
        <v>1058</v>
      </c>
      <c r="BD312">
        <v>0</v>
      </c>
      <c r="BF312" t="s">
        <v>1043</v>
      </c>
      <c r="BG312" t="s">
        <v>1042</v>
      </c>
      <c r="BH312">
        <v>0</v>
      </c>
      <c r="BI312">
        <v>1</v>
      </c>
      <c r="BJ312">
        <v>0</v>
      </c>
      <c r="BK312">
        <v>0</v>
      </c>
      <c r="BM312" t="s">
        <v>1042</v>
      </c>
      <c r="BN312">
        <v>0</v>
      </c>
      <c r="BR312" t="s">
        <v>1043</v>
      </c>
      <c r="BS312" t="s">
        <v>1043</v>
      </c>
      <c r="BT312" t="s">
        <v>1043</v>
      </c>
      <c r="BW312">
        <v>83</v>
      </c>
      <c r="CA312">
        <v>0</v>
      </c>
      <c r="CB312" t="s">
        <v>1057</v>
      </c>
      <c r="CE312" t="s">
        <v>1043</v>
      </c>
      <c r="CH312" t="s">
        <v>1043</v>
      </c>
      <c r="CN312" t="s">
        <v>1056</v>
      </c>
      <c r="CO312" t="s">
        <v>1043</v>
      </c>
      <c r="CP312">
        <v>1</v>
      </c>
      <c r="CQ312">
        <v>0</v>
      </c>
      <c r="CS312">
        <v>0</v>
      </c>
      <c r="CT312">
        <v>0</v>
      </c>
      <c r="CU312">
        <v>0</v>
      </c>
      <c r="CV312" t="s">
        <v>1045</v>
      </c>
      <c r="CW312">
        <v>0</v>
      </c>
      <c r="CX312">
        <v>0</v>
      </c>
      <c r="CY312">
        <v>0</v>
      </c>
      <c r="CZ312">
        <v>0</v>
      </c>
      <c r="DB312">
        <v>0</v>
      </c>
      <c r="DC312" t="s">
        <v>1043</v>
      </c>
      <c r="DF312" t="s">
        <v>1055</v>
      </c>
      <c r="DH312">
        <v>0</v>
      </c>
      <c r="DJ312">
        <v>0</v>
      </c>
      <c r="DK312" t="s">
        <v>1053</v>
      </c>
      <c r="DL312">
        <v>0</v>
      </c>
      <c r="DN312">
        <v>0</v>
      </c>
      <c r="DO312" t="s">
        <v>1042</v>
      </c>
      <c r="DP312">
        <v>0</v>
      </c>
      <c r="DQ312">
        <v>0</v>
      </c>
      <c r="DS312">
        <v>0</v>
      </c>
      <c r="DU312">
        <v>0</v>
      </c>
      <c r="DW312">
        <v>0</v>
      </c>
      <c r="DX312" t="s">
        <v>1043</v>
      </c>
      <c r="DY312">
        <v>0</v>
      </c>
      <c r="DZ312">
        <v>0</v>
      </c>
      <c r="EA312">
        <v>0</v>
      </c>
      <c r="ED312" t="s">
        <v>1045</v>
      </c>
      <c r="EE312">
        <v>0</v>
      </c>
      <c r="EF312">
        <v>0</v>
      </c>
      <c r="EQ312" t="s">
        <v>1044</v>
      </c>
      <c r="ES312" t="s">
        <v>1053</v>
      </c>
      <c r="ET312">
        <v>0</v>
      </c>
      <c r="EV312">
        <v>0</v>
      </c>
      <c r="EY312" t="s">
        <v>1052</v>
      </c>
      <c r="EZ312">
        <v>0</v>
      </c>
      <c r="FA312" t="s">
        <v>1043</v>
      </c>
      <c r="FB312">
        <v>0</v>
      </c>
      <c r="FC312">
        <v>0</v>
      </c>
      <c r="FE312" t="s">
        <v>1050</v>
      </c>
      <c r="FF312">
        <v>0</v>
      </c>
      <c r="FG312" t="s">
        <v>1050</v>
      </c>
      <c r="FJ312">
        <v>0</v>
      </c>
      <c r="FK312">
        <v>0</v>
      </c>
      <c r="FP312">
        <v>0</v>
      </c>
      <c r="FR312">
        <v>0</v>
      </c>
      <c r="FS312" t="s">
        <v>1043</v>
      </c>
      <c r="FX312" t="s">
        <v>1042</v>
      </c>
      <c r="FZ312" t="s">
        <v>1048</v>
      </c>
      <c r="GA312">
        <v>0</v>
      </c>
      <c r="GB312" t="s">
        <v>1042</v>
      </c>
      <c r="GE312">
        <v>0</v>
      </c>
      <c r="GG312">
        <v>0</v>
      </c>
      <c r="GN312">
        <v>0</v>
      </c>
      <c r="GO312" t="s">
        <v>1063</v>
      </c>
      <c r="GQ312">
        <v>0</v>
      </c>
      <c r="GU312">
        <v>0</v>
      </c>
      <c r="GY312" t="s">
        <v>1045</v>
      </c>
      <c r="HB312">
        <v>0</v>
      </c>
      <c r="HE312">
        <v>0</v>
      </c>
      <c r="HF312">
        <v>0</v>
      </c>
      <c r="HG312">
        <v>0</v>
      </c>
      <c r="HK312" t="s">
        <v>1042</v>
      </c>
      <c r="HM312" t="s">
        <v>1047</v>
      </c>
      <c r="HN312">
        <v>0</v>
      </c>
      <c r="HP312">
        <v>0</v>
      </c>
      <c r="HQ312">
        <v>0</v>
      </c>
      <c r="HR312" t="s">
        <v>1042</v>
      </c>
      <c r="HS312" t="s">
        <v>1043</v>
      </c>
      <c r="HT312">
        <v>0</v>
      </c>
      <c r="HU312">
        <v>0</v>
      </c>
      <c r="HW312">
        <v>0</v>
      </c>
      <c r="HX312">
        <v>0</v>
      </c>
      <c r="HY312">
        <v>0</v>
      </c>
      <c r="HZ312" t="s">
        <v>1045</v>
      </c>
      <c r="IA312">
        <v>0</v>
      </c>
      <c r="IB312" t="s">
        <v>1045</v>
      </c>
      <c r="ID312" t="s">
        <v>1045</v>
      </c>
      <c r="IF312">
        <v>0</v>
      </c>
      <c r="IG312" t="s">
        <v>1042</v>
      </c>
      <c r="II312" t="s">
        <v>1042</v>
      </c>
      <c r="IR312" t="s">
        <v>1045</v>
      </c>
      <c r="IT312">
        <v>0</v>
      </c>
      <c r="IY312" t="s">
        <v>1044</v>
      </c>
      <c r="IZ312" t="s">
        <v>1043</v>
      </c>
      <c r="JC312" t="s">
        <v>1043</v>
      </c>
      <c r="JE312">
        <v>0</v>
      </c>
      <c r="JF312">
        <v>0</v>
      </c>
      <c r="JI312" t="s">
        <v>1042</v>
      </c>
      <c r="JJ312">
        <v>0</v>
      </c>
      <c r="JK312">
        <v>0</v>
      </c>
      <c r="JL312">
        <v>0</v>
      </c>
      <c r="JM312">
        <v>0</v>
      </c>
      <c r="JQ312" t="s">
        <v>1043</v>
      </c>
      <c r="JT312">
        <v>0</v>
      </c>
      <c r="JU312" t="s">
        <v>1042</v>
      </c>
      <c r="JW312">
        <v>0</v>
      </c>
      <c r="KA312">
        <v>0</v>
      </c>
      <c r="KF312">
        <v>0</v>
      </c>
      <c r="KG312">
        <v>0</v>
      </c>
      <c r="KH312">
        <v>0</v>
      </c>
      <c r="KI312">
        <v>0</v>
      </c>
      <c r="KS312" t="s">
        <v>1073</v>
      </c>
      <c r="KT312">
        <v>0</v>
      </c>
      <c r="KU312">
        <v>0</v>
      </c>
      <c r="KV312">
        <v>0</v>
      </c>
      <c r="KX312">
        <v>0</v>
      </c>
      <c r="KZ312">
        <v>0</v>
      </c>
      <c r="LF312">
        <v>0</v>
      </c>
      <c r="LH312">
        <v>0</v>
      </c>
      <c r="LI312">
        <v>0</v>
      </c>
    </row>
    <row r="313" spans="1:321" x14ac:dyDescent="0.35">
      <c r="A313">
        <v>1</v>
      </c>
      <c r="B313">
        <v>12531</v>
      </c>
      <c r="C313" t="s">
        <v>1381</v>
      </c>
      <c r="D313" t="s">
        <v>1139</v>
      </c>
      <c r="E313" t="s">
        <v>85</v>
      </c>
      <c r="F313">
        <v>80</v>
      </c>
      <c r="G313">
        <v>9000</v>
      </c>
      <c r="H313">
        <v>0</v>
      </c>
      <c r="I313" t="s">
        <v>1050</v>
      </c>
      <c r="L313">
        <v>0</v>
      </c>
      <c r="M313">
        <v>3.25</v>
      </c>
      <c r="N313">
        <v>0</v>
      </c>
      <c r="R313">
        <v>0</v>
      </c>
      <c r="S313">
        <v>0</v>
      </c>
      <c r="W313" t="s">
        <v>1060</v>
      </c>
      <c r="X313">
        <v>0</v>
      </c>
      <c r="Z313">
        <v>1</v>
      </c>
      <c r="AA313">
        <v>0</v>
      </c>
      <c r="AB313">
        <v>0</v>
      </c>
      <c r="AC313">
        <v>0</v>
      </c>
      <c r="AD313" s="20">
        <v>40794</v>
      </c>
      <c r="AE313">
        <v>51.29</v>
      </c>
      <c r="AF313">
        <v>0</v>
      </c>
      <c r="AH313">
        <v>0</v>
      </c>
      <c r="AJ313">
        <v>0</v>
      </c>
      <c r="AL313">
        <v>0</v>
      </c>
      <c r="AM313">
        <v>0</v>
      </c>
      <c r="AN313">
        <v>16601001</v>
      </c>
      <c r="AO313">
        <v>0</v>
      </c>
      <c r="AP313">
        <v>1000</v>
      </c>
      <c r="AT313">
        <v>0</v>
      </c>
      <c r="AU313" t="s">
        <v>1059</v>
      </c>
      <c r="AW313" t="s">
        <v>1053</v>
      </c>
      <c r="AX313">
        <v>0</v>
      </c>
      <c r="AY313" s="20">
        <v>40794</v>
      </c>
      <c r="BA313" s="20">
        <v>40794</v>
      </c>
      <c r="BB313" t="s">
        <v>1058</v>
      </c>
      <c r="BD313">
        <v>0</v>
      </c>
      <c r="BF313" t="s">
        <v>1043</v>
      </c>
      <c r="BG313" t="s">
        <v>1042</v>
      </c>
      <c r="BH313">
        <v>0</v>
      </c>
      <c r="BI313">
        <v>1</v>
      </c>
      <c r="BJ313">
        <v>0</v>
      </c>
      <c r="BK313">
        <v>0</v>
      </c>
      <c r="BM313" t="s">
        <v>1042</v>
      </c>
      <c r="BN313">
        <v>0</v>
      </c>
      <c r="BR313" t="s">
        <v>1043</v>
      </c>
      <c r="BS313" t="s">
        <v>1043</v>
      </c>
      <c r="BT313" t="s">
        <v>1043</v>
      </c>
      <c r="BW313">
        <v>83</v>
      </c>
      <c r="CA313">
        <v>0</v>
      </c>
      <c r="CB313" t="s">
        <v>1057</v>
      </c>
      <c r="CE313" t="s">
        <v>1043</v>
      </c>
      <c r="CH313" t="s">
        <v>1043</v>
      </c>
      <c r="CN313" t="s">
        <v>1056</v>
      </c>
      <c r="CO313" t="s">
        <v>1043</v>
      </c>
      <c r="CP313">
        <v>1</v>
      </c>
      <c r="CQ313">
        <v>0</v>
      </c>
      <c r="CS313">
        <v>0</v>
      </c>
      <c r="CT313">
        <v>0</v>
      </c>
      <c r="CU313">
        <v>0</v>
      </c>
      <c r="CV313" t="s">
        <v>1045</v>
      </c>
      <c r="CW313">
        <v>0</v>
      </c>
      <c r="CX313">
        <v>0</v>
      </c>
      <c r="CY313">
        <v>0</v>
      </c>
      <c r="CZ313">
        <v>0</v>
      </c>
      <c r="DB313">
        <v>0</v>
      </c>
      <c r="DC313" t="s">
        <v>1043</v>
      </c>
      <c r="DF313" t="s">
        <v>1055</v>
      </c>
      <c r="DH313">
        <v>0</v>
      </c>
      <c r="DJ313">
        <v>0</v>
      </c>
      <c r="DK313" t="s">
        <v>1053</v>
      </c>
      <c r="DL313">
        <v>0</v>
      </c>
      <c r="DN313">
        <v>0</v>
      </c>
      <c r="DO313" t="s">
        <v>1042</v>
      </c>
      <c r="DP313">
        <v>0</v>
      </c>
      <c r="DQ313">
        <v>0</v>
      </c>
      <c r="DS313">
        <v>0</v>
      </c>
      <c r="DU313">
        <v>0</v>
      </c>
      <c r="DW313">
        <v>0</v>
      </c>
      <c r="DX313" t="s">
        <v>1043</v>
      </c>
      <c r="DY313">
        <v>0</v>
      </c>
      <c r="DZ313">
        <v>0</v>
      </c>
      <c r="EA313">
        <v>0</v>
      </c>
      <c r="ED313" t="s">
        <v>1045</v>
      </c>
      <c r="EE313">
        <v>0</v>
      </c>
      <c r="EF313">
        <v>0</v>
      </c>
      <c r="EQ313" t="s">
        <v>1044</v>
      </c>
      <c r="ES313" t="s">
        <v>1053</v>
      </c>
      <c r="ET313">
        <v>0</v>
      </c>
      <c r="EV313">
        <v>0</v>
      </c>
      <c r="EY313" t="s">
        <v>1052</v>
      </c>
      <c r="EZ313">
        <v>0</v>
      </c>
      <c r="FA313" t="s">
        <v>1043</v>
      </c>
      <c r="FB313">
        <v>0</v>
      </c>
      <c r="FC313">
        <v>0</v>
      </c>
      <c r="FE313" t="s">
        <v>1050</v>
      </c>
      <c r="FF313">
        <v>0</v>
      </c>
      <c r="FG313" t="s">
        <v>1050</v>
      </c>
      <c r="FJ313">
        <v>0</v>
      </c>
      <c r="FK313">
        <v>0</v>
      </c>
      <c r="FP313">
        <v>0</v>
      </c>
      <c r="FR313">
        <v>0</v>
      </c>
      <c r="FS313" t="s">
        <v>1043</v>
      </c>
      <c r="FX313" t="s">
        <v>1042</v>
      </c>
      <c r="FZ313" t="s">
        <v>1048</v>
      </c>
      <c r="GA313">
        <v>0</v>
      </c>
      <c r="GB313" t="s">
        <v>1042</v>
      </c>
      <c r="GE313">
        <v>0</v>
      </c>
      <c r="GG313">
        <v>0</v>
      </c>
      <c r="GN313">
        <v>0</v>
      </c>
      <c r="GO313" t="s">
        <v>1063</v>
      </c>
      <c r="GQ313">
        <v>0</v>
      </c>
      <c r="GU313">
        <v>0</v>
      </c>
      <c r="GY313" t="s">
        <v>1045</v>
      </c>
      <c r="HB313">
        <v>0</v>
      </c>
      <c r="HE313">
        <v>0</v>
      </c>
      <c r="HF313">
        <v>0</v>
      </c>
      <c r="HG313">
        <v>0</v>
      </c>
      <c r="HK313" t="s">
        <v>1042</v>
      </c>
      <c r="HM313" t="s">
        <v>1047</v>
      </c>
      <c r="HN313">
        <v>0</v>
      </c>
      <c r="HP313">
        <v>0</v>
      </c>
      <c r="HQ313">
        <v>0</v>
      </c>
      <c r="HR313" t="s">
        <v>1042</v>
      </c>
      <c r="HS313" t="s">
        <v>1043</v>
      </c>
      <c r="HT313">
        <v>0</v>
      </c>
      <c r="HU313">
        <v>0</v>
      </c>
      <c r="HW313">
        <v>0</v>
      </c>
      <c r="HX313">
        <v>0</v>
      </c>
      <c r="HY313">
        <v>0</v>
      </c>
      <c r="HZ313" t="s">
        <v>1045</v>
      </c>
      <c r="IA313">
        <v>0</v>
      </c>
      <c r="IB313" t="s">
        <v>1045</v>
      </c>
      <c r="ID313" t="s">
        <v>1045</v>
      </c>
      <c r="IF313">
        <v>0</v>
      </c>
      <c r="IG313" t="s">
        <v>1042</v>
      </c>
      <c r="II313" t="s">
        <v>1042</v>
      </c>
      <c r="IR313" t="s">
        <v>1045</v>
      </c>
      <c r="IT313">
        <v>0</v>
      </c>
      <c r="IY313" t="s">
        <v>1044</v>
      </c>
      <c r="IZ313" t="s">
        <v>1043</v>
      </c>
      <c r="JC313" t="s">
        <v>1043</v>
      </c>
      <c r="JE313">
        <v>0</v>
      </c>
      <c r="JF313">
        <v>0</v>
      </c>
      <c r="JI313" t="s">
        <v>1042</v>
      </c>
      <c r="JJ313">
        <v>0</v>
      </c>
      <c r="JK313">
        <v>0</v>
      </c>
      <c r="JL313">
        <v>0</v>
      </c>
      <c r="JM313">
        <v>0</v>
      </c>
      <c r="JQ313" t="s">
        <v>1043</v>
      </c>
      <c r="JT313">
        <v>0</v>
      </c>
      <c r="JU313" t="s">
        <v>1042</v>
      </c>
      <c r="JW313">
        <v>0</v>
      </c>
      <c r="KA313">
        <v>0</v>
      </c>
      <c r="KF313">
        <v>0</v>
      </c>
      <c r="KG313">
        <v>0</v>
      </c>
      <c r="KH313">
        <v>0</v>
      </c>
      <c r="KI313">
        <v>0</v>
      </c>
      <c r="KS313" t="s">
        <v>1073</v>
      </c>
      <c r="KT313">
        <v>0</v>
      </c>
      <c r="KU313">
        <v>0</v>
      </c>
      <c r="KV313">
        <v>0</v>
      </c>
      <c r="KX313">
        <v>0</v>
      </c>
      <c r="KZ313">
        <v>0</v>
      </c>
      <c r="LF313">
        <v>0</v>
      </c>
      <c r="LH313">
        <v>0</v>
      </c>
      <c r="LI313">
        <v>0</v>
      </c>
    </row>
    <row r="314" spans="1:321" x14ac:dyDescent="0.35">
      <c r="A314">
        <v>1</v>
      </c>
      <c r="B314">
        <v>12532</v>
      </c>
      <c r="C314" t="s">
        <v>1380</v>
      </c>
      <c r="D314" t="s">
        <v>1139</v>
      </c>
      <c r="E314" t="s">
        <v>85</v>
      </c>
      <c r="F314">
        <v>80</v>
      </c>
      <c r="G314">
        <v>9000</v>
      </c>
      <c r="H314">
        <v>0</v>
      </c>
      <c r="I314" t="s">
        <v>1050</v>
      </c>
      <c r="L314">
        <v>0</v>
      </c>
      <c r="M314">
        <v>3.25</v>
      </c>
      <c r="N314">
        <v>0</v>
      </c>
      <c r="R314">
        <v>0</v>
      </c>
      <c r="S314">
        <v>0</v>
      </c>
      <c r="W314" t="s">
        <v>1060</v>
      </c>
      <c r="X314">
        <v>0</v>
      </c>
      <c r="Z314">
        <v>1</v>
      </c>
      <c r="AA314">
        <v>0</v>
      </c>
      <c r="AB314">
        <v>0</v>
      </c>
      <c r="AC314">
        <v>0</v>
      </c>
      <c r="AD314" s="20">
        <v>40794</v>
      </c>
      <c r="AE314">
        <v>91.41</v>
      </c>
      <c r="AF314">
        <v>0</v>
      </c>
      <c r="AH314">
        <v>0</v>
      </c>
      <c r="AJ314">
        <v>0</v>
      </c>
      <c r="AL314">
        <v>0</v>
      </c>
      <c r="AM314">
        <v>0</v>
      </c>
      <c r="AN314">
        <v>16601001</v>
      </c>
      <c r="AO314">
        <v>0</v>
      </c>
      <c r="AP314">
        <v>1000</v>
      </c>
      <c r="AT314">
        <v>0</v>
      </c>
      <c r="AU314" t="s">
        <v>1059</v>
      </c>
      <c r="AW314" t="s">
        <v>1053</v>
      </c>
      <c r="AX314">
        <v>0</v>
      </c>
      <c r="AY314" s="20">
        <v>40794</v>
      </c>
      <c r="BA314" s="20">
        <v>40794</v>
      </c>
      <c r="BB314" t="s">
        <v>1058</v>
      </c>
      <c r="BD314">
        <v>0</v>
      </c>
      <c r="BF314" t="s">
        <v>1043</v>
      </c>
      <c r="BG314" t="s">
        <v>1042</v>
      </c>
      <c r="BH314">
        <v>0</v>
      </c>
      <c r="BI314">
        <v>1</v>
      </c>
      <c r="BJ314">
        <v>0</v>
      </c>
      <c r="BK314">
        <v>0</v>
      </c>
      <c r="BM314" t="s">
        <v>1042</v>
      </c>
      <c r="BN314">
        <v>0</v>
      </c>
      <c r="BR314" t="s">
        <v>1043</v>
      </c>
      <c r="BS314" t="s">
        <v>1043</v>
      </c>
      <c r="BT314" t="s">
        <v>1043</v>
      </c>
      <c r="BW314">
        <v>83</v>
      </c>
      <c r="CA314">
        <v>0</v>
      </c>
      <c r="CB314" t="s">
        <v>1057</v>
      </c>
      <c r="CE314" t="s">
        <v>1043</v>
      </c>
      <c r="CH314" t="s">
        <v>1043</v>
      </c>
      <c r="CN314" t="s">
        <v>1056</v>
      </c>
      <c r="CO314" t="s">
        <v>1043</v>
      </c>
      <c r="CP314">
        <v>1</v>
      </c>
      <c r="CQ314">
        <v>0</v>
      </c>
      <c r="CS314">
        <v>0</v>
      </c>
      <c r="CT314">
        <v>0</v>
      </c>
      <c r="CU314">
        <v>0</v>
      </c>
      <c r="CV314" t="s">
        <v>1045</v>
      </c>
      <c r="CW314">
        <v>0</v>
      </c>
      <c r="CX314">
        <v>0</v>
      </c>
      <c r="CY314">
        <v>0</v>
      </c>
      <c r="CZ314">
        <v>0</v>
      </c>
      <c r="DB314">
        <v>0</v>
      </c>
      <c r="DC314" t="s">
        <v>1043</v>
      </c>
      <c r="DF314" t="s">
        <v>1055</v>
      </c>
      <c r="DH314">
        <v>0</v>
      </c>
      <c r="DJ314">
        <v>0</v>
      </c>
      <c r="DK314" t="s">
        <v>1053</v>
      </c>
      <c r="DL314">
        <v>0</v>
      </c>
      <c r="DN314">
        <v>0</v>
      </c>
      <c r="DO314" t="s">
        <v>1042</v>
      </c>
      <c r="DP314">
        <v>0</v>
      </c>
      <c r="DQ314">
        <v>0</v>
      </c>
      <c r="DS314">
        <v>0</v>
      </c>
      <c r="DU314">
        <v>0</v>
      </c>
      <c r="DW314">
        <v>0</v>
      </c>
      <c r="DX314" t="s">
        <v>1043</v>
      </c>
      <c r="DY314">
        <v>0</v>
      </c>
      <c r="DZ314">
        <v>0</v>
      </c>
      <c r="EA314">
        <v>0</v>
      </c>
      <c r="ED314" t="s">
        <v>1045</v>
      </c>
      <c r="EE314">
        <v>0</v>
      </c>
      <c r="EF314">
        <v>0</v>
      </c>
      <c r="EQ314" t="s">
        <v>1044</v>
      </c>
      <c r="ES314" t="s">
        <v>1053</v>
      </c>
      <c r="ET314">
        <v>0</v>
      </c>
      <c r="EV314">
        <v>0</v>
      </c>
      <c r="EY314" t="s">
        <v>1052</v>
      </c>
      <c r="EZ314">
        <v>0</v>
      </c>
      <c r="FA314" t="s">
        <v>1043</v>
      </c>
      <c r="FB314">
        <v>0</v>
      </c>
      <c r="FC314">
        <v>0</v>
      </c>
      <c r="FE314" t="s">
        <v>1050</v>
      </c>
      <c r="FF314">
        <v>0</v>
      </c>
      <c r="FG314" t="s">
        <v>1050</v>
      </c>
      <c r="FJ314">
        <v>0</v>
      </c>
      <c r="FK314">
        <v>0</v>
      </c>
      <c r="FP314">
        <v>0</v>
      </c>
      <c r="FR314">
        <v>0</v>
      </c>
      <c r="FS314" t="s">
        <v>1043</v>
      </c>
      <c r="FX314" t="s">
        <v>1042</v>
      </c>
      <c r="FZ314" t="s">
        <v>1048</v>
      </c>
      <c r="GA314">
        <v>0</v>
      </c>
      <c r="GB314" t="s">
        <v>1042</v>
      </c>
      <c r="GE314">
        <v>0</v>
      </c>
      <c r="GG314">
        <v>0</v>
      </c>
      <c r="GN314">
        <v>0</v>
      </c>
      <c r="GO314" t="s">
        <v>1063</v>
      </c>
      <c r="GQ314">
        <v>0</v>
      </c>
      <c r="GU314">
        <v>0</v>
      </c>
      <c r="GY314" t="s">
        <v>1045</v>
      </c>
      <c r="HB314">
        <v>0</v>
      </c>
      <c r="HE314">
        <v>0</v>
      </c>
      <c r="HF314">
        <v>0</v>
      </c>
      <c r="HG314">
        <v>0</v>
      </c>
      <c r="HK314" t="s">
        <v>1042</v>
      </c>
      <c r="HM314" t="s">
        <v>1047</v>
      </c>
      <c r="HN314">
        <v>0</v>
      </c>
      <c r="HP314">
        <v>0</v>
      </c>
      <c r="HQ314">
        <v>0</v>
      </c>
      <c r="HR314" t="s">
        <v>1042</v>
      </c>
      <c r="HS314" t="s">
        <v>1043</v>
      </c>
      <c r="HT314">
        <v>0</v>
      </c>
      <c r="HU314">
        <v>0</v>
      </c>
      <c r="HW314">
        <v>0</v>
      </c>
      <c r="HX314">
        <v>0</v>
      </c>
      <c r="HY314">
        <v>0</v>
      </c>
      <c r="HZ314" t="s">
        <v>1045</v>
      </c>
      <c r="IA314">
        <v>0</v>
      </c>
      <c r="IB314" t="s">
        <v>1045</v>
      </c>
      <c r="ID314" t="s">
        <v>1045</v>
      </c>
      <c r="IF314">
        <v>0</v>
      </c>
      <c r="IG314" t="s">
        <v>1042</v>
      </c>
      <c r="II314" t="s">
        <v>1042</v>
      </c>
      <c r="IR314" t="s">
        <v>1045</v>
      </c>
      <c r="IT314">
        <v>0</v>
      </c>
      <c r="IY314" t="s">
        <v>1044</v>
      </c>
      <c r="IZ314" t="s">
        <v>1043</v>
      </c>
      <c r="JC314" t="s">
        <v>1043</v>
      </c>
      <c r="JE314">
        <v>0</v>
      </c>
      <c r="JF314">
        <v>0</v>
      </c>
      <c r="JI314" t="s">
        <v>1042</v>
      </c>
      <c r="JJ314">
        <v>0</v>
      </c>
      <c r="JK314">
        <v>0</v>
      </c>
      <c r="JL314">
        <v>0</v>
      </c>
      <c r="JM314">
        <v>0</v>
      </c>
      <c r="JQ314" t="s">
        <v>1043</v>
      </c>
      <c r="JT314">
        <v>0</v>
      </c>
      <c r="JU314" t="s">
        <v>1042</v>
      </c>
      <c r="JW314">
        <v>0</v>
      </c>
      <c r="KA314">
        <v>0</v>
      </c>
      <c r="KF314">
        <v>0</v>
      </c>
      <c r="KG314">
        <v>0</v>
      </c>
      <c r="KH314">
        <v>0</v>
      </c>
      <c r="KI314">
        <v>0</v>
      </c>
      <c r="KS314" t="s">
        <v>1073</v>
      </c>
      <c r="KT314">
        <v>0</v>
      </c>
      <c r="KU314">
        <v>0</v>
      </c>
      <c r="KV314">
        <v>0</v>
      </c>
      <c r="KX314">
        <v>0</v>
      </c>
      <c r="KZ314">
        <v>0</v>
      </c>
      <c r="LF314">
        <v>0</v>
      </c>
      <c r="LH314">
        <v>0</v>
      </c>
      <c r="LI314">
        <v>0</v>
      </c>
    </row>
    <row r="315" spans="1:321" x14ac:dyDescent="0.35">
      <c r="A315">
        <v>1</v>
      </c>
      <c r="B315">
        <v>12533</v>
      </c>
      <c r="C315" t="s">
        <v>1379</v>
      </c>
      <c r="D315" t="s">
        <v>1139</v>
      </c>
      <c r="E315" t="s">
        <v>85</v>
      </c>
      <c r="F315">
        <v>80</v>
      </c>
      <c r="G315">
        <v>9000</v>
      </c>
      <c r="H315">
        <v>0</v>
      </c>
      <c r="I315" t="s">
        <v>1050</v>
      </c>
      <c r="L315">
        <v>0</v>
      </c>
      <c r="M315">
        <v>3.25</v>
      </c>
      <c r="N315">
        <v>0</v>
      </c>
      <c r="R315">
        <v>0</v>
      </c>
      <c r="S315">
        <v>0</v>
      </c>
      <c r="W315" t="s">
        <v>1060</v>
      </c>
      <c r="X315">
        <v>0</v>
      </c>
      <c r="Z315">
        <v>1</v>
      </c>
      <c r="AA315">
        <v>0</v>
      </c>
      <c r="AB315">
        <v>0</v>
      </c>
      <c r="AC315">
        <v>0</v>
      </c>
      <c r="AD315" s="20">
        <v>40764</v>
      </c>
      <c r="AE315">
        <v>33.6</v>
      </c>
      <c r="AF315">
        <v>0</v>
      </c>
      <c r="AH315">
        <v>0</v>
      </c>
      <c r="AJ315">
        <v>0</v>
      </c>
      <c r="AL315">
        <v>0</v>
      </c>
      <c r="AM315">
        <v>0</v>
      </c>
      <c r="AN315">
        <v>16601001</v>
      </c>
      <c r="AO315">
        <v>0</v>
      </c>
      <c r="AP315">
        <v>1000</v>
      </c>
      <c r="AT315">
        <v>0</v>
      </c>
      <c r="AU315" t="s">
        <v>1059</v>
      </c>
      <c r="AW315" t="s">
        <v>1053</v>
      </c>
      <c r="AX315">
        <v>0</v>
      </c>
      <c r="AY315" s="20">
        <v>40794</v>
      </c>
      <c r="BA315" s="20">
        <v>40794</v>
      </c>
      <c r="BB315" t="s">
        <v>1058</v>
      </c>
      <c r="BD315">
        <v>0</v>
      </c>
      <c r="BF315" t="s">
        <v>1043</v>
      </c>
      <c r="BG315" t="s">
        <v>1042</v>
      </c>
      <c r="BH315">
        <v>0</v>
      </c>
      <c r="BI315">
        <v>1</v>
      </c>
      <c r="BJ315">
        <v>0</v>
      </c>
      <c r="BK315">
        <v>0</v>
      </c>
      <c r="BM315" t="s">
        <v>1042</v>
      </c>
      <c r="BN315">
        <v>0</v>
      </c>
      <c r="BR315" t="s">
        <v>1043</v>
      </c>
      <c r="BS315" t="s">
        <v>1043</v>
      </c>
      <c r="BT315" t="s">
        <v>1043</v>
      </c>
      <c r="BW315">
        <v>83</v>
      </c>
      <c r="CA315">
        <v>0</v>
      </c>
      <c r="CB315" t="s">
        <v>1057</v>
      </c>
      <c r="CE315" t="s">
        <v>1043</v>
      </c>
      <c r="CH315" t="s">
        <v>1043</v>
      </c>
      <c r="CN315" t="s">
        <v>1056</v>
      </c>
      <c r="CO315" t="s">
        <v>1043</v>
      </c>
      <c r="CP315">
        <v>1</v>
      </c>
      <c r="CQ315">
        <v>0</v>
      </c>
      <c r="CS315">
        <v>0</v>
      </c>
      <c r="CT315">
        <v>0</v>
      </c>
      <c r="CU315">
        <v>0</v>
      </c>
      <c r="CV315" t="s">
        <v>1045</v>
      </c>
      <c r="CW315">
        <v>0</v>
      </c>
      <c r="CX315">
        <v>0</v>
      </c>
      <c r="CY315">
        <v>0</v>
      </c>
      <c r="CZ315">
        <v>0</v>
      </c>
      <c r="DB315">
        <v>0</v>
      </c>
      <c r="DC315" t="s">
        <v>1043</v>
      </c>
      <c r="DF315" t="s">
        <v>1055</v>
      </c>
      <c r="DH315">
        <v>0</v>
      </c>
      <c r="DJ315">
        <v>0</v>
      </c>
      <c r="DK315" t="s">
        <v>1053</v>
      </c>
      <c r="DL315">
        <v>0</v>
      </c>
      <c r="DN315">
        <v>0</v>
      </c>
      <c r="DO315" t="s">
        <v>1042</v>
      </c>
      <c r="DP315">
        <v>0</v>
      </c>
      <c r="DQ315">
        <v>0</v>
      </c>
      <c r="DS315">
        <v>0</v>
      </c>
      <c r="DU315">
        <v>0</v>
      </c>
      <c r="DW315">
        <v>0</v>
      </c>
      <c r="DX315" t="s">
        <v>1043</v>
      </c>
      <c r="DY315">
        <v>0</v>
      </c>
      <c r="DZ315">
        <v>0</v>
      </c>
      <c r="EA315">
        <v>0</v>
      </c>
      <c r="ED315" t="s">
        <v>1045</v>
      </c>
      <c r="EE315">
        <v>0</v>
      </c>
      <c r="EF315">
        <v>0</v>
      </c>
      <c r="EQ315" t="s">
        <v>1044</v>
      </c>
      <c r="ES315" t="s">
        <v>1053</v>
      </c>
      <c r="ET315">
        <v>0</v>
      </c>
      <c r="EV315">
        <v>0</v>
      </c>
      <c r="EY315" t="s">
        <v>1052</v>
      </c>
      <c r="EZ315">
        <v>0</v>
      </c>
      <c r="FA315" t="s">
        <v>1043</v>
      </c>
      <c r="FB315">
        <v>0</v>
      </c>
      <c r="FC315">
        <v>0</v>
      </c>
      <c r="FE315" t="s">
        <v>1050</v>
      </c>
      <c r="FF315">
        <v>0</v>
      </c>
      <c r="FG315" t="s">
        <v>1050</v>
      </c>
      <c r="FJ315">
        <v>0</v>
      </c>
      <c r="FK315">
        <v>0</v>
      </c>
      <c r="FP315">
        <v>0</v>
      </c>
      <c r="FR315">
        <v>0</v>
      </c>
      <c r="FS315" t="s">
        <v>1043</v>
      </c>
      <c r="FX315" t="s">
        <v>1042</v>
      </c>
      <c r="FZ315" t="s">
        <v>1048</v>
      </c>
      <c r="GA315">
        <v>0</v>
      </c>
      <c r="GB315" t="s">
        <v>1042</v>
      </c>
      <c r="GE315">
        <v>0</v>
      </c>
      <c r="GG315">
        <v>0</v>
      </c>
      <c r="GN315">
        <v>0</v>
      </c>
      <c r="GO315" t="s">
        <v>1063</v>
      </c>
      <c r="GQ315">
        <v>0</v>
      </c>
      <c r="GU315">
        <v>0</v>
      </c>
      <c r="GY315" t="s">
        <v>1045</v>
      </c>
      <c r="HB315">
        <v>0</v>
      </c>
      <c r="HE315">
        <v>0</v>
      </c>
      <c r="HF315">
        <v>0</v>
      </c>
      <c r="HG315">
        <v>0</v>
      </c>
      <c r="HK315" t="s">
        <v>1042</v>
      </c>
      <c r="HM315" t="s">
        <v>1047</v>
      </c>
      <c r="HN315">
        <v>0</v>
      </c>
      <c r="HP315">
        <v>0</v>
      </c>
      <c r="HQ315">
        <v>0</v>
      </c>
      <c r="HR315" t="s">
        <v>1042</v>
      </c>
      <c r="HS315" t="s">
        <v>1043</v>
      </c>
      <c r="HT315">
        <v>0</v>
      </c>
      <c r="HU315">
        <v>0</v>
      </c>
      <c r="HW315">
        <v>0</v>
      </c>
      <c r="HX315">
        <v>0</v>
      </c>
      <c r="HY315">
        <v>0</v>
      </c>
      <c r="HZ315" t="s">
        <v>1045</v>
      </c>
      <c r="IA315">
        <v>0</v>
      </c>
      <c r="IB315" t="s">
        <v>1045</v>
      </c>
      <c r="ID315" t="s">
        <v>1045</v>
      </c>
      <c r="IF315">
        <v>0</v>
      </c>
      <c r="IG315" t="s">
        <v>1042</v>
      </c>
      <c r="II315" t="s">
        <v>1042</v>
      </c>
      <c r="IR315" t="s">
        <v>1045</v>
      </c>
      <c r="IT315">
        <v>0</v>
      </c>
      <c r="IY315" t="s">
        <v>1044</v>
      </c>
      <c r="IZ315" t="s">
        <v>1043</v>
      </c>
      <c r="JC315" t="s">
        <v>1043</v>
      </c>
      <c r="JE315">
        <v>0</v>
      </c>
      <c r="JF315">
        <v>0</v>
      </c>
      <c r="JI315" t="s">
        <v>1042</v>
      </c>
      <c r="JJ315">
        <v>0</v>
      </c>
      <c r="JK315">
        <v>0</v>
      </c>
      <c r="JL315">
        <v>0</v>
      </c>
      <c r="JM315">
        <v>0</v>
      </c>
      <c r="JQ315" t="s">
        <v>1043</v>
      </c>
      <c r="JT315">
        <v>0</v>
      </c>
      <c r="JU315" t="s">
        <v>1042</v>
      </c>
      <c r="JW315">
        <v>0</v>
      </c>
      <c r="KA315">
        <v>0</v>
      </c>
      <c r="KF315">
        <v>0</v>
      </c>
      <c r="KG315">
        <v>0</v>
      </c>
      <c r="KH315">
        <v>0</v>
      </c>
      <c r="KI315">
        <v>0</v>
      </c>
      <c r="KS315" t="s">
        <v>1073</v>
      </c>
      <c r="KT315">
        <v>0</v>
      </c>
      <c r="KU315">
        <v>0</v>
      </c>
      <c r="KV315">
        <v>0</v>
      </c>
      <c r="KX315">
        <v>0</v>
      </c>
      <c r="KZ315">
        <v>0</v>
      </c>
      <c r="LF315">
        <v>0</v>
      </c>
      <c r="LH315">
        <v>0</v>
      </c>
      <c r="LI315">
        <v>0</v>
      </c>
    </row>
    <row r="316" spans="1:321" x14ac:dyDescent="0.35">
      <c r="A316">
        <v>1</v>
      </c>
      <c r="B316">
        <v>12534</v>
      </c>
      <c r="C316" t="s">
        <v>1378</v>
      </c>
      <c r="D316" t="s">
        <v>1139</v>
      </c>
      <c r="E316" t="s">
        <v>85</v>
      </c>
      <c r="F316">
        <v>80</v>
      </c>
      <c r="G316">
        <v>9000</v>
      </c>
      <c r="H316">
        <v>0</v>
      </c>
      <c r="I316" t="s">
        <v>1050</v>
      </c>
      <c r="L316">
        <v>0</v>
      </c>
      <c r="M316">
        <v>3.25</v>
      </c>
      <c r="N316">
        <v>0</v>
      </c>
      <c r="R316">
        <v>0</v>
      </c>
      <c r="S316">
        <v>0</v>
      </c>
      <c r="W316" t="s">
        <v>1060</v>
      </c>
      <c r="X316">
        <v>0</v>
      </c>
      <c r="Z316">
        <v>1</v>
      </c>
      <c r="AA316">
        <v>0</v>
      </c>
      <c r="AB316">
        <v>0</v>
      </c>
      <c r="AC316">
        <v>0</v>
      </c>
      <c r="AD316" s="20">
        <v>40794</v>
      </c>
      <c r="AE316">
        <v>324.89999999999998</v>
      </c>
      <c r="AF316">
        <v>0</v>
      </c>
      <c r="AH316">
        <v>0</v>
      </c>
      <c r="AJ316">
        <v>0</v>
      </c>
      <c r="AL316">
        <v>0</v>
      </c>
      <c r="AM316">
        <v>0</v>
      </c>
      <c r="AN316">
        <v>16601001</v>
      </c>
      <c r="AO316">
        <v>0</v>
      </c>
      <c r="AP316">
        <v>1000</v>
      </c>
      <c r="AT316">
        <v>0</v>
      </c>
      <c r="AU316" t="s">
        <v>1059</v>
      </c>
      <c r="AW316" t="s">
        <v>1053</v>
      </c>
      <c r="AX316">
        <v>0</v>
      </c>
      <c r="AY316" s="20">
        <v>40794</v>
      </c>
      <c r="BA316" s="20">
        <v>40794</v>
      </c>
      <c r="BB316" t="s">
        <v>1058</v>
      </c>
      <c r="BD316">
        <v>0</v>
      </c>
      <c r="BF316" t="s">
        <v>1043</v>
      </c>
      <c r="BG316" t="s">
        <v>1042</v>
      </c>
      <c r="BH316">
        <v>0</v>
      </c>
      <c r="BI316">
        <v>1</v>
      </c>
      <c r="BJ316">
        <v>0</v>
      </c>
      <c r="BK316">
        <v>0</v>
      </c>
      <c r="BM316" t="s">
        <v>1042</v>
      </c>
      <c r="BN316">
        <v>0</v>
      </c>
      <c r="BR316" t="s">
        <v>1043</v>
      </c>
      <c r="BS316" t="s">
        <v>1043</v>
      </c>
      <c r="BT316" t="s">
        <v>1043</v>
      </c>
      <c r="BW316">
        <v>83</v>
      </c>
      <c r="CA316">
        <v>0</v>
      </c>
      <c r="CB316" t="s">
        <v>1057</v>
      </c>
      <c r="CE316" t="s">
        <v>1043</v>
      </c>
      <c r="CH316" t="s">
        <v>1043</v>
      </c>
      <c r="CN316" t="s">
        <v>1056</v>
      </c>
      <c r="CO316" t="s">
        <v>1043</v>
      </c>
      <c r="CP316">
        <v>1</v>
      </c>
      <c r="CQ316">
        <v>0</v>
      </c>
      <c r="CS316">
        <v>0</v>
      </c>
      <c r="CT316">
        <v>0</v>
      </c>
      <c r="CU316">
        <v>0</v>
      </c>
      <c r="CV316" t="s">
        <v>1045</v>
      </c>
      <c r="CW316">
        <v>0</v>
      </c>
      <c r="CX316">
        <v>0</v>
      </c>
      <c r="CY316">
        <v>0</v>
      </c>
      <c r="CZ316">
        <v>0</v>
      </c>
      <c r="DB316">
        <v>0</v>
      </c>
      <c r="DC316" t="s">
        <v>1043</v>
      </c>
      <c r="DF316" t="s">
        <v>1055</v>
      </c>
      <c r="DH316">
        <v>0</v>
      </c>
      <c r="DJ316">
        <v>0</v>
      </c>
      <c r="DK316" t="s">
        <v>1053</v>
      </c>
      <c r="DL316">
        <v>0</v>
      </c>
      <c r="DN316">
        <v>0</v>
      </c>
      <c r="DO316" t="s">
        <v>1042</v>
      </c>
      <c r="DP316">
        <v>0</v>
      </c>
      <c r="DQ316">
        <v>0</v>
      </c>
      <c r="DS316">
        <v>0</v>
      </c>
      <c r="DU316">
        <v>0</v>
      </c>
      <c r="DW316">
        <v>0</v>
      </c>
      <c r="DX316" t="s">
        <v>1043</v>
      </c>
      <c r="DY316">
        <v>0</v>
      </c>
      <c r="DZ316">
        <v>0</v>
      </c>
      <c r="EA316">
        <v>0</v>
      </c>
      <c r="ED316" t="s">
        <v>1045</v>
      </c>
      <c r="EE316">
        <v>0</v>
      </c>
      <c r="EF316">
        <v>0</v>
      </c>
      <c r="EQ316" t="s">
        <v>1044</v>
      </c>
      <c r="ES316" t="s">
        <v>1053</v>
      </c>
      <c r="ET316">
        <v>0</v>
      </c>
      <c r="EV316">
        <v>0</v>
      </c>
      <c r="EY316" t="s">
        <v>1052</v>
      </c>
      <c r="EZ316">
        <v>0</v>
      </c>
      <c r="FA316" t="s">
        <v>1043</v>
      </c>
      <c r="FB316">
        <v>0</v>
      </c>
      <c r="FC316">
        <v>0</v>
      </c>
      <c r="FE316" t="s">
        <v>1050</v>
      </c>
      <c r="FF316">
        <v>0</v>
      </c>
      <c r="FG316" t="s">
        <v>1050</v>
      </c>
      <c r="FJ316">
        <v>0</v>
      </c>
      <c r="FK316">
        <v>0</v>
      </c>
      <c r="FP316">
        <v>0</v>
      </c>
      <c r="FR316">
        <v>0</v>
      </c>
      <c r="FS316" t="s">
        <v>1043</v>
      </c>
      <c r="FX316" t="s">
        <v>1042</v>
      </c>
      <c r="FZ316" t="s">
        <v>1048</v>
      </c>
      <c r="GA316">
        <v>0</v>
      </c>
      <c r="GB316" t="s">
        <v>1042</v>
      </c>
      <c r="GE316">
        <v>0</v>
      </c>
      <c r="GG316">
        <v>0</v>
      </c>
      <c r="GN316">
        <v>0</v>
      </c>
      <c r="GO316" t="s">
        <v>1063</v>
      </c>
      <c r="GQ316">
        <v>0</v>
      </c>
      <c r="GU316">
        <v>0</v>
      </c>
      <c r="GY316" t="s">
        <v>1045</v>
      </c>
      <c r="HB316">
        <v>0</v>
      </c>
      <c r="HE316">
        <v>0</v>
      </c>
      <c r="HF316">
        <v>0</v>
      </c>
      <c r="HG316">
        <v>0</v>
      </c>
      <c r="HK316" t="s">
        <v>1042</v>
      </c>
      <c r="HM316" t="s">
        <v>1047</v>
      </c>
      <c r="HN316">
        <v>0</v>
      </c>
      <c r="HP316">
        <v>0</v>
      </c>
      <c r="HQ316">
        <v>0</v>
      </c>
      <c r="HR316" t="s">
        <v>1042</v>
      </c>
      <c r="HS316" t="s">
        <v>1043</v>
      </c>
      <c r="HT316">
        <v>0</v>
      </c>
      <c r="HU316">
        <v>0</v>
      </c>
      <c r="HW316">
        <v>0</v>
      </c>
      <c r="HX316">
        <v>0</v>
      </c>
      <c r="HY316">
        <v>0</v>
      </c>
      <c r="HZ316" t="s">
        <v>1045</v>
      </c>
      <c r="IA316">
        <v>0</v>
      </c>
      <c r="IB316" t="s">
        <v>1045</v>
      </c>
      <c r="ID316" t="s">
        <v>1045</v>
      </c>
      <c r="IF316">
        <v>0</v>
      </c>
      <c r="IG316" t="s">
        <v>1042</v>
      </c>
      <c r="II316" t="s">
        <v>1042</v>
      </c>
      <c r="IR316" t="s">
        <v>1045</v>
      </c>
      <c r="IT316">
        <v>0</v>
      </c>
      <c r="IY316" t="s">
        <v>1044</v>
      </c>
      <c r="IZ316" t="s">
        <v>1043</v>
      </c>
      <c r="JC316" t="s">
        <v>1043</v>
      </c>
      <c r="JE316">
        <v>0</v>
      </c>
      <c r="JF316">
        <v>0</v>
      </c>
      <c r="JI316" t="s">
        <v>1042</v>
      </c>
      <c r="JJ316">
        <v>0</v>
      </c>
      <c r="JK316">
        <v>0</v>
      </c>
      <c r="JL316">
        <v>0</v>
      </c>
      <c r="JM316">
        <v>0</v>
      </c>
      <c r="JQ316" t="s">
        <v>1043</v>
      </c>
      <c r="JT316">
        <v>0</v>
      </c>
      <c r="JU316" t="s">
        <v>1042</v>
      </c>
      <c r="JW316">
        <v>0</v>
      </c>
      <c r="KA316">
        <v>0</v>
      </c>
      <c r="KF316">
        <v>0</v>
      </c>
      <c r="KG316">
        <v>0</v>
      </c>
      <c r="KH316">
        <v>0</v>
      </c>
      <c r="KI316">
        <v>0</v>
      </c>
      <c r="KS316" t="s">
        <v>1073</v>
      </c>
      <c r="KT316">
        <v>0</v>
      </c>
      <c r="KU316">
        <v>0</v>
      </c>
      <c r="KV316">
        <v>0</v>
      </c>
      <c r="KX316">
        <v>0</v>
      </c>
      <c r="KZ316">
        <v>0</v>
      </c>
      <c r="LF316">
        <v>0</v>
      </c>
      <c r="LH316">
        <v>0</v>
      </c>
      <c r="LI316">
        <v>0</v>
      </c>
    </row>
    <row r="317" spans="1:321" x14ac:dyDescent="0.35">
      <c r="A317">
        <v>1</v>
      </c>
      <c r="B317">
        <v>12535</v>
      </c>
      <c r="C317" t="s">
        <v>1377</v>
      </c>
      <c r="D317" t="s">
        <v>1076</v>
      </c>
      <c r="E317" t="s">
        <v>85</v>
      </c>
      <c r="F317">
        <v>50</v>
      </c>
      <c r="G317">
        <v>51</v>
      </c>
      <c r="H317">
        <v>0</v>
      </c>
      <c r="I317" t="s">
        <v>1050</v>
      </c>
      <c r="L317">
        <v>0</v>
      </c>
      <c r="M317">
        <v>3.25</v>
      </c>
      <c r="N317">
        <v>0</v>
      </c>
      <c r="P317">
        <v>306</v>
      </c>
      <c r="R317">
        <v>0</v>
      </c>
      <c r="S317">
        <v>0</v>
      </c>
      <c r="W317" t="s">
        <v>1060</v>
      </c>
      <c r="X317">
        <v>0</v>
      </c>
      <c r="Z317">
        <v>1</v>
      </c>
      <c r="AA317">
        <v>0</v>
      </c>
      <c r="AB317">
        <v>0</v>
      </c>
      <c r="AC317">
        <v>0</v>
      </c>
      <c r="AD317" s="20">
        <v>40794</v>
      </c>
      <c r="AE317">
        <v>228.25</v>
      </c>
      <c r="AF317">
        <v>0</v>
      </c>
      <c r="AH317">
        <v>0</v>
      </c>
      <c r="AJ317">
        <v>0</v>
      </c>
      <c r="AL317">
        <v>0</v>
      </c>
      <c r="AM317">
        <v>1</v>
      </c>
      <c r="AN317">
        <v>11501004</v>
      </c>
      <c r="AO317">
        <v>0</v>
      </c>
      <c r="AP317">
        <v>1000</v>
      </c>
      <c r="AT317">
        <v>0</v>
      </c>
      <c r="AU317" t="s">
        <v>1059</v>
      </c>
      <c r="AW317" t="s">
        <v>1053</v>
      </c>
      <c r="AX317">
        <v>0</v>
      </c>
      <c r="AY317" s="20">
        <v>40794</v>
      </c>
      <c r="BA317" s="20">
        <v>40794</v>
      </c>
      <c r="BB317" t="s">
        <v>1058</v>
      </c>
      <c r="BD317">
        <v>0</v>
      </c>
      <c r="BF317" t="s">
        <v>1043</v>
      </c>
      <c r="BG317" t="s">
        <v>1042</v>
      </c>
      <c r="BH317">
        <v>0</v>
      </c>
      <c r="BI317">
        <v>1</v>
      </c>
      <c r="BJ317">
        <v>0</v>
      </c>
      <c r="BK317">
        <v>0</v>
      </c>
      <c r="BM317" s="20">
        <v>43659</v>
      </c>
      <c r="BN317">
        <v>0</v>
      </c>
      <c r="BO317">
        <v>3457801101561</v>
      </c>
      <c r="BR317" t="s">
        <v>1043</v>
      </c>
      <c r="BS317" t="s">
        <v>1043</v>
      </c>
      <c r="BT317" t="s">
        <v>1043</v>
      </c>
      <c r="BW317">
        <v>48</v>
      </c>
      <c r="CA317">
        <v>0</v>
      </c>
      <c r="CB317" t="s">
        <v>1057</v>
      </c>
      <c r="CE317" t="s">
        <v>1043</v>
      </c>
      <c r="CH317" t="s">
        <v>1043</v>
      </c>
      <c r="CN317" t="s">
        <v>1056</v>
      </c>
      <c r="CO317" t="s">
        <v>1043</v>
      </c>
      <c r="CP317">
        <v>1</v>
      </c>
      <c r="CQ317">
        <v>0</v>
      </c>
      <c r="CS317">
        <v>0</v>
      </c>
      <c r="CT317">
        <v>0</v>
      </c>
      <c r="CU317">
        <v>0</v>
      </c>
      <c r="CV317" t="s">
        <v>1045</v>
      </c>
      <c r="CW317">
        <v>0</v>
      </c>
      <c r="CX317">
        <v>0</v>
      </c>
      <c r="CY317">
        <v>0</v>
      </c>
      <c r="CZ317">
        <v>0</v>
      </c>
      <c r="DB317">
        <v>0</v>
      </c>
      <c r="DC317" t="s">
        <v>1043</v>
      </c>
      <c r="DF317" t="s">
        <v>1055</v>
      </c>
      <c r="DH317">
        <v>0</v>
      </c>
      <c r="DJ317">
        <v>0</v>
      </c>
      <c r="DK317" t="s">
        <v>1053</v>
      </c>
      <c r="DL317">
        <v>0</v>
      </c>
      <c r="DN317">
        <v>0</v>
      </c>
      <c r="DO317" t="s">
        <v>1042</v>
      </c>
      <c r="DP317">
        <v>0</v>
      </c>
      <c r="DQ317">
        <v>0</v>
      </c>
      <c r="DS317">
        <v>0</v>
      </c>
      <c r="DU317">
        <v>0</v>
      </c>
      <c r="DW317">
        <v>0</v>
      </c>
      <c r="DX317" t="s">
        <v>1043</v>
      </c>
      <c r="DY317">
        <v>0</v>
      </c>
      <c r="DZ317">
        <v>0</v>
      </c>
      <c r="EA317">
        <v>0</v>
      </c>
      <c r="ED317" t="s">
        <v>1045</v>
      </c>
      <c r="EE317">
        <v>0</v>
      </c>
      <c r="EF317">
        <v>0</v>
      </c>
      <c r="EQ317" t="s">
        <v>1044</v>
      </c>
      <c r="ES317" t="s">
        <v>1053</v>
      </c>
      <c r="ET317">
        <v>0</v>
      </c>
      <c r="EV317">
        <v>0</v>
      </c>
      <c r="EY317" t="s">
        <v>1052</v>
      </c>
      <c r="EZ317">
        <v>0</v>
      </c>
      <c r="FA317" t="s">
        <v>1043</v>
      </c>
      <c r="FB317">
        <v>0</v>
      </c>
      <c r="FC317">
        <v>0</v>
      </c>
      <c r="FE317" t="s">
        <v>1050</v>
      </c>
      <c r="FF317">
        <v>0</v>
      </c>
      <c r="FG317" t="s">
        <v>1050</v>
      </c>
      <c r="FJ317">
        <v>0</v>
      </c>
      <c r="FK317">
        <v>0</v>
      </c>
      <c r="FP317">
        <v>0</v>
      </c>
      <c r="FR317">
        <v>0</v>
      </c>
      <c r="FS317" t="s">
        <v>1043</v>
      </c>
      <c r="FX317" t="s">
        <v>1042</v>
      </c>
      <c r="FZ317" t="s">
        <v>1048</v>
      </c>
      <c r="GA317">
        <v>0</v>
      </c>
      <c r="GB317" t="s">
        <v>1042</v>
      </c>
      <c r="GE317">
        <v>0</v>
      </c>
      <c r="GG317">
        <v>0</v>
      </c>
      <c r="GN317">
        <v>0</v>
      </c>
      <c r="GO317" t="s">
        <v>1063</v>
      </c>
      <c r="GQ317">
        <v>0</v>
      </c>
      <c r="GU317">
        <v>0</v>
      </c>
      <c r="GY317" t="s">
        <v>1045</v>
      </c>
      <c r="HB317">
        <v>0</v>
      </c>
      <c r="HE317">
        <v>0</v>
      </c>
      <c r="HF317">
        <v>0</v>
      </c>
      <c r="HG317">
        <v>0</v>
      </c>
      <c r="HK317" t="s">
        <v>1042</v>
      </c>
      <c r="HM317" t="s">
        <v>1047</v>
      </c>
      <c r="HN317">
        <v>0</v>
      </c>
      <c r="HP317">
        <v>0</v>
      </c>
      <c r="HQ317">
        <v>0</v>
      </c>
      <c r="HR317" t="s">
        <v>1042</v>
      </c>
      <c r="HS317" t="s">
        <v>1043</v>
      </c>
      <c r="HT317">
        <v>0</v>
      </c>
      <c r="HU317">
        <v>0</v>
      </c>
      <c r="HW317">
        <v>0</v>
      </c>
      <c r="HX317">
        <v>0</v>
      </c>
      <c r="HY317">
        <v>0</v>
      </c>
      <c r="HZ317" t="s">
        <v>1045</v>
      </c>
      <c r="IA317">
        <v>0</v>
      </c>
      <c r="IB317" t="s">
        <v>1045</v>
      </c>
      <c r="ID317" t="s">
        <v>1045</v>
      </c>
      <c r="IF317">
        <v>0</v>
      </c>
      <c r="IG317" t="s">
        <v>1042</v>
      </c>
      <c r="II317" t="s">
        <v>1042</v>
      </c>
      <c r="IR317" t="s">
        <v>1045</v>
      </c>
      <c r="IT317">
        <v>0</v>
      </c>
      <c r="IY317" t="s">
        <v>1044</v>
      </c>
      <c r="IZ317" t="s">
        <v>1043</v>
      </c>
      <c r="JC317" t="s">
        <v>1043</v>
      </c>
      <c r="JE317">
        <v>0</v>
      </c>
      <c r="JF317">
        <v>0</v>
      </c>
      <c r="JI317" t="s">
        <v>1042</v>
      </c>
      <c r="JJ317">
        <v>0</v>
      </c>
      <c r="JK317">
        <v>0</v>
      </c>
      <c r="JL317">
        <v>0</v>
      </c>
      <c r="JM317">
        <v>0</v>
      </c>
      <c r="JQ317" t="s">
        <v>1043</v>
      </c>
      <c r="JT317">
        <v>0</v>
      </c>
      <c r="JU317" t="s">
        <v>1042</v>
      </c>
      <c r="JW317">
        <v>0</v>
      </c>
      <c r="KA317">
        <v>0</v>
      </c>
      <c r="KF317">
        <v>0</v>
      </c>
      <c r="KG317">
        <v>0</v>
      </c>
      <c r="KH317">
        <v>0</v>
      </c>
      <c r="KI317">
        <v>0</v>
      </c>
      <c r="KS317" t="s">
        <v>1073</v>
      </c>
      <c r="KT317">
        <v>0</v>
      </c>
      <c r="KU317">
        <v>0</v>
      </c>
      <c r="KV317">
        <v>0</v>
      </c>
      <c r="KX317">
        <v>0</v>
      </c>
      <c r="KZ317">
        <v>0</v>
      </c>
      <c r="LF317">
        <v>0</v>
      </c>
      <c r="LH317">
        <v>0</v>
      </c>
      <c r="LI317">
        <v>0</v>
      </c>
    </row>
    <row r="318" spans="1:321" x14ac:dyDescent="0.35">
      <c r="A318">
        <v>1</v>
      </c>
      <c r="B318">
        <v>12536</v>
      </c>
      <c r="C318" t="s">
        <v>1376</v>
      </c>
      <c r="D318" t="s">
        <v>1139</v>
      </c>
      <c r="E318" t="s">
        <v>85</v>
      </c>
      <c r="F318">
        <v>80</v>
      </c>
      <c r="G318">
        <v>9000</v>
      </c>
      <c r="H318">
        <v>0</v>
      </c>
      <c r="I318" t="s">
        <v>1050</v>
      </c>
      <c r="L318">
        <v>0</v>
      </c>
      <c r="M318">
        <v>3.25</v>
      </c>
      <c r="N318">
        <v>0</v>
      </c>
      <c r="R318">
        <v>0</v>
      </c>
      <c r="S318">
        <v>0</v>
      </c>
      <c r="W318" t="s">
        <v>1060</v>
      </c>
      <c r="X318">
        <v>0</v>
      </c>
      <c r="Z318">
        <v>1</v>
      </c>
      <c r="AA318">
        <v>0</v>
      </c>
      <c r="AB318">
        <v>0</v>
      </c>
      <c r="AC318">
        <v>0</v>
      </c>
      <c r="AD318" s="20">
        <v>40794</v>
      </c>
      <c r="AE318">
        <v>4.93</v>
      </c>
      <c r="AF318">
        <v>0</v>
      </c>
      <c r="AH318">
        <v>0</v>
      </c>
      <c r="AJ318">
        <v>0</v>
      </c>
      <c r="AL318">
        <v>0</v>
      </c>
      <c r="AM318">
        <v>0</v>
      </c>
      <c r="AN318">
        <v>16601001</v>
      </c>
      <c r="AO318">
        <v>0</v>
      </c>
      <c r="AP318">
        <v>1000</v>
      </c>
      <c r="AT318">
        <v>0</v>
      </c>
      <c r="AU318" t="s">
        <v>1059</v>
      </c>
      <c r="AW318" t="s">
        <v>1053</v>
      </c>
      <c r="AX318">
        <v>0</v>
      </c>
      <c r="AY318" s="20">
        <v>40794</v>
      </c>
      <c r="BA318" s="20">
        <v>40794</v>
      </c>
      <c r="BB318" t="s">
        <v>1058</v>
      </c>
      <c r="BD318">
        <v>0</v>
      </c>
      <c r="BF318" t="s">
        <v>1043</v>
      </c>
      <c r="BG318" t="s">
        <v>1042</v>
      </c>
      <c r="BH318">
        <v>0</v>
      </c>
      <c r="BI318">
        <v>1</v>
      </c>
      <c r="BJ318">
        <v>0</v>
      </c>
      <c r="BK318">
        <v>0</v>
      </c>
      <c r="BM318" t="s">
        <v>1042</v>
      </c>
      <c r="BN318">
        <v>0</v>
      </c>
      <c r="BR318" t="s">
        <v>1043</v>
      </c>
      <c r="BS318" t="s">
        <v>1043</v>
      </c>
      <c r="BT318" t="s">
        <v>1043</v>
      </c>
      <c r="BW318">
        <v>83</v>
      </c>
      <c r="CA318">
        <v>0</v>
      </c>
      <c r="CB318" t="s">
        <v>1057</v>
      </c>
      <c r="CE318" t="s">
        <v>1043</v>
      </c>
      <c r="CH318" t="s">
        <v>1043</v>
      </c>
      <c r="CN318" t="s">
        <v>1056</v>
      </c>
      <c r="CO318" t="s">
        <v>1043</v>
      </c>
      <c r="CP318">
        <v>1</v>
      </c>
      <c r="CQ318">
        <v>0</v>
      </c>
      <c r="CS318">
        <v>0</v>
      </c>
      <c r="CT318">
        <v>0</v>
      </c>
      <c r="CU318">
        <v>0</v>
      </c>
      <c r="CV318" t="s">
        <v>1045</v>
      </c>
      <c r="CW318">
        <v>0</v>
      </c>
      <c r="CX318">
        <v>0</v>
      </c>
      <c r="CY318">
        <v>0</v>
      </c>
      <c r="CZ318">
        <v>0</v>
      </c>
      <c r="DB318">
        <v>0</v>
      </c>
      <c r="DC318" t="s">
        <v>1043</v>
      </c>
      <c r="DF318" t="s">
        <v>1055</v>
      </c>
      <c r="DH318">
        <v>0</v>
      </c>
      <c r="DJ318">
        <v>0</v>
      </c>
      <c r="DK318" t="s">
        <v>1053</v>
      </c>
      <c r="DL318">
        <v>0</v>
      </c>
      <c r="DN318">
        <v>0</v>
      </c>
      <c r="DO318" t="s">
        <v>1042</v>
      </c>
      <c r="DP318">
        <v>0</v>
      </c>
      <c r="DQ318">
        <v>0</v>
      </c>
      <c r="DS318">
        <v>0</v>
      </c>
      <c r="DU318">
        <v>0</v>
      </c>
      <c r="DW318">
        <v>0</v>
      </c>
      <c r="DX318" t="s">
        <v>1043</v>
      </c>
      <c r="DY318">
        <v>0</v>
      </c>
      <c r="DZ318">
        <v>0</v>
      </c>
      <c r="EA318">
        <v>0</v>
      </c>
      <c r="ED318" t="s">
        <v>1045</v>
      </c>
      <c r="EE318">
        <v>0</v>
      </c>
      <c r="EF318">
        <v>0</v>
      </c>
      <c r="EQ318" t="s">
        <v>1044</v>
      </c>
      <c r="ES318" t="s">
        <v>1053</v>
      </c>
      <c r="ET318">
        <v>0</v>
      </c>
      <c r="EV318">
        <v>0</v>
      </c>
      <c r="EY318" t="s">
        <v>1052</v>
      </c>
      <c r="EZ318">
        <v>0</v>
      </c>
      <c r="FA318" t="s">
        <v>1043</v>
      </c>
      <c r="FB318">
        <v>0</v>
      </c>
      <c r="FC318">
        <v>0</v>
      </c>
      <c r="FE318" t="s">
        <v>1050</v>
      </c>
      <c r="FF318">
        <v>0</v>
      </c>
      <c r="FG318" t="s">
        <v>1050</v>
      </c>
      <c r="FJ318">
        <v>0</v>
      </c>
      <c r="FK318">
        <v>0</v>
      </c>
      <c r="FP318">
        <v>0</v>
      </c>
      <c r="FR318">
        <v>0</v>
      </c>
      <c r="FS318" t="s">
        <v>1043</v>
      </c>
      <c r="FX318" t="s">
        <v>1042</v>
      </c>
      <c r="FZ318" t="s">
        <v>1048</v>
      </c>
      <c r="GA318">
        <v>0</v>
      </c>
      <c r="GB318" t="s">
        <v>1042</v>
      </c>
      <c r="GE318">
        <v>0</v>
      </c>
      <c r="GG318">
        <v>0</v>
      </c>
      <c r="GN318">
        <v>0</v>
      </c>
      <c r="GO318" t="s">
        <v>1063</v>
      </c>
      <c r="GQ318">
        <v>0</v>
      </c>
      <c r="GU318">
        <v>0</v>
      </c>
      <c r="GY318" t="s">
        <v>1045</v>
      </c>
      <c r="HB318">
        <v>0</v>
      </c>
      <c r="HE318">
        <v>0</v>
      </c>
      <c r="HF318">
        <v>0</v>
      </c>
      <c r="HG318">
        <v>0</v>
      </c>
      <c r="HK318" t="s">
        <v>1042</v>
      </c>
      <c r="HM318" t="s">
        <v>1047</v>
      </c>
      <c r="HN318">
        <v>0</v>
      </c>
      <c r="HP318">
        <v>0</v>
      </c>
      <c r="HQ318">
        <v>0</v>
      </c>
      <c r="HR318" t="s">
        <v>1042</v>
      </c>
      <c r="HS318" t="s">
        <v>1043</v>
      </c>
      <c r="HT318">
        <v>0</v>
      </c>
      <c r="HU318">
        <v>0</v>
      </c>
      <c r="HW318">
        <v>0</v>
      </c>
      <c r="HX318">
        <v>0</v>
      </c>
      <c r="HY318">
        <v>0</v>
      </c>
      <c r="HZ318" t="s">
        <v>1045</v>
      </c>
      <c r="IA318">
        <v>0</v>
      </c>
      <c r="IB318" t="s">
        <v>1045</v>
      </c>
      <c r="ID318" t="s">
        <v>1045</v>
      </c>
      <c r="IF318">
        <v>0</v>
      </c>
      <c r="IG318" t="s">
        <v>1042</v>
      </c>
      <c r="II318" t="s">
        <v>1042</v>
      </c>
      <c r="IR318" t="s">
        <v>1045</v>
      </c>
      <c r="IT318">
        <v>0</v>
      </c>
      <c r="IY318" t="s">
        <v>1044</v>
      </c>
      <c r="IZ318" t="s">
        <v>1043</v>
      </c>
      <c r="JC318" t="s">
        <v>1043</v>
      </c>
      <c r="JE318">
        <v>0</v>
      </c>
      <c r="JF318">
        <v>0</v>
      </c>
      <c r="JI318" t="s">
        <v>1042</v>
      </c>
      <c r="JJ318">
        <v>0</v>
      </c>
      <c r="JK318">
        <v>0</v>
      </c>
      <c r="JL318">
        <v>0</v>
      </c>
      <c r="JM318">
        <v>0</v>
      </c>
      <c r="JQ318" t="s">
        <v>1043</v>
      </c>
      <c r="JT318">
        <v>0</v>
      </c>
      <c r="JU318" t="s">
        <v>1042</v>
      </c>
      <c r="JW318">
        <v>0</v>
      </c>
      <c r="KA318">
        <v>0</v>
      </c>
      <c r="KF318">
        <v>0</v>
      </c>
      <c r="KG318">
        <v>0</v>
      </c>
      <c r="KH318">
        <v>0</v>
      </c>
      <c r="KI318">
        <v>0</v>
      </c>
      <c r="KS318" t="s">
        <v>1073</v>
      </c>
      <c r="KT318">
        <v>0</v>
      </c>
      <c r="KU318">
        <v>0</v>
      </c>
      <c r="KV318">
        <v>0</v>
      </c>
      <c r="KX318">
        <v>0</v>
      </c>
      <c r="KZ318">
        <v>0</v>
      </c>
      <c r="LF318">
        <v>0</v>
      </c>
      <c r="LH318">
        <v>0</v>
      </c>
      <c r="LI318">
        <v>0</v>
      </c>
    </row>
    <row r="319" spans="1:321" x14ac:dyDescent="0.35">
      <c r="A319">
        <v>1</v>
      </c>
      <c r="B319">
        <v>12537</v>
      </c>
      <c r="C319" t="s">
        <v>1375</v>
      </c>
      <c r="D319" t="s">
        <v>1139</v>
      </c>
      <c r="E319" t="s">
        <v>85</v>
      </c>
      <c r="F319">
        <v>80</v>
      </c>
      <c r="G319">
        <v>9000</v>
      </c>
      <c r="H319">
        <v>0</v>
      </c>
      <c r="I319" t="s">
        <v>1050</v>
      </c>
      <c r="L319">
        <v>0</v>
      </c>
      <c r="M319">
        <v>3.25</v>
      </c>
      <c r="N319">
        <v>0</v>
      </c>
      <c r="R319">
        <v>0</v>
      </c>
      <c r="S319">
        <v>0</v>
      </c>
      <c r="W319" t="s">
        <v>1060</v>
      </c>
      <c r="X319">
        <v>0</v>
      </c>
      <c r="Z319">
        <v>1</v>
      </c>
      <c r="AA319">
        <v>0</v>
      </c>
      <c r="AB319">
        <v>0</v>
      </c>
      <c r="AC319">
        <v>0</v>
      </c>
      <c r="AD319" s="20">
        <v>40794</v>
      </c>
      <c r="AE319">
        <v>61.37</v>
      </c>
      <c r="AF319">
        <v>0</v>
      </c>
      <c r="AH319">
        <v>0</v>
      </c>
      <c r="AJ319">
        <v>0</v>
      </c>
      <c r="AL319">
        <v>0</v>
      </c>
      <c r="AM319">
        <v>0</v>
      </c>
      <c r="AN319">
        <v>16601001</v>
      </c>
      <c r="AO319">
        <v>0</v>
      </c>
      <c r="AP319">
        <v>1000</v>
      </c>
      <c r="AT319">
        <v>0</v>
      </c>
      <c r="AU319" t="s">
        <v>1059</v>
      </c>
      <c r="AW319" t="s">
        <v>1053</v>
      </c>
      <c r="AX319">
        <v>0</v>
      </c>
      <c r="AY319" s="20">
        <v>40794</v>
      </c>
      <c r="BA319" s="20">
        <v>40794</v>
      </c>
      <c r="BB319" t="s">
        <v>1058</v>
      </c>
      <c r="BD319">
        <v>0</v>
      </c>
      <c r="BF319" t="s">
        <v>1043</v>
      </c>
      <c r="BG319" t="s">
        <v>1042</v>
      </c>
      <c r="BH319">
        <v>0</v>
      </c>
      <c r="BI319">
        <v>1</v>
      </c>
      <c r="BJ319">
        <v>0</v>
      </c>
      <c r="BK319">
        <v>0</v>
      </c>
      <c r="BM319" t="s">
        <v>1042</v>
      </c>
      <c r="BN319">
        <v>0</v>
      </c>
      <c r="BR319" t="s">
        <v>1043</v>
      </c>
      <c r="BS319" t="s">
        <v>1043</v>
      </c>
      <c r="BT319" t="s">
        <v>1043</v>
      </c>
      <c r="BW319">
        <v>83</v>
      </c>
      <c r="CA319">
        <v>0</v>
      </c>
      <c r="CB319" t="s">
        <v>1057</v>
      </c>
      <c r="CE319" t="s">
        <v>1043</v>
      </c>
      <c r="CH319" t="s">
        <v>1043</v>
      </c>
      <c r="CN319" t="s">
        <v>1056</v>
      </c>
      <c r="CO319" t="s">
        <v>1043</v>
      </c>
      <c r="CP319">
        <v>1</v>
      </c>
      <c r="CQ319">
        <v>0</v>
      </c>
      <c r="CS319">
        <v>0</v>
      </c>
      <c r="CT319">
        <v>0</v>
      </c>
      <c r="CU319">
        <v>0</v>
      </c>
      <c r="CV319" t="s">
        <v>1045</v>
      </c>
      <c r="CW319">
        <v>0</v>
      </c>
      <c r="CX319">
        <v>0</v>
      </c>
      <c r="CY319">
        <v>0</v>
      </c>
      <c r="CZ319">
        <v>0</v>
      </c>
      <c r="DB319">
        <v>0</v>
      </c>
      <c r="DC319" t="s">
        <v>1043</v>
      </c>
      <c r="DF319" t="s">
        <v>1055</v>
      </c>
      <c r="DH319">
        <v>0</v>
      </c>
      <c r="DJ319">
        <v>0</v>
      </c>
      <c r="DK319" t="s">
        <v>1053</v>
      </c>
      <c r="DL319">
        <v>0</v>
      </c>
      <c r="DN319">
        <v>0</v>
      </c>
      <c r="DO319" t="s">
        <v>1042</v>
      </c>
      <c r="DP319">
        <v>0</v>
      </c>
      <c r="DQ319">
        <v>0</v>
      </c>
      <c r="DS319">
        <v>0</v>
      </c>
      <c r="DU319">
        <v>0</v>
      </c>
      <c r="DW319">
        <v>0</v>
      </c>
      <c r="DX319" t="s">
        <v>1043</v>
      </c>
      <c r="DY319">
        <v>0</v>
      </c>
      <c r="DZ319">
        <v>0</v>
      </c>
      <c r="EA319">
        <v>0</v>
      </c>
      <c r="ED319" t="s">
        <v>1045</v>
      </c>
      <c r="EE319">
        <v>0</v>
      </c>
      <c r="EF319">
        <v>0</v>
      </c>
      <c r="EQ319" t="s">
        <v>1044</v>
      </c>
      <c r="ES319" t="s">
        <v>1053</v>
      </c>
      <c r="ET319">
        <v>0</v>
      </c>
      <c r="EV319">
        <v>0</v>
      </c>
      <c r="EY319" t="s">
        <v>1052</v>
      </c>
      <c r="EZ319">
        <v>0</v>
      </c>
      <c r="FA319" t="s">
        <v>1043</v>
      </c>
      <c r="FB319">
        <v>0</v>
      </c>
      <c r="FC319">
        <v>0</v>
      </c>
      <c r="FE319" t="s">
        <v>1050</v>
      </c>
      <c r="FF319">
        <v>0</v>
      </c>
      <c r="FG319" t="s">
        <v>1050</v>
      </c>
      <c r="FJ319">
        <v>0</v>
      </c>
      <c r="FK319">
        <v>0</v>
      </c>
      <c r="FP319">
        <v>0</v>
      </c>
      <c r="FR319">
        <v>0</v>
      </c>
      <c r="FS319" t="s">
        <v>1043</v>
      </c>
      <c r="FX319" t="s">
        <v>1042</v>
      </c>
      <c r="FZ319" t="s">
        <v>1048</v>
      </c>
      <c r="GA319">
        <v>0</v>
      </c>
      <c r="GB319" t="s">
        <v>1042</v>
      </c>
      <c r="GE319">
        <v>0</v>
      </c>
      <c r="GG319">
        <v>0</v>
      </c>
      <c r="GN319">
        <v>0</v>
      </c>
      <c r="GO319" t="s">
        <v>1063</v>
      </c>
      <c r="GQ319">
        <v>0</v>
      </c>
      <c r="GU319">
        <v>0</v>
      </c>
      <c r="GY319" t="s">
        <v>1045</v>
      </c>
      <c r="HB319">
        <v>0</v>
      </c>
      <c r="HE319">
        <v>0</v>
      </c>
      <c r="HF319">
        <v>0</v>
      </c>
      <c r="HG319">
        <v>0</v>
      </c>
      <c r="HK319" t="s">
        <v>1042</v>
      </c>
      <c r="HM319" t="s">
        <v>1047</v>
      </c>
      <c r="HN319">
        <v>0</v>
      </c>
      <c r="HP319">
        <v>0</v>
      </c>
      <c r="HQ319">
        <v>0</v>
      </c>
      <c r="HR319" t="s">
        <v>1042</v>
      </c>
      <c r="HS319" t="s">
        <v>1043</v>
      </c>
      <c r="HT319">
        <v>0</v>
      </c>
      <c r="HU319">
        <v>0</v>
      </c>
      <c r="HW319">
        <v>0</v>
      </c>
      <c r="HX319">
        <v>0</v>
      </c>
      <c r="HY319">
        <v>0</v>
      </c>
      <c r="HZ319" t="s">
        <v>1045</v>
      </c>
      <c r="IA319">
        <v>0</v>
      </c>
      <c r="IB319" t="s">
        <v>1045</v>
      </c>
      <c r="ID319" t="s">
        <v>1045</v>
      </c>
      <c r="IF319">
        <v>0</v>
      </c>
      <c r="IG319" t="s">
        <v>1042</v>
      </c>
      <c r="II319" t="s">
        <v>1042</v>
      </c>
      <c r="IR319" t="s">
        <v>1045</v>
      </c>
      <c r="IT319">
        <v>0</v>
      </c>
      <c r="IY319" t="s">
        <v>1044</v>
      </c>
      <c r="IZ319" t="s">
        <v>1043</v>
      </c>
      <c r="JC319" t="s">
        <v>1043</v>
      </c>
      <c r="JE319">
        <v>0</v>
      </c>
      <c r="JF319">
        <v>0</v>
      </c>
      <c r="JI319" t="s">
        <v>1042</v>
      </c>
      <c r="JJ319">
        <v>0</v>
      </c>
      <c r="JK319">
        <v>0</v>
      </c>
      <c r="JL319">
        <v>0</v>
      </c>
      <c r="JM319">
        <v>0</v>
      </c>
      <c r="JQ319" t="s">
        <v>1043</v>
      </c>
      <c r="JT319">
        <v>0</v>
      </c>
      <c r="JU319" t="s">
        <v>1042</v>
      </c>
      <c r="JW319">
        <v>0</v>
      </c>
      <c r="KA319">
        <v>0</v>
      </c>
      <c r="KF319">
        <v>0</v>
      </c>
      <c r="KG319">
        <v>0</v>
      </c>
      <c r="KH319">
        <v>0</v>
      </c>
      <c r="KI319">
        <v>0</v>
      </c>
      <c r="KS319" t="s">
        <v>1073</v>
      </c>
      <c r="KT319">
        <v>0</v>
      </c>
      <c r="KU319">
        <v>0</v>
      </c>
      <c r="KV319">
        <v>0</v>
      </c>
      <c r="KX319">
        <v>0</v>
      </c>
      <c r="KZ319">
        <v>0</v>
      </c>
      <c r="LF319">
        <v>0</v>
      </c>
      <c r="LH319">
        <v>0</v>
      </c>
      <c r="LI319">
        <v>0</v>
      </c>
    </row>
    <row r="320" spans="1:321" x14ac:dyDescent="0.35">
      <c r="A320">
        <v>1</v>
      </c>
      <c r="B320">
        <v>12538</v>
      </c>
      <c r="C320" t="s">
        <v>1374</v>
      </c>
      <c r="D320" t="s">
        <v>1139</v>
      </c>
      <c r="E320" t="s">
        <v>85</v>
      </c>
      <c r="F320">
        <v>80</v>
      </c>
      <c r="G320">
        <v>9000</v>
      </c>
      <c r="H320">
        <v>0</v>
      </c>
      <c r="I320" t="s">
        <v>1050</v>
      </c>
      <c r="L320">
        <v>0</v>
      </c>
      <c r="M320">
        <v>3.25</v>
      </c>
      <c r="N320">
        <v>0</v>
      </c>
      <c r="R320">
        <v>0</v>
      </c>
      <c r="S320">
        <v>0</v>
      </c>
      <c r="W320" t="s">
        <v>1060</v>
      </c>
      <c r="X320">
        <v>0</v>
      </c>
      <c r="Z320">
        <v>1</v>
      </c>
      <c r="AA320">
        <v>0</v>
      </c>
      <c r="AB320">
        <v>0</v>
      </c>
      <c r="AC320">
        <v>0</v>
      </c>
      <c r="AD320" s="20">
        <v>40794</v>
      </c>
      <c r="AE320">
        <v>318.39999999999998</v>
      </c>
      <c r="AF320">
        <v>0</v>
      </c>
      <c r="AH320">
        <v>0</v>
      </c>
      <c r="AJ320">
        <v>0</v>
      </c>
      <c r="AL320">
        <v>0</v>
      </c>
      <c r="AM320">
        <v>0</v>
      </c>
      <c r="AN320">
        <v>16601001</v>
      </c>
      <c r="AO320">
        <v>0</v>
      </c>
      <c r="AP320">
        <v>1000</v>
      </c>
      <c r="AT320">
        <v>0</v>
      </c>
      <c r="AU320" t="s">
        <v>1059</v>
      </c>
      <c r="AW320" t="s">
        <v>1053</v>
      </c>
      <c r="AX320">
        <v>0</v>
      </c>
      <c r="AY320" s="20">
        <v>40794</v>
      </c>
      <c r="BA320" s="20">
        <v>40794</v>
      </c>
      <c r="BB320" t="s">
        <v>1058</v>
      </c>
      <c r="BD320">
        <v>0</v>
      </c>
      <c r="BF320" t="s">
        <v>1043</v>
      </c>
      <c r="BG320" t="s">
        <v>1042</v>
      </c>
      <c r="BH320">
        <v>0</v>
      </c>
      <c r="BI320">
        <v>1</v>
      </c>
      <c r="BJ320">
        <v>0</v>
      </c>
      <c r="BK320">
        <v>0</v>
      </c>
      <c r="BM320" t="s">
        <v>1042</v>
      </c>
      <c r="BN320">
        <v>0</v>
      </c>
      <c r="BR320" t="s">
        <v>1043</v>
      </c>
      <c r="BS320" t="s">
        <v>1043</v>
      </c>
      <c r="BT320" t="s">
        <v>1043</v>
      </c>
      <c r="BW320">
        <v>83</v>
      </c>
      <c r="CA320">
        <v>0</v>
      </c>
      <c r="CB320" t="s">
        <v>1057</v>
      </c>
      <c r="CE320" t="s">
        <v>1043</v>
      </c>
      <c r="CH320" t="s">
        <v>1043</v>
      </c>
      <c r="CN320" t="s">
        <v>1056</v>
      </c>
      <c r="CO320" t="s">
        <v>1043</v>
      </c>
      <c r="CP320">
        <v>1</v>
      </c>
      <c r="CQ320">
        <v>0</v>
      </c>
      <c r="CS320">
        <v>0</v>
      </c>
      <c r="CT320">
        <v>0</v>
      </c>
      <c r="CU320">
        <v>0</v>
      </c>
      <c r="CV320" t="s">
        <v>1045</v>
      </c>
      <c r="CW320">
        <v>0</v>
      </c>
      <c r="CX320">
        <v>0</v>
      </c>
      <c r="CY320">
        <v>0</v>
      </c>
      <c r="CZ320">
        <v>0</v>
      </c>
      <c r="DB320">
        <v>0</v>
      </c>
      <c r="DC320" t="s">
        <v>1043</v>
      </c>
      <c r="DF320" t="s">
        <v>1055</v>
      </c>
      <c r="DH320">
        <v>0</v>
      </c>
      <c r="DJ320">
        <v>0</v>
      </c>
      <c r="DK320" t="s">
        <v>1053</v>
      </c>
      <c r="DL320">
        <v>0</v>
      </c>
      <c r="DN320">
        <v>0</v>
      </c>
      <c r="DO320" t="s">
        <v>1042</v>
      </c>
      <c r="DP320">
        <v>0</v>
      </c>
      <c r="DQ320">
        <v>0</v>
      </c>
      <c r="DS320">
        <v>0</v>
      </c>
      <c r="DU320">
        <v>0</v>
      </c>
      <c r="DW320">
        <v>0</v>
      </c>
      <c r="DX320" t="s">
        <v>1043</v>
      </c>
      <c r="DY320">
        <v>0</v>
      </c>
      <c r="DZ320">
        <v>0</v>
      </c>
      <c r="EA320">
        <v>0</v>
      </c>
      <c r="ED320" t="s">
        <v>1045</v>
      </c>
      <c r="EE320">
        <v>0</v>
      </c>
      <c r="EF320">
        <v>0</v>
      </c>
      <c r="EQ320" t="s">
        <v>1044</v>
      </c>
      <c r="ES320" t="s">
        <v>1053</v>
      </c>
      <c r="ET320">
        <v>0</v>
      </c>
      <c r="EV320">
        <v>0</v>
      </c>
      <c r="EY320" t="s">
        <v>1052</v>
      </c>
      <c r="EZ320">
        <v>0</v>
      </c>
      <c r="FA320" t="s">
        <v>1043</v>
      </c>
      <c r="FB320">
        <v>0</v>
      </c>
      <c r="FC320">
        <v>0</v>
      </c>
      <c r="FE320" t="s">
        <v>1050</v>
      </c>
      <c r="FF320">
        <v>0</v>
      </c>
      <c r="FG320" t="s">
        <v>1050</v>
      </c>
      <c r="FJ320">
        <v>0</v>
      </c>
      <c r="FK320">
        <v>0</v>
      </c>
      <c r="FP320">
        <v>0</v>
      </c>
      <c r="FR320">
        <v>0</v>
      </c>
      <c r="FS320" t="s">
        <v>1043</v>
      </c>
      <c r="FX320" t="s">
        <v>1042</v>
      </c>
      <c r="FZ320" t="s">
        <v>1048</v>
      </c>
      <c r="GA320">
        <v>0</v>
      </c>
      <c r="GB320" t="s">
        <v>1042</v>
      </c>
      <c r="GE320">
        <v>0</v>
      </c>
      <c r="GG320">
        <v>0</v>
      </c>
      <c r="GN320">
        <v>0</v>
      </c>
      <c r="GO320" t="s">
        <v>1063</v>
      </c>
      <c r="GQ320">
        <v>0</v>
      </c>
      <c r="GU320">
        <v>0</v>
      </c>
      <c r="GY320" t="s">
        <v>1045</v>
      </c>
      <c r="HB320">
        <v>0</v>
      </c>
      <c r="HE320">
        <v>0</v>
      </c>
      <c r="HF320">
        <v>0</v>
      </c>
      <c r="HG320">
        <v>0</v>
      </c>
      <c r="HK320" t="s">
        <v>1042</v>
      </c>
      <c r="HM320" t="s">
        <v>1047</v>
      </c>
      <c r="HN320">
        <v>0</v>
      </c>
      <c r="HP320">
        <v>0</v>
      </c>
      <c r="HQ320">
        <v>0</v>
      </c>
      <c r="HR320" t="s">
        <v>1042</v>
      </c>
      <c r="HS320" t="s">
        <v>1043</v>
      </c>
      <c r="HT320">
        <v>0</v>
      </c>
      <c r="HU320">
        <v>0</v>
      </c>
      <c r="HW320">
        <v>0</v>
      </c>
      <c r="HX320">
        <v>0</v>
      </c>
      <c r="HY320">
        <v>0</v>
      </c>
      <c r="HZ320" t="s">
        <v>1045</v>
      </c>
      <c r="IA320">
        <v>0</v>
      </c>
      <c r="IB320" t="s">
        <v>1045</v>
      </c>
      <c r="ID320" t="s">
        <v>1045</v>
      </c>
      <c r="IF320">
        <v>0</v>
      </c>
      <c r="IG320" t="s">
        <v>1042</v>
      </c>
      <c r="II320" t="s">
        <v>1042</v>
      </c>
      <c r="IR320" t="s">
        <v>1045</v>
      </c>
      <c r="IT320">
        <v>0</v>
      </c>
      <c r="IY320" t="s">
        <v>1044</v>
      </c>
      <c r="IZ320" t="s">
        <v>1043</v>
      </c>
      <c r="JC320" t="s">
        <v>1043</v>
      </c>
      <c r="JE320">
        <v>0</v>
      </c>
      <c r="JF320">
        <v>0</v>
      </c>
      <c r="JI320" t="s">
        <v>1042</v>
      </c>
      <c r="JJ320">
        <v>0</v>
      </c>
      <c r="JK320">
        <v>0</v>
      </c>
      <c r="JL320">
        <v>0</v>
      </c>
      <c r="JM320">
        <v>0</v>
      </c>
      <c r="JQ320" t="s">
        <v>1043</v>
      </c>
      <c r="JT320">
        <v>0</v>
      </c>
      <c r="JU320" t="s">
        <v>1042</v>
      </c>
      <c r="JW320">
        <v>0</v>
      </c>
      <c r="KA320">
        <v>0</v>
      </c>
      <c r="KF320">
        <v>0</v>
      </c>
      <c r="KG320">
        <v>0</v>
      </c>
      <c r="KH320">
        <v>0</v>
      </c>
      <c r="KI320">
        <v>0</v>
      </c>
      <c r="KS320" t="s">
        <v>1073</v>
      </c>
      <c r="KT320">
        <v>0</v>
      </c>
      <c r="KU320">
        <v>0</v>
      </c>
      <c r="KV320">
        <v>0</v>
      </c>
      <c r="KX320">
        <v>0</v>
      </c>
      <c r="KZ320">
        <v>0</v>
      </c>
      <c r="LF320">
        <v>0</v>
      </c>
      <c r="LH320">
        <v>0</v>
      </c>
      <c r="LI320">
        <v>0</v>
      </c>
    </row>
    <row r="321" spans="1:321" x14ac:dyDescent="0.35">
      <c r="A321">
        <v>1</v>
      </c>
      <c r="B321">
        <v>12539</v>
      </c>
      <c r="C321" t="s">
        <v>1373</v>
      </c>
      <c r="D321" t="s">
        <v>1139</v>
      </c>
      <c r="E321" t="s">
        <v>85</v>
      </c>
      <c r="F321">
        <v>80</v>
      </c>
      <c r="G321">
        <v>9000</v>
      </c>
      <c r="H321">
        <v>0</v>
      </c>
      <c r="I321" t="s">
        <v>1050</v>
      </c>
      <c r="L321">
        <v>0</v>
      </c>
      <c r="M321">
        <v>3.25</v>
      </c>
      <c r="N321">
        <v>0</v>
      </c>
      <c r="R321">
        <v>0</v>
      </c>
      <c r="S321">
        <v>0</v>
      </c>
      <c r="W321" t="s">
        <v>1060</v>
      </c>
      <c r="X321">
        <v>0</v>
      </c>
      <c r="Z321">
        <v>1</v>
      </c>
      <c r="AA321">
        <v>0</v>
      </c>
      <c r="AB321">
        <v>0</v>
      </c>
      <c r="AC321">
        <v>0</v>
      </c>
      <c r="AD321" s="20">
        <v>40794</v>
      </c>
      <c r="AE321">
        <v>112.13</v>
      </c>
      <c r="AF321">
        <v>0</v>
      </c>
      <c r="AH321">
        <v>0</v>
      </c>
      <c r="AJ321">
        <v>0</v>
      </c>
      <c r="AL321">
        <v>0</v>
      </c>
      <c r="AM321">
        <v>0</v>
      </c>
      <c r="AN321">
        <v>16601001</v>
      </c>
      <c r="AO321">
        <v>0</v>
      </c>
      <c r="AP321">
        <v>1000</v>
      </c>
      <c r="AT321">
        <v>0</v>
      </c>
      <c r="AU321" t="s">
        <v>1059</v>
      </c>
      <c r="AW321" t="s">
        <v>1053</v>
      </c>
      <c r="AX321">
        <v>0</v>
      </c>
      <c r="AY321" s="20">
        <v>40794</v>
      </c>
      <c r="BA321" s="20">
        <v>40794</v>
      </c>
      <c r="BB321" t="s">
        <v>1058</v>
      </c>
      <c r="BD321">
        <v>0</v>
      </c>
      <c r="BF321" t="s">
        <v>1043</v>
      </c>
      <c r="BG321" t="s">
        <v>1042</v>
      </c>
      <c r="BH321">
        <v>0</v>
      </c>
      <c r="BI321">
        <v>1</v>
      </c>
      <c r="BJ321">
        <v>0</v>
      </c>
      <c r="BK321">
        <v>0</v>
      </c>
      <c r="BM321" t="s">
        <v>1042</v>
      </c>
      <c r="BN321">
        <v>0</v>
      </c>
      <c r="BR321" t="s">
        <v>1043</v>
      </c>
      <c r="BS321" t="s">
        <v>1043</v>
      </c>
      <c r="BT321" t="s">
        <v>1043</v>
      </c>
      <c r="BW321">
        <v>83</v>
      </c>
      <c r="CA321">
        <v>0</v>
      </c>
      <c r="CB321" t="s">
        <v>1057</v>
      </c>
      <c r="CE321" t="s">
        <v>1043</v>
      </c>
      <c r="CH321" t="s">
        <v>1043</v>
      </c>
      <c r="CN321" t="s">
        <v>1056</v>
      </c>
      <c r="CO321" t="s">
        <v>1043</v>
      </c>
      <c r="CP321">
        <v>1</v>
      </c>
      <c r="CQ321">
        <v>0</v>
      </c>
      <c r="CS321">
        <v>0</v>
      </c>
      <c r="CT321">
        <v>0</v>
      </c>
      <c r="CU321">
        <v>0</v>
      </c>
      <c r="CV321" t="s">
        <v>1045</v>
      </c>
      <c r="CW321">
        <v>0</v>
      </c>
      <c r="CX321">
        <v>0</v>
      </c>
      <c r="CY321">
        <v>0</v>
      </c>
      <c r="CZ321">
        <v>0</v>
      </c>
      <c r="DB321">
        <v>0</v>
      </c>
      <c r="DC321" t="s">
        <v>1043</v>
      </c>
      <c r="DF321" t="s">
        <v>1055</v>
      </c>
      <c r="DH321">
        <v>0</v>
      </c>
      <c r="DJ321">
        <v>0</v>
      </c>
      <c r="DK321" t="s">
        <v>1053</v>
      </c>
      <c r="DL321">
        <v>0</v>
      </c>
      <c r="DN321">
        <v>0</v>
      </c>
      <c r="DO321" t="s">
        <v>1042</v>
      </c>
      <c r="DP321">
        <v>0</v>
      </c>
      <c r="DQ321">
        <v>0</v>
      </c>
      <c r="DS321">
        <v>0</v>
      </c>
      <c r="DU321">
        <v>0</v>
      </c>
      <c r="DW321">
        <v>0</v>
      </c>
      <c r="DX321" t="s">
        <v>1043</v>
      </c>
      <c r="DY321">
        <v>0</v>
      </c>
      <c r="DZ321">
        <v>0</v>
      </c>
      <c r="EA321">
        <v>0</v>
      </c>
      <c r="ED321" t="s">
        <v>1045</v>
      </c>
      <c r="EE321">
        <v>0</v>
      </c>
      <c r="EF321">
        <v>0</v>
      </c>
      <c r="EQ321" t="s">
        <v>1044</v>
      </c>
      <c r="ES321" t="s">
        <v>1053</v>
      </c>
      <c r="ET321">
        <v>0</v>
      </c>
      <c r="EV321">
        <v>0</v>
      </c>
      <c r="EY321" t="s">
        <v>1052</v>
      </c>
      <c r="EZ321">
        <v>0</v>
      </c>
      <c r="FA321" t="s">
        <v>1043</v>
      </c>
      <c r="FB321">
        <v>0</v>
      </c>
      <c r="FC321">
        <v>0</v>
      </c>
      <c r="FE321" t="s">
        <v>1050</v>
      </c>
      <c r="FF321">
        <v>0</v>
      </c>
      <c r="FG321" t="s">
        <v>1050</v>
      </c>
      <c r="FJ321">
        <v>0</v>
      </c>
      <c r="FK321">
        <v>0</v>
      </c>
      <c r="FP321">
        <v>0</v>
      </c>
      <c r="FR321">
        <v>0</v>
      </c>
      <c r="FS321" t="s">
        <v>1043</v>
      </c>
      <c r="FX321" t="s">
        <v>1042</v>
      </c>
      <c r="FZ321" t="s">
        <v>1048</v>
      </c>
      <c r="GA321">
        <v>0</v>
      </c>
      <c r="GB321" t="s">
        <v>1042</v>
      </c>
      <c r="GE321">
        <v>0</v>
      </c>
      <c r="GG321">
        <v>0</v>
      </c>
      <c r="GN321">
        <v>0</v>
      </c>
      <c r="GO321" t="s">
        <v>1063</v>
      </c>
      <c r="GQ321">
        <v>0</v>
      </c>
      <c r="GU321">
        <v>0</v>
      </c>
      <c r="GY321" t="s">
        <v>1045</v>
      </c>
      <c r="HB321">
        <v>0</v>
      </c>
      <c r="HE321">
        <v>0</v>
      </c>
      <c r="HF321">
        <v>0</v>
      </c>
      <c r="HG321">
        <v>0</v>
      </c>
      <c r="HK321" t="s">
        <v>1042</v>
      </c>
      <c r="HM321" t="s">
        <v>1047</v>
      </c>
      <c r="HN321">
        <v>0</v>
      </c>
      <c r="HP321">
        <v>0</v>
      </c>
      <c r="HQ321">
        <v>0</v>
      </c>
      <c r="HR321" t="s">
        <v>1042</v>
      </c>
      <c r="HS321" t="s">
        <v>1043</v>
      </c>
      <c r="HT321">
        <v>0</v>
      </c>
      <c r="HU321">
        <v>0</v>
      </c>
      <c r="HW321">
        <v>0</v>
      </c>
      <c r="HX321">
        <v>0</v>
      </c>
      <c r="HY321">
        <v>0</v>
      </c>
      <c r="HZ321" t="s">
        <v>1045</v>
      </c>
      <c r="IA321">
        <v>0</v>
      </c>
      <c r="IB321" t="s">
        <v>1045</v>
      </c>
      <c r="ID321" t="s">
        <v>1045</v>
      </c>
      <c r="IF321">
        <v>0</v>
      </c>
      <c r="IG321" t="s">
        <v>1042</v>
      </c>
      <c r="II321" t="s">
        <v>1042</v>
      </c>
      <c r="IR321" t="s">
        <v>1045</v>
      </c>
      <c r="IT321">
        <v>0</v>
      </c>
      <c r="IY321" t="s">
        <v>1044</v>
      </c>
      <c r="IZ321" t="s">
        <v>1043</v>
      </c>
      <c r="JC321" t="s">
        <v>1043</v>
      </c>
      <c r="JE321">
        <v>0</v>
      </c>
      <c r="JF321">
        <v>0</v>
      </c>
      <c r="JI321" t="s">
        <v>1042</v>
      </c>
      <c r="JJ321">
        <v>0</v>
      </c>
      <c r="JK321">
        <v>0</v>
      </c>
      <c r="JL321">
        <v>0</v>
      </c>
      <c r="JM321">
        <v>0</v>
      </c>
      <c r="JQ321" t="s">
        <v>1043</v>
      </c>
      <c r="JT321">
        <v>0</v>
      </c>
      <c r="JU321" t="s">
        <v>1042</v>
      </c>
      <c r="JW321">
        <v>0</v>
      </c>
      <c r="KA321">
        <v>0</v>
      </c>
      <c r="KF321">
        <v>0</v>
      </c>
      <c r="KG321">
        <v>0</v>
      </c>
      <c r="KH321">
        <v>0</v>
      </c>
      <c r="KI321">
        <v>0</v>
      </c>
      <c r="KS321" t="s">
        <v>1073</v>
      </c>
      <c r="KT321">
        <v>0</v>
      </c>
      <c r="KU321">
        <v>0</v>
      </c>
      <c r="KV321">
        <v>0</v>
      </c>
      <c r="KX321">
        <v>0</v>
      </c>
      <c r="KZ321">
        <v>0</v>
      </c>
      <c r="LF321">
        <v>0</v>
      </c>
      <c r="LH321">
        <v>0</v>
      </c>
      <c r="LI321">
        <v>0</v>
      </c>
    </row>
    <row r="322" spans="1:321" x14ac:dyDescent="0.35">
      <c r="A322">
        <v>1</v>
      </c>
      <c r="B322">
        <v>1254</v>
      </c>
      <c r="C322" t="s">
        <v>1372</v>
      </c>
      <c r="D322" t="s">
        <v>1061</v>
      </c>
      <c r="E322" t="s">
        <v>85</v>
      </c>
      <c r="F322">
        <v>1</v>
      </c>
      <c r="G322">
        <v>240</v>
      </c>
      <c r="H322">
        <v>0</v>
      </c>
      <c r="I322" t="s">
        <v>994</v>
      </c>
      <c r="L322">
        <v>0</v>
      </c>
      <c r="M322">
        <v>0</v>
      </c>
      <c r="N322">
        <v>0</v>
      </c>
      <c r="P322">
        <v>13</v>
      </c>
      <c r="Q322">
        <v>516</v>
      </c>
      <c r="R322">
        <v>0</v>
      </c>
      <c r="S322">
        <v>0</v>
      </c>
      <c r="W322" t="s">
        <v>1060</v>
      </c>
      <c r="X322">
        <v>0</v>
      </c>
      <c r="Z322">
        <v>12</v>
      </c>
      <c r="AA322">
        <v>18.187799999999999</v>
      </c>
      <c r="AB322">
        <v>0</v>
      </c>
      <c r="AC322">
        <v>0</v>
      </c>
      <c r="AD322" t="s">
        <v>1042</v>
      </c>
      <c r="AE322">
        <v>0</v>
      </c>
      <c r="AF322">
        <v>7.3700000000000002E-2</v>
      </c>
      <c r="AH322">
        <v>0</v>
      </c>
      <c r="AJ322">
        <v>0</v>
      </c>
      <c r="AL322">
        <v>0</v>
      </c>
      <c r="AM322">
        <v>0</v>
      </c>
      <c r="AN322">
        <v>11501001</v>
      </c>
      <c r="AO322">
        <v>0</v>
      </c>
      <c r="AP322">
        <v>1002</v>
      </c>
      <c r="AT322">
        <v>0</v>
      </c>
      <c r="AU322" t="s">
        <v>1059</v>
      </c>
      <c r="AW322" t="s">
        <v>1053</v>
      </c>
      <c r="AX322">
        <v>5</v>
      </c>
      <c r="AY322" s="20">
        <v>44460</v>
      </c>
      <c r="BA322" s="20">
        <v>44620</v>
      </c>
      <c r="BB322" t="s">
        <v>1058</v>
      </c>
      <c r="BD322">
        <v>0</v>
      </c>
      <c r="BF322" t="s">
        <v>1044</v>
      </c>
      <c r="BG322" t="s">
        <v>1042</v>
      </c>
      <c r="BH322">
        <v>0</v>
      </c>
      <c r="BI322">
        <v>21</v>
      </c>
      <c r="BJ322">
        <v>0</v>
      </c>
      <c r="BK322">
        <v>0</v>
      </c>
      <c r="BM322" s="20">
        <v>44652</v>
      </c>
      <c r="BN322">
        <v>0</v>
      </c>
      <c r="BO322">
        <v>7897801319294</v>
      </c>
      <c r="BR322" t="s">
        <v>1043</v>
      </c>
      <c r="BS322" t="s">
        <v>1043</v>
      </c>
      <c r="BT322" t="s">
        <v>1043</v>
      </c>
      <c r="BV322">
        <v>1</v>
      </c>
      <c r="BW322">
        <v>2</v>
      </c>
      <c r="BY322">
        <v>69</v>
      </c>
      <c r="CA322">
        <v>0</v>
      </c>
      <c r="CB322" t="s">
        <v>1057</v>
      </c>
      <c r="CE322" t="s">
        <v>1043</v>
      </c>
      <c r="CH322" t="s">
        <v>1043</v>
      </c>
      <c r="CN322" t="s">
        <v>1056</v>
      </c>
      <c r="CO322" t="s">
        <v>1043</v>
      </c>
      <c r="CP322">
        <v>1</v>
      </c>
      <c r="CQ322">
        <v>2100</v>
      </c>
      <c r="CS322">
        <v>0</v>
      </c>
      <c r="CT322">
        <v>0</v>
      </c>
      <c r="CU322">
        <v>0</v>
      </c>
      <c r="CW322">
        <v>0</v>
      </c>
      <c r="CX322">
        <v>0</v>
      </c>
      <c r="CY322">
        <v>0</v>
      </c>
      <c r="CZ322">
        <v>0</v>
      </c>
      <c r="DA322">
        <v>1</v>
      </c>
      <c r="DB322">
        <v>320000</v>
      </c>
      <c r="DC322" t="s">
        <v>1043</v>
      </c>
      <c r="DF322" t="s">
        <v>1055</v>
      </c>
      <c r="DH322">
        <v>0</v>
      </c>
      <c r="DJ322">
        <v>0</v>
      </c>
      <c r="DK322" t="s">
        <v>1053</v>
      </c>
      <c r="DL322">
        <v>0</v>
      </c>
      <c r="DN322">
        <v>0</v>
      </c>
      <c r="DO322" t="s">
        <v>1042</v>
      </c>
      <c r="DP322">
        <v>0</v>
      </c>
      <c r="DQ322">
        <v>7.6</v>
      </c>
      <c r="DS322">
        <v>0</v>
      </c>
      <c r="DU322">
        <v>1.65</v>
      </c>
      <c r="DW322">
        <v>0</v>
      </c>
      <c r="DX322" t="s">
        <v>1043</v>
      </c>
      <c r="DY322">
        <v>0</v>
      </c>
      <c r="DZ322">
        <v>0</v>
      </c>
      <c r="EA322">
        <v>0</v>
      </c>
      <c r="EB322">
        <v>17897801319291</v>
      </c>
      <c r="ED322" t="s">
        <v>1045</v>
      </c>
      <c r="EE322">
        <v>0</v>
      </c>
      <c r="EF322">
        <v>0</v>
      </c>
      <c r="EK322" t="s">
        <v>1054</v>
      </c>
      <c r="EL322">
        <v>57897801319299</v>
      </c>
      <c r="EN322" t="s">
        <v>1012</v>
      </c>
      <c r="EQ322" t="s">
        <v>1044</v>
      </c>
      <c r="ES322" t="s">
        <v>1053</v>
      </c>
      <c r="ET322">
        <v>0</v>
      </c>
      <c r="EV322">
        <v>0</v>
      </c>
      <c r="EY322" t="s">
        <v>1052</v>
      </c>
      <c r="EZ322">
        <v>0</v>
      </c>
      <c r="FA322" t="s">
        <v>1043</v>
      </c>
      <c r="FB322">
        <v>0</v>
      </c>
      <c r="FC322">
        <v>0</v>
      </c>
      <c r="FD322" t="s">
        <v>1051</v>
      </c>
      <c r="FE322" t="s">
        <v>1050</v>
      </c>
      <c r="FF322">
        <v>120</v>
      </c>
      <c r="FG322" t="s">
        <v>1050</v>
      </c>
      <c r="FH322">
        <v>27897801319298</v>
      </c>
      <c r="FJ322">
        <v>0</v>
      </c>
      <c r="FK322">
        <v>0</v>
      </c>
      <c r="FP322">
        <v>0</v>
      </c>
      <c r="FR322">
        <v>0</v>
      </c>
      <c r="FS322" t="s">
        <v>1043</v>
      </c>
      <c r="FX322" t="s">
        <v>1042</v>
      </c>
      <c r="FZ322" t="s">
        <v>1048</v>
      </c>
      <c r="GA322">
        <v>0</v>
      </c>
      <c r="GB322" t="s">
        <v>1042</v>
      </c>
      <c r="GD322">
        <v>16</v>
      </c>
      <c r="GE322">
        <v>0</v>
      </c>
      <c r="GG322">
        <v>0</v>
      </c>
      <c r="GN322">
        <v>0</v>
      </c>
      <c r="GO322" t="s">
        <v>1049</v>
      </c>
      <c r="GQ322">
        <v>0</v>
      </c>
      <c r="GU322">
        <v>2</v>
      </c>
      <c r="GY322" t="s">
        <v>1045</v>
      </c>
      <c r="HB322">
        <v>0</v>
      </c>
      <c r="HE322">
        <v>10</v>
      </c>
      <c r="HF322">
        <v>15</v>
      </c>
      <c r="HG322">
        <v>7.7999999999999996E-3</v>
      </c>
      <c r="HK322" t="s">
        <v>1042</v>
      </c>
      <c r="HL322" t="s">
        <v>1048</v>
      </c>
      <c r="HM322" t="s">
        <v>1047</v>
      </c>
      <c r="HN322">
        <v>0</v>
      </c>
      <c r="HP322">
        <v>4.8599999999999997E-2</v>
      </c>
      <c r="HQ322">
        <v>0</v>
      </c>
      <c r="HR322" t="s">
        <v>1042</v>
      </c>
      <c r="HS322" t="s">
        <v>1043</v>
      </c>
      <c r="HT322">
        <v>0</v>
      </c>
      <c r="HU322">
        <v>0</v>
      </c>
      <c r="HW322">
        <v>0</v>
      </c>
      <c r="HX322">
        <v>493666</v>
      </c>
      <c r="HY322">
        <v>0</v>
      </c>
      <c r="HZ322" t="s">
        <v>1045</v>
      </c>
      <c r="IA322">
        <v>0</v>
      </c>
      <c r="IB322" t="s">
        <v>1045</v>
      </c>
      <c r="ID322" t="s">
        <v>1045</v>
      </c>
      <c r="IF322">
        <v>3000</v>
      </c>
      <c r="IG322" t="s">
        <v>1042</v>
      </c>
      <c r="IH322" t="s">
        <v>1046</v>
      </c>
      <c r="II322" t="s">
        <v>1042</v>
      </c>
      <c r="IR322" t="s">
        <v>1045</v>
      </c>
      <c r="IT322">
        <v>0</v>
      </c>
      <c r="IY322" t="s">
        <v>1044</v>
      </c>
      <c r="IZ322" t="s">
        <v>1043</v>
      </c>
      <c r="JE322">
        <v>0</v>
      </c>
      <c r="JF322">
        <v>0</v>
      </c>
      <c r="JI322" t="s">
        <v>1042</v>
      </c>
      <c r="JJ322">
        <v>0</v>
      </c>
      <c r="JK322">
        <v>0</v>
      </c>
      <c r="JL322">
        <v>0</v>
      </c>
      <c r="JM322">
        <v>0</v>
      </c>
      <c r="JT322">
        <v>0</v>
      </c>
      <c r="JU322" t="s">
        <v>1042</v>
      </c>
      <c r="JW322">
        <v>0</v>
      </c>
      <c r="KA322">
        <v>0</v>
      </c>
      <c r="KF322">
        <v>0</v>
      </c>
      <c r="KG322">
        <v>0</v>
      </c>
      <c r="KH322">
        <v>0</v>
      </c>
      <c r="KI322">
        <v>0</v>
      </c>
      <c r="KS322" t="s">
        <v>1041</v>
      </c>
      <c r="KT322">
        <v>0</v>
      </c>
      <c r="KU322">
        <v>0</v>
      </c>
      <c r="KV322">
        <v>0</v>
      </c>
      <c r="KX322">
        <v>0</v>
      </c>
      <c r="KZ322">
        <v>0</v>
      </c>
      <c r="LF322">
        <v>0</v>
      </c>
      <c r="LH322">
        <v>0</v>
      </c>
      <c r="LI322">
        <v>0</v>
      </c>
    </row>
    <row r="323" spans="1:321" x14ac:dyDescent="0.35">
      <c r="A323">
        <v>1</v>
      </c>
      <c r="B323">
        <v>12540</v>
      </c>
      <c r="C323" t="s">
        <v>1371</v>
      </c>
      <c r="D323" t="s">
        <v>1139</v>
      </c>
      <c r="E323" t="s">
        <v>85</v>
      </c>
      <c r="F323">
        <v>80</v>
      </c>
      <c r="G323">
        <v>9000</v>
      </c>
      <c r="H323">
        <v>0</v>
      </c>
      <c r="I323" t="s">
        <v>1050</v>
      </c>
      <c r="L323">
        <v>0</v>
      </c>
      <c r="M323">
        <v>3.25</v>
      </c>
      <c r="N323">
        <v>0</v>
      </c>
      <c r="R323">
        <v>0</v>
      </c>
      <c r="S323">
        <v>0</v>
      </c>
      <c r="W323" t="s">
        <v>1060</v>
      </c>
      <c r="X323">
        <v>0</v>
      </c>
      <c r="Z323">
        <v>1</v>
      </c>
      <c r="AA323">
        <v>0</v>
      </c>
      <c r="AB323">
        <v>0</v>
      </c>
      <c r="AC323">
        <v>0</v>
      </c>
      <c r="AD323" s="20">
        <v>40794</v>
      </c>
      <c r="AE323">
        <v>231.76</v>
      </c>
      <c r="AF323">
        <v>0</v>
      </c>
      <c r="AH323">
        <v>0</v>
      </c>
      <c r="AJ323">
        <v>0</v>
      </c>
      <c r="AL323">
        <v>0</v>
      </c>
      <c r="AM323">
        <v>0</v>
      </c>
      <c r="AN323">
        <v>16601001</v>
      </c>
      <c r="AO323">
        <v>0</v>
      </c>
      <c r="AP323">
        <v>1000</v>
      </c>
      <c r="AT323">
        <v>0</v>
      </c>
      <c r="AU323" t="s">
        <v>1059</v>
      </c>
      <c r="AW323" t="s">
        <v>1053</v>
      </c>
      <c r="AX323">
        <v>0</v>
      </c>
      <c r="AY323" s="20">
        <v>40794</v>
      </c>
      <c r="BA323" s="20">
        <v>40794</v>
      </c>
      <c r="BB323" t="s">
        <v>1058</v>
      </c>
      <c r="BD323">
        <v>0</v>
      </c>
      <c r="BF323" t="s">
        <v>1043</v>
      </c>
      <c r="BG323" t="s">
        <v>1042</v>
      </c>
      <c r="BH323">
        <v>0</v>
      </c>
      <c r="BI323">
        <v>1</v>
      </c>
      <c r="BJ323">
        <v>0</v>
      </c>
      <c r="BK323">
        <v>0</v>
      </c>
      <c r="BM323" t="s">
        <v>1042</v>
      </c>
      <c r="BN323">
        <v>0</v>
      </c>
      <c r="BR323" t="s">
        <v>1043</v>
      </c>
      <c r="BS323" t="s">
        <v>1043</v>
      </c>
      <c r="BT323" t="s">
        <v>1043</v>
      </c>
      <c r="BW323">
        <v>83</v>
      </c>
      <c r="CA323">
        <v>0</v>
      </c>
      <c r="CB323" t="s">
        <v>1057</v>
      </c>
      <c r="CE323" t="s">
        <v>1043</v>
      </c>
      <c r="CH323" t="s">
        <v>1043</v>
      </c>
      <c r="CN323" t="s">
        <v>1056</v>
      </c>
      <c r="CO323" t="s">
        <v>1043</v>
      </c>
      <c r="CP323">
        <v>1</v>
      </c>
      <c r="CQ323">
        <v>0</v>
      </c>
      <c r="CS323">
        <v>0</v>
      </c>
      <c r="CT323">
        <v>0</v>
      </c>
      <c r="CU323">
        <v>0</v>
      </c>
      <c r="CV323" t="s">
        <v>1045</v>
      </c>
      <c r="CW323">
        <v>0</v>
      </c>
      <c r="CX323">
        <v>0</v>
      </c>
      <c r="CY323">
        <v>0</v>
      </c>
      <c r="CZ323">
        <v>0</v>
      </c>
      <c r="DB323">
        <v>0</v>
      </c>
      <c r="DC323" t="s">
        <v>1043</v>
      </c>
      <c r="DF323" t="s">
        <v>1055</v>
      </c>
      <c r="DH323">
        <v>0</v>
      </c>
      <c r="DJ323">
        <v>0</v>
      </c>
      <c r="DK323" t="s">
        <v>1053</v>
      </c>
      <c r="DL323">
        <v>0</v>
      </c>
      <c r="DN323">
        <v>0</v>
      </c>
      <c r="DO323" t="s">
        <v>1042</v>
      </c>
      <c r="DP323">
        <v>0</v>
      </c>
      <c r="DQ323">
        <v>0</v>
      </c>
      <c r="DS323">
        <v>0</v>
      </c>
      <c r="DU323">
        <v>0</v>
      </c>
      <c r="DW323">
        <v>0</v>
      </c>
      <c r="DX323" t="s">
        <v>1043</v>
      </c>
      <c r="DY323">
        <v>0</v>
      </c>
      <c r="DZ323">
        <v>0</v>
      </c>
      <c r="EA323">
        <v>0</v>
      </c>
      <c r="ED323" t="s">
        <v>1045</v>
      </c>
      <c r="EE323">
        <v>0</v>
      </c>
      <c r="EF323">
        <v>0</v>
      </c>
      <c r="EQ323" t="s">
        <v>1044</v>
      </c>
      <c r="ES323" t="s">
        <v>1053</v>
      </c>
      <c r="ET323">
        <v>0</v>
      </c>
      <c r="EV323">
        <v>0</v>
      </c>
      <c r="EY323" t="s">
        <v>1052</v>
      </c>
      <c r="EZ323">
        <v>0</v>
      </c>
      <c r="FA323" t="s">
        <v>1043</v>
      </c>
      <c r="FB323">
        <v>0</v>
      </c>
      <c r="FC323">
        <v>0</v>
      </c>
      <c r="FE323" t="s">
        <v>1050</v>
      </c>
      <c r="FF323">
        <v>0</v>
      </c>
      <c r="FG323" t="s">
        <v>1050</v>
      </c>
      <c r="FJ323">
        <v>0</v>
      </c>
      <c r="FK323">
        <v>0</v>
      </c>
      <c r="FP323">
        <v>0</v>
      </c>
      <c r="FR323">
        <v>0</v>
      </c>
      <c r="FS323" t="s">
        <v>1043</v>
      </c>
      <c r="FX323" t="s">
        <v>1042</v>
      </c>
      <c r="FZ323" t="s">
        <v>1048</v>
      </c>
      <c r="GA323">
        <v>0</v>
      </c>
      <c r="GB323" t="s">
        <v>1042</v>
      </c>
      <c r="GE323">
        <v>0</v>
      </c>
      <c r="GG323">
        <v>0</v>
      </c>
      <c r="GN323">
        <v>0</v>
      </c>
      <c r="GO323" t="s">
        <v>1063</v>
      </c>
      <c r="GQ323">
        <v>0</v>
      </c>
      <c r="GU323">
        <v>0</v>
      </c>
      <c r="GY323" t="s">
        <v>1045</v>
      </c>
      <c r="HB323">
        <v>0</v>
      </c>
      <c r="HE323">
        <v>0</v>
      </c>
      <c r="HF323">
        <v>0</v>
      </c>
      <c r="HG323">
        <v>0</v>
      </c>
      <c r="HK323" t="s">
        <v>1042</v>
      </c>
      <c r="HM323" t="s">
        <v>1047</v>
      </c>
      <c r="HN323">
        <v>0</v>
      </c>
      <c r="HP323">
        <v>0</v>
      </c>
      <c r="HQ323">
        <v>0</v>
      </c>
      <c r="HR323" t="s">
        <v>1042</v>
      </c>
      <c r="HS323" t="s">
        <v>1043</v>
      </c>
      <c r="HT323">
        <v>0</v>
      </c>
      <c r="HU323">
        <v>0</v>
      </c>
      <c r="HW323">
        <v>0</v>
      </c>
      <c r="HX323">
        <v>0</v>
      </c>
      <c r="HY323">
        <v>0</v>
      </c>
      <c r="HZ323" t="s">
        <v>1045</v>
      </c>
      <c r="IA323">
        <v>0</v>
      </c>
      <c r="IB323" t="s">
        <v>1045</v>
      </c>
      <c r="ID323" t="s">
        <v>1045</v>
      </c>
      <c r="IF323">
        <v>0</v>
      </c>
      <c r="IG323" t="s">
        <v>1042</v>
      </c>
      <c r="II323" t="s">
        <v>1042</v>
      </c>
      <c r="IR323" t="s">
        <v>1045</v>
      </c>
      <c r="IT323">
        <v>0</v>
      </c>
      <c r="IY323" t="s">
        <v>1044</v>
      </c>
      <c r="IZ323" t="s">
        <v>1043</v>
      </c>
      <c r="JC323" t="s">
        <v>1043</v>
      </c>
      <c r="JE323">
        <v>0</v>
      </c>
      <c r="JF323">
        <v>0</v>
      </c>
      <c r="JI323" t="s">
        <v>1042</v>
      </c>
      <c r="JJ323">
        <v>0</v>
      </c>
      <c r="JK323">
        <v>0</v>
      </c>
      <c r="JL323">
        <v>0</v>
      </c>
      <c r="JM323">
        <v>0</v>
      </c>
      <c r="JQ323" t="s">
        <v>1043</v>
      </c>
      <c r="JT323">
        <v>0</v>
      </c>
      <c r="JU323" t="s">
        <v>1042</v>
      </c>
      <c r="JW323">
        <v>0</v>
      </c>
      <c r="KA323">
        <v>0</v>
      </c>
      <c r="KF323">
        <v>0</v>
      </c>
      <c r="KG323">
        <v>0</v>
      </c>
      <c r="KH323">
        <v>0</v>
      </c>
      <c r="KI323">
        <v>0</v>
      </c>
      <c r="KS323" t="s">
        <v>1073</v>
      </c>
      <c r="KT323">
        <v>0</v>
      </c>
      <c r="KU323">
        <v>0</v>
      </c>
      <c r="KV323">
        <v>0</v>
      </c>
      <c r="KX323">
        <v>0</v>
      </c>
      <c r="KZ323">
        <v>0</v>
      </c>
      <c r="LF323">
        <v>0</v>
      </c>
      <c r="LH323">
        <v>0</v>
      </c>
      <c r="LI323">
        <v>0</v>
      </c>
    </row>
    <row r="324" spans="1:321" x14ac:dyDescent="0.35">
      <c r="A324">
        <v>1</v>
      </c>
      <c r="B324">
        <v>12541</v>
      </c>
      <c r="C324" t="s">
        <v>1370</v>
      </c>
      <c r="D324" t="s">
        <v>1139</v>
      </c>
      <c r="E324" t="s">
        <v>85</v>
      </c>
      <c r="F324">
        <v>80</v>
      </c>
      <c r="G324">
        <v>9000</v>
      </c>
      <c r="H324">
        <v>0</v>
      </c>
      <c r="I324" t="s">
        <v>1333</v>
      </c>
      <c r="L324">
        <v>0</v>
      </c>
      <c r="M324">
        <v>3.25</v>
      </c>
      <c r="N324">
        <v>0</v>
      </c>
      <c r="R324">
        <v>0</v>
      </c>
      <c r="S324">
        <v>0</v>
      </c>
      <c r="W324" t="s">
        <v>1060</v>
      </c>
      <c r="X324">
        <v>0</v>
      </c>
      <c r="Z324">
        <v>1</v>
      </c>
      <c r="AA324">
        <v>0</v>
      </c>
      <c r="AB324">
        <v>0</v>
      </c>
      <c r="AC324">
        <v>6182.11</v>
      </c>
      <c r="AD324" s="20">
        <v>40891</v>
      </c>
      <c r="AE324">
        <v>95.14</v>
      </c>
      <c r="AF324">
        <v>0</v>
      </c>
      <c r="AH324">
        <v>0</v>
      </c>
      <c r="AJ324">
        <v>0</v>
      </c>
      <c r="AL324">
        <v>1</v>
      </c>
      <c r="AM324">
        <v>0</v>
      </c>
      <c r="AN324">
        <v>16601001</v>
      </c>
      <c r="AO324">
        <v>0</v>
      </c>
      <c r="AP324">
        <v>1000</v>
      </c>
      <c r="AT324">
        <v>0</v>
      </c>
      <c r="AU324" t="s">
        <v>1059</v>
      </c>
      <c r="AW324" t="s">
        <v>1053</v>
      </c>
      <c r="AX324">
        <v>0</v>
      </c>
      <c r="AY324" s="20">
        <v>40891</v>
      </c>
      <c r="BA324" s="20">
        <v>40794</v>
      </c>
      <c r="BB324" t="s">
        <v>1058</v>
      </c>
      <c r="BD324">
        <v>0</v>
      </c>
      <c r="BF324" t="s">
        <v>1043</v>
      </c>
      <c r="BG324" t="s">
        <v>1042</v>
      </c>
      <c r="BH324">
        <v>0</v>
      </c>
      <c r="BI324">
        <v>1</v>
      </c>
      <c r="BJ324">
        <v>0</v>
      </c>
      <c r="BK324">
        <v>0</v>
      </c>
      <c r="BM324" t="s">
        <v>1042</v>
      </c>
      <c r="BN324">
        <v>0</v>
      </c>
      <c r="BR324" t="s">
        <v>1043</v>
      </c>
      <c r="BS324" t="s">
        <v>1043</v>
      </c>
      <c r="BT324" t="s">
        <v>1043</v>
      </c>
      <c r="BW324">
        <v>83</v>
      </c>
      <c r="CA324">
        <v>0</v>
      </c>
      <c r="CB324" t="s">
        <v>1057</v>
      </c>
      <c r="CE324" t="s">
        <v>1043</v>
      </c>
      <c r="CH324" t="s">
        <v>1043</v>
      </c>
      <c r="CN324" t="s">
        <v>1056</v>
      </c>
      <c r="CO324" t="s">
        <v>1043</v>
      </c>
      <c r="CP324">
        <v>1</v>
      </c>
      <c r="CQ324">
        <v>0</v>
      </c>
      <c r="CS324">
        <v>0</v>
      </c>
      <c r="CT324">
        <v>0</v>
      </c>
      <c r="CU324">
        <v>0</v>
      </c>
      <c r="CV324" t="s">
        <v>1045</v>
      </c>
      <c r="CW324">
        <v>0</v>
      </c>
      <c r="CX324">
        <v>0</v>
      </c>
      <c r="CY324">
        <v>0</v>
      </c>
      <c r="CZ324">
        <v>0</v>
      </c>
      <c r="DB324">
        <v>0</v>
      </c>
      <c r="DC324" t="s">
        <v>1043</v>
      </c>
      <c r="DF324" t="s">
        <v>1055</v>
      </c>
      <c r="DH324">
        <v>0</v>
      </c>
      <c r="DJ324">
        <v>0</v>
      </c>
      <c r="DK324" t="s">
        <v>1053</v>
      </c>
      <c r="DL324">
        <v>0</v>
      </c>
      <c r="DN324">
        <v>0</v>
      </c>
      <c r="DO324" t="s">
        <v>1042</v>
      </c>
      <c r="DP324">
        <v>0</v>
      </c>
      <c r="DQ324">
        <v>0</v>
      </c>
      <c r="DS324">
        <v>0</v>
      </c>
      <c r="DU324">
        <v>0</v>
      </c>
      <c r="DW324">
        <v>0</v>
      </c>
      <c r="DX324" t="s">
        <v>1043</v>
      </c>
      <c r="DY324">
        <v>0</v>
      </c>
      <c r="DZ324">
        <v>0</v>
      </c>
      <c r="EA324">
        <v>0</v>
      </c>
      <c r="ED324" t="s">
        <v>1045</v>
      </c>
      <c r="EE324">
        <v>0</v>
      </c>
      <c r="EF324">
        <v>0</v>
      </c>
      <c r="EQ324" t="s">
        <v>1044</v>
      </c>
      <c r="ES324" t="s">
        <v>1053</v>
      </c>
      <c r="ET324">
        <v>0</v>
      </c>
      <c r="EV324">
        <v>0</v>
      </c>
      <c r="EY324" t="s">
        <v>1052</v>
      </c>
      <c r="EZ324">
        <v>0</v>
      </c>
      <c r="FA324" t="s">
        <v>1043</v>
      </c>
      <c r="FB324">
        <v>0</v>
      </c>
      <c r="FC324">
        <v>0</v>
      </c>
      <c r="FE324" t="s">
        <v>1050</v>
      </c>
      <c r="FF324">
        <v>0</v>
      </c>
      <c r="FG324" t="s">
        <v>1050</v>
      </c>
      <c r="FJ324">
        <v>0</v>
      </c>
      <c r="FK324">
        <v>0</v>
      </c>
      <c r="FP324">
        <v>0</v>
      </c>
      <c r="FR324">
        <v>0</v>
      </c>
      <c r="FS324" t="s">
        <v>1043</v>
      </c>
      <c r="FX324" t="s">
        <v>1042</v>
      </c>
      <c r="FZ324" t="s">
        <v>1048</v>
      </c>
      <c r="GA324">
        <v>0</v>
      </c>
      <c r="GB324" t="s">
        <v>1042</v>
      </c>
      <c r="GE324">
        <v>0</v>
      </c>
      <c r="GG324">
        <v>0</v>
      </c>
      <c r="GN324">
        <v>0</v>
      </c>
      <c r="GO324" t="s">
        <v>1063</v>
      </c>
      <c r="GQ324">
        <v>0</v>
      </c>
      <c r="GU324">
        <v>0</v>
      </c>
      <c r="GY324" t="s">
        <v>1045</v>
      </c>
      <c r="HB324">
        <v>0</v>
      </c>
      <c r="HE324">
        <v>0</v>
      </c>
      <c r="HF324">
        <v>0</v>
      </c>
      <c r="HG324">
        <v>0</v>
      </c>
      <c r="HK324" t="s">
        <v>1042</v>
      </c>
      <c r="HM324" t="s">
        <v>1047</v>
      </c>
      <c r="HN324">
        <v>0</v>
      </c>
      <c r="HP324">
        <v>0</v>
      </c>
      <c r="HQ324">
        <v>0</v>
      </c>
      <c r="HR324" s="20">
        <v>44221</v>
      </c>
      <c r="HS324" t="s">
        <v>1043</v>
      </c>
      <c r="HT324">
        <v>0</v>
      </c>
      <c r="HU324">
        <v>0</v>
      </c>
      <c r="HW324">
        <v>0</v>
      </c>
      <c r="HX324">
        <v>0</v>
      </c>
      <c r="HY324">
        <v>0</v>
      </c>
      <c r="HZ324" t="s">
        <v>1045</v>
      </c>
      <c r="IA324">
        <v>0</v>
      </c>
      <c r="IB324" t="s">
        <v>1045</v>
      </c>
      <c r="ID324" t="s">
        <v>1045</v>
      </c>
      <c r="IF324">
        <v>0</v>
      </c>
      <c r="IG324" t="s">
        <v>1042</v>
      </c>
      <c r="II324" t="s">
        <v>1042</v>
      </c>
      <c r="IR324" t="s">
        <v>1045</v>
      </c>
      <c r="IT324">
        <v>0</v>
      </c>
      <c r="IY324" t="s">
        <v>1044</v>
      </c>
      <c r="IZ324" t="s">
        <v>1043</v>
      </c>
      <c r="JC324" t="s">
        <v>1043</v>
      </c>
      <c r="JE324">
        <v>0</v>
      </c>
      <c r="JF324">
        <v>0</v>
      </c>
      <c r="JI324" t="s">
        <v>1042</v>
      </c>
      <c r="JJ324">
        <v>0</v>
      </c>
      <c r="JK324">
        <v>0</v>
      </c>
      <c r="JL324">
        <v>0</v>
      </c>
      <c r="JM324">
        <v>0</v>
      </c>
      <c r="JQ324" t="s">
        <v>1043</v>
      </c>
      <c r="JT324">
        <v>0</v>
      </c>
      <c r="JU324" t="s">
        <v>1042</v>
      </c>
      <c r="JW324">
        <v>0</v>
      </c>
      <c r="KA324">
        <v>0</v>
      </c>
      <c r="KF324">
        <v>0</v>
      </c>
      <c r="KG324">
        <v>0</v>
      </c>
      <c r="KH324">
        <v>0</v>
      </c>
      <c r="KI324">
        <v>0</v>
      </c>
      <c r="KS324" t="s">
        <v>1073</v>
      </c>
      <c r="KT324">
        <v>0</v>
      </c>
      <c r="KU324">
        <v>0</v>
      </c>
      <c r="KV324">
        <v>0</v>
      </c>
      <c r="KX324">
        <v>0</v>
      </c>
      <c r="KZ324">
        <v>0</v>
      </c>
      <c r="LF324">
        <v>0</v>
      </c>
      <c r="LH324">
        <v>0</v>
      </c>
      <c r="LI324">
        <v>0</v>
      </c>
    </row>
    <row r="325" spans="1:321" x14ac:dyDescent="0.35">
      <c r="A325">
        <v>1</v>
      </c>
      <c r="B325">
        <v>12542</v>
      </c>
      <c r="C325" t="s">
        <v>1369</v>
      </c>
      <c r="D325" t="s">
        <v>1139</v>
      </c>
      <c r="E325" t="s">
        <v>85</v>
      </c>
      <c r="F325">
        <v>80</v>
      </c>
      <c r="G325">
        <v>9000</v>
      </c>
      <c r="H325">
        <v>0</v>
      </c>
      <c r="I325" t="s">
        <v>1351</v>
      </c>
      <c r="L325">
        <v>0</v>
      </c>
      <c r="M325">
        <v>3.25</v>
      </c>
      <c r="N325">
        <v>0</v>
      </c>
      <c r="R325">
        <v>0</v>
      </c>
      <c r="S325">
        <v>0</v>
      </c>
      <c r="W325" t="s">
        <v>1060</v>
      </c>
      <c r="X325">
        <v>0</v>
      </c>
      <c r="Z325">
        <v>1</v>
      </c>
      <c r="AA325">
        <v>0</v>
      </c>
      <c r="AB325">
        <v>0</v>
      </c>
      <c r="AC325">
        <v>216.44</v>
      </c>
      <c r="AD325" s="20">
        <v>43726</v>
      </c>
      <c r="AE325">
        <v>226.47</v>
      </c>
      <c r="AF325">
        <v>0</v>
      </c>
      <c r="AH325">
        <v>0</v>
      </c>
      <c r="AJ325">
        <v>0</v>
      </c>
      <c r="AL325">
        <v>1</v>
      </c>
      <c r="AM325">
        <v>0</v>
      </c>
      <c r="AN325">
        <v>16601001</v>
      </c>
      <c r="AO325">
        <v>0</v>
      </c>
      <c r="AP325">
        <v>1000</v>
      </c>
      <c r="AT325">
        <v>0</v>
      </c>
      <c r="AU325" t="s">
        <v>1059</v>
      </c>
      <c r="AW325" t="s">
        <v>1053</v>
      </c>
      <c r="AX325">
        <v>0</v>
      </c>
      <c r="AY325" s="20">
        <v>41715</v>
      </c>
      <c r="BA325" s="20">
        <v>40794</v>
      </c>
      <c r="BB325" t="s">
        <v>1058</v>
      </c>
      <c r="BD325">
        <v>0</v>
      </c>
      <c r="BF325" t="s">
        <v>1043</v>
      </c>
      <c r="BG325" t="s">
        <v>1042</v>
      </c>
      <c r="BH325">
        <v>0</v>
      </c>
      <c r="BI325">
        <v>1</v>
      </c>
      <c r="BJ325">
        <v>0</v>
      </c>
      <c r="BK325">
        <v>0</v>
      </c>
      <c r="BM325" t="s">
        <v>1042</v>
      </c>
      <c r="BN325">
        <v>0</v>
      </c>
      <c r="BR325" t="s">
        <v>1043</v>
      </c>
      <c r="BS325" t="s">
        <v>1043</v>
      </c>
      <c r="BT325" t="s">
        <v>1043</v>
      </c>
      <c r="BW325">
        <v>83</v>
      </c>
      <c r="CA325">
        <v>0</v>
      </c>
      <c r="CB325" t="s">
        <v>1057</v>
      </c>
      <c r="CE325" t="s">
        <v>1043</v>
      </c>
      <c r="CH325" t="s">
        <v>1043</v>
      </c>
      <c r="CN325" t="s">
        <v>1056</v>
      </c>
      <c r="CO325" t="s">
        <v>1043</v>
      </c>
      <c r="CP325">
        <v>1</v>
      </c>
      <c r="CQ325">
        <v>0</v>
      </c>
      <c r="CS325">
        <v>0</v>
      </c>
      <c r="CT325">
        <v>0</v>
      </c>
      <c r="CU325">
        <v>0</v>
      </c>
      <c r="CV325" t="s">
        <v>1045</v>
      </c>
      <c r="CW325">
        <v>0</v>
      </c>
      <c r="CX325">
        <v>0</v>
      </c>
      <c r="CY325">
        <v>0</v>
      </c>
      <c r="CZ325">
        <v>0</v>
      </c>
      <c r="DB325">
        <v>0</v>
      </c>
      <c r="DC325" t="s">
        <v>1043</v>
      </c>
      <c r="DF325" t="s">
        <v>1055</v>
      </c>
      <c r="DH325">
        <v>0</v>
      </c>
      <c r="DJ325">
        <v>0</v>
      </c>
      <c r="DK325" t="s">
        <v>1053</v>
      </c>
      <c r="DL325">
        <v>0</v>
      </c>
      <c r="DN325">
        <v>0</v>
      </c>
      <c r="DO325" t="s">
        <v>1042</v>
      </c>
      <c r="DP325">
        <v>0</v>
      </c>
      <c r="DQ325">
        <v>0</v>
      </c>
      <c r="DS325">
        <v>0</v>
      </c>
      <c r="DU325">
        <v>0</v>
      </c>
      <c r="DW325">
        <v>0</v>
      </c>
      <c r="DX325" t="s">
        <v>1043</v>
      </c>
      <c r="DY325">
        <v>0</v>
      </c>
      <c r="DZ325">
        <v>0</v>
      </c>
      <c r="EA325">
        <v>0</v>
      </c>
      <c r="ED325" t="s">
        <v>1045</v>
      </c>
      <c r="EE325">
        <v>0</v>
      </c>
      <c r="EF325">
        <v>0</v>
      </c>
      <c r="EQ325" t="s">
        <v>1044</v>
      </c>
      <c r="ES325" t="s">
        <v>1053</v>
      </c>
      <c r="ET325">
        <v>0</v>
      </c>
      <c r="EV325">
        <v>0</v>
      </c>
      <c r="EY325" t="s">
        <v>1052</v>
      </c>
      <c r="EZ325">
        <v>0</v>
      </c>
      <c r="FA325" t="s">
        <v>1043</v>
      </c>
      <c r="FB325">
        <v>0</v>
      </c>
      <c r="FC325">
        <v>0</v>
      </c>
      <c r="FE325" t="s">
        <v>1050</v>
      </c>
      <c r="FF325">
        <v>0</v>
      </c>
      <c r="FG325" t="s">
        <v>1050</v>
      </c>
      <c r="FJ325">
        <v>0</v>
      </c>
      <c r="FK325">
        <v>0</v>
      </c>
      <c r="FP325">
        <v>0</v>
      </c>
      <c r="FR325">
        <v>0</v>
      </c>
      <c r="FS325" t="s">
        <v>1043</v>
      </c>
      <c r="FX325" t="s">
        <v>1042</v>
      </c>
      <c r="FZ325" t="s">
        <v>1048</v>
      </c>
      <c r="GA325">
        <v>0</v>
      </c>
      <c r="GB325" t="s">
        <v>1042</v>
      </c>
      <c r="GE325">
        <v>0</v>
      </c>
      <c r="GG325">
        <v>0</v>
      </c>
      <c r="GN325">
        <v>0</v>
      </c>
      <c r="GO325" t="s">
        <v>1063</v>
      </c>
      <c r="GQ325">
        <v>0</v>
      </c>
      <c r="GU325">
        <v>0</v>
      </c>
      <c r="GY325" t="s">
        <v>1045</v>
      </c>
      <c r="HB325">
        <v>0</v>
      </c>
      <c r="HE325">
        <v>0</v>
      </c>
      <c r="HF325">
        <v>0</v>
      </c>
      <c r="HG325">
        <v>0</v>
      </c>
      <c r="HK325" t="s">
        <v>1042</v>
      </c>
      <c r="HM325" t="s">
        <v>1047</v>
      </c>
      <c r="HN325">
        <v>0</v>
      </c>
      <c r="HP325">
        <v>0</v>
      </c>
      <c r="HQ325">
        <v>0</v>
      </c>
      <c r="HR325" s="20">
        <v>44221</v>
      </c>
      <c r="HS325" t="s">
        <v>1043</v>
      </c>
      <c r="HT325">
        <v>0</v>
      </c>
      <c r="HU325">
        <v>0</v>
      </c>
      <c r="HW325">
        <v>0</v>
      </c>
      <c r="HX325">
        <v>0</v>
      </c>
      <c r="HY325">
        <v>0</v>
      </c>
      <c r="HZ325" t="s">
        <v>1045</v>
      </c>
      <c r="IA325">
        <v>0</v>
      </c>
      <c r="IB325" t="s">
        <v>1045</v>
      </c>
      <c r="ID325" t="s">
        <v>1045</v>
      </c>
      <c r="IF325">
        <v>0</v>
      </c>
      <c r="IG325" t="s">
        <v>1042</v>
      </c>
      <c r="II325" t="s">
        <v>1042</v>
      </c>
      <c r="IR325" t="s">
        <v>1045</v>
      </c>
      <c r="IT325">
        <v>0</v>
      </c>
      <c r="IY325" t="s">
        <v>1044</v>
      </c>
      <c r="IZ325" t="s">
        <v>1043</v>
      </c>
      <c r="JC325" t="s">
        <v>1043</v>
      </c>
      <c r="JE325">
        <v>0</v>
      </c>
      <c r="JF325">
        <v>0</v>
      </c>
      <c r="JI325" t="s">
        <v>1042</v>
      </c>
      <c r="JJ325">
        <v>0</v>
      </c>
      <c r="JK325">
        <v>0</v>
      </c>
      <c r="JL325">
        <v>0</v>
      </c>
      <c r="JM325">
        <v>0</v>
      </c>
      <c r="JQ325" t="s">
        <v>1043</v>
      </c>
      <c r="JT325">
        <v>0</v>
      </c>
      <c r="JU325" t="s">
        <v>1042</v>
      </c>
      <c r="JW325">
        <v>0</v>
      </c>
      <c r="KA325">
        <v>0</v>
      </c>
      <c r="KF325">
        <v>0</v>
      </c>
      <c r="KG325">
        <v>0</v>
      </c>
      <c r="KH325">
        <v>0</v>
      </c>
      <c r="KI325">
        <v>0</v>
      </c>
      <c r="KS325" t="s">
        <v>1073</v>
      </c>
      <c r="KT325">
        <v>0</v>
      </c>
      <c r="KU325">
        <v>0</v>
      </c>
      <c r="KV325">
        <v>0</v>
      </c>
      <c r="KX325">
        <v>0</v>
      </c>
      <c r="KZ325">
        <v>0</v>
      </c>
      <c r="LF325">
        <v>0</v>
      </c>
      <c r="LH325">
        <v>0</v>
      </c>
      <c r="LI325">
        <v>0</v>
      </c>
    </row>
    <row r="326" spans="1:321" x14ac:dyDescent="0.35">
      <c r="A326">
        <v>1</v>
      </c>
      <c r="B326">
        <v>12543</v>
      </c>
      <c r="C326" t="s">
        <v>1368</v>
      </c>
      <c r="D326" t="s">
        <v>1139</v>
      </c>
      <c r="E326" t="s">
        <v>85</v>
      </c>
      <c r="F326">
        <v>80</v>
      </c>
      <c r="G326">
        <v>9000</v>
      </c>
      <c r="H326">
        <v>0</v>
      </c>
      <c r="I326" t="s">
        <v>1333</v>
      </c>
      <c r="L326">
        <v>0</v>
      </c>
      <c r="M326">
        <v>3.25</v>
      </c>
      <c r="N326">
        <v>0</v>
      </c>
      <c r="R326">
        <v>0</v>
      </c>
      <c r="S326">
        <v>0</v>
      </c>
      <c r="W326" t="s">
        <v>1060</v>
      </c>
      <c r="X326">
        <v>0</v>
      </c>
      <c r="Z326">
        <v>1</v>
      </c>
      <c r="AA326">
        <v>0</v>
      </c>
      <c r="AB326">
        <v>0</v>
      </c>
      <c r="AC326">
        <v>43.89</v>
      </c>
      <c r="AD326" s="20">
        <v>41715</v>
      </c>
      <c r="AE326">
        <v>47.95</v>
      </c>
      <c r="AF326">
        <v>0</v>
      </c>
      <c r="AH326">
        <v>0</v>
      </c>
      <c r="AJ326">
        <v>0</v>
      </c>
      <c r="AL326">
        <v>1</v>
      </c>
      <c r="AM326">
        <v>0</v>
      </c>
      <c r="AN326">
        <v>16601001</v>
      </c>
      <c r="AO326">
        <v>0</v>
      </c>
      <c r="AP326">
        <v>1000</v>
      </c>
      <c r="AT326">
        <v>0</v>
      </c>
      <c r="AU326" t="s">
        <v>1059</v>
      </c>
      <c r="AW326" t="s">
        <v>1053</v>
      </c>
      <c r="AX326">
        <v>0</v>
      </c>
      <c r="AY326" s="20">
        <v>41715</v>
      </c>
      <c r="BA326" s="20">
        <v>40794</v>
      </c>
      <c r="BB326" t="s">
        <v>1058</v>
      </c>
      <c r="BD326">
        <v>0</v>
      </c>
      <c r="BF326" t="s">
        <v>1043</v>
      </c>
      <c r="BG326" t="s">
        <v>1042</v>
      </c>
      <c r="BH326">
        <v>0</v>
      </c>
      <c r="BI326">
        <v>1</v>
      </c>
      <c r="BJ326">
        <v>0</v>
      </c>
      <c r="BK326">
        <v>0</v>
      </c>
      <c r="BM326" t="s">
        <v>1042</v>
      </c>
      <c r="BN326">
        <v>0</v>
      </c>
      <c r="BR326" t="s">
        <v>1043</v>
      </c>
      <c r="BS326" t="s">
        <v>1043</v>
      </c>
      <c r="BT326" t="s">
        <v>1043</v>
      </c>
      <c r="BW326">
        <v>83</v>
      </c>
      <c r="CA326">
        <v>0</v>
      </c>
      <c r="CB326" t="s">
        <v>1057</v>
      </c>
      <c r="CE326" t="s">
        <v>1043</v>
      </c>
      <c r="CH326" t="s">
        <v>1043</v>
      </c>
      <c r="CN326" t="s">
        <v>1056</v>
      </c>
      <c r="CO326" t="s">
        <v>1043</v>
      </c>
      <c r="CP326">
        <v>1</v>
      </c>
      <c r="CQ326">
        <v>0</v>
      </c>
      <c r="CS326">
        <v>0</v>
      </c>
      <c r="CT326">
        <v>0</v>
      </c>
      <c r="CU326">
        <v>0</v>
      </c>
      <c r="CV326" t="s">
        <v>1045</v>
      </c>
      <c r="CW326">
        <v>0</v>
      </c>
      <c r="CX326">
        <v>0</v>
      </c>
      <c r="CY326">
        <v>0</v>
      </c>
      <c r="CZ326">
        <v>0</v>
      </c>
      <c r="DB326">
        <v>0</v>
      </c>
      <c r="DC326" t="s">
        <v>1043</v>
      </c>
      <c r="DF326" t="s">
        <v>1055</v>
      </c>
      <c r="DH326">
        <v>0</v>
      </c>
      <c r="DJ326">
        <v>0</v>
      </c>
      <c r="DK326" t="s">
        <v>1053</v>
      </c>
      <c r="DL326">
        <v>0</v>
      </c>
      <c r="DN326">
        <v>0</v>
      </c>
      <c r="DO326" t="s">
        <v>1042</v>
      </c>
      <c r="DP326">
        <v>0</v>
      </c>
      <c r="DQ326">
        <v>0</v>
      </c>
      <c r="DS326">
        <v>0</v>
      </c>
      <c r="DU326">
        <v>0</v>
      </c>
      <c r="DW326">
        <v>0</v>
      </c>
      <c r="DX326" t="s">
        <v>1043</v>
      </c>
      <c r="DY326">
        <v>0</v>
      </c>
      <c r="DZ326">
        <v>0</v>
      </c>
      <c r="EA326">
        <v>0</v>
      </c>
      <c r="ED326" t="s">
        <v>1045</v>
      </c>
      <c r="EE326">
        <v>0</v>
      </c>
      <c r="EF326">
        <v>0</v>
      </c>
      <c r="EQ326" t="s">
        <v>1044</v>
      </c>
      <c r="ES326" t="s">
        <v>1053</v>
      </c>
      <c r="ET326">
        <v>0</v>
      </c>
      <c r="EV326">
        <v>0</v>
      </c>
      <c r="EY326" t="s">
        <v>1052</v>
      </c>
      <c r="EZ326">
        <v>0</v>
      </c>
      <c r="FA326" t="s">
        <v>1043</v>
      </c>
      <c r="FB326">
        <v>0</v>
      </c>
      <c r="FC326">
        <v>0</v>
      </c>
      <c r="FE326" t="s">
        <v>1050</v>
      </c>
      <c r="FF326">
        <v>0</v>
      </c>
      <c r="FG326" t="s">
        <v>1050</v>
      </c>
      <c r="FJ326">
        <v>0</v>
      </c>
      <c r="FK326">
        <v>0</v>
      </c>
      <c r="FP326">
        <v>0</v>
      </c>
      <c r="FR326">
        <v>0</v>
      </c>
      <c r="FS326" t="s">
        <v>1043</v>
      </c>
      <c r="FX326" t="s">
        <v>1042</v>
      </c>
      <c r="FZ326" t="s">
        <v>1048</v>
      </c>
      <c r="GA326">
        <v>0</v>
      </c>
      <c r="GB326" t="s">
        <v>1042</v>
      </c>
      <c r="GE326">
        <v>0</v>
      </c>
      <c r="GG326">
        <v>0</v>
      </c>
      <c r="GN326">
        <v>0</v>
      </c>
      <c r="GO326" t="s">
        <v>1063</v>
      </c>
      <c r="GQ326">
        <v>0</v>
      </c>
      <c r="GU326">
        <v>0</v>
      </c>
      <c r="GY326" t="s">
        <v>1045</v>
      </c>
      <c r="HB326">
        <v>0</v>
      </c>
      <c r="HE326">
        <v>0</v>
      </c>
      <c r="HF326">
        <v>0</v>
      </c>
      <c r="HG326">
        <v>0</v>
      </c>
      <c r="HK326" t="s">
        <v>1042</v>
      </c>
      <c r="HM326" t="s">
        <v>1047</v>
      </c>
      <c r="HN326">
        <v>0</v>
      </c>
      <c r="HP326">
        <v>0</v>
      </c>
      <c r="HQ326">
        <v>0</v>
      </c>
      <c r="HR326" s="20">
        <v>44221</v>
      </c>
      <c r="HS326" t="s">
        <v>1043</v>
      </c>
      <c r="HT326">
        <v>0</v>
      </c>
      <c r="HU326">
        <v>0</v>
      </c>
      <c r="HW326">
        <v>0</v>
      </c>
      <c r="HX326">
        <v>0</v>
      </c>
      <c r="HY326">
        <v>0</v>
      </c>
      <c r="HZ326" t="s">
        <v>1045</v>
      </c>
      <c r="IA326">
        <v>0</v>
      </c>
      <c r="IB326" t="s">
        <v>1045</v>
      </c>
      <c r="ID326" t="s">
        <v>1045</v>
      </c>
      <c r="IF326">
        <v>0</v>
      </c>
      <c r="IG326" t="s">
        <v>1042</v>
      </c>
      <c r="II326" t="s">
        <v>1042</v>
      </c>
      <c r="IR326" t="s">
        <v>1045</v>
      </c>
      <c r="IT326">
        <v>0</v>
      </c>
      <c r="IY326" t="s">
        <v>1044</v>
      </c>
      <c r="IZ326" t="s">
        <v>1043</v>
      </c>
      <c r="JC326" t="s">
        <v>1043</v>
      </c>
      <c r="JE326">
        <v>0</v>
      </c>
      <c r="JF326">
        <v>0</v>
      </c>
      <c r="JI326" t="s">
        <v>1042</v>
      </c>
      <c r="JJ326">
        <v>0</v>
      </c>
      <c r="JK326">
        <v>0</v>
      </c>
      <c r="JL326">
        <v>0</v>
      </c>
      <c r="JM326">
        <v>0</v>
      </c>
      <c r="JQ326" t="s">
        <v>1043</v>
      </c>
      <c r="JT326">
        <v>0</v>
      </c>
      <c r="JU326" t="s">
        <v>1042</v>
      </c>
      <c r="JW326">
        <v>0</v>
      </c>
      <c r="KA326">
        <v>0</v>
      </c>
      <c r="KF326">
        <v>0</v>
      </c>
      <c r="KG326">
        <v>0</v>
      </c>
      <c r="KH326">
        <v>0</v>
      </c>
      <c r="KI326">
        <v>0</v>
      </c>
      <c r="KS326" t="s">
        <v>1073</v>
      </c>
      <c r="KT326">
        <v>0</v>
      </c>
      <c r="KU326">
        <v>0</v>
      </c>
      <c r="KV326">
        <v>0</v>
      </c>
      <c r="KX326">
        <v>0</v>
      </c>
      <c r="KZ326">
        <v>0</v>
      </c>
      <c r="LF326">
        <v>0</v>
      </c>
      <c r="LH326">
        <v>0</v>
      </c>
      <c r="LI326">
        <v>0</v>
      </c>
    </row>
    <row r="327" spans="1:321" x14ac:dyDescent="0.35">
      <c r="A327">
        <v>1</v>
      </c>
      <c r="B327">
        <v>12544</v>
      </c>
      <c r="C327" t="s">
        <v>1367</v>
      </c>
      <c r="D327" t="s">
        <v>1139</v>
      </c>
      <c r="E327" t="s">
        <v>85</v>
      </c>
      <c r="F327">
        <v>80</v>
      </c>
      <c r="G327">
        <v>9000</v>
      </c>
      <c r="H327">
        <v>0</v>
      </c>
      <c r="I327" t="s">
        <v>1366</v>
      </c>
      <c r="L327">
        <v>0</v>
      </c>
      <c r="M327">
        <v>3.25</v>
      </c>
      <c r="N327">
        <v>0</v>
      </c>
      <c r="R327">
        <v>0</v>
      </c>
      <c r="S327">
        <v>0</v>
      </c>
      <c r="W327" t="s">
        <v>1060</v>
      </c>
      <c r="X327">
        <v>0</v>
      </c>
      <c r="Z327">
        <v>1</v>
      </c>
      <c r="AA327">
        <v>0</v>
      </c>
      <c r="AB327">
        <v>0</v>
      </c>
      <c r="AC327">
        <v>178.2775</v>
      </c>
      <c r="AD327" s="20">
        <v>44670</v>
      </c>
      <c r="AE327">
        <v>163.65</v>
      </c>
      <c r="AF327">
        <v>0</v>
      </c>
      <c r="AH327">
        <v>0</v>
      </c>
      <c r="AJ327">
        <v>0</v>
      </c>
      <c r="AL327">
        <v>1</v>
      </c>
      <c r="AM327">
        <v>0</v>
      </c>
      <c r="AN327">
        <v>16601001</v>
      </c>
      <c r="AO327">
        <v>0</v>
      </c>
      <c r="AP327">
        <v>1000</v>
      </c>
      <c r="AT327">
        <v>0</v>
      </c>
      <c r="AU327" t="s">
        <v>1059</v>
      </c>
      <c r="AW327" t="s">
        <v>1053</v>
      </c>
      <c r="AX327">
        <v>0</v>
      </c>
      <c r="AY327" s="20">
        <v>41431</v>
      </c>
      <c r="BA327" s="20">
        <v>40794</v>
      </c>
      <c r="BB327" t="s">
        <v>1058</v>
      </c>
      <c r="BD327">
        <v>0</v>
      </c>
      <c r="BF327" t="s">
        <v>1043</v>
      </c>
      <c r="BG327" t="s">
        <v>1042</v>
      </c>
      <c r="BH327">
        <v>0</v>
      </c>
      <c r="BI327">
        <v>1</v>
      </c>
      <c r="BJ327">
        <v>0</v>
      </c>
      <c r="BK327">
        <v>0</v>
      </c>
      <c r="BM327" t="s">
        <v>1042</v>
      </c>
      <c r="BN327">
        <v>0</v>
      </c>
      <c r="BR327" t="s">
        <v>1043</v>
      </c>
      <c r="BS327" t="s">
        <v>1043</v>
      </c>
      <c r="BT327" t="s">
        <v>1043</v>
      </c>
      <c r="BW327">
        <v>83</v>
      </c>
      <c r="CA327">
        <v>0</v>
      </c>
      <c r="CB327" t="s">
        <v>1057</v>
      </c>
      <c r="CE327" t="s">
        <v>1043</v>
      </c>
      <c r="CH327" t="s">
        <v>1043</v>
      </c>
      <c r="CN327" t="s">
        <v>1056</v>
      </c>
      <c r="CO327" t="s">
        <v>1043</v>
      </c>
      <c r="CP327">
        <v>1</v>
      </c>
      <c r="CQ327">
        <v>0</v>
      </c>
      <c r="CS327">
        <v>0</v>
      </c>
      <c r="CT327">
        <v>0</v>
      </c>
      <c r="CU327">
        <v>0</v>
      </c>
      <c r="CV327" t="s">
        <v>1045</v>
      </c>
      <c r="CW327">
        <v>0</v>
      </c>
      <c r="CX327">
        <v>0</v>
      </c>
      <c r="CY327">
        <v>0</v>
      </c>
      <c r="CZ327">
        <v>0</v>
      </c>
      <c r="DB327">
        <v>0</v>
      </c>
      <c r="DC327" t="s">
        <v>1043</v>
      </c>
      <c r="DF327" t="s">
        <v>1055</v>
      </c>
      <c r="DH327">
        <v>0</v>
      </c>
      <c r="DJ327">
        <v>0</v>
      </c>
      <c r="DK327" t="s">
        <v>1053</v>
      </c>
      <c r="DL327">
        <v>0</v>
      </c>
      <c r="DN327">
        <v>0</v>
      </c>
      <c r="DO327" t="s">
        <v>1042</v>
      </c>
      <c r="DP327">
        <v>0</v>
      </c>
      <c r="DQ327">
        <v>0</v>
      </c>
      <c r="DS327">
        <v>0</v>
      </c>
      <c r="DU327">
        <v>0</v>
      </c>
      <c r="DW327">
        <v>0</v>
      </c>
      <c r="DX327" t="s">
        <v>1043</v>
      </c>
      <c r="DY327">
        <v>0</v>
      </c>
      <c r="DZ327">
        <v>0</v>
      </c>
      <c r="EA327">
        <v>0</v>
      </c>
      <c r="ED327" t="s">
        <v>1045</v>
      </c>
      <c r="EE327">
        <v>0</v>
      </c>
      <c r="EF327">
        <v>0</v>
      </c>
      <c r="EQ327" t="s">
        <v>1044</v>
      </c>
      <c r="ES327" t="s">
        <v>1053</v>
      </c>
      <c r="ET327">
        <v>0</v>
      </c>
      <c r="EV327">
        <v>0</v>
      </c>
      <c r="EY327" t="s">
        <v>1052</v>
      </c>
      <c r="EZ327">
        <v>0</v>
      </c>
      <c r="FA327" t="s">
        <v>1043</v>
      </c>
      <c r="FB327">
        <v>0</v>
      </c>
      <c r="FC327">
        <v>0</v>
      </c>
      <c r="FE327" t="s">
        <v>1050</v>
      </c>
      <c r="FF327">
        <v>0</v>
      </c>
      <c r="FG327" t="s">
        <v>1050</v>
      </c>
      <c r="FJ327">
        <v>0</v>
      </c>
      <c r="FK327">
        <v>0</v>
      </c>
      <c r="FP327">
        <v>0</v>
      </c>
      <c r="FR327">
        <v>0</v>
      </c>
      <c r="FS327" t="s">
        <v>1043</v>
      </c>
      <c r="FX327" t="s">
        <v>1042</v>
      </c>
      <c r="FZ327" t="s">
        <v>1048</v>
      </c>
      <c r="GA327">
        <v>0</v>
      </c>
      <c r="GB327" t="s">
        <v>1042</v>
      </c>
      <c r="GE327">
        <v>0</v>
      </c>
      <c r="GG327">
        <v>0</v>
      </c>
      <c r="GN327">
        <v>0</v>
      </c>
      <c r="GO327" t="s">
        <v>1063</v>
      </c>
      <c r="GQ327">
        <v>0</v>
      </c>
      <c r="GU327">
        <v>0</v>
      </c>
      <c r="GY327" t="s">
        <v>1045</v>
      </c>
      <c r="HB327">
        <v>0</v>
      </c>
      <c r="HE327">
        <v>0</v>
      </c>
      <c r="HF327">
        <v>0</v>
      </c>
      <c r="HG327">
        <v>0</v>
      </c>
      <c r="HK327" t="s">
        <v>1042</v>
      </c>
      <c r="HM327" t="s">
        <v>1047</v>
      </c>
      <c r="HN327">
        <v>0</v>
      </c>
      <c r="HP327">
        <v>0</v>
      </c>
      <c r="HQ327">
        <v>0</v>
      </c>
      <c r="HR327" s="20">
        <v>44221</v>
      </c>
      <c r="HS327" t="s">
        <v>1043</v>
      </c>
      <c r="HT327">
        <v>0</v>
      </c>
      <c r="HU327">
        <v>0</v>
      </c>
      <c r="HW327">
        <v>0</v>
      </c>
      <c r="HX327">
        <v>0</v>
      </c>
      <c r="HY327">
        <v>1</v>
      </c>
      <c r="HZ327" t="s">
        <v>1045</v>
      </c>
      <c r="IA327">
        <v>163.65</v>
      </c>
      <c r="IB327" t="s">
        <v>1045</v>
      </c>
      <c r="ID327" t="s">
        <v>1045</v>
      </c>
      <c r="IF327">
        <v>0</v>
      </c>
      <c r="IG327" t="s">
        <v>1042</v>
      </c>
      <c r="II327" t="s">
        <v>1042</v>
      </c>
      <c r="IR327" t="s">
        <v>1045</v>
      </c>
      <c r="IT327">
        <v>0</v>
      </c>
      <c r="IY327" t="s">
        <v>1044</v>
      </c>
      <c r="IZ327" t="s">
        <v>1043</v>
      </c>
      <c r="JC327" t="s">
        <v>1043</v>
      </c>
      <c r="JE327">
        <v>0</v>
      </c>
      <c r="JF327">
        <v>0</v>
      </c>
      <c r="JI327" t="s">
        <v>1042</v>
      </c>
      <c r="JJ327">
        <v>0</v>
      </c>
      <c r="JK327">
        <v>0</v>
      </c>
      <c r="JL327">
        <v>0</v>
      </c>
      <c r="JM327">
        <v>0</v>
      </c>
      <c r="JQ327" t="s">
        <v>1043</v>
      </c>
      <c r="JT327">
        <v>0</v>
      </c>
      <c r="JU327" t="s">
        <v>1042</v>
      </c>
      <c r="JW327">
        <v>0</v>
      </c>
      <c r="KA327">
        <v>0</v>
      </c>
      <c r="KF327">
        <v>0</v>
      </c>
      <c r="KG327">
        <v>0</v>
      </c>
      <c r="KH327">
        <v>0</v>
      </c>
      <c r="KI327">
        <v>0</v>
      </c>
      <c r="KS327" t="s">
        <v>1073</v>
      </c>
      <c r="KT327">
        <v>0</v>
      </c>
      <c r="KU327">
        <v>0</v>
      </c>
      <c r="KV327">
        <v>0</v>
      </c>
      <c r="KX327">
        <v>0</v>
      </c>
      <c r="KZ327">
        <v>0</v>
      </c>
      <c r="LF327">
        <v>0</v>
      </c>
      <c r="LH327">
        <v>0</v>
      </c>
      <c r="LI327">
        <v>0</v>
      </c>
    </row>
    <row r="328" spans="1:321" x14ac:dyDescent="0.35">
      <c r="A328">
        <v>1</v>
      </c>
      <c r="B328">
        <v>12545</v>
      </c>
      <c r="C328" t="s">
        <v>1365</v>
      </c>
      <c r="D328" t="s">
        <v>1139</v>
      </c>
      <c r="E328" t="s">
        <v>85</v>
      </c>
      <c r="F328">
        <v>80</v>
      </c>
      <c r="G328">
        <v>9000</v>
      </c>
      <c r="H328">
        <v>0</v>
      </c>
      <c r="I328" t="s">
        <v>1333</v>
      </c>
      <c r="L328">
        <v>0</v>
      </c>
      <c r="M328">
        <v>3.25</v>
      </c>
      <c r="N328">
        <v>0</v>
      </c>
      <c r="R328">
        <v>0</v>
      </c>
      <c r="S328">
        <v>0</v>
      </c>
      <c r="W328" t="s">
        <v>1060</v>
      </c>
      <c r="X328">
        <v>0</v>
      </c>
      <c r="Z328">
        <v>1</v>
      </c>
      <c r="AA328">
        <v>0</v>
      </c>
      <c r="AB328">
        <v>0</v>
      </c>
      <c r="AC328">
        <v>86.46</v>
      </c>
      <c r="AD328" s="20">
        <v>44342</v>
      </c>
      <c r="AE328">
        <v>112.55</v>
      </c>
      <c r="AF328">
        <v>0</v>
      </c>
      <c r="AH328">
        <v>0</v>
      </c>
      <c r="AJ328">
        <v>0</v>
      </c>
      <c r="AL328">
        <v>1</v>
      </c>
      <c r="AM328">
        <v>0</v>
      </c>
      <c r="AN328">
        <v>16601001</v>
      </c>
      <c r="AO328">
        <v>0</v>
      </c>
      <c r="AP328">
        <v>1000</v>
      </c>
      <c r="AT328">
        <v>0</v>
      </c>
      <c r="AU328" t="s">
        <v>1059</v>
      </c>
      <c r="AW328" t="s">
        <v>1053</v>
      </c>
      <c r="AX328">
        <v>0</v>
      </c>
      <c r="AY328" s="20">
        <v>44172</v>
      </c>
      <c r="BA328" s="20">
        <v>40794</v>
      </c>
      <c r="BB328" t="s">
        <v>1058</v>
      </c>
      <c r="BD328">
        <v>0</v>
      </c>
      <c r="BF328" t="s">
        <v>1043</v>
      </c>
      <c r="BG328" t="s">
        <v>1042</v>
      </c>
      <c r="BH328">
        <v>0</v>
      </c>
      <c r="BI328">
        <v>1</v>
      </c>
      <c r="BJ328">
        <v>0</v>
      </c>
      <c r="BK328">
        <v>0</v>
      </c>
      <c r="BM328" s="20">
        <v>44180</v>
      </c>
      <c r="BN328">
        <v>0</v>
      </c>
      <c r="BR328" t="s">
        <v>1043</v>
      </c>
      <c r="BS328" t="s">
        <v>1043</v>
      </c>
      <c r="BT328" t="s">
        <v>1043</v>
      </c>
      <c r="BW328">
        <v>83</v>
      </c>
      <c r="CA328">
        <v>0</v>
      </c>
      <c r="CB328" t="s">
        <v>1057</v>
      </c>
      <c r="CE328" t="s">
        <v>1043</v>
      </c>
      <c r="CH328" t="s">
        <v>1043</v>
      </c>
      <c r="CN328" t="s">
        <v>1056</v>
      </c>
      <c r="CO328" t="s">
        <v>1043</v>
      </c>
      <c r="CP328">
        <v>1</v>
      </c>
      <c r="CQ328">
        <v>0</v>
      </c>
      <c r="CS328">
        <v>0</v>
      </c>
      <c r="CT328">
        <v>0</v>
      </c>
      <c r="CU328">
        <v>0</v>
      </c>
      <c r="CV328" t="s">
        <v>1045</v>
      </c>
      <c r="CW328">
        <v>0</v>
      </c>
      <c r="CX328">
        <v>0</v>
      </c>
      <c r="CY328">
        <v>0</v>
      </c>
      <c r="CZ328">
        <v>0</v>
      </c>
      <c r="DB328">
        <v>0</v>
      </c>
      <c r="DC328" t="s">
        <v>1043</v>
      </c>
      <c r="DF328" t="s">
        <v>1055</v>
      </c>
      <c r="DH328">
        <v>0</v>
      </c>
      <c r="DJ328">
        <v>0</v>
      </c>
      <c r="DK328" t="s">
        <v>1053</v>
      </c>
      <c r="DL328">
        <v>0</v>
      </c>
      <c r="DN328">
        <v>0</v>
      </c>
      <c r="DO328" t="s">
        <v>1042</v>
      </c>
      <c r="DP328">
        <v>0</v>
      </c>
      <c r="DQ328">
        <v>0</v>
      </c>
      <c r="DS328">
        <v>0</v>
      </c>
      <c r="DU328">
        <v>0</v>
      </c>
      <c r="DW328">
        <v>0</v>
      </c>
      <c r="DX328" t="s">
        <v>1043</v>
      </c>
      <c r="DY328">
        <v>0</v>
      </c>
      <c r="DZ328">
        <v>0</v>
      </c>
      <c r="EA328">
        <v>0</v>
      </c>
      <c r="ED328" t="s">
        <v>1045</v>
      </c>
      <c r="EE328">
        <v>0</v>
      </c>
      <c r="EF328">
        <v>0</v>
      </c>
      <c r="EQ328" t="s">
        <v>1044</v>
      </c>
      <c r="ES328" t="s">
        <v>1053</v>
      </c>
      <c r="ET328">
        <v>0</v>
      </c>
      <c r="EV328">
        <v>0</v>
      </c>
      <c r="EY328" t="s">
        <v>1052</v>
      </c>
      <c r="EZ328">
        <v>0</v>
      </c>
      <c r="FA328" t="s">
        <v>1043</v>
      </c>
      <c r="FB328">
        <v>0</v>
      </c>
      <c r="FC328">
        <v>0</v>
      </c>
      <c r="FE328" t="s">
        <v>1050</v>
      </c>
      <c r="FF328">
        <v>0</v>
      </c>
      <c r="FG328" t="s">
        <v>1050</v>
      </c>
      <c r="FJ328">
        <v>0</v>
      </c>
      <c r="FK328">
        <v>0</v>
      </c>
      <c r="FP328">
        <v>0</v>
      </c>
      <c r="FR328">
        <v>0</v>
      </c>
      <c r="FS328" t="s">
        <v>1043</v>
      </c>
      <c r="FX328" t="s">
        <v>1042</v>
      </c>
      <c r="FZ328" t="s">
        <v>1048</v>
      </c>
      <c r="GA328">
        <v>0</v>
      </c>
      <c r="GB328" t="s">
        <v>1042</v>
      </c>
      <c r="GE328">
        <v>0</v>
      </c>
      <c r="GG328">
        <v>0</v>
      </c>
      <c r="GN328">
        <v>0</v>
      </c>
      <c r="GO328" t="s">
        <v>1063</v>
      </c>
      <c r="GQ328">
        <v>0</v>
      </c>
      <c r="GU328">
        <v>0</v>
      </c>
      <c r="GY328" t="s">
        <v>1045</v>
      </c>
      <c r="HB328">
        <v>0</v>
      </c>
      <c r="HE328">
        <v>0</v>
      </c>
      <c r="HF328">
        <v>0</v>
      </c>
      <c r="HG328">
        <v>0</v>
      </c>
      <c r="HK328" t="s">
        <v>1042</v>
      </c>
      <c r="HM328" t="s">
        <v>1047</v>
      </c>
      <c r="HN328">
        <v>0</v>
      </c>
      <c r="HP328">
        <v>0</v>
      </c>
      <c r="HQ328">
        <v>0</v>
      </c>
      <c r="HR328" s="20">
        <v>44221</v>
      </c>
      <c r="HS328" t="s">
        <v>1043</v>
      </c>
      <c r="HT328">
        <v>0</v>
      </c>
      <c r="HU328">
        <v>0</v>
      </c>
      <c r="HW328">
        <v>0</v>
      </c>
      <c r="HX328">
        <v>0</v>
      </c>
      <c r="HY328">
        <v>1</v>
      </c>
      <c r="HZ328" t="s">
        <v>1045</v>
      </c>
      <c r="IA328">
        <v>112.55</v>
      </c>
      <c r="IB328" t="s">
        <v>1045</v>
      </c>
      <c r="ID328" t="s">
        <v>1045</v>
      </c>
      <c r="IF328">
        <v>0</v>
      </c>
      <c r="IG328" t="s">
        <v>1042</v>
      </c>
      <c r="II328" t="s">
        <v>1042</v>
      </c>
      <c r="IR328" t="s">
        <v>1045</v>
      </c>
      <c r="IT328">
        <v>0</v>
      </c>
      <c r="IY328" t="s">
        <v>1044</v>
      </c>
      <c r="IZ328" t="s">
        <v>1043</v>
      </c>
      <c r="JC328" t="s">
        <v>1043</v>
      </c>
      <c r="JE328">
        <v>0</v>
      </c>
      <c r="JF328">
        <v>0</v>
      </c>
      <c r="JI328" t="s">
        <v>1042</v>
      </c>
      <c r="JJ328">
        <v>0</v>
      </c>
      <c r="JK328">
        <v>0</v>
      </c>
      <c r="JL328">
        <v>0</v>
      </c>
      <c r="JM328">
        <v>0</v>
      </c>
      <c r="JQ328" t="s">
        <v>1043</v>
      </c>
      <c r="JT328">
        <v>0</v>
      </c>
      <c r="JU328" t="s">
        <v>1042</v>
      </c>
      <c r="JW328">
        <v>0</v>
      </c>
      <c r="KA328">
        <v>0</v>
      </c>
      <c r="KF328">
        <v>0</v>
      </c>
      <c r="KG328">
        <v>0</v>
      </c>
      <c r="KH328">
        <v>0</v>
      </c>
      <c r="KI328">
        <v>0</v>
      </c>
      <c r="KS328" t="s">
        <v>1073</v>
      </c>
      <c r="KT328">
        <v>0</v>
      </c>
      <c r="KU328">
        <v>0</v>
      </c>
      <c r="KV328">
        <v>0</v>
      </c>
      <c r="KX328">
        <v>0</v>
      </c>
      <c r="KZ328">
        <v>0</v>
      </c>
      <c r="LF328">
        <v>0</v>
      </c>
      <c r="LH328">
        <v>0</v>
      </c>
      <c r="LI328">
        <v>0</v>
      </c>
    </row>
    <row r="329" spans="1:321" x14ac:dyDescent="0.35">
      <c r="A329">
        <v>1</v>
      </c>
      <c r="B329">
        <v>12546</v>
      </c>
      <c r="C329" t="s">
        <v>1364</v>
      </c>
      <c r="D329" t="s">
        <v>1139</v>
      </c>
      <c r="E329" t="s">
        <v>85</v>
      </c>
      <c r="F329">
        <v>80</v>
      </c>
      <c r="G329">
        <v>9000</v>
      </c>
      <c r="H329">
        <v>0</v>
      </c>
      <c r="I329" t="s">
        <v>1050</v>
      </c>
      <c r="L329">
        <v>0</v>
      </c>
      <c r="M329">
        <v>3.25</v>
      </c>
      <c r="N329">
        <v>0</v>
      </c>
      <c r="R329">
        <v>0</v>
      </c>
      <c r="S329">
        <v>0</v>
      </c>
      <c r="W329" t="s">
        <v>1060</v>
      </c>
      <c r="X329">
        <v>0</v>
      </c>
      <c r="Z329">
        <v>1</v>
      </c>
      <c r="AA329">
        <v>0</v>
      </c>
      <c r="AB329">
        <v>0</v>
      </c>
      <c r="AC329">
        <v>0</v>
      </c>
      <c r="AD329" s="20">
        <v>40764</v>
      </c>
      <c r="AE329">
        <v>69.55</v>
      </c>
      <c r="AF329">
        <v>0</v>
      </c>
      <c r="AH329">
        <v>0</v>
      </c>
      <c r="AJ329">
        <v>0</v>
      </c>
      <c r="AL329">
        <v>0</v>
      </c>
      <c r="AM329">
        <v>0</v>
      </c>
      <c r="AN329">
        <v>16601001</v>
      </c>
      <c r="AO329">
        <v>0</v>
      </c>
      <c r="AP329">
        <v>1000</v>
      </c>
      <c r="AT329">
        <v>0</v>
      </c>
      <c r="AU329" t="s">
        <v>1059</v>
      </c>
      <c r="AW329" t="s">
        <v>1053</v>
      </c>
      <c r="AX329">
        <v>0</v>
      </c>
      <c r="AY329" s="20">
        <v>40794</v>
      </c>
      <c r="BA329" s="20">
        <v>40794</v>
      </c>
      <c r="BB329" t="s">
        <v>1058</v>
      </c>
      <c r="BD329">
        <v>0</v>
      </c>
      <c r="BF329" t="s">
        <v>1043</v>
      </c>
      <c r="BG329" t="s">
        <v>1042</v>
      </c>
      <c r="BH329">
        <v>0</v>
      </c>
      <c r="BI329">
        <v>1</v>
      </c>
      <c r="BJ329">
        <v>0</v>
      </c>
      <c r="BK329">
        <v>0</v>
      </c>
      <c r="BM329" t="s">
        <v>1042</v>
      </c>
      <c r="BN329">
        <v>0</v>
      </c>
      <c r="BR329" t="s">
        <v>1043</v>
      </c>
      <c r="BS329" t="s">
        <v>1043</v>
      </c>
      <c r="BT329" t="s">
        <v>1043</v>
      </c>
      <c r="BW329">
        <v>83</v>
      </c>
      <c r="CA329">
        <v>0</v>
      </c>
      <c r="CB329" t="s">
        <v>1057</v>
      </c>
      <c r="CE329" t="s">
        <v>1043</v>
      </c>
      <c r="CH329" t="s">
        <v>1043</v>
      </c>
      <c r="CN329" t="s">
        <v>1056</v>
      </c>
      <c r="CO329" t="s">
        <v>1043</v>
      </c>
      <c r="CP329">
        <v>1</v>
      </c>
      <c r="CQ329">
        <v>0</v>
      </c>
      <c r="CS329">
        <v>0</v>
      </c>
      <c r="CT329">
        <v>0</v>
      </c>
      <c r="CU329">
        <v>0</v>
      </c>
      <c r="CV329" t="s">
        <v>1045</v>
      </c>
      <c r="CW329">
        <v>0</v>
      </c>
      <c r="CX329">
        <v>0</v>
      </c>
      <c r="CY329">
        <v>0</v>
      </c>
      <c r="CZ329">
        <v>0</v>
      </c>
      <c r="DB329">
        <v>0</v>
      </c>
      <c r="DC329" t="s">
        <v>1043</v>
      </c>
      <c r="DF329" t="s">
        <v>1055</v>
      </c>
      <c r="DH329">
        <v>0</v>
      </c>
      <c r="DJ329">
        <v>0</v>
      </c>
      <c r="DK329" t="s">
        <v>1053</v>
      </c>
      <c r="DL329">
        <v>0</v>
      </c>
      <c r="DN329">
        <v>0</v>
      </c>
      <c r="DO329" t="s">
        <v>1042</v>
      </c>
      <c r="DP329">
        <v>0</v>
      </c>
      <c r="DQ329">
        <v>0</v>
      </c>
      <c r="DS329">
        <v>0</v>
      </c>
      <c r="DU329">
        <v>0</v>
      </c>
      <c r="DW329">
        <v>0</v>
      </c>
      <c r="DX329" t="s">
        <v>1043</v>
      </c>
      <c r="DY329">
        <v>0</v>
      </c>
      <c r="DZ329">
        <v>0</v>
      </c>
      <c r="EA329">
        <v>0</v>
      </c>
      <c r="ED329" t="s">
        <v>1045</v>
      </c>
      <c r="EE329">
        <v>0</v>
      </c>
      <c r="EF329">
        <v>0</v>
      </c>
      <c r="EQ329" t="s">
        <v>1044</v>
      </c>
      <c r="ES329" t="s">
        <v>1053</v>
      </c>
      <c r="ET329">
        <v>0</v>
      </c>
      <c r="EV329">
        <v>0</v>
      </c>
      <c r="EY329" t="s">
        <v>1052</v>
      </c>
      <c r="EZ329">
        <v>0</v>
      </c>
      <c r="FA329" t="s">
        <v>1043</v>
      </c>
      <c r="FB329">
        <v>0</v>
      </c>
      <c r="FC329">
        <v>0</v>
      </c>
      <c r="FE329" t="s">
        <v>1050</v>
      </c>
      <c r="FF329">
        <v>0</v>
      </c>
      <c r="FG329" t="s">
        <v>1050</v>
      </c>
      <c r="FJ329">
        <v>0</v>
      </c>
      <c r="FK329">
        <v>0</v>
      </c>
      <c r="FP329">
        <v>0</v>
      </c>
      <c r="FR329">
        <v>0</v>
      </c>
      <c r="FS329" t="s">
        <v>1043</v>
      </c>
      <c r="FX329" t="s">
        <v>1042</v>
      </c>
      <c r="FZ329" t="s">
        <v>1048</v>
      </c>
      <c r="GA329">
        <v>0</v>
      </c>
      <c r="GB329" t="s">
        <v>1042</v>
      </c>
      <c r="GE329">
        <v>0</v>
      </c>
      <c r="GG329">
        <v>0</v>
      </c>
      <c r="GN329">
        <v>0</v>
      </c>
      <c r="GO329" t="s">
        <v>1063</v>
      </c>
      <c r="GQ329">
        <v>0</v>
      </c>
      <c r="GU329">
        <v>0</v>
      </c>
      <c r="GY329" t="s">
        <v>1045</v>
      </c>
      <c r="HB329">
        <v>0</v>
      </c>
      <c r="HE329">
        <v>0</v>
      </c>
      <c r="HF329">
        <v>0</v>
      </c>
      <c r="HG329">
        <v>0</v>
      </c>
      <c r="HK329" t="s">
        <v>1042</v>
      </c>
      <c r="HM329" t="s">
        <v>1047</v>
      </c>
      <c r="HN329">
        <v>0</v>
      </c>
      <c r="HP329">
        <v>0</v>
      </c>
      <c r="HQ329">
        <v>0</v>
      </c>
      <c r="HR329" t="s">
        <v>1042</v>
      </c>
      <c r="HS329" t="s">
        <v>1043</v>
      </c>
      <c r="HT329">
        <v>0</v>
      </c>
      <c r="HU329">
        <v>0</v>
      </c>
      <c r="HW329">
        <v>0</v>
      </c>
      <c r="HX329">
        <v>0</v>
      </c>
      <c r="HY329">
        <v>0</v>
      </c>
      <c r="HZ329" t="s">
        <v>1045</v>
      </c>
      <c r="IA329">
        <v>0</v>
      </c>
      <c r="IB329" t="s">
        <v>1045</v>
      </c>
      <c r="ID329" t="s">
        <v>1045</v>
      </c>
      <c r="IF329">
        <v>0</v>
      </c>
      <c r="IG329" t="s">
        <v>1042</v>
      </c>
      <c r="II329" t="s">
        <v>1042</v>
      </c>
      <c r="IR329" t="s">
        <v>1045</v>
      </c>
      <c r="IT329">
        <v>0</v>
      </c>
      <c r="IY329" t="s">
        <v>1044</v>
      </c>
      <c r="IZ329" t="s">
        <v>1043</v>
      </c>
      <c r="JC329" t="s">
        <v>1043</v>
      </c>
      <c r="JE329">
        <v>0</v>
      </c>
      <c r="JF329">
        <v>0</v>
      </c>
      <c r="JI329" t="s">
        <v>1042</v>
      </c>
      <c r="JJ329">
        <v>0</v>
      </c>
      <c r="JK329">
        <v>0</v>
      </c>
      <c r="JL329">
        <v>0</v>
      </c>
      <c r="JM329">
        <v>0</v>
      </c>
      <c r="JQ329" t="s">
        <v>1043</v>
      </c>
      <c r="JT329">
        <v>0</v>
      </c>
      <c r="JU329" t="s">
        <v>1042</v>
      </c>
      <c r="JW329">
        <v>0</v>
      </c>
      <c r="KA329">
        <v>0</v>
      </c>
      <c r="KF329">
        <v>0</v>
      </c>
      <c r="KG329">
        <v>0</v>
      </c>
      <c r="KH329">
        <v>0</v>
      </c>
      <c r="KI329">
        <v>0</v>
      </c>
      <c r="KS329" t="s">
        <v>1073</v>
      </c>
      <c r="KT329">
        <v>0</v>
      </c>
      <c r="KU329">
        <v>0</v>
      </c>
      <c r="KV329">
        <v>0</v>
      </c>
      <c r="KX329">
        <v>0</v>
      </c>
      <c r="KZ329">
        <v>0</v>
      </c>
      <c r="LF329">
        <v>0</v>
      </c>
      <c r="LH329">
        <v>0</v>
      </c>
      <c r="LI329">
        <v>0</v>
      </c>
    </row>
    <row r="330" spans="1:321" x14ac:dyDescent="0.35">
      <c r="A330">
        <v>1</v>
      </c>
      <c r="B330">
        <v>12547</v>
      </c>
      <c r="C330" t="s">
        <v>1363</v>
      </c>
      <c r="D330" t="s">
        <v>1139</v>
      </c>
      <c r="E330" t="s">
        <v>85</v>
      </c>
      <c r="F330">
        <v>80</v>
      </c>
      <c r="G330">
        <v>9000</v>
      </c>
      <c r="H330">
        <v>0</v>
      </c>
      <c r="I330" t="s">
        <v>1333</v>
      </c>
      <c r="L330">
        <v>0</v>
      </c>
      <c r="M330">
        <v>3.25</v>
      </c>
      <c r="N330">
        <v>0</v>
      </c>
      <c r="R330">
        <v>0</v>
      </c>
      <c r="S330">
        <v>0</v>
      </c>
      <c r="W330" t="s">
        <v>1060</v>
      </c>
      <c r="X330">
        <v>0</v>
      </c>
      <c r="Z330">
        <v>1</v>
      </c>
      <c r="AA330">
        <v>0</v>
      </c>
      <c r="AB330">
        <v>0</v>
      </c>
      <c r="AC330">
        <v>89.03</v>
      </c>
      <c r="AD330" s="20">
        <v>41431</v>
      </c>
      <c r="AE330">
        <v>98.71</v>
      </c>
      <c r="AF330">
        <v>0</v>
      </c>
      <c r="AH330">
        <v>0</v>
      </c>
      <c r="AJ330">
        <v>0</v>
      </c>
      <c r="AL330">
        <v>1</v>
      </c>
      <c r="AM330">
        <v>0</v>
      </c>
      <c r="AN330">
        <v>16601001</v>
      </c>
      <c r="AO330">
        <v>0</v>
      </c>
      <c r="AP330">
        <v>1000</v>
      </c>
      <c r="AT330">
        <v>0</v>
      </c>
      <c r="AU330" t="s">
        <v>1059</v>
      </c>
      <c r="AW330" t="s">
        <v>1053</v>
      </c>
      <c r="AX330">
        <v>0</v>
      </c>
      <c r="AY330" s="20">
        <v>41431</v>
      </c>
      <c r="BA330" s="20">
        <v>40794</v>
      </c>
      <c r="BB330" t="s">
        <v>1058</v>
      </c>
      <c r="BD330">
        <v>0</v>
      </c>
      <c r="BF330" t="s">
        <v>1043</v>
      </c>
      <c r="BG330" t="s">
        <v>1042</v>
      </c>
      <c r="BH330">
        <v>0</v>
      </c>
      <c r="BI330">
        <v>1</v>
      </c>
      <c r="BJ330">
        <v>0</v>
      </c>
      <c r="BK330">
        <v>0</v>
      </c>
      <c r="BM330" t="s">
        <v>1042</v>
      </c>
      <c r="BN330">
        <v>0</v>
      </c>
      <c r="BR330" t="s">
        <v>1043</v>
      </c>
      <c r="BS330" t="s">
        <v>1043</v>
      </c>
      <c r="BT330" t="s">
        <v>1043</v>
      </c>
      <c r="BW330">
        <v>83</v>
      </c>
      <c r="CA330">
        <v>0</v>
      </c>
      <c r="CB330" t="s">
        <v>1057</v>
      </c>
      <c r="CE330" t="s">
        <v>1043</v>
      </c>
      <c r="CH330" t="s">
        <v>1043</v>
      </c>
      <c r="CN330" t="s">
        <v>1056</v>
      </c>
      <c r="CO330" t="s">
        <v>1043</v>
      </c>
      <c r="CP330">
        <v>1</v>
      </c>
      <c r="CQ330">
        <v>0</v>
      </c>
      <c r="CS330">
        <v>0</v>
      </c>
      <c r="CT330">
        <v>0</v>
      </c>
      <c r="CU330">
        <v>0</v>
      </c>
      <c r="CV330" t="s">
        <v>1045</v>
      </c>
      <c r="CW330">
        <v>0</v>
      </c>
      <c r="CX330">
        <v>0</v>
      </c>
      <c r="CY330">
        <v>0</v>
      </c>
      <c r="CZ330">
        <v>0</v>
      </c>
      <c r="DB330">
        <v>0</v>
      </c>
      <c r="DC330" t="s">
        <v>1043</v>
      </c>
      <c r="DF330" t="s">
        <v>1055</v>
      </c>
      <c r="DH330">
        <v>0</v>
      </c>
      <c r="DJ330">
        <v>0</v>
      </c>
      <c r="DK330" t="s">
        <v>1053</v>
      </c>
      <c r="DL330">
        <v>0</v>
      </c>
      <c r="DN330">
        <v>0</v>
      </c>
      <c r="DO330" t="s">
        <v>1042</v>
      </c>
      <c r="DP330">
        <v>0</v>
      </c>
      <c r="DQ330">
        <v>0</v>
      </c>
      <c r="DS330">
        <v>0</v>
      </c>
      <c r="DU330">
        <v>0</v>
      </c>
      <c r="DW330">
        <v>0</v>
      </c>
      <c r="DX330" t="s">
        <v>1043</v>
      </c>
      <c r="DY330">
        <v>0</v>
      </c>
      <c r="DZ330">
        <v>0</v>
      </c>
      <c r="EA330">
        <v>0</v>
      </c>
      <c r="ED330" t="s">
        <v>1045</v>
      </c>
      <c r="EE330">
        <v>0</v>
      </c>
      <c r="EF330">
        <v>0</v>
      </c>
      <c r="EQ330" t="s">
        <v>1044</v>
      </c>
      <c r="ES330" t="s">
        <v>1053</v>
      </c>
      <c r="ET330">
        <v>0</v>
      </c>
      <c r="EV330">
        <v>0</v>
      </c>
      <c r="EY330" t="s">
        <v>1052</v>
      </c>
      <c r="EZ330">
        <v>0</v>
      </c>
      <c r="FA330" t="s">
        <v>1043</v>
      </c>
      <c r="FB330">
        <v>0</v>
      </c>
      <c r="FC330">
        <v>0</v>
      </c>
      <c r="FE330" t="s">
        <v>1050</v>
      </c>
      <c r="FF330">
        <v>0</v>
      </c>
      <c r="FG330" t="s">
        <v>1050</v>
      </c>
      <c r="FJ330">
        <v>0</v>
      </c>
      <c r="FK330">
        <v>0</v>
      </c>
      <c r="FP330">
        <v>0</v>
      </c>
      <c r="FR330">
        <v>0</v>
      </c>
      <c r="FS330" t="s">
        <v>1043</v>
      </c>
      <c r="FX330" t="s">
        <v>1042</v>
      </c>
      <c r="FZ330" t="s">
        <v>1048</v>
      </c>
      <c r="GA330">
        <v>0</v>
      </c>
      <c r="GB330" t="s">
        <v>1042</v>
      </c>
      <c r="GE330">
        <v>0</v>
      </c>
      <c r="GG330">
        <v>0</v>
      </c>
      <c r="GN330">
        <v>0</v>
      </c>
      <c r="GO330" t="s">
        <v>1063</v>
      </c>
      <c r="GQ330">
        <v>0</v>
      </c>
      <c r="GU330">
        <v>0</v>
      </c>
      <c r="GY330" t="s">
        <v>1045</v>
      </c>
      <c r="HB330">
        <v>0</v>
      </c>
      <c r="HE330">
        <v>0</v>
      </c>
      <c r="HF330">
        <v>0</v>
      </c>
      <c r="HG330">
        <v>0</v>
      </c>
      <c r="HK330" t="s">
        <v>1042</v>
      </c>
      <c r="HM330" t="s">
        <v>1047</v>
      </c>
      <c r="HN330">
        <v>0</v>
      </c>
      <c r="HP330">
        <v>0</v>
      </c>
      <c r="HQ330">
        <v>0</v>
      </c>
      <c r="HR330" s="20">
        <v>44221</v>
      </c>
      <c r="HS330" t="s">
        <v>1043</v>
      </c>
      <c r="HT330">
        <v>0</v>
      </c>
      <c r="HU330">
        <v>0</v>
      </c>
      <c r="HW330">
        <v>0</v>
      </c>
      <c r="HX330">
        <v>0</v>
      </c>
      <c r="HY330">
        <v>0</v>
      </c>
      <c r="HZ330" t="s">
        <v>1045</v>
      </c>
      <c r="IA330">
        <v>0</v>
      </c>
      <c r="IB330" t="s">
        <v>1045</v>
      </c>
      <c r="ID330" t="s">
        <v>1045</v>
      </c>
      <c r="IF330">
        <v>0</v>
      </c>
      <c r="IG330" t="s">
        <v>1042</v>
      </c>
      <c r="II330" t="s">
        <v>1042</v>
      </c>
      <c r="IR330" t="s">
        <v>1045</v>
      </c>
      <c r="IT330">
        <v>0</v>
      </c>
      <c r="IY330" t="s">
        <v>1044</v>
      </c>
      <c r="IZ330" t="s">
        <v>1043</v>
      </c>
      <c r="JC330" t="s">
        <v>1043</v>
      </c>
      <c r="JE330">
        <v>0</v>
      </c>
      <c r="JF330">
        <v>0</v>
      </c>
      <c r="JI330" t="s">
        <v>1042</v>
      </c>
      <c r="JJ330">
        <v>0</v>
      </c>
      <c r="JK330">
        <v>0</v>
      </c>
      <c r="JL330">
        <v>0</v>
      </c>
      <c r="JM330">
        <v>0</v>
      </c>
      <c r="JQ330" t="s">
        <v>1043</v>
      </c>
      <c r="JT330">
        <v>0</v>
      </c>
      <c r="JU330" t="s">
        <v>1042</v>
      </c>
      <c r="JW330">
        <v>0</v>
      </c>
      <c r="KA330">
        <v>0</v>
      </c>
      <c r="KF330">
        <v>0</v>
      </c>
      <c r="KG330">
        <v>0</v>
      </c>
      <c r="KH330">
        <v>0</v>
      </c>
      <c r="KI330">
        <v>0</v>
      </c>
      <c r="KS330" t="s">
        <v>1073</v>
      </c>
      <c r="KT330">
        <v>0</v>
      </c>
      <c r="KU330">
        <v>0</v>
      </c>
      <c r="KV330">
        <v>0</v>
      </c>
      <c r="KX330">
        <v>0</v>
      </c>
      <c r="KZ330">
        <v>0</v>
      </c>
      <c r="LF330">
        <v>0</v>
      </c>
      <c r="LH330">
        <v>0</v>
      </c>
      <c r="LI330">
        <v>0</v>
      </c>
    </row>
    <row r="331" spans="1:321" x14ac:dyDescent="0.35">
      <c r="A331">
        <v>1</v>
      </c>
      <c r="B331">
        <v>12548</v>
      </c>
      <c r="C331" t="s">
        <v>1362</v>
      </c>
      <c r="D331" t="s">
        <v>1139</v>
      </c>
      <c r="E331" t="s">
        <v>85</v>
      </c>
      <c r="F331">
        <v>80</v>
      </c>
      <c r="G331">
        <v>9000</v>
      </c>
      <c r="H331">
        <v>0</v>
      </c>
      <c r="I331" t="s">
        <v>1050</v>
      </c>
      <c r="L331">
        <v>0</v>
      </c>
      <c r="M331">
        <v>3.25</v>
      </c>
      <c r="N331">
        <v>0</v>
      </c>
      <c r="R331">
        <v>0</v>
      </c>
      <c r="S331">
        <v>0</v>
      </c>
      <c r="W331" t="s">
        <v>1060</v>
      </c>
      <c r="X331">
        <v>0</v>
      </c>
      <c r="Z331">
        <v>1</v>
      </c>
      <c r="AA331">
        <v>0</v>
      </c>
      <c r="AB331">
        <v>0</v>
      </c>
      <c r="AC331">
        <v>0</v>
      </c>
      <c r="AD331" s="20">
        <v>40794</v>
      </c>
      <c r="AE331">
        <v>1531.96</v>
      </c>
      <c r="AF331">
        <v>0</v>
      </c>
      <c r="AH331">
        <v>0</v>
      </c>
      <c r="AJ331">
        <v>0</v>
      </c>
      <c r="AL331">
        <v>0</v>
      </c>
      <c r="AM331">
        <v>0</v>
      </c>
      <c r="AN331">
        <v>16601001</v>
      </c>
      <c r="AO331">
        <v>0</v>
      </c>
      <c r="AP331">
        <v>1000</v>
      </c>
      <c r="AT331">
        <v>0</v>
      </c>
      <c r="AU331" t="s">
        <v>1059</v>
      </c>
      <c r="AW331" t="s">
        <v>1053</v>
      </c>
      <c r="AX331">
        <v>0</v>
      </c>
      <c r="AY331" s="20">
        <v>40794</v>
      </c>
      <c r="BA331" s="20">
        <v>40794</v>
      </c>
      <c r="BB331" t="s">
        <v>1058</v>
      </c>
      <c r="BD331">
        <v>0</v>
      </c>
      <c r="BF331" t="s">
        <v>1043</v>
      </c>
      <c r="BG331" t="s">
        <v>1042</v>
      </c>
      <c r="BH331">
        <v>0</v>
      </c>
      <c r="BI331">
        <v>1</v>
      </c>
      <c r="BJ331">
        <v>0</v>
      </c>
      <c r="BK331">
        <v>0</v>
      </c>
      <c r="BM331" t="s">
        <v>1042</v>
      </c>
      <c r="BN331">
        <v>0</v>
      </c>
      <c r="BR331" t="s">
        <v>1043</v>
      </c>
      <c r="BS331" t="s">
        <v>1043</v>
      </c>
      <c r="BT331" t="s">
        <v>1043</v>
      </c>
      <c r="BW331">
        <v>83</v>
      </c>
      <c r="CA331">
        <v>0</v>
      </c>
      <c r="CB331" t="s">
        <v>1057</v>
      </c>
      <c r="CE331" t="s">
        <v>1043</v>
      </c>
      <c r="CH331" t="s">
        <v>1043</v>
      </c>
      <c r="CN331" t="s">
        <v>1056</v>
      </c>
      <c r="CO331" t="s">
        <v>1043</v>
      </c>
      <c r="CP331">
        <v>1</v>
      </c>
      <c r="CQ331">
        <v>0</v>
      </c>
      <c r="CS331">
        <v>0</v>
      </c>
      <c r="CT331">
        <v>0</v>
      </c>
      <c r="CU331">
        <v>0</v>
      </c>
      <c r="CV331" t="s">
        <v>1045</v>
      </c>
      <c r="CW331">
        <v>0</v>
      </c>
      <c r="CX331">
        <v>0</v>
      </c>
      <c r="CY331">
        <v>0</v>
      </c>
      <c r="CZ331">
        <v>0</v>
      </c>
      <c r="DB331">
        <v>0</v>
      </c>
      <c r="DC331" t="s">
        <v>1043</v>
      </c>
      <c r="DF331" t="s">
        <v>1055</v>
      </c>
      <c r="DH331">
        <v>0</v>
      </c>
      <c r="DJ331">
        <v>0</v>
      </c>
      <c r="DK331" t="s">
        <v>1053</v>
      </c>
      <c r="DL331">
        <v>0</v>
      </c>
      <c r="DN331">
        <v>0</v>
      </c>
      <c r="DO331" t="s">
        <v>1042</v>
      </c>
      <c r="DP331">
        <v>0</v>
      </c>
      <c r="DQ331">
        <v>0</v>
      </c>
      <c r="DS331">
        <v>0</v>
      </c>
      <c r="DU331">
        <v>0</v>
      </c>
      <c r="DW331">
        <v>0</v>
      </c>
      <c r="DX331" t="s">
        <v>1043</v>
      </c>
      <c r="DY331">
        <v>0</v>
      </c>
      <c r="DZ331">
        <v>0</v>
      </c>
      <c r="EA331">
        <v>0</v>
      </c>
      <c r="ED331" t="s">
        <v>1045</v>
      </c>
      <c r="EE331">
        <v>0</v>
      </c>
      <c r="EF331">
        <v>0</v>
      </c>
      <c r="EQ331" t="s">
        <v>1044</v>
      </c>
      <c r="ES331" t="s">
        <v>1053</v>
      </c>
      <c r="ET331">
        <v>0</v>
      </c>
      <c r="EV331">
        <v>0</v>
      </c>
      <c r="EY331" t="s">
        <v>1052</v>
      </c>
      <c r="EZ331">
        <v>0</v>
      </c>
      <c r="FA331" t="s">
        <v>1043</v>
      </c>
      <c r="FB331">
        <v>0</v>
      </c>
      <c r="FC331">
        <v>0</v>
      </c>
      <c r="FE331" t="s">
        <v>1050</v>
      </c>
      <c r="FF331">
        <v>0</v>
      </c>
      <c r="FG331" t="s">
        <v>1050</v>
      </c>
      <c r="FJ331">
        <v>0</v>
      </c>
      <c r="FK331">
        <v>0</v>
      </c>
      <c r="FP331">
        <v>0</v>
      </c>
      <c r="FR331">
        <v>0</v>
      </c>
      <c r="FS331" t="s">
        <v>1043</v>
      </c>
      <c r="FX331" t="s">
        <v>1042</v>
      </c>
      <c r="FZ331" t="s">
        <v>1048</v>
      </c>
      <c r="GA331">
        <v>0</v>
      </c>
      <c r="GB331" t="s">
        <v>1042</v>
      </c>
      <c r="GE331">
        <v>0</v>
      </c>
      <c r="GG331">
        <v>0</v>
      </c>
      <c r="GN331">
        <v>0</v>
      </c>
      <c r="GO331" t="s">
        <v>1063</v>
      </c>
      <c r="GQ331">
        <v>0</v>
      </c>
      <c r="GU331">
        <v>0</v>
      </c>
      <c r="GY331" t="s">
        <v>1045</v>
      </c>
      <c r="HB331">
        <v>0</v>
      </c>
      <c r="HE331">
        <v>0</v>
      </c>
      <c r="HF331">
        <v>0</v>
      </c>
      <c r="HG331">
        <v>0</v>
      </c>
      <c r="HK331" t="s">
        <v>1042</v>
      </c>
      <c r="HM331" t="s">
        <v>1047</v>
      </c>
      <c r="HN331">
        <v>0</v>
      </c>
      <c r="HP331">
        <v>0</v>
      </c>
      <c r="HQ331">
        <v>0</v>
      </c>
      <c r="HR331" t="s">
        <v>1042</v>
      </c>
      <c r="HS331" t="s">
        <v>1043</v>
      </c>
      <c r="HT331">
        <v>0</v>
      </c>
      <c r="HU331">
        <v>0</v>
      </c>
      <c r="HW331">
        <v>0</v>
      </c>
      <c r="HX331">
        <v>0</v>
      </c>
      <c r="HY331">
        <v>0</v>
      </c>
      <c r="HZ331" t="s">
        <v>1045</v>
      </c>
      <c r="IA331">
        <v>0</v>
      </c>
      <c r="IB331" t="s">
        <v>1045</v>
      </c>
      <c r="ID331" t="s">
        <v>1045</v>
      </c>
      <c r="IF331">
        <v>0</v>
      </c>
      <c r="IG331" t="s">
        <v>1042</v>
      </c>
      <c r="II331" t="s">
        <v>1042</v>
      </c>
      <c r="IR331" t="s">
        <v>1045</v>
      </c>
      <c r="IT331">
        <v>0</v>
      </c>
      <c r="IY331" t="s">
        <v>1044</v>
      </c>
      <c r="IZ331" t="s">
        <v>1043</v>
      </c>
      <c r="JC331" t="s">
        <v>1043</v>
      </c>
      <c r="JE331">
        <v>0</v>
      </c>
      <c r="JF331">
        <v>0</v>
      </c>
      <c r="JI331" t="s">
        <v>1042</v>
      </c>
      <c r="JJ331">
        <v>0</v>
      </c>
      <c r="JK331">
        <v>0</v>
      </c>
      <c r="JL331">
        <v>0</v>
      </c>
      <c r="JM331">
        <v>0</v>
      </c>
      <c r="JQ331" t="s">
        <v>1043</v>
      </c>
      <c r="JT331">
        <v>0</v>
      </c>
      <c r="JU331" t="s">
        <v>1042</v>
      </c>
      <c r="JW331">
        <v>0</v>
      </c>
      <c r="KA331">
        <v>0</v>
      </c>
      <c r="KF331">
        <v>0</v>
      </c>
      <c r="KG331">
        <v>0</v>
      </c>
      <c r="KH331">
        <v>0</v>
      </c>
      <c r="KI331">
        <v>0</v>
      </c>
      <c r="KS331" t="s">
        <v>1073</v>
      </c>
      <c r="KT331">
        <v>0</v>
      </c>
      <c r="KU331">
        <v>0</v>
      </c>
      <c r="KV331">
        <v>0</v>
      </c>
      <c r="KX331">
        <v>0</v>
      </c>
      <c r="KZ331">
        <v>0</v>
      </c>
      <c r="LF331">
        <v>0</v>
      </c>
      <c r="LH331">
        <v>0</v>
      </c>
      <c r="LI331">
        <v>0</v>
      </c>
    </row>
    <row r="332" spans="1:321" x14ac:dyDescent="0.35">
      <c r="A332">
        <v>1</v>
      </c>
      <c r="B332">
        <v>12549</v>
      </c>
      <c r="C332" t="s">
        <v>1361</v>
      </c>
      <c r="D332" t="s">
        <v>1139</v>
      </c>
      <c r="E332" t="s">
        <v>85</v>
      </c>
      <c r="F332">
        <v>80</v>
      </c>
      <c r="G332">
        <v>9000</v>
      </c>
      <c r="H332">
        <v>0</v>
      </c>
      <c r="I332" t="s">
        <v>1050</v>
      </c>
      <c r="L332">
        <v>0</v>
      </c>
      <c r="M332">
        <v>3.25</v>
      </c>
      <c r="N332">
        <v>0</v>
      </c>
      <c r="R332">
        <v>0</v>
      </c>
      <c r="S332">
        <v>0</v>
      </c>
      <c r="W332" t="s">
        <v>1060</v>
      </c>
      <c r="X332">
        <v>0</v>
      </c>
      <c r="Z332">
        <v>1</v>
      </c>
      <c r="AA332">
        <v>0</v>
      </c>
      <c r="AB332">
        <v>0</v>
      </c>
      <c r="AC332">
        <v>0</v>
      </c>
      <c r="AD332" s="20">
        <v>40794</v>
      </c>
      <c r="AE332">
        <v>2045.91</v>
      </c>
      <c r="AF332">
        <v>0</v>
      </c>
      <c r="AH332">
        <v>0</v>
      </c>
      <c r="AJ332">
        <v>0</v>
      </c>
      <c r="AL332">
        <v>0</v>
      </c>
      <c r="AM332">
        <v>0</v>
      </c>
      <c r="AN332">
        <v>16601001</v>
      </c>
      <c r="AO332">
        <v>0</v>
      </c>
      <c r="AP332">
        <v>1000</v>
      </c>
      <c r="AT332">
        <v>0</v>
      </c>
      <c r="AU332" t="s">
        <v>1059</v>
      </c>
      <c r="AW332" t="s">
        <v>1053</v>
      </c>
      <c r="AX332">
        <v>0</v>
      </c>
      <c r="AY332" s="20">
        <v>40794</v>
      </c>
      <c r="BA332" s="20">
        <v>40794</v>
      </c>
      <c r="BB332" t="s">
        <v>1058</v>
      </c>
      <c r="BD332">
        <v>0</v>
      </c>
      <c r="BF332" t="s">
        <v>1043</v>
      </c>
      <c r="BG332" t="s">
        <v>1042</v>
      </c>
      <c r="BH332">
        <v>0</v>
      </c>
      <c r="BI332">
        <v>1</v>
      </c>
      <c r="BJ332">
        <v>0</v>
      </c>
      <c r="BK332">
        <v>0</v>
      </c>
      <c r="BM332" t="s">
        <v>1042</v>
      </c>
      <c r="BN332">
        <v>0</v>
      </c>
      <c r="BR332" t="s">
        <v>1043</v>
      </c>
      <c r="BS332" t="s">
        <v>1043</v>
      </c>
      <c r="BT332" t="s">
        <v>1043</v>
      </c>
      <c r="BW332">
        <v>83</v>
      </c>
      <c r="CA332">
        <v>0</v>
      </c>
      <c r="CB332" t="s">
        <v>1057</v>
      </c>
      <c r="CE332" t="s">
        <v>1043</v>
      </c>
      <c r="CH332" t="s">
        <v>1043</v>
      </c>
      <c r="CN332" t="s">
        <v>1056</v>
      </c>
      <c r="CO332" t="s">
        <v>1043</v>
      </c>
      <c r="CP332">
        <v>1</v>
      </c>
      <c r="CQ332">
        <v>0</v>
      </c>
      <c r="CS332">
        <v>0</v>
      </c>
      <c r="CT332">
        <v>0</v>
      </c>
      <c r="CU332">
        <v>0</v>
      </c>
      <c r="CV332" t="s">
        <v>1045</v>
      </c>
      <c r="CW332">
        <v>0</v>
      </c>
      <c r="CX332">
        <v>0</v>
      </c>
      <c r="CY332">
        <v>0</v>
      </c>
      <c r="CZ332">
        <v>0</v>
      </c>
      <c r="DB332">
        <v>0</v>
      </c>
      <c r="DC332" t="s">
        <v>1043</v>
      </c>
      <c r="DF332" t="s">
        <v>1055</v>
      </c>
      <c r="DH332">
        <v>0</v>
      </c>
      <c r="DJ332">
        <v>0</v>
      </c>
      <c r="DK332" t="s">
        <v>1053</v>
      </c>
      <c r="DL332">
        <v>0</v>
      </c>
      <c r="DN332">
        <v>0</v>
      </c>
      <c r="DO332" t="s">
        <v>1042</v>
      </c>
      <c r="DP332">
        <v>0</v>
      </c>
      <c r="DQ332">
        <v>0</v>
      </c>
      <c r="DS332">
        <v>0</v>
      </c>
      <c r="DU332">
        <v>0</v>
      </c>
      <c r="DW332">
        <v>0</v>
      </c>
      <c r="DX332" t="s">
        <v>1043</v>
      </c>
      <c r="DY332">
        <v>0</v>
      </c>
      <c r="DZ332">
        <v>0</v>
      </c>
      <c r="EA332">
        <v>0</v>
      </c>
      <c r="ED332" t="s">
        <v>1045</v>
      </c>
      <c r="EE332">
        <v>0</v>
      </c>
      <c r="EF332">
        <v>0</v>
      </c>
      <c r="EQ332" t="s">
        <v>1044</v>
      </c>
      <c r="ES332" t="s">
        <v>1053</v>
      </c>
      <c r="ET332">
        <v>0</v>
      </c>
      <c r="EV332">
        <v>0</v>
      </c>
      <c r="EY332" t="s">
        <v>1052</v>
      </c>
      <c r="EZ332">
        <v>0</v>
      </c>
      <c r="FA332" t="s">
        <v>1043</v>
      </c>
      <c r="FB332">
        <v>0</v>
      </c>
      <c r="FC332">
        <v>0</v>
      </c>
      <c r="FE332" t="s">
        <v>1050</v>
      </c>
      <c r="FF332">
        <v>0</v>
      </c>
      <c r="FG332" t="s">
        <v>1050</v>
      </c>
      <c r="FJ332">
        <v>0</v>
      </c>
      <c r="FK332">
        <v>0</v>
      </c>
      <c r="FP332">
        <v>0</v>
      </c>
      <c r="FR332">
        <v>0</v>
      </c>
      <c r="FS332" t="s">
        <v>1043</v>
      </c>
      <c r="FX332" t="s">
        <v>1042</v>
      </c>
      <c r="FZ332" t="s">
        <v>1048</v>
      </c>
      <c r="GA332">
        <v>0</v>
      </c>
      <c r="GB332" t="s">
        <v>1042</v>
      </c>
      <c r="GE332">
        <v>0</v>
      </c>
      <c r="GG332">
        <v>0</v>
      </c>
      <c r="GN332">
        <v>0</v>
      </c>
      <c r="GO332" t="s">
        <v>1063</v>
      </c>
      <c r="GQ332">
        <v>0</v>
      </c>
      <c r="GU332">
        <v>0</v>
      </c>
      <c r="GY332" t="s">
        <v>1045</v>
      </c>
      <c r="HB332">
        <v>0</v>
      </c>
      <c r="HE332">
        <v>0</v>
      </c>
      <c r="HF332">
        <v>0</v>
      </c>
      <c r="HG332">
        <v>0</v>
      </c>
      <c r="HK332" t="s">
        <v>1042</v>
      </c>
      <c r="HM332" t="s">
        <v>1047</v>
      </c>
      <c r="HN332">
        <v>0</v>
      </c>
      <c r="HP332">
        <v>0</v>
      </c>
      <c r="HQ332">
        <v>0</v>
      </c>
      <c r="HR332" t="s">
        <v>1042</v>
      </c>
      <c r="HS332" t="s">
        <v>1043</v>
      </c>
      <c r="HT332">
        <v>0</v>
      </c>
      <c r="HU332">
        <v>0</v>
      </c>
      <c r="HW332">
        <v>0</v>
      </c>
      <c r="HX332">
        <v>0</v>
      </c>
      <c r="HY332">
        <v>0</v>
      </c>
      <c r="HZ332" t="s">
        <v>1045</v>
      </c>
      <c r="IA332">
        <v>0</v>
      </c>
      <c r="IB332" t="s">
        <v>1045</v>
      </c>
      <c r="ID332" t="s">
        <v>1045</v>
      </c>
      <c r="IF332">
        <v>0</v>
      </c>
      <c r="IG332" t="s">
        <v>1042</v>
      </c>
      <c r="II332" t="s">
        <v>1042</v>
      </c>
      <c r="IR332" t="s">
        <v>1045</v>
      </c>
      <c r="IT332">
        <v>0</v>
      </c>
      <c r="IY332" t="s">
        <v>1044</v>
      </c>
      <c r="IZ332" t="s">
        <v>1043</v>
      </c>
      <c r="JC332" t="s">
        <v>1043</v>
      </c>
      <c r="JE332">
        <v>0</v>
      </c>
      <c r="JF332">
        <v>0</v>
      </c>
      <c r="JI332" t="s">
        <v>1042</v>
      </c>
      <c r="JJ332">
        <v>0</v>
      </c>
      <c r="JK332">
        <v>0</v>
      </c>
      <c r="JL332">
        <v>0</v>
      </c>
      <c r="JM332">
        <v>0</v>
      </c>
      <c r="JQ332" t="s">
        <v>1043</v>
      </c>
      <c r="JT332">
        <v>0</v>
      </c>
      <c r="JU332" t="s">
        <v>1042</v>
      </c>
      <c r="JW332">
        <v>0</v>
      </c>
      <c r="KA332">
        <v>0</v>
      </c>
      <c r="KF332">
        <v>0</v>
      </c>
      <c r="KG332">
        <v>0</v>
      </c>
      <c r="KH332">
        <v>0</v>
      </c>
      <c r="KI332">
        <v>0</v>
      </c>
      <c r="KS332" t="s">
        <v>1073</v>
      </c>
      <c r="KT332">
        <v>0</v>
      </c>
      <c r="KU332">
        <v>0</v>
      </c>
      <c r="KV332">
        <v>0</v>
      </c>
      <c r="KX332">
        <v>0</v>
      </c>
      <c r="KZ332">
        <v>0</v>
      </c>
      <c r="LF332">
        <v>0</v>
      </c>
      <c r="LH332">
        <v>0</v>
      </c>
      <c r="LI332">
        <v>0</v>
      </c>
    </row>
    <row r="333" spans="1:321" x14ac:dyDescent="0.35">
      <c r="A333">
        <v>1</v>
      </c>
      <c r="B333">
        <v>1255</v>
      </c>
      <c r="C333" t="s">
        <v>643</v>
      </c>
      <c r="D333" t="s">
        <v>1061</v>
      </c>
      <c r="E333" t="s">
        <v>85</v>
      </c>
      <c r="F333">
        <v>1</v>
      </c>
      <c r="G333">
        <v>240</v>
      </c>
      <c r="H333">
        <v>0</v>
      </c>
      <c r="I333" t="s">
        <v>994</v>
      </c>
      <c r="L333">
        <v>0</v>
      </c>
      <c r="M333">
        <v>0</v>
      </c>
      <c r="N333">
        <v>0</v>
      </c>
      <c r="P333">
        <v>13</v>
      </c>
      <c r="Q333">
        <v>516</v>
      </c>
      <c r="R333">
        <v>0</v>
      </c>
      <c r="S333">
        <v>0</v>
      </c>
      <c r="W333" t="s">
        <v>1060</v>
      </c>
      <c r="X333">
        <v>0</v>
      </c>
      <c r="Z333">
        <v>12</v>
      </c>
      <c r="AA333">
        <v>21.46</v>
      </c>
      <c r="AB333">
        <v>30504</v>
      </c>
      <c r="AC333">
        <v>0.71799999999999997</v>
      </c>
      <c r="AD333" s="20">
        <v>41390</v>
      </c>
      <c r="AE333">
        <v>0.51480000000000004</v>
      </c>
      <c r="AF333">
        <v>7.3300000000000004E-2</v>
      </c>
      <c r="AH333">
        <v>14541</v>
      </c>
      <c r="AJ333">
        <v>0</v>
      </c>
      <c r="AL333">
        <v>75900</v>
      </c>
      <c r="AM333">
        <v>1440</v>
      </c>
      <c r="AN333">
        <v>11501001</v>
      </c>
      <c r="AO333">
        <v>0</v>
      </c>
      <c r="AP333">
        <v>1002</v>
      </c>
      <c r="AT333">
        <v>0</v>
      </c>
      <c r="AU333" t="s">
        <v>1059</v>
      </c>
      <c r="AW333" t="s">
        <v>1053</v>
      </c>
      <c r="AX333">
        <v>5</v>
      </c>
      <c r="AY333" s="20">
        <v>43274</v>
      </c>
      <c r="BA333" s="20">
        <v>44623</v>
      </c>
      <c r="BB333" t="s">
        <v>1058</v>
      </c>
      <c r="BD333">
        <v>0</v>
      </c>
      <c r="BF333" t="s">
        <v>1044</v>
      </c>
      <c r="BG333" s="20">
        <v>40578</v>
      </c>
      <c r="BH333">
        <v>0</v>
      </c>
      <c r="BI333">
        <v>21</v>
      </c>
      <c r="BJ333">
        <v>0</v>
      </c>
      <c r="BK333">
        <v>0</v>
      </c>
      <c r="BM333" s="20">
        <v>40582</v>
      </c>
      <c r="BN333">
        <v>0</v>
      </c>
      <c r="BO333">
        <v>7897801310475</v>
      </c>
      <c r="BR333" t="s">
        <v>1043</v>
      </c>
      <c r="BS333" t="s">
        <v>1043</v>
      </c>
      <c r="BT333" t="s">
        <v>1043</v>
      </c>
      <c r="BV333">
        <v>1</v>
      </c>
      <c r="BW333">
        <v>2</v>
      </c>
      <c r="BY333">
        <v>69</v>
      </c>
      <c r="CA333">
        <v>0</v>
      </c>
      <c r="CB333" t="s">
        <v>1057</v>
      </c>
      <c r="CE333" t="s">
        <v>1043</v>
      </c>
      <c r="CH333" t="s">
        <v>1043</v>
      </c>
      <c r="CN333" t="s">
        <v>1056</v>
      </c>
      <c r="CO333" t="s">
        <v>1043</v>
      </c>
      <c r="CP333">
        <v>1</v>
      </c>
      <c r="CQ333">
        <v>800</v>
      </c>
      <c r="CS333">
        <v>0</v>
      </c>
      <c r="CT333">
        <v>0</v>
      </c>
      <c r="CU333">
        <v>0</v>
      </c>
      <c r="CV333" t="s">
        <v>1045</v>
      </c>
      <c r="CW333">
        <v>0</v>
      </c>
      <c r="CX333">
        <v>0</v>
      </c>
      <c r="CY333">
        <v>0</v>
      </c>
      <c r="CZ333">
        <v>0</v>
      </c>
      <c r="DA333">
        <v>6</v>
      </c>
      <c r="DB333">
        <v>25000</v>
      </c>
      <c r="DC333" t="s">
        <v>1043</v>
      </c>
      <c r="DF333" t="s">
        <v>1055</v>
      </c>
      <c r="DH333">
        <v>0</v>
      </c>
      <c r="DJ333">
        <v>0</v>
      </c>
      <c r="DK333" t="s">
        <v>1053</v>
      </c>
      <c r="DL333">
        <v>0</v>
      </c>
      <c r="DN333">
        <v>0</v>
      </c>
      <c r="DO333" t="s">
        <v>1042</v>
      </c>
      <c r="DP333">
        <v>0</v>
      </c>
      <c r="DQ333">
        <v>7.6</v>
      </c>
      <c r="DS333">
        <v>0</v>
      </c>
      <c r="DU333">
        <v>1.65</v>
      </c>
      <c r="DW333">
        <v>0</v>
      </c>
      <c r="DX333" t="s">
        <v>1043</v>
      </c>
      <c r="DY333">
        <v>0</v>
      </c>
      <c r="DZ333">
        <v>0</v>
      </c>
      <c r="EA333">
        <v>0</v>
      </c>
      <c r="EB333">
        <v>17897801310472</v>
      </c>
      <c r="ED333" t="s">
        <v>1045</v>
      </c>
      <c r="EE333">
        <v>0</v>
      </c>
      <c r="EF333">
        <v>0</v>
      </c>
      <c r="EK333" t="s">
        <v>1054</v>
      </c>
      <c r="EL333">
        <v>57897801310470</v>
      </c>
      <c r="EN333" t="s">
        <v>1012</v>
      </c>
      <c r="EQ333" t="s">
        <v>1044</v>
      </c>
      <c r="ES333" t="s">
        <v>1053</v>
      </c>
      <c r="ET333">
        <v>0</v>
      </c>
      <c r="EV333">
        <v>0</v>
      </c>
      <c r="EY333" t="s">
        <v>1052</v>
      </c>
      <c r="EZ333">
        <v>0</v>
      </c>
      <c r="FA333" t="s">
        <v>1043</v>
      </c>
      <c r="FB333">
        <v>0</v>
      </c>
      <c r="FC333">
        <v>0</v>
      </c>
      <c r="FD333" t="s">
        <v>1051</v>
      </c>
      <c r="FE333" t="s">
        <v>1050</v>
      </c>
      <c r="FF333">
        <v>120</v>
      </c>
      <c r="FG333" t="s">
        <v>1050</v>
      </c>
      <c r="FH333">
        <v>27897801310479</v>
      </c>
      <c r="FJ333">
        <v>0</v>
      </c>
      <c r="FK333">
        <v>0</v>
      </c>
      <c r="FP333">
        <v>0</v>
      </c>
      <c r="FR333">
        <v>0</v>
      </c>
      <c r="FS333" t="s">
        <v>1043</v>
      </c>
      <c r="FX333" t="s">
        <v>1042</v>
      </c>
      <c r="FZ333" t="s">
        <v>1048</v>
      </c>
      <c r="GA333">
        <v>0</v>
      </c>
      <c r="GB333" t="s">
        <v>1042</v>
      </c>
      <c r="GD333">
        <v>16</v>
      </c>
      <c r="GE333">
        <v>0</v>
      </c>
      <c r="GG333">
        <v>0</v>
      </c>
      <c r="GN333">
        <v>0</v>
      </c>
      <c r="GO333" t="s">
        <v>1049</v>
      </c>
      <c r="GQ333">
        <v>0</v>
      </c>
      <c r="GU333">
        <v>0</v>
      </c>
      <c r="GY333" t="s">
        <v>1045</v>
      </c>
      <c r="HB333">
        <v>0</v>
      </c>
      <c r="HE333">
        <v>10</v>
      </c>
      <c r="HF333">
        <v>15</v>
      </c>
      <c r="HG333">
        <v>7.0400000000000003E-3</v>
      </c>
      <c r="HK333" t="s">
        <v>1042</v>
      </c>
      <c r="HL333" t="s">
        <v>1048</v>
      </c>
      <c r="HM333" t="s">
        <v>1047</v>
      </c>
      <c r="HN333">
        <v>0</v>
      </c>
      <c r="HO333">
        <v>25</v>
      </c>
      <c r="HP333">
        <v>4.8599999999999997E-2</v>
      </c>
      <c r="HQ333">
        <v>0</v>
      </c>
      <c r="HR333" t="s">
        <v>1042</v>
      </c>
      <c r="HS333" t="s">
        <v>1043</v>
      </c>
      <c r="HT333">
        <v>0</v>
      </c>
      <c r="HU333">
        <v>0</v>
      </c>
      <c r="HW333">
        <v>0</v>
      </c>
      <c r="HX333">
        <v>54450</v>
      </c>
      <c r="HY333">
        <v>0</v>
      </c>
      <c r="HZ333" t="s">
        <v>1045</v>
      </c>
      <c r="IA333">
        <v>0</v>
      </c>
      <c r="IB333" t="s">
        <v>1045</v>
      </c>
      <c r="ID333" t="s">
        <v>1045</v>
      </c>
      <c r="IF333">
        <v>3000</v>
      </c>
      <c r="IG333" s="20">
        <v>40578</v>
      </c>
      <c r="II333" t="s">
        <v>1042</v>
      </c>
      <c r="IR333" t="s">
        <v>1045</v>
      </c>
      <c r="IT333">
        <v>0</v>
      </c>
      <c r="IY333" t="s">
        <v>1044</v>
      </c>
      <c r="IZ333" t="s">
        <v>1043</v>
      </c>
      <c r="JC333" t="s">
        <v>1043</v>
      </c>
      <c r="JE333">
        <v>0</v>
      </c>
      <c r="JF333">
        <v>0</v>
      </c>
      <c r="JI333" t="s">
        <v>1042</v>
      </c>
      <c r="JJ333">
        <v>0</v>
      </c>
      <c r="JK333">
        <v>0</v>
      </c>
      <c r="JL333">
        <v>0</v>
      </c>
      <c r="JM333">
        <v>0</v>
      </c>
      <c r="JQ333" t="s">
        <v>1043</v>
      </c>
      <c r="JT333">
        <v>0</v>
      </c>
      <c r="JU333" t="s">
        <v>1042</v>
      </c>
      <c r="JW333">
        <v>0</v>
      </c>
      <c r="KA333">
        <v>0</v>
      </c>
      <c r="KF333">
        <v>0</v>
      </c>
      <c r="KG333">
        <v>0</v>
      </c>
      <c r="KH333">
        <v>0</v>
      </c>
      <c r="KI333">
        <v>0</v>
      </c>
      <c r="KS333" t="s">
        <v>1041</v>
      </c>
      <c r="KT333">
        <v>0</v>
      </c>
      <c r="KU333">
        <v>0</v>
      </c>
      <c r="KV333">
        <v>0</v>
      </c>
      <c r="KX333">
        <v>0</v>
      </c>
      <c r="KZ333">
        <v>0</v>
      </c>
      <c r="LF333">
        <v>0</v>
      </c>
      <c r="LH333">
        <v>60480</v>
      </c>
      <c r="LI333">
        <v>0</v>
      </c>
    </row>
    <row r="334" spans="1:321" x14ac:dyDescent="0.35">
      <c r="A334">
        <v>1</v>
      </c>
      <c r="B334">
        <v>12550</v>
      </c>
      <c r="C334" t="s">
        <v>1360</v>
      </c>
      <c r="D334" t="s">
        <v>1139</v>
      </c>
      <c r="E334" t="s">
        <v>85</v>
      </c>
      <c r="F334">
        <v>80</v>
      </c>
      <c r="G334">
        <v>9000</v>
      </c>
      <c r="H334">
        <v>0</v>
      </c>
      <c r="I334" t="s">
        <v>1050</v>
      </c>
      <c r="L334">
        <v>0</v>
      </c>
      <c r="M334">
        <v>3.25</v>
      </c>
      <c r="N334">
        <v>0</v>
      </c>
      <c r="R334">
        <v>0</v>
      </c>
      <c r="S334">
        <v>0</v>
      </c>
      <c r="W334" t="s">
        <v>1060</v>
      </c>
      <c r="X334">
        <v>0</v>
      </c>
      <c r="Z334">
        <v>1</v>
      </c>
      <c r="AA334">
        <v>0</v>
      </c>
      <c r="AB334">
        <v>0</v>
      </c>
      <c r="AC334">
        <v>0</v>
      </c>
      <c r="AD334" s="20">
        <v>40794</v>
      </c>
      <c r="AE334">
        <v>720.35</v>
      </c>
      <c r="AF334">
        <v>0</v>
      </c>
      <c r="AH334">
        <v>0</v>
      </c>
      <c r="AJ334">
        <v>0</v>
      </c>
      <c r="AL334">
        <v>0</v>
      </c>
      <c r="AM334">
        <v>0</v>
      </c>
      <c r="AN334">
        <v>16601001</v>
      </c>
      <c r="AO334">
        <v>0</v>
      </c>
      <c r="AP334">
        <v>1000</v>
      </c>
      <c r="AT334">
        <v>0</v>
      </c>
      <c r="AU334" t="s">
        <v>1059</v>
      </c>
      <c r="AW334" t="s">
        <v>1053</v>
      </c>
      <c r="AX334">
        <v>0</v>
      </c>
      <c r="AY334" s="20">
        <v>40794</v>
      </c>
      <c r="BA334" s="20">
        <v>40794</v>
      </c>
      <c r="BB334" t="s">
        <v>1058</v>
      </c>
      <c r="BD334">
        <v>0</v>
      </c>
      <c r="BF334" t="s">
        <v>1043</v>
      </c>
      <c r="BG334" t="s">
        <v>1042</v>
      </c>
      <c r="BH334">
        <v>0</v>
      </c>
      <c r="BI334">
        <v>1</v>
      </c>
      <c r="BJ334">
        <v>0</v>
      </c>
      <c r="BK334">
        <v>0</v>
      </c>
      <c r="BM334" t="s">
        <v>1042</v>
      </c>
      <c r="BN334">
        <v>0</v>
      </c>
      <c r="BR334" t="s">
        <v>1043</v>
      </c>
      <c r="BS334" t="s">
        <v>1043</v>
      </c>
      <c r="BT334" t="s">
        <v>1043</v>
      </c>
      <c r="BW334">
        <v>83</v>
      </c>
      <c r="CA334">
        <v>0</v>
      </c>
      <c r="CB334" t="s">
        <v>1057</v>
      </c>
      <c r="CE334" t="s">
        <v>1043</v>
      </c>
      <c r="CH334" t="s">
        <v>1043</v>
      </c>
      <c r="CN334" t="s">
        <v>1056</v>
      </c>
      <c r="CO334" t="s">
        <v>1043</v>
      </c>
      <c r="CP334">
        <v>1</v>
      </c>
      <c r="CQ334">
        <v>0</v>
      </c>
      <c r="CS334">
        <v>0</v>
      </c>
      <c r="CT334">
        <v>0</v>
      </c>
      <c r="CU334">
        <v>0</v>
      </c>
      <c r="CV334" t="s">
        <v>1045</v>
      </c>
      <c r="CW334">
        <v>0</v>
      </c>
      <c r="CX334">
        <v>0</v>
      </c>
      <c r="CY334">
        <v>0</v>
      </c>
      <c r="CZ334">
        <v>0</v>
      </c>
      <c r="DB334">
        <v>0</v>
      </c>
      <c r="DC334" t="s">
        <v>1043</v>
      </c>
      <c r="DF334" t="s">
        <v>1055</v>
      </c>
      <c r="DH334">
        <v>0</v>
      </c>
      <c r="DJ334">
        <v>0</v>
      </c>
      <c r="DK334" t="s">
        <v>1053</v>
      </c>
      <c r="DL334">
        <v>0</v>
      </c>
      <c r="DN334">
        <v>0</v>
      </c>
      <c r="DO334" t="s">
        <v>1042</v>
      </c>
      <c r="DP334">
        <v>0</v>
      </c>
      <c r="DQ334">
        <v>0</v>
      </c>
      <c r="DS334">
        <v>0</v>
      </c>
      <c r="DU334">
        <v>0</v>
      </c>
      <c r="DW334">
        <v>0</v>
      </c>
      <c r="DX334" t="s">
        <v>1043</v>
      </c>
      <c r="DY334">
        <v>0</v>
      </c>
      <c r="DZ334">
        <v>0</v>
      </c>
      <c r="EA334">
        <v>0</v>
      </c>
      <c r="ED334" t="s">
        <v>1045</v>
      </c>
      <c r="EE334">
        <v>0</v>
      </c>
      <c r="EF334">
        <v>0</v>
      </c>
      <c r="EQ334" t="s">
        <v>1044</v>
      </c>
      <c r="ES334" t="s">
        <v>1053</v>
      </c>
      <c r="ET334">
        <v>0</v>
      </c>
      <c r="EV334">
        <v>0</v>
      </c>
      <c r="EY334" t="s">
        <v>1052</v>
      </c>
      <c r="EZ334">
        <v>0</v>
      </c>
      <c r="FA334" t="s">
        <v>1043</v>
      </c>
      <c r="FB334">
        <v>0</v>
      </c>
      <c r="FC334">
        <v>0</v>
      </c>
      <c r="FE334" t="s">
        <v>1050</v>
      </c>
      <c r="FF334">
        <v>0</v>
      </c>
      <c r="FG334" t="s">
        <v>1050</v>
      </c>
      <c r="FJ334">
        <v>0</v>
      </c>
      <c r="FK334">
        <v>0</v>
      </c>
      <c r="FP334">
        <v>0</v>
      </c>
      <c r="FR334">
        <v>0</v>
      </c>
      <c r="FS334" t="s">
        <v>1043</v>
      </c>
      <c r="FX334" t="s">
        <v>1042</v>
      </c>
      <c r="FZ334" t="s">
        <v>1048</v>
      </c>
      <c r="GA334">
        <v>0</v>
      </c>
      <c r="GB334" t="s">
        <v>1042</v>
      </c>
      <c r="GE334">
        <v>0</v>
      </c>
      <c r="GG334">
        <v>0</v>
      </c>
      <c r="GN334">
        <v>0</v>
      </c>
      <c r="GO334" t="s">
        <v>1063</v>
      </c>
      <c r="GQ334">
        <v>0</v>
      </c>
      <c r="GU334">
        <v>0</v>
      </c>
      <c r="GY334" t="s">
        <v>1045</v>
      </c>
      <c r="HB334">
        <v>0</v>
      </c>
      <c r="HE334">
        <v>0</v>
      </c>
      <c r="HF334">
        <v>0</v>
      </c>
      <c r="HG334">
        <v>0</v>
      </c>
      <c r="HK334" t="s">
        <v>1042</v>
      </c>
      <c r="HM334" t="s">
        <v>1047</v>
      </c>
      <c r="HN334">
        <v>0</v>
      </c>
      <c r="HP334">
        <v>0</v>
      </c>
      <c r="HQ334">
        <v>0</v>
      </c>
      <c r="HR334" t="s">
        <v>1042</v>
      </c>
      <c r="HS334" t="s">
        <v>1043</v>
      </c>
      <c r="HT334">
        <v>0</v>
      </c>
      <c r="HU334">
        <v>0</v>
      </c>
      <c r="HW334">
        <v>0</v>
      </c>
      <c r="HX334">
        <v>0</v>
      </c>
      <c r="HY334">
        <v>0</v>
      </c>
      <c r="HZ334" t="s">
        <v>1045</v>
      </c>
      <c r="IA334">
        <v>0</v>
      </c>
      <c r="IB334" t="s">
        <v>1045</v>
      </c>
      <c r="ID334" t="s">
        <v>1045</v>
      </c>
      <c r="IF334">
        <v>0</v>
      </c>
      <c r="IG334" t="s">
        <v>1042</v>
      </c>
      <c r="II334" t="s">
        <v>1042</v>
      </c>
      <c r="IR334" t="s">
        <v>1045</v>
      </c>
      <c r="IT334">
        <v>0</v>
      </c>
      <c r="IY334" t="s">
        <v>1044</v>
      </c>
      <c r="IZ334" t="s">
        <v>1043</v>
      </c>
      <c r="JC334" t="s">
        <v>1043</v>
      </c>
      <c r="JE334">
        <v>0</v>
      </c>
      <c r="JF334">
        <v>0</v>
      </c>
      <c r="JI334" t="s">
        <v>1042</v>
      </c>
      <c r="JJ334">
        <v>0</v>
      </c>
      <c r="JK334">
        <v>0</v>
      </c>
      <c r="JL334">
        <v>0</v>
      </c>
      <c r="JM334">
        <v>0</v>
      </c>
      <c r="JQ334" t="s">
        <v>1043</v>
      </c>
      <c r="JT334">
        <v>0</v>
      </c>
      <c r="JU334" t="s">
        <v>1042</v>
      </c>
      <c r="JW334">
        <v>0</v>
      </c>
      <c r="KA334">
        <v>0</v>
      </c>
      <c r="KF334">
        <v>0</v>
      </c>
      <c r="KG334">
        <v>0</v>
      </c>
      <c r="KH334">
        <v>0</v>
      </c>
      <c r="KI334">
        <v>0</v>
      </c>
      <c r="KS334" t="s">
        <v>1073</v>
      </c>
      <c r="KT334">
        <v>0</v>
      </c>
      <c r="KU334">
        <v>0</v>
      </c>
      <c r="KV334">
        <v>0</v>
      </c>
      <c r="KX334">
        <v>0</v>
      </c>
      <c r="KZ334">
        <v>0</v>
      </c>
      <c r="LF334">
        <v>0</v>
      </c>
      <c r="LH334">
        <v>0</v>
      </c>
      <c r="LI334">
        <v>0</v>
      </c>
    </row>
    <row r="335" spans="1:321" x14ac:dyDescent="0.35">
      <c r="A335">
        <v>1</v>
      </c>
      <c r="B335">
        <v>12551</v>
      </c>
      <c r="C335" t="s">
        <v>1359</v>
      </c>
      <c r="D335" t="s">
        <v>1139</v>
      </c>
      <c r="E335" t="s">
        <v>85</v>
      </c>
      <c r="F335">
        <v>80</v>
      </c>
      <c r="G335">
        <v>9000</v>
      </c>
      <c r="H335">
        <v>0</v>
      </c>
      <c r="I335" t="s">
        <v>1050</v>
      </c>
      <c r="L335">
        <v>0</v>
      </c>
      <c r="M335">
        <v>3.25</v>
      </c>
      <c r="N335">
        <v>0</v>
      </c>
      <c r="R335">
        <v>0</v>
      </c>
      <c r="S335">
        <v>0</v>
      </c>
      <c r="W335" t="s">
        <v>1060</v>
      </c>
      <c r="X335">
        <v>0</v>
      </c>
      <c r="Z335">
        <v>1</v>
      </c>
      <c r="AA335">
        <v>0</v>
      </c>
      <c r="AB335">
        <v>0</v>
      </c>
      <c r="AC335">
        <v>0</v>
      </c>
      <c r="AD335" s="20">
        <v>40794</v>
      </c>
      <c r="AE335">
        <v>720.35</v>
      </c>
      <c r="AF335">
        <v>0</v>
      </c>
      <c r="AH335">
        <v>0</v>
      </c>
      <c r="AJ335">
        <v>0</v>
      </c>
      <c r="AL335">
        <v>0</v>
      </c>
      <c r="AM335">
        <v>0</v>
      </c>
      <c r="AN335">
        <v>16601001</v>
      </c>
      <c r="AO335">
        <v>0</v>
      </c>
      <c r="AP335">
        <v>1000</v>
      </c>
      <c r="AT335">
        <v>0</v>
      </c>
      <c r="AU335" t="s">
        <v>1059</v>
      </c>
      <c r="AW335" t="s">
        <v>1053</v>
      </c>
      <c r="AX335">
        <v>0</v>
      </c>
      <c r="AY335" s="20">
        <v>40794</v>
      </c>
      <c r="BA335" s="20">
        <v>40794</v>
      </c>
      <c r="BB335" t="s">
        <v>1058</v>
      </c>
      <c r="BD335">
        <v>0</v>
      </c>
      <c r="BF335" t="s">
        <v>1043</v>
      </c>
      <c r="BG335" t="s">
        <v>1042</v>
      </c>
      <c r="BH335">
        <v>0</v>
      </c>
      <c r="BI335">
        <v>1</v>
      </c>
      <c r="BJ335">
        <v>0</v>
      </c>
      <c r="BK335">
        <v>0</v>
      </c>
      <c r="BM335" t="s">
        <v>1042</v>
      </c>
      <c r="BN335">
        <v>0</v>
      </c>
      <c r="BR335" t="s">
        <v>1043</v>
      </c>
      <c r="BS335" t="s">
        <v>1043</v>
      </c>
      <c r="BT335" t="s">
        <v>1043</v>
      </c>
      <c r="BW335">
        <v>83</v>
      </c>
      <c r="CA335">
        <v>0</v>
      </c>
      <c r="CB335" t="s">
        <v>1057</v>
      </c>
      <c r="CE335" t="s">
        <v>1043</v>
      </c>
      <c r="CH335" t="s">
        <v>1043</v>
      </c>
      <c r="CN335" t="s">
        <v>1056</v>
      </c>
      <c r="CO335" t="s">
        <v>1043</v>
      </c>
      <c r="CP335">
        <v>1</v>
      </c>
      <c r="CQ335">
        <v>0</v>
      </c>
      <c r="CS335">
        <v>0</v>
      </c>
      <c r="CT335">
        <v>0</v>
      </c>
      <c r="CU335">
        <v>0</v>
      </c>
      <c r="CV335" t="s">
        <v>1045</v>
      </c>
      <c r="CW335">
        <v>0</v>
      </c>
      <c r="CX335">
        <v>0</v>
      </c>
      <c r="CY335">
        <v>0</v>
      </c>
      <c r="CZ335">
        <v>0</v>
      </c>
      <c r="DB335">
        <v>0</v>
      </c>
      <c r="DC335" t="s">
        <v>1043</v>
      </c>
      <c r="DF335" t="s">
        <v>1055</v>
      </c>
      <c r="DH335">
        <v>0</v>
      </c>
      <c r="DJ335">
        <v>0</v>
      </c>
      <c r="DK335" t="s">
        <v>1053</v>
      </c>
      <c r="DL335">
        <v>0</v>
      </c>
      <c r="DN335">
        <v>0</v>
      </c>
      <c r="DO335" t="s">
        <v>1042</v>
      </c>
      <c r="DP335">
        <v>0</v>
      </c>
      <c r="DQ335">
        <v>0</v>
      </c>
      <c r="DS335">
        <v>0</v>
      </c>
      <c r="DU335">
        <v>0</v>
      </c>
      <c r="DW335">
        <v>0</v>
      </c>
      <c r="DX335" t="s">
        <v>1043</v>
      </c>
      <c r="DY335">
        <v>0</v>
      </c>
      <c r="DZ335">
        <v>0</v>
      </c>
      <c r="EA335">
        <v>0</v>
      </c>
      <c r="ED335" t="s">
        <v>1045</v>
      </c>
      <c r="EE335">
        <v>0</v>
      </c>
      <c r="EF335">
        <v>0</v>
      </c>
      <c r="EQ335" t="s">
        <v>1044</v>
      </c>
      <c r="ES335" t="s">
        <v>1053</v>
      </c>
      <c r="ET335">
        <v>0</v>
      </c>
      <c r="EV335">
        <v>0</v>
      </c>
      <c r="EY335" t="s">
        <v>1052</v>
      </c>
      <c r="EZ335">
        <v>0</v>
      </c>
      <c r="FA335" t="s">
        <v>1043</v>
      </c>
      <c r="FB335">
        <v>0</v>
      </c>
      <c r="FC335">
        <v>0</v>
      </c>
      <c r="FE335" t="s">
        <v>1050</v>
      </c>
      <c r="FF335">
        <v>0</v>
      </c>
      <c r="FG335" t="s">
        <v>1050</v>
      </c>
      <c r="FJ335">
        <v>0</v>
      </c>
      <c r="FK335">
        <v>0</v>
      </c>
      <c r="FP335">
        <v>0</v>
      </c>
      <c r="FR335">
        <v>0</v>
      </c>
      <c r="FS335" t="s">
        <v>1043</v>
      </c>
      <c r="FX335" t="s">
        <v>1042</v>
      </c>
      <c r="FZ335" t="s">
        <v>1048</v>
      </c>
      <c r="GA335">
        <v>0</v>
      </c>
      <c r="GB335" t="s">
        <v>1042</v>
      </c>
      <c r="GE335">
        <v>0</v>
      </c>
      <c r="GG335">
        <v>0</v>
      </c>
      <c r="GN335">
        <v>0</v>
      </c>
      <c r="GO335" t="s">
        <v>1063</v>
      </c>
      <c r="GQ335">
        <v>0</v>
      </c>
      <c r="GU335">
        <v>0</v>
      </c>
      <c r="GY335" t="s">
        <v>1045</v>
      </c>
      <c r="HB335">
        <v>0</v>
      </c>
      <c r="HE335">
        <v>0</v>
      </c>
      <c r="HF335">
        <v>0</v>
      </c>
      <c r="HG335">
        <v>0</v>
      </c>
      <c r="HK335" t="s">
        <v>1042</v>
      </c>
      <c r="HM335" t="s">
        <v>1047</v>
      </c>
      <c r="HN335">
        <v>0</v>
      </c>
      <c r="HP335">
        <v>0</v>
      </c>
      <c r="HQ335">
        <v>0</v>
      </c>
      <c r="HR335" t="s">
        <v>1042</v>
      </c>
      <c r="HS335" t="s">
        <v>1043</v>
      </c>
      <c r="HT335">
        <v>0</v>
      </c>
      <c r="HU335">
        <v>0</v>
      </c>
      <c r="HW335">
        <v>0</v>
      </c>
      <c r="HX335">
        <v>0</v>
      </c>
      <c r="HY335">
        <v>0</v>
      </c>
      <c r="HZ335" t="s">
        <v>1045</v>
      </c>
      <c r="IA335">
        <v>0</v>
      </c>
      <c r="IB335" t="s">
        <v>1045</v>
      </c>
      <c r="ID335" t="s">
        <v>1045</v>
      </c>
      <c r="IF335">
        <v>0</v>
      </c>
      <c r="IG335" t="s">
        <v>1042</v>
      </c>
      <c r="II335" t="s">
        <v>1042</v>
      </c>
      <c r="IR335" t="s">
        <v>1045</v>
      </c>
      <c r="IT335">
        <v>0</v>
      </c>
      <c r="IY335" t="s">
        <v>1044</v>
      </c>
      <c r="IZ335" t="s">
        <v>1043</v>
      </c>
      <c r="JC335" t="s">
        <v>1043</v>
      </c>
      <c r="JE335">
        <v>0</v>
      </c>
      <c r="JF335">
        <v>0</v>
      </c>
      <c r="JI335" t="s">
        <v>1042</v>
      </c>
      <c r="JJ335">
        <v>0</v>
      </c>
      <c r="JK335">
        <v>0</v>
      </c>
      <c r="JL335">
        <v>0</v>
      </c>
      <c r="JM335">
        <v>0</v>
      </c>
      <c r="JQ335" t="s">
        <v>1043</v>
      </c>
      <c r="JT335">
        <v>0</v>
      </c>
      <c r="JU335" t="s">
        <v>1042</v>
      </c>
      <c r="JW335">
        <v>0</v>
      </c>
      <c r="KA335">
        <v>0</v>
      </c>
      <c r="KF335">
        <v>0</v>
      </c>
      <c r="KG335">
        <v>0</v>
      </c>
      <c r="KH335">
        <v>0</v>
      </c>
      <c r="KI335">
        <v>0</v>
      </c>
      <c r="KS335" t="s">
        <v>1073</v>
      </c>
      <c r="KT335">
        <v>0</v>
      </c>
      <c r="KU335">
        <v>0</v>
      </c>
      <c r="KV335">
        <v>0</v>
      </c>
      <c r="KX335">
        <v>0</v>
      </c>
      <c r="KZ335">
        <v>0</v>
      </c>
      <c r="LF335">
        <v>0</v>
      </c>
      <c r="LH335">
        <v>0</v>
      </c>
      <c r="LI335">
        <v>0</v>
      </c>
    </row>
    <row r="336" spans="1:321" x14ac:dyDescent="0.35">
      <c r="A336">
        <v>1</v>
      </c>
      <c r="B336">
        <v>12552</v>
      </c>
      <c r="C336" t="s">
        <v>1358</v>
      </c>
      <c r="D336" t="s">
        <v>1139</v>
      </c>
      <c r="E336" t="s">
        <v>85</v>
      </c>
      <c r="F336">
        <v>80</v>
      </c>
      <c r="G336">
        <v>9000</v>
      </c>
      <c r="H336">
        <v>0</v>
      </c>
      <c r="I336" t="s">
        <v>1050</v>
      </c>
      <c r="L336">
        <v>0</v>
      </c>
      <c r="M336">
        <v>3.25</v>
      </c>
      <c r="N336">
        <v>0</v>
      </c>
      <c r="R336">
        <v>0</v>
      </c>
      <c r="S336">
        <v>0</v>
      </c>
      <c r="W336" t="s">
        <v>1060</v>
      </c>
      <c r="X336">
        <v>0</v>
      </c>
      <c r="Z336">
        <v>1</v>
      </c>
      <c r="AA336">
        <v>0</v>
      </c>
      <c r="AB336">
        <v>0</v>
      </c>
      <c r="AC336">
        <v>0</v>
      </c>
      <c r="AD336" s="20">
        <v>40794</v>
      </c>
      <c r="AE336">
        <v>350.11</v>
      </c>
      <c r="AF336">
        <v>0</v>
      </c>
      <c r="AH336">
        <v>0</v>
      </c>
      <c r="AJ336">
        <v>0</v>
      </c>
      <c r="AL336">
        <v>0</v>
      </c>
      <c r="AM336">
        <v>0</v>
      </c>
      <c r="AN336">
        <v>16601001</v>
      </c>
      <c r="AO336">
        <v>0</v>
      </c>
      <c r="AP336">
        <v>1000</v>
      </c>
      <c r="AT336">
        <v>0</v>
      </c>
      <c r="AU336" t="s">
        <v>1059</v>
      </c>
      <c r="AW336" t="s">
        <v>1053</v>
      </c>
      <c r="AX336">
        <v>0</v>
      </c>
      <c r="AY336" s="20">
        <v>40794</v>
      </c>
      <c r="BA336" s="20">
        <v>40794</v>
      </c>
      <c r="BB336" t="s">
        <v>1058</v>
      </c>
      <c r="BD336">
        <v>0</v>
      </c>
      <c r="BF336" t="s">
        <v>1043</v>
      </c>
      <c r="BG336" t="s">
        <v>1042</v>
      </c>
      <c r="BH336">
        <v>0</v>
      </c>
      <c r="BI336">
        <v>1</v>
      </c>
      <c r="BJ336">
        <v>0</v>
      </c>
      <c r="BK336">
        <v>0</v>
      </c>
      <c r="BM336" t="s">
        <v>1042</v>
      </c>
      <c r="BN336">
        <v>0</v>
      </c>
      <c r="BR336" t="s">
        <v>1043</v>
      </c>
      <c r="BS336" t="s">
        <v>1043</v>
      </c>
      <c r="BT336" t="s">
        <v>1043</v>
      </c>
      <c r="BW336">
        <v>83</v>
      </c>
      <c r="CA336">
        <v>0</v>
      </c>
      <c r="CB336" t="s">
        <v>1057</v>
      </c>
      <c r="CE336" t="s">
        <v>1043</v>
      </c>
      <c r="CH336" t="s">
        <v>1043</v>
      </c>
      <c r="CN336" t="s">
        <v>1056</v>
      </c>
      <c r="CO336" t="s">
        <v>1043</v>
      </c>
      <c r="CP336">
        <v>1</v>
      </c>
      <c r="CQ336">
        <v>0</v>
      </c>
      <c r="CS336">
        <v>0</v>
      </c>
      <c r="CT336">
        <v>0</v>
      </c>
      <c r="CU336">
        <v>0</v>
      </c>
      <c r="CV336" t="s">
        <v>1045</v>
      </c>
      <c r="CW336">
        <v>0</v>
      </c>
      <c r="CX336">
        <v>0</v>
      </c>
      <c r="CY336">
        <v>0</v>
      </c>
      <c r="CZ336">
        <v>0</v>
      </c>
      <c r="DB336">
        <v>0</v>
      </c>
      <c r="DC336" t="s">
        <v>1043</v>
      </c>
      <c r="DF336" t="s">
        <v>1055</v>
      </c>
      <c r="DH336">
        <v>0</v>
      </c>
      <c r="DJ336">
        <v>0</v>
      </c>
      <c r="DK336" t="s">
        <v>1053</v>
      </c>
      <c r="DL336">
        <v>0</v>
      </c>
      <c r="DN336">
        <v>0</v>
      </c>
      <c r="DO336" t="s">
        <v>1042</v>
      </c>
      <c r="DP336">
        <v>0</v>
      </c>
      <c r="DQ336">
        <v>0</v>
      </c>
      <c r="DS336">
        <v>0</v>
      </c>
      <c r="DU336">
        <v>0</v>
      </c>
      <c r="DW336">
        <v>0</v>
      </c>
      <c r="DX336" t="s">
        <v>1043</v>
      </c>
      <c r="DY336">
        <v>0</v>
      </c>
      <c r="DZ336">
        <v>0</v>
      </c>
      <c r="EA336">
        <v>0</v>
      </c>
      <c r="ED336" t="s">
        <v>1045</v>
      </c>
      <c r="EE336">
        <v>0</v>
      </c>
      <c r="EF336">
        <v>0</v>
      </c>
      <c r="EQ336" t="s">
        <v>1044</v>
      </c>
      <c r="ES336" t="s">
        <v>1053</v>
      </c>
      <c r="ET336">
        <v>0</v>
      </c>
      <c r="EV336">
        <v>0</v>
      </c>
      <c r="EY336" t="s">
        <v>1052</v>
      </c>
      <c r="EZ336">
        <v>0</v>
      </c>
      <c r="FA336" t="s">
        <v>1043</v>
      </c>
      <c r="FB336">
        <v>0</v>
      </c>
      <c r="FC336">
        <v>0</v>
      </c>
      <c r="FE336" t="s">
        <v>1050</v>
      </c>
      <c r="FF336">
        <v>0</v>
      </c>
      <c r="FG336" t="s">
        <v>1050</v>
      </c>
      <c r="FJ336">
        <v>0</v>
      </c>
      <c r="FK336">
        <v>0</v>
      </c>
      <c r="FP336">
        <v>0</v>
      </c>
      <c r="FR336">
        <v>0</v>
      </c>
      <c r="FS336" t="s">
        <v>1043</v>
      </c>
      <c r="FX336" t="s">
        <v>1042</v>
      </c>
      <c r="FZ336" t="s">
        <v>1048</v>
      </c>
      <c r="GA336">
        <v>0</v>
      </c>
      <c r="GB336" t="s">
        <v>1042</v>
      </c>
      <c r="GE336">
        <v>0</v>
      </c>
      <c r="GG336">
        <v>0</v>
      </c>
      <c r="GN336">
        <v>0</v>
      </c>
      <c r="GO336" t="s">
        <v>1063</v>
      </c>
      <c r="GQ336">
        <v>0</v>
      </c>
      <c r="GU336">
        <v>0</v>
      </c>
      <c r="GY336" t="s">
        <v>1045</v>
      </c>
      <c r="HB336">
        <v>0</v>
      </c>
      <c r="HE336">
        <v>0</v>
      </c>
      <c r="HF336">
        <v>0</v>
      </c>
      <c r="HG336">
        <v>0</v>
      </c>
      <c r="HK336" t="s">
        <v>1042</v>
      </c>
      <c r="HM336" t="s">
        <v>1047</v>
      </c>
      <c r="HN336">
        <v>0</v>
      </c>
      <c r="HP336">
        <v>0</v>
      </c>
      <c r="HQ336">
        <v>0</v>
      </c>
      <c r="HR336" t="s">
        <v>1042</v>
      </c>
      <c r="HS336" t="s">
        <v>1043</v>
      </c>
      <c r="HT336">
        <v>0</v>
      </c>
      <c r="HU336">
        <v>0</v>
      </c>
      <c r="HW336">
        <v>0</v>
      </c>
      <c r="HX336">
        <v>0</v>
      </c>
      <c r="HY336">
        <v>0</v>
      </c>
      <c r="HZ336" t="s">
        <v>1045</v>
      </c>
      <c r="IA336">
        <v>0</v>
      </c>
      <c r="IB336" t="s">
        <v>1045</v>
      </c>
      <c r="ID336" t="s">
        <v>1045</v>
      </c>
      <c r="IF336">
        <v>0</v>
      </c>
      <c r="IG336" t="s">
        <v>1042</v>
      </c>
      <c r="II336" t="s">
        <v>1042</v>
      </c>
      <c r="IR336" t="s">
        <v>1045</v>
      </c>
      <c r="IT336">
        <v>0</v>
      </c>
      <c r="IY336" t="s">
        <v>1044</v>
      </c>
      <c r="IZ336" t="s">
        <v>1043</v>
      </c>
      <c r="JC336" t="s">
        <v>1043</v>
      </c>
      <c r="JE336">
        <v>0</v>
      </c>
      <c r="JF336">
        <v>0</v>
      </c>
      <c r="JI336" t="s">
        <v>1042</v>
      </c>
      <c r="JJ336">
        <v>0</v>
      </c>
      <c r="JK336">
        <v>0</v>
      </c>
      <c r="JL336">
        <v>0</v>
      </c>
      <c r="JM336">
        <v>0</v>
      </c>
      <c r="JQ336" t="s">
        <v>1043</v>
      </c>
      <c r="JT336">
        <v>0</v>
      </c>
      <c r="JU336" t="s">
        <v>1042</v>
      </c>
      <c r="JW336">
        <v>0</v>
      </c>
      <c r="KA336">
        <v>0</v>
      </c>
      <c r="KF336">
        <v>0</v>
      </c>
      <c r="KG336">
        <v>0</v>
      </c>
      <c r="KH336">
        <v>0</v>
      </c>
      <c r="KI336">
        <v>0</v>
      </c>
      <c r="KS336" t="s">
        <v>1073</v>
      </c>
      <c r="KT336">
        <v>0</v>
      </c>
      <c r="KU336">
        <v>0</v>
      </c>
      <c r="KV336">
        <v>0</v>
      </c>
      <c r="KX336">
        <v>0</v>
      </c>
      <c r="KZ336">
        <v>0</v>
      </c>
      <c r="LF336">
        <v>0</v>
      </c>
      <c r="LH336">
        <v>0</v>
      </c>
      <c r="LI336">
        <v>0</v>
      </c>
    </row>
    <row r="337" spans="1:321" x14ac:dyDescent="0.35">
      <c r="A337">
        <v>1</v>
      </c>
      <c r="B337">
        <v>12553</v>
      </c>
      <c r="C337" t="s">
        <v>1357</v>
      </c>
      <c r="D337" t="s">
        <v>1139</v>
      </c>
      <c r="E337" t="s">
        <v>85</v>
      </c>
      <c r="F337">
        <v>80</v>
      </c>
      <c r="G337">
        <v>9000</v>
      </c>
      <c r="H337">
        <v>0</v>
      </c>
      <c r="I337" t="s">
        <v>1050</v>
      </c>
      <c r="L337">
        <v>0</v>
      </c>
      <c r="M337">
        <v>3.25</v>
      </c>
      <c r="N337">
        <v>0</v>
      </c>
      <c r="R337">
        <v>0</v>
      </c>
      <c r="S337">
        <v>0</v>
      </c>
      <c r="W337" t="s">
        <v>1060</v>
      </c>
      <c r="X337">
        <v>0</v>
      </c>
      <c r="Z337">
        <v>1</v>
      </c>
      <c r="AA337">
        <v>0</v>
      </c>
      <c r="AB337">
        <v>0</v>
      </c>
      <c r="AC337">
        <v>0</v>
      </c>
      <c r="AD337" s="20">
        <v>40794</v>
      </c>
      <c r="AE337">
        <v>559.84</v>
      </c>
      <c r="AF337">
        <v>0</v>
      </c>
      <c r="AH337">
        <v>0</v>
      </c>
      <c r="AJ337">
        <v>0</v>
      </c>
      <c r="AL337">
        <v>0</v>
      </c>
      <c r="AM337">
        <v>0</v>
      </c>
      <c r="AN337">
        <v>16601001</v>
      </c>
      <c r="AO337">
        <v>0</v>
      </c>
      <c r="AP337">
        <v>1000</v>
      </c>
      <c r="AT337">
        <v>0</v>
      </c>
      <c r="AU337" t="s">
        <v>1059</v>
      </c>
      <c r="AW337" t="s">
        <v>1053</v>
      </c>
      <c r="AX337">
        <v>0</v>
      </c>
      <c r="AY337" s="20">
        <v>40794</v>
      </c>
      <c r="BA337" s="20">
        <v>40794</v>
      </c>
      <c r="BB337" t="s">
        <v>1058</v>
      </c>
      <c r="BD337">
        <v>0</v>
      </c>
      <c r="BF337" t="s">
        <v>1043</v>
      </c>
      <c r="BG337" t="s">
        <v>1042</v>
      </c>
      <c r="BH337">
        <v>0</v>
      </c>
      <c r="BI337">
        <v>1</v>
      </c>
      <c r="BJ337">
        <v>0</v>
      </c>
      <c r="BK337">
        <v>0</v>
      </c>
      <c r="BM337" t="s">
        <v>1042</v>
      </c>
      <c r="BN337">
        <v>0</v>
      </c>
      <c r="BR337" t="s">
        <v>1043</v>
      </c>
      <c r="BS337" t="s">
        <v>1043</v>
      </c>
      <c r="BT337" t="s">
        <v>1043</v>
      </c>
      <c r="BW337">
        <v>83</v>
      </c>
      <c r="CA337">
        <v>0</v>
      </c>
      <c r="CB337" t="s">
        <v>1057</v>
      </c>
      <c r="CE337" t="s">
        <v>1043</v>
      </c>
      <c r="CH337" t="s">
        <v>1043</v>
      </c>
      <c r="CN337" t="s">
        <v>1056</v>
      </c>
      <c r="CO337" t="s">
        <v>1043</v>
      </c>
      <c r="CP337">
        <v>1</v>
      </c>
      <c r="CQ337">
        <v>0</v>
      </c>
      <c r="CS337">
        <v>0</v>
      </c>
      <c r="CT337">
        <v>0</v>
      </c>
      <c r="CU337">
        <v>0</v>
      </c>
      <c r="CV337" t="s">
        <v>1045</v>
      </c>
      <c r="CW337">
        <v>0</v>
      </c>
      <c r="CX337">
        <v>0</v>
      </c>
      <c r="CY337">
        <v>0</v>
      </c>
      <c r="CZ337">
        <v>0</v>
      </c>
      <c r="DB337">
        <v>0</v>
      </c>
      <c r="DC337" t="s">
        <v>1043</v>
      </c>
      <c r="DF337" t="s">
        <v>1055</v>
      </c>
      <c r="DH337">
        <v>0</v>
      </c>
      <c r="DJ337">
        <v>0</v>
      </c>
      <c r="DK337" t="s">
        <v>1053</v>
      </c>
      <c r="DL337">
        <v>0</v>
      </c>
      <c r="DN337">
        <v>0</v>
      </c>
      <c r="DO337" t="s">
        <v>1042</v>
      </c>
      <c r="DP337">
        <v>0</v>
      </c>
      <c r="DQ337">
        <v>0</v>
      </c>
      <c r="DS337">
        <v>0</v>
      </c>
      <c r="DU337">
        <v>0</v>
      </c>
      <c r="DW337">
        <v>0</v>
      </c>
      <c r="DX337" t="s">
        <v>1043</v>
      </c>
      <c r="DY337">
        <v>0</v>
      </c>
      <c r="DZ337">
        <v>0</v>
      </c>
      <c r="EA337">
        <v>0</v>
      </c>
      <c r="ED337" t="s">
        <v>1045</v>
      </c>
      <c r="EE337">
        <v>0</v>
      </c>
      <c r="EF337">
        <v>0</v>
      </c>
      <c r="EQ337" t="s">
        <v>1044</v>
      </c>
      <c r="ES337" t="s">
        <v>1053</v>
      </c>
      <c r="ET337">
        <v>0</v>
      </c>
      <c r="EV337">
        <v>0</v>
      </c>
      <c r="EY337" t="s">
        <v>1052</v>
      </c>
      <c r="EZ337">
        <v>0</v>
      </c>
      <c r="FA337" t="s">
        <v>1043</v>
      </c>
      <c r="FB337">
        <v>0</v>
      </c>
      <c r="FC337">
        <v>0</v>
      </c>
      <c r="FE337" t="s">
        <v>1050</v>
      </c>
      <c r="FF337">
        <v>0</v>
      </c>
      <c r="FG337" t="s">
        <v>1050</v>
      </c>
      <c r="FJ337">
        <v>0</v>
      </c>
      <c r="FK337">
        <v>0</v>
      </c>
      <c r="FP337">
        <v>0</v>
      </c>
      <c r="FR337">
        <v>0</v>
      </c>
      <c r="FS337" t="s">
        <v>1043</v>
      </c>
      <c r="FX337" t="s">
        <v>1042</v>
      </c>
      <c r="FZ337" t="s">
        <v>1048</v>
      </c>
      <c r="GA337">
        <v>0</v>
      </c>
      <c r="GB337" t="s">
        <v>1042</v>
      </c>
      <c r="GE337">
        <v>0</v>
      </c>
      <c r="GG337">
        <v>0</v>
      </c>
      <c r="GN337">
        <v>0</v>
      </c>
      <c r="GO337" t="s">
        <v>1063</v>
      </c>
      <c r="GQ337">
        <v>0</v>
      </c>
      <c r="GU337">
        <v>0</v>
      </c>
      <c r="GY337" t="s">
        <v>1045</v>
      </c>
      <c r="HB337">
        <v>0</v>
      </c>
      <c r="HE337">
        <v>0</v>
      </c>
      <c r="HF337">
        <v>0</v>
      </c>
      <c r="HG337">
        <v>0</v>
      </c>
      <c r="HK337" t="s">
        <v>1042</v>
      </c>
      <c r="HM337" t="s">
        <v>1047</v>
      </c>
      <c r="HN337">
        <v>0</v>
      </c>
      <c r="HP337">
        <v>0</v>
      </c>
      <c r="HQ337">
        <v>0</v>
      </c>
      <c r="HR337" t="s">
        <v>1042</v>
      </c>
      <c r="HS337" t="s">
        <v>1043</v>
      </c>
      <c r="HT337">
        <v>0</v>
      </c>
      <c r="HU337">
        <v>0</v>
      </c>
      <c r="HW337">
        <v>0</v>
      </c>
      <c r="HX337">
        <v>0</v>
      </c>
      <c r="HY337">
        <v>0</v>
      </c>
      <c r="HZ337" t="s">
        <v>1045</v>
      </c>
      <c r="IA337">
        <v>0</v>
      </c>
      <c r="IB337" t="s">
        <v>1045</v>
      </c>
      <c r="ID337" t="s">
        <v>1045</v>
      </c>
      <c r="IF337">
        <v>0</v>
      </c>
      <c r="IG337" t="s">
        <v>1042</v>
      </c>
      <c r="II337" t="s">
        <v>1042</v>
      </c>
      <c r="IR337" t="s">
        <v>1045</v>
      </c>
      <c r="IT337">
        <v>0</v>
      </c>
      <c r="IY337" t="s">
        <v>1044</v>
      </c>
      <c r="IZ337" t="s">
        <v>1043</v>
      </c>
      <c r="JC337" t="s">
        <v>1043</v>
      </c>
      <c r="JE337">
        <v>0</v>
      </c>
      <c r="JF337">
        <v>0</v>
      </c>
      <c r="JI337" t="s">
        <v>1042</v>
      </c>
      <c r="JJ337">
        <v>0</v>
      </c>
      <c r="JK337">
        <v>0</v>
      </c>
      <c r="JL337">
        <v>0</v>
      </c>
      <c r="JM337">
        <v>0</v>
      </c>
      <c r="JQ337" t="s">
        <v>1043</v>
      </c>
      <c r="JT337">
        <v>0</v>
      </c>
      <c r="JU337" t="s">
        <v>1042</v>
      </c>
      <c r="JW337">
        <v>0</v>
      </c>
      <c r="KA337">
        <v>0</v>
      </c>
      <c r="KF337">
        <v>0</v>
      </c>
      <c r="KG337">
        <v>0</v>
      </c>
      <c r="KH337">
        <v>0</v>
      </c>
      <c r="KI337">
        <v>0</v>
      </c>
      <c r="KS337" t="s">
        <v>1073</v>
      </c>
      <c r="KT337">
        <v>0</v>
      </c>
      <c r="KU337">
        <v>0</v>
      </c>
      <c r="KV337">
        <v>0</v>
      </c>
      <c r="KX337">
        <v>0</v>
      </c>
      <c r="KZ337">
        <v>0</v>
      </c>
      <c r="LF337">
        <v>0</v>
      </c>
      <c r="LH337">
        <v>0</v>
      </c>
      <c r="LI337">
        <v>0</v>
      </c>
    </row>
    <row r="338" spans="1:321" x14ac:dyDescent="0.35">
      <c r="A338">
        <v>1</v>
      </c>
      <c r="B338">
        <v>12554</v>
      </c>
      <c r="C338" t="s">
        <v>1356</v>
      </c>
      <c r="D338" t="s">
        <v>1139</v>
      </c>
      <c r="E338" t="s">
        <v>85</v>
      </c>
      <c r="F338">
        <v>80</v>
      </c>
      <c r="G338">
        <v>9000</v>
      </c>
      <c r="H338">
        <v>0</v>
      </c>
      <c r="I338" t="s">
        <v>1050</v>
      </c>
      <c r="L338">
        <v>0</v>
      </c>
      <c r="M338">
        <v>3.25</v>
      </c>
      <c r="N338">
        <v>0</v>
      </c>
      <c r="R338">
        <v>0</v>
      </c>
      <c r="S338">
        <v>0</v>
      </c>
      <c r="W338" t="s">
        <v>1060</v>
      </c>
      <c r="X338">
        <v>0</v>
      </c>
      <c r="Z338">
        <v>1</v>
      </c>
      <c r="AA338">
        <v>0</v>
      </c>
      <c r="AB338">
        <v>0</v>
      </c>
      <c r="AC338">
        <v>0</v>
      </c>
      <c r="AD338" s="20">
        <v>40794</v>
      </c>
      <c r="AE338">
        <v>150.22999999999999</v>
      </c>
      <c r="AF338">
        <v>0</v>
      </c>
      <c r="AH338">
        <v>0</v>
      </c>
      <c r="AJ338">
        <v>0</v>
      </c>
      <c r="AL338">
        <v>0</v>
      </c>
      <c r="AM338">
        <v>0</v>
      </c>
      <c r="AN338">
        <v>16601001</v>
      </c>
      <c r="AO338">
        <v>0</v>
      </c>
      <c r="AP338">
        <v>1000</v>
      </c>
      <c r="AT338">
        <v>0</v>
      </c>
      <c r="AU338" t="s">
        <v>1059</v>
      </c>
      <c r="AW338" t="s">
        <v>1053</v>
      </c>
      <c r="AX338">
        <v>0</v>
      </c>
      <c r="AY338" s="20">
        <v>40794</v>
      </c>
      <c r="BA338" s="20">
        <v>40794</v>
      </c>
      <c r="BB338" t="s">
        <v>1058</v>
      </c>
      <c r="BD338">
        <v>0</v>
      </c>
      <c r="BF338" t="s">
        <v>1043</v>
      </c>
      <c r="BG338" t="s">
        <v>1042</v>
      </c>
      <c r="BH338">
        <v>0</v>
      </c>
      <c r="BI338">
        <v>1</v>
      </c>
      <c r="BJ338">
        <v>0</v>
      </c>
      <c r="BK338">
        <v>0</v>
      </c>
      <c r="BM338" t="s">
        <v>1042</v>
      </c>
      <c r="BN338">
        <v>0</v>
      </c>
      <c r="BR338" t="s">
        <v>1043</v>
      </c>
      <c r="BS338" t="s">
        <v>1043</v>
      </c>
      <c r="BT338" t="s">
        <v>1043</v>
      </c>
      <c r="BW338">
        <v>83</v>
      </c>
      <c r="CA338">
        <v>0</v>
      </c>
      <c r="CB338" t="s">
        <v>1057</v>
      </c>
      <c r="CE338" t="s">
        <v>1043</v>
      </c>
      <c r="CH338" t="s">
        <v>1043</v>
      </c>
      <c r="CN338" t="s">
        <v>1056</v>
      </c>
      <c r="CO338" t="s">
        <v>1043</v>
      </c>
      <c r="CP338">
        <v>1</v>
      </c>
      <c r="CQ338">
        <v>0</v>
      </c>
      <c r="CS338">
        <v>0</v>
      </c>
      <c r="CT338">
        <v>0</v>
      </c>
      <c r="CU338">
        <v>0</v>
      </c>
      <c r="CV338" t="s">
        <v>1045</v>
      </c>
      <c r="CW338">
        <v>0</v>
      </c>
      <c r="CX338">
        <v>0</v>
      </c>
      <c r="CY338">
        <v>0</v>
      </c>
      <c r="CZ338">
        <v>0</v>
      </c>
      <c r="DB338">
        <v>0</v>
      </c>
      <c r="DC338" t="s">
        <v>1043</v>
      </c>
      <c r="DF338" t="s">
        <v>1055</v>
      </c>
      <c r="DH338">
        <v>0</v>
      </c>
      <c r="DJ338">
        <v>0</v>
      </c>
      <c r="DK338" t="s">
        <v>1053</v>
      </c>
      <c r="DL338">
        <v>0</v>
      </c>
      <c r="DN338">
        <v>0</v>
      </c>
      <c r="DO338" t="s">
        <v>1042</v>
      </c>
      <c r="DP338">
        <v>0</v>
      </c>
      <c r="DQ338">
        <v>0</v>
      </c>
      <c r="DS338">
        <v>0</v>
      </c>
      <c r="DU338">
        <v>0</v>
      </c>
      <c r="DW338">
        <v>0</v>
      </c>
      <c r="DX338" t="s">
        <v>1043</v>
      </c>
      <c r="DY338">
        <v>0</v>
      </c>
      <c r="DZ338">
        <v>0</v>
      </c>
      <c r="EA338">
        <v>0</v>
      </c>
      <c r="ED338" t="s">
        <v>1045</v>
      </c>
      <c r="EE338">
        <v>0</v>
      </c>
      <c r="EF338">
        <v>0</v>
      </c>
      <c r="EQ338" t="s">
        <v>1044</v>
      </c>
      <c r="ES338" t="s">
        <v>1053</v>
      </c>
      <c r="ET338">
        <v>0</v>
      </c>
      <c r="EV338">
        <v>0</v>
      </c>
      <c r="EY338" t="s">
        <v>1052</v>
      </c>
      <c r="EZ338">
        <v>0</v>
      </c>
      <c r="FA338" t="s">
        <v>1043</v>
      </c>
      <c r="FB338">
        <v>0</v>
      </c>
      <c r="FC338">
        <v>0</v>
      </c>
      <c r="FE338" t="s">
        <v>1050</v>
      </c>
      <c r="FF338">
        <v>0</v>
      </c>
      <c r="FG338" t="s">
        <v>1050</v>
      </c>
      <c r="FJ338">
        <v>0</v>
      </c>
      <c r="FK338">
        <v>0</v>
      </c>
      <c r="FP338">
        <v>0</v>
      </c>
      <c r="FR338">
        <v>0</v>
      </c>
      <c r="FS338" t="s">
        <v>1043</v>
      </c>
      <c r="FX338" t="s">
        <v>1042</v>
      </c>
      <c r="FZ338" t="s">
        <v>1048</v>
      </c>
      <c r="GA338">
        <v>0</v>
      </c>
      <c r="GB338" t="s">
        <v>1042</v>
      </c>
      <c r="GE338">
        <v>0</v>
      </c>
      <c r="GG338">
        <v>0</v>
      </c>
      <c r="GN338">
        <v>0</v>
      </c>
      <c r="GO338" t="s">
        <v>1063</v>
      </c>
      <c r="GQ338">
        <v>0</v>
      </c>
      <c r="GU338">
        <v>0</v>
      </c>
      <c r="GY338" t="s">
        <v>1045</v>
      </c>
      <c r="HB338">
        <v>0</v>
      </c>
      <c r="HE338">
        <v>0</v>
      </c>
      <c r="HF338">
        <v>0</v>
      </c>
      <c r="HG338">
        <v>0</v>
      </c>
      <c r="HK338" t="s">
        <v>1042</v>
      </c>
      <c r="HM338" t="s">
        <v>1047</v>
      </c>
      <c r="HN338">
        <v>0</v>
      </c>
      <c r="HP338">
        <v>0</v>
      </c>
      <c r="HQ338">
        <v>0</v>
      </c>
      <c r="HR338" t="s">
        <v>1042</v>
      </c>
      <c r="HS338" t="s">
        <v>1043</v>
      </c>
      <c r="HT338">
        <v>0</v>
      </c>
      <c r="HU338">
        <v>0</v>
      </c>
      <c r="HW338">
        <v>0</v>
      </c>
      <c r="HX338">
        <v>0</v>
      </c>
      <c r="HY338">
        <v>0</v>
      </c>
      <c r="HZ338" t="s">
        <v>1045</v>
      </c>
      <c r="IA338">
        <v>0</v>
      </c>
      <c r="IB338" t="s">
        <v>1045</v>
      </c>
      <c r="ID338" t="s">
        <v>1045</v>
      </c>
      <c r="IF338">
        <v>0</v>
      </c>
      <c r="IG338" t="s">
        <v>1042</v>
      </c>
      <c r="II338" t="s">
        <v>1042</v>
      </c>
      <c r="IR338" t="s">
        <v>1045</v>
      </c>
      <c r="IT338">
        <v>0</v>
      </c>
      <c r="IY338" t="s">
        <v>1044</v>
      </c>
      <c r="IZ338" t="s">
        <v>1043</v>
      </c>
      <c r="JC338" t="s">
        <v>1043</v>
      </c>
      <c r="JE338">
        <v>0</v>
      </c>
      <c r="JF338">
        <v>0</v>
      </c>
      <c r="JI338" t="s">
        <v>1042</v>
      </c>
      <c r="JJ338">
        <v>0</v>
      </c>
      <c r="JK338">
        <v>0</v>
      </c>
      <c r="JL338">
        <v>0</v>
      </c>
      <c r="JM338">
        <v>0</v>
      </c>
      <c r="JQ338" t="s">
        <v>1043</v>
      </c>
      <c r="JT338">
        <v>0</v>
      </c>
      <c r="JU338" t="s">
        <v>1042</v>
      </c>
      <c r="JW338">
        <v>0</v>
      </c>
      <c r="KA338">
        <v>0</v>
      </c>
      <c r="KF338">
        <v>0</v>
      </c>
      <c r="KG338">
        <v>0</v>
      </c>
      <c r="KH338">
        <v>0</v>
      </c>
      <c r="KI338">
        <v>0</v>
      </c>
      <c r="KS338" t="s">
        <v>1073</v>
      </c>
      <c r="KT338">
        <v>0</v>
      </c>
      <c r="KU338">
        <v>0</v>
      </c>
      <c r="KV338">
        <v>0</v>
      </c>
      <c r="KX338">
        <v>0</v>
      </c>
      <c r="KZ338">
        <v>0</v>
      </c>
      <c r="LF338">
        <v>0</v>
      </c>
      <c r="LH338">
        <v>0</v>
      </c>
      <c r="LI338">
        <v>0</v>
      </c>
    </row>
    <row r="339" spans="1:321" x14ac:dyDescent="0.35">
      <c r="A339">
        <v>1</v>
      </c>
      <c r="B339">
        <v>12555</v>
      </c>
      <c r="C339" t="s">
        <v>1355</v>
      </c>
      <c r="D339" t="s">
        <v>1139</v>
      </c>
      <c r="E339" t="s">
        <v>85</v>
      </c>
      <c r="F339">
        <v>80</v>
      </c>
      <c r="G339">
        <v>9000</v>
      </c>
      <c r="H339">
        <v>0</v>
      </c>
      <c r="I339" t="s">
        <v>1050</v>
      </c>
      <c r="L339">
        <v>0</v>
      </c>
      <c r="M339">
        <v>3.25</v>
      </c>
      <c r="N339">
        <v>0</v>
      </c>
      <c r="R339">
        <v>0</v>
      </c>
      <c r="S339">
        <v>0</v>
      </c>
      <c r="W339" t="s">
        <v>1060</v>
      </c>
      <c r="X339">
        <v>0</v>
      </c>
      <c r="Z339">
        <v>1</v>
      </c>
      <c r="AA339">
        <v>0</v>
      </c>
      <c r="AB339">
        <v>0</v>
      </c>
      <c r="AC339">
        <v>0</v>
      </c>
      <c r="AD339" s="20">
        <v>40794</v>
      </c>
      <c r="AE339">
        <v>155.82</v>
      </c>
      <c r="AF339">
        <v>0</v>
      </c>
      <c r="AH339">
        <v>0</v>
      </c>
      <c r="AJ339">
        <v>0</v>
      </c>
      <c r="AL339">
        <v>0</v>
      </c>
      <c r="AM339">
        <v>0</v>
      </c>
      <c r="AN339">
        <v>16601001</v>
      </c>
      <c r="AO339">
        <v>0</v>
      </c>
      <c r="AP339">
        <v>1000</v>
      </c>
      <c r="AT339">
        <v>0</v>
      </c>
      <c r="AU339" t="s">
        <v>1059</v>
      </c>
      <c r="AW339" t="s">
        <v>1053</v>
      </c>
      <c r="AX339">
        <v>0</v>
      </c>
      <c r="AY339" s="20">
        <v>40794</v>
      </c>
      <c r="BA339" s="20">
        <v>40794</v>
      </c>
      <c r="BB339" t="s">
        <v>1058</v>
      </c>
      <c r="BD339">
        <v>0</v>
      </c>
      <c r="BF339" t="s">
        <v>1043</v>
      </c>
      <c r="BG339" t="s">
        <v>1042</v>
      </c>
      <c r="BH339">
        <v>0</v>
      </c>
      <c r="BI339">
        <v>1</v>
      </c>
      <c r="BJ339">
        <v>0</v>
      </c>
      <c r="BK339">
        <v>0</v>
      </c>
      <c r="BM339" t="s">
        <v>1042</v>
      </c>
      <c r="BN339">
        <v>0</v>
      </c>
      <c r="BR339" t="s">
        <v>1043</v>
      </c>
      <c r="BS339" t="s">
        <v>1043</v>
      </c>
      <c r="BT339" t="s">
        <v>1043</v>
      </c>
      <c r="BW339">
        <v>83</v>
      </c>
      <c r="CA339">
        <v>0</v>
      </c>
      <c r="CB339" t="s">
        <v>1057</v>
      </c>
      <c r="CE339" t="s">
        <v>1043</v>
      </c>
      <c r="CH339" t="s">
        <v>1043</v>
      </c>
      <c r="CN339" t="s">
        <v>1056</v>
      </c>
      <c r="CO339" t="s">
        <v>1043</v>
      </c>
      <c r="CP339">
        <v>1</v>
      </c>
      <c r="CQ339">
        <v>0</v>
      </c>
      <c r="CS339">
        <v>0</v>
      </c>
      <c r="CT339">
        <v>0</v>
      </c>
      <c r="CU339">
        <v>0</v>
      </c>
      <c r="CV339" t="s">
        <v>1045</v>
      </c>
      <c r="CW339">
        <v>0</v>
      </c>
      <c r="CX339">
        <v>0</v>
      </c>
      <c r="CY339">
        <v>0</v>
      </c>
      <c r="CZ339">
        <v>0</v>
      </c>
      <c r="DB339">
        <v>0</v>
      </c>
      <c r="DC339" t="s">
        <v>1043</v>
      </c>
      <c r="DF339" t="s">
        <v>1055</v>
      </c>
      <c r="DH339">
        <v>0</v>
      </c>
      <c r="DJ339">
        <v>0</v>
      </c>
      <c r="DK339" t="s">
        <v>1053</v>
      </c>
      <c r="DL339">
        <v>0</v>
      </c>
      <c r="DN339">
        <v>0</v>
      </c>
      <c r="DO339" t="s">
        <v>1042</v>
      </c>
      <c r="DP339">
        <v>0</v>
      </c>
      <c r="DQ339">
        <v>0</v>
      </c>
      <c r="DS339">
        <v>0</v>
      </c>
      <c r="DU339">
        <v>0</v>
      </c>
      <c r="DW339">
        <v>0</v>
      </c>
      <c r="DX339" t="s">
        <v>1043</v>
      </c>
      <c r="DY339">
        <v>0</v>
      </c>
      <c r="DZ339">
        <v>0</v>
      </c>
      <c r="EA339">
        <v>0</v>
      </c>
      <c r="ED339" t="s">
        <v>1045</v>
      </c>
      <c r="EE339">
        <v>0</v>
      </c>
      <c r="EF339">
        <v>0</v>
      </c>
      <c r="EQ339" t="s">
        <v>1044</v>
      </c>
      <c r="ES339" t="s">
        <v>1053</v>
      </c>
      <c r="ET339">
        <v>0</v>
      </c>
      <c r="EV339">
        <v>0</v>
      </c>
      <c r="EY339" t="s">
        <v>1052</v>
      </c>
      <c r="EZ339">
        <v>0</v>
      </c>
      <c r="FA339" t="s">
        <v>1043</v>
      </c>
      <c r="FB339">
        <v>0</v>
      </c>
      <c r="FC339">
        <v>0</v>
      </c>
      <c r="FE339" t="s">
        <v>1050</v>
      </c>
      <c r="FF339">
        <v>0</v>
      </c>
      <c r="FG339" t="s">
        <v>1050</v>
      </c>
      <c r="FJ339">
        <v>0</v>
      </c>
      <c r="FK339">
        <v>0</v>
      </c>
      <c r="FP339">
        <v>0</v>
      </c>
      <c r="FR339">
        <v>0</v>
      </c>
      <c r="FS339" t="s">
        <v>1043</v>
      </c>
      <c r="FX339" t="s">
        <v>1042</v>
      </c>
      <c r="FZ339" t="s">
        <v>1048</v>
      </c>
      <c r="GA339">
        <v>0</v>
      </c>
      <c r="GB339" t="s">
        <v>1042</v>
      </c>
      <c r="GE339">
        <v>0</v>
      </c>
      <c r="GG339">
        <v>0</v>
      </c>
      <c r="GN339">
        <v>0</v>
      </c>
      <c r="GO339" t="s">
        <v>1063</v>
      </c>
      <c r="GQ339">
        <v>0</v>
      </c>
      <c r="GU339">
        <v>0</v>
      </c>
      <c r="GY339" t="s">
        <v>1045</v>
      </c>
      <c r="HB339">
        <v>0</v>
      </c>
      <c r="HE339">
        <v>0</v>
      </c>
      <c r="HF339">
        <v>0</v>
      </c>
      <c r="HG339">
        <v>0</v>
      </c>
      <c r="HK339" t="s">
        <v>1042</v>
      </c>
      <c r="HM339" t="s">
        <v>1047</v>
      </c>
      <c r="HN339">
        <v>0</v>
      </c>
      <c r="HP339">
        <v>0</v>
      </c>
      <c r="HQ339">
        <v>0</v>
      </c>
      <c r="HR339" t="s">
        <v>1042</v>
      </c>
      <c r="HS339" t="s">
        <v>1043</v>
      </c>
      <c r="HT339">
        <v>0</v>
      </c>
      <c r="HU339">
        <v>0</v>
      </c>
      <c r="HW339">
        <v>0</v>
      </c>
      <c r="HX339">
        <v>0</v>
      </c>
      <c r="HY339">
        <v>0</v>
      </c>
      <c r="HZ339" t="s">
        <v>1045</v>
      </c>
      <c r="IA339">
        <v>0</v>
      </c>
      <c r="IB339" t="s">
        <v>1045</v>
      </c>
      <c r="ID339" t="s">
        <v>1045</v>
      </c>
      <c r="IF339">
        <v>0</v>
      </c>
      <c r="IG339" t="s">
        <v>1042</v>
      </c>
      <c r="II339" t="s">
        <v>1042</v>
      </c>
      <c r="IR339" t="s">
        <v>1045</v>
      </c>
      <c r="IT339">
        <v>0</v>
      </c>
      <c r="IY339" t="s">
        <v>1044</v>
      </c>
      <c r="IZ339" t="s">
        <v>1043</v>
      </c>
      <c r="JC339" t="s">
        <v>1043</v>
      </c>
      <c r="JE339">
        <v>0</v>
      </c>
      <c r="JF339">
        <v>0</v>
      </c>
      <c r="JI339" t="s">
        <v>1042</v>
      </c>
      <c r="JJ339">
        <v>0</v>
      </c>
      <c r="JK339">
        <v>0</v>
      </c>
      <c r="JL339">
        <v>0</v>
      </c>
      <c r="JM339">
        <v>0</v>
      </c>
      <c r="JQ339" t="s">
        <v>1043</v>
      </c>
      <c r="JT339">
        <v>0</v>
      </c>
      <c r="JU339" t="s">
        <v>1042</v>
      </c>
      <c r="JW339">
        <v>0</v>
      </c>
      <c r="KA339">
        <v>0</v>
      </c>
      <c r="KF339">
        <v>0</v>
      </c>
      <c r="KG339">
        <v>0</v>
      </c>
      <c r="KH339">
        <v>0</v>
      </c>
      <c r="KI339">
        <v>0</v>
      </c>
      <c r="KS339" t="s">
        <v>1073</v>
      </c>
      <c r="KT339">
        <v>0</v>
      </c>
      <c r="KU339">
        <v>0</v>
      </c>
      <c r="KV339">
        <v>0</v>
      </c>
      <c r="KX339">
        <v>0</v>
      </c>
      <c r="KZ339">
        <v>0</v>
      </c>
      <c r="LF339">
        <v>0</v>
      </c>
      <c r="LH339">
        <v>0</v>
      </c>
      <c r="LI339">
        <v>0</v>
      </c>
    </row>
    <row r="340" spans="1:321" x14ac:dyDescent="0.35">
      <c r="A340">
        <v>1</v>
      </c>
      <c r="B340">
        <v>12556</v>
      </c>
      <c r="C340" t="s">
        <v>1354</v>
      </c>
      <c r="D340" t="s">
        <v>1139</v>
      </c>
      <c r="E340" t="s">
        <v>85</v>
      </c>
      <c r="F340">
        <v>80</v>
      </c>
      <c r="G340">
        <v>9000</v>
      </c>
      <c r="H340">
        <v>0</v>
      </c>
      <c r="I340" t="s">
        <v>1050</v>
      </c>
      <c r="L340">
        <v>0</v>
      </c>
      <c r="M340">
        <v>3.25</v>
      </c>
      <c r="N340">
        <v>0</v>
      </c>
      <c r="R340">
        <v>0</v>
      </c>
      <c r="S340">
        <v>0</v>
      </c>
      <c r="W340" t="s">
        <v>1060</v>
      </c>
      <c r="X340">
        <v>0</v>
      </c>
      <c r="Z340">
        <v>1</v>
      </c>
      <c r="AA340">
        <v>0</v>
      </c>
      <c r="AB340">
        <v>0</v>
      </c>
      <c r="AC340">
        <v>0</v>
      </c>
      <c r="AD340" s="20">
        <v>40794</v>
      </c>
      <c r="AE340">
        <v>302.20999999999998</v>
      </c>
      <c r="AF340">
        <v>0</v>
      </c>
      <c r="AH340">
        <v>0</v>
      </c>
      <c r="AJ340">
        <v>0</v>
      </c>
      <c r="AL340">
        <v>0</v>
      </c>
      <c r="AM340">
        <v>0</v>
      </c>
      <c r="AN340">
        <v>16601001</v>
      </c>
      <c r="AO340">
        <v>0</v>
      </c>
      <c r="AP340">
        <v>1000</v>
      </c>
      <c r="AT340">
        <v>0</v>
      </c>
      <c r="AU340" t="s">
        <v>1059</v>
      </c>
      <c r="AW340" t="s">
        <v>1053</v>
      </c>
      <c r="AX340">
        <v>0</v>
      </c>
      <c r="AY340" s="20">
        <v>40794</v>
      </c>
      <c r="BA340" s="20">
        <v>40794</v>
      </c>
      <c r="BB340" t="s">
        <v>1058</v>
      </c>
      <c r="BD340">
        <v>0</v>
      </c>
      <c r="BF340" t="s">
        <v>1043</v>
      </c>
      <c r="BG340" t="s">
        <v>1042</v>
      </c>
      <c r="BH340">
        <v>0</v>
      </c>
      <c r="BI340">
        <v>1</v>
      </c>
      <c r="BJ340">
        <v>0</v>
      </c>
      <c r="BK340">
        <v>0</v>
      </c>
      <c r="BM340" t="s">
        <v>1042</v>
      </c>
      <c r="BN340">
        <v>0</v>
      </c>
      <c r="BR340" t="s">
        <v>1043</v>
      </c>
      <c r="BS340" t="s">
        <v>1043</v>
      </c>
      <c r="BT340" t="s">
        <v>1043</v>
      </c>
      <c r="BW340">
        <v>83</v>
      </c>
      <c r="CA340">
        <v>0</v>
      </c>
      <c r="CB340" t="s">
        <v>1057</v>
      </c>
      <c r="CE340" t="s">
        <v>1043</v>
      </c>
      <c r="CH340" t="s">
        <v>1043</v>
      </c>
      <c r="CN340" t="s">
        <v>1056</v>
      </c>
      <c r="CO340" t="s">
        <v>1043</v>
      </c>
      <c r="CP340">
        <v>1</v>
      </c>
      <c r="CQ340">
        <v>0</v>
      </c>
      <c r="CS340">
        <v>0</v>
      </c>
      <c r="CT340">
        <v>0</v>
      </c>
      <c r="CU340">
        <v>0</v>
      </c>
      <c r="CV340" t="s">
        <v>1045</v>
      </c>
      <c r="CW340">
        <v>0</v>
      </c>
      <c r="CX340">
        <v>0</v>
      </c>
      <c r="CY340">
        <v>0</v>
      </c>
      <c r="CZ340">
        <v>0</v>
      </c>
      <c r="DB340">
        <v>0</v>
      </c>
      <c r="DC340" t="s">
        <v>1043</v>
      </c>
      <c r="DF340" t="s">
        <v>1055</v>
      </c>
      <c r="DH340">
        <v>0</v>
      </c>
      <c r="DJ340">
        <v>0</v>
      </c>
      <c r="DK340" t="s">
        <v>1053</v>
      </c>
      <c r="DL340">
        <v>0</v>
      </c>
      <c r="DN340">
        <v>0</v>
      </c>
      <c r="DO340" t="s">
        <v>1042</v>
      </c>
      <c r="DP340">
        <v>0</v>
      </c>
      <c r="DQ340">
        <v>0</v>
      </c>
      <c r="DS340">
        <v>0</v>
      </c>
      <c r="DU340">
        <v>0</v>
      </c>
      <c r="DW340">
        <v>0</v>
      </c>
      <c r="DX340" t="s">
        <v>1043</v>
      </c>
      <c r="DY340">
        <v>0</v>
      </c>
      <c r="DZ340">
        <v>0</v>
      </c>
      <c r="EA340">
        <v>0</v>
      </c>
      <c r="ED340" t="s">
        <v>1045</v>
      </c>
      <c r="EE340">
        <v>0</v>
      </c>
      <c r="EF340">
        <v>0</v>
      </c>
      <c r="EQ340" t="s">
        <v>1044</v>
      </c>
      <c r="ES340" t="s">
        <v>1053</v>
      </c>
      <c r="ET340">
        <v>0</v>
      </c>
      <c r="EV340">
        <v>0</v>
      </c>
      <c r="EY340" t="s">
        <v>1052</v>
      </c>
      <c r="EZ340">
        <v>0</v>
      </c>
      <c r="FA340" t="s">
        <v>1043</v>
      </c>
      <c r="FB340">
        <v>0</v>
      </c>
      <c r="FC340">
        <v>0</v>
      </c>
      <c r="FE340" t="s">
        <v>1050</v>
      </c>
      <c r="FF340">
        <v>0</v>
      </c>
      <c r="FG340" t="s">
        <v>1050</v>
      </c>
      <c r="FJ340">
        <v>0</v>
      </c>
      <c r="FK340">
        <v>0</v>
      </c>
      <c r="FP340">
        <v>0</v>
      </c>
      <c r="FR340">
        <v>0</v>
      </c>
      <c r="FS340" t="s">
        <v>1043</v>
      </c>
      <c r="FX340" t="s">
        <v>1042</v>
      </c>
      <c r="FZ340" t="s">
        <v>1048</v>
      </c>
      <c r="GA340">
        <v>0</v>
      </c>
      <c r="GB340" t="s">
        <v>1042</v>
      </c>
      <c r="GE340">
        <v>0</v>
      </c>
      <c r="GG340">
        <v>0</v>
      </c>
      <c r="GN340">
        <v>0</v>
      </c>
      <c r="GO340" t="s">
        <v>1063</v>
      </c>
      <c r="GQ340">
        <v>0</v>
      </c>
      <c r="GU340">
        <v>0</v>
      </c>
      <c r="GY340" t="s">
        <v>1045</v>
      </c>
      <c r="HB340">
        <v>0</v>
      </c>
      <c r="HE340">
        <v>0</v>
      </c>
      <c r="HF340">
        <v>0</v>
      </c>
      <c r="HG340">
        <v>0</v>
      </c>
      <c r="HK340" t="s">
        <v>1042</v>
      </c>
      <c r="HM340" t="s">
        <v>1047</v>
      </c>
      <c r="HN340">
        <v>0</v>
      </c>
      <c r="HP340">
        <v>0</v>
      </c>
      <c r="HQ340">
        <v>0</v>
      </c>
      <c r="HR340" t="s">
        <v>1042</v>
      </c>
      <c r="HS340" t="s">
        <v>1043</v>
      </c>
      <c r="HT340">
        <v>0</v>
      </c>
      <c r="HU340">
        <v>0</v>
      </c>
      <c r="HW340">
        <v>0</v>
      </c>
      <c r="HX340">
        <v>0</v>
      </c>
      <c r="HY340">
        <v>0</v>
      </c>
      <c r="HZ340" t="s">
        <v>1045</v>
      </c>
      <c r="IA340">
        <v>0</v>
      </c>
      <c r="IB340" t="s">
        <v>1045</v>
      </c>
      <c r="ID340" t="s">
        <v>1045</v>
      </c>
      <c r="IF340">
        <v>0</v>
      </c>
      <c r="IG340" t="s">
        <v>1042</v>
      </c>
      <c r="II340" t="s">
        <v>1042</v>
      </c>
      <c r="IR340" t="s">
        <v>1045</v>
      </c>
      <c r="IT340">
        <v>0</v>
      </c>
      <c r="IY340" t="s">
        <v>1044</v>
      </c>
      <c r="IZ340" t="s">
        <v>1043</v>
      </c>
      <c r="JC340" t="s">
        <v>1043</v>
      </c>
      <c r="JE340">
        <v>0</v>
      </c>
      <c r="JF340">
        <v>0</v>
      </c>
      <c r="JI340" t="s">
        <v>1042</v>
      </c>
      <c r="JJ340">
        <v>0</v>
      </c>
      <c r="JK340">
        <v>0</v>
      </c>
      <c r="JL340">
        <v>0</v>
      </c>
      <c r="JM340">
        <v>0</v>
      </c>
      <c r="JQ340" t="s">
        <v>1043</v>
      </c>
      <c r="JT340">
        <v>0</v>
      </c>
      <c r="JU340" t="s">
        <v>1042</v>
      </c>
      <c r="JW340">
        <v>0</v>
      </c>
      <c r="KA340">
        <v>0</v>
      </c>
      <c r="KF340">
        <v>0</v>
      </c>
      <c r="KG340">
        <v>0</v>
      </c>
      <c r="KH340">
        <v>0</v>
      </c>
      <c r="KI340">
        <v>0</v>
      </c>
      <c r="KS340" t="s">
        <v>1073</v>
      </c>
      <c r="KT340">
        <v>0</v>
      </c>
      <c r="KU340">
        <v>0</v>
      </c>
      <c r="KV340">
        <v>0</v>
      </c>
      <c r="KX340">
        <v>0</v>
      </c>
      <c r="KZ340">
        <v>0</v>
      </c>
      <c r="LF340">
        <v>0</v>
      </c>
      <c r="LH340">
        <v>0</v>
      </c>
      <c r="LI340">
        <v>0</v>
      </c>
    </row>
    <row r="341" spans="1:321" x14ac:dyDescent="0.35">
      <c r="A341">
        <v>1</v>
      </c>
      <c r="B341">
        <v>12557</v>
      </c>
      <c r="C341" t="s">
        <v>1353</v>
      </c>
      <c r="D341" t="s">
        <v>1139</v>
      </c>
      <c r="E341" t="s">
        <v>85</v>
      </c>
      <c r="F341">
        <v>80</v>
      </c>
      <c r="G341">
        <v>9000</v>
      </c>
      <c r="H341">
        <v>0</v>
      </c>
      <c r="I341" t="s">
        <v>1333</v>
      </c>
      <c r="L341">
        <v>0</v>
      </c>
      <c r="M341">
        <v>3.25</v>
      </c>
      <c r="N341">
        <v>0</v>
      </c>
      <c r="R341">
        <v>0</v>
      </c>
      <c r="S341">
        <v>0</v>
      </c>
      <c r="W341" t="s">
        <v>1060</v>
      </c>
      <c r="X341">
        <v>0</v>
      </c>
      <c r="Z341">
        <v>1</v>
      </c>
      <c r="AA341">
        <v>0</v>
      </c>
      <c r="AB341">
        <v>0</v>
      </c>
      <c r="AC341">
        <v>436.72</v>
      </c>
      <c r="AD341" s="20">
        <v>40911</v>
      </c>
      <c r="AE341">
        <v>472.64</v>
      </c>
      <c r="AF341">
        <v>0</v>
      </c>
      <c r="AH341">
        <v>0</v>
      </c>
      <c r="AJ341">
        <v>0</v>
      </c>
      <c r="AL341">
        <v>1</v>
      </c>
      <c r="AM341">
        <v>0</v>
      </c>
      <c r="AN341">
        <v>16601001</v>
      </c>
      <c r="AO341">
        <v>0</v>
      </c>
      <c r="AP341">
        <v>1000</v>
      </c>
      <c r="AT341">
        <v>0</v>
      </c>
      <c r="AU341" t="s">
        <v>1059</v>
      </c>
      <c r="AW341" t="s">
        <v>1053</v>
      </c>
      <c r="AX341">
        <v>0</v>
      </c>
      <c r="AY341" s="20">
        <v>40911</v>
      </c>
      <c r="BA341" s="20">
        <v>40794</v>
      </c>
      <c r="BB341" t="s">
        <v>1058</v>
      </c>
      <c r="BD341">
        <v>0</v>
      </c>
      <c r="BF341" t="s">
        <v>1043</v>
      </c>
      <c r="BG341" t="s">
        <v>1042</v>
      </c>
      <c r="BH341">
        <v>0</v>
      </c>
      <c r="BI341">
        <v>1</v>
      </c>
      <c r="BJ341">
        <v>0</v>
      </c>
      <c r="BK341">
        <v>0</v>
      </c>
      <c r="BM341" t="s">
        <v>1042</v>
      </c>
      <c r="BN341">
        <v>0</v>
      </c>
      <c r="BR341" t="s">
        <v>1043</v>
      </c>
      <c r="BS341" t="s">
        <v>1043</v>
      </c>
      <c r="BT341" t="s">
        <v>1043</v>
      </c>
      <c r="BW341">
        <v>83</v>
      </c>
      <c r="CA341">
        <v>0</v>
      </c>
      <c r="CB341" t="s">
        <v>1057</v>
      </c>
      <c r="CE341" t="s">
        <v>1043</v>
      </c>
      <c r="CH341" t="s">
        <v>1043</v>
      </c>
      <c r="CN341" t="s">
        <v>1056</v>
      </c>
      <c r="CO341" t="s">
        <v>1043</v>
      </c>
      <c r="CP341">
        <v>1</v>
      </c>
      <c r="CQ341">
        <v>0</v>
      </c>
      <c r="CS341">
        <v>0</v>
      </c>
      <c r="CT341">
        <v>0</v>
      </c>
      <c r="CU341">
        <v>0</v>
      </c>
      <c r="CV341" t="s">
        <v>1045</v>
      </c>
      <c r="CW341">
        <v>0</v>
      </c>
      <c r="CX341">
        <v>0</v>
      </c>
      <c r="CY341">
        <v>0</v>
      </c>
      <c r="CZ341">
        <v>0</v>
      </c>
      <c r="DB341">
        <v>0</v>
      </c>
      <c r="DC341" t="s">
        <v>1043</v>
      </c>
      <c r="DF341" t="s">
        <v>1055</v>
      </c>
      <c r="DH341">
        <v>0</v>
      </c>
      <c r="DJ341">
        <v>0</v>
      </c>
      <c r="DK341" t="s">
        <v>1053</v>
      </c>
      <c r="DL341">
        <v>0</v>
      </c>
      <c r="DN341">
        <v>0</v>
      </c>
      <c r="DO341" t="s">
        <v>1042</v>
      </c>
      <c r="DP341">
        <v>0</v>
      </c>
      <c r="DQ341">
        <v>0</v>
      </c>
      <c r="DS341">
        <v>0</v>
      </c>
      <c r="DU341">
        <v>0</v>
      </c>
      <c r="DW341">
        <v>0</v>
      </c>
      <c r="DX341" t="s">
        <v>1043</v>
      </c>
      <c r="DY341">
        <v>0</v>
      </c>
      <c r="DZ341">
        <v>0</v>
      </c>
      <c r="EA341">
        <v>0</v>
      </c>
      <c r="ED341" t="s">
        <v>1045</v>
      </c>
      <c r="EE341">
        <v>0</v>
      </c>
      <c r="EF341">
        <v>0</v>
      </c>
      <c r="EQ341" t="s">
        <v>1044</v>
      </c>
      <c r="ES341" t="s">
        <v>1053</v>
      </c>
      <c r="ET341">
        <v>0</v>
      </c>
      <c r="EV341">
        <v>0</v>
      </c>
      <c r="EY341" t="s">
        <v>1052</v>
      </c>
      <c r="EZ341">
        <v>0</v>
      </c>
      <c r="FA341" t="s">
        <v>1043</v>
      </c>
      <c r="FB341">
        <v>0</v>
      </c>
      <c r="FC341">
        <v>0</v>
      </c>
      <c r="FE341" t="s">
        <v>1050</v>
      </c>
      <c r="FF341">
        <v>0</v>
      </c>
      <c r="FG341" t="s">
        <v>1050</v>
      </c>
      <c r="FJ341">
        <v>0</v>
      </c>
      <c r="FK341">
        <v>0</v>
      </c>
      <c r="FP341">
        <v>0</v>
      </c>
      <c r="FR341">
        <v>0</v>
      </c>
      <c r="FS341" t="s">
        <v>1043</v>
      </c>
      <c r="FX341" t="s">
        <v>1042</v>
      </c>
      <c r="FZ341" t="s">
        <v>1048</v>
      </c>
      <c r="GA341">
        <v>0</v>
      </c>
      <c r="GB341" t="s">
        <v>1042</v>
      </c>
      <c r="GE341">
        <v>0</v>
      </c>
      <c r="GG341">
        <v>0</v>
      </c>
      <c r="GN341">
        <v>0</v>
      </c>
      <c r="GO341" t="s">
        <v>1063</v>
      </c>
      <c r="GQ341">
        <v>0</v>
      </c>
      <c r="GU341">
        <v>0</v>
      </c>
      <c r="GY341" t="s">
        <v>1045</v>
      </c>
      <c r="HB341">
        <v>0</v>
      </c>
      <c r="HE341">
        <v>0</v>
      </c>
      <c r="HF341">
        <v>0</v>
      </c>
      <c r="HG341">
        <v>0</v>
      </c>
      <c r="HK341" t="s">
        <v>1042</v>
      </c>
      <c r="HM341" t="s">
        <v>1047</v>
      </c>
      <c r="HN341">
        <v>0</v>
      </c>
      <c r="HP341">
        <v>0</v>
      </c>
      <c r="HQ341">
        <v>0</v>
      </c>
      <c r="HR341" s="20">
        <v>44221</v>
      </c>
      <c r="HS341" t="s">
        <v>1043</v>
      </c>
      <c r="HT341">
        <v>0</v>
      </c>
      <c r="HU341">
        <v>0</v>
      </c>
      <c r="HW341">
        <v>0</v>
      </c>
      <c r="HX341">
        <v>0</v>
      </c>
      <c r="HY341">
        <v>0</v>
      </c>
      <c r="HZ341" t="s">
        <v>1045</v>
      </c>
      <c r="IA341">
        <v>0</v>
      </c>
      <c r="IB341" t="s">
        <v>1045</v>
      </c>
      <c r="ID341" t="s">
        <v>1045</v>
      </c>
      <c r="IF341">
        <v>0</v>
      </c>
      <c r="IG341" t="s">
        <v>1042</v>
      </c>
      <c r="II341" t="s">
        <v>1042</v>
      </c>
      <c r="IR341" t="s">
        <v>1045</v>
      </c>
      <c r="IT341">
        <v>0</v>
      </c>
      <c r="IY341" t="s">
        <v>1044</v>
      </c>
      <c r="IZ341" t="s">
        <v>1043</v>
      </c>
      <c r="JC341" t="s">
        <v>1043</v>
      </c>
      <c r="JE341">
        <v>0</v>
      </c>
      <c r="JF341">
        <v>0</v>
      </c>
      <c r="JI341" t="s">
        <v>1042</v>
      </c>
      <c r="JJ341">
        <v>0</v>
      </c>
      <c r="JK341">
        <v>0</v>
      </c>
      <c r="JL341">
        <v>0</v>
      </c>
      <c r="JM341">
        <v>0</v>
      </c>
      <c r="JQ341" t="s">
        <v>1043</v>
      </c>
      <c r="JT341">
        <v>0</v>
      </c>
      <c r="JU341" t="s">
        <v>1042</v>
      </c>
      <c r="JW341">
        <v>0</v>
      </c>
      <c r="KA341">
        <v>0</v>
      </c>
      <c r="KF341">
        <v>0</v>
      </c>
      <c r="KG341">
        <v>0</v>
      </c>
      <c r="KH341">
        <v>0</v>
      </c>
      <c r="KI341">
        <v>0</v>
      </c>
      <c r="KS341" t="s">
        <v>1073</v>
      </c>
      <c r="KT341">
        <v>0</v>
      </c>
      <c r="KU341">
        <v>0</v>
      </c>
      <c r="KV341">
        <v>0</v>
      </c>
      <c r="KX341">
        <v>0</v>
      </c>
      <c r="KZ341">
        <v>0</v>
      </c>
      <c r="LF341">
        <v>0</v>
      </c>
      <c r="LH341">
        <v>0</v>
      </c>
      <c r="LI341">
        <v>0</v>
      </c>
    </row>
    <row r="342" spans="1:321" x14ac:dyDescent="0.35">
      <c r="A342">
        <v>1</v>
      </c>
      <c r="B342">
        <v>12558</v>
      </c>
      <c r="C342" t="s">
        <v>1352</v>
      </c>
      <c r="D342" t="s">
        <v>1139</v>
      </c>
      <c r="E342" t="s">
        <v>85</v>
      </c>
      <c r="F342">
        <v>80</v>
      </c>
      <c r="G342">
        <v>9000</v>
      </c>
      <c r="H342">
        <v>0</v>
      </c>
      <c r="I342" t="s">
        <v>1351</v>
      </c>
      <c r="L342">
        <v>0</v>
      </c>
      <c r="M342">
        <v>3.25</v>
      </c>
      <c r="N342">
        <v>0</v>
      </c>
      <c r="R342">
        <v>0</v>
      </c>
      <c r="S342">
        <v>0</v>
      </c>
      <c r="W342" t="s">
        <v>1060</v>
      </c>
      <c r="X342">
        <v>0</v>
      </c>
      <c r="Z342">
        <v>1</v>
      </c>
      <c r="AA342">
        <v>0</v>
      </c>
      <c r="AB342">
        <v>0</v>
      </c>
      <c r="AC342">
        <v>29.02</v>
      </c>
      <c r="AD342" s="20">
        <v>41029</v>
      </c>
      <c r="AE342">
        <v>32.979999999999997</v>
      </c>
      <c r="AF342">
        <v>0</v>
      </c>
      <c r="AH342">
        <v>0</v>
      </c>
      <c r="AJ342">
        <v>0</v>
      </c>
      <c r="AL342">
        <v>1</v>
      </c>
      <c r="AM342">
        <v>0</v>
      </c>
      <c r="AN342">
        <v>16601001</v>
      </c>
      <c r="AO342">
        <v>0</v>
      </c>
      <c r="AP342">
        <v>1000</v>
      </c>
      <c r="AT342">
        <v>0</v>
      </c>
      <c r="AU342" t="s">
        <v>1059</v>
      </c>
      <c r="AW342" t="s">
        <v>1053</v>
      </c>
      <c r="AX342">
        <v>0</v>
      </c>
      <c r="AY342" s="20">
        <v>41029</v>
      </c>
      <c r="BA342" s="20">
        <v>40794</v>
      </c>
      <c r="BB342" t="s">
        <v>1058</v>
      </c>
      <c r="BD342">
        <v>0</v>
      </c>
      <c r="BF342" t="s">
        <v>1043</v>
      </c>
      <c r="BG342" t="s">
        <v>1042</v>
      </c>
      <c r="BH342">
        <v>0</v>
      </c>
      <c r="BI342">
        <v>1</v>
      </c>
      <c r="BJ342">
        <v>0</v>
      </c>
      <c r="BK342">
        <v>0</v>
      </c>
      <c r="BM342" t="s">
        <v>1042</v>
      </c>
      <c r="BN342">
        <v>0</v>
      </c>
      <c r="BR342" t="s">
        <v>1043</v>
      </c>
      <c r="BS342" t="s">
        <v>1043</v>
      </c>
      <c r="BT342" t="s">
        <v>1043</v>
      </c>
      <c r="BW342">
        <v>83</v>
      </c>
      <c r="CA342">
        <v>0</v>
      </c>
      <c r="CB342" t="s">
        <v>1057</v>
      </c>
      <c r="CE342" t="s">
        <v>1043</v>
      </c>
      <c r="CH342" t="s">
        <v>1043</v>
      </c>
      <c r="CN342" t="s">
        <v>1056</v>
      </c>
      <c r="CO342" t="s">
        <v>1043</v>
      </c>
      <c r="CP342">
        <v>1</v>
      </c>
      <c r="CQ342">
        <v>0</v>
      </c>
      <c r="CS342">
        <v>0</v>
      </c>
      <c r="CT342">
        <v>0</v>
      </c>
      <c r="CU342">
        <v>0</v>
      </c>
      <c r="CV342" t="s">
        <v>1045</v>
      </c>
      <c r="CW342">
        <v>0</v>
      </c>
      <c r="CX342">
        <v>0</v>
      </c>
      <c r="CY342">
        <v>0</v>
      </c>
      <c r="CZ342">
        <v>0</v>
      </c>
      <c r="DB342">
        <v>0</v>
      </c>
      <c r="DC342" t="s">
        <v>1043</v>
      </c>
      <c r="DF342" t="s">
        <v>1055</v>
      </c>
      <c r="DH342">
        <v>0</v>
      </c>
      <c r="DJ342">
        <v>0</v>
      </c>
      <c r="DK342" t="s">
        <v>1053</v>
      </c>
      <c r="DL342">
        <v>0</v>
      </c>
      <c r="DN342">
        <v>0</v>
      </c>
      <c r="DO342" t="s">
        <v>1042</v>
      </c>
      <c r="DP342">
        <v>0</v>
      </c>
      <c r="DQ342">
        <v>0</v>
      </c>
      <c r="DS342">
        <v>0</v>
      </c>
      <c r="DU342">
        <v>0</v>
      </c>
      <c r="DW342">
        <v>0</v>
      </c>
      <c r="DX342" t="s">
        <v>1043</v>
      </c>
      <c r="DY342">
        <v>0</v>
      </c>
      <c r="DZ342">
        <v>0</v>
      </c>
      <c r="EA342">
        <v>0</v>
      </c>
      <c r="ED342" t="s">
        <v>1045</v>
      </c>
      <c r="EE342">
        <v>0</v>
      </c>
      <c r="EF342">
        <v>0</v>
      </c>
      <c r="EQ342" t="s">
        <v>1044</v>
      </c>
      <c r="ES342" t="s">
        <v>1053</v>
      </c>
      <c r="ET342">
        <v>0</v>
      </c>
      <c r="EV342">
        <v>0</v>
      </c>
      <c r="EY342" t="s">
        <v>1052</v>
      </c>
      <c r="EZ342">
        <v>0</v>
      </c>
      <c r="FA342" t="s">
        <v>1043</v>
      </c>
      <c r="FB342">
        <v>0</v>
      </c>
      <c r="FC342">
        <v>0</v>
      </c>
      <c r="FE342" t="s">
        <v>1050</v>
      </c>
      <c r="FF342">
        <v>0</v>
      </c>
      <c r="FG342" t="s">
        <v>1050</v>
      </c>
      <c r="FJ342">
        <v>0</v>
      </c>
      <c r="FK342">
        <v>0</v>
      </c>
      <c r="FP342">
        <v>0</v>
      </c>
      <c r="FR342">
        <v>0</v>
      </c>
      <c r="FS342" t="s">
        <v>1043</v>
      </c>
      <c r="FX342" t="s">
        <v>1042</v>
      </c>
      <c r="FZ342" t="s">
        <v>1048</v>
      </c>
      <c r="GA342">
        <v>0</v>
      </c>
      <c r="GB342" t="s">
        <v>1042</v>
      </c>
      <c r="GE342">
        <v>0</v>
      </c>
      <c r="GG342">
        <v>0</v>
      </c>
      <c r="GN342">
        <v>0</v>
      </c>
      <c r="GO342" t="s">
        <v>1063</v>
      </c>
      <c r="GQ342">
        <v>0</v>
      </c>
      <c r="GU342">
        <v>0</v>
      </c>
      <c r="GY342" t="s">
        <v>1045</v>
      </c>
      <c r="HB342">
        <v>0</v>
      </c>
      <c r="HE342">
        <v>0</v>
      </c>
      <c r="HF342">
        <v>0</v>
      </c>
      <c r="HG342">
        <v>0</v>
      </c>
      <c r="HK342" t="s">
        <v>1042</v>
      </c>
      <c r="HM342" t="s">
        <v>1047</v>
      </c>
      <c r="HN342">
        <v>0</v>
      </c>
      <c r="HP342">
        <v>0</v>
      </c>
      <c r="HQ342">
        <v>0</v>
      </c>
      <c r="HR342" s="20">
        <v>44221</v>
      </c>
      <c r="HS342" t="s">
        <v>1043</v>
      </c>
      <c r="HT342">
        <v>0</v>
      </c>
      <c r="HU342">
        <v>0</v>
      </c>
      <c r="HW342">
        <v>0</v>
      </c>
      <c r="HX342">
        <v>0</v>
      </c>
      <c r="HY342">
        <v>0</v>
      </c>
      <c r="HZ342" t="s">
        <v>1045</v>
      </c>
      <c r="IA342">
        <v>0</v>
      </c>
      <c r="IB342" t="s">
        <v>1045</v>
      </c>
      <c r="ID342" t="s">
        <v>1045</v>
      </c>
      <c r="IF342">
        <v>0</v>
      </c>
      <c r="IG342" t="s">
        <v>1042</v>
      </c>
      <c r="II342" t="s">
        <v>1042</v>
      </c>
      <c r="IR342" t="s">
        <v>1045</v>
      </c>
      <c r="IT342">
        <v>0</v>
      </c>
      <c r="IY342" t="s">
        <v>1044</v>
      </c>
      <c r="IZ342" t="s">
        <v>1043</v>
      </c>
      <c r="JC342" t="s">
        <v>1043</v>
      </c>
      <c r="JE342">
        <v>0</v>
      </c>
      <c r="JF342">
        <v>0</v>
      </c>
      <c r="JI342" t="s">
        <v>1042</v>
      </c>
      <c r="JJ342">
        <v>0</v>
      </c>
      <c r="JK342">
        <v>0</v>
      </c>
      <c r="JL342">
        <v>0</v>
      </c>
      <c r="JM342">
        <v>0</v>
      </c>
      <c r="JQ342" t="s">
        <v>1043</v>
      </c>
      <c r="JT342">
        <v>0</v>
      </c>
      <c r="JU342" t="s">
        <v>1042</v>
      </c>
      <c r="JW342">
        <v>0</v>
      </c>
      <c r="KA342">
        <v>0</v>
      </c>
      <c r="KF342">
        <v>0</v>
      </c>
      <c r="KG342">
        <v>0</v>
      </c>
      <c r="KH342">
        <v>0</v>
      </c>
      <c r="KI342">
        <v>0</v>
      </c>
      <c r="KS342" t="s">
        <v>1073</v>
      </c>
      <c r="KT342">
        <v>0</v>
      </c>
      <c r="KU342">
        <v>0</v>
      </c>
      <c r="KV342">
        <v>0</v>
      </c>
      <c r="KX342">
        <v>0</v>
      </c>
      <c r="KZ342">
        <v>0</v>
      </c>
      <c r="LF342">
        <v>0</v>
      </c>
      <c r="LH342">
        <v>0</v>
      </c>
      <c r="LI342">
        <v>0</v>
      </c>
    </row>
    <row r="343" spans="1:321" x14ac:dyDescent="0.35">
      <c r="A343">
        <v>1</v>
      </c>
      <c r="B343">
        <v>12559</v>
      </c>
      <c r="C343" t="s">
        <v>1350</v>
      </c>
      <c r="D343" t="s">
        <v>1139</v>
      </c>
      <c r="E343" t="s">
        <v>85</v>
      </c>
      <c r="F343">
        <v>80</v>
      </c>
      <c r="G343">
        <v>9000</v>
      </c>
      <c r="H343">
        <v>0</v>
      </c>
      <c r="I343" t="s">
        <v>1050</v>
      </c>
      <c r="L343">
        <v>0</v>
      </c>
      <c r="M343">
        <v>0</v>
      </c>
      <c r="N343">
        <v>0</v>
      </c>
      <c r="R343">
        <v>0</v>
      </c>
      <c r="S343">
        <v>0</v>
      </c>
      <c r="W343" t="s">
        <v>1060</v>
      </c>
      <c r="X343">
        <v>0</v>
      </c>
      <c r="Z343">
        <v>1</v>
      </c>
      <c r="AA343">
        <v>0</v>
      </c>
      <c r="AB343">
        <v>0</v>
      </c>
      <c r="AC343">
        <v>0</v>
      </c>
      <c r="AD343" s="20">
        <v>40794</v>
      </c>
      <c r="AE343">
        <v>117.9</v>
      </c>
      <c r="AF343">
        <v>0</v>
      </c>
      <c r="AH343">
        <v>0</v>
      </c>
      <c r="AJ343">
        <v>0</v>
      </c>
      <c r="AL343">
        <v>0</v>
      </c>
      <c r="AM343">
        <v>0</v>
      </c>
      <c r="AN343">
        <v>16601001</v>
      </c>
      <c r="AO343">
        <v>0</v>
      </c>
      <c r="AP343">
        <v>1000</v>
      </c>
      <c r="AT343">
        <v>0</v>
      </c>
      <c r="AU343" t="s">
        <v>1059</v>
      </c>
      <c r="AW343" t="s">
        <v>1053</v>
      </c>
      <c r="AX343">
        <v>0</v>
      </c>
      <c r="AY343" s="20">
        <v>40794</v>
      </c>
      <c r="BA343" s="20">
        <v>40794</v>
      </c>
      <c r="BB343" t="s">
        <v>1058</v>
      </c>
      <c r="BD343">
        <v>0</v>
      </c>
      <c r="BF343" t="s">
        <v>1043</v>
      </c>
      <c r="BG343" t="s">
        <v>1042</v>
      </c>
      <c r="BH343">
        <v>0</v>
      </c>
      <c r="BI343">
        <v>1</v>
      </c>
      <c r="BJ343">
        <v>0</v>
      </c>
      <c r="BK343">
        <v>0</v>
      </c>
      <c r="BM343" t="s">
        <v>1042</v>
      </c>
      <c r="BN343">
        <v>0</v>
      </c>
      <c r="BR343" t="s">
        <v>1043</v>
      </c>
      <c r="BS343" t="s">
        <v>1043</v>
      </c>
      <c r="BT343" t="s">
        <v>1043</v>
      </c>
      <c r="BW343">
        <v>83</v>
      </c>
      <c r="CA343">
        <v>0</v>
      </c>
      <c r="CB343" t="s">
        <v>1057</v>
      </c>
      <c r="CE343" t="s">
        <v>1043</v>
      </c>
      <c r="CH343" t="s">
        <v>1043</v>
      </c>
      <c r="CN343" t="s">
        <v>1056</v>
      </c>
      <c r="CO343" t="s">
        <v>1043</v>
      </c>
      <c r="CP343">
        <v>1</v>
      </c>
      <c r="CQ343">
        <v>0</v>
      </c>
      <c r="CS343">
        <v>0</v>
      </c>
      <c r="CT343">
        <v>0</v>
      </c>
      <c r="CU343">
        <v>0</v>
      </c>
      <c r="CV343" t="s">
        <v>1045</v>
      </c>
      <c r="CW343">
        <v>0</v>
      </c>
      <c r="CX343">
        <v>0</v>
      </c>
      <c r="CY343">
        <v>0</v>
      </c>
      <c r="CZ343">
        <v>0</v>
      </c>
      <c r="DB343">
        <v>0</v>
      </c>
      <c r="DC343" t="s">
        <v>1043</v>
      </c>
      <c r="DF343" t="s">
        <v>1055</v>
      </c>
      <c r="DH343">
        <v>0</v>
      </c>
      <c r="DJ343">
        <v>0</v>
      </c>
      <c r="DK343" t="s">
        <v>1053</v>
      </c>
      <c r="DL343">
        <v>0</v>
      </c>
      <c r="DN343">
        <v>0</v>
      </c>
      <c r="DO343" t="s">
        <v>1042</v>
      </c>
      <c r="DP343">
        <v>0</v>
      </c>
      <c r="DQ343">
        <v>0</v>
      </c>
      <c r="DS343">
        <v>0</v>
      </c>
      <c r="DU343">
        <v>0</v>
      </c>
      <c r="DW343">
        <v>0</v>
      </c>
      <c r="DX343" t="s">
        <v>1043</v>
      </c>
      <c r="DY343">
        <v>0</v>
      </c>
      <c r="DZ343">
        <v>0</v>
      </c>
      <c r="EA343">
        <v>0</v>
      </c>
      <c r="ED343" t="s">
        <v>1045</v>
      </c>
      <c r="EE343">
        <v>0</v>
      </c>
      <c r="EF343">
        <v>0</v>
      </c>
      <c r="EQ343" t="s">
        <v>1044</v>
      </c>
      <c r="ES343" t="s">
        <v>1053</v>
      </c>
      <c r="ET343">
        <v>0</v>
      </c>
      <c r="EV343">
        <v>0</v>
      </c>
      <c r="EY343" t="s">
        <v>1052</v>
      </c>
      <c r="EZ343">
        <v>0</v>
      </c>
      <c r="FA343" t="s">
        <v>1043</v>
      </c>
      <c r="FB343">
        <v>0</v>
      </c>
      <c r="FC343">
        <v>0</v>
      </c>
      <c r="FE343" t="s">
        <v>1050</v>
      </c>
      <c r="FF343">
        <v>0</v>
      </c>
      <c r="FG343" t="s">
        <v>1050</v>
      </c>
      <c r="FJ343">
        <v>0</v>
      </c>
      <c r="FK343">
        <v>0</v>
      </c>
      <c r="FP343">
        <v>0</v>
      </c>
      <c r="FR343">
        <v>0</v>
      </c>
      <c r="FS343" t="s">
        <v>1043</v>
      </c>
      <c r="FX343" t="s">
        <v>1042</v>
      </c>
      <c r="FZ343" t="s">
        <v>1048</v>
      </c>
      <c r="GA343">
        <v>0</v>
      </c>
      <c r="GB343" t="s">
        <v>1042</v>
      </c>
      <c r="GE343">
        <v>0</v>
      </c>
      <c r="GG343">
        <v>0</v>
      </c>
      <c r="GN343">
        <v>0</v>
      </c>
      <c r="GO343" t="s">
        <v>1063</v>
      </c>
      <c r="GQ343">
        <v>0</v>
      </c>
      <c r="GU343">
        <v>0</v>
      </c>
      <c r="GY343" t="s">
        <v>1045</v>
      </c>
      <c r="HB343">
        <v>0</v>
      </c>
      <c r="HE343">
        <v>0</v>
      </c>
      <c r="HF343">
        <v>0</v>
      </c>
      <c r="HG343">
        <v>0</v>
      </c>
      <c r="HK343" t="s">
        <v>1042</v>
      </c>
      <c r="HM343" t="s">
        <v>1047</v>
      </c>
      <c r="HN343">
        <v>0</v>
      </c>
      <c r="HP343">
        <v>0</v>
      </c>
      <c r="HQ343">
        <v>0</v>
      </c>
      <c r="HR343" t="s">
        <v>1042</v>
      </c>
      <c r="HS343" t="s">
        <v>1043</v>
      </c>
      <c r="HT343">
        <v>0</v>
      </c>
      <c r="HU343">
        <v>0</v>
      </c>
      <c r="HW343">
        <v>0</v>
      </c>
      <c r="HX343">
        <v>0</v>
      </c>
      <c r="HY343">
        <v>0</v>
      </c>
      <c r="HZ343" t="s">
        <v>1045</v>
      </c>
      <c r="IA343">
        <v>0</v>
      </c>
      <c r="IB343" t="s">
        <v>1045</v>
      </c>
      <c r="ID343" t="s">
        <v>1045</v>
      </c>
      <c r="IF343">
        <v>0</v>
      </c>
      <c r="IG343" t="s">
        <v>1042</v>
      </c>
      <c r="II343" t="s">
        <v>1042</v>
      </c>
      <c r="IR343" t="s">
        <v>1045</v>
      </c>
      <c r="IT343">
        <v>0</v>
      </c>
      <c r="IY343" t="s">
        <v>1044</v>
      </c>
      <c r="IZ343" t="s">
        <v>1043</v>
      </c>
      <c r="JC343" t="s">
        <v>1043</v>
      </c>
      <c r="JE343">
        <v>0</v>
      </c>
      <c r="JF343">
        <v>0</v>
      </c>
      <c r="JI343" t="s">
        <v>1042</v>
      </c>
      <c r="JJ343">
        <v>0</v>
      </c>
      <c r="JK343">
        <v>0</v>
      </c>
      <c r="JL343">
        <v>0</v>
      </c>
      <c r="JM343">
        <v>0</v>
      </c>
      <c r="JQ343" t="s">
        <v>1043</v>
      </c>
      <c r="JT343">
        <v>0</v>
      </c>
      <c r="JU343" t="s">
        <v>1042</v>
      </c>
      <c r="JW343">
        <v>0</v>
      </c>
      <c r="KA343">
        <v>0</v>
      </c>
      <c r="KF343">
        <v>0</v>
      </c>
      <c r="KG343">
        <v>0</v>
      </c>
      <c r="KH343">
        <v>0</v>
      </c>
      <c r="KI343">
        <v>0</v>
      </c>
      <c r="KS343" t="s">
        <v>1073</v>
      </c>
      <c r="KT343">
        <v>0</v>
      </c>
      <c r="KU343">
        <v>0</v>
      </c>
      <c r="KV343">
        <v>0</v>
      </c>
      <c r="KX343">
        <v>0</v>
      </c>
      <c r="KZ343">
        <v>0</v>
      </c>
      <c r="LF343">
        <v>0</v>
      </c>
      <c r="LH343">
        <v>0</v>
      </c>
      <c r="LI343">
        <v>0</v>
      </c>
    </row>
    <row r="344" spans="1:321" x14ac:dyDescent="0.35">
      <c r="A344">
        <v>1</v>
      </c>
      <c r="B344">
        <v>1256</v>
      </c>
      <c r="C344" t="s">
        <v>644</v>
      </c>
      <c r="D344" t="s">
        <v>1061</v>
      </c>
      <c r="E344" t="s">
        <v>85</v>
      </c>
      <c r="F344">
        <v>1</v>
      </c>
      <c r="G344">
        <v>240</v>
      </c>
      <c r="H344">
        <v>0</v>
      </c>
      <c r="I344" t="s">
        <v>994</v>
      </c>
      <c r="L344">
        <v>0</v>
      </c>
      <c r="M344">
        <v>0</v>
      </c>
      <c r="N344">
        <v>0</v>
      </c>
      <c r="P344">
        <v>13</v>
      </c>
      <c r="Q344">
        <v>516</v>
      </c>
      <c r="R344">
        <v>0</v>
      </c>
      <c r="S344">
        <v>0</v>
      </c>
      <c r="W344" t="s">
        <v>1060</v>
      </c>
      <c r="X344">
        <v>0</v>
      </c>
      <c r="Z344">
        <v>10</v>
      </c>
      <c r="AA344">
        <v>45.928400000000003</v>
      </c>
      <c r="AB344">
        <v>613</v>
      </c>
      <c r="AC344">
        <v>0.46</v>
      </c>
      <c r="AD344" t="s">
        <v>1042</v>
      </c>
      <c r="AE344">
        <v>0</v>
      </c>
      <c r="AF344">
        <v>0.15359999999999999</v>
      </c>
      <c r="AH344">
        <v>48</v>
      </c>
      <c r="AJ344">
        <v>0</v>
      </c>
      <c r="AL344">
        <v>3060</v>
      </c>
      <c r="AM344">
        <v>720</v>
      </c>
      <c r="AN344">
        <v>11501001</v>
      </c>
      <c r="AO344">
        <v>0</v>
      </c>
      <c r="AP344">
        <v>1002</v>
      </c>
      <c r="AT344">
        <v>0</v>
      </c>
      <c r="AU344" t="s">
        <v>1059</v>
      </c>
      <c r="AW344" t="s">
        <v>1053</v>
      </c>
      <c r="AX344">
        <v>0</v>
      </c>
      <c r="AY344" s="20">
        <v>43274</v>
      </c>
      <c r="BA344" s="20">
        <v>44274</v>
      </c>
      <c r="BB344" t="s">
        <v>1058</v>
      </c>
      <c r="BD344">
        <v>0</v>
      </c>
      <c r="BF344" t="s">
        <v>1044</v>
      </c>
      <c r="BG344" s="20">
        <v>41491</v>
      </c>
      <c r="BH344">
        <v>0</v>
      </c>
      <c r="BI344">
        <v>21</v>
      </c>
      <c r="BJ344">
        <v>0</v>
      </c>
      <c r="BK344">
        <v>0</v>
      </c>
      <c r="BM344" s="20">
        <v>41494</v>
      </c>
      <c r="BN344">
        <v>0</v>
      </c>
      <c r="BO344">
        <v>7897801312578</v>
      </c>
      <c r="BR344" t="s">
        <v>1043</v>
      </c>
      <c r="BS344" t="s">
        <v>1043</v>
      </c>
      <c r="BT344" t="s">
        <v>1043</v>
      </c>
      <c r="BV344">
        <v>1</v>
      </c>
      <c r="BW344">
        <v>2</v>
      </c>
      <c r="BY344">
        <v>69</v>
      </c>
      <c r="CA344">
        <v>0</v>
      </c>
      <c r="CB344" t="s">
        <v>1057</v>
      </c>
      <c r="CE344" t="s">
        <v>1043</v>
      </c>
      <c r="CH344" t="s">
        <v>1043</v>
      </c>
      <c r="CN344" t="s">
        <v>1056</v>
      </c>
      <c r="CO344" t="s">
        <v>1043</v>
      </c>
      <c r="CP344">
        <v>1</v>
      </c>
      <c r="CQ344">
        <v>10</v>
      </c>
      <c r="CS344">
        <v>0</v>
      </c>
      <c r="CT344">
        <v>0</v>
      </c>
      <c r="CU344">
        <v>0</v>
      </c>
      <c r="CV344" t="s">
        <v>1045</v>
      </c>
      <c r="CW344">
        <v>0</v>
      </c>
      <c r="CX344">
        <v>0</v>
      </c>
      <c r="CY344">
        <v>0</v>
      </c>
      <c r="CZ344">
        <v>0</v>
      </c>
      <c r="DA344">
        <v>5</v>
      </c>
      <c r="DB344">
        <v>10000</v>
      </c>
      <c r="DC344" t="s">
        <v>1043</v>
      </c>
      <c r="DF344" t="s">
        <v>1055</v>
      </c>
      <c r="DH344">
        <v>0</v>
      </c>
      <c r="DJ344">
        <v>0</v>
      </c>
      <c r="DK344" t="s">
        <v>1053</v>
      </c>
      <c r="DL344">
        <v>0</v>
      </c>
      <c r="DN344">
        <v>0</v>
      </c>
      <c r="DO344" t="s">
        <v>1042</v>
      </c>
      <c r="DP344">
        <v>0</v>
      </c>
      <c r="DQ344">
        <v>0</v>
      </c>
      <c r="DS344">
        <v>0</v>
      </c>
      <c r="DU344">
        <v>0</v>
      </c>
      <c r="DW344">
        <v>0</v>
      </c>
      <c r="DX344" t="s">
        <v>1043</v>
      </c>
      <c r="DY344">
        <v>0</v>
      </c>
      <c r="DZ344">
        <v>0</v>
      </c>
      <c r="EA344">
        <v>0</v>
      </c>
      <c r="EB344">
        <v>17897801312575</v>
      </c>
      <c r="ED344" t="s">
        <v>1045</v>
      </c>
      <c r="EE344">
        <v>0</v>
      </c>
      <c r="EF344">
        <v>0</v>
      </c>
      <c r="EL344">
        <v>57897801312573</v>
      </c>
      <c r="EN344" t="s">
        <v>1012</v>
      </c>
      <c r="EO344" t="s">
        <v>1044</v>
      </c>
      <c r="EQ344" t="s">
        <v>1044</v>
      </c>
      <c r="ES344" t="s">
        <v>1053</v>
      </c>
      <c r="ET344">
        <v>0</v>
      </c>
      <c r="EV344">
        <v>0</v>
      </c>
      <c r="EY344" t="s">
        <v>1052</v>
      </c>
      <c r="EZ344">
        <v>0</v>
      </c>
      <c r="FA344" t="s">
        <v>1043</v>
      </c>
      <c r="FB344">
        <v>0</v>
      </c>
      <c r="FC344">
        <v>0</v>
      </c>
      <c r="FD344" t="s">
        <v>1051</v>
      </c>
      <c r="FE344" t="s">
        <v>1050</v>
      </c>
      <c r="FF344">
        <v>0</v>
      </c>
      <c r="FG344" t="s">
        <v>1050</v>
      </c>
      <c r="FH344">
        <v>27897801312572</v>
      </c>
      <c r="FJ344">
        <v>0</v>
      </c>
      <c r="FK344">
        <v>0</v>
      </c>
      <c r="FP344">
        <v>0</v>
      </c>
      <c r="FR344">
        <v>0</v>
      </c>
      <c r="FS344" t="s">
        <v>1043</v>
      </c>
      <c r="FX344" t="s">
        <v>1042</v>
      </c>
      <c r="FZ344" t="s">
        <v>1048</v>
      </c>
      <c r="GA344">
        <v>0</v>
      </c>
      <c r="GB344" t="s">
        <v>1042</v>
      </c>
      <c r="GD344">
        <v>16</v>
      </c>
      <c r="GE344">
        <v>0</v>
      </c>
      <c r="GG344">
        <v>0</v>
      </c>
      <c r="GN344">
        <v>0</v>
      </c>
      <c r="GO344" t="s">
        <v>1049</v>
      </c>
      <c r="GQ344">
        <v>0</v>
      </c>
      <c r="GU344">
        <v>0</v>
      </c>
      <c r="GY344" t="s">
        <v>1045</v>
      </c>
      <c r="HB344">
        <v>0</v>
      </c>
      <c r="HE344">
        <v>30</v>
      </c>
      <c r="HF344">
        <v>0</v>
      </c>
      <c r="HG344">
        <v>3.5279999999999999E-2</v>
      </c>
      <c r="HK344" t="s">
        <v>1042</v>
      </c>
      <c r="HL344" t="s">
        <v>1048</v>
      </c>
      <c r="HM344" t="s">
        <v>1047</v>
      </c>
      <c r="HN344">
        <v>0</v>
      </c>
      <c r="HO344">
        <v>27</v>
      </c>
      <c r="HP344">
        <v>4.8500000000000001E-2</v>
      </c>
      <c r="HQ344">
        <v>0</v>
      </c>
      <c r="HR344" t="s">
        <v>1042</v>
      </c>
      <c r="HS344" t="s">
        <v>1043</v>
      </c>
      <c r="HT344">
        <v>0</v>
      </c>
      <c r="HU344">
        <v>0</v>
      </c>
      <c r="HW344">
        <v>0</v>
      </c>
      <c r="HX344">
        <v>1461</v>
      </c>
      <c r="HY344">
        <v>0</v>
      </c>
      <c r="HZ344" t="s">
        <v>1045</v>
      </c>
      <c r="IA344">
        <v>0</v>
      </c>
      <c r="IB344" t="s">
        <v>1045</v>
      </c>
      <c r="ID344" t="s">
        <v>1045</v>
      </c>
      <c r="IF344">
        <v>630</v>
      </c>
      <c r="IG344" s="20">
        <v>41493</v>
      </c>
      <c r="IH344" t="s">
        <v>1046</v>
      </c>
      <c r="II344" t="s">
        <v>1042</v>
      </c>
      <c r="IR344" t="s">
        <v>1045</v>
      </c>
      <c r="IT344">
        <v>0</v>
      </c>
      <c r="IY344" t="s">
        <v>1044</v>
      </c>
      <c r="IZ344" t="s">
        <v>1043</v>
      </c>
      <c r="JC344" t="s">
        <v>1043</v>
      </c>
      <c r="JE344">
        <v>0</v>
      </c>
      <c r="JF344">
        <v>0</v>
      </c>
      <c r="JI344" t="s">
        <v>1042</v>
      </c>
      <c r="JJ344">
        <v>0</v>
      </c>
      <c r="JK344">
        <v>0</v>
      </c>
      <c r="JL344">
        <v>0</v>
      </c>
      <c r="JM344">
        <v>0</v>
      </c>
      <c r="JQ344" t="s">
        <v>1043</v>
      </c>
      <c r="JT344">
        <v>0</v>
      </c>
      <c r="JU344" t="s">
        <v>1042</v>
      </c>
      <c r="JW344">
        <v>0</v>
      </c>
      <c r="KA344">
        <v>0</v>
      </c>
      <c r="KF344">
        <v>0</v>
      </c>
      <c r="KG344">
        <v>0</v>
      </c>
      <c r="KH344">
        <v>0</v>
      </c>
      <c r="KI344">
        <v>0</v>
      </c>
      <c r="KS344" t="s">
        <v>1041</v>
      </c>
      <c r="KT344">
        <v>0</v>
      </c>
      <c r="KU344">
        <v>0</v>
      </c>
      <c r="KV344">
        <v>0</v>
      </c>
      <c r="KX344">
        <v>0</v>
      </c>
      <c r="KZ344">
        <v>0</v>
      </c>
      <c r="LF344">
        <v>0</v>
      </c>
      <c r="LH344">
        <v>30240</v>
      </c>
      <c r="LI344">
        <v>0</v>
      </c>
    </row>
    <row r="345" spans="1:321" x14ac:dyDescent="0.35">
      <c r="A345">
        <v>1</v>
      </c>
      <c r="B345">
        <v>12560</v>
      </c>
      <c r="C345" t="s">
        <v>1349</v>
      </c>
      <c r="D345" t="s">
        <v>1139</v>
      </c>
      <c r="E345" t="s">
        <v>85</v>
      </c>
      <c r="F345">
        <v>80</v>
      </c>
      <c r="G345">
        <v>9000</v>
      </c>
      <c r="H345">
        <v>0</v>
      </c>
      <c r="I345" t="s">
        <v>1050</v>
      </c>
      <c r="L345">
        <v>0</v>
      </c>
      <c r="M345">
        <v>0</v>
      </c>
      <c r="N345">
        <v>0</v>
      </c>
      <c r="R345">
        <v>0</v>
      </c>
      <c r="S345">
        <v>0</v>
      </c>
      <c r="W345" t="s">
        <v>1060</v>
      </c>
      <c r="X345">
        <v>0</v>
      </c>
      <c r="Z345">
        <v>1</v>
      </c>
      <c r="AA345">
        <v>0</v>
      </c>
      <c r="AB345">
        <v>0</v>
      </c>
      <c r="AC345">
        <v>0</v>
      </c>
      <c r="AD345" s="20">
        <v>40794</v>
      </c>
      <c r="AE345">
        <v>29.48</v>
      </c>
      <c r="AF345">
        <v>0</v>
      </c>
      <c r="AH345">
        <v>0</v>
      </c>
      <c r="AJ345">
        <v>0</v>
      </c>
      <c r="AL345">
        <v>0</v>
      </c>
      <c r="AM345">
        <v>0</v>
      </c>
      <c r="AN345">
        <v>16601001</v>
      </c>
      <c r="AO345">
        <v>0</v>
      </c>
      <c r="AP345">
        <v>1000</v>
      </c>
      <c r="AT345">
        <v>0</v>
      </c>
      <c r="AU345" t="s">
        <v>1059</v>
      </c>
      <c r="AW345" t="s">
        <v>1053</v>
      </c>
      <c r="AX345">
        <v>0</v>
      </c>
      <c r="AY345" s="20">
        <v>40794</v>
      </c>
      <c r="BA345" s="20">
        <v>40794</v>
      </c>
      <c r="BB345" t="s">
        <v>1058</v>
      </c>
      <c r="BD345">
        <v>0</v>
      </c>
      <c r="BF345" t="s">
        <v>1043</v>
      </c>
      <c r="BG345" t="s">
        <v>1042</v>
      </c>
      <c r="BH345">
        <v>0</v>
      </c>
      <c r="BI345">
        <v>1</v>
      </c>
      <c r="BJ345">
        <v>0</v>
      </c>
      <c r="BK345">
        <v>0</v>
      </c>
      <c r="BM345" t="s">
        <v>1042</v>
      </c>
      <c r="BN345">
        <v>0</v>
      </c>
      <c r="BR345" t="s">
        <v>1043</v>
      </c>
      <c r="BS345" t="s">
        <v>1043</v>
      </c>
      <c r="BT345" t="s">
        <v>1043</v>
      </c>
      <c r="BW345">
        <v>83</v>
      </c>
      <c r="CA345">
        <v>0</v>
      </c>
      <c r="CB345" t="s">
        <v>1057</v>
      </c>
      <c r="CE345" t="s">
        <v>1043</v>
      </c>
      <c r="CH345" t="s">
        <v>1043</v>
      </c>
      <c r="CN345" t="s">
        <v>1056</v>
      </c>
      <c r="CO345" t="s">
        <v>1043</v>
      </c>
      <c r="CP345">
        <v>1</v>
      </c>
      <c r="CQ345">
        <v>0</v>
      </c>
      <c r="CS345">
        <v>0</v>
      </c>
      <c r="CT345">
        <v>0</v>
      </c>
      <c r="CU345">
        <v>0</v>
      </c>
      <c r="CV345" t="s">
        <v>1045</v>
      </c>
      <c r="CW345">
        <v>0</v>
      </c>
      <c r="CX345">
        <v>0</v>
      </c>
      <c r="CY345">
        <v>0</v>
      </c>
      <c r="CZ345">
        <v>0</v>
      </c>
      <c r="DB345">
        <v>0</v>
      </c>
      <c r="DC345" t="s">
        <v>1043</v>
      </c>
      <c r="DF345" t="s">
        <v>1055</v>
      </c>
      <c r="DH345">
        <v>0</v>
      </c>
      <c r="DJ345">
        <v>0</v>
      </c>
      <c r="DK345" t="s">
        <v>1053</v>
      </c>
      <c r="DL345">
        <v>0</v>
      </c>
      <c r="DN345">
        <v>0</v>
      </c>
      <c r="DO345" t="s">
        <v>1042</v>
      </c>
      <c r="DP345">
        <v>0</v>
      </c>
      <c r="DQ345">
        <v>0</v>
      </c>
      <c r="DS345">
        <v>0</v>
      </c>
      <c r="DU345">
        <v>0</v>
      </c>
      <c r="DW345">
        <v>0</v>
      </c>
      <c r="DX345" t="s">
        <v>1043</v>
      </c>
      <c r="DY345">
        <v>0</v>
      </c>
      <c r="DZ345">
        <v>0</v>
      </c>
      <c r="EA345">
        <v>0</v>
      </c>
      <c r="ED345" t="s">
        <v>1045</v>
      </c>
      <c r="EE345">
        <v>0</v>
      </c>
      <c r="EF345">
        <v>0</v>
      </c>
      <c r="EQ345" t="s">
        <v>1044</v>
      </c>
      <c r="ES345" t="s">
        <v>1053</v>
      </c>
      <c r="ET345">
        <v>0</v>
      </c>
      <c r="EV345">
        <v>0</v>
      </c>
      <c r="EY345" t="s">
        <v>1052</v>
      </c>
      <c r="EZ345">
        <v>0</v>
      </c>
      <c r="FA345" t="s">
        <v>1043</v>
      </c>
      <c r="FB345">
        <v>0</v>
      </c>
      <c r="FC345">
        <v>0</v>
      </c>
      <c r="FE345" t="s">
        <v>1050</v>
      </c>
      <c r="FF345">
        <v>0</v>
      </c>
      <c r="FG345" t="s">
        <v>1050</v>
      </c>
      <c r="FJ345">
        <v>0</v>
      </c>
      <c r="FK345">
        <v>0</v>
      </c>
      <c r="FP345">
        <v>0</v>
      </c>
      <c r="FR345">
        <v>0</v>
      </c>
      <c r="FS345" t="s">
        <v>1043</v>
      </c>
      <c r="FX345" t="s">
        <v>1042</v>
      </c>
      <c r="FZ345" t="s">
        <v>1048</v>
      </c>
      <c r="GA345">
        <v>0</v>
      </c>
      <c r="GB345" t="s">
        <v>1042</v>
      </c>
      <c r="GE345">
        <v>0</v>
      </c>
      <c r="GG345">
        <v>0</v>
      </c>
      <c r="GN345">
        <v>0</v>
      </c>
      <c r="GO345" t="s">
        <v>1063</v>
      </c>
      <c r="GQ345">
        <v>0</v>
      </c>
      <c r="GU345">
        <v>0</v>
      </c>
      <c r="GY345" t="s">
        <v>1045</v>
      </c>
      <c r="HB345">
        <v>0</v>
      </c>
      <c r="HE345">
        <v>0</v>
      </c>
      <c r="HF345">
        <v>0</v>
      </c>
      <c r="HG345">
        <v>0</v>
      </c>
      <c r="HK345" t="s">
        <v>1042</v>
      </c>
      <c r="HM345" t="s">
        <v>1047</v>
      </c>
      <c r="HN345">
        <v>0</v>
      </c>
      <c r="HP345">
        <v>0</v>
      </c>
      <c r="HQ345">
        <v>0</v>
      </c>
      <c r="HR345" t="s">
        <v>1042</v>
      </c>
      <c r="HS345" t="s">
        <v>1043</v>
      </c>
      <c r="HT345">
        <v>0</v>
      </c>
      <c r="HU345">
        <v>0</v>
      </c>
      <c r="HW345">
        <v>0</v>
      </c>
      <c r="HX345">
        <v>0</v>
      </c>
      <c r="HY345">
        <v>0</v>
      </c>
      <c r="HZ345" t="s">
        <v>1045</v>
      </c>
      <c r="IA345">
        <v>0</v>
      </c>
      <c r="IB345" t="s">
        <v>1045</v>
      </c>
      <c r="ID345" t="s">
        <v>1045</v>
      </c>
      <c r="IF345">
        <v>0</v>
      </c>
      <c r="IG345" t="s">
        <v>1042</v>
      </c>
      <c r="II345" t="s">
        <v>1042</v>
      </c>
      <c r="IR345" t="s">
        <v>1045</v>
      </c>
      <c r="IT345">
        <v>0</v>
      </c>
      <c r="IY345" t="s">
        <v>1044</v>
      </c>
      <c r="IZ345" t="s">
        <v>1043</v>
      </c>
      <c r="JC345" t="s">
        <v>1043</v>
      </c>
      <c r="JE345">
        <v>0</v>
      </c>
      <c r="JF345">
        <v>0</v>
      </c>
      <c r="JI345" t="s">
        <v>1042</v>
      </c>
      <c r="JJ345">
        <v>0</v>
      </c>
      <c r="JK345">
        <v>0</v>
      </c>
      <c r="JL345">
        <v>0</v>
      </c>
      <c r="JM345">
        <v>0</v>
      </c>
      <c r="JQ345" t="s">
        <v>1043</v>
      </c>
      <c r="JT345">
        <v>0</v>
      </c>
      <c r="JU345" t="s">
        <v>1042</v>
      </c>
      <c r="JW345">
        <v>0</v>
      </c>
      <c r="KA345">
        <v>0</v>
      </c>
      <c r="KF345">
        <v>0</v>
      </c>
      <c r="KG345">
        <v>0</v>
      </c>
      <c r="KH345">
        <v>0</v>
      </c>
      <c r="KI345">
        <v>0</v>
      </c>
      <c r="KS345" t="s">
        <v>1073</v>
      </c>
      <c r="KT345">
        <v>0</v>
      </c>
      <c r="KU345">
        <v>0</v>
      </c>
      <c r="KV345">
        <v>0</v>
      </c>
      <c r="KX345">
        <v>0</v>
      </c>
      <c r="KZ345">
        <v>0</v>
      </c>
      <c r="LF345">
        <v>0</v>
      </c>
      <c r="LH345">
        <v>0</v>
      </c>
      <c r="LI345">
        <v>0</v>
      </c>
    </row>
    <row r="346" spans="1:321" x14ac:dyDescent="0.35">
      <c r="A346">
        <v>1</v>
      </c>
      <c r="B346">
        <v>12561</v>
      </c>
      <c r="C346" t="s">
        <v>1348</v>
      </c>
      <c r="D346" t="s">
        <v>1139</v>
      </c>
      <c r="E346" t="s">
        <v>85</v>
      </c>
      <c r="F346">
        <v>80</v>
      </c>
      <c r="G346">
        <v>9000</v>
      </c>
      <c r="H346">
        <v>0</v>
      </c>
      <c r="I346" t="s">
        <v>1050</v>
      </c>
      <c r="L346">
        <v>0</v>
      </c>
      <c r="M346">
        <v>0</v>
      </c>
      <c r="N346">
        <v>0</v>
      </c>
      <c r="R346">
        <v>0</v>
      </c>
      <c r="S346">
        <v>0</v>
      </c>
      <c r="W346" t="s">
        <v>1060</v>
      </c>
      <c r="X346">
        <v>0</v>
      </c>
      <c r="Z346">
        <v>1</v>
      </c>
      <c r="AA346">
        <v>0</v>
      </c>
      <c r="AB346">
        <v>0</v>
      </c>
      <c r="AC346">
        <v>0</v>
      </c>
      <c r="AD346" s="20">
        <v>40794</v>
      </c>
      <c r="AE346">
        <v>3.2</v>
      </c>
      <c r="AF346">
        <v>0</v>
      </c>
      <c r="AH346">
        <v>0</v>
      </c>
      <c r="AJ346">
        <v>0</v>
      </c>
      <c r="AL346">
        <v>0</v>
      </c>
      <c r="AM346">
        <v>0</v>
      </c>
      <c r="AN346">
        <v>16601001</v>
      </c>
      <c r="AO346">
        <v>0</v>
      </c>
      <c r="AP346">
        <v>1000</v>
      </c>
      <c r="AT346">
        <v>0</v>
      </c>
      <c r="AU346" t="s">
        <v>1059</v>
      </c>
      <c r="AW346" t="s">
        <v>1053</v>
      </c>
      <c r="AX346">
        <v>0</v>
      </c>
      <c r="AY346" s="20">
        <v>40794</v>
      </c>
      <c r="BA346" s="20">
        <v>40794</v>
      </c>
      <c r="BB346" t="s">
        <v>1058</v>
      </c>
      <c r="BD346">
        <v>0</v>
      </c>
      <c r="BF346" t="s">
        <v>1043</v>
      </c>
      <c r="BG346" t="s">
        <v>1042</v>
      </c>
      <c r="BH346">
        <v>0</v>
      </c>
      <c r="BI346">
        <v>1</v>
      </c>
      <c r="BJ346">
        <v>0</v>
      </c>
      <c r="BK346">
        <v>0</v>
      </c>
      <c r="BM346" t="s">
        <v>1042</v>
      </c>
      <c r="BN346">
        <v>0</v>
      </c>
      <c r="BR346" t="s">
        <v>1043</v>
      </c>
      <c r="BS346" t="s">
        <v>1043</v>
      </c>
      <c r="BT346" t="s">
        <v>1043</v>
      </c>
      <c r="BW346">
        <v>83</v>
      </c>
      <c r="CA346">
        <v>0</v>
      </c>
      <c r="CB346" t="s">
        <v>1057</v>
      </c>
      <c r="CE346" t="s">
        <v>1043</v>
      </c>
      <c r="CH346" t="s">
        <v>1043</v>
      </c>
      <c r="CN346" t="s">
        <v>1056</v>
      </c>
      <c r="CO346" t="s">
        <v>1043</v>
      </c>
      <c r="CP346">
        <v>1</v>
      </c>
      <c r="CQ346">
        <v>0</v>
      </c>
      <c r="CS346">
        <v>0</v>
      </c>
      <c r="CT346">
        <v>0</v>
      </c>
      <c r="CU346">
        <v>0</v>
      </c>
      <c r="CV346" t="s">
        <v>1045</v>
      </c>
      <c r="CW346">
        <v>0</v>
      </c>
      <c r="CX346">
        <v>0</v>
      </c>
      <c r="CY346">
        <v>0</v>
      </c>
      <c r="CZ346">
        <v>0</v>
      </c>
      <c r="DB346">
        <v>0</v>
      </c>
      <c r="DC346" t="s">
        <v>1043</v>
      </c>
      <c r="DF346" t="s">
        <v>1055</v>
      </c>
      <c r="DH346">
        <v>0</v>
      </c>
      <c r="DJ346">
        <v>0</v>
      </c>
      <c r="DK346" t="s">
        <v>1053</v>
      </c>
      <c r="DL346">
        <v>0</v>
      </c>
      <c r="DN346">
        <v>0</v>
      </c>
      <c r="DO346" t="s">
        <v>1042</v>
      </c>
      <c r="DP346">
        <v>0</v>
      </c>
      <c r="DQ346">
        <v>0</v>
      </c>
      <c r="DS346">
        <v>0</v>
      </c>
      <c r="DU346">
        <v>0</v>
      </c>
      <c r="DW346">
        <v>0</v>
      </c>
      <c r="DX346" t="s">
        <v>1043</v>
      </c>
      <c r="DY346">
        <v>0</v>
      </c>
      <c r="DZ346">
        <v>0</v>
      </c>
      <c r="EA346">
        <v>0</v>
      </c>
      <c r="ED346" t="s">
        <v>1045</v>
      </c>
      <c r="EE346">
        <v>0</v>
      </c>
      <c r="EF346">
        <v>0</v>
      </c>
      <c r="EQ346" t="s">
        <v>1044</v>
      </c>
      <c r="ES346" t="s">
        <v>1053</v>
      </c>
      <c r="ET346">
        <v>0</v>
      </c>
      <c r="EV346">
        <v>0</v>
      </c>
      <c r="EY346" t="s">
        <v>1052</v>
      </c>
      <c r="EZ346">
        <v>0</v>
      </c>
      <c r="FA346" t="s">
        <v>1043</v>
      </c>
      <c r="FB346">
        <v>0</v>
      </c>
      <c r="FC346">
        <v>0</v>
      </c>
      <c r="FE346" t="s">
        <v>1050</v>
      </c>
      <c r="FF346">
        <v>0</v>
      </c>
      <c r="FG346" t="s">
        <v>1050</v>
      </c>
      <c r="FJ346">
        <v>0</v>
      </c>
      <c r="FK346">
        <v>0</v>
      </c>
      <c r="FP346">
        <v>0</v>
      </c>
      <c r="FR346">
        <v>0</v>
      </c>
      <c r="FS346" t="s">
        <v>1043</v>
      </c>
      <c r="FX346" t="s">
        <v>1042</v>
      </c>
      <c r="FZ346" t="s">
        <v>1048</v>
      </c>
      <c r="GA346">
        <v>0</v>
      </c>
      <c r="GB346" t="s">
        <v>1042</v>
      </c>
      <c r="GE346">
        <v>0</v>
      </c>
      <c r="GG346">
        <v>0</v>
      </c>
      <c r="GN346">
        <v>0</v>
      </c>
      <c r="GO346" t="s">
        <v>1063</v>
      </c>
      <c r="GQ346">
        <v>0</v>
      </c>
      <c r="GU346">
        <v>0</v>
      </c>
      <c r="GY346" t="s">
        <v>1045</v>
      </c>
      <c r="HB346">
        <v>0</v>
      </c>
      <c r="HE346">
        <v>0</v>
      </c>
      <c r="HF346">
        <v>0</v>
      </c>
      <c r="HG346">
        <v>0</v>
      </c>
      <c r="HK346" t="s">
        <v>1042</v>
      </c>
      <c r="HM346" t="s">
        <v>1047</v>
      </c>
      <c r="HN346">
        <v>0</v>
      </c>
      <c r="HP346">
        <v>0</v>
      </c>
      <c r="HQ346">
        <v>0</v>
      </c>
      <c r="HR346" t="s">
        <v>1042</v>
      </c>
      <c r="HS346" t="s">
        <v>1043</v>
      </c>
      <c r="HT346">
        <v>0</v>
      </c>
      <c r="HU346">
        <v>0</v>
      </c>
      <c r="HW346">
        <v>0</v>
      </c>
      <c r="HX346">
        <v>0</v>
      </c>
      <c r="HY346">
        <v>0</v>
      </c>
      <c r="HZ346" t="s">
        <v>1045</v>
      </c>
      <c r="IA346">
        <v>0</v>
      </c>
      <c r="IB346" t="s">
        <v>1045</v>
      </c>
      <c r="ID346" t="s">
        <v>1045</v>
      </c>
      <c r="IF346">
        <v>0</v>
      </c>
      <c r="IG346" t="s">
        <v>1042</v>
      </c>
      <c r="II346" t="s">
        <v>1042</v>
      </c>
      <c r="IR346" t="s">
        <v>1045</v>
      </c>
      <c r="IT346">
        <v>0</v>
      </c>
      <c r="IY346" t="s">
        <v>1044</v>
      </c>
      <c r="IZ346" t="s">
        <v>1043</v>
      </c>
      <c r="JC346" t="s">
        <v>1043</v>
      </c>
      <c r="JE346">
        <v>0</v>
      </c>
      <c r="JF346">
        <v>0</v>
      </c>
      <c r="JI346" t="s">
        <v>1042</v>
      </c>
      <c r="JJ346">
        <v>0</v>
      </c>
      <c r="JK346">
        <v>0</v>
      </c>
      <c r="JL346">
        <v>0</v>
      </c>
      <c r="JM346">
        <v>0</v>
      </c>
      <c r="JQ346" t="s">
        <v>1043</v>
      </c>
      <c r="JT346">
        <v>0</v>
      </c>
      <c r="JU346" t="s">
        <v>1042</v>
      </c>
      <c r="JW346">
        <v>0</v>
      </c>
      <c r="KA346">
        <v>0</v>
      </c>
      <c r="KF346">
        <v>0</v>
      </c>
      <c r="KG346">
        <v>0</v>
      </c>
      <c r="KH346">
        <v>0</v>
      </c>
      <c r="KI346">
        <v>0</v>
      </c>
      <c r="KS346" t="s">
        <v>1073</v>
      </c>
      <c r="KT346">
        <v>0</v>
      </c>
      <c r="KU346">
        <v>0</v>
      </c>
      <c r="KV346">
        <v>0</v>
      </c>
      <c r="KX346">
        <v>0</v>
      </c>
      <c r="KZ346">
        <v>0</v>
      </c>
      <c r="LF346">
        <v>0</v>
      </c>
      <c r="LH346">
        <v>0</v>
      </c>
      <c r="LI346">
        <v>0</v>
      </c>
    </row>
    <row r="347" spans="1:321" x14ac:dyDescent="0.35">
      <c r="A347">
        <v>1</v>
      </c>
      <c r="B347">
        <v>12562</v>
      </c>
      <c r="C347" t="s">
        <v>1347</v>
      </c>
      <c r="D347" t="s">
        <v>1139</v>
      </c>
      <c r="E347" t="s">
        <v>85</v>
      </c>
      <c r="F347">
        <v>80</v>
      </c>
      <c r="G347">
        <v>9000</v>
      </c>
      <c r="H347">
        <v>0</v>
      </c>
      <c r="I347" t="s">
        <v>1050</v>
      </c>
      <c r="L347">
        <v>0</v>
      </c>
      <c r="M347">
        <v>0</v>
      </c>
      <c r="N347">
        <v>0</v>
      </c>
      <c r="R347">
        <v>0</v>
      </c>
      <c r="S347">
        <v>0</v>
      </c>
      <c r="W347" t="s">
        <v>1060</v>
      </c>
      <c r="X347">
        <v>0</v>
      </c>
      <c r="Z347">
        <v>1</v>
      </c>
      <c r="AA347">
        <v>0</v>
      </c>
      <c r="AB347">
        <v>0</v>
      </c>
      <c r="AC347">
        <v>0</v>
      </c>
      <c r="AD347" s="20">
        <v>40794</v>
      </c>
      <c r="AE347">
        <v>37.19</v>
      </c>
      <c r="AF347">
        <v>0</v>
      </c>
      <c r="AH347">
        <v>0</v>
      </c>
      <c r="AJ347">
        <v>0</v>
      </c>
      <c r="AL347">
        <v>0</v>
      </c>
      <c r="AM347">
        <v>0</v>
      </c>
      <c r="AN347">
        <v>16601001</v>
      </c>
      <c r="AO347">
        <v>0</v>
      </c>
      <c r="AP347">
        <v>1000</v>
      </c>
      <c r="AT347">
        <v>0</v>
      </c>
      <c r="AU347" t="s">
        <v>1059</v>
      </c>
      <c r="AW347" t="s">
        <v>1053</v>
      </c>
      <c r="AX347">
        <v>0</v>
      </c>
      <c r="AY347" s="20">
        <v>40794</v>
      </c>
      <c r="BA347" s="20">
        <v>40794</v>
      </c>
      <c r="BB347" t="s">
        <v>1058</v>
      </c>
      <c r="BD347">
        <v>0</v>
      </c>
      <c r="BF347" t="s">
        <v>1043</v>
      </c>
      <c r="BG347" t="s">
        <v>1042</v>
      </c>
      <c r="BH347">
        <v>0</v>
      </c>
      <c r="BI347">
        <v>1</v>
      </c>
      <c r="BJ347">
        <v>0</v>
      </c>
      <c r="BK347">
        <v>0</v>
      </c>
      <c r="BM347" t="s">
        <v>1042</v>
      </c>
      <c r="BN347">
        <v>0</v>
      </c>
      <c r="BR347" t="s">
        <v>1043</v>
      </c>
      <c r="BS347" t="s">
        <v>1043</v>
      </c>
      <c r="BT347" t="s">
        <v>1043</v>
      </c>
      <c r="BW347">
        <v>83</v>
      </c>
      <c r="CA347">
        <v>0</v>
      </c>
      <c r="CB347" t="s">
        <v>1057</v>
      </c>
      <c r="CE347" t="s">
        <v>1043</v>
      </c>
      <c r="CH347" t="s">
        <v>1043</v>
      </c>
      <c r="CN347" t="s">
        <v>1056</v>
      </c>
      <c r="CO347" t="s">
        <v>1043</v>
      </c>
      <c r="CP347">
        <v>1</v>
      </c>
      <c r="CQ347">
        <v>0</v>
      </c>
      <c r="CS347">
        <v>0</v>
      </c>
      <c r="CT347">
        <v>0</v>
      </c>
      <c r="CU347">
        <v>0</v>
      </c>
      <c r="CV347" t="s">
        <v>1045</v>
      </c>
      <c r="CW347">
        <v>0</v>
      </c>
      <c r="CX347">
        <v>0</v>
      </c>
      <c r="CY347">
        <v>0</v>
      </c>
      <c r="CZ347">
        <v>0</v>
      </c>
      <c r="DB347">
        <v>0</v>
      </c>
      <c r="DC347" t="s">
        <v>1043</v>
      </c>
      <c r="DF347" t="s">
        <v>1055</v>
      </c>
      <c r="DH347">
        <v>0</v>
      </c>
      <c r="DJ347">
        <v>0</v>
      </c>
      <c r="DK347" t="s">
        <v>1053</v>
      </c>
      <c r="DL347">
        <v>0</v>
      </c>
      <c r="DN347">
        <v>0</v>
      </c>
      <c r="DO347" t="s">
        <v>1042</v>
      </c>
      <c r="DP347">
        <v>0</v>
      </c>
      <c r="DQ347">
        <v>0</v>
      </c>
      <c r="DS347">
        <v>0</v>
      </c>
      <c r="DU347">
        <v>0</v>
      </c>
      <c r="DW347">
        <v>0</v>
      </c>
      <c r="DX347" t="s">
        <v>1043</v>
      </c>
      <c r="DY347">
        <v>0</v>
      </c>
      <c r="DZ347">
        <v>0</v>
      </c>
      <c r="EA347">
        <v>0</v>
      </c>
      <c r="ED347" t="s">
        <v>1045</v>
      </c>
      <c r="EE347">
        <v>0</v>
      </c>
      <c r="EF347">
        <v>0</v>
      </c>
      <c r="EQ347" t="s">
        <v>1044</v>
      </c>
      <c r="ES347" t="s">
        <v>1053</v>
      </c>
      <c r="ET347">
        <v>0</v>
      </c>
      <c r="EV347">
        <v>0</v>
      </c>
      <c r="EY347" t="s">
        <v>1052</v>
      </c>
      <c r="EZ347">
        <v>0</v>
      </c>
      <c r="FA347" t="s">
        <v>1043</v>
      </c>
      <c r="FB347">
        <v>0</v>
      </c>
      <c r="FC347">
        <v>0</v>
      </c>
      <c r="FE347" t="s">
        <v>1050</v>
      </c>
      <c r="FF347">
        <v>0</v>
      </c>
      <c r="FG347" t="s">
        <v>1050</v>
      </c>
      <c r="FJ347">
        <v>0</v>
      </c>
      <c r="FK347">
        <v>0</v>
      </c>
      <c r="FP347">
        <v>0</v>
      </c>
      <c r="FR347">
        <v>0</v>
      </c>
      <c r="FS347" t="s">
        <v>1043</v>
      </c>
      <c r="FX347" t="s">
        <v>1042</v>
      </c>
      <c r="FZ347" t="s">
        <v>1048</v>
      </c>
      <c r="GA347">
        <v>0</v>
      </c>
      <c r="GB347" t="s">
        <v>1042</v>
      </c>
      <c r="GE347">
        <v>0</v>
      </c>
      <c r="GG347">
        <v>0</v>
      </c>
      <c r="GN347">
        <v>0</v>
      </c>
      <c r="GO347" t="s">
        <v>1063</v>
      </c>
      <c r="GQ347">
        <v>0</v>
      </c>
      <c r="GU347">
        <v>0</v>
      </c>
      <c r="GY347" t="s">
        <v>1045</v>
      </c>
      <c r="HB347">
        <v>0</v>
      </c>
      <c r="HE347">
        <v>0</v>
      </c>
      <c r="HF347">
        <v>0</v>
      </c>
      <c r="HG347">
        <v>0</v>
      </c>
      <c r="HK347" t="s">
        <v>1042</v>
      </c>
      <c r="HM347" t="s">
        <v>1047</v>
      </c>
      <c r="HN347">
        <v>0</v>
      </c>
      <c r="HP347">
        <v>0</v>
      </c>
      <c r="HQ347">
        <v>0</v>
      </c>
      <c r="HR347" t="s">
        <v>1042</v>
      </c>
      <c r="HS347" t="s">
        <v>1043</v>
      </c>
      <c r="HT347">
        <v>0</v>
      </c>
      <c r="HU347">
        <v>0</v>
      </c>
      <c r="HW347">
        <v>0</v>
      </c>
      <c r="HX347">
        <v>0</v>
      </c>
      <c r="HY347">
        <v>0</v>
      </c>
      <c r="HZ347" t="s">
        <v>1045</v>
      </c>
      <c r="IA347">
        <v>0</v>
      </c>
      <c r="IB347" t="s">
        <v>1045</v>
      </c>
      <c r="ID347" t="s">
        <v>1045</v>
      </c>
      <c r="IF347">
        <v>0</v>
      </c>
      <c r="IG347" t="s">
        <v>1042</v>
      </c>
      <c r="II347" t="s">
        <v>1042</v>
      </c>
      <c r="IR347" t="s">
        <v>1045</v>
      </c>
      <c r="IT347">
        <v>0</v>
      </c>
      <c r="IY347" t="s">
        <v>1044</v>
      </c>
      <c r="IZ347" t="s">
        <v>1043</v>
      </c>
      <c r="JC347" t="s">
        <v>1043</v>
      </c>
      <c r="JE347">
        <v>0</v>
      </c>
      <c r="JF347">
        <v>0</v>
      </c>
      <c r="JI347" t="s">
        <v>1042</v>
      </c>
      <c r="JJ347">
        <v>0</v>
      </c>
      <c r="JK347">
        <v>0</v>
      </c>
      <c r="JL347">
        <v>0</v>
      </c>
      <c r="JM347">
        <v>0</v>
      </c>
      <c r="JQ347" t="s">
        <v>1043</v>
      </c>
      <c r="JT347">
        <v>0</v>
      </c>
      <c r="JU347" t="s">
        <v>1042</v>
      </c>
      <c r="JW347">
        <v>0</v>
      </c>
      <c r="KA347">
        <v>0</v>
      </c>
      <c r="KF347">
        <v>0</v>
      </c>
      <c r="KG347">
        <v>0</v>
      </c>
      <c r="KH347">
        <v>0</v>
      </c>
      <c r="KI347">
        <v>0</v>
      </c>
      <c r="KS347" t="s">
        <v>1073</v>
      </c>
      <c r="KT347">
        <v>0</v>
      </c>
      <c r="KU347">
        <v>0</v>
      </c>
      <c r="KV347">
        <v>0</v>
      </c>
      <c r="KX347">
        <v>0</v>
      </c>
      <c r="KZ347">
        <v>0</v>
      </c>
      <c r="LF347">
        <v>0</v>
      </c>
      <c r="LH347">
        <v>0</v>
      </c>
      <c r="LI347">
        <v>0</v>
      </c>
    </row>
    <row r="348" spans="1:321" x14ac:dyDescent="0.35">
      <c r="A348">
        <v>1</v>
      </c>
      <c r="B348">
        <v>12563</v>
      </c>
      <c r="C348" t="s">
        <v>1346</v>
      </c>
      <c r="D348" t="s">
        <v>1133</v>
      </c>
      <c r="E348" t="s">
        <v>1165</v>
      </c>
      <c r="F348">
        <v>80</v>
      </c>
      <c r="G348">
        <v>9000</v>
      </c>
      <c r="H348">
        <v>0</v>
      </c>
      <c r="I348" t="s">
        <v>1345</v>
      </c>
      <c r="L348">
        <v>0</v>
      </c>
      <c r="M348">
        <v>0</v>
      </c>
      <c r="N348">
        <v>0</v>
      </c>
      <c r="R348">
        <v>0</v>
      </c>
      <c r="S348">
        <v>0</v>
      </c>
      <c r="W348" t="s">
        <v>1060</v>
      </c>
      <c r="X348">
        <v>0</v>
      </c>
      <c r="Z348">
        <v>1</v>
      </c>
      <c r="AA348">
        <v>0</v>
      </c>
      <c r="AB348">
        <v>0</v>
      </c>
      <c r="AC348">
        <v>32.57</v>
      </c>
      <c r="AD348" s="20">
        <v>42347</v>
      </c>
      <c r="AE348">
        <v>35.9</v>
      </c>
      <c r="AF348">
        <v>0</v>
      </c>
      <c r="AH348">
        <v>0</v>
      </c>
      <c r="AJ348">
        <v>0</v>
      </c>
      <c r="AL348">
        <v>1</v>
      </c>
      <c r="AM348">
        <v>0</v>
      </c>
      <c r="AN348">
        <v>16601001</v>
      </c>
      <c r="AO348">
        <v>0</v>
      </c>
      <c r="AP348">
        <v>1000</v>
      </c>
      <c r="AT348">
        <v>0</v>
      </c>
      <c r="AU348" t="s">
        <v>1059</v>
      </c>
      <c r="AW348" t="s">
        <v>1053</v>
      </c>
      <c r="AX348">
        <v>0</v>
      </c>
      <c r="AY348" s="20">
        <v>40795</v>
      </c>
      <c r="BA348" s="20">
        <v>40795</v>
      </c>
      <c r="BB348" t="s">
        <v>1058</v>
      </c>
      <c r="BD348">
        <v>0</v>
      </c>
      <c r="BF348" t="s">
        <v>1043</v>
      </c>
      <c r="BG348" t="s">
        <v>1042</v>
      </c>
      <c r="BH348">
        <v>0</v>
      </c>
      <c r="BI348">
        <v>1</v>
      </c>
      <c r="BJ348">
        <v>0</v>
      </c>
      <c r="BK348">
        <v>0</v>
      </c>
      <c r="BM348" t="s">
        <v>1042</v>
      </c>
      <c r="BN348">
        <v>0</v>
      </c>
      <c r="BR348" t="s">
        <v>1043</v>
      </c>
      <c r="BS348" t="s">
        <v>1043</v>
      </c>
      <c r="BT348" t="s">
        <v>1043</v>
      </c>
      <c r="BW348">
        <v>83</v>
      </c>
      <c r="CA348">
        <v>0</v>
      </c>
      <c r="CB348" t="s">
        <v>1057</v>
      </c>
      <c r="CE348" t="s">
        <v>1043</v>
      </c>
      <c r="CH348" t="s">
        <v>1043</v>
      </c>
      <c r="CN348" t="s">
        <v>1056</v>
      </c>
      <c r="CO348" t="s">
        <v>1043</v>
      </c>
      <c r="CP348">
        <v>1</v>
      </c>
      <c r="CQ348">
        <v>0</v>
      </c>
      <c r="CS348">
        <v>0</v>
      </c>
      <c r="CT348">
        <v>0</v>
      </c>
      <c r="CU348">
        <v>0</v>
      </c>
      <c r="CV348" t="s">
        <v>1045</v>
      </c>
      <c r="CW348">
        <v>0</v>
      </c>
      <c r="CX348">
        <v>0</v>
      </c>
      <c r="CY348">
        <v>0</v>
      </c>
      <c r="CZ348">
        <v>0</v>
      </c>
      <c r="DB348">
        <v>0</v>
      </c>
      <c r="DC348" t="s">
        <v>1043</v>
      </c>
      <c r="DF348" t="s">
        <v>1055</v>
      </c>
      <c r="DH348">
        <v>0</v>
      </c>
      <c r="DJ348">
        <v>0</v>
      </c>
      <c r="DK348" t="s">
        <v>1053</v>
      </c>
      <c r="DL348">
        <v>0</v>
      </c>
      <c r="DN348">
        <v>0</v>
      </c>
      <c r="DO348" t="s">
        <v>1042</v>
      </c>
      <c r="DP348">
        <v>0</v>
      </c>
      <c r="DQ348">
        <v>0</v>
      </c>
      <c r="DS348">
        <v>0</v>
      </c>
      <c r="DU348">
        <v>0</v>
      </c>
      <c r="DW348">
        <v>0</v>
      </c>
      <c r="DX348" t="s">
        <v>1043</v>
      </c>
      <c r="DY348">
        <v>0</v>
      </c>
      <c r="DZ348">
        <v>0</v>
      </c>
      <c r="EA348">
        <v>0</v>
      </c>
      <c r="ED348" t="s">
        <v>1045</v>
      </c>
      <c r="EE348">
        <v>0</v>
      </c>
      <c r="EF348">
        <v>0</v>
      </c>
      <c r="EQ348" t="s">
        <v>1044</v>
      </c>
      <c r="ES348" t="s">
        <v>1053</v>
      </c>
      <c r="ET348">
        <v>0</v>
      </c>
      <c r="EV348">
        <v>0</v>
      </c>
      <c r="EY348" t="s">
        <v>1052</v>
      </c>
      <c r="EZ348">
        <v>0</v>
      </c>
      <c r="FA348" t="s">
        <v>1043</v>
      </c>
      <c r="FB348">
        <v>0</v>
      </c>
      <c r="FC348">
        <v>0</v>
      </c>
      <c r="FE348" t="s">
        <v>1050</v>
      </c>
      <c r="FF348">
        <v>0</v>
      </c>
      <c r="FG348" t="s">
        <v>1050</v>
      </c>
      <c r="FJ348">
        <v>0</v>
      </c>
      <c r="FK348">
        <v>0</v>
      </c>
      <c r="FP348">
        <v>0</v>
      </c>
      <c r="FR348">
        <v>0</v>
      </c>
      <c r="FS348" t="s">
        <v>1043</v>
      </c>
      <c r="FX348" t="s">
        <v>1042</v>
      </c>
      <c r="FZ348" t="s">
        <v>1048</v>
      </c>
      <c r="GA348">
        <v>0</v>
      </c>
      <c r="GB348" t="s">
        <v>1042</v>
      </c>
      <c r="GE348">
        <v>0</v>
      </c>
      <c r="GG348">
        <v>0</v>
      </c>
      <c r="GN348">
        <v>0</v>
      </c>
      <c r="GO348" t="s">
        <v>1063</v>
      </c>
      <c r="GQ348">
        <v>0</v>
      </c>
      <c r="GU348">
        <v>0</v>
      </c>
      <c r="GY348" t="s">
        <v>1045</v>
      </c>
      <c r="HB348">
        <v>0</v>
      </c>
      <c r="HE348">
        <v>0</v>
      </c>
      <c r="HF348">
        <v>0</v>
      </c>
      <c r="HG348">
        <v>0</v>
      </c>
      <c r="HK348" t="s">
        <v>1042</v>
      </c>
      <c r="HM348" t="s">
        <v>1047</v>
      </c>
      <c r="HN348">
        <v>0</v>
      </c>
      <c r="HP348">
        <v>0</v>
      </c>
      <c r="HQ348">
        <v>0</v>
      </c>
      <c r="HR348" t="s">
        <v>1042</v>
      </c>
      <c r="HS348" t="s">
        <v>1043</v>
      </c>
      <c r="HT348">
        <v>0</v>
      </c>
      <c r="HU348">
        <v>0</v>
      </c>
      <c r="HW348">
        <v>0</v>
      </c>
      <c r="HX348">
        <v>0</v>
      </c>
      <c r="HY348">
        <v>0</v>
      </c>
      <c r="HZ348" t="s">
        <v>1045</v>
      </c>
      <c r="IA348">
        <v>0</v>
      </c>
      <c r="IB348" t="s">
        <v>1045</v>
      </c>
      <c r="ID348" t="s">
        <v>1045</v>
      </c>
      <c r="IF348">
        <v>0</v>
      </c>
      <c r="IG348" t="s">
        <v>1042</v>
      </c>
      <c r="II348" t="s">
        <v>1042</v>
      </c>
      <c r="IR348" t="s">
        <v>1045</v>
      </c>
      <c r="IT348">
        <v>0</v>
      </c>
      <c r="IY348" t="s">
        <v>1044</v>
      </c>
      <c r="IZ348" t="s">
        <v>1043</v>
      </c>
      <c r="JC348" t="s">
        <v>1043</v>
      </c>
      <c r="JE348">
        <v>0</v>
      </c>
      <c r="JF348">
        <v>0</v>
      </c>
      <c r="JI348" t="s">
        <v>1042</v>
      </c>
      <c r="JJ348">
        <v>0</v>
      </c>
      <c r="JK348">
        <v>0</v>
      </c>
      <c r="JL348">
        <v>0</v>
      </c>
      <c r="JM348">
        <v>0</v>
      </c>
      <c r="JQ348" t="s">
        <v>1043</v>
      </c>
      <c r="JT348">
        <v>0</v>
      </c>
      <c r="JU348" t="s">
        <v>1042</v>
      </c>
      <c r="JW348">
        <v>0</v>
      </c>
      <c r="KA348">
        <v>0</v>
      </c>
      <c r="KF348">
        <v>0</v>
      </c>
      <c r="KG348">
        <v>0</v>
      </c>
      <c r="KH348">
        <v>0</v>
      </c>
      <c r="KI348">
        <v>0</v>
      </c>
      <c r="KS348" t="s">
        <v>1073</v>
      </c>
      <c r="KT348">
        <v>0</v>
      </c>
      <c r="KU348">
        <v>0</v>
      </c>
      <c r="KV348">
        <v>0</v>
      </c>
      <c r="KX348">
        <v>0</v>
      </c>
      <c r="KZ348">
        <v>0</v>
      </c>
      <c r="LF348">
        <v>0</v>
      </c>
      <c r="LH348">
        <v>0</v>
      </c>
      <c r="LI348">
        <v>0</v>
      </c>
    </row>
    <row r="349" spans="1:321" x14ac:dyDescent="0.35">
      <c r="A349">
        <v>1</v>
      </c>
      <c r="B349">
        <v>12564</v>
      </c>
      <c r="C349" t="s">
        <v>1344</v>
      </c>
      <c r="D349" t="s">
        <v>1133</v>
      </c>
      <c r="E349" t="s">
        <v>1165</v>
      </c>
      <c r="F349">
        <v>80</v>
      </c>
      <c r="G349">
        <v>9000</v>
      </c>
      <c r="H349">
        <v>0</v>
      </c>
      <c r="I349" t="s">
        <v>1342</v>
      </c>
      <c r="L349">
        <v>0</v>
      </c>
      <c r="M349">
        <v>0</v>
      </c>
      <c r="N349">
        <v>0</v>
      </c>
      <c r="R349">
        <v>0</v>
      </c>
      <c r="S349">
        <v>0</v>
      </c>
      <c r="W349" t="s">
        <v>1060</v>
      </c>
      <c r="X349">
        <v>0</v>
      </c>
      <c r="Z349">
        <v>1</v>
      </c>
      <c r="AA349">
        <v>0</v>
      </c>
      <c r="AB349">
        <v>0</v>
      </c>
      <c r="AC349">
        <v>8.1737000000000002</v>
      </c>
      <c r="AD349" s="20">
        <v>40781</v>
      </c>
      <c r="AE349">
        <v>9.7200000000000006</v>
      </c>
      <c r="AF349">
        <v>0</v>
      </c>
      <c r="AH349">
        <v>0</v>
      </c>
      <c r="AJ349">
        <v>0</v>
      </c>
      <c r="AL349">
        <v>0</v>
      </c>
      <c r="AM349">
        <v>0</v>
      </c>
      <c r="AN349">
        <v>16601003</v>
      </c>
      <c r="AO349">
        <v>0</v>
      </c>
      <c r="AP349">
        <v>1000</v>
      </c>
      <c r="AT349">
        <v>0</v>
      </c>
      <c r="AU349" t="s">
        <v>1059</v>
      </c>
      <c r="AW349" t="s">
        <v>1053</v>
      </c>
      <c r="AX349">
        <v>0</v>
      </c>
      <c r="AY349" s="20">
        <v>40795</v>
      </c>
      <c r="BA349" s="20">
        <v>40795</v>
      </c>
      <c r="BB349" t="s">
        <v>1058</v>
      </c>
      <c r="BD349">
        <v>0</v>
      </c>
      <c r="BF349" t="s">
        <v>1043</v>
      </c>
      <c r="BG349" t="s">
        <v>1042</v>
      </c>
      <c r="BH349">
        <v>0</v>
      </c>
      <c r="BI349">
        <v>1</v>
      </c>
      <c r="BJ349">
        <v>0</v>
      </c>
      <c r="BK349">
        <v>0</v>
      </c>
      <c r="BM349" t="s">
        <v>1042</v>
      </c>
      <c r="BN349">
        <v>0</v>
      </c>
      <c r="BR349" t="s">
        <v>1043</v>
      </c>
      <c r="BS349" t="s">
        <v>1043</v>
      </c>
      <c r="BT349" t="s">
        <v>1043</v>
      </c>
      <c r="BW349">
        <v>83</v>
      </c>
      <c r="CA349">
        <v>0</v>
      </c>
      <c r="CB349" t="s">
        <v>1057</v>
      </c>
      <c r="CE349" t="s">
        <v>1043</v>
      </c>
      <c r="CH349" t="s">
        <v>1043</v>
      </c>
      <c r="CN349" t="s">
        <v>1056</v>
      </c>
      <c r="CO349" t="s">
        <v>1043</v>
      </c>
      <c r="CP349">
        <v>1</v>
      </c>
      <c r="CQ349">
        <v>0</v>
      </c>
      <c r="CS349">
        <v>0</v>
      </c>
      <c r="CT349">
        <v>0</v>
      </c>
      <c r="CU349">
        <v>0</v>
      </c>
      <c r="CV349" t="s">
        <v>1045</v>
      </c>
      <c r="CW349">
        <v>0</v>
      </c>
      <c r="CX349">
        <v>0</v>
      </c>
      <c r="CY349">
        <v>0</v>
      </c>
      <c r="CZ349">
        <v>0</v>
      </c>
      <c r="DB349">
        <v>0</v>
      </c>
      <c r="DC349" t="s">
        <v>1043</v>
      </c>
      <c r="DF349" t="s">
        <v>1055</v>
      </c>
      <c r="DH349">
        <v>0</v>
      </c>
      <c r="DJ349">
        <v>0</v>
      </c>
      <c r="DK349" t="s">
        <v>1053</v>
      </c>
      <c r="DL349">
        <v>0</v>
      </c>
      <c r="DN349">
        <v>0</v>
      </c>
      <c r="DO349" t="s">
        <v>1042</v>
      </c>
      <c r="DP349">
        <v>0</v>
      </c>
      <c r="DQ349">
        <v>0</v>
      </c>
      <c r="DS349">
        <v>0</v>
      </c>
      <c r="DU349">
        <v>0</v>
      </c>
      <c r="DW349">
        <v>0</v>
      </c>
      <c r="DX349" t="s">
        <v>1043</v>
      </c>
      <c r="DY349">
        <v>0</v>
      </c>
      <c r="DZ349">
        <v>0</v>
      </c>
      <c r="EA349">
        <v>0</v>
      </c>
      <c r="ED349" t="s">
        <v>1045</v>
      </c>
      <c r="EE349">
        <v>0</v>
      </c>
      <c r="EF349">
        <v>0</v>
      </c>
      <c r="EQ349" t="s">
        <v>1044</v>
      </c>
      <c r="ES349" t="s">
        <v>1053</v>
      </c>
      <c r="ET349">
        <v>0</v>
      </c>
      <c r="EV349">
        <v>0</v>
      </c>
      <c r="EY349" t="s">
        <v>1052</v>
      </c>
      <c r="EZ349">
        <v>0</v>
      </c>
      <c r="FA349" t="s">
        <v>1043</v>
      </c>
      <c r="FB349">
        <v>0</v>
      </c>
      <c r="FC349">
        <v>0</v>
      </c>
      <c r="FE349" t="s">
        <v>1050</v>
      </c>
      <c r="FF349">
        <v>0</v>
      </c>
      <c r="FG349" t="s">
        <v>1050</v>
      </c>
      <c r="FJ349">
        <v>0</v>
      </c>
      <c r="FK349">
        <v>0</v>
      </c>
      <c r="FP349">
        <v>0</v>
      </c>
      <c r="FR349">
        <v>0</v>
      </c>
      <c r="FS349" t="s">
        <v>1043</v>
      </c>
      <c r="FX349" t="s">
        <v>1042</v>
      </c>
      <c r="FZ349" t="s">
        <v>1048</v>
      </c>
      <c r="GA349">
        <v>0</v>
      </c>
      <c r="GB349" t="s">
        <v>1042</v>
      </c>
      <c r="GE349">
        <v>0</v>
      </c>
      <c r="GG349">
        <v>0</v>
      </c>
      <c r="GN349">
        <v>0</v>
      </c>
      <c r="GO349" t="s">
        <v>1063</v>
      </c>
      <c r="GQ349">
        <v>0</v>
      </c>
      <c r="GU349">
        <v>0</v>
      </c>
      <c r="GY349" t="s">
        <v>1045</v>
      </c>
      <c r="HB349">
        <v>0</v>
      </c>
      <c r="HE349">
        <v>0</v>
      </c>
      <c r="HF349">
        <v>0</v>
      </c>
      <c r="HG349">
        <v>0</v>
      </c>
      <c r="HK349" t="s">
        <v>1042</v>
      </c>
      <c r="HM349" t="s">
        <v>1047</v>
      </c>
      <c r="HN349">
        <v>0</v>
      </c>
      <c r="HP349">
        <v>0</v>
      </c>
      <c r="HQ349">
        <v>0</v>
      </c>
      <c r="HR349" t="s">
        <v>1042</v>
      </c>
      <c r="HS349" t="s">
        <v>1043</v>
      </c>
      <c r="HT349">
        <v>0</v>
      </c>
      <c r="HU349">
        <v>0</v>
      </c>
      <c r="HW349">
        <v>0</v>
      </c>
      <c r="HX349">
        <v>0</v>
      </c>
      <c r="HY349">
        <v>0</v>
      </c>
      <c r="HZ349" t="s">
        <v>1045</v>
      </c>
      <c r="IA349">
        <v>0</v>
      </c>
      <c r="IB349" t="s">
        <v>1045</v>
      </c>
      <c r="ID349" t="s">
        <v>1045</v>
      </c>
      <c r="IF349">
        <v>0</v>
      </c>
      <c r="IG349" t="s">
        <v>1042</v>
      </c>
      <c r="II349" t="s">
        <v>1042</v>
      </c>
      <c r="IR349" t="s">
        <v>1045</v>
      </c>
      <c r="IT349">
        <v>0</v>
      </c>
      <c r="IY349" t="s">
        <v>1044</v>
      </c>
      <c r="IZ349" t="s">
        <v>1043</v>
      </c>
      <c r="JC349" t="s">
        <v>1043</v>
      </c>
      <c r="JE349">
        <v>0</v>
      </c>
      <c r="JF349">
        <v>0</v>
      </c>
      <c r="JI349" t="s">
        <v>1042</v>
      </c>
      <c r="JJ349">
        <v>0</v>
      </c>
      <c r="JK349">
        <v>0</v>
      </c>
      <c r="JL349">
        <v>0</v>
      </c>
      <c r="JM349">
        <v>0</v>
      </c>
      <c r="JQ349" t="s">
        <v>1043</v>
      </c>
      <c r="JT349">
        <v>0</v>
      </c>
      <c r="JU349" t="s">
        <v>1042</v>
      </c>
      <c r="JW349">
        <v>0</v>
      </c>
      <c r="KA349">
        <v>0</v>
      </c>
      <c r="KF349">
        <v>0</v>
      </c>
      <c r="KG349">
        <v>0</v>
      </c>
      <c r="KH349">
        <v>0</v>
      </c>
      <c r="KI349">
        <v>0</v>
      </c>
      <c r="KS349" t="s">
        <v>1073</v>
      </c>
      <c r="KT349">
        <v>0</v>
      </c>
      <c r="KU349">
        <v>0</v>
      </c>
      <c r="KV349">
        <v>0</v>
      </c>
      <c r="KX349">
        <v>0</v>
      </c>
      <c r="KZ349">
        <v>0</v>
      </c>
      <c r="LF349">
        <v>0</v>
      </c>
      <c r="LH349">
        <v>0</v>
      </c>
      <c r="LI349">
        <v>0</v>
      </c>
    </row>
    <row r="350" spans="1:321" x14ac:dyDescent="0.35">
      <c r="A350">
        <v>1</v>
      </c>
      <c r="B350">
        <v>12565</v>
      </c>
      <c r="C350" t="s">
        <v>1343</v>
      </c>
      <c r="D350" t="s">
        <v>1133</v>
      </c>
      <c r="E350" t="s">
        <v>1165</v>
      </c>
      <c r="F350">
        <v>80</v>
      </c>
      <c r="G350">
        <v>9000</v>
      </c>
      <c r="H350">
        <v>0</v>
      </c>
      <c r="I350" t="s">
        <v>1342</v>
      </c>
      <c r="L350">
        <v>0</v>
      </c>
      <c r="M350">
        <v>0</v>
      </c>
      <c r="N350">
        <v>0</v>
      </c>
      <c r="R350">
        <v>0</v>
      </c>
      <c r="S350">
        <v>0</v>
      </c>
      <c r="W350" t="s">
        <v>1060</v>
      </c>
      <c r="X350">
        <v>0</v>
      </c>
      <c r="Z350">
        <v>1</v>
      </c>
      <c r="AA350">
        <v>0</v>
      </c>
      <c r="AB350">
        <v>0</v>
      </c>
      <c r="AC350">
        <v>10.4267</v>
      </c>
      <c r="AD350" s="20">
        <v>40781</v>
      </c>
      <c r="AE350">
        <v>12.4</v>
      </c>
      <c r="AF350">
        <v>0</v>
      </c>
      <c r="AH350">
        <v>0</v>
      </c>
      <c r="AJ350">
        <v>0</v>
      </c>
      <c r="AL350">
        <v>0</v>
      </c>
      <c r="AM350">
        <v>0</v>
      </c>
      <c r="AN350">
        <v>16601003</v>
      </c>
      <c r="AO350">
        <v>0</v>
      </c>
      <c r="AP350">
        <v>1000</v>
      </c>
      <c r="AT350">
        <v>0</v>
      </c>
      <c r="AU350" t="s">
        <v>1059</v>
      </c>
      <c r="AW350" t="s">
        <v>1053</v>
      </c>
      <c r="AX350">
        <v>0</v>
      </c>
      <c r="AY350" s="20">
        <v>40795</v>
      </c>
      <c r="BA350" s="20">
        <v>40795</v>
      </c>
      <c r="BB350" t="s">
        <v>1058</v>
      </c>
      <c r="BD350">
        <v>0</v>
      </c>
      <c r="BF350" t="s">
        <v>1043</v>
      </c>
      <c r="BG350" t="s">
        <v>1042</v>
      </c>
      <c r="BH350">
        <v>0</v>
      </c>
      <c r="BI350">
        <v>1</v>
      </c>
      <c r="BJ350">
        <v>0</v>
      </c>
      <c r="BK350">
        <v>0</v>
      </c>
      <c r="BM350" t="s">
        <v>1042</v>
      </c>
      <c r="BN350">
        <v>0</v>
      </c>
      <c r="BR350" t="s">
        <v>1043</v>
      </c>
      <c r="BS350" t="s">
        <v>1043</v>
      </c>
      <c r="BT350" t="s">
        <v>1043</v>
      </c>
      <c r="BW350">
        <v>83</v>
      </c>
      <c r="CA350">
        <v>0</v>
      </c>
      <c r="CB350" t="s">
        <v>1057</v>
      </c>
      <c r="CE350" t="s">
        <v>1043</v>
      </c>
      <c r="CH350" t="s">
        <v>1043</v>
      </c>
      <c r="CN350" t="s">
        <v>1056</v>
      </c>
      <c r="CO350" t="s">
        <v>1043</v>
      </c>
      <c r="CP350">
        <v>1</v>
      </c>
      <c r="CQ350">
        <v>0</v>
      </c>
      <c r="CS350">
        <v>0</v>
      </c>
      <c r="CT350">
        <v>0</v>
      </c>
      <c r="CU350">
        <v>0</v>
      </c>
      <c r="CV350" t="s">
        <v>1045</v>
      </c>
      <c r="CW350">
        <v>0</v>
      </c>
      <c r="CX350">
        <v>0</v>
      </c>
      <c r="CY350">
        <v>0</v>
      </c>
      <c r="CZ350">
        <v>0</v>
      </c>
      <c r="DB350">
        <v>0</v>
      </c>
      <c r="DC350" t="s">
        <v>1043</v>
      </c>
      <c r="DF350" t="s">
        <v>1055</v>
      </c>
      <c r="DH350">
        <v>0</v>
      </c>
      <c r="DJ350">
        <v>0</v>
      </c>
      <c r="DK350" t="s">
        <v>1053</v>
      </c>
      <c r="DL350">
        <v>0</v>
      </c>
      <c r="DN350">
        <v>0</v>
      </c>
      <c r="DO350" t="s">
        <v>1042</v>
      </c>
      <c r="DP350">
        <v>0</v>
      </c>
      <c r="DQ350">
        <v>0</v>
      </c>
      <c r="DS350">
        <v>0</v>
      </c>
      <c r="DU350">
        <v>0</v>
      </c>
      <c r="DW350">
        <v>0</v>
      </c>
      <c r="DX350" t="s">
        <v>1043</v>
      </c>
      <c r="DY350">
        <v>0</v>
      </c>
      <c r="DZ350">
        <v>0</v>
      </c>
      <c r="EA350">
        <v>0</v>
      </c>
      <c r="ED350" t="s">
        <v>1045</v>
      </c>
      <c r="EE350">
        <v>0</v>
      </c>
      <c r="EF350">
        <v>0</v>
      </c>
      <c r="EQ350" t="s">
        <v>1044</v>
      </c>
      <c r="ES350" t="s">
        <v>1053</v>
      </c>
      <c r="ET350">
        <v>0</v>
      </c>
      <c r="EV350">
        <v>0</v>
      </c>
      <c r="EY350" t="s">
        <v>1052</v>
      </c>
      <c r="EZ350">
        <v>0</v>
      </c>
      <c r="FA350" t="s">
        <v>1043</v>
      </c>
      <c r="FB350">
        <v>0</v>
      </c>
      <c r="FC350">
        <v>0</v>
      </c>
      <c r="FE350" t="s">
        <v>1050</v>
      </c>
      <c r="FF350">
        <v>0</v>
      </c>
      <c r="FG350" t="s">
        <v>1050</v>
      </c>
      <c r="FJ350">
        <v>0</v>
      </c>
      <c r="FK350">
        <v>0</v>
      </c>
      <c r="FP350">
        <v>0</v>
      </c>
      <c r="FR350">
        <v>0</v>
      </c>
      <c r="FS350" t="s">
        <v>1043</v>
      </c>
      <c r="FX350" t="s">
        <v>1042</v>
      </c>
      <c r="FZ350" t="s">
        <v>1048</v>
      </c>
      <c r="GA350">
        <v>0</v>
      </c>
      <c r="GB350" t="s">
        <v>1042</v>
      </c>
      <c r="GE350">
        <v>0</v>
      </c>
      <c r="GG350">
        <v>0</v>
      </c>
      <c r="GN350">
        <v>0</v>
      </c>
      <c r="GO350" t="s">
        <v>1063</v>
      </c>
      <c r="GQ350">
        <v>0</v>
      </c>
      <c r="GU350">
        <v>0</v>
      </c>
      <c r="GY350" t="s">
        <v>1045</v>
      </c>
      <c r="HB350">
        <v>0</v>
      </c>
      <c r="HE350">
        <v>0</v>
      </c>
      <c r="HF350">
        <v>0</v>
      </c>
      <c r="HG350">
        <v>0</v>
      </c>
      <c r="HK350" t="s">
        <v>1042</v>
      </c>
      <c r="HM350" t="s">
        <v>1047</v>
      </c>
      <c r="HN350">
        <v>0</v>
      </c>
      <c r="HP350">
        <v>0</v>
      </c>
      <c r="HQ350">
        <v>0</v>
      </c>
      <c r="HR350" t="s">
        <v>1042</v>
      </c>
      <c r="HS350" t="s">
        <v>1043</v>
      </c>
      <c r="HT350">
        <v>0</v>
      </c>
      <c r="HU350">
        <v>0</v>
      </c>
      <c r="HW350">
        <v>0</v>
      </c>
      <c r="HX350">
        <v>0</v>
      </c>
      <c r="HY350">
        <v>0</v>
      </c>
      <c r="HZ350" t="s">
        <v>1045</v>
      </c>
      <c r="IA350">
        <v>0</v>
      </c>
      <c r="IB350" t="s">
        <v>1045</v>
      </c>
      <c r="ID350" t="s">
        <v>1045</v>
      </c>
      <c r="IF350">
        <v>0</v>
      </c>
      <c r="IG350" t="s">
        <v>1042</v>
      </c>
      <c r="II350" t="s">
        <v>1042</v>
      </c>
      <c r="IR350" t="s">
        <v>1045</v>
      </c>
      <c r="IT350">
        <v>0</v>
      </c>
      <c r="IY350" t="s">
        <v>1044</v>
      </c>
      <c r="IZ350" t="s">
        <v>1043</v>
      </c>
      <c r="JC350" t="s">
        <v>1043</v>
      </c>
      <c r="JE350">
        <v>0</v>
      </c>
      <c r="JF350">
        <v>0</v>
      </c>
      <c r="JI350" t="s">
        <v>1042</v>
      </c>
      <c r="JJ350">
        <v>0</v>
      </c>
      <c r="JK350">
        <v>0</v>
      </c>
      <c r="JL350">
        <v>0</v>
      </c>
      <c r="JM350">
        <v>0</v>
      </c>
      <c r="JQ350" t="s">
        <v>1043</v>
      </c>
      <c r="JT350">
        <v>0</v>
      </c>
      <c r="JU350" t="s">
        <v>1042</v>
      </c>
      <c r="JW350">
        <v>0</v>
      </c>
      <c r="KA350">
        <v>0</v>
      </c>
      <c r="KF350">
        <v>0</v>
      </c>
      <c r="KG350">
        <v>0</v>
      </c>
      <c r="KH350">
        <v>0</v>
      </c>
      <c r="KI350">
        <v>0</v>
      </c>
      <c r="KS350" t="s">
        <v>1073</v>
      </c>
      <c r="KT350">
        <v>0</v>
      </c>
      <c r="KU350">
        <v>0</v>
      </c>
      <c r="KV350">
        <v>0</v>
      </c>
      <c r="KX350">
        <v>0</v>
      </c>
      <c r="KZ350">
        <v>0</v>
      </c>
      <c r="LF350">
        <v>0</v>
      </c>
      <c r="LH350">
        <v>0</v>
      </c>
      <c r="LI350">
        <v>0</v>
      </c>
    </row>
    <row r="351" spans="1:321" x14ac:dyDescent="0.35">
      <c r="A351">
        <v>1</v>
      </c>
      <c r="B351">
        <v>12566</v>
      </c>
      <c r="C351" t="s">
        <v>1341</v>
      </c>
      <c r="D351" t="s">
        <v>1133</v>
      </c>
      <c r="E351" t="s">
        <v>1165</v>
      </c>
      <c r="F351">
        <v>80</v>
      </c>
      <c r="G351">
        <v>9000</v>
      </c>
      <c r="H351">
        <v>0</v>
      </c>
      <c r="I351" t="s">
        <v>1340</v>
      </c>
      <c r="L351">
        <v>0</v>
      </c>
      <c r="M351">
        <v>0</v>
      </c>
      <c r="N351">
        <v>0</v>
      </c>
      <c r="R351">
        <v>0</v>
      </c>
      <c r="S351">
        <v>0</v>
      </c>
      <c r="W351" t="s">
        <v>1060</v>
      </c>
      <c r="X351">
        <v>0</v>
      </c>
      <c r="Z351">
        <v>1</v>
      </c>
      <c r="AA351">
        <v>0</v>
      </c>
      <c r="AB351">
        <v>0</v>
      </c>
      <c r="AC351">
        <v>22.9285</v>
      </c>
      <c r="AD351" s="20">
        <v>40781</v>
      </c>
      <c r="AE351">
        <v>27.27</v>
      </c>
      <c r="AF351">
        <v>0</v>
      </c>
      <c r="AH351">
        <v>0</v>
      </c>
      <c r="AJ351">
        <v>0</v>
      </c>
      <c r="AL351">
        <v>0</v>
      </c>
      <c r="AM351">
        <v>0</v>
      </c>
      <c r="AN351">
        <v>16601003</v>
      </c>
      <c r="AO351">
        <v>0</v>
      </c>
      <c r="AP351">
        <v>1000</v>
      </c>
      <c r="AT351">
        <v>0</v>
      </c>
      <c r="AU351" t="s">
        <v>1059</v>
      </c>
      <c r="AW351" t="s">
        <v>1053</v>
      </c>
      <c r="AX351">
        <v>0</v>
      </c>
      <c r="AY351" s="20">
        <v>40795</v>
      </c>
      <c r="BA351" s="20">
        <v>40795</v>
      </c>
      <c r="BB351" t="s">
        <v>1058</v>
      </c>
      <c r="BD351">
        <v>0</v>
      </c>
      <c r="BF351" t="s">
        <v>1043</v>
      </c>
      <c r="BG351" t="s">
        <v>1042</v>
      </c>
      <c r="BH351">
        <v>0</v>
      </c>
      <c r="BI351">
        <v>1</v>
      </c>
      <c r="BJ351">
        <v>0</v>
      </c>
      <c r="BK351">
        <v>0</v>
      </c>
      <c r="BM351" t="s">
        <v>1042</v>
      </c>
      <c r="BN351">
        <v>0</v>
      </c>
      <c r="BR351" t="s">
        <v>1043</v>
      </c>
      <c r="BS351" t="s">
        <v>1043</v>
      </c>
      <c r="BT351" t="s">
        <v>1043</v>
      </c>
      <c r="BW351">
        <v>83</v>
      </c>
      <c r="CA351">
        <v>0</v>
      </c>
      <c r="CB351" t="s">
        <v>1057</v>
      </c>
      <c r="CE351" t="s">
        <v>1043</v>
      </c>
      <c r="CH351" t="s">
        <v>1043</v>
      </c>
      <c r="CN351" t="s">
        <v>1056</v>
      </c>
      <c r="CO351" t="s">
        <v>1043</v>
      </c>
      <c r="CP351">
        <v>1</v>
      </c>
      <c r="CQ351">
        <v>0</v>
      </c>
      <c r="CS351">
        <v>0</v>
      </c>
      <c r="CT351">
        <v>0</v>
      </c>
      <c r="CU351">
        <v>0</v>
      </c>
      <c r="CV351" t="s">
        <v>1045</v>
      </c>
      <c r="CW351">
        <v>0</v>
      </c>
      <c r="CX351">
        <v>0</v>
      </c>
      <c r="CY351">
        <v>0</v>
      </c>
      <c r="CZ351">
        <v>0</v>
      </c>
      <c r="DB351">
        <v>0</v>
      </c>
      <c r="DC351" t="s">
        <v>1043</v>
      </c>
      <c r="DF351" t="s">
        <v>1055</v>
      </c>
      <c r="DH351">
        <v>0</v>
      </c>
      <c r="DJ351">
        <v>0</v>
      </c>
      <c r="DK351" t="s">
        <v>1053</v>
      </c>
      <c r="DL351">
        <v>0</v>
      </c>
      <c r="DN351">
        <v>0</v>
      </c>
      <c r="DO351" t="s">
        <v>1042</v>
      </c>
      <c r="DP351">
        <v>0</v>
      </c>
      <c r="DQ351">
        <v>0</v>
      </c>
      <c r="DS351">
        <v>0</v>
      </c>
      <c r="DU351">
        <v>0</v>
      </c>
      <c r="DW351">
        <v>0</v>
      </c>
      <c r="DX351" t="s">
        <v>1043</v>
      </c>
      <c r="DY351">
        <v>0</v>
      </c>
      <c r="DZ351">
        <v>0</v>
      </c>
      <c r="EA351">
        <v>0</v>
      </c>
      <c r="ED351" t="s">
        <v>1045</v>
      </c>
      <c r="EE351">
        <v>0</v>
      </c>
      <c r="EF351">
        <v>0</v>
      </c>
      <c r="EQ351" t="s">
        <v>1044</v>
      </c>
      <c r="ES351" t="s">
        <v>1053</v>
      </c>
      <c r="ET351">
        <v>0</v>
      </c>
      <c r="EV351">
        <v>0</v>
      </c>
      <c r="EY351" t="s">
        <v>1052</v>
      </c>
      <c r="EZ351">
        <v>0</v>
      </c>
      <c r="FA351" t="s">
        <v>1043</v>
      </c>
      <c r="FB351">
        <v>0</v>
      </c>
      <c r="FC351">
        <v>0</v>
      </c>
      <c r="FE351" t="s">
        <v>1050</v>
      </c>
      <c r="FF351">
        <v>0</v>
      </c>
      <c r="FG351" t="s">
        <v>1050</v>
      </c>
      <c r="FJ351">
        <v>0</v>
      </c>
      <c r="FK351">
        <v>0</v>
      </c>
      <c r="FP351">
        <v>0</v>
      </c>
      <c r="FR351">
        <v>0</v>
      </c>
      <c r="FS351" t="s">
        <v>1043</v>
      </c>
      <c r="FX351" t="s">
        <v>1042</v>
      </c>
      <c r="FZ351" t="s">
        <v>1048</v>
      </c>
      <c r="GA351">
        <v>0</v>
      </c>
      <c r="GB351" t="s">
        <v>1042</v>
      </c>
      <c r="GE351">
        <v>0</v>
      </c>
      <c r="GG351">
        <v>0</v>
      </c>
      <c r="GN351">
        <v>0</v>
      </c>
      <c r="GO351" t="s">
        <v>1063</v>
      </c>
      <c r="GQ351">
        <v>0</v>
      </c>
      <c r="GU351">
        <v>0</v>
      </c>
      <c r="GY351" t="s">
        <v>1045</v>
      </c>
      <c r="HB351">
        <v>0</v>
      </c>
      <c r="HE351">
        <v>0</v>
      </c>
      <c r="HF351">
        <v>0</v>
      </c>
      <c r="HG351">
        <v>0</v>
      </c>
      <c r="HK351" t="s">
        <v>1042</v>
      </c>
      <c r="HM351" t="s">
        <v>1047</v>
      </c>
      <c r="HN351">
        <v>0</v>
      </c>
      <c r="HP351">
        <v>0</v>
      </c>
      <c r="HQ351">
        <v>0</v>
      </c>
      <c r="HR351" t="s">
        <v>1042</v>
      </c>
      <c r="HS351" t="s">
        <v>1043</v>
      </c>
      <c r="HT351">
        <v>0</v>
      </c>
      <c r="HU351">
        <v>0</v>
      </c>
      <c r="HW351">
        <v>0</v>
      </c>
      <c r="HX351">
        <v>0</v>
      </c>
      <c r="HY351">
        <v>0</v>
      </c>
      <c r="HZ351" t="s">
        <v>1045</v>
      </c>
      <c r="IA351">
        <v>0</v>
      </c>
      <c r="IB351" t="s">
        <v>1045</v>
      </c>
      <c r="ID351" t="s">
        <v>1045</v>
      </c>
      <c r="IF351">
        <v>0</v>
      </c>
      <c r="IG351" t="s">
        <v>1042</v>
      </c>
      <c r="II351" t="s">
        <v>1042</v>
      </c>
      <c r="IR351" t="s">
        <v>1045</v>
      </c>
      <c r="IT351">
        <v>0</v>
      </c>
      <c r="IY351" t="s">
        <v>1044</v>
      </c>
      <c r="IZ351" t="s">
        <v>1043</v>
      </c>
      <c r="JC351" t="s">
        <v>1043</v>
      </c>
      <c r="JE351">
        <v>0</v>
      </c>
      <c r="JF351">
        <v>0</v>
      </c>
      <c r="JI351" t="s">
        <v>1042</v>
      </c>
      <c r="JJ351">
        <v>0</v>
      </c>
      <c r="JK351">
        <v>0</v>
      </c>
      <c r="JL351">
        <v>0</v>
      </c>
      <c r="JM351">
        <v>0</v>
      </c>
      <c r="JQ351" t="s">
        <v>1043</v>
      </c>
      <c r="JT351">
        <v>0</v>
      </c>
      <c r="JU351" t="s">
        <v>1042</v>
      </c>
      <c r="JW351">
        <v>0</v>
      </c>
      <c r="KA351">
        <v>0</v>
      </c>
      <c r="KF351">
        <v>0</v>
      </c>
      <c r="KG351">
        <v>0</v>
      </c>
      <c r="KH351">
        <v>0</v>
      </c>
      <c r="KI351">
        <v>0</v>
      </c>
      <c r="KS351" t="s">
        <v>1073</v>
      </c>
      <c r="KT351">
        <v>0</v>
      </c>
      <c r="KU351">
        <v>0</v>
      </c>
      <c r="KV351">
        <v>0</v>
      </c>
      <c r="KX351">
        <v>0</v>
      </c>
      <c r="KZ351">
        <v>0</v>
      </c>
      <c r="LF351">
        <v>0</v>
      </c>
      <c r="LH351">
        <v>0</v>
      </c>
      <c r="LI351">
        <v>0</v>
      </c>
    </row>
    <row r="352" spans="1:321" x14ac:dyDescent="0.35">
      <c r="A352">
        <v>1</v>
      </c>
      <c r="B352">
        <v>12567</v>
      </c>
      <c r="C352" t="s">
        <v>1339</v>
      </c>
      <c r="D352" t="s">
        <v>1133</v>
      </c>
      <c r="E352" t="s">
        <v>1338</v>
      </c>
      <c r="F352">
        <v>80</v>
      </c>
      <c r="G352">
        <v>9000</v>
      </c>
      <c r="H352">
        <v>0</v>
      </c>
      <c r="I352" t="s">
        <v>1337</v>
      </c>
      <c r="L352">
        <v>0</v>
      </c>
      <c r="M352">
        <v>0</v>
      </c>
      <c r="N352">
        <v>0</v>
      </c>
      <c r="R352">
        <v>0</v>
      </c>
      <c r="S352">
        <v>0</v>
      </c>
      <c r="W352" t="s">
        <v>1060</v>
      </c>
      <c r="X352">
        <v>0</v>
      </c>
      <c r="Z352">
        <v>1</v>
      </c>
      <c r="AA352">
        <v>0</v>
      </c>
      <c r="AB352">
        <v>0</v>
      </c>
      <c r="AC352">
        <v>262.19049999999999</v>
      </c>
      <c r="AD352" s="20">
        <v>40781</v>
      </c>
      <c r="AE352">
        <v>311.87</v>
      </c>
      <c r="AF352">
        <v>0</v>
      </c>
      <c r="AH352">
        <v>0</v>
      </c>
      <c r="AJ352">
        <v>0</v>
      </c>
      <c r="AL352">
        <v>0</v>
      </c>
      <c r="AM352">
        <v>0</v>
      </c>
      <c r="AN352">
        <v>16601003</v>
      </c>
      <c r="AO352">
        <v>0</v>
      </c>
      <c r="AP352">
        <v>1000</v>
      </c>
      <c r="AT352">
        <v>0</v>
      </c>
      <c r="AU352" t="s">
        <v>1059</v>
      </c>
      <c r="AW352" t="s">
        <v>1053</v>
      </c>
      <c r="AX352">
        <v>0</v>
      </c>
      <c r="AY352" s="20">
        <v>40795</v>
      </c>
      <c r="BA352" s="20">
        <v>40795</v>
      </c>
      <c r="BB352" t="s">
        <v>1058</v>
      </c>
      <c r="BD352">
        <v>0</v>
      </c>
      <c r="BF352" t="s">
        <v>1043</v>
      </c>
      <c r="BG352" t="s">
        <v>1042</v>
      </c>
      <c r="BH352">
        <v>0</v>
      </c>
      <c r="BI352">
        <v>1</v>
      </c>
      <c r="BJ352">
        <v>0</v>
      </c>
      <c r="BK352">
        <v>0</v>
      </c>
      <c r="BM352" t="s">
        <v>1042</v>
      </c>
      <c r="BN352">
        <v>0</v>
      </c>
      <c r="BR352" t="s">
        <v>1043</v>
      </c>
      <c r="BS352" t="s">
        <v>1043</v>
      </c>
      <c r="BT352" t="s">
        <v>1043</v>
      </c>
      <c r="BW352">
        <v>83</v>
      </c>
      <c r="CA352">
        <v>0</v>
      </c>
      <c r="CB352" t="s">
        <v>1057</v>
      </c>
      <c r="CE352" t="s">
        <v>1043</v>
      </c>
      <c r="CH352" t="s">
        <v>1043</v>
      </c>
      <c r="CN352" t="s">
        <v>1056</v>
      </c>
      <c r="CO352" t="s">
        <v>1043</v>
      </c>
      <c r="CP352">
        <v>1</v>
      </c>
      <c r="CQ352">
        <v>0</v>
      </c>
      <c r="CS352">
        <v>0</v>
      </c>
      <c r="CT352">
        <v>0</v>
      </c>
      <c r="CU352">
        <v>0</v>
      </c>
      <c r="CV352" t="s">
        <v>1045</v>
      </c>
      <c r="CW352">
        <v>0</v>
      </c>
      <c r="CX352">
        <v>0</v>
      </c>
      <c r="CY352">
        <v>0</v>
      </c>
      <c r="CZ352">
        <v>0</v>
      </c>
      <c r="DB352">
        <v>0</v>
      </c>
      <c r="DC352" t="s">
        <v>1043</v>
      </c>
      <c r="DF352" t="s">
        <v>1055</v>
      </c>
      <c r="DH352">
        <v>0</v>
      </c>
      <c r="DJ352">
        <v>0</v>
      </c>
      <c r="DK352" t="s">
        <v>1053</v>
      </c>
      <c r="DL352">
        <v>0</v>
      </c>
      <c r="DN352">
        <v>0</v>
      </c>
      <c r="DO352" t="s">
        <v>1042</v>
      </c>
      <c r="DP352">
        <v>0</v>
      </c>
      <c r="DQ352">
        <v>0</v>
      </c>
      <c r="DS352">
        <v>0</v>
      </c>
      <c r="DU352">
        <v>0</v>
      </c>
      <c r="DW352">
        <v>0</v>
      </c>
      <c r="DX352" t="s">
        <v>1043</v>
      </c>
      <c r="DY352">
        <v>0</v>
      </c>
      <c r="DZ352">
        <v>0</v>
      </c>
      <c r="EA352">
        <v>0</v>
      </c>
      <c r="ED352" t="s">
        <v>1045</v>
      </c>
      <c r="EE352">
        <v>0</v>
      </c>
      <c r="EF352">
        <v>0</v>
      </c>
      <c r="EQ352" t="s">
        <v>1044</v>
      </c>
      <c r="ES352" t="s">
        <v>1053</v>
      </c>
      <c r="ET352">
        <v>0</v>
      </c>
      <c r="EV352">
        <v>0</v>
      </c>
      <c r="EY352" t="s">
        <v>1052</v>
      </c>
      <c r="EZ352">
        <v>0</v>
      </c>
      <c r="FA352" t="s">
        <v>1043</v>
      </c>
      <c r="FB352">
        <v>0</v>
      </c>
      <c r="FC352">
        <v>0</v>
      </c>
      <c r="FE352" t="s">
        <v>1050</v>
      </c>
      <c r="FF352">
        <v>0</v>
      </c>
      <c r="FG352" t="s">
        <v>1050</v>
      </c>
      <c r="FJ352">
        <v>0</v>
      </c>
      <c r="FK352">
        <v>0</v>
      </c>
      <c r="FP352">
        <v>0</v>
      </c>
      <c r="FR352">
        <v>0</v>
      </c>
      <c r="FS352" t="s">
        <v>1043</v>
      </c>
      <c r="FX352" t="s">
        <v>1042</v>
      </c>
      <c r="FZ352" t="s">
        <v>1048</v>
      </c>
      <c r="GA352">
        <v>0</v>
      </c>
      <c r="GB352" t="s">
        <v>1042</v>
      </c>
      <c r="GE352">
        <v>0</v>
      </c>
      <c r="GG352">
        <v>0</v>
      </c>
      <c r="GN352">
        <v>0</v>
      </c>
      <c r="GO352" t="s">
        <v>1063</v>
      </c>
      <c r="GQ352">
        <v>0</v>
      </c>
      <c r="GU352">
        <v>0</v>
      </c>
      <c r="GY352" t="s">
        <v>1045</v>
      </c>
      <c r="HB352">
        <v>0</v>
      </c>
      <c r="HE352">
        <v>0</v>
      </c>
      <c r="HF352">
        <v>0</v>
      </c>
      <c r="HG352">
        <v>0</v>
      </c>
      <c r="HK352" t="s">
        <v>1042</v>
      </c>
      <c r="HM352" t="s">
        <v>1047</v>
      </c>
      <c r="HN352">
        <v>0</v>
      </c>
      <c r="HP352">
        <v>0</v>
      </c>
      <c r="HQ352">
        <v>0</v>
      </c>
      <c r="HR352" t="s">
        <v>1042</v>
      </c>
      <c r="HS352" t="s">
        <v>1043</v>
      </c>
      <c r="HT352">
        <v>0</v>
      </c>
      <c r="HU352">
        <v>0</v>
      </c>
      <c r="HW352">
        <v>0</v>
      </c>
      <c r="HX352">
        <v>0</v>
      </c>
      <c r="HY352">
        <v>0</v>
      </c>
      <c r="HZ352" t="s">
        <v>1045</v>
      </c>
      <c r="IA352">
        <v>0</v>
      </c>
      <c r="IB352" t="s">
        <v>1045</v>
      </c>
      <c r="ID352" t="s">
        <v>1045</v>
      </c>
      <c r="IF352">
        <v>0</v>
      </c>
      <c r="IG352" t="s">
        <v>1042</v>
      </c>
      <c r="II352" t="s">
        <v>1042</v>
      </c>
      <c r="IR352" t="s">
        <v>1045</v>
      </c>
      <c r="IT352">
        <v>0</v>
      </c>
      <c r="IY352" t="s">
        <v>1044</v>
      </c>
      <c r="IZ352" t="s">
        <v>1043</v>
      </c>
      <c r="JC352" t="s">
        <v>1043</v>
      </c>
      <c r="JE352">
        <v>0</v>
      </c>
      <c r="JF352">
        <v>0</v>
      </c>
      <c r="JI352" t="s">
        <v>1042</v>
      </c>
      <c r="JJ352">
        <v>0</v>
      </c>
      <c r="JK352">
        <v>0</v>
      </c>
      <c r="JL352">
        <v>0</v>
      </c>
      <c r="JM352">
        <v>0</v>
      </c>
      <c r="JQ352" t="s">
        <v>1043</v>
      </c>
      <c r="JT352">
        <v>0</v>
      </c>
      <c r="JU352" t="s">
        <v>1042</v>
      </c>
      <c r="JW352">
        <v>0</v>
      </c>
      <c r="KA352">
        <v>0</v>
      </c>
      <c r="KF352">
        <v>0</v>
      </c>
      <c r="KG352">
        <v>0</v>
      </c>
      <c r="KH352">
        <v>0</v>
      </c>
      <c r="KI352">
        <v>0</v>
      </c>
      <c r="KS352" t="s">
        <v>1073</v>
      </c>
      <c r="KT352">
        <v>0</v>
      </c>
      <c r="KU352">
        <v>0</v>
      </c>
      <c r="KV352">
        <v>0</v>
      </c>
      <c r="KX352">
        <v>0</v>
      </c>
      <c r="KZ352">
        <v>0</v>
      </c>
      <c r="LF352">
        <v>0</v>
      </c>
      <c r="LH352">
        <v>0</v>
      </c>
      <c r="LI352">
        <v>0</v>
      </c>
    </row>
    <row r="353" spans="1:321" x14ac:dyDescent="0.35">
      <c r="A353">
        <v>1</v>
      </c>
      <c r="B353">
        <v>12568</v>
      </c>
      <c r="C353" t="s">
        <v>1336</v>
      </c>
      <c r="D353" t="s">
        <v>1133</v>
      </c>
      <c r="E353" t="s">
        <v>1165</v>
      </c>
      <c r="F353">
        <v>80</v>
      </c>
      <c r="G353">
        <v>0</v>
      </c>
      <c r="H353">
        <v>0</v>
      </c>
      <c r="I353" t="s">
        <v>1335</v>
      </c>
      <c r="L353">
        <v>0</v>
      </c>
      <c r="M353">
        <v>0</v>
      </c>
      <c r="N353">
        <v>0</v>
      </c>
      <c r="R353">
        <v>0</v>
      </c>
      <c r="S353">
        <v>0</v>
      </c>
      <c r="W353" t="s">
        <v>1060</v>
      </c>
      <c r="X353">
        <v>0</v>
      </c>
      <c r="Z353">
        <v>1</v>
      </c>
      <c r="AA353">
        <v>0</v>
      </c>
      <c r="AB353">
        <v>0</v>
      </c>
      <c r="AC353">
        <v>3.9020000000000001</v>
      </c>
      <c r="AD353" s="20">
        <v>43413</v>
      </c>
      <c r="AE353">
        <v>4.3</v>
      </c>
      <c r="AF353">
        <v>0</v>
      </c>
      <c r="AH353">
        <v>0</v>
      </c>
      <c r="AJ353">
        <v>0</v>
      </c>
      <c r="AL353">
        <v>1</v>
      </c>
      <c r="AM353">
        <v>0</v>
      </c>
      <c r="AN353">
        <v>16601003</v>
      </c>
      <c r="AO353">
        <v>0</v>
      </c>
      <c r="AP353">
        <v>1000</v>
      </c>
      <c r="AT353">
        <v>0</v>
      </c>
      <c r="AU353" t="s">
        <v>1059</v>
      </c>
      <c r="AW353" t="s">
        <v>1053</v>
      </c>
      <c r="AX353">
        <v>0</v>
      </c>
      <c r="AY353" s="20">
        <v>40795</v>
      </c>
      <c r="BA353" s="20">
        <v>40795</v>
      </c>
      <c r="BB353" t="s">
        <v>1058</v>
      </c>
      <c r="BD353">
        <v>0</v>
      </c>
      <c r="BF353" t="s">
        <v>1043</v>
      </c>
      <c r="BG353" t="s">
        <v>1042</v>
      </c>
      <c r="BH353">
        <v>0</v>
      </c>
      <c r="BI353">
        <v>1</v>
      </c>
      <c r="BJ353">
        <v>0</v>
      </c>
      <c r="BK353">
        <v>0</v>
      </c>
      <c r="BM353" t="s">
        <v>1042</v>
      </c>
      <c r="BN353">
        <v>0</v>
      </c>
      <c r="BR353" t="s">
        <v>1043</v>
      </c>
      <c r="BS353" t="s">
        <v>1043</v>
      </c>
      <c r="BT353" t="s">
        <v>1043</v>
      </c>
      <c r="BW353">
        <v>83</v>
      </c>
      <c r="CA353">
        <v>0</v>
      </c>
      <c r="CB353" t="s">
        <v>1057</v>
      </c>
      <c r="CE353" t="s">
        <v>1043</v>
      </c>
      <c r="CH353" t="s">
        <v>1043</v>
      </c>
      <c r="CN353" t="s">
        <v>1056</v>
      </c>
      <c r="CO353" t="s">
        <v>1043</v>
      </c>
      <c r="CP353">
        <v>1</v>
      </c>
      <c r="CQ353">
        <v>0</v>
      </c>
      <c r="CS353">
        <v>0</v>
      </c>
      <c r="CT353">
        <v>0</v>
      </c>
      <c r="CU353">
        <v>0</v>
      </c>
      <c r="CV353" t="s">
        <v>1045</v>
      </c>
      <c r="CW353">
        <v>0</v>
      </c>
      <c r="CX353">
        <v>0</v>
      </c>
      <c r="CY353">
        <v>0</v>
      </c>
      <c r="CZ353">
        <v>0</v>
      </c>
      <c r="DB353">
        <v>0</v>
      </c>
      <c r="DC353" t="s">
        <v>1043</v>
      </c>
      <c r="DF353" t="s">
        <v>1055</v>
      </c>
      <c r="DH353">
        <v>0</v>
      </c>
      <c r="DJ353">
        <v>0</v>
      </c>
      <c r="DK353" t="s">
        <v>1053</v>
      </c>
      <c r="DL353">
        <v>0</v>
      </c>
      <c r="DN353">
        <v>0</v>
      </c>
      <c r="DO353" t="s">
        <v>1042</v>
      </c>
      <c r="DP353">
        <v>0</v>
      </c>
      <c r="DQ353">
        <v>0</v>
      </c>
      <c r="DS353">
        <v>0</v>
      </c>
      <c r="DU353">
        <v>0</v>
      </c>
      <c r="DW353">
        <v>0</v>
      </c>
      <c r="DX353" t="s">
        <v>1043</v>
      </c>
      <c r="DY353">
        <v>0</v>
      </c>
      <c r="DZ353">
        <v>0</v>
      </c>
      <c r="EA353">
        <v>0</v>
      </c>
      <c r="ED353" t="s">
        <v>1045</v>
      </c>
      <c r="EE353">
        <v>0</v>
      </c>
      <c r="EF353">
        <v>0</v>
      </c>
      <c r="EQ353" t="s">
        <v>1044</v>
      </c>
      <c r="ES353" t="s">
        <v>1053</v>
      </c>
      <c r="ET353">
        <v>0</v>
      </c>
      <c r="EV353">
        <v>0</v>
      </c>
      <c r="EY353" t="s">
        <v>1052</v>
      </c>
      <c r="EZ353">
        <v>0</v>
      </c>
      <c r="FA353" t="s">
        <v>1043</v>
      </c>
      <c r="FB353">
        <v>0</v>
      </c>
      <c r="FC353">
        <v>0</v>
      </c>
      <c r="FE353" t="s">
        <v>1050</v>
      </c>
      <c r="FF353">
        <v>0</v>
      </c>
      <c r="FG353" t="s">
        <v>1050</v>
      </c>
      <c r="FJ353">
        <v>0</v>
      </c>
      <c r="FK353">
        <v>0</v>
      </c>
      <c r="FP353">
        <v>0</v>
      </c>
      <c r="FR353">
        <v>0</v>
      </c>
      <c r="FS353" t="s">
        <v>1043</v>
      </c>
      <c r="FX353" t="s">
        <v>1042</v>
      </c>
      <c r="FZ353" t="s">
        <v>1048</v>
      </c>
      <c r="GA353">
        <v>0</v>
      </c>
      <c r="GB353" t="s">
        <v>1042</v>
      </c>
      <c r="GE353">
        <v>0</v>
      </c>
      <c r="GG353">
        <v>0</v>
      </c>
      <c r="GN353">
        <v>0</v>
      </c>
      <c r="GO353" t="s">
        <v>1063</v>
      </c>
      <c r="GQ353">
        <v>0</v>
      </c>
      <c r="GU353">
        <v>0</v>
      </c>
      <c r="GY353" t="s">
        <v>1045</v>
      </c>
      <c r="HB353">
        <v>0</v>
      </c>
      <c r="HE353">
        <v>0</v>
      </c>
      <c r="HF353">
        <v>0</v>
      </c>
      <c r="HG353">
        <v>0</v>
      </c>
      <c r="HK353" t="s">
        <v>1042</v>
      </c>
      <c r="HM353" t="s">
        <v>1047</v>
      </c>
      <c r="HN353">
        <v>0</v>
      </c>
      <c r="HP353">
        <v>0</v>
      </c>
      <c r="HQ353">
        <v>0</v>
      </c>
      <c r="HR353" t="s">
        <v>1042</v>
      </c>
      <c r="HS353" t="s">
        <v>1043</v>
      </c>
      <c r="HT353">
        <v>0</v>
      </c>
      <c r="HU353">
        <v>0</v>
      </c>
      <c r="HW353">
        <v>0</v>
      </c>
      <c r="HX353">
        <v>0</v>
      </c>
      <c r="HY353">
        <v>0</v>
      </c>
      <c r="HZ353" t="s">
        <v>1045</v>
      </c>
      <c r="IA353">
        <v>0</v>
      </c>
      <c r="IB353" t="s">
        <v>1045</v>
      </c>
      <c r="ID353" t="s">
        <v>1045</v>
      </c>
      <c r="IF353">
        <v>0</v>
      </c>
      <c r="IG353" t="s">
        <v>1042</v>
      </c>
      <c r="II353" t="s">
        <v>1042</v>
      </c>
      <c r="IR353" t="s">
        <v>1045</v>
      </c>
      <c r="IT353">
        <v>0</v>
      </c>
      <c r="IY353" t="s">
        <v>1044</v>
      </c>
      <c r="IZ353" t="s">
        <v>1043</v>
      </c>
      <c r="JC353" t="s">
        <v>1043</v>
      </c>
      <c r="JE353">
        <v>0</v>
      </c>
      <c r="JF353">
        <v>0</v>
      </c>
      <c r="JI353" t="s">
        <v>1042</v>
      </c>
      <c r="JJ353">
        <v>0</v>
      </c>
      <c r="JK353">
        <v>0</v>
      </c>
      <c r="JL353">
        <v>0</v>
      </c>
      <c r="JM353">
        <v>0</v>
      </c>
      <c r="JQ353" t="s">
        <v>1043</v>
      </c>
      <c r="JT353">
        <v>0</v>
      </c>
      <c r="JU353" t="s">
        <v>1042</v>
      </c>
      <c r="JW353">
        <v>0</v>
      </c>
      <c r="KA353">
        <v>0</v>
      </c>
      <c r="KF353">
        <v>0</v>
      </c>
      <c r="KG353">
        <v>0</v>
      </c>
      <c r="KH353">
        <v>0</v>
      </c>
      <c r="KI353">
        <v>0</v>
      </c>
      <c r="KS353" t="s">
        <v>1073</v>
      </c>
      <c r="KT353">
        <v>0</v>
      </c>
      <c r="KU353">
        <v>0</v>
      </c>
      <c r="KV353">
        <v>0</v>
      </c>
      <c r="KX353">
        <v>0</v>
      </c>
      <c r="KZ353">
        <v>0</v>
      </c>
      <c r="LF353">
        <v>0</v>
      </c>
      <c r="LH353">
        <v>0</v>
      </c>
      <c r="LI353">
        <v>0</v>
      </c>
    </row>
    <row r="354" spans="1:321" x14ac:dyDescent="0.35">
      <c r="A354">
        <v>1</v>
      </c>
      <c r="B354">
        <v>12569</v>
      </c>
      <c r="C354" t="s">
        <v>1334</v>
      </c>
      <c r="D354" t="s">
        <v>1133</v>
      </c>
      <c r="E354" t="s">
        <v>1165</v>
      </c>
      <c r="F354">
        <v>80</v>
      </c>
      <c r="G354">
        <v>9000</v>
      </c>
      <c r="H354">
        <v>0</v>
      </c>
      <c r="I354" t="s">
        <v>1333</v>
      </c>
      <c r="L354">
        <v>0</v>
      </c>
      <c r="M354">
        <v>0</v>
      </c>
      <c r="N354">
        <v>0</v>
      </c>
      <c r="R354">
        <v>0</v>
      </c>
      <c r="S354">
        <v>0</v>
      </c>
      <c r="W354" t="s">
        <v>1060</v>
      </c>
      <c r="X354">
        <v>0</v>
      </c>
      <c r="Z354">
        <v>1</v>
      </c>
      <c r="AA354">
        <v>0</v>
      </c>
      <c r="AB354">
        <v>0</v>
      </c>
      <c r="AC354">
        <v>306.62</v>
      </c>
      <c r="AD354" s="20">
        <v>40891</v>
      </c>
      <c r="AE354">
        <v>331.84</v>
      </c>
      <c r="AF354">
        <v>0</v>
      </c>
      <c r="AH354">
        <v>0</v>
      </c>
      <c r="AJ354">
        <v>0</v>
      </c>
      <c r="AL354">
        <v>1</v>
      </c>
      <c r="AM354">
        <v>0</v>
      </c>
      <c r="AN354">
        <v>16601001</v>
      </c>
      <c r="AO354">
        <v>0</v>
      </c>
      <c r="AP354">
        <v>1000</v>
      </c>
      <c r="AT354">
        <v>0</v>
      </c>
      <c r="AU354" t="s">
        <v>1059</v>
      </c>
      <c r="AW354" t="s">
        <v>1053</v>
      </c>
      <c r="AX354">
        <v>0</v>
      </c>
      <c r="AY354" s="20">
        <v>40891</v>
      </c>
      <c r="BA354" s="20">
        <v>40795</v>
      </c>
      <c r="BB354" t="s">
        <v>1058</v>
      </c>
      <c r="BD354">
        <v>0</v>
      </c>
      <c r="BF354" t="s">
        <v>1043</v>
      </c>
      <c r="BG354" t="s">
        <v>1042</v>
      </c>
      <c r="BH354">
        <v>0</v>
      </c>
      <c r="BI354">
        <v>1</v>
      </c>
      <c r="BJ354">
        <v>0</v>
      </c>
      <c r="BK354">
        <v>0</v>
      </c>
      <c r="BM354" t="s">
        <v>1042</v>
      </c>
      <c r="BN354">
        <v>0</v>
      </c>
      <c r="BR354" t="s">
        <v>1043</v>
      </c>
      <c r="BS354" t="s">
        <v>1043</v>
      </c>
      <c r="BT354" t="s">
        <v>1043</v>
      </c>
      <c r="BW354">
        <v>83</v>
      </c>
      <c r="CA354">
        <v>0</v>
      </c>
      <c r="CB354" t="s">
        <v>1057</v>
      </c>
      <c r="CE354" t="s">
        <v>1043</v>
      </c>
      <c r="CH354" t="s">
        <v>1043</v>
      </c>
      <c r="CN354" t="s">
        <v>1056</v>
      </c>
      <c r="CO354" t="s">
        <v>1043</v>
      </c>
      <c r="CP354">
        <v>1</v>
      </c>
      <c r="CQ354">
        <v>0</v>
      </c>
      <c r="CS354">
        <v>0</v>
      </c>
      <c r="CT354">
        <v>0</v>
      </c>
      <c r="CU354">
        <v>0</v>
      </c>
      <c r="CV354" t="s">
        <v>1045</v>
      </c>
      <c r="CW354">
        <v>0</v>
      </c>
      <c r="CX354">
        <v>0</v>
      </c>
      <c r="CY354">
        <v>0</v>
      </c>
      <c r="CZ354">
        <v>0</v>
      </c>
      <c r="DB354">
        <v>0</v>
      </c>
      <c r="DC354" t="s">
        <v>1043</v>
      </c>
      <c r="DF354" t="s">
        <v>1055</v>
      </c>
      <c r="DH354">
        <v>0</v>
      </c>
      <c r="DJ354">
        <v>0</v>
      </c>
      <c r="DK354" t="s">
        <v>1053</v>
      </c>
      <c r="DL354">
        <v>0</v>
      </c>
      <c r="DN354">
        <v>0</v>
      </c>
      <c r="DO354" t="s">
        <v>1042</v>
      </c>
      <c r="DP354">
        <v>0</v>
      </c>
      <c r="DQ354">
        <v>0</v>
      </c>
      <c r="DS354">
        <v>0</v>
      </c>
      <c r="DU354">
        <v>0</v>
      </c>
      <c r="DW354">
        <v>0</v>
      </c>
      <c r="DX354" t="s">
        <v>1043</v>
      </c>
      <c r="DY354">
        <v>0</v>
      </c>
      <c r="DZ354">
        <v>0</v>
      </c>
      <c r="EA354">
        <v>0</v>
      </c>
      <c r="ED354" t="s">
        <v>1045</v>
      </c>
      <c r="EE354">
        <v>0</v>
      </c>
      <c r="EF354">
        <v>0</v>
      </c>
      <c r="EQ354" t="s">
        <v>1044</v>
      </c>
      <c r="ES354" t="s">
        <v>1053</v>
      </c>
      <c r="ET354">
        <v>0</v>
      </c>
      <c r="EV354">
        <v>0</v>
      </c>
      <c r="EY354" t="s">
        <v>1052</v>
      </c>
      <c r="EZ354">
        <v>0</v>
      </c>
      <c r="FA354" t="s">
        <v>1043</v>
      </c>
      <c r="FB354">
        <v>0</v>
      </c>
      <c r="FC354">
        <v>0</v>
      </c>
      <c r="FE354" t="s">
        <v>1050</v>
      </c>
      <c r="FF354">
        <v>0</v>
      </c>
      <c r="FG354" t="s">
        <v>1050</v>
      </c>
      <c r="FJ354">
        <v>0</v>
      </c>
      <c r="FK354">
        <v>0</v>
      </c>
      <c r="FP354">
        <v>0</v>
      </c>
      <c r="FR354">
        <v>0</v>
      </c>
      <c r="FS354" t="s">
        <v>1043</v>
      </c>
      <c r="FX354" t="s">
        <v>1042</v>
      </c>
      <c r="FZ354" t="s">
        <v>1048</v>
      </c>
      <c r="GA354">
        <v>0</v>
      </c>
      <c r="GB354" t="s">
        <v>1042</v>
      </c>
      <c r="GE354">
        <v>0</v>
      </c>
      <c r="GG354">
        <v>0</v>
      </c>
      <c r="GN354">
        <v>0</v>
      </c>
      <c r="GO354" t="s">
        <v>1063</v>
      </c>
      <c r="GQ354">
        <v>0</v>
      </c>
      <c r="GU354">
        <v>0</v>
      </c>
      <c r="GY354" t="s">
        <v>1045</v>
      </c>
      <c r="HB354">
        <v>0</v>
      </c>
      <c r="HE354">
        <v>0</v>
      </c>
      <c r="HF354">
        <v>0</v>
      </c>
      <c r="HG354">
        <v>0</v>
      </c>
      <c r="HK354" t="s">
        <v>1042</v>
      </c>
      <c r="HM354" t="s">
        <v>1047</v>
      </c>
      <c r="HN354">
        <v>0</v>
      </c>
      <c r="HP354">
        <v>0</v>
      </c>
      <c r="HQ354">
        <v>0</v>
      </c>
      <c r="HR354" s="20">
        <v>44221</v>
      </c>
      <c r="HS354" t="s">
        <v>1043</v>
      </c>
      <c r="HT354">
        <v>0</v>
      </c>
      <c r="HU354">
        <v>0</v>
      </c>
      <c r="HW354">
        <v>0</v>
      </c>
      <c r="HX354">
        <v>0</v>
      </c>
      <c r="HY354">
        <v>0</v>
      </c>
      <c r="HZ354" t="s">
        <v>1045</v>
      </c>
      <c r="IA354">
        <v>0</v>
      </c>
      <c r="IB354" t="s">
        <v>1045</v>
      </c>
      <c r="ID354" t="s">
        <v>1045</v>
      </c>
      <c r="IF354">
        <v>0</v>
      </c>
      <c r="IG354" t="s">
        <v>1042</v>
      </c>
      <c r="II354" t="s">
        <v>1042</v>
      </c>
      <c r="IR354" t="s">
        <v>1045</v>
      </c>
      <c r="IT354">
        <v>0</v>
      </c>
      <c r="IY354" t="s">
        <v>1044</v>
      </c>
      <c r="IZ354" t="s">
        <v>1043</v>
      </c>
      <c r="JC354" t="s">
        <v>1043</v>
      </c>
      <c r="JE354">
        <v>0</v>
      </c>
      <c r="JF354">
        <v>0</v>
      </c>
      <c r="JI354" t="s">
        <v>1042</v>
      </c>
      <c r="JJ354">
        <v>0</v>
      </c>
      <c r="JK354">
        <v>0</v>
      </c>
      <c r="JL354">
        <v>0</v>
      </c>
      <c r="JM354">
        <v>0</v>
      </c>
      <c r="JQ354" t="s">
        <v>1043</v>
      </c>
      <c r="JT354">
        <v>0</v>
      </c>
      <c r="JU354" t="s">
        <v>1042</v>
      </c>
      <c r="JW354">
        <v>0</v>
      </c>
      <c r="KA354">
        <v>0</v>
      </c>
      <c r="KF354">
        <v>0</v>
      </c>
      <c r="KG354">
        <v>0</v>
      </c>
      <c r="KH354">
        <v>0</v>
      </c>
      <c r="KI354">
        <v>0</v>
      </c>
      <c r="KS354" t="s">
        <v>1073</v>
      </c>
      <c r="KT354">
        <v>0</v>
      </c>
      <c r="KU354">
        <v>0</v>
      </c>
      <c r="KV354">
        <v>0</v>
      </c>
      <c r="KX354">
        <v>0</v>
      </c>
      <c r="KZ354">
        <v>0</v>
      </c>
      <c r="LF354">
        <v>0</v>
      </c>
      <c r="LH354">
        <v>0</v>
      </c>
      <c r="LI354">
        <v>0</v>
      </c>
    </row>
    <row r="355" spans="1:321" x14ac:dyDescent="0.35">
      <c r="A355">
        <v>1</v>
      </c>
      <c r="B355">
        <v>1257</v>
      </c>
      <c r="C355" t="s">
        <v>645</v>
      </c>
      <c r="D355" t="s">
        <v>1061</v>
      </c>
      <c r="E355" t="s">
        <v>85</v>
      </c>
      <c r="F355">
        <v>1</v>
      </c>
      <c r="G355">
        <v>240</v>
      </c>
      <c r="H355">
        <v>0</v>
      </c>
      <c r="I355" t="s">
        <v>994</v>
      </c>
      <c r="L355">
        <v>0</v>
      </c>
      <c r="M355">
        <v>0</v>
      </c>
      <c r="N355">
        <v>0</v>
      </c>
      <c r="P355">
        <v>13</v>
      </c>
      <c r="Q355">
        <v>516</v>
      </c>
      <c r="R355">
        <v>0</v>
      </c>
      <c r="S355">
        <v>0</v>
      </c>
      <c r="W355" t="s">
        <v>1060</v>
      </c>
      <c r="X355">
        <v>0</v>
      </c>
      <c r="Z355">
        <v>10</v>
      </c>
      <c r="AA355">
        <v>48.855899999999998</v>
      </c>
      <c r="AB355">
        <v>4384</v>
      </c>
      <c r="AC355">
        <v>1.8260000000000001</v>
      </c>
      <c r="AD355" t="s">
        <v>1042</v>
      </c>
      <c r="AE355">
        <v>0</v>
      </c>
      <c r="AF355">
        <v>0.1648</v>
      </c>
      <c r="AH355">
        <v>1019</v>
      </c>
      <c r="AJ355">
        <v>0</v>
      </c>
      <c r="AL355">
        <v>17160</v>
      </c>
      <c r="AM355">
        <v>640</v>
      </c>
      <c r="AN355">
        <v>11501001</v>
      </c>
      <c r="AO355">
        <v>0</v>
      </c>
      <c r="AP355">
        <v>1002</v>
      </c>
      <c r="AT355">
        <v>0</v>
      </c>
      <c r="AU355" t="s">
        <v>1059</v>
      </c>
      <c r="AW355" t="s">
        <v>1053</v>
      </c>
      <c r="AX355">
        <v>0</v>
      </c>
      <c r="AY355" s="20">
        <v>43274</v>
      </c>
      <c r="BA355" s="20">
        <v>44526</v>
      </c>
      <c r="BB355" t="s">
        <v>1058</v>
      </c>
      <c r="BD355">
        <v>0</v>
      </c>
      <c r="BF355" t="s">
        <v>1044</v>
      </c>
      <c r="BG355" s="20">
        <v>41491</v>
      </c>
      <c r="BH355">
        <v>0</v>
      </c>
      <c r="BI355">
        <v>21</v>
      </c>
      <c r="BJ355">
        <v>0</v>
      </c>
      <c r="BK355">
        <v>0</v>
      </c>
      <c r="BM355" s="20">
        <v>41494</v>
      </c>
      <c r="BN355">
        <v>0</v>
      </c>
      <c r="BO355">
        <v>7897801312585</v>
      </c>
      <c r="BR355" t="s">
        <v>1043</v>
      </c>
      <c r="BS355" t="s">
        <v>1043</v>
      </c>
      <c r="BT355" t="s">
        <v>1043</v>
      </c>
      <c r="BV355">
        <v>1</v>
      </c>
      <c r="BW355">
        <v>2</v>
      </c>
      <c r="BY355">
        <v>69</v>
      </c>
      <c r="CA355">
        <v>0</v>
      </c>
      <c r="CB355" t="s">
        <v>1057</v>
      </c>
      <c r="CE355" t="s">
        <v>1043</v>
      </c>
      <c r="CH355" t="s">
        <v>1043</v>
      </c>
      <c r="CN355" t="s">
        <v>1056</v>
      </c>
      <c r="CO355" t="s">
        <v>1043</v>
      </c>
      <c r="CP355">
        <v>1</v>
      </c>
      <c r="CQ355">
        <v>20</v>
      </c>
      <c r="CS355">
        <v>0</v>
      </c>
      <c r="CT355">
        <v>0</v>
      </c>
      <c r="CU355">
        <v>0</v>
      </c>
      <c r="CV355" t="s">
        <v>1045</v>
      </c>
      <c r="CW355">
        <v>0</v>
      </c>
      <c r="CX355">
        <v>0</v>
      </c>
      <c r="CY355">
        <v>0</v>
      </c>
      <c r="CZ355">
        <v>0</v>
      </c>
      <c r="DA355">
        <v>5</v>
      </c>
      <c r="DB355">
        <v>10000</v>
      </c>
      <c r="DC355" t="s">
        <v>1043</v>
      </c>
      <c r="DF355" t="s">
        <v>1055</v>
      </c>
      <c r="DH355">
        <v>0</v>
      </c>
      <c r="DJ355">
        <v>0</v>
      </c>
      <c r="DK355" t="s">
        <v>1053</v>
      </c>
      <c r="DL355">
        <v>0</v>
      </c>
      <c r="DN355">
        <v>0</v>
      </c>
      <c r="DO355" t="s">
        <v>1042</v>
      </c>
      <c r="DP355">
        <v>0</v>
      </c>
      <c r="DQ355">
        <v>0</v>
      </c>
      <c r="DS355">
        <v>0</v>
      </c>
      <c r="DU355">
        <v>0</v>
      </c>
      <c r="DW355">
        <v>0</v>
      </c>
      <c r="DX355" t="s">
        <v>1043</v>
      </c>
      <c r="DY355">
        <v>0</v>
      </c>
      <c r="DZ355">
        <v>0</v>
      </c>
      <c r="EA355">
        <v>0</v>
      </c>
      <c r="EB355">
        <v>17897801312582</v>
      </c>
      <c r="ED355" t="s">
        <v>1045</v>
      </c>
      <c r="EE355">
        <v>0</v>
      </c>
      <c r="EF355">
        <v>0</v>
      </c>
      <c r="EL355">
        <v>57897801312580</v>
      </c>
      <c r="EN355" t="s">
        <v>1012</v>
      </c>
      <c r="EO355" t="s">
        <v>1044</v>
      </c>
      <c r="EQ355" t="s">
        <v>1044</v>
      </c>
      <c r="ES355" t="s">
        <v>1053</v>
      </c>
      <c r="ET355">
        <v>0</v>
      </c>
      <c r="EV355">
        <v>0</v>
      </c>
      <c r="EY355" t="s">
        <v>1052</v>
      </c>
      <c r="EZ355">
        <v>0</v>
      </c>
      <c r="FA355" t="s">
        <v>1043</v>
      </c>
      <c r="FB355">
        <v>0</v>
      </c>
      <c r="FC355">
        <v>0</v>
      </c>
      <c r="FD355" t="s">
        <v>1051</v>
      </c>
      <c r="FE355" t="s">
        <v>1050</v>
      </c>
      <c r="FF355">
        <v>0</v>
      </c>
      <c r="FG355" t="s">
        <v>1050</v>
      </c>
      <c r="FH355">
        <v>27897801312589</v>
      </c>
      <c r="FJ355">
        <v>0</v>
      </c>
      <c r="FK355">
        <v>0</v>
      </c>
      <c r="FP355">
        <v>0</v>
      </c>
      <c r="FR355">
        <v>0</v>
      </c>
      <c r="FS355" t="s">
        <v>1043</v>
      </c>
      <c r="FX355" t="s">
        <v>1042</v>
      </c>
      <c r="FZ355" t="s">
        <v>1048</v>
      </c>
      <c r="GA355">
        <v>0</v>
      </c>
      <c r="GB355" t="s">
        <v>1042</v>
      </c>
      <c r="GD355">
        <v>16</v>
      </c>
      <c r="GE355">
        <v>0</v>
      </c>
      <c r="GG355">
        <v>0</v>
      </c>
      <c r="GN355">
        <v>0</v>
      </c>
      <c r="GO355" t="s">
        <v>1049</v>
      </c>
      <c r="GQ355">
        <v>0</v>
      </c>
      <c r="GU355">
        <v>0</v>
      </c>
      <c r="GY355" t="s">
        <v>1045</v>
      </c>
      <c r="HB355">
        <v>0</v>
      </c>
      <c r="HE355">
        <v>30</v>
      </c>
      <c r="HF355">
        <v>0</v>
      </c>
      <c r="HG355">
        <v>2.7349999999999999E-2</v>
      </c>
      <c r="HK355" t="s">
        <v>1042</v>
      </c>
      <c r="HM355" t="s">
        <v>1047</v>
      </c>
      <c r="HN355">
        <v>0</v>
      </c>
      <c r="HO355">
        <v>27</v>
      </c>
      <c r="HP355">
        <v>8.7999999999999995E-2</v>
      </c>
      <c r="HQ355">
        <v>0</v>
      </c>
      <c r="HR355" t="s">
        <v>1042</v>
      </c>
      <c r="HS355" t="s">
        <v>1043</v>
      </c>
      <c r="HT355">
        <v>0</v>
      </c>
      <c r="HU355">
        <v>0</v>
      </c>
      <c r="HW355">
        <v>0</v>
      </c>
      <c r="HX355">
        <v>9431</v>
      </c>
      <c r="HY355">
        <v>0</v>
      </c>
      <c r="HZ355" t="s">
        <v>1045</v>
      </c>
      <c r="IA355">
        <v>0</v>
      </c>
      <c r="IB355" t="s">
        <v>1045</v>
      </c>
      <c r="ID355" t="s">
        <v>1045</v>
      </c>
      <c r="IF355">
        <v>560</v>
      </c>
      <c r="IG355" s="20">
        <v>41493</v>
      </c>
      <c r="IH355" t="s">
        <v>1046</v>
      </c>
      <c r="II355" t="s">
        <v>1042</v>
      </c>
      <c r="IR355" t="s">
        <v>1045</v>
      </c>
      <c r="IT355">
        <v>0</v>
      </c>
      <c r="IY355" t="s">
        <v>1044</v>
      </c>
      <c r="IZ355" t="s">
        <v>1043</v>
      </c>
      <c r="JC355" t="s">
        <v>1043</v>
      </c>
      <c r="JE355">
        <v>0</v>
      </c>
      <c r="JF355">
        <v>0</v>
      </c>
      <c r="JI355" t="s">
        <v>1042</v>
      </c>
      <c r="JJ355">
        <v>0</v>
      </c>
      <c r="JK355">
        <v>0</v>
      </c>
      <c r="JL355">
        <v>0</v>
      </c>
      <c r="JM355">
        <v>0</v>
      </c>
      <c r="JQ355" t="s">
        <v>1043</v>
      </c>
      <c r="JT355">
        <v>0</v>
      </c>
      <c r="JU355" t="s">
        <v>1042</v>
      </c>
      <c r="JW355">
        <v>0</v>
      </c>
      <c r="KA355">
        <v>0</v>
      </c>
      <c r="KF355">
        <v>0</v>
      </c>
      <c r="KG355">
        <v>0</v>
      </c>
      <c r="KH355">
        <v>0</v>
      </c>
      <c r="KI355">
        <v>0</v>
      </c>
      <c r="KS355" t="s">
        <v>1041</v>
      </c>
      <c r="KT355">
        <v>0</v>
      </c>
      <c r="KU355">
        <v>0</v>
      </c>
      <c r="KV355">
        <v>0</v>
      </c>
      <c r="KX355">
        <v>0</v>
      </c>
      <c r="KZ355">
        <v>0</v>
      </c>
      <c r="LF355">
        <v>0</v>
      </c>
      <c r="LH355">
        <v>30240</v>
      </c>
      <c r="LI355">
        <v>0</v>
      </c>
    </row>
    <row r="356" spans="1:321" x14ac:dyDescent="0.35">
      <c r="A356">
        <v>1</v>
      </c>
      <c r="B356">
        <v>12570</v>
      </c>
      <c r="C356" t="s">
        <v>1332</v>
      </c>
      <c r="D356" t="s">
        <v>1139</v>
      </c>
      <c r="E356" t="s">
        <v>85</v>
      </c>
      <c r="F356">
        <v>80</v>
      </c>
      <c r="G356">
        <v>9000</v>
      </c>
      <c r="H356">
        <v>0</v>
      </c>
      <c r="I356" t="s">
        <v>1331</v>
      </c>
      <c r="L356">
        <v>0</v>
      </c>
      <c r="M356">
        <v>0</v>
      </c>
      <c r="N356">
        <v>0</v>
      </c>
      <c r="R356">
        <v>0</v>
      </c>
      <c r="S356">
        <v>0</v>
      </c>
      <c r="W356" t="s">
        <v>1060</v>
      </c>
      <c r="X356">
        <v>0</v>
      </c>
      <c r="Z356">
        <v>1</v>
      </c>
      <c r="AA356">
        <v>0</v>
      </c>
      <c r="AB356">
        <v>0</v>
      </c>
      <c r="AC356">
        <v>52.42</v>
      </c>
      <c r="AD356" s="20">
        <v>40798</v>
      </c>
      <c r="AE356">
        <v>50.366</v>
      </c>
      <c r="AF356">
        <v>0</v>
      </c>
      <c r="AH356">
        <v>0</v>
      </c>
      <c r="AJ356">
        <v>0</v>
      </c>
      <c r="AL356">
        <v>0</v>
      </c>
      <c r="AM356">
        <v>0</v>
      </c>
      <c r="AN356">
        <v>16601001</v>
      </c>
      <c r="AO356">
        <v>0</v>
      </c>
      <c r="AP356">
        <v>1000</v>
      </c>
      <c r="AT356">
        <v>0</v>
      </c>
      <c r="AU356" t="s">
        <v>1059</v>
      </c>
      <c r="AW356" t="s">
        <v>1053</v>
      </c>
      <c r="AX356">
        <v>0</v>
      </c>
      <c r="AY356" s="20">
        <v>40798</v>
      </c>
      <c r="BA356" s="20">
        <v>40798</v>
      </c>
      <c r="BB356" t="s">
        <v>1058</v>
      </c>
      <c r="BD356">
        <v>0</v>
      </c>
      <c r="BF356" t="s">
        <v>1043</v>
      </c>
      <c r="BG356" t="s">
        <v>1042</v>
      </c>
      <c r="BH356">
        <v>0</v>
      </c>
      <c r="BI356">
        <v>1</v>
      </c>
      <c r="BJ356">
        <v>0</v>
      </c>
      <c r="BK356">
        <v>0</v>
      </c>
      <c r="BM356" t="s">
        <v>1042</v>
      </c>
      <c r="BN356">
        <v>0</v>
      </c>
      <c r="BR356" t="s">
        <v>1043</v>
      </c>
      <c r="BS356" t="s">
        <v>1043</v>
      </c>
      <c r="BT356" t="s">
        <v>1043</v>
      </c>
      <c r="BW356">
        <v>83</v>
      </c>
      <c r="CA356">
        <v>0</v>
      </c>
      <c r="CB356" t="s">
        <v>1057</v>
      </c>
      <c r="CE356" t="s">
        <v>1043</v>
      </c>
      <c r="CH356" t="s">
        <v>1043</v>
      </c>
      <c r="CN356" t="s">
        <v>1056</v>
      </c>
      <c r="CO356" t="s">
        <v>1043</v>
      </c>
      <c r="CP356">
        <v>1</v>
      </c>
      <c r="CQ356">
        <v>0</v>
      </c>
      <c r="CS356">
        <v>0</v>
      </c>
      <c r="CT356">
        <v>0</v>
      </c>
      <c r="CU356">
        <v>0</v>
      </c>
      <c r="CV356" t="s">
        <v>1045</v>
      </c>
      <c r="CW356">
        <v>0</v>
      </c>
      <c r="CX356">
        <v>0</v>
      </c>
      <c r="CY356">
        <v>0</v>
      </c>
      <c r="CZ356">
        <v>0</v>
      </c>
      <c r="DB356">
        <v>0</v>
      </c>
      <c r="DC356" t="s">
        <v>1043</v>
      </c>
      <c r="DF356" t="s">
        <v>1055</v>
      </c>
      <c r="DH356">
        <v>0</v>
      </c>
      <c r="DJ356">
        <v>0</v>
      </c>
      <c r="DK356" t="s">
        <v>1053</v>
      </c>
      <c r="DL356">
        <v>0</v>
      </c>
      <c r="DN356">
        <v>0</v>
      </c>
      <c r="DO356" t="s">
        <v>1042</v>
      </c>
      <c r="DP356">
        <v>0</v>
      </c>
      <c r="DQ356">
        <v>0</v>
      </c>
      <c r="DS356">
        <v>0</v>
      </c>
      <c r="DU356">
        <v>0</v>
      </c>
      <c r="DW356">
        <v>0</v>
      </c>
      <c r="DX356" t="s">
        <v>1043</v>
      </c>
      <c r="DY356">
        <v>0</v>
      </c>
      <c r="DZ356">
        <v>0</v>
      </c>
      <c r="EA356">
        <v>0</v>
      </c>
      <c r="ED356" t="s">
        <v>1045</v>
      </c>
      <c r="EE356">
        <v>0</v>
      </c>
      <c r="EF356">
        <v>0</v>
      </c>
      <c r="EQ356" t="s">
        <v>1044</v>
      </c>
      <c r="ES356" t="s">
        <v>1053</v>
      </c>
      <c r="ET356">
        <v>0</v>
      </c>
      <c r="EV356">
        <v>0</v>
      </c>
      <c r="EY356" t="s">
        <v>1052</v>
      </c>
      <c r="EZ356">
        <v>0</v>
      </c>
      <c r="FA356" t="s">
        <v>1043</v>
      </c>
      <c r="FB356">
        <v>0</v>
      </c>
      <c r="FC356">
        <v>0</v>
      </c>
      <c r="FE356" t="s">
        <v>1050</v>
      </c>
      <c r="FF356">
        <v>0</v>
      </c>
      <c r="FG356" t="s">
        <v>1050</v>
      </c>
      <c r="FJ356">
        <v>0</v>
      </c>
      <c r="FK356">
        <v>0</v>
      </c>
      <c r="FP356">
        <v>0</v>
      </c>
      <c r="FR356">
        <v>0</v>
      </c>
      <c r="FS356" t="s">
        <v>1043</v>
      </c>
      <c r="FX356" t="s">
        <v>1042</v>
      </c>
      <c r="FZ356" t="s">
        <v>1048</v>
      </c>
      <c r="GA356">
        <v>0</v>
      </c>
      <c r="GB356" t="s">
        <v>1042</v>
      </c>
      <c r="GE356">
        <v>0</v>
      </c>
      <c r="GG356">
        <v>0</v>
      </c>
      <c r="GN356">
        <v>0</v>
      </c>
      <c r="GO356" t="s">
        <v>1063</v>
      </c>
      <c r="GQ356">
        <v>0</v>
      </c>
      <c r="GU356">
        <v>0</v>
      </c>
      <c r="GY356" t="s">
        <v>1045</v>
      </c>
      <c r="HB356">
        <v>0</v>
      </c>
      <c r="HE356">
        <v>0</v>
      </c>
      <c r="HF356">
        <v>0</v>
      </c>
      <c r="HG356">
        <v>0</v>
      </c>
      <c r="HK356" t="s">
        <v>1042</v>
      </c>
      <c r="HM356" t="s">
        <v>1047</v>
      </c>
      <c r="HN356">
        <v>0</v>
      </c>
      <c r="HP356">
        <v>0</v>
      </c>
      <c r="HQ356">
        <v>0</v>
      </c>
      <c r="HR356" t="s">
        <v>1042</v>
      </c>
      <c r="HS356" t="s">
        <v>1043</v>
      </c>
      <c r="HT356">
        <v>0</v>
      </c>
      <c r="HU356">
        <v>0</v>
      </c>
      <c r="HW356">
        <v>0</v>
      </c>
      <c r="HX356">
        <v>0</v>
      </c>
      <c r="HY356">
        <v>0</v>
      </c>
      <c r="HZ356" t="s">
        <v>1045</v>
      </c>
      <c r="IA356">
        <v>0</v>
      </c>
      <c r="IB356" t="s">
        <v>1045</v>
      </c>
      <c r="ID356" t="s">
        <v>1045</v>
      </c>
      <c r="IF356">
        <v>0</v>
      </c>
      <c r="IG356" t="s">
        <v>1042</v>
      </c>
      <c r="II356" t="s">
        <v>1042</v>
      </c>
      <c r="IR356" t="s">
        <v>1045</v>
      </c>
      <c r="IT356">
        <v>0</v>
      </c>
      <c r="IY356" t="s">
        <v>1044</v>
      </c>
      <c r="IZ356" t="s">
        <v>1043</v>
      </c>
      <c r="JC356" t="s">
        <v>1043</v>
      </c>
      <c r="JE356">
        <v>0</v>
      </c>
      <c r="JF356">
        <v>0</v>
      </c>
      <c r="JI356" t="s">
        <v>1042</v>
      </c>
      <c r="JJ356">
        <v>0</v>
      </c>
      <c r="JK356">
        <v>0</v>
      </c>
      <c r="JL356">
        <v>0</v>
      </c>
      <c r="JM356">
        <v>0</v>
      </c>
      <c r="JQ356" t="s">
        <v>1043</v>
      </c>
      <c r="JT356">
        <v>0</v>
      </c>
      <c r="JU356" t="s">
        <v>1042</v>
      </c>
      <c r="JW356">
        <v>0</v>
      </c>
      <c r="KA356">
        <v>0</v>
      </c>
      <c r="KF356">
        <v>0</v>
      </c>
      <c r="KG356">
        <v>0</v>
      </c>
      <c r="KH356">
        <v>0</v>
      </c>
      <c r="KI356">
        <v>0</v>
      </c>
      <c r="KS356" t="s">
        <v>1073</v>
      </c>
      <c r="KT356">
        <v>0</v>
      </c>
      <c r="KU356">
        <v>0</v>
      </c>
      <c r="KV356">
        <v>0</v>
      </c>
      <c r="KX356">
        <v>0</v>
      </c>
      <c r="KZ356">
        <v>0</v>
      </c>
      <c r="LF356">
        <v>0</v>
      </c>
      <c r="LH356">
        <v>0</v>
      </c>
      <c r="LI356">
        <v>0</v>
      </c>
    </row>
    <row r="357" spans="1:321" x14ac:dyDescent="0.35">
      <c r="A357">
        <v>1</v>
      </c>
      <c r="B357">
        <v>12571</v>
      </c>
      <c r="C357" t="s">
        <v>1330</v>
      </c>
      <c r="D357" t="s">
        <v>1139</v>
      </c>
      <c r="E357" t="s">
        <v>85</v>
      </c>
      <c r="F357">
        <v>80</v>
      </c>
      <c r="G357">
        <v>9000</v>
      </c>
      <c r="H357">
        <v>0</v>
      </c>
      <c r="I357" t="s">
        <v>1329</v>
      </c>
      <c r="L357">
        <v>0</v>
      </c>
      <c r="M357">
        <v>0</v>
      </c>
      <c r="N357">
        <v>0</v>
      </c>
      <c r="R357">
        <v>0</v>
      </c>
      <c r="S357">
        <v>0</v>
      </c>
      <c r="W357" t="s">
        <v>1060</v>
      </c>
      <c r="X357">
        <v>0</v>
      </c>
      <c r="Z357">
        <v>1</v>
      </c>
      <c r="AA357">
        <v>0</v>
      </c>
      <c r="AB357">
        <v>0</v>
      </c>
      <c r="AC357">
        <v>2235.0700000000002</v>
      </c>
      <c r="AD357" s="20">
        <v>41842</v>
      </c>
      <c r="AE357">
        <v>2462.89</v>
      </c>
      <c r="AF357">
        <v>0</v>
      </c>
      <c r="AH357">
        <v>0</v>
      </c>
      <c r="AJ357">
        <v>0</v>
      </c>
      <c r="AL357">
        <v>1</v>
      </c>
      <c r="AM357">
        <v>0</v>
      </c>
      <c r="AN357">
        <v>16601001</v>
      </c>
      <c r="AO357">
        <v>0</v>
      </c>
      <c r="AP357">
        <v>1000</v>
      </c>
      <c r="AT357">
        <v>0</v>
      </c>
      <c r="AU357" t="s">
        <v>1059</v>
      </c>
      <c r="AW357" t="s">
        <v>1053</v>
      </c>
      <c r="AX357">
        <v>0</v>
      </c>
      <c r="AY357" s="20">
        <v>40798</v>
      </c>
      <c r="BA357" s="20">
        <v>40798</v>
      </c>
      <c r="BB357" t="s">
        <v>1058</v>
      </c>
      <c r="BD357">
        <v>0</v>
      </c>
      <c r="BF357" t="s">
        <v>1043</v>
      </c>
      <c r="BG357" t="s">
        <v>1042</v>
      </c>
      <c r="BH357">
        <v>0</v>
      </c>
      <c r="BI357">
        <v>1</v>
      </c>
      <c r="BJ357">
        <v>0</v>
      </c>
      <c r="BK357">
        <v>0</v>
      </c>
      <c r="BM357" t="s">
        <v>1042</v>
      </c>
      <c r="BN357">
        <v>0</v>
      </c>
      <c r="BR357" t="s">
        <v>1043</v>
      </c>
      <c r="BS357" t="s">
        <v>1043</v>
      </c>
      <c r="BT357" t="s">
        <v>1043</v>
      </c>
      <c r="BW357">
        <v>83</v>
      </c>
      <c r="CA357">
        <v>0</v>
      </c>
      <c r="CB357" t="s">
        <v>1057</v>
      </c>
      <c r="CE357" t="s">
        <v>1043</v>
      </c>
      <c r="CH357" t="s">
        <v>1043</v>
      </c>
      <c r="CN357" t="s">
        <v>1056</v>
      </c>
      <c r="CO357" t="s">
        <v>1043</v>
      </c>
      <c r="CP357">
        <v>1</v>
      </c>
      <c r="CQ357">
        <v>0</v>
      </c>
      <c r="CS357">
        <v>0</v>
      </c>
      <c r="CT357">
        <v>0</v>
      </c>
      <c r="CU357">
        <v>0</v>
      </c>
      <c r="CV357" t="s">
        <v>1045</v>
      </c>
      <c r="CW357">
        <v>0</v>
      </c>
      <c r="CX357">
        <v>0</v>
      </c>
      <c r="CY357">
        <v>0</v>
      </c>
      <c r="CZ357">
        <v>0</v>
      </c>
      <c r="DB357">
        <v>0</v>
      </c>
      <c r="DC357" t="s">
        <v>1043</v>
      </c>
      <c r="DF357" t="s">
        <v>1055</v>
      </c>
      <c r="DH357">
        <v>0</v>
      </c>
      <c r="DJ357">
        <v>0</v>
      </c>
      <c r="DK357" t="s">
        <v>1053</v>
      </c>
      <c r="DL357">
        <v>0</v>
      </c>
      <c r="DN357">
        <v>0</v>
      </c>
      <c r="DO357" t="s">
        <v>1042</v>
      </c>
      <c r="DP357">
        <v>0</v>
      </c>
      <c r="DQ357">
        <v>0</v>
      </c>
      <c r="DS357">
        <v>0</v>
      </c>
      <c r="DU357">
        <v>0</v>
      </c>
      <c r="DW357">
        <v>0</v>
      </c>
      <c r="DX357" t="s">
        <v>1043</v>
      </c>
      <c r="DY357">
        <v>0</v>
      </c>
      <c r="DZ357">
        <v>0</v>
      </c>
      <c r="EA357">
        <v>0</v>
      </c>
      <c r="ED357" t="s">
        <v>1045</v>
      </c>
      <c r="EE357">
        <v>0</v>
      </c>
      <c r="EF357">
        <v>0</v>
      </c>
      <c r="EQ357" t="s">
        <v>1044</v>
      </c>
      <c r="ES357" t="s">
        <v>1053</v>
      </c>
      <c r="ET357">
        <v>0</v>
      </c>
      <c r="EV357">
        <v>0</v>
      </c>
      <c r="EY357" t="s">
        <v>1052</v>
      </c>
      <c r="EZ357">
        <v>0</v>
      </c>
      <c r="FA357" t="s">
        <v>1043</v>
      </c>
      <c r="FB357">
        <v>0</v>
      </c>
      <c r="FC357">
        <v>0</v>
      </c>
      <c r="FE357" t="s">
        <v>1050</v>
      </c>
      <c r="FF357">
        <v>0</v>
      </c>
      <c r="FG357" t="s">
        <v>1050</v>
      </c>
      <c r="FJ357">
        <v>0</v>
      </c>
      <c r="FK357">
        <v>0</v>
      </c>
      <c r="FP357">
        <v>0</v>
      </c>
      <c r="FR357">
        <v>0</v>
      </c>
      <c r="FS357" t="s">
        <v>1043</v>
      </c>
      <c r="FX357" t="s">
        <v>1042</v>
      </c>
      <c r="FZ357" t="s">
        <v>1048</v>
      </c>
      <c r="GA357">
        <v>0</v>
      </c>
      <c r="GB357" t="s">
        <v>1042</v>
      </c>
      <c r="GE357">
        <v>0</v>
      </c>
      <c r="GG357">
        <v>0</v>
      </c>
      <c r="GN357">
        <v>0</v>
      </c>
      <c r="GO357" t="s">
        <v>1063</v>
      </c>
      <c r="GQ357">
        <v>0</v>
      </c>
      <c r="GU357">
        <v>0</v>
      </c>
      <c r="GY357" t="s">
        <v>1045</v>
      </c>
      <c r="HB357">
        <v>0</v>
      </c>
      <c r="HE357">
        <v>0</v>
      </c>
      <c r="HF357">
        <v>0</v>
      </c>
      <c r="HG357">
        <v>0</v>
      </c>
      <c r="HK357" t="s">
        <v>1042</v>
      </c>
      <c r="HM357" t="s">
        <v>1047</v>
      </c>
      <c r="HN357">
        <v>0</v>
      </c>
      <c r="HP357">
        <v>0</v>
      </c>
      <c r="HQ357">
        <v>0</v>
      </c>
      <c r="HR357" t="s">
        <v>1042</v>
      </c>
      <c r="HS357" t="s">
        <v>1043</v>
      </c>
      <c r="HT357">
        <v>0</v>
      </c>
      <c r="HU357">
        <v>0</v>
      </c>
      <c r="HW357">
        <v>0</v>
      </c>
      <c r="HX357">
        <v>0</v>
      </c>
      <c r="HY357">
        <v>0</v>
      </c>
      <c r="HZ357" t="s">
        <v>1045</v>
      </c>
      <c r="IA357">
        <v>0</v>
      </c>
      <c r="IB357" t="s">
        <v>1045</v>
      </c>
      <c r="ID357" t="s">
        <v>1045</v>
      </c>
      <c r="IF357">
        <v>0</v>
      </c>
      <c r="IG357" t="s">
        <v>1042</v>
      </c>
      <c r="II357" t="s">
        <v>1042</v>
      </c>
      <c r="IR357" t="s">
        <v>1045</v>
      </c>
      <c r="IT357">
        <v>0</v>
      </c>
      <c r="IY357" t="s">
        <v>1044</v>
      </c>
      <c r="IZ357" t="s">
        <v>1043</v>
      </c>
      <c r="JC357" t="s">
        <v>1043</v>
      </c>
      <c r="JE357">
        <v>0</v>
      </c>
      <c r="JF357">
        <v>0</v>
      </c>
      <c r="JI357" t="s">
        <v>1042</v>
      </c>
      <c r="JJ357">
        <v>0</v>
      </c>
      <c r="JK357">
        <v>0</v>
      </c>
      <c r="JL357">
        <v>0</v>
      </c>
      <c r="JM357">
        <v>0</v>
      </c>
      <c r="JQ357" t="s">
        <v>1043</v>
      </c>
      <c r="JT357">
        <v>0</v>
      </c>
      <c r="JU357" t="s">
        <v>1042</v>
      </c>
      <c r="JW357">
        <v>0</v>
      </c>
      <c r="KA357">
        <v>0</v>
      </c>
      <c r="KF357">
        <v>0</v>
      </c>
      <c r="KG357">
        <v>0</v>
      </c>
      <c r="KH357">
        <v>0</v>
      </c>
      <c r="KI357">
        <v>0</v>
      </c>
      <c r="KS357" t="s">
        <v>1073</v>
      </c>
      <c r="KT357">
        <v>0</v>
      </c>
      <c r="KU357">
        <v>0</v>
      </c>
      <c r="KV357">
        <v>0</v>
      </c>
      <c r="KX357">
        <v>0</v>
      </c>
      <c r="KZ357">
        <v>0</v>
      </c>
      <c r="LF357">
        <v>0</v>
      </c>
      <c r="LH357">
        <v>0</v>
      </c>
      <c r="LI357">
        <v>0</v>
      </c>
    </row>
    <row r="358" spans="1:321" x14ac:dyDescent="0.35">
      <c r="A358">
        <v>1</v>
      </c>
      <c r="B358">
        <v>12572</v>
      </c>
      <c r="C358" t="s">
        <v>1328</v>
      </c>
      <c r="D358" t="s">
        <v>1139</v>
      </c>
      <c r="E358" t="s">
        <v>85</v>
      </c>
      <c r="F358">
        <v>80</v>
      </c>
      <c r="G358">
        <v>9000</v>
      </c>
      <c r="H358">
        <v>0</v>
      </c>
      <c r="I358" t="s">
        <v>1327</v>
      </c>
      <c r="L358">
        <v>0</v>
      </c>
      <c r="M358">
        <v>0</v>
      </c>
      <c r="N358">
        <v>0</v>
      </c>
      <c r="R358">
        <v>0</v>
      </c>
      <c r="S358">
        <v>0</v>
      </c>
      <c r="W358" t="s">
        <v>1060</v>
      </c>
      <c r="X358">
        <v>0</v>
      </c>
      <c r="Z358">
        <v>1</v>
      </c>
      <c r="AA358">
        <v>0</v>
      </c>
      <c r="AB358">
        <v>0</v>
      </c>
      <c r="AC358">
        <v>1466.75</v>
      </c>
      <c r="AD358" s="20">
        <v>40778</v>
      </c>
      <c r="AE358">
        <v>1411</v>
      </c>
      <c r="AF358">
        <v>0</v>
      </c>
      <c r="AH358">
        <v>0</v>
      </c>
      <c r="AJ358">
        <v>0</v>
      </c>
      <c r="AL358">
        <v>0</v>
      </c>
      <c r="AM358">
        <v>0</v>
      </c>
      <c r="AN358">
        <v>16601001</v>
      </c>
      <c r="AO358">
        <v>0</v>
      </c>
      <c r="AP358">
        <v>1000</v>
      </c>
      <c r="AT358">
        <v>0</v>
      </c>
      <c r="AU358" t="s">
        <v>1059</v>
      </c>
      <c r="AW358" t="s">
        <v>1053</v>
      </c>
      <c r="AX358">
        <v>0</v>
      </c>
      <c r="AY358" s="20">
        <v>40798</v>
      </c>
      <c r="BA358" s="20">
        <v>40798</v>
      </c>
      <c r="BB358" t="s">
        <v>1058</v>
      </c>
      <c r="BD358">
        <v>0</v>
      </c>
      <c r="BF358" t="s">
        <v>1043</v>
      </c>
      <c r="BG358" t="s">
        <v>1042</v>
      </c>
      <c r="BH358">
        <v>0</v>
      </c>
      <c r="BI358">
        <v>1</v>
      </c>
      <c r="BJ358">
        <v>0</v>
      </c>
      <c r="BK358">
        <v>0</v>
      </c>
      <c r="BM358" t="s">
        <v>1042</v>
      </c>
      <c r="BN358">
        <v>0</v>
      </c>
      <c r="BR358" t="s">
        <v>1043</v>
      </c>
      <c r="BS358" t="s">
        <v>1043</v>
      </c>
      <c r="BT358" t="s">
        <v>1043</v>
      </c>
      <c r="BW358">
        <v>83</v>
      </c>
      <c r="CA358">
        <v>0</v>
      </c>
      <c r="CB358" t="s">
        <v>1057</v>
      </c>
      <c r="CE358" t="s">
        <v>1043</v>
      </c>
      <c r="CH358" t="s">
        <v>1043</v>
      </c>
      <c r="CN358" t="s">
        <v>1056</v>
      </c>
      <c r="CO358" t="s">
        <v>1043</v>
      </c>
      <c r="CP358">
        <v>1</v>
      </c>
      <c r="CQ358">
        <v>0</v>
      </c>
      <c r="CS358">
        <v>0</v>
      </c>
      <c r="CT358">
        <v>0</v>
      </c>
      <c r="CU358">
        <v>0</v>
      </c>
      <c r="CV358" t="s">
        <v>1045</v>
      </c>
      <c r="CW358">
        <v>0</v>
      </c>
      <c r="CX358">
        <v>0</v>
      </c>
      <c r="CY358">
        <v>0</v>
      </c>
      <c r="CZ358">
        <v>0</v>
      </c>
      <c r="DB358">
        <v>0</v>
      </c>
      <c r="DC358" t="s">
        <v>1043</v>
      </c>
      <c r="DF358" t="s">
        <v>1055</v>
      </c>
      <c r="DH358">
        <v>0</v>
      </c>
      <c r="DJ358">
        <v>0</v>
      </c>
      <c r="DK358" t="s">
        <v>1053</v>
      </c>
      <c r="DL358">
        <v>0</v>
      </c>
      <c r="DN358">
        <v>0</v>
      </c>
      <c r="DO358" t="s">
        <v>1042</v>
      </c>
      <c r="DP358">
        <v>0</v>
      </c>
      <c r="DQ358">
        <v>0</v>
      </c>
      <c r="DS358">
        <v>0</v>
      </c>
      <c r="DU358">
        <v>0</v>
      </c>
      <c r="DW358">
        <v>0</v>
      </c>
      <c r="DX358" t="s">
        <v>1043</v>
      </c>
      <c r="DY358">
        <v>0</v>
      </c>
      <c r="DZ358">
        <v>0</v>
      </c>
      <c r="EA358">
        <v>0</v>
      </c>
      <c r="ED358" t="s">
        <v>1045</v>
      </c>
      <c r="EE358">
        <v>0</v>
      </c>
      <c r="EF358">
        <v>0</v>
      </c>
      <c r="EQ358" t="s">
        <v>1044</v>
      </c>
      <c r="ES358" t="s">
        <v>1053</v>
      </c>
      <c r="ET358">
        <v>0</v>
      </c>
      <c r="EV358">
        <v>0</v>
      </c>
      <c r="EY358" t="s">
        <v>1052</v>
      </c>
      <c r="EZ358">
        <v>0</v>
      </c>
      <c r="FA358" t="s">
        <v>1043</v>
      </c>
      <c r="FB358">
        <v>0</v>
      </c>
      <c r="FC358">
        <v>0</v>
      </c>
      <c r="FE358" t="s">
        <v>1050</v>
      </c>
      <c r="FF358">
        <v>0</v>
      </c>
      <c r="FG358" t="s">
        <v>1050</v>
      </c>
      <c r="FJ358">
        <v>0</v>
      </c>
      <c r="FK358">
        <v>0</v>
      </c>
      <c r="FP358">
        <v>0</v>
      </c>
      <c r="FR358">
        <v>0</v>
      </c>
      <c r="FS358" t="s">
        <v>1043</v>
      </c>
      <c r="FX358" t="s">
        <v>1042</v>
      </c>
      <c r="FZ358" t="s">
        <v>1048</v>
      </c>
      <c r="GA358">
        <v>0</v>
      </c>
      <c r="GB358" t="s">
        <v>1042</v>
      </c>
      <c r="GE358">
        <v>0</v>
      </c>
      <c r="GG358">
        <v>0</v>
      </c>
      <c r="GN358">
        <v>0</v>
      </c>
      <c r="GO358" t="s">
        <v>1063</v>
      </c>
      <c r="GQ358">
        <v>0</v>
      </c>
      <c r="GU358">
        <v>0</v>
      </c>
      <c r="GY358" t="s">
        <v>1045</v>
      </c>
      <c r="HB358">
        <v>0</v>
      </c>
      <c r="HE358">
        <v>0</v>
      </c>
      <c r="HF358">
        <v>0</v>
      </c>
      <c r="HG358">
        <v>0</v>
      </c>
      <c r="HK358" t="s">
        <v>1042</v>
      </c>
      <c r="HM358" t="s">
        <v>1047</v>
      </c>
      <c r="HN358">
        <v>0</v>
      </c>
      <c r="HP358">
        <v>0</v>
      </c>
      <c r="HQ358">
        <v>0</v>
      </c>
      <c r="HR358" t="s">
        <v>1042</v>
      </c>
      <c r="HS358" t="s">
        <v>1043</v>
      </c>
      <c r="HT358">
        <v>0</v>
      </c>
      <c r="HU358">
        <v>0</v>
      </c>
      <c r="HW358">
        <v>0</v>
      </c>
      <c r="HX358">
        <v>0</v>
      </c>
      <c r="HY358">
        <v>0</v>
      </c>
      <c r="HZ358" t="s">
        <v>1045</v>
      </c>
      <c r="IA358">
        <v>0</v>
      </c>
      <c r="IB358" t="s">
        <v>1045</v>
      </c>
      <c r="ID358" t="s">
        <v>1045</v>
      </c>
      <c r="IF358">
        <v>0</v>
      </c>
      <c r="IG358" t="s">
        <v>1042</v>
      </c>
      <c r="II358" t="s">
        <v>1042</v>
      </c>
      <c r="IR358" t="s">
        <v>1045</v>
      </c>
      <c r="IT358">
        <v>0</v>
      </c>
      <c r="IY358" t="s">
        <v>1044</v>
      </c>
      <c r="IZ358" t="s">
        <v>1043</v>
      </c>
      <c r="JC358" t="s">
        <v>1043</v>
      </c>
      <c r="JE358">
        <v>0</v>
      </c>
      <c r="JF358">
        <v>0</v>
      </c>
      <c r="JI358" t="s">
        <v>1042</v>
      </c>
      <c r="JJ358">
        <v>0</v>
      </c>
      <c r="JK358">
        <v>0</v>
      </c>
      <c r="JL358">
        <v>0</v>
      </c>
      <c r="JM358">
        <v>0</v>
      </c>
      <c r="JQ358" t="s">
        <v>1043</v>
      </c>
      <c r="JT358">
        <v>0</v>
      </c>
      <c r="JU358" t="s">
        <v>1042</v>
      </c>
      <c r="JW358">
        <v>0</v>
      </c>
      <c r="KA358">
        <v>0</v>
      </c>
      <c r="KF358">
        <v>0</v>
      </c>
      <c r="KG358">
        <v>0</v>
      </c>
      <c r="KH358">
        <v>0</v>
      </c>
      <c r="KI358">
        <v>0</v>
      </c>
      <c r="KS358" t="s">
        <v>1073</v>
      </c>
      <c r="KT358">
        <v>0</v>
      </c>
      <c r="KU358">
        <v>0</v>
      </c>
      <c r="KV358">
        <v>0</v>
      </c>
      <c r="KX358">
        <v>0</v>
      </c>
      <c r="KZ358">
        <v>0</v>
      </c>
      <c r="LF358">
        <v>0</v>
      </c>
      <c r="LH358">
        <v>0</v>
      </c>
      <c r="LI358">
        <v>0</v>
      </c>
    </row>
    <row r="359" spans="1:321" x14ac:dyDescent="0.35">
      <c r="A359">
        <v>1</v>
      </c>
      <c r="B359">
        <v>12573</v>
      </c>
      <c r="C359" t="s">
        <v>1326</v>
      </c>
      <c r="D359" t="s">
        <v>1139</v>
      </c>
      <c r="E359" t="s">
        <v>85</v>
      </c>
      <c r="F359">
        <v>80</v>
      </c>
      <c r="G359">
        <v>9000</v>
      </c>
      <c r="H359">
        <v>0</v>
      </c>
      <c r="I359" t="s">
        <v>991</v>
      </c>
      <c r="L359">
        <v>0</v>
      </c>
      <c r="M359">
        <v>0</v>
      </c>
      <c r="N359">
        <v>0</v>
      </c>
      <c r="R359">
        <v>0</v>
      </c>
      <c r="S359">
        <v>0</v>
      </c>
      <c r="W359" t="s">
        <v>1060</v>
      </c>
      <c r="X359">
        <v>0</v>
      </c>
      <c r="Z359">
        <v>1</v>
      </c>
      <c r="AA359">
        <v>0</v>
      </c>
      <c r="AB359">
        <v>0</v>
      </c>
      <c r="AC359">
        <v>34.72</v>
      </c>
      <c r="AD359" s="20">
        <v>40798</v>
      </c>
      <c r="AE359">
        <v>33.4</v>
      </c>
      <c r="AF359">
        <v>0</v>
      </c>
      <c r="AH359">
        <v>0</v>
      </c>
      <c r="AJ359">
        <v>0</v>
      </c>
      <c r="AL359">
        <v>0</v>
      </c>
      <c r="AM359">
        <v>0</v>
      </c>
      <c r="AN359">
        <v>16301003</v>
      </c>
      <c r="AO359">
        <v>0</v>
      </c>
      <c r="AP359">
        <v>1000</v>
      </c>
      <c r="AT359">
        <v>0</v>
      </c>
      <c r="AU359" t="s">
        <v>1059</v>
      </c>
      <c r="AW359" t="s">
        <v>1053</v>
      </c>
      <c r="AX359">
        <v>0</v>
      </c>
      <c r="AY359" s="20">
        <v>40798</v>
      </c>
      <c r="BA359" s="20">
        <v>40798</v>
      </c>
      <c r="BB359" t="s">
        <v>1058</v>
      </c>
      <c r="BD359">
        <v>0</v>
      </c>
      <c r="BF359" t="s">
        <v>1043</v>
      </c>
      <c r="BG359" t="s">
        <v>1042</v>
      </c>
      <c r="BH359">
        <v>0</v>
      </c>
      <c r="BI359">
        <v>1</v>
      </c>
      <c r="BJ359">
        <v>0</v>
      </c>
      <c r="BK359">
        <v>0</v>
      </c>
      <c r="BM359" t="s">
        <v>1042</v>
      </c>
      <c r="BN359">
        <v>0</v>
      </c>
      <c r="BR359" t="s">
        <v>1043</v>
      </c>
      <c r="BS359" t="s">
        <v>1043</v>
      </c>
      <c r="BT359" t="s">
        <v>1043</v>
      </c>
      <c r="BW359">
        <v>83</v>
      </c>
      <c r="CA359">
        <v>0</v>
      </c>
      <c r="CB359" t="s">
        <v>1057</v>
      </c>
      <c r="CE359" t="s">
        <v>1043</v>
      </c>
      <c r="CH359" t="s">
        <v>1043</v>
      </c>
      <c r="CN359" t="s">
        <v>1056</v>
      </c>
      <c r="CO359" t="s">
        <v>1043</v>
      </c>
      <c r="CP359">
        <v>1</v>
      </c>
      <c r="CQ359">
        <v>0</v>
      </c>
      <c r="CS359">
        <v>0</v>
      </c>
      <c r="CT359">
        <v>0</v>
      </c>
      <c r="CU359">
        <v>0</v>
      </c>
      <c r="CV359" t="s">
        <v>1045</v>
      </c>
      <c r="CW359">
        <v>0</v>
      </c>
      <c r="CX359">
        <v>0</v>
      </c>
      <c r="CY359">
        <v>0</v>
      </c>
      <c r="CZ359">
        <v>0</v>
      </c>
      <c r="DB359">
        <v>0</v>
      </c>
      <c r="DC359" t="s">
        <v>1043</v>
      </c>
      <c r="DF359" t="s">
        <v>1055</v>
      </c>
      <c r="DH359">
        <v>0</v>
      </c>
      <c r="DJ359">
        <v>0</v>
      </c>
      <c r="DK359" t="s">
        <v>1053</v>
      </c>
      <c r="DL359">
        <v>0</v>
      </c>
      <c r="DN359">
        <v>0</v>
      </c>
      <c r="DO359" t="s">
        <v>1042</v>
      </c>
      <c r="DP359">
        <v>0</v>
      </c>
      <c r="DQ359">
        <v>0</v>
      </c>
      <c r="DS359">
        <v>0</v>
      </c>
      <c r="DU359">
        <v>0</v>
      </c>
      <c r="DW359">
        <v>0</v>
      </c>
      <c r="DX359" t="s">
        <v>1043</v>
      </c>
      <c r="DY359">
        <v>0</v>
      </c>
      <c r="DZ359">
        <v>0</v>
      </c>
      <c r="EA359">
        <v>0</v>
      </c>
      <c r="ED359" t="s">
        <v>1045</v>
      </c>
      <c r="EE359">
        <v>0</v>
      </c>
      <c r="EF359">
        <v>0</v>
      </c>
      <c r="EQ359" t="s">
        <v>1044</v>
      </c>
      <c r="ES359" t="s">
        <v>1053</v>
      </c>
      <c r="ET359">
        <v>0</v>
      </c>
      <c r="EV359">
        <v>0</v>
      </c>
      <c r="EY359" t="s">
        <v>1052</v>
      </c>
      <c r="EZ359">
        <v>0</v>
      </c>
      <c r="FA359" t="s">
        <v>1043</v>
      </c>
      <c r="FB359">
        <v>0</v>
      </c>
      <c r="FC359">
        <v>0</v>
      </c>
      <c r="FE359" t="s">
        <v>1050</v>
      </c>
      <c r="FF359">
        <v>0</v>
      </c>
      <c r="FG359" t="s">
        <v>1050</v>
      </c>
      <c r="FJ359">
        <v>0</v>
      </c>
      <c r="FK359">
        <v>0</v>
      </c>
      <c r="FP359">
        <v>0</v>
      </c>
      <c r="FR359">
        <v>0</v>
      </c>
      <c r="FS359" t="s">
        <v>1043</v>
      </c>
      <c r="FX359" t="s">
        <v>1042</v>
      </c>
      <c r="FZ359" t="s">
        <v>1048</v>
      </c>
      <c r="GA359">
        <v>0</v>
      </c>
      <c r="GB359" t="s">
        <v>1042</v>
      </c>
      <c r="GE359">
        <v>0</v>
      </c>
      <c r="GG359">
        <v>0</v>
      </c>
      <c r="GN359">
        <v>0</v>
      </c>
      <c r="GO359" t="s">
        <v>1063</v>
      </c>
      <c r="GQ359">
        <v>0</v>
      </c>
      <c r="GU359">
        <v>0</v>
      </c>
      <c r="GY359" t="s">
        <v>1045</v>
      </c>
      <c r="HB359">
        <v>0</v>
      </c>
      <c r="HE359">
        <v>0</v>
      </c>
      <c r="HF359">
        <v>0</v>
      </c>
      <c r="HG359">
        <v>0</v>
      </c>
      <c r="HK359" t="s">
        <v>1042</v>
      </c>
      <c r="HM359" t="s">
        <v>1047</v>
      </c>
      <c r="HN359">
        <v>0</v>
      </c>
      <c r="HP359">
        <v>0</v>
      </c>
      <c r="HQ359">
        <v>0</v>
      </c>
      <c r="HR359" t="s">
        <v>1042</v>
      </c>
      <c r="HS359" t="s">
        <v>1043</v>
      </c>
      <c r="HT359">
        <v>0</v>
      </c>
      <c r="HU359">
        <v>0</v>
      </c>
      <c r="HW359">
        <v>0</v>
      </c>
      <c r="HX359">
        <v>0</v>
      </c>
      <c r="HY359">
        <v>0</v>
      </c>
      <c r="HZ359" t="s">
        <v>1045</v>
      </c>
      <c r="IA359">
        <v>0</v>
      </c>
      <c r="IB359" t="s">
        <v>1045</v>
      </c>
      <c r="ID359" t="s">
        <v>1045</v>
      </c>
      <c r="IF359">
        <v>0</v>
      </c>
      <c r="IG359" t="s">
        <v>1042</v>
      </c>
      <c r="II359" t="s">
        <v>1042</v>
      </c>
      <c r="IR359" t="s">
        <v>1045</v>
      </c>
      <c r="IT359">
        <v>0</v>
      </c>
      <c r="IY359" t="s">
        <v>1044</v>
      </c>
      <c r="IZ359" t="s">
        <v>1043</v>
      </c>
      <c r="JC359" t="s">
        <v>1043</v>
      </c>
      <c r="JE359">
        <v>0</v>
      </c>
      <c r="JF359">
        <v>0</v>
      </c>
      <c r="JI359" t="s">
        <v>1042</v>
      </c>
      <c r="JJ359">
        <v>0</v>
      </c>
      <c r="JK359">
        <v>0</v>
      </c>
      <c r="JL359">
        <v>0</v>
      </c>
      <c r="JM359">
        <v>0</v>
      </c>
      <c r="JQ359" t="s">
        <v>1043</v>
      </c>
      <c r="JT359">
        <v>0</v>
      </c>
      <c r="JU359" t="s">
        <v>1042</v>
      </c>
      <c r="JW359">
        <v>0</v>
      </c>
      <c r="KA359">
        <v>0</v>
      </c>
      <c r="KF359">
        <v>0</v>
      </c>
      <c r="KG359">
        <v>0</v>
      </c>
      <c r="KH359">
        <v>0</v>
      </c>
      <c r="KI359">
        <v>0</v>
      </c>
      <c r="KS359" t="s">
        <v>1073</v>
      </c>
      <c r="KT359">
        <v>0</v>
      </c>
      <c r="KU359">
        <v>0</v>
      </c>
      <c r="KV359">
        <v>0</v>
      </c>
      <c r="KX359">
        <v>0</v>
      </c>
      <c r="KZ359">
        <v>0</v>
      </c>
      <c r="LF359">
        <v>0</v>
      </c>
      <c r="LH359">
        <v>0</v>
      </c>
      <c r="LI359">
        <v>0</v>
      </c>
    </row>
    <row r="360" spans="1:321" x14ac:dyDescent="0.35">
      <c r="A360">
        <v>1</v>
      </c>
      <c r="B360">
        <v>12574</v>
      </c>
      <c r="C360" t="s">
        <v>1325</v>
      </c>
      <c r="D360" t="s">
        <v>1139</v>
      </c>
      <c r="E360" t="s">
        <v>85</v>
      </c>
      <c r="F360">
        <v>80</v>
      </c>
      <c r="G360">
        <v>9000</v>
      </c>
      <c r="H360">
        <v>0</v>
      </c>
      <c r="I360" t="s">
        <v>991</v>
      </c>
      <c r="L360">
        <v>0</v>
      </c>
      <c r="M360">
        <v>0</v>
      </c>
      <c r="N360">
        <v>0</v>
      </c>
      <c r="R360">
        <v>0</v>
      </c>
      <c r="S360">
        <v>0</v>
      </c>
      <c r="W360" t="s">
        <v>1060</v>
      </c>
      <c r="X360">
        <v>0</v>
      </c>
      <c r="Z360">
        <v>1</v>
      </c>
      <c r="AA360">
        <v>0</v>
      </c>
      <c r="AB360">
        <v>0</v>
      </c>
      <c r="AC360">
        <v>74.844999999999999</v>
      </c>
      <c r="AD360" t="s">
        <v>1042</v>
      </c>
      <c r="AE360">
        <v>72</v>
      </c>
      <c r="AF360">
        <v>0</v>
      </c>
      <c r="AH360">
        <v>0</v>
      </c>
      <c r="AJ360">
        <v>0</v>
      </c>
      <c r="AL360">
        <v>0</v>
      </c>
      <c r="AM360">
        <v>0</v>
      </c>
      <c r="AN360">
        <v>16601001</v>
      </c>
      <c r="AO360">
        <v>0</v>
      </c>
      <c r="AP360">
        <v>1000</v>
      </c>
      <c r="AT360">
        <v>0</v>
      </c>
      <c r="AU360" t="s">
        <v>1059</v>
      </c>
      <c r="AW360" t="s">
        <v>1053</v>
      </c>
      <c r="AX360">
        <v>0</v>
      </c>
      <c r="AY360" s="20">
        <v>40798</v>
      </c>
      <c r="BA360" s="20">
        <v>40798</v>
      </c>
      <c r="BB360" t="s">
        <v>1058</v>
      </c>
      <c r="BD360">
        <v>0</v>
      </c>
      <c r="BF360" t="s">
        <v>1043</v>
      </c>
      <c r="BG360" t="s">
        <v>1042</v>
      </c>
      <c r="BH360">
        <v>0</v>
      </c>
      <c r="BI360">
        <v>1</v>
      </c>
      <c r="BJ360">
        <v>0</v>
      </c>
      <c r="BK360">
        <v>0</v>
      </c>
      <c r="BM360" t="s">
        <v>1042</v>
      </c>
      <c r="BN360">
        <v>0</v>
      </c>
      <c r="BR360" t="s">
        <v>1043</v>
      </c>
      <c r="BS360" t="s">
        <v>1043</v>
      </c>
      <c r="BT360" t="s">
        <v>1043</v>
      </c>
      <c r="BW360">
        <v>83</v>
      </c>
      <c r="CA360">
        <v>0</v>
      </c>
      <c r="CB360" t="s">
        <v>1057</v>
      </c>
      <c r="CE360" t="s">
        <v>1043</v>
      </c>
      <c r="CH360" t="s">
        <v>1043</v>
      </c>
      <c r="CN360" t="s">
        <v>1056</v>
      </c>
      <c r="CO360" t="s">
        <v>1043</v>
      </c>
      <c r="CP360">
        <v>1</v>
      </c>
      <c r="CQ360">
        <v>0</v>
      </c>
      <c r="CS360">
        <v>0</v>
      </c>
      <c r="CT360">
        <v>0</v>
      </c>
      <c r="CU360">
        <v>0</v>
      </c>
      <c r="CV360" t="s">
        <v>1045</v>
      </c>
      <c r="CW360">
        <v>0</v>
      </c>
      <c r="CX360">
        <v>0</v>
      </c>
      <c r="CY360">
        <v>0</v>
      </c>
      <c r="CZ360">
        <v>0</v>
      </c>
      <c r="DB360">
        <v>0</v>
      </c>
      <c r="DC360" t="s">
        <v>1043</v>
      </c>
      <c r="DF360" t="s">
        <v>1055</v>
      </c>
      <c r="DH360">
        <v>0</v>
      </c>
      <c r="DJ360">
        <v>0</v>
      </c>
      <c r="DK360" t="s">
        <v>1053</v>
      </c>
      <c r="DL360">
        <v>0</v>
      </c>
      <c r="DN360">
        <v>0</v>
      </c>
      <c r="DO360" t="s">
        <v>1042</v>
      </c>
      <c r="DP360">
        <v>0</v>
      </c>
      <c r="DQ360">
        <v>0</v>
      </c>
      <c r="DS360">
        <v>0</v>
      </c>
      <c r="DU360">
        <v>0</v>
      </c>
      <c r="DW360">
        <v>0</v>
      </c>
      <c r="DX360" t="s">
        <v>1043</v>
      </c>
      <c r="DY360">
        <v>0</v>
      </c>
      <c r="DZ360">
        <v>0</v>
      </c>
      <c r="EA360">
        <v>0</v>
      </c>
      <c r="ED360" t="s">
        <v>1045</v>
      </c>
      <c r="EE360">
        <v>0</v>
      </c>
      <c r="EF360">
        <v>0</v>
      </c>
      <c r="EQ360" t="s">
        <v>1044</v>
      </c>
      <c r="ES360" t="s">
        <v>1053</v>
      </c>
      <c r="ET360">
        <v>0</v>
      </c>
      <c r="EV360">
        <v>0</v>
      </c>
      <c r="EY360" t="s">
        <v>1052</v>
      </c>
      <c r="EZ360">
        <v>0</v>
      </c>
      <c r="FA360" t="s">
        <v>1043</v>
      </c>
      <c r="FB360">
        <v>0</v>
      </c>
      <c r="FC360">
        <v>0</v>
      </c>
      <c r="FE360" t="s">
        <v>1050</v>
      </c>
      <c r="FF360">
        <v>0</v>
      </c>
      <c r="FG360" t="s">
        <v>1050</v>
      </c>
      <c r="FJ360">
        <v>0</v>
      </c>
      <c r="FK360">
        <v>0</v>
      </c>
      <c r="FP360">
        <v>0</v>
      </c>
      <c r="FR360">
        <v>0</v>
      </c>
      <c r="FS360" t="s">
        <v>1043</v>
      </c>
      <c r="FX360" t="s">
        <v>1042</v>
      </c>
      <c r="FZ360" t="s">
        <v>1048</v>
      </c>
      <c r="GA360">
        <v>0</v>
      </c>
      <c r="GB360" t="s">
        <v>1042</v>
      </c>
      <c r="GE360">
        <v>0</v>
      </c>
      <c r="GG360">
        <v>0</v>
      </c>
      <c r="GN360">
        <v>0</v>
      </c>
      <c r="GO360" t="s">
        <v>1063</v>
      </c>
      <c r="GQ360">
        <v>0</v>
      </c>
      <c r="GU360">
        <v>0</v>
      </c>
      <c r="GY360" t="s">
        <v>1045</v>
      </c>
      <c r="HB360">
        <v>0</v>
      </c>
      <c r="HE360">
        <v>0</v>
      </c>
      <c r="HF360">
        <v>0</v>
      </c>
      <c r="HG360">
        <v>0</v>
      </c>
      <c r="HK360" t="s">
        <v>1042</v>
      </c>
      <c r="HM360" t="s">
        <v>1047</v>
      </c>
      <c r="HN360">
        <v>0</v>
      </c>
      <c r="HP360">
        <v>0</v>
      </c>
      <c r="HQ360">
        <v>0</v>
      </c>
      <c r="HR360" t="s">
        <v>1042</v>
      </c>
      <c r="HS360" t="s">
        <v>1043</v>
      </c>
      <c r="HT360">
        <v>0</v>
      </c>
      <c r="HU360">
        <v>0</v>
      </c>
      <c r="HW360">
        <v>0</v>
      </c>
      <c r="HX360">
        <v>0</v>
      </c>
      <c r="HY360">
        <v>0</v>
      </c>
      <c r="HZ360" t="s">
        <v>1045</v>
      </c>
      <c r="IA360">
        <v>0</v>
      </c>
      <c r="IB360" t="s">
        <v>1045</v>
      </c>
      <c r="ID360" t="s">
        <v>1045</v>
      </c>
      <c r="IF360">
        <v>0</v>
      </c>
      <c r="IG360" t="s">
        <v>1042</v>
      </c>
      <c r="II360" t="s">
        <v>1042</v>
      </c>
      <c r="IR360" t="s">
        <v>1045</v>
      </c>
      <c r="IT360">
        <v>0</v>
      </c>
      <c r="IY360" t="s">
        <v>1044</v>
      </c>
      <c r="IZ360" t="s">
        <v>1043</v>
      </c>
      <c r="JC360" t="s">
        <v>1043</v>
      </c>
      <c r="JE360">
        <v>0</v>
      </c>
      <c r="JF360">
        <v>0</v>
      </c>
      <c r="JI360" t="s">
        <v>1042</v>
      </c>
      <c r="JJ360">
        <v>0</v>
      </c>
      <c r="JK360">
        <v>0</v>
      </c>
      <c r="JL360">
        <v>0</v>
      </c>
      <c r="JM360">
        <v>0</v>
      </c>
      <c r="JQ360" t="s">
        <v>1043</v>
      </c>
      <c r="JT360">
        <v>0</v>
      </c>
      <c r="JU360" t="s">
        <v>1042</v>
      </c>
      <c r="JW360">
        <v>0</v>
      </c>
      <c r="KA360">
        <v>0</v>
      </c>
      <c r="KF360">
        <v>0</v>
      </c>
      <c r="KG360">
        <v>0</v>
      </c>
      <c r="KH360">
        <v>0</v>
      </c>
      <c r="KI360">
        <v>0</v>
      </c>
      <c r="KS360" t="s">
        <v>1073</v>
      </c>
      <c r="KT360">
        <v>0</v>
      </c>
      <c r="KU360">
        <v>0</v>
      </c>
      <c r="KV360">
        <v>0</v>
      </c>
      <c r="KX360">
        <v>0</v>
      </c>
      <c r="KZ360">
        <v>0</v>
      </c>
      <c r="LF360">
        <v>0</v>
      </c>
      <c r="LH360">
        <v>0</v>
      </c>
      <c r="LI360">
        <v>0</v>
      </c>
    </row>
    <row r="361" spans="1:321" x14ac:dyDescent="0.35">
      <c r="A361">
        <v>1</v>
      </c>
      <c r="B361">
        <v>12575</v>
      </c>
      <c r="C361" t="s">
        <v>1324</v>
      </c>
      <c r="D361" t="s">
        <v>1133</v>
      </c>
      <c r="E361" t="s">
        <v>587</v>
      </c>
      <c r="F361">
        <v>80</v>
      </c>
      <c r="G361">
        <v>9000</v>
      </c>
      <c r="H361">
        <v>0</v>
      </c>
      <c r="I361" t="s">
        <v>1323</v>
      </c>
      <c r="L361">
        <v>0</v>
      </c>
      <c r="M361">
        <v>0</v>
      </c>
      <c r="N361">
        <v>0</v>
      </c>
      <c r="R361">
        <v>0</v>
      </c>
      <c r="S361">
        <v>0</v>
      </c>
      <c r="W361" t="s">
        <v>1060</v>
      </c>
      <c r="X361">
        <v>0</v>
      </c>
      <c r="Z361">
        <v>1</v>
      </c>
      <c r="AA361">
        <v>0</v>
      </c>
      <c r="AB361">
        <v>0</v>
      </c>
      <c r="AC361">
        <v>9.8010000000000002</v>
      </c>
      <c r="AD361" s="20">
        <v>40777</v>
      </c>
      <c r="AE361">
        <v>8.91</v>
      </c>
      <c r="AF361">
        <v>0</v>
      </c>
      <c r="AH361">
        <v>0</v>
      </c>
      <c r="AJ361">
        <v>0</v>
      </c>
      <c r="AL361">
        <v>0</v>
      </c>
      <c r="AM361">
        <v>0</v>
      </c>
      <c r="AN361">
        <v>16601001</v>
      </c>
      <c r="AO361">
        <v>0</v>
      </c>
      <c r="AP361">
        <v>1000</v>
      </c>
      <c r="AT361">
        <v>0</v>
      </c>
      <c r="AU361" t="s">
        <v>1059</v>
      </c>
      <c r="AW361" t="s">
        <v>1053</v>
      </c>
      <c r="AX361">
        <v>0</v>
      </c>
      <c r="AY361" s="20">
        <v>40798</v>
      </c>
      <c r="BA361" s="20">
        <v>40798</v>
      </c>
      <c r="BB361" t="s">
        <v>1058</v>
      </c>
      <c r="BD361">
        <v>0</v>
      </c>
      <c r="BF361" t="s">
        <v>1043</v>
      </c>
      <c r="BG361" t="s">
        <v>1042</v>
      </c>
      <c r="BH361">
        <v>0</v>
      </c>
      <c r="BI361">
        <v>1</v>
      </c>
      <c r="BJ361">
        <v>0</v>
      </c>
      <c r="BK361">
        <v>0</v>
      </c>
      <c r="BM361" t="s">
        <v>1042</v>
      </c>
      <c r="BN361">
        <v>0</v>
      </c>
      <c r="BR361" t="s">
        <v>1043</v>
      </c>
      <c r="BS361" t="s">
        <v>1043</v>
      </c>
      <c r="BT361" t="s">
        <v>1043</v>
      </c>
      <c r="BW361">
        <v>83</v>
      </c>
      <c r="CA361">
        <v>0</v>
      </c>
      <c r="CB361" t="s">
        <v>1057</v>
      </c>
      <c r="CE361" t="s">
        <v>1043</v>
      </c>
      <c r="CH361" t="s">
        <v>1043</v>
      </c>
      <c r="CN361" t="s">
        <v>1056</v>
      </c>
      <c r="CO361" t="s">
        <v>1043</v>
      </c>
      <c r="CP361">
        <v>1</v>
      </c>
      <c r="CQ361">
        <v>0</v>
      </c>
      <c r="CS361">
        <v>0</v>
      </c>
      <c r="CT361">
        <v>0</v>
      </c>
      <c r="CU361">
        <v>0</v>
      </c>
      <c r="CV361" t="s">
        <v>1045</v>
      </c>
      <c r="CW361">
        <v>0</v>
      </c>
      <c r="CX361">
        <v>0</v>
      </c>
      <c r="CY361">
        <v>0</v>
      </c>
      <c r="CZ361">
        <v>0</v>
      </c>
      <c r="DB361">
        <v>0</v>
      </c>
      <c r="DC361" t="s">
        <v>1043</v>
      </c>
      <c r="DF361" t="s">
        <v>1055</v>
      </c>
      <c r="DH361">
        <v>0</v>
      </c>
      <c r="DJ361">
        <v>0</v>
      </c>
      <c r="DK361" t="s">
        <v>1053</v>
      </c>
      <c r="DL361">
        <v>0</v>
      </c>
      <c r="DN361">
        <v>0</v>
      </c>
      <c r="DO361" t="s">
        <v>1042</v>
      </c>
      <c r="DP361">
        <v>0</v>
      </c>
      <c r="DQ361">
        <v>0</v>
      </c>
      <c r="DS361">
        <v>0</v>
      </c>
      <c r="DU361">
        <v>0</v>
      </c>
      <c r="DW361">
        <v>0</v>
      </c>
      <c r="DX361" t="s">
        <v>1043</v>
      </c>
      <c r="DY361">
        <v>0</v>
      </c>
      <c r="DZ361">
        <v>0</v>
      </c>
      <c r="EA361">
        <v>0</v>
      </c>
      <c r="ED361" t="s">
        <v>1045</v>
      </c>
      <c r="EE361">
        <v>0</v>
      </c>
      <c r="EF361">
        <v>0</v>
      </c>
      <c r="EQ361" t="s">
        <v>1044</v>
      </c>
      <c r="ES361" t="s">
        <v>1053</v>
      </c>
      <c r="ET361">
        <v>0</v>
      </c>
      <c r="EV361">
        <v>0</v>
      </c>
      <c r="EY361" t="s">
        <v>1052</v>
      </c>
      <c r="EZ361">
        <v>0</v>
      </c>
      <c r="FA361" t="s">
        <v>1043</v>
      </c>
      <c r="FB361">
        <v>0</v>
      </c>
      <c r="FC361">
        <v>0</v>
      </c>
      <c r="FE361" t="s">
        <v>1050</v>
      </c>
      <c r="FF361">
        <v>0</v>
      </c>
      <c r="FG361" t="s">
        <v>1050</v>
      </c>
      <c r="FJ361">
        <v>0</v>
      </c>
      <c r="FK361">
        <v>0</v>
      </c>
      <c r="FP361">
        <v>0</v>
      </c>
      <c r="FR361">
        <v>0</v>
      </c>
      <c r="FS361" t="s">
        <v>1043</v>
      </c>
      <c r="FX361" t="s">
        <v>1042</v>
      </c>
      <c r="FZ361" t="s">
        <v>1048</v>
      </c>
      <c r="GA361">
        <v>0</v>
      </c>
      <c r="GB361" t="s">
        <v>1042</v>
      </c>
      <c r="GE361">
        <v>0</v>
      </c>
      <c r="GG361">
        <v>0</v>
      </c>
      <c r="GN361">
        <v>0</v>
      </c>
      <c r="GO361" t="s">
        <v>1063</v>
      </c>
      <c r="GQ361">
        <v>0</v>
      </c>
      <c r="GU361">
        <v>0</v>
      </c>
      <c r="GY361" t="s">
        <v>1045</v>
      </c>
      <c r="HB361">
        <v>0</v>
      </c>
      <c r="HE361">
        <v>0</v>
      </c>
      <c r="HF361">
        <v>0</v>
      </c>
      <c r="HG361">
        <v>0</v>
      </c>
      <c r="HK361" t="s">
        <v>1042</v>
      </c>
      <c r="HM361" t="s">
        <v>1047</v>
      </c>
      <c r="HN361">
        <v>0</v>
      </c>
      <c r="HP361">
        <v>0</v>
      </c>
      <c r="HQ361">
        <v>0</v>
      </c>
      <c r="HR361" t="s">
        <v>1042</v>
      </c>
      <c r="HS361" t="s">
        <v>1043</v>
      </c>
      <c r="HT361">
        <v>0</v>
      </c>
      <c r="HU361">
        <v>0</v>
      </c>
      <c r="HW361">
        <v>0</v>
      </c>
      <c r="HX361">
        <v>0</v>
      </c>
      <c r="HY361">
        <v>0</v>
      </c>
      <c r="HZ361" t="s">
        <v>1045</v>
      </c>
      <c r="IA361">
        <v>0</v>
      </c>
      <c r="IB361" t="s">
        <v>1045</v>
      </c>
      <c r="ID361" t="s">
        <v>1045</v>
      </c>
      <c r="IF361">
        <v>0</v>
      </c>
      <c r="IG361" t="s">
        <v>1042</v>
      </c>
      <c r="II361" t="s">
        <v>1042</v>
      </c>
      <c r="IR361" t="s">
        <v>1045</v>
      </c>
      <c r="IT361">
        <v>0</v>
      </c>
      <c r="IY361" t="s">
        <v>1044</v>
      </c>
      <c r="IZ361" t="s">
        <v>1043</v>
      </c>
      <c r="JC361" t="s">
        <v>1043</v>
      </c>
      <c r="JE361">
        <v>0</v>
      </c>
      <c r="JF361">
        <v>0</v>
      </c>
      <c r="JI361" t="s">
        <v>1042</v>
      </c>
      <c r="JJ361">
        <v>0</v>
      </c>
      <c r="JK361">
        <v>0</v>
      </c>
      <c r="JL361">
        <v>0</v>
      </c>
      <c r="JM361">
        <v>0</v>
      </c>
      <c r="JQ361" t="s">
        <v>1043</v>
      </c>
      <c r="JT361">
        <v>0</v>
      </c>
      <c r="JU361" t="s">
        <v>1042</v>
      </c>
      <c r="JW361">
        <v>0</v>
      </c>
      <c r="KA361">
        <v>0</v>
      </c>
      <c r="KF361">
        <v>0</v>
      </c>
      <c r="KG361">
        <v>0</v>
      </c>
      <c r="KH361">
        <v>0</v>
      </c>
      <c r="KI361">
        <v>0</v>
      </c>
      <c r="KS361" t="s">
        <v>1073</v>
      </c>
      <c r="KT361">
        <v>0</v>
      </c>
      <c r="KU361">
        <v>0</v>
      </c>
      <c r="KV361">
        <v>0</v>
      </c>
      <c r="KX361">
        <v>0</v>
      </c>
      <c r="KZ361">
        <v>0</v>
      </c>
      <c r="LF361">
        <v>0</v>
      </c>
      <c r="LH361">
        <v>0</v>
      </c>
      <c r="LI361">
        <v>0</v>
      </c>
    </row>
    <row r="362" spans="1:321" x14ac:dyDescent="0.35">
      <c r="A362">
        <v>1</v>
      </c>
      <c r="B362">
        <v>12576</v>
      </c>
      <c r="C362" t="s">
        <v>1322</v>
      </c>
      <c r="D362" t="s">
        <v>1133</v>
      </c>
      <c r="E362" t="s">
        <v>1165</v>
      </c>
      <c r="F362">
        <v>80</v>
      </c>
      <c r="G362">
        <v>9000</v>
      </c>
      <c r="H362">
        <v>0</v>
      </c>
      <c r="I362" t="s">
        <v>1050</v>
      </c>
      <c r="L362">
        <v>0</v>
      </c>
      <c r="M362">
        <v>0</v>
      </c>
      <c r="N362">
        <v>0</v>
      </c>
      <c r="R362">
        <v>0</v>
      </c>
      <c r="S362">
        <v>0</v>
      </c>
      <c r="W362" t="s">
        <v>1060</v>
      </c>
      <c r="X362">
        <v>0</v>
      </c>
      <c r="Z362">
        <v>1</v>
      </c>
      <c r="AA362">
        <v>0</v>
      </c>
      <c r="AB362">
        <v>0</v>
      </c>
      <c r="AC362">
        <v>0</v>
      </c>
      <c r="AD362" s="20">
        <v>40784</v>
      </c>
      <c r="AE362">
        <v>10.9</v>
      </c>
      <c r="AF362">
        <v>0</v>
      </c>
      <c r="AH362">
        <v>0</v>
      </c>
      <c r="AJ362">
        <v>0</v>
      </c>
      <c r="AL362">
        <v>0</v>
      </c>
      <c r="AM362">
        <v>0</v>
      </c>
      <c r="AN362">
        <v>16601001</v>
      </c>
      <c r="AO362">
        <v>0</v>
      </c>
      <c r="AP362">
        <v>1000</v>
      </c>
      <c r="AT362">
        <v>0</v>
      </c>
      <c r="AU362" t="s">
        <v>1059</v>
      </c>
      <c r="AW362" t="s">
        <v>1053</v>
      </c>
      <c r="AX362">
        <v>0</v>
      </c>
      <c r="AY362" s="20">
        <v>40798</v>
      </c>
      <c r="BA362" s="20">
        <v>40798</v>
      </c>
      <c r="BB362" t="s">
        <v>1058</v>
      </c>
      <c r="BD362">
        <v>0</v>
      </c>
      <c r="BF362" t="s">
        <v>1043</v>
      </c>
      <c r="BG362" t="s">
        <v>1042</v>
      </c>
      <c r="BH362">
        <v>0</v>
      </c>
      <c r="BI362">
        <v>1</v>
      </c>
      <c r="BJ362">
        <v>0</v>
      </c>
      <c r="BK362">
        <v>0</v>
      </c>
      <c r="BM362" t="s">
        <v>1042</v>
      </c>
      <c r="BN362">
        <v>0</v>
      </c>
      <c r="BR362" t="s">
        <v>1043</v>
      </c>
      <c r="BS362" t="s">
        <v>1043</v>
      </c>
      <c r="BT362" t="s">
        <v>1043</v>
      </c>
      <c r="BW362">
        <v>83</v>
      </c>
      <c r="CA362">
        <v>0</v>
      </c>
      <c r="CB362" t="s">
        <v>1057</v>
      </c>
      <c r="CE362" t="s">
        <v>1043</v>
      </c>
      <c r="CH362" t="s">
        <v>1043</v>
      </c>
      <c r="CN362" t="s">
        <v>1056</v>
      </c>
      <c r="CO362" t="s">
        <v>1043</v>
      </c>
      <c r="CP362">
        <v>1</v>
      </c>
      <c r="CQ362">
        <v>0</v>
      </c>
      <c r="CS362">
        <v>0</v>
      </c>
      <c r="CT362">
        <v>0</v>
      </c>
      <c r="CU362">
        <v>0</v>
      </c>
      <c r="CV362" t="s">
        <v>1045</v>
      </c>
      <c r="CW362">
        <v>0</v>
      </c>
      <c r="CX362">
        <v>0</v>
      </c>
      <c r="CY362">
        <v>0</v>
      </c>
      <c r="CZ362">
        <v>0</v>
      </c>
      <c r="DB362">
        <v>0</v>
      </c>
      <c r="DC362" t="s">
        <v>1043</v>
      </c>
      <c r="DF362" t="s">
        <v>1055</v>
      </c>
      <c r="DH362">
        <v>0</v>
      </c>
      <c r="DJ362">
        <v>0</v>
      </c>
      <c r="DK362" t="s">
        <v>1053</v>
      </c>
      <c r="DL362">
        <v>0</v>
      </c>
      <c r="DN362">
        <v>0</v>
      </c>
      <c r="DO362" t="s">
        <v>1042</v>
      </c>
      <c r="DP362">
        <v>0</v>
      </c>
      <c r="DQ362">
        <v>0</v>
      </c>
      <c r="DS362">
        <v>0</v>
      </c>
      <c r="DU362">
        <v>0</v>
      </c>
      <c r="DW362">
        <v>0</v>
      </c>
      <c r="DX362" t="s">
        <v>1043</v>
      </c>
      <c r="DY362">
        <v>0</v>
      </c>
      <c r="DZ362">
        <v>0</v>
      </c>
      <c r="EA362">
        <v>0</v>
      </c>
      <c r="ED362" t="s">
        <v>1045</v>
      </c>
      <c r="EE362">
        <v>0</v>
      </c>
      <c r="EF362">
        <v>0</v>
      </c>
      <c r="EQ362" t="s">
        <v>1044</v>
      </c>
      <c r="ES362" t="s">
        <v>1053</v>
      </c>
      <c r="ET362">
        <v>0</v>
      </c>
      <c r="EV362">
        <v>0</v>
      </c>
      <c r="EY362" t="s">
        <v>1052</v>
      </c>
      <c r="EZ362">
        <v>0</v>
      </c>
      <c r="FA362" t="s">
        <v>1043</v>
      </c>
      <c r="FB362">
        <v>0</v>
      </c>
      <c r="FC362">
        <v>0</v>
      </c>
      <c r="FE362" t="s">
        <v>1050</v>
      </c>
      <c r="FF362">
        <v>0</v>
      </c>
      <c r="FG362" t="s">
        <v>1050</v>
      </c>
      <c r="FJ362">
        <v>0</v>
      </c>
      <c r="FK362">
        <v>0</v>
      </c>
      <c r="FP362">
        <v>0</v>
      </c>
      <c r="FR362">
        <v>0</v>
      </c>
      <c r="FS362" t="s">
        <v>1043</v>
      </c>
      <c r="FX362" t="s">
        <v>1042</v>
      </c>
      <c r="FZ362" t="s">
        <v>1048</v>
      </c>
      <c r="GA362">
        <v>0</v>
      </c>
      <c r="GB362" t="s">
        <v>1042</v>
      </c>
      <c r="GE362">
        <v>0</v>
      </c>
      <c r="GG362">
        <v>0</v>
      </c>
      <c r="GN362">
        <v>0</v>
      </c>
      <c r="GO362" t="s">
        <v>1063</v>
      </c>
      <c r="GQ362">
        <v>0</v>
      </c>
      <c r="GU362">
        <v>0</v>
      </c>
      <c r="GY362" t="s">
        <v>1045</v>
      </c>
      <c r="HB362">
        <v>0</v>
      </c>
      <c r="HE362">
        <v>0</v>
      </c>
      <c r="HF362">
        <v>0</v>
      </c>
      <c r="HG362">
        <v>0</v>
      </c>
      <c r="HK362" t="s">
        <v>1042</v>
      </c>
      <c r="HM362" t="s">
        <v>1047</v>
      </c>
      <c r="HN362">
        <v>0</v>
      </c>
      <c r="HP362">
        <v>0</v>
      </c>
      <c r="HQ362">
        <v>0</v>
      </c>
      <c r="HR362" t="s">
        <v>1042</v>
      </c>
      <c r="HS362" t="s">
        <v>1043</v>
      </c>
      <c r="HT362">
        <v>0</v>
      </c>
      <c r="HU362">
        <v>0</v>
      </c>
      <c r="HW362">
        <v>0</v>
      </c>
      <c r="HX362">
        <v>0</v>
      </c>
      <c r="HY362">
        <v>0</v>
      </c>
      <c r="HZ362" t="s">
        <v>1045</v>
      </c>
      <c r="IA362">
        <v>0</v>
      </c>
      <c r="IB362" t="s">
        <v>1045</v>
      </c>
      <c r="ID362" t="s">
        <v>1045</v>
      </c>
      <c r="IF362">
        <v>0</v>
      </c>
      <c r="IG362" t="s">
        <v>1042</v>
      </c>
      <c r="II362" t="s">
        <v>1042</v>
      </c>
      <c r="IR362" t="s">
        <v>1045</v>
      </c>
      <c r="IT362">
        <v>0</v>
      </c>
      <c r="IY362" t="s">
        <v>1044</v>
      </c>
      <c r="IZ362" t="s">
        <v>1043</v>
      </c>
      <c r="JC362" t="s">
        <v>1043</v>
      </c>
      <c r="JE362">
        <v>0</v>
      </c>
      <c r="JF362">
        <v>0</v>
      </c>
      <c r="JI362" t="s">
        <v>1042</v>
      </c>
      <c r="JJ362">
        <v>0</v>
      </c>
      <c r="JK362">
        <v>0</v>
      </c>
      <c r="JL362">
        <v>0</v>
      </c>
      <c r="JM362">
        <v>0</v>
      </c>
      <c r="JQ362" t="s">
        <v>1043</v>
      </c>
      <c r="JT362">
        <v>0</v>
      </c>
      <c r="JU362" t="s">
        <v>1042</v>
      </c>
      <c r="JW362">
        <v>0</v>
      </c>
      <c r="KA362">
        <v>0</v>
      </c>
      <c r="KF362">
        <v>0</v>
      </c>
      <c r="KG362">
        <v>0</v>
      </c>
      <c r="KH362">
        <v>0</v>
      </c>
      <c r="KI362">
        <v>0</v>
      </c>
      <c r="KS362" t="s">
        <v>1073</v>
      </c>
      <c r="KT362">
        <v>0</v>
      </c>
      <c r="KU362">
        <v>0</v>
      </c>
      <c r="KV362">
        <v>0</v>
      </c>
      <c r="KX362">
        <v>0</v>
      </c>
      <c r="KZ362">
        <v>0</v>
      </c>
      <c r="LF362">
        <v>0</v>
      </c>
      <c r="LH362">
        <v>0</v>
      </c>
      <c r="LI362">
        <v>0</v>
      </c>
    </row>
    <row r="363" spans="1:321" x14ac:dyDescent="0.35">
      <c r="A363">
        <v>1</v>
      </c>
      <c r="B363">
        <v>12577</v>
      </c>
      <c r="C363" t="s">
        <v>1321</v>
      </c>
      <c r="D363" t="s">
        <v>1133</v>
      </c>
      <c r="E363" t="s">
        <v>1165</v>
      </c>
      <c r="F363">
        <v>80</v>
      </c>
      <c r="G363">
        <v>9000</v>
      </c>
      <c r="H363">
        <v>0</v>
      </c>
      <c r="I363" t="s">
        <v>1050</v>
      </c>
      <c r="L363">
        <v>0</v>
      </c>
      <c r="M363">
        <v>0</v>
      </c>
      <c r="N363">
        <v>0</v>
      </c>
      <c r="R363">
        <v>0</v>
      </c>
      <c r="S363">
        <v>0</v>
      </c>
      <c r="W363" t="s">
        <v>1060</v>
      </c>
      <c r="X363">
        <v>0</v>
      </c>
      <c r="Z363">
        <v>1</v>
      </c>
      <c r="AA363">
        <v>0</v>
      </c>
      <c r="AB363">
        <v>0</v>
      </c>
      <c r="AC363">
        <v>0</v>
      </c>
      <c r="AD363" s="20">
        <v>40784</v>
      </c>
      <c r="AE363">
        <v>0.22</v>
      </c>
      <c r="AF363">
        <v>0</v>
      </c>
      <c r="AH363">
        <v>0</v>
      </c>
      <c r="AJ363">
        <v>0</v>
      </c>
      <c r="AL363">
        <v>0</v>
      </c>
      <c r="AM363">
        <v>0</v>
      </c>
      <c r="AN363">
        <v>16601001</v>
      </c>
      <c r="AO363">
        <v>0</v>
      </c>
      <c r="AP363">
        <v>1000</v>
      </c>
      <c r="AT363">
        <v>0</v>
      </c>
      <c r="AU363" t="s">
        <v>1059</v>
      </c>
      <c r="AW363" t="s">
        <v>1053</v>
      </c>
      <c r="AX363">
        <v>0</v>
      </c>
      <c r="AY363" s="20">
        <v>40798</v>
      </c>
      <c r="BA363" s="20">
        <v>40798</v>
      </c>
      <c r="BB363" t="s">
        <v>1058</v>
      </c>
      <c r="BD363">
        <v>0</v>
      </c>
      <c r="BF363" t="s">
        <v>1043</v>
      </c>
      <c r="BG363" t="s">
        <v>1042</v>
      </c>
      <c r="BH363">
        <v>0</v>
      </c>
      <c r="BI363">
        <v>1</v>
      </c>
      <c r="BJ363">
        <v>0</v>
      </c>
      <c r="BK363">
        <v>0</v>
      </c>
      <c r="BM363" t="s">
        <v>1042</v>
      </c>
      <c r="BN363">
        <v>0</v>
      </c>
      <c r="BR363" t="s">
        <v>1043</v>
      </c>
      <c r="BS363" t="s">
        <v>1043</v>
      </c>
      <c r="BT363" t="s">
        <v>1043</v>
      </c>
      <c r="BW363">
        <v>83</v>
      </c>
      <c r="CA363">
        <v>0</v>
      </c>
      <c r="CB363" t="s">
        <v>1057</v>
      </c>
      <c r="CE363" t="s">
        <v>1043</v>
      </c>
      <c r="CH363" t="s">
        <v>1043</v>
      </c>
      <c r="CN363" t="s">
        <v>1056</v>
      </c>
      <c r="CO363" t="s">
        <v>1043</v>
      </c>
      <c r="CP363">
        <v>1</v>
      </c>
      <c r="CQ363">
        <v>0</v>
      </c>
      <c r="CS363">
        <v>0</v>
      </c>
      <c r="CT363">
        <v>0</v>
      </c>
      <c r="CU363">
        <v>0</v>
      </c>
      <c r="CV363" t="s">
        <v>1045</v>
      </c>
      <c r="CW363">
        <v>0</v>
      </c>
      <c r="CX363">
        <v>0</v>
      </c>
      <c r="CY363">
        <v>0</v>
      </c>
      <c r="CZ363">
        <v>0</v>
      </c>
      <c r="DB363">
        <v>0</v>
      </c>
      <c r="DC363" t="s">
        <v>1043</v>
      </c>
      <c r="DF363" t="s">
        <v>1055</v>
      </c>
      <c r="DH363">
        <v>0</v>
      </c>
      <c r="DJ363">
        <v>0</v>
      </c>
      <c r="DK363" t="s">
        <v>1053</v>
      </c>
      <c r="DL363">
        <v>0</v>
      </c>
      <c r="DN363">
        <v>0</v>
      </c>
      <c r="DO363" t="s">
        <v>1042</v>
      </c>
      <c r="DP363">
        <v>0</v>
      </c>
      <c r="DQ363">
        <v>0</v>
      </c>
      <c r="DS363">
        <v>0</v>
      </c>
      <c r="DU363">
        <v>0</v>
      </c>
      <c r="DW363">
        <v>0</v>
      </c>
      <c r="DX363" t="s">
        <v>1043</v>
      </c>
      <c r="DY363">
        <v>0</v>
      </c>
      <c r="DZ363">
        <v>0</v>
      </c>
      <c r="EA363">
        <v>0</v>
      </c>
      <c r="ED363" t="s">
        <v>1045</v>
      </c>
      <c r="EE363">
        <v>0</v>
      </c>
      <c r="EF363">
        <v>0</v>
      </c>
      <c r="EQ363" t="s">
        <v>1044</v>
      </c>
      <c r="ES363" t="s">
        <v>1053</v>
      </c>
      <c r="ET363">
        <v>0</v>
      </c>
      <c r="EV363">
        <v>0</v>
      </c>
      <c r="EY363" t="s">
        <v>1052</v>
      </c>
      <c r="EZ363">
        <v>0</v>
      </c>
      <c r="FA363" t="s">
        <v>1043</v>
      </c>
      <c r="FB363">
        <v>0</v>
      </c>
      <c r="FC363">
        <v>0</v>
      </c>
      <c r="FE363" t="s">
        <v>1050</v>
      </c>
      <c r="FF363">
        <v>0</v>
      </c>
      <c r="FG363" t="s">
        <v>1050</v>
      </c>
      <c r="FJ363">
        <v>0</v>
      </c>
      <c r="FK363">
        <v>0</v>
      </c>
      <c r="FP363">
        <v>0</v>
      </c>
      <c r="FR363">
        <v>0</v>
      </c>
      <c r="FS363" t="s">
        <v>1043</v>
      </c>
      <c r="FX363" t="s">
        <v>1042</v>
      </c>
      <c r="FZ363" t="s">
        <v>1048</v>
      </c>
      <c r="GA363">
        <v>0</v>
      </c>
      <c r="GB363" t="s">
        <v>1042</v>
      </c>
      <c r="GE363">
        <v>0</v>
      </c>
      <c r="GG363">
        <v>0</v>
      </c>
      <c r="GN363">
        <v>0</v>
      </c>
      <c r="GO363" t="s">
        <v>1063</v>
      </c>
      <c r="GQ363">
        <v>0</v>
      </c>
      <c r="GU363">
        <v>0</v>
      </c>
      <c r="GY363" t="s">
        <v>1045</v>
      </c>
      <c r="HB363">
        <v>0</v>
      </c>
      <c r="HE363">
        <v>0</v>
      </c>
      <c r="HF363">
        <v>0</v>
      </c>
      <c r="HG363">
        <v>0</v>
      </c>
      <c r="HK363" t="s">
        <v>1042</v>
      </c>
      <c r="HM363" t="s">
        <v>1047</v>
      </c>
      <c r="HN363">
        <v>0</v>
      </c>
      <c r="HP363">
        <v>0</v>
      </c>
      <c r="HQ363">
        <v>0</v>
      </c>
      <c r="HR363" t="s">
        <v>1042</v>
      </c>
      <c r="HS363" t="s">
        <v>1043</v>
      </c>
      <c r="HT363">
        <v>0</v>
      </c>
      <c r="HU363">
        <v>0</v>
      </c>
      <c r="HW363">
        <v>0</v>
      </c>
      <c r="HX363">
        <v>0</v>
      </c>
      <c r="HY363">
        <v>0</v>
      </c>
      <c r="HZ363" t="s">
        <v>1045</v>
      </c>
      <c r="IA363">
        <v>0</v>
      </c>
      <c r="IB363" t="s">
        <v>1045</v>
      </c>
      <c r="ID363" t="s">
        <v>1045</v>
      </c>
      <c r="IF363">
        <v>0</v>
      </c>
      <c r="IG363" t="s">
        <v>1042</v>
      </c>
      <c r="II363" t="s">
        <v>1042</v>
      </c>
      <c r="IR363" t="s">
        <v>1045</v>
      </c>
      <c r="IT363">
        <v>0</v>
      </c>
      <c r="IY363" t="s">
        <v>1044</v>
      </c>
      <c r="IZ363" t="s">
        <v>1043</v>
      </c>
      <c r="JC363" t="s">
        <v>1043</v>
      </c>
      <c r="JE363">
        <v>0</v>
      </c>
      <c r="JF363">
        <v>0</v>
      </c>
      <c r="JI363" t="s">
        <v>1042</v>
      </c>
      <c r="JJ363">
        <v>0</v>
      </c>
      <c r="JK363">
        <v>0</v>
      </c>
      <c r="JL363">
        <v>0</v>
      </c>
      <c r="JM363">
        <v>0</v>
      </c>
      <c r="JQ363" t="s">
        <v>1043</v>
      </c>
      <c r="JT363">
        <v>0</v>
      </c>
      <c r="JU363" t="s">
        <v>1042</v>
      </c>
      <c r="JW363">
        <v>0</v>
      </c>
      <c r="KA363">
        <v>0</v>
      </c>
      <c r="KF363">
        <v>0</v>
      </c>
      <c r="KG363">
        <v>0</v>
      </c>
      <c r="KH363">
        <v>0</v>
      </c>
      <c r="KI363">
        <v>0</v>
      </c>
      <c r="KS363" t="s">
        <v>1073</v>
      </c>
      <c r="KT363">
        <v>0</v>
      </c>
      <c r="KU363">
        <v>0</v>
      </c>
      <c r="KV363">
        <v>0</v>
      </c>
      <c r="KX363">
        <v>0</v>
      </c>
      <c r="KZ363">
        <v>0</v>
      </c>
      <c r="LF363">
        <v>0</v>
      </c>
      <c r="LH363">
        <v>0</v>
      </c>
      <c r="LI363">
        <v>0</v>
      </c>
    </row>
    <row r="364" spans="1:321" x14ac:dyDescent="0.35">
      <c r="A364">
        <v>1</v>
      </c>
      <c r="B364">
        <v>12578</v>
      </c>
      <c r="C364" t="s">
        <v>1320</v>
      </c>
      <c r="D364" t="s">
        <v>1133</v>
      </c>
      <c r="E364" t="s">
        <v>1085</v>
      </c>
      <c r="F364">
        <v>80</v>
      </c>
      <c r="G364">
        <v>9000</v>
      </c>
      <c r="H364">
        <v>0</v>
      </c>
      <c r="I364" t="s">
        <v>1050</v>
      </c>
      <c r="L364">
        <v>0</v>
      </c>
      <c r="M364">
        <v>0</v>
      </c>
      <c r="N364">
        <v>0</v>
      </c>
      <c r="R364">
        <v>0</v>
      </c>
      <c r="S364">
        <v>0</v>
      </c>
      <c r="W364" t="s">
        <v>1060</v>
      </c>
      <c r="X364">
        <v>0</v>
      </c>
      <c r="Z364">
        <v>1</v>
      </c>
      <c r="AA364">
        <v>0</v>
      </c>
      <c r="AB364">
        <v>0</v>
      </c>
      <c r="AC364">
        <v>0</v>
      </c>
      <c r="AD364" s="20">
        <v>40799</v>
      </c>
      <c r="AE364">
        <v>3.6</v>
      </c>
      <c r="AF364">
        <v>0</v>
      </c>
      <c r="AH364">
        <v>0</v>
      </c>
      <c r="AJ364">
        <v>0</v>
      </c>
      <c r="AL364">
        <v>0</v>
      </c>
      <c r="AM364">
        <v>0</v>
      </c>
      <c r="AN364">
        <v>16601001</v>
      </c>
      <c r="AO364">
        <v>0</v>
      </c>
      <c r="AP364">
        <v>1003</v>
      </c>
      <c r="AT364">
        <v>0</v>
      </c>
      <c r="AU364" t="s">
        <v>1059</v>
      </c>
      <c r="AW364" t="s">
        <v>1053</v>
      </c>
      <c r="AX364">
        <v>0</v>
      </c>
      <c r="AY364" s="20">
        <v>40799</v>
      </c>
      <c r="BA364" s="20">
        <v>40799</v>
      </c>
      <c r="BB364" t="s">
        <v>1058</v>
      </c>
      <c r="BD364">
        <v>0</v>
      </c>
      <c r="BF364" t="s">
        <v>1043</v>
      </c>
      <c r="BG364" t="s">
        <v>1042</v>
      </c>
      <c r="BH364">
        <v>0</v>
      </c>
      <c r="BI364">
        <v>1</v>
      </c>
      <c r="BJ364">
        <v>0</v>
      </c>
      <c r="BK364">
        <v>0</v>
      </c>
      <c r="BM364" t="s">
        <v>1042</v>
      </c>
      <c r="BN364">
        <v>0</v>
      </c>
      <c r="BR364" t="s">
        <v>1043</v>
      </c>
      <c r="BS364" t="s">
        <v>1043</v>
      </c>
      <c r="BT364" t="s">
        <v>1043</v>
      </c>
      <c r="BW364">
        <v>83</v>
      </c>
      <c r="CA364">
        <v>0</v>
      </c>
      <c r="CB364" t="s">
        <v>1057</v>
      </c>
      <c r="CE364" t="s">
        <v>1043</v>
      </c>
      <c r="CH364" t="s">
        <v>1043</v>
      </c>
      <c r="CN364" t="s">
        <v>1056</v>
      </c>
      <c r="CO364" t="s">
        <v>1043</v>
      </c>
      <c r="CP364">
        <v>1</v>
      </c>
      <c r="CQ364">
        <v>0</v>
      </c>
      <c r="CS364">
        <v>0</v>
      </c>
      <c r="CT364">
        <v>0</v>
      </c>
      <c r="CU364">
        <v>0</v>
      </c>
      <c r="CV364" t="s">
        <v>1045</v>
      </c>
      <c r="CW364">
        <v>0</v>
      </c>
      <c r="CX364">
        <v>0</v>
      </c>
      <c r="CY364">
        <v>0</v>
      </c>
      <c r="CZ364">
        <v>0</v>
      </c>
      <c r="DB364">
        <v>0</v>
      </c>
      <c r="DC364" t="s">
        <v>1043</v>
      </c>
      <c r="DF364" t="s">
        <v>1055</v>
      </c>
      <c r="DH364">
        <v>0</v>
      </c>
      <c r="DJ364">
        <v>0</v>
      </c>
      <c r="DK364" t="s">
        <v>1053</v>
      </c>
      <c r="DL364">
        <v>0</v>
      </c>
      <c r="DN364">
        <v>0</v>
      </c>
      <c r="DO364" t="s">
        <v>1042</v>
      </c>
      <c r="DP364">
        <v>0</v>
      </c>
      <c r="DQ364">
        <v>0</v>
      </c>
      <c r="DS364">
        <v>0</v>
      </c>
      <c r="DU364">
        <v>0</v>
      </c>
      <c r="DW364">
        <v>0</v>
      </c>
      <c r="DX364" t="s">
        <v>1043</v>
      </c>
      <c r="DY364">
        <v>0</v>
      </c>
      <c r="DZ364">
        <v>0</v>
      </c>
      <c r="EA364">
        <v>0</v>
      </c>
      <c r="ED364" t="s">
        <v>1045</v>
      </c>
      <c r="EE364">
        <v>0</v>
      </c>
      <c r="EF364">
        <v>0</v>
      </c>
      <c r="EQ364" t="s">
        <v>1044</v>
      </c>
      <c r="ES364" t="s">
        <v>1053</v>
      </c>
      <c r="ET364">
        <v>0</v>
      </c>
      <c r="EV364">
        <v>0</v>
      </c>
      <c r="EY364" t="s">
        <v>1052</v>
      </c>
      <c r="EZ364">
        <v>0</v>
      </c>
      <c r="FA364" t="s">
        <v>1043</v>
      </c>
      <c r="FB364">
        <v>0</v>
      </c>
      <c r="FC364">
        <v>0</v>
      </c>
      <c r="FE364" t="s">
        <v>1050</v>
      </c>
      <c r="FF364">
        <v>0</v>
      </c>
      <c r="FG364" t="s">
        <v>1050</v>
      </c>
      <c r="FJ364">
        <v>0</v>
      </c>
      <c r="FK364">
        <v>0</v>
      </c>
      <c r="FP364">
        <v>0</v>
      </c>
      <c r="FR364">
        <v>0</v>
      </c>
      <c r="FS364" t="s">
        <v>1043</v>
      </c>
      <c r="FX364" t="s">
        <v>1042</v>
      </c>
      <c r="FZ364" t="s">
        <v>1048</v>
      </c>
      <c r="GA364">
        <v>0</v>
      </c>
      <c r="GB364" t="s">
        <v>1042</v>
      </c>
      <c r="GE364">
        <v>0</v>
      </c>
      <c r="GG364">
        <v>0</v>
      </c>
      <c r="GN364">
        <v>0</v>
      </c>
      <c r="GO364" t="s">
        <v>1063</v>
      </c>
      <c r="GQ364">
        <v>0</v>
      </c>
      <c r="GU364">
        <v>0</v>
      </c>
      <c r="GY364" t="s">
        <v>1045</v>
      </c>
      <c r="HB364">
        <v>0</v>
      </c>
      <c r="HE364">
        <v>0</v>
      </c>
      <c r="HF364">
        <v>0</v>
      </c>
      <c r="HG364">
        <v>0</v>
      </c>
      <c r="HK364" t="s">
        <v>1042</v>
      </c>
      <c r="HM364" t="s">
        <v>1047</v>
      </c>
      <c r="HN364">
        <v>0</v>
      </c>
      <c r="HP364">
        <v>0</v>
      </c>
      <c r="HQ364">
        <v>0</v>
      </c>
      <c r="HR364" t="s">
        <v>1042</v>
      </c>
      <c r="HS364" t="s">
        <v>1043</v>
      </c>
      <c r="HT364">
        <v>0</v>
      </c>
      <c r="HU364">
        <v>0</v>
      </c>
      <c r="HW364">
        <v>0</v>
      </c>
      <c r="HX364">
        <v>0</v>
      </c>
      <c r="HY364">
        <v>0</v>
      </c>
      <c r="HZ364" t="s">
        <v>1045</v>
      </c>
      <c r="IA364">
        <v>0</v>
      </c>
      <c r="IB364" t="s">
        <v>1045</v>
      </c>
      <c r="ID364" t="s">
        <v>1045</v>
      </c>
      <c r="IF364">
        <v>0</v>
      </c>
      <c r="IG364" t="s">
        <v>1042</v>
      </c>
      <c r="II364" t="s">
        <v>1042</v>
      </c>
      <c r="IR364" t="s">
        <v>1045</v>
      </c>
      <c r="IT364">
        <v>0</v>
      </c>
      <c r="IY364" t="s">
        <v>1044</v>
      </c>
      <c r="IZ364" t="s">
        <v>1043</v>
      </c>
      <c r="JC364" t="s">
        <v>1043</v>
      </c>
      <c r="JE364">
        <v>0</v>
      </c>
      <c r="JF364">
        <v>0</v>
      </c>
      <c r="JI364" t="s">
        <v>1042</v>
      </c>
      <c r="JJ364">
        <v>0</v>
      </c>
      <c r="JK364">
        <v>0</v>
      </c>
      <c r="JL364">
        <v>0</v>
      </c>
      <c r="JM364">
        <v>0</v>
      </c>
      <c r="JQ364" t="s">
        <v>1043</v>
      </c>
      <c r="JT364">
        <v>0</v>
      </c>
      <c r="JU364" t="s">
        <v>1042</v>
      </c>
      <c r="JW364">
        <v>0</v>
      </c>
      <c r="KA364">
        <v>0</v>
      </c>
      <c r="KF364">
        <v>0</v>
      </c>
      <c r="KG364">
        <v>0</v>
      </c>
      <c r="KH364">
        <v>0</v>
      </c>
      <c r="KI364">
        <v>0</v>
      </c>
      <c r="KS364" t="s">
        <v>1073</v>
      </c>
      <c r="KT364">
        <v>0</v>
      </c>
      <c r="KU364">
        <v>0</v>
      </c>
      <c r="KV364">
        <v>0</v>
      </c>
      <c r="KX364">
        <v>0</v>
      </c>
      <c r="KZ364">
        <v>0</v>
      </c>
      <c r="LF364">
        <v>0</v>
      </c>
      <c r="LH364">
        <v>0</v>
      </c>
      <c r="LI364">
        <v>0</v>
      </c>
    </row>
    <row r="365" spans="1:321" x14ac:dyDescent="0.35">
      <c r="A365">
        <v>1</v>
      </c>
      <c r="B365">
        <v>12579</v>
      </c>
      <c r="C365" t="s">
        <v>1319</v>
      </c>
      <c r="D365" t="s">
        <v>1133</v>
      </c>
      <c r="E365" t="s">
        <v>1085</v>
      </c>
      <c r="F365">
        <v>80</v>
      </c>
      <c r="G365">
        <v>9000</v>
      </c>
      <c r="H365">
        <v>0</v>
      </c>
      <c r="I365" t="s">
        <v>1050</v>
      </c>
      <c r="L365">
        <v>0</v>
      </c>
      <c r="M365">
        <v>0</v>
      </c>
      <c r="N365">
        <v>0</v>
      </c>
      <c r="R365">
        <v>0</v>
      </c>
      <c r="S365">
        <v>0</v>
      </c>
      <c r="W365" t="s">
        <v>1060</v>
      </c>
      <c r="X365">
        <v>0</v>
      </c>
      <c r="Z365">
        <v>1</v>
      </c>
      <c r="AA365">
        <v>0</v>
      </c>
      <c r="AB365">
        <v>0</v>
      </c>
      <c r="AC365">
        <v>0</v>
      </c>
      <c r="AD365" s="20">
        <v>40799</v>
      </c>
      <c r="AE365">
        <v>3.6</v>
      </c>
      <c r="AF365">
        <v>0</v>
      </c>
      <c r="AH365">
        <v>0</v>
      </c>
      <c r="AJ365">
        <v>0</v>
      </c>
      <c r="AL365">
        <v>0</v>
      </c>
      <c r="AM365">
        <v>0</v>
      </c>
      <c r="AN365">
        <v>16601001</v>
      </c>
      <c r="AO365">
        <v>0</v>
      </c>
      <c r="AP365">
        <v>1003</v>
      </c>
      <c r="AT365">
        <v>0</v>
      </c>
      <c r="AU365" t="s">
        <v>1059</v>
      </c>
      <c r="AW365" t="s">
        <v>1053</v>
      </c>
      <c r="AX365">
        <v>0</v>
      </c>
      <c r="AY365" s="20">
        <v>40799</v>
      </c>
      <c r="BA365" s="20">
        <v>40799</v>
      </c>
      <c r="BB365" t="s">
        <v>1058</v>
      </c>
      <c r="BD365">
        <v>0</v>
      </c>
      <c r="BF365" t="s">
        <v>1043</v>
      </c>
      <c r="BG365" t="s">
        <v>1042</v>
      </c>
      <c r="BH365">
        <v>0</v>
      </c>
      <c r="BI365">
        <v>1</v>
      </c>
      <c r="BJ365">
        <v>0</v>
      </c>
      <c r="BK365">
        <v>0</v>
      </c>
      <c r="BM365" t="s">
        <v>1042</v>
      </c>
      <c r="BN365">
        <v>0</v>
      </c>
      <c r="BR365" t="s">
        <v>1043</v>
      </c>
      <c r="BS365" t="s">
        <v>1043</v>
      </c>
      <c r="BT365" t="s">
        <v>1043</v>
      </c>
      <c r="BW365">
        <v>83</v>
      </c>
      <c r="CA365">
        <v>0</v>
      </c>
      <c r="CB365" t="s">
        <v>1057</v>
      </c>
      <c r="CE365" t="s">
        <v>1043</v>
      </c>
      <c r="CH365" t="s">
        <v>1043</v>
      </c>
      <c r="CN365" t="s">
        <v>1056</v>
      </c>
      <c r="CO365" t="s">
        <v>1043</v>
      </c>
      <c r="CP365">
        <v>1</v>
      </c>
      <c r="CQ365">
        <v>0</v>
      </c>
      <c r="CS365">
        <v>0</v>
      </c>
      <c r="CT365">
        <v>0</v>
      </c>
      <c r="CU365">
        <v>0</v>
      </c>
      <c r="CV365" t="s">
        <v>1045</v>
      </c>
      <c r="CW365">
        <v>0</v>
      </c>
      <c r="CX365">
        <v>0</v>
      </c>
      <c r="CY365">
        <v>0</v>
      </c>
      <c r="CZ365">
        <v>0</v>
      </c>
      <c r="DB365">
        <v>0</v>
      </c>
      <c r="DC365" t="s">
        <v>1043</v>
      </c>
      <c r="DF365" t="s">
        <v>1055</v>
      </c>
      <c r="DH365">
        <v>0</v>
      </c>
      <c r="DJ365">
        <v>0</v>
      </c>
      <c r="DK365" t="s">
        <v>1053</v>
      </c>
      <c r="DL365">
        <v>0</v>
      </c>
      <c r="DN365">
        <v>0</v>
      </c>
      <c r="DO365" t="s">
        <v>1042</v>
      </c>
      <c r="DP365">
        <v>0</v>
      </c>
      <c r="DQ365">
        <v>0</v>
      </c>
      <c r="DS365">
        <v>0</v>
      </c>
      <c r="DU365">
        <v>0</v>
      </c>
      <c r="DW365">
        <v>0</v>
      </c>
      <c r="DX365" t="s">
        <v>1043</v>
      </c>
      <c r="DY365">
        <v>0</v>
      </c>
      <c r="DZ365">
        <v>0</v>
      </c>
      <c r="EA365">
        <v>0</v>
      </c>
      <c r="ED365" t="s">
        <v>1045</v>
      </c>
      <c r="EE365">
        <v>0</v>
      </c>
      <c r="EF365">
        <v>0</v>
      </c>
      <c r="EQ365" t="s">
        <v>1044</v>
      </c>
      <c r="ES365" t="s">
        <v>1053</v>
      </c>
      <c r="ET365">
        <v>0</v>
      </c>
      <c r="EV365">
        <v>0</v>
      </c>
      <c r="EY365" t="s">
        <v>1052</v>
      </c>
      <c r="EZ365">
        <v>0</v>
      </c>
      <c r="FA365" t="s">
        <v>1043</v>
      </c>
      <c r="FB365">
        <v>0</v>
      </c>
      <c r="FC365">
        <v>0</v>
      </c>
      <c r="FE365" t="s">
        <v>1050</v>
      </c>
      <c r="FF365">
        <v>0</v>
      </c>
      <c r="FG365" t="s">
        <v>1050</v>
      </c>
      <c r="FJ365">
        <v>0</v>
      </c>
      <c r="FK365">
        <v>0</v>
      </c>
      <c r="FP365">
        <v>0</v>
      </c>
      <c r="FR365">
        <v>0</v>
      </c>
      <c r="FS365" t="s">
        <v>1043</v>
      </c>
      <c r="FX365" t="s">
        <v>1042</v>
      </c>
      <c r="FZ365" t="s">
        <v>1048</v>
      </c>
      <c r="GA365">
        <v>0</v>
      </c>
      <c r="GB365" t="s">
        <v>1042</v>
      </c>
      <c r="GE365">
        <v>0</v>
      </c>
      <c r="GG365">
        <v>0</v>
      </c>
      <c r="GN365">
        <v>0</v>
      </c>
      <c r="GO365" t="s">
        <v>1063</v>
      </c>
      <c r="GQ365">
        <v>0</v>
      </c>
      <c r="GU365">
        <v>0</v>
      </c>
      <c r="GY365" t="s">
        <v>1045</v>
      </c>
      <c r="HB365">
        <v>0</v>
      </c>
      <c r="HE365">
        <v>0</v>
      </c>
      <c r="HF365">
        <v>0</v>
      </c>
      <c r="HG365">
        <v>0</v>
      </c>
      <c r="HK365" t="s">
        <v>1042</v>
      </c>
      <c r="HM365" t="s">
        <v>1047</v>
      </c>
      <c r="HN365">
        <v>0</v>
      </c>
      <c r="HP365">
        <v>0</v>
      </c>
      <c r="HQ365">
        <v>0</v>
      </c>
      <c r="HR365" t="s">
        <v>1042</v>
      </c>
      <c r="HS365" t="s">
        <v>1043</v>
      </c>
      <c r="HT365">
        <v>0</v>
      </c>
      <c r="HU365">
        <v>0</v>
      </c>
      <c r="HW365">
        <v>0</v>
      </c>
      <c r="HX365">
        <v>0</v>
      </c>
      <c r="HY365">
        <v>0</v>
      </c>
      <c r="HZ365" t="s">
        <v>1045</v>
      </c>
      <c r="IA365">
        <v>0</v>
      </c>
      <c r="IB365" t="s">
        <v>1045</v>
      </c>
      <c r="ID365" t="s">
        <v>1045</v>
      </c>
      <c r="IF365">
        <v>0</v>
      </c>
      <c r="IG365" t="s">
        <v>1042</v>
      </c>
      <c r="II365" t="s">
        <v>1042</v>
      </c>
      <c r="IR365" t="s">
        <v>1045</v>
      </c>
      <c r="IT365">
        <v>0</v>
      </c>
      <c r="IY365" t="s">
        <v>1044</v>
      </c>
      <c r="IZ365" t="s">
        <v>1043</v>
      </c>
      <c r="JC365" t="s">
        <v>1043</v>
      </c>
      <c r="JE365">
        <v>0</v>
      </c>
      <c r="JF365">
        <v>0</v>
      </c>
      <c r="JI365" t="s">
        <v>1042</v>
      </c>
      <c r="JJ365">
        <v>0</v>
      </c>
      <c r="JK365">
        <v>0</v>
      </c>
      <c r="JL365">
        <v>0</v>
      </c>
      <c r="JM365">
        <v>0</v>
      </c>
      <c r="JQ365" t="s">
        <v>1043</v>
      </c>
      <c r="JT365">
        <v>0</v>
      </c>
      <c r="JU365" t="s">
        <v>1042</v>
      </c>
      <c r="JW365">
        <v>0</v>
      </c>
      <c r="KA365">
        <v>0</v>
      </c>
      <c r="KF365">
        <v>0</v>
      </c>
      <c r="KG365">
        <v>0</v>
      </c>
      <c r="KH365">
        <v>0</v>
      </c>
      <c r="KI365">
        <v>0</v>
      </c>
      <c r="KS365" t="s">
        <v>1073</v>
      </c>
      <c r="KT365">
        <v>0</v>
      </c>
      <c r="KU365">
        <v>0</v>
      </c>
      <c r="KV365">
        <v>0</v>
      </c>
      <c r="KX365">
        <v>0</v>
      </c>
      <c r="KZ365">
        <v>0</v>
      </c>
      <c r="LF365">
        <v>0</v>
      </c>
      <c r="LH365">
        <v>0</v>
      </c>
      <c r="LI365">
        <v>0</v>
      </c>
    </row>
    <row r="366" spans="1:321" x14ac:dyDescent="0.35">
      <c r="A366">
        <v>1</v>
      </c>
      <c r="B366">
        <v>12580</v>
      </c>
      <c r="C366" t="s">
        <v>1318</v>
      </c>
      <c r="D366" t="s">
        <v>1133</v>
      </c>
      <c r="E366" t="s">
        <v>1085</v>
      </c>
      <c r="F366">
        <v>80</v>
      </c>
      <c r="G366">
        <v>9000</v>
      </c>
      <c r="H366">
        <v>0</v>
      </c>
      <c r="I366" t="s">
        <v>1050</v>
      </c>
      <c r="L366">
        <v>0</v>
      </c>
      <c r="M366">
        <v>0</v>
      </c>
      <c r="N366">
        <v>0</v>
      </c>
      <c r="R366">
        <v>0</v>
      </c>
      <c r="S366">
        <v>0</v>
      </c>
      <c r="W366" t="s">
        <v>1060</v>
      </c>
      <c r="X366">
        <v>0</v>
      </c>
      <c r="Z366">
        <v>1</v>
      </c>
      <c r="AA366">
        <v>0</v>
      </c>
      <c r="AB366">
        <v>0</v>
      </c>
      <c r="AC366">
        <v>0</v>
      </c>
      <c r="AD366" s="20">
        <v>40799</v>
      </c>
      <c r="AE366">
        <v>3.6</v>
      </c>
      <c r="AF366">
        <v>0</v>
      </c>
      <c r="AH366">
        <v>0</v>
      </c>
      <c r="AJ366">
        <v>0</v>
      </c>
      <c r="AL366">
        <v>0</v>
      </c>
      <c r="AM366">
        <v>0</v>
      </c>
      <c r="AN366">
        <v>16601001</v>
      </c>
      <c r="AO366">
        <v>0</v>
      </c>
      <c r="AP366">
        <v>1003</v>
      </c>
      <c r="AT366">
        <v>0</v>
      </c>
      <c r="AU366" t="s">
        <v>1059</v>
      </c>
      <c r="AW366" t="s">
        <v>1053</v>
      </c>
      <c r="AX366">
        <v>0</v>
      </c>
      <c r="AY366" s="20">
        <v>40799</v>
      </c>
      <c r="BA366" s="20">
        <v>40799</v>
      </c>
      <c r="BB366" t="s">
        <v>1058</v>
      </c>
      <c r="BD366">
        <v>0</v>
      </c>
      <c r="BF366" t="s">
        <v>1043</v>
      </c>
      <c r="BG366" t="s">
        <v>1042</v>
      </c>
      <c r="BH366">
        <v>0</v>
      </c>
      <c r="BI366">
        <v>1</v>
      </c>
      <c r="BJ366">
        <v>0</v>
      </c>
      <c r="BK366">
        <v>0</v>
      </c>
      <c r="BM366" t="s">
        <v>1042</v>
      </c>
      <c r="BN366">
        <v>0</v>
      </c>
      <c r="BR366" t="s">
        <v>1043</v>
      </c>
      <c r="BS366" t="s">
        <v>1043</v>
      </c>
      <c r="BT366" t="s">
        <v>1043</v>
      </c>
      <c r="BW366">
        <v>83</v>
      </c>
      <c r="CA366">
        <v>0</v>
      </c>
      <c r="CB366" t="s">
        <v>1057</v>
      </c>
      <c r="CE366" t="s">
        <v>1043</v>
      </c>
      <c r="CH366" t="s">
        <v>1043</v>
      </c>
      <c r="CN366" t="s">
        <v>1056</v>
      </c>
      <c r="CO366" t="s">
        <v>1043</v>
      </c>
      <c r="CP366">
        <v>1</v>
      </c>
      <c r="CQ366">
        <v>0</v>
      </c>
      <c r="CS366">
        <v>0</v>
      </c>
      <c r="CT366">
        <v>0</v>
      </c>
      <c r="CU366">
        <v>0</v>
      </c>
      <c r="CV366" t="s">
        <v>1045</v>
      </c>
      <c r="CW366">
        <v>0</v>
      </c>
      <c r="CX366">
        <v>0</v>
      </c>
      <c r="CY366">
        <v>0</v>
      </c>
      <c r="CZ366">
        <v>0</v>
      </c>
      <c r="DB366">
        <v>0</v>
      </c>
      <c r="DC366" t="s">
        <v>1043</v>
      </c>
      <c r="DF366" t="s">
        <v>1055</v>
      </c>
      <c r="DH366">
        <v>0</v>
      </c>
      <c r="DJ366">
        <v>0</v>
      </c>
      <c r="DK366" t="s">
        <v>1053</v>
      </c>
      <c r="DL366">
        <v>0</v>
      </c>
      <c r="DN366">
        <v>0</v>
      </c>
      <c r="DO366" t="s">
        <v>1042</v>
      </c>
      <c r="DP366">
        <v>0</v>
      </c>
      <c r="DQ366">
        <v>0</v>
      </c>
      <c r="DS366">
        <v>0</v>
      </c>
      <c r="DU366">
        <v>0</v>
      </c>
      <c r="DW366">
        <v>0</v>
      </c>
      <c r="DX366" t="s">
        <v>1043</v>
      </c>
      <c r="DY366">
        <v>0</v>
      </c>
      <c r="DZ366">
        <v>0</v>
      </c>
      <c r="EA366">
        <v>0</v>
      </c>
      <c r="ED366" t="s">
        <v>1045</v>
      </c>
      <c r="EE366">
        <v>0</v>
      </c>
      <c r="EF366">
        <v>0</v>
      </c>
      <c r="EQ366" t="s">
        <v>1044</v>
      </c>
      <c r="ES366" t="s">
        <v>1053</v>
      </c>
      <c r="ET366">
        <v>0</v>
      </c>
      <c r="EV366">
        <v>0</v>
      </c>
      <c r="EY366" t="s">
        <v>1052</v>
      </c>
      <c r="EZ366">
        <v>0</v>
      </c>
      <c r="FA366" t="s">
        <v>1043</v>
      </c>
      <c r="FB366">
        <v>0</v>
      </c>
      <c r="FC366">
        <v>0</v>
      </c>
      <c r="FE366" t="s">
        <v>1050</v>
      </c>
      <c r="FF366">
        <v>0</v>
      </c>
      <c r="FG366" t="s">
        <v>1050</v>
      </c>
      <c r="FJ366">
        <v>0</v>
      </c>
      <c r="FK366">
        <v>0</v>
      </c>
      <c r="FP366">
        <v>0</v>
      </c>
      <c r="FR366">
        <v>0</v>
      </c>
      <c r="FS366" t="s">
        <v>1043</v>
      </c>
      <c r="FX366" t="s">
        <v>1042</v>
      </c>
      <c r="FZ366" t="s">
        <v>1048</v>
      </c>
      <c r="GA366">
        <v>0</v>
      </c>
      <c r="GB366" t="s">
        <v>1042</v>
      </c>
      <c r="GE366">
        <v>0</v>
      </c>
      <c r="GG366">
        <v>0</v>
      </c>
      <c r="GN366">
        <v>0</v>
      </c>
      <c r="GO366" t="s">
        <v>1063</v>
      </c>
      <c r="GQ366">
        <v>0</v>
      </c>
      <c r="GU366">
        <v>0</v>
      </c>
      <c r="GY366" t="s">
        <v>1045</v>
      </c>
      <c r="HB366">
        <v>0</v>
      </c>
      <c r="HE366">
        <v>0</v>
      </c>
      <c r="HF366">
        <v>0</v>
      </c>
      <c r="HG366">
        <v>0</v>
      </c>
      <c r="HK366" t="s">
        <v>1042</v>
      </c>
      <c r="HM366" t="s">
        <v>1047</v>
      </c>
      <c r="HN366">
        <v>0</v>
      </c>
      <c r="HP366">
        <v>0</v>
      </c>
      <c r="HQ366">
        <v>0</v>
      </c>
      <c r="HR366" t="s">
        <v>1042</v>
      </c>
      <c r="HS366" t="s">
        <v>1043</v>
      </c>
      <c r="HT366">
        <v>0</v>
      </c>
      <c r="HU366">
        <v>0</v>
      </c>
      <c r="HW366">
        <v>0</v>
      </c>
      <c r="HX366">
        <v>0</v>
      </c>
      <c r="HY366">
        <v>0</v>
      </c>
      <c r="HZ366" t="s">
        <v>1045</v>
      </c>
      <c r="IA366">
        <v>0</v>
      </c>
      <c r="IB366" t="s">
        <v>1045</v>
      </c>
      <c r="ID366" t="s">
        <v>1045</v>
      </c>
      <c r="IF366">
        <v>0</v>
      </c>
      <c r="IG366" t="s">
        <v>1042</v>
      </c>
      <c r="II366" t="s">
        <v>1042</v>
      </c>
      <c r="IR366" t="s">
        <v>1045</v>
      </c>
      <c r="IT366">
        <v>0</v>
      </c>
      <c r="IY366" t="s">
        <v>1044</v>
      </c>
      <c r="IZ366" t="s">
        <v>1043</v>
      </c>
      <c r="JC366" t="s">
        <v>1043</v>
      </c>
      <c r="JE366">
        <v>0</v>
      </c>
      <c r="JF366">
        <v>0</v>
      </c>
      <c r="JI366" t="s">
        <v>1042</v>
      </c>
      <c r="JJ366">
        <v>0</v>
      </c>
      <c r="JK366">
        <v>0</v>
      </c>
      <c r="JL366">
        <v>0</v>
      </c>
      <c r="JM366">
        <v>0</v>
      </c>
      <c r="JQ366" t="s">
        <v>1043</v>
      </c>
      <c r="JT366">
        <v>0</v>
      </c>
      <c r="JU366" t="s">
        <v>1042</v>
      </c>
      <c r="JW366">
        <v>0</v>
      </c>
      <c r="KA366">
        <v>0</v>
      </c>
      <c r="KF366">
        <v>0</v>
      </c>
      <c r="KG366">
        <v>0</v>
      </c>
      <c r="KH366">
        <v>0</v>
      </c>
      <c r="KI366">
        <v>0</v>
      </c>
      <c r="KS366" t="s">
        <v>1073</v>
      </c>
      <c r="KT366">
        <v>0</v>
      </c>
      <c r="KU366">
        <v>0</v>
      </c>
      <c r="KV366">
        <v>0</v>
      </c>
      <c r="KX366">
        <v>0</v>
      </c>
      <c r="KZ366">
        <v>0</v>
      </c>
      <c r="LF366">
        <v>0</v>
      </c>
      <c r="LH366">
        <v>0</v>
      </c>
      <c r="LI366">
        <v>0</v>
      </c>
    </row>
    <row r="367" spans="1:321" x14ac:dyDescent="0.35">
      <c r="A367">
        <v>1</v>
      </c>
      <c r="B367">
        <v>12581</v>
      </c>
      <c r="C367" t="s">
        <v>1317</v>
      </c>
      <c r="D367" t="s">
        <v>1133</v>
      </c>
      <c r="E367" t="s">
        <v>1085</v>
      </c>
      <c r="F367">
        <v>80</v>
      </c>
      <c r="G367">
        <v>9000</v>
      </c>
      <c r="H367">
        <v>0</v>
      </c>
      <c r="I367" t="s">
        <v>1050</v>
      </c>
      <c r="L367">
        <v>0</v>
      </c>
      <c r="M367">
        <v>0</v>
      </c>
      <c r="N367">
        <v>0</v>
      </c>
      <c r="R367">
        <v>0</v>
      </c>
      <c r="S367">
        <v>0</v>
      </c>
      <c r="W367" t="s">
        <v>1060</v>
      </c>
      <c r="X367">
        <v>0</v>
      </c>
      <c r="Z367">
        <v>1</v>
      </c>
      <c r="AA367">
        <v>0</v>
      </c>
      <c r="AB367">
        <v>0</v>
      </c>
      <c r="AC367">
        <v>0</v>
      </c>
      <c r="AD367" s="20">
        <v>40799</v>
      </c>
      <c r="AE367">
        <v>3.6</v>
      </c>
      <c r="AF367">
        <v>0</v>
      </c>
      <c r="AH367">
        <v>0</v>
      </c>
      <c r="AJ367">
        <v>0</v>
      </c>
      <c r="AL367">
        <v>0</v>
      </c>
      <c r="AM367">
        <v>0</v>
      </c>
      <c r="AN367">
        <v>16601001</v>
      </c>
      <c r="AO367">
        <v>0</v>
      </c>
      <c r="AP367">
        <v>1003</v>
      </c>
      <c r="AT367">
        <v>0</v>
      </c>
      <c r="AU367" t="s">
        <v>1059</v>
      </c>
      <c r="AW367" t="s">
        <v>1053</v>
      </c>
      <c r="AX367">
        <v>0</v>
      </c>
      <c r="AY367" s="20">
        <v>40799</v>
      </c>
      <c r="BA367" s="20">
        <v>40799</v>
      </c>
      <c r="BB367" t="s">
        <v>1058</v>
      </c>
      <c r="BD367">
        <v>0</v>
      </c>
      <c r="BF367" t="s">
        <v>1043</v>
      </c>
      <c r="BG367" t="s">
        <v>1042</v>
      </c>
      <c r="BH367">
        <v>0</v>
      </c>
      <c r="BI367">
        <v>1</v>
      </c>
      <c r="BJ367">
        <v>0</v>
      </c>
      <c r="BK367">
        <v>0</v>
      </c>
      <c r="BM367" t="s">
        <v>1042</v>
      </c>
      <c r="BN367">
        <v>0</v>
      </c>
      <c r="BR367" t="s">
        <v>1043</v>
      </c>
      <c r="BS367" t="s">
        <v>1043</v>
      </c>
      <c r="BT367" t="s">
        <v>1043</v>
      </c>
      <c r="BW367">
        <v>83</v>
      </c>
      <c r="CA367">
        <v>0</v>
      </c>
      <c r="CB367" t="s">
        <v>1057</v>
      </c>
      <c r="CE367" t="s">
        <v>1043</v>
      </c>
      <c r="CH367" t="s">
        <v>1043</v>
      </c>
      <c r="CN367" t="s">
        <v>1056</v>
      </c>
      <c r="CO367" t="s">
        <v>1043</v>
      </c>
      <c r="CP367">
        <v>1</v>
      </c>
      <c r="CQ367">
        <v>0</v>
      </c>
      <c r="CS367">
        <v>0</v>
      </c>
      <c r="CT367">
        <v>0</v>
      </c>
      <c r="CU367">
        <v>0</v>
      </c>
      <c r="CV367" t="s">
        <v>1045</v>
      </c>
      <c r="CW367">
        <v>0</v>
      </c>
      <c r="CX367">
        <v>0</v>
      </c>
      <c r="CY367">
        <v>0</v>
      </c>
      <c r="CZ367">
        <v>0</v>
      </c>
      <c r="DB367">
        <v>0</v>
      </c>
      <c r="DC367" t="s">
        <v>1043</v>
      </c>
      <c r="DF367" t="s">
        <v>1055</v>
      </c>
      <c r="DH367">
        <v>0</v>
      </c>
      <c r="DJ367">
        <v>0</v>
      </c>
      <c r="DK367" t="s">
        <v>1053</v>
      </c>
      <c r="DL367">
        <v>0</v>
      </c>
      <c r="DN367">
        <v>0</v>
      </c>
      <c r="DO367" t="s">
        <v>1042</v>
      </c>
      <c r="DP367">
        <v>0</v>
      </c>
      <c r="DQ367">
        <v>0</v>
      </c>
      <c r="DS367">
        <v>0</v>
      </c>
      <c r="DU367">
        <v>0</v>
      </c>
      <c r="DW367">
        <v>0</v>
      </c>
      <c r="DX367" t="s">
        <v>1043</v>
      </c>
      <c r="DY367">
        <v>0</v>
      </c>
      <c r="DZ367">
        <v>0</v>
      </c>
      <c r="EA367">
        <v>0</v>
      </c>
      <c r="ED367" t="s">
        <v>1045</v>
      </c>
      <c r="EE367">
        <v>0</v>
      </c>
      <c r="EF367">
        <v>0</v>
      </c>
      <c r="EQ367" t="s">
        <v>1044</v>
      </c>
      <c r="ES367" t="s">
        <v>1053</v>
      </c>
      <c r="ET367">
        <v>0</v>
      </c>
      <c r="EV367">
        <v>0</v>
      </c>
      <c r="EY367" t="s">
        <v>1052</v>
      </c>
      <c r="EZ367">
        <v>0</v>
      </c>
      <c r="FA367" t="s">
        <v>1043</v>
      </c>
      <c r="FB367">
        <v>0</v>
      </c>
      <c r="FC367">
        <v>0</v>
      </c>
      <c r="FE367" t="s">
        <v>1050</v>
      </c>
      <c r="FF367">
        <v>0</v>
      </c>
      <c r="FG367" t="s">
        <v>1050</v>
      </c>
      <c r="FJ367">
        <v>0</v>
      </c>
      <c r="FK367">
        <v>0</v>
      </c>
      <c r="FP367">
        <v>0</v>
      </c>
      <c r="FR367">
        <v>0</v>
      </c>
      <c r="FS367" t="s">
        <v>1043</v>
      </c>
      <c r="FX367" t="s">
        <v>1042</v>
      </c>
      <c r="FZ367" t="s">
        <v>1048</v>
      </c>
      <c r="GA367">
        <v>0</v>
      </c>
      <c r="GB367" t="s">
        <v>1042</v>
      </c>
      <c r="GE367">
        <v>0</v>
      </c>
      <c r="GG367">
        <v>0</v>
      </c>
      <c r="GN367">
        <v>0</v>
      </c>
      <c r="GO367" t="s">
        <v>1063</v>
      </c>
      <c r="GQ367">
        <v>0</v>
      </c>
      <c r="GU367">
        <v>0</v>
      </c>
      <c r="GY367" t="s">
        <v>1045</v>
      </c>
      <c r="HB367">
        <v>0</v>
      </c>
      <c r="HE367">
        <v>0</v>
      </c>
      <c r="HF367">
        <v>0</v>
      </c>
      <c r="HG367">
        <v>0</v>
      </c>
      <c r="HK367" t="s">
        <v>1042</v>
      </c>
      <c r="HM367" t="s">
        <v>1047</v>
      </c>
      <c r="HN367">
        <v>0</v>
      </c>
      <c r="HP367">
        <v>0</v>
      </c>
      <c r="HQ367">
        <v>0</v>
      </c>
      <c r="HR367" t="s">
        <v>1042</v>
      </c>
      <c r="HS367" t="s">
        <v>1043</v>
      </c>
      <c r="HT367">
        <v>0</v>
      </c>
      <c r="HU367">
        <v>0</v>
      </c>
      <c r="HW367">
        <v>0</v>
      </c>
      <c r="HX367">
        <v>0</v>
      </c>
      <c r="HY367">
        <v>0</v>
      </c>
      <c r="HZ367" t="s">
        <v>1045</v>
      </c>
      <c r="IA367">
        <v>0</v>
      </c>
      <c r="IB367" t="s">
        <v>1045</v>
      </c>
      <c r="ID367" t="s">
        <v>1045</v>
      </c>
      <c r="IF367">
        <v>0</v>
      </c>
      <c r="IG367" t="s">
        <v>1042</v>
      </c>
      <c r="II367" t="s">
        <v>1042</v>
      </c>
      <c r="IR367" t="s">
        <v>1045</v>
      </c>
      <c r="IT367">
        <v>0</v>
      </c>
      <c r="IY367" t="s">
        <v>1044</v>
      </c>
      <c r="IZ367" t="s">
        <v>1043</v>
      </c>
      <c r="JC367" t="s">
        <v>1043</v>
      </c>
      <c r="JE367">
        <v>0</v>
      </c>
      <c r="JF367">
        <v>0</v>
      </c>
      <c r="JI367" t="s">
        <v>1042</v>
      </c>
      <c r="JJ367">
        <v>0</v>
      </c>
      <c r="JK367">
        <v>0</v>
      </c>
      <c r="JL367">
        <v>0</v>
      </c>
      <c r="JM367">
        <v>0</v>
      </c>
      <c r="JQ367" t="s">
        <v>1043</v>
      </c>
      <c r="JT367">
        <v>0</v>
      </c>
      <c r="JU367" t="s">
        <v>1042</v>
      </c>
      <c r="JW367">
        <v>0</v>
      </c>
      <c r="KA367">
        <v>0</v>
      </c>
      <c r="KF367">
        <v>0</v>
      </c>
      <c r="KG367">
        <v>0</v>
      </c>
      <c r="KH367">
        <v>0</v>
      </c>
      <c r="KI367">
        <v>0</v>
      </c>
      <c r="KS367" t="s">
        <v>1073</v>
      </c>
      <c r="KT367">
        <v>0</v>
      </c>
      <c r="KU367">
        <v>0</v>
      </c>
      <c r="KV367">
        <v>0</v>
      </c>
      <c r="KX367">
        <v>0</v>
      </c>
      <c r="KZ367">
        <v>0</v>
      </c>
      <c r="LF367">
        <v>0</v>
      </c>
      <c r="LH367">
        <v>0</v>
      </c>
      <c r="LI367">
        <v>0</v>
      </c>
    </row>
    <row r="368" spans="1:321" x14ac:dyDescent="0.35">
      <c r="A368">
        <v>1</v>
      </c>
      <c r="B368">
        <v>12582</v>
      </c>
      <c r="C368" t="s">
        <v>1316</v>
      </c>
      <c r="D368" t="s">
        <v>1133</v>
      </c>
      <c r="E368" t="s">
        <v>85</v>
      </c>
      <c r="F368">
        <v>80</v>
      </c>
      <c r="G368">
        <v>9000</v>
      </c>
      <c r="H368">
        <v>0</v>
      </c>
      <c r="I368" t="s">
        <v>1050</v>
      </c>
      <c r="L368">
        <v>0</v>
      </c>
      <c r="M368">
        <v>0</v>
      </c>
      <c r="N368">
        <v>0</v>
      </c>
      <c r="R368">
        <v>0</v>
      </c>
      <c r="S368">
        <v>0</v>
      </c>
      <c r="W368" t="s">
        <v>1060</v>
      </c>
      <c r="X368">
        <v>0</v>
      </c>
      <c r="Z368">
        <v>1</v>
      </c>
      <c r="AA368">
        <v>0</v>
      </c>
      <c r="AB368">
        <v>0</v>
      </c>
      <c r="AC368">
        <v>0</v>
      </c>
      <c r="AD368" s="20">
        <v>40799</v>
      </c>
      <c r="AE368">
        <v>2.7</v>
      </c>
      <c r="AF368">
        <v>0</v>
      </c>
      <c r="AH368">
        <v>0</v>
      </c>
      <c r="AJ368">
        <v>0</v>
      </c>
      <c r="AL368">
        <v>0</v>
      </c>
      <c r="AM368">
        <v>0</v>
      </c>
      <c r="AN368">
        <v>16601001</v>
      </c>
      <c r="AO368">
        <v>0</v>
      </c>
      <c r="AP368">
        <v>1003</v>
      </c>
      <c r="AT368">
        <v>0</v>
      </c>
      <c r="AU368" t="s">
        <v>1059</v>
      </c>
      <c r="AW368" t="s">
        <v>1053</v>
      </c>
      <c r="AX368">
        <v>0</v>
      </c>
      <c r="AY368" s="20">
        <v>40799</v>
      </c>
      <c r="BA368" s="20">
        <v>40799</v>
      </c>
      <c r="BB368" t="s">
        <v>1058</v>
      </c>
      <c r="BD368">
        <v>0</v>
      </c>
      <c r="BF368" t="s">
        <v>1043</v>
      </c>
      <c r="BG368" t="s">
        <v>1042</v>
      </c>
      <c r="BH368">
        <v>0</v>
      </c>
      <c r="BI368">
        <v>1</v>
      </c>
      <c r="BJ368">
        <v>0</v>
      </c>
      <c r="BK368">
        <v>0</v>
      </c>
      <c r="BM368" t="s">
        <v>1042</v>
      </c>
      <c r="BN368">
        <v>0</v>
      </c>
      <c r="BR368" t="s">
        <v>1043</v>
      </c>
      <c r="BS368" t="s">
        <v>1043</v>
      </c>
      <c r="BT368" t="s">
        <v>1043</v>
      </c>
      <c r="BW368">
        <v>83</v>
      </c>
      <c r="CA368">
        <v>0</v>
      </c>
      <c r="CB368" t="s">
        <v>1057</v>
      </c>
      <c r="CE368" t="s">
        <v>1043</v>
      </c>
      <c r="CH368" t="s">
        <v>1043</v>
      </c>
      <c r="CN368" t="s">
        <v>1056</v>
      </c>
      <c r="CO368" t="s">
        <v>1043</v>
      </c>
      <c r="CP368">
        <v>1</v>
      </c>
      <c r="CQ368">
        <v>0</v>
      </c>
      <c r="CS368">
        <v>0</v>
      </c>
      <c r="CT368">
        <v>0</v>
      </c>
      <c r="CU368">
        <v>0</v>
      </c>
      <c r="CV368" t="s">
        <v>1045</v>
      </c>
      <c r="CW368">
        <v>0</v>
      </c>
      <c r="CX368">
        <v>0</v>
      </c>
      <c r="CY368">
        <v>0</v>
      </c>
      <c r="CZ368">
        <v>0</v>
      </c>
      <c r="DB368">
        <v>0</v>
      </c>
      <c r="DC368" t="s">
        <v>1043</v>
      </c>
      <c r="DF368" t="s">
        <v>1055</v>
      </c>
      <c r="DH368">
        <v>0</v>
      </c>
      <c r="DJ368">
        <v>0</v>
      </c>
      <c r="DK368" t="s">
        <v>1053</v>
      </c>
      <c r="DL368">
        <v>0</v>
      </c>
      <c r="DN368">
        <v>0</v>
      </c>
      <c r="DO368" t="s">
        <v>1042</v>
      </c>
      <c r="DP368">
        <v>0</v>
      </c>
      <c r="DQ368">
        <v>0</v>
      </c>
      <c r="DS368">
        <v>0</v>
      </c>
      <c r="DU368">
        <v>0</v>
      </c>
      <c r="DW368">
        <v>0</v>
      </c>
      <c r="DX368" t="s">
        <v>1043</v>
      </c>
      <c r="DY368">
        <v>0</v>
      </c>
      <c r="DZ368">
        <v>0</v>
      </c>
      <c r="EA368">
        <v>0</v>
      </c>
      <c r="ED368" t="s">
        <v>1045</v>
      </c>
      <c r="EE368">
        <v>0</v>
      </c>
      <c r="EF368">
        <v>0</v>
      </c>
      <c r="EQ368" t="s">
        <v>1044</v>
      </c>
      <c r="ES368" t="s">
        <v>1053</v>
      </c>
      <c r="ET368">
        <v>0</v>
      </c>
      <c r="EV368">
        <v>0</v>
      </c>
      <c r="EY368" t="s">
        <v>1052</v>
      </c>
      <c r="EZ368">
        <v>0</v>
      </c>
      <c r="FA368" t="s">
        <v>1043</v>
      </c>
      <c r="FB368">
        <v>0</v>
      </c>
      <c r="FC368">
        <v>0</v>
      </c>
      <c r="FE368" t="s">
        <v>1050</v>
      </c>
      <c r="FF368">
        <v>0</v>
      </c>
      <c r="FG368" t="s">
        <v>1050</v>
      </c>
      <c r="FJ368">
        <v>0</v>
      </c>
      <c r="FK368">
        <v>0</v>
      </c>
      <c r="FP368">
        <v>0</v>
      </c>
      <c r="FR368">
        <v>0</v>
      </c>
      <c r="FS368" t="s">
        <v>1043</v>
      </c>
      <c r="FX368" t="s">
        <v>1042</v>
      </c>
      <c r="FZ368" t="s">
        <v>1048</v>
      </c>
      <c r="GA368">
        <v>0</v>
      </c>
      <c r="GB368" t="s">
        <v>1042</v>
      </c>
      <c r="GE368">
        <v>0</v>
      </c>
      <c r="GG368">
        <v>0</v>
      </c>
      <c r="GN368">
        <v>0</v>
      </c>
      <c r="GO368" t="s">
        <v>1063</v>
      </c>
      <c r="GQ368">
        <v>0</v>
      </c>
      <c r="GU368">
        <v>0</v>
      </c>
      <c r="GY368" t="s">
        <v>1045</v>
      </c>
      <c r="HB368">
        <v>0</v>
      </c>
      <c r="HE368">
        <v>0</v>
      </c>
      <c r="HF368">
        <v>0</v>
      </c>
      <c r="HG368">
        <v>0</v>
      </c>
      <c r="HK368" t="s">
        <v>1042</v>
      </c>
      <c r="HM368" t="s">
        <v>1047</v>
      </c>
      <c r="HN368">
        <v>0</v>
      </c>
      <c r="HP368">
        <v>0</v>
      </c>
      <c r="HQ368">
        <v>0</v>
      </c>
      <c r="HR368" t="s">
        <v>1042</v>
      </c>
      <c r="HS368" t="s">
        <v>1043</v>
      </c>
      <c r="HT368">
        <v>0</v>
      </c>
      <c r="HU368">
        <v>0</v>
      </c>
      <c r="HW368">
        <v>0</v>
      </c>
      <c r="HX368">
        <v>0</v>
      </c>
      <c r="HY368">
        <v>0</v>
      </c>
      <c r="HZ368" t="s">
        <v>1045</v>
      </c>
      <c r="IA368">
        <v>0</v>
      </c>
      <c r="IB368" t="s">
        <v>1045</v>
      </c>
      <c r="ID368" t="s">
        <v>1045</v>
      </c>
      <c r="IF368">
        <v>0</v>
      </c>
      <c r="IG368" t="s">
        <v>1042</v>
      </c>
      <c r="II368" t="s">
        <v>1042</v>
      </c>
      <c r="IR368" t="s">
        <v>1045</v>
      </c>
      <c r="IT368">
        <v>0</v>
      </c>
      <c r="IY368" t="s">
        <v>1044</v>
      </c>
      <c r="IZ368" t="s">
        <v>1043</v>
      </c>
      <c r="JC368" t="s">
        <v>1043</v>
      </c>
      <c r="JE368">
        <v>0</v>
      </c>
      <c r="JF368">
        <v>0</v>
      </c>
      <c r="JI368" t="s">
        <v>1042</v>
      </c>
      <c r="JJ368">
        <v>0</v>
      </c>
      <c r="JK368">
        <v>0</v>
      </c>
      <c r="JL368">
        <v>0</v>
      </c>
      <c r="JM368">
        <v>0</v>
      </c>
      <c r="JQ368" t="s">
        <v>1043</v>
      </c>
      <c r="JT368">
        <v>0</v>
      </c>
      <c r="JU368" t="s">
        <v>1042</v>
      </c>
      <c r="JW368">
        <v>0</v>
      </c>
      <c r="KA368">
        <v>0</v>
      </c>
      <c r="KF368">
        <v>0</v>
      </c>
      <c r="KG368">
        <v>0</v>
      </c>
      <c r="KH368">
        <v>0</v>
      </c>
      <c r="KI368">
        <v>0</v>
      </c>
      <c r="KS368" t="s">
        <v>1073</v>
      </c>
      <c r="KT368">
        <v>0</v>
      </c>
      <c r="KU368">
        <v>0</v>
      </c>
      <c r="KV368">
        <v>0</v>
      </c>
      <c r="KX368">
        <v>0</v>
      </c>
      <c r="KZ368">
        <v>0</v>
      </c>
      <c r="LF368">
        <v>0</v>
      </c>
      <c r="LH368">
        <v>0</v>
      </c>
      <c r="LI368">
        <v>0</v>
      </c>
    </row>
    <row r="369" spans="1:321" x14ac:dyDescent="0.35">
      <c r="A369">
        <v>1</v>
      </c>
      <c r="B369">
        <v>12583</v>
      </c>
      <c r="C369" t="s">
        <v>1315</v>
      </c>
      <c r="D369" t="s">
        <v>1133</v>
      </c>
      <c r="E369" t="s">
        <v>1085</v>
      </c>
      <c r="F369">
        <v>80</v>
      </c>
      <c r="G369">
        <v>9000</v>
      </c>
      <c r="H369">
        <v>0</v>
      </c>
      <c r="I369" t="s">
        <v>1050</v>
      </c>
      <c r="L369">
        <v>0</v>
      </c>
      <c r="M369">
        <v>0</v>
      </c>
      <c r="N369">
        <v>0</v>
      </c>
      <c r="R369">
        <v>0</v>
      </c>
      <c r="S369">
        <v>0</v>
      </c>
      <c r="W369" t="s">
        <v>1060</v>
      </c>
      <c r="X369">
        <v>0</v>
      </c>
      <c r="Z369">
        <v>1</v>
      </c>
      <c r="AA369">
        <v>0</v>
      </c>
      <c r="AB369">
        <v>0</v>
      </c>
      <c r="AC369">
        <v>0</v>
      </c>
      <c r="AD369" s="20">
        <v>40799</v>
      </c>
      <c r="AE369">
        <v>3.6</v>
      </c>
      <c r="AF369">
        <v>0</v>
      </c>
      <c r="AH369">
        <v>0</v>
      </c>
      <c r="AJ369">
        <v>0</v>
      </c>
      <c r="AL369">
        <v>0</v>
      </c>
      <c r="AM369">
        <v>0</v>
      </c>
      <c r="AN369">
        <v>16601001</v>
      </c>
      <c r="AO369">
        <v>0</v>
      </c>
      <c r="AP369">
        <v>1003</v>
      </c>
      <c r="AT369">
        <v>0</v>
      </c>
      <c r="AU369" t="s">
        <v>1059</v>
      </c>
      <c r="AW369" t="s">
        <v>1053</v>
      </c>
      <c r="AX369">
        <v>0</v>
      </c>
      <c r="AY369" s="20">
        <v>40799</v>
      </c>
      <c r="BA369" s="20">
        <v>40799</v>
      </c>
      <c r="BB369" t="s">
        <v>1058</v>
      </c>
      <c r="BD369">
        <v>0</v>
      </c>
      <c r="BF369" t="s">
        <v>1043</v>
      </c>
      <c r="BG369" t="s">
        <v>1042</v>
      </c>
      <c r="BH369">
        <v>0</v>
      </c>
      <c r="BI369">
        <v>1</v>
      </c>
      <c r="BJ369">
        <v>0</v>
      </c>
      <c r="BK369">
        <v>0</v>
      </c>
      <c r="BM369" t="s">
        <v>1042</v>
      </c>
      <c r="BN369">
        <v>0</v>
      </c>
      <c r="BR369" t="s">
        <v>1043</v>
      </c>
      <c r="BS369" t="s">
        <v>1043</v>
      </c>
      <c r="BT369" t="s">
        <v>1043</v>
      </c>
      <c r="BW369">
        <v>83</v>
      </c>
      <c r="CA369">
        <v>0</v>
      </c>
      <c r="CB369" t="s">
        <v>1057</v>
      </c>
      <c r="CE369" t="s">
        <v>1043</v>
      </c>
      <c r="CH369" t="s">
        <v>1043</v>
      </c>
      <c r="CN369" t="s">
        <v>1056</v>
      </c>
      <c r="CO369" t="s">
        <v>1043</v>
      </c>
      <c r="CP369">
        <v>1</v>
      </c>
      <c r="CQ369">
        <v>0</v>
      </c>
      <c r="CS369">
        <v>0</v>
      </c>
      <c r="CT369">
        <v>0</v>
      </c>
      <c r="CU369">
        <v>0</v>
      </c>
      <c r="CV369" t="s">
        <v>1045</v>
      </c>
      <c r="CW369">
        <v>0</v>
      </c>
      <c r="CX369">
        <v>0</v>
      </c>
      <c r="CY369">
        <v>0</v>
      </c>
      <c r="CZ369">
        <v>0</v>
      </c>
      <c r="DB369">
        <v>0</v>
      </c>
      <c r="DC369" t="s">
        <v>1043</v>
      </c>
      <c r="DF369" t="s">
        <v>1055</v>
      </c>
      <c r="DH369">
        <v>0</v>
      </c>
      <c r="DJ369">
        <v>0</v>
      </c>
      <c r="DK369" t="s">
        <v>1053</v>
      </c>
      <c r="DL369">
        <v>0</v>
      </c>
      <c r="DN369">
        <v>0</v>
      </c>
      <c r="DO369" t="s">
        <v>1042</v>
      </c>
      <c r="DP369">
        <v>0</v>
      </c>
      <c r="DQ369">
        <v>0</v>
      </c>
      <c r="DS369">
        <v>0</v>
      </c>
      <c r="DU369">
        <v>0</v>
      </c>
      <c r="DW369">
        <v>0</v>
      </c>
      <c r="DX369" t="s">
        <v>1043</v>
      </c>
      <c r="DY369">
        <v>0</v>
      </c>
      <c r="DZ369">
        <v>0</v>
      </c>
      <c r="EA369">
        <v>0</v>
      </c>
      <c r="ED369" t="s">
        <v>1045</v>
      </c>
      <c r="EE369">
        <v>0</v>
      </c>
      <c r="EF369">
        <v>0</v>
      </c>
      <c r="EQ369" t="s">
        <v>1044</v>
      </c>
      <c r="ES369" t="s">
        <v>1053</v>
      </c>
      <c r="ET369">
        <v>0</v>
      </c>
      <c r="EV369">
        <v>0</v>
      </c>
      <c r="EY369" t="s">
        <v>1052</v>
      </c>
      <c r="EZ369">
        <v>0</v>
      </c>
      <c r="FA369" t="s">
        <v>1043</v>
      </c>
      <c r="FB369">
        <v>0</v>
      </c>
      <c r="FC369">
        <v>0</v>
      </c>
      <c r="FE369" t="s">
        <v>1050</v>
      </c>
      <c r="FF369">
        <v>0</v>
      </c>
      <c r="FG369" t="s">
        <v>1050</v>
      </c>
      <c r="FJ369">
        <v>0</v>
      </c>
      <c r="FK369">
        <v>0</v>
      </c>
      <c r="FP369">
        <v>0</v>
      </c>
      <c r="FR369">
        <v>0</v>
      </c>
      <c r="FS369" t="s">
        <v>1043</v>
      </c>
      <c r="FX369" t="s">
        <v>1042</v>
      </c>
      <c r="FZ369" t="s">
        <v>1048</v>
      </c>
      <c r="GA369">
        <v>0</v>
      </c>
      <c r="GB369" t="s">
        <v>1042</v>
      </c>
      <c r="GE369">
        <v>0</v>
      </c>
      <c r="GG369">
        <v>0</v>
      </c>
      <c r="GN369">
        <v>0</v>
      </c>
      <c r="GO369" t="s">
        <v>1063</v>
      </c>
      <c r="GQ369">
        <v>0</v>
      </c>
      <c r="GU369">
        <v>0</v>
      </c>
      <c r="GY369" t="s">
        <v>1045</v>
      </c>
      <c r="HB369">
        <v>0</v>
      </c>
      <c r="HE369">
        <v>0</v>
      </c>
      <c r="HF369">
        <v>0</v>
      </c>
      <c r="HG369">
        <v>0</v>
      </c>
      <c r="HK369" t="s">
        <v>1042</v>
      </c>
      <c r="HM369" t="s">
        <v>1047</v>
      </c>
      <c r="HN369">
        <v>0</v>
      </c>
      <c r="HP369">
        <v>0</v>
      </c>
      <c r="HQ369">
        <v>0</v>
      </c>
      <c r="HR369" t="s">
        <v>1042</v>
      </c>
      <c r="HS369" t="s">
        <v>1043</v>
      </c>
      <c r="HT369">
        <v>0</v>
      </c>
      <c r="HU369">
        <v>0</v>
      </c>
      <c r="HW369">
        <v>0</v>
      </c>
      <c r="HX369">
        <v>0</v>
      </c>
      <c r="HY369">
        <v>0</v>
      </c>
      <c r="HZ369" t="s">
        <v>1045</v>
      </c>
      <c r="IA369">
        <v>0</v>
      </c>
      <c r="IB369" t="s">
        <v>1045</v>
      </c>
      <c r="ID369" t="s">
        <v>1045</v>
      </c>
      <c r="IF369">
        <v>0</v>
      </c>
      <c r="IG369" t="s">
        <v>1042</v>
      </c>
      <c r="II369" t="s">
        <v>1042</v>
      </c>
      <c r="IR369" t="s">
        <v>1045</v>
      </c>
      <c r="IT369">
        <v>0</v>
      </c>
      <c r="IY369" t="s">
        <v>1044</v>
      </c>
      <c r="IZ369" t="s">
        <v>1043</v>
      </c>
      <c r="JC369" t="s">
        <v>1043</v>
      </c>
      <c r="JE369">
        <v>0</v>
      </c>
      <c r="JF369">
        <v>0</v>
      </c>
      <c r="JI369" t="s">
        <v>1042</v>
      </c>
      <c r="JJ369">
        <v>0</v>
      </c>
      <c r="JK369">
        <v>0</v>
      </c>
      <c r="JL369">
        <v>0</v>
      </c>
      <c r="JM369">
        <v>0</v>
      </c>
      <c r="JQ369" t="s">
        <v>1043</v>
      </c>
      <c r="JT369">
        <v>0</v>
      </c>
      <c r="JU369" t="s">
        <v>1042</v>
      </c>
      <c r="JW369">
        <v>0</v>
      </c>
      <c r="KA369">
        <v>0</v>
      </c>
      <c r="KF369">
        <v>0</v>
      </c>
      <c r="KG369">
        <v>0</v>
      </c>
      <c r="KH369">
        <v>0</v>
      </c>
      <c r="KI369">
        <v>0</v>
      </c>
      <c r="KS369" t="s">
        <v>1073</v>
      </c>
      <c r="KT369">
        <v>0</v>
      </c>
      <c r="KU369">
        <v>0</v>
      </c>
      <c r="KV369">
        <v>0</v>
      </c>
      <c r="KX369">
        <v>0</v>
      </c>
      <c r="KZ369">
        <v>0</v>
      </c>
      <c r="LF369">
        <v>0</v>
      </c>
      <c r="LH369">
        <v>0</v>
      </c>
      <c r="LI369">
        <v>0</v>
      </c>
    </row>
    <row r="370" spans="1:321" x14ac:dyDescent="0.35">
      <c r="A370">
        <v>1</v>
      </c>
      <c r="B370">
        <v>12584</v>
      </c>
      <c r="C370" t="s">
        <v>1314</v>
      </c>
      <c r="D370" t="s">
        <v>1133</v>
      </c>
      <c r="E370" t="s">
        <v>1085</v>
      </c>
      <c r="F370">
        <v>80</v>
      </c>
      <c r="G370">
        <v>9000</v>
      </c>
      <c r="H370">
        <v>0</v>
      </c>
      <c r="I370" t="s">
        <v>1050</v>
      </c>
      <c r="L370">
        <v>0</v>
      </c>
      <c r="M370">
        <v>0</v>
      </c>
      <c r="N370">
        <v>0</v>
      </c>
      <c r="R370">
        <v>0</v>
      </c>
      <c r="S370">
        <v>0</v>
      </c>
      <c r="W370" t="s">
        <v>1060</v>
      </c>
      <c r="X370">
        <v>0</v>
      </c>
      <c r="Z370">
        <v>1</v>
      </c>
      <c r="AA370">
        <v>0</v>
      </c>
      <c r="AB370">
        <v>0</v>
      </c>
      <c r="AC370">
        <v>0</v>
      </c>
      <c r="AD370" s="20">
        <v>40799</v>
      </c>
      <c r="AE370">
        <v>3.6</v>
      </c>
      <c r="AF370">
        <v>0</v>
      </c>
      <c r="AH370">
        <v>0</v>
      </c>
      <c r="AJ370">
        <v>0</v>
      </c>
      <c r="AL370">
        <v>0</v>
      </c>
      <c r="AM370">
        <v>0</v>
      </c>
      <c r="AN370">
        <v>16601001</v>
      </c>
      <c r="AO370">
        <v>0</v>
      </c>
      <c r="AP370">
        <v>1003</v>
      </c>
      <c r="AT370">
        <v>0</v>
      </c>
      <c r="AU370" t="s">
        <v>1059</v>
      </c>
      <c r="AW370" t="s">
        <v>1053</v>
      </c>
      <c r="AX370">
        <v>0</v>
      </c>
      <c r="AY370" s="20">
        <v>40799</v>
      </c>
      <c r="BA370" s="20">
        <v>40799</v>
      </c>
      <c r="BB370" t="s">
        <v>1058</v>
      </c>
      <c r="BD370">
        <v>0</v>
      </c>
      <c r="BF370" t="s">
        <v>1043</v>
      </c>
      <c r="BG370" t="s">
        <v>1042</v>
      </c>
      <c r="BH370">
        <v>0</v>
      </c>
      <c r="BI370">
        <v>1</v>
      </c>
      <c r="BJ370">
        <v>0</v>
      </c>
      <c r="BK370">
        <v>0</v>
      </c>
      <c r="BM370" t="s">
        <v>1042</v>
      </c>
      <c r="BN370">
        <v>0</v>
      </c>
      <c r="BR370" t="s">
        <v>1043</v>
      </c>
      <c r="BS370" t="s">
        <v>1043</v>
      </c>
      <c r="BT370" t="s">
        <v>1043</v>
      </c>
      <c r="BW370">
        <v>83</v>
      </c>
      <c r="CA370">
        <v>0</v>
      </c>
      <c r="CB370" t="s">
        <v>1057</v>
      </c>
      <c r="CE370" t="s">
        <v>1043</v>
      </c>
      <c r="CH370" t="s">
        <v>1043</v>
      </c>
      <c r="CN370" t="s">
        <v>1056</v>
      </c>
      <c r="CO370" t="s">
        <v>1043</v>
      </c>
      <c r="CP370">
        <v>1</v>
      </c>
      <c r="CQ370">
        <v>0</v>
      </c>
      <c r="CS370">
        <v>0</v>
      </c>
      <c r="CT370">
        <v>0</v>
      </c>
      <c r="CU370">
        <v>0</v>
      </c>
      <c r="CV370" t="s">
        <v>1045</v>
      </c>
      <c r="CW370">
        <v>0</v>
      </c>
      <c r="CX370">
        <v>0</v>
      </c>
      <c r="CY370">
        <v>0</v>
      </c>
      <c r="CZ370">
        <v>0</v>
      </c>
      <c r="DB370">
        <v>0</v>
      </c>
      <c r="DC370" t="s">
        <v>1043</v>
      </c>
      <c r="DF370" t="s">
        <v>1055</v>
      </c>
      <c r="DH370">
        <v>0</v>
      </c>
      <c r="DJ370">
        <v>0</v>
      </c>
      <c r="DK370" t="s">
        <v>1053</v>
      </c>
      <c r="DL370">
        <v>0</v>
      </c>
      <c r="DN370">
        <v>0</v>
      </c>
      <c r="DO370" t="s">
        <v>1042</v>
      </c>
      <c r="DP370">
        <v>0</v>
      </c>
      <c r="DQ370">
        <v>0</v>
      </c>
      <c r="DS370">
        <v>0</v>
      </c>
      <c r="DU370">
        <v>0</v>
      </c>
      <c r="DW370">
        <v>0</v>
      </c>
      <c r="DX370" t="s">
        <v>1043</v>
      </c>
      <c r="DY370">
        <v>0</v>
      </c>
      <c r="DZ370">
        <v>0</v>
      </c>
      <c r="EA370">
        <v>0</v>
      </c>
      <c r="ED370" t="s">
        <v>1045</v>
      </c>
      <c r="EE370">
        <v>0</v>
      </c>
      <c r="EF370">
        <v>0</v>
      </c>
      <c r="EQ370" t="s">
        <v>1044</v>
      </c>
      <c r="ES370" t="s">
        <v>1053</v>
      </c>
      <c r="ET370">
        <v>0</v>
      </c>
      <c r="EV370">
        <v>0</v>
      </c>
      <c r="EY370" t="s">
        <v>1052</v>
      </c>
      <c r="EZ370">
        <v>0</v>
      </c>
      <c r="FA370" t="s">
        <v>1043</v>
      </c>
      <c r="FB370">
        <v>0</v>
      </c>
      <c r="FC370">
        <v>0</v>
      </c>
      <c r="FE370" t="s">
        <v>1050</v>
      </c>
      <c r="FF370">
        <v>0</v>
      </c>
      <c r="FG370" t="s">
        <v>1050</v>
      </c>
      <c r="FJ370">
        <v>0</v>
      </c>
      <c r="FK370">
        <v>0</v>
      </c>
      <c r="FP370">
        <v>0</v>
      </c>
      <c r="FR370">
        <v>0</v>
      </c>
      <c r="FS370" t="s">
        <v>1043</v>
      </c>
      <c r="FX370" t="s">
        <v>1042</v>
      </c>
      <c r="FZ370" t="s">
        <v>1048</v>
      </c>
      <c r="GA370">
        <v>0</v>
      </c>
      <c r="GB370" t="s">
        <v>1042</v>
      </c>
      <c r="GE370">
        <v>0</v>
      </c>
      <c r="GG370">
        <v>0</v>
      </c>
      <c r="GN370">
        <v>0</v>
      </c>
      <c r="GO370" t="s">
        <v>1063</v>
      </c>
      <c r="GQ370">
        <v>0</v>
      </c>
      <c r="GU370">
        <v>0</v>
      </c>
      <c r="GY370" t="s">
        <v>1045</v>
      </c>
      <c r="HB370">
        <v>0</v>
      </c>
      <c r="HE370">
        <v>0</v>
      </c>
      <c r="HF370">
        <v>0</v>
      </c>
      <c r="HG370">
        <v>0</v>
      </c>
      <c r="HK370" t="s">
        <v>1042</v>
      </c>
      <c r="HM370" t="s">
        <v>1047</v>
      </c>
      <c r="HN370">
        <v>0</v>
      </c>
      <c r="HP370">
        <v>0</v>
      </c>
      <c r="HQ370">
        <v>0</v>
      </c>
      <c r="HR370" t="s">
        <v>1042</v>
      </c>
      <c r="HS370" t="s">
        <v>1043</v>
      </c>
      <c r="HT370">
        <v>0</v>
      </c>
      <c r="HU370">
        <v>0</v>
      </c>
      <c r="HW370">
        <v>0</v>
      </c>
      <c r="HX370">
        <v>0</v>
      </c>
      <c r="HY370">
        <v>0</v>
      </c>
      <c r="HZ370" t="s">
        <v>1045</v>
      </c>
      <c r="IA370">
        <v>0</v>
      </c>
      <c r="IB370" t="s">
        <v>1045</v>
      </c>
      <c r="ID370" t="s">
        <v>1045</v>
      </c>
      <c r="IF370">
        <v>0</v>
      </c>
      <c r="IG370" t="s">
        <v>1042</v>
      </c>
      <c r="II370" t="s">
        <v>1042</v>
      </c>
      <c r="IR370" t="s">
        <v>1045</v>
      </c>
      <c r="IT370">
        <v>0</v>
      </c>
      <c r="IY370" t="s">
        <v>1044</v>
      </c>
      <c r="IZ370" t="s">
        <v>1043</v>
      </c>
      <c r="JC370" t="s">
        <v>1043</v>
      </c>
      <c r="JE370">
        <v>0</v>
      </c>
      <c r="JF370">
        <v>0</v>
      </c>
      <c r="JI370" t="s">
        <v>1042</v>
      </c>
      <c r="JJ370">
        <v>0</v>
      </c>
      <c r="JK370">
        <v>0</v>
      </c>
      <c r="JL370">
        <v>0</v>
      </c>
      <c r="JM370">
        <v>0</v>
      </c>
      <c r="JQ370" t="s">
        <v>1043</v>
      </c>
      <c r="JT370">
        <v>0</v>
      </c>
      <c r="JU370" t="s">
        <v>1042</v>
      </c>
      <c r="JW370">
        <v>0</v>
      </c>
      <c r="KA370">
        <v>0</v>
      </c>
      <c r="KF370">
        <v>0</v>
      </c>
      <c r="KG370">
        <v>0</v>
      </c>
      <c r="KH370">
        <v>0</v>
      </c>
      <c r="KI370">
        <v>0</v>
      </c>
      <c r="KS370" t="s">
        <v>1073</v>
      </c>
      <c r="KT370">
        <v>0</v>
      </c>
      <c r="KU370">
        <v>0</v>
      </c>
      <c r="KV370">
        <v>0</v>
      </c>
      <c r="KX370">
        <v>0</v>
      </c>
      <c r="KZ370">
        <v>0</v>
      </c>
      <c r="LF370">
        <v>0</v>
      </c>
      <c r="LH370">
        <v>0</v>
      </c>
      <c r="LI370">
        <v>0</v>
      </c>
    </row>
    <row r="371" spans="1:321" x14ac:dyDescent="0.35">
      <c r="A371">
        <v>1</v>
      </c>
      <c r="B371">
        <v>12585</v>
      </c>
      <c r="C371" t="s">
        <v>1313</v>
      </c>
      <c r="D371" t="s">
        <v>1133</v>
      </c>
      <c r="E371" t="s">
        <v>1085</v>
      </c>
      <c r="F371">
        <v>80</v>
      </c>
      <c r="G371">
        <v>9000</v>
      </c>
      <c r="H371">
        <v>0</v>
      </c>
      <c r="I371" t="s">
        <v>1050</v>
      </c>
      <c r="L371">
        <v>0</v>
      </c>
      <c r="M371">
        <v>0</v>
      </c>
      <c r="N371">
        <v>0</v>
      </c>
      <c r="R371">
        <v>0</v>
      </c>
      <c r="S371">
        <v>0</v>
      </c>
      <c r="W371" t="s">
        <v>1060</v>
      </c>
      <c r="X371">
        <v>0</v>
      </c>
      <c r="Z371">
        <v>1</v>
      </c>
      <c r="AA371">
        <v>0</v>
      </c>
      <c r="AB371">
        <v>0</v>
      </c>
      <c r="AC371">
        <v>0</v>
      </c>
      <c r="AD371" s="20">
        <v>40799</v>
      </c>
      <c r="AE371">
        <v>3.6</v>
      </c>
      <c r="AF371">
        <v>0</v>
      </c>
      <c r="AH371">
        <v>0</v>
      </c>
      <c r="AJ371">
        <v>0</v>
      </c>
      <c r="AL371">
        <v>0</v>
      </c>
      <c r="AM371">
        <v>0</v>
      </c>
      <c r="AN371">
        <v>16601001</v>
      </c>
      <c r="AO371">
        <v>0</v>
      </c>
      <c r="AP371">
        <v>1003</v>
      </c>
      <c r="AT371">
        <v>0</v>
      </c>
      <c r="AU371" t="s">
        <v>1059</v>
      </c>
      <c r="AW371" t="s">
        <v>1053</v>
      </c>
      <c r="AX371">
        <v>0</v>
      </c>
      <c r="AY371" s="20">
        <v>40799</v>
      </c>
      <c r="BA371" s="20">
        <v>40799</v>
      </c>
      <c r="BB371" t="s">
        <v>1058</v>
      </c>
      <c r="BD371">
        <v>0</v>
      </c>
      <c r="BF371" t="s">
        <v>1043</v>
      </c>
      <c r="BG371" t="s">
        <v>1042</v>
      </c>
      <c r="BH371">
        <v>0</v>
      </c>
      <c r="BI371">
        <v>1</v>
      </c>
      <c r="BJ371">
        <v>0</v>
      </c>
      <c r="BK371">
        <v>0</v>
      </c>
      <c r="BM371" t="s">
        <v>1042</v>
      </c>
      <c r="BN371">
        <v>0</v>
      </c>
      <c r="BR371" t="s">
        <v>1043</v>
      </c>
      <c r="BS371" t="s">
        <v>1043</v>
      </c>
      <c r="BT371" t="s">
        <v>1043</v>
      </c>
      <c r="BW371">
        <v>83</v>
      </c>
      <c r="CA371">
        <v>0</v>
      </c>
      <c r="CB371" t="s">
        <v>1057</v>
      </c>
      <c r="CE371" t="s">
        <v>1043</v>
      </c>
      <c r="CH371" t="s">
        <v>1043</v>
      </c>
      <c r="CN371" t="s">
        <v>1056</v>
      </c>
      <c r="CO371" t="s">
        <v>1043</v>
      </c>
      <c r="CP371">
        <v>1</v>
      </c>
      <c r="CQ371">
        <v>0</v>
      </c>
      <c r="CS371">
        <v>0</v>
      </c>
      <c r="CT371">
        <v>0</v>
      </c>
      <c r="CU371">
        <v>0</v>
      </c>
      <c r="CV371" t="s">
        <v>1045</v>
      </c>
      <c r="CW371">
        <v>0</v>
      </c>
      <c r="CX371">
        <v>0</v>
      </c>
      <c r="CY371">
        <v>0</v>
      </c>
      <c r="CZ371">
        <v>0</v>
      </c>
      <c r="DB371">
        <v>0</v>
      </c>
      <c r="DC371" t="s">
        <v>1043</v>
      </c>
      <c r="DF371" t="s">
        <v>1055</v>
      </c>
      <c r="DH371">
        <v>0</v>
      </c>
      <c r="DJ371">
        <v>0</v>
      </c>
      <c r="DK371" t="s">
        <v>1053</v>
      </c>
      <c r="DL371">
        <v>0</v>
      </c>
      <c r="DN371">
        <v>0</v>
      </c>
      <c r="DO371" t="s">
        <v>1042</v>
      </c>
      <c r="DP371">
        <v>0</v>
      </c>
      <c r="DQ371">
        <v>0</v>
      </c>
      <c r="DS371">
        <v>0</v>
      </c>
      <c r="DU371">
        <v>0</v>
      </c>
      <c r="DW371">
        <v>0</v>
      </c>
      <c r="DX371" t="s">
        <v>1043</v>
      </c>
      <c r="DY371">
        <v>0</v>
      </c>
      <c r="DZ371">
        <v>0</v>
      </c>
      <c r="EA371">
        <v>0</v>
      </c>
      <c r="ED371" t="s">
        <v>1045</v>
      </c>
      <c r="EE371">
        <v>0</v>
      </c>
      <c r="EF371">
        <v>0</v>
      </c>
      <c r="EQ371" t="s">
        <v>1044</v>
      </c>
      <c r="ES371" t="s">
        <v>1053</v>
      </c>
      <c r="ET371">
        <v>0</v>
      </c>
      <c r="EV371">
        <v>0</v>
      </c>
      <c r="EY371" t="s">
        <v>1052</v>
      </c>
      <c r="EZ371">
        <v>0</v>
      </c>
      <c r="FA371" t="s">
        <v>1043</v>
      </c>
      <c r="FB371">
        <v>0</v>
      </c>
      <c r="FC371">
        <v>0</v>
      </c>
      <c r="FE371" t="s">
        <v>1050</v>
      </c>
      <c r="FF371">
        <v>0</v>
      </c>
      <c r="FG371" t="s">
        <v>1050</v>
      </c>
      <c r="FJ371">
        <v>0</v>
      </c>
      <c r="FK371">
        <v>0</v>
      </c>
      <c r="FP371">
        <v>0</v>
      </c>
      <c r="FR371">
        <v>0</v>
      </c>
      <c r="FS371" t="s">
        <v>1043</v>
      </c>
      <c r="FX371" t="s">
        <v>1042</v>
      </c>
      <c r="FZ371" t="s">
        <v>1048</v>
      </c>
      <c r="GA371">
        <v>0</v>
      </c>
      <c r="GB371" t="s">
        <v>1042</v>
      </c>
      <c r="GE371">
        <v>0</v>
      </c>
      <c r="GG371">
        <v>0</v>
      </c>
      <c r="GN371">
        <v>0</v>
      </c>
      <c r="GO371" t="s">
        <v>1063</v>
      </c>
      <c r="GQ371">
        <v>0</v>
      </c>
      <c r="GU371">
        <v>0</v>
      </c>
      <c r="GY371" t="s">
        <v>1045</v>
      </c>
      <c r="HB371">
        <v>0</v>
      </c>
      <c r="HE371">
        <v>0</v>
      </c>
      <c r="HF371">
        <v>0</v>
      </c>
      <c r="HG371">
        <v>0</v>
      </c>
      <c r="HK371" t="s">
        <v>1042</v>
      </c>
      <c r="HM371" t="s">
        <v>1047</v>
      </c>
      <c r="HN371">
        <v>0</v>
      </c>
      <c r="HP371">
        <v>0</v>
      </c>
      <c r="HQ371">
        <v>0</v>
      </c>
      <c r="HR371" t="s">
        <v>1042</v>
      </c>
      <c r="HS371" t="s">
        <v>1043</v>
      </c>
      <c r="HT371">
        <v>0</v>
      </c>
      <c r="HU371">
        <v>0</v>
      </c>
      <c r="HW371">
        <v>0</v>
      </c>
      <c r="HX371">
        <v>0</v>
      </c>
      <c r="HY371">
        <v>0</v>
      </c>
      <c r="HZ371" t="s">
        <v>1045</v>
      </c>
      <c r="IA371">
        <v>0</v>
      </c>
      <c r="IB371" t="s">
        <v>1045</v>
      </c>
      <c r="ID371" t="s">
        <v>1045</v>
      </c>
      <c r="IF371">
        <v>0</v>
      </c>
      <c r="IG371" t="s">
        <v>1042</v>
      </c>
      <c r="II371" t="s">
        <v>1042</v>
      </c>
      <c r="IR371" t="s">
        <v>1045</v>
      </c>
      <c r="IT371">
        <v>0</v>
      </c>
      <c r="IY371" t="s">
        <v>1044</v>
      </c>
      <c r="IZ371" t="s">
        <v>1043</v>
      </c>
      <c r="JC371" t="s">
        <v>1043</v>
      </c>
      <c r="JE371">
        <v>0</v>
      </c>
      <c r="JF371">
        <v>0</v>
      </c>
      <c r="JI371" t="s">
        <v>1042</v>
      </c>
      <c r="JJ371">
        <v>0</v>
      </c>
      <c r="JK371">
        <v>0</v>
      </c>
      <c r="JL371">
        <v>0</v>
      </c>
      <c r="JM371">
        <v>0</v>
      </c>
      <c r="JQ371" t="s">
        <v>1043</v>
      </c>
      <c r="JT371">
        <v>0</v>
      </c>
      <c r="JU371" t="s">
        <v>1042</v>
      </c>
      <c r="JW371">
        <v>0</v>
      </c>
      <c r="KA371">
        <v>0</v>
      </c>
      <c r="KF371">
        <v>0</v>
      </c>
      <c r="KG371">
        <v>0</v>
      </c>
      <c r="KH371">
        <v>0</v>
      </c>
      <c r="KI371">
        <v>0</v>
      </c>
      <c r="KS371" t="s">
        <v>1073</v>
      </c>
      <c r="KT371">
        <v>0</v>
      </c>
      <c r="KU371">
        <v>0</v>
      </c>
      <c r="KV371">
        <v>0</v>
      </c>
      <c r="KX371">
        <v>0</v>
      </c>
      <c r="KZ371">
        <v>0</v>
      </c>
      <c r="LF371">
        <v>0</v>
      </c>
      <c r="LH371">
        <v>0</v>
      </c>
      <c r="LI371">
        <v>0</v>
      </c>
    </row>
    <row r="372" spans="1:321" x14ac:dyDescent="0.35">
      <c r="A372">
        <v>1</v>
      </c>
      <c r="B372">
        <v>12586</v>
      </c>
      <c r="C372" t="s">
        <v>1312</v>
      </c>
      <c r="D372" t="s">
        <v>1133</v>
      </c>
      <c r="E372" t="s">
        <v>1085</v>
      </c>
      <c r="F372">
        <v>80</v>
      </c>
      <c r="G372">
        <v>9000</v>
      </c>
      <c r="H372">
        <v>0</v>
      </c>
      <c r="I372" t="s">
        <v>1050</v>
      </c>
      <c r="L372">
        <v>0</v>
      </c>
      <c r="M372">
        <v>0</v>
      </c>
      <c r="N372">
        <v>0</v>
      </c>
      <c r="R372">
        <v>0</v>
      </c>
      <c r="S372">
        <v>0</v>
      </c>
      <c r="W372" t="s">
        <v>1060</v>
      </c>
      <c r="X372">
        <v>0</v>
      </c>
      <c r="Z372">
        <v>1</v>
      </c>
      <c r="AA372">
        <v>0</v>
      </c>
      <c r="AB372">
        <v>0</v>
      </c>
      <c r="AC372">
        <v>0</v>
      </c>
      <c r="AD372" s="20">
        <v>40799</v>
      </c>
      <c r="AE372">
        <v>3.6</v>
      </c>
      <c r="AF372">
        <v>0</v>
      </c>
      <c r="AH372">
        <v>0</v>
      </c>
      <c r="AJ372">
        <v>0</v>
      </c>
      <c r="AL372">
        <v>0</v>
      </c>
      <c r="AM372">
        <v>0</v>
      </c>
      <c r="AN372">
        <v>16601001</v>
      </c>
      <c r="AO372">
        <v>0</v>
      </c>
      <c r="AP372">
        <v>1003</v>
      </c>
      <c r="AT372">
        <v>0</v>
      </c>
      <c r="AU372" t="s">
        <v>1059</v>
      </c>
      <c r="AW372" t="s">
        <v>1053</v>
      </c>
      <c r="AX372">
        <v>0</v>
      </c>
      <c r="AY372" s="20">
        <v>40799</v>
      </c>
      <c r="BA372" s="20">
        <v>40799</v>
      </c>
      <c r="BB372" t="s">
        <v>1058</v>
      </c>
      <c r="BD372">
        <v>0</v>
      </c>
      <c r="BF372" t="s">
        <v>1043</v>
      </c>
      <c r="BG372" t="s">
        <v>1042</v>
      </c>
      <c r="BH372">
        <v>0</v>
      </c>
      <c r="BI372">
        <v>1</v>
      </c>
      <c r="BJ372">
        <v>0</v>
      </c>
      <c r="BK372">
        <v>0</v>
      </c>
      <c r="BM372" t="s">
        <v>1042</v>
      </c>
      <c r="BN372">
        <v>0</v>
      </c>
      <c r="BR372" t="s">
        <v>1043</v>
      </c>
      <c r="BS372" t="s">
        <v>1043</v>
      </c>
      <c r="BT372" t="s">
        <v>1043</v>
      </c>
      <c r="BW372">
        <v>83</v>
      </c>
      <c r="CA372">
        <v>0</v>
      </c>
      <c r="CB372" t="s">
        <v>1057</v>
      </c>
      <c r="CE372" t="s">
        <v>1043</v>
      </c>
      <c r="CH372" t="s">
        <v>1043</v>
      </c>
      <c r="CN372" t="s">
        <v>1056</v>
      </c>
      <c r="CO372" t="s">
        <v>1043</v>
      </c>
      <c r="CP372">
        <v>1</v>
      </c>
      <c r="CQ372">
        <v>0</v>
      </c>
      <c r="CS372">
        <v>0</v>
      </c>
      <c r="CT372">
        <v>0</v>
      </c>
      <c r="CU372">
        <v>0</v>
      </c>
      <c r="CV372" t="s">
        <v>1045</v>
      </c>
      <c r="CW372">
        <v>0</v>
      </c>
      <c r="CX372">
        <v>0</v>
      </c>
      <c r="CY372">
        <v>0</v>
      </c>
      <c r="CZ372">
        <v>0</v>
      </c>
      <c r="DB372">
        <v>0</v>
      </c>
      <c r="DC372" t="s">
        <v>1043</v>
      </c>
      <c r="DF372" t="s">
        <v>1055</v>
      </c>
      <c r="DH372">
        <v>0</v>
      </c>
      <c r="DJ372">
        <v>0</v>
      </c>
      <c r="DK372" t="s">
        <v>1053</v>
      </c>
      <c r="DL372">
        <v>0</v>
      </c>
      <c r="DN372">
        <v>0</v>
      </c>
      <c r="DO372" t="s">
        <v>1042</v>
      </c>
      <c r="DP372">
        <v>0</v>
      </c>
      <c r="DQ372">
        <v>0</v>
      </c>
      <c r="DS372">
        <v>0</v>
      </c>
      <c r="DU372">
        <v>0</v>
      </c>
      <c r="DW372">
        <v>0</v>
      </c>
      <c r="DX372" t="s">
        <v>1043</v>
      </c>
      <c r="DY372">
        <v>0</v>
      </c>
      <c r="DZ372">
        <v>0</v>
      </c>
      <c r="EA372">
        <v>0</v>
      </c>
      <c r="ED372" t="s">
        <v>1045</v>
      </c>
      <c r="EE372">
        <v>0</v>
      </c>
      <c r="EF372">
        <v>0</v>
      </c>
      <c r="EQ372" t="s">
        <v>1044</v>
      </c>
      <c r="ES372" t="s">
        <v>1053</v>
      </c>
      <c r="ET372">
        <v>0</v>
      </c>
      <c r="EV372">
        <v>0</v>
      </c>
      <c r="EY372" t="s">
        <v>1052</v>
      </c>
      <c r="EZ372">
        <v>0</v>
      </c>
      <c r="FA372" t="s">
        <v>1043</v>
      </c>
      <c r="FB372">
        <v>0</v>
      </c>
      <c r="FC372">
        <v>0</v>
      </c>
      <c r="FE372" t="s">
        <v>1050</v>
      </c>
      <c r="FF372">
        <v>0</v>
      </c>
      <c r="FG372" t="s">
        <v>1050</v>
      </c>
      <c r="FJ372">
        <v>0</v>
      </c>
      <c r="FK372">
        <v>0</v>
      </c>
      <c r="FP372">
        <v>0</v>
      </c>
      <c r="FR372">
        <v>0</v>
      </c>
      <c r="FS372" t="s">
        <v>1043</v>
      </c>
      <c r="FX372" t="s">
        <v>1042</v>
      </c>
      <c r="FZ372" t="s">
        <v>1048</v>
      </c>
      <c r="GA372">
        <v>0</v>
      </c>
      <c r="GB372" t="s">
        <v>1042</v>
      </c>
      <c r="GE372">
        <v>0</v>
      </c>
      <c r="GG372">
        <v>0</v>
      </c>
      <c r="GN372">
        <v>0</v>
      </c>
      <c r="GO372" t="s">
        <v>1063</v>
      </c>
      <c r="GQ372">
        <v>0</v>
      </c>
      <c r="GU372">
        <v>0</v>
      </c>
      <c r="GY372" t="s">
        <v>1045</v>
      </c>
      <c r="HB372">
        <v>0</v>
      </c>
      <c r="HE372">
        <v>0</v>
      </c>
      <c r="HF372">
        <v>0</v>
      </c>
      <c r="HG372">
        <v>0</v>
      </c>
      <c r="HK372" t="s">
        <v>1042</v>
      </c>
      <c r="HM372" t="s">
        <v>1047</v>
      </c>
      <c r="HN372">
        <v>0</v>
      </c>
      <c r="HP372">
        <v>0</v>
      </c>
      <c r="HQ372">
        <v>0</v>
      </c>
      <c r="HR372" t="s">
        <v>1042</v>
      </c>
      <c r="HS372" t="s">
        <v>1043</v>
      </c>
      <c r="HT372">
        <v>0</v>
      </c>
      <c r="HU372">
        <v>0</v>
      </c>
      <c r="HW372">
        <v>0</v>
      </c>
      <c r="HX372">
        <v>0</v>
      </c>
      <c r="HY372">
        <v>0</v>
      </c>
      <c r="HZ372" t="s">
        <v>1045</v>
      </c>
      <c r="IA372">
        <v>0</v>
      </c>
      <c r="IB372" t="s">
        <v>1045</v>
      </c>
      <c r="ID372" t="s">
        <v>1045</v>
      </c>
      <c r="IF372">
        <v>0</v>
      </c>
      <c r="IG372" t="s">
        <v>1042</v>
      </c>
      <c r="II372" t="s">
        <v>1042</v>
      </c>
      <c r="IR372" t="s">
        <v>1045</v>
      </c>
      <c r="IT372">
        <v>0</v>
      </c>
      <c r="IY372" t="s">
        <v>1044</v>
      </c>
      <c r="IZ372" t="s">
        <v>1043</v>
      </c>
      <c r="JC372" t="s">
        <v>1043</v>
      </c>
      <c r="JE372">
        <v>0</v>
      </c>
      <c r="JF372">
        <v>0</v>
      </c>
      <c r="JI372" t="s">
        <v>1042</v>
      </c>
      <c r="JJ372">
        <v>0</v>
      </c>
      <c r="JK372">
        <v>0</v>
      </c>
      <c r="JL372">
        <v>0</v>
      </c>
      <c r="JM372">
        <v>0</v>
      </c>
      <c r="JQ372" t="s">
        <v>1043</v>
      </c>
      <c r="JT372">
        <v>0</v>
      </c>
      <c r="JU372" t="s">
        <v>1042</v>
      </c>
      <c r="JW372">
        <v>0</v>
      </c>
      <c r="KA372">
        <v>0</v>
      </c>
      <c r="KF372">
        <v>0</v>
      </c>
      <c r="KG372">
        <v>0</v>
      </c>
      <c r="KH372">
        <v>0</v>
      </c>
      <c r="KI372">
        <v>0</v>
      </c>
      <c r="KS372" t="s">
        <v>1073</v>
      </c>
      <c r="KT372">
        <v>0</v>
      </c>
      <c r="KU372">
        <v>0</v>
      </c>
      <c r="KV372">
        <v>0</v>
      </c>
      <c r="KX372">
        <v>0</v>
      </c>
      <c r="KZ372">
        <v>0</v>
      </c>
      <c r="LF372">
        <v>0</v>
      </c>
      <c r="LH372">
        <v>0</v>
      </c>
      <c r="LI372">
        <v>0</v>
      </c>
    </row>
    <row r="373" spans="1:321" x14ac:dyDescent="0.35">
      <c r="A373">
        <v>1</v>
      </c>
      <c r="B373">
        <v>12587</v>
      </c>
      <c r="C373" t="s">
        <v>1311</v>
      </c>
      <c r="D373" t="s">
        <v>1133</v>
      </c>
      <c r="E373" t="s">
        <v>1085</v>
      </c>
      <c r="F373">
        <v>80</v>
      </c>
      <c r="G373">
        <v>9000</v>
      </c>
      <c r="H373">
        <v>0</v>
      </c>
      <c r="I373" t="s">
        <v>1050</v>
      </c>
      <c r="L373">
        <v>0</v>
      </c>
      <c r="M373">
        <v>0</v>
      </c>
      <c r="N373">
        <v>0</v>
      </c>
      <c r="R373">
        <v>0</v>
      </c>
      <c r="S373">
        <v>0</v>
      </c>
      <c r="W373" t="s">
        <v>1060</v>
      </c>
      <c r="X373">
        <v>0</v>
      </c>
      <c r="Z373">
        <v>1</v>
      </c>
      <c r="AA373">
        <v>0</v>
      </c>
      <c r="AB373">
        <v>0</v>
      </c>
      <c r="AC373">
        <v>0</v>
      </c>
      <c r="AD373" s="20">
        <v>40799</v>
      </c>
      <c r="AE373">
        <v>3.6</v>
      </c>
      <c r="AF373">
        <v>0</v>
      </c>
      <c r="AH373">
        <v>0</v>
      </c>
      <c r="AJ373">
        <v>0</v>
      </c>
      <c r="AL373">
        <v>0</v>
      </c>
      <c r="AM373">
        <v>0</v>
      </c>
      <c r="AN373">
        <v>16601001</v>
      </c>
      <c r="AO373">
        <v>0</v>
      </c>
      <c r="AP373">
        <v>1003</v>
      </c>
      <c r="AT373">
        <v>0</v>
      </c>
      <c r="AU373" t="s">
        <v>1059</v>
      </c>
      <c r="AW373" t="s">
        <v>1053</v>
      </c>
      <c r="AX373">
        <v>0</v>
      </c>
      <c r="AY373" s="20">
        <v>40799</v>
      </c>
      <c r="BA373" s="20">
        <v>40799</v>
      </c>
      <c r="BB373" t="s">
        <v>1058</v>
      </c>
      <c r="BD373">
        <v>0</v>
      </c>
      <c r="BF373" t="s">
        <v>1043</v>
      </c>
      <c r="BG373" t="s">
        <v>1042</v>
      </c>
      <c r="BH373">
        <v>0</v>
      </c>
      <c r="BI373">
        <v>1</v>
      </c>
      <c r="BJ373">
        <v>0</v>
      </c>
      <c r="BK373">
        <v>0</v>
      </c>
      <c r="BM373" t="s">
        <v>1042</v>
      </c>
      <c r="BN373">
        <v>0</v>
      </c>
      <c r="BR373" t="s">
        <v>1043</v>
      </c>
      <c r="BS373" t="s">
        <v>1043</v>
      </c>
      <c r="BT373" t="s">
        <v>1043</v>
      </c>
      <c r="BW373">
        <v>83</v>
      </c>
      <c r="CA373">
        <v>0</v>
      </c>
      <c r="CB373" t="s">
        <v>1057</v>
      </c>
      <c r="CE373" t="s">
        <v>1043</v>
      </c>
      <c r="CH373" t="s">
        <v>1043</v>
      </c>
      <c r="CN373" t="s">
        <v>1056</v>
      </c>
      <c r="CO373" t="s">
        <v>1043</v>
      </c>
      <c r="CP373">
        <v>1</v>
      </c>
      <c r="CQ373">
        <v>0</v>
      </c>
      <c r="CS373">
        <v>0</v>
      </c>
      <c r="CT373">
        <v>0</v>
      </c>
      <c r="CU373">
        <v>0</v>
      </c>
      <c r="CV373" t="s">
        <v>1045</v>
      </c>
      <c r="CW373">
        <v>0</v>
      </c>
      <c r="CX373">
        <v>0</v>
      </c>
      <c r="CY373">
        <v>0</v>
      </c>
      <c r="CZ373">
        <v>0</v>
      </c>
      <c r="DB373">
        <v>0</v>
      </c>
      <c r="DC373" t="s">
        <v>1043</v>
      </c>
      <c r="DF373" t="s">
        <v>1055</v>
      </c>
      <c r="DH373">
        <v>0</v>
      </c>
      <c r="DJ373">
        <v>0</v>
      </c>
      <c r="DK373" t="s">
        <v>1053</v>
      </c>
      <c r="DL373">
        <v>0</v>
      </c>
      <c r="DN373">
        <v>0</v>
      </c>
      <c r="DO373" t="s">
        <v>1042</v>
      </c>
      <c r="DP373">
        <v>0</v>
      </c>
      <c r="DQ373">
        <v>0</v>
      </c>
      <c r="DS373">
        <v>0</v>
      </c>
      <c r="DU373">
        <v>0</v>
      </c>
      <c r="DW373">
        <v>0</v>
      </c>
      <c r="DX373" t="s">
        <v>1043</v>
      </c>
      <c r="DY373">
        <v>0</v>
      </c>
      <c r="DZ373">
        <v>0</v>
      </c>
      <c r="EA373">
        <v>0</v>
      </c>
      <c r="ED373" t="s">
        <v>1045</v>
      </c>
      <c r="EE373">
        <v>0</v>
      </c>
      <c r="EF373">
        <v>0</v>
      </c>
      <c r="EQ373" t="s">
        <v>1044</v>
      </c>
      <c r="ES373" t="s">
        <v>1053</v>
      </c>
      <c r="ET373">
        <v>0</v>
      </c>
      <c r="EV373">
        <v>0</v>
      </c>
      <c r="EY373" t="s">
        <v>1052</v>
      </c>
      <c r="EZ373">
        <v>0</v>
      </c>
      <c r="FA373" t="s">
        <v>1043</v>
      </c>
      <c r="FB373">
        <v>0</v>
      </c>
      <c r="FC373">
        <v>0</v>
      </c>
      <c r="FE373" t="s">
        <v>1050</v>
      </c>
      <c r="FF373">
        <v>0</v>
      </c>
      <c r="FG373" t="s">
        <v>1050</v>
      </c>
      <c r="FJ373">
        <v>0</v>
      </c>
      <c r="FK373">
        <v>0</v>
      </c>
      <c r="FP373">
        <v>0</v>
      </c>
      <c r="FR373">
        <v>0</v>
      </c>
      <c r="FS373" t="s">
        <v>1043</v>
      </c>
      <c r="FX373" t="s">
        <v>1042</v>
      </c>
      <c r="FZ373" t="s">
        <v>1048</v>
      </c>
      <c r="GA373">
        <v>0</v>
      </c>
      <c r="GB373" t="s">
        <v>1042</v>
      </c>
      <c r="GE373">
        <v>0</v>
      </c>
      <c r="GG373">
        <v>0</v>
      </c>
      <c r="GN373">
        <v>0</v>
      </c>
      <c r="GO373" t="s">
        <v>1063</v>
      </c>
      <c r="GQ373">
        <v>0</v>
      </c>
      <c r="GU373">
        <v>0</v>
      </c>
      <c r="GY373" t="s">
        <v>1045</v>
      </c>
      <c r="HB373">
        <v>0</v>
      </c>
      <c r="HE373">
        <v>0</v>
      </c>
      <c r="HF373">
        <v>0</v>
      </c>
      <c r="HG373">
        <v>0</v>
      </c>
      <c r="HK373" t="s">
        <v>1042</v>
      </c>
      <c r="HM373" t="s">
        <v>1047</v>
      </c>
      <c r="HN373">
        <v>0</v>
      </c>
      <c r="HP373">
        <v>0</v>
      </c>
      <c r="HQ373">
        <v>0</v>
      </c>
      <c r="HR373" t="s">
        <v>1042</v>
      </c>
      <c r="HS373" t="s">
        <v>1043</v>
      </c>
      <c r="HT373">
        <v>0</v>
      </c>
      <c r="HU373">
        <v>0</v>
      </c>
      <c r="HW373">
        <v>0</v>
      </c>
      <c r="HX373">
        <v>0</v>
      </c>
      <c r="HY373">
        <v>0</v>
      </c>
      <c r="HZ373" t="s">
        <v>1045</v>
      </c>
      <c r="IA373">
        <v>0</v>
      </c>
      <c r="IB373" t="s">
        <v>1045</v>
      </c>
      <c r="ID373" t="s">
        <v>1045</v>
      </c>
      <c r="IF373">
        <v>0</v>
      </c>
      <c r="IG373" t="s">
        <v>1042</v>
      </c>
      <c r="II373" t="s">
        <v>1042</v>
      </c>
      <c r="IR373" t="s">
        <v>1045</v>
      </c>
      <c r="IT373">
        <v>0</v>
      </c>
      <c r="IY373" t="s">
        <v>1044</v>
      </c>
      <c r="IZ373" t="s">
        <v>1043</v>
      </c>
      <c r="JC373" t="s">
        <v>1043</v>
      </c>
      <c r="JE373">
        <v>0</v>
      </c>
      <c r="JF373">
        <v>0</v>
      </c>
      <c r="JI373" t="s">
        <v>1042</v>
      </c>
      <c r="JJ373">
        <v>0</v>
      </c>
      <c r="JK373">
        <v>0</v>
      </c>
      <c r="JL373">
        <v>0</v>
      </c>
      <c r="JM373">
        <v>0</v>
      </c>
      <c r="JQ373" t="s">
        <v>1043</v>
      </c>
      <c r="JT373">
        <v>0</v>
      </c>
      <c r="JU373" t="s">
        <v>1042</v>
      </c>
      <c r="JW373">
        <v>0</v>
      </c>
      <c r="KA373">
        <v>0</v>
      </c>
      <c r="KF373">
        <v>0</v>
      </c>
      <c r="KG373">
        <v>0</v>
      </c>
      <c r="KH373">
        <v>0</v>
      </c>
      <c r="KI373">
        <v>0</v>
      </c>
      <c r="KS373" t="s">
        <v>1073</v>
      </c>
      <c r="KT373">
        <v>0</v>
      </c>
      <c r="KU373">
        <v>0</v>
      </c>
      <c r="KV373">
        <v>0</v>
      </c>
      <c r="KX373">
        <v>0</v>
      </c>
      <c r="KZ373">
        <v>0</v>
      </c>
      <c r="LF373">
        <v>0</v>
      </c>
      <c r="LH373">
        <v>0</v>
      </c>
      <c r="LI373">
        <v>0</v>
      </c>
    </row>
    <row r="374" spans="1:321" x14ac:dyDescent="0.35">
      <c r="A374">
        <v>1</v>
      </c>
      <c r="B374">
        <v>12588</v>
      </c>
      <c r="C374" t="s">
        <v>1310</v>
      </c>
      <c r="D374" t="s">
        <v>1133</v>
      </c>
      <c r="E374" t="s">
        <v>1085</v>
      </c>
      <c r="F374">
        <v>80</v>
      </c>
      <c r="G374">
        <v>9000</v>
      </c>
      <c r="H374">
        <v>0</v>
      </c>
      <c r="I374" t="s">
        <v>1050</v>
      </c>
      <c r="L374">
        <v>0</v>
      </c>
      <c r="M374">
        <v>0</v>
      </c>
      <c r="N374">
        <v>0</v>
      </c>
      <c r="R374">
        <v>0</v>
      </c>
      <c r="S374">
        <v>0</v>
      </c>
      <c r="W374" t="s">
        <v>1060</v>
      </c>
      <c r="X374">
        <v>0</v>
      </c>
      <c r="Z374">
        <v>1</v>
      </c>
      <c r="AA374">
        <v>0</v>
      </c>
      <c r="AB374">
        <v>0</v>
      </c>
      <c r="AC374">
        <v>0</v>
      </c>
      <c r="AD374" s="20">
        <v>40799</v>
      </c>
      <c r="AE374">
        <v>3.6</v>
      </c>
      <c r="AF374">
        <v>0</v>
      </c>
      <c r="AH374">
        <v>0</v>
      </c>
      <c r="AJ374">
        <v>0</v>
      </c>
      <c r="AL374">
        <v>0</v>
      </c>
      <c r="AM374">
        <v>0</v>
      </c>
      <c r="AN374">
        <v>16601001</v>
      </c>
      <c r="AO374">
        <v>0</v>
      </c>
      <c r="AP374">
        <v>1003</v>
      </c>
      <c r="AT374">
        <v>0</v>
      </c>
      <c r="AU374" t="s">
        <v>1059</v>
      </c>
      <c r="AW374" t="s">
        <v>1053</v>
      </c>
      <c r="AX374">
        <v>0</v>
      </c>
      <c r="AY374" s="20">
        <v>40799</v>
      </c>
      <c r="BA374" s="20">
        <v>40799</v>
      </c>
      <c r="BB374" t="s">
        <v>1058</v>
      </c>
      <c r="BD374">
        <v>0</v>
      </c>
      <c r="BF374" t="s">
        <v>1043</v>
      </c>
      <c r="BG374" t="s">
        <v>1042</v>
      </c>
      <c r="BH374">
        <v>0</v>
      </c>
      <c r="BI374">
        <v>1</v>
      </c>
      <c r="BJ374">
        <v>0</v>
      </c>
      <c r="BK374">
        <v>0</v>
      </c>
      <c r="BM374" t="s">
        <v>1042</v>
      </c>
      <c r="BN374">
        <v>0</v>
      </c>
      <c r="BR374" t="s">
        <v>1043</v>
      </c>
      <c r="BS374" t="s">
        <v>1043</v>
      </c>
      <c r="BT374" t="s">
        <v>1043</v>
      </c>
      <c r="BW374">
        <v>83</v>
      </c>
      <c r="CA374">
        <v>0</v>
      </c>
      <c r="CB374" t="s">
        <v>1057</v>
      </c>
      <c r="CE374" t="s">
        <v>1043</v>
      </c>
      <c r="CH374" t="s">
        <v>1043</v>
      </c>
      <c r="CN374" t="s">
        <v>1056</v>
      </c>
      <c r="CO374" t="s">
        <v>1043</v>
      </c>
      <c r="CP374">
        <v>1</v>
      </c>
      <c r="CQ374">
        <v>0</v>
      </c>
      <c r="CS374">
        <v>0</v>
      </c>
      <c r="CT374">
        <v>0</v>
      </c>
      <c r="CU374">
        <v>0</v>
      </c>
      <c r="CV374" t="s">
        <v>1045</v>
      </c>
      <c r="CW374">
        <v>0</v>
      </c>
      <c r="CX374">
        <v>0</v>
      </c>
      <c r="CY374">
        <v>0</v>
      </c>
      <c r="CZ374">
        <v>0</v>
      </c>
      <c r="DB374">
        <v>0</v>
      </c>
      <c r="DC374" t="s">
        <v>1043</v>
      </c>
      <c r="DF374" t="s">
        <v>1055</v>
      </c>
      <c r="DH374">
        <v>0</v>
      </c>
      <c r="DJ374">
        <v>0</v>
      </c>
      <c r="DK374" t="s">
        <v>1053</v>
      </c>
      <c r="DL374">
        <v>0</v>
      </c>
      <c r="DN374">
        <v>0</v>
      </c>
      <c r="DO374" t="s">
        <v>1042</v>
      </c>
      <c r="DP374">
        <v>0</v>
      </c>
      <c r="DQ374">
        <v>0</v>
      </c>
      <c r="DS374">
        <v>0</v>
      </c>
      <c r="DU374">
        <v>0</v>
      </c>
      <c r="DW374">
        <v>0</v>
      </c>
      <c r="DX374" t="s">
        <v>1043</v>
      </c>
      <c r="DY374">
        <v>0</v>
      </c>
      <c r="DZ374">
        <v>0</v>
      </c>
      <c r="EA374">
        <v>0</v>
      </c>
      <c r="ED374" t="s">
        <v>1045</v>
      </c>
      <c r="EE374">
        <v>0</v>
      </c>
      <c r="EF374">
        <v>0</v>
      </c>
      <c r="EQ374" t="s">
        <v>1044</v>
      </c>
      <c r="ES374" t="s">
        <v>1053</v>
      </c>
      <c r="ET374">
        <v>0</v>
      </c>
      <c r="EV374">
        <v>0</v>
      </c>
      <c r="EY374" t="s">
        <v>1052</v>
      </c>
      <c r="EZ374">
        <v>0</v>
      </c>
      <c r="FA374" t="s">
        <v>1043</v>
      </c>
      <c r="FB374">
        <v>0</v>
      </c>
      <c r="FC374">
        <v>0</v>
      </c>
      <c r="FE374" t="s">
        <v>1050</v>
      </c>
      <c r="FF374">
        <v>0</v>
      </c>
      <c r="FG374" t="s">
        <v>1050</v>
      </c>
      <c r="FJ374">
        <v>0</v>
      </c>
      <c r="FK374">
        <v>0</v>
      </c>
      <c r="FP374">
        <v>0</v>
      </c>
      <c r="FR374">
        <v>0</v>
      </c>
      <c r="FS374" t="s">
        <v>1043</v>
      </c>
      <c r="FX374" t="s">
        <v>1042</v>
      </c>
      <c r="FZ374" t="s">
        <v>1048</v>
      </c>
      <c r="GA374">
        <v>0</v>
      </c>
      <c r="GB374" t="s">
        <v>1042</v>
      </c>
      <c r="GE374">
        <v>0</v>
      </c>
      <c r="GG374">
        <v>0</v>
      </c>
      <c r="GN374">
        <v>0</v>
      </c>
      <c r="GO374" t="s">
        <v>1063</v>
      </c>
      <c r="GQ374">
        <v>0</v>
      </c>
      <c r="GU374">
        <v>0</v>
      </c>
      <c r="GY374" t="s">
        <v>1045</v>
      </c>
      <c r="HB374">
        <v>0</v>
      </c>
      <c r="HE374">
        <v>0</v>
      </c>
      <c r="HF374">
        <v>0</v>
      </c>
      <c r="HG374">
        <v>0</v>
      </c>
      <c r="HK374" t="s">
        <v>1042</v>
      </c>
      <c r="HM374" t="s">
        <v>1047</v>
      </c>
      <c r="HN374">
        <v>0</v>
      </c>
      <c r="HP374">
        <v>0</v>
      </c>
      <c r="HQ374">
        <v>0</v>
      </c>
      <c r="HR374" t="s">
        <v>1042</v>
      </c>
      <c r="HS374" t="s">
        <v>1043</v>
      </c>
      <c r="HT374">
        <v>0</v>
      </c>
      <c r="HU374">
        <v>0</v>
      </c>
      <c r="HW374">
        <v>0</v>
      </c>
      <c r="HX374">
        <v>0</v>
      </c>
      <c r="HY374">
        <v>0</v>
      </c>
      <c r="HZ374" t="s">
        <v>1045</v>
      </c>
      <c r="IA374">
        <v>0</v>
      </c>
      <c r="IB374" t="s">
        <v>1045</v>
      </c>
      <c r="ID374" t="s">
        <v>1045</v>
      </c>
      <c r="IF374">
        <v>0</v>
      </c>
      <c r="IG374" t="s">
        <v>1042</v>
      </c>
      <c r="II374" t="s">
        <v>1042</v>
      </c>
      <c r="IR374" t="s">
        <v>1045</v>
      </c>
      <c r="IT374">
        <v>0</v>
      </c>
      <c r="IY374" t="s">
        <v>1044</v>
      </c>
      <c r="IZ374" t="s">
        <v>1043</v>
      </c>
      <c r="JC374" t="s">
        <v>1043</v>
      </c>
      <c r="JE374">
        <v>0</v>
      </c>
      <c r="JF374">
        <v>0</v>
      </c>
      <c r="JI374" t="s">
        <v>1042</v>
      </c>
      <c r="JJ374">
        <v>0</v>
      </c>
      <c r="JK374">
        <v>0</v>
      </c>
      <c r="JL374">
        <v>0</v>
      </c>
      <c r="JM374">
        <v>0</v>
      </c>
      <c r="JQ374" t="s">
        <v>1043</v>
      </c>
      <c r="JT374">
        <v>0</v>
      </c>
      <c r="JU374" t="s">
        <v>1042</v>
      </c>
      <c r="JW374">
        <v>0</v>
      </c>
      <c r="KA374">
        <v>0</v>
      </c>
      <c r="KF374">
        <v>0</v>
      </c>
      <c r="KG374">
        <v>0</v>
      </c>
      <c r="KH374">
        <v>0</v>
      </c>
      <c r="KI374">
        <v>0</v>
      </c>
      <c r="KS374" t="s">
        <v>1073</v>
      </c>
      <c r="KT374">
        <v>0</v>
      </c>
      <c r="KU374">
        <v>0</v>
      </c>
      <c r="KV374">
        <v>0</v>
      </c>
      <c r="KX374">
        <v>0</v>
      </c>
      <c r="KZ374">
        <v>0</v>
      </c>
      <c r="LF374">
        <v>0</v>
      </c>
      <c r="LH374">
        <v>0</v>
      </c>
      <c r="LI374">
        <v>0</v>
      </c>
    </row>
    <row r="375" spans="1:321" x14ac:dyDescent="0.35">
      <c r="A375">
        <v>1</v>
      </c>
      <c r="B375">
        <v>12589</v>
      </c>
      <c r="C375" t="s">
        <v>1309</v>
      </c>
      <c r="D375" t="s">
        <v>1133</v>
      </c>
      <c r="E375" t="s">
        <v>1085</v>
      </c>
      <c r="F375">
        <v>80</v>
      </c>
      <c r="G375">
        <v>9000</v>
      </c>
      <c r="H375">
        <v>0</v>
      </c>
      <c r="I375" t="s">
        <v>1050</v>
      </c>
      <c r="L375">
        <v>0</v>
      </c>
      <c r="M375">
        <v>0</v>
      </c>
      <c r="N375">
        <v>0</v>
      </c>
      <c r="R375">
        <v>0</v>
      </c>
      <c r="S375">
        <v>0</v>
      </c>
      <c r="W375" t="s">
        <v>1060</v>
      </c>
      <c r="X375">
        <v>0</v>
      </c>
      <c r="Z375">
        <v>1</v>
      </c>
      <c r="AA375">
        <v>0</v>
      </c>
      <c r="AB375">
        <v>0</v>
      </c>
      <c r="AC375">
        <v>0</v>
      </c>
      <c r="AD375" s="20">
        <v>40799</v>
      </c>
      <c r="AE375">
        <v>3.6</v>
      </c>
      <c r="AF375">
        <v>0</v>
      </c>
      <c r="AH375">
        <v>0</v>
      </c>
      <c r="AJ375">
        <v>0</v>
      </c>
      <c r="AL375">
        <v>0</v>
      </c>
      <c r="AM375">
        <v>0</v>
      </c>
      <c r="AN375">
        <v>16601001</v>
      </c>
      <c r="AO375">
        <v>0</v>
      </c>
      <c r="AP375">
        <v>1003</v>
      </c>
      <c r="AT375">
        <v>0</v>
      </c>
      <c r="AU375" t="s">
        <v>1059</v>
      </c>
      <c r="AW375" t="s">
        <v>1053</v>
      </c>
      <c r="AX375">
        <v>0</v>
      </c>
      <c r="AY375" s="20">
        <v>40799</v>
      </c>
      <c r="BA375" s="20">
        <v>40799</v>
      </c>
      <c r="BB375" t="s">
        <v>1058</v>
      </c>
      <c r="BD375">
        <v>0</v>
      </c>
      <c r="BF375" t="s">
        <v>1043</v>
      </c>
      <c r="BG375" t="s">
        <v>1042</v>
      </c>
      <c r="BH375">
        <v>0</v>
      </c>
      <c r="BI375">
        <v>1</v>
      </c>
      <c r="BJ375">
        <v>0</v>
      </c>
      <c r="BK375">
        <v>0</v>
      </c>
      <c r="BM375" t="s">
        <v>1042</v>
      </c>
      <c r="BN375">
        <v>0</v>
      </c>
      <c r="BR375" t="s">
        <v>1043</v>
      </c>
      <c r="BS375" t="s">
        <v>1043</v>
      </c>
      <c r="BT375" t="s">
        <v>1043</v>
      </c>
      <c r="BW375">
        <v>83</v>
      </c>
      <c r="CA375">
        <v>0</v>
      </c>
      <c r="CB375" t="s">
        <v>1057</v>
      </c>
      <c r="CE375" t="s">
        <v>1043</v>
      </c>
      <c r="CH375" t="s">
        <v>1043</v>
      </c>
      <c r="CN375" t="s">
        <v>1056</v>
      </c>
      <c r="CO375" t="s">
        <v>1043</v>
      </c>
      <c r="CP375">
        <v>1</v>
      </c>
      <c r="CQ375">
        <v>0</v>
      </c>
      <c r="CS375">
        <v>0</v>
      </c>
      <c r="CT375">
        <v>0</v>
      </c>
      <c r="CU375">
        <v>0</v>
      </c>
      <c r="CV375" t="s">
        <v>1045</v>
      </c>
      <c r="CW375">
        <v>0</v>
      </c>
      <c r="CX375">
        <v>0</v>
      </c>
      <c r="CY375">
        <v>0</v>
      </c>
      <c r="CZ375">
        <v>0</v>
      </c>
      <c r="DB375">
        <v>0</v>
      </c>
      <c r="DC375" t="s">
        <v>1043</v>
      </c>
      <c r="DF375" t="s">
        <v>1055</v>
      </c>
      <c r="DH375">
        <v>0</v>
      </c>
      <c r="DJ375">
        <v>0</v>
      </c>
      <c r="DK375" t="s">
        <v>1053</v>
      </c>
      <c r="DL375">
        <v>0</v>
      </c>
      <c r="DN375">
        <v>0</v>
      </c>
      <c r="DO375" t="s">
        <v>1042</v>
      </c>
      <c r="DP375">
        <v>0</v>
      </c>
      <c r="DQ375">
        <v>0</v>
      </c>
      <c r="DS375">
        <v>0</v>
      </c>
      <c r="DU375">
        <v>0</v>
      </c>
      <c r="DW375">
        <v>0</v>
      </c>
      <c r="DX375" t="s">
        <v>1043</v>
      </c>
      <c r="DY375">
        <v>0</v>
      </c>
      <c r="DZ375">
        <v>0</v>
      </c>
      <c r="EA375">
        <v>0</v>
      </c>
      <c r="ED375" t="s">
        <v>1045</v>
      </c>
      <c r="EE375">
        <v>0</v>
      </c>
      <c r="EF375">
        <v>0</v>
      </c>
      <c r="EQ375" t="s">
        <v>1044</v>
      </c>
      <c r="ES375" t="s">
        <v>1053</v>
      </c>
      <c r="ET375">
        <v>0</v>
      </c>
      <c r="EV375">
        <v>0</v>
      </c>
      <c r="EY375" t="s">
        <v>1052</v>
      </c>
      <c r="EZ375">
        <v>0</v>
      </c>
      <c r="FA375" t="s">
        <v>1043</v>
      </c>
      <c r="FB375">
        <v>0</v>
      </c>
      <c r="FC375">
        <v>0</v>
      </c>
      <c r="FE375" t="s">
        <v>1050</v>
      </c>
      <c r="FF375">
        <v>0</v>
      </c>
      <c r="FG375" t="s">
        <v>1050</v>
      </c>
      <c r="FJ375">
        <v>0</v>
      </c>
      <c r="FK375">
        <v>0</v>
      </c>
      <c r="FP375">
        <v>0</v>
      </c>
      <c r="FR375">
        <v>0</v>
      </c>
      <c r="FS375" t="s">
        <v>1043</v>
      </c>
      <c r="FX375" t="s">
        <v>1042</v>
      </c>
      <c r="FZ375" t="s">
        <v>1048</v>
      </c>
      <c r="GA375">
        <v>0</v>
      </c>
      <c r="GB375" t="s">
        <v>1042</v>
      </c>
      <c r="GE375">
        <v>0</v>
      </c>
      <c r="GG375">
        <v>0</v>
      </c>
      <c r="GN375">
        <v>0</v>
      </c>
      <c r="GO375" t="s">
        <v>1063</v>
      </c>
      <c r="GQ375">
        <v>0</v>
      </c>
      <c r="GU375">
        <v>0</v>
      </c>
      <c r="GY375" t="s">
        <v>1045</v>
      </c>
      <c r="HB375">
        <v>0</v>
      </c>
      <c r="HE375">
        <v>0</v>
      </c>
      <c r="HF375">
        <v>0</v>
      </c>
      <c r="HG375">
        <v>0</v>
      </c>
      <c r="HK375" t="s">
        <v>1042</v>
      </c>
      <c r="HM375" t="s">
        <v>1047</v>
      </c>
      <c r="HN375">
        <v>0</v>
      </c>
      <c r="HP375">
        <v>0</v>
      </c>
      <c r="HQ375">
        <v>0</v>
      </c>
      <c r="HR375" t="s">
        <v>1042</v>
      </c>
      <c r="HS375" t="s">
        <v>1043</v>
      </c>
      <c r="HT375">
        <v>0</v>
      </c>
      <c r="HU375">
        <v>0</v>
      </c>
      <c r="HW375">
        <v>0</v>
      </c>
      <c r="HX375">
        <v>0</v>
      </c>
      <c r="HY375">
        <v>0</v>
      </c>
      <c r="HZ375" t="s">
        <v>1045</v>
      </c>
      <c r="IA375">
        <v>0</v>
      </c>
      <c r="IB375" t="s">
        <v>1045</v>
      </c>
      <c r="ID375" t="s">
        <v>1045</v>
      </c>
      <c r="IF375">
        <v>0</v>
      </c>
      <c r="IG375" t="s">
        <v>1042</v>
      </c>
      <c r="II375" t="s">
        <v>1042</v>
      </c>
      <c r="IR375" t="s">
        <v>1045</v>
      </c>
      <c r="IT375">
        <v>0</v>
      </c>
      <c r="IY375" t="s">
        <v>1044</v>
      </c>
      <c r="IZ375" t="s">
        <v>1043</v>
      </c>
      <c r="JC375" t="s">
        <v>1043</v>
      </c>
      <c r="JE375">
        <v>0</v>
      </c>
      <c r="JF375">
        <v>0</v>
      </c>
      <c r="JI375" t="s">
        <v>1042</v>
      </c>
      <c r="JJ375">
        <v>0</v>
      </c>
      <c r="JK375">
        <v>0</v>
      </c>
      <c r="JL375">
        <v>0</v>
      </c>
      <c r="JM375">
        <v>0</v>
      </c>
      <c r="JQ375" t="s">
        <v>1043</v>
      </c>
      <c r="JT375">
        <v>0</v>
      </c>
      <c r="JU375" t="s">
        <v>1042</v>
      </c>
      <c r="JW375">
        <v>0</v>
      </c>
      <c r="KA375">
        <v>0</v>
      </c>
      <c r="KF375">
        <v>0</v>
      </c>
      <c r="KG375">
        <v>0</v>
      </c>
      <c r="KH375">
        <v>0</v>
      </c>
      <c r="KI375">
        <v>0</v>
      </c>
      <c r="KS375" t="s">
        <v>1073</v>
      </c>
      <c r="KT375">
        <v>0</v>
      </c>
      <c r="KU375">
        <v>0</v>
      </c>
      <c r="KV375">
        <v>0</v>
      </c>
      <c r="KX375">
        <v>0</v>
      </c>
      <c r="KZ375">
        <v>0</v>
      </c>
      <c r="LF375">
        <v>0</v>
      </c>
      <c r="LH375">
        <v>0</v>
      </c>
      <c r="LI375">
        <v>0</v>
      </c>
    </row>
    <row r="376" spans="1:321" x14ac:dyDescent="0.35">
      <c r="A376">
        <v>1</v>
      </c>
      <c r="B376">
        <v>12590</v>
      </c>
      <c r="C376" t="s">
        <v>1308</v>
      </c>
      <c r="D376" t="s">
        <v>1133</v>
      </c>
      <c r="E376" t="s">
        <v>1085</v>
      </c>
      <c r="F376">
        <v>80</v>
      </c>
      <c r="G376">
        <v>9000</v>
      </c>
      <c r="H376">
        <v>0</v>
      </c>
      <c r="I376" t="s">
        <v>1050</v>
      </c>
      <c r="L376">
        <v>0</v>
      </c>
      <c r="M376">
        <v>0</v>
      </c>
      <c r="N376">
        <v>0</v>
      </c>
      <c r="R376">
        <v>0</v>
      </c>
      <c r="S376">
        <v>0</v>
      </c>
      <c r="W376" t="s">
        <v>1060</v>
      </c>
      <c r="X376">
        <v>0</v>
      </c>
      <c r="Z376">
        <v>1</v>
      </c>
      <c r="AA376">
        <v>0</v>
      </c>
      <c r="AB376">
        <v>0</v>
      </c>
      <c r="AC376">
        <v>0</v>
      </c>
      <c r="AD376" s="20">
        <v>40799</v>
      </c>
      <c r="AE376">
        <v>3.6</v>
      </c>
      <c r="AF376">
        <v>0</v>
      </c>
      <c r="AH376">
        <v>0</v>
      </c>
      <c r="AJ376">
        <v>0</v>
      </c>
      <c r="AL376">
        <v>0</v>
      </c>
      <c r="AM376">
        <v>0</v>
      </c>
      <c r="AN376">
        <v>16601001</v>
      </c>
      <c r="AO376">
        <v>0</v>
      </c>
      <c r="AP376">
        <v>1003</v>
      </c>
      <c r="AT376">
        <v>0</v>
      </c>
      <c r="AU376" t="s">
        <v>1059</v>
      </c>
      <c r="AW376" t="s">
        <v>1053</v>
      </c>
      <c r="AX376">
        <v>0</v>
      </c>
      <c r="AY376" s="20">
        <v>40799</v>
      </c>
      <c r="BA376" s="20">
        <v>40799</v>
      </c>
      <c r="BB376" t="s">
        <v>1058</v>
      </c>
      <c r="BD376">
        <v>0</v>
      </c>
      <c r="BF376" t="s">
        <v>1043</v>
      </c>
      <c r="BG376" t="s">
        <v>1042</v>
      </c>
      <c r="BH376">
        <v>0</v>
      </c>
      <c r="BI376">
        <v>1</v>
      </c>
      <c r="BJ376">
        <v>0</v>
      </c>
      <c r="BK376">
        <v>0</v>
      </c>
      <c r="BM376" t="s">
        <v>1042</v>
      </c>
      <c r="BN376">
        <v>0</v>
      </c>
      <c r="BR376" t="s">
        <v>1043</v>
      </c>
      <c r="BS376" t="s">
        <v>1043</v>
      </c>
      <c r="BT376" t="s">
        <v>1043</v>
      </c>
      <c r="BW376">
        <v>83</v>
      </c>
      <c r="CA376">
        <v>0</v>
      </c>
      <c r="CB376" t="s">
        <v>1057</v>
      </c>
      <c r="CE376" t="s">
        <v>1043</v>
      </c>
      <c r="CH376" t="s">
        <v>1043</v>
      </c>
      <c r="CN376" t="s">
        <v>1056</v>
      </c>
      <c r="CO376" t="s">
        <v>1043</v>
      </c>
      <c r="CP376">
        <v>1</v>
      </c>
      <c r="CQ376">
        <v>0</v>
      </c>
      <c r="CS376">
        <v>0</v>
      </c>
      <c r="CT376">
        <v>0</v>
      </c>
      <c r="CU376">
        <v>0</v>
      </c>
      <c r="CV376" t="s">
        <v>1045</v>
      </c>
      <c r="CW376">
        <v>0</v>
      </c>
      <c r="CX376">
        <v>0</v>
      </c>
      <c r="CY376">
        <v>0</v>
      </c>
      <c r="CZ376">
        <v>0</v>
      </c>
      <c r="DB376">
        <v>0</v>
      </c>
      <c r="DC376" t="s">
        <v>1043</v>
      </c>
      <c r="DF376" t="s">
        <v>1055</v>
      </c>
      <c r="DH376">
        <v>0</v>
      </c>
      <c r="DJ376">
        <v>0</v>
      </c>
      <c r="DK376" t="s">
        <v>1053</v>
      </c>
      <c r="DL376">
        <v>0</v>
      </c>
      <c r="DN376">
        <v>0</v>
      </c>
      <c r="DO376" t="s">
        <v>1042</v>
      </c>
      <c r="DP376">
        <v>0</v>
      </c>
      <c r="DQ376">
        <v>0</v>
      </c>
      <c r="DS376">
        <v>0</v>
      </c>
      <c r="DU376">
        <v>0</v>
      </c>
      <c r="DW376">
        <v>0</v>
      </c>
      <c r="DX376" t="s">
        <v>1043</v>
      </c>
      <c r="DY376">
        <v>0</v>
      </c>
      <c r="DZ376">
        <v>0</v>
      </c>
      <c r="EA376">
        <v>0</v>
      </c>
      <c r="ED376" t="s">
        <v>1045</v>
      </c>
      <c r="EE376">
        <v>0</v>
      </c>
      <c r="EF376">
        <v>0</v>
      </c>
      <c r="EQ376" t="s">
        <v>1044</v>
      </c>
      <c r="ES376" t="s">
        <v>1053</v>
      </c>
      <c r="ET376">
        <v>0</v>
      </c>
      <c r="EV376">
        <v>0</v>
      </c>
      <c r="EY376" t="s">
        <v>1052</v>
      </c>
      <c r="EZ376">
        <v>0</v>
      </c>
      <c r="FA376" t="s">
        <v>1043</v>
      </c>
      <c r="FB376">
        <v>0</v>
      </c>
      <c r="FC376">
        <v>0</v>
      </c>
      <c r="FE376" t="s">
        <v>1050</v>
      </c>
      <c r="FF376">
        <v>0</v>
      </c>
      <c r="FG376" t="s">
        <v>1050</v>
      </c>
      <c r="FJ376">
        <v>0</v>
      </c>
      <c r="FK376">
        <v>0</v>
      </c>
      <c r="FP376">
        <v>0</v>
      </c>
      <c r="FR376">
        <v>0</v>
      </c>
      <c r="FS376" t="s">
        <v>1043</v>
      </c>
      <c r="FX376" t="s">
        <v>1042</v>
      </c>
      <c r="FZ376" t="s">
        <v>1048</v>
      </c>
      <c r="GA376">
        <v>0</v>
      </c>
      <c r="GB376" t="s">
        <v>1042</v>
      </c>
      <c r="GE376">
        <v>0</v>
      </c>
      <c r="GG376">
        <v>0</v>
      </c>
      <c r="GN376">
        <v>0</v>
      </c>
      <c r="GO376" t="s">
        <v>1063</v>
      </c>
      <c r="GQ376">
        <v>0</v>
      </c>
      <c r="GU376">
        <v>0</v>
      </c>
      <c r="GY376" t="s">
        <v>1045</v>
      </c>
      <c r="HB376">
        <v>0</v>
      </c>
      <c r="HE376">
        <v>0</v>
      </c>
      <c r="HF376">
        <v>0</v>
      </c>
      <c r="HG376">
        <v>0</v>
      </c>
      <c r="HK376" t="s">
        <v>1042</v>
      </c>
      <c r="HM376" t="s">
        <v>1047</v>
      </c>
      <c r="HN376">
        <v>0</v>
      </c>
      <c r="HP376">
        <v>0</v>
      </c>
      <c r="HQ376">
        <v>0</v>
      </c>
      <c r="HR376" t="s">
        <v>1042</v>
      </c>
      <c r="HS376" t="s">
        <v>1043</v>
      </c>
      <c r="HT376">
        <v>0</v>
      </c>
      <c r="HU376">
        <v>0</v>
      </c>
      <c r="HW376">
        <v>0</v>
      </c>
      <c r="HX376">
        <v>0</v>
      </c>
      <c r="HY376">
        <v>0</v>
      </c>
      <c r="HZ376" t="s">
        <v>1045</v>
      </c>
      <c r="IA376">
        <v>0</v>
      </c>
      <c r="IB376" t="s">
        <v>1045</v>
      </c>
      <c r="ID376" t="s">
        <v>1045</v>
      </c>
      <c r="IF376">
        <v>0</v>
      </c>
      <c r="IG376" t="s">
        <v>1042</v>
      </c>
      <c r="II376" t="s">
        <v>1042</v>
      </c>
      <c r="IR376" t="s">
        <v>1045</v>
      </c>
      <c r="IT376">
        <v>0</v>
      </c>
      <c r="IY376" t="s">
        <v>1044</v>
      </c>
      <c r="IZ376" t="s">
        <v>1043</v>
      </c>
      <c r="JC376" t="s">
        <v>1043</v>
      </c>
      <c r="JE376">
        <v>0</v>
      </c>
      <c r="JF376">
        <v>0</v>
      </c>
      <c r="JI376" t="s">
        <v>1042</v>
      </c>
      <c r="JJ376">
        <v>0</v>
      </c>
      <c r="JK376">
        <v>0</v>
      </c>
      <c r="JL376">
        <v>0</v>
      </c>
      <c r="JM376">
        <v>0</v>
      </c>
      <c r="JQ376" t="s">
        <v>1043</v>
      </c>
      <c r="JT376">
        <v>0</v>
      </c>
      <c r="JU376" t="s">
        <v>1042</v>
      </c>
      <c r="JW376">
        <v>0</v>
      </c>
      <c r="KA376">
        <v>0</v>
      </c>
      <c r="KF376">
        <v>0</v>
      </c>
      <c r="KG376">
        <v>0</v>
      </c>
      <c r="KH376">
        <v>0</v>
      </c>
      <c r="KI376">
        <v>0</v>
      </c>
      <c r="KS376" t="s">
        <v>1073</v>
      </c>
      <c r="KT376">
        <v>0</v>
      </c>
      <c r="KU376">
        <v>0</v>
      </c>
      <c r="KV376">
        <v>0</v>
      </c>
      <c r="KX376">
        <v>0</v>
      </c>
      <c r="KZ376">
        <v>0</v>
      </c>
      <c r="LF376">
        <v>0</v>
      </c>
      <c r="LH376">
        <v>0</v>
      </c>
      <c r="LI376">
        <v>0</v>
      </c>
    </row>
    <row r="377" spans="1:321" x14ac:dyDescent="0.35">
      <c r="A377">
        <v>1</v>
      </c>
      <c r="B377">
        <v>12591</v>
      </c>
      <c r="C377" t="s">
        <v>1307</v>
      </c>
      <c r="D377" t="s">
        <v>1133</v>
      </c>
      <c r="E377" t="s">
        <v>1085</v>
      </c>
      <c r="F377">
        <v>80</v>
      </c>
      <c r="G377">
        <v>9000</v>
      </c>
      <c r="H377">
        <v>0</v>
      </c>
      <c r="I377" t="s">
        <v>1050</v>
      </c>
      <c r="L377">
        <v>0</v>
      </c>
      <c r="M377">
        <v>0</v>
      </c>
      <c r="N377">
        <v>0</v>
      </c>
      <c r="R377">
        <v>0</v>
      </c>
      <c r="S377">
        <v>0</v>
      </c>
      <c r="W377" t="s">
        <v>1060</v>
      </c>
      <c r="X377">
        <v>0</v>
      </c>
      <c r="Z377">
        <v>1</v>
      </c>
      <c r="AA377">
        <v>0</v>
      </c>
      <c r="AB377">
        <v>0</v>
      </c>
      <c r="AC377">
        <v>0</v>
      </c>
      <c r="AD377" s="20">
        <v>40799</v>
      </c>
      <c r="AE377">
        <v>3.6</v>
      </c>
      <c r="AF377">
        <v>0</v>
      </c>
      <c r="AH377">
        <v>0</v>
      </c>
      <c r="AJ377">
        <v>0</v>
      </c>
      <c r="AL377">
        <v>0</v>
      </c>
      <c r="AM377">
        <v>0</v>
      </c>
      <c r="AN377">
        <v>16601001</v>
      </c>
      <c r="AO377">
        <v>0</v>
      </c>
      <c r="AP377">
        <v>1003</v>
      </c>
      <c r="AT377">
        <v>0</v>
      </c>
      <c r="AU377" t="s">
        <v>1059</v>
      </c>
      <c r="AW377" t="s">
        <v>1053</v>
      </c>
      <c r="AX377">
        <v>0</v>
      </c>
      <c r="AY377" s="20">
        <v>40799</v>
      </c>
      <c r="BA377" s="20">
        <v>40799</v>
      </c>
      <c r="BB377" t="s">
        <v>1058</v>
      </c>
      <c r="BD377">
        <v>0</v>
      </c>
      <c r="BF377" t="s">
        <v>1043</v>
      </c>
      <c r="BG377" t="s">
        <v>1042</v>
      </c>
      <c r="BH377">
        <v>0</v>
      </c>
      <c r="BI377">
        <v>1</v>
      </c>
      <c r="BJ377">
        <v>0</v>
      </c>
      <c r="BK377">
        <v>0</v>
      </c>
      <c r="BM377" t="s">
        <v>1042</v>
      </c>
      <c r="BN377">
        <v>0</v>
      </c>
      <c r="BR377" t="s">
        <v>1043</v>
      </c>
      <c r="BS377" t="s">
        <v>1043</v>
      </c>
      <c r="BT377" t="s">
        <v>1043</v>
      </c>
      <c r="BW377">
        <v>83</v>
      </c>
      <c r="CA377">
        <v>0</v>
      </c>
      <c r="CB377" t="s">
        <v>1057</v>
      </c>
      <c r="CE377" t="s">
        <v>1043</v>
      </c>
      <c r="CH377" t="s">
        <v>1043</v>
      </c>
      <c r="CN377" t="s">
        <v>1056</v>
      </c>
      <c r="CO377" t="s">
        <v>1043</v>
      </c>
      <c r="CP377">
        <v>1</v>
      </c>
      <c r="CQ377">
        <v>0</v>
      </c>
      <c r="CS377">
        <v>0</v>
      </c>
      <c r="CT377">
        <v>0</v>
      </c>
      <c r="CU377">
        <v>0</v>
      </c>
      <c r="CV377" t="s">
        <v>1045</v>
      </c>
      <c r="CW377">
        <v>0</v>
      </c>
      <c r="CX377">
        <v>0</v>
      </c>
      <c r="CY377">
        <v>0</v>
      </c>
      <c r="CZ377">
        <v>0</v>
      </c>
      <c r="DB377">
        <v>0</v>
      </c>
      <c r="DC377" t="s">
        <v>1043</v>
      </c>
      <c r="DF377" t="s">
        <v>1055</v>
      </c>
      <c r="DH377">
        <v>0</v>
      </c>
      <c r="DJ377">
        <v>0</v>
      </c>
      <c r="DK377" t="s">
        <v>1053</v>
      </c>
      <c r="DL377">
        <v>0</v>
      </c>
      <c r="DN377">
        <v>0</v>
      </c>
      <c r="DO377" t="s">
        <v>1042</v>
      </c>
      <c r="DP377">
        <v>0</v>
      </c>
      <c r="DQ377">
        <v>0</v>
      </c>
      <c r="DS377">
        <v>0</v>
      </c>
      <c r="DU377">
        <v>0</v>
      </c>
      <c r="DW377">
        <v>0</v>
      </c>
      <c r="DX377" t="s">
        <v>1043</v>
      </c>
      <c r="DY377">
        <v>0</v>
      </c>
      <c r="DZ377">
        <v>0</v>
      </c>
      <c r="EA377">
        <v>0</v>
      </c>
      <c r="ED377" t="s">
        <v>1045</v>
      </c>
      <c r="EE377">
        <v>0</v>
      </c>
      <c r="EF377">
        <v>0</v>
      </c>
      <c r="EQ377" t="s">
        <v>1044</v>
      </c>
      <c r="ES377" t="s">
        <v>1053</v>
      </c>
      <c r="ET377">
        <v>0</v>
      </c>
      <c r="EV377">
        <v>0</v>
      </c>
      <c r="EY377" t="s">
        <v>1052</v>
      </c>
      <c r="EZ377">
        <v>0</v>
      </c>
      <c r="FA377" t="s">
        <v>1043</v>
      </c>
      <c r="FB377">
        <v>0</v>
      </c>
      <c r="FC377">
        <v>0</v>
      </c>
      <c r="FE377" t="s">
        <v>1050</v>
      </c>
      <c r="FF377">
        <v>0</v>
      </c>
      <c r="FG377" t="s">
        <v>1050</v>
      </c>
      <c r="FJ377">
        <v>0</v>
      </c>
      <c r="FK377">
        <v>0</v>
      </c>
      <c r="FP377">
        <v>0</v>
      </c>
      <c r="FR377">
        <v>0</v>
      </c>
      <c r="FS377" t="s">
        <v>1043</v>
      </c>
      <c r="FX377" t="s">
        <v>1042</v>
      </c>
      <c r="FZ377" t="s">
        <v>1048</v>
      </c>
      <c r="GA377">
        <v>0</v>
      </c>
      <c r="GB377" t="s">
        <v>1042</v>
      </c>
      <c r="GE377">
        <v>0</v>
      </c>
      <c r="GG377">
        <v>0</v>
      </c>
      <c r="GN377">
        <v>0</v>
      </c>
      <c r="GO377" t="s">
        <v>1063</v>
      </c>
      <c r="GQ377">
        <v>0</v>
      </c>
      <c r="GU377">
        <v>0</v>
      </c>
      <c r="GY377" t="s">
        <v>1045</v>
      </c>
      <c r="HB377">
        <v>0</v>
      </c>
      <c r="HE377">
        <v>0</v>
      </c>
      <c r="HF377">
        <v>0</v>
      </c>
      <c r="HG377">
        <v>0</v>
      </c>
      <c r="HK377" t="s">
        <v>1042</v>
      </c>
      <c r="HM377" t="s">
        <v>1047</v>
      </c>
      <c r="HN377">
        <v>0</v>
      </c>
      <c r="HP377">
        <v>0</v>
      </c>
      <c r="HQ377">
        <v>0</v>
      </c>
      <c r="HR377" t="s">
        <v>1042</v>
      </c>
      <c r="HS377" t="s">
        <v>1043</v>
      </c>
      <c r="HT377">
        <v>0</v>
      </c>
      <c r="HU377">
        <v>0</v>
      </c>
      <c r="HW377">
        <v>0</v>
      </c>
      <c r="HX377">
        <v>0</v>
      </c>
      <c r="HY377">
        <v>0</v>
      </c>
      <c r="HZ377" t="s">
        <v>1045</v>
      </c>
      <c r="IA377">
        <v>0</v>
      </c>
      <c r="IB377" t="s">
        <v>1045</v>
      </c>
      <c r="ID377" t="s">
        <v>1045</v>
      </c>
      <c r="IF377">
        <v>0</v>
      </c>
      <c r="IG377" t="s">
        <v>1042</v>
      </c>
      <c r="II377" t="s">
        <v>1042</v>
      </c>
      <c r="IR377" t="s">
        <v>1045</v>
      </c>
      <c r="IT377">
        <v>0</v>
      </c>
      <c r="IY377" t="s">
        <v>1044</v>
      </c>
      <c r="IZ377" t="s">
        <v>1043</v>
      </c>
      <c r="JC377" t="s">
        <v>1043</v>
      </c>
      <c r="JE377">
        <v>0</v>
      </c>
      <c r="JF377">
        <v>0</v>
      </c>
      <c r="JI377" t="s">
        <v>1042</v>
      </c>
      <c r="JJ377">
        <v>0</v>
      </c>
      <c r="JK377">
        <v>0</v>
      </c>
      <c r="JL377">
        <v>0</v>
      </c>
      <c r="JM377">
        <v>0</v>
      </c>
      <c r="JQ377" t="s">
        <v>1043</v>
      </c>
      <c r="JT377">
        <v>0</v>
      </c>
      <c r="JU377" t="s">
        <v>1042</v>
      </c>
      <c r="JW377">
        <v>0</v>
      </c>
      <c r="KA377">
        <v>0</v>
      </c>
      <c r="KF377">
        <v>0</v>
      </c>
      <c r="KG377">
        <v>0</v>
      </c>
      <c r="KH377">
        <v>0</v>
      </c>
      <c r="KI377">
        <v>0</v>
      </c>
      <c r="KS377" t="s">
        <v>1073</v>
      </c>
      <c r="KT377">
        <v>0</v>
      </c>
      <c r="KU377">
        <v>0</v>
      </c>
      <c r="KV377">
        <v>0</v>
      </c>
      <c r="KX377">
        <v>0</v>
      </c>
      <c r="KZ377">
        <v>0</v>
      </c>
      <c r="LF377">
        <v>0</v>
      </c>
      <c r="LH377">
        <v>0</v>
      </c>
      <c r="LI377">
        <v>0</v>
      </c>
    </row>
    <row r="378" spans="1:321" x14ac:dyDescent="0.35">
      <c r="A378">
        <v>1</v>
      </c>
      <c r="B378">
        <v>12592</v>
      </c>
      <c r="C378" t="s">
        <v>1306</v>
      </c>
      <c r="D378" t="s">
        <v>1133</v>
      </c>
      <c r="E378" t="s">
        <v>1165</v>
      </c>
      <c r="F378">
        <v>80</v>
      </c>
      <c r="G378">
        <v>9000</v>
      </c>
      <c r="H378">
        <v>0</v>
      </c>
      <c r="I378" t="s">
        <v>1050</v>
      </c>
      <c r="L378">
        <v>0</v>
      </c>
      <c r="M378">
        <v>0</v>
      </c>
      <c r="N378">
        <v>0</v>
      </c>
      <c r="R378">
        <v>0</v>
      </c>
      <c r="S378">
        <v>0</v>
      </c>
      <c r="W378" t="s">
        <v>1060</v>
      </c>
      <c r="X378">
        <v>0</v>
      </c>
      <c r="Z378">
        <v>1</v>
      </c>
      <c r="AA378">
        <v>0</v>
      </c>
      <c r="AB378">
        <v>0</v>
      </c>
      <c r="AC378">
        <v>0</v>
      </c>
      <c r="AD378" s="20">
        <v>40799</v>
      </c>
      <c r="AE378">
        <v>3.6</v>
      </c>
      <c r="AF378">
        <v>0</v>
      </c>
      <c r="AH378">
        <v>0</v>
      </c>
      <c r="AJ378">
        <v>0</v>
      </c>
      <c r="AL378">
        <v>0</v>
      </c>
      <c r="AM378">
        <v>0</v>
      </c>
      <c r="AN378">
        <v>16601001</v>
      </c>
      <c r="AO378">
        <v>0</v>
      </c>
      <c r="AP378">
        <v>1003</v>
      </c>
      <c r="AT378">
        <v>0</v>
      </c>
      <c r="AU378" t="s">
        <v>1059</v>
      </c>
      <c r="AW378" t="s">
        <v>1053</v>
      </c>
      <c r="AX378">
        <v>0</v>
      </c>
      <c r="AY378" s="20">
        <v>40799</v>
      </c>
      <c r="BA378" s="20">
        <v>40799</v>
      </c>
      <c r="BB378" t="s">
        <v>1058</v>
      </c>
      <c r="BD378">
        <v>0</v>
      </c>
      <c r="BF378" t="s">
        <v>1043</v>
      </c>
      <c r="BG378" t="s">
        <v>1042</v>
      </c>
      <c r="BH378">
        <v>0</v>
      </c>
      <c r="BI378">
        <v>1</v>
      </c>
      <c r="BJ378">
        <v>0</v>
      </c>
      <c r="BK378">
        <v>0</v>
      </c>
      <c r="BM378" t="s">
        <v>1042</v>
      </c>
      <c r="BN378">
        <v>0</v>
      </c>
      <c r="BR378" t="s">
        <v>1043</v>
      </c>
      <c r="BS378" t="s">
        <v>1043</v>
      </c>
      <c r="BT378" t="s">
        <v>1043</v>
      </c>
      <c r="BW378">
        <v>83</v>
      </c>
      <c r="CA378">
        <v>0</v>
      </c>
      <c r="CB378" t="s">
        <v>1057</v>
      </c>
      <c r="CE378" t="s">
        <v>1043</v>
      </c>
      <c r="CH378" t="s">
        <v>1043</v>
      </c>
      <c r="CN378" t="s">
        <v>1056</v>
      </c>
      <c r="CO378" t="s">
        <v>1043</v>
      </c>
      <c r="CP378">
        <v>1</v>
      </c>
      <c r="CQ378">
        <v>0</v>
      </c>
      <c r="CS378">
        <v>0</v>
      </c>
      <c r="CT378">
        <v>0</v>
      </c>
      <c r="CU378">
        <v>0</v>
      </c>
      <c r="CV378" t="s">
        <v>1045</v>
      </c>
      <c r="CW378">
        <v>0</v>
      </c>
      <c r="CX378">
        <v>0</v>
      </c>
      <c r="CY378">
        <v>0</v>
      </c>
      <c r="CZ378">
        <v>0</v>
      </c>
      <c r="DB378">
        <v>0</v>
      </c>
      <c r="DC378" t="s">
        <v>1043</v>
      </c>
      <c r="DF378" t="s">
        <v>1055</v>
      </c>
      <c r="DH378">
        <v>0</v>
      </c>
      <c r="DJ378">
        <v>0</v>
      </c>
      <c r="DK378" t="s">
        <v>1053</v>
      </c>
      <c r="DL378">
        <v>0</v>
      </c>
      <c r="DN378">
        <v>0</v>
      </c>
      <c r="DO378" t="s">
        <v>1042</v>
      </c>
      <c r="DP378">
        <v>0</v>
      </c>
      <c r="DQ378">
        <v>0</v>
      </c>
      <c r="DS378">
        <v>0</v>
      </c>
      <c r="DU378">
        <v>0</v>
      </c>
      <c r="DW378">
        <v>0</v>
      </c>
      <c r="DX378" t="s">
        <v>1043</v>
      </c>
      <c r="DY378">
        <v>0</v>
      </c>
      <c r="DZ378">
        <v>0</v>
      </c>
      <c r="EA378">
        <v>0</v>
      </c>
      <c r="ED378" t="s">
        <v>1045</v>
      </c>
      <c r="EE378">
        <v>0</v>
      </c>
      <c r="EF378">
        <v>0</v>
      </c>
      <c r="EQ378" t="s">
        <v>1044</v>
      </c>
      <c r="ES378" t="s">
        <v>1053</v>
      </c>
      <c r="ET378">
        <v>0</v>
      </c>
      <c r="EV378">
        <v>0</v>
      </c>
      <c r="EY378" t="s">
        <v>1052</v>
      </c>
      <c r="EZ378">
        <v>0</v>
      </c>
      <c r="FA378" t="s">
        <v>1043</v>
      </c>
      <c r="FB378">
        <v>0</v>
      </c>
      <c r="FC378">
        <v>0</v>
      </c>
      <c r="FE378" t="s">
        <v>1050</v>
      </c>
      <c r="FF378">
        <v>0</v>
      </c>
      <c r="FG378" t="s">
        <v>1050</v>
      </c>
      <c r="FJ378">
        <v>0</v>
      </c>
      <c r="FK378">
        <v>0</v>
      </c>
      <c r="FP378">
        <v>0</v>
      </c>
      <c r="FR378">
        <v>0</v>
      </c>
      <c r="FS378" t="s">
        <v>1043</v>
      </c>
      <c r="FX378" t="s">
        <v>1042</v>
      </c>
      <c r="FZ378" t="s">
        <v>1048</v>
      </c>
      <c r="GA378">
        <v>0</v>
      </c>
      <c r="GB378" t="s">
        <v>1042</v>
      </c>
      <c r="GE378">
        <v>0</v>
      </c>
      <c r="GG378">
        <v>0</v>
      </c>
      <c r="GN378">
        <v>0</v>
      </c>
      <c r="GO378" t="s">
        <v>1063</v>
      </c>
      <c r="GQ378">
        <v>0</v>
      </c>
      <c r="GU378">
        <v>0</v>
      </c>
      <c r="GY378" t="s">
        <v>1045</v>
      </c>
      <c r="HB378">
        <v>0</v>
      </c>
      <c r="HE378">
        <v>0</v>
      </c>
      <c r="HF378">
        <v>0</v>
      </c>
      <c r="HG378">
        <v>0</v>
      </c>
      <c r="HK378" t="s">
        <v>1042</v>
      </c>
      <c r="HM378" t="s">
        <v>1047</v>
      </c>
      <c r="HN378">
        <v>0</v>
      </c>
      <c r="HP378">
        <v>0</v>
      </c>
      <c r="HQ378">
        <v>0</v>
      </c>
      <c r="HR378" t="s">
        <v>1042</v>
      </c>
      <c r="HS378" t="s">
        <v>1043</v>
      </c>
      <c r="HT378">
        <v>0</v>
      </c>
      <c r="HU378">
        <v>0</v>
      </c>
      <c r="HW378">
        <v>0</v>
      </c>
      <c r="HX378">
        <v>0</v>
      </c>
      <c r="HY378">
        <v>0</v>
      </c>
      <c r="HZ378" t="s">
        <v>1045</v>
      </c>
      <c r="IA378">
        <v>0</v>
      </c>
      <c r="IB378" t="s">
        <v>1045</v>
      </c>
      <c r="ID378" t="s">
        <v>1045</v>
      </c>
      <c r="IF378">
        <v>0</v>
      </c>
      <c r="IG378" t="s">
        <v>1042</v>
      </c>
      <c r="II378" t="s">
        <v>1042</v>
      </c>
      <c r="IR378" t="s">
        <v>1045</v>
      </c>
      <c r="IT378">
        <v>0</v>
      </c>
      <c r="IY378" t="s">
        <v>1044</v>
      </c>
      <c r="IZ378" t="s">
        <v>1043</v>
      </c>
      <c r="JC378" t="s">
        <v>1043</v>
      </c>
      <c r="JE378">
        <v>0</v>
      </c>
      <c r="JF378">
        <v>0</v>
      </c>
      <c r="JI378" t="s">
        <v>1042</v>
      </c>
      <c r="JJ378">
        <v>0</v>
      </c>
      <c r="JK378">
        <v>0</v>
      </c>
      <c r="JL378">
        <v>0</v>
      </c>
      <c r="JM378">
        <v>0</v>
      </c>
      <c r="JQ378" t="s">
        <v>1043</v>
      </c>
      <c r="JT378">
        <v>0</v>
      </c>
      <c r="JU378" t="s">
        <v>1042</v>
      </c>
      <c r="JW378">
        <v>0</v>
      </c>
      <c r="KA378">
        <v>0</v>
      </c>
      <c r="KF378">
        <v>0</v>
      </c>
      <c r="KG378">
        <v>0</v>
      </c>
      <c r="KH378">
        <v>0</v>
      </c>
      <c r="KI378">
        <v>0</v>
      </c>
      <c r="KS378" t="s">
        <v>1073</v>
      </c>
      <c r="KT378">
        <v>0</v>
      </c>
      <c r="KU378">
        <v>0</v>
      </c>
      <c r="KV378">
        <v>0</v>
      </c>
      <c r="KX378">
        <v>0</v>
      </c>
      <c r="KZ378">
        <v>0</v>
      </c>
      <c r="LF378">
        <v>0</v>
      </c>
      <c r="LH378">
        <v>0</v>
      </c>
      <c r="LI378">
        <v>0</v>
      </c>
    </row>
    <row r="379" spans="1:321" x14ac:dyDescent="0.35">
      <c r="A379">
        <v>1</v>
      </c>
      <c r="B379">
        <v>12593</v>
      </c>
      <c r="C379" t="s">
        <v>1305</v>
      </c>
      <c r="D379" t="s">
        <v>1133</v>
      </c>
      <c r="E379" t="s">
        <v>1085</v>
      </c>
      <c r="F379">
        <v>80</v>
      </c>
      <c r="G379">
        <v>9000</v>
      </c>
      <c r="H379">
        <v>0</v>
      </c>
      <c r="I379" t="s">
        <v>1050</v>
      </c>
      <c r="L379">
        <v>0</v>
      </c>
      <c r="M379">
        <v>0</v>
      </c>
      <c r="N379">
        <v>0</v>
      </c>
      <c r="R379">
        <v>0</v>
      </c>
      <c r="S379">
        <v>0</v>
      </c>
      <c r="W379" t="s">
        <v>1060</v>
      </c>
      <c r="X379">
        <v>0</v>
      </c>
      <c r="Z379">
        <v>1</v>
      </c>
      <c r="AA379">
        <v>0</v>
      </c>
      <c r="AB379">
        <v>0</v>
      </c>
      <c r="AC379">
        <v>0</v>
      </c>
      <c r="AD379" s="20">
        <v>40799</v>
      </c>
      <c r="AE379">
        <v>3.6</v>
      </c>
      <c r="AF379">
        <v>0</v>
      </c>
      <c r="AH379">
        <v>0</v>
      </c>
      <c r="AJ379">
        <v>0</v>
      </c>
      <c r="AL379">
        <v>0</v>
      </c>
      <c r="AM379">
        <v>0</v>
      </c>
      <c r="AN379">
        <v>16601001</v>
      </c>
      <c r="AO379">
        <v>0</v>
      </c>
      <c r="AP379">
        <v>1003</v>
      </c>
      <c r="AT379">
        <v>0</v>
      </c>
      <c r="AU379" t="s">
        <v>1059</v>
      </c>
      <c r="AW379" t="s">
        <v>1053</v>
      </c>
      <c r="AX379">
        <v>0</v>
      </c>
      <c r="AY379" s="20">
        <v>40799</v>
      </c>
      <c r="BA379" s="20">
        <v>40799</v>
      </c>
      <c r="BB379" t="s">
        <v>1058</v>
      </c>
      <c r="BD379">
        <v>0</v>
      </c>
      <c r="BF379" t="s">
        <v>1043</v>
      </c>
      <c r="BG379" t="s">
        <v>1042</v>
      </c>
      <c r="BH379">
        <v>0</v>
      </c>
      <c r="BI379">
        <v>1</v>
      </c>
      <c r="BJ379">
        <v>0</v>
      </c>
      <c r="BK379">
        <v>0</v>
      </c>
      <c r="BM379" t="s">
        <v>1042</v>
      </c>
      <c r="BN379">
        <v>0</v>
      </c>
      <c r="BR379" t="s">
        <v>1043</v>
      </c>
      <c r="BS379" t="s">
        <v>1043</v>
      </c>
      <c r="BT379" t="s">
        <v>1043</v>
      </c>
      <c r="BW379">
        <v>83</v>
      </c>
      <c r="CA379">
        <v>0</v>
      </c>
      <c r="CB379" t="s">
        <v>1057</v>
      </c>
      <c r="CE379" t="s">
        <v>1043</v>
      </c>
      <c r="CH379" t="s">
        <v>1043</v>
      </c>
      <c r="CN379" t="s">
        <v>1056</v>
      </c>
      <c r="CO379" t="s">
        <v>1043</v>
      </c>
      <c r="CP379">
        <v>1</v>
      </c>
      <c r="CQ379">
        <v>0</v>
      </c>
      <c r="CS379">
        <v>0</v>
      </c>
      <c r="CT379">
        <v>0</v>
      </c>
      <c r="CU379">
        <v>0</v>
      </c>
      <c r="CV379" t="s">
        <v>1045</v>
      </c>
      <c r="CW379">
        <v>0</v>
      </c>
      <c r="CX379">
        <v>0</v>
      </c>
      <c r="CY379">
        <v>0</v>
      </c>
      <c r="CZ379">
        <v>0</v>
      </c>
      <c r="DB379">
        <v>0</v>
      </c>
      <c r="DC379" t="s">
        <v>1043</v>
      </c>
      <c r="DF379" t="s">
        <v>1055</v>
      </c>
      <c r="DH379">
        <v>0</v>
      </c>
      <c r="DJ379">
        <v>0</v>
      </c>
      <c r="DK379" t="s">
        <v>1053</v>
      </c>
      <c r="DL379">
        <v>0</v>
      </c>
      <c r="DN379">
        <v>0</v>
      </c>
      <c r="DO379" t="s">
        <v>1042</v>
      </c>
      <c r="DP379">
        <v>0</v>
      </c>
      <c r="DQ379">
        <v>0</v>
      </c>
      <c r="DS379">
        <v>0</v>
      </c>
      <c r="DU379">
        <v>0</v>
      </c>
      <c r="DW379">
        <v>0</v>
      </c>
      <c r="DX379" t="s">
        <v>1043</v>
      </c>
      <c r="DY379">
        <v>0</v>
      </c>
      <c r="DZ379">
        <v>0</v>
      </c>
      <c r="EA379">
        <v>0</v>
      </c>
      <c r="ED379" t="s">
        <v>1045</v>
      </c>
      <c r="EE379">
        <v>0</v>
      </c>
      <c r="EF379">
        <v>0</v>
      </c>
      <c r="EQ379" t="s">
        <v>1044</v>
      </c>
      <c r="ES379" t="s">
        <v>1053</v>
      </c>
      <c r="ET379">
        <v>0</v>
      </c>
      <c r="EV379">
        <v>0</v>
      </c>
      <c r="EY379" t="s">
        <v>1052</v>
      </c>
      <c r="EZ379">
        <v>0</v>
      </c>
      <c r="FA379" t="s">
        <v>1043</v>
      </c>
      <c r="FB379">
        <v>0</v>
      </c>
      <c r="FC379">
        <v>0</v>
      </c>
      <c r="FE379" t="s">
        <v>1050</v>
      </c>
      <c r="FF379">
        <v>0</v>
      </c>
      <c r="FG379" t="s">
        <v>1050</v>
      </c>
      <c r="FJ379">
        <v>0</v>
      </c>
      <c r="FK379">
        <v>0</v>
      </c>
      <c r="FP379">
        <v>0</v>
      </c>
      <c r="FR379">
        <v>0</v>
      </c>
      <c r="FS379" t="s">
        <v>1043</v>
      </c>
      <c r="FX379" t="s">
        <v>1042</v>
      </c>
      <c r="FZ379" t="s">
        <v>1048</v>
      </c>
      <c r="GA379">
        <v>0</v>
      </c>
      <c r="GB379" t="s">
        <v>1042</v>
      </c>
      <c r="GE379">
        <v>0</v>
      </c>
      <c r="GG379">
        <v>0</v>
      </c>
      <c r="GN379">
        <v>0</v>
      </c>
      <c r="GO379" t="s">
        <v>1063</v>
      </c>
      <c r="GQ379">
        <v>0</v>
      </c>
      <c r="GU379">
        <v>0</v>
      </c>
      <c r="GY379" t="s">
        <v>1045</v>
      </c>
      <c r="HB379">
        <v>0</v>
      </c>
      <c r="HE379">
        <v>0</v>
      </c>
      <c r="HF379">
        <v>0</v>
      </c>
      <c r="HG379">
        <v>0</v>
      </c>
      <c r="HK379" t="s">
        <v>1042</v>
      </c>
      <c r="HM379" t="s">
        <v>1047</v>
      </c>
      <c r="HN379">
        <v>0</v>
      </c>
      <c r="HP379">
        <v>0</v>
      </c>
      <c r="HQ379">
        <v>0</v>
      </c>
      <c r="HR379" t="s">
        <v>1042</v>
      </c>
      <c r="HS379" t="s">
        <v>1043</v>
      </c>
      <c r="HT379">
        <v>0</v>
      </c>
      <c r="HU379">
        <v>0</v>
      </c>
      <c r="HW379">
        <v>0</v>
      </c>
      <c r="HX379">
        <v>0</v>
      </c>
      <c r="HY379">
        <v>0</v>
      </c>
      <c r="HZ379" t="s">
        <v>1045</v>
      </c>
      <c r="IA379">
        <v>0</v>
      </c>
      <c r="IB379" t="s">
        <v>1045</v>
      </c>
      <c r="ID379" t="s">
        <v>1045</v>
      </c>
      <c r="IF379">
        <v>0</v>
      </c>
      <c r="IG379" t="s">
        <v>1042</v>
      </c>
      <c r="II379" t="s">
        <v>1042</v>
      </c>
      <c r="IR379" t="s">
        <v>1045</v>
      </c>
      <c r="IT379">
        <v>0</v>
      </c>
      <c r="IY379" t="s">
        <v>1044</v>
      </c>
      <c r="IZ379" t="s">
        <v>1043</v>
      </c>
      <c r="JC379" t="s">
        <v>1043</v>
      </c>
      <c r="JE379">
        <v>0</v>
      </c>
      <c r="JF379">
        <v>0</v>
      </c>
      <c r="JI379" t="s">
        <v>1042</v>
      </c>
      <c r="JJ379">
        <v>0</v>
      </c>
      <c r="JK379">
        <v>0</v>
      </c>
      <c r="JL379">
        <v>0</v>
      </c>
      <c r="JM379">
        <v>0</v>
      </c>
      <c r="JQ379" t="s">
        <v>1043</v>
      </c>
      <c r="JT379">
        <v>0</v>
      </c>
      <c r="JU379" t="s">
        <v>1042</v>
      </c>
      <c r="JW379">
        <v>0</v>
      </c>
      <c r="KA379">
        <v>0</v>
      </c>
      <c r="KF379">
        <v>0</v>
      </c>
      <c r="KG379">
        <v>0</v>
      </c>
      <c r="KH379">
        <v>0</v>
      </c>
      <c r="KI379">
        <v>0</v>
      </c>
      <c r="KS379" t="s">
        <v>1073</v>
      </c>
      <c r="KT379">
        <v>0</v>
      </c>
      <c r="KU379">
        <v>0</v>
      </c>
      <c r="KV379">
        <v>0</v>
      </c>
      <c r="KX379">
        <v>0</v>
      </c>
      <c r="KZ379">
        <v>0</v>
      </c>
      <c r="LF379">
        <v>0</v>
      </c>
      <c r="LH379">
        <v>0</v>
      </c>
      <c r="LI379">
        <v>0</v>
      </c>
    </row>
    <row r="380" spans="1:321" x14ac:dyDescent="0.35">
      <c r="A380">
        <v>1</v>
      </c>
      <c r="B380">
        <v>12594</v>
      </c>
      <c r="C380" t="s">
        <v>1304</v>
      </c>
      <c r="D380" t="s">
        <v>1133</v>
      </c>
      <c r="E380" t="s">
        <v>1085</v>
      </c>
      <c r="F380">
        <v>80</v>
      </c>
      <c r="G380">
        <v>9000</v>
      </c>
      <c r="H380">
        <v>0</v>
      </c>
      <c r="I380" t="s">
        <v>1050</v>
      </c>
      <c r="L380">
        <v>0</v>
      </c>
      <c r="M380">
        <v>0</v>
      </c>
      <c r="N380">
        <v>0</v>
      </c>
      <c r="R380">
        <v>0</v>
      </c>
      <c r="S380">
        <v>0</v>
      </c>
      <c r="W380" t="s">
        <v>1060</v>
      </c>
      <c r="X380">
        <v>0</v>
      </c>
      <c r="Z380">
        <v>1</v>
      </c>
      <c r="AA380">
        <v>0</v>
      </c>
      <c r="AB380">
        <v>0</v>
      </c>
      <c r="AC380">
        <v>0</v>
      </c>
      <c r="AD380" s="20">
        <v>40799</v>
      </c>
      <c r="AE380">
        <v>3.6</v>
      </c>
      <c r="AF380">
        <v>0</v>
      </c>
      <c r="AH380">
        <v>0</v>
      </c>
      <c r="AJ380">
        <v>0</v>
      </c>
      <c r="AL380">
        <v>0</v>
      </c>
      <c r="AM380">
        <v>0</v>
      </c>
      <c r="AN380">
        <v>16601001</v>
      </c>
      <c r="AO380">
        <v>0</v>
      </c>
      <c r="AP380">
        <v>1003</v>
      </c>
      <c r="AT380">
        <v>0</v>
      </c>
      <c r="AU380" t="s">
        <v>1059</v>
      </c>
      <c r="AW380" t="s">
        <v>1053</v>
      </c>
      <c r="AX380">
        <v>0</v>
      </c>
      <c r="AY380" s="20">
        <v>40799</v>
      </c>
      <c r="BA380" s="20">
        <v>40799</v>
      </c>
      <c r="BB380" t="s">
        <v>1058</v>
      </c>
      <c r="BD380">
        <v>0</v>
      </c>
      <c r="BF380" t="s">
        <v>1043</v>
      </c>
      <c r="BG380" t="s">
        <v>1042</v>
      </c>
      <c r="BH380">
        <v>0</v>
      </c>
      <c r="BI380">
        <v>1</v>
      </c>
      <c r="BJ380">
        <v>0</v>
      </c>
      <c r="BK380">
        <v>0</v>
      </c>
      <c r="BM380" t="s">
        <v>1042</v>
      </c>
      <c r="BN380">
        <v>0</v>
      </c>
      <c r="BR380" t="s">
        <v>1043</v>
      </c>
      <c r="BS380" t="s">
        <v>1043</v>
      </c>
      <c r="BT380" t="s">
        <v>1043</v>
      </c>
      <c r="BW380">
        <v>83</v>
      </c>
      <c r="CA380">
        <v>0</v>
      </c>
      <c r="CB380" t="s">
        <v>1057</v>
      </c>
      <c r="CE380" t="s">
        <v>1043</v>
      </c>
      <c r="CH380" t="s">
        <v>1043</v>
      </c>
      <c r="CN380" t="s">
        <v>1056</v>
      </c>
      <c r="CO380" t="s">
        <v>1043</v>
      </c>
      <c r="CP380">
        <v>1</v>
      </c>
      <c r="CQ380">
        <v>0</v>
      </c>
      <c r="CS380">
        <v>0</v>
      </c>
      <c r="CT380">
        <v>0</v>
      </c>
      <c r="CU380">
        <v>0</v>
      </c>
      <c r="CV380" t="s">
        <v>1045</v>
      </c>
      <c r="CW380">
        <v>0</v>
      </c>
      <c r="CX380">
        <v>0</v>
      </c>
      <c r="CY380">
        <v>0</v>
      </c>
      <c r="CZ380">
        <v>0</v>
      </c>
      <c r="DB380">
        <v>0</v>
      </c>
      <c r="DC380" t="s">
        <v>1043</v>
      </c>
      <c r="DF380" t="s">
        <v>1055</v>
      </c>
      <c r="DH380">
        <v>0</v>
      </c>
      <c r="DJ380">
        <v>0</v>
      </c>
      <c r="DK380" t="s">
        <v>1053</v>
      </c>
      <c r="DL380">
        <v>0</v>
      </c>
      <c r="DN380">
        <v>0</v>
      </c>
      <c r="DO380" t="s">
        <v>1042</v>
      </c>
      <c r="DP380">
        <v>0</v>
      </c>
      <c r="DQ380">
        <v>0</v>
      </c>
      <c r="DS380">
        <v>0</v>
      </c>
      <c r="DU380">
        <v>0</v>
      </c>
      <c r="DW380">
        <v>0</v>
      </c>
      <c r="DX380" t="s">
        <v>1043</v>
      </c>
      <c r="DY380">
        <v>0</v>
      </c>
      <c r="DZ380">
        <v>0</v>
      </c>
      <c r="EA380">
        <v>0</v>
      </c>
      <c r="ED380" t="s">
        <v>1045</v>
      </c>
      <c r="EE380">
        <v>0</v>
      </c>
      <c r="EF380">
        <v>0</v>
      </c>
      <c r="EQ380" t="s">
        <v>1044</v>
      </c>
      <c r="ES380" t="s">
        <v>1053</v>
      </c>
      <c r="ET380">
        <v>0</v>
      </c>
      <c r="EV380">
        <v>0</v>
      </c>
      <c r="EY380" t="s">
        <v>1052</v>
      </c>
      <c r="EZ380">
        <v>0</v>
      </c>
      <c r="FA380" t="s">
        <v>1043</v>
      </c>
      <c r="FB380">
        <v>0</v>
      </c>
      <c r="FC380">
        <v>0</v>
      </c>
      <c r="FE380" t="s">
        <v>1050</v>
      </c>
      <c r="FF380">
        <v>0</v>
      </c>
      <c r="FG380" t="s">
        <v>1050</v>
      </c>
      <c r="FJ380">
        <v>0</v>
      </c>
      <c r="FK380">
        <v>0</v>
      </c>
      <c r="FP380">
        <v>0</v>
      </c>
      <c r="FR380">
        <v>0</v>
      </c>
      <c r="FS380" t="s">
        <v>1043</v>
      </c>
      <c r="FX380" t="s">
        <v>1042</v>
      </c>
      <c r="FZ380" t="s">
        <v>1048</v>
      </c>
      <c r="GA380">
        <v>0</v>
      </c>
      <c r="GB380" t="s">
        <v>1042</v>
      </c>
      <c r="GE380">
        <v>0</v>
      </c>
      <c r="GG380">
        <v>0</v>
      </c>
      <c r="GN380">
        <v>0</v>
      </c>
      <c r="GO380" t="s">
        <v>1063</v>
      </c>
      <c r="GQ380">
        <v>0</v>
      </c>
      <c r="GU380">
        <v>0</v>
      </c>
      <c r="GY380" t="s">
        <v>1045</v>
      </c>
      <c r="HB380">
        <v>0</v>
      </c>
      <c r="HE380">
        <v>0</v>
      </c>
      <c r="HF380">
        <v>0</v>
      </c>
      <c r="HG380">
        <v>0</v>
      </c>
      <c r="HK380" t="s">
        <v>1042</v>
      </c>
      <c r="HM380" t="s">
        <v>1047</v>
      </c>
      <c r="HN380">
        <v>0</v>
      </c>
      <c r="HP380">
        <v>0</v>
      </c>
      <c r="HQ380">
        <v>0</v>
      </c>
      <c r="HR380" t="s">
        <v>1042</v>
      </c>
      <c r="HS380" t="s">
        <v>1043</v>
      </c>
      <c r="HT380">
        <v>0</v>
      </c>
      <c r="HU380">
        <v>0</v>
      </c>
      <c r="HW380">
        <v>0</v>
      </c>
      <c r="HX380">
        <v>0</v>
      </c>
      <c r="HY380">
        <v>0</v>
      </c>
      <c r="HZ380" t="s">
        <v>1045</v>
      </c>
      <c r="IA380">
        <v>0</v>
      </c>
      <c r="IB380" t="s">
        <v>1045</v>
      </c>
      <c r="ID380" t="s">
        <v>1045</v>
      </c>
      <c r="IF380">
        <v>0</v>
      </c>
      <c r="IG380" t="s">
        <v>1042</v>
      </c>
      <c r="II380" t="s">
        <v>1042</v>
      </c>
      <c r="IR380" t="s">
        <v>1045</v>
      </c>
      <c r="IT380">
        <v>0</v>
      </c>
      <c r="IY380" t="s">
        <v>1044</v>
      </c>
      <c r="IZ380" t="s">
        <v>1043</v>
      </c>
      <c r="JC380" t="s">
        <v>1043</v>
      </c>
      <c r="JE380">
        <v>0</v>
      </c>
      <c r="JF380">
        <v>0</v>
      </c>
      <c r="JI380" t="s">
        <v>1042</v>
      </c>
      <c r="JJ380">
        <v>0</v>
      </c>
      <c r="JK380">
        <v>0</v>
      </c>
      <c r="JL380">
        <v>0</v>
      </c>
      <c r="JM380">
        <v>0</v>
      </c>
      <c r="JQ380" t="s">
        <v>1043</v>
      </c>
      <c r="JT380">
        <v>0</v>
      </c>
      <c r="JU380" t="s">
        <v>1042</v>
      </c>
      <c r="JW380">
        <v>0</v>
      </c>
      <c r="KA380">
        <v>0</v>
      </c>
      <c r="KF380">
        <v>0</v>
      </c>
      <c r="KG380">
        <v>0</v>
      </c>
      <c r="KH380">
        <v>0</v>
      </c>
      <c r="KI380">
        <v>0</v>
      </c>
      <c r="KS380" t="s">
        <v>1073</v>
      </c>
      <c r="KT380">
        <v>0</v>
      </c>
      <c r="KU380">
        <v>0</v>
      </c>
      <c r="KV380">
        <v>0</v>
      </c>
      <c r="KX380">
        <v>0</v>
      </c>
      <c r="KZ380">
        <v>0</v>
      </c>
      <c r="LF380">
        <v>0</v>
      </c>
      <c r="LH380">
        <v>0</v>
      </c>
      <c r="LI380">
        <v>0</v>
      </c>
    </row>
    <row r="381" spans="1:321" x14ac:dyDescent="0.35">
      <c r="A381">
        <v>1</v>
      </c>
      <c r="B381">
        <v>12595</v>
      </c>
      <c r="C381" t="s">
        <v>1303</v>
      </c>
      <c r="D381" t="s">
        <v>1133</v>
      </c>
      <c r="E381" t="s">
        <v>85</v>
      </c>
      <c r="F381">
        <v>80</v>
      </c>
      <c r="G381">
        <v>9000</v>
      </c>
      <c r="H381">
        <v>0</v>
      </c>
      <c r="I381" t="s">
        <v>1050</v>
      </c>
      <c r="L381">
        <v>0</v>
      </c>
      <c r="M381">
        <v>0</v>
      </c>
      <c r="N381">
        <v>0</v>
      </c>
      <c r="R381">
        <v>0</v>
      </c>
      <c r="S381">
        <v>0</v>
      </c>
      <c r="W381" t="s">
        <v>1060</v>
      </c>
      <c r="X381">
        <v>0</v>
      </c>
      <c r="Z381">
        <v>1</v>
      </c>
      <c r="AA381">
        <v>0</v>
      </c>
      <c r="AB381">
        <v>0</v>
      </c>
      <c r="AC381">
        <v>0</v>
      </c>
      <c r="AD381" s="20">
        <v>40799</v>
      </c>
      <c r="AE381">
        <v>3.6</v>
      </c>
      <c r="AF381">
        <v>0</v>
      </c>
      <c r="AH381">
        <v>0</v>
      </c>
      <c r="AJ381">
        <v>0</v>
      </c>
      <c r="AL381">
        <v>0</v>
      </c>
      <c r="AM381">
        <v>0</v>
      </c>
      <c r="AN381">
        <v>16601001</v>
      </c>
      <c r="AO381">
        <v>0</v>
      </c>
      <c r="AP381">
        <v>1003</v>
      </c>
      <c r="AT381">
        <v>0</v>
      </c>
      <c r="AU381" t="s">
        <v>1059</v>
      </c>
      <c r="AW381" t="s">
        <v>1053</v>
      </c>
      <c r="AX381">
        <v>0</v>
      </c>
      <c r="AY381" s="20">
        <v>40799</v>
      </c>
      <c r="BA381" s="20">
        <v>40799</v>
      </c>
      <c r="BB381" t="s">
        <v>1058</v>
      </c>
      <c r="BD381">
        <v>0</v>
      </c>
      <c r="BF381" t="s">
        <v>1043</v>
      </c>
      <c r="BG381" t="s">
        <v>1042</v>
      </c>
      <c r="BH381">
        <v>0</v>
      </c>
      <c r="BI381">
        <v>1</v>
      </c>
      <c r="BJ381">
        <v>0</v>
      </c>
      <c r="BK381">
        <v>0</v>
      </c>
      <c r="BM381" t="s">
        <v>1042</v>
      </c>
      <c r="BN381">
        <v>0</v>
      </c>
      <c r="BR381" t="s">
        <v>1043</v>
      </c>
      <c r="BS381" t="s">
        <v>1043</v>
      </c>
      <c r="BT381" t="s">
        <v>1043</v>
      </c>
      <c r="BW381">
        <v>83</v>
      </c>
      <c r="CA381">
        <v>0</v>
      </c>
      <c r="CB381" t="s">
        <v>1057</v>
      </c>
      <c r="CE381" t="s">
        <v>1043</v>
      </c>
      <c r="CH381" t="s">
        <v>1043</v>
      </c>
      <c r="CN381" t="s">
        <v>1056</v>
      </c>
      <c r="CO381" t="s">
        <v>1043</v>
      </c>
      <c r="CP381">
        <v>1</v>
      </c>
      <c r="CQ381">
        <v>0</v>
      </c>
      <c r="CS381">
        <v>0</v>
      </c>
      <c r="CT381">
        <v>0</v>
      </c>
      <c r="CU381">
        <v>0</v>
      </c>
      <c r="CV381" t="s">
        <v>1045</v>
      </c>
      <c r="CW381">
        <v>0</v>
      </c>
      <c r="CX381">
        <v>0</v>
      </c>
      <c r="CY381">
        <v>0</v>
      </c>
      <c r="CZ381">
        <v>0</v>
      </c>
      <c r="DB381">
        <v>0</v>
      </c>
      <c r="DC381" t="s">
        <v>1043</v>
      </c>
      <c r="DF381" t="s">
        <v>1055</v>
      </c>
      <c r="DH381">
        <v>0</v>
      </c>
      <c r="DJ381">
        <v>0</v>
      </c>
      <c r="DK381" t="s">
        <v>1053</v>
      </c>
      <c r="DL381">
        <v>0</v>
      </c>
      <c r="DN381">
        <v>0</v>
      </c>
      <c r="DO381" t="s">
        <v>1042</v>
      </c>
      <c r="DP381">
        <v>0</v>
      </c>
      <c r="DQ381">
        <v>0</v>
      </c>
      <c r="DS381">
        <v>0</v>
      </c>
      <c r="DU381">
        <v>0</v>
      </c>
      <c r="DW381">
        <v>0</v>
      </c>
      <c r="DX381" t="s">
        <v>1043</v>
      </c>
      <c r="DY381">
        <v>0</v>
      </c>
      <c r="DZ381">
        <v>0</v>
      </c>
      <c r="EA381">
        <v>0</v>
      </c>
      <c r="ED381" t="s">
        <v>1045</v>
      </c>
      <c r="EE381">
        <v>0</v>
      </c>
      <c r="EF381">
        <v>0</v>
      </c>
      <c r="EQ381" t="s">
        <v>1044</v>
      </c>
      <c r="ES381" t="s">
        <v>1053</v>
      </c>
      <c r="ET381">
        <v>0</v>
      </c>
      <c r="EV381">
        <v>0</v>
      </c>
      <c r="EY381" t="s">
        <v>1052</v>
      </c>
      <c r="EZ381">
        <v>0</v>
      </c>
      <c r="FA381" t="s">
        <v>1043</v>
      </c>
      <c r="FB381">
        <v>0</v>
      </c>
      <c r="FC381">
        <v>0</v>
      </c>
      <c r="FE381" t="s">
        <v>1050</v>
      </c>
      <c r="FF381">
        <v>0</v>
      </c>
      <c r="FG381" t="s">
        <v>1050</v>
      </c>
      <c r="FJ381">
        <v>0</v>
      </c>
      <c r="FK381">
        <v>0</v>
      </c>
      <c r="FP381">
        <v>0</v>
      </c>
      <c r="FR381">
        <v>0</v>
      </c>
      <c r="FS381" t="s">
        <v>1043</v>
      </c>
      <c r="FX381" t="s">
        <v>1042</v>
      </c>
      <c r="FZ381" t="s">
        <v>1048</v>
      </c>
      <c r="GA381">
        <v>0</v>
      </c>
      <c r="GB381" t="s">
        <v>1042</v>
      </c>
      <c r="GE381">
        <v>0</v>
      </c>
      <c r="GG381">
        <v>0</v>
      </c>
      <c r="GN381">
        <v>0</v>
      </c>
      <c r="GO381" t="s">
        <v>1063</v>
      </c>
      <c r="GQ381">
        <v>0</v>
      </c>
      <c r="GU381">
        <v>0</v>
      </c>
      <c r="GY381" t="s">
        <v>1045</v>
      </c>
      <c r="HB381">
        <v>0</v>
      </c>
      <c r="HE381">
        <v>0</v>
      </c>
      <c r="HF381">
        <v>0</v>
      </c>
      <c r="HG381">
        <v>0</v>
      </c>
      <c r="HK381" t="s">
        <v>1042</v>
      </c>
      <c r="HM381" t="s">
        <v>1047</v>
      </c>
      <c r="HN381">
        <v>0</v>
      </c>
      <c r="HP381">
        <v>0</v>
      </c>
      <c r="HQ381">
        <v>0</v>
      </c>
      <c r="HR381" t="s">
        <v>1042</v>
      </c>
      <c r="HS381" t="s">
        <v>1043</v>
      </c>
      <c r="HT381">
        <v>0</v>
      </c>
      <c r="HU381">
        <v>0</v>
      </c>
      <c r="HW381">
        <v>0</v>
      </c>
      <c r="HX381">
        <v>0</v>
      </c>
      <c r="HY381">
        <v>0</v>
      </c>
      <c r="HZ381" t="s">
        <v>1045</v>
      </c>
      <c r="IA381">
        <v>0</v>
      </c>
      <c r="IB381" t="s">
        <v>1045</v>
      </c>
      <c r="ID381" t="s">
        <v>1045</v>
      </c>
      <c r="IF381">
        <v>0</v>
      </c>
      <c r="IG381" t="s">
        <v>1042</v>
      </c>
      <c r="II381" t="s">
        <v>1042</v>
      </c>
      <c r="IR381" t="s">
        <v>1045</v>
      </c>
      <c r="IT381">
        <v>0</v>
      </c>
      <c r="IY381" t="s">
        <v>1044</v>
      </c>
      <c r="IZ381" t="s">
        <v>1043</v>
      </c>
      <c r="JC381" t="s">
        <v>1043</v>
      </c>
      <c r="JE381">
        <v>0</v>
      </c>
      <c r="JF381">
        <v>0</v>
      </c>
      <c r="JI381" t="s">
        <v>1042</v>
      </c>
      <c r="JJ381">
        <v>0</v>
      </c>
      <c r="JK381">
        <v>0</v>
      </c>
      <c r="JL381">
        <v>0</v>
      </c>
      <c r="JM381">
        <v>0</v>
      </c>
      <c r="JQ381" t="s">
        <v>1043</v>
      </c>
      <c r="JT381">
        <v>0</v>
      </c>
      <c r="JU381" t="s">
        <v>1042</v>
      </c>
      <c r="JW381">
        <v>0</v>
      </c>
      <c r="KA381">
        <v>0</v>
      </c>
      <c r="KF381">
        <v>0</v>
      </c>
      <c r="KG381">
        <v>0</v>
      </c>
      <c r="KH381">
        <v>0</v>
      </c>
      <c r="KI381">
        <v>0</v>
      </c>
      <c r="KS381" t="s">
        <v>1073</v>
      </c>
      <c r="KT381">
        <v>0</v>
      </c>
      <c r="KU381">
        <v>0</v>
      </c>
      <c r="KV381">
        <v>0</v>
      </c>
      <c r="KX381">
        <v>0</v>
      </c>
      <c r="KZ381">
        <v>0</v>
      </c>
      <c r="LF381">
        <v>0</v>
      </c>
      <c r="LH381">
        <v>0</v>
      </c>
      <c r="LI381">
        <v>0</v>
      </c>
    </row>
    <row r="382" spans="1:321" x14ac:dyDescent="0.35">
      <c r="A382">
        <v>1</v>
      </c>
      <c r="B382">
        <v>12596</v>
      </c>
      <c r="C382" t="s">
        <v>1302</v>
      </c>
      <c r="D382" t="s">
        <v>1133</v>
      </c>
      <c r="E382" t="s">
        <v>1165</v>
      </c>
      <c r="F382">
        <v>80</v>
      </c>
      <c r="G382">
        <v>9000</v>
      </c>
      <c r="H382">
        <v>0</v>
      </c>
      <c r="I382" t="s">
        <v>1050</v>
      </c>
      <c r="L382">
        <v>0</v>
      </c>
      <c r="M382">
        <v>0</v>
      </c>
      <c r="N382">
        <v>0</v>
      </c>
      <c r="R382">
        <v>0</v>
      </c>
      <c r="S382">
        <v>0</v>
      </c>
      <c r="W382" t="s">
        <v>1060</v>
      </c>
      <c r="X382">
        <v>0</v>
      </c>
      <c r="Z382">
        <v>1</v>
      </c>
      <c r="AA382">
        <v>0</v>
      </c>
      <c r="AB382">
        <v>0</v>
      </c>
      <c r="AC382">
        <v>0</v>
      </c>
      <c r="AD382" s="20">
        <v>40799</v>
      </c>
      <c r="AE382">
        <v>3.6</v>
      </c>
      <c r="AF382">
        <v>0</v>
      </c>
      <c r="AH382">
        <v>0</v>
      </c>
      <c r="AJ382">
        <v>0</v>
      </c>
      <c r="AL382">
        <v>0</v>
      </c>
      <c r="AM382">
        <v>0</v>
      </c>
      <c r="AN382">
        <v>16601001</v>
      </c>
      <c r="AO382">
        <v>0</v>
      </c>
      <c r="AP382">
        <v>1003</v>
      </c>
      <c r="AT382">
        <v>0</v>
      </c>
      <c r="AU382" t="s">
        <v>1059</v>
      </c>
      <c r="AW382" t="s">
        <v>1053</v>
      </c>
      <c r="AX382">
        <v>0</v>
      </c>
      <c r="AY382" s="20">
        <v>40799</v>
      </c>
      <c r="BA382" s="20">
        <v>40799</v>
      </c>
      <c r="BB382" t="s">
        <v>1058</v>
      </c>
      <c r="BD382">
        <v>0</v>
      </c>
      <c r="BF382" t="s">
        <v>1043</v>
      </c>
      <c r="BG382" t="s">
        <v>1042</v>
      </c>
      <c r="BH382">
        <v>0</v>
      </c>
      <c r="BI382">
        <v>1</v>
      </c>
      <c r="BJ382">
        <v>0</v>
      </c>
      <c r="BK382">
        <v>0</v>
      </c>
      <c r="BM382" t="s">
        <v>1042</v>
      </c>
      <c r="BN382">
        <v>0</v>
      </c>
      <c r="BR382" t="s">
        <v>1043</v>
      </c>
      <c r="BS382" t="s">
        <v>1043</v>
      </c>
      <c r="BT382" t="s">
        <v>1043</v>
      </c>
      <c r="BW382">
        <v>83</v>
      </c>
      <c r="CA382">
        <v>0</v>
      </c>
      <c r="CB382" t="s">
        <v>1057</v>
      </c>
      <c r="CE382" t="s">
        <v>1043</v>
      </c>
      <c r="CH382" t="s">
        <v>1043</v>
      </c>
      <c r="CN382" t="s">
        <v>1056</v>
      </c>
      <c r="CO382" t="s">
        <v>1043</v>
      </c>
      <c r="CP382">
        <v>1</v>
      </c>
      <c r="CQ382">
        <v>0</v>
      </c>
      <c r="CS382">
        <v>0</v>
      </c>
      <c r="CT382">
        <v>0</v>
      </c>
      <c r="CU382">
        <v>0</v>
      </c>
      <c r="CV382" t="s">
        <v>1045</v>
      </c>
      <c r="CW382">
        <v>0</v>
      </c>
      <c r="CX382">
        <v>0</v>
      </c>
      <c r="CY382">
        <v>0</v>
      </c>
      <c r="CZ382">
        <v>0</v>
      </c>
      <c r="DB382">
        <v>0</v>
      </c>
      <c r="DC382" t="s">
        <v>1043</v>
      </c>
      <c r="DF382" t="s">
        <v>1055</v>
      </c>
      <c r="DH382">
        <v>0</v>
      </c>
      <c r="DJ382">
        <v>0</v>
      </c>
      <c r="DK382" t="s">
        <v>1053</v>
      </c>
      <c r="DL382">
        <v>0</v>
      </c>
      <c r="DN382">
        <v>0</v>
      </c>
      <c r="DO382" t="s">
        <v>1042</v>
      </c>
      <c r="DP382">
        <v>0</v>
      </c>
      <c r="DQ382">
        <v>0</v>
      </c>
      <c r="DS382">
        <v>0</v>
      </c>
      <c r="DU382">
        <v>0</v>
      </c>
      <c r="DW382">
        <v>0</v>
      </c>
      <c r="DX382" t="s">
        <v>1043</v>
      </c>
      <c r="DY382">
        <v>0</v>
      </c>
      <c r="DZ382">
        <v>0</v>
      </c>
      <c r="EA382">
        <v>0</v>
      </c>
      <c r="ED382" t="s">
        <v>1045</v>
      </c>
      <c r="EE382">
        <v>0</v>
      </c>
      <c r="EF382">
        <v>0</v>
      </c>
      <c r="EQ382" t="s">
        <v>1044</v>
      </c>
      <c r="ES382" t="s">
        <v>1053</v>
      </c>
      <c r="ET382">
        <v>0</v>
      </c>
      <c r="EV382">
        <v>0</v>
      </c>
      <c r="EY382" t="s">
        <v>1052</v>
      </c>
      <c r="EZ382">
        <v>0</v>
      </c>
      <c r="FA382" t="s">
        <v>1043</v>
      </c>
      <c r="FB382">
        <v>0</v>
      </c>
      <c r="FC382">
        <v>0</v>
      </c>
      <c r="FE382" t="s">
        <v>1050</v>
      </c>
      <c r="FF382">
        <v>0</v>
      </c>
      <c r="FG382" t="s">
        <v>1050</v>
      </c>
      <c r="FJ382">
        <v>0</v>
      </c>
      <c r="FK382">
        <v>0</v>
      </c>
      <c r="FP382">
        <v>0</v>
      </c>
      <c r="FR382">
        <v>0</v>
      </c>
      <c r="FS382" t="s">
        <v>1043</v>
      </c>
      <c r="FX382" t="s">
        <v>1042</v>
      </c>
      <c r="FZ382" t="s">
        <v>1048</v>
      </c>
      <c r="GA382">
        <v>0</v>
      </c>
      <c r="GB382" t="s">
        <v>1042</v>
      </c>
      <c r="GE382">
        <v>0</v>
      </c>
      <c r="GG382">
        <v>0</v>
      </c>
      <c r="GN382">
        <v>0</v>
      </c>
      <c r="GO382" t="s">
        <v>1063</v>
      </c>
      <c r="GQ382">
        <v>0</v>
      </c>
      <c r="GU382">
        <v>0</v>
      </c>
      <c r="GY382" t="s">
        <v>1045</v>
      </c>
      <c r="HB382">
        <v>0</v>
      </c>
      <c r="HE382">
        <v>0</v>
      </c>
      <c r="HF382">
        <v>0</v>
      </c>
      <c r="HG382">
        <v>0</v>
      </c>
      <c r="HK382" t="s">
        <v>1042</v>
      </c>
      <c r="HM382" t="s">
        <v>1047</v>
      </c>
      <c r="HN382">
        <v>0</v>
      </c>
      <c r="HP382">
        <v>0</v>
      </c>
      <c r="HQ382">
        <v>0</v>
      </c>
      <c r="HR382" t="s">
        <v>1042</v>
      </c>
      <c r="HS382" t="s">
        <v>1043</v>
      </c>
      <c r="HT382">
        <v>0</v>
      </c>
      <c r="HU382">
        <v>0</v>
      </c>
      <c r="HW382">
        <v>0</v>
      </c>
      <c r="HX382">
        <v>0</v>
      </c>
      <c r="HY382">
        <v>0</v>
      </c>
      <c r="HZ382" t="s">
        <v>1045</v>
      </c>
      <c r="IA382">
        <v>0</v>
      </c>
      <c r="IB382" t="s">
        <v>1045</v>
      </c>
      <c r="ID382" t="s">
        <v>1045</v>
      </c>
      <c r="IF382">
        <v>0</v>
      </c>
      <c r="IG382" t="s">
        <v>1042</v>
      </c>
      <c r="II382" t="s">
        <v>1042</v>
      </c>
      <c r="IR382" t="s">
        <v>1045</v>
      </c>
      <c r="IT382">
        <v>0</v>
      </c>
      <c r="IY382" t="s">
        <v>1044</v>
      </c>
      <c r="IZ382" t="s">
        <v>1043</v>
      </c>
      <c r="JC382" t="s">
        <v>1043</v>
      </c>
      <c r="JE382">
        <v>0</v>
      </c>
      <c r="JF382">
        <v>0</v>
      </c>
      <c r="JI382" t="s">
        <v>1042</v>
      </c>
      <c r="JJ382">
        <v>0</v>
      </c>
      <c r="JK382">
        <v>0</v>
      </c>
      <c r="JL382">
        <v>0</v>
      </c>
      <c r="JM382">
        <v>0</v>
      </c>
      <c r="JQ382" t="s">
        <v>1043</v>
      </c>
      <c r="JT382">
        <v>0</v>
      </c>
      <c r="JU382" t="s">
        <v>1042</v>
      </c>
      <c r="JW382">
        <v>0</v>
      </c>
      <c r="KA382">
        <v>0</v>
      </c>
      <c r="KF382">
        <v>0</v>
      </c>
      <c r="KG382">
        <v>0</v>
      </c>
      <c r="KH382">
        <v>0</v>
      </c>
      <c r="KI382">
        <v>0</v>
      </c>
      <c r="KS382" t="s">
        <v>1073</v>
      </c>
      <c r="KT382">
        <v>0</v>
      </c>
      <c r="KU382">
        <v>0</v>
      </c>
      <c r="KV382">
        <v>0</v>
      </c>
      <c r="KX382">
        <v>0</v>
      </c>
      <c r="KZ382">
        <v>0</v>
      </c>
      <c r="LF382">
        <v>0</v>
      </c>
      <c r="LH382">
        <v>0</v>
      </c>
      <c r="LI382">
        <v>0</v>
      </c>
    </row>
    <row r="383" spans="1:321" x14ac:dyDescent="0.35">
      <c r="A383">
        <v>1</v>
      </c>
      <c r="B383">
        <v>12597</v>
      </c>
      <c r="C383" t="s">
        <v>1301</v>
      </c>
      <c r="D383" t="s">
        <v>1133</v>
      </c>
      <c r="E383" t="s">
        <v>1085</v>
      </c>
      <c r="F383">
        <v>80</v>
      </c>
      <c r="G383">
        <v>9000</v>
      </c>
      <c r="H383">
        <v>0</v>
      </c>
      <c r="I383" t="s">
        <v>1295</v>
      </c>
      <c r="L383">
        <v>0</v>
      </c>
      <c r="M383">
        <v>0</v>
      </c>
      <c r="N383">
        <v>0</v>
      </c>
      <c r="R383">
        <v>0</v>
      </c>
      <c r="S383">
        <v>0</v>
      </c>
      <c r="W383" t="s">
        <v>1060</v>
      </c>
      <c r="X383">
        <v>0</v>
      </c>
      <c r="Z383">
        <v>1</v>
      </c>
      <c r="AA383">
        <v>0</v>
      </c>
      <c r="AB383">
        <v>0</v>
      </c>
      <c r="AC383">
        <v>3.03</v>
      </c>
      <c r="AD383" s="20">
        <v>40865</v>
      </c>
      <c r="AE383">
        <v>3.6</v>
      </c>
      <c r="AF383">
        <v>0</v>
      </c>
      <c r="AH383">
        <v>0</v>
      </c>
      <c r="AJ383">
        <v>0</v>
      </c>
      <c r="AL383">
        <v>1</v>
      </c>
      <c r="AM383">
        <v>0</v>
      </c>
      <c r="AN383">
        <v>16601001</v>
      </c>
      <c r="AO383">
        <v>0</v>
      </c>
      <c r="AP383">
        <v>1003</v>
      </c>
      <c r="AT383">
        <v>0</v>
      </c>
      <c r="AU383" t="s">
        <v>1059</v>
      </c>
      <c r="AW383" t="s">
        <v>1053</v>
      </c>
      <c r="AX383">
        <v>0</v>
      </c>
      <c r="AY383" s="20">
        <v>40865</v>
      </c>
      <c r="BA383" s="20">
        <v>40799</v>
      </c>
      <c r="BB383" t="s">
        <v>1058</v>
      </c>
      <c r="BD383">
        <v>0</v>
      </c>
      <c r="BF383" t="s">
        <v>1043</v>
      </c>
      <c r="BG383" t="s">
        <v>1042</v>
      </c>
      <c r="BH383">
        <v>0</v>
      </c>
      <c r="BI383">
        <v>1</v>
      </c>
      <c r="BJ383">
        <v>0</v>
      </c>
      <c r="BK383">
        <v>0</v>
      </c>
      <c r="BM383" t="s">
        <v>1042</v>
      </c>
      <c r="BN383">
        <v>0</v>
      </c>
      <c r="BR383" t="s">
        <v>1043</v>
      </c>
      <c r="BS383" t="s">
        <v>1043</v>
      </c>
      <c r="BT383" t="s">
        <v>1043</v>
      </c>
      <c r="BW383">
        <v>83</v>
      </c>
      <c r="CA383">
        <v>0</v>
      </c>
      <c r="CB383" t="s">
        <v>1057</v>
      </c>
      <c r="CE383" t="s">
        <v>1043</v>
      </c>
      <c r="CH383" t="s">
        <v>1043</v>
      </c>
      <c r="CN383" t="s">
        <v>1056</v>
      </c>
      <c r="CO383" t="s">
        <v>1043</v>
      </c>
      <c r="CP383">
        <v>1</v>
      </c>
      <c r="CQ383">
        <v>0</v>
      </c>
      <c r="CS383">
        <v>0</v>
      </c>
      <c r="CT383">
        <v>0</v>
      </c>
      <c r="CU383">
        <v>0</v>
      </c>
      <c r="CV383" t="s">
        <v>1045</v>
      </c>
      <c r="CW383">
        <v>0</v>
      </c>
      <c r="CX383">
        <v>0</v>
      </c>
      <c r="CY383">
        <v>0</v>
      </c>
      <c r="CZ383">
        <v>0</v>
      </c>
      <c r="DB383">
        <v>0</v>
      </c>
      <c r="DC383" t="s">
        <v>1043</v>
      </c>
      <c r="DF383" t="s">
        <v>1055</v>
      </c>
      <c r="DH383">
        <v>0</v>
      </c>
      <c r="DJ383">
        <v>0</v>
      </c>
      <c r="DK383" t="s">
        <v>1053</v>
      </c>
      <c r="DL383">
        <v>0</v>
      </c>
      <c r="DN383">
        <v>0</v>
      </c>
      <c r="DO383" t="s">
        <v>1042</v>
      </c>
      <c r="DP383">
        <v>0</v>
      </c>
      <c r="DQ383">
        <v>0</v>
      </c>
      <c r="DS383">
        <v>0</v>
      </c>
      <c r="DU383">
        <v>0</v>
      </c>
      <c r="DW383">
        <v>0</v>
      </c>
      <c r="DX383" t="s">
        <v>1043</v>
      </c>
      <c r="DY383">
        <v>0</v>
      </c>
      <c r="DZ383">
        <v>0</v>
      </c>
      <c r="EA383">
        <v>0</v>
      </c>
      <c r="ED383" t="s">
        <v>1045</v>
      </c>
      <c r="EE383">
        <v>0</v>
      </c>
      <c r="EF383">
        <v>0</v>
      </c>
      <c r="EQ383" t="s">
        <v>1044</v>
      </c>
      <c r="ES383" t="s">
        <v>1053</v>
      </c>
      <c r="ET383">
        <v>0</v>
      </c>
      <c r="EV383">
        <v>0</v>
      </c>
      <c r="EY383" t="s">
        <v>1052</v>
      </c>
      <c r="EZ383">
        <v>0</v>
      </c>
      <c r="FA383" t="s">
        <v>1043</v>
      </c>
      <c r="FB383">
        <v>0</v>
      </c>
      <c r="FC383">
        <v>0</v>
      </c>
      <c r="FE383" t="s">
        <v>1050</v>
      </c>
      <c r="FF383">
        <v>0</v>
      </c>
      <c r="FG383" t="s">
        <v>1050</v>
      </c>
      <c r="FJ383">
        <v>0</v>
      </c>
      <c r="FK383">
        <v>0</v>
      </c>
      <c r="FP383">
        <v>0</v>
      </c>
      <c r="FR383">
        <v>0</v>
      </c>
      <c r="FS383" t="s">
        <v>1043</v>
      </c>
      <c r="FX383" t="s">
        <v>1042</v>
      </c>
      <c r="FZ383" t="s">
        <v>1048</v>
      </c>
      <c r="GA383">
        <v>0</v>
      </c>
      <c r="GB383" t="s">
        <v>1042</v>
      </c>
      <c r="GE383">
        <v>0</v>
      </c>
      <c r="GG383">
        <v>0</v>
      </c>
      <c r="GN383">
        <v>0</v>
      </c>
      <c r="GO383" t="s">
        <v>1063</v>
      </c>
      <c r="GQ383">
        <v>0</v>
      </c>
      <c r="GU383">
        <v>0</v>
      </c>
      <c r="GY383" t="s">
        <v>1045</v>
      </c>
      <c r="HB383">
        <v>0</v>
      </c>
      <c r="HE383">
        <v>0</v>
      </c>
      <c r="HF383">
        <v>0</v>
      </c>
      <c r="HG383">
        <v>0</v>
      </c>
      <c r="HK383" t="s">
        <v>1042</v>
      </c>
      <c r="HM383" t="s">
        <v>1047</v>
      </c>
      <c r="HN383">
        <v>0</v>
      </c>
      <c r="HP383">
        <v>0</v>
      </c>
      <c r="HQ383">
        <v>0</v>
      </c>
      <c r="HR383" s="20">
        <v>44221</v>
      </c>
      <c r="HS383" t="s">
        <v>1043</v>
      </c>
      <c r="HT383">
        <v>0</v>
      </c>
      <c r="HU383">
        <v>0</v>
      </c>
      <c r="HW383">
        <v>0</v>
      </c>
      <c r="HX383">
        <v>0</v>
      </c>
      <c r="HY383">
        <v>0</v>
      </c>
      <c r="HZ383" t="s">
        <v>1045</v>
      </c>
      <c r="IA383">
        <v>0</v>
      </c>
      <c r="IB383" t="s">
        <v>1045</v>
      </c>
      <c r="ID383" t="s">
        <v>1045</v>
      </c>
      <c r="IF383">
        <v>0</v>
      </c>
      <c r="IG383" t="s">
        <v>1042</v>
      </c>
      <c r="II383" t="s">
        <v>1042</v>
      </c>
      <c r="IR383" t="s">
        <v>1045</v>
      </c>
      <c r="IT383">
        <v>0</v>
      </c>
      <c r="IY383" t="s">
        <v>1044</v>
      </c>
      <c r="IZ383" t="s">
        <v>1043</v>
      </c>
      <c r="JC383" t="s">
        <v>1043</v>
      </c>
      <c r="JE383">
        <v>0</v>
      </c>
      <c r="JF383">
        <v>0</v>
      </c>
      <c r="JI383" t="s">
        <v>1042</v>
      </c>
      <c r="JJ383">
        <v>0</v>
      </c>
      <c r="JK383">
        <v>0</v>
      </c>
      <c r="JL383">
        <v>0</v>
      </c>
      <c r="JM383">
        <v>0</v>
      </c>
      <c r="JQ383" t="s">
        <v>1043</v>
      </c>
      <c r="JT383">
        <v>0</v>
      </c>
      <c r="JU383" t="s">
        <v>1042</v>
      </c>
      <c r="JW383">
        <v>0</v>
      </c>
      <c r="KA383">
        <v>0</v>
      </c>
      <c r="KF383">
        <v>0</v>
      </c>
      <c r="KG383">
        <v>0</v>
      </c>
      <c r="KH383">
        <v>0</v>
      </c>
      <c r="KI383">
        <v>0</v>
      </c>
      <c r="KS383" t="s">
        <v>1073</v>
      </c>
      <c r="KT383">
        <v>0</v>
      </c>
      <c r="KU383">
        <v>0</v>
      </c>
      <c r="KV383">
        <v>0</v>
      </c>
      <c r="KX383">
        <v>0</v>
      </c>
      <c r="KZ383">
        <v>0</v>
      </c>
      <c r="LF383">
        <v>0</v>
      </c>
      <c r="LH383">
        <v>0</v>
      </c>
      <c r="LI383">
        <v>0</v>
      </c>
    </row>
    <row r="384" spans="1:321" x14ac:dyDescent="0.35">
      <c r="A384">
        <v>1</v>
      </c>
      <c r="B384">
        <v>12598</v>
      </c>
      <c r="C384" t="s">
        <v>1300</v>
      </c>
      <c r="D384" t="s">
        <v>1133</v>
      </c>
      <c r="E384" t="s">
        <v>1085</v>
      </c>
      <c r="F384">
        <v>80</v>
      </c>
      <c r="G384">
        <v>9000</v>
      </c>
      <c r="H384">
        <v>0</v>
      </c>
      <c r="I384" t="s">
        <v>1050</v>
      </c>
      <c r="L384">
        <v>0</v>
      </c>
      <c r="M384">
        <v>0</v>
      </c>
      <c r="N384">
        <v>0</v>
      </c>
      <c r="R384">
        <v>0</v>
      </c>
      <c r="S384">
        <v>0</v>
      </c>
      <c r="W384" t="s">
        <v>1060</v>
      </c>
      <c r="X384">
        <v>0</v>
      </c>
      <c r="Z384">
        <v>1</v>
      </c>
      <c r="AA384">
        <v>0</v>
      </c>
      <c r="AB384">
        <v>0</v>
      </c>
      <c r="AC384">
        <v>0</v>
      </c>
      <c r="AD384" s="20">
        <v>40799</v>
      </c>
      <c r="AE384">
        <v>3.6</v>
      </c>
      <c r="AF384">
        <v>0</v>
      </c>
      <c r="AH384">
        <v>0</v>
      </c>
      <c r="AJ384">
        <v>0</v>
      </c>
      <c r="AL384">
        <v>0</v>
      </c>
      <c r="AM384">
        <v>0</v>
      </c>
      <c r="AN384">
        <v>16601001</v>
      </c>
      <c r="AO384">
        <v>0</v>
      </c>
      <c r="AP384">
        <v>1003</v>
      </c>
      <c r="AT384">
        <v>0</v>
      </c>
      <c r="AU384" t="s">
        <v>1059</v>
      </c>
      <c r="AW384" t="s">
        <v>1053</v>
      </c>
      <c r="AX384">
        <v>0</v>
      </c>
      <c r="AY384" s="20">
        <v>40799</v>
      </c>
      <c r="BA384" s="20">
        <v>40799</v>
      </c>
      <c r="BB384" t="s">
        <v>1058</v>
      </c>
      <c r="BD384">
        <v>0</v>
      </c>
      <c r="BF384" t="s">
        <v>1043</v>
      </c>
      <c r="BG384" t="s">
        <v>1042</v>
      </c>
      <c r="BH384">
        <v>0</v>
      </c>
      <c r="BI384">
        <v>1</v>
      </c>
      <c r="BJ384">
        <v>0</v>
      </c>
      <c r="BK384">
        <v>0</v>
      </c>
      <c r="BM384" t="s">
        <v>1042</v>
      </c>
      <c r="BN384">
        <v>0</v>
      </c>
      <c r="BR384" t="s">
        <v>1043</v>
      </c>
      <c r="BS384" t="s">
        <v>1043</v>
      </c>
      <c r="BT384" t="s">
        <v>1043</v>
      </c>
      <c r="BW384">
        <v>83</v>
      </c>
      <c r="CA384">
        <v>0</v>
      </c>
      <c r="CB384" t="s">
        <v>1057</v>
      </c>
      <c r="CE384" t="s">
        <v>1043</v>
      </c>
      <c r="CH384" t="s">
        <v>1043</v>
      </c>
      <c r="CN384" t="s">
        <v>1056</v>
      </c>
      <c r="CO384" t="s">
        <v>1043</v>
      </c>
      <c r="CP384">
        <v>1</v>
      </c>
      <c r="CQ384">
        <v>0</v>
      </c>
      <c r="CS384">
        <v>0</v>
      </c>
      <c r="CT384">
        <v>0</v>
      </c>
      <c r="CU384">
        <v>0</v>
      </c>
      <c r="CV384" t="s">
        <v>1045</v>
      </c>
      <c r="CW384">
        <v>0</v>
      </c>
      <c r="CX384">
        <v>0</v>
      </c>
      <c r="CY384">
        <v>0</v>
      </c>
      <c r="CZ384">
        <v>0</v>
      </c>
      <c r="DB384">
        <v>0</v>
      </c>
      <c r="DC384" t="s">
        <v>1043</v>
      </c>
      <c r="DF384" t="s">
        <v>1055</v>
      </c>
      <c r="DH384">
        <v>0</v>
      </c>
      <c r="DJ384">
        <v>0</v>
      </c>
      <c r="DK384" t="s">
        <v>1053</v>
      </c>
      <c r="DL384">
        <v>0</v>
      </c>
      <c r="DN384">
        <v>0</v>
      </c>
      <c r="DO384" t="s">
        <v>1042</v>
      </c>
      <c r="DP384">
        <v>0</v>
      </c>
      <c r="DQ384">
        <v>0</v>
      </c>
      <c r="DS384">
        <v>0</v>
      </c>
      <c r="DU384">
        <v>0</v>
      </c>
      <c r="DW384">
        <v>0</v>
      </c>
      <c r="DX384" t="s">
        <v>1043</v>
      </c>
      <c r="DY384">
        <v>0</v>
      </c>
      <c r="DZ384">
        <v>0</v>
      </c>
      <c r="EA384">
        <v>0</v>
      </c>
      <c r="ED384" t="s">
        <v>1045</v>
      </c>
      <c r="EE384">
        <v>0</v>
      </c>
      <c r="EF384">
        <v>0</v>
      </c>
      <c r="EQ384" t="s">
        <v>1044</v>
      </c>
      <c r="ES384" t="s">
        <v>1053</v>
      </c>
      <c r="ET384">
        <v>0</v>
      </c>
      <c r="EV384">
        <v>0</v>
      </c>
      <c r="EY384" t="s">
        <v>1052</v>
      </c>
      <c r="EZ384">
        <v>0</v>
      </c>
      <c r="FA384" t="s">
        <v>1043</v>
      </c>
      <c r="FB384">
        <v>0</v>
      </c>
      <c r="FC384">
        <v>0</v>
      </c>
      <c r="FE384" t="s">
        <v>1050</v>
      </c>
      <c r="FF384">
        <v>0</v>
      </c>
      <c r="FG384" t="s">
        <v>1050</v>
      </c>
      <c r="FJ384">
        <v>0</v>
      </c>
      <c r="FK384">
        <v>0</v>
      </c>
      <c r="FP384">
        <v>0</v>
      </c>
      <c r="FR384">
        <v>0</v>
      </c>
      <c r="FS384" t="s">
        <v>1043</v>
      </c>
      <c r="FX384" t="s">
        <v>1042</v>
      </c>
      <c r="FZ384" t="s">
        <v>1048</v>
      </c>
      <c r="GA384">
        <v>0</v>
      </c>
      <c r="GB384" t="s">
        <v>1042</v>
      </c>
      <c r="GE384">
        <v>0</v>
      </c>
      <c r="GG384">
        <v>0</v>
      </c>
      <c r="GN384">
        <v>0</v>
      </c>
      <c r="GO384" t="s">
        <v>1063</v>
      </c>
      <c r="GQ384">
        <v>0</v>
      </c>
      <c r="GU384">
        <v>0</v>
      </c>
      <c r="GY384" t="s">
        <v>1045</v>
      </c>
      <c r="HB384">
        <v>0</v>
      </c>
      <c r="HE384">
        <v>0</v>
      </c>
      <c r="HF384">
        <v>0</v>
      </c>
      <c r="HG384">
        <v>0</v>
      </c>
      <c r="HK384" t="s">
        <v>1042</v>
      </c>
      <c r="HM384" t="s">
        <v>1047</v>
      </c>
      <c r="HN384">
        <v>0</v>
      </c>
      <c r="HP384">
        <v>0</v>
      </c>
      <c r="HQ384">
        <v>0</v>
      </c>
      <c r="HR384" t="s">
        <v>1042</v>
      </c>
      <c r="HS384" t="s">
        <v>1043</v>
      </c>
      <c r="HT384">
        <v>0</v>
      </c>
      <c r="HU384">
        <v>0</v>
      </c>
      <c r="HW384">
        <v>0</v>
      </c>
      <c r="HX384">
        <v>0</v>
      </c>
      <c r="HY384">
        <v>0</v>
      </c>
      <c r="HZ384" t="s">
        <v>1045</v>
      </c>
      <c r="IA384">
        <v>0</v>
      </c>
      <c r="IB384" t="s">
        <v>1045</v>
      </c>
      <c r="ID384" t="s">
        <v>1045</v>
      </c>
      <c r="IF384">
        <v>0</v>
      </c>
      <c r="IG384" t="s">
        <v>1042</v>
      </c>
      <c r="II384" t="s">
        <v>1042</v>
      </c>
      <c r="IR384" t="s">
        <v>1045</v>
      </c>
      <c r="IT384">
        <v>0</v>
      </c>
      <c r="IY384" t="s">
        <v>1044</v>
      </c>
      <c r="IZ384" t="s">
        <v>1043</v>
      </c>
      <c r="JC384" t="s">
        <v>1043</v>
      </c>
      <c r="JE384">
        <v>0</v>
      </c>
      <c r="JF384">
        <v>0</v>
      </c>
      <c r="JI384" t="s">
        <v>1042</v>
      </c>
      <c r="JJ384">
        <v>0</v>
      </c>
      <c r="JK384">
        <v>0</v>
      </c>
      <c r="JL384">
        <v>0</v>
      </c>
      <c r="JM384">
        <v>0</v>
      </c>
      <c r="JQ384" t="s">
        <v>1043</v>
      </c>
      <c r="JT384">
        <v>0</v>
      </c>
      <c r="JU384" t="s">
        <v>1042</v>
      </c>
      <c r="JW384">
        <v>0</v>
      </c>
      <c r="KA384">
        <v>0</v>
      </c>
      <c r="KF384">
        <v>0</v>
      </c>
      <c r="KG384">
        <v>0</v>
      </c>
      <c r="KH384">
        <v>0</v>
      </c>
      <c r="KI384">
        <v>0</v>
      </c>
      <c r="KS384" t="s">
        <v>1073</v>
      </c>
      <c r="KT384">
        <v>0</v>
      </c>
      <c r="KU384">
        <v>0</v>
      </c>
      <c r="KV384">
        <v>0</v>
      </c>
      <c r="KX384">
        <v>0</v>
      </c>
      <c r="KZ384">
        <v>0</v>
      </c>
      <c r="LF384">
        <v>0</v>
      </c>
      <c r="LH384">
        <v>0</v>
      </c>
      <c r="LI384">
        <v>0</v>
      </c>
    </row>
    <row r="385" spans="1:321" x14ac:dyDescent="0.35">
      <c r="A385">
        <v>1</v>
      </c>
      <c r="B385">
        <v>12599</v>
      </c>
      <c r="C385" t="s">
        <v>1299</v>
      </c>
      <c r="D385" t="s">
        <v>1133</v>
      </c>
      <c r="E385" t="s">
        <v>1085</v>
      </c>
      <c r="F385">
        <v>80</v>
      </c>
      <c r="G385">
        <v>9000</v>
      </c>
      <c r="H385">
        <v>0</v>
      </c>
      <c r="I385" t="s">
        <v>1050</v>
      </c>
      <c r="L385">
        <v>0</v>
      </c>
      <c r="M385">
        <v>0</v>
      </c>
      <c r="N385">
        <v>0</v>
      </c>
      <c r="R385">
        <v>0</v>
      </c>
      <c r="S385">
        <v>0</v>
      </c>
      <c r="W385" t="s">
        <v>1060</v>
      </c>
      <c r="X385">
        <v>0</v>
      </c>
      <c r="Z385">
        <v>1</v>
      </c>
      <c r="AA385">
        <v>0</v>
      </c>
      <c r="AB385">
        <v>0</v>
      </c>
      <c r="AC385">
        <v>0</v>
      </c>
      <c r="AD385" s="20">
        <v>40799</v>
      </c>
      <c r="AE385">
        <v>3.6</v>
      </c>
      <c r="AF385">
        <v>0</v>
      </c>
      <c r="AH385">
        <v>0</v>
      </c>
      <c r="AJ385">
        <v>0</v>
      </c>
      <c r="AL385">
        <v>0</v>
      </c>
      <c r="AM385">
        <v>0</v>
      </c>
      <c r="AN385">
        <v>16601001</v>
      </c>
      <c r="AO385">
        <v>0</v>
      </c>
      <c r="AP385">
        <v>1003</v>
      </c>
      <c r="AT385">
        <v>0</v>
      </c>
      <c r="AU385" t="s">
        <v>1059</v>
      </c>
      <c r="AW385" t="s">
        <v>1053</v>
      </c>
      <c r="AX385">
        <v>0</v>
      </c>
      <c r="AY385" s="20">
        <v>40799</v>
      </c>
      <c r="BA385" s="20">
        <v>40799</v>
      </c>
      <c r="BB385" t="s">
        <v>1058</v>
      </c>
      <c r="BD385">
        <v>0</v>
      </c>
      <c r="BF385" t="s">
        <v>1043</v>
      </c>
      <c r="BG385" t="s">
        <v>1042</v>
      </c>
      <c r="BH385">
        <v>0</v>
      </c>
      <c r="BI385">
        <v>1</v>
      </c>
      <c r="BJ385">
        <v>0</v>
      </c>
      <c r="BK385">
        <v>0</v>
      </c>
      <c r="BM385" t="s">
        <v>1042</v>
      </c>
      <c r="BN385">
        <v>0</v>
      </c>
      <c r="BR385" t="s">
        <v>1043</v>
      </c>
      <c r="BS385" t="s">
        <v>1043</v>
      </c>
      <c r="BT385" t="s">
        <v>1043</v>
      </c>
      <c r="BW385">
        <v>83</v>
      </c>
      <c r="CA385">
        <v>0</v>
      </c>
      <c r="CB385" t="s">
        <v>1057</v>
      </c>
      <c r="CE385" t="s">
        <v>1043</v>
      </c>
      <c r="CH385" t="s">
        <v>1043</v>
      </c>
      <c r="CN385" t="s">
        <v>1056</v>
      </c>
      <c r="CO385" t="s">
        <v>1043</v>
      </c>
      <c r="CP385">
        <v>1</v>
      </c>
      <c r="CQ385">
        <v>0</v>
      </c>
      <c r="CS385">
        <v>0</v>
      </c>
      <c r="CT385">
        <v>0</v>
      </c>
      <c r="CU385">
        <v>0</v>
      </c>
      <c r="CV385" t="s">
        <v>1045</v>
      </c>
      <c r="CW385">
        <v>0</v>
      </c>
      <c r="CX385">
        <v>0</v>
      </c>
      <c r="CY385">
        <v>0</v>
      </c>
      <c r="CZ385">
        <v>0</v>
      </c>
      <c r="DB385">
        <v>0</v>
      </c>
      <c r="DC385" t="s">
        <v>1043</v>
      </c>
      <c r="DF385" t="s">
        <v>1055</v>
      </c>
      <c r="DH385">
        <v>0</v>
      </c>
      <c r="DJ385">
        <v>0</v>
      </c>
      <c r="DK385" t="s">
        <v>1053</v>
      </c>
      <c r="DL385">
        <v>0</v>
      </c>
      <c r="DN385">
        <v>0</v>
      </c>
      <c r="DO385" t="s">
        <v>1042</v>
      </c>
      <c r="DP385">
        <v>0</v>
      </c>
      <c r="DQ385">
        <v>0</v>
      </c>
      <c r="DS385">
        <v>0</v>
      </c>
      <c r="DU385">
        <v>0</v>
      </c>
      <c r="DW385">
        <v>0</v>
      </c>
      <c r="DX385" t="s">
        <v>1043</v>
      </c>
      <c r="DY385">
        <v>0</v>
      </c>
      <c r="DZ385">
        <v>0</v>
      </c>
      <c r="EA385">
        <v>0</v>
      </c>
      <c r="ED385" t="s">
        <v>1045</v>
      </c>
      <c r="EE385">
        <v>0</v>
      </c>
      <c r="EF385">
        <v>0</v>
      </c>
      <c r="EQ385" t="s">
        <v>1044</v>
      </c>
      <c r="ES385" t="s">
        <v>1053</v>
      </c>
      <c r="ET385">
        <v>0</v>
      </c>
      <c r="EV385">
        <v>0</v>
      </c>
      <c r="EY385" t="s">
        <v>1052</v>
      </c>
      <c r="EZ385">
        <v>0</v>
      </c>
      <c r="FA385" t="s">
        <v>1043</v>
      </c>
      <c r="FB385">
        <v>0</v>
      </c>
      <c r="FC385">
        <v>0</v>
      </c>
      <c r="FE385" t="s">
        <v>1050</v>
      </c>
      <c r="FF385">
        <v>0</v>
      </c>
      <c r="FG385" t="s">
        <v>1050</v>
      </c>
      <c r="FJ385">
        <v>0</v>
      </c>
      <c r="FK385">
        <v>0</v>
      </c>
      <c r="FP385">
        <v>0</v>
      </c>
      <c r="FR385">
        <v>0</v>
      </c>
      <c r="FS385" t="s">
        <v>1043</v>
      </c>
      <c r="FX385" t="s">
        <v>1042</v>
      </c>
      <c r="FZ385" t="s">
        <v>1048</v>
      </c>
      <c r="GA385">
        <v>0</v>
      </c>
      <c r="GB385" t="s">
        <v>1042</v>
      </c>
      <c r="GE385">
        <v>0</v>
      </c>
      <c r="GG385">
        <v>0</v>
      </c>
      <c r="GN385">
        <v>0</v>
      </c>
      <c r="GO385" t="s">
        <v>1063</v>
      </c>
      <c r="GQ385">
        <v>0</v>
      </c>
      <c r="GU385">
        <v>0</v>
      </c>
      <c r="GY385" t="s">
        <v>1045</v>
      </c>
      <c r="HB385">
        <v>0</v>
      </c>
      <c r="HE385">
        <v>0</v>
      </c>
      <c r="HF385">
        <v>0</v>
      </c>
      <c r="HG385">
        <v>0</v>
      </c>
      <c r="HK385" t="s">
        <v>1042</v>
      </c>
      <c r="HM385" t="s">
        <v>1047</v>
      </c>
      <c r="HN385">
        <v>0</v>
      </c>
      <c r="HP385">
        <v>0</v>
      </c>
      <c r="HQ385">
        <v>0</v>
      </c>
      <c r="HR385" t="s">
        <v>1042</v>
      </c>
      <c r="HS385" t="s">
        <v>1043</v>
      </c>
      <c r="HT385">
        <v>0</v>
      </c>
      <c r="HU385">
        <v>0</v>
      </c>
      <c r="HW385">
        <v>0</v>
      </c>
      <c r="HX385">
        <v>0</v>
      </c>
      <c r="HY385">
        <v>0</v>
      </c>
      <c r="HZ385" t="s">
        <v>1045</v>
      </c>
      <c r="IA385">
        <v>0</v>
      </c>
      <c r="IB385" t="s">
        <v>1045</v>
      </c>
      <c r="ID385" t="s">
        <v>1045</v>
      </c>
      <c r="IF385">
        <v>0</v>
      </c>
      <c r="IG385" t="s">
        <v>1042</v>
      </c>
      <c r="II385" t="s">
        <v>1042</v>
      </c>
      <c r="IR385" t="s">
        <v>1045</v>
      </c>
      <c r="IT385">
        <v>0</v>
      </c>
      <c r="IY385" t="s">
        <v>1044</v>
      </c>
      <c r="IZ385" t="s">
        <v>1043</v>
      </c>
      <c r="JC385" t="s">
        <v>1043</v>
      </c>
      <c r="JE385">
        <v>0</v>
      </c>
      <c r="JF385">
        <v>0</v>
      </c>
      <c r="JI385" t="s">
        <v>1042</v>
      </c>
      <c r="JJ385">
        <v>0</v>
      </c>
      <c r="JK385">
        <v>0</v>
      </c>
      <c r="JL385">
        <v>0</v>
      </c>
      <c r="JM385">
        <v>0</v>
      </c>
      <c r="JQ385" t="s">
        <v>1043</v>
      </c>
      <c r="JT385">
        <v>0</v>
      </c>
      <c r="JU385" t="s">
        <v>1042</v>
      </c>
      <c r="JW385">
        <v>0</v>
      </c>
      <c r="KA385">
        <v>0</v>
      </c>
      <c r="KF385">
        <v>0</v>
      </c>
      <c r="KG385">
        <v>0</v>
      </c>
      <c r="KH385">
        <v>0</v>
      </c>
      <c r="KI385">
        <v>0</v>
      </c>
      <c r="KS385" t="s">
        <v>1073</v>
      </c>
      <c r="KT385">
        <v>0</v>
      </c>
      <c r="KU385">
        <v>0</v>
      </c>
      <c r="KV385">
        <v>0</v>
      </c>
      <c r="KX385">
        <v>0</v>
      </c>
      <c r="KZ385">
        <v>0</v>
      </c>
      <c r="LF385">
        <v>0</v>
      </c>
      <c r="LH385">
        <v>0</v>
      </c>
      <c r="LI385">
        <v>0</v>
      </c>
    </row>
    <row r="386" spans="1:321" x14ac:dyDescent="0.35">
      <c r="A386">
        <v>1</v>
      </c>
      <c r="B386">
        <v>1260</v>
      </c>
      <c r="C386" t="s">
        <v>646</v>
      </c>
      <c r="D386" t="s">
        <v>1061</v>
      </c>
      <c r="E386" t="s">
        <v>85</v>
      </c>
      <c r="F386">
        <v>1</v>
      </c>
      <c r="G386">
        <v>240</v>
      </c>
      <c r="H386">
        <v>0</v>
      </c>
      <c r="I386" t="s">
        <v>994</v>
      </c>
      <c r="L386">
        <v>0</v>
      </c>
      <c r="M386">
        <v>0</v>
      </c>
      <c r="N386">
        <v>0</v>
      </c>
      <c r="P386">
        <v>13</v>
      </c>
      <c r="Q386">
        <v>516</v>
      </c>
      <c r="R386">
        <v>0</v>
      </c>
      <c r="S386">
        <v>0</v>
      </c>
      <c r="W386" t="s">
        <v>1060</v>
      </c>
      <c r="X386">
        <v>0</v>
      </c>
      <c r="Z386">
        <v>12</v>
      </c>
      <c r="AA386">
        <v>18.3764</v>
      </c>
      <c r="AB386">
        <v>1848</v>
      </c>
      <c r="AC386">
        <v>2.1366999999999998</v>
      </c>
      <c r="AD386" t="s">
        <v>1042</v>
      </c>
      <c r="AE386">
        <v>0</v>
      </c>
      <c r="AF386">
        <v>4.53E-2</v>
      </c>
      <c r="AH386">
        <v>68</v>
      </c>
      <c r="AJ386">
        <v>0</v>
      </c>
      <c r="AL386">
        <v>10500</v>
      </c>
      <c r="AM386">
        <v>1440</v>
      </c>
      <c r="AN386">
        <v>11501001</v>
      </c>
      <c r="AO386">
        <v>0</v>
      </c>
      <c r="AP386">
        <v>1002</v>
      </c>
      <c r="AT386">
        <v>0</v>
      </c>
      <c r="AU386" t="s">
        <v>1059</v>
      </c>
      <c r="AW386" t="s">
        <v>1053</v>
      </c>
      <c r="AX386">
        <v>5</v>
      </c>
      <c r="AY386" s="20">
        <v>43274</v>
      </c>
      <c r="BA386" s="20">
        <v>44217</v>
      </c>
      <c r="BB386" t="s">
        <v>1058</v>
      </c>
      <c r="BD386">
        <v>0</v>
      </c>
      <c r="BF386" t="s">
        <v>1044</v>
      </c>
      <c r="BG386" s="20">
        <v>40578</v>
      </c>
      <c r="BH386">
        <v>0</v>
      </c>
      <c r="BI386">
        <v>21</v>
      </c>
      <c r="BJ386">
        <v>0</v>
      </c>
      <c r="BK386">
        <v>0</v>
      </c>
      <c r="BM386" s="20">
        <v>40582</v>
      </c>
      <c r="BN386">
        <v>0</v>
      </c>
      <c r="BO386">
        <v>7897801310468</v>
      </c>
      <c r="BR386" t="s">
        <v>1043</v>
      </c>
      <c r="BS386" t="s">
        <v>1043</v>
      </c>
      <c r="BT386" t="s">
        <v>1043</v>
      </c>
      <c r="BV386">
        <v>1</v>
      </c>
      <c r="BW386">
        <v>2</v>
      </c>
      <c r="BY386">
        <v>69</v>
      </c>
      <c r="CA386">
        <v>0</v>
      </c>
      <c r="CB386" t="s">
        <v>1057</v>
      </c>
      <c r="CE386" t="s">
        <v>1043</v>
      </c>
      <c r="CH386" t="s">
        <v>1043</v>
      </c>
      <c r="CN386" t="s">
        <v>1056</v>
      </c>
      <c r="CO386" t="s">
        <v>1043</v>
      </c>
      <c r="CP386">
        <v>1</v>
      </c>
      <c r="CQ386">
        <v>200</v>
      </c>
      <c r="CS386">
        <v>0</v>
      </c>
      <c r="CT386">
        <v>0</v>
      </c>
      <c r="CU386">
        <v>0</v>
      </c>
      <c r="CV386" t="s">
        <v>1045</v>
      </c>
      <c r="CW386">
        <v>0</v>
      </c>
      <c r="CX386">
        <v>0</v>
      </c>
      <c r="CY386">
        <v>0</v>
      </c>
      <c r="CZ386">
        <v>0</v>
      </c>
      <c r="DA386">
        <v>8</v>
      </c>
      <c r="DB386">
        <v>8000</v>
      </c>
      <c r="DC386" t="s">
        <v>1043</v>
      </c>
      <c r="DF386" t="s">
        <v>1055</v>
      </c>
      <c r="DH386">
        <v>0</v>
      </c>
      <c r="DJ386">
        <v>0</v>
      </c>
      <c r="DK386" t="s">
        <v>1053</v>
      </c>
      <c r="DL386">
        <v>0</v>
      </c>
      <c r="DN386">
        <v>0</v>
      </c>
      <c r="DO386" t="s">
        <v>1042</v>
      </c>
      <c r="DP386">
        <v>0</v>
      </c>
      <c r="DQ386">
        <v>7.6</v>
      </c>
      <c r="DS386">
        <v>0</v>
      </c>
      <c r="DU386">
        <v>1.65</v>
      </c>
      <c r="DW386">
        <v>0</v>
      </c>
      <c r="DX386" t="s">
        <v>1043</v>
      </c>
      <c r="DY386">
        <v>0</v>
      </c>
      <c r="DZ386">
        <v>0</v>
      </c>
      <c r="EA386">
        <v>0</v>
      </c>
      <c r="EB386">
        <v>17897801310465</v>
      </c>
      <c r="ED386" t="s">
        <v>1045</v>
      </c>
      <c r="EE386">
        <v>0</v>
      </c>
      <c r="EF386">
        <v>0</v>
      </c>
      <c r="EK386" t="s">
        <v>1054</v>
      </c>
      <c r="EL386">
        <v>57897801310463</v>
      </c>
      <c r="EN386" t="s">
        <v>1012</v>
      </c>
      <c r="EQ386" t="s">
        <v>1044</v>
      </c>
      <c r="ES386" t="s">
        <v>1053</v>
      </c>
      <c r="ET386">
        <v>0</v>
      </c>
      <c r="EV386">
        <v>0</v>
      </c>
      <c r="EY386" t="s">
        <v>1052</v>
      </c>
      <c r="EZ386">
        <v>0</v>
      </c>
      <c r="FA386" t="s">
        <v>1043</v>
      </c>
      <c r="FB386">
        <v>0</v>
      </c>
      <c r="FC386">
        <v>0</v>
      </c>
      <c r="FD386" t="s">
        <v>1051</v>
      </c>
      <c r="FE386" t="s">
        <v>1050</v>
      </c>
      <c r="FF386">
        <v>120</v>
      </c>
      <c r="FG386" t="s">
        <v>1050</v>
      </c>
      <c r="FH386">
        <v>27897801310462</v>
      </c>
      <c r="FJ386">
        <v>0</v>
      </c>
      <c r="FK386">
        <v>0</v>
      </c>
      <c r="FP386">
        <v>0</v>
      </c>
      <c r="FR386">
        <v>0</v>
      </c>
      <c r="FS386" t="s">
        <v>1043</v>
      </c>
      <c r="FX386" t="s">
        <v>1042</v>
      </c>
      <c r="FZ386" t="s">
        <v>1048</v>
      </c>
      <c r="GA386">
        <v>0</v>
      </c>
      <c r="GB386" t="s">
        <v>1042</v>
      </c>
      <c r="GD386">
        <v>16</v>
      </c>
      <c r="GE386">
        <v>0</v>
      </c>
      <c r="GG386">
        <v>0</v>
      </c>
      <c r="GN386">
        <v>0</v>
      </c>
      <c r="GO386" t="s">
        <v>1049</v>
      </c>
      <c r="GQ386">
        <v>0</v>
      </c>
      <c r="GU386">
        <v>0</v>
      </c>
      <c r="GY386" t="s">
        <v>1045</v>
      </c>
      <c r="HB386">
        <v>0</v>
      </c>
      <c r="HE386">
        <v>10</v>
      </c>
      <c r="HF386">
        <v>15</v>
      </c>
      <c r="HG386">
        <v>7.0400000000000003E-3</v>
      </c>
      <c r="HK386" t="s">
        <v>1042</v>
      </c>
      <c r="HL386" t="s">
        <v>1048</v>
      </c>
      <c r="HM386" t="s">
        <v>1047</v>
      </c>
      <c r="HN386">
        <v>0</v>
      </c>
      <c r="HO386">
        <v>25</v>
      </c>
      <c r="HP386">
        <v>4.7E-2</v>
      </c>
      <c r="HQ386">
        <v>0</v>
      </c>
      <c r="HR386" t="s">
        <v>1042</v>
      </c>
      <c r="HS386" t="s">
        <v>1043</v>
      </c>
      <c r="HT386">
        <v>0</v>
      </c>
      <c r="HU386">
        <v>0</v>
      </c>
      <c r="HW386">
        <v>0</v>
      </c>
      <c r="HX386">
        <v>4516</v>
      </c>
      <c r="HY386">
        <v>0</v>
      </c>
      <c r="HZ386" t="s">
        <v>1045</v>
      </c>
      <c r="IA386">
        <v>0</v>
      </c>
      <c r="IB386" t="s">
        <v>1045</v>
      </c>
      <c r="ID386" t="s">
        <v>1045</v>
      </c>
      <c r="IF386">
        <v>3000</v>
      </c>
      <c r="IG386" s="20">
        <v>40578</v>
      </c>
      <c r="II386" t="s">
        <v>1042</v>
      </c>
      <c r="IR386" t="s">
        <v>1045</v>
      </c>
      <c r="IT386">
        <v>0</v>
      </c>
      <c r="IY386" t="s">
        <v>1044</v>
      </c>
      <c r="IZ386" t="s">
        <v>1043</v>
      </c>
      <c r="JC386" t="s">
        <v>1043</v>
      </c>
      <c r="JE386">
        <v>0</v>
      </c>
      <c r="JF386">
        <v>0</v>
      </c>
      <c r="JI386" t="s">
        <v>1042</v>
      </c>
      <c r="JJ386">
        <v>0</v>
      </c>
      <c r="JK386">
        <v>0</v>
      </c>
      <c r="JL386">
        <v>0</v>
      </c>
      <c r="JM386">
        <v>0</v>
      </c>
      <c r="JQ386" t="s">
        <v>1043</v>
      </c>
      <c r="JT386">
        <v>0</v>
      </c>
      <c r="JU386" t="s">
        <v>1042</v>
      </c>
      <c r="JW386">
        <v>0</v>
      </c>
      <c r="KA386">
        <v>0</v>
      </c>
      <c r="KF386">
        <v>0</v>
      </c>
      <c r="KG386">
        <v>0</v>
      </c>
      <c r="KH386">
        <v>0</v>
      </c>
      <c r="KI386">
        <v>0</v>
      </c>
      <c r="KS386" t="s">
        <v>1041</v>
      </c>
      <c r="KT386">
        <v>0</v>
      </c>
      <c r="KU386">
        <v>0</v>
      </c>
      <c r="KV386">
        <v>0</v>
      </c>
      <c r="KX386">
        <v>0</v>
      </c>
      <c r="KZ386">
        <v>0</v>
      </c>
      <c r="LF386">
        <v>0</v>
      </c>
      <c r="LH386">
        <v>60480</v>
      </c>
      <c r="LI386">
        <v>0</v>
      </c>
    </row>
    <row r="387" spans="1:321" x14ac:dyDescent="0.35">
      <c r="A387">
        <v>1</v>
      </c>
      <c r="B387">
        <v>12600</v>
      </c>
      <c r="C387" t="s">
        <v>1298</v>
      </c>
      <c r="D387" t="s">
        <v>1133</v>
      </c>
      <c r="E387" t="s">
        <v>1085</v>
      </c>
      <c r="F387">
        <v>80</v>
      </c>
      <c r="G387">
        <v>9000</v>
      </c>
      <c r="H387">
        <v>0</v>
      </c>
      <c r="I387" t="s">
        <v>1050</v>
      </c>
      <c r="L387">
        <v>0</v>
      </c>
      <c r="M387">
        <v>0</v>
      </c>
      <c r="N387">
        <v>0</v>
      </c>
      <c r="R387">
        <v>0</v>
      </c>
      <c r="S387">
        <v>0</v>
      </c>
      <c r="W387" t="s">
        <v>1060</v>
      </c>
      <c r="X387">
        <v>0</v>
      </c>
      <c r="Z387">
        <v>1</v>
      </c>
      <c r="AA387">
        <v>0</v>
      </c>
      <c r="AB387">
        <v>0</v>
      </c>
      <c r="AC387">
        <v>0</v>
      </c>
      <c r="AD387" s="20">
        <v>40799</v>
      </c>
      <c r="AE387">
        <v>3.6</v>
      </c>
      <c r="AF387">
        <v>0</v>
      </c>
      <c r="AH387">
        <v>0</v>
      </c>
      <c r="AJ387">
        <v>0</v>
      </c>
      <c r="AL387">
        <v>0</v>
      </c>
      <c r="AM387">
        <v>0</v>
      </c>
      <c r="AN387">
        <v>16601001</v>
      </c>
      <c r="AO387">
        <v>0</v>
      </c>
      <c r="AP387">
        <v>1003</v>
      </c>
      <c r="AT387">
        <v>0</v>
      </c>
      <c r="AU387" t="s">
        <v>1059</v>
      </c>
      <c r="AW387" t="s">
        <v>1053</v>
      </c>
      <c r="AX387">
        <v>0</v>
      </c>
      <c r="AY387" s="20">
        <v>40799</v>
      </c>
      <c r="BA387" s="20">
        <v>40799</v>
      </c>
      <c r="BB387" t="s">
        <v>1058</v>
      </c>
      <c r="BD387">
        <v>0</v>
      </c>
      <c r="BF387" t="s">
        <v>1043</v>
      </c>
      <c r="BG387" t="s">
        <v>1042</v>
      </c>
      <c r="BH387">
        <v>0</v>
      </c>
      <c r="BI387">
        <v>1</v>
      </c>
      <c r="BJ387">
        <v>0</v>
      </c>
      <c r="BK387">
        <v>0</v>
      </c>
      <c r="BM387" t="s">
        <v>1042</v>
      </c>
      <c r="BN387">
        <v>0</v>
      </c>
      <c r="BR387" t="s">
        <v>1043</v>
      </c>
      <c r="BS387" t="s">
        <v>1043</v>
      </c>
      <c r="BT387" t="s">
        <v>1043</v>
      </c>
      <c r="BW387">
        <v>83</v>
      </c>
      <c r="CA387">
        <v>0</v>
      </c>
      <c r="CB387" t="s">
        <v>1057</v>
      </c>
      <c r="CE387" t="s">
        <v>1043</v>
      </c>
      <c r="CH387" t="s">
        <v>1043</v>
      </c>
      <c r="CN387" t="s">
        <v>1056</v>
      </c>
      <c r="CO387" t="s">
        <v>1043</v>
      </c>
      <c r="CP387">
        <v>1</v>
      </c>
      <c r="CQ387">
        <v>0</v>
      </c>
      <c r="CS387">
        <v>0</v>
      </c>
      <c r="CT387">
        <v>0</v>
      </c>
      <c r="CU387">
        <v>0</v>
      </c>
      <c r="CV387" t="s">
        <v>1045</v>
      </c>
      <c r="CW387">
        <v>0</v>
      </c>
      <c r="CX387">
        <v>0</v>
      </c>
      <c r="CY387">
        <v>0</v>
      </c>
      <c r="CZ387">
        <v>0</v>
      </c>
      <c r="DB387">
        <v>0</v>
      </c>
      <c r="DC387" t="s">
        <v>1043</v>
      </c>
      <c r="DF387" t="s">
        <v>1055</v>
      </c>
      <c r="DH387">
        <v>0</v>
      </c>
      <c r="DJ387">
        <v>0</v>
      </c>
      <c r="DK387" t="s">
        <v>1053</v>
      </c>
      <c r="DL387">
        <v>0</v>
      </c>
      <c r="DN387">
        <v>0</v>
      </c>
      <c r="DO387" t="s">
        <v>1042</v>
      </c>
      <c r="DP387">
        <v>0</v>
      </c>
      <c r="DQ387">
        <v>0</v>
      </c>
      <c r="DS387">
        <v>0</v>
      </c>
      <c r="DU387">
        <v>0</v>
      </c>
      <c r="DW387">
        <v>0</v>
      </c>
      <c r="DX387" t="s">
        <v>1043</v>
      </c>
      <c r="DY387">
        <v>0</v>
      </c>
      <c r="DZ387">
        <v>0</v>
      </c>
      <c r="EA387">
        <v>0</v>
      </c>
      <c r="ED387" t="s">
        <v>1045</v>
      </c>
      <c r="EE387">
        <v>0</v>
      </c>
      <c r="EF387">
        <v>0</v>
      </c>
      <c r="EQ387" t="s">
        <v>1044</v>
      </c>
      <c r="ES387" t="s">
        <v>1053</v>
      </c>
      <c r="ET387">
        <v>0</v>
      </c>
      <c r="EV387">
        <v>0</v>
      </c>
      <c r="EY387" t="s">
        <v>1052</v>
      </c>
      <c r="EZ387">
        <v>0</v>
      </c>
      <c r="FA387" t="s">
        <v>1043</v>
      </c>
      <c r="FB387">
        <v>0</v>
      </c>
      <c r="FC387">
        <v>0</v>
      </c>
      <c r="FE387" t="s">
        <v>1050</v>
      </c>
      <c r="FF387">
        <v>0</v>
      </c>
      <c r="FG387" t="s">
        <v>1050</v>
      </c>
      <c r="FJ387">
        <v>0</v>
      </c>
      <c r="FK387">
        <v>0</v>
      </c>
      <c r="FP387">
        <v>0</v>
      </c>
      <c r="FR387">
        <v>0</v>
      </c>
      <c r="FS387" t="s">
        <v>1043</v>
      </c>
      <c r="FX387" t="s">
        <v>1042</v>
      </c>
      <c r="FZ387" t="s">
        <v>1048</v>
      </c>
      <c r="GA387">
        <v>0</v>
      </c>
      <c r="GB387" t="s">
        <v>1042</v>
      </c>
      <c r="GE387">
        <v>0</v>
      </c>
      <c r="GG387">
        <v>0</v>
      </c>
      <c r="GN387">
        <v>0</v>
      </c>
      <c r="GO387" t="s">
        <v>1063</v>
      </c>
      <c r="GQ387">
        <v>0</v>
      </c>
      <c r="GU387">
        <v>0</v>
      </c>
      <c r="GY387" t="s">
        <v>1045</v>
      </c>
      <c r="HB387">
        <v>0</v>
      </c>
      <c r="HE387">
        <v>0</v>
      </c>
      <c r="HF387">
        <v>0</v>
      </c>
      <c r="HG387">
        <v>0</v>
      </c>
      <c r="HK387" t="s">
        <v>1042</v>
      </c>
      <c r="HM387" t="s">
        <v>1047</v>
      </c>
      <c r="HN387">
        <v>0</v>
      </c>
      <c r="HP387">
        <v>0</v>
      </c>
      <c r="HQ387">
        <v>0</v>
      </c>
      <c r="HR387" t="s">
        <v>1042</v>
      </c>
      <c r="HS387" t="s">
        <v>1043</v>
      </c>
      <c r="HT387">
        <v>0</v>
      </c>
      <c r="HU387">
        <v>0</v>
      </c>
      <c r="HW387">
        <v>0</v>
      </c>
      <c r="HX387">
        <v>0</v>
      </c>
      <c r="HY387">
        <v>0</v>
      </c>
      <c r="HZ387" t="s">
        <v>1045</v>
      </c>
      <c r="IA387">
        <v>0</v>
      </c>
      <c r="IB387" t="s">
        <v>1045</v>
      </c>
      <c r="ID387" t="s">
        <v>1045</v>
      </c>
      <c r="IF387">
        <v>0</v>
      </c>
      <c r="IG387" t="s">
        <v>1042</v>
      </c>
      <c r="II387" t="s">
        <v>1042</v>
      </c>
      <c r="IR387" t="s">
        <v>1045</v>
      </c>
      <c r="IT387">
        <v>0</v>
      </c>
      <c r="IY387" t="s">
        <v>1044</v>
      </c>
      <c r="IZ387" t="s">
        <v>1043</v>
      </c>
      <c r="JC387" t="s">
        <v>1043</v>
      </c>
      <c r="JE387">
        <v>0</v>
      </c>
      <c r="JF387">
        <v>0</v>
      </c>
      <c r="JI387" t="s">
        <v>1042</v>
      </c>
      <c r="JJ387">
        <v>0</v>
      </c>
      <c r="JK387">
        <v>0</v>
      </c>
      <c r="JL387">
        <v>0</v>
      </c>
      <c r="JM387">
        <v>0</v>
      </c>
      <c r="JQ387" t="s">
        <v>1043</v>
      </c>
      <c r="JT387">
        <v>0</v>
      </c>
      <c r="JU387" t="s">
        <v>1042</v>
      </c>
      <c r="JW387">
        <v>0</v>
      </c>
      <c r="KA387">
        <v>0</v>
      </c>
      <c r="KF387">
        <v>0</v>
      </c>
      <c r="KG387">
        <v>0</v>
      </c>
      <c r="KH387">
        <v>0</v>
      </c>
      <c r="KI387">
        <v>0</v>
      </c>
      <c r="KS387" t="s">
        <v>1073</v>
      </c>
      <c r="KT387">
        <v>0</v>
      </c>
      <c r="KU387">
        <v>0</v>
      </c>
      <c r="KV387">
        <v>0</v>
      </c>
      <c r="KX387">
        <v>0</v>
      </c>
      <c r="KZ387">
        <v>0</v>
      </c>
      <c r="LF387">
        <v>0</v>
      </c>
      <c r="LH387">
        <v>0</v>
      </c>
      <c r="LI387">
        <v>0</v>
      </c>
    </row>
    <row r="388" spans="1:321" x14ac:dyDescent="0.35">
      <c r="A388">
        <v>1</v>
      </c>
      <c r="B388">
        <v>12601</v>
      </c>
      <c r="C388" t="s">
        <v>1297</v>
      </c>
      <c r="D388" t="s">
        <v>1133</v>
      </c>
      <c r="E388" t="s">
        <v>1085</v>
      </c>
      <c r="F388">
        <v>80</v>
      </c>
      <c r="G388">
        <v>9000</v>
      </c>
      <c r="H388">
        <v>0</v>
      </c>
      <c r="I388" t="s">
        <v>1050</v>
      </c>
      <c r="L388">
        <v>0</v>
      </c>
      <c r="M388">
        <v>0</v>
      </c>
      <c r="N388">
        <v>0</v>
      </c>
      <c r="R388">
        <v>0</v>
      </c>
      <c r="S388">
        <v>0</v>
      </c>
      <c r="W388" t="s">
        <v>1060</v>
      </c>
      <c r="X388">
        <v>0</v>
      </c>
      <c r="Z388">
        <v>1</v>
      </c>
      <c r="AA388">
        <v>0</v>
      </c>
      <c r="AB388">
        <v>0</v>
      </c>
      <c r="AC388">
        <v>0</v>
      </c>
      <c r="AD388" s="20">
        <v>40799</v>
      </c>
      <c r="AE388">
        <v>3.6</v>
      </c>
      <c r="AF388">
        <v>0</v>
      </c>
      <c r="AH388">
        <v>0</v>
      </c>
      <c r="AJ388">
        <v>0</v>
      </c>
      <c r="AL388">
        <v>0</v>
      </c>
      <c r="AM388">
        <v>0</v>
      </c>
      <c r="AN388">
        <v>16601001</v>
      </c>
      <c r="AO388">
        <v>0</v>
      </c>
      <c r="AP388">
        <v>1003</v>
      </c>
      <c r="AT388">
        <v>0</v>
      </c>
      <c r="AU388" t="s">
        <v>1059</v>
      </c>
      <c r="AW388" t="s">
        <v>1053</v>
      </c>
      <c r="AX388">
        <v>0</v>
      </c>
      <c r="AY388" s="20">
        <v>40799</v>
      </c>
      <c r="BA388" s="20">
        <v>40799</v>
      </c>
      <c r="BB388" t="s">
        <v>1058</v>
      </c>
      <c r="BD388">
        <v>0</v>
      </c>
      <c r="BF388" t="s">
        <v>1043</v>
      </c>
      <c r="BG388" t="s">
        <v>1042</v>
      </c>
      <c r="BH388">
        <v>0</v>
      </c>
      <c r="BI388">
        <v>1</v>
      </c>
      <c r="BJ388">
        <v>0</v>
      </c>
      <c r="BK388">
        <v>0</v>
      </c>
      <c r="BM388" t="s">
        <v>1042</v>
      </c>
      <c r="BN388">
        <v>0</v>
      </c>
      <c r="BR388" t="s">
        <v>1043</v>
      </c>
      <c r="BS388" t="s">
        <v>1043</v>
      </c>
      <c r="BT388" t="s">
        <v>1043</v>
      </c>
      <c r="BW388">
        <v>83</v>
      </c>
      <c r="CA388">
        <v>0</v>
      </c>
      <c r="CB388" t="s">
        <v>1057</v>
      </c>
      <c r="CE388" t="s">
        <v>1043</v>
      </c>
      <c r="CH388" t="s">
        <v>1043</v>
      </c>
      <c r="CN388" t="s">
        <v>1056</v>
      </c>
      <c r="CO388" t="s">
        <v>1043</v>
      </c>
      <c r="CP388">
        <v>1</v>
      </c>
      <c r="CQ388">
        <v>0</v>
      </c>
      <c r="CS388">
        <v>0</v>
      </c>
      <c r="CT388">
        <v>0</v>
      </c>
      <c r="CU388">
        <v>0</v>
      </c>
      <c r="CV388" t="s">
        <v>1045</v>
      </c>
      <c r="CW388">
        <v>0</v>
      </c>
      <c r="CX388">
        <v>0</v>
      </c>
      <c r="CY388">
        <v>0</v>
      </c>
      <c r="CZ388">
        <v>0</v>
      </c>
      <c r="DB388">
        <v>0</v>
      </c>
      <c r="DC388" t="s">
        <v>1043</v>
      </c>
      <c r="DF388" t="s">
        <v>1055</v>
      </c>
      <c r="DH388">
        <v>0</v>
      </c>
      <c r="DJ388">
        <v>0</v>
      </c>
      <c r="DK388" t="s">
        <v>1053</v>
      </c>
      <c r="DL388">
        <v>0</v>
      </c>
      <c r="DN388">
        <v>0</v>
      </c>
      <c r="DO388" t="s">
        <v>1042</v>
      </c>
      <c r="DP388">
        <v>0</v>
      </c>
      <c r="DQ388">
        <v>0</v>
      </c>
      <c r="DS388">
        <v>0</v>
      </c>
      <c r="DU388">
        <v>0</v>
      </c>
      <c r="DW388">
        <v>0</v>
      </c>
      <c r="DX388" t="s">
        <v>1043</v>
      </c>
      <c r="DY388">
        <v>0</v>
      </c>
      <c r="DZ388">
        <v>0</v>
      </c>
      <c r="EA388">
        <v>0</v>
      </c>
      <c r="ED388" t="s">
        <v>1045</v>
      </c>
      <c r="EE388">
        <v>0</v>
      </c>
      <c r="EF388">
        <v>0</v>
      </c>
      <c r="EQ388" t="s">
        <v>1044</v>
      </c>
      <c r="ES388" t="s">
        <v>1053</v>
      </c>
      <c r="ET388">
        <v>0</v>
      </c>
      <c r="EV388">
        <v>0</v>
      </c>
      <c r="EY388" t="s">
        <v>1052</v>
      </c>
      <c r="EZ388">
        <v>0</v>
      </c>
      <c r="FA388" t="s">
        <v>1043</v>
      </c>
      <c r="FB388">
        <v>0</v>
      </c>
      <c r="FC388">
        <v>0</v>
      </c>
      <c r="FE388" t="s">
        <v>1050</v>
      </c>
      <c r="FF388">
        <v>0</v>
      </c>
      <c r="FG388" t="s">
        <v>1050</v>
      </c>
      <c r="FJ388">
        <v>0</v>
      </c>
      <c r="FK388">
        <v>0</v>
      </c>
      <c r="FP388">
        <v>0</v>
      </c>
      <c r="FR388">
        <v>0</v>
      </c>
      <c r="FS388" t="s">
        <v>1043</v>
      </c>
      <c r="FX388" t="s">
        <v>1042</v>
      </c>
      <c r="FZ388" t="s">
        <v>1048</v>
      </c>
      <c r="GA388">
        <v>0</v>
      </c>
      <c r="GB388" t="s">
        <v>1042</v>
      </c>
      <c r="GE388">
        <v>0</v>
      </c>
      <c r="GG388">
        <v>0</v>
      </c>
      <c r="GN388">
        <v>0</v>
      </c>
      <c r="GO388" t="s">
        <v>1063</v>
      </c>
      <c r="GQ388">
        <v>0</v>
      </c>
      <c r="GU388">
        <v>0</v>
      </c>
      <c r="GY388" t="s">
        <v>1045</v>
      </c>
      <c r="HB388">
        <v>0</v>
      </c>
      <c r="HE388">
        <v>0</v>
      </c>
      <c r="HF388">
        <v>0</v>
      </c>
      <c r="HG388">
        <v>0</v>
      </c>
      <c r="HK388" t="s">
        <v>1042</v>
      </c>
      <c r="HM388" t="s">
        <v>1047</v>
      </c>
      <c r="HN388">
        <v>0</v>
      </c>
      <c r="HP388">
        <v>0</v>
      </c>
      <c r="HQ388">
        <v>0</v>
      </c>
      <c r="HR388" t="s">
        <v>1042</v>
      </c>
      <c r="HS388" t="s">
        <v>1043</v>
      </c>
      <c r="HT388">
        <v>0</v>
      </c>
      <c r="HU388">
        <v>0</v>
      </c>
      <c r="HW388">
        <v>0</v>
      </c>
      <c r="HX388">
        <v>0</v>
      </c>
      <c r="HY388">
        <v>0</v>
      </c>
      <c r="HZ388" t="s">
        <v>1045</v>
      </c>
      <c r="IA388">
        <v>0</v>
      </c>
      <c r="IB388" t="s">
        <v>1045</v>
      </c>
      <c r="ID388" t="s">
        <v>1045</v>
      </c>
      <c r="IF388">
        <v>0</v>
      </c>
      <c r="IG388" t="s">
        <v>1042</v>
      </c>
      <c r="II388" t="s">
        <v>1042</v>
      </c>
      <c r="IR388" t="s">
        <v>1045</v>
      </c>
      <c r="IT388">
        <v>0</v>
      </c>
      <c r="IY388" t="s">
        <v>1044</v>
      </c>
      <c r="IZ388" t="s">
        <v>1043</v>
      </c>
      <c r="JC388" t="s">
        <v>1043</v>
      </c>
      <c r="JE388">
        <v>0</v>
      </c>
      <c r="JF388">
        <v>0</v>
      </c>
      <c r="JI388" t="s">
        <v>1042</v>
      </c>
      <c r="JJ388">
        <v>0</v>
      </c>
      <c r="JK388">
        <v>0</v>
      </c>
      <c r="JL388">
        <v>0</v>
      </c>
      <c r="JM388">
        <v>0</v>
      </c>
      <c r="JQ388" t="s">
        <v>1043</v>
      </c>
      <c r="JT388">
        <v>0</v>
      </c>
      <c r="JU388" t="s">
        <v>1042</v>
      </c>
      <c r="JW388">
        <v>0</v>
      </c>
      <c r="KA388">
        <v>0</v>
      </c>
      <c r="KF388">
        <v>0</v>
      </c>
      <c r="KG388">
        <v>0</v>
      </c>
      <c r="KH388">
        <v>0</v>
      </c>
      <c r="KI388">
        <v>0</v>
      </c>
      <c r="KS388" t="s">
        <v>1073</v>
      </c>
      <c r="KT388">
        <v>0</v>
      </c>
      <c r="KU388">
        <v>0</v>
      </c>
      <c r="KV388">
        <v>0</v>
      </c>
      <c r="KX388">
        <v>0</v>
      </c>
      <c r="KZ388">
        <v>0</v>
      </c>
      <c r="LF388">
        <v>0</v>
      </c>
      <c r="LH388">
        <v>0</v>
      </c>
      <c r="LI388">
        <v>0</v>
      </c>
    </row>
    <row r="389" spans="1:321" x14ac:dyDescent="0.35">
      <c r="A389">
        <v>1</v>
      </c>
      <c r="B389">
        <v>12602</v>
      </c>
      <c r="C389" t="s">
        <v>1296</v>
      </c>
      <c r="D389" t="s">
        <v>1133</v>
      </c>
      <c r="E389" t="s">
        <v>1085</v>
      </c>
      <c r="F389">
        <v>80</v>
      </c>
      <c r="G389">
        <v>9000</v>
      </c>
      <c r="H389">
        <v>0</v>
      </c>
      <c r="I389" t="s">
        <v>1295</v>
      </c>
      <c r="L389">
        <v>0</v>
      </c>
      <c r="M389">
        <v>0</v>
      </c>
      <c r="N389">
        <v>0</v>
      </c>
      <c r="R389">
        <v>0</v>
      </c>
      <c r="S389">
        <v>0</v>
      </c>
      <c r="W389" t="s">
        <v>1060</v>
      </c>
      <c r="X389">
        <v>0</v>
      </c>
      <c r="Z389">
        <v>1</v>
      </c>
      <c r="AA389">
        <v>0</v>
      </c>
      <c r="AB389">
        <v>0</v>
      </c>
      <c r="AC389">
        <v>3.0222000000000002</v>
      </c>
      <c r="AD389" s="20">
        <v>40865</v>
      </c>
      <c r="AE389">
        <v>3.6</v>
      </c>
      <c r="AF389">
        <v>0</v>
      </c>
      <c r="AH389">
        <v>0</v>
      </c>
      <c r="AJ389">
        <v>0</v>
      </c>
      <c r="AL389">
        <v>1</v>
      </c>
      <c r="AM389">
        <v>0</v>
      </c>
      <c r="AN389">
        <v>16601001</v>
      </c>
      <c r="AO389">
        <v>0</v>
      </c>
      <c r="AP389">
        <v>1003</v>
      </c>
      <c r="AT389">
        <v>0</v>
      </c>
      <c r="AU389" t="s">
        <v>1059</v>
      </c>
      <c r="AW389" t="s">
        <v>1053</v>
      </c>
      <c r="AX389">
        <v>0</v>
      </c>
      <c r="AY389" s="20">
        <v>40865</v>
      </c>
      <c r="BA389" s="20">
        <v>40799</v>
      </c>
      <c r="BB389" t="s">
        <v>1058</v>
      </c>
      <c r="BD389">
        <v>0</v>
      </c>
      <c r="BF389" t="s">
        <v>1043</v>
      </c>
      <c r="BG389" t="s">
        <v>1042</v>
      </c>
      <c r="BH389">
        <v>0</v>
      </c>
      <c r="BI389">
        <v>1</v>
      </c>
      <c r="BJ389">
        <v>0</v>
      </c>
      <c r="BK389">
        <v>0</v>
      </c>
      <c r="BM389" t="s">
        <v>1042</v>
      </c>
      <c r="BN389">
        <v>0</v>
      </c>
      <c r="BR389" t="s">
        <v>1043</v>
      </c>
      <c r="BS389" t="s">
        <v>1043</v>
      </c>
      <c r="BT389" t="s">
        <v>1043</v>
      </c>
      <c r="BW389">
        <v>83</v>
      </c>
      <c r="CA389">
        <v>0</v>
      </c>
      <c r="CB389" t="s">
        <v>1057</v>
      </c>
      <c r="CE389" t="s">
        <v>1043</v>
      </c>
      <c r="CH389" t="s">
        <v>1043</v>
      </c>
      <c r="CN389" t="s">
        <v>1056</v>
      </c>
      <c r="CO389" t="s">
        <v>1043</v>
      </c>
      <c r="CP389">
        <v>1</v>
      </c>
      <c r="CQ389">
        <v>0</v>
      </c>
      <c r="CS389">
        <v>0</v>
      </c>
      <c r="CT389">
        <v>0</v>
      </c>
      <c r="CU389">
        <v>0</v>
      </c>
      <c r="CV389" t="s">
        <v>1045</v>
      </c>
      <c r="CW389">
        <v>0</v>
      </c>
      <c r="CX389">
        <v>0</v>
      </c>
      <c r="CY389">
        <v>0</v>
      </c>
      <c r="CZ389">
        <v>0</v>
      </c>
      <c r="DB389">
        <v>0</v>
      </c>
      <c r="DC389" t="s">
        <v>1043</v>
      </c>
      <c r="DF389" t="s">
        <v>1055</v>
      </c>
      <c r="DH389">
        <v>0</v>
      </c>
      <c r="DJ389">
        <v>0</v>
      </c>
      <c r="DK389" t="s">
        <v>1053</v>
      </c>
      <c r="DL389">
        <v>0</v>
      </c>
      <c r="DN389">
        <v>0</v>
      </c>
      <c r="DO389" t="s">
        <v>1042</v>
      </c>
      <c r="DP389">
        <v>0</v>
      </c>
      <c r="DQ389">
        <v>0</v>
      </c>
      <c r="DS389">
        <v>0</v>
      </c>
      <c r="DU389">
        <v>0</v>
      </c>
      <c r="DW389">
        <v>0</v>
      </c>
      <c r="DX389" t="s">
        <v>1043</v>
      </c>
      <c r="DY389">
        <v>0</v>
      </c>
      <c r="DZ389">
        <v>0</v>
      </c>
      <c r="EA389">
        <v>0</v>
      </c>
      <c r="ED389" t="s">
        <v>1045</v>
      </c>
      <c r="EE389">
        <v>0</v>
      </c>
      <c r="EF389">
        <v>0</v>
      </c>
      <c r="EQ389" t="s">
        <v>1044</v>
      </c>
      <c r="ES389" t="s">
        <v>1053</v>
      </c>
      <c r="ET389">
        <v>0</v>
      </c>
      <c r="EV389">
        <v>0</v>
      </c>
      <c r="EY389" t="s">
        <v>1052</v>
      </c>
      <c r="EZ389">
        <v>0</v>
      </c>
      <c r="FA389" t="s">
        <v>1043</v>
      </c>
      <c r="FB389">
        <v>0</v>
      </c>
      <c r="FC389">
        <v>0</v>
      </c>
      <c r="FE389" t="s">
        <v>1050</v>
      </c>
      <c r="FF389">
        <v>0</v>
      </c>
      <c r="FG389" t="s">
        <v>1050</v>
      </c>
      <c r="FJ389">
        <v>0</v>
      </c>
      <c r="FK389">
        <v>0</v>
      </c>
      <c r="FP389">
        <v>0</v>
      </c>
      <c r="FR389">
        <v>0</v>
      </c>
      <c r="FS389" t="s">
        <v>1043</v>
      </c>
      <c r="FX389" t="s">
        <v>1042</v>
      </c>
      <c r="FZ389" t="s">
        <v>1048</v>
      </c>
      <c r="GA389">
        <v>0</v>
      </c>
      <c r="GB389" t="s">
        <v>1042</v>
      </c>
      <c r="GE389">
        <v>0</v>
      </c>
      <c r="GG389">
        <v>0</v>
      </c>
      <c r="GN389">
        <v>0</v>
      </c>
      <c r="GO389" t="s">
        <v>1063</v>
      </c>
      <c r="GQ389">
        <v>0</v>
      </c>
      <c r="GU389">
        <v>0</v>
      </c>
      <c r="GY389" t="s">
        <v>1045</v>
      </c>
      <c r="HB389">
        <v>0</v>
      </c>
      <c r="HE389">
        <v>0</v>
      </c>
      <c r="HF389">
        <v>0</v>
      </c>
      <c r="HG389">
        <v>0</v>
      </c>
      <c r="HK389" t="s">
        <v>1042</v>
      </c>
      <c r="HM389" t="s">
        <v>1047</v>
      </c>
      <c r="HN389">
        <v>0</v>
      </c>
      <c r="HP389">
        <v>0</v>
      </c>
      <c r="HQ389">
        <v>0</v>
      </c>
      <c r="HR389" s="20">
        <v>44221</v>
      </c>
      <c r="HS389" t="s">
        <v>1043</v>
      </c>
      <c r="HT389">
        <v>0</v>
      </c>
      <c r="HU389">
        <v>0</v>
      </c>
      <c r="HW389">
        <v>0</v>
      </c>
      <c r="HX389">
        <v>0</v>
      </c>
      <c r="HY389">
        <v>0</v>
      </c>
      <c r="HZ389" t="s">
        <v>1045</v>
      </c>
      <c r="IA389">
        <v>0</v>
      </c>
      <c r="IB389" t="s">
        <v>1045</v>
      </c>
      <c r="ID389" t="s">
        <v>1045</v>
      </c>
      <c r="IF389">
        <v>0</v>
      </c>
      <c r="IG389" t="s">
        <v>1042</v>
      </c>
      <c r="II389" t="s">
        <v>1042</v>
      </c>
      <c r="IR389" t="s">
        <v>1045</v>
      </c>
      <c r="IT389">
        <v>0</v>
      </c>
      <c r="IY389" t="s">
        <v>1044</v>
      </c>
      <c r="IZ389" t="s">
        <v>1043</v>
      </c>
      <c r="JC389" t="s">
        <v>1043</v>
      </c>
      <c r="JE389">
        <v>0</v>
      </c>
      <c r="JF389">
        <v>0</v>
      </c>
      <c r="JI389" t="s">
        <v>1042</v>
      </c>
      <c r="JJ389">
        <v>0</v>
      </c>
      <c r="JK389">
        <v>0</v>
      </c>
      <c r="JL389">
        <v>0</v>
      </c>
      <c r="JM389">
        <v>0</v>
      </c>
      <c r="JQ389" t="s">
        <v>1043</v>
      </c>
      <c r="JT389">
        <v>0</v>
      </c>
      <c r="JU389" t="s">
        <v>1042</v>
      </c>
      <c r="JW389">
        <v>0</v>
      </c>
      <c r="KA389">
        <v>0</v>
      </c>
      <c r="KF389">
        <v>0</v>
      </c>
      <c r="KG389">
        <v>0</v>
      </c>
      <c r="KH389">
        <v>0</v>
      </c>
      <c r="KI389">
        <v>0</v>
      </c>
      <c r="KS389" t="s">
        <v>1073</v>
      </c>
      <c r="KT389">
        <v>0</v>
      </c>
      <c r="KU389">
        <v>0</v>
      </c>
      <c r="KV389">
        <v>0</v>
      </c>
      <c r="KX389">
        <v>0</v>
      </c>
      <c r="KZ389">
        <v>0</v>
      </c>
      <c r="LF389">
        <v>0</v>
      </c>
      <c r="LH389">
        <v>0</v>
      </c>
      <c r="LI389">
        <v>0</v>
      </c>
    </row>
    <row r="390" spans="1:321" x14ac:dyDescent="0.35">
      <c r="A390">
        <v>1</v>
      </c>
      <c r="B390">
        <v>12603</v>
      </c>
      <c r="C390" t="s">
        <v>1294</v>
      </c>
      <c r="D390" t="s">
        <v>1133</v>
      </c>
      <c r="E390" t="s">
        <v>1085</v>
      </c>
      <c r="F390">
        <v>80</v>
      </c>
      <c r="G390">
        <v>9000</v>
      </c>
      <c r="H390">
        <v>0</v>
      </c>
      <c r="I390" t="s">
        <v>1050</v>
      </c>
      <c r="L390">
        <v>0</v>
      </c>
      <c r="M390">
        <v>0</v>
      </c>
      <c r="N390">
        <v>0</v>
      </c>
      <c r="R390">
        <v>0</v>
      </c>
      <c r="S390">
        <v>0</v>
      </c>
      <c r="W390" t="s">
        <v>1060</v>
      </c>
      <c r="X390">
        <v>0</v>
      </c>
      <c r="Z390">
        <v>1</v>
      </c>
      <c r="AA390">
        <v>0</v>
      </c>
      <c r="AB390">
        <v>0</v>
      </c>
      <c r="AC390">
        <v>0</v>
      </c>
      <c r="AD390" s="20">
        <v>40799</v>
      </c>
      <c r="AE390">
        <v>3.6</v>
      </c>
      <c r="AF390">
        <v>0</v>
      </c>
      <c r="AH390">
        <v>0</v>
      </c>
      <c r="AJ390">
        <v>0</v>
      </c>
      <c r="AL390">
        <v>0</v>
      </c>
      <c r="AM390">
        <v>0</v>
      </c>
      <c r="AN390">
        <v>16601001</v>
      </c>
      <c r="AO390">
        <v>0</v>
      </c>
      <c r="AP390">
        <v>1003</v>
      </c>
      <c r="AT390">
        <v>0</v>
      </c>
      <c r="AU390" t="s">
        <v>1059</v>
      </c>
      <c r="AW390" t="s">
        <v>1053</v>
      </c>
      <c r="AX390">
        <v>0</v>
      </c>
      <c r="AY390" s="20">
        <v>40799</v>
      </c>
      <c r="BA390" s="20">
        <v>40799</v>
      </c>
      <c r="BB390" t="s">
        <v>1058</v>
      </c>
      <c r="BD390">
        <v>0</v>
      </c>
      <c r="BF390" t="s">
        <v>1043</v>
      </c>
      <c r="BG390" t="s">
        <v>1042</v>
      </c>
      <c r="BH390">
        <v>0</v>
      </c>
      <c r="BI390">
        <v>1</v>
      </c>
      <c r="BJ390">
        <v>0</v>
      </c>
      <c r="BK390">
        <v>0</v>
      </c>
      <c r="BM390" t="s">
        <v>1042</v>
      </c>
      <c r="BN390">
        <v>0</v>
      </c>
      <c r="BR390" t="s">
        <v>1043</v>
      </c>
      <c r="BS390" t="s">
        <v>1043</v>
      </c>
      <c r="BT390" t="s">
        <v>1043</v>
      </c>
      <c r="BW390">
        <v>83</v>
      </c>
      <c r="CA390">
        <v>0</v>
      </c>
      <c r="CB390" t="s">
        <v>1057</v>
      </c>
      <c r="CE390" t="s">
        <v>1043</v>
      </c>
      <c r="CH390" t="s">
        <v>1043</v>
      </c>
      <c r="CN390" t="s">
        <v>1056</v>
      </c>
      <c r="CO390" t="s">
        <v>1043</v>
      </c>
      <c r="CP390">
        <v>1</v>
      </c>
      <c r="CQ390">
        <v>0</v>
      </c>
      <c r="CS390">
        <v>0</v>
      </c>
      <c r="CT390">
        <v>0</v>
      </c>
      <c r="CU390">
        <v>0</v>
      </c>
      <c r="CV390" t="s">
        <v>1045</v>
      </c>
      <c r="CW390">
        <v>0</v>
      </c>
      <c r="CX390">
        <v>0</v>
      </c>
      <c r="CY390">
        <v>0</v>
      </c>
      <c r="CZ390">
        <v>0</v>
      </c>
      <c r="DB390">
        <v>0</v>
      </c>
      <c r="DC390" t="s">
        <v>1043</v>
      </c>
      <c r="DF390" t="s">
        <v>1055</v>
      </c>
      <c r="DH390">
        <v>0</v>
      </c>
      <c r="DJ390">
        <v>0</v>
      </c>
      <c r="DK390" t="s">
        <v>1053</v>
      </c>
      <c r="DL390">
        <v>0</v>
      </c>
      <c r="DN390">
        <v>0</v>
      </c>
      <c r="DO390" t="s">
        <v>1042</v>
      </c>
      <c r="DP390">
        <v>0</v>
      </c>
      <c r="DQ390">
        <v>0</v>
      </c>
      <c r="DS390">
        <v>0</v>
      </c>
      <c r="DU390">
        <v>0</v>
      </c>
      <c r="DW390">
        <v>0</v>
      </c>
      <c r="DX390" t="s">
        <v>1043</v>
      </c>
      <c r="DY390">
        <v>0</v>
      </c>
      <c r="DZ390">
        <v>0</v>
      </c>
      <c r="EA390">
        <v>0</v>
      </c>
      <c r="ED390" t="s">
        <v>1045</v>
      </c>
      <c r="EE390">
        <v>0</v>
      </c>
      <c r="EF390">
        <v>0</v>
      </c>
      <c r="EQ390" t="s">
        <v>1044</v>
      </c>
      <c r="ES390" t="s">
        <v>1053</v>
      </c>
      <c r="ET390">
        <v>0</v>
      </c>
      <c r="EV390">
        <v>0</v>
      </c>
      <c r="EY390" t="s">
        <v>1052</v>
      </c>
      <c r="EZ390">
        <v>0</v>
      </c>
      <c r="FA390" t="s">
        <v>1043</v>
      </c>
      <c r="FB390">
        <v>0</v>
      </c>
      <c r="FC390">
        <v>0</v>
      </c>
      <c r="FE390" t="s">
        <v>1050</v>
      </c>
      <c r="FF390">
        <v>0</v>
      </c>
      <c r="FG390" t="s">
        <v>1050</v>
      </c>
      <c r="FJ390">
        <v>0</v>
      </c>
      <c r="FK390">
        <v>0</v>
      </c>
      <c r="FP390">
        <v>0</v>
      </c>
      <c r="FR390">
        <v>0</v>
      </c>
      <c r="FS390" t="s">
        <v>1043</v>
      </c>
      <c r="FX390" t="s">
        <v>1042</v>
      </c>
      <c r="FZ390" t="s">
        <v>1048</v>
      </c>
      <c r="GA390">
        <v>0</v>
      </c>
      <c r="GB390" t="s">
        <v>1042</v>
      </c>
      <c r="GE390">
        <v>0</v>
      </c>
      <c r="GG390">
        <v>0</v>
      </c>
      <c r="GN390">
        <v>0</v>
      </c>
      <c r="GO390" t="s">
        <v>1063</v>
      </c>
      <c r="GQ390">
        <v>0</v>
      </c>
      <c r="GU390">
        <v>0</v>
      </c>
      <c r="GY390" t="s">
        <v>1045</v>
      </c>
      <c r="HB390">
        <v>0</v>
      </c>
      <c r="HE390">
        <v>0</v>
      </c>
      <c r="HF390">
        <v>0</v>
      </c>
      <c r="HG390">
        <v>0</v>
      </c>
      <c r="HK390" t="s">
        <v>1042</v>
      </c>
      <c r="HM390" t="s">
        <v>1047</v>
      </c>
      <c r="HN390">
        <v>0</v>
      </c>
      <c r="HP390">
        <v>0</v>
      </c>
      <c r="HQ390">
        <v>0</v>
      </c>
      <c r="HR390" t="s">
        <v>1042</v>
      </c>
      <c r="HS390" t="s">
        <v>1043</v>
      </c>
      <c r="HT390">
        <v>0</v>
      </c>
      <c r="HU390">
        <v>0</v>
      </c>
      <c r="HW390">
        <v>0</v>
      </c>
      <c r="HX390">
        <v>0</v>
      </c>
      <c r="HY390">
        <v>0</v>
      </c>
      <c r="HZ390" t="s">
        <v>1045</v>
      </c>
      <c r="IA390">
        <v>0</v>
      </c>
      <c r="IB390" t="s">
        <v>1045</v>
      </c>
      <c r="ID390" t="s">
        <v>1045</v>
      </c>
      <c r="IF390">
        <v>0</v>
      </c>
      <c r="IG390" t="s">
        <v>1042</v>
      </c>
      <c r="II390" t="s">
        <v>1042</v>
      </c>
      <c r="IR390" t="s">
        <v>1045</v>
      </c>
      <c r="IT390">
        <v>0</v>
      </c>
      <c r="IY390" t="s">
        <v>1044</v>
      </c>
      <c r="IZ390" t="s">
        <v>1043</v>
      </c>
      <c r="JC390" t="s">
        <v>1043</v>
      </c>
      <c r="JE390">
        <v>0</v>
      </c>
      <c r="JF390">
        <v>0</v>
      </c>
      <c r="JI390" t="s">
        <v>1042</v>
      </c>
      <c r="JJ390">
        <v>0</v>
      </c>
      <c r="JK390">
        <v>0</v>
      </c>
      <c r="JL390">
        <v>0</v>
      </c>
      <c r="JM390">
        <v>0</v>
      </c>
      <c r="JQ390" t="s">
        <v>1043</v>
      </c>
      <c r="JT390">
        <v>0</v>
      </c>
      <c r="JU390" t="s">
        <v>1042</v>
      </c>
      <c r="JW390">
        <v>0</v>
      </c>
      <c r="KA390">
        <v>0</v>
      </c>
      <c r="KF390">
        <v>0</v>
      </c>
      <c r="KG390">
        <v>0</v>
      </c>
      <c r="KH390">
        <v>0</v>
      </c>
      <c r="KI390">
        <v>0</v>
      </c>
      <c r="KS390" t="s">
        <v>1073</v>
      </c>
      <c r="KT390">
        <v>0</v>
      </c>
      <c r="KU390">
        <v>0</v>
      </c>
      <c r="KV390">
        <v>0</v>
      </c>
      <c r="KX390">
        <v>0</v>
      </c>
      <c r="KZ390">
        <v>0</v>
      </c>
      <c r="LF390">
        <v>0</v>
      </c>
      <c r="LH390">
        <v>0</v>
      </c>
      <c r="LI390">
        <v>0</v>
      </c>
    </row>
    <row r="391" spans="1:321" x14ac:dyDescent="0.35">
      <c r="A391">
        <v>1</v>
      </c>
      <c r="B391">
        <v>12604</v>
      </c>
      <c r="C391" t="s">
        <v>1293</v>
      </c>
      <c r="D391" t="s">
        <v>1133</v>
      </c>
      <c r="E391" t="s">
        <v>1085</v>
      </c>
      <c r="F391">
        <v>80</v>
      </c>
      <c r="G391">
        <v>9000</v>
      </c>
      <c r="H391">
        <v>0</v>
      </c>
      <c r="I391" t="s">
        <v>1050</v>
      </c>
      <c r="L391">
        <v>0</v>
      </c>
      <c r="M391">
        <v>0</v>
      </c>
      <c r="N391">
        <v>0</v>
      </c>
      <c r="R391">
        <v>0</v>
      </c>
      <c r="S391">
        <v>0</v>
      </c>
      <c r="W391" t="s">
        <v>1060</v>
      </c>
      <c r="X391">
        <v>0</v>
      </c>
      <c r="Z391">
        <v>1</v>
      </c>
      <c r="AA391">
        <v>0</v>
      </c>
      <c r="AB391">
        <v>0</v>
      </c>
      <c r="AC391">
        <v>0</v>
      </c>
      <c r="AD391" s="20">
        <v>40799</v>
      </c>
      <c r="AE391">
        <v>3.6</v>
      </c>
      <c r="AF391">
        <v>0</v>
      </c>
      <c r="AH391">
        <v>0</v>
      </c>
      <c r="AJ391">
        <v>0</v>
      </c>
      <c r="AL391">
        <v>0</v>
      </c>
      <c r="AM391">
        <v>0</v>
      </c>
      <c r="AN391">
        <v>16601001</v>
      </c>
      <c r="AO391">
        <v>0</v>
      </c>
      <c r="AP391">
        <v>1003</v>
      </c>
      <c r="AT391">
        <v>0</v>
      </c>
      <c r="AU391" t="s">
        <v>1059</v>
      </c>
      <c r="AW391" t="s">
        <v>1053</v>
      </c>
      <c r="AX391">
        <v>0</v>
      </c>
      <c r="AY391" s="20">
        <v>40799</v>
      </c>
      <c r="BA391" s="20">
        <v>40799</v>
      </c>
      <c r="BB391" t="s">
        <v>1058</v>
      </c>
      <c r="BD391">
        <v>0</v>
      </c>
      <c r="BF391" t="s">
        <v>1043</v>
      </c>
      <c r="BG391" t="s">
        <v>1042</v>
      </c>
      <c r="BH391">
        <v>0</v>
      </c>
      <c r="BI391">
        <v>1</v>
      </c>
      <c r="BJ391">
        <v>0</v>
      </c>
      <c r="BK391">
        <v>0</v>
      </c>
      <c r="BM391" t="s">
        <v>1042</v>
      </c>
      <c r="BN391">
        <v>0</v>
      </c>
      <c r="BR391" t="s">
        <v>1043</v>
      </c>
      <c r="BS391" t="s">
        <v>1043</v>
      </c>
      <c r="BT391" t="s">
        <v>1043</v>
      </c>
      <c r="BW391">
        <v>83</v>
      </c>
      <c r="CA391">
        <v>0</v>
      </c>
      <c r="CB391" t="s">
        <v>1057</v>
      </c>
      <c r="CE391" t="s">
        <v>1043</v>
      </c>
      <c r="CH391" t="s">
        <v>1043</v>
      </c>
      <c r="CN391" t="s">
        <v>1056</v>
      </c>
      <c r="CO391" t="s">
        <v>1043</v>
      </c>
      <c r="CP391">
        <v>1</v>
      </c>
      <c r="CQ391">
        <v>0</v>
      </c>
      <c r="CS391">
        <v>0</v>
      </c>
      <c r="CT391">
        <v>0</v>
      </c>
      <c r="CU391">
        <v>0</v>
      </c>
      <c r="CV391" t="s">
        <v>1045</v>
      </c>
      <c r="CW391">
        <v>0</v>
      </c>
      <c r="CX391">
        <v>0</v>
      </c>
      <c r="CY391">
        <v>0</v>
      </c>
      <c r="CZ391">
        <v>0</v>
      </c>
      <c r="DB391">
        <v>0</v>
      </c>
      <c r="DC391" t="s">
        <v>1043</v>
      </c>
      <c r="DF391" t="s">
        <v>1055</v>
      </c>
      <c r="DH391">
        <v>0</v>
      </c>
      <c r="DJ391">
        <v>0</v>
      </c>
      <c r="DK391" t="s">
        <v>1053</v>
      </c>
      <c r="DL391">
        <v>0</v>
      </c>
      <c r="DN391">
        <v>0</v>
      </c>
      <c r="DO391" t="s">
        <v>1042</v>
      </c>
      <c r="DP391">
        <v>0</v>
      </c>
      <c r="DQ391">
        <v>0</v>
      </c>
      <c r="DS391">
        <v>0</v>
      </c>
      <c r="DU391">
        <v>0</v>
      </c>
      <c r="DW391">
        <v>0</v>
      </c>
      <c r="DX391" t="s">
        <v>1043</v>
      </c>
      <c r="DY391">
        <v>0</v>
      </c>
      <c r="DZ391">
        <v>0</v>
      </c>
      <c r="EA391">
        <v>0</v>
      </c>
      <c r="ED391" t="s">
        <v>1045</v>
      </c>
      <c r="EE391">
        <v>0</v>
      </c>
      <c r="EF391">
        <v>0</v>
      </c>
      <c r="EQ391" t="s">
        <v>1044</v>
      </c>
      <c r="ES391" t="s">
        <v>1053</v>
      </c>
      <c r="ET391">
        <v>0</v>
      </c>
      <c r="EV391">
        <v>0</v>
      </c>
      <c r="EY391" t="s">
        <v>1052</v>
      </c>
      <c r="EZ391">
        <v>0</v>
      </c>
      <c r="FA391" t="s">
        <v>1043</v>
      </c>
      <c r="FB391">
        <v>0</v>
      </c>
      <c r="FC391">
        <v>0</v>
      </c>
      <c r="FE391" t="s">
        <v>1050</v>
      </c>
      <c r="FF391">
        <v>0</v>
      </c>
      <c r="FG391" t="s">
        <v>1050</v>
      </c>
      <c r="FJ391">
        <v>0</v>
      </c>
      <c r="FK391">
        <v>0</v>
      </c>
      <c r="FP391">
        <v>0</v>
      </c>
      <c r="FR391">
        <v>0</v>
      </c>
      <c r="FS391" t="s">
        <v>1043</v>
      </c>
      <c r="FX391" t="s">
        <v>1042</v>
      </c>
      <c r="FZ391" t="s">
        <v>1048</v>
      </c>
      <c r="GA391">
        <v>0</v>
      </c>
      <c r="GB391" t="s">
        <v>1042</v>
      </c>
      <c r="GE391">
        <v>0</v>
      </c>
      <c r="GG391">
        <v>0</v>
      </c>
      <c r="GN391">
        <v>0</v>
      </c>
      <c r="GO391" t="s">
        <v>1063</v>
      </c>
      <c r="GQ391">
        <v>0</v>
      </c>
      <c r="GU391">
        <v>0</v>
      </c>
      <c r="GY391" t="s">
        <v>1045</v>
      </c>
      <c r="HB391">
        <v>0</v>
      </c>
      <c r="HE391">
        <v>0</v>
      </c>
      <c r="HF391">
        <v>0</v>
      </c>
      <c r="HG391">
        <v>0</v>
      </c>
      <c r="HK391" t="s">
        <v>1042</v>
      </c>
      <c r="HM391" t="s">
        <v>1047</v>
      </c>
      <c r="HN391">
        <v>0</v>
      </c>
      <c r="HP391">
        <v>0</v>
      </c>
      <c r="HQ391">
        <v>0</v>
      </c>
      <c r="HR391" t="s">
        <v>1042</v>
      </c>
      <c r="HS391" t="s">
        <v>1043</v>
      </c>
      <c r="HT391">
        <v>0</v>
      </c>
      <c r="HU391">
        <v>0</v>
      </c>
      <c r="HW391">
        <v>0</v>
      </c>
      <c r="HX391">
        <v>0</v>
      </c>
      <c r="HY391">
        <v>0</v>
      </c>
      <c r="HZ391" t="s">
        <v>1045</v>
      </c>
      <c r="IA391">
        <v>0</v>
      </c>
      <c r="IB391" t="s">
        <v>1045</v>
      </c>
      <c r="ID391" t="s">
        <v>1045</v>
      </c>
      <c r="IF391">
        <v>0</v>
      </c>
      <c r="IG391" t="s">
        <v>1042</v>
      </c>
      <c r="II391" t="s">
        <v>1042</v>
      </c>
      <c r="IR391" t="s">
        <v>1045</v>
      </c>
      <c r="IT391">
        <v>0</v>
      </c>
      <c r="IY391" t="s">
        <v>1044</v>
      </c>
      <c r="IZ391" t="s">
        <v>1043</v>
      </c>
      <c r="JC391" t="s">
        <v>1043</v>
      </c>
      <c r="JE391">
        <v>0</v>
      </c>
      <c r="JF391">
        <v>0</v>
      </c>
      <c r="JI391" t="s">
        <v>1042</v>
      </c>
      <c r="JJ391">
        <v>0</v>
      </c>
      <c r="JK391">
        <v>0</v>
      </c>
      <c r="JL391">
        <v>0</v>
      </c>
      <c r="JM391">
        <v>0</v>
      </c>
      <c r="JQ391" t="s">
        <v>1043</v>
      </c>
      <c r="JT391">
        <v>0</v>
      </c>
      <c r="JU391" t="s">
        <v>1042</v>
      </c>
      <c r="JW391">
        <v>0</v>
      </c>
      <c r="KA391">
        <v>0</v>
      </c>
      <c r="KF391">
        <v>0</v>
      </c>
      <c r="KG391">
        <v>0</v>
      </c>
      <c r="KH391">
        <v>0</v>
      </c>
      <c r="KI391">
        <v>0</v>
      </c>
      <c r="KS391" t="s">
        <v>1073</v>
      </c>
      <c r="KT391">
        <v>0</v>
      </c>
      <c r="KU391">
        <v>0</v>
      </c>
      <c r="KV391">
        <v>0</v>
      </c>
      <c r="KX391">
        <v>0</v>
      </c>
      <c r="KZ391">
        <v>0</v>
      </c>
      <c r="LF391">
        <v>0</v>
      </c>
      <c r="LH391">
        <v>0</v>
      </c>
      <c r="LI391">
        <v>0</v>
      </c>
    </row>
    <row r="392" spans="1:321" x14ac:dyDescent="0.35">
      <c r="A392">
        <v>1</v>
      </c>
      <c r="B392">
        <v>12605</v>
      </c>
      <c r="C392" t="s">
        <v>1292</v>
      </c>
      <c r="D392" t="s">
        <v>1133</v>
      </c>
      <c r="E392" t="s">
        <v>1085</v>
      </c>
      <c r="F392">
        <v>80</v>
      </c>
      <c r="G392">
        <v>9000</v>
      </c>
      <c r="H392">
        <v>0</v>
      </c>
      <c r="I392" t="s">
        <v>1050</v>
      </c>
      <c r="L392">
        <v>0</v>
      </c>
      <c r="M392">
        <v>0</v>
      </c>
      <c r="N392">
        <v>0</v>
      </c>
      <c r="R392">
        <v>0</v>
      </c>
      <c r="S392">
        <v>0</v>
      </c>
      <c r="W392" t="s">
        <v>1060</v>
      </c>
      <c r="X392">
        <v>0</v>
      </c>
      <c r="Z392">
        <v>1</v>
      </c>
      <c r="AA392">
        <v>0</v>
      </c>
      <c r="AB392">
        <v>0</v>
      </c>
      <c r="AC392">
        <v>0</v>
      </c>
      <c r="AD392" s="20">
        <v>40799</v>
      </c>
      <c r="AE392">
        <v>3.6</v>
      </c>
      <c r="AF392">
        <v>0</v>
      </c>
      <c r="AH392">
        <v>0</v>
      </c>
      <c r="AJ392">
        <v>0</v>
      </c>
      <c r="AL392">
        <v>0</v>
      </c>
      <c r="AM392">
        <v>0</v>
      </c>
      <c r="AN392">
        <v>16601001</v>
      </c>
      <c r="AO392">
        <v>0</v>
      </c>
      <c r="AP392">
        <v>1003</v>
      </c>
      <c r="AT392">
        <v>0</v>
      </c>
      <c r="AU392" t="s">
        <v>1059</v>
      </c>
      <c r="AW392" t="s">
        <v>1053</v>
      </c>
      <c r="AX392">
        <v>0</v>
      </c>
      <c r="AY392" s="20">
        <v>40799</v>
      </c>
      <c r="BA392" s="20">
        <v>40799</v>
      </c>
      <c r="BB392" t="s">
        <v>1058</v>
      </c>
      <c r="BD392">
        <v>0</v>
      </c>
      <c r="BF392" t="s">
        <v>1043</v>
      </c>
      <c r="BG392" t="s">
        <v>1042</v>
      </c>
      <c r="BH392">
        <v>0</v>
      </c>
      <c r="BI392">
        <v>1</v>
      </c>
      <c r="BJ392">
        <v>0</v>
      </c>
      <c r="BK392">
        <v>0</v>
      </c>
      <c r="BM392" t="s">
        <v>1042</v>
      </c>
      <c r="BN392">
        <v>0</v>
      </c>
      <c r="BR392" t="s">
        <v>1043</v>
      </c>
      <c r="BS392" t="s">
        <v>1043</v>
      </c>
      <c r="BT392" t="s">
        <v>1043</v>
      </c>
      <c r="BW392">
        <v>83</v>
      </c>
      <c r="CA392">
        <v>0</v>
      </c>
      <c r="CB392" t="s">
        <v>1057</v>
      </c>
      <c r="CE392" t="s">
        <v>1043</v>
      </c>
      <c r="CH392" t="s">
        <v>1043</v>
      </c>
      <c r="CN392" t="s">
        <v>1056</v>
      </c>
      <c r="CO392" t="s">
        <v>1043</v>
      </c>
      <c r="CP392">
        <v>1</v>
      </c>
      <c r="CQ392">
        <v>0</v>
      </c>
      <c r="CS392">
        <v>0</v>
      </c>
      <c r="CT392">
        <v>0</v>
      </c>
      <c r="CU392">
        <v>0</v>
      </c>
      <c r="CV392" t="s">
        <v>1045</v>
      </c>
      <c r="CW392">
        <v>0</v>
      </c>
      <c r="CX392">
        <v>0</v>
      </c>
      <c r="CY392">
        <v>0</v>
      </c>
      <c r="CZ392">
        <v>0</v>
      </c>
      <c r="DB392">
        <v>0</v>
      </c>
      <c r="DC392" t="s">
        <v>1043</v>
      </c>
      <c r="DF392" t="s">
        <v>1055</v>
      </c>
      <c r="DH392">
        <v>0</v>
      </c>
      <c r="DJ392">
        <v>0</v>
      </c>
      <c r="DK392" t="s">
        <v>1053</v>
      </c>
      <c r="DL392">
        <v>0</v>
      </c>
      <c r="DN392">
        <v>0</v>
      </c>
      <c r="DO392" t="s">
        <v>1042</v>
      </c>
      <c r="DP392">
        <v>0</v>
      </c>
      <c r="DQ392">
        <v>0</v>
      </c>
      <c r="DS392">
        <v>0</v>
      </c>
      <c r="DU392">
        <v>0</v>
      </c>
      <c r="DW392">
        <v>0</v>
      </c>
      <c r="DX392" t="s">
        <v>1043</v>
      </c>
      <c r="DY392">
        <v>0</v>
      </c>
      <c r="DZ392">
        <v>0</v>
      </c>
      <c r="EA392">
        <v>0</v>
      </c>
      <c r="ED392" t="s">
        <v>1045</v>
      </c>
      <c r="EE392">
        <v>0</v>
      </c>
      <c r="EF392">
        <v>0</v>
      </c>
      <c r="EQ392" t="s">
        <v>1044</v>
      </c>
      <c r="ES392" t="s">
        <v>1053</v>
      </c>
      <c r="ET392">
        <v>0</v>
      </c>
      <c r="EV392">
        <v>0</v>
      </c>
      <c r="EY392" t="s">
        <v>1052</v>
      </c>
      <c r="EZ392">
        <v>0</v>
      </c>
      <c r="FA392" t="s">
        <v>1043</v>
      </c>
      <c r="FB392">
        <v>0</v>
      </c>
      <c r="FC392">
        <v>0</v>
      </c>
      <c r="FE392" t="s">
        <v>1050</v>
      </c>
      <c r="FF392">
        <v>0</v>
      </c>
      <c r="FG392" t="s">
        <v>1050</v>
      </c>
      <c r="FJ392">
        <v>0</v>
      </c>
      <c r="FK392">
        <v>0</v>
      </c>
      <c r="FP392">
        <v>0</v>
      </c>
      <c r="FR392">
        <v>0</v>
      </c>
      <c r="FS392" t="s">
        <v>1043</v>
      </c>
      <c r="FX392" t="s">
        <v>1042</v>
      </c>
      <c r="FZ392" t="s">
        <v>1048</v>
      </c>
      <c r="GA392">
        <v>0</v>
      </c>
      <c r="GB392" t="s">
        <v>1042</v>
      </c>
      <c r="GE392">
        <v>0</v>
      </c>
      <c r="GG392">
        <v>0</v>
      </c>
      <c r="GN392">
        <v>0</v>
      </c>
      <c r="GO392" t="s">
        <v>1063</v>
      </c>
      <c r="GQ392">
        <v>0</v>
      </c>
      <c r="GU392">
        <v>0</v>
      </c>
      <c r="GY392" t="s">
        <v>1045</v>
      </c>
      <c r="HB392">
        <v>0</v>
      </c>
      <c r="HE392">
        <v>0</v>
      </c>
      <c r="HF392">
        <v>0</v>
      </c>
      <c r="HG392">
        <v>0</v>
      </c>
      <c r="HK392" t="s">
        <v>1042</v>
      </c>
      <c r="HM392" t="s">
        <v>1047</v>
      </c>
      <c r="HN392">
        <v>0</v>
      </c>
      <c r="HP392">
        <v>0</v>
      </c>
      <c r="HQ392">
        <v>0</v>
      </c>
      <c r="HR392" t="s">
        <v>1042</v>
      </c>
      <c r="HS392" t="s">
        <v>1043</v>
      </c>
      <c r="HT392">
        <v>0</v>
      </c>
      <c r="HU392">
        <v>0</v>
      </c>
      <c r="HW392">
        <v>0</v>
      </c>
      <c r="HX392">
        <v>0</v>
      </c>
      <c r="HY392">
        <v>0</v>
      </c>
      <c r="HZ392" t="s">
        <v>1045</v>
      </c>
      <c r="IA392">
        <v>0</v>
      </c>
      <c r="IB392" t="s">
        <v>1045</v>
      </c>
      <c r="ID392" t="s">
        <v>1045</v>
      </c>
      <c r="IF392">
        <v>0</v>
      </c>
      <c r="IG392" t="s">
        <v>1042</v>
      </c>
      <c r="II392" t="s">
        <v>1042</v>
      </c>
      <c r="IR392" t="s">
        <v>1045</v>
      </c>
      <c r="IT392">
        <v>0</v>
      </c>
      <c r="IY392" t="s">
        <v>1044</v>
      </c>
      <c r="IZ392" t="s">
        <v>1043</v>
      </c>
      <c r="JC392" t="s">
        <v>1043</v>
      </c>
      <c r="JE392">
        <v>0</v>
      </c>
      <c r="JF392">
        <v>0</v>
      </c>
      <c r="JI392" t="s">
        <v>1042</v>
      </c>
      <c r="JJ392">
        <v>0</v>
      </c>
      <c r="JK392">
        <v>0</v>
      </c>
      <c r="JL392">
        <v>0</v>
      </c>
      <c r="JM392">
        <v>0</v>
      </c>
      <c r="JQ392" t="s">
        <v>1043</v>
      </c>
      <c r="JT392">
        <v>0</v>
      </c>
      <c r="JU392" t="s">
        <v>1042</v>
      </c>
      <c r="JW392">
        <v>0</v>
      </c>
      <c r="KA392">
        <v>0</v>
      </c>
      <c r="KF392">
        <v>0</v>
      </c>
      <c r="KG392">
        <v>0</v>
      </c>
      <c r="KH392">
        <v>0</v>
      </c>
      <c r="KI392">
        <v>0</v>
      </c>
      <c r="KS392" t="s">
        <v>1073</v>
      </c>
      <c r="KT392">
        <v>0</v>
      </c>
      <c r="KU392">
        <v>0</v>
      </c>
      <c r="KV392">
        <v>0</v>
      </c>
      <c r="KX392">
        <v>0</v>
      </c>
      <c r="KZ392">
        <v>0</v>
      </c>
      <c r="LF392">
        <v>0</v>
      </c>
      <c r="LH392">
        <v>0</v>
      </c>
      <c r="LI392">
        <v>0</v>
      </c>
    </row>
    <row r="393" spans="1:321" x14ac:dyDescent="0.35">
      <c r="A393">
        <v>1</v>
      </c>
      <c r="B393">
        <v>12606</v>
      </c>
      <c r="C393" t="s">
        <v>1291</v>
      </c>
      <c r="D393" t="s">
        <v>1133</v>
      </c>
      <c r="E393" t="s">
        <v>1085</v>
      </c>
      <c r="F393">
        <v>80</v>
      </c>
      <c r="G393">
        <v>9000</v>
      </c>
      <c r="H393">
        <v>0</v>
      </c>
      <c r="I393" t="s">
        <v>1050</v>
      </c>
      <c r="L393">
        <v>0</v>
      </c>
      <c r="M393">
        <v>0</v>
      </c>
      <c r="N393">
        <v>0</v>
      </c>
      <c r="R393">
        <v>0</v>
      </c>
      <c r="S393">
        <v>0</v>
      </c>
      <c r="W393" t="s">
        <v>1060</v>
      </c>
      <c r="X393">
        <v>0</v>
      </c>
      <c r="Z393">
        <v>1</v>
      </c>
      <c r="AA393">
        <v>0</v>
      </c>
      <c r="AB393">
        <v>0</v>
      </c>
      <c r="AC393">
        <v>0</v>
      </c>
      <c r="AD393" s="20">
        <v>40799</v>
      </c>
      <c r="AE393">
        <v>3.6</v>
      </c>
      <c r="AF393">
        <v>0</v>
      </c>
      <c r="AH393">
        <v>0</v>
      </c>
      <c r="AJ393">
        <v>0</v>
      </c>
      <c r="AL393">
        <v>0</v>
      </c>
      <c r="AM393">
        <v>0</v>
      </c>
      <c r="AN393">
        <v>16601001</v>
      </c>
      <c r="AO393">
        <v>0</v>
      </c>
      <c r="AP393">
        <v>1003</v>
      </c>
      <c r="AT393">
        <v>0</v>
      </c>
      <c r="AU393" t="s">
        <v>1059</v>
      </c>
      <c r="AW393" t="s">
        <v>1053</v>
      </c>
      <c r="AX393">
        <v>0</v>
      </c>
      <c r="AY393" s="20">
        <v>40799</v>
      </c>
      <c r="BA393" s="20">
        <v>40799</v>
      </c>
      <c r="BB393" t="s">
        <v>1058</v>
      </c>
      <c r="BD393">
        <v>0</v>
      </c>
      <c r="BF393" t="s">
        <v>1043</v>
      </c>
      <c r="BG393" t="s">
        <v>1042</v>
      </c>
      <c r="BH393">
        <v>0</v>
      </c>
      <c r="BI393">
        <v>1</v>
      </c>
      <c r="BJ393">
        <v>0</v>
      </c>
      <c r="BK393">
        <v>0</v>
      </c>
      <c r="BM393" t="s">
        <v>1042</v>
      </c>
      <c r="BN393">
        <v>0</v>
      </c>
      <c r="BR393" t="s">
        <v>1043</v>
      </c>
      <c r="BS393" t="s">
        <v>1043</v>
      </c>
      <c r="BT393" t="s">
        <v>1043</v>
      </c>
      <c r="BW393">
        <v>83</v>
      </c>
      <c r="CA393">
        <v>0</v>
      </c>
      <c r="CB393" t="s">
        <v>1057</v>
      </c>
      <c r="CE393" t="s">
        <v>1043</v>
      </c>
      <c r="CH393" t="s">
        <v>1043</v>
      </c>
      <c r="CN393" t="s">
        <v>1056</v>
      </c>
      <c r="CO393" t="s">
        <v>1043</v>
      </c>
      <c r="CP393">
        <v>1</v>
      </c>
      <c r="CQ393">
        <v>0</v>
      </c>
      <c r="CS393">
        <v>0</v>
      </c>
      <c r="CT393">
        <v>0</v>
      </c>
      <c r="CU393">
        <v>0</v>
      </c>
      <c r="CV393" t="s">
        <v>1045</v>
      </c>
      <c r="CW393">
        <v>0</v>
      </c>
      <c r="CX393">
        <v>0</v>
      </c>
      <c r="CY393">
        <v>0</v>
      </c>
      <c r="CZ393">
        <v>0</v>
      </c>
      <c r="DB393">
        <v>0</v>
      </c>
      <c r="DC393" t="s">
        <v>1043</v>
      </c>
      <c r="DF393" t="s">
        <v>1055</v>
      </c>
      <c r="DH393">
        <v>0</v>
      </c>
      <c r="DJ393">
        <v>0</v>
      </c>
      <c r="DK393" t="s">
        <v>1053</v>
      </c>
      <c r="DL393">
        <v>0</v>
      </c>
      <c r="DN393">
        <v>0</v>
      </c>
      <c r="DO393" t="s">
        <v>1042</v>
      </c>
      <c r="DP393">
        <v>0</v>
      </c>
      <c r="DQ393">
        <v>0</v>
      </c>
      <c r="DS393">
        <v>0</v>
      </c>
      <c r="DU393">
        <v>0</v>
      </c>
      <c r="DW393">
        <v>0</v>
      </c>
      <c r="DX393" t="s">
        <v>1043</v>
      </c>
      <c r="DY393">
        <v>0</v>
      </c>
      <c r="DZ393">
        <v>0</v>
      </c>
      <c r="EA393">
        <v>0</v>
      </c>
      <c r="ED393" t="s">
        <v>1045</v>
      </c>
      <c r="EE393">
        <v>0</v>
      </c>
      <c r="EF393">
        <v>0</v>
      </c>
      <c r="EQ393" t="s">
        <v>1044</v>
      </c>
      <c r="ES393" t="s">
        <v>1053</v>
      </c>
      <c r="ET393">
        <v>0</v>
      </c>
      <c r="EV393">
        <v>0</v>
      </c>
      <c r="EY393" t="s">
        <v>1052</v>
      </c>
      <c r="EZ393">
        <v>0</v>
      </c>
      <c r="FA393" t="s">
        <v>1043</v>
      </c>
      <c r="FB393">
        <v>0</v>
      </c>
      <c r="FC393">
        <v>0</v>
      </c>
      <c r="FE393" t="s">
        <v>1050</v>
      </c>
      <c r="FF393">
        <v>0</v>
      </c>
      <c r="FG393" t="s">
        <v>1050</v>
      </c>
      <c r="FJ393">
        <v>0</v>
      </c>
      <c r="FK393">
        <v>0</v>
      </c>
      <c r="FP393">
        <v>0</v>
      </c>
      <c r="FR393">
        <v>0</v>
      </c>
      <c r="FS393" t="s">
        <v>1043</v>
      </c>
      <c r="FX393" t="s">
        <v>1042</v>
      </c>
      <c r="FZ393" t="s">
        <v>1048</v>
      </c>
      <c r="GA393">
        <v>0</v>
      </c>
      <c r="GB393" t="s">
        <v>1042</v>
      </c>
      <c r="GE393">
        <v>0</v>
      </c>
      <c r="GG393">
        <v>0</v>
      </c>
      <c r="GN393">
        <v>0</v>
      </c>
      <c r="GO393" t="s">
        <v>1063</v>
      </c>
      <c r="GQ393">
        <v>0</v>
      </c>
      <c r="GU393">
        <v>0</v>
      </c>
      <c r="GY393" t="s">
        <v>1045</v>
      </c>
      <c r="HB393">
        <v>0</v>
      </c>
      <c r="HE393">
        <v>0</v>
      </c>
      <c r="HF393">
        <v>0</v>
      </c>
      <c r="HG393">
        <v>0</v>
      </c>
      <c r="HK393" t="s">
        <v>1042</v>
      </c>
      <c r="HM393" t="s">
        <v>1047</v>
      </c>
      <c r="HN393">
        <v>0</v>
      </c>
      <c r="HP393">
        <v>0</v>
      </c>
      <c r="HQ393">
        <v>0</v>
      </c>
      <c r="HR393" t="s">
        <v>1042</v>
      </c>
      <c r="HS393" t="s">
        <v>1043</v>
      </c>
      <c r="HT393">
        <v>0</v>
      </c>
      <c r="HU393">
        <v>0</v>
      </c>
      <c r="HW393">
        <v>0</v>
      </c>
      <c r="HX393">
        <v>0</v>
      </c>
      <c r="HY393">
        <v>0</v>
      </c>
      <c r="HZ393" t="s">
        <v>1045</v>
      </c>
      <c r="IA393">
        <v>0</v>
      </c>
      <c r="IB393" t="s">
        <v>1045</v>
      </c>
      <c r="ID393" t="s">
        <v>1045</v>
      </c>
      <c r="IF393">
        <v>0</v>
      </c>
      <c r="IG393" t="s">
        <v>1042</v>
      </c>
      <c r="II393" t="s">
        <v>1042</v>
      </c>
      <c r="IR393" t="s">
        <v>1045</v>
      </c>
      <c r="IT393">
        <v>0</v>
      </c>
      <c r="IY393" t="s">
        <v>1044</v>
      </c>
      <c r="IZ393" t="s">
        <v>1043</v>
      </c>
      <c r="JC393" t="s">
        <v>1043</v>
      </c>
      <c r="JE393">
        <v>0</v>
      </c>
      <c r="JF393">
        <v>0</v>
      </c>
      <c r="JI393" t="s">
        <v>1042</v>
      </c>
      <c r="JJ393">
        <v>0</v>
      </c>
      <c r="JK393">
        <v>0</v>
      </c>
      <c r="JL393">
        <v>0</v>
      </c>
      <c r="JM393">
        <v>0</v>
      </c>
      <c r="JQ393" t="s">
        <v>1043</v>
      </c>
      <c r="JT393">
        <v>0</v>
      </c>
      <c r="JU393" t="s">
        <v>1042</v>
      </c>
      <c r="JW393">
        <v>0</v>
      </c>
      <c r="KA393">
        <v>0</v>
      </c>
      <c r="KF393">
        <v>0</v>
      </c>
      <c r="KG393">
        <v>0</v>
      </c>
      <c r="KH393">
        <v>0</v>
      </c>
      <c r="KI393">
        <v>0</v>
      </c>
      <c r="KS393" t="s">
        <v>1073</v>
      </c>
      <c r="KT393">
        <v>0</v>
      </c>
      <c r="KU393">
        <v>0</v>
      </c>
      <c r="KV393">
        <v>0</v>
      </c>
      <c r="KX393">
        <v>0</v>
      </c>
      <c r="KZ393">
        <v>0</v>
      </c>
      <c r="LF393">
        <v>0</v>
      </c>
      <c r="LH393">
        <v>0</v>
      </c>
      <c r="LI393">
        <v>0</v>
      </c>
    </row>
    <row r="394" spans="1:321" x14ac:dyDescent="0.35">
      <c r="A394">
        <v>1</v>
      </c>
      <c r="B394">
        <v>12607</v>
      </c>
      <c r="C394" t="s">
        <v>1290</v>
      </c>
      <c r="D394" t="s">
        <v>1133</v>
      </c>
      <c r="E394" t="s">
        <v>1085</v>
      </c>
      <c r="F394">
        <v>80</v>
      </c>
      <c r="G394">
        <v>9000</v>
      </c>
      <c r="H394">
        <v>0</v>
      </c>
      <c r="I394" t="s">
        <v>1050</v>
      </c>
      <c r="L394">
        <v>0</v>
      </c>
      <c r="M394">
        <v>0</v>
      </c>
      <c r="N394">
        <v>0</v>
      </c>
      <c r="R394">
        <v>0</v>
      </c>
      <c r="S394">
        <v>0</v>
      </c>
      <c r="W394" t="s">
        <v>1060</v>
      </c>
      <c r="X394">
        <v>0</v>
      </c>
      <c r="Z394">
        <v>1</v>
      </c>
      <c r="AA394">
        <v>0</v>
      </c>
      <c r="AB394">
        <v>0</v>
      </c>
      <c r="AC394">
        <v>0</v>
      </c>
      <c r="AD394" s="20">
        <v>40799</v>
      </c>
      <c r="AE394">
        <v>3.6</v>
      </c>
      <c r="AF394">
        <v>0</v>
      </c>
      <c r="AH394">
        <v>0</v>
      </c>
      <c r="AJ394">
        <v>0</v>
      </c>
      <c r="AL394">
        <v>0</v>
      </c>
      <c r="AM394">
        <v>0</v>
      </c>
      <c r="AN394">
        <v>16601001</v>
      </c>
      <c r="AO394">
        <v>0</v>
      </c>
      <c r="AP394">
        <v>1003</v>
      </c>
      <c r="AT394">
        <v>0</v>
      </c>
      <c r="AU394" t="s">
        <v>1059</v>
      </c>
      <c r="AW394" t="s">
        <v>1053</v>
      </c>
      <c r="AX394">
        <v>0</v>
      </c>
      <c r="AY394" s="20">
        <v>40799</v>
      </c>
      <c r="BA394" s="20">
        <v>40799</v>
      </c>
      <c r="BB394" t="s">
        <v>1058</v>
      </c>
      <c r="BD394">
        <v>0</v>
      </c>
      <c r="BF394" t="s">
        <v>1043</v>
      </c>
      <c r="BG394" t="s">
        <v>1042</v>
      </c>
      <c r="BH394">
        <v>0</v>
      </c>
      <c r="BI394">
        <v>1</v>
      </c>
      <c r="BJ394">
        <v>0</v>
      </c>
      <c r="BK394">
        <v>0</v>
      </c>
      <c r="BM394" t="s">
        <v>1042</v>
      </c>
      <c r="BN394">
        <v>0</v>
      </c>
      <c r="BR394" t="s">
        <v>1043</v>
      </c>
      <c r="BS394" t="s">
        <v>1043</v>
      </c>
      <c r="BT394" t="s">
        <v>1043</v>
      </c>
      <c r="BW394">
        <v>83</v>
      </c>
      <c r="CA394">
        <v>0</v>
      </c>
      <c r="CB394" t="s">
        <v>1057</v>
      </c>
      <c r="CE394" t="s">
        <v>1043</v>
      </c>
      <c r="CH394" t="s">
        <v>1043</v>
      </c>
      <c r="CN394" t="s">
        <v>1056</v>
      </c>
      <c r="CO394" t="s">
        <v>1043</v>
      </c>
      <c r="CP394">
        <v>1</v>
      </c>
      <c r="CQ394">
        <v>0</v>
      </c>
      <c r="CS394">
        <v>0</v>
      </c>
      <c r="CT394">
        <v>0</v>
      </c>
      <c r="CU394">
        <v>0</v>
      </c>
      <c r="CV394" t="s">
        <v>1045</v>
      </c>
      <c r="CW394">
        <v>0</v>
      </c>
      <c r="CX394">
        <v>0</v>
      </c>
      <c r="CY394">
        <v>0</v>
      </c>
      <c r="CZ394">
        <v>0</v>
      </c>
      <c r="DB394">
        <v>0</v>
      </c>
      <c r="DC394" t="s">
        <v>1043</v>
      </c>
      <c r="DF394" t="s">
        <v>1055</v>
      </c>
      <c r="DH394">
        <v>0</v>
      </c>
      <c r="DJ394">
        <v>0</v>
      </c>
      <c r="DK394" t="s">
        <v>1053</v>
      </c>
      <c r="DL394">
        <v>0</v>
      </c>
      <c r="DN394">
        <v>0</v>
      </c>
      <c r="DO394" t="s">
        <v>1042</v>
      </c>
      <c r="DP394">
        <v>0</v>
      </c>
      <c r="DQ394">
        <v>0</v>
      </c>
      <c r="DS394">
        <v>0</v>
      </c>
      <c r="DU394">
        <v>0</v>
      </c>
      <c r="DW394">
        <v>0</v>
      </c>
      <c r="DX394" t="s">
        <v>1043</v>
      </c>
      <c r="DY394">
        <v>0</v>
      </c>
      <c r="DZ394">
        <v>0</v>
      </c>
      <c r="EA394">
        <v>0</v>
      </c>
      <c r="ED394" t="s">
        <v>1045</v>
      </c>
      <c r="EE394">
        <v>0</v>
      </c>
      <c r="EF394">
        <v>0</v>
      </c>
      <c r="EQ394" t="s">
        <v>1044</v>
      </c>
      <c r="ES394" t="s">
        <v>1053</v>
      </c>
      <c r="ET394">
        <v>0</v>
      </c>
      <c r="EV394">
        <v>0</v>
      </c>
      <c r="EY394" t="s">
        <v>1052</v>
      </c>
      <c r="EZ394">
        <v>0</v>
      </c>
      <c r="FA394" t="s">
        <v>1043</v>
      </c>
      <c r="FB394">
        <v>0</v>
      </c>
      <c r="FC394">
        <v>0</v>
      </c>
      <c r="FE394" t="s">
        <v>1050</v>
      </c>
      <c r="FF394">
        <v>0</v>
      </c>
      <c r="FG394" t="s">
        <v>1050</v>
      </c>
      <c r="FJ394">
        <v>0</v>
      </c>
      <c r="FK394">
        <v>0</v>
      </c>
      <c r="FP394">
        <v>0</v>
      </c>
      <c r="FR394">
        <v>0</v>
      </c>
      <c r="FS394" t="s">
        <v>1043</v>
      </c>
      <c r="FX394" t="s">
        <v>1042</v>
      </c>
      <c r="FZ394" t="s">
        <v>1048</v>
      </c>
      <c r="GA394">
        <v>0</v>
      </c>
      <c r="GB394" t="s">
        <v>1042</v>
      </c>
      <c r="GE394">
        <v>0</v>
      </c>
      <c r="GG394">
        <v>0</v>
      </c>
      <c r="GN394">
        <v>0</v>
      </c>
      <c r="GO394" t="s">
        <v>1063</v>
      </c>
      <c r="GQ394">
        <v>0</v>
      </c>
      <c r="GU394">
        <v>0</v>
      </c>
      <c r="GY394" t="s">
        <v>1045</v>
      </c>
      <c r="HB394">
        <v>0</v>
      </c>
      <c r="HE394">
        <v>0</v>
      </c>
      <c r="HF394">
        <v>0</v>
      </c>
      <c r="HG394">
        <v>0</v>
      </c>
      <c r="HK394" t="s">
        <v>1042</v>
      </c>
      <c r="HM394" t="s">
        <v>1047</v>
      </c>
      <c r="HN394">
        <v>0</v>
      </c>
      <c r="HP394">
        <v>0</v>
      </c>
      <c r="HQ394">
        <v>0</v>
      </c>
      <c r="HR394" t="s">
        <v>1042</v>
      </c>
      <c r="HS394" t="s">
        <v>1043</v>
      </c>
      <c r="HT394">
        <v>0</v>
      </c>
      <c r="HU394">
        <v>0</v>
      </c>
      <c r="HW394">
        <v>0</v>
      </c>
      <c r="HX394">
        <v>0</v>
      </c>
      <c r="HY394">
        <v>0</v>
      </c>
      <c r="HZ394" t="s">
        <v>1045</v>
      </c>
      <c r="IA394">
        <v>0</v>
      </c>
      <c r="IB394" t="s">
        <v>1045</v>
      </c>
      <c r="ID394" t="s">
        <v>1045</v>
      </c>
      <c r="IF394">
        <v>0</v>
      </c>
      <c r="IG394" t="s">
        <v>1042</v>
      </c>
      <c r="II394" t="s">
        <v>1042</v>
      </c>
      <c r="IR394" t="s">
        <v>1045</v>
      </c>
      <c r="IT394">
        <v>0</v>
      </c>
      <c r="IY394" t="s">
        <v>1044</v>
      </c>
      <c r="IZ394" t="s">
        <v>1043</v>
      </c>
      <c r="JC394" t="s">
        <v>1043</v>
      </c>
      <c r="JE394">
        <v>0</v>
      </c>
      <c r="JF394">
        <v>0</v>
      </c>
      <c r="JI394" t="s">
        <v>1042</v>
      </c>
      <c r="JJ394">
        <v>0</v>
      </c>
      <c r="JK394">
        <v>0</v>
      </c>
      <c r="JL394">
        <v>0</v>
      </c>
      <c r="JM394">
        <v>0</v>
      </c>
      <c r="JQ394" t="s">
        <v>1043</v>
      </c>
      <c r="JT394">
        <v>0</v>
      </c>
      <c r="JU394" t="s">
        <v>1042</v>
      </c>
      <c r="JW394">
        <v>0</v>
      </c>
      <c r="KA394">
        <v>0</v>
      </c>
      <c r="KF394">
        <v>0</v>
      </c>
      <c r="KG394">
        <v>0</v>
      </c>
      <c r="KH394">
        <v>0</v>
      </c>
      <c r="KI394">
        <v>0</v>
      </c>
      <c r="KS394" t="s">
        <v>1073</v>
      </c>
      <c r="KT394">
        <v>0</v>
      </c>
      <c r="KU394">
        <v>0</v>
      </c>
      <c r="KV394">
        <v>0</v>
      </c>
      <c r="KX394">
        <v>0</v>
      </c>
      <c r="KZ394">
        <v>0</v>
      </c>
      <c r="LF394">
        <v>0</v>
      </c>
      <c r="LH394">
        <v>0</v>
      </c>
      <c r="LI394">
        <v>0</v>
      </c>
    </row>
    <row r="395" spans="1:321" x14ac:dyDescent="0.35">
      <c r="A395">
        <v>1</v>
      </c>
      <c r="B395">
        <v>12608</v>
      </c>
      <c r="C395" t="s">
        <v>1289</v>
      </c>
      <c r="D395" t="s">
        <v>1133</v>
      </c>
      <c r="E395" t="s">
        <v>1085</v>
      </c>
      <c r="F395">
        <v>80</v>
      </c>
      <c r="G395">
        <v>9000</v>
      </c>
      <c r="H395">
        <v>0</v>
      </c>
      <c r="I395" t="s">
        <v>1050</v>
      </c>
      <c r="L395">
        <v>0</v>
      </c>
      <c r="M395">
        <v>0</v>
      </c>
      <c r="N395">
        <v>0</v>
      </c>
      <c r="R395">
        <v>0</v>
      </c>
      <c r="S395">
        <v>0</v>
      </c>
      <c r="W395" t="s">
        <v>1060</v>
      </c>
      <c r="X395">
        <v>0</v>
      </c>
      <c r="Z395">
        <v>1</v>
      </c>
      <c r="AA395">
        <v>0</v>
      </c>
      <c r="AB395">
        <v>0</v>
      </c>
      <c r="AC395">
        <v>0</v>
      </c>
      <c r="AD395" s="20">
        <v>40799</v>
      </c>
      <c r="AE395">
        <v>3.6</v>
      </c>
      <c r="AF395">
        <v>0</v>
      </c>
      <c r="AH395">
        <v>0</v>
      </c>
      <c r="AJ395">
        <v>0</v>
      </c>
      <c r="AL395">
        <v>0</v>
      </c>
      <c r="AM395">
        <v>0</v>
      </c>
      <c r="AN395">
        <v>16601001</v>
      </c>
      <c r="AO395">
        <v>0</v>
      </c>
      <c r="AP395">
        <v>1003</v>
      </c>
      <c r="AT395">
        <v>0</v>
      </c>
      <c r="AU395" t="s">
        <v>1059</v>
      </c>
      <c r="AW395" t="s">
        <v>1053</v>
      </c>
      <c r="AX395">
        <v>0</v>
      </c>
      <c r="AY395" s="20">
        <v>40799</v>
      </c>
      <c r="BA395" s="20">
        <v>40799</v>
      </c>
      <c r="BB395" t="s">
        <v>1058</v>
      </c>
      <c r="BD395">
        <v>0</v>
      </c>
      <c r="BF395" t="s">
        <v>1043</v>
      </c>
      <c r="BG395" t="s">
        <v>1042</v>
      </c>
      <c r="BH395">
        <v>0</v>
      </c>
      <c r="BI395">
        <v>1</v>
      </c>
      <c r="BJ395">
        <v>0</v>
      </c>
      <c r="BK395">
        <v>0</v>
      </c>
      <c r="BM395" t="s">
        <v>1042</v>
      </c>
      <c r="BN395">
        <v>0</v>
      </c>
      <c r="BR395" t="s">
        <v>1043</v>
      </c>
      <c r="BS395" t="s">
        <v>1043</v>
      </c>
      <c r="BT395" t="s">
        <v>1043</v>
      </c>
      <c r="BW395">
        <v>83</v>
      </c>
      <c r="CA395">
        <v>0</v>
      </c>
      <c r="CB395" t="s">
        <v>1057</v>
      </c>
      <c r="CE395" t="s">
        <v>1043</v>
      </c>
      <c r="CH395" t="s">
        <v>1043</v>
      </c>
      <c r="CN395" t="s">
        <v>1056</v>
      </c>
      <c r="CO395" t="s">
        <v>1043</v>
      </c>
      <c r="CP395">
        <v>1</v>
      </c>
      <c r="CQ395">
        <v>0</v>
      </c>
      <c r="CS395">
        <v>0</v>
      </c>
      <c r="CT395">
        <v>0</v>
      </c>
      <c r="CU395">
        <v>0</v>
      </c>
      <c r="CV395" t="s">
        <v>1045</v>
      </c>
      <c r="CW395">
        <v>0</v>
      </c>
      <c r="CX395">
        <v>0</v>
      </c>
      <c r="CY395">
        <v>0</v>
      </c>
      <c r="CZ395">
        <v>0</v>
      </c>
      <c r="DB395">
        <v>0</v>
      </c>
      <c r="DC395" t="s">
        <v>1043</v>
      </c>
      <c r="DF395" t="s">
        <v>1055</v>
      </c>
      <c r="DH395">
        <v>0</v>
      </c>
      <c r="DJ395">
        <v>0</v>
      </c>
      <c r="DK395" t="s">
        <v>1053</v>
      </c>
      <c r="DL395">
        <v>0</v>
      </c>
      <c r="DN395">
        <v>0</v>
      </c>
      <c r="DO395" t="s">
        <v>1042</v>
      </c>
      <c r="DP395">
        <v>0</v>
      </c>
      <c r="DQ395">
        <v>0</v>
      </c>
      <c r="DS395">
        <v>0</v>
      </c>
      <c r="DU395">
        <v>0</v>
      </c>
      <c r="DW395">
        <v>0</v>
      </c>
      <c r="DX395" t="s">
        <v>1043</v>
      </c>
      <c r="DY395">
        <v>0</v>
      </c>
      <c r="DZ395">
        <v>0</v>
      </c>
      <c r="EA395">
        <v>0</v>
      </c>
      <c r="ED395" t="s">
        <v>1045</v>
      </c>
      <c r="EE395">
        <v>0</v>
      </c>
      <c r="EF395">
        <v>0</v>
      </c>
      <c r="EQ395" t="s">
        <v>1044</v>
      </c>
      <c r="ES395" t="s">
        <v>1053</v>
      </c>
      <c r="ET395">
        <v>0</v>
      </c>
      <c r="EV395">
        <v>0</v>
      </c>
      <c r="EY395" t="s">
        <v>1052</v>
      </c>
      <c r="EZ395">
        <v>0</v>
      </c>
      <c r="FA395" t="s">
        <v>1043</v>
      </c>
      <c r="FB395">
        <v>0</v>
      </c>
      <c r="FC395">
        <v>0</v>
      </c>
      <c r="FE395" t="s">
        <v>1050</v>
      </c>
      <c r="FF395">
        <v>0</v>
      </c>
      <c r="FG395" t="s">
        <v>1050</v>
      </c>
      <c r="FJ395">
        <v>0</v>
      </c>
      <c r="FK395">
        <v>0</v>
      </c>
      <c r="FP395">
        <v>0</v>
      </c>
      <c r="FR395">
        <v>0</v>
      </c>
      <c r="FS395" t="s">
        <v>1043</v>
      </c>
      <c r="FX395" t="s">
        <v>1042</v>
      </c>
      <c r="FZ395" t="s">
        <v>1048</v>
      </c>
      <c r="GA395">
        <v>0</v>
      </c>
      <c r="GB395" t="s">
        <v>1042</v>
      </c>
      <c r="GE395">
        <v>0</v>
      </c>
      <c r="GG395">
        <v>0</v>
      </c>
      <c r="GN395">
        <v>0</v>
      </c>
      <c r="GO395" t="s">
        <v>1063</v>
      </c>
      <c r="GQ395">
        <v>0</v>
      </c>
      <c r="GU395">
        <v>0</v>
      </c>
      <c r="GY395" t="s">
        <v>1045</v>
      </c>
      <c r="HB395">
        <v>0</v>
      </c>
      <c r="HE395">
        <v>0</v>
      </c>
      <c r="HF395">
        <v>0</v>
      </c>
      <c r="HG395">
        <v>0</v>
      </c>
      <c r="HK395" t="s">
        <v>1042</v>
      </c>
      <c r="HM395" t="s">
        <v>1047</v>
      </c>
      <c r="HN395">
        <v>0</v>
      </c>
      <c r="HP395">
        <v>0</v>
      </c>
      <c r="HQ395">
        <v>0</v>
      </c>
      <c r="HR395" t="s">
        <v>1042</v>
      </c>
      <c r="HS395" t="s">
        <v>1043</v>
      </c>
      <c r="HT395">
        <v>0</v>
      </c>
      <c r="HU395">
        <v>0</v>
      </c>
      <c r="HW395">
        <v>0</v>
      </c>
      <c r="HX395">
        <v>0</v>
      </c>
      <c r="HY395">
        <v>0</v>
      </c>
      <c r="HZ395" t="s">
        <v>1045</v>
      </c>
      <c r="IA395">
        <v>0</v>
      </c>
      <c r="IB395" t="s">
        <v>1045</v>
      </c>
      <c r="ID395" t="s">
        <v>1045</v>
      </c>
      <c r="IF395">
        <v>0</v>
      </c>
      <c r="IG395" t="s">
        <v>1042</v>
      </c>
      <c r="II395" t="s">
        <v>1042</v>
      </c>
      <c r="IR395" t="s">
        <v>1045</v>
      </c>
      <c r="IT395">
        <v>0</v>
      </c>
      <c r="IY395" t="s">
        <v>1044</v>
      </c>
      <c r="IZ395" t="s">
        <v>1043</v>
      </c>
      <c r="JC395" t="s">
        <v>1043</v>
      </c>
      <c r="JE395">
        <v>0</v>
      </c>
      <c r="JF395">
        <v>0</v>
      </c>
      <c r="JI395" t="s">
        <v>1042</v>
      </c>
      <c r="JJ395">
        <v>0</v>
      </c>
      <c r="JK395">
        <v>0</v>
      </c>
      <c r="JL395">
        <v>0</v>
      </c>
      <c r="JM395">
        <v>0</v>
      </c>
      <c r="JQ395" t="s">
        <v>1043</v>
      </c>
      <c r="JT395">
        <v>0</v>
      </c>
      <c r="JU395" t="s">
        <v>1042</v>
      </c>
      <c r="JW395">
        <v>0</v>
      </c>
      <c r="KA395">
        <v>0</v>
      </c>
      <c r="KF395">
        <v>0</v>
      </c>
      <c r="KG395">
        <v>0</v>
      </c>
      <c r="KH395">
        <v>0</v>
      </c>
      <c r="KI395">
        <v>0</v>
      </c>
      <c r="KS395" t="s">
        <v>1073</v>
      </c>
      <c r="KT395">
        <v>0</v>
      </c>
      <c r="KU395">
        <v>0</v>
      </c>
      <c r="KV395">
        <v>0</v>
      </c>
      <c r="KX395">
        <v>0</v>
      </c>
      <c r="KZ395">
        <v>0</v>
      </c>
      <c r="LF395">
        <v>0</v>
      </c>
      <c r="LH395">
        <v>0</v>
      </c>
      <c r="LI395">
        <v>0</v>
      </c>
    </row>
    <row r="396" spans="1:321" x14ac:dyDescent="0.35">
      <c r="A396">
        <v>1</v>
      </c>
      <c r="B396">
        <v>12609</v>
      </c>
      <c r="C396" t="s">
        <v>1288</v>
      </c>
      <c r="D396" t="s">
        <v>1133</v>
      </c>
      <c r="E396" t="s">
        <v>1085</v>
      </c>
      <c r="F396">
        <v>80</v>
      </c>
      <c r="G396">
        <v>9000</v>
      </c>
      <c r="H396">
        <v>0</v>
      </c>
      <c r="I396" t="s">
        <v>1050</v>
      </c>
      <c r="L396">
        <v>0</v>
      </c>
      <c r="M396">
        <v>0</v>
      </c>
      <c r="N396">
        <v>0</v>
      </c>
      <c r="R396">
        <v>0</v>
      </c>
      <c r="S396">
        <v>0</v>
      </c>
      <c r="W396" t="s">
        <v>1060</v>
      </c>
      <c r="X396">
        <v>0</v>
      </c>
      <c r="Z396">
        <v>1</v>
      </c>
      <c r="AA396">
        <v>0</v>
      </c>
      <c r="AB396">
        <v>0</v>
      </c>
      <c r="AC396">
        <v>0</v>
      </c>
      <c r="AD396" s="20">
        <v>40799</v>
      </c>
      <c r="AE396">
        <v>3.6</v>
      </c>
      <c r="AF396">
        <v>0</v>
      </c>
      <c r="AH396">
        <v>0</v>
      </c>
      <c r="AJ396">
        <v>0</v>
      </c>
      <c r="AL396">
        <v>0</v>
      </c>
      <c r="AM396">
        <v>0</v>
      </c>
      <c r="AN396">
        <v>16601001</v>
      </c>
      <c r="AO396">
        <v>0</v>
      </c>
      <c r="AP396">
        <v>1003</v>
      </c>
      <c r="AT396">
        <v>0</v>
      </c>
      <c r="AU396" t="s">
        <v>1059</v>
      </c>
      <c r="AW396" t="s">
        <v>1053</v>
      </c>
      <c r="AX396">
        <v>0</v>
      </c>
      <c r="AY396" s="20">
        <v>40799</v>
      </c>
      <c r="BA396" s="20">
        <v>40799</v>
      </c>
      <c r="BB396" t="s">
        <v>1058</v>
      </c>
      <c r="BD396">
        <v>0</v>
      </c>
      <c r="BF396" t="s">
        <v>1043</v>
      </c>
      <c r="BG396" t="s">
        <v>1042</v>
      </c>
      <c r="BH396">
        <v>0</v>
      </c>
      <c r="BI396">
        <v>1</v>
      </c>
      <c r="BJ396">
        <v>0</v>
      </c>
      <c r="BK396">
        <v>0</v>
      </c>
      <c r="BM396" t="s">
        <v>1042</v>
      </c>
      <c r="BN396">
        <v>0</v>
      </c>
      <c r="BR396" t="s">
        <v>1043</v>
      </c>
      <c r="BS396" t="s">
        <v>1043</v>
      </c>
      <c r="BT396" t="s">
        <v>1043</v>
      </c>
      <c r="BW396">
        <v>83</v>
      </c>
      <c r="CA396">
        <v>0</v>
      </c>
      <c r="CB396" t="s">
        <v>1057</v>
      </c>
      <c r="CE396" t="s">
        <v>1043</v>
      </c>
      <c r="CH396" t="s">
        <v>1043</v>
      </c>
      <c r="CN396" t="s">
        <v>1056</v>
      </c>
      <c r="CO396" t="s">
        <v>1043</v>
      </c>
      <c r="CP396">
        <v>1</v>
      </c>
      <c r="CQ396">
        <v>0</v>
      </c>
      <c r="CS396">
        <v>0</v>
      </c>
      <c r="CT396">
        <v>0</v>
      </c>
      <c r="CU396">
        <v>0</v>
      </c>
      <c r="CV396" t="s">
        <v>1045</v>
      </c>
      <c r="CW396">
        <v>0</v>
      </c>
      <c r="CX396">
        <v>0</v>
      </c>
      <c r="CY396">
        <v>0</v>
      </c>
      <c r="CZ396">
        <v>0</v>
      </c>
      <c r="DB396">
        <v>0</v>
      </c>
      <c r="DC396" t="s">
        <v>1043</v>
      </c>
      <c r="DF396" t="s">
        <v>1055</v>
      </c>
      <c r="DH396">
        <v>0</v>
      </c>
      <c r="DJ396">
        <v>0</v>
      </c>
      <c r="DK396" t="s">
        <v>1053</v>
      </c>
      <c r="DL396">
        <v>0</v>
      </c>
      <c r="DN396">
        <v>0</v>
      </c>
      <c r="DO396" t="s">
        <v>1042</v>
      </c>
      <c r="DP396">
        <v>0</v>
      </c>
      <c r="DQ396">
        <v>0</v>
      </c>
      <c r="DS396">
        <v>0</v>
      </c>
      <c r="DU396">
        <v>0</v>
      </c>
      <c r="DW396">
        <v>0</v>
      </c>
      <c r="DX396" t="s">
        <v>1043</v>
      </c>
      <c r="DY396">
        <v>0</v>
      </c>
      <c r="DZ396">
        <v>0</v>
      </c>
      <c r="EA396">
        <v>0</v>
      </c>
      <c r="ED396" t="s">
        <v>1045</v>
      </c>
      <c r="EE396">
        <v>0</v>
      </c>
      <c r="EF396">
        <v>0</v>
      </c>
      <c r="EQ396" t="s">
        <v>1044</v>
      </c>
      <c r="ES396" t="s">
        <v>1053</v>
      </c>
      <c r="ET396">
        <v>0</v>
      </c>
      <c r="EV396">
        <v>0</v>
      </c>
      <c r="EY396" t="s">
        <v>1052</v>
      </c>
      <c r="EZ396">
        <v>0</v>
      </c>
      <c r="FA396" t="s">
        <v>1043</v>
      </c>
      <c r="FB396">
        <v>0</v>
      </c>
      <c r="FC396">
        <v>0</v>
      </c>
      <c r="FE396" t="s">
        <v>1050</v>
      </c>
      <c r="FF396">
        <v>0</v>
      </c>
      <c r="FG396" t="s">
        <v>1050</v>
      </c>
      <c r="FJ396">
        <v>0</v>
      </c>
      <c r="FK396">
        <v>0</v>
      </c>
      <c r="FP396">
        <v>0</v>
      </c>
      <c r="FR396">
        <v>0</v>
      </c>
      <c r="FS396" t="s">
        <v>1043</v>
      </c>
      <c r="FX396" t="s">
        <v>1042</v>
      </c>
      <c r="FZ396" t="s">
        <v>1048</v>
      </c>
      <c r="GA396">
        <v>0</v>
      </c>
      <c r="GB396" t="s">
        <v>1042</v>
      </c>
      <c r="GE396">
        <v>0</v>
      </c>
      <c r="GG396">
        <v>0</v>
      </c>
      <c r="GN396">
        <v>0</v>
      </c>
      <c r="GO396" t="s">
        <v>1063</v>
      </c>
      <c r="GQ396">
        <v>0</v>
      </c>
      <c r="GU396">
        <v>0</v>
      </c>
      <c r="GY396" t="s">
        <v>1045</v>
      </c>
      <c r="HB396">
        <v>0</v>
      </c>
      <c r="HE396">
        <v>0</v>
      </c>
      <c r="HF396">
        <v>0</v>
      </c>
      <c r="HG396">
        <v>0</v>
      </c>
      <c r="HK396" t="s">
        <v>1042</v>
      </c>
      <c r="HM396" t="s">
        <v>1047</v>
      </c>
      <c r="HN396">
        <v>0</v>
      </c>
      <c r="HP396">
        <v>0</v>
      </c>
      <c r="HQ396">
        <v>0</v>
      </c>
      <c r="HR396" t="s">
        <v>1042</v>
      </c>
      <c r="HS396" t="s">
        <v>1043</v>
      </c>
      <c r="HT396">
        <v>0</v>
      </c>
      <c r="HU396">
        <v>0</v>
      </c>
      <c r="HW396">
        <v>0</v>
      </c>
      <c r="HX396">
        <v>0</v>
      </c>
      <c r="HY396">
        <v>0</v>
      </c>
      <c r="HZ396" t="s">
        <v>1045</v>
      </c>
      <c r="IA396">
        <v>0</v>
      </c>
      <c r="IB396" t="s">
        <v>1045</v>
      </c>
      <c r="ID396" t="s">
        <v>1045</v>
      </c>
      <c r="IF396">
        <v>0</v>
      </c>
      <c r="IG396" t="s">
        <v>1042</v>
      </c>
      <c r="II396" t="s">
        <v>1042</v>
      </c>
      <c r="IR396" t="s">
        <v>1045</v>
      </c>
      <c r="IT396">
        <v>0</v>
      </c>
      <c r="IY396" t="s">
        <v>1044</v>
      </c>
      <c r="IZ396" t="s">
        <v>1043</v>
      </c>
      <c r="JC396" t="s">
        <v>1043</v>
      </c>
      <c r="JE396">
        <v>0</v>
      </c>
      <c r="JF396">
        <v>0</v>
      </c>
      <c r="JI396" t="s">
        <v>1042</v>
      </c>
      <c r="JJ396">
        <v>0</v>
      </c>
      <c r="JK396">
        <v>0</v>
      </c>
      <c r="JL396">
        <v>0</v>
      </c>
      <c r="JM396">
        <v>0</v>
      </c>
      <c r="JQ396" t="s">
        <v>1043</v>
      </c>
      <c r="JT396">
        <v>0</v>
      </c>
      <c r="JU396" t="s">
        <v>1042</v>
      </c>
      <c r="JW396">
        <v>0</v>
      </c>
      <c r="KA396">
        <v>0</v>
      </c>
      <c r="KF396">
        <v>0</v>
      </c>
      <c r="KG396">
        <v>0</v>
      </c>
      <c r="KH396">
        <v>0</v>
      </c>
      <c r="KI396">
        <v>0</v>
      </c>
      <c r="KS396" t="s">
        <v>1073</v>
      </c>
      <c r="KT396">
        <v>0</v>
      </c>
      <c r="KU396">
        <v>0</v>
      </c>
      <c r="KV396">
        <v>0</v>
      </c>
      <c r="KX396">
        <v>0</v>
      </c>
      <c r="KZ396">
        <v>0</v>
      </c>
      <c r="LF396">
        <v>0</v>
      </c>
      <c r="LH396">
        <v>0</v>
      </c>
      <c r="LI396">
        <v>0</v>
      </c>
    </row>
    <row r="397" spans="1:321" x14ac:dyDescent="0.35">
      <c r="A397">
        <v>1</v>
      </c>
      <c r="B397">
        <v>1261</v>
      </c>
      <c r="C397" t="s">
        <v>647</v>
      </c>
      <c r="D397" t="s">
        <v>1061</v>
      </c>
      <c r="E397" t="s">
        <v>85</v>
      </c>
      <c r="F397">
        <v>1</v>
      </c>
      <c r="G397">
        <v>240</v>
      </c>
      <c r="H397">
        <v>0</v>
      </c>
      <c r="I397" t="s">
        <v>994</v>
      </c>
      <c r="L397">
        <v>0</v>
      </c>
      <c r="M397">
        <v>0</v>
      </c>
      <c r="N397">
        <v>0</v>
      </c>
      <c r="P397">
        <v>13</v>
      </c>
      <c r="Q397">
        <v>516</v>
      </c>
      <c r="R397">
        <v>0</v>
      </c>
      <c r="S397">
        <v>0</v>
      </c>
      <c r="W397" t="s">
        <v>1060</v>
      </c>
      <c r="X397">
        <v>0</v>
      </c>
      <c r="Z397">
        <v>12</v>
      </c>
      <c r="AA397">
        <v>28.245999999999999</v>
      </c>
      <c r="AB397">
        <v>33</v>
      </c>
      <c r="AC397">
        <v>0.27479999999999999</v>
      </c>
      <c r="AD397" t="s">
        <v>1042</v>
      </c>
      <c r="AE397">
        <v>0</v>
      </c>
      <c r="AF397">
        <v>4.8399999999999999E-2</v>
      </c>
      <c r="AH397">
        <v>2</v>
      </c>
      <c r="AJ397">
        <v>0</v>
      </c>
      <c r="AL397">
        <v>348</v>
      </c>
      <c r="AM397">
        <v>1440</v>
      </c>
      <c r="AN397">
        <v>11501001</v>
      </c>
      <c r="AO397">
        <v>0</v>
      </c>
      <c r="AP397">
        <v>1002</v>
      </c>
      <c r="AT397">
        <v>0</v>
      </c>
      <c r="AU397" t="s">
        <v>1059</v>
      </c>
      <c r="AW397" t="s">
        <v>1053</v>
      </c>
      <c r="AX397">
        <v>0</v>
      </c>
      <c r="AY397" s="20">
        <v>43274</v>
      </c>
      <c r="BA397" s="20">
        <v>44523</v>
      </c>
      <c r="BB397" t="s">
        <v>1058</v>
      </c>
      <c r="BD397">
        <v>0</v>
      </c>
      <c r="BF397" t="s">
        <v>1044</v>
      </c>
      <c r="BG397" s="20">
        <v>41554</v>
      </c>
      <c r="BH397">
        <v>0</v>
      </c>
      <c r="BI397">
        <v>21</v>
      </c>
      <c r="BJ397">
        <v>0</v>
      </c>
      <c r="BK397">
        <v>0</v>
      </c>
      <c r="BM397" s="20">
        <v>41431</v>
      </c>
      <c r="BN397">
        <v>0</v>
      </c>
      <c r="BO397">
        <v>7897801312653</v>
      </c>
      <c r="BR397" t="s">
        <v>1043</v>
      </c>
      <c r="BS397" t="s">
        <v>1043</v>
      </c>
      <c r="BT397" t="s">
        <v>1043</v>
      </c>
      <c r="BV397">
        <v>1</v>
      </c>
      <c r="BW397">
        <v>2</v>
      </c>
      <c r="BY397">
        <v>69</v>
      </c>
      <c r="CA397">
        <v>0</v>
      </c>
      <c r="CB397" t="s">
        <v>1057</v>
      </c>
      <c r="CE397" t="s">
        <v>1043</v>
      </c>
      <c r="CH397" t="s">
        <v>1043</v>
      </c>
      <c r="CN397" t="s">
        <v>1056</v>
      </c>
      <c r="CO397" t="s">
        <v>1043</v>
      </c>
      <c r="CP397">
        <v>1</v>
      </c>
      <c r="CQ397">
        <v>40</v>
      </c>
      <c r="CS397">
        <v>0</v>
      </c>
      <c r="CT397">
        <v>0</v>
      </c>
      <c r="CU397">
        <v>0</v>
      </c>
      <c r="CV397" t="s">
        <v>1045</v>
      </c>
      <c r="CW397">
        <v>0</v>
      </c>
      <c r="CX397">
        <v>0</v>
      </c>
      <c r="CY397">
        <v>0</v>
      </c>
      <c r="CZ397">
        <v>0</v>
      </c>
      <c r="DA397">
        <v>6</v>
      </c>
      <c r="DB397">
        <v>0</v>
      </c>
      <c r="DC397" t="s">
        <v>1043</v>
      </c>
      <c r="DF397" t="s">
        <v>1055</v>
      </c>
      <c r="DH397">
        <v>0</v>
      </c>
      <c r="DJ397">
        <v>0</v>
      </c>
      <c r="DK397" t="s">
        <v>1053</v>
      </c>
      <c r="DL397">
        <v>0</v>
      </c>
      <c r="DN397">
        <v>0</v>
      </c>
      <c r="DO397" t="s">
        <v>1042</v>
      </c>
      <c r="DP397">
        <v>0</v>
      </c>
      <c r="DQ397">
        <v>7.6</v>
      </c>
      <c r="DS397">
        <v>0</v>
      </c>
      <c r="DU397">
        <v>1.65</v>
      </c>
      <c r="DW397">
        <v>0</v>
      </c>
      <c r="DX397" t="s">
        <v>1043</v>
      </c>
      <c r="DY397">
        <v>0</v>
      </c>
      <c r="DZ397">
        <v>0</v>
      </c>
      <c r="EA397">
        <v>0</v>
      </c>
      <c r="EB397">
        <v>17897801312650</v>
      </c>
      <c r="ED397" t="s">
        <v>1045</v>
      </c>
      <c r="EE397">
        <v>0</v>
      </c>
      <c r="EF397">
        <v>0</v>
      </c>
      <c r="EL397">
        <v>57897801312658</v>
      </c>
      <c r="EN397" t="s">
        <v>1012</v>
      </c>
      <c r="EQ397" t="s">
        <v>1044</v>
      </c>
      <c r="ES397" t="s">
        <v>1053</v>
      </c>
      <c r="ET397">
        <v>0</v>
      </c>
      <c r="EV397">
        <v>0</v>
      </c>
      <c r="EY397" t="s">
        <v>1052</v>
      </c>
      <c r="EZ397">
        <v>0</v>
      </c>
      <c r="FA397" t="s">
        <v>1043</v>
      </c>
      <c r="FB397">
        <v>0</v>
      </c>
      <c r="FC397">
        <v>0</v>
      </c>
      <c r="FD397" t="s">
        <v>1051</v>
      </c>
      <c r="FE397" t="s">
        <v>1050</v>
      </c>
      <c r="FF397">
        <v>120</v>
      </c>
      <c r="FG397" t="s">
        <v>1050</v>
      </c>
      <c r="FH397">
        <v>27897801312657</v>
      </c>
      <c r="FJ397">
        <v>0</v>
      </c>
      <c r="FK397">
        <v>0</v>
      </c>
      <c r="FP397">
        <v>0</v>
      </c>
      <c r="FR397">
        <v>0</v>
      </c>
      <c r="FS397" t="s">
        <v>1043</v>
      </c>
      <c r="FX397" t="s">
        <v>1042</v>
      </c>
      <c r="FZ397" t="s">
        <v>1048</v>
      </c>
      <c r="GA397">
        <v>0</v>
      </c>
      <c r="GB397" t="s">
        <v>1042</v>
      </c>
      <c r="GD397">
        <v>16</v>
      </c>
      <c r="GE397">
        <v>0</v>
      </c>
      <c r="GG397">
        <v>0</v>
      </c>
      <c r="GN397">
        <v>0</v>
      </c>
      <c r="GO397" t="s">
        <v>1049</v>
      </c>
      <c r="GQ397">
        <v>0</v>
      </c>
      <c r="GU397">
        <v>0</v>
      </c>
      <c r="GY397" t="s">
        <v>1045</v>
      </c>
      <c r="HB397">
        <v>0</v>
      </c>
      <c r="HE397">
        <v>30</v>
      </c>
      <c r="HF397">
        <v>0</v>
      </c>
      <c r="HG397">
        <v>7.62E-3</v>
      </c>
      <c r="HK397" t="s">
        <v>1042</v>
      </c>
      <c r="HM397" t="s">
        <v>1047</v>
      </c>
      <c r="HN397">
        <v>0</v>
      </c>
      <c r="HO397">
        <v>27</v>
      </c>
      <c r="HP397">
        <v>4.7199999999999999E-2</v>
      </c>
      <c r="HQ397">
        <v>0</v>
      </c>
      <c r="HR397" t="s">
        <v>1042</v>
      </c>
      <c r="HS397" t="s">
        <v>1043</v>
      </c>
      <c r="HT397">
        <v>0</v>
      </c>
      <c r="HU397">
        <v>0</v>
      </c>
      <c r="HW397">
        <v>0</v>
      </c>
      <c r="HX397">
        <v>78</v>
      </c>
      <c r="HY397">
        <v>0</v>
      </c>
      <c r="HZ397" t="s">
        <v>1045</v>
      </c>
      <c r="IA397">
        <v>0</v>
      </c>
      <c r="IB397" t="s">
        <v>1045</v>
      </c>
      <c r="ID397" t="s">
        <v>1045</v>
      </c>
      <c r="IF397">
        <v>3000</v>
      </c>
      <c r="IG397" s="20">
        <v>41555</v>
      </c>
      <c r="II397" t="s">
        <v>1042</v>
      </c>
      <c r="IR397" t="s">
        <v>1045</v>
      </c>
      <c r="IT397">
        <v>0</v>
      </c>
      <c r="IY397" t="s">
        <v>1044</v>
      </c>
      <c r="IZ397" t="s">
        <v>1043</v>
      </c>
      <c r="JC397" t="s">
        <v>1043</v>
      </c>
      <c r="JE397">
        <v>0</v>
      </c>
      <c r="JF397">
        <v>0</v>
      </c>
      <c r="JI397" t="s">
        <v>1042</v>
      </c>
      <c r="JJ397">
        <v>0</v>
      </c>
      <c r="JK397">
        <v>0</v>
      </c>
      <c r="JL397">
        <v>0</v>
      </c>
      <c r="JM397">
        <v>0</v>
      </c>
      <c r="JQ397" t="s">
        <v>1043</v>
      </c>
      <c r="JT397">
        <v>0</v>
      </c>
      <c r="JU397" t="s">
        <v>1042</v>
      </c>
      <c r="JW397">
        <v>0</v>
      </c>
      <c r="KA397">
        <v>0</v>
      </c>
      <c r="KF397">
        <v>0</v>
      </c>
      <c r="KG397">
        <v>0</v>
      </c>
      <c r="KH397">
        <v>0</v>
      </c>
      <c r="KI397">
        <v>0</v>
      </c>
      <c r="KS397" t="s">
        <v>1041</v>
      </c>
      <c r="KT397">
        <v>0</v>
      </c>
      <c r="KU397">
        <v>0</v>
      </c>
      <c r="KV397">
        <v>0</v>
      </c>
      <c r="KX397">
        <v>0</v>
      </c>
      <c r="KZ397">
        <v>0</v>
      </c>
      <c r="LF397">
        <v>0</v>
      </c>
      <c r="LH397">
        <v>60480</v>
      </c>
      <c r="LI397">
        <v>0</v>
      </c>
    </row>
    <row r="398" spans="1:321" x14ac:dyDescent="0.35">
      <c r="A398">
        <v>1</v>
      </c>
      <c r="B398">
        <v>12610</v>
      </c>
      <c r="C398" t="s">
        <v>1287</v>
      </c>
      <c r="D398" t="s">
        <v>1133</v>
      </c>
      <c r="E398" t="s">
        <v>1085</v>
      </c>
      <c r="F398">
        <v>80</v>
      </c>
      <c r="G398">
        <v>9000</v>
      </c>
      <c r="H398">
        <v>0</v>
      </c>
      <c r="I398" t="s">
        <v>1050</v>
      </c>
      <c r="L398">
        <v>0</v>
      </c>
      <c r="M398">
        <v>0</v>
      </c>
      <c r="N398">
        <v>0</v>
      </c>
      <c r="R398">
        <v>0</v>
      </c>
      <c r="S398">
        <v>0</v>
      </c>
      <c r="W398" t="s">
        <v>1060</v>
      </c>
      <c r="X398">
        <v>0</v>
      </c>
      <c r="Z398">
        <v>1</v>
      </c>
      <c r="AA398">
        <v>0</v>
      </c>
      <c r="AB398">
        <v>0</v>
      </c>
      <c r="AC398">
        <v>0</v>
      </c>
      <c r="AD398" s="20">
        <v>40799</v>
      </c>
      <c r="AE398">
        <v>3.6</v>
      </c>
      <c r="AF398">
        <v>0</v>
      </c>
      <c r="AH398">
        <v>0</v>
      </c>
      <c r="AJ398">
        <v>0</v>
      </c>
      <c r="AL398">
        <v>0</v>
      </c>
      <c r="AM398">
        <v>0</v>
      </c>
      <c r="AN398">
        <v>16601001</v>
      </c>
      <c r="AO398">
        <v>0</v>
      </c>
      <c r="AP398">
        <v>1003</v>
      </c>
      <c r="AT398">
        <v>0</v>
      </c>
      <c r="AU398" t="s">
        <v>1059</v>
      </c>
      <c r="AW398" t="s">
        <v>1053</v>
      </c>
      <c r="AX398">
        <v>0</v>
      </c>
      <c r="AY398" s="20">
        <v>40799</v>
      </c>
      <c r="BA398" s="20">
        <v>40799</v>
      </c>
      <c r="BB398" t="s">
        <v>1058</v>
      </c>
      <c r="BD398">
        <v>0</v>
      </c>
      <c r="BF398" t="s">
        <v>1043</v>
      </c>
      <c r="BG398" t="s">
        <v>1042</v>
      </c>
      <c r="BH398">
        <v>0</v>
      </c>
      <c r="BI398">
        <v>1</v>
      </c>
      <c r="BJ398">
        <v>0</v>
      </c>
      <c r="BK398">
        <v>0</v>
      </c>
      <c r="BM398" t="s">
        <v>1042</v>
      </c>
      <c r="BN398">
        <v>0</v>
      </c>
      <c r="BR398" t="s">
        <v>1043</v>
      </c>
      <c r="BS398" t="s">
        <v>1043</v>
      </c>
      <c r="BT398" t="s">
        <v>1043</v>
      </c>
      <c r="BW398">
        <v>83</v>
      </c>
      <c r="CA398">
        <v>0</v>
      </c>
      <c r="CB398" t="s">
        <v>1057</v>
      </c>
      <c r="CE398" t="s">
        <v>1043</v>
      </c>
      <c r="CH398" t="s">
        <v>1043</v>
      </c>
      <c r="CN398" t="s">
        <v>1056</v>
      </c>
      <c r="CO398" t="s">
        <v>1043</v>
      </c>
      <c r="CP398">
        <v>1</v>
      </c>
      <c r="CQ398">
        <v>0</v>
      </c>
      <c r="CS398">
        <v>0</v>
      </c>
      <c r="CT398">
        <v>0</v>
      </c>
      <c r="CU398">
        <v>0</v>
      </c>
      <c r="CV398" t="s">
        <v>1045</v>
      </c>
      <c r="CW398">
        <v>0</v>
      </c>
      <c r="CX398">
        <v>0</v>
      </c>
      <c r="CY398">
        <v>0</v>
      </c>
      <c r="CZ398">
        <v>0</v>
      </c>
      <c r="DB398">
        <v>0</v>
      </c>
      <c r="DC398" t="s">
        <v>1043</v>
      </c>
      <c r="DF398" t="s">
        <v>1055</v>
      </c>
      <c r="DH398">
        <v>0</v>
      </c>
      <c r="DJ398">
        <v>0</v>
      </c>
      <c r="DK398" t="s">
        <v>1053</v>
      </c>
      <c r="DL398">
        <v>0</v>
      </c>
      <c r="DN398">
        <v>0</v>
      </c>
      <c r="DO398" t="s">
        <v>1042</v>
      </c>
      <c r="DP398">
        <v>0</v>
      </c>
      <c r="DQ398">
        <v>0</v>
      </c>
      <c r="DS398">
        <v>0</v>
      </c>
      <c r="DU398">
        <v>0</v>
      </c>
      <c r="DW398">
        <v>0</v>
      </c>
      <c r="DX398" t="s">
        <v>1043</v>
      </c>
      <c r="DY398">
        <v>0</v>
      </c>
      <c r="DZ398">
        <v>0</v>
      </c>
      <c r="EA398">
        <v>0</v>
      </c>
      <c r="ED398" t="s">
        <v>1045</v>
      </c>
      <c r="EE398">
        <v>0</v>
      </c>
      <c r="EF398">
        <v>0</v>
      </c>
      <c r="EQ398" t="s">
        <v>1044</v>
      </c>
      <c r="ES398" t="s">
        <v>1053</v>
      </c>
      <c r="ET398">
        <v>0</v>
      </c>
      <c r="EV398">
        <v>0</v>
      </c>
      <c r="EY398" t="s">
        <v>1052</v>
      </c>
      <c r="EZ398">
        <v>0</v>
      </c>
      <c r="FA398" t="s">
        <v>1043</v>
      </c>
      <c r="FB398">
        <v>0</v>
      </c>
      <c r="FC398">
        <v>0</v>
      </c>
      <c r="FE398" t="s">
        <v>1050</v>
      </c>
      <c r="FF398">
        <v>0</v>
      </c>
      <c r="FG398" t="s">
        <v>1050</v>
      </c>
      <c r="FJ398">
        <v>0</v>
      </c>
      <c r="FK398">
        <v>0</v>
      </c>
      <c r="FP398">
        <v>0</v>
      </c>
      <c r="FR398">
        <v>0</v>
      </c>
      <c r="FS398" t="s">
        <v>1043</v>
      </c>
      <c r="FX398" t="s">
        <v>1042</v>
      </c>
      <c r="FZ398" t="s">
        <v>1048</v>
      </c>
      <c r="GA398">
        <v>0</v>
      </c>
      <c r="GB398" t="s">
        <v>1042</v>
      </c>
      <c r="GE398">
        <v>0</v>
      </c>
      <c r="GG398">
        <v>0</v>
      </c>
      <c r="GN398">
        <v>0</v>
      </c>
      <c r="GO398" t="s">
        <v>1063</v>
      </c>
      <c r="GQ398">
        <v>0</v>
      </c>
      <c r="GU398">
        <v>0</v>
      </c>
      <c r="GY398" t="s">
        <v>1045</v>
      </c>
      <c r="HB398">
        <v>0</v>
      </c>
      <c r="HE398">
        <v>0</v>
      </c>
      <c r="HF398">
        <v>0</v>
      </c>
      <c r="HG398">
        <v>0</v>
      </c>
      <c r="HK398" t="s">
        <v>1042</v>
      </c>
      <c r="HM398" t="s">
        <v>1047</v>
      </c>
      <c r="HN398">
        <v>0</v>
      </c>
      <c r="HP398">
        <v>0</v>
      </c>
      <c r="HQ398">
        <v>0</v>
      </c>
      <c r="HR398" t="s">
        <v>1042</v>
      </c>
      <c r="HS398" t="s">
        <v>1043</v>
      </c>
      <c r="HT398">
        <v>0</v>
      </c>
      <c r="HU398">
        <v>0</v>
      </c>
      <c r="HW398">
        <v>0</v>
      </c>
      <c r="HX398">
        <v>0</v>
      </c>
      <c r="HY398">
        <v>0</v>
      </c>
      <c r="HZ398" t="s">
        <v>1045</v>
      </c>
      <c r="IA398">
        <v>0</v>
      </c>
      <c r="IB398" t="s">
        <v>1045</v>
      </c>
      <c r="ID398" t="s">
        <v>1045</v>
      </c>
      <c r="IF398">
        <v>0</v>
      </c>
      <c r="IG398" t="s">
        <v>1042</v>
      </c>
      <c r="II398" t="s">
        <v>1042</v>
      </c>
      <c r="IR398" t="s">
        <v>1045</v>
      </c>
      <c r="IT398">
        <v>0</v>
      </c>
      <c r="IY398" t="s">
        <v>1044</v>
      </c>
      <c r="IZ398" t="s">
        <v>1043</v>
      </c>
      <c r="JC398" t="s">
        <v>1043</v>
      </c>
      <c r="JE398">
        <v>0</v>
      </c>
      <c r="JF398">
        <v>0</v>
      </c>
      <c r="JI398" t="s">
        <v>1042</v>
      </c>
      <c r="JJ398">
        <v>0</v>
      </c>
      <c r="JK398">
        <v>0</v>
      </c>
      <c r="JL398">
        <v>0</v>
      </c>
      <c r="JM398">
        <v>0</v>
      </c>
      <c r="JQ398" t="s">
        <v>1043</v>
      </c>
      <c r="JT398">
        <v>0</v>
      </c>
      <c r="JU398" t="s">
        <v>1042</v>
      </c>
      <c r="JW398">
        <v>0</v>
      </c>
      <c r="KA398">
        <v>0</v>
      </c>
      <c r="KF398">
        <v>0</v>
      </c>
      <c r="KG398">
        <v>0</v>
      </c>
      <c r="KH398">
        <v>0</v>
      </c>
      <c r="KI398">
        <v>0</v>
      </c>
      <c r="KS398" t="s">
        <v>1073</v>
      </c>
      <c r="KT398">
        <v>0</v>
      </c>
      <c r="KU398">
        <v>0</v>
      </c>
      <c r="KV398">
        <v>0</v>
      </c>
      <c r="KX398">
        <v>0</v>
      </c>
      <c r="KZ398">
        <v>0</v>
      </c>
      <c r="LF398">
        <v>0</v>
      </c>
      <c r="LH398">
        <v>0</v>
      </c>
      <c r="LI398">
        <v>0</v>
      </c>
    </row>
    <row r="399" spans="1:321" x14ac:dyDescent="0.35">
      <c r="A399">
        <v>1</v>
      </c>
      <c r="B399">
        <v>12611</v>
      </c>
      <c r="C399" t="s">
        <v>1286</v>
      </c>
      <c r="D399" t="s">
        <v>1133</v>
      </c>
      <c r="E399" t="s">
        <v>1085</v>
      </c>
      <c r="F399">
        <v>80</v>
      </c>
      <c r="G399">
        <v>9000</v>
      </c>
      <c r="H399">
        <v>0</v>
      </c>
      <c r="I399" t="s">
        <v>1050</v>
      </c>
      <c r="L399">
        <v>0</v>
      </c>
      <c r="M399">
        <v>0</v>
      </c>
      <c r="N399">
        <v>0</v>
      </c>
      <c r="R399">
        <v>0</v>
      </c>
      <c r="S399">
        <v>0</v>
      </c>
      <c r="W399" t="s">
        <v>1060</v>
      </c>
      <c r="X399">
        <v>0</v>
      </c>
      <c r="Z399">
        <v>1</v>
      </c>
      <c r="AA399">
        <v>0</v>
      </c>
      <c r="AB399">
        <v>0</v>
      </c>
      <c r="AC399">
        <v>0</v>
      </c>
      <c r="AD399" s="20">
        <v>40799</v>
      </c>
      <c r="AE399">
        <v>3.6</v>
      </c>
      <c r="AF399">
        <v>0</v>
      </c>
      <c r="AH399">
        <v>0</v>
      </c>
      <c r="AJ399">
        <v>0</v>
      </c>
      <c r="AL399">
        <v>0</v>
      </c>
      <c r="AM399">
        <v>0</v>
      </c>
      <c r="AN399">
        <v>16601001</v>
      </c>
      <c r="AO399">
        <v>0</v>
      </c>
      <c r="AP399">
        <v>1003</v>
      </c>
      <c r="AT399">
        <v>0</v>
      </c>
      <c r="AU399" t="s">
        <v>1059</v>
      </c>
      <c r="AW399" t="s">
        <v>1053</v>
      </c>
      <c r="AX399">
        <v>0</v>
      </c>
      <c r="AY399" s="20">
        <v>40799</v>
      </c>
      <c r="BA399" s="20">
        <v>40799</v>
      </c>
      <c r="BB399" t="s">
        <v>1058</v>
      </c>
      <c r="BD399">
        <v>0</v>
      </c>
      <c r="BF399" t="s">
        <v>1043</v>
      </c>
      <c r="BG399" t="s">
        <v>1042</v>
      </c>
      <c r="BH399">
        <v>0</v>
      </c>
      <c r="BI399">
        <v>1</v>
      </c>
      <c r="BJ399">
        <v>0</v>
      </c>
      <c r="BK399">
        <v>0</v>
      </c>
      <c r="BM399" t="s">
        <v>1042</v>
      </c>
      <c r="BN399">
        <v>0</v>
      </c>
      <c r="BR399" t="s">
        <v>1043</v>
      </c>
      <c r="BS399" t="s">
        <v>1043</v>
      </c>
      <c r="BT399" t="s">
        <v>1043</v>
      </c>
      <c r="BW399">
        <v>83</v>
      </c>
      <c r="CA399">
        <v>0</v>
      </c>
      <c r="CB399" t="s">
        <v>1057</v>
      </c>
      <c r="CE399" t="s">
        <v>1043</v>
      </c>
      <c r="CH399" t="s">
        <v>1043</v>
      </c>
      <c r="CN399" t="s">
        <v>1056</v>
      </c>
      <c r="CO399" t="s">
        <v>1043</v>
      </c>
      <c r="CP399">
        <v>1</v>
      </c>
      <c r="CQ399">
        <v>0</v>
      </c>
      <c r="CS399">
        <v>0</v>
      </c>
      <c r="CT399">
        <v>0</v>
      </c>
      <c r="CU399">
        <v>0</v>
      </c>
      <c r="CV399" t="s">
        <v>1045</v>
      </c>
      <c r="CW399">
        <v>0</v>
      </c>
      <c r="CX399">
        <v>0</v>
      </c>
      <c r="CY399">
        <v>0</v>
      </c>
      <c r="CZ399">
        <v>0</v>
      </c>
      <c r="DB399">
        <v>0</v>
      </c>
      <c r="DC399" t="s">
        <v>1043</v>
      </c>
      <c r="DF399" t="s">
        <v>1055</v>
      </c>
      <c r="DH399">
        <v>0</v>
      </c>
      <c r="DJ399">
        <v>0</v>
      </c>
      <c r="DK399" t="s">
        <v>1053</v>
      </c>
      <c r="DL399">
        <v>0</v>
      </c>
      <c r="DN399">
        <v>0</v>
      </c>
      <c r="DO399" t="s">
        <v>1042</v>
      </c>
      <c r="DP399">
        <v>0</v>
      </c>
      <c r="DQ399">
        <v>0</v>
      </c>
      <c r="DS399">
        <v>0</v>
      </c>
      <c r="DU399">
        <v>0</v>
      </c>
      <c r="DW399">
        <v>0</v>
      </c>
      <c r="DX399" t="s">
        <v>1043</v>
      </c>
      <c r="DY399">
        <v>0</v>
      </c>
      <c r="DZ399">
        <v>0</v>
      </c>
      <c r="EA399">
        <v>0</v>
      </c>
      <c r="ED399" t="s">
        <v>1045</v>
      </c>
      <c r="EE399">
        <v>0</v>
      </c>
      <c r="EF399">
        <v>0</v>
      </c>
      <c r="EQ399" t="s">
        <v>1044</v>
      </c>
      <c r="ES399" t="s">
        <v>1053</v>
      </c>
      <c r="ET399">
        <v>0</v>
      </c>
      <c r="EV399">
        <v>0</v>
      </c>
      <c r="EY399" t="s">
        <v>1052</v>
      </c>
      <c r="EZ399">
        <v>0</v>
      </c>
      <c r="FA399" t="s">
        <v>1043</v>
      </c>
      <c r="FB399">
        <v>0</v>
      </c>
      <c r="FC399">
        <v>0</v>
      </c>
      <c r="FE399" t="s">
        <v>1050</v>
      </c>
      <c r="FF399">
        <v>0</v>
      </c>
      <c r="FG399" t="s">
        <v>1050</v>
      </c>
      <c r="FJ399">
        <v>0</v>
      </c>
      <c r="FK399">
        <v>0</v>
      </c>
      <c r="FP399">
        <v>0</v>
      </c>
      <c r="FR399">
        <v>0</v>
      </c>
      <c r="FS399" t="s">
        <v>1043</v>
      </c>
      <c r="FX399" t="s">
        <v>1042</v>
      </c>
      <c r="FZ399" t="s">
        <v>1048</v>
      </c>
      <c r="GA399">
        <v>0</v>
      </c>
      <c r="GB399" t="s">
        <v>1042</v>
      </c>
      <c r="GE399">
        <v>0</v>
      </c>
      <c r="GG399">
        <v>0</v>
      </c>
      <c r="GN399">
        <v>0</v>
      </c>
      <c r="GO399" t="s">
        <v>1063</v>
      </c>
      <c r="GQ399">
        <v>0</v>
      </c>
      <c r="GU399">
        <v>0</v>
      </c>
      <c r="GY399" t="s">
        <v>1045</v>
      </c>
      <c r="HB399">
        <v>0</v>
      </c>
      <c r="HE399">
        <v>0</v>
      </c>
      <c r="HF399">
        <v>0</v>
      </c>
      <c r="HG399">
        <v>0</v>
      </c>
      <c r="HK399" t="s">
        <v>1042</v>
      </c>
      <c r="HM399" t="s">
        <v>1047</v>
      </c>
      <c r="HN399">
        <v>0</v>
      </c>
      <c r="HP399">
        <v>0</v>
      </c>
      <c r="HQ399">
        <v>0</v>
      </c>
      <c r="HR399" t="s">
        <v>1042</v>
      </c>
      <c r="HS399" t="s">
        <v>1043</v>
      </c>
      <c r="HT399">
        <v>0</v>
      </c>
      <c r="HU399">
        <v>0</v>
      </c>
      <c r="HW399">
        <v>0</v>
      </c>
      <c r="HX399">
        <v>0</v>
      </c>
      <c r="HY399">
        <v>0</v>
      </c>
      <c r="HZ399" t="s">
        <v>1045</v>
      </c>
      <c r="IA399">
        <v>0</v>
      </c>
      <c r="IB399" t="s">
        <v>1045</v>
      </c>
      <c r="ID399" t="s">
        <v>1045</v>
      </c>
      <c r="IF399">
        <v>0</v>
      </c>
      <c r="IG399" t="s">
        <v>1042</v>
      </c>
      <c r="II399" t="s">
        <v>1042</v>
      </c>
      <c r="IR399" t="s">
        <v>1045</v>
      </c>
      <c r="IT399">
        <v>0</v>
      </c>
      <c r="IY399" t="s">
        <v>1044</v>
      </c>
      <c r="IZ399" t="s">
        <v>1043</v>
      </c>
      <c r="JC399" t="s">
        <v>1043</v>
      </c>
      <c r="JE399">
        <v>0</v>
      </c>
      <c r="JF399">
        <v>0</v>
      </c>
      <c r="JI399" t="s">
        <v>1042</v>
      </c>
      <c r="JJ399">
        <v>0</v>
      </c>
      <c r="JK399">
        <v>0</v>
      </c>
      <c r="JL399">
        <v>0</v>
      </c>
      <c r="JM399">
        <v>0</v>
      </c>
      <c r="JQ399" t="s">
        <v>1043</v>
      </c>
      <c r="JT399">
        <v>0</v>
      </c>
      <c r="JU399" t="s">
        <v>1042</v>
      </c>
      <c r="JW399">
        <v>0</v>
      </c>
      <c r="KA399">
        <v>0</v>
      </c>
      <c r="KF399">
        <v>0</v>
      </c>
      <c r="KG399">
        <v>0</v>
      </c>
      <c r="KH399">
        <v>0</v>
      </c>
      <c r="KI399">
        <v>0</v>
      </c>
      <c r="KS399" t="s">
        <v>1073</v>
      </c>
      <c r="KT399">
        <v>0</v>
      </c>
      <c r="KU399">
        <v>0</v>
      </c>
      <c r="KV399">
        <v>0</v>
      </c>
      <c r="KX399">
        <v>0</v>
      </c>
      <c r="KZ399">
        <v>0</v>
      </c>
      <c r="LF399">
        <v>0</v>
      </c>
      <c r="LH399">
        <v>0</v>
      </c>
      <c r="LI399">
        <v>0</v>
      </c>
    </row>
    <row r="400" spans="1:321" x14ac:dyDescent="0.35">
      <c r="A400">
        <v>1</v>
      </c>
      <c r="B400">
        <v>12612</v>
      </c>
      <c r="C400" t="s">
        <v>1285</v>
      </c>
      <c r="D400" t="s">
        <v>1133</v>
      </c>
      <c r="E400" t="s">
        <v>1085</v>
      </c>
      <c r="F400">
        <v>80</v>
      </c>
      <c r="G400">
        <v>9000</v>
      </c>
      <c r="H400">
        <v>0</v>
      </c>
      <c r="I400" t="s">
        <v>1050</v>
      </c>
      <c r="L400">
        <v>0</v>
      </c>
      <c r="M400">
        <v>0</v>
      </c>
      <c r="N400">
        <v>0</v>
      </c>
      <c r="R400">
        <v>0</v>
      </c>
      <c r="S400">
        <v>0</v>
      </c>
      <c r="W400" t="s">
        <v>1060</v>
      </c>
      <c r="X400">
        <v>0</v>
      </c>
      <c r="Z400">
        <v>1</v>
      </c>
      <c r="AA400">
        <v>0</v>
      </c>
      <c r="AB400">
        <v>0</v>
      </c>
      <c r="AC400">
        <v>0</v>
      </c>
      <c r="AD400" s="20">
        <v>40799</v>
      </c>
      <c r="AE400">
        <v>3.6</v>
      </c>
      <c r="AF400">
        <v>0</v>
      </c>
      <c r="AH400">
        <v>0</v>
      </c>
      <c r="AJ400">
        <v>0</v>
      </c>
      <c r="AL400">
        <v>0</v>
      </c>
      <c r="AM400">
        <v>0</v>
      </c>
      <c r="AN400">
        <v>16601001</v>
      </c>
      <c r="AO400">
        <v>0</v>
      </c>
      <c r="AP400">
        <v>1003</v>
      </c>
      <c r="AT400">
        <v>0</v>
      </c>
      <c r="AU400" t="s">
        <v>1059</v>
      </c>
      <c r="AW400" t="s">
        <v>1053</v>
      </c>
      <c r="AX400">
        <v>0</v>
      </c>
      <c r="AY400" s="20">
        <v>40799</v>
      </c>
      <c r="BA400" s="20">
        <v>40799</v>
      </c>
      <c r="BB400" t="s">
        <v>1058</v>
      </c>
      <c r="BD400">
        <v>0</v>
      </c>
      <c r="BF400" t="s">
        <v>1043</v>
      </c>
      <c r="BG400" t="s">
        <v>1042</v>
      </c>
      <c r="BH400">
        <v>0</v>
      </c>
      <c r="BI400">
        <v>1</v>
      </c>
      <c r="BJ400">
        <v>0</v>
      </c>
      <c r="BK400">
        <v>0</v>
      </c>
      <c r="BM400" t="s">
        <v>1042</v>
      </c>
      <c r="BN400">
        <v>0</v>
      </c>
      <c r="BR400" t="s">
        <v>1043</v>
      </c>
      <c r="BS400" t="s">
        <v>1043</v>
      </c>
      <c r="BT400" t="s">
        <v>1043</v>
      </c>
      <c r="BW400">
        <v>83</v>
      </c>
      <c r="CA400">
        <v>0</v>
      </c>
      <c r="CB400" t="s">
        <v>1057</v>
      </c>
      <c r="CE400" t="s">
        <v>1043</v>
      </c>
      <c r="CH400" t="s">
        <v>1043</v>
      </c>
      <c r="CN400" t="s">
        <v>1056</v>
      </c>
      <c r="CO400" t="s">
        <v>1043</v>
      </c>
      <c r="CP400">
        <v>1</v>
      </c>
      <c r="CQ400">
        <v>0</v>
      </c>
      <c r="CS400">
        <v>0</v>
      </c>
      <c r="CT400">
        <v>0</v>
      </c>
      <c r="CU400">
        <v>0</v>
      </c>
      <c r="CV400" t="s">
        <v>1045</v>
      </c>
      <c r="CW400">
        <v>0</v>
      </c>
      <c r="CX400">
        <v>0</v>
      </c>
      <c r="CY400">
        <v>0</v>
      </c>
      <c r="CZ400">
        <v>0</v>
      </c>
      <c r="DB400">
        <v>0</v>
      </c>
      <c r="DC400" t="s">
        <v>1043</v>
      </c>
      <c r="DF400" t="s">
        <v>1055</v>
      </c>
      <c r="DH400">
        <v>0</v>
      </c>
      <c r="DJ400">
        <v>0</v>
      </c>
      <c r="DK400" t="s">
        <v>1053</v>
      </c>
      <c r="DL400">
        <v>0</v>
      </c>
      <c r="DN400">
        <v>0</v>
      </c>
      <c r="DO400" t="s">
        <v>1042</v>
      </c>
      <c r="DP400">
        <v>0</v>
      </c>
      <c r="DQ400">
        <v>0</v>
      </c>
      <c r="DS400">
        <v>0</v>
      </c>
      <c r="DU400">
        <v>0</v>
      </c>
      <c r="DW400">
        <v>0</v>
      </c>
      <c r="DX400" t="s">
        <v>1043</v>
      </c>
      <c r="DY400">
        <v>0</v>
      </c>
      <c r="DZ400">
        <v>0</v>
      </c>
      <c r="EA400">
        <v>0</v>
      </c>
      <c r="ED400" t="s">
        <v>1045</v>
      </c>
      <c r="EE400">
        <v>0</v>
      </c>
      <c r="EF400">
        <v>0</v>
      </c>
      <c r="EQ400" t="s">
        <v>1044</v>
      </c>
      <c r="ES400" t="s">
        <v>1053</v>
      </c>
      <c r="ET400">
        <v>0</v>
      </c>
      <c r="EV400">
        <v>0</v>
      </c>
      <c r="EY400" t="s">
        <v>1052</v>
      </c>
      <c r="EZ400">
        <v>0</v>
      </c>
      <c r="FA400" t="s">
        <v>1043</v>
      </c>
      <c r="FB400">
        <v>0</v>
      </c>
      <c r="FC400">
        <v>0</v>
      </c>
      <c r="FE400" t="s">
        <v>1050</v>
      </c>
      <c r="FF400">
        <v>0</v>
      </c>
      <c r="FG400" t="s">
        <v>1050</v>
      </c>
      <c r="FJ400">
        <v>0</v>
      </c>
      <c r="FK400">
        <v>0</v>
      </c>
      <c r="FP400">
        <v>0</v>
      </c>
      <c r="FR400">
        <v>0</v>
      </c>
      <c r="FS400" t="s">
        <v>1043</v>
      </c>
      <c r="FX400" t="s">
        <v>1042</v>
      </c>
      <c r="FZ400" t="s">
        <v>1048</v>
      </c>
      <c r="GA400">
        <v>0</v>
      </c>
      <c r="GB400" t="s">
        <v>1042</v>
      </c>
      <c r="GE400">
        <v>0</v>
      </c>
      <c r="GG400">
        <v>0</v>
      </c>
      <c r="GN400">
        <v>0</v>
      </c>
      <c r="GO400" t="s">
        <v>1063</v>
      </c>
      <c r="GQ400">
        <v>0</v>
      </c>
      <c r="GU400">
        <v>0</v>
      </c>
      <c r="GY400" t="s">
        <v>1045</v>
      </c>
      <c r="HB400">
        <v>0</v>
      </c>
      <c r="HE400">
        <v>0</v>
      </c>
      <c r="HF400">
        <v>0</v>
      </c>
      <c r="HG400">
        <v>0</v>
      </c>
      <c r="HK400" t="s">
        <v>1042</v>
      </c>
      <c r="HM400" t="s">
        <v>1047</v>
      </c>
      <c r="HN400">
        <v>0</v>
      </c>
      <c r="HP400">
        <v>0</v>
      </c>
      <c r="HQ400">
        <v>0</v>
      </c>
      <c r="HR400" t="s">
        <v>1042</v>
      </c>
      <c r="HS400" t="s">
        <v>1043</v>
      </c>
      <c r="HT400">
        <v>0</v>
      </c>
      <c r="HU400">
        <v>0</v>
      </c>
      <c r="HW400">
        <v>0</v>
      </c>
      <c r="HX400">
        <v>0</v>
      </c>
      <c r="HY400">
        <v>0</v>
      </c>
      <c r="HZ400" t="s">
        <v>1045</v>
      </c>
      <c r="IA400">
        <v>0</v>
      </c>
      <c r="IB400" t="s">
        <v>1045</v>
      </c>
      <c r="ID400" t="s">
        <v>1045</v>
      </c>
      <c r="IF400">
        <v>0</v>
      </c>
      <c r="IG400" t="s">
        <v>1042</v>
      </c>
      <c r="II400" t="s">
        <v>1042</v>
      </c>
      <c r="IR400" t="s">
        <v>1045</v>
      </c>
      <c r="IT400">
        <v>0</v>
      </c>
      <c r="IY400" t="s">
        <v>1044</v>
      </c>
      <c r="IZ400" t="s">
        <v>1043</v>
      </c>
      <c r="JC400" t="s">
        <v>1043</v>
      </c>
      <c r="JE400">
        <v>0</v>
      </c>
      <c r="JF400">
        <v>0</v>
      </c>
      <c r="JI400" t="s">
        <v>1042</v>
      </c>
      <c r="JJ400">
        <v>0</v>
      </c>
      <c r="JK400">
        <v>0</v>
      </c>
      <c r="JL400">
        <v>0</v>
      </c>
      <c r="JM400">
        <v>0</v>
      </c>
      <c r="JQ400" t="s">
        <v>1043</v>
      </c>
      <c r="JT400">
        <v>0</v>
      </c>
      <c r="JU400" t="s">
        <v>1042</v>
      </c>
      <c r="JW400">
        <v>0</v>
      </c>
      <c r="KA400">
        <v>0</v>
      </c>
      <c r="KF400">
        <v>0</v>
      </c>
      <c r="KG400">
        <v>0</v>
      </c>
      <c r="KH400">
        <v>0</v>
      </c>
      <c r="KI400">
        <v>0</v>
      </c>
      <c r="KS400" t="s">
        <v>1073</v>
      </c>
      <c r="KT400">
        <v>0</v>
      </c>
      <c r="KU400">
        <v>0</v>
      </c>
      <c r="KV400">
        <v>0</v>
      </c>
      <c r="KX400">
        <v>0</v>
      </c>
      <c r="KZ400">
        <v>0</v>
      </c>
      <c r="LF400">
        <v>0</v>
      </c>
      <c r="LH400">
        <v>0</v>
      </c>
      <c r="LI400">
        <v>0</v>
      </c>
    </row>
    <row r="401" spans="1:321" x14ac:dyDescent="0.35">
      <c r="A401">
        <v>1</v>
      </c>
      <c r="B401">
        <v>12613</v>
      </c>
      <c r="C401" t="s">
        <v>1284</v>
      </c>
      <c r="D401" t="s">
        <v>1133</v>
      </c>
      <c r="E401" t="s">
        <v>1085</v>
      </c>
      <c r="F401">
        <v>80</v>
      </c>
      <c r="G401">
        <v>9000</v>
      </c>
      <c r="H401">
        <v>0</v>
      </c>
      <c r="I401" t="s">
        <v>1050</v>
      </c>
      <c r="L401">
        <v>0</v>
      </c>
      <c r="M401">
        <v>0</v>
      </c>
      <c r="N401">
        <v>0</v>
      </c>
      <c r="R401">
        <v>0</v>
      </c>
      <c r="S401">
        <v>0</v>
      </c>
      <c r="W401" t="s">
        <v>1060</v>
      </c>
      <c r="X401">
        <v>0</v>
      </c>
      <c r="Z401">
        <v>1</v>
      </c>
      <c r="AA401">
        <v>0</v>
      </c>
      <c r="AB401">
        <v>0</v>
      </c>
      <c r="AC401">
        <v>0</v>
      </c>
      <c r="AD401" s="20">
        <v>40799</v>
      </c>
      <c r="AE401">
        <v>3.6</v>
      </c>
      <c r="AF401">
        <v>0</v>
      </c>
      <c r="AH401">
        <v>0</v>
      </c>
      <c r="AJ401">
        <v>0</v>
      </c>
      <c r="AL401">
        <v>0</v>
      </c>
      <c r="AM401">
        <v>0</v>
      </c>
      <c r="AN401">
        <v>16601001</v>
      </c>
      <c r="AO401">
        <v>0</v>
      </c>
      <c r="AP401">
        <v>1003</v>
      </c>
      <c r="AT401">
        <v>0</v>
      </c>
      <c r="AU401" t="s">
        <v>1059</v>
      </c>
      <c r="AW401" t="s">
        <v>1053</v>
      </c>
      <c r="AX401">
        <v>0</v>
      </c>
      <c r="AY401" s="20">
        <v>40799</v>
      </c>
      <c r="BA401" s="20">
        <v>40799</v>
      </c>
      <c r="BB401" t="s">
        <v>1058</v>
      </c>
      <c r="BD401">
        <v>0</v>
      </c>
      <c r="BF401" t="s">
        <v>1043</v>
      </c>
      <c r="BG401" t="s">
        <v>1042</v>
      </c>
      <c r="BH401">
        <v>0</v>
      </c>
      <c r="BI401">
        <v>1</v>
      </c>
      <c r="BJ401">
        <v>0</v>
      </c>
      <c r="BK401">
        <v>0</v>
      </c>
      <c r="BM401" t="s">
        <v>1042</v>
      </c>
      <c r="BN401">
        <v>0</v>
      </c>
      <c r="BR401" t="s">
        <v>1043</v>
      </c>
      <c r="BS401" t="s">
        <v>1043</v>
      </c>
      <c r="BT401" t="s">
        <v>1043</v>
      </c>
      <c r="BW401">
        <v>83</v>
      </c>
      <c r="CA401">
        <v>0</v>
      </c>
      <c r="CB401" t="s">
        <v>1057</v>
      </c>
      <c r="CE401" t="s">
        <v>1043</v>
      </c>
      <c r="CH401" t="s">
        <v>1043</v>
      </c>
      <c r="CN401" t="s">
        <v>1056</v>
      </c>
      <c r="CO401" t="s">
        <v>1043</v>
      </c>
      <c r="CP401">
        <v>1</v>
      </c>
      <c r="CQ401">
        <v>0</v>
      </c>
      <c r="CS401">
        <v>0</v>
      </c>
      <c r="CT401">
        <v>0</v>
      </c>
      <c r="CU401">
        <v>0</v>
      </c>
      <c r="CV401" t="s">
        <v>1045</v>
      </c>
      <c r="CW401">
        <v>0</v>
      </c>
      <c r="CX401">
        <v>0</v>
      </c>
      <c r="CY401">
        <v>0</v>
      </c>
      <c r="CZ401">
        <v>0</v>
      </c>
      <c r="DB401">
        <v>0</v>
      </c>
      <c r="DC401" t="s">
        <v>1043</v>
      </c>
      <c r="DF401" t="s">
        <v>1055</v>
      </c>
      <c r="DH401">
        <v>0</v>
      </c>
      <c r="DJ401">
        <v>0</v>
      </c>
      <c r="DK401" t="s">
        <v>1053</v>
      </c>
      <c r="DL401">
        <v>0</v>
      </c>
      <c r="DN401">
        <v>0</v>
      </c>
      <c r="DO401" t="s">
        <v>1042</v>
      </c>
      <c r="DP401">
        <v>0</v>
      </c>
      <c r="DQ401">
        <v>0</v>
      </c>
      <c r="DS401">
        <v>0</v>
      </c>
      <c r="DU401">
        <v>0</v>
      </c>
      <c r="DW401">
        <v>0</v>
      </c>
      <c r="DX401" t="s">
        <v>1043</v>
      </c>
      <c r="DY401">
        <v>0</v>
      </c>
      <c r="DZ401">
        <v>0</v>
      </c>
      <c r="EA401">
        <v>0</v>
      </c>
      <c r="ED401" t="s">
        <v>1045</v>
      </c>
      <c r="EE401">
        <v>0</v>
      </c>
      <c r="EF401">
        <v>0</v>
      </c>
      <c r="EQ401" t="s">
        <v>1044</v>
      </c>
      <c r="ES401" t="s">
        <v>1053</v>
      </c>
      <c r="ET401">
        <v>0</v>
      </c>
      <c r="EV401">
        <v>0</v>
      </c>
      <c r="EY401" t="s">
        <v>1052</v>
      </c>
      <c r="EZ401">
        <v>0</v>
      </c>
      <c r="FA401" t="s">
        <v>1043</v>
      </c>
      <c r="FB401">
        <v>0</v>
      </c>
      <c r="FC401">
        <v>0</v>
      </c>
      <c r="FE401" t="s">
        <v>1050</v>
      </c>
      <c r="FF401">
        <v>0</v>
      </c>
      <c r="FG401" t="s">
        <v>1050</v>
      </c>
      <c r="FJ401">
        <v>0</v>
      </c>
      <c r="FK401">
        <v>0</v>
      </c>
      <c r="FP401">
        <v>0</v>
      </c>
      <c r="FR401">
        <v>0</v>
      </c>
      <c r="FS401" t="s">
        <v>1043</v>
      </c>
      <c r="FX401" t="s">
        <v>1042</v>
      </c>
      <c r="FZ401" t="s">
        <v>1048</v>
      </c>
      <c r="GA401">
        <v>0</v>
      </c>
      <c r="GB401" t="s">
        <v>1042</v>
      </c>
      <c r="GE401">
        <v>0</v>
      </c>
      <c r="GG401">
        <v>0</v>
      </c>
      <c r="GN401">
        <v>0</v>
      </c>
      <c r="GO401" t="s">
        <v>1063</v>
      </c>
      <c r="GQ401">
        <v>0</v>
      </c>
      <c r="GU401">
        <v>0</v>
      </c>
      <c r="GY401" t="s">
        <v>1045</v>
      </c>
      <c r="HB401">
        <v>0</v>
      </c>
      <c r="HE401">
        <v>0</v>
      </c>
      <c r="HF401">
        <v>0</v>
      </c>
      <c r="HG401">
        <v>0</v>
      </c>
      <c r="HK401" t="s">
        <v>1042</v>
      </c>
      <c r="HM401" t="s">
        <v>1047</v>
      </c>
      <c r="HN401">
        <v>0</v>
      </c>
      <c r="HP401">
        <v>0</v>
      </c>
      <c r="HQ401">
        <v>0</v>
      </c>
      <c r="HR401" t="s">
        <v>1042</v>
      </c>
      <c r="HS401" t="s">
        <v>1043</v>
      </c>
      <c r="HT401">
        <v>0</v>
      </c>
      <c r="HU401">
        <v>0</v>
      </c>
      <c r="HW401">
        <v>0</v>
      </c>
      <c r="HX401">
        <v>0</v>
      </c>
      <c r="HY401">
        <v>0</v>
      </c>
      <c r="HZ401" t="s">
        <v>1045</v>
      </c>
      <c r="IA401">
        <v>0</v>
      </c>
      <c r="IB401" t="s">
        <v>1045</v>
      </c>
      <c r="ID401" t="s">
        <v>1045</v>
      </c>
      <c r="IF401">
        <v>0</v>
      </c>
      <c r="IG401" t="s">
        <v>1042</v>
      </c>
      <c r="II401" t="s">
        <v>1042</v>
      </c>
      <c r="IR401" t="s">
        <v>1045</v>
      </c>
      <c r="IT401">
        <v>0</v>
      </c>
      <c r="IY401" t="s">
        <v>1044</v>
      </c>
      <c r="IZ401" t="s">
        <v>1043</v>
      </c>
      <c r="JC401" t="s">
        <v>1043</v>
      </c>
      <c r="JE401">
        <v>0</v>
      </c>
      <c r="JF401">
        <v>0</v>
      </c>
      <c r="JI401" t="s">
        <v>1042</v>
      </c>
      <c r="JJ401">
        <v>0</v>
      </c>
      <c r="JK401">
        <v>0</v>
      </c>
      <c r="JL401">
        <v>0</v>
      </c>
      <c r="JM401">
        <v>0</v>
      </c>
      <c r="JQ401" t="s">
        <v>1043</v>
      </c>
      <c r="JT401">
        <v>0</v>
      </c>
      <c r="JU401" t="s">
        <v>1042</v>
      </c>
      <c r="JW401">
        <v>0</v>
      </c>
      <c r="KA401">
        <v>0</v>
      </c>
      <c r="KF401">
        <v>0</v>
      </c>
      <c r="KG401">
        <v>0</v>
      </c>
      <c r="KH401">
        <v>0</v>
      </c>
      <c r="KI401">
        <v>0</v>
      </c>
      <c r="KS401" t="s">
        <v>1073</v>
      </c>
      <c r="KT401">
        <v>0</v>
      </c>
      <c r="KU401">
        <v>0</v>
      </c>
      <c r="KV401">
        <v>0</v>
      </c>
      <c r="KX401">
        <v>0</v>
      </c>
      <c r="KZ401">
        <v>0</v>
      </c>
      <c r="LF401">
        <v>0</v>
      </c>
      <c r="LH401">
        <v>0</v>
      </c>
      <c r="LI401">
        <v>0</v>
      </c>
    </row>
    <row r="402" spans="1:321" x14ac:dyDescent="0.35">
      <c r="A402">
        <v>1</v>
      </c>
      <c r="B402">
        <v>12614</v>
      </c>
      <c r="C402" t="s">
        <v>1283</v>
      </c>
      <c r="D402" t="s">
        <v>1133</v>
      </c>
      <c r="E402" t="s">
        <v>1085</v>
      </c>
      <c r="F402">
        <v>80</v>
      </c>
      <c r="G402">
        <v>9000</v>
      </c>
      <c r="H402">
        <v>0</v>
      </c>
      <c r="I402" t="s">
        <v>1050</v>
      </c>
      <c r="L402">
        <v>0</v>
      </c>
      <c r="M402">
        <v>0</v>
      </c>
      <c r="N402">
        <v>0</v>
      </c>
      <c r="R402">
        <v>0</v>
      </c>
      <c r="S402">
        <v>0</v>
      </c>
      <c r="W402" t="s">
        <v>1060</v>
      </c>
      <c r="X402">
        <v>0</v>
      </c>
      <c r="Z402">
        <v>1</v>
      </c>
      <c r="AA402">
        <v>0</v>
      </c>
      <c r="AB402">
        <v>0</v>
      </c>
      <c r="AC402">
        <v>0</v>
      </c>
      <c r="AD402" s="20">
        <v>40799</v>
      </c>
      <c r="AE402">
        <v>3.6</v>
      </c>
      <c r="AF402">
        <v>0</v>
      </c>
      <c r="AH402">
        <v>0</v>
      </c>
      <c r="AJ402">
        <v>0</v>
      </c>
      <c r="AL402">
        <v>0</v>
      </c>
      <c r="AM402">
        <v>0</v>
      </c>
      <c r="AN402">
        <v>16601001</v>
      </c>
      <c r="AO402">
        <v>0</v>
      </c>
      <c r="AP402">
        <v>1003</v>
      </c>
      <c r="AT402">
        <v>0</v>
      </c>
      <c r="AU402" t="s">
        <v>1059</v>
      </c>
      <c r="AW402" t="s">
        <v>1053</v>
      </c>
      <c r="AX402">
        <v>0</v>
      </c>
      <c r="AY402" s="20">
        <v>40799</v>
      </c>
      <c r="BA402" s="20">
        <v>40799</v>
      </c>
      <c r="BB402" t="s">
        <v>1058</v>
      </c>
      <c r="BD402">
        <v>0</v>
      </c>
      <c r="BF402" t="s">
        <v>1043</v>
      </c>
      <c r="BG402" t="s">
        <v>1042</v>
      </c>
      <c r="BH402">
        <v>0</v>
      </c>
      <c r="BI402">
        <v>1</v>
      </c>
      <c r="BJ402">
        <v>0</v>
      </c>
      <c r="BK402">
        <v>0</v>
      </c>
      <c r="BM402" t="s">
        <v>1042</v>
      </c>
      <c r="BN402">
        <v>0</v>
      </c>
      <c r="BR402" t="s">
        <v>1043</v>
      </c>
      <c r="BS402" t="s">
        <v>1043</v>
      </c>
      <c r="BT402" t="s">
        <v>1043</v>
      </c>
      <c r="BW402">
        <v>83</v>
      </c>
      <c r="CA402">
        <v>0</v>
      </c>
      <c r="CB402" t="s">
        <v>1057</v>
      </c>
      <c r="CE402" t="s">
        <v>1043</v>
      </c>
      <c r="CH402" t="s">
        <v>1043</v>
      </c>
      <c r="CN402" t="s">
        <v>1056</v>
      </c>
      <c r="CO402" t="s">
        <v>1043</v>
      </c>
      <c r="CP402">
        <v>1</v>
      </c>
      <c r="CQ402">
        <v>0</v>
      </c>
      <c r="CS402">
        <v>0</v>
      </c>
      <c r="CT402">
        <v>0</v>
      </c>
      <c r="CU402">
        <v>0</v>
      </c>
      <c r="CV402" t="s">
        <v>1045</v>
      </c>
      <c r="CW402">
        <v>0</v>
      </c>
      <c r="CX402">
        <v>0</v>
      </c>
      <c r="CY402">
        <v>0</v>
      </c>
      <c r="CZ402">
        <v>0</v>
      </c>
      <c r="DB402">
        <v>0</v>
      </c>
      <c r="DC402" t="s">
        <v>1043</v>
      </c>
      <c r="DF402" t="s">
        <v>1055</v>
      </c>
      <c r="DH402">
        <v>0</v>
      </c>
      <c r="DJ402">
        <v>0</v>
      </c>
      <c r="DK402" t="s">
        <v>1053</v>
      </c>
      <c r="DL402">
        <v>0</v>
      </c>
      <c r="DN402">
        <v>0</v>
      </c>
      <c r="DO402" t="s">
        <v>1042</v>
      </c>
      <c r="DP402">
        <v>0</v>
      </c>
      <c r="DQ402">
        <v>0</v>
      </c>
      <c r="DS402">
        <v>0</v>
      </c>
      <c r="DU402">
        <v>0</v>
      </c>
      <c r="DW402">
        <v>0</v>
      </c>
      <c r="DX402" t="s">
        <v>1043</v>
      </c>
      <c r="DY402">
        <v>0</v>
      </c>
      <c r="DZ402">
        <v>0</v>
      </c>
      <c r="EA402">
        <v>0</v>
      </c>
      <c r="ED402" t="s">
        <v>1045</v>
      </c>
      <c r="EE402">
        <v>0</v>
      </c>
      <c r="EF402">
        <v>0</v>
      </c>
      <c r="EQ402" t="s">
        <v>1044</v>
      </c>
      <c r="ES402" t="s">
        <v>1053</v>
      </c>
      <c r="ET402">
        <v>0</v>
      </c>
      <c r="EV402">
        <v>0</v>
      </c>
      <c r="EY402" t="s">
        <v>1052</v>
      </c>
      <c r="EZ402">
        <v>0</v>
      </c>
      <c r="FA402" t="s">
        <v>1043</v>
      </c>
      <c r="FB402">
        <v>0</v>
      </c>
      <c r="FC402">
        <v>0</v>
      </c>
      <c r="FE402" t="s">
        <v>1050</v>
      </c>
      <c r="FF402">
        <v>0</v>
      </c>
      <c r="FG402" t="s">
        <v>1050</v>
      </c>
      <c r="FJ402">
        <v>0</v>
      </c>
      <c r="FK402">
        <v>0</v>
      </c>
      <c r="FP402">
        <v>0</v>
      </c>
      <c r="FR402">
        <v>0</v>
      </c>
      <c r="FS402" t="s">
        <v>1043</v>
      </c>
      <c r="FX402" t="s">
        <v>1042</v>
      </c>
      <c r="FZ402" t="s">
        <v>1048</v>
      </c>
      <c r="GA402">
        <v>0</v>
      </c>
      <c r="GB402" t="s">
        <v>1042</v>
      </c>
      <c r="GE402">
        <v>0</v>
      </c>
      <c r="GG402">
        <v>0</v>
      </c>
      <c r="GN402">
        <v>0</v>
      </c>
      <c r="GO402" t="s">
        <v>1063</v>
      </c>
      <c r="GQ402">
        <v>0</v>
      </c>
      <c r="GU402">
        <v>0</v>
      </c>
      <c r="GY402" t="s">
        <v>1045</v>
      </c>
      <c r="HB402">
        <v>0</v>
      </c>
      <c r="HE402">
        <v>0</v>
      </c>
      <c r="HF402">
        <v>0</v>
      </c>
      <c r="HG402">
        <v>0</v>
      </c>
      <c r="HK402" t="s">
        <v>1042</v>
      </c>
      <c r="HM402" t="s">
        <v>1047</v>
      </c>
      <c r="HN402">
        <v>0</v>
      </c>
      <c r="HP402">
        <v>0</v>
      </c>
      <c r="HQ402">
        <v>0</v>
      </c>
      <c r="HR402" t="s">
        <v>1042</v>
      </c>
      <c r="HS402" t="s">
        <v>1043</v>
      </c>
      <c r="HT402">
        <v>0</v>
      </c>
      <c r="HU402">
        <v>0</v>
      </c>
      <c r="HW402">
        <v>0</v>
      </c>
      <c r="HX402">
        <v>0</v>
      </c>
      <c r="HY402">
        <v>0</v>
      </c>
      <c r="HZ402" t="s">
        <v>1045</v>
      </c>
      <c r="IA402">
        <v>0</v>
      </c>
      <c r="IB402" t="s">
        <v>1045</v>
      </c>
      <c r="ID402" t="s">
        <v>1045</v>
      </c>
      <c r="IF402">
        <v>0</v>
      </c>
      <c r="IG402" t="s">
        <v>1042</v>
      </c>
      <c r="II402" t="s">
        <v>1042</v>
      </c>
      <c r="IR402" t="s">
        <v>1045</v>
      </c>
      <c r="IT402">
        <v>0</v>
      </c>
      <c r="IY402" t="s">
        <v>1044</v>
      </c>
      <c r="IZ402" t="s">
        <v>1043</v>
      </c>
      <c r="JC402" t="s">
        <v>1043</v>
      </c>
      <c r="JE402">
        <v>0</v>
      </c>
      <c r="JF402">
        <v>0</v>
      </c>
      <c r="JI402" t="s">
        <v>1042</v>
      </c>
      <c r="JJ402">
        <v>0</v>
      </c>
      <c r="JK402">
        <v>0</v>
      </c>
      <c r="JL402">
        <v>0</v>
      </c>
      <c r="JM402">
        <v>0</v>
      </c>
      <c r="JQ402" t="s">
        <v>1043</v>
      </c>
      <c r="JT402">
        <v>0</v>
      </c>
      <c r="JU402" t="s">
        <v>1042</v>
      </c>
      <c r="JW402">
        <v>0</v>
      </c>
      <c r="KA402">
        <v>0</v>
      </c>
      <c r="KF402">
        <v>0</v>
      </c>
      <c r="KG402">
        <v>0</v>
      </c>
      <c r="KH402">
        <v>0</v>
      </c>
      <c r="KI402">
        <v>0</v>
      </c>
      <c r="KS402" t="s">
        <v>1073</v>
      </c>
      <c r="KT402">
        <v>0</v>
      </c>
      <c r="KU402">
        <v>0</v>
      </c>
      <c r="KV402">
        <v>0</v>
      </c>
      <c r="KX402">
        <v>0</v>
      </c>
      <c r="KZ402">
        <v>0</v>
      </c>
      <c r="LF402">
        <v>0</v>
      </c>
      <c r="LH402">
        <v>0</v>
      </c>
      <c r="LI402">
        <v>0</v>
      </c>
    </row>
    <row r="403" spans="1:321" x14ac:dyDescent="0.35">
      <c r="A403">
        <v>1</v>
      </c>
      <c r="B403">
        <v>12615</v>
      </c>
      <c r="C403" t="s">
        <v>1282</v>
      </c>
      <c r="D403" t="s">
        <v>1133</v>
      </c>
      <c r="E403" t="s">
        <v>1085</v>
      </c>
      <c r="F403">
        <v>80</v>
      </c>
      <c r="G403">
        <v>9000</v>
      </c>
      <c r="H403">
        <v>0</v>
      </c>
      <c r="I403" t="s">
        <v>1050</v>
      </c>
      <c r="L403">
        <v>0</v>
      </c>
      <c r="M403">
        <v>0</v>
      </c>
      <c r="N403">
        <v>0</v>
      </c>
      <c r="R403">
        <v>0</v>
      </c>
      <c r="S403">
        <v>0</v>
      </c>
      <c r="W403" t="s">
        <v>1060</v>
      </c>
      <c r="X403">
        <v>0</v>
      </c>
      <c r="Z403">
        <v>1</v>
      </c>
      <c r="AA403">
        <v>0</v>
      </c>
      <c r="AB403">
        <v>0</v>
      </c>
      <c r="AC403">
        <v>0</v>
      </c>
      <c r="AD403" s="20">
        <v>40799</v>
      </c>
      <c r="AE403">
        <v>3.6</v>
      </c>
      <c r="AF403">
        <v>0</v>
      </c>
      <c r="AH403">
        <v>0</v>
      </c>
      <c r="AJ403">
        <v>0</v>
      </c>
      <c r="AL403">
        <v>0</v>
      </c>
      <c r="AM403">
        <v>0</v>
      </c>
      <c r="AN403">
        <v>16601001</v>
      </c>
      <c r="AO403">
        <v>0</v>
      </c>
      <c r="AP403">
        <v>1003</v>
      </c>
      <c r="AT403">
        <v>0</v>
      </c>
      <c r="AU403" t="s">
        <v>1059</v>
      </c>
      <c r="AW403" t="s">
        <v>1053</v>
      </c>
      <c r="AX403">
        <v>0</v>
      </c>
      <c r="AY403" s="20">
        <v>40799</v>
      </c>
      <c r="BA403" s="20">
        <v>40799</v>
      </c>
      <c r="BB403" t="s">
        <v>1058</v>
      </c>
      <c r="BD403">
        <v>0</v>
      </c>
      <c r="BF403" t="s">
        <v>1043</v>
      </c>
      <c r="BG403" t="s">
        <v>1042</v>
      </c>
      <c r="BH403">
        <v>0</v>
      </c>
      <c r="BI403">
        <v>1</v>
      </c>
      <c r="BJ403">
        <v>0</v>
      </c>
      <c r="BK403">
        <v>0</v>
      </c>
      <c r="BM403" t="s">
        <v>1042</v>
      </c>
      <c r="BN403">
        <v>0</v>
      </c>
      <c r="BR403" t="s">
        <v>1043</v>
      </c>
      <c r="BS403" t="s">
        <v>1043</v>
      </c>
      <c r="BT403" t="s">
        <v>1043</v>
      </c>
      <c r="BW403">
        <v>83</v>
      </c>
      <c r="CA403">
        <v>0</v>
      </c>
      <c r="CB403" t="s">
        <v>1057</v>
      </c>
      <c r="CE403" t="s">
        <v>1043</v>
      </c>
      <c r="CH403" t="s">
        <v>1043</v>
      </c>
      <c r="CN403" t="s">
        <v>1056</v>
      </c>
      <c r="CO403" t="s">
        <v>1043</v>
      </c>
      <c r="CP403">
        <v>1</v>
      </c>
      <c r="CQ403">
        <v>0</v>
      </c>
      <c r="CS403">
        <v>0</v>
      </c>
      <c r="CT403">
        <v>0</v>
      </c>
      <c r="CU403">
        <v>0</v>
      </c>
      <c r="CV403" t="s">
        <v>1045</v>
      </c>
      <c r="CW403">
        <v>0</v>
      </c>
      <c r="CX403">
        <v>0</v>
      </c>
      <c r="CY403">
        <v>0</v>
      </c>
      <c r="CZ403">
        <v>0</v>
      </c>
      <c r="DB403">
        <v>0</v>
      </c>
      <c r="DC403" t="s">
        <v>1043</v>
      </c>
      <c r="DF403" t="s">
        <v>1055</v>
      </c>
      <c r="DH403">
        <v>0</v>
      </c>
      <c r="DJ403">
        <v>0</v>
      </c>
      <c r="DK403" t="s">
        <v>1053</v>
      </c>
      <c r="DL403">
        <v>0</v>
      </c>
      <c r="DN403">
        <v>0</v>
      </c>
      <c r="DO403" t="s">
        <v>1042</v>
      </c>
      <c r="DP403">
        <v>0</v>
      </c>
      <c r="DQ403">
        <v>0</v>
      </c>
      <c r="DS403">
        <v>0</v>
      </c>
      <c r="DU403">
        <v>0</v>
      </c>
      <c r="DW403">
        <v>0</v>
      </c>
      <c r="DX403" t="s">
        <v>1043</v>
      </c>
      <c r="DY403">
        <v>0</v>
      </c>
      <c r="DZ403">
        <v>0</v>
      </c>
      <c r="EA403">
        <v>0</v>
      </c>
      <c r="ED403" t="s">
        <v>1045</v>
      </c>
      <c r="EE403">
        <v>0</v>
      </c>
      <c r="EF403">
        <v>0</v>
      </c>
      <c r="EQ403" t="s">
        <v>1044</v>
      </c>
      <c r="ES403" t="s">
        <v>1053</v>
      </c>
      <c r="ET403">
        <v>0</v>
      </c>
      <c r="EV403">
        <v>0</v>
      </c>
      <c r="EY403" t="s">
        <v>1052</v>
      </c>
      <c r="EZ403">
        <v>0</v>
      </c>
      <c r="FA403" t="s">
        <v>1043</v>
      </c>
      <c r="FB403">
        <v>0</v>
      </c>
      <c r="FC403">
        <v>0</v>
      </c>
      <c r="FE403" t="s">
        <v>1050</v>
      </c>
      <c r="FF403">
        <v>0</v>
      </c>
      <c r="FG403" t="s">
        <v>1050</v>
      </c>
      <c r="FJ403">
        <v>0</v>
      </c>
      <c r="FK403">
        <v>0</v>
      </c>
      <c r="FP403">
        <v>0</v>
      </c>
      <c r="FR403">
        <v>0</v>
      </c>
      <c r="FS403" t="s">
        <v>1043</v>
      </c>
      <c r="FX403" t="s">
        <v>1042</v>
      </c>
      <c r="FZ403" t="s">
        <v>1048</v>
      </c>
      <c r="GA403">
        <v>0</v>
      </c>
      <c r="GB403" t="s">
        <v>1042</v>
      </c>
      <c r="GE403">
        <v>0</v>
      </c>
      <c r="GG403">
        <v>0</v>
      </c>
      <c r="GN403">
        <v>0</v>
      </c>
      <c r="GO403" t="s">
        <v>1063</v>
      </c>
      <c r="GQ403">
        <v>0</v>
      </c>
      <c r="GU403">
        <v>0</v>
      </c>
      <c r="GY403" t="s">
        <v>1045</v>
      </c>
      <c r="HB403">
        <v>0</v>
      </c>
      <c r="HE403">
        <v>0</v>
      </c>
      <c r="HF403">
        <v>0</v>
      </c>
      <c r="HG403">
        <v>0</v>
      </c>
      <c r="HK403" t="s">
        <v>1042</v>
      </c>
      <c r="HM403" t="s">
        <v>1047</v>
      </c>
      <c r="HN403">
        <v>0</v>
      </c>
      <c r="HP403">
        <v>0</v>
      </c>
      <c r="HQ403">
        <v>0</v>
      </c>
      <c r="HR403" t="s">
        <v>1042</v>
      </c>
      <c r="HS403" t="s">
        <v>1043</v>
      </c>
      <c r="HT403">
        <v>0</v>
      </c>
      <c r="HU403">
        <v>0</v>
      </c>
      <c r="HW403">
        <v>0</v>
      </c>
      <c r="HX403">
        <v>0</v>
      </c>
      <c r="HY403">
        <v>0</v>
      </c>
      <c r="HZ403" t="s">
        <v>1045</v>
      </c>
      <c r="IA403">
        <v>0</v>
      </c>
      <c r="IB403" t="s">
        <v>1045</v>
      </c>
      <c r="ID403" t="s">
        <v>1045</v>
      </c>
      <c r="IF403">
        <v>0</v>
      </c>
      <c r="IG403" t="s">
        <v>1042</v>
      </c>
      <c r="II403" t="s">
        <v>1042</v>
      </c>
      <c r="IR403" t="s">
        <v>1045</v>
      </c>
      <c r="IT403">
        <v>0</v>
      </c>
      <c r="IY403" t="s">
        <v>1044</v>
      </c>
      <c r="IZ403" t="s">
        <v>1043</v>
      </c>
      <c r="JC403" t="s">
        <v>1043</v>
      </c>
      <c r="JE403">
        <v>0</v>
      </c>
      <c r="JF403">
        <v>0</v>
      </c>
      <c r="JI403" t="s">
        <v>1042</v>
      </c>
      <c r="JJ403">
        <v>0</v>
      </c>
      <c r="JK403">
        <v>0</v>
      </c>
      <c r="JL403">
        <v>0</v>
      </c>
      <c r="JM403">
        <v>0</v>
      </c>
      <c r="JQ403" t="s">
        <v>1043</v>
      </c>
      <c r="JT403">
        <v>0</v>
      </c>
      <c r="JU403" t="s">
        <v>1042</v>
      </c>
      <c r="JW403">
        <v>0</v>
      </c>
      <c r="KA403">
        <v>0</v>
      </c>
      <c r="KF403">
        <v>0</v>
      </c>
      <c r="KG403">
        <v>0</v>
      </c>
      <c r="KH403">
        <v>0</v>
      </c>
      <c r="KI403">
        <v>0</v>
      </c>
      <c r="KS403" t="s">
        <v>1073</v>
      </c>
      <c r="KT403">
        <v>0</v>
      </c>
      <c r="KU403">
        <v>0</v>
      </c>
      <c r="KV403">
        <v>0</v>
      </c>
      <c r="KX403">
        <v>0</v>
      </c>
      <c r="KZ403">
        <v>0</v>
      </c>
      <c r="LF403">
        <v>0</v>
      </c>
      <c r="LH403">
        <v>0</v>
      </c>
      <c r="LI403">
        <v>0</v>
      </c>
    </row>
    <row r="404" spans="1:321" x14ac:dyDescent="0.35">
      <c r="A404">
        <v>1</v>
      </c>
      <c r="B404">
        <v>12616</v>
      </c>
      <c r="C404" t="s">
        <v>1281</v>
      </c>
      <c r="D404" t="s">
        <v>1133</v>
      </c>
      <c r="E404" t="s">
        <v>1085</v>
      </c>
      <c r="F404">
        <v>80</v>
      </c>
      <c r="G404">
        <v>9000</v>
      </c>
      <c r="H404">
        <v>0</v>
      </c>
      <c r="I404" t="s">
        <v>1050</v>
      </c>
      <c r="L404">
        <v>0</v>
      </c>
      <c r="M404">
        <v>0</v>
      </c>
      <c r="N404">
        <v>0</v>
      </c>
      <c r="R404">
        <v>0</v>
      </c>
      <c r="S404">
        <v>0</v>
      </c>
      <c r="W404" t="s">
        <v>1060</v>
      </c>
      <c r="X404">
        <v>0</v>
      </c>
      <c r="Z404">
        <v>1</v>
      </c>
      <c r="AA404">
        <v>0</v>
      </c>
      <c r="AB404">
        <v>0</v>
      </c>
      <c r="AC404">
        <v>0</v>
      </c>
      <c r="AD404" s="20">
        <v>40801</v>
      </c>
      <c r="AE404">
        <v>3.6</v>
      </c>
      <c r="AF404">
        <v>0</v>
      </c>
      <c r="AH404">
        <v>0</v>
      </c>
      <c r="AJ404">
        <v>0</v>
      </c>
      <c r="AL404">
        <v>0</v>
      </c>
      <c r="AM404">
        <v>0</v>
      </c>
      <c r="AN404">
        <v>16601001</v>
      </c>
      <c r="AO404">
        <v>0</v>
      </c>
      <c r="AP404">
        <v>1000</v>
      </c>
      <c r="AT404">
        <v>0</v>
      </c>
      <c r="AU404" t="s">
        <v>1059</v>
      </c>
      <c r="AW404" t="s">
        <v>1053</v>
      </c>
      <c r="AX404">
        <v>0</v>
      </c>
      <c r="AY404" s="20">
        <v>40799</v>
      </c>
      <c r="BA404" s="20">
        <v>40799</v>
      </c>
      <c r="BB404" t="s">
        <v>1058</v>
      </c>
      <c r="BD404">
        <v>0</v>
      </c>
      <c r="BF404" t="s">
        <v>1043</v>
      </c>
      <c r="BG404" t="s">
        <v>1042</v>
      </c>
      <c r="BH404">
        <v>0</v>
      </c>
      <c r="BI404">
        <v>1</v>
      </c>
      <c r="BJ404">
        <v>0</v>
      </c>
      <c r="BK404">
        <v>0</v>
      </c>
      <c r="BM404" t="s">
        <v>1042</v>
      </c>
      <c r="BN404">
        <v>0</v>
      </c>
      <c r="BR404" t="s">
        <v>1043</v>
      </c>
      <c r="BS404" t="s">
        <v>1043</v>
      </c>
      <c r="BT404" t="s">
        <v>1043</v>
      </c>
      <c r="BW404">
        <v>83</v>
      </c>
      <c r="CA404">
        <v>0</v>
      </c>
      <c r="CB404" t="s">
        <v>1057</v>
      </c>
      <c r="CE404" t="s">
        <v>1043</v>
      </c>
      <c r="CH404" t="s">
        <v>1043</v>
      </c>
      <c r="CN404" t="s">
        <v>1056</v>
      </c>
      <c r="CO404" t="s">
        <v>1043</v>
      </c>
      <c r="CP404">
        <v>1</v>
      </c>
      <c r="CQ404">
        <v>0</v>
      </c>
      <c r="CS404">
        <v>0</v>
      </c>
      <c r="CT404">
        <v>0</v>
      </c>
      <c r="CU404">
        <v>0</v>
      </c>
      <c r="CV404" t="s">
        <v>1045</v>
      </c>
      <c r="CW404">
        <v>0</v>
      </c>
      <c r="CX404">
        <v>0</v>
      </c>
      <c r="CY404">
        <v>0</v>
      </c>
      <c r="CZ404">
        <v>0</v>
      </c>
      <c r="DB404">
        <v>0</v>
      </c>
      <c r="DC404" t="s">
        <v>1043</v>
      </c>
      <c r="DF404" t="s">
        <v>1055</v>
      </c>
      <c r="DH404">
        <v>0</v>
      </c>
      <c r="DJ404">
        <v>0</v>
      </c>
      <c r="DK404" t="s">
        <v>1053</v>
      </c>
      <c r="DL404">
        <v>0</v>
      </c>
      <c r="DN404">
        <v>0</v>
      </c>
      <c r="DO404" t="s">
        <v>1042</v>
      </c>
      <c r="DP404">
        <v>0</v>
      </c>
      <c r="DQ404">
        <v>0</v>
      </c>
      <c r="DS404">
        <v>0</v>
      </c>
      <c r="DU404">
        <v>0</v>
      </c>
      <c r="DW404">
        <v>0</v>
      </c>
      <c r="DX404" t="s">
        <v>1043</v>
      </c>
      <c r="DY404">
        <v>0</v>
      </c>
      <c r="DZ404">
        <v>0</v>
      </c>
      <c r="EA404">
        <v>0</v>
      </c>
      <c r="ED404" t="s">
        <v>1045</v>
      </c>
      <c r="EE404">
        <v>0</v>
      </c>
      <c r="EF404">
        <v>0</v>
      </c>
      <c r="EQ404" t="s">
        <v>1044</v>
      </c>
      <c r="ES404" t="s">
        <v>1053</v>
      </c>
      <c r="ET404">
        <v>0</v>
      </c>
      <c r="EV404">
        <v>0</v>
      </c>
      <c r="EY404" t="s">
        <v>1052</v>
      </c>
      <c r="EZ404">
        <v>0</v>
      </c>
      <c r="FA404" t="s">
        <v>1043</v>
      </c>
      <c r="FB404">
        <v>0</v>
      </c>
      <c r="FC404">
        <v>0</v>
      </c>
      <c r="FE404" t="s">
        <v>1050</v>
      </c>
      <c r="FF404">
        <v>0</v>
      </c>
      <c r="FG404" t="s">
        <v>1050</v>
      </c>
      <c r="FJ404">
        <v>0</v>
      </c>
      <c r="FK404">
        <v>0</v>
      </c>
      <c r="FP404">
        <v>0</v>
      </c>
      <c r="FR404">
        <v>0</v>
      </c>
      <c r="FS404" t="s">
        <v>1043</v>
      </c>
      <c r="FX404" t="s">
        <v>1042</v>
      </c>
      <c r="FZ404" t="s">
        <v>1048</v>
      </c>
      <c r="GA404">
        <v>0</v>
      </c>
      <c r="GB404" t="s">
        <v>1042</v>
      </c>
      <c r="GE404">
        <v>0</v>
      </c>
      <c r="GG404">
        <v>0</v>
      </c>
      <c r="GN404">
        <v>0</v>
      </c>
      <c r="GO404" t="s">
        <v>1063</v>
      </c>
      <c r="GQ404">
        <v>0</v>
      </c>
      <c r="GU404">
        <v>0</v>
      </c>
      <c r="GY404" t="s">
        <v>1045</v>
      </c>
      <c r="HB404">
        <v>0</v>
      </c>
      <c r="HE404">
        <v>0</v>
      </c>
      <c r="HF404">
        <v>0</v>
      </c>
      <c r="HG404">
        <v>0</v>
      </c>
      <c r="HK404" t="s">
        <v>1042</v>
      </c>
      <c r="HM404" t="s">
        <v>1047</v>
      </c>
      <c r="HN404">
        <v>0</v>
      </c>
      <c r="HP404">
        <v>0</v>
      </c>
      <c r="HQ404">
        <v>0</v>
      </c>
      <c r="HR404" t="s">
        <v>1042</v>
      </c>
      <c r="HS404" t="s">
        <v>1043</v>
      </c>
      <c r="HT404">
        <v>0</v>
      </c>
      <c r="HU404">
        <v>0</v>
      </c>
      <c r="HW404">
        <v>0</v>
      </c>
      <c r="HX404">
        <v>0</v>
      </c>
      <c r="HY404">
        <v>0</v>
      </c>
      <c r="HZ404" t="s">
        <v>1045</v>
      </c>
      <c r="IA404">
        <v>0</v>
      </c>
      <c r="IB404" t="s">
        <v>1045</v>
      </c>
      <c r="ID404" t="s">
        <v>1045</v>
      </c>
      <c r="IF404">
        <v>0</v>
      </c>
      <c r="IG404" t="s">
        <v>1042</v>
      </c>
      <c r="II404" t="s">
        <v>1042</v>
      </c>
      <c r="IR404" t="s">
        <v>1045</v>
      </c>
      <c r="IT404">
        <v>0</v>
      </c>
      <c r="IY404" t="s">
        <v>1044</v>
      </c>
      <c r="IZ404" t="s">
        <v>1043</v>
      </c>
      <c r="JC404" t="s">
        <v>1043</v>
      </c>
      <c r="JE404">
        <v>0</v>
      </c>
      <c r="JF404">
        <v>0</v>
      </c>
      <c r="JI404" t="s">
        <v>1042</v>
      </c>
      <c r="JJ404">
        <v>0</v>
      </c>
      <c r="JK404">
        <v>0</v>
      </c>
      <c r="JL404">
        <v>0</v>
      </c>
      <c r="JM404">
        <v>0</v>
      </c>
      <c r="JQ404" t="s">
        <v>1043</v>
      </c>
      <c r="JT404">
        <v>0</v>
      </c>
      <c r="JU404" t="s">
        <v>1042</v>
      </c>
      <c r="JW404">
        <v>0</v>
      </c>
      <c r="KA404">
        <v>0</v>
      </c>
      <c r="KF404">
        <v>0</v>
      </c>
      <c r="KG404">
        <v>0</v>
      </c>
      <c r="KH404">
        <v>0</v>
      </c>
      <c r="KI404">
        <v>0</v>
      </c>
      <c r="KS404" t="s">
        <v>1073</v>
      </c>
      <c r="KT404">
        <v>0</v>
      </c>
      <c r="KU404">
        <v>0</v>
      </c>
      <c r="KV404">
        <v>0</v>
      </c>
      <c r="KX404">
        <v>0</v>
      </c>
      <c r="KZ404">
        <v>0</v>
      </c>
      <c r="LF404">
        <v>0</v>
      </c>
      <c r="LH404">
        <v>0</v>
      </c>
      <c r="LI404">
        <v>0</v>
      </c>
    </row>
    <row r="405" spans="1:321" x14ac:dyDescent="0.35">
      <c r="A405">
        <v>1</v>
      </c>
      <c r="B405">
        <v>12617</v>
      </c>
      <c r="C405" t="s">
        <v>1280</v>
      </c>
      <c r="D405" t="s">
        <v>1133</v>
      </c>
      <c r="E405" t="s">
        <v>1085</v>
      </c>
      <c r="F405">
        <v>80</v>
      </c>
      <c r="G405">
        <v>9000</v>
      </c>
      <c r="H405">
        <v>0</v>
      </c>
      <c r="I405" t="s">
        <v>1050</v>
      </c>
      <c r="L405">
        <v>0</v>
      </c>
      <c r="M405">
        <v>0</v>
      </c>
      <c r="N405">
        <v>0</v>
      </c>
      <c r="R405">
        <v>0</v>
      </c>
      <c r="S405">
        <v>0</v>
      </c>
      <c r="W405" t="s">
        <v>1060</v>
      </c>
      <c r="X405">
        <v>0</v>
      </c>
      <c r="Z405">
        <v>1</v>
      </c>
      <c r="AA405">
        <v>0</v>
      </c>
      <c r="AB405">
        <v>0</v>
      </c>
      <c r="AC405">
        <v>0</v>
      </c>
      <c r="AD405" s="20">
        <v>40799</v>
      </c>
      <c r="AE405">
        <v>3.6</v>
      </c>
      <c r="AF405">
        <v>0</v>
      </c>
      <c r="AH405">
        <v>0</v>
      </c>
      <c r="AJ405">
        <v>0</v>
      </c>
      <c r="AL405">
        <v>0</v>
      </c>
      <c r="AM405">
        <v>0</v>
      </c>
      <c r="AN405">
        <v>16601001</v>
      </c>
      <c r="AO405">
        <v>0</v>
      </c>
      <c r="AP405">
        <v>1003</v>
      </c>
      <c r="AT405">
        <v>0</v>
      </c>
      <c r="AU405" t="s">
        <v>1059</v>
      </c>
      <c r="AW405" t="s">
        <v>1053</v>
      </c>
      <c r="AX405">
        <v>0</v>
      </c>
      <c r="AY405" s="20">
        <v>40799</v>
      </c>
      <c r="BA405" s="20">
        <v>40799</v>
      </c>
      <c r="BB405" t="s">
        <v>1058</v>
      </c>
      <c r="BD405">
        <v>0</v>
      </c>
      <c r="BF405" t="s">
        <v>1043</v>
      </c>
      <c r="BG405" t="s">
        <v>1042</v>
      </c>
      <c r="BH405">
        <v>0</v>
      </c>
      <c r="BI405">
        <v>1</v>
      </c>
      <c r="BJ405">
        <v>0</v>
      </c>
      <c r="BK405">
        <v>0</v>
      </c>
      <c r="BM405" t="s">
        <v>1042</v>
      </c>
      <c r="BN405">
        <v>0</v>
      </c>
      <c r="BR405" t="s">
        <v>1043</v>
      </c>
      <c r="BS405" t="s">
        <v>1043</v>
      </c>
      <c r="BT405" t="s">
        <v>1043</v>
      </c>
      <c r="BW405">
        <v>83</v>
      </c>
      <c r="CA405">
        <v>0</v>
      </c>
      <c r="CB405" t="s">
        <v>1057</v>
      </c>
      <c r="CE405" t="s">
        <v>1043</v>
      </c>
      <c r="CH405" t="s">
        <v>1043</v>
      </c>
      <c r="CN405" t="s">
        <v>1056</v>
      </c>
      <c r="CO405" t="s">
        <v>1043</v>
      </c>
      <c r="CP405">
        <v>1</v>
      </c>
      <c r="CQ405">
        <v>0</v>
      </c>
      <c r="CS405">
        <v>0</v>
      </c>
      <c r="CT405">
        <v>0</v>
      </c>
      <c r="CU405">
        <v>0</v>
      </c>
      <c r="CV405" t="s">
        <v>1045</v>
      </c>
      <c r="CW405">
        <v>0</v>
      </c>
      <c r="CX405">
        <v>0</v>
      </c>
      <c r="CY405">
        <v>0</v>
      </c>
      <c r="CZ405">
        <v>0</v>
      </c>
      <c r="DB405">
        <v>0</v>
      </c>
      <c r="DC405" t="s">
        <v>1043</v>
      </c>
      <c r="DF405" t="s">
        <v>1055</v>
      </c>
      <c r="DH405">
        <v>0</v>
      </c>
      <c r="DJ405">
        <v>0</v>
      </c>
      <c r="DK405" t="s">
        <v>1053</v>
      </c>
      <c r="DL405">
        <v>0</v>
      </c>
      <c r="DN405">
        <v>0</v>
      </c>
      <c r="DO405" t="s">
        <v>1042</v>
      </c>
      <c r="DP405">
        <v>0</v>
      </c>
      <c r="DQ405">
        <v>0</v>
      </c>
      <c r="DS405">
        <v>0</v>
      </c>
      <c r="DU405">
        <v>0</v>
      </c>
      <c r="DW405">
        <v>0</v>
      </c>
      <c r="DX405" t="s">
        <v>1043</v>
      </c>
      <c r="DY405">
        <v>0</v>
      </c>
      <c r="DZ405">
        <v>0</v>
      </c>
      <c r="EA405">
        <v>0</v>
      </c>
      <c r="ED405" t="s">
        <v>1045</v>
      </c>
      <c r="EE405">
        <v>0</v>
      </c>
      <c r="EF405">
        <v>0</v>
      </c>
      <c r="EQ405" t="s">
        <v>1044</v>
      </c>
      <c r="ES405" t="s">
        <v>1053</v>
      </c>
      <c r="ET405">
        <v>0</v>
      </c>
      <c r="EV405">
        <v>0</v>
      </c>
      <c r="EY405" t="s">
        <v>1052</v>
      </c>
      <c r="EZ405">
        <v>0</v>
      </c>
      <c r="FA405" t="s">
        <v>1043</v>
      </c>
      <c r="FB405">
        <v>0</v>
      </c>
      <c r="FC405">
        <v>0</v>
      </c>
      <c r="FE405" t="s">
        <v>1050</v>
      </c>
      <c r="FF405">
        <v>0</v>
      </c>
      <c r="FG405" t="s">
        <v>1050</v>
      </c>
      <c r="FJ405">
        <v>0</v>
      </c>
      <c r="FK405">
        <v>0</v>
      </c>
      <c r="FP405">
        <v>0</v>
      </c>
      <c r="FR405">
        <v>0</v>
      </c>
      <c r="FS405" t="s">
        <v>1043</v>
      </c>
      <c r="FX405" t="s">
        <v>1042</v>
      </c>
      <c r="FZ405" t="s">
        <v>1048</v>
      </c>
      <c r="GA405">
        <v>0</v>
      </c>
      <c r="GB405" t="s">
        <v>1042</v>
      </c>
      <c r="GE405">
        <v>0</v>
      </c>
      <c r="GG405">
        <v>0</v>
      </c>
      <c r="GN405">
        <v>0</v>
      </c>
      <c r="GO405" t="s">
        <v>1063</v>
      </c>
      <c r="GQ405">
        <v>0</v>
      </c>
      <c r="GU405">
        <v>0</v>
      </c>
      <c r="GY405" t="s">
        <v>1045</v>
      </c>
      <c r="HB405">
        <v>0</v>
      </c>
      <c r="HE405">
        <v>0</v>
      </c>
      <c r="HF405">
        <v>0</v>
      </c>
      <c r="HG405">
        <v>0</v>
      </c>
      <c r="HK405" t="s">
        <v>1042</v>
      </c>
      <c r="HM405" t="s">
        <v>1047</v>
      </c>
      <c r="HN405">
        <v>0</v>
      </c>
      <c r="HP405">
        <v>0</v>
      </c>
      <c r="HQ405">
        <v>0</v>
      </c>
      <c r="HR405" t="s">
        <v>1042</v>
      </c>
      <c r="HS405" t="s">
        <v>1043</v>
      </c>
      <c r="HT405">
        <v>0</v>
      </c>
      <c r="HU405">
        <v>0</v>
      </c>
      <c r="HW405">
        <v>0</v>
      </c>
      <c r="HX405">
        <v>0</v>
      </c>
      <c r="HY405">
        <v>0</v>
      </c>
      <c r="HZ405" t="s">
        <v>1045</v>
      </c>
      <c r="IA405">
        <v>0</v>
      </c>
      <c r="IB405" t="s">
        <v>1045</v>
      </c>
      <c r="ID405" t="s">
        <v>1045</v>
      </c>
      <c r="IF405">
        <v>0</v>
      </c>
      <c r="IG405" t="s">
        <v>1042</v>
      </c>
      <c r="II405" t="s">
        <v>1042</v>
      </c>
      <c r="IR405" t="s">
        <v>1045</v>
      </c>
      <c r="IT405">
        <v>0</v>
      </c>
      <c r="IY405" t="s">
        <v>1044</v>
      </c>
      <c r="IZ405" t="s">
        <v>1043</v>
      </c>
      <c r="JC405" t="s">
        <v>1043</v>
      </c>
      <c r="JE405">
        <v>0</v>
      </c>
      <c r="JF405">
        <v>0</v>
      </c>
      <c r="JI405" t="s">
        <v>1042</v>
      </c>
      <c r="JJ405">
        <v>0</v>
      </c>
      <c r="JK405">
        <v>0</v>
      </c>
      <c r="JL405">
        <v>0</v>
      </c>
      <c r="JM405">
        <v>0</v>
      </c>
      <c r="JQ405" t="s">
        <v>1043</v>
      </c>
      <c r="JT405">
        <v>0</v>
      </c>
      <c r="JU405" t="s">
        <v>1042</v>
      </c>
      <c r="JW405">
        <v>0</v>
      </c>
      <c r="KA405">
        <v>0</v>
      </c>
      <c r="KF405">
        <v>0</v>
      </c>
      <c r="KG405">
        <v>0</v>
      </c>
      <c r="KH405">
        <v>0</v>
      </c>
      <c r="KI405">
        <v>0</v>
      </c>
      <c r="KS405" t="s">
        <v>1073</v>
      </c>
      <c r="KT405">
        <v>0</v>
      </c>
      <c r="KU405">
        <v>0</v>
      </c>
      <c r="KV405">
        <v>0</v>
      </c>
      <c r="KX405">
        <v>0</v>
      </c>
      <c r="KZ405">
        <v>0</v>
      </c>
      <c r="LF405">
        <v>0</v>
      </c>
      <c r="LH405">
        <v>0</v>
      </c>
      <c r="LI405">
        <v>0</v>
      </c>
    </row>
    <row r="406" spans="1:321" x14ac:dyDescent="0.35">
      <c r="A406">
        <v>1</v>
      </c>
      <c r="B406">
        <v>12618</v>
      </c>
      <c r="C406" t="s">
        <v>1279</v>
      </c>
      <c r="D406" t="s">
        <v>1133</v>
      </c>
      <c r="E406" t="s">
        <v>1085</v>
      </c>
      <c r="F406">
        <v>80</v>
      </c>
      <c r="G406">
        <v>9000</v>
      </c>
      <c r="H406">
        <v>0</v>
      </c>
      <c r="I406" t="s">
        <v>1050</v>
      </c>
      <c r="L406">
        <v>0</v>
      </c>
      <c r="M406">
        <v>0</v>
      </c>
      <c r="N406">
        <v>0</v>
      </c>
      <c r="R406">
        <v>0</v>
      </c>
      <c r="S406">
        <v>0</v>
      </c>
      <c r="W406" t="s">
        <v>1060</v>
      </c>
      <c r="X406">
        <v>0</v>
      </c>
      <c r="Z406">
        <v>1</v>
      </c>
      <c r="AA406">
        <v>0</v>
      </c>
      <c r="AB406">
        <v>0</v>
      </c>
      <c r="AC406">
        <v>0</v>
      </c>
      <c r="AD406" s="20">
        <v>40799</v>
      </c>
      <c r="AE406">
        <v>3.6</v>
      </c>
      <c r="AF406">
        <v>0</v>
      </c>
      <c r="AH406">
        <v>0</v>
      </c>
      <c r="AJ406">
        <v>0</v>
      </c>
      <c r="AL406">
        <v>0</v>
      </c>
      <c r="AM406">
        <v>0</v>
      </c>
      <c r="AN406">
        <v>16601001</v>
      </c>
      <c r="AO406">
        <v>0</v>
      </c>
      <c r="AP406">
        <v>1003</v>
      </c>
      <c r="AT406">
        <v>0</v>
      </c>
      <c r="AU406" t="s">
        <v>1059</v>
      </c>
      <c r="AW406" t="s">
        <v>1053</v>
      </c>
      <c r="AX406">
        <v>0</v>
      </c>
      <c r="AY406" s="20">
        <v>40799</v>
      </c>
      <c r="BA406" s="20">
        <v>40799</v>
      </c>
      <c r="BB406" t="s">
        <v>1058</v>
      </c>
      <c r="BD406">
        <v>0</v>
      </c>
      <c r="BF406" t="s">
        <v>1043</v>
      </c>
      <c r="BG406" t="s">
        <v>1042</v>
      </c>
      <c r="BH406">
        <v>0</v>
      </c>
      <c r="BI406">
        <v>1</v>
      </c>
      <c r="BJ406">
        <v>0</v>
      </c>
      <c r="BK406">
        <v>0</v>
      </c>
      <c r="BM406" t="s">
        <v>1042</v>
      </c>
      <c r="BN406">
        <v>0</v>
      </c>
      <c r="BR406" t="s">
        <v>1043</v>
      </c>
      <c r="BS406" t="s">
        <v>1043</v>
      </c>
      <c r="BT406" t="s">
        <v>1043</v>
      </c>
      <c r="BW406">
        <v>83</v>
      </c>
      <c r="CA406">
        <v>0</v>
      </c>
      <c r="CB406" t="s">
        <v>1057</v>
      </c>
      <c r="CE406" t="s">
        <v>1043</v>
      </c>
      <c r="CH406" t="s">
        <v>1043</v>
      </c>
      <c r="CN406" t="s">
        <v>1056</v>
      </c>
      <c r="CO406" t="s">
        <v>1043</v>
      </c>
      <c r="CP406">
        <v>1</v>
      </c>
      <c r="CQ406">
        <v>0</v>
      </c>
      <c r="CS406">
        <v>0</v>
      </c>
      <c r="CT406">
        <v>0</v>
      </c>
      <c r="CU406">
        <v>0</v>
      </c>
      <c r="CV406" t="s">
        <v>1045</v>
      </c>
      <c r="CW406">
        <v>0</v>
      </c>
      <c r="CX406">
        <v>0</v>
      </c>
      <c r="CY406">
        <v>0</v>
      </c>
      <c r="CZ406">
        <v>0</v>
      </c>
      <c r="DB406">
        <v>0</v>
      </c>
      <c r="DC406" t="s">
        <v>1043</v>
      </c>
      <c r="DF406" t="s">
        <v>1055</v>
      </c>
      <c r="DH406">
        <v>0</v>
      </c>
      <c r="DJ406">
        <v>0</v>
      </c>
      <c r="DK406" t="s">
        <v>1053</v>
      </c>
      <c r="DL406">
        <v>0</v>
      </c>
      <c r="DN406">
        <v>0</v>
      </c>
      <c r="DO406" t="s">
        <v>1042</v>
      </c>
      <c r="DP406">
        <v>0</v>
      </c>
      <c r="DQ406">
        <v>0</v>
      </c>
      <c r="DS406">
        <v>0</v>
      </c>
      <c r="DU406">
        <v>0</v>
      </c>
      <c r="DW406">
        <v>0</v>
      </c>
      <c r="DX406" t="s">
        <v>1043</v>
      </c>
      <c r="DY406">
        <v>0</v>
      </c>
      <c r="DZ406">
        <v>0</v>
      </c>
      <c r="EA406">
        <v>0</v>
      </c>
      <c r="ED406" t="s">
        <v>1045</v>
      </c>
      <c r="EE406">
        <v>0</v>
      </c>
      <c r="EF406">
        <v>0</v>
      </c>
      <c r="EQ406" t="s">
        <v>1044</v>
      </c>
      <c r="ES406" t="s">
        <v>1053</v>
      </c>
      <c r="ET406">
        <v>0</v>
      </c>
      <c r="EV406">
        <v>0</v>
      </c>
      <c r="EY406" t="s">
        <v>1052</v>
      </c>
      <c r="EZ406">
        <v>0</v>
      </c>
      <c r="FA406" t="s">
        <v>1043</v>
      </c>
      <c r="FB406">
        <v>0</v>
      </c>
      <c r="FC406">
        <v>0</v>
      </c>
      <c r="FE406" t="s">
        <v>1050</v>
      </c>
      <c r="FF406">
        <v>0</v>
      </c>
      <c r="FG406" t="s">
        <v>1050</v>
      </c>
      <c r="FJ406">
        <v>0</v>
      </c>
      <c r="FK406">
        <v>0</v>
      </c>
      <c r="FP406">
        <v>0</v>
      </c>
      <c r="FR406">
        <v>0</v>
      </c>
      <c r="FS406" t="s">
        <v>1043</v>
      </c>
      <c r="FX406" t="s">
        <v>1042</v>
      </c>
      <c r="FZ406" t="s">
        <v>1048</v>
      </c>
      <c r="GA406">
        <v>0</v>
      </c>
      <c r="GB406" t="s">
        <v>1042</v>
      </c>
      <c r="GE406">
        <v>0</v>
      </c>
      <c r="GG406">
        <v>0</v>
      </c>
      <c r="GN406">
        <v>0</v>
      </c>
      <c r="GO406" t="s">
        <v>1063</v>
      </c>
      <c r="GQ406">
        <v>0</v>
      </c>
      <c r="GU406">
        <v>0</v>
      </c>
      <c r="GY406" t="s">
        <v>1045</v>
      </c>
      <c r="HB406">
        <v>0</v>
      </c>
      <c r="HE406">
        <v>0</v>
      </c>
      <c r="HF406">
        <v>0</v>
      </c>
      <c r="HG406">
        <v>0</v>
      </c>
      <c r="HK406" t="s">
        <v>1042</v>
      </c>
      <c r="HM406" t="s">
        <v>1047</v>
      </c>
      <c r="HN406">
        <v>0</v>
      </c>
      <c r="HP406">
        <v>0</v>
      </c>
      <c r="HQ406">
        <v>0</v>
      </c>
      <c r="HR406" t="s">
        <v>1042</v>
      </c>
      <c r="HS406" t="s">
        <v>1043</v>
      </c>
      <c r="HT406">
        <v>0</v>
      </c>
      <c r="HU406">
        <v>0</v>
      </c>
      <c r="HW406">
        <v>0</v>
      </c>
      <c r="HX406">
        <v>0</v>
      </c>
      <c r="HY406">
        <v>0</v>
      </c>
      <c r="HZ406" t="s">
        <v>1045</v>
      </c>
      <c r="IA406">
        <v>0</v>
      </c>
      <c r="IB406" t="s">
        <v>1045</v>
      </c>
      <c r="ID406" t="s">
        <v>1045</v>
      </c>
      <c r="IF406">
        <v>0</v>
      </c>
      <c r="IG406" t="s">
        <v>1042</v>
      </c>
      <c r="II406" t="s">
        <v>1042</v>
      </c>
      <c r="IR406" t="s">
        <v>1045</v>
      </c>
      <c r="IT406">
        <v>0</v>
      </c>
      <c r="IY406" t="s">
        <v>1044</v>
      </c>
      <c r="IZ406" t="s">
        <v>1043</v>
      </c>
      <c r="JC406" t="s">
        <v>1043</v>
      </c>
      <c r="JE406">
        <v>0</v>
      </c>
      <c r="JF406">
        <v>0</v>
      </c>
      <c r="JI406" t="s">
        <v>1042</v>
      </c>
      <c r="JJ406">
        <v>0</v>
      </c>
      <c r="JK406">
        <v>0</v>
      </c>
      <c r="JL406">
        <v>0</v>
      </c>
      <c r="JM406">
        <v>0</v>
      </c>
      <c r="JQ406" t="s">
        <v>1043</v>
      </c>
      <c r="JT406">
        <v>0</v>
      </c>
      <c r="JU406" t="s">
        <v>1042</v>
      </c>
      <c r="JW406">
        <v>0</v>
      </c>
      <c r="KA406">
        <v>0</v>
      </c>
      <c r="KF406">
        <v>0</v>
      </c>
      <c r="KG406">
        <v>0</v>
      </c>
      <c r="KH406">
        <v>0</v>
      </c>
      <c r="KI406">
        <v>0</v>
      </c>
      <c r="KS406" t="s">
        <v>1073</v>
      </c>
      <c r="KT406">
        <v>0</v>
      </c>
      <c r="KU406">
        <v>0</v>
      </c>
      <c r="KV406">
        <v>0</v>
      </c>
      <c r="KX406">
        <v>0</v>
      </c>
      <c r="KZ406">
        <v>0</v>
      </c>
      <c r="LF406">
        <v>0</v>
      </c>
      <c r="LH406">
        <v>0</v>
      </c>
      <c r="LI406">
        <v>0</v>
      </c>
    </row>
    <row r="407" spans="1:321" x14ac:dyDescent="0.35">
      <c r="A407">
        <v>1</v>
      </c>
      <c r="B407">
        <v>12619</v>
      </c>
      <c r="C407" t="s">
        <v>1278</v>
      </c>
      <c r="D407" t="s">
        <v>1133</v>
      </c>
      <c r="E407" t="s">
        <v>1085</v>
      </c>
      <c r="F407">
        <v>80</v>
      </c>
      <c r="G407">
        <v>9000</v>
      </c>
      <c r="H407">
        <v>0</v>
      </c>
      <c r="I407" t="s">
        <v>1050</v>
      </c>
      <c r="L407">
        <v>0</v>
      </c>
      <c r="M407">
        <v>0</v>
      </c>
      <c r="N407">
        <v>0</v>
      </c>
      <c r="R407">
        <v>0</v>
      </c>
      <c r="S407">
        <v>0</v>
      </c>
      <c r="W407" t="s">
        <v>1060</v>
      </c>
      <c r="X407">
        <v>0</v>
      </c>
      <c r="Z407">
        <v>1</v>
      </c>
      <c r="AA407">
        <v>0</v>
      </c>
      <c r="AB407">
        <v>0</v>
      </c>
      <c r="AC407">
        <v>0</v>
      </c>
      <c r="AD407" s="20">
        <v>40799</v>
      </c>
      <c r="AE407">
        <v>3.6</v>
      </c>
      <c r="AF407">
        <v>0</v>
      </c>
      <c r="AH407">
        <v>0</v>
      </c>
      <c r="AJ407">
        <v>0</v>
      </c>
      <c r="AL407">
        <v>0</v>
      </c>
      <c r="AM407">
        <v>0</v>
      </c>
      <c r="AN407">
        <v>16601001</v>
      </c>
      <c r="AO407">
        <v>0</v>
      </c>
      <c r="AP407">
        <v>1003</v>
      </c>
      <c r="AT407">
        <v>0</v>
      </c>
      <c r="AU407" t="s">
        <v>1059</v>
      </c>
      <c r="AW407" t="s">
        <v>1053</v>
      </c>
      <c r="AX407">
        <v>0</v>
      </c>
      <c r="AY407" s="20">
        <v>40799</v>
      </c>
      <c r="BA407" s="20">
        <v>40799</v>
      </c>
      <c r="BB407" t="s">
        <v>1058</v>
      </c>
      <c r="BD407">
        <v>0</v>
      </c>
      <c r="BF407" t="s">
        <v>1043</v>
      </c>
      <c r="BG407" t="s">
        <v>1042</v>
      </c>
      <c r="BH407">
        <v>0</v>
      </c>
      <c r="BI407">
        <v>1</v>
      </c>
      <c r="BJ407">
        <v>0</v>
      </c>
      <c r="BK407">
        <v>0</v>
      </c>
      <c r="BM407" t="s">
        <v>1042</v>
      </c>
      <c r="BN407">
        <v>0</v>
      </c>
      <c r="BR407" t="s">
        <v>1043</v>
      </c>
      <c r="BS407" t="s">
        <v>1043</v>
      </c>
      <c r="BT407" t="s">
        <v>1043</v>
      </c>
      <c r="BW407">
        <v>83</v>
      </c>
      <c r="CA407">
        <v>0</v>
      </c>
      <c r="CB407" t="s">
        <v>1057</v>
      </c>
      <c r="CE407" t="s">
        <v>1043</v>
      </c>
      <c r="CH407" t="s">
        <v>1043</v>
      </c>
      <c r="CN407" t="s">
        <v>1056</v>
      </c>
      <c r="CO407" t="s">
        <v>1043</v>
      </c>
      <c r="CP407">
        <v>1</v>
      </c>
      <c r="CQ407">
        <v>0</v>
      </c>
      <c r="CS407">
        <v>0</v>
      </c>
      <c r="CT407">
        <v>0</v>
      </c>
      <c r="CU407">
        <v>0</v>
      </c>
      <c r="CV407" t="s">
        <v>1045</v>
      </c>
      <c r="CW407">
        <v>0</v>
      </c>
      <c r="CX407">
        <v>0</v>
      </c>
      <c r="CY407">
        <v>0</v>
      </c>
      <c r="CZ407">
        <v>0</v>
      </c>
      <c r="DB407">
        <v>0</v>
      </c>
      <c r="DC407" t="s">
        <v>1043</v>
      </c>
      <c r="DF407" t="s">
        <v>1055</v>
      </c>
      <c r="DH407">
        <v>0</v>
      </c>
      <c r="DJ407">
        <v>0</v>
      </c>
      <c r="DK407" t="s">
        <v>1053</v>
      </c>
      <c r="DL407">
        <v>0</v>
      </c>
      <c r="DN407">
        <v>0</v>
      </c>
      <c r="DO407" t="s">
        <v>1042</v>
      </c>
      <c r="DP407">
        <v>0</v>
      </c>
      <c r="DQ407">
        <v>0</v>
      </c>
      <c r="DS407">
        <v>0</v>
      </c>
      <c r="DU407">
        <v>0</v>
      </c>
      <c r="DW407">
        <v>0</v>
      </c>
      <c r="DX407" t="s">
        <v>1043</v>
      </c>
      <c r="DY407">
        <v>0</v>
      </c>
      <c r="DZ407">
        <v>0</v>
      </c>
      <c r="EA407">
        <v>0</v>
      </c>
      <c r="ED407" t="s">
        <v>1045</v>
      </c>
      <c r="EE407">
        <v>0</v>
      </c>
      <c r="EF407">
        <v>0</v>
      </c>
      <c r="EQ407" t="s">
        <v>1044</v>
      </c>
      <c r="ES407" t="s">
        <v>1053</v>
      </c>
      <c r="ET407">
        <v>0</v>
      </c>
      <c r="EV407">
        <v>0</v>
      </c>
      <c r="EY407" t="s">
        <v>1052</v>
      </c>
      <c r="EZ407">
        <v>0</v>
      </c>
      <c r="FA407" t="s">
        <v>1043</v>
      </c>
      <c r="FB407">
        <v>0</v>
      </c>
      <c r="FC407">
        <v>0</v>
      </c>
      <c r="FE407" t="s">
        <v>1050</v>
      </c>
      <c r="FF407">
        <v>0</v>
      </c>
      <c r="FG407" t="s">
        <v>1050</v>
      </c>
      <c r="FJ407">
        <v>0</v>
      </c>
      <c r="FK407">
        <v>0</v>
      </c>
      <c r="FP407">
        <v>0</v>
      </c>
      <c r="FR407">
        <v>0</v>
      </c>
      <c r="FS407" t="s">
        <v>1043</v>
      </c>
      <c r="FX407" t="s">
        <v>1042</v>
      </c>
      <c r="FZ407" t="s">
        <v>1048</v>
      </c>
      <c r="GA407">
        <v>0</v>
      </c>
      <c r="GB407" t="s">
        <v>1042</v>
      </c>
      <c r="GE407">
        <v>0</v>
      </c>
      <c r="GG407">
        <v>0</v>
      </c>
      <c r="GN407">
        <v>0</v>
      </c>
      <c r="GO407" t="s">
        <v>1063</v>
      </c>
      <c r="GQ407">
        <v>0</v>
      </c>
      <c r="GU407">
        <v>0</v>
      </c>
      <c r="GY407" t="s">
        <v>1045</v>
      </c>
      <c r="HB407">
        <v>0</v>
      </c>
      <c r="HE407">
        <v>0</v>
      </c>
      <c r="HF407">
        <v>0</v>
      </c>
      <c r="HG407">
        <v>0</v>
      </c>
      <c r="HK407" t="s">
        <v>1042</v>
      </c>
      <c r="HM407" t="s">
        <v>1047</v>
      </c>
      <c r="HN407">
        <v>0</v>
      </c>
      <c r="HP407">
        <v>0</v>
      </c>
      <c r="HQ407">
        <v>0</v>
      </c>
      <c r="HR407" t="s">
        <v>1042</v>
      </c>
      <c r="HS407" t="s">
        <v>1043</v>
      </c>
      <c r="HT407">
        <v>0</v>
      </c>
      <c r="HU407">
        <v>0</v>
      </c>
      <c r="HW407">
        <v>0</v>
      </c>
      <c r="HX407">
        <v>0</v>
      </c>
      <c r="HY407">
        <v>0</v>
      </c>
      <c r="HZ407" t="s">
        <v>1045</v>
      </c>
      <c r="IA407">
        <v>0</v>
      </c>
      <c r="IB407" t="s">
        <v>1045</v>
      </c>
      <c r="ID407" t="s">
        <v>1045</v>
      </c>
      <c r="IF407">
        <v>0</v>
      </c>
      <c r="IG407" t="s">
        <v>1042</v>
      </c>
      <c r="II407" t="s">
        <v>1042</v>
      </c>
      <c r="IR407" t="s">
        <v>1045</v>
      </c>
      <c r="IT407">
        <v>0</v>
      </c>
      <c r="IY407" t="s">
        <v>1044</v>
      </c>
      <c r="IZ407" t="s">
        <v>1043</v>
      </c>
      <c r="JC407" t="s">
        <v>1043</v>
      </c>
      <c r="JE407">
        <v>0</v>
      </c>
      <c r="JF407">
        <v>0</v>
      </c>
      <c r="JI407" t="s">
        <v>1042</v>
      </c>
      <c r="JJ407">
        <v>0</v>
      </c>
      <c r="JK407">
        <v>0</v>
      </c>
      <c r="JL407">
        <v>0</v>
      </c>
      <c r="JM407">
        <v>0</v>
      </c>
      <c r="JQ407" t="s">
        <v>1043</v>
      </c>
      <c r="JT407">
        <v>0</v>
      </c>
      <c r="JU407" t="s">
        <v>1042</v>
      </c>
      <c r="JW407">
        <v>0</v>
      </c>
      <c r="KA407">
        <v>0</v>
      </c>
      <c r="KF407">
        <v>0</v>
      </c>
      <c r="KG407">
        <v>0</v>
      </c>
      <c r="KH407">
        <v>0</v>
      </c>
      <c r="KI407">
        <v>0</v>
      </c>
      <c r="KS407" t="s">
        <v>1073</v>
      </c>
      <c r="KT407">
        <v>0</v>
      </c>
      <c r="KU407">
        <v>0</v>
      </c>
      <c r="KV407">
        <v>0</v>
      </c>
      <c r="KX407">
        <v>0</v>
      </c>
      <c r="KZ407">
        <v>0</v>
      </c>
      <c r="LF407">
        <v>0</v>
      </c>
      <c r="LH407">
        <v>0</v>
      </c>
      <c r="LI407">
        <v>0</v>
      </c>
    </row>
    <row r="408" spans="1:321" x14ac:dyDescent="0.35">
      <c r="A408">
        <v>1</v>
      </c>
      <c r="B408">
        <v>12620</v>
      </c>
      <c r="C408" t="s">
        <v>1277</v>
      </c>
      <c r="D408" t="s">
        <v>1133</v>
      </c>
      <c r="E408" t="s">
        <v>1085</v>
      </c>
      <c r="F408">
        <v>80</v>
      </c>
      <c r="G408">
        <v>9000</v>
      </c>
      <c r="H408">
        <v>0</v>
      </c>
      <c r="I408" t="s">
        <v>1050</v>
      </c>
      <c r="L408">
        <v>0</v>
      </c>
      <c r="M408">
        <v>0</v>
      </c>
      <c r="N408">
        <v>0</v>
      </c>
      <c r="R408">
        <v>0</v>
      </c>
      <c r="S408">
        <v>0</v>
      </c>
      <c r="W408" t="s">
        <v>1060</v>
      </c>
      <c r="X408">
        <v>0</v>
      </c>
      <c r="Z408">
        <v>1</v>
      </c>
      <c r="AA408">
        <v>0</v>
      </c>
      <c r="AB408">
        <v>0</v>
      </c>
      <c r="AC408">
        <v>0</v>
      </c>
      <c r="AD408" s="20">
        <v>40799</v>
      </c>
      <c r="AE408">
        <v>3.6</v>
      </c>
      <c r="AF408">
        <v>0</v>
      </c>
      <c r="AH408">
        <v>0</v>
      </c>
      <c r="AJ408">
        <v>0</v>
      </c>
      <c r="AL408">
        <v>0</v>
      </c>
      <c r="AM408">
        <v>0</v>
      </c>
      <c r="AN408">
        <v>16601001</v>
      </c>
      <c r="AO408">
        <v>0</v>
      </c>
      <c r="AP408">
        <v>1003</v>
      </c>
      <c r="AT408">
        <v>0</v>
      </c>
      <c r="AU408" t="s">
        <v>1059</v>
      </c>
      <c r="AW408" t="s">
        <v>1053</v>
      </c>
      <c r="AX408">
        <v>0</v>
      </c>
      <c r="AY408" s="20">
        <v>40799</v>
      </c>
      <c r="BA408" s="20">
        <v>40799</v>
      </c>
      <c r="BB408" t="s">
        <v>1058</v>
      </c>
      <c r="BD408">
        <v>0</v>
      </c>
      <c r="BF408" t="s">
        <v>1043</v>
      </c>
      <c r="BG408" t="s">
        <v>1042</v>
      </c>
      <c r="BH408">
        <v>0</v>
      </c>
      <c r="BI408">
        <v>1</v>
      </c>
      <c r="BJ408">
        <v>0</v>
      </c>
      <c r="BK408">
        <v>0</v>
      </c>
      <c r="BM408" t="s">
        <v>1042</v>
      </c>
      <c r="BN408">
        <v>0</v>
      </c>
      <c r="BR408" t="s">
        <v>1043</v>
      </c>
      <c r="BS408" t="s">
        <v>1043</v>
      </c>
      <c r="BT408" t="s">
        <v>1043</v>
      </c>
      <c r="BW408">
        <v>83</v>
      </c>
      <c r="CA408">
        <v>0</v>
      </c>
      <c r="CB408" t="s">
        <v>1057</v>
      </c>
      <c r="CE408" t="s">
        <v>1043</v>
      </c>
      <c r="CH408" t="s">
        <v>1043</v>
      </c>
      <c r="CN408" t="s">
        <v>1056</v>
      </c>
      <c r="CO408" t="s">
        <v>1043</v>
      </c>
      <c r="CP408">
        <v>1</v>
      </c>
      <c r="CQ408">
        <v>0</v>
      </c>
      <c r="CS408">
        <v>0</v>
      </c>
      <c r="CT408">
        <v>0</v>
      </c>
      <c r="CU408">
        <v>0</v>
      </c>
      <c r="CV408" t="s">
        <v>1045</v>
      </c>
      <c r="CW408">
        <v>0</v>
      </c>
      <c r="CX408">
        <v>0</v>
      </c>
      <c r="CY408">
        <v>0</v>
      </c>
      <c r="CZ408">
        <v>0</v>
      </c>
      <c r="DB408">
        <v>0</v>
      </c>
      <c r="DC408" t="s">
        <v>1043</v>
      </c>
      <c r="DF408" t="s">
        <v>1055</v>
      </c>
      <c r="DH408">
        <v>0</v>
      </c>
      <c r="DJ408">
        <v>0</v>
      </c>
      <c r="DK408" t="s">
        <v>1053</v>
      </c>
      <c r="DL408">
        <v>0</v>
      </c>
      <c r="DN408">
        <v>0</v>
      </c>
      <c r="DO408" t="s">
        <v>1042</v>
      </c>
      <c r="DP408">
        <v>0</v>
      </c>
      <c r="DQ408">
        <v>0</v>
      </c>
      <c r="DS408">
        <v>0</v>
      </c>
      <c r="DU408">
        <v>0</v>
      </c>
      <c r="DW408">
        <v>0</v>
      </c>
      <c r="DX408" t="s">
        <v>1043</v>
      </c>
      <c r="DY408">
        <v>0</v>
      </c>
      <c r="DZ408">
        <v>0</v>
      </c>
      <c r="EA408">
        <v>0</v>
      </c>
      <c r="ED408" t="s">
        <v>1045</v>
      </c>
      <c r="EE408">
        <v>0</v>
      </c>
      <c r="EF408">
        <v>0</v>
      </c>
      <c r="EQ408" t="s">
        <v>1044</v>
      </c>
      <c r="ES408" t="s">
        <v>1053</v>
      </c>
      <c r="ET408">
        <v>0</v>
      </c>
      <c r="EV408">
        <v>0</v>
      </c>
      <c r="EY408" t="s">
        <v>1052</v>
      </c>
      <c r="EZ408">
        <v>0</v>
      </c>
      <c r="FA408" t="s">
        <v>1043</v>
      </c>
      <c r="FB408">
        <v>0</v>
      </c>
      <c r="FC408">
        <v>0</v>
      </c>
      <c r="FE408" t="s">
        <v>1050</v>
      </c>
      <c r="FF408">
        <v>0</v>
      </c>
      <c r="FG408" t="s">
        <v>1050</v>
      </c>
      <c r="FJ408">
        <v>0</v>
      </c>
      <c r="FK408">
        <v>0</v>
      </c>
      <c r="FP408">
        <v>0</v>
      </c>
      <c r="FR408">
        <v>0</v>
      </c>
      <c r="FS408" t="s">
        <v>1043</v>
      </c>
      <c r="FX408" t="s">
        <v>1042</v>
      </c>
      <c r="FZ408" t="s">
        <v>1048</v>
      </c>
      <c r="GA408">
        <v>0</v>
      </c>
      <c r="GB408" t="s">
        <v>1042</v>
      </c>
      <c r="GE408">
        <v>0</v>
      </c>
      <c r="GG408">
        <v>0</v>
      </c>
      <c r="GN408">
        <v>0</v>
      </c>
      <c r="GO408" t="s">
        <v>1063</v>
      </c>
      <c r="GQ408">
        <v>0</v>
      </c>
      <c r="GU408">
        <v>0</v>
      </c>
      <c r="GY408" t="s">
        <v>1045</v>
      </c>
      <c r="HB408">
        <v>0</v>
      </c>
      <c r="HE408">
        <v>0</v>
      </c>
      <c r="HF408">
        <v>0</v>
      </c>
      <c r="HG408">
        <v>0</v>
      </c>
      <c r="HK408" t="s">
        <v>1042</v>
      </c>
      <c r="HM408" t="s">
        <v>1047</v>
      </c>
      <c r="HN408">
        <v>0</v>
      </c>
      <c r="HP408">
        <v>0</v>
      </c>
      <c r="HQ408">
        <v>0</v>
      </c>
      <c r="HR408" t="s">
        <v>1042</v>
      </c>
      <c r="HS408" t="s">
        <v>1043</v>
      </c>
      <c r="HT408">
        <v>0</v>
      </c>
      <c r="HU408">
        <v>0</v>
      </c>
      <c r="HW408">
        <v>0</v>
      </c>
      <c r="HX408">
        <v>0</v>
      </c>
      <c r="HY408">
        <v>0</v>
      </c>
      <c r="HZ408" t="s">
        <v>1045</v>
      </c>
      <c r="IA408">
        <v>0</v>
      </c>
      <c r="IB408" t="s">
        <v>1045</v>
      </c>
      <c r="ID408" t="s">
        <v>1045</v>
      </c>
      <c r="IF408">
        <v>0</v>
      </c>
      <c r="IG408" t="s">
        <v>1042</v>
      </c>
      <c r="II408" t="s">
        <v>1042</v>
      </c>
      <c r="IR408" t="s">
        <v>1045</v>
      </c>
      <c r="IT408">
        <v>0</v>
      </c>
      <c r="IY408" t="s">
        <v>1044</v>
      </c>
      <c r="IZ408" t="s">
        <v>1043</v>
      </c>
      <c r="JC408" t="s">
        <v>1043</v>
      </c>
      <c r="JE408">
        <v>0</v>
      </c>
      <c r="JF408">
        <v>0</v>
      </c>
      <c r="JI408" t="s">
        <v>1042</v>
      </c>
      <c r="JJ408">
        <v>0</v>
      </c>
      <c r="JK408">
        <v>0</v>
      </c>
      <c r="JL408">
        <v>0</v>
      </c>
      <c r="JM408">
        <v>0</v>
      </c>
      <c r="JQ408" t="s">
        <v>1043</v>
      </c>
      <c r="JT408">
        <v>0</v>
      </c>
      <c r="JU408" t="s">
        <v>1042</v>
      </c>
      <c r="JW408">
        <v>0</v>
      </c>
      <c r="KA408">
        <v>0</v>
      </c>
      <c r="KF408">
        <v>0</v>
      </c>
      <c r="KG408">
        <v>0</v>
      </c>
      <c r="KH408">
        <v>0</v>
      </c>
      <c r="KI408">
        <v>0</v>
      </c>
      <c r="KS408" t="s">
        <v>1073</v>
      </c>
      <c r="KT408">
        <v>0</v>
      </c>
      <c r="KU408">
        <v>0</v>
      </c>
      <c r="KV408">
        <v>0</v>
      </c>
      <c r="KX408">
        <v>0</v>
      </c>
      <c r="KZ408">
        <v>0</v>
      </c>
      <c r="LF408">
        <v>0</v>
      </c>
      <c r="LH408">
        <v>0</v>
      </c>
      <c r="LI408">
        <v>0</v>
      </c>
    </row>
    <row r="409" spans="1:321" x14ac:dyDescent="0.35">
      <c r="A409">
        <v>1</v>
      </c>
      <c r="B409">
        <v>12621</v>
      </c>
      <c r="C409" t="s">
        <v>1276</v>
      </c>
      <c r="D409" t="s">
        <v>1133</v>
      </c>
      <c r="E409" t="s">
        <v>1085</v>
      </c>
      <c r="F409">
        <v>80</v>
      </c>
      <c r="G409">
        <v>9000</v>
      </c>
      <c r="H409">
        <v>0</v>
      </c>
      <c r="I409" t="s">
        <v>1050</v>
      </c>
      <c r="L409">
        <v>0</v>
      </c>
      <c r="M409">
        <v>0</v>
      </c>
      <c r="N409">
        <v>0</v>
      </c>
      <c r="R409">
        <v>0</v>
      </c>
      <c r="S409">
        <v>0</v>
      </c>
      <c r="W409" t="s">
        <v>1060</v>
      </c>
      <c r="X409">
        <v>0</v>
      </c>
      <c r="Z409">
        <v>1</v>
      </c>
      <c r="AA409">
        <v>0</v>
      </c>
      <c r="AB409">
        <v>0</v>
      </c>
      <c r="AC409">
        <v>0</v>
      </c>
      <c r="AD409" s="20">
        <v>40799</v>
      </c>
      <c r="AE409">
        <v>3.6</v>
      </c>
      <c r="AF409">
        <v>0</v>
      </c>
      <c r="AH409">
        <v>0</v>
      </c>
      <c r="AJ409">
        <v>0</v>
      </c>
      <c r="AL409">
        <v>0</v>
      </c>
      <c r="AM409">
        <v>0</v>
      </c>
      <c r="AN409">
        <v>16601001</v>
      </c>
      <c r="AO409">
        <v>0</v>
      </c>
      <c r="AP409">
        <v>1003</v>
      </c>
      <c r="AT409">
        <v>0</v>
      </c>
      <c r="AU409" t="s">
        <v>1059</v>
      </c>
      <c r="AW409" t="s">
        <v>1053</v>
      </c>
      <c r="AX409">
        <v>0</v>
      </c>
      <c r="AY409" s="20">
        <v>40799</v>
      </c>
      <c r="BA409" s="20">
        <v>40799</v>
      </c>
      <c r="BB409" t="s">
        <v>1058</v>
      </c>
      <c r="BD409">
        <v>0</v>
      </c>
      <c r="BF409" t="s">
        <v>1043</v>
      </c>
      <c r="BG409" t="s">
        <v>1042</v>
      </c>
      <c r="BH409">
        <v>0</v>
      </c>
      <c r="BI409">
        <v>1</v>
      </c>
      <c r="BJ409">
        <v>0</v>
      </c>
      <c r="BK409">
        <v>0</v>
      </c>
      <c r="BM409" t="s">
        <v>1042</v>
      </c>
      <c r="BN409">
        <v>0</v>
      </c>
      <c r="BR409" t="s">
        <v>1043</v>
      </c>
      <c r="BS409" t="s">
        <v>1043</v>
      </c>
      <c r="BT409" t="s">
        <v>1043</v>
      </c>
      <c r="BW409">
        <v>83</v>
      </c>
      <c r="CA409">
        <v>0</v>
      </c>
      <c r="CB409" t="s">
        <v>1057</v>
      </c>
      <c r="CE409" t="s">
        <v>1043</v>
      </c>
      <c r="CH409" t="s">
        <v>1043</v>
      </c>
      <c r="CN409" t="s">
        <v>1056</v>
      </c>
      <c r="CO409" t="s">
        <v>1043</v>
      </c>
      <c r="CP409">
        <v>1</v>
      </c>
      <c r="CQ409">
        <v>0</v>
      </c>
      <c r="CS409">
        <v>0</v>
      </c>
      <c r="CT409">
        <v>0</v>
      </c>
      <c r="CU409">
        <v>0</v>
      </c>
      <c r="CV409" t="s">
        <v>1045</v>
      </c>
      <c r="CW409">
        <v>0</v>
      </c>
      <c r="CX409">
        <v>0</v>
      </c>
      <c r="CY409">
        <v>0</v>
      </c>
      <c r="CZ409">
        <v>0</v>
      </c>
      <c r="DB409">
        <v>0</v>
      </c>
      <c r="DC409" t="s">
        <v>1043</v>
      </c>
      <c r="DF409" t="s">
        <v>1055</v>
      </c>
      <c r="DH409">
        <v>0</v>
      </c>
      <c r="DJ409">
        <v>0</v>
      </c>
      <c r="DK409" t="s">
        <v>1053</v>
      </c>
      <c r="DL409">
        <v>0</v>
      </c>
      <c r="DN409">
        <v>0</v>
      </c>
      <c r="DO409" t="s">
        <v>1042</v>
      </c>
      <c r="DP409">
        <v>0</v>
      </c>
      <c r="DQ409">
        <v>0</v>
      </c>
      <c r="DS409">
        <v>0</v>
      </c>
      <c r="DU409">
        <v>0</v>
      </c>
      <c r="DW409">
        <v>0</v>
      </c>
      <c r="DX409" t="s">
        <v>1043</v>
      </c>
      <c r="DY409">
        <v>0</v>
      </c>
      <c r="DZ409">
        <v>0</v>
      </c>
      <c r="EA409">
        <v>0</v>
      </c>
      <c r="ED409" t="s">
        <v>1045</v>
      </c>
      <c r="EE409">
        <v>0</v>
      </c>
      <c r="EF409">
        <v>0</v>
      </c>
      <c r="EQ409" t="s">
        <v>1044</v>
      </c>
      <c r="ES409" t="s">
        <v>1053</v>
      </c>
      <c r="ET409">
        <v>0</v>
      </c>
      <c r="EV409">
        <v>0</v>
      </c>
      <c r="EY409" t="s">
        <v>1052</v>
      </c>
      <c r="EZ409">
        <v>0</v>
      </c>
      <c r="FA409" t="s">
        <v>1043</v>
      </c>
      <c r="FB409">
        <v>0</v>
      </c>
      <c r="FC409">
        <v>0</v>
      </c>
      <c r="FE409" t="s">
        <v>1050</v>
      </c>
      <c r="FF409">
        <v>0</v>
      </c>
      <c r="FG409" t="s">
        <v>1050</v>
      </c>
      <c r="FJ409">
        <v>0</v>
      </c>
      <c r="FK409">
        <v>0</v>
      </c>
      <c r="FP409">
        <v>0</v>
      </c>
      <c r="FR409">
        <v>0</v>
      </c>
      <c r="FS409" t="s">
        <v>1043</v>
      </c>
      <c r="FX409" t="s">
        <v>1042</v>
      </c>
      <c r="FZ409" t="s">
        <v>1048</v>
      </c>
      <c r="GA409">
        <v>0</v>
      </c>
      <c r="GB409" t="s">
        <v>1042</v>
      </c>
      <c r="GE409">
        <v>0</v>
      </c>
      <c r="GG409">
        <v>0</v>
      </c>
      <c r="GN409">
        <v>0</v>
      </c>
      <c r="GO409" t="s">
        <v>1063</v>
      </c>
      <c r="GQ409">
        <v>0</v>
      </c>
      <c r="GU409">
        <v>0</v>
      </c>
      <c r="GY409" t="s">
        <v>1045</v>
      </c>
      <c r="HB409">
        <v>0</v>
      </c>
      <c r="HE409">
        <v>0</v>
      </c>
      <c r="HF409">
        <v>0</v>
      </c>
      <c r="HG409">
        <v>0</v>
      </c>
      <c r="HK409" t="s">
        <v>1042</v>
      </c>
      <c r="HM409" t="s">
        <v>1047</v>
      </c>
      <c r="HN409">
        <v>0</v>
      </c>
      <c r="HP409">
        <v>0</v>
      </c>
      <c r="HQ409">
        <v>0</v>
      </c>
      <c r="HR409" t="s">
        <v>1042</v>
      </c>
      <c r="HS409" t="s">
        <v>1043</v>
      </c>
      <c r="HT409">
        <v>0</v>
      </c>
      <c r="HU409">
        <v>0</v>
      </c>
      <c r="HW409">
        <v>0</v>
      </c>
      <c r="HX409">
        <v>0</v>
      </c>
      <c r="HY409">
        <v>0</v>
      </c>
      <c r="HZ409" t="s">
        <v>1045</v>
      </c>
      <c r="IA409">
        <v>0</v>
      </c>
      <c r="IB409" t="s">
        <v>1045</v>
      </c>
      <c r="ID409" t="s">
        <v>1045</v>
      </c>
      <c r="IF409">
        <v>0</v>
      </c>
      <c r="IG409" t="s">
        <v>1042</v>
      </c>
      <c r="II409" t="s">
        <v>1042</v>
      </c>
      <c r="IR409" t="s">
        <v>1045</v>
      </c>
      <c r="IT409">
        <v>0</v>
      </c>
      <c r="IY409" t="s">
        <v>1044</v>
      </c>
      <c r="IZ409" t="s">
        <v>1043</v>
      </c>
      <c r="JC409" t="s">
        <v>1043</v>
      </c>
      <c r="JE409">
        <v>0</v>
      </c>
      <c r="JF409">
        <v>0</v>
      </c>
      <c r="JI409" t="s">
        <v>1042</v>
      </c>
      <c r="JJ409">
        <v>0</v>
      </c>
      <c r="JK409">
        <v>0</v>
      </c>
      <c r="JL409">
        <v>0</v>
      </c>
      <c r="JM409">
        <v>0</v>
      </c>
      <c r="JQ409" t="s">
        <v>1043</v>
      </c>
      <c r="JT409">
        <v>0</v>
      </c>
      <c r="JU409" t="s">
        <v>1042</v>
      </c>
      <c r="JW409">
        <v>0</v>
      </c>
      <c r="KA409">
        <v>0</v>
      </c>
      <c r="KF409">
        <v>0</v>
      </c>
      <c r="KG409">
        <v>0</v>
      </c>
      <c r="KH409">
        <v>0</v>
      </c>
      <c r="KI409">
        <v>0</v>
      </c>
      <c r="KS409" t="s">
        <v>1073</v>
      </c>
      <c r="KT409">
        <v>0</v>
      </c>
      <c r="KU409">
        <v>0</v>
      </c>
      <c r="KV409">
        <v>0</v>
      </c>
      <c r="KX409">
        <v>0</v>
      </c>
      <c r="KZ409">
        <v>0</v>
      </c>
      <c r="LF409">
        <v>0</v>
      </c>
      <c r="LH409">
        <v>0</v>
      </c>
      <c r="LI409">
        <v>0</v>
      </c>
    </row>
    <row r="410" spans="1:321" x14ac:dyDescent="0.35">
      <c r="A410">
        <v>1</v>
      </c>
      <c r="B410">
        <v>12622</v>
      </c>
      <c r="C410" t="s">
        <v>1275</v>
      </c>
      <c r="D410" t="s">
        <v>1133</v>
      </c>
      <c r="E410" t="s">
        <v>1085</v>
      </c>
      <c r="F410">
        <v>80</v>
      </c>
      <c r="G410">
        <v>9000</v>
      </c>
      <c r="H410">
        <v>0</v>
      </c>
      <c r="I410" t="s">
        <v>1050</v>
      </c>
      <c r="L410">
        <v>0</v>
      </c>
      <c r="M410">
        <v>0</v>
      </c>
      <c r="N410">
        <v>0</v>
      </c>
      <c r="R410">
        <v>0</v>
      </c>
      <c r="S410">
        <v>0</v>
      </c>
      <c r="W410" t="s">
        <v>1060</v>
      </c>
      <c r="X410">
        <v>0</v>
      </c>
      <c r="Z410">
        <v>1</v>
      </c>
      <c r="AA410">
        <v>0</v>
      </c>
      <c r="AB410">
        <v>0</v>
      </c>
      <c r="AC410">
        <v>0</v>
      </c>
      <c r="AD410" s="20">
        <v>40799</v>
      </c>
      <c r="AE410">
        <v>3.6</v>
      </c>
      <c r="AF410">
        <v>0</v>
      </c>
      <c r="AH410">
        <v>0</v>
      </c>
      <c r="AJ410">
        <v>0</v>
      </c>
      <c r="AL410">
        <v>0</v>
      </c>
      <c r="AM410">
        <v>0</v>
      </c>
      <c r="AN410">
        <v>16601001</v>
      </c>
      <c r="AO410">
        <v>0</v>
      </c>
      <c r="AP410">
        <v>1003</v>
      </c>
      <c r="AT410">
        <v>0</v>
      </c>
      <c r="AU410" t="s">
        <v>1059</v>
      </c>
      <c r="AW410" t="s">
        <v>1053</v>
      </c>
      <c r="AX410">
        <v>0</v>
      </c>
      <c r="AY410" s="20">
        <v>40799</v>
      </c>
      <c r="BA410" s="20">
        <v>40799</v>
      </c>
      <c r="BB410" t="s">
        <v>1058</v>
      </c>
      <c r="BD410">
        <v>0</v>
      </c>
      <c r="BF410" t="s">
        <v>1043</v>
      </c>
      <c r="BG410" t="s">
        <v>1042</v>
      </c>
      <c r="BH410">
        <v>0</v>
      </c>
      <c r="BI410">
        <v>1</v>
      </c>
      <c r="BJ410">
        <v>0</v>
      </c>
      <c r="BK410">
        <v>0</v>
      </c>
      <c r="BM410" t="s">
        <v>1042</v>
      </c>
      <c r="BN410">
        <v>0</v>
      </c>
      <c r="BR410" t="s">
        <v>1043</v>
      </c>
      <c r="BS410" t="s">
        <v>1043</v>
      </c>
      <c r="BT410" t="s">
        <v>1043</v>
      </c>
      <c r="BW410">
        <v>83</v>
      </c>
      <c r="CA410">
        <v>0</v>
      </c>
      <c r="CB410" t="s">
        <v>1057</v>
      </c>
      <c r="CE410" t="s">
        <v>1043</v>
      </c>
      <c r="CH410" t="s">
        <v>1043</v>
      </c>
      <c r="CN410" t="s">
        <v>1056</v>
      </c>
      <c r="CO410" t="s">
        <v>1043</v>
      </c>
      <c r="CP410">
        <v>1</v>
      </c>
      <c r="CQ410">
        <v>0</v>
      </c>
      <c r="CS410">
        <v>0</v>
      </c>
      <c r="CT410">
        <v>0</v>
      </c>
      <c r="CU410">
        <v>0</v>
      </c>
      <c r="CV410" t="s">
        <v>1045</v>
      </c>
      <c r="CW410">
        <v>0</v>
      </c>
      <c r="CX410">
        <v>0</v>
      </c>
      <c r="CY410">
        <v>0</v>
      </c>
      <c r="CZ410">
        <v>0</v>
      </c>
      <c r="DB410">
        <v>0</v>
      </c>
      <c r="DC410" t="s">
        <v>1043</v>
      </c>
      <c r="DF410" t="s">
        <v>1055</v>
      </c>
      <c r="DH410">
        <v>0</v>
      </c>
      <c r="DJ410">
        <v>0</v>
      </c>
      <c r="DK410" t="s">
        <v>1053</v>
      </c>
      <c r="DL410">
        <v>0</v>
      </c>
      <c r="DN410">
        <v>0</v>
      </c>
      <c r="DO410" t="s">
        <v>1042</v>
      </c>
      <c r="DP410">
        <v>0</v>
      </c>
      <c r="DQ410">
        <v>0</v>
      </c>
      <c r="DS410">
        <v>0</v>
      </c>
      <c r="DU410">
        <v>0</v>
      </c>
      <c r="DW410">
        <v>0</v>
      </c>
      <c r="DX410" t="s">
        <v>1043</v>
      </c>
      <c r="DY410">
        <v>0</v>
      </c>
      <c r="DZ410">
        <v>0</v>
      </c>
      <c r="EA410">
        <v>0</v>
      </c>
      <c r="ED410" t="s">
        <v>1045</v>
      </c>
      <c r="EE410">
        <v>0</v>
      </c>
      <c r="EF410">
        <v>0</v>
      </c>
      <c r="EQ410" t="s">
        <v>1044</v>
      </c>
      <c r="ES410" t="s">
        <v>1053</v>
      </c>
      <c r="ET410">
        <v>0</v>
      </c>
      <c r="EV410">
        <v>0</v>
      </c>
      <c r="EY410" t="s">
        <v>1052</v>
      </c>
      <c r="EZ410">
        <v>0</v>
      </c>
      <c r="FA410" t="s">
        <v>1043</v>
      </c>
      <c r="FB410">
        <v>0</v>
      </c>
      <c r="FC410">
        <v>0</v>
      </c>
      <c r="FE410" t="s">
        <v>1050</v>
      </c>
      <c r="FF410">
        <v>0</v>
      </c>
      <c r="FG410" t="s">
        <v>1050</v>
      </c>
      <c r="FJ410">
        <v>0</v>
      </c>
      <c r="FK410">
        <v>0</v>
      </c>
      <c r="FP410">
        <v>0</v>
      </c>
      <c r="FR410">
        <v>0</v>
      </c>
      <c r="FS410" t="s">
        <v>1043</v>
      </c>
      <c r="FX410" t="s">
        <v>1042</v>
      </c>
      <c r="FZ410" t="s">
        <v>1048</v>
      </c>
      <c r="GA410">
        <v>0</v>
      </c>
      <c r="GB410" t="s">
        <v>1042</v>
      </c>
      <c r="GE410">
        <v>0</v>
      </c>
      <c r="GG410">
        <v>0</v>
      </c>
      <c r="GN410">
        <v>0</v>
      </c>
      <c r="GO410" t="s">
        <v>1063</v>
      </c>
      <c r="GQ410">
        <v>0</v>
      </c>
      <c r="GU410">
        <v>0</v>
      </c>
      <c r="GY410" t="s">
        <v>1045</v>
      </c>
      <c r="HB410">
        <v>0</v>
      </c>
      <c r="HE410">
        <v>0</v>
      </c>
      <c r="HF410">
        <v>0</v>
      </c>
      <c r="HG410">
        <v>0</v>
      </c>
      <c r="HK410" t="s">
        <v>1042</v>
      </c>
      <c r="HM410" t="s">
        <v>1047</v>
      </c>
      <c r="HN410">
        <v>0</v>
      </c>
      <c r="HP410">
        <v>0</v>
      </c>
      <c r="HQ410">
        <v>0</v>
      </c>
      <c r="HR410" t="s">
        <v>1042</v>
      </c>
      <c r="HS410" t="s">
        <v>1043</v>
      </c>
      <c r="HT410">
        <v>0</v>
      </c>
      <c r="HU410">
        <v>0</v>
      </c>
      <c r="HW410">
        <v>0</v>
      </c>
      <c r="HX410">
        <v>0</v>
      </c>
      <c r="HY410">
        <v>0</v>
      </c>
      <c r="HZ410" t="s">
        <v>1045</v>
      </c>
      <c r="IA410">
        <v>0</v>
      </c>
      <c r="IB410" t="s">
        <v>1045</v>
      </c>
      <c r="ID410" t="s">
        <v>1045</v>
      </c>
      <c r="IF410">
        <v>0</v>
      </c>
      <c r="IG410" t="s">
        <v>1042</v>
      </c>
      <c r="II410" t="s">
        <v>1042</v>
      </c>
      <c r="IR410" t="s">
        <v>1045</v>
      </c>
      <c r="IT410">
        <v>0</v>
      </c>
      <c r="IY410" t="s">
        <v>1044</v>
      </c>
      <c r="IZ410" t="s">
        <v>1043</v>
      </c>
      <c r="JC410" t="s">
        <v>1043</v>
      </c>
      <c r="JE410">
        <v>0</v>
      </c>
      <c r="JF410">
        <v>0</v>
      </c>
      <c r="JI410" t="s">
        <v>1042</v>
      </c>
      <c r="JJ410">
        <v>0</v>
      </c>
      <c r="JK410">
        <v>0</v>
      </c>
      <c r="JL410">
        <v>0</v>
      </c>
      <c r="JM410">
        <v>0</v>
      </c>
      <c r="JQ410" t="s">
        <v>1043</v>
      </c>
      <c r="JT410">
        <v>0</v>
      </c>
      <c r="JU410" t="s">
        <v>1042</v>
      </c>
      <c r="JW410">
        <v>0</v>
      </c>
      <c r="KA410">
        <v>0</v>
      </c>
      <c r="KF410">
        <v>0</v>
      </c>
      <c r="KG410">
        <v>0</v>
      </c>
      <c r="KH410">
        <v>0</v>
      </c>
      <c r="KI410">
        <v>0</v>
      </c>
      <c r="KS410" t="s">
        <v>1073</v>
      </c>
      <c r="KT410">
        <v>0</v>
      </c>
      <c r="KU410">
        <v>0</v>
      </c>
      <c r="KV410">
        <v>0</v>
      </c>
      <c r="KX410">
        <v>0</v>
      </c>
      <c r="KZ410">
        <v>0</v>
      </c>
      <c r="LF410">
        <v>0</v>
      </c>
      <c r="LH410">
        <v>0</v>
      </c>
      <c r="LI410">
        <v>0</v>
      </c>
    </row>
    <row r="411" spans="1:321" x14ac:dyDescent="0.35">
      <c r="A411">
        <v>1</v>
      </c>
      <c r="B411">
        <v>12623</v>
      </c>
      <c r="C411" t="s">
        <v>1274</v>
      </c>
      <c r="D411" t="s">
        <v>1133</v>
      </c>
      <c r="E411" t="s">
        <v>1085</v>
      </c>
      <c r="F411">
        <v>80</v>
      </c>
      <c r="G411">
        <v>9000</v>
      </c>
      <c r="H411">
        <v>0</v>
      </c>
      <c r="I411" t="s">
        <v>1050</v>
      </c>
      <c r="L411">
        <v>0</v>
      </c>
      <c r="M411">
        <v>0</v>
      </c>
      <c r="N411">
        <v>0</v>
      </c>
      <c r="R411">
        <v>0</v>
      </c>
      <c r="S411">
        <v>0</v>
      </c>
      <c r="W411" t="s">
        <v>1060</v>
      </c>
      <c r="X411">
        <v>0</v>
      </c>
      <c r="Z411">
        <v>1</v>
      </c>
      <c r="AA411">
        <v>0</v>
      </c>
      <c r="AB411">
        <v>0</v>
      </c>
      <c r="AC411">
        <v>0</v>
      </c>
      <c r="AD411" s="20">
        <v>40799</v>
      </c>
      <c r="AE411">
        <v>3.6</v>
      </c>
      <c r="AF411">
        <v>0</v>
      </c>
      <c r="AH411">
        <v>0</v>
      </c>
      <c r="AJ411">
        <v>0</v>
      </c>
      <c r="AL411">
        <v>0</v>
      </c>
      <c r="AM411">
        <v>0</v>
      </c>
      <c r="AN411">
        <v>16601001</v>
      </c>
      <c r="AO411">
        <v>0</v>
      </c>
      <c r="AP411">
        <v>1003</v>
      </c>
      <c r="AT411">
        <v>0</v>
      </c>
      <c r="AU411" t="s">
        <v>1059</v>
      </c>
      <c r="AW411" t="s">
        <v>1053</v>
      </c>
      <c r="AX411">
        <v>0</v>
      </c>
      <c r="AY411" s="20">
        <v>40799</v>
      </c>
      <c r="BA411" s="20">
        <v>40799</v>
      </c>
      <c r="BB411" t="s">
        <v>1058</v>
      </c>
      <c r="BD411">
        <v>0</v>
      </c>
      <c r="BF411" t="s">
        <v>1043</v>
      </c>
      <c r="BG411" t="s">
        <v>1042</v>
      </c>
      <c r="BH411">
        <v>0</v>
      </c>
      <c r="BI411">
        <v>1</v>
      </c>
      <c r="BJ411">
        <v>0</v>
      </c>
      <c r="BK411">
        <v>0</v>
      </c>
      <c r="BM411" t="s">
        <v>1042</v>
      </c>
      <c r="BN411">
        <v>0</v>
      </c>
      <c r="BR411" t="s">
        <v>1043</v>
      </c>
      <c r="BS411" t="s">
        <v>1043</v>
      </c>
      <c r="BT411" t="s">
        <v>1043</v>
      </c>
      <c r="BW411">
        <v>83</v>
      </c>
      <c r="CA411">
        <v>0</v>
      </c>
      <c r="CB411" t="s">
        <v>1057</v>
      </c>
      <c r="CE411" t="s">
        <v>1043</v>
      </c>
      <c r="CH411" t="s">
        <v>1043</v>
      </c>
      <c r="CN411" t="s">
        <v>1056</v>
      </c>
      <c r="CO411" t="s">
        <v>1043</v>
      </c>
      <c r="CP411">
        <v>1</v>
      </c>
      <c r="CQ411">
        <v>0</v>
      </c>
      <c r="CS411">
        <v>0</v>
      </c>
      <c r="CT411">
        <v>0</v>
      </c>
      <c r="CU411">
        <v>0</v>
      </c>
      <c r="CV411" t="s">
        <v>1045</v>
      </c>
      <c r="CW411">
        <v>0</v>
      </c>
      <c r="CX411">
        <v>0</v>
      </c>
      <c r="CY411">
        <v>0</v>
      </c>
      <c r="CZ411">
        <v>0</v>
      </c>
      <c r="DB411">
        <v>0</v>
      </c>
      <c r="DC411" t="s">
        <v>1043</v>
      </c>
      <c r="DF411" t="s">
        <v>1055</v>
      </c>
      <c r="DH411">
        <v>0</v>
      </c>
      <c r="DJ411">
        <v>0</v>
      </c>
      <c r="DK411" t="s">
        <v>1053</v>
      </c>
      <c r="DL411">
        <v>0</v>
      </c>
      <c r="DN411">
        <v>0</v>
      </c>
      <c r="DO411" t="s">
        <v>1042</v>
      </c>
      <c r="DP411">
        <v>0</v>
      </c>
      <c r="DQ411">
        <v>0</v>
      </c>
      <c r="DS411">
        <v>0</v>
      </c>
      <c r="DU411">
        <v>0</v>
      </c>
      <c r="DW411">
        <v>0</v>
      </c>
      <c r="DX411" t="s">
        <v>1043</v>
      </c>
      <c r="DY411">
        <v>0</v>
      </c>
      <c r="DZ411">
        <v>0</v>
      </c>
      <c r="EA411">
        <v>0</v>
      </c>
      <c r="ED411" t="s">
        <v>1045</v>
      </c>
      <c r="EE411">
        <v>0</v>
      </c>
      <c r="EF411">
        <v>0</v>
      </c>
      <c r="EQ411" t="s">
        <v>1044</v>
      </c>
      <c r="ES411" t="s">
        <v>1053</v>
      </c>
      <c r="ET411">
        <v>0</v>
      </c>
      <c r="EV411">
        <v>0</v>
      </c>
      <c r="EY411" t="s">
        <v>1052</v>
      </c>
      <c r="EZ411">
        <v>0</v>
      </c>
      <c r="FA411" t="s">
        <v>1043</v>
      </c>
      <c r="FB411">
        <v>0</v>
      </c>
      <c r="FC411">
        <v>0</v>
      </c>
      <c r="FE411" t="s">
        <v>1050</v>
      </c>
      <c r="FF411">
        <v>0</v>
      </c>
      <c r="FG411" t="s">
        <v>1050</v>
      </c>
      <c r="FJ411">
        <v>0</v>
      </c>
      <c r="FK411">
        <v>0</v>
      </c>
      <c r="FP411">
        <v>0</v>
      </c>
      <c r="FR411">
        <v>0</v>
      </c>
      <c r="FS411" t="s">
        <v>1043</v>
      </c>
      <c r="FX411" t="s">
        <v>1042</v>
      </c>
      <c r="FZ411" t="s">
        <v>1048</v>
      </c>
      <c r="GA411">
        <v>0</v>
      </c>
      <c r="GB411" t="s">
        <v>1042</v>
      </c>
      <c r="GE411">
        <v>0</v>
      </c>
      <c r="GG411">
        <v>0</v>
      </c>
      <c r="GN411">
        <v>0</v>
      </c>
      <c r="GO411" t="s">
        <v>1063</v>
      </c>
      <c r="GQ411">
        <v>0</v>
      </c>
      <c r="GU411">
        <v>0</v>
      </c>
      <c r="GY411" t="s">
        <v>1045</v>
      </c>
      <c r="HB411">
        <v>0</v>
      </c>
      <c r="HE411">
        <v>0</v>
      </c>
      <c r="HF411">
        <v>0</v>
      </c>
      <c r="HG411">
        <v>0</v>
      </c>
      <c r="HK411" t="s">
        <v>1042</v>
      </c>
      <c r="HM411" t="s">
        <v>1047</v>
      </c>
      <c r="HN411">
        <v>0</v>
      </c>
      <c r="HP411">
        <v>0</v>
      </c>
      <c r="HQ411">
        <v>0</v>
      </c>
      <c r="HR411" t="s">
        <v>1042</v>
      </c>
      <c r="HS411" t="s">
        <v>1043</v>
      </c>
      <c r="HT411">
        <v>0</v>
      </c>
      <c r="HU411">
        <v>0</v>
      </c>
      <c r="HW411">
        <v>0</v>
      </c>
      <c r="HX411">
        <v>0</v>
      </c>
      <c r="HY411">
        <v>0</v>
      </c>
      <c r="HZ411" t="s">
        <v>1045</v>
      </c>
      <c r="IA411">
        <v>0</v>
      </c>
      <c r="IB411" t="s">
        <v>1045</v>
      </c>
      <c r="ID411" t="s">
        <v>1045</v>
      </c>
      <c r="IF411">
        <v>0</v>
      </c>
      <c r="IG411" t="s">
        <v>1042</v>
      </c>
      <c r="II411" t="s">
        <v>1042</v>
      </c>
      <c r="IR411" t="s">
        <v>1045</v>
      </c>
      <c r="IT411">
        <v>0</v>
      </c>
      <c r="IY411" t="s">
        <v>1044</v>
      </c>
      <c r="IZ411" t="s">
        <v>1043</v>
      </c>
      <c r="JC411" t="s">
        <v>1043</v>
      </c>
      <c r="JE411">
        <v>0</v>
      </c>
      <c r="JF411">
        <v>0</v>
      </c>
      <c r="JI411" t="s">
        <v>1042</v>
      </c>
      <c r="JJ411">
        <v>0</v>
      </c>
      <c r="JK411">
        <v>0</v>
      </c>
      <c r="JL411">
        <v>0</v>
      </c>
      <c r="JM411">
        <v>0</v>
      </c>
      <c r="JQ411" t="s">
        <v>1043</v>
      </c>
      <c r="JT411">
        <v>0</v>
      </c>
      <c r="JU411" t="s">
        <v>1042</v>
      </c>
      <c r="JW411">
        <v>0</v>
      </c>
      <c r="KA411">
        <v>0</v>
      </c>
      <c r="KF411">
        <v>0</v>
      </c>
      <c r="KG411">
        <v>0</v>
      </c>
      <c r="KH411">
        <v>0</v>
      </c>
      <c r="KI411">
        <v>0</v>
      </c>
      <c r="KS411" t="s">
        <v>1073</v>
      </c>
      <c r="KT411">
        <v>0</v>
      </c>
      <c r="KU411">
        <v>0</v>
      </c>
      <c r="KV411">
        <v>0</v>
      </c>
      <c r="KX411">
        <v>0</v>
      </c>
      <c r="KZ411">
        <v>0</v>
      </c>
      <c r="LF411">
        <v>0</v>
      </c>
      <c r="LH411">
        <v>0</v>
      </c>
      <c r="LI411">
        <v>0</v>
      </c>
    </row>
    <row r="412" spans="1:321" x14ac:dyDescent="0.35">
      <c r="A412">
        <v>1</v>
      </c>
      <c r="B412">
        <v>12624</v>
      </c>
      <c r="C412" t="s">
        <v>1273</v>
      </c>
      <c r="D412" t="s">
        <v>1133</v>
      </c>
      <c r="E412" t="s">
        <v>1085</v>
      </c>
      <c r="F412">
        <v>80</v>
      </c>
      <c r="G412">
        <v>9000</v>
      </c>
      <c r="H412">
        <v>0</v>
      </c>
      <c r="I412" t="s">
        <v>1050</v>
      </c>
      <c r="L412">
        <v>0</v>
      </c>
      <c r="M412">
        <v>0</v>
      </c>
      <c r="N412">
        <v>0</v>
      </c>
      <c r="R412">
        <v>0</v>
      </c>
      <c r="S412">
        <v>0</v>
      </c>
      <c r="W412" t="s">
        <v>1060</v>
      </c>
      <c r="X412">
        <v>0</v>
      </c>
      <c r="Z412">
        <v>1</v>
      </c>
      <c r="AA412">
        <v>0</v>
      </c>
      <c r="AB412">
        <v>0</v>
      </c>
      <c r="AC412">
        <v>0</v>
      </c>
      <c r="AD412" s="20">
        <v>40799</v>
      </c>
      <c r="AE412">
        <v>3.6</v>
      </c>
      <c r="AF412">
        <v>0</v>
      </c>
      <c r="AH412">
        <v>0</v>
      </c>
      <c r="AJ412">
        <v>0</v>
      </c>
      <c r="AL412">
        <v>0</v>
      </c>
      <c r="AM412">
        <v>0</v>
      </c>
      <c r="AN412">
        <v>16601001</v>
      </c>
      <c r="AO412">
        <v>0</v>
      </c>
      <c r="AP412">
        <v>1003</v>
      </c>
      <c r="AT412">
        <v>0</v>
      </c>
      <c r="AU412" t="s">
        <v>1059</v>
      </c>
      <c r="AW412" t="s">
        <v>1053</v>
      </c>
      <c r="AX412">
        <v>0</v>
      </c>
      <c r="AY412" s="20">
        <v>40799</v>
      </c>
      <c r="BA412" s="20">
        <v>40799</v>
      </c>
      <c r="BB412" t="s">
        <v>1058</v>
      </c>
      <c r="BD412">
        <v>0</v>
      </c>
      <c r="BF412" t="s">
        <v>1043</v>
      </c>
      <c r="BG412" t="s">
        <v>1042</v>
      </c>
      <c r="BH412">
        <v>0</v>
      </c>
      <c r="BI412">
        <v>1</v>
      </c>
      <c r="BJ412">
        <v>0</v>
      </c>
      <c r="BK412">
        <v>0</v>
      </c>
      <c r="BM412" t="s">
        <v>1042</v>
      </c>
      <c r="BN412">
        <v>0</v>
      </c>
      <c r="BR412" t="s">
        <v>1043</v>
      </c>
      <c r="BS412" t="s">
        <v>1043</v>
      </c>
      <c r="BT412" t="s">
        <v>1043</v>
      </c>
      <c r="BW412">
        <v>83</v>
      </c>
      <c r="CA412">
        <v>0</v>
      </c>
      <c r="CB412" t="s">
        <v>1057</v>
      </c>
      <c r="CE412" t="s">
        <v>1043</v>
      </c>
      <c r="CH412" t="s">
        <v>1043</v>
      </c>
      <c r="CN412" t="s">
        <v>1056</v>
      </c>
      <c r="CO412" t="s">
        <v>1043</v>
      </c>
      <c r="CP412">
        <v>1</v>
      </c>
      <c r="CQ412">
        <v>0</v>
      </c>
      <c r="CS412">
        <v>0</v>
      </c>
      <c r="CT412">
        <v>0</v>
      </c>
      <c r="CU412">
        <v>0</v>
      </c>
      <c r="CV412" t="s">
        <v>1045</v>
      </c>
      <c r="CW412">
        <v>0</v>
      </c>
      <c r="CX412">
        <v>0</v>
      </c>
      <c r="CY412">
        <v>0</v>
      </c>
      <c r="CZ412">
        <v>0</v>
      </c>
      <c r="DB412">
        <v>0</v>
      </c>
      <c r="DC412" t="s">
        <v>1043</v>
      </c>
      <c r="DF412" t="s">
        <v>1055</v>
      </c>
      <c r="DH412">
        <v>0</v>
      </c>
      <c r="DJ412">
        <v>0</v>
      </c>
      <c r="DK412" t="s">
        <v>1053</v>
      </c>
      <c r="DL412">
        <v>0</v>
      </c>
      <c r="DN412">
        <v>0</v>
      </c>
      <c r="DO412" t="s">
        <v>1042</v>
      </c>
      <c r="DP412">
        <v>0</v>
      </c>
      <c r="DQ412">
        <v>0</v>
      </c>
      <c r="DS412">
        <v>0</v>
      </c>
      <c r="DU412">
        <v>0</v>
      </c>
      <c r="DW412">
        <v>0</v>
      </c>
      <c r="DX412" t="s">
        <v>1043</v>
      </c>
      <c r="DY412">
        <v>0</v>
      </c>
      <c r="DZ412">
        <v>0</v>
      </c>
      <c r="EA412">
        <v>0</v>
      </c>
      <c r="ED412" t="s">
        <v>1045</v>
      </c>
      <c r="EE412">
        <v>0</v>
      </c>
      <c r="EF412">
        <v>0</v>
      </c>
      <c r="EQ412" t="s">
        <v>1044</v>
      </c>
      <c r="ES412" t="s">
        <v>1053</v>
      </c>
      <c r="ET412">
        <v>0</v>
      </c>
      <c r="EV412">
        <v>0</v>
      </c>
      <c r="EY412" t="s">
        <v>1052</v>
      </c>
      <c r="EZ412">
        <v>0</v>
      </c>
      <c r="FA412" t="s">
        <v>1043</v>
      </c>
      <c r="FB412">
        <v>0</v>
      </c>
      <c r="FC412">
        <v>0</v>
      </c>
      <c r="FE412" t="s">
        <v>1050</v>
      </c>
      <c r="FF412">
        <v>0</v>
      </c>
      <c r="FG412" t="s">
        <v>1050</v>
      </c>
      <c r="FJ412">
        <v>0</v>
      </c>
      <c r="FK412">
        <v>0</v>
      </c>
      <c r="FP412">
        <v>0</v>
      </c>
      <c r="FR412">
        <v>0</v>
      </c>
      <c r="FS412" t="s">
        <v>1043</v>
      </c>
      <c r="FX412" t="s">
        <v>1042</v>
      </c>
      <c r="FZ412" t="s">
        <v>1048</v>
      </c>
      <c r="GA412">
        <v>0</v>
      </c>
      <c r="GB412" t="s">
        <v>1042</v>
      </c>
      <c r="GE412">
        <v>0</v>
      </c>
      <c r="GG412">
        <v>0</v>
      </c>
      <c r="GN412">
        <v>0</v>
      </c>
      <c r="GO412" t="s">
        <v>1063</v>
      </c>
      <c r="GQ412">
        <v>0</v>
      </c>
      <c r="GU412">
        <v>0</v>
      </c>
      <c r="GY412" t="s">
        <v>1045</v>
      </c>
      <c r="HB412">
        <v>0</v>
      </c>
      <c r="HE412">
        <v>0</v>
      </c>
      <c r="HF412">
        <v>0</v>
      </c>
      <c r="HG412">
        <v>0</v>
      </c>
      <c r="HK412" t="s">
        <v>1042</v>
      </c>
      <c r="HM412" t="s">
        <v>1047</v>
      </c>
      <c r="HN412">
        <v>0</v>
      </c>
      <c r="HP412">
        <v>0</v>
      </c>
      <c r="HQ412">
        <v>0</v>
      </c>
      <c r="HR412" t="s">
        <v>1042</v>
      </c>
      <c r="HS412" t="s">
        <v>1043</v>
      </c>
      <c r="HT412">
        <v>0</v>
      </c>
      <c r="HU412">
        <v>0</v>
      </c>
      <c r="HW412">
        <v>0</v>
      </c>
      <c r="HX412">
        <v>0</v>
      </c>
      <c r="HY412">
        <v>0</v>
      </c>
      <c r="HZ412" t="s">
        <v>1045</v>
      </c>
      <c r="IA412">
        <v>0</v>
      </c>
      <c r="IB412" t="s">
        <v>1045</v>
      </c>
      <c r="ID412" t="s">
        <v>1045</v>
      </c>
      <c r="IF412">
        <v>0</v>
      </c>
      <c r="IG412" t="s">
        <v>1042</v>
      </c>
      <c r="II412" t="s">
        <v>1042</v>
      </c>
      <c r="IR412" t="s">
        <v>1045</v>
      </c>
      <c r="IT412">
        <v>0</v>
      </c>
      <c r="IY412" t="s">
        <v>1044</v>
      </c>
      <c r="IZ412" t="s">
        <v>1043</v>
      </c>
      <c r="JC412" t="s">
        <v>1043</v>
      </c>
      <c r="JE412">
        <v>0</v>
      </c>
      <c r="JF412">
        <v>0</v>
      </c>
      <c r="JI412" t="s">
        <v>1042</v>
      </c>
      <c r="JJ412">
        <v>0</v>
      </c>
      <c r="JK412">
        <v>0</v>
      </c>
      <c r="JL412">
        <v>0</v>
      </c>
      <c r="JM412">
        <v>0</v>
      </c>
      <c r="JQ412" t="s">
        <v>1043</v>
      </c>
      <c r="JT412">
        <v>0</v>
      </c>
      <c r="JU412" t="s">
        <v>1042</v>
      </c>
      <c r="JW412">
        <v>0</v>
      </c>
      <c r="KA412">
        <v>0</v>
      </c>
      <c r="KF412">
        <v>0</v>
      </c>
      <c r="KG412">
        <v>0</v>
      </c>
      <c r="KH412">
        <v>0</v>
      </c>
      <c r="KI412">
        <v>0</v>
      </c>
      <c r="KS412" t="s">
        <v>1073</v>
      </c>
      <c r="KT412">
        <v>0</v>
      </c>
      <c r="KU412">
        <v>0</v>
      </c>
      <c r="KV412">
        <v>0</v>
      </c>
      <c r="KX412">
        <v>0</v>
      </c>
      <c r="KZ412">
        <v>0</v>
      </c>
      <c r="LF412">
        <v>0</v>
      </c>
      <c r="LH412">
        <v>0</v>
      </c>
      <c r="LI412">
        <v>0</v>
      </c>
    </row>
    <row r="413" spans="1:321" x14ac:dyDescent="0.35">
      <c r="A413">
        <v>1</v>
      </c>
      <c r="B413">
        <v>12625</v>
      </c>
      <c r="C413" t="s">
        <v>1272</v>
      </c>
      <c r="D413" t="s">
        <v>1133</v>
      </c>
      <c r="E413" t="s">
        <v>1085</v>
      </c>
      <c r="F413">
        <v>80</v>
      </c>
      <c r="G413">
        <v>9000</v>
      </c>
      <c r="H413">
        <v>0</v>
      </c>
      <c r="I413" t="s">
        <v>1050</v>
      </c>
      <c r="L413">
        <v>0</v>
      </c>
      <c r="M413">
        <v>0</v>
      </c>
      <c r="N413">
        <v>0</v>
      </c>
      <c r="R413">
        <v>0</v>
      </c>
      <c r="S413">
        <v>0</v>
      </c>
      <c r="W413" t="s">
        <v>1060</v>
      </c>
      <c r="X413">
        <v>0</v>
      </c>
      <c r="Z413">
        <v>1</v>
      </c>
      <c r="AA413">
        <v>0</v>
      </c>
      <c r="AB413">
        <v>0</v>
      </c>
      <c r="AC413">
        <v>0</v>
      </c>
      <c r="AD413" s="20">
        <v>40799</v>
      </c>
      <c r="AE413">
        <v>3.6</v>
      </c>
      <c r="AF413">
        <v>0</v>
      </c>
      <c r="AH413">
        <v>0</v>
      </c>
      <c r="AJ413">
        <v>0</v>
      </c>
      <c r="AL413">
        <v>0</v>
      </c>
      <c r="AM413">
        <v>0</v>
      </c>
      <c r="AN413">
        <v>16601001</v>
      </c>
      <c r="AO413">
        <v>0</v>
      </c>
      <c r="AP413">
        <v>1003</v>
      </c>
      <c r="AT413">
        <v>0</v>
      </c>
      <c r="AU413" t="s">
        <v>1059</v>
      </c>
      <c r="AW413" t="s">
        <v>1053</v>
      </c>
      <c r="AX413">
        <v>0</v>
      </c>
      <c r="AY413" s="20">
        <v>40799</v>
      </c>
      <c r="BA413" s="20">
        <v>40799</v>
      </c>
      <c r="BB413" t="s">
        <v>1058</v>
      </c>
      <c r="BD413">
        <v>0</v>
      </c>
      <c r="BF413" t="s">
        <v>1043</v>
      </c>
      <c r="BG413" t="s">
        <v>1042</v>
      </c>
      <c r="BH413">
        <v>0</v>
      </c>
      <c r="BI413">
        <v>1</v>
      </c>
      <c r="BJ413">
        <v>0</v>
      </c>
      <c r="BK413">
        <v>0</v>
      </c>
      <c r="BM413" t="s">
        <v>1042</v>
      </c>
      <c r="BN413">
        <v>0</v>
      </c>
      <c r="BR413" t="s">
        <v>1043</v>
      </c>
      <c r="BS413" t="s">
        <v>1043</v>
      </c>
      <c r="BT413" t="s">
        <v>1043</v>
      </c>
      <c r="BW413">
        <v>83</v>
      </c>
      <c r="CA413">
        <v>0</v>
      </c>
      <c r="CB413" t="s">
        <v>1057</v>
      </c>
      <c r="CE413" t="s">
        <v>1043</v>
      </c>
      <c r="CH413" t="s">
        <v>1043</v>
      </c>
      <c r="CN413" t="s">
        <v>1056</v>
      </c>
      <c r="CO413" t="s">
        <v>1043</v>
      </c>
      <c r="CP413">
        <v>1</v>
      </c>
      <c r="CQ413">
        <v>0</v>
      </c>
      <c r="CS413">
        <v>0</v>
      </c>
      <c r="CT413">
        <v>0</v>
      </c>
      <c r="CU413">
        <v>0</v>
      </c>
      <c r="CV413" t="s">
        <v>1045</v>
      </c>
      <c r="CW413">
        <v>0</v>
      </c>
      <c r="CX413">
        <v>0</v>
      </c>
      <c r="CY413">
        <v>0</v>
      </c>
      <c r="CZ413">
        <v>0</v>
      </c>
      <c r="DB413">
        <v>0</v>
      </c>
      <c r="DC413" t="s">
        <v>1043</v>
      </c>
      <c r="DF413" t="s">
        <v>1055</v>
      </c>
      <c r="DH413">
        <v>0</v>
      </c>
      <c r="DJ413">
        <v>0</v>
      </c>
      <c r="DK413" t="s">
        <v>1053</v>
      </c>
      <c r="DL413">
        <v>0</v>
      </c>
      <c r="DN413">
        <v>0</v>
      </c>
      <c r="DO413" t="s">
        <v>1042</v>
      </c>
      <c r="DP413">
        <v>0</v>
      </c>
      <c r="DQ413">
        <v>0</v>
      </c>
      <c r="DS413">
        <v>0</v>
      </c>
      <c r="DU413">
        <v>0</v>
      </c>
      <c r="DW413">
        <v>0</v>
      </c>
      <c r="DX413" t="s">
        <v>1043</v>
      </c>
      <c r="DY413">
        <v>0</v>
      </c>
      <c r="DZ413">
        <v>0</v>
      </c>
      <c r="EA413">
        <v>0</v>
      </c>
      <c r="ED413" t="s">
        <v>1045</v>
      </c>
      <c r="EE413">
        <v>0</v>
      </c>
      <c r="EF413">
        <v>0</v>
      </c>
      <c r="EQ413" t="s">
        <v>1044</v>
      </c>
      <c r="ES413" t="s">
        <v>1053</v>
      </c>
      <c r="ET413">
        <v>0</v>
      </c>
      <c r="EV413">
        <v>0</v>
      </c>
      <c r="EY413" t="s">
        <v>1052</v>
      </c>
      <c r="EZ413">
        <v>0</v>
      </c>
      <c r="FA413" t="s">
        <v>1043</v>
      </c>
      <c r="FB413">
        <v>0</v>
      </c>
      <c r="FC413">
        <v>0</v>
      </c>
      <c r="FE413" t="s">
        <v>1050</v>
      </c>
      <c r="FF413">
        <v>0</v>
      </c>
      <c r="FG413" t="s">
        <v>1050</v>
      </c>
      <c r="FJ413">
        <v>0</v>
      </c>
      <c r="FK413">
        <v>0</v>
      </c>
      <c r="FP413">
        <v>0</v>
      </c>
      <c r="FR413">
        <v>0</v>
      </c>
      <c r="FS413" t="s">
        <v>1043</v>
      </c>
      <c r="FX413" t="s">
        <v>1042</v>
      </c>
      <c r="FZ413" t="s">
        <v>1048</v>
      </c>
      <c r="GA413">
        <v>0</v>
      </c>
      <c r="GB413" t="s">
        <v>1042</v>
      </c>
      <c r="GE413">
        <v>0</v>
      </c>
      <c r="GG413">
        <v>0</v>
      </c>
      <c r="GN413">
        <v>0</v>
      </c>
      <c r="GO413" t="s">
        <v>1063</v>
      </c>
      <c r="GQ413">
        <v>0</v>
      </c>
      <c r="GU413">
        <v>0</v>
      </c>
      <c r="GY413" t="s">
        <v>1045</v>
      </c>
      <c r="HB413">
        <v>0</v>
      </c>
      <c r="HE413">
        <v>0</v>
      </c>
      <c r="HF413">
        <v>0</v>
      </c>
      <c r="HG413">
        <v>0</v>
      </c>
      <c r="HK413" t="s">
        <v>1042</v>
      </c>
      <c r="HM413" t="s">
        <v>1047</v>
      </c>
      <c r="HN413">
        <v>0</v>
      </c>
      <c r="HP413">
        <v>0</v>
      </c>
      <c r="HQ413">
        <v>0</v>
      </c>
      <c r="HR413" t="s">
        <v>1042</v>
      </c>
      <c r="HS413" t="s">
        <v>1043</v>
      </c>
      <c r="HT413">
        <v>0</v>
      </c>
      <c r="HU413">
        <v>0</v>
      </c>
      <c r="HW413">
        <v>0</v>
      </c>
      <c r="HX413">
        <v>0</v>
      </c>
      <c r="HY413">
        <v>0</v>
      </c>
      <c r="HZ413" t="s">
        <v>1045</v>
      </c>
      <c r="IA413">
        <v>0</v>
      </c>
      <c r="IB413" t="s">
        <v>1045</v>
      </c>
      <c r="ID413" t="s">
        <v>1045</v>
      </c>
      <c r="IF413">
        <v>0</v>
      </c>
      <c r="IG413" t="s">
        <v>1042</v>
      </c>
      <c r="II413" t="s">
        <v>1042</v>
      </c>
      <c r="IR413" t="s">
        <v>1045</v>
      </c>
      <c r="IT413">
        <v>0</v>
      </c>
      <c r="IY413" t="s">
        <v>1044</v>
      </c>
      <c r="IZ413" t="s">
        <v>1043</v>
      </c>
      <c r="JC413" t="s">
        <v>1043</v>
      </c>
      <c r="JE413">
        <v>0</v>
      </c>
      <c r="JF413">
        <v>0</v>
      </c>
      <c r="JI413" t="s">
        <v>1042</v>
      </c>
      <c r="JJ413">
        <v>0</v>
      </c>
      <c r="JK413">
        <v>0</v>
      </c>
      <c r="JL413">
        <v>0</v>
      </c>
      <c r="JM413">
        <v>0</v>
      </c>
      <c r="JQ413" t="s">
        <v>1043</v>
      </c>
      <c r="JT413">
        <v>0</v>
      </c>
      <c r="JU413" t="s">
        <v>1042</v>
      </c>
      <c r="JW413">
        <v>0</v>
      </c>
      <c r="KA413">
        <v>0</v>
      </c>
      <c r="KF413">
        <v>0</v>
      </c>
      <c r="KG413">
        <v>0</v>
      </c>
      <c r="KH413">
        <v>0</v>
      </c>
      <c r="KI413">
        <v>0</v>
      </c>
      <c r="KS413" t="s">
        <v>1073</v>
      </c>
      <c r="KT413">
        <v>0</v>
      </c>
      <c r="KU413">
        <v>0</v>
      </c>
      <c r="KV413">
        <v>0</v>
      </c>
      <c r="KX413">
        <v>0</v>
      </c>
      <c r="KZ413">
        <v>0</v>
      </c>
      <c r="LF413">
        <v>0</v>
      </c>
      <c r="LH413">
        <v>0</v>
      </c>
      <c r="LI413">
        <v>0</v>
      </c>
    </row>
    <row r="414" spans="1:321" x14ac:dyDescent="0.35">
      <c r="A414">
        <v>1</v>
      </c>
      <c r="B414">
        <v>12626</v>
      </c>
      <c r="C414" t="s">
        <v>1271</v>
      </c>
      <c r="D414" t="s">
        <v>1133</v>
      </c>
      <c r="E414" t="s">
        <v>1085</v>
      </c>
      <c r="F414">
        <v>80</v>
      </c>
      <c r="G414">
        <v>9000</v>
      </c>
      <c r="H414">
        <v>0</v>
      </c>
      <c r="I414" t="s">
        <v>1050</v>
      </c>
      <c r="L414">
        <v>0</v>
      </c>
      <c r="M414">
        <v>0</v>
      </c>
      <c r="N414">
        <v>0</v>
      </c>
      <c r="R414">
        <v>0</v>
      </c>
      <c r="S414">
        <v>0</v>
      </c>
      <c r="W414" t="s">
        <v>1060</v>
      </c>
      <c r="X414">
        <v>0</v>
      </c>
      <c r="Z414">
        <v>1</v>
      </c>
      <c r="AA414">
        <v>0</v>
      </c>
      <c r="AB414">
        <v>0</v>
      </c>
      <c r="AC414">
        <v>0</v>
      </c>
      <c r="AD414" s="20">
        <v>40799</v>
      </c>
      <c r="AE414">
        <v>3.6</v>
      </c>
      <c r="AF414">
        <v>0</v>
      </c>
      <c r="AH414">
        <v>0</v>
      </c>
      <c r="AJ414">
        <v>0</v>
      </c>
      <c r="AL414">
        <v>0</v>
      </c>
      <c r="AM414">
        <v>0</v>
      </c>
      <c r="AN414">
        <v>16601001</v>
      </c>
      <c r="AO414">
        <v>0</v>
      </c>
      <c r="AP414">
        <v>1003</v>
      </c>
      <c r="AT414">
        <v>0</v>
      </c>
      <c r="AU414" t="s">
        <v>1059</v>
      </c>
      <c r="AW414" t="s">
        <v>1053</v>
      </c>
      <c r="AX414">
        <v>0</v>
      </c>
      <c r="AY414" s="20">
        <v>40799</v>
      </c>
      <c r="BA414" s="20">
        <v>40799</v>
      </c>
      <c r="BB414" t="s">
        <v>1058</v>
      </c>
      <c r="BD414">
        <v>0</v>
      </c>
      <c r="BF414" t="s">
        <v>1043</v>
      </c>
      <c r="BG414" t="s">
        <v>1042</v>
      </c>
      <c r="BH414">
        <v>0</v>
      </c>
      <c r="BI414">
        <v>1</v>
      </c>
      <c r="BJ414">
        <v>0</v>
      </c>
      <c r="BK414">
        <v>0</v>
      </c>
      <c r="BM414" t="s">
        <v>1042</v>
      </c>
      <c r="BN414">
        <v>0</v>
      </c>
      <c r="BR414" t="s">
        <v>1043</v>
      </c>
      <c r="BS414" t="s">
        <v>1043</v>
      </c>
      <c r="BT414" t="s">
        <v>1043</v>
      </c>
      <c r="BW414">
        <v>83</v>
      </c>
      <c r="CA414">
        <v>0</v>
      </c>
      <c r="CB414" t="s">
        <v>1057</v>
      </c>
      <c r="CE414" t="s">
        <v>1043</v>
      </c>
      <c r="CH414" t="s">
        <v>1043</v>
      </c>
      <c r="CN414" t="s">
        <v>1056</v>
      </c>
      <c r="CO414" t="s">
        <v>1043</v>
      </c>
      <c r="CP414">
        <v>1</v>
      </c>
      <c r="CQ414">
        <v>0</v>
      </c>
      <c r="CS414">
        <v>0</v>
      </c>
      <c r="CT414">
        <v>0</v>
      </c>
      <c r="CU414">
        <v>0</v>
      </c>
      <c r="CV414" t="s">
        <v>1045</v>
      </c>
      <c r="CW414">
        <v>0</v>
      </c>
      <c r="CX414">
        <v>0</v>
      </c>
      <c r="CY414">
        <v>0</v>
      </c>
      <c r="CZ414">
        <v>0</v>
      </c>
      <c r="DB414">
        <v>0</v>
      </c>
      <c r="DC414" t="s">
        <v>1043</v>
      </c>
      <c r="DF414" t="s">
        <v>1055</v>
      </c>
      <c r="DH414">
        <v>0</v>
      </c>
      <c r="DJ414">
        <v>0</v>
      </c>
      <c r="DK414" t="s">
        <v>1053</v>
      </c>
      <c r="DL414">
        <v>0</v>
      </c>
      <c r="DN414">
        <v>0</v>
      </c>
      <c r="DO414" t="s">
        <v>1042</v>
      </c>
      <c r="DP414">
        <v>0</v>
      </c>
      <c r="DQ414">
        <v>0</v>
      </c>
      <c r="DS414">
        <v>0</v>
      </c>
      <c r="DU414">
        <v>0</v>
      </c>
      <c r="DW414">
        <v>0</v>
      </c>
      <c r="DX414" t="s">
        <v>1043</v>
      </c>
      <c r="DY414">
        <v>0</v>
      </c>
      <c r="DZ414">
        <v>0</v>
      </c>
      <c r="EA414">
        <v>0</v>
      </c>
      <c r="ED414" t="s">
        <v>1045</v>
      </c>
      <c r="EE414">
        <v>0</v>
      </c>
      <c r="EF414">
        <v>0</v>
      </c>
      <c r="EQ414" t="s">
        <v>1044</v>
      </c>
      <c r="ES414" t="s">
        <v>1053</v>
      </c>
      <c r="ET414">
        <v>0</v>
      </c>
      <c r="EV414">
        <v>0</v>
      </c>
      <c r="EY414" t="s">
        <v>1052</v>
      </c>
      <c r="EZ414">
        <v>0</v>
      </c>
      <c r="FA414" t="s">
        <v>1043</v>
      </c>
      <c r="FB414">
        <v>0</v>
      </c>
      <c r="FC414">
        <v>0</v>
      </c>
      <c r="FE414" t="s">
        <v>1050</v>
      </c>
      <c r="FF414">
        <v>0</v>
      </c>
      <c r="FG414" t="s">
        <v>1050</v>
      </c>
      <c r="FJ414">
        <v>0</v>
      </c>
      <c r="FK414">
        <v>0</v>
      </c>
      <c r="FP414">
        <v>0</v>
      </c>
      <c r="FR414">
        <v>0</v>
      </c>
      <c r="FS414" t="s">
        <v>1043</v>
      </c>
      <c r="FX414" t="s">
        <v>1042</v>
      </c>
      <c r="FZ414" t="s">
        <v>1048</v>
      </c>
      <c r="GA414">
        <v>0</v>
      </c>
      <c r="GB414" t="s">
        <v>1042</v>
      </c>
      <c r="GE414">
        <v>0</v>
      </c>
      <c r="GG414">
        <v>0</v>
      </c>
      <c r="GN414">
        <v>0</v>
      </c>
      <c r="GO414" t="s">
        <v>1063</v>
      </c>
      <c r="GQ414">
        <v>0</v>
      </c>
      <c r="GU414">
        <v>0</v>
      </c>
      <c r="GY414" t="s">
        <v>1045</v>
      </c>
      <c r="HB414">
        <v>0</v>
      </c>
      <c r="HE414">
        <v>0</v>
      </c>
      <c r="HF414">
        <v>0</v>
      </c>
      <c r="HG414">
        <v>0</v>
      </c>
      <c r="HK414" t="s">
        <v>1042</v>
      </c>
      <c r="HM414" t="s">
        <v>1047</v>
      </c>
      <c r="HN414">
        <v>0</v>
      </c>
      <c r="HP414">
        <v>0</v>
      </c>
      <c r="HQ414">
        <v>0</v>
      </c>
      <c r="HR414" t="s">
        <v>1042</v>
      </c>
      <c r="HS414" t="s">
        <v>1043</v>
      </c>
      <c r="HT414">
        <v>0</v>
      </c>
      <c r="HU414">
        <v>0</v>
      </c>
      <c r="HW414">
        <v>0</v>
      </c>
      <c r="HX414">
        <v>0</v>
      </c>
      <c r="HY414">
        <v>0</v>
      </c>
      <c r="HZ414" t="s">
        <v>1045</v>
      </c>
      <c r="IA414">
        <v>0</v>
      </c>
      <c r="IB414" t="s">
        <v>1045</v>
      </c>
      <c r="ID414" t="s">
        <v>1045</v>
      </c>
      <c r="IF414">
        <v>0</v>
      </c>
      <c r="IG414" t="s">
        <v>1042</v>
      </c>
      <c r="II414" t="s">
        <v>1042</v>
      </c>
      <c r="IR414" t="s">
        <v>1045</v>
      </c>
      <c r="IT414">
        <v>0</v>
      </c>
      <c r="IY414" t="s">
        <v>1044</v>
      </c>
      <c r="IZ414" t="s">
        <v>1043</v>
      </c>
      <c r="JC414" t="s">
        <v>1043</v>
      </c>
      <c r="JE414">
        <v>0</v>
      </c>
      <c r="JF414">
        <v>0</v>
      </c>
      <c r="JI414" t="s">
        <v>1042</v>
      </c>
      <c r="JJ414">
        <v>0</v>
      </c>
      <c r="JK414">
        <v>0</v>
      </c>
      <c r="JL414">
        <v>0</v>
      </c>
      <c r="JM414">
        <v>0</v>
      </c>
      <c r="JQ414" t="s">
        <v>1043</v>
      </c>
      <c r="JT414">
        <v>0</v>
      </c>
      <c r="JU414" t="s">
        <v>1042</v>
      </c>
      <c r="JW414">
        <v>0</v>
      </c>
      <c r="KA414">
        <v>0</v>
      </c>
      <c r="KF414">
        <v>0</v>
      </c>
      <c r="KG414">
        <v>0</v>
      </c>
      <c r="KH414">
        <v>0</v>
      </c>
      <c r="KI414">
        <v>0</v>
      </c>
      <c r="KS414" t="s">
        <v>1073</v>
      </c>
      <c r="KT414">
        <v>0</v>
      </c>
      <c r="KU414">
        <v>0</v>
      </c>
      <c r="KV414">
        <v>0</v>
      </c>
      <c r="KX414">
        <v>0</v>
      </c>
      <c r="KZ414">
        <v>0</v>
      </c>
      <c r="LF414">
        <v>0</v>
      </c>
      <c r="LH414">
        <v>0</v>
      </c>
      <c r="LI414">
        <v>0</v>
      </c>
    </row>
    <row r="415" spans="1:321" x14ac:dyDescent="0.35">
      <c r="A415">
        <v>1</v>
      </c>
      <c r="B415">
        <v>12627</v>
      </c>
      <c r="C415" t="s">
        <v>1270</v>
      </c>
      <c r="D415" t="s">
        <v>1133</v>
      </c>
      <c r="E415" t="s">
        <v>1085</v>
      </c>
      <c r="F415">
        <v>80</v>
      </c>
      <c r="G415">
        <v>9000</v>
      </c>
      <c r="H415">
        <v>0</v>
      </c>
      <c r="I415" t="s">
        <v>1050</v>
      </c>
      <c r="L415">
        <v>0</v>
      </c>
      <c r="M415">
        <v>0</v>
      </c>
      <c r="N415">
        <v>0</v>
      </c>
      <c r="R415">
        <v>0</v>
      </c>
      <c r="S415">
        <v>0</v>
      </c>
      <c r="W415" t="s">
        <v>1060</v>
      </c>
      <c r="X415">
        <v>0</v>
      </c>
      <c r="Z415">
        <v>1</v>
      </c>
      <c r="AA415">
        <v>0</v>
      </c>
      <c r="AB415">
        <v>0</v>
      </c>
      <c r="AC415">
        <v>0</v>
      </c>
      <c r="AD415" s="20">
        <v>40799</v>
      </c>
      <c r="AE415">
        <v>3.6</v>
      </c>
      <c r="AF415">
        <v>0</v>
      </c>
      <c r="AH415">
        <v>0</v>
      </c>
      <c r="AJ415">
        <v>0</v>
      </c>
      <c r="AL415">
        <v>0</v>
      </c>
      <c r="AM415">
        <v>0</v>
      </c>
      <c r="AN415">
        <v>16601001</v>
      </c>
      <c r="AO415">
        <v>0</v>
      </c>
      <c r="AP415">
        <v>1003</v>
      </c>
      <c r="AT415">
        <v>0</v>
      </c>
      <c r="AU415" t="s">
        <v>1059</v>
      </c>
      <c r="AW415" t="s">
        <v>1053</v>
      </c>
      <c r="AX415">
        <v>0</v>
      </c>
      <c r="AY415" s="20">
        <v>40799</v>
      </c>
      <c r="BA415" s="20">
        <v>40799</v>
      </c>
      <c r="BB415" t="s">
        <v>1058</v>
      </c>
      <c r="BD415">
        <v>0</v>
      </c>
      <c r="BF415" t="s">
        <v>1043</v>
      </c>
      <c r="BG415" t="s">
        <v>1042</v>
      </c>
      <c r="BH415">
        <v>0</v>
      </c>
      <c r="BI415">
        <v>1</v>
      </c>
      <c r="BJ415">
        <v>0</v>
      </c>
      <c r="BK415">
        <v>0</v>
      </c>
      <c r="BM415" t="s">
        <v>1042</v>
      </c>
      <c r="BN415">
        <v>0</v>
      </c>
      <c r="BR415" t="s">
        <v>1043</v>
      </c>
      <c r="BS415" t="s">
        <v>1043</v>
      </c>
      <c r="BT415" t="s">
        <v>1043</v>
      </c>
      <c r="BW415">
        <v>83</v>
      </c>
      <c r="CA415">
        <v>0</v>
      </c>
      <c r="CB415" t="s">
        <v>1057</v>
      </c>
      <c r="CE415" t="s">
        <v>1043</v>
      </c>
      <c r="CH415" t="s">
        <v>1043</v>
      </c>
      <c r="CN415" t="s">
        <v>1056</v>
      </c>
      <c r="CO415" t="s">
        <v>1043</v>
      </c>
      <c r="CP415">
        <v>1</v>
      </c>
      <c r="CQ415">
        <v>0</v>
      </c>
      <c r="CS415">
        <v>0</v>
      </c>
      <c r="CT415">
        <v>0</v>
      </c>
      <c r="CU415">
        <v>0</v>
      </c>
      <c r="CV415" t="s">
        <v>1045</v>
      </c>
      <c r="CW415">
        <v>0</v>
      </c>
      <c r="CX415">
        <v>0</v>
      </c>
      <c r="CY415">
        <v>0</v>
      </c>
      <c r="CZ415">
        <v>0</v>
      </c>
      <c r="DB415">
        <v>0</v>
      </c>
      <c r="DC415" t="s">
        <v>1043</v>
      </c>
      <c r="DF415" t="s">
        <v>1055</v>
      </c>
      <c r="DH415">
        <v>0</v>
      </c>
      <c r="DJ415">
        <v>0</v>
      </c>
      <c r="DK415" t="s">
        <v>1053</v>
      </c>
      <c r="DL415">
        <v>0</v>
      </c>
      <c r="DN415">
        <v>0</v>
      </c>
      <c r="DO415" t="s">
        <v>1042</v>
      </c>
      <c r="DP415">
        <v>0</v>
      </c>
      <c r="DQ415">
        <v>0</v>
      </c>
      <c r="DS415">
        <v>0</v>
      </c>
      <c r="DU415">
        <v>0</v>
      </c>
      <c r="DW415">
        <v>0</v>
      </c>
      <c r="DX415" t="s">
        <v>1043</v>
      </c>
      <c r="DY415">
        <v>0</v>
      </c>
      <c r="DZ415">
        <v>0</v>
      </c>
      <c r="EA415">
        <v>0</v>
      </c>
      <c r="ED415" t="s">
        <v>1045</v>
      </c>
      <c r="EE415">
        <v>0</v>
      </c>
      <c r="EF415">
        <v>0</v>
      </c>
      <c r="EQ415" t="s">
        <v>1044</v>
      </c>
      <c r="ES415" t="s">
        <v>1053</v>
      </c>
      <c r="ET415">
        <v>0</v>
      </c>
      <c r="EV415">
        <v>0</v>
      </c>
      <c r="EY415" t="s">
        <v>1052</v>
      </c>
      <c r="EZ415">
        <v>0</v>
      </c>
      <c r="FA415" t="s">
        <v>1043</v>
      </c>
      <c r="FB415">
        <v>0</v>
      </c>
      <c r="FC415">
        <v>0</v>
      </c>
      <c r="FE415" t="s">
        <v>1050</v>
      </c>
      <c r="FF415">
        <v>0</v>
      </c>
      <c r="FG415" t="s">
        <v>1050</v>
      </c>
      <c r="FJ415">
        <v>0</v>
      </c>
      <c r="FK415">
        <v>0</v>
      </c>
      <c r="FP415">
        <v>0</v>
      </c>
      <c r="FR415">
        <v>0</v>
      </c>
      <c r="FS415" t="s">
        <v>1043</v>
      </c>
      <c r="FX415" t="s">
        <v>1042</v>
      </c>
      <c r="FZ415" t="s">
        <v>1048</v>
      </c>
      <c r="GA415">
        <v>0</v>
      </c>
      <c r="GB415" t="s">
        <v>1042</v>
      </c>
      <c r="GE415">
        <v>0</v>
      </c>
      <c r="GG415">
        <v>0</v>
      </c>
      <c r="GN415">
        <v>0</v>
      </c>
      <c r="GO415" t="s">
        <v>1063</v>
      </c>
      <c r="GQ415">
        <v>0</v>
      </c>
      <c r="GU415">
        <v>0</v>
      </c>
      <c r="GY415" t="s">
        <v>1045</v>
      </c>
      <c r="HB415">
        <v>0</v>
      </c>
      <c r="HE415">
        <v>0</v>
      </c>
      <c r="HF415">
        <v>0</v>
      </c>
      <c r="HG415">
        <v>0</v>
      </c>
      <c r="HK415" t="s">
        <v>1042</v>
      </c>
      <c r="HM415" t="s">
        <v>1047</v>
      </c>
      <c r="HN415">
        <v>0</v>
      </c>
      <c r="HP415">
        <v>0</v>
      </c>
      <c r="HQ415">
        <v>0</v>
      </c>
      <c r="HR415" t="s">
        <v>1042</v>
      </c>
      <c r="HS415" t="s">
        <v>1043</v>
      </c>
      <c r="HT415">
        <v>0</v>
      </c>
      <c r="HU415">
        <v>0</v>
      </c>
      <c r="HW415">
        <v>0</v>
      </c>
      <c r="HX415">
        <v>0</v>
      </c>
      <c r="HY415">
        <v>0</v>
      </c>
      <c r="HZ415" t="s">
        <v>1045</v>
      </c>
      <c r="IA415">
        <v>0</v>
      </c>
      <c r="IB415" t="s">
        <v>1045</v>
      </c>
      <c r="ID415" t="s">
        <v>1045</v>
      </c>
      <c r="IF415">
        <v>0</v>
      </c>
      <c r="IG415" t="s">
        <v>1042</v>
      </c>
      <c r="II415" t="s">
        <v>1042</v>
      </c>
      <c r="IR415" t="s">
        <v>1045</v>
      </c>
      <c r="IT415">
        <v>0</v>
      </c>
      <c r="IY415" t="s">
        <v>1044</v>
      </c>
      <c r="IZ415" t="s">
        <v>1043</v>
      </c>
      <c r="JC415" t="s">
        <v>1043</v>
      </c>
      <c r="JE415">
        <v>0</v>
      </c>
      <c r="JF415">
        <v>0</v>
      </c>
      <c r="JI415" t="s">
        <v>1042</v>
      </c>
      <c r="JJ415">
        <v>0</v>
      </c>
      <c r="JK415">
        <v>0</v>
      </c>
      <c r="JL415">
        <v>0</v>
      </c>
      <c r="JM415">
        <v>0</v>
      </c>
      <c r="JQ415" t="s">
        <v>1043</v>
      </c>
      <c r="JT415">
        <v>0</v>
      </c>
      <c r="JU415" t="s">
        <v>1042</v>
      </c>
      <c r="JW415">
        <v>0</v>
      </c>
      <c r="KA415">
        <v>0</v>
      </c>
      <c r="KF415">
        <v>0</v>
      </c>
      <c r="KG415">
        <v>0</v>
      </c>
      <c r="KH415">
        <v>0</v>
      </c>
      <c r="KI415">
        <v>0</v>
      </c>
      <c r="KS415" t="s">
        <v>1073</v>
      </c>
      <c r="KT415">
        <v>0</v>
      </c>
      <c r="KU415">
        <v>0</v>
      </c>
      <c r="KV415">
        <v>0</v>
      </c>
      <c r="KX415">
        <v>0</v>
      </c>
      <c r="KZ415">
        <v>0</v>
      </c>
      <c r="LF415">
        <v>0</v>
      </c>
      <c r="LH415">
        <v>0</v>
      </c>
      <c r="LI415">
        <v>0</v>
      </c>
    </row>
    <row r="416" spans="1:321" x14ac:dyDescent="0.35">
      <c r="A416">
        <v>1</v>
      </c>
      <c r="B416">
        <v>12628</v>
      </c>
      <c r="C416" t="s">
        <v>1269</v>
      </c>
      <c r="D416" t="s">
        <v>1133</v>
      </c>
      <c r="E416" t="s">
        <v>1085</v>
      </c>
      <c r="F416">
        <v>80</v>
      </c>
      <c r="G416">
        <v>9000</v>
      </c>
      <c r="H416">
        <v>0</v>
      </c>
      <c r="I416" t="s">
        <v>1050</v>
      </c>
      <c r="L416">
        <v>0</v>
      </c>
      <c r="M416">
        <v>0</v>
      </c>
      <c r="N416">
        <v>0</v>
      </c>
      <c r="R416">
        <v>0</v>
      </c>
      <c r="S416">
        <v>0</v>
      </c>
      <c r="W416" t="s">
        <v>1060</v>
      </c>
      <c r="X416">
        <v>0</v>
      </c>
      <c r="Z416">
        <v>1</v>
      </c>
      <c r="AA416">
        <v>0</v>
      </c>
      <c r="AB416">
        <v>0</v>
      </c>
      <c r="AC416">
        <v>0</v>
      </c>
      <c r="AD416" s="20">
        <v>40799</v>
      </c>
      <c r="AE416">
        <v>3.6</v>
      </c>
      <c r="AF416">
        <v>0</v>
      </c>
      <c r="AH416">
        <v>0</v>
      </c>
      <c r="AJ416">
        <v>0</v>
      </c>
      <c r="AL416">
        <v>0</v>
      </c>
      <c r="AM416">
        <v>0</v>
      </c>
      <c r="AN416">
        <v>16601001</v>
      </c>
      <c r="AO416">
        <v>0</v>
      </c>
      <c r="AP416">
        <v>1003</v>
      </c>
      <c r="AT416">
        <v>0</v>
      </c>
      <c r="AU416" t="s">
        <v>1059</v>
      </c>
      <c r="AW416" t="s">
        <v>1053</v>
      </c>
      <c r="AX416">
        <v>0</v>
      </c>
      <c r="AY416" s="20">
        <v>40799</v>
      </c>
      <c r="BA416" s="20">
        <v>40799</v>
      </c>
      <c r="BB416" t="s">
        <v>1058</v>
      </c>
      <c r="BD416">
        <v>0</v>
      </c>
      <c r="BF416" t="s">
        <v>1043</v>
      </c>
      <c r="BG416" t="s">
        <v>1042</v>
      </c>
      <c r="BH416">
        <v>0</v>
      </c>
      <c r="BI416">
        <v>1</v>
      </c>
      <c r="BJ416">
        <v>0</v>
      </c>
      <c r="BK416">
        <v>0</v>
      </c>
      <c r="BM416" t="s">
        <v>1042</v>
      </c>
      <c r="BN416">
        <v>0</v>
      </c>
      <c r="BR416" t="s">
        <v>1043</v>
      </c>
      <c r="BS416" t="s">
        <v>1043</v>
      </c>
      <c r="BT416" t="s">
        <v>1043</v>
      </c>
      <c r="BW416">
        <v>83</v>
      </c>
      <c r="CA416">
        <v>0</v>
      </c>
      <c r="CB416" t="s">
        <v>1057</v>
      </c>
      <c r="CE416" t="s">
        <v>1043</v>
      </c>
      <c r="CH416" t="s">
        <v>1043</v>
      </c>
      <c r="CN416" t="s">
        <v>1056</v>
      </c>
      <c r="CO416" t="s">
        <v>1043</v>
      </c>
      <c r="CP416">
        <v>1</v>
      </c>
      <c r="CQ416">
        <v>0</v>
      </c>
      <c r="CS416">
        <v>0</v>
      </c>
      <c r="CT416">
        <v>0</v>
      </c>
      <c r="CU416">
        <v>0</v>
      </c>
      <c r="CV416" t="s">
        <v>1045</v>
      </c>
      <c r="CW416">
        <v>0</v>
      </c>
      <c r="CX416">
        <v>0</v>
      </c>
      <c r="CY416">
        <v>0</v>
      </c>
      <c r="CZ416">
        <v>0</v>
      </c>
      <c r="DB416">
        <v>0</v>
      </c>
      <c r="DC416" t="s">
        <v>1043</v>
      </c>
      <c r="DF416" t="s">
        <v>1055</v>
      </c>
      <c r="DH416">
        <v>0</v>
      </c>
      <c r="DJ416">
        <v>0</v>
      </c>
      <c r="DK416" t="s">
        <v>1053</v>
      </c>
      <c r="DL416">
        <v>0</v>
      </c>
      <c r="DN416">
        <v>0</v>
      </c>
      <c r="DO416" t="s">
        <v>1042</v>
      </c>
      <c r="DP416">
        <v>0</v>
      </c>
      <c r="DQ416">
        <v>0</v>
      </c>
      <c r="DS416">
        <v>0</v>
      </c>
      <c r="DU416">
        <v>0</v>
      </c>
      <c r="DW416">
        <v>0</v>
      </c>
      <c r="DX416" t="s">
        <v>1043</v>
      </c>
      <c r="DY416">
        <v>0</v>
      </c>
      <c r="DZ416">
        <v>0</v>
      </c>
      <c r="EA416">
        <v>0</v>
      </c>
      <c r="ED416" t="s">
        <v>1045</v>
      </c>
      <c r="EE416">
        <v>0</v>
      </c>
      <c r="EF416">
        <v>0</v>
      </c>
      <c r="EQ416" t="s">
        <v>1044</v>
      </c>
      <c r="ES416" t="s">
        <v>1053</v>
      </c>
      <c r="ET416">
        <v>0</v>
      </c>
      <c r="EV416">
        <v>0</v>
      </c>
      <c r="EY416" t="s">
        <v>1052</v>
      </c>
      <c r="EZ416">
        <v>0</v>
      </c>
      <c r="FA416" t="s">
        <v>1043</v>
      </c>
      <c r="FB416">
        <v>0</v>
      </c>
      <c r="FC416">
        <v>0</v>
      </c>
      <c r="FE416" t="s">
        <v>1050</v>
      </c>
      <c r="FF416">
        <v>0</v>
      </c>
      <c r="FG416" t="s">
        <v>1050</v>
      </c>
      <c r="FJ416">
        <v>0</v>
      </c>
      <c r="FK416">
        <v>0</v>
      </c>
      <c r="FP416">
        <v>0</v>
      </c>
      <c r="FR416">
        <v>0</v>
      </c>
      <c r="FS416" t="s">
        <v>1043</v>
      </c>
      <c r="FX416" t="s">
        <v>1042</v>
      </c>
      <c r="FZ416" t="s">
        <v>1048</v>
      </c>
      <c r="GA416">
        <v>0</v>
      </c>
      <c r="GB416" t="s">
        <v>1042</v>
      </c>
      <c r="GE416">
        <v>0</v>
      </c>
      <c r="GG416">
        <v>0</v>
      </c>
      <c r="GN416">
        <v>0</v>
      </c>
      <c r="GO416" t="s">
        <v>1063</v>
      </c>
      <c r="GQ416">
        <v>0</v>
      </c>
      <c r="GU416">
        <v>0</v>
      </c>
      <c r="GY416" t="s">
        <v>1045</v>
      </c>
      <c r="HB416">
        <v>0</v>
      </c>
      <c r="HE416">
        <v>0</v>
      </c>
      <c r="HF416">
        <v>0</v>
      </c>
      <c r="HG416">
        <v>0</v>
      </c>
      <c r="HK416" t="s">
        <v>1042</v>
      </c>
      <c r="HM416" t="s">
        <v>1047</v>
      </c>
      <c r="HN416">
        <v>0</v>
      </c>
      <c r="HP416">
        <v>0</v>
      </c>
      <c r="HQ416">
        <v>0</v>
      </c>
      <c r="HR416" t="s">
        <v>1042</v>
      </c>
      <c r="HS416" t="s">
        <v>1043</v>
      </c>
      <c r="HT416">
        <v>0</v>
      </c>
      <c r="HU416">
        <v>0</v>
      </c>
      <c r="HW416">
        <v>0</v>
      </c>
      <c r="HX416">
        <v>0</v>
      </c>
      <c r="HY416">
        <v>0</v>
      </c>
      <c r="HZ416" t="s">
        <v>1045</v>
      </c>
      <c r="IA416">
        <v>0</v>
      </c>
      <c r="IB416" t="s">
        <v>1045</v>
      </c>
      <c r="ID416" t="s">
        <v>1045</v>
      </c>
      <c r="IF416">
        <v>0</v>
      </c>
      <c r="IG416" t="s">
        <v>1042</v>
      </c>
      <c r="II416" t="s">
        <v>1042</v>
      </c>
      <c r="IR416" t="s">
        <v>1045</v>
      </c>
      <c r="IT416">
        <v>0</v>
      </c>
      <c r="IY416" t="s">
        <v>1044</v>
      </c>
      <c r="IZ416" t="s">
        <v>1043</v>
      </c>
      <c r="JC416" t="s">
        <v>1043</v>
      </c>
      <c r="JE416">
        <v>0</v>
      </c>
      <c r="JF416">
        <v>0</v>
      </c>
      <c r="JI416" t="s">
        <v>1042</v>
      </c>
      <c r="JJ416">
        <v>0</v>
      </c>
      <c r="JK416">
        <v>0</v>
      </c>
      <c r="JL416">
        <v>0</v>
      </c>
      <c r="JM416">
        <v>0</v>
      </c>
      <c r="JQ416" t="s">
        <v>1043</v>
      </c>
      <c r="JT416">
        <v>0</v>
      </c>
      <c r="JU416" t="s">
        <v>1042</v>
      </c>
      <c r="JW416">
        <v>0</v>
      </c>
      <c r="KA416">
        <v>0</v>
      </c>
      <c r="KF416">
        <v>0</v>
      </c>
      <c r="KG416">
        <v>0</v>
      </c>
      <c r="KH416">
        <v>0</v>
      </c>
      <c r="KI416">
        <v>0</v>
      </c>
      <c r="KS416" t="s">
        <v>1073</v>
      </c>
      <c r="KT416">
        <v>0</v>
      </c>
      <c r="KU416">
        <v>0</v>
      </c>
      <c r="KV416">
        <v>0</v>
      </c>
      <c r="KX416">
        <v>0</v>
      </c>
      <c r="KZ416">
        <v>0</v>
      </c>
      <c r="LF416">
        <v>0</v>
      </c>
      <c r="LH416">
        <v>0</v>
      </c>
      <c r="LI416">
        <v>0</v>
      </c>
    </row>
    <row r="417" spans="1:321" x14ac:dyDescent="0.35">
      <c r="A417">
        <v>1</v>
      </c>
      <c r="B417">
        <v>12629</v>
      </c>
      <c r="C417" t="s">
        <v>1268</v>
      </c>
      <c r="D417" t="s">
        <v>1133</v>
      </c>
      <c r="E417" t="s">
        <v>1085</v>
      </c>
      <c r="F417">
        <v>80</v>
      </c>
      <c r="G417">
        <v>9000</v>
      </c>
      <c r="H417">
        <v>0</v>
      </c>
      <c r="I417" t="s">
        <v>1050</v>
      </c>
      <c r="L417">
        <v>0</v>
      </c>
      <c r="M417">
        <v>0</v>
      </c>
      <c r="N417">
        <v>0</v>
      </c>
      <c r="R417">
        <v>0</v>
      </c>
      <c r="S417">
        <v>0</v>
      </c>
      <c r="W417" t="s">
        <v>1060</v>
      </c>
      <c r="X417">
        <v>0</v>
      </c>
      <c r="Z417">
        <v>1</v>
      </c>
      <c r="AA417">
        <v>0</v>
      </c>
      <c r="AB417">
        <v>0</v>
      </c>
      <c r="AC417">
        <v>0</v>
      </c>
      <c r="AD417" s="20">
        <v>40799</v>
      </c>
      <c r="AE417">
        <v>3.6</v>
      </c>
      <c r="AF417">
        <v>0</v>
      </c>
      <c r="AH417">
        <v>0</v>
      </c>
      <c r="AJ417">
        <v>0</v>
      </c>
      <c r="AL417">
        <v>0</v>
      </c>
      <c r="AM417">
        <v>0</v>
      </c>
      <c r="AN417">
        <v>16601001</v>
      </c>
      <c r="AO417">
        <v>0</v>
      </c>
      <c r="AP417">
        <v>1003</v>
      </c>
      <c r="AT417">
        <v>0</v>
      </c>
      <c r="AU417" t="s">
        <v>1059</v>
      </c>
      <c r="AW417" t="s">
        <v>1053</v>
      </c>
      <c r="AX417">
        <v>0</v>
      </c>
      <c r="AY417" s="20">
        <v>40799</v>
      </c>
      <c r="BA417" s="20">
        <v>40799</v>
      </c>
      <c r="BB417" t="s">
        <v>1058</v>
      </c>
      <c r="BD417">
        <v>0</v>
      </c>
      <c r="BF417" t="s">
        <v>1043</v>
      </c>
      <c r="BG417" t="s">
        <v>1042</v>
      </c>
      <c r="BH417">
        <v>0</v>
      </c>
      <c r="BI417">
        <v>1</v>
      </c>
      <c r="BJ417">
        <v>0</v>
      </c>
      <c r="BK417">
        <v>0</v>
      </c>
      <c r="BM417" t="s">
        <v>1042</v>
      </c>
      <c r="BN417">
        <v>0</v>
      </c>
      <c r="BR417" t="s">
        <v>1043</v>
      </c>
      <c r="BS417" t="s">
        <v>1043</v>
      </c>
      <c r="BT417" t="s">
        <v>1043</v>
      </c>
      <c r="BW417">
        <v>83</v>
      </c>
      <c r="CA417">
        <v>0</v>
      </c>
      <c r="CB417" t="s">
        <v>1057</v>
      </c>
      <c r="CE417" t="s">
        <v>1043</v>
      </c>
      <c r="CH417" t="s">
        <v>1043</v>
      </c>
      <c r="CN417" t="s">
        <v>1056</v>
      </c>
      <c r="CO417" t="s">
        <v>1043</v>
      </c>
      <c r="CP417">
        <v>1</v>
      </c>
      <c r="CQ417">
        <v>0</v>
      </c>
      <c r="CS417">
        <v>0</v>
      </c>
      <c r="CT417">
        <v>0</v>
      </c>
      <c r="CU417">
        <v>0</v>
      </c>
      <c r="CV417" t="s">
        <v>1045</v>
      </c>
      <c r="CW417">
        <v>0</v>
      </c>
      <c r="CX417">
        <v>0</v>
      </c>
      <c r="CY417">
        <v>0</v>
      </c>
      <c r="CZ417">
        <v>0</v>
      </c>
      <c r="DB417">
        <v>0</v>
      </c>
      <c r="DC417" t="s">
        <v>1043</v>
      </c>
      <c r="DF417" t="s">
        <v>1055</v>
      </c>
      <c r="DH417">
        <v>0</v>
      </c>
      <c r="DJ417">
        <v>0</v>
      </c>
      <c r="DK417" t="s">
        <v>1053</v>
      </c>
      <c r="DL417">
        <v>0</v>
      </c>
      <c r="DN417">
        <v>0</v>
      </c>
      <c r="DO417" t="s">
        <v>1042</v>
      </c>
      <c r="DP417">
        <v>0</v>
      </c>
      <c r="DQ417">
        <v>0</v>
      </c>
      <c r="DS417">
        <v>0</v>
      </c>
      <c r="DU417">
        <v>0</v>
      </c>
      <c r="DW417">
        <v>0</v>
      </c>
      <c r="DX417" t="s">
        <v>1043</v>
      </c>
      <c r="DY417">
        <v>0</v>
      </c>
      <c r="DZ417">
        <v>0</v>
      </c>
      <c r="EA417">
        <v>0</v>
      </c>
      <c r="ED417" t="s">
        <v>1045</v>
      </c>
      <c r="EE417">
        <v>0</v>
      </c>
      <c r="EF417">
        <v>0</v>
      </c>
      <c r="EQ417" t="s">
        <v>1044</v>
      </c>
      <c r="ES417" t="s">
        <v>1053</v>
      </c>
      <c r="ET417">
        <v>0</v>
      </c>
      <c r="EV417">
        <v>0</v>
      </c>
      <c r="EY417" t="s">
        <v>1052</v>
      </c>
      <c r="EZ417">
        <v>0</v>
      </c>
      <c r="FA417" t="s">
        <v>1043</v>
      </c>
      <c r="FB417">
        <v>0</v>
      </c>
      <c r="FC417">
        <v>0</v>
      </c>
      <c r="FE417" t="s">
        <v>1050</v>
      </c>
      <c r="FF417">
        <v>0</v>
      </c>
      <c r="FG417" t="s">
        <v>1050</v>
      </c>
      <c r="FJ417">
        <v>0</v>
      </c>
      <c r="FK417">
        <v>0</v>
      </c>
      <c r="FP417">
        <v>0</v>
      </c>
      <c r="FR417">
        <v>0</v>
      </c>
      <c r="FS417" t="s">
        <v>1043</v>
      </c>
      <c r="FX417" t="s">
        <v>1042</v>
      </c>
      <c r="FZ417" t="s">
        <v>1048</v>
      </c>
      <c r="GA417">
        <v>0</v>
      </c>
      <c r="GB417" t="s">
        <v>1042</v>
      </c>
      <c r="GE417">
        <v>0</v>
      </c>
      <c r="GG417">
        <v>0</v>
      </c>
      <c r="GN417">
        <v>0</v>
      </c>
      <c r="GO417" t="s">
        <v>1063</v>
      </c>
      <c r="GQ417">
        <v>0</v>
      </c>
      <c r="GU417">
        <v>0</v>
      </c>
      <c r="GY417" t="s">
        <v>1045</v>
      </c>
      <c r="HB417">
        <v>0</v>
      </c>
      <c r="HE417">
        <v>0</v>
      </c>
      <c r="HF417">
        <v>0</v>
      </c>
      <c r="HG417">
        <v>0</v>
      </c>
      <c r="HK417" t="s">
        <v>1042</v>
      </c>
      <c r="HM417" t="s">
        <v>1047</v>
      </c>
      <c r="HN417">
        <v>0</v>
      </c>
      <c r="HP417">
        <v>0</v>
      </c>
      <c r="HQ417">
        <v>0</v>
      </c>
      <c r="HR417" t="s">
        <v>1042</v>
      </c>
      <c r="HS417" t="s">
        <v>1043</v>
      </c>
      <c r="HT417">
        <v>0</v>
      </c>
      <c r="HU417">
        <v>0</v>
      </c>
      <c r="HW417">
        <v>0</v>
      </c>
      <c r="HX417">
        <v>0</v>
      </c>
      <c r="HY417">
        <v>0</v>
      </c>
      <c r="HZ417" t="s">
        <v>1045</v>
      </c>
      <c r="IA417">
        <v>0</v>
      </c>
      <c r="IB417" t="s">
        <v>1045</v>
      </c>
      <c r="ID417" t="s">
        <v>1045</v>
      </c>
      <c r="IF417">
        <v>0</v>
      </c>
      <c r="IG417" t="s">
        <v>1042</v>
      </c>
      <c r="II417" t="s">
        <v>1042</v>
      </c>
      <c r="IR417" t="s">
        <v>1045</v>
      </c>
      <c r="IT417">
        <v>0</v>
      </c>
      <c r="IY417" t="s">
        <v>1044</v>
      </c>
      <c r="IZ417" t="s">
        <v>1043</v>
      </c>
      <c r="JC417" t="s">
        <v>1043</v>
      </c>
      <c r="JE417">
        <v>0</v>
      </c>
      <c r="JF417">
        <v>0</v>
      </c>
      <c r="JI417" t="s">
        <v>1042</v>
      </c>
      <c r="JJ417">
        <v>0</v>
      </c>
      <c r="JK417">
        <v>0</v>
      </c>
      <c r="JL417">
        <v>0</v>
      </c>
      <c r="JM417">
        <v>0</v>
      </c>
      <c r="JQ417" t="s">
        <v>1043</v>
      </c>
      <c r="JT417">
        <v>0</v>
      </c>
      <c r="JU417" t="s">
        <v>1042</v>
      </c>
      <c r="JW417">
        <v>0</v>
      </c>
      <c r="KA417">
        <v>0</v>
      </c>
      <c r="KF417">
        <v>0</v>
      </c>
      <c r="KG417">
        <v>0</v>
      </c>
      <c r="KH417">
        <v>0</v>
      </c>
      <c r="KI417">
        <v>0</v>
      </c>
      <c r="KS417" t="s">
        <v>1073</v>
      </c>
      <c r="KT417">
        <v>0</v>
      </c>
      <c r="KU417">
        <v>0</v>
      </c>
      <c r="KV417">
        <v>0</v>
      </c>
      <c r="KX417">
        <v>0</v>
      </c>
      <c r="KZ417">
        <v>0</v>
      </c>
      <c r="LF417">
        <v>0</v>
      </c>
      <c r="LH417">
        <v>0</v>
      </c>
      <c r="LI417">
        <v>0</v>
      </c>
    </row>
    <row r="418" spans="1:321" x14ac:dyDescent="0.35">
      <c r="A418">
        <v>1</v>
      </c>
      <c r="B418">
        <v>12630</v>
      </c>
      <c r="C418" t="s">
        <v>1267</v>
      </c>
      <c r="D418" t="s">
        <v>1133</v>
      </c>
      <c r="E418" t="s">
        <v>1085</v>
      </c>
      <c r="F418">
        <v>80</v>
      </c>
      <c r="G418">
        <v>9000</v>
      </c>
      <c r="H418">
        <v>0</v>
      </c>
      <c r="I418" t="s">
        <v>1050</v>
      </c>
      <c r="L418">
        <v>0</v>
      </c>
      <c r="M418">
        <v>0</v>
      </c>
      <c r="N418">
        <v>0</v>
      </c>
      <c r="R418">
        <v>0</v>
      </c>
      <c r="S418">
        <v>0</v>
      </c>
      <c r="W418" t="s">
        <v>1060</v>
      </c>
      <c r="X418">
        <v>0</v>
      </c>
      <c r="Z418">
        <v>1</v>
      </c>
      <c r="AA418">
        <v>0</v>
      </c>
      <c r="AB418">
        <v>0</v>
      </c>
      <c r="AC418">
        <v>0</v>
      </c>
      <c r="AD418" s="20">
        <v>40799</v>
      </c>
      <c r="AE418">
        <v>3.6</v>
      </c>
      <c r="AF418">
        <v>0</v>
      </c>
      <c r="AH418">
        <v>0</v>
      </c>
      <c r="AJ418">
        <v>0</v>
      </c>
      <c r="AL418">
        <v>0</v>
      </c>
      <c r="AM418">
        <v>0</v>
      </c>
      <c r="AN418">
        <v>16601001</v>
      </c>
      <c r="AO418">
        <v>0</v>
      </c>
      <c r="AP418">
        <v>1003</v>
      </c>
      <c r="AT418">
        <v>0</v>
      </c>
      <c r="AU418" t="s">
        <v>1059</v>
      </c>
      <c r="AW418" t="s">
        <v>1053</v>
      </c>
      <c r="AX418">
        <v>0</v>
      </c>
      <c r="AY418" s="20">
        <v>40799</v>
      </c>
      <c r="BA418" s="20">
        <v>40799</v>
      </c>
      <c r="BB418" t="s">
        <v>1058</v>
      </c>
      <c r="BD418">
        <v>0</v>
      </c>
      <c r="BF418" t="s">
        <v>1043</v>
      </c>
      <c r="BG418" t="s">
        <v>1042</v>
      </c>
      <c r="BH418">
        <v>0</v>
      </c>
      <c r="BI418">
        <v>1</v>
      </c>
      <c r="BJ418">
        <v>0</v>
      </c>
      <c r="BK418">
        <v>0</v>
      </c>
      <c r="BM418" t="s">
        <v>1042</v>
      </c>
      <c r="BN418">
        <v>0</v>
      </c>
      <c r="BR418" t="s">
        <v>1043</v>
      </c>
      <c r="BS418" t="s">
        <v>1043</v>
      </c>
      <c r="BT418" t="s">
        <v>1043</v>
      </c>
      <c r="BW418">
        <v>83</v>
      </c>
      <c r="CA418">
        <v>0</v>
      </c>
      <c r="CB418" t="s">
        <v>1057</v>
      </c>
      <c r="CE418" t="s">
        <v>1043</v>
      </c>
      <c r="CH418" t="s">
        <v>1043</v>
      </c>
      <c r="CN418" t="s">
        <v>1056</v>
      </c>
      <c r="CO418" t="s">
        <v>1043</v>
      </c>
      <c r="CP418">
        <v>1</v>
      </c>
      <c r="CQ418">
        <v>0</v>
      </c>
      <c r="CS418">
        <v>0</v>
      </c>
      <c r="CT418">
        <v>0</v>
      </c>
      <c r="CU418">
        <v>0</v>
      </c>
      <c r="CV418" t="s">
        <v>1045</v>
      </c>
      <c r="CW418">
        <v>0</v>
      </c>
      <c r="CX418">
        <v>0</v>
      </c>
      <c r="CY418">
        <v>0</v>
      </c>
      <c r="CZ418">
        <v>0</v>
      </c>
      <c r="DB418">
        <v>0</v>
      </c>
      <c r="DC418" t="s">
        <v>1043</v>
      </c>
      <c r="DF418" t="s">
        <v>1055</v>
      </c>
      <c r="DH418">
        <v>0</v>
      </c>
      <c r="DJ418">
        <v>0</v>
      </c>
      <c r="DK418" t="s">
        <v>1053</v>
      </c>
      <c r="DL418">
        <v>0</v>
      </c>
      <c r="DN418">
        <v>0</v>
      </c>
      <c r="DO418" t="s">
        <v>1042</v>
      </c>
      <c r="DP418">
        <v>0</v>
      </c>
      <c r="DQ418">
        <v>0</v>
      </c>
      <c r="DS418">
        <v>0</v>
      </c>
      <c r="DU418">
        <v>0</v>
      </c>
      <c r="DW418">
        <v>0</v>
      </c>
      <c r="DX418" t="s">
        <v>1043</v>
      </c>
      <c r="DY418">
        <v>0</v>
      </c>
      <c r="DZ418">
        <v>0</v>
      </c>
      <c r="EA418">
        <v>0</v>
      </c>
      <c r="ED418" t="s">
        <v>1045</v>
      </c>
      <c r="EE418">
        <v>0</v>
      </c>
      <c r="EF418">
        <v>0</v>
      </c>
      <c r="EQ418" t="s">
        <v>1044</v>
      </c>
      <c r="ES418" t="s">
        <v>1053</v>
      </c>
      <c r="ET418">
        <v>0</v>
      </c>
      <c r="EV418">
        <v>0</v>
      </c>
      <c r="EY418" t="s">
        <v>1052</v>
      </c>
      <c r="EZ418">
        <v>0</v>
      </c>
      <c r="FA418" t="s">
        <v>1043</v>
      </c>
      <c r="FB418">
        <v>0</v>
      </c>
      <c r="FC418">
        <v>0</v>
      </c>
      <c r="FE418" t="s">
        <v>1050</v>
      </c>
      <c r="FF418">
        <v>0</v>
      </c>
      <c r="FG418" t="s">
        <v>1050</v>
      </c>
      <c r="FJ418">
        <v>0</v>
      </c>
      <c r="FK418">
        <v>0</v>
      </c>
      <c r="FP418">
        <v>0</v>
      </c>
      <c r="FR418">
        <v>0</v>
      </c>
      <c r="FS418" t="s">
        <v>1043</v>
      </c>
      <c r="FX418" t="s">
        <v>1042</v>
      </c>
      <c r="FZ418" t="s">
        <v>1048</v>
      </c>
      <c r="GA418">
        <v>0</v>
      </c>
      <c r="GB418" t="s">
        <v>1042</v>
      </c>
      <c r="GE418">
        <v>0</v>
      </c>
      <c r="GG418">
        <v>0</v>
      </c>
      <c r="GN418">
        <v>0</v>
      </c>
      <c r="GO418" t="s">
        <v>1063</v>
      </c>
      <c r="GQ418">
        <v>0</v>
      </c>
      <c r="GU418">
        <v>0</v>
      </c>
      <c r="GY418" t="s">
        <v>1045</v>
      </c>
      <c r="HB418">
        <v>0</v>
      </c>
      <c r="HE418">
        <v>0</v>
      </c>
      <c r="HF418">
        <v>0</v>
      </c>
      <c r="HG418">
        <v>0</v>
      </c>
      <c r="HK418" t="s">
        <v>1042</v>
      </c>
      <c r="HM418" t="s">
        <v>1047</v>
      </c>
      <c r="HN418">
        <v>0</v>
      </c>
      <c r="HP418">
        <v>0</v>
      </c>
      <c r="HQ418">
        <v>0</v>
      </c>
      <c r="HR418" t="s">
        <v>1042</v>
      </c>
      <c r="HS418" t="s">
        <v>1043</v>
      </c>
      <c r="HT418">
        <v>0</v>
      </c>
      <c r="HU418">
        <v>0</v>
      </c>
      <c r="HW418">
        <v>0</v>
      </c>
      <c r="HX418">
        <v>0</v>
      </c>
      <c r="HY418">
        <v>0</v>
      </c>
      <c r="HZ418" t="s">
        <v>1045</v>
      </c>
      <c r="IA418">
        <v>0</v>
      </c>
      <c r="IB418" t="s">
        <v>1045</v>
      </c>
      <c r="ID418" t="s">
        <v>1045</v>
      </c>
      <c r="IF418">
        <v>0</v>
      </c>
      <c r="IG418" t="s">
        <v>1042</v>
      </c>
      <c r="II418" t="s">
        <v>1042</v>
      </c>
      <c r="IR418" t="s">
        <v>1045</v>
      </c>
      <c r="IT418">
        <v>0</v>
      </c>
      <c r="IY418" t="s">
        <v>1044</v>
      </c>
      <c r="IZ418" t="s">
        <v>1043</v>
      </c>
      <c r="JC418" t="s">
        <v>1043</v>
      </c>
      <c r="JE418">
        <v>0</v>
      </c>
      <c r="JF418">
        <v>0</v>
      </c>
      <c r="JI418" t="s">
        <v>1042</v>
      </c>
      <c r="JJ418">
        <v>0</v>
      </c>
      <c r="JK418">
        <v>0</v>
      </c>
      <c r="JL418">
        <v>0</v>
      </c>
      <c r="JM418">
        <v>0</v>
      </c>
      <c r="JQ418" t="s">
        <v>1043</v>
      </c>
      <c r="JT418">
        <v>0</v>
      </c>
      <c r="JU418" t="s">
        <v>1042</v>
      </c>
      <c r="JW418">
        <v>0</v>
      </c>
      <c r="KA418">
        <v>0</v>
      </c>
      <c r="KF418">
        <v>0</v>
      </c>
      <c r="KG418">
        <v>0</v>
      </c>
      <c r="KH418">
        <v>0</v>
      </c>
      <c r="KI418">
        <v>0</v>
      </c>
      <c r="KS418" t="s">
        <v>1073</v>
      </c>
      <c r="KT418">
        <v>0</v>
      </c>
      <c r="KU418">
        <v>0</v>
      </c>
      <c r="KV418">
        <v>0</v>
      </c>
      <c r="KX418">
        <v>0</v>
      </c>
      <c r="KZ418">
        <v>0</v>
      </c>
      <c r="LF418">
        <v>0</v>
      </c>
      <c r="LH418">
        <v>0</v>
      </c>
      <c r="LI418">
        <v>0</v>
      </c>
    </row>
    <row r="419" spans="1:321" x14ac:dyDescent="0.35">
      <c r="A419">
        <v>1</v>
      </c>
      <c r="B419">
        <v>12631</v>
      </c>
      <c r="C419" t="s">
        <v>1266</v>
      </c>
      <c r="D419" t="s">
        <v>1133</v>
      </c>
      <c r="E419" t="s">
        <v>1085</v>
      </c>
      <c r="F419">
        <v>80</v>
      </c>
      <c r="G419">
        <v>9000</v>
      </c>
      <c r="H419">
        <v>0</v>
      </c>
      <c r="I419" t="s">
        <v>1050</v>
      </c>
      <c r="L419">
        <v>0</v>
      </c>
      <c r="M419">
        <v>0</v>
      </c>
      <c r="N419">
        <v>0</v>
      </c>
      <c r="R419">
        <v>0</v>
      </c>
      <c r="S419">
        <v>0</v>
      </c>
      <c r="W419" t="s">
        <v>1060</v>
      </c>
      <c r="X419">
        <v>0</v>
      </c>
      <c r="Z419">
        <v>1</v>
      </c>
      <c r="AA419">
        <v>0</v>
      </c>
      <c r="AB419">
        <v>0</v>
      </c>
      <c r="AC419">
        <v>0</v>
      </c>
      <c r="AD419" s="20">
        <v>40799</v>
      </c>
      <c r="AE419">
        <v>3.6</v>
      </c>
      <c r="AF419">
        <v>0</v>
      </c>
      <c r="AH419">
        <v>0</v>
      </c>
      <c r="AJ419">
        <v>0</v>
      </c>
      <c r="AL419">
        <v>0</v>
      </c>
      <c r="AM419">
        <v>0</v>
      </c>
      <c r="AN419">
        <v>16601001</v>
      </c>
      <c r="AO419">
        <v>0</v>
      </c>
      <c r="AP419">
        <v>1003</v>
      </c>
      <c r="AT419">
        <v>0</v>
      </c>
      <c r="AU419" t="s">
        <v>1059</v>
      </c>
      <c r="AW419" t="s">
        <v>1053</v>
      </c>
      <c r="AX419">
        <v>0</v>
      </c>
      <c r="AY419" s="20">
        <v>40799</v>
      </c>
      <c r="BA419" s="20">
        <v>40799</v>
      </c>
      <c r="BB419" t="s">
        <v>1058</v>
      </c>
      <c r="BD419">
        <v>0</v>
      </c>
      <c r="BF419" t="s">
        <v>1043</v>
      </c>
      <c r="BG419" t="s">
        <v>1042</v>
      </c>
      <c r="BH419">
        <v>0</v>
      </c>
      <c r="BI419">
        <v>1</v>
      </c>
      <c r="BJ419">
        <v>0</v>
      </c>
      <c r="BK419">
        <v>0</v>
      </c>
      <c r="BM419" t="s">
        <v>1042</v>
      </c>
      <c r="BN419">
        <v>0</v>
      </c>
      <c r="BR419" t="s">
        <v>1043</v>
      </c>
      <c r="BS419" t="s">
        <v>1043</v>
      </c>
      <c r="BT419" t="s">
        <v>1043</v>
      </c>
      <c r="BW419">
        <v>83</v>
      </c>
      <c r="CA419">
        <v>0</v>
      </c>
      <c r="CB419" t="s">
        <v>1057</v>
      </c>
      <c r="CE419" t="s">
        <v>1043</v>
      </c>
      <c r="CH419" t="s">
        <v>1043</v>
      </c>
      <c r="CN419" t="s">
        <v>1056</v>
      </c>
      <c r="CO419" t="s">
        <v>1043</v>
      </c>
      <c r="CP419">
        <v>1</v>
      </c>
      <c r="CQ419">
        <v>0</v>
      </c>
      <c r="CS419">
        <v>0</v>
      </c>
      <c r="CT419">
        <v>0</v>
      </c>
      <c r="CU419">
        <v>0</v>
      </c>
      <c r="CV419" t="s">
        <v>1045</v>
      </c>
      <c r="CW419">
        <v>0</v>
      </c>
      <c r="CX419">
        <v>0</v>
      </c>
      <c r="CY419">
        <v>0</v>
      </c>
      <c r="CZ419">
        <v>0</v>
      </c>
      <c r="DB419">
        <v>0</v>
      </c>
      <c r="DC419" t="s">
        <v>1043</v>
      </c>
      <c r="DF419" t="s">
        <v>1055</v>
      </c>
      <c r="DH419">
        <v>0</v>
      </c>
      <c r="DJ419">
        <v>0</v>
      </c>
      <c r="DK419" t="s">
        <v>1053</v>
      </c>
      <c r="DL419">
        <v>0</v>
      </c>
      <c r="DN419">
        <v>0</v>
      </c>
      <c r="DO419" t="s">
        <v>1042</v>
      </c>
      <c r="DP419">
        <v>0</v>
      </c>
      <c r="DQ419">
        <v>0</v>
      </c>
      <c r="DS419">
        <v>0</v>
      </c>
      <c r="DU419">
        <v>0</v>
      </c>
      <c r="DW419">
        <v>0</v>
      </c>
      <c r="DX419" t="s">
        <v>1043</v>
      </c>
      <c r="DY419">
        <v>0</v>
      </c>
      <c r="DZ419">
        <v>0</v>
      </c>
      <c r="EA419">
        <v>0</v>
      </c>
      <c r="ED419" t="s">
        <v>1045</v>
      </c>
      <c r="EE419">
        <v>0</v>
      </c>
      <c r="EF419">
        <v>0</v>
      </c>
      <c r="EQ419" t="s">
        <v>1044</v>
      </c>
      <c r="ES419" t="s">
        <v>1053</v>
      </c>
      <c r="ET419">
        <v>0</v>
      </c>
      <c r="EV419">
        <v>0</v>
      </c>
      <c r="EY419" t="s">
        <v>1052</v>
      </c>
      <c r="EZ419">
        <v>0</v>
      </c>
      <c r="FA419" t="s">
        <v>1043</v>
      </c>
      <c r="FB419">
        <v>0</v>
      </c>
      <c r="FC419">
        <v>0</v>
      </c>
      <c r="FE419" t="s">
        <v>1050</v>
      </c>
      <c r="FF419">
        <v>0</v>
      </c>
      <c r="FG419" t="s">
        <v>1050</v>
      </c>
      <c r="FJ419">
        <v>0</v>
      </c>
      <c r="FK419">
        <v>0</v>
      </c>
      <c r="FP419">
        <v>0</v>
      </c>
      <c r="FR419">
        <v>0</v>
      </c>
      <c r="FS419" t="s">
        <v>1043</v>
      </c>
      <c r="FX419" t="s">
        <v>1042</v>
      </c>
      <c r="FZ419" t="s">
        <v>1048</v>
      </c>
      <c r="GA419">
        <v>0</v>
      </c>
      <c r="GB419" t="s">
        <v>1042</v>
      </c>
      <c r="GE419">
        <v>0</v>
      </c>
      <c r="GG419">
        <v>0</v>
      </c>
      <c r="GN419">
        <v>0</v>
      </c>
      <c r="GO419" t="s">
        <v>1063</v>
      </c>
      <c r="GQ419">
        <v>0</v>
      </c>
      <c r="GU419">
        <v>0</v>
      </c>
      <c r="GY419" t="s">
        <v>1045</v>
      </c>
      <c r="HB419">
        <v>0</v>
      </c>
      <c r="HE419">
        <v>0</v>
      </c>
      <c r="HF419">
        <v>0</v>
      </c>
      <c r="HG419">
        <v>0</v>
      </c>
      <c r="HK419" t="s">
        <v>1042</v>
      </c>
      <c r="HM419" t="s">
        <v>1047</v>
      </c>
      <c r="HN419">
        <v>0</v>
      </c>
      <c r="HP419">
        <v>0</v>
      </c>
      <c r="HQ419">
        <v>0</v>
      </c>
      <c r="HR419" t="s">
        <v>1042</v>
      </c>
      <c r="HS419" t="s">
        <v>1043</v>
      </c>
      <c r="HT419">
        <v>0</v>
      </c>
      <c r="HU419">
        <v>0</v>
      </c>
      <c r="HW419">
        <v>0</v>
      </c>
      <c r="HX419">
        <v>0</v>
      </c>
      <c r="HY419">
        <v>0</v>
      </c>
      <c r="HZ419" t="s">
        <v>1045</v>
      </c>
      <c r="IA419">
        <v>0</v>
      </c>
      <c r="IB419" t="s">
        <v>1045</v>
      </c>
      <c r="ID419" t="s">
        <v>1045</v>
      </c>
      <c r="IF419">
        <v>0</v>
      </c>
      <c r="IG419" t="s">
        <v>1042</v>
      </c>
      <c r="II419" t="s">
        <v>1042</v>
      </c>
      <c r="IR419" t="s">
        <v>1045</v>
      </c>
      <c r="IT419">
        <v>0</v>
      </c>
      <c r="IY419" t="s">
        <v>1044</v>
      </c>
      <c r="IZ419" t="s">
        <v>1043</v>
      </c>
      <c r="JC419" t="s">
        <v>1043</v>
      </c>
      <c r="JE419">
        <v>0</v>
      </c>
      <c r="JF419">
        <v>0</v>
      </c>
      <c r="JI419" t="s">
        <v>1042</v>
      </c>
      <c r="JJ419">
        <v>0</v>
      </c>
      <c r="JK419">
        <v>0</v>
      </c>
      <c r="JL419">
        <v>0</v>
      </c>
      <c r="JM419">
        <v>0</v>
      </c>
      <c r="JQ419" t="s">
        <v>1043</v>
      </c>
      <c r="JT419">
        <v>0</v>
      </c>
      <c r="JU419" t="s">
        <v>1042</v>
      </c>
      <c r="JW419">
        <v>0</v>
      </c>
      <c r="KA419">
        <v>0</v>
      </c>
      <c r="KF419">
        <v>0</v>
      </c>
      <c r="KG419">
        <v>0</v>
      </c>
      <c r="KH419">
        <v>0</v>
      </c>
      <c r="KI419">
        <v>0</v>
      </c>
      <c r="KS419" t="s">
        <v>1073</v>
      </c>
      <c r="KT419">
        <v>0</v>
      </c>
      <c r="KU419">
        <v>0</v>
      </c>
      <c r="KV419">
        <v>0</v>
      </c>
      <c r="KX419">
        <v>0</v>
      </c>
      <c r="KZ419">
        <v>0</v>
      </c>
      <c r="LF419">
        <v>0</v>
      </c>
      <c r="LH419">
        <v>0</v>
      </c>
      <c r="LI419">
        <v>0</v>
      </c>
    </row>
    <row r="420" spans="1:321" x14ac:dyDescent="0.35">
      <c r="A420">
        <v>1</v>
      </c>
      <c r="B420">
        <v>12632</v>
      </c>
      <c r="C420" t="s">
        <v>1265</v>
      </c>
      <c r="D420" t="s">
        <v>1133</v>
      </c>
      <c r="E420" t="s">
        <v>1085</v>
      </c>
      <c r="F420">
        <v>80</v>
      </c>
      <c r="G420">
        <v>9000</v>
      </c>
      <c r="H420">
        <v>0</v>
      </c>
      <c r="I420" t="s">
        <v>1050</v>
      </c>
      <c r="L420">
        <v>0</v>
      </c>
      <c r="M420">
        <v>0</v>
      </c>
      <c r="N420">
        <v>0</v>
      </c>
      <c r="R420">
        <v>0</v>
      </c>
      <c r="S420">
        <v>0</v>
      </c>
      <c r="W420" t="s">
        <v>1060</v>
      </c>
      <c r="X420">
        <v>0</v>
      </c>
      <c r="Z420">
        <v>1</v>
      </c>
      <c r="AA420">
        <v>0</v>
      </c>
      <c r="AB420">
        <v>0</v>
      </c>
      <c r="AC420">
        <v>0</v>
      </c>
      <c r="AD420" s="20">
        <v>40799</v>
      </c>
      <c r="AE420">
        <v>3.6</v>
      </c>
      <c r="AF420">
        <v>0</v>
      </c>
      <c r="AH420">
        <v>0</v>
      </c>
      <c r="AJ420">
        <v>0</v>
      </c>
      <c r="AL420">
        <v>0</v>
      </c>
      <c r="AM420">
        <v>0</v>
      </c>
      <c r="AN420">
        <v>16601001</v>
      </c>
      <c r="AO420">
        <v>0</v>
      </c>
      <c r="AP420">
        <v>1003</v>
      </c>
      <c r="AT420">
        <v>0</v>
      </c>
      <c r="AU420" t="s">
        <v>1059</v>
      </c>
      <c r="AW420" t="s">
        <v>1053</v>
      </c>
      <c r="AX420">
        <v>0</v>
      </c>
      <c r="AY420" s="20">
        <v>40799</v>
      </c>
      <c r="BA420" s="20">
        <v>40799</v>
      </c>
      <c r="BB420" t="s">
        <v>1058</v>
      </c>
      <c r="BD420">
        <v>0</v>
      </c>
      <c r="BF420" t="s">
        <v>1043</v>
      </c>
      <c r="BG420" t="s">
        <v>1042</v>
      </c>
      <c r="BH420">
        <v>0</v>
      </c>
      <c r="BI420">
        <v>1</v>
      </c>
      <c r="BJ420">
        <v>0</v>
      </c>
      <c r="BK420">
        <v>0</v>
      </c>
      <c r="BM420" t="s">
        <v>1042</v>
      </c>
      <c r="BN420">
        <v>0</v>
      </c>
      <c r="BR420" t="s">
        <v>1043</v>
      </c>
      <c r="BS420" t="s">
        <v>1043</v>
      </c>
      <c r="BT420" t="s">
        <v>1043</v>
      </c>
      <c r="BW420">
        <v>83</v>
      </c>
      <c r="CA420">
        <v>0</v>
      </c>
      <c r="CB420" t="s">
        <v>1057</v>
      </c>
      <c r="CE420" t="s">
        <v>1043</v>
      </c>
      <c r="CH420" t="s">
        <v>1043</v>
      </c>
      <c r="CN420" t="s">
        <v>1056</v>
      </c>
      <c r="CO420" t="s">
        <v>1043</v>
      </c>
      <c r="CP420">
        <v>1</v>
      </c>
      <c r="CQ420">
        <v>0</v>
      </c>
      <c r="CS420">
        <v>0</v>
      </c>
      <c r="CT420">
        <v>0</v>
      </c>
      <c r="CU420">
        <v>0</v>
      </c>
      <c r="CV420" t="s">
        <v>1045</v>
      </c>
      <c r="CW420">
        <v>0</v>
      </c>
      <c r="CX420">
        <v>0</v>
      </c>
      <c r="CY420">
        <v>0</v>
      </c>
      <c r="CZ420">
        <v>0</v>
      </c>
      <c r="DB420">
        <v>0</v>
      </c>
      <c r="DC420" t="s">
        <v>1043</v>
      </c>
      <c r="DF420" t="s">
        <v>1055</v>
      </c>
      <c r="DH420">
        <v>0</v>
      </c>
      <c r="DJ420">
        <v>0</v>
      </c>
      <c r="DK420" t="s">
        <v>1053</v>
      </c>
      <c r="DL420">
        <v>0</v>
      </c>
      <c r="DN420">
        <v>0</v>
      </c>
      <c r="DO420" t="s">
        <v>1042</v>
      </c>
      <c r="DP420">
        <v>0</v>
      </c>
      <c r="DQ420">
        <v>0</v>
      </c>
      <c r="DS420">
        <v>0</v>
      </c>
      <c r="DU420">
        <v>0</v>
      </c>
      <c r="DW420">
        <v>0</v>
      </c>
      <c r="DX420" t="s">
        <v>1043</v>
      </c>
      <c r="DY420">
        <v>0</v>
      </c>
      <c r="DZ420">
        <v>0</v>
      </c>
      <c r="EA420">
        <v>0</v>
      </c>
      <c r="ED420" t="s">
        <v>1045</v>
      </c>
      <c r="EE420">
        <v>0</v>
      </c>
      <c r="EF420">
        <v>0</v>
      </c>
      <c r="EQ420" t="s">
        <v>1044</v>
      </c>
      <c r="ES420" t="s">
        <v>1053</v>
      </c>
      <c r="ET420">
        <v>0</v>
      </c>
      <c r="EV420">
        <v>0</v>
      </c>
      <c r="EY420" t="s">
        <v>1052</v>
      </c>
      <c r="EZ420">
        <v>0</v>
      </c>
      <c r="FA420" t="s">
        <v>1043</v>
      </c>
      <c r="FB420">
        <v>0</v>
      </c>
      <c r="FC420">
        <v>0</v>
      </c>
      <c r="FE420" t="s">
        <v>1050</v>
      </c>
      <c r="FF420">
        <v>0</v>
      </c>
      <c r="FG420" t="s">
        <v>1050</v>
      </c>
      <c r="FJ420">
        <v>0</v>
      </c>
      <c r="FK420">
        <v>0</v>
      </c>
      <c r="FP420">
        <v>0</v>
      </c>
      <c r="FR420">
        <v>0</v>
      </c>
      <c r="FS420" t="s">
        <v>1043</v>
      </c>
      <c r="FX420" t="s">
        <v>1042</v>
      </c>
      <c r="FZ420" t="s">
        <v>1048</v>
      </c>
      <c r="GA420">
        <v>0</v>
      </c>
      <c r="GB420" t="s">
        <v>1042</v>
      </c>
      <c r="GE420">
        <v>0</v>
      </c>
      <c r="GG420">
        <v>0</v>
      </c>
      <c r="GN420">
        <v>0</v>
      </c>
      <c r="GO420" t="s">
        <v>1063</v>
      </c>
      <c r="GQ420">
        <v>0</v>
      </c>
      <c r="GU420">
        <v>0</v>
      </c>
      <c r="GY420" t="s">
        <v>1045</v>
      </c>
      <c r="HB420">
        <v>0</v>
      </c>
      <c r="HE420">
        <v>0</v>
      </c>
      <c r="HF420">
        <v>0</v>
      </c>
      <c r="HG420">
        <v>0</v>
      </c>
      <c r="HK420" t="s">
        <v>1042</v>
      </c>
      <c r="HM420" t="s">
        <v>1047</v>
      </c>
      <c r="HN420">
        <v>0</v>
      </c>
      <c r="HP420">
        <v>0</v>
      </c>
      <c r="HQ420">
        <v>0</v>
      </c>
      <c r="HR420" t="s">
        <v>1042</v>
      </c>
      <c r="HS420" t="s">
        <v>1043</v>
      </c>
      <c r="HT420">
        <v>0</v>
      </c>
      <c r="HU420">
        <v>0</v>
      </c>
      <c r="HW420">
        <v>0</v>
      </c>
      <c r="HX420">
        <v>0</v>
      </c>
      <c r="HY420">
        <v>0</v>
      </c>
      <c r="HZ420" t="s">
        <v>1045</v>
      </c>
      <c r="IA420">
        <v>0</v>
      </c>
      <c r="IB420" t="s">
        <v>1045</v>
      </c>
      <c r="ID420" t="s">
        <v>1045</v>
      </c>
      <c r="IF420">
        <v>0</v>
      </c>
      <c r="IG420" t="s">
        <v>1042</v>
      </c>
      <c r="II420" t="s">
        <v>1042</v>
      </c>
      <c r="IR420" t="s">
        <v>1045</v>
      </c>
      <c r="IT420">
        <v>0</v>
      </c>
      <c r="IY420" t="s">
        <v>1044</v>
      </c>
      <c r="IZ420" t="s">
        <v>1043</v>
      </c>
      <c r="JC420" t="s">
        <v>1043</v>
      </c>
      <c r="JE420">
        <v>0</v>
      </c>
      <c r="JF420">
        <v>0</v>
      </c>
      <c r="JI420" t="s">
        <v>1042</v>
      </c>
      <c r="JJ420">
        <v>0</v>
      </c>
      <c r="JK420">
        <v>0</v>
      </c>
      <c r="JL420">
        <v>0</v>
      </c>
      <c r="JM420">
        <v>0</v>
      </c>
      <c r="JQ420" t="s">
        <v>1043</v>
      </c>
      <c r="JT420">
        <v>0</v>
      </c>
      <c r="JU420" t="s">
        <v>1042</v>
      </c>
      <c r="JW420">
        <v>0</v>
      </c>
      <c r="KA420">
        <v>0</v>
      </c>
      <c r="KF420">
        <v>0</v>
      </c>
      <c r="KG420">
        <v>0</v>
      </c>
      <c r="KH420">
        <v>0</v>
      </c>
      <c r="KI420">
        <v>0</v>
      </c>
      <c r="KS420" t="s">
        <v>1073</v>
      </c>
      <c r="KT420">
        <v>0</v>
      </c>
      <c r="KU420">
        <v>0</v>
      </c>
      <c r="KV420">
        <v>0</v>
      </c>
      <c r="KX420">
        <v>0</v>
      </c>
      <c r="KZ420">
        <v>0</v>
      </c>
      <c r="LF420">
        <v>0</v>
      </c>
      <c r="LH420">
        <v>0</v>
      </c>
      <c r="LI420">
        <v>0</v>
      </c>
    </row>
    <row r="421" spans="1:321" x14ac:dyDescent="0.35">
      <c r="A421">
        <v>1</v>
      </c>
      <c r="B421">
        <v>12633</v>
      </c>
      <c r="C421" t="s">
        <v>1264</v>
      </c>
      <c r="D421" t="s">
        <v>1133</v>
      </c>
      <c r="E421" t="s">
        <v>1085</v>
      </c>
      <c r="F421">
        <v>80</v>
      </c>
      <c r="G421">
        <v>9000</v>
      </c>
      <c r="H421">
        <v>0</v>
      </c>
      <c r="I421" t="s">
        <v>1050</v>
      </c>
      <c r="L421">
        <v>0</v>
      </c>
      <c r="M421">
        <v>0</v>
      </c>
      <c r="N421">
        <v>0</v>
      </c>
      <c r="R421">
        <v>0</v>
      </c>
      <c r="S421">
        <v>0</v>
      </c>
      <c r="W421" t="s">
        <v>1060</v>
      </c>
      <c r="X421">
        <v>0</v>
      </c>
      <c r="Z421">
        <v>1</v>
      </c>
      <c r="AA421">
        <v>0</v>
      </c>
      <c r="AB421">
        <v>0</v>
      </c>
      <c r="AC421">
        <v>0</v>
      </c>
      <c r="AD421" s="20">
        <v>40799</v>
      </c>
      <c r="AE421">
        <v>3.6</v>
      </c>
      <c r="AF421">
        <v>0</v>
      </c>
      <c r="AH421">
        <v>0</v>
      </c>
      <c r="AJ421">
        <v>0</v>
      </c>
      <c r="AL421">
        <v>0</v>
      </c>
      <c r="AM421">
        <v>0</v>
      </c>
      <c r="AN421">
        <v>16601001</v>
      </c>
      <c r="AO421">
        <v>0</v>
      </c>
      <c r="AP421">
        <v>1003</v>
      </c>
      <c r="AT421">
        <v>0</v>
      </c>
      <c r="AU421" t="s">
        <v>1059</v>
      </c>
      <c r="AW421" t="s">
        <v>1053</v>
      </c>
      <c r="AX421">
        <v>0</v>
      </c>
      <c r="AY421" s="20">
        <v>40799</v>
      </c>
      <c r="BA421" s="20">
        <v>40799</v>
      </c>
      <c r="BB421" t="s">
        <v>1058</v>
      </c>
      <c r="BD421">
        <v>0</v>
      </c>
      <c r="BF421" t="s">
        <v>1043</v>
      </c>
      <c r="BG421" t="s">
        <v>1042</v>
      </c>
      <c r="BH421">
        <v>0</v>
      </c>
      <c r="BI421">
        <v>1</v>
      </c>
      <c r="BJ421">
        <v>0</v>
      </c>
      <c r="BK421">
        <v>0</v>
      </c>
      <c r="BM421" t="s">
        <v>1042</v>
      </c>
      <c r="BN421">
        <v>0</v>
      </c>
      <c r="BR421" t="s">
        <v>1043</v>
      </c>
      <c r="BS421" t="s">
        <v>1043</v>
      </c>
      <c r="BT421" t="s">
        <v>1043</v>
      </c>
      <c r="BW421">
        <v>83</v>
      </c>
      <c r="CA421">
        <v>0</v>
      </c>
      <c r="CB421" t="s">
        <v>1057</v>
      </c>
      <c r="CE421" t="s">
        <v>1043</v>
      </c>
      <c r="CH421" t="s">
        <v>1043</v>
      </c>
      <c r="CN421" t="s">
        <v>1056</v>
      </c>
      <c r="CO421" t="s">
        <v>1043</v>
      </c>
      <c r="CP421">
        <v>1</v>
      </c>
      <c r="CQ421">
        <v>0</v>
      </c>
      <c r="CS421">
        <v>0</v>
      </c>
      <c r="CT421">
        <v>0</v>
      </c>
      <c r="CU421">
        <v>0</v>
      </c>
      <c r="CV421" t="s">
        <v>1045</v>
      </c>
      <c r="CW421">
        <v>0</v>
      </c>
      <c r="CX421">
        <v>0</v>
      </c>
      <c r="CY421">
        <v>0</v>
      </c>
      <c r="CZ421">
        <v>0</v>
      </c>
      <c r="DB421">
        <v>0</v>
      </c>
      <c r="DC421" t="s">
        <v>1043</v>
      </c>
      <c r="DF421" t="s">
        <v>1055</v>
      </c>
      <c r="DH421">
        <v>0</v>
      </c>
      <c r="DJ421">
        <v>0</v>
      </c>
      <c r="DK421" t="s">
        <v>1053</v>
      </c>
      <c r="DL421">
        <v>0</v>
      </c>
      <c r="DN421">
        <v>0</v>
      </c>
      <c r="DO421" t="s">
        <v>1042</v>
      </c>
      <c r="DP421">
        <v>0</v>
      </c>
      <c r="DQ421">
        <v>0</v>
      </c>
      <c r="DS421">
        <v>0</v>
      </c>
      <c r="DU421">
        <v>0</v>
      </c>
      <c r="DW421">
        <v>0</v>
      </c>
      <c r="DX421" t="s">
        <v>1043</v>
      </c>
      <c r="DY421">
        <v>0</v>
      </c>
      <c r="DZ421">
        <v>0</v>
      </c>
      <c r="EA421">
        <v>0</v>
      </c>
      <c r="ED421" t="s">
        <v>1045</v>
      </c>
      <c r="EE421">
        <v>0</v>
      </c>
      <c r="EF421">
        <v>0</v>
      </c>
      <c r="EQ421" t="s">
        <v>1044</v>
      </c>
      <c r="ES421" t="s">
        <v>1053</v>
      </c>
      <c r="ET421">
        <v>0</v>
      </c>
      <c r="EV421">
        <v>0</v>
      </c>
      <c r="EY421" t="s">
        <v>1052</v>
      </c>
      <c r="EZ421">
        <v>0</v>
      </c>
      <c r="FA421" t="s">
        <v>1043</v>
      </c>
      <c r="FB421">
        <v>0</v>
      </c>
      <c r="FC421">
        <v>0</v>
      </c>
      <c r="FE421" t="s">
        <v>1050</v>
      </c>
      <c r="FF421">
        <v>0</v>
      </c>
      <c r="FG421" t="s">
        <v>1050</v>
      </c>
      <c r="FJ421">
        <v>0</v>
      </c>
      <c r="FK421">
        <v>0</v>
      </c>
      <c r="FP421">
        <v>0</v>
      </c>
      <c r="FR421">
        <v>0</v>
      </c>
      <c r="FS421" t="s">
        <v>1043</v>
      </c>
      <c r="FX421" t="s">
        <v>1042</v>
      </c>
      <c r="FZ421" t="s">
        <v>1048</v>
      </c>
      <c r="GA421">
        <v>0</v>
      </c>
      <c r="GB421" t="s">
        <v>1042</v>
      </c>
      <c r="GE421">
        <v>0</v>
      </c>
      <c r="GG421">
        <v>0</v>
      </c>
      <c r="GN421">
        <v>0</v>
      </c>
      <c r="GO421" t="s">
        <v>1063</v>
      </c>
      <c r="GQ421">
        <v>0</v>
      </c>
      <c r="GU421">
        <v>0</v>
      </c>
      <c r="GY421" t="s">
        <v>1045</v>
      </c>
      <c r="HB421">
        <v>0</v>
      </c>
      <c r="HE421">
        <v>0</v>
      </c>
      <c r="HF421">
        <v>0</v>
      </c>
      <c r="HG421">
        <v>0</v>
      </c>
      <c r="HK421" t="s">
        <v>1042</v>
      </c>
      <c r="HM421" t="s">
        <v>1047</v>
      </c>
      <c r="HN421">
        <v>0</v>
      </c>
      <c r="HP421">
        <v>0</v>
      </c>
      <c r="HQ421">
        <v>0</v>
      </c>
      <c r="HR421" t="s">
        <v>1042</v>
      </c>
      <c r="HS421" t="s">
        <v>1043</v>
      </c>
      <c r="HT421">
        <v>0</v>
      </c>
      <c r="HU421">
        <v>0</v>
      </c>
      <c r="HW421">
        <v>0</v>
      </c>
      <c r="HX421">
        <v>0</v>
      </c>
      <c r="HY421">
        <v>0</v>
      </c>
      <c r="HZ421" t="s">
        <v>1045</v>
      </c>
      <c r="IA421">
        <v>0</v>
      </c>
      <c r="IB421" t="s">
        <v>1045</v>
      </c>
      <c r="ID421" t="s">
        <v>1045</v>
      </c>
      <c r="IF421">
        <v>0</v>
      </c>
      <c r="IG421" t="s">
        <v>1042</v>
      </c>
      <c r="II421" t="s">
        <v>1042</v>
      </c>
      <c r="IR421" t="s">
        <v>1045</v>
      </c>
      <c r="IT421">
        <v>0</v>
      </c>
      <c r="IY421" t="s">
        <v>1044</v>
      </c>
      <c r="IZ421" t="s">
        <v>1043</v>
      </c>
      <c r="JC421" t="s">
        <v>1043</v>
      </c>
      <c r="JE421">
        <v>0</v>
      </c>
      <c r="JF421">
        <v>0</v>
      </c>
      <c r="JI421" t="s">
        <v>1042</v>
      </c>
      <c r="JJ421">
        <v>0</v>
      </c>
      <c r="JK421">
        <v>0</v>
      </c>
      <c r="JL421">
        <v>0</v>
      </c>
      <c r="JM421">
        <v>0</v>
      </c>
      <c r="JQ421" t="s">
        <v>1043</v>
      </c>
      <c r="JT421">
        <v>0</v>
      </c>
      <c r="JU421" t="s">
        <v>1042</v>
      </c>
      <c r="JW421">
        <v>0</v>
      </c>
      <c r="KA421">
        <v>0</v>
      </c>
      <c r="KF421">
        <v>0</v>
      </c>
      <c r="KG421">
        <v>0</v>
      </c>
      <c r="KH421">
        <v>0</v>
      </c>
      <c r="KI421">
        <v>0</v>
      </c>
      <c r="KS421" t="s">
        <v>1073</v>
      </c>
      <c r="KT421">
        <v>0</v>
      </c>
      <c r="KU421">
        <v>0</v>
      </c>
      <c r="KV421">
        <v>0</v>
      </c>
      <c r="KX421">
        <v>0</v>
      </c>
      <c r="KZ421">
        <v>0</v>
      </c>
      <c r="LF421">
        <v>0</v>
      </c>
      <c r="LH421">
        <v>0</v>
      </c>
      <c r="LI421">
        <v>0</v>
      </c>
    </row>
    <row r="422" spans="1:321" x14ac:dyDescent="0.35">
      <c r="A422">
        <v>1</v>
      </c>
      <c r="B422">
        <v>12634</v>
      </c>
      <c r="C422" t="s">
        <v>1263</v>
      </c>
      <c r="D422" t="s">
        <v>1133</v>
      </c>
      <c r="E422" t="s">
        <v>1085</v>
      </c>
      <c r="F422">
        <v>80</v>
      </c>
      <c r="G422">
        <v>9000</v>
      </c>
      <c r="H422">
        <v>0</v>
      </c>
      <c r="I422" t="s">
        <v>1050</v>
      </c>
      <c r="L422">
        <v>0</v>
      </c>
      <c r="M422">
        <v>0</v>
      </c>
      <c r="N422">
        <v>0</v>
      </c>
      <c r="R422">
        <v>0</v>
      </c>
      <c r="S422">
        <v>0</v>
      </c>
      <c r="W422" t="s">
        <v>1060</v>
      </c>
      <c r="X422">
        <v>0</v>
      </c>
      <c r="Z422">
        <v>1</v>
      </c>
      <c r="AA422">
        <v>0</v>
      </c>
      <c r="AB422">
        <v>0</v>
      </c>
      <c r="AC422">
        <v>0</v>
      </c>
      <c r="AD422" s="20">
        <v>40799</v>
      </c>
      <c r="AE422">
        <v>3.6</v>
      </c>
      <c r="AF422">
        <v>0</v>
      </c>
      <c r="AH422">
        <v>0</v>
      </c>
      <c r="AJ422">
        <v>0</v>
      </c>
      <c r="AL422">
        <v>0</v>
      </c>
      <c r="AM422">
        <v>0</v>
      </c>
      <c r="AN422">
        <v>16601001</v>
      </c>
      <c r="AO422">
        <v>0</v>
      </c>
      <c r="AP422">
        <v>1003</v>
      </c>
      <c r="AT422">
        <v>0</v>
      </c>
      <c r="AU422" t="s">
        <v>1059</v>
      </c>
      <c r="AW422" t="s">
        <v>1053</v>
      </c>
      <c r="AX422">
        <v>0</v>
      </c>
      <c r="AY422" s="20">
        <v>40799</v>
      </c>
      <c r="BA422" s="20">
        <v>40799</v>
      </c>
      <c r="BB422" t="s">
        <v>1058</v>
      </c>
      <c r="BD422">
        <v>0</v>
      </c>
      <c r="BF422" t="s">
        <v>1043</v>
      </c>
      <c r="BG422" t="s">
        <v>1042</v>
      </c>
      <c r="BH422">
        <v>0</v>
      </c>
      <c r="BI422">
        <v>1</v>
      </c>
      <c r="BJ422">
        <v>0</v>
      </c>
      <c r="BK422">
        <v>0</v>
      </c>
      <c r="BM422" t="s">
        <v>1042</v>
      </c>
      <c r="BN422">
        <v>0</v>
      </c>
      <c r="BR422" t="s">
        <v>1043</v>
      </c>
      <c r="BS422" t="s">
        <v>1043</v>
      </c>
      <c r="BT422" t="s">
        <v>1043</v>
      </c>
      <c r="BW422">
        <v>83</v>
      </c>
      <c r="CA422">
        <v>0</v>
      </c>
      <c r="CB422" t="s">
        <v>1057</v>
      </c>
      <c r="CE422" t="s">
        <v>1043</v>
      </c>
      <c r="CH422" t="s">
        <v>1043</v>
      </c>
      <c r="CN422" t="s">
        <v>1056</v>
      </c>
      <c r="CO422" t="s">
        <v>1043</v>
      </c>
      <c r="CP422">
        <v>1</v>
      </c>
      <c r="CQ422">
        <v>0</v>
      </c>
      <c r="CS422">
        <v>0</v>
      </c>
      <c r="CT422">
        <v>0</v>
      </c>
      <c r="CU422">
        <v>0</v>
      </c>
      <c r="CV422" t="s">
        <v>1045</v>
      </c>
      <c r="CW422">
        <v>0</v>
      </c>
      <c r="CX422">
        <v>0</v>
      </c>
      <c r="CY422">
        <v>0</v>
      </c>
      <c r="CZ422">
        <v>0</v>
      </c>
      <c r="DB422">
        <v>0</v>
      </c>
      <c r="DC422" t="s">
        <v>1043</v>
      </c>
      <c r="DF422" t="s">
        <v>1055</v>
      </c>
      <c r="DH422">
        <v>0</v>
      </c>
      <c r="DJ422">
        <v>0</v>
      </c>
      <c r="DK422" t="s">
        <v>1053</v>
      </c>
      <c r="DL422">
        <v>0</v>
      </c>
      <c r="DN422">
        <v>0</v>
      </c>
      <c r="DO422" t="s">
        <v>1042</v>
      </c>
      <c r="DP422">
        <v>0</v>
      </c>
      <c r="DQ422">
        <v>0</v>
      </c>
      <c r="DS422">
        <v>0</v>
      </c>
      <c r="DU422">
        <v>0</v>
      </c>
      <c r="DW422">
        <v>0</v>
      </c>
      <c r="DX422" t="s">
        <v>1043</v>
      </c>
      <c r="DY422">
        <v>0</v>
      </c>
      <c r="DZ422">
        <v>0</v>
      </c>
      <c r="EA422">
        <v>0</v>
      </c>
      <c r="ED422" t="s">
        <v>1045</v>
      </c>
      <c r="EE422">
        <v>0</v>
      </c>
      <c r="EF422">
        <v>0</v>
      </c>
      <c r="EQ422" t="s">
        <v>1044</v>
      </c>
      <c r="ES422" t="s">
        <v>1053</v>
      </c>
      <c r="ET422">
        <v>0</v>
      </c>
      <c r="EV422">
        <v>0</v>
      </c>
      <c r="EY422" t="s">
        <v>1052</v>
      </c>
      <c r="EZ422">
        <v>0</v>
      </c>
      <c r="FA422" t="s">
        <v>1043</v>
      </c>
      <c r="FB422">
        <v>0</v>
      </c>
      <c r="FC422">
        <v>0</v>
      </c>
      <c r="FE422" t="s">
        <v>1050</v>
      </c>
      <c r="FF422">
        <v>0</v>
      </c>
      <c r="FG422" t="s">
        <v>1050</v>
      </c>
      <c r="FJ422">
        <v>0</v>
      </c>
      <c r="FK422">
        <v>0</v>
      </c>
      <c r="FP422">
        <v>0</v>
      </c>
      <c r="FR422">
        <v>0</v>
      </c>
      <c r="FS422" t="s">
        <v>1043</v>
      </c>
      <c r="FX422" t="s">
        <v>1042</v>
      </c>
      <c r="FZ422" t="s">
        <v>1048</v>
      </c>
      <c r="GA422">
        <v>0</v>
      </c>
      <c r="GB422" t="s">
        <v>1042</v>
      </c>
      <c r="GE422">
        <v>0</v>
      </c>
      <c r="GG422">
        <v>0</v>
      </c>
      <c r="GN422">
        <v>0</v>
      </c>
      <c r="GO422" t="s">
        <v>1063</v>
      </c>
      <c r="GQ422">
        <v>0</v>
      </c>
      <c r="GU422">
        <v>0</v>
      </c>
      <c r="GY422" t="s">
        <v>1045</v>
      </c>
      <c r="HB422">
        <v>0</v>
      </c>
      <c r="HE422">
        <v>0</v>
      </c>
      <c r="HF422">
        <v>0</v>
      </c>
      <c r="HG422">
        <v>0</v>
      </c>
      <c r="HK422" t="s">
        <v>1042</v>
      </c>
      <c r="HM422" t="s">
        <v>1047</v>
      </c>
      <c r="HN422">
        <v>0</v>
      </c>
      <c r="HP422">
        <v>0</v>
      </c>
      <c r="HQ422">
        <v>0</v>
      </c>
      <c r="HR422" t="s">
        <v>1042</v>
      </c>
      <c r="HS422" t="s">
        <v>1043</v>
      </c>
      <c r="HT422">
        <v>0</v>
      </c>
      <c r="HU422">
        <v>0</v>
      </c>
      <c r="HW422">
        <v>0</v>
      </c>
      <c r="HX422">
        <v>0</v>
      </c>
      <c r="HY422">
        <v>0</v>
      </c>
      <c r="HZ422" t="s">
        <v>1045</v>
      </c>
      <c r="IA422">
        <v>0</v>
      </c>
      <c r="IB422" t="s">
        <v>1045</v>
      </c>
      <c r="ID422" t="s">
        <v>1045</v>
      </c>
      <c r="IF422">
        <v>0</v>
      </c>
      <c r="IG422" t="s">
        <v>1042</v>
      </c>
      <c r="II422" t="s">
        <v>1042</v>
      </c>
      <c r="IR422" t="s">
        <v>1045</v>
      </c>
      <c r="IT422">
        <v>0</v>
      </c>
      <c r="IY422" t="s">
        <v>1044</v>
      </c>
      <c r="IZ422" t="s">
        <v>1043</v>
      </c>
      <c r="JC422" t="s">
        <v>1043</v>
      </c>
      <c r="JE422">
        <v>0</v>
      </c>
      <c r="JF422">
        <v>0</v>
      </c>
      <c r="JI422" t="s">
        <v>1042</v>
      </c>
      <c r="JJ422">
        <v>0</v>
      </c>
      <c r="JK422">
        <v>0</v>
      </c>
      <c r="JL422">
        <v>0</v>
      </c>
      <c r="JM422">
        <v>0</v>
      </c>
      <c r="JQ422" t="s">
        <v>1043</v>
      </c>
      <c r="JT422">
        <v>0</v>
      </c>
      <c r="JU422" t="s">
        <v>1042</v>
      </c>
      <c r="JW422">
        <v>0</v>
      </c>
      <c r="KA422">
        <v>0</v>
      </c>
      <c r="KF422">
        <v>0</v>
      </c>
      <c r="KG422">
        <v>0</v>
      </c>
      <c r="KH422">
        <v>0</v>
      </c>
      <c r="KI422">
        <v>0</v>
      </c>
      <c r="KS422" t="s">
        <v>1073</v>
      </c>
      <c r="KT422">
        <v>0</v>
      </c>
      <c r="KU422">
        <v>0</v>
      </c>
      <c r="KV422">
        <v>0</v>
      </c>
      <c r="KX422">
        <v>0</v>
      </c>
      <c r="KZ422">
        <v>0</v>
      </c>
      <c r="LF422">
        <v>0</v>
      </c>
      <c r="LH422">
        <v>0</v>
      </c>
      <c r="LI422">
        <v>0</v>
      </c>
    </row>
    <row r="423" spans="1:321" x14ac:dyDescent="0.35">
      <c r="A423">
        <v>1</v>
      </c>
      <c r="B423">
        <v>12635</v>
      </c>
      <c r="C423" t="s">
        <v>1262</v>
      </c>
      <c r="D423" t="s">
        <v>1133</v>
      </c>
      <c r="E423" t="s">
        <v>1085</v>
      </c>
      <c r="F423">
        <v>80</v>
      </c>
      <c r="G423">
        <v>9000</v>
      </c>
      <c r="H423">
        <v>0</v>
      </c>
      <c r="I423" t="s">
        <v>1050</v>
      </c>
      <c r="L423">
        <v>0</v>
      </c>
      <c r="M423">
        <v>0</v>
      </c>
      <c r="N423">
        <v>0</v>
      </c>
      <c r="R423">
        <v>0</v>
      </c>
      <c r="S423">
        <v>0</v>
      </c>
      <c r="W423" t="s">
        <v>1060</v>
      </c>
      <c r="X423">
        <v>0</v>
      </c>
      <c r="Z423">
        <v>1</v>
      </c>
      <c r="AA423">
        <v>0</v>
      </c>
      <c r="AB423">
        <v>0</v>
      </c>
      <c r="AC423">
        <v>0</v>
      </c>
      <c r="AD423" s="20">
        <v>40799</v>
      </c>
      <c r="AE423">
        <v>3.6</v>
      </c>
      <c r="AF423">
        <v>0</v>
      </c>
      <c r="AH423">
        <v>0</v>
      </c>
      <c r="AJ423">
        <v>0</v>
      </c>
      <c r="AL423">
        <v>0</v>
      </c>
      <c r="AM423">
        <v>0</v>
      </c>
      <c r="AN423">
        <v>16601001</v>
      </c>
      <c r="AO423">
        <v>0</v>
      </c>
      <c r="AP423">
        <v>1003</v>
      </c>
      <c r="AT423">
        <v>0</v>
      </c>
      <c r="AU423" t="s">
        <v>1059</v>
      </c>
      <c r="AW423" t="s">
        <v>1053</v>
      </c>
      <c r="AX423">
        <v>0</v>
      </c>
      <c r="AY423" s="20">
        <v>40799</v>
      </c>
      <c r="BA423" s="20">
        <v>40799</v>
      </c>
      <c r="BB423" t="s">
        <v>1058</v>
      </c>
      <c r="BD423">
        <v>0</v>
      </c>
      <c r="BF423" t="s">
        <v>1043</v>
      </c>
      <c r="BG423" t="s">
        <v>1042</v>
      </c>
      <c r="BH423">
        <v>0</v>
      </c>
      <c r="BI423">
        <v>1</v>
      </c>
      <c r="BJ423">
        <v>0</v>
      </c>
      <c r="BK423">
        <v>0</v>
      </c>
      <c r="BM423" t="s">
        <v>1042</v>
      </c>
      <c r="BN423">
        <v>0</v>
      </c>
      <c r="BR423" t="s">
        <v>1043</v>
      </c>
      <c r="BS423" t="s">
        <v>1043</v>
      </c>
      <c r="BT423" t="s">
        <v>1043</v>
      </c>
      <c r="BW423">
        <v>83</v>
      </c>
      <c r="CA423">
        <v>0</v>
      </c>
      <c r="CB423" t="s">
        <v>1057</v>
      </c>
      <c r="CE423" t="s">
        <v>1043</v>
      </c>
      <c r="CH423" t="s">
        <v>1043</v>
      </c>
      <c r="CN423" t="s">
        <v>1056</v>
      </c>
      <c r="CO423" t="s">
        <v>1043</v>
      </c>
      <c r="CP423">
        <v>1</v>
      </c>
      <c r="CQ423">
        <v>0</v>
      </c>
      <c r="CS423">
        <v>0</v>
      </c>
      <c r="CT423">
        <v>0</v>
      </c>
      <c r="CU423">
        <v>0</v>
      </c>
      <c r="CV423" t="s">
        <v>1045</v>
      </c>
      <c r="CW423">
        <v>0</v>
      </c>
      <c r="CX423">
        <v>0</v>
      </c>
      <c r="CY423">
        <v>0</v>
      </c>
      <c r="CZ423">
        <v>0</v>
      </c>
      <c r="DB423">
        <v>0</v>
      </c>
      <c r="DC423" t="s">
        <v>1043</v>
      </c>
      <c r="DF423" t="s">
        <v>1055</v>
      </c>
      <c r="DH423">
        <v>0</v>
      </c>
      <c r="DJ423">
        <v>0</v>
      </c>
      <c r="DK423" t="s">
        <v>1053</v>
      </c>
      <c r="DL423">
        <v>0</v>
      </c>
      <c r="DN423">
        <v>0</v>
      </c>
      <c r="DO423" t="s">
        <v>1042</v>
      </c>
      <c r="DP423">
        <v>0</v>
      </c>
      <c r="DQ423">
        <v>0</v>
      </c>
      <c r="DS423">
        <v>0</v>
      </c>
      <c r="DU423">
        <v>0</v>
      </c>
      <c r="DW423">
        <v>0</v>
      </c>
      <c r="DX423" t="s">
        <v>1043</v>
      </c>
      <c r="DY423">
        <v>0</v>
      </c>
      <c r="DZ423">
        <v>0</v>
      </c>
      <c r="EA423">
        <v>0</v>
      </c>
      <c r="ED423" t="s">
        <v>1045</v>
      </c>
      <c r="EE423">
        <v>0</v>
      </c>
      <c r="EF423">
        <v>0</v>
      </c>
      <c r="EQ423" t="s">
        <v>1044</v>
      </c>
      <c r="ES423" t="s">
        <v>1053</v>
      </c>
      <c r="ET423">
        <v>0</v>
      </c>
      <c r="EV423">
        <v>0</v>
      </c>
      <c r="EY423" t="s">
        <v>1052</v>
      </c>
      <c r="EZ423">
        <v>0</v>
      </c>
      <c r="FA423" t="s">
        <v>1043</v>
      </c>
      <c r="FB423">
        <v>0</v>
      </c>
      <c r="FC423">
        <v>0</v>
      </c>
      <c r="FE423" t="s">
        <v>1050</v>
      </c>
      <c r="FF423">
        <v>0</v>
      </c>
      <c r="FG423" t="s">
        <v>1050</v>
      </c>
      <c r="FJ423">
        <v>0</v>
      </c>
      <c r="FK423">
        <v>0</v>
      </c>
      <c r="FP423">
        <v>0</v>
      </c>
      <c r="FR423">
        <v>0</v>
      </c>
      <c r="FS423" t="s">
        <v>1043</v>
      </c>
      <c r="FX423" t="s">
        <v>1042</v>
      </c>
      <c r="FZ423" t="s">
        <v>1048</v>
      </c>
      <c r="GA423">
        <v>0</v>
      </c>
      <c r="GB423" t="s">
        <v>1042</v>
      </c>
      <c r="GE423">
        <v>0</v>
      </c>
      <c r="GG423">
        <v>0</v>
      </c>
      <c r="GN423">
        <v>0</v>
      </c>
      <c r="GO423" t="s">
        <v>1063</v>
      </c>
      <c r="GQ423">
        <v>0</v>
      </c>
      <c r="GU423">
        <v>0</v>
      </c>
      <c r="GY423" t="s">
        <v>1045</v>
      </c>
      <c r="HB423">
        <v>0</v>
      </c>
      <c r="HE423">
        <v>0</v>
      </c>
      <c r="HF423">
        <v>0</v>
      </c>
      <c r="HG423">
        <v>0</v>
      </c>
      <c r="HK423" t="s">
        <v>1042</v>
      </c>
      <c r="HM423" t="s">
        <v>1047</v>
      </c>
      <c r="HN423">
        <v>0</v>
      </c>
      <c r="HP423">
        <v>0</v>
      </c>
      <c r="HQ423">
        <v>0</v>
      </c>
      <c r="HR423" t="s">
        <v>1042</v>
      </c>
      <c r="HS423" t="s">
        <v>1043</v>
      </c>
      <c r="HT423">
        <v>0</v>
      </c>
      <c r="HU423">
        <v>0</v>
      </c>
      <c r="HW423">
        <v>0</v>
      </c>
      <c r="HX423">
        <v>0</v>
      </c>
      <c r="HY423">
        <v>0</v>
      </c>
      <c r="HZ423" t="s">
        <v>1045</v>
      </c>
      <c r="IA423">
        <v>0</v>
      </c>
      <c r="IB423" t="s">
        <v>1045</v>
      </c>
      <c r="ID423" t="s">
        <v>1045</v>
      </c>
      <c r="IF423">
        <v>0</v>
      </c>
      <c r="IG423" t="s">
        <v>1042</v>
      </c>
      <c r="II423" t="s">
        <v>1042</v>
      </c>
      <c r="IR423" t="s">
        <v>1045</v>
      </c>
      <c r="IT423">
        <v>0</v>
      </c>
      <c r="IY423" t="s">
        <v>1044</v>
      </c>
      <c r="IZ423" t="s">
        <v>1043</v>
      </c>
      <c r="JC423" t="s">
        <v>1043</v>
      </c>
      <c r="JE423">
        <v>0</v>
      </c>
      <c r="JF423">
        <v>0</v>
      </c>
      <c r="JI423" t="s">
        <v>1042</v>
      </c>
      <c r="JJ423">
        <v>0</v>
      </c>
      <c r="JK423">
        <v>0</v>
      </c>
      <c r="JL423">
        <v>0</v>
      </c>
      <c r="JM423">
        <v>0</v>
      </c>
      <c r="JQ423" t="s">
        <v>1043</v>
      </c>
      <c r="JT423">
        <v>0</v>
      </c>
      <c r="JU423" t="s">
        <v>1042</v>
      </c>
      <c r="JW423">
        <v>0</v>
      </c>
      <c r="KA423">
        <v>0</v>
      </c>
      <c r="KF423">
        <v>0</v>
      </c>
      <c r="KG423">
        <v>0</v>
      </c>
      <c r="KH423">
        <v>0</v>
      </c>
      <c r="KI423">
        <v>0</v>
      </c>
      <c r="KS423" t="s">
        <v>1073</v>
      </c>
      <c r="KT423">
        <v>0</v>
      </c>
      <c r="KU423">
        <v>0</v>
      </c>
      <c r="KV423">
        <v>0</v>
      </c>
      <c r="KX423">
        <v>0</v>
      </c>
      <c r="KZ423">
        <v>0</v>
      </c>
      <c r="LF423">
        <v>0</v>
      </c>
      <c r="LH423">
        <v>0</v>
      </c>
      <c r="LI423">
        <v>0</v>
      </c>
    </row>
    <row r="424" spans="1:321" x14ac:dyDescent="0.35">
      <c r="A424">
        <v>1</v>
      </c>
      <c r="B424">
        <v>12636</v>
      </c>
      <c r="C424" t="s">
        <v>1261</v>
      </c>
      <c r="D424" t="s">
        <v>1133</v>
      </c>
      <c r="E424" t="s">
        <v>85</v>
      </c>
      <c r="F424">
        <v>80</v>
      </c>
      <c r="G424">
        <v>9000</v>
      </c>
      <c r="H424">
        <v>0</v>
      </c>
      <c r="I424" t="s">
        <v>1050</v>
      </c>
      <c r="L424">
        <v>0</v>
      </c>
      <c r="M424">
        <v>0</v>
      </c>
      <c r="N424">
        <v>0</v>
      </c>
      <c r="R424">
        <v>0</v>
      </c>
      <c r="S424">
        <v>0</v>
      </c>
      <c r="W424" t="s">
        <v>1060</v>
      </c>
      <c r="X424">
        <v>0</v>
      </c>
      <c r="Z424">
        <v>1</v>
      </c>
      <c r="AA424">
        <v>0</v>
      </c>
      <c r="AB424">
        <v>0</v>
      </c>
      <c r="AC424">
        <v>0</v>
      </c>
      <c r="AD424" s="20">
        <v>40778</v>
      </c>
      <c r="AE424">
        <v>32.9</v>
      </c>
      <c r="AF424">
        <v>0</v>
      </c>
      <c r="AH424">
        <v>0</v>
      </c>
      <c r="AJ424">
        <v>0</v>
      </c>
      <c r="AL424">
        <v>0</v>
      </c>
      <c r="AM424">
        <v>0</v>
      </c>
      <c r="AN424">
        <v>16601001</v>
      </c>
      <c r="AO424">
        <v>0</v>
      </c>
      <c r="AP424">
        <v>1000</v>
      </c>
      <c r="AT424">
        <v>0</v>
      </c>
      <c r="AU424" t="s">
        <v>1059</v>
      </c>
      <c r="AW424" t="s">
        <v>1053</v>
      </c>
      <c r="AX424">
        <v>0</v>
      </c>
      <c r="AY424" s="20">
        <v>40799</v>
      </c>
      <c r="BA424" s="20">
        <v>40799</v>
      </c>
      <c r="BB424" t="s">
        <v>1058</v>
      </c>
      <c r="BD424">
        <v>0</v>
      </c>
      <c r="BF424" t="s">
        <v>1043</v>
      </c>
      <c r="BG424" t="s">
        <v>1042</v>
      </c>
      <c r="BH424">
        <v>0</v>
      </c>
      <c r="BI424">
        <v>1</v>
      </c>
      <c r="BJ424">
        <v>0</v>
      </c>
      <c r="BK424">
        <v>0</v>
      </c>
      <c r="BM424" t="s">
        <v>1042</v>
      </c>
      <c r="BN424">
        <v>0</v>
      </c>
      <c r="BR424" t="s">
        <v>1043</v>
      </c>
      <c r="BS424" t="s">
        <v>1043</v>
      </c>
      <c r="BT424" t="s">
        <v>1043</v>
      </c>
      <c r="BW424">
        <v>83</v>
      </c>
      <c r="CA424">
        <v>0</v>
      </c>
      <c r="CB424" t="s">
        <v>1057</v>
      </c>
      <c r="CE424" t="s">
        <v>1043</v>
      </c>
      <c r="CH424" t="s">
        <v>1043</v>
      </c>
      <c r="CN424" t="s">
        <v>1056</v>
      </c>
      <c r="CO424" t="s">
        <v>1043</v>
      </c>
      <c r="CP424">
        <v>1</v>
      </c>
      <c r="CQ424">
        <v>0</v>
      </c>
      <c r="CS424">
        <v>0</v>
      </c>
      <c r="CT424">
        <v>0</v>
      </c>
      <c r="CU424">
        <v>0</v>
      </c>
      <c r="CV424" t="s">
        <v>1045</v>
      </c>
      <c r="CW424">
        <v>0</v>
      </c>
      <c r="CX424">
        <v>0</v>
      </c>
      <c r="CY424">
        <v>0</v>
      </c>
      <c r="CZ424">
        <v>0</v>
      </c>
      <c r="DB424">
        <v>0</v>
      </c>
      <c r="DC424" t="s">
        <v>1043</v>
      </c>
      <c r="DF424" t="s">
        <v>1055</v>
      </c>
      <c r="DH424">
        <v>0</v>
      </c>
      <c r="DJ424">
        <v>0</v>
      </c>
      <c r="DK424" t="s">
        <v>1053</v>
      </c>
      <c r="DL424">
        <v>0</v>
      </c>
      <c r="DN424">
        <v>0</v>
      </c>
      <c r="DO424" t="s">
        <v>1042</v>
      </c>
      <c r="DP424">
        <v>0</v>
      </c>
      <c r="DQ424">
        <v>0</v>
      </c>
      <c r="DS424">
        <v>0</v>
      </c>
      <c r="DU424">
        <v>0</v>
      </c>
      <c r="DW424">
        <v>0</v>
      </c>
      <c r="DX424" t="s">
        <v>1043</v>
      </c>
      <c r="DY424">
        <v>0</v>
      </c>
      <c r="DZ424">
        <v>0</v>
      </c>
      <c r="EA424">
        <v>0</v>
      </c>
      <c r="ED424" t="s">
        <v>1045</v>
      </c>
      <c r="EE424">
        <v>0</v>
      </c>
      <c r="EF424">
        <v>0</v>
      </c>
      <c r="EQ424" t="s">
        <v>1044</v>
      </c>
      <c r="ES424" t="s">
        <v>1053</v>
      </c>
      <c r="ET424">
        <v>0</v>
      </c>
      <c r="EV424">
        <v>0</v>
      </c>
      <c r="EY424" t="s">
        <v>1052</v>
      </c>
      <c r="EZ424">
        <v>0</v>
      </c>
      <c r="FA424" t="s">
        <v>1043</v>
      </c>
      <c r="FB424">
        <v>0</v>
      </c>
      <c r="FC424">
        <v>0</v>
      </c>
      <c r="FE424" t="s">
        <v>1050</v>
      </c>
      <c r="FF424">
        <v>0</v>
      </c>
      <c r="FG424" t="s">
        <v>1050</v>
      </c>
      <c r="FJ424">
        <v>0</v>
      </c>
      <c r="FK424">
        <v>0</v>
      </c>
      <c r="FP424">
        <v>0</v>
      </c>
      <c r="FR424">
        <v>0</v>
      </c>
      <c r="FS424" t="s">
        <v>1043</v>
      </c>
      <c r="FX424" t="s">
        <v>1042</v>
      </c>
      <c r="FZ424" t="s">
        <v>1048</v>
      </c>
      <c r="GA424">
        <v>0</v>
      </c>
      <c r="GB424" t="s">
        <v>1042</v>
      </c>
      <c r="GE424">
        <v>0</v>
      </c>
      <c r="GG424">
        <v>0</v>
      </c>
      <c r="GN424">
        <v>0</v>
      </c>
      <c r="GO424" t="s">
        <v>1063</v>
      </c>
      <c r="GQ424">
        <v>0</v>
      </c>
      <c r="GU424">
        <v>0</v>
      </c>
      <c r="GY424" t="s">
        <v>1045</v>
      </c>
      <c r="HB424">
        <v>0</v>
      </c>
      <c r="HE424">
        <v>0</v>
      </c>
      <c r="HF424">
        <v>0</v>
      </c>
      <c r="HG424">
        <v>0</v>
      </c>
      <c r="HK424" t="s">
        <v>1042</v>
      </c>
      <c r="HM424" t="s">
        <v>1047</v>
      </c>
      <c r="HN424">
        <v>0</v>
      </c>
      <c r="HP424">
        <v>0</v>
      </c>
      <c r="HQ424">
        <v>0</v>
      </c>
      <c r="HR424" t="s">
        <v>1042</v>
      </c>
      <c r="HS424" t="s">
        <v>1043</v>
      </c>
      <c r="HT424">
        <v>0</v>
      </c>
      <c r="HU424">
        <v>0</v>
      </c>
      <c r="HW424">
        <v>0</v>
      </c>
      <c r="HX424">
        <v>0</v>
      </c>
      <c r="HY424">
        <v>0</v>
      </c>
      <c r="HZ424" t="s">
        <v>1045</v>
      </c>
      <c r="IA424">
        <v>0</v>
      </c>
      <c r="IB424" t="s">
        <v>1045</v>
      </c>
      <c r="ID424" t="s">
        <v>1045</v>
      </c>
      <c r="IF424">
        <v>0</v>
      </c>
      <c r="IG424" t="s">
        <v>1042</v>
      </c>
      <c r="II424" t="s">
        <v>1042</v>
      </c>
      <c r="IR424" t="s">
        <v>1045</v>
      </c>
      <c r="IT424">
        <v>0</v>
      </c>
      <c r="IY424" t="s">
        <v>1044</v>
      </c>
      <c r="IZ424" t="s">
        <v>1043</v>
      </c>
      <c r="JC424" t="s">
        <v>1043</v>
      </c>
      <c r="JE424">
        <v>0</v>
      </c>
      <c r="JF424">
        <v>0</v>
      </c>
      <c r="JI424" t="s">
        <v>1042</v>
      </c>
      <c r="JJ424">
        <v>0</v>
      </c>
      <c r="JK424">
        <v>0</v>
      </c>
      <c r="JL424">
        <v>0</v>
      </c>
      <c r="JM424">
        <v>0</v>
      </c>
      <c r="JQ424" t="s">
        <v>1043</v>
      </c>
      <c r="JT424">
        <v>0</v>
      </c>
      <c r="JU424" t="s">
        <v>1042</v>
      </c>
      <c r="JW424">
        <v>0</v>
      </c>
      <c r="KA424">
        <v>0</v>
      </c>
      <c r="KF424">
        <v>0</v>
      </c>
      <c r="KG424">
        <v>0</v>
      </c>
      <c r="KH424">
        <v>0</v>
      </c>
      <c r="KI424">
        <v>0</v>
      </c>
      <c r="KS424" t="s">
        <v>1073</v>
      </c>
      <c r="KT424">
        <v>0</v>
      </c>
      <c r="KU424">
        <v>0</v>
      </c>
      <c r="KV424">
        <v>0</v>
      </c>
      <c r="KX424">
        <v>0</v>
      </c>
      <c r="KZ424">
        <v>0</v>
      </c>
      <c r="LF424">
        <v>0</v>
      </c>
      <c r="LH424">
        <v>0</v>
      </c>
      <c r="LI424">
        <v>0</v>
      </c>
    </row>
    <row r="425" spans="1:321" x14ac:dyDescent="0.35">
      <c r="A425">
        <v>1</v>
      </c>
      <c r="B425">
        <v>12637</v>
      </c>
      <c r="C425" t="s">
        <v>1260</v>
      </c>
      <c r="D425" t="s">
        <v>1133</v>
      </c>
      <c r="E425" t="s">
        <v>1165</v>
      </c>
      <c r="F425">
        <v>80</v>
      </c>
      <c r="G425">
        <v>9000</v>
      </c>
      <c r="H425">
        <v>0</v>
      </c>
      <c r="I425" t="s">
        <v>1259</v>
      </c>
      <c r="L425">
        <v>0</v>
      </c>
      <c r="M425">
        <v>0</v>
      </c>
      <c r="N425">
        <v>0</v>
      </c>
      <c r="R425">
        <v>0</v>
      </c>
      <c r="S425">
        <v>0</v>
      </c>
      <c r="W425" t="s">
        <v>1060</v>
      </c>
      <c r="X425">
        <v>0</v>
      </c>
      <c r="Z425">
        <v>1</v>
      </c>
      <c r="AA425">
        <v>0</v>
      </c>
      <c r="AB425">
        <v>0</v>
      </c>
      <c r="AC425">
        <v>0</v>
      </c>
      <c r="AD425" s="20">
        <v>40777</v>
      </c>
      <c r="AE425">
        <v>48</v>
      </c>
      <c r="AF425">
        <v>0</v>
      </c>
      <c r="AH425">
        <v>0</v>
      </c>
      <c r="AJ425">
        <v>0</v>
      </c>
      <c r="AL425">
        <v>1</v>
      </c>
      <c r="AM425">
        <v>0</v>
      </c>
      <c r="AN425">
        <v>16601003</v>
      </c>
      <c r="AO425">
        <v>0</v>
      </c>
      <c r="AP425">
        <v>1000</v>
      </c>
      <c r="AT425">
        <v>0</v>
      </c>
      <c r="AU425" t="s">
        <v>1059</v>
      </c>
      <c r="AW425" t="s">
        <v>1053</v>
      </c>
      <c r="AX425">
        <v>0</v>
      </c>
      <c r="AY425" s="20">
        <v>40800</v>
      </c>
      <c r="BA425" s="20">
        <v>40800</v>
      </c>
      <c r="BB425" t="s">
        <v>1058</v>
      </c>
      <c r="BD425">
        <v>0</v>
      </c>
      <c r="BF425" t="s">
        <v>1043</v>
      </c>
      <c r="BG425" t="s">
        <v>1042</v>
      </c>
      <c r="BH425">
        <v>0</v>
      </c>
      <c r="BI425">
        <v>1</v>
      </c>
      <c r="BJ425">
        <v>0</v>
      </c>
      <c r="BK425">
        <v>0</v>
      </c>
      <c r="BM425" s="20">
        <v>41500</v>
      </c>
      <c r="BN425">
        <v>0</v>
      </c>
      <c r="BR425" t="s">
        <v>1043</v>
      </c>
      <c r="BS425" t="s">
        <v>1043</v>
      </c>
      <c r="BT425" t="s">
        <v>1043</v>
      </c>
      <c r="BW425">
        <v>83</v>
      </c>
      <c r="CA425">
        <v>0</v>
      </c>
      <c r="CB425" t="s">
        <v>1057</v>
      </c>
      <c r="CE425" t="s">
        <v>1043</v>
      </c>
      <c r="CH425" t="s">
        <v>1043</v>
      </c>
      <c r="CN425" t="s">
        <v>1056</v>
      </c>
      <c r="CO425" t="s">
        <v>1043</v>
      </c>
      <c r="CP425">
        <v>1</v>
      </c>
      <c r="CQ425">
        <v>0</v>
      </c>
      <c r="CS425">
        <v>0</v>
      </c>
      <c r="CT425">
        <v>0</v>
      </c>
      <c r="CU425">
        <v>0</v>
      </c>
      <c r="CV425" t="s">
        <v>1045</v>
      </c>
      <c r="CW425">
        <v>0</v>
      </c>
      <c r="CX425">
        <v>0</v>
      </c>
      <c r="CY425">
        <v>0</v>
      </c>
      <c r="CZ425">
        <v>0</v>
      </c>
      <c r="DB425">
        <v>0</v>
      </c>
      <c r="DC425" t="s">
        <v>1043</v>
      </c>
      <c r="DF425" t="s">
        <v>1055</v>
      </c>
      <c r="DH425">
        <v>0</v>
      </c>
      <c r="DJ425">
        <v>0</v>
      </c>
      <c r="DK425" t="s">
        <v>1053</v>
      </c>
      <c r="DL425">
        <v>0</v>
      </c>
      <c r="DN425">
        <v>0</v>
      </c>
      <c r="DO425" t="s">
        <v>1042</v>
      </c>
      <c r="DP425">
        <v>0</v>
      </c>
      <c r="DQ425">
        <v>0</v>
      </c>
      <c r="DS425">
        <v>0</v>
      </c>
      <c r="DU425">
        <v>0</v>
      </c>
      <c r="DW425">
        <v>0</v>
      </c>
      <c r="DX425" t="s">
        <v>1043</v>
      </c>
      <c r="DY425">
        <v>0</v>
      </c>
      <c r="DZ425">
        <v>0</v>
      </c>
      <c r="EA425">
        <v>0</v>
      </c>
      <c r="ED425" t="s">
        <v>1045</v>
      </c>
      <c r="EE425">
        <v>0</v>
      </c>
      <c r="EF425">
        <v>0</v>
      </c>
      <c r="EQ425" t="s">
        <v>1044</v>
      </c>
      <c r="ES425" t="s">
        <v>1053</v>
      </c>
      <c r="ET425">
        <v>0</v>
      </c>
      <c r="EV425">
        <v>0</v>
      </c>
      <c r="EY425" t="s">
        <v>1052</v>
      </c>
      <c r="EZ425">
        <v>0</v>
      </c>
      <c r="FA425" t="s">
        <v>1043</v>
      </c>
      <c r="FB425">
        <v>0</v>
      </c>
      <c r="FC425">
        <v>0</v>
      </c>
      <c r="FE425" t="s">
        <v>1050</v>
      </c>
      <c r="FF425">
        <v>0</v>
      </c>
      <c r="FG425" t="s">
        <v>1050</v>
      </c>
      <c r="FJ425">
        <v>0</v>
      </c>
      <c r="FK425">
        <v>0</v>
      </c>
      <c r="FP425">
        <v>0</v>
      </c>
      <c r="FR425">
        <v>0</v>
      </c>
      <c r="FS425" t="s">
        <v>1043</v>
      </c>
      <c r="FX425" t="s">
        <v>1042</v>
      </c>
      <c r="FZ425" t="s">
        <v>1048</v>
      </c>
      <c r="GA425">
        <v>0</v>
      </c>
      <c r="GB425" t="s">
        <v>1042</v>
      </c>
      <c r="GE425">
        <v>0</v>
      </c>
      <c r="GG425">
        <v>0</v>
      </c>
      <c r="GN425">
        <v>0</v>
      </c>
      <c r="GO425" t="s">
        <v>1063</v>
      </c>
      <c r="GQ425">
        <v>0</v>
      </c>
      <c r="GU425">
        <v>0</v>
      </c>
      <c r="GY425" t="s">
        <v>1045</v>
      </c>
      <c r="HB425">
        <v>0</v>
      </c>
      <c r="HE425">
        <v>0</v>
      </c>
      <c r="HF425">
        <v>0</v>
      </c>
      <c r="HG425">
        <v>0</v>
      </c>
      <c r="HK425" t="s">
        <v>1042</v>
      </c>
      <c r="HM425" t="s">
        <v>1047</v>
      </c>
      <c r="HN425">
        <v>0</v>
      </c>
      <c r="HP425">
        <v>0</v>
      </c>
      <c r="HQ425">
        <v>0</v>
      </c>
      <c r="HR425" t="s">
        <v>1042</v>
      </c>
      <c r="HS425" t="s">
        <v>1043</v>
      </c>
      <c r="HT425">
        <v>0</v>
      </c>
      <c r="HU425">
        <v>0</v>
      </c>
      <c r="HW425">
        <v>0</v>
      </c>
      <c r="HX425">
        <v>0</v>
      </c>
      <c r="HY425">
        <v>0</v>
      </c>
      <c r="HZ425" t="s">
        <v>1045</v>
      </c>
      <c r="IA425">
        <v>0</v>
      </c>
      <c r="IB425" t="s">
        <v>1045</v>
      </c>
      <c r="ID425" t="s">
        <v>1045</v>
      </c>
      <c r="IF425">
        <v>0</v>
      </c>
      <c r="IG425" t="s">
        <v>1042</v>
      </c>
      <c r="II425" t="s">
        <v>1042</v>
      </c>
      <c r="IR425" t="s">
        <v>1045</v>
      </c>
      <c r="IT425">
        <v>0</v>
      </c>
      <c r="IY425" t="s">
        <v>1044</v>
      </c>
      <c r="IZ425" t="s">
        <v>1043</v>
      </c>
      <c r="JC425" t="s">
        <v>1043</v>
      </c>
      <c r="JE425">
        <v>0</v>
      </c>
      <c r="JF425">
        <v>0</v>
      </c>
      <c r="JI425" t="s">
        <v>1042</v>
      </c>
      <c r="JJ425">
        <v>0</v>
      </c>
      <c r="JK425">
        <v>0</v>
      </c>
      <c r="JL425">
        <v>0</v>
      </c>
      <c r="JM425">
        <v>0</v>
      </c>
      <c r="JQ425" t="s">
        <v>1043</v>
      </c>
      <c r="JT425">
        <v>0</v>
      </c>
      <c r="JU425" t="s">
        <v>1042</v>
      </c>
      <c r="JW425">
        <v>0</v>
      </c>
      <c r="KA425">
        <v>0</v>
      </c>
      <c r="KF425">
        <v>0</v>
      </c>
      <c r="KG425">
        <v>0</v>
      </c>
      <c r="KH425">
        <v>0</v>
      </c>
      <c r="KI425">
        <v>0</v>
      </c>
      <c r="KS425" t="s">
        <v>1073</v>
      </c>
      <c r="KT425">
        <v>0</v>
      </c>
      <c r="KU425">
        <v>0</v>
      </c>
      <c r="KV425">
        <v>0</v>
      </c>
      <c r="KX425">
        <v>0</v>
      </c>
      <c r="KZ425">
        <v>0</v>
      </c>
      <c r="LF425">
        <v>0</v>
      </c>
      <c r="LH425">
        <v>0</v>
      </c>
      <c r="LI425">
        <v>0</v>
      </c>
    </row>
    <row r="426" spans="1:321" x14ac:dyDescent="0.35">
      <c r="A426">
        <v>1</v>
      </c>
      <c r="B426">
        <v>12638</v>
      </c>
      <c r="C426" t="s">
        <v>1258</v>
      </c>
      <c r="D426" t="s">
        <v>1139</v>
      </c>
      <c r="E426" t="s">
        <v>85</v>
      </c>
      <c r="F426">
        <v>80</v>
      </c>
      <c r="G426">
        <v>9000</v>
      </c>
      <c r="H426">
        <v>0</v>
      </c>
      <c r="I426" t="s">
        <v>1050</v>
      </c>
      <c r="L426">
        <v>0</v>
      </c>
      <c r="M426">
        <v>0</v>
      </c>
      <c r="N426">
        <v>0</v>
      </c>
      <c r="R426">
        <v>0</v>
      </c>
      <c r="S426">
        <v>0</v>
      </c>
      <c r="W426" t="s">
        <v>1060</v>
      </c>
      <c r="X426">
        <v>0</v>
      </c>
      <c r="Z426">
        <v>1</v>
      </c>
      <c r="AA426">
        <v>0</v>
      </c>
      <c r="AB426">
        <v>0</v>
      </c>
      <c r="AC426">
        <v>0</v>
      </c>
      <c r="AD426" s="20">
        <v>40800</v>
      </c>
      <c r="AE426">
        <v>202</v>
      </c>
      <c r="AF426">
        <v>0</v>
      </c>
      <c r="AH426">
        <v>0</v>
      </c>
      <c r="AJ426">
        <v>0</v>
      </c>
      <c r="AL426">
        <v>0</v>
      </c>
      <c r="AM426">
        <v>0</v>
      </c>
      <c r="AN426">
        <v>16301005</v>
      </c>
      <c r="AO426">
        <v>0</v>
      </c>
      <c r="AP426">
        <v>1000</v>
      </c>
      <c r="AT426">
        <v>0</v>
      </c>
      <c r="AU426" t="s">
        <v>1059</v>
      </c>
      <c r="AW426" t="s">
        <v>1053</v>
      </c>
      <c r="AX426">
        <v>0</v>
      </c>
      <c r="AY426" s="20">
        <v>40800</v>
      </c>
      <c r="BA426" s="20">
        <v>40800</v>
      </c>
      <c r="BB426" t="s">
        <v>1058</v>
      </c>
      <c r="BD426">
        <v>0</v>
      </c>
      <c r="BF426" t="s">
        <v>1043</v>
      </c>
      <c r="BG426" t="s">
        <v>1042</v>
      </c>
      <c r="BH426">
        <v>0</v>
      </c>
      <c r="BI426">
        <v>1</v>
      </c>
      <c r="BJ426">
        <v>0</v>
      </c>
      <c r="BK426">
        <v>0</v>
      </c>
      <c r="BM426" t="s">
        <v>1042</v>
      </c>
      <c r="BN426">
        <v>0</v>
      </c>
      <c r="BR426" t="s">
        <v>1043</v>
      </c>
      <c r="BS426" t="s">
        <v>1043</v>
      </c>
      <c r="BT426" t="s">
        <v>1043</v>
      </c>
      <c r="BW426">
        <v>83</v>
      </c>
      <c r="CA426">
        <v>0</v>
      </c>
      <c r="CB426" t="s">
        <v>1057</v>
      </c>
      <c r="CE426" t="s">
        <v>1043</v>
      </c>
      <c r="CH426" t="s">
        <v>1043</v>
      </c>
      <c r="CN426" t="s">
        <v>1056</v>
      </c>
      <c r="CO426" t="s">
        <v>1043</v>
      </c>
      <c r="CP426">
        <v>1</v>
      </c>
      <c r="CQ426">
        <v>0</v>
      </c>
      <c r="CS426">
        <v>0</v>
      </c>
      <c r="CT426">
        <v>0</v>
      </c>
      <c r="CU426">
        <v>0</v>
      </c>
      <c r="CV426" t="s">
        <v>1045</v>
      </c>
      <c r="CW426">
        <v>0</v>
      </c>
      <c r="CX426">
        <v>0</v>
      </c>
      <c r="CY426">
        <v>0</v>
      </c>
      <c r="CZ426">
        <v>0</v>
      </c>
      <c r="DB426">
        <v>0</v>
      </c>
      <c r="DC426" t="s">
        <v>1043</v>
      </c>
      <c r="DF426" t="s">
        <v>1055</v>
      </c>
      <c r="DH426">
        <v>0</v>
      </c>
      <c r="DJ426">
        <v>0</v>
      </c>
      <c r="DK426" t="s">
        <v>1053</v>
      </c>
      <c r="DL426">
        <v>0</v>
      </c>
      <c r="DN426">
        <v>0</v>
      </c>
      <c r="DO426" t="s">
        <v>1042</v>
      </c>
      <c r="DP426">
        <v>0</v>
      </c>
      <c r="DQ426">
        <v>0</v>
      </c>
      <c r="DS426">
        <v>0</v>
      </c>
      <c r="DU426">
        <v>0</v>
      </c>
      <c r="DW426">
        <v>0</v>
      </c>
      <c r="DX426" t="s">
        <v>1043</v>
      </c>
      <c r="DY426">
        <v>0</v>
      </c>
      <c r="DZ426">
        <v>0</v>
      </c>
      <c r="EA426">
        <v>0</v>
      </c>
      <c r="ED426" t="s">
        <v>1045</v>
      </c>
      <c r="EE426">
        <v>0</v>
      </c>
      <c r="EF426">
        <v>0</v>
      </c>
      <c r="EQ426" t="s">
        <v>1044</v>
      </c>
      <c r="ES426" t="s">
        <v>1053</v>
      </c>
      <c r="ET426">
        <v>0</v>
      </c>
      <c r="EV426">
        <v>0</v>
      </c>
      <c r="EY426" t="s">
        <v>1052</v>
      </c>
      <c r="EZ426">
        <v>0</v>
      </c>
      <c r="FA426" t="s">
        <v>1043</v>
      </c>
      <c r="FB426">
        <v>0</v>
      </c>
      <c r="FC426">
        <v>0</v>
      </c>
      <c r="FE426" t="s">
        <v>1050</v>
      </c>
      <c r="FF426">
        <v>0</v>
      </c>
      <c r="FG426" t="s">
        <v>1050</v>
      </c>
      <c r="FJ426">
        <v>0</v>
      </c>
      <c r="FK426">
        <v>0</v>
      </c>
      <c r="FP426">
        <v>0</v>
      </c>
      <c r="FR426">
        <v>0</v>
      </c>
      <c r="FS426" t="s">
        <v>1043</v>
      </c>
      <c r="FX426" t="s">
        <v>1042</v>
      </c>
      <c r="FZ426" t="s">
        <v>1048</v>
      </c>
      <c r="GA426">
        <v>0</v>
      </c>
      <c r="GB426" t="s">
        <v>1042</v>
      </c>
      <c r="GE426">
        <v>0</v>
      </c>
      <c r="GG426">
        <v>0</v>
      </c>
      <c r="GN426">
        <v>0</v>
      </c>
      <c r="GO426" t="s">
        <v>1063</v>
      </c>
      <c r="GQ426">
        <v>0</v>
      </c>
      <c r="GU426">
        <v>0</v>
      </c>
      <c r="GY426" t="s">
        <v>1045</v>
      </c>
      <c r="HB426">
        <v>0</v>
      </c>
      <c r="HE426">
        <v>0</v>
      </c>
      <c r="HF426">
        <v>0</v>
      </c>
      <c r="HG426">
        <v>0</v>
      </c>
      <c r="HK426" t="s">
        <v>1042</v>
      </c>
      <c r="HM426" t="s">
        <v>1047</v>
      </c>
      <c r="HN426">
        <v>0</v>
      </c>
      <c r="HP426">
        <v>0</v>
      </c>
      <c r="HQ426">
        <v>0</v>
      </c>
      <c r="HR426" t="s">
        <v>1042</v>
      </c>
      <c r="HS426" t="s">
        <v>1043</v>
      </c>
      <c r="HT426">
        <v>0</v>
      </c>
      <c r="HU426">
        <v>0</v>
      </c>
      <c r="HW426">
        <v>0</v>
      </c>
      <c r="HX426">
        <v>0</v>
      </c>
      <c r="HY426">
        <v>0</v>
      </c>
      <c r="HZ426" t="s">
        <v>1045</v>
      </c>
      <c r="IA426">
        <v>0</v>
      </c>
      <c r="IB426" t="s">
        <v>1045</v>
      </c>
      <c r="ID426" t="s">
        <v>1045</v>
      </c>
      <c r="IF426">
        <v>0</v>
      </c>
      <c r="IG426" t="s">
        <v>1042</v>
      </c>
      <c r="II426" t="s">
        <v>1042</v>
      </c>
      <c r="IR426" t="s">
        <v>1045</v>
      </c>
      <c r="IT426">
        <v>0</v>
      </c>
      <c r="IY426" t="s">
        <v>1044</v>
      </c>
      <c r="IZ426" t="s">
        <v>1043</v>
      </c>
      <c r="JC426" t="s">
        <v>1043</v>
      </c>
      <c r="JE426">
        <v>0</v>
      </c>
      <c r="JF426">
        <v>0</v>
      </c>
      <c r="JI426" t="s">
        <v>1042</v>
      </c>
      <c r="JJ426">
        <v>0</v>
      </c>
      <c r="JK426">
        <v>0</v>
      </c>
      <c r="JL426">
        <v>0</v>
      </c>
      <c r="JM426">
        <v>0</v>
      </c>
      <c r="JQ426" t="s">
        <v>1043</v>
      </c>
      <c r="JT426">
        <v>0</v>
      </c>
      <c r="JU426" t="s">
        <v>1042</v>
      </c>
      <c r="JW426">
        <v>0</v>
      </c>
      <c r="KA426">
        <v>0</v>
      </c>
      <c r="KF426">
        <v>0</v>
      </c>
      <c r="KG426">
        <v>0</v>
      </c>
      <c r="KH426">
        <v>0</v>
      </c>
      <c r="KI426">
        <v>0</v>
      </c>
      <c r="KS426" t="s">
        <v>1073</v>
      </c>
      <c r="KT426">
        <v>0</v>
      </c>
      <c r="KU426">
        <v>0</v>
      </c>
      <c r="KV426">
        <v>0</v>
      </c>
      <c r="KX426">
        <v>0</v>
      </c>
      <c r="KZ426">
        <v>0</v>
      </c>
      <c r="LF426">
        <v>0</v>
      </c>
      <c r="LH426">
        <v>0</v>
      </c>
      <c r="LI426">
        <v>0</v>
      </c>
    </row>
    <row r="427" spans="1:321" x14ac:dyDescent="0.35">
      <c r="A427">
        <v>1</v>
      </c>
      <c r="B427">
        <v>12639</v>
      </c>
      <c r="C427" t="s">
        <v>1257</v>
      </c>
      <c r="D427" t="s">
        <v>1139</v>
      </c>
      <c r="E427" t="s">
        <v>85</v>
      </c>
      <c r="F427">
        <v>80</v>
      </c>
      <c r="G427">
        <v>9000</v>
      </c>
      <c r="H427">
        <v>0</v>
      </c>
      <c r="I427" t="s">
        <v>1050</v>
      </c>
      <c r="L427">
        <v>0</v>
      </c>
      <c r="M427">
        <v>0</v>
      </c>
      <c r="N427">
        <v>0</v>
      </c>
      <c r="R427">
        <v>0</v>
      </c>
      <c r="S427">
        <v>0</v>
      </c>
      <c r="W427" t="s">
        <v>1060</v>
      </c>
      <c r="X427">
        <v>0</v>
      </c>
      <c r="Z427">
        <v>1</v>
      </c>
      <c r="AA427">
        <v>0</v>
      </c>
      <c r="AB427">
        <v>0</v>
      </c>
      <c r="AC427">
        <v>0</v>
      </c>
      <c r="AD427" s="20">
        <v>40802</v>
      </c>
      <c r="AE427">
        <v>2076</v>
      </c>
      <c r="AF427">
        <v>0</v>
      </c>
      <c r="AH427">
        <v>0</v>
      </c>
      <c r="AJ427">
        <v>0</v>
      </c>
      <c r="AL427">
        <v>0</v>
      </c>
      <c r="AM427">
        <v>0</v>
      </c>
      <c r="AN427">
        <v>16301005</v>
      </c>
      <c r="AO427">
        <v>0</v>
      </c>
      <c r="AP427">
        <v>1001</v>
      </c>
      <c r="AT427">
        <v>0</v>
      </c>
      <c r="AU427" t="s">
        <v>1059</v>
      </c>
      <c r="AW427" t="s">
        <v>1053</v>
      </c>
      <c r="AX427">
        <v>0</v>
      </c>
      <c r="AY427" s="20">
        <v>40800</v>
      </c>
      <c r="BA427" s="20">
        <v>40800</v>
      </c>
      <c r="BB427" t="s">
        <v>1058</v>
      </c>
      <c r="BD427">
        <v>0</v>
      </c>
      <c r="BF427" t="s">
        <v>1043</v>
      </c>
      <c r="BG427" t="s">
        <v>1042</v>
      </c>
      <c r="BH427">
        <v>0</v>
      </c>
      <c r="BI427">
        <v>1</v>
      </c>
      <c r="BJ427">
        <v>0</v>
      </c>
      <c r="BK427">
        <v>0</v>
      </c>
      <c r="BM427" t="s">
        <v>1042</v>
      </c>
      <c r="BN427">
        <v>0</v>
      </c>
      <c r="BR427" t="s">
        <v>1043</v>
      </c>
      <c r="BS427" t="s">
        <v>1043</v>
      </c>
      <c r="BT427" t="s">
        <v>1043</v>
      </c>
      <c r="BW427">
        <v>83</v>
      </c>
      <c r="CA427">
        <v>0</v>
      </c>
      <c r="CB427" t="s">
        <v>1057</v>
      </c>
      <c r="CE427" t="s">
        <v>1043</v>
      </c>
      <c r="CH427" t="s">
        <v>1043</v>
      </c>
      <c r="CN427" t="s">
        <v>1056</v>
      </c>
      <c r="CO427" t="s">
        <v>1043</v>
      </c>
      <c r="CP427">
        <v>1</v>
      </c>
      <c r="CQ427">
        <v>0</v>
      </c>
      <c r="CS427">
        <v>0</v>
      </c>
      <c r="CT427">
        <v>0</v>
      </c>
      <c r="CU427">
        <v>0</v>
      </c>
      <c r="CV427" t="s">
        <v>1045</v>
      </c>
      <c r="CW427">
        <v>0</v>
      </c>
      <c r="CX427">
        <v>0</v>
      </c>
      <c r="CY427">
        <v>0</v>
      </c>
      <c r="CZ427">
        <v>0</v>
      </c>
      <c r="DB427">
        <v>0</v>
      </c>
      <c r="DC427" t="s">
        <v>1043</v>
      </c>
      <c r="DF427" t="s">
        <v>1055</v>
      </c>
      <c r="DH427">
        <v>0</v>
      </c>
      <c r="DJ427">
        <v>0</v>
      </c>
      <c r="DK427" t="s">
        <v>1053</v>
      </c>
      <c r="DL427">
        <v>0</v>
      </c>
      <c r="DN427">
        <v>0</v>
      </c>
      <c r="DO427" t="s">
        <v>1042</v>
      </c>
      <c r="DP427">
        <v>0</v>
      </c>
      <c r="DQ427">
        <v>0</v>
      </c>
      <c r="DS427">
        <v>0</v>
      </c>
      <c r="DU427">
        <v>0</v>
      </c>
      <c r="DW427">
        <v>0</v>
      </c>
      <c r="DX427" t="s">
        <v>1043</v>
      </c>
      <c r="DY427">
        <v>0</v>
      </c>
      <c r="DZ427">
        <v>0</v>
      </c>
      <c r="EA427">
        <v>0</v>
      </c>
      <c r="ED427" t="s">
        <v>1045</v>
      </c>
      <c r="EE427">
        <v>0</v>
      </c>
      <c r="EF427">
        <v>0</v>
      </c>
      <c r="EQ427" t="s">
        <v>1044</v>
      </c>
      <c r="ES427" t="s">
        <v>1053</v>
      </c>
      <c r="ET427">
        <v>0</v>
      </c>
      <c r="EV427">
        <v>0</v>
      </c>
      <c r="EY427" t="s">
        <v>1052</v>
      </c>
      <c r="EZ427">
        <v>0</v>
      </c>
      <c r="FA427" t="s">
        <v>1043</v>
      </c>
      <c r="FB427">
        <v>0</v>
      </c>
      <c r="FC427">
        <v>0</v>
      </c>
      <c r="FE427" t="s">
        <v>1050</v>
      </c>
      <c r="FF427">
        <v>0</v>
      </c>
      <c r="FG427" t="s">
        <v>1050</v>
      </c>
      <c r="FJ427">
        <v>0</v>
      </c>
      <c r="FK427">
        <v>0</v>
      </c>
      <c r="FP427">
        <v>0</v>
      </c>
      <c r="FR427">
        <v>0</v>
      </c>
      <c r="FS427" t="s">
        <v>1043</v>
      </c>
      <c r="FX427" t="s">
        <v>1042</v>
      </c>
      <c r="FZ427" t="s">
        <v>1048</v>
      </c>
      <c r="GA427">
        <v>0</v>
      </c>
      <c r="GB427" t="s">
        <v>1042</v>
      </c>
      <c r="GE427">
        <v>0</v>
      </c>
      <c r="GG427">
        <v>0</v>
      </c>
      <c r="GN427">
        <v>0</v>
      </c>
      <c r="GO427" t="s">
        <v>1063</v>
      </c>
      <c r="GQ427">
        <v>0</v>
      </c>
      <c r="GU427">
        <v>0</v>
      </c>
      <c r="GY427" t="s">
        <v>1045</v>
      </c>
      <c r="HB427">
        <v>0</v>
      </c>
      <c r="HE427">
        <v>0</v>
      </c>
      <c r="HF427">
        <v>0</v>
      </c>
      <c r="HG427">
        <v>0</v>
      </c>
      <c r="HK427" t="s">
        <v>1042</v>
      </c>
      <c r="HM427" t="s">
        <v>1047</v>
      </c>
      <c r="HN427">
        <v>0</v>
      </c>
      <c r="HP427">
        <v>0</v>
      </c>
      <c r="HQ427">
        <v>0</v>
      </c>
      <c r="HR427" t="s">
        <v>1042</v>
      </c>
      <c r="HS427" t="s">
        <v>1043</v>
      </c>
      <c r="HT427">
        <v>0</v>
      </c>
      <c r="HU427">
        <v>0</v>
      </c>
      <c r="HW427">
        <v>0</v>
      </c>
      <c r="HX427">
        <v>0</v>
      </c>
      <c r="HY427">
        <v>0</v>
      </c>
      <c r="HZ427" t="s">
        <v>1045</v>
      </c>
      <c r="IA427">
        <v>0</v>
      </c>
      <c r="IB427" t="s">
        <v>1045</v>
      </c>
      <c r="ID427" t="s">
        <v>1045</v>
      </c>
      <c r="IF427">
        <v>0</v>
      </c>
      <c r="IG427" t="s">
        <v>1042</v>
      </c>
      <c r="II427" t="s">
        <v>1042</v>
      </c>
      <c r="IR427" t="s">
        <v>1045</v>
      </c>
      <c r="IT427">
        <v>0</v>
      </c>
      <c r="IY427" t="s">
        <v>1044</v>
      </c>
      <c r="IZ427" t="s">
        <v>1043</v>
      </c>
      <c r="JC427" t="s">
        <v>1043</v>
      </c>
      <c r="JE427">
        <v>0</v>
      </c>
      <c r="JF427">
        <v>0</v>
      </c>
      <c r="JI427" t="s">
        <v>1042</v>
      </c>
      <c r="JJ427">
        <v>0</v>
      </c>
      <c r="JK427">
        <v>0</v>
      </c>
      <c r="JL427">
        <v>0</v>
      </c>
      <c r="JM427">
        <v>0</v>
      </c>
      <c r="JQ427" t="s">
        <v>1043</v>
      </c>
      <c r="JT427">
        <v>0</v>
      </c>
      <c r="JU427" t="s">
        <v>1042</v>
      </c>
      <c r="JW427">
        <v>0</v>
      </c>
      <c r="KA427">
        <v>0</v>
      </c>
      <c r="KF427">
        <v>0</v>
      </c>
      <c r="KG427">
        <v>0</v>
      </c>
      <c r="KH427">
        <v>0</v>
      </c>
      <c r="KI427">
        <v>0</v>
      </c>
      <c r="KS427" t="s">
        <v>1073</v>
      </c>
      <c r="KT427">
        <v>0</v>
      </c>
      <c r="KU427">
        <v>0</v>
      </c>
      <c r="KV427">
        <v>0</v>
      </c>
      <c r="KX427">
        <v>0</v>
      </c>
      <c r="KZ427">
        <v>0</v>
      </c>
      <c r="LF427">
        <v>0</v>
      </c>
      <c r="LH427">
        <v>0</v>
      </c>
      <c r="LI427">
        <v>0</v>
      </c>
    </row>
    <row r="428" spans="1:321" x14ac:dyDescent="0.35">
      <c r="A428">
        <v>1</v>
      </c>
      <c r="B428">
        <v>12640</v>
      </c>
      <c r="C428" t="s">
        <v>1256</v>
      </c>
      <c r="D428" t="s">
        <v>1139</v>
      </c>
      <c r="E428" t="s">
        <v>85</v>
      </c>
      <c r="F428">
        <v>80</v>
      </c>
      <c r="G428">
        <v>9000</v>
      </c>
      <c r="H428">
        <v>0</v>
      </c>
      <c r="I428" t="s">
        <v>1114</v>
      </c>
      <c r="L428">
        <v>0</v>
      </c>
      <c r="M428">
        <v>0</v>
      </c>
      <c r="N428">
        <v>0</v>
      </c>
      <c r="R428">
        <v>0</v>
      </c>
      <c r="S428">
        <v>0</v>
      </c>
      <c r="W428" t="s">
        <v>1060</v>
      </c>
      <c r="X428">
        <v>0</v>
      </c>
      <c r="Z428">
        <v>1</v>
      </c>
      <c r="AA428">
        <v>0</v>
      </c>
      <c r="AB428">
        <v>0</v>
      </c>
      <c r="AC428">
        <v>21332.400000000001</v>
      </c>
      <c r="AD428" s="20">
        <v>44218</v>
      </c>
      <c r="AE428">
        <v>7590</v>
      </c>
      <c r="AF428">
        <v>0</v>
      </c>
      <c r="AH428">
        <v>0</v>
      </c>
      <c r="AJ428">
        <v>0</v>
      </c>
      <c r="AL428">
        <v>1</v>
      </c>
      <c r="AM428">
        <v>0</v>
      </c>
      <c r="AN428">
        <v>16301005</v>
      </c>
      <c r="AO428">
        <v>0</v>
      </c>
      <c r="AP428">
        <v>1100</v>
      </c>
      <c r="AT428">
        <v>0</v>
      </c>
      <c r="AU428" t="s">
        <v>1059</v>
      </c>
      <c r="AW428" t="s">
        <v>1053</v>
      </c>
      <c r="AX428">
        <v>0</v>
      </c>
      <c r="AY428" s="20">
        <v>44218</v>
      </c>
      <c r="BA428" s="20">
        <v>40800</v>
      </c>
      <c r="BB428" t="s">
        <v>1058</v>
      </c>
      <c r="BD428">
        <v>0</v>
      </c>
      <c r="BF428" t="s">
        <v>1043</v>
      </c>
      <c r="BG428" t="s">
        <v>1042</v>
      </c>
      <c r="BH428">
        <v>0</v>
      </c>
      <c r="BI428">
        <v>1</v>
      </c>
      <c r="BJ428">
        <v>0</v>
      </c>
      <c r="BK428">
        <v>0</v>
      </c>
      <c r="BM428" s="20">
        <v>44232</v>
      </c>
      <c r="BN428">
        <v>0</v>
      </c>
      <c r="BR428" t="s">
        <v>1043</v>
      </c>
      <c r="BS428" t="s">
        <v>1043</v>
      </c>
      <c r="BT428" t="s">
        <v>1043</v>
      </c>
      <c r="BW428">
        <v>83</v>
      </c>
      <c r="CA428">
        <v>0</v>
      </c>
      <c r="CB428" t="s">
        <v>1057</v>
      </c>
      <c r="CE428" t="s">
        <v>1043</v>
      </c>
      <c r="CH428" t="s">
        <v>1043</v>
      </c>
      <c r="CN428" t="s">
        <v>1056</v>
      </c>
      <c r="CO428" t="s">
        <v>1043</v>
      </c>
      <c r="CP428">
        <v>1</v>
      </c>
      <c r="CQ428">
        <v>0</v>
      </c>
      <c r="CS428">
        <v>0</v>
      </c>
      <c r="CT428">
        <v>0</v>
      </c>
      <c r="CU428">
        <v>0</v>
      </c>
      <c r="CV428" t="s">
        <v>1045</v>
      </c>
      <c r="CW428">
        <v>0</v>
      </c>
      <c r="CX428">
        <v>0</v>
      </c>
      <c r="CY428">
        <v>0</v>
      </c>
      <c r="CZ428">
        <v>0</v>
      </c>
      <c r="DB428">
        <v>0</v>
      </c>
      <c r="DC428" t="s">
        <v>1043</v>
      </c>
      <c r="DF428" t="s">
        <v>1055</v>
      </c>
      <c r="DH428">
        <v>0</v>
      </c>
      <c r="DJ428">
        <v>0</v>
      </c>
      <c r="DK428" t="s">
        <v>1053</v>
      </c>
      <c r="DL428">
        <v>0</v>
      </c>
      <c r="DN428">
        <v>0</v>
      </c>
      <c r="DO428" t="s">
        <v>1042</v>
      </c>
      <c r="DP428">
        <v>0</v>
      </c>
      <c r="DQ428">
        <v>0</v>
      </c>
      <c r="DS428">
        <v>0</v>
      </c>
      <c r="DU428">
        <v>0</v>
      </c>
      <c r="DW428">
        <v>0</v>
      </c>
      <c r="DX428" t="s">
        <v>1043</v>
      </c>
      <c r="DY428">
        <v>0</v>
      </c>
      <c r="DZ428">
        <v>0</v>
      </c>
      <c r="EA428">
        <v>0</v>
      </c>
      <c r="ED428" t="s">
        <v>1045</v>
      </c>
      <c r="EE428">
        <v>0</v>
      </c>
      <c r="EF428">
        <v>0</v>
      </c>
      <c r="EQ428" t="s">
        <v>1044</v>
      </c>
      <c r="ES428" t="s">
        <v>1053</v>
      </c>
      <c r="ET428">
        <v>0</v>
      </c>
      <c r="EV428">
        <v>0</v>
      </c>
      <c r="EY428" t="s">
        <v>1052</v>
      </c>
      <c r="EZ428">
        <v>0</v>
      </c>
      <c r="FA428" t="s">
        <v>1043</v>
      </c>
      <c r="FB428">
        <v>0</v>
      </c>
      <c r="FC428">
        <v>0</v>
      </c>
      <c r="FE428" t="s">
        <v>1050</v>
      </c>
      <c r="FF428">
        <v>0</v>
      </c>
      <c r="FG428" t="s">
        <v>1050</v>
      </c>
      <c r="FJ428">
        <v>0</v>
      </c>
      <c r="FK428">
        <v>0</v>
      </c>
      <c r="FP428">
        <v>0</v>
      </c>
      <c r="FR428">
        <v>0</v>
      </c>
      <c r="FS428" t="s">
        <v>1043</v>
      </c>
      <c r="FX428" t="s">
        <v>1042</v>
      </c>
      <c r="FZ428" t="s">
        <v>1048</v>
      </c>
      <c r="GA428">
        <v>0</v>
      </c>
      <c r="GB428" t="s">
        <v>1042</v>
      </c>
      <c r="GE428">
        <v>0</v>
      </c>
      <c r="GG428">
        <v>0</v>
      </c>
      <c r="GN428">
        <v>0</v>
      </c>
      <c r="GO428" t="s">
        <v>1063</v>
      </c>
      <c r="GQ428">
        <v>0</v>
      </c>
      <c r="GU428">
        <v>0</v>
      </c>
      <c r="GY428" t="s">
        <v>1045</v>
      </c>
      <c r="HB428">
        <v>0</v>
      </c>
      <c r="HE428">
        <v>0</v>
      </c>
      <c r="HF428">
        <v>0</v>
      </c>
      <c r="HG428">
        <v>0</v>
      </c>
      <c r="HK428" t="s">
        <v>1042</v>
      </c>
      <c r="HM428" t="s">
        <v>1047</v>
      </c>
      <c r="HN428">
        <v>0</v>
      </c>
      <c r="HP428">
        <v>0</v>
      </c>
      <c r="HQ428">
        <v>0</v>
      </c>
      <c r="HR428" s="20">
        <v>44221</v>
      </c>
      <c r="HS428" t="s">
        <v>1043</v>
      </c>
      <c r="HT428">
        <v>0</v>
      </c>
      <c r="HU428">
        <v>0</v>
      </c>
      <c r="HW428">
        <v>0</v>
      </c>
      <c r="HX428">
        <v>0</v>
      </c>
      <c r="HY428">
        <v>1</v>
      </c>
      <c r="HZ428" t="s">
        <v>1045</v>
      </c>
      <c r="IA428">
        <v>7590</v>
      </c>
      <c r="IB428" t="s">
        <v>1045</v>
      </c>
      <c r="ID428" t="s">
        <v>1045</v>
      </c>
      <c r="IF428">
        <v>0</v>
      </c>
      <c r="IG428" t="s">
        <v>1042</v>
      </c>
      <c r="II428" t="s">
        <v>1042</v>
      </c>
      <c r="IR428" t="s">
        <v>1045</v>
      </c>
      <c r="IT428">
        <v>0</v>
      </c>
      <c r="IY428" t="s">
        <v>1044</v>
      </c>
      <c r="IZ428" t="s">
        <v>1043</v>
      </c>
      <c r="JC428" t="s">
        <v>1043</v>
      </c>
      <c r="JE428">
        <v>0</v>
      </c>
      <c r="JF428">
        <v>0</v>
      </c>
      <c r="JI428" t="s">
        <v>1042</v>
      </c>
      <c r="JJ428">
        <v>0</v>
      </c>
      <c r="JK428">
        <v>0</v>
      </c>
      <c r="JL428">
        <v>0</v>
      </c>
      <c r="JM428">
        <v>0</v>
      </c>
      <c r="JQ428" t="s">
        <v>1043</v>
      </c>
      <c r="JT428">
        <v>0</v>
      </c>
      <c r="JU428" t="s">
        <v>1042</v>
      </c>
      <c r="JW428">
        <v>0</v>
      </c>
      <c r="KA428">
        <v>0</v>
      </c>
      <c r="KF428">
        <v>0</v>
      </c>
      <c r="KG428">
        <v>0</v>
      </c>
      <c r="KH428">
        <v>0</v>
      </c>
      <c r="KI428">
        <v>0</v>
      </c>
      <c r="KS428" t="s">
        <v>1073</v>
      </c>
      <c r="KT428">
        <v>0</v>
      </c>
      <c r="KU428">
        <v>0</v>
      </c>
      <c r="KV428">
        <v>0</v>
      </c>
      <c r="KX428">
        <v>0</v>
      </c>
      <c r="KZ428">
        <v>0</v>
      </c>
      <c r="LF428">
        <v>0</v>
      </c>
      <c r="LH428">
        <v>0</v>
      </c>
      <c r="LI428">
        <v>0</v>
      </c>
    </row>
    <row r="429" spans="1:321" x14ac:dyDescent="0.35">
      <c r="A429">
        <v>1</v>
      </c>
      <c r="B429">
        <v>12641</v>
      </c>
      <c r="C429" t="s">
        <v>1255</v>
      </c>
      <c r="D429" t="s">
        <v>1139</v>
      </c>
      <c r="E429" t="s">
        <v>85</v>
      </c>
      <c r="F429">
        <v>80</v>
      </c>
      <c r="G429">
        <v>9000</v>
      </c>
      <c r="H429">
        <v>0</v>
      </c>
      <c r="I429" t="s">
        <v>1114</v>
      </c>
      <c r="L429">
        <v>0</v>
      </c>
      <c r="M429">
        <v>0</v>
      </c>
      <c r="N429">
        <v>0</v>
      </c>
      <c r="R429">
        <v>0</v>
      </c>
      <c r="S429">
        <v>0</v>
      </c>
      <c r="W429" t="s">
        <v>1060</v>
      </c>
      <c r="X429">
        <v>0</v>
      </c>
      <c r="Z429">
        <v>1</v>
      </c>
      <c r="AA429">
        <v>0</v>
      </c>
      <c r="AB429">
        <v>0</v>
      </c>
      <c r="AC429">
        <v>2116.3000000000002</v>
      </c>
      <c r="AD429" s="20">
        <v>42290</v>
      </c>
      <c r="AE429">
        <v>2650</v>
      </c>
      <c r="AF429">
        <v>0</v>
      </c>
      <c r="AH429">
        <v>0</v>
      </c>
      <c r="AJ429">
        <v>0</v>
      </c>
      <c r="AL429">
        <v>1</v>
      </c>
      <c r="AM429">
        <v>0</v>
      </c>
      <c r="AN429">
        <v>16301005</v>
      </c>
      <c r="AO429">
        <v>0</v>
      </c>
      <c r="AP429">
        <v>1001</v>
      </c>
      <c r="AT429">
        <v>0</v>
      </c>
      <c r="AU429" t="s">
        <v>1059</v>
      </c>
      <c r="AW429" t="s">
        <v>1053</v>
      </c>
      <c r="AX429">
        <v>0</v>
      </c>
      <c r="AY429" s="20">
        <v>42290</v>
      </c>
      <c r="BA429" s="20">
        <v>40800</v>
      </c>
      <c r="BB429" t="s">
        <v>1058</v>
      </c>
      <c r="BD429">
        <v>0</v>
      </c>
      <c r="BF429" t="s">
        <v>1043</v>
      </c>
      <c r="BG429" t="s">
        <v>1042</v>
      </c>
      <c r="BH429">
        <v>0</v>
      </c>
      <c r="BI429">
        <v>1</v>
      </c>
      <c r="BJ429">
        <v>0</v>
      </c>
      <c r="BK429">
        <v>0</v>
      </c>
      <c r="BM429" t="s">
        <v>1042</v>
      </c>
      <c r="BN429">
        <v>0</v>
      </c>
      <c r="BR429" t="s">
        <v>1043</v>
      </c>
      <c r="BS429" t="s">
        <v>1043</v>
      </c>
      <c r="BT429" t="s">
        <v>1043</v>
      </c>
      <c r="BW429">
        <v>83</v>
      </c>
      <c r="CA429">
        <v>0</v>
      </c>
      <c r="CB429" t="s">
        <v>1057</v>
      </c>
      <c r="CE429" t="s">
        <v>1043</v>
      </c>
      <c r="CH429" t="s">
        <v>1043</v>
      </c>
      <c r="CN429" t="s">
        <v>1056</v>
      </c>
      <c r="CO429" t="s">
        <v>1043</v>
      </c>
      <c r="CP429">
        <v>1</v>
      </c>
      <c r="CQ429">
        <v>0</v>
      </c>
      <c r="CS429">
        <v>0</v>
      </c>
      <c r="CT429">
        <v>0</v>
      </c>
      <c r="CU429">
        <v>0</v>
      </c>
      <c r="CV429" t="s">
        <v>1045</v>
      </c>
      <c r="CW429">
        <v>0</v>
      </c>
      <c r="CX429">
        <v>0</v>
      </c>
      <c r="CY429">
        <v>0</v>
      </c>
      <c r="CZ429">
        <v>0</v>
      </c>
      <c r="DB429">
        <v>0</v>
      </c>
      <c r="DC429" t="s">
        <v>1043</v>
      </c>
      <c r="DF429" t="s">
        <v>1055</v>
      </c>
      <c r="DH429">
        <v>0</v>
      </c>
      <c r="DJ429">
        <v>0</v>
      </c>
      <c r="DK429" t="s">
        <v>1053</v>
      </c>
      <c r="DL429">
        <v>0</v>
      </c>
      <c r="DN429">
        <v>0</v>
      </c>
      <c r="DO429" t="s">
        <v>1042</v>
      </c>
      <c r="DP429">
        <v>0</v>
      </c>
      <c r="DQ429">
        <v>0</v>
      </c>
      <c r="DS429">
        <v>0</v>
      </c>
      <c r="DU429">
        <v>0</v>
      </c>
      <c r="DW429">
        <v>0</v>
      </c>
      <c r="DX429" t="s">
        <v>1043</v>
      </c>
      <c r="DY429">
        <v>0</v>
      </c>
      <c r="DZ429">
        <v>0</v>
      </c>
      <c r="EA429">
        <v>0</v>
      </c>
      <c r="ED429" t="s">
        <v>1045</v>
      </c>
      <c r="EE429">
        <v>0</v>
      </c>
      <c r="EF429">
        <v>0</v>
      </c>
      <c r="EQ429" t="s">
        <v>1044</v>
      </c>
      <c r="ES429" t="s">
        <v>1053</v>
      </c>
      <c r="ET429">
        <v>0</v>
      </c>
      <c r="EV429">
        <v>0</v>
      </c>
      <c r="EY429" t="s">
        <v>1052</v>
      </c>
      <c r="EZ429">
        <v>0</v>
      </c>
      <c r="FA429" t="s">
        <v>1043</v>
      </c>
      <c r="FB429">
        <v>0</v>
      </c>
      <c r="FC429">
        <v>0</v>
      </c>
      <c r="FE429" t="s">
        <v>1050</v>
      </c>
      <c r="FF429">
        <v>0</v>
      </c>
      <c r="FG429" t="s">
        <v>1050</v>
      </c>
      <c r="FJ429">
        <v>0</v>
      </c>
      <c r="FK429">
        <v>0</v>
      </c>
      <c r="FP429">
        <v>0</v>
      </c>
      <c r="FR429">
        <v>0</v>
      </c>
      <c r="FS429" t="s">
        <v>1043</v>
      </c>
      <c r="FX429" t="s">
        <v>1042</v>
      </c>
      <c r="FZ429" t="s">
        <v>1048</v>
      </c>
      <c r="GA429">
        <v>0</v>
      </c>
      <c r="GB429" t="s">
        <v>1042</v>
      </c>
      <c r="GE429">
        <v>0</v>
      </c>
      <c r="GG429">
        <v>0</v>
      </c>
      <c r="GN429">
        <v>0</v>
      </c>
      <c r="GO429" t="s">
        <v>1063</v>
      </c>
      <c r="GQ429">
        <v>0</v>
      </c>
      <c r="GU429">
        <v>0</v>
      </c>
      <c r="GY429" t="s">
        <v>1045</v>
      </c>
      <c r="HB429">
        <v>0</v>
      </c>
      <c r="HE429">
        <v>0</v>
      </c>
      <c r="HF429">
        <v>0</v>
      </c>
      <c r="HG429">
        <v>0</v>
      </c>
      <c r="HK429" t="s">
        <v>1042</v>
      </c>
      <c r="HM429" t="s">
        <v>1047</v>
      </c>
      <c r="HN429">
        <v>0</v>
      </c>
      <c r="HP429">
        <v>0</v>
      </c>
      <c r="HQ429">
        <v>0</v>
      </c>
      <c r="HR429" s="20">
        <v>44221</v>
      </c>
      <c r="HS429" t="s">
        <v>1043</v>
      </c>
      <c r="HT429">
        <v>0</v>
      </c>
      <c r="HU429">
        <v>0</v>
      </c>
      <c r="HW429">
        <v>0</v>
      </c>
      <c r="HX429">
        <v>0</v>
      </c>
      <c r="HY429">
        <v>0</v>
      </c>
      <c r="HZ429" t="s">
        <v>1045</v>
      </c>
      <c r="IA429">
        <v>0</v>
      </c>
      <c r="IB429" t="s">
        <v>1045</v>
      </c>
      <c r="ID429" t="s">
        <v>1045</v>
      </c>
      <c r="IF429">
        <v>0</v>
      </c>
      <c r="IG429" t="s">
        <v>1042</v>
      </c>
      <c r="II429" t="s">
        <v>1042</v>
      </c>
      <c r="IR429" t="s">
        <v>1045</v>
      </c>
      <c r="IT429">
        <v>0</v>
      </c>
      <c r="IY429" t="s">
        <v>1044</v>
      </c>
      <c r="IZ429" t="s">
        <v>1043</v>
      </c>
      <c r="JC429" t="s">
        <v>1043</v>
      </c>
      <c r="JE429">
        <v>0</v>
      </c>
      <c r="JF429">
        <v>0</v>
      </c>
      <c r="JI429" t="s">
        <v>1042</v>
      </c>
      <c r="JJ429">
        <v>0</v>
      </c>
      <c r="JK429">
        <v>0</v>
      </c>
      <c r="JL429">
        <v>0</v>
      </c>
      <c r="JM429">
        <v>0</v>
      </c>
      <c r="JQ429" t="s">
        <v>1043</v>
      </c>
      <c r="JT429">
        <v>0</v>
      </c>
      <c r="JU429" t="s">
        <v>1042</v>
      </c>
      <c r="JW429">
        <v>0</v>
      </c>
      <c r="KA429">
        <v>0</v>
      </c>
      <c r="KF429">
        <v>0</v>
      </c>
      <c r="KG429">
        <v>0</v>
      </c>
      <c r="KH429">
        <v>0</v>
      </c>
      <c r="KI429">
        <v>0</v>
      </c>
      <c r="KS429" t="s">
        <v>1073</v>
      </c>
      <c r="KT429">
        <v>0</v>
      </c>
      <c r="KU429">
        <v>0</v>
      </c>
      <c r="KV429">
        <v>0</v>
      </c>
      <c r="KX429">
        <v>0</v>
      </c>
      <c r="KZ429">
        <v>0</v>
      </c>
      <c r="LF429">
        <v>0</v>
      </c>
      <c r="LH429">
        <v>0</v>
      </c>
      <c r="LI429">
        <v>0</v>
      </c>
    </row>
    <row r="430" spans="1:321" x14ac:dyDescent="0.35">
      <c r="A430">
        <v>1</v>
      </c>
      <c r="B430">
        <v>12642</v>
      </c>
      <c r="C430" t="s">
        <v>1254</v>
      </c>
      <c r="D430" t="s">
        <v>1139</v>
      </c>
      <c r="E430" t="s">
        <v>85</v>
      </c>
      <c r="F430">
        <v>80</v>
      </c>
      <c r="G430">
        <v>9000</v>
      </c>
      <c r="H430">
        <v>0</v>
      </c>
      <c r="I430" t="s">
        <v>1253</v>
      </c>
      <c r="L430">
        <v>0</v>
      </c>
      <c r="M430">
        <v>5.2</v>
      </c>
      <c r="N430">
        <v>0</v>
      </c>
      <c r="R430">
        <v>0</v>
      </c>
      <c r="S430">
        <v>0</v>
      </c>
      <c r="W430" t="s">
        <v>1060</v>
      </c>
      <c r="X430">
        <v>0</v>
      </c>
      <c r="Z430">
        <v>1</v>
      </c>
      <c r="AA430">
        <v>0</v>
      </c>
      <c r="AB430">
        <v>0</v>
      </c>
      <c r="AC430">
        <v>0</v>
      </c>
      <c r="AD430" s="20">
        <v>40801</v>
      </c>
      <c r="AE430">
        <v>36015</v>
      </c>
      <c r="AF430">
        <v>0</v>
      </c>
      <c r="AH430">
        <v>0</v>
      </c>
      <c r="AJ430">
        <v>0</v>
      </c>
      <c r="AL430">
        <v>1</v>
      </c>
      <c r="AM430">
        <v>0</v>
      </c>
      <c r="AN430">
        <v>16301004</v>
      </c>
      <c r="AO430">
        <v>0</v>
      </c>
      <c r="AP430">
        <v>1100</v>
      </c>
      <c r="AT430">
        <v>0</v>
      </c>
      <c r="AU430" t="s">
        <v>1059</v>
      </c>
      <c r="AW430" t="s">
        <v>1053</v>
      </c>
      <c r="AX430">
        <v>0</v>
      </c>
      <c r="AY430" s="20">
        <v>40801</v>
      </c>
      <c r="BA430" s="20">
        <v>40801</v>
      </c>
      <c r="BB430" t="s">
        <v>1058</v>
      </c>
      <c r="BD430">
        <v>0</v>
      </c>
      <c r="BF430" t="s">
        <v>1043</v>
      </c>
      <c r="BG430" t="s">
        <v>1042</v>
      </c>
      <c r="BH430">
        <v>0</v>
      </c>
      <c r="BI430">
        <v>1</v>
      </c>
      <c r="BJ430">
        <v>0</v>
      </c>
      <c r="BK430">
        <v>0</v>
      </c>
      <c r="BM430" s="20">
        <v>41128</v>
      </c>
      <c r="BN430">
        <v>0</v>
      </c>
      <c r="BR430" t="s">
        <v>1043</v>
      </c>
      <c r="BS430" t="s">
        <v>1043</v>
      </c>
      <c r="BT430" t="s">
        <v>1043</v>
      </c>
      <c r="BW430">
        <v>55</v>
      </c>
      <c r="CA430">
        <v>0</v>
      </c>
      <c r="CB430" t="s">
        <v>1057</v>
      </c>
      <c r="CE430" t="s">
        <v>1043</v>
      </c>
      <c r="CH430" t="s">
        <v>1043</v>
      </c>
      <c r="CN430" t="s">
        <v>1056</v>
      </c>
      <c r="CO430" t="s">
        <v>1043</v>
      </c>
      <c r="CP430">
        <v>1</v>
      </c>
      <c r="CQ430">
        <v>0</v>
      </c>
      <c r="CS430">
        <v>0</v>
      </c>
      <c r="CT430">
        <v>0</v>
      </c>
      <c r="CU430">
        <v>0</v>
      </c>
      <c r="CV430" t="s">
        <v>1045</v>
      </c>
      <c r="CW430">
        <v>0</v>
      </c>
      <c r="CX430">
        <v>0</v>
      </c>
      <c r="CY430">
        <v>0</v>
      </c>
      <c r="CZ430">
        <v>0</v>
      </c>
      <c r="DB430">
        <v>0</v>
      </c>
      <c r="DC430" t="s">
        <v>1043</v>
      </c>
      <c r="DF430" t="s">
        <v>1055</v>
      </c>
      <c r="DH430">
        <v>0</v>
      </c>
      <c r="DJ430">
        <v>0</v>
      </c>
      <c r="DK430" t="s">
        <v>1053</v>
      </c>
      <c r="DL430">
        <v>0</v>
      </c>
      <c r="DN430">
        <v>0</v>
      </c>
      <c r="DO430" t="s">
        <v>1042</v>
      </c>
      <c r="DP430">
        <v>0</v>
      </c>
      <c r="DQ430">
        <v>0</v>
      </c>
      <c r="DS430">
        <v>0</v>
      </c>
      <c r="DU430">
        <v>0</v>
      </c>
      <c r="DW430">
        <v>0</v>
      </c>
      <c r="DX430" t="s">
        <v>1043</v>
      </c>
      <c r="DY430">
        <v>0</v>
      </c>
      <c r="DZ430">
        <v>0</v>
      </c>
      <c r="EA430">
        <v>0</v>
      </c>
      <c r="ED430" t="s">
        <v>1045</v>
      </c>
      <c r="EE430">
        <v>0</v>
      </c>
      <c r="EF430">
        <v>0</v>
      </c>
      <c r="EQ430" t="s">
        <v>1044</v>
      </c>
      <c r="ES430" t="s">
        <v>1053</v>
      </c>
      <c r="ET430">
        <v>0</v>
      </c>
      <c r="EV430">
        <v>0</v>
      </c>
      <c r="EY430" t="s">
        <v>1052</v>
      </c>
      <c r="EZ430">
        <v>0</v>
      </c>
      <c r="FA430" t="s">
        <v>1043</v>
      </c>
      <c r="FB430">
        <v>0</v>
      </c>
      <c r="FC430">
        <v>0</v>
      </c>
      <c r="FE430" t="s">
        <v>1050</v>
      </c>
      <c r="FF430">
        <v>0</v>
      </c>
      <c r="FG430" t="s">
        <v>1050</v>
      </c>
      <c r="FJ430">
        <v>0</v>
      </c>
      <c r="FK430">
        <v>0</v>
      </c>
      <c r="FP430">
        <v>0</v>
      </c>
      <c r="FR430">
        <v>0</v>
      </c>
      <c r="FS430" t="s">
        <v>1043</v>
      </c>
      <c r="FX430" t="s">
        <v>1042</v>
      </c>
      <c r="FZ430" t="s">
        <v>1048</v>
      </c>
      <c r="GA430">
        <v>0</v>
      </c>
      <c r="GB430" t="s">
        <v>1042</v>
      </c>
      <c r="GE430">
        <v>0</v>
      </c>
      <c r="GG430">
        <v>0</v>
      </c>
      <c r="GN430">
        <v>0</v>
      </c>
      <c r="GO430" t="s">
        <v>1063</v>
      </c>
      <c r="GQ430">
        <v>0</v>
      </c>
      <c r="GU430">
        <v>0</v>
      </c>
      <c r="GY430" t="s">
        <v>1045</v>
      </c>
      <c r="HB430">
        <v>0</v>
      </c>
      <c r="HE430">
        <v>0</v>
      </c>
      <c r="HF430">
        <v>0</v>
      </c>
      <c r="HG430">
        <v>0</v>
      </c>
      <c r="HK430" t="s">
        <v>1042</v>
      </c>
      <c r="HM430" t="s">
        <v>1047</v>
      </c>
      <c r="HN430">
        <v>0</v>
      </c>
      <c r="HP430">
        <v>0</v>
      </c>
      <c r="HQ430">
        <v>0</v>
      </c>
      <c r="HR430" t="s">
        <v>1042</v>
      </c>
      <c r="HS430" t="s">
        <v>1043</v>
      </c>
      <c r="HT430">
        <v>0</v>
      </c>
      <c r="HU430">
        <v>0</v>
      </c>
      <c r="HW430">
        <v>0</v>
      </c>
      <c r="HX430">
        <v>0</v>
      </c>
      <c r="HY430">
        <v>0</v>
      </c>
      <c r="HZ430" t="s">
        <v>1045</v>
      </c>
      <c r="IA430">
        <v>0</v>
      </c>
      <c r="IB430" t="s">
        <v>1045</v>
      </c>
      <c r="ID430" t="s">
        <v>1045</v>
      </c>
      <c r="IF430">
        <v>0</v>
      </c>
      <c r="IG430" t="s">
        <v>1042</v>
      </c>
      <c r="II430" t="s">
        <v>1042</v>
      </c>
      <c r="IR430" t="s">
        <v>1045</v>
      </c>
      <c r="IT430">
        <v>0</v>
      </c>
      <c r="IY430" t="s">
        <v>1044</v>
      </c>
      <c r="IZ430" t="s">
        <v>1043</v>
      </c>
      <c r="JC430" t="s">
        <v>1043</v>
      </c>
      <c r="JE430">
        <v>0</v>
      </c>
      <c r="JF430">
        <v>0</v>
      </c>
      <c r="JI430" t="s">
        <v>1042</v>
      </c>
      <c r="JJ430">
        <v>0</v>
      </c>
      <c r="JK430">
        <v>0</v>
      </c>
      <c r="JL430">
        <v>0</v>
      </c>
      <c r="JM430">
        <v>0</v>
      </c>
      <c r="JQ430" t="s">
        <v>1043</v>
      </c>
      <c r="JT430">
        <v>0</v>
      </c>
      <c r="JU430" t="s">
        <v>1042</v>
      </c>
      <c r="JW430">
        <v>0</v>
      </c>
      <c r="KA430">
        <v>0</v>
      </c>
      <c r="KF430">
        <v>0</v>
      </c>
      <c r="KG430">
        <v>0</v>
      </c>
      <c r="KH430">
        <v>0</v>
      </c>
      <c r="KI430">
        <v>0</v>
      </c>
      <c r="KS430" t="s">
        <v>1073</v>
      </c>
      <c r="KT430">
        <v>0</v>
      </c>
      <c r="KU430">
        <v>0</v>
      </c>
      <c r="KV430">
        <v>0</v>
      </c>
      <c r="KX430">
        <v>0</v>
      </c>
      <c r="KZ430">
        <v>0</v>
      </c>
      <c r="LF430">
        <v>0</v>
      </c>
      <c r="LH430">
        <v>0</v>
      </c>
      <c r="LI430">
        <v>0</v>
      </c>
    </row>
    <row r="431" spans="1:321" x14ac:dyDescent="0.35">
      <c r="A431">
        <v>1</v>
      </c>
      <c r="B431">
        <v>12643</v>
      </c>
      <c r="C431" t="s">
        <v>1252</v>
      </c>
      <c r="D431" t="s">
        <v>1139</v>
      </c>
      <c r="E431" t="s">
        <v>85</v>
      </c>
      <c r="F431">
        <v>80</v>
      </c>
      <c r="G431">
        <v>9000</v>
      </c>
      <c r="H431">
        <v>0</v>
      </c>
      <c r="I431" t="s">
        <v>1050</v>
      </c>
      <c r="L431">
        <v>0</v>
      </c>
      <c r="M431">
        <v>0</v>
      </c>
      <c r="N431">
        <v>0</v>
      </c>
      <c r="R431">
        <v>0</v>
      </c>
      <c r="S431">
        <v>0</v>
      </c>
      <c r="W431" t="s">
        <v>1060</v>
      </c>
      <c r="X431">
        <v>0</v>
      </c>
      <c r="Z431">
        <v>1</v>
      </c>
      <c r="AA431">
        <v>0</v>
      </c>
      <c r="AB431">
        <v>0</v>
      </c>
      <c r="AC431">
        <v>0</v>
      </c>
      <c r="AD431" s="20">
        <v>40800</v>
      </c>
      <c r="AE431">
        <v>1086.8</v>
      </c>
      <c r="AF431">
        <v>0</v>
      </c>
      <c r="AH431">
        <v>0</v>
      </c>
      <c r="AJ431">
        <v>0</v>
      </c>
      <c r="AL431">
        <v>0</v>
      </c>
      <c r="AM431">
        <v>0</v>
      </c>
      <c r="AN431">
        <v>16301005</v>
      </c>
      <c r="AO431">
        <v>0</v>
      </c>
      <c r="AP431">
        <v>1001</v>
      </c>
      <c r="AT431">
        <v>0</v>
      </c>
      <c r="AU431" t="s">
        <v>1059</v>
      </c>
      <c r="AW431" t="s">
        <v>1053</v>
      </c>
      <c r="AX431">
        <v>0</v>
      </c>
      <c r="AY431" s="20">
        <v>40800</v>
      </c>
      <c r="BA431" s="20">
        <v>40800</v>
      </c>
      <c r="BB431" t="s">
        <v>1058</v>
      </c>
      <c r="BD431">
        <v>0</v>
      </c>
      <c r="BF431" t="s">
        <v>1043</v>
      </c>
      <c r="BG431" t="s">
        <v>1042</v>
      </c>
      <c r="BH431">
        <v>0</v>
      </c>
      <c r="BI431">
        <v>1</v>
      </c>
      <c r="BJ431">
        <v>0</v>
      </c>
      <c r="BK431">
        <v>0</v>
      </c>
      <c r="BM431" t="s">
        <v>1042</v>
      </c>
      <c r="BN431">
        <v>0</v>
      </c>
      <c r="BR431" t="s">
        <v>1043</v>
      </c>
      <c r="BS431" t="s">
        <v>1043</v>
      </c>
      <c r="BT431" t="s">
        <v>1043</v>
      </c>
      <c r="BW431">
        <v>83</v>
      </c>
      <c r="CA431">
        <v>0</v>
      </c>
      <c r="CB431" t="s">
        <v>1057</v>
      </c>
      <c r="CE431" t="s">
        <v>1043</v>
      </c>
      <c r="CH431" t="s">
        <v>1043</v>
      </c>
      <c r="CN431" t="s">
        <v>1056</v>
      </c>
      <c r="CO431" t="s">
        <v>1043</v>
      </c>
      <c r="CP431">
        <v>1</v>
      </c>
      <c r="CQ431">
        <v>0</v>
      </c>
      <c r="CS431">
        <v>0</v>
      </c>
      <c r="CT431">
        <v>0</v>
      </c>
      <c r="CU431">
        <v>0</v>
      </c>
      <c r="CV431" t="s">
        <v>1045</v>
      </c>
      <c r="CW431">
        <v>0</v>
      </c>
      <c r="CX431">
        <v>0</v>
      </c>
      <c r="CY431">
        <v>0</v>
      </c>
      <c r="CZ431">
        <v>0</v>
      </c>
      <c r="DB431">
        <v>0</v>
      </c>
      <c r="DC431" t="s">
        <v>1043</v>
      </c>
      <c r="DF431" t="s">
        <v>1055</v>
      </c>
      <c r="DH431">
        <v>0</v>
      </c>
      <c r="DJ431">
        <v>0</v>
      </c>
      <c r="DK431" t="s">
        <v>1053</v>
      </c>
      <c r="DL431">
        <v>0</v>
      </c>
      <c r="DN431">
        <v>0</v>
      </c>
      <c r="DO431" t="s">
        <v>1042</v>
      </c>
      <c r="DP431">
        <v>0</v>
      </c>
      <c r="DQ431">
        <v>0</v>
      </c>
      <c r="DS431">
        <v>0</v>
      </c>
      <c r="DU431">
        <v>0</v>
      </c>
      <c r="DW431">
        <v>0</v>
      </c>
      <c r="DX431" t="s">
        <v>1043</v>
      </c>
      <c r="DY431">
        <v>0</v>
      </c>
      <c r="DZ431">
        <v>0</v>
      </c>
      <c r="EA431">
        <v>0</v>
      </c>
      <c r="ED431" t="s">
        <v>1045</v>
      </c>
      <c r="EE431">
        <v>0</v>
      </c>
      <c r="EF431">
        <v>0</v>
      </c>
      <c r="EQ431" t="s">
        <v>1044</v>
      </c>
      <c r="ES431" t="s">
        <v>1053</v>
      </c>
      <c r="ET431">
        <v>0</v>
      </c>
      <c r="EV431">
        <v>0</v>
      </c>
      <c r="EY431" t="s">
        <v>1052</v>
      </c>
      <c r="EZ431">
        <v>0</v>
      </c>
      <c r="FA431" t="s">
        <v>1043</v>
      </c>
      <c r="FB431">
        <v>0</v>
      </c>
      <c r="FC431">
        <v>0</v>
      </c>
      <c r="FE431" t="s">
        <v>1050</v>
      </c>
      <c r="FF431">
        <v>0</v>
      </c>
      <c r="FG431" t="s">
        <v>1050</v>
      </c>
      <c r="FJ431">
        <v>0</v>
      </c>
      <c r="FK431">
        <v>0</v>
      </c>
      <c r="FP431">
        <v>0</v>
      </c>
      <c r="FR431">
        <v>0</v>
      </c>
      <c r="FS431" t="s">
        <v>1043</v>
      </c>
      <c r="FX431" t="s">
        <v>1042</v>
      </c>
      <c r="FZ431" t="s">
        <v>1048</v>
      </c>
      <c r="GA431">
        <v>0</v>
      </c>
      <c r="GB431" t="s">
        <v>1042</v>
      </c>
      <c r="GE431">
        <v>0</v>
      </c>
      <c r="GG431">
        <v>0</v>
      </c>
      <c r="GN431">
        <v>0</v>
      </c>
      <c r="GO431" t="s">
        <v>1063</v>
      </c>
      <c r="GQ431">
        <v>0</v>
      </c>
      <c r="GU431">
        <v>0</v>
      </c>
      <c r="GY431" t="s">
        <v>1045</v>
      </c>
      <c r="HB431">
        <v>0</v>
      </c>
      <c r="HE431">
        <v>0</v>
      </c>
      <c r="HF431">
        <v>0</v>
      </c>
      <c r="HG431">
        <v>0</v>
      </c>
      <c r="HK431" t="s">
        <v>1042</v>
      </c>
      <c r="HM431" t="s">
        <v>1047</v>
      </c>
      <c r="HN431">
        <v>0</v>
      </c>
      <c r="HP431">
        <v>0</v>
      </c>
      <c r="HQ431">
        <v>0</v>
      </c>
      <c r="HR431" t="s">
        <v>1042</v>
      </c>
      <c r="HS431" t="s">
        <v>1043</v>
      </c>
      <c r="HT431">
        <v>0</v>
      </c>
      <c r="HU431">
        <v>0</v>
      </c>
      <c r="HW431">
        <v>0</v>
      </c>
      <c r="HX431">
        <v>0</v>
      </c>
      <c r="HY431">
        <v>0</v>
      </c>
      <c r="HZ431" t="s">
        <v>1045</v>
      </c>
      <c r="IA431">
        <v>0</v>
      </c>
      <c r="IB431" t="s">
        <v>1045</v>
      </c>
      <c r="ID431" t="s">
        <v>1045</v>
      </c>
      <c r="IF431">
        <v>0</v>
      </c>
      <c r="IG431" t="s">
        <v>1042</v>
      </c>
      <c r="II431" t="s">
        <v>1042</v>
      </c>
      <c r="IR431" t="s">
        <v>1045</v>
      </c>
      <c r="IT431">
        <v>0</v>
      </c>
      <c r="IY431" t="s">
        <v>1044</v>
      </c>
      <c r="IZ431" t="s">
        <v>1043</v>
      </c>
      <c r="JC431" t="s">
        <v>1043</v>
      </c>
      <c r="JE431">
        <v>0</v>
      </c>
      <c r="JF431">
        <v>0</v>
      </c>
      <c r="JI431" t="s">
        <v>1042</v>
      </c>
      <c r="JJ431">
        <v>0</v>
      </c>
      <c r="JK431">
        <v>0</v>
      </c>
      <c r="JL431">
        <v>0</v>
      </c>
      <c r="JM431">
        <v>0</v>
      </c>
      <c r="JQ431" t="s">
        <v>1043</v>
      </c>
      <c r="JT431">
        <v>0</v>
      </c>
      <c r="JU431" t="s">
        <v>1042</v>
      </c>
      <c r="JW431">
        <v>0</v>
      </c>
      <c r="KA431">
        <v>0</v>
      </c>
      <c r="KF431">
        <v>0</v>
      </c>
      <c r="KG431">
        <v>0</v>
      </c>
      <c r="KH431">
        <v>0</v>
      </c>
      <c r="KI431">
        <v>0</v>
      </c>
      <c r="KS431" t="s">
        <v>1073</v>
      </c>
      <c r="KT431">
        <v>0</v>
      </c>
      <c r="KU431">
        <v>0</v>
      </c>
      <c r="KV431">
        <v>0</v>
      </c>
      <c r="KX431">
        <v>0</v>
      </c>
      <c r="KZ431">
        <v>0</v>
      </c>
      <c r="LF431">
        <v>0</v>
      </c>
      <c r="LH431">
        <v>0</v>
      </c>
      <c r="LI431">
        <v>0</v>
      </c>
    </row>
    <row r="432" spans="1:321" x14ac:dyDescent="0.35">
      <c r="A432">
        <v>1</v>
      </c>
      <c r="B432">
        <v>12644</v>
      </c>
      <c r="C432" t="s">
        <v>1251</v>
      </c>
      <c r="D432" t="s">
        <v>1139</v>
      </c>
      <c r="E432" t="s">
        <v>85</v>
      </c>
      <c r="F432">
        <v>80</v>
      </c>
      <c r="G432">
        <v>9000</v>
      </c>
      <c r="H432">
        <v>0</v>
      </c>
      <c r="I432" t="s">
        <v>1250</v>
      </c>
      <c r="L432">
        <v>0</v>
      </c>
      <c r="M432">
        <v>0</v>
      </c>
      <c r="N432">
        <v>0</v>
      </c>
      <c r="R432">
        <v>0</v>
      </c>
      <c r="S432">
        <v>0</v>
      </c>
      <c r="W432" t="s">
        <v>1060</v>
      </c>
      <c r="X432">
        <v>0</v>
      </c>
      <c r="Z432">
        <v>1</v>
      </c>
      <c r="AA432">
        <v>0</v>
      </c>
      <c r="AB432">
        <v>0</v>
      </c>
      <c r="AC432">
        <v>350</v>
      </c>
      <c r="AD432" s="20">
        <v>43202</v>
      </c>
      <c r="AE432">
        <v>390</v>
      </c>
      <c r="AF432">
        <v>0</v>
      </c>
      <c r="AH432">
        <v>0</v>
      </c>
      <c r="AJ432">
        <v>0</v>
      </c>
      <c r="AL432">
        <v>1</v>
      </c>
      <c r="AM432">
        <v>0</v>
      </c>
      <c r="AN432">
        <v>16301005</v>
      </c>
      <c r="AO432">
        <v>0</v>
      </c>
      <c r="AP432">
        <v>1000</v>
      </c>
      <c r="AT432">
        <v>0</v>
      </c>
      <c r="AU432" t="s">
        <v>1059</v>
      </c>
      <c r="AW432" t="s">
        <v>1053</v>
      </c>
      <c r="AX432">
        <v>0</v>
      </c>
      <c r="AY432" s="20">
        <v>42699</v>
      </c>
      <c r="BA432" s="20">
        <v>40801</v>
      </c>
      <c r="BB432" t="s">
        <v>1058</v>
      </c>
      <c r="BD432">
        <v>0</v>
      </c>
      <c r="BF432" t="s">
        <v>1043</v>
      </c>
      <c r="BG432" t="s">
        <v>1042</v>
      </c>
      <c r="BH432">
        <v>0</v>
      </c>
      <c r="BI432">
        <v>1</v>
      </c>
      <c r="BJ432">
        <v>0</v>
      </c>
      <c r="BK432">
        <v>0</v>
      </c>
      <c r="BM432" t="s">
        <v>1042</v>
      </c>
      <c r="BN432">
        <v>0</v>
      </c>
      <c r="BR432" t="s">
        <v>1043</v>
      </c>
      <c r="BS432" t="s">
        <v>1043</v>
      </c>
      <c r="BT432" t="s">
        <v>1043</v>
      </c>
      <c r="BW432">
        <v>76</v>
      </c>
      <c r="CA432">
        <v>0</v>
      </c>
      <c r="CB432" t="s">
        <v>1043</v>
      </c>
      <c r="CE432" t="s">
        <v>1043</v>
      </c>
      <c r="CH432" t="s">
        <v>1043</v>
      </c>
      <c r="CN432" t="s">
        <v>1056</v>
      </c>
      <c r="CO432" t="s">
        <v>1043</v>
      </c>
      <c r="CP432">
        <v>1</v>
      </c>
      <c r="CQ432">
        <v>0</v>
      </c>
      <c r="CS432">
        <v>0</v>
      </c>
      <c r="CT432">
        <v>0</v>
      </c>
      <c r="CU432">
        <v>0</v>
      </c>
      <c r="CV432" t="s">
        <v>1045</v>
      </c>
      <c r="CW432">
        <v>0</v>
      </c>
      <c r="CX432">
        <v>0</v>
      </c>
      <c r="CY432">
        <v>0</v>
      </c>
      <c r="CZ432">
        <v>0</v>
      </c>
      <c r="DB432">
        <v>0</v>
      </c>
      <c r="DC432" t="s">
        <v>1043</v>
      </c>
      <c r="DF432" t="s">
        <v>1055</v>
      </c>
      <c r="DH432">
        <v>0</v>
      </c>
      <c r="DJ432">
        <v>0</v>
      </c>
      <c r="DK432" t="s">
        <v>1053</v>
      </c>
      <c r="DL432">
        <v>0</v>
      </c>
      <c r="DN432">
        <v>0</v>
      </c>
      <c r="DO432" t="s">
        <v>1042</v>
      </c>
      <c r="DP432">
        <v>0</v>
      </c>
      <c r="DQ432">
        <v>0</v>
      </c>
      <c r="DS432">
        <v>0</v>
      </c>
      <c r="DU432">
        <v>0</v>
      </c>
      <c r="DW432">
        <v>0</v>
      </c>
      <c r="DX432" t="s">
        <v>1043</v>
      </c>
      <c r="DY432">
        <v>0</v>
      </c>
      <c r="DZ432">
        <v>0</v>
      </c>
      <c r="EA432">
        <v>0</v>
      </c>
      <c r="ED432" t="s">
        <v>1045</v>
      </c>
      <c r="EE432">
        <v>0</v>
      </c>
      <c r="EF432">
        <v>0</v>
      </c>
      <c r="EQ432" t="s">
        <v>1044</v>
      </c>
      <c r="ES432" t="s">
        <v>1053</v>
      </c>
      <c r="ET432">
        <v>0</v>
      </c>
      <c r="EV432">
        <v>0</v>
      </c>
      <c r="EY432" t="s">
        <v>1052</v>
      </c>
      <c r="EZ432">
        <v>0</v>
      </c>
      <c r="FA432" t="s">
        <v>1043</v>
      </c>
      <c r="FB432">
        <v>0</v>
      </c>
      <c r="FC432">
        <v>0</v>
      </c>
      <c r="FE432" t="s">
        <v>1050</v>
      </c>
      <c r="FF432">
        <v>0</v>
      </c>
      <c r="FG432" t="s">
        <v>1050</v>
      </c>
      <c r="FJ432">
        <v>0</v>
      </c>
      <c r="FK432">
        <v>0</v>
      </c>
      <c r="FP432">
        <v>0</v>
      </c>
      <c r="FR432">
        <v>0</v>
      </c>
      <c r="FS432" t="s">
        <v>1043</v>
      </c>
      <c r="FX432" t="s">
        <v>1042</v>
      </c>
      <c r="FZ432" t="s">
        <v>1048</v>
      </c>
      <c r="GA432">
        <v>0</v>
      </c>
      <c r="GB432" t="s">
        <v>1042</v>
      </c>
      <c r="GE432">
        <v>0</v>
      </c>
      <c r="GG432">
        <v>0</v>
      </c>
      <c r="GN432">
        <v>0</v>
      </c>
      <c r="GO432" t="s">
        <v>1063</v>
      </c>
      <c r="GQ432">
        <v>0</v>
      </c>
      <c r="GU432">
        <v>0</v>
      </c>
      <c r="GY432" t="s">
        <v>1045</v>
      </c>
      <c r="HB432">
        <v>0</v>
      </c>
      <c r="HE432">
        <v>0</v>
      </c>
      <c r="HF432">
        <v>0</v>
      </c>
      <c r="HG432">
        <v>0</v>
      </c>
      <c r="HK432" t="s">
        <v>1042</v>
      </c>
      <c r="HM432" t="s">
        <v>1047</v>
      </c>
      <c r="HN432">
        <v>0</v>
      </c>
      <c r="HP432">
        <v>0</v>
      </c>
      <c r="HQ432">
        <v>0</v>
      </c>
      <c r="HR432" s="20">
        <v>44221</v>
      </c>
      <c r="HS432" t="s">
        <v>1043</v>
      </c>
      <c r="HT432">
        <v>0</v>
      </c>
      <c r="HU432">
        <v>0</v>
      </c>
      <c r="HW432">
        <v>0</v>
      </c>
      <c r="HX432">
        <v>0</v>
      </c>
      <c r="HY432">
        <v>1</v>
      </c>
      <c r="HZ432" t="s">
        <v>1045</v>
      </c>
      <c r="IA432">
        <v>390</v>
      </c>
      <c r="IB432" t="s">
        <v>1045</v>
      </c>
      <c r="ID432" t="s">
        <v>1045</v>
      </c>
      <c r="IF432">
        <v>0</v>
      </c>
      <c r="IG432" t="s">
        <v>1042</v>
      </c>
      <c r="II432" t="s">
        <v>1042</v>
      </c>
      <c r="IR432" t="s">
        <v>1045</v>
      </c>
      <c r="IT432">
        <v>0</v>
      </c>
      <c r="IY432" t="s">
        <v>1044</v>
      </c>
      <c r="IZ432" t="s">
        <v>1043</v>
      </c>
      <c r="JC432" t="s">
        <v>1043</v>
      </c>
      <c r="JE432">
        <v>0</v>
      </c>
      <c r="JF432">
        <v>0</v>
      </c>
      <c r="JI432" t="s">
        <v>1042</v>
      </c>
      <c r="JJ432">
        <v>0</v>
      </c>
      <c r="JK432">
        <v>0</v>
      </c>
      <c r="JL432">
        <v>0</v>
      </c>
      <c r="JM432">
        <v>0</v>
      </c>
      <c r="JQ432" t="s">
        <v>1043</v>
      </c>
      <c r="JT432">
        <v>0</v>
      </c>
      <c r="JU432" t="s">
        <v>1042</v>
      </c>
      <c r="JW432">
        <v>0</v>
      </c>
      <c r="KA432">
        <v>0</v>
      </c>
      <c r="KF432">
        <v>0</v>
      </c>
      <c r="KG432">
        <v>0</v>
      </c>
      <c r="KH432">
        <v>0</v>
      </c>
      <c r="KI432">
        <v>0</v>
      </c>
      <c r="KS432" t="s">
        <v>1073</v>
      </c>
      <c r="KT432">
        <v>0</v>
      </c>
      <c r="KU432">
        <v>0</v>
      </c>
      <c r="KV432">
        <v>0</v>
      </c>
      <c r="KX432">
        <v>0</v>
      </c>
      <c r="KZ432">
        <v>0</v>
      </c>
      <c r="LF432">
        <v>0</v>
      </c>
      <c r="LH432">
        <v>0</v>
      </c>
      <c r="LI432">
        <v>0</v>
      </c>
    </row>
    <row r="433" spans="1:321" x14ac:dyDescent="0.35">
      <c r="A433">
        <v>1</v>
      </c>
      <c r="B433">
        <v>12645</v>
      </c>
      <c r="C433" t="s">
        <v>1249</v>
      </c>
      <c r="D433" t="s">
        <v>1139</v>
      </c>
      <c r="E433" t="s">
        <v>85</v>
      </c>
      <c r="F433">
        <v>80</v>
      </c>
      <c r="G433">
        <v>9000</v>
      </c>
      <c r="H433">
        <v>0</v>
      </c>
      <c r="I433" t="s">
        <v>1050</v>
      </c>
      <c r="L433">
        <v>0</v>
      </c>
      <c r="M433">
        <v>0</v>
      </c>
      <c r="N433">
        <v>0</v>
      </c>
      <c r="R433">
        <v>0</v>
      </c>
      <c r="S433">
        <v>0</v>
      </c>
      <c r="W433" t="s">
        <v>1060</v>
      </c>
      <c r="X433">
        <v>0</v>
      </c>
      <c r="Z433">
        <v>1</v>
      </c>
      <c r="AA433">
        <v>0</v>
      </c>
      <c r="AB433">
        <v>0</v>
      </c>
      <c r="AC433">
        <v>0</v>
      </c>
      <c r="AD433" s="20">
        <v>40801</v>
      </c>
      <c r="AE433">
        <v>808.5</v>
      </c>
      <c r="AF433">
        <v>0</v>
      </c>
      <c r="AH433">
        <v>0</v>
      </c>
      <c r="AJ433">
        <v>0</v>
      </c>
      <c r="AL433">
        <v>0</v>
      </c>
      <c r="AM433">
        <v>0</v>
      </c>
      <c r="AN433">
        <v>16301005</v>
      </c>
      <c r="AO433">
        <v>0</v>
      </c>
      <c r="AP433">
        <v>1000</v>
      </c>
      <c r="AT433">
        <v>0</v>
      </c>
      <c r="AU433" t="s">
        <v>1059</v>
      </c>
      <c r="AW433" t="s">
        <v>1053</v>
      </c>
      <c r="AX433">
        <v>0</v>
      </c>
      <c r="AY433" s="20">
        <v>40801</v>
      </c>
      <c r="BA433" s="20">
        <v>40801</v>
      </c>
      <c r="BB433" t="s">
        <v>1058</v>
      </c>
      <c r="BD433">
        <v>0</v>
      </c>
      <c r="BF433" t="s">
        <v>1043</v>
      </c>
      <c r="BG433" t="s">
        <v>1042</v>
      </c>
      <c r="BH433">
        <v>0</v>
      </c>
      <c r="BI433">
        <v>1</v>
      </c>
      <c r="BJ433">
        <v>0</v>
      </c>
      <c r="BK433">
        <v>0</v>
      </c>
      <c r="BM433" t="s">
        <v>1042</v>
      </c>
      <c r="BN433">
        <v>0</v>
      </c>
      <c r="BR433" t="s">
        <v>1043</v>
      </c>
      <c r="BS433" t="s">
        <v>1043</v>
      </c>
      <c r="BT433" t="s">
        <v>1043</v>
      </c>
      <c r="BW433">
        <v>76</v>
      </c>
      <c r="CA433">
        <v>0</v>
      </c>
      <c r="CB433" t="s">
        <v>1057</v>
      </c>
      <c r="CE433" t="s">
        <v>1043</v>
      </c>
      <c r="CH433" t="s">
        <v>1043</v>
      </c>
      <c r="CN433" t="s">
        <v>1056</v>
      </c>
      <c r="CO433" t="s">
        <v>1043</v>
      </c>
      <c r="CP433">
        <v>1</v>
      </c>
      <c r="CQ433">
        <v>0</v>
      </c>
      <c r="CS433">
        <v>0</v>
      </c>
      <c r="CT433">
        <v>0</v>
      </c>
      <c r="CU433">
        <v>0</v>
      </c>
      <c r="CV433" t="s">
        <v>1045</v>
      </c>
      <c r="CW433">
        <v>0</v>
      </c>
      <c r="CX433">
        <v>0</v>
      </c>
      <c r="CY433">
        <v>0</v>
      </c>
      <c r="CZ433">
        <v>0</v>
      </c>
      <c r="DB433">
        <v>0</v>
      </c>
      <c r="DC433" t="s">
        <v>1043</v>
      </c>
      <c r="DF433" t="s">
        <v>1055</v>
      </c>
      <c r="DH433">
        <v>0</v>
      </c>
      <c r="DJ433">
        <v>0</v>
      </c>
      <c r="DK433" t="s">
        <v>1053</v>
      </c>
      <c r="DL433">
        <v>0</v>
      </c>
      <c r="DN433">
        <v>0</v>
      </c>
      <c r="DO433" t="s">
        <v>1042</v>
      </c>
      <c r="DP433">
        <v>0</v>
      </c>
      <c r="DQ433">
        <v>0</v>
      </c>
      <c r="DS433">
        <v>0</v>
      </c>
      <c r="DU433">
        <v>0</v>
      </c>
      <c r="DW433">
        <v>0</v>
      </c>
      <c r="DX433" t="s">
        <v>1043</v>
      </c>
      <c r="DY433">
        <v>0</v>
      </c>
      <c r="DZ433">
        <v>0</v>
      </c>
      <c r="EA433">
        <v>0</v>
      </c>
      <c r="ED433" t="s">
        <v>1045</v>
      </c>
      <c r="EE433">
        <v>0</v>
      </c>
      <c r="EF433">
        <v>0</v>
      </c>
      <c r="EQ433" t="s">
        <v>1044</v>
      </c>
      <c r="ES433" t="s">
        <v>1053</v>
      </c>
      <c r="ET433">
        <v>0</v>
      </c>
      <c r="EV433">
        <v>0</v>
      </c>
      <c r="EY433" t="s">
        <v>1052</v>
      </c>
      <c r="EZ433">
        <v>0</v>
      </c>
      <c r="FA433" t="s">
        <v>1043</v>
      </c>
      <c r="FB433">
        <v>0</v>
      </c>
      <c r="FC433">
        <v>0</v>
      </c>
      <c r="FE433" t="s">
        <v>1050</v>
      </c>
      <c r="FF433">
        <v>0</v>
      </c>
      <c r="FG433" t="s">
        <v>1050</v>
      </c>
      <c r="FJ433">
        <v>0</v>
      </c>
      <c r="FK433">
        <v>0</v>
      </c>
      <c r="FP433">
        <v>0</v>
      </c>
      <c r="FR433">
        <v>0</v>
      </c>
      <c r="FS433" t="s">
        <v>1043</v>
      </c>
      <c r="FX433" t="s">
        <v>1042</v>
      </c>
      <c r="FZ433" t="s">
        <v>1048</v>
      </c>
      <c r="GA433">
        <v>0</v>
      </c>
      <c r="GB433" t="s">
        <v>1042</v>
      </c>
      <c r="GE433">
        <v>0</v>
      </c>
      <c r="GG433">
        <v>0</v>
      </c>
      <c r="GN433">
        <v>0</v>
      </c>
      <c r="GO433" t="s">
        <v>1063</v>
      </c>
      <c r="GQ433">
        <v>0</v>
      </c>
      <c r="GU433">
        <v>0</v>
      </c>
      <c r="GY433" t="s">
        <v>1045</v>
      </c>
      <c r="HB433">
        <v>0</v>
      </c>
      <c r="HE433">
        <v>0</v>
      </c>
      <c r="HF433">
        <v>0</v>
      </c>
      <c r="HG433">
        <v>0</v>
      </c>
      <c r="HK433" t="s">
        <v>1042</v>
      </c>
      <c r="HM433" t="s">
        <v>1047</v>
      </c>
      <c r="HN433">
        <v>0</v>
      </c>
      <c r="HP433">
        <v>0</v>
      </c>
      <c r="HQ433">
        <v>0</v>
      </c>
      <c r="HR433" t="s">
        <v>1042</v>
      </c>
      <c r="HS433" t="s">
        <v>1043</v>
      </c>
      <c r="HT433">
        <v>0</v>
      </c>
      <c r="HU433">
        <v>0</v>
      </c>
      <c r="HW433">
        <v>0</v>
      </c>
      <c r="HX433">
        <v>0</v>
      </c>
      <c r="HY433">
        <v>0</v>
      </c>
      <c r="HZ433" t="s">
        <v>1045</v>
      </c>
      <c r="IA433">
        <v>0</v>
      </c>
      <c r="IB433" t="s">
        <v>1045</v>
      </c>
      <c r="ID433" t="s">
        <v>1045</v>
      </c>
      <c r="IF433">
        <v>0</v>
      </c>
      <c r="IG433" t="s">
        <v>1042</v>
      </c>
      <c r="II433" t="s">
        <v>1042</v>
      </c>
      <c r="IR433" t="s">
        <v>1045</v>
      </c>
      <c r="IT433">
        <v>0</v>
      </c>
      <c r="IY433" t="s">
        <v>1044</v>
      </c>
      <c r="IZ433" t="s">
        <v>1043</v>
      </c>
      <c r="JC433" t="s">
        <v>1043</v>
      </c>
      <c r="JE433">
        <v>0</v>
      </c>
      <c r="JF433">
        <v>0</v>
      </c>
      <c r="JI433" t="s">
        <v>1042</v>
      </c>
      <c r="JJ433">
        <v>0</v>
      </c>
      <c r="JK433">
        <v>0</v>
      </c>
      <c r="JL433">
        <v>0</v>
      </c>
      <c r="JM433">
        <v>0</v>
      </c>
      <c r="JQ433" t="s">
        <v>1043</v>
      </c>
      <c r="JT433">
        <v>0</v>
      </c>
      <c r="JU433" t="s">
        <v>1042</v>
      </c>
      <c r="JW433">
        <v>0</v>
      </c>
      <c r="KA433">
        <v>0</v>
      </c>
      <c r="KF433">
        <v>0</v>
      </c>
      <c r="KG433">
        <v>0</v>
      </c>
      <c r="KH433">
        <v>0</v>
      </c>
      <c r="KI433">
        <v>0</v>
      </c>
      <c r="KS433" t="s">
        <v>1073</v>
      </c>
      <c r="KT433">
        <v>0</v>
      </c>
      <c r="KU433">
        <v>0</v>
      </c>
      <c r="KV433">
        <v>0</v>
      </c>
      <c r="KX433">
        <v>0</v>
      </c>
      <c r="KZ433">
        <v>0</v>
      </c>
      <c r="LF433">
        <v>0</v>
      </c>
      <c r="LH433">
        <v>0</v>
      </c>
      <c r="LI433">
        <v>0</v>
      </c>
    </row>
    <row r="434" spans="1:321" x14ac:dyDescent="0.35">
      <c r="A434">
        <v>1</v>
      </c>
      <c r="B434">
        <v>12646</v>
      </c>
      <c r="C434" t="s">
        <v>1248</v>
      </c>
      <c r="D434" t="s">
        <v>1139</v>
      </c>
      <c r="E434" t="s">
        <v>85</v>
      </c>
      <c r="F434">
        <v>80</v>
      </c>
      <c r="G434">
        <v>9000</v>
      </c>
      <c r="H434">
        <v>0</v>
      </c>
      <c r="I434" t="s">
        <v>1050</v>
      </c>
      <c r="L434">
        <v>0</v>
      </c>
      <c r="M434">
        <v>0</v>
      </c>
      <c r="N434">
        <v>0</v>
      </c>
      <c r="R434">
        <v>0</v>
      </c>
      <c r="S434">
        <v>0</v>
      </c>
      <c r="W434" t="s">
        <v>1060</v>
      </c>
      <c r="X434">
        <v>0</v>
      </c>
      <c r="Z434">
        <v>1</v>
      </c>
      <c r="AA434">
        <v>0</v>
      </c>
      <c r="AB434">
        <v>0</v>
      </c>
      <c r="AC434">
        <v>0</v>
      </c>
      <c r="AD434" s="20">
        <v>40801</v>
      </c>
      <c r="AE434">
        <v>338</v>
      </c>
      <c r="AF434">
        <v>0</v>
      </c>
      <c r="AH434">
        <v>0</v>
      </c>
      <c r="AJ434">
        <v>0</v>
      </c>
      <c r="AL434">
        <v>0</v>
      </c>
      <c r="AM434">
        <v>0</v>
      </c>
      <c r="AN434">
        <v>16301005</v>
      </c>
      <c r="AO434">
        <v>0</v>
      </c>
      <c r="AP434">
        <v>2740</v>
      </c>
      <c r="AT434">
        <v>0</v>
      </c>
      <c r="AU434" t="s">
        <v>1059</v>
      </c>
      <c r="AW434" t="s">
        <v>1053</v>
      </c>
      <c r="AX434">
        <v>0</v>
      </c>
      <c r="AY434" s="20">
        <v>40801</v>
      </c>
      <c r="BA434" s="20">
        <v>40801</v>
      </c>
      <c r="BB434" t="s">
        <v>1058</v>
      </c>
      <c r="BD434">
        <v>0</v>
      </c>
      <c r="BF434" t="s">
        <v>1043</v>
      </c>
      <c r="BG434" t="s">
        <v>1042</v>
      </c>
      <c r="BH434">
        <v>0</v>
      </c>
      <c r="BI434">
        <v>1</v>
      </c>
      <c r="BJ434">
        <v>0</v>
      </c>
      <c r="BK434">
        <v>0</v>
      </c>
      <c r="BM434" t="s">
        <v>1042</v>
      </c>
      <c r="BN434">
        <v>0</v>
      </c>
      <c r="BR434" t="s">
        <v>1043</v>
      </c>
      <c r="BS434" t="s">
        <v>1043</v>
      </c>
      <c r="BT434" t="s">
        <v>1043</v>
      </c>
      <c r="BW434">
        <v>76</v>
      </c>
      <c r="CA434">
        <v>0</v>
      </c>
      <c r="CB434" t="s">
        <v>1057</v>
      </c>
      <c r="CE434" t="s">
        <v>1043</v>
      </c>
      <c r="CH434" t="s">
        <v>1043</v>
      </c>
      <c r="CN434" t="s">
        <v>1056</v>
      </c>
      <c r="CO434" t="s">
        <v>1043</v>
      </c>
      <c r="CP434">
        <v>1</v>
      </c>
      <c r="CQ434">
        <v>0</v>
      </c>
      <c r="CS434">
        <v>0</v>
      </c>
      <c r="CT434">
        <v>0</v>
      </c>
      <c r="CU434">
        <v>0</v>
      </c>
      <c r="CV434" t="s">
        <v>1045</v>
      </c>
      <c r="CW434">
        <v>0</v>
      </c>
      <c r="CX434">
        <v>0</v>
      </c>
      <c r="CY434">
        <v>0</v>
      </c>
      <c r="CZ434">
        <v>0</v>
      </c>
      <c r="DB434">
        <v>0</v>
      </c>
      <c r="DC434" t="s">
        <v>1043</v>
      </c>
      <c r="DF434" t="s">
        <v>1055</v>
      </c>
      <c r="DH434">
        <v>0</v>
      </c>
      <c r="DJ434">
        <v>0</v>
      </c>
      <c r="DK434" t="s">
        <v>1053</v>
      </c>
      <c r="DL434">
        <v>0</v>
      </c>
      <c r="DN434">
        <v>0</v>
      </c>
      <c r="DO434" t="s">
        <v>1042</v>
      </c>
      <c r="DP434">
        <v>0</v>
      </c>
      <c r="DQ434">
        <v>0</v>
      </c>
      <c r="DS434">
        <v>0</v>
      </c>
      <c r="DU434">
        <v>0</v>
      </c>
      <c r="DW434">
        <v>0</v>
      </c>
      <c r="DX434" t="s">
        <v>1043</v>
      </c>
      <c r="DY434">
        <v>0</v>
      </c>
      <c r="DZ434">
        <v>0</v>
      </c>
      <c r="EA434">
        <v>0</v>
      </c>
      <c r="ED434" t="s">
        <v>1045</v>
      </c>
      <c r="EE434">
        <v>0</v>
      </c>
      <c r="EF434">
        <v>0</v>
      </c>
      <c r="EQ434" t="s">
        <v>1044</v>
      </c>
      <c r="ES434" t="s">
        <v>1053</v>
      </c>
      <c r="ET434">
        <v>0</v>
      </c>
      <c r="EV434">
        <v>0</v>
      </c>
      <c r="EY434" t="s">
        <v>1052</v>
      </c>
      <c r="EZ434">
        <v>0</v>
      </c>
      <c r="FA434" t="s">
        <v>1043</v>
      </c>
      <c r="FB434">
        <v>0</v>
      </c>
      <c r="FC434">
        <v>0</v>
      </c>
      <c r="FE434" t="s">
        <v>1050</v>
      </c>
      <c r="FF434">
        <v>0</v>
      </c>
      <c r="FG434" t="s">
        <v>1050</v>
      </c>
      <c r="FJ434">
        <v>0</v>
      </c>
      <c r="FK434">
        <v>0</v>
      </c>
      <c r="FP434">
        <v>0</v>
      </c>
      <c r="FR434">
        <v>0</v>
      </c>
      <c r="FS434" t="s">
        <v>1043</v>
      </c>
      <c r="FX434" t="s">
        <v>1042</v>
      </c>
      <c r="FZ434" t="s">
        <v>1048</v>
      </c>
      <c r="GA434">
        <v>0</v>
      </c>
      <c r="GB434" t="s">
        <v>1042</v>
      </c>
      <c r="GE434">
        <v>0</v>
      </c>
      <c r="GG434">
        <v>0</v>
      </c>
      <c r="GN434">
        <v>0</v>
      </c>
      <c r="GO434" t="s">
        <v>1063</v>
      </c>
      <c r="GQ434">
        <v>0</v>
      </c>
      <c r="GU434">
        <v>0</v>
      </c>
      <c r="GY434" t="s">
        <v>1045</v>
      </c>
      <c r="HB434">
        <v>0</v>
      </c>
      <c r="HE434">
        <v>0</v>
      </c>
      <c r="HF434">
        <v>0</v>
      </c>
      <c r="HG434">
        <v>0</v>
      </c>
      <c r="HK434" t="s">
        <v>1042</v>
      </c>
      <c r="HM434" t="s">
        <v>1047</v>
      </c>
      <c r="HN434">
        <v>0</v>
      </c>
      <c r="HP434">
        <v>0</v>
      </c>
      <c r="HQ434">
        <v>0</v>
      </c>
      <c r="HR434" t="s">
        <v>1042</v>
      </c>
      <c r="HS434" t="s">
        <v>1043</v>
      </c>
      <c r="HT434">
        <v>0</v>
      </c>
      <c r="HU434">
        <v>0</v>
      </c>
      <c r="HW434">
        <v>0</v>
      </c>
      <c r="HX434">
        <v>0</v>
      </c>
      <c r="HY434">
        <v>0</v>
      </c>
      <c r="HZ434" t="s">
        <v>1045</v>
      </c>
      <c r="IA434">
        <v>0</v>
      </c>
      <c r="IB434" t="s">
        <v>1045</v>
      </c>
      <c r="ID434" t="s">
        <v>1045</v>
      </c>
      <c r="IF434">
        <v>0</v>
      </c>
      <c r="IG434" t="s">
        <v>1042</v>
      </c>
      <c r="II434" t="s">
        <v>1042</v>
      </c>
      <c r="IR434" t="s">
        <v>1045</v>
      </c>
      <c r="IT434">
        <v>0</v>
      </c>
      <c r="IY434" t="s">
        <v>1044</v>
      </c>
      <c r="IZ434" t="s">
        <v>1043</v>
      </c>
      <c r="JC434" t="s">
        <v>1043</v>
      </c>
      <c r="JE434">
        <v>0</v>
      </c>
      <c r="JF434">
        <v>0</v>
      </c>
      <c r="JI434" t="s">
        <v>1042</v>
      </c>
      <c r="JJ434">
        <v>0</v>
      </c>
      <c r="JK434">
        <v>0</v>
      </c>
      <c r="JL434">
        <v>0</v>
      </c>
      <c r="JM434">
        <v>0</v>
      </c>
      <c r="JQ434" t="s">
        <v>1043</v>
      </c>
      <c r="JT434">
        <v>0</v>
      </c>
      <c r="JU434" t="s">
        <v>1042</v>
      </c>
      <c r="JW434">
        <v>0</v>
      </c>
      <c r="KA434">
        <v>0</v>
      </c>
      <c r="KF434">
        <v>0</v>
      </c>
      <c r="KG434">
        <v>0</v>
      </c>
      <c r="KH434">
        <v>0</v>
      </c>
      <c r="KI434">
        <v>0</v>
      </c>
      <c r="KS434" t="s">
        <v>1073</v>
      </c>
      <c r="KT434">
        <v>0</v>
      </c>
      <c r="KU434">
        <v>0</v>
      </c>
      <c r="KV434">
        <v>0</v>
      </c>
      <c r="KX434">
        <v>0</v>
      </c>
      <c r="KZ434">
        <v>0</v>
      </c>
      <c r="LF434">
        <v>0</v>
      </c>
      <c r="LH434">
        <v>0</v>
      </c>
      <c r="LI434">
        <v>0</v>
      </c>
    </row>
    <row r="435" spans="1:321" x14ac:dyDescent="0.35">
      <c r="A435">
        <v>1</v>
      </c>
      <c r="B435">
        <v>12647</v>
      </c>
      <c r="C435" t="s">
        <v>1247</v>
      </c>
      <c r="D435" t="s">
        <v>1139</v>
      </c>
      <c r="E435" t="s">
        <v>85</v>
      </c>
      <c r="F435">
        <v>80</v>
      </c>
      <c r="G435">
        <v>9000</v>
      </c>
      <c r="H435">
        <v>0</v>
      </c>
      <c r="I435" t="s">
        <v>1050</v>
      </c>
      <c r="L435">
        <v>0</v>
      </c>
      <c r="M435">
        <v>0</v>
      </c>
      <c r="N435">
        <v>0</v>
      </c>
      <c r="R435">
        <v>0</v>
      </c>
      <c r="S435">
        <v>0</v>
      </c>
      <c r="W435" t="s">
        <v>1060</v>
      </c>
      <c r="X435">
        <v>0</v>
      </c>
      <c r="Z435">
        <v>1</v>
      </c>
      <c r="AA435">
        <v>0</v>
      </c>
      <c r="AB435">
        <v>0</v>
      </c>
      <c r="AC435">
        <v>0</v>
      </c>
      <c r="AD435" s="20">
        <v>40801</v>
      </c>
      <c r="AE435">
        <v>224</v>
      </c>
      <c r="AF435">
        <v>0</v>
      </c>
      <c r="AH435">
        <v>0</v>
      </c>
      <c r="AJ435">
        <v>0</v>
      </c>
      <c r="AL435">
        <v>0</v>
      </c>
      <c r="AM435">
        <v>0</v>
      </c>
      <c r="AN435">
        <v>16301005</v>
      </c>
      <c r="AO435">
        <v>0</v>
      </c>
      <c r="AP435">
        <v>2740</v>
      </c>
      <c r="AT435">
        <v>0</v>
      </c>
      <c r="AU435" t="s">
        <v>1059</v>
      </c>
      <c r="AW435" t="s">
        <v>1053</v>
      </c>
      <c r="AX435">
        <v>0</v>
      </c>
      <c r="AY435" s="20">
        <v>40801</v>
      </c>
      <c r="BA435" s="20">
        <v>40801</v>
      </c>
      <c r="BB435" t="s">
        <v>1058</v>
      </c>
      <c r="BD435">
        <v>0</v>
      </c>
      <c r="BF435" t="s">
        <v>1043</v>
      </c>
      <c r="BG435" t="s">
        <v>1042</v>
      </c>
      <c r="BH435">
        <v>0</v>
      </c>
      <c r="BI435">
        <v>1</v>
      </c>
      <c r="BJ435">
        <v>0</v>
      </c>
      <c r="BK435">
        <v>0</v>
      </c>
      <c r="BM435" t="s">
        <v>1042</v>
      </c>
      <c r="BN435">
        <v>0</v>
      </c>
      <c r="BR435" t="s">
        <v>1043</v>
      </c>
      <c r="BS435" t="s">
        <v>1043</v>
      </c>
      <c r="BT435" t="s">
        <v>1043</v>
      </c>
      <c r="BW435">
        <v>83</v>
      </c>
      <c r="CA435">
        <v>0</v>
      </c>
      <c r="CB435" t="s">
        <v>1057</v>
      </c>
      <c r="CE435" t="s">
        <v>1043</v>
      </c>
      <c r="CH435" t="s">
        <v>1043</v>
      </c>
      <c r="CN435" t="s">
        <v>1056</v>
      </c>
      <c r="CO435" t="s">
        <v>1043</v>
      </c>
      <c r="CP435">
        <v>1</v>
      </c>
      <c r="CQ435">
        <v>0</v>
      </c>
      <c r="CS435">
        <v>0</v>
      </c>
      <c r="CT435">
        <v>0</v>
      </c>
      <c r="CU435">
        <v>0</v>
      </c>
      <c r="CV435" t="s">
        <v>1045</v>
      </c>
      <c r="CW435">
        <v>0</v>
      </c>
      <c r="CX435">
        <v>0</v>
      </c>
      <c r="CY435">
        <v>0</v>
      </c>
      <c r="CZ435">
        <v>0</v>
      </c>
      <c r="DB435">
        <v>0</v>
      </c>
      <c r="DC435" t="s">
        <v>1043</v>
      </c>
      <c r="DF435" t="s">
        <v>1055</v>
      </c>
      <c r="DH435">
        <v>0</v>
      </c>
      <c r="DJ435">
        <v>0</v>
      </c>
      <c r="DK435" t="s">
        <v>1053</v>
      </c>
      <c r="DL435">
        <v>0</v>
      </c>
      <c r="DN435">
        <v>0</v>
      </c>
      <c r="DO435" t="s">
        <v>1042</v>
      </c>
      <c r="DP435">
        <v>0</v>
      </c>
      <c r="DQ435">
        <v>0</v>
      </c>
      <c r="DS435">
        <v>0</v>
      </c>
      <c r="DU435">
        <v>0</v>
      </c>
      <c r="DW435">
        <v>0</v>
      </c>
      <c r="DX435" t="s">
        <v>1043</v>
      </c>
      <c r="DY435">
        <v>0</v>
      </c>
      <c r="DZ435">
        <v>0</v>
      </c>
      <c r="EA435">
        <v>0</v>
      </c>
      <c r="ED435" t="s">
        <v>1045</v>
      </c>
      <c r="EE435">
        <v>0</v>
      </c>
      <c r="EF435">
        <v>0</v>
      </c>
      <c r="EQ435" t="s">
        <v>1044</v>
      </c>
      <c r="ES435" t="s">
        <v>1053</v>
      </c>
      <c r="ET435">
        <v>0</v>
      </c>
      <c r="EV435">
        <v>0</v>
      </c>
      <c r="EY435" t="s">
        <v>1052</v>
      </c>
      <c r="EZ435">
        <v>0</v>
      </c>
      <c r="FA435" t="s">
        <v>1043</v>
      </c>
      <c r="FB435">
        <v>0</v>
      </c>
      <c r="FC435">
        <v>0</v>
      </c>
      <c r="FE435" t="s">
        <v>1050</v>
      </c>
      <c r="FF435">
        <v>0</v>
      </c>
      <c r="FG435" t="s">
        <v>1050</v>
      </c>
      <c r="FJ435">
        <v>0</v>
      </c>
      <c r="FK435">
        <v>0</v>
      </c>
      <c r="FP435">
        <v>0</v>
      </c>
      <c r="FR435">
        <v>0</v>
      </c>
      <c r="FS435" t="s">
        <v>1043</v>
      </c>
      <c r="FX435" t="s">
        <v>1042</v>
      </c>
      <c r="FZ435" t="s">
        <v>1048</v>
      </c>
      <c r="GA435">
        <v>0</v>
      </c>
      <c r="GB435" t="s">
        <v>1042</v>
      </c>
      <c r="GE435">
        <v>0</v>
      </c>
      <c r="GG435">
        <v>0</v>
      </c>
      <c r="GN435">
        <v>0</v>
      </c>
      <c r="GO435" t="s">
        <v>1063</v>
      </c>
      <c r="GQ435">
        <v>0</v>
      </c>
      <c r="GU435">
        <v>0</v>
      </c>
      <c r="GY435" t="s">
        <v>1045</v>
      </c>
      <c r="HB435">
        <v>0</v>
      </c>
      <c r="HE435">
        <v>0</v>
      </c>
      <c r="HF435">
        <v>0</v>
      </c>
      <c r="HG435">
        <v>0</v>
      </c>
      <c r="HK435" t="s">
        <v>1042</v>
      </c>
      <c r="HM435" t="s">
        <v>1047</v>
      </c>
      <c r="HN435">
        <v>0</v>
      </c>
      <c r="HP435">
        <v>0</v>
      </c>
      <c r="HQ435">
        <v>0</v>
      </c>
      <c r="HR435" t="s">
        <v>1042</v>
      </c>
      <c r="HS435" t="s">
        <v>1043</v>
      </c>
      <c r="HT435">
        <v>0</v>
      </c>
      <c r="HU435">
        <v>0</v>
      </c>
      <c r="HW435">
        <v>0</v>
      </c>
      <c r="HX435">
        <v>0</v>
      </c>
      <c r="HY435">
        <v>0</v>
      </c>
      <c r="HZ435" t="s">
        <v>1045</v>
      </c>
      <c r="IA435">
        <v>0</v>
      </c>
      <c r="IB435" t="s">
        <v>1045</v>
      </c>
      <c r="ID435" t="s">
        <v>1045</v>
      </c>
      <c r="IF435">
        <v>0</v>
      </c>
      <c r="IG435" t="s">
        <v>1042</v>
      </c>
      <c r="II435" t="s">
        <v>1042</v>
      </c>
      <c r="IR435" t="s">
        <v>1045</v>
      </c>
      <c r="IT435">
        <v>0</v>
      </c>
      <c r="IY435" t="s">
        <v>1044</v>
      </c>
      <c r="IZ435" t="s">
        <v>1043</v>
      </c>
      <c r="JC435" t="s">
        <v>1043</v>
      </c>
      <c r="JE435">
        <v>0</v>
      </c>
      <c r="JF435">
        <v>0</v>
      </c>
      <c r="JI435" t="s">
        <v>1042</v>
      </c>
      <c r="JJ435">
        <v>0</v>
      </c>
      <c r="JK435">
        <v>0</v>
      </c>
      <c r="JL435">
        <v>0</v>
      </c>
      <c r="JM435">
        <v>0</v>
      </c>
      <c r="JQ435" t="s">
        <v>1043</v>
      </c>
      <c r="JT435">
        <v>0</v>
      </c>
      <c r="JU435" t="s">
        <v>1042</v>
      </c>
      <c r="JW435">
        <v>0</v>
      </c>
      <c r="KA435">
        <v>0</v>
      </c>
      <c r="KF435">
        <v>0</v>
      </c>
      <c r="KG435">
        <v>0</v>
      </c>
      <c r="KH435">
        <v>0</v>
      </c>
      <c r="KI435">
        <v>0</v>
      </c>
      <c r="KS435" t="s">
        <v>1073</v>
      </c>
      <c r="KT435">
        <v>0</v>
      </c>
      <c r="KU435">
        <v>0</v>
      </c>
      <c r="KV435">
        <v>0</v>
      </c>
      <c r="KX435">
        <v>0</v>
      </c>
      <c r="KZ435">
        <v>0</v>
      </c>
      <c r="LF435">
        <v>0</v>
      </c>
      <c r="LH435">
        <v>0</v>
      </c>
      <c r="LI435">
        <v>0</v>
      </c>
    </row>
    <row r="436" spans="1:321" x14ac:dyDescent="0.35">
      <c r="A436">
        <v>1</v>
      </c>
      <c r="B436">
        <v>12648</v>
      </c>
      <c r="C436" t="s">
        <v>1246</v>
      </c>
      <c r="D436" t="s">
        <v>1139</v>
      </c>
      <c r="E436" t="s">
        <v>85</v>
      </c>
      <c r="F436">
        <v>80</v>
      </c>
      <c r="G436">
        <v>9000</v>
      </c>
      <c r="H436">
        <v>0</v>
      </c>
      <c r="I436" t="s">
        <v>1050</v>
      </c>
      <c r="L436">
        <v>0</v>
      </c>
      <c r="M436">
        <v>0</v>
      </c>
      <c r="N436">
        <v>0</v>
      </c>
      <c r="R436">
        <v>0</v>
      </c>
      <c r="S436">
        <v>0</v>
      </c>
      <c r="W436" t="s">
        <v>1060</v>
      </c>
      <c r="X436">
        <v>0</v>
      </c>
      <c r="Z436">
        <v>1</v>
      </c>
      <c r="AA436">
        <v>0</v>
      </c>
      <c r="AB436">
        <v>0</v>
      </c>
      <c r="AC436">
        <v>0</v>
      </c>
      <c r="AD436" s="20">
        <v>40801</v>
      </c>
      <c r="AE436">
        <v>66</v>
      </c>
      <c r="AF436">
        <v>0</v>
      </c>
      <c r="AH436">
        <v>0</v>
      </c>
      <c r="AJ436">
        <v>0</v>
      </c>
      <c r="AL436">
        <v>0</v>
      </c>
      <c r="AM436">
        <v>0</v>
      </c>
      <c r="AN436">
        <v>16301005</v>
      </c>
      <c r="AO436">
        <v>0</v>
      </c>
      <c r="AP436">
        <v>2740</v>
      </c>
      <c r="AT436">
        <v>0</v>
      </c>
      <c r="AU436" t="s">
        <v>1059</v>
      </c>
      <c r="AW436" t="s">
        <v>1053</v>
      </c>
      <c r="AX436">
        <v>0</v>
      </c>
      <c r="AY436" s="20">
        <v>40801</v>
      </c>
      <c r="BA436" s="20">
        <v>40801</v>
      </c>
      <c r="BB436" t="s">
        <v>1058</v>
      </c>
      <c r="BD436">
        <v>0</v>
      </c>
      <c r="BF436" t="s">
        <v>1043</v>
      </c>
      <c r="BG436" t="s">
        <v>1042</v>
      </c>
      <c r="BH436">
        <v>0</v>
      </c>
      <c r="BI436">
        <v>1</v>
      </c>
      <c r="BJ436">
        <v>0</v>
      </c>
      <c r="BK436">
        <v>0</v>
      </c>
      <c r="BM436" t="s">
        <v>1042</v>
      </c>
      <c r="BN436">
        <v>0</v>
      </c>
      <c r="BR436" t="s">
        <v>1043</v>
      </c>
      <c r="BS436" t="s">
        <v>1043</v>
      </c>
      <c r="BT436" t="s">
        <v>1043</v>
      </c>
      <c r="BW436">
        <v>76</v>
      </c>
      <c r="CA436">
        <v>0</v>
      </c>
      <c r="CB436" t="s">
        <v>1057</v>
      </c>
      <c r="CE436" t="s">
        <v>1043</v>
      </c>
      <c r="CH436" t="s">
        <v>1043</v>
      </c>
      <c r="CN436" t="s">
        <v>1056</v>
      </c>
      <c r="CO436" t="s">
        <v>1043</v>
      </c>
      <c r="CP436">
        <v>1</v>
      </c>
      <c r="CQ436">
        <v>0</v>
      </c>
      <c r="CS436">
        <v>0</v>
      </c>
      <c r="CT436">
        <v>0</v>
      </c>
      <c r="CU436">
        <v>0</v>
      </c>
      <c r="CV436" t="s">
        <v>1045</v>
      </c>
      <c r="CW436">
        <v>0</v>
      </c>
      <c r="CX436">
        <v>0</v>
      </c>
      <c r="CY436">
        <v>0</v>
      </c>
      <c r="CZ436">
        <v>0</v>
      </c>
      <c r="DB436">
        <v>0</v>
      </c>
      <c r="DC436" t="s">
        <v>1043</v>
      </c>
      <c r="DF436" t="s">
        <v>1055</v>
      </c>
      <c r="DH436">
        <v>0</v>
      </c>
      <c r="DJ436">
        <v>0</v>
      </c>
      <c r="DK436" t="s">
        <v>1053</v>
      </c>
      <c r="DL436">
        <v>0</v>
      </c>
      <c r="DN436">
        <v>0</v>
      </c>
      <c r="DO436" t="s">
        <v>1042</v>
      </c>
      <c r="DP436">
        <v>0</v>
      </c>
      <c r="DQ436">
        <v>0</v>
      </c>
      <c r="DS436">
        <v>0</v>
      </c>
      <c r="DU436">
        <v>0</v>
      </c>
      <c r="DW436">
        <v>0</v>
      </c>
      <c r="DX436" t="s">
        <v>1043</v>
      </c>
      <c r="DY436">
        <v>0</v>
      </c>
      <c r="DZ436">
        <v>0</v>
      </c>
      <c r="EA436">
        <v>0</v>
      </c>
      <c r="ED436" t="s">
        <v>1045</v>
      </c>
      <c r="EE436">
        <v>0</v>
      </c>
      <c r="EF436">
        <v>0</v>
      </c>
      <c r="EQ436" t="s">
        <v>1044</v>
      </c>
      <c r="ES436" t="s">
        <v>1053</v>
      </c>
      <c r="ET436">
        <v>0</v>
      </c>
      <c r="EV436">
        <v>0</v>
      </c>
      <c r="EY436" t="s">
        <v>1052</v>
      </c>
      <c r="EZ436">
        <v>0</v>
      </c>
      <c r="FA436" t="s">
        <v>1043</v>
      </c>
      <c r="FB436">
        <v>0</v>
      </c>
      <c r="FC436">
        <v>0</v>
      </c>
      <c r="FE436" t="s">
        <v>1050</v>
      </c>
      <c r="FF436">
        <v>0</v>
      </c>
      <c r="FG436" t="s">
        <v>1050</v>
      </c>
      <c r="FJ436">
        <v>0</v>
      </c>
      <c r="FK436">
        <v>0</v>
      </c>
      <c r="FP436">
        <v>0</v>
      </c>
      <c r="FR436">
        <v>0</v>
      </c>
      <c r="FS436" t="s">
        <v>1043</v>
      </c>
      <c r="FX436" t="s">
        <v>1042</v>
      </c>
      <c r="FZ436" t="s">
        <v>1048</v>
      </c>
      <c r="GA436">
        <v>0</v>
      </c>
      <c r="GB436" t="s">
        <v>1042</v>
      </c>
      <c r="GE436">
        <v>0</v>
      </c>
      <c r="GG436">
        <v>0</v>
      </c>
      <c r="GN436">
        <v>0</v>
      </c>
      <c r="GO436" t="s">
        <v>1063</v>
      </c>
      <c r="GQ436">
        <v>0</v>
      </c>
      <c r="GU436">
        <v>0</v>
      </c>
      <c r="GY436" t="s">
        <v>1045</v>
      </c>
      <c r="HB436">
        <v>0</v>
      </c>
      <c r="HE436">
        <v>0</v>
      </c>
      <c r="HF436">
        <v>0</v>
      </c>
      <c r="HG436">
        <v>0</v>
      </c>
      <c r="HK436" t="s">
        <v>1042</v>
      </c>
      <c r="HM436" t="s">
        <v>1047</v>
      </c>
      <c r="HN436">
        <v>0</v>
      </c>
      <c r="HP436">
        <v>0</v>
      </c>
      <c r="HQ436">
        <v>0</v>
      </c>
      <c r="HR436" t="s">
        <v>1042</v>
      </c>
      <c r="HS436" t="s">
        <v>1043</v>
      </c>
      <c r="HT436">
        <v>0</v>
      </c>
      <c r="HU436">
        <v>0</v>
      </c>
      <c r="HW436">
        <v>0</v>
      </c>
      <c r="HX436">
        <v>0</v>
      </c>
      <c r="HY436">
        <v>0</v>
      </c>
      <c r="HZ436" t="s">
        <v>1045</v>
      </c>
      <c r="IA436">
        <v>0</v>
      </c>
      <c r="IB436" t="s">
        <v>1045</v>
      </c>
      <c r="ID436" t="s">
        <v>1045</v>
      </c>
      <c r="IF436">
        <v>0</v>
      </c>
      <c r="IG436" t="s">
        <v>1042</v>
      </c>
      <c r="II436" t="s">
        <v>1042</v>
      </c>
      <c r="IR436" t="s">
        <v>1045</v>
      </c>
      <c r="IT436">
        <v>0</v>
      </c>
      <c r="IY436" t="s">
        <v>1044</v>
      </c>
      <c r="IZ436" t="s">
        <v>1043</v>
      </c>
      <c r="JC436" t="s">
        <v>1043</v>
      </c>
      <c r="JE436">
        <v>0</v>
      </c>
      <c r="JF436">
        <v>0</v>
      </c>
      <c r="JI436" t="s">
        <v>1042</v>
      </c>
      <c r="JJ436">
        <v>0</v>
      </c>
      <c r="JK436">
        <v>0</v>
      </c>
      <c r="JL436">
        <v>0</v>
      </c>
      <c r="JM436">
        <v>0</v>
      </c>
      <c r="JQ436" t="s">
        <v>1043</v>
      </c>
      <c r="JT436">
        <v>0</v>
      </c>
      <c r="JU436" t="s">
        <v>1042</v>
      </c>
      <c r="JW436">
        <v>0</v>
      </c>
      <c r="KA436">
        <v>0</v>
      </c>
      <c r="KF436">
        <v>0</v>
      </c>
      <c r="KG436">
        <v>0</v>
      </c>
      <c r="KH436">
        <v>0</v>
      </c>
      <c r="KI436">
        <v>0</v>
      </c>
      <c r="KS436" t="s">
        <v>1073</v>
      </c>
      <c r="KT436">
        <v>0</v>
      </c>
      <c r="KU436">
        <v>0</v>
      </c>
      <c r="KV436">
        <v>0</v>
      </c>
      <c r="KX436">
        <v>0</v>
      </c>
      <c r="KZ436">
        <v>0</v>
      </c>
      <c r="LF436">
        <v>0</v>
      </c>
      <c r="LH436">
        <v>0</v>
      </c>
      <c r="LI436">
        <v>0</v>
      </c>
    </row>
    <row r="437" spans="1:321" x14ac:dyDescent="0.35">
      <c r="A437">
        <v>1</v>
      </c>
      <c r="B437">
        <v>12649</v>
      </c>
      <c r="C437" t="s">
        <v>1245</v>
      </c>
      <c r="D437" t="s">
        <v>1139</v>
      </c>
      <c r="E437" t="s">
        <v>85</v>
      </c>
      <c r="F437">
        <v>80</v>
      </c>
      <c r="G437">
        <v>9000</v>
      </c>
      <c r="H437">
        <v>0</v>
      </c>
      <c r="I437" t="s">
        <v>1244</v>
      </c>
      <c r="L437">
        <v>0</v>
      </c>
      <c r="M437">
        <v>0</v>
      </c>
      <c r="N437">
        <v>0</v>
      </c>
      <c r="R437">
        <v>0</v>
      </c>
      <c r="S437">
        <v>0</v>
      </c>
      <c r="W437" t="s">
        <v>1060</v>
      </c>
      <c r="X437">
        <v>0</v>
      </c>
      <c r="Z437">
        <v>1</v>
      </c>
      <c r="AA437">
        <v>0</v>
      </c>
      <c r="AB437">
        <v>0</v>
      </c>
      <c r="AC437">
        <v>60.241199999999999</v>
      </c>
      <c r="AD437" s="20">
        <v>40932</v>
      </c>
      <c r="AE437">
        <v>65.195881999999997</v>
      </c>
      <c r="AF437">
        <v>0</v>
      </c>
      <c r="AH437">
        <v>0</v>
      </c>
      <c r="AJ437">
        <v>0</v>
      </c>
      <c r="AL437">
        <v>1</v>
      </c>
      <c r="AM437">
        <v>0</v>
      </c>
      <c r="AN437">
        <v>16301005</v>
      </c>
      <c r="AO437">
        <v>0</v>
      </c>
      <c r="AP437">
        <v>2740</v>
      </c>
      <c r="AT437">
        <v>0</v>
      </c>
      <c r="AU437" t="s">
        <v>1059</v>
      </c>
      <c r="AW437" t="s">
        <v>1053</v>
      </c>
      <c r="AX437">
        <v>0</v>
      </c>
      <c r="AY437" s="20">
        <v>40932</v>
      </c>
      <c r="BA437" s="20">
        <v>40801</v>
      </c>
      <c r="BB437" t="s">
        <v>1058</v>
      </c>
      <c r="BD437">
        <v>0</v>
      </c>
      <c r="BF437" t="s">
        <v>1043</v>
      </c>
      <c r="BG437" t="s">
        <v>1042</v>
      </c>
      <c r="BH437">
        <v>0</v>
      </c>
      <c r="BI437">
        <v>1</v>
      </c>
      <c r="BJ437">
        <v>0</v>
      </c>
      <c r="BK437">
        <v>0</v>
      </c>
      <c r="BM437" t="s">
        <v>1042</v>
      </c>
      <c r="BN437">
        <v>0</v>
      </c>
      <c r="BR437" t="s">
        <v>1043</v>
      </c>
      <c r="BS437" t="s">
        <v>1043</v>
      </c>
      <c r="BT437" t="s">
        <v>1043</v>
      </c>
      <c r="BW437">
        <v>76</v>
      </c>
      <c r="CA437">
        <v>0</v>
      </c>
      <c r="CB437" t="s">
        <v>1057</v>
      </c>
      <c r="CE437" t="s">
        <v>1043</v>
      </c>
      <c r="CH437" t="s">
        <v>1043</v>
      </c>
      <c r="CN437" t="s">
        <v>1056</v>
      </c>
      <c r="CO437" t="s">
        <v>1043</v>
      </c>
      <c r="CP437">
        <v>1</v>
      </c>
      <c r="CQ437">
        <v>0</v>
      </c>
      <c r="CS437">
        <v>0</v>
      </c>
      <c r="CT437">
        <v>0</v>
      </c>
      <c r="CU437">
        <v>0</v>
      </c>
      <c r="CV437" t="s">
        <v>1045</v>
      </c>
      <c r="CW437">
        <v>0</v>
      </c>
      <c r="CX437">
        <v>0</v>
      </c>
      <c r="CY437">
        <v>0</v>
      </c>
      <c r="CZ437">
        <v>0</v>
      </c>
      <c r="DB437">
        <v>0</v>
      </c>
      <c r="DC437" t="s">
        <v>1043</v>
      </c>
      <c r="DF437" t="s">
        <v>1055</v>
      </c>
      <c r="DH437">
        <v>0</v>
      </c>
      <c r="DJ437">
        <v>0</v>
      </c>
      <c r="DK437" t="s">
        <v>1053</v>
      </c>
      <c r="DL437">
        <v>0</v>
      </c>
      <c r="DN437">
        <v>0</v>
      </c>
      <c r="DO437" t="s">
        <v>1042</v>
      </c>
      <c r="DP437">
        <v>0</v>
      </c>
      <c r="DQ437">
        <v>0</v>
      </c>
      <c r="DS437">
        <v>0</v>
      </c>
      <c r="DU437">
        <v>0</v>
      </c>
      <c r="DW437">
        <v>0</v>
      </c>
      <c r="DX437" t="s">
        <v>1043</v>
      </c>
      <c r="DY437">
        <v>0</v>
      </c>
      <c r="DZ437">
        <v>0</v>
      </c>
      <c r="EA437">
        <v>0</v>
      </c>
      <c r="ED437" t="s">
        <v>1045</v>
      </c>
      <c r="EE437">
        <v>0</v>
      </c>
      <c r="EF437">
        <v>0</v>
      </c>
      <c r="EQ437" t="s">
        <v>1044</v>
      </c>
      <c r="ES437" t="s">
        <v>1053</v>
      </c>
      <c r="ET437">
        <v>0</v>
      </c>
      <c r="EV437">
        <v>0</v>
      </c>
      <c r="EY437" t="s">
        <v>1052</v>
      </c>
      <c r="EZ437">
        <v>0</v>
      </c>
      <c r="FA437" t="s">
        <v>1043</v>
      </c>
      <c r="FB437">
        <v>0</v>
      </c>
      <c r="FC437">
        <v>0</v>
      </c>
      <c r="FE437" t="s">
        <v>1050</v>
      </c>
      <c r="FF437">
        <v>0</v>
      </c>
      <c r="FG437" t="s">
        <v>1050</v>
      </c>
      <c r="FJ437">
        <v>0</v>
      </c>
      <c r="FK437">
        <v>0</v>
      </c>
      <c r="FP437">
        <v>0</v>
      </c>
      <c r="FR437">
        <v>0</v>
      </c>
      <c r="FS437" t="s">
        <v>1043</v>
      </c>
      <c r="FX437" t="s">
        <v>1042</v>
      </c>
      <c r="FZ437" t="s">
        <v>1048</v>
      </c>
      <c r="GA437">
        <v>0</v>
      </c>
      <c r="GB437" t="s">
        <v>1042</v>
      </c>
      <c r="GE437">
        <v>0</v>
      </c>
      <c r="GG437">
        <v>0</v>
      </c>
      <c r="GN437">
        <v>0</v>
      </c>
      <c r="GO437" t="s">
        <v>1063</v>
      </c>
      <c r="GQ437">
        <v>0</v>
      </c>
      <c r="GU437">
        <v>0</v>
      </c>
      <c r="GY437" t="s">
        <v>1045</v>
      </c>
      <c r="HB437">
        <v>0</v>
      </c>
      <c r="HE437">
        <v>0</v>
      </c>
      <c r="HF437">
        <v>0</v>
      </c>
      <c r="HG437">
        <v>0</v>
      </c>
      <c r="HK437" t="s">
        <v>1042</v>
      </c>
      <c r="HM437" t="s">
        <v>1047</v>
      </c>
      <c r="HN437">
        <v>0</v>
      </c>
      <c r="HP437">
        <v>0</v>
      </c>
      <c r="HQ437">
        <v>0</v>
      </c>
      <c r="HR437" s="20">
        <v>44221</v>
      </c>
      <c r="HS437" t="s">
        <v>1043</v>
      </c>
      <c r="HT437">
        <v>0</v>
      </c>
      <c r="HU437">
        <v>0</v>
      </c>
      <c r="HW437">
        <v>0</v>
      </c>
      <c r="HX437">
        <v>0</v>
      </c>
      <c r="HY437">
        <v>0</v>
      </c>
      <c r="HZ437" t="s">
        <v>1045</v>
      </c>
      <c r="IA437">
        <v>0</v>
      </c>
      <c r="IB437" t="s">
        <v>1045</v>
      </c>
      <c r="ID437" t="s">
        <v>1045</v>
      </c>
      <c r="IF437">
        <v>0</v>
      </c>
      <c r="IG437" t="s">
        <v>1042</v>
      </c>
      <c r="II437" t="s">
        <v>1042</v>
      </c>
      <c r="IR437" t="s">
        <v>1045</v>
      </c>
      <c r="IT437">
        <v>0</v>
      </c>
      <c r="IY437" t="s">
        <v>1044</v>
      </c>
      <c r="IZ437" t="s">
        <v>1043</v>
      </c>
      <c r="JC437" t="s">
        <v>1043</v>
      </c>
      <c r="JE437">
        <v>0</v>
      </c>
      <c r="JF437">
        <v>0</v>
      </c>
      <c r="JI437" t="s">
        <v>1042</v>
      </c>
      <c r="JJ437">
        <v>0</v>
      </c>
      <c r="JK437">
        <v>0</v>
      </c>
      <c r="JL437">
        <v>0</v>
      </c>
      <c r="JM437">
        <v>0</v>
      </c>
      <c r="JQ437" t="s">
        <v>1043</v>
      </c>
      <c r="JT437">
        <v>0</v>
      </c>
      <c r="JU437" t="s">
        <v>1042</v>
      </c>
      <c r="JW437">
        <v>0</v>
      </c>
      <c r="KA437">
        <v>0</v>
      </c>
      <c r="KF437">
        <v>0</v>
      </c>
      <c r="KG437">
        <v>0</v>
      </c>
      <c r="KH437">
        <v>0</v>
      </c>
      <c r="KI437">
        <v>0</v>
      </c>
      <c r="KS437" t="s">
        <v>1073</v>
      </c>
      <c r="KT437">
        <v>0</v>
      </c>
      <c r="KU437">
        <v>0</v>
      </c>
      <c r="KV437">
        <v>0</v>
      </c>
      <c r="KX437">
        <v>0</v>
      </c>
      <c r="KZ437">
        <v>0</v>
      </c>
      <c r="LF437">
        <v>0</v>
      </c>
      <c r="LH437">
        <v>0</v>
      </c>
      <c r="LI437">
        <v>0</v>
      </c>
    </row>
    <row r="438" spans="1:321" x14ac:dyDescent="0.35">
      <c r="A438">
        <v>1</v>
      </c>
      <c r="B438">
        <v>1265</v>
      </c>
      <c r="C438" t="s">
        <v>648</v>
      </c>
      <c r="D438" t="s">
        <v>1061</v>
      </c>
      <c r="E438" t="s">
        <v>85</v>
      </c>
      <c r="F438">
        <v>1</v>
      </c>
      <c r="G438">
        <v>240</v>
      </c>
      <c r="H438">
        <v>0</v>
      </c>
      <c r="I438" t="s">
        <v>994</v>
      </c>
      <c r="L438">
        <v>0</v>
      </c>
      <c r="M438">
        <v>0</v>
      </c>
      <c r="N438">
        <v>0</v>
      </c>
      <c r="P438">
        <v>13</v>
      </c>
      <c r="Q438">
        <v>516</v>
      </c>
      <c r="R438">
        <v>0</v>
      </c>
      <c r="S438">
        <v>0</v>
      </c>
      <c r="W438" t="s">
        <v>1060</v>
      </c>
      <c r="X438">
        <v>0</v>
      </c>
      <c r="Z438">
        <v>24</v>
      </c>
      <c r="AA438">
        <v>11.380699999999999</v>
      </c>
      <c r="AB438">
        <v>160895</v>
      </c>
      <c r="AC438">
        <v>0.46</v>
      </c>
      <c r="AD438" s="20">
        <v>42977</v>
      </c>
      <c r="AE438">
        <v>0.4945</v>
      </c>
      <c r="AF438">
        <v>4.7199999999999999E-2</v>
      </c>
      <c r="AH438">
        <v>48549</v>
      </c>
      <c r="AJ438">
        <v>0</v>
      </c>
      <c r="AL438">
        <v>441552</v>
      </c>
      <c r="AM438">
        <v>5009</v>
      </c>
      <c r="AN438">
        <v>11501001</v>
      </c>
      <c r="AO438">
        <v>0</v>
      </c>
      <c r="AP438">
        <v>1002</v>
      </c>
      <c r="AT438">
        <v>1</v>
      </c>
      <c r="AU438" t="s">
        <v>1059</v>
      </c>
      <c r="AW438" t="s">
        <v>1053</v>
      </c>
      <c r="AX438">
        <v>5</v>
      </c>
      <c r="AY438" s="20">
        <v>42977</v>
      </c>
      <c r="BA438" s="20">
        <v>44210</v>
      </c>
      <c r="BB438" t="s">
        <v>1058</v>
      </c>
      <c r="BD438">
        <v>0</v>
      </c>
      <c r="BF438" t="s">
        <v>1044</v>
      </c>
      <c r="BG438" s="20">
        <v>40578</v>
      </c>
      <c r="BH438">
        <v>0</v>
      </c>
      <c r="BI438">
        <v>21</v>
      </c>
      <c r="BJ438">
        <v>0</v>
      </c>
      <c r="BK438">
        <v>0</v>
      </c>
      <c r="BM438" s="20">
        <v>40541</v>
      </c>
      <c r="BN438">
        <v>0</v>
      </c>
      <c r="BO438">
        <v>7897801310444</v>
      </c>
      <c r="BR438" t="s">
        <v>1043</v>
      </c>
      <c r="BS438" t="s">
        <v>1043</v>
      </c>
      <c r="BT438" t="s">
        <v>1043</v>
      </c>
      <c r="BV438">
        <v>1</v>
      </c>
      <c r="BW438">
        <v>2</v>
      </c>
      <c r="BY438">
        <v>69</v>
      </c>
      <c r="CA438">
        <v>0</v>
      </c>
      <c r="CB438" t="s">
        <v>1057</v>
      </c>
      <c r="CE438" t="s">
        <v>1043</v>
      </c>
      <c r="CH438" t="s">
        <v>1043</v>
      </c>
      <c r="CN438" t="s">
        <v>1056</v>
      </c>
      <c r="CO438" t="s">
        <v>1043</v>
      </c>
      <c r="CP438">
        <v>1</v>
      </c>
      <c r="CQ438">
        <v>2100</v>
      </c>
      <c r="CS438">
        <v>0</v>
      </c>
      <c r="CT438">
        <v>0</v>
      </c>
      <c r="CU438">
        <v>0</v>
      </c>
      <c r="CW438">
        <v>0</v>
      </c>
      <c r="CX438">
        <v>0</v>
      </c>
      <c r="CY438">
        <v>0</v>
      </c>
      <c r="CZ438">
        <v>0</v>
      </c>
      <c r="DA438">
        <v>8</v>
      </c>
      <c r="DB438">
        <v>320000</v>
      </c>
      <c r="DC438" t="s">
        <v>1043</v>
      </c>
      <c r="DF438" t="s">
        <v>1055</v>
      </c>
      <c r="DH438">
        <v>0</v>
      </c>
      <c r="DJ438">
        <v>0</v>
      </c>
      <c r="DK438" t="s">
        <v>1053</v>
      </c>
      <c r="DL438">
        <v>0</v>
      </c>
      <c r="DN438">
        <v>0</v>
      </c>
      <c r="DO438" t="s">
        <v>1042</v>
      </c>
      <c r="DP438">
        <v>0</v>
      </c>
      <c r="DQ438">
        <v>7.6</v>
      </c>
      <c r="DS438">
        <v>0</v>
      </c>
      <c r="DU438">
        <v>1.65</v>
      </c>
      <c r="DW438">
        <v>0</v>
      </c>
      <c r="DX438" t="s">
        <v>1043</v>
      </c>
      <c r="DY438">
        <v>0</v>
      </c>
      <c r="DZ438">
        <v>0</v>
      </c>
      <c r="EA438">
        <v>0</v>
      </c>
      <c r="EB438">
        <v>17897801310441</v>
      </c>
      <c r="ED438" t="s">
        <v>1045</v>
      </c>
      <c r="EE438">
        <v>0</v>
      </c>
      <c r="EF438">
        <v>0</v>
      </c>
      <c r="EK438" t="s">
        <v>1054</v>
      </c>
      <c r="EL438">
        <v>57897801310449</v>
      </c>
      <c r="EN438" t="s">
        <v>1012</v>
      </c>
      <c r="EQ438" t="s">
        <v>1044</v>
      </c>
      <c r="ES438" t="s">
        <v>1053</v>
      </c>
      <c r="ET438">
        <v>0</v>
      </c>
      <c r="EV438">
        <v>0</v>
      </c>
      <c r="EY438" t="s">
        <v>1052</v>
      </c>
      <c r="EZ438">
        <v>0</v>
      </c>
      <c r="FA438" t="s">
        <v>1043</v>
      </c>
      <c r="FB438">
        <v>0</v>
      </c>
      <c r="FC438">
        <v>0</v>
      </c>
      <c r="FD438" t="s">
        <v>1051</v>
      </c>
      <c r="FE438" t="s">
        <v>1050</v>
      </c>
      <c r="FF438">
        <v>240</v>
      </c>
      <c r="FG438" t="s">
        <v>1050</v>
      </c>
      <c r="FH438">
        <v>27897801310448</v>
      </c>
      <c r="FJ438">
        <v>0</v>
      </c>
      <c r="FK438">
        <v>0</v>
      </c>
      <c r="FP438">
        <v>0</v>
      </c>
      <c r="FR438">
        <v>0</v>
      </c>
      <c r="FS438" t="s">
        <v>1043</v>
      </c>
      <c r="FX438" t="s">
        <v>1042</v>
      </c>
      <c r="FZ438" t="s">
        <v>1048</v>
      </c>
      <c r="GA438">
        <v>0</v>
      </c>
      <c r="GB438" t="s">
        <v>1042</v>
      </c>
      <c r="GD438">
        <v>16</v>
      </c>
      <c r="GE438">
        <v>0</v>
      </c>
      <c r="GG438">
        <v>0</v>
      </c>
      <c r="GN438">
        <v>0</v>
      </c>
      <c r="GO438" t="s">
        <v>1049</v>
      </c>
      <c r="GQ438">
        <v>0</v>
      </c>
      <c r="GU438">
        <v>2</v>
      </c>
      <c r="GY438" t="s">
        <v>1045</v>
      </c>
      <c r="HB438">
        <v>0</v>
      </c>
      <c r="HE438">
        <v>10</v>
      </c>
      <c r="HF438">
        <v>15</v>
      </c>
      <c r="HG438">
        <v>7.7000000000000002E-3</v>
      </c>
      <c r="HK438" t="s">
        <v>1042</v>
      </c>
      <c r="HL438" t="s">
        <v>1048</v>
      </c>
      <c r="HM438" t="s">
        <v>1047</v>
      </c>
      <c r="HN438">
        <v>0</v>
      </c>
      <c r="HO438">
        <v>25</v>
      </c>
      <c r="HP438">
        <v>4.6800000000000001E-2</v>
      </c>
      <c r="HQ438">
        <v>0</v>
      </c>
      <c r="HR438" s="20">
        <v>44221</v>
      </c>
      <c r="HS438" t="s">
        <v>1043</v>
      </c>
      <c r="HT438">
        <v>0</v>
      </c>
      <c r="HU438">
        <v>0</v>
      </c>
      <c r="HW438">
        <v>0</v>
      </c>
      <c r="HX438">
        <v>329414</v>
      </c>
      <c r="HY438">
        <v>0</v>
      </c>
      <c r="HZ438" t="s">
        <v>1045</v>
      </c>
      <c r="IA438">
        <v>0</v>
      </c>
      <c r="IB438" t="s">
        <v>1045</v>
      </c>
      <c r="ID438" t="s">
        <v>1045</v>
      </c>
      <c r="IF438">
        <v>6000</v>
      </c>
      <c r="IG438" s="20">
        <v>40578</v>
      </c>
      <c r="II438" t="s">
        <v>1042</v>
      </c>
      <c r="IR438" t="s">
        <v>1045</v>
      </c>
      <c r="IT438">
        <v>0</v>
      </c>
      <c r="IY438" t="s">
        <v>1044</v>
      </c>
      <c r="IZ438" t="s">
        <v>1043</v>
      </c>
      <c r="JE438">
        <v>0</v>
      </c>
      <c r="JF438">
        <v>0</v>
      </c>
      <c r="JI438" t="s">
        <v>1042</v>
      </c>
      <c r="JJ438">
        <v>0</v>
      </c>
      <c r="JK438">
        <v>0</v>
      </c>
      <c r="JL438">
        <v>0</v>
      </c>
      <c r="JM438">
        <v>0</v>
      </c>
      <c r="JT438">
        <v>0</v>
      </c>
      <c r="JU438" t="s">
        <v>1042</v>
      </c>
      <c r="JW438">
        <v>0</v>
      </c>
      <c r="KA438">
        <v>0</v>
      </c>
      <c r="KF438">
        <v>0</v>
      </c>
      <c r="KG438">
        <v>0</v>
      </c>
      <c r="KH438">
        <v>0</v>
      </c>
      <c r="KI438">
        <v>0</v>
      </c>
      <c r="KS438" t="s">
        <v>1041</v>
      </c>
      <c r="KT438">
        <v>0</v>
      </c>
      <c r="KU438">
        <v>0</v>
      </c>
      <c r="KV438">
        <v>0</v>
      </c>
      <c r="KX438">
        <v>0</v>
      </c>
      <c r="KZ438">
        <v>0</v>
      </c>
      <c r="LF438">
        <v>0</v>
      </c>
      <c r="LH438">
        <v>261576</v>
      </c>
      <c r="LI438">
        <v>0</v>
      </c>
    </row>
    <row r="439" spans="1:321" x14ac:dyDescent="0.35">
      <c r="A439">
        <v>1</v>
      </c>
      <c r="B439">
        <v>12650</v>
      </c>
      <c r="C439" t="s">
        <v>1243</v>
      </c>
      <c r="D439" t="s">
        <v>1139</v>
      </c>
      <c r="E439" t="s">
        <v>85</v>
      </c>
      <c r="F439">
        <v>80</v>
      </c>
      <c r="G439">
        <v>9000</v>
      </c>
      <c r="H439">
        <v>0</v>
      </c>
      <c r="I439" t="s">
        <v>1050</v>
      </c>
      <c r="L439">
        <v>0</v>
      </c>
      <c r="M439">
        <v>0</v>
      </c>
      <c r="N439">
        <v>0</v>
      </c>
      <c r="R439">
        <v>0</v>
      </c>
      <c r="S439">
        <v>0</v>
      </c>
      <c r="W439" t="s">
        <v>1060</v>
      </c>
      <c r="X439">
        <v>0</v>
      </c>
      <c r="Z439">
        <v>1</v>
      </c>
      <c r="AA439">
        <v>0</v>
      </c>
      <c r="AB439">
        <v>0</v>
      </c>
      <c r="AC439">
        <v>0</v>
      </c>
      <c r="AD439" s="20">
        <v>40801</v>
      </c>
      <c r="AE439">
        <v>950</v>
      </c>
      <c r="AF439">
        <v>0</v>
      </c>
      <c r="AH439">
        <v>0</v>
      </c>
      <c r="AJ439">
        <v>0</v>
      </c>
      <c r="AL439">
        <v>0</v>
      </c>
      <c r="AM439">
        <v>0</v>
      </c>
      <c r="AN439">
        <v>16301005</v>
      </c>
      <c r="AO439">
        <v>0</v>
      </c>
      <c r="AP439">
        <v>2500</v>
      </c>
      <c r="AT439">
        <v>0</v>
      </c>
      <c r="AU439" t="s">
        <v>1059</v>
      </c>
      <c r="AW439" t="s">
        <v>1053</v>
      </c>
      <c r="AX439">
        <v>0</v>
      </c>
      <c r="AY439" s="20">
        <v>40801</v>
      </c>
      <c r="BA439" s="20">
        <v>40801</v>
      </c>
      <c r="BB439" t="s">
        <v>1058</v>
      </c>
      <c r="BD439">
        <v>0</v>
      </c>
      <c r="BF439" t="s">
        <v>1043</v>
      </c>
      <c r="BG439" t="s">
        <v>1042</v>
      </c>
      <c r="BH439">
        <v>0</v>
      </c>
      <c r="BI439">
        <v>1</v>
      </c>
      <c r="BJ439">
        <v>0</v>
      </c>
      <c r="BK439">
        <v>0</v>
      </c>
      <c r="BM439" t="s">
        <v>1042</v>
      </c>
      <c r="BN439">
        <v>0</v>
      </c>
      <c r="BR439" t="s">
        <v>1043</v>
      </c>
      <c r="BS439" t="s">
        <v>1043</v>
      </c>
      <c r="BT439" t="s">
        <v>1043</v>
      </c>
      <c r="BW439">
        <v>55</v>
      </c>
      <c r="CA439">
        <v>0</v>
      </c>
      <c r="CB439" t="s">
        <v>1057</v>
      </c>
      <c r="CE439" t="s">
        <v>1043</v>
      </c>
      <c r="CH439" t="s">
        <v>1043</v>
      </c>
      <c r="CN439" t="s">
        <v>1056</v>
      </c>
      <c r="CO439" t="s">
        <v>1043</v>
      </c>
      <c r="CP439">
        <v>1</v>
      </c>
      <c r="CQ439">
        <v>0</v>
      </c>
      <c r="CS439">
        <v>0</v>
      </c>
      <c r="CT439">
        <v>0</v>
      </c>
      <c r="CU439">
        <v>0</v>
      </c>
      <c r="CV439" t="s">
        <v>1045</v>
      </c>
      <c r="CW439">
        <v>0</v>
      </c>
      <c r="CX439">
        <v>0</v>
      </c>
      <c r="CY439">
        <v>0</v>
      </c>
      <c r="CZ439">
        <v>0</v>
      </c>
      <c r="DB439">
        <v>0</v>
      </c>
      <c r="DC439" t="s">
        <v>1043</v>
      </c>
      <c r="DF439" t="s">
        <v>1055</v>
      </c>
      <c r="DH439">
        <v>0</v>
      </c>
      <c r="DJ439">
        <v>0</v>
      </c>
      <c r="DK439" t="s">
        <v>1053</v>
      </c>
      <c r="DL439">
        <v>0</v>
      </c>
      <c r="DN439">
        <v>0</v>
      </c>
      <c r="DO439" t="s">
        <v>1042</v>
      </c>
      <c r="DP439">
        <v>0</v>
      </c>
      <c r="DQ439">
        <v>0</v>
      </c>
      <c r="DS439">
        <v>0</v>
      </c>
      <c r="DU439">
        <v>0</v>
      </c>
      <c r="DW439">
        <v>0</v>
      </c>
      <c r="DX439" t="s">
        <v>1043</v>
      </c>
      <c r="DY439">
        <v>0</v>
      </c>
      <c r="DZ439">
        <v>0</v>
      </c>
      <c r="EA439">
        <v>0</v>
      </c>
      <c r="ED439" t="s">
        <v>1045</v>
      </c>
      <c r="EE439">
        <v>0</v>
      </c>
      <c r="EF439">
        <v>0</v>
      </c>
      <c r="EQ439" t="s">
        <v>1044</v>
      </c>
      <c r="ES439" t="s">
        <v>1053</v>
      </c>
      <c r="ET439">
        <v>0</v>
      </c>
      <c r="EV439">
        <v>0</v>
      </c>
      <c r="EY439" t="s">
        <v>1052</v>
      </c>
      <c r="EZ439">
        <v>0</v>
      </c>
      <c r="FA439" t="s">
        <v>1043</v>
      </c>
      <c r="FB439">
        <v>0</v>
      </c>
      <c r="FC439">
        <v>0</v>
      </c>
      <c r="FE439" t="s">
        <v>1050</v>
      </c>
      <c r="FF439">
        <v>0</v>
      </c>
      <c r="FG439" t="s">
        <v>1050</v>
      </c>
      <c r="FJ439">
        <v>0</v>
      </c>
      <c r="FK439">
        <v>0</v>
      </c>
      <c r="FP439">
        <v>0</v>
      </c>
      <c r="FR439">
        <v>0</v>
      </c>
      <c r="FS439" t="s">
        <v>1043</v>
      </c>
      <c r="FX439" t="s">
        <v>1042</v>
      </c>
      <c r="FZ439" t="s">
        <v>1048</v>
      </c>
      <c r="GA439">
        <v>0</v>
      </c>
      <c r="GB439" t="s">
        <v>1042</v>
      </c>
      <c r="GE439">
        <v>0</v>
      </c>
      <c r="GG439">
        <v>0</v>
      </c>
      <c r="GN439">
        <v>0</v>
      </c>
      <c r="GO439" t="s">
        <v>1063</v>
      </c>
      <c r="GQ439">
        <v>0</v>
      </c>
      <c r="GU439">
        <v>0</v>
      </c>
      <c r="GY439" t="s">
        <v>1045</v>
      </c>
      <c r="HB439">
        <v>0</v>
      </c>
      <c r="HE439">
        <v>0</v>
      </c>
      <c r="HF439">
        <v>0</v>
      </c>
      <c r="HG439">
        <v>0</v>
      </c>
      <c r="HK439" t="s">
        <v>1042</v>
      </c>
      <c r="HM439" t="s">
        <v>1047</v>
      </c>
      <c r="HN439">
        <v>0</v>
      </c>
      <c r="HP439">
        <v>0</v>
      </c>
      <c r="HQ439">
        <v>0</v>
      </c>
      <c r="HR439" t="s">
        <v>1042</v>
      </c>
      <c r="HS439" t="s">
        <v>1043</v>
      </c>
      <c r="HT439">
        <v>0</v>
      </c>
      <c r="HU439">
        <v>0</v>
      </c>
      <c r="HW439">
        <v>0</v>
      </c>
      <c r="HX439">
        <v>0</v>
      </c>
      <c r="HY439">
        <v>0</v>
      </c>
      <c r="HZ439" t="s">
        <v>1045</v>
      </c>
      <c r="IA439">
        <v>0</v>
      </c>
      <c r="IB439" t="s">
        <v>1045</v>
      </c>
      <c r="ID439" t="s">
        <v>1045</v>
      </c>
      <c r="IF439">
        <v>0</v>
      </c>
      <c r="IG439" t="s">
        <v>1042</v>
      </c>
      <c r="II439" t="s">
        <v>1042</v>
      </c>
      <c r="IR439" t="s">
        <v>1045</v>
      </c>
      <c r="IT439">
        <v>0</v>
      </c>
      <c r="IY439" t="s">
        <v>1044</v>
      </c>
      <c r="IZ439" t="s">
        <v>1043</v>
      </c>
      <c r="JC439" t="s">
        <v>1043</v>
      </c>
      <c r="JE439">
        <v>0</v>
      </c>
      <c r="JF439">
        <v>0</v>
      </c>
      <c r="JI439" t="s">
        <v>1042</v>
      </c>
      <c r="JJ439">
        <v>0</v>
      </c>
      <c r="JK439">
        <v>0</v>
      </c>
      <c r="JL439">
        <v>0</v>
      </c>
      <c r="JM439">
        <v>0</v>
      </c>
      <c r="JQ439" t="s">
        <v>1043</v>
      </c>
      <c r="JT439">
        <v>0</v>
      </c>
      <c r="JU439" t="s">
        <v>1042</v>
      </c>
      <c r="JW439">
        <v>0</v>
      </c>
      <c r="KA439">
        <v>0</v>
      </c>
      <c r="KF439">
        <v>0</v>
      </c>
      <c r="KG439">
        <v>0</v>
      </c>
      <c r="KH439">
        <v>0</v>
      </c>
      <c r="KI439">
        <v>0</v>
      </c>
      <c r="KS439" t="s">
        <v>1073</v>
      </c>
      <c r="KT439">
        <v>0</v>
      </c>
      <c r="KU439">
        <v>0</v>
      </c>
      <c r="KV439">
        <v>0</v>
      </c>
      <c r="KX439">
        <v>0</v>
      </c>
      <c r="KZ439">
        <v>0</v>
      </c>
      <c r="LF439">
        <v>0</v>
      </c>
      <c r="LH439">
        <v>0</v>
      </c>
      <c r="LI439">
        <v>0</v>
      </c>
    </row>
    <row r="440" spans="1:321" x14ac:dyDescent="0.35">
      <c r="A440">
        <v>1</v>
      </c>
      <c r="B440">
        <v>12651</v>
      </c>
      <c r="C440" t="s">
        <v>1242</v>
      </c>
      <c r="D440" t="s">
        <v>1139</v>
      </c>
      <c r="E440" t="s">
        <v>85</v>
      </c>
      <c r="F440">
        <v>80</v>
      </c>
      <c r="G440">
        <v>9000</v>
      </c>
      <c r="H440">
        <v>0</v>
      </c>
      <c r="I440" t="s">
        <v>1050</v>
      </c>
      <c r="L440">
        <v>0</v>
      </c>
      <c r="M440">
        <v>0</v>
      </c>
      <c r="N440">
        <v>0</v>
      </c>
      <c r="R440">
        <v>0</v>
      </c>
      <c r="S440">
        <v>0</v>
      </c>
      <c r="W440" t="s">
        <v>1060</v>
      </c>
      <c r="X440">
        <v>0</v>
      </c>
      <c r="Z440">
        <v>1</v>
      </c>
      <c r="AA440">
        <v>0</v>
      </c>
      <c r="AB440">
        <v>0</v>
      </c>
      <c r="AC440">
        <v>0</v>
      </c>
      <c r="AD440" s="20">
        <v>40801</v>
      </c>
      <c r="AE440">
        <v>3600</v>
      </c>
      <c r="AF440">
        <v>0</v>
      </c>
      <c r="AH440">
        <v>0</v>
      </c>
      <c r="AJ440">
        <v>0</v>
      </c>
      <c r="AL440">
        <v>0</v>
      </c>
      <c r="AM440">
        <v>0</v>
      </c>
      <c r="AN440">
        <v>16301005</v>
      </c>
      <c r="AO440">
        <v>0</v>
      </c>
      <c r="AP440">
        <v>2500</v>
      </c>
      <c r="AT440">
        <v>0</v>
      </c>
      <c r="AU440" t="s">
        <v>1059</v>
      </c>
      <c r="AW440" t="s">
        <v>1053</v>
      </c>
      <c r="AX440">
        <v>0</v>
      </c>
      <c r="AY440" s="20">
        <v>40801</v>
      </c>
      <c r="BA440" s="20">
        <v>40801</v>
      </c>
      <c r="BB440" t="s">
        <v>1058</v>
      </c>
      <c r="BD440">
        <v>0</v>
      </c>
      <c r="BF440" t="s">
        <v>1043</v>
      </c>
      <c r="BG440" t="s">
        <v>1042</v>
      </c>
      <c r="BH440">
        <v>0</v>
      </c>
      <c r="BI440">
        <v>1</v>
      </c>
      <c r="BJ440">
        <v>0</v>
      </c>
      <c r="BK440">
        <v>0</v>
      </c>
      <c r="BM440" t="s">
        <v>1042</v>
      </c>
      <c r="BN440">
        <v>0</v>
      </c>
      <c r="BR440" t="s">
        <v>1043</v>
      </c>
      <c r="BS440" t="s">
        <v>1043</v>
      </c>
      <c r="BT440" t="s">
        <v>1043</v>
      </c>
      <c r="BW440">
        <v>55</v>
      </c>
      <c r="CA440">
        <v>0</v>
      </c>
      <c r="CB440" t="s">
        <v>1057</v>
      </c>
      <c r="CE440" t="s">
        <v>1043</v>
      </c>
      <c r="CH440" t="s">
        <v>1043</v>
      </c>
      <c r="CN440" t="s">
        <v>1056</v>
      </c>
      <c r="CO440" t="s">
        <v>1043</v>
      </c>
      <c r="CP440">
        <v>1</v>
      </c>
      <c r="CQ440">
        <v>0</v>
      </c>
      <c r="CS440">
        <v>0</v>
      </c>
      <c r="CT440">
        <v>0</v>
      </c>
      <c r="CU440">
        <v>0</v>
      </c>
      <c r="CV440" t="s">
        <v>1045</v>
      </c>
      <c r="CW440">
        <v>0</v>
      </c>
      <c r="CX440">
        <v>0</v>
      </c>
      <c r="CY440">
        <v>0</v>
      </c>
      <c r="CZ440">
        <v>0</v>
      </c>
      <c r="DB440">
        <v>0</v>
      </c>
      <c r="DC440" t="s">
        <v>1043</v>
      </c>
      <c r="DF440" t="s">
        <v>1055</v>
      </c>
      <c r="DH440">
        <v>0</v>
      </c>
      <c r="DJ440">
        <v>0</v>
      </c>
      <c r="DK440" t="s">
        <v>1053</v>
      </c>
      <c r="DL440">
        <v>0</v>
      </c>
      <c r="DN440">
        <v>0</v>
      </c>
      <c r="DO440" t="s">
        <v>1042</v>
      </c>
      <c r="DP440">
        <v>0</v>
      </c>
      <c r="DQ440">
        <v>0</v>
      </c>
      <c r="DS440">
        <v>0</v>
      </c>
      <c r="DU440">
        <v>0</v>
      </c>
      <c r="DW440">
        <v>0</v>
      </c>
      <c r="DX440" t="s">
        <v>1043</v>
      </c>
      <c r="DY440">
        <v>0</v>
      </c>
      <c r="DZ440">
        <v>0</v>
      </c>
      <c r="EA440">
        <v>0</v>
      </c>
      <c r="ED440" t="s">
        <v>1045</v>
      </c>
      <c r="EE440">
        <v>0</v>
      </c>
      <c r="EF440">
        <v>0</v>
      </c>
      <c r="EQ440" t="s">
        <v>1044</v>
      </c>
      <c r="ES440" t="s">
        <v>1053</v>
      </c>
      <c r="ET440">
        <v>0</v>
      </c>
      <c r="EV440">
        <v>0</v>
      </c>
      <c r="EY440" t="s">
        <v>1052</v>
      </c>
      <c r="EZ440">
        <v>0</v>
      </c>
      <c r="FA440" t="s">
        <v>1043</v>
      </c>
      <c r="FB440">
        <v>0</v>
      </c>
      <c r="FC440">
        <v>0</v>
      </c>
      <c r="FE440" t="s">
        <v>1050</v>
      </c>
      <c r="FF440">
        <v>0</v>
      </c>
      <c r="FG440" t="s">
        <v>1050</v>
      </c>
      <c r="FJ440">
        <v>0</v>
      </c>
      <c r="FK440">
        <v>0</v>
      </c>
      <c r="FP440">
        <v>0</v>
      </c>
      <c r="FR440">
        <v>0</v>
      </c>
      <c r="FS440" t="s">
        <v>1043</v>
      </c>
      <c r="FX440" t="s">
        <v>1042</v>
      </c>
      <c r="FZ440" t="s">
        <v>1048</v>
      </c>
      <c r="GA440">
        <v>0</v>
      </c>
      <c r="GB440" t="s">
        <v>1042</v>
      </c>
      <c r="GE440">
        <v>0</v>
      </c>
      <c r="GG440">
        <v>0</v>
      </c>
      <c r="GN440">
        <v>0</v>
      </c>
      <c r="GO440" t="s">
        <v>1063</v>
      </c>
      <c r="GQ440">
        <v>0</v>
      </c>
      <c r="GU440">
        <v>0</v>
      </c>
      <c r="GY440" t="s">
        <v>1045</v>
      </c>
      <c r="HB440">
        <v>0</v>
      </c>
      <c r="HE440">
        <v>0</v>
      </c>
      <c r="HF440">
        <v>0</v>
      </c>
      <c r="HG440">
        <v>0</v>
      </c>
      <c r="HK440" t="s">
        <v>1042</v>
      </c>
      <c r="HM440" t="s">
        <v>1047</v>
      </c>
      <c r="HN440">
        <v>0</v>
      </c>
      <c r="HP440">
        <v>0</v>
      </c>
      <c r="HQ440">
        <v>0</v>
      </c>
      <c r="HR440" t="s">
        <v>1042</v>
      </c>
      <c r="HS440" t="s">
        <v>1043</v>
      </c>
      <c r="HT440">
        <v>0</v>
      </c>
      <c r="HU440">
        <v>0</v>
      </c>
      <c r="HW440">
        <v>0</v>
      </c>
      <c r="HX440">
        <v>0</v>
      </c>
      <c r="HY440">
        <v>0</v>
      </c>
      <c r="HZ440" t="s">
        <v>1045</v>
      </c>
      <c r="IA440">
        <v>0</v>
      </c>
      <c r="IB440" t="s">
        <v>1045</v>
      </c>
      <c r="ID440" t="s">
        <v>1045</v>
      </c>
      <c r="IF440">
        <v>0</v>
      </c>
      <c r="IG440" t="s">
        <v>1042</v>
      </c>
      <c r="II440" t="s">
        <v>1042</v>
      </c>
      <c r="IR440" t="s">
        <v>1045</v>
      </c>
      <c r="IT440">
        <v>0</v>
      </c>
      <c r="IY440" t="s">
        <v>1044</v>
      </c>
      <c r="IZ440" t="s">
        <v>1043</v>
      </c>
      <c r="JC440" t="s">
        <v>1043</v>
      </c>
      <c r="JE440">
        <v>0</v>
      </c>
      <c r="JF440">
        <v>0</v>
      </c>
      <c r="JI440" t="s">
        <v>1042</v>
      </c>
      <c r="JJ440">
        <v>0</v>
      </c>
      <c r="JK440">
        <v>0</v>
      </c>
      <c r="JL440">
        <v>0</v>
      </c>
      <c r="JM440">
        <v>0</v>
      </c>
      <c r="JQ440" t="s">
        <v>1043</v>
      </c>
      <c r="JT440">
        <v>0</v>
      </c>
      <c r="JU440" t="s">
        <v>1042</v>
      </c>
      <c r="JW440">
        <v>0</v>
      </c>
      <c r="KA440">
        <v>0</v>
      </c>
      <c r="KF440">
        <v>0</v>
      </c>
      <c r="KG440">
        <v>0</v>
      </c>
      <c r="KH440">
        <v>0</v>
      </c>
      <c r="KI440">
        <v>0</v>
      </c>
      <c r="KS440" t="s">
        <v>1073</v>
      </c>
      <c r="KT440">
        <v>0</v>
      </c>
      <c r="KU440">
        <v>0</v>
      </c>
      <c r="KV440">
        <v>0</v>
      </c>
      <c r="KX440">
        <v>0</v>
      </c>
      <c r="KZ440">
        <v>0</v>
      </c>
      <c r="LF440">
        <v>0</v>
      </c>
      <c r="LH440">
        <v>0</v>
      </c>
      <c r="LI440">
        <v>0</v>
      </c>
    </row>
    <row r="441" spans="1:321" x14ac:dyDescent="0.35">
      <c r="A441">
        <v>1</v>
      </c>
      <c r="B441">
        <v>12652</v>
      </c>
      <c r="C441" t="s">
        <v>1241</v>
      </c>
      <c r="D441" t="s">
        <v>1139</v>
      </c>
      <c r="E441" t="s">
        <v>85</v>
      </c>
      <c r="F441">
        <v>80</v>
      </c>
      <c r="G441">
        <v>9000</v>
      </c>
      <c r="H441">
        <v>0</v>
      </c>
      <c r="I441" t="s">
        <v>1050</v>
      </c>
      <c r="L441">
        <v>0</v>
      </c>
      <c r="M441">
        <v>0</v>
      </c>
      <c r="N441">
        <v>0</v>
      </c>
      <c r="R441">
        <v>0</v>
      </c>
      <c r="S441">
        <v>0</v>
      </c>
      <c r="W441" t="s">
        <v>1060</v>
      </c>
      <c r="X441">
        <v>0</v>
      </c>
      <c r="Z441">
        <v>1</v>
      </c>
      <c r="AA441">
        <v>0</v>
      </c>
      <c r="AB441">
        <v>0</v>
      </c>
      <c r="AC441">
        <v>0</v>
      </c>
      <c r="AD441" s="20">
        <v>40801</v>
      </c>
      <c r="AE441">
        <v>1</v>
      </c>
      <c r="AF441">
        <v>0</v>
      </c>
      <c r="AH441">
        <v>0</v>
      </c>
      <c r="AJ441">
        <v>0</v>
      </c>
      <c r="AL441">
        <v>0</v>
      </c>
      <c r="AM441">
        <v>0</v>
      </c>
      <c r="AN441">
        <v>16601003</v>
      </c>
      <c r="AO441">
        <v>0</v>
      </c>
      <c r="AP441">
        <v>1000</v>
      </c>
      <c r="AT441">
        <v>0</v>
      </c>
      <c r="AU441" t="s">
        <v>1059</v>
      </c>
      <c r="AW441" t="s">
        <v>1053</v>
      </c>
      <c r="AX441">
        <v>0</v>
      </c>
      <c r="AY441" s="20">
        <v>40801</v>
      </c>
      <c r="BA441" s="20">
        <v>40801</v>
      </c>
      <c r="BB441" t="s">
        <v>1058</v>
      </c>
      <c r="BD441">
        <v>0</v>
      </c>
      <c r="BF441" t="s">
        <v>1043</v>
      </c>
      <c r="BG441" t="s">
        <v>1042</v>
      </c>
      <c r="BH441">
        <v>0</v>
      </c>
      <c r="BI441">
        <v>1</v>
      </c>
      <c r="BJ441">
        <v>0</v>
      </c>
      <c r="BK441">
        <v>0</v>
      </c>
      <c r="BM441" t="s">
        <v>1042</v>
      </c>
      <c r="BN441">
        <v>0</v>
      </c>
      <c r="BR441" t="s">
        <v>1043</v>
      </c>
      <c r="BS441" t="s">
        <v>1043</v>
      </c>
      <c r="BT441" t="s">
        <v>1043</v>
      </c>
      <c r="BW441">
        <v>83</v>
      </c>
      <c r="CA441">
        <v>0</v>
      </c>
      <c r="CB441" t="s">
        <v>1057</v>
      </c>
      <c r="CE441" t="s">
        <v>1043</v>
      </c>
      <c r="CH441" t="s">
        <v>1043</v>
      </c>
      <c r="CN441" t="s">
        <v>1056</v>
      </c>
      <c r="CO441" t="s">
        <v>1043</v>
      </c>
      <c r="CP441">
        <v>1</v>
      </c>
      <c r="CQ441">
        <v>0</v>
      </c>
      <c r="CS441">
        <v>0</v>
      </c>
      <c r="CT441">
        <v>0</v>
      </c>
      <c r="CU441">
        <v>0</v>
      </c>
      <c r="CV441" t="s">
        <v>1045</v>
      </c>
      <c r="CW441">
        <v>0</v>
      </c>
      <c r="CX441">
        <v>0</v>
      </c>
      <c r="CY441">
        <v>0</v>
      </c>
      <c r="CZ441">
        <v>0</v>
      </c>
      <c r="DB441">
        <v>0</v>
      </c>
      <c r="DC441" t="s">
        <v>1043</v>
      </c>
      <c r="DF441" t="s">
        <v>1055</v>
      </c>
      <c r="DH441">
        <v>0</v>
      </c>
      <c r="DJ441">
        <v>0</v>
      </c>
      <c r="DK441" t="s">
        <v>1053</v>
      </c>
      <c r="DL441">
        <v>0</v>
      </c>
      <c r="DN441">
        <v>0</v>
      </c>
      <c r="DO441" t="s">
        <v>1042</v>
      </c>
      <c r="DP441">
        <v>0</v>
      </c>
      <c r="DQ441">
        <v>0</v>
      </c>
      <c r="DS441">
        <v>0</v>
      </c>
      <c r="DU441">
        <v>0</v>
      </c>
      <c r="DW441">
        <v>0</v>
      </c>
      <c r="DX441" t="s">
        <v>1043</v>
      </c>
      <c r="DY441">
        <v>0</v>
      </c>
      <c r="DZ441">
        <v>0</v>
      </c>
      <c r="EA441">
        <v>0</v>
      </c>
      <c r="ED441" t="s">
        <v>1045</v>
      </c>
      <c r="EE441">
        <v>0</v>
      </c>
      <c r="EF441">
        <v>0</v>
      </c>
      <c r="EQ441" t="s">
        <v>1044</v>
      </c>
      <c r="ES441" t="s">
        <v>1053</v>
      </c>
      <c r="ET441">
        <v>0</v>
      </c>
      <c r="EV441">
        <v>0</v>
      </c>
      <c r="EY441" t="s">
        <v>1052</v>
      </c>
      <c r="EZ441">
        <v>0</v>
      </c>
      <c r="FA441" t="s">
        <v>1043</v>
      </c>
      <c r="FB441">
        <v>0</v>
      </c>
      <c r="FC441">
        <v>0</v>
      </c>
      <c r="FE441" t="s">
        <v>1050</v>
      </c>
      <c r="FF441">
        <v>0</v>
      </c>
      <c r="FG441" t="s">
        <v>1050</v>
      </c>
      <c r="FJ441">
        <v>0</v>
      </c>
      <c r="FK441">
        <v>0</v>
      </c>
      <c r="FP441">
        <v>0</v>
      </c>
      <c r="FR441">
        <v>0</v>
      </c>
      <c r="FS441" t="s">
        <v>1043</v>
      </c>
      <c r="FX441" t="s">
        <v>1042</v>
      </c>
      <c r="FZ441" t="s">
        <v>1048</v>
      </c>
      <c r="GA441">
        <v>0</v>
      </c>
      <c r="GB441" t="s">
        <v>1042</v>
      </c>
      <c r="GE441">
        <v>0</v>
      </c>
      <c r="GG441">
        <v>0</v>
      </c>
      <c r="GN441">
        <v>0</v>
      </c>
      <c r="GO441" t="s">
        <v>1063</v>
      </c>
      <c r="GQ441">
        <v>0</v>
      </c>
      <c r="GU441">
        <v>0</v>
      </c>
      <c r="GY441" t="s">
        <v>1045</v>
      </c>
      <c r="HB441">
        <v>0</v>
      </c>
      <c r="HE441">
        <v>0</v>
      </c>
      <c r="HF441">
        <v>0</v>
      </c>
      <c r="HG441">
        <v>0</v>
      </c>
      <c r="HK441" t="s">
        <v>1042</v>
      </c>
      <c r="HM441" t="s">
        <v>1047</v>
      </c>
      <c r="HN441">
        <v>0</v>
      </c>
      <c r="HP441">
        <v>0</v>
      </c>
      <c r="HQ441">
        <v>0</v>
      </c>
      <c r="HR441" t="s">
        <v>1042</v>
      </c>
      <c r="HS441" t="s">
        <v>1043</v>
      </c>
      <c r="HT441">
        <v>0</v>
      </c>
      <c r="HU441">
        <v>0</v>
      </c>
      <c r="HW441">
        <v>0</v>
      </c>
      <c r="HX441">
        <v>0</v>
      </c>
      <c r="HY441">
        <v>0</v>
      </c>
      <c r="HZ441" t="s">
        <v>1045</v>
      </c>
      <c r="IA441">
        <v>0</v>
      </c>
      <c r="IB441" t="s">
        <v>1045</v>
      </c>
      <c r="ID441" t="s">
        <v>1045</v>
      </c>
      <c r="IF441">
        <v>0</v>
      </c>
      <c r="IG441" t="s">
        <v>1042</v>
      </c>
      <c r="II441" t="s">
        <v>1042</v>
      </c>
      <c r="IR441" t="s">
        <v>1045</v>
      </c>
      <c r="IT441">
        <v>0</v>
      </c>
      <c r="IY441" t="s">
        <v>1044</v>
      </c>
      <c r="IZ441" t="s">
        <v>1043</v>
      </c>
      <c r="JC441" t="s">
        <v>1043</v>
      </c>
      <c r="JE441">
        <v>0</v>
      </c>
      <c r="JF441">
        <v>0</v>
      </c>
      <c r="JI441" t="s">
        <v>1042</v>
      </c>
      <c r="JJ441">
        <v>0</v>
      </c>
      <c r="JK441">
        <v>0</v>
      </c>
      <c r="JL441">
        <v>0</v>
      </c>
      <c r="JM441">
        <v>0</v>
      </c>
      <c r="JQ441" t="s">
        <v>1043</v>
      </c>
      <c r="JT441">
        <v>0</v>
      </c>
      <c r="JU441" t="s">
        <v>1042</v>
      </c>
      <c r="JW441">
        <v>0</v>
      </c>
      <c r="KA441">
        <v>0</v>
      </c>
      <c r="KF441">
        <v>0</v>
      </c>
      <c r="KG441">
        <v>0</v>
      </c>
      <c r="KH441">
        <v>0</v>
      </c>
      <c r="KI441">
        <v>0</v>
      </c>
      <c r="KS441" t="s">
        <v>1073</v>
      </c>
      <c r="KT441">
        <v>0</v>
      </c>
      <c r="KU441">
        <v>0</v>
      </c>
      <c r="KV441">
        <v>0</v>
      </c>
      <c r="KX441">
        <v>0</v>
      </c>
      <c r="KZ441">
        <v>0</v>
      </c>
      <c r="LF441">
        <v>0</v>
      </c>
      <c r="LH441">
        <v>0</v>
      </c>
      <c r="LI441">
        <v>0</v>
      </c>
    </row>
    <row r="442" spans="1:321" x14ac:dyDescent="0.35">
      <c r="A442">
        <v>1</v>
      </c>
      <c r="B442">
        <v>12653</v>
      </c>
      <c r="C442" t="s">
        <v>1240</v>
      </c>
      <c r="D442" t="s">
        <v>1133</v>
      </c>
      <c r="E442" t="s">
        <v>85</v>
      </c>
      <c r="F442">
        <v>80</v>
      </c>
      <c r="G442">
        <v>9000</v>
      </c>
      <c r="H442">
        <v>0</v>
      </c>
      <c r="I442" t="s">
        <v>1050</v>
      </c>
      <c r="L442">
        <v>0</v>
      </c>
      <c r="M442">
        <v>0</v>
      </c>
      <c r="N442">
        <v>0</v>
      </c>
      <c r="R442">
        <v>0</v>
      </c>
      <c r="S442">
        <v>0</v>
      </c>
      <c r="W442" t="s">
        <v>1060</v>
      </c>
      <c r="X442">
        <v>0</v>
      </c>
      <c r="Z442">
        <v>1</v>
      </c>
      <c r="AA442">
        <v>0</v>
      </c>
      <c r="AB442">
        <v>0</v>
      </c>
      <c r="AC442">
        <v>0</v>
      </c>
      <c r="AD442" s="20">
        <v>40778</v>
      </c>
      <c r="AE442">
        <v>25.9</v>
      </c>
      <c r="AF442">
        <v>0</v>
      </c>
      <c r="AH442">
        <v>0</v>
      </c>
      <c r="AJ442">
        <v>0</v>
      </c>
      <c r="AL442">
        <v>0</v>
      </c>
      <c r="AM442">
        <v>0</v>
      </c>
      <c r="AN442">
        <v>16601001</v>
      </c>
      <c r="AO442">
        <v>0</v>
      </c>
      <c r="AP442">
        <v>1000</v>
      </c>
      <c r="AT442">
        <v>0</v>
      </c>
      <c r="AU442" t="s">
        <v>1059</v>
      </c>
      <c r="AW442" t="s">
        <v>1053</v>
      </c>
      <c r="AX442">
        <v>0</v>
      </c>
      <c r="AY442" s="20">
        <v>40801</v>
      </c>
      <c r="BA442" s="20">
        <v>40801</v>
      </c>
      <c r="BB442" t="s">
        <v>1058</v>
      </c>
      <c r="BD442">
        <v>0</v>
      </c>
      <c r="BF442" t="s">
        <v>1043</v>
      </c>
      <c r="BG442" t="s">
        <v>1042</v>
      </c>
      <c r="BH442">
        <v>0</v>
      </c>
      <c r="BI442">
        <v>1</v>
      </c>
      <c r="BJ442">
        <v>0</v>
      </c>
      <c r="BK442">
        <v>0</v>
      </c>
      <c r="BM442" t="s">
        <v>1042</v>
      </c>
      <c r="BN442">
        <v>0</v>
      </c>
      <c r="BR442" t="s">
        <v>1043</v>
      </c>
      <c r="BS442" t="s">
        <v>1043</v>
      </c>
      <c r="BT442" t="s">
        <v>1043</v>
      </c>
      <c r="BW442">
        <v>83</v>
      </c>
      <c r="CA442">
        <v>0</v>
      </c>
      <c r="CB442" t="s">
        <v>1057</v>
      </c>
      <c r="CE442" t="s">
        <v>1043</v>
      </c>
      <c r="CH442" t="s">
        <v>1043</v>
      </c>
      <c r="CN442" t="s">
        <v>1056</v>
      </c>
      <c r="CO442" t="s">
        <v>1043</v>
      </c>
      <c r="CP442">
        <v>1</v>
      </c>
      <c r="CQ442">
        <v>0</v>
      </c>
      <c r="CS442">
        <v>0</v>
      </c>
      <c r="CT442">
        <v>0</v>
      </c>
      <c r="CU442">
        <v>0</v>
      </c>
      <c r="CV442" t="s">
        <v>1045</v>
      </c>
      <c r="CW442">
        <v>0</v>
      </c>
      <c r="CX442">
        <v>0</v>
      </c>
      <c r="CY442">
        <v>0</v>
      </c>
      <c r="CZ442">
        <v>0</v>
      </c>
      <c r="DB442">
        <v>0</v>
      </c>
      <c r="DC442" t="s">
        <v>1043</v>
      </c>
      <c r="DF442" t="s">
        <v>1055</v>
      </c>
      <c r="DH442">
        <v>0</v>
      </c>
      <c r="DJ442">
        <v>0</v>
      </c>
      <c r="DK442" t="s">
        <v>1053</v>
      </c>
      <c r="DL442">
        <v>0</v>
      </c>
      <c r="DN442">
        <v>0</v>
      </c>
      <c r="DO442" t="s">
        <v>1042</v>
      </c>
      <c r="DP442">
        <v>0</v>
      </c>
      <c r="DQ442">
        <v>0</v>
      </c>
      <c r="DS442">
        <v>0</v>
      </c>
      <c r="DU442">
        <v>0</v>
      </c>
      <c r="DW442">
        <v>0</v>
      </c>
      <c r="DX442" t="s">
        <v>1043</v>
      </c>
      <c r="DY442">
        <v>0</v>
      </c>
      <c r="DZ442">
        <v>0</v>
      </c>
      <c r="EA442">
        <v>0</v>
      </c>
      <c r="ED442" t="s">
        <v>1045</v>
      </c>
      <c r="EE442">
        <v>0</v>
      </c>
      <c r="EF442">
        <v>0</v>
      </c>
      <c r="EQ442" t="s">
        <v>1044</v>
      </c>
      <c r="ES442" t="s">
        <v>1053</v>
      </c>
      <c r="ET442">
        <v>0</v>
      </c>
      <c r="EV442">
        <v>0</v>
      </c>
      <c r="EY442" t="s">
        <v>1052</v>
      </c>
      <c r="EZ442">
        <v>0</v>
      </c>
      <c r="FA442" t="s">
        <v>1043</v>
      </c>
      <c r="FB442">
        <v>0</v>
      </c>
      <c r="FC442">
        <v>0</v>
      </c>
      <c r="FE442" t="s">
        <v>1050</v>
      </c>
      <c r="FF442">
        <v>0</v>
      </c>
      <c r="FG442" t="s">
        <v>1050</v>
      </c>
      <c r="FJ442">
        <v>0</v>
      </c>
      <c r="FK442">
        <v>0</v>
      </c>
      <c r="FP442">
        <v>0</v>
      </c>
      <c r="FR442">
        <v>0</v>
      </c>
      <c r="FS442" t="s">
        <v>1043</v>
      </c>
      <c r="FX442" t="s">
        <v>1042</v>
      </c>
      <c r="FZ442" t="s">
        <v>1048</v>
      </c>
      <c r="GA442">
        <v>0</v>
      </c>
      <c r="GB442" t="s">
        <v>1042</v>
      </c>
      <c r="GE442">
        <v>0</v>
      </c>
      <c r="GG442">
        <v>0</v>
      </c>
      <c r="GN442">
        <v>0</v>
      </c>
      <c r="GO442" t="s">
        <v>1063</v>
      </c>
      <c r="GQ442">
        <v>0</v>
      </c>
      <c r="GU442">
        <v>0</v>
      </c>
      <c r="GY442" t="s">
        <v>1045</v>
      </c>
      <c r="HB442">
        <v>0</v>
      </c>
      <c r="HE442">
        <v>0</v>
      </c>
      <c r="HF442">
        <v>0</v>
      </c>
      <c r="HG442">
        <v>0</v>
      </c>
      <c r="HK442" t="s">
        <v>1042</v>
      </c>
      <c r="HM442" t="s">
        <v>1047</v>
      </c>
      <c r="HN442">
        <v>0</v>
      </c>
      <c r="HP442">
        <v>0</v>
      </c>
      <c r="HQ442">
        <v>0</v>
      </c>
      <c r="HR442" t="s">
        <v>1042</v>
      </c>
      <c r="HS442" t="s">
        <v>1043</v>
      </c>
      <c r="HT442">
        <v>0</v>
      </c>
      <c r="HU442">
        <v>0</v>
      </c>
      <c r="HW442">
        <v>0</v>
      </c>
      <c r="HX442">
        <v>0</v>
      </c>
      <c r="HY442">
        <v>0</v>
      </c>
      <c r="HZ442" t="s">
        <v>1045</v>
      </c>
      <c r="IA442">
        <v>0</v>
      </c>
      <c r="IB442" t="s">
        <v>1045</v>
      </c>
      <c r="ID442" t="s">
        <v>1045</v>
      </c>
      <c r="IF442">
        <v>0</v>
      </c>
      <c r="IG442" t="s">
        <v>1042</v>
      </c>
      <c r="II442" t="s">
        <v>1042</v>
      </c>
      <c r="IR442" t="s">
        <v>1045</v>
      </c>
      <c r="IT442">
        <v>0</v>
      </c>
      <c r="IY442" t="s">
        <v>1044</v>
      </c>
      <c r="IZ442" t="s">
        <v>1043</v>
      </c>
      <c r="JC442" t="s">
        <v>1043</v>
      </c>
      <c r="JE442">
        <v>0</v>
      </c>
      <c r="JF442">
        <v>0</v>
      </c>
      <c r="JI442" t="s">
        <v>1042</v>
      </c>
      <c r="JJ442">
        <v>0</v>
      </c>
      <c r="JK442">
        <v>0</v>
      </c>
      <c r="JL442">
        <v>0</v>
      </c>
      <c r="JM442">
        <v>0</v>
      </c>
      <c r="JQ442" t="s">
        <v>1043</v>
      </c>
      <c r="JT442">
        <v>0</v>
      </c>
      <c r="JU442" t="s">
        <v>1042</v>
      </c>
      <c r="JW442">
        <v>0</v>
      </c>
      <c r="KA442">
        <v>0</v>
      </c>
      <c r="KF442">
        <v>0</v>
      </c>
      <c r="KG442">
        <v>0</v>
      </c>
      <c r="KH442">
        <v>0</v>
      </c>
      <c r="KI442">
        <v>0</v>
      </c>
      <c r="KS442" t="s">
        <v>1073</v>
      </c>
      <c r="KT442">
        <v>0</v>
      </c>
      <c r="KU442">
        <v>0</v>
      </c>
      <c r="KV442">
        <v>0</v>
      </c>
      <c r="KX442">
        <v>0</v>
      </c>
      <c r="KZ442">
        <v>0</v>
      </c>
      <c r="LF442">
        <v>0</v>
      </c>
      <c r="LH442">
        <v>0</v>
      </c>
      <c r="LI442">
        <v>0</v>
      </c>
    </row>
    <row r="443" spans="1:321" x14ac:dyDescent="0.35">
      <c r="A443">
        <v>1</v>
      </c>
      <c r="B443">
        <v>12654</v>
      </c>
      <c r="C443" t="s">
        <v>1239</v>
      </c>
      <c r="D443" t="s">
        <v>1133</v>
      </c>
      <c r="E443" t="s">
        <v>85</v>
      </c>
      <c r="F443">
        <v>80</v>
      </c>
      <c r="G443">
        <v>9000</v>
      </c>
      <c r="H443">
        <v>0</v>
      </c>
      <c r="I443" t="s">
        <v>1050</v>
      </c>
      <c r="L443">
        <v>0</v>
      </c>
      <c r="M443">
        <v>0</v>
      </c>
      <c r="N443">
        <v>0</v>
      </c>
      <c r="R443">
        <v>0</v>
      </c>
      <c r="S443">
        <v>0</v>
      </c>
      <c r="W443" t="s">
        <v>1060</v>
      </c>
      <c r="X443">
        <v>0</v>
      </c>
      <c r="Z443">
        <v>1</v>
      </c>
      <c r="AA443">
        <v>0</v>
      </c>
      <c r="AB443">
        <v>0</v>
      </c>
      <c r="AC443">
        <v>0</v>
      </c>
      <c r="AD443" s="20">
        <v>40778</v>
      </c>
      <c r="AE443">
        <v>332.5</v>
      </c>
      <c r="AF443">
        <v>0</v>
      </c>
      <c r="AH443">
        <v>0</v>
      </c>
      <c r="AJ443">
        <v>0</v>
      </c>
      <c r="AL443">
        <v>0</v>
      </c>
      <c r="AM443">
        <v>0</v>
      </c>
      <c r="AN443">
        <v>16601001</v>
      </c>
      <c r="AO443">
        <v>0</v>
      </c>
      <c r="AP443">
        <v>1000</v>
      </c>
      <c r="AT443">
        <v>0</v>
      </c>
      <c r="AU443" t="s">
        <v>1059</v>
      </c>
      <c r="AW443" t="s">
        <v>1053</v>
      </c>
      <c r="AX443">
        <v>0</v>
      </c>
      <c r="AY443" s="20">
        <v>40801</v>
      </c>
      <c r="BA443" s="20">
        <v>40801</v>
      </c>
      <c r="BB443" t="s">
        <v>1058</v>
      </c>
      <c r="BD443">
        <v>0</v>
      </c>
      <c r="BF443" t="s">
        <v>1043</v>
      </c>
      <c r="BG443" t="s">
        <v>1042</v>
      </c>
      <c r="BH443">
        <v>0</v>
      </c>
      <c r="BI443">
        <v>1</v>
      </c>
      <c r="BJ443">
        <v>0</v>
      </c>
      <c r="BK443">
        <v>0</v>
      </c>
      <c r="BM443" t="s">
        <v>1042</v>
      </c>
      <c r="BN443">
        <v>0</v>
      </c>
      <c r="BR443" t="s">
        <v>1043</v>
      </c>
      <c r="BS443" t="s">
        <v>1043</v>
      </c>
      <c r="BT443" t="s">
        <v>1043</v>
      </c>
      <c r="BW443">
        <v>83</v>
      </c>
      <c r="CA443">
        <v>0</v>
      </c>
      <c r="CB443" t="s">
        <v>1057</v>
      </c>
      <c r="CE443" t="s">
        <v>1043</v>
      </c>
      <c r="CH443" t="s">
        <v>1043</v>
      </c>
      <c r="CN443" t="s">
        <v>1056</v>
      </c>
      <c r="CO443" t="s">
        <v>1043</v>
      </c>
      <c r="CP443">
        <v>1</v>
      </c>
      <c r="CQ443">
        <v>0</v>
      </c>
      <c r="CS443">
        <v>0</v>
      </c>
      <c r="CT443">
        <v>0</v>
      </c>
      <c r="CU443">
        <v>0</v>
      </c>
      <c r="CV443" t="s">
        <v>1045</v>
      </c>
      <c r="CW443">
        <v>0</v>
      </c>
      <c r="CX443">
        <v>0</v>
      </c>
      <c r="CY443">
        <v>0</v>
      </c>
      <c r="CZ443">
        <v>0</v>
      </c>
      <c r="DB443">
        <v>0</v>
      </c>
      <c r="DC443" t="s">
        <v>1043</v>
      </c>
      <c r="DF443" t="s">
        <v>1055</v>
      </c>
      <c r="DH443">
        <v>0</v>
      </c>
      <c r="DJ443">
        <v>0</v>
      </c>
      <c r="DK443" t="s">
        <v>1053</v>
      </c>
      <c r="DL443">
        <v>0</v>
      </c>
      <c r="DN443">
        <v>0</v>
      </c>
      <c r="DO443" t="s">
        <v>1042</v>
      </c>
      <c r="DP443">
        <v>0</v>
      </c>
      <c r="DQ443">
        <v>0</v>
      </c>
      <c r="DS443">
        <v>0</v>
      </c>
      <c r="DU443">
        <v>0</v>
      </c>
      <c r="DW443">
        <v>0</v>
      </c>
      <c r="DX443" t="s">
        <v>1043</v>
      </c>
      <c r="DY443">
        <v>0</v>
      </c>
      <c r="DZ443">
        <v>0</v>
      </c>
      <c r="EA443">
        <v>0</v>
      </c>
      <c r="ED443" t="s">
        <v>1045</v>
      </c>
      <c r="EE443">
        <v>0</v>
      </c>
      <c r="EF443">
        <v>0</v>
      </c>
      <c r="EQ443" t="s">
        <v>1044</v>
      </c>
      <c r="ES443" t="s">
        <v>1053</v>
      </c>
      <c r="ET443">
        <v>0</v>
      </c>
      <c r="EV443">
        <v>0</v>
      </c>
      <c r="EY443" t="s">
        <v>1052</v>
      </c>
      <c r="EZ443">
        <v>0</v>
      </c>
      <c r="FA443" t="s">
        <v>1043</v>
      </c>
      <c r="FB443">
        <v>0</v>
      </c>
      <c r="FC443">
        <v>0</v>
      </c>
      <c r="FE443" t="s">
        <v>1050</v>
      </c>
      <c r="FF443">
        <v>0</v>
      </c>
      <c r="FG443" t="s">
        <v>1050</v>
      </c>
      <c r="FJ443">
        <v>0</v>
      </c>
      <c r="FK443">
        <v>0</v>
      </c>
      <c r="FP443">
        <v>0</v>
      </c>
      <c r="FR443">
        <v>0</v>
      </c>
      <c r="FS443" t="s">
        <v>1043</v>
      </c>
      <c r="FX443" t="s">
        <v>1042</v>
      </c>
      <c r="FZ443" t="s">
        <v>1048</v>
      </c>
      <c r="GA443">
        <v>0</v>
      </c>
      <c r="GB443" t="s">
        <v>1042</v>
      </c>
      <c r="GE443">
        <v>0</v>
      </c>
      <c r="GG443">
        <v>0</v>
      </c>
      <c r="GN443">
        <v>0</v>
      </c>
      <c r="GO443" t="s">
        <v>1063</v>
      </c>
      <c r="GQ443">
        <v>0</v>
      </c>
      <c r="GU443">
        <v>0</v>
      </c>
      <c r="GY443" t="s">
        <v>1045</v>
      </c>
      <c r="HB443">
        <v>0</v>
      </c>
      <c r="HE443">
        <v>0</v>
      </c>
      <c r="HF443">
        <v>0</v>
      </c>
      <c r="HG443">
        <v>0</v>
      </c>
      <c r="HK443" t="s">
        <v>1042</v>
      </c>
      <c r="HM443" t="s">
        <v>1047</v>
      </c>
      <c r="HN443">
        <v>0</v>
      </c>
      <c r="HP443">
        <v>0</v>
      </c>
      <c r="HQ443">
        <v>0</v>
      </c>
      <c r="HR443" t="s">
        <v>1042</v>
      </c>
      <c r="HS443" t="s">
        <v>1043</v>
      </c>
      <c r="HT443">
        <v>0</v>
      </c>
      <c r="HU443">
        <v>0</v>
      </c>
      <c r="HW443">
        <v>0</v>
      </c>
      <c r="HX443">
        <v>0</v>
      </c>
      <c r="HY443">
        <v>0</v>
      </c>
      <c r="HZ443" t="s">
        <v>1045</v>
      </c>
      <c r="IA443">
        <v>0</v>
      </c>
      <c r="IB443" t="s">
        <v>1045</v>
      </c>
      <c r="ID443" t="s">
        <v>1045</v>
      </c>
      <c r="IF443">
        <v>0</v>
      </c>
      <c r="IG443" t="s">
        <v>1042</v>
      </c>
      <c r="II443" t="s">
        <v>1042</v>
      </c>
      <c r="IR443" t="s">
        <v>1045</v>
      </c>
      <c r="IT443">
        <v>0</v>
      </c>
      <c r="IY443" t="s">
        <v>1044</v>
      </c>
      <c r="IZ443" t="s">
        <v>1043</v>
      </c>
      <c r="JC443" t="s">
        <v>1043</v>
      </c>
      <c r="JE443">
        <v>0</v>
      </c>
      <c r="JF443">
        <v>0</v>
      </c>
      <c r="JI443" t="s">
        <v>1042</v>
      </c>
      <c r="JJ443">
        <v>0</v>
      </c>
      <c r="JK443">
        <v>0</v>
      </c>
      <c r="JL443">
        <v>0</v>
      </c>
      <c r="JM443">
        <v>0</v>
      </c>
      <c r="JQ443" t="s">
        <v>1043</v>
      </c>
      <c r="JT443">
        <v>0</v>
      </c>
      <c r="JU443" t="s">
        <v>1042</v>
      </c>
      <c r="JW443">
        <v>0</v>
      </c>
      <c r="KA443">
        <v>0</v>
      </c>
      <c r="KF443">
        <v>0</v>
      </c>
      <c r="KG443">
        <v>0</v>
      </c>
      <c r="KH443">
        <v>0</v>
      </c>
      <c r="KI443">
        <v>0</v>
      </c>
      <c r="KS443" t="s">
        <v>1073</v>
      </c>
      <c r="KT443">
        <v>0</v>
      </c>
      <c r="KU443">
        <v>0</v>
      </c>
      <c r="KV443">
        <v>0</v>
      </c>
      <c r="KX443">
        <v>0</v>
      </c>
      <c r="KZ443">
        <v>0</v>
      </c>
      <c r="LF443">
        <v>0</v>
      </c>
      <c r="LH443">
        <v>0</v>
      </c>
      <c r="LI443">
        <v>0</v>
      </c>
    </row>
    <row r="444" spans="1:321" x14ac:dyDescent="0.35">
      <c r="A444">
        <v>1</v>
      </c>
      <c r="B444">
        <v>12655</v>
      </c>
      <c r="C444" t="s">
        <v>1238</v>
      </c>
      <c r="D444" t="s">
        <v>1133</v>
      </c>
      <c r="E444" t="s">
        <v>85</v>
      </c>
      <c r="F444">
        <v>80</v>
      </c>
      <c r="G444">
        <v>9000</v>
      </c>
      <c r="H444">
        <v>0</v>
      </c>
      <c r="I444" t="s">
        <v>1050</v>
      </c>
      <c r="L444">
        <v>0</v>
      </c>
      <c r="M444">
        <v>0</v>
      </c>
      <c r="N444">
        <v>0</v>
      </c>
      <c r="R444">
        <v>0</v>
      </c>
      <c r="S444">
        <v>0</v>
      </c>
      <c r="W444" t="s">
        <v>1060</v>
      </c>
      <c r="X444">
        <v>0</v>
      </c>
      <c r="Z444">
        <v>1</v>
      </c>
      <c r="AA444">
        <v>0</v>
      </c>
      <c r="AB444">
        <v>0</v>
      </c>
      <c r="AC444">
        <v>0</v>
      </c>
      <c r="AD444" s="20">
        <v>40778</v>
      </c>
      <c r="AE444">
        <v>3.35</v>
      </c>
      <c r="AF444">
        <v>0</v>
      </c>
      <c r="AH444">
        <v>0</v>
      </c>
      <c r="AJ444">
        <v>0</v>
      </c>
      <c r="AL444">
        <v>0</v>
      </c>
      <c r="AM444">
        <v>0</v>
      </c>
      <c r="AN444">
        <v>16601001</v>
      </c>
      <c r="AO444">
        <v>0</v>
      </c>
      <c r="AP444">
        <v>1000</v>
      </c>
      <c r="AT444">
        <v>0</v>
      </c>
      <c r="AU444" t="s">
        <v>1059</v>
      </c>
      <c r="AW444" t="s">
        <v>1053</v>
      </c>
      <c r="AX444">
        <v>0</v>
      </c>
      <c r="AY444" s="20">
        <v>40801</v>
      </c>
      <c r="BA444" s="20">
        <v>40801</v>
      </c>
      <c r="BB444" t="s">
        <v>1058</v>
      </c>
      <c r="BD444">
        <v>0</v>
      </c>
      <c r="BF444" t="s">
        <v>1043</v>
      </c>
      <c r="BG444" t="s">
        <v>1042</v>
      </c>
      <c r="BH444">
        <v>0</v>
      </c>
      <c r="BI444">
        <v>1</v>
      </c>
      <c r="BJ444">
        <v>0</v>
      </c>
      <c r="BK444">
        <v>0</v>
      </c>
      <c r="BM444" t="s">
        <v>1042</v>
      </c>
      <c r="BN444">
        <v>0</v>
      </c>
      <c r="BR444" t="s">
        <v>1043</v>
      </c>
      <c r="BS444" t="s">
        <v>1043</v>
      </c>
      <c r="BT444" t="s">
        <v>1043</v>
      </c>
      <c r="BW444">
        <v>83</v>
      </c>
      <c r="CA444">
        <v>0</v>
      </c>
      <c r="CB444" t="s">
        <v>1057</v>
      </c>
      <c r="CE444" t="s">
        <v>1043</v>
      </c>
      <c r="CH444" t="s">
        <v>1043</v>
      </c>
      <c r="CN444" t="s">
        <v>1056</v>
      </c>
      <c r="CO444" t="s">
        <v>1043</v>
      </c>
      <c r="CP444">
        <v>1</v>
      </c>
      <c r="CQ444">
        <v>0</v>
      </c>
      <c r="CS444">
        <v>0</v>
      </c>
      <c r="CT444">
        <v>0</v>
      </c>
      <c r="CU444">
        <v>0</v>
      </c>
      <c r="CV444" t="s">
        <v>1045</v>
      </c>
      <c r="CW444">
        <v>0</v>
      </c>
      <c r="CX444">
        <v>0</v>
      </c>
      <c r="CY444">
        <v>0</v>
      </c>
      <c r="CZ444">
        <v>0</v>
      </c>
      <c r="DB444">
        <v>0</v>
      </c>
      <c r="DC444" t="s">
        <v>1043</v>
      </c>
      <c r="DF444" t="s">
        <v>1055</v>
      </c>
      <c r="DH444">
        <v>0</v>
      </c>
      <c r="DJ444">
        <v>0</v>
      </c>
      <c r="DK444" t="s">
        <v>1053</v>
      </c>
      <c r="DL444">
        <v>0</v>
      </c>
      <c r="DN444">
        <v>0</v>
      </c>
      <c r="DO444" t="s">
        <v>1042</v>
      </c>
      <c r="DP444">
        <v>0</v>
      </c>
      <c r="DQ444">
        <v>0</v>
      </c>
      <c r="DS444">
        <v>0</v>
      </c>
      <c r="DU444">
        <v>0</v>
      </c>
      <c r="DW444">
        <v>0</v>
      </c>
      <c r="DX444" t="s">
        <v>1043</v>
      </c>
      <c r="DY444">
        <v>0</v>
      </c>
      <c r="DZ444">
        <v>0</v>
      </c>
      <c r="EA444">
        <v>0</v>
      </c>
      <c r="ED444" t="s">
        <v>1045</v>
      </c>
      <c r="EE444">
        <v>0</v>
      </c>
      <c r="EF444">
        <v>0</v>
      </c>
      <c r="EQ444" t="s">
        <v>1044</v>
      </c>
      <c r="ES444" t="s">
        <v>1053</v>
      </c>
      <c r="ET444">
        <v>0</v>
      </c>
      <c r="EV444">
        <v>0</v>
      </c>
      <c r="EY444" t="s">
        <v>1052</v>
      </c>
      <c r="EZ444">
        <v>0</v>
      </c>
      <c r="FA444" t="s">
        <v>1043</v>
      </c>
      <c r="FB444">
        <v>0</v>
      </c>
      <c r="FC444">
        <v>0</v>
      </c>
      <c r="FE444" t="s">
        <v>1050</v>
      </c>
      <c r="FF444">
        <v>0</v>
      </c>
      <c r="FG444" t="s">
        <v>1050</v>
      </c>
      <c r="FJ444">
        <v>0</v>
      </c>
      <c r="FK444">
        <v>0</v>
      </c>
      <c r="FP444">
        <v>0</v>
      </c>
      <c r="FR444">
        <v>0</v>
      </c>
      <c r="FS444" t="s">
        <v>1043</v>
      </c>
      <c r="FX444" t="s">
        <v>1042</v>
      </c>
      <c r="FZ444" t="s">
        <v>1048</v>
      </c>
      <c r="GA444">
        <v>0</v>
      </c>
      <c r="GB444" t="s">
        <v>1042</v>
      </c>
      <c r="GE444">
        <v>0</v>
      </c>
      <c r="GG444">
        <v>0</v>
      </c>
      <c r="GN444">
        <v>0</v>
      </c>
      <c r="GO444" t="s">
        <v>1063</v>
      </c>
      <c r="GQ444">
        <v>0</v>
      </c>
      <c r="GU444">
        <v>0</v>
      </c>
      <c r="GY444" t="s">
        <v>1045</v>
      </c>
      <c r="HB444">
        <v>0</v>
      </c>
      <c r="HE444">
        <v>0</v>
      </c>
      <c r="HF444">
        <v>0</v>
      </c>
      <c r="HG444">
        <v>0</v>
      </c>
      <c r="HK444" t="s">
        <v>1042</v>
      </c>
      <c r="HM444" t="s">
        <v>1047</v>
      </c>
      <c r="HN444">
        <v>0</v>
      </c>
      <c r="HP444">
        <v>0</v>
      </c>
      <c r="HQ444">
        <v>0</v>
      </c>
      <c r="HR444" t="s">
        <v>1042</v>
      </c>
      <c r="HS444" t="s">
        <v>1043</v>
      </c>
      <c r="HT444">
        <v>0</v>
      </c>
      <c r="HU444">
        <v>0</v>
      </c>
      <c r="HW444">
        <v>0</v>
      </c>
      <c r="HX444">
        <v>0</v>
      </c>
      <c r="HY444">
        <v>0</v>
      </c>
      <c r="HZ444" t="s">
        <v>1045</v>
      </c>
      <c r="IA444">
        <v>0</v>
      </c>
      <c r="IB444" t="s">
        <v>1045</v>
      </c>
      <c r="ID444" t="s">
        <v>1045</v>
      </c>
      <c r="IF444">
        <v>0</v>
      </c>
      <c r="IG444" t="s">
        <v>1042</v>
      </c>
      <c r="II444" t="s">
        <v>1042</v>
      </c>
      <c r="IR444" t="s">
        <v>1045</v>
      </c>
      <c r="IT444">
        <v>0</v>
      </c>
      <c r="IY444" t="s">
        <v>1044</v>
      </c>
      <c r="IZ444" t="s">
        <v>1043</v>
      </c>
      <c r="JC444" t="s">
        <v>1043</v>
      </c>
      <c r="JE444">
        <v>0</v>
      </c>
      <c r="JF444">
        <v>0</v>
      </c>
      <c r="JI444" t="s">
        <v>1042</v>
      </c>
      <c r="JJ444">
        <v>0</v>
      </c>
      <c r="JK444">
        <v>0</v>
      </c>
      <c r="JL444">
        <v>0</v>
      </c>
      <c r="JM444">
        <v>0</v>
      </c>
      <c r="JQ444" t="s">
        <v>1043</v>
      </c>
      <c r="JT444">
        <v>0</v>
      </c>
      <c r="JU444" t="s">
        <v>1042</v>
      </c>
      <c r="JW444">
        <v>0</v>
      </c>
      <c r="KA444">
        <v>0</v>
      </c>
      <c r="KF444">
        <v>0</v>
      </c>
      <c r="KG444">
        <v>0</v>
      </c>
      <c r="KH444">
        <v>0</v>
      </c>
      <c r="KI444">
        <v>0</v>
      </c>
      <c r="KS444" t="s">
        <v>1073</v>
      </c>
      <c r="KT444">
        <v>0</v>
      </c>
      <c r="KU444">
        <v>0</v>
      </c>
      <c r="KV444">
        <v>0</v>
      </c>
      <c r="KX444">
        <v>0</v>
      </c>
      <c r="KZ444">
        <v>0</v>
      </c>
      <c r="LF444">
        <v>0</v>
      </c>
      <c r="LH444">
        <v>0</v>
      </c>
      <c r="LI444">
        <v>0</v>
      </c>
    </row>
    <row r="445" spans="1:321" x14ac:dyDescent="0.35">
      <c r="A445">
        <v>1</v>
      </c>
      <c r="B445">
        <v>12656</v>
      </c>
      <c r="C445" t="s">
        <v>1237</v>
      </c>
      <c r="D445" t="s">
        <v>1076</v>
      </c>
      <c r="E445" t="s">
        <v>85</v>
      </c>
      <c r="F445">
        <v>80</v>
      </c>
      <c r="G445">
        <v>9000</v>
      </c>
      <c r="H445">
        <v>0</v>
      </c>
      <c r="I445" t="s">
        <v>1050</v>
      </c>
      <c r="L445">
        <v>0</v>
      </c>
      <c r="M445">
        <v>0</v>
      </c>
      <c r="N445">
        <v>0</v>
      </c>
      <c r="R445">
        <v>0</v>
      </c>
      <c r="S445">
        <v>0</v>
      </c>
      <c r="W445" t="s">
        <v>1060</v>
      </c>
      <c r="X445">
        <v>0</v>
      </c>
      <c r="Z445">
        <v>1</v>
      </c>
      <c r="AA445">
        <v>0</v>
      </c>
      <c r="AB445">
        <v>0</v>
      </c>
      <c r="AC445">
        <v>0</v>
      </c>
      <c r="AD445" s="20">
        <v>40778</v>
      </c>
      <c r="AE445">
        <v>0.22900000000000001</v>
      </c>
      <c r="AF445">
        <v>0</v>
      </c>
      <c r="AH445">
        <v>0</v>
      </c>
      <c r="AJ445">
        <v>0</v>
      </c>
      <c r="AL445">
        <v>0</v>
      </c>
      <c r="AM445">
        <v>0</v>
      </c>
      <c r="AN445">
        <v>16601001</v>
      </c>
      <c r="AO445">
        <v>0</v>
      </c>
      <c r="AP445">
        <v>1000</v>
      </c>
      <c r="AT445">
        <v>0</v>
      </c>
      <c r="AU445" t="s">
        <v>1059</v>
      </c>
      <c r="AW445" t="s">
        <v>1053</v>
      </c>
      <c r="AX445">
        <v>0</v>
      </c>
      <c r="AY445" s="20">
        <v>40801</v>
      </c>
      <c r="BA445" s="20">
        <v>40801</v>
      </c>
      <c r="BB445" t="s">
        <v>1058</v>
      </c>
      <c r="BD445">
        <v>0</v>
      </c>
      <c r="BF445" t="s">
        <v>1043</v>
      </c>
      <c r="BG445" t="s">
        <v>1042</v>
      </c>
      <c r="BH445">
        <v>0</v>
      </c>
      <c r="BI445">
        <v>1</v>
      </c>
      <c r="BJ445">
        <v>0</v>
      </c>
      <c r="BK445">
        <v>0</v>
      </c>
      <c r="BM445" t="s">
        <v>1042</v>
      </c>
      <c r="BN445">
        <v>0</v>
      </c>
      <c r="BR445" t="s">
        <v>1043</v>
      </c>
      <c r="BS445" t="s">
        <v>1043</v>
      </c>
      <c r="BT445" t="s">
        <v>1043</v>
      </c>
      <c r="BW445">
        <v>60</v>
      </c>
      <c r="CA445">
        <v>0</v>
      </c>
      <c r="CB445" t="s">
        <v>1057</v>
      </c>
      <c r="CE445" t="s">
        <v>1043</v>
      </c>
      <c r="CH445" t="s">
        <v>1043</v>
      </c>
      <c r="CN445" t="s">
        <v>1056</v>
      </c>
      <c r="CO445" t="s">
        <v>1043</v>
      </c>
      <c r="CP445">
        <v>1</v>
      </c>
      <c r="CQ445">
        <v>0</v>
      </c>
      <c r="CS445">
        <v>0</v>
      </c>
      <c r="CT445">
        <v>0</v>
      </c>
      <c r="CU445">
        <v>0</v>
      </c>
      <c r="CV445" t="s">
        <v>1045</v>
      </c>
      <c r="CW445">
        <v>0</v>
      </c>
      <c r="CX445">
        <v>0</v>
      </c>
      <c r="CY445">
        <v>0</v>
      </c>
      <c r="CZ445">
        <v>0</v>
      </c>
      <c r="DB445">
        <v>0</v>
      </c>
      <c r="DC445" t="s">
        <v>1043</v>
      </c>
      <c r="DF445" t="s">
        <v>1055</v>
      </c>
      <c r="DH445">
        <v>0</v>
      </c>
      <c r="DJ445">
        <v>0</v>
      </c>
      <c r="DK445" t="s">
        <v>1053</v>
      </c>
      <c r="DL445">
        <v>0</v>
      </c>
      <c r="DN445">
        <v>0</v>
      </c>
      <c r="DO445" t="s">
        <v>1042</v>
      </c>
      <c r="DP445">
        <v>0</v>
      </c>
      <c r="DQ445">
        <v>0</v>
      </c>
      <c r="DS445">
        <v>0</v>
      </c>
      <c r="DU445">
        <v>0</v>
      </c>
      <c r="DW445">
        <v>0</v>
      </c>
      <c r="DX445" t="s">
        <v>1043</v>
      </c>
      <c r="DY445">
        <v>0</v>
      </c>
      <c r="DZ445">
        <v>0</v>
      </c>
      <c r="EA445">
        <v>0</v>
      </c>
      <c r="ED445" t="s">
        <v>1045</v>
      </c>
      <c r="EE445">
        <v>0</v>
      </c>
      <c r="EF445">
        <v>0</v>
      </c>
      <c r="EQ445" t="s">
        <v>1044</v>
      </c>
      <c r="ES445" t="s">
        <v>1053</v>
      </c>
      <c r="ET445">
        <v>0</v>
      </c>
      <c r="EV445">
        <v>0</v>
      </c>
      <c r="EY445" t="s">
        <v>1052</v>
      </c>
      <c r="EZ445">
        <v>0</v>
      </c>
      <c r="FA445" t="s">
        <v>1043</v>
      </c>
      <c r="FB445">
        <v>0</v>
      </c>
      <c r="FC445">
        <v>0</v>
      </c>
      <c r="FE445" t="s">
        <v>1050</v>
      </c>
      <c r="FF445">
        <v>0</v>
      </c>
      <c r="FG445" t="s">
        <v>1050</v>
      </c>
      <c r="FJ445">
        <v>0</v>
      </c>
      <c r="FK445">
        <v>0</v>
      </c>
      <c r="FP445">
        <v>0</v>
      </c>
      <c r="FR445">
        <v>0</v>
      </c>
      <c r="FS445" t="s">
        <v>1043</v>
      </c>
      <c r="FX445" t="s">
        <v>1042</v>
      </c>
      <c r="FZ445" t="s">
        <v>1048</v>
      </c>
      <c r="GA445">
        <v>0</v>
      </c>
      <c r="GB445" t="s">
        <v>1042</v>
      </c>
      <c r="GE445">
        <v>0</v>
      </c>
      <c r="GG445">
        <v>0</v>
      </c>
      <c r="GN445">
        <v>0</v>
      </c>
      <c r="GO445" t="s">
        <v>1063</v>
      </c>
      <c r="GQ445">
        <v>0</v>
      </c>
      <c r="GU445">
        <v>0</v>
      </c>
      <c r="GY445" t="s">
        <v>1045</v>
      </c>
      <c r="HB445">
        <v>0</v>
      </c>
      <c r="HE445">
        <v>0</v>
      </c>
      <c r="HF445">
        <v>0</v>
      </c>
      <c r="HG445">
        <v>0</v>
      </c>
      <c r="HK445" t="s">
        <v>1042</v>
      </c>
      <c r="HM445" t="s">
        <v>1047</v>
      </c>
      <c r="HN445">
        <v>0</v>
      </c>
      <c r="HP445">
        <v>0</v>
      </c>
      <c r="HQ445">
        <v>0</v>
      </c>
      <c r="HR445" t="s">
        <v>1042</v>
      </c>
      <c r="HS445" t="s">
        <v>1043</v>
      </c>
      <c r="HT445">
        <v>0</v>
      </c>
      <c r="HU445">
        <v>0</v>
      </c>
      <c r="HW445">
        <v>0</v>
      </c>
      <c r="HX445">
        <v>0</v>
      </c>
      <c r="HY445">
        <v>0</v>
      </c>
      <c r="HZ445" t="s">
        <v>1045</v>
      </c>
      <c r="IA445">
        <v>0</v>
      </c>
      <c r="IB445" t="s">
        <v>1045</v>
      </c>
      <c r="ID445" t="s">
        <v>1045</v>
      </c>
      <c r="IF445">
        <v>0</v>
      </c>
      <c r="IG445" t="s">
        <v>1042</v>
      </c>
      <c r="II445" t="s">
        <v>1042</v>
      </c>
      <c r="IR445" t="s">
        <v>1045</v>
      </c>
      <c r="IT445">
        <v>0</v>
      </c>
      <c r="IY445" t="s">
        <v>1044</v>
      </c>
      <c r="IZ445" t="s">
        <v>1043</v>
      </c>
      <c r="JC445" t="s">
        <v>1043</v>
      </c>
      <c r="JE445">
        <v>0</v>
      </c>
      <c r="JF445">
        <v>0</v>
      </c>
      <c r="JI445" t="s">
        <v>1042</v>
      </c>
      <c r="JJ445">
        <v>0</v>
      </c>
      <c r="JK445">
        <v>0</v>
      </c>
      <c r="JL445">
        <v>0</v>
      </c>
      <c r="JM445">
        <v>0</v>
      </c>
      <c r="JQ445" t="s">
        <v>1043</v>
      </c>
      <c r="JT445">
        <v>0</v>
      </c>
      <c r="JU445" t="s">
        <v>1042</v>
      </c>
      <c r="JW445">
        <v>0</v>
      </c>
      <c r="KA445">
        <v>0</v>
      </c>
      <c r="KF445">
        <v>0</v>
      </c>
      <c r="KG445">
        <v>0</v>
      </c>
      <c r="KH445">
        <v>0</v>
      </c>
      <c r="KI445">
        <v>0</v>
      </c>
      <c r="KS445" t="s">
        <v>1073</v>
      </c>
      <c r="KT445">
        <v>0</v>
      </c>
      <c r="KU445">
        <v>0</v>
      </c>
      <c r="KV445">
        <v>0</v>
      </c>
      <c r="KX445">
        <v>0</v>
      </c>
      <c r="KZ445">
        <v>0</v>
      </c>
      <c r="LF445">
        <v>0</v>
      </c>
      <c r="LH445">
        <v>0</v>
      </c>
      <c r="LI445">
        <v>0</v>
      </c>
    </row>
    <row r="446" spans="1:321" x14ac:dyDescent="0.35">
      <c r="A446">
        <v>1</v>
      </c>
      <c r="B446">
        <v>12657</v>
      </c>
      <c r="C446" t="s">
        <v>1236</v>
      </c>
      <c r="D446" t="s">
        <v>1076</v>
      </c>
      <c r="E446" t="s">
        <v>85</v>
      </c>
      <c r="F446">
        <v>80</v>
      </c>
      <c r="G446">
        <v>9000</v>
      </c>
      <c r="H446">
        <v>0</v>
      </c>
      <c r="I446" t="s">
        <v>1235</v>
      </c>
      <c r="L446">
        <v>0</v>
      </c>
      <c r="M446">
        <v>0</v>
      </c>
      <c r="N446">
        <v>0</v>
      </c>
      <c r="R446">
        <v>0</v>
      </c>
      <c r="S446">
        <v>0</v>
      </c>
      <c r="W446" t="s">
        <v>1060</v>
      </c>
      <c r="X446">
        <v>0</v>
      </c>
      <c r="Z446">
        <v>1</v>
      </c>
      <c r="AA446">
        <v>0</v>
      </c>
      <c r="AB446">
        <v>0</v>
      </c>
      <c r="AC446">
        <v>1.0874999999999999</v>
      </c>
      <c r="AD446" s="20">
        <v>41978</v>
      </c>
      <c r="AE446">
        <v>1.2</v>
      </c>
      <c r="AF446">
        <v>0</v>
      </c>
      <c r="AH446">
        <v>0</v>
      </c>
      <c r="AJ446">
        <v>0</v>
      </c>
      <c r="AL446">
        <v>1</v>
      </c>
      <c r="AM446">
        <v>0</v>
      </c>
      <c r="AN446">
        <v>16601001</v>
      </c>
      <c r="AO446">
        <v>0</v>
      </c>
      <c r="AP446">
        <v>1000</v>
      </c>
      <c r="AT446">
        <v>0</v>
      </c>
      <c r="AU446" t="s">
        <v>1059</v>
      </c>
      <c r="AW446" t="s">
        <v>1053</v>
      </c>
      <c r="AX446">
        <v>0</v>
      </c>
      <c r="AY446" s="20">
        <v>40801</v>
      </c>
      <c r="BA446" s="20">
        <v>40801</v>
      </c>
      <c r="BB446" t="s">
        <v>1058</v>
      </c>
      <c r="BD446">
        <v>0</v>
      </c>
      <c r="BF446" t="s">
        <v>1043</v>
      </c>
      <c r="BG446" t="s">
        <v>1042</v>
      </c>
      <c r="BH446">
        <v>0</v>
      </c>
      <c r="BI446">
        <v>1</v>
      </c>
      <c r="BJ446">
        <v>0</v>
      </c>
      <c r="BK446">
        <v>0</v>
      </c>
      <c r="BM446" t="s">
        <v>1042</v>
      </c>
      <c r="BN446">
        <v>0</v>
      </c>
      <c r="BR446" t="s">
        <v>1043</v>
      </c>
      <c r="BS446" t="s">
        <v>1043</v>
      </c>
      <c r="BT446" t="s">
        <v>1043</v>
      </c>
      <c r="BW446">
        <v>60</v>
      </c>
      <c r="CA446">
        <v>0</v>
      </c>
      <c r="CB446" t="s">
        <v>1057</v>
      </c>
      <c r="CE446" t="s">
        <v>1043</v>
      </c>
      <c r="CH446" t="s">
        <v>1043</v>
      </c>
      <c r="CN446" t="s">
        <v>1056</v>
      </c>
      <c r="CO446" t="s">
        <v>1043</v>
      </c>
      <c r="CP446">
        <v>1</v>
      </c>
      <c r="CQ446">
        <v>0</v>
      </c>
      <c r="CS446">
        <v>0</v>
      </c>
      <c r="CT446">
        <v>0</v>
      </c>
      <c r="CU446">
        <v>0</v>
      </c>
      <c r="CV446" t="s">
        <v>1045</v>
      </c>
      <c r="CW446">
        <v>0</v>
      </c>
      <c r="CX446">
        <v>0</v>
      </c>
      <c r="CY446">
        <v>0</v>
      </c>
      <c r="CZ446">
        <v>0</v>
      </c>
      <c r="DB446">
        <v>0</v>
      </c>
      <c r="DC446" t="s">
        <v>1043</v>
      </c>
      <c r="DF446" t="s">
        <v>1055</v>
      </c>
      <c r="DH446">
        <v>0</v>
      </c>
      <c r="DJ446">
        <v>0</v>
      </c>
      <c r="DK446" t="s">
        <v>1053</v>
      </c>
      <c r="DL446">
        <v>0</v>
      </c>
      <c r="DN446">
        <v>0</v>
      </c>
      <c r="DO446" t="s">
        <v>1042</v>
      </c>
      <c r="DP446">
        <v>0</v>
      </c>
      <c r="DQ446">
        <v>0</v>
      </c>
      <c r="DS446">
        <v>0</v>
      </c>
      <c r="DU446">
        <v>0</v>
      </c>
      <c r="DW446">
        <v>0</v>
      </c>
      <c r="DX446" t="s">
        <v>1043</v>
      </c>
      <c r="DY446">
        <v>0</v>
      </c>
      <c r="DZ446">
        <v>0</v>
      </c>
      <c r="EA446">
        <v>0</v>
      </c>
      <c r="ED446" t="s">
        <v>1045</v>
      </c>
      <c r="EE446">
        <v>0</v>
      </c>
      <c r="EF446">
        <v>0</v>
      </c>
      <c r="EQ446" t="s">
        <v>1044</v>
      </c>
      <c r="ES446" t="s">
        <v>1053</v>
      </c>
      <c r="ET446">
        <v>0</v>
      </c>
      <c r="EV446">
        <v>0</v>
      </c>
      <c r="EY446" t="s">
        <v>1052</v>
      </c>
      <c r="EZ446">
        <v>0</v>
      </c>
      <c r="FA446" t="s">
        <v>1043</v>
      </c>
      <c r="FB446">
        <v>0</v>
      </c>
      <c r="FC446">
        <v>0</v>
      </c>
      <c r="FE446" t="s">
        <v>1050</v>
      </c>
      <c r="FF446">
        <v>0</v>
      </c>
      <c r="FG446" t="s">
        <v>1050</v>
      </c>
      <c r="FJ446">
        <v>0</v>
      </c>
      <c r="FK446">
        <v>0</v>
      </c>
      <c r="FP446">
        <v>0</v>
      </c>
      <c r="FR446">
        <v>0</v>
      </c>
      <c r="FS446" t="s">
        <v>1043</v>
      </c>
      <c r="FX446" t="s">
        <v>1042</v>
      </c>
      <c r="FZ446" t="s">
        <v>1048</v>
      </c>
      <c r="GA446">
        <v>0</v>
      </c>
      <c r="GB446" t="s">
        <v>1042</v>
      </c>
      <c r="GE446">
        <v>0</v>
      </c>
      <c r="GG446">
        <v>0</v>
      </c>
      <c r="GN446">
        <v>0</v>
      </c>
      <c r="GO446" t="s">
        <v>1063</v>
      </c>
      <c r="GQ446">
        <v>0</v>
      </c>
      <c r="GU446">
        <v>0</v>
      </c>
      <c r="GY446" t="s">
        <v>1045</v>
      </c>
      <c r="HB446">
        <v>0</v>
      </c>
      <c r="HE446">
        <v>0</v>
      </c>
      <c r="HF446">
        <v>0</v>
      </c>
      <c r="HG446">
        <v>0</v>
      </c>
      <c r="HK446" t="s">
        <v>1042</v>
      </c>
      <c r="HM446" t="s">
        <v>1047</v>
      </c>
      <c r="HN446">
        <v>0</v>
      </c>
      <c r="HP446">
        <v>0</v>
      </c>
      <c r="HQ446">
        <v>0</v>
      </c>
      <c r="HR446" t="s">
        <v>1042</v>
      </c>
      <c r="HS446" t="s">
        <v>1043</v>
      </c>
      <c r="HT446">
        <v>0</v>
      </c>
      <c r="HU446">
        <v>0</v>
      </c>
      <c r="HW446">
        <v>0</v>
      </c>
      <c r="HX446">
        <v>0</v>
      </c>
      <c r="HY446">
        <v>0</v>
      </c>
      <c r="HZ446" t="s">
        <v>1045</v>
      </c>
      <c r="IA446">
        <v>0</v>
      </c>
      <c r="IB446" t="s">
        <v>1045</v>
      </c>
      <c r="ID446" t="s">
        <v>1045</v>
      </c>
      <c r="IF446">
        <v>0</v>
      </c>
      <c r="IG446" t="s">
        <v>1042</v>
      </c>
      <c r="II446" t="s">
        <v>1042</v>
      </c>
      <c r="IR446" t="s">
        <v>1045</v>
      </c>
      <c r="IT446">
        <v>0</v>
      </c>
      <c r="IY446" t="s">
        <v>1044</v>
      </c>
      <c r="IZ446" t="s">
        <v>1043</v>
      </c>
      <c r="JC446" t="s">
        <v>1043</v>
      </c>
      <c r="JE446">
        <v>0</v>
      </c>
      <c r="JF446">
        <v>0</v>
      </c>
      <c r="JI446" t="s">
        <v>1042</v>
      </c>
      <c r="JJ446">
        <v>0</v>
      </c>
      <c r="JK446">
        <v>0</v>
      </c>
      <c r="JL446">
        <v>0</v>
      </c>
      <c r="JM446">
        <v>0</v>
      </c>
      <c r="JQ446" t="s">
        <v>1043</v>
      </c>
      <c r="JT446">
        <v>0</v>
      </c>
      <c r="JU446" t="s">
        <v>1042</v>
      </c>
      <c r="JW446">
        <v>0</v>
      </c>
      <c r="KA446">
        <v>0</v>
      </c>
      <c r="KF446">
        <v>0</v>
      </c>
      <c r="KG446">
        <v>0</v>
      </c>
      <c r="KH446">
        <v>0</v>
      </c>
      <c r="KI446">
        <v>0</v>
      </c>
      <c r="KS446" t="s">
        <v>1073</v>
      </c>
      <c r="KT446">
        <v>0</v>
      </c>
      <c r="KU446">
        <v>0</v>
      </c>
      <c r="KV446">
        <v>0</v>
      </c>
      <c r="KX446">
        <v>0</v>
      </c>
      <c r="KZ446">
        <v>0</v>
      </c>
      <c r="LF446">
        <v>0</v>
      </c>
      <c r="LH446">
        <v>0</v>
      </c>
      <c r="LI446">
        <v>0</v>
      </c>
    </row>
    <row r="447" spans="1:321" x14ac:dyDescent="0.35">
      <c r="A447">
        <v>1</v>
      </c>
      <c r="B447">
        <v>12658</v>
      </c>
      <c r="C447" t="s">
        <v>1234</v>
      </c>
      <c r="D447" t="s">
        <v>1133</v>
      </c>
      <c r="E447" t="s">
        <v>1165</v>
      </c>
      <c r="F447">
        <v>80</v>
      </c>
      <c r="G447">
        <v>8888</v>
      </c>
      <c r="H447">
        <v>0</v>
      </c>
      <c r="I447" t="s">
        <v>1050</v>
      </c>
      <c r="L447">
        <v>0</v>
      </c>
      <c r="M447">
        <v>0</v>
      </c>
      <c r="N447">
        <v>0</v>
      </c>
      <c r="R447">
        <v>0</v>
      </c>
      <c r="S447">
        <v>0</v>
      </c>
      <c r="W447" t="s">
        <v>1060</v>
      </c>
      <c r="X447">
        <v>0</v>
      </c>
      <c r="Z447">
        <v>1</v>
      </c>
      <c r="AA447">
        <v>0</v>
      </c>
      <c r="AB447">
        <v>0</v>
      </c>
      <c r="AC447">
        <v>0</v>
      </c>
      <c r="AD447" s="20">
        <v>40778</v>
      </c>
      <c r="AE447">
        <v>5.8999999999999997E-2</v>
      </c>
      <c r="AF447">
        <v>0</v>
      </c>
      <c r="AH447">
        <v>0</v>
      </c>
      <c r="AJ447">
        <v>0</v>
      </c>
      <c r="AL447">
        <v>0</v>
      </c>
      <c r="AM447">
        <v>0</v>
      </c>
      <c r="AN447">
        <v>16601001</v>
      </c>
      <c r="AO447">
        <v>0</v>
      </c>
      <c r="AP447">
        <v>1000</v>
      </c>
      <c r="AT447">
        <v>0</v>
      </c>
      <c r="AU447" t="s">
        <v>1059</v>
      </c>
      <c r="AW447" t="s">
        <v>1053</v>
      </c>
      <c r="AX447">
        <v>0</v>
      </c>
      <c r="AY447" s="20">
        <v>40801</v>
      </c>
      <c r="BA447" s="20">
        <v>40801</v>
      </c>
      <c r="BB447" t="s">
        <v>1058</v>
      </c>
      <c r="BD447">
        <v>0</v>
      </c>
      <c r="BF447" t="s">
        <v>1043</v>
      </c>
      <c r="BG447" t="s">
        <v>1042</v>
      </c>
      <c r="BH447">
        <v>0</v>
      </c>
      <c r="BI447">
        <v>1</v>
      </c>
      <c r="BJ447">
        <v>0</v>
      </c>
      <c r="BK447">
        <v>0</v>
      </c>
      <c r="BM447" t="s">
        <v>1042</v>
      </c>
      <c r="BN447">
        <v>0</v>
      </c>
      <c r="BR447" t="s">
        <v>1043</v>
      </c>
      <c r="BS447" t="s">
        <v>1043</v>
      </c>
      <c r="BT447" t="s">
        <v>1043</v>
      </c>
      <c r="BW447">
        <v>83</v>
      </c>
      <c r="CA447">
        <v>0</v>
      </c>
      <c r="CB447" t="s">
        <v>1057</v>
      </c>
      <c r="CE447" t="s">
        <v>1043</v>
      </c>
      <c r="CH447" t="s">
        <v>1043</v>
      </c>
      <c r="CN447" t="s">
        <v>1056</v>
      </c>
      <c r="CO447" t="s">
        <v>1043</v>
      </c>
      <c r="CP447">
        <v>1</v>
      </c>
      <c r="CQ447">
        <v>0</v>
      </c>
      <c r="CS447">
        <v>0</v>
      </c>
      <c r="CT447">
        <v>0</v>
      </c>
      <c r="CU447">
        <v>0</v>
      </c>
      <c r="CV447" t="s">
        <v>1045</v>
      </c>
      <c r="CW447">
        <v>0</v>
      </c>
      <c r="CX447">
        <v>0</v>
      </c>
      <c r="CY447">
        <v>0</v>
      </c>
      <c r="CZ447">
        <v>0</v>
      </c>
      <c r="DB447">
        <v>0</v>
      </c>
      <c r="DC447" t="s">
        <v>1043</v>
      </c>
      <c r="DF447" t="s">
        <v>1055</v>
      </c>
      <c r="DH447">
        <v>0</v>
      </c>
      <c r="DJ447">
        <v>0</v>
      </c>
      <c r="DK447" t="s">
        <v>1053</v>
      </c>
      <c r="DL447">
        <v>0</v>
      </c>
      <c r="DN447">
        <v>0</v>
      </c>
      <c r="DO447" t="s">
        <v>1042</v>
      </c>
      <c r="DP447">
        <v>0</v>
      </c>
      <c r="DQ447">
        <v>0</v>
      </c>
      <c r="DS447">
        <v>0</v>
      </c>
      <c r="DU447">
        <v>0</v>
      </c>
      <c r="DW447">
        <v>0</v>
      </c>
      <c r="DX447" t="s">
        <v>1043</v>
      </c>
      <c r="DY447">
        <v>0</v>
      </c>
      <c r="DZ447">
        <v>0</v>
      </c>
      <c r="EA447">
        <v>0</v>
      </c>
      <c r="ED447" t="s">
        <v>1045</v>
      </c>
      <c r="EE447">
        <v>0</v>
      </c>
      <c r="EF447">
        <v>0</v>
      </c>
      <c r="EQ447" t="s">
        <v>1044</v>
      </c>
      <c r="ES447" t="s">
        <v>1053</v>
      </c>
      <c r="ET447">
        <v>0</v>
      </c>
      <c r="EV447">
        <v>0</v>
      </c>
      <c r="EY447" t="s">
        <v>1052</v>
      </c>
      <c r="EZ447">
        <v>0</v>
      </c>
      <c r="FA447" t="s">
        <v>1043</v>
      </c>
      <c r="FB447">
        <v>0</v>
      </c>
      <c r="FC447">
        <v>0</v>
      </c>
      <c r="FE447" t="s">
        <v>1050</v>
      </c>
      <c r="FF447">
        <v>0</v>
      </c>
      <c r="FG447" t="s">
        <v>1050</v>
      </c>
      <c r="FJ447">
        <v>0</v>
      </c>
      <c r="FK447">
        <v>0</v>
      </c>
      <c r="FP447">
        <v>0</v>
      </c>
      <c r="FR447">
        <v>0</v>
      </c>
      <c r="FS447" t="s">
        <v>1043</v>
      </c>
      <c r="FX447" t="s">
        <v>1042</v>
      </c>
      <c r="FZ447" t="s">
        <v>1048</v>
      </c>
      <c r="GA447">
        <v>0</v>
      </c>
      <c r="GB447" t="s">
        <v>1042</v>
      </c>
      <c r="GE447">
        <v>0</v>
      </c>
      <c r="GG447">
        <v>0</v>
      </c>
      <c r="GN447">
        <v>0</v>
      </c>
      <c r="GO447" t="s">
        <v>1063</v>
      </c>
      <c r="GQ447">
        <v>0</v>
      </c>
      <c r="GU447">
        <v>0</v>
      </c>
      <c r="GY447" t="s">
        <v>1045</v>
      </c>
      <c r="HB447">
        <v>0</v>
      </c>
      <c r="HE447">
        <v>0</v>
      </c>
      <c r="HF447">
        <v>0</v>
      </c>
      <c r="HG447">
        <v>0</v>
      </c>
      <c r="HK447" t="s">
        <v>1042</v>
      </c>
      <c r="HM447" t="s">
        <v>1047</v>
      </c>
      <c r="HN447">
        <v>0</v>
      </c>
      <c r="HP447">
        <v>0</v>
      </c>
      <c r="HQ447">
        <v>0</v>
      </c>
      <c r="HR447" t="s">
        <v>1042</v>
      </c>
      <c r="HS447" t="s">
        <v>1043</v>
      </c>
      <c r="HT447">
        <v>0</v>
      </c>
      <c r="HU447">
        <v>0</v>
      </c>
      <c r="HW447">
        <v>0</v>
      </c>
      <c r="HX447">
        <v>0</v>
      </c>
      <c r="HY447">
        <v>0</v>
      </c>
      <c r="HZ447" t="s">
        <v>1045</v>
      </c>
      <c r="IA447">
        <v>0</v>
      </c>
      <c r="IB447" t="s">
        <v>1045</v>
      </c>
      <c r="ID447" t="s">
        <v>1045</v>
      </c>
      <c r="IF447">
        <v>0</v>
      </c>
      <c r="IG447" t="s">
        <v>1042</v>
      </c>
      <c r="II447" t="s">
        <v>1042</v>
      </c>
      <c r="IR447" t="s">
        <v>1044</v>
      </c>
      <c r="IT447">
        <v>0</v>
      </c>
      <c r="IY447" t="s">
        <v>1044</v>
      </c>
      <c r="IZ447" t="s">
        <v>1043</v>
      </c>
      <c r="JC447" t="s">
        <v>1043</v>
      </c>
      <c r="JE447">
        <v>0</v>
      </c>
      <c r="JF447">
        <v>0</v>
      </c>
      <c r="JI447" t="s">
        <v>1042</v>
      </c>
      <c r="JJ447">
        <v>0</v>
      </c>
      <c r="JK447">
        <v>0</v>
      </c>
      <c r="JL447">
        <v>0</v>
      </c>
      <c r="JM447">
        <v>0</v>
      </c>
      <c r="JQ447" t="s">
        <v>1043</v>
      </c>
      <c r="JT447">
        <v>0</v>
      </c>
      <c r="JU447" t="s">
        <v>1042</v>
      </c>
      <c r="JW447">
        <v>0</v>
      </c>
      <c r="KA447">
        <v>0</v>
      </c>
      <c r="KF447">
        <v>0</v>
      </c>
      <c r="KG447">
        <v>0</v>
      </c>
      <c r="KH447">
        <v>0</v>
      </c>
      <c r="KI447">
        <v>0</v>
      </c>
      <c r="KS447" t="s">
        <v>1073</v>
      </c>
      <c r="KT447">
        <v>0</v>
      </c>
      <c r="KU447">
        <v>0</v>
      </c>
      <c r="KV447">
        <v>0</v>
      </c>
      <c r="KX447">
        <v>0</v>
      </c>
      <c r="KZ447">
        <v>0</v>
      </c>
      <c r="LF447">
        <v>0</v>
      </c>
      <c r="LH447">
        <v>0</v>
      </c>
      <c r="LI447">
        <v>0</v>
      </c>
    </row>
    <row r="448" spans="1:321" x14ac:dyDescent="0.35">
      <c r="A448">
        <v>1</v>
      </c>
      <c r="B448">
        <v>12659</v>
      </c>
      <c r="C448" t="s">
        <v>1233</v>
      </c>
      <c r="D448" t="s">
        <v>1076</v>
      </c>
      <c r="E448" t="s">
        <v>85</v>
      </c>
      <c r="F448">
        <v>80</v>
      </c>
      <c r="G448">
        <v>9000</v>
      </c>
      <c r="H448">
        <v>0</v>
      </c>
      <c r="I448" t="s">
        <v>1050</v>
      </c>
      <c r="L448">
        <v>0</v>
      </c>
      <c r="M448">
        <v>0</v>
      </c>
      <c r="N448">
        <v>0</v>
      </c>
      <c r="R448">
        <v>0</v>
      </c>
      <c r="S448">
        <v>0</v>
      </c>
      <c r="W448" t="s">
        <v>1060</v>
      </c>
      <c r="X448">
        <v>0</v>
      </c>
      <c r="Z448">
        <v>1</v>
      </c>
      <c r="AA448">
        <v>0</v>
      </c>
      <c r="AB448">
        <v>0</v>
      </c>
      <c r="AC448">
        <v>0</v>
      </c>
      <c r="AD448" s="20">
        <v>40778</v>
      </c>
      <c r="AE448">
        <v>9.5000000000000001E-2</v>
      </c>
      <c r="AF448">
        <v>0</v>
      </c>
      <c r="AH448">
        <v>0</v>
      </c>
      <c r="AJ448">
        <v>0</v>
      </c>
      <c r="AL448">
        <v>0</v>
      </c>
      <c r="AM448">
        <v>0</v>
      </c>
      <c r="AN448">
        <v>16601001</v>
      </c>
      <c r="AO448">
        <v>0</v>
      </c>
      <c r="AP448">
        <v>1000</v>
      </c>
      <c r="AT448">
        <v>0</v>
      </c>
      <c r="AU448" t="s">
        <v>1059</v>
      </c>
      <c r="AW448" t="s">
        <v>1053</v>
      </c>
      <c r="AX448">
        <v>0</v>
      </c>
      <c r="AY448" s="20">
        <v>40801</v>
      </c>
      <c r="BA448" s="20">
        <v>40801</v>
      </c>
      <c r="BB448" t="s">
        <v>1058</v>
      </c>
      <c r="BD448">
        <v>0</v>
      </c>
      <c r="BF448" t="s">
        <v>1043</v>
      </c>
      <c r="BG448" t="s">
        <v>1042</v>
      </c>
      <c r="BH448">
        <v>0</v>
      </c>
      <c r="BI448">
        <v>1</v>
      </c>
      <c r="BJ448">
        <v>0</v>
      </c>
      <c r="BK448">
        <v>0</v>
      </c>
      <c r="BM448" t="s">
        <v>1042</v>
      </c>
      <c r="BN448">
        <v>0</v>
      </c>
      <c r="BR448" t="s">
        <v>1043</v>
      </c>
      <c r="BS448" t="s">
        <v>1043</v>
      </c>
      <c r="BT448" t="s">
        <v>1043</v>
      </c>
      <c r="BW448">
        <v>60</v>
      </c>
      <c r="CA448">
        <v>0</v>
      </c>
      <c r="CB448" t="s">
        <v>1057</v>
      </c>
      <c r="CE448" t="s">
        <v>1043</v>
      </c>
      <c r="CH448" t="s">
        <v>1043</v>
      </c>
      <c r="CN448" t="s">
        <v>1056</v>
      </c>
      <c r="CO448" t="s">
        <v>1043</v>
      </c>
      <c r="CP448">
        <v>1</v>
      </c>
      <c r="CQ448">
        <v>0</v>
      </c>
      <c r="CS448">
        <v>0</v>
      </c>
      <c r="CT448">
        <v>0</v>
      </c>
      <c r="CU448">
        <v>0</v>
      </c>
      <c r="CV448" t="s">
        <v>1045</v>
      </c>
      <c r="CW448">
        <v>0</v>
      </c>
      <c r="CX448">
        <v>0</v>
      </c>
      <c r="CY448">
        <v>0</v>
      </c>
      <c r="CZ448">
        <v>0</v>
      </c>
      <c r="DB448">
        <v>0</v>
      </c>
      <c r="DC448" t="s">
        <v>1043</v>
      </c>
      <c r="DF448" t="s">
        <v>1055</v>
      </c>
      <c r="DH448">
        <v>0</v>
      </c>
      <c r="DJ448">
        <v>0</v>
      </c>
      <c r="DK448" t="s">
        <v>1053</v>
      </c>
      <c r="DL448">
        <v>0</v>
      </c>
      <c r="DN448">
        <v>0</v>
      </c>
      <c r="DO448" t="s">
        <v>1042</v>
      </c>
      <c r="DP448">
        <v>0</v>
      </c>
      <c r="DQ448">
        <v>0</v>
      </c>
      <c r="DS448">
        <v>0</v>
      </c>
      <c r="DU448">
        <v>0</v>
      </c>
      <c r="DW448">
        <v>0</v>
      </c>
      <c r="DX448" t="s">
        <v>1043</v>
      </c>
      <c r="DY448">
        <v>0</v>
      </c>
      <c r="DZ448">
        <v>0</v>
      </c>
      <c r="EA448">
        <v>0</v>
      </c>
      <c r="ED448" t="s">
        <v>1045</v>
      </c>
      <c r="EE448">
        <v>0</v>
      </c>
      <c r="EF448">
        <v>0</v>
      </c>
      <c r="EQ448" t="s">
        <v>1044</v>
      </c>
      <c r="ES448" t="s">
        <v>1053</v>
      </c>
      <c r="ET448">
        <v>0</v>
      </c>
      <c r="EV448">
        <v>0</v>
      </c>
      <c r="EY448" t="s">
        <v>1052</v>
      </c>
      <c r="EZ448">
        <v>0</v>
      </c>
      <c r="FA448" t="s">
        <v>1043</v>
      </c>
      <c r="FB448">
        <v>0</v>
      </c>
      <c r="FC448">
        <v>0</v>
      </c>
      <c r="FE448" t="s">
        <v>1050</v>
      </c>
      <c r="FF448">
        <v>0</v>
      </c>
      <c r="FG448" t="s">
        <v>1050</v>
      </c>
      <c r="FJ448">
        <v>0</v>
      </c>
      <c r="FK448">
        <v>0</v>
      </c>
      <c r="FP448">
        <v>0</v>
      </c>
      <c r="FR448">
        <v>0</v>
      </c>
      <c r="FS448" t="s">
        <v>1043</v>
      </c>
      <c r="FX448" t="s">
        <v>1042</v>
      </c>
      <c r="FZ448" t="s">
        <v>1048</v>
      </c>
      <c r="GA448">
        <v>0</v>
      </c>
      <c r="GB448" t="s">
        <v>1042</v>
      </c>
      <c r="GE448">
        <v>0</v>
      </c>
      <c r="GG448">
        <v>0</v>
      </c>
      <c r="GN448">
        <v>0</v>
      </c>
      <c r="GO448" t="s">
        <v>1063</v>
      </c>
      <c r="GQ448">
        <v>0</v>
      </c>
      <c r="GU448">
        <v>0</v>
      </c>
      <c r="GY448" t="s">
        <v>1045</v>
      </c>
      <c r="HB448">
        <v>0</v>
      </c>
      <c r="HE448">
        <v>0</v>
      </c>
      <c r="HF448">
        <v>0</v>
      </c>
      <c r="HG448">
        <v>0</v>
      </c>
      <c r="HK448" t="s">
        <v>1042</v>
      </c>
      <c r="HM448" t="s">
        <v>1047</v>
      </c>
      <c r="HN448">
        <v>0</v>
      </c>
      <c r="HP448">
        <v>0</v>
      </c>
      <c r="HQ448">
        <v>0</v>
      </c>
      <c r="HR448" t="s">
        <v>1042</v>
      </c>
      <c r="HS448" t="s">
        <v>1043</v>
      </c>
      <c r="HT448">
        <v>0</v>
      </c>
      <c r="HU448">
        <v>0</v>
      </c>
      <c r="HW448">
        <v>0</v>
      </c>
      <c r="HX448">
        <v>0</v>
      </c>
      <c r="HY448">
        <v>0</v>
      </c>
      <c r="HZ448" t="s">
        <v>1045</v>
      </c>
      <c r="IA448">
        <v>0</v>
      </c>
      <c r="IB448" t="s">
        <v>1045</v>
      </c>
      <c r="ID448" t="s">
        <v>1045</v>
      </c>
      <c r="IF448">
        <v>0</v>
      </c>
      <c r="IG448" t="s">
        <v>1042</v>
      </c>
      <c r="II448" t="s">
        <v>1042</v>
      </c>
      <c r="IR448" t="s">
        <v>1045</v>
      </c>
      <c r="IT448">
        <v>0</v>
      </c>
      <c r="IY448" t="s">
        <v>1044</v>
      </c>
      <c r="IZ448" t="s">
        <v>1043</v>
      </c>
      <c r="JC448" t="s">
        <v>1043</v>
      </c>
      <c r="JE448">
        <v>0</v>
      </c>
      <c r="JF448">
        <v>0</v>
      </c>
      <c r="JI448" t="s">
        <v>1042</v>
      </c>
      <c r="JJ448">
        <v>0</v>
      </c>
      <c r="JK448">
        <v>0</v>
      </c>
      <c r="JL448">
        <v>0</v>
      </c>
      <c r="JM448">
        <v>0</v>
      </c>
      <c r="JQ448" t="s">
        <v>1043</v>
      </c>
      <c r="JT448">
        <v>0</v>
      </c>
      <c r="JU448" t="s">
        <v>1042</v>
      </c>
      <c r="JW448">
        <v>0</v>
      </c>
      <c r="KA448">
        <v>0</v>
      </c>
      <c r="KF448">
        <v>0</v>
      </c>
      <c r="KG448">
        <v>0</v>
      </c>
      <c r="KH448">
        <v>0</v>
      </c>
      <c r="KI448">
        <v>0</v>
      </c>
      <c r="KS448" t="s">
        <v>1073</v>
      </c>
      <c r="KT448">
        <v>0</v>
      </c>
      <c r="KU448">
        <v>0</v>
      </c>
      <c r="KV448">
        <v>0</v>
      </c>
      <c r="KX448">
        <v>0</v>
      </c>
      <c r="KZ448">
        <v>0</v>
      </c>
      <c r="LF448">
        <v>0</v>
      </c>
      <c r="LH448">
        <v>0</v>
      </c>
      <c r="LI448">
        <v>0</v>
      </c>
    </row>
    <row r="449" spans="1:321" x14ac:dyDescent="0.35">
      <c r="A449">
        <v>1</v>
      </c>
      <c r="B449">
        <v>1266</v>
      </c>
      <c r="C449" t="s">
        <v>649</v>
      </c>
      <c r="D449" t="s">
        <v>1061</v>
      </c>
      <c r="E449" t="s">
        <v>85</v>
      </c>
      <c r="F449">
        <v>1</v>
      </c>
      <c r="G449">
        <v>240</v>
      </c>
      <c r="H449">
        <v>0</v>
      </c>
      <c r="I449" t="s">
        <v>994</v>
      </c>
      <c r="L449">
        <v>0</v>
      </c>
      <c r="M449">
        <v>0</v>
      </c>
      <c r="N449">
        <v>0</v>
      </c>
      <c r="P449">
        <v>13</v>
      </c>
      <c r="Q449">
        <v>516</v>
      </c>
      <c r="R449">
        <v>0</v>
      </c>
      <c r="S449">
        <v>0</v>
      </c>
      <c r="W449" t="s">
        <v>1060</v>
      </c>
      <c r="X449">
        <v>0</v>
      </c>
      <c r="Z449">
        <v>20</v>
      </c>
      <c r="AA449">
        <v>19.673200000000001</v>
      </c>
      <c r="AB449">
        <v>10741</v>
      </c>
      <c r="AC449">
        <v>2.44</v>
      </c>
      <c r="AD449" t="s">
        <v>1042</v>
      </c>
      <c r="AE449">
        <v>0</v>
      </c>
      <c r="AF449">
        <v>6.3500000000000001E-2</v>
      </c>
      <c r="AH449">
        <v>1830</v>
      </c>
      <c r="AJ449">
        <v>0</v>
      </c>
      <c r="AL449">
        <v>45600</v>
      </c>
      <c r="AM449">
        <v>1309</v>
      </c>
      <c r="AN449">
        <v>11501001</v>
      </c>
      <c r="AO449">
        <v>0</v>
      </c>
      <c r="AP449">
        <v>1002</v>
      </c>
      <c r="AT449">
        <v>1</v>
      </c>
      <c r="AU449" t="s">
        <v>1059</v>
      </c>
      <c r="AW449" t="s">
        <v>1053</v>
      </c>
      <c r="AX449">
        <v>5</v>
      </c>
      <c r="AY449" s="20">
        <v>43274</v>
      </c>
      <c r="BA449" s="20">
        <v>44160</v>
      </c>
      <c r="BB449" t="s">
        <v>1058</v>
      </c>
      <c r="BD449">
        <v>0</v>
      </c>
      <c r="BF449" t="s">
        <v>1044</v>
      </c>
      <c r="BG449" s="20">
        <v>40578</v>
      </c>
      <c r="BH449">
        <v>0</v>
      </c>
      <c r="BI449">
        <v>21</v>
      </c>
      <c r="BJ449">
        <v>0</v>
      </c>
      <c r="BK449">
        <v>0</v>
      </c>
      <c r="BM449" s="20">
        <v>40487</v>
      </c>
      <c r="BN449">
        <v>0</v>
      </c>
      <c r="BO449">
        <v>7897801310321</v>
      </c>
      <c r="BR449" t="s">
        <v>1043</v>
      </c>
      <c r="BS449" t="s">
        <v>1043</v>
      </c>
      <c r="BT449" t="s">
        <v>1043</v>
      </c>
      <c r="BV449">
        <v>1</v>
      </c>
      <c r="BW449">
        <v>2</v>
      </c>
      <c r="BY449">
        <v>69</v>
      </c>
      <c r="CA449">
        <v>0</v>
      </c>
      <c r="CB449" t="s">
        <v>1057</v>
      </c>
      <c r="CE449" t="s">
        <v>1043</v>
      </c>
      <c r="CH449" t="s">
        <v>1043</v>
      </c>
      <c r="CN449" t="s">
        <v>1056</v>
      </c>
      <c r="CO449" t="s">
        <v>1043</v>
      </c>
      <c r="CP449">
        <v>1</v>
      </c>
      <c r="CQ449">
        <v>300</v>
      </c>
      <c r="CS449">
        <v>0</v>
      </c>
      <c r="CT449">
        <v>0</v>
      </c>
      <c r="CU449">
        <v>0</v>
      </c>
      <c r="CW449">
        <v>0</v>
      </c>
      <c r="CX449">
        <v>0</v>
      </c>
      <c r="CY449">
        <v>0</v>
      </c>
      <c r="CZ449">
        <v>0</v>
      </c>
      <c r="DA449">
        <v>8</v>
      </c>
      <c r="DB449">
        <v>25000</v>
      </c>
      <c r="DC449" t="s">
        <v>1043</v>
      </c>
      <c r="DF449" t="s">
        <v>1055</v>
      </c>
      <c r="DH449">
        <v>0</v>
      </c>
      <c r="DJ449">
        <v>0</v>
      </c>
      <c r="DK449" t="s">
        <v>1053</v>
      </c>
      <c r="DL449">
        <v>0</v>
      </c>
      <c r="DN449">
        <v>0</v>
      </c>
      <c r="DO449" t="s">
        <v>1042</v>
      </c>
      <c r="DP449">
        <v>0</v>
      </c>
      <c r="DQ449">
        <v>7.6</v>
      </c>
      <c r="DS449">
        <v>0</v>
      </c>
      <c r="DU449">
        <v>1.65</v>
      </c>
      <c r="DW449">
        <v>0</v>
      </c>
      <c r="DX449" t="s">
        <v>1043</v>
      </c>
      <c r="DY449">
        <v>0</v>
      </c>
      <c r="DZ449">
        <v>0</v>
      </c>
      <c r="EA449">
        <v>0</v>
      </c>
      <c r="EB449">
        <v>17897801310328</v>
      </c>
      <c r="ED449" t="s">
        <v>1045</v>
      </c>
      <c r="EE449">
        <v>0</v>
      </c>
      <c r="EF449">
        <v>0</v>
      </c>
      <c r="EK449" t="s">
        <v>1054</v>
      </c>
      <c r="EL449">
        <v>57897801310326</v>
      </c>
      <c r="EN449" t="s">
        <v>1012</v>
      </c>
      <c r="EQ449" t="s">
        <v>1044</v>
      </c>
      <c r="ES449" t="s">
        <v>1053</v>
      </c>
      <c r="ET449">
        <v>0</v>
      </c>
      <c r="EV449">
        <v>0</v>
      </c>
      <c r="EY449" t="s">
        <v>1052</v>
      </c>
      <c r="EZ449">
        <v>0</v>
      </c>
      <c r="FA449" t="s">
        <v>1043</v>
      </c>
      <c r="FB449">
        <v>0</v>
      </c>
      <c r="FC449">
        <v>0</v>
      </c>
      <c r="FD449" t="s">
        <v>1051</v>
      </c>
      <c r="FE449" t="s">
        <v>1050</v>
      </c>
      <c r="FF449">
        <v>120</v>
      </c>
      <c r="FG449" t="s">
        <v>1050</v>
      </c>
      <c r="FH449">
        <v>27897801310325</v>
      </c>
      <c r="FJ449">
        <v>0</v>
      </c>
      <c r="FK449">
        <v>0</v>
      </c>
      <c r="FP449">
        <v>0</v>
      </c>
      <c r="FR449">
        <v>0</v>
      </c>
      <c r="FS449" t="s">
        <v>1043</v>
      </c>
      <c r="FX449" t="s">
        <v>1042</v>
      </c>
      <c r="FZ449" t="s">
        <v>1048</v>
      </c>
      <c r="GA449">
        <v>0</v>
      </c>
      <c r="GB449" t="s">
        <v>1042</v>
      </c>
      <c r="GD449">
        <v>16</v>
      </c>
      <c r="GE449">
        <v>0</v>
      </c>
      <c r="GG449">
        <v>0</v>
      </c>
      <c r="GN449">
        <v>0</v>
      </c>
      <c r="GO449" t="s">
        <v>1049</v>
      </c>
      <c r="GQ449">
        <v>0</v>
      </c>
      <c r="GU449">
        <v>2</v>
      </c>
      <c r="GY449" t="s">
        <v>1045</v>
      </c>
      <c r="HB449">
        <v>0</v>
      </c>
      <c r="HE449">
        <v>10</v>
      </c>
      <c r="HF449">
        <v>15</v>
      </c>
      <c r="HG449">
        <v>1.035E-2</v>
      </c>
      <c r="HK449" t="s">
        <v>1042</v>
      </c>
      <c r="HL449" t="s">
        <v>1048</v>
      </c>
      <c r="HM449" t="s">
        <v>1047</v>
      </c>
      <c r="HN449">
        <v>0</v>
      </c>
      <c r="HO449">
        <v>25</v>
      </c>
      <c r="HP449">
        <v>6.2399999999999997E-2</v>
      </c>
      <c r="HQ449">
        <v>0</v>
      </c>
      <c r="HR449" t="s">
        <v>1042</v>
      </c>
      <c r="HS449" t="s">
        <v>1043</v>
      </c>
      <c r="HT449">
        <v>0</v>
      </c>
      <c r="HU449">
        <v>0</v>
      </c>
      <c r="HW449">
        <v>0</v>
      </c>
      <c r="HX449">
        <v>24108</v>
      </c>
      <c r="HY449">
        <v>0</v>
      </c>
      <c r="HZ449" t="s">
        <v>1045</v>
      </c>
      <c r="IA449">
        <v>0</v>
      </c>
      <c r="IB449" t="s">
        <v>1045</v>
      </c>
      <c r="ID449" t="s">
        <v>1045</v>
      </c>
      <c r="IF449">
        <v>3000</v>
      </c>
      <c r="IG449" s="20">
        <v>40578</v>
      </c>
      <c r="II449" t="s">
        <v>1042</v>
      </c>
      <c r="IR449" t="s">
        <v>1045</v>
      </c>
      <c r="IT449">
        <v>0</v>
      </c>
      <c r="IY449" t="s">
        <v>1044</v>
      </c>
      <c r="IZ449" t="s">
        <v>1043</v>
      </c>
      <c r="JE449">
        <v>0</v>
      </c>
      <c r="JF449">
        <v>0</v>
      </c>
      <c r="JI449" t="s">
        <v>1042</v>
      </c>
      <c r="JJ449">
        <v>0</v>
      </c>
      <c r="JK449">
        <v>0</v>
      </c>
      <c r="JL449">
        <v>0</v>
      </c>
      <c r="JM449">
        <v>0</v>
      </c>
      <c r="JT449">
        <v>0</v>
      </c>
      <c r="JU449" t="s">
        <v>1042</v>
      </c>
      <c r="JW449">
        <v>0</v>
      </c>
      <c r="KA449">
        <v>0</v>
      </c>
      <c r="KF449">
        <v>0</v>
      </c>
      <c r="KG449">
        <v>0</v>
      </c>
      <c r="KH449">
        <v>0</v>
      </c>
      <c r="KI449">
        <v>0</v>
      </c>
      <c r="KS449" t="s">
        <v>1041</v>
      </c>
      <c r="KT449">
        <v>0</v>
      </c>
      <c r="KU449">
        <v>0</v>
      </c>
      <c r="KV449">
        <v>0</v>
      </c>
      <c r="KX449">
        <v>0</v>
      </c>
      <c r="KZ449">
        <v>0</v>
      </c>
      <c r="LF449">
        <v>0</v>
      </c>
      <c r="LH449">
        <v>60480</v>
      </c>
      <c r="LI449">
        <v>0</v>
      </c>
    </row>
    <row r="450" spans="1:321" x14ac:dyDescent="0.35">
      <c r="A450">
        <v>1</v>
      </c>
      <c r="B450">
        <v>12660</v>
      </c>
      <c r="C450" t="s">
        <v>1232</v>
      </c>
      <c r="D450" t="s">
        <v>1139</v>
      </c>
      <c r="E450" t="s">
        <v>85</v>
      </c>
      <c r="F450">
        <v>80</v>
      </c>
      <c r="G450">
        <v>9000</v>
      </c>
      <c r="H450">
        <v>0</v>
      </c>
      <c r="I450" t="s">
        <v>1231</v>
      </c>
      <c r="L450">
        <v>0</v>
      </c>
      <c r="M450">
        <v>0</v>
      </c>
      <c r="N450">
        <v>0</v>
      </c>
      <c r="R450">
        <v>0</v>
      </c>
      <c r="S450">
        <v>0</v>
      </c>
      <c r="W450" t="s">
        <v>1060</v>
      </c>
      <c r="X450">
        <v>0</v>
      </c>
      <c r="Z450">
        <v>1</v>
      </c>
      <c r="AA450">
        <v>0</v>
      </c>
      <c r="AB450">
        <v>0</v>
      </c>
      <c r="AC450">
        <v>179.685</v>
      </c>
      <c r="AD450" s="20">
        <v>44272</v>
      </c>
      <c r="AE450">
        <v>198</v>
      </c>
      <c r="AF450">
        <v>0</v>
      </c>
      <c r="AH450">
        <v>0</v>
      </c>
      <c r="AJ450">
        <v>0</v>
      </c>
      <c r="AL450">
        <v>1</v>
      </c>
      <c r="AM450">
        <v>0</v>
      </c>
      <c r="AN450">
        <v>16601003</v>
      </c>
      <c r="AO450">
        <v>0</v>
      </c>
      <c r="AP450">
        <v>1000</v>
      </c>
      <c r="AT450">
        <v>0</v>
      </c>
      <c r="AU450" t="s">
        <v>1059</v>
      </c>
      <c r="AW450" t="s">
        <v>1053</v>
      </c>
      <c r="AX450">
        <v>0</v>
      </c>
      <c r="AY450" s="20">
        <v>40801</v>
      </c>
      <c r="BA450" s="20">
        <v>40801</v>
      </c>
      <c r="BB450" t="s">
        <v>1058</v>
      </c>
      <c r="BD450">
        <v>0</v>
      </c>
      <c r="BF450" t="s">
        <v>1043</v>
      </c>
      <c r="BG450" t="s">
        <v>1042</v>
      </c>
      <c r="BH450">
        <v>0</v>
      </c>
      <c r="BI450">
        <v>1</v>
      </c>
      <c r="BJ450">
        <v>0</v>
      </c>
      <c r="BK450">
        <v>0</v>
      </c>
      <c r="BM450" s="20">
        <v>41508</v>
      </c>
      <c r="BN450">
        <v>0</v>
      </c>
      <c r="BR450" t="s">
        <v>1043</v>
      </c>
      <c r="BS450" t="s">
        <v>1043</v>
      </c>
      <c r="BT450" t="s">
        <v>1043</v>
      </c>
      <c r="BW450">
        <v>83</v>
      </c>
      <c r="CA450">
        <v>0</v>
      </c>
      <c r="CB450" t="s">
        <v>1057</v>
      </c>
      <c r="CE450" t="s">
        <v>1043</v>
      </c>
      <c r="CH450" t="s">
        <v>1043</v>
      </c>
      <c r="CN450" t="s">
        <v>1056</v>
      </c>
      <c r="CO450" t="s">
        <v>1043</v>
      </c>
      <c r="CP450">
        <v>1</v>
      </c>
      <c r="CQ450">
        <v>0</v>
      </c>
      <c r="CS450">
        <v>0</v>
      </c>
      <c r="CT450">
        <v>0</v>
      </c>
      <c r="CU450">
        <v>0</v>
      </c>
      <c r="CV450" t="s">
        <v>1045</v>
      </c>
      <c r="CW450">
        <v>0</v>
      </c>
      <c r="CX450">
        <v>0</v>
      </c>
      <c r="CY450">
        <v>0</v>
      </c>
      <c r="CZ450">
        <v>0</v>
      </c>
      <c r="DB450">
        <v>0</v>
      </c>
      <c r="DC450" t="s">
        <v>1043</v>
      </c>
      <c r="DF450" t="s">
        <v>1055</v>
      </c>
      <c r="DH450">
        <v>0</v>
      </c>
      <c r="DJ450">
        <v>0</v>
      </c>
      <c r="DK450" t="s">
        <v>1053</v>
      </c>
      <c r="DL450">
        <v>0</v>
      </c>
      <c r="DN450">
        <v>0</v>
      </c>
      <c r="DO450" t="s">
        <v>1042</v>
      </c>
      <c r="DP450">
        <v>0</v>
      </c>
      <c r="DQ450">
        <v>0</v>
      </c>
      <c r="DS450">
        <v>0</v>
      </c>
      <c r="DU450">
        <v>0</v>
      </c>
      <c r="DW450">
        <v>0</v>
      </c>
      <c r="DX450" t="s">
        <v>1043</v>
      </c>
      <c r="DY450">
        <v>0</v>
      </c>
      <c r="DZ450">
        <v>0</v>
      </c>
      <c r="EA450">
        <v>0</v>
      </c>
      <c r="ED450" t="s">
        <v>1045</v>
      </c>
      <c r="EE450">
        <v>0</v>
      </c>
      <c r="EF450">
        <v>0</v>
      </c>
      <c r="EQ450" t="s">
        <v>1044</v>
      </c>
      <c r="ES450" t="s">
        <v>1053</v>
      </c>
      <c r="ET450">
        <v>0</v>
      </c>
      <c r="EV450">
        <v>0</v>
      </c>
      <c r="EY450" t="s">
        <v>1052</v>
      </c>
      <c r="EZ450">
        <v>0</v>
      </c>
      <c r="FA450" t="s">
        <v>1043</v>
      </c>
      <c r="FB450">
        <v>0</v>
      </c>
      <c r="FC450">
        <v>0</v>
      </c>
      <c r="FE450" t="s">
        <v>1050</v>
      </c>
      <c r="FF450">
        <v>0</v>
      </c>
      <c r="FG450" t="s">
        <v>1050</v>
      </c>
      <c r="FJ450">
        <v>0</v>
      </c>
      <c r="FK450">
        <v>0</v>
      </c>
      <c r="FP450">
        <v>0</v>
      </c>
      <c r="FR450">
        <v>0</v>
      </c>
      <c r="FS450" t="s">
        <v>1043</v>
      </c>
      <c r="FX450" t="s">
        <v>1042</v>
      </c>
      <c r="FZ450" t="s">
        <v>1048</v>
      </c>
      <c r="GA450">
        <v>0</v>
      </c>
      <c r="GB450" t="s">
        <v>1042</v>
      </c>
      <c r="GE450">
        <v>0</v>
      </c>
      <c r="GG450">
        <v>0</v>
      </c>
      <c r="GN450">
        <v>0</v>
      </c>
      <c r="GO450" t="s">
        <v>1063</v>
      </c>
      <c r="GQ450">
        <v>0</v>
      </c>
      <c r="GU450">
        <v>0</v>
      </c>
      <c r="GY450" t="s">
        <v>1045</v>
      </c>
      <c r="HB450">
        <v>0</v>
      </c>
      <c r="HE450">
        <v>0</v>
      </c>
      <c r="HF450">
        <v>0</v>
      </c>
      <c r="HG450">
        <v>0</v>
      </c>
      <c r="HK450" t="s">
        <v>1042</v>
      </c>
      <c r="HM450" t="s">
        <v>1047</v>
      </c>
      <c r="HN450">
        <v>0</v>
      </c>
      <c r="HP450">
        <v>0</v>
      </c>
      <c r="HQ450">
        <v>0</v>
      </c>
      <c r="HR450" t="s">
        <v>1042</v>
      </c>
      <c r="HS450" t="s">
        <v>1043</v>
      </c>
      <c r="HT450">
        <v>0</v>
      </c>
      <c r="HU450">
        <v>0</v>
      </c>
      <c r="HW450">
        <v>0</v>
      </c>
      <c r="HX450">
        <v>0</v>
      </c>
      <c r="HY450">
        <v>1</v>
      </c>
      <c r="HZ450" t="s">
        <v>1045</v>
      </c>
      <c r="IA450">
        <v>198</v>
      </c>
      <c r="IB450" t="s">
        <v>1045</v>
      </c>
      <c r="ID450" t="s">
        <v>1045</v>
      </c>
      <c r="IF450">
        <v>0</v>
      </c>
      <c r="IG450" t="s">
        <v>1042</v>
      </c>
      <c r="II450" t="s">
        <v>1042</v>
      </c>
      <c r="IR450" t="s">
        <v>1045</v>
      </c>
      <c r="IT450">
        <v>0</v>
      </c>
      <c r="IY450" t="s">
        <v>1044</v>
      </c>
      <c r="IZ450" t="s">
        <v>1043</v>
      </c>
      <c r="JC450" t="s">
        <v>1043</v>
      </c>
      <c r="JE450">
        <v>0</v>
      </c>
      <c r="JF450">
        <v>0</v>
      </c>
      <c r="JI450" t="s">
        <v>1042</v>
      </c>
      <c r="JJ450">
        <v>0</v>
      </c>
      <c r="JK450">
        <v>0</v>
      </c>
      <c r="JL450">
        <v>0</v>
      </c>
      <c r="JM450">
        <v>0</v>
      </c>
      <c r="JQ450" t="s">
        <v>1043</v>
      </c>
      <c r="JT450">
        <v>0</v>
      </c>
      <c r="JU450" t="s">
        <v>1042</v>
      </c>
      <c r="JW450">
        <v>0</v>
      </c>
      <c r="KA450">
        <v>0</v>
      </c>
      <c r="KF450">
        <v>0</v>
      </c>
      <c r="KG450">
        <v>0</v>
      </c>
      <c r="KH450">
        <v>0</v>
      </c>
      <c r="KI450">
        <v>0</v>
      </c>
      <c r="KS450" t="s">
        <v>1073</v>
      </c>
      <c r="KT450">
        <v>0</v>
      </c>
      <c r="KU450">
        <v>0</v>
      </c>
      <c r="KV450">
        <v>0</v>
      </c>
      <c r="KX450">
        <v>0</v>
      </c>
      <c r="KZ450">
        <v>0</v>
      </c>
      <c r="LF450">
        <v>0</v>
      </c>
      <c r="LH450">
        <v>0</v>
      </c>
      <c r="LI450">
        <v>0</v>
      </c>
    </row>
    <row r="451" spans="1:321" x14ac:dyDescent="0.35">
      <c r="A451">
        <v>1</v>
      </c>
      <c r="B451">
        <v>12661</v>
      </c>
      <c r="C451" t="s">
        <v>1230</v>
      </c>
      <c r="D451" t="s">
        <v>1139</v>
      </c>
      <c r="E451" t="s">
        <v>85</v>
      </c>
      <c r="F451">
        <v>80</v>
      </c>
      <c r="G451">
        <v>9000</v>
      </c>
      <c r="H451">
        <v>0</v>
      </c>
      <c r="I451" t="s">
        <v>1050</v>
      </c>
      <c r="L451">
        <v>0</v>
      </c>
      <c r="M451">
        <v>0</v>
      </c>
      <c r="N451">
        <v>0</v>
      </c>
      <c r="R451">
        <v>0</v>
      </c>
      <c r="S451">
        <v>0</v>
      </c>
      <c r="W451" t="s">
        <v>1060</v>
      </c>
      <c r="X451">
        <v>0</v>
      </c>
      <c r="Z451">
        <v>1</v>
      </c>
      <c r="AA451">
        <v>0</v>
      </c>
      <c r="AB451">
        <v>0</v>
      </c>
      <c r="AC451">
        <v>0</v>
      </c>
      <c r="AD451" s="20">
        <v>40801</v>
      </c>
      <c r="AE451">
        <v>175</v>
      </c>
      <c r="AF451">
        <v>0</v>
      </c>
      <c r="AH451">
        <v>0</v>
      </c>
      <c r="AJ451">
        <v>0</v>
      </c>
      <c r="AL451">
        <v>0</v>
      </c>
      <c r="AM451">
        <v>0</v>
      </c>
      <c r="AN451">
        <v>16601003</v>
      </c>
      <c r="AO451">
        <v>0</v>
      </c>
      <c r="AP451">
        <v>1000</v>
      </c>
      <c r="AT451">
        <v>0</v>
      </c>
      <c r="AU451" t="s">
        <v>1059</v>
      </c>
      <c r="AW451" t="s">
        <v>1053</v>
      </c>
      <c r="AX451">
        <v>0</v>
      </c>
      <c r="AY451" s="20">
        <v>40801</v>
      </c>
      <c r="BA451" s="20">
        <v>40801</v>
      </c>
      <c r="BB451" t="s">
        <v>1058</v>
      </c>
      <c r="BD451">
        <v>0</v>
      </c>
      <c r="BF451" t="s">
        <v>1043</v>
      </c>
      <c r="BG451" t="s">
        <v>1042</v>
      </c>
      <c r="BH451">
        <v>0</v>
      </c>
      <c r="BI451">
        <v>1</v>
      </c>
      <c r="BJ451">
        <v>0</v>
      </c>
      <c r="BK451">
        <v>0</v>
      </c>
      <c r="BM451" t="s">
        <v>1042</v>
      </c>
      <c r="BN451">
        <v>0</v>
      </c>
      <c r="BR451" t="s">
        <v>1043</v>
      </c>
      <c r="BS451" t="s">
        <v>1043</v>
      </c>
      <c r="BT451" t="s">
        <v>1043</v>
      </c>
      <c r="BW451">
        <v>83</v>
      </c>
      <c r="CA451">
        <v>0</v>
      </c>
      <c r="CB451" t="s">
        <v>1057</v>
      </c>
      <c r="CE451" t="s">
        <v>1043</v>
      </c>
      <c r="CH451" t="s">
        <v>1043</v>
      </c>
      <c r="CN451" t="s">
        <v>1056</v>
      </c>
      <c r="CO451" t="s">
        <v>1043</v>
      </c>
      <c r="CP451">
        <v>1</v>
      </c>
      <c r="CQ451">
        <v>0</v>
      </c>
      <c r="CS451">
        <v>0</v>
      </c>
      <c r="CT451">
        <v>0</v>
      </c>
      <c r="CU451">
        <v>0</v>
      </c>
      <c r="CV451" t="s">
        <v>1045</v>
      </c>
      <c r="CW451">
        <v>0</v>
      </c>
      <c r="CX451">
        <v>0</v>
      </c>
      <c r="CY451">
        <v>0</v>
      </c>
      <c r="CZ451">
        <v>0</v>
      </c>
      <c r="DB451">
        <v>0</v>
      </c>
      <c r="DC451" t="s">
        <v>1043</v>
      </c>
      <c r="DF451" t="s">
        <v>1055</v>
      </c>
      <c r="DH451">
        <v>0</v>
      </c>
      <c r="DJ451">
        <v>0</v>
      </c>
      <c r="DK451" t="s">
        <v>1053</v>
      </c>
      <c r="DL451">
        <v>0</v>
      </c>
      <c r="DN451">
        <v>0</v>
      </c>
      <c r="DO451" t="s">
        <v>1042</v>
      </c>
      <c r="DP451">
        <v>0</v>
      </c>
      <c r="DQ451">
        <v>0</v>
      </c>
      <c r="DS451">
        <v>0</v>
      </c>
      <c r="DU451">
        <v>0</v>
      </c>
      <c r="DW451">
        <v>0</v>
      </c>
      <c r="DX451" t="s">
        <v>1043</v>
      </c>
      <c r="DY451">
        <v>0</v>
      </c>
      <c r="DZ451">
        <v>0</v>
      </c>
      <c r="EA451">
        <v>0</v>
      </c>
      <c r="ED451" t="s">
        <v>1045</v>
      </c>
      <c r="EE451">
        <v>0</v>
      </c>
      <c r="EF451">
        <v>0</v>
      </c>
      <c r="EQ451" t="s">
        <v>1044</v>
      </c>
      <c r="ES451" t="s">
        <v>1053</v>
      </c>
      <c r="ET451">
        <v>0</v>
      </c>
      <c r="EV451">
        <v>0</v>
      </c>
      <c r="EY451" t="s">
        <v>1052</v>
      </c>
      <c r="EZ451">
        <v>0</v>
      </c>
      <c r="FA451" t="s">
        <v>1043</v>
      </c>
      <c r="FB451">
        <v>0</v>
      </c>
      <c r="FC451">
        <v>0</v>
      </c>
      <c r="FE451" t="s">
        <v>1050</v>
      </c>
      <c r="FF451">
        <v>0</v>
      </c>
      <c r="FG451" t="s">
        <v>1050</v>
      </c>
      <c r="FJ451">
        <v>0</v>
      </c>
      <c r="FK451">
        <v>0</v>
      </c>
      <c r="FP451">
        <v>0</v>
      </c>
      <c r="FR451">
        <v>0</v>
      </c>
      <c r="FS451" t="s">
        <v>1043</v>
      </c>
      <c r="FX451" t="s">
        <v>1042</v>
      </c>
      <c r="FZ451" t="s">
        <v>1048</v>
      </c>
      <c r="GA451">
        <v>0</v>
      </c>
      <c r="GB451" t="s">
        <v>1042</v>
      </c>
      <c r="GE451">
        <v>0</v>
      </c>
      <c r="GG451">
        <v>0</v>
      </c>
      <c r="GN451">
        <v>0</v>
      </c>
      <c r="GO451" t="s">
        <v>1063</v>
      </c>
      <c r="GQ451">
        <v>0</v>
      </c>
      <c r="GU451">
        <v>0</v>
      </c>
      <c r="GY451" t="s">
        <v>1045</v>
      </c>
      <c r="HB451">
        <v>0</v>
      </c>
      <c r="HE451">
        <v>0</v>
      </c>
      <c r="HF451">
        <v>0</v>
      </c>
      <c r="HG451">
        <v>0</v>
      </c>
      <c r="HK451" t="s">
        <v>1042</v>
      </c>
      <c r="HM451" t="s">
        <v>1047</v>
      </c>
      <c r="HN451">
        <v>0</v>
      </c>
      <c r="HP451">
        <v>0</v>
      </c>
      <c r="HQ451">
        <v>0</v>
      </c>
      <c r="HR451" t="s">
        <v>1042</v>
      </c>
      <c r="HS451" t="s">
        <v>1043</v>
      </c>
      <c r="HT451">
        <v>0</v>
      </c>
      <c r="HU451">
        <v>0</v>
      </c>
      <c r="HW451">
        <v>0</v>
      </c>
      <c r="HX451">
        <v>0</v>
      </c>
      <c r="HY451">
        <v>0</v>
      </c>
      <c r="HZ451" t="s">
        <v>1045</v>
      </c>
      <c r="IA451">
        <v>0</v>
      </c>
      <c r="IB451" t="s">
        <v>1045</v>
      </c>
      <c r="ID451" t="s">
        <v>1045</v>
      </c>
      <c r="IF451">
        <v>0</v>
      </c>
      <c r="IG451" t="s">
        <v>1042</v>
      </c>
      <c r="II451" t="s">
        <v>1042</v>
      </c>
      <c r="IR451" t="s">
        <v>1045</v>
      </c>
      <c r="IT451">
        <v>0</v>
      </c>
      <c r="IY451" t="s">
        <v>1044</v>
      </c>
      <c r="IZ451" t="s">
        <v>1043</v>
      </c>
      <c r="JC451" t="s">
        <v>1043</v>
      </c>
      <c r="JE451">
        <v>0</v>
      </c>
      <c r="JF451">
        <v>0</v>
      </c>
      <c r="JI451" t="s">
        <v>1042</v>
      </c>
      <c r="JJ451">
        <v>0</v>
      </c>
      <c r="JK451">
        <v>0</v>
      </c>
      <c r="JL451">
        <v>0</v>
      </c>
      <c r="JM451">
        <v>0</v>
      </c>
      <c r="JQ451" t="s">
        <v>1043</v>
      </c>
      <c r="JT451">
        <v>0</v>
      </c>
      <c r="JU451" t="s">
        <v>1042</v>
      </c>
      <c r="JW451">
        <v>0</v>
      </c>
      <c r="KA451">
        <v>0</v>
      </c>
      <c r="KF451">
        <v>0</v>
      </c>
      <c r="KG451">
        <v>0</v>
      </c>
      <c r="KH451">
        <v>0</v>
      </c>
      <c r="KI451">
        <v>0</v>
      </c>
      <c r="KS451" t="s">
        <v>1073</v>
      </c>
      <c r="KT451">
        <v>0</v>
      </c>
      <c r="KU451">
        <v>0</v>
      </c>
      <c r="KV451">
        <v>0</v>
      </c>
      <c r="KX451">
        <v>0</v>
      </c>
      <c r="KZ451">
        <v>0</v>
      </c>
      <c r="LF451">
        <v>0</v>
      </c>
      <c r="LH451">
        <v>0</v>
      </c>
      <c r="LI451">
        <v>0</v>
      </c>
    </row>
    <row r="452" spans="1:321" x14ac:dyDescent="0.35">
      <c r="A452">
        <v>1</v>
      </c>
      <c r="B452">
        <v>12662</v>
      </c>
      <c r="C452" t="s">
        <v>1229</v>
      </c>
      <c r="D452" t="s">
        <v>1139</v>
      </c>
      <c r="E452" t="s">
        <v>85</v>
      </c>
      <c r="F452">
        <v>80</v>
      </c>
      <c r="G452">
        <v>9000</v>
      </c>
      <c r="H452">
        <v>0</v>
      </c>
      <c r="I452" t="s">
        <v>1050</v>
      </c>
      <c r="L452">
        <v>0</v>
      </c>
      <c r="M452">
        <v>0</v>
      </c>
      <c r="N452">
        <v>0</v>
      </c>
      <c r="R452">
        <v>0</v>
      </c>
      <c r="S452">
        <v>0</v>
      </c>
      <c r="W452" t="s">
        <v>1060</v>
      </c>
      <c r="X452">
        <v>0</v>
      </c>
      <c r="Z452">
        <v>1</v>
      </c>
      <c r="AA452">
        <v>0</v>
      </c>
      <c r="AB452">
        <v>0</v>
      </c>
      <c r="AC452">
        <v>0</v>
      </c>
      <c r="AD452" s="20">
        <v>40801</v>
      </c>
      <c r="AE452">
        <v>1700</v>
      </c>
      <c r="AF452">
        <v>0</v>
      </c>
      <c r="AH452">
        <v>0</v>
      </c>
      <c r="AJ452">
        <v>0</v>
      </c>
      <c r="AL452">
        <v>0</v>
      </c>
      <c r="AM452">
        <v>0</v>
      </c>
      <c r="AN452">
        <v>16601003</v>
      </c>
      <c r="AO452">
        <v>0</v>
      </c>
      <c r="AP452">
        <v>1000</v>
      </c>
      <c r="AT452">
        <v>0</v>
      </c>
      <c r="AU452" t="s">
        <v>1059</v>
      </c>
      <c r="AW452" t="s">
        <v>1053</v>
      </c>
      <c r="AX452">
        <v>0</v>
      </c>
      <c r="AY452" s="20">
        <v>40801</v>
      </c>
      <c r="BA452" s="20">
        <v>40801</v>
      </c>
      <c r="BB452" t="s">
        <v>1058</v>
      </c>
      <c r="BD452">
        <v>0</v>
      </c>
      <c r="BF452" t="s">
        <v>1043</v>
      </c>
      <c r="BG452" t="s">
        <v>1042</v>
      </c>
      <c r="BH452">
        <v>0</v>
      </c>
      <c r="BI452">
        <v>1</v>
      </c>
      <c r="BJ452">
        <v>0</v>
      </c>
      <c r="BK452">
        <v>0</v>
      </c>
      <c r="BM452" t="s">
        <v>1042</v>
      </c>
      <c r="BN452">
        <v>0</v>
      </c>
      <c r="BR452" t="s">
        <v>1043</v>
      </c>
      <c r="BS452" t="s">
        <v>1043</v>
      </c>
      <c r="BT452" t="s">
        <v>1043</v>
      </c>
      <c r="BW452">
        <v>83</v>
      </c>
      <c r="CA452">
        <v>0</v>
      </c>
      <c r="CB452" t="s">
        <v>1057</v>
      </c>
      <c r="CE452" t="s">
        <v>1043</v>
      </c>
      <c r="CH452" t="s">
        <v>1043</v>
      </c>
      <c r="CN452" t="s">
        <v>1056</v>
      </c>
      <c r="CO452" t="s">
        <v>1043</v>
      </c>
      <c r="CP452">
        <v>1</v>
      </c>
      <c r="CQ452">
        <v>0</v>
      </c>
      <c r="CS452">
        <v>0</v>
      </c>
      <c r="CT452">
        <v>0</v>
      </c>
      <c r="CU452">
        <v>0</v>
      </c>
      <c r="CV452" t="s">
        <v>1045</v>
      </c>
      <c r="CW452">
        <v>0</v>
      </c>
      <c r="CX452">
        <v>0</v>
      </c>
      <c r="CY452">
        <v>0</v>
      </c>
      <c r="CZ452">
        <v>0</v>
      </c>
      <c r="DB452">
        <v>0</v>
      </c>
      <c r="DC452" t="s">
        <v>1043</v>
      </c>
      <c r="DF452" t="s">
        <v>1055</v>
      </c>
      <c r="DH452">
        <v>0</v>
      </c>
      <c r="DJ452">
        <v>0</v>
      </c>
      <c r="DK452" t="s">
        <v>1053</v>
      </c>
      <c r="DL452">
        <v>0</v>
      </c>
      <c r="DN452">
        <v>0</v>
      </c>
      <c r="DO452" t="s">
        <v>1042</v>
      </c>
      <c r="DP452">
        <v>0</v>
      </c>
      <c r="DQ452">
        <v>0</v>
      </c>
      <c r="DS452">
        <v>0</v>
      </c>
      <c r="DU452">
        <v>0</v>
      </c>
      <c r="DW452">
        <v>0</v>
      </c>
      <c r="DX452" t="s">
        <v>1043</v>
      </c>
      <c r="DY452">
        <v>0</v>
      </c>
      <c r="DZ452">
        <v>0</v>
      </c>
      <c r="EA452">
        <v>0</v>
      </c>
      <c r="ED452" t="s">
        <v>1045</v>
      </c>
      <c r="EE452">
        <v>0</v>
      </c>
      <c r="EF452">
        <v>0</v>
      </c>
      <c r="EQ452" t="s">
        <v>1044</v>
      </c>
      <c r="ES452" t="s">
        <v>1053</v>
      </c>
      <c r="ET452">
        <v>0</v>
      </c>
      <c r="EV452">
        <v>0</v>
      </c>
      <c r="EY452" t="s">
        <v>1052</v>
      </c>
      <c r="EZ452">
        <v>0</v>
      </c>
      <c r="FA452" t="s">
        <v>1043</v>
      </c>
      <c r="FB452">
        <v>0</v>
      </c>
      <c r="FC452">
        <v>0</v>
      </c>
      <c r="FE452" t="s">
        <v>1050</v>
      </c>
      <c r="FF452">
        <v>0</v>
      </c>
      <c r="FG452" t="s">
        <v>1050</v>
      </c>
      <c r="FJ452">
        <v>0</v>
      </c>
      <c r="FK452">
        <v>0</v>
      </c>
      <c r="FP452">
        <v>0</v>
      </c>
      <c r="FR452">
        <v>0</v>
      </c>
      <c r="FS452" t="s">
        <v>1043</v>
      </c>
      <c r="FX452" t="s">
        <v>1042</v>
      </c>
      <c r="FZ452" t="s">
        <v>1048</v>
      </c>
      <c r="GA452">
        <v>0</v>
      </c>
      <c r="GB452" t="s">
        <v>1042</v>
      </c>
      <c r="GE452">
        <v>0</v>
      </c>
      <c r="GG452">
        <v>0</v>
      </c>
      <c r="GN452">
        <v>0</v>
      </c>
      <c r="GO452" t="s">
        <v>1063</v>
      </c>
      <c r="GQ452">
        <v>0</v>
      </c>
      <c r="GU452">
        <v>0</v>
      </c>
      <c r="GY452" t="s">
        <v>1045</v>
      </c>
      <c r="HB452">
        <v>0</v>
      </c>
      <c r="HE452">
        <v>0</v>
      </c>
      <c r="HF452">
        <v>0</v>
      </c>
      <c r="HG452">
        <v>0</v>
      </c>
      <c r="HK452" t="s">
        <v>1042</v>
      </c>
      <c r="HM452" t="s">
        <v>1047</v>
      </c>
      <c r="HN452">
        <v>0</v>
      </c>
      <c r="HP452">
        <v>0</v>
      </c>
      <c r="HQ452">
        <v>0</v>
      </c>
      <c r="HR452" t="s">
        <v>1042</v>
      </c>
      <c r="HS452" t="s">
        <v>1043</v>
      </c>
      <c r="HT452">
        <v>0</v>
      </c>
      <c r="HU452">
        <v>0</v>
      </c>
      <c r="HW452">
        <v>0</v>
      </c>
      <c r="HX452">
        <v>0</v>
      </c>
      <c r="HY452">
        <v>0</v>
      </c>
      <c r="HZ452" t="s">
        <v>1045</v>
      </c>
      <c r="IA452">
        <v>0</v>
      </c>
      <c r="IB452" t="s">
        <v>1045</v>
      </c>
      <c r="ID452" t="s">
        <v>1045</v>
      </c>
      <c r="IF452">
        <v>0</v>
      </c>
      <c r="IG452" t="s">
        <v>1042</v>
      </c>
      <c r="II452" t="s">
        <v>1042</v>
      </c>
      <c r="IR452" t="s">
        <v>1045</v>
      </c>
      <c r="IT452">
        <v>0</v>
      </c>
      <c r="IY452" t="s">
        <v>1044</v>
      </c>
      <c r="IZ452" t="s">
        <v>1043</v>
      </c>
      <c r="JC452" t="s">
        <v>1043</v>
      </c>
      <c r="JE452">
        <v>0</v>
      </c>
      <c r="JF452">
        <v>0</v>
      </c>
      <c r="JI452" t="s">
        <v>1042</v>
      </c>
      <c r="JJ452">
        <v>0</v>
      </c>
      <c r="JK452">
        <v>0</v>
      </c>
      <c r="JL452">
        <v>0</v>
      </c>
      <c r="JM452">
        <v>0</v>
      </c>
      <c r="JQ452" t="s">
        <v>1043</v>
      </c>
      <c r="JT452">
        <v>0</v>
      </c>
      <c r="JU452" t="s">
        <v>1042</v>
      </c>
      <c r="JW452">
        <v>0</v>
      </c>
      <c r="KA452">
        <v>0</v>
      </c>
      <c r="KF452">
        <v>0</v>
      </c>
      <c r="KG452">
        <v>0</v>
      </c>
      <c r="KH452">
        <v>0</v>
      </c>
      <c r="KI452">
        <v>0</v>
      </c>
      <c r="KS452" t="s">
        <v>1073</v>
      </c>
      <c r="KT452">
        <v>0</v>
      </c>
      <c r="KU452">
        <v>0</v>
      </c>
      <c r="KV452">
        <v>0</v>
      </c>
      <c r="KX452">
        <v>0</v>
      </c>
      <c r="KZ452">
        <v>0</v>
      </c>
      <c r="LF452">
        <v>0</v>
      </c>
      <c r="LH452">
        <v>0</v>
      </c>
      <c r="LI452">
        <v>0</v>
      </c>
    </row>
    <row r="453" spans="1:321" x14ac:dyDescent="0.35">
      <c r="A453">
        <v>1</v>
      </c>
      <c r="B453">
        <v>1270</v>
      </c>
      <c r="C453" t="s">
        <v>650</v>
      </c>
      <c r="D453" t="s">
        <v>1061</v>
      </c>
      <c r="E453" t="s">
        <v>85</v>
      </c>
      <c r="F453">
        <v>1</v>
      </c>
      <c r="G453">
        <v>240</v>
      </c>
      <c r="H453">
        <v>0</v>
      </c>
      <c r="I453" t="s">
        <v>1017</v>
      </c>
      <c r="L453">
        <v>0</v>
      </c>
      <c r="M453">
        <v>9.75</v>
      </c>
      <c r="N453">
        <v>0</v>
      </c>
      <c r="Q453">
        <v>511</v>
      </c>
      <c r="R453">
        <v>0</v>
      </c>
      <c r="S453">
        <v>0</v>
      </c>
      <c r="W453" t="s">
        <v>1060</v>
      </c>
      <c r="X453">
        <v>0</v>
      </c>
      <c r="Z453">
        <v>8</v>
      </c>
      <c r="AA453">
        <v>107.7276</v>
      </c>
      <c r="AB453">
        <v>2079</v>
      </c>
      <c r="AC453">
        <v>19.025600000000001</v>
      </c>
      <c r="AD453" t="s">
        <v>1042</v>
      </c>
      <c r="AE453">
        <v>0</v>
      </c>
      <c r="AF453">
        <v>0.58699999999999997</v>
      </c>
      <c r="AH453">
        <v>519</v>
      </c>
      <c r="AJ453">
        <v>0</v>
      </c>
      <c r="AL453">
        <v>145800</v>
      </c>
      <c r="AM453">
        <v>823</v>
      </c>
      <c r="AN453">
        <v>11501001</v>
      </c>
      <c r="AO453">
        <v>0</v>
      </c>
      <c r="AP453">
        <v>1002</v>
      </c>
      <c r="AT453">
        <v>1</v>
      </c>
      <c r="AU453" t="s">
        <v>1059</v>
      </c>
      <c r="AW453" t="s">
        <v>1053</v>
      </c>
      <c r="AX453">
        <v>5</v>
      </c>
      <c r="AY453" s="20">
        <v>43274</v>
      </c>
      <c r="BA453" s="20">
        <v>44419</v>
      </c>
      <c r="BB453" t="s">
        <v>1058</v>
      </c>
      <c r="BD453">
        <v>0</v>
      </c>
      <c r="BF453" t="s">
        <v>1044</v>
      </c>
      <c r="BG453" t="s">
        <v>1042</v>
      </c>
      <c r="BH453">
        <v>0</v>
      </c>
      <c r="BI453">
        <v>36</v>
      </c>
      <c r="BJ453">
        <v>0</v>
      </c>
      <c r="BK453">
        <v>0</v>
      </c>
      <c r="BM453" s="20">
        <v>43530</v>
      </c>
      <c r="BN453">
        <v>0</v>
      </c>
      <c r="BO453">
        <v>7897801318167</v>
      </c>
      <c r="BR453" t="s">
        <v>1043</v>
      </c>
      <c r="BS453" t="s">
        <v>1043</v>
      </c>
      <c r="BT453" t="s">
        <v>1043</v>
      </c>
      <c r="BV453">
        <v>1</v>
      </c>
      <c r="BW453">
        <v>2</v>
      </c>
      <c r="BY453">
        <v>78</v>
      </c>
      <c r="CA453">
        <v>0</v>
      </c>
      <c r="CB453" t="s">
        <v>1043</v>
      </c>
      <c r="CE453" t="s">
        <v>1043</v>
      </c>
      <c r="CH453" t="s">
        <v>1043</v>
      </c>
      <c r="CN453" t="s">
        <v>1056</v>
      </c>
      <c r="CO453" t="s">
        <v>1043</v>
      </c>
      <c r="CP453">
        <v>1</v>
      </c>
      <c r="CQ453">
        <v>0</v>
      </c>
      <c r="CS453">
        <v>0</v>
      </c>
      <c r="CT453">
        <v>0</v>
      </c>
      <c r="CU453">
        <v>0</v>
      </c>
      <c r="CW453">
        <v>0</v>
      </c>
      <c r="CX453">
        <v>0</v>
      </c>
      <c r="CY453">
        <v>0</v>
      </c>
      <c r="CZ453">
        <v>0</v>
      </c>
      <c r="DA453">
        <v>8</v>
      </c>
      <c r="DB453">
        <v>0</v>
      </c>
      <c r="DC453" t="s">
        <v>1043</v>
      </c>
      <c r="DF453" t="s">
        <v>1055</v>
      </c>
      <c r="DH453">
        <v>0</v>
      </c>
      <c r="DJ453">
        <v>0</v>
      </c>
      <c r="DK453" t="s">
        <v>1053</v>
      </c>
      <c r="DL453">
        <v>0</v>
      </c>
      <c r="DN453">
        <v>0</v>
      </c>
      <c r="DO453" t="s">
        <v>1042</v>
      </c>
      <c r="DP453">
        <v>0</v>
      </c>
      <c r="DQ453">
        <v>7.6</v>
      </c>
      <c r="DS453">
        <v>0</v>
      </c>
      <c r="DU453">
        <v>1.65</v>
      </c>
      <c r="DW453">
        <v>0</v>
      </c>
      <c r="DX453" t="s">
        <v>1043</v>
      </c>
      <c r="DY453">
        <v>0</v>
      </c>
      <c r="DZ453">
        <v>0</v>
      </c>
      <c r="EA453">
        <v>0</v>
      </c>
      <c r="EB453">
        <v>17897801318164</v>
      </c>
      <c r="ED453" t="s">
        <v>1045</v>
      </c>
      <c r="EE453">
        <v>0</v>
      </c>
      <c r="EF453">
        <v>0</v>
      </c>
      <c r="EK453" t="s">
        <v>1054</v>
      </c>
      <c r="EL453">
        <v>57897801318162</v>
      </c>
      <c r="EN453" t="s">
        <v>1014</v>
      </c>
      <c r="EQ453" t="s">
        <v>1044</v>
      </c>
      <c r="ES453" t="s">
        <v>1053</v>
      </c>
      <c r="ET453">
        <v>0</v>
      </c>
      <c r="EV453">
        <v>0</v>
      </c>
      <c r="EY453" t="s">
        <v>1052</v>
      </c>
      <c r="EZ453">
        <v>0</v>
      </c>
      <c r="FA453" t="s">
        <v>1043</v>
      </c>
      <c r="FB453">
        <v>0</v>
      </c>
      <c r="FC453">
        <v>0</v>
      </c>
      <c r="FD453" t="s">
        <v>1051</v>
      </c>
      <c r="FE453" t="s">
        <v>1050</v>
      </c>
      <c r="FF453">
        <v>0</v>
      </c>
      <c r="FG453" t="s">
        <v>1050</v>
      </c>
      <c r="FH453">
        <v>27897801318161</v>
      </c>
      <c r="FJ453">
        <v>0</v>
      </c>
      <c r="FK453">
        <v>0</v>
      </c>
      <c r="FP453">
        <v>0</v>
      </c>
      <c r="FR453">
        <v>0</v>
      </c>
      <c r="FS453" t="s">
        <v>1043</v>
      </c>
      <c r="FX453" t="s">
        <v>1042</v>
      </c>
      <c r="FZ453" t="s">
        <v>1048</v>
      </c>
      <c r="GA453">
        <v>0</v>
      </c>
      <c r="GB453" t="s">
        <v>1042</v>
      </c>
      <c r="GD453">
        <v>16</v>
      </c>
      <c r="GE453">
        <v>0</v>
      </c>
      <c r="GG453">
        <v>0</v>
      </c>
      <c r="GN453">
        <v>0</v>
      </c>
      <c r="GO453" t="s">
        <v>1049</v>
      </c>
      <c r="GQ453">
        <v>0</v>
      </c>
      <c r="GU453">
        <v>2</v>
      </c>
      <c r="GY453" t="s">
        <v>1045</v>
      </c>
      <c r="HB453">
        <v>0</v>
      </c>
      <c r="HE453">
        <v>10</v>
      </c>
      <c r="HF453">
        <v>15</v>
      </c>
      <c r="HG453">
        <v>3.1040000000000002E-2</v>
      </c>
      <c r="HK453" t="s">
        <v>1042</v>
      </c>
      <c r="HL453" t="s">
        <v>1048</v>
      </c>
      <c r="HM453" t="s">
        <v>1047</v>
      </c>
      <c r="HN453">
        <v>0</v>
      </c>
      <c r="HO453">
        <v>28</v>
      </c>
      <c r="HP453">
        <v>6.2399999999999997E-2</v>
      </c>
      <c r="HQ453">
        <v>0</v>
      </c>
      <c r="HR453" t="s">
        <v>1042</v>
      </c>
      <c r="HS453" t="s">
        <v>1043</v>
      </c>
      <c r="HT453">
        <v>0</v>
      </c>
      <c r="HU453">
        <v>0</v>
      </c>
      <c r="HW453">
        <v>0</v>
      </c>
      <c r="HX453">
        <v>4418</v>
      </c>
      <c r="HY453">
        <v>0</v>
      </c>
      <c r="HZ453" t="s">
        <v>1045</v>
      </c>
      <c r="IA453">
        <v>0</v>
      </c>
      <c r="IB453" t="s">
        <v>1045</v>
      </c>
      <c r="ID453" t="s">
        <v>1045</v>
      </c>
      <c r="IF453">
        <v>360</v>
      </c>
      <c r="IG453" s="20">
        <v>43551</v>
      </c>
      <c r="IH453" t="s">
        <v>1046</v>
      </c>
      <c r="II453" t="s">
        <v>1042</v>
      </c>
      <c r="IR453" t="s">
        <v>1045</v>
      </c>
      <c r="IT453">
        <v>0</v>
      </c>
      <c r="IY453" t="s">
        <v>1044</v>
      </c>
      <c r="IZ453" t="s">
        <v>1043</v>
      </c>
      <c r="JE453">
        <v>0</v>
      </c>
      <c r="JF453">
        <v>0</v>
      </c>
      <c r="JI453" t="s">
        <v>1042</v>
      </c>
      <c r="JJ453">
        <v>0</v>
      </c>
      <c r="JK453">
        <v>0</v>
      </c>
      <c r="JL453">
        <v>0</v>
      </c>
      <c r="JM453">
        <v>0</v>
      </c>
      <c r="JT453">
        <v>0</v>
      </c>
      <c r="JU453" t="s">
        <v>1042</v>
      </c>
      <c r="JW453">
        <v>0</v>
      </c>
      <c r="KA453">
        <v>0</v>
      </c>
      <c r="KF453">
        <v>0</v>
      </c>
      <c r="KG453">
        <v>0</v>
      </c>
      <c r="KH453">
        <v>0</v>
      </c>
      <c r="KI453">
        <v>0</v>
      </c>
      <c r="KS453" t="s">
        <v>1073</v>
      </c>
      <c r="KT453">
        <v>0</v>
      </c>
      <c r="KU453">
        <v>0</v>
      </c>
      <c r="KV453">
        <v>0</v>
      </c>
      <c r="KX453">
        <v>0</v>
      </c>
      <c r="KZ453">
        <v>0</v>
      </c>
      <c r="LF453">
        <v>0</v>
      </c>
      <c r="LH453">
        <v>30240</v>
      </c>
      <c r="LI453">
        <v>0</v>
      </c>
    </row>
    <row r="454" spans="1:321" x14ac:dyDescent="0.35">
      <c r="A454">
        <v>1</v>
      </c>
      <c r="B454" t="s">
        <v>1228</v>
      </c>
      <c r="C454" t="s">
        <v>650</v>
      </c>
      <c r="D454" t="s">
        <v>1064</v>
      </c>
      <c r="E454" t="s">
        <v>85</v>
      </c>
      <c r="F454">
        <v>1</v>
      </c>
      <c r="G454">
        <v>240</v>
      </c>
      <c r="H454">
        <v>0</v>
      </c>
      <c r="I454" t="s">
        <v>1017</v>
      </c>
      <c r="L454">
        <v>0</v>
      </c>
      <c r="M454">
        <v>9.75</v>
      </c>
      <c r="N454">
        <v>0</v>
      </c>
      <c r="Q454">
        <v>511</v>
      </c>
      <c r="R454">
        <v>0</v>
      </c>
      <c r="S454">
        <v>0</v>
      </c>
      <c r="W454" t="s">
        <v>1060</v>
      </c>
      <c r="X454">
        <v>0</v>
      </c>
      <c r="Z454">
        <v>8</v>
      </c>
      <c r="AA454">
        <v>52.131</v>
      </c>
      <c r="AB454">
        <v>0</v>
      </c>
      <c r="AC454">
        <v>4.2754000000000003</v>
      </c>
      <c r="AD454" t="s">
        <v>1042</v>
      </c>
      <c r="AE454">
        <v>0</v>
      </c>
      <c r="AF454">
        <v>0.52759999999999996</v>
      </c>
      <c r="AH454">
        <v>0</v>
      </c>
      <c r="AJ454">
        <v>0</v>
      </c>
      <c r="AL454">
        <v>145800</v>
      </c>
      <c r="AM454">
        <v>24</v>
      </c>
      <c r="AN454">
        <v>11501001</v>
      </c>
      <c r="AO454">
        <v>0</v>
      </c>
      <c r="AP454">
        <v>2720</v>
      </c>
      <c r="AT454">
        <v>1</v>
      </c>
      <c r="AU454" t="s">
        <v>1059</v>
      </c>
      <c r="AW454" t="s">
        <v>1053</v>
      </c>
      <c r="AX454">
        <v>5</v>
      </c>
      <c r="AY454" s="20">
        <v>43868</v>
      </c>
      <c r="BA454" s="20">
        <v>43868</v>
      </c>
      <c r="BB454" t="s">
        <v>1058</v>
      </c>
      <c r="BD454">
        <v>0</v>
      </c>
      <c r="BF454" t="s">
        <v>1044</v>
      </c>
      <c r="BG454" t="s">
        <v>1042</v>
      </c>
      <c r="BH454">
        <v>0</v>
      </c>
      <c r="BI454">
        <v>36</v>
      </c>
      <c r="BJ454">
        <v>0</v>
      </c>
      <c r="BK454">
        <v>0</v>
      </c>
      <c r="BM454" t="s">
        <v>1042</v>
      </c>
      <c r="BN454">
        <v>0</v>
      </c>
      <c r="BR454" t="s">
        <v>1043</v>
      </c>
      <c r="BS454" t="s">
        <v>1043</v>
      </c>
      <c r="BT454" t="s">
        <v>1043</v>
      </c>
      <c r="BV454">
        <v>1</v>
      </c>
      <c r="BW454">
        <v>2</v>
      </c>
      <c r="BY454">
        <v>78</v>
      </c>
      <c r="CA454">
        <v>0</v>
      </c>
      <c r="CB454" t="s">
        <v>1043</v>
      </c>
      <c r="CE454" t="s">
        <v>1043</v>
      </c>
      <c r="CH454" t="s">
        <v>1043</v>
      </c>
      <c r="CN454" t="s">
        <v>1056</v>
      </c>
      <c r="CO454" t="s">
        <v>1043</v>
      </c>
      <c r="CP454">
        <v>1</v>
      </c>
      <c r="CQ454">
        <v>0</v>
      </c>
      <c r="CS454">
        <v>0</v>
      </c>
      <c r="CT454">
        <v>0</v>
      </c>
      <c r="CU454">
        <v>0</v>
      </c>
      <c r="CW454">
        <v>0</v>
      </c>
      <c r="CX454">
        <v>0</v>
      </c>
      <c r="CY454">
        <v>0</v>
      </c>
      <c r="CZ454">
        <v>0</v>
      </c>
      <c r="DB454">
        <v>0</v>
      </c>
      <c r="DC454" t="s">
        <v>1043</v>
      </c>
      <c r="DF454" t="s">
        <v>1055</v>
      </c>
      <c r="DH454">
        <v>0</v>
      </c>
      <c r="DJ454">
        <v>0</v>
      </c>
      <c r="DK454" t="s">
        <v>1053</v>
      </c>
      <c r="DL454">
        <v>0</v>
      </c>
      <c r="DN454">
        <v>0</v>
      </c>
      <c r="DO454" t="s">
        <v>1042</v>
      </c>
      <c r="DP454">
        <v>0</v>
      </c>
      <c r="DQ454">
        <v>7.6</v>
      </c>
      <c r="DS454">
        <v>0</v>
      </c>
      <c r="DU454">
        <v>1.65</v>
      </c>
      <c r="DW454">
        <v>0</v>
      </c>
      <c r="DX454" t="s">
        <v>1043</v>
      </c>
      <c r="DY454">
        <v>0</v>
      </c>
      <c r="DZ454">
        <v>0</v>
      </c>
      <c r="EA454">
        <v>0</v>
      </c>
      <c r="ED454" t="s">
        <v>1045</v>
      </c>
      <c r="EE454">
        <v>0</v>
      </c>
      <c r="EF454">
        <v>0</v>
      </c>
      <c r="EK454" t="s">
        <v>1054</v>
      </c>
      <c r="EL454">
        <v>0</v>
      </c>
      <c r="EN454" t="s">
        <v>1014</v>
      </c>
      <c r="EQ454" t="s">
        <v>1044</v>
      </c>
      <c r="ES454" t="s">
        <v>1053</v>
      </c>
      <c r="ET454">
        <v>0</v>
      </c>
      <c r="EV454">
        <v>0</v>
      </c>
      <c r="EY454" t="s">
        <v>1052</v>
      </c>
      <c r="EZ454">
        <v>0</v>
      </c>
      <c r="FA454" t="s">
        <v>1043</v>
      </c>
      <c r="FB454">
        <v>0</v>
      </c>
      <c r="FC454">
        <v>0</v>
      </c>
      <c r="FD454" t="s">
        <v>1051</v>
      </c>
      <c r="FE454" t="s">
        <v>1050</v>
      </c>
      <c r="FF454">
        <v>0</v>
      </c>
      <c r="FG454" t="s">
        <v>1050</v>
      </c>
      <c r="FJ454">
        <v>0</v>
      </c>
      <c r="FK454">
        <v>0</v>
      </c>
      <c r="FP454">
        <v>0</v>
      </c>
      <c r="FR454">
        <v>0</v>
      </c>
      <c r="FS454" t="s">
        <v>1043</v>
      </c>
      <c r="FX454" t="s">
        <v>1042</v>
      </c>
      <c r="FZ454" t="s">
        <v>1048</v>
      </c>
      <c r="GA454">
        <v>0</v>
      </c>
      <c r="GB454" t="s">
        <v>1042</v>
      </c>
      <c r="GD454">
        <v>16</v>
      </c>
      <c r="GE454">
        <v>0</v>
      </c>
      <c r="GG454">
        <v>0</v>
      </c>
      <c r="GN454">
        <v>0</v>
      </c>
      <c r="GO454" t="s">
        <v>1063</v>
      </c>
      <c r="GQ454">
        <v>0</v>
      </c>
      <c r="GU454">
        <v>2</v>
      </c>
      <c r="GY454" t="s">
        <v>1045</v>
      </c>
      <c r="HB454">
        <v>0</v>
      </c>
      <c r="HE454">
        <v>10</v>
      </c>
      <c r="HF454">
        <v>15</v>
      </c>
      <c r="HG454">
        <v>3.1040000000000002E-2</v>
      </c>
      <c r="HK454" t="s">
        <v>1042</v>
      </c>
      <c r="HL454" t="s">
        <v>1048</v>
      </c>
      <c r="HM454" t="s">
        <v>1047</v>
      </c>
      <c r="HN454">
        <v>0</v>
      </c>
      <c r="HP454">
        <v>0.52759999999999996</v>
      </c>
      <c r="HQ454">
        <v>0</v>
      </c>
      <c r="HR454" t="s">
        <v>1042</v>
      </c>
      <c r="HS454" t="s">
        <v>1043</v>
      </c>
      <c r="HT454">
        <v>0</v>
      </c>
      <c r="HU454">
        <v>0</v>
      </c>
      <c r="HW454">
        <v>0</v>
      </c>
      <c r="HX454">
        <v>0</v>
      </c>
      <c r="HY454">
        <v>0</v>
      </c>
      <c r="HZ454" t="s">
        <v>1045</v>
      </c>
      <c r="IA454">
        <v>0</v>
      </c>
      <c r="IB454" t="s">
        <v>1045</v>
      </c>
      <c r="ID454" t="s">
        <v>1045</v>
      </c>
      <c r="IF454">
        <v>360</v>
      </c>
      <c r="IG454" s="20">
        <v>43551</v>
      </c>
      <c r="IH454" t="s">
        <v>1046</v>
      </c>
      <c r="II454" t="s">
        <v>1042</v>
      </c>
      <c r="IR454" t="s">
        <v>1045</v>
      </c>
      <c r="IT454">
        <v>0</v>
      </c>
      <c r="IY454" t="s">
        <v>1044</v>
      </c>
      <c r="IZ454" t="s">
        <v>1043</v>
      </c>
      <c r="JE454">
        <v>0</v>
      </c>
      <c r="JF454">
        <v>0</v>
      </c>
      <c r="JI454" t="s">
        <v>1042</v>
      </c>
      <c r="JJ454">
        <v>0</v>
      </c>
      <c r="JK454">
        <v>0</v>
      </c>
      <c r="JL454">
        <v>0</v>
      </c>
      <c r="JM454">
        <v>0</v>
      </c>
      <c r="JT454">
        <v>0</v>
      </c>
      <c r="JU454" t="s">
        <v>1042</v>
      </c>
      <c r="JW454">
        <v>0</v>
      </c>
      <c r="KA454">
        <v>0</v>
      </c>
      <c r="KF454">
        <v>0</v>
      </c>
      <c r="KG454">
        <v>0</v>
      </c>
      <c r="KH454">
        <v>0</v>
      </c>
      <c r="KI454">
        <v>0</v>
      </c>
      <c r="KS454" t="s">
        <v>1073</v>
      </c>
      <c r="KT454">
        <v>0</v>
      </c>
      <c r="KU454">
        <v>0</v>
      </c>
      <c r="KV454">
        <v>0</v>
      </c>
      <c r="KX454">
        <v>0</v>
      </c>
      <c r="KZ454">
        <v>0</v>
      </c>
      <c r="LF454">
        <v>0</v>
      </c>
      <c r="LH454">
        <v>0</v>
      </c>
      <c r="LI454">
        <v>0</v>
      </c>
    </row>
    <row r="455" spans="1:321" x14ac:dyDescent="0.35">
      <c r="A455">
        <v>1</v>
      </c>
      <c r="B455">
        <v>1271</v>
      </c>
      <c r="C455" t="s">
        <v>651</v>
      </c>
      <c r="D455" t="s">
        <v>1061</v>
      </c>
      <c r="E455" t="s">
        <v>85</v>
      </c>
      <c r="F455">
        <v>1</v>
      </c>
      <c r="G455">
        <v>240</v>
      </c>
      <c r="H455">
        <v>0</v>
      </c>
      <c r="I455" t="s">
        <v>1017</v>
      </c>
      <c r="L455">
        <v>0</v>
      </c>
      <c r="M455">
        <v>9.75</v>
      </c>
      <c r="N455">
        <v>0</v>
      </c>
      <c r="Q455">
        <v>511</v>
      </c>
      <c r="R455">
        <v>0</v>
      </c>
      <c r="S455">
        <v>0</v>
      </c>
      <c r="W455" t="s">
        <v>1060</v>
      </c>
      <c r="X455">
        <v>0</v>
      </c>
      <c r="Z455">
        <v>8</v>
      </c>
      <c r="AA455">
        <v>178.45349999999999</v>
      </c>
      <c r="AB455">
        <v>1725</v>
      </c>
      <c r="AC455">
        <v>31.523099999999999</v>
      </c>
      <c r="AD455" t="s">
        <v>1042</v>
      </c>
      <c r="AE455">
        <v>0</v>
      </c>
      <c r="AF455">
        <v>0.88300000000000001</v>
      </c>
      <c r="AH455">
        <v>277</v>
      </c>
      <c r="AJ455">
        <v>0</v>
      </c>
      <c r="AL455">
        <v>145800</v>
      </c>
      <c r="AM455">
        <v>640</v>
      </c>
      <c r="AN455">
        <v>11501001</v>
      </c>
      <c r="AO455">
        <v>0</v>
      </c>
      <c r="AP455">
        <v>1002</v>
      </c>
      <c r="AT455">
        <v>1</v>
      </c>
      <c r="AU455" t="s">
        <v>1059</v>
      </c>
      <c r="AW455" t="s">
        <v>1053</v>
      </c>
      <c r="AX455">
        <v>5</v>
      </c>
      <c r="AY455" s="20">
        <v>43274</v>
      </c>
      <c r="BA455" s="20">
        <v>44420</v>
      </c>
      <c r="BB455" t="s">
        <v>1058</v>
      </c>
      <c r="BD455">
        <v>0</v>
      </c>
      <c r="BF455" t="s">
        <v>1044</v>
      </c>
      <c r="BG455" t="s">
        <v>1042</v>
      </c>
      <c r="BH455">
        <v>0</v>
      </c>
      <c r="BI455">
        <v>36</v>
      </c>
      <c r="BJ455">
        <v>0</v>
      </c>
      <c r="BK455">
        <v>0</v>
      </c>
      <c r="BM455" s="20">
        <v>43535</v>
      </c>
      <c r="BN455">
        <v>0</v>
      </c>
      <c r="BO455">
        <v>7897801318174</v>
      </c>
      <c r="BR455" t="s">
        <v>1043</v>
      </c>
      <c r="BS455" t="s">
        <v>1043</v>
      </c>
      <c r="BT455" t="s">
        <v>1043</v>
      </c>
      <c r="BV455">
        <v>1</v>
      </c>
      <c r="BW455">
        <v>2</v>
      </c>
      <c r="BY455">
        <v>78</v>
      </c>
      <c r="CA455">
        <v>0</v>
      </c>
      <c r="CB455" t="s">
        <v>1043</v>
      </c>
      <c r="CE455" t="s">
        <v>1043</v>
      </c>
      <c r="CH455" t="s">
        <v>1043</v>
      </c>
      <c r="CN455" t="s">
        <v>1056</v>
      </c>
      <c r="CO455" t="s">
        <v>1043</v>
      </c>
      <c r="CP455">
        <v>1</v>
      </c>
      <c r="CQ455">
        <v>0</v>
      </c>
      <c r="CS455">
        <v>0</v>
      </c>
      <c r="CT455">
        <v>0</v>
      </c>
      <c r="CU455">
        <v>0</v>
      </c>
      <c r="CW455">
        <v>0</v>
      </c>
      <c r="CX455">
        <v>0</v>
      </c>
      <c r="CY455">
        <v>0</v>
      </c>
      <c r="CZ455">
        <v>0</v>
      </c>
      <c r="DA455">
        <v>9</v>
      </c>
      <c r="DB455">
        <v>0</v>
      </c>
      <c r="DC455" t="s">
        <v>1043</v>
      </c>
      <c r="DF455" t="s">
        <v>1055</v>
      </c>
      <c r="DH455">
        <v>0</v>
      </c>
      <c r="DJ455">
        <v>0</v>
      </c>
      <c r="DK455" t="s">
        <v>1053</v>
      </c>
      <c r="DL455">
        <v>0</v>
      </c>
      <c r="DN455">
        <v>0</v>
      </c>
      <c r="DO455" t="s">
        <v>1042</v>
      </c>
      <c r="DP455">
        <v>0</v>
      </c>
      <c r="DQ455">
        <v>7.6</v>
      </c>
      <c r="DS455">
        <v>0</v>
      </c>
      <c r="DU455">
        <v>1.65</v>
      </c>
      <c r="DW455">
        <v>0</v>
      </c>
      <c r="DX455" t="s">
        <v>1043</v>
      </c>
      <c r="DY455">
        <v>0</v>
      </c>
      <c r="DZ455">
        <v>0</v>
      </c>
      <c r="EA455">
        <v>0</v>
      </c>
      <c r="EB455">
        <v>17897801318171</v>
      </c>
      <c r="ED455" t="s">
        <v>1045</v>
      </c>
      <c r="EE455">
        <v>0</v>
      </c>
      <c r="EF455">
        <v>0</v>
      </c>
      <c r="EK455" t="s">
        <v>1054</v>
      </c>
      <c r="EL455">
        <v>57897801318179</v>
      </c>
      <c r="EN455" t="s">
        <v>1012</v>
      </c>
      <c r="EQ455" t="s">
        <v>1044</v>
      </c>
      <c r="ES455" t="s">
        <v>1053</v>
      </c>
      <c r="ET455">
        <v>0</v>
      </c>
      <c r="EV455">
        <v>0</v>
      </c>
      <c r="EY455" t="s">
        <v>1052</v>
      </c>
      <c r="EZ455">
        <v>0</v>
      </c>
      <c r="FA455" t="s">
        <v>1043</v>
      </c>
      <c r="FB455">
        <v>0</v>
      </c>
      <c r="FC455">
        <v>0</v>
      </c>
      <c r="FD455" t="s">
        <v>1051</v>
      </c>
      <c r="FE455" t="s">
        <v>1050</v>
      </c>
      <c r="FF455">
        <v>0</v>
      </c>
      <c r="FG455" t="s">
        <v>1050</v>
      </c>
      <c r="FH455">
        <v>27897801318178</v>
      </c>
      <c r="FJ455">
        <v>0</v>
      </c>
      <c r="FK455">
        <v>0</v>
      </c>
      <c r="FP455">
        <v>0</v>
      </c>
      <c r="FR455">
        <v>0</v>
      </c>
      <c r="FS455" t="s">
        <v>1043</v>
      </c>
      <c r="FX455" t="s">
        <v>1042</v>
      </c>
      <c r="FZ455" t="s">
        <v>1048</v>
      </c>
      <c r="GA455">
        <v>0</v>
      </c>
      <c r="GB455" t="s">
        <v>1042</v>
      </c>
      <c r="GD455">
        <v>16</v>
      </c>
      <c r="GE455">
        <v>0</v>
      </c>
      <c r="GG455">
        <v>0</v>
      </c>
      <c r="GN455">
        <v>0</v>
      </c>
      <c r="GO455" t="s">
        <v>1049</v>
      </c>
      <c r="GQ455">
        <v>0</v>
      </c>
      <c r="GU455">
        <v>2</v>
      </c>
      <c r="GY455" t="s">
        <v>1045</v>
      </c>
      <c r="HB455">
        <v>0</v>
      </c>
      <c r="HE455">
        <v>10</v>
      </c>
      <c r="HF455">
        <v>15</v>
      </c>
      <c r="HG455">
        <v>4.9889999999999997E-2</v>
      </c>
      <c r="HK455" t="s">
        <v>1042</v>
      </c>
      <c r="HL455" t="s">
        <v>1048</v>
      </c>
      <c r="HM455" t="s">
        <v>1047</v>
      </c>
      <c r="HN455">
        <v>0</v>
      </c>
      <c r="HO455">
        <v>28</v>
      </c>
      <c r="HP455">
        <v>0.30249999999999999</v>
      </c>
      <c r="HQ455">
        <v>0</v>
      </c>
      <c r="HR455" t="s">
        <v>1042</v>
      </c>
      <c r="HS455" t="s">
        <v>1043</v>
      </c>
      <c r="HT455">
        <v>0</v>
      </c>
      <c r="HU455">
        <v>0</v>
      </c>
      <c r="HW455">
        <v>0</v>
      </c>
      <c r="HX455">
        <v>3896</v>
      </c>
      <c r="HY455">
        <v>0</v>
      </c>
      <c r="HZ455" t="s">
        <v>1045</v>
      </c>
      <c r="IA455">
        <v>0</v>
      </c>
      <c r="IB455" t="s">
        <v>1045</v>
      </c>
      <c r="ID455" t="s">
        <v>1045</v>
      </c>
      <c r="IF455">
        <v>216</v>
      </c>
      <c r="IG455" s="20">
        <v>43551</v>
      </c>
      <c r="IH455" t="s">
        <v>1046</v>
      </c>
      <c r="II455" t="s">
        <v>1042</v>
      </c>
      <c r="IR455" t="s">
        <v>1045</v>
      </c>
      <c r="IT455">
        <v>0</v>
      </c>
      <c r="IY455" t="s">
        <v>1044</v>
      </c>
      <c r="IZ455" t="s">
        <v>1043</v>
      </c>
      <c r="JE455">
        <v>0</v>
      </c>
      <c r="JF455">
        <v>0</v>
      </c>
      <c r="JI455" t="s">
        <v>1042</v>
      </c>
      <c r="JJ455">
        <v>0</v>
      </c>
      <c r="JK455">
        <v>0</v>
      </c>
      <c r="JL455">
        <v>0</v>
      </c>
      <c r="JM455">
        <v>0</v>
      </c>
      <c r="JT455">
        <v>0</v>
      </c>
      <c r="JU455" t="s">
        <v>1042</v>
      </c>
      <c r="JW455">
        <v>0</v>
      </c>
      <c r="KA455">
        <v>0</v>
      </c>
      <c r="KF455">
        <v>0</v>
      </c>
      <c r="KG455">
        <v>0</v>
      </c>
      <c r="KH455">
        <v>0</v>
      </c>
      <c r="KI455">
        <v>0</v>
      </c>
      <c r="KS455" t="s">
        <v>1073</v>
      </c>
      <c r="KT455">
        <v>0</v>
      </c>
      <c r="KU455">
        <v>0</v>
      </c>
      <c r="KV455">
        <v>0</v>
      </c>
      <c r="KX455">
        <v>0</v>
      </c>
      <c r="KZ455">
        <v>0</v>
      </c>
      <c r="LF455">
        <v>0</v>
      </c>
      <c r="LH455">
        <v>20160</v>
      </c>
      <c r="LI455">
        <v>0</v>
      </c>
    </row>
    <row r="456" spans="1:321" x14ac:dyDescent="0.35">
      <c r="A456">
        <v>1</v>
      </c>
      <c r="B456" t="s">
        <v>1227</v>
      </c>
      <c r="C456" t="s">
        <v>651</v>
      </c>
      <c r="D456" t="s">
        <v>1064</v>
      </c>
      <c r="E456" t="s">
        <v>85</v>
      </c>
      <c r="F456">
        <v>1</v>
      </c>
      <c r="G456">
        <v>240</v>
      </c>
      <c r="H456">
        <v>0</v>
      </c>
      <c r="I456" t="s">
        <v>1017</v>
      </c>
      <c r="L456">
        <v>0</v>
      </c>
      <c r="M456">
        <v>9.75</v>
      </c>
      <c r="N456">
        <v>0</v>
      </c>
      <c r="Q456">
        <v>511</v>
      </c>
      <c r="R456">
        <v>0</v>
      </c>
      <c r="S456">
        <v>0</v>
      </c>
      <c r="W456" t="s">
        <v>1060</v>
      </c>
      <c r="X456">
        <v>0</v>
      </c>
      <c r="Z456">
        <v>8</v>
      </c>
      <c r="AA456">
        <v>86.355999999999995</v>
      </c>
      <c r="AB456">
        <v>0</v>
      </c>
      <c r="AC456">
        <v>6.7130000000000001</v>
      </c>
      <c r="AD456" t="s">
        <v>1042</v>
      </c>
      <c r="AE456">
        <v>0</v>
      </c>
      <c r="AF456">
        <v>0.83260000000000001</v>
      </c>
      <c r="AH456">
        <v>0</v>
      </c>
      <c r="AJ456">
        <v>0</v>
      </c>
      <c r="AL456">
        <v>145800</v>
      </c>
      <c r="AM456">
        <v>24</v>
      </c>
      <c r="AN456">
        <v>11501001</v>
      </c>
      <c r="AO456">
        <v>0</v>
      </c>
      <c r="AP456">
        <v>2720</v>
      </c>
      <c r="AT456">
        <v>1</v>
      </c>
      <c r="AU456" t="s">
        <v>1059</v>
      </c>
      <c r="AW456" t="s">
        <v>1053</v>
      </c>
      <c r="AX456">
        <v>5</v>
      </c>
      <c r="AY456" s="20">
        <v>43868</v>
      </c>
      <c r="BA456" s="20">
        <v>43868</v>
      </c>
      <c r="BB456" t="s">
        <v>1058</v>
      </c>
      <c r="BD456">
        <v>0</v>
      </c>
      <c r="BF456" t="s">
        <v>1044</v>
      </c>
      <c r="BG456" t="s">
        <v>1042</v>
      </c>
      <c r="BH456">
        <v>0</v>
      </c>
      <c r="BI456">
        <v>36</v>
      </c>
      <c r="BJ456">
        <v>0</v>
      </c>
      <c r="BK456">
        <v>0</v>
      </c>
      <c r="BM456" t="s">
        <v>1042</v>
      </c>
      <c r="BN456">
        <v>0</v>
      </c>
      <c r="BR456" t="s">
        <v>1043</v>
      </c>
      <c r="BS456" t="s">
        <v>1043</v>
      </c>
      <c r="BT456" t="s">
        <v>1043</v>
      </c>
      <c r="BV456">
        <v>1</v>
      </c>
      <c r="BW456">
        <v>2</v>
      </c>
      <c r="BY456">
        <v>78</v>
      </c>
      <c r="CA456">
        <v>0</v>
      </c>
      <c r="CB456" t="s">
        <v>1043</v>
      </c>
      <c r="CE456" t="s">
        <v>1043</v>
      </c>
      <c r="CH456" t="s">
        <v>1043</v>
      </c>
      <c r="CN456" t="s">
        <v>1056</v>
      </c>
      <c r="CO456" t="s">
        <v>1043</v>
      </c>
      <c r="CP456">
        <v>1</v>
      </c>
      <c r="CQ456">
        <v>0</v>
      </c>
      <c r="CS456">
        <v>0</v>
      </c>
      <c r="CT456">
        <v>0</v>
      </c>
      <c r="CU456">
        <v>0</v>
      </c>
      <c r="CW456">
        <v>0</v>
      </c>
      <c r="CX456">
        <v>0</v>
      </c>
      <c r="CY456">
        <v>0</v>
      </c>
      <c r="CZ456">
        <v>0</v>
      </c>
      <c r="DB456">
        <v>0</v>
      </c>
      <c r="DC456" t="s">
        <v>1043</v>
      </c>
      <c r="DF456" t="s">
        <v>1055</v>
      </c>
      <c r="DH456">
        <v>0</v>
      </c>
      <c r="DJ456">
        <v>0</v>
      </c>
      <c r="DK456" t="s">
        <v>1053</v>
      </c>
      <c r="DL456">
        <v>0</v>
      </c>
      <c r="DN456">
        <v>0</v>
      </c>
      <c r="DO456" t="s">
        <v>1042</v>
      </c>
      <c r="DP456">
        <v>0</v>
      </c>
      <c r="DQ456">
        <v>7.6</v>
      </c>
      <c r="DS456">
        <v>0</v>
      </c>
      <c r="DU456">
        <v>1.65</v>
      </c>
      <c r="DW456">
        <v>0</v>
      </c>
      <c r="DX456" t="s">
        <v>1043</v>
      </c>
      <c r="DY456">
        <v>0</v>
      </c>
      <c r="DZ456">
        <v>0</v>
      </c>
      <c r="EA456">
        <v>0</v>
      </c>
      <c r="ED456" t="s">
        <v>1045</v>
      </c>
      <c r="EE456">
        <v>0</v>
      </c>
      <c r="EF456">
        <v>0</v>
      </c>
      <c r="EK456" t="s">
        <v>1054</v>
      </c>
      <c r="EL456">
        <v>0</v>
      </c>
      <c r="EN456" t="s">
        <v>1012</v>
      </c>
      <c r="EQ456" t="s">
        <v>1044</v>
      </c>
      <c r="ES456" t="s">
        <v>1053</v>
      </c>
      <c r="ET456">
        <v>0</v>
      </c>
      <c r="EV456">
        <v>0</v>
      </c>
      <c r="EY456" t="s">
        <v>1052</v>
      </c>
      <c r="EZ456">
        <v>0</v>
      </c>
      <c r="FA456" t="s">
        <v>1043</v>
      </c>
      <c r="FB456">
        <v>0</v>
      </c>
      <c r="FC456">
        <v>0</v>
      </c>
      <c r="FD456" t="s">
        <v>1051</v>
      </c>
      <c r="FE456" t="s">
        <v>1050</v>
      </c>
      <c r="FF456">
        <v>0</v>
      </c>
      <c r="FG456" t="s">
        <v>1050</v>
      </c>
      <c r="FJ456">
        <v>0</v>
      </c>
      <c r="FK456">
        <v>0</v>
      </c>
      <c r="FP456">
        <v>0</v>
      </c>
      <c r="FR456">
        <v>0</v>
      </c>
      <c r="FS456" t="s">
        <v>1043</v>
      </c>
      <c r="FX456" t="s">
        <v>1042</v>
      </c>
      <c r="FZ456" t="s">
        <v>1048</v>
      </c>
      <c r="GA456">
        <v>0</v>
      </c>
      <c r="GB456" t="s">
        <v>1042</v>
      </c>
      <c r="GD456">
        <v>16</v>
      </c>
      <c r="GE456">
        <v>0</v>
      </c>
      <c r="GG456">
        <v>0</v>
      </c>
      <c r="GN456">
        <v>0</v>
      </c>
      <c r="GO456" t="s">
        <v>1063</v>
      </c>
      <c r="GQ456">
        <v>0</v>
      </c>
      <c r="GU456">
        <v>2</v>
      </c>
      <c r="GY456" t="s">
        <v>1045</v>
      </c>
      <c r="HB456">
        <v>0</v>
      </c>
      <c r="HE456">
        <v>10</v>
      </c>
      <c r="HF456">
        <v>15</v>
      </c>
      <c r="HG456">
        <v>4.9889999999999997E-2</v>
      </c>
      <c r="HK456" t="s">
        <v>1042</v>
      </c>
      <c r="HL456" t="s">
        <v>1048</v>
      </c>
      <c r="HM456" t="s">
        <v>1047</v>
      </c>
      <c r="HN456">
        <v>0</v>
      </c>
      <c r="HP456">
        <v>0.83260000000000001</v>
      </c>
      <c r="HQ456">
        <v>0</v>
      </c>
      <c r="HR456" t="s">
        <v>1042</v>
      </c>
      <c r="HS456" t="s">
        <v>1043</v>
      </c>
      <c r="HT456">
        <v>0</v>
      </c>
      <c r="HU456">
        <v>0</v>
      </c>
      <c r="HW456">
        <v>0</v>
      </c>
      <c r="HX456">
        <v>0</v>
      </c>
      <c r="HY456">
        <v>0</v>
      </c>
      <c r="HZ456" t="s">
        <v>1045</v>
      </c>
      <c r="IA456">
        <v>0</v>
      </c>
      <c r="IB456" t="s">
        <v>1045</v>
      </c>
      <c r="ID456" t="s">
        <v>1045</v>
      </c>
      <c r="IF456">
        <v>216</v>
      </c>
      <c r="IG456" s="20">
        <v>43551</v>
      </c>
      <c r="IH456" t="s">
        <v>1046</v>
      </c>
      <c r="II456" t="s">
        <v>1042</v>
      </c>
      <c r="IR456" t="s">
        <v>1045</v>
      </c>
      <c r="IT456">
        <v>0</v>
      </c>
      <c r="IY456" t="s">
        <v>1044</v>
      </c>
      <c r="IZ456" t="s">
        <v>1043</v>
      </c>
      <c r="JE456">
        <v>0</v>
      </c>
      <c r="JF456">
        <v>0</v>
      </c>
      <c r="JI456" t="s">
        <v>1042</v>
      </c>
      <c r="JJ456">
        <v>0</v>
      </c>
      <c r="JK456">
        <v>0</v>
      </c>
      <c r="JL456">
        <v>0</v>
      </c>
      <c r="JM456">
        <v>0</v>
      </c>
      <c r="JT456">
        <v>0</v>
      </c>
      <c r="JU456" t="s">
        <v>1042</v>
      </c>
      <c r="JW456">
        <v>0</v>
      </c>
      <c r="KA456">
        <v>0</v>
      </c>
      <c r="KF456">
        <v>0</v>
      </c>
      <c r="KG456">
        <v>0</v>
      </c>
      <c r="KH456">
        <v>0</v>
      </c>
      <c r="KI456">
        <v>0</v>
      </c>
      <c r="KS456" t="s">
        <v>1073</v>
      </c>
      <c r="KT456">
        <v>0</v>
      </c>
      <c r="KU456">
        <v>0</v>
      </c>
      <c r="KV456">
        <v>0</v>
      </c>
      <c r="KX456">
        <v>0</v>
      </c>
      <c r="KZ456">
        <v>0</v>
      </c>
      <c r="LF456">
        <v>0</v>
      </c>
      <c r="LH456">
        <v>0</v>
      </c>
      <c r="LI456">
        <v>0</v>
      </c>
    </row>
    <row r="457" spans="1:321" x14ac:dyDescent="0.35">
      <c r="A457">
        <v>1</v>
      </c>
      <c r="B457">
        <v>1272</v>
      </c>
      <c r="C457" t="s">
        <v>652</v>
      </c>
      <c r="D457" t="s">
        <v>1061</v>
      </c>
      <c r="E457" t="s">
        <v>85</v>
      </c>
      <c r="F457">
        <v>1</v>
      </c>
      <c r="G457">
        <v>240</v>
      </c>
      <c r="H457">
        <v>0</v>
      </c>
      <c r="I457" t="s">
        <v>1017</v>
      </c>
      <c r="L457">
        <v>0</v>
      </c>
      <c r="M457">
        <v>9.75</v>
      </c>
      <c r="N457">
        <v>0</v>
      </c>
      <c r="Q457">
        <v>511</v>
      </c>
      <c r="R457">
        <v>0</v>
      </c>
      <c r="S457">
        <v>0</v>
      </c>
      <c r="W457" t="s">
        <v>1060</v>
      </c>
      <c r="X457">
        <v>0</v>
      </c>
      <c r="Z457">
        <v>4</v>
      </c>
      <c r="AA457">
        <v>255.54599999999999</v>
      </c>
      <c r="AB457">
        <v>680</v>
      </c>
      <c r="AC457">
        <v>0.38950000000000001</v>
      </c>
      <c r="AD457" t="s">
        <v>1042</v>
      </c>
      <c r="AE457">
        <v>0</v>
      </c>
      <c r="AF457">
        <v>1.1719999999999999</v>
      </c>
      <c r="AH457">
        <v>274</v>
      </c>
      <c r="AJ457">
        <v>0</v>
      </c>
      <c r="AL457">
        <v>145800</v>
      </c>
      <c r="AM457">
        <v>480</v>
      </c>
      <c r="AN457">
        <v>11501001</v>
      </c>
      <c r="AO457">
        <v>0</v>
      </c>
      <c r="AP457">
        <v>1002</v>
      </c>
      <c r="AT457">
        <v>1</v>
      </c>
      <c r="AU457" t="s">
        <v>1059</v>
      </c>
      <c r="AW457" t="s">
        <v>1053</v>
      </c>
      <c r="AX457">
        <v>5</v>
      </c>
      <c r="AY457" s="20">
        <v>43242</v>
      </c>
      <c r="BA457" s="20">
        <v>44420</v>
      </c>
      <c r="BB457" t="s">
        <v>1058</v>
      </c>
      <c r="BD457">
        <v>0</v>
      </c>
      <c r="BF457" t="s">
        <v>1044</v>
      </c>
      <c r="BG457" t="s">
        <v>1042</v>
      </c>
      <c r="BH457">
        <v>0</v>
      </c>
      <c r="BI457">
        <v>36</v>
      </c>
      <c r="BJ457">
        <v>0</v>
      </c>
      <c r="BK457">
        <v>0</v>
      </c>
      <c r="BM457" s="20">
        <v>43850</v>
      </c>
      <c r="BN457">
        <v>0</v>
      </c>
      <c r="BO457">
        <v>7897801318181</v>
      </c>
      <c r="BR457" t="s">
        <v>1043</v>
      </c>
      <c r="BS457" t="s">
        <v>1043</v>
      </c>
      <c r="BT457" t="s">
        <v>1043</v>
      </c>
      <c r="BV457">
        <v>1</v>
      </c>
      <c r="BW457">
        <v>2</v>
      </c>
      <c r="BY457">
        <v>78</v>
      </c>
      <c r="CA457">
        <v>0</v>
      </c>
      <c r="CB457" t="s">
        <v>1043</v>
      </c>
      <c r="CE457" t="s">
        <v>1043</v>
      </c>
      <c r="CH457" t="s">
        <v>1043</v>
      </c>
      <c r="CN457" t="s">
        <v>1056</v>
      </c>
      <c r="CO457" t="s">
        <v>1043</v>
      </c>
      <c r="CP457">
        <v>1</v>
      </c>
      <c r="CQ457">
        <v>0</v>
      </c>
      <c r="CS457">
        <v>0</v>
      </c>
      <c r="CT457">
        <v>0</v>
      </c>
      <c r="CU457">
        <v>0</v>
      </c>
      <c r="CW457">
        <v>0</v>
      </c>
      <c r="CX457">
        <v>0</v>
      </c>
      <c r="CY457">
        <v>0</v>
      </c>
      <c r="CZ457">
        <v>0</v>
      </c>
      <c r="DA457">
        <v>5</v>
      </c>
      <c r="DB457">
        <v>0</v>
      </c>
      <c r="DC457" t="s">
        <v>1043</v>
      </c>
      <c r="DF457" t="s">
        <v>1055</v>
      </c>
      <c r="DH457">
        <v>0</v>
      </c>
      <c r="DJ457">
        <v>0</v>
      </c>
      <c r="DK457" t="s">
        <v>1053</v>
      </c>
      <c r="DL457">
        <v>0</v>
      </c>
      <c r="DN457">
        <v>0</v>
      </c>
      <c r="DO457" t="s">
        <v>1042</v>
      </c>
      <c r="DP457">
        <v>0</v>
      </c>
      <c r="DQ457">
        <v>7.6</v>
      </c>
      <c r="DS457">
        <v>0</v>
      </c>
      <c r="DU457">
        <v>1.65</v>
      </c>
      <c r="DW457">
        <v>0</v>
      </c>
      <c r="DX457" t="s">
        <v>1043</v>
      </c>
      <c r="DY457">
        <v>0</v>
      </c>
      <c r="DZ457">
        <v>0</v>
      </c>
      <c r="EA457">
        <v>0</v>
      </c>
      <c r="EB457">
        <v>17897801318188</v>
      </c>
      <c r="ED457" t="s">
        <v>1045</v>
      </c>
      <c r="EE457">
        <v>0</v>
      </c>
      <c r="EF457">
        <v>0</v>
      </c>
      <c r="EK457" t="s">
        <v>1054</v>
      </c>
      <c r="EL457">
        <v>57897801318186</v>
      </c>
      <c r="EN457" t="s">
        <v>1012</v>
      </c>
      <c r="EQ457" t="s">
        <v>1044</v>
      </c>
      <c r="ES457" t="s">
        <v>1053</v>
      </c>
      <c r="ET457">
        <v>0</v>
      </c>
      <c r="EV457">
        <v>0</v>
      </c>
      <c r="EY457" t="s">
        <v>1052</v>
      </c>
      <c r="EZ457">
        <v>0</v>
      </c>
      <c r="FA457" t="s">
        <v>1043</v>
      </c>
      <c r="FB457">
        <v>0</v>
      </c>
      <c r="FC457">
        <v>0</v>
      </c>
      <c r="FD457" t="s">
        <v>1051</v>
      </c>
      <c r="FE457" t="s">
        <v>1050</v>
      </c>
      <c r="FF457">
        <v>0</v>
      </c>
      <c r="FG457" t="s">
        <v>1050</v>
      </c>
      <c r="FH457">
        <v>27897801318185</v>
      </c>
      <c r="FJ457">
        <v>0</v>
      </c>
      <c r="FK457">
        <v>0</v>
      </c>
      <c r="FP457">
        <v>0</v>
      </c>
      <c r="FR457">
        <v>0</v>
      </c>
      <c r="FS457" t="s">
        <v>1043</v>
      </c>
      <c r="FX457" t="s">
        <v>1042</v>
      </c>
      <c r="FZ457" t="s">
        <v>1048</v>
      </c>
      <c r="GA457">
        <v>0</v>
      </c>
      <c r="GB457" t="s">
        <v>1042</v>
      </c>
      <c r="GD457">
        <v>16</v>
      </c>
      <c r="GE457">
        <v>0</v>
      </c>
      <c r="GG457">
        <v>0</v>
      </c>
      <c r="GN457">
        <v>0</v>
      </c>
      <c r="GO457" t="s">
        <v>1049</v>
      </c>
      <c r="GQ457">
        <v>0</v>
      </c>
      <c r="GU457">
        <v>2</v>
      </c>
      <c r="GY457" t="s">
        <v>1045</v>
      </c>
      <c r="HB457">
        <v>0</v>
      </c>
      <c r="HE457">
        <v>10</v>
      </c>
      <c r="HF457">
        <v>15</v>
      </c>
      <c r="HG457">
        <v>3.3369999999999997E-2</v>
      </c>
      <c r="HK457" t="s">
        <v>1042</v>
      </c>
      <c r="HM457" t="s">
        <v>1047</v>
      </c>
      <c r="HN457">
        <v>0</v>
      </c>
      <c r="HO457">
        <v>28</v>
      </c>
      <c r="HP457">
        <v>0.44800000000000001</v>
      </c>
      <c r="HQ457">
        <v>0</v>
      </c>
      <c r="HR457" t="s">
        <v>1042</v>
      </c>
      <c r="HS457" t="s">
        <v>1043</v>
      </c>
      <c r="HT457">
        <v>0</v>
      </c>
      <c r="HU457">
        <v>0</v>
      </c>
      <c r="HW457">
        <v>0</v>
      </c>
      <c r="HX457">
        <v>1289</v>
      </c>
      <c r="HY457">
        <v>0</v>
      </c>
      <c r="HZ457" t="s">
        <v>1045</v>
      </c>
      <c r="IA457">
        <v>0</v>
      </c>
      <c r="IB457" t="s">
        <v>1045</v>
      </c>
      <c r="ID457" t="s">
        <v>1045</v>
      </c>
      <c r="IF457">
        <v>180</v>
      </c>
      <c r="IG457" s="20">
        <v>43878</v>
      </c>
      <c r="IH457" t="s">
        <v>1046</v>
      </c>
      <c r="II457" t="s">
        <v>1042</v>
      </c>
      <c r="IR457" t="s">
        <v>1045</v>
      </c>
      <c r="IT457">
        <v>0</v>
      </c>
      <c r="IY457" t="s">
        <v>1044</v>
      </c>
      <c r="IZ457" t="s">
        <v>1043</v>
      </c>
      <c r="JE457">
        <v>0</v>
      </c>
      <c r="JF457">
        <v>0</v>
      </c>
      <c r="JI457" t="s">
        <v>1042</v>
      </c>
      <c r="JJ457">
        <v>0</v>
      </c>
      <c r="JK457">
        <v>0</v>
      </c>
      <c r="JL457">
        <v>0</v>
      </c>
      <c r="JM457">
        <v>0</v>
      </c>
      <c r="JT457">
        <v>0</v>
      </c>
      <c r="JU457" t="s">
        <v>1042</v>
      </c>
      <c r="JW457">
        <v>0</v>
      </c>
      <c r="KA457">
        <v>0</v>
      </c>
      <c r="KF457">
        <v>0</v>
      </c>
      <c r="KG457">
        <v>0</v>
      </c>
      <c r="KH457">
        <v>0</v>
      </c>
      <c r="KI457">
        <v>0</v>
      </c>
      <c r="KS457" t="s">
        <v>1073</v>
      </c>
      <c r="KT457">
        <v>0</v>
      </c>
      <c r="KU457">
        <v>0</v>
      </c>
      <c r="KV457">
        <v>0</v>
      </c>
      <c r="KX457">
        <v>0</v>
      </c>
      <c r="KZ457">
        <v>0</v>
      </c>
      <c r="LF457">
        <v>0</v>
      </c>
      <c r="LH457">
        <v>26880</v>
      </c>
      <c r="LI457">
        <v>0</v>
      </c>
    </row>
    <row r="458" spans="1:321" x14ac:dyDescent="0.35">
      <c r="A458">
        <v>1</v>
      </c>
      <c r="B458">
        <v>12725</v>
      </c>
      <c r="C458" t="s">
        <v>1226</v>
      </c>
      <c r="D458" t="s">
        <v>1139</v>
      </c>
      <c r="E458" t="s">
        <v>85</v>
      </c>
      <c r="F458">
        <v>80</v>
      </c>
      <c r="G458">
        <v>9000</v>
      </c>
      <c r="H458">
        <v>0</v>
      </c>
      <c r="I458" t="s">
        <v>1225</v>
      </c>
      <c r="L458">
        <v>0</v>
      </c>
      <c r="M458">
        <v>0</v>
      </c>
      <c r="N458">
        <v>0</v>
      </c>
      <c r="R458">
        <v>0</v>
      </c>
      <c r="S458">
        <v>0</v>
      </c>
      <c r="W458" t="s">
        <v>1060</v>
      </c>
      <c r="X458">
        <v>0</v>
      </c>
      <c r="Z458">
        <v>1</v>
      </c>
      <c r="AA458">
        <v>0</v>
      </c>
      <c r="AB458">
        <v>0</v>
      </c>
      <c r="AC458">
        <v>3.46</v>
      </c>
      <c r="AD458" s="20">
        <v>40793</v>
      </c>
      <c r="AE458">
        <v>3</v>
      </c>
      <c r="AF458">
        <v>0</v>
      </c>
      <c r="AH458">
        <v>0</v>
      </c>
      <c r="AJ458">
        <v>0</v>
      </c>
      <c r="AL458">
        <v>0</v>
      </c>
      <c r="AM458">
        <v>0</v>
      </c>
      <c r="AN458">
        <v>16601001</v>
      </c>
      <c r="AO458">
        <v>0</v>
      </c>
      <c r="AP458">
        <v>1000</v>
      </c>
      <c r="AT458">
        <v>0</v>
      </c>
      <c r="AU458" t="s">
        <v>1059</v>
      </c>
      <c r="AW458" t="s">
        <v>1053</v>
      </c>
      <c r="AX458">
        <v>0</v>
      </c>
      <c r="AY458" s="20">
        <v>40793</v>
      </c>
      <c r="BA458" s="20">
        <v>40793</v>
      </c>
      <c r="BB458" t="s">
        <v>1058</v>
      </c>
      <c r="BD458">
        <v>0</v>
      </c>
      <c r="BF458" t="s">
        <v>1043</v>
      </c>
      <c r="BG458" t="s">
        <v>1042</v>
      </c>
      <c r="BH458">
        <v>0</v>
      </c>
      <c r="BI458">
        <v>1</v>
      </c>
      <c r="BJ458">
        <v>0</v>
      </c>
      <c r="BK458">
        <v>0</v>
      </c>
      <c r="BM458" t="s">
        <v>1042</v>
      </c>
      <c r="BN458">
        <v>0</v>
      </c>
      <c r="BR458" t="s">
        <v>1043</v>
      </c>
      <c r="BS458" t="s">
        <v>1043</v>
      </c>
      <c r="BT458" t="s">
        <v>1043</v>
      </c>
      <c r="BW458">
        <v>83</v>
      </c>
      <c r="CA458">
        <v>0</v>
      </c>
      <c r="CB458" t="s">
        <v>1057</v>
      </c>
      <c r="CE458" t="s">
        <v>1043</v>
      </c>
      <c r="CH458" t="s">
        <v>1043</v>
      </c>
      <c r="CN458" t="s">
        <v>1056</v>
      </c>
      <c r="CO458" t="s">
        <v>1043</v>
      </c>
      <c r="CP458">
        <v>1</v>
      </c>
      <c r="CQ458">
        <v>0</v>
      </c>
      <c r="CS458">
        <v>0</v>
      </c>
      <c r="CT458">
        <v>0</v>
      </c>
      <c r="CU458">
        <v>0</v>
      </c>
      <c r="CV458" t="s">
        <v>1045</v>
      </c>
      <c r="CW458">
        <v>0</v>
      </c>
      <c r="CX458">
        <v>0</v>
      </c>
      <c r="CY458">
        <v>0</v>
      </c>
      <c r="CZ458">
        <v>0</v>
      </c>
      <c r="DB458">
        <v>0</v>
      </c>
      <c r="DC458" t="s">
        <v>1043</v>
      </c>
      <c r="DF458" t="s">
        <v>1055</v>
      </c>
      <c r="DH458">
        <v>0</v>
      </c>
      <c r="DJ458">
        <v>0</v>
      </c>
      <c r="DK458" t="s">
        <v>1053</v>
      </c>
      <c r="DL458">
        <v>0</v>
      </c>
      <c r="DN458">
        <v>0</v>
      </c>
      <c r="DO458" t="s">
        <v>1042</v>
      </c>
      <c r="DP458">
        <v>0</v>
      </c>
      <c r="DQ458">
        <v>0</v>
      </c>
      <c r="DS458">
        <v>0</v>
      </c>
      <c r="DU458">
        <v>0</v>
      </c>
      <c r="DW458">
        <v>0</v>
      </c>
      <c r="DX458" t="s">
        <v>1043</v>
      </c>
      <c r="DY458">
        <v>0</v>
      </c>
      <c r="DZ458">
        <v>0</v>
      </c>
      <c r="EA458">
        <v>0</v>
      </c>
      <c r="ED458" t="s">
        <v>1045</v>
      </c>
      <c r="EE458">
        <v>0</v>
      </c>
      <c r="EF458">
        <v>0</v>
      </c>
      <c r="EQ458" t="s">
        <v>1044</v>
      </c>
      <c r="ES458" t="s">
        <v>1053</v>
      </c>
      <c r="ET458">
        <v>0</v>
      </c>
      <c r="EV458">
        <v>0</v>
      </c>
      <c r="EY458" t="s">
        <v>1052</v>
      </c>
      <c r="EZ458">
        <v>0</v>
      </c>
      <c r="FA458" t="s">
        <v>1043</v>
      </c>
      <c r="FB458">
        <v>0</v>
      </c>
      <c r="FC458">
        <v>0</v>
      </c>
      <c r="FE458" t="s">
        <v>1050</v>
      </c>
      <c r="FF458">
        <v>0</v>
      </c>
      <c r="FG458" t="s">
        <v>1050</v>
      </c>
      <c r="FJ458">
        <v>0</v>
      </c>
      <c r="FK458">
        <v>0</v>
      </c>
      <c r="FP458">
        <v>0</v>
      </c>
      <c r="FR458">
        <v>0</v>
      </c>
      <c r="FS458" t="s">
        <v>1043</v>
      </c>
      <c r="FX458" t="s">
        <v>1042</v>
      </c>
      <c r="FZ458" t="s">
        <v>1048</v>
      </c>
      <c r="GA458">
        <v>0</v>
      </c>
      <c r="GB458" t="s">
        <v>1042</v>
      </c>
      <c r="GE458">
        <v>0</v>
      </c>
      <c r="GG458">
        <v>0</v>
      </c>
      <c r="GN458">
        <v>0</v>
      </c>
      <c r="GO458" t="s">
        <v>1063</v>
      </c>
      <c r="GQ458">
        <v>0</v>
      </c>
      <c r="GU458">
        <v>0</v>
      </c>
      <c r="GY458" t="s">
        <v>1045</v>
      </c>
      <c r="HB458">
        <v>0</v>
      </c>
      <c r="HE458">
        <v>0</v>
      </c>
      <c r="HF458">
        <v>0</v>
      </c>
      <c r="HG458">
        <v>0</v>
      </c>
      <c r="HK458" t="s">
        <v>1042</v>
      </c>
      <c r="HM458" t="s">
        <v>1047</v>
      </c>
      <c r="HN458">
        <v>0</v>
      </c>
      <c r="HP458">
        <v>0</v>
      </c>
      <c r="HQ458">
        <v>0</v>
      </c>
      <c r="HR458" t="s">
        <v>1042</v>
      </c>
      <c r="HS458" t="s">
        <v>1043</v>
      </c>
      <c r="HT458">
        <v>0</v>
      </c>
      <c r="HU458">
        <v>0</v>
      </c>
      <c r="HW458">
        <v>0</v>
      </c>
      <c r="HX458">
        <v>0</v>
      </c>
      <c r="HY458">
        <v>0</v>
      </c>
      <c r="HZ458" t="s">
        <v>1045</v>
      </c>
      <c r="IA458">
        <v>0</v>
      </c>
      <c r="IB458" t="s">
        <v>1045</v>
      </c>
      <c r="ID458" t="s">
        <v>1045</v>
      </c>
      <c r="IF458">
        <v>0</v>
      </c>
      <c r="IG458" t="s">
        <v>1042</v>
      </c>
      <c r="II458" t="s">
        <v>1042</v>
      </c>
      <c r="IR458" t="s">
        <v>1045</v>
      </c>
      <c r="IT458">
        <v>0</v>
      </c>
      <c r="IY458" t="s">
        <v>1044</v>
      </c>
      <c r="IZ458" t="s">
        <v>1043</v>
      </c>
      <c r="JC458" t="s">
        <v>1043</v>
      </c>
      <c r="JE458">
        <v>0</v>
      </c>
      <c r="JF458">
        <v>0</v>
      </c>
      <c r="JI458" t="s">
        <v>1042</v>
      </c>
      <c r="JJ458">
        <v>0</v>
      </c>
      <c r="JK458">
        <v>0</v>
      </c>
      <c r="JL458">
        <v>0</v>
      </c>
      <c r="JM458">
        <v>0</v>
      </c>
      <c r="JQ458" t="s">
        <v>1043</v>
      </c>
      <c r="JT458">
        <v>0</v>
      </c>
      <c r="JU458" t="s">
        <v>1042</v>
      </c>
      <c r="JW458">
        <v>0</v>
      </c>
      <c r="KA458">
        <v>0</v>
      </c>
      <c r="KF458">
        <v>0</v>
      </c>
      <c r="KG458">
        <v>0</v>
      </c>
      <c r="KH458">
        <v>0</v>
      </c>
      <c r="KI458">
        <v>0</v>
      </c>
      <c r="KS458" t="s">
        <v>1073</v>
      </c>
      <c r="KT458">
        <v>0</v>
      </c>
      <c r="KU458">
        <v>0</v>
      </c>
      <c r="KV458">
        <v>0</v>
      </c>
      <c r="KX458">
        <v>0</v>
      </c>
      <c r="KZ458">
        <v>0</v>
      </c>
      <c r="LF458">
        <v>0</v>
      </c>
      <c r="LH458">
        <v>0</v>
      </c>
      <c r="LI458">
        <v>0</v>
      </c>
    </row>
    <row r="459" spans="1:321" x14ac:dyDescent="0.35">
      <c r="A459">
        <v>1</v>
      </c>
      <c r="B459" t="s">
        <v>1224</v>
      </c>
      <c r="C459" t="s">
        <v>652</v>
      </c>
      <c r="D459" t="s">
        <v>1064</v>
      </c>
      <c r="E459" t="s">
        <v>85</v>
      </c>
      <c r="F459">
        <v>1</v>
      </c>
      <c r="G459">
        <v>240</v>
      </c>
      <c r="H459">
        <v>0</v>
      </c>
      <c r="I459" t="s">
        <v>1017</v>
      </c>
      <c r="L459">
        <v>0</v>
      </c>
      <c r="M459">
        <v>9.75</v>
      </c>
      <c r="N459">
        <v>0</v>
      </c>
      <c r="Q459">
        <v>511</v>
      </c>
      <c r="R459">
        <v>0</v>
      </c>
      <c r="S459">
        <v>0</v>
      </c>
      <c r="W459" t="s">
        <v>1060</v>
      </c>
      <c r="X459">
        <v>0</v>
      </c>
      <c r="Z459">
        <v>4</v>
      </c>
      <c r="AA459">
        <v>0</v>
      </c>
      <c r="AB459">
        <v>0</v>
      </c>
      <c r="AC459">
        <v>0.38950000000000001</v>
      </c>
      <c r="AD459" t="s">
        <v>1042</v>
      </c>
      <c r="AE459">
        <v>0</v>
      </c>
      <c r="AF459">
        <v>1.72</v>
      </c>
      <c r="AH459">
        <v>0</v>
      </c>
      <c r="AJ459">
        <v>0</v>
      </c>
      <c r="AL459">
        <v>145800</v>
      </c>
      <c r="AM459">
        <v>24</v>
      </c>
      <c r="AN459">
        <v>11501001</v>
      </c>
      <c r="AO459">
        <v>0</v>
      </c>
      <c r="AP459">
        <v>2720</v>
      </c>
      <c r="AT459">
        <v>1</v>
      </c>
      <c r="AU459" t="s">
        <v>1059</v>
      </c>
      <c r="AW459" t="s">
        <v>1053</v>
      </c>
      <c r="AX459">
        <v>5</v>
      </c>
      <c r="AY459" s="20">
        <v>43868</v>
      </c>
      <c r="BA459" s="20">
        <v>43868</v>
      </c>
      <c r="BB459" t="s">
        <v>1058</v>
      </c>
      <c r="BD459">
        <v>0</v>
      </c>
      <c r="BF459" t="s">
        <v>1044</v>
      </c>
      <c r="BG459" t="s">
        <v>1042</v>
      </c>
      <c r="BH459">
        <v>0</v>
      </c>
      <c r="BI459">
        <v>36</v>
      </c>
      <c r="BJ459">
        <v>0</v>
      </c>
      <c r="BK459">
        <v>0</v>
      </c>
      <c r="BM459" t="s">
        <v>1042</v>
      </c>
      <c r="BN459">
        <v>0</v>
      </c>
      <c r="BR459" t="s">
        <v>1043</v>
      </c>
      <c r="BS459" t="s">
        <v>1043</v>
      </c>
      <c r="BT459" t="s">
        <v>1043</v>
      </c>
      <c r="BV459">
        <v>1</v>
      </c>
      <c r="BW459">
        <v>2</v>
      </c>
      <c r="BY459">
        <v>69</v>
      </c>
      <c r="CA459">
        <v>0</v>
      </c>
      <c r="CB459" t="s">
        <v>1043</v>
      </c>
      <c r="CE459" t="s">
        <v>1043</v>
      </c>
      <c r="CH459" t="s">
        <v>1043</v>
      </c>
      <c r="CN459" t="s">
        <v>1056</v>
      </c>
      <c r="CO459" t="s">
        <v>1043</v>
      </c>
      <c r="CP459">
        <v>1</v>
      </c>
      <c r="CQ459">
        <v>0</v>
      </c>
      <c r="CS459">
        <v>0</v>
      </c>
      <c r="CT459">
        <v>0</v>
      </c>
      <c r="CU459">
        <v>0</v>
      </c>
      <c r="CW459">
        <v>0</v>
      </c>
      <c r="CX459">
        <v>0</v>
      </c>
      <c r="CY459">
        <v>0</v>
      </c>
      <c r="CZ459">
        <v>0</v>
      </c>
      <c r="DB459">
        <v>0</v>
      </c>
      <c r="DC459" t="s">
        <v>1043</v>
      </c>
      <c r="DF459" t="s">
        <v>1055</v>
      </c>
      <c r="DH459">
        <v>0</v>
      </c>
      <c r="DJ459">
        <v>0</v>
      </c>
      <c r="DK459" t="s">
        <v>1053</v>
      </c>
      <c r="DL459">
        <v>0</v>
      </c>
      <c r="DN459">
        <v>0</v>
      </c>
      <c r="DO459" t="s">
        <v>1042</v>
      </c>
      <c r="DP459">
        <v>0</v>
      </c>
      <c r="DQ459">
        <v>7.6</v>
      </c>
      <c r="DS459">
        <v>0</v>
      </c>
      <c r="DU459">
        <v>1.65</v>
      </c>
      <c r="DW459">
        <v>0</v>
      </c>
      <c r="DX459" t="s">
        <v>1043</v>
      </c>
      <c r="DY459">
        <v>0</v>
      </c>
      <c r="DZ459">
        <v>0</v>
      </c>
      <c r="EA459">
        <v>0</v>
      </c>
      <c r="ED459" t="s">
        <v>1045</v>
      </c>
      <c r="EE459">
        <v>0</v>
      </c>
      <c r="EF459">
        <v>0</v>
      </c>
      <c r="EK459" t="s">
        <v>1054</v>
      </c>
      <c r="EL459">
        <v>0</v>
      </c>
      <c r="EN459" t="s">
        <v>1012</v>
      </c>
      <c r="EQ459" t="s">
        <v>1044</v>
      </c>
      <c r="ES459" t="s">
        <v>1053</v>
      </c>
      <c r="ET459">
        <v>0</v>
      </c>
      <c r="EV459">
        <v>0</v>
      </c>
      <c r="EY459" t="s">
        <v>1052</v>
      </c>
      <c r="EZ459">
        <v>0</v>
      </c>
      <c r="FA459" t="s">
        <v>1043</v>
      </c>
      <c r="FB459">
        <v>0</v>
      </c>
      <c r="FC459">
        <v>0</v>
      </c>
      <c r="FD459" t="s">
        <v>1051</v>
      </c>
      <c r="FE459" t="s">
        <v>1050</v>
      </c>
      <c r="FF459">
        <v>0</v>
      </c>
      <c r="FG459" t="s">
        <v>1050</v>
      </c>
      <c r="FJ459">
        <v>0</v>
      </c>
      <c r="FK459">
        <v>0</v>
      </c>
      <c r="FP459">
        <v>0</v>
      </c>
      <c r="FR459">
        <v>0</v>
      </c>
      <c r="FS459" t="s">
        <v>1043</v>
      </c>
      <c r="FX459" t="s">
        <v>1042</v>
      </c>
      <c r="FZ459" t="s">
        <v>1048</v>
      </c>
      <c r="GA459">
        <v>0</v>
      </c>
      <c r="GB459" t="s">
        <v>1042</v>
      </c>
      <c r="GD459">
        <v>16</v>
      </c>
      <c r="GE459">
        <v>0</v>
      </c>
      <c r="GG459">
        <v>0</v>
      </c>
      <c r="GN459">
        <v>0</v>
      </c>
      <c r="GO459" t="s">
        <v>1063</v>
      </c>
      <c r="GQ459">
        <v>0</v>
      </c>
      <c r="GU459">
        <v>2</v>
      </c>
      <c r="GY459" t="s">
        <v>1045</v>
      </c>
      <c r="HB459">
        <v>0</v>
      </c>
      <c r="HE459">
        <v>10</v>
      </c>
      <c r="HF459">
        <v>15</v>
      </c>
      <c r="HG459">
        <v>0</v>
      </c>
      <c r="HK459" t="s">
        <v>1042</v>
      </c>
      <c r="HM459" t="s">
        <v>1047</v>
      </c>
      <c r="HN459">
        <v>0</v>
      </c>
      <c r="HP459">
        <v>0.44850000000000001</v>
      </c>
      <c r="HQ459">
        <v>0</v>
      </c>
      <c r="HR459" t="s">
        <v>1042</v>
      </c>
      <c r="HS459" t="s">
        <v>1043</v>
      </c>
      <c r="HT459">
        <v>0</v>
      </c>
      <c r="HU459">
        <v>0</v>
      </c>
      <c r="HW459">
        <v>0</v>
      </c>
      <c r="HX459">
        <v>0</v>
      </c>
      <c r="HY459">
        <v>0</v>
      </c>
      <c r="HZ459" t="s">
        <v>1045</v>
      </c>
      <c r="IA459">
        <v>0</v>
      </c>
      <c r="IB459" t="s">
        <v>1045</v>
      </c>
      <c r="ID459" t="s">
        <v>1045</v>
      </c>
      <c r="IF459">
        <v>180</v>
      </c>
      <c r="IG459" t="s">
        <v>1042</v>
      </c>
      <c r="IH459" t="s">
        <v>1046</v>
      </c>
      <c r="II459" t="s">
        <v>1042</v>
      </c>
      <c r="IR459" t="s">
        <v>1045</v>
      </c>
      <c r="IT459">
        <v>0</v>
      </c>
      <c r="IY459" t="s">
        <v>1044</v>
      </c>
      <c r="IZ459" t="s">
        <v>1043</v>
      </c>
      <c r="JE459">
        <v>0</v>
      </c>
      <c r="JF459">
        <v>0</v>
      </c>
      <c r="JI459" t="s">
        <v>1042</v>
      </c>
      <c r="JJ459">
        <v>0</v>
      </c>
      <c r="JK459">
        <v>0</v>
      </c>
      <c r="JL459">
        <v>0</v>
      </c>
      <c r="JM459">
        <v>0</v>
      </c>
      <c r="JT459">
        <v>0</v>
      </c>
      <c r="JU459" t="s">
        <v>1042</v>
      </c>
      <c r="JW459">
        <v>0</v>
      </c>
      <c r="KA459">
        <v>0</v>
      </c>
      <c r="KF459">
        <v>0</v>
      </c>
      <c r="KG459">
        <v>0</v>
      </c>
      <c r="KH459">
        <v>0</v>
      </c>
      <c r="KI459">
        <v>0</v>
      </c>
      <c r="KS459" t="s">
        <v>1073</v>
      </c>
      <c r="KT459">
        <v>0</v>
      </c>
      <c r="KU459">
        <v>0</v>
      </c>
      <c r="KV459">
        <v>0</v>
      </c>
      <c r="KX459">
        <v>0</v>
      </c>
      <c r="KZ459">
        <v>0</v>
      </c>
      <c r="LF459">
        <v>0</v>
      </c>
      <c r="LH459">
        <v>0</v>
      </c>
      <c r="LI459">
        <v>0</v>
      </c>
    </row>
    <row r="460" spans="1:321" x14ac:dyDescent="0.35">
      <c r="A460">
        <v>1</v>
      </c>
      <c r="B460">
        <v>1273</v>
      </c>
      <c r="C460" t="s">
        <v>653</v>
      </c>
      <c r="D460" t="s">
        <v>1061</v>
      </c>
      <c r="E460" t="s">
        <v>85</v>
      </c>
      <c r="F460">
        <v>1</v>
      </c>
      <c r="G460">
        <v>240</v>
      </c>
      <c r="H460">
        <v>0</v>
      </c>
      <c r="I460" t="s">
        <v>1017</v>
      </c>
      <c r="L460">
        <v>0</v>
      </c>
      <c r="M460">
        <v>9.75</v>
      </c>
      <c r="N460">
        <v>0</v>
      </c>
      <c r="Q460">
        <v>511</v>
      </c>
      <c r="R460">
        <v>0</v>
      </c>
      <c r="S460">
        <v>0</v>
      </c>
      <c r="W460" t="s">
        <v>1060</v>
      </c>
      <c r="X460">
        <v>0</v>
      </c>
      <c r="Z460">
        <v>4</v>
      </c>
      <c r="AA460">
        <v>297.83769999999998</v>
      </c>
      <c r="AB460">
        <v>796</v>
      </c>
      <c r="AC460">
        <v>7.9676</v>
      </c>
      <c r="AD460" t="s">
        <v>1042</v>
      </c>
      <c r="AE460">
        <v>0</v>
      </c>
      <c r="AF460">
        <v>1.4758</v>
      </c>
      <c r="AH460">
        <v>42</v>
      </c>
      <c r="AJ460">
        <v>0</v>
      </c>
      <c r="AL460">
        <v>145800</v>
      </c>
      <c r="AM460">
        <v>411</v>
      </c>
      <c r="AN460">
        <v>11501001</v>
      </c>
      <c r="AO460">
        <v>0</v>
      </c>
      <c r="AP460">
        <v>1002</v>
      </c>
      <c r="AT460">
        <v>1</v>
      </c>
      <c r="AU460" t="s">
        <v>1059</v>
      </c>
      <c r="AW460" t="s">
        <v>1053</v>
      </c>
      <c r="AX460">
        <v>5</v>
      </c>
      <c r="AY460" s="20">
        <v>43274</v>
      </c>
      <c r="BA460" s="20">
        <v>44420</v>
      </c>
      <c r="BB460" t="s">
        <v>1058</v>
      </c>
      <c r="BD460">
        <v>0</v>
      </c>
      <c r="BF460" t="s">
        <v>1044</v>
      </c>
      <c r="BG460" t="s">
        <v>1042</v>
      </c>
      <c r="BH460">
        <v>0</v>
      </c>
      <c r="BI460">
        <v>36</v>
      </c>
      <c r="BJ460">
        <v>0</v>
      </c>
      <c r="BK460">
        <v>0</v>
      </c>
      <c r="BM460" s="20">
        <v>43530</v>
      </c>
      <c r="BN460">
        <v>0</v>
      </c>
      <c r="BO460">
        <v>7897801318198</v>
      </c>
      <c r="BR460" t="s">
        <v>1043</v>
      </c>
      <c r="BS460" t="s">
        <v>1043</v>
      </c>
      <c r="BT460" t="s">
        <v>1043</v>
      </c>
      <c r="BV460">
        <v>1</v>
      </c>
      <c r="BW460">
        <v>2</v>
      </c>
      <c r="BY460">
        <v>78</v>
      </c>
      <c r="CA460">
        <v>0</v>
      </c>
      <c r="CB460" t="s">
        <v>1043</v>
      </c>
      <c r="CE460" t="s">
        <v>1043</v>
      </c>
      <c r="CH460" t="s">
        <v>1043</v>
      </c>
      <c r="CN460" t="s">
        <v>1056</v>
      </c>
      <c r="CO460" t="s">
        <v>1043</v>
      </c>
      <c r="CP460">
        <v>1</v>
      </c>
      <c r="CQ460">
        <v>0</v>
      </c>
      <c r="CS460">
        <v>0</v>
      </c>
      <c r="CT460">
        <v>0</v>
      </c>
      <c r="CU460">
        <v>0</v>
      </c>
      <c r="CW460">
        <v>0</v>
      </c>
      <c r="CX460">
        <v>0</v>
      </c>
      <c r="CY460">
        <v>0</v>
      </c>
      <c r="CZ460">
        <v>0</v>
      </c>
      <c r="DA460">
        <v>8</v>
      </c>
      <c r="DB460">
        <v>0</v>
      </c>
      <c r="DC460" t="s">
        <v>1043</v>
      </c>
      <c r="DF460" t="s">
        <v>1055</v>
      </c>
      <c r="DH460">
        <v>0</v>
      </c>
      <c r="DJ460">
        <v>0</v>
      </c>
      <c r="DK460" t="s">
        <v>1053</v>
      </c>
      <c r="DL460">
        <v>0</v>
      </c>
      <c r="DN460">
        <v>0</v>
      </c>
      <c r="DO460" t="s">
        <v>1042</v>
      </c>
      <c r="DP460">
        <v>0</v>
      </c>
      <c r="DQ460">
        <v>7.6</v>
      </c>
      <c r="DS460">
        <v>0</v>
      </c>
      <c r="DU460">
        <v>1.65</v>
      </c>
      <c r="DW460">
        <v>0</v>
      </c>
      <c r="DX460" t="s">
        <v>1043</v>
      </c>
      <c r="DY460">
        <v>0</v>
      </c>
      <c r="DZ460">
        <v>0</v>
      </c>
      <c r="EA460">
        <v>0</v>
      </c>
      <c r="EB460">
        <v>17897801318195</v>
      </c>
      <c r="ED460" t="s">
        <v>1045</v>
      </c>
      <c r="EE460">
        <v>0</v>
      </c>
      <c r="EF460">
        <v>0</v>
      </c>
      <c r="EK460" t="s">
        <v>1054</v>
      </c>
      <c r="EL460">
        <v>57897801318193</v>
      </c>
      <c r="EN460" t="s">
        <v>1012</v>
      </c>
      <c r="EQ460" t="s">
        <v>1044</v>
      </c>
      <c r="ES460" t="s">
        <v>1053</v>
      </c>
      <c r="ET460">
        <v>0</v>
      </c>
      <c r="EV460">
        <v>0</v>
      </c>
      <c r="EY460" t="s">
        <v>1052</v>
      </c>
      <c r="EZ460">
        <v>0</v>
      </c>
      <c r="FA460" t="s">
        <v>1043</v>
      </c>
      <c r="FB460">
        <v>0</v>
      </c>
      <c r="FC460">
        <v>0</v>
      </c>
      <c r="FD460" t="s">
        <v>1051</v>
      </c>
      <c r="FE460" t="s">
        <v>1050</v>
      </c>
      <c r="FF460">
        <v>0</v>
      </c>
      <c r="FG460" t="s">
        <v>1050</v>
      </c>
      <c r="FH460">
        <v>27897801318192</v>
      </c>
      <c r="FJ460">
        <v>0</v>
      </c>
      <c r="FK460">
        <v>0</v>
      </c>
      <c r="FP460">
        <v>0</v>
      </c>
      <c r="FR460">
        <v>0</v>
      </c>
      <c r="FS460" t="s">
        <v>1043</v>
      </c>
      <c r="FX460" t="s">
        <v>1042</v>
      </c>
      <c r="FZ460" t="s">
        <v>1048</v>
      </c>
      <c r="GA460">
        <v>0</v>
      </c>
      <c r="GB460" t="s">
        <v>1042</v>
      </c>
      <c r="GD460">
        <v>16</v>
      </c>
      <c r="GE460">
        <v>0</v>
      </c>
      <c r="GG460">
        <v>0</v>
      </c>
      <c r="GN460">
        <v>0</v>
      </c>
      <c r="GO460" t="s">
        <v>1049</v>
      </c>
      <c r="GQ460">
        <v>0</v>
      </c>
      <c r="GU460">
        <v>2</v>
      </c>
      <c r="GY460" t="s">
        <v>1045</v>
      </c>
      <c r="HB460">
        <v>0</v>
      </c>
      <c r="HE460">
        <v>10</v>
      </c>
      <c r="HF460">
        <v>15</v>
      </c>
      <c r="HG460">
        <v>5.4480000000000001E-2</v>
      </c>
      <c r="HK460" t="s">
        <v>1042</v>
      </c>
      <c r="HL460" t="s">
        <v>1048</v>
      </c>
      <c r="HM460" t="s">
        <v>1047</v>
      </c>
      <c r="HN460">
        <v>0</v>
      </c>
      <c r="HO460">
        <v>28</v>
      </c>
      <c r="HP460">
        <v>0.48470000000000002</v>
      </c>
      <c r="HQ460">
        <v>0</v>
      </c>
      <c r="HR460" t="s">
        <v>1042</v>
      </c>
      <c r="HS460" t="s">
        <v>1043</v>
      </c>
      <c r="HT460">
        <v>0</v>
      </c>
      <c r="HU460">
        <v>0</v>
      </c>
      <c r="HW460">
        <v>0</v>
      </c>
      <c r="HX460">
        <v>1928</v>
      </c>
      <c r="HY460">
        <v>0</v>
      </c>
      <c r="HZ460" t="s">
        <v>1045</v>
      </c>
      <c r="IA460">
        <v>0</v>
      </c>
      <c r="IB460" t="s">
        <v>1045</v>
      </c>
      <c r="ID460" t="s">
        <v>1045</v>
      </c>
      <c r="IF460">
        <v>128</v>
      </c>
      <c r="IG460" s="20">
        <v>43551</v>
      </c>
      <c r="IH460" t="s">
        <v>1046</v>
      </c>
      <c r="II460" t="s">
        <v>1042</v>
      </c>
      <c r="IR460" t="s">
        <v>1045</v>
      </c>
      <c r="IT460">
        <v>0</v>
      </c>
      <c r="IY460" t="s">
        <v>1044</v>
      </c>
      <c r="IZ460" t="s">
        <v>1043</v>
      </c>
      <c r="JE460">
        <v>0</v>
      </c>
      <c r="JF460">
        <v>0</v>
      </c>
      <c r="JI460" t="s">
        <v>1042</v>
      </c>
      <c r="JJ460">
        <v>0</v>
      </c>
      <c r="JK460">
        <v>0</v>
      </c>
      <c r="JL460">
        <v>0</v>
      </c>
      <c r="JM460">
        <v>0</v>
      </c>
      <c r="JT460">
        <v>0</v>
      </c>
      <c r="JU460" t="s">
        <v>1042</v>
      </c>
      <c r="JW460">
        <v>0</v>
      </c>
      <c r="KA460">
        <v>0</v>
      </c>
      <c r="KF460">
        <v>0</v>
      </c>
      <c r="KG460">
        <v>0</v>
      </c>
      <c r="KH460">
        <v>0</v>
      </c>
      <c r="KI460">
        <v>0</v>
      </c>
      <c r="KS460" t="s">
        <v>1073</v>
      </c>
      <c r="KT460">
        <v>0</v>
      </c>
      <c r="KU460">
        <v>0</v>
      </c>
      <c r="KV460">
        <v>0</v>
      </c>
      <c r="KX460">
        <v>0</v>
      </c>
      <c r="KZ460">
        <v>0</v>
      </c>
      <c r="LF460">
        <v>0</v>
      </c>
      <c r="LH460">
        <v>15120</v>
      </c>
      <c r="LI460">
        <v>0</v>
      </c>
    </row>
    <row r="461" spans="1:321" x14ac:dyDescent="0.35">
      <c r="A461">
        <v>1</v>
      </c>
      <c r="B461" t="s">
        <v>1223</v>
      </c>
      <c r="C461" t="s">
        <v>653</v>
      </c>
      <c r="D461" t="s">
        <v>1064</v>
      </c>
      <c r="E461" t="s">
        <v>85</v>
      </c>
      <c r="F461">
        <v>1</v>
      </c>
      <c r="G461">
        <v>240</v>
      </c>
      <c r="H461">
        <v>0</v>
      </c>
      <c r="I461" t="s">
        <v>1017</v>
      </c>
      <c r="L461">
        <v>0</v>
      </c>
      <c r="M461">
        <v>9.75</v>
      </c>
      <c r="N461">
        <v>0</v>
      </c>
      <c r="Q461">
        <v>511</v>
      </c>
      <c r="R461">
        <v>0</v>
      </c>
      <c r="S461">
        <v>0</v>
      </c>
      <c r="W461" t="s">
        <v>1060</v>
      </c>
      <c r="X461">
        <v>0</v>
      </c>
      <c r="Z461">
        <v>4</v>
      </c>
      <c r="AA461">
        <v>144.12799999999999</v>
      </c>
      <c r="AB461">
        <v>0</v>
      </c>
      <c r="AC461">
        <v>7.9676</v>
      </c>
      <c r="AD461" t="s">
        <v>1042</v>
      </c>
      <c r="AE461">
        <v>0</v>
      </c>
      <c r="AF461">
        <v>1.4758</v>
      </c>
      <c r="AH461">
        <v>0</v>
      </c>
      <c r="AJ461">
        <v>0</v>
      </c>
      <c r="AL461">
        <v>145800</v>
      </c>
      <c r="AM461">
        <v>24</v>
      </c>
      <c r="AN461">
        <v>11501001</v>
      </c>
      <c r="AO461">
        <v>0</v>
      </c>
      <c r="AP461">
        <v>2720</v>
      </c>
      <c r="AT461">
        <v>1</v>
      </c>
      <c r="AU461" t="s">
        <v>1059</v>
      </c>
      <c r="AW461" t="s">
        <v>1053</v>
      </c>
      <c r="AX461">
        <v>5</v>
      </c>
      <c r="AY461" s="20">
        <v>43868</v>
      </c>
      <c r="BA461" s="20">
        <v>43868</v>
      </c>
      <c r="BB461" t="s">
        <v>1058</v>
      </c>
      <c r="BD461">
        <v>0</v>
      </c>
      <c r="BF461" t="s">
        <v>1044</v>
      </c>
      <c r="BG461" t="s">
        <v>1042</v>
      </c>
      <c r="BH461">
        <v>0</v>
      </c>
      <c r="BI461">
        <v>36</v>
      </c>
      <c r="BJ461">
        <v>0</v>
      </c>
      <c r="BK461">
        <v>0</v>
      </c>
      <c r="BM461" t="s">
        <v>1042</v>
      </c>
      <c r="BN461">
        <v>0</v>
      </c>
      <c r="BR461" t="s">
        <v>1043</v>
      </c>
      <c r="BS461" t="s">
        <v>1043</v>
      </c>
      <c r="BT461" t="s">
        <v>1043</v>
      </c>
      <c r="BV461">
        <v>1</v>
      </c>
      <c r="BW461">
        <v>2</v>
      </c>
      <c r="BY461">
        <v>78</v>
      </c>
      <c r="CA461">
        <v>0</v>
      </c>
      <c r="CB461" t="s">
        <v>1043</v>
      </c>
      <c r="CE461" t="s">
        <v>1043</v>
      </c>
      <c r="CH461" t="s">
        <v>1043</v>
      </c>
      <c r="CN461" t="s">
        <v>1056</v>
      </c>
      <c r="CO461" t="s">
        <v>1043</v>
      </c>
      <c r="CP461">
        <v>1</v>
      </c>
      <c r="CQ461">
        <v>0</v>
      </c>
      <c r="CS461">
        <v>0</v>
      </c>
      <c r="CT461">
        <v>0</v>
      </c>
      <c r="CU461">
        <v>0</v>
      </c>
      <c r="CW461">
        <v>0</v>
      </c>
      <c r="CX461">
        <v>0</v>
      </c>
      <c r="CY461">
        <v>0</v>
      </c>
      <c r="CZ461">
        <v>0</v>
      </c>
      <c r="DB461">
        <v>0</v>
      </c>
      <c r="DC461" t="s">
        <v>1043</v>
      </c>
      <c r="DF461" t="s">
        <v>1055</v>
      </c>
      <c r="DH461">
        <v>0</v>
      </c>
      <c r="DJ461">
        <v>0</v>
      </c>
      <c r="DK461" t="s">
        <v>1053</v>
      </c>
      <c r="DL461">
        <v>0</v>
      </c>
      <c r="DN461">
        <v>0</v>
      </c>
      <c r="DO461" t="s">
        <v>1042</v>
      </c>
      <c r="DP461">
        <v>0</v>
      </c>
      <c r="DQ461">
        <v>7.6</v>
      </c>
      <c r="DS461">
        <v>0</v>
      </c>
      <c r="DU461">
        <v>1.65</v>
      </c>
      <c r="DW461">
        <v>0</v>
      </c>
      <c r="DX461" t="s">
        <v>1043</v>
      </c>
      <c r="DY461">
        <v>0</v>
      </c>
      <c r="DZ461">
        <v>0</v>
      </c>
      <c r="EA461">
        <v>0</v>
      </c>
      <c r="ED461" t="s">
        <v>1045</v>
      </c>
      <c r="EE461">
        <v>0</v>
      </c>
      <c r="EF461">
        <v>0</v>
      </c>
      <c r="EK461" t="s">
        <v>1054</v>
      </c>
      <c r="EL461">
        <v>0</v>
      </c>
      <c r="EN461" t="s">
        <v>1012</v>
      </c>
      <c r="EQ461" t="s">
        <v>1044</v>
      </c>
      <c r="ES461" t="s">
        <v>1053</v>
      </c>
      <c r="ET461">
        <v>0</v>
      </c>
      <c r="EV461">
        <v>0</v>
      </c>
      <c r="EY461" t="s">
        <v>1052</v>
      </c>
      <c r="EZ461">
        <v>0</v>
      </c>
      <c r="FA461" t="s">
        <v>1043</v>
      </c>
      <c r="FB461">
        <v>0</v>
      </c>
      <c r="FC461">
        <v>0</v>
      </c>
      <c r="FD461" t="s">
        <v>1051</v>
      </c>
      <c r="FE461" t="s">
        <v>1050</v>
      </c>
      <c r="FF461">
        <v>0</v>
      </c>
      <c r="FG461" t="s">
        <v>1050</v>
      </c>
      <c r="FJ461">
        <v>0</v>
      </c>
      <c r="FK461">
        <v>0</v>
      </c>
      <c r="FP461">
        <v>0</v>
      </c>
      <c r="FR461">
        <v>0</v>
      </c>
      <c r="FS461" t="s">
        <v>1043</v>
      </c>
      <c r="FX461" t="s">
        <v>1042</v>
      </c>
      <c r="FZ461" t="s">
        <v>1048</v>
      </c>
      <c r="GA461">
        <v>0</v>
      </c>
      <c r="GB461" t="s">
        <v>1042</v>
      </c>
      <c r="GD461">
        <v>16</v>
      </c>
      <c r="GE461">
        <v>0</v>
      </c>
      <c r="GG461">
        <v>0</v>
      </c>
      <c r="GN461">
        <v>0</v>
      </c>
      <c r="GO461" t="s">
        <v>1063</v>
      </c>
      <c r="GQ461">
        <v>0</v>
      </c>
      <c r="GU461">
        <v>2</v>
      </c>
      <c r="GY461" t="s">
        <v>1045</v>
      </c>
      <c r="HB461">
        <v>0</v>
      </c>
      <c r="HE461">
        <v>10</v>
      </c>
      <c r="HF461">
        <v>15</v>
      </c>
      <c r="HG461">
        <v>5.4480000000000001E-2</v>
      </c>
      <c r="HK461" t="s">
        <v>1042</v>
      </c>
      <c r="HL461" t="s">
        <v>1048</v>
      </c>
      <c r="HM461" t="s">
        <v>1047</v>
      </c>
      <c r="HN461">
        <v>0</v>
      </c>
      <c r="HP461">
        <v>1.4758</v>
      </c>
      <c r="HQ461">
        <v>0</v>
      </c>
      <c r="HR461" t="s">
        <v>1042</v>
      </c>
      <c r="HS461" t="s">
        <v>1043</v>
      </c>
      <c r="HT461">
        <v>0</v>
      </c>
      <c r="HU461">
        <v>0</v>
      </c>
      <c r="HW461">
        <v>0</v>
      </c>
      <c r="HX461">
        <v>0</v>
      </c>
      <c r="HY461">
        <v>0</v>
      </c>
      <c r="HZ461" t="s">
        <v>1045</v>
      </c>
      <c r="IA461">
        <v>0</v>
      </c>
      <c r="IB461" t="s">
        <v>1045</v>
      </c>
      <c r="ID461" t="s">
        <v>1045</v>
      </c>
      <c r="IF461">
        <v>128</v>
      </c>
      <c r="IG461" s="20">
        <v>43551</v>
      </c>
      <c r="IH461" t="s">
        <v>1046</v>
      </c>
      <c r="II461" t="s">
        <v>1042</v>
      </c>
      <c r="IR461" t="s">
        <v>1045</v>
      </c>
      <c r="IT461">
        <v>0</v>
      </c>
      <c r="IY461" t="s">
        <v>1044</v>
      </c>
      <c r="IZ461" t="s">
        <v>1043</v>
      </c>
      <c r="JE461">
        <v>0</v>
      </c>
      <c r="JF461">
        <v>0</v>
      </c>
      <c r="JI461" t="s">
        <v>1042</v>
      </c>
      <c r="JJ461">
        <v>0</v>
      </c>
      <c r="JK461">
        <v>0</v>
      </c>
      <c r="JL461">
        <v>0</v>
      </c>
      <c r="JM461">
        <v>0</v>
      </c>
      <c r="JT461">
        <v>0</v>
      </c>
      <c r="JU461" t="s">
        <v>1042</v>
      </c>
      <c r="JW461">
        <v>0</v>
      </c>
      <c r="KA461">
        <v>0</v>
      </c>
      <c r="KF461">
        <v>0</v>
      </c>
      <c r="KG461">
        <v>0</v>
      </c>
      <c r="KH461">
        <v>0</v>
      </c>
      <c r="KI461">
        <v>0</v>
      </c>
      <c r="KS461" t="s">
        <v>1073</v>
      </c>
      <c r="KT461">
        <v>0</v>
      </c>
      <c r="KU461">
        <v>0</v>
      </c>
      <c r="KV461">
        <v>0</v>
      </c>
      <c r="KX461">
        <v>0</v>
      </c>
      <c r="KZ461">
        <v>0</v>
      </c>
      <c r="LF461">
        <v>0</v>
      </c>
      <c r="LH461">
        <v>0</v>
      </c>
      <c r="LI461">
        <v>0</v>
      </c>
    </row>
    <row r="462" spans="1:321" x14ac:dyDescent="0.35">
      <c r="A462">
        <v>1</v>
      </c>
      <c r="B462">
        <v>1274</v>
      </c>
      <c r="C462" t="s">
        <v>654</v>
      </c>
      <c r="D462" t="s">
        <v>1061</v>
      </c>
      <c r="E462" t="s">
        <v>85</v>
      </c>
      <c r="F462">
        <v>1</v>
      </c>
      <c r="G462">
        <v>240</v>
      </c>
      <c r="H462">
        <v>0</v>
      </c>
      <c r="I462" t="s">
        <v>1017</v>
      </c>
      <c r="L462">
        <v>0</v>
      </c>
      <c r="M462">
        <v>9.75</v>
      </c>
      <c r="N462">
        <v>0</v>
      </c>
      <c r="Q462">
        <v>511</v>
      </c>
      <c r="R462">
        <v>0</v>
      </c>
      <c r="S462">
        <v>0</v>
      </c>
      <c r="W462" t="s">
        <v>1060</v>
      </c>
      <c r="X462">
        <v>0</v>
      </c>
      <c r="Z462">
        <v>2</v>
      </c>
      <c r="AA462">
        <v>450.90550000000002</v>
      </c>
      <c r="AB462">
        <v>491</v>
      </c>
      <c r="AC462">
        <v>48.774700000000003</v>
      </c>
      <c r="AD462" s="20">
        <v>44329</v>
      </c>
      <c r="AE462">
        <v>61.936</v>
      </c>
      <c r="AF462">
        <v>2.1505999999999998</v>
      </c>
      <c r="AH462">
        <v>198</v>
      </c>
      <c r="AJ462">
        <v>0</v>
      </c>
      <c r="AL462">
        <v>145800</v>
      </c>
      <c r="AM462">
        <v>240</v>
      </c>
      <c r="AN462">
        <v>11501001</v>
      </c>
      <c r="AO462">
        <v>0</v>
      </c>
      <c r="AP462">
        <v>1002</v>
      </c>
      <c r="AT462">
        <v>1</v>
      </c>
      <c r="AU462" t="s">
        <v>1059</v>
      </c>
      <c r="AW462" t="s">
        <v>1053</v>
      </c>
      <c r="AX462">
        <v>5</v>
      </c>
      <c r="AY462" s="20">
        <v>43242</v>
      </c>
      <c r="BA462" s="20">
        <v>44420</v>
      </c>
      <c r="BB462" t="s">
        <v>1058</v>
      </c>
      <c r="BD462">
        <v>0</v>
      </c>
      <c r="BF462" t="s">
        <v>1044</v>
      </c>
      <c r="BG462" t="s">
        <v>1042</v>
      </c>
      <c r="BH462">
        <v>0</v>
      </c>
      <c r="BI462">
        <v>36</v>
      </c>
      <c r="BJ462">
        <v>0</v>
      </c>
      <c r="BK462">
        <v>0</v>
      </c>
      <c r="BM462" s="20">
        <v>43846</v>
      </c>
      <c r="BN462">
        <v>0</v>
      </c>
      <c r="BO462">
        <v>7897801318204</v>
      </c>
      <c r="BR462" t="s">
        <v>1043</v>
      </c>
      <c r="BS462" t="s">
        <v>1043</v>
      </c>
      <c r="BT462" t="s">
        <v>1043</v>
      </c>
      <c r="BV462">
        <v>1</v>
      </c>
      <c r="BW462">
        <v>2</v>
      </c>
      <c r="BY462">
        <v>78</v>
      </c>
      <c r="CA462">
        <v>0</v>
      </c>
      <c r="CB462" t="s">
        <v>1043</v>
      </c>
      <c r="CE462" t="s">
        <v>1043</v>
      </c>
      <c r="CH462" t="s">
        <v>1043</v>
      </c>
      <c r="CN462" t="s">
        <v>1056</v>
      </c>
      <c r="CO462" t="s">
        <v>1043</v>
      </c>
      <c r="CP462">
        <v>1</v>
      </c>
      <c r="CQ462">
        <v>0</v>
      </c>
      <c r="CS462">
        <v>0</v>
      </c>
      <c r="CT462">
        <v>0</v>
      </c>
      <c r="CU462">
        <v>0</v>
      </c>
      <c r="CW462">
        <v>0</v>
      </c>
      <c r="CX462">
        <v>0</v>
      </c>
      <c r="CY462">
        <v>0</v>
      </c>
      <c r="CZ462">
        <v>0</v>
      </c>
      <c r="DA462">
        <v>8</v>
      </c>
      <c r="DB462">
        <v>0</v>
      </c>
      <c r="DC462" t="s">
        <v>1043</v>
      </c>
      <c r="DF462" t="s">
        <v>1055</v>
      </c>
      <c r="DH462">
        <v>0</v>
      </c>
      <c r="DJ462">
        <v>0</v>
      </c>
      <c r="DK462" t="s">
        <v>1053</v>
      </c>
      <c r="DL462">
        <v>0</v>
      </c>
      <c r="DN462">
        <v>0</v>
      </c>
      <c r="DO462" t="s">
        <v>1042</v>
      </c>
      <c r="DP462">
        <v>0</v>
      </c>
      <c r="DQ462">
        <v>7.6</v>
      </c>
      <c r="DS462">
        <v>0</v>
      </c>
      <c r="DU462">
        <v>1.65</v>
      </c>
      <c r="DW462">
        <v>0</v>
      </c>
      <c r="DX462" t="s">
        <v>1043</v>
      </c>
      <c r="DY462">
        <v>0</v>
      </c>
      <c r="DZ462">
        <v>0</v>
      </c>
      <c r="EA462">
        <v>0</v>
      </c>
      <c r="EB462">
        <v>17897801318201</v>
      </c>
      <c r="ED462" t="s">
        <v>1045</v>
      </c>
      <c r="EE462">
        <v>0</v>
      </c>
      <c r="EF462">
        <v>0</v>
      </c>
      <c r="EK462" t="s">
        <v>1054</v>
      </c>
      <c r="EL462">
        <v>57897801318209</v>
      </c>
      <c r="EN462" t="s">
        <v>1012</v>
      </c>
      <c r="EQ462" t="s">
        <v>1044</v>
      </c>
      <c r="ES462" t="s">
        <v>1053</v>
      </c>
      <c r="ET462">
        <v>0</v>
      </c>
      <c r="EV462">
        <v>0</v>
      </c>
      <c r="EY462" t="s">
        <v>1052</v>
      </c>
      <c r="EZ462">
        <v>0</v>
      </c>
      <c r="FA462" t="s">
        <v>1043</v>
      </c>
      <c r="FB462">
        <v>0</v>
      </c>
      <c r="FC462">
        <v>0</v>
      </c>
      <c r="FD462" t="s">
        <v>1051</v>
      </c>
      <c r="FE462" t="s">
        <v>1050</v>
      </c>
      <c r="FF462">
        <v>0</v>
      </c>
      <c r="FG462" t="s">
        <v>1050</v>
      </c>
      <c r="FH462">
        <v>27897801318208</v>
      </c>
      <c r="FJ462">
        <v>0</v>
      </c>
      <c r="FK462">
        <v>0</v>
      </c>
      <c r="FP462">
        <v>0</v>
      </c>
      <c r="FR462">
        <v>0</v>
      </c>
      <c r="FS462" t="s">
        <v>1043</v>
      </c>
      <c r="FX462" t="s">
        <v>1042</v>
      </c>
      <c r="FZ462" t="s">
        <v>1048</v>
      </c>
      <c r="GA462">
        <v>0</v>
      </c>
      <c r="GB462" t="s">
        <v>1042</v>
      </c>
      <c r="GD462">
        <v>16</v>
      </c>
      <c r="GE462">
        <v>0</v>
      </c>
      <c r="GG462">
        <v>0</v>
      </c>
      <c r="GN462">
        <v>0</v>
      </c>
      <c r="GO462" t="s">
        <v>1049</v>
      </c>
      <c r="GQ462">
        <v>0</v>
      </c>
      <c r="GU462">
        <v>2</v>
      </c>
      <c r="GY462" t="s">
        <v>1045</v>
      </c>
      <c r="HB462">
        <v>0</v>
      </c>
      <c r="HE462">
        <v>10</v>
      </c>
      <c r="HF462">
        <v>15</v>
      </c>
      <c r="HG462">
        <v>2.886E-2</v>
      </c>
      <c r="HK462" t="s">
        <v>1042</v>
      </c>
      <c r="HM462" t="s">
        <v>1047</v>
      </c>
      <c r="HN462">
        <v>0</v>
      </c>
      <c r="HO462">
        <v>28</v>
      </c>
      <c r="HP462">
        <v>0.72270000000000001</v>
      </c>
      <c r="HQ462">
        <v>0</v>
      </c>
      <c r="HR462" t="s">
        <v>1042</v>
      </c>
      <c r="HS462" t="s">
        <v>1043</v>
      </c>
      <c r="HT462">
        <v>0</v>
      </c>
      <c r="HU462">
        <v>0</v>
      </c>
      <c r="HW462">
        <v>0</v>
      </c>
      <c r="HX462">
        <v>930</v>
      </c>
      <c r="HY462">
        <v>1</v>
      </c>
      <c r="HZ462" t="s">
        <v>1045</v>
      </c>
      <c r="IA462">
        <v>61.94</v>
      </c>
      <c r="IB462" t="s">
        <v>1045</v>
      </c>
      <c r="ID462" t="s">
        <v>1045</v>
      </c>
      <c r="IF462">
        <v>90</v>
      </c>
      <c r="IG462" s="20">
        <v>43878</v>
      </c>
      <c r="IH462" t="s">
        <v>1046</v>
      </c>
      <c r="II462" t="s">
        <v>1042</v>
      </c>
      <c r="IR462" t="s">
        <v>1045</v>
      </c>
      <c r="IT462">
        <v>0</v>
      </c>
      <c r="IY462" t="s">
        <v>1044</v>
      </c>
      <c r="IZ462" t="s">
        <v>1043</v>
      </c>
      <c r="JE462">
        <v>0</v>
      </c>
      <c r="JF462">
        <v>0</v>
      </c>
      <c r="JI462" t="s">
        <v>1042</v>
      </c>
      <c r="JJ462">
        <v>0</v>
      </c>
      <c r="JK462">
        <v>0</v>
      </c>
      <c r="JL462">
        <v>0</v>
      </c>
      <c r="JM462">
        <v>0</v>
      </c>
      <c r="JT462">
        <v>0</v>
      </c>
      <c r="JU462" t="s">
        <v>1042</v>
      </c>
      <c r="JW462">
        <v>0</v>
      </c>
      <c r="KA462">
        <v>0</v>
      </c>
      <c r="KF462">
        <v>0</v>
      </c>
      <c r="KG462">
        <v>0</v>
      </c>
      <c r="KH462">
        <v>0</v>
      </c>
      <c r="KI462">
        <v>0</v>
      </c>
      <c r="KS462" t="s">
        <v>1073</v>
      </c>
      <c r="KT462">
        <v>0</v>
      </c>
      <c r="KU462">
        <v>0</v>
      </c>
      <c r="KV462">
        <v>0</v>
      </c>
      <c r="KX462">
        <v>0</v>
      </c>
      <c r="KZ462">
        <v>0</v>
      </c>
      <c r="LF462">
        <v>0</v>
      </c>
      <c r="LH462">
        <v>10080</v>
      </c>
      <c r="LI462">
        <v>0</v>
      </c>
    </row>
    <row r="463" spans="1:321" x14ac:dyDescent="0.35">
      <c r="A463">
        <v>1</v>
      </c>
      <c r="B463" t="s">
        <v>1222</v>
      </c>
      <c r="C463" t="s">
        <v>654</v>
      </c>
      <c r="D463" t="s">
        <v>1064</v>
      </c>
      <c r="E463" t="s">
        <v>85</v>
      </c>
      <c r="F463">
        <v>1</v>
      </c>
      <c r="G463">
        <v>240</v>
      </c>
      <c r="H463">
        <v>0</v>
      </c>
      <c r="I463" t="s">
        <v>1017</v>
      </c>
      <c r="L463">
        <v>0</v>
      </c>
      <c r="M463">
        <v>9.75</v>
      </c>
      <c r="N463">
        <v>0</v>
      </c>
      <c r="Q463">
        <v>511</v>
      </c>
      <c r="R463">
        <v>0</v>
      </c>
      <c r="S463">
        <v>0</v>
      </c>
      <c r="W463" t="s">
        <v>1060</v>
      </c>
      <c r="X463">
        <v>0</v>
      </c>
      <c r="Z463">
        <v>2</v>
      </c>
      <c r="AA463">
        <v>0</v>
      </c>
      <c r="AB463">
        <v>0</v>
      </c>
      <c r="AC463">
        <v>0.38950000000000001</v>
      </c>
      <c r="AD463" t="s">
        <v>1042</v>
      </c>
      <c r="AE463">
        <v>0</v>
      </c>
      <c r="AF463">
        <v>2.1505999999999998</v>
      </c>
      <c r="AH463">
        <v>0</v>
      </c>
      <c r="AJ463">
        <v>0</v>
      </c>
      <c r="AL463">
        <v>145800</v>
      </c>
      <c r="AM463">
        <v>24</v>
      </c>
      <c r="AN463">
        <v>11501001</v>
      </c>
      <c r="AO463">
        <v>0</v>
      </c>
      <c r="AP463">
        <v>2720</v>
      </c>
      <c r="AT463">
        <v>1</v>
      </c>
      <c r="AU463" t="s">
        <v>1059</v>
      </c>
      <c r="AW463" t="s">
        <v>1053</v>
      </c>
      <c r="AX463">
        <v>5</v>
      </c>
      <c r="AY463" s="20">
        <v>43868</v>
      </c>
      <c r="BA463" s="20">
        <v>43868</v>
      </c>
      <c r="BB463" t="s">
        <v>1058</v>
      </c>
      <c r="BD463">
        <v>0</v>
      </c>
      <c r="BF463" t="s">
        <v>1044</v>
      </c>
      <c r="BG463" t="s">
        <v>1042</v>
      </c>
      <c r="BH463">
        <v>0</v>
      </c>
      <c r="BI463">
        <v>36</v>
      </c>
      <c r="BJ463">
        <v>0</v>
      </c>
      <c r="BK463">
        <v>0</v>
      </c>
      <c r="BM463" t="s">
        <v>1042</v>
      </c>
      <c r="BN463">
        <v>0</v>
      </c>
      <c r="BR463" t="s">
        <v>1043</v>
      </c>
      <c r="BS463" t="s">
        <v>1043</v>
      </c>
      <c r="BT463" t="s">
        <v>1043</v>
      </c>
      <c r="BV463">
        <v>1</v>
      </c>
      <c r="BW463">
        <v>2</v>
      </c>
      <c r="BY463">
        <v>69</v>
      </c>
      <c r="CA463">
        <v>0</v>
      </c>
      <c r="CB463" t="s">
        <v>1043</v>
      </c>
      <c r="CE463" t="s">
        <v>1043</v>
      </c>
      <c r="CH463" t="s">
        <v>1043</v>
      </c>
      <c r="CN463" t="s">
        <v>1056</v>
      </c>
      <c r="CO463" t="s">
        <v>1043</v>
      </c>
      <c r="CP463">
        <v>1</v>
      </c>
      <c r="CQ463">
        <v>0</v>
      </c>
      <c r="CS463">
        <v>0</v>
      </c>
      <c r="CT463">
        <v>0</v>
      </c>
      <c r="CU463">
        <v>0</v>
      </c>
      <c r="CW463">
        <v>0</v>
      </c>
      <c r="CX463">
        <v>0</v>
      </c>
      <c r="CY463">
        <v>0</v>
      </c>
      <c r="CZ463">
        <v>0</v>
      </c>
      <c r="DB463">
        <v>0</v>
      </c>
      <c r="DC463" t="s">
        <v>1043</v>
      </c>
      <c r="DF463" t="s">
        <v>1055</v>
      </c>
      <c r="DH463">
        <v>0</v>
      </c>
      <c r="DJ463">
        <v>0</v>
      </c>
      <c r="DK463" t="s">
        <v>1053</v>
      </c>
      <c r="DL463">
        <v>0</v>
      </c>
      <c r="DN463">
        <v>0</v>
      </c>
      <c r="DO463" t="s">
        <v>1042</v>
      </c>
      <c r="DP463">
        <v>0</v>
      </c>
      <c r="DQ463">
        <v>7.6</v>
      </c>
      <c r="DS463">
        <v>0</v>
      </c>
      <c r="DU463">
        <v>1.65</v>
      </c>
      <c r="DW463">
        <v>0</v>
      </c>
      <c r="DX463" t="s">
        <v>1043</v>
      </c>
      <c r="DY463">
        <v>0</v>
      </c>
      <c r="DZ463">
        <v>0</v>
      </c>
      <c r="EA463">
        <v>0</v>
      </c>
      <c r="ED463" t="s">
        <v>1045</v>
      </c>
      <c r="EE463">
        <v>0</v>
      </c>
      <c r="EF463">
        <v>0</v>
      </c>
      <c r="EK463" t="s">
        <v>1054</v>
      </c>
      <c r="EL463">
        <v>0</v>
      </c>
      <c r="EN463" t="s">
        <v>1012</v>
      </c>
      <c r="EQ463" t="s">
        <v>1044</v>
      </c>
      <c r="ES463" t="s">
        <v>1053</v>
      </c>
      <c r="ET463">
        <v>0</v>
      </c>
      <c r="EV463">
        <v>0</v>
      </c>
      <c r="EY463" t="s">
        <v>1052</v>
      </c>
      <c r="EZ463">
        <v>0</v>
      </c>
      <c r="FA463" t="s">
        <v>1043</v>
      </c>
      <c r="FB463">
        <v>0</v>
      </c>
      <c r="FC463">
        <v>0</v>
      </c>
      <c r="FD463" t="s">
        <v>1051</v>
      </c>
      <c r="FE463" t="s">
        <v>1050</v>
      </c>
      <c r="FF463">
        <v>0</v>
      </c>
      <c r="FG463" t="s">
        <v>1050</v>
      </c>
      <c r="FJ463">
        <v>0</v>
      </c>
      <c r="FK463">
        <v>0</v>
      </c>
      <c r="FP463">
        <v>0</v>
      </c>
      <c r="FR463">
        <v>0</v>
      </c>
      <c r="FS463" t="s">
        <v>1043</v>
      </c>
      <c r="FX463" t="s">
        <v>1042</v>
      </c>
      <c r="FZ463" t="s">
        <v>1048</v>
      </c>
      <c r="GA463">
        <v>0</v>
      </c>
      <c r="GB463" t="s">
        <v>1042</v>
      </c>
      <c r="GD463">
        <v>16</v>
      </c>
      <c r="GE463">
        <v>0</v>
      </c>
      <c r="GG463">
        <v>0</v>
      </c>
      <c r="GN463">
        <v>0</v>
      </c>
      <c r="GO463" t="s">
        <v>1063</v>
      </c>
      <c r="GQ463">
        <v>0</v>
      </c>
      <c r="GU463">
        <v>2</v>
      </c>
      <c r="GY463" t="s">
        <v>1045</v>
      </c>
      <c r="HB463">
        <v>0</v>
      </c>
      <c r="HE463">
        <v>10</v>
      </c>
      <c r="HF463">
        <v>15</v>
      </c>
      <c r="HG463">
        <v>0.12639</v>
      </c>
      <c r="HK463" t="s">
        <v>1042</v>
      </c>
      <c r="HM463" t="s">
        <v>1047</v>
      </c>
      <c r="HN463">
        <v>0</v>
      </c>
      <c r="HP463">
        <v>0</v>
      </c>
      <c r="HQ463">
        <v>0</v>
      </c>
      <c r="HR463" t="s">
        <v>1042</v>
      </c>
      <c r="HS463" t="s">
        <v>1043</v>
      </c>
      <c r="HT463">
        <v>0</v>
      </c>
      <c r="HU463">
        <v>0</v>
      </c>
      <c r="HW463">
        <v>0</v>
      </c>
      <c r="HX463">
        <v>0</v>
      </c>
      <c r="HY463">
        <v>0</v>
      </c>
      <c r="HZ463" t="s">
        <v>1045</v>
      </c>
      <c r="IA463">
        <v>0</v>
      </c>
      <c r="IB463" t="s">
        <v>1045</v>
      </c>
      <c r="ID463" t="s">
        <v>1045</v>
      </c>
      <c r="IF463">
        <v>90</v>
      </c>
      <c r="IG463" t="s">
        <v>1042</v>
      </c>
      <c r="IH463" t="s">
        <v>1046</v>
      </c>
      <c r="II463" t="s">
        <v>1042</v>
      </c>
      <c r="IR463" t="s">
        <v>1045</v>
      </c>
      <c r="IT463">
        <v>0</v>
      </c>
      <c r="IY463" t="s">
        <v>1044</v>
      </c>
      <c r="IZ463" t="s">
        <v>1043</v>
      </c>
      <c r="JE463">
        <v>0</v>
      </c>
      <c r="JF463">
        <v>0</v>
      </c>
      <c r="JI463" t="s">
        <v>1042</v>
      </c>
      <c r="JJ463">
        <v>0</v>
      </c>
      <c r="JK463">
        <v>0</v>
      </c>
      <c r="JL463">
        <v>0</v>
      </c>
      <c r="JM463">
        <v>0</v>
      </c>
      <c r="JT463">
        <v>0</v>
      </c>
      <c r="JU463" t="s">
        <v>1042</v>
      </c>
      <c r="JW463">
        <v>0</v>
      </c>
      <c r="KA463">
        <v>0</v>
      </c>
      <c r="KF463">
        <v>0</v>
      </c>
      <c r="KG463">
        <v>0</v>
      </c>
      <c r="KH463">
        <v>0</v>
      </c>
      <c r="KI463">
        <v>0</v>
      </c>
      <c r="KS463" t="s">
        <v>1073</v>
      </c>
      <c r="KT463">
        <v>0</v>
      </c>
      <c r="KU463">
        <v>0</v>
      </c>
      <c r="KV463">
        <v>0</v>
      </c>
      <c r="KX463">
        <v>0</v>
      </c>
      <c r="KZ463">
        <v>0</v>
      </c>
      <c r="LF463">
        <v>0</v>
      </c>
      <c r="LH463">
        <v>0</v>
      </c>
      <c r="LI463">
        <v>0</v>
      </c>
    </row>
    <row r="464" spans="1:321" x14ac:dyDescent="0.35">
      <c r="A464">
        <v>1</v>
      </c>
      <c r="B464">
        <v>1275</v>
      </c>
      <c r="C464" t="s">
        <v>655</v>
      </c>
      <c r="D464" t="s">
        <v>1061</v>
      </c>
      <c r="E464" t="s">
        <v>85</v>
      </c>
      <c r="F464">
        <v>1</v>
      </c>
      <c r="G464">
        <v>240</v>
      </c>
      <c r="H464">
        <v>0</v>
      </c>
      <c r="I464" t="s">
        <v>1017</v>
      </c>
      <c r="L464">
        <v>0</v>
      </c>
      <c r="M464">
        <v>9.75</v>
      </c>
      <c r="N464">
        <v>0</v>
      </c>
      <c r="Q464">
        <v>511</v>
      </c>
      <c r="R464">
        <v>0</v>
      </c>
      <c r="S464">
        <v>0</v>
      </c>
      <c r="W464" t="s">
        <v>1060</v>
      </c>
      <c r="X464">
        <v>0</v>
      </c>
      <c r="Z464">
        <v>2</v>
      </c>
      <c r="AA464">
        <v>808.0779</v>
      </c>
      <c r="AB464">
        <v>128</v>
      </c>
      <c r="AC464">
        <v>0.38950000000000001</v>
      </c>
      <c r="AD464" t="s">
        <v>1042</v>
      </c>
      <c r="AE464">
        <v>0</v>
      </c>
      <c r="AF464">
        <v>3.2290999999999999</v>
      </c>
      <c r="AH464">
        <v>24</v>
      </c>
      <c r="AJ464">
        <v>0</v>
      </c>
      <c r="AL464">
        <v>0</v>
      </c>
      <c r="AM464">
        <v>240</v>
      </c>
      <c r="AN464">
        <v>11501001</v>
      </c>
      <c r="AO464">
        <v>0</v>
      </c>
      <c r="AP464">
        <v>1002</v>
      </c>
      <c r="AT464">
        <v>1</v>
      </c>
      <c r="AU464" t="s">
        <v>1059</v>
      </c>
      <c r="AW464" t="s">
        <v>1053</v>
      </c>
      <c r="AX464">
        <v>5</v>
      </c>
      <c r="AY464" s="20">
        <v>43242</v>
      </c>
      <c r="BA464" s="20">
        <v>44420</v>
      </c>
      <c r="BB464" t="s">
        <v>1058</v>
      </c>
      <c r="BD464">
        <v>0</v>
      </c>
      <c r="BF464" t="s">
        <v>1044</v>
      </c>
      <c r="BG464" t="s">
        <v>1042</v>
      </c>
      <c r="BH464">
        <v>0</v>
      </c>
      <c r="BI464">
        <v>36</v>
      </c>
      <c r="BJ464">
        <v>0</v>
      </c>
      <c r="BK464">
        <v>0</v>
      </c>
      <c r="BM464" s="20">
        <v>43873</v>
      </c>
      <c r="BN464">
        <v>0</v>
      </c>
      <c r="BO464">
        <v>7897801318211</v>
      </c>
      <c r="BR464" t="s">
        <v>1043</v>
      </c>
      <c r="BS464" t="s">
        <v>1043</v>
      </c>
      <c r="BT464" t="s">
        <v>1043</v>
      </c>
      <c r="BV464">
        <v>1</v>
      </c>
      <c r="BW464">
        <v>2</v>
      </c>
      <c r="BY464">
        <v>78</v>
      </c>
      <c r="CA464">
        <v>0</v>
      </c>
      <c r="CB464" t="s">
        <v>1043</v>
      </c>
      <c r="CE464" t="s">
        <v>1043</v>
      </c>
      <c r="CH464" t="s">
        <v>1043</v>
      </c>
      <c r="CN464" t="s">
        <v>1056</v>
      </c>
      <c r="CO464" t="s">
        <v>1043</v>
      </c>
      <c r="CP464">
        <v>1</v>
      </c>
      <c r="CQ464">
        <v>0</v>
      </c>
      <c r="CS464">
        <v>0</v>
      </c>
      <c r="CT464">
        <v>0</v>
      </c>
      <c r="CU464">
        <v>0</v>
      </c>
      <c r="CW464">
        <v>0</v>
      </c>
      <c r="CX464">
        <v>0</v>
      </c>
      <c r="CY464">
        <v>0</v>
      </c>
      <c r="CZ464">
        <v>0</v>
      </c>
      <c r="DA464">
        <v>6</v>
      </c>
      <c r="DB464">
        <v>0</v>
      </c>
      <c r="DC464" t="s">
        <v>1043</v>
      </c>
      <c r="DF464" t="s">
        <v>1055</v>
      </c>
      <c r="DH464">
        <v>0</v>
      </c>
      <c r="DJ464">
        <v>0</v>
      </c>
      <c r="DK464" t="s">
        <v>1053</v>
      </c>
      <c r="DL464">
        <v>0</v>
      </c>
      <c r="DN464">
        <v>0</v>
      </c>
      <c r="DO464" t="s">
        <v>1042</v>
      </c>
      <c r="DP464">
        <v>0</v>
      </c>
      <c r="DQ464">
        <v>7.6</v>
      </c>
      <c r="DS464">
        <v>0</v>
      </c>
      <c r="DU464">
        <v>1.65</v>
      </c>
      <c r="DW464">
        <v>0</v>
      </c>
      <c r="DX464" t="s">
        <v>1043</v>
      </c>
      <c r="DY464">
        <v>0</v>
      </c>
      <c r="DZ464">
        <v>0</v>
      </c>
      <c r="EA464">
        <v>0</v>
      </c>
      <c r="EB464">
        <v>17897801318218</v>
      </c>
      <c r="ED464" t="s">
        <v>1045</v>
      </c>
      <c r="EE464">
        <v>0</v>
      </c>
      <c r="EF464">
        <v>0</v>
      </c>
      <c r="EK464" t="s">
        <v>1054</v>
      </c>
      <c r="EL464">
        <v>57897801318216</v>
      </c>
      <c r="EN464" t="s">
        <v>1012</v>
      </c>
      <c r="EQ464" t="s">
        <v>1044</v>
      </c>
      <c r="ES464" t="s">
        <v>1053</v>
      </c>
      <c r="ET464">
        <v>0</v>
      </c>
      <c r="EV464">
        <v>0</v>
      </c>
      <c r="EY464" t="s">
        <v>1052</v>
      </c>
      <c r="EZ464">
        <v>0</v>
      </c>
      <c r="FA464" t="s">
        <v>1043</v>
      </c>
      <c r="FB464">
        <v>0</v>
      </c>
      <c r="FC464">
        <v>0</v>
      </c>
      <c r="FD464" t="s">
        <v>1051</v>
      </c>
      <c r="FE464" t="s">
        <v>1050</v>
      </c>
      <c r="FF464">
        <v>0</v>
      </c>
      <c r="FG464" t="s">
        <v>1050</v>
      </c>
      <c r="FH464">
        <v>27897801318215</v>
      </c>
      <c r="FJ464">
        <v>0</v>
      </c>
      <c r="FK464">
        <v>0</v>
      </c>
      <c r="FP464">
        <v>0</v>
      </c>
      <c r="FR464">
        <v>0</v>
      </c>
      <c r="FS464" t="s">
        <v>1043</v>
      </c>
      <c r="FX464" t="s">
        <v>1042</v>
      </c>
      <c r="FZ464" t="s">
        <v>1048</v>
      </c>
      <c r="GA464">
        <v>0</v>
      </c>
      <c r="GB464" t="s">
        <v>1042</v>
      </c>
      <c r="GD464">
        <v>16</v>
      </c>
      <c r="GE464">
        <v>0</v>
      </c>
      <c r="GG464">
        <v>0</v>
      </c>
      <c r="GN464">
        <v>0</v>
      </c>
      <c r="GO464" t="s">
        <v>1049</v>
      </c>
      <c r="GQ464">
        <v>0</v>
      </c>
      <c r="GU464">
        <v>2</v>
      </c>
      <c r="GY464" t="s">
        <v>1045</v>
      </c>
      <c r="HB464">
        <v>0</v>
      </c>
      <c r="HE464">
        <v>10</v>
      </c>
      <c r="HF464">
        <v>15</v>
      </c>
      <c r="HG464">
        <v>4.156E-2</v>
      </c>
      <c r="HK464" t="s">
        <v>1042</v>
      </c>
      <c r="HM464" t="s">
        <v>1047</v>
      </c>
      <c r="HN464">
        <v>0</v>
      </c>
      <c r="HO464">
        <v>28</v>
      </c>
      <c r="HP464">
        <v>1.1196999999999999</v>
      </c>
      <c r="HQ464">
        <v>0</v>
      </c>
      <c r="HR464" t="s">
        <v>1042</v>
      </c>
      <c r="HS464" t="s">
        <v>1043</v>
      </c>
      <c r="HT464">
        <v>0</v>
      </c>
      <c r="HU464">
        <v>0</v>
      </c>
      <c r="HW464">
        <v>0</v>
      </c>
      <c r="HX464">
        <v>285</v>
      </c>
      <c r="HY464">
        <v>0</v>
      </c>
      <c r="HZ464" t="s">
        <v>1045</v>
      </c>
      <c r="IA464">
        <v>0</v>
      </c>
      <c r="IB464" t="s">
        <v>1045</v>
      </c>
      <c r="ID464" t="s">
        <v>1045</v>
      </c>
      <c r="IF464">
        <v>72</v>
      </c>
      <c r="IG464" s="20">
        <v>43878</v>
      </c>
      <c r="IH464" t="s">
        <v>1046</v>
      </c>
      <c r="II464" t="s">
        <v>1042</v>
      </c>
      <c r="IR464" t="s">
        <v>1045</v>
      </c>
      <c r="IT464">
        <v>0</v>
      </c>
      <c r="IY464" t="s">
        <v>1044</v>
      </c>
      <c r="IZ464" t="s">
        <v>1043</v>
      </c>
      <c r="JE464">
        <v>0</v>
      </c>
      <c r="JF464">
        <v>0</v>
      </c>
      <c r="JI464" t="s">
        <v>1042</v>
      </c>
      <c r="JJ464">
        <v>0</v>
      </c>
      <c r="JK464">
        <v>0</v>
      </c>
      <c r="JL464">
        <v>0</v>
      </c>
      <c r="JM464">
        <v>0</v>
      </c>
      <c r="JT464">
        <v>0</v>
      </c>
      <c r="JU464" t="s">
        <v>1042</v>
      </c>
      <c r="JW464">
        <v>0</v>
      </c>
      <c r="KA464">
        <v>0</v>
      </c>
      <c r="KF464">
        <v>0</v>
      </c>
      <c r="KG464">
        <v>0</v>
      </c>
      <c r="KH464">
        <v>0</v>
      </c>
      <c r="KI464">
        <v>0</v>
      </c>
      <c r="KS464" t="s">
        <v>1073</v>
      </c>
      <c r="KT464">
        <v>0</v>
      </c>
      <c r="KU464">
        <v>0</v>
      </c>
      <c r="KV464">
        <v>0</v>
      </c>
      <c r="KX464">
        <v>0</v>
      </c>
      <c r="KZ464">
        <v>0</v>
      </c>
      <c r="LF464">
        <v>0</v>
      </c>
      <c r="LH464">
        <v>10080</v>
      </c>
      <c r="LI464">
        <v>0</v>
      </c>
    </row>
    <row r="465" spans="1:321" x14ac:dyDescent="0.35">
      <c r="A465">
        <v>1</v>
      </c>
      <c r="B465" t="s">
        <v>1221</v>
      </c>
      <c r="C465" t="s">
        <v>1220</v>
      </c>
      <c r="D465" t="s">
        <v>1064</v>
      </c>
      <c r="E465" t="s">
        <v>85</v>
      </c>
      <c r="F465">
        <v>1</v>
      </c>
      <c r="G465">
        <v>8890</v>
      </c>
      <c r="H465">
        <v>0</v>
      </c>
      <c r="I465" t="s">
        <v>1017</v>
      </c>
      <c r="L465">
        <v>0</v>
      </c>
      <c r="M465">
        <v>9.75</v>
      </c>
      <c r="N465">
        <v>0</v>
      </c>
      <c r="Q465">
        <v>511</v>
      </c>
      <c r="R465">
        <v>0</v>
      </c>
      <c r="S465">
        <v>0</v>
      </c>
      <c r="W465" t="s">
        <v>1060</v>
      </c>
      <c r="X465">
        <v>0</v>
      </c>
      <c r="Z465">
        <v>0</v>
      </c>
      <c r="AA465">
        <v>0</v>
      </c>
      <c r="AB465">
        <v>0</v>
      </c>
      <c r="AC465">
        <v>0.38950000000000001</v>
      </c>
      <c r="AD465" t="s">
        <v>1042</v>
      </c>
      <c r="AE465">
        <v>0</v>
      </c>
      <c r="AF465">
        <v>0</v>
      </c>
      <c r="AH465">
        <v>0</v>
      </c>
      <c r="AJ465">
        <v>0</v>
      </c>
      <c r="AL465">
        <v>145800</v>
      </c>
      <c r="AM465">
        <v>24</v>
      </c>
      <c r="AN465">
        <v>11501001</v>
      </c>
      <c r="AO465">
        <v>0</v>
      </c>
      <c r="AP465">
        <v>2720</v>
      </c>
      <c r="AT465">
        <v>1</v>
      </c>
      <c r="AU465" t="s">
        <v>1059</v>
      </c>
      <c r="AW465" t="s">
        <v>1053</v>
      </c>
      <c r="AX465">
        <v>5</v>
      </c>
      <c r="AY465" s="20">
        <v>43868</v>
      </c>
      <c r="BA465" s="20">
        <v>43868</v>
      </c>
      <c r="BB465" t="s">
        <v>1058</v>
      </c>
      <c r="BD465">
        <v>0</v>
      </c>
      <c r="BF465" t="s">
        <v>1044</v>
      </c>
      <c r="BG465" t="s">
        <v>1042</v>
      </c>
      <c r="BH465">
        <v>0</v>
      </c>
      <c r="BI465">
        <v>36</v>
      </c>
      <c r="BJ465">
        <v>0</v>
      </c>
      <c r="BK465">
        <v>0</v>
      </c>
      <c r="BM465" t="s">
        <v>1042</v>
      </c>
      <c r="BN465">
        <v>0</v>
      </c>
      <c r="BR465" t="s">
        <v>1043</v>
      </c>
      <c r="BS465" t="s">
        <v>1043</v>
      </c>
      <c r="BT465" t="s">
        <v>1043</v>
      </c>
      <c r="BV465">
        <v>1</v>
      </c>
      <c r="BW465">
        <v>2</v>
      </c>
      <c r="BY465">
        <v>69</v>
      </c>
      <c r="CA465">
        <v>0</v>
      </c>
      <c r="CB465" t="s">
        <v>1043</v>
      </c>
      <c r="CE465" t="s">
        <v>1043</v>
      </c>
      <c r="CH465" t="s">
        <v>1043</v>
      </c>
      <c r="CN465" t="s">
        <v>1056</v>
      </c>
      <c r="CO465" t="s">
        <v>1043</v>
      </c>
      <c r="CP465">
        <v>1</v>
      </c>
      <c r="CQ465">
        <v>0</v>
      </c>
      <c r="CS465">
        <v>0</v>
      </c>
      <c r="CT465">
        <v>0</v>
      </c>
      <c r="CU465">
        <v>0</v>
      </c>
      <c r="CW465">
        <v>0</v>
      </c>
      <c r="CX465">
        <v>0</v>
      </c>
      <c r="CY465">
        <v>0</v>
      </c>
      <c r="CZ465">
        <v>0</v>
      </c>
      <c r="DB465">
        <v>0</v>
      </c>
      <c r="DC465" t="s">
        <v>1043</v>
      </c>
      <c r="DF465" t="s">
        <v>1055</v>
      </c>
      <c r="DH465">
        <v>0</v>
      </c>
      <c r="DJ465">
        <v>0</v>
      </c>
      <c r="DK465" t="s">
        <v>1053</v>
      </c>
      <c r="DL465">
        <v>0</v>
      </c>
      <c r="DN465">
        <v>0</v>
      </c>
      <c r="DO465" t="s">
        <v>1042</v>
      </c>
      <c r="DP465">
        <v>0</v>
      </c>
      <c r="DQ465">
        <v>7.6</v>
      </c>
      <c r="DS465">
        <v>0</v>
      </c>
      <c r="DU465">
        <v>1.65</v>
      </c>
      <c r="DW465">
        <v>0</v>
      </c>
      <c r="DX465" t="s">
        <v>1043</v>
      </c>
      <c r="DY465">
        <v>0</v>
      </c>
      <c r="DZ465">
        <v>0</v>
      </c>
      <c r="EA465">
        <v>0</v>
      </c>
      <c r="ED465" t="s">
        <v>1045</v>
      </c>
      <c r="EE465">
        <v>0</v>
      </c>
      <c r="EF465">
        <v>0</v>
      </c>
      <c r="EK465" t="s">
        <v>1054</v>
      </c>
      <c r="EL465">
        <v>0</v>
      </c>
      <c r="EN465" t="s">
        <v>1012</v>
      </c>
      <c r="EQ465" t="s">
        <v>1044</v>
      </c>
      <c r="ES465" t="s">
        <v>1053</v>
      </c>
      <c r="ET465">
        <v>0</v>
      </c>
      <c r="EV465">
        <v>0</v>
      </c>
      <c r="EY465" t="s">
        <v>1052</v>
      </c>
      <c r="EZ465">
        <v>0</v>
      </c>
      <c r="FA465" t="s">
        <v>1043</v>
      </c>
      <c r="FB465">
        <v>0</v>
      </c>
      <c r="FC465">
        <v>0</v>
      </c>
      <c r="FD465" t="s">
        <v>1051</v>
      </c>
      <c r="FE465" t="s">
        <v>1050</v>
      </c>
      <c r="FF465">
        <v>0</v>
      </c>
      <c r="FG465" t="s">
        <v>1050</v>
      </c>
      <c r="FJ465">
        <v>0</v>
      </c>
      <c r="FK465">
        <v>0</v>
      </c>
      <c r="FP465">
        <v>0</v>
      </c>
      <c r="FR465">
        <v>0</v>
      </c>
      <c r="FS465" t="s">
        <v>1043</v>
      </c>
      <c r="FX465" t="s">
        <v>1042</v>
      </c>
      <c r="FZ465" t="s">
        <v>1048</v>
      </c>
      <c r="GA465">
        <v>0</v>
      </c>
      <c r="GB465" t="s">
        <v>1042</v>
      </c>
      <c r="GD465">
        <v>16</v>
      </c>
      <c r="GE465">
        <v>0</v>
      </c>
      <c r="GG465">
        <v>0</v>
      </c>
      <c r="GN465">
        <v>0</v>
      </c>
      <c r="GO465" t="s">
        <v>1063</v>
      </c>
      <c r="GQ465">
        <v>0</v>
      </c>
      <c r="GU465">
        <v>2</v>
      </c>
      <c r="GY465" t="s">
        <v>1045</v>
      </c>
      <c r="HB465">
        <v>0</v>
      </c>
      <c r="HE465">
        <v>10</v>
      </c>
      <c r="HF465">
        <v>15</v>
      </c>
      <c r="HG465">
        <v>0</v>
      </c>
      <c r="HK465" t="s">
        <v>1042</v>
      </c>
      <c r="HM465" t="s">
        <v>1047</v>
      </c>
      <c r="HN465">
        <v>0</v>
      </c>
      <c r="HP465">
        <v>0</v>
      </c>
      <c r="HQ465">
        <v>0</v>
      </c>
      <c r="HR465" t="s">
        <v>1042</v>
      </c>
      <c r="HS465" t="s">
        <v>1043</v>
      </c>
      <c r="HT465">
        <v>0</v>
      </c>
      <c r="HU465">
        <v>0</v>
      </c>
      <c r="HW465">
        <v>0</v>
      </c>
      <c r="HX465">
        <v>0</v>
      </c>
      <c r="HY465">
        <v>0</v>
      </c>
      <c r="HZ465" t="s">
        <v>1045</v>
      </c>
      <c r="IA465">
        <v>0</v>
      </c>
      <c r="IB465" t="s">
        <v>1045</v>
      </c>
      <c r="ID465" t="s">
        <v>1045</v>
      </c>
      <c r="IF465">
        <v>0</v>
      </c>
      <c r="IG465" t="s">
        <v>1042</v>
      </c>
      <c r="IH465" t="s">
        <v>1046</v>
      </c>
      <c r="II465" t="s">
        <v>1042</v>
      </c>
      <c r="IR465" t="s">
        <v>1045</v>
      </c>
      <c r="IT465">
        <v>0</v>
      </c>
      <c r="IY465" t="s">
        <v>1044</v>
      </c>
      <c r="IZ465" t="s">
        <v>1043</v>
      </c>
      <c r="JE465">
        <v>0</v>
      </c>
      <c r="JF465">
        <v>0</v>
      </c>
      <c r="JI465" t="s">
        <v>1042</v>
      </c>
      <c r="JJ465">
        <v>0</v>
      </c>
      <c r="JK465">
        <v>0</v>
      </c>
      <c r="JL465">
        <v>0</v>
      </c>
      <c r="JM465">
        <v>0</v>
      </c>
      <c r="JT465">
        <v>0</v>
      </c>
      <c r="JU465" t="s">
        <v>1042</v>
      </c>
      <c r="JW465">
        <v>0</v>
      </c>
      <c r="KA465">
        <v>0</v>
      </c>
      <c r="KF465">
        <v>0</v>
      </c>
      <c r="KG465">
        <v>0</v>
      </c>
      <c r="KH465">
        <v>0</v>
      </c>
      <c r="KI465">
        <v>0</v>
      </c>
      <c r="KS465" t="s">
        <v>1073</v>
      </c>
      <c r="KT465">
        <v>0</v>
      </c>
      <c r="KU465">
        <v>0</v>
      </c>
      <c r="KV465">
        <v>0</v>
      </c>
      <c r="KX465">
        <v>0</v>
      </c>
      <c r="KZ465">
        <v>0</v>
      </c>
      <c r="LF465">
        <v>0</v>
      </c>
      <c r="LH465">
        <v>0</v>
      </c>
      <c r="LI465">
        <v>0</v>
      </c>
    </row>
    <row r="466" spans="1:321" x14ac:dyDescent="0.35">
      <c r="A466">
        <v>1</v>
      </c>
      <c r="B466">
        <v>1276</v>
      </c>
      <c r="C466" t="s">
        <v>1192</v>
      </c>
      <c r="D466" t="s">
        <v>1061</v>
      </c>
      <c r="E466" t="s">
        <v>85</v>
      </c>
      <c r="F466">
        <v>1</v>
      </c>
      <c r="G466">
        <v>8890</v>
      </c>
      <c r="H466">
        <v>0</v>
      </c>
      <c r="I466" t="s">
        <v>1017</v>
      </c>
      <c r="L466">
        <v>0</v>
      </c>
      <c r="M466">
        <v>9.75</v>
      </c>
      <c r="N466">
        <v>0</v>
      </c>
      <c r="Q466">
        <v>511</v>
      </c>
      <c r="R466">
        <v>0</v>
      </c>
      <c r="S466">
        <v>0</v>
      </c>
      <c r="W466" t="s">
        <v>1060</v>
      </c>
      <c r="X466">
        <v>0</v>
      </c>
      <c r="Z466">
        <v>0</v>
      </c>
      <c r="AA466">
        <v>0</v>
      </c>
      <c r="AB466">
        <v>0</v>
      </c>
      <c r="AC466">
        <v>0.38950000000000001</v>
      </c>
      <c r="AD466" t="s">
        <v>1042</v>
      </c>
      <c r="AE466">
        <v>0</v>
      </c>
      <c r="AF466">
        <v>0</v>
      </c>
      <c r="AH466">
        <v>0</v>
      </c>
      <c r="AJ466">
        <v>0</v>
      </c>
      <c r="AL466">
        <v>145800</v>
      </c>
      <c r="AM466">
        <v>0</v>
      </c>
      <c r="AN466">
        <v>11501001</v>
      </c>
      <c r="AO466">
        <v>0</v>
      </c>
      <c r="AP466">
        <v>1002</v>
      </c>
      <c r="AT466">
        <v>1</v>
      </c>
      <c r="AU466" t="s">
        <v>1059</v>
      </c>
      <c r="AW466" t="s">
        <v>1053</v>
      </c>
      <c r="AX466">
        <v>0</v>
      </c>
      <c r="AY466" s="20">
        <v>43242</v>
      </c>
      <c r="BA466" s="20">
        <v>43242</v>
      </c>
      <c r="BB466" t="s">
        <v>1058</v>
      </c>
      <c r="BD466">
        <v>0</v>
      </c>
      <c r="BF466" t="s">
        <v>1044</v>
      </c>
      <c r="BG466" t="s">
        <v>1042</v>
      </c>
      <c r="BH466">
        <v>0</v>
      </c>
      <c r="BI466">
        <v>36</v>
      </c>
      <c r="BJ466">
        <v>0</v>
      </c>
      <c r="BK466">
        <v>0</v>
      </c>
      <c r="BM466" t="s">
        <v>1042</v>
      </c>
      <c r="BN466">
        <v>0</v>
      </c>
      <c r="BR466" t="s">
        <v>1043</v>
      </c>
      <c r="BS466" t="s">
        <v>1043</v>
      </c>
      <c r="BT466" t="s">
        <v>1043</v>
      </c>
      <c r="BV466">
        <v>1</v>
      </c>
      <c r="BW466">
        <v>2</v>
      </c>
      <c r="BY466">
        <v>69</v>
      </c>
      <c r="CA466">
        <v>0</v>
      </c>
      <c r="CB466" t="s">
        <v>1043</v>
      </c>
      <c r="CE466" t="s">
        <v>1043</v>
      </c>
      <c r="CH466" t="s">
        <v>1043</v>
      </c>
      <c r="CN466" t="s">
        <v>1056</v>
      </c>
      <c r="CO466" t="s">
        <v>1043</v>
      </c>
      <c r="CP466">
        <v>1</v>
      </c>
      <c r="CQ466">
        <v>0</v>
      </c>
      <c r="CS466">
        <v>0</v>
      </c>
      <c r="CT466">
        <v>0</v>
      </c>
      <c r="CU466">
        <v>0</v>
      </c>
      <c r="CW466">
        <v>0</v>
      </c>
      <c r="CX466">
        <v>0</v>
      </c>
      <c r="CY466">
        <v>0</v>
      </c>
      <c r="CZ466">
        <v>0</v>
      </c>
      <c r="DB466">
        <v>0</v>
      </c>
      <c r="DC466" t="s">
        <v>1043</v>
      </c>
      <c r="DF466" t="s">
        <v>1055</v>
      </c>
      <c r="DH466">
        <v>0</v>
      </c>
      <c r="DJ466">
        <v>0</v>
      </c>
      <c r="DK466" t="s">
        <v>1053</v>
      </c>
      <c r="DL466">
        <v>0</v>
      </c>
      <c r="DN466">
        <v>0</v>
      </c>
      <c r="DO466" t="s">
        <v>1042</v>
      </c>
      <c r="DP466">
        <v>0</v>
      </c>
      <c r="DQ466">
        <v>7.6</v>
      </c>
      <c r="DS466">
        <v>0</v>
      </c>
      <c r="DU466">
        <v>1.65</v>
      </c>
      <c r="DW466">
        <v>0</v>
      </c>
      <c r="DX466" t="s">
        <v>1043</v>
      </c>
      <c r="DY466">
        <v>0</v>
      </c>
      <c r="DZ466">
        <v>0</v>
      </c>
      <c r="EA466">
        <v>0</v>
      </c>
      <c r="ED466" t="s">
        <v>1045</v>
      </c>
      <c r="EE466">
        <v>0</v>
      </c>
      <c r="EF466">
        <v>0</v>
      </c>
      <c r="EK466" t="s">
        <v>1054</v>
      </c>
      <c r="EN466" t="s">
        <v>1012</v>
      </c>
      <c r="EQ466" t="s">
        <v>1044</v>
      </c>
      <c r="ES466" t="s">
        <v>1053</v>
      </c>
      <c r="ET466">
        <v>0</v>
      </c>
      <c r="EV466">
        <v>0</v>
      </c>
      <c r="EY466" t="s">
        <v>1052</v>
      </c>
      <c r="EZ466">
        <v>0</v>
      </c>
      <c r="FA466" t="s">
        <v>1043</v>
      </c>
      <c r="FB466">
        <v>0</v>
      </c>
      <c r="FC466">
        <v>0</v>
      </c>
      <c r="FD466" t="s">
        <v>1051</v>
      </c>
      <c r="FE466" t="s">
        <v>1050</v>
      </c>
      <c r="FF466">
        <v>0</v>
      </c>
      <c r="FG466" t="s">
        <v>1050</v>
      </c>
      <c r="FJ466">
        <v>0</v>
      </c>
      <c r="FK466">
        <v>0</v>
      </c>
      <c r="FP466">
        <v>0</v>
      </c>
      <c r="FR466">
        <v>0</v>
      </c>
      <c r="FS466" t="s">
        <v>1043</v>
      </c>
      <c r="FX466" t="s">
        <v>1042</v>
      </c>
      <c r="FZ466" t="s">
        <v>1048</v>
      </c>
      <c r="GA466">
        <v>0</v>
      </c>
      <c r="GB466" t="s">
        <v>1042</v>
      </c>
      <c r="GD466">
        <v>16</v>
      </c>
      <c r="GE466">
        <v>0</v>
      </c>
      <c r="GG466">
        <v>0</v>
      </c>
      <c r="GN466">
        <v>0</v>
      </c>
      <c r="GO466" t="s">
        <v>1049</v>
      </c>
      <c r="GQ466">
        <v>0</v>
      </c>
      <c r="GU466">
        <v>2</v>
      </c>
      <c r="GY466" t="s">
        <v>1045</v>
      </c>
      <c r="HB466">
        <v>0</v>
      </c>
      <c r="HE466">
        <v>10</v>
      </c>
      <c r="HF466">
        <v>15</v>
      </c>
      <c r="HG466">
        <v>0</v>
      </c>
      <c r="HK466" t="s">
        <v>1042</v>
      </c>
      <c r="HM466" t="s">
        <v>1047</v>
      </c>
      <c r="HN466">
        <v>0</v>
      </c>
      <c r="HP466">
        <v>0</v>
      </c>
      <c r="HQ466">
        <v>0</v>
      </c>
      <c r="HR466" t="s">
        <v>1042</v>
      </c>
      <c r="HS466" t="s">
        <v>1043</v>
      </c>
      <c r="HT466">
        <v>0</v>
      </c>
      <c r="HU466">
        <v>0</v>
      </c>
      <c r="HW466">
        <v>0</v>
      </c>
      <c r="HX466">
        <v>0</v>
      </c>
      <c r="HY466">
        <v>0</v>
      </c>
      <c r="HZ466" t="s">
        <v>1045</v>
      </c>
      <c r="IA466">
        <v>0</v>
      </c>
      <c r="IB466" t="s">
        <v>1045</v>
      </c>
      <c r="ID466" t="s">
        <v>1045</v>
      </c>
      <c r="IF466">
        <v>0</v>
      </c>
      <c r="IG466" t="s">
        <v>1042</v>
      </c>
      <c r="IH466" t="s">
        <v>1046</v>
      </c>
      <c r="II466" t="s">
        <v>1042</v>
      </c>
      <c r="IR466" t="s">
        <v>1045</v>
      </c>
      <c r="IT466">
        <v>0</v>
      </c>
      <c r="IY466" t="s">
        <v>1044</v>
      </c>
      <c r="IZ466" t="s">
        <v>1043</v>
      </c>
      <c r="JE466">
        <v>0</v>
      </c>
      <c r="JF466">
        <v>0</v>
      </c>
      <c r="JI466" t="s">
        <v>1042</v>
      </c>
      <c r="JJ466">
        <v>0</v>
      </c>
      <c r="JK466">
        <v>0</v>
      </c>
      <c r="JL466">
        <v>0</v>
      </c>
      <c r="JM466">
        <v>0</v>
      </c>
      <c r="JT466">
        <v>0</v>
      </c>
      <c r="JU466" t="s">
        <v>1042</v>
      </c>
      <c r="JW466">
        <v>0</v>
      </c>
      <c r="KA466">
        <v>0</v>
      </c>
      <c r="KF466">
        <v>0</v>
      </c>
      <c r="KG466">
        <v>0</v>
      </c>
      <c r="KH466">
        <v>0</v>
      </c>
      <c r="KI466">
        <v>0</v>
      </c>
      <c r="KS466" t="s">
        <v>1073</v>
      </c>
      <c r="KT466">
        <v>0</v>
      </c>
      <c r="KU466">
        <v>0</v>
      </c>
      <c r="KV466">
        <v>0</v>
      </c>
      <c r="KX466">
        <v>0</v>
      </c>
      <c r="KZ466">
        <v>0</v>
      </c>
      <c r="LF466">
        <v>0</v>
      </c>
      <c r="LH466">
        <v>0</v>
      </c>
      <c r="LI466">
        <v>0</v>
      </c>
    </row>
    <row r="467" spans="1:321" x14ac:dyDescent="0.35">
      <c r="A467">
        <v>1</v>
      </c>
      <c r="B467">
        <v>1277</v>
      </c>
      <c r="C467" t="s">
        <v>656</v>
      </c>
      <c r="D467" t="s">
        <v>1061</v>
      </c>
      <c r="E467" t="s">
        <v>85</v>
      </c>
      <c r="F467">
        <v>1</v>
      </c>
      <c r="G467">
        <v>240</v>
      </c>
      <c r="H467">
        <v>0</v>
      </c>
      <c r="I467" t="s">
        <v>1017</v>
      </c>
      <c r="L467">
        <v>0</v>
      </c>
      <c r="M467">
        <v>9.75</v>
      </c>
      <c r="N467">
        <v>0</v>
      </c>
      <c r="Q467">
        <v>511</v>
      </c>
      <c r="R467">
        <v>0</v>
      </c>
      <c r="S467">
        <v>0</v>
      </c>
      <c r="W467" t="s">
        <v>1060</v>
      </c>
      <c r="X467">
        <v>0</v>
      </c>
      <c r="Z467">
        <v>8</v>
      </c>
      <c r="AA467">
        <v>348.53429999999997</v>
      </c>
      <c r="AB467">
        <v>153</v>
      </c>
      <c r="AC467">
        <v>3.2791999999999999</v>
      </c>
      <c r="AD467" t="s">
        <v>1042</v>
      </c>
      <c r="AE467">
        <v>0</v>
      </c>
      <c r="AF467">
        <v>0.83819999999999995</v>
      </c>
      <c r="AH467">
        <v>18</v>
      </c>
      <c r="AJ467">
        <v>0</v>
      </c>
      <c r="AL467">
        <v>145800</v>
      </c>
      <c r="AM467">
        <v>640</v>
      </c>
      <c r="AN467">
        <v>11501001</v>
      </c>
      <c r="AO467">
        <v>0</v>
      </c>
      <c r="AP467">
        <v>1002</v>
      </c>
      <c r="AT467">
        <v>1</v>
      </c>
      <c r="AU467" t="s">
        <v>1059</v>
      </c>
      <c r="AW467" t="s">
        <v>1053</v>
      </c>
      <c r="AX467">
        <v>5</v>
      </c>
      <c r="AY467" s="20">
        <v>43274</v>
      </c>
      <c r="BA467" s="20">
        <v>44420</v>
      </c>
      <c r="BB467" t="s">
        <v>1058</v>
      </c>
      <c r="BD467">
        <v>0</v>
      </c>
      <c r="BF467" t="s">
        <v>1044</v>
      </c>
      <c r="BG467" t="s">
        <v>1042</v>
      </c>
      <c r="BH467">
        <v>0</v>
      </c>
      <c r="BI467">
        <v>36</v>
      </c>
      <c r="BJ467">
        <v>0</v>
      </c>
      <c r="BK467">
        <v>0</v>
      </c>
      <c r="BM467" s="20">
        <v>43535</v>
      </c>
      <c r="BN467">
        <v>0</v>
      </c>
      <c r="BO467">
        <v>7897801318235</v>
      </c>
      <c r="BR467" t="s">
        <v>1043</v>
      </c>
      <c r="BS467" t="s">
        <v>1043</v>
      </c>
      <c r="BT467" t="s">
        <v>1043</v>
      </c>
      <c r="BV467">
        <v>1</v>
      </c>
      <c r="BW467">
        <v>2</v>
      </c>
      <c r="BY467">
        <v>78</v>
      </c>
      <c r="CA467">
        <v>0</v>
      </c>
      <c r="CB467" t="s">
        <v>1043</v>
      </c>
      <c r="CE467" t="s">
        <v>1043</v>
      </c>
      <c r="CH467" t="s">
        <v>1043</v>
      </c>
      <c r="CN467" t="s">
        <v>1056</v>
      </c>
      <c r="CO467" t="s">
        <v>1043</v>
      </c>
      <c r="CP467">
        <v>1</v>
      </c>
      <c r="CQ467">
        <v>0</v>
      </c>
      <c r="CS467">
        <v>0</v>
      </c>
      <c r="CT467">
        <v>0</v>
      </c>
      <c r="CU467">
        <v>0</v>
      </c>
      <c r="CW467">
        <v>0</v>
      </c>
      <c r="CX467">
        <v>0</v>
      </c>
      <c r="CY467">
        <v>0</v>
      </c>
      <c r="CZ467">
        <v>0</v>
      </c>
      <c r="DA467">
        <v>11</v>
      </c>
      <c r="DB467">
        <v>0</v>
      </c>
      <c r="DC467" t="s">
        <v>1043</v>
      </c>
      <c r="DF467" t="s">
        <v>1055</v>
      </c>
      <c r="DH467">
        <v>0</v>
      </c>
      <c r="DJ467">
        <v>0</v>
      </c>
      <c r="DK467" t="s">
        <v>1053</v>
      </c>
      <c r="DL467">
        <v>0</v>
      </c>
      <c r="DN467">
        <v>0</v>
      </c>
      <c r="DO467" t="s">
        <v>1042</v>
      </c>
      <c r="DP467">
        <v>0</v>
      </c>
      <c r="DQ467">
        <v>7.6</v>
      </c>
      <c r="DS467">
        <v>0</v>
      </c>
      <c r="DU467">
        <v>1.65</v>
      </c>
      <c r="DW467">
        <v>0</v>
      </c>
      <c r="DX467" t="s">
        <v>1043</v>
      </c>
      <c r="DY467">
        <v>0</v>
      </c>
      <c r="DZ467">
        <v>0</v>
      </c>
      <c r="EA467">
        <v>0</v>
      </c>
      <c r="EB467">
        <v>17897801318232</v>
      </c>
      <c r="ED467" t="s">
        <v>1045</v>
      </c>
      <c r="EE467">
        <v>0</v>
      </c>
      <c r="EF467">
        <v>0</v>
      </c>
      <c r="EK467" t="s">
        <v>1054</v>
      </c>
      <c r="EL467">
        <v>57897801318230</v>
      </c>
      <c r="EN467" t="s">
        <v>1012</v>
      </c>
      <c r="EQ467" t="s">
        <v>1044</v>
      </c>
      <c r="ES467" t="s">
        <v>1053</v>
      </c>
      <c r="ET467">
        <v>0</v>
      </c>
      <c r="EV467">
        <v>0</v>
      </c>
      <c r="EY467" t="s">
        <v>1052</v>
      </c>
      <c r="EZ467">
        <v>0</v>
      </c>
      <c r="FA467" t="s">
        <v>1043</v>
      </c>
      <c r="FB467">
        <v>0</v>
      </c>
      <c r="FC467">
        <v>0</v>
      </c>
      <c r="FD467" t="s">
        <v>1051</v>
      </c>
      <c r="FE467" t="s">
        <v>1050</v>
      </c>
      <c r="FF467">
        <v>0</v>
      </c>
      <c r="FG467" t="s">
        <v>1050</v>
      </c>
      <c r="FH467">
        <v>27897801318239</v>
      </c>
      <c r="FJ467">
        <v>0</v>
      </c>
      <c r="FK467">
        <v>0</v>
      </c>
      <c r="FP467">
        <v>0</v>
      </c>
      <c r="FR467">
        <v>0</v>
      </c>
      <c r="FS467" t="s">
        <v>1043</v>
      </c>
      <c r="FX467" t="s">
        <v>1042</v>
      </c>
      <c r="FZ467" t="s">
        <v>1048</v>
      </c>
      <c r="GA467">
        <v>0</v>
      </c>
      <c r="GB467" t="s">
        <v>1042</v>
      </c>
      <c r="GD467">
        <v>16</v>
      </c>
      <c r="GE467">
        <v>0</v>
      </c>
      <c r="GG467">
        <v>0</v>
      </c>
      <c r="GN467">
        <v>0</v>
      </c>
      <c r="GO467" t="s">
        <v>1049</v>
      </c>
      <c r="GQ467">
        <v>0</v>
      </c>
      <c r="GU467">
        <v>2</v>
      </c>
      <c r="GY467" t="s">
        <v>1045</v>
      </c>
      <c r="HB467">
        <v>0</v>
      </c>
      <c r="HE467">
        <v>10</v>
      </c>
      <c r="HF467">
        <v>15</v>
      </c>
      <c r="HG467">
        <v>4.9889999999999997E-2</v>
      </c>
      <c r="HK467" t="s">
        <v>1042</v>
      </c>
      <c r="HL467" t="s">
        <v>1048</v>
      </c>
      <c r="HM467" t="s">
        <v>1047</v>
      </c>
      <c r="HN467">
        <v>0</v>
      </c>
      <c r="HO467">
        <v>28</v>
      </c>
      <c r="HP467">
        <v>0.30249999999999999</v>
      </c>
      <c r="HQ467">
        <v>0</v>
      </c>
      <c r="HR467" t="s">
        <v>1042</v>
      </c>
      <c r="HS467" t="s">
        <v>1043</v>
      </c>
      <c r="HT467">
        <v>0</v>
      </c>
      <c r="HU467">
        <v>0</v>
      </c>
      <c r="HW467">
        <v>0</v>
      </c>
      <c r="HX467">
        <v>357</v>
      </c>
      <c r="HY467">
        <v>0</v>
      </c>
      <c r="HZ467" t="s">
        <v>1045</v>
      </c>
      <c r="IA467">
        <v>0</v>
      </c>
      <c r="IB467" t="s">
        <v>1045</v>
      </c>
      <c r="ID467" t="s">
        <v>1045</v>
      </c>
      <c r="IF467">
        <v>216</v>
      </c>
      <c r="IG467" s="20">
        <v>43551</v>
      </c>
      <c r="IH467" t="s">
        <v>1046</v>
      </c>
      <c r="II467" t="s">
        <v>1042</v>
      </c>
      <c r="IR467" t="s">
        <v>1045</v>
      </c>
      <c r="IT467">
        <v>0</v>
      </c>
      <c r="IY467" t="s">
        <v>1044</v>
      </c>
      <c r="IZ467" t="s">
        <v>1043</v>
      </c>
      <c r="JE467">
        <v>0</v>
      </c>
      <c r="JF467">
        <v>0</v>
      </c>
      <c r="JI467" t="s">
        <v>1042</v>
      </c>
      <c r="JJ467">
        <v>0</v>
      </c>
      <c r="JK467">
        <v>0</v>
      </c>
      <c r="JL467">
        <v>0</v>
      </c>
      <c r="JM467">
        <v>0</v>
      </c>
      <c r="JT467">
        <v>0</v>
      </c>
      <c r="JU467" t="s">
        <v>1042</v>
      </c>
      <c r="JW467">
        <v>0</v>
      </c>
      <c r="KA467">
        <v>0</v>
      </c>
      <c r="KF467">
        <v>0</v>
      </c>
      <c r="KG467">
        <v>0</v>
      </c>
      <c r="KH467">
        <v>0</v>
      </c>
      <c r="KI467">
        <v>0</v>
      </c>
      <c r="KS467" t="s">
        <v>1073</v>
      </c>
      <c r="KT467">
        <v>0</v>
      </c>
      <c r="KU467">
        <v>0</v>
      </c>
      <c r="KV467">
        <v>0</v>
      </c>
      <c r="KX467">
        <v>0</v>
      </c>
      <c r="KZ467">
        <v>0</v>
      </c>
      <c r="LF467">
        <v>0</v>
      </c>
      <c r="LH467">
        <v>20160</v>
      </c>
      <c r="LI467">
        <v>0</v>
      </c>
    </row>
    <row r="468" spans="1:321" x14ac:dyDescent="0.35">
      <c r="A468">
        <v>1</v>
      </c>
      <c r="B468" t="s">
        <v>1219</v>
      </c>
      <c r="C468" t="s">
        <v>656</v>
      </c>
      <c r="D468" t="s">
        <v>1064</v>
      </c>
      <c r="E468" t="s">
        <v>85</v>
      </c>
      <c r="F468">
        <v>1</v>
      </c>
      <c r="G468">
        <v>240</v>
      </c>
      <c r="H468">
        <v>0</v>
      </c>
      <c r="I468" t="s">
        <v>1017</v>
      </c>
      <c r="L468">
        <v>0</v>
      </c>
      <c r="M468">
        <v>9.75</v>
      </c>
      <c r="N468">
        <v>0</v>
      </c>
      <c r="Q468">
        <v>511</v>
      </c>
      <c r="R468">
        <v>0</v>
      </c>
      <c r="S468">
        <v>0</v>
      </c>
      <c r="W468" t="s">
        <v>1060</v>
      </c>
      <c r="X468">
        <v>0</v>
      </c>
      <c r="Z468">
        <v>8</v>
      </c>
      <c r="AA468">
        <v>168.66200000000001</v>
      </c>
      <c r="AB468">
        <v>0</v>
      </c>
      <c r="AC468">
        <v>3.2791999999999999</v>
      </c>
      <c r="AD468" t="s">
        <v>1042</v>
      </c>
      <c r="AE468">
        <v>0</v>
      </c>
      <c r="AF468">
        <v>0.83819999999999995</v>
      </c>
      <c r="AH468">
        <v>0</v>
      </c>
      <c r="AJ468">
        <v>0</v>
      </c>
      <c r="AL468">
        <v>145800</v>
      </c>
      <c r="AM468">
        <v>24</v>
      </c>
      <c r="AN468">
        <v>11501001</v>
      </c>
      <c r="AO468">
        <v>0</v>
      </c>
      <c r="AP468">
        <v>2720</v>
      </c>
      <c r="AT468">
        <v>1</v>
      </c>
      <c r="AU468" t="s">
        <v>1059</v>
      </c>
      <c r="AW468" t="s">
        <v>1053</v>
      </c>
      <c r="AX468">
        <v>5</v>
      </c>
      <c r="AY468" s="20">
        <v>43868</v>
      </c>
      <c r="BA468" s="20">
        <v>43868</v>
      </c>
      <c r="BB468" t="s">
        <v>1058</v>
      </c>
      <c r="BD468">
        <v>0</v>
      </c>
      <c r="BF468" t="s">
        <v>1044</v>
      </c>
      <c r="BG468" t="s">
        <v>1042</v>
      </c>
      <c r="BH468">
        <v>0</v>
      </c>
      <c r="BI468">
        <v>36</v>
      </c>
      <c r="BJ468">
        <v>0</v>
      </c>
      <c r="BK468">
        <v>0</v>
      </c>
      <c r="BM468" t="s">
        <v>1042</v>
      </c>
      <c r="BN468">
        <v>0</v>
      </c>
      <c r="BR468" t="s">
        <v>1043</v>
      </c>
      <c r="BS468" t="s">
        <v>1043</v>
      </c>
      <c r="BT468" t="s">
        <v>1043</v>
      </c>
      <c r="BV468">
        <v>1</v>
      </c>
      <c r="BW468">
        <v>2</v>
      </c>
      <c r="BY468">
        <v>78</v>
      </c>
      <c r="CA468">
        <v>0</v>
      </c>
      <c r="CB468" t="s">
        <v>1043</v>
      </c>
      <c r="CE468" t="s">
        <v>1043</v>
      </c>
      <c r="CH468" t="s">
        <v>1043</v>
      </c>
      <c r="CN468" t="s">
        <v>1056</v>
      </c>
      <c r="CO468" t="s">
        <v>1043</v>
      </c>
      <c r="CP468">
        <v>1</v>
      </c>
      <c r="CQ468">
        <v>0</v>
      </c>
      <c r="CS468">
        <v>0</v>
      </c>
      <c r="CT468">
        <v>0</v>
      </c>
      <c r="CU468">
        <v>0</v>
      </c>
      <c r="CW468">
        <v>0</v>
      </c>
      <c r="CX468">
        <v>0</v>
      </c>
      <c r="CY468">
        <v>0</v>
      </c>
      <c r="CZ468">
        <v>0</v>
      </c>
      <c r="DB468">
        <v>0</v>
      </c>
      <c r="DC468" t="s">
        <v>1043</v>
      </c>
      <c r="DF468" t="s">
        <v>1055</v>
      </c>
      <c r="DH468">
        <v>0</v>
      </c>
      <c r="DJ468">
        <v>0</v>
      </c>
      <c r="DK468" t="s">
        <v>1053</v>
      </c>
      <c r="DL468">
        <v>0</v>
      </c>
      <c r="DN468">
        <v>0</v>
      </c>
      <c r="DO468" t="s">
        <v>1042</v>
      </c>
      <c r="DP468">
        <v>0</v>
      </c>
      <c r="DQ468">
        <v>7.6</v>
      </c>
      <c r="DS468">
        <v>0</v>
      </c>
      <c r="DU468">
        <v>1.65</v>
      </c>
      <c r="DW468">
        <v>0</v>
      </c>
      <c r="DX468" t="s">
        <v>1043</v>
      </c>
      <c r="DY468">
        <v>0</v>
      </c>
      <c r="DZ468">
        <v>0</v>
      </c>
      <c r="EA468">
        <v>0</v>
      </c>
      <c r="ED468" t="s">
        <v>1045</v>
      </c>
      <c r="EE468">
        <v>0</v>
      </c>
      <c r="EF468">
        <v>0</v>
      </c>
      <c r="EK468" t="s">
        <v>1054</v>
      </c>
      <c r="EL468">
        <v>0</v>
      </c>
      <c r="EN468" t="s">
        <v>1012</v>
      </c>
      <c r="EQ468" t="s">
        <v>1044</v>
      </c>
      <c r="ES468" t="s">
        <v>1053</v>
      </c>
      <c r="ET468">
        <v>0</v>
      </c>
      <c r="EV468">
        <v>0</v>
      </c>
      <c r="EY468" t="s">
        <v>1052</v>
      </c>
      <c r="EZ468">
        <v>0</v>
      </c>
      <c r="FA468" t="s">
        <v>1043</v>
      </c>
      <c r="FB468">
        <v>0</v>
      </c>
      <c r="FC468">
        <v>0</v>
      </c>
      <c r="FD468" t="s">
        <v>1051</v>
      </c>
      <c r="FE468" t="s">
        <v>1050</v>
      </c>
      <c r="FF468">
        <v>0</v>
      </c>
      <c r="FG468" t="s">
        <v>1050</v>
      </c>
      <c r="FJ468">
        <v>0</v>
      </c>
      <c r="FK468">
        <v>0</v>
      </c>
      <c r="FP468">
        <v>0</v>
      </c>
      <c r="FR468">
        <v>0</v>
      </c>
      <c r="FS468" t="s">
        <v>1043</v>
      </c>
      <c r="FX468" t="s">
        <v>1042</v>
      </c>
      <c r="FZ468" t="s">
        <v>1048</v>
      </c>
      <c r="GA468">
        <v>0</v>
      </c>
      <c r="GB468" t="s">
        <v>1042</v>
      </c>
      <c r="GD468">
        <v>16</v>
      </c>
      <c r="GE468">
        <v>0</v>
      </c>
      <c r="GG468">
        <v>0</v>
      </c>
      <c r="GN468">
        <v>0</v>
      </c>
      <c r="GO468" t="s">
        <v>1063</v>
      </c>
      <c r="GQ468">
        <v>0</v>
      </c>
      <c r="GU468">
        <v>2</v>
      </c>
      <c r="GY468" t="s">
        <v>1045</v>
      </c>
      <c r="HB468">
        <v>0</v>
      </c>
      <c r="HE468">
        <v>10</v>
      </c>
      <c r="HF468">
        <v>15</v>
      </c>
      <c r="HG468">
        <v>4.9889999999999997E-2</v>
      </c>
      <c r="HK468" t="s">
        <v>1042</v>
      </c>
      <c r="HL468" t="s">
        <v>1048</v>
      </c>
      <c r="HM468" t="s">
        <v>1047</v>
      </c>
      <c r="HN468">
        <v>0</v>
      </c>
      <c r="HP468">
        <v>0.83819999999999995</v>
      </c>
      <c r="HQ468">
        <v>0</v>
      </c>
      <c r="HR468" t="s">
        <v>1042</v>
      </c>
      <c r="HS468" t="s">
        <v>1043</v>
      </c>
      <c r="HT468">
        <v>0</v>
      </c>
      <c r="HU468">
        <v>0</v>
      </c>
      <c r="HW468">
        <v>0</v>
      </c>
      <c r="HX468">
        <v>0</v>
      </c>
      <c r="HY468">
        <v>0</v>
      </c>
      <c r="HZ468" t="s">
        <v>1045</v>
      </c>
      <c r="IA468">
        <v>0</v>
      </c>
      <c r="IB468" t="s">
        <v>1045</v>
      </c>
      <c r="ID468" t="s">
        <v>1045</v>
      </c>
      <c r="IF468">
        <v>216</v>
      </c>
      <c r="IG468" s="20">
        <v>43551</v>
      </c>
      <c r="IH468" t="s">
        <v>1046</v>
      </c>
      <c r="II468" t="s">
        <v>1042</v>
      </c>
      <c r="IR468" t="s">
        <v>1045</v>
      </c>
      <c r="IT468">
        <v>0</v>
      </c>
      <c r="IY468" t="s">
        <v>1044</v>
      </c>
      <c r="IZ468" t="s">
        <v>1043</v>
      </c>
      <c r="JE468">
        <v>0</v>
      </c>
      <c r="JF468">
        <v>0</v>
      </c>
      <c r="JI468" t="s">
        <v>1042</v>
      </c>
      <c r="JJ468">
        <v>0</v>
      </c>
      <c r="JK468">
        <v>0</v>
      </c>
      <c r="JL468">
        <v>0</v>
      </c>
      <c r="JM468">
        <v>0</v>
      </c>
      <c r="JT468">
        <v>0</v>
      </c>
      <c r="JU468" t="s">
        <v>1042</v>
      </c>
      <c r="JW468">
        <v>0</v>
      </c>
      <c r="KA468">
        <v>0</v>
      </c>
      <c r="KF468">
        <v>0</v>
      </c>
      <c r="KG468">
        <v>0</v>
      </c>
      <c r="KH468">
        <v>0</v>
      </c>
      <c r="KI468">
        <v>0</v>
      </c>
      <c r="KS468" t="s">
        <v>1073</v>
      </c>
      <c r="KT468">
        <v>0</v>
      </c>
      <c r="KU468">
        <v>0</v>
      </c>
      <c r="KV468">
        <v>0</v>
      </c>
      <c r="KX468">
        <v>0</v>
      </c>
      <c r="KZ468">
        <v>0</v>
      </c>
      <c r="LF468">
        <v>0</v>
      </c>
      <c r="LH468">
        <v>0</v>
      </c>
      <c r="LI468">
        <v>0</v>
      </c>
    </row>
    <row r="469" spans="1:321" x14ac:dyDescent="0.35">
      <c r="A469">
        <v>1</v>
      </c>
      <c r="B469">
        <v>1278</v>
      </c>
      <c r="C469" t="s">
        <v>657</v>
      </c>
      <c r="D469" t="s">
        <v>1061</v>
      </c>
      <c r="E469" t="s">
        <v>85</v>
      </c>
      <c r="F469">
        <v>1</v>
      </c>
      <c r="G469">
        <v>240</v>
      </c>
      <c r="H469">
        <v>0</v>
      </c>
      <c r="I469" t="s">
        <v>1017</v>
      </c>
      <c r="L469">
        <v>0</v>
      </c>
      <c r="M469">
        <v>9.75</v>
      </c>
      <c r="N469">
        <v>0</v>
      </c>
      <c r="Q469">
        <v>511</v>
      </c>
      <c r="R469">
        <v>0</v>
      </c>
      <c r="S469">
        <v>0</v>
      </c>
      <c r="W469" t="s">
        <v>1060</v>
      </c>
      <c r="X469">
        <v>0</v>
      </c>
      <c r="Z469">
        <v>4</v>
      </c>
      <c r="AA469">
        <v>470.74860000000001</v>
      </c>
      <c r="AB469">
        <v>85</v>
      </c>
      <c r="AC469">
        <v>21.57</v>
      </c>
      <c r="AD469" t="s">
        <v>1042</v>
      </c>
      <c r="AE469">
        <v>0</v>
      </c>
      <c r="AF469">
        <v>1.1720999999999999</v>
      </c>
      <c r="AH469">
        <v>11</v>
      </c>
      <c r="AJ469">
        <v>0</v>
      </c>
      <c r="AL469">
        <v>145800</v>
      </c>
      <c r="AM469">
        <v>480</v>
      </c>
      <c r="AN469">
        <v>11501001</v>
      </c>
      <c r="AO469">
        <v>0</v>
      </c>
      <c r="AP469">
        <v>1002</v>
      </c>
      <c r="AT469">
        <v>1</v>
      </c>
      <c r="AU469" t="s">
        <v>1059</v>
      </c>
      <c r="AW469" t="s">
        <v>1053</v>
      </c>
      <c r="AX469">
        <v>5</v>
      </c>
      <c r="AY469" s="20">
        <v>43242</v>
      </c>
      <c r="BA469" s="20">
        <v>44420</v>
      </c>
      <c r="BB469" t="s">
        <v>1058</v>
      </c>
      <c r="BD469">
        <v>0</v>
      </c>
      <c r="BF469" t="s">
        <v>1044</v>
      </c>
      <c r="BG469" t="s">
        <v>1042</v>
      </c>
      <c r="BH469">
        <v>0</v>
      </c>
      <c r="BI469">
        <v>36</v>
      </c>
      <c r="BJ469">
        <v>0</v>
      </c>
      <c r="BK469">
        <v>0</v>
      </c>
      <c r="BM469" s="20">
        <v>43858</v>
      </c>
      <c r="BN469">
        <v>0</v>
      </c>
      <c r="BO469">
        <v>7897801318242</v>
      </c>
      <c r="BR469" t="s">
        <v>1043</v>
      </c>
      <c r="BS469" t="s">
        <v>1043</v>
      </c>
      <c r="BT469" t="s">
        <v>1043</v>
      </c>
      <c r="BV469">
        <v>1</v>
      </c>
      <c r="BW469">
        <v>2</v>
      </c>
      <c r="BY469">
        <v>78</v>
      </c>
      <c r="CA469">
        <v>0</v>
      </c>
      <c r="CB469" t="s">
        <v>1043</v>
      </c>
      <c r="CE469" t="s">
        <v>1043</v>
      </c>
      <c r="CH469" t="s">
        <v>1043</v>
      </c>
      <c r="CN469" t="s">
        <v>1056</v>
      </c>
      <c r="CO469" t="s">
        <v>1043</v>
      </c>
      <c r="CP469">
        <v>1</v>
      </c>
      <c r="CQ469">
        <v>0</v>
      </c>
      <c r="CS469">
        <v>0</v>
      </c>
      <c r="CT469">
        <v>0</v>
      </c>
      <c r="CU469">
        <v>0</v>
      </c>
      <c r="CW469">
        <v>0</v>
      </c>
      <c r="CX469">
        <v>0</v>
      </c>
      <c r="CY469">
        <v>0</v>
      </c>
      <c r="CZ469">
        <v>0</v>
      </c>
      <c r="DA469">
        <v>4</v>
      </c>
      <c r="DB469">
        <v>0</v>
      </c>
      <c r="DC469" t="s">
        <v>1043</v>
      </c>
      <c r="DF469" t="s">
        <v>1055</v>
      </c>
      <c r="DH469">
        <v>0</v>
      </c>
      <c r="DJ469">
        <v>0</v>
      </c>
      <c r="DK469" t="s">
        <v>1053</v>
      </c>
      <c r="DL469">
        <v>0</v>
      </c>
      <c r="DN469">
        <v>0</v>
      </c>
      <c r="DO469" t="s">
        <v>1042</v>
      </c>
      <c r="DP469">
        <v>0</v>
      </c>
      <c r="DQ469">
        <v>7.6</v>
      </c>
      <c r="DS469">
        <v>0</v>
      </c>
      <c r="DU469">
        <v>1.65</v>
      </c>
      <c r="DW469">
        <v>0</v>
      </c>
      <c r="DX469" t="s">
        <v>1043</v>
      </c>
      <c r="DY469">
        <v>0</v>
      </c>
      <c r="DZ469">
        <v>0</v>
      </c>
      <c r="EA469">
        <v>0</v>
      </c>
      <c r="EB469">
        <v>17897801318249</v>
      </c>
      <c r="ED469" t="s">
        <v>1045</v>
      </c>
      <c r="EE469">
        <v>0</v>
      </c>
      <c r="EF469">
        <v>0</v>
      </c>
      <c r="EK469" t="s">
        <v>1054</v>
      </c>
      <c r="EL469">
        <v>57897801318247</v>
      </c>
      <c r="EN469" t="s">
        <v>1012</v>
      </c>
      <c r="EQ469" t="s">
        <v>1044</v>
      </c>
      <c r="ES469" t="s">
        <v>1053</v>
      </c>
      <c r="ET469">
        <v>0</v>
      </c>
      <c r="EV469">
        <v>0</v>
      </c>
      <c r="EY469" t="s">
        <v>1052</v>
      </c>
      <c r="EZ469">
        <v>0</v>
      </c>
      <c r="FA469" t="s">
        <v>1043</v>
      </c>
      <c r="FB469">
        <v>0</v>
      </c>
      <c r="FC469">
        <v>0</v>
      </c>
      <c r="FD469" t="s">
        <v>1051</v>
      </c>
      <c r="FE469" t="s">
        <v>1050</v>
      </c>
      <c r="FF469">
        <v>0</v>
      </c>
      <c r="FG469" t="s">
        <v>1050</v>
      </c>
      <c r="FH469">
        <v>27897801318246</v>
      </c>
      <c r="FJ469">
        <v>0</v>
      </c>
      <c r="FK469">
        <v>0</v>
      </c>
      <c r="FP469">
        <v>0</v>
      </c>
      <c r="FR469">
        <v>0</v>
      </c>
      <c r="FS469" t="s">
        <v>1043</v>
      </c>
      <c r="FX469" t="s">
        <v>1042</v>
      </c>
      <c r="FZ469" t="s">
        <v>1048</v>
      </c>
      <c r="GA469">
        <v>0</v>
      </c>
      <c r="GB469" t="s">
        <v>1042</v>
      </c>
      <c r="GD469">
        <v>16</v>
      </c>
      <c r="GE469">
        <v>0</v>
      </c>
      <c r="GG469">
        <v>0</v>
      </c>
      <c r="GN469">
        <v>0</v>
      </c>
      <c r="GO469" t="s">
        <v>1049</v>
      </c>
      <c r="GQ469">
        <v>0</v>
      </c>
      <c r="GU469">
        <v>2</v>
      </c>
      <c r="GY469" t="s">
        <v>1045</v>
      </c>
      <c r="HB469">
        <v>0</v>
      </c>
      <c r="HE469">
        <v>10</v>
      </c>
      <c r="HF469">
        <v>15</v>
      </c>
      <c r="HG469">
        <v>3.3369999999999997E-2</v>
      </c>
      <c r="HK469" t="s">
        <v>1042</v>
      </c>
      <c r="HM469" t="s">
        <v>1047</v>
      </c>
      <c r="HN469">
        <v>0</v>
      </c>
      <c r="HO469">
        <v>28</v>
      </c>
      <c r="HP469">
        <v>0.44850000000000001</v>
      </c>
      <c r="HQ469">
        <v>0</v>
      </c>
      <c r="HR469" t="s">
        <v>1042</v>
      </c>
      <c r="HS469" t="s">
        <v>1043</v>
      </c>
      <c r="HT469">
        <v>0</v>
      </c>
      <c r="HU469">
        <v>0</v>
      </c>
      <c r="HW469">
        <v>0</v>
      </c>
      <c r="HX469">
        <v>198</v>
      </c>
      <c r="HY469">
        <v>0</v>
      </c>
      <c r="HZ469" t="s">
        <v>1045</v>
      </c>
      <c r="IA469">
        <v>0</v>
      </c>
      <c r="IB469" t="s">
        <v>1045</v>
      </c>
      <c r="ID469" t="s">
        <v>1045</v>
      </c>
      <c r="IF469">
        <v>180</v>
      </c>
      <c r="IG469" s="20">
        <v>43878</v>
      </c>
      <c r="IH469" t="s">
        <v>1046</v>
      </c>
      <c r="II469" t="s">
        <v>1042</v>
      </c>
      <c r="IR469" t="s">
        <v>1045</v>
      </c>
      <c r="IT469">
        <v>0</v>
      </c>
      <c r="IY469" t="s">
        <v>1044</v>
      </c>
      <c r="IZ469" t="s">
        <v>1043</v>
      </c>
      <c r="JE469">
        <v>0</v>
      </c>
      <c r="JF469">
        <v>0</v>
      </c>
      <c r="JI469" t="s">
        <v>1042</v>
      </c>
      <c r="JJ469">
        <v>0</v>
      </c>
      <c r="JK469">
        <v>0</v>
      </c>
      <c r="JL469">
        <v>0</v>
      </c>
      <c r="JM469">
        <v>0</v>
      </c>
      <c r="JT469">
        <v>0</v>
      </c>
      <c r="JU469" t="s">
        <v>1042</v>
      </c>
      <c r="JW469">
        <v>0</v>
      </c>
      <c r="KA469">
        <v>0</v>
      </c>
      <c r="KF469">
        <v>0</v>
      </c>
      <c r="KG469">
        <v>0</v>
      </c>
      <c r="KH469">
        <v>0</v>
      </c>
      <c r="KI469">
        <v>0</v>
      </c>
      <c r="KS469" t="s">
        <v>1073</v>
      </c>
      <c r="KT469">
        <v>0</v>
      </c>
      <c r="KU469">
        <v>0</v>
      </c>
      <c r="KV469">
        <v>0</v>
      </c>
      <c r="KX469">
        <v>0</v>
      </c>
      <c r="KZ469">
        <v>0</v>
      </c>
      <c r="LF469">
        <v>0</v>
      </c>
      <c r="LH469">
        <v>20160</v>
      </c>
      <c r="LI469">
        <v>0</v>
      </c>
    </row>
    <row r="470" spans="1:321" x14ac:dyDescent="0.35">
      <c r="A470">
        <v>1</v>
      </c>
      <c r="B470" t="s">
        <v>1218</v>
      </c>
      <c r="C470" t="s">
        <v>657</v>
      </c>
      <c r="D470" t="s">
        <v>1064</v>
      </c>
      <c r="E470" t="s">
        <v>85</v>
      </c>
      <c r="F470">
        <v>1</v>
      </c>
      <c r="G470">
        <v>240</v>
      </c>
      <c r="H470">
        <v>0</v>
      </c>
      <c r="I470" t="s">
        <v>1017</v>
      </c>
      <c r="L470">
        <v>0</v>
      </c>
      <c r="M470">
        <v>9.75</v>
      </c>
      <c r="N470">
        <v>0</v>
      </c>
      <c r="Q470">
        <v>511</v>
      </c>
      <c r="R470">
        <v>0</v>
      </c>
      <c r="S470">
        <v>0</v>
      </c>
      <c r="W470" t="s">
        <v>1060</v>
      </c>
      <c r="X470">
        <v>0</v>
      </c>
      <c r="Z470">
        <v>4</v>
      </c>
      <c r="AA470">
        <v>0</v>
      </c>
      <c r="AB470">
        <v>0</v>
      </c>
      <c r="AC470">
        <v>0.38950000000000001</v>
      </c>
      <c r="AD470" t="s">
        <v>1042</v>
      </c>
      <c r="AE470">
        <v>0</v>
      </c>
      <c r="AF470">
        <v>1.1720999999999999</v>
      </c>
      <c r="AH470">
        <v>0</v>
      </c>
      <c r="AJ470">
        <v>0</v>
      </c>
      <c r="AL470">
        <v>145800</v>
      </c>
      <c r="AM470">
        <v>24</v>
      </c>
      <c r="AN470">
        <v>11501001</v>
      </c>
      <c r="AO470">
        <v>0</v>
      </c>
      <c r="AP470">
        <v>2720</v>
      </c>
      <c r="AT470">
        <v>1</v>
      </c>
      <c r="AU470" t="s">
        <v>1059</v>
      </c>
      <c r="AW470" t="s">
        <v>1053</v>
      </c>
      <c r="AX470">
        <v>5</v>
      </c>
      <c r="AY470" s="20">
        <v>43868</v>
      </c>
      <c r="BA470" s="20">
        <v>43868</v>
      </c>
      <c r="BB470" t="s">
        <v>1058</v>
      </c>
      <c r="BD470">
        <v>0</v>
      </c>
      <c r="BF470" t="s">
        <v>1044</v>
      </c>
      <c r="BG470" t="s">
        <v>1042</v>
      </c>
      <c r="BH470">
        <v>0</v>
      </c>
      <c r="BI470">
        <v>36</v>
      </c>
      <c r="BJ470">
        <v>0</v>
      </c>
      <c r="BK470">
        <v>0</v>
      </c>
      <c r="BM470" t="s">
        <v>1042</v>
      </c>
      <c r="BN470">
        <v>0</v>
      </c>
      <c r="BR470" t="s">
        <v>1043</v>
      </c>
      <c r="BS470" t="s">
        <v>1043</v>
      </c>
      <c r="BT470" t="s">
        <v>1043</v>
      </c>
      <c r="BV470">
        <v>1</v>
      </c>
      <c r="BW470">
        <v>2</v>
      </c>
      <c r="BY470">
        <v>69</v>
      </c>
      <c r="CA470">
        <v>0</v>
      </c>
      <c r="CB470" t="s">
        <v>1043</v>
      </c>
      <c r="CE470" t="s">
        <v>1043</v>
      </c>
      <c r="CH470" t="s">
        <v>1043</v>
      </c>
      <c r="CN470" t="s">
        <v>1056</v>
      </c>
      <c r="CO470" t="s">
        <v>1043</v>
      </c>
      <c r="CP470">
        <v>1</v>
      </c>
      <c r="CQ470">
        <v>0</v>
      </c>
      <c r="CS470">
        <v>0</v>
      </c>
      <c r="CT470">
        <v>0</v>
      </c>
      <c r="CU470">
        <v>0</v>
      </c>
      <c r="CW470">
        <v>0</v>
      </c>
      <c r="CX470">
        <v>0</v>
      </c>
      <c r="CY470">
        <v>0</v>
      </c>
      <c r="CZ470">
        <v>0</v>
      </c>
      <c r="DB470">
        <v>0</v>
      </c>
      <c r="DC470" t="s">
        <v>1043</v>
      </c>
      <c r="DF470" t="s">
        <v>1055</v>
      </c>
      <c r="DH470">
        <v>0</v>
      </c>
      <c r="DJ470">
        <v>0</v>
      </c>
      <c r="DK470" t="s">
        <v>1053</v>
      </c>
      <c r="DL470">
        <v>0</v>
      </c>
      <c r="DN470">
        <v>0</v>
      </c>
      <c r="DO470" t="s">
        <v>1042</v>
      </c>
      <c r="DP470">
        <v>0</v>
      </c>
      <c r="DQ470">
        <v>7.6</v>
      </c>
      <c r="DS470">
        <v>0</v>
      </c>
      <c r="DU470">
        <v>1.65</v>
      </c>
      <c r="DW470">
        <v>0</v>
      </c>
      <c r="DX470" t="s">
        <v>1043</v>
      </c>
      <c r="DY470">
        <v>0</v>
      </c>
      <c r="DZ470">
        <v>0</v>
      </c>
      <c r="EA470">
        <v>0</v>
      </c>
      <c r="ED470" t="s">
        <v>1045</v>
      </c>
      <c r="EE470">
        <v>0</v>
      </c>
      <c r="EF470">
        <v>0</v>
      </c>
      <c r="EK470" t="s">
        <v>1054</v>
      </c>
      <c r="EL470">
        <v>0</v>
      </c>
      <c r="EN470" t="s">
        <v>1012</v>
      </c>
      <c r="EQ470" t="s">
        <v>1044</v>
      </c>
      <c r="ES470" t="s">
        <v>1053</v>
      </c>
      <c r="ET470">
        <v>0</v>
      </c>
      <c r="EV470">
        <v>0</v>
      </c>
      <c r="EY470" t="s">
        <v>1052</v>
      </c>
      <c r="EZ470">
        <v>0</v>
      </c>
      <c r="FA470" t="s">
        <v>1043</v>
      </c>
      <c r="FB470">
        <v>0</v>
      </c>
      <c r="FC470">
        <v>0</v>
      </c>
      <c r="FD470" t="s">
        <v>1051</v>
      </c>
      <c r="FE470" t="s">
        <v>1050</v>
      </c>
      <c r="FF470">
        <v>0</v>
      </c>
      <c r="FG470" t="s">
        <v>1050</v>
      </c>
      <c r="FJ470">
        <v>0</v>
      </c>
      <c r="FK470">
        <v>0</v>
      </c>
      <c r="FP470">
        <v>0</v>
      </c>
      <c r="FR470">
        <v>0</v>
      </c>
      <c r="FS470" t="s">
        <v>1043</v>
      </c>
      <c r="FX470" t="s">
        <v>1042</v>
      </c>
      <c r="FZ470" t="s">
        <v>1048</v>
      </c>
      <c r="GA470">
        <v>0</v>
      </c>
      <c r="GB470" t="s">
        <v>1042</v>
      </c>
      <c r="GD470">
        <v>1</v>
      </c>
      <c r="GE470">
        <v>0</v>
      </c>
      <c r="GG470">
        <v>0</v>
      </c>
      <c r="GN470">
        <v>0</v>
      </c>
      <c r="GO470" t="s">
        <v>1063</v>
      </c>
      <c r="GQ470">
        <v>0</v>
      </c>
      <c r="GU470">
        <v>2</v>
      </c>
      <c r="GY470" t="s">
        <v>1045</v>
      </c>
      <c r="HB470">
        <v>0</v>
      </c>
      <c r="HE470">
        <v>10</v>
      </c>
      <c r="HF470">
        <v>15</v>
      </c>
      <c r="HG470">
        <v>0</v>
      </c>
      <c r="HK470" t="s">
        <v>1042</v>
      </c>
      <c r="HM470" t="s">
        <v>1047</v>
      </c>
      <c r="HN470">
        <v>0</v>
      </c>
      <c r="HP470">
        <v>0</v>
      </c>
      <c r="HQ470">
        <v>0</v>
      </c>
      <c r="HR470" t="s">
        <v>1042</v>
      </c>
      <c r="HS470" t="s">
        <v>1043</v>
      </c>
      <c r="HT470">
        <v>0</v>
      </c>
      <c r="HU470">
        <v>0</v>
      </c>
      <c r="HW470">
        <v>0</v>
      </c>
      <c r="HX470">
        <v>0</v>
      </c>
      <c r="HY470">
        <v>0</v>
      </c>
      <c r="HZ470" t="s">
        <v>1045</v>
      </c>
      <c r="IA470">
        <v>0</v>
      </c>
      <c r="IB470" t="s">
        <v>1045</v>
      </c>
      <c r="ID470" t="s">
        <v>1045</v>
      </c>
      <c r="IF470">
        <v>180</v>
      </c>
      <c r="IG470" t="s">
        <v>1042</v>
      </c>
      <c r="IH470" t="s">
        <v>1046</v>
      </c>
      <c r="II470" t="s">
        <v>1042</v>
      </c>
      <c r="IR470" t="s">
        <v>1045</v>
      </c>
      <c r="IT470">
        <v>0</v>
      </c>
      <c r="IY470" t="s">
        <v>1044</v>
      </c>
      <c r="IZ470" t="s">
        <v>1043</v>
      </c>
      <c r="JE470">
        <v>0</v>
      </c>
      <c r="JF470">
        <v>0</v>
      </c>
      <c r="JI470" t="s">
        <v>1042</v>
      </c>
      <c r="JJ470">
        <v>0</v>
      </c>
      <c r="JK470">
        <v>0</v>
      </c>
      <c r="JL470">
        <v>0</v>
      </c>
      <c r="JM470">
        <v>0</v>
      </c>
      <c r="JT470">
        <v>0</v>
      </c>
      <c r="JU470" t="s">
        <v>1042</v>
      </c>
      <c r="JW470">
        <v>0</v>
      </c>
      <c r="KA470">
        <v>0</v>
      </c>
      <c r="KF470">
        <v>0</v>
      </c>
      <c r="KG470">
        <v>0</v>
      </c>
      <c r="KH470">
        <v>0</v>
      </c>
      <c r="KI470">
        <v>0</v>
      </c>
      <c r="KS470" t="s">
        <v>1073</v>
      </c>
      <c r="KT470">
        <v>0</v>
      </c>
      <c r="KU470">
        <v>0</v>
      </c>
      <c r="KV470">
        <v>0</v>
      </c>
      <c r="KX470">
        <v>0</v>
      </c>
      <c r="KZ470">
        <v>0</v>
      </c>
      <c r="LF470">
        <v>0</v>
      </c>
      <c r="LH470">
        <v>0</v>
      </c>
      <c r="LI470">
        <v>0</v>
      </c>
    </row>
    <row r="471" spans="1:321" x14ac:dyDescent="0.35">
      <c r="A471">
        <v>1</v>
      </c>
      <c r="B471">
        <v>1279</v>
      </c>
      <c r="C471" t="s">
        <v>658</v>
      </c>
      <c r="D471" t="s">
        <v>1061</v>
      </c>
      <c r="E471" t="s">
        <v>85</v>
      </c>
      <c r="F471">
        <v>1</v>
      </c>
      <c r="G471">
        <v>240</v>
      </c>
      <c r="H471">
        <v>0</v>
      </c>
      <c r="I471" t="s">
        <v>1017</v>
      </c>
      <c r="L471">
        <v>0</v>
      </c>
      <c r="M471">
        <v>9.75</v>
      </c>
      <c r="N471">
        <v>0</v>
      </c>
      <c r="Q471">
        <v>511</v>
      </c>
      <c r="R471">
        <v>0</v>
      </c>
      <c r="S471">
        <v>0</v>
      </c>
      <c r="W471" t="s">
        <v>1060</v>
      </c>
      <c r="X471">
        <v>0</v>
      </c>
      <c r="Z471">
        <v>4</v>
      </c>
      <c r="AA471">
        <v>621.02589999999998</v>
      </c>
      <c r="AB471">
        <v>117</v>
      </c>
      <c r="AC471">
        <v>32.130000000000003</v>
      </c>
      <c r="AD471" t="s">
        <v>1042</v>
      </c>
      <c r="AE471">
        <v>0</v>
      </c>
      <c r="AF471">
        <v>1.5664</v>
      </c>
      <c r="AH471">
        <v>7</v>
      </c>
      <c r="AJ471">
        <v>0</v>
      </c>
      <c r="AL471">
        <v>145800</v>
      </c>
      <c r="AM471">
        <v>360</v>
      </c>
      <c r="AN471">
        <v>11501001</v>
      </c>
      <c r="AO471">
        <v>0</v>
      </c>
      <c r="AP471">
        <v>1002</v>
      </c>
      <c r="AT471">
        <v>1</v>
      </c>
      <c r="AU471" t="s">
        <v>1059</v>
      </c>
      <c r="AW471" t="s">
        <v>1053</v>
      </c>
      <c r="AX471">
        <v>5</v>
      </c>
      <c r="AY471" s="20">
        <v>43274</v>
      </c>
      <c r="BA471" s="20">
        <v>44420</v>
      </c>
      <c r="BB471" t="s">
        <v>1058</v>
      </c>
      <c r="BD471">
        <v>0</v>
      </c>
      <c r="BF471" t="s">
        <v>1044</v>
      </c>
      <c r="BG471" t="s">
        <v>1042</v>
      </c>
      <c r="BH471">
        <v>0</v>
      </c>
      <c r="BI471">
        <v>36</v>
      </c>
      <c r="BJ471">
        <v>0</v>
      </c>
      <c r="BK471">
        <v>0</v>
      </c>
      <c r="BM471" s="20">
        <v>43530</v>
      </c>
      <c r="BN471">
        <v>0</v>
      </c>
      <c r="BO471">
        <v>7897801318259</v>
      </c>
      <c r="BR471" t="s">
        <v>1043</v>
      </c>
      <c r="BS471" t="s">
        <v>1043</v>
      </c>
      <c r="BT471" t="s">
        <v>1043</v>
      </c>
      <c r="BV471">
        <v>1</v>
      </c>
      <c r="BW471">
        <v>2</v>
      </c>
      <c r="BY471">
        <v>78</v>
      </c>
      <c r="CA471">
        <v>0</v>
      </c>
      <c r="CB471" t="s">
        <v>1043</v>
      </c>
      <c r="CE471" t="s">
        <v>1043</v>
      </c>
      <c r="CH471" t="s">
        <v>1043</v>
      </c>
      <c r="CN471" t="s">
        <v>1056</v>
      </c>
      <c r="CO471" t="s">
        <v>1043</v>
      </c>
      <c r="CP471">
        <v>1</v>
      </c>
      <c r="CQ471">
        <v>0</v>
      </c>
      <c r="CS471">
        <v>0</v>
      </c>
      <c r="CT471">
        <v>0</v>
      </c>
      <c r="CU471">
        <v>0</v>
      </c>
      <c r="CW471">
        <v>0</v>
      </c>
      <c r="CX471">
        <v>0</v>
      </c>
      <c r="CY471">
        <v>0</v>
      </c>
      <c r="CZ471">
        <v>0</v>
      </c>
      <c r="DA471">
        <v>8</v>
      </c>
      <c r="DB471">
        <v>0</v>
      </c>
      <c r="DC471" t="s">
        <v>1043</v>
      </c>
      <c r="DF471" t="s">
        <v>1055</v>
      </c>
      <c r="DH471">
        <v>0</v>
      </c>
      <c r="DJ471">
        <v>0</v>
      </c>
      <c r="DK471" t="s">
        <v>1053</v>
      </c>
      <c r="DL471">
        <v>0</v>
      </c>
      <c r="DN471">
        <v>0</v>
      </c>
      <c r="DO471" t="s">
        <v>1042</v>
      </c>
      <c r="DP471">
        <v>0</v>
      </c>
      <c r="DQ471">
        <v>7.6</v>
      </c>
      <c r="DS471">
        <v>0</v>
      </c>
      <c r="DU471">
        <v>1.65</v>
      </c>
      <c r="DW471">
        <v>0</v>
      </c>
      <c r="DX471" t="s">
        <v>1043</v>
      </c>
      <c r="DY471">
        <v>0</v>
      </c>
      <c r="DZ471">
        <v>0</v>
      </c>
      <c r="EA471">
        <v>0</v>
      </c>
      <c r="EB471">
        <v>17897801318256</v>
      </c>
      <c r="ED471" t="s">
        <v>1045</v>
      </c>
      <c r="EE471">
        <v>0</v>
      </c>
      <c r="EF471">
        <v>0</v>
      </c>
      <c r="EK471" t="s">
        <v>1054</v>
      </c>
      <c r="EL471">
        <v>57897801318254</v>
      </c>
      <c r="EN471" t="s">
        <v>1012</v>
      </c>
      <c r="EQ471" t="s">
        <v>1044</v>
      </c>
      <c r="ES471" t="s">
        <v>1053</v>
      </c>
      <c r="ET471">
        <v>0</v>
      </c>
      <c r="EV471">
        <v>0</v>
      </c>
      <c r="EY471" t="s">
        <v>1052</v>
      </c>
      <c r="EZ471">
        <v>0</v>
      </c>
      <c r="FA471" t="s">
        <v>1043</v>
      </c>
      <c r="FB471">
        <v>0</v>
      </c>
      <c r="FC471">
        <v>0</v>
      </c>
      <c r="FD471" t="s">
        <v>1051</v>
      </c>
      <c r="FE471" t="s">
        <v>1050</v>
      </c>
      <c r="FF471">
        <v>0</v>
      </c>
      <c r="FG471" t="s">
        <v>1050</v>
      </c>
      <c r="FH471">
        <v>27897801318253</v>
      </c>
      <c r="FJ471">
        <v>0</v>
      </c>
      <c r="FK471">
        <v>0</v>
      </c>
      <c r="FP471">
        <v>0</v>
      </c>
      <c r="FR471">
        <v>0</v>
      </c>
      <c r="FS471" t="s">
        <v>1043</v>
      </c>
      <c r="FX471" t="s">
        <v>1042</v>
      </c>
      <c r="FZ471" t="s">
        <v>1048</v>
      </c>
      <c r="GA471">
        <v>0</v>
      </c>
      <c r="GB471" t="s">
        <v>1042</v>
      </c>
      <c r="GD471">
        <v>16</v>
      </c>
      <c r="GE471">
        <v>0</v>
      </c>
      <c r="GG471">
        <v>0</v>
      </c>
      <c r="GN471">
        <v>0</v>
      </c>
      <c r="GO471" t="s">
        <v>1049</v>
      </c>
      <c r="GQ471">
        <v>0</v>
      </c>
      <c r="GU471">
        <v>2</v>
      </c>
      <c r="GY471" t="s">
        <v>1045</v>
      </c>
      <c r="HB471">
        <v>0</v>
      </c>
      <c r="HE471">
        <v>10</v>
      </c>
      <c r="HF471">
        <v>15</v>
      </c>
      <c r="HG471">
        <v>5.4480000000000001E-2</v>
      </c>
      <c r="HK471" t="s">
        <v>1042</v>
      </c>
      <c r="HL471" t="s">
        <v>1048</v>
      </c>
      <c r="HM471" t="s">
        <v>1047</v>
      </c>
      <c r="HN471">
        <v>0</v>
      </c>
      <c r="HO471">
        <v>28</v>
      </c>
      <c r="HP471">
        <v>0.82299999999999995</v>
      </c>
      <c r="HQ471">
        <v>0</v>
      </c>
      <c r="HR471" t="s">
        <v>1042</v>
      </c>
      <c r="HS471" t="s">
        <v>1043</v>
      </c>
      <c r="HT471">
        <v>0</v>
      </c>
      <c r="HU471">
        <v>0</v>
      </c>
      <c r="HW471">
        <v>0</v>
      </c>
      <c r="HX471">
        <v>282</v>
      </c>
      <c r="HY471">
        <v>0</v>
      </c>
      <c r="HZ471" t="s">
        <v>1045</v>
      </c>
      <c r="IA471">
        <v>0</v>
      </c>
      <c r="IB471" t="s">
        <v>1045</v>
      </c>
      <c r="ID471" t="s">
        <v>1045</v>
      </c>
      <c r="IF471">
        <v>128</v>
      </c>
      <c r="IG471" s="20">
        <v>43551</v>
      </c>
      <c r="IH471" t="s">
        <v>1046</v>
      </c>
      <c r="II471" t="s">
        <v>1042</v>
      </c>
      <c r="IR471" t="s">
        <v>1045</v>
      </c>
      <c r="IT471">
        <v>0</v>
      </c>
      <c r="IY471" t="s">
        <v>1044</v>
      </c>
      <c r="IZ471" t="s">
        <v>1043</v>
      </c>
      <c r="JE471">
        <v>0</v>
      </c>
      <c r="JF471">
        <v>0</v>
      </c>
      <c r="JI471" t="s">
        <v>1042</v>
      </c>
      <c r="JJ471">
        <v>0</v>
      </c>
      <c r="JK471">
        <v>0</v>
      </c>
      <c r="JL471">
        <v>0</v>
      </c>
      <c r="JM471">
        <v>0</v>
      </c>
      <c r="JT471">
        <v>0</v>
      </c>
      <c r="JU471" t="s">
        <v>1042</v>
      </c>
      <c r="JW471">
        <v>0</v>
      </c>
      <c r="KA471">
        <v>0</v>
      </c>
      <c r="KF471">
        <v>0</v>
      </c>
      <c r="KG471">
        <v>0</v>
      </c>
      <c r="KH471">
        <v>0</v>
      </c>
      <c r="KI471">
        <v>0</v>
      </c>
      <c r="KS471" t="s">
        <v>1073</v>
      </c>
      <c r="KT471">
        <v>0</v>
      </c>
      <c r="KU471">
        <v>0</v>
      </c>
      <c r="KV471">
        <v>0</v>
      </c>
      <c r="KX471">
        <v>0</v>
      </c>
      <c r="KZ471">
        <v>0</v>
      </c>
      <c r="LF471">
        <v>0</v>
      </c>
      <c r="LH471">
        <v>15120</v>
      </c>
      <c r="LI471">
        <v>0</v>
      </c>
    </row>
    <row r="472" spans="1:321" x14ac:dyDescent="0.35">
      <c r="A472">
        <v>1</v>
      </c>
      <c r="B472" t="s">
        <v>1217</v>
      </c>
      <c r="C472" t="s">
        <v>658</v>
      </c>
      <c r="D472" t="s">
        <v>1064</v>
      </c>
      <c r="E472" t="s">
        <v>85</v>
      </c>
      <c r="F472">
        <v>1</v>
      </c>
      <c r="G472">
        <v>240</v>
      </c>
      <c r="H472">
        <v>0</v>
      </c>
      <c r="I472" t="s">
        <v>1017</v>
      </c>
      <c r="L472">
        <v>0</v>
      </c>
      <c r="M472">
        <v>9.75</v>
      </c>
      <c r="N472">
        <v>0</v>
      </c>
      <c r="Q472">
        <v>511</v>
      </c>
      <c r="R472">
        <v>0</v>
      </c>
      <c r="S472">
        <v>0</v>
      </c>
      <c r="W472" t="s">
        <v>1060</v>
      </c>
      <c r="X472">
        <v>0</v>
      </c>
      <c r="Z472">
        <v>4</v>
      </c>
      <c r="AA472">
        <v>300.52499999999998</v>
      </c>
      <c r="AB472">
        <v>0</v>
      </c>
      <c r="AC472">
        <v>10.336499999999999</v>
      </c>
      <c r="AD472" t="s">
        <v>1042</v>
      </c>
      <c r="AE472">
        <v>0</v>
      </c>
      <c r="AF472">
        <v>1.5664</v>
      </c>
      <c r="AH472">
        <v>0</v>
      </c>
      <c r="AJ472">
        <v>0</v>
      </c>
      <c r="AL472">
        <v>145800</v>
      </c>
      <c r="AM472">
        <v>24</v>
      </c>
      <c r="AN472">
        <v>11501001</v>
      </c>
      <c r="AO472">
        <v>0</v>
      </c>
      <c r="AP472">
        <v>2720</v>
      </c>
      <c r="AT472">
        <v>1</v>
      </c>
      <c r="AU472" t="s">
        <v>1059</v>
      </c>
      <c r="AW472" t="s">
        <v>1053</v>
      </c>
      <c r="AX472">
        <v>5</v>
      </c>
      <c r="AY472" s="20">
        <v>43868</v>
      </c>
      <c r="BA472" s="20">
        <v>43868</v>
      </c>
      <c r="BB472" t="s">
        <v>1058</v>
      </c>
      <c r="BD472">
        <v>0</v>
      </c>
      <c r="BF472" t="s">
        <v>1044</v>
      </c>
      <c r="BG472" t="s">
        <v>1042</v>
      </c>
      <c r="BH472">
        <v>0</v>
      </c>
      <c r="BI472">
        <v>36</v>
      </c>
      <c r="BJ472">
        <v>0</v>
      </c>
      <c r="BK472">
        <v>0</v>
      </c>
      <c r="BM472" t="s">
        <v>1042</v>
      </c>
      <c r="BN472">
        <v>0</v>
      </c>
      <c r="BR472" t="s">
        <v>1043</v>
      </c>
      <c r="BS472" t="s">
        <v>1043</v>
      </c>
      <c r="BT472" t="s">
        <v>1043</v>
      </c>
      <c r="BV472">
        <v>1</v>
      </c>
      <c r="BW472">
        <v>2</v>
      </c>
      <c r="BY472">
        <v>78</v>
      </c>
      <c r="CA472">
        <v>0</v>
      </c>
      <c r="CB472" t="s">
        <v>1043</v>
      </c>
      <c r="CE472" t="s">
        <v>1043</v>
      </c>
      <c r="CH472" t="s">
        <v>1043</v>
      </c>
      <c r="CN472" t="s">
        <v>1056</v>
      </c>
      <c r="CO472" t="s">
        <v>1043</v>
      </c>
      <c r="CP472">
        <v>1</v>
      </c>
      <c r="CQ472">
        <v>0</v>
      </c>
      <c r="CS472">
        <v>0</v>
      </c>
      <c r="CT472">
        <v>0</v>
      </c>
      <c r="CU472">
        <v>0</v>
      </c>
      <c r="CW472">
        <v>0</v>
      </c>
      <c r="CX472">
        <v>0</v>
      </c>
      <c r="CY472">
        <v>0</v>
      </c>
      <c r="CZ472">
        <v>0</v>
      </c>
      <c r="DB472">
        <v>0</v>
      </c>
      <c r="DC472" t="s">
        <v>1043</v>
      </c>
      <c r="DF472" t="s">
        <v>1055</v>
      </c>
      <c r="DH472">
        <v>0</v>
      </c>
      <c r="DJ472">
        <v>0</v>
      </c>
      <c r="DK472" t="s">
        <v>1053</v>
      </c>
      <c r="DL472">
        <v>0</v>
      </c>
      <c r="DN472">
        <v>0</v>
      </c>
      <c r="DO472" t="s">
        <v>1042</v>
      </c>
      <c r="DP472">
        <v>0</v>
      </c>
      <c r="DQ472">
        <v>7.6</v>
      </c>
      <c r="DS472">
        <v>0</v>
      </c>
      <c r="DU472">
        <v>1.65</v>
      </c>
      <c r="DW472">
        <v>0</v>
      </c>
      <c r="DX472" t="s">
        <v>1043</v>
      </c>
      <c r="DY472">
        <v>0</v>
      </c>
      <c r="DZ472">
        <v>0</v>
      </c>
      <c r="EA472">
        <v>0</v>
      </c>
      <c r="ED472" t="s">
        <v>1045</v>
      </c>
      <c r="EE472">
        <v>0</v>
      </c>
      <c r="EF472">
        <v>0</v>
      </c>
      <c r="EK472" t="s">
        <v>1054</v>
      </c>
      <c r="EL472">
        <v>0</v>
      </c>
      <c r="EN472" t="s">
        <v>1012</v>
      </c>
      <c r="EQ472" t="s">
        <v>1044</v>
      </c>
      <c r="ES472" t="s">
        <v>1053</v>
      </c>
      <c r="ET472">
        <v>0</v>
      </c>
      <c r="EV472">
        <v>0</v>
      </c>
      <c r="EY472" t="s">
        <v>1052</v>
      </c>
      <c r="EZ472">
        <v>0</v>
      </c>
      <c r="FA472" t="s">
        <v>1043</v>
      </c>
      <c r="FB472">
        <v>0</v>
      </c>
      <c r="FC472">
        <v>0</v>
      </c>
      <c r="FD472" t="s">
        <v>1051</v>
      </c>
      <c r="FE472" t="s">
        <v>1050</v>
      </c>
      <c r="FF472">
        <v>0</v>
      </c>
      <c r="FG472" t="s">
        <v>1050</v>
      </c>
      <c r="FJ472">
        <v>0</v>
      </c>
      <c r="FK472">
        <v>0</v>
      </c>
      <c r="FP472">
        <v>0</v>
      </c>
      <c r="FR472">
        <v>0</v>
      </c>
      <c r="FS472" t="s">
        <v>1043</v>
      </c>
      <c r="FX472" t="s">
        <v>1042</v>
      </c>
      <c r="FZ472" t="s">
        <v>1048</v>
      </c>
      <c r="GA472">
        <v>0</v>
      </c>
      <c r="GB472" t="s">
        <v>1042</v>
      </c>
      <c r="GD472">
        <v>16</v>
      </c>
      <c r="GE472">
        <v>0</v>
      </c>
      <c r="GG472">
        <v>0</v>
      </c>
      <c r="GN472">
        <v>0</v>
      </c>
      <c r="GO472" t="s">
        <v>1063</v>
      </c>
      <c r="GQ472">
        <v>0</v>
      </c>
      <c r="GU472">
        <v>2</v>
      </c>
      <c r="GY472" t="s">
        <v>1045</v>
      </c>
      <c r="HB472">
        <v>0</v>
      </c>
      <c r="HE472">
        <v>10</v>
      </c>
      <c r="HF472">
        <v>15</v>
      </c>
      <c r="HG472">
        <v>5.4480000000000001E-2</v>
      </c>
      <c r="HK472" t="s">
        <v>1042</v>
      </c>
      <c r="HL472" t="s">
        <v>1048</v>
      </c>
      <c r="HM472" t="s">
        <v>1047</v>
      </c>
      <c r="HN472">
        <v>0</v>
      </c>
      <c r="HP472">
        <v>1.5664</v>
      </c>
      <c r="HQ472">
        <v>0</v>
      </c>
      <c r="HR472" t="s">
        <v>1042</v>
      </c>
      <c r="HS472" t="s">
        <v>1043</v>
      </c>
      <c r="HT472">
        <v>0</v>
      </c>
      <c r="HU472">
        <v>0</v>
      </c>
      <c r="HW472">
        <v>0</v>
      </c>
      <c r="HX472">
        <v>0</v>
      </c>
      <c r="HY472">
        <v>0</v>
      </c>
      <c r="HZ472" t="s">
        <v>1045</v>
      </c>
      <c r="IA472">
        <v>0</v>
      </c>
      <c r="IB472" t="s">
        <v>1045</v>
      </c>
      <c r="ID472" t="s">
        <v>1045</v>
      </c>
      <c r="IF472">
        <v>128</v>
      </c>
      <c r="IG472" s="20">
        <v>43551</v>
      </c>
      <c r="IH472" t="s">
        <v>1046</v>
      </c>
      <c r="II472" t="s">
        <v>1042</v>
      </c>
      <c r="IR472" t="s">
        <v>1045</v>
      </c>
      <c r="IT472">
        <v>0</v>
      </c>
      <c r="IY472" t="s">
        <v>1044</v>
      </c>
      <c r="IZ472" t="s">
        <v>1043</v>
      </c>
      <c r="JE472">
        <v>0</v>
      </c>
      <c r="JF472">
        <v>0</v>
      </c>
      <c r="JI472" t="s">
        <v>1042</v>
      </c>
      <c r="JJ472">
        <v>0</v>
      </c>
      <c r="JK472">
        <v>0</v>
      </c>
      <c r="JL472">
        <v>0</v>
      </c>
      <c r="JM472">
        <v>0</v>
      </c>
      <c r="JT472">
        <v>0</v>
      </c>
      <c r="JU472" t="s">
        <v>1042</v>
      </c>
      <c r="JW472">
        <v>0</v>
      </c>
      <c r="KA472">
        <v>0</v>
      </c>
      <c r="KF472">
        <v>0</v>
      </c>
      <c r="KG472">
        <v>0</v>
      </c>
      <c r="KH472">
        <v>0</v>
      </c>
      <c r="KI472">
        <v>0</v>
      </c>
      <c r="KS472" t="s">
        <v>1073</v>
      </c>
      <c r="KT472">
        <v>0</v>
      </c>
      <c r="KU472">
        <v>0</v>
      </c>
      <c r="KV472">
        <v>0</v>
      </c>
      <c r="KX472">
        <v>0</v>
      </c>
      <c r="KZ472">
        <v>0</v>
      </c>
      <c r="LF472">
        <v>0</v>
      </c>
      <c r="LH472">
        <v>0</v>
      </c>
      <c r="LI472">
        <v>0</v>
      </c>
    </row>
    <row r="473" spans="1:321" x14ac:dyDescent="0.35">
      <c r="A473">
        <v>1</v>
      </c>
      <c r="B473">
        <v>1280</v>
      </c>
      <c r="C473" t="s">
        <v>659</v>
      </c>
      <c r="D473" t="s">
        <v>1061</v>
      </c>
      <c r="E473" t="s">
        <v>85</v>
      </c>
      <c r="F473">
        <v>1</v>
      </c>
      <c r="G473">
        <v>240</v>
      </c>
      <c r="H473">
        <v>0</v>
      </c>
      <c r="I473" t="s">
        <v>1017</v>
      </c>
      <c r="L473">
        <v>0</v>
      </c>
      <c r="M473">
        <v>9.75</v>
      </c>
      <c r="N473">
        <v>0</v>
      </c>
      <c r="Q473">
        <v>511</v>
      </c>
      <c r="R473">
        <v>0</v>
      </c>
      <c r="S473">
        <v>0</v>
      </c>
      <c r="W473" t="s">
        <v>1060</v>
      </c>
      <c r="X473">
        <v>0</v>
      </c>
      <c r="Z473">
        <v>2</v>
      </c>
      <c r="AA473">
        <v>834.0607</v>
      </c>
      <c r="AB473">
        <v>90</v>
      </c>
      <c r="AC473">
        <v>49.91</v>
      </c>
      <c r="AD473" t="s">
        <v>1042</v>
      </c>
      <c r="AE473">
        <v>0</v>
      </c>
      <c r="AF473">
        <v>0.72270000000000001</v>
      </c>
      <c r="AH473">
        <v>13</v>
      </c>
      <c r="AJ473">
        <v>0</v>
      </c>
      <c r="AL473">
        <v>145800</v>
      </c>
      <c r="AM473">
        <v>240</v>
      </c>
      <c r="AN473">
        <v>11501001</v>
      </c>
      <c r="AO473">
        <v>0</v>
      </c>
      <c r="AP473">
        <v>1002</v>
      </c>
      <c r="AT473">
        <v>1</v>
      </c>
      <c r="AU473" t="s">
        <v>1059</v>
      </c>
      <c r="AW473" t="s">
        <v>1053</v>
      </c>
      <c r="AX473">
        <v>5</v>
      </c>
      <c r="AY473" s="20">
        <v>43878</v>
      </c>
      <c r="BA473" s="20">
        <v>44420</v>
      </c>
      <c r="BB473" t="s">
        <v>1058</v>
      </c>
      <c r="BD473">
        <v>0</v>
      </c>
      <c r="BF473" t="s">
        <v>1044</v>
      </c>
      <c r="BG473" t="s">
        <v>1042</v>
      </c>
      <c r="BH473">
        <v>0</v>
      </c>
      <c r="BI473">
        <v>36</v>
      </c>
      <c r="BJ473">
        <v>0</v>
      </c>
      <c r="BK473">
        <v>0</v>
      </c>
      <c r="BM473" s="20">
        <v>43845</v>
      </c>
      <c r="BN473">
        <v>0</v>
      </c>
      <c r="BO473">
        <v>7897801318266</v>
      </c>
      <c r="BR473" t="s">
        <v>1043</v>
      </c>
      <c r="BS473" t="s">
        <v>1043</v>
      </c>
      <c r="BT473" t="s">
        <v>1043</v>
      </c>
      <c r="BV473">
        <v>1</v>
      </c>
      <c r="BW473">
        <v>2</v>
      </c>
      <c r="BY473">
        <v>78</v>
      </c>
      <c r="CA473">
        <v>0</v>
      </c>
      <c r="CB473" t="s">
        <v>1043</v>
      </c>
      <c r="CE473" t="s">
        <v>1043</v>
      </c>
      <c r="CH473" t="s">
        <v>1043</v>
      </c>
      <c r="CN473" t="s">
        <v>1056</v>
      </c>
      <c r="CO473" t="s">
        <v>1043</v>
      </c>
      <c r="CP473">
        <v>1</v>
      </c>
      <c r="CQ473">
        <v>0</v>
      </c>
      <c r="CS473">
        <v>0</v>
      </c>
      <c r="CT473">
        <v>0</v>
      </c>
      <c r="CU473">
        <v>0</v>
      </c>
      <c r="CW473">
        <v>0</v>
      </c>
      <c r="CX473">
        <v>0</v>
      </c>
      <c r="CY473">
        <v>0</v>
      </c>
      <c r="CZ473">
        <v>0</v>
      </c>
      <c r="DA473">
        <v>8</v>
      </c>
      <c r="DB473">
        <v>0</v>
      </c>
      <c r="DC473" t="s">
        <v>1043</v>
      </c>
      <c r="DF473" t="s">
        <v>1055</v>
      </c>
      <c r="DH473">
        <v>0</v>
      </c>
      <c r="DJ473">
        <v>0</v>
      </c>
      <c r="DK473" t="s">
        <v>1053</v>
      </c>
      <c r="DL473">
        <v>0</v>
      </c>
      <c r="DN473">
        <v>0</v>
      </c>
      <c r="DO473" t="s">
        <v>1042</v>
      </c>
      <c r="DP473">
        <v>0</v>
      </c>
      <c r="DQ473">
        <v>7.6</v>
      </c>
      <c r="DS473">
        <v>0</v>
      </c>
      <c r="DU473">
        <v>1.65</v>
      </c>
      <c r="DW473">
        <v>0</v>
      </c>
      <c r="DX473" t="s">
        <v>1043</v>
      </c>
      <c r="DY473">
        <v>0</v>
      </c>
      <c r="DZ473">
        <v>0</v>
      </c>
      <c r="EA473">
        <v>0</v>
      </c>
      <c r="EB473">
        <v>17897801318263</v>
      </c>
      <c r="ED473" t="s">
        <v>1045</v>
      </c>
      <c r="EE473">
        <v>0</v>
      </c>
      <c r="EF473">
        <v>0</v>
      </c>
      <c r="EK473" t="s">
        <v>1054</v>
      </c>
      <c r="EL473">
        <v>57897801318261</v>
      </c>
      <c r="EN473" t="s">
        <v>1012</v>
      </c>
      <c r="EQ473" t="s">
        <v>1044</v>
      </c>
      <c r="ES473" t="s">
        <v>1053</v>
      </c>
      <c r="ET473">
        <v>0</v>
      </c>
      <c r="EV473">
        <v>0</v>
      </c>
      <c r="EY473" t="s">
        <v>1052</v>
      </c>
      <c r="EZ473">
        <v>0</v>
      </c>
      <c r="FA473" t="s">
        <v>1043</v>
      </c>
      <c r="FB473">
        <v>0</v>
      </c>
      <c r="FC473">
        <v>0</v>
      </c>
      <c r="FD473" t="s">
        <v>1051</v>
      </c>
      <c r="FE473" t="s">
        <v>1050</v>
      </c>
      <c r="FF473">
        <v>0</v>
      </c>
      <c r="FG473" t="s">
        <v>1050</v>
      </c>
      <c r="FH473">
        <v>27897801318260</v>
      </c>
      <c r="FJ473">
        <v>0</v>
      </c>
      <c r="FK473">
        <v>0</v>
      </c>
      <c r="FP473">
        <v>0</v>
      </c>
      <c r="FR473">
        <v>0</v>
      </c>
      <c r="FS473" t="s">
        <v>1043</v>
      </c>
      <c r="FX473" t="s">
        <v>1042</v>
      </c>
      <c r="FZ473" t="s">
        <v>1048</v>
      </c>
      <c r="GA473">
        <v>0</v>
      </c>
      <c r="GB473" t="s">
        <v>1042</v>
      </c>
      <c r="GD473">
        <v>16</v>
      </c>
      <c r="GE473">
        <v>0</v>
      </c>
      <c r="GG473">
        <v>0</v>
      </c>
      <c r="GN473">
        <v>0</v>
      </c>
      <c r="GO473" t="s">
        <v>1049</v>
      </c>
      <c r="GQ473">
        <v>0</v>
      </c>
      <c r="GU473">
        <v>2</v>
      </c>
      <c r="GY473" t="s">
        <v>1045</v>
      </c>
      <c r="HB473">
        <v>0</v>
      </c>
      <c r="HE473">
        <v>10</v>
      </c>
      <c r="HF473">
        <v>15</v>
      </c>
      <c r="HG473">
        <v>2.886E-2</v>
      </c>
      <c r="HK473" t="s">
        <v>1042</v>
      </c>
      <c r="HM473" t="s">
        <v>1047</v>
      </c>
      <c r="HN473">
        <v>0</v>
      </c>
      <c r="HO473">
        <v>28</v>
      </c>
      <c r="HP473">
        <v>0.72270000000000001</v>
      </c>
      <c r="HQ473">
        <v>0</v>
      </c>
      <c r="HR473" t="s">
        <v>1042</v>
      </c>
      <c r="HS473" t="s">
        <v>1043</v>
      </c>
      <c r="HT473">
        <v>0</v>
      </c>
      <c r="HU473">
        <v>0</v>
      </c>
      <c r="HW473">
        <v>0</v>
      </c>
      <c r="HX473">
        <v>205</v>
      </c>
      <c r="HY473">
        <v>0</v>
      </c>
      <c r="HZ473" t="s">
        <v>1045</v>
      </c>
      <c r="IA473">
        <v>0</v>
      </c>
      <c r="IB473" t="s">
        <v>1045</v>
      </c>
      <c r="ID473" t="s">
        <v>1045</v>
      </c>
      <c r="IF473">
        <v>90</v>
      </c>
      <c r="IG473" s="20">
        <v>43878</v>
      </c>
      <c r="IH473" t="s">
        <v>1046</v>
      </c>
      <c r="II473" t="s">
        <v>1042</v>
      </c>
      <c r="IR473" t="s">
        <v>1045</v>
      </c>
      <c r="IT473">
        <v>0</v>
      </c>
      <c r="IY473" t="s">
        <v>1044</v>
      </c>
      <c r="IZ473" t="s">
        <v>1043</v>
      </c>
      <c r="JE473">
        <v>0</v>
      </c>
      <c r="JF473">
        <v>0</v>
      </c>
      <c r="JI473" t="s">
        <v>1042</v>
      </c>
      <c r="JJ473">
        <v>0</v>
      </c>
      <c r="JK473">
        <v>0</v>
      </c>
      <c r="JL473">
        <v>0</v>
      </c>
      <c r="JM473">
        <v>0</v>
      </c>
      <c r="JT473">
        <v>0</v>
      </c>
      <c r="JU473" t="s">
        <v>1042</v>
      </c>
      <c r="JW473">
        <v>0</v>
      </c>
      <c r="KA473">
        <v>0</v>
      </c>
      <c r="KF473">
        <v>0</v>
      </c>
      <c r="KG473">
        <v>0</v>
      </c>
      <c r="KH473">
        <v>0</v>
      </c>
      <c r="KI473">
        <v>0</v>
      </c>
      <c r="KS473" t="s">
        <v>1073</v>
      </c>
      <c r="KT473">
        <v>0</v>
      </c>
      <c r="KU473">
        <v>0</v>
      </c>
      <c r="KV473">
        <v>0</v>
      </c>
      <c r="KX473">
        <v>0</v>
      </c>
      <c r="KZ473">
        <v>0</v>
      </c>
      <c r="LF473">
        <v>0</v>
      </c>
      <c r="LH473">
        <v>10080</v>
      </c>
      <c r="LI473">
        <v>0</v>
      </c>
    </row>
    <row r="474" spans="1:321" x14ac:dyDescent="0.35">
      <c r="A474">
        <v>1</v>
      </c>
      <c r="B474" t="s">
        <v>1216</v>
      </c>
      <c r="C474" t="s">
        <v>659</v>
      </c>
      <c r="D474" t="s">
        <v>1064</v>
      </c>
      <c r="E474" t="s">
        <v>85</v>
      </c>
      <c r="F474">
        <v>1</v>
      </c>
      <c r="G474">
        <v>240</v>
      </c>
      <c r="H474">
        <v>0</v>
      </c>
      <c r="I474" t="s">
        <v>1017</v>
      </c>
      <c r="L474">
        <v>0</v>
      </c>
      <c r="M474">
        <v>9.75</v>
      </c>
      <c r="N474">
        <v>0</v>
      </c>
      <c r="Q474">
        <v>511</v>
      </c>
      <c r="R474">
        <v>0</v>
      </c>
      <c r="S474">
        <v>0</v>
      </c>
      <c r="W474" t="s">
        <v>1060</v>
      </c>
      <c r="X474">
        <v>0</v>
      </c>
      <c r="Z474">
        <v>2</v>
      </c>
      <c r="AA474">
        <v>0</v>
      </c>
      <c r="AB474">
        <v>0</v>
      </c>
      <c r="AC474">
        <v>0.38950000000000001</v>
      </c>
      <c r="AD474" t="s">
        <v>1042</v>
      </c>
      <c r="AE474">
        <v>0</v>
      </c>
      <c r="AF474">
        <v>2.3109999999999999</v>
      </c>
      <c r="AH474">
        <v>0</v>
      </c>
      <c r="AJ474">
        <v>0</v>
      </c>
      <c r="AL474">
        <v>145800</v>
      </c>
      <c r="AM474">
        <v>24</v>
      </c>
      <c r="AN474">
        <v>11501001</v>
      </c>
      <c r="AO474">
        <v>0</v>
      </c>
      <c r="AP474">
        <v>2720</v>
      </c>
      <c r="AT474">
        <v>1</v>
      </c>
      <c r="AU474" t="s">
        <v>1059</v>
      </c>
      <c r="AW474" t="s">
        <v>1053</v>
      </c>
      <c r="AX474">
        <v>5</v>
      </c>
      <c r="AY474" s="20">
        <v>43868</v>
      </c>
      <c r="BA474" s="20">
        <v>43868</v>
      </c>
      <c r="BB474" t="s">
        <v>1058</v>
      </c>
      <c r="BD474">
        <v>0</v>
      </c>
      <c r="BF474" t="s">
        <v>1044</v>
      </c>
      <c r="BG474" t="s">
        <v>1042</v>
      </c>
      <c r="BH474">
        <v>0</v>
      </c>
      <c r="BI474">
        <v>36</v>
      </c>
      <c r="BJ474">
        <v>0</v>
      </c>
      <c r="BK474">
        <v>0</v>
      </c>
      <c r="BM474" t="s">
        <v>1042</v>
      </c>
      <c r="BN474">
        <v>0</v>
      </c>
      <c r="BR474" t="s">
        <v>1043</v>
      </c>
      <c r="BS474" t="s">
        <v>1043</v>
      </c>
      <c r="BT474" t="s">
        <v>1043</v>
      </c>
      <c r="BV474">
        <v>1</v>
      </c>
      <c r="BW474">
        <v>2</v>
      </c>
      <c r="BY474">
        <v>69</v>
      </c>
      <c r="CA474">
        <v>0</v>
      </c>
      <c r="CB474" t="s">
        <v>1043</v>
      </c>
      <c r="CE474" t="s">
        <v>1043</v>
      </c>
      <c r="CH474" t="s">
        <v>1043</v>
      </c>
      <c r="CN474" t="s">
        <v>1056</v>
      </c>
      <c r="CO474" t="s">
        <v>1043</v>
      </c>
      <c r="CP474">
        <v>1</v>
      </c>
      <c r="CQ474">
        <v>0</v>
      </c>
      <c r="CS474">
        <v>0</v>
      </c>
      <c r="CT474">
        <v>0</v>
      </c>
      <c r="CU474">
        <v>0</v>
      </c>
      <c r="CW474">
        <v>0</v>
      </c>
      <c r="CX474">
        <v>0</v>
      </c>
      <c r="CY474">
        <v>0</v>
      </c>
      <c r="CZ474">
        <v>0</v>
      </c>
      <c r="DB474">
        <v>0</v>
      </c>
      <c r="DC474" t="s">
        <v>1043</v>
      </c>
      <c r="DF474" t="s">
        <v>1055</v>
      </c>
      <c r="DH474">
        <v>0</v>
      </c>
      <c r="DJ474">
        <v>0</v>
      </c>
      <c r="DK474" t="s">
        <v>1053</v>
      </c>
      <c r="DL474">
        <v>0</v>
      </c>
      <c r="DN474">
        <v>0</v>
      </c>
      <c r="DO474" t="s">
        <v>1042</v>
      </c>
      <c r="DP474">
        <v>0</v>
      </c>
      <c r="DQ474">
        <v>7.6</v>
      </c>
      <c r="DS474">
        <v>0</v>
      </c>
      <c r="DU474">
        <v>1.65</v>
      </c>
      <c r="DW474">
        <v>0</v>
      </c>
      <c r="DX474" t="s">
        <v>1043</v>
      </c>
      <c r="DY474">
        <v>0</v>
      </c>
      <c r="DZ474">
        <v>0</v>
      </c>
      <c r="EA474">
        <v>0</v>
      </c>
      <c r="ED474" t="s">
        <v>1045</v>
      </c>
      <c r="EE474">
        <v>0</v>
      </c>
      <c r="EF474">
        <v>0</v>
      </c>
      <c r="EK474" t="s">
        <v>1054</v>
      </c>
      <c r="EL474">
        <v>0</v>
      </c>
      <c r="EN474" t="s">
        <v>1012</v>
      </c>
      <c r="EQ474" t="s">
        <v>1044</v>
      </c>
      <c r="ES474" t="s">
        <v>1053</v>
      </c>
      <c r="ET474">
        <v>0</v>
      </c>
      <c r="EV474">
        <v>0</v>
      </c>
      <c r="EY474" t="s">
        <v>1052</v>
      </c>
      <c r="EZ474">
        <v>0</v>
      </c>
      <c r="FA474" t="s">
        <v>1043</v>
      </c>
      <c r="FB474">
        <v>0</v>
      </c>
      <c r="FC474">
        <v>0</v>
      </c>
      <c r="FD474" t="s">
        <v>1051</v>
      </c>
      <c r="FE474" t="s">
        <v>1050</v>
      </c>
      <c r="FF474">
        <v>0</v>
      </c>
      <c r="FG474" t="s">
        <v>1050</v>
      </c>
      <c r="FJ474">
        <v>0</v>
      </c>
      <c r="FK474">
        <v>0</v>
      </c>
      <c r="FP474">
        <v>0</v>
      </c>
      <c r="FR474">
        <v>0</v>
      </c>
      <c r="FS474" t="s">
        <v>1043</v>
      </c>
      <c r="FX474" t="s">
        <v>1042</v>
      </c>
      <c r="FZ474" t="s">
        <v>1048</v>
      </c>
      <c r="GA474">
        <v>0</v>
      </c>
      <c r="GB474" t="s">
        <v>1042</v>
      </c>
      <c r="GD474">
        <v>1</v>
      </c>
      <c r="GE474">
        <v>0</v>
      </c>
      <c r="GG474">
        <v>0</v>
      </c>
      <c r="GN474">
        <v>0</v>
      </c>
      <c r="GO474" t="s">
        <v>1063</v>
      </c>
      <c r="GQ474">
        <v>0</v>
      </c>
      <c r="GU474">
        <v>2</v>
      </c>
      <c r="GY474" t="s">
        <v>1045</v>
      </c>
      <c r="HB474">
        <v>0</v>
      </c>
      <c r="HE474">
        <v>10</v>
      </c>
      <c r="HF474">
        <v>15</v>
      </c>
      <c r="HG474">
        <v>0</v>
      </c>
      <c r="HK474" t="s">
        <v>1042</v>
      </c>
      <c r="HM474" t="s">
        <v>1047</v>
      </c>
      <c r="HN474">
        <v>0</v>
      </c>
      <c r="HP474">
        <v>0.72270000000000001</v>
      </c>
      <c r="HQ474">
        <v>0</v>
      </c>
      <c r="HR474" t="s">
        <v>1042</v>
      </c>
      <c r="HS474" t="s">
        <v>1043</v>
      </c>
      <c r="HT474">
        <v>0</v>
      </c>
      <c r="HU474">
        <v>0</v>
      </c>
      <c r="HW474">
        <v>0</v>
      </c>
      <c r="HX474">
        <v>0</v>
      </c>
      <c r="HY474">
        <v>0</v>
      </c>
      <c r="HZ474" t="s">
        <v>1045</v>
      </c>
      <c r="IA474">
        <v>0</v>
      </c>
      <c r="IB474" t="s">
        <v>1045</v>
      </c>
      <c r="ID474" t="s">
        <v>1045</v>
      </c>
      <c r="IF474">
        <v>90</v>
      </c>
      <c r="IG474" t="s">
        <v>1042</v>
      </c>
      <c r="IH474" t="s">
        <v>1046</v>
      </c>
      <c r="II474" t="s">
        <v>1042</v>
      </c>
      <c r="IR474" t="s">
        <v>1045</v>
      </c>
      <c r="IT474">
        <v>0</v>
      </c>
      <c r="IY474" t="s">
        <v>1044</v>
      </c>
      <c r="IZ474" t="s">
        <v>1043</v>
      </c>
      <c r="JE474">
        <v>0</v>
      </c>
      <c r="JF474">
        <v>0</v>
      </c>
      <c r="JI474" t="s">
        <v>1042</v>
      </c>
      <c r="JJ474">
        <v>0</v>
      </c>
      <c r="JK474">
        <v>0</v>
      </c>
      <c r="JL474">
        <v>0</v>
      </c>
      <c r="JM474">
        <v>0</v>
      </c>
      <c r="JT474">
        <v>0</v>
      </c>
      <c r="JU474" t="s">
        <v>1042</v>
      </c>
      <c r="JW474">
        <v>0</v>
      </c>
      <c r="KA474">
        <v>0</v>
      </c>
      <c r="KF474">
        <v>0</v>
      </c>
      <c r="KG474">
        <v>0</v>
      </c>
      <c r="KH474">
        <v>0</v>
      </c>
      <c r="KI474">
        <v>0</v>
      </c>
      <c r="KS474" t="s">
        <v>1073</v>
      </c>
      <c r="KT474">
        <v>0</v>
      </c>
      <c r="KU474">
        <v>0</v>
      </c>
      <c r="KV474">
        <v>0</v>
      </c>
      <c r="KX474">
        <v>0</v>
      </c>
      <c r="KZ474">
        <v>0</v>
      </c>
      <c r="LF474">
        <v>0</v>
      </c>
      <c r="LH474">
        <v>0</v>
      </c>
      <c r="LI474">
        <v>0</v>
      </c>
    </row>
    <row r="475" spans="1:321" x14ac:dyDescent="0.35">
      <c r="A475">
        <v>1</v>
      </c>
      <c r="B475">
        <v>1281</v>
      </c>
      <c r="C475" t="s">
        <v>660</v>
      </c>
      <c r="D475" t="s">
        <v>1061</v>
      </c>
      <c r="E475" t="s">
        <v>85</v>
      </c>
      <c r="F475">
        <v>1</v>
      </c>
      <c r="G475">
        <v>240</v>
      </c>
      <c r="H475">
        <v>0</v>
      </c>
      <c r="I475" t="s">
        <v>1017</v>
      </c>
      <c r="L475">
        <v>0</v>
      </c>
      <c r="M475">
        <v>9.75</v>
      </c>
      <c r="N475">
        <v>0</v>
      </c>
      <c r="Q475">
        <v>511</v>
      </c>
      <c r="R475">
        <v>0</v>
      </c>
      <c r="S475">
        <v>0</v>
      </c>
      <c r="W475" t="s">
        <v>1060</v>
      </c>
      <c r="X475">
        <v>0</v>
      </c>
      <c r="Z475">
        <v>2</v>
      </c>
      <c r="AA475">
        <v>1525.1641</v>
      </c>
      <c r="AB475">
        <v>27</v>
      </c>
      <c r="AC475">
        <v>0.38950000000000001</v>
      </c>
      <c r="AD475" t="s">
        <v>1042</v>
      </c>
      <c r="AE475">
        <v>0</v>
      </c>
      <c r="AF475">
        <v>3.4575</v>
      </c>
      <c r="AH475">
        <v>2</v>
      </c>
      <c r="AJ475">
        <v>0</v>
      </c>
      <c r="AL475">
        <v>0</v>
      </c>
      <c r="AM475">
        <v>240</v>
      </c>
      <c r="AN475">
        <v>11501001</v>
      </c>
      <c r="AO475">
        <v>0</v>
      </c>
      <c r="AP475">
        <v>1002</v>
      </c>
      <c r="AT475">
        <v>1</v>
      </c>
      <c r="AU475" t="s">
        <v>1059</v>
      </c>
      <c r="AW475" t="s">
        <v>1053</v>
      </c>
      <c r="AX475">
        <v>5</v>
      </c>
      <c r="AY475" s="20">
        <v>43242</v>
      </c>
      <c r="BA475" s="20">
        <v>44420</v>
      </c>
      <c r="BB475" t="s">
        <v>1058</v>
      </c>
      <c r="BD475">
        <v>0</v>
      </c>
      <c r="BF475" t="s">
        <v>1044</v>
      </c>
      <c r="BG475" t="s">
        <v>1042</v>
      </c>
      <c r="BH475">
        <v>0</v>
      </c>
      <c r="BI475">
        <v>36</v>
      </c>
      <c r="BJ475">
        <v>0</v>
      </c>
      <c r="BK475">
        <v>0</v>
      </c>
      <c r="BM475" s="20">
        <v>43873</v>
      </c>
      <c r="BN475">
        <v>0</v>
      </c>
      <c r="BO475">
        <v>7897801318273</v>
      </c>
      <c r="BR475" t="s">
        <v>1043</v>
      </c>
      <c r="BS475" t="s">
        <v>1043</v>
      </c>
      <c r="BT475" t="s">
        <v>1043</v>
      </c>
      <c r="BV475">
        <v>1</v>
      </c>
      <c r="BW475">
        <v>2</v>
      </c>
      <c r="BY475">
        <v>78</v>
      </c>
      <c r="CA475">
        <v>0</v>
      </c>
      <c r="CB475" t="s">
        <v>1043</v>
      </c>
      <c r="CE475" t="s">
        <v>1043</v>
      </c>
      <c r="CH475" t="s">
        <v>1043</v>
      </c>
      <c r="CN475" t="s">
        <v>1056</v>
      </c>
      <c r="CO475" t="s">
        <v>1043</v>
      </c>
      <c r="CP475">
        <v>1</v>
      </c>
      <c r="CQ475">
        <v>0</v>
      </c>
      <c r="CS475">
        <v>0</v>
      </c>
      <c r="CT475">
        <v>0</v>
      </c>
      <c r="CU475">
        <v>0</v>
      </c>
      <c r="CW475">
        <v>0</v>
      </c>
      <c r="CX475">
        <v>0</v>
      </c>
      <c r="CY475">
        <v>0</v>
      </c>
      <c r="CZ475">
        <v>0</v>
      </c>
      <c r="DA475">
        <v>5</v>
      </c>
      <c r="DB475">
        <v>0</v>
      </c>
      <c r="DC475" t="s">
        <v>1043</v>
      </c>
      <c r="DF475" t="s">
        <v>1055</v>
      </c>
      <c r="DH475">
        <v>0</v>
      </c>
      <c r="DJ475">
        <v>0</v>
      </c>
      <c r="DK475" t="s">
        <v>1053</v>
      </c>
      <c r="DL475">
        <v>0</v>
      </c>
      <c r="DN475">
        <v>0</v>
      </c>
      <c r="DO475" t="s">
        <v>1042</v>
      </c>
      <c r="DP475">
        <v>0</v>
      </c>
      <c r="DQ475">
        <v>7.6</v>
      </c>
      <c r="DS475">
        <v>0</v>
      </c>
      <c r="DU475">
        <v>1.65</v>
      </c>
      <c r="DW475">
        <v>0</v>
      </c>
      <c r="DX475" t="s">
        <v>1043</v>
      </c>
      <c r="DY475">
        <v>0</v>
      </c>
      <c r="DZ475">
        <v>0</v>
      </c>
      <c r="EA475">
        <v>0</v>
      </c>
      <c r="EB475">
        <v>17897801318270</v>
      </c>
      <c r="ED475" t="s">
        <v>1045</v>
      </c>
      <c r="EE475">
        <v>0</v>
      </c>
      <c r="EF475">
        <v>0</v>
      </c>
      <c r="EK475" t="s">
        <v>1054</v>
      </c>
      <c r="EL475">
        <v>57897801318278</v>
      </c>
      <c r="EN475" t="s">
        <v>1012</v>
      </c>
      <c r="EQ475" t="s">
        <v>1044</v>
      </c>
      <c r="ES475" t="s">
        <v>1053</v>
      </c>
      <c r="ET475">
        <v>0</v>
      </c>
      <c r="EV475">
        <v>0</v>
      </c>
      <c r="EY475" t="s">
        <v>1052</v>
      </c>
      <c r="EZ475">
        <v>0</v>
      </c>
      <c r="FA475" t="s">
        <v>1043</v>
      </c>
      <c r="FB475">
        <v>0</v>
      </c>
      <c r="FC475">
        <v>0</v>
      </c>
      <c r="FD475" t="s">
        <v>1051</v>
      </c>
      <c r="FE475" t="s">
        <v>1050</v>
      </c>
      <c r="FF475">
        <v>0</v>
      </c>
      <c r="FG475" t="s">
        <v>1050</v>
      </c>
      <c r="FH475">
        <v>27897801318277</v>
      </c>
      <c r="FJ475">
        <v>0</v>
      </c>
      <c r="FK475">
        <v>0</v>
      </c>
      <c r="FP475">
        <v>0</v>
      </c>
      <c r="FR475">
        <v>0</v>
      </c>
      <c r="FS475" t="s">
        <v>1043</v>
      </c>
      <c r="FX475" t="s">
        <v>1042</v>
      </c>
      <c r="FZ475" t="s">
        <v>1048</v>
      </c>
      <c r="GA475">
        <v>0</v>
      </c>
      <c r="GB475" t="s">
        <v>1042</v>
      </c>
      <c r="GD475">
        <v>16</v>
      </c>
      <c r="GE475">
        <v>0</v>
      </c>
      <c r="GG475">
        <v>0</v>
      </c>
      <c r="GN475">
        <v>0</v>
      </c>
      <c r="GO475" t="s">
        <v>1049</v>
      </c>
      <c r="GQ475">
        <v>0</v>
      </c>
      <c r="GU475">
        <v>2</v>
      </c>
      <c r="GY475" t="s">
        <v>1045</v>
      </c>
      <c r="HB475">
        <v>0</v>
      </c>
      <c r="HE475">
        <v>10</v>
      </c>
      <c r="HF475">
        <v>15</v>
      </c>
      <c r="HG475">
        <v>4.156E-2</v>
      </c>
      <c r="HK475" t="s">
        <v>1042</v>
      </c>
      <c r="HM475" t="s">
        <v>1047</v>
      </c>
      <c r="HN475">
        <v>0</v>
      </c>
      <c r="HO475">
        <v>28</v>
      </c>
      <c r="HP475">
        <v>1.1196999999999999</v>
      </c>
      <c r="HQ475">
        <v>0</v>
      </c>
      <c r="HR475" t="s">
        <v>1042</v>
      </c>
      <c r="HS475" t="s">
        <v>1043</v>
      </c>
      <c r="HT475">
        <v>0</v>
      </c>
      <c r="HU475">
        <v>0</v>
      </c>
      <c r="HW475">
        <v>0</v>
      </c>
      <c r="HX475">
        <v>66</v>
      </c>
      <c r="HY475">
        <v>0</v>
      </c>
      <c r="HZ475" t="s">
        <v>1045</v>
      </c>
      <c r="IA475">
        <v>0</v>
      </c>
      <c r="IB475" t="s">
        <v>1045</v>
      </c>
      <c r="ID475" t="s">
        <v>1045</v>
      </c>
      <c r="IF475">
        <v>72</v>
      </c>
      <c r="IG475" s="20">
        <v>43878</v>
      </c>
      <c r="IH475" t="s">
        <v>1046</v>
      </c>
      <c r="II475" t="s">
        <v>1042</v>
      </c>
      <c r="IR475" t="s">
        <v>1045</v>
      </c>
      <c r="IT475">
        <v>0</v>
      </c>
      <c r="IY475" t="s">
        <v>1044</v>
      </c>
      <c r="IZ475" t="s">
        <v>1043</v>
      </c>
      <c r="JE475">
        <v>0</v>
      </c>
      <c r="JF475">
        <v>0</v>
      </c>
      <c r="JI475" t="s">
        <v>1042</v>
      </c>
      <c r="JJ475">
        <v>0</v>
      </c>
      <c r="JK475">
        <v>0</v>
      </c>
      <c r="JL475">
        <v>0</v>
      </c>
      <c r="JM475">
        <v>0</v>
      </c>
      <c r="JT475">
        <v>0</v>
      </c>
      <c r="JU475" t="s">
        <v>1042</v>
      </c>
      <c r="JW475">
        <v>0</v>
      </c>
      <c r="KA475">
        <v>0</v>
      </c>
      <c r="KF475">
        <v>0</v>
      </c>
      <c r="KG475">
        <v>0</v>
      </c>
      <c r="KH475">
        <v>0</v>
      </c>
      <c r="KI475">
        <v>0</v>
      </c>
      <c r="KS475" t="s">
        <v>1073</v>
      </c>
      <c r="KT475">
        <v>0</v>
      </c>
      <c r="KU475">
        <v>0</v>
      </c>
      <c r="KV475">
        <v>0</v>
      </c>
      <c r="KX475">
        <v>0</v>
      </c>
      <c r="KZ475">
        <v>0</v>
      </c>
      <c r="LF475">
        <v>0</v>
      </c>
      <c r="LH475">
        <v>10080</v>
      </c>
      <c r="LI475">
        <v>0</v>
      </c>
    </row>
    <row r="476" spans="1:321" x14ac:dyDescent="0.35">
      <c r="A476">
        <v>1</v>
      </c>
      <c r="B476" t="s">
        <v>1215</v>
      </c>
      <c r="C476" t="s">
        <v>1214</v>
      </c>
      <c r="D476" t="s">
        <v>1064</v>
      </c>
      <c r="E476" t="s">
        <v>85</v>
      </c>
      <c r="F476">
        <v>1</v>
      </c>
      <c r="G476">
        <v>8890</v>
      </c>
      <c r="H476">
        <v>0</v>
      </c>
      <c r="I476" t="s">
        <v>1017</v>
      </c>
      <c r="L476">
        <v>0</v>
      </c>
      <c r="M476">
        <v>9.75</v>
      </c>
      <c r="N476">
        <v>0</v>
      </c>
      <c r="Q476">
        <v>511</v>
      </c>
      <c r="R476">
        <v>0</v>
      </c>
      <c r="S476">
        <v>0</v>
      </c>
      <c r="W476" t="s">
        <v>1060</v>
      </c>
      <c r="X476">
        <v>0</v>
      </c>
      <c r="Z476">
        <v>0</v>
      </c>
      <c r="AA476">
        <v>0</v>
      </c>
      <c r="AB476">
        <v>0</v>
      </c>
      <c r="AC476">
        <v>0.38950000000000001</v>
      </c>
      <c r="AD476" t="s">
        <v>1042</v>
      </c>
      <c r="AE476">
        <v>0</v>
      </c>
      <c r="AF476">
        <v>0</v>
      </c>
      <c r="AH476">
        <v>0</v>
      </c>
      <c r="AJ476">
        <v>0</v>
      </c>
      <c r="AL476">
        <v>145800</v>
      </c>
      <c r="AM476">
        <v>24</v>
      </c>
      <c r="AN476">
        <v>11501001</v>
      </c>
      <c r="AO476">
        <v>0</v>
      </c>
      <c r="AP476">
        <v>2720</v>
      </c>
      <c r="AT476">
        <v>1</v>
      </c>
      <c r="AU476" t="s">
        <v>1059</v>
      </c>
      <c r="AW476" t="s">
        <v>1053</v>
      </c>
      <c r="AX476">
        <v>5</v>
      </c>
      <c r="AY476" s="20">
        <v>43868</v>
      </c>
      <c r="BA476" s="20">
        <v>43868</v>
      </c>
      <c r="BB476" t="s">
        <v>1058</v>
      </c>
      <c r="BD476">
        <v>0</v>
      </c>
      <c r="BF476" t="s">
        <v>1044</v>
      </c>
      <c r="BG476" t="s">
        <v>1042</v>
      </c>
      <c r="BH476">
        <v>0</v>
      </c>
      <c r="BI476">
        <v>36</v>
      </c>
      <c r="BJ476">
        <v>0</v>
      </c>
      <c r="BK476">
        <v>0</v>
      </c>
      <c r="BM476" t="s">
        <v>1042</v>
      </c>
      <c r="BN476">
        <v>0</v>
      </c>
      <c r="BR476" t="s">
        <v>1043</v>
      </c>
      <c r="BS476" t="s">
        <v>1043</v>
      </c>
      <c r="BT476" t="s">
        <v>1043</v>
      </c>
      <c r="BV476">
        <v>1</v>
      </c>
      <c r="BW476">
        <v>2</v>
      </c>
      <c r="BY476">
        <v>69</v>
      </c>
      <c r="CA476">
        <v>0</v>
      </c>
      <c r="CB476" t="s">
        <v>1043</v>
      </c>
      <c r="CE476" t="s">
        <v>1043</v>
      </c>
      <c r="CH476" t="s">
        <v>1043</v>
      </c>
      <c r="CN476" t="s">
        <v>1056</v>
      </c>
      <c r="CO476" t="s">
        <v>1043</v>
      </c>
      <c r="CP476">
        <v>1</v>
      </c>
      <c r="CQ476">
        <v>0</v>
      </c>
      <c r="CS476">
        <v>0</v>
      </c>
      <c r="CT476">
        <v>0</v>
      </c>
      <c r="CU476">
        <v>0</v>
      </c>
      <c r="CW476">
        <v>0</v>
      </c>
      <c r="CX476">
        <v>0</v>
      </c>
      <c r="CY476">
        <v>0</v>
      </c>
      <c r="CZ476">
        <v>0</v>
      </c>
      <c r="DB476">
        <v>0</v>
      </c>
      <c r="DC476" t="s">
        <v>1043</v>
      </c>
      <c r="DF476" t="s">
        <v>1055</v>
      </c>
      <c r="DH476">
        <v>0</v>
      </c>
      <c r="DJ476">
        <v>0</v>
      </c>
      <c r="DK476" t="s">
        <v>1053</v>
      </c>
      <c r="DL476">
        <v>0</v>
      </c>
      <c r="DN476">
        <v>0</v>
      </c>
      <c r="DO476" t="s">
        <v>1042</v>
      </c>
      <c r="DP476">
        <v>0</v>
      </c>
      <c r="DQ476">
        <v>7.6</v>
      </c>
      <c r="DS476">
        <v>0</v>
      </c>
      <c r="DU476">
        <v>1.65</v>
      </c>
      <c r="DW476">
        <v>0</v>
      </c>
      <c r="DX476" t="s">
        <v>1043</v>
      </c>
      <c r="DY476">
        <v>0</v>
      </c>
      <c r="DZ476">
        <v>0</v>
      </c>
      <c r="EA476">
        <v>0</v>
      </c>
      <c r="ED476" t="s">
        <v>1045</v>
      </c>
      <c r="EE476">
        <v>0</v>
      </c>
      <c r="EF476">
        <v>0</v>
      </c>
      <c r="EK476" t="s">
        <v>1054</v>
      </c>
      <c r="EL476">
        <v>0</v>
      </c>
      <c r="EN476" t="s">
        <v>1012</v>
      </c>
      <c r="EQ476" t="s">
        <v>1044</v>
      </c>
      <c r="ES476" t="s">
        <v>1053</v>
      </c>
      <c r="ET476">
        <v>0</v>
      </c>
      <c r="EV476">
        <v>0</v>
      </c>
      <c r="EY476" t="s">
        <v>1052</v>
      </c>
      <c r="EZ476">
        <v>0</v>
      </c>
      <c r="FA476" t="s">
        <v>1043</v>
      </c>
      <c r="FB476">
        <v>0</v>
      </c>
      <c r="FC476">
        <v>0</v>
      </c>
      <c r="FD476" t="s">
        <v>1051</v>
      </c>
      <c r="FE476" t="s">
        <v>1050</v>
      </c>
      <c r="FF476">
        <v>0</v>
      </c>
      <c r="FG476" t="s">
        <v>1050</v>
      </c>
      <c r="FJ476">
        <v>0</v>
      </c>
      <c r="FK476">
        <v>0</v>
      </c>
      <c r="FP476">
        <v>0</v>
      </c>
      <c r="FR476">
        <v>0</v>
      </c>
      <c r="FS476" t="s">
        <v>1043</v>
      </c>
      <c r="FX476" t="s">
        <v>1042</v>
      </c>
      <c r="FZ476" t="s">
        <v>1048</v>
      </c>
      <c r="GA476">
        <v>0</v>
      </c>
      <c r="GB476" t="s">
        <v>1042</v>
      </c>
      <c r="GD476">
        <v>16</v>
      </c>
      <c r="GE476">
        <v>0</v>
      </c>
      <c r="GG476">
        <v>0</v>
      </c>
      <c r="GN476">
        <v>0</v>
      </c>
      <c r="GO476" t="s">
        <v>1063</v>
      </c>
      <c r="GQ476">
        <v>0</v>
      </c>
      <c r="GU476">
        <v>2</v>
      </c>
      <c r="GY476" t="s">
        <v>1045</v>
      </c>
      <c r="HB476">
        <v>0</v>
      </c>
      <c r="HE476">
        <v>10</v>
      </c>
      <c r="HF476">
        <v>15</v>
      </c>
      <c r="HG476">
        <v>0</v>
      </c>
      <c r="HK476" t="s">
        <v>1042</v>
      </c>
      <c r="HM476" t="s">
        <v>1047</v>
      </c>
      <c r="HN476">
        <v>0</v>
      </c>
      <c r="HP476">
        <v>0</v>
      </c>
      <c r="HQ476">
        <v>0</v>
      </c>
      <c r="HR476" t="s">
        <v>1042</v>
      </c>
      <c r="HS476" t="s">
        <v>1043</v>
      </c>
      <c r="HT476">
        <v>0</v>
      </c>
      <c r="HU476">
        <v>0</v>
      </c>
      <c r="HW476">
        <v>0</v>
      </c>
      <c r="HX476">
        <v>0</v>
      </c>
      <c r="HY476">
        <v>0</v>
      </c>
      <c r="HZ476" t="s">
        <v>1045</v>
      </c>
      <c r="IA476">
        <v>0</v>
      </c>
      <c r="IB476" t="s">
        <v>1045</v>
      </c>
      <c r="ID476" t="s">
        <v>1045</v>
      </c>
      <c r="IF476">
        <v>0</v>
      </c>
      <c r="IG476" t="s">
        <v>1042</v>
      </c>
      <c r="IH476" t="s">
        <v>1046</v>
      </c>
      <c r="II476" t="s">
        <v>1042</v>
      </c>
      <c r="IR476" t="s">
        <v>1045</v>
      </c>
      <c r="IT476">
        <v>0</v>
      </c>
      <c r="IY476" t="s">
        <v>1044</v>
      </c>
      <c r="IZ476" t="s">
        <v>1043</v>
      </c>
      <c r="JE476">
        <v>0</v>
      </c>
      <c r="JF476">
        <v>0</v>
      </c>
      <c r="JI476" t="s">
        <v>1042</v>
      </c>
      <c r="JJ476">
        <v>0</v>
      </c>
      <c r="JK476">
        <v>0</v>
      </c>
      <c r="JL476">
        <v>0</v>
      </c>
      <c r="JM476">
        <v>0</v>
      </c>
      <c r="JT476">
        <v>0</v>
      </c>
      <c r="JU476" t="s">
        <v>1042</v>
      </c>
      <c r="JW476">
        <v>0</v>
      </c>
      <c r="KA476">
        <v>0</v>
      </c>
      <c r="KF476">
        <v>0</v>
      </c>
      <c r="KG476">
        <v>0</v>
      </c>
      <c r="KH476">
        <v>0</v>
      </c>
      <c r="KI476">
        <v>0</v>
      </c>
      <c r="KS476" t="s">
        <v>1073</v>
      </c>
      <c r="KT476">
        <v>0</v>
      </c>
      <c r="KU476">
        <v>0</v>
      </c>
      <c r="KV476">
        <v>0</v>
      </c>
      <c r="KX476">
        <v>0</v>
      </c>
      <c r="KZ476">
        <v>0</v>
      </c>
      <c r="LF476">
        <v>0</v>
      </c>
      <c r="LH476">
        <v>0</v>
      </c>
      <c r="LI476">
        <v>0</v>
      </c>
    </row>
    <row r="477" spans="1:321" x14ac:dyDescent="0.35">
      <c r="A477">
        <v>1</v>
      </c>
      <c r="B477">
        <v>1282</v>
      </c>
      <c r="C477" t="s">
        <v>1192</v>
      </c>
      <c r="D477" t="s">
        <v>1061</v>
      </c>
      <c r="E477" t="s">
        <v>85</v>
      </c>
      <c r="F477">
        <v>1</v>
      </c>
      <c r="G477">
        <v>8890</v>
      </c>
      <c r="H477">
        <v>0</v>
      </c>
      <c r="I477" t="s">
        <v>1017</v>
      </c>
      <c r="L477">
        <v>0</v>
      </c>
      <c r="M477">
        <v>9.75</v>
      </c>
      <c r="N477">
        <v>0</v>
      </c>
      <c r="Q477">
        <v>511</v>
      </c>
      <c r="R477">
        <v>0</v>
      </c>
      <c r="S477">
        <v>0</v>
      </c>
      <c r="W477" t="s">
        <v>1060</v>
      </c>
      <c r="X477">
        <v>0</v>
      </c>
      <c r="Z477">
        <v>0</v>
      </c>
      <c r="AA477">
        <v>0</v>
      </c>
      <c r="AB477">
        <v>0</v>
      </c>
      <c r="AC477">
        <v>0.38950000000000001</v>
      </c>
      <c r="AD477" t="s">
        <v>1042</v>
      </c>
      <c r="AE477">
        <v>0</v>
      </c>
      <c r="AF477">
        <v>0</v>
      </c>
      <c r="AH477">
        <v>0</v>
      </c>
      <c r="AJ477">
        <v>0</v>
      </c>
      <c r="AL477">
        <v>145800</v>
      </c>
      <c r="AM477">
        <v>0</v>
      </c>
      <c r="AN477">
        <v>11501001</v>
      </c>
      <c r="AO477">
        <v>0</v>
      </c>
      <c r="AP477">
        <v>1002</v>
      </c>
      <c r="AT477">
        <v>1</v>
      </c>
      <c r="AU477" t="s">
        <v>1059</v>
      </c>
      <c r="AW477" t="s">
        <v>1053</v>
      </c>
      <c r="AX477">
        <v>0</v>
      </c>
      <c r="AY477" s="20">
        <v>43242</v>
      </c>
      <c r="BA477" s="20">
        <v>43242</v>
      </c>
      <c r="BB477" t="s">
        <v>1058</v>
      </c>
      <c r="BD477">
        <v>0</v>
      </c>
      <c r="BF477" t="s">
        <v>1044</v>
      </c>
      <c r="BG477" t="s">
        <v>1042</v>
      </c>
      <c r="BH477">
        <v>0</v>
      </c>
      <c r="BI477">
        <v>36</v>
      </c>
      <c r="BJ477">
        <v>0</v>
      </c>
      <c r="BK477">
        <v>0</v>
      </c>
      <c r="BM477" t="s">
        <v>1042</v>
      </c>
      <c r="BN477">
        <v>0</v>
      </c>
      <c r="BR477" t="s">
        <v>1043</v>
      </c>
      <c r="BS477" t="s">
        <v>1043</v>
      </c>
      <c r="BT477" t="s">
        <v>1043</v>
      </c>
      <c r="BV477">
        <v>1</v>
      </c>
      <c r="BW477">
        <v>2</v>
      </c>
      <c r="BY477">
        <v>69</v>
      </c>
      <c r="CA477">
        <v>0</v>
      </c>
      <c r="CB477" t="s">
        <v>1043</v>
      </c>
      <c r="CE477" t="s">
        <v>1043</v>
      </c>
      <c r="CH477" t="s">
        <v>1043</v>
      </c>
      <c r="CN477" t="s">
        <v>1056</v>
      </c>
      <c r="CO477" t="s">
        <v>1043</v>
      </c>
      <c r="CP477">
        <v>1</v>
      </c>
      <c r="CQ477">
        <v>0</v>
      </c>
      <c r="CS477">
        <v>0</v>
      </c>
      <c r="CT477">
        <v>0</v>
      </c>
      <c r="CU477">
        <v>0</v>
      </c>
      <c r="CW477">
        <v>0</v>
      </c>
      <c r="CX477">
        <v>0</v>
      </c>
      <c r="CY477">
        <v>0</v>
      </c>
      <c r="CZ477">
        <v>0</v>
      </c>
      <c r="DB477">
        <v>0</v>
      </c>
      <c r="DC477" t="s">
        <v>1043</v>
      </c>
      <c r="DF477" t="s">
        <v>1055</v>
      </c>
      <c r="DH477">
        <v>0</v>
      </c>
      <c r="DJ477">
        <v>0</v>
      </c>
      <c r="DK477" t="s">
        <v>1053</v>
      </c>
      <c r="DL477">
        <v>0</v>
      </c>
      <c r="DN477">
        <v>0</v>
      </c>
      <c r="DO477" t="s">
        <v>1042</v>
      </c>
      <c r="DP477">
        <v>0</v>
      </c>
      <c r="DQ477">
        <v>7.6</v>
      </c>
      <c r="DS477">
        <v>0</v>
      </c>
      <c r="DU477">
        <v>1.65</v>
      </c>
      <c r="DW477">
        <v>0</v>
      </c>
      <c r="DX477" t="s">
        <v>1043</v>
      </c>
      <c r="DY477">
        <v>0</v>
      </c>
      <c r="DZ477">
        <v>0</v>
      </c>
      <c r="EA477">
        <v>0</v>
      </c>
      <c r="ED477" t="s">
        <v>1045</v>
      </c>
      <c r="EE477">
        <v>0</v>
      </c>
      <c r="EF477">
        <v>0</v>
      </c>
      <c r="EK477" t="s">
        <v>1054</v>
      </c>
      <c r="EN477" t="s">
        <v>1012</v>
      </c>
      <c r="EQ477" t="s">
        <v>1044</v>
      </c>
      <c r="ES477" t="s">
        <v>1053</v>
      </c>
      <c r="ET477">
        <v>0</v>
      </c>
      <c r="EV477">
        <v>0</v>
      </c>
      <c r="EY477" t="s">
        <v>1052</v>
      </c>
      <c r="EZ477">
        <v>0</v>
      </c>
      <c r="FA477" t="s">
        <v>1043</v>
      </c>
      <c r="FB477">
        <v>0</v>
      </c>
      <c r="FC477">
        <v>0</v>
      </c>
      <c r="FD477" t="s">
        <v>1051</v>
      </c>
      <c r="FE477" t="s">
        <v>1050</v>
      </c>
      <c r="FF477">
        <v>0</v>
      </c>
      <c r="FG477" t="s">
        <v>1050</v>
      </c>
      <c r="FJ477">
        <v>0</v>
      </c>
      <c r="FK477">
        <v>0</v>
      </c>
      <c r="FP477">
        <v>0</v>
      </c>
      <c r="FR477">
        <v>0</v>
      </c>
      <c r="FS477" t="s">
        <v>1043</v>
      </c>
      <c r="FX477" t="s">
        <v>1042</v>
      </c>
      <c r="FZ477" t="s">
        <v>1048</v>
      </c>
      <c r="GA477">
        <v>0</v>
      </c>
      <c r="GB477" t="s">
        <v>1042</v>
      </c>
      <c r="GD477">
        <v>16</v>
      </c>
      <c r="GE477">
        <v>0</v>
      </c>
      <c r="GG477">
        <v>0</v>
      </c>
      <c r="GN477">
        <v>0</v>
      </c>
      <c r="GO477" t="s">
        <v>1049</v>
      </c>
      <c r="GQ477">
        <v>0</v>
      </c>
      <c r="GU477">
        <v>2</v>
      </c>
      <c r="GY477" t="s">
        <v>1045</v>
      </c>
      <c r="HB477">
        <v>0</v>
      </c>
      <c r="HE477">
        <v>10</v>
      </c>
      <c r="HF477">
        <v>15</v>
      </c>
      <c r="HG477">
        <v>0</v>
      </c>
      <c r="HK477" t="s">
        <v>1042</v>
      </c>
      <c r="HM477" t="s">
        <v>1047</v>
      </c>
      <c r="HN477">
        <v>0</v>
      </c>
      <c r="HP477">
        <v>0</v>
      </c>
      <c r="HQ477">
        <v>0</v>
      </c>
      <c r="HR477" t="s">
        <v>1042</v>
      </c>
      <c r="HS477" t="s">
        <v>1043</v>
      </c>
      <c r="HT477">
        <v>0</v>
      </c>
      <c r="HU477">
        <v>0</v>
      </c>
      <c r="HW477">
        <v>0</v>
      </c>
      <c r="HX477">
        <v>0</v>
      </c>
      <c r="HY477">
        <v>0</v>
      </c>
      <c r="HZ477" t="s">
        <v>1045</v>
      </c>
      <c r="IA477">
        <v>0</v>
      </c>
      <c r="IB477" t="s">
        <v>1045</v>
      </c>
      <c r="ID477" t="s">
        <v>1045</v>
      </c>
      <c r="IF477">
        <v>0</v>
      </c>
      <c r="IG477" t="s">
        <v>1042</v>
      </c>
      <c r="IH477" t="s">
        <v>1046</v>
      </c>
      <c r="II477" t="s">
        <v>1042</v>
      </c>
      <c r="IR477" t="s">
        <v>1045</v>
      </c>
      <c r="IT477">
        <v>0</v>
      </c>
      <c r="IY477" t="s">
        <v>1044</v>
      </c>
      <c r="IZ477" t="s">
        <v>1043</v>
      </c>
      <c r="JE477">
        <v>0</v>
      </c>
      <c r="JF477">
        <v>0</v>
      </c>
      <c r="JI477" t="s">
        <v>1042</v>
      </c>
      <c r="JJ477">
        <v>0</v>
      </c>
      <c r="JK477">
        <v>0</v>
      </c>
      <c r="JL477">
        <v>0</v>
      </c>
      <c r="JM477">
        <v>0</v>
      </c>
      <c r="JT477">
        <v>0</v>
      </c>
      <c r="JU477" t="s">
        <v>1042</v>
      </c>
      <c r="JW477">
        <v>0</v>
      </c>
      <c r="KA477">
        <v>0</v>
      </c>
      <c r="KF477">
        <v>0</v>
      </c>
      <c r="KG477">
        <v>0</v>
      </c>
      <c r="KH477">
        <v>0</v>
      </c>
      <c r="KI477">
        <v>0</v>
      </c>
      <c r="KS477" t="s">
        <v>1073</v>
      </c>
      <c r="KT477">
        <v>0</v>
      </c>
      <c r="KU477">
        <v>0</v>
      </c>
      <c r="KV477">
        <v>0</v>
      </c>
      <c r="KX477">
        <v>0</v>
      </c>
      <c r="KZ477">
        <v>0</v>
      </c>
      <c r="LF477">
        <v>0</v>
      </c>
      <c r="LH477">
        <v>0</v>
      </c>
      <c r="LI477">
        <v>0</v>
      </c>
    </row>
    <row r="478" spans="1:321" x14ac:dyDescent="0.35">
      <c r="A478">
        <v>1</v>
      </c>
      <c r="B478">
        <v>1283</v>
      </c>
      <c r="C478" t="s">
        <v>661</v>
      </c>
      <c r="D478" t="s">
        <v>1061</v>
      </c>
      <c r="E478" t="s">
        <v>85</v>
      </c>
      <c r="F478">
        <v>1</v>
      </c>
      <c r="G478">
        <v>240</v>
      </c>
      <c r="H478">
        <v>0</v>
      </c>
      <c r="I478" t="s">
        <v>1017</v>
      </c>
      <c r="L478">
        <v>0</v>
      </c>
      <c r="M478">
        <v>9.75</v>
      </c>
      <c r="N478">
        <v>0</v>
      </c>
      <c r="Q478">
        <v>511</v>
      </c>
      <c r="R478">
        <v>0</v>
      </c>
      <c r="S478">
        <v>0</v>
      </c>
      <c r="W478" t="s">
        <v>1060</v>
      </c>
      <c r="X478">
        <v>0</v>
      </c>
      <c r="Z478">
        <v>8</v>
      </c>
      <c r="AA478">
        <v>97.662999999999997</v>
      </c>
      <c r="AB478">
        <v>161</v>
      </c>
      <c r="AC478">
        <v>8.1199999999999992</v>
      </c>
      <c r="AD478" t="s">
        <v>1042</v>
      </c>
      <c r="AE478">
        <v>0</v>
      </c>
      <c r="AF478">
        <v>0.68269999999999997</v>
      </c>
      <c r="AH478">
        <v>15</v>
      </c>
      <c r="AJ478">
        <v>0</v>
      </c>
      <c r="AL478">
        <v>0</v>
      </c>
      <c r="AM478">
        <v>640</v>
      </c>
      <c r="AN478">
        <v>11501001</v>
      </c>
      <c r="AO478">
        <v>0</v>
      </c>
      <c r="AP478">
        <v>1002</v>
      </c>
      <c r="AT478">
        <v>1</v>
      </c>
      <c r="AU478" t="s">
        <v>1059</v>
      </c>
      <c r="AW478" t="s">
        <v>1053</v>
      </c>
      <c r="AX478">
        <v>5</v>
      </c>
      <c r="AY478" s="20">
        <v>43242</v>
      </c>
      <c r="BA478" s="20">
        <v>44420</v>
      </c>
      <c r="BB478" t="s">
        <v>1058</v>
      </c>
      <c r="BD478">
        <v>0</v>
      </c>
      <c r="BF478" t="s">
        <v>1044</v>
      </c>
      <c r="BG478" t="s">
        <v>1042</v>
      </c>
      <c r="BH478">
        <v>0</v>
      </c>
      <c r="BI478">
        <v>36</v>
      </c>
      <c r="BJ478">
        <v>0</v>
      </c>
      <c r="BK478">
        <v>0</v>
      </c>
      <c r="BM478" s="20">
        <v>44193</v>
      </c>
      <c r="BN478">
        <v>0</v>
      </c>
      <c r="BO478">
        <v>7897801320481</v>
      </c>
      <c r="BR478" t="s">
        <v>1043</v>
      </c>
      <c r="BS478" t="s">
        <v>1043</v>
      </c>
      <c r="BT478" t="s">
        <v>1043</v>
      </c>
      <c r="BV478">
        <v>1</v>
      </c>
      <c r="BW478">
        <v>2</v>
      </c>
      <c r="BY478">
        <v>78</v>
      </c>
      <c r="CA478">
        <v>0</v>
      </c>
      <c r="CB478" t="s">
        <v>1043</v>
      </c>
      <c r="CE478" t="s">
        <v>1043</v>
      </c>
      <c r="CH478" t="s">
        <v>1043</v>
      </c>
      <c r="CN478" t="s">
        <v>1056</v>
      </c>
      <c r="CO478" t="s">
        <v>1043</v>
      </c>
      <c r="CP478">
        <v>1</v>
      </c>
      <c r="CQ478">
        <v>0</v>
      </c>
      <c r="CS478">
        <v>0</v>
      </c>
      <c r="CT478">
        <v>0</v>
      </c>
      <c r="CU478">
        <v>0</v>
      </c>
      <c r="CW478">
        <v>0</v>
      </c>
      <c r="CX478">
        <v>0</v>
      </c>
      <c r="CY478">
        <v>0</v>
      </c>
      <c r="CZ478">
        <v>0</v>
      </c>
      <c r="DA478">
        <v>8</v>
      </c>
      <c r="DB478">
        <v>0</v>
      </c>
      <c r="DC478" t="s">
        <v>1043</v>
      </c>
      <c r="DF478" t="s">
        <v>1055</v>
      </c>
      <c r="DH478">
        <v>0</v>
      </c>
      <c r="DJ478">
        <v>0</v>
      </c>
      <c r="DK478" t="s">
        <v>1053</v>
      </c>
      <c r="DL478">
        <v>0</v>
      </c>
      <c r="DN478">
        <v>0</v>
      </c>
      <c r="DO478" t="s">
        <v>1042</v>
      </c>
      <c r="DP478">
        <v>0</v>
      </c>
      <c r="DQ478">
        <v>7.6</v>
      </c>
      <c r="DS478">
        <v>0</v>
      </c>
      <c r="DU478">
        <v>1.65</v>
      </c>
      <c r="DW478">
        <v>0</v>
      </c>
      <c r="DX478" t="s">
        <v>1043</v>
      </c>
      <c r="DY478">
        <v>0</v>
      </c>
      <c r="DZ478">
        <v>0</v>
      </c>
      <c r="EA478">
        <v>0</v>
      </c>
      <c r="EB478">
        <v>17897801320488</v>
      </c>
      <c r="ED478" t="s">
        <v>1045</v>
      </c>
      <c r="EE478">
        <v>0</v>
      </c>
      <c r="EF478">
        <v>0</v>
      </c>
      <c r="EK478" t="s">
        <v>1054</v>
      </c>
      <c r="EL478">
        <v>57897801320486</v>
      </c>
      <c r="EN478" t="s">
        <v>1012</v>
      </c>
      <c r="EQ478" t="s">
        <v>1044</v>
      </c>
      <c r="ES478" t="s">
        <v>1053</v>
      </c>
      <c r="ET478">
        <v>0</v>
      </c>
      <c r="EV478">
        <v>0</v>
      </c>
      <c r="EY478" t="s">
        <v>1052</v>
      </c>
      <c r="EZ478">
        <v>0</v>
      </c>
      <c r="FA478" t="s">
        <v>1043</v>
      </c>
      <c r="FB478">
        <v>0</v>
      </c>
      <c r="FC478">
        <v>0</v>
      </c>
      <c r="FD478" t="s">
        <v>1051</v>
      </c>
      <c r="FE478" t="s">
        <v>1050</v>
      </c>
      <c r="FF478">
        <v>0</v>
      </c>
      <c r="FG478" t="s">
        <v>1050</v>
      </c>
      <c r="FH478">
        <v>27897801320485</v>
      </c>
      <c r="FJ478">
        <v>0</v>
      </c>
      <c r="FK478">
        <v>0</v>
      </c>
      <c r="FP478">
        <v>0</v>
      </c>
      <c r="FR478">
        <v>0</v>
      </c>
      <c r="FS478" t="s">
        <v>1043</v>
      </c>
      <c r="FX478" t="s">
        <v>1042</v>
      </c>
      <c r="FZ478" t="s">
        <v>1048</v>
      </c>
      <c r="GA478">
        <v>0</v>
      </c>
      <c r="GB478" t="s">
        <v>1042</v>
      </c>
      <c r="GD478">
        <v>16</v>
      </c>
      <c r="GE478">
        <v>0</v>
      </c>
      <c r="GG478">
        <v>0</v>
      </c>
      <c r="GN478">
        <v>0</v>
      </c>
      <c r="GO478" t="s">
        <v>1049</v>
      </c>
      <c r="GQ478">
        <v>0</v>
      </c>
      <c r="GU478">
        <v>2</v>
      </c>
      <c r="GY478" t="s">
        <v>1045</v>
      </c>
      <c r="HB478">
        <v>0</v>
      </c>
      <c r="HE478">
        <v>10</v>
      </c>
      <c r="HF478">
        <v>15</v>
      </c>
      <c r="HG478">
        <v>3.5200000000000001E-3</v>
      </c>
      <c r="HK478" t="s">
        <v>1042</v>
      </c>
      <c r="HM478" t="s">
        <v>1047</v>
      </c>
      <c r="HN478">
        <v>0</v>
      </c>
      <c r="HO478">
        <v>28</v>
      </c>
      <c r="HP478">
        <v>0.32090000000000002</v>
      </c>
      <c r="HQ478">
        <v>0</v>
      </c>
      <c r="HR478" t="s">
        <v>1042</v>
      </c>
      <c r="HS478" t="s">
        <v>1043</v>
      </c>
      <c r="HT478">
        <v>0</v>
      </c>
      <c r="HU478">
        <v>0</v>
      </c>
      <c r="HW478">
        <v>0</v>
      </c>
      <c r="HX478">
        <v>380</v>
      </c>
      <c r="HY478">
        <v>0</v>
      </c>
      <c r="HZ478" t="s">
        <v>1045</v>
      </c>
      <c r="IA478">
        <v>0</v>
      </c>
      <c r="IB478" t="s">
        <v>1045</v>
      </c>
      <c r="ID478" t="s">
        <v>1045</v>
      </c>
      <c r="IF478">
        <v>360</v>
      </c>
      <c r="IG478" t="s">
        <v>1042</v>
      </c>
      <c r="IH478" t="s">
        <v>1046</v>
      </c>
      <c r="II478" t="s">
        <v>1042</v>
      </c>
      <c r="IR478" t="s">
        <v>1045</v>
      </c>
      <c r="IT478">
        <v>0</v>
      </c>
      <c r="IY478" t="s">
        <v>1044</v>
      </c>
      <c r="IZ478" t="s">
        <v>1043</v>
      </c>
      <c r="JE478">
        <v>0</v>
      </c>
      <c r="JF478">
        <v>0</v>
      </c>
      <c r="JI478" t="s">
        <v>1042</v>
      </c>
      <c r="JJ478">
        <v>0</v>
      </c>
      <c r="JK478">
        <v>0</v>
      </c>
      <c r="JL478">
        <v>0</v>
      </c>
      <c r="JM478">
        <v>0</v>
      </c>
      <c r="JT478">
        <v>0</v>
      </c>
      <c r="JU478" t="s">
        <v>1042</v>
      </c>
      <c r="JW478">
        <v>0</v>
      </c>
      <c r="KA478">
        <v>0</v>
      </c>
      <c r="KF478">
        <v>0</v>
      </c>
      <c r="KG478">
        <v>0</v>
      </c>
      <c r="KH478">
        <v>0</v>
      </c>
      <c r="KI478">
        <v>0</v>
      </c>
      <c r="KS478" t="s">
        <v>1073</v>
      </c>
      <c r="KT478">
        <v>0</v>
      </c>
      <c r="KU478">
        <v>0</v>
      </c>
      <c r="KV478">
        <v>0</v>
      </c>
      <c r="KX478">
        <v>0</v>
      </c>
      <c r="KZ478">
        <v>0</v>
      </c>
      <c r="LF478">
        <v>0</v>
      </c>
      <c r="LH478">
        <v>22008</v>
      </c>
      <c r="LI478">
        <v>0</v>
      </c>
    </row>
    <row r="479" spans="1:321" x14ac:dyDescent="0.35">
      <c r="A479">
        <v>1</v>
      </c>
      <c r="B479" t="s">
        <v>1213</v>
      </c>
      <c r="C479" t="s">
        <v>661</v>
      </c>
      <c r="D479" t="s">
        <v>1064</v>
      </c>
      <c r="E479" t="s">
        <v>85</v>
      </c>
      <c r="F479">
        <v>1</v>
      </c>
      <c r="G479">
        <v>8890</v>
      </c>
      <c r="H479">
        <v>0</v>
      </c>
      <c r="I479" t="s">
        <v>1017</v>
      </c>
      <c r="L479">
        <v>0</v>
      </c>
      <c r="M479">
        <v>9.75</v>
      </c>
      <c r="N479">
        <v>0</v>
      </c>
      <c r="Q479">
        <v>511</v>
      </c>
      <c r="R479">
        <v>0</v>
      </c>
      <c r="S479">
        <v>0</v>
      </c>
      <c r="W479" t="s">
        <v>1060</v>
      </c>
      <c r="X479">
        <v>0</v>
      </c>
      <c r="Z479">
        <v>0</v>
      </c>
      <c r="AA479">
        <v>0</v>
      </c>
      <c r="AB479">
        <v>0</v>
      </c>
      <c r="AC479">
        <v>0.38950000000000001</v>
      </c>
      <c r="AD479" t="s">
        <v>1042</v>
      </c>
      <c r="AE479">
        <v>0</v>
      </c>
      <c r="AF479">
        <v>0</v>
      </c>
      <c r="AH479">
        <v>0</v>
      </c>
      <c r="AJ479">
        <v>0</v>
      </c>
      <c r="AL479">
        <v>145800</v>
      </c>
      <c r="AM479">
        <v>24</v>
      </c>
      <c r="AN479">
        <v>11501001</v>
      </c>
      <c r="AO479">
        <v>0</v>
      </c>
      <c r="AP479">
        <v>2720</v>
      </c>
      <c r="AT479">
        <v>1</v>
      </c>
      <c r="AU479" t="s">
        <v>1059</v>
      </c>
      <c r="AW479" t="s">
        <v>1053</v>
      </c>
      <c r="AX479">
        <v>5</v>
      </c>
      <c r="AY479" s="20">
        <v>43868</v>
      </c>
      <c r="BA479" s="20">
        <v>43868</v>
      </c>
      <c r="BB479" t="s">
        <v>1058</v>
      </c>
      <c r="BD479">
        <v>0</v>
      </c>
      <c r="BF479" t="s">
        <v>1044</v>
      </c>
      <c r="BG479" t="s">
        <v>1042</v>
      </c>
      <c r="BH479">
        <v>0</v>
      </c>
      <c r="BI479">
        <v>36</v>
      </c>
      <c r="BJ479">
        <v>0</v>
      </c>
      <c r="BK479">
        <v>0</v>
      </c>
      <c r="BM479" t="s">
        <v>1042</v>
      </c>
      <c r="BN479">
        <v>0</v>
      </c>
      <c r="BR479" t="s">
        <v>1043</v>
      </c>
      <c r="BS479" t="s">
        <v>1043</v>
      </c>
      <c r="BT479" t="s">
        <v>1043</v>
      </c>
      <c r="BV479">
        <v>1</v>
      </c>
      <c r="BW479">
        <v>2</v>
      </c>
      <c r="BY479">
        <v>69</v>
      </c>
      <c r="CA479">
        <v>0</v>
      </c>
      <c r="CB479" t="s">
        <v>1043</v>
      </c>
      <c r="CE479" t="s">
        <v>1043</v>
      </c>
      <c r="CH479" t="s">
        <v>1043</v>
      </c>
      <c r="CN479" t="s">
        <v>1056</v>
      </c>
      <c r="CO479" t="s">
        <v>1043</v>
      </c>
      <c r="CP479">
        <v>1</v>
      </c>
      <c r="CQ479">
        <v>0</v>
      </c>
      <c r="CS479">
        <v>0</v>
      </c>
      <c r="CT479">
        <v>0</v>
      </c>
      <c r="CU479">
        <v>0</v>
      </c>
      <c r="CW479">
        <v>0</v>
      </c>
      <c r="CX479">
        <v>0</v>
      </c>
      <c r="CY479">
        <v>0</v>
      </c>
      <c r="CZ479">
        <v>0</v>
      </c>
      <c r="DB479">
        <v>0</v>
      </c>
      <c r="DC479" t="s">
        <v>1043</v>
      </c>
      <c r="DF479" t="s">
        <v>1055</v>
      </c>
      <c r="DH479">
        <v>0</v>
      </c>
      <c r="DJ479">
        <v>0</v>
      </c>
      <c r="DK479" t="s">
        <v>1053</v>
      </c>
      <c r="DL479">
        <v>0</v>
      </c>
      <c r="DN479">
        <v>0</v>
      </c>
      <c r="DO479" t="s">
        <v>1042</v>
      </c>
      <c r="DP479">
        <v>0</v>
      </c>
      <c r="DQ479">
        <v>7.6</v>
      </c>
      <c r="DS479">
        <v>0</v>
      </c>
      <c r="DU479">
        <v>1.65</v>
      </c>
      <c r="DW479">
        <v>0</v>
      </c>
      <c r="DX479" t="s">
        <v>1043</v>
      </c>
      <c r="DY479">
        <v>0</v>
      </c>
      <c r="DZ479">
        <v>0</v>
      </c>
      <c r="EA479">
        <v>0</v>
      </c>
      <c r="ED479" t="s">
        <v>1045</v>
      </c>
      <c r="EE479">
        <v>0</v>
      </c>
      <c r="EF479">
        <v>0</v>
      </c>
      <c r="EK479" t="s">
        <v>1054</v>
      </c>
      <c r="EN479" t="s">
        <v>1012</v>
      </c>
      <c r="EQ479" t="s">
        <v>1044</v>
      </c>
      <c r="ES479" t="s">
        <v>1053</v>
      </c>
      <c r="ET479">
        <v>0</v>
      </c>
      <c r="EV479">
        <v>0</v>
      </c>
      <c r="EY479" t="s">
        <v>1052</v>
      </c>
      <c r="EZ479">
        <v>0</v>
      </c>
      <c r="FA479" t="s">
        <v>1043</v>
      </c>
      <c r="FB479">
        <v>0</v>
      </c>
      <c r="FC479">
        <v>0</v>
      </c>
      <c r="FD479" t="s">
        <v>1051</v>
      </c>
      <c r="FE479" t="s">
        <v>1050</v>
      </c>
      <c r="FF479">
        <v>0</v>
      </c>
      <c r="FG479" t="s">
        <v>1050</v>
      </c>
      <c r="FJ479">
        <v>0</v>
      </c>
      <c r="FK479">
        <v>0</v>
      </c>
      <c r="FP479">
        <v>0</v>
      </c>
      <c r="FR479">
        <v>0</v>
      </c>
      <c r="FS479" t="s">
        <v>1043</v>
      </c>
      <c r="FX479" t="s">
        <v>1042</v>
      </c>
      <c r="FZ479" t="s">
        <v>1048</v>
      </c>
      <c r="GA479">
        <v>0</v>
      </c>
      <c r="GB479" t="s">
        <v>1042</v>
      </c>
      <c r="GD479">
        <v>16</v>
      </c>
      <c r="GE479">
        <v>0</v>
      </c>
      <c r="GG479">
        <v>0</v>
      </c>
      <c r="GN479">
        <v>0</v>
      </c>
      <c r="GO479" t="s">
        <v>1063</v>
      </c>
      <c r="GQ479">
        <v>0</v>
      </c>
      <c r="GU479">
        <v>2</v>
      </c>
      <c r="GY479" t="s">
        <v>1045</v>
      </c>
      <c r="HB479">
        <v>0</v>
      </c>
      <c r="HE479">
        <v>10</v>
      </c>
      <c r="HF479">
        <v>15</v>
      </c>
      <c r="HG479">
        <v>0</v>
      </c>
      <c r="HK479" t="s">
        <v>1042</v>
      </c>
      <c r="HM479" t="s">
        <v>1047</v>
      </c>
      <c r="HN479">
        <v>0</v>
      </c>
      <c r="HP479">
        <v>0</v>
      </c>
      <c r="HQ479">
        <v>0</v>
      </c>
      <c r="HR479" t="s">
        <v>1042</v>
      </c>
      <c r="HS479" t="s">
        <v>1043</v>
      </c>
      <c r="HT479">
        <v>0</v>
      </c>
      <c r="HU479">
        <v>0</v>
      </c>
      <c r="HW479">
        <v>0</v>
      </c>
      <c r="HX479">
        <v>0</v>
      </c>
      <c r="HY479">
        <v>0</v>
      </c>
      <c r="HZ479" t="s">
        <v>1045</v>
      </c>
      <c r="IA479">
        <v>0</v>
      </c>
      <c r="IB479" t="s">
        <v>1045</v>
      </c>
      <c r="ID479" t="s">
        <v>1045</v>
      </c>
      <c r="IF479">
        <v>0</v>
      </c>
      <c r="IG479" t="s">
        <v>1042</v>
      </c>
      <c r="IH479" t="s">
        <v>1046</v>
      </c>
      <c r="II479" t="s">
        <v>1042</v>
      </c>
      <c r="IR479" t="s">
        <v>1045</v>
      </c>
      <c r="IT479">
        <v>0</v>
      </c>
      <c r="IY479" t="s">
        <v>1044</v>
      </c>
      <c r="IZ479" t="s">
        <v>1043</v>
      </c>
      <c r="JE479">
        <v>0</v>
      </c>
      <c r="JF479">
        <v>0</v>
      </c>
      <c r="JI479" t="s">
        <v>1042</v>
      </c>
      <c r="JJ479">
        <v>0</v>
      </c>
      <c r="JK479">
        <v>0</v>
      </c>
      <c r="JL479">
        <v>0</v>
      </c>
      <c r="JM479">
        <v>0</v>
      </c>
      <c r="JT479">
        <v>0</v>
      </c>
      <c r="JU479" t="s">
        <v>1042</v>
      </c>
      <c r="JW479">
        <v>0</v>
      </c>
      <c r="KA479">
        <v>0</v>
      </c>
      <c r="KF479">
        <v>0</v>
      </c>
      <c r="KG479">
        <v>0</v>
      </c>
      <c r="KH479">
        <v>0</v>
      </c>
      <c r="KI479">
        <v>0</v>
      </c>
      <c r="KS479" t="s">
        <v>1073</v>
      </c>
      <c r="KT479">
        <v>0</v>
      </c>
      <c r="KU479">
        <v>0</v>
      </c>
      <c r="KV479">
        <v>0</v>
      </c>
      <c r="KX479">
        <v>0</v>
      </c>
      <c r="KZ479">
        <v>0</v>
      </c>
      <c r="LF479">
        <v>0</v>
      </c>
      <c r="LH479">
        <v>0</v>
      </c>
      <c r="LI479">
        <v>0</v>
      </c>
    </row>
    <row r="480" spans="1:321" x14ac:dyDescent="0.35">
      <c r="A480">
        <v>1</v>
      </c>
      <c r="B480">
        <v>1284</v>
      </c>
      <c r="C480" t="s">
        <v>662</v>
      </c>
      <c r="D480" t="s">
        <v>1061</v>
      </c>
      <c r="E480" t="s">
        <v>85</v>
      </c>
      <c r="F480">
        <v>1</v>
      </c>
      <c r="G480">
        <v>240</v>
      </c>
      <c r="H480">
        <v>0</v>
      </c>
      <c r="I480" t="s">
        <v>1017</v>
      </c>
      <c r="L480">
        <v>0</v>
      </c>
      <c r="M480">
        <v>9.75</v>
      </c>
      <c r="N480">
        <v>0</v>
      </c>
      <c r="Q480">
        <v>511</v>
      </c>
      <c r="R480">
        <v>0</v>
      </c>
      <c r="S480">
        <v>0</v>
      </c>
      <c r="W480" t="s">
        <v>1060</v>
      </c>
      <c r="X480">
        <v>0</v>
      </c>
      <c r="Z480">
        <v>8</v>
      </c>
      <c r="AA480">
        <v>204.85400000000001</v>
      </c>
      <c r="AB480">
        <v>103</v>
      </c>
      <c r="AC480">
        <v>0.38950000000000001</v>
      </c>
      <c r="AD480" t="s">
        <v>1042</v>
      </c>
      <c r="AE480">
        <v>0</v>
      </c>
      <c r="AF480">
        <v>1.0511999999999999</v>
      </c>
      <c r="AH480">
        <v>8</v>
      </c>
      <c r="AJ480">
        <v>0</v>
      </c>
      <c r="AL480">
        <v>145800</v>
      </c>
      <c r="AM480">
        <v>576</v>
      </c>
      <c r="AN480">
        <v>11501001</v>
      </c>
      <c r="AO480">
        <v>0</v>
      </c>
      <c r="AP480">
        <v>1002</v>
      </c>
      <c r="AT480">
        <v>1</v>
      </c>
      <c r="AU480" t="s">
        <v>1059</v>
      </c>
      <c r="AW480" t="s">
        <v>1053</v>
      </c>
      <c r="AX480">
        <v>5</v>
      </c>
      <c r="AY480" s="20">
        <v>43242</v>
      </c>
      <c r="BA480" s="20">
        <v>44420</v>
      </c>
      <c r="BB480" t="s">
        <v>1058</v>
      </c>
      <c r="BD480">
        <v>0</v>
      </c>
      <c r="BF480" t="s">
        <v>1044</v>
      </c>
      <c r="BG480" s="20">
        <v>44274</v>
      </c>
      <c r="BH480">
        <v>0</v>
      </c>
      <c r="BI480">
        <v>36</v>
      </c>
      <c r="BJ480">
        <v>0</v>
      </c>
      <c r="BK480">
        <v>0</v>
      </c>
      <c r="BM480" s="20">
        <v>44236</v>
      </c>
      <c r="BN480">
        <v>0</v>
      </c>
      <c r="BO480">
        <v>7897801320498</v>
      </c>
      <c r="BR480" t="s">
        <v>1043</v>
      </c>
      <c r="BS480" t="s">
        <v>1043</v>
      </c>
      <c r="BT480" t="s">
        <v>1043</v>
      </c>
      <c r="BV480">
        <v>1</v>
      </c>
      <c r="BW480">
        <v>2</v>
      </c>
      <c r="BY480">
        <v>78</v>
      </c>
      <c r="CA480">
        <v>0</v>
      </c>
      <c r="CB480" t="s">
        <v>1043</v>
      </c>
      <c r="CE480" t="s">
        <v>1043</v>
      </c>
      <c r="CH480" t="s">
        <v>1043</v>
      </c>
      <c r="CN480" t="s">
        <v>1056</v>
      </c>
      <c r="CO480" t="s">
        <v>1043</v>
      </c>
      <c r="CP480">
        <v>1</v>
      </c>
      <c r="CQ480">
        <v>0</v>
      </c>
      <c r="CS480">
        <v>0</v>
      </c>
      <c r="CT480">
        <v>0</v>
      </c>
      <c r="CU480">
        <v>0</v>
      </c>
      <c r="CW480">
        <v>0</v>
      </c>
      <c r="CX480">
        <v>0</v>
      </c>
      <c r="CY480">
        <v>0</v>
      </c>
      <c r="CZ480">
        <v>0</v>
      </c>
      <c r="DA480">
        <v>8</v>
      </c>
      <c r="DB480">
        <v>0</v>
      </c>
      <c r="DC480" t="s">
        <v>1043</v>
      </c>
      <c r="DF480" t="s">
        <v>1055</v>
      </c>
      <c r="DH480">
        <v>0</v>
      </c>
      <c r="DJ480">
        <v>0</v>
      </c>
      <c r="DK480" t="s">
        <v>1053</v>
      </c>
      <c r="DL480">
        <v>0</v>
      </c>
      <c r="DN480">
        <v>0</v>
      </c>
      <c r="DO480" t="s">
        <v>1042</v>
      </c>
      <c r="DP480">
        <v>0</v>
      </c>
      <c r="DQ480">
        <v>7.6</v>
      </c>
      <c r="DS480">
        <v>0</v>
      </c>
      <c r="DU480">
        <v>1.65</v>
      </c>
      <c r="DW480">
        <v>0</v>
      </c>
      <c r="DX480" t="s">
        <v>1043</v>
      </c>
      <c r="DY480">
        <v>0</v>
      </c>
      <c r="DZ480">
        <v>0</v>
      </c>
      <c r="EA480">
        <v>0</v>
      </c>
      <c r="EB480">
        <v>17897801320495</v>
      </c>
      <c r="ED480" t="s">
        <v>1045</v>
      </c>
      <c r="EE480">
        <v>0</v>
      </c>
      <c r="EF480">
        <v>0</v>
      </c>
      <c r="EK480" t="s">
        <v>1054</v>
      </c>
      <c r="EL480">
        <v>57897801320493</v>
      </c>
      <c r="EN480" t="s">
        <v>1012</v>
      </c>
      <c r="EQ480" t="s">
        <v>1044</v>
      </c>
      <c r="ES480" t="s">
        <v>1053</v>
      </c>
      <c r="ET480">
        <v>0</v>
      </c>
      <c r="EV480">
        <v>0</v>
      </c>
      <c r="EY480" t="s">
        <v>1052</v>
      </c>
      <c r="EZ480">
        <v>0</v>
      </c>
      <c r="FA480" t="s">
        <v>1043</v>
      </c>
      <c r="FB480">
        <v>0</v>
      </c>
      <c r="FC480">
        <v>0</v>
      </c>
      <c r="FD480" t="s">
        <v>1051</v>
      </c>
      <c r="FE480" t="s">
        <v>1050</v>
      </c>
      <c r="FF480">
        <v>0</v>
      </c>
      <c r="FG480" t="s">
        <v>1050</v>
      </c>
      <c r="FH480">
        <v>27897801320492</v>
      </c>
      <c r="FJ480">
        <v>0</v>
      </c>
      <c r="FK480">
        <v>0</v>
      </c>
      <c r="FP480">
        <v>0</v>
      </c>
      <c r="FR480">
        <v>0</v>
      </c>
      <c r="FS480" t="s">
        <v>1043</v>
      </c>
      <c r="FX480" t="s">
        <v>1042</v>
      </c>
      <c r="FZ480" t="s">
        <v>1048</v>
      </c>
      <c r="GA480">
        <v>0</v>
      </c>
      <c r="GB480" t="s">
        <v>1042</v>
      </c>
      <c r="GD480">
        <v>16</v>
      </c>
      <c r="GE480">
        <v>0</v>
      </c>
      <c r="GG480">
        <v>0</v>
      </c>
      <c r="GN480">
        <v>0</v>
      </c>
      <c r="GO480" t="s">
        <v>1049</v>
      </c>
      <c r="GQ480">
        <v>0</v>
      </c>
      <c r="GU480">
        <v>2</v>
      </c>
      <c r="GY480" t="s">
        <v>1045</v>
      </c>
      <c r="HB480">
        <v>0</v>
      </c>
      <c r="HE480">
        <v>10</v>
      </c>
      <c r="HF480">
        <v>15</v>
      </c>
      <c r="HG480">
        <v>4.9889999999999997E-2</v>
      </c>
      <c r="HK480" t="s">
        <v>1042</v>
      </c>
      <c r="HM480" t="s">
        <v>1047</v>
      </c>
      <c r="HN480">
        <v>0</v>
      </c>
      <c r="HO480">
        <v>28</v>
      </c>
      <c r="HP480">
        <v>0.47060000000000002</v>
      </c>
      <c r="HQ480">
        <v>0</v>
      </c>
      <c r="HR480" t="s">
        <v>1042</v>
      </c>
      <c r="HS480" t="s">
        <v>1043</v>
      </c>
      <c r="HT480">
        <v>0</v>
      </c>
      <c r="HU480">
        <v>0</v>
      </c>
      <c r="HW480">
        <v>0</v>
      </c>
      <c r="HX480">
        <v>245</v>
      </c>
      <c r="HY480">
        <v>0</v>
      </c>
      <c r="HZ480" t="s">
        <v>1045</v>
      </c>
      <c r="IA480">
        <v>0</v>
      </c>
      <c r="IB480" t="s">
        <v>1045</v>
      </c>
      <c r="ID480" t="s">
        <v>1045</v>
      </c>
      <c r="IF480">
        <v>216</v>
      </c>
      <c r="IG480" t="s">
        <v>1042</v>
      </c>
      <c r="IH480" t="s">
        <v>1046</v>
      </c>
      <c r="II480" t="s">
        <v>1042</v>
      </c>
      <c r="IR480" t="s">
        <v>1045</v>
      </c>
      <c r="IT480">
        <v>0</v>
      </c>
      <c r="IY480" t="s">
        <v>1044</v>
      </c>
      <c r="IZ480" t="s">
        <v>1043</v>
      </c>
      <c r="JE480">
        <v>0</v>
      </c>
      <c r="JF480">
        <v>0</v>
      </c>
      <c r="JI480" t="s">
        <v>1042</v>
      </c>
      <c r="JJ480">
        <v>0</v>
      </c>
      <c r="JK480">
        <v>0</v>
      </c>
      <c r="JL480">
        <v>0</v>
      </c>
      <c r="JM480">
        <v>0</v>
      </c>
      <c r="JT480">
        <v>0</v>
      </c>
      <c r="JU480" t="s">
        <v>1042</v>
      </c>
      <c r="JW480">
        <v>0</v>
      </c>
      <c r="KA480">
        <v>0</v>
      </c>
      <c r="KF480">
        <v>0</v>
      </c>
      <c r="KG480">
        <v>0</v>
      </c>
      <c r="KH480">
        <v>0</v>
      </c>
      <c r="KI480">
        <v>0</v>
      </c>
      <c r="KS480" t="s">
        <v>1073</v>
      </c>
      <c r="KT480">
        <v>0</v>
      </c>
      <c r="KU480">
        <v>0</v>
      </c>
      <c r="KV480">
        <v>0</v>
      </c>
      <c r="KX480">
        <v>0</v>
      </c>
      <c r="KZ480">
        <v>0</v>
      </c>
      <c r="LF480">
        <v>0</v>
      </c>
      <c r="LH480">
        <v>26880</v>
      </c>
      <c r="LI480">
        <v>0</v>
      </c>
    </row>
    <row r="481" spans="1:321" x14ac:dyDescent="0.35">
      <c r="A481">
        <v>1</v>
      </c>
      <c r="B481" t="s">
        <v>1212</v>
      </c>
      <c r="C481" t="s">
        <v>1211</v>
      </c>
      <c r="D481" t="s">
        <v>1064</v>
      </c>
      <c r="E481" t="s">
        <v>85</v>
      </c>
      <c r="F481">
        <v>1</v>
      </c>
      <c r="G481">
        <v>8890</v>
      </c>
      <c r="H481">
        <v>0</v>
      </c>
      <c r="I481" t="s">
        <v>1017</v>
      </c>
      <c r="L481">
        <v>0</v>
      </c>
      <c r="M481">
        <v>9.75</v>
      </c>
      <c r="N481">
        <v>0</v>
      </c>
      <c r="Q481">
        <v>511</v>
      </c>
      <c r="R481">
        <v>0</v>
      </c>
      <c r="S481">
        <v>0</v>
      </c>
      <c r="W481" t="s">
        <v>1060</v>
      </c>
      <c r="X481">
        <v>0</v>
      </c>
      <c r="Z481">
        <v>0</v>
      </c>
      <c r="AA481">
        <v>0</v>
      </c>
      <c r="AB481">
        <v>0</v>
      </c>
      <c r="AC481">
        <v>0.38950000000000001</v>
      </c>
      <c r="AD481" t="s">
        <v>1042</v>
      </c>
      <c r="AE481">
        <v>0</v>
      </c>
      <c r="AF481">
        <v>0</v>
      </c>
      <c r="AH481">
        <v>0</v>
      </c>
      <c r="AJ481">
        <v>0</v>
      </c>
      <c r="AL481">
        <v>145800</v>
      </c>
      <c r="AM481">
        <v>24</v>
      </c>
      <c r="AN481">
        <v>11501001</v>
      </c>
      <c r="AO481">
        <v>0</v>
      </c>
      <c r="AP481">
        <v>2720</v>
      </c>
      <c r="AT481">
        <v>1</v>
      </c>
      <c r="AU481" t="s">
        <v>1059</v>
      </c>
      <c r="AW481" t="s">
        <v>1053</v>
      </c>
      <c r="AX481">
        <v>5</v>
      </c>
      <c r="AY481" s="20">
        <v>43868</v>
      </c>
      <c r="BA481" s="20">
        <v>43868</v>
      </c>
      <c r="BB481" t="s">
        <v>1058</v>
      </c>
      <c r="BD481">
        <v>0</v>
      </c>
      <c r="BF481" t="s">
        <v>1044</v>
      </c>
      <c r="BG481" t="s">
        <v>1042</v>
      </c>
      <c r="BH481">
        <v>0</v>
      </c>
      <c r="BI481">
        <v>36</v>
      </c>
      <c r="BJ481">
        <v>0</v>
      </c>
      <c r="BK481">
        <v>0</v>
      </c>
      <c r="BM481" t="s">
        <v>1042</v>
      </c>
      <c r="BN481">
        <v>0</v>
      </c>
      <c r="BR481" t="s">
        <v>1043</v>
      </c>
      <c r="BS481" t="s">
        <v>1043</v>
      </c>
      <c r="BT481" t="s">
        <v>1043</v>
      </c>
      <c r="BV481">
        <v>1</v>
      </c>
      <c r="BW481">
        <v>2</v>
      </c>
      <c r="BY481">
        <v>69</v>
      </c>
      <c r="CA481">
        <v>0</v>
      </c>
      <c r="CB481" t="s">
        <v>1043</v>
      </c>
      <c r="CE481" t="s">
        <v>1043</v>
      </c>
      <c r="CH481" t="s">
        <v>1043</v>
      </c>
      <c r="CN481" t="s">
        <v>1056</v>
      </c>
      <c r="CO481" t="s">
        <v>1043</v>
      </c>
      <c r="CP481">
        <v>1</v>
      </c>
      <c r="CQ481">
        <v>0</v>
      </c>
      <c r="CS481">
        <v>0</v>
      </c>
      <c r="CT481">
        <v>0</v>
      </c>
      <c r="CU481">
        <v>0</v>
      </c>
      <c r="CW481">
        <v>0</v>
      </c>
      <c r="CX481">
        <v>0</v>
      </c>
      <c r="CY481">
        <v>0</v>
      </c>
      <c r="CZ481">
        <v>0</v>
      </c>
      <c r="DB481">
        <v>0</v>
      </c>
      <c r="DC481" t="s">
        <v>1043</v>
      </c>
      <c r="DF481" t="s">
        <v>1055</v>
      </c>
      <c r="DH481">
        <v>0</v>
      </c>
      <c r="DJ481">
        <v>0</v>
      </c>
      <c r="DK481" t="s">
        <v>1053</v>
      </c>
      <c r="DL481">
        <v>0</v>
      </c>
      <c r="DN481">
        <v>0</v>
      </c>
      <c r="DO481" t="s">
        <v>1042</v>
      </c>
      <c r="DP481">
        <v>0</v>
      </c>
      <c r="DQ481">
        <v>7.6</v>
      </c>
      <c r="DS481">
        <v>0</v>
      </c>
      <c r="DU481">
        <v>1.65</v>
      </c>
      <c r="DW481">
        <v>0</v>
      </c>
      <c r="DX481" t="s">
        <v>1043</v>
      </c>
      <c r="DY481">
        <v>0</v>
      </c>
      <c r="DZ481">
        <v>0</v>
      </c>
      <c r="EA481">
        <v>0</v>
      </c>
      <c r="ED481" t="s">
        <v>1045</v>
      </c>
      <c r="EE481">
        <v>0</v>
      </c>
      <c r="EF481">
        <v>0</v>
      </c>
      <c r="EK481" t="s">
        <v>1054</v>
      </c>
      <c r="EN481" t="s">
        <v>1012</v>
      </c>
      <c r="EQ481" t="s">
        <v>1044</v>
      </c>
      <c r="ES481" t="s">
        <v>1053</v>
      </c>
      <c r="ET481">
        <v>0</v>
      </c>
      <c r="EV481">
        <v>0</v>
      </c>
      <c r="EY481" t="s">
        <v>1052</v>
      </c>
      <c r="EZ481">
        <v>0</v>
      </c>
      <c r="FA481" t="s">
        <v>1043</v>
      </c>
      <c r="FB481">
        <v>0</v>
      </c>
      <c r="FC481">
        <v>0</v>
      </c>
      <c r="FD481" t="s">
        <v>1051</v>
      </c>
      <c r="FE481" t="s">
        <v>1050</v>
      </c>
      <c r="FF481">
        <v>0</v>
      </c>
      <c r="FG481" t="s">
        <v>1050</v>
      </c>
      <c r="FJ481">
        <v>0</v>
      </c>
      <c r="FK481">
        <v>0</v>
      </c>
      <c r="FP481">
        <v>0</v>
      </c>
      <c r="FR481">
        <v>0</v>
      </c>
      <c r="FS481" t="s">
        <v>1043</v>
      </c>
      <c r="FX481" t="s">
        <v>1042</v>
      </c>
      <c r="FZ481" t="s">
        <v>1048</v>
      </c>
      <c r="GA481">
        <v>0</v>
      </c>
      <c r="GB481" t="s">
        <v>1042</v>
      </c>
      <c r="GD481">
        <v>16</v>
      </c>
      <c r="GE481">
        <v>0</v>
      </c>
      <c r="GG481">
        <v>0</v>
      </c>
      <c r="GN481">
        <v>0</v>
      </c>
      <c r="GO481" t="s">
        <v>1063</v>
      </c>
      <c r="GQ481">
        <v>0</v>
      </c>
      <c r="GU481">
        <v>2</v>
      </c>
      <c r="GY481" t="s">
        <v>1045</v>
      </c>
      <c r="HB481">
        <v>0</v>
      </c>
      <c r="HE481">
        <v>10</v>
      </c>
      <c r="HF481">
        <v>15</v>
      </c>
      <c r="HG481">
        <v>0</v>
      </c>
      <c r="HK481" t="s">
        <v>1042</v>
      </c>
      <c r="HM481" t="s">
        <v>1047</v>
      </c>
      <c r="HN481">
        <v>0</v>
      </c>
      <c r="HP481">
        <v>0</v>
      </c>
      <c r="HQ481">
        <v>0</v>
      </c>
      <c r="HR481" t="s">
        <v>1042</v>
      </c>
      <c r="HS481" t="s">
        <v>1043</v>
      </c>
      <c r="HT481">
        <v>0</v>
      </c>
      <c r="HU481">
        <v>0</v>
      </c>
      <c r="HW481">
        <v>0</v>
      </c>
      <c r="HX481">
        <v>0</v>
      </c>
      <c r="HY481">
        <v>0</v>
      </c>
      <c r="HZ481" t="s">
        <v>1045</v>
      </c>
      <c r="IA481">
        <v>0</v>
      </c>
      <c r="IB481" t="s">
        <v>1045</v>
      </c>
      <c r="ID481" t="s">
        <v>1045</v>
      </c>
      <c r="IF481">
        <v>0</v>
      </c>
      <c r="IG481" t="s">
        <v>1042</v>
      </c>
      <c r="IH481" t="s">
        <v>1046</v>
      </c>
      <c r="II481" t="s">
        <v>1042</v>
      </c>
      <c r="IR481" t="s">
        <v>1045</v>
      </c>
      <c r="IT481">
        <v>0</v>
      </c>
      <c r="IY481" t="s">
        <v>1044</v>
      </c>
      <c r="IZ481" t="s">
        <v>1043</v>
      </c>
      <c r="JE481">
        <v>0</v>
      </c>
      <c r="JF481">
        <v>0</v>
      </c>
      <c r="JI481" t="s">
        <v>1042</v>
      </c>
      <c r="JJ481">
        <v>0</v>
      </c>
      <c r="JK481">
        <v>0</v>
      </c>
      <c r="JL481">
        <v>0</v>
      </c>
      <c r="JM481">
        <v>0</v>
      </c>
      <c r="JT481">
        <v>0</v>
      </c>
      <c r="JU481" t="s">
        <v>1042</v>
      </c>
      <c r="JW481">
        <v>0</v>
      </c>
      <c r="KA481">
        <v>0</v>
      </c>
      <c r="KF481">
        <v>0</v>
      </c>
      <c r="KG481">
        <v>0</v>
      </c>
      <c r="KH481">
        <v>0</v>
      </c>
      <c r="KI481">
        <v>0</v>
      </c>
      <c r="KS481" t="s">
        <v>1073</v>
      </c>
      <c r="KT481">
        <v>0</v>
      </c>
      <c r="KU481">
        <v>0</v>
      </c>
      <c r="KV481">
        <v>0</v>
      </c>
      <c r="KX481">
        <v>0</v>
      </c>
      <c r="KZ481">
        <v>0</v>
      </c>
      <c r="LF481">
        <v>0</v>
      </c>
      <c r="LH481">
        <v>0</v>
      </c>
      <c r="LI481">
        <v>0</v>
      </c>
    </row>
    <row r="482" spans="1:321" x14ac:dyDescent="0.35">
      <c r="A482">
        <v>1</v>
      </c>
      <c r="B482">
        <v>1285</v>
      </c>
      <c r="C482" t="s">
        <v>663</v>
      </c>
      <c r="D482" t="s">
        <v>1061</v>
      </c>
      <c r="E482" t="s">
        <v>85</v>
      </c>
      <c r="F482">
        <v>1</v>
      </c>
      <c r="G482">
        <v>240</v>
      </c>
      <c r="H482">
        <v>0</v>
      </c>
      <c r="I482" t="s">
        <v>1017</v>
      </c>
      <c r="L482">
        <v>0</v>
      </c>
      <c r="M482">
        <v>9.75</v>
      </c>
      <c r="N482">
        <v>0</v>
      </c>
      <c r="Q482">
        <v>511</v>
      </c>
      <c r="R482">
        <v>0</v>
      </c>
      <c r="S482">
        <v>0</v>
      </c>
      <c r="W482" t="s">
        <v>1060</v>
      </c>
      <c r="X482">
        <v>0</v>
      </c>
      <c r="Z482">
        <v>4</v>
      </c>
      <c r="AA482">
        <v>273.6909</v>
      </c>
      <c r="AB482">
        <v>34</v>
      </c>
      <c r="AC482">
        <v>0.38950000000000001</v>
      </c>
      <c r="AD482" t="s">
        <v>1042</v>
      </c>
      <c r="AE482">
        <v>0</v>
      </c>
      <c r="AF482">
        <v>1.4401999999999999</v>
      </c>
      <c r="AH482">
        <v>2</v>
      </c>
      <c r="AJ482">
        <v>0</v>
      </c>
      <c r="AL482">
        <v>145800</v>
      </c>
      <c r="AM482">
        <v>443</v>
      </c>
      <c r="AN482">
        <v>11501001</v>
      </c>
      <c r="AO482">
        <v>0</v>
      </c>
      <c r="AP482">
        <v>1002</v>
      </c>
      <c r="AT482">
        <v>1</v>
      </c>
      <c r="AU482" t="s">
        <v>1059</v>
      </c>
      <c r="AW482" t="s">
        <v>1053</v>
      </c>
      <c r="AX482">
        <v>5</v>
      </c>
      <c r="AY482" s="20">
        <v>43242</v>
      </c>
      <c r="BA482" s="20">
        <v>44420</v>
      </c>
      <c r="BB482" t="s">
        <v>1058</v>
      </c>
      <c r="BD482">
        <v>0</v>
      </c>
      <c r="BF482" t="s">
        <v>1044</v>
      </c>
      <c r="BG482" t="s">
        <v>1042</v>
      </c>
      <c r="BH482">
        <v>0</v>
      </c>
      <c r="BI482">
        <v>36</v>
      </c>
      <c r="BJ482">
        <v>0</v>
      </c>
      <c r="BK482">
        <v>0</v>
      </c>
      <c r="BM482" s="20">
        <v>44274</v>
      </c>
      <c r="BN482">
        <v>0</v>
      </c>
      <c r="BO482">
        <v>7897801320535</v>
      </c>
      <c r="BR482" t="s">
        <v>1043</v>
      </c>
      <c r="BS482" t="s">
        <v>1043</v>
      </c>
      <c r="BT482" t="s">
        <v>1043</v>
      </c>
      <c r="BV482">
        <v>1</v>
      </c>
      <c r="BW482">
        <v>2</v>
      </c>
      <c r="BY482">
        <v>78</v>
      </c>
      <c r="CA482">
        <v>0</v>
      </c>
      <c r="CB482" t="s">
        <v>1043</v>
      </c>
      <c r="CE482" t="s">
        <v>1043</v>
      </c>
      <c r="CH482" t="s">
        <v>1043</v>
      </c>
      <c r="CN482" t="s">
        <v>1056</v>
      </c>
      <c r="CO482" t="s">
        <v>1043</v>
      </c>
      <c r="CP482">
        <v>1</v>
      </c>
      <c r="CQ482">
        <v>0</v>
      </c>
      <c r="CS482">
        <v>0</v>
      </c>
      <c r="CT482">
        <v>0</v>
      </c>
      <c r="CU482">
        <v>0</v>
      </c>
      <c r="CW482">
        <v>0</v>
      </c>
      <c r="CX482">
        <v>0</v>
      </c>
      <c r="CY482">
        <v>0</v>
      </c>
      <c r="CZ482">
        <v>0</v>
      </c>
      <c r="DA482">
        <v>6</v>
      </c>
      <c r="DB482">
        <v>0</v>
      </c>
      <c r="DC482" t="s">
        <v>1043</v>
      </c>
      <c r="DF482" t="s">
        <v>1055</v>
      </c>
      <c r="DH482">
        <v>0</v>
      </c>
      <c r="DJ482">
        <v>0</v>
      </c>
      <c r="DK482" t="s">
        <v>1053</v>
      </c>
      <c r="DL482">
        <v>0</v>
      </c>
      <c r="DN482">
        <v>0</v>
      </c>
      <c r="DO482" t="s">
        <v>1042</v>
      </c>
      <c r="DP482">
        <v>0</v>
      </c>
      <c r="DQ482">
        <v>7.6</v>
      </c>
      <c r="DS482">
        <v>0</v>
      </c>
      <c r="DU482">
        <v>1.65</v>
      </c>
      <c r="DW482">
        <v>0</v>
      </c>
      <c r="DX482" t="s">
        <v>1043</v>
      </c>
      <c r="DY482">
        <v>0</v>
      </c>
      <c r="DZ482">
        <v>0</v>
      </c>
      <c r="EA482">
        <v>0</v>
      </c>
      <c r="EB482">
        <v>17897801320532</v>
      </c>
      <c r="ED482" t="s">
        <v>1045</v>
      </c>
      <c r="EE482">
        <v>0</v>
      </c>
      <c r="EF482">
        <v>0</v>
      </c>
      <c r="EK482" t="s">
        <v>1054</v>
      </c>
      <c r="EL482">
        <v>57897801320530</v>
      </c>
      <c r="EN482" t="s">
        <v>1012</v>
      </c>
      <c r="EQ482" t="s">
        <v>1044</v>
      </c>
      <c r="ES482" t="s">
        <v>1053</v>
      </c>
      <c r="ET482">
        <v>0</v>
      </c>
      <c r="EV482">
        <v>0</v>
      </c>
      <c r="EY482" t="s">
        <v>1052</v>
      </c>
      <c r="EZ482">
        <v>0</v>
      </c>
      <c r="FA482" t="s">
        <v>1043</v>
      </c>
      <c r="FB482">
        <v>0</v>
      </c>
      <c r="FC482">
        <v>0</v>
      </c>
      <c r="FD482" t="s">
        <v>1051</v>
      </c>
      <c r="FE482" t="s">
        <v>1050</v>
      </c>
      <c r="FF482">
        <v>0</v>
      </c>
      <c r="FG482" t="s">
        <v>1050</v>
      </c>
      <c r="FH482">
        <v>27897801320539</v>
      </c>
      <c r="FJ482">
        <v>0</v>
      </c>
      <c r="FK482">
        <v>0</v>
      </c>
      <c r="FP482">
        <v>0</v>
      </c>
      <c r="FR482">
        <v>0</v>
      </c>
      <c r="FS482" t="s">
        <v>1043</v>
      </c>
      <c r="FX482" t="s">
        <v>1042</v>
      </c>
      <c r="FZ482" t="s">
        <v>1048</v>
      </c>
      <c r="GA482">
        <v>0</v>
      </c>
      <c r="GB482" t="s">
        <v>1042</v>
      </c>
      <c r="GD482">
        <v>16</v>
      </c>
      <c r="GE482">
        <v>0</v>
      </c>
      <c r="GG482">
        <v>0</v>
      </c>
      <c r="GN482">
        <v>0</v>
      </c>
      <c r="GO482" t="s">
        <v>1049</v>
      </c>
      <c r="GQ482">
        <v>0</v>
      </c>
      <c r="GU482">
        <v>2</v>
      </c>
      <c r="GY482" t="s">
        <v>1045</v>
      </c>
      <c r="HB482">
        <v>0</v>
      </c>
      <c r="HE482">
        <v>10</v>
      </c>
      <c r="HF482">
        <v>15</v>
      </c>
      <c r="HG482">
        <v>3.4189999999999998E-2</v>
      </c>
      <c r="HK482" t="s">
        <v>1042</v>
      </c>
      <c r="HM482" t="s">
        <v>1047</v>
      </c>
      <c r="HN482">
        <v>0</v>
      </c>
      <c r="HO482">
        <v>28</v>
      </c>
      <c r="HP482">
        <v>0.62</v>
      </c>
      <c r="HQ482">
        <v>0</v>
      </c>
      <c r="HR482" t="s">
        <v>1042</v>
      </c>
      <c r="HS482" t="s">
        <v>1043</v>
      </c>
      <c r="HT482">
        <v>0</v>
      </c>
      <c r="HU482">
        <v>0</v>
      </c>
      <c r="HW482">
        <v>0</v>
      </c>
      <c r="HX482">
        <v>83</v>
      </c>
      <c r="HY482">
        <v>0</v>
      </c>
      <c r="HZ482" t="s">
        <v>1045</v>
      </c>
      <c r="IA482">
        <v>0</v>
      </c>
      <c r="IB482" t="s">
        <v>1045</v>
      </c>
      <c r="ID482" t="s">
        <v>1045</v>
      </c>
      <c r="IF482">
        <v>180</v>
      </c>
      <c r="IG482" t="s">
        <v>1042</v>
      </c>
      <c r="IH482" t="s">
        <v>1046</v>
      </c>
      <c r="II482" t="s">
        <v>1042</v>
      </c>
      <c r="IR482" t="s">
        <v>1045</v>
      </c>
      <c r="IT482">
        <v>0</v>
      </c>
      <c r="IY482" t="s">
        <v>1044</v>
      </c>
      <c r="IZ482" t="s">
        <v>1043</v>
      </c>
      <c r="JE482">
        <v>0</v>
      </c>
      <c r="JF482">
        <v>0</v>
      </c>
      <c r="JI482" t="s">
        <v>1042</v>
      </c>
      <c r="JJ482">
        <v>0</v>
      </c>
      <c r="JK482">
        <v>0</v>
      </c>
      <c r="JL482">
        <v>0</v>
      </c>
      <c r="JM482">
        <v>0</v>
      </c>
      <c r="JT482">
        <v>0</v>
      </c>
      <c r="JU482" t="s">
        <v>1042</v>
      </c>
      <c r="JW482">
        <v>0</v>
      </c>
      <c r="KA482">
        <v>0</v>
      </c>
      <c r="KF482">
        <v>0</v>
      </c>
      <c r="KG482">
        <v>0</v>
      </c>
      <c r="KH482">
        <v>0</v>
      </c>
      <c r="KI482">
        <v>0</v>
      </c>
      <c r="KS482" t="s">
        <v>1073</v>
      </c>
      <c r="KT482">
        <v>0</v>
      </c>
      <c r="KU482">
        <v>0</v>
      </c>
      <c r="KV482">
        <v>0</v>
      </c>
      <c r="KX482">
        <v>0</v>
      </c>
      <c r="KZ482">
        <v>0</v>
      </c>
      <c r="LF482">
        <v>0</v>
      </c>
      <c r="LH482">
        <v>20160</v>
      </c>
      <c r="LI482">
        <v>0</v>
      </c>
    </row>
    <row r="483" spans="1:321" x14ac:dyDescent="0.35">
      <c r="A483">
        <v>1</v>
      </c>
      <c r="B483" t="s">
        <v>1210</v>
      </c>
      <c r="C483" t="s">
        <v>1209</v>
      </c>
      <c r="D483" t="s">
        <v>1064</v>
      </c>
      <c r="E483" t="s">
        <v>85</v>
      </c>
      <c r="F483">
        <v>1</v>
      </c>
      <c r="G483">
        <v>8890</v>
      </c>
      <c r="H483">
        <v>0</v>
      </c>
      <c r="I483" t="s">
        <v>1017</v>
      </c>
      <c r="L483">
        <v>0</v>
      </c>
      <c r="M483">
        <v>9.75</v>
      </c>
      <c r="N483">
        <v>0</v>
      </c>
      <c r="Q483">
        <v>511</v>
      </c>
      <c r="R483">
        <v>0</v>
      </c>
      <c r="S483">
        <v>0</v>
      </c>
      <c r="W483" t="s">
        <v>1060</v>
      </c>
      <c r="X483">
        <v>0</v>
      </c>
      <c r="Z483">
        <v>0</v>
      </c>
      <c r="AA483">
        <v>0</v>
      </c>
      <c r="AB483">
        <v>0</v>
      </c>
      <c r="AC483">
        <v>0.38950000000000001</v>
      </c>
      <c r="AD483" t="s">
        <v>1042</v>
      </c>
      <c r="AE483">
        <v>0</v>
      </c>
      <c r="AF483">
        <v>0</v>
      </c>
      <c r="AH483">
        <v>0</v>
      </c>
      <c r="AJ483">
        <v>0</v>
      </c>
      <c r="AL483">
        <v>145800</v>
      </c>
      <c r="AM483">
        <v>24</v>
      </c>
      <c r="AN483">
        <v>11501001</v>
      </c>
      <c r="AO483">
        <v>0</v>
      </c>
      <c r="AP483">
        <v>2720</v>
      </c>
      <c r="AT483">
        <v>1</v>
      </c>
      <c r="AU483" t="s">
        <v>1059</v>
      </c>
      <c r="AW483" t="s">
        <v>1053</v>
      </c>
      <c r="AX483">
        <v>5</v>
      </c>
      <c r="AY483" s="20">
        <v>43868</v>
      </c>
      <c r="BA483" s="20">
        <v>43868</v>
      </c>
      <c r="BB483" t="s">
        <v>1058</v>
      </c>
      <c r="BD483">
        <v>0</v>
      </c>
      <c r="BF483" t="s">
        <v>1044</v>
      </c>
      <c r="BG483" t="s">
        <v>1042</v>
      </c>
      <c r="BH483">
        <v>0</v>
      </c>
      <c r="BI483">
        <v>36</v>
      </c>
      <c r="BJ483">
        <v>0</v>
      </c>
      <c r="BK483">
        <v>0</v>
      </c>
      <c r="BM483" t="s">
        <v>1042</v>
      </c>
      <c r="BN483">
        <v>0</v>
      </c>
      <c r="BR483" t="s">
        <v>1043</v>
      </c>
      <c r="BS483" t="s">
        <v>1043</v>
      </c>
      <c r="BT483" t="s">
        <v>1043</v>
      </c>
      <c r="BV483">
        <v>1</v>
      </c>
      <c r="BW483">
        <v>2</v>
      </c>
      <c r="BY483">
        <v>69</v>
      </c>
      <c r="CA483">
        <v>0</v>
      </c>
      <c r="CB483" t="s">
        <v>1043</v>
      </c>
      <c r="CE483" t="s">
        <v>1043</v>
      </c>
      <c r="CH483" t="s">
        <v>1043</v>
      </c>
      <c r="CN483" t="s">
        <v>1056</v>
      </c>
      <c r="CO483" t="s">
        <v>1043</v>
      </c>
      <c r="CP483">
        <v>1</v>
      </c>
      <c r="CQ483">
        <v>0</v>
      </c>
      <c r="CS483">
        <v>0</v>
      </c>
      <c r="CT483">
        <v>0</v>
      </c>
      <c r="CU483">
        <v>0</v>
      </c>
      <c r="CW483">
        <v>0</v>
      </c>
      <c r="CX483">
        <v>0</v>
      </c>
      <c r="CY483">
        <v>0</v>
      </c>
      <c r="CZ483">
        <v>0</v>
      </c>
      <c r="DB483">
        <v>0</v>
      </c>
      <c r="DC483" t="s">
        <v>1043</v>
      </c>
      <c r="DF483" t="s">
        <v>1055</v>
      </c>
      <c r="DH483">
        <v>0</v>
      </c>
      <c r="DJ483">
        <v>0</v>
      </c>
      <c r="DK483" t="s">
        <v>1053</v>
      </c>
      <c r="DL483">
        <v>0</v>
      </c>
      <c r="DN483">
        <v>0</v>
      </c>
      <c r="DO483" t="s">
        <v>1042</v>
      </c>
      <c r="DP483">
        <v>0</v>
      </c>
      <c r="DQ483">
        <v>7.6</v>
      </c>
      <c r="DS483">
        <v>0</v>
      </c>
      <c r="DU483">
        <v>1.65</v>
      </c>
      <c r="DW483">
        <v>0</v>
      </c>
      <c r="DX483" t="s">
        <v>1043</v>
      </c>
      <c r="DY483">
        <v>0</v>
      </c>
      <c r="DZ483">
        <v>0</v>
      </c>
      <c r="EA483">
        <v>0</v>
      </c>
      <c r="ED483" t="s">
        <v>1045</v>
      </c>
      <c r="EE483">
        <v>0</v>
      </c>
      <c r="EF483">
        <v>0</v>
      </c>
      <c r="EK483" t="s">
        <v>1054</v>
      </c>
      <c r="EN483" t="s">
        <v>1012</v>
      </c>
      <c r="EQ483" t="s">
        <v>1044</v>
      </c>
      <c r="ES483" t="s">
        <v>1053</v>
      </c>
      <c r="ET483">
        <v>0</v>
      </c>
      <c r="EV483">
        <v>0</v>
      </c>
      <c r="EY483" t="s">
        <v>1052</v>
      </c>
      <c r="EZ483">
        <v>0</v>
      </c>
      <c r="FA483" t="s">
        <v>1043</v>
      </c>
      <c r="FB483">
        <v>0</v>
      </c>
      <c r="FC483">
        <v>0</v>
      </c>
      <c r="FD483" t="s">
        <v>1051</v>
      </c>
      <c r="FE483" t="s">
        <v>1050</v>
      </c>
      <c r="FF483">
        <v>0</v>
      </c>
      <c r="FG483" t="s">
        <v>1050</v>
      </c>
      <c r="FJ483">
        <v>0</v>
      </c>
      <c r="FK483">
        <v>0</v>
      </c>
      <c r="FP483">
        <v>0</v>
      </c>
      <c r="FR483">
        <v>0</v>
      </c>
      <c r="FS483" t="s">
        <v>1043</v>
      </c>
      <c r="FX483" t="s">
        <v>1042</v>
      </c>
      <c r="FZ483" t="s">
        <v>1048</v>
      </c>
      <c r="GA483">
        <v>0</v>
      </c>
      <c r="GB483" t="s">
        <v>1042</v>
      </c>
      <c r="GD483">
        <v>16</v>
      </c>
      <c r="GE483">
        <v>0</v>
      </c>
      <c r="GG483">
        <v>0</v>
      </c>
      <c r="GN483">
        <v>0</v>
      </c>
      <c r="GO483" t="s">
        <v>1063</v>
      </c>
      <c r="GQ483">
        <v>0</v>
      </c>
      <c r="GU483">
        <v>2</v>
      </c>
      <c r="GY483" t="s">
        <v>1045</v>
      </c>
      <c r="HB483">
        <v>0</v>
      </c>
      <c r="HE483">
        <v>10</v>
      </c>
      <c r="HF483">
        <v>15</v>
      </c>
      <c r="HG483">
        <v>0</v>
      </c>
      <c r="HK483" t="s">
        <v>1042</v>
      </c>
      <c r="HM483" t="s">
        <v>1047</v>
      </c>
      <c r="HN483">
        <v>0</v>
      </c>
      <c r="HP483">
        <v>0</v>
      </c>
      <c r="HQ483">
        <v>0</v>
      </c>
      <c r="HR483" t="s">
        <v>1042</v>
      </c>
      <c r="HS483" t="s">
        <v>1043</v>
      </c>
      <c r="HT483">
        <v>0</v>
      </c>
      <c r="HU483">
        <v>0</v>
      </c>
      <c r="HW483">
        <v>0</v>
      </c>
      <c r="HX483">
        <v>0</v>
      </c>
      <c r="HY483">
        <v>0</v>
      </c>
      <c r="HZ483" t="s">
        <v>1045</v>
      </c>
      <c r="IA483">
        <v>0</v>
      </c>
      <c r="IB483" t="s">
        <v>1045</v>
      </c>
      <c r="ID483" t="s">
        <v>1045</v>
      </c>
      <c r="IF483">
        <v>0</v>
      </c>
      <c r="IG483" t="s">
        <v>1042</v>
      </c>
      <c r="IH483" t="s">
        <v>1046</v>
      </c>
      <c r="II483" t="s">
        <v>1042</v>
      </c>
      <c r="IR483" t="s">
        <v>1045</v>
      </c>
      <c r="IT483">
        <v>0</v>
      </c>
      <c r="IY483" t="s">
        <v>1044</v>
      </c>
      <c r="IZ483" t="s">
        <v>1043</v>
      </c>
      <c r="JE483">
        <v>0</v>
      </c>
      <c r="JF483">
        <v>0</v>
      </c>
      <c r="JI483" t="s">
        <v>1042</v>
      </c>
      <c r="JJ483">
        <v>0</v>
      </c>
      <c r="JK483">
        <v>0</v>
      </c>
      <c r="JL483">
        <v>0</v>
      </c>
      <c r="JM483">
        <v>0</v>
      </c>
      <c r="JT483">
        <v>0</v>
      </c>
      <c r="JU483" t="s">
        <v>1042</v>
      </c>
      <c r="JW483">
        <v>0</v>
      </c>
      <c r="KA483">
        <v>0</v>
      </c>
      <c r="KF483">
        <v>0</v>
      </c>
      <c r="KG483">
        <v>0</v>
      </c>
      <c r="KH483">
        <v>0</v>
      </c>
      <c r="KI483">
        <v>0</v>
      </c>
      <c r="KS483" t="s">
        <v>1073</v>
      </c>
      <c r="KT483">
        <v>0</v>
      </c>
      <c r="KU483">
        <v>0</v>
      </c>
      <c r="KV483">
        <v>0</v>
      </c>
      <c r="KX483">
        <v>0</v>
      </c>
      <c r="KZ483">
        <v>0</v>
      </c>
      <c r="LF483">
        <v>0</v>
      </c>
      <c r="LH483">
        <v>0</v>
      </c>
      <c r="LI483">
        <v>0</v>
      </c>
    </row>
    <row r="484" spans="1:321" x14ac:dyDescent="0.35">
      <c r="A484">
        <v>1</v>
      </c>
      <c r="B484">
        <v>1286</v>
      </c>
      <c r="C484" t="s">
        <v>664</v>
      </c>
      <c r="D484" t="s">
        <v>1061</v>
      </c>
      <c r="E484" t="s">
        <v>85</v>
      </c>
      <c r="F484">
        <v>1</v>
      </c>
      <c r="G484">
        <v>240</v>
      </c>
      <c r="H484">
        <v>0</v>
      </c>
      <c r="I484" t="s">
        <v>1017</v>
      </c>
      <c r="L484">
        <v>0</v>
      </c>
      <c r="M484">
        <v>9.75</v>
      </c>
      <c r="N484">
        <v>0</v>
      </c>
      <c r="Q484">
        <v>511</v>
      </c>
      <c r="R484">
        <v>0</v>
      </c>
      <c r="S484">
        <v>0</v>
      </c>
      <c r="W484" t="s">
        <v>1060</v>
      </c>
      <c r="X484">
        <v>0</v>
      </c>
      <c r="Z484">
        <v>4</v>
      </c>
      <c r="AA484">
        <v>349.87729999999999</v>
      </c>
      <c r="AB484">
        <v>23</v>
      </c>
      <c r="AC484">
        <v>0</v>
      </c>
      <c r="AD484" t="s">
        <v>1042</v>
      </c>
      <c r="AE484">
        <v>0</v>
      </c>
      <c r="AF484">
        <v>1.964</v>
      </c>
      <c r="AH484">
        <v>2</v>
      </c>
      <c r="AJ484">
        <v>0</v>
      </c>
      <c r="AL484">
        <v>0</v>
      </c>
      <c r="AM484">
        <v>320</v>
      </c>
      <c r="AN484">
        <v>11501001</v>
      </c>
      <c r="AO484">
        <v>0</v>
      </c>
      <c r="AP484">
        <v>1002</v>
      </c>
      <c r="AT484">
        <v>1</v>
      </c>
      <c r="AU484" t="s">
        <v>1059</v>
      </c>
      <c r="AW484" t="s">
        <v>1053</v>
      </c>
      <c r="AX484">
        <v>5</v>
      </c>
      <c r="AY484" s="20">
        <v>43242</v>
      </c>
      <c r="BA484" s="20">
        <v>44420</v>
      </c>
      <c r="BB484" t="s">
        <v>1058</v>
      </c>
      <c r="BD484">
        <v>0</v>
      </c>
      <c r="BF484" t="s">
        <v>1044</v>
      </c>
      <c r="BG484" t="s">
        <v>1042</v>
      </c>
      <c r="BH484">
        <v>0</v>
      </c>
      <c r="BI484">
        <v>36</v>
      </c>
      <c r="BJ484">
        <v>0</v>
      </c>
      <c r="BK484">
        <v>0</v>
      </c>
      <c r="BM484" s="20">
        <v>44230</v>
      </c>
      <c r="BN484">
        <v>0</v>
      </c>
      <c r="BO484">
        <v>7897801320511</v>
      </c>
      <c r="BR484" t="s">
        <v>1043</v>
      </c>
      <c r="BS484" t="s">
        <v>1043</v>
      </c>
      <c r="BT484" t="s">
        <v>1043</v>
      </c>
      <c r="BV484">
        <v>1</v>
      </c>
      <c r="BW484">
        <v>2</v>
      </c>
      <c r="BY484">
        <v>78</v>
      </c>
      <c r="CA484">
        <v>0</v>
      </c>
      <c r="CB484" t="s">
        <v>1043</v>
      </c>
      <c r="CE484" t="s">
        <v>1043</v>
      </c>
      <c r="CH484" t="s">
        <v>1043</v>
      </c>
      <c r="CN484" t="s">
        <v>1056</v>
      </c>
      <c r="CO484" t="s">
        <v>1043</v>
      </c>
      <c r="CP484">
        <v>1</v>
      </c>
      <c r="CQ484">
        <v>0</v>
      </c>
      <c r="CS484">
        <v>0</v>
      </c>
      <c r="CT484">
        <v>0</v>
      </c>
      <c r="CU484">
        <v>0</v>
      </c>
      <c r="CW484">
        <v>0</v>
      </c>
      <c r="CX484">
        <v>0</v>
      </c>
      <c r="CY484">
        <v>0</v>
      </c>
      <c r="CZ484">
        <v>0</v>
      </c>
      <c r="DA484">
        <v>8</v>
      </c>
      <c r="DB484">
        <v>0</v>
      </c>
      <c r="DC484" t="s">
        <v>1043</v>
      </c>
      <c r="DF484" t="s">
        <v>1055</v>
      </c>
      <c r="DH484">
        <v>0</v>
      </c>
      <c r="DJ484">
        <v>0</v>
      </c>
      <c r="DK484" t="s">
        <v>1053</v>
      </c>
      <c r="DL484">
        <v>0</v>
      </c>
      <c r="DN484">
        <v>0</v>
      </c>
      <c r="DO484" t="s">
        <v>1042</v>
      </c>
      <c r="DP484">
        <v>0</v>
      </c>
      <c r="DQ484">
        <v>7.6</v>
      </c>
      <c r="DS484">
        <v>0</v>
      </c>
      <c r="DU484">
        <v>1.65</v>
      </c>
      <c r="DW484">
        <v>0</v>
      </c>
      <c r="DX484" t="s">
        <v>1043</v>
      </c>
      <c r="DY484">
        <v>0</v>
      </c>
      <c r="DZ484">
        <v>0</v>
      </c>
      <c r="EA484">
        <v>0</v>
      </c>
      <c r="EB484">
        <v>17897801320518</v>
      </c>
      <c r="ED484" t="s">
        <v>1045</v>
      </c>
      <c r="EE484">
        <v>0</v>
      </c>
      <c r="EF484">
        <v>0</v>
      </c>
      <c r="EK484" t="s">
        <v>1054</v>
      </c>
      <c r="EL484">
        <v>57897801320516</v>
      </c>
      <c r="EN484" t="s">
        <v>1012</v>
      </c>
      <c r="EQ484" t="s">
        <v>1044</v>
      </c>
      <c r="ES484" t="s">
        <v>1053</v>
      </c>
      <c r="ET484">
        <v>0</v>
      </c>
      <c r="EV484">
        <v>0</v>
      </c>
      <c r="EY484" t="s">
        <v>1052</v>
      </c>
      <c r="EZ484">
        <v>0</v>
      </c>
      <c r="FA484" t="s">
        <v>1043</v>
      </c>
      <c r="FB484">
        <v>0</v>
      </c>
      <c r="FC484">
        <v>0</v>
      </c>
      <c r="FD484" t="s">
        <v>1051</v>
      </c>
      <c r="FE484" t="s">
        <v>1050</v>
      </c>
      <c r="FF484">
        <v>0</v>
      </c>
      <c r="FG484" t="s">
        <v>1050</v>
      </c>
      <c r="FH484">
        <v>27897801320515</v>
      </c>
      <c r="FJ484">
        <v>0</v>
      </c>
      <c r="FK484">
        <v>0</v>
      </c>
      <c r="FP484">
        <v>0</v>
      </c>
      <c r="FR484">
        <v>0</v>
      </c>
      <c r="FS484" t="s">
        <v>1043</v>
      </c>
      <c r="FX484" t="s">
        <v>1042</v>
      </c>
      <c r="FZ484" t="s">
        <v>1048</v>
      </c>
      <c r="GA484">
        <v>0</v>
      </c>
      <c r="GB484" t="s">
        <v>1042</v>
      </c>
      <c r="GD484">
        <v>16</v>
      </c>
      <c r="GE484">
        <v>0</v>
      </c>
      <c r="GG484">
        <v>0</v>
      </c>
      <c r="GN484">
        <v>0</v>
      </c>
      <c r="GO484" t="s">
        <v>1049</v>
      </c>
      <c r="GQ484">
        <v>0</v>
      </c>
      <c r="GU484">
        <v>2</v>
      </c>
      <c r="GY484" t="s">
        <v>1045</v>
      </c>
      <c r="HB484">
        <v>0</v>
      </c>
      <c r="HE484">
        <v>10</v>
      </c>
      <c r="HF484">
        <v>15</v>
      </c>
      <c r="HG484">
        <v>5.4480000000000001E-2</v>
      </c>
      <c r="HK484" t="s">
        <v>1042</v>
      </c>
      <c r="HM484" t="s">
        <v>1047</v>
      </c>
      <c r="HN484">
        <v>0</v>
      </c>
      <c r="HO484">
        <v>28</v>
      </c>
      <c r="HP484">
        <v>0.82299999999999995</v>
      </c>
      <c r="HQ484">
        <v>0</v>
      </c>
      <c r="HR484" t="s">
        <v>1042</v>
      </c>
      <c r="HS484" t="s">
        <v>1043</v>
      </c>
      <c r="HT484">
        <v>0</v>
      </c>
      <c r="HU484">
        <v>0</v>
      </c>
      <c r="HW484">
        <v>0</v>
      </c>
      <c r="HX484">
        <v>55</v>
      </c>
      <c r="HY484">
        <v>0</v>
      </c>
      <c r="HZ484" t="s">
        <v>1045</v>
      </c>
      <c r="IA484">
        <v>0</v>
      </c>
      <c r="IB484" t="s">
        <v>1045</v>
      </c>
      <c r="ID484" t="s">
        <v>1045</v>
      </c>
      <c r="IF484">
        <v>128</v>
      </c>
      <c r="IG484" t="s">
        <v>1042</v>
      </c>
      <c r="IH484" t="s">
        <v>1046</v>
      </c>
      <c r="II484" t="s">
        <v>1042</v>
      </c>
      <c r="IR484" t="s">
        <v>1045</v>
      </c>
      <c r="IT484">
        <v>0</v>
      </c>
      <c r="IY484" t="s">
        <v>1044</v>
      </c>
      <c r="IZ484" t="s">
        <v>1043</v>
      </c>
      <c r="JE484">
        <v>0</v>
      </c>
      <c r="JF484">
        <v>0</v>
      </c>
      <c r="JI484" t="s">
        <v>1042</v>
      </c>
      <c r="JJ484">
        <v>0</v>
      </c>
      <c r="JK484">
        <v>0</v>
      </c>
      <c r="JL484">
        <v>0</v>
      </c>
      <c r="JM484">
        <v>0</v>
      </c>
      <c r="JT484">
        <v>0</v>
      </c>
      <c r="JU484" t="s">
        <v>1042</v>
      </c>
      <c r="JW484">
        <v>0</v>
      </c>
      <c r="KA484">
        <v>0</v>
      </c>
      <c r="KF484">
        <v>0</v>
      </c>
      <c r="KG484">
        <v>0</v>
      </c>
      <c r="KH484">
        <v>0</v>
      </c>
      <c r="KI484">
        <v>0</v>
      </c>
      <c r="KS484" t="s">
        <v>1073</v>
      </c>
      <c r="KT484">
        <v>0</v>
      </c>
      <c r="KU484">
        <v>0</v>
      </c>
      <c r="KV484">
        <v>0</v>
      </c>
      <c r="KX484">
        <v>0</v>
      </c>
      <c r="KZ484">
        <v>0</v>
      </c>
      <c r="LF484">
        <v>0</v>
      </c>
      <c r="LH484">
        <v>10080</v>
      </c>
      <c r="LI484">
        <v>0</v>
      </c>
    </row>
    <row r="485" spans="1:321" x14ac:dyDescent="0.35">
      <c r="A485">
        <v>1</v>
      </c>
      <c r="B485" t="s">
        <v>1208</v>
      </c>
      <c r="C485" t="s">
        <v>1207</v>
      </c>
      <c r="D485" t="s">
        <v>1064</v>
      </c>
      <c r="E485" t="s">
        <v>85</v>
      </c>
      <c r="F485">
        <v>1</v>
      </c>
      <c r="G485">
        <v>8890</v>
      </c>
      <c r="H485">
        <v>0</v>
      </c>
      <c r="I485" t="s">
        <v>1017</v>
      </c>
      <c r="L485">
        <v>0</v>
      </c>
      <c r="M485">
        <v>9.75</v>
      </c>
      <c r="N485">
        <v>0</v>
      </c>
      <c r="Q485">
        <v>511</v>
      </c>
      <c r="R485">
        <v>0</v>
      </c>
      <c r="S485">
        <v>0</v>
      </c>
      <c r="W485" t="s">
        <v>1060</v>
      </c>
      <c r="X485">
        <v>0</v>
      </c>
      <c r="Z485">
        <v>0</v>
      </c>
      <c r="AA485">
        <v>0</v>
      </c>
      <c r="AB485">
        <v>0</v>
      </c>
      <c r="AC485">
        <v>0.38950000000000001</v>
      </c>
      <c r="AD485" t="s">
        <v>1042</v>
      </c>
      <c r="AE485">
        <v>0</v>
      </c>
      <c r="AF485">
        <v>0</v>
      </c>
      <c r="AH485">
        <v>0</v>
      </c>
      <c r="AJ485">
        <v>0</v>
      </c>
      <c r="AL485">
        <v>145800</v>
      </c>
      <c r="AM485">
        <v>24</v>
      </c>
      <c r="AN485">
        <v>11501001</v>
      </c>
      <c r="AO485">
        <v>0</v>
      </c>
      <c r="AP485">
        <v>2720</v>
      </c>
      <c r="AT485">
        <v>1</v>
      </c>
      <c r="AU485" t="s">
        <v>1059</v>
      </c>
      <c r="AW485" t="s">
        <v>1053</v>
      </c>
      <c r="AX485">
        <v>5</v>
      </c>
      <c r="AY485" s="20">
        <v>43868</v>
      </c>
      <c r="BA485" s="20">
        <v>43868</v>
      </c>
      <c r="BB485" t="s">
        <v>1058</v>
      </c>
      <c r="BD485">
        <v>0</v>
      </c>
      <c r="BF485" t="s">
        <v>1044</v>
      </c>
      <c r="BG485" t="s">
        <v>1042</v>
      </c>
      <c r="BH485">
        <v>0</v>
      </c>
      <c r="BI485">
        <v>36</v>
      </c>
      <c r="BJ485">
        <v>0</v>
      </c>
      <c r="BK485">
        <v>0</v>
      </c>
      <c r="BM485" t="s">
        <v>1042</v>
      </c>
      <c r="BN485">
        <v>0</v>
      </c>
      <c r="BR485" t="s">
        <v>1043</v>
      </c>
      <c r="BS485" t="s">
        <v>1043</v>
      </c>
      <c r="BT485" t="s">
        <v>1043</v>
      </c>
      <c r="BV485">
        <v>1</v>
      </c>
      <c r="BW485">
        <v>2</v>
      </c>
      <c r="CA485">
        <v>0</v>
      </c>
      <c r="CB485" t="s">
        <v>1043</v>
      </c>
      <c r="CE485" t="s">
        <v>1043</v>
      </c>
      <c r="CH485" t="s">
        <v>1043</v>
      </c>
      <c r="CN485" t="s">
        <v>1056</v>
      </c>
      <c r="CO485" t="s">
        <v>1043</v>
      </c>
      <c r="CP485">
        <v>1</v>
      </c>
      <c r="CQ485">
        <v>0</v>
      </c>
      <c r="CS485">
        <v>0</v>
      </c>
      <c r="CT485">
        <v>0</v>
      </c>
      <c r="CU485">
        <v>0</v>
      </c>
      <c r="CW485">
        <v>0</v>
      </c>
      <c r="CX485">
        <v>0</v>
      </c>
      <c r="CY485">
        <v>0</v>
      </c>
      <c r="CZ485">
        <v>0</v>
      </c>
      <c r="DB485">
        <v>0</v>
      </c>
      <c r="DC485" t="s">
        <v>1043</v>
      </c>
      <c r="DF485" t="s">
        <v>1055</v>
      </c>
      <c r="DH485">
        <v>0</v>
      </c>
      <c r="DJ485">
        <v>0</v>
      </c>
      <c r="DK485" t="s">
        <v>1053</v>
      </c>
      <c r="DL485">
        <v>0</v>
      </c>
      <c r="DN485">
        <v>0</v>
      </c>
      <c r="DO485" t="s">
        <v>1042</v>
      </c>
      <c r="DP485">
        <v>0</v>
      </c>
      <c r="DQ485">
        <v>7.6</v>
      </c>
      <c r="DS485">
        <v>0</v>
      </c>
      <c r="DU485">
        <v>1.65</v>
      </c>
      <c r="DW485">
        <v>0</v>
      </c>
      <c r="DX485" t="s">
        <v>1043</v>
      </c>
      <c r="DY485">
        <v>0</v>
      </c>
      <c r="DZ485">
        <v>0</v>
      </c>
      <c r="EA485">
        <v>0</v>
      </c>
      <c r="ED485" t="s">
        <v>1045</v>
      </c>
      <c r="EE485">
        <v>0</v>
      </c>
      <c r="EF485">
        <v>0</v>
      </c>
      <c r="EK485" t="s">
        <v>1054</v>
      </c>
      <c r="EN485" t="s">
        <v>1012</v>
      </c>
      <c r="EQ485" t="s">
        <v>1044</v>
      </c>
      <c r="ES485" t="s">
        <v>1053</v>
      </c>
      <c r="ET485">
        <v>0</v>
      </c>
      <c r="EV485">
        <v>0</v>
      </c>
      <c r="EY485" t="s">
        <v>1052</v>
      </c>
      <c r="EZ485">
        <v>0</v>
      </c>
      <c r="FA485" t="s">
        <v>1043</v>
      </c>
      <c r="FB485">
        <v>0</v>
      </c>
      <c r="FC485">
        <v>0</v>
      </c>
      <c r="FD485" t="s">
        <v>1051</v>
      </c>
      <c r="FE485" t="s">
        <v>1050</v>
      </c>
      <c r="FF485">
        <v>0</v>
      </c>
      <c r="FG485" t="s">
        <v>1050</v>
      </c>
      <c r="FJ485">
        <v>0</v>
      </c>
      <c r="FK485">
        <v>0</v>
      </c>
      <c r="FP485">
        <v>0</v>
      </c>
      <c r="FR485">
        <v>0</v>
      </c>
      <c r="FS485" t="s">
        <v>1043</v>
      </c>
      <c r="FX485" t="s">
        <v>1042</v>
      </c>
      <c r="FZ485" t="s">
        <v>1048</v>
      </c>
      <c r="GA485">
        <v>0</v>
      </c>
      <c r="GB485" t="s">
        <v>1042</v>
      </c>
      <c r="GD485">
        <v>16</v>
      </c>
      <c r="GE485">
        <v>0</v>
      </c>
      <c r="GG485">
        <v>0</v>
      </c>
      <c r="GN485">
        <v>0</v>
      </c>
      <c r="GO485" t="s">
        <v>1063</v>
      </c>
      <c r="GQ485">
        <v>0</v>
      </c>
      <c r="GU485">
        <v>2</v>
      </c>
      <c r="GY485" t="s">
        <v>1045</v>
      </c>
      <c r="HB485">
        <v>0</v>
      </c>
      <c r="HE485">
        <v>10</v>
      </c>
      <c r="HF485">
        <v>15</v>
      </c>
      <c r="HG485">
        <v>0</v>
      </c>
      <c r="HK485" t="s">
        <v>1042</v>
      </c>
      <c r="HM485" t="s">
        <v>1047</v>
      </c>
      <c r="HN485">
        <v>0</v>
      </c>
      <c r="HP485">
        <v>0</v>
      </c>
      <c r="HQ485">
        <v>0</v>
      </c>
      <c r="HR485" t="s">
        <v>1042</v>
      </c>
      <c r="HS485" t="s">
        <v>1043</v>
      </c>
      <c r="HT485">
        <v>0</v>
      </c>
      <c r="HU485">
        <v>0</v>
      </c>
      <c r="HW485">
        <v>0</v>
      </c>
      <c r="HX485">
        <v>0</v>
      </c>
      <c r="HY485">
        <v>0</v>
      </c>
      <c r="HZ485" t="s">
        <v>1045</v>
      </c>
      <c r="IA485">
        <v>0</v>
      </c>
      <c r="IB485" t="s">
        <v>1045</v>
      </c>
      <c r="ID485" t="s">
        <v>1045</v>
      </c>
      <c r="IF485">
        <v>0</v>
      </c>
      <c r="IG485" t="s">
        <v>1042</v>
      </c>
      <c r="IH485" t="s">
        <v>1046</v>
      </c>
      <c r="II485" t="s">
        <v>1042</v>
      </c>
      <c r="IR485" t="s">
        <v>1045</v>
      </c>
      <c r="IT485">
        <v>0</v>
      </c>
      <c r="IY485" t="s">
        <v>1044</v>
      </c>
      <c r="IZ485" t="s">
        <v>1043</v>
      </c>
      <c r="JE485">
        <v>0</v>
      </c>
      <c r="JF485">
        <v>0</v>
      </c>
      <c r="JI485" t="s">
        <v>1042</v>
      </c>
      <c r="JJ485">
        <v>0</v>
      </c>
      <c r="JK485">
        <v>0</v>
      </c>
      <c r="JL485">
        <v>0</v>
      </c>
      <c r="JM485">
        <v>0</v>
      </c>
      <c r="JT485">
        <v>0</v>
      </c>
      <c r="JU485" t="s">
        <v>1042</v>
      </c>
      <c r="JW485">
        <v>0</v>
      </c>
      <c r="KA485">
        <v>0</v>
      </c>
      <c r="KF485">
        <v>0</v>
      </c>
      <c r="KG485">
        <v>0</v>
      </c>
      <c r="KH485">
        <v>0</v>
      </c>
      <c r="KI485">
        <v>0</v>
      </c>
      <c r="KS485" t="s">
        <v>1073</v>
      </c>
      <c r="KT485">
        <v>0</v>
      </c>
      <c r="KU485">
        <v>0</v>
      </c>
      <c r="KV485">
        <v>0</v>
      </c>
      <c r="KX485">
        <v>0</v>
      </c>
      <c r="KZ485">
        <v>0</v>
      </c>
      <c r="LF485">
        <v>0</v>
      </c>
      <c r="LH485">
        <v>0</v>
      </c>
      <c r="LI485">
        <v>0</v>
      </c>
    </row>
    <row r="486" spans="1:321" x14ac:dyDescent="0.35">
      <c r="A486">
        <v>1</v>
      </c>
      <c r="B486">
        <v>1287</v>
      </c>
      <c r="C486" t="s">
        <v>665</v>
      </c>
      <c r="D486" t="s">
        <v>1061</v>
      </c>
      <c r="E486" t="s">
        <v>85</v>
      </c>
      <c r="F486">
        <v>1</v>
      </c>
      <c r="G486">
        <v>240</v>
      </c>
      <c r="H486">
        <v>0</v>
      </c>
      <c r="I486" t="s">
        <v>1017</v>
      </c>
      <c r="L486">
        <v>0</v>
      </c>
      <c r="M486">
        <v>9.75</v>
      </c>
      <c r="N486">
        <v>0</v>
      </c>
      <c r="Q486">
        <v>511</v>
      </c>
      <c r="R486">
        <v>0</v>
      </c>
      <c r="S486">
        <v>0</v>
      </c>
      <c r="W486" t="s">
        <v>1060</v>
      </c>
      <c r="X486">
        <v>0</v>
      </c>
      <c r="Z486">
        <v>2</v>
      </c>
      <c r="AA486">
        <v>512.27520000000004</v>
      </c>
      <c r="AB486">
        <v>12</v>
      </c>
      <c r="AC486">
        <v>0.38950000000000001</v>
      </c>
      <c r="AD486" t="s">
        <v>1042</v>
      </c>
      <c r="AE486">
        <v>0</v>
      </c>
      <c r="AF486">
        <v>2.8650000000000002</v>
      </c>
      <c r="AH486">
        <v>0</v>
      </c>
      <c r="AJ486">
        <v>0</v>
      </c>
      <c r="AL486">
        <v>145800</v>
      </c>
      <c r="AM486">
        <v>222</v>
      </c>
      <c r="AN486">
        <v>11501001</v>
      </c>
      <c r="AO486">
        <v>0</v>
      </c>
      <c r="AP486">
        <v>1002</v>
      </c>
      <c r="AT486">
        <v>1</v>
      </c>
      <c r="AU486" t="s">
        <v>1059</v>
      </c>
      <c r="AW486" t="s">
        <v>1053</v>
      </c>
      <c r="AX486">
        <v>5</v>
      </c>
      <c r="AY486" s="20">
        <v>43242</v>
      </c>
      <c r="BA486" s="20">
        <v>44420</v>
      </c>
      <c r="BB486" t="s">
        <v>1058</v>
      </c>
      <c r="BD486">
        <v>0</v>
      </c>
      <c r="BF486" t="s">
        <v>1044</v>
      </c>
      <c r="BG486" t="s">
        <v>1042</v>
      </c>
      <c r="BH486">
        <v>0</v>
      </c>
      <c r="BI486">
        <v>36</v>
      </c>
      <c r="BJ486">
        <v>0</v>
      </c>
      <c r="BK486">
        <v>0</v>
      </c>
      <c r="BM486" s="20">
        <v>44274</v>
      </c>
      <c r="BN486">
        <v>0</v>
      </c>
      <c r="BO486">
        <v>7897801320559</v>
      </c>
      <c r="BR486" t="s">
        <v>1043</v>
      </c>
      <c r="BS486" t="s">
        <v>1043</v>
      </c>
      <c r="BT486" t="s">
        <v>1043</v>
      </c>
      <c r="BV486">
        <v>1</v>
      </c>
      <c r="BW486">
        <v>2</v>
      </c>
      <c r="BY486">
        <v>78</v>
      </c>
      <c r="CA486">
        <v>0</v>
      </c>
      <c r="CB486" t="s">
        <v>1043</v>
      </c>
      <c r="CE486" t="s">
        <v>1043</v>
      </c>
      <c r="CH486" t="s">
        <v>1043</v>
      </c>
      <c r="CN486" t="s">
        <v>1056</v>
      </c>
      <c r="CO486" t="s">
        <v>1043</v>
      </c>
      <c r="CP486">
        <v>1</v>
      </c>
      <c r="CQ486">
        <v>0</v>
      </c>
      <c r="CS486">
        <v>0</v>
      </c>
      <c r="CT486">
        <v>0</v>
      </c>
      <c r="CU486">
        <v>0</v>
      </c>
      <c r="CW486">
        <v>0</v>
      </c>
      <c r="CX486">
        <v>0</v>
      </c>
      <c r="CY486">
        <v>0</v>
      </c>
      <c r="CZ486">
        <v>0</v>
      </c>
      <c r="DA486">
        <v>9</v>
      </c>
      <c r="DB486">
        <v>0</v>
      </c>
      <c r="DC486" t="s">
        <v>1043</v>
      </c>
      <c r="DF486" t="s">
        <v>1055</v>
      </c>
      <c r="DH486">
        <v>0</v>
      </c>
      <c r="DJ486">
        <v>0</v>
      </c>
      <c r="DK486" t="s">
        <v>1053</v>
      </c>
      <c r="DL486">
        <v>0</v>
      </c>
      <c r="DN486">
        <v>0</v>
      </c>
      <c r="DO486" t="s">
        <v>1042</v>
      </c>
      <c r="DP486">
        <v>0</v>
      </c>
      <c r="DQ486">
        <v>7.6</v>
      </c>
      <c r="DS486">
        <v>0</v>
      </c>
      <c r="DU486">
        <v>1.65</v>
      </c>
      <c r="DW486">
        <v>0</v>
      </c>
      <c r="DX486" t="s">
        <v>1043</v>
      </c>
      <c r="DY486">
        <v>0</v>
      </c>
      <c r="DZ486">
        <v>0</v>
      </c>
      <c r="EA486">
        <v>0</v>
      </c>
      <c r="EB486">
        <v>17897801320556</v>
      </c>
      <c r="ED486" t="s">
        <v>1045</v>
      </c>
      <c r="EE486">
        <v>0</v>
      </c>
      <c r="EF486">
        <v>0</v>
      </c>
      <c r="EK486" t="s">
        <v>1054</v>
      </c>
      <c r="EL486">
        <v>57897801320554</v>
      </c>
      <c r="EN486" t="s">
        <v>1012</v>
      </c>
      <c r="EQ486" t="s">
        <v>1044</v>
      </c>
      <c r="ES486" t="s">
        <v>1053</v>
      </c>
      <c r="ET486">
        <v>0</v>
      </c>
      <c r="EV486">
        <v>0</v>
      </c>
      <c r="EY486" t="s">
        <v>1052</v>
      </c>
      <c r="EZ486">
        <v>0</v>
      </c>
      <c r="FA486" t="s">
        <v>1043</v>
      </c>
      <c r="FB486">
        <v>0</v>
      </c>
      <c r="FC486">
        <v>0</v>
      </c>
      <c r="FD486" t="s">
        <v>1051</v>
      </c>
      <c r="FE486" t="s">
        <v>1050</v>
      </c>
      <c r="FF486">
        <v>0</v>
      </c>
      <c r="FG486" t="s">
        <v>1050</v>
      </c>
      <c r="FH486">
        <v>27897801320553</v>
      </c>
      <c r="FJ486">
        <v>0</v>
      </c>
      <c r="FK486">
        <v>0</v>
      </c>
      <c r="FP486">
        <v>0</v>
      </c>
      <c r="FR486">
        <v>0</v>
      </c>
      <c r="FS486" t="s">
        <v>1043</v>
      </c>
      <c r="FX486" t="s">
        <v>1042</v>
      </c>
      <c r="FZ486" t="s">
        <v>1048</v>
      </c>
      <c r="GA486">
        <v>0</v>
      </c>
      <c r="GB486" t="s">
        <v>1042</v>
      </c>
      <c r="GD486">
        <v>16</v>
      </c>
      <c r="GE486">
        <v>0</v>
      </c>
      <c r="GG486">
        <v>0</v>
      </c>
      <c r="GN486">
        <v>0</v>
      </c>
      <c r="GO486" t="s">
        <v>1049</v>
      </c>
      <c r="GQ486">
        <v>0</v>
      </c>
      <c r="GU486">
        <v>2</v>
      </c>
      <c r="GY486" t="s">
        <v>1045</v>
      </c>
      <c r="HB486">
        <v>0</v>
      </c>
      <c r="HE486">
        <v>10</v>
      </c>
      <c r="HF486">
        <v>15</v>
      </c>
      <c r="HG486">
        <v>2.886E-2</v>
      </c>
      <c r="HK486" t="s">
        <v>1042</v>
      </c>
      <c r="HM486" t="s">
        <v>1047</v>
      </c>
      <c r="HN486">
        <v>0</v>
      </c>
      <c r="HO486">
        <v>28</v>
      </c>
      <c r="HP486">
        <v>1.1990000000000001</v>
      </c>
      <c r="HQ486">
        <v>0</v>
      </c>
      <c r="HR486" t="s">
        <v>1042</v>
      </c>
      <c r="HS486" t="s">
        <v>1043</v>
      </c>
      <c r="HT486">
        <v>0</v>
      </c>
      <c r="HU486">
        <v>0</v>
      </c>
      <c r="HW486">
        <v>0</v>
      </c>
      <c r="HX486">
        <v>29</v>
      </c>
      <c r="HY486">
        <v>0</v>
      </c>
      <c r="HZ486" t="s">
        <v>1045</v>
      </c>
      <c r="IA486">
        <v>0</v>
      </c>
      <c r="IB486" t="s">
        <v>1045</v>
      </c>
      <c r="ID486" t="s">
        <v>1045</v>
      </c>
      <c r="IF486">
        <v>90</v>
      </c>
      <c r="IG486" t="s">
        <v>1042</v>
      </c>
      <c r="IH486" t="s">
        <v>1046</v>
      </c>
      <c r="II486" t="s">
        <v>1042</v>
      </c>
      <c r="IR486" t="s">
        <v>1045</v>
      </c>
      <c r="IT486">
        <v>0</v>
      </c>
      <c r="IY486" t="s">
        <v>1044</v>
      </c>
      <c r="IZ486" t="s">
        <v>1043</v>
      </c>
      <c r="JE486">
        <v>0</v>
      </c>
      <c r="JF486">
        <v>0</v>
      </c>
      <c r="JI486" t="s">
        <v>1042</v>
      </c>
      <c r="JJ486">
        <v>0</v>
      </c>
      <c r="JK486">
        <v>0</v>
      </c>
      <c r="JL486">
        <v>0</v>
      </c>
      <c r="JM486">
        <v>0</v>
      </c>
      <c r="JT486">
        <v>0</v>
      </c>
      <c r="JU486" t="s">
        <v>1042</v>
      </c>
      <c r="JW486">
        <v>0</v>
      </c>
      <c r="KA486">
        <v>0</v>
      </c>
      <c r="KF486">
        <v>0</v>
      </c>
      <c r="KG486">
        <v>0</v>
      </c>
      <c r="KH486">
        <v>0</v>
      </c>
      <c r="KI486">
        <v>0</v>
      </c>
      <c r="KS486" t="s">
        <v>1073</v>
      </c>
      <c r="KT486">
        <v>0</v>
      </c>
      <c r="KU486">
        <v>0</v>
      </c>
      <c r="KV486">
        <v>0</v>
      </c>
      <c r="KX486">
        <v>0</v>
      </c>
      <c r="KZ486">
        <v>0</v>
      </c>
      <c r="LF486">
        <v>0</v>
      </c>
      <c r="LH486">
        <v>6384</v>
      </c>
      <c r="LI486">
        <v>0</v>
      </c>
    </row>
    <row r="487" spans="1:321" x14ac:dyDescent="0.35">
      <c r="A487">
        <v>1</v>
      </c>
      <c r="B487" t="s">
        <v>1206</v>
      </c>
      <c r="C487" t="s">
        <v>1205</v>
      </c>
      <c r="D487" t="s">
        <v>1064</v>
      </c>
      <c r="E487" t="s">
        <v>85</v>
      </c>
      <c r="F487">
        <v>1</v>
      </c>
      <c r="G487">
        <v>8890</v>
      </c>
      <c r="H487">
        <v>0</v>
      </c>
      <c r="I487" t="s">
        <v>1017</v>
      </c>
      <c r="L487">
        <v>0</v>
      </c>
      <c r="M487">
        <v>9.75</v>
      </c>
      <c r="N487">
        <v>0</v>
      </c>
      <c r="Q487">
        <v>511</v>
      </c>
      <c r="R487">
        <v>0</v>
      </c>
      <c r="S487">
        <v>0</v>
      </c>
      <c r="W487" t="s">
        <v>1060</v>
      </c>
      <c r="X487">
        <v>0</v>
      </c>
      <c r="Z487">
        <v>0</v>
      </c>
      <c r="AA487">
        <v>0</v>
      </c>
      <c r="AB487">
        <v>0</v>
      </c>
      <c r="AC487">
        <v>0.38950000000000001</v>
      </c>
      <c r="AD487" t="s">
        <v>1042</v>
      </c>
      <c r="AE487">
        <v>0</v>
      </c>
      <c r="AF487">
        <v>0</v>
      </c>
      <c r="AH487">
        <v>0</v>
      </c>
      <c r="AJ487">
        <v>0</v>
      </c>
      <c r="AL487">
        <v>145800</v>
      </c>
      <c r="AM487">
        <v>24</v>
      </c>
      <c r="AN487">
        <v>11501001</v>
      </c>
      <c r="AO487">
        <v>0</v>
      </c>
      <c r="AP487">
        <v>2720</v>
      </c>
      <c r="AT487">
        <v>1</v>
      </c>
      <c r="AU487" t="s">
        <v>1059</v>
      </c>
      <c r="AW487" t="s">
        <v>1053</v>
      </c>
      <c r="AX487">
        <v>5</v>
      </c>
      <c r="AY487" s="20">
        <v>43868</v>
      </c>
      <c r="BA487" s="20">
        <v>43868</v>
      </c>
      <c r="BB487" t="s">
        <v>1058</v>
      </c>
      <c r="BD487">
        <v>0</v>
      </c>
      <c r="BF487" t="s">
        <v>1044</v>
      </c>
      <c r="BG487" t="s">
        <v>1042</v>
      </c>
      <c r="BH487">
        <v>0</v>
      </c>
      <c r="BI487">
        <v>36</v>
      </c>
      <c r="BJ487">
        <v>0</v>
      </c>
      <c r="BK487">
        <v>0</v>
      </c>
      <c r="BM487" t="s">
        <v>1042</v>
      </c>
      <c r="BN487">
        <v>0</v>
      </c>
      <c r="BR487" t="s">
        <v>1043</v>
      </c>
      <c r="BS487" t="s">
        <v>1043</v>
      </c>
      <c r="BT487" t="s">
        <v>1043</v>
      </c>
      <c r="BV487">
        <v>1</v>
      </c>
      <c r="BW487">
        <v>2</v>
      </c>
      <c r="CA487">
        <v>0</v>
      </c>
      <c r="CB487" t="s">
        <v>1043</v>
      </c>
      <c r="CE487" t="s">
        <v>1043</v>
      </c>
      <c r="CH487" t="s">
        <v>1043</v>
      </c>
      <c r="CN487" t="s">
        <v>1056</v>
      </c>
      <c r="CO487" t="s">
        <v>1043</v>
      </c>
      <c r="CP487">
        <v>1</v>
      </c>
      <c r="CQ487">
        <v>0</v>
      </c>
      <c r="CS487">
        <v>0</v>
      </c>
      <c r="CT487">
        <v>0</v>
      </c>
      <c r="CU487">
        <v>0</v>
      </c>
      <c r="CW487">
        <v>0</v>
      </c>
      <c r="CX487">
        <v>0</v>
      </c>
      <c r="CY487">
        <v>0</v>
      </c>
      <c r="CZ487">
        <v>0</v>
      </c>
      <c r="DB487">
        <v>0</v>
      </c>
      <c r="DC487" t="s">
        <v>1043</v>
      </c>
      <c r="DF487" t="s">
        <v>1055</v>
      </c>
      <c r="DH487">
        <v>0</v>
      </c>
      <c r="DJ487">
        <v>0</v>
      </c>
      <c r="DK487" t="s">
        <v>1053</v>
      </c>
      <c r="DL487">
        <v>0</v>
      </c>
      <c r="DN487">
        <v>0</v>
      </c>
      <c r="DO487" t="s">
        <v>1042</v>
      </c>
      <c r="DP487">
        <v>0</v>
      </c>
      <c r="DQ487">
        <v>7.6</v>
      </c>
      <c r="DS487">
        <v>0</v>
      </c>
      <c r="DU487">
        <v>1.65</v>
      </c>
      <c r="DW487">
        <v>0</v>
      </c>
      <c r="DX487" t="s">
        <v>1043</v>
      </c>
      <c r="DY487">
        <v>0</v>
      </c>
      <c r="DZ487">
        <v>0</v>
      </c>
      <c r="EA487">
        <v>0</v>
      </c>
      <c r="ED487" t="s">
        <v>1045</v>
      </c>
      <c r="EE487">
        <v>0</v>
      </c>
      <c r="EF487">
        <v>0</v>
      </c>
      <c r="EK487" t="s">
        <v>1054</v>
      </c>
      <c r="EN487" t="s">
        <v>1012</v>
      </c>
      <c r="EQ487" t="s">
        <v>1044</v>
      </c>
      <c r="ES487" t="s">
        <v>1053</v>
      </c>
      <c r="ET487">
        <v>0</v>
      </c>
      <c r="EV487">
        <v>0</v>
      </c>
      <c r="EY487" t="s">
        <v>1052</v>
      </c>
      <c r="EZ487">
        <v>0</v>
      </c>
      <c r="FA487" t="s">
        <v>1043</v>
      </c>
      <c r="FB487">
        <v>0</v>
      </c>
      <c r="FC487">
        <v>0</v>
      </c>
      <c r="FD487" t="s">
        <v>1051</v>
      </c>
      <c r="FE487" t="s">
        <v>1050</v>
      </c>
      <c r="FF487">
        <v>0</v>
      </c>
      <c r="FG487" t="s">
        <v>1050</v>
      </c>
      <c r="FJ487">
        <v>0</v>
      </c>
      <c r="FK487">
        <v>0</v>
      </c>
      <c r="FP487">
        <v>0</v>
      </c>
      <c r="FR487">
        <v>0</v>
      </c>
      <c r="FS487" t="s">
        <v>1043</v>
      </c>
      <c r="FX487" t="s">
        <v>1042</v>
      </c>
      <c r="FZ487" t="s">
        <v>1048</v>
      </c>
      <c r="GA487">
        <v>0</v>
      </c>
      <c r="GB487" t="s">
        <v>1042</v>
      </c>
      <c r="GD487">
        <v>16</v>
      </c>
      <c r="GE487">
        <v>0</v>
      </c>
      <c r="GG487">
        <v>0</v>
      </c>
      <c r="GN487">
        <v>0</v>
      </c>
      <c r="GO487" t="s">
        <v>1063</v>
      </c>
      <c r="GQ487">
        <v>0</v>
      </c>
      <c r="GU487">
        <v>2</v>
      </c>
      <c r="GY487" t="s">
        <v>1045</v>
      </c>
      <c r="HB487">
        <v>0</v>
      </c>
      <c r="HE487">
        <v>10</v>
      </c>
      <c r="HF487">
        <v>15</v>
      </c>
      <c r="HG487">
        <v>0</v>
      </c>
      <c r="HK487" t="s">
        <v>1042</v>
      </c>
      <c r="HM487" t="s">
        <v>1047</v>
      </c>
      <c r="HN487">
        <v>0</v>
      </c>
      <c r="HP487">
        <v>0</v>
      </c>
      <c r="HQ487">
        <v>0</v>
      </c>
      <c r="HR487" t="s">
        <v>1042</v>
      </c>
      <c r="HS487" t="s">
        <v>1043</v>
      </c>
      <c r="HT487">
        <v>0</v>
      </c>
      <c r="HU487">
        <v>0</v>
      </c>
      <c r="HW487">
        <v>0</v>
      </c>
      <c r="HX487">
        <v>0</v>
      </c>
      <c r="HY487">
        <v>0</v>
      </c>
      <c r="HZ487" t="s">
        <v>1045</v>
      </c>
      <c r="IA487">
        <v>0</v>
      </c>
      <c r="IB487" t="s">
        <v>1045</v>
      </c>
      <c r="ID487" t="s">
        <v>1045</v>
      </c>
      <c r="IF487">
        <v>0</v>
      </c>
      <c r="IG487" t="s">
        <v>1042</v>
      </c>
      <c r="IH487" t="s">
        <v>1046</v>
      </c>
      <c r="II487" t="s">
        <v>1042</v>
      </c>
      <c r="IR487" t="s">
        <v>1045</v>
      </c>
      <c r="IT487">
        <v>0</v>
      </c>
      <c r="IY487" t="s">
        <v>1044</v>
      </c>
      <c r="IZ487" t="s">
        <v>1043</v>
      </c>
      <c r="JE487">
        <v>0</v>
      </c>
      <c r="JF487">
        <v>0</v>
      </c>
      <c r="JI487" t="s">
        <v>1042</v>
      </c>
      <c r="JJ487">
        <v>0</v>
      </c>
      <c r="JK487">
        <v>0</v>
      </c>
      <c r="JL487">
        <v>0</v>
      </c>
      <c r="JM487">
        <v>0</v>
      </c>
      <c r="JT487">
        <v>0</v>
      </c>
      <c r="JU487" t="s">
        <v>1042</v>
      </c>
      <c r="JW487">
        <v>0</v>
      </c>
      <c r="KA487">
        <v>0</v>
      </c>
      <c r="KF487">
        <v>0</v>
      </c>
      <c r="KG487">
        <v>0</v>
      </c>
      <c r="KH487">
        <v>0</v>
      </c>
      <c r="KI487">
        <v>0</v>
      </c>
      <c r="KS487" t="s">
        <v>1073</v>
      </c>
      <c r="KT487">
        <v>0</v>
      </c>
      <c r="KU487">
        <v>0</v>
      </c>
      <c r="KV487">
        <v>0</v>
      </c>
      <c r="KX487">
        <v>0</v>
      </c>
      <c r="KZ487">
        <v>0</v>
      </c>
      <c r="LF487">
        <v>0</v>
      </c>
      <c r="LH487">
        <v>0</v>
      </c>
      <c r="LI487">
        <v>0</v>
      </c>
    </row>
    <row r="488" spans="1:321" x14ac:dyDescent="0.35">
      <c r="A488">
        <v>1</v>
      </c>
      <c r="B488">
        <v>1288</v>
      </c>
      <c r="C488" t="s">
        <v>666</v>
      </c>
      <c r="D488" t="s">
        <v>1061</v>
      </c>
      <c r="E488" t="s">
        <v>85</v>
      </c>
      <c r="F488">
        <v>1</v>
      </c>
      <c r="G488">
        <v>240</v>
      </c>
      <c r="H488">
        <v>0</v>
      </c>
      <c r="I488" t="s">
        <v>1017</v>
      </c>
      <c r="L488">
        <v>0</v>
      </c>
      <c r="M488">
        <v>9.75</v>
      </c>
      <c r="N488">
        <v>0</v>
      </c>
      <c r="Q488">
        <v>511</v>
      </c>
      <c r="R488">
        <v>0</v>
      </c>
      <c r="S488">
        <v>0</v>
      </c>
      <c r="W488" t="s">
        <v>1060</v>
      </c>
      <c r="X488">
        <v>0</v>
      </c>
      <c r="Z488">
        <v>2</v>
      </c>
      <c r="AA488">
        <v>879.55539999999996</v>
      </c>
      <c r="AB488">
        <v>6</v>
      </c>
      <c r="AC488">
        <v>0.38950000000000001</v>
      </c>
      <c r="AD488" t="s">
        <v>1042</v>
      </c>
      <c r="AE488">
        <v>0</v>
      </c>
      <c r="AF488">
        <v>3.8620000000000001</v>
      </c>
      <c r="AH488">
        <v>0</v>
      </c>
      <c r="AJ488">
        <v>0</v>
      </c>
      <c r="AL488">
        <v>145800</v>
      </c>
      <c r="AM488">
        <v>240</v>
      </c>
      <c r="AN488">
        <v>11501001</v>
      </c>
      <c r="AO488">
        <v>0</v>
      </c>
      <c r="AP488">
        <v>1002</v>
      </c>
      <c r="AT488">
        <v>1</v>
      </c>
      <c r="AU488" t="s">
        <v>1059</v>
      </c>
      <c r="AW488" t="s">
        <v>1053</v>
      </c>
      <c r="AX488">
        <v>5</v>
      </c>
      <c r="AY488" s="20">
        <v>43242</v>
      </c>
      <c r="BA488" s="20">
        <v>44420</v>
      </c>
      <c r="BB488" t="s">
        <v>1058</v>
      </c>
      <c r="BD488">
        <v>0</v>
      </c>
      <c r="BF488" t="s">
        <v>1044</v>
      </c>
      <c r="BG488" t="s">
        <v>1042</v>
      </c>
      <c r="BH488">
        <v>0</v>
      </c>
      <c r="BI488">
        <v>36</v>
      </c>
      <c r="BJ488">
        <v>0</v>
      </c>
      <c r="BK488">
        <v>0</v>
      </c>
      <c r="BM488" s="20">
        <v>44236</v>
      </c>
      <c r="BN488">
        <v>0</v>
      </c>
      <c r="BO488">
        <v>7897801320573</v>
      </c>
      <c r="BR488" t="s">
        <v>1043</v>
      </c>
      <c r="BS488" t="s">
        <v>1043</v>
      </c>
      <c r="BT488" t="s">
        <v>1043</v>
      </c>
      <c r="BV488">
        <v>1</v>
      </c>
      <c r="BW488">
        <v>2</v>
      </c>
      <c r="BY488">
        <v>78</v>
      </c>
      <c r="CA488">
        <v>0</v>
      </c>
      <c r="CB488" t="s">
        <v>1043</v>
      </c>
      <c r="CE488" t="s">
        <v>1043</v>
      </c>
      <c r="CH488" t="s">
        <v>1043</v>
      </c>
      <c r="CN488" t="s">
        <v>1056</v>
      </c>
      <c r="CO488" t="s">
        <v>1043</v>
      </c>
      <c r="CP488">
        <v>1</v>
      </c>
      <c r="CQ488">
        <v>0</v>
      </c>
      <c r="CS488">
        <v>0</v>
      </c>
      <c r="CT488">
        <v>0</v>
      </c>
      <c r="CU488">
        <v>0</v>
      </c>
      <c r="CW488">
        <v>0</v>
      </c>
      <c r="CX488">
        <v>0</v>
      </c>
      <c r="CY488">
        <v>0</v>
      </c>
      <c r="CZ488">
        <v>0</v>
      </c>
      <c r="DA488">
        <v>8</v>
      </c>
      <c r="DB488">
        <v>0</v>
      </c>
      <c r="DC488" t="s">
        <v>1043</v>
      </c>
      <c r="DF488" t="s">
        <v>1055</v>
      </c>
      <c r="DH488">
        <v>0</v>
      </c>
      <c r="DJ488">
        <v>0</v>
      </c>
      <c r="DK488" t="s">
        <v>1053</v>
      </c>
      <c r="DL488">
        <v>0</v>
      </c>
      <c r="DN488">
        <v>0</v>
      </c>
      <c r="DO488" t="s">
        <v>1042</v>
      </c>
      <c r="DP488">
        <v>0</v>
      </c>
      <c r="DQ488">
        <v>7.6</v>
      </c>
      <c r="DS488">
        <v>0</v>
      </c>
      <c r="DU488">
        <v>1.65</v>
      </c>
      <c r="DW488">
        <v>0</v>
      </c>
      <c r="DX488" t="s">
        <v>1043</v>
      </c>
      <c r="DY488">
        <v>0</v>
      </c>
      <c r="DZ488">
        <v>0</v>
      </c>
      <c r="EA488">
        <v>0</v>
      </c>
      <c r="EB488">
        <v>17897801320570</v>
      </c>
      <c r="ED488" t="s">
        <v>1045</v>
      </c>
      <c r="EE488">
        <v>0</v>
      </c>
      <c r="EF488">
        <v>0</v>
      </c>
      <c r="EK488" t="s">
        <v>1054</v>
      </c>
      <c r="EL488">
        <v>57897801320578</v>
      </c>
      <c r="EN488" t="s">
        <v>1012</v>
      </c>
      <c r="EQ488" t="s">
        <v>1044</v>
      </c>
      <c r="ES488" t="s">
        <v>1053</v>
      </c>
      <c r="ET488">
        <v>0</v>
      </c>
      <c r="EV488">
        <v>0</v>
      </c>
      <c r="EY488" t="s">
        <v>1052</v>
      </c>
      <c r="EZ488">
        <v>0</v>
      </c>
      <c r="FA488" t="s">
        <v>1043</v>
      </c>
      <c r="FB488">
        <v>0</v>
      </c>
      <c r="FC488">
        <v>0</v>
      </c>
      <c r="FD488" t="s">
        <v>1051</v>
      </c>
      <c r="FE488" t="s">
        <v>1050</v>
      </c>
      <c r="FF488">
        <v>0</v>
      </c>
      <c r="FG488" t="s">
        <v>1050</v>
      </c>
      <c r="FH488">
        <v>27897801320577</v>
      </c>
      <c r="FJ488">
        <v>0</v>
      </c>
      <c r="FK488">
        <v>0</v>
      </c>
      <c r="FP488">
        <v>0</v>
      </c>
      <c r="FR488">
        <v>0</v>
      </c>
      <c r="FS488" t="s">
        <v>1043</v>
      </c>
      <c r="FX488" t="s">
        <v>1042</v>
      </c>
      <c r="FZ488" t="s">
        <v>1048</v>
      </c>
      <c r="GA488">
        <v>0</v>
      </c>
      <c r="GB488" t="s">
        <v>1042</v>
      </c>
      <c r="GD488">
        <v>16</v>
      </c>
      <c r="GE488">
        <v>0</v>
      </c>
      <c r="GG488">
        <v>0</v>
      </c>
      <c r="GN488">
        <v>0</v>
      </c>
      <c r="GO488" t="s">
        <v>1049</v>
      </c>
      <c r="GQ488">
        <v>0</v>
      </c>
      <c r="GU488">
        <v>2</v>
      </c>
      <c r="GY488" t="s">
        <v>1045</v>
      </c>
      <c r="HB488">
        <v>0</v>
      </c>
      <c r="HE488">
        <v>10</v>
      </c>
      <c r="HF488">
        <v>15</v>
      </c>
      <c r="HG488">
        <v>4.1570000000000003E-2</v>
      </c>
      <c r="HK488" t="s">
        <v>1042</v>
      </c>
      <c r="HM488" t="s">
        <v>1047</v>
      </c>
      <c r="HN488">
        <v>0</v>
      </c>
      <c r="HO488">
        <v>28</v>
      </c>
      <c r="HP488">
        <v>1.53</v>
      </c>
      <c r="HQ488">
        <v>0</v>
      </c>
      <c r="HR488" t="s">
        <v>1042</v>
      </c>
      <c r="HS488" t="s">
        <v>1043</v>
      </c>
      <c r="HT488">
        <v>0</v>
      </c>
      <c r="HU488">
        <v>0</v>
      </c>
      <c r="HW488">
        <v>0</v>
      </c>
      <c r="HX488">
        <v>15</v>
      </c>
      <c r="HY488">
        <v>0</v>
      </c>
      <c r="HZ488" t="s">
        <v>1045</v>
      </c>
      <c r="IA488">
        <v>0</v>
      </c>
      <c r="IB488" t="s">
        <v>1045</v>
      </c>
      <c r="ID488" t="s">
        <v>1045</v>
      </c>
      <c r="IF488">
        <v>72</v>
      </c>
      <c r="IG488" t="s">
        <v>1042</v>
      </c>
      <c r="IH488" t="s">
        <v>1046</v>
      </c>
      <c r="II488" t="s">
        <v>1042</v>
      </c>
      <c r="IR488" t="s">
        <v>1045</v>
      </c>
      <c r="IT488">
        <v>0</v>
      </c>
      <c r="IY488" t="s">
        <v>1044</v>
      </c>
      <c r="IZ488" t="s">
        <v>1043</v>
      </c>
      <c r="JE488">
        <v>0</v>
      </c>
      <c r="JF488">
        <v>0</v>
      </c>
      <c r="JI488" t="s">
        <v>1042</v>
      </c>
      <c r="JJ488">
        <v>0</v>
      </c>
      <c r="JK488">
        <v>0</v>
      </c>
      <c r="JL488">
        <v>0</v>
      </c>
      <c r="JM488">
        <v>0</v>
      </c>
      <c r="JT488">
        <v>0</v>
      </c>
      <c r="JU488" t="s">
        <v>1042</v>
      </c>
      <c r="JW488">
        <v>0</v>
      </c>
      <c r="KA488">
        <v>0</v>
      </c>
      <c r="KF488">
        <v>0</v>
      </c>
      <c r="KG488">
        <v>0</v>
      </c>
      <c r="KH488">
        <v>0</v>
      </c>
      <c r="KI488">
        <v>0</v>
      </c>
      <c r="KS488" t="s">
        <v>1073</v>
      </c>
      <c r="KT488">
        <v>0</v>
      </c>
      <c r="KU488">
        <v>0</v>
      </c>
      <c r="KV488">
        <v>0</v>
      </c>
      <c r="KX488">
        <v>0</v>
      </c>
      <c r="KZ488">
        <v>0</v>
      </c>
      <c r="LF488">
        <v>0</v>
      </c>
      <c r="LH488">
        <v>7560</v>
      </c>
      <c r="LI488">
        <v>0</v>
      </c>
    </row>
    <row r="489" spans="1:321" x14ac:dyDescent="0.35">
      <c r="A489">
        <v>1</v>
      </c>
      <c r="B489" t="s">
        <v>1204</v>
      </c>
      <c r="C489" t="s">
        <v>1203</v>
      </c>
      <c r="D489" t="s">
        <v>1064</v>
      </c>
      <c r="E489" t="s">
        <v>85</v>
      </c>
      <c r="F489">
        <v>1</v>
      </c>
      <c r="G489">
        <v>8890</v>
      </c>
      <c r="H489">
        <v>0</v>
      </c>
      <c r="I489" t="s">
        <v>1017</v>
      </c>
      <c r="L489">
        <v>0</v>
      </c>
      <c r="M489">
        <v>9.75</v>
      </c>
      <c r="N489">
        <v>0</v>
      </c>
      <c r="Q489">
        <v>511</v>
      </c>
      <c r="R489">
        <v>0</v>
      </c>
      <c r="S489">
        <v>0</v>
      </c>
      <c r="W489" t="s">
        <v>1060</v>
      </c>
      <c r="X489">
        <v>0</v>
      </c>
      <c r="Z489">
        <v>2</v>
      </c>
      <c r="AA489">
        <v>0</v>
      </c>
      <c r="AB489">
        <v>0</v>
      </c>
      <c r="AC489">
        <v>0.38950000000000001</v>
      </c>
      <c r="AD489" t="s">
        <v>1042</v>
      </c>
      <c r="AE489">
        <v>0</v>
      </c>
      <c r="AF489">
        <v>0</v>
      </c>
      <c r="AH489">
        <v>0</v>
      </c>
      <c r="AJ489">
        <v>0</v>
      </c>
      <c r="AL489">
        <v>145800</v>
      </c>
      <c r="AM489">
        <v>24</v>
      </c>
      <c r="AN489">
        <v>11501001</v>
      </c>
      <c r="AO489">
        <v>0</v>
      </c>
      <c r="AP489">
        <v>2720</v>
      </c>
      <c r="AT489">
        <v>1</v>
      </c>
      <c r="AU489" t="s">
        <v>1059</v>
      </c>
      <c r="AW489" t="s">
        <v>1053</v>
      </c>
      <c r="AX489">
        <v>5</v>
      </c>
      <c r="AY489" s="20">
        <v>43868</v>
      </c>
      <c r="BA489" s="20">
        <v>43868</v>
      </c>
      <c r="BB489" t="s">
        <v>1058</v>
      </c>
      <c r="BD489">
        <v>0</v>
      </c>
      <c r="BF489" t="s">
        <v>1044</v>
      </c>
      <c r="BG489" t="s">
        <v>1042</v>
      </c>
      <c r="BH489">
        <v>0</v>
      </c>
      <c r="BI489">
        <v>36</v>
      </c>
      <c r="BJ489">
        <v>0</v>
      </c>
      <c r="BK489">
        <v>0</v>
      </c>
      <c r="BM489" t="s">
        <v>1042</v>
      </c>
      <c r="BN489">
        <v>0</v>
      </c>
      <c r="BR489" t="s">
        <v>1043</v>
      </c>
      <c r="BS489" t="s">
        <v>1043</v>
      </c>
      <c r="BT489" t="s">
        <v>1043</v>
      </c>
      <c r="BV489">
        <v>1</v>
      </c>
      <c r="BW489">
        <v>2</v>
      </c>
      <c r="CA489">
        <v>0</v>
      </c>
      <c r="CB489" t="s">
        <v>1043</v>
      </c>
      <c r="CE489" t="s">
        <v>1043</v>
      </c>
      <c r="CH489" t="s">
        <v>1043</v>
      </c>
      <c r="CN489" t="s">
        <v>1056</v>
      </c>
      <c r="CO489" t="s">
        <v>1043</v>
      </c>
      <c r="CP489">
        <v>1</v>
      </c>
      <c r="CQ489">
        <v>0</v>
      </c>
      <c r="CS489">
        <v>0</v>
      </c>
      <c r="CT489">
        <v>0</v>
      </c>
      <c r="CU489">
        <v>0</v>
      </c>
      <c r="CW489">
        <v>0</v>
      </c>
      <c r="CX489">
        <v>0</v>
      </c>
      <c r="CY489">
        <v>0</v>
      </c>
      <c r="CZ489">
        <v>0</v>
      </c>
      <c r="DB489">
        <v>0</v>
      </c>
      <c r="DC489" t="s">
        <v>1043</v>
      </c>
      <c r="DF489" t="s">
        <v>1055</v>
      </c>
      <c r="DH489">
        <v>0</v>
      </c>
      <c r="DJ489">
        <v>0</v>
      </c>
      <c r="DK489" t="s">
        <v>1053</v>
      </c>
      <c r="DL489">
        <v>0</v>
      </c>
      <c r="DN489">
        <v>0</v>
      </c>
      <c r="DO489" t="s">
        <v>1042</v>
      </c>
      <c r="DP489">
        <v>0</v>
      </c>
      <c r="DQ489">
        <v>7.6</v>
      </c>
      <c r="DS489">
        <v>0</v>
      </c>
      <c r="DU489">
        <v>1.65</v>
      </c>
      <c r="DW489">
        <v>0</v>
      </c>
      <c r="DX489" t="s">
        <v>1043</v>
      </c>
      <c r="DY489">
        <v>0</v>
      </c>
      <c r="DZ489">
        <v>0</v>
      </c>
      <c r="EA489">
        <v>0</v>
      </c>
      <c r="ED489" t="s">
        <v>1045</v>
      </c>
      <c r="EE489">
        <v>0</v>
      </c>
      <c r="EF489">
        <v>0</v>
      </c>
      <c r="EK489" t="s">
        <v>1054</v>
      </c>
      <c r="EN489" t="s">
        <v>1012</v>
      </c>
      <c r="EQ489" t="s">
        <v>1044</v>
      </c>
      <c r="ES489" t="s">
        <v>1053</v>
      </c>
      <c r="ET489">
        <v>0</v>
      </c>
      <c r="EV489">
        <v>0</v>
      </c>
      <c r="EY489" t="s">
        <v>1052</v>
      </c>
      <c r="EZ489">
        <v>0</v>
      </c>
      <c r="FA489" t="s">
        <v>1043</v>
      </c>
      <c r="FB489">
        <v>0</v>
      </c>
      <c r="FC489">
        <v>0</v>
      </c>
      <c r="FD489" t="s">
        <v>1051</v>
      </c>
      <c r="FE489" t="s">
        <v>1050</v>
      </c>
      <c r="FF489">
        <v>0</v>
      </c>
      <c r="FG489" t="s">
        <v>1050</v>
      </c>
      <c r="FJ489">
        <v>0</v>
      </c>
      <c r="FK489">
        <v>0</v>
      </c>
      <c r="FP489">
        <v>0</v>
      </c>
      <c r="FR489">
        <v>0</v>
      </c>
      <c r="FS489" t="s">
        <v>1043</v>
      </c>
      <c r="FX489" t="s">
        <v>1042</v>
      </c>
      <c r="FZ489" t="s">
        <v>1048</v>
      </c>
      <c r="GA489">
        <v>0</v>
      </c>
      <c r="GB489" t="s">
        <v>1042</v>
      </c>
      <c r="GD489">
        <v>16</v>
      </c>
      <c r="GE489">
        <v>0</v>
      </c>
      <c r="GG489">
        <v>0</v>
      </c>
      <c r="GN489">
        <v>0</v>
      </c>
      <c r="GO489" t="s">
        <v>1063</v>
      </c>
      <c r="GQ489">
        <v>0</v>
      </c>
      <c r="GU489">
        <v>2</v>
      </c>
      <c r="GY489" t="s">
        <v>1045</v>
      </c>
      <c r="HB489">
        <v>0</v>
      </c>
      <c r="HE489">
        <v>10</v>
      </c>
      <c r="HF489">
        <v>15</v>
      </c>
      <c r="HG489">
        <v>0</v>
      </c>
      <c r="HK489" t="s">
        <v>1042</v>
      </c>
      <c r="HM489" t="s">
        <v>1047</v>
      </c>
      <c r="HN489">
        <v>0</v>
      </c>
      <c r="HP489">
        <v>0</v>
      </c>
      <c r="HQ489">
        <v>0</v>
      </c>
      <c r="HR489" t="s">
        <v>1042</v>
      </c>
      <c r="HS489" t="s">
        <v>1043</v>
      </c>
      <c r="HT489">
        <v>0</v>
      </c>
      <c r="HU489">
        <v>0</v>
      </c>
      <c r="HW489">
        <v>0</v>
      </c>
      <c r="HX489">
        <v>0</v>
      </c>
      <c r="HY489">
        <v>0</v>
      </c>
      <c r="HZ489" t="s">
        <v>1045</v>
      </c>
      <c r="IA489">
        <v>0</v>
      </c>
      <c r="IB489" t="s">
        <v>1045</v>
      </c>
      <c r="ID489" t="s">
        <v>1045</v>
      </c>
      <c r="IF489">
        <v>72</v>
      </c>
      <c r="IG489" t="s">
        <v>1042</v>
      </c>
      <c r="IH489" t="s">
        <v>1046</v>
      </c>
      <c r="II489" t="s">
        <v>1042</v>
      </c>
      <c r="IR489" t="s">
        <v>1045</v>
      </c>
      <c r="IT489">
        <v>0</v>
      </c>
      <c r="IY489" t="s">
        <v>1044</v>
      </c>
      <c r="IZ489" t="s">
        <v>1043</v>
      </c>
      <c r="JE489">
        <v>0</v>
      </c>
      <c r="JF489">
        <v>0</v>
      </c>
      <c r="JI489" t="s">
        <v>1042</v>
      </c>
      <c r="JJ489">
        <v>0</v>
      </c>
      <c r="JK489">
        <v>0</v>
      </c>
      <c r="JL489">
        <v>0</v>
      </c>
      <c r="JM489">
        <v>0</v>
      </c>
      <c r="JT489">
        <v>0</v>
      </c>
      <c r="JU489" t="s">
        <v>1042</v>
      </c>
      <c r="JW489">
        <v>0</v>
      </c>
      <c r="KA489">
        <v>0</v>
      </c>
      <c r="KF489">
        <v>0</v>
      </c>
      <c r="KG489">
        <v>0</v>
      </c>
      <c r="KH489">
        <v>0</v>
      </c>
      <c r="KI489">
        <v>0</v>
      </c>
      <c r="KS489" t="s">
        <v>1073</v>
      </c>
      <c r="KT489">
        <v>0</v>
      </c>
      <c r="KU489">
        <v>0</v>
      </c>
      <c r="KV489">
        <v>0</v>
      </c>
      <c r="KX489">
        <v>0</v>
      </c>
      <c r="KZ489">
        <v>0</v>
      </c>
      <c r="LF489">
        <v>0</v>
      </c>
      <c r="LH489">
        <v>0</v>
      </c>
      <c r="LI489">
        <v>0</v>
      </c>
    </row>
    <row r="490" spans="1:321" x14ac:dyDescent="0.35">
      <c r="A490">
        <v>1</v>
      </c>
      <c r="B490">
        <v>1289</v>
      </c>
      <c r="C490" t="s">
        <v>1192</v>
      </c>
      <c r="D490" t="s">
        <v>1061</v>
      </c>
      <c r="E490" t="s">
        <v>85</v>
      </c>
      <c r="F490">
        <v>1</v>
      </c>
      <c r="G490">
        <v>8890</v>
      </c>
      <c r="H490">
        <v>0</v>
      </c>
      <c r="I490" t="s">
        <v>1017</v>
      </c>
      <c r="L490">
        <v>0</v>
      </c>
      <c r="M490">
        <v>9.75</v>
      </c>
      <c r="N490">
        <v>0</v>
      </c>
      <c r="Q490">
        <v>511</v>
      </c>
      <c r="R490">
        <v>0</v>
      </c>
      <c r="S490">
        <v>0</v>
      </c>
      <c r="W490" t="s">
        <v>1060</v>
      </c>
      <c r="X490">
        <v>0</v>
      </c>
      <c r="Z490">
        <v>0</v>
      </c>
      <c r="AA490">
        <v>0</v>
      </c>
      <c r="AB490">
        <v>0</v>
      </c>
      <c r="AC490">
        <v>0.38950000000000001</v>
      </c>
      <c r="AD490" t="s">
        <v>1042</v>
      </c>
      <c r="AE490">
        <v>0</v>
      </c>
      <c r="AF490">
        <v>0</v>
      </c>
      <c r="AH490">
        <v>0</v>
      </c>
      <c r="AJ490">
        <v>0</v>
      </c>
      <c r="AL490">
        <v>145800</v>
      </c>
      <c r="AM490">
        <v>0</v>
      </c>
      <c r="AN490">
        <v>11501001</v>
      </c>
      <c r="AO490">
        <v>0</v>
      </c>
      <c r="AP490">
        <v>1002</v>
      </c>
      <c r="AT490">
        <v>1</v>
      </c>
      <c r="AU490" t="s">
        <v>1059</v>
      </c>
      <c r="AW490" t="s">
        <v>1053</v>
      </c>
      <c r="AX490">
        <v>0</v>
      </c>
      <c r="AY490" s="20">
        <v>43242</v>
      </c>
      <c r="BA490" s="20">
        <v>43242</v>
      </c>
      <c r="BB490" t="s">
        <v>1058</v>
      </c>
      <c r="BD490">
        <v>0</v>
      </c>
      <c r="BF490" t="s">
        <v>1044</v>
      </c>
      <c r="BG490" t="s">
        <v>1042</v>
      </c>
      <c r="BH490">
        <v>0</v>
      </c>
      <c r="BI490">
        <v>36</v>
      </c>
      <c r="BJ490">
        <v>0</v>
      </c>
      <c r="BK490">
        <v>0</v>
      </c>
      <c r="BM490" t="s">
        <v>1042</v>
      </c>
      <c r="BN490">
        <v>0</v>
      </c>
      <c r="BR490" t="s">
        <v>1043</v>
      </c>
      <c r="BS490" t="s">
        <v>1043</v>
      </c>
      <c r="BT490" t="s">
        <v>1043</v>
      </c>
      <c r="BV490">
        <v>1</v>
      </c>
      <c r="BW490">
        <v>2</v>
      </c>
      <c r="CA490">
        <v>0</v>
      </c>
      <c r="CB490" t="s">
        <v>1043</v>
      </c>
      <c r="CE490" t="s">
        <v>1043</v>
      </c>
      <c r="CH490" t="s">
        <v>1043</v>
      </c>
      <c r="CN490" t="s">
        <v>1056</v>
      </c>
      <c r="CO490" t="s">
        <v>1043</v>
      </c>
      <c r="CP490">
        <v>1</v>
      </c>
      <c r="CQ490">
        <v>0</v>
      </c>
      <c r="CS490">
        <v>0</v>
      </c>
      <c r="CT490">
        <v>0</v>
      </c>
      <c r="CU490">
        <v>0</v>
      </c>
      <c r="CW490">
        <v>0</v>
      </c>
      <c r="CX490">
        <v>0</v>
      </c>
      <c r="CY490">
        <v>0</v>
      </c>
      <c r="CZ490">
        <v>0</v>
      </c>
      <c r="DB490">
        <v>0</v>
      </c>
      <c r="DC490" t="s">
        <v>1043</v>
      </c>
      <c r="DF490" t="s">
        <v>1055</v>
      </c>
      <c r="DH490">
        <v>0</v>
      </c>
      <c r="DJ490">
        <v>0</v>
      </c>
      <c r="DK490" t="s">
        <v>1053</v>
      </c>
      <c r="DL490">
        <v>0</v>
      </c>
      <c r="DN490">
        <v>0</v>
      </c>
      <c r="DO490" t="s">
        <v>1042</v>
      </c>
      <c r="DP490">
        <v>0</v>
      </c>
      <c r="DQ490">
        <v>7.6</v>
      </c>
      <c r="DS490">
        <v>0</v>
      </c>
      <c r="DU490">
        <v>1.65</v>
      </c>
      <c r="DW490">
        <v>0</v>
      </c>
      <c r="DX490" t="s">
        <v>1043</v>
      </c>
      <c r="DY490">
        <v>0</v>
      </c>
      <c r="DZ490">
        <v>0</v>
      </c>
      <c r="EA490">
        <v>0</v>
      </c>
      <c r="ED490" t="s">
        <v>1045</v>
      </c>
      <c r="EE490">
        <v>0</v>
      </c>
      <c r="EF490">
        <v>0</v>
      </c>
      <c r="EK490" t="s">
        <v>1054</v>
      </c>
      <c r="EN490" t="s">
        <v>1012</v>
      </c>
      <c r="EQ490" t="s">
        <v>1044</v>
      </c>
      <c r="ES490" t="s">
        <v>1053</v>
      </c>
      <c r="ET490">
        <v>0</v>
      </c>
      <c r="EV490">
        <v>0</v>
      </c>
      <c r="EY490" t="s">
        <v>1052</v>
      </c>
      <c r="EZ490">
        <v>0</v>
      </c>
      <c r="FA490" t="s">
        <v>1043</v>
      </c>
      <c r="FB490">
        <v>0</v>
      </c>
      <c r="FC490">
        <v>0</v>
      </c>
      <c r="FD490" t="s">
        <v>1051</v>
      </c>
      <c r="FE490" t="s">
        <v>1050</v>
      </c>
      <c r="FF490">
        <v>0</v>
      </c>
      <c r="FG490" t="s">
        <v>1050</v>
      </c>
      <c r="FJ490">
        <v>0</v>
      </c>
      <c r="FK490">
        <v>0</v>
      </c>
      <c r="FP490">
        <v>0</v>
      </c>
      <c r="FR490">
        <v>0</v>
      </c>
      <c r="FS490" t="s">
        <v>1043</v>
      </c>
      <c r="FX490" t="s">
        <v>1042</v>
      </c>
      <c r="FZ490" t="s">
        <v>1048</v>
      </c>
      <c r="GA490">
        <v>0</v>
      </c>
      <c r="GB490" t="s">
        <v>1042</v>
      </c>
      <c r="GD490">
        <v>16</v>
      </c>
      <c r="GE490">
        <v>0</v>
      </c>
      <c r="GG490">
        <v>0</v>
      </c>
      <c r="GN490">
        <v>0</v>
      </c>
      <c r="GO490" t="s">
        <v>1049</v>
      </c>
      <c r="GQ490">
        <v>0</v>
      </c>
      <c r="GU490">
        <v>2</v>
      </c>
      <c r="GY490" t="s">
        <v>1045</v>
      </c>
      <c r="HB490">
        <v>0</v>
      </c>
      <c r="HE490">
        <v>10</v>
      </c>
      <c r="HF490">
        <v>15</v>
      </c>
      <c r="HG490">
        <v>0</v>
      </c>
      <c r="HK490" t="s">
        <v>1042</v>
      </c>
      <c r="HM490" t="s">
        <v>1047</v>
      </c>
      <c r="HN490">
        <v>0</v>
      </c>
      <c r="HP490">
        <v>0</v>
      </c>
      <c r="HQ490">
        <v>0</v>
      </c>
      <c r="HR490" t="s">
        <v>1042</v>
      </c>
      <c r="HS490" t="s">
        <v>1043</v>
      </c>
      <c r="HT490">
        <v>0</v>
      </c>
      <c r="HU490">
        <v>0</v>
      </c>
      <c r="HW490">
        <v>0</v>
      </c>
      <c r="HX490">
        <v>0</v>
      </c>
      <c r="HY490">
        <v>0</v>
      </c>
      <c r="HZ490" t="s">
        <v>1045</v>
      </c>
      <c r="IA490">
        <v>0</v>
      </c>
      <c r="IB490" t="s">
        <v>1045</v>
      </c>
      <c r="ID490" t="s">
        <v>1045</v>
      </c>
      <c r="IF490">
        <v>0</v>
      </c>
      <c r="IG490" t="s">
        <v>1042</v>
      </c>
      <c r="IH490" t="s">
        <v>1046</v>
      </c>
      <c r="II490" t="s">
        <v>1042</v>
      </c>
      <c r="IR490" t="s">
        <v>1045</v>
      </c>
      <c r="IT490">
        <v>0</v>
      </c>
      <c r="IY490" t="s">
        <v>1044</v>
      </c>
      <c r="IZ490" t="s">
        <v>1043</v>
      </c>
      <c r="JE490">
        <v>0</v>
      </c>
      <c r="JF490">
        <v>0</v>
      </c>
      <c r="JI490" t="s">
        <v>1042</v>
      </c>
      <c r="JJ490">
        <v>0</v>
      </c>
      <c r="JK490">
        <v>0</v>
      </c>
      <c r="JL490">
        <v>0</v>
      </c>
      <c r="JM490">
        <v>0</v>
      </c>
      <c r="JT490">
        <v>0</v>
      </c>
      <c r="JU490" t="s">
        <v>1042</v>
      </c>
      <c r="JW490">
        <v>0</v>
      </c>
      <c r="KA490">
        <v>0</v>
      </c>
      <c r="KF490">
        <v>0</v>
      </c>
      <c r="KG490">
        <v>0</v>
      </c>
      <c r="KH490">
        <v>0</v>
      </c>
      <c r="KI490">
        <v>0</v>
      </c>
      <c r="KS490" t="s">
        <v>1073</v>
      </c>
      <c r="KT490">
        <v>0</v>
      </c>
      <c r="KU490">
        <v>0</v>
      </c>
      <c r="KV490">
        <v>0</v>
      </c>
      <c r="KX490">
        <v>0</v>
      </c>
      <c r="KZ490">
        <v>0</v>
      </c>
      <c r="LF490">
        <v>0</v>
      </c>
      <c r="LH490">
        <v>0</v>
      </c>
      <c r="LI490">
        <v>0</v>
      </c>
    </row>
    <row r="491" spans="1:321" x14ac:dyDescent="0.35">
      <c r="A491">
        <v>1</v>
      </c>
      <c r="B491">
        <v>1290</v>
      </c>
      <c r="C491" t="s">
        <v>667</v>
      </c>
      <c r="D491" t="s">
        <v>1061</v>
      </c>
      <c r="E491" t="s">
        <v>85</v>
      </c>
      <c r="F491">
        <v>1</v>
      </c>
      <c r="G491">
        <v>240</v>
      </c>
      <c r="H491">
        <v>0</v>
      </c>
      <c r="I491" t="s">
        <v>1017</v>
      </c>
      <c r="L491">
        <v>0</v>
      </c>
      <c r="M491">
        <v>9.75</v>
      </c>
      <c r="N491">
        <v>0</v>
      </c>
      <c r="Q491">
        <v>511</v>
      </c>
      <c r="R491">
        <v>0</v>
      </c>
      <c r="S491">
        <v>0</v>
      </c>
      <c r="W491" t="s">
        <v>1060</v>
      </c>
      <c r="X491">
        <v>0</v>
      </c>
      <c r="Z491">
        <v>8</v>
      </c>
      <c r="AA491">
        <v>334.13720000000001</v>
      </c>
      <c r="AB491">
        <v>9</v>
      </c>
      <c r="AC491">
        <v>0.38950000000000001</v>
      </c>
      <c r="AD491" t="s">
        <v>1042</v>
      </c>
      <c r="AE491">
        <v>0</v>
      </c>
      <c r="AF491">
        <v>1.0375000000000001</v>
      </c>
      <c r="AH491">
        <v>0</v>
      </c>
      <c r="AJ491">
        <v>0</v>
      </c>
      <c r="AL491">
        <v>145800</v>
      </c>
      <c r="AM491">
        <v>576</v>
      </c>
      <c r="AN491">
        <v>11501001</v>
      </c>
      <c r="AO491">
        <v>0</v>
      </c>
      <c r="AP491">
        <v>1002</v>
      </c>
      <c r="AT491">
        <v>1</v>
      </c>
      <c r="AU491" t="s">
        <v>1059</v>
      </c>
      <c r="AW491" t="s">
        <v>1053</v>
      </c>
      <c r="AX491">
        <v>5</v>
      </c>
      <c r="AY491" s="20">
        <v>43242</v>
      </c>
      <c r="BA491" s="20">
        <v>44420</v>
      </c>
      <c r="BB491" t="s">
        <v>1058</v>
      </c>
      <c r="BD491">
        <v>0</v>
      </c>
      <c r="BF491" t="s">
        <v>1044</v>
      </c>
      <c r="BG491" t="s">
        <v>1042</v>
      </c>
      <c r="BH491">
        <v>0</v>
      </c>
      <c r="BI491">
        <v>36</v>
      </c>
      <c r="BJ491">
        <v>0</v>
      </c>
      <c r="BK491">
        <v>0</v>
      </c>
      <c r="BM491" s="20">
        <v>44236</v>
      </c>
      <c r="BN491">
        <v>0</v>
      </c>
      <c r="BO491">
        <v>7897801320504</v>
      </c>
      <c r="BR491" t="s">
        <v>1043</v>
      </c>
      <c r="BS491" t="s">
        <v>1043</v>
      </c>
      <c r="BT491" t="s">
        <v>1043</v>
      </c>
      <c r="BV491">
        <v>1</v>
      </c>
      <c r="BW491">
        <v>2</v>
      </c>
      <c r="BY491">
        <v>78</v>
      </c>
      <c r="CA491">
        <v>0</v>
      </c>
      <c r="CB491" t="s">
        <v>1043</v>
      </c>
      <c r="CE491" t="s">
        <v>1043</v>
      </c>
      <c r="CH491" t="s">
        <v>1043</v>
      </c>
      <c r="CN491" t="s">
        <v>1056</v>
      </c>
      <c r="CO491" t="s">
        <v>1043</v>
      </c>
      <c r="CP491">
        <v>1</v>
      </c>
      <c r="CQ491">
        <v>0</v>
      </c>
      <c r="CS491">
        <v>0</v>
      </c>
      <c r="CT491">
        <v>0</v>
      </c>
      <c r="CU491">
        <v>0</v>
      </c>
      <c r="CW491">
        <v>0</v>
      </c>
      <c r="CX491">
        <v>0</v>
      </c>
      <c r="CY491">
        <v>0</v>
      </c>
      <c r="CZ491">
        <v>0</v>
      </c>
      <c r="DA491">
        <v>7</v>
      </c>
      <c r="DB491">
        <v>0</v>
      </c>
      <c r="DC491" t="s">
        <v>1043</v>
      </c>
      <c r="DF491" t="s">
        <v>1055</v>
      </c>
      <c r="DH491">
        <v>0</v>
      </c>
      <c r="DJ491">
        <v>0</v>
      </c>
      <c r="DK491" t="s">
        <v>1053</v>
      </c>
      <c r="DL491">
        <v>0</v>
      </c>
      <c r="DN491">
        <v>0</v>
      </c>
      <c r="DO491" t="s">
        <v>1042</v>
      </c>
      <c r="DP491">
        <v>0</v>
      </c>
      <c r="DQ491">
        <v>7.6</v>
      </c>
      <c r="DS491">
        <v>0</v>
      </c>
      <c r="DU491">
        <v>1.65</v>
      </c>
      <c r="DW491">
        <v>0</v>
      </c>
      <c r="DX491" t="s">
        <v>1043</v>
      </c>
      <c r="DY491">
        <v>0</v>
      </c>
      <c r="DZ491">
        <v>0</v>
      </c>
      <c r="EA491">
        <v>0</v>
      </c>
      <c r="EB491">
        <v>17897801320501</v>
      </c>
      <c r="ED491" t="s">
        <v>1045</v>
      </c>
      <c r="EE491">
        <v>0</v>
      </c>
      <c r="EF491">
        <v>0</v>
      </c>
      <c r="EK491" t="s">
        <v>1054</v>
      </c>
      <c r="EL491">
        <v>57897801320509</v>
      </c>
      <c r="EN491" t="s">
        <v>1012</v>
      </c>
      <c r="EQ491" t="s">
        <v>1044</v>
      </c>
      <c r="ES491" t="s">
        <v>1053</v>
      </c>
      <c r="ET491">
        <v>0</v>
      </c>
      <c r="EV491">
        <v>0</v>
      </c>
      <c r="EY491" t="s">
        <v>1052</v>
      </c>
      <c r="EZ491">
        <v>0</v>
      </c>
      <c r="FA491" t="s">
        <v>1043</v>
      </c>
      <c r="FB491">
        <v>0</v>
      </c>
      <c r="FC491">
        <v>0</v>
      </c>
      <c r="FD491" t="s">
        <v>1051</v>
      </c>
      <c r="FE491" t="s">
        <v>1050</v>
      </c>
      <c r="FF491">
        <v>0</v>
      </c>
      <c r="FG491" t="s">
        <v>1050</v>
      </c>
      <c r="FH491">
        <v>27897801320508</v>
      </c>
      <c r="FJ491">
        <v>0</v>
      </c>
      <c r="FK491">
        <v>0</v>
      </c>
      <c r="FP491">
        <v>0</v>
      </c>
      <c r="FR491">
        <v>0</v>
      </c>
      <c r="FS491" t="s">
        <v>1043</v>
      </c>
      <c r="FX491" t="s">
        <v>1042</v>
      </c>
      <c r="FZ491" t="s">
        <v>1048</v>
      </c>
      <c r="GA491">
        <v>0</v>
      </c>
      <c r="GB491" t="s">
        <v>1042</v>
      </c>
      <c r="GD491">
        <v>16</v>
      </c>
      <c r="GE491">
        <v>0</v>
      </c>
      <c r="GG491">
        <v>0</v>
      </c>
      <c r="GN491">
        <v>0</v>
      </c>
      <c r="GO491" t="s">
        <v>1049</v>
      </c>
      <c r="GQ491">
        <v>0</v>
      </c>
      <c r="GU491">
        <v>2</v>
      </c>
      <c r="GY491" t="s">
        <v>1045</v>
      </c>
      <c r="HB491">
        <v>0</v>
      </c>
      <c r="HE491">
        <v>10</v>
      </c>
      <c r="HF491">
        <v>15</v>
      </c>
      <c r="HG491">
        <v>4.9889999999999997E-2</v>
      </c>
      <c r="HK491" t="s">
        <v>1042</v>
      </c>
      <c r="HM491" t="s">
        <v>1047</v>
      </c>
      <c r="HN491">
        <v>0</v>
      </c>
      <c r="HO491">
        <v>28</v>
      </c>
      <c r="HP491">
        <v>0.47060000000000002</v>
      </c>
      <c r="HQ491">
        <v>0</v>
      </c>
      <c r="HR491" t="s">
        <v>1042</v>
      </c>
      <c r="HS491" t="s">
        <v>1043</v>
      </c>
      <c r="HT491">
        <v>0</v>
      </c>
      <c r="HU491">
        <v>0</v>
      </c>
      <c r="HW491">
        <v>0</v>
      </c>
      <c r="HX491">
        <v>22</v>
      </c>
      <c r="HY491">
        <v>0</v>
      </c>
      <c r="HZ491" t="s">
        <v>1045</v>
      </c>
      <c r="IA491">
        <v>0</v>
      </c>
      <c r="IB491" t="s">
        <v>1045</v>
      </c>
      <c r="ID491" t="s">
        <v>1045</v>
      </c>
      <c r="IF491">
        <v>216</v>
      </c>
      <c r="IG491" t="s">
        <v>1042</v>
      </c>
      <c r="IH491" t="s">
        <v>1046</v>
      </c>
      <c r="II491" t="s">
        <v>1042</v>
      </c>
      <c r="IR491" t="s">
        <v>1045</v>
      </c>
      <c r="IT491">
        <v>0</v>
      </c>
      <c r="IY491" t="s">
        <v>1044</v>
      </c>
      <c r="IZ491" t="s">
        <v>1043</v>
      </c>
      <c r="JE491">
        <v>0</v>
      </c>
      <c r="JF491">
        <v>0</v>
      </c>
      <c r="JI491" t="s">
        <v>1042</v>
      </c>
      <c r="JJ491">
        <v>0</v>
      </c>
      <c r="JK491">
        <v>0</v>
      </c>
      <c r="JL491">
        <v>0</v>
      </c>
      <c r="JM491">
        <v>0</v>
      </c>
      <c r="JT491">
        <v>0</v>
      </c>
      <c r="JU491" t="s">
        <v>1042</v>
      </c>
      <c r="JW491">
        <v>0</v>
      </c>
      <c r="KA491">
        <v>0</v>
      </c>
      <c r="KF491">
        <v>0</v>
      </c>
      <c r="KG491">
        <v>0</v>
      </c>
      <c r="KH491">
        <v>0</v>
      </c>
      <c r="KI491">
        <v>0</v>
      </c>
      <c r="KS491" t="s">
        <v>1073</v>
      </c>
      <c r="KT491">
        <v>0</v>
      </c>
      <c r="KU491">
        <v>0</v>
      </c>
      <c r="KV491">
        <v>0</v>
      </c>
      <c r="KX491">
        <v>0</v>
      </c>
      <c r="KZ491">
        <v>0</v>
      </c>
      <c r="LF491">
        <v>0</v>
      </c>
      <c r="LH491">
        <v>26880</v>
      </c>
      <c r="LI491">
        <v>0</v>
      </c>
    </row>
    <row r="492" spans="1:321" x14ac:dyDescent="0.35">
      <c r="A492">
        <v>1</v>
      </c>
      <c r="B492" t="s">
        <v>1202</v>
      </c>
      <c r="C492" t="s">
        <v>1201</v>
      </c>
      <c r="D492" t="s">
        <v>1064</v>
      </c>
      <c r="E492" t="s">
        <v>85</v>
      </c>
      <c r="F492">
        <v>1</v>
      </c>
      <c r="G492">
        <v>8890</v>
      </c>
      <c r="H492">
        <v>0</v>
      </c>
      <c r="I492" t="s">
        <v>1017</v>
      </c>
      <c r="L492">
        <v>0</v>
      </c>
      <c r="M492">
        <v>9.75</v>
      </c>
      <c r="N492">
        <v>0</v>
      </c>
      <c r="Q492">
        <v>511</v>
      </c>
      <c r="R492">
        <v>0</v>
      </c>
      <c r="S492">
        <v>0</v>
      </c>
      <c r="W492" t="s">
        <v>1060</v>
      </c>
      <c r="X492">
        <v>0</v>
      </c>
      <c r="Z492">
        <v>0</v>
      </c>
      <c r="AA492">
        <v>0</v>
      </c>
      <c r="AB492">
        <v>0</v>
      </c>
      <c r="AC492">
        <v>0.38950000000000001</v>
      </c>
      <c r="AD492" t="s">
        <v>1042</v>
      </c>
      <c r="AE492">
        <v>0</v>
      </c>
      <c r="AF492">
        <v>0</v>
      </c>
      <c r="AH492">
        <v>0</v>
      </c>
      <c r="AJ492">
        <v>0</v>
      </c>
      <c r="AL492">
        <v>145800</v>
      </c>
      <c r="AM492">
        <v>24</v>
      </c>
      <c r="AN492">
        <v>11501001</v>
      </c>
      <c r="AO492">
        <v>0</v>
      </c>
      <c r="AP492">
        <v>2720</v>
      </c>
      <c r="AT492">
        <v>1</v>
      </c>
      <c r="AU492" t="s">
        <v>1059</v>
      </c>
      <c r="AW492" t="s">
        <v>1053</v>
      </c>
      <c r="AX492">
        <v>5</v>
      </c>
      <c r="AY492" s="20">
        <v>43868</v>
      </c>
      <c r="BA492" s="20">
        <v>43868</v>
      </c>
      <c r="BB492" t="s">
        <v>1058</v>
      </c>
      <c r="BD492">
        <v>0</v>
      </c>
      <c r="BF492" t="s">
        <v>1044</v>
      </c>
      <c r="BG492" t="s">
        <v>1042</v>
      </c>
      <c r="BH492">
        <v>0</v>
      </c>
      <c r="BI492">
        <v>36</v>
      </c>
      <c r="BJ492">
        <v>0</v>
      </c>
      <c r="BK492">
        <v>0</v>
      </c>
      <c r="BM492" t="s">
        <v>1042</v>
      </c>
      <c r="BN492">
        <v>0</v>
      </c>
      <c r="BR492" t="s">
        <v>1043</v>
      </c>
      <c r="BS492" t="s">
        <v>1043</v>
      </c>
      <c r="BT492" t="s">
        <v>1043</v>
      </c>
      <c r="BV492">
        <v>1</v>
      </c>
      <c r="BW492">
        <v>2</v>
      </c>
      <c r="CA492">
        <v>0</v>
      </c>
      <c r="CB492" t="s">
        <v>1043</v>
      </c>
      <c r="CE492" t="s">
        <v>1043</v>
      </c>
      <c r="CH492" t="s">
        <v>1043</v>
      </c>
      <c r="CN492" t="s">
        <v>1056</v>
      </c>
      <c r="CO492" t="s">
        <v>1043</v>
      </c>
      <c r="CP492">
        <v>1</v>
      </c>
      <c r="CQ492">
        <v>0</v>
      </c>
      <c r="CS492">
        <v>0</v>
      </c>
      <c r="CT492">
        <v>0</v>
      </c>
      <c r="CU492">
        <v>0</v>
      </c>
      <c r="CW492">
        <v>0</v>
      </c>
      <c r="CX492">
        <v>0</v>
      </c>
      <c r="CY492">
        <v>0</v>
      </c>
      <c r="CZ492">
        <v>0</v>
      </c>
      <c r="DB492">
        <v>0</v>
      </c>
      <c r="DC492" t="s">
        <v>1043</v>
      </c>
      <c r="DF492" t="s">
        <v>1055</v>
      </c>
      <c r="DH492">
        <v>0</v>
      </c>
      <c r="DJ492">
        <v>0</v>
      </c>
      <c r="DK492" t="s">
        <v>1053</v>
      </c>
      <c r="DL492">
        <v>0</v>
      </c>
      <c r="DN492">
        <v>0</v>
      </c>
      <c r="DO492" t="s">
        <v>1042</v>
      </c>
      <c r="DP492">
        <v>0</v>
      </c>
      <c r="DQ492">
        <v>7.6</v>
      </c>
      <c r="DS492">
        <v>0</v>
      </c>
      <c r="DU492">
        <v>1.65</v>
      </c>
      <c r="DW492">
        <v>0</v>
      </c>
      <c r="DX492" t="s">
        <v>1043</v>
      </c>
      <c r="DY492">
        <v>0</v>
      </c>
      <c r="DZ492">
        <v>0</v>
      </c>
      <c r="EA492">
        <v>0</v>
      </c>
      <c r="ED492" t="s">
        <v>1045</v>
      </c>
      <c r="EE492">
        <v>0</v>
      </c>
      <c r="EF492">
        <v>0</v>
      </c>
      <c r="EK492" t="s">
        <v>1054</v>
      </c>
      <c r="EN492" t="s">
        <v>1012</v>
      </c>
      <c r="EQ492" t="s">
        <v>1044</v>
      </c>
      <c r="ES492" t="s">
        <v>1053</v>
      </c>
      <c r="ET492">
        <v>0</v>
      </c>
      <c r="EV492">
        <v>0</v>
      </c>
      <c r="EY492" t="s">
        <v>1052</v>
      </c>
      <c r="EZ492">
        <v>0</v>
      </c>
      <c r="FA492" t="s">
        <v>1043</v>
      </c>
      <c r="FB492">
        <v>0</v>
      </c>
      <c r="FC492">
        <v>0</v>
      </c>
      <c r="FD492" t="s">
        <v>1051</v>
      </c>
      <c r="FE492" t="s">
        <v>1050</v>
      </c>
      <c r="FF492">
        <v>0</v>
      </c>
      <c r="FG492" t="s">
        <v>1050</v>
      </c>
      <c r="FJ492">
        <v>0</v>
      </c>
      <c r="FK492">
        <v>0</v>
      </c>
      <c r="FP492">
        <v>0</v>
      </c>
      <c r="FR492">
        <v>0</v>
      </c>
      <c r="FS492" t="s">
        <v>1043</v>
      </c>
      <c r="FX492" t="s">
        <v>1042</v>
      </c>
      <c r="FZ492" t="s">
        <v>1048</v>
      </c>
      <c r="GA492">
        <v>0</v>
      </c>
      <c r="GB492" t="s">
        <v>1042</v>
      </c>
      <c r="GD492">
        <v>16</v>
      </c>
      <c r="GE492">
        <v>0</v>
      </c>
      <c r="GG492">
        <v>0</v>
      </c>
      <c r="GN492">
        <v>0</v>
      </c>
      <c r="GO492" t="s">
        <v>1063</v>
      </c>
      <c r="GQ492">
        <v>0</v>
      </c>
      <c r="GU492">
        <v>2</v>
      </c>
      <c r="GY492" t="s">
        <v>1045</v>
      </c>
      <c r="HB492">
        <v>0</v>
      </c>
      <c r="HE492">
        <v>10</v>
      </c>
      <c r="HF492">
        <v>15</v>
      </c>
      <c r="HG492">
        <v>0</v>
      </c>
      <c r="HK492" t="s">
        <v>1042</v>
      </c>
      <c r="HM492" t="s">
        <v>1047</v>
      </c>
      <c r="HN492">
        <v>0</v>
      </c>
      <c r="HP492">
        <v>0</v>
      </c>
      <c r="HQ492">
        <v>0</v>
      </c>
      <c r="HR492" t="s">
        <v>1042</v>
      </c>
      <c r="HS492" t="s">
        <v>1043</v>
      </c>
      <c r="HT492">
        <v>0</v>
      </c>
      <c r="HU492">
        <v>0</v>
      </c>
      <c r="HW492">
        <v>0</v>
      </c>
      <c r="HX492">
        <v>0</v>
      </c>
      <c r="HY492">
        <v>0</v>
      </c>
      <c r="HZ492" t="s">
        <v>1045</v>
      </c>
      <c r="IA492">
        <v>0</v>
      </c>
      <c r="IB492" t="s">
        <v>1045</v>
      </c>
      <c r="ID492" t="s">
        <v>1045</v>
      </c>
      <c r="IF492">
        <v>0</v>
      </c>
      <c r="IG492" t="s">
        <v>1042</v>
      </c>
      <c r="IH492" t="s">
        <v>1046</v>
      </c>
      <c r="II492" t="s">
        <v>1042</v>
      </c>
      <c r="IR492" t="s">
        <v>1045</v>
      </c>
      <c r="IT492">
        <v>0</v>
      </c>
      <c r="IY492" t="s">
        <v>1044</v>
      </c>
      <c r="IZ492" t="s">
        <v>1043</v>
      </c>
      <c r="JE492">
        <v>0</v>
      </c>
      <c r="JF492">
        <v>0</v>
      </c>
      <c r="JI492" t="s">
        <v>1042</v>
      </c>
      <c r="JJ492">
        <v>0</v>
      </c>
      <c r="JK492">
        <v>0</v>
      </c>
      <c r="JL492">
        <v>0</v>
      </c>
      <c r="JM492">
        <v>0</v>
      </c>
      <c r="JT492">
        <v>0</v>
      </c>
      <c r="JU492" t="s">
        <v>1042</v>
      </c>
      <c r="JW492">
        <v>0</v>
      </c>
      <c r="KA492">
        <v>0</v>
      </c>
      <c r="KF492">
        <v>0</v>
      </c>
      <c r="KG492">
        <v>0</v>
      </c>
      <c r="KH492">
        <v>0</v>
      </c>
      <c r="KI492">
        <v>0</v>
      </c>
      <c r="KS492" t="s">
        <v>1073</v>
      </c>
      <c r="KT492">
        <v>0</v>
      </c>
      <c r="KU492">
        <v>0</v>
      </c>
      <c r="KV492">
        <v>0</v>
      </c>
      <c r="KX492">
        <v>0</v>
      </c>
      <c r="KZ492">
        <v>0</v>
      </c>
      <c r="LF492">
        <v>0</v>
      </c>
      <c r="LH492">
        <v>0</v>
      </c>
      <c r="LI492">
        <v>0</v>
      </c>
    </row>
    <row r="493" spans="1:321" x14ac:dyDescent="0.35">
      <c r="A493">
        <v>1</v>
      </c>
      <c r="B493">
        <v>1291</v>
      </c>
      <c r="C493" t="s">
        <v>668</v>
      </c>
      <c r="D493" t="s">
        <v>1061</v>
      </c>
      <c r="E493" t="s">
        <v>85</v>
      </c>
      <c r="F493">
        <v>1</v>
      </c>
      <c r="G493">
        <v>240</v>
      </c>
      <c r="H493">
        <v>0</v>
      </c>
      <c r="I493" t="s">
        <v>1017</v>
      </c>
      <c r="L493">
        <v>0</v>
      </c>
      <c r="M493">
        <v>9.75</v>
      </c>
      <c r="N493">
        <v>0</v>
      </c>
      <c r="Q493">
        <v>511</v>
      </c>
      <c r="R493">
        <v>0</v>
      </c>
      <c r="S493">
        <v>0</v>
      </c>
      <c r="W493" t="s">
        <v>1060</v>
      </c>
      <c r="X493">
        <v>0</v>
      </c>
      <c r="Z493">
        <v>4</v>
      </c>
      <c r="AA493">
        <v>499.0265</v>
      </c>
      <c r="AB493">
        <v>3</v>
      </c>
      <c r="AC493">
        <v>0.38950000000000001</v>
      </c>
      <c r="AD493" t="s">
        <v>1042</v>
      </c>
      <c r="AE493">
        <v>0</v>
      </c>
      <c r="AF493">
        <v>1.5069999999999999</v>
      </c>
      <c r="AH493">
        <v>0</v>
      </c>
      <c r="AJ493">
        <v>0</v>
      </c>
      <c r="AL493">
        <v>145800</v>
      </c>
      <c r="AM493">
        <v>443</v>
      </c>
      <c r="AN493">
        <v>11501001</v>
      </c>
      <c r="AO493">
        <v>0</v>
      </c>
      <c r="AP493">
        <v>1002</v>
      </c>
      <c r="AT493">
        <v>1</v>
      </c>
      <c r="AU493" t="s">
        <v>1059</v>
      </c>
      <c r="AW493" t="s">
        <v>1053</v>
      </c>
      <c r="AX493">
        <v>5</v>
      </c>
      <c r="AY493" s="20">
        <v>43242</v>
      </c>
      <c r="BA493" s="20">
        <v>44420</v>
      </c>
      <c r="BB493" t="s">
        <v>1058</v>
      </c>
      <c r="BD493">
        <v>0</v>
      </c>
      <c r="BF493" t="s">
        <v>1044</v>
      </c>
      <c r="BG493" t="s">
        <v>1042</v>
      </c>
      <c r="BH493">
        <v>0</v>
      </c>
      <c r="BI493">
        <v>36</v>
      </c>
      <c r="BJ493">
        <v>0</v>
      </c>
      <c r="BK493">
        <v>0</v>
      </c>
      <c r="BM493" s="20">
        <v>44274</v>
      </c>
      <c r="BN493">
        <v>0</v>
      </c>
      <c r="BO493">
        <v>7897801320542</v>
      </c>
      <c r="BR493" t="s">
        <v>1043</v>
      </c>
      <c r="BS493" t="s">
        <v>1043</v>
      </c>
      <c r="BT493" t="s">
        <v>1043</v>
      </c>
      <c r="BV493">
        <v>1</v>
      </c>
      <c r="BW493">
        <v>2</v>
      </c>
      <c r="BY493">
        <v>78</v>
      </c>
      <c r="CA493">
        <v>0</v>
      </c>
      <c r="CB493" t="s">
        <v>1043</v>
      </c>
      <c r="CE493" t="s">
        <v>1043</v>
      </c>
      <c r="CH493" t="s">
        <v>1043</v>
      </c>
      <c r="CN493" t="s">
        <v>1056</v>
      </c>
      <c r="CO493" t="s">
        <v>1043</v>
      </c>
      <c r="CP493">
        <v>1</v>
      </c>
      <c r="CQ493">
        <v>0</v>
      </c>
      <c r="CS493">
        <v>0</v>
      </c>
      <c r="CT493">
        <v>0</v>
      </c>
      <c r="CU493">
        <v>0</v>
      </c>
      <c r="CW493">
        <v>0</v>
      </c>
      <c r="CX493">
        <v>0</v>
      </c>
      <c r="CY493">
        <v>0</v>
      </c>
      <c r="CZ493">
        <v>0</v>
      </c>
      <c r="DA493">
        <v>6</v>
      </c>
      <c r="DB493">
        <v>0</v>
      </c>
      <c r="DC493" t="s">
        <v>1043</v>
      </c>
      <c r="DF493" t="s">
        <v>1055</v>
      </c>
      <c r="DH493">
        <v>0</v>
      </c>
      <c r="DJ493">
        <v>0</v>
      </c>
      <c r="DK493" t="s">
        <v>1053</v>
      </c>
      <c r="DL493">
        <v>0</v>
      </c>
      <c r="DN493">
        <v>0</v>
      </c>
      <c r="DO493" t="s">
        <v>1042</v>
      </c>
      <c r="DP493">
        <v>0</v>
      </c>
      <c r="DQ493">
        <v>7.6</v>
      </c>
      <c r="DS493">
        <v>0</v>
      </c>
      <c r="DU493">
        <v>1.65</v>
      </c>
      <c r="DW493">
        <v>0</v>
      </c>
      <c r="DX493" t="s">
        <v>1043</v>
      </c>
      <c r="DY493">
        <v>0</v>
      </c>
      <c r="DZ493">
        <v>0</v>
      </c>
      <c r="EA493">
        <v>0</v>
      </c>
      <c r="EB493">
        <v>17897801320549</v>
      </c>
      <c r="ED493" t="s">
        <v>1045</v>
      </c>
      <c r="EE493">
        <v>0</v>
      </c>
      <c r="EF493">
        <v>0</v>
      </c>
      <c r="EK493" t="s">
        <v>1054</v>
      </c>
      <c r="EL493">
        <v>57897801320547</v>
      </c>
      <c r="EN493" t="s">
        <v>1012</v>
      </c>
      <c r="EQ493" t="s">
        <v>1044</v>
      </c>
      <c r="ES493" t="s">
        <v>1053</v>
      </c>
      <c r="ET493">
        <v>0</v>
      </c>
      <c r="EV493">
        <v>0</v>
      </c>
      <c r="EY493" t="s">
        <v>1052</v>
      </c>
      <c r="EZ493">
        <v>0</v>
      </c>
      <c r="FA493" t="s">
        <v>1043</v>
      </c>
      <c r="FB493">
        <v>0</v>
      </c>
      <c r="FC493">
        <v>0</v>
      </c>
      <c r="FD493" t="s">
        <v>1051</v>
      </c>
      <c r="FE493" t="s">
        <v>1050</v>
      </c>
      <c r="FF493">
        <v>0</v>
      </c>
      <c r="FG493" t="s">
        <v>1050</v>
      </c>
      <c r="FH493">
        <v>27897801320546</v>
      </c>
      <c r="FJ493">
        <v>0</v>
      </c>
      <c r="FK493">
        <v>0</v>
      </c>
      <c r="FP493">
        <v>0</v>
      </c>
      <c r="FR493">
        <v>0</v>
      </c>
      <c r="FS493" t="s">
        <v>1043</v>
      </c>
      <c r="FX493" t="s">
        <v>1042</v>
      </c>
      <c r="FZ493" t="s">
        <v>1048</v>
      </c>
      <c r="GA493">
        <v>0</v>
      </c>
      <c r="GB493" t="s">
        <v>1042</v>
      </c>
      <c r="GD493">
        <v>16</v>
      </c>
      <c r="GE493">
        <v>0</v>
      </c>
      <c r="GG493">
        <v>0</v>
      </c>
      <c r="GN493">
        <v>0</v>
      </c>
      <c r="GO493" t="s">
        <v>1049</v>
      </c>
      <c r="GQ493">
        <v>0</v>
      </c>
      <c r="GU493">
        <v>2</v>
      </c>
      <c r="GY493" t="s">
        <v>1045</v>
      </c>
      <c r="HB493">
        <v>0</v>
      </c>
      <c r="HE493">
        <v>10</v>
      </c>
      <c r="HF493">
        <v>15</v>
      </c>
      <c r="HG493">
        <v>3.3369999999999997E-2</v>
      </c>
      <c r="HK493" t="s">
        <v>1042</v>
      </c>
      <c r="HM493" t="s">
        <v>1047</v>
      </c>
      <c r="HN493">
        <v>0</v>
      </c>
      <c r="HO493">
        <v>28</v>
      </c>
      <c r="HP493">
        <v>0.62</v>
      </c>
      <c r="HQ493">
        <v>0</v>
      </c>
      <c r="HR493" t="s">
        <v>1042</v>
      </c>
      <c r="HS493" t="s">
        <v>1043</v>
      </c>
      <c r="HT493">
        <v>0</v>
      </c>
      <c r="HU493">
        <v>0</v>
      </c>
      <c r="HW493">
        <v>0</v>
      </c>
      <c r="HX493">
        <v>7</v>
      </c>
      <c r="HY493">
        <v>0</v>
      </c>
      <c r="HZ493" t="s">
        <v>1045</v>
      </c>
      <c r="IA493">
        <v>0</v>
      </c>
      <c r="IB493" t="s">
        <v>1045</v>
      </c>
      <c r="ID493" t="s">
        <v>1045</v>
      </c>
      <c r="IF493">
        <v>180</v>
      </c>
      <c r="IG493" t="s">
        <v>1042</v>
      </c>
      <c r="IH493" t="s">
        <v>1046</v>
      </c>
      <c r="II493" t="s">
        <v>1042</v>
      </c>
      <c r="IR493" t="s">
        <v>1045</v>
      </c>
      <c r="IT493">
        <v>0</v>
      </c>
      <c r="IY493" t="s">
        <v>1044</v>
      </c>
      <c r="IZ493" t="s">
        <v>1043</v>
      </c>
      <c r="JE493">
        <v>0</v>
      </c>
      <c r="JF493">
        <v>0</v>
      </c>
      <c r="JI493" t="s">
        <v>1042</v>
      </c>
      <c r="JJ493">
        <v>0</v>
      </c>
      <c r="JK493">
        <v>0</v>
      </c>
      <c r="JL493">
        <v>0</v>
      </c>
      <c r="JM493">
        <v>0</v>
      </c>
      <c r="JT493">
        <v>0</v>
      </c>
      <c r="JU493" t="s">
        <v>1042</v>
      </c>
      <c r="JW493">
        <v>0</v>
      </c>
      <c r="KA493">
        <v>0</v>
      </c>
      <c r="KF493">
        <v>0</v>
      </c>
      <c r="KG493">
        <v>0</v>
      </c>
      <c r="KH493">
        <v>0</v>
      </c>
      <c r="KI493">
        <v>0</v>
      </c>
      <c r="KS493" t="s">
        <v>1073</v>
      </c>
      <c r="KT493">
        <v>0</v>
      </c>
      <c r="KU493">
        <v>0</v>
      </c>
      <c r="KV493">
        <v>0</v>
      </c>
      <c r="KX493">
        <v>0</v>
      </c>
      <c r="KZ493">
        <v>0</v>
      </c>
      <c r="LF493">
        <v>0</v>
      </c>
      <c r="LH493">
        <v>20160</v>
      </c>
      <c r="LI493">
        <v>0</v>
      </c>
    </row>
    <row r="494" spans="1:321" x14ac:dyDescent="0.35">
      <c r="A494">
        <v>1</v>
      </c>
      <c r="B494" t="s">
        <v>1200</v>
      </c>
      <c r="C494" t="s">
        <v>1199</v>
      </c>
      <c r="D494" t="s">
        <v>1064</v>
      </c>
      <c r="E494" t="s">
        <v>85</v>
      </c>
      <c r="F494">
        <v>1</v>
      </c>
      <c r="G494">
        <v>8890</v>
      </c>
      <c r="H494">
        <v>0</v>
      </c>
      <c r="I494" t="s">
        <v>1017</v>
      </c>
      <c r="L494">
        <v>0</v>
      </c>
      <c r="M494">
        <v>9.75</v>
      </c>
      <c r="N494">
        <v>0</v>
      </c>
      <c r="Q494">
        <v>511</v>
      </c>
      <c r="R494">
        <v>0</v>
      </c>
      <c r="S494">
        <v>0</v>
      </c>
      <c r="W494" t="s">
        <v>1060</v>
      </c>
      <c r="X494">
        <v>0</v>
      </c>
      <c r="Z494">
        <v>0</v>
      </c>
      <c r="AA494">
        <v>0</v>
      </c>
      <c r="AB494">
        <v>0</v>
      </c>
      <c r="AC494">
        <v>0.38950000000000001</v>
      </c>
      <c r="AD494" t="s">
        <v>1042</v>
      </c>
      <c r="AE494">
        <v>0</v>
      </c>
      <c r="AF494">
        <v>0</v>
      </c>
      <c r="AH494">
        <v>0</v>
      </c>
      <c r="AJ494">
        <v>0</v>
      </c>
      <c r="AL494">
        <v>145800</v>
      </c>
      <c r="AM494">
        <v>24</v>
      </c>
      <c r="AN494">
        <v>11501001</v>
      </c>
      <c r="AO494">
        <v>0</v>
      </c>
      <c r="AP494">
        <v>2720</v>
      </c>
      <c r="AT494">
        <v>1</v>
      </c>
      <c r="AU494" t="s">
        <v>1059</v>
      </c>
      <c r="AW494" t="s">
        <v>1053</v>
      </c>
      <c r="AX494">
        <v>5</v>
      </c>
      <c r="AY494" s="20">
        <v>43868</v>
      </c>
      <c r="BA494" s="20">
        <v>43868</v>
      </c>
      <c r="BB494" t="s">
        <v>1058</v>
      </c>
      <c r="BD494">
        <v>0</v>
      </c>
      <c r="BF494" t="s">
        <v>1044</v>
      </c>
      <c r="BG494" t="s">
        <v>1042</v>
      </c>
      <c r="BH494">
        <v>0</v>
      </c>
      <c r="BI494">
        <v>36</v>
      </c>
      <c r="BJ494">
        <v>0</v>
      </c>
      <c r="BK494">
        <v>0</v>
      </c>
      <c r="BM494" t="s">
        <v>1042</v>
      </c>
      <c r="BN494">
        <v>0</v>
      </c>
      <c r="BR494" t="s">
        <v>1043</v>
      </c>
      <c r="BS494" t="s">
        <v>1043</v>
      </c>
      <c r="BT494" t="s">
        <v>1043</v>
      </c>
      <c r="BV494">
        <v>1</v>
      </c>
      <c r="BW494">
        <v>2</v>
      </c>
      <c r="CA494">
        <v>0</v>
      </c>
      <c r="CB494" t="s">
        <v>1043</v>
      </c>
      <c r="CE494" t="s">
        <v>1043</v>
      </c>
      <c r="CH494" t="s">
        <v>1043</v>
      </c>
      <c r="CN494" t="s">
        <v>1056</v>
      </c>
      <c r="CO494" t="s">
        <v>1043</v>
      </c>
      <c r="CP494">
        <v>1</v>
      </c>
      <c r="CQ494">
        <v>0</v>
      </c>
      <c r="CS494">
        <v>0</v>
      </c>
      <c r="CT494">
        <v>0</v>
      </c>
      <c r="CU494">
        <v>0</v>
      </c>
      <c r="CW494">
        <v>0</v>
      </c>
      <c r="CX494">
        <v>0</v>
      </c>
      <c r="CY494">
        <v>0</v>
      </c>
      <c r="CZ494">
        <v>0</v>
      </c>
      <c r="DB494">
        <v>0</v>
      </c>
      <c r="DC494" t="s">
        <v>1043</v>
      </c>
      <c r="DF494" t="s">
        <v>1055</v>
      </c>
      <c r="DH494">
        <v>0</v>
      </c>
      <c r="DJ494">
        <v>0</v>
      </c>
      <c r="DK494" t="s">
        <v>1053</v>
      </c>
      <c r="DL494">
        <v>0</v>
      </c>
      <c r="DN494">
        <v>0</v>
      </c>
      <c r="DO494" t="s">
        <v>1042</v>
      </c>
      <c r="DP494">
        <v>0</v>
      </c>
      <c r="DQ494">
        <v>7.6</v>
      </c>
      <c r="DS494">
        <v>0</v>
      </c>
      <c r="DU494">
        <v>1.65</v>
      </c>
      <c r="DW494">
        <v>0</v>
      </c>
      <c r="DX494" t="s">
        <v>1043</v>
      </c>
      <c r="DY494">
        <v>0</v>
      </c>
      <c r="DZ494">
        <v>0</v>
      </c>
      <c r="EA494">
        <v>0</v>
      </c>
      <c r="ED494" t="s">
        <v>1045</v>
      </c>
      <c r="EE494">
        <v>0</v>
      </c>
      <c r="EF494">
        <v>0</v>
      </c>
      <c r="EK494" t="s">
        <v>1054</v>
      </c>
      <c r="EN494" t="s">
        <v>1012</v>
      </c>
      <c r="EQ494" t="s">
        <v>1044</v>
      </c>
      <c r="ES494" t="s">
        <v>1053</v>
      </c>
      <c r="ET494">
        <v>0</v>
      </c>
      <c r="EV494">
        <v>0</v>
      </c>
      <c r="EY494" t="s">
        <v>1052</v>
      </c>
      <c r="EZ494">
        <v>0</v>
      </c>
      <c r="FA494" t="s">
        <v>1043</v>
      </c>
      <c r="FB494">
        <v>0</v>
      </c>
      <c r="FC494">
        <v>0</v>
      </c>
      <c r="FD494" t="s">
        <v>1051</v>
      </c>
      <c r="FE494" t="s">
        <v>1050</v>
      </c>
      <c r="FF494">
        <v>0</v>
      </c>
      <c r="FG494" t="s">
        <v>1050</v>
      </c>
      <c r="FJ494">
        <v>0</v>
      </c>
      <c r="FK494">
        <v>0</v>
      </c>
      <c r="FP494">
        <v>0</v>
      </c>
      <c r="FR494">
        <v>0</v>
      </c>
      <c r="FS494" t="s">
        <v>1043</v>
      </c>
      <c r="FX494" t="s">
        <v>1042</v>
      </c>
      <c r="FZ494" t="s">
        <v>1048</v>
      </c>
      <c r="GA494">
        <v>0</v>
      </c>
      <c r="GB494" t="s">
        <v>1042</v>
      </c>
      <c r="GD494">
        <v>16</v>
      </c>
      <c r="GE494">
        <v>0</v>
      </c>
      <c r="GG494">
        <v>0</v>
      </c>
      <c r="GN494">
        <v>0</v>
      </c>
      <c r="GO494" t="s">
        <v>1063</v>
      </c>
      <c r="GQ494">
        <v>0</v>
      </c>
      <c r="GU494">
        <v>2</v>
      </c>
      <c r="GY494" t="s">
        <v>1045</v>
      </c>
      <c r="HB494">
        <v>0</v>
      </c>
      <c r="HE494">
        <v>10</v>
      </c>
      <c r="HF494">
        <v>15</v>
      </c>
      <c r="HG494">
        <v>0</v>
      </c>
      <c r="HK494" t="s">
        <v>1042</v>
      </c>
      <c r="HM494" t="s">
        <v>1047</v>
      </c>
      <c r="HN494">
        <v>0</v>
      </c>
      <c r="HP494">
        <v>0</v>
      </c>
      <c r="HQ494">
        <v>0</v>
      </c>
      <c r="HR494" t="s">
        <v>1042</v>
      </c>
      <c r="HS494" t="s">
        <v>1043</v>
      </c>
      <c r="HT494">
        <v>0</v>
      </c>
      <c r="HU494">
        <v>0</v>
      </c>
      <c r="HW494">
        <v>0</v>
      </c>
      <c r="HX494">
        <v>0</v>
      </c>
      <c r="HY494">
        <v>0</v>
      </c>
      <c r="HZ494" t="s">
        <v>1045</v>
      </c>
      <c r="IA494">
        <v>0</v>
      </c>
      <c r="IB494" t="s">
        <v>1045</v>
      </c>
      <c r="ID494" t="s">
        <v>1045</v>
      </c>
      <c r="IF494">
        <v>0</v>
      </c>
      <c r="IG494" t="s">
        <v>1042</v>
      </c>
      <c r="IH494" t="s">
        <v>1046</v>
      </c>
      <c r="II494" t="s">
        <v>1042</v>
      </c>
      <c r="IR494" t="s">
        <v>1045</v>
      </c>
      <c r="IT494">
        <v>0</v>
      </c>
      <c r="IY494" t="s">
        <v>1044</v>
      </c>
      <c r="IZ494" t="s">
        <v>1043</v>
      </c>
      <c r="JE494">
        <v>0</v>
      </c>
      <c r="JF494">
        <v>0</v>
      </c>
      <c r="JI494" t="s">
        <v>1042</v>
      </c>
      <c r="JJ494">
        <v>0</v>
      </c>
      <c r="JK494">
        <v>0</v>
      </c>
      <c r="JL494">
        <v>0</v>
      </c>
      <c r="JM494">
        <v>0</v>
      </c>
      <c r="JT494">
        <v>0</v>
      </c>
      <c r="JU494" t="s">
        <v>1042</v>
      </c>
      <c r="JW494">
        <v>0</v>
      </c>
      <c r="KA494">
        <v>0</v>
      </c>
      <c r="KF494">
        <v>0</v>
      </c>
      <c r="KG494">
        <v>0</v>
      </c>
      <c r="KH494">
        <v>0</v>
      </c>
      <c r="KI494">
        <v>0</v>
      </c>
      <c r="KS494" t="s">
        <v>1073</v>
      </c>
      <c r="KT494">
        <v>0</v>
      </c>
      <c r="KU494">
        <v>0</v>
      </c>
      <c r="KV494">
        <v>0</v>
      </c>
      <c r="KX494">
        <v>0</v>
      </c>
      <c r="KZ494">
        <v>0</v>
      </c>
      <c r="LF494">
        <v>0</v>
      </c>
      <c r="LH494">
        <v>0</v>
      </c>
      <c r="LI494">
        <v>0</v>
      </c>
    </row>
    <row r="495" spans="1:321" x14ac:dyDescent="0.35">
      <c r="A495">
        <v>1</v>
      </c>
      <c r="B495">
        <v>1292</v>
      </c>
      <c r="C495" t="s">
        <v>669</v>
      </c>
      <c r="D495" t="s">
        <v>1061</v>
      </c>
      <c r="E495" t="s">
        <v>85</v>
      </c>
      <c r="F495">
        <v>1</v>
      </c>
      <c r="G495">
        <v>240</v>
      </c>
      <c r="H495">
        <v>0</v>
      </c>
      <c r="I495" t="s">
        <v>1017</v>
      </c>
      <c r="L495">
        <v>0</v>
      </c>
      <c r="M495">
        <v>9.75</v>
      </c>
      <c r="N495">
        <v>0</v>
      </c>
      <c r="Q495">
        <v>511</v>
      </c>
      <c r="R495">
        <v>0</v>
      </c>
      <c r="S495">
        <v>0</v>
      </c>
      <c r="W495" t="s">
        <v>1060</v>
      </c>
      <c r="X495">
        <v>0</v>
      </c>
      <c r="Z495">
        <v>4</v>
      </c>
      <c r="AA495">
        <v>570.5181</v>
      </c>
      <c r="AB495">
        <v>4</v>
      </c>
      <c r="AC495">
        <v>0.38950000000000001</v>
      </c>
      <c r="AD495" t="s">
        <v>1042</v>
      </c>
      <c r="AE495">
        <v>0</v>
      </c>
      <c r="AF495">
        <v>2.0819999999999999</v>
      </c>
      <c r="AH495">
        <v>0</v>
      </c>
      <c r="AJ495">
        <v>0</v>
      </c>
      <c r="AL495">
        <v>0</v>
      </c>
      <c r="AM495">
        <v>320</v>
      </c>
      <c r="AN495">
        <v>11501001</v>
      </c>
      <c r="AO495">
        <v>0</v>
      </c>
      <c r="AP495">
        <v>1002</v>
      </c>
      <c r="AT495">
        <v>1</v>
      </c>
      <c r="AU495" t="s">
        <v>1059</v>
      </c>
      <c r="AW495" t="s">
        <v>1053</v>
      </c>
      <c r="AX495">
        <v>5</v>
      </c>
      <c r="AY495" s="20">
        <v>43242</v>
      </c>
      <c r="BA495" s="20">
        <v>44420</v>
      </c>
      <c r="BB495" t="s">
        <v>1058</v>
      </c>
      <c r="BD495">
        <v>0</v>
      </c>
      <c r="BF495" t="s">
        <v>1044</v>
      </c>
      <c r="BG495" t="s">
        <v>1042</v>
      </c>
      <c r="BH495">
        <v>0</v>
      </c>
      <c r="BI495">
        <v>36</v>
      </c>
      <c r="BJ495">
        <v>0</v>
      </c>
      <c r="BK495">
        <v>0</v>
      </c>
      <c r="BM495" s="20">
        <v>44236</v>
      </c>
      <c r="BN495">
        <v>0</v>
      </c>
      <c r="BO495">
        <v>7897801320528</v>
      </c>
      <c r="BR495" t="s">
        <v>1043</v>
      </c>
      <c r="BS495" t="s">
        <v>1043</v>
      </c>
      <c r="BT495" t="s">
        <v>1043</v>
      </c>
      <c r="BV495">
        <v>1</v>
      </c>
      <c r="BW495">
        <v>2</v>
      </c>
      <c r="BY495">
        <v>78</v>
      </c>
      <c r="CA495">
        <v>0</v>
      </c>
      <c r="CB495" t="s">
        <v>1043</v>
      </c>
      <c r="CE495" t="s">
        <v>1043</v>
      </c>
      <c r="CH495" t="s">
        <v>1043</v>
      </c>
      <c r="CN495" t="s">
        <v>1056</v>
      </c>
      <c r="CO495" t="s">
        <v>1043</v>
      </c>
      <c r="CP495">
        <v>1</v>
      </c>
      <c r="CQ495">
        <v>0</v>
      </c>
      <c r="CS495">
        <v>0</v>
      </c>
      <c r="CT495">
        <v>0</v>
      </c>
      <c r="CU495">
        <v>0</v>
      </c>
      <c r="CW495">
        <v>0</v>
      </c>
      <c r="CX495">
        <v>0</v>
      </c>
      <c r="CY495">
        <v>0</v>
      </c>
      <c r="CZ495">
        <v>0</v>
      </c>
      <c r="DA495">
        <v>8</v>
      </c>
      <c r="DB495">
        <v>0</v>
      </c>
      <c r="DC495" t="s">
        <v>1043</v>
      </c>
      <c r="DF495" t="s">
        <v>1055</v>
      </c>
      <c r="DH495">
        <v>0</v>
      </c>
      <c r="DJ495">
        <v>0</v>
      </c>
      <c r="DK495" t="s">
        <v>1053</v>
      </c>
      <c r="DL495">
        <v>0</v>
      </c>
      <c r="DN495">
        <v>0</v>
      </c>
      <c r="DO495" t="s">
        <v>1042</v>
      </c>
      <c r="DP495">
        <v>0</v>
      </c>
      <c r="DQ495">
        <v>7.6</v>
      </c>
      <c r="DS495">
        <v>0</v>
      </c>
      <c r="DU495">
        <v>1.65</v>
      </c>
      <c r="DW495">
        <v>0</v>
      </c>
      <c r="DX495" t="s">
        <v>1043</v>
      </c>
      <c r="DY495">
        <v>0</v>
      </c>
      <c r="DZ495">
        <v>0</v>
      </c>
      <c r="EA495">
        <v>0</v>
      </c>
      <c r="EB495">
        <v>17897801320525</v>
      </c>
      <c r="ED495" t="s">
        <v>1045</v>
      </c>
      <c r="EE495">
        <v>0</v>
      </c>
      <c r="EF495">
        <v>0</v>
      </c>
      <c r="EK495" t="s">
        <v>1054</v>
      </c>
      <c r="EL495">
        <v>57897801320523</v>
      </c>
      <c r="EN495" t="s">
        <v>1012</v>
      </c>
      <c r="EQ495" t="s">
        <v>1044</v>
      </c>
      <c r="ES495" t="s">
        <v>1053</v>
      </c>
      <c r="ET495">
        <v>0</v>
      </c>
      <c r="EV495">
        <v>0</v>
      </c>
      <c r="EY495" t="s">
        <v>1052</v>
      </c>
      <c r="EZ495">
        <v>0</v>
      </c>
      <c r="FA495" t="s">
        <v>1043</v>
      </c>
      <c r="FB495">
        <v>0</v>
      </c>
      <c r="FC495">
        <v>0</v>
      </c>
      <c r="FD495" t="s">
        <v>1051</v>
      </c>
      <c r="FE495" t="s">
        <v>1050</v>
      </c>
      <c r="FF495">
        <v>0</v>
      </c>
      <c r="FG495" t="s">
        <v>1050</v>
      </c>
      <c r="FH495">
        <v>27897801320522</v>
      </c>
      <c r="FJ495">
        <v>0</v>
      </c>
      <c r="FK495">
        <v>0</v>
      </c>
      <c r="FP495">
        <v>0</v>
      </c>
      <c r="FR495">
        <v>0</v>
      </c>
      <c r="FS495" t="s">
        <v>1043</v>
      </c>
      <c r="FX495" t="s">
        <v>1042</v>
      </c>
      <c r="FZ495" t="s">
        <v>1048</v>
      </c>
      <c r="GA495">
        <v>0</v>
      </c>
      <c r="GB495" t="s">
        <v>1042</v>
      </c>
      <c r="GD495">
        <v>16</v>
      </c>
      <c r="GE495">
        <v>0</v>
      </c>
      <c r="GG495">
        <v>0</v>
      </c>
      <c r="GN495">
        <v>0</v>
      </c>
      <c r="GO495" t="s">
        <v>1049</v>
      </c>
      <c r="GQ495">
        <v>0</v>
      </c>
      <c r="GU495">
        <v>2</v>
      </c>
      <c r="GY495" t="s">
        <v>1045</v>
      </c>
      <c r="HB495">
        <v>0</v>
      </c>
      <c r="HE495">
        <v>10</v>
      </c>
      <c r="HF495">
        <v>15</v>
      </c>
      <c r="HG495">
        <v>5.4480000000000001E-2</v>
      </c>
      <c r="HK495" t="s">
        <v>1042</v>
      </c>
      <c r="HM495" t="s">
        <v>1047</v>
      </c>
      <c r="HN495">
        <v>0</v>
      </c>
      <c r="HO495">
        <v>28</v>
      </c>
      <c r="HP495">
        <v>0.82299999999999995</v>
      </c>
      <c r="HQ495">
        <v>0</v>
      </c>
      <c r="HR495" t="s">
        <v>1042</v>
      </c>
      <c r="HS495" t="s">
        <v>1043</v>
      </c>
      <c r="HT495">
        <v>0</v>
      </c>
      <c r="HU495">
        <v>0</v>
      </c>
      <c r="HW495">
        <v>0</v>
      </c>
      <c r="HX495">
        <v>10</v>
      </c>
      <c r="HY495">
        <v>0</v>
      </c>
      <c r="HZ495" t="s">
        <v>1045</v>
      </c>
      <c r="IA495">
        <v>0</v>
      </c>
      <c r="IB495" t="s">
        <v>1045</v>
      </c>
      <c r="ID495" t="s">
        <v>1045</v>
      </c>
      <c r="IF495">
        <v>128</v>
      </c>
      <c r="IG495" t="s">
        <v>1042</v>
      </c>
      <c r="IH495" t="s">
        <v>1046</v>
      </c>
      <c r="II495" t="s">
        <v>1042</v>
      </c>
      <c r="IR495" t="s">
        <v>1045</v>
      </c>
      <c r="IT495">
        <v>0</v>
      </c>
      <c r="IY495" t="s">
        <v>1044</v>
      </c>
      <c r="IZ495" t="s">
        <v>1043</v>
      </c>
      <c r="JE495">
        <v>0</v>
      </c>
      <c r="JF495">
        <v>0</v>
      </c>
      <c r="JI495" t="s">
        <v>1042</v>
      </c>
      <c r="JJ495">
        <v>0</v>
      </c>
      <c r="JK495">
        <v>0</v>
      </c>
      <c r="JL495">
        <v>0</v>
      </c>
      <c r="JM495">
        <v>0</v>
      </c>
      <c r="JT495">
        <v>0</v>
      </c>
      <c r="JU495" t="s">
        <v>1042</v>
      </c>
      <c r="JW495">
        <v>0</v>
      </c>
      <c r="KA495">
        <v>0</v>
      </c>
      <c r="KF495">
        <v>0</v>
      </c>
      <c r="KG495">
        <v>0</v>
      </c>
      <c r="KH495">
        <v>0</v>
      </c>
      <c r="KI495">
        <v>0</v>
      </c>
      <c r="KS495" t="s">
        <v>1073</v>
      </c>
      <c r="KT495">
        <v>0</v>
      </c>
      <c r="KU495">
        <v>0</v>
      </c>
      <c r="KV495">
        <v>0</v>
      </c>
      <c r="KX495">
        <v>0</v>
      </c>
      <c r="KZ495">
        <v>0</v>
      </c>
      <c r="LF495">
        <v>0</v>
      </c>
      <c r="LH495">
        <v>20160</v>
      </c>
      <c r="LI495">
        <v>0</v>
      </c>
    </row>
    <row r="496" spans="1:321" x14ac:dyDescent="0.35">
      <c r="A496">
        <v>1</v>
      </c>
      <c r="B496" t="s">
        <v>1198</v>
      </c>
      <c r="C496" t="s">
        <v>1197</v>
      </c>
      <c r="D496" t="s">
        <v>1064</v>
      </c>
      <c r="E496" t="s">
        <v>85</v>
      </c>
      <c r="F496">
        <v>1</v>
      </c>
      <c r="G496">
        <v>8890</v>
      </c>
      <c r="H496">
        <v>0</v>
      </c>
      <c r="I496" t="s">
        <v>1017</v>
      </c>
      <c r="L496">
        <v>0</v>
      </c>
      <c r="M496">
        <v>9.75</v>
      </c>
      <c r="N496">
        <v>0</v>
      </c>
      <c r="Q496">
        <v>511</v>
      </c>
      <c r="R496">
        <v>0</v>
      </c>
      <c r="S496">
        <v>0</v>
      </c>
      <c r="W496" t="s">
        <v>1060</v>
      </c>
      <c r="X496">
        <v>0</v>
      </c>
      <c r="Z496">
        <v>0</v>
      </c>
      <c r="AA496">
        <v>0</v>
      </c>
      <c r="AB496">
        <v>0</v>
      </c>
      <c r="AC496">
        <v>0.38950000000000001</v>
      </c>
      <c r="AD496" t="s">
        <v>1042</v>
      </c>
      <c r="AE496">
        <v>0</v>
      </c>
      <c r="AF496">
        <v>0</v>
      </c>
      <c r="AH496">
        <v>0</v>
      </c>
      <c r="AJ496">
        <v>0</v>
      </c>
      <c r="AL496">
        <v>145800</v>
      </c>
      <c r="AM496">
        <v>24</v>
      </c>
      <c r="AN496">
        <v>11501001</v>
      </c>
      <c r="AO496">
        <v>0</v>
      </c>
      <c r="AP496">
        <v>2720</v>
      </c>
      <c r="AT496">
        <v>1</v>
      </c>
      <c r="AU496" t="s">
        <v>1059</v>
      </c>
      <c r="AW496" t="s">
        <v>1053</v>
      </c>
      <c r="AX496">
        <v>5</v>
      </c>
      <c r="AY496" s="20">
        <v>43868</v>
      </c>
      <c r="BA496" s="20">
        <v>43868</v>
      </c>
      <c r="BB496" t="s">
        <v>1058</v>
      </c>
      <c r="BD496">
        <v>0</v>
      </c>
      <c r="BF496" t="s">
        <v>1044</v>
      </c>
      <c r="BG496" t="s">
        <v>1042</v>
      </c>
      <c r="BH496">
        <v>0</v>
      </c>
      <c r="BI496">
        <v>36</v>
      </c>
      <c r="BJ496">
        <v>0</v>
      </c>
      <c r="BK496">
        <v>0</v>
      </c>
      <c r="BM496" t="s">
        <v>1042</v>
      </c>
      <c r="BN496">
        <v>0</v>
      </c>
      <c r="BR496" t="s">
        <v>1043</v>
      </c>
      <c r="BS496" t="s">
        <v>1043</v>
      </c>
      <c r="BT496" t="s">
        <v>1043</v>
      </c>
      <c r="BV496">
        <v>1</v>
      </c>
      <c r="BW496">
        <v>2</v>
      </c>
      <c r="CA496">
        <v>0</v>
      </c>
      <c r="CB496" t="s">
        <v>1043</v>
      </c>
      <c r="CE496" t="s">
        <v>1043</v>
      </c>
      <c r="CH496" t="s">
        <v>1043</v>
      </c>
      <c r="CN496" t="s">
        <v>1056</v>
      </c>
      <c r="CO496" t="s">
        <v>1043</v>
      </c>
      <c r="CP496">
        <v>1</v>
      </c>
      <c r="CQ496">
        <v>0</v>
      </c>
      <c r="CS496">
        <v>0</v>
      </c>
      <c r="CT496">
        <v>0</v>
      </c>
      <c r="CU496">
        <v>0</v>
      </c>
      <c r="CW496">
        <v>0</v>
      </c>
      <c r="CX496">
        <v>0</v>
      </c>
      <c r="CY496">
        <v>0</v>
      </c>
      <c r="CZ496">
        <v>0</v>
      </c>
      <c r="DB496">
        <v>0</v>
      </c>
      <c r="DC496" t="s">
        <v>1043</v>
      </c>
      <c r="DF496" t="s">
        <v>1055</v>
      </c>
      <c r="DH496">
        <v>0</v>
      </c>
      <c r="DJ496">
        <v>0</v>
      </c>
      <c r="DK496" t="s">
        <v>1053</v>
      </c>
      <c r="DL496">
        <v>0</v>
      </c>
      <c r="DN496">
        <v>0</v>
      </c>
      <c r="DO496" t="s">
        <v>1042</v>
      </c>
      <c r="DP496">
        <v>0</v>
      </c>
      <c r="DQ496">
        <v>7.6</v>
      </c>
      <c r="DS496">
        <v>0</v>
      </c>
      <c r="DU496">
        <v>1.65</v>
      </c>
      <c r="DW496">
        <v>0</v>
      </c>
      <c r="DX496" t="s">
        <v>1043</v>
      </c>
      <c r="DY496">
        <v>0</v>
      </c>
      <c r="DZ496">
        <v>0</v>
      </c>
      <c r="EA496">
        <v>0</v>
      </c>
      <c r="ED496" t="s">
        <v>1045</v>
      </c>
      <c r="EE496">
        <v>0</v>
      </c>
      <c r="EF496">
        <v>0</v>
      </c>
      <c r="EK496" t="s">
        <v>1054</v>
      </c>
      <c r="EN496" t="s">
        <v>1012</v>
      </c>
      <c r="EQ496" t="s">
        <v>1044</v>
      </c>
      <c r="ES496" t="s">
        <v>1053</v>
      </c>
      <c r="ET496">
        <v>0</v>
      </c>
      <c r="EV496">
        <v>0</v>
      </c>
      <c r="EY496" t="s">
        <v>1052</v>
      </c>
      <c r="EZ496">
        <v>0</v>
      </c>
      <c r="FA496" t="s">
        <v>1043</v>
      </c>
      <c r="FB496">
        <v>0</v>
      </c>
      <c r="FC496">
        <v>0</v>
      </c>
      <c r="FD496" t="s">
        <v>1051</v>
      </c>
      <c r="FE496" t="s">
        <v>1050</v>
      </c>
      <c r="FF496">
        <v>0</v>
      </c>
      <c r="FG496" t="s">
        <v>1050</v>
      </c>
      <c r="FJ496">
        <v>0</v>
      </c>
      <c r="FK496">
        <v>0</v>
      </c>
      <c r="FP496">
        <v>0</v>
      </c>
      <c r="FR496">
        <v>0</v>
      </c>
      <c r="FS496" t="s">
        <v>1043</v>
      </c>
      <c r="FX496" t="s">
        <v>1042</v>
      </c>
      <c r="FZ496" t="s">
        <v>1048</v>
      </c>
      <c r="GA496">
        <v>0</v>
      </c>
      <c r="GB496" t="s">
        <v>1042</v>
      </c>
      <c r="GD496">
        <v>16</v>
      </c>
      <c r="GE496">
        <v>0</v>
      </c>
      <c r="GG496">
        <v>0</v>
      </c>
      <c r="GN496">
        <v>0</v>
      </c>
      <c r="GO496" t="s">
        <v>1063</v>
      </c>
      <c r="GQ496">
        <v>0</v>
      </c>
      <c r="GU496">
        <v>2</v>
      </c>
      <c r="GY496" t="s">
        <v>1045</v>
      </c>
      <c r="HB496">
        <v>0</v>
      </c>
      <c r="HE496">
        <v>10</v>
      </c>
      <c r="HF496">
        <v>15</v>
      </c>
      <c r="HG496">
        <v>0</v>
      </c>
      <c r="HK496" t="s">
        <v>1042</v>
      </c>
      <c r="HM496" t="s">
        <v>1047</v>
      </c>
      <c r="HN496">
        <v>0</v>
      </c>
      <c r="HP496">
        <v>0</v>
      </c>
      <c r="HQ496">
        <v>0</v>
      </c>
      <c r="HR496" t="s">
        <v>1042</v>
      </c>
      <c r="HS496" t="s">
        <v>1043</v>
      </c>
      <c r="HT496">
        <v>0</v>
      </c>
      <c r="HU496">
        <v>0</v>
      </c>
      <c r="HW496">
        <v>0</v>
      </c>
      <c r="HX496">
        <v>0</v>
      </c>
      <c r="HY496">
        <v>0</v>
      </c>
      <c r="HZ496" t="s">
        <v>1045</v>
      </c>
      <c r="IA496">
        <v>0</v>
      </c>
      <c r="IB496" t="s">
        <v>1045</v>
      </c>
      <c r="ID496" t="s">
        <v>1045</v>
      </c>
      <c r="IF496">
        <v>0</v>
      </c>
      <c r="IG496" t="s">
        <v>1042</v>
      </c>
      <c r="IH496" t="s">
        <v>1046</v>
      </c>
      <c r="II496" t="s">
        <v>1042</v>
      </c>
      <c r="IR496" t="s">
        <v>1045</v>
      </c>
      <c r="IT496">
        <v>0</v>
      </c>
      <c r="IY496" t="s">
        <v>1044</v>
      </c>
      <c r="IZ496" t="s">
        <v>1043</v>
      </c>
      <c r="JE496">
        <v>0</v>
      </c>
      <c r="JF496">
        <v>0</v>
      </c>
      <c r="JI496" t="s">
        <v>1042</v>
      </c>
      <c r="JJ496">
        <v>0</v>
      </c>
      <c r="JK496">
        <v>0</v>
      </c>
      <c r="JL496">
        <v>0</v>
      </c>
      <c r="JM496">
        <v>0</v>
      </c>
      <c r="JT496">
        <v>0</v>
      </c>
      <c r="JU496" t="s">
        <v>1042</v>
      </c>
      <c r="JW496">
        <v>0</v>
      </c>
      <c r="KA496">
        <v>0</v>
      </c>
      <c r="KF496">
        <v>0</v>
      </c>
      <c r="KG496">
        <v>0</v>
      </c>
      <c r="KH496">
        <v>0</v>
      </c>
      <c r="KI496">
        <v>0</v>
      </c>
      <c r="KS496" t="s">
        <v>1073</v>
      </c>
      <c r="KT496">
        <v>0</v>
      </c>
      <c r="KU496">
        <v>0</v>
      </c>
      <c r="KV496">
        <v>0</v>
      </c>
      <c r="KX496">
        <v>0</v>
      </c>
      <c r="KZ496">
        <v>0</v>
      </c>
      <c r="LF496">
        <v>0</v>
      </c>
      <c r="LH496">
        <v>0</v>
      </c>
      <c r="LI496">
        <v>0</v>
      </c>
    </row>
    <row r="497" spans="1:321" x14ac:dyDescent="0.35">
      <c r="A497">
        <v>1</v>
      </c>
      <c r="B497">
        <v>1293</v>
      </c>
      <c r="C497" t="s">
        <v>670</v>
      </c>
      <c r="D497" t="s">
        <v>1061</v>
      </c>
      <c r="E497" t="s">
        <v>85</v>
      </c>
      <c r="F497">
        <v>1</v>
      </c>
      <c r="G497">
        <v>240</v>
      </c>
      <c r="H497">
        <v>0</v>
      </c>
      <c r="I497" t="s">
        <v>1017</v>
      </c>
      <c r="L497">
        <v>0</v>
      </c>
      <c r="M497">
        <v>9.75</v>
      </c>
      <c r="N497">
        <v>0</v>
      </c>
      <c r="Q497">
        <v>511</v>
      </c>
      <c r="R497">
        <v>0</v>
      </c>
      <c r="S497">
        <v>0</v>
      </c>
      <c r="W497" t="s">
        <v>1060</v>
      </c>
      <c r="X497">
        <v>0</v>
      </c>
      <c r="Z497">
        <v>2</v>
      </c>
      <c r="AA497">
        <v>835.15620000000001</v>
      </c>
      <c r="AB497">
        <v>1</v>
      </c>
      <c r="AC497">
        <v>0</v>
      </c>
      <c r="AD497" t="s">
        <v>1042</v>
      </c>
      <c r="AE497">
        <v>0</v>
      </c>
      <c r="AF497">
        <v>2.9119999999999999</v>
      </c>
      <c r="AH497">
        <v>0</v>
      </c>
      <c r="AJ497">
        <v>0</v>
      </c>
      <c r="AL497">
        <v>145800</v>
      </c>
      <c r="AM497">
        <v>222</v>
      </c>
      <c r="AN497">
        <v>11501001</v>
      </c>
      <c r="AO497">
        <v>0</v>
      </c>
      <c r="AP497">
        <v>1002</v>
      </c>
      <c r="AT497">
        <v>1</v>
      </c>
      <c r="AU497" t="s">
        <v>1059</v>
      </c>
      <c r="AW497" t="s">
        <v>1053</v>
      </c>
      <c r="AX497">
        <v>5</v>
      </c>
      <c r="AY497" s="20">
        <v>43242</v>
      </c>
      <c r="BA497" s="20">
        <v>44420</v>
      </c>
      <c r="BB497" t="s">
        <v>1058</v>
      </c>
      <c r="BD497">
        <v>0</v>
      </c>
      <c r="BF497" t="s">
        <v>1044</v>
      </c>
      <c r="BG497" t="s">
        <v>1042</v>
      </c>
      <c r="BH497">
        <v>0</v>
      </c>
      <c r="BI497">
        <v>36</v>
      </c>
      <c r="BJ497">
        <v>0</v>
      </c>
      <c r="BK497">
        <v>0</v>
      </c>
      <c r="BM497" s="20">
        <v>44236</v>
      </c>
      <c r="BN497">
        <v>0</v>
      </c>
      <c r="BO497">
        <v>7897801320566</v>
      </c>
      <c r="BR497" t="s">
        <v>1043</v>
      </c>
      <c r="BS497" t="s">
        <v>1043</v>
      </c>
      <c r="BT497" t="s">
        <v>1043</v>
      </c>
      <c r="BV497">
        <v>1</v>
      </c>
      <c r="BW497">
        <v>2</v>
      </c>
      <c r="BY497">
        <v>78</v>
      </c>
      <c r="CA497">
        <v>0</v>
      </c>
      <c r="CB497" t="s">
        <v>1043</v>
      </c>
      <c r="CE497" t="s">
        <v>1043</v>
      </c>
      <c r="CH497" t="s">
        <v>1043</v>
      </c>
      <c r="CN497" t="s">
        <v>1056</v>
      </c>
      <c r="CO497" t="s">
        <v>1043</v>
      </c>
      <c r="CP497">
        <v>1</v>
      </c>
      <c r="CQ497">
        <v>0</v>
      </c>
      <c r="CS497">
        <v>0</v>
      </c>
      <c r="CT497">
        <v>0</v>
      </c>
      <c r="CU497">
        <v>0</v>
      </c>
      <c r="CW497">
        <v>0</v>
      </c>
      <c r="CX497">
        <v>0</v>
      </c>
      <c r="CY497">
        <v>0</v>
      </c>
      <c r="CZ497">
        <v>0</v>
      </c>
      <c r="DA497">
        <v>7</v>
      </c>
      <c r="DB497">
        <v>0</v>
      </c>
      <c r="DC497" t="s">
        <v>1043</v>
      </c>
      <c r="DF497" t="s">
        <v>1055</v>
      </c>
      <c r="DH497">
        <v>0</v>
      </c>
      <c r="DJ497">
        <v>0</v>
      </c>
      <c r="DK497" t="s">
        <v>1053</v>
      </c>
      <c r="DL497">
        <v>0</v>
      </c>
      <c r="DN497">
        <v>0</v>
      </c>
      <c r="DO497" t="s">
        <v>1042</v>
      </c>
      <c r="DP497">
        <v>0</v>
      </c>
      <c r="DQ497">
        <v>7.6</v>
      </c>
      <c r="DS497">
        <v>0</v>
      </c>
      <c r="DU497">
        <v>1.65</v>
      </c>
      <c r="DW497">
        <v>0</v>
      </c>
      <c r="DX497" t="s">
        <v>1043</v>
      </c>
      <c r="DY497">
        <v>0</v>
      </c>
      <c r="DZ497">
        <v>0</v>
      </c>
      <c r="EA497">
        <v>0</v>
      </c>
      <c r="EB497">
        <v>17897801320563</v>
      </c>
      <c r="ED497" t="s">
        <v>1045</v>
      </c>
      <c r="EE497">
        <v>0</v>
      </c>
      <c r="EF497">
        <v>0</v>
      </c>
      <c r="EK497" t="s">
        <v>1054</v>
      </c>
      <c r="EL497">
        <v>57897801320561</v>
      </c>
      <c r="EN497" t="s">
        <v>1012</v>
      </c>
      <c r="EQ497" t="s">
        <v>1044</v>
      </c>
      <c r="ES497" t="s">
        <v>1053</v>
      </c>
      <c r="ET497">
        <v>0</v>
      </c>
      <c r="EV497">
        <v>0</v>
      </c>
      <c r="EY497" t="s">
        <v>1052</v>
      </c>
      <c r="EZ497">
        <v>0</v>
      </c>
      <c r="FA497" t="s">
        <v>1043</v>
      </c>
      <c r="FB497">
        <v>0</v>
      </c>
      <c r="FC497">
        <v>0</v>
      </c>
      <c r="FD497" t="s">
        <v>1051</v>
      </c>
      <c r="FE497" t="s">
        <v>1050</v>
      </c>
      <c r="FF497">
        <v>0</v>
      </c>
      <c r="FG497" t="s">
        <v>1050</v>
      </c>
      <c r="FH497">
        <v>27897801320560</v>
      </c>
      <c r="FJ497">
        <v>0</v>
      </c>
      <c r="FK497">
        <v>0</v>
      </c>
      <c r="FP497">
        <v>0</v>
      </c>
      <c r="FR497">
        <v>0</v>
      </c>
      <c r="FS497" t="s">
        <v>1043</v>
      </c>
      <c r="FX497" t="s">
        <v>1042</v>
      </c>
      <c r="FZ497" t="s">
        <v>1048</v>
      </c>
      <c r="GA497">
        <v>0</v>
      </c>
      <c r="GB497" t="s">
        <v>1042</v>
      </c>
      <c r="GD497">
        <v>16</v>
      </c>
      <c r="GE497">
        <v>0</v>
      </c>
      <c r="GG497">
        <v>0</v>
      </c>
      <c r="GN497">
        <v>0</v>
      </c>
      <c r="GO497" t="s">
        <v>1049</v>
      </c>
      <c r="GQ497">
        <v>0</v>
      </c>
      <c r="GU497">
        <v>2</v>
      </c>
      <c r="GY497" t="s">
        <v>1045</v>
      </c>
      <c r="HB497">
        <v>0</v>
      </c>
      <c r="HE497">
        <v>10</v>
      </c>
      <c r="HF497">
        <v>15</v>
      </c>
      <c r="HG497">
        <v>2.886E-2</v>
      </c>
      <c r="HK497" t="s">
        <v>1042</v>
      </c>
      <c r="HM497" t="s">
        <v>1047</v>
      </c>
      <c r="HN497">
        <v>0</v>
      </c>
      <c r="HO497">
        <v>28</v>
      </c>
      <c r="HP497">
        <v>1.1990000000000001</v>
      </c>
      <c r="HQ497">
        <v>0</v>
      </c>
      <c r="HR497" t="s">
        <v>1042</v>
      </c>
      <c r="HS497" t="s">
        <v>1043</v>
      </c>
      <c r="HT497">
        <v>0</v>
      </c>
      <c r="HU497">
        <v>0</v>
      </c>
      <c r="HW497">
        <v>0</v>
      </c>
      <c r="HX497">
        <v>3</v>
      </c>
      <c r="HY497">
        <v>0</v>
      </c>
      <c r="HZ497" t="s">
        <v>1045</v>
      </c>
      <c r="IA497">
        <v>0</v>
      </c>
      <c r="IB497" t="s">
        <v>1045</v>
      </c>
      <c r="ID497" t="s">
        <v>1045</v>
      </c>
      <c r="IF497">
        <v>90</v>
      </c>
      <c r="IG497" t="s">
        <v>1042</v>
      </c>
      <c r="IH497" t="s">
        <v>1046</v>
      </c>
      <c r="II497" t="s">
        <v>1042</v>
      </c>
      <c r="IR497" t="s">
        <v>1045</v>
      </c>
      <c r="IT497">
        <v>0</v>
      </c>
      <c r="IY497" t="s">
        <v>1044</v>
      </c>
      <c r="IZ497" t="s">
        <v>1043</v>
      </c>
      <c r="JE497">
        <v>0</v>
      </c>
      <c r="JF497">
        <v>0</v>
      </c>
      <c r="JI497" t="s">
        <v>1042</v>
      </c>
      <c r="JJ497">
        <v>0</v>
      </c>
      <c r="JK497">
        <v>0</v>
      </c>
      <c r="JL497">
        <v>0</v>
      </c>
      <c r="JM497">
        <v>0</v>
      </c>
      <c r="JT497">
        <v>0</v>
      </c>
      <c r="JU497" t="s">
        <v>1042</v>
      </c>
      <c r="JW497">
        <v>0</v>
      </c>
      <c r="KA497">
        <v>0</v>
      </c>
      <c r="KF497">
        <v>0</v>
      </c>
      <c r="KG497">
        <v>0</v>
      </c>
      <c r="KH497">
        <v>0</v>
      </c>
      <c r="KI497">
        <v>0</v>
      </c>
      <c r="KS497" t="s">
        <v>1073</v>
      </c>
      <c r="KT497">
        <v>0</v>
      </c>
      <c r="KU497">
        <v>0</v>
      </c>
      <c r="KV497">
        <v>0</v>
      </c>
      <c r="KX497">
        <v>0</v>
      </c>
      <c r="KZ497">
        <v>0</v>
      </c>
      <c r="LF497">
        <v>0</v>
      </c>
      <c r="LH497">
        <v>6384</v>
      </c>
      <c r="LI497">
        <v>0</v>
      </c>
    </row>
    <row r="498" spans="1:321" x14ac:dyDescent="0.35">
      <c r="A498">
        <v>1</v>
      </c>
      <c r="B498" t="s">
        <v>1196</v>
      </c>
      <c r="C498" t="s">
        <v>1195</v>
      </c>
      <c r="D498" t="s">
        <v>1064</v>
      </c>
      <c r="E498" t="s">
        <v>85</v>
      </c>
      <c r="F498">
        <v>1</v>
      </c>
      <c r="G498">
        <v>8890</v>
      </c>
      <c r="H498">
        <v>0</v>
      </c>
      <c r="I498" t="s">
        <v>1017</v>
      </c>
      <c r="L498">
        <v>0</v>
      </c>
      <c r="M498">
        <v>9.75</v>
      </c>
      <c r="N498">
        <v>0</v>
      </c>
      <c r="Q498">
        <v>511</v>
      </c>
      <c r="R498">
        <v>0</v>
      </c>
      <c r="S498">
        <v>0</v>
      </c>
      <c r="W498" t="s">
        <v>1060</v>
      </c>
      <c r="X498">
        <v>0</v>
      </c>
      <c r="Z498">
        <v>0</v>
      </c>
      <c r="AA498">
        <v>0</v>
      </c>
      <c r="AB498">
        <v>0</v>
      </c>
      <c r="AC498">
        <v>0</v>
      </c>
      <c r="AD498" t="s">
        <v>1042</v>
      </c>
      <c r="AE498">
        <v>0</v>
      </c>
      <c r="AF498">
        <v>0</v>
      </c>
      <c r="AH498">
        <v>0</v>
      </c>
      <c r="AJ498">
        <v>0</v>
      </c>
      <c r="AL498">
        <v>145800</v>
      </c>
      <c r="AM498">
        <v>24</v>
      </c>
      <c r="AN498">
        <v>11501001</v>
      </c>
      <c r="AO498">
        <v>0</v>
      </c>
      <c r="AP498">
        <v>2720</v>
      </c>
      <c r="AT498">
        <v>1</v>
      </c>
      <c r="AU498" t="s">
        <v>1059</v>
      </c>
      <c r="AW498" t="s">
        <v>1053</v>
      </c>
      <c r="AX498">
        <v>5</v>
      </c>
      <c r="AY498" s="20">
        <v>43868</v>
      </c>
      <c r="BA498" s="20">
        <v>43868</v>
      </c>
      <c r="BB498" t="s">
        <v>1058</v>
      </c>
      <c r="BD498">
        <v>0</v>
      </c>
      <c r="BF498" t="s">
        <v>1044</v>
      </c>
      <c r="BG498" t="s">
        <v>1042</v>
      </c>
      <c r="BH498">
        <v>0</v>
      </c>
      <c r="BI498">
        <v>36</v>
      </c>
      <c r="BJ498">
        <v>0</v>
      </c>
      <c r="BK498">
        <v>0</v>
      </c>
      <c r="BM498" t="s">
        <v>1042</v>
      </c>
      <c r="BN498">
        <v>0</v>
      </c>
      <c r="BR498" t="s">
        <v>1043</v>
      </c>
      <c r="BS498" t="s">
        <v>1043</v>
      </c>
      <c r="BT498" t="s">
        <v>1043</v>
      </c>
      <c r="BV498">
        <v>1</v>
      </c>
      <c r="BW498">
        <v>2</v>
      </c>
      <c r="CA498">
        <v>0</v>
      </c>
      <c r="CB498" t="s">
        <v>1043</v>
      </c>
      <c r="CE498" t="s">
        <v>1043</v>
      </c>
      <c r="CH498" t="s">
        <v>1043</v>
      </c>
      <c r="CN498" t="s">
        <v>1056</v>
      </c>
      <c r="CO498" t="s">
        <v>1043</v>
      </c>
      <c r="CP498">
        <v>1</v>
      </c>
      <c r="CQ498">
        <v>0</v>
      </c>
      <c r="CS498">
        <v>0</v>
      </c>
      <c r="CT498">
        <v>0</v>
      </c>
      <c r="CU498">
        <v>0</v>
      </c>
      <c r="CW498">
        <v>0</v>
      </c>
      <c r="CX498">
        <v>0</v>
      </c>
      <c r="CY498">
        <v>0</v>
      </c>
      <c r="CZ498">
        <v>0</v>
      </c>
      <c r="DB498">
        <v>0</v>
      </c>
      <c r="DC498" t="s">
        <v>1043</v>
      </c>
      <c r="DF498" t="s">
        <v>1055</v>
      </c>
      <c r="DH498">
        <v>0</v>
      </c>
      <c r="DJ498">
        <v>0</v>
      </c>
      <c r="DK498" t="s">
        <v>1053</v>
      </c>
      <c r="DL498">
        <v>0</v>
      </c>
      <c r="DN498">
        <v>0</v>
      </c>
      <c r="DO498" t="s">
        <v>1042</v>
      </c>
      <c r="DP498">
        <v>0</v>
      </c>
      <c r="DQ498">
        <v>7.6</v>
      </c>
      <c r="DS498">
        <v>0</v>
      </c>
      <c r="DU498">
        <v>1.65</v>
      </c>
      <c r="DW498">
        <v>0</v>
      </c>
      <c r="DX498" t="s">
        <v>1043</v>
      </c>
      <c r="DY498">
        <v>0</v>
      </c>
      <c r="DZ498">
        <v>0</v>
      </c>
      <c r="EA498">
        <v>0</v>
      </c>
      <c r="ED498" t="s">
        <v>1045</v>
      </c>
      <c r="EE498">
        <v>0</v>
      </c>
      <c r="EF498">
        <v>0</v>
      </c>
      <c r="EK498" t="s">
        <v>1054</v>
      </c>
      <c r="EN498" t="s">
        <v>1012</v>
      </c>
      <c r="EQ498" t="s">
        <v>1044</v>
      </c>
      <c r="ES498" t="s">
        <v>1053</v>
      </c>
      <c r="ET498">
        <v>0</v>
      </c>
      <c r="EV498">
        <v>0</v>
      </c>
      <c r="EY498" t="s">
        <v>1052</v>
      </c>
      <c r="EZ498">
        <v>0</v>
      </c>
      <c r="FA498" t="s">
        <v>1043</v>
      </c>
      <c r="FB498">
        <v>0</v>
      </c>
      <c r="FC498">
        <v>0</v>
      </c>
      <c r="FD498" t="s">
        <v>1051</v>
      </c>
      <c r="FE498" t="s">
        <v>1050</v>
      </c>
      <c r="FF498">
        <v>0</v>
      </c>
      <c r="FG498" t="s">
        <v>1050</v>
      </c>
      <c r="FJ498">
        <v>0</v>
      </c>
      <c r="FK498">
        <v>0</v>
      </c>
      <c r="FP498">
        <v>0</v>
      </c>
      <c r="FR498">
        <v>0</v>
      </c>
      <c r="FS498" t="s">
        <v>1043</v>
      </c>
      <c r="FX498" t="s">
        <v>1042</v>
      </c>
      <c r="FZ498" t="s">
        <v>1048</v>
      </c>
      <c r="GA498">
        <v>0</v>
      </c>
      <c r="GB498" t="s">
        <v>1042</v>
      </c>
      <c r="GD498">
        <v>16</v>
      </c>
      <c r="GE498">
        <v>0</v>
      </c>
      <c r="GG498">
        <v>0</v>
      </c>
      <c r="GN498">
        <v>0</v>
      </c>
      <c r="GO498" t="s">
        <v>1063</v>
      </c>
      <c r="GQ498">
        <v>0</v>
      </c>
      <c r="GU498">
        <v>2</v>
      </c>
      <c r="GY498" t="s">
        <v>1045</v>
      </c>
      <c r="HB498">
        <v>0</v>
      </c>
      <c r="HE498">
        <v>10</v>
      </c>
      <c r="HF498">
        <v>15</v>
      </c>
      <c r="HG498">
        <v>0</v>
      </c>
      <c r="HK498" t="s">
        <v>1042</v>
      </c>
      <c r="HM498" t="s">
        <v>1047</v>
      </c>
      <c r="HN498">
        <v>0</v>
      </c>
      <c r="HP498">
        <v>0</v>
      </c>
      <c r="HQ498">
        <v>0</v>
      </c>
      <c r="HR498" t="s">
        <v>1042</v>
      </c>
      <c r="HS498" t="s">
        <v>1043</v>
      </c>
      <c r="HT498">
        <v>0</v>
      </c>
      <c r="HU498">
        <v>0</v>
      </c>
      <c r="HW498">
        <v>0</v>
      </c>
      <c r="HX498">
        <v>0</v>
      </c>
      <c r="HY498">
        <v>0</v>
      </c>
      <c r="HZ498" t="s">
        <v>1045</v>
      </c>
      <c r="IA498">
        <v>0</v>
      </c>
      <c r="IB498" t="s">
        <v>1045</v>
      </c>
      <c r="ID498" t="s">
        <v>1045</v>
      </c>
      <c r="IF498">
        <v>0</v>
      </c>
      <c r="IG498" t="s">
        <v>1042</v>
      </c>
      <c r="IH498" t="s">
        <v>1046</v>
      </c>
      <c r="II498" t="s">
        <v>1042</v>
      </c>
      <c r="IR498" t="s">
        <v>1045</v>
      </c>
      <c r="IT498">
        <v>0</v>
      </c>
      <c r="IY498" t="s">
        <v>1044</v>
      </c>
      <c r="IZ498" t="s">
        <v>1043</v>
      </c>
      <c r="JE498">
        <v>0</v>
      </c>
      <c r="JF498">
        <v>0</v>
      </c>
      <c r="JI498" t="s">
        <v>1042</v>
      </c>
      <c r="JJ498">
        <v>0</v>
      </c>
      <c r="JK498">
        <v>0</v>
      </c>
      <c r="JL498">
        <v>0</v>
      </c>
      <c r="JM498">
        <v>0</v>
      </c>
      <c r="JT498">
        <v>0</v>
      </c>
      <c r="JU498" t="s">
        <v>1042</v>
      </c>
      <c r="JW498">
        <v>0</v>
      </c>
      <c r="KA498">
        <v>0</v>
      </c>
      <c r="KF498">
        <v>0</v>
      </c>
      <c r="KG498">
        <v>0</v>
      </c>
      <c r="KH498">
        <v>0</v>
      </c>
      <c r="KI498">
        <v>0</v>
      </c>
      <c r="KS498" t="s">
        <v>1073</v>
      </c>
      <c r="KT498">
        <v>0</v>
      </c>
      <c r="KU498">
        <v>0</v>
      </c>
      <c r="KV498">
        <v>0</v>
      </c>
      <c r="KX498">
        <v>0</v>
      </c>
      <c r="KZ498">
        <v>0</v>
      </c>
      <c r="LF498">
        <v>0</v>
      </c>
      <c r="LH498">
        <v>0</v>
      </c>
      <c r="LI498">
        <v>0</v>
      </c>
    </row>
    <row r="499" spans="1:321" x14ac:dyDescent="0.35">
      <c r="A499">
        <v>1</v>
      </c>
      <c r="B499">
        <v>1294</v>
      </c>
      <c r="C499" t="s">
        <v>671</v>
      </c>
      <c r="D499" t="s">
        <v>1061</v>
      </c>
      <c r="E499" t="s">
        <v>85</v>
      </c>
      <c r="F499">
        <v>1</v>
      </c>
      <c r="G499">
        <v>240</v>
      </c>
      <c r="H499">
        <v>0</v>
      </c>
      <c r="I499" t="s">
        <v>1017</v>
      </c>
      <c r="L499">
        <v>0</v>
      </c>
      <c r="M499">
        <v>9.75</v>
      </c>
      <c r="N499">
        <v>0</v>
      </c>
      <c r="Q499">
        <v>511</v>
      </c>
      <c r="R499">
        <v>0</v>
      </c>
      <c r="S499">
        <v>0</v>
      </c>
      <c r="W499" t="s">
        <v>1060</v>
      </c>
      <c r="X499">
        <v>0</v>
      </c>
      <c r="Z499">
        <v>2</v>
      </c>
      <c r="AA499">
        <v>1386.3593000000001</v>
      </c>
      <c r="AB499">
        <v>1</v>
      </c>
      <c r="AC499">
        <v>0</v>
      </c>
      <c r="AD499" t="s">
        <v>1042</v>
      </c>
      <c r="AE499">
        <v>0</v>
      </c>
      <c r="AF499">
        <v>4.0999999999999996</v>
      </c>
      <c r="AH499">
        <v>0</v>
      </c>
      <c r="AJ499">
        <v>0</v>
      </c>
      <c r="AL499">
        <v>145800</v>
      </c>
      <c r="AM499">
        <v>240</v>
      </c>
      <c r="AN499">
        <v>11501001</v>
      </c>
      <c r="AO499">
        <v>0</v>
      </c>
      <c r="AP499">
        <v>1002</v>
      </c>
      <c r="AT499">
        <v>1</v>
      </c>
      <c r="AU499" t="s">
        <v>1059</v>
      </c>
      <c r="AW499" t="s">
        <v>1053</v>
      </c>
      <c r="AX499">
        <v>5</v>
      </c>
      <c r="AY499" s="20">
        <v>43242</v>
      </c>
      <c r="BA499" s="20">
        <v>44420</v>
      </c>
      <c r="BB499" t="s">
        <v>1058</v>
      </c>
      <c r="BD499">
        <v>0</v>
      </c>
      <c r="BF499" t="s">
        <v>1044</v>
      </c>
      <c r="BG499" t="s">
        <v>1042</v>
      </c>
      <c r="BH499">
        <v>0</v>
      </c>
      <c r="BI499">
        <v>36</v>
      </c>
      <c r="BJ499">
        <v>0</v>
      </c>
      <c r="BK499">
        <v>0</v>
      </c>
      <c r="BM499" s="20">
        <v>44231</v>
      </c>
      <c r="BN499">
        <v>0</v>
      </c>
      <c r="BO499">
        <v>7897801320580</v>
      </c>
      <c r="BR499" t="s">
        <v>1043</v>
      </c>
      <c r="BS499" t="s">
        <v>1043</v>
      </c>
      <c r="BT499" t="s">
        <v>1043</v>
      </c>
      <c r="BV499">
        <v>1</v>
      </c>
      <c r="BW499">
        <v>2</v>
      </c>
      <c r="BY499">
        <v>78</v>
      </c>
      <c r="CA499">
        <v>0</v>
      </c>
      <c r="CB499" t="s">
        <v>1043</v>
      </c>
      <c r="CE499" t="s">
        <v>1043</v>
      </c>
      <c r="CH499" t="s">
        <v>1043</v>
      </c>
      <c r="CN499" t="s">
        <v>1056</v>
      </c>
      <c r="CO499" t="s">
        <v>1043</v>
      </c>
      <c r="CP499">
        <v>1</v>
      </c>
      <c r="CQ499">
        <v>0</v>
      </c>
      <c r="CS499">
        <v>0</v>
      </c>
      <c r="CT499">
        <v>0</v>
      </c>
      <c r="CU499">
        <v>0</v>
      </c>
      <c r="CW499">
        <v>0</v>
      </c>
      <c r="CX499">
        <v>0</v>
      </c>
      <c r="CY499">
        <v>0</v>
      </c>
      <c r="CZ499">
        <v>0</v>
      </c>
      <c r="DA499">
        <v>7</v>
      </c>
      <c r="DB499">
        <v>0</v>
      </c>
      <c r="DC499" t="s">
        <v>1043</v>
      </c>
      <c r="DF499" t="s">
        <v>1055</v>
      </c>
      <c r="DH499">
        <v>0</v>
      </c>
      <c r="DJ499">
        <v>0</v>
      </c>
      <c r="DK499" t="s">
        <v>1053</v>
      </c>
      <c r="DL499">
        <v>0</v>
      </c>
      <c r="DN499">
        <v>0</v>
      </c>
      <c r="DO499" t="s">
        <v>1042</v>
      </c>
      <c r="DP499">
        <v>0</v>
      </c>
      <c r="DQ499">
        <v>7.6</v>
      </c>
      <c r="DS499">
        <v>0</v>
      </c>
      <c r="DU499">
        <v>1.65</v>
      </c>
      <c r="DW499">
        <v>0</v>
      </c>
      <c r="DX499" t="s">
        <v>1043</v>
      </c>
      <c r="DY499">
        <v>0</v>
      </c>
      <c r="DZ499">
        <v>0</v>
      </c>
      <c r="EA499">
        <v>0</v>
      </c>
      <c r="EB499">
        <v>17897801320587</v>
      </c>
      <c r="ED499" t="s">
        <v>1045</v>
      </c>
      <c r="EE499">
        <v>0</v>
      </c>
      <c r="EF499">
        <v>0</v>
      </c>
      <c r="EK499" t="s">
        <v>1054</v>
      </c>
      <c r="EL499">
        <v>57897801320585</v>
      </c>
      <c r="EN499" t="s">
        <v>1012</v>
      </c>
      <c r="EQ499" t="s">
        <v>1044</v>
      </c>
      <c r="ES499" t="s">
        <v>1053</v>
      </c>
      <c r="ET499">
        <v>0</v>
      </c>
      <c r="EV499">
        <v>0</v>
      </c>
      <c r="EY499" t="s">
        <v>1052</v>
      </c>
      <c r="EZ499">
        <v>0</v>
      </c>
      <c r="FA499" t="s">
        <v>1043</v>
      </c>
      <c r="FB499">
        <v>0</v>
      </c>
      <c r="FC499">
        <v>0</v>
      </c>
      <c r="FD499" t="s">
        <v>1051</v>
      </c>
      <c r="FE499" t="s">
        <v>1050</v>
      </c>
      <c r="FF499">
        <v>0</v>
      </c>
      <c r="FG499" t="s">
        <v>1050</v>
      </c>
      <c r="FH499">
        <v>27897801320584</v>
      </c>
      <c r="FJ499">
        <v>0</v>
      </c>
      <c r="FK499">
        <v>0</v>
      </c>
      <c r="FP499">
        <v>0</v>
      </c>
      <c r="FR499">
        <v>0</v>
      </c>
      <c r="FS499" t="s">
        <v>1043</v>
      </c>
      <c r="FX499" t="s">
        <v>1042</v>
      </c>
      <c r="FZ499" t="s">
        <v>1048</v>
      </c>
      <c r="GA499">
        <v>0</v>
      </c>
      <c r="GB499" t="s">
        <v>1042</v>
      </c>
      <c r="GD499">
        <v>16</v>
      </c>
      <c r="GE499">
        <v>0</v>
      </c>
      <c r="GG499">
        <v>0</v>
      </c>
      <c r="GN499">
        <v>0</v>
      </c>
      <c r="GO499" t="s">
        <v>1049</v>
      </c>
      <c r="GQ499">
        <v>0</v>
      </c>
      <c r="GU499">
        <v>2</v>
      </c>
      <c r="GY499" t="s">
        <v>1045</v>
      </c>
      <c r="HB499">
        <v>0</v>
      </c>
      <c r="HE499">
        <v>10</v>
      </c>
      <c r="HF499">
        <v>15</v>
      </c>
      <c r="HG499">
        <v>4.2020000000000002E-2</v>
      </c>
      <c r="HK499" t="s">
        <v>1042</v>
      </c>
      <c r="HM499" t="s">
        <v>1047</v>
      </c>
      <c r="HN499">
        <v>0</v>
      </c>
      <c r="HO499">
        <v>28</v>
      </c>
      <c r="HP499">
        <v>1.53</v>
      </c>
      <c r="HQ499">
        <v>0</v>
      </c>
      <c r="HR499" t="s">
        <v>1042</v>
      </c>
      <c r="HS499" t="s">
        <v>1043</v>
      </c>
      <c r="HT499">
        <v>0</v>
      </c>
      <c r="HU499">
        <v>0</v>
      </c>
      <c r="HW499">
        <v>0</v>
      </c>
      <c r="HX499">
        <v>3</v>
      </c>
      <c r="HY499">
        <v>0</v>
      </c>
      <c r="HZ499" t="s">
        <v>1045</v>
      </c>
      <c r="IA499">
        <v>0</v>
      </c>
      <c r="IB499" t="s">
        <v>1045</v>
      </c>
      <c r="ID499" t="s">
        <v>1045</v>
      </c>
      <c r="IF499">
        <v>72</v>
      </c>
      <c r="IG499" t="s">
        <v>1042</v>
      </c>
      <c r="IH499" t="s">
        <v>1046</v>
      </c>
      <c r="II499" t="s">
        <v>1042</v>
      </c>
      <c r="IR499" t="s">
        <v>1045</v>
      </c>
      <c r="IT499">
        <v>0</v>
      </c>
      <c r="IY499" t="s">
        <v>1044</v>
      </c>
      <c r="IZ499" t="s">
        <v>1043</v>
      </c>
      <c r="JE499">
        <v>0</v>
      </c>
      <c r="JF499">
        <v>0</v>
      </c>
      <c r="JI499" t="s">
        <v>1042</v>
      </c>
      <c r="JJ499">
        <v>0</v>
      </c>
      <c r="JK499">
        <v>0</v>
      </c>
      <c r="JL499">
        <v>0</v>
      </c>
      <c r="JM499">
        <v>0</v>
      </c>
      <c r="JT499">
        <v>0</v>
      </c>
      <c r="JU499" t="s">
        <v>1042</v>
      </c>
      <c r="JW499">
        <v>0</v>
      </c>
      <c r="KA499">
        <v>0</v>
      </c>
      <c r="KF499">
        <v>0</v>
      </c>
      <c r="KG499">
        <v>0</v>
      </c>
      <c r="KH499">
        <v>0</v>
      </c>
      <c r="KI499">
        <v>0</v>
      </c>
      <c r="KS499" t="s">
        <v>1073</v>
      </c>
      <c r="KT499">
        <v>0</v>
      </c>
      <c r="KU499">
        <v>0</v>
      </c>
      <c r="KV499">
        <v>0</v>
      </c>
      <c r="KX499">
        <v>0</v>
      </c>
      <c r="KZ499">
        <v>0</v>
      </c>
      <c r="LF499">
        <v>0</v>
      </c>
      <c r="LH499">
        <v>7560</v>
      </c>
      <c r="LI499">
        <v>0</v>
      </c>
    </row>
    <row r="500" spans="1:321" x14ac:dyDescent="0.35">
      <c r="A500">
        <v>1</v>
      </c>
      <c r="B500" t="s">
        <v>1194</v>
      </c>
      <c r="C500" t="s">
        <v>1193</v>
      </c>
      <c r="D500" t="s">
        <v>1064</v>
      </c>
      <c r="E500" t="s">
        <v>85</v>
      </c>
      <c r="F500">
        <v>1</v>
      </c>
      <c r="G500">
        <v>8890</v>
      </c>
      <c r="H500">
        <v>0</v>
      </c>
      <c r="I500" t="s">
        <v>1017</v>
      </c>
      <c r="L500">
        <v>0</v>
      </c>
      <c r="M500">
        <v>9.75</v>
      </c>
      <c r="N500">
        <v>0</v>
      </c>
      <c r="Q500">
        <v>511</v>
      </c>
      <c r="R500">
        <v>0</v>
      </c>
      <c r="S500">
        <v>0</v>
      </c>
      <c r="W500" t="s">
        <v>1060</v>
      </c>
      <c r="X500">
        <v>0</v>
      </c>
      <c r="Z500">
        <v>2</v>
      </c>
      <c r="AA500">
        <v>0</v>
      </c>
      <c r="AB500">
        <v>0</v>
      </c>
      <c r="AC500">
        <v>0</v>
      </c>
      <c r="AD500" t="s">
        <v>1042</v>
      </c>
      <c r="AE500">
        <v>0</v>
      </c>
      <c r="AF500">
        <v>0</v>
      </c>
      <c r="AH500">
        <v>0</v>
      </c>
      <c r="AJ500">
        <v>0</v>
      </c>
      <c r="AL500">
        <v>145800</v>
      </c>
      <c r="AM500">
        <v>24</v>
      </c>
      <c r="AN500">
        <v>11501001</v>
      </c>
      <c r="AO500">
        <v>0</v>
      </c>
      <c r="AP500">
        <v>2720</v>
      </c>
      <c r="AT500">
        <v>1</v>
      </c>
      <c r="AU500" t="s">
        <v>1059</v>
      </c>
      <c r="AW500" t="s">
        <v>1053</v>
      </c>
      <c r="AX500">
        <v>5</v>
      </c>
      <c r="AY500" s="20">
        <v>43868</v>
      </c>
      <c r="BA500" s="20">
        <v>43868</v>
      </c>
      <c r="BB500" t="s">
        <v>1058</v>
      </c>
      <c r="BD500">
        <v>0</v>
      </c>
      <c r="BF500" t="s">
        <v>1044</v>
      </c>
      <c r="BG500" t="s">
        <v>1042</v>
      </c>
      <c r="BH500">
        <v>0</v>
      </c>
      <c r="BI500">
        <v>36</v>
      </c>
      <c r="BJ500">
        <v>0</v>
      </c>
      <c r="BK500">
        <v>0</v>
      </c>
      <c r="BM500" t="s">
        <v>1042</v>
      </c>
      <c r="BN500">
        <v>0</v>
      </c>
      <c r="BR500" t="s">
        <v>1043</v>
      </c>
      <c r="BS500" t="s">
        <v>1043</v>
      </c>
      <c r="BT500" t="s">
        <v>1043</v>
      </c>
      <c r="BV500">
        <v>1</v>
      </c>
      <c r="BW500">
        <v>2</v>
      </c>
      <c r="CA500">
        <v>0</v>
      </c>
      <c r="CB500" t="s">
        <v>1043</v>
      </c>
      <c r="CE500" t="s">
        <v>1043</v>
      </c>
      <c r="CH500" t="s">
        <v>1043</v>
      </c>
      <c r="CN500" t="s">
        <v>1056</v>
      </c>
      <c r="CO500" t="s">
        <v>1043</v>
      </c>
      <c r="CP500">
        <v>1</v>
      </c>
      <c r="CQ500">
        <v>0</v>
      </c>
      <c r="CS500">
        <v>0</v>
      </c>
      <c r="CT500">
        <v>0</v>
      </c>
      <c r="CU500">
        <v>0</v>
      </c>
      <c r="CW500">
        <v>0</v>
      </c>
      <c r="CX500">
        <v>0</v>
      </c>
      <c r="CY500">
        <v>0</v>
      </c>
      <c r="CZ500">
        <v>0</v>
      </c>
      <c r="DB500">
        <v>0</v>
      </c>
      <c r="DC500" t="s">
        <v>1043</v>
      </c>
      <c r="DF500" t="s">
        <v>1055</v>
      </c>
      <c r="DH500">
        <v>0</v>
      </c>
      <c r="DJ500">
        <v>0</v>
      </c>
      <c r="DK500" t="s">
        <v>1053</v>
      </c>
      <c r="DL500">
        <v>0</v>
      </c>
      <c r="DN500">
        <v>0</v>
      </c>
      <c r="DO500" t="s">
        <v>1042</v>
      </c>
      <c r="DP500">
        <v>0</v>
      </c>
      <c r="DQ500">
        <v>7.6</v>
      </c>
      <c r="DS500">
        <v>0</v>
      </c>
      <c r="DU500">
        <v>1.65</v>
      </c>
      <c r="DW500">
        <v>0</v>
      </c>
      <c r="DX500" t="s">
        <v>1043</v>
      </c>
      <c r="DY500">
        <v>0</v>
      </c>
      <c r="DZ500">
        <v>0</v>
      </c>
      <c r="EA500">
        <v>0</v>
      </c>
      <c r="ED500" t="s">
        <v>1045</v>
      </c>
      <c r="EE500">
        <v>0</v>
      </c>
      <c r="EF500">
        <v>0</v>
      </c>
      <c r="EK500" t="s">
        <v>1054</v>
      </c>
      <c r="EN500" t="s">
        <v>1012</v>
      </c>
      <c r="EQ500" t="s">
        <v>1044</v>
      </c>
      <c r="ES500" t="s">
        <v>1053</v>
      </c>
      <c r="ET500">
        <v>0</v>
      </c>
      <c r="EV500">
        <v>0</v>
      </c>
      <c r="EY500" t="s">
        <v>1052</v>
      </c>
      <c r="EZ500">
        <v>0</v>
      </c>
      <c r="FA500" t="s">
        <v>1043</v>
      </c>
      <c r="FB500">
        <v>0</v>
      </c>
      <c r="FC500">
        <v>0</v>
      </c>
      <c r="FD500" t="s">
        <v>1051</v>
      </c>
      <c r="FE500" t="s">
        <v>1050</v>
      </c>
      <c r="FF500">
        <v>0</v>
      </c>
      <c r="FG500" t="s">
        <v>1050</v>
      </c>
      <c r="FJ500">
        <v>0</v>
      </c>
      <c r="FK500">
        <v>0</v>
      </c>
      <c r="FP500">
        <v>0</v>
      </c>
      <c r="FR500">
        <v>0</v>
      </c>
      <c r="FS500" t="s">
        <v>1043</v>
      </c>
      <c r="FX500" t="s">
        <v>1042</v>
      </c>
      <c r="FZ500" t="s">
        <v>1048</v>
      </c>
      <c r="GA500">
        <v>0</v>
      </c>
      <c r="GB500" t="s">
        <v>1042</v>
      </c>
      <c r="GD500">
        <v>16</v>
      </c>
      <c r="GE500">
        <v>0</v>
      </c>
      <c r="GG500">
        <v>0</v>
      </c>
      <c r="GN500">
        <v>0</v>
      </c>
      <c r="GO500" t="s">
        <v>1063</v>
      </c>
      <c r="GQ500">
        <v>0</v>
      </c>
      <c r="GU500">
        <v>2</v>
      </c>
      <c r="GY500" t="s">
        <v>1045</v>
      </c>
      <c r="HB500">
        <v>0</v>
      </c>
      <c r="HE500">
        <v>10</v>
      </c>
      <c r="HF500">
        <v>15</v>
      </c>
      <c r="HG500">
        <v>0</v>
      </c>
      <c r="HK500" t="s">
        <v>1042</v>
      </c>
      <c r="HM500" t="s">
        <v>1047</v>
      </c>
      <c r="HN500">
        <v>0</v>
      </c>
      <c r="HP500">
        <v>0</v>
      </c>
      <c r="HQ500">
        <v>0</v>
      </c>
      <c r="HR500" t="s">
        <v>1042</v>
      </c>
      <c r="HS500" t="s">
        <v>1043</v>
      </c>
      <c r="HT500">
        <v>0</v>
      </c>
      <c r="HU500">
        <v>0</v>
      </c>
      <c r="HW500">
        <v>0</v>
      </c>
      <c r="HX500">
        <v>0</v>
      </c>
      <c r="HY500">
        <v>0</v>
      </c>
      <c r="HZ500" t="s">
        <v>1045</v>
      </c>
      <c r="IA500">
        <v>0</v>
      </c>
      <c r="IB500" t="s">
        <v>1045</v>
      </c>
      <c r="ID500" t="s">
        <v>1045</v>
      </c>
      <c r="IF500">
        <v>72</v>
      </c>
      <c r="IG500" t="s">
        <v>1042</v>
      </c>
      <c r="IH500" t="s">
        <v>1046</v>
      </c>
      <c r="II500" t="s">
        <v>1042</v>
      </c>
      <c r="IR500" t="s">
        <v>1045</v>
      </c>
      <c r="IT500">
        <v>0</v>
      </c>
      <c r="IY500" t="s">
        <v>1044</v>
      </c>
      <c r="IZ500" t="s">
        <v>1043</v>
      </c>
      <c r="JE500">
        <v>0</v>
      </c>
      <c r="JF500">
        <v>0</v>
      </c>
      <c r="JI500" t="s">
        <v>1042</v>
      </c>
      <c r="JJ500">
        <v>0</v>
      </c>
      <c r="JK500">
        <v>0</v>
      </c>
      <c r="JL500">
        <v>0</v>
      </c>
      <c r="JM500">
        <v>0</v>
      </c>
      <c r="JT500">
        <v>0</v>
      </c>
      <c r="JU500" t="s">
        <v>1042</v>
      </c>
      <c r="JW500">
        <v>0</v>
      </c>
      <c r="KA500">
        <v>0</v>
      </c>
      <c r="KF500">
        <v>0</v>
      </c>
      <c r="KG500">
        <v>0</v>
      </c>
      <c r="KH500">
        <v>0</v>
      </c>
      <c r="KI500">
        <v>0</v>
      </c>
      <c r="KS500" t="s">
        <v>1073</v>
      </c>
      <c r="KT500">
        <v>0</v>
      </c>
      <c r="KU500">
        <v>0</v>
      </c>
      <c r="KV500">
        <v>0</v>
      </c>
      <c r="KX500">
        <v>0</v>
      </c>
      <c r="KZ500">
        <v>0</v>
      </c>
      <c r="LF500">
        <v>0</v>
      </c>
      <c r="LH500">
        <v>0</v>
      </c>
      <c r="LI500">
        <v>0</v>
      </c>
    </row>
    <row r="501" spans="1:321" x14ac:dyDescent="0.35">
      <c r="A501">
        <v>1</v>
      </c>
      <c r="B501">
        <v>1295</v>
      </c>
      <c r="C501" t="s">
        <v>1192</v>
      </c>
      <c r="D501" t="s">
        <v>1061</v>
      </c>
      <c r="E501" t="s">
        <v>85</v>
      </c>
      <c r="F501">
        <v>1</v>
      </c>
      <c r="G501">
        <v>8890</v>
      </c>
      <c r="H501">
        <v>0</v>
      </c>
      <c r="I501" t="s">
        <v>1017</v>
      </c>
      <c r="L501">
        <v>0</v>
      </c>
      <c r="M501">
        <v>9.75</v>
      </c>
      <c r="N501">
        <v>0</v>
      </c>
      <c r="Q501">
        <v>511</v>
      </c>
      <c r="R501">
        <v>0</v>
      </c>
      <c r="S501">
        <v>0</v>
      </c>
      <c r="W501" t="s">
        <v>1060</v>
      </c>
      <c r="X501">
        <v>0</v>
      </c>
      <c r="Z501">
        <v>0</v>
      </c>
      <c r="AA501">
        <v>0</v>
      </c>
      <c r="AB501">
        <v>0</v>
      </c>
      <c r="AC501">
        <v>0</v>
      </c>
      <c r="AD501" t="s">
        <v>1042</v>
      </c>
      <c r="AE501">
        <v>0</v>
      </c>
      <c r="AF501">
        <v>0</v>
      </c>
      <c r="AH501">
        <v>0</v>
      </c>
      <c r="AJ501">
        <v>0</v>
      </c>
      <c r="AL501">
        <v>145800</v>
      </c>
      <c r="AM501">
        <v>0</v>
      </c>
      <c r="AN501">
        <v>11501001</v>
      </c>
      <c r="AO501">
        <v>0</v>
      </c>
      <c r="AP501">
        <v>1002</v>
      </c>
      <c r="AT501">
        <v>1</v>
      </c>
      <c r="AU501" t="s">
        <v>1059</v>
      </c>
      <c r="AW501" t="s">
        <v>1053</v>
      </c>
      <c r="AX501">
        <v>0</v>
      </c>
      <c r="AY501" s="20">
        <v>43242</v>
      </c>
      <c r="BA501" s="20">
        <v>43242</v>
      </c>
      <c r="BB501" t="s">
        <v>1058</v>
      </c>
      <c r="BD501">
        <v>0</v>
      </c>
      <c r="BF501" t="s">
        <v>1044</v>
      </c>
      <c r="BG501" t="s">
        <v>1042</v>
      </c>
      <c r="BH501">
        <v>0</v>
      </c>
      <c r="BI501">
        <v>36</v>
      </c>
      <c r="BJ501">
        <v>0</v>
      </c>
      <c r="BK501">
        <v>0</v>
      </c>
      <c r="BM501" t="s">
        <v>1042</v>
      </c>
      <c r="BN501">
        <v>0</v>
      </c>
      <c r="BR501" t="s">
        <v>1043</v>
      </c>
      <c r="BS501" t="s">
        <v>1043</v>
      </c>
      <c r="BT501" t="s">
        <v>1043</v>
      </c>
      <c r="BV501">
        <v>1</v>
      </c>
      <c r="BW501">
        <v>2</v>
      </c>
      <c r="CA501">
        <v>0</v>
      </c>
      <c r="CB501" t="s">
        <v>1043</v>
      </c>
      <c r="CE501" t="s">
        <v>1043</v>
      </c>
      <c r="CH501" t="s">
        <v>1043</v>
      </c>
      <c r="CN501" t="s">
        <v>1056</v>
      </c>
      <c r="CO501" t="s">
        <v>1043</v>
      </c>
      <c r="CP501">
        <v>1</v>
      </c>
      <c r="CQ501">
        <v>0</v>
      </c>
      <c r="CS501">
        <v>0</v>
      </c>
      <c r="CT501">
        <v>0</v>
      </c>
      <c r="CU501">
        <v>0</v>
      </c>
      <c r="CW501">
        <v>0</v>
      </c>
      <c r="CX501">
        <v>0</v>
      </c>
      <c r="CY501">
        <v>0</v>
      </c>
      <c r="CZ501">
        <v>0</v>
      </c>
      <c r="DB501">
        <v>0</v>
      </c>
      <c r="DC501" t="s">
        <v>1043</v>
      </c>
      <c r="DF501" t="s">
        <v>1055</v>
      </c>
      <c r="DH501">
        <v>0</v>
      </c>
      <c r="DJ501">
        <v>0</v>
      </c>
      <c r="DK501" t="s">
        <v>1053</v>
      </c>
      <c r="DL501">
        <v>0</v>
      </c>
      <c r="DN501">
        <v>0</v>
      </c>
      <c r="DO501" t="s">
        <v>1042</v>
      </c>
      <c r="DP501">
        <v>0</v>
      </c>
      <c r="DQ501">
        <v>7.6</v>
      </c>
      <c r="DS501">
        <v>0</v>
      </c>
      <c r="DU501">
        <v>1.65</v>
      </c>
      <c r="DW501">
        <v>0</v>
      </c>
      <c r="DX501" t="s">
        <v>1043</v>
      </c>
      <c r="DY501">
        <v>0</v>
      </c>
      <c r="DZ501">
        <v>0</v>
      </c>
      <c r="EA501">
        <v>0</v>
      </c>
      <c r="ED501" t="s">
        <v>1045</v>
      </c>
      <c r="EE501">
        <v>0</v>
      </c>
      <c r="EF501">
        <v>0</v>
      </c>
      <c r="EK501" t="s">
        <v>1054</v>
      </c>
      <c r="EN501" t="s">
        <v>1012</v>
      </c>
      <c r="EQ501" t="s">
        <v>1044</v>
      </c>
      <c r="ES501" t="s">
        <v>1053</v>
      </c>
      <c r="ET501">
        <v>0</v>
      </c>
      <c r="EV501">
        <v>0</v>
      </c>
      <c r="EY501" t="s">
        <v>1052</v>
      </c>
      <c r="EZ501">
        <v>0</v>
      </c>
      <c r="FA501" t="s">
        <v>1043</v>
      </c>
      <c r="FB501">
        <v>0</v>
      </c>
      <c r="FC501">
        <v>0</v>
      </c>
      <c r="FD501" t="s">
        <v>1051</v>
      </c>
      <c r="FE501" t="s">
        <v>1050</v>
      </c>
      <c r="FF501">
        <v>0</v>
      </c>
      <c r="FG501" t="s">
        <v>1050</v>
      </c>
      <c r="FJ501">
        <v>0</v>
      </c>
      <c r="FK501">
        <v>0</v>
      </c>
      <c r="FP501">
        <v>0</v>
      </c>
      <c r="FR501">
        <v>0</v>
      </c>
      <c r="FS501" t="s">
        <v>1043</v>
      </c>
      <c r="FX501" t="s">
        <v>1042</v>
      </c>
      <c r="FZ501" t="s">
        <v>1048</v>
      </c>
      <c r="GA501">
        <v>0</v>
      </c>
      <c r="GB501" t="s">
        <v>1042</v>
      </c>
      <c r="GD501">
        <v>16</v>
      </c>
      <c r="GE501">
        <v>0</v>
      </c>
      <c r="GG501">
        <v>0</v>
      </c>
      <c r="GN501">
        <v>0</v>
      </c>
      <c r="GO501" t="s">
        <v>1049</v>
      </c>
      <c r="GQ501">
        <v>0</v>
      </c>
      <c r="GU501">
        <v>2</v>
      </c>
      <c r="GY501" t="s">
        <v>1045</v>
      </c>
      <c r="HB501">
        <v>0</v>
      </c>
      <c r="HE501">
        <v>10</v>
      </c>
      <c r="HF501">
        <v>15</v>
      </c>
      <c r="HG501">
        <v>0</v>
      </c>
      <c r="HK501" t="s">
        <v>1042</v>
      </c>
      <c r="HM501" t="s">
        <v>1047</v>
      </c>
      <c r="HN501">
        <v>0</v>
      </c>
      <c r="HP501">
        <v>0</v>
      </c>
      <c r="HQ501">
        <v>0</v>
      </c>
      <c r="HR501" t="s">
        <v>1042</v>
      </c>
      <c r="HS501" t="s">
        <v>1043</v>
      </c>
      <c r="HT501">
        <v>0</v>
      </c>
      <c r="HU501">
        <v>0</v>
      </c>
      <c r="HW501">
        <v>0</v>
      </c>
      <c r="HX501">
        <v>0</v>
      </c>
      <c r="HY501">
        <v>0</v>
      </c>
      <c r="HZ501" t="s">
        <v>1045</v>
      </c>
      <c r="IA501">
        <v>0</v>
      </c>
      <c r="IB501" t="s">
        <v>1045</v>
      </c>
      <c r="ID501" t="s">
        <v>1045</v>
      </c>
      <c r="IF501">
        <v>0</v>
      </c>
      <c r="IG501" t="s">
        <v>1042</v>
      </c>
      <c r="IH501" t="s">
        <v>1046</v>
      </c>
      <c r="II501" t="s">
        <v>1042</v>
      </c>
      <c r="IR501" t="s">
        <v>1045</v>
      </c>
      <c r="IT501">
        <v>0</v>
      </c>
      <c r="IY501" t="s">
        <v>1044</v>
      </c>
      <c r="IZ501" t="s">
        <v>1043</v>
      </c>
      <c r="JE501">
        <v>0</v>
      </c>
      <c r="JF501">
        <v>0</v>
      </c>
      <c r="JI501" t="s">
        <v>1042</v>
      </c>
      <c r="JJ501">
        <v>0</v>
      </c>
      <c r="JK501">
        <v>0</v>
      </c>
      <c r="JL501">
        <v>0</v>
      </c>
      <c r="JM501">
        <v>0</v>
      </c>
      <c r="JT501">
        <v>0</v>
      </c>
      <c r="JU501" t="s">
        <v>1042</v>
      </c>
      <c r="JW501">
        <v>0</v>
      </c>
      <c r="KA501">
        <v>0</v>
      </c>
      <c r="KF501">
        <v>0</v>
      </c>
      <c r="KG501">
        <v>0</v>
      </c>
      <c r="KH501">
        <v>0</v>
      </c>
      <c r="KI501">
        <v>0</v>
      </c>
      <c r="KS501" t="s">
        <v>1073</v>
      </c>
      <c r="KT501">
        <v>0</v>
      </c>
      <c r="KU501">
        <v>0</v>
      </c>
      <c r="KV501">
        <v>0</v>
      </c>
      <c r="KX501">
        <v>0</v>
      </c>
      <c r="KZ501">
        <v>0</v>
      </c>
      <c r="LF501">
        <v>0</v>
      </c>
      <c r="LH501">
        <v>0</v>
      </c>
      <c r="LI501">
        <v>0</v>
      </c>
    </row>
    <row r="502" spans="1:321" x14ac:dyDescent="0.35">
      <c r="A502">
        <v>1</v>
      </c>
      <c r="B502">
        <v>1296</v>
      </c>
      <c r="C502" t="s">
        <v>672</v>
      </c>
      <c r="D502" t="s">
        <v>1061</v>
      </c>
      <c r="E502" t="s">
        <v>85</v>
      </c>
      <c r="F502">
        <v>1</v>
      </c>
      <c r="G502">
        <v>240</v>
      </c>
      <c r="H502">
        <v>0</v>
      </c>
      <c r="I502" t="s">
        <v>1017</v>
      </c>
      <c r="L502">
        <v>0</v>
      </c>
      <c r="M502">
        <v>9.75</v>
      </c>
      <c r="N502">
        <v>0</v>
      </c>
      <c r="P502">
        <v>13</v>
      </c>
      <c r="Q502">
        <v>511</v>
      </c>
      <c r="R502">
        <v>0</v>
      </c>
      <c r="S502">
        <v>0</v>
      </c>
      <c r="W502" t="s">
        <v>1060</v>
      </c>
      <c r="X502">
        <v>0</v>
      </c>
      <c r="Z502">
        <v>8</v>
      </c>
      <c r="AA502">
        <v>186.7621</v>
      </c>
      <c r="AB502">
        <v>75</v>
      </c>
      <c r="AC502">
        <v>4.9800000000000004</v>
      </c>
      <c r="AD502" t="s">
        <v>1042</v>
      </c>
      <c r="AE502">
        <v>0</v>
      </c>
      <c r="AF502">
        <v>0.19689999999999999</v>
      </c>
      <c r="AH502">
        <v>2</v>
      </c>
      <c r="AJ502">
        <v>0</v>
      </c>
      <c r="AL502">
        <v>145800</v>
      </c>
      <c r="AM502">
        <v>1646</v>
      </c>
      <c r="AN502">
        <v>11501001</v>
      </c>
      <c r="AO502">
        <v>0</v>
      </c>
      <c r="AP502">
        <v>1002</v>
      </c>
      <c r="AT502">
        <v>1</v>
      </c>
      <c r="AU502" t="s">
        <v>1059</v>
      </c>
      <c r="AW502" t="s">
        <v>1053</v>
      </c>
      <c r="AX502">
        <v>5</v>
      </c>
      <c r="AY502" s="20">
        <v>43242</v>
      </c>
      <c r="BA502" s="20">
        <v>44097</v>
      </c>
      <c r="BB502" t="s">
        <v>1058</v>
      </c>
      <c r="BD502">
        <v>0</v>
      </c>
      <c r="BF502" t="s">
        <v>1044</v>
      </c>
      <c r="BG502" t="s">
        <v>1042</v>
      </c>
      <c r="BH502">
        <v>0</v>
      </c>
      <c r="BI502">
        <v>36</v>
      </c>
      <c r="BJ502">
        <v>0</v>
      </c>
      <c r="BK502">
        <v>0</v>
      </c>
      <c r="BM502" s="20">
        <v>43976</v>
      </c>
      <c r="BN502">
        <v>0</v>
      </c>
      <c r="BO502">
        <v>7897801320474</v>
      </c>
      <c r="BR502" t="s">
        <v>1043</v>
      </c>
      <c r="BS502" t="s">
        <v>1043</v>
      </c>
      <c r="BT502" t="s">
        <v>1043</v>
      </c>
      <c r="BV502">
        <v>1</v>
      </c>
      <c r="BW502">
        <v>2</v>
      </c>
      <c r="BY502">
        <v>78</v>
      </c>
      <c r="CA502">
        <v>0</v>
      </c>
      <c r="CB502" t="s">
        <v>1043</v>
      </c>
      <c r="CE502" t="s">
        <v>1043</v>
      </c>
      <c r="CH502" t="s">
        <v>1043</v>
      </c>
      <c r="CN502" t="s">
        <v>1056</v>
      </c>
      <c r="CO502" t="s">
        <v>1043</v>
      </c>
      <c r="CP502">
        <v>1</v>
      </c>
      <c r="CQ502">
        <v>0</v>
      </c>
      <c r="CS502">
        <v>0</v>
      </c>
      <c r="CT502">
        <v>0</v>
      </c>
      <c r="CU502">
        <v>0</v>
      </c>
      <c r="CW502">
        <v>0</v>
      </c>
      <c r="CX502">
        <v>0</v>
      </c>
      <c r="CY502">
        <v>0</v>
      </c>
      <c r="CZ502">
        <v>0</v>
      </c>
      <c r="DA502">
        <v>5</v>
      </c>
      <c r="DB502">
        <v>0</v>
      </c>
      <c r="DC502" t="s">
        <v>1043</v>
      </c>
      <c r="DF502" t="s">
        <v>1055</v>
      </c>
      <c r="DH502">
        <v>0</v>
      </c>
      <c r="DJ502">
        <v>0</v>
      </c>
      <c r="DK502" t="s">
        <v>1053</v>
      </c>
      <c r="DL502">
        <v>0</v>
      </c>
      <c r="DN502">
        <v>0</v>
      </c>
      <c r="DO502" t="s">
        <v>1042</v>
      </c>
      <c r="DP502">
        <v>0</v>
      </c>
      <c r="DQ502">
        <v>7.6</v>
      </c>
      <c r="DS502">
        <v>0</v>
      </c>
      <c r="DU502">
        <v>1.65</v>
      </c>
      <c r="DW502">
        <v>0</v>
      </c>
      <c r="DX502" t="s">
        <v>1043</v>
      </c>
      <c r="DY502">
        <v>0</v>
      </c>
      <c r="DZ502">
        <v>0</v>
      </c>
      <c r="EA502">
        <v>0</v>
      </c>
      <c r="EB502">
        <v>17897801320471</v>
      </c>
      <c r="ED502" t="s">
        <v>1045</v>
      </c>
      <c r="EE502">
        <v>0</v>
      </c>
      <c r="EF502">
        <v>0</v>
      </c>
      <c r="EK502" t="s">
        <v>1054</v>
      </c>
      <c r="EL502">
        <v>57897801320479</v>
      </c>
      <c r="EN502" t="s">
        <v>1012</v>
      </c>
      <c r="EQ502" t="s">
        <v>1044</v>
      </c>
      <c r="ES502" t="s">
        <v>1053</v>
      </c>
      <c r="ET502">
        <v>0</v>
      </c>
      <c r="EV502">
        <v>0</v>
      </c>
      <c r="EY502" t="s">
        <v>1052</v>
      </c>
      <c r="EZ502">
        <v>0</v>
      </c>
      <c r="FA502" t="s">
        <v>1043</v>
      </c>
      <c r="FB502">
        <v>0</v>
      </c>
      <c r="FC502">
        <v>0</v>
      </c>
      <c r="FD502" t="s">
        <v>1051</v>
      </c>
      <c r="FE502" t="s">
        <v>1050</v>
      </c>
      <c r="FF502">
        <v>0</v>
      </c>
      <c r="FG502" t="s">
        <v>1050</v>
      </c>
      <c r="FH502">
        <v>27897801320478</v>
      </c>
      <c r="FJ502">
        <v>0</v>
      </c>
      <c r="FK502">
        <v>0</v>
      </c>
      <c r="FP502">
        <v>0</v>
      </c>
      <c r="FR502">
        <v>0</v>
      </c>
      <c r="FS502" t="s">
        <v>1043</v>
      </c>
      <c r="FX502" t="s">
        <v>1042</v>
      </c>
      <c r="FZ502" t="s">
        <v>1048</v>
      </c>
      <c r="GA502">
        <v>0</v>
      </c>
      <c r="GB502" t="s">
        <v>1042</v>
      </c>
      <c r="GD502">
        <v>16</v>
      </c>
      <c r="GE502">
        <v>0</v>
      </c>
      <c r="GG502">
        <v>0</v>
      </c>
      <c r="GN502">
        <v>0</v>
      </c>
      <c r="GO502" t="s">
        <v>1049</v>
      </c>
      <c r="GQ502">
        <v>0</v>
      </c>
      <c r="GU502">
        <v>2</v>
      </c>
      <c r="GY502" t="s">
        <v>1045</v>
      </c>
      <c r="HB502">
        <v>0</v>
      </c>
      <c r="HE502">
        <v>10</v>
      </c>
      <c r="HF502">
        <v>15</v>
      </c>
      <c r="HG502">
        <v>8.0800000000000004E-3</v>
      </c>
      <c r="HK502" t="s">
        <v>1042</v>
      </c>
      <c r="HL502" t="s">
        <v>1048</v>
      </c>
      <c r="HM502" t="s">
        <v>1047</v>
      </c>
      <c r="HN502">
        <v>0</v>
      </c>
      <c r="HO502">
        <v>28</v>
      </c>
      <c r="HP502">
        <v>0.10100000000000001</v>
      </c>
      <c r="HQ502">
        <v>0</v>
      </c>
      <c r="HR502" t="s">
        <v>1042</v>
      </c>
      <c r="HS502" t="s">
        <v>1043</v>
      </c>
      <c r="HT502">
        <v>0</v>
      </c>
      <c r="HU502">
        <v>0</v>
      </c>
      <c r="HW502">
        <v>0</v>
      </c>
      <c r="HX502">
        <v>183</v>
      </c>
      <c r="HY502">
        <v>0</v>
      </c>
      <c r="HZ502" t="s">
        <v>1045</v>
      </c>
      <c r="IA502">
        <v>0</v>
      </c>
      <c r="IB502" t="s">
        <v>1045</v>
      </c>
      <c r="ID502" t="s">
        <v>1045</v>
      </c>
      <c r="IF502">
        <v>1392</v>
      </c>
      <c r="IG502" s="20">
        <v>43984</v>
      </c>
      <c r="IH502" t="s">
        <v>1046</v>
      </c>
      <c r="II502" t="s">
        <v>1042</v>
      </c>
      <c r="IR502" t="s">
        <v>1045</v>
      </c>
      <c r="IT502">
        <v>0</v>
      </c>
      <c r="IY502" t="s">
        <v>1044</v>
      </c>
      <c r="IZ502" t="s">
        <v>1043</v>
      </c>
      <c r="JE502">
        <v>0</v>
      </c>
      <c r="JF502">
        <v>0</v>
      </c>
      <c r="JI502" t="s">
        <v>1042</v>
      </c>
      <c r="JJ502">
        <v>0</v>
      </c>
      <c r="JK502">
        <v>0</v>
      </c>
      <c r="JL502">
        <v>0</v>
      </c>
      <c r="JM502">
        <v>0</v>
      </c>
      <c r="JT502">
        <v>0</v>
      </c>
      <c r="JU502" t="s">
        <v>1042</v>
      </c>
      <c r="JW502">
        <v>0</v>
      </c>
      <c r="KA502">
        <v>0</v>
      </c>
      <c r="KF502">
        <v>0</v>
      </c>
      <c r="KG502">
        <v>0</v>
      </c>
      <c r="KH502">
        <v>0</v>
      </c>
      <c r="KI502">
        <v>0</v>
      </c>
      <c r="KS502" t="s">
        <v>1073</v>
      </c>
      <c r="KT502">
        <v>0</v>
      </c>
      <c r="KU502">
        <v>0</v>
      </c>
      <c r="KV502">
        <v>0</v>
      </c>
      <c r="KX502">
        <v>0</v>
      </c>
      <c r="KZ502">
        <v>0</v>
      </c>
      <c r="LF502">
        <v>0</v>
      </c>
      <c r="LH502">
        <v>69048</v>
      </c>
      <c r="LI502">
        <v>0</v>
      </c>
    </row>
    <row r="503" spans="1:321" x14ac:dyDescent="0.35">
      <c r="A503">
        <v>1</v>
      </c>
      <c r="B503">
        <v>1297</v>
      </c>
      <c r="C503" t="s">
        <v>1191</v>
      </c>
      <c r="D503" t="s">
        <v>1061</v>
      </c>
      <c r="E503" t="s">
        <v>85</v>
      </c>
      <c r="F503">
        <v>1</v>
      </c>
      <c r="G503">
        <v>8890</v>
      </c>
      <c r="H503">
        <v>0</v>
      </c>
      <c r="I503" t="s">
        <v>1017</v>
      </c>
      <c r="L503">
        <v>0</v>
      </c>
      <c r="M503">
        <v>9.75</v>
      </c>
      <c r="N503">
        <v>0</v>
      </c>
      <c r="P503">
        <v>13</v>
      </c>
      <c r="Q503">
        <v>511</v>
      </c>
      <c r="R503">
        <v>0</v>
      </c>
      <c r="S503">
        <v>0</v>
      </c>
      <c r="W503" t="s">
        <v>1060</v>
      </c>
      <c r="X503">
        <v>0</v>
      </c>
      <c r="Z503">
        <v>0</v>
      </c>
      <c r="AA503">
        <v>0</v>
      </c>
      <c r="AB503">
        <v>0</v>
      </c>
      <c r="AC503">
        <v>0</v>
      </c>
      <c r="AD503" t="s">
        <v>1042</v>
      </c>
      <c r="AE503">
        <v>0</v>
      </c>
      <c r="AF503">
        <v>0</v>
      </c>
      <c r="AH503">
        <v>0</v>
      </c>
      <c r="AJ503">
        <v>0</v>
      </c>
      <c r="AL503">
        <v>145800</v>
      </c>
      <c r="AM503">
        <v>0</v>
      </c>
      <c r="AN503">
        <v>11501001</v>
      </c>
      <c r="AO503">
        <v>0</v>
      </c>
      <c r="AP503">
        <v>1002</v>
      </c>
      <c r="AT503">
        <v>1</v>
      </c>
      <c r="AU503" t="s">
        <v>1059</v>
      </c>
      <c r="AW503" t="s">
        <v>1053</v>
      </c>
      <c r="AX503">
        <v>0</v>
      </c>
      <c r="AY503" s="20">
        <v>43242</v>
      </c>
      <c r="BA503" s="20">
        <v>43242</v>
      </c>
      <c r="BB503" t="s">
        <v>1058</v>
      </c>
      <c r="BD503">
        <v>0</v>
      </c>
      <c r="BF503" t="s">
        <v>1044</v>
      </c>
      <c r="BG503" t="s">
        <v>1042</v>
      </c>
      <c r="BH503">
        <v>0</v>
      </c>
      <c r="BI503">
        <v>36</v>
      </c>
      <c r="BJ503">
        <v>0</v>
      </c>
      <c r="BK503">
        <v>0</v>
      </c>
      <c r="BM503" t="s">
        <v>1042</v>
      </c>
      <c r="BN503">
        <v>0</v>
      </c>
      <c r="BR503" t="s">
        <v>1043</v>
      </c>
      <c r="BS503" t="s">
        <v>1043</v>
      </c>
      <c r="BT503" t="s">
        <v>1043</v>
      </c>
      <c r="BV503">
        <v>1</v>
      </c>
      <c r="BW503">
        <v>2</v>
      </c>
      <c r="CA503">
        <v>0</v>
      </c>
      <c r="CB503" t="s">
        <v>1043</v>
      </c>
      <c r="CE503" t="s">
        <v>1043</v>
      </c>
      <c r="CH503" t="s">
        <v>1043</v>
      </c>
      <c r="CN503" t="s">
        <v>1056</v>
      </c>
      <c r="CO503" t="s">
        <v>1043</v>
      </c>
      <c r="CP503">
        <v>1</v>
      </c>
      <c r="CQ503">
        <v>0</v>
      </c>
      <c r="CS503">
        <v>0</v>
      </c>
      <c r="CT503">
        <v>0</v>
      </c>
      <c r="CU503">
        <v>0</v>
      </c>
      <c r="CW503">
        <v>0</v>
      </c>
      <c r="CX503">
        <v>0</v>
      </c>
      <c r="CY503">
        <v>0</v>
      </c>
      <c r="CZ503">
        <v>0</v>
      </c>
      <c r="DB503">
        <v>0</v>
      </c>
      <c r="DC503" t="s">
        <v>1043</v>
      </c>
      <c r="DF503" t="s">
        <v>1055</v>
      </c>
      <c r="DH503">
        <v>0</v>
      </c>
      <c r="DJ503">
        <v>0</v>
      </c>
      <c r="DK503" t="s">
        <v>1053</v>
      </c>
      <c r="DL503">
        <v>0</v>
      </c>
      <c r="DN503">
        <v>0</v>
      </c>
      <c r="DO503" t="s">
        <v>1042</v>
      </c>
      <c r="DP503">
        <v>0</v>
      </c>
      <c r="DQ503">
        <v>7.6</v>
      </c>
      <c r="DS503">
        <v>0</v>
      </c>
      <c r="DU503">
        <v>1.65</v>
      </c>
      <c r="DW503">
        <v>0</v>
      </c>
      <c r="DX503" t="s">
        <v>1043</v>
      </c>
      <c r="DY503">
        <v>0</v>
      </c>
      <c r="DZ503">
        <v>0</v>
      </c>
      <c r="EA503">
        <v>0</v>
      </c>
      <c r="ED503" t="s">
        <v>1045</v>
      </c>
      <c r="EE503">
        <v>0</v>
      </c>
      <c r="EF503">
        <v>0</v>
      </c>
      <c r="EK503" t="s">
        <v>1054</v>
      </c>
      <c r="EN503" t="s">
        <v>1012</v>
      </c>
      <c r="EQ503" t="s">
        <v>1044</v>
      </c>
      <c r="ES503" t="s">
        <v>1053</v>
      </c>
      <c r="ET503">
        <v>0</v>
      </c>
      <c r="EV503">
        <v>0</v>
      </c>
      <c r="EY503" t="s">
        <v>1052</v>
      </c>
      <c r="EZ503">
        <v>0</v>
      </c>
      <c r="FA503" t="s">
        <v>1043</v>
      </c>
      <c r="FB503">
        <v>0</v>
      </c>
      <c r="FC503">
        <v>0</v>
      </c>
      <c r="FD503" t="s">
        <v>1051</v>
      </c>
      <c r="FE503" t="s">
        <v>1050</v>
      </c>
      <c r="FF503">
        <v>0</v>
      </c>
      <c r="FG503" t="s">
        <v>1050</v>
      </c>
      <c r="FJ503">
        <v>0</v>
      </c>
      <c r="FK503">
        <v>0</v>
      </c>
      <c r="FP503">
        <v>0</v>
      </c>
      <c r="FR503">
        <v>0</v>
      </c>
      <c r="FS503" t="s">
        <v>1043</v>
      </c>
      <c r="FX503" t="s">
        <v>1042</v>
      </c>
      <c r="FZ503" t="s">
        <v>1048</v>
      </c>
      <c r="GA503">
        <v>0</v>
      </c>
      <c r="GB503" t="s">
        <v>1042</v>
      </c>
      <c r="GD503">
        <v>16</v>
      </c>
      <c r="GE503">
        <v>0</v>
      </c>
      <c r="GG503">
        <v>0</v>
      </c>
      <c r="GN503">
        <v>0</v>
      </c>
      <c r="GO503" t="s">
        <v>1049</v>
      </c>
      <c r="GQ503">
        <v>0</v>
      </c>
      <c r="GU503">
        <v>2</v>
      </c>
      <c r="GY503" t="s">
        <v>1045</v>
      </c>
      <c r="HB503">
        <v>0</v>
      </c>
      <c r="HE503">
        <v>10</v>
      </c>
      <c r="HF503">
        <v>15</v>
      </c>
      <c r="HG503">
        <v>0</v>
      </c>
      <c r="HK503" t="s">
        <v>1042</v>
      </c>
      <c r="HL503" t="s">
        <v>1048</v>
      </c>
      <c r="HM503" t="s">
        <v>1047</v>
      </c>
      <c r="HN503">
        <v>0</v>
      </c>
      <c r="HP503">
        <v>0</v>
      </c>
      <c r="HQ503">
        <v>0</v>
      </c>
      <c r="HR503" t="s">
        <v>1042</v>
      </c>
      <c r="HS503" t="s">
        <v>1043</v>
      </c>
      <c r="HT503">
        <v>0</v>
      </c>
      <c r="HU503">
        <v>0</v>
      </c>
      <c r="HW503">
        <v>0</v>
      </c>
      <c r="HX503">
        <v>0</v>
      </c>
      <c r="HY503">
        <v>0</v>
      </c>
      <c r="HZ503" t="s">
        <v>1045</v>
      </c>
      <c r="IA503">
        <v>0</v>
      </c>
      <c r="IB503" t="s">
        <v>1045</v>
      </c>
      <c r="ID503" t="s">
        <v>1045</v>
      </c>
      <c r="IF503">
        <v>0</v>
      </c>
      <c r="IG503" t="s">
        <v>1042</v>
      </c>
      <c r="IH503" t="s">
        <v>1046</v>
      </c>
      <c r="II503" t="s">
        <v>1042</v>
      </c>
      <c r="IR503" t="s">
        <v>1045</v>
      </c>
      <c r="IT503">
        <v>0</v>
      </c>
      <c r="IY503" t="s">
        <v>1044</v>
      </c>
      <c r="IZ503" t="s">
        <v>1043</v>
      </c>
      <c r="JE503">
        <v>0</v>
      </c>
      <c r="JF503">
        <v>0</v>
      </c>
      <c r="JI503" t="s">
        <v>1042</v>
      </c>
      <c r="JJ503">
        <v>0</v>
      </c>
      <c r="JK503">
        <v>0</v>
      </c>
      <c r="JL503">
        <v>0</v>
      </c>
      <c r="JM503">
        <v>0</v>
      </c>
      <c r="JT503">
        <v>0</v>
      </c>
      <c r="JU503" t="s">
        <v>1042</v>
      </c>
      <c r="JW503">
        <v>0</v>
      </c>
      <c r="KA503">
        <v>0</v>
      </c>
      <c r="KF503">
        <v>0</v>
      </c>
      <c r="KG503">
        <v>0</v>
      </c>
      <c r="KH503">
        <v>0</v>
      </c>
      <c r="KI503">
        <v>0</v>
      </c>
      <c r="KS503" t="s">
        <v>1073</v>
      </c>
      <c r="KT503">
        <v>0</v>
      </c>
      <c r="KU503">
        <v>0</v>
      </c>
      <c r="KV503">
        <v>0</v>
      </c>
      <c r="KX503">
        <v>0</v>
      </c>
      <c r="KZ503">
        <v>0</v>
      </c>
      <c r="LF503">
        <v>0</v>
      </c>
      <c r="LH503">
        <v>0</v>
      </c>
      <c r="LI503">
        <v>0</v>
      </c>
    </row>
    <row r="504" spans="1:321" x14ac:dyDescent="0.35">
      <c r="A504">
        <v>1</v>
      </c>
      <c r="B504">
        <v>1298</v>
      </c>
      <c r="C504" t="s">
        <v>673</v>
      </c>
      <c r="D504" t="s">
        <v>1061</v>
      </c>
      <c r="E504" t="s">
        <v>85</v>
      </c>
      <c r="F504">
        <v>1</v>
      </c>
      <c r="G504">
        <v>240</v>
      </c>
      <c r="H504">
        <v>0</v>
      </c>
      <c r="I504" t="s">
        <v>1017</v>
      </c>
      <c r="L504">
        <v>0</v>
      </c>
      <c r="M504">
        <v>9.75</v>
      </c>
      <c r="N504">
        <v>0</v>
      </c>
      <c r="P504">
        <v>13</v>
      </c>
      <c r="Q504">
        <v>511</v>
      </c>
      <c r="R504">
        <v>0</v>
      </c>
      <c r="S504">
        <v>0</v>
      </c>
      <c r="W504" t="s">
        <v>1060</v>
      </c>
      <c r="X504">
        <v>0</v>
      </c>
      <c r="Z504">
        <v>1</v>
      </c>
      <c r="AA504">
        <v>1774.0407</v>
      </c>
      <c r="AB504">
        <v>6</v>
      </c>
      <c r="AC504">
        <v>68.97</v>
      </c>
      <c r="AD504" t="s">
        <v>1042</v>
      </c>
      <c r="AE504">
        <v>0</v>
      </c>
      <c r="AF504">
        <v>5.1688000000000001</v>
      </c>
      <c r="AH504">
        <v>0</v>
      </c>
      <c r="AJ504">
        <v>0</v>
      </c>
      <c r="AL504">
        <v>145800</v>
      </c>
      <c r="AM504">
        <v>160</v>
      </c>
      <c r="AN504">
        <v>11501001</v>
      </c>
      <c r="AO504">
        <v>0</v>
      </c>
      <c r="AP504">
        <v>1002</v>
      </c>
      <c r="AT504">
        <v>1</v>
      </c>
      <c r="AU504" t="s">
        <v>1059</v>
      </c>
      <c r="AW504" t="s">
        <v>1053</v>
      </c>
      <c r="AX504">
        <v>5</v>
      </c>
      <c r="AY504" s="20">
        <v>43242</v>
      </c>
      <c r="BA504" s="20">
        <v>43991</v>
      </c>
      <c r="BB504" t="s">
        <v>1058</v>
      </c>
      <c r="BD504">
        <v>0</v>
      </c>
      <c r="BF504" t="s">
        <v>1044</v>
      </c>
      <c r="BG504" t="s">
        <v>1042</v>
      </c>
      <c r="BH504">
        <v>0</v>
      </c>
      <c r="BI504">
        <v>36</v>
      </c>
      <c r="BJ504">
        <v>0</v>
      </c>
      <c r="BK504">
        <v>0</v>
      </c>
      <c r="BM504" s="20">
        <v>43992</v>
      </c>
      <c r="BN504">
        <v>0</v>
      </c>
      <c r="BO504">
        <v>7897801320436</v>
      </c>
      <c r="BR504" t="s">
        <v>1043</v>
      </c>
      <c r="BS504" t="s">
        <v>1043</v>
      </c>
      <c r="BT504" t="s">
        <v>1043</v>
      </c>
      <c r="BV504">
        <v>1</v>
      </c>
      <c r="BW504">
        <v>2</v>
      </c>
      <c r="BY504">
        <v>80</v>
      </c>
      <c r="CA504">
        <v>0</v>
      </c>
      <c r="CB504" t="s">
        <v>1043</v>
      </c>
      <c r="CE504" t="s">
        <v>1043</v>
      </c>
      <c r="CH504" t="s">
        <v>1043</v>
      </c>
      <c r="CN504" t="s">
        <v>1056</v>
      </c>
      <c r="CO504" t="s">
        <v>1043</v>
      </c>
      <c r="CP504">
        <v>1</v>
      </c>
      <c r="CQ504">
        <v>0</v>
      </c>
      <c r="CS504">
        <v>0</v>
      </c>
      <c r="CT504">
        <v>0</v>
      </c>
      <c r="CU504">
        <v>0</v>
      </c>
      <c r="CW504">
        <v>0</v>
      </c>
      <c r="CX504">
        <v>0</v>
      </c>
      <c r="CY504">
        <v>0</v>
      </c>
      <c r="CZ504">
        <v>0</v>
      </c>
      <c r="DA504">
        <v>3</v>
      </c>
      <c r="DB504">
        <v>0</v>
      </c>
      <c r="DC504" t="s">
        <v>1043</v>
      </c>
      <c r="DF504" t="s">
        <v>1055</v>
      </c>
      <c r="DH504">
        <v>0</v>
      </c>
      <c r="DJ504">
        <v>0</v>
      </c>
      <c r="DK504" t="s">
        <v>1053</v>
      </c>
      <c r="DL504">
        <v>0</v>
      </c>
      <c r="DN504">
        <v>0</v>
      </c>
      <c r="DO504" t="s">
        <v>1042</v>
      </c>
      <c r="DP504">
        <v>0</v>
      </c>
      <c r="DQ504">
        <v>7.6</v>
      </c>
      <c r="DS504">
        <v>0</v>
      </c>
      <c r="DU504">
        <v>1.65</v>
      </c>
      <c r="DW504">
        <v>0</v>
      </c>
      <c r="DX504" t="s">
        <v>1043</v>
      </c>
      <c r="DY504">
        <v>0</v>
      </c>
      <c r="DZ504">
        <v>0</v>
      </c>
      <c r="EA504">
        <v>0</v>
      </c>
      <c r="EB504">
        <v>17897801320433</v>
      </c>
      <c r="ED504" t="s">
        <v>1045</v>
      </c>
      <c r="EE504">
        <v>0</v>
      </c>
      <c r="EF504">
        <v>0</v>
      </c>
      <c r="EK504" t="s">
        <v>1054</v>
      </c>
      <c r="EL504">
        <v>57897801320431</v>
      </c>
      <c r="EN504" t="s">
        <v>1012</v>
      </c>
      <c r="EQ504" t="s">
        <v>1044</v>
      </c>
      <c r="ES504" t="s">
        <v>1053</v>
      </c>
      <c r="ET504">
        <v>0</v>
      </c>
      <c r="EV504">
        <v>0</v>
      </c>
      <c r="EY504" t="s">
        <v>1052</v>
      </c>
      <c r="EZ504">
        <v>0</v>
      </c>
      <c r="FA504" t="s">
        <v>1043</v>
      </c>
      <c r="FB504">
        <v>0</v>
      </c>
      <c r="FC504">
        <v>0</v>
      </c>
      <c r="FD504" t="s">
        <v>1051</v>
      </c>
      <c r="FE504" t="s">
        <v>1050</v>
      </c>
      <c r="FF504">
        <v>0</v>
      </c>
      <c r="FG504" t="s">
        <v>1050</v>
      </c>
      <c r="FH504">
        <v>27897801320430</v>
      </c>
      <c r="FJ504">
        <v>0</v>
      </c>
      <c r="FK504">
        <v>0</v>
      </c>
      <c r="FP504">
        <v>0</v>
      </c>
      <c r="FR504">
        <v>0</v>
      </c>
      <c r="FS504" t="s">
        <v>1043</v>
      </c>
      <c r="FX504" t="s">
        <v>1042</v>
      </c>
      <c r="FZ504" t="s">
        <v>1048</v>
      </c>
      <c r="GA504">
        <v>0</v>
      </c>
      <c r="GB504" t="s">
        <v>1042</v>
      </c>
      <c r="GD504">
        <v>16</v>
      </c>
      <c r="GE504">
        <v>0</v>
      </c>
      <c r="GG504">
        <v>0</v>
      </c>
      <c r="GN504">
        <v>0</v>
      </c>
      <c r="GO504" t="s">
        <v>1049</v>
      </c>
      <c r="GQ504">
        <v>0</v>
      </c>
      <c r="GU504">
        <v>2</v>
      </c>
      <c r="GY504" t="s">
        <v>1045</v>
      </c>
      <c r="HB504">
        <v>0</v>
      </c>
      <c r="HE504">
        <v>10</v>
      </c>
      <c r="HF504">
        <v>15</v>
      </c>
      <c r="HG504">
        <v>4.9959999999999997E-2</v>
      </c>
      <c r="HK504" t="s">
        <v>1042</v>
      </c>
      <c r="HL504" t="s">
        <v>1048</v>
      </c>
      <c r="HM504" t="s">
        <v>1047</v>
      </c>
      <c r="HN504">
        <v>0</v>
      </c>
      <c r="HO504">
        <v>30</v>
      </c>
      <c r="HP504">
        <v>1.9345000000000001</v>
      </c>
      <c r="HQ504">
        <v>0</v>
      </c>
      <c r="HR504" t="s">
        <v>1042</v>
      </c>
      <c r="HS504" t="s">
        <v>1043</v>
      </c>
      <c r="HT504">
        <v>0</v>
      </c>
      <c r="HU504">
        <v>0</v>
      </c>
      <c r="HW504">
        <v>0</v>
      </c>
      <c r="HX504">
        <v>14</v>
      </c>
      <c r="HY504">
        <v>0</v>
      </c>
      <c r="HZ504" t="s">
        <v>1045</v>
      </c>
      <c r="IA504">
        <v>0</v>
      </c>
      <c r="IB504" t="s">
        <v>1045</v>
      </c>
      <c r="ID504" t="s">
        <v>1045</v>
      </c>
      <c r="IF504">
        <v>27</v>
      </c>
      <c r="IG504" s="20">
        <v>44007</v>
      </c>
      <c r="IH504" t="s">
        <v>1046</v>
      </c>
      <c r="II504" t="s">
        <v>1042</v>
      </c>
      <c r="IR504" t="s">
        <v>1045</v>
      </c>
      <c r="IT504">
        <v>0</v>
      </c>
      <c r="IY504" t="s">
        <v>1044</v>
      </c>
      <c r="IZ504" t="s">
        <v>1043</v>
      </c>
      <c r="JE504">
        <v>0</v>
      </c>
      <c r="JF504">
        <v>0</v>
      </c>
      <c r="JI504" t="s">
        <v>1042</v>
      </c>
      <c r="JJ504">
        <v>0</v>
      </c>
      <c r="JK504">
        <v>0</v>
      </c>
      <c r="JL504">
        <v>0</v>
      </c>
      <c r="JM504">
        <v>0</v>
      </c>
      <c r="JT504">
        <v>0</v>
      </c>
      <c r="JU504" t="s">
        <v>1042</v>
      </c>
      <c r="JW504">
        <v>0</v>
      </c>
      <c r="KA504">
        <v>0</v>
      </c>
      <c r="KF504">
        <v>0</v>
      </c>
      <c r="KG504">
        <v>0</v>
      </c>
      <c r="KH504">
        <v>0</v>
      </c>
      <c r="KI504">
        <v>0</v>
      </c>
      <c r="KS504" t="s">
        <v>1073</v>
      </c>
      <c r="KT504">
        <v>0</v>
      </c>
      <c r="KU504">
        <v>0</v>
      </c>
      <c r="KV504">
        <v>0</v>
      </c>
      <c r="KX504">
        <v>0</v>
      </c>
      <c r="KZ504">
        <v>0</v>
      </c>
      <c r="LF504">
        <v>0</v>
      </c>
      <c r="LH504">
        <v>6720</v>
      </c>
      <c r="LI504">
        <v>0</v>
      </c>
    </row>
    <row r="505" spans="1:321" x14ac:dyDescent="0.35">
      <c r="A505">
        <v>1</v>
      </c>
      <c r="B505">
        <v>1299</v>
      </c>
      <c r="C505" t="s">
        <v>1190</v>
      </c>
      <c r="D505" t="s">
        <v>1061</v>
      </c>
      <c r="E505" t="s">
        <v>85</v>
      </c>
      <c r="F505">
        <v>1</v>
      </c>
      <c r="G505">
        <v>8890</v>
      </c>
      <c r="H505">
        <v>0</v>
      </c>
      <c r="I505" t="s">
        <v>994</v>
      </c>
      <c r="L505">
        <v>0</v>
      </c>
      <c r="M505">
        <v>0</v>
      </c>
      <c r="N505">
        <v>0</v>
      </c>
      <c r="P505">
        <v>13</v>
      </c>
      <c r="Q505">
        <v>516</v>
      </c>
      <c r="R505">
        <v>0</v>
      </c>
      <c r="S505">
        <v>0</v>
      </c>
      <c r="W505" t="s">
        <v>1060</v>
      </c>
      <c r="X505">
        <v>0</v>
      </c>
      <c r="Z505">
        <v>0</v>
      </c>
      <c r="AA505">
        <v>0</v>
      </c>
      <c r="AB505">
        <v>0</v>
      </c>
      <c r="AC505">
        <v>0</v>
      </c>
      <c r="AD505" t="s">
        <v>1042</v>
      </c>
      <c r="AE505">
        <v>0</v>
      </c>
      <c r="AF505">
        <v>0</v>
      </c>
      <c r="AH505">
        <v>0</v>
      </c>
      <c r="AJ505">
        <v>0</v>
      </c>
      <c r="AL505">
        <v>145800</v>
      </c>
      <c r="AM505">
        <v>0</v>
      </c>
      <c r="AN505">
        <v>11501001</v>
      </c>
      <c r="AO505">
        <v>0</v>
      </c>
      <c r="AP505">
        <v>1002</v>
      </c>
      <c r="AT505">
        <v>1</v>
      </c>
      <c r="AU505" t="s">
        <v>1059</v>
      </c>
      <c r="AW505" t="s">
        <v>1053</v>
      </c>
      <c r="AX505">
        <v>0</v>
      </c>
      <c r="AY505" s="20">
        <v>43242</v>
      </c>
      <c r="BA505" s="20">
        <v>43242</v>
      </c>
      <c r="BB505" t="s">
        <v>1058</v>
      </c>
      <c r="BD505">
        <v>0</v>
      </c>
      <c r="BF505" t="s">
        <v>1044</v>
      </c>
      <c r="BG505" t="s">
        <v>1042</v>
      </c>
      <c r="BH505">
        <v>0</v>
      </c>
      <c r="BI505">
        <v>21</v>
      </c>
      <c r="BJ505">
        <v>0</v>
      </c>
      <c r="BK505">
        <v>0</v>
      </c>
      <c r="BM505" t="s">
        <v>1042</v>
      </c>
      <c r="BN505">
        <v>0</v>
      </c>
      <c r="BO505">
        <v>7897801321488</v>
      </c>
      <c r="BR505" t="s">
        <v>1043</v>
      </c>
      <c r="BS505" t="s">
        <v>1043</v>
      </c>
      <c r="BT505" t="s">
        <v>1043</v>
      </c>
      <c r="BV505">
        <v>1</v>
      </c>
      <c r="BW505">
        <v>2</v>
      </c>
      <c r="BY505">
        <v>80</v>
      </c>
      <c r="CA505">
        <v>0</v>
      </c>
      <c r="CB505" t="s">
        <v>1057</v>
      </c>
      <c r="CE505" t="s">
        <v>1043</v>
      </c>
      <c r="CH505" t="s">
        <v>1043</v>
      </c>
      <c r="CN505" t="s">
        <v>1056</v>
      </c>
      <c r="CO505" t="s">
        <v>1043</v>
      </c>
      <c r="CP505">
        <v>1</v>
      </c>
      <c r="CQ505">
        <v>0</v>
      </c>
      <c r="CS505">
        <v>0</v>
      </c>
      <c r="CT505">
        <v>0</v>
      </c>
      <c r="CU505">
        <v>0</v>
      </c>
      <c r="CW505">
        <v>0</v>
      </c>
      <c r="CX505">
        <v>0</v>
      </c>
      <c r="CY505">
        <v>0</v>
      </c>
      <c r="CZ505">
        <v>0</v>
      </c>
      <c r="DB505">
        <v>0</v>
      </c>
      <c r="DC505" t="s">
        <v>1043</v>
      </c>
      <c r="DF505" t="s">
        <v>1055</v>
      </c>
      <c r="DH505">
        <v>0</v>
      </c>
      <c r="DJ505">
        <v>0</v>
      </c>
      <c r="DK505" t="s">
        <v>1053</v>
      </c>
      <c r="DL505">
        <v>0</v>
      </c>
      <c r="DN505">
        <v>0</v>
      </c>
      <c r="DO505" t="s">
        <v>1042</v>
      </c>
      <c r="DP505">
        <v>0</v>
      </c>
      <c r="DQ505">
        <v>7.6</v>
      </c>
      <c r="DS505">
        <v>0</v>
      </c>
      <c r="DU505">
        <v>1.65</v>
      </c>
      <c r="DW505">
        <v>0</v>
      </c>
      <c r="DX505" t="s">
        <v>1043</v>
      </c>
      <c r="DY505">
        <v>0</v>
      </c>
      <c r="DZ505">
        <v>0</v>
      </c>
      <c r="EA505">
        <v>0</v>
      </c>
      <c r="EB505">
        <v>17897801321485</v>
      </c>
      <c r="ED505" t="s">
        <v>1045</v>
      </c>
      <c r="EE505">
        <v>0</v>
      </c>
      <c r="EF505">
        <v>0</v>
      </c>
      <c r="EK505" t="s">
        <v>1054</v>
      </c>
      <c r="EL505">
        <v>57897801321483</v>
      </c>
      <c r="EN505" t="s">
        <v>1012</v>
      </c>
      <c r="EQ505" t="s">
        <v>1044</v>
      </c>
      <c r="ES505" t="s">
        <v>1053</v>
      </c>
      <c r="ET505">
        <v>0</v>
      </c>
      <c r="EV505">
        <v>0</v>
      </c>
      <c r="EY505" t="s">
        <v>1052</v>
      </c>
      <c r="EZ505">
        <v>0</v>
      </c>
      <c r="FA505" t="s">
        <v>1043</v>
      </c>
      <c r="FB505">
        <v>0</v>
      </c>
      <c r="FC505">
        <v>0</v>
      </c>
      <c r="FD505" t="s">
        <v>1051</v>
      </c>
      <c r="FE505" t="s">
        <v>1050</v>
      </c>
      <c r="FF505">
        <v>0</v>
      </c>
      <c r="FG505" t="s">
        <v>1050</v>
      </c>
      <c r="FH505">
        <v>27897801321482</v>
      </c>
      <c r="FJ505">
        <v>0</v>
      </c>
      <c r="FK505">
        <v>0</v>
      </c>
      <c r="FP505">
        <v>0</v>
      </c>
      <c r="FR505">
        <v>0</v>
      </c>
      <c r="FS505" t="s">
        <v>1043</v>
      </c>
      <c r="FX505" t="s">
        <v>1042</v>
      </c>
      <c r="FZ505" t="s">
        <v>1048</v>
      </c>
      <c r="GA505">
        <v>0</v>
      </c>
      <c r="GB505" t="s">
        <v>1042</v>
      </c>
      <c r="GD505">
        <v>16</v>
      </c>
      <c r="GE505">
        <v>0</v>
      </c>
      <c r="GG505">
        <v>0</v>
      </c>
      <c r="GN505">
        <v>0</v>
      </c>
      <c r="GO505" t="s">
        <v>1049</v>
      </c>
      <c r="GQ505">
        <v>0</v>
      </c>
      <c r="GU505">
        <v>2</v>
      </c>
      <c r="GY505" t="s">
        <v>1045</v>
      </c>
      <c r="HB505">
        <v>0</v>
      </c>
      <c r="HE505">
        <v>10</v>
      </c>
      <c r="HF505">
        <v>15</v>
      </c>
      <c r="HG505">
        <v>0</v>
      </c>
      <c r="HK505" t="s">
        <v>1042</v>
      </c>
      <c r="HL505" t="s">
        <v>1048</v>
      </c>
      <c r="HM505" t="s">
        <v>1047</v>
      </c>
      <c r="HN505">
        <v>0</v>
      </c>
      <c r="HP505">
        <v>0</v>
      </c>
      <c r="HQ505">
        <v>0</v>
      </c>
      <c r="HR505" t="s">
        <v>1042</v>
      </c>
      <c r="HS505" t="s">
        <v>1043</v>
      </c>
      <c r="HT505">
        <v>0</v>
      </c>
      <c r="HU505">
        <v>0</v>
      </c>
      <c r="HW505">
        <v>0</v>
      </c>
      <c r="HX505">
        <v>0</v>
      </c>
      <c r="HY505">
        <v>0</v>
      </c>
      <c r="HZ505" t="s">
        <v>1045</v>
      </c>
      <c r="IA505">
        <v>0</v>
      </c>
      <c r="IB505" t="s">
        <v>1045</v>
      </c>
      <c r="ID505" t="s">
        <v>1045</v>
      </c>
      <c r="IF505">
        <v>0</v>
      </c>
      <c r="IG505" t="s">
        <v>1042</v>
      </c>
      <c r="IH505" t="s">
        <v>1046</v>
      </c>
      <c r="II505" t="s">
        <v>1042</v>
      </c>
      <c r="IR505" t="s">
        <v>1045</v>
      </c>
      <c r="IT505">
        <v>0</v>
      </c>
      <c r="IY505" t="s">
        <v>1044</v>
      </c>
      <c r="IZ505" t="s">
        <v>1043</v>
      </c>
      <c r="JE505">
        <v>0</v>
      </c>
      <c r="JF505">
        <v>0</v>
      </c>
      <c r="JI505" t="s">
        <v>1042</v>
      </c>
      <c r="JJ505">
        <v>0</v>
      </c>
      <c r="JK505">
        <v>0</v>
      </c>
      <c r="JL505">
        <v>0</v>
      </c>
      <c r="JM505">
        <v>0</v>
      </c>
      <c r="JT505">
        <v>0</v>
      </c>
      <c r="JU505" t="s">
        <v>1042</v>
      </c>
      <c r="JW505">
        <v>0</v>
      </c>
      <c r="KA505">
        <v>0</v>
      </c>
      <c r="KF505">
        <v>0</v>
      </c>
      <c r="KG505">
        <v>0</v>
      </c>
      <c r="KH505">
        <v>0</v>
      </c>
      <c r="KI505">
        <v>0</v>
      </c>
      <c r="KS505" t="s">
        <v>1041</v>
      </c>
      <c r="KT505">
        <v>0</v>
      </c>
      <c r="KU505">
        <v>0</v>
      </c>
      <c r="KV505">
        <v>0</v>
      </c>
      <c r="KX505">
        <v>0</v>
      </c>
      <c r="KZ505">
        <v>0</v>
      </c>
      <c r="LF505">
        <v>0</v>
      </c>
      <c r="LH505">
        <v>0</v>
      </c>
      <c r="LI505">
        <v>0</v>
      </c>
    </row>
    <row r="506" spans="1:321" x14ac:dyDescent="0.35">
      <c r="A506">
        <v>1</v>
      </c>
      <c r="B506">
        <v>129934</v>
      </c>
      <c r="C506" t="s">
        <v>1189</v>
      </c>
      <c r="D506" t="s">
        <v>1076</v>
      </c>
      <c r="E506" t="s">
        <v>1165</v>
      </c>
      <c r="F506">
        <v>80</v>
      </c>
      <c r="G506">
        <v>48</v>
      </c>
      <c r="H506">
        <v>0</v>
      </c>
      <c r="I506" t="s">
        <v>1188</v>
      </c>
      <c r="M506">
        <v>0</v>
      </c>
      <c r="N506">
        <v>0</v>
      </c>
      <c r="R506">
        <v>0</v>
      </c>
      <c r="S506">
        <v>0</v>
      </c>
      <c r="W506" t="s">
        <v>1060</v>
      </c>
      <c r="X506">
        <v>0</v>
      </c>
      <c r="Z506">
        <v>1</v>
      </c>
      <c r="AA506">
        <v>0</v>
      </c>
      <c r="AB506">
        <v>0</v>
      </c>
      <c r="AC506">
        <v>1.1975</v>
      </c>
      <c r="AD506" s="20">
        <v>44537</v>
      </c>
      <c r="AE506">
        <v>1.2</v>
      </c>
      <c r="AF506">
        <v>0</v>
      </c>
      <c r="AH506">
        <v>0</v>
      </c>
      <c r="AJ506">
        <v>0</v>
      </c>
      <c r="AL506">
        <v>0</v>
      </c>
      <c r="AM506">
        <v>0</v>
      </c>
      <c r="AN506">
        <v>437721</v>
      </c>
      <c r="AO506">
        <v>0</v>
      </c>
      <c r="AP506">
        <v>2720</v>
      </c>
      <c r="AT506">
        <v>0</v>
      </c>
      <c r="AW506" t="s">
        <v>1053</v>
      </c>
      <c r="AX506">
        <v>0</v>
      </c>
      <c r="AY506" s="20">
        <v>44536</v>
      </c>
      <c r="BA506" s="20">
        <v>44536</v>
      </c>
      <c r="BB506" t="s">
        <v>1058</v>
      </c>
      <c r="BD506">
        <v>0</v>
      </c>
      <c r="BF506" t="s">
        <v>1043</v>
      </c>
      <c r="BG506" t="s">
        <v>1042</v>
      </c>
      <c r="BH506">
        <v>0</v>
      </c>
      <c r="BI506">
        <v>1</v>
      </c>
      <c r="BJ506">
        <v>0</v>
      </c>
      <c r="BK506">
        <v>0</v>
      </c>
      <c r="BM506" t="s">
        <v>1042</v>
      </c>
      <c r="BN506">
        <v>0</v>
      </c>
      <c r="BS506" t="s">
        <v>1043</v>
      </c>
      <c r="BT506" t="s">
        <v>1043</v>
      </c>
      <c r="BW506">
        <v>55</v>
      </c>
      <c r="CA506">
        <v>0</v>
      </c>
      <c r="CB506" t="s">
        <v>1057</v>
      </c>
      <c r="CE506" t="s">
        <v>1043</v>
      </c>
      <c r="CH506" t="s">
        <v>1043</v>
      </c>
      <c r="CN506" t="s">
        <v>1074</v>
      </c>
      <c r="CO506" t="s">
        <v>1043</v>
      </c>
      <c r="CP506">
        <v>1</v>
      </c>
      <c r="CQ506">
        <v>0</v>
      </c>
      <c r="CS506">
        <v>0</v>
      </c>
      <c r="CT506">
        <v>0</v>
      </c>
      <c r="CU506">
        <v>0</v>
      </c>
      <c r="CV506" t="s">
        <v>1045</v>
      </c>
      <c r="CW506">
        <v>0</v>
      </c>
      <c r="CX506">
        <v>0</v>
      </c>
      <c r="CY506">
        <v>0</v>
      </c>
      <c r="CZ506">
        <v>0</v>
      </c>
      <c r="DB506">
        <v>0</v>
      </c>
      <c r="DC506" t="s">
        <v>1043</v>
      </c>
      <c r="DF506" t="s">
        <v>1055</v>
      </c>
      <c r="DH506">
        <v>0</v>
      </c>
      <c r="DJ506">
        <v>0</v>
      </c>
      <c r="DK506" t="s">
        <v>1053</v>
      </c>
      <c r="DL506">
        <v>0</v>
      </c>
      <c r="DN506">
        <v>0</v>
      </c>
      <c r="DO506" t="s">
        <v>1042</v>
      </c>
      <c r="DP506">
        <v>0</v>
      </c>
      <c r="DQ506">
        <v>0</v>
      </c>
      <c r="DS506">
        <v>0</v>
      </c>
      <c r="DU506">
        <v>0</v>
      </c>
      <c r="DW506">
        <v>0</v>
      </c>
      <c r="DX506" t="s">
        <v>1043</v>
      </c>
      <c r="DY506">
        <v>0</v>
      </c>
      <c r="DZ506">
        <v>0</v>
      </c>
      <c r="EA506">
        <v>0</v>
      </c>
      <c r="ED506" t="s">
        <v>1045</v>
      </c>
      <c r="EE506">
        <v>0</v>
      </c>
      <c r="EF506">
        <v>0</v>
      </c>
      <c r="EQ506" t="s">
        <v>1044</v>
      </c>
      <c r="ES506" t="s">
        <v>1053</v>
      </c>
      <c r="ET506">
        <v>0</v>
      </c>
      <c r="EV506">
        <v>0</v>
      </c>
      <c r="EY506" t="s">
        <v>1052</v>
      </c>
      <c r="EZ506">
        <v>0</v>
      </c>
      <c r="FA506" t="s">
        <v>1043</v>
      </c>
      <c r="FB506">
        <v>0</v>
      </c>
      <c r="FC506">
        <v>0</v>
      </c>
      <c r="FE506" t="s">
        <v>1050</v>
      </c>
      <c r="FF506">
        <v>0</v>
      </c>
      <c r="FG506" t="s">
        <v>1050</v>
      </c>
      <c r="FJ506">
        <v>0</v>
      </c>
      <c r="FK506">
        <v>0</v>
      </c>
      <c r="FP506">
        <v>0</v>
      </c>
      <c r="FQ506" t="s">
        <v>1044</v>
      </c>
      <c r="FR506">
        <v>0</v>
      </c>
      <c r="FS506" t="s">
        <v>1043</v>
      </c>
      <c r="FX506" t="s">
        <v>1042</v>
      </c>
      <c r="FZ506" t="s">
        <v>1048</v>
      </c>
      <c r="GA506">
        <v>0</v>
      </c>
      <c r="GB506" t="s">
        <v>1042</v>
      </c>
      <c r="GE506">
        <v>0</v>
      </c>
      <c r="GG506">
        <v>0</v>
      </c>
      <c r="GN506">
        <v>0</v>
      </c>
      <c r="GO506" t="s">
        <v>1063</v>
      </c>
      <c r="GQ506">
        <v>0</v>
      </c>
      <c r="GU506">
        <v>0</v>
      </c>
      <c r="GY506" t="s">
        <v>1045</v>
      </c>
      <c r="HB506">
        <v>0</v>
      </c>
      <c r="HE506">
        <v>0</v>
      </c>
      <c r="HF506">
        <v>0</v>
      </c>
      <c r="HG506">
        <v>0</v>
      </c>
      <c r="HK506" t="s">
        <v>1042</v>
      </c>
      <c r="HM506" t="s">
        <v>1047</v>
      </c>
      <c r="HN506">
        <v>0</v>
      </c>
      <c r="HP506">
        <v>0</v>
      </c>
      <c r="HQ506">
        <v>0</v>
      </c>
      <c r="HR506" t="s">
        <v>1042</v>
      </c>
      <c r="HS506" t="s">
        <v>1043</v>
      </c>
      <c r="HT506">
        <v>0</v>
      </c>
      <c r="HU506">
        <v>0</v>
      </c>
      <c r="HV506" t="s">
        <v>1088</v>
      </c>
      <c r="HW506">
        <v>0</v>
      </c>
      <c r="HX506">
        <v>0</v>
      </c>
      <c r="HY506">
        <v>1</v>
      </c>
      <c r="HZ506" t="s">
        <v>1045</v>
      </c>
      <c r="IA506">
        <v>1.2</v>
      </c>
      <c r="IB506" t="s">
        <v>1045</v>
      </c>
      <c r="ID506" t="s">
        <v>1045</v>
      </c>
      <c r="IF506">
        <v>0</v>
      </c>
      <c r="IG506" t="s">
        <v>1042</v>
      </c>
      <c r="II506" t="s">
        <v>1042</v>
      </c>
      <c r="IR506" t="s">
        <v>1045</v>
      </c>
      <c r="IT506">
        <v>0</v>
      </c>
      <c r="IY506" t="s">
        <v>1044</v>
      </c>
      <c r="IZ506" t="s">
        <v>1043</v>
      </c>
      <c r="JA506" t="s">
        <v>1043</v>
      </c>
      <c r="JC506" t="s">
        <v>1043</v>
      </c>
      <c r="JE506">
        <v>0</v>
      </c>
      <c r="JF506">
        <v>0</v>
      </c>
      <c r="JI506" t="s">
        <v>1042</v>
      </c>
      <c r="JJ506">
        <v>0</v>
      </c>
      <c r="JK506">
        <v>0</v>
      </c>
      <c r="JL506">
        <v>0</v>
      </c>
      <c r="JM506">
        <v>0</v>
      </c>
      <c r="JQ506" t="s">
        <v>1043</v>
      </c>
      <c r="JT506">
        <v>0</v>
      </c>
      <c r="JU506" t="s">
        <v>1042</v>
      </c>
      <c r="JW506">
        <v>0</v>
      </c>
      <c r="KA506">
        <v>0</v>
      </c>
      <c r="KF506">
        <v>0</v>
      </c>
      <c r="KG506">
        <v>0</v>
      </c>
      <c r="KH506">
        <v>0</v>
      </c>
      <c r="KI506">
        <v>0</v>
      </c>
      <c r="KJ506" t="s">
        <v>1044</v>
      </c>
      <c r="KS506" t="s">
        <v>1073</v>
      </c>
      <c r="KT506">
        <v>0</v>
      </c>
      <c r="KU506">
        <v>0</v>
      </c>
      <c r="KV506">
        <v>0</v>
      </c>
      <c r="KX506">
        <v>0</v>
      </c>
      <c r="KY506" t="s">
        <v>1045</v>
      </c>
      <c r="KZ506">
        <v>0</v>
      </c>
      <c r="LF506">
        <v>0</v>
      </c>
      <c r="LH506">
        <v>0</v>
      </c>
      <c r="LI506">
        <v>0</v>
      </c>
    </row>
    <row r="507" spans="1:321" x14ac:dyDescent="0.35">
      <c r="A507">
        <v>1</v>
      </c>
      <c r="B507">
        <v>1300</v>
      </c>
      <c r="C507" t="s">
        <v>674</v>
      </c>
      <c r="D507" t="s">
        <v>1089</v>
      </c>
      <c r="E507" t="s">
        <v>164</v>
      </c>
      <c r="F507">
        <v>1</v>
      </c>
      <c r="G507">
        <v>950</v>
      </c>
      <c r="H507">
        <v>0</v>
      </c>
      <c r="I507" t="s">
        <v>1018</v>
      </c>
      <c r="L507">
        <v>0</v>
      </c>
      <c r="M507">
        <v>11.25</v>
      </c>
      <c r="N507">
        <v>0</v>
      </c>
      <c r="P507">
        <v>8</v>
      </c>
      <c r="Q507">
        <v>901</v>
      </c>
      <c r="R507">
        <v>0</v>
      </c>
      <c r="S507">
        <v>0</v>
      </c>
      <c r="W507" t="s">
        <v>1060</v>
      </c>
      <c r="X507">
        <v>0</v>
      </c>
      <c r="Z507">
        <v>10</v>
      </c>
      <c r="AA507">
        <v>9.657</v>
      </c>
      <c r="AB507">
        <v>26196</v>
      </c>
      <c r="AC507">
        <v>0.61109999999999998</v>
      </c>
      <c r="AD507" s="20">
        <v>44686</v>
      </c>
      <c r="AE507">
        <v>0.61068</v>
      </c>
      <c r="AF507">
        <v>2.1499999999999998E-2</v>
      </c>
      <c r="AH507">
        <v>21802</v>
      </c>
      <c r="AJ507">
        <v>60</v>
      </c>
      <c r="AK507" t="s">
        <v>1154</v>
      </c>
      <c r="AL507">
        <v>16000</v>
      </c>
      <c r="AM507">
        <v>0</v>
      </c>
      <c r="AN507">
        <v>11501008</v>
      </c>
      <c r="AO507">
        <v>0</v>
      </c>
      <c r="AP507">
        <v>1050</v>
      </c>
      <c r="AT507">
        <v>0</v>
      </c>
      <c r="AU507" t="s">
        <v>1059</v>
      </c>
      <c r="AV507" t="s">
        <v>1043</v>
      </c>
      <c r="AW507" t="s">
        <v>1053</v>
      </c>
      <c r="AX507">
        <v>1</v>
      </c>
      <c r="AY507" s="20">
        <v>44182</v>
      </c>
      <c r="BA507" s="20">
        <v>36231</v>
      </c>
      <c r="BB507" t="s">
        <v>1058</v>
      </c>
      <c r="BC507" t="s">
        <v>1043</v>
      </c>
      <c r="BD507">
        <v>0</v>
      </c>
      <c r="BF507" t="s">
        <v>1043</v>
      </c>
      <c r="BG507" s="20">
        <v>41276</v>
      </c>
      <c r="BH507">
        <v>0</v>
      </c>
      <c r="BI507">
        <v>26</v>
      </c>
      <c r="BJ507">
        <v>0</v>
      </c>
      <c r="BK507">
        <v>0</v>
      </c>
      <c r="BM507" s="20">
        <v>36595</v>
      </c>
      <c r="BN507">
        <v>0</v>
      </c>
      <c r="BO507">
        <v>7897801300957</v>
      </c>
      <c r="BR507" t="s">
        <v>1043</v>
      </c>
      <c r="BS507" t="s">
        <v>1043</v>
      </c>
      <c r="BT507" t="s">
        <v>1043</v>
      </c>
      <c r="BU507">
        <v>459</v>
      </c>
      <c r="BW507">
        <v>4</v>
      </c>
      <c r="BX507">
        <v>457</v>
      </c>
      <c r="BY507">
        <v>61</v>
      </c>
      <c r="BZ507">
        <v>458</v>
      </c>
      <c r="CA507">
        <v>0</v>
      </c>
      <c r="CB507" t="s">
        <v>1043</v>
      </c>
      <c r="CE507" t="s">
        <v>1043</v>
      </c>
      <c r="CH507" t="s">
        <v>1043</v>
      </c>
      <c r="CI507" t="s">
        <v>1187</v>
      </c>
      <c r="CK507" t="s">
        <v>1152</v>
      </c>
      <c r="CN507" t="s">
        <v>1056</v>
      </c>
      <c r="CP507">
        <v>1</v>
      </c>
      <c r="CQ507">
        <v>2500</v>
      </c>
      <c r="CS507">
        <v>0</v>
      </c>
      <c r="CT507">
        <v>0</v>
      </c>
      <c r="CU507">
        <v>0</v>
      </c>
      <c r="CV507" t="s">
        <v>1045</v>
      </c>
      <c r="CW507">
        <v>0</v>
      </c>
      <c r="CX507">
        <v>0</v>
      </c>
      <c r="CY507">
        <v>0</v>
      </c>
      <c r="CZ507">
        <v>0</v>
      </c>
      <c r="DB507">
        <v>60000</v>
      </c>
      <c r="DH507">
        <v>0</v>
      </c>
      <c r="DJ507">
        <v>0</v>
      </c>
      <c r="DL507">
        <v>0</v>
      </c>
      <c r="DN507">
        <v>0</v>
      </c>
      <c r="DO507" t="s">
        <v>1042</v>
      </c>
      <c r="DP507">
        <v>0</v>
      </c>
      <c r="DQ507">
        <v>7.6</v>
      </c>
      <c r="DS507">
        <v>0</v>
      </c>
      <c r="DU507">
        <v>1.65</v>
      </c>
      <c r="DW507">
        <v>0</v>
      </c>
      <c r="DY507">
        <v>0</v>
      </c>
      <c r="DZ507">
        <v>0</v>
      </c>
      <c r="EA507">
        <v>0</v>
      </c>
      <c r="EB507">
        <v>17897801300954</v>
      </c>
      <c r="EE507">
        <v>0</v>
      </c>
      <c r="EF507">
        <v>0</v>
      </c>
      <c r="EL507">
        <v>57897801300952</v>
      </c>
      <c r="EN507" t="s">
        <v>1014</v>
      </c>
      <c r="ET507">
        <v>0</v>
      </c>
      <c r="EV507">
        <v>0</v>
      </c>
      <c r="EY507" t="s">
        <v>1052</v>
      </c>
      <c r="EZ507">
        <v>0</v>
      </c>
      <c r="FA507" t="s">
        <v>1043</v>
      </c>
      <c r="FB507">
        <v>0</v>
      </c>
      <c r="FC507">
        <v>0</v>
      </c>
      <c r="FD507" t="s">
        <v>1048</v>
      </c>
      <c r="FE507" t="s">
        <v>1050</v>
      </c>
      <c r="FF507">
        <v>200</v>
      </c>
      <c r="FG507" t="s">
        <v>1050</v>
      </c>
      <c r="FH507">
        <v>27897801300951</v>
      </c>
      <c r="FJ507">
        <v>0</v>
      </c>
      <c r="FK507">
        <v>0</v>
      </c>
      <c r="FP507">
        <v>0</v>
      </c>
      <c r="FR507">
        <v>0</v>
      </c>
      <c r="FS507" t="s">
        <v>1044</v>
      </c>
      <c r="FX507" t="s">
        <v>1042</v>
      </c>
      <c r="GA507">
        <v>0</v>
      </c>
      <c r="GB507" t="s">
        <v>1042</v>
      </c>
      <c r="GE507">
        <v>0</v>
      </c>
      <c r="GG507">
        <v>0</v>
      </c>
      <c r="GN507">
        <v>0</v>
      </c>
      <c r="GO507" t="s">
        <v>1063</v>
      </c>
      <c r="GQ507">
        <v>0</v>
      </c>
      <c r="GU507">
        <v>0</v>
      </c>
      <c r="GY507" t="s">
        <v>1045</v>
      </c>
      <c r="HB507">
        <v>0</v>
      </c>
      <c r="HE507">
        <v>10</v>
      </c>
      <c r="HF507">
        <v>0</v>
      </c>
      <c r="HG507">
        <v>1E-3</v>
      </c>
      <c r="HK507" t="s">
        <v>1042</v>
      </c>
      <c r="HL507" t="s">
        <v>1048</v>
      </c>
      <c r="HM507">
        <v>0</v>
      </c>
      <c r="HN507">
        <v>0</v>
      </c>
      <c r="HO507">
        <v>23</v>
      </c>
      <c r="HP507">
        <v>2.1499999999999998E-2</v>
      </c>
      <c r="HQ507">
        <v>0</v>
      </c>
      <c r="HR507" s="20">
        <v>44221</v>
      </c>
      <c r="HT507">
        <v>0</v>
      </c>
      <c r="HU507">
        <v>0</v>
      </c>
      <c r="HW507">
        <v>0</v>
      </c>
      <c r="HX507">
        <v>36555</v>
      </c>
      <c r="HY507">
        <v>1</v>
      </c>
      <c r="IA507">
        <v>0.61</v>
      </c>
      <c r="IC507">
        <v>5</v>
      </c>
      <c r="IF507">
        <v>16000</v>
      </c>
      <c r="IG507" s="20">
        <v>36231</v>
      </c>
      <c r="IH507" t="s">
        <v>1046</v>
      </c>
      <c r="II507" t="s">
        <v>1042</v>
      </c>
      <c r="IR507" t="s">
        <v>1045</v>
      </c>
      <c r="IT507">
        <v>0</v>
      </c>
      <c r="JE507">
        <v>0</v>
      </c>
      <c r="JF507">
        <v>0</v>
      </c>
      <c r="JI507" t="s">
        <v>1042</v>
      </c>
      <c r="JJ507">
        <v>0</v>
      </c>
      <c r="JK507">
        <v>0</v>
      </c>
      <c r="JL507">
        <v>0</v>
      </c>
      <c r="JM507">
        <v>0</v>
      </c>
      <c r="JT507">
        <v>0</v>
      </c>
      <c r="JU507" t="s">
        <v>1042</v>
      </c>
      <c r="JW507">
        <v>0</v>
      </c>
      <c r="KA507">
        <v>0</v>
      </c>
      <c r="KF507">
        <v>0</v>
      </c>
      <c r="KG507">
        <v>0</v>
      </c>
      <c r="KH507">
        <v>0</v>
      </c>
      <c r="KI507">
        <v>0</v>
      </c>
      <c r="KS507" t="s">
        <v>1186</v>
      </c>
      <c r="KT507">
        <v>0</v>
      </c>
      <c r="KU507">
        <v>0</v>
      </c>
      <c r="KV507">
        <v>0</v>
      </c>
      <c r="KX507">
        <v>0</v>
      </c>
      <c r="KZ507">
        <v>0</v>
      </c>
      <c r="LF507">
        <v>0</v>
      </c>
      <c r="LH507">
        <v>0</v>
      </c>
      <c r="LI507">
        <v>0</v>
      </c>
    </row>
    <row r="508" spans="1:321" x14ac:dyDescent="0.35">
      <c r="A508">
        <v>1</v>
      </c>
      <c r="B508">
        <v>1301</v>
      </c>
      <c r="C508" t="s">
        <v>675</v>
      </c>
      <c r="D508" t="s">
        <v>1089</v>
      </c>
      <c r="E508" t="s">
        <v>164</v>
      </c>
      <c r="F508">
        <v>1</v>
      </c>
      <c r="G508">
        <v>950</v>
      </c>
      <c r="H508">
        <v>0</v>
      </c>
      <c r="I508" t="s">
        <v>1018</v>
      </c>
      <c r="L508">
        <v>0</v>
      </c>
      <c r="M508">
        <v>11.25</v>
      </c>
      <c r="N508">
        <v>0</v>
      </c>
      <c r="P508">
        <v>8</v>
      </c>
      <c r="Q508">
        <v>901</v>
      </c>
      <c r="R508">
        <v>0</v>
      </c>
      <c r="S508">
        <v>0</v>
      </c>
      <c r="W508" t="s">
        <v>1060</v>
      </c>
      <c r="X508">
        <v>0</v>
      </c>
      <c r="Z508">
        <v>10</v>
      </c>
      <c r="AA508">
        <v>17.149999999999999</v>
      </c>
      <c r="AB508">
        <v>27193</v>
      </c>
      <c r="AC508">
        <v>1.0494000000000001</v>
      </c>
      <c r="AD508" s="20">
        <v>44686</v>
      </c>
      <c r="AE508">
        <v>1.04861</v>
      </c>
      <c r="AF508">
        <v>0.04</v>
      </c>
      <c r="AH508">
        <v>21721</v>
      </c>
      <c r="AJ508">
        <v>120</v>
      </c>
      <c r="AK508" t="s">
        <v>1154</v>
      </c>
      <c r="AL508">
        <v>12000</v>
      </c>
      <c r="AM508">
        <v>0</v>
      </c>
      <c r="AN508">
        <v>11501008</v>
      </c>
      <c r="AO508">
        <v>0</v>
      </c>
      <c r="AP508">
        <v>1050</v>
      </c>
      <c r="AT508">
        <v>0</v>
      </c>
      <c r="AU508" t="s">
        <v>1059</v>
      </c>
      <c r="AV508" t="s">
        <v>1043</v>
      </c>
      <c r="AW508" t="s">
        <v>1053</v>
      </c>
      <c r="AX508">
        <v>1</v>
      </c>
      <c r="AY508" s="20">
        <v>44182</v>
      </c>
      <c r="AZ508">
        <v>0</v>
      </c>
      <c r="BA508" s="20">
        <v>36231</v>
      </c>
      <c r="BB508" t="s">
        <v>1058</v>
      </c>
      <c r="BD508">
        <v>0</v>
      </c>
      <c r="BF508" t="s">
        <v>1043</v>
      </c>
      <c r="BG508" s="20">
        <v>41276</v>
      </c>
      <c r="BH508">
        <v>0</v>
      </c>
      <c r="BI508">
        <v>26</v>
      </c>
      <c r="BJ508">
        <v>0</v>
      </c>
      <c r="BK508">
        <v>0</v>
      </c>
      <c r="BM508" s="20">
        <v>36595</v>
      </c>
      <c r="BN508">
        <v>0</v>
      </c>
      <c r="BO508">
        <v>7897801300964</v>
      </c>
      <c r="BR508" t="s">
        <v>1043</v>
      </c>
      <c r="BS508" t="s">
        <v>1043</v>
      </c>
      <c r="BT508" t="s">
        <v>1043</v>
      </c>
      <c r="BU508">
        <v>462</v>
      </c>
      <c r="BW508">
        <v>4</v>
      </c>
      <c r="BX508">
        <v>460</v>
      </c>
      <c r="BY508">
        <v>61</v>
      </c>
      <c r="BZ508">
        <v>461</v>
      </c>
      <c r="CA508">
        <v>0</v>
      </c>
      <c r="CB508" t="s">
        <v>1043</v>
      </c>
      <c r="CE508" t="s">
        <v>1043</v>
      </c>
      <c r="CH508" t="s">
        <v>1043</v>
      </c>
      <c r="CI508" t="s">
        <v>1187</v>
      </c>
      <c r="CK508" t="s">
        <v>1152</v>
      </c>
      <c r="CN508" t="s">
        <v>1056</v>
      </c>
      <c r="CP508">
        <v>1</v>
      </c>
      <c r="CQ508">
        <v>1500</v>
      </c>
      <c r="CS508">
        <v>0</v>
      </c>
      <c r="CT508">
        <v>0</v>
      </c>
      <c r="CU508">
        <v>0</v>
      </c>
      <c r="CV508" t="s">
        <v>1045</v>
      </c>
      <c r="CW508">
        <v>0</v>
      </c>
      <c r="CX508">
        <v>0</v>
      </c>
      <c r="CY508">
        <v>0</v>
      </c>
      <c r="CZ508">
        <v>0</v>
      </c>
      <c r="DB508">
        <v>35000</v>
      </c>
      <c r="DH508">
        <v>0</v>
      </c>
      <c r="DJ508">
        <v>0</v>
      </c>
      <c r="DL508">
        <v>0</v>
      </c>
      <c r="DN508">
        <v>0</v>
      </c>
      <c r="DO508" t="s">
        <v>1042</v>
      </c>
      <c r="DP508">
        <v>0</v>
      </c>
      <c r="DQ508">
        <v>7.6</v>
      </c>
      <c r="DS508">
        <v>0</v>
      </c>
      <c r="DU508">
        <v>1.65</v>
      </c>
      <c r="DW508">
        <v>0</v>
      </c>
      <c r="DY508">
        <v>0</v>
      </c>
      <c r="DZ508">
        <v>0</v>
      </c>
      <c r="EA508">
        <v>0</v>
      </c>
      <c r="EB508">
        <v>17897801300961</v>
      </c>
      <c r="EE508">
        <v>0</v>
      </c>
      <c r="EF508">
        <v>0</v>
      </c>
      <c r="EL508">
        <v>57897801300969</v>
      </c>
      <c r="EN508" t="s">
        <v>1014</v>
      </c>
      <c r="ET508">
        <v>0</v>
      </c>
      <c r="EV508">
        <v>0</v>
      </c>
      <c r="EY508" t="s">
        <v>1052</v>
      </c>
      <c r="EZ508">
        <v>0</v>
      </c>
      <c r="FA508" t="s">
        <v>1043</v>
      </c>
      <c r="FB508">
        <v>0</v>
      </c>
      <c r="FC508">
        <v>0</v>
      </c>
      <c r="FD508" t="s">
        <v>1048</v>
      </c>
      <c r="FE508" t="s">
        <v>1050</v>
      </c>
      <c r="FF508">
        <v>150</v>
      </c>
      <c r="FG508" t="s">
        <v>1050</v>
      </c>
      <c r="FH508">
        <v>27897801300968</v>
      </c>
      <c r="FJ508">
        <v>0</v>
      </c>
      <c r="FK508">
        <v>0</v>
      </c>
      <c r="FP508">
        <v>0</v>
      </c>
      <c r="FR508">
        <v>0</v>
      </c>
      <c r="FS508" t="s">
        <v>1044</v>
      </c>
      <c r="FX508" t="s">
        <v>1042</v>
      </c>
      <c r="GA508">
        <v>0</v>
      </c>
      <c r="GB508" t="s">
        <v>1042</v>
      </c>
      <c r="GE508">
        <v>0</v>
      </c>
      <c r="GG508">
        <v>0</v>
      </c>
      <c r="GN508">
        <v>0</v>
      </c>
      <c r="GO508" t="s">
        <v>1063</v>
      </c>
      <c r="GQ508">
        <v>0</v>
      </c>
      <c r="GU508">
        <v>0</v>
      </c>
      <c r="GY508" t="s">
        <v>1045</v>
      </c>
      <c r="HB508">
        <v>0</v>
      </c>
      <c r="HE508">
        <v>10</v>
      </c>
      <c r="HF508">
        <v>0</v>
      </c>
      <c r="HG508">
        <v>1E-3</v>
      </c>
      <c r="HK508" t="s">
        <v>1042</v>
      </c>
      <c r="HL508" t="s">
        <v>1048</v>
      </c>
      <c r="HM508">
        <v>0</v>
      </c>
      <c r="HN508">
        <v>0</v>
      </c>
      <c r="HO508">
        <v>23</v>
      </c>
      <c r="HP508">
        <v>0.04</v>
      </c>
      <c r="HQ508">
        <v>0</v>
      </c>
      <c r="HR508" s="20">
        <v>44221</v>
      </c>
      <c r="HT508">
        <v>0</v>
      </c>
      <c r="HU508">
        <v>0</v>
      </c>
      <c r="HW508">
        <v>0</v>
      </c>
      <c r="HX508">
        <v>40092</v>
      </c>
      <c r="HY508">
        <v>1</v>
      </c>
      <c r="IA508">
        <v>1.05</v>
      </c>
      <c r="IC508">
        <v>3</v>
      </c>
      <c r="IF508">
        <v>12000</v>
      </c>
      <c r="IG508" s="20">
        <v>36231</v>
      </c>
      <c r="IH508" t="s">
        <v>1046</v>
      </c>
      <c r="II508" t="s">
        <v>1042</v>
      </c>
      <c r="IR508" t="s">
        <v>1045</v>
      </c>
      <c r="IT508">
        <v>0</v>
      </c>
      <c r="JE508">
        <v>0</v>
      </c>
      <c r="JF508">
        <v>0</v>
      </c>
      <c r="JI508" t="s">
        <v>1042</v>
      </c>
      <c r="JJ508">
        <v>0</v>
      </c>
      <c r="JK508">
        <v>0</v>
      </c>
      <c r="JL508">
        <v>0</v>
      </c>
      <c r="JM508">
        <v>0</v>
      </c>
      <c r="JT508">
        <v>0</v>
      </c>
      <c r="JU508" t="s">
        <v>1042</v>
      </c>
      <c r="JW508">
        <v>0</v>
      </c>
      <c r="KA508">
        <v>0</v>
      </c>
      <c r="KF508">
        <v>0</v>
      </c>
      <c r="KG508">
        <v>0</v>
      </c>
      <c r="KH508">
        <v>0</v>
      </c>
      <c r="KI508">
        <v>0</v>
      </c>
      <c r="KS508" t="s">
        <v>1186</v>
      </c>
      <c r="KT508">
        <v>0</v>
      </c>
      <c r="KU508">
        <v>0</v>
      </c>
      <c r="KV508">
        <v>0</v>
      </c>
      <c r="KX508">
        <v>0</v>
      </c>
      <c r="KZ508">
        <v>0</v>
      </c>
      <c r="LF508">
        <v>0</v>
      </c>
      <c r="LH508">
        <v>0</v>
      </c>
      <c r="LI508">
        <v>0</v>
      </c>
    </row>
    <row r="509" spans="1:321" x14ac:dyDescent="0.35">
      <c r="A509">
        <v>1</v>
      </c>
      <c r="B509">
        <v>1302</v>
      </c>
      <c r="C509" t="s">
        <v>676</v>
      </c>
      <c r="D509" t="s">
        <v>1089</v>
      </c>
      <c r="E509" t="s">
        <v>164</v>
      </c>
      <c r="F509">
        <v>1</v>
      </c>
      <c r="G509">
        <v>950</v>
      </c>
      <c r="H509">
        <v>0</v>
      </c>
      <c r="I509" t="s">
        <v>1018</v>
      </c>
      <c r="L509">
        <v>0</v>
      </c>
      <c r="M509">
        <v>11.25</v>
      </c>
      <c r="N509">
        <v>0</v>
      </c>
      <c r="P509">
        <v>8</v>
      </c>
      <c r="Q509">
        <v>901</v>
      </c>
      <c r="R509">
        <v>0</v>
      </c>
      <c r="S509">
        <v>0</v>
      </c>
      <c r="W509" t="s">
        <v>1060</v>
      </c>
      <c r="X509">
        <v>0</v>
      </c>
      <c r="Z509">
        <v>10</v>
      </c>
      <c r="AA509">
        <v>31.248999999999999</v>
      </c>
      <c r="AB509">
        <v>15674</v>
      </c>
      <c r="AC509">
        <v>1.9669000000000001</v>
      </c>
      <c r="AD509" s="20">
        <v>44686</v>
      </c>
      <c r="AE509">
        <v>1.9654</v>
      </c>
      <c r="AF509">
        <v>7.6999999999999999E-2</v>
      </c>
      <c r="AH509">
        <v>10083</v>
      </c>
      <c r="AJ509">
        <v>120</v>
      </c>
      <c r="AK509" t="s">
        <v>1154</v>
      </c>
      <c r="AL509">
        <v>10000</v>
      </c>
      <c r="AM509">
        <v>0</v>
      </c>
      <c r="AN509">
        <v>11501008</v>
      </c>
      <c r="AO509">
        <v>0</v>
      </c>
      <c r="AP509">
        <v>1050</v>
      </c>
      <c r="AT509">
        <v>0</v>
      </c>
      <c r="AU509" t="s">
        <v>1059</v>
      </c>
      <c r="AV509" t="s">
        <v>1043</v>
      </c>
      <c r="AW509" t="s">
        <v>1053</v>
      </c>
      <c r="AX509">
        <v>1</v>
      </c>
      <c r="AY509" s="20">
        <v>44182</v>
      </c>
      <c r="BA509" s="20">
        <v>36231</v>
      </c>
      <c r="BB509" t="s">
        <v>1058</v>
      </c>
      <c r="BD509">
        <v>0</v>
      </c>
      <c r="BF509" t="s">
        <v>1043</v>
      </c>
      <c r="BG509" s="20">
        <v>41276</v>
      </c>
      <c r="BH509">
        <v>0</v>
      </c>
      <c r="BI509">
        <v>26</v>
      </c>
      <c r="BJ509">
        <v>0</v>
      </c>
      <c r="BK509">
        <v>0</v>
      </c>
      <c r="BM509" s="20">
        <v>36595</v>
      </c>
      <c r="BN509">
        <v>0</v>
      </c>
      <c r="BO509">
        <v>7897801300971</v>
      </c>
      <c r="BR509" t="s">
        <v>1043</v>
      </c>
      <c r="BS509" t="s">
        <v>1043</v>
      </c>
      <c r="BT509" t="s">
        <v>1043</v>
      </c>
      <c r="BU509">
        <v>465</v>
      </c>
      <c r="BW509">
        <v>4</v>
      </c>
      <c r="BX509">
        <v>463</v>
      </c>
      <c r="BY509">
        <v>61</v>
      </c>
      <c r="BZ509">
        <v>464</v>
      </c>
      <c r="CA509">
        <v>0</v>
      </c>
      <c r="CB509" t="s">
        <v>1043</v>
      </c>
      <c r="CE509" t="s">
        <v>1043</v>
      </c>
      <c r="CH509" t="s">
        <v>1043</v>
      </c>
      <c r="CI509" t="s">
        <v>1187</v>
      </c>
      <c r="CK509" t="s">
        <v>1152</v>
      </c>
      <c r="CN509" t="s">
        <v>1056</v>
      </c>
      <c r="CP509">
        <v>1</v>
      </c>
      <c r="CQ509">
        <v>800</v>
      </c>
      <c r="CS509">
        <v>0</v>
      </c>
      <c r="CT509">
        <v>0</v>
      </c>
      <c r="CU509">
        <v>0</v>
      </c>
      <c r="CV509" t="s">
        <v>1045</v>
      </c>
      <c r="CW509">
        <v>0</v>
      </c>
      <c r="CX509">
        <v>0</v>
      </c>
      <c r="CY509">
        <v>0</v>
      </c>
      <c r="CZ509">
        <v>0</v>
      </c>
      <c r="DB509">
        <v>25000</v>
      </c>
      <c r="DH509">
        <v>0</v>
      </c>
      <c r="DJ509">
        <v>0</v>
      </c>
      <c r="DL509">
        <v>0</v>
      </c>
      <c r="DN509">
        <v>0</v>
      </c>
      <c r="DO509" t="s">
        <v>1042</v>
      </c>
      <c r="DP509">
        <v>0</v>
      </c>
      <c r="DQ509">
        <v>7.6</v>
      </c>
      <c r="DS509">
        <v>0</v>
      </c>
      <c r="DU509">
        <v>1.65</v>
      </c>
      <c r="DW509">
        <v>0</v>
      </c>
      <c r="DY509">
        <v>0</v>
      </c>
      <c r="DZ509">
        <v>0</v>
      </c>
      <c r="EA509">
        <v>0</v>
      </c>
      <c r="EB509">
        <v>17897801300978</v>
      </c>
      <c r="EE509">
        <v>0</v>
      </c>
      <c r="EF509">
        <v>0</v>
      </c>
      <c r="EG509" t="s">
        <v>1044</v>
      </c>
      <c r="EL509">
        <v>57897801300976</v>
      </c>
      <c r="EN509" t="s">
        <v>1014</v>
      </c>
      <c r="ET509">
        <v>0</v>
      </c>
      <c r="EV509">
        <v>0</v>
      </c>
      <c r="EY509" t="s">
        <v>1052</v>
      </c>
      <c r="EZ509">
        <v>0</v>
      </c>
      <c r="FA509" t="s">
        <v>1043</v>
      </c>
      <c r="FB509">
        <v>0</v>
      </c>
      <c r="FC509">
        <v>0</v>
      </c>
      <c r="FD509" t="s">
        <v>1048</v>
      </c>
      <c r="FE509" t="s">
        <v>1050</v>
      </c>
      <c r="FF509">
        <v>100</v>
      </c>
      <c r="FG509" t="s">
        <v>1050</v>
      </c>
      <c r="FH509">
        <v>27897801300975</v>
      </c>
      <c r="FJ509">
        <v>0</v>
      </c>
      <c r="FK509">
        <v>0</v>
      </c>
      <c r="FP509">
        <v>0</v>
      </c>
      <c r="FR509">
        <v>0</v>
      </c>
      <c r="FS509" t="s">
        <v>1044</v>
      </c>
      <c r="FX509" t="s">
        <v>1042</v>
      </c>
      <c r="GA509">
        <v>0</v>
      </c>
      <c r="GB509" t="s">
        <v>1042</v>
      </c>
      <c r="GE509">
        <v>0</v>
      </c>
      <c r="GG509">
        <v>0</v>
      </c>
      <c r="GN509">
        <v>0</v>
      </c>
      <c r="GO509" t="s">
        <v>1063</v>
      </c>
      <c r="GQ509">
        <v>0</v>
      </c>
      <c r="GU509">
        <v>0</v>
      </c>
      <c r="GY509" t="s">
        <v>1045</v>
      </c>
      <c r="HB509">
        <v>0</v>
      </c>
      <c r="HE509">
        <v>10</v>
      </c>
      <c r="HF509">
        <v>0</v>
      </c>
      <c r="HG509">
        <v>1E-3</v>
      </c>
      <c r="HK509" t="s">
        <v>1042</v>
      </c>
      <c r="HL509" t="s">
        <v>1048</v>
      </c>
      <c r="HM509">
        <v>0</v>
      </c>
      <c r="HN509">
        <v>0</v>
      </c>
      <c r="HO509">
        <v>23</v>
      </c>
      <c r="HP509">
        <v>7.6999999999999999E-2</v>
      </c>
      <c r="HQ509">
        <v>0</v>
      </c>
      <c r="HR509" s="20">
        <v>44221</v>
      </c>
      <c r="HT509">
        <v>0</v>
      </c>
      <c r="HU509">
        <v>0</v>
      </c>
      <c r="HW509">
        <v>0</v>
      </c>
      <c r="HX509">
        <v>28853</v>
      </c>
      <c r="HY509">
        <v>1</v>
      </c>
      <c r="IA509">
        <v>1.97</v>
      </c>
      <c r="IC509">
        <v>5</v>
      </c>
      <c r="IF509">
        <v>10000</v>
      </c>
      <c r="IG509" s="20">
        <v>36231</v>
      </c>
      <c r="IH509" t="s">
        <v>1046</v>
      </c>
      <c r="II509" t="s">
        <v>1042</v>
      </c>
      <c r="IR509" t="s">
        <v>1045</v>
      </c>
      <c r="IT509">
        <v>0</v>
      </c>
      <c r="JE509">
        <v>0</v>
      </c>
      <c r="JF509">
        <v>0</v>
      </c>
      <c r="JI509" t="s">
        <v>1042</v>
      </c>
      <c r="JJ509">
        <v>0</v>
      </c>
      <c r="JK509">
        <v>0</v>
      </c>
      <c r="JL509">
        <v>0</v>
      </c>
      <c r="JM509">
        <v>0</v>
      </c>
      <c r="JT509">
        <v>0</v>
      </c>
      <c r="JU509" t="s">
        <v>1042</v>
      </c>
      <c r="JW509">
        <v>0</v>
      </c>
      <c r="KA509">
        <v>0</v>
      </c>
      <c r="KF509">
        <v>0</v>
      </c>
      <c r="KG509">
        <v>0</v>
      </c>
      <c r="KH509">
        <v>0</v>
      </c>
      <c r="KI509">
        <v>0</v>
      </c>
      <c r="KS509" t="s">
        <v>1186</v>
      </c>
      <c r="KT509">
        <v>0</v>
      </c>
      <c r="KU509">
        <v>0</v>
      </c>
      <c r="KV509">
        <v>0</v>
      </c>
      <c r="KX509">
        <v>0</v>
      </c>
      <c r="KZ509">
        <v>0</v>
      </c>
      <c r="LF509">
        <v>0</v>
      </c>
      <c r="LH509">
        <v>0</v>
      </c>
      <c r="LI509">
        <v>0</v>
      </c>
    </row>
    <row r="510" spans="1:321" x14ac:dyDescent="0.35">
      <c r="A510">
        <v>1</v>
      </c>
      <c r="B510">
        <v>1303</v>
      </c>
      <c r="C510" t="s">
        <v>1185</v>
      </c>
      <c r="D510" t="s">
        <v>1061</v>
      </c>
      <c r="E510" t="s">
        <v>85</v>
      </c>
      <c r="F510">
        <v>1</v>
      </c>
      <c r="G510">
        <v>8890</v>
      </c>
      <c r="H510">
        <v>0</v>
      </c>
      <c r="I510" t="s">
        <v>994</v>
      </c>
      <c r="L510">
        <v>0</v>
      </c>
      <c r="M510">
        <v>0</v>
      </c>
      <c r="N510">
        <v>0</v>
      </c>
      <c r="P510">
        <v>13</v>
      </c>
      <c r="Q510">
        <v>516</v>
      </c>
      <c r="R510">
        <v>0</v>
      </c>
      <c r="S510">
        <v>0</v>
      </c>
      <c r="W510" t="s">
        <v>1060</v>
      </c>
      <c r="X510">
        <v>0</v>
      </c>
      <c r="Z510">
        <v>0</v>
      </c>
      <c r="AA510">
        <v>0</v>
      </c>
      <c r="AB510">
        <v>0</v>
      </c>
      <c r="AC510">
        <v>0</v>
      </c>
      <c r="AD510" t="s">
        <v>1042</v>
      </c>
      <c r="AE510">
        <v>0</v>
      </c>
      <c r="AF510">
        <v>0</v>
      </c>
      <c r="AH510">
        <v>0</v>
      </c>
      <c r="AJ510">
        <v>0</v>
      </c>
      <c r="AL510">
        <v>145800</v>
      </c>
      <c r="AM510">
        <v>0</v>
      </c>
      <c r="AN510">
        <v>11501001</v>
      </c>
      <c r="AO510">
        <v>0</v>
      </c>
      <c r="AP510">
        <v>1002</v>
      </c>
      <c r="AT510">
        <v>1</v>
      </c>
      <c r="AU510" t="s">
        <v>1059</v>
      </c>
      <c r="AW510" t="s">
        <v>1053</v>
      </c>
      <c r="AX510">
        <v>0</v>
      </c>
      <c r="AY510" s="20">
        <v>43242</v>
      </c>
      <c r="BA510" s="20">
        <v>43242</v>
      </c>
      <c r="BB510" t="s">
        <v>1058</v>
      </c>
      <c r="BD510">
        <v>0</v>
      </c>
      <c r="BF510" t="s">
        <v>1044</v>
      </c>
      <c r="BG510" t="s">
        <v>1042</v>
      </c>
      <c r="BH510">
        <v>0</v>
      </c>
      <c r="BI510">
        <v>21</v>
      </c>
      <c r="BJ510">
        <v>0</v>
      </c>
      <c r="BK510">
        <v>0</v>
      </c>
      <c r="BM510" s="20">
        <v>44109</v>
      </c>
      <c r="BN510">
        <v>0</v>
      </c>
      <c r="BO510">
        <v>7897801318464</v>
      </c>
      <c r="BR510" t="s">
        <v>1043</v>
      </c>
      <c r="BS510" t="s">
        <v>1043</v>
      </c>
      <c r="BT510" t="s">
        <v>1043</v>
      </c>
      <c r="BV510">
        <v>1</v>
      </c>
      <c r="BW510">
        <v>2</v>
      </c>
      <c r="BY510">
        <v>78</v>
      </c>
      <c r="CA510">
        <v>0</v>
      </c>
      <c r="CB510" t="s">
        <v>1057</v>
      </c>
      <c r="CE510" t="s">
        <v>1043</v>
      </c>
      <c r="CH510" t="s">
        <v>1043</v>
      </c>
      <c r="CN510" t="s">
        <v>1056</v>
      </c>
      <c r="CO510" t="s">
        <v>1043</v>
      </c>
      <c r="CP510">
        <v>1</v>
      </c>
      <c r="CQ510">
        <v>0</v>
      </c>
      <c r="CS510">
        <v>0</v>
      </c>
      <c r="CT510">
        <v>0</v>
      </c>
      <c r="CU510">
        <v>0</v>
      </c>
      <c r="CW510">
        <v>0</v>
      </c>
      <c r="CX510">
        <v>0</v>
      </c>
      <c r="CY510">
        <v>0</v>
      </c>
      <c r="CZ510">
        <v>0</v>
      </c>
      <c r="DB510">
        <v>0</v>
      </c>
      <c r="DC510" t="s">
        <v>1043</v>
      </c>
      <c r="DF510" t="s">
        <v>1055</v>
      </c>
      <c r="DH510">
        <v>0</v>
      </c>
      <c r="DJ510">
        <v>0</v>
      </c>
      <c r="DK510" t="s">
        <v>1053</v>
      </c>
      <c r="DL510">
        <v>0</v>
      </c>
      <c r="DN510">
        <v>0</v>
      </c>
      <c r="DO510" t="s">
        <v>1042</v>
      </c>
      <c r="DP510">
        <v>0</v>
      </c>
      <c r="DQ510">
        <v>7.6</v>
      </c>
      <c r="DS510">
        <v>0</v>
      </c>
      <c r="DU510">
        <v>1.65</v>
      </c>
      <c r="DW510">
        <v>0</v>
      </c>
      <c r="DX510" t="s">
        <v>1043</v>
      </c>
      <c r="DY510">
        <v>0</v>
      </c>
      <c r="DZ510">
        <v>0</v>
      </c>
      <c r="EA510">
        <v>0</v>
      </c>
      <c r="EB510">
        <v>17897801318461</v>
      </c>
      <c r="ED510" t="s">
        <v>1045</v>
      </c>
      <c r="EE510">
        <v>0</v>
      </c>
      <c r="EF510">
        <v>0</v>
      </c>
      <c r="EK510" t="s">
        <v>1054</v>
      </c>
      <c r="EL510">
        <v>57897801318469</v>
      </c>
      <c r="EN510" t="s">
        <v>1012</v>
      </c>
      <c r="EQ510" t="s">
        <v>1044</v>
      </c>
      <c r="ES510" t="s">
        <v>1053</v>
      </c>
      <c r="ET510">
        <v>0</v>
      </c>
      <c r="EV510">
        <v>0</v>
      </c>
      <c r="EY510" t="s">
        <v>1052</v>
      </c>
      <c r="EZ510">
        <v>0</v>
      </c>
      <c r="FA510" t="s">
        <v>1043</v>
      </c>
      <c r="FB510">
        <v>0</v>
      </c>
      <c r="FC510">
        <v>0</v>
      </c>
      <c r="FD510" t="s">
        <v>1051</v>
      </c>
      <c r="FE510" t="s">
        <v>1050</v>
      </c>
      <c r="FF510">
        <v>0</v>
      </c>
      <c r="FG510" t="s">
        <v>1050</v>
      </c>
      <c r="FH510">
        <v>27897801318468</v>
      </c>
      <c r="FJ510">
        <v>0</v>
      </c>
      <c r="FK510">
        <v>0</v>
      </c>
      <c r="FP510">
        <v>0</v>
      </c>
      <c r="FR510">
        <v>0</v>
      </c>
      <c r="FS510" t="s">
        <v>1043</v>
      </c>
      <c r="FX510" t="s">
        <v>1042</v>
      </c>
      <c r="FZ510" t="s">
        <v>1048</v>
      </c>
      <c r="GA510">
        <v>0</v>
      </c>
      <c r="GB510" t="s">
        <v>1042</v>
      </c>
      <c r="GD510">
        <v>16</v>
      </c>
      <c r="GE510">
        <v>0</v>
      </c>
      <c r="GG510">
        <v>0</v>
      </c>
      <c r="GN510">
        <v>0</v>
      </c>
      <c r="GO510" t="s">
        <v>1049</v>
      </c>
      <c r="GQ510">
        <v>0</v>
      </c>
      <c r="GU510">
        <v>2</v>
      </c>
      <c r="GY510" t="s">
        <v>1045</v>
      </c>
      <c r="HB510">
        <v>0</v>
      </c>
      <c r="HE510">
        <v>10</v>
      </c>
      <c r="HF510">
        <v>15</v>
      </c>
      <c r="HG510">
        <v>0</v>
      </c>
      <c r="HK510" t="s">
        <v>1042</v>
      </c>
      <c r="HL510" t="s">
        <v>1048</v>
      </c>
      <c r="HM510" t="s">
        <v>1047</v>
      </c>
      <c r="HN510">
        <v>0</v>
      </c>
      <c r="HP510">
        <v>0</v>
      </c>
      <c r="HQ510">
        <v>0</v>
      </c>
      <c r="HR510" t="s">
        <v>1042</v>
      </c>
      <c r="HS510" t="s">
        <v>1043</v>
      </c>
      <c r="HT510">
        <v>0</v>
      </c>
      <c r="HU510">
        <v>0</v>
      </c>
      <c r="HW510">
        <v>0</v>
      </c>
      <c r="HX510">
        <v>0</v>
      </c>
      <c r="HY510">
        <v>0</v>
      </c>
      <c r="HZ510" t="s">
        <v>1045</v>
      </c>
      <c r="IA510">
        <v>0</v>
      </c>
      <c r="IB510" t="s">
        <v>1045</v>
      </c>
      <c r="ID510" t="s">
        <v>1045</v>
      </c>
      <c r="IF510">
        <v>0</v>
      </c>
      <c r="IG510" t="s">
        <v>1042</v>
      </c>
      <c r="IH510" t="s">
        <v>1046</v>
      </c>
      <c r="II510" t="s">
        <v>1042</v>
      </c>
      <c r="IR510" t="s">
        <v>1045</v>
      </c>
      <c r="IT510">
        <v>0</v>
      </c>
      <c r="IY510" t="s">
        <v>1044</v>
      </c>
      <c r="IZ510" t="s">
        <v>1043</v>
      </c>
      <c r="JE510">
        <v>0</v>
      </c>
      <c r="JF510">
        <v>0</v>
      </c>
      <c r="JI510" t="s">
        <v>1042</v>
      </c>
      <c r="JJ510">
        <v>0</v>
      </c>
      <c r="JK510">
        <v>0</v>
      </c>
      <c r="JL510">
        <v>0</v>
      </c>
      <c r="JM510">
        <v>0</v>
      </c>
      <c r="JT510">
        <v>0</v>
      </c>
      <c r="JU510" t="s">
        <v>1042</v>
      </c>
      <c r="JW510">
        <v>0</v>
      </c>
      <c r="KA510">
        <v>0</v>
      </c>
      <c r="KF510">
        <v>0</v>
      </c>
      <c r="KG510">
        <v>0</v>
      </c>
      <c r="KH510">
        <v>0</v>
      </c>
      <c r="KI510">
        <v>0</v>
      </c>
      <c r="KS510" t="s">
        <v>1041</v>
      </c>
      <c r="KT510">
        <v>0</v>
      </c>
      <c r="KU510">
        <v>0</v>
      </c>
      <c r="KV510">
        <v>0</v>
      </c>
      <c r="KX510">
        <v>0</v>
      </c>
      <c r="KZ510">
        <v>0</v>
      </c>
      <c r="LF510">
        <v>0</v>
      </c>
      <c r="LH510">
        <v>0</v>
      </c>
      <c r="LI510">
        <v>0</v>
      </c>
    </row>
    <row r="511" spans="1:321" x14ac:dyDescent="0.35">
      <c r="A511">
        <v>1</v>
      </c>
      <c r="B511">
        <v>1304</v>
      </c>
      <c r="C511" t="s">
        <v>1184</v>
      </c>
      <c r="D511" t="s">
        <v>1061</v>
      </c>
      <c r="E511" t="s">
        <v>85</v>
      </c>
      <c r="F511">
        <v>1</v>
      </c>
      <c r="G511">
        <v>8890</v>
      </c>
      <c r="H511">
        <v>0</v>
      </c>
      <c r="I511" t="s">
        <v>994</v>
      </c>
      <c r="L511">
        <v>0</v>
      </c>
      <c r="M511">
        <v>0</v>
      </c>
      <c r="N511">
        <v>0</v>
      </c>
      <c r="P511">
        <v>13</v>
      </c>
      <c r="Q511">
        <v>516</v>
      </c>
      <c r="R511">
        <v>0</v>
      </c>
      <c r="S511">
        <v>0</v>
      </c>
      <c r="W511" t="s">
        <v>1060</v>
      </c>
      <c r="X511">
        <v>0</v>
      </c>
      <c r="Z511">
        <v>0</v>
      </c>
      <c r="AA511">
        <v>0</v>
      </c>
      <c r="AB511">
        <v>0</v>
      </c>
      <c r="AC511">
        <v>0</v>
      </c>
      <c r="AD511" t="s">
        <v>1042</v>
      </c>
      <c r="AE511">
        <v>0</v>
      </c>
      <c r="AF511">
        <v>0</v>
      </c>
      <c r="AH511">
        <v>0</v>
      </c>
      <c r="AJ511">
        <v>0</v>
      </c>
      <c r="AL511">
        <v>145800</v>
      </c>
      <c r="AM511">
        <v>0</v>
      </c>
      <c r="AN511">
        <v>11501001</v>
      </c>
      <c r="AO511">
        <v>0</v>
      </c>
      <c r="AP511">
        <v>1002</v>
      </c>
      <c r="AT511">
        <v>1</v>
      </c>
      <c r="AU511" t="s">
        <v>1059</v>
      </c>
      <c r="AW511" t="s">
        <v>1053</v>
      </c>
      <c r="AX511">
        <v>0</v>
      </c>
      <c r="AY511" s="20">
        <v>43242</v>
      </c>
      <c r="BA511" s="20">
        <v>43242</v>
      </c>
      <c r="BB511" t="s">
        <v>1058</v>
      </c>
      <c r="BD511">
        <v>0</v>
      </c>
      <c r="BF511" t="s">
        <v>1044</v>
      </c>
      <c r="BG511" t="s">
        <v>1042</v>
      </c>
      <c r="BH511">
        <v>0</v>
      </c>
      <c r="BI511">
        <v>21</v>
      </c>
      <c r="BJ511">
        <v>0</v>
      </c>
      <c r="BK511">
        <v>0</v>
      </c>
      <c r="BM511" t="s">
        <v>1042</v>
      </c>
      <c r="BN511">
        <v>0</v>
      </c>
      <c r="BR511" t="s">
        <v>1043</v>
      </c>
      <c r="BS511" t="s">
        <v>1043</v>
      </c>
      <c r="BT511" t="s">
        <v>1043</v>
      </c>
      <c r="BV511">
        <v>1</v>
      </c>
      <c r="BW511">
        <v>2</v>
      </c>
      <c r="BY511">
        <v>78</v>
      </c>
      <c r="CA511">
        <v>0</v>
      </c>
      <c r="CB511" t="s">
        <v>1057</v>
      </c>
      <c r="CE511" t="s">
        <v>1043</v>
      </c>
      <c r="CH511" t="s">
        <v>1043</v>
      </c>
      <c r="CN511" t="s">
        <v>1056</v>
      </c>
      <c r="CO511" t="s">
        <v>1043</v>
      </c>
      <c r="CP511">
        <v>1</v>
      </c>
      <c r="CQ511">
        <v>0</v>
      </c>
      <c r="CS511">
        <v>0</v>
      </c>
      <c r="CT511">
        <v>0</v>
      </c>
      <c r="CU511">
        <v>0</v>
      </c>
      <c r="CW511">
        <v>0</v>
      </c>
      <c r="CX511">
        <v>0</v>
      </c>
      <c r="CY511">
        <v>0</v>
      </c>
      <c r="CZ511">
        <v>0</v>
      </c>
      <c r="DB511">
        <v>0</v>
      </c>
      <c r="DC511" t="s">
        <v>1043</v>
      </c>
      <c r="DF511" t="s">
        <v>1055</v>
      </c>
      <c r="DH511">
        <v>0</v>
      </c>
      <c r="DJ511">
        <v>0</v>
      </c>
      <c r="DK511" t="s">
        <v>1053</v>
      </c>
      <c r="DL511">
        <v>0</v>
      </c>
      <c r="DN511">
        <v>0</v>
      </c>
      <c r="DO511" t="s">
        <v>1042</v>
      </c>
      <c r="DP511">
        <v>0</v>
      </c>
      <c r="DQ511">
        <v>7.6</v>
      </c>
      <c r="DS511">
        <v>0</v>
      </c>
      <c r="DU511">
        <v>1.65</v>
      </c>
      <c r="DW511">
        <v>0</v>
      </c>
      <c r="DX511" t="s">
        <v>1043</v>
      </c>
      <c r="DY511">
        <v>0</v>
      </c>
      <c r="DZ511">
        <v>0</v>
      </c>
      <c r="EA511">
        <v>0</v>
      </c>
      <c r="ED511" t="s">
        <v>1045</v>
      </c>
      <c r="EE511">
        <v>0</v>
      </c>
      <c r="EF511">
        <v>0</v>
      </c>
      <c r="EK511" t="s">
        <v>1054</v>
      </c>
      <c r="EN511" t="s">
        <v>1012</v>
      </c>
      <c r="EQ511" t="s">
        <v>1044</v>
      </c>
      <c r="ES511" t="s">
        <v>1053</v>
      </c>
      <c r="ET511">
        <v>0</v>
      </c>
      <c r="EV511">
        <v>0</v>
      </c>
      <c r="EY511" t="s">
        <v>1052</v>
      </c>
      <c r="EZ511">
        <v>0</v>
      </c>
      <c r="FA511" t="s">
        <v>1043</v>
      </c>
      <c r="FB511">
        <v>0</v>
      </c>
      <c r="FC511">
        <v>0</v>
      </c>
      <c r="FD511" t="s">
        <v>1051</v>
      </c>
      <c r="FE511" t="s">
        <v>1050</v>
      </c>
      <c r="FF511">
        <v>0</v>
      </c>
      <c r="FG511" t="s">
        <v>1050</v>
      </c>
      <c r="FJ511">
        <v>0</v>
      </c>
      <c r="FK511">
        <v>0</v>
      </c>
      <c r="FP511">
        <v>0</v>
      </c>
      <c r="FR511">
        <v>0</v>
      </c>
      <c r="FS511" t="s">
        <v>1043</v>
      </c>
      <c r="FX511" t="s">
        <v>1042</v>
      </c>
      <c r="FZ511" t="s">
        <v>1048</v>
      </c>
      <c r="GA511">
        <v>0</v>
      </c>
      <c r="GB511" t="s">
        <v>1042</v>
      </c>
      <c r="GD511">
        <v>16</v>
      </c>
      <c r="GE511">
        <v>0</v>
      </c>
      <c r="GG511">
        <v>0</v>
      </c>
      <c r="GN511">
        <v>0</v>
      </c>
      <c r="GO511" t="s">
        <v>1049</v>
      </c>
      <c r="GQ511">
        <v>0</v>
      </c>
      <c r="GU511">
        <v>2</v>
      </c>
      <c r="GY511" t="s">
        <v>1045</v>
      </c>
      <c r="HB511">
        <v>0</v>
      </c>
      <c r="HE511">
        <v>10</v>
      </c>
      <c r="HF511">
        <v>15</v>
      </c>
      <c r="HG511">
        <v>0</v>
      </c>
      <c r="HK511" t="s">
        <v>1042</v>
      </c>
      <c r="HL511" t="s">
        <v>1048</v>
      </c>
      <c r="HM511" t="s">
        <v>1047</v>
      </c>
      <c r="HN511">
        <v>0</v>
      </c>
      <c r="HP511">
        <v>0</v>
      </c>
      <c r="HQ511">
        <v>0</v>
      </c>
      <c r="HR511" t="s">
        <v>1042</v>
      </c>
      <c r="HS511" t="s">
        <v>1043</v>
      </c>
      <c r="HT511">
        <v>0</v>
      </c>
      <c r="HU511">
        <v>0</v>
      </c>
      <c r="HW511">
        <v>0</v>
      </c>
      <c r="HX511">
        <v>0</v>
      </c>
      <c r="HY511">
        <v>0</v>
      </c>
      <c r="HZ511" t="s">
        <v>1045</v>
      </c>
      <c r="IA511">
        <v>0</v>
      </c>
      <c r="IB511" t="s">
        <v>1045</v>
      </c>
      <c r="ID511" t="s">
        <v>1045</v>
      </c>
      <c r="IF511">
        <v>0</v>
      </c>
      <c r="IG511" t="s">
        <v>1042</v>
      </c>
      <c r="IH511" t="s">
        <v>1046</v>
      </c>
      <c r="II511" t="s">
        <v>1042</v>
      </c>
      <c r="IR511" t="s">
        <v>1045</v>
      </c>
      <c r="IT511">
        <v>0</v>
      </c>
      <c r="IY511" t="s">
        <v>1044</v>
      </c>
      <c r="IZ511" t="s">
        <v>1043</v>
      </c>
      <c r="JE511">
        <v>0</v>
      </c>
      <c r="JF511">
        <v>0</v>
      </c>
      <c r="JI511" t="s">
        <v>1042</v>
      </c>
      <c r="JJ511">
        <v>0</v>
      </c>
      <c r="JK511">
        <v>0</v>
      </c>
      <c r="JL511">
        <v>0</v>
      </c>
      <c r="JM511">
        <v>0</v>
      </c>
      <c r="JT511">
        <v>0</v>
      </c>
      <c r="JU511" t="s">
        <v>1042</v>
      </c>
      <c r="JW511">
        <v>0</v>
      </c>
      <c r="KA511">
        <v>0</v>
      </c>
      <c r="KF511">
        <v>0</v>
      </c>
      <c r="KG511">
        <v>0</v>
      </c>
      <c r="KH511">
        <v>0</v>
      </c>
      <c r="KI511">
        <v>0</v>
      </c>
      <c r="KS511" t="s">
        <v>1041</v>
      </c>
      <c r="KT511">
        <v>0</v>
      </c>
      <c r="KU511">
        <v>0</v>
      </c>
      <c r="KV511">
        <v>0</v>
      </c>
      <c r="KX511">
        <v>0</v>
      </c>
      <c r="KZ511">
        <v>0</v>
      </c>
      <c r="LF511">
        <v>0</v>
      </c>
      <c r="LH511">
        <v>0</v>
      </c>
      <c r="LI511">
        <v>0</v>
      </c>
    </row>
    <row r="512" spans="1:321" x14ac:dyDescent="0.35">
      <c r="A512">
        <v>1</v>
      </c>
      <c r="B512">
        <v>1305</v>
      </c>
      <c r="C512" t="s">
        <v>1183</v>
      </c>
      <c r="D512" t="s">
        <v>1061</v>
      </c>
      <c r="E512" t="s">
        <v>85</v>
      </c>
      <c r="F512">
        <v>1</v>
      </c>
      <c r="G512">
        <v>8890</v>
      </c>
      <c r="H512">
        <v>0</v>
      </c>
      <c r="I512" t="s">
        <v>994</v>
      </c>
      <c r="L512">
        <v>0</v>
      </c>
      <c r="M512">
        <v>0</v>
      </c>
      <c r="N512">
        <v>0</v>
      </c>
      <c r="P512">
        <v>13</v>
      </c>
      <c r="Q512">
        <v>516</v>
      </c>
      <c r="R512">
        <v>0</v>
      </c>
      <c r="S512">
        <v>0</v>
      </c>
      <c r="W512" t="s">
        <v>1060</v>
      </c>
      <c r="X512">
        <v>0</v>
      </c>
      <c r="Z512">
        <v>0</v>
      </c>
      <c r="AA512">
        <v>0</v>
      </c>
      <c r="AB512">
        <v>0</v>
      </c>
      <c r="AC512">
        <v>0</v>
      </c>
      <c r="AD512" t="s">
        <v>1042</v>
      </c>
      <c r="AE512">
        <v>0</v>
      </c>
      <c r="AF512">
        <v>0</v>
      </c>
      <c r="AH512">
        <v>0</v>
      </c>
      <c r="AJ512">
        <v>0</v>
      </c>
      <c r="AL512">
        <v>145800</v>
      </c>
      <c r="AM512">
        <v>0</v>
      </c>
      <c r="AN512">
        <v>11501001</v>
      </c>
      <c r="AO512">
        <v>0</v>
      </c>
      <c r="AP512">
        <v>1002</v>
      </c>
      <c r="AT512">
        <v>1</v>
      </c>
      <c r="AU512" t="s">
        <v>1059</v>
      </c>
      <c r="AW512" t="s">
        <v>1053</v>
      </c>
      <c r="AX512">
        <v>0</v>
      </c>
      <c r="AY512" s="20">
        <v>43242</v>
      </c>
      <c r="BA512" s="20">
        <v>43242</v>
      </c>
      <c r="BB512" t="s">
        <v>1058</v>
      </c>
      <c r="BD512">
        <v>0</v>
      </c>
      <c r="BF512" t="s">
        <v>1044</v>
      </c>
      <c r="BG512" t="s">
        <v>1042</v>
      </c>
      <c r="BH512">
        <v>0</v>
      </c>
      <c r="BI512">
        <v>21</v>
      </c>
      <c r="BJ512">
        <v>0</v>
      </c>
      <c r="BK512">
        <v>0</v>
      </c>
      <c r="BM512" t="s">
        <v>1042</v>
      </c>
      <c r="BN512">
        <v>0</v>
      </c>
      <c r="BR512" t="s">
        <v>1043</v>
      </c>
      <c r="BS512" t="s">
        <v>1043</v>
      </c>
      <c r="BT512" t="s">
        <v>1043</v>
      </c>
      <c r="BV512">
        <v>1</v>
      </c>
      <c r="BW512">
        <v>2</v>
      </c>
      <c r="BY512">
        <v>78</v>
      </c>
      <c r="CA512">
        <v>0</v>
      </c>
      <c r="CB512" t="s">
        <v>1057</v>
      </c>
      <c r="CE512" t="s">
        <v>1043</v>
      </c>
      <c r="CH512" t="s">
        <v>1043</v>
      </c>
      <c r="CN512" t="s">
        <v>1056</v>
      </c>
      <c r="CO512" t="s">
        <v>1043</v>
      </c>
      <c r="CP512">
        <v>1</v>
      </c>
      <c r="CQ512">
        <v>0</v>
      </c>
      <c r="CS512">
        <v>0</v>
      </c>
      <c r="CT512">
        <v>0</v>
      </c>
      <c r="CU512">
        <v>0</v>
      </c>
      <c r="CW512">
        <v>0</v>
      </c>
      <c r="CX512">
        <v>0</v>
      </c>
      <c r="CY512">
        <v>0</v>
      </c>
      <c r="CZ512">
        <v>0</v>
      </c>
      <c r="DB512">
        <v>0</v>
      </c>
      <c r="DC512" t="s">
        <v>1043</v>
      </c>
      <c r="DF512" t="s">
        <v>1055</v>
      </c>
      <c r="DH512">
        <v>0</v>
      </c>
      <c r="DJ512">
        <v>0</v>
      </c>
      <c r="DK512" t="s">
        <v>1053</v>
      </c>
      <c r="DL512">
        <v>0</v>
      </c>
      <c r="DN512">
        <v>0</v>
      </c>
      <c r="DO512" t="s">
        <v>1042</v>
      </c>
      <c r="DP512">
        <v>0</v>
      </c>
      <c r="DQ512">
        <v>7.6</v>
      </c>
      <c r="DS512">
        <v>0</v>
      </c>
      <c r="DU512">
        <v>1.65</v>
      </c>
      <c r="DW512">
        <v>0</v>
      </c>
      <c r="DX512" t="s">
        <v>1043</v>
      </c>
      <c r="DY512">
        <v>0</v>
      </c>
      <c r="DZ512">
        <v>0</v>
      </c>
      <c r="EA512">
        <v>0</v>
      </c>
      <c r="ED512" t="s">
        <v>1045</v>
      </c>
      <c r="EE512">
        <v>0</v>
      </c>
      <c r="EF512">
        <v>0</v>
      </c>
      <c r="EK512" t="s">
        <v>1054</v>
      </c>
      <c r="EN512" t="s">
        <v>1012</v>
      </c>
      <c r="EQ512" t="s">
        <v>1044</v>
      </c>
      <c r="ES512" t="s">
        <v>1053</v>
      </c>
      <c r="ET512">
        <v>0</v>
      </c>
      <c r="EV512">
        <v>0</v>
      </c>
      <c r="EY512" t="s">
        <v>1052</v>
      </c>
      <c r="EZ512">
        <v>0</v>
      </c>
      <c r="FA512" t="s">
        <v>1043</v>
      </c>
      <c r="FB512">
        <v>0</v>
      </c>
      <c r="FC512">
        <v>0</v>
      </c>
      <c r="FD512" t="s">
        <v>1051</v>
      </c>
      <c r="FE512" t="s">
        <v>1050</v>
      </c>
      <c r="FF512">
        <v>0</v>
      </c>
      <c r="FG512" t="s">
        <v>1050</v>
      </c>
      <c r="FJ512">
        <v>0</v>
      </c>
      <c r="FK512">
        <v>0</v>
      </c>
      <c r="FP512">
        <v>0</v>
      </c>
      <c r="FR512">
        <v>0</v>
      </c>
      <c r="FS512" t="s">
        <v>1043</v>
      </c>
      <c r="FX512" t="s">
        <v>1042</v>
      </c>
      <c r="FZ512" t="s">
        <v>1048</v>
      </c>
      <c r="GA512">
        <v>0</v>
      </c>
      <c r="GB512" t="s">
        <v>1042</v>
      </c>
      <c r="GD512">
        <v>16</v>
      </c>
      <c r="GE512">
        <v>0</v>
      </c>
      <c r="GG512">
        <v>0</v>
      </c>
      <c r="GN512">
        <v>0</v>
      </c>
      <c r="GO512" t="s">
        <v>1049</v>
      </c>
      <c r="GQ512">
        <v>0</v>
      </c>
      <c r="GU512">
        <v>2</v>
      </c>
      <c r="GY512" t="s">
        <v>1045</v>
      </c>
      <c r="HB512">
        <v>0</v>
      </c>
      <c r="HE512">
        <v>10</v>
      </c>
      <c r="HF512">
        <v>15</v>
      </c>
      <c r="HG512">
        <v>0</v>
      </c>
      <c r="HK512" t="s">
        <v>1042</v>
      </c>
      <c r="HL512" t="s">
        <v>1048</v>
      </c>
      <c r="HM512" t="s">
        <v>1047</v>
      </c>
      <c r="HN512">
        <v>0</v>
      </c>
      <c r="HP512">
        <v>0</v>
      </c>
      <c r="HQ512">
        <v>0</v>
      </c>
      <c r="HR512" t="s">
        <v>1042</v>
      </c>
      <c r="HS512" t="s">
        <v>1043</v>
      </c>
      <c r="HT512">
        <v>0</v>
      </c>
      <c r="HU512">
        <v>0</v>
      </c>
      <c r="HW512">
        <v>0</v>
      </c>
      <c r="HX512">
        <v>0</v>
      </c>
      <c r="HY512">
        <v>0</v>
      </c>
      <c r="HZ512" t="s">
        <v>1045</v>
      </c>
      <c r="IA512">
        <v>0</v>
      </c>
      <c r="IB512" t="s">
        <v>1045</v>
      </c>
      <c r="ID512" t="s">
        <v>1045</v>
      </c>
      <c r="IF512">
        <v>0</v>
      </c>
      <c r="IG512" t="s">
        <v>1042</v>
      </c>
      <c r="IH512" t="s">
        <v>1046</v>
      </c>
      <c r="II512" t="s">
        <v>1042</v>
      </c>
      <c r="IR512" t="s">
        <v>1045</v>
      </c>
      <c r="IT512">
        <v>0</v>
      </c>
      <c r="IY512" t="s">
        <v>1044</v>
      </c>
      <c r="IZ512" t="s">
        <v>1043</v>
      </c>
      <c r="JE512">
        <v>0</v>
      </c>
      <c r="JF512">
        <v>0</v>
      </c>
      <c r="JI512" t="s">
        <v>1042</v>
      </c>
      <c r="JJ512">
        <v>0</v>
      </c>
      <c r="JK512">
        <v>0</v>
      </c>
      <c r="JL512">
        <v>0</v>
      </c>
      <c r="JM512">
        <v>0</v>
      </c>
      <c r="JT512">
        <v>0</v>
      </c>
      <c r="JU512" t="s">
        <v>1042</v>
      </c>
      <c r="JW512">
        <v>0</v>
      </c>
      <c r="KA512">
        <v>0</v>
      </c>
      <c r="KF512">
        <v>0</v>
      </c>
      <c r="KG512">
        <v>0</v>
      </c>
      <c r="KH512">
        <v>0</v>
      </c>
      <c r="KI512">
        <v>0</v>
      </c>
      <c r="KS512" t="s">
        <v>1041</v>
      </c>
      <c r="KT512">
        <v>0</v>
      </c>
      <c r="KU512">
        <v>0</v>
      </c>
      <c r="KV512">
        <v>0</v>
      </c>
      <c r="KX512">
        <v>0</v>
      </c>
      <c r="KZ512">
        <v>0</v>
      </c>
      <c r="LF512">
        <v>0</v>
      </c>
      <c r="LH512">
        <v>0</v>
      </c>
      <c r="LI512">
        <v>0</v>
      </c>
    </row>
    <row r="513" spans="1:321" x14ac:dyDescent="0.35">
      <c r="A513">
        <v>1</v>
      </c>
      <c r="B513">
        <v>1306</v>
      </c>
      <c r="C513" t="s">
        <v>1182</v>
      </c>
      <c r="D513" t="s">
        <v>1061</v>
      </c>
      <c r="E513" t="s">
        <v>85</v>
      </c>
      <c r="F513">
        <v>1</v>
      </c>
      <c r="G513">
        <v>8890</v>
      </c>
      <c r="H513">
        <v>0</v>
      </c>
      <c r="I513" t="s">
        <v>994</v>
      </c>
      <c r="L513">
        <v>0</v>
      </c>
      <c r="M513">
        <v>0</v>
      </c>
      <c r="N513">
        <v>0</v>
      </c>
      <c r="P513">
        <v>13</v>
      </c>
      <c r="Q513">
        <v>516</v>
      </c>
      <c r="R513">
        <v>0</v>
      </c>
      <c r="S513">
        <v>0</v>
      </c>
      <c r="W513" t="s">
        <v>1060</v>
      </c>
      <c r="X513">
        <v>0</v>
      </c>
      <c r="Z513">
        <v>0</v>
      </c>
      <c r="AA513">
        <v>0</v>
      </c>
      <c r="AB513">
        <v>0</v>
      </c>
      <c r="AC513">
        <v>0</v>
      </c>
      <c r="AD513" t="s">
        <v>1042</v>
      </c>
      <c r="AE513">
        <v>0</v>
      </c>
      <c r="AF513">
        <v>0</v>
      </c>
      <c r="AH513">
        <v>0</v>
      </c>
      <c r="AJ513">
        <v>0</v>
      </c>
      <c r="AL513">
        <v>145800</v>
      </c>
      <c r="AM513">
        <v>0</v>
      </c>
      <c r="AN513">
        <v>11501001</v>
      </c>
      <c r="AO513">
        <v>0</v>
      </c>
      <c r="AP513">
        <v>1002</v>
      </c>
      <c r="AT513">
        <v>1</v>
      </c>
      <c r="AU513" t="s">
        <v>1059</v>
      </c>
      <c r="AW513" t="s">
        <v>1053</v>
      </c>
      <c r="AX513">
        <v>0</v>
      </c>
      <c r="AY513" s="20">
        <v>43242</v>
      </c>
      <c r="BA513" s="20">
        <v>43242</v>
      </c>
      <c r="BB513" t="s">
        <v>1058</v>
      </c>
      <c r="BD513">
        <v>0</v>
      </c>
      <c r="BF513" t="s">
        <v>1044</v>
      </c>
      <c r="BG513" t="s">
        <v>1042</v>
      </c>
      <c r="BH513">
        <v>0</v>
      </c>
      <c r="BI513">
        <v>21</v>
      </c>
      <c r="BJ513">
        <v>0</v>
      </c>
      <c r="BK513">
        <v>0</v>
      </c>
      <c r="BM513" t="s">
        <v>1042</v>
      </c>
      <c r="BN513">
        <v>0</v>
      </c>
      <c r="BR513" t="s">
        <v>1043</v>
      </c>
      <c r="BS513" t="s">
        <v>1043</v>
      </c>
      <c r="BT513" t="s">
        <v>1043</v>
      </c>
      <c r="BV513">
        <v>1</v>
      </c>
      <c r="BW513">
        <v>2</v>
      </c>
      <c r="BY513">
        <v>78</v>
      </c>
      <c r="CA513">
        <v>0</v>
      </c>
      <c r="CB513" t="s">
        <v>1057</v>
      </c>
      <c r="CE513" t="s">
        <v>1043</v>
      </c>
      <c r="CH513" t="s">
        <v>1043</v>
      </c>
      <c r="CN513" t="s">
        <v>1056</v>
      </c>
      <c r="CO513" t="s">
        <v>1043</v>
      </c>
      <c r="CP513">
        <v>1</v>
      </c>
      <c r="CQ513">
        <v>0</v>
      </c>
      <c r="CS513">
        <v>0</v>
      </c>
      <c r="CT513">
        <v>0</v>
      </c>
      <c r="CU513">
        <v>0</v>
      </c>
      <c r="CW513">
        <v>0</v>
      </c>
      <c r="CX513">
        <v>0</v>
      </c>
      <c r="CY513">
        <v>0</v>
      </c>
      <c r="CZ513">
        <v>0</v>
      </c>
      <c r="DB513">
        <v>0</v>
      </c>
      <c r="DC513" t="s">
        <v>1043</v>
      </c>
      <c r="DF513" t="s">
        <v>1055</v>
      </c>
      <c r="DH513">
        <v>0</v>
      </c>
      <c r="DJ513">
        <v>0</v>
      </c>
      <c r="DK513" t="s">
        <v>1053</v>
      </c>
      <c r="DL513">
        <v>0</v>
      </c>
      <c r="DN513">
        <v>0</v>
      </c>
      <c r="DO513" t="s">
        <v>1042</v>
      </c>
      <c r="DP513">
        <v>0</v>
      </c>
      <c r="DQ513">
        <v>7.6</v>
      </c>
      <c r="DS513">
        <v>0</v>
      </c>
      <c r="DU513">
        <v>1.65</v>
      </c>
      <c r="DW513">
        <v>0</v>
      </c>
      <c r="DX513" t="s">
        <v>1043</v>
      </c>
      <c r="DY513">
        <v>0</v>
      </c>
      <c r="DZ513">
        <v>0</v>
      </c>
      <c r="EA513">
        <v>0</v>
      </c>
      <c r="ED513" t="s">
        <v>1045</v>
      </c>
      <c r="EE513">
        <v>0</v>
      </c>
      <c r="EF513">
        <v>0</v>
      </c>
      <c r="EK513" t="s">
        <v>1054</v>
      </c>
      <c r="EN513" t="s">
        <v>1012</v>
      </c>
      <c r="EQ513" t="s">
        <v>1044</v>
      </c>
      <c r="ES513" t="s">
        <v>1053</v>
      </c>
      <c r="ET513">
        <v>0</v>
      </c>
      <c r="EV513">
        <v>0</v>
      </c>
      <c r="EY513" t="s">
        <v>1052</v>
      </c>
      <c r="EZ513">
        <v>0</v>
      </c>
      <c r="FA513" t="s">
        <v>1043</v>
      </c>
      <c r="FB513">
        <v>0</v>
      </c>
      <c r="FC513">
        <v>0</v>
      </c>
      <c r="FD513" t="s">
        <v>1051</v>
      </c>
      <c r="FE513" t="s">
        <v>1050</v>
      </c>
      <c r="FF513">
        <v>0</v>
      </c>
      <c r="FG513" t="s">
        <v>1050</v>
      </c>
      <c r="FJ513">
        <v>0</v>
      </c>
      <c r="FK513">
        <v>0</v>
      </c>
      <c r="FP513">
        <v>0</v>
      </c>
      <c r="FR513">
        <v>0</v>
      </c>
      <c r="FS513" t="s">
        <v>1043</v>
      </c>
      <c r="FX513" t="s">
        <v>1042</v>
      </c>
      <c r="FZ513" t="s">
        <v>1048</v>
      </c>
      <c r="GA513">
        <v>0</v>
      </c>
      <c r="GB513" t="s">
        <v>1042</v>
      </c>
      <c r="GD513">
        <v>16</v>
      </c>
      <c r="GE513">
        <v>0</v>
      </c>
      <c r="GG513">
        <v>0</v>
      </c>
      <c r="GN513">
        <v>0</v>
      </c>
      <c r="GO513" t="s">
        <v>1049</v>
      </c>
      <c r="GQ513">
        <v>0</v>
      </c>
      <c r="GU513">
        <v>2</v>
      </c>
      <c r="GY513" t="s">
        <v>1045</v>
      </c>
      <c r="HB513">
        <v>0</v>
      </c>
      <c r="HE513">
        <v>10</v>
      </c>
      <c r="HF513">
        <v>15</v>
      </c>
      <c r="HG513">
        <v>0</v>
      </c>
      <c r="HK513" t="s">
        <v>1042</v>
      </c>
      <c r="HL513" t="s">
        <v>1048</v>
      </c>
      <c r="HM513" t="s">
        <v>1047</v>
      </c>
      <c r="HN513">
        <v>0</v>
      </c>
      <c r="HP513">
        <v>0</v>
      </c>
      <c r="HQ513">
        <v>0</v>
      </c>
      <c r="HR513" t="s">
        <v>1042</v>
      </c>
      <c r="HS513" t="s">
        <v>1043</v>
      </c>
      <c r="HT513">
        <v>0</v>
      </c>
      <c r="HU513">
        <v>0</v>
      </c>
      <c r="HW513">
        <v>0</v>
      </c>
      <c r="HX513">
        <v>0</v>
      </c>
      <c r="HY513">
        <v>0</v>
      </c>
      <c r="HZ513" t="s">
        <v>1045</v>
      </c>
      <c r="IA513">
        <v>0</v>
      </c>
      <c r="IB513" t="s">
        <v>1045</v>
      </c>
      <c r="ID513" t="s">
        <v>1045</v>
      </c>
      <c r="IF513">
        <v>0</v>
      </c>
      <c r="IG513" t="s">
        <v>1042</v>
      </c>
      <c r="IH513" t="s">
        <v>1046</v>
      </c>
      <c r="II513" t="s">
        <v>1042</v>
      </c>
      <c r="IR513" t="s">
        <v>1045</v>
      </c>
      <c r="IT513">
        <v>0</v>
      </c>
      <c r="IY513" t="s">
        <v>1044</v>
      </c>
      <c r="IZ513" t="s">
        <v>1043</v>
      </c>
      <c r="JE513">
        <v>0</v>
      </c>
      <c r="JF513">
        <v>0</v>
      </c>
      <c r="JI513" t="s">
        <v>1042</v>
      </c>
      <c r="JJ513">
        <v>0</v>
      </c>
      <c r="JK513">
        <v>0</v>
      </c>
      <c r="JL513">
        <v>0</v>
      </c>
      <c r="JM513">
        <v>0</v>
      </c>
      <c r="JT513">
        <v>0</v>
      </c>
      <c r="JU513" t="s">
        <v>1042</v>
      </c>
      <c r="JW513">
        <v>0</v>
      </c>
      <c r="KA513">
        <v>0</v>
      </c>
      <c r="KF513">
        <v>0</v>
      </c>
      <c r="KG513">
        <v>0</v>
      </c>
      <c r="KH513">
        <v>0</v>
      </c>
      <c r="KI513">
        <v>0</v>
      </c>
      <c r="KS513" t="s">
        <v>1041</v>
      </c>
      <c r="KT513">
        <v>0</v>
      </c>
      <c r="KU513">
        <v>0</v>
      </c>
      <c r="KV513">
        <v>0</v>
      </c>
      <c r="KX513">
        <v>0</v>
      </c>
      <c r="KZ513">
        <v>0</v>
      </c>
      <c r="LF513">
        <v>0</v>
      </c>
      <c r="LH513">
        <v>0</v>
      </c>
      <c r="LI513">
        <v>0</v>
      </c>
    </row>
    <row r="514" spans="1:321" x14ac:dyDescent="0.35">
      <c r="A514">
        <v>1</v>
      </c>
      <c r="B514">
        <v>1307</v>
      </c>
      <c r="C514" t="s">
        <v>1181</v>
      </c>
      <c r="D514" t="s">
        <v>1061</v>
      </c>
      <c r="E514" t="s">
        <v>85</v>
      </c>
      <c r="F514">
        <v>1</v>
      </c>
      <c r="G514">
        <v>8890</v>
      </c>
      <c r="H514">
        <v>0</v>
      </c>
      <c r="I514" t="s">
        <v>994</v>
      </c>
      <c r="L514">
        <v>0</v>
      </c>
      <c r="M514">
        <v>0</v>
      </c>
      <c r="N514">
        <v>0</v>
      </c>
      <c r="P514">
        <v>13</v>
      </c>
      <c r="Q514">
        <v>516</v>
      </c>
      <c r="R514">
        <v>0</v>
      </c>
      <c r="S514">
        <v>0</v>
      </c>
      <c r="W514" t="s">
        <v>1060</v>
      </c>
      <c r="X514">
        <v>0</v>
      </c>
      <c r="Z514">
        <v>0</v>
      </c>
      <c r="AA514">
        <v>0</v>
      </c>
      <c r="AB514">
        <v>0</v>
      </c>
      <c r="AC514">
        <v>0</v>
      </c>
      <c r="AD514" t="s">
        <v>1042</v>
      </c>
      <c r="AE514">
        <v>0</v>
      </c>
      <c r="AF514">
        <v>0</v>
      </c>
      <c r="AH514">
        <v>0</v>
      </c>
      <c r="AJ514">
        <v>0</v>
      </c>
      <c r="AL514">
        <v>145800</v>
      </c>
      <c r="AM514">
        <v>0</v>
      </c>
      <c r="AN514">
        <v>11501001</v>
      </c>
      <c r="AO514">
        <v>0</v>
      </c>
      <c r="AP514">
        <v>1002</v>
      </c>
      <c r="AT514">
        <v>1</v>
      </c>
      <c r="AU514" t="s">
        <v>1059</v>
      </c>
      <c r="AW514" t="s">
        <v>1053</v>
      </c>
      <c r="AX514">
        <v>0</v>
      </c>
      <c r="AY514" s="20">
        <v>43242</v>
      </c>
      <c r="BA514" s="20">
        <v>43242</v>
      </c>
      <c r="BB514" t="s">
        <v>1058</v>
      </c>
      <c r="BD514">
        <v>0</v>
      </c>
      <c r="BF514" t="s">
        <v>1044</v>
      </c>
      <c r="BG514" t="s">
        <v>1042</v>
      </c>
      <c r="BH514">
        <v>0</v>
      </c>
      <c r="BI514">
        <v>21</v>
      </c>
      <c r="BJ514">
        <v>0</v>
      </c>
      <c r="BK514">
        <v>0</v>
      </c>
      <c r="BM514" t="s">
        <v>1042</v>
      </c>
      <c r="BN514">
        <v>0</v>
      </c>
      <c r="BR514" t="s">
        <v>1043</v>
      </c>
      <c r="BS514" t="s">
        <v>1043</v>
      </c>
      <c r="BT514" t="s">
        <v>1043</v>
      </c>
      <c r="BV514">
        <v>1</v>
      </c>
      <c r="BW514">
        <v>2</v>
      </c>
      <c r="BY514">
        <v>78</v>
      </c>
      <c r="CA514">
        <v>0</v>
      </c>
      <c r="CB514" t="s">
        <v>1057</v>
      </c>
      <c r="CE514" t="s">
        <v>1043</v>
      </c>
      <c r="CH514" t="s">
        <v>1043</v>
      </c>
      <c r="CN514" t="s">
        <v>1056</v>
      </c>
      <c r="CO514" t="s">
        <v>1043</v>
      </c>
      <c r="CP514">
        <v>1</v>
      </c>
      <c r="CQ514">
        <v>0</v>
      </c>
      <c r="CS514">
        <v>0</v>
      </c>
      <c r="CT514">
        <v>0</v>
      </c>
      <c r="CU514">
        <v>0</v>
      </c>
      <c r="CW514">
        <v>0</v>
      </c>
      <c r="CX514">
        <v>0</v>
      </c>
      <c r="CY514">
        <v>0</v>
      </c>
      <c r="CZ514">
        <v>0</v>
      </c>
      <c r="DB514">
        <v>0</v>
      </c>
      <c r="DC514" t="s">
        <v>1043</v>
      </c>
      <c r="DF514" t="s">
        <v>1055</v>
      </c>
      <c r="DH514">
        <v>0</v>
      </c>
      <c r="DJ514">
        <v>0</v>
      </c>
      <c r="DK514" t="s">
        <v>1053</v>
      </c>
      <c r="DL514">
        <v>0</v>
      </c>
      <c r="DN514">
        <v>0</v>
      </c>
      <c r="DO514" t="s">
        <v>1042</v>
      </c>
      <c r="DP514">
        <v>0</v>
      </c>
      <c r="DQ514">
        <v>7.6</v>
      </c>
      <c r="DS514">
        <v>0</v>
      </c>
      <c r="DU514">
        <v>1.65</v>
      </c>
      <c r="DW514">
        <v>0</v>
      </c>
      <c r="DX514" t="s">
        <v>1043</v>
      </c>
      <c r="DY514">
        <v>0</v>
      </c>
      <c r="DZ514">
        <v>0</v>
      </c>
      <c r="EA514">
        <v>0</v>
      </c>
      <c r="ED514" t="s">
        <v>1045</v>
      </c>
      <c r="EE514">
        <v>0</v>
      </c>
      <c r="EF514">
        <v>0</v>
      </c>
      <c r="EK514" t="s">
        <v>1054</v>
      </c>
      <c r="EN514" t="s">
        <v>1012</v>
      </c>
      <c r="EQ514" t="s">
        <v>1044</v>
      </c>
      <c r="ES514" t="s">
        <v>1053</v>
      </c>
      <c r="ET514">
        <v>0</v>
      </c>
      <c r="EV514">
        <v>0</v>
      </c>
      <c r="EY514" t="s">
        <v>1052</v>
      </c>
      <c r="EZ514">
        <v>0</v>
      </c>
      <c r="FA514" t="s">
        <v>1043</v>
      </c>
      <c r="FB514">
        <v>0</v>
      </c>
      <c r="FC514">
        <v>0</v>
      </c>
      <c r="FD514" t="s">
        <v>1051</v>
      </c>
      <c r="FE514" t="s">
        <v>1050</v>
      </c>
      <c r="FF514">
        <v>0</v>
      </c>
      <c r="FG514" t="s">
        <v>1050</v>
      </c>
      <c r="FJ514">
        <v>0</v>
      </c>
      <c r="FK514">
        <v>0</v>
      </c>
      <c r="FP514">
        <v>0</v>
      </c>
      <c r="FR514">
        <v>0</v>
      </c>
      <c r="FS514" t="s">
        <v>1043</v>
      </c>
      <c r="FX514" t="s">
        <v>1042</v>
      </c>
      <c r="FZ514" t="s">
        <v>1048</v>
      </c>
      <c r="GA514">
        <v>0</v>
      </c>
      <c r="GB514" t="s">
        <v>1042</v>
      </c>
      <c r="GD514">
        <v>16</v>
      </c>
      <c r="GE514">
        <v>0</v>
      </c>
      <c r="GG514">
        <v>0</v>
      </c>
      <c r="GN514">
        <v>0</v>
      </c>
      <c r="GO514" t="s">
        <v>1049</v>
      </c>
      <c r="GQ514">
        <v>0</v>
      </c>
      <c r="GU514">
        <v>2</v>
      </c>
      <c r="GY514" t="s">
        <v>1045</v>
      </c>
      <c r="HB514">
        <v>0</v>
      </c>
      <c r="HE514">
        <v>10</v>
      </c>
      <c r="HF514">
        <v>15</v>
      </c>
      <c r="HG514">
        <v>0</v>
      </c>
      <c r="HK514" t="s">
        <v>1042</v>
      </c>
      <c r="HL514" t="s">
        <v>1048</v>
      </c>
      <c r="HM514" t="s">
        <v>1047</v>
      </c>
      <c r="HN514">
        <v>0</v>
      </c>
      <c r="HP514">
        <v>0</v>
      </c>
      <c r="HQ514">
        <v>0</v>
      </c>
      <c r="HR514" t="s">
        <v>1042</v>
      </c>
      <c r="HS514" t="s">
        <v>1043</v>
      </c>
      <c r="HT514">
        <v>0</v>
      </c>
      <c r="HU514">
        <v>0</v>
      </c>
      <c r="HW514">
        <v>0</v>
      </c>
      <c r="HX514">
        <v>0</v>
      </c>
      <c r="HY514">
        <v>0</v>
      </c>
      <c r="HZ514" t="s">
        <v>1045</v>
      </c>
      <c r="IA514">
        <v>0</v>
      </c>
      <c r="IB514" t="s">
        <v>1045</v>
      </c>
      <c r="ID514" t="s">
        <v>1045</v>
      </c>
      <c r="IF514">
        <v>0</v>
      </c>
      <c r="IG514" t="s">
        <v>1042</v>
      </c>
      <c r="IH514" t="s">
        <v>1046</v>
      </c>
      <c r="II514" t="s">
        <v>1042</v>
      </c>
      <c r="IR514" t="s">
        <v>1045</v>
      </c>
      <c r="IT514">
        <v>0</v>
      </c>
      <c r="IY514" t="s">
        <v>1044</v>
      </c>
      <c r="IZ514" t="s">
        <v>1043</v>
      </c>
      <c r="JE514">
        <v>0</v>
      </c>
      <c r="JF514">
        <v>0</v>
      </c>
      <c r="JI514" t="s">
        <v>1042</v>
      </c>
      <c r="JJ514">
        <v>0</v>
      </c>
      <c r="JK514">
        <v>0</v>
      </c>
      <c r="JL514">
        <v>0</v>
      </c>
      <c r="JM514">
        <v>0</v>
      </c>
      <c r="JT514">
        <v>0</v>
      </c>
      <c r="JU514" t="s">
        <v>1042</v>
      </c>
      <c r="JW514">
        <v>0</v>
      </c>
      <c r="KA514">
        <v>0</v>
      </c>
      <c r="KF514">
        <v>0</v>
      </c>
      <c r="KG514">
        <v>0</v>
      </c>
      <c r="KH514">
        <v>0</v>
      </c>
      <c r="KI514">
        <v>0</v>
      </c>
      <c r="KS514" t="s">
        <v>1041</v>
      </c>
      <c r="KT514">
        <v>0</v>
      </c>
      <c r="KU514">
        <v>0</v>
      </c>
      <c r="KV514">
        <v>0</v>
      </c>
      <c r="KX514">
        <v>0</v>
      </c>
      <c r="KZ514">
        <v>0</v>
      </c>
      <c r="LF514">
        <v>0</v>
      </c>
      <c r="LH514">
        <v>0</v>
      </c>
      <c r="LI514">
        <v>0</v>
      </c>
    </row>
    <row r="515" spans="1:321" x14ac:dyDescent="0.35">
      <c r="A515">
        <v>1</v>
      </c>
      <c r="B515">
        <v>1308</v>
      </c>
      <c r="C515" t="s">
        <v>677</v>
      </c>
      <c r="D515" t="s">
        <v>1061</v>
      </c>
      <c r="E515" t="s">
        <v>85</v>
      </c>
      <c r="F515">
        <v>1</v>
      </c>
      <c r="G515">
        <v>240</v>
      </c>
      <c r="H515">
        <v>0</v>
      </c>
      <c r="I515" t="s">
        <v>1017</v>
      </c>
      <c r="M515">
        <v>9.75</v>
      </c>
      <c r="N515">
        <v>0</v>
      </c>
      <c r="Q515">
        <v>511</v>
      </c>
      <c r="R515">
        <v>0</v>
      </c>
      <c r="S515">
        <v>0</v>
      </c>
      <c r="W515" t="s">
        <v>1060</v>
      </c>
      <c r="X515">
        <v>0</v>
      </c>
      <c r="Z515">
        <v>4</v>
      </c>
      <c r="AA515">
        <v>193.2773</v>
      </c>
      <c r="AB515">
        <v>95</v>
      </c>
      <c r="AC515">
        <v>8.14</v>
      </c>
      <c r="AD515" t="s">
        <v>1042</v>
      </c>
      <c r="AE515">
        <v>0</v>
      </c>
      <c r="AF515">
        <v>1.143</v>
      </c>
      <c r="AH515">
        <v>20</v>
      </c>
      <c r="AJ515">
        <v>0</v>
      </c>
      <c r="AL515">
        <v>0</v>
      </c>
      <c r="AM515">
        <v>480</v>
      </c>
      <c r="AN515">
        <v>11501001</v>
      </c>
      <c r="AO515">
        <v>0</v>
      </c>
      <c r="AP515">
        <v>1002</v>
      </c>
      <c r="AT515">
        <v>0</v>
      </c>
      <c r="AW515" t="s">
        <v>1053</v>
      </c>
      <c r="AX515">
        <v>5</v>
      </c>
      <c r="AY515" s="20">
        <v>43669</v>
      </c>
      <c r="BA515" s="20">
        <v>44420</v>
      </c>
      <c r="BB515" t="s">
        <v>1058</v>
      </c>
      <c r="BD515">
        <v>0</v>
      </c>
      <c r="BF515" t="s">
        <v>1044</v>
      </c>
      <c r="BG515" t="s">
        <v>1042</v>
      </c>
      <c r="BH515">
        <v>0</v>
      </c>
      <c r="BI515">
        <v>36</v>
      </c>
      <c r="BJ515">
        <v>0</v>
      </c>
      <c r="BK515">
        <v>0</v>
      </c>
      <c r="BM515" s="20">
        <v>43885</v>
      </c>
      <c r="BN515">
        <v>0</v>
      </c>
      <c r="BO515">
        <v>7897801319485</v>
      </c>
      <c r="BS515" t="s">
        <v>1043</v>
      </c>
      <c r="BT515" t="s">
        <v>1043</v>
      </c>
      <c r="BW515">
        <v>2</v>
      </c>
      <c r="BY515">
        <v>79</v>
      </c>
      <c r="CA515">
        <v>0</v>
      </c>
      <c r="CB515" t="s">
        <v>1043</v>
      </c>
      <c r="CE515" t="s">
        <v>1043</v>
      </c>
      <c r="CH515" t="s">
        <v>1043</v>
      </c>
      <c r="CN515" t="s">
        <v>1056</v>
      </c>
      <c r="CO515" t="s">
        <v>1043</v>
      </c>
      <c r="CP515">
        <v>1</v>
      </c>
      <c r="CQ515">
        <v>0</v>
      </c>
      <c r="CS515">
        <v>0</v>
      </c>
      <c r="CT515">
        <v>0</v>
      </c>
      <c r="CU515">
        <v>0</v>
      </c>
      <c r="CV515" t="s">
        <v>1045</v>
      </c>
      <c r="CW515">
        <v>0</v>
      </c>
      <c r="CX515">
        <v>0</v>
      </c>
      <c r="CY515">
        <v>0</v>
      </c>
      <c r="CZ515">
        <v>0</v>
      </c>
      <c r="DA515">
        <v>2</v>
      </c>
      <c r="DB515">
        <v>0</v>
      </c>
      <c r="DC515" t="s">
        <v>1043</v>
      </c>
      <c r="DF515" t="s">
        <v>1055</v>
      </c>
      <c r="DH515">
        <v>0</v>
      </c>
      <c r="DJ515">
        <v>0</v>
      </c>
      <c r="DK515" t="s">
        <v>1053</v>
      </c>
      <c r="DL515">
        <v>0</v>
      </c>
      <c r="DN515">
        <v>0</v>
      </c>
      <c r="DO515" t="s">
        <v>1042</v>
      </c>
      <c r="DP515">
        <v>0</v>
      </c>
      <c r="DQ515">
        <v>0</v>
      </c>
      <c r="DS515">
        <v>0</v>
      </c>
      <c r="DU515">
        <v>0</v>
      </c>
      <c r="DW515">
        <v>0</v>
      </c>
      <c r="DX515" t="s">
        <v>1043</v>
      </c>
      <c r="DY515">
        <v>0</v>
      </c>
      <c r="DZ515">
        <v>0</v>
      </c>
      <c r="EA515">
        <v>0</v>
      </c>
      <c r="EB515">
        <v>17897801319482</v>
      </c>
      <c r="ED515" t="s">
        <v>1045</v>
      </c>
      <c r="EE515">
        <v>0</v>
      </c>
      <c r="EF515">
        <v>0</v>
      </c>
      <c r="EL515">
        <v>57897801319480</v>
      </c>
      <c r="EQ515" t="s">
        <v>1044</v>
      </c>
      <c r="ES515" t="s">
        <v>1053</v>
      </c>
      <c r="ET515">
        <v>0</v>
      </c>
      <c r="EV515">
        <v>0</v>
      </c>
      <c r="EY515" t="s">
        <v>1052</v>
      </c>
      <c r="EZ515">
        <v>0</v>
      </c>
      <c r="FA515" t="s">
        <v>1043</v>
      </c>
      <c r="FB515">
        <v>0</v>
      </c>
      <c r="FC515">
        <v>0</v>
      </c>
      <c r="FD515" t="s">
        <v>1051</v>
      </c>
      <c r="FE515" t="s">
        <v>1050</v>
      </c>
      <c r="FF515">
        <v>0</v>
      </c>
      <c r="FG515" t="s">
        <v>1050</v>
      </c>
      <c r="FH515">
        <v>27897801319489</v>
      </c>
      <c r="FJ515">
        <v>0</v>
      </c>
      <c r="FK515">
        <v>0</v>
      </c>
      <c r="FP515">
        <v>0</v>
      </c>
      <c r="FQ515" t="s">
        <v>1044</v>
      </c>
      <c r="FR515">
        <v>0</v>
      </c>
      <c r="FS515" t="s">
        <v>1043</v>
      </c>
      <c r="FX515" t="s">
        <v>1042</v>
      </c>
      <c r="FZ515" t="s">
        <v>1048</v>
      </c>
      <c r="GA515">
        <v>0</v>
      </c>
      <c r="GB515" t="s">
        <v>1042</v>
      </c>
      <c r="GD515">
        <v>16</v>
      </c>
      <c r="GE515">
        <v>0</v>
      </c>
      <c r="GG515">
        <v>0</v>
      </c>
      <c r="GN515">
        <v>0</v>
      </c>
      <c r="GO515" t="s">
        <v>1049</v>
      </c>
      <c r="GQ515">
        <v>0</v>
      </c>
      <c r="GU515">
        <v>0</v>
      </c>
      <c r="GY515" t="s">
        <v>1045</v>
      </c>
      <c r="HB515">
        <v>0</v>
      </c>
      <c r="HE515">
        <v>0</v>
      </c>
      <c r="HF515">
        <v>0</v>
      </c>
      <c r="HG515">
        <v>3.3369999999999997E-2</v>
      </c>
      <c r="HK515" t="s">
        <v>1042</v>
      </c>
      <c r="HM515" t="s">
        <v>1047</v>
      </c>
      <c r="HN515">
        <v>0</v>
      </c>
      <c r="HO515">
        <v>29</v>
      </c>
      <c r="HP515">
        <v>0.44850000000000001</v>
      </c>
      <c r="HQ515">
        <v>0</v>
      </c>
      <c r="HR515" t="s">
        <v>1042</v>
      </c>
      <c r="HS515" t="s">
        <v>1043</v>
      </c>
      <c r="HT515">
        <v>0</v>
      </c>
      <c r="HU515">
        <v>0</v>
      </c>
      <c r="HW515">
        <v>0</v>
      </c>
      <c r="HX515">
        <v>207</v>
      </c>
      <c r="HY515">
        <v>0</v>
      </c>
      <c r="HZ515" t="s">
        <v>1045</v>
      </c>
      <c r="IA515">
        <v>0</v>
      </c>
      <c r="IB515" t="s">
        <v>1045</v>
      </c>
      <c r="ID515" t="s">
        <v>1045</v>
      </c>
      <c r="IF515">
        <v>180</v>
      </c>
      <c r="IG515" s="20">
        <v>43895</v>
      </c>
      <c r="IH515" t="s">
        <v>1046</v>
      </c>
      <c r="II515" t="s">
        <v>1042</v>
      </c>
      <c r="IR515" t="s">
        <v>1045</v>
      </c>
      <c r="IT515">
        <v>0</v>
      </c>
      <c r="IY515" t="s">
        <v>1044</v>
      </c>
      <c r="IZ515" t="s">
        <v>1043</v>
      </c>
      <c r="JA515" t="s">
        <v>1043</v>
      </c>
      <c r="JC515" t="s">
        <v>1043</v>
      </c>
      <c r="JE515">
        <v>0</v>
      </c>
      <c r="JF515">
        <v>0</v>
      </c>
      <c r="JI515" t="s">
        <v>1042</v>
      </c>
      <c r="JJ515">
        <v>0</v>
      </c>
      <c r="JK515">
        <v>0</v>
      </c>
      <c r="JL515">
        <v>0</v>
      </c>
      <c r="JM515">
        <v>0</v>
      </c>
      <c r="JQ515" t="s">
        <v>1043</v>
      </c>
      <c r="JT515">
        <v>0</v>
      </c>
      <c r="JU515" t="s">
        <v>1042</v>
      </c>
      <c r="JW515">
        <v>0</v>
      </c>
      <c r="KA515">
        <v>0</v>
      </c>
      <c r="KF515">
        <v>0</v>
      </c>
      <c r="KG515">
        <v>0</v>
      </c>
      <c r="KH515">
        <v>0</v>
      </c>
      <c r="KI515">
        <v>0</v>
      </c>
      <c r="KS515" t="s">
        <v>1073</v>
      </c>
      <c r="KT515">
        <v>0</v>
      </c>
      <c r="KU515">
        <v>0</v>
      </c>
      <c r="KV515">
        <v>0</v>
      </c>
      <c r="KX515">
        <v>0</v>
      </c>
      <c r="KY515" t="s">
        <v>1045</v>
      </c>
      <c r="KZ515">
        <v>0</v>
      </c>
      <c r="LF515">
        <v>0</v>
      </c>
      <c r="LH515">
        <v>26880</v>
      </c>
      <c r="LI515">
        <v>0</v>
      </c>
    </row>
    <row r="516" spans="1:321" x14ac:dyDescent="0.35">
      <c r="A516">
        <v>1</v>
      </c>
      <c r="B516">
        <v>1309</v>
      </c>
      <c r="C516" t="s">
        <v>678</v>
      </c>
      <c r="D516" t="s">
        <v>1061</v>
      </c>
      <c r="E516" t="s">
        <v>85</v>
      </c>
      <c r="F516">
        <v>1</v>
      </c>
      <c r="G516">
        <v>240</v>
      </c>
      <c r="H516">
        <v>0</v>
      </c>
      <c r="I516" t="s">
        <v>1017</v>
      </c>
      <c r="M516">
        <v>9.75</v>
      </c>
      <c r="N516">
        <v>0</v>
      </c>
      <c r="Q516">
        <v>511</v>
      </c>
      <c r="R516">
        <v>0</v>
      </c>
      <c r="S516">
        <v>0</v>
      </c>
      <c r="W516" t="s">
        <v>1060</v>
      </c>
      <c r="X516">
        <v>0</v>
      </c>
      <c r="Z516">
        <v>2</v>
      </c>
      <c r="AA516">
        <v>507.3929</v>
      </c>
      <c r="AB516">
        <v>74</v>
      </c>
      <c r="AC516">
        <v>22.63</v>
      </c>
      <c r="AD516" t="s">
        <v>1042</v>
      </c>
      <c r="AE516">
        <v>0</v>
      </c>
      <c r="AF516">
        <v>0.77059999999999995</v>
      </c>
      <c r="AH516">
        <v>16</v>
      </c>
      <c r="AJ516">
        <v>0</v>
      </c>
      <c r="AL516">
        <v>0</v>
      </c>
      <c r="AM516">
        <v>240</v>
      </c>
      <c r="AN516">
        <v>11501001</v>
      </c>
      <c r="AO516">
        <v>0</v>
      </c>
      <c r="AP516">
        <v>1002</v>
      </c>
      <c r="AT516">
        <v>0</v>
      </c>
      <c r="AW516" t="s">
        <v>1053</v>
      </c>
      <c r="AX516">
        <v>5</v>
      </c>
      <c r="AY516" s="20">
        <v>43669</v>
      </c>
      <c r="BA516" s="20">
        <v>44420</v>
      </c>
      <c r="BB516" t="s">
        <v>1058</v>
      </c>
      <c r="BD516">
        <v>0</v>
      </c>
      <c r="BF516" t="s">
        <v>1044</v>
      </c>
      <c r="BG516" t="s">
        <v>1042</v>
      </c>
      <c r="BH516">
        <v>0</v>
      </c>
      <c r="BI516">
        <v>36</v>
      </c>
      <c r="BJ516">
        <v>0</v>
      </c>
      <c r="BK516">
        <v>0</v>
      </c>
      <c r="BM516" s="20">
        <v>43878</v>
      </c>
      <c r="BN516">
        <v>0</v>
      </c>
      <c r="BO516">
        <v>7897801319492</v>
      </c>
      <c r="BS516" t="s">
        <v>1043</v>
      </c>
      <c r="BT516" t="s">
        <v>1043</v>
      </c>
      <c r="BW516">
        <v>2</v>
      </c>
      <c r="BY516">
        <v>79</v>
      </c>
      <c r="CA516">
        <v>0</v>
      </c>
      <c r="CB516" t="s">
        <v>1043</v>
      </c>
      <c r="CE516" t="s">
        <v>1043</v>
      </c>
      <c r="CH516" t="s">
        <v>1043</v>
      </c>
      <c r="CN516" t="s">
        <v>1056</v>
      </c>
      <c r="CO516" t="s">
        <v>1043</v>
      </c>
      <c r="CP516">
        <v>1</v>
      </c>
      <c r="CQ516">
        <v>0</v>
      </c>
      <c r="CS516">
        <v>0</v>
      </c>
      <c r="CT516">
        <v>0</v>
      </c>
      <c r="CU516">
        <v>0</v>
      </c>
      <c r="CV516" t="s">
        <v>1045</v>
      </c>
      <c r="CW516">
        <v>0</v>
      </c>
      <c r="CX516">
        <v>0</v>
      </c>
      <c r="CY516">
        <v>0</v>
      </c>
      <c r="CZ516">
        <v>0</v>
      </c>
      <c r="DA516">
        <v>2</v>
      </c>
      <c r="DB516">
        <v>0</v>
      </c>
      <c r="DC516" t="s">
        <v>1043</v>
      </c>
      <c r="DF516" t="s">
        <v>1055</v>
      </c>
      <c r="DH516">
        <v>0</v>
      </c>
      <c r="DJ516">
        <v>0</v>
      </c>
      <c r="DK516" t="s">
        <v>1053</v>
      </c>
      <c r="DL516">
        <v>0</v>
      </c>
      <c r="DN516">
        <v>0</v>
      </c>
      <c r="DO516" t="s">
        <v>1042</v>
      </c>
      <c r="DP516">
        <v>0</v>
      </c>
      <c r="DQ516">
        <v>0</v>
      </c>
      <c r="DS516">
        <v>0</v>
      </c>
      <c r="DU516">
        <v>0</v>
      </c>
      <c r="DW516">
        <v>0</v>
      </c>
      <c r="DX516" t="s">
        <v>1043</v>
      </c>
      <c r="DY516">
        <v>0</v>
      </c>
      <c r="DZ516">
        <v>0</v>
      </c>
      <c r="EA516">
        <v>0</v>
      </c>
      <c r="EB516">
        <v>17897801319499</v>
      </c>
      <c r="ED516" t="s">
        <v>1045</v>
      </c>
      <c r="EE516">
        <v>0</v>
      </c>
      <c r="EF516">
        <v>0</v>
      </c>
      <c r="EL516">
        <v>57897801319497</v>
      </c>
      <c r="EQ516" t="s">
        <v>1044</v>
      </c>
      <c r="ES516" t="s">
        <v>1053</v>
      </c>
      <c r="ET516">
        <v>0</v>
      </c>
      <c r="EV516">
        <v>0</v>
      </c>
      <c r="EY516" t="s">
        <v>1052</v>
      </c>
      <c r="EZ516">
        <v>0</v>
      </c>
      <c r="FA516" t="s">
        <v>1043</v>
      </c>
      <c r="FB516">
        <v>0</v>
      </c>
      <c r="FC516">
        <v>0</v>
      </c>
      <c r="FD516" t="s">
        <v>1051</v>
      </c>
      <c r="FE516" t="s">
        <v>1050</v>
      </c>
      <c r="FF516">
        <v>0</v>
      </c>
      <c r="FG516" t="s">
        <v>1050</v>
      </c>
      <c r="FH516">
        <v>27897801319496</v>
      </c>
      <c r="FJ516">
        <v>0</v>
      </c>
      <c r="FK516">
        <v>0</v>
      </c>
      <c r="FP516">
        <v>0</v>
      </c>
      <c r="FQ516" t="s">
        <v>1044</v>
      </c>
      <c r="FR516">
        <v>0</v>
      </c>
      <c r="FS516" t="s">
        <v>1043</v>
      </c>
      <c r="FX516" t="s">
        <v>1042</v>
      </c>
      <c r="FZ516" t="s">
        <v>1048</v>
      </c>
      <c r="GA516">
        <v>0</v>
      </c>
      <c r="GB516" t="s">
        <v>1042</v>
      </c>
      <c r="GD516">
        <v>16</v>
      </c>
      <c r="GE516">
        <v>0</v>
      </c>
      <c r="GG516">
        <v>0</v>
      </c>
      <c r="GN516">
        <v>0</v>
      </c>
      <c r="GO516" t="s">
        <v>1049</v>
      </c>
      <c r="GQ516">
        <v>0</v>
      </c>
      <c r="GU516">
        <v>0</v>
      </c>
      <c r="GY516" t="s">
        <v>1045</v>
      </c>
      <c r="HB516">
        <v>0</v>
      </c>
      <c r="HE516">
        <v>0</v>
      </c>
      <c r="HF516">
        <v>0</v>
      </c>
      <c r="HG516">
        <v>2.9510000000000002E-2</v>
      </c>
      <c r="HK516" t="s">
        <v>1042</v>
      </c>
      <c r="HM516" t="s">
        <v>1047</v>
      </c>
      <c r="HN516">
        <v>0</v>
      </c>
      <c r="HO516">
        <v>29</v>
      </c>
      <c r="HP516">
        <v>0.77059999999999995</v>
      </c>
      <c r="HQ516">
        <v>0</v>
      </c>
      <c r="HR516" t="s">
        <v>1042</v>
      </c>
      <c r="HS516" t="s">
        <v>1043</v>
      </c>
      <c r="HT516">
        <v>0</v>
      </c>
      <c r="HU516">
        <v>0</v>
      </c>
      <c r="HW516">
        <v>0</v>
      </c>
      <c r="HX516">
        <v>160</v>
      </c>
      <c r="HY516">
        <v>0</v>
      </c>
      <c r="HZ516" t="s">
        <v>1045</v>
      </c>
      <c r="IA516">
        <v>0</v>
      </c>
      <c r="IB516" t="s">
        <v>1045</v>
      </c>
      <c r="ID516" t="s">
        <v>1045</v>
      </c>
      <c r="IF516">
        <v>90</v>
      </c>
      <c r="IG516" s="20">
        <v>43895</v>
      </c>
      <c r="IH516" t="s">
        <v>1046</v>
      </c>
      <c r="II516" t="s">
        <v>1042</v>
      </c>
      <c r="IR516" t="s">
        <v>1045</v>
      </c>
      <c r="IT516">
        <v>0</v>
      </c>
      <c r="IY516" t="s">
        <v>1044</v>
      </c>
      <c r="IZ516" t="s">
        <v>1043</v>
      </c>
      <c r="JA516" t="s">
        <v>1043</v>
      </c>
      <c r="JC516" t="s">
        <v>1043</v>
      </c>
      <c r="JE516">
        <v>0</v>
      </c>
      <c r="JF516">
        <v>0</v>
      </c>
      <c r="JI516" t="s">
        <v>1042</v>
      </c>
      <c r="JJ516">
        <v>0</v>
      </c>
      <c r="JK516">
        <v>0</v>
      </c>
      <c r="JL516">
        <v>0</v>
      </c>
      <c r="JM516">
        <v>0</v>
      </c>
      <c r="JQ516" t="s">
        <v>1043</v>
      </c>
      <c r="JT516">
        <v>0</v>
      </c>
      <c r="JU516" t="s">
        <v>1042</v>
      </c>
      <c r="JW516">
        <v>0</v>
      </c>
      <c r="KA516">
        <v>0</v>
      </c>
      <c r="KF516">
        <v>0</v>
      </c>
      <c r="KG516">
        <v>0</v>
      </c>
      <c r="KH516">
        <v>0</v>
      </c>
      <c r="KI516">
        <v>0</v>
      </c>
      <c r="KS516" t="s">
        <v>1073</v>
      </c>
      <c r="KT516">
        <v>0</v>
      </c>
      <c r="KU516">
        <v>0</v>
      </c>
      <c r="KV516">
        <v>0</v>
      </c>
      <c r="KX516">
        <v>0</v>
      </c>
      <c r="KY516" t="s">
        <v>1045</v>
      </c>
      <c r="KZ516">
        <v>0</v>
      </c>
      <c r="LF516">
        <v>0</v>
      </c>
      <c r="LH516">
        <v>12096</v>
      </c>
      <c r="LI516">
        <v>0</v>
      </c>
    </row>
    <row r="517" spans="1:321" x14ac:dyDescent="0.35">
      <c r="A517">
        <v>1</v>
      </c>
      <c r="B517">
        <v>1310</v>
      </c>
      <c r="C517" t="s">
        <v>679</v>
      </c>
      <c r="D517" t="s">
        <v>1061</v>
      </c>
      <c r="E517" t="s">
        <v>85</v>
      </c>
      <c r="F517">
        <v>1</v>
      </c>
      <c r="G517">
        <v>240</v>
      </c>
      <c r="H517">
        <v>0</v>
      </c>
      <c r="I517" t="s">
        <v>1017</v>
      </c>
      <c r="M517">
        <v>9.75</v>
      </c>
      <c r="N517">
        <v>0</v>
      </c>
      <c r="Q517">
        <v>511</v>
      </c>
      <c r="R517">
        <v>0</v>
      </c>
      <c r="S517">
        <v>0</v>
      </c>
      <c r="W517" t="s">
        <v>1060</v>
      </c>
      <c r="X517">
        <v>0</v>
      </c>
      <c r="Z517">
        <v>2</v>
      </c>
      <c r="AA517">
        <v>926.51840000000004</v>
      </c>
      <c r="AB517">
        <v>35</v>
      </c>
      <c r="AC517">
        <v>0</v>
      </c>
      <c r="AD517" t="s">
        <v>1042</v>
      </c>
      <c r="AE517">
        <v>0</v>
      </c>
      <c r="AF517">
        <v>3.1419999999999999</v>
      </c>
      <c r="AH517">
        <v>2</v>
      </c>
      <c r="AJ517">
        <v>0</v>
      </c>
      <c r="AL517">
        <v>0</v>
      </c>
      <c r="AM517">
        <v>240</v>
      </c>
      <c r="AN517">
        <v>11501001</v>
      </c>
      <c r="AO517">
        <v>0</v>
      </c>
      <c r="AP517">
        <v>1002</v>
      </c>
      <c r="AT517">
        <v>0</v>
      </c>
      <c r="AW517" t="s">
        <v>1053</v>
      </c>
      <c r="AX517">
        <v>5</v>
      </c>
      <c r="AY517" s="20">
        <v>43669</v>
      </c>
      <c r="BA517" s="20">
        <v>44420</v>
      </c>
      <c r="BB517" t="s">
        <v>1058</v>
      </c>
      <c r="BD517">
        <v>0</v>
      </c>
      <c r="BF517" t="s">
        <v>1044</v>
      </c>
      <c r="BG517" t="s">
        <v>1042</v>
      </c>
      <c r="BH517">
        <v>0</v>
      </c>
      <c r="BI517">
        <v>36</v>
      </c>
      <c r="BJ517">
        <v>0</v>
      </c>
      <c r="BK517">
        <v>0</v>
      </c>
      <c r="BM517" s="20">
        <v>43885</v>
      </c>
      <c r="BN517">
        <v>0</v>
      </c>
      <c r="BO517">
        <v>7897801319508</v>
      </c>
      <c r="BS517" t="s">
        <v>1043</v>
      </c>
      <c r="BT517" t="s">
        <v>1043</v>
      </c>
      <c r="BW517">
        <v>2</v>
      </c>
      <c r="BY517">
        <v>79</v>
      </c>
      <c r="CA517">
        <v>0</v>
      </c>
      <c r="CB517" t="s">
        <v>1043</v>
      </c>
      <c r="CE517" t="s">
        <v>1043</v>
      </c>
      <c r="CH517" t="s">
        <v>1043</v>
      </c>
      <c r="CN517" t="s">
        <v>1056</v>
      </c>
      <c r="CO517" t="s">
        <v>1043</v>
      </c>
      <c r="CP517">
        <v>1</v>
      </c>
      <c r="CQ517">
        <v>0</v>
      </c>
      <c r="CS517">
        <v>0</v>
      </c>
      <c r="CT517">
        <v>0</v>
      </c>
      <c r="CU517">
        <v>0</v>
      </c>
      <c r="CV517" t="s">
        <v>1045</v>
      </c>
      <c r="CW517">
        <v>0</v>
      </c>
      <c r="CX517">
        <v>0</v>
      </c>
      <c r="CY517">
        <v>0</v>
      </c>
      <c r="CZ517">
        <v>0</v>
      </c>
      <c r="DA517">
        <v>2</v>
      </c>
      <c r="DB517">
        <v>0</v>
      </c>
      <c r="DC517" t="s">
        <v>1043</v>
      </c>
      <c r="DF517" t="s">
        <v>1055</v>
      </c>
      <c r="DH517">
        <v>0</v>
      </c>
      <c r="DJ517">
        <v>0</v>
      </c>
      <c r="DK517" t="s">
        <v>1053</v>
      </c>
      <c r="DL517">
        <v>0</v>
      </c>
      <c r="DN517">
        <v>0</v>
      </c>
      <c r="DO517" t="s">
        <v>1042</v>
      </c>
      <c r="DP517">
        <v>0</v>
      </c>
      <c r="DQ517">
        <v>0</v>
      </c>
      <c r="DS517">
        <v>0</v>
      </c>
      <c r="DU517">
        <v>0</v>
      </c>
      <c r="DW517">
        <v>0</v>
      </c>
      <c r="DX517" t="s">
        <v>1043</v>
      </c>
      <c r="DY517">
        <v>0</v>
      </c>
      <c r="DZ517">
        <v>0</v>
      </c>
      <c r="EA517">
        <v>0</v>
      </c>
      <c r="EB517">
        <v>17897801319505</v>
      </c>
      <c r="ED517" t="s">
        <v>1045</v>
      </c>
      <c r="EE517">
        <v>0</v>
      </c>
      <c r="EF517">
        <v>0</v>
      </c>
      <c r="EL517">
        <v>57897801319503</v>
      </c>
      <c r="EQ517" t="s">
        <v>1044</v>
      </c>
      <c r="ES517" t="s">
        <v>1053</v>
      </c>
      <c r="ET517">
        <v>0</v>
      </c>
      <c r="EV517">
        <v>0</v>
      </c>
      <c r="EY517" t="s">
        <v>1052</v>
      </c>
      <c r="EZ517">
        <v>0</v>
      </c>
      <c r="FA517" t="s">
        <v>1043</v>
      </c>
      <c r="FB517">
        <v>0</v>
      </c>
      <c r="FC517">
        <v>0</v>
      </c>
      <c r="FD517" t="s">
        <v>1051</v>
      </c>
      <c r="FE517" t="s">
        <v>1050</v>
      </c>
      <c r="FF517">
        <v>0</v>
      </c>
      <c r="FG517" t="s">
        <v>1050</v>
      </c>
      <c r="FH517">
        <v>27897801319502</v>
      </c>
      <c r="FJ517">
        <v>0</v>
      </c>
      <c r="FK517">
        <v>0</v>
      </c>
      <c r="FP517">
        <v>0</v>
      </c>
      <c r="FQ517" t="s">
        <v>1044</v>
      </c>
      <c r="FR517">
        <v>0</v>
      </c>
      <c r="FS517" t="s">
        <v>1043</v>
      </c>
      <c r="FX517" t="s">
        <v>1042</v>
      </c>
      <c r="FZ517" t="s">
        <v>1048</v>
      </c>
      <c r="GA517">
        <v>0</v>
      </c>
      <c r="GB517" t="s">
        <v>1042</v>
      </c>
      <c r="GD517">
        <v>16</v>
      </c>
      <c r="GE517">
        <v>0</v>
      </c>
      <c r="GG517">
        <v>0</v>
      </c>
      <c r="GN517">
        <v>0</v>
      </c>
      <c r="GO517" t="s">
        <v>1049</v>
      </c>
      <c r="GQ517">
        <v>0</v>
      </c>
      <c r="GU517">
        <v>0</v>
      </c>
      <c r="GY517" t="s">
        <v>1045</v>
      </c>
      <c r="HB517">
        <v>0</v>
      </c>
      <c r="HE517">
        <v>0</v>
      </c>
      <c r="HF517">
        <v>0</v>
      </c>
      <c r="HG517">
        <v>4.156E-2</v>
      </c>
      <c r="HK517" t="s">
        <v>1042</v>
      </c>
      <c r="HM517" t="s">
        <v>1047</v>
      </c>
      <c r="HN517">
        <v>0</v>
      </c>
      <c r="HO517">
        <v>29</v>
      </c>
      <c r="HP517">
        <v>1.1254999999999999</v>
      </c>
      <c r="HQ517">
        <v>0</v>
      </c>
      <c r="HR517" t="s">
        <v>1042</v>
      </c>
      <c r="HS517" t="s">
        <v>1043</v>
      </c>
      <c r="HT517">
        <v>0</v>
      </c>
      <c r="HU517">
        <v>0</v>
      </c>
      <c r="HW517">
        <v>0</v>
      </c>
      <c r="HX517">
        <v>85</v>
      </c>
      <c r="HY517">
        <v>0</v>
      </c>
      <c r="HZ517" t="s">
        <v>1045</v>
      </c>
      <c r="IA517">
        <v>0</v>
      </c>
      <c r="IB517" t="s">
        <v>1045</v>
      </c>
      <c r="ID517" t="s">
        <v>1045</v>
      </c>
      <c r="IF517">
        <v>72</v>
      </c>
      <c r="IG517" s="20">
        <v>43895</v>
      </c>
      <c r="IH517" t="s">
        <v>1046</v>
      </c>
      <c r="II517" t="s">
        <v>1042</v>
      </c>
      <c r="IR517" t="s">
        <v>1045</v>
      </c>
      <c r="IT517">
        <v>0</v>
      </c>
      <c r="IY517" t="s">
        <v>1044</v>
      </c>
      <c r="IZ517" t="s">
        <v>1043</v>
      </c>
      <c r="JA517" t="s">
        <v>1043</v>
      </c>
      <c r="JC517" t="s">
        <v>1043</v>
      </c>
      <c r="JE517">
        <v>0</v>
      </c>
      <c r="JF517">
        <v>0</v>
      </c>
      <c r="JI517" t="s">
        <v>1042</v>
      </c>
      <c r="JJ517">
        <v>0</v>
      </c>
      <c r="JK517">
        <v>0</v>
      </c>
      <c r="JL517">
        <v>0</v>
      </c>
      <c r="JM517">
        <v>0</v>
      </c>
      <c r="JQ517" t="s">
        <v>1043</v>
      </c>
      <c r="JT517">
        <v>0</v>
      </c>
      <c r="JU517" t="s">
        <v>1042</v>
      </c>
      <c r="JW517">
        <v>0</v>
      </c>
      <c r="KA517">
        <v>0</v>
      </c>
      <c r="KF517">
        <v>0</v>
      </c>
      <c r="KG517">
        <v>0</v>
      </c>
      <c r="KH517">
        <v>0</v>
      </c>
      <c r="KI517">
        <v>0</v>
      </c>
      <c r="KS517" t="s">
        <v>1073</v>
      </c>
      <c r="KT517">
        <v>0</v>
      </c>
      <c r="KU517">
        <v>0</v>
      </c>
      <c r="KV517">
        <v>0</v>
      </c>
      <c r="KX517">
        <v>0</v>
      </c>
      <c r="KY517" t="s">
        <v>1045</v>
      </c>
      <c r="KZ517">
        <v>0</v>
      </c>
      <c r="LF517">
        <v>0</v>
      </c>
      <c r="LH517">
        <v>10080</v>
      </c>
      <c r="LI517">
        <v>0</v>
      </c>
    </row>
    <row r="518" spans="1:321" x14ac:dyDescent="0.35">
      <c r="A518">
        <v>1</v>
      </c>
      <c r="B518">
        <v>1311</v>
      </c>
      <c r="C518" t="s">
        <v>680</v>
      </c>
      <c r="D518" t="s">
        <v>1061</v>
      </c>
      <c r="E518" t="s">
        <v>85</v>
      </c>
      <c r="F518">
        <v>1</v>
      </c>
      <c r="G518">
        <v>240</v>
      </c>
      <c r="H518">
        <v>0</v>
      </c>
      <c r="I518" t="s">
        <v>1017</v>
      </c>
      <c r="M518">
        <v>9.75</v>
      </c>
      <c r="N518">
        <v>0</v>
      </c>
      <c r="Q518">
        <v>511</v>
      </c>
      <c r="R518">
        <v>0</v>
      </c>
      <c r="S518">
        <v>0</v>
      </c>
      <c r="W518" t="s">
        <v>1060</v>
      </c>
      <c r="X518">
        <v>0</v>
      </c>
      <c r="Z518">
        <v>4</v>
      </c>
      <c r="AA518">
        <v>337.96710000000002</v>
      </c>
      <c r="AB518">
        <v>0</v>
      </c>
      <c r="AC518">
        <v>14.59</v>
      </c>
      <c r="AD518" t="s">
        <v>1042</v>
      </c>
      <c r="AE518">
        <v>0</v>
      </c>
      <c r="AF518">
        <v>0.56950000000000001</v>
      </c>
      <c r="AH518">
        <v>0</v>
      </c>
      <c r="AJ518">
        <v>0</v>
      </c>
      <c r="AL518">
        <v>0</v>
      </c>
      <c r="AM518">
        <v>240</v>
      </c>
      <c r="AN518">
        <v>11501001</v>
      </c>
      <c r="AO518">
        <v>0</v>
      </c>
      <c r="AP518">
        <v>1002</v>
      </c>
      <c r="AT518">
        <v>0</v>
      </c>
      <c r="AW518" t="s">
        <v>1053</v>
      </c>
      <c r="AX518">
        <v>5</v>
      </c>
      <c r="AY518" s="20">
        <v>43760</v>
      </c>
      <c r="BA518" s="20">
        <v>44420</v>
      </c>
      <c r="BB518" t="s">
        <v>1058</v>
      </c>
      <c r="BD518">
        <v>0</v>
      </c>
      <c r="BF518" t="s">
        <v>1044</v>
      </c>
      <c r="BG518" t="s">
        <v>1042</v>
      </c>
      <c r="BH518">
        <v>0</v>
      </c>
      <c r="BI518">
        <v>36</v>
      </c>
      <c r="BJ518">
        <v>0</v>
      </c>
      <c r="BK518">
        <v>0</v>
      </c>
      <c r="BM518" s="20">
        <v>44256</v>
      </c>
      <c r="BN518">
        <v>0</v>
      </c>
      <c r="BO518">
        <v>7897801320344</v>
      </c>
      <c r="BS518" t="s">
        <v>1043</v>
      </c>
      <c r="BT518" t="s">
        <v>1043</v>
      </c>
      <c r="BW518">
        <v>2</v>
      </c>
      <c r="BY518">
        <v>79</v>
      </c>
      <c r="CA518">
        <v>0</v>
      </c>
      <c r="CB518" t="s">
        <v>1043</v>
      </c>
      <c r="CE518" t="s">
        <v>1043</v>
      </c>
      <c r="CH518" t="s">
        <v>1043</v>
      </c>
      <c r="CN518" t="s">
        <v>1056</v>
      </c>
      <c r="CO518" t="s">
        <v>1043</v>
      </c>
      <c r="CP518">
        <v>1</v>
      </c>
      <c r="CQ518">
        <v>0</v>
      </c>
      <c r="CS518">
        <v>0</v>
      </c>
      <c r="CT518">
        <v>0</v>
      </c>
      <c r="CU518">
        <v>0</v>
      </c>
      <c r="CV518" t="s">
        <v>1045</v>
      </c>
      <c r="CW518">
        <v>0</v>
      </c>
      <c r="CX518">
        <v>0</v>
      </c>
      <c r="CY518">
        <v>0</v>
      </c>
      <c r="CZ518">
        <v>0</v>
      </c>
      <c r="DA518">
        <v>5</v>
      </c>
      <c r="DB518">
        <v>0</v>
      </c>
      <c r="DC518" t="s">
        <v>1043</v>
      </c>
      <c r="DF518" t="s">
        <v>1055</v>
      </c>
      <c r="DH518">
        <v>0</v>
      </c>
      <c r="DJ518">
        <v>0</v>
      </c>
      <c r="DK518" t="s">
        <v>1053</v>
      </c>
      <c r="DL518">
        <v>0</v>
      </c>
      <c r="DN518">
        <v>0</v>
      </c>
      <c r="DO518" t="s">
        <v>1042</v>
      </c>
      <c r="DP518">
        <v>0</v>
      </c>
      <c r="DQ518">
        <v>0</v>
      </c>
      <c r="DS518">
        <v>0</v>
      </c>
      <c r="DU518">
        <v>0</v>
      </c>
      <c r="DW518">
        <v>0</v>
      </c>
      <c r="DX518" t="s">
        <v>1043</v>
      </c>
      <c r="DY518">
        <v>0</v>
      </c>
      <c r="DZ518">
        <v>0</v>
      </c>
      <c r="EA518">
        <v>0</v>
      </c>
      <c r="EB518">
        <v>17897801320341</v>
      </c>
      <c r="ED518" t="s">
        <v>1045</v>
      </c>
      <c r="EE518">
        <v>0</v>
      </c>
      <c r="EF518">
        <v>0</v>
      </c>
      <c r="EL518">
        <v>57897801320349</v>
      </c>
      <c r="EQ518" t="s">
        <v>1044</v>
      </c>
      <c r="ES518" t="s">
        <v>1053</v>
      </c>
      <c r="ET518">
        <v>0</v>
      </c>
      <c r="EV518">
        <v>0</v>
      </c>
      <c r="EY518" t="s">
        <v>1052</v>
      </c>
      <c r="EZ518">
        <v>0</v>
      </c>
      <c r="FA518" t="s">
        <v>1043</v>
      </c>
      <c r="FB518">
        <v>0</v>
      </c>
      <c r="FC518">
        <v>0</v>
      </c>
      <c r="FD518" t="s">
        <v>1051</v>
      </c>
      <c r="FE518" t="s">
        <v>1050</v>
      </c>
      <c r="FF518">
        <v>0</v>
      </c>
      <c r="FG518" t="s">
        <v>1050</v>
      </c>
      <c r="FH518">
        <v>27897801320348</v>
      </c>
      <c r="FJ518">
        <v>0</v>
      </c>
      <c r="FK518">
        <v>0</v>
      </c>
      <c r="FP518">
        <v>0</v>
      </c>
      <c r="FQ518" t="s">
        <v>1044</v>
      </c>
      <c r="FR518">
        <v>0</v>
      </c>
      <c r="FS518" t="s">
        <v>1043</v>
      </c>
      <c r="FX518" t="s">
        <v>1042</v>
      </c>
      <c r="FZ518" t="s">
        <v>1048</v>
      </c>
      <c r="GA518">
        <v>0</v>
      </c>
      <c r="GB518" t="s">
        <v>1042</v>
      </c>
      <c r="GD518">
        <v>16</v>
      </c>
      <c r="GE518">
        <v>0</v>
      </c>
      <c r="GG518">
        <v>0</v>
      </c>
      <c r="GN518">
        <v>0</v>
      </c>
      <c r="GO518" t="s">
        <v>1049</v>
      </c>
      <c r="GQ518">
        <v>0</v>
      </c>
      <c r="GU518">
        <v>0</v>
      </c>
      <c r="GY518" t="s">
        <v>1045</v>
      </c>
      <c r="HB518">
        <v>0</v>
      </c>
      <c r="HE518">
        <v>0</v>
      </c>
      <c r="HF518">
        <v>0</v>
      </c>
      <c r="HG518">
        <v>3.3369999999999997E-2</v>
      </c>
      <c r="HK518" t="s">
        <v>1042</v>
      </c>
      <c r="HM518" t="s">
        <v>1047</v>
      </c>
      <c r="HN518">
        <v>0</v>
      </c>
      <c r="HO518">
        <v>29</v>
      </c>
      <c r="HP518">
        <v>0.62</v>
      </c>
      <c r="HQ518">
        <v>0</v>
      </c>
      <c r="HR518" t="s">
        <v>1042</v>
      </c>
      <c r="HS518" t="s">
        <v>1043</v>
      </c>
      <c r="HT518">
        <v>0</v>
      </c>
      <c r="HU518">
        <v>0</v>
      </c>
      <c r="HW518">
        <v>0</v>
      </c>
      <c r="HX518">
        <v>0</v>
      </c>
      <c r="HY518">
        <v>0</v>
      </c>
      <c r="HZ518" t="s">
        <v>1045</v>
      </c>
      <c r="IA518">
        <v>0</v>
      </c>
      <c r="IB518" t="s">
        <v>1045</v>
      </c>
      <c r="ID518" t="s">
        <v>1045</v>
      </c>
      <c r="IF518">
        <v>180</v>
      </c>
      <c r="IG518" t="s">
        <v>1042</v>
      </c>
      <c r="IH518" t="s">
        <v>1046</v>
      </c>
      <c r="II518" t="s">
        <v>1042</v>
      </c>
      <c r="IR518" t="s">
        <v>1045</v>
      </c>
      <c r="IT518">
        <v>0</v>
      </c>
      <c r="IY518" t="s">
        <v>1044</v>
      </c>
      <c r="IZ518" t="s">
        <v>1043</v>
      </c>
      <c r="JA518" t="s">
        <v>1043</v>
      </c>
      <c r="JC518" t="s">
        <v>1043</v>
      </c>
      <c r="JE518">
        <v>0</v>
      </c>
      <c r="JF518">
        <v>0</v>
      </c>
      <c r="JI518" t="s">
        <v>1042</v>
      </c>
      <c r="JJ518">
        <v>0</v>
      </c>
      <c r="JK518">
        <v>0</v>
      </c>
      <c r="JL518">
        <v>0</v>
      </c>
      <c r="JM518">
        <v>0</v>
      </c>
      <c r="JQ518" t="s">
        <v>1043</v>
      </c>
      <c r="JT518">
        <v>0</v>
      </c>
      <c r="JU518" t="s">
        <v>1042</v>
      </c>
      <c r="JW518">
        <v>0</v>
      </c>
      <c r="KA518">
        <v>0</v>
      </c>
      <c r="KF518">
        <v>0</v>
      </c>
      <c r="KG518">
        <v>0</v>
      </c>
      <c r="KH518">
        <v>0</v>
      </c>
      <c r="KI518">
        <v>0</v>
      </c>
      <c r="KS518" t="s">
        <v>1073</v>
      </c>
      <c r="KT518">
        <v>0</v>
      </c>
      <c r="KU518">
        <v>0</v>
      </c>
      <c r="KV518">
        <v>0</v>
      </c>
      <c r="KX518">
        <v>0</v>
      </c>
      <c r="KY518" t="s">
        <v>1045</v>
      </c>
      <c r="KZ518">
        <v>0</v>
      </c>
      <c r="LF518">
        <v>0</v>
      </c>
      <c r="LH518">
        <v>10080</v>
      </c>
      <c r="LI518">
        <v>0</v>
      </c>
    </row>
    <row r="519" spans="1:321" x14ac:dyDescent="0.35">
      <c r="A519">
        <v>1</v>
      </c>
      <c r="B519">
        <v>1312</v>
      </c>
      <c r="C519" t="s">
        <v>681</v>
      </c>
      <c r="D519" t="s">
        <v>1061</v>
      </c>
      <c r="E519" t="s">
        <v>85</v>
      </c>
      <c r="F519">
        <v>1</v>
      </c>
      <c r="G519">
        <v>240</v>
      </c>
      <c r="H519">
        <v>0</v>
      </c>
      <c r="I519" t="s">
        <v>1017</v>
      </c>
      <c r="M519">
        <v>9.75</v>
      </c>
      <c r="N519">
        <v>0</v>
      </c>
      <c r="Q519">
        <v>511</v>
      </c>
      <c r="R519">
        <v>0</v>
      </c>
      <c r="S519">
        <v>0</v>
      </c>
      <c r="W519" t="s">
        <v>1060</v>
      </c>
      <c r="X519">
        <v>0</v>
      </c>
      <c r="Z519">
        <v>2</v>
      </c>
      <c r="AA519">
        <v>732.44899999999996</v>
      </c>
      <c r="AB519">
        <v>2</v>
      </c>
      <c r="AC519">
        <v>0</v>
      </c>
      <c r="AD519" t="s">
        <v>1042</v>
      </c>
      <c r="AE519">
        <v>0</v>
      </c>
      <c r="AF519">
        <v>1.1733</v>
      </c>
      <c r="AH519">
        <v>0</v>
      </c>
      <c r="AJ519">
        <v>0</v>
      </c>
      <c r="AL519">
        <v>0</v>
      </c>
      <c r="AM519">
        <v>240</v>
      </c>
      <c r="AN519">
        <v>11501001</v>
      </c>
      <c r="AO519">
        <v>0</v>
      </c>
      <c r="AP519">
        <v>1002</v>
      </c>
      <c r="AT519">
        <v>0</v>
      </c>
      <c r="AW519" t="s">
        <v>1053</v>
      </c>
      <c r="AX519">
        <v>5</v>
      </c>
      <c r="AY519" s="20">
        <v>43760</v>
      </c>
      <c r="BA519" s="20">
        <v>44420</v>
      </c>
      <c r="BB519" t="s">
        <v>1058</v>
      </c>
      <c r="BD519">
        <v>0</v>
      </c>
      <c r="BF519" t="s">
        <v>1044</v>
      </c>
      <c r="BG519" t="s">
        <v>1042</v>
      </c>
      <c r="BH519">
        <v>0</v>
      </c>
      <c r="BI519">
        <v>36</v>
      </c>
      <c r="BJ519">
        <v>0</v>
      </c>
      <c r="BK519">
        <v>0</v>
      </c>
      <c r="BM519" s="20">
        <v>44222</v>
      </c>
      <c r="BN519">
        <v>0</v>
      </c>
      <c r="BO519">
        <v>7897801320351</v>
      </c>
      <c r="BS519" t="s">
        <v>1043</v>
      </c>
      <c r="BT519" t="s">
        <v>1043</v>
      </c>
      <c r="BW519">
        <v>2</v>
      </c>
      <c r="BY519">
        <v>79</v>
      </c>
      <c r="CA519">
        <v>0</v>
      </c>
      <c r="CB519" t="s">
        <v>1043</v>
      </c>
      <c r="CE519" t="s">
        <v>1043</v>
      </c>
      <c r="CH519" t="s">
        <v>1043</v>
      </c>
      <c r="CN519" t="s">
        <v>1056</v>
      </c>
      <c r="CO519" t="s">
        <v>1043</v>
      </c>
      <c r="CP519">
        <v>1</v>
      </c>
      <c r="CQ519">
        <v>0</v>
      </c>
      <c r="CS519">
        <v>0</v>
      </c>
      <c r="CT519">
        <v>0</v>
      </c>
      <c r="CU519">
        <v>0</v>
      </c>
      <c r="CV519" t="s">
        <v>1045</v>
      </c>
      <c r="CW519">
        <v>0</v>
      </c>
      <c r="CX519">
        <v>0</v>
      </c>
      <c r="CY519">
        <v>0</v>
      </c>
      <c r="CZ519">
        <v>0</v>
      </c>
      <c r="DA519">
        <v>4</v>
      </c>
      <c r="DB519">
        <v>0</v>
      </c>
      <c r="DC519" t="s">
        <v>1043</v>
      </c>
      <c r="DF519" t="s">
        <v>1055</v>
      </c>
      <c r="DH519">
        <v>0</v>
      </c>
      <c r="DJ519">
        <v>0</v>
      </c>
      <c r="DK519" t="s">
        <v>1053</v>
      </c>
      <c r="DL519">
        <v>0</v>
      </c>
      <c r="DN519">
        <v>0</v>
      </c>
      <c r="DO519" t="s">
        <v>1042</v>
      </c>
      <c r="DP519">
        <v>0</v>
      </c>
      <c r="DQ519">
        <v>0</v>
      </c>
      <c r="DS519">
        <v>0</v>
      </c>
      <c r="DU519">
        <v>0</v>
      </c>
      <c r="DW519">
        <v>0</v>
      </c>
      <c r="DX519" t="s">
        <v>1043</v>
      </c>
      <c r="DY519">
        <v>0</v>
      </c>
      <c r="DZ519">
        <v>0</v>
      </c>
      <c r="EA519">
        <v>0</v>
      </c>
      <c r="EB519">
        <v>17897801320358</v>
      </c>
      <c r="ED519" t="s">
        <v>1045</v>
      </c>
      <c r="EE519">
        <v>0</v>
      </c>
      <c r="EF519">
        <v>0</v>
      </c>
      <c r="EL519">
        <v>57897801320356</v>
      </c>
      <c r="EQ519" t="s">
        <v>1044</v>
      </c>
      <c r="ES519" t="s">
        <v>1053</v>
      </c>
      <c r="ET519">
        <v>0</v>
      </c>
      <c r="EV519">
        <v>0</v>
      </c>
      <c r="EY519" t="s">
        <v>1052</v>
      </c>
      <c r="EZ519">
        <v>0</v>
      </c>
      <c r="FA519" t="s">
        <v>1043</v>
      </c>
      <c r="FB519">
        <v>0</v>
      </c>
      <c r="FC519">
        <v>0</v>
      </c>
      <c r="FD519" t="s">
        <v>1051</v>
      </c>
      <c r="FE519" t="s">
        <v>1050</v>
      </c>
      <c r="FF519">
        <v>0</v>
      </c>
      <c r="FG519" t="s">
        <v>1050</v>
      </c>
      <c r="FH519">
        <v>27897801320355</v>
      </c>
      <c r="FJ519">
        <v>0</v>
      </c>
      <c r="FK519">
        <v>0</v>
      </c>
      <c r="FP519">
        <v>0</v>
      </c>
      <c r="FQ519" t="s">
        <v>1044</v>
      </c>
      <c r="FR519">
        <v>0</v>
      </c>
      <c r="FS519" t="s">
        <v>1043</v>
      </c>
      <c r="FX519" t="s">
        <v>1042</v>
      </c>
      <c r="FZ519" t="s">
        <v>1048</v>
      </c>
      <c r="GA519">
        <v>0</v>
      </c>
      <c r="GB519" t="s">
        <v>1042</v>
      </c>
      <c r="GD519">
        <v>16</v>
      </c>
      <c r="GE519">
        <v>0</v>
      </c>
      <c r="GG519">
        <v>0</v>
      </c>
      <c r="GN519">
        <v>0</v>
      </c>
      <c r="GO519" t="s">
        <v>1049</v>
      </c>
      <c r="GQ519">
        <v>0</v>
      </c>
      <c r="GU519">
        <v>0</v>
      </c>
      <c r="GY519" t="s">
        <v>1045</v>
      </c>
      <c r="HB519">
        <v>0</v>
      </c>
      <c r="HE519">
        <v>0</v>
      </c>
      <c r="HF519">
        <v>0</v>
      </c>
      <c r="HG519">
        <v>2.9510000000000002E-2</v>
      </c>
      <c r="HK519" t="s">
        <v>1042</v>
      </c>
      <c r="HL519" t="s">
        <v>1180</v>
      </c>
      <c r="HM519" t="s">
        <v>1047</v>
      </c>
      <c r="HN519">
        <v>0</v>
      </c>
      <c r="HO519">
        <v>29</v>
      </c>
      <c r="HP519">
        <v>1.1733</v>
      </c>
      <c r="HQ519">
        <v>0</v>
      </c>
      <c r="HR519" t="s">
        <v>1042</v>
      </c>
      <c r="HS519" t="s">
        <v>1043</v>
      </c>
      <c r="HT519">
        <v>0</v>
      </c>
      <c r="HU519">
        <v>0</v>
      </c>
      <c r="HW519">
        <v>0</v>
      </c>
      <c r="HX519">
        <v>5</v>
      </c>
      <c r="HY519">
        <v>0</v>
      </c>
      <c r="HZ519" t="s">
        <v>1045</v>
      </c>
      <c r="IA519">
        <v>0</v>
      </c>
      <c r="IB519" t="s">
        <v>1045</v>
      </c>
      <c r="ID519" t="s">
        <v>1045</v>
      </c>
      <c r="IF519">
        <v>90</v>
      </c>
      <c r="IG519" t="s">
        <v>1042</v>
      </c>
      <c r="IH519" t="s">
        <v>1046</v>
      </c>
      <c r="II519" t="s">
        <v>1042</v>
      </c>
      <c r="IR519" t="s">
        <v>1045</v>
      </c>
      <c r="IT519">
        <v>0</v>
      </c>
      <c r="IY519" t="s">
        <v>1044</v>
      </c>
      <c r="IZ519" t="s">
        <v>1043</v>
      </c>
      <c r="JA519" t="s">
        <v>1043</v>
      </c>
      <c r="JC519" t="s">
        <v>1043</v>
      </c>
      <c r="JE519">
        <v>0</v>
      </c>
      <c r="JF519">
        <v>0</v>
      </c>
      <c r="JI519" t="s">
        <v>1042</v>
      </c>
      <c r="JJ519">
        <v>0</v>
      </c>
      <c r="JK519">
        <v>0</v>
      </c>
      <c r="JL519">
        <v>0</v>
      </c>
      <c r="JM519">
        <v>0</v>
      </c>
      <c r="JQ519" t="s">
        <v>1043</v>
      </c>
      <c r="JT519">
        <v>0</v>
      </c>
      <c r="JU519" t="s">
        <v>1042</v>
      </c>
      <c r="JW519">
        <v>0</v>
      </c>
      <c r="KA519">
        <v>0</v>
      </c>
      <c r="KF519">
        <v>0</v>
      </c>
      <c r="KG519">
        <v>0</v>
      </c>
      <c r="KH519">
        <v>0</v>
      </c>
      <c r="KI519">
        <v>0</v>
      </c>
      <c r="KS519" t="s">
        <v>1073</v>
      </c>
      <c r="KT519">
        <v>0</v>
      </c>
      <c r="KU519">
        <v>0</v>
      </c>
      <c r="KV519">
        <v>0</v>
      </c>
      <c r="KX519">
        <v>0</v>
      </c>
      <c r="KY519" t="s">
        <v>1045</v>
      </c>
      <c r="KZ519">
        <v>0</v>
      </c>
      <c r="LF519">
        <v>0</v>
      </c>
      <c r="LH519">
        <v>6384</v>
      </c>
      <c r="LI519">
        <v>0</v>
      </c>
    </row>
    <row r="520" spans="1:321" x14ac:dyDescent="0.35">
      <c r="A520">
        <v>1</v>
      </c>
      <c r="B520">
        <v>1313</v>
      </c>
      <c r="C520" t="s">
        <v>682</v>
      </c>
      <c r="D520" t="s">
        <v>1061</v>
      </c>
      <c r="E520" t="s">
        <v>85</v>
      </c>
      <c r="F520">
        <v>1</v>
      </c>
      <c r="G520">
        <v>240</v>
      </c>
      <c r="H520">
        <v>0</v>
      </c>
      <c r="I520" t="s">
        <v>1017</v>
      </c>
      <c r="M520">
        <v>9.75</v>
      </c>
      <c r="N520">
        <v>0</v>
      </c>
      <c r="Q520">
        <v>511</v>
      </c>
      <c r="R520">
        <v>0</v>
      </c>
      <c r="S520">
        <v>0</v>
      </c>
      <c r="W520" t="s">
        <v>1060</v>
      </c>
      <c r="X520">
        <v>0</v>
      </c>
      <c r="Z520">
        <v>2</v>
      </c>
      <c r="AA520">
        <v>1048.9779000000001</v>
      </c>
      <c r="AB520">
        <v>1</v>
      </c>
      <c r="AC520">
        <v>0</v>
      </c>
      <c r="AD520" t="s">
        <v>1042</v>
      </c>
      <c r="AE520">
        <v>0</v>
      </c>
      <c r="AF520">
        <v>3.5870000000000002</v>
      </c>
      <c r="AH520">
        <v>0</v>
      </c>
      <c r="AJ520">
        <v>0</v>
      </c>
      <c r="AL520">
        <v>0</v>
      </c>
      <c r="AM520">
        <v>240</v>
      </c>
      <c r="AN520">
        <v>11501001</v>
      </c>
      <c r="AO520">
        <v>0</v>
      </c>
      <c r="AP520">
        <v>1002</v>
      </c>
      <c r="AT520">
        <v>0</v>
      </c>
      <c r="AW520" t="s">
        <v>1053</v>
      </c>
      <c r="AX520">
        <v>5</v>
      </c>
      <c r="AY520" s="20">
        <v>43760</v>
      </c>
      <c r="BA520" s="20">
        <v>44420</v>
      </c>
      <c r="BB520" t="s">
        <v>1058</v>
      </c>
      <c r="BD520">
        <v>0</v>
      </c>
      <c r="BF520" t="s">
        <v>1044</v>
      </c>
      <c r="BG520" t="s">
        <v>1042</v>
      </c>
      <c r="BH520">
        <v>0</v>
      </c>
      <c r="BI520">
        <v>36</v>
      </c>
      <c r="BJ520">
        <v>0</v>
      </c>
      <c r="BK520">
        <v>0</v>
      </c>
      <c r="BM520" s="20">
        <v>44230</v>
      </c>
      <c r="BN520">
        <v>0</v>
      </c>
      <c r="BO520">
        <v>7897801320368</v>
      </c>
      <c r="BS520" t="s">
        <v>1043</v>
      </c>
      <c r="BT520" t="s">
        <v>1043</v>
      </c>
      <c r="BW520">
        <v>2</v>
      </c>
      <c r="BY520">
        <v>79</v>
      </c>
      <c r="CA520">
        <v>0</v>
      </c>
      <c r="CB520" t="s">
        <v>1043</v>
      </c>
      <c r="CE520" t="s">
        <v>1043</v>
      </c>
      <c r="CH520" t="s">
        <v>1043</v>
      </c>
      <c r="CN520" t="s">
        <v>1056</v>
      </c>
      <c r="CO520" t="s">
        <v>1043</v>
      </c>
      <c r="CP520">
        <v>1</v>
      </c>
      <c r="CQ520">
        <v>0</v>
      </c>
      <c r="CS520">
        <v>0</v>
      </c>
      <c r="CT520">
        <v>0</v>
      </c>
      <c r="CU520">
        <v>0</v>
      </c>
      <c r="CV520" t="s">
        <v>1045</v>
      </c>
      <c r="CW520">
        <v>0</v>
      </c>
      <c r="CX520">
        <v>0</v>
      </c>
      <c r="CY520">
        <v>0</v>
      </c>
      <c r="CZ520">
        <v>0</v>
      </c>
      <c r="DA520">
        <v>4</v>
      </c>
      <c r="DB520">
        <v>0</v>
      </c>
      <c r="DC520" t="s">
        <v>1043</v>
      </c>
      <c r="DF520" t="s">
        <v>1055</v>
      </c>
      <c r="DH520">
        <v>0</v>
      </c>
      <c r="DJ520">
        <v>0</v>
      </c>
      <c r="DK520" t="s">
        <v>1053</v>
      </c>
      <c r="DL520">
        <v>0</v>
      </c>
      <c r="DN520">
        <v>0</v>
      </c>
      <c r="DO520" t="s">
        <v>1042</v>
      </c>
      <c r="DP520">
        <v>0</v>
      </c>
      <c r="DQ520">
        <v>0</v>
      </c>
      <c r="DS520">
        <v>0</v>
      </c>
      <c r="DU520">
        <v>0</v>
      </c>
      <c r="DW520">
        <v>0</v>
      </c>
      <c r="DX520" t="s">
        <v>1043</v>
      </c>
      <c r="DY520">
        <v>0</v>
      </c>
      <c r="DZ520">
        <v>0</v>
      </c>
      <c r="EA520">
        <v>0</v>
      </c>
      <c r="EB520">
        <v>17897801320365</v>
      </c>
      <c r="ED520" t="s">
        <v>1045</v>
      </c>
      <c r="EE520">
        <v>0</v>
      </c>
      <c r="EF520">
        <v>0</v>
      </c>
      <c r="EL520">
        <v>57897801320363</v>
      </c>
      <c r="EQ520" t="s">
        <v>1044</v>
      </c>
      <c r="ES520" t="s">
        <v>1053</v>
      </c>
      <c r="ET520">
        <v>0</v>
      </c>
      <c r="EV520">
        <v>0</v>
      </c>
      <c r="EY520" t="s">
        <v>1052</v>
      </c>
      <c r="EZ520">
        <v>0</v>
      </c>
      <c r="FA520" t="s">
        <v>1043</v>
      </c>
      <c r="FB520">
        <v>0</v>
      </c>
      <c r="FC520">
        <v>0</v>
      </c>
      <c r="FD520" t="s">
        <v>1051</v>
      </c>
      <c r="FE520" t="s">
        <v>1050</v>
      </c>
      <c r="FF520">
        <v>0</v>
      </c>
      <c r="FG520" t="s">
        <v>1050</v>
      </c>
      <c r="FH520">
        <v>27897801320362</v>
      </c>
      <c r="FJ520">
        <v>0</v>
      </c>
      <c r="FK520">
        <v>0</v>
      </c>
      <c r="FP520">
        <v>0</v>
      </c>
      <c r="FQ520" t="s">
        <v>1044</v>
      </c>
      <c r="FR520">
        <v>0</v>
      </c>
      <c r="FS520" t="s">
        <v>1043</v>
      </c>
      <c r="FX520" t="s">
        <v>1042</v>
      </c>
      <c r="FZ520" t="s">
        <v>1048</v>
      </c>
      <c r="GA520">
        <v>0</v>
      </c>
      <c r="GB520" t="s">
        <v>1042</v>
      </c>
      <c r="GD520">
        <v>16</v>
      </c>
      <c r="GE520">
        <v>0</v>
      </c>
      <c r="GG520">
        <v>0</v>
      </c>
      <c r="GN520">
        <v>0</v>
      </c>
      <c r="GO520" t="s">
        <v>1049</v>
      </c>
      <c r="GQ520">
        <v>0</v>
      </c>
      <c r="GU520">
        <v>0</v>
      </c>
      <c r="GY520" t="s">
        <v>1045</v>
      </c>
      <c r="HB520">
        <v>0</v>
      </c>
      <c r="HE520">
        <v>0</v>
      </c>
      <c r="HF520">
        <v>0</v>
      </c>
      <c r="HG520">
        <v>4.1570000000000003E-2</v>
      </c>
      <c r="HK520" t="s">
        <v>1042</v>
      </c>
      <c r="HM520" t="s">
        <v>1047</v>
      </c>
      <c r="HN520">
        <v>0</v>
      </c>
      <c r="HO520">
        <v>29</v>
      </c>
      <c r="HP520">
        <v>1.53</v>
      </c>
      <c r="HQ520">
        <v>0</v>
      </c>
      <c r="HR520" t="s">
        <v>1042</v>
      </c>
      <c r="HS520" t="s">
        <v>1043</v>
      </c>
      <c r="HT520">
        <v>0</v>
      </c>
      <c r="HU520">
        <v>0</v>
      </c>
      <c r="HW520">
        <v>0</v>
      </c>
      <c r="HX520">
        <v>1</v>
      </c>
      <c r="HY520">
        <v>0</v>
      </c>
      <c r="HZ520" t="s">
        <v>1045</v>
      </c>
      <c r="IA520">
        <v>0</v>
      </c>
      <c r="IB520" t="s">
        <v>1045</v>
      </c>
      <c r="ID520" t="s">
        <v>1045</v>
      </c>
      <c r="IF520">
        <v>72</v>
      </c>
      <c r="IG520" t="s">
        <v>1042</v>
      </c>
      <c r="IH520" t="s">
        <v>1046</v>
      </c>
      <c r="II520" t="s">
        <v>1042</v>
      </c>
      <c r="IR520" t="s">
        <v>1045</v>
      </c>
      <c r="IT520">
        <v>0</v>
      </c>
      <c r="IY520" t="s">
        <v>1044</v>
      </c>
      <c r="IZ520" t="s">
        <v>1043</v>
      </c>
      <c r="JA520" t="s">
        <v>1043</v>
      </c>
      <c r="JC520" t="s">
        <v>1043</v>
      </c>
      <c r="JE520">
        <v>0</v>
      </c>
      <c r="JF520">
        <v>0</v>
      </c>
      <c r="JI520" t="s">
        <v>1042</v>
      </c>
      <c r="JJ520">
        <v>0</v>
      </c>
      <c r="JK520">
        <v>0</v>
      </c>
      <c r="JL520">
        <v>0</v>
      </c>
      <c r="JM520">
        <v>0</v>
      </c>
      <c r="JQ520" t="s">
        <v>1043</v>
      </c>
      <c r="JT520">
        <v>0</v>
      </c>
      <c r="JU520" t="s">
        <v>1042</v>
      </c>
      <c r="JW520">
        <v>0</v>
      </c>
      <c r="KA520">
        <v>0</v>
      </c>
      <c r="KF520">
        <v>0</v>
      </c>
      <c r="KG520">
        <v>0</v>
      </c>
      <c r="KH520">
        <v>0</v>
      </c>
      <c r="KI520">
        <v>0</v>
      </c>
      <c r="KS520" t="s">
        <v>1073</v>
      </c>
      <c r="KT520">
        <v>0</v>
      </c>
      <c r="KU520">
        <v>0</v>
      </c>
      <c r="KV520">
        <v>0</v>
      </c>
      <c r="KX520">
        <v>0</v>
      </c>
      <c r="KY520" t="s">
        <v>1045</v>
      </c>
      <c r="KZ520">
        <v>0</v>
      </c>
      <c r="LF520">
        <v>0</v>
      </c>
      <c r="LH520">
        <v>7560</v>
      </c>
      <c r="LI520">
        <v>0</v>
      </c>
    </row>
    <row r="521" spans="1:321" x14ac:dyDescent="0.35">
      <c r="A521">
        <v>1</v>
      </c>
      <c r="B521">
        <v>1314</v>
      </c>
      <c r="C521" t="s">
        <v>683</v>
      </c>
      <c r="D521" t="s">
        <v>1061</v>
      </c>
      <c r="E521" t="s">
        <v>85</v>
      </c>
      <c r="F521">
        <v>1</v>
      </c>
      <c r="G521">
        <v>240</v>
      </c>
      <c r="H521">
        <v>0</v>
      </c>
      <c r="I521" t="s">
        <v>1017</v>
      </c>
      <c r="M521">
        <v>9.75</v>
      </c>
      <c r="N521">
        <v>0</v>
      </c>
      <c r="Q521">
        <v>511</v>
      </c>
      <c r="R521">
        <v>0</v>
      </c>
      <c r="S521">
        <v>0</v>
      </c>
      <c r="W521" t="s">
        <v>1060</v>
      </c>
      <c r="X521">
        <v>0</v>
      </c>
      <c r="Z521">
        <v>8</v>
      </c>
      <c r="AA521">
        <v>117.4229</v>
      </c>
      <c r="AB521">
        <v>341</v>
      </c>
      <c r="AC521">
        <v>6.4</v>
      </c>
      <c r="AD521" t="s">
        <v>1042</v>
      </c>
      <c r="AE521">
        <v>0</v>
      </c>
      <c r="AF521">
        <v>0.58960000000000001</v>
      </c>
      <c r="AH521">
        <v>68</v>
      </c>
      <c r="AJ521">
        <v>0</v>
      </c>
      <c r="AL521">
        <v>0</v>
      </c>
      <c r="AM521">
        <v>640</v>
      </c>
      <c r="AN521">
        <v>11501001</v>
      </c>
      <c r="AO521">
        <v>0</v>
      </c>
      <c r="AP521">
        <v>1002</v>
      </c>
      <c r="AT521">
        <v>0</v>
      </c>
      <c r="AW521" t="s">
        <v>1053</v>
      </c>
      <c r="AX521">
        <v>5</v>
      </c>
      <c r="AY521" s="20">
        <v>43669</v>
      </c>
      <c r="BA521" s="20">
        <v>44420</v>
      </c>
      <c r="BB521" t="s">
        <v>1058</v>
      </c>
      <c r="BD521">
        <v>0</v>
      </c>
      <c r="BF521" t="s">
        <v>1044</v>
      </c>
      <c r="BG521" t="s">
        <v>1042</v>
      </c>
      <c r="BH521">
        <v>0</v>
      </c>
      <c r="BI521">
        <v>36</v>
      </c>
      <c r="BJ521">
        <v>0</v>
      </c>
      <c r="BK521">
        <v>0</v>
      </c>
      <c r="BM521" s="20">
        <v>43878</v>
      </c>
      <c r="BN521">
        <v>0</v>
      </c>
      <c r="BO521">
        <v>7897801319515</v>
      </c>
      <c r="BS521" t="s">
        <v>1043</v>
      </c>
      <c r="BT521" t="s">
        <v>1043</v>
      </c>
      <c r="BW521">
        <v>2</v>
      </c>
      <c r="BY521">
        <v>80</v>
      </c>
      <c r="CA521">
        <v>0</v>
      </c>
      <c r="CB521" t="s">
        <v>1043</v>
      </c>
      <c r="CE521" t="s">
        <v>1043</v>
      </c>
      <c r="CH521" t="s">
        <v>1043</v>
      </c>
      <c r="CN521" t="s">
        <v>1056</v>
      </c>
      <c r="CO521" t="s">
        <v>1043</v>
      </c>
      <c r="CP521">
        <v>1</v>
      </c>
      <c r="CQ521">
        <v>0</v>
      </c>
      <c r="CS521">
        <v>0</v>
      </c>
      <c r="CT521">
        <v>0</v>
      </c>
      <c r="CU521">
        <v>0</v>
      </c>
      <c r="CV521" t="s">
        <v>1045</v>
      </c>
      <c r="CW521">
        <v>0</v>
      </c>
      <c r="CX521">
        <v>0</v>
      </c>
      <c r="CY521">
        <v>0</v>
      </c>
      <c r="CZ521">
        <v>0</v>
      </c>
      <c r="DA521">
        <v>2</v>
      </c>
      <c r="DB521">
        <v>0</v>
      </c>
      <c r="DC521" t="s">
        <v>1043</v>
      </c>
      <c r="DF521" t="s">
        <v>1055</v>
      </c>
      <c r="DH521">
        <v>0</v>
      </c>
      <c r="DJ521">
        <v>0</v>
      </c>
      <c r="DK521" t="s">
        <v>1053</v>
      </c>
      <c r="DL521">
        <v>0</v>
      </c>
      <c r="DN521">
        <v>0</v>
      </c>
      <c r="DO521" t="s">
        <v>1042</v>
      </c>
      <c r="DP521">
        <v>0</v>
      </c>
      <c r="DQ521">
        <v>0</v>
      </c>
      <c r="DS521">
        <v>0</v>
      </c>
      <c r="DU521">
        <v>0</v>
      </c>
      <c r="DW521">
        <v>0</v>
      </c>
      <c r="DX521" t="s">
        <v>1043</v>
      </c>
      <c r="DY521">
        <v>0</v>
      </c>
      <c r="DZ521">
        <v>0</v>
      </c>
      <c r="EA521">
        <v>0</v>
      </c>
      <c r="EB521">
        <v>17897801319512</v>
      </c>
      <c r="ED521" t="s">
        <v>1045</v>
      </c>
      <c r="EE521">
        <v>0</v>
      </c>
      <c r="EF521">
        <v>0</v>
      </c>
      <c r="EL521">
        <v>57897801319510</v>
      </c>
      <c r="EQ521" t="s">
        <v>1044</v>
      </c>
      <c r="ES521" t="s">
        <v>1053</v>
      </c>
      <c r="ET521">
        <v>0</v>
      </c>
      <c r="EV521">
        <v>0</v>
      </c>
      <c r="EY521" t="s">
        <v>1052</v>
      </c>
      <c r="EZ521">
        <v>0</v>
      </c>
      <c r="FA521" t="s">
        <v>1043</v>
      </c>
      <c r="FB521">
        <v>0</v>
      </c>
      <c r="FC521">
        <v>0</v>
      </c>
      <c r="FD521" t="s">
        <v>1051</v>
      </c>
      <c r="FE521" t="s">
        <v>1050</v>
      </c>
      <c r="FF521">
        <v>0</v>
      </c>
      <c r="FG521" t="s">
        <v>1050</v>
      </c>
      <c r="FH521">
        <v>27897801319519</v>
      </c>
      <c r="FJ521">
        <v>0</v>
      </c>
      <c r="FK521">
        <v>0</v>
      </c>
      <c r="FP521">
        <v>0</v>
      </c>
      <c r="FQ521" t="s">
        <v>1044</v>
      </c>
      <c r="FR521">
        <v>0</v>
      </c>
      <c r="FS521" t="s">
        <v>1043</v>
      </c>
      <c r="FX521" t="s">
        <v>1042</v>
      </c>
      <c r="FZ521" t="s">
        <v>1048</v>
      </c>
      <c r="GA521">
        <v>0</v>
      </c>
      <c r="GB521" t="s">
        <v>1042</v>
      </c>
      <c r="GD521">
        <v>16</v>
      </c>
      <c r="GE521">
        <v>0</v>
      </c>
      <c r="GG521">
        <v>0</v>
      </c>
      <c r="GN521">
        <v>0</v>
      </c>
      <c r="GO521" t="s">
        <v>1049</v>
      </c>
      <c r="GQ521">
        <v>0</v>
      </c>
      <c r="GU521">
        <v>0</v>
      </c>
      <c r="GY521" t="s">
        <v>1045</v>
      </c>
      <c r="HB521">
        <v>0</v>
      </c>
      <c r="HE521">
        <v>0</v>
      </c>
      <c r="HF521">
        <v>0</v>
      </c>
      <c r="HG521">
        <v>4.9320000000000003E-2</v>
      </c>
      <c r="HK521" t="s">
        <v>1042</v>
      </c>
      <c r="HM521" t="s">
        <v>1047</v>
      </c>
      <c r="HN521">
        <v>0</v>
      </c>
      <c r="HO521">
        <v>30</v>
      </c>
      <c r="HP521">
        <v>0.28889999999999999</v>
      </c>
      <c r="HQ521">
        <v>0</v>
      </c>
      <c r="HR521" t="s">
        <v>1042</v>
      </c>
      <c r="HS521" t="s">
        <v>1043</v>
      </c>
      <c r="HT521">
        <v>0</v>
      </c>
      <c r="HU521">
        <v>0</v>
      </c>
      <c r="HW521">
        <v>0</v>
      </c>
      <c r="HX521">
        <v>751</v>
      </c>
      <c r="HY521">
        <v>0</v>
      </c>
      <c r="HZ521" t="s">
        <v>1045</v>
      </c>
      <c r="IA521">
        <v>0</v>
      </c>
      <c r="IB521" t="s">
        <v>1045</v>
      </c>
      <c r="ID521" t="s">
        <v>1045</v>
      </c>
      <c r="IF521">
        <v>216</v>
      </c>
      <c r="IG521" s="20">
        <v>43895</v>
      </c>
      <c r="IH521" t="s">
        <v>1046</v>
      </c>
      <c r="II521" t="s">
        <v>1042</v>
      </c>
      <c r="IR521" t="s">
        <v>1045</v>
      </c>
      <c r="IT521">
        <v>0</v>
      </c>
      <c r="IY521" t="s">
        <v>1044</v>
      </c>
      <c r="IZ521" t="s">
        <v>1043</v>
      </c>
      <c r="JA521" t="s">
        <v>1043</v>
      </c>
      <c r="JC521" t="s">
        <v>1043</v>
      </c>
      <c r="JE521">
        <v>0</v>
      </c>
      <c r="JF521">
        <v>0</v>
      </c>
      <c r="JI521" t="s">
        <v>1042</v>
      </c>
      <c r="JJ521">
        <v>0</v>
      </c>
      <c r="JK521">
        <v>0</v>
      </c>
      <c r="JL521">
        <v>0</v>
      </c>
      <c r="JM521">
        <v>0</v>
      </c>
      <c r="JQ521" t="s">
        <v>1043</v>
      </c>
      <c r="JT521">
        <v>0</v>
      </c>
      <c r="JU521" t="s">
        <v>1042</v>
      </c>
      <c r="JW521">
        <v>0</v>
      </c>
      <c r="KA521">
        <v>0</v>
      </c>
      <c r="KF521">
        <v>0</v>
      </c>
      <c r="KG521">
        <v>0</v>
      </c>
      <c r="KH521">
        <v>0</v>
      </c>
      <c r="KI521">
        <v>0</v>
      </c>
      <c r="KS521" t="s">
        <v>1073</v>
      </c>
      <c r="KT521">
        <v>0</v>
      </c>
      <c r="KU521">
        <v>0</v>
      </c>
      <c r="KV521">
        <v>0</v>
      </c>
      <c r="KX521">
        <v>0</v>
      </c>
      <c r="KY521" t="s">
        <v>1045</v>
      </c>
      <c r="KZ521">
        <v>0</v>
      </c>
      <c r="LF521">
        <v>0</v>
      </c>
      <c r="LH521">
        <v>26880</v>
      </c>
      <c r="LI521">
        <v>0</v>
      </c>
    </row>
    <row r="522" spans="1:321" x14ac:dyDescent="0.35">
      <c r="A522">
        <v>1</v>
      </c>
      <c r="B522">
        <v>1315</v>
      </c>
      <c r="C522" t="s">
        <v>684</v>
      </c>
      <c r="D522" t="s">
        <v>1061</v>
      </c>
      <c r="E522" t="s">
        <v>85</v>
      </c>
      <c r="F522">
        <v>1</v>
      </c>
      <c r="G522">
        <v>240</v>
      </c>
      <c r="H522">
        <v>0</v>
      </c>
      <c r="I522" t="s">
        <v>1017</v>
      </c>
      <c r="M522">
        <v>9.75</v>
      </c>
      <c r="N522">
        <v>0</v>
      </c>
      <c r="Q522">
        <v>511</v>
      </c>
      <c r="R522">
        <v>0</v>
      </c>
      <c r="S522">
        <v>0</v>
      </c>
      <c r="W522" t="s">
        <v>1060</v>
      </c>
      <c r="X522">
        <v>0</v>
      </c>
      <c r="Z522">
        <v>4</v>
      </c>
      <c r="AA522">
        <v>162.1831</v>
      </c>
      <c r="AB522">
        <v>54</v>
      </c>
      <c r="AC522">
        <v>0</v>
      </c>
      <c r="AD522" t="s">
        <v>1042</v>
      </c>
      <c r="AE522">
        <v>0</v>
      </c>
      <c r="AF522">
        <v>0.88600000000000001</v>
      </c>
      <c r="AH522">
        <v>3</v>
      </c>
      <c r="AJ522">
        <v>0</v>
      </c>
      <c r="AL522">
        <v>0</v>
      </c>
      <c r="AM522">
        <v>480</v>
      </c>
      <c r="AN522">
        <v>11501001</v>
      </c>
      <c r="AO522">
        <v>0</v>
      </c>
      <c r="AP522">
        <v>1002</v>
      </c>
      <c r="AT522">
        <v>0</v>
      </c>
      <c r="AW522" t="s">
        <v>1053</v>
      </c>
      <c r="AX522">
        <v>5</v>
      </c>
      <c r="AY522" s="20">
        <v>43669</v>
      </c>
      <c r="BA522" s="20">
        <v>44420</v>
      </c>
      <c r="BB522" t="s">
        <v>1058</v>
      </c>
      <c r="BD522">
        <v>0</v>
      </c>
      <c r="BF522" t="s">
        <v>1044</v>
      </c>
      <c r="BG522" t="s">
        <v>1042</v>
      </c>
      <c r="BH522">
        <v>0</v>
      </c>
      <c r="BI522">
        <v>36</v>
      </c>
      <c r="BJ522">
        <v>0</v>
      </c>
      <c r="BK522">
        <v>0</v>
      </c>
      <c r="BM522" s="20">
        <v>43885</v>
      </c>
      <c r="BN522">
        <v>0</v>
      </c>
      <c r="BO522">
        <v>7897801319522</v>
      </c>
      <c r="BS522" t="s">
        <v>1043</v>
      </c>
      <c r="BT522" t="s">
        <v>1043</v>
      </c>
      <c r="BW522">
        <v>2</v>
      </c>
      <c r="BY522">
        <v>80</v>
      </c>
      <c r="CA522">
        <v>0</v>
      </c>
      <c r="CB522" t="s">
        <v>1043</v>
      </c>
      <c r="CE522" t="s">
        <v>1043</v>
      </c>
      <c r="CH522" t="s">
        <v>1043</v>
      </c>
      <c r="CN522" t="s">
        <v>1056</v>
      </c>
      <c r="CO522" t="s">
        <v>1043</v>
      </c>
      <c r="CP522">
        <v>1</v>
      </c>
      <c r="CQ522">
        <v>0</v>
      </c>
      <c r="CS522">
        <v>0</v>
      </c>
      <c r="CT522">
        <v>0</v>
      </c>
      <c r="CU522">
        <v>0</v>
      </c>
      <c r="CV522" t="s">
        <v>1045</v>
      </c>
      <c r="CW522">
        <v>0</v>
      </c>
      <c r="CX522">
        <v>0</v>
      </c>
      <c r="CY522">
        <v>0</v>
      </c>
      <c r="CZ522">
        <v>0</v>
      </c>
      <c r="DA522">
        <v>2</v>
      </c>
      <c r="DB522">
        <v>0</v>
      </c>
      <c r="DC522" t="s">
        <v>1043</v>
      </c>
      <c r="DF522" t="s">
        <v>1055</v>
      </c>
      <c r="DH522">
        <v>0</v>
      </c>
      <c r="DJ522">
        <v>0</v>
      </c>
      <c r="DK522" t="s">
        <v>1053</v>
      </c>
      <c r="DL522">
        <v>0</v>
      </c>
      <c r="DN522">
        <v>0</v>
      </c>
      <c r="DO522" t="s">
        <v>1042</v>
      </c>
      <c r="DP522">
        <v>0</v>
      </c>
      <c r="DQ522">
        <v>0</v>
      </c>
      <c r="DS522">
        <v>0</v>
      </c>
      <c r="DU522">
        <v>0</v>
      </c>
      <c r="DW522">
        <v>0</v>
      </c>
      <c r="DX522" t="s">
        <v>1043</v>
      </c>
      <c r="DY522">
        <v>0</v>
      </c>
      <c r="DZ522">
        <v>0</v>
      </c>
      <c r="EA522">
        <v>0</v>
      </c>
      <c r="EB522">
        <v>17897801319529</v>
      </c>
      <c r="ED522" t="s">
        <v>1045</v>
      </c>
      <c r="EE522">
        <v>0</v>
      </c>
      <c r="EF522">
        <v>0</v>
      </c>
      <c r="EL522">
        <v>57897801319527</v>
      </c>
      <c r="EQ522" t="s">
        <v>1044</v>
      </c>
      <c r="ES522" t="s">
        <v>1053</v>
      </c>
      <c r="ET522">
        <v>0</v>
      </c>
      <c r="EV522">
        <v>0</v>
      </c>
      <c r="EY522" t="s">
        <v>1052</v>
      </c>
      <c r="EZ522">
        <v>0</v>
      </c>
      <c r="FA522" t="s">
        <v>1043</v>
      </c>
      <c r="FB522">
        <v>0</v>
      </c>
      <c r="FC522">
        <v>0</v>
      </c>
      <c r="FD522" t="s">
        <v>1051</v>
      </c>
      <c r="FE522" t="s">
        <v>1050</v>
      </c>
      <c r="FF522">
        <v>0</v>
      </c>
      <c r="FG522" t="s">
        <v>1050</v>
      </c>
      <c r="FH522">
        <v>27897801319526</v>
      </c>
      <c r="FJ522">
        <v>0</v>
      </c>
      <c r="FK522">
        <v>0</v>
      </c>
      <c r="FP522">
        <v>0</v>
      </c>
      <c r="FQ522" t="s">
        <v>1044</v>
      </c>
      <c r="FR522">
        <v>0</v>
      </c>
      <c r="FS522" t="s">
        <v>1043</v>
      </c>
      <c r="FX522" t="s">
        <v>1042</v>
      </c>
      <c r="FZ522" t="s">
        <v>1048</v>
      </c>
      <c r="GA522">
        <v>0</v>
      </c>
      <c r="GB522" t="s">
        <v>1042</v>
      </c>
      <c r="GD522">
        <v>16</v>
      </c>
      <c r="GE522">
        <v>0</v>
      </c>
      <c r="GG522">
        <v>0</v>
      </c>
      <c r="GN522">
        <v>0</v>
      </c>
      <c r="GO522" t="s">
        <v>1049</v>
      </c>
      <c r="GQ522">
        <v>0</v>
      </c>
      <c r="GU522">
        <v>0</v>
      </c>
      <c r="GY522" t="s">
        <v>1045</v>
      </c>
      <c r="HB522">
        <v>0</v>
      </c>
      <c r="HE522">
        <v>0</v>
      </c>
      <c r="HF522">
        <v>0</v>
      </c>
      <c r="HG522">
        <v>3.3369999999999997E-2</v>
      </c>
      <c r="HK522" t="s">
        <v>1042</v>
      </c>
      <c r="HM522" t="s">
        <v>1047</v>
      </c>
      <c r="HN522">
        <v>0</v>
      </c>
      <c r="HO522">
        <v>30</v>
      </c>
      <c r="HP522">
        <v>0.44850000000000001</v>
      </c>
      <c r="HQ522">
        <v>0</v>
      </c>
      <c r="HR522" t="s">
        <v>1042</v>
      </c>
      <c r="HS522" t="s">
        <v>1043</v>
      </c>
      <c r="HT522">
        <v>0</v>
      </c>
      <c r="HU522">
        <v>0</v>
      </c>
      <c r="HW522">
        <v>0</v>
      </c>
      <c r="HX522">
        <v>130</v>
      </c>
      <c r="HY522">
        <v>0</v>
      </c>
      <c r="HZ522" t="s">
        <v>1045</v>
      </c>
      <c r="IA522">
        <v>0</v>
      </c>
      <c r="IB522" t="s">
        <v>1045</v>
      </c>
      <c r="ID522" t="s">
        <v>1045</v>
      </c>
      <c r="IF522">
        <v>180</v>
      </c>
      <c r="IG522" s="20">
        <v>43895</v>
      </c>
      <c r="IH522" t="s">
        <v>1046</v>
      </c>
      <c r="II522" t="s">
        <v>1042</v>
      </c>
      <c r="IR522" t="s">
        <v>1045</v>
      </c>
      <c r="IT522">
        <v>0</v>
      </c>
      <c r="IY522" t="s">
        <v>1044</v>
      </c>
      <c r="IZ522" t="s">
        <v>1043</v>
      </c>
      <c r="JA522" t="s">
        <v>1043</v>
      </c>
      <c r="JC522" t="s">
        <v>1043</v>
      </c>
      <c r="JE522">
        <v>0</v>
      </c>
      <c r="JF522">
        <v>0</v>
      </c>
      <c r="JI522" t="s">
        <v>1042</v>
      </c>
      <c r="JJ522">
        <v>0</v>
      </c>
      <c r="JK522">
        <v>0</v>
      </c>
      <c r="JL522">
        <v>0</v>
      </c>
      <c r="JM522">
        <v>0</v>
      </c>
      <c r="JQ522" t="s">
        <v>1043</v>
      </c>
      <c r="JT522">
        <v>0</v>
      </c>
      <c r="JU522" t="s">
        <v>1042</v>
      </c>
      <c r="JW522">
        <v>0</v>
      </c>
      <c r="KA522">
        <v>0</v>
      </c>
      <c r="KF522">
        <v>0</v>
      </c>
      <c r="KG522">
        <v>0</v>
      </c>
      <c r="KH522">
        <v>0</v>
      </c>
      <c r="KI522">
        <v>0</v>
      </c>
      <c r="KS522" t="s">
        <v>1073</v>
      </c>
      <c r="KT522">
        <v>0</v>
      </c>
      <c r="KU522">
        <v>0</v>
      </c>
      <c r="KV522">
        <v>0</v>
      </c>
      <c r="KX522">
        <v>0</v>
      </c>
      <c r="KY522" t="s">
        <v>1045</v>
      </c>
      <c r="KZ522">
        <v>0</v>
      </c>
      <c r="LF522">
        <v>0</v>
      </c>
      <c r="LH522">
        <v>20160</v>
      </c>
      <c r="LI522">
        <v>0</v>
      </c>
    </row>
    <row r="523" spans="1:321" x14ac:dyDescent="0.35">
      <c r="A523">
        <v>1</v>
      </c>
      <c r="B523">
        <v>1316</v>
      </c>
      <c r="C523" t="s">
        <v>685</v>
      </c>
      <c r="D523" t="s">
        <v>1061</v>
      </c>
      <c r="E523" t="s">
        <v>85</v>
      </c>
      <c r="F523">
        <v>1</v>
      </c>
      <c r="G523">
        <v>240</v>
      </c>
      <c r="H523">
        <v>0</v>
      </c>
      <c r="I523" t="s">
        <v>1017</v>
      </c>
      <c r="M523">
        <v>9.75</v>
      </c>
      <c r="N523">
        <v>0</v>
      </c>
      <c r="Q523">
        <v>511</v>
      </c>
      <c r="R523">
        <v>0</v>
      </c>
      <c r="S523">
        <v>0</v>
      </c>
      <c r="W523" t="s">
        <v>1060</v>
      </c>
      <c r="X523">
        <v>0</v>
      </c>
      <c r="Z523">
        <v>2</v>
      </c>
      <c r="AA523">
        <v>333.40339999999998</v>
      </c>
      <c r="AB523">
        <v>72</v>
      </c>
      <c r="AC523">
        <v>0</v>
      </c>
      <c r="AD523" t="s">
        <v>1042</v>
      </c>
      <c r="AE523">
        <v>0</v>
      </c>
      <c r="AF523">
        <v>0.72270000000000001</v>
      </c>
      <c r="AH523">
        <v>7</v>
      </c>
      <c r="AJ523">
        <v>0</v>
      </c>
      <c r="AL523">
        <v>0</v>
      </c>
      <c r="AM523">
        <v>320</v>
      </c>
      <c r="AN523">
        <v>11501001</v>
      </c>
      <c r="AO523">
        <v>0</v>
      </c>
      <c r="AP523">
        <v>1002</v>
      </c>
      <c r="AT523">
        <v>0</v>
      </c>
      <c r="AW523" t="s">
        <v>1053</v>
      </c>
      <c r="AX523">
        <v>5</v>
      </c>
      <c r="AY523" s="20">
        <v>43669</v>
      </c>
      <c r="BA523" s="20">
        <v>44420</v>
      </c>
      <c r="BB523" t="s">
        <v>1058</v>
      </c>
      <c r="BD523">
        <v>0</v>
      </c>
      <c r="BF523" t="s">
        <v>1044</v>
      </c>
      <c r="BG523" t="s">
        <v>1042</v>
      </c>
      <c r="BH523">
        <v>0</v>
      </c>
      <c r="BI523">
        <v>36</v>
      </c>
      <c r="BJ523">
        <v>0</v>
      </c>
      <c r="BK523">
        <v>0</v>
      </c>
      <c r="BM523" s="20">
        <v>43972</v>
      </c>
      <c r="BN523">
        <v>0</v>
      </c>
      <c r="BO523">
        <v>7897801319539</v>
      </c>
      <c r="BS523" t="s">
        <v>1043</v>
      </c>
      <c r="BT523" t="s">
        <v>1043</v>
      </c>
      <c r="BW523">
        <v>2</v>
      </c>
      <c r="BY523">
        <v>80</v>
      </c>
      <c r="CA523">
        <v>0</v>
      </c>
      <c r="CB523" t="s">
        <v>1043</v>
      </c>
      <c r="CE523" t="s">
        <v>1043</v>
      </c>
      <c r="CH523" t="s">
        <v>1043</v>
      </c>
      <c r="CN523" t="s">
        <v>1056</v>
      </c>
      <c r="CO523" t="s">
        <v>1043</v>
      </c>
      <c r="CP523">
        <v>1</v>
      </c>
      <c r="CQ523">
        <v>0</v>
      </c>
      <c r="CS523">
        <v>0</v>
      </c>
      <c r="CT523">
        <v>0</v>
      </c>
      <c r="CU523">
        <v>0</v>
      </c>
      <c r="CV523" t="s">
        <v>1045</v>
      </c>
      <c r="CW523">
        <v>0</v>
      </c>
      <c r="CX523">
        <v>0</v>
      </c>
      <c r="CY523">
        <v>0</v>
      </c>
      <c r="CZ523">
        <v>0</v>
      </c>
      <c r="DA523">
        <v>2</v>
      </c>
      <c r="DB523">
        <v>0</v>
      </c>
      <c r="DC523" t="s">
        <v>1043</v>
      </c>
      <c r="DF523" t="s">
        <v>1055</v>
      </c>
      <c r="DH523">
        <v>0</v>
      </c>
      <c r="DJ523">
        <v>0</v>
      </c>
      <c r="DK523" t="s">
        <v>1053</v>
      </c>
      <c r="DL523">
        <v>0</v>
      </c>
      <c r="DN523">
        <v>0</v>
      </c>
      <c r="DO523" t="s">
        <v>1042</v>
      </c>
      <c r="DP523">
        <v>0</v>
      </c>
      <c r="DQ523">
        <v>0</v>
      </c>
      <c r="DS523">
        <v>0</v>
      </c>
      <c r="DU523">
        <v>0</v>
      </c>
      <c r="DW523">
        <v>0</v>
      </c>
      <c r="DX523" t="s">
        <v>1043</v>
      </c>
      <c r="DY523">
        <v>0</v>
      </c>
      <c r="DZ523">
        <v>0</v>
      </c>
      <c r="EA523">
        <v>0</v>
      </c>
      <c r="EB523">
        <v>17897801319536</v>
      </c>
      <c r="ED523" t="s">
        <v>1045</v>
      </c>
      <c r="EE523">
        <v>0</v>
      </c>
      <c r="EF523">
        <v>0</v>
      </c>
      <c r="EL523">
        <v>57897801319534</v>
      </c>
      <c r="EQ523" t="s">
        <v>1044</v>
      </c>
      <c r="ES523" t="s">
        <v>1053</v>
      </c>
      <c r="ET523">
        <v>0</v>
      </c>
      <c r="EV523">
        <v>0</v>
      </c>
      <c r="EY523" t="s">
        <v>1052</v>
      </c>
      <c r="EZ523">
        <v>0</v>
      </c>
      <c r="FA523" t="s">
        <v>1043</v>
      </c>
      <c r="FB523">
        <v>0</v>
      </c>
      <c r="FC523">
        <v>0</v>
      </c>
      <c r="FD523" t="s">
        <v>1051</v>
      </c>
      <c r="FE523" t="s">
        <v>1050</v>
      </c>
      <c r="FF523">
        <v>0</v>
      </c>
      <c r="FG523" t="s">
        <v>1050</v>
      </c>
      <c r="FH523">
        <v>27897801319533</v>
      </c>
      <c r="FJ523">
        <v>0</v>
      </c>
      <c r="FK523">
        <v>0</v>
      </c>
      <c r="FP523">
        <v>0</v>
      </c>
      <c r="FQ523" t="s">
        <v>1044</v>
      </c>
      <c r="FR523">
        <v>0</v>
      </c>
      <c r="FS523" t="s">
        <v>1043</v>
      </c>
      <c r="FX523" t="s">
        <v>1042</v>
      </c>
      <c r="FZ523" t="s">
        <v>1048</v>
      </c>
      <c r="GA523">
        <v>0</v>
      </c>
      <c r="GB523" t="s">
        <v>1042</v>
      </c>
      <c r="GD523">
        <v>16</v>
      </c>
      <c r="GE523">
        <v>0</v>
      </c>
      <c r="GG523">
        <v>0</v>
      </c>
      <c r="GN523">
        <v>0</v>
      </c>
      <c r="GO523" t="s">
        <v>1049</v>
      </c>
      <c r="GQ523">
        <v>0</v>
      </c>
      <c r="GU523">
        <v>0</v>
      </c>
      <c r="GY523" t="s">
        <v>1045</v>
      </c>
      <c r="HB523">
        <v>0</v>
      </c>
      <c r="HE523">
        <v>0</v>
      </c>
      <c r="HF523">
        <v>0</v>
      </c>
      <c r="HG523">
        <v>4.9889999999999997E-2</v>
      </c>
      <c r="HK523" t="s">
        <v>1042</v>
      </c>
      <c r="HM523" t="s">
        <v>1047</v>
      </c>
      <c r="HN523">
        <v>0</v>
      </c>
      <c r="HO523">
        <v>30</v>
      </c>
      <c r="HP523">
        <v>0.72270000000000001</v>
      </c>
      <c r="HQ523">
        <v>0</v>
      </c>
      <c r="HR523" t="s">
        <v>1042</v>
      </c>
      <c r="HS523" t="s">
        <v>1043</v>
      </c>
      <c r="HT523">
        <v>0</v>
      </c>
      <c r="HU523">
        <v>0</v>
      </c>
      <c r="HW523">
        <v>0</v>
      </c>
      <c r="HX523">
        <v>169</v>
      </c>
      <c r="HY523">
        <v>0</v>
      </c>
      <c r="HZ523" t="s">
        <v>1045</v>
      </c>
      <c r="IA523">
        <v>0</v>
      </c>
      <c r="IB523" t="s">
        <v>1045</v>
      </c>
      <c r="ID523" t="s">
        <v>1045</v>
      </c>
      <c r="IF523">
        <v>90</v>
      </c>
      <c r="IG523" s="20">
        <v>43984</v>
      </c>
      <c r="IH523" t="s">
        <v>1046</v>
      </c>
      <c r="II523" t="s">
        <v>1042</v>
      </c>
      <c r="IR523" t="s">
        <v>1045</v>
      </c>
      <c r="IT523">
        <v>0</v>
      </c>
      <c r="IY523" t="s">
        <v>1044</v>
      </c>
      <c r="IZ523" t="s">
        <v>1043</v>
      </c>
      <c r="JA523" t="s">
        <v>1043</v>
      </c>
      <c r="JC523" t="s">
        <v>1043</v>
      </c>
      <c r="JE523">
        <v>0</v>
      </c>
      <c r="JF523">
        <v>0</v>
      </c>
      <c r="JI523" t="s">
        <v>1042</v>
      </c>
      <c r="JJ523">
        <v>0</v>
      </c>
      <c r="JK523">
        <v>0</v>
      </c>
      <c r="JL523">
        <v>0</v>
      </c>
      <c r="JM523">
        <v>0</v>
      </c>
      <c r="JQ523" t="s">
        <v>1043</v>
      </c>
      <c r="JT523">
        <v>0</v>
      </c>
      <c r="JU523" t="s">
        <v>1042</v>
      </c>
      <c r="JW523">
        <v>0</v>
      </c>
      <c r="KA523">
        <v>0</v>
      </c>
      <c r="KF523">
        <v>0</v>
      </c>
      <c r="KG523">
        <v>0</v>
      </c>
      <c r="KH523">
        <v>0</v>
      </c>
      <c r="KI523">
        <v>0</v>
      </c>
      <c r="KS523" t="s">
        <v>1073</v>
      </c>
      <c r="KT523">
        <v>0</v>
      </c>
      <c r="KU523">
        <v>0</v>
      </c>
      <c r="KV523">
        <v>0</v>
      </c>
      <c r="KX523">
        <v>0</v>
      </c>
      <c r="KY523" t="s">
        <v>1045</v>
      </c>
      <c r="KZ523">
        <v>0</v>
      </c>
      <c r="LF523">
        <v>0</v>
      </c>
      <c r="LH523">
        <v>12096</v>
      </c>
      <c r="LI523">
        <v>0</v>
      </c>
    </row>
    <row r="524" spans="1:321" x14ac:dyDescent="0.35">
      <c r="A524">
        <v>1</v>
      </c>
      <c r="B524">
        <v>1317</v>
      </c>
      <c r="C524" t="s">
        <v>686</v>
      </c>
      <c r="D524" t="s">
        <v>1061</v>
      </c>
      <c r="E524" t="s">
        <v>85</v>
      </c>
      <c r="F524">
        <v>1</v>
      </c>
      <c r="G524">
        <v>240</v>
      </c>
      <c r="H524">
        <v>0</v>
      </c>
      <c r="I524" t="s">
        <v>1017</v>
      </c>
      <c r="M524">
        <v>9.75</v>
      </c>
      <c r="N524">
        <v>0</v>
      </c>
      <c r="Q524">
        <v>511</v>
      </c>
      <c r="R524">
        <v>0</v>
      </c>
      <c r="S524">
        <v>0</v>
      </c>
      <c r="W524" t="s">
        <v>1060</v>
      </c>
      <c r="X524">
        <v>0</v>
      </c>
      <c r="Z524">
        <v>2</v>
      </c>
      <c r="AA524">
        <v>633.50959999999998</v>
      </c>
      <c r="AB524">
        <v>22</v>
      </c>
      <c r="AC524">
        <v>0</v>
      </c>
      <c r="AD524" t="s">
        <v>1042</v>
      </c>
      <c r="AE524">
        <v>0</v>
      </c>
      <c r="AF524">
        <v>1.1196999999999999</v>
      </c>
      <c r="AH524">
        <v>7</v>
      </c>
      <c r="AJ524">
        <v>0</v>
      </c>
      <c r="AL524">
        <v>0</v>
      </c>
      <c r="AM524">
        <v>240</v>
      </c>
      <c r="AN524">
        <v>11501001</v>
      </c>
      <c r="AO524">
        <v>0</v>
      </c>
      <c r="AP524">
        <v>1002</v>
      </c>
      <c r="AT524">
        <v>0</v>
      </c>
      <c r="AW524" t="s">
        <v>1053</v>
      </c>
      <c r="AX524">
        <v>5</v>
      </c>
      <c r="AY524" s="20">
        <v>43669</v>
      </c>
      <c r="BA524" s="20">
        <v>44420</v>
      </c>
      <c r="BB524" t="s">
        <v>1058</v>
      </c>
      <c r="BD524">
        <v>0</v>
      </c>
      <c r="BF524" t="s">
        <v>1044</v>
      </c>
      <c r="BG524" t="s">
        <v>1042</v>
      </c>
      <c r="BH524">
        <v>0</v>
      </c>
      <c r="BI524">
        <v>36</v>
      </c>
      <c r="BJ524">
        <v>0</v>
      </c>
      <c r="BK524">
        <v>0</v>
      </c>
      <c r="BM524" s="20">
        <v>43973</v>
      </c>
      <c r="BN524">
        <v>0</v>
      </c>
      <c r="BO524">
        <v>7897801319546</v>
      </c>
      <c r="BS524" t="s">
        <v>1043</v>
      </c>
      <c r="BT524" t="s">
        <v>1043</v>
      </c>
      <c r="BW524">
        <v>2</v>
      </c>
      <c r="BY524">
        <v>80</v>
      </c>
      <c r="CA524">
        <v>0</v>
      </c>
      <c r="CB524" t="s">
        <v>1043</v>
      </c>
      <c r="CE524" t="s">
        <v>1043</v>
      </c>
      <c r="CH524" t="s">
        <v>1043</v>
      </c>
      <c r="CN524" t="s">
        <v>1056</v>
      </c>
      <c r="CO524" t="s">
        <v>1043</v>
      </c>
      <c r="CP524">
        <v>1</v>
      </c>
      <c r="CQ524">
        <v>0</v>
      </c>
      <c r="CS524">
        <v>0</v>
      </c>
      <c r="CT524">
        <v>0</v>
      </c>
      <c r="CU524">
        <v>0</v>
      </c>
      <c r="CV524" t="s">
        <v>1045</v>
      </c>
      <c r="CW524">
        <v>0</v>
      </c>
      <c r="CX524">
        <v>0</v>
      </c>
      <c r="CY524">
        <v>0</v>
      </c>
      <c r="CZ524">
        <v>0</v>
      </c>
      <c r="DA524">
        <v>4</v>
      </c>
      <c r="DB524">
        <v>0</v>
      </c>
      <c r="DC524" t="s">
        <v>1043</v>
      </c>
      <c r="DF524" t="s">
        <v>1055</v>
      </c>
      <c r="DH524">
        <v>0</v>
      </c>
      <c r="DJ524">
        <v>0</v>
      </c>
      <c r="DK524" t="s">
        <v>1053</v>
      </c>
      <c r="DL524">
        <v>0</v>
      </c>
      <c r="DN524">
        <v>0</v>
      </c>
      <c r="DO524" t="s">
        <v>1042</v>
      </c>
      <c r="DP524">
        <v>0</v>
      </c>
      <c r="DQ524">
        <v>0</v>
      </c>
      <c r="DS524">
        <v>0</v>
      </c>
      <c r="DU524">
        <v>0</v>
      </c>
      <c r="DW524">
        <v>0</v>
      </c>
      <c r="DX524" t="s">
        <v>1043</v>
      </c>
      <c r="DY524">
        <v>0</v>
      </c>
      <c r="DZ524">
        <v>0</v>
      </c>
      <c r="EA524">
        <v>0</v>
      </c>
      <c r="EB524">
        <v>17897801319543</v>
      </c>
      <c r="ED524" t="s">
        <v>1045</v>
      </c>
      <c r="EE524">
        <v>0</v>
      </c>
      <c r="EF524">
        <v>0</v>
      </c>
      <c r="EL524">
        <v>57897801319541</v>
      </c>
      <c r="EQ524" t="s">
        <v>1044</v>
      </c>
      <c r="ES524" t="s">
        <v>1053</v>
      </c>
      <c r="ET524">
        <v>0</v>
      </c>
      <c r="EV524">
        <v>0</v>
      </c>
      <c r="EY524" t="s">
        <v>1052</v>
      </c>
      <c r="EZ524">
        <v>0</v>
      </c>
      <c r="FA524" t="s">
        <v>1043</v>
      </c>
      <c r="FB524">
        <v>0</v>
      </c>
      <c r="FC524">
        <v>0</v>
      </c>
      <c r="FD524" t="s">
        <v>1051</v>
      </c>
      <c r="FE524" t="s">
        <v>1050</v>
      </c>
      <c r="FF524">
        <v>0</v>
      </c>
      <c r="FG524" t="s">
        <v>1050</v>
      </c>
      <c r="FH524">
        <v>27897801319540</v>
      </c>
      <c r="FJ524">
        <v>0</v>
      </c>
      <c r="FK524">
        <v>0</v>
      </c>
      <c r="FP524">
        <v>0</v>
      </c>
      <c r="FQ524" t="s">
        <v>1044</v>
      </c>
      <c r="FR524">
        <v>0</v>
      </c>
      <c r="FS524" t="s">
        <v>1043</v>
      </c>
      <c r="FX524" t="s">
        <v>1042</v>
      </c>
      <c r="FZ524" t="s">
        <v>1048</v>
      </c>
      <c r="GA524">
        <v>0</v>
      </c>
      <c r="GB524" t="s">
        <v>1042</v>
      </c>
      <c r="GD524">
        <v>16</v>
      </c>
      <c r="GE524">
        <v>0</v>
      </c>
      <c r="GG524">
        <v>0</v>
      </c>
      <c r="GN524">
        <v>0</v>
      </c>
      <c r="GO524" t="s">
        <v>1049</v>
      </c>
      <c r="GQ524">
        <v>0</v>
      </c>
      <c r="GU524">
        <v>0</v>
      </c>
      <c r="GY524" t="s">
        <v>1045</v>
      </c>
      <c r="HB524">
        <v>0</v>
      </c>
      <c r="HE524">
        <v>0</v>
      </c>
      <c r="HF524">
        <v>0</v>
      </c>
      <c r="HG524">
        <v>4.156E-2</v>
      </c>
      <c r="HK524" t="s">
        <v>1042</v>
      </c>
      <c r="HM524" t="s">
        <v>1047</v>
      </c>
      <c r="HN524">
        <v>0</v>
      </c>
      <c r="HO524">
        <v>30</v>
      </c>
      <c r="HP524">
        <v>1.1196999999999999</v>
      </c>
      <c r="HQ524">
        <v>0</v>
      </c>
      <c r="HR524" t="s">
        <v>1042</v>
      </c>
      <c r="HS524" t="s">
        <v>1043</v>
      </c>
      <c r="HT524">
        <v>0</v>
      </c>
      <c r="HU524">
        <v>0</v>
      </c>
      <c r="HW524">
        <v>0</v>
      </c>
      <c r="HX524">
        <v>45</v>
      </c>
      <c r="HY524">
        <v>0</v>
      </c>
      <c r="HZ524" t="s">
        <v>1045</v>
      </c>
      <c r="IA524">
        <v>0</v>
      </c>
      <c r="IB524" t="s">
        <v>1045</v>
      </c>
      <c r="ID524" t="s">
        <v>1045</v>
      </c>
      <c r="IF524">
        <v>72</v>
      </c>
      <c r="IG524" s="20">
        <v>43984</v>
      </c>
      <c r="IH524" t="s">
        <v>1046</v>
      </c>
      <c r="II524" t="s">
        <v>1042</v>
      </c>
      <c r="IR524" t="s">
        <v>1045</v>
      </c>
      <c r="IT524">
        <v>0</v>
      </c>
      <c r="IY524" t="s">
        <v>1044</v>
      </c>
      <c r="IZ524" t="s">
        <v>1043</v>
      </c>
      <c r="JA524" t="s">
        <v>1043</v>
      </c>
      <c r="JC524" t="s">
        <v>1043</v>
      </c>
      <c r="JE524">
        <v>0</v>
      </c>
      <c r="JF524">
        <v>0</v>
      </c>
      <c r="JI524" t="s">
        <v>1042</v>
      </c>
      <c r="JJ524">
        <v>0</v>
      </c>
      <c r="JK524">
        <v>0</v>
      </c>
      <c r="JL524">
        <v>0</v>
      </c>
      <c r="JM524">
        <v>0</v>
      </c>
      <c r="JQ524" t="s">
        <v>1043</v>
      </c>
      <c r="JT524">
        <v>0</v>
      </c>
      <c r="JU524" t="s">
        <v>1042</v>
      </c>
      <c r="JW524">
        <v>0</v>
      </c>
      <c r="KA524">
        <v>0</v>
      </c>
      <c r="KF524">
        <v>0</v>
      </c>
      <c r="KG524">
        <v>0</v>
      </c>
      <c r="KH524">
        <v>0</v>
      </c>
      <c r="KI524">
        <v>0</v>
      </c>
      <c r="KS524" t="s">
        <v>1073</v>
      </c>
      <c r="KT524">
        <v>0</v>
      </c>
      <c r="KU524">
        <v>0</v>
      </c>
      <c r="KV524">
        <v>0</v>
      </c>
      <c r="KX524">
        <v>0</v>
      </c>
      <c r="KY524" t="s">
        <v>1045</v>
      </c>
      <c r="KZ524">
        <v>0</v>
      </c>
      <c r="LF524">
        <v>0</v>
      </c>
      <c r="LH524">
        <v>10080</v>
      </c>
      <c r="LI524">
        <v>0</v>
      </c>
    </row>
    <row r="525" spans="1:321" x14ac:dyDescent="0.35">
      <c r="A525">
        <v>1</v>
      </c>
      <c r="B525">
        <v>1318</v>
      </c>
      <c r="C525" t="s">
        <v>687</v>
      </c>
      <c r="D525" t="s">
        <v>1061</v>
      </c>
      <c r="E525" t="s">
        <v>85</v>
      </c>
      <c r="F525">
        <v>1</v>
      </c>
      <c r="G525">
        <v>240</v>
      </c>
      <c r="H525">
        <v>0</v>
      </c>
      <c r="I525" t="s">
        <v>1017</v>
      </c>
      <c r="M525">
        <v>9.75</v>
      </c>
      <c r="N525">
        <v>0</v>
      </c>
      <c r="Q525">
        <v>511</v>
      </c>
      <c r="R525">
        <v>0</v>
      </c>
      <c r="S525">
        <v>0</v>
      </c>
      <c r="W525" t="s">
        <v>1060</v>
      </c>
      <c r="X525">
        <v>0</v>
      </c>
      <c r="Z525">
        <v>8</v>
      </c>
      <c r="AA525">
        <v>122.18380000000001</v>
      </c>
      <c r="AB525">
        <v>56</v>
      </c>
      <c r="AC525">
        <v>0</v>
      </c>
      <c r="AD525" t="s">
        <v>1042</v>
      </c>
      <c r="AE525">
        <v>0</v>
      </c>
      <c r="AF525">
        <v>0.77449999999999997</v>
      </c>
      <c r="AH525">
        <v>10</v>
      </c>
      <c r="AJ525">
        <v>0</v>
      </c>
      <c r="AL525">
        <v>0</v>
      </c>
      <c r="AM525">
        <v>640</v>
      </c>
      <c r="AN525">
        <v>11501001</v>
      </c>
      <c r="AO525">
        <v>0</v>
      </c>
      <c r="AP525">
        <v>1002</v>
      </c>
      <c r="AT525">
        <v>0</v>
      </c>
      <c r="AW525" t="s">
        <v>1053</v>
      </c>
      <c r="AX525">
        <v>5</v>
      </c>
      <c r="AY525" s="20">
        <v>43669</v>
      </c>
      <c r="BA525" s="20">
        <v>44420</v>
      </c>
      <c r="BB525" t="s">
        <v>1058</v>
      </c>
      <c r="BD525">
        <v>0</v>
      </c>
      <c r="BF525" t="s">
        <v>1044</v>
      </c>
      <c r="BG525" t="s">
        <v>1042</v>
      </c>
      <c r="BH525">
        <v>0</v>
      </c>
      <c r="BI525">
        <v>36</v>
      </c>
      <c r="BJ525">
        <v>0</v>
      </c>
      <c r="BK525">
        <v>0</v>
      </c>
      <c r="BM525" s="20">
        <v>44236</v>
      </c>
      <c r="BN525">
        <v>0</v>
      </c>
      <c r="BO525">
        <v>7897801319553</v>
      </c>
      <c r="BS525" t="s">
        <v>1043</v>
      </c>
      <c r="BT525" t="s">
        <v>1043</v>
      </c>
      <c r="BW525">
        <v>2</v>
      </c>
      <c r="BY525">
        <v>80</v>
      </c>
      <c r="CA525">
        <v>0</v>
      </c>
      <c r="CB525" t="s">
        <v>1043</v>
      </c>
      <c r="CE525" t="s">
        <v>1043</v>
      </c>
      <c r="CH525" t="s">
        <v>1043</v>
      </c>
      <c r="CN525" t="s">
        <v>1056</v>
      </c>
      <c r="CO525" t="s">
        <v>1043</v>
      </c>
      <c r="CP525">
        <v>1</v>
      </c>
      <c r="CQ525">
        <v>0</v>
      </c>
      <c r="CS525">
        <v>0</v>
      </c>
      <c r="CT525">
        <v>0</v>
      </c>
      <c r="CU525">
        <v>0</v>
      </c>
      <c r="CV525" t="s">
        <v>1045</v>
      </c>
      <c r="CW525">
        <v>0</v>
      </c>
      <c r="CX525">
        <v>0</v>
      </c>
      <c r="CY525">
        <v>0</v>
      </c>
      <c r="CZ525">
        <v>0</v>
      </c>
      <c r="DA525">
        <v>4</v>
      </c>
      <c r="DB525">
        <v>0</v>
      </c>
      <c r="DC525" t="s">
        <v>1043</v>
      </c>
      <c r="DF525" t="s">
        <v>1055</v>
      </c>
      <c r="DH525">
        <v>0</v>
      </c>
      <c r="DJ525">
        <v>0</v>
      </c>
      <c r="DK525" t="s">
        <v>1053</v>
      </c>
      <c r="DL525">
        <v>0</v>
      </c>
      <c r="DN525">
        <v>0</v>
      </c>
      <c r="DO525" t="s">
        <v>1042</v>
      </c>
      <c r="DP525">
        <v>0</v>
      </c>
      <c r="DQ525">
        <v>0</v>
      </c>
      <c r="DS525">
        <v>0</v>
      </c>
      <c r="DU525">
        <v>0</v>
      </c>
      <c r="DW525">
        <v>0</v>
      </c>
      <c r="DX525" t="s">
        <v>1043</v>
      </c>
      <c r="DY525">
        <v>0</v>
      </c>
      <c r="DZ525">
        <v>0</v>
      </c>
      <c r="EA525">
        <v>0</v>
      </c>
      <c r="EB525">
        <v>17897801319550</v>
      </c>
      <c r="ED525" t="s">
        <v>1045</v>
      </c>
      <c r="EE525">
        <v>0</v>
      </c>
      <c r="EF525">
        <v>0</v>
      </c>
      <c r="EL525">
        <v>57897801319558</v>
      </c>
      <c r="EQ525" t="s">
        <v>1044</v>
      </c>
      <c r="ES525" t="s">
        <v>1053</v>
      </c>
      <c r="ET525">
        <v>0</v>
      </c>
      <c r="EV525">
        <v>0</v>
      </c>
      <c r="EY525" t="s">
        <v>1052</v>
      </c>
      <c r="EZ525">
        <v>0</v>
      </c>
      <c r="FA525" t="s">
        <v>1043</v>
      </c>
      <c r="FB525">
        <v>0</v>
      </c>
      <c r="FC525">
        <v>0</v>
      </c>
      <c r="FD525" t="s">
        <v>1051</v>
      </c>
      <c r="FE525" t="s">
        <v>1050</v>
      </c>
      <c r="FF525">
        <v>0</v>
      </c>
      <c r="FG525" t="s">
        <v>1050</v>
      </c>
      <c r="FH525">
        <v>27897801319557</v>
      </c>
      <c r="FJ525">
        <v>0</v>
      </c>
      <c r="FK525">
        <v>0</v>
      </c>
      <c r="FP525">
        <v>0</v>
      </c>
      <c r="FQ525" t="s">
        <v>1044</v>
      </c>
      <c r="FR525">
        <v>0</v>
      </c>
      <c r="FS525" t="s">
        <v>1043</v>
      </c>
      <c r="FX525" t="s">
        <v>1042</v>
      </c>
      <c r="FZ525" t="s">
        <v>1048</v>
      </c>
      <c r="GA525">
        <v>0</v>
      </c>
      <c r="GB525" t="s">
        <v>1042</v>
      </c>
      <c r="GD525">
        <v>16</v>
      </c>
      <c r="GE525">
        <v>0</v>
      </c>
      <c r="GG525">
        <v>0</v>
      </c>
      <c r="GN525">
        <v>0</v>
      </c>
      <c r="GO525" t="s">
        <v>1049</v>
      </c>
      <c r="GQ525">
        <v>0</v>
      </c>
      <c r="GU525">
        <v>0</v>
      </c>
      <c r="GY525" t="s">
        <v>1045</v>
      </c>
      <c r="HB525">
        <v>0</v>
      </c>
      <c r="HE525">
        <v>0</v>
      </c>
      <c r="HF525">
        <v>0</v>
      </c>
      <c r="HG525">
        <v>4.9889999999999997E-2</v>
      </c>
      <c r="HK525" t="s">
        <v>1042</v>
      </c>
      <c r="HM525" t="s">
        <v>1047</v>
      </c>
      <c r="HN525">
        <v>0</v>
      </c>
      <c r="HO525">
        <v>30</v>
      </c>
      <c r="HP525">
        <v>0.47089999999999999</v>
      </c>
      <c r="HQ525">
        <v>0</v>
      </c>
      <c r="HR525" t="s">
        <v>1042</v>
      </c>
      <c r="HS525" t="s">
        <v>1043</v>
      </c>
      <c r="HT525">
        <v>0</v>
      </c>
      <c r="HU525">
        <v>0</v>
      </c>
      <c r="HW525">
        <v>0</v>
      </c>
      <c r="HX525">
        <v>124</v>
      </c>
      <c r="HY525">
        <v>0</v>
      </c>
      <c r="HZ525" t="s">
        <v>1045</v>
      </c>
      <c r="IA525">
        <v>0</v>
      </c>
      <c r="IB525" t="s">
        <v>1045</v>
      </c>
      <c r="ID525" t="s">
        <v>1045</v>
      </c>
      <c r="IF525">
        <v>216</v>
      </c>
      <c r="IG525" t="s">
        <v>1042</v>
      </c>
      <c r="IH525" t="s">
        <v>1046</v>
      </c>
      <c r="II525" t="s">
        <v>1042</v>
      </c>
      <c r="IR525" t="s">
        <v>1045</v>
      </c>
      <c r="IT525">
        <v>0</v>
      </c>
      <c r="IY525" t="s">
        <v>1044</v>
      </c>
      <c r="IZ525" t="s">
        <v>1043</v>
      </c>
      <c r="JA525" t="s">
        <v>1043</v>
      </c>
      <c r="JC525" t="s">
        <v>1043</v>
      </c>
      <c r="JE525">
        <v>0</v>
      </c>
      <c r="JF525">
        <v>0</v>
      </c>
      <c r="JI525" t="s">
        <v>1042</v>
      </c>
      <c r="JJ525">
        <v>0</v>
      </c>
      <c r="JK525">
        <v>0</v>
      </c>
      <c r="JL525">
        <v>0</v>
      </c>
      <c r="JM525">
        <v>0</v>
      </c>
      <c r="JQ525" t="s">
        <v>1043</v>
      </c>
      <c r="JT525">
        <v>0</v>
      </c>
      <c r="JU525" t="s">
        <v>1042</v>
      </c>
      <c r="JW525">
        <v>0</v>
      </c>
      <c r="KA525">
        <v>0</v>
      </c>
      <c r="KF525">
        <v>0</v>
      </c>
      <c r="KG525">
        <v>0</v>
      </c>
      <c r="KH525">
        <v>0</v>
      </c>
      <c r="KI525">
        <v>0</v>
      </c>
      <c r="KS525" t="s">
        <v>1073</v>
      </c>
      <c r="KT525">
        <v>0</v>
      </c>
      <c r="KU525">
        <v>0</v>
      </c>
      <c r="KV525">
        <v>0</v>
      </c>
      <c r="KX525">
        <v>0</v>
      </c>
      <c r="KY525" t="s">
        <v>1045</v>
      </c>
      <c r="KZ525">
        <v>0</v>
      </c>
      <c r="LF525">
        <v>0</v>
      </c>
      <c r="LH525">
        <v>26880</v>
      </c>
      <c r="LI525">
        <v>0</v>
      </c>
    </row>
    <row r="526" spans="1:321" x14ac:dyDescent="0.35">
      <c r="A526">
        <v>1</v>
      </c>
      <c r="B526">
        <v>1319</v>
      </c>
      <c r="C526" t="s">
        <v>688</v>
      </c>
      <c r="D526" t="s">
        <v>1061</v>
      </c>
      <c r="E526" t="s">
        <v>85</v>
      </c>
      <c r="F526">
        <v>1</v>
      </c>
      <c r="G526">
        <v>240</v>
      </c>
      <c r="H526">
        <v>0</v>
      </c>
      <c r="I526" t="s">
        <v>1017</v>
      </c>
      <c r="M526">
        <v>9.75</v>
      </c>
      <c r="N526">
        <v>0</v>
      </c>
      <c r="Q526">
        <v>511</v>
      </c>
      <c r="R526">
        <v>0</v>
      </c>
      <c r="S526">
        <v>0</v>
      </c>
      <c r="W526" t="s">
        <v>1060</v>
      </c>
      <c r="X526">
        <v>0</v>
      </c>
      <c r="Z526">
        <v>4</v>
      </c>
      <c r="AA526">
        <v>196.9607</v>
      </c>
      <c r="AB526">
        <v>24</v>
      </c>
      <c r="AC526">
        <v>10.74</v>
      </c>
      <c r="AD526" t="s">
        <v>1042</v>
      </c>
      <c r="AE526">
        <v>0</v>
      </c>
      <c r="AF526">
        <v>0.62829999999999997</v>
      </c>
      <c r="AH526">
        <v>3</v>
      </c>
      <c r="AJ526">
        <v>0</v>
      </c>
      <c r="AL526">
        <v>0</v>
      </c>
      <c r="AM526">
        <v>480</v>
      </c>
      <c r="AN526">
        <v>11501001</v>
      </c>
      <c r="AO526">
        <v>0</v>
      </c>
      <c r="AP526">
        <v>1002</v>
      </c>
      <c r="AT526">
        <v>0</v>
      </c>
      <c r="AW526" t="s">
        <v>1053</v>
      </c>
      <c r="AX526">
        <v>5</v>
      </c>
      <c r="AY526" s="20">
        <v>43669</v>
      </c>
      <c r="BA526" s="20">
        <v>44400</v>
      </c>
      <c r="BB526" t="s">
        <v>1058</v>
      </c>
      <c r="BD526">
        <v>0</v>
      </c>
      <c r="BF526" t="s">
        <v>1044</v>
      </c>
      <c r="BG526" t="s">
        <v>1042</v>
      </c>
      <c r="BH526">
        <v>0</v>
      </c>
      <c r="BI526">
        <v>36</v>
      </c>
      <c r="BJ526">
        <v>0</v>
      </c>
      <c r="BK526">
        <v>0</v>
      </c>
      <c r="BM526" s="20">
        <v>44251</v>
      </c>
      <c r="BN526">
        <v>0</v>
      </c>
      <c r="BO526">
        <v>7897801319560</v>
      </c>
      <c r="BS526" t="s">
        <v>1043</v>
      </c>
      <c r="BT526" t="s">
        <v>1043</v>
      </c>
      <c r="BW526">
        <v>2</v>
      </c>
      <c r="BY526">
        <v>80</v>
      </c>
      <c r="CA526">
        <v>0</v>
      </c>
      <c r="CB526" t="s">
        <v>1043</v>
      </c>
      <c r="CE526" t="s">
        <v>1043</v>
      </c>
      <c r="CH526" t="s">
        <v>1043</v>
      </c>
      <c r="CN526" t="s">
        <v>1056</v>
      </c>
      <c r="CO526" t="s">
        <v>1043</v>
      </c>
      <c r="CP526">
        <v>1</v>
      </c>
      <c r="CQ526">
        <v>0</v>
      </c>
      <c r="CS526">
        <v>0</v>
      </c>
      <c r="CT526">
        <v>0</v>
      </c>
      <c r="CU526">
        <v>0</v>
      </c>
      <c r="CV526" t="s">
        <v>1045</v>
      </c>
      <c r="CW526">
        <v>0</v>
      </c>
      <c r="CX526">
        <v>0</v>
      </c>
      <c r="CY526">
        <v>0</v>
      </c>
      <c r="CZ526">
        <v>0</v>
      </c>
      <c r="DA526">
        <v>3</v>
      </c>
      <c r="DB526">
        <v>0</v>
      </c>
      <c r="DC526" t="s">
        <v>1043</v>
      </c>
      <c r="DF526" t="s">
        <v>1055</v>
      </c>
      <c r="DH526">
        <v>0</v>
      </c>
      <c r="DJ526">
        <v>0</v>
      </c>
      <c r="DK526" t="s">
        <v>1053</v>
      </c>
      <c r="DL526">
        <v>0</v>
      </c>
      <c r="DN526">
        <v>0</v>
      </c>
      <c r="DO526" t="s">
        <v>1042</v>
      </c>
      <c r="DP526">
        <v>0</v>
      </c>
      <c r="DQ526">
        <v>0</v>
      </c>
      <c r="DS526">
        <v>0</v>
      </c>
      <c r="DU526">
        <v>0</v>
      </c>
      <c r="DW526">
        <v>0</v>
      </c>
      <c r="DX526" t="s">
        <v>1043</v>
      </c>
      <c r="DY526">
        <v>0</v>
      </c>
      <c r="DZ526">
        <v>0</v>
      </c>
      <c r="EA526">
        <v>0</v>
      </c>
      <c r="EB526">
        <v>17897801319567</v>
      </c>
      <c r="ED526" t="s">
        <v>1045</v>
      </c>
      <c r="EE526">
        <v>0</v>
      </c>
      <c r="EF526">
        <v>0</v>
      </c>
      <c r="EL526">
        <v>57897801319565</v>
      </c>
      <c r="EQ526" t="s">
        <v>1044</v>
      </c>
      <c r="ES526" t="s">
        <v>1053</v>
      </c>
      <c r="ET526">
        <v>0</v>
      </c>
      <c r="EV526">
        <v>0</v>
      </c>
      <c r="EY526" t="s">
        <v>1052</v>
      </c>
      <c r="EZ526">
        <v>0</v>
      </c>
      <c r="FA526" t="s">
        <v>1043</v>
      </c>
      <c r="FB526">
        <v>0</v>
      </c>
      <c r="FC526">
        <v>0</v>
      </c>
      <c r="FD526" t="s">
        <v>1051</v>
      </c>
      <c r="FE526" t="s">
        <v>1050</v>
      </c>
      <c r="FF526">
        <v>0</v>
      </c>
      <c r="FG526" t="s">
        <v>1050</v>
      </c>
      <c r="FH526">
        <v>27897801319564</v>
      </c>
      <c r="FJ526">
        <v>0</v>
      </c>
      <c r="FK526">
        <v>0</v>
      </c>
      <c r="FP526">
        <v>0</v>
      </c>
      <c r="FQ526" t="s">
        <v>1044</v>
      </c>
      <c r="FR526">
        <v>0</v>
      </c>
      <c r="FS526" t="s">
        <v>1043</v>
      </c>
      <c r="FX526" t="s">
        <v>1042</v>
      </c>
      <c r="FZ526" t="s">
        <v>1048</v>
      </c>
      <c r="GA526">
        <v>0</v>
      </c>
      <c r="GB526" t="s">
        <v>1042</v>
      </c>
      <c r="GD526">
        <v>16</v>
      </c>
      <c r="GE526">
        <v>0</v>
      </c>
      <c r="GG526">
        <v>0</v>
      </c>
      <c r="GN526">
        <v>0</v>
      </c>
      <c r="GO526" t="s">
        <v>1049</v>
      </c>
      <c r="GQ526">
        <v>0</v>
      </c>
      <c r="GU526">
        <v>0</v>
      </c>
      <c r="GY526" t="s">
        <v>1045</v>
      </c>
      <c r="HB526">
        <v>0</v>
      </c>
      <c r="HE526">
        <v>0</v>
      </c>
      <c r="HF526">
        <v>0</v>
      </c>
      <c r="HG526">
        <v>3.3369999999999997E-2</v>
      </c>
      <c r="HK526" t="s">
        <v>1042</v>
      </c>
      <c r="HM526" t="s">
        <v>1047</v>
      </c>
      <c r="HN526">
        <v>0</v>
      </c>
      <c r="HO526">
        <v>30</v>
      </c>
      <c r="HP526">
        <v>0.62829999999999997</v>
      </c>
      <c r="HQ526">
        <v>0</v>
      </c>
      <c r="HR526" t="s">
        <v>1042</v>
      </c>
      <c r="HS526" t="s">
        <v>1043</v>
      </c>
      <c r="HT526">
        <v>0</v>
      </c>
      <c r="HU526">
        <v>0</v>
      </c>
      <c r="HW526">
        <v>0</v>
      </c>
      <c r="HX526">
        <v>55</v>
      </c>
      <c r="HY526">
        <v>0</v>
      </c>
      <c r="HZ526" t="s">
        <v>1045</v>
      </c>
      <c r="IA526">
        <v>0</v>
      </c>
      <c r="IB526" t="s">
        <v>1045</v>
      </c>
      <c r="ID526" t="s">
        <v>1045</v>
      </c>
      <c r="IF526">
        <v>180</v>
      </c>
      <c r="IG526" t="s">
        <v>1042</v>
      </c>
      <c r="IH526" t="s">
        <v>1046</v>
      </c>
      <c r="II526" t="s">
        <v>1042</v>
      </c>
      <c r="IR526" t="s">
        <v>1045</v>
      </c>
      <c r="IT526">
        <v>0</v>
      </c>
      <c r="IY526" t="s">
        <v>1044</v>
      </c>
      <c r="IZ526" t="s">
        <v>1043</v>
      </c>
      <c r="JA526" t="s">
        <v>1043</v>
      </c>
      <c r="JC526" t="s">
        <v>1043</v>
      </c>
      <c r="JE526">
        <v>0</v>
      </c>
      <c r="JF526">
        <v>0</v>
      </c>
      <c r="JI526" t="s">
        <v>1042</v>
      </c>
      <c r="JJ526">
        <v>0</v>
      </c>
      <c r="JK526">
        <v>0</v>
      </c>
      <c r="JL526">
        <v>0</v>
      </c>
      <c r="JM526">
        <v>0</v>
      </c>
      <c r="JQ526" t="s">
        <v>1043</v>
      </c>
      <c r="JT526">
        <v>0</v>
      </c>
      <c r="JU526" t="s">
        <v>1042</v>
      </c>
      <c r="JW526">
        <v>0</v>
      </c>
      <c r="KA526">
        <v>0</v>
      </c>
      <c r="KF526">
        <v>0</v>
      </c>
      <c r="KG526">
        <v>0</v>
      </c>
      <c r="KH526">
        <v>0</v>
      </c>
      <c r="KI526">
        <v>0</v>
      </c>
      <c r="KS526" t="s">
        <v>1073</v>
      </c>
      <c r="KT526">
        <v>0</v>
      </c>
      <c r="KU526">
        <v>0</v>
      </c>
      <c r="KV526">
        <v>0</v>
      </c>
      <c r="KX526">
        <v>0</v>
      </c>
      <c r="KY526" t="s">
        <v>1045</v>
      </c>
      <c r="KZ526">
        <v>0</v>
      </c>
      <c r="LF526">
        <v>0</v>
      </c>
      <c r="LH526">
        <v>20160</v>
      </c>
      <c r="LI526">
        <v>0</v>
      </c>
    </row>
    <row r="527" spans="1:321" x14ac:dyDescent="0.35">
      <c r="A527">
        <v>1</v>
      </c>
      <c r="B527">
        <v>1320</v>
      </c>
      <c r="C527" t="s">
        <v>689</v>
      </c>
      <c r="D527" t="s">
        <v>1061</v>
      </c>
      <c r="E527" t="s">
        <v>85</v>
      </c>
      <c r="F527">
        <v>1</v>
      </c>
      <c r="G527">
        <v>240</v>
      </c>
      <c r="H527">
        <v>0</v>
      </c>
      <c r="I527" t="s">
        <v>1017</v>
      </c>
      <c r="M527">
        <v>9.75</v>
      </c>
      <c r="N527">
        <v>0</v>
      </c>
      <c r="Q527">
        <v>511</v>
      </c>
      <c r="R527">
        <v>0</v>
      </c>
      <c r="S527">
        <v>0</v>
      </c>
      <c r="W527" t="s">
        <v>1060</v>
      </c>
      <c r="X527">
        <v>0</v>
      </c>
      <c r="Z527">
        <v>2</v>
      </c>
      <c r="AA527">
        <v>417.60149999999999</v>
      </c>
      <c r="AB527">
        <v>10</v>
      </c>
      <c r="AC527">
        <v>0</v>
      </c>
      <c r="AD527" t="s">
        <v>1042</v>
      </c>
      <c r="AE527">
        <v>0</v>
      </c>
      <c r="AF527">
        <v>1.1990000000000001</v>
      </c>
      <c r="AH527">
        <v>1</v>
      </c>
      <c r="AJ527">
        <v>0</v>
      </c>
      <c r="AL527">
        <v>0</v>
      </c>
      <c r="AM527">
        <v>320</v>
      </c>
      <c r="AN527">
        <v>11501001</v>
      </c>
      <c r="AO527">
        <v>0</v>
      </c>
      <c r="AP527">
        <v>1002</v>
      </c>
      <c r="AT527">
        <v>0</v>
      </c>
      <c r="AW527" t="s">
        <v>1053</v>
      </c>
      <c r="AX527">
        <v>5</v>
      </c>
      <c r="AY527" s="20">
        <v>43669</v>
      </c>
      <c r="BA527" s="20">
        <v>44400</v>
      </c>
      <c r="BB527" t="s">
        <v>1058</v>
      </c>
      <c r="BD527">
        <v>0</v>
      </c>
      <c r="BF527" t="s">
        <v>1044</v>
      </c>
      <c r="BG527" t="s">
        <v>1042</v>
      </c>
      <c r="BH527">
        <v>0</v>
      </c>
      <c r="BI527">
        <v>36</v>
      </c>
      <c r="BJ527">
        <v>0</v>
      </c>
      <c r="BK527">
        <v>0</v>
      </c>
      <c r="BM527" s="20">
        <v>44267</v>
      </c>
      <c r="BN527">
        <v>0</v>
      </c>
      <c r="BO527">
        <v>7897801319577</v>
      </c>
      <c r="BS527" t="s">
        <v>1043</v>
      </c>
      <c r="BT527" t="s">
        <v>1043</v>
      </c>
      <c r="BW527">
        <v>2</v>
      </c>
      <c r="BY527">
        <v>80</v>
      </c>
      <c r="CA527">
        <v>0</v>
      </c>
      <c r="CB527" t="s">
        <v>1043</v>
      </c>
      <c r="CE527" t="s">
        <v>1043</v>
      </c>
      <c r="CH527" t="s">
        <v>1043</v>
      </c>
      <c r="CN527" t="s">
        <v>1056</v>
      </c>
      <c r="CO527" t="s">
        <v>1043</v>
      </c>
      <c r="CP527">
        <v>1</v>
      </c>
      <c r="CQ527">
        <v>0</v>
      </c>
      <c r="CS527">
        <v>0</v>
      </c>
      <c r="CT527">
        <v>0</v>
      </c>
      <c r="CU527">
        <v>0</v>
      </c>
      <c r="CV527" t="s">
        <v>1045</v>
      </c>
      <c r="CW527">
        <v>0</v>
      </c>
      <c r="CX527">
        <v>0</v>
      </c>
      <c r="CY527">
        <v>0</v>
      </c>
      <c r="CZ527">
        <v>0</v>
      </c>
      <c r="DA527">
        <v>4</v>
      </c>
      <c r="DB527">
        <v>0</v>
      </c>
      <c r="DC527" t="s">
        <v>1043</v>
      </c>
      <c r="DF527" t="s">
        <v>1055</v>
      </c>
      <c r="DH527">
        <v>0</v>
      </c>
      <c r="DJ527">
        <v>0</v>
      </c>
      <c r="DK527" t="s">
        <v>1053</v>
      </c>
      <c r="DL527">
        <v>0</v>
      </c>
      <c r="DN527">
        <v>0</v>
      </c>
      <c r="DO527" t="s">
        <v>1042</v>
      </c>
      <c r="DP527">
        <v>0</v>
      </c>
      <c r="DQ527">
        <v>0</v>
      </c>
      <c r="DS527">
        <v>0</v>
      </c>
      <c r="DU527">
        <v>0</v>
      </c>
      <c r="DW527">
        <v>0</v>
      </c>
      <c r="DX527" t="s">
        <v>1043</v>
      </c>
      <c r="DY527">
        <v>0</v>
      </c>
      <c r="DZ527">
        <v>0</v>
      </c>
      <c r="EA527">
        <v>0</v>
      </c>
      <c r="EB527">
        <v>17897801319574</v>
      </c>
      <c r="ED527" t="s">
        <v>1045</v>
      </c>
      <c r="EE527">
        <v>0</v>
      </c>
      <c r="EF527">
        <v>0</v>
      </c>
      <c r="EL527">
        <v>57897801319572</v>
      </c>
      <c r="EQ527" t="s">
        <v>1044</v>
      </c>
      <c r="ES527" t="s">
        <v>1053</v>
      </c>
      <c r="ET527">
        <v>0</v>
      </c>
      <c r="EV527">
        <v>0</v>
      </c>
      <c r="EY527" t="s">
        <v>1052</v>
      </c>
      <c r="EZ527">
        <v>0</v>
      </c>
      <c r="FA527" t="s">
        <v>1043</v>
      </c>
      <c r="FB527">
        <v>0</v>
      </c>
      <c r="FC527">
        <v>0</v>
      </c>
      <c r="FD527" t="s">
        <v>1051</v>
      </c>
      <c r="FE527" t="s">
        <v>1050</v>
      </c>
      <c r="FF527">
        <v>0</v>
      </c>
      <c r="FG527" t="s">
        <v>1050</v>
      </c>
      <c r="FH527">
        <v>27897801319571</v>
      </c>
      <c r="FJ527">
        <v>0</v>
      </c>
      <c r="FK527">
        <v>0</v>
      </c>
      <c r="FP527">
        <v>0</v>
      </c>
      <c r="FQ527" t="s">
        <v>1044</v>
      </c>
      <c r="FR527">
        <v>0</v>
      </c>
      <c r="FS527" t="s">
        <v>1043</v>
      </c>
      <c r="FX527" t="s">
        <v>1042</v>
      </c>
      <c r="FZ527" t="s">
        <v>1048</v>
      </c>
      <c r="GA527">
        <v>0</v>
      </c>
      <c r="GB527" t="s">
        <v>1042</v>
      </c>
      <c r="GD527">
        <v>16</v>
      </c>
      <c r="GE527">
        <v>0</v>
      </c>
      <c r="GG527">
        <v>0</v>
      </c>
      <c r="GN527">
        <v>0</v>
      </c>
      <c r="GO527" t="s">
        <v>1049</v>
      </c>
      <c r="GQ527">
        <v>0</v>
      </c>
      <c r="GU527">
        <v>0</v>
      </c>
      <c r="GY527" t="s">
        <v>1045</v>
      </c>
      <c r="HB527">
        <v>0</v>
      </c>
      <c r="HE527">
        <v>0</v>
      </c>
      <c r="HF527">
        <v>0</v>
      </c>
      <c r="HG527">
        <v>2.911E-2</v>
      </c>
      <c r="HK527" t="s">
        <v>1042</v>
      </c>
      <c r="HM527" t="s">
        <v>1047</v>
      </c>
      <c r="HN527">
        <v>0</v>
      </c>
      <c r="HO527">
        <v>30</v>
      </c>
      <c r="HP527">
        <v>1.1990000000000001</v>
      </c>
      <c r="HQ527">
        <v>0</v>
      </c>
      <c r="HR527" t="s">
        <v>1042</v>
      </c>
      <c r="HS527" t="s">
        <v>1043</v>
      </c>
      <c r="HT527">
        <v>0</v>
      </c>
      <c r="HU527">
        <v>0</v>
      </c>
      <c r="HW527">
        <v>0</v>
      </c>
      <c r="HX527">
        <v>22</v>
      </c>
      <c r="HY527">
        <v>0</v>
      </c>
      <c r="HZ527" t="s">
        <v>1045</v>
      </c>
      <c r="IA527">
        <v>0</v>
      </c>
      <c r="IB527" t="s">
        <v>1045</v>
      </c>
      <c r="ID527" t="s">
        <v>1045</v>
      </c>
      <c r="IF527">
        <v>90</v>
      </c>
      <c r="IG527" t="s">
        <v>1042</v>
      </c>
      <c r="IH527" t="s">
        <v>1046</v>
      </c>
      <c r="II527" t="s">
        <v>1042</v>
      </c>
      <c r="IR527" t="s">
        <v>1045</v>
      </c>
      <c r="IT527">
        <v>0</v>
      </c>
      <c r="IY527" t="s">
        <v>1044</v>
      </c>
      <c r="IZ527" t="s">
        <v>1043</v>
      </c>
      <c r="JA527" t="s">
        <v>1043</v>
      </c>
      <c r="JC527" t="s">
        <v>1043</v>
      </c>
      <c r="JE527">
        <v>0</v>
      </c>
      <c r="JF527">
        <v>0</v>
      </c>
      <c r="JI527" t="s">
        <v>1042</v>
      </c>
      <c r="JJ527">
        <v>0</v>
      </c>
      <c r="JK527">
        <v>0</v>
      </c>
      <c r="JL527">
        <v>0</v>
      </c>
      <c r="JM527">
        <v>0</v>
      </c>
      <c r="JQ527" t="s">
        <v>1043</v>
      </c>
      <c r="JT527">
        <v>0</v>
      </c>
      <c r="JU527" t="s">
        <v>1042</v>
      </c>
      <c r="JW527">
        <v>0</v>
      </c>
      <c r="KA527">
        <v>0</v>
      </c>
      <c r="KF527">
        <v>0</v>
      </c>
      <c r="KG527">
        <v>0</v>
      </c>
      <c r="KH527">
        <v>0</v>
      </c>
      <c r="KI527">
        <v>0</v>
      </c>
      <c r="KS527" t="s">
        <v>1073</v>
      </c>
      <c r="KT527">
        <v>0</v>
      </c>
      <c r="KU527">
        <v>0</v>
      </c>
      <c r="KV527">
        <v>0</v>
      </c>
      <c r="KX527">
        <v>0</v>
      </c>
      <c r="KY527" t="s">
        <v>1045</v>
      </c>
      <c r="KZ527">
        <v>0</v>
      </c>
      <c r="LF527">
        <v>0</v>
      </c>
      <c r="LH527">
        <v>6384</v>
      </c>
      <c r="LI527">
        <v>0</v>
      </c>
    </row>
    <row r="528" spans="1:321" x14ac:dyDescent="0.35">
      <c r="A528">
        <v>1</v>
      </c>
      <c r="B528">
        <v>1321</v>
      </c>
      <c r="C528" t="s">
        <v>690</v>
      </c>
      <c r="D528" t="s">
        <v>1061</v>
      </c>
      <c r="E528" t="s">
        <v>85</v>
      </c>
      <c r="F528">
        <v>1</v>
      </c>
      <c r="G528">
        <v>240</v>
      </c>
      <c r="H528">
        <v>0</v>
      </c>
      <c r="I528" t="s">
        <v>1017</v>
      </c>
      <c r="M528">
        <v>9.75</v>
      </c>
      <c r="N528">
        <v>0</v>
      </c>
      <c r="Q528">
        <v>511</v>
      </c>
      <c r="R528">
        <v>0</v>
      </c>
      <c r="S528">
        <v>0</v>
      </c>
      <c r="W528" t="s">
        <v>1060</v>
      </c>
      <c r="X528">
        <v>0</v>
      </c>
      <c r="Z528">
        <v>2</v>
      </c>
      <c r="AA528">
        <v>687.98450000000003</v>
      </c>
      <c r="AB528">
        <v>4</v>
      </c>
      <c r="AC528">
        <v>0</v>
      </c>
      <c r="AD528" t="s">
        <v>1042</v>
      </c>
      <c r="AE528">
        <v>0</v>
      </c>
      <c r="AF528">
        <v>2.7069999999999999</v>
      </c>
      <c r="AH528">
        <v>0</v>
      </c>
      <c r="AJ528">
        <v>0</v>
      </c>
      <c r="AL528">
        <v>0</v>
      </c>
      <c r="AM528">
        <v>240</v>
      </c>
      <c r="AN528">
        <v>11501001</v>
      </c>
      <c r="AO528">
        <v>0</v>
      </c>
      <c r="AP528">
        <v>1002</v>
      </c>
      <c r="AT528">
        <v>0</v>
      </c>
      <c r="AW528" t="s">
        <v>1053</v>
      </c>
      <c r="AX528">
        <v>5</v>
      </c>
      <c r="AY528" s="20">
        <v>43669</v>
      </c>
      <c r="BA528" s="20">
        <v>44420</v>
      </c>
      <c r="BB528" t="s">
        <v>1058</v>
      </c>
      <c r="BD528">
        <v>0</v>
      </c>
      <c r="BF528" t="s">
        <v>1044</v>
      </c>
      <c r="BG528" t="s">
        <v>1042</v>
      </c>
      <c r="BH528">
        <v>0</v>
      </c>
      <c r="BI528">
        <v>36</v>
      </c>
      <c r="BJ528">
        <v>0</v>
      </c>
      <c r="BK528">
        <v>0</v>
      </c>
      <c r="BM528" s="20">
        <v>44251</v>
      </c>
      <c r="BN528">
        <v>0</v>
      </c>
      <c r="BO528">
        <v>7897801319584</v>
      </c>
      <c r="BS528" t="s">
        <v>1043</v>
      </c>
      <c r="BT528" t="s">
        <v>1043</v>
      </c>
      <c r="BW528">
        <v>2</v>
      </c>
      <c r="BY528">
        <v>80</v>
      </c>
      <c r="CA528">
        <v>0</v>
      </c>
      <c r="CB528" t="s">
        <v>1043</v>
      </c>
      <c r="CE528" t="s">
        <v>1043</v>
      </c>
      <c r="CH528" t="s">
        <v>1043</v>
      </c>
      <c r="CN528" t="s">
        <v>1056</v>
      </c>
      <c r="CO528" t="s">
        <v>1043</v>
      </c>
      <c r="CP528">
        <v>1</v>
      </c>
      <c r="CQ528">
        <v>0</v>
      </c>
      <c r="CS528">
        <v>0</v>
      </c>
      <c r="CT528">
        <v>0</v>
      </c>
      <c r="CU528">
        <v>0</v>
      </c>
      <c r="CV528" t="s">
        <v>1045</v>
      </c>
      <c r="CW528">
        <v>0</v>
      </c>
      <c r="CX528">
        <v>0</v>
      </c>
      <c r="CY528">
        <v>0</v>
      </c>
      <c r="CZ528">
        <v>0</v>
      </c>
      <c r="DA528">
        <v>5</v>
      </c>
      <c r="DB528">
        <v>0</v>
      </c>
      <c r="DC528" t="s">
        <v>1043</v>
      </c>
      <c r="DF528" t="s">
        <v>1055</v>
      </c>
      <c r="DH528">
        <v>0</v>
      </c>
      <c r="DJ528">
        <v>0</v>
      </c>
      <c r="DK528" t="s">
        <v>1053</v>
      </c>
      <c r="DL528">
        <v>0</v>
      </c>
      <c r="DN528">
        <v>0</v>
      </c>
      <c r="DO528" t="s">
        <v>1042</v>
      </c>
      <c r="DP528">
        <v>0</v>
      </c>
      <c r="DQ528">
        <v>0</v>
      </c>
      <c r="DS528">
        <v>0</v>
      </c>
      <c r="DU528">
        <v>0</v>
      </c>
      <c r="DW528">
        <v>0</v>
      </c>
      <c r="DX528" t="s">
        <v>1043</v>
      </c>
      <c r="DY528">
        <v>0</v>
      </c>
      <c r="DZ528">
        <v>0</v>
      </c>
      <c r="EA528">
        <v>0</v>
      </c>
      <c r="EB528">
        <v>17897801319581</v>
      </c>
      <c r="ED528" t="s">
        <v>1045</v>
      </c>
      <c r="EE528">
        <v>0</v>
      </c>
      <c r="EF528">
        <v>0</v>
      </c>
      <c r="EL528">
        <v>57897801319589</v>
      </c>
      <c r="EQ528" t="s">
        <v>1044</v>
      </c>
      <c r="ES528" t="s">
        <v>1053</v>
      </c>
      <c r="ET528">
        <v>0</v>
      </c>
      <c r="EV528">
        <v>0</v>
      </c>
      <c r="EY528" t="s">
        <v>1052</v>
      </c>
      <c r="EZ528">
        <v>0</v>
      </c>
      <c r="FA528" t="s">
        <v>1043</v>
      </c>
      <c r="FB528">
        <v>0</v>
      </c>
      <c r="FC528">
        <v>0</v>
      </c>
      <c r="FD528" t="s">
        <v>1051</v>
      </c>
      <c r="FE528" t="s">
        <v>1050</v>
      </c>
      <c r="FF528">
        <v>0</v>
      </c>
      <c r="FG528" t="s">
        <v>1050</v>
      </c>
      <c r="FH528">
        <v>27897801319588</v>
      </c>
      <c r="FJ528">
        <v>0</v>
      </c>
      <c r="FK528">
        <v>0</v>
      </c>
      <c r="FP528">
        <v>0</v>
      </c>
      <c r="FQ528" t="s">
        <v>1044</v>
      </c>
      <c r="FR528">
        <v>0</v>
      </c>
      <c r="FS528" t="s">
        <v>1043</v>
      </c>
      <c r="FX528" t="s">
        <v>1042</v>
      </c>
      <c r="FZ528" t="s">
        <v>1048</v>
      </c>
      <c r="GA528">
        <v>0</v>
      </c>
      <c r="GB528" t="s">
        <v>1042</v>
      </c>
      <c r="GD528">
        <v>16</v>
      </c>
      <c r="GE528">
        <v>0</v>
      </c>
      <c r="GG528">
        <v>0</v>
      </c>
      <c r="GN528">
        <v>0</v>
      </c>
      <c r="GO528" t="s">
        <v>1049</v>
      </c>
      <c r="GQ528">
        <v>0</v>
      </c>
      <c r="GU528">
        <v>0</v>
      </c>
      <c r="GY528" t="s">
        <v>1045</v>
      </c>
      <c r="HB528">
        <v>0</v>
      </c>
      <c r="HE528">
        <v>0</v>
      </c>
      <c r="HF528">
        <v>0</v>
      </c>
      <c r="HG528">
        <v>4.1570000000000003E-2</v>
      </c>
      <c r="HK528" t="s">
        <v>1042</v>
      </c>
      <c r="HM528" t="s">
        <v>1047</v>
      </c>
      <c r="HN528">
        <v>0</v>
      </c>
      <c r="HO528">
        <v>30</v>
      </c>
      <c r="HP528">
        <v>1.5429999999999999</v>
      </c>
      <c r="HQ528">
        <v>0</v>
      </c>
      <c r="HR528" t="s">
        <v>1042</v>
      </c>
      <c r="HS528" t="s">
        <v>1043</v>
      </c>
      <c r="HT528">
        <v>0</v>
      </c>
      <c r="HU528">
        <v>0</v>
      </c>
      <c r="HW528">
        <v>0</v>
      </c>
      <c r="HX528">
        <v>8</v>
      </c>
      <c r="HY528">
        <v>0</v>
      </c>
      <c r="HZ528" t="s">
        <v>1045</v>
      </c>
      <c r="IA528">
        <v>0</v>
      </c>
      <c r="IB528" t="s">
        <v>1045</v>
      </c>
      <c r="ID528" t="s">
        <v>1045</v>
      </c>
      <c r="IF528">
        <v>72</v>
      </c>
      <c r="IG528" t="s">
        <v>1042</v>
      </c>
      <c r="IH528" t="s">
        <v>1046</v>
      </c>
      <c r="II528" t="s">
        <v>1042</v>
      </c>
      <c r="IR528" t="s">
        <v>1045</v>
      </c>
      <c r="IT528">
        <v>0</v>
      </c>
      <c r="IY528" t="s">
        <v>1044</v>
      </c>
      <c r="IZ528" t="s">
        <v>1043</v>
      </c>
      <c r="JA528" t="s">
        <v>1043</v>
      </c>
      <c r="JC528" t="s">
        <v>1043</v>
      </c>
      <c r="JE528">
        <v>0</v>
      </c>
      <c r="JF528">
        <v>0</v>
      </c>
      <c r="JI528" t="s">
        <v>1042</v>
      </c>
      <c r="JJ528">
        <v>0</v>
      </c>
      <c r="JK528">
        <v>0</v>
      </c>
      <c r="JL528">
        <v>0</v>
      </c>
      <c r="JM528">
        <v>0</v>
      </c>
      <c r="JQ528" t="s">
        <v>1043</v>
      </c>
      <c r="JT528">
        <v>0</v>
      </c>
      <c r="JU528" t="s">
        <v>1042</v>
      </c>
      <c r="JW528">
        <v>0</v>
      </c>
      <c r="KA528">
        <v>0</v>
      </c>
      <c r="KF528">
        <v>0</v>
      </c>
      <c r="KG528">
        <v>0</v>
      </c>
      <c r="KH528">
        <v>0</v>
      </c>
      <c r="KI528">
        <v>0</v>
      </c>
      <c r="KS528" t="s">
        <v>1073</v>
      </c>
      <c r="KT528">
        <v>0</v>
      </c>
      <c r="KU528">
        <v>0</v>
      </c>
      <c r="KV528">
        <v>0</v>
      </c>
      <c r="KX528">
        <v>0</v>
      </c>
      <c r="KY528" t="s">
        <v>1045</v>
      </c>
      <c r="KZ528">
        <v>0</v>
      </c>
      <c r="LF528">
        <v>0</v>
      </c>
      <c r="LH528">
        <v>10080</v>
      </c>
      <c r="LI528">
        <v>0</v>
      </c>
    </row>
    <row r="529" spans="1:321" x14ac:dyDescent="0.35">
      <c r="A529">
        <v>1</v>
      </c>
      <c r="B529">
        <v>1324</v>
      </c>
      <c r="C529" t="s">
        <v>691</v>
      </c>
      <c r="D529" t="s">
        <v>1089</v>
      </c>
      <c r="E529" t="s">
        <v>85</v>
      </c>
      <c r="F529">
        <v>1</v>
      </c>
      <c r="G529">
        <v>200</v>
      </c>
      <c r="H529">
        <v>0</v>
      </c>
      <c r="I529" t="s">
        <v>994</v>
      </c>
      <c r="L529">
        <v>0</v>
      </c>
      <c r="M529">
        <v>0</v>
      </c>
      <c r="N529">
        <v>0</v>
      </c>
      <c r="Q529">
        <v>902</v>
      </c>
      <c r="R529">
        <v>0</v>
      </c>
      <c r="S529">
        <v>0</v>
      </c>
      <c r="W529" t="s">
        <v>1060</v>
      </c>
      <c r="X529">
        <v>0</v>
      </c>
      <c r="Z529">
        <v>10</v>
      </c>
      <c r="AA529">
        <v>52.703000000000003</v>
      </c>
      <c r="AB529">
        <v>3737</v>
      </c>
      <c r="AC529">
        <v>3.6816</v>
      </c>
      <c r="AD529" s="20">
        <v>44648</v>
      </c>
      <c r="AE529">
        <v>4.6749999999999998</v>
      </c>
      <c r="AF529">
        <v>0.1</v>
      </c>
      <c r="AH529">
        <v>2739</v>
      </c>
      <c r="AJ529">
        <v>0</v>
      </c>
      <c r="AL529">
        <v>2180</v>
      </c>
      <c r="AM529">
        <v>0</v>
      </c>
      <c r="AN529">
        <v>11501008</v>
      </c>
      <c r="AO529">
        <v>0</v>
      </c>
      <c r="AP529">
        <v>1050</v>
      </c>
      <c r="AT529">
        <v>0</v>
      </c>
      <c r="AU529" t="s">
        <v>1059</v>
      </c>
      <c r="AW529" t="s">
        <v>1053</v>
      </c>
      <c r="AX529">
        <v>0</v>
      </c>
      <c r="AY529" s="20">
        <v>44169</v>
      </c>
      <c r="BA529" s="20">
        <v>43718</v>
      </c>
      <c r="BB529" t="s">
        <v>1058</v>
      </c>
      <c r="BD529">
        <v>0</v>
      </c>
      <c r="BF529" t="s">
        <v>1044</v>
      </c>
      <c r="BG529" s="20">
        <v>41247</v>
      </c>
      <c r="BH529">
        <v>0</v>
      </c>
      <c r="BI529">
        <v>21</v>
      </c>
      <c r="BJ529">
        <v>0</v>
      </c>
      <c r="BK529">
        <v>0</v>
      </c>
      <c r="BM529" s="20">
        <v>41235</v>
      </c>
      <c r="BN529">
        <v>0</v>
      </c>
      <c r="BO529">
        <v>7897801311823</v>
      </c>
      <c r="BR529" t="s">
        <v>1043</v>
      </c>
      <c r="BS529" t="s">
        <v>1043</v>
      </c>
      <c r="BT529" t="s">
        <v>1043</v>
      </c>
      <c r="BV529">
        <v>1</v>
      </c>
      <c r="BW529">
        <v>2</v>
      </c>
      <c r="BY529">
        <v>71</v>
      </c>
      <c r="CA529">
        <v>0</v>
      </c>
      <c r="CB529" t="s">
        <v>1057</v>
      </c>
      <c r="CE529" t="s">
        <v>1043</v>
      </c>
      <c r="CH529" t="s">
        <v>1043</v>
      </c>
      <c r="CN529" t="s">
        <v>1056</v>
      </c>
      <c r="CO529" t="s">
        <v>1043</v>
      </c>
      <c r="CP529">
        <v>1</v>
      </c>
      <c r="CQ529">
        <v>0</v>
      </c>
      <c r="CS529">
        <v>0</v>
      </c>
      <c r="CT529">
        <v>0</v>
      </c>
      <c r="CU529">
        <v>0</v>
      </c>
      <c r="CV529" t="s">
        <v>1045</v>
      </c>
      <c r="CW529">
        <v>0</v>
      </c>
      <c r="CX529">
        <v>0</v>
      </c>
      <c r="CY529">
        <v>0</v>
      </c>
      <c r="CZ529">
        <v>0</v>
      </c>
      <c r="DA529">
        <v>5</v>
      </c>
      <c r="DB529">
        <v>750</v>
      </c>
      <c r="DC529" t="s">
        <v>1043</v>
      </c>
      <c r="DF529" t="s">
        <v>1055</v>
      </c>
      <c r="DH529">
        <v>0</v>
      </c>
      <c r="DJ529">
        <v>0</v>
      </c>
      <c r="DK529" t="s">
        <v>1053</v>
      </c>
      <c r="DL529">
        <v>0</v>
      </c>
      <c r="DN529">
        <v>0</v>
      </c>
      <c r="DO529" t="s">
        <v>1042</v>
      </c>
      <c r="DP529">
        <v>0</v>
      </c>
      <c r="DQ529">
        <v>7.6</v>
      </c>
      <c r="DS529">
        <v>0</v>
      </c>
      <c r="DU529">
        <v>1.65</v>
      </c>
      <c r="DW529">
        <v>0</v>
      </c>
      <c r="DX529" t="s">
        <v>1043</v>
      </c>
      <c r="DY529">
        <v>0</v>
      </c>
      <c r="DZ529">
        <v>0</v>
      </c>
      <c r="EA529">
        <v>0</v>
      </c>
      <c r="EB529">
        <v>17897801311820</v>
      </c>
      <c r="ED529" t="s">
        <v>1045</v>
      </c>
      <c r="EE529">
        <v>0</v>
      </c>
      <c r="EF529">
        <v>0</v>
      </c>
      <c r="EL529">
        <v>57897801311828</v>
      </c>
      <c r="EN529" t="s">
        <v>1012</v>
      </c>
      <c r="EQ529" t="s">
        <v>1044</v>
      </c>
      <c r="ES529" t="s">
        <v>1053</v>
      </c>
      <c r="ET529">
        <v>0</v>
      </c>
      <c r="EV529">
        <v>0</v>
      </c>
      <c r="EY529" t="s">
        <v>1052</v>
      </c>
      <c r="EZ529">
        <v>0</v>
      </c>
      <c r="FA529" t="s">
        <v>1043</v>
      </c>
      <c r="FB529">
        <v>0</v>
      </c>
      <c r="FC529">
        <v>0</v>
      </c>
      <c r="FD529" t="s">
        <v>1051</v>
      </c>
      <c r="FE529" t="s">
        <v>1050</v>
      </c>
      <c r="FF529">
        <v>160</v>
      </c>
      <c r="FG529" t="s">
        <v>1050</v>
      </c>
      <c r="FH529">
        <v>27897801311827</v>
      </c>
      <c r="FJ529">
        <v>0</v>
      </c>
      <c r="FK529">
        <v>0</v>
      </c>
      <c r="FP529">
        <v>0</v>
      </c>
      <c r="FR529">
        <v>0</v>
      </c>
      <c r="FS529" t="s">
        <v>1043</v>
      </c>
      <c r="FX529" t="s">
        <v>1042</v>
      </c>
      <c r="FZ529" t="s">
        <v>1048</v>
      </c>
      <c r="GA529">
        <v>0</v>
      </c>
      <c r="GB529" t="s">
        <v>1042</v>
      </c>
      <c r="GE529">
        <v>0</v>
      </c>
      <c r="GG529">
        <v>0</v>
      </c>
      <c r="GN529">
        <v>0</v>
      </c>
      <c r="GO529" t="s">
        <v>1063</v>
      </c>
      <c r="GQ529">
        <v>0</v>
      </c>
      <c r="GU529">
        <v>0</v>
      </c>
      <c r="GY529" t="s">
        <v>1045</v>
      </c>
      <c r="HB529">
        <v>0</v>
      </c>
      <c r="HE529">
        <v>30</v>
      </c>
      <c r="HF529">
        <v>0</v>
      </c>
      <c r="HG529">
        <v>4.7699999999999999E-3</v>
      </c>
      <c r="HK529" t="s">
        <v>1042</v>
      </c>
      <c r="HL529" t="s">
        <v>1048</v>
      </c>
      <c r="HM529" t="s">
        <v>1047</v>
      </c>
      <c r="HN529">
        <v>0</v>
      </c>
      <c r="HO529">
        <v>2</v>
      </c>
      <c r="HP529">
        <v>7.1199999999999999E-2</v>
      </c>
      <c r="HQ529">
        <v>0</v>
      </c>
      <c r="HR529" s="20">
        <v>44221</v>
      </c>
      <c r="HS529" t="s">
        <v>1043</v>
      </c>
      <c r="HT529">
        <v>0</v>
      </c>
      <c r="HU529">
        <v>0</v>
      </c>
      <c r="HW529">
        <v>0</v>
      </c>
      <c r="HX529">
        <v>5235</v>
      </c>
      <c r="HY529">
        <v>1</v>
      </c>
      <c r="HZ529" t="s">
        <v>1045</v>
      </c>
      <c r="IA529">
        <v>4.68</v>
      </c>
      <c r="IB529" t="s">
        <v>1045</v>
      </c>
      <c r="ID529" t="s">
        <v>1045</v>
      </c>
      <c r="IF529">
        <v>4000</v>
      </c>
      <c r="IG529" s="20">
        <v>41247</v>
      </c>
      <c r="II529" t="s">
        <v>1042</v>
      </c>
      <c r="IR529" t="s">
        <v>1045</v>
      </c>
      <c r="IT529">
        <v>0</v>
      </c>
      <c r="IY529" t="s">
        <v>1044</v>
      </c>
      <c r="IZ529" t="s">
        <v>1043</v>
      </c>
      <c r="JC529" t="s">
        <v>1043</v>
      </c>
      <c r="JE529">
        <v>0</v>
      </c>
      <c r="JF529">
        <v>0</v>
      </c>
      <c r="JI529" t="s">
        <v>1042</v>
      </c>
      <c r="JJ529">
        <v>0</v>
      </c>
      <c r="JK529">
        <v>0</v>
      </c>
      <c r="JL529">
        <v>0</v>
      </c>
      <c r="JM529">
        <v>0</v>
      </c>
      <c r="JQ529" t="s">
        <v>1043</v>
      </c>
      <c r="JT529">
        <v>0</v>
      </c>
      <c r="JU529" t="s">
        <v>1042</v>
      </c>
      <c r="JW529">
        <v>0</v>
      </c>
      <c r="KA529">
        <v>0</v>
      </c>
      <c r="KF529">
        <v>0</v>
      </c>
      <c r="KG529">
        <v>0</v>
      </c>
      <c r="KH529">
        <v>0</v>
      </c>
      <c r="KI529">
        <v>0</v>
      </c>
      <c r="KS529" t="s">
        <v>1041</v>
      </c>
      <c r="KT529">
        <v>0</v>
      </c>
      <c r="KU529">
        <v>0</v>
      </c>
      <c r="KV529">
        <v>0</v>
      </c>
      <c r="KX529">
        <v>0</v>
      </c>
      <c r="KZ529">
        <v>0</v>
      </c>
      <c r="LF529">
        <v>0</v>
      </c>
      <c r="LH529">
        <v>32256</v>
      </c>
      <c r="LI529">
        <v>0</v>
      </c>
    </row>
    <row r="530" spans="1:321" x14ac:dyDescent="0.35">
      <c r="A530">
        <v>1</v>
      </c>
      <c r="B530">
        <v>1325</v>
      </c>
      <c r="C530" t="s">
        <v>692</v>
      </c>
      <c r="D530" t="s">
        <v>1089</v>
      </c>
      <c r="E530" t="s">
        <v>85</v>
      </c>
      <c r="F530">
        <v>1</v>
      </c>
      <c r="G530">
        <v>200</v>
      </c>
      <c r="H530">
        <v>0</v>
      </c>
      <c r="I530" t="s">
        <v>994</v>
      </c>
      <c r="L530">
        <v>0</v>
      </c>
      <c r="M530">
        <v>0</v>
      </c>
      <c r="N530">
        <v>0</v>
      </c>
      <c r="Q530">
        <v>902</v>
      </c>
      <c r="R530">
        <v>0</v>
      </c>
      <c r="S530">
        <v>0</v>
      </c>
      <c r="W530" t="s">
        <v>1060</v>
      </c>
      <c r="X530">
        <v>0</v>
      </c>
      <c r="Z530">
        <v>10</v>
      </c>
      <c r="AA530">
        <v>54.344000000000001</v>
      </c>
      <c r="AB530">
        <v>5524</v>
      </c>
      <c r="AC530">
        <v>4.0785</v>
      </c>
      <c r="AD530" s="20">
        <v>44706</v>
      </c>
      <c r="AE530">
        <v>5.1790000000000003</v>
      </c>
      <c r="AF530">
        <v>0.106</v>
      </c>
      <c r="AH530">
        <v>4623</v>
      </c>
      <c r="AJ530">
        <v>0</v>
      </c>
      <c r="AL530">
        <v>2210</v>
      </c>
      <c r="AM530">
        <v>0</v>
      </c>
      <c r="AN530">
        <v>11501008</v>
      </c>
      <c r="AO530">
        <v>0</v>
      </c>
      <c r="AP530">
        <v>1050</v>
      </c>
      <c r="AT530">
        <v>0</v>
      </c>
      <c r="AU530" t="s">
        <v>1059</v>
      </c>
      <c r="AW530" t="s">
        <v>1053</v>
      </c>
      <c r="AX530">
        <v>0</v>
      </c>
      <c r="AY530" s="20">
        <v>44186</v>
      </c>
      <c r="BA530" s="20">
        <v>43718</v>
      </c>
      <c r="BB530" t="s">
        <v>1058</v>
      </c>
      <c r="BD530">
        <v>0</v>
      </c>
      <c r="BF530" t="s">
        <v>1044</v>
      </c>
      <c r="BG530" s="20">
        <v>41247</v>
      </c>
      <c r="BH530">
        <v>0</v>
      </c>
      <c r="BI530">
        <v>21</v>
      </c>
      <c r="BJ530">
        <v>0</v>
      </c>
      <c r="BK530">
        <v>0</v>
      </c>
      <c r="BM530" s="20">
        <v>41235</v>
      </c>
      <c r="BN530">
        <v>0</v>
      </c>
      <c r="BO530">
        <v>7897801311830</v>
      </c>
      <c r="BR530" t="s">
        <v>1043</v>
      </c>
      <c r="BS530" t="s">
        <v>1043</v>
      </c>
      <c r="BT530" t="s">
        <v>1043</v>
      </c>
      <c r="BV530">
        <v>1</v>
      </c>
      <c r="BW530">
        <v>2</v>
      </c>
      <c r="BY530">
        <v>71</v>
      </c>
      <c r="CA530">
        <v>0</v>
      </c>
      <c r="CB530" t="s">
        <v>1057</v>
      </c>
      <c r="CE530" t="s">
        <v>1043</v>
      </c>
      <c r="CH530" t="s">
        <v>1043</v>
      </c>
      <c r="CN530" t="s">
        <v>1056</v>
      </c>
      <c r="CO530" t="s">
        <v>1043</v>
      </c>
      <c r="CP530">
        <v>1</v>
      </c>
      <c r="CQ530">
        <v>0</v>
      </c>
      <c r="CS530">
        <v>0</v>
      </c>
      <c r="CT530">
        <v>0</v>
      </c>
      <c r="CU530">
        <v>0</v>
      </c>
      <c r="CV530" t="s">
        <v>1045</v>
      </c>
      <c r="CW530">
        <v>0</v>
      </c>
      <c r="CX530">
        <v>0</v>
      </c>
      <c r="CY530">
        <v>0</v>
      </c>
      <c r="CZ530">
        <v>0</v>
      </c>
      <c r="DA530">
        <v>4</v>
      </c>
      <c r="DB530">
        <v>1000</v>
      </c>
      <c r="DC530" t="s">
        <v>1043</v>
      </c>
      <c r="DF530" t="s">
        <v>1055</v>
      </c>
      <c r="DH530">
        <v>0</v>
      </c>
      <c r="DJ530">
        <v>0</v>
      </c>
      <c r="DK530" t="s">
        <v>1053</v>
      </c>
      <c r="DL530">
        <v>0</v>
      </c>
      <c r="DN530">
        <v>0</v>
      </c>
      <c r="DO530" t="s">
        <v>1042</v>
      </c>
      <c r="DP530">
        <v>0</v>
      </c>
      <c r="DQ530">
        <v>7.6</v>
      </c>
      <c r="DS530">
        <v>0</v>
      </c>
      <c r="DU530">
        <v>1.65</v>
      </c>
      <c r="DW530">
        <v>0</v>
      </c>
      <c r="DX530" t="s">
        <v>1043</v>
      </c>
      <c r="DY530">
        <v>0</v>
      </c>
      <c r="DZ530">
        <v>0</v>
      </c>
      <c r="EA530">
        <v>0</v>
      </c>
      <c r="EB530">
        <v>17897801311837</v>
      </c>
      <c r="ED530" t="s">
        <v>1045</v>
      </c>
      <c r="EE530">
        <v>0</v>
      </c>
      <c r="EF530">
        <v>0</v>
      </c>
      <c r="EL530">
        <v>57897801311835</v>
      </c>
      <c r="EN530" t="s">
        <v>1012</v>
      </c>
      <c r="EQ530" t="s">
        <v>1044</v>
      </c>
      <c r="ES530" t="s">
        <v>1053</v>
      </c>
      <c r="ET530">
        <v>0</v>
      </c>
      <c r="EV530">
        <v>0</v>
      </c>
      <c r="EY530" t="s">
        <v>1052</v>
      </c>
      <c r="EZ530">
        <v>0</v>
      </c>
      <c r="FA530" t="s">
        <v>1043</v>
      </c>
      <c r="FB530">
        <v>0</v>
      </c>
      <c r="FC530">
        <v>0</v>
      </c>
      <c r="FD530" t="s">
        <v>1051</v>
      </c>
      <c r="FE530" t="s">
        <v>1050</v>
      </c>
      <c r="FF530">
        <v>160</v>
      </c>
      <c r="FG530" t="s">
        <v>1050</v>
      </c>
      <c r="FH530">
        <v>27897801311834</v>
      </c>
      <c r="FJ530">
        <v>0</v>
      </c>
      <c r="FK530">
        <v>0</v>
      </c>
      <c r="FP530">
        <v>0</v>
      </c>
      <c r="FR530">
        <v>0</v>
      </c>
      <c r="FS530" t="s">
        <v>1043</v>
      </c>
      <c r="FX530" t="s">
        <v>1042</v>
      </c>
      <c r="FZ530" t="s">
        <v>1048</v>
      </c>
      <c r="GA530">
        <v>0</v>
      </c>
      <c r="GB530" t="s">
        <v>1042</v>
      </c>
      <c r="GE530">
        <v>0</v>
      </c>
      <c r="GG530">
        <v>0</v>
      </c>
      <c r="GN530">
        <v>0</v>
      </c>
      <c r="GO530" t="s">
        <v>1063</v>
      </c>
      <c r="GQ530">
        <v>0</v>
      </c>
      <c r="GU530">
        <v>0</v>
      </c>
      <c r="GY530" t="s">
        <v>1045</v>
      </c>
      <c r="HB530">
        <v>0</v>
      </c>
      <c r="HE530">
        <v>30</v>
      </c>
      <c r="HF530">
        <v>0</v>
      </c>
      <c r="HG530">
        <v>3.9899999999999996E-3</v>
      </c>
      <c r="HK530" t="s">
        <v>1042</v>
      </c>
      <c r="HL530" t="s">
        <v>1048</v>
      </c>
      <c r="HM530" t="s">
        <v>1047</v>
      </c>
      <c r="HN530">
        <v>0</v>
      </c>
      <c r="HO530">
        <v>2</v>
      </c>
      <c r="HP530">
        <v>0.10580000000000001</v>
      </c>
      <c r="HQ530">
        <v>0</v>
      </c>
      <c r="HR530" s="20">
        <v>44221</v>
      </c>
      <c r="HS530" t="s">
        <v>1043</v>
      </c>
      <c r="HT530">
        <v>0</v>
      </c>
      <c r="HU530">
        <v>0</v>
      </c>
      <c r="HW530">
        <v>0</v>
      </c>
      <c r="HX530">
        <v>6874</v>
      </c>
      <c r="HY530">
        <v>1</v>
      </c>
      <c r="HZ530" t="s">
        <v>1045</v>
      </c>
      <c r="IA530">
        <v>5.18</v>
      </c>
      <c r="IB530" t="s">
        <v>1045</v>
      </c>
      <c r="ID530" t="s">
        <v>1045</v>
      </c>
      <c r="IF530">
        <v>4000</v>
      </c>
      <c r="IG530" s="20">
        <v>41247</v>
      </c>
      <c r="II530" t="s">
        <v>1042</v>
      </c>
      <c r="IR530" t="s">
        <v>1045</v>
      </c>
      <c r="IT530">
        <v>0</v>
      </c>
      <c r="IY530" t="s">
        <v>1044</v>
      </c>
      <c r="IZ530" t="s">
        <v>1043</v>
      </c>
      <c r="JC530" t="s">
        <v>1043</v>
      </c>
      <c r="JE530">
        <v>0</v>
      </c>
      <c r="JF530">
        <v>0</v>
      </c>
      <c r="JI530" t="s">
        <v>1042</v>
      </c>
      <c r="JJ530">
        <v>0</v>
      </c>
      <c r="JK530">
        <v>0</v>
      </c>
      <c r="JL530">
        <v>0</v>
      </c>
      <c r="JM530">
        <v>0</v>
      </c>
      <c r="JQ530" t="s">
        <v>1043</v>
      </c>
      <c r="JT530">
        <v>0</v>
      </c>
      <c r="JU530" t="s">
        <v>1042</v>
      </c>
      <c r="JW530">
        <v>0</v>
      </c>
      <c r="KA530">
        <v>0</v>
      </c>
      <c r="KF530">
        <v>0</v>
      </c>
      <c r="KG530">
        <v>0</v>
      </c>
      <c r="KH530">
        <v>0</v>
      </c>
      <c r="KI530">
        <v>0</v>
      </c>
      <c r="KS530" t="s">
        <v>1041</v>
      </c>
      <c r="KT530">
        <v>0</v>
      </c>
      <c r="KU530">
        <v>0</v>
      </c>
      <c r="KV530">
        <v>0</v>
      </c>
      <c r="KX530">
        <v>0</v>
      </c>
      <c r="KZ530">
        <v>0</v>
      </c>
      <c r="LF530">
        <v>0</v>
      </c>
      <c r="LH530">
        <v>32256</v>
      </c>
      <c r="LI530">
        <v>0</v>
      </c>
    </row>
    <row r="531" spans="1:321" x14ac:dyDescent="0.35">
      <c r="A531">
        <v>1</v>
      </c>
      <c r="B531">
        <v>1326</v>
      </c>
      <c r="C531" t="s">
        <v>693</v>
      </c>
      <c r="D531" t="s">
        <v>1089</v>
      </c>
      <c r="E531" t="s">
        <v>85</v>
      </c>
      <c r="F531">
        <v>1</v>
      </c>
      <c r="G531">
        <v>200</v>
      </c>
      <c r="H531">
        <v>0</v>
      </c>
      <c r="I531" t="s">
        <v>994</v>
      </c>
      <c r="L531">
        <v>0</v>
      </c>
      <c r="M531">
        <v>0</v>
      </c>
      <c r="N531">
        <v>0</v>
      </c>
      <c r="Q531">
        <v>902</v>
      </c>
      <c r="R531">
        <v>0</v>
      </c>
      <c r="S531">
        <v>0</v>
      </c>
      <c r="W531" t="s">
        <v>1060</v>
      </c>
      <c r="X531">
        <v>0</v>
      </c>
      <c r="Z531">
        <v>10</v>
      </c>
      <c r="AA531">
        <v>56.475000000000001</v>
      </c>
      <c r="AB531">
        <v>3015</v>
      </c>
      <c r="AC531">
        <v>4.1627000000000001</v>
      </c>
      <c r="AD531" s="20">
        <v>44648</v>
      </c>
      <c r="AE531">
        <v>5.2859999999999996</v>
      </c>
      <c r="AF531">
        <v>0.1105</v>
      </c>
      <c r="AH531">
        <v>2243</v>
      </c>
      <c r="AJ531">
        <v>0</v>
      </c>
      <c r="AL531">
        <v>2740</v>
      </c>
      <c r="AM531">
        <v>0</v>
      </c>
      <c r="AN531">
        <v>11501008</v>
      </c>
      <c r="AO531">
        <v>0</v>
      </c>
      <c r="AP531">
        <v>1050</v>
      </c>
      <c r="AT531">
        <v>0</v>
      </c>
      <c r="AU531" t="s">
        <v>1059</v>
      </c>
      <c r="AW531" t="s">
        <v>1053</v>
      </c>
      <c r="AX531">
        <v>0</v>
      </c>
      <c r="AY531" s="20">
        <v>44173</v>
      </c>
      <c r="BA531" s="20">
        <v>43718</v>
      </c>
      <c r="BB531" t="s">
        <v>1058</v>
      </c>
      <c r="BD531">
        <v>0</v>
      </c>
      <c r="BF531" t="s">
        <v>1044</v>
      </c>
      <c r="BG531" s="20">
        <v>41247</v>
      </c>
      <c r="BH531">
        <v>0</v>
      </c>
      <c r="BI531">
        <v>21</v>
      </c>
      <c r="BJ531">
        <v>0</v>
      </c>
      <c r="BK531">
        <v>0</v>
      </c>
      <c r="BM531" s="20">
        <v>41235</v>
      </c>
      <c r="BN531">
        <v>0</v>
      </c>
      <c r="BO531">
        <v>7897801311786</v>
      </c>
      <c r="BR531" t="s">
        <v>1043</v>
      </c>
      <c r="BS531" t="s">
        <v>1043</v>
      </c>
      <c r="BT531" t="s">
        <v>1043</v>
      </c>
      <c r="BV531">
        <v>1</v>
      </c>
      <c r="BW531">
        <v>2</v>
      </c>
      <c r="BY531">
        <v>71</v>
      </c>
      <c r="CA531">
        <v>0</v>
      </c>
      <c r="CB531" t="s">
        <v>1057</v>
      </c>
      <c r="CE531" t="s">
        <v>1043</v>
      </c>
      <c r="CH531" t="s">
        <v>1043</v>
      </c>
      <c r="CN531" t="s">
        <v>1056</v>
      </c>
      <c r="CO531" t="s">
        <v>1043</v>
      </c>
      <c r="CP531">
        <v>1</v>
      </c>
      <c r="CQ531">
        <v>0</v>
      </c>
      <c r="CS531">
        <v>0</v>
      </c>
      <c r="CT531">
        <v>0</v>
      </c>
      <c r="CU531">
        <v>0</v>
      </c>
      <c r="CV531" t="s">
        <v>1045</v>
      </c>
      <c r="CW531">
        <v>0</v>
      </c>
      <c r="CX531">
        <v>0</v>
      </c>
      <c r="CY531">
        <v>0</v>
      </c>
      <c r="CZ531">
        <v>0</v>
      </c>
      <c r="DA531">
        <v>5</v>
      </c>
      <c r="DB531">
        <v>1000</v>
      </c>
      <c r="DC531" t="s">
        <v>1043</v>
      </c>
      <c r="DF531" t="s">
        <v>1055</v>
      </c>
      <c r="DH531">
        <v>0</v>
      </c>
      <c r="DJ531">
        <v>0</v>
      </c>
      <c r="DK531" t="s">
        <v>1053</v>
      </c>
      <c r="DL531">
        <v>0</v>
      </c>
      <c r="DN531">
        <v>0</v>
      </c>
      <c r="DO531" t="s">
        <v>1042</v>
      </c>
      <c r="DP531">
        <v>0</v>
      </c>
      <c r="DQ531">
        <v>7.6</v>
      </c>
      <c r="DS531">
        <v>0</v>
      </c>
      <c r="DU531">
        <v>1.65</v>
      </c>
      <c r="DW531">
        <v>0</v>
      </c>
      <c r="DX531" t="s">
        <v>1043</v>
      </c>
      <c r="DY531">
        <v>0</v>
      </c>
      <c r="DZ531">
        <v>0</v>
      </c>
      <c r="EA531">
        <v>0</v>
      </c>
      <c r="EB531">
        <v>17897801311783</v>
      </c>
      <c r="ED531" t="s">
        <v>1045</v>
      </c>
      <c r="EE531">
        <v>0</v>
      </c>
      <c r="EF531">
        <v>0</v>
      </c>
      <c r="EL531">
        <v>57897801311781</v>
      </c>
      <c r="EN531" t="s">
        <v>1012</v>
      </c>
      <c r="EQ531" t="s">
        <v>1044</v>
      </c>
      <c r="ES531" t="s">
        <v>1053</v>
      </c>
      <c r="ET531">
        <v>0</v>
      </c>
      <c r="EV531">
        <v>0</v>
      </c>
      <c r="EY531" t="s">
        <v>1052</v>
      </c>
      <c r="EZ531">
        <v>0</v>
      </c>
      <c r="FA531" t="s">
        <v>1043</v>
      </c>
      <c r="FB531">
        <v>0</v>
      </c>
      <c r="FC531">
        <v>0</v>
      </c>
      <c r="FD531" t="s">
        <v>1051</v>
      </c>
      <c r="FE531" t="s">
        <v>1050</v>
      </c>
      <c r="FF531">
        <v>180</v>
      </c>
      <c r="FG531" t="s">
        <v>1050</v>
      </c>
      <c r="FH531">
        <v>27897801311780</v>
      </c>
      <c r="FJ531">
        <v>0</v>
      </c>
      <c r="FK531">
        <v>0</v>
      </c>
      <c r="FP531">
        <v>0</v>
      </c>
      <c r="FR531">
        <v>0</v>
      </c>
      <c r="FS531" t="s">
        <v>1043</v>
      </c>
      <c r="FX531" t="s">
        <v>1042</v>
      </c>
      <c r="FZ531" t="s">
        <v>1048</v>
      </c>
      <c r="GA531">
        <v>0</v>
      </c>
      <c r="GB531" t="s">
        <v>1042</v>
      </c>
      <c r="GE531">
        <v>0</v>
      </c>
      <c r="GG531">
        <v>0</v>
      </c>
      <c r="GN531">
        <v>0</v>
      </c>
      <c r="GO531" t="s">
        <v>1063</v>
      </c>
      <c r="GQ531">
        <v>0</v>
      </c>
      <c r="GU531">
        <v>0</v>
      </c>
      <c r="GY531" t="s">
        <v>1045</v>
      </c>
      <c r="HB531">
        <v>0</v>
      </c>
      <c r="HE531">
        <v>30</v>
      </c>
      <c r="HF531">
        <v>0</v>
      </c>
      <c r="HG531">
        <v>5.4999999999999997E-3</v>
      </c>
      <c r="HK531" t="s">
        <v>1042</v>
      </c>
      <c r="HL531" t="s">
        <v>1048</v>
      </c>
      <c r="HM531" t="s">
        <v>1047</v>
      </c>
      <c r="HN531">
        <v>0</v>
      </c>
      <c r="HO531">
        <v>2</v>
      </c>
      <c r="HP531">
        <v>0.11210000000000001</v>
      </c>
      <c r="HQ531">
        <v>0</v>
      </c>
      <c r="HR531" s="20">
        <v>44221</v>
      </c>
      <c r="HS531" t="s">
        <v>1043</v>
      </c>
      <c r="HT531">
        <v>0</v>
      </c>
      <c r="HU531">
        <v>0</v>
      </c>
      <c r="HW531">
        <v>0</v>
      </c>
      <c r="HX531">
        <v>4173</v>
      </c>
      <c r="HY531">
        <v>1</v>
      </c>
      <c r="HZ531" t="s">
        <v>1045</v>
      </c>
      <c r="IA531">
        <v>5.29</v>
      </c>
      <c r="IB531" t="s">
        <v>1045</v>
      </c>
      <c r="ID531" t="s">
        <v>1045</v>
      </c>
      <c r="IF531">
        <v>3600</v>
      </c>
      <c r="IG531" s="20">
        <v>41247</v>
      </c>
      <c r="II531" t="s">
        <v>1042</v>
      </c>
      <c r="IR531" t="s">
        <v>1045</v>
      </c>
      <c r="IT531">
        <v>0</v>
      </c>
      <c r="IY531" t="s">
        <v>1044</v>
      </c>
      <c r="IZ531" t="s">
        <v>1043</v>
      </c>
      <c r="JC531" t="s">
        <v>1043</v>
      </c>
      <c r="JE531">
        <v>0</v>
      </c>
      <c r="JF531">
        <v>0</v>
      </c>
      <c r="JI531" t="s">
        <v>1042</v>
      </c>
      <c r="JJ531">
        <v>0</v>
      </c>
      <c r="JK531">
        <v>0</v>
      </c>
      <c r="JL531">
        <v>0</v>
      </c>
      <c r="JM531">
        <v>0</v>
      </c>
      <c r="JQ531" t="s">
        <v>1043</v>
      </c>
      <c r="JT531">
        <v>0</v>
      </c>
      <c r="JU531" t="s">
        <v>1042</v>
      </c>
      <c r="JW531">
        <v>0</v>
      </c>
      <c r="KA531">
        <v>0</v>
      </c>
      <c r="KF531">
        <v>0</v>
      </c>
      <c r="KG531">
        <v>0</v>
      </c>
      <c r="KH531">
        <v>0</v>
      </c>
      <c r="KI531">
        <v>0</v>
      </c>
      <c r="KS531" t="s">
        <v>1041</v>
      </c>
      <c r="KT531">
        <v>0</v>
      </c>
      <c r="KU531">
        <v>0</v>
      </c>
      <c r="KV531">
        <v>0</v>
      </c>
      <c r="KX531">
        <v>0</v>
      </c>
      <c r="KZ531">
        <v>0</v>
      </c>
      <c r="LF531">
        <v>0</v>
      </c>
      <c r="LH531">
        <v>32256</v>
      </c>
      <c r="LI531">
        <v>0</v>
      </c>
    </row>
    <row r="532" spans="1:321" x14ac:dyDescent="0.35">
      <c r="A532">
        <v>1</v>
      </c>
      <c r="B532">
        <v>13268</v>
      </c>
      <c r="C532" t="s">
        <v>1179</v>
      </c>
      <c r="D532" t="s">
        <v>1082</v>
      </c>
      <c r="E532" t="s">
        <v>85</v>
      </c>
      <c r="F532">
        <v>80</v>
      </c>
      <c r="G532">
        <v>8888</v>
      </c>
      <c r="H532">
        <v>0</v>
      </c>
      <c r="I532" t="s">
        <v>1178</v>
      </c>
      <c r="L532">
        <v>0</v>
      </c>
      <c r="M532">
        <v>0</v>
      </c>
      <c r="N532">
        <v>0</v>
      </c>
      <c r="P532">
        <v>306</v>
      </c>
      <c r="R532">
        <v>0</v>
      </c>
      <c r="S532">
        <v>0</v>
      </c>
      <c r="W532" t="s">
        <v>1060</v>
      </c>
      <c r="X532">
        <v>0</v>
      </c>
      <c r="Z532">
        <v>1</v>
      </c>
      <c r="AA532">
        <v>0</v>
      </c>
      <c r="AB532">
        <v>2</v>
      </c>
      <c r="AC532">
        <v>41.744999999999997</v>
      </c>
      <c r="AD532" s="20">
        <v>43207</v>
      </c>
      <c r="AE532">
        <v>46</v>
      </c>
      <c r="AF532">
        <v>0</v>
      </c>
      <c r="AH532">
        <v>0</v>
      </c>
      <c r="AJ532">
        <v>0</v>
      </c>
      <c r="AL532">
        <v>1</v>
      </c>
      <c r="AM532">
        <v>0</v>
      </c>
      <c r="AN532">
        <v>11501013</v>
      </c>
      <c r="AO532">
        <v>0</v>
      </c>
      <c r="AP532">
        <v>2300</v>
      </c>
      <c r="AT532">
        <v>0</v>
      </c>
      <c r="AU532" t="s">
        <v>1059</v>
      </c>
      <c r="AW532" t="s">
        <v>1053</v>
      </c>
      <c r="AX532">
        <v>0</v>
      </c>
      <c r="AY532" s="20">
        <v>43207</v>
      </c>
      <c r="BA532" s="20">
        <v>40672</v>
      </c>
      <c r="BB532" t="s">
        <v>1058</v>
      </c>
      <c r="BD532">
        <v>0</v>
      </c>
      <c r="BF532" t="s">
        <v>1043</v>
      </c>
      <c r="BG532" t="s">
        <v>1042</v>
      </c>
      <c r="BH532">
        <v>0</v>
      </c>
      <c r="BI532">
        <v>1</v>
      </c>
      <c r="BJ532">
        <v>0</v>
      </c>
      <c r="BK532">
        <v>0</v>
      </c>
      <c r="BM532" s="20">
        <v>41175</v>
      </c>
      <c r="BN532">
        <v>0</v>
      </c>
      <c r="BO532">
        <v>3457801102759</v>
      </c>
      <c r="BR532" t="s">
        <v>1043</v>
      </c>
      <c r="BS532" t="s">
        <v>1043</v>
      </c>
      <c r="BT532" t="s">
        <v>1043</v>
      </c>
      <c r="BW532">
        <v>75</v>
      </c>
      <c r="CA532">
        <v>0</v>
      </c>
      <c r="CB532" t="s">
        <v>1057</v>
      </c>
      <c r="CE532" t="s">
        <v>1043</v>
      </c>
      <c r="CH532" t="s">
        <v>1043</v>
      </c>
      <c r="CN532" t="s">
        <v>1074</v>
      </c>
      <c r="CO532" t="s">
        <v>1043</v>
      </c>
      <c r="CP532">
        <v>1</v>
      </c>
      <c r="CQ532">
        <v>0</v>
      </c>
      <c r="CS532">
        <v>0</v>
      </c>
      <c r="CT532">
        <v>0</v>
      </c>
      <c r="CU532">
        <v>0</v>
      </c>
      <c r="CV532" t="s">
        <v>1045</v>
      </c>
      <c r="CW532">
        <v>0</v>
      </c>
      <c r="CX532">
        <v>0</v>
      </c>
      <c r="CY532">
        <v>0</v>
      </c>
      <c r="CZ532">
        <v>0</v>
      </c>
      <c r="DB532">
        <v>0</v>
      </c>
      <c r="DC532" t="s">
        <v>1043</v>
      </c>
      <c r="DF532" t="s">
        <v>1055</v>
      </c>
      <c r="DH532">
        <v>0</v>
      </c>
      <c r="DJ532">
        <v>0</v>
      </c>
      <c r="DK532" t="s">
        <v>1053</v>
      </c>
      <c r="DL532">
        <v>0</v>
      </c>
      <c r="DN532">
        <v>0</v>
      </c>
      <c r="DO532" t="s">
        <v>1042</v>
      </c>
      <c r="DP532">
        <v>0</v>
      </c>
      <c r="DQ532">
        <v>0</v>
      </c>
      <c r="DS532">
        <v>0</v>
      </c>
      <c r="DU532">
        <v>0</v>
      </c>
      <c r="DW532">
        <v>0</v>
      </c>
      <c r="DX532" t="s">
        <v>1043</v>
      </c>
      <c r="DY532">
        <v>0</v>
      </c>
      <c r="DZ532">
        <v>0</v>
      </c>
      <c r="EA532">
        <v>0</v>
      </c>
      <c r="ED532" t="s">
        <v>1045</v>
      </c>
      <c r="EE532">
        <v>0</v>
      </c>
      <c r="EF532">
        <v>0</v>
      </c>
      <c r="EQ532" t="s">
        <v>1044</v>
      </c>
      <c r="ES532" t="s">
        <v>1053</v>
      </c>
      <c r="ET532">
        <v>0</v>
      </c>
      <c r="EV532">
        <v>0</v>
      </c>
      <c r="EY532" t="s">
        <v>1052</v>
      </c>
      <c r="EZ532">
        <v>0</v>
      </c>
      <c r="FA532" t="s">
        <v>1043</v>
      </c>
      <c r="FB532">
        <v>0</v>
      </c>
      <c r="FC532">
        <v>0</v>
      </c>
      <c r="FE532" t="s">
        <v>1050</v>
      </c>
      <c r="FF532">
        <v>0</v>
      </c>
      <c r="FG532" t="s">
        <v>1050</v>
      </c>
      <c r="FJ532">
        <v>0</v>
      </c>
      <c r="FK532">
        <v>0</v>
      </c>
      <c r="FP532">
        <v>0</v>
      </c>
      <c r="FR532">
        <v>0</v>
      </c>
      <c r="FX532" t="s">
        <v>1042</v>
      </c>
      <c r="FZ532" t="s">
        <v>1048</v>
      </c>
      <c r="GA532">
        <v>0</v>
      </c>
      <c r="GB532" t="s">
        <v>1042</v>
      </c>
      <c r="GE532">
        <v>0</v>
      </c>
      <c r="GG532">
        <v>0</v>
      </c>
      <c r="GN532">
        <v>0</v>
      </c>
      <c r="GO532" t="s">
        <v>1063</v>
      </c>
      <c r="GQ532">
        <v>0</v>
      </c>
      <c r="GU532">
        <v>0</v>
      </c>
      <c r="GY532" t="s">
        <v>1045</v>
      </c>
      <c r="HB532">
        <v>0</v>
      </c>
      <c r="HE532">
        <v>0</v>
      </c>
      <c r="HF532">
        <v>0</v>
      </c>
      <c r="HG532">
        <v>0</v>
      </c>
      <c r="HK532" t="s">
        <v>1042</v>
      </c>
      <c r="HM532" t="s">
        <v>1047</v>
      </c>
      <c r="HN532">
        <v>0</v>
      </c>
      <c r="HP532">
        <v>0</v>
      </c>
      <c r="HQ532">
        <v>0</v>
      </c>
      <c r="HR532" s="20">
        <v>44221</v>
      </c>
      <c r="HS532" t="s">
        <v>1043</v>
      </c>
      <c r="HT532">
        <v>0</v>
      </c>
      <c r="HU532">
        <v>0</v>
      </c>
      <c r="HW532">
        <v>0</v>
      </c>
      <c r="HX532">
        <v>5</v>
      </c>
      <c r="HY532">
        <v>0</v>
      </c>
      <c r="HZ532" t="s">
        <v>1045</v>
      </c>
      <c r="IA532">
        <v>0</v>
      </c>
      <c r="IB532" t="s">
        <v>1045</v>
      </c>
      <c r="ID532" t="s">
        <v>1045</v>
      </c>
      <c r="IF532">
        <v>0</v>
      </c>
      <c r="IG532" t="s">
        <v>1042</v>
      </c>
      <c r="II532" t="s">
        <v>1042</v>
      </c>
      <c r="IR532" t="s">
        <v>1044</v>
      </c>
      <c r="IT532">
        <v>0</v>
      </c>
      <c r="IY532" t="s">
        <v>1044</v>
      </c>
      <c r="IZ532" t="s">
        <v>1043</v>
      </c>
      <c r="JC532" t="s">
        <v>1043</v>
      </c>
      <c r="JE532">
        <v>0</v>
      </c>
      <c r="JF532">
        <v>0</v>
      </c>
      <c r="JI532" t="s">
        <v>1042</v>
      </c>
      <c r="JJ532">
        <v>0</v>
      </c>
      <c r="JK532">
        <v>0</v>
      </c>
      <c r="JL532">
        <v>0</v>
      </c>
      <c r="JM532">
        <v>0</v>
      </c>
      <c r="JQ532" t="s">
        <v>1043</v>
      </c>
      <c r="JT532">
        <v>0</v>
      </c>
      <c r="JU532" t="s">
        <v>1042</v>
      </c>
      <c r="JW532">
        <v>0</v>
      </c>
      <c r="KA532">
        <v>0</v>
      </c>
      <c r="KF532">
        <v>0</v>
      </c>
      <c r="KG532">
        <v>0</v>
      </c>
      <c r="KH532">
        <v>0</v>
      </c>
      <c r="KI532">
        <v>0</v>
      </c>
      <c r="KS532" t="s">
        <v>1073</v>
      </c>
      <c r="KT532">
        <v>0</v>
      </c>
      <c r="KU532">
        <v>0</v>
      </c>
      <c r="KV532">
        <v>0</v>
      </c>
      <c r="KX532">
        <v>0</v>
      </c>
      <c r="KZ532">
        <v>0</v>
      </c>
      <c r="LF532">
        <v>0</v>
      </c>
      <c r="LH532">
        <v>0</v>
      </c>
      <c r="LI532">
        <v>0</v>
      </c>
    </row>
    <row r="533" spans="1:321" x14ac:dyDescent="0.35">
      <c r="A533">
        <v>1</v>
      </c>
      <c r="B533">
        <v>1327</v>
      </c>
      <c r="C533" t="s">
        <v>694</v>
      </c>
      <c r="D533" t="s">
        <v>1089</v>
      </c>
      <c r="E533" t="s">
        <v>85</v>
      </c>
      <c r="F533">
        <v>1</v>
      </c>
      <c r="G533">
        <v>200</v>
      </c>
      <c r="H533">
        <v>0</v>
      </c>
      <c r="I533" t="s">
        <v>994</v>
      </c>
      <c r="L533">
        <v>0</v>
      </c>
      <c r="M533">
        <v>0</v>
      </c>
      <c r="N533">
        <v>0</v>
      </c>
      <c r="Q533">
        <v>902</v>
      </c>
      <c r="R533">
        <v>0</v>
      </c>
      <c r="S533">
        <v>0</v>
      </c>
      <c r="W533" t="s">
        <v>1060</v>
      </c>
      <c r="X533">
        <v>0</v>
      </c>
      <c r="Z533">
        <v>10</v>
      </c>
      <c r="AA533">
        <v>57.221400000000003</v>
      </c>
      <c r="AB533">
        <v>6644</v>
      </c>
      <c r="AC533">
        <v>4.4650999999999996</v>
      </c>
      <c r="AD533" s="20">
        <v>44706</v>
      </c>
      <c r="AE533">
        <v>5.67</v>
      </c>
      <c r="AF533">
        <v>0.112</v>
      </c>
      <c r="AH533">
        <v>5667</v>
      </c>
      <c r="AJ533">
        <v>0</v>
      </c>
      <c r="AL533">
        <v>3280</v>
      </c>
      <c r="AM533">
        <v>0</v>
      </c>
      <c r="AN533">
        <v>11501008</v>
      </c>
      <c r="AO533">
        <v>0</v>
      </c>
      <c r="AP533">
        <v>1050</v>
      </c>
      <c r="AT533">
        <v>0</v>
      </c>
      <c r="AU533" t="s">
        <v>1059</v>
      </c>
      <c r="AW533" t="s">
        <v>1053</v>
      </c>
      <c r="AX533">
        <v>0</v>
      </c>
      <c r="AY533" s="20">
        <v>44169</v>
      </c>
      <c r="BA533" s="20">
        <v>43718</v>
      </c>
      <c r="BB533" t="s">
        <v>1058</v>
      </c>
      <c r="BD533">
        <v>0</v>
      </c>
      <c r="BF533" t="s">
        <v>1044</v>
      </c>
      <c r="BG533" s="20">
        <v>41247</v>
      </c>
      <c r="BH533">
        <v>0</v>
      </c>
      <c r="BI533">
        <v>21</v>
      </c>
      <c r="BJ533">
        <v>0</v>
      </c>
      <c r="BK533">
        <v>0</v>
      </c>
      <c r="BM533" s="20">
        <v>41235</v>
      </c>
      <c r="BN533">
        <v>0</v>
      </c>
      <c r="BO533">
        <v>7897801311793</v>
      </c>
      <c r="BR533" t="s">
        <v>1043</v>
      </c>
      <c r="BS533" t="s">
        <v>1043</v>
      </c>
      <c r="BT533" t="s">
        <v>1043</v>
      </c>
      <c r="BV533">
        <v>1</v>
      </c>
      <c r="BW533">
        <v>2</v>
      </c>
      <c r="BY533">
        <v>71</v>
      </c>
      <c r="CA533">
        <v>0</v>
      </c>
      <c r="CB533" t="s">
        <v>1057</v>
      </c>
      <c r="CE533" t="s">
        <v>1043</v>
      </c>
      <c r="CH533" t="s">
        <v>1043</v>
      </c>
      <c r="CN533" t="s">
        <v>1056</v>
      </c>
      <c r="CO533" t="s">
        <v>1043</v>
      </c>
      <c r="CP533">
        <v>1</v>
      </c>
      <c r="CQ533">
        <v>0</v>
      </c>
      <c r="CS533">
        <v>0</v>
      </c>
      <c r="CT533">
        <v>0</v>
      </c>
      <c r="CU533">
        <v>0</v>
      </c>
      <c r="CV533" t="s">
        <v>1045</v>
      </c>
      <c r="CW533">
        <v>0</v>
      </c>
      <c r="CX533">
        <v>0</v>
      </c>
      <c r="CY533">
        <v>0</v>
      </c>
      <c r="CZ533">
        <v>0</v>
      </c>
      <c r="DA533">
        <v>5</v>
      </c>
      <c r="DB533">
        <v>2000</v>
      </c>
      <c r="DC533" t="s">
        <v>1043</v>
      </c>
      <c r="DF533" t="s">
        <v>1055</v>
      </c>
      <c r="DH533">
        <v>0</v>
      </c>
      <c r="DJ533">
        <v>0</v>
      </c>
      <c r="DK533" t="s">
        <v>1053</v>
      </c>
      <c r="DL533">
        <v>0</v>
      </c>
      <c r="DN533">
        <v>0</v>
      </c>
      <c r="DO533" t="s">
        <v>1042</v>
      </c>
      <c r="DP533">
        <v>0</v>
      </c>
      <c r="DQ533">
        <v>0</v>
      </c>
      <c r="DS533">
        <v>0</v>
      </c>
      <c r="DU533">
        <v>1.65</v>
      </c>
      <c r="DW533">
        <v>0</v>
      </c>
      <c r="DX533" t="s">
        <v>1043</v>
      </c>
      <c r="DY533">
        <v>0</v>
      </c>
      <c r="DZ533">
        <v>0</v>
      </c>
      <c r="EA533">
        <v>0</v>
      </c>
      <c r="EB533">
        <v>17897801311790</v>
      </c>
      <c r="ED533" t="s">
        <v>1045</v>
      </c>
      <c r="EE533">
        <v>0</v>
      </c>
      <c r="EF533">
        <v>0</v>
      </c>
      <c r="EL533">
        <v>57897801311798</v>
      </c>
      <c r="EN533" t="s">
        <v>1012</v>
      </c>
      <c r="EQ533" t="s">
        <v>1044</v>
      </c>
      <c r="ES533" t="s">
        <v>1053</v>
      </c>
      <c r="ET533">
        <v>0</v>
      </c>
      <c r="EV533">
        <v>0</v>
      </c>
      <c r="EY533" t="s">
        <v>1052</v>
      </c>
      <c r="EZ533">
        <v>0</v>
      </c>
      <c r="FA533" t="s">
        <v>1043</v>
      </c>
      <c r="FB533">
        <v>0</v>
      </c>
      <c r="FC533">
        <v>0</v>
      </c>
      <c r="FD533" t="s">
        <v>1051</v>
      </c>
      <c r="FE533" t="s">
        <v>1050</v>
      </c>
      <c r="FF533">
        <v>180</v>
      </c>
      <c r="FG533" t="s">
        <v>1050</v>
      </c>
      <c r="FH533">
        <v>27897801311797</v>
      </c>
      <c r="FJ533">
        <v>0</v>
      </c>
      <c r="FK533">
        <v>0</v>
      </c>
      <c r="FP533">
        <v>0</v>
      </c>
      <c r="FR533">
        <v>0</v>
      </c>
      <c r="FS533" t="s">
        <v>1043</v>
      </c>
      <c r="FX533" t="s">
        <v>1042</v>
      </c>
      <c r="FZ533" t="s">
        <v>1048</v>
      </c>
      <c r="GA533">
        <v>0</v>
      </c>
      <c r="GB533" t="s">
        <v>1042</v>
      </c>
      <c r="GE533">
        <v>0</v>
      </c>
      <c r="GG533">
        <v>0</v>
      </c>
      <c r="GN533">
        <v>0</v>
      </c>
      <c r="GO533" t="s">
        <v>1063</v>
      </c>
      <c r="GQ533">
        <v>0</v>
      </c>
      <c r="GU533">
        <v>0</v>
      </c>
      <c r="GY533" t="s">
        <v>1045</v>
      </c>
      <c r="HB533">
        <v>0</v>
      </c>
      <c r="HE533">
        <v>30</v>
      </c>
      <c r="HF533">
        <v>0</v>
      </c>
      <c r="HG533">
        <v>4.5100000000000001E-3</v>
      </c>
      <c r="HK533" t="s">
        <v>1042</v>
      </c>
      <c r="HL533" t="s">
        <v>1048</v>
      </c>
      <c r="HM533" t="s">
        <v>1047</v>
      </c>
      <c r="HN533">
        <v>0</v>
      </c>
      <c r="HO533">
        <v>2</v>
      </c>
      <c r="HP533">
        <v>0.11210000000000001</v>
      </c>
      <c r="HQ533">
        <v>0</v>
      </c>
      <c r="HR533" s="20">
        <v>44221</v>
      </c>
      <c r="HS533" t="s">
        <v>1043</v>
      </c>
      <c r="HT533">
        <v>0</v>
      </c>
      <c r="HU533">
        <v>0</v>
      </c>
      <c r="HW533">
        <v>0</v>
      </c>
      <c r="HX533">
        <v>8110</v>
      </c>
      <c r="HY533">
        <v>1</v>
      </c>
      <c r="HZ533" t="s">
        <v>1045</v>
      </c>
      <c r="IA533">
        <v>5.67</v>
      </c>
      <c r="IB533" t="s">
        <v>1045</v>
      </c>
      <c r="ID533" t="s">
        <v>1045</v>
      </c>
      <c r="IF533">
        <v>3600</v>
      </c>
      <c r="IG533" s="20">
        <v>41247</v>
      </c>
      <c r="II533" t="s">
        <v>1042</v>
      </c>
      <c r="IR533" t="s">
        <v>1045</v>
      </c>
      <c r="IT533">
        <v>0</v>
      </c>
      <c r="IY533" t="s">
        <v>1044</v>
      </c>
      <c r="IZ533" t="s">
        <v>1043</v>
      </c>
      <c r="JC533" t="s">
        <v>1043</v>
      </c>
      <c r="JE533">
        <v>0</v>
      </c>
      <c r="JF533">
        <v>0</v>
      </c>
      <c r="JI533" t="s">
        <v>1042</v>
      </c>
      <c r="JJ533">
        <v>0</v>
      </c>
      <c r="JK533">
        <v>0</v>
      </c>
      <c r="JL533">
        <v>0</v>
      </c>
      <c r="JM533">
        <v>0</v>
      </c>
      <c r="JQ533" t="s">
        <v>1043</v>
      </c>
      <c r="JT533">
        <v>0</v>
      </c>
      <c r="JU533" t="s">
        <v>1042</v>
      </c>
      <c r="JW533">
        <v>0</v>
      </c>
      <c r="KA533">
        <v>0</v>
      </c>
      <c r="KF533">
        <v>0</v>
      </c>
      <c r="KG533">
        <v>0</v>
      </c>
      <c r="KH533">
        <v>0</v>
      </c>
      <c r="KI533">
        <v>0</v>
      </c>
      <c r="KS533" t="s">
        <v>1041</v>
      </c>
      <c r="KT533">
        <v>0</v>
      </c>
      <c r="KU533">
        <v>0</v>
      </c>
      <c r="KV533">
        <v>0</v>
      </c>
      <c r="KX533">
        <v>0</v>
      </c>
      <c r="KZ533">
        <v>0</v>
      </c>
      <c r="LF533">
        <v>0</v>
      </c>
      <c r="LH533">
        <v>32256</v>
      </c>
      <c r="LI533">
        <v>0</v>
      </c>
    </row>
    <row r="534" spans="1:321" x14ac:dyDescent="0.35">
      <c r="A534">
        <v>1</v>
      </c>
      <c r="B534">
        <v>1328</v>
      </c>
      <c r="C534" t="s">
        <v>1177</v>
      </c>
      <c r="D534" t="s">
        <v>1061</v>
      </c>
      <c r="E534" t="s">
        <v>85</v>
      </c>
      <c r="F534">
        <v>1</v>
      </c>
      <c r="G534">
        <v>8890</v>
      </c>
      <c r="H534">
        <v>0</v>
      </c>
      <c r="I534" t="s">
        <v>1017</v>
      </c>
      <c r="M534">
        <v>9.75</v>
      </c>
      <c r="N534">
        <v>0</v>
      </c>
      <c r="Q534">
        <v>511</v>
      </c>
      <c r="R534">
        <v>0</v>
      </c>
      <c r="S534">
        <v>0</v>
      </c>
      <c r="W534" t="s">
        <v>1060</v>
      </c>
      <c r="X534">
        <v>0</v>
      </c>
      <c r="Z534">
        <v>1</v>
      </c>
      <c r="AA534">
        <v>0</v>
      </c>
      <c r="AB534">
        <v>0</v>
      </c>
      <c r="AC534">
        <v>0</v>
      </c>
      <c r="AD534" t="s">
        <v>1042</v>
      </c>
      <c r="AE534">
        <v>0</v>
      </c>
      <c r="AF534">
        <v>0</v>
      </c>
      <c r="AH534">
        <v>0</v>
      </c>
      <c r="AJ534">
        <v>0</v>
      </c>
      <c r="AL534">
        <v>0</v>
      </c>
      <c r="AM534">
        <v>0</v>
      </c>
      <c r="AN534">
        <v>11501001</v>
      </c>
      <c r="AO534">
        <v>0</v>
      </c>
      <c r="AP534">
        <v>1002</v>
      </c>
      <c r="AT534">
        <v>0</v>
      </c>
      <c r="AW534" t="s">
        <v>1053</v>
      </c>
      <c r="AX534">
        <v>0</v>
      </c>
      <c r="AY534" s="20">
        <v>43669</v>
      </c>
      <c r="BA534" s="20">
        <v>43669</v>
      </c>
      <c r="BB534" t="s">
        <v>1058</v>
      </c>
      <c r="BD534">
        <v>0</v>
      </c>
      <c r="BF534" t="s">
        <v>1044</v>
      </c>
      <c r="BG534" t="s">
        <v>1042</v>
      </c>
      <c r="BH534">
        <v>0</v>
      </c>
      <c r="BI534">
        <v>36</v>
      </c>
      <c r="BJ534">
        <v>0</v>
      </c>
      <c r="BK534">
        <v>0</v>
      </c>
      <c r="BM534" t="s">
        <v>1042</v>
      </c>
      <c r="BN534">
        <v>0</v>
      </c>
      <c r="BO534">
        <v>7897801319591</v>
      </c>
      <c r="BS534" t="s">
        <v>1043</v>
      </c>
      <c r="BT534" t="s">
        <v>1043</v>
      </c>
      <c r="BW534">
        <v>2</v>
      </c>
      <c r="BY534">
        <v>78</v>
      </c>
      <c r="CA534">
        <v>0</v>
      </c>
      <c r="CB534" t="s">
        <v>1043</v>
      </c>
      <c r="CE534" t="s">
        <v>1043</v>
      </c>
      <c r="CH534" t="s">
        <v>1043</v>
      </c>
      <c r="CN534" t="s">
        <v>1074</v>
      </c>
      <c r="CO534" t="s">
        <v>1043</v>
      </c>
      <c r="CP534">
        <v>1</v>
      </c>
      <c r="CQ534">
        <v>0</v>
      </c>
      <c r="CS534">
        <v>0</v>
      </c>
      <c r="CT534">
        <v>0</v>
      </c>
      <c r="CU534">
        <v>0</v>
      </c>
      <c r="CV534" t="s">
        <v>1045</v>
      </c>
      <c r="CW534">
        <v>0</v>
      </c>
      <c r="CX534">
        <v>0</v>
      </c>
      <c r="CY534">
        <v>0</v>
      </c>
      <c r="CZ534">
        <v>0</v>
      </c>
      <c r="DB534">
        <v>0</v>
      </c>
      <c r="DC534" t="s">
        <v>1043</v>
      </c>
      <c r="DF534" t="s">
        <v>1055</v>
      </c>
      <c r="DH534">
        <v>0</v>
      </c>
      <c r="DJ534">
        <v>0</v>
      </c>
      <c r="DK534" t="s">
        <v>1053</v>
      </c>
      <c r="DL534">
        <v>0</v>
      </c>
      <c r="DN534">
        <v>0</v>
      </c>
      <c r="DO534" t="s">
        <v>1042</v>
      </c>
      <c r="DP534">
        <v>0</v>
      </c>
      <c r="DQ534">
        <v>0</v>
      </c>
      <c r="DS534">
        <v>0</v>
      </c>
      <c r="DU534">
        <v>0</v>
      </c>
      <c r="DW534">
        <v>0</v>
      </c>
      <c r="DX534" t="s">
        <v>1043</v>
      </c>
      <c r="DY534">
        <v>0</v>
      </c>
      <c r="DZ534">
        <v>0</v>
      </c>
      <c r="EA534">
        <v>0</v>
      </c>
      <c r="EB534">
        <v>17897801319598</v>
      </c>
      <c r="ED534" t="s">
        <v>1045</v>
      </c>
      <c r="EE534">
        <v>0</v>
      </c>
      <c r="EF534">
        <v>0</v>
      </c>
      <c r="EL534">
        <v>57897801319596</v>
      </c>
      <c r="EQ534" t="s">
        <v>1044</v>
      </c>
      <c r="ES534" t="s">
        <v>1053</v>
      </c>
      <c r="ET534">
        <v>0</v>
      </c>
      <c r="EV534">
        <v>0</v>
      </c>
      <c r="EY534" t="s">
        <v>1052</v>
      </c>
      <c r="EZ534">
        <v>0</v>
      </c>
      <c r="FA534" t="s">
        <v>1043</v>
      </c>
      <c r="FB534">
        <v>0</v>
      </c>
      <c r="FC534">
        <v>0</v>
      </c>
      <c r="FD534" t="s">
        <v>1057</v>
      </c>
      <c r="FE534" t="s">
        <v>1050</v>
      </c>
      <c r="FF534">
        <v>0</v>
      </c>
      <c r="FG534" t="s">
        <v>1050</v>
      </c>
      <c r="FH534">
        <v>27897801319595</v>
      </c>
      <c r="FJ534">
        <v>0</v>
      </c>
      <c r="FK534">
        <v>0</v>
      </c>
      <c r="FP534">
        <v>0</v>
      </c>
      <c r="FQ534" t="s">
        <v>1044</v>
      </c>
      <c r="FR534">
        <v>0</v>
      </c>
      <c r="FS534" t="s">
        <v>1043</v>
      </c>
      <c r="FX534" t="s">
        <v>1042</v>
      </c>
      <c r="FZ534" t="s">
        <v>1048</v>
      </c>
      <c r="GA534">
        <v>0</v>
      </c>
      <c r="GB534" t="s">
        <v>1042</v>
      </c>
      <c r="GD534">
        <v>16</v>
      </c>
      <c r="GE534">
        <v>0</v>
      </c>
      <c r="GG534">
        <v>0</v>
      </c>
      <c r="GN534">
        <v>0</v>
      </c>
      <c r="GO534" t="s">
        <v>1049</v>
      </c>
      <c r="GQ534">
        <v>0</v>
      </c>
      <c r="GU534">
        <v>0</v>
      </c>
      <c r="GY534" t="s">
        <v>1045</v>
      </c>
      <c r="HB534">
        <v>0</v>
      </c>
      <c r="HE534">
        <v>0</v>
      </c>
      <c r="HF534">
        <v>0</v>
      </c>
      <c r="HG534">
        <v>0</v>
      </c>
      <c r="HK534" t="s">
        <v>1042</v>
      </c>
      <c r="HM534" t="s">
        <v>1047</v>
      </c>
      <c r="HN534">
        <v>0</v>
      </c>
      <c r="HP534">
        <v>0</v>
      </c>
      <c r="HQ534">
        <v>0</v>
      </c>
      <c r="HR534" t="s">
        <v>1042</v>
      </c>
      <c r="HS534" t="s">
        <v>1043</v>
      </c>
      <c r="HT534">
        <v>0</v>
      </c>
      <c r="HU534">
        <v>0</v>
      </c>
      <c r="HW534">
        <v>0</v>
      </c>
      <c r="HX534">
        <v>0</v>
      </c>
      <c r="HY534">
        <v>0</v>
      </c>
      <c r="HZ534" t="s">
        <v>1045</v>
      </c>
      <c r="IA534">
        <v>0</v>
      </c>
      <c r="IB534" t="s">
        <v>1045</v>
      </c>
      <c r="ID534" t="s">
        <v>1045</v>
      </c>
      <c r="IF534">
        <v>0</v>
      </c>
      <c r="IG534" t="s">
        <v>1042</v>
      </c>
      <c r="IH534" t="s">
        <v>1046</v>
      </c>
      <c r="II534" t="s">
        <v>1042</v>
      </c>
      <c r="IR534" t="s">
        <v>1045</v>
      </c>
      <c r="IT534">
        <v>0</v>
      </c>
      <c r="IY534" t="s">
        <v>1044</v>
      </c>
      <c r="IZ534" t="s">
        <v>1043</v>
      </c>
      <c r="JA534" t="s">
        <v>1043</v>
      </c>
      <c r="JC534" t="s">
        <v>1043</v>
      </c>
      <c r="JE534">
        <v>0</v>
      </c>
      <c r="JF534">
        <v>0</v>
      </c>
      <c r="JI534" t="s">
        <v>1042</v>
      </c>
      <c r="JJ534">
        <v>0</v>
      </c>
      <c r="JK534">
        <v>0</v>
      </c>
      <c r="JL534">
        <v>0</v>
      </c>
      <c r="JM534">
        <v>0</v>
      </c>
      <c r="JQ534" t="s">
        <v>1043</v>
      </c>
      <c r="JT534">
        <v>0</v>
      </c>
      <c r="JU534" t="s">
        <v>1042</v>
      </c>
      <c r="JW534">
        <v>0</v>
      </c>
      <c r="KA534">
        <v>0</v>
      </c>
      <c r="KF534">
        <v>0</v>
      </c>
      <c r="KG534">
        <v>0</v>
      </c>
      <c r="KH534">
        <v>0</v>
      </c>
      <c r="KI534">
        <v>0</v>
      </c>
      <c r="KS534" t="s">
        <v>1073</v>
      </c>
      <c r="KT534">
        <v>0</v>
      </c>
      <c r="KU534">
        <v>0</v>
      </c>
      <c r="KV534">
        <v>0</v>
      </c>
      <c r="KX534">
        <v>0</v>
      </c>
      <c r="KY534" t="s">
        <v>1045</v>
      </c>
      <c r="KZ534">
        <v>0</v>
      </c>
      <c r="LF534">
        <v>0</v>
      </c>
      <c r="LH534">
        <v>0</v>
      </c>
      <c r="LI534">
        <v>0</v>
      </c>
    </row>
    <row r="535" spans="1:321" x14ac:dyDescent="0.35">
      <c r="A535">
        <v>1</v>
      </c>
      <c r="B535">
        <v>1329</v>
      </c>
      <c r="C535" t="s">
        <v>1176</v>
      </c>
      <c r="D535" t="s">
        <v>1061</v>
      </c>
      <c r="E535" t="s">
        <v>85</v>
      </c>
      <c r="F535">
        <v>1</v>
      </c>
      <c r="G535">
        <v>8890</v>
      </c>
      <c r="H535">
        <v>0</v>
      </c>
      <c r="I535" t="s">
        <v>1017</v>
      </c>
      <c r="M535">
        <v>9.75</v>
      </c>
      <c r="N535">
        <v>0</v>
      </c>
      <c r="Q535">
        <v>511</v>
      </c>
      <c r="R535">
        <v>0</v>
      </c>
      <c r="S535">
        <v>0</v>
      </c>
      <c r="W535" t="s">
        <v>1060</v>
      </c>
      <c r="X535">
        <v>0</v>
      </c>
      <c r="Z535">
        <v>1</v>
      </c>
      <c r="AA535">
        <v>0</v>
      </c>
      <c r="AB535">
        <v>0</v>
      </c>
      <c r="AC535">
        <v>0</v>
      </c>
      <c r="AD535" t="s">
        <v>1042</v>
      </c>
      <c r="AE535">
        <v>0</v>
      </c>
      <c r="AF535">
        <v>0</v>
      </c>
      <c r="AH535">
        <v>0</v>
      </c>
      <c r="AJ535">
        <v>0</v>
      </c>
      <c r="AL535">
        <v>0</v>
      </c>
      <c r="AM535">
        <v>0</v>
      </c>
      <c r="AN535">
        <v>11501001</v>
      </c>
      <c r="AO535">
        <v>0</v>
      </c>
      <c r="AP535">
        <v>1002</v>
      </c>
      <c r="AT535">
        <v>0</v>
      </c>
      <c r="AW535" t="s">
        <v>1053</v>
      </c>
      <c r="AX535">
        <v>0</v>
      </c>
      <c r="AY535" s="20">
        <v>43669</v>
      </c>
      <c r="BA535" s="20">
        <v>43669</v>
      </c>
      <c r="BB535" t="s">
        <v>1058</v>
      </c>
      <c r="BD535">
        <v>0</v>
      </c>
      <c r="BF535" t="s">
        <v>1044</v>
      </c>
      <c r="BG535" t="s">
        <v>1042</v>
      </c>
      <c r="BH535">
        <v>0</v>
      </c>
      <c r="BI535">
        <v>36</v>
      </c>
      <c r="BJ535">
        <v>0</v>
      </c>
      <c r="BK535">
        <v>0</v>
      </c>
      <c r="BM535" t="s">
        <v>1042</v>
      </c>
      <c r="BN535">
        <v>0</v>
      </c>
      <c r="BO535">
        <v>7897801319607</v>
      </c>
      <c r="BS535" t="s">
        <v>1043</v>
      </c>
      <c r="BT535" t="s">
        <v>1043</v>
      </c>
      <c r="BW535">
        <v>2</v>
      </c>
      <c r="BY535">
        <v>78</v>
      </c>
      <c r="CA535">
        <v>0</v>
      </c>
      <c r="CB535" t="s">
        <v>1043</v>
      </c>
      <c r="CE535" t="s">
        <v>1043</v>
      </c>
      <c r="CH535" t="s">
        <v>1043</v>
      </c>
      <c r="CN535" t="s">
        <v>1074</v>
      </c>
      <c r="CO535" t="s">
        <v>1043</v>
      </c>
      <c r="CP535">
        <v>1</v>
      </c>
      <c r="CQ535">
        <v>0</v>
      </c>
      <c r="CS535">
        <v>0</v>
      </c>
      <c r="CT535">
        <v>0</v>
      </c>
      <c r="CU535">
        <v>0</v>
      </c>
      <c r="CV535" t="s">
        <v>1045</v>
      </c>
      <c r="CW535">
        <v>0</v>
      </c>
      <c r="CX535">
        <v>0</v>
      </c>
      <c r="CY535">
        <v>0</v>
      </c>
      <c r="CZ535">
        <v>0</v>
      </c>
      <c r="DB535">
        <v>0</v>
      </c>
      <c r="DC535" t="s">
        <v>1043</v>
      </c>
      <c r="DF535" t="s">
        <v>1055</v>
      </c>
      <c r="DH535">
        <v>0</v>
      </c>
      <c r="DJ535">
        <v>0</v>
      </c>
      <c r="DK535" t="s">
        <v>1053</v>
      </c>
      <c r="DL535">
        <v>0</v>
      </c>
      <c r="DN535">
        <v>0</v>
      </c>
      <c r="DO535" t="s">
        <v>1042</v>
      </c>
      <c r="DP535">
        <v>0</v>
      </c>
      <c r="DQ535">
        <v>0</v>
      </c>
      <c r="DS535">
        <v>0</v>
      </c>
      <c r="DU535">
        <v>0</v>
      </c>
      <c r="DW535">
        <v>0</v>
      </c>
      <c r="DX535" t="s">
        <v>1043</v>
      </c>
      <c r="DY535">
        <v>0</v>
      </c>
      <c r="DZ535">
        <v>0</v>
      </c>
      <c r="EA535">
        <v>0</v>
      </c>
      <c r="EB535">
        <v>17897801319604</v>
      </c>
      <c r="ED535" t="s">
        <v>1045</v>
      </c>
      <c r="EE535">
        <v>0</v>
      </c>
      <c r="EF535">
        <v>0</v>
      </c>
      <c r="EL535">
        <v>57897801319602</v>
      </c>
      <c r="EQ535" t="s">
        <v>1044</v>
      </c>
      <c r="ES535" t="s">
        <v>1053</v>
      </c>
      <c r="ET535">
        <v>0</v>
      </c>
      <c r="EV535">
        <v>0</v>
      </c>
      <c r="EY535" t="s">
        <v>1052</v>
      </c>
      <c r="EZ535">
        <v>0</v>
      </c>
      <c r="FA535" t="s">
        <v>1043</v>
      </c>
      <c r="FB535">
        <v>0</v>
      </c>
      <c r="FC535">
        <v>0</v>
      </c>
      <c r="FD535" t="s">
        <v>1057</v>
      </c>
      <c r="FE535" t="s">
        <v>1050</v>
      </c>
      <c r="FF535">
        <v>0</v>
      </c>
      <c r="FG535" t="s">
        <v>1050</v>
      </c>
      <c r="FH535">
        <v>27897801319601</v>
      </c>
      <c r="FJ535">
        <v>0</v>
      </c>
      <c r="FK535">
        <v>0</v>
      </c>
      <c r="FP535">
        <v>0</v>
      </c>
      <c r="FQ535" t="s">
        <v>1044</v>
      </c>
      <c r="FR535">
        <v>0</v>
      </c>
      <c r="FS535" t="s">
        <v>1043</v>
      </c>
      <c r="FX535" t="s">
        <v>1042</v>
      </c>
      <c r="FZ535" t="s">
        <v>1048</v>
      </c>
      <c r="GA535">
        <v>0</v>
      </c>
      <c r="GB535" t="s">
        <v>1042</v>
      </c>
      <c r="GD535">
        <v>16</v>
      </c>
      <c r="GE535">
        <v>0</v>
      </c>
      <c r="GG535">
        <v>0</v>
      </c>
      <c r="GN535">
        <v>0</v>
      </c>
      <c r="GO535" t="s">
        <v>1049</v>
      </c>
      <c r="GQ535">
        <v>0</v>
      </c>
      <c r="GU535">
        <v>0</v>
      </c>
      <c r="GY535" t="s">
        <v>1045</v>
      </c>
      <c r="HB535">
        <v>0</v>
      </c>
      <c r="HE535">
        <v>0</v>
      </c>
      <c r="HF535">
        <v>0</v>
      </c>
      <c r="HG535">
        <v>0</v>
      </c>
      <c r="HK535" t="s">
        <v>1042</v>
      </c>
      <c r="HM535" t="s">
        <v>1047</v>
      </c>
      <c r="HN535">
        <v>0</v>
      </c>
      <c r="HP535">
        <v>0</v>
      </c>
      <c r="HQ535">
        <v>0</v>
      </c>
      <c r="HR535" t="s">
        <v>1042</v>
      </c>
      <c r="HS535" t="s">
        <v>1043</v>
      </c>
      <c r="HT535">
        <v>0</v>
      </c>
      <c r="HU535">
        <v>0</v>
      </c>
      <c r="HW535">
        <v>0</v>
      </c>
      <c r="HX535">
        <v>0</v>
      </c>
      <c r="HY535">
        <v>0</v>
      </c>
      <c r="HZ535" t="s">
        <v>1045</v>
      </c>
      <c r="IA535">
        <v>0</v>
      </c>
      <c r="IB535" t="s">
        <v>1045</v>
      </c>
      <c r="ID535" t="s">
        <v>1045</v>
      </c>
      <c r="IF535">
        <v>0</v>
      </c>
      <c r="IG535" t="s">
        <v>1042</v>
      </c>
      <c r="IH535" t="s">
        <v>1046</v>
      </c>
      <c r="II535" t="s">
        <v>1042</v>
      </c>
      <c r="IR535" t="s">
        <v>1045</v>
      </c>
      <c r="IT535">
        <v>0</v>
      </c>
      <c r="IY535" t="s">
        <v>1044</v>
      </c>
      <c r="IZ535" t="s">
        <v>1043</v>
      </c>
      <c r="JA535" t="s">
        <v>1043</v>
      </c>
      <c r="JC535" t="s">
        <v>1043</v>
      </c>
      <c r="JE535">
        <v>0</v>
      </c>
      <c r="JF535">
        <v>0</v>
      </c>
      <c r="JI535" t="s">
        <v>1042</v>
      </c>
      <c r="JJ535">
        <v>0</v>
      </c>
      <c r="JK535">
        <v>0</v>
      </c>
      <c r="JL535">
        <v>0</v>
      </c>
      <c r="JM535">
        <v>0</v>
      </c>
      <c r="JQ535" t="s">
        <v>1043</v>
      </c>
      <c r="JT535">
        <v>0</v>
      </c>
      <c r="JU535" t="s">
        <v>1042</v>
      </c>
      <c r="JW535">
        <v>0</v>
      </c>
      <c r="KA535">
        <v>0</v>
      </c>
      <c r="KF535">
        <v>0</v>
      </c>
      <c r="KG535">
        <v>0</v>
      </c>
      <c r="KH535">
        <v>0</v>
      </c>
      <c r="KI535">
        <v>0</v>
      </c>
      <c r="KS535" t="s">
        <v>1073</v>
      </c>
      <c r="KT535">
        <v>0</v>
      </c>
      <c r="KU535">
        <v>0</v>
      </c>
      <c r="KV535">
        <v>0</v>
      </c>
      <c r="KX535">
        <v>0</v>
      </c>
      <c r="KY535" t="s">
        <v>1045</v>
      </c>
      <c r="KZ535">
        <v>0</v>
      </c>
      <c r="LF535">
        <v>0</v>
      </c>
      <c r="LH535">
        <v>0</v>
      </c>
      <c r="LI535">
        <v>0</v>
      </c>
    </row>
    <row r="536" spans="1:321" x14ac:dyDescent="0.35">
      <c r="A536">
        <v>1</v>
      </c>
      <c r="B536">
        <v>13291</v>
      </c>
      <c r="C536" t="s">
        <v>1175</v>
      </c>
      <c r="D536" t="s">
        <v>1139</v>
      </c>
      <c r="E536" t="s">
        <v>85</v>
      </c>
      <c r="F536">
        <v>80</v>
      </c>
      <c r="G536">
        <v>9000</v>
      </c>
      <c r="H536">
        <v>0</v>
      </c>
      <c r="I536" t="s">
        <v>1174</v>
      </c>
      <c r="L536">
        <v>0</v>
      </c>
      <c r="M536">
        <v>0</v>
      </c>
      <c r="N536">
        <v>0</v>
      </c>
      <c r="R536">
        <v>0</v>
      </c>
      <c r="S536">
        <v>0</v>
      </c>
      <c r="W536" t="s">
        <v>1060</v>
      </c>
      <c r="X536">
        <v>0</v>
      </c>
      <c r="Z536">
        <v>1</v>
      </c>
      <c r="AA536">
        <v>0</v>
      </c>
      <c r="AB536">
        <v>0</v>
      </c>
      <c r="AC536">
        <v>0.36249999999999999</v>
      </c>
      <c r="AD536" s="20">
        <v>44496</v>
      </c>
      <c r="AE536">
        <v>0.4</v>
      </c>
      <c r="AF536">
        <v>0</v>
      </c>
      <c r="AH536">
        <v>0</v>
      </c>
      <c r="AJ536">
        <v>0</v>
      </c>
      <c r="AL536">
        <v>1</v>
      </c>
      <c r="AM536">
        <v>0</v>
      </c>
      <c r="AN536">
        <v>437711</v>
      </c>
      <c r="AO536">
        <v>0</v>
      </c>
      <c r="AP536">
        <v>1002</v>
      </c>
      <c r="AT536">
        <v>0</v>
      </c>
      <c r="AU536" t="s">
        <v>1059</v>
      </c>
      <c r="AW536" t="s">
        <v>1053</v>
      </c>
      <c r="AX536">
        <v>0</v>
      </c>
      <c r="AY536" s="20">
        <v>40785</v>
      </c>
      <c r="BA536" s="20">
        <v>40785</v>
      </c>
      <c r="BB536" t="s">
        <v>1058</v>
      </c>
      <c r="BD536">
        <v>0</v>
      </c>
      <c r="BF536" t="s">
        <v>1043</v>
      </c>
      <c r="BG536" t="s">
        <v>1042</v>
      </c>
      <c r="BH536">
        <v>0</v>
      </c>
      <c r="BI536">
        <v>1</v>
      </c>
      <c r="BJ536">
        <v>0</v>
      </c>
      <c r="BK536">
        <v>0</v>
      </c>
      <c r="BM536" t="s">
        <v>1042</v>
      </c>
      <c r="BN536">
        <v>0</v>
      </c>
      <c r="BR536" t="s">
        <v>1043</v>
      </c>
      <c r="BS536" t="s">
        <v>1043</v>
      </c>
      <c r="BT536" t="s">
        <v>1043</v>
      </c>
      <c r="BW536">
        <v>83</v>
      </c>
      <c r="CA536">
        <v>0</v>
      </c>
      <c r="CB536" t="s">
        <v>1057</v>
      </c>
      <c r="CE536" t="s">
        <v>1043</v>
      </c>
      <c r="CH536" t="s">
        <v>1043</v>
      </c>
      <c r="CN536" t="s">
        <v>1056</v>
      </c>
      <c r="CO536" t="s">
        <v>1043</v>
      </c>
      <c r="CP536">
        <v>1</v>
      </c>
      <c r="CQ536">
        <v>0</v>
      </c>
      <c r="CS536">
        <v>0</v>
      </c>
      <c r="CT536">
        <v>0</v>
      </c>
      <c r="CU536">
        <v>0</v>
      </c>
      <c r="CV536" t="s">
        <v>1045</v>
      </c>
      <c r="CW536">
        <v>0</v>
      </c>
      <c r="CX536">
        <v>0</v>
      </c>
      <c r="CY536">
        <v>0</v>
      </c>
      <c r="CZ536">
        <v>0</v>
      </c>
      <c r="DB536">
        <v>0</v>
      </c>
      <c r="DC536" t="s">
        <v>1043</v>
      </c>
      <c r="DF536" t="s">
        <v>1055</v>
      </c>
      <c r="DH536">
        <v>0</v>
      </c>
      <c r="DJ536">
        <v>0</v>
      </c>
      <c r="DK536" t="s">
        <v>1053</v>
      </c>
      <c r="DL536">
        <v>0</v>
      </c>
      <c r="DN536">
        <v>0</v>
      </c>
      <c r="DO536" t="s">
        <v>1042</v>
      </c>
      <c r="DP536">
        <v>0</v>
      </c>
      <c r="DQ536">
        <v>0</v>
      </c>
      <c r="DS536">
        <v>0</v>
      </c>
      <c r="DU536">
        <v>0</v>
      </c>
      <c r="DW536">
        <v>0</v>
      </c>
      <c r="DX536" t="s">
        <v>1043</v>
      </c>
      <c r="DY536">
        <v>0</v>
      </c>
      <c r="DZ536">
        <v>0</v>
      </c>
      <c r="EA536">
        <v>0</v>
      </c>
      <c r="ED536" t="s">
        <v>1045</v>
      </c>
      <c r="EE536">
        <v>0</v>
      </c>
      <c r="EF536">
        <v>0</v>
      </c>
      <c r="EQ536" t="s">
        <v>1044</v>
      </c>
      <c r="ES536" t="s">
        <v>1053</v>
      </c>
      <c r="ET536">
        <v>0</v>
      </c>
      <c r="EV536">
        <v>0</v>
      </c>
      <c r="EY536" t="s">
        <v>1052</v>
      </c>
      <c r="EZ536">
        <v>0</v>
      </c>
      <c r="FA536" t="s">
        <v>1043</v>
      </c>
      <c r="FB536">
        <v>0</v>
      </c>
      <c r="FC536">
        <v>0</v>
      </c>
      <c r="FE536" t="s">
        <v>1050</v>
      </c>
      <c r="FF536">
        <v>0</v>
      </c>
      <c r="FG536" t="s">
        <v>1050</v>
      </c>
      <c r="FJ536">
        <v>0</v>
      </c>
      <c r="FK536">
        <v>0</v>
      </c>
      <c r="FP536">
        <v>0</v>
      </c>
      <c r="FR536">
        <v>0</v>
      </c>
      <c r="FS536" t="s">
        <v>1043</v>
      </c>
      <c r="FX536" t="s">
        <v>1042</v>
      </c>
      <c r="FZ536" t="s">
        <v>1048</v>
      </c>
      <c r="GA536">
        <v>0</v>
      </c>
      <c r="GB536" t="s">
        <v>1042</v>
      </c>
      <c r="GE536">
        <v>0</v>
      </c>
      <c r="GG536">
        <v>0</v>
      </c>
      <c r="GN536">
        <v>0</v>
      </c>
      <c r="GO536" t="s">
        <v>1063</v>
      </c>
      <c r="GQ536">
        <v>0</v>
      </c>
      <c r="GU536">
        <v>0</v>
      </c>
      <c r="GY536" t="s">
        <v>1045</v>
      </c>
      <c r="HB536">
        <v>0</v>
      </c>
      <c r="HE536">
        <v>0</v>
      </c>
      <c r="HF536">
        <v>0</v>
      </c>
      <c r="HG536">
        <v>0</v>
      </c>
      <c r="HK536" t="s">
        <v>1042</v>
      </c>
      <c r="HM536" t="s">
        <v>1047</v>
      </c>
      <c r="HN536">
        <v>0</v>
      </c>
      <c r="HP536">
        <v>0</v>
      </c>
      <c r="HQ536">
        <v>0</v>
      </c>
      <c r="HR536" t="s">
        <v>1042</v>
      </c>
      <c r="HS536" t="s">
        <v>1043</v>
      </c>
      <c r="HT536">
        <v>0</v>
      </c>
      <c r="HU536">
        <v>0</v>
      </c>
      <c r="HW536">
        <v>0</v>
      </c>
      <c r="HX536">
        <v>0</v>
      </c>
      <c r="HY536">
        <v>0</v>
      </c>
      <c r="HZ536" t="s">
        <v>1045</v>
      </c>
      <c r="IA536">
        <v>0</v>
      </c>
      <c r="IB536" t="s">
        <v>1045</v>
      </c>
      <c r="ID536" t="s">
        <v>1045</v>
      </c>
      <c r="IF536">
        <v>0</v>
      </c>
      <c r="IG536" t="s">
        <v>1042</v>
      </c>
      <c r="II536" t="s">
        <v>1042</v>
      </c>
      <c r="IR536" t="s">
        <v>1045</v>
      </c>
      <c r="IT536">
        <v>0</v>
      </c>
      <c r="IY536" t="s">
        <v>1044</v>
      </c>
      <c r="IZ536" t="s">
        <v>1043</v>
      </c>
      <c r="JC536" t="s">
        <v>1043</v>
      </c>
      <c r="JE536">
        <v>0</v>
      </c>
      <c r="JF536">
        <v>0</v>
      </c>
      <c r="JI536" t="s">
        <v>1042</v>
      </c>
      <c r="JJ536">
        <v>0</v>
      </c>
      <c r="JK536">
        <v>0</v>
      </c>
      <c r="JL536">
        <v>0</v>
      </c>
      <c r="JM536">
        <v>0</v>
      </c>
      <c r="JQ536" t="s">
        <v>1043</v>
      </c>
      <c r="JT536">
        <v>0</v>
      </c>
      <c r="JU536" t="s">
        <v>1042</v>
      </c>
      <c r="JW536">
        <v>0</v>
      </c>
      <c r="KA536">
        <v>0</v>
      </c>
      <c r="KF536">
        <v>0</v>
      </c>
      <c r="KG536">
        <v>0</v>
      </c>
      <c r="KH536">
        <v>0</v>
      </c>
      <c r="KI536">
        <v>0</v>
      </c>
      <c r="KS536" t="s">
        <v>1073</v>
      </c>
      <c r="KT536">
        <v>0</v>
      </c>
      <c r="KU536">
        <v>0</v>
      </c>
      <c r="KV536">
        <v>0</v>
      </c>
      <c r="KX536">
        <v>0</v>
      </c>
      <c r="KZ536">
        <v>0</v>
      </c>
      <c r="LF536">
        <v>0</v>
      </c>
      <c r="LH536">
        <v>0</v>
      </c>
      <c r="LI536">
        <v>0</v>
      </c>
    </row>
    <row r="537" spans="1:321" x14ac:dyDescent="0.35">
      <c r="A537">
        <v>1</v>
      </c>
      <c r="B537">
        <v>1330</v>
      </c>
      <c r="C537" t="s">
        <v>1173</v>
      </c>
      <c r="D537" t="s">
        <v>1061</v>
      </c>
      <c r="E537" t="s">
        <v>85</v>
      </c>
      <c r="F537">
        <v>1</v>
      </c>
      <c r="G537">
        <v>8890</v>
      </c>
      <c r="H537">
        <v>0</v>
      </c>
      <c r="I537" t="s">
        <v>1017</v>
      </c>
      <c r="M537">
        <v>9.75</v>
      </c>
      <c r="N537">
        <v>0</v>
      </c>
      <c r="Q537">
        <v>511</v>
      </c>
      <c r="R537">
        <v>0</v>
      </c>
      <c r="S537">
        <v>0</v>
      </c>
      <c r="W537" t="s">
        <v>1060</v>
      </c>
      <c r="X537">
        <v>0</v>
      </c>
      <c r="Z537">
        <v>1</v>
      </c>
      <c r="AA537">
        <v>0</v>
      </c>
      <c r="AB537">
        <v>0</v>
      </c>
      <c r="AC537">
        <v>0</v>
      </c>
      <c r="AD537" t="s">
        <v>1042</v>
      </c>
      <c r="AE537">
        <v>0</v>
      </c>
      <c r="AF537">
        <v>0</v>
      </c>
      <c r="AH537">
        <v>0</v>
      </c>
      <c r="AJ537">
        <v>0</v>
      </c>
      <c r="AL537">
        <v>0</v>
      </c>
      <c r="AM537">
        <v>0</v>
      </c>
      <c r="AN537">
        <v>11501001</v>
      </c>
      <c r="AO537">
        <v>0</v>
      </c>
      <c r="AP537">
        <v>1002</v>
      </c>
      <c r="AT537">
        <v>0</v>
      </c>
      <c r="AW537" t="s">
        <v>1053</v>
      </c>
      <c r="AX537">
        <v>0</v>
      </c>
      <c r="AY537" s="20">
        <v>43669</v>
      </c>
      <c r="BA537" s="20">
        <v>43669</v>
      </c>
      <c r="BB537" t="s">
        <v>1058</v>
      </c>
      <c r="BD537">
        <v>0</v>
      </c>
      <c r="BF537" t="s">
        <v>1044</v>
      </c>
      <c r="BG537" t="s">
        <v>1042</v>
      </c>
      <c r="BH537">
        <v>0</v>
      </c>
      <c r="BI537">
        <v>36</v>
      </c>
      <c r="BJ537">
        <v>0</v>
      </c>
      <c r="BK537">
        <v>0</v>
      </c>
      <c r="BM537" t="s">
        <v>1042</v>
      </c>
      <c r="BN537">
        <v>0</v>
      </c>
      <c r="BO537">
        <v>7897801319614</v>
      </c>
      <c r="BS537" t="s">
        <v>1043</v>
      </c>
      <c r="BT537" t="s">
        <v>1043</v>
      </c>
      <c r="BW537">
        <v>2</v>
      </c>
      <c r="BY537">
        <v>78</v>
      </c>
      <c r="CA537">
        <v>0</v>
      </c>
      <c r="CB537" t="s">
        <v>1043</v>
      </c>
      <c r="CE537" t="s">
        <v>1043</v>
      </c>
      <c r="CH537" t="s">
        <v>1043</v>
      </c>
      <c r="CN537" t="s">
        <v>1074</v>
      </c>
      <c r="CO537" t="s">
        <v>1043</v>
      </c>
      <c r="CP537">
        <v>1</v>
      </c>
      <c r="CQ537">
        <v>0</v>
      </c>
      <c r="CS537">
        <v>0</v>
      </c>
      <c r="CT537">
        <v>0</v>
      </c>
      <c r="CU537">
        <v>0</v>
      </c>
      <c r="CV537" t="s">
        <v>1045</v>
      </c>
      <c r="CW537">
        <v>0</v>
      </c>
      <c r="CX537">
        <v>0</v>
      </c>
      <c r="CY537">
        <v>0</v>
      </c>
      <c r="CZ537">
        <v>0</v>
      </c>
      <c r="DB537">
        <v>0</v>
      </c>
      <c r="DC537" t="s">
        <v>1043</v>
      </c>
      <c r="DF537" t="s">
        <v>1055</v>
      </c>
      <c r="DH537">
        <v>0</v>
      </c>
      <c r="DJ537">
        <v>0</v>
      </c>
      <c r="DK537" t="s">
        <v>1053</v>
      </c>
      <c r="DL537">
        <v>0</v>
      </c>
      <c r="DN537">
        <v>0</v>
      </c>
      <c r="DO537" t="s">
        <v>1042</v>
      </c>
      <c r="DP537">
        <v>0</v>
      </c>
      <c r="DQ537">
        <v>0</v>
      </c>
      <c r="DS537">
        <v>0</v>
      </c>
      <c r="DU537">
        <v>0</v>
      </c>
      <c r="DW537">
        <v>0</v>
      </c>
      <c r="DX537" t="s">
        <v>1043</v>
      </c>
      <c r="DY537">
        <v>0</v>
      </c>
      <c r="DZ537">
        <v>0</v>
      </c>
      <c r="EA537">
        <v>0</v>
      </c>
      <c r="EB537">
        <v>17897801319611</v>
      </c>
      <c r="ED537" t="s">
        <v>1045</v>
      </c>
      <c r="EE537">
        <v>0</v>
      </c>
      <c r="EF537">
        <v>0</v>
      </c>
      <c r="EL537">
        <v>57897801319619</v>
      </c>
      <c r="EQ537" t="s">
        <v>1044</v>
      </c>
      <c r="ES537" t="s">
        <v>1053</v>
      </c>
      <c r="ET537">
        <v>0</v>
      </c>
      <c r="EV537">
        <v>0</v>
      </c>
      <c r="EY537" t="s">
        <v>1052</v>
      </c>
      <c r="EZ537">
        <v>0</v>
      </c>
      <c r="FA537" t="s">
        <v>1043</v>
      </c>
      <c r="FB537">
        <v>0</v>
      </c>
      <c r="FC537">
        <v>0</v>
      </c>
      <c r="FD537" t="s">
        <v>1057</v>
      </c>
      <c r="FE537" t="s">
        <v>1050</v>
      </c>
      <c r="FF537">
        <v>0</v>
      </c>
      <c r="FG537" t="s">
        <v>1050</v>
      </c>
      <c r="FH537">
        <v>27897801319618</v>
      </c>
      <c r="FJ537">
        <v>0</v>
      </c>
      <c r="FK537">
        <v>0</v>
      </c>
      <c r="FP537">
        <v>0</v>
      </c>
      <c r="FQ537" t="s">
        <v>1044</v>
      </c>
      <c r="FR537">
        <v>0</v>
      </c>
      <c r="FS537" t="s">
        <v>1043</v>
      </c>
      <c r="FX537" t="s">
        <v>1042</v>
      </c>
      <c r="FZ537" t="s">
        <v>1048</v>
      </c>
      <c r="GA537">
        <v>0</v>
      </c>
      <c r="GB537" t="s">
        <v>1042</v>
      </c>
      <c r="GD537">
        <v>16</v>
      </c>
      <c r="GE537">
        <v>0</v>
      </c>
      <c r="GG537">
        <v>0</v>
      </c>
      <c r="GN537">
        <v>0</v>
      </c>
      <c r="GO537" t="s">
        <v>1049</v>
      </c>
      <c r="GQ537">
        <v>0</v>
      </c>
      <c r="GU537">
        <v>0</v>
      </c>
      <c r="GY537" t="s">
        <v>1045</v>
      </c>
      <c r="HB537">
        <v>0</v>
      </c>
      <c r="HE537">
        <v>0</v>
      </c>
      <c r="HF537">
        <v>0</v>
      </c>
      <c r="HG537">
        <v>0</v>
      </c>
      <c r="HK537" t="s">
        <v>1042</v>
      </c>
      <c r="HM537" t="s">
        <v>1047</v>
      </c>
      <c r="HN537">
        <v>0</v>
      </c>
      <c r="HP537">
        <v>0</v>
      </c>
      <c r="HQ537">
        <v>0</v>
      </c>
      <c r="HR537" t="s">
        <v>1042</v>
      </c>
      <c r="HS537" t="s">
        <v>1043</v>
      </c>
      <c r="HT537">
        <v>0</v>
      </c>
      <c r="HU537">
        <v>0</v>
      </c>
      <c r="HW537">
        <v>0</v>
      </c>
      <c r="HX537">
        <v>0</v>
      </c>
      <c r="HY537">
        <v>0</v>
      </c>
      <c r="HZ537" t="s">
        <v>1045</v>
      </c>
      <c r="IA537">
        <v>0</v>
      </c>
      <c r="IB537" t="s">
        <v>1045</v>
      </c>
      <c r="ID537" t="s">
        <v>1045</v>
      </c>
      <c r="IF537">
        <v>0</v>
      </c>
      <c r="IG537" t="s">
        <v>1042</v>
      </c>
      <c r="IH537" t="s">
        <v>1046</v>
      </c>
      <c r="II537" t="s">
        <v>1042</v>
      </c>
      <c r="IR537" t="s">
        <v>1045</v>
      </c>
      <c r="IT537">
        <v>0</v>
      </c>
      <c r="IY537" t="s">
        <v>1044</v>
      </c>
      <c r="IZ537" t="s">
        <v>1043</v>
      </c>
      <c r="JA537" t="s">
        <v>1043</v>
      </c>
      <c r="JC537" t="s">
        <v>1043</v>
      </c>
      <c r="JE537">
        <v>0</v>
      </c>
      <c r="JF537">
        <v>0</v>
      </c>
      <c r="JI537" t="s">
        <v>1042</v>
      </c>
      <c r="JJ537">
        <v>0</v>
      </c>
      <c r="JK537">
        <v>0</v>
      </c>
      <c r="JL537">
        <v>0</v>
      </c>
      <c r="JM537">
        <v>0</v>
      </c>
      <c r="JQ537" t="s">
        <v>1043</v>
      </c>
      <c r="JT537">
        <v>0</v>
      </c>
      <c r="JU537" t="s">
        <v>1042</v>
      </c>
      <c r="JW537">
        <v>0</v>
      </c>
      <c r="KA537">
        <v>0</v>
      </c>
      <c r="KF537">
        <v>0</v>
      </c>
      <c r="KG537">
        <v>0</v>
      </c>
      <c r="KH537">
        <v>0</v>
      </c>
      <c r="KI537">
        <v>0</v>
      </c>
      <c r="KS537" t="s">
        <v>1073</v>
      </c>
      <c r="KT537">
        <v>0</v>
      </c>
      <c r="KU537">
        <v>0</v>
      </c>
      <c r="KV537">
        <v>0</v>
      </c>
      <c r="KX537">
        <v>0</v>
      </c>
      <c r="KY537" t="s">
        <v>1045</v>
      </c>
      <c r="KZ537">
        <v>0</v>
      </c>
      <c r="LF537">
        <v>0</v>
      </c>
      <c r="LH537">
        <v>0</v>
      </c>
      <c r="LI537">
        <v>0</v>
      </c>
    </row>
    <row r="538" spans="1:321" x14ac:dyDescent="0.35">
      <c r="A538">
        <v>1</v>
      </c>
      <c r="B538">
        <v>1331</v>
      </c>
      <c r="C538" t="s">
        <v>1172</v>
      </c>
      <c r="D538" t="s">
        <v>1061</v>
      </c>
      <c r="E538" t="s">
        <v>85</v>
      </c>
      <c r="F538">
        <v>1</v>
      </c>
      <c r="G538">
        <v>8890</v>
      </c>
      <c r="H538">
        <v>0</v>
      </c>
      <c r="I538" t="s">
        <v>1017</v>
      </c>
      <c r="M538">
        <v>9.75</v>
      </c>
      <c r="N538">
        <v>0</v>
      </c>
      <c r="Q538">
        <v>511</v>
      </c>
      <c r="R538">
        <v>0</v>
      </c>
      <c r="S538">
        <v>0</v>
      </c>
      <c r="W538" t="s">
        <v>1060</v>
      </c>
      <c r="X538">
        <v>0</v>
      </c>
      <c r="Z538">
        <v>1</v>
      </c>
      <c r="AA538">
        <v>0</v>
      </c>
      <c r="AB538">
        <v>0</v>
      </c>
      <c r="AC538">
        <v>0</v>
      </c>
      <c r="AD538" t="s">
        <v>1042</v>
      </c>
      <c r="AE538">
        <v>0</v>
      </c>
      <c r="AF538">
        <v>0</v>
      </c>
      <c r="AH538">
        <v>0</v>
      </c>
      <c r="AJ538">
        <v>0</v>
      </c>
      <c r="AL538">
        <v>0</v>
      </c>
      <c r="AM538">
        <v>0</v>
      </c>
      <c r="AN538">
        <v>11501001</v>
      </c>
      <c r="AO538">
        <v>0</v>
      </c>
      <c r="AP538">
        <v>1002</v>
      </c>
      <c r="AT538">
        <v>0</v>
      </c>
      <c r="AW538" t="s">
        <v>1053</v>
      </c>
      <c r="AX538">
        <v>0</v>
      </c>
      <c r="AY538" s="20">
        <v>43669</v>
      </c>
      <c r="BA538" s="20">
        <v>43669</v>
      </c>
      <c r="BB538" t="s">
        <v>1058</v>
      </c>
      <c r="BD538">
        <v>0</v>
      </c>
      <c r="BF538" t="s">
        <v>1044</v>
      </c>
      <c r="BG538" t="s">
        <v>1042</v>
      </c>
      <c r="BH538">
        <v>0</v>
      </c>
      <c r="BI538">
        <v>36</v>
      </c>
      <c r="BJ538">
        <v>0</v>
      </c>
      <c r="BK538">
        <v>0</v>
      </c>
      <c r="BM538" t="s">
        <v>1042</v>
      </c>
      <c r="BN538">
        <v>0</v>
      </c>
      <c r="BO538">
        <v>7897801319621</v>
      </c>
      <c r="BS538" t="s">
        <v>1043</v>
      </c>
      <c r="BT538" t="s">
        <v>1043</v>
      </c>
      <c r="BW538">
        <v>2</v>
      </c>
      <c r="BY538">
        <v>78</v>
      </c>
      <c r="CA538">
        <v>0</v>
      </c>
      <c r="CB538" t="s">
        <v>1043</v>
      </c>
      <c r="CE538" t="s">
        <v>1043</v>
      </c>
      <c r="CH538" t="s">
        <v>1043</v>
      </c>
      <c r="CN538" t="s">
        <v>1074</v>
      </c>
      <c r="CO538" t="s">
        <v>1043</v>
      </c>
      <c r="CP538">
        <v>1</v>
      </c>
      <c r="CQ538">
        <v>0</v>
      </c>
      <c r="CS538">
        <v>0</v>
      </c>
      <c r="CT538">
        <v>0</v>
      </c>
      <c r="CU538">
        <v>0</v>
      </c>
      <c r="CV538" t="s">
        <v>1045</v>
      </c>
      <c r="CW538">
        <v>0</v>
      </c>
      <c r="CX538">
        <v>0</v>
      </c>
      <c r="CY538">
        <v>0</v>
      </c>
      <c r="CZ538">
        <v>0</v>
      </c>
      <c r="DB538">
        <v>0</v>
      </c>
      <c r="DC538" t="s">
        <v>1043</v>
      </c>
      <c r="DF538" t="s">
        <v>1055</v>
      </c>
      <c r="DH538">
        <v>0</v>
      </c>
      <c r="DJ538">
        <v>0</v>
      </c>
      <c r="DK538" t="s">
        <v>1053</v>
      </c>
      <c r="DL538">
        <v>0</v>
      </c>
      <c r="DN538">
        <v>0</v>
      </c>
      <c r="DO538" t="s">
        <v>1042</v>
      </c>
      <c r="DP538">
        <v>0</v>
      </c>
      <c r="DQ538">
        <v>0</v>
      </c>
      <c r="DS538">
        <v>0</v>
      </c>
      <c r="DU538">
        <v>0</v>
      </c>
      <c r="DW538">
        <v>0</v>
      </c>
      <c r="DX538" t="s">
        <v>1043</v>
      </c>
      <c r="DY538">
        <v>0</v>
      </c>
      <c r="DZ538">
        <v>0</v>
      </c>
      <c r="EA538">
        <v>0</v>
      </c>
      <c r="EB538">
        <v>17897801319628</v>
      </c>
      <c r="ED538" t="s">
        <v>1045</v>
      </c>
      <c r="EE538">
        <v>0</v>
      </c>
      <c r="EF538">
        <v>0</v>
      </c>
      <c r="EL538">
        <v>57897801319626</v>
      </c>
      <c r="EQ538" t="s">
        <v>1044</v>
      </c>
      <c r="ES538" t="s">
        <v>1053</v>
      </c>
      <c r="ET538">
        <v>0</v>
      </c>
      <c r="EV538">
        <v>0</v>
      </c>
      <c r="EY538" t="s">
        <v>1052</v>
      </c>
      <c r="EZ538">
        <v>0</v>
      </c>
      <c r="FA538" t="s">
        <v>1043</v>
      </c>
      <c r="FB538">
        <v>0</v>
      </c>
      <c r="FC538">
        <v>0</v>
      </c>
      <c r="FD538" t="s">
        <v>1057</v>
      </c>
      <c r="FE538" t="s">
        <v>1050</v>
      </c>
      <c r="FF538">
        <v>0</v>
      </c>
      <c r="FG538" t="s">
        <v>1050</v>
      </c>
      <c r="FH538">
        <v>27897801319625</v>
      </c>
      <c r="FJ538">
        <v>0</v>
      </c>
      <c r="FK538">
        <v>0</v>
      </c>
      <c r="FP538">
        <v>0</v>
      </c>
      <c r="FQ538" t="s">
        <v>1044</v>
      </c>
      <c r="FR538">
        <v>0</v>
      </c>
      <c r="FS538" t="s">
        <v>1043</v>
      </c>
      <c r="FX538" t="s">
        <v>1042</v>
      </c>
      <c r="FZ538" t="s">
        <v>1048</v>
      </c>
      <c r="GA538">
        <v>0</v>
      </c>
      <c r="GB538" t="s">
        <v>1042</v>
      </c>
      <c r="GD538">
        <v>16</v>
      </c>
      <c r="GE538">
        <v>0</v>
      </c>
      <c r="GG538">
        <v>0</v>
      </c>
      <c r="GN538">
        <v>0</v>
      </c>
      <c r="GO538" t="s">
        <v>1049</v>
      </c>
      <c r="GQ538">
        <v>0</v>
      </c>
      <c r="GU538">
        <v>0</v>
      </c>
      <c r="GY538" t="s">
        <v>1045</v>
      </c>
      <c r="HB538">
        <v>0</v>
      </c>
      <c r="HE538">
        <v>0</v>
      </c>
      <c r="HF538">
        <v>0</v>
      </c>
      <c r="HG538">
        <v>0</v>
      </c>
      <c r="HK538" t="s">
        <v>1042</v>
      </c>
      <c r="HM538" t="s">
        <v>1047</v>
      </c>
      <c r="HN538">
        <v>0</v>
      </c>
      <c r="HP538">
        <v>0</v>
      </c>
      <c r="HQ538">
        <v>0</v>
      </c>
      <c r="HR538" t="s">
        <v>1042</v>
      </c>
      <c r="HS538" t="s">
        <v>1043</v>
      </c>
      <c r="HT538">
        <v>0</v>
      </c>
      <c r="HU538">
        <v>0</v>
      </c>
      <c r="HW538">
        <v>0</v>
      </c>
      <c r="HX538">
        <v>0</v>
      </c>
      <c r="HY538">
        <v>0</v>
      </c>
      <c r="HZ538" t="s">
        <v>1045</v>
      </c>
      <c r="IA538">
        <v>0</v>
      </c>
      <c r="IB538" t="s">
        <v>1045</v>
      </c>
      <c r="ID538" t="s">
        <v>1045</v>
      </c>
      <c r="IF538">
        <v>0</v>
      </c>
      <c r="IG538" t="s">
        <v>1042</v>
      </c>
      <c r="IH538" t="s">
        <v>1046</v>
      </c>
      <c r="II538" t="s">
        <v>1042</v>
      </c>
      <c r="IR538" t="s">
        <v>1045</v>
      </c>
      <c r="IT538">
        <v>0</v>
      </c>
      <c r="IY538" t="s">
        <v>1044</v>
      </c>
      <c r="IZ538" t="s">
        <v>1043</v>
      </c>
      <c r="JA538" t="s">
        <v>1043</v>
      </c>
      <c r="JC538" t="s">
        <v>1043</v>
      </c>
      <c r="JE538">
        <v>0</v>
      </c>
      <c r="JF538">
        <v>0</v>
      </c>
      <c r="JI538" t="s">
        <v>1042</v>
      </c>
      <c r="JJ538">
        <v>0</v>
      </c>
      <c r="JK538">
        <v>0</v>
      </c>
      <c r="JL538">
        <v>0</v>
      </c>
      <c r="JM538">
        <v>0</v>
      </c>
      <c r="JQ538" t="s">
        <v>1043</v>
      </c>
      <c r="JT538">
        <v>0</v>
      </c>
      <c r="JU538" t="s">
        <v>1042</v>
      </c>
      <c r="JW538">
        <v>0</v>
      </c>
      <c r="KA538">
        <v>0</v>
      </c>
      <c r="KF538">
        <v>0</v>
      </c>
      <c r="KG538">
        <v>0</v>
      </c>
      <c r="KH538">
        <v>0</v>
      </c>
      <c r="KI538">
        <v>0</v>
      </c>
      <c r="KS538" t="s">
        <v>1073</v>
      </c>
      <c r="KT538">
        <v>0</v>
      </c>
      <c r="KU538">
        <v>0</v>
      </c>
      <c r="KV538">
        <v>0</v>
      </c>
      <c r="KX538">
        <v>0</v>
      </c>
      <c r="KY538" t="s">
        <v>1045</v>
      </c>
      <c r="KZ538">
        <v>0</v>
      </c>
      <c r="LF538">
        <v>0</v>
      </c>
      <c r="LH538">
        <v>0</v>
      </c>
      <c r="LI538">
        <v>0</v>
      </c>
    </row>
    <row r="539" spans="1:321" x14ac:dyDescent="0.35">
      <c r="A539">
        <v>1</v>
      </c>
      <c r="B539">
        <v>1332</v>
      </c>
      <c r="C539" t="s">
        <v>1171</v>
      </c>
      <c r="D539" t="s">
        <v>1061</v>
      </c>
      <c r="E539" t="s">
        <v>85</v>
      </c>
      <c r="F539">
        <v>1</v>
      </c>
      <c r="G539">
        <v>8890</v>
      </c>
      <c r="H539">
        <v>0</v>
      </c>
      <c r="I539" t="s">
        <v>1017</v>
      </c>
      <c r="M539">
        <v>9.75</v>
      </c>
      <c r="N539">
        <v>0</v>
      </c>
      <c r="Q539">
        <v>511</v>
      </c>
      <c r="R539">
        <v>0</v>
      </c>
      <c r="S539">
        <v>0</v>
      </c>
      <c r="W539" t="s">
        <v>1060</v>
      </c>
      <c r="X539">
        <v>0</v>
      </c>
      <c r="Z539">
        <v>1</v>
      </c>
      <c r="AA539">
        <v>0</v>
      </c>
      <c r="AB539">
        <v>0</v>
      </c>
      <c r="AC539">
        <v>0</v>
      </c>
      <c r="AD539" t="s">
        <v>1042</v>
      </c>
      <c r="AE539">
        <v>0</v>
      </c>
      <c r="AF539">
        <v>0</v>
      </c>
      <c r="AH539">
        <v>0</v>
      </c>
      <c r="AJ539">
        <v>0</v>
      </c>
      <c r="AL539">
        <v>0</v>
      </c>
      <c r="AM539">
        <v>0</v>
      </c>
      <c r="AN539">
        <v>11501001</v>
      </c>
      <c r="AO539">
        <v>0</v>
      </c>
      <c r="AP539">
        <v>1002</v>
      </c>
      <c r="AT539">
        <v>0</v>
      </c>
      <c r="AW539" t="s">
        <v>1053</v>
      </c>
      <c r="AX539">
        <v>0</v>
      </c>
      <c r="AY539" s="20">
        <v>43669</v>
      </c>
      <c r="BA539" s="20">
        <v>43669</v>
      </c>
      <c r="BB539" t="s">
        <v>1058</v>
      </c>
      <c r="BD539">
        <v>0</v>
      </c>
      <c r="BF539" t="s">
        <v>1044</v>
      </c>
      <c r="BG539" t="s">
        <v>1042</v>
      </c>
      <c r="BH539">
        <v>0</v>
      </c>
      <c r="BI539">
        <v>36</v>
      </c>
      <c r="BJ539">
        <v>0</v>
      </c>
      <c r="BK539">
        <v>0</v>
      </c>
      <c r="BM539" t="s">
        <v>1042</v>
      </c>
      <c r="BN539">
        <v>0</v>
      </c>
      <c r="BO539">
        <v>7897801319638</v>
      </c>
      <c r="BS539" t="s">
        <v>1043</v>
      </c>
      <c r="BT539" t="s">
        <v>1043</v>
      </c>
      <c r="BW539">
        <v>2</v>
      </c>
      <c r="BY539">
        <v>78</v>
      </c>
      <c r="CA539">
        <v>0</v>
      </c>
      <c r="CB539" t="s">
        <v>1043</v>
      </c>
      <c r="CE539" t="s">
        <v>1043</v>
      </c>
      <c r="CH539" t="s">
        <v>1043</v>
      </c>
      <c r="CN539" t="s">
        <v>1074</v>
      </c>
      <c r="CO539" t="s">
        <v>1043</v>
      </c>
      <c r="CP539">
        <v>1</v>
      </c>
      <c r="CQ539">
        <v>0</v>
      </c>
      <c r="CS539">
        <v>0</v>
      </c>
      <c r="CT539">
        <v>0</v>
      </c>
      <c r="CU539">
        <v>0</v>
      </c>
      <c r="CV539" t="s">
        <v>1045</v>
      </c>
      <c r="CW539">
        <v>0</v>
      </c>
      <c r="CX539">
        <v>0</v>
      </c>
      <c r="CY539">
        <v>0</v>
      </c>
      <c r="CZ539">
        <v>0</v>
      </c>
      <c r="DB539">
        <v>0</v>
      </c>
      <c r="DC539" t="s">
        <v>1043</v>
      </c>
      <c r="DF539" t="s">
        <v>1055</v>
      </c>
      <c r="DH539">
        <v>0</v>
      </c>
      <c r="DJ539">
        <v>0</v>
      </c>
      <c r="DK539" t="s">
        <v>1053</v>
      </c>
      <c r="DL539">
        <v>0</v>
      </c>
      <c r="DN539">
        <v>0</v>
      </c>
      <c r="DO539" t="s">
        <v>1042</v>
      </c>
      <c r="DP539">
        <v>0</v>
      </c>
      <c r="DQ539">
        <v>0</v>
      </c>
      <c r="DS539">
        <v>0</v>
      </c>
      <c r="DU539">
        <v>0</v>
      </c>
      <c r="DW539">
        <v>0</v>
      </c>
      <c r="DX539" t="s">
        <v>1043</v>
      </c>
      <c r="DY539">
        <v>0</v>
      </c>
      <c r="DZ539">
        <v>0</v>
      </c>
      <c r="EA539">
        <v>0</v>
      </c>
      <c r="EB539">
        <v>17897801319635</v>
      </c>
      <c r="ED539" t="s">
        <v>1045</v>
      </c>
      <c r="EE539">
        <v>0</v>
      </c>
      <c r="EF539">
        <v>0</v>
      </c>
      <c r="EL539">
        <v>57897801319633</v>
      </c>
      <c r="EQ539" t="s">
        <v>1044</v>
      </c>
      <c r="ES539" t="s">
        <v>1053</v>
      </c>
      <c r="ET539">
        <v>0</v>
      </c>
      <c r="EV539">
        <v>0</v>
      </c>
      <c r="EY539" t="s">
        <v>1052</v>
      </c>
      <c r="EZ539">
        <v>0</v>
      </c>
      <c r="FA539" t="s">
        <v>1043</v>
      </c>
      <c r="FB539">
        <v>0</v>
      </c>
      <c r="FC539">
        <v>0</v>
      </c>
      <c r="FD539" t="s">
        <v>1057</v>
      </c>
      <c r="FE539" t="s">
        <v>1050</v>
      </c>
      <c r="FF539">
        <v>0</v>
      </c>
      <c r="FG539" t="s">
        <v>1050</v>
      </c>
      <c r="FH539">
        <v>27897801319632</v>
      </c>
      <c r="FJ539">
        <v>0</v>
      </c>
      <c r="FK539">
        <v>0</v>
      </c>
      <c r="FP539">
        <v>0</v>
      </c>
      <c r="FQ539" t="s">
        <v>1044</v>
      </c>
      <c r="FR539">
        <v>0</v>
      </c>
      <c r="FS539" t="s">
        <v>1043</v>
      </c>
      <c r="FX539" t="s">
        <v>1042</v>
      </c>
      <c r="FZ539" t="s">
        <v>1048</v>
      </c>
      <c r="GA539">
        <v>0</v>
      </c>
      <c r="GB539" t="s">
        <v>1042</v>
      </c>
      <c r="GD539">
        <v>16</v>
      </c>
      <c r="GE539">
        <v>0</v>
      </c>
      <c r="GG539">
        <v>0</v>
      </c>
      <c r="GN539">
        <v>0</v>
      </c>
      <c r="GO539" t="s">
        <v>1049</v>
      </c>
      <c r="GQ539">
        <v>0</v>
      </c>
      <c r="GU539">
        <v>0</v>
      </c>
      <c r="GY539" t="s">
        <v>1045</v>
      </c>
      <c r="HB539">
        <v>0</v>
      </c>
      <c r="HE539">
        <v>0</v>
      </c>
      <c r="HF539">
        <v>0</v>
      </c>
      <c r="HG539">
        <v>0</v>
      </c>
      <c r="HK539" t="s">
        <v>1042</v>
      </c>
      <c r="HM539" t="s">
        <v>1047</v>
      </c>
      <c r="HN539">
        <v>0</v>
      </c>
      <c r="HP539">
        <v>0</v>
      </c>
      <c r="HQ539">
        <v>0</v>
      </c>
      <c r="HR539" t="s">
        <v>1042</v>
      </c>
      <c r="HS539" t="s">
        <v>1043</v>
      </c>
      <c r="HT539">
        <v>0</v>
      </c>
      <c r="HU539">
        <v>0</v>
      </c>
      <c r="HW539">
        <v>0</v>
      </c>
      <c r="HX539">
        <v>0</v>
      </c>
      <c r="HY539">
        <v>0</v>
      </c>
      <c r="HZ539" t="s">
        <v>1045</v>
      </c>
      <c r="IA539">
        <v>0</v>
      </c>
      <c r="IB539" t="s">
        <v>1045</v>
      </c>
      <c r="ID539" t="s">
        <v>1045</v>
      </c>
      <c r="IF539">
        <v>0</v>
      </c>
      <c r="IG539" t="s">
        <v>1042</v>
      </c>
      <c r="IH539" t="s">
        <v>1046</v>
      </c>
      <c r="II539" t="s">
        <v>1042</v>
      </c>
      <c r="IR539" t="s">
        <v>1045</v>
      </c>
      <c r="IT539">
        <v>0</v>
      </c>
      <c r="IY539" t="s">
        <v>1044</v>
      </c>
      <c r="IZ539" t="s">
        <v>1043</v>
      </c>
      <c r="JA539" t="s">
        <v>1043</v>
      </c>
      <c r="JC539" t="s">
        <v>1043</v>
      </c>
      <c r="JE539">
        <v>0</v>
      </c>
      <c r="JF539">
        <v>0</v>
      </c>
      <c r="JI539" t="s">
        <v>1042</v>
      </c>
      <c r="JJ539">
        <v>0</v>
      </c>
      <c r="JK539">
        <v>0</v>
      </c>
      <c r="JL539">
        <v>0</v>
      </c>
      <c r="JM539">
        <v>0</v>
      </c>
      <c r="JQ539" t="s">
        <v>1043</v>
      </c>
      <c r="JT539">
        <v>0</v>
      </c>
      <c r="JU539" t="s">
        <v>1042</v>
      </c>
      <c r="JW539">
        <v>0</v>
      </c>
      <c r="KA539">
        <v>0</v>
      </c>
      <c r="KF539">
        <v>0</v>
      </c>
      <c r="KG539">
        <v>0</v>
      </c>
      <c r="KH539">
        <v>0</v>
      </c>
      <c r="KI539">
        <v>0</v>
      </c>
      <c r="KS539" t="s">
        <v>1073</v>
      </c>
      <c r="KT539">
        <v>0</v>
      </c>
      <c r="KU539">
        <v>0</v>
      </c>
      <c r="KV539">
        <v>0</v>
      </c>
      <c r="KX539">
        <v>0</v>
      </c>
      <c r="KY539" t="s">
        <v>1045</v>
      </c>
      <c r="KZ539">
        <v>0</v>
      </c>
      <c r="LF539">
        <v>0</v>
      </c>
      <c r="LH539">
        <v>0</v>
      </c>
      <c r="LI539">
        <v>0</v>
      </c>
    </row>
    <row r="540" spans="1:321" x14ac:dyDescent="0.35">
      <c r="A540">
        <v>1</v>
      </c>
      <c r="B540">
        <v>1333</v>
      </c>
      <c r="C540" t="s">
        <v>1170</v>
      </c>
      <c r="D540" t="s">
        <v>1061</v>
      </c>
      <c r="E540" t="s">
        <v>85</v>
      </c>
      <c r="F540">
        <v>1</v>
      </c>
      <c r="G540">
        <v>8890</v>
      </c>
      <c r="H540">
        <v>0</v>
      </c>
      <c r="I540" t="s">
        <v>1017</v>
      </c>
      <c r="M540">
        <v>9.75</v>
      </c>
      <c r="N540">
        <v>0</v>
      </c>
      <c r="Q540">
        <v>511</v>
      </c>
      <c r="R540">
        <v>0</v>
      </c>
      <c r="S540">
        <v>0</v>
      </c>
      <c r="W540" t="s">
        <v>1060</v>
      </c>
      <c r="X540">
        <v>0</v>
      </c>
      <c r="Z540">
        <v>1</v>
      </c>
      <c r="AA540">
        <v>0</v>
      </c>
      <c r="AB540">
        <v>0</v>
      </c>
      <c r="AC540">
        <v>0</v>
      </c>
      <c r="AD540" t="s">
        <v>1042</v>
      </c>
      <c r="AE540">
        <v>0</v>
      </c>
      <c r="AF540">
        <v>0</v>
      </c>
      <c r="AH540">
        <v>0</v>
      </c>
      <c r="AJ540">
        <v>0</v>
      </c>
      <c r="AL540">
        <v>0</v>
      </c>
      <c r="AM540">
        <v>0</v>
      </c>
      <c r="AN540">
        <v>11501001</v>
      </c>
      <c r="AO540">
        <v>0</v>
      </c>
      <c r="AP540">
        <v>1002</v>
      </c>
      <c r="AT540">
        <v>0</v>
      </c>
      <c r="AW540" t="s">
        <v>1053</v>
      </c>
      <c r="AX540">
        <v>0</v>
      </c>
      <c r="AY540" s="20">
        <v>43669</v>
      </c>
      <c r="BA540" s="20">
        <v>43669</v>
      </c>
      <c r="BB540" t="s">
        <v>1058</v>
      </c>
      <c r="BD540">
        <v>0</v>
      </c>
      <c r="BF540" t="s">
        <v>1044</v>
      </c>
      <c r="BG540" t="s">
        <v>1042</v>
      </c>
      <c r="BH540">
        <v>0</v>
      </c>
      <c r="BI540">
        <v>36</v>
      </c>
      <c r="BJ540">
        <v>0</v>
      </c>
      <c r="BK540">
        <v>0</v>
      </c>
      <c r="BM540" t="s">
        <v>1042</v>
      </c>
      <c r="BN540">
        <v>0</v>
      </c>
      <c r="BO540">
        <v>7897801319645</v>
      </c>
      <c r="BS540" t="s">
        <v>1043</v>
      </c>
      <c r="BT540" t="s">
        <v>1043</v>
      </c>
      <c r="BW540">
        <v>2</v>
      </c>
      <c r="BY540">
        <v>78</v>
      </c>
      <c r="CA540">
        <v>0</v>
      </c>
      <c r="CB540" t="s">
        <v>1043</v>
      </c>
      <c r="CE540" t="s">
        <v>1043</v>
      </c>
      <c r="CH540" t="s">
        <v>1043</v>
      </c>
      <c r="CN540" t="s">
        <v>1074</v>
      </c>
      <c r="CO540" t="s">
        <v>1043</v>
      </c>
      <c r="CP540">
        <v>1</v>
      </c>
      <c r="CQ540">
        <v>0</v>
      </c>
      <c r="CS540">
        <v>0</v>
      </c>
      <c r="CT540">
        <v>0</v>
      </c>
      <c r="CU540">
        <v>0</v>
      </c>
      <c r="CV540" t="s">
        <v>1045</v>
      </c>
      <c r="CW540">
        <v>0</v>
      </c>
      <c r="CX540">
        <v>0</v>
      </c>
      <c r="CY540">
        <v>0</v>
      </c>
      <c r="CZ540">
        <v>0</v>
      </c>
      <c r="DB540">
        <v>0</v>
      </c>
      <c r="DC540" t="s">
        <v>1043</v>
      </c>
      <c r="DF540" t="s">
        <v>1055</v>
      </c>
      <c r="DH540">
        <v>0</v>
      </c>
      <c r="DJ540">
        <v>0</v>
      </c>
      <c r="DK540" t="s">
        <v>1053</v>
      </c>
      <c r="DL540">
        <v>0</v>
      </c>
      <c r="DN540">
        <v>0</v>
      </c>
      <c r="DO540" t="s">
        <v>1042</v>
      </c>
      <c r="DP540">
        <v>0</v>
      </c>
      <c r="DQ540">
        <v>0</v>
      </c>
      <c r="DS540">
        <v>0</v>
      </c>
      <c r="DU540">
        <v>0</v>
      </c>
      <c r="DW540">
        <v>0</v>
      </c>
      <c r="DX540" t="s">
        <v>1043</v>
      </c>
      <c r="DY540">
        <v>0</v>
      </c>
      <c r="DZ540">
        <v>0</v>
      </c>
      <c r="EA540">
        <v>0</v>
      </c>
      <c r="EB540">
        <v>17897801319642</v>
      </c>
      <c r="ED540" t="s">
        <v>1045</v>
      </c>
      <c r="EE540">
        <v>0</v>
      </c>
      <c r="EF540">
        <v>0</v>
      </c>
      <c r="EL540">
        <v>57897801319640</v>
      </c>
      <c r="EQ540" t="s">
        <v>1044</v>
      </c>
      <c r="ES540" t="s">
        <v>1053</v>
      </c>
      <c r="ET540">
        <v>0</v>
      </c>
      <c r="EV540">
        <v>0</v>
      </c>
      <c r="EY540" t="s">
        <v>1052</v>
      </c>
      <c r="EZ540">
        <v>0</v>
      </c>
      <c r="FA540" t="s">
        <v>1043</v>
      </c>
      <c r="FB540">
        <v>0</v>
      </c>
      <c r="FC540">
        <v>0</v>
      </c>
      <c r="FD540" t="s">
        <v>1057</v>
      </c>
      <c r="FE540" t="s">
        <v>1050</v>
      </c>
      <c r="FF540">
        <v>0</v>
      </c>
      <c r="FG540" t="s">
        <v>1050</v>
      </c>
      <c r="FH540">
        <v>27897801319649</v>
      </c>
      <c r="FJ540">
        <v>0</v>
      </c>
      <c r="FK540">
        <v>0</v>
      </c>
      <c r="FP540">
        <v>0</v>
      </c>
      <c r="FQ540" t="s">
        <v>1044</v>
      </c>
      <c r="FR540">
        <v>0</v>
      </c>
      <c r="FS540" t="s">
        <v>1043</v>
      </c>
      <c r="FX540" t="s">
        <v>1042</v>
      </c>
      <c r="FZ540" t="s">
        <v>1048</v>
      </c>
      <c r="GA540">
        <v>0</v>
      </c>
      <c r="GB540" t="s">
        <v>1042</v>
      </c>
      <c r="GD540">
        <v>16</v>
      </c>
      <c r="GE540">
        <v>0</v>
      </c>
      <c r="GG540">
        <v>0</v>
      </c>
      <c r="GN540">
        <v>0</v>
      </c>
      <c r="GO540" t="s">
        <v>1049</v>
      </c>
      <c r="GQ540">
        <v>0</v>
      </c>
      <c r="GU540">
        <v>0</v>
      </c>
      <c r="GY540" t="s">
        <v>1045</v>
      </c>
      <c r="HB540">
        <v>0</v>
      </c>
      <c r="HE540">
        <v>0</v>
      </c>
      <c r="HF540">
        <v>0</v>
      </c>
      <c r="HG540">
        <v>0</v>
      </c>
      <c r="HK540" t="s">
        <v>1042</v>
      </c>
      <c r="HM540" t="s">
        <v>1047</v>
      </c>
      <c r="HN540">
        <v>0</v>
      </c>
      <c r="HP540">
        <v>0</v>
      </c>
      <c r="HQ540">
        <v>0</v>
      </c>
      <c r="HR540" t="s">
        <v>1042</v>
      </c>
      <c r="HS540" t="s">
        <v>1043</v>
      </c>
      <c r="HT540">
        <v>0</v>
      </c>
      <c r="HU540">
        <v>0</v>
      </c>
      <c r="HW540">
        <v>0</v>
      </c>
      <c r="HX540">
        <v>0</v>
      </c>
      <c r="HY540">
        <v>0</v>
      </c>
      <c r="HZ540" t="s">
        <v>1045</v>
      </c>
      <c r="IA540">
        <v>0</v>
      </c>
      <c r="IB540" t="s">
        <v>1045</v>
      </c>
      <c r="ID540" t="s">
        <v>1045</v>
      </c>
      <c r="IF540">
        <v>0</v>
      </c>
      <c r="IG540" t="s">
        <v>1042</v>
      </c>
      <c r="IH540" t="s">
        <v>1046</v>
      </c>
      <c r="II540" t="s">
        <v>1042</v>
      </c>
      <c r="IR540" t="s">
        <v>1045</v>
      </c>
      <c r="IT540">
        <v>0</v>
      </c>
      <c r="IY540" t="s">
        <v>1044</v>
      </c>
      <c r="IZ540" t="s">
        <v>1043</v>
      </c>
      <c r="JA540" t="s">
        <v>1043</v>
      </c>
      <c r="JC540" t="s">
        <v>1043</v>
      </c>
      <c r="JE540">
        <v>0</v>
      </c>
      <c r="JF540">
        <v>0</v>
      </c>
      <c r="JI540" t="s">
        <v>1042</v>
      </c>
      <c r="JJ540">
        <v>0</v>
      </c>
      <c r="JK540">
        <v>0</v>
      </c>
      <c r="JL540">
        <v>0</v>
      </c>
      <c r="JM540">
        <v>0</v>
      </c>
      <c r="JQ540" t="s">
        <v>1043</v>
      </c>
      <c r="JT540">
        <v>0</v>
      </c>
      <c r="JU540" t="s">
        <v>1042</v>
      </c>
      <c r="JW540">
        <v>0</v>
      </c>
      <c r="KA540">
        <v>0</v>
      </c>
      <c r="KF540">
        <v>0</v>
      </c>
      <c r="KG540">
        <v>0</v>
      </c>
      <c r="KH540">
        <v>0</v>
      </c>
      <c r="KI540">
        <v>0</v>
      </c>
      <c r="KS540" t="s">
        <v>1073</v>
      </c>
      <c r="KT540">
        <v>0</v>
      </c>
      <c r="KU540">
        <v>0</v>
      </c>
      <c r="KV540">
        <v>0</v>
      </c>
      <c r="KX540">
        <v>0</v>
      </c>
      <c r="KY540" t="s">
        <v>1045</v>
      </c>
      <c r="KZ540">
        <v>0</v>
      </c>
      <c r="LF540">
        <v>0</v>
      </c>
      <c r="LH540">
        <v>0</v>
      </c>
      <c r="LI540">
        <v>0</v>
      </c>
    </row>
    <row r="541" spans="1:321" x14ac:dyDescent="0.35">
      <c r="A541">
        <v>1</v>
      </c>
      <c r="B541">
        <v>1334</v>
      </c>
      <c r="C541" t="s">
        <v>695</v>
      </c>
      <c r="D541" t="s">
        <v>1061</v>
      </c>
      <c r="E541" t="s">
        <v>85</v>
      </c>
      <c r="F541">
        <v>1</v>
      </c>
      <c r="G541">
        <v>220</v>
      </c>
      <c r="H541">
        <v>0</v>
      </c>
      <c r="I541" t="s">
        <v>994</v>
      </c>
      <c r="L541">
        <v>0</v>
      </c>
      <c r="M541">
        <v>0</v>
      </c>
      <c r="N541">
        <v>0</v>
      </c>
      <c r="Q541">
        <v>516</v>
      </c>
      <c r="R541">
        <v>0</v>
      </c>
      <c r="S541">
        <v>0</v>
      </c>
      <c r="W541" t="s">
        <v>1060</v>
      </c>
      <c r="X541">
        <v>0</v>
      </c>
      <c r="Z541">
        <v>10</v>
      </c>
      <c r="AA541">
        <v>2.7389999999999999</v>
      </c>
      <c r="AB541">
        <v>445</v>
      </c>
      <c r="AC541">
        <v>0.28639999999999999</v>
      </c>
      <c r="AD541" t="s">
        <v>1042</v>
      </c>
      <c r="AE541">
        <v>0</v>
      </c>
      <c r="AF541">
        <v>8.0999999999999996E-3</v>
      </c>
      <c r="AH541">
        <v>256</v>
      </c>
      <c r="AJ541">
        <v>1</v>
      </c>
      <c r="AK541" t="s">
        <v>1154</v>
      </c>
      <c r="AL541">
        <v>0</v>
      </c>
      <c r="AM541">
        <v>0</v>
      </c>
      <c r="AN541">
        <v>11501001</v>
      </c>
      <c r="AO541">
        <v>0</v>
      </c>
      <c r="AP541">
        <v>1002</v>
      </c>
      <c r="AT541">
        <v>1</v>
      </c>
      <c r="AU541" t="s">
        <v>1059</v>
      </c>
      <c r="AV541" t="s">
        <v>1043</v>
      </c>
      <c r="AW541" t="s">
        <v>1053</v>
      </c>
      <c r="AX541">
        <v>0</v>
      </c>
      <c r="AY541" s="20">
        <v>43676</v>
      </c>
      <c r="BA541" s="20">
        <v>44643</v>
      </c>
      <c r="BB541" t="s">
        <v>1058</v>
      </c>
      <c r="BD541">
        <v>0</v>
      </c>
      <c r="BF541" t="s">
        <v>1044</v>
      </c>
      <c r="BG541" t="s">
        <v>1042</v>
      </c>
      <c r="BH541">
        <v>0</v>
      </c>
      <c r="BI541">
        <v>6</v>
      </c>
      <c r="BJ541">
        <v>0</v>
      </c>
      <c r="BK541">
        <v>0</v>
      </c>
      <c r="BM541" s="20">
        <v>44054</v>
      </c>
      <c r="BN541">
        <v>0</v>
      </c>
      <c r="BO541">
        <v>7897801319669</v>
      </c>
      <c r="BR541" t="s">
        <v>1043</v>
      </c>
      <c r="BS541" t="s">
        <v>1043</v>
      </c>
      <c r="BT541" t="s">
        <v>1043</v>
      </c>
      <c r="BV541">
        <v>1</v>
      </c>
      <c r="BW541">
        <v>31</v>
      </c>
      <c r="BY541">
        <v>82</v>
      </c>
      <c r="CA541">
        <v>0</v>
      </c>
      <c r="CB541" t="s">
        <v>1043</v>
      </c>
      <c r="CE541" t="s">
        <v>1043</v>
      </c>
      <c r="CH541" t="s">
        <v>1043</v>
      </c>
      <c r="CI541" t="s">
        <v>1153</v>
      </c>
      <c r="CK541" t="s">
        <v>1152</v>
      </c>
      <c r="CN541" t="s">
        <v>1056</v>
      </c>
      <c r="CP541">
        <v>1</v>
      </c>
      <c r="CQ541">
        <v>0</v>
      </c>
      <c r="CS541">
        <v>0</v>
      </c>
      <c r="CT541">
        <v>0</v>
      </c>
      <c r="CU541">
        <v>0</v>
      </c>
      <c r="CW541">
        <v>0</v>
      </c>
      <c r="CX541">
        <v>0</v>
      </c>
      <c r="CY541">
        <v>0</v>
      </c>
      <c r="CZ541">
        <v>0</v>
      </c>
      <c r="DA541">
        <v>2</v>
      </c>
      <c r="DB541">
        <v>2550000</v>
      </c>
      <c r="DH541">
        <v>0</v>
      </c>
      <c r="DJ541">
        <v>0</v>
      </c>
      <c r="DL541">
        <v>0</v>
      </c>
      <c r="DN541">
        <v>0</v>
      </c>
      <c r="DO541" t="s">
        <v>1042</v>
      </c>
      <c r="DP541">
        <v>0</v>
      </c>
      <c r="DQ541">
        <v>7.6</v>
      </c>
      <c r="DS541">
        <v>0</v>
      </c>
      <c r="DU541">
        <v>1.65</v>
      </c>
      <c r="DW541">
        <v>0</v>
      </c>
      <c r="DY541">
        <v>0</v>
      </c>
      <c r="DZ541">
        <v>0</v>
      </c>
      <c r="EA541">
        <v>0</v>
      </c>
      <c r="EB541">
        <v>17897801319666</v>
      </c>
      <c r="EE541">
        <v>0</v>
      </c>
      <c r="EF541">
        <v>0</v>
      </c>
      <c r="EG541" t="s">
        <v>1044</v>
      </c>
      <c r="EK541" t="s">
        <v>1054</v>
      </c>
      <c r="EL541">
        <v>57897801319664</v>
      </c>
      <c r="EN541" t="s">
        <v>1012</v>
      </c>
      <c r="ET541">
        <v>0</v>
      </c>
      <c r="EV541">
        <v>0</v>
      </c>
      <c r="EY541" t="s">
        <v>1052</v>
      </c>
      <c r="EZ541">
        <v>0</v>
      </c>
      <c r="FA541" t="s">
        <v>1043</v>
      </c>
      <c r="FB541">
        <v>0</v>
      </c>
      <c r="FC541">
        <v>0</v>
      </c>
      <c r="FD541" t="s">
        <v>1051</v>
      </c>
      <c r="FE541" t="s">
        <v>1050</v>
      </c>
      <c r="FF541">
        <v>2000</v>
      </c>
      <c r="FG541" t="s">
        <v>1050</v>
      </c>
      <c r="FH541">
        <v>27897801319663</v>
      </c>
      <c r="FJ541">
        <v>0</v>
      </c>
      <c r="FK541">
        <v>0</v>
      </c>
      <c r="FP541">
        <v>0</v>
      </c>
      <c r="FR541">
        <v>0</v>
      </c>
      <c r="FS541" t="s">
        <v>1044</v>
      </c>
      <c r="FX541" t="s">
        <v>1042</v>
      </c>
      <c r="GA541">
        <v>0</v>
      </c>
      <c r="GB541" t="s">
        <v>1042</v>
      </c>
      <c r="GD541">
        <v>16</v>
      </c>
      <c r="GE541">
        <v>0</v>
      </c>
      <c r="GG541">
        <v>0</v>
      </c>
      <c r="GN541">
        <v>0</v>
      </c>
      <c r="GO541" t="s">
        <v>1049</v>
      </c>
      <c r="GQ541">
        <v>0</v>
      </c>
      <c r="GU541">
        <v>0</v>
      </c>
      <c r="GY541" t="s">
        <v>1045</v>
      </c>
      <c r="HB541">
        <v>0</v>
      </c>
      <c r="HE541">
        <v>10</v>
      </c>
      <c r="HF541">
        <v>0</v>
      </c>
      <c r="HG541">
        <v>2.3000000000000001E-4</v>
      </c>
      <c r="HK541" t="s">
        <v>1042</v>
      </c>
      <c r="HL541" t="s">
        <v>1048</v>
      </c>
      <c r="HM541">
        <v>0</v>
      </c>
      <c r="HN541">
        <v>0</v>
      </c>
      <c r="HO541">
        <v>35</v>
      </c>
      <c r="HP541">
        <v>7.4999999999999997E-2</v>
      </c>
      <c r="HQ541">
        <v>0</v>
      </c>
      <c r="HR541" t="s">
        <v>1042</v>
      </c>
      <c r="HT541">
        <v>0</v>
      </c>
      <c r="HU541">
        <v>0</v>
      </c>
      <c r="HW541">
        <v>0</v>
      </c>
      <c r="HX541">
        <v>889</v>
      </c>
      <c r="HY541">
        <v>0</v>
      </c>
      <c r="IA541">
        <v>0</v>
      </c>
      <c r="IC541" t="s">
        <v>1151</v>
      </c>
      <c r="IF541">
        <v>60000</v>
      </c>
      <c r="IG541" t="s">
        <v>1042</v>
      </c>
      <c r="IH541" t="s">
        <v>1046</v>
      </c>
      <c r="II541" t="s">
        <v>1042</v>
      </c>
      <c r="IR541" t="s">
        <v>1045</v>
      </c>
      <c r="IT541">
        <v>0</v>
      </c>
      <c r="JE541">
        <v>0</v>
      </c>
      <c r="JF541">
        <v>0</v>
      </c>
      <c r="JI541" t="s">
        <v>1042</v>
      </c>
      <c r="JJ541">
        <v>0</v>
      </c>
      <c r="JK541">
        <v>0</v>
      </c>
      <c r="JL541">
        <v>0</v>
      </c>
      <c r="JM541">
        <v>0</v>
      </c>
      <c r="JT541">
        <v>0</v>
      </c>
      <c r="JU541" t="s">
        <v>1042</v>
      </c>
      <c r="JW541">
        <v>0</v>
      </c>
      <c r="KA541">
        <v>0</v>
      </c>
      <c r="KF541">
        <v>0</v>
      </c>
      <c r="KG541">
        <v>0</v>
      </c>
      <c r="KH541">
        <v>0</v>
      </c>
      <c r="KI541">
        <v>0</v>
      </c>
      <c r="KS541" t="s">
        <v>1041</v>
      </c>
      <c r="KT541">
        <v>0</v>
      </c>
      <c r="KU541">
        <v>0</v>
      </c>
      <c r="KV541">
        <v>0</v>
      </c>
      <c r="KX541">
        <v>0</v>
      </c>
      <c r="KZ541">
        <v>0</v>
      </c>
      <c r="LF541">
        <v>0</v>
      </c>
      <c r="LH541">
        <v>0</v>
      </c>
      <c r="LI541">
        <v>0</v>
      </c>
    </row>
    <row r="542" spans="1:321" x14ac:dyDescent="0.35">
      <c r="A542">
        <v>1</v>
      </c>
      <c r="B542">
        <v>1335</v>
      </c>
      <c r="C542" t="s">
        <v>696</v>
      </c>
      <c r="D542" t="s">
        <v>1061</v>
      </c>
      <c r="E542" t="s">
        <v>85</v>
      </c>
      <c r="F542">
        <v>1</v>
      </c>
      <c r="G542">
        <v>220</v>
      </c>
      <c r="H542">
        <v>0</v>
      </c>
      <c r="I542" t="s">
        <v>994</v>
      </c>
      <c r="L542">
        <v>0</v>
      </c>
      <c r="M542">
        <v>0</v>
      </c>
      <c r="N542">
        <v>0</v>
      </c>
      <c r="Q542">
        <v>516</v>
      </c>
      <c r="R542">
        <v>0</v>
      </c>
      <c r="S542">
        <v>0</v>
      </c>
      <c r="W542" t="s">
        <v>1060</v>
      </c>
      <c r="X542">
        <v>0</v>
      </c>
      <c r="Z542">
        <v>10</v>
      </c>
      <c r="AA542">
        <v>10.483000000000001</v>
      </c>
      <c r="AB542">
        <v>485</v>
      </c>
      <c r="AC542">
        <v>0</v>
      </c>
      <c r="AD542" t="s">
        <v>1042</v>
      </c>
      <c r="AE542">
        <v>0</v>
      </c>
      <c r="AF542">
        <v>1.5299999999999999E-2</v>
      </c>
      <c r="AH542">
        <v>461</v>
      </c>
      <c r="AJ542">
        <v>1</v>
      </c>
      <c r="AK542" t="s">
        <v>1154</v>
      </c>
      <c r="AL542">
        <v>0</v>
      </c>
      <c r="AM542">
        <v>0</v>
      </c>
      <c r="AN542">
        <v>11501001</v>
      </c>
      <c r="AO542">
        <v>0</v>
      </c>
      <c r="AP542">
        <v>1002</v>
      </c>
      <c r="AT542">
        <v>1</v>
      </c>
      <c r="AU542" t="s">
        <v>1059</v>
      </c>
      <c r="AV542" t="s">
        <v>1043</v>
      </c>
      <c r="AW542" t="s">
        <v>1053</v>
      </c>
      <c r="AX542">
        <v>0</v>
      </c>
      <c r="AY542" s="20">
        <v>43676</v>
      </c>
      <c r="BA542" s="20">
        <v>44643</v>
      </c>
      <c r="BB542" t="s">
        <v>1058</v>
      </c>
      <c r="BD542">
        <v>0</v>
      </c>
      <c r="BF542" t="s">
        <v>1044</v>
      </c>
      <c r="BG542" t="s">
        <v>1042</v>
      </c>
      <c r="BH542">
        <v>0</v>
      </c>
      <c r="BI542">
        <v>6</v>
      </c>
      <c r="BJ542">
        <v>0</v>
      </c>
      <c r="BK542">
        <v>0</v>
      </c>
      <c r="BM542" s="20">
        <v>44162</v>
      </c>
      <c r="BN542">
        <v>0</v>
      </c>
      <c r="BO542">
        <v>7897801319676</v>
      </c>
      <c r="BR542" t="s">
        <v>1043</v>
      </c>
      <c r="BS542" t="s">
        <v>1043</v>
      </c>
      <c r="BT542" t="s">
        <v>1043</v>
      </c>
      <c r="BV542">
        <v>1</v>
      </c>
      <c r="BW542">
        <v>31</v>
      </c>
      <c r="BY542">
        <v>82</v>
      </c>
      <c r="CA542">
        <v>0</v>
      </c>
      <c r="CB542" t="s">
        <v>1043</v>
      </c>
      <c r="CE542" t="s">
        <v>1043</v>
      </c>
      <c r="CH542" t="s">
        <v>1043</v>
      </c>
      <c r="CI542" t="s">
        <v>1153</v>
      </c>
      <c r="CK542" t="s">
        <v>1152</v>
      </c>
      <c r="CN542" t="s">
        <v>1056</v>
      </c>
      <c r="CP542">
        <v>1</v>
      </c>
      <c r="CQ542">
        <v>0</v>
      </c>
      <c r="CS542">
        <v>0</v>
      </c>
      <c r="CT542">
        <v>0</v>
      </c>
      <c r="CU542">
        <v>0</v>
      </c>
      <c r="CW542">
        <v>0</v>
      </c>
      <c r="CX542">
        <v>0</v>
      </c>
      <c r="CY542">
        <v>0</v>
      </c>
      <c r="CZ542">
        <v>0</v>
      </c>
      <c r="DA542">
        <v>2</v>
      </c>
      <c r="DB542">
        <v>2550000</v>
      </c>
      <c r="DH542">
        <v>0</v>
      </c>
      <c r="DJ542">
        <v>0</v>
      </c>
      <c r="DL542">
        <v>0</v>
      </c>
      <c r="DN542">
        <v>0</v>
      </c>
      <c r="DO542" t="s">
        <v>1042</v>
      </c>
      <c r="DP542">
        <v>0</v>
      </c>
      <c r="DQ542">
        <v>7.6</v>
      </c>
      <c r="DS542">
        <v>0</v>
      </c>
      <c r="DU542">
        <v>1.65</v>
      </c>
      <c r="DW542">
        <v>0</v>
      </c>
      <c r="DY542">
        <v>0</v>
      </c>
      <c r="DZ542">
        <v>0</v>
      </c>
      <c r="EA542">
        <v>0</v>
      </c>
      <c r="EB542">
        <v>17897801319673</v>
      </c>
      <c r="EE542">
        <v>0</v>
      </c>
      <c r="EF542">
        <v>0</v>
      </c>
      <c r="EG542" t="s">
        <v>1044</v>
      </c>
      <c r="EK542" t="s">
        <v>1054</v>
      </c>
      <c r="EL542">
        <v>57897801319671</v>
      </c>
      <c r="EN542" t="s">
        <v>1012</v>
      </c>
      <c r="ET542">
        <v>0</v>
      </c>
      <c r="EV542">
        <v>0</v>
      </c>
      <c r="EY542" t="s">
        <v>1052</v>
      </c>
      <c r="EZ542">
        <v>0</v>
      </c>
      <c r="FA542" t="s">
        <v>1043</v>
      </c>
      <c r="FB542">
        <v>0</v>
      </c>
      <c r="FC542">
        <v>0</v>
      </c>
      <c r="FD542" t="s">
        <v>1051</v>
      </c>
      <c r="FE542" t="s">
        <v>1050</v>
      </c>
      <c r="FF542">
        <v>1000</v>
      </c>
      <c r="FG542" t="s">
        <v>1050</v>
      </c>
      <c r="FH542">
        <v>27897801319670</v>
      </c>
      <c r="FJ542">
        <v>0</v>
      </c>
      <c r="FK542">
        <v>0</v>
      </c>
      <c r="FP542">
        <v>0</v>
      </c>
      <c r="FR542">
        <v>0</v>
      </c>
      <c r="FS542" t="s">
        <v>1044</v>
      </c>
      <c r="FX542" t="s">
        <v>1042</v>
      </c>
      <c r="GA542">
        <v>0</v>
      </c>
      <c r="GB542" t="s">
        <v>1042</v>
      </c>
      <c r="GD542">
        <v>16</v>
      </c>
      <c r="GE542">
        <v>0</v>
      </c>
      <c r="GG542">
        <v>0</v>
      </c>
      <c r="GN542">
        <v>0</v>
      </c>
      <c r="GO542" t="s">
        <v>1049</v>
      </c>
      <c r="GQ542">
        <v>0</v>
      </c>
      <c r="GU542">
        <v>0</v>
      </c>
      <c r="GY542" t="s">
        <v>1045</v>
      </c>
      <c r="HB542">
        <v>0</v>
      </c>
      <c r="HE542">
        <v>10</v>
      </c>
      <c r="HF542">
        <v>0</v>
      </c>
      <c r="HG542">
        <v>4.0000000000000002E-4</v>
      </c>
      <c r="HK542" t="s">
        <v>1042</v>
      </c>
      <c r="HL542" t="s">
        <v>1048</v>
      </c>
      <c r="HM542">
        <v>0</v>
      </c>
      <c r="HN542">
        <v>0</v>
      </c>
      <c r="HO542">
        <v>35</v>
      </c>
      <c r="HP542">
        <v>1.4500000000000001E-2</v>
      </c>
      <c r="HQ542">
        <v>0</v>
      </c>
      <c r="HR542" t="s">
        <v>1042</v>
      </c>
      <c r="HT542">
        <v>0</v>
      </c>
      <c r="HU542">
        <v>0</v>
      </c>
      <c r="HW542">
        <v>0</v>
      </c>
      <c r="HX542">
        <v>541</v>
      </c>
      <c r="HY542">
        <v>0</v>
      </c>
      <c r="IA542">
        <v>0</v>
      </c>
      <c r="IC542" t="s">
        <v>1151</v>
      </c>
      <c r="IF542">
        <v>30000</v>
      </c>
      <c r="IG542" t="s">
        <v>1042</v>
      </c>
      <c r="IH542" t="s">
        <v>1046</v>
      </c>
      <c r="II542" t="s">
        <v>1042</v>
      </c>
      <c r="IR542" t="s">
        <v>1045</v>
      </c>
      <c r="IT542">
        <v>0</v>
      </c>
      <c r="JE542">
        <v>0</v>
      </c>
      <c r="JF542">
        <v>0</v>
      </c>
      <c r="JI542" t="s">
        <v>1042</v>
      </c>
      <c r="JJ542">
        <v>0</v>
      </c>
      <c r="JK542">
        <v>0</v>
      </c>
      <c r="JL542">
        <v>0</v>
      </c>
      <c r="JM542">
        <v>0</v>
      </c>
      <c r="JT542">
        <v>0</v>
      </c>
      <c r="JU542" t="s">
        <v>1042</v>
      </c>
      <c r="JW542">
        <v>0</v>
      </c>
      <c r="KA542">
        <v>0</v>
      </c>
      <c r="KF542">
        <v>0</v>
      </c>
      <c r="KG542">
        <v>0</v>
      </c>
      <c r="KH542">
        <v>0</v>
      </c>
      <c r="KI542">
        <v>0</v>
      </c>
      <c r="KS542" t="s">
        <v>1041</v>
      </c>
      <c r="KT542">
        <v>0</v>
      </c>
      <c r="KU542">
        <v>0</v>
      </c>
      <c r="KV542">
        <v>0</v>
      </c>
      <c r="KX542">
        <v>0</v>
      </c>
      <c r="KZ542">
        <v>0</v>
      </c>
      <c r="LF542">
        <v>0</v>
      </c>
      <c r="LH542">
        <v>0</v>
      </c>
      <c r="LI542">
        <v>0</v>
      </c>
    </row>
    <row r="543" spans="1:321" x14ac:dyDescent="0.35">
      <c r="A543">
        <v>1</v>
      </c>
      <c r="B543">
        <v>1336</v>
      </c>
      <c r="C543" t="s">
        <v>697</v>
      </c>
      <c r="D543" t="s">
        <v>1061</v>
      </c>
      <c r="E543" t="s">
        <v>85</v>
      </c>
      <c r="F543">
        <v>1</v>
      </c>
      <c r="G543">
        <v>220</v>
      </c>
      <c r="H543">
        <v>0</v>
      </c>
      <c r="I543" t="s">
        <v>994</v>
      </c>
      <c r="L543">
        <v>0</v>
      </c>
      <c r="M543">
        <v>0</v>
      </c>
      <c r="N543">
        <v>0</v>
      </c>
      <c r="Q543">
        <v>516</v>
      </c>
      <c r="R543">
        <v>0</v>
      </c>
      <c r="S543">
        <v>0</v>
      </c>
      <c r="W543" t="s">
        <v>1060</v>
      </c>
      <c r="X543">
        <v>0</v>
      </c>
      <c r="Z543">
        <v>10</v>
      </c>
      <c r="AA543">
        <v>10.689</v>
      </c>
      <c r="AB543">
        <v>5577</v>
      </c>
      <c r="AC543">
        <v>0</v>
      </c>
      <c r="AD543" t="s">
        <v>1042</v>
      </c>
      <c r="AE543">
        <v>0</v>
      </c>
      <c r="AF543">
        <v>1.21E-2</v>
      </c>
      <c r="AH543">
        <v>5077</v>
      </c>
      <c r="AJ543">
        <v>1</v>
      </c>
      <c r="AK543" t="s">
        <v>1154</v>
      </c>
      <c r="AL543">
        <v>0</v>
      </c>
      <c r="AM543">
        <v>0</v>
      </c>
      <c r="AN543">
        <v>11501001</v>
      </c>
      <c r="AO543">
        <v>0</v>
      </c>
      <c r="AP543">
        <v>1002</v>
      </c>
      <c r="AT543">
        <v>1</v>
      </c>
      <c r="AU543" t="s">
        <v>1059</v>
      </c>
      <c r="AV543" t="s">
        <v>1043</v>
      </c>
      <c r="AW543" t="s">
        <v>1053</v>
      </c>
      <c r="AX543">
        <v>0</v>
      </c>
      <c r="AY543" s="20">
        <v>43676</v>
      </c>
      <c r="BA543" s="20">
        <v>44643</v>
      </c>
      <c r="BB543" t="s">
        <v>1058</v>
      </c>
      <c r="BD543">
        <v>0</v>
      </c>
      <c r="BF543" t="s">
        <v>1044</v>
      </c>
      <c r="BG543" t="s">
        <v>1042</v>
      </c>
      <c r="BH543">
        <v>0</v>
      </c>
      <c r="BI543">
        <v>6</v>
      </c>
      <c r="BJ543">
        <v>0</v>
      </c>
      <c r="BK543">
        <v>0</v>
      </c>
      <c r="BM543" s="20">
        <v>44162</v>
      </c>
      <c r="BN543">
        <v>0</v>
      </c>
      <c r="BO543">
        <v>7897801319683</v>
      </c>
      <c r="BR543" t="s">
        <v>1043</v>
      </c>
      <c r="BS543" t="s">
        <v>1043</v>
      </c>
      <c r="BT543" t="s">
        <v>1043</v>
      </c>
      <c r="BV543">
        <v>1</v>
      </c>
      <c r="BW543">
        <v>31</v>
      </c>
      <c r="BY543">
        <v>82</v>
      </c>
      <c r="CA543">
        <v>0</v>
      </c>
      <c r="CB543" t="s">
        <v>1043</v>
      </c>
      <c r="CE543" t="s">
        <v>1043</v>
      </c>
      <c r="CH543" t="s">
        <v>1043</v>
      </c>
      <c r="CI543" t="s">
        <v>1153</v>
      </c>
      <c r="CK543" t="s">
        <v>1152</v>
      </c>
      <c r="CN543" t="s">
        <v>1056</v>
      </c>
      <c r="CP543">
        <v>1</v>
      </c>
      <c r="CQ543">
        <v>0</v>
      </c>
      <c r="CS543">
        <v>0</v>
      </c>
      <c r="CT543">
        <v>0</v>
      </c>
      <c r="CU543">
        <v>0</v>
      </c>
      <c r="CW543">
        <v>0</v>
      </c>
      <c r="CX543">
        <v>0</v>
      </c>
      <c r="CY543">
        <v>0</v>
      </c>
      <c r="CZ543">
        <v>0</v>
      </c>
      <c r="DA543">
        <v>2</v>
      </c>
      <c r="DB543">
        <v>2550000</v>
      </c>
      <c r="DH543">
        <v>0</v>
      </c>
      <c r="DJ543">
        <v>0</v>
      </c>
      <c r="DL543">
        <v>0</v>
      </c>
      <c r="DN543">
        <v>0</v>
      </c>
      <c r="DO543" t="s">
        <v>1042</v>
      </c>
      <c r="DP543">
        <v>0</v>
      </c>
      <c r="DQ543">
        <v>7.6</v>
      </c>
      <c r="DS543">
        <v>0</v>
      </c>
      <c r="DU543">
        <v>1.65</v>
      </c>
      <c r="DW543">
        <v>0</v>
      </c>
      <c r="DY543">
        <v>0</v>
      </c>
      <c r="DZ543">
        <v>0</v>
      </c>
      <c r="EA543">
        <v>0</v>
      </c>
      <c r="EB543">
        <v>17897801319680</v>
      </c>
      <c r="EE543">
        <v>0</v>
      </c>
      <c r="EF543">
        <v>0</v>
      </c>
      <c r="EG543" t="s">
        <v>1044</v>
      </c>
      <c r="EK543" t="s">
        <v>1054</v>
      </c>
      <c r="EL543">
        <v>57897801319688</v>
      </c>
      <c r="EN543" t="s">
        <v>1012</v>
      </c>
      <c r="ET543">
        <v>0</v>
      </c>
      <c r="EV543">
        <v>0</v>
      </c>
      <c r="EY543" t="s">
        <v>1052</v>
      </c>
      <c r="EZ543">
        <v>0</v>
      </c>
      <c r="FA543" t="s">
        <v>1043</v>
      </c>
      <c r="FB543">
        <v>0</v>
      </c>
      <c r="FC543">
        <v>0</v>
      </c>
      <c r="FD543" t="s">
        <v>1051</v>
      </c>
      <c r="FE543" t="s">
        <v>1050</v>
      </c>
      <c r="FF543">
        <v>1000</v>
      </c>
      <c r="FG543" t="s">
        <v>1050</v>
      </c>
      <c r="FH543">
        <v>27897801319687</v>
      </c>
      <c r="FJ543">
        <v>0</v>
      </c>
      <c r="FK543">
        <v>0</v>
      </c>
      <c r="FP543">
        <v>0</v>
      </c>
      <c r="FR543">
        <v>0</v>
      </c>
      <c r="FS543" t="s">
        <v>1044</v>
      </c>
      <c r="FX543" t="s">
        <v>1042</v>
      </c>
      <c r="GA543">
        <v>0</v>
      </c>
      <c r="GB543" t="s">
        <v>1042</v>
      </c>
      <c r="GD543">
        <v>16</v>
      </c>
      <c r="GE543">
        <v>0</v>
      </c>
      <c r="GG543">
        <v>0</v>
      </c>
      <c r="GN543">
        <v>0</v>
      </c>
      <c r="GO543" t="s">
        <v>1049</v>
      </c>
      <c r="GQ543">
        <v>0</v>
      </c>
      <c r="GU543">
        <v>0</v>
      </c>
      <c r="GY543" t="s">
        <v>1045</v>
      </c>
      <c r="HB543">
        <v>0</v>
      </c>
      <c r="HE543">
        <v>10</v>
      </c>
      <c r="HF543">
        <v>0</v>
      </c>
      <c r="HG543">
        <v>4.0000000000000002E-4</v>
      </c>
      <c r="HK543" t="s">
        <v>1042</v>
      </c>
      <c r="HL543">
        <v>3</v>
      </c>
      <c r="HM543">
        <v>0</v>
      </c>
      <c r="HN543">
        <v>0</v>
      </c>
      <c r="HO543">
        <v>35</v>
      </c>
      <c r="HP543">
        <v>1.18E-2</v>
      </c>
      <c r="HQ543">
        <v>0</v>
      </c>
      <c r="HR543" t="s">
        <v>1042</v>
      </c>
      <c r="HT543">
        <v>0</v>
      </c>
      <c r="HU543">
        <v>0</v>
      </c>
      <c r="HW543">
        <v>0</v>
      </c>
      <c r="HX543">
        <v>6756</v>
      </c>
      <c r="HY543">
        <v>0</v>
      </c>
      <c r="IA543">
        <v>0</v>
      </c>
      <c r="IC543" t="s">
        <v>1151</v>
      </c>
      <c r="IF543">
        <v>30000</v>
      </c>
      <c r="IG543" t="s">
        <v>1042</v>
      </c>
      <c r="IH543" t="s">
        <v>1046</v>
      </c>
      <c r="II543" t="s">
        <v>1042</v>
      </c>
      <c r="IR543" t="s">
        <v>1045</v>
      </c>
      <c r="IT543">
        <v>0</v>
      </c>
      <c r="JE543">
        <v>0</v>
      </c>
      <c r="JF543">
        <v>0</v>
      </c>
      <c r="JI543" t="s">
        <v>1042</v>
      </c>
      <c r="JJ543">
        <v>0</v>
      </c>
      <c r="JK543">
        <v>0</v>
      </c>
      <c r="JL543">
        <v>0</v>
      </c>
      <c r="JM543">
        <v>0</v>
      </c>
      <c r="JT543">
        <v>0</v>
      </c>
      <c r="JU543" t="s">
        <v>1042</v>
      </c>
      <c r="JW543">
        <v>0</v>
      </c>
      <c r="KA543">
        <v>0</v>
      </c>
      <c r="KF543">
        <v>0</v>
      </c>
      <c r="KG543">
        <v>0</v>
      </c>
      <c r="KH543">
        <v>0</v>
      </c>
      <c r="KI543">
        <v>0</v>
      </c>
      <c r="KS543" t="s">
        <v>1041</v>
      </c>
      <c r="KT543">
        <v>0</v>
      </c>
      <c r="KU543">
        <v>0</v>
      </c>
      <c r="KV543">
        <v>0</v>
      </c>
      <c r="KX543">
        <v>0</v>
      </c>
      <c r="KZ543">
        <v>0</v>
      </c>
      <c r="LF543">
        <v>0</v>
      </c>
      <c r="LH543">
        <v>0</v>
      </c>
      <c r="LI543">
        <v>0</v>
      </c>
    </row>
    <row r="544" spans="1:321" x14ac:dyDescent="0.35">
      <c r="A544">
        <v>1</v>
      </c>
      <c r="B544">
        <v>1337</v>
      </c>
      <c r="C544" t="s">
        <v>698</v>
      </c>
      <c r="D544" t="s">
        <v>1061</v>
      </c>
      <c r="E544" t="s">
        <v>85</v>
      </c>
      <c r="F544">
        <v>1</v>
      </c>
      <c r="G544">
        <v>220</v>
      </c>
      <c r="H544">
        <v>0</v>
      </c>
      <c r="I544" t="s">
        <v>994</v>
      </c>
      <c r="L544">
        <v>0</v>
      </c>
      <c r="M544">
        <v>0</v>
      </c>
      <c r="N544">
        <v>0</v>
      </c>
      <c r="Q544">
        <v>516</v>
      </c>
      <c r="R544">
        <v>0</v>
      </c>
      <c r="S544">
        <v>0</v>
      </c>
      <c r="W544" t="s">
        <v>1060</v>
      </c>
      <c r="X544">
        <v>0</v>
      </c>
      <c r="Z544">
        <v>10</v>
      </c>
      <c r="AA544">
        <v>5.5460000000000003</v>
      </c>
      <c r="AB544">
        <v>3018</v>
      </c>
      <c r="AC544">
        <v>0.19389999999999999</v>
      </c>
      <c r="AD544" t="s">
        <v>1042</v>
      </c>
      <c r="AE544">
        <v>0</v>
      </c>
      <c r="AF544">
        <v>5.4999999999999997E-3</v>
      </c>
      <c r="AH544">
        <v>2920</v>
      </c>
      <c r="AJ544">
        <v>1</v>
      </c>
      <c r="AK544" t="s">
        <v>1154</v>
      </c>
      <c r="AL544">
        <v>0</v>
      </c>
      <c r="AM544">
        <v>0</v>
      </c>
      <c r="AN544">
        <v>11501001</v>
      </c>
      <c r="AO544">
        <v>0</v>
      </c>
      <c r="AP544">
        <v>1002</v>
      </c>
      <c r="AT544">
        <v>1</v>
      </c>
      <c r="AU544" t="s">
        <v>1059</v>
      </c>
      <c r="AV544" t="s">
        <v>1043</v>
      </c>
      <c r="AW544" t="s">
        <v>1053</v>
      </c>
      <c r="AX544">
        <v>0</v>
      </c>
      <c r="AY544" s="20">
        <v>43676</v>
      </c>
      <c r="BA544" s="20">
        <v>44643</v>
      </c>
      <c r="BB544" t="s">
        <v>1058</v>
      </c>
      <c r="BD544">
        <v>0</v>
      </c>
      <c r="BF544" t="s">
        <v>1044</v>
      </c>
      <c r="BG544" t="s">
        <v>1042</v>
      </c>
      <c r="BH544">
        <v>0</v>
      </c>
      <c r="BI544">
        <v>6</v>
      </c>
      <c r="BJ544">
        <v>0</v>
      </c>
      <c r="BK544">
        <v>0</v>
      </c>
      <c r="BM544" s="20">
        <v>44050</v>
      </c>
      <c r="BN544">
        <v>0</v>
      </c>
      <c r="BO544">
        <v>7897801319690</v>
      </c>
      <c r="BR544" t="s">
        <v>1043</v>
      </c>
      <c r="BS544" t="s">
        <v>1043</v>
      </c>
      <c r="BT544" t="s">
        <v>1043</v>
      </c>
      <c r="BV544">
        <v>1</v>
      </c>
      <c r="BW544">
        <v>31</v>
      </c>
      <c r="BY544">
        <v>82</v>
      </c>
      <c r="CA544">
        <v>0</v>
      </c>
      <c r="CB544" t="s">
        <v>1043</v>
      </c>
      <c r="CE544" t="s">
        <v>1043</v>
      </c>
      <c r="CH544" t="s">
        <v>1043</v>
      </c>
      <c r="CI544" t="s">
        <v>1153</v>
      </c>
      <c r="CK544" t="s">
        <v>1152</v>
      </c>
      <c r="CN544" t="s">
        <v>1056</v>
      </c>
      <c r="CP544">
        <v>1</v>
      </c>
      <c r="CQ544">
        <v>0</v>
      </c>
      <c r="CS544">
        <v>0</v>
      </c>
      <c r="CT544">
        <v>0</v>
      </c>
      <c r="CU544">
        <v>0</v>
      </c>
      <c r="CW544">
        <v>0</v>
      </c>
      <c r="CX544">
        <v>0</v>
      </c>
      <c r="CY544">
        <v>0</v>
      </c>
      <c r="CZ544">
        <v>0</v>
      </c>
      <c r="DA544">
        <v>3</v>
      </c>
      <c r="DB544">
        <v>2550000</v>
      </c>
      <c r="DH544">
        <v>0</v>
      </c>
      <c r="DJ544">
        <v>0</v>
      </c>
      <c r="DL544">
        <v>0</v>
      </c>
      <c r="DN544">
        <v>0</v>
      </c>
      <c r="DO544" t="s">
        <v>1042</v>
      </c>
      <c r="DP544">
        <v>0</v>
      </c>
      <c r="DQ544">
        <v>7.6</v>
      </c>
      <c r="DS544">
        <v>0</v>
      </c>
      <c r="DU544">
        <v>1.65</v>
      </c>
      <c r="DW544">
        <v>0</v>
      </c>
      <c r="DY544">
        <v>0</v>
      </c>
      <c r="DZ544">
        <v>0</v>
      </c>
      <c r="EA544">
        <v>0</v>
      </c>
      <c r="EB544">
        <v>17897801319697</v>
      </c>
      <c r="EE544">
        <v>0</v>
      </c>
      <c r="EF544">
        <v>0</v>
      </c>
      <c r="EG544" t="s">
        <v>1044</v>
      </c>
      <c r="EK544" t="s">
        <v>1054</v>
      </c>
      <c r="EL544">
        <v>57897801319695</v>
      </c>
      <c r="EN544" t="s">
        <v>1012</v>
      </c>
      <c r="ET544">
        <v>0</v>
      </c>
      <c r="EV544">
        <v>0</v>
      </c>
      <c r="EY544" t="s">
        <v>1052</v>
      </c>
      <c r="EZ544">
        <v>0</v>
      </c>
      <c r="FA544" t="s">
        <v>1043</v>
      </c>
      <c r="FB544">
        <v>0</v>
      </c>
      <c r="FC544">
        <v>0</v>
      </c>
      <c r="FD544" t="s">
        <v>1051</v>
      </c>
      <c r="FE544" t="s">
        <v>1050</v>
      </c>
      <c r="FF544">
        <v>3000</v>
      </c>
      <c r="FG544" t="s">
        <v>1050</v>
      </c>
      <c r="FH544">
        <v>27897801319694</v>
      </c>
      <c r="FJ544">
        <v>0</v>
      </c>
      <c r="FK544">
        <v>0</v>
      </c>
      <c r="FP544">
        <v>0</v>
      </c>
      <c r="FR544">
        <v>0</v>
      </c>
      <c r="FS544" t="s">
        <v>1044</v>
      </c>
      <c r="FX544" t="s">
        <v>1042</v>
      </c>
      <c r="GA544">
        <v>0</v>
      </c>
      <c r="GB544" t="s">
        <v>1042</v>
      </c>
      <c r="GD544">
        <v>16</v>
      </c>
      <c r="GE544">
        <v>0</v>
      </c>
      <c r="GG544">
        <v>0</v>
      </c>
      <c r="GN544">
        <v>0</v>
      </c>
      <c r="GO544" t="s">
        <v>1049</v>
      </c>
      <c r="GQ544">
        <v>0</v>
      </c>
      <c r="GU544">
        <v>0</v>
      </c>
      <c r="GY544" t="s">
        <v>1045</v>
      </c>
      <c r="HB544">
        <v>0</v>
      </c>
      <c r="HE544">
        <v>10</v>
      </c>
      <c r="HF544">
        <v>0</v>
      </c>
      <c r="HG544">
        <v>1.3999999999999999E-4</v>
      </c>
      <c r="HK544" t="s">
        <v>1042</v>
      </c>
      <c r="HL544" t="s">
        <v>1048</v>
      </c>
      <c r="HM544">
        <v>0</v>
      </c>
      <c r="HN544">
        <v>0</v>
      </c>
      <c r="HO544">
        <v>35</v>
      </c>
      <c r="HP544">
        <v>5.1000000000000004E-3</v>
      </c>
      <c r="HQ544">
        <v>0</v>
      </c>
      <c r="HR544" t="s">
        <v>1042</v>
      </c>
      <c r="HT544">
        <v>0</v>
      </c>
      <c r="HU544">
        <v>0</v>
      </c>
      <c r="HW544">
        <v>0</v>
      </c>
      <c r="HX544">
        <v>3250</v>
      </c>
      <c r="HY544">
        <v>0</v>
      </c>
      <c r="IA544">
        <v>0</v>
      </c>
      <c r="IC544" t="s">
        <v>1151</v>
      </c>
      <c r="IF544">
        <v>90000</v>
      </c>
      <c r="IG544" t="s">
        <v>1042</v>
      </c>
      <c r="IH544" t="s">
        <v>1046</v>
      </c>
      <c r="II544" t="s">
        <v>1042</v>
      </c>
      <c r="IR544" t="s">
        <v>1045</v>
      </c>
      <c r="IT544">
        <v>0</v>
      </c>
      <c r="JE544">
        <v>0</v>
      </c>
      <c r="JF544">
        <v>0</v>
      </c>
      <c r="JI544" t="s">
        <v>1042</v>
      </c>
      <c r="JJ544">
        <v>0</v>
      </c>
      <c r="JK544">
        <v>0</v>
      </c>
      <c r="JL544">
        <v>0</v>
      </c>
      <c r="JM544">
        <v>0</v>
      </c>
      <c r="JT544">
        <v>0</v>
      </c>
      <c r="JU544" t="s">
        <v>1042</v>
      </c>
      <c r="JW544">
        <v>0</v>
      </c>
      <c r="KA544">
        <v>0</v>
      </c>
      <c r="KF544">
        <v>0</v>
      </c>
      <c r="KG544">
        <v>0</v>
      </c>
      <c r="KH544">
        <v>0</v>
      </c>
      <c r="KI544">
        <v>0</v>
      </c>
      <c r="KS544" t="s">
        <v>1041</v>
      </c>
      <c r="KT544">
        <v>0</v>
      </c>
      <c r="KU544">
        <v>0</v>
      </c>
      <c r="KV544">
        <v>0</v>
      </c>
      <c r="KX544">
        <v>0</v>
      </c>
      <c r="KZ544">
        <v>0</v>
      </c>
      <c r="LF544">
        <v>0</v>
      </c>
      <c r="LH544">
        <v>0</v>
      </c>
      <c r="LI544">
        <v>0</v>
      </c>
    </row>
    <row r="545" spans="1:321" x14ac:dyDescent="0.35">
      <c r="A545">
        <v>1</v>
      </c>
      <c r="B545">
        <v>1338</v>
      </c>
      <c r="C545" t="s">
        <v>699</v>
      </c>
      <c r="D545" t="s">
        <v>1061</v>
      </c>
      <c r="E545" t="s">
        <v>85</v>
      </c>
      <c r="F545">
        <v>1</v>
      </c>
      <c r="G545">
        <v>220</v>
      </c>
      <c r="H545">
        <v>0</v>
      </c>
      <c r="I545" t="s">
        <v>994</v>
      </c>
      <c r="L545">
        <v>0</v>
      </c>
      <c r="M545">
        <v>0</v>
      </c>
      <c r="N545">
        <v>0</v>
      </c>
      <c r="Q545">
        <v>516</v>
      </c>
      <c r="R545">
        <v>0</v>
      </c>
      <c r="S545">
        <v>0</v>
      </c>
      <c r="W545" t="s">
        <v>1060</v>
      </c>
      <c r="X545">
        <v>0</v>
      </c>
      <c r="Z545">
        <v>10</v>
      </c>
      <c r="AA545">
        <v>6.7149999999999999</v>
      </c>
      <c r="AB545">
        <v>12852</v>
      </c>
      <c r="AC545">
        <v>0.28110000000000002</v>
      </c>
      <c r="AD545" t="s">
        <v>1042</v>
      </c>
      <c r="AE545">
        <v>0</v>
      </c>
      <c r="AF545">
        <v>1.0200000000000001E-2</v>
      </c>
      <c r="AH545">
        <v>12295</v>
      </c>
      <c r="AJ545">
        <v>1</v>
      </c>
      <c r="AK545" t="s">
        <v>1154</v>
      </c>
      <c r="AL545">
        <v>0</v>
      </c>
      <c r="AM545">
        <v>0</v>
      </c>
      <c r="AN545">
        <v>11501001</v>
      </c>
      <c r="AO545">
        <v>0</v>
      </c>
      <c r="AP545">
        <v>1002</v>
      </c>
      <c r="AT545">
        <v>1</v>
      </c>
      <c r="AU545" t="s">
        <v>1059</v>
      </c>
      <c r="AV545" t="s">
        <v>1043</v>
      </c>
      <c r="AW545" t="s">
        <v>1053</v>
      </c>
      <c r="AX545">
        <v>0</v>
      </c>
      <c r="AY545" s="20">
        <v>43676</v>
      </c>
      <c r="BA545" s="20">
        <v>44643</v>
      </c>
      <c r="BB545" t="s">
        <v>1058</v>
      </c>
      <c r="BD545">
        <v>0</v>
      </c>
      <c r="BF545" t="s">
        <v>1044</v>
      </c>
      <c r="BG545" t="s">
        <v>1042</v>
      </c>
      <c r="BH545">
        <v>0</v>
      </c>
      <c r="BI545">
        <v>6</v>
      </c>
      <c r="BJ545">
        <v>0</v>
      </c>
      <c r="BK545">
        <v>0</v>
      </c>
      <c r="BM545" s="20">
        <v>44050</v>
      </c>
      <c r="BN545">
        <v>0</v>
      </c>
      <c r="BO545">
        <v>7897801319706</v>
      </c>
      <c r="BR545" t="s">
        <v>1043</v>
      </c>
      <c r="BS545" t="s">
        <v>1043</v>
      </c>
      <c r="BT545" t="s">
        <v>1043</v>
      </c>
      <c r="BV545">
        <v>1</v>
      </c>
      <c r="BW545">
        <v>31</v>
      </c>
      <c r="BY545">
        <v>82</v>
      </c>
      <c r="CA545">
        <v>0</v>
      </c>
      <c r="CB545" t="s">
        <v>1043</v>
      </c>
      <c r="CE545" t="s">
        <v>1043</v>
      </c>
      <c r="CH545" t="s">
        <v>1043</v>
      </c>
      <c r="CI545" t="s">
        <v>1153</v>
      </c>
      <c r="CK545" t="s">
        <v>1152</v>
      </c>
      <c r="CN545" t="s">
        <v>1056</v>
      </c>
      <c r="CP545">
        <v>1</v>
      </c>
      <c r="CQ545">
        <v>0</v>
      </c>
      <c r="CS545">
        <v>0</v>
      </c>
      <c r="CT545">
        <v>0</v>
      </c>
      <c r="CU545">
        <v>0</v>
      </c>
      <c r="CW545">
        <v>0</v>
      </c>
      <c r="CX545">
        <v>0</v>
      </c>
      <c r="CY545">
        <v>0</v>
      </c>
      <c r="CZ545">
        <v>0</v>
      </c>
      <c r="DA545">
        <v>2</v>
      </c>
      <c r="DB545">
        <v>2550000</v>
      </c>
      <c r="DH545">
        <v>0</v>
      </c>
      <c r="DJ545">
        <v>0</v>
      </c>
      <c r="DL545">
        <v>0</v>
      </c>
      <c r="DN545">
        <v>0</v>
      </c>
      <c r="DO545" t="s">
        <v>1042</v>
      </c>
      <c r="DP545">
        <v>0</v>
      </c>
      <c r="DQ545">
        <v>7.6</v>
      </c>
      <c r="DS545">
        <v>0</v>
      </c>
      <c r="DU545">
        <v>1.65</v>
      </c>
      <c r="DW545">
        <v>0</v>
      </c>
      <c r="DY545">
        <v>0</v>
      </c>
      <c r="DZ545">
        <v>0</v>
      </c>
      <c r="EA545">
        <v>0</v>
      </c>
      <c r="EB545">
        <v>17897801319703</v>
      </c>
      <c r="EE545">
        <v>0</v>
      </c>
      <c r="EF545">
        <v>0</v>
      </c>
      <c r="EG545" t="s">
        <v>1044</v>
      </c>
      <c r="EK545" t="s">
        <v>1054</v>
      </c>
      <c r="EL545">
        <v>57897801319701</v>
      </c>
      <c r="EN545" t="s">
        <v>1012</v>
      </c>
      <c r="ET545">
        <v>0</v>
      </c>
      <c r="EV545">
        <v>0</v>
      </c>
      <c r="EY545" t="s">
        <v>1052</v>
      </c>
      <c r="EZ545">
        <v>0</v>
      </c>
      <c r="FA545" t="s">
        <v>1043</v>
      </c>
      <c r="FB545">
        <v>0</v>
      </c>
      <c r="FC545">
        <v>0</v>
      </c>
      <c r="FD545" t="s">
        <v>1051</v>
      </c>
      <c r="FE545" t="s">
        <v>1050</v>
      </c>
      <c r="FF545">
        <v>2000</v>
      </c>
      <c r="FG545" t="s">
        <v>1050</v>
      </c>
      <c r="FH545">
        <v>27897801319700</v>
      </c>
      <c r="FJ545">
        <v>0</v>
      </c>
      <c r="FK545">
        <v>0</v>
      </c>
      <c r="FP545">
        <v>0</v>
      </c>
      <c r="FR545">
        <v>0</v>
      </c>
      <c r="FS545" t="s">
        <v>1044</v>
      </c>
      <c r="FX545" t="s">
        <v>1042</v>
      </c>
      <c r="GA545">
        <v>0</v>
      </c>
      <c r="GB545" t="s">
        <v>1042</v>
      </c>
      <c r="GD545">
        <v>16</v>
      </c>
      <c r="GE545">
        <v>0</v>
      </c>
      <c r="GG545">
        <v>0</v>
      </c>
      <c r="GN545">
        <v>0</v>
      </c>
      <c r="GO545" t="s">
        <v>1049</v>
      </c>
      <c r="GQ545">
        <v>0</v>
      </c>
      <c r="GU545">
        <v>0</v>
      </c>
      <c r="GY545" t="s">
        <v>1045</v>
      </c>
      <c r="HB545">
        <v>0</v>
      </c>
      <c r="HE545">
        <v>10</v>
      </c>
      <c r="HF545">
        <v>0</v>
      </c>
      <c r="HG545">
        <v>2.3000000000000001E-4</v>
      </c>
      <c r="HK545" t="s">
        <v>1042</v>
      </c>
      <c r="HL545" t="s">
        <v>1048</v>
      </c>
      <c r="HM545">
        <v>0</v>
      </c>
      <c r="HN545">
        <v>0</v>
      </c>
      <c r="HO545">
        <v>35</v>
      </c>
      <c r="HP545">
        <v>9.7999999999999997E-3</v>
      </c>
      <c r="HQ545">
        <v>0</v>
      </c>
      <c r="HR545" t="s">
        <v>1042</v>
      </c>
      <c r="HT545">
        <v>0</v>
      </c>
      <c r="HU545">
        <v>0</v>
      </c>
      <c r="HW545">
        <v>0</v>
      </c>
      <c r="HX545">
        <v>14165</v>
      </c>
      <c r="HY545">
        <v>0</v>
      </c>
      <c r="IA545">
        <v>0</v>
      </c>
      <c r="IC545" t="s">
        <v>1151</v>
      </c>
      <c r="IF545">
        <v>60000</v>
      </c>
      <c r="IG545" t="s">
        <v>1042</v>
      </c>
      <c r="IH545" t="s">
        <v>1046</v>
      </c>
      <c r="II545" t="s">
        <v>1042</v>
      </c>
      <c r="IR545" t="s">
        <v>1045</v>
      </c>
      <c r="IT545">
        <v>0</v>
      </c>
      <c r="JE545">
        <v>0</v>
      </c>
      <c r="JF545">
        <v>0</v>
      </c>
      <c r="JI545" t="s">
        <v>1042</v>
      </c>
      <c r="JJ545">
        <v>0</v>
      </c>
      <c r="JK545">
        <v>0</v>
      </c>
      <c r="JL545">
        <v>0</v>
      </c>
      <c r="JM545">
        <v>0</v>
      </c>
      <c r="JT545">
        <v>0</v>
      </c>
      <c r="JU545" t="s">
        <v>1042</v>
      </c>
      <c r="JW545">
        <v>0</v>
      </c>
      <c r="KA545">
        <v>0</v>
      </c>
      <c r="KF545">
        <v>0</v>
      </c>
      <c r="KG545">
        <v>0</v>
      </c>
      <c r="KH545">
        <v>0</v>
      </c>
      <c r="KI545">
        <v>0</v>
      </c>
      <c r="KS545" t="s">
        <v>1041</v>
      </c>
      <c r="KT545">
        <v>0</v>
      </c>
      <c r="KU545">
        <v>0</v>
      </c>
      <c r="KV545">
        <v>0</v>
      </c>
      <c r="KX545">
        <v>0</v>
      </c>
      <c r="KZ545">
        <v>0</v>
      </c>
      <c r="LF545">
        <v>0</v>
      </c>
      <c r="LH545">
        <v>0</v>
      </c>
      <c r="LI545">
        <v>0</v>
      </c>
    </row>
    <row r="546" spans="1:321" x14ac:dyDescent="0.35">
      <c r="A546">
        <v>1</v>
      </c>
      <c r="B546">
        <v>1339</v>
      </c>
      <c r="C546" t="s">
        <v>700</v>
      </c>
      <c r="D546" t="s">
        <v>1061</v>
      </c>
      <c r="E546" t="s">
        <v>85</v>
      </c>
      <c r="F546">
        <v>1</v>
      </c>
      <c r="G546">
        <v>220</v>
      </c>
      <c r="H546">
        <v>0</v>
      </c>
      <c r="I546" t="s">
        <v>994</v>
      </c>
      <c r="L546">
        <v>0</v>
      </c>
      <c r="M546">
        <v>0</v>
      </c>
      <c r="N546">
        <v>0</v>
      </c>
      <c r="Q546">
        <v>516</v>
      </c>
      <c r="R546">
        <v>0</v>
      </c>
      <c r="S546">
        <v>0</v>
      </c>
      <c r="W546" t="s">
        <v>1060</v>
      </c>
      <c r="X546">
        <v>0</v>
      </c>
      <c r="Z546">
        <v>10</v>
      </c>
      <c r="AA546">
        <v>9.11</v>
      </c>
      <c r="AB546">
        <v>1124</v>
      </c>
      <c r="AC546">
        <v>0.26869999999999999</v>
      </c>
      <c r="AD546" t="s">
        <v>1042</v>
      </c>
      <c r="AE546">
        <v>0</v>
      </c>
      <c r="AF546">
        <v>1.72E-2</v>
      </c>
      <c r="AH546">
        <v>1025</v>
      </c>
      <c r="AJ546">
        <v>1</v>
      </c>
      <c r="AK546" t="s">
        <v>1154</v>
      </c>
      <c r="AL546">
        <v>0</v>
      </c>
      <c r="AM546">
        <v>0</v>
      </c>
      <c r="AN546">
        <v>11501001</v>
      </c>
      <c r="AO546">
        <v>0</v>
      </c>
      <c r="AP546">
        <v>1002</v>
      </c>
      <c r="AT546">
        <v>1</v>
      </c>
      <c r="AU546" t="s">
        <v>1059</v>
      </c>
      <c r="AV546" t="s">
        <v>1043</v>
      </c>
      <c r="AW546" t="s">
        <v>1053</v>
      </c>
      <c r="AX546">
        <v>0</v>
      </c>
      <c r="AY546" s="20">
        <v>43676</v>
      </c>
      <c r="BA546" s="20">
        <v>44643</v>
      </c>
      <c r="BB546" t="s">
        <v>1058</v>
      </c>
      <c r="BD546">
        <v>0</v>
      </c>
      <c r="BF546" t="s">
        <v>1044</v>
      </c>
      <c r="BG546" t="s">
        <v>1042</v>
      </c>
      <c r="BH546">
        <v>0</v>
      </c>
      <c r="BI546">
        <v>6</v>
      </c>
      <c r="BJ546">
        <v>0</v>
      </c>
      <c r="BK546">
        <v>0</v>
      </c>
      <c r="BM546" s="20">
        <v>44050</v>
      </c>
      <c r="BN546">
        <v>0</v>
      </c>
      <c r="BO546">
        <v>7897801319713</v>
      </c>
      <c r="BR546" t="s">
        <v>1043</v>
      </c>
      <c r="BS546" t="s">
        <v>1043</v>
      </c>
      <c r="BT546" t="s">
        <v>1043</v>
      </c>
      <c r="BV546">
        <v>1</v>
      </c>
      <c r="BW546">
        <v>31</v>
      </c>
      <c r="BY546">
        <v>82</v>
      </c>
      <c r="CA546">
        <v>0</v>
      </c>
      <c r="CB546" t="s">
        <v>1043</v>
      </c>
      <c r="CE546" t="s">
        <v>1043</v>
      </c>
      <c r="CH546" t="s">
        <v>1043</v>
      </c>
      <c r="CI546" t="s">
        <v>1153</v>
      </c>
      <c r="CK546" t="s">
        <v>1152</v>
      </c>
      <c r="CN546" t="s">
        <v>1056</v>
      </c>
      <c r="CP546">
        <v>1</v>
      </c>
      <c r="CQ546">
        <v>0</v>
      </c>
      <c r="CS546">
        <v>0</v>
      </c>
      <c r="CT546">
        <v>0</v>
      </c>
      <c r="CU546">
        <v>0</v>
      </c>
      <c r="CW546">
        <v>0</v>
      </c>
      <c r="CX546">
        <v>0</v>
      </c>
      <c r="CY546">
        <v>0</v>
      </c>
      <c r="CZ546">
        <v>0</v>
      </c>
      <c r="DA546">
        <v>2</v>
      </c>
      <c r="DB546">
        <v>2550000</v>
      </c>
      <c r="DH546">
        <v>0</v>
      </c>
      <c r="DJ546">
        <v>0</v>
      </c>
      <c r="DL546">
        <v>0</v>
      </c>
      <c r="DN546">
        <v>0</v>
      </c>
      <c r="DO546" t="s">
        <v>1042</v>
      </c>
      <c r="DP546">
        <v>0</v>
      </c>
      <c r="DQ546">
        <v>7.6</v>
      </c>
      <c r="DS546">
        <v>0</v>
      </c>
      <c r="DU546">
        <v>1.65</v>
      </c>
      <c r="DW546">
        <v>0</v>
      </c>
      <c r="DY546">
        <v>0</v>
      </c>
      <c r="DZ546">
        <v>0</v>
      </c>
      <c r="EA546">
        <v>0</v>
      </c>
      <c r="EB546">
        <v>17897801319710</v>
      </c>
      <c r="EE546">
        <v>0</v>
      </c>
      <c r="EF546">
        <v>0</v>
      </c>
      <c r="EG546" t="s">
        <v>1044</v>
      </c>
      <c r="EK546" t="s">
        <v>1054</v>
      </c>
      <c r="EL546">
        <v>57897801319718</v>
      </c>
      <c r="EN546" t="s">
        <v>1012</v>
      </c>
      <c r="ET546">
        <v>0</v>
      </c>
      <c r="EV546">
        <v>0</v>
      </c>
      <c r="EY546" t="s">
        <v>1052</v>
      </c>
      <c r="EZ546">
        <v>0</v>
      </c>
      <c r="FA546" t="s">
        <v>1043</v>
      </c>
      <c r="FB546">
        <v>0</v>
      </c>
      <c r="FC546">
        <v>0</v>
      </c>
      <c r="FD546" t="s">
        <v>1051</v>
      </c>
      <c r="FE546" t="s">
        <v>1050</v>
      </c>
      <c r="FF546">
        <v>1000</v>
      </c>
      <c r="FG546" t="s">
        <v>1050</v>
      </c>
      <c r="FH546">
        <v>27897801319717</v>
      </c>
      <c r="FJ546">
        <v>0</v>
      </c>
      <c r="FK546">
        <v>0</v>
      </c>
      <c r="FP546">
        <v>0</v>
      </c>
      <c r="FR546">
        <v>0</v>
      </c>
      <c r="FS546" t="s">
        <v>1044</v>
      </c>
      <c r="FX546" t="s">
        <v>1042</v>
      </c>
      <c r="GA546">
        <v>0</v>
      </c>
      <c r="GB546" t="s">
        <v>1042</v>
      </c>
      <c r="GD546">
        <v>16</v>
      </c>
      <c r="GE546">
        <v>0</v>
      </c>
      <c r="GG546">
        <v>0</v>
      </c>
      <c r="GN546">
        <v>0</v>
      </c>
      <c r="GO546" t="s">
        <v>1049</v>
      </c>
      <c r="GQ546">
        <v>0</v>
      </c>
      <c r="GU546">
        <v>0</v>
      </c>
      <c r="GY546" t="s">
        <v>1045</v>
      </c>
      <c r="HB546">
        <v>0</v>
      </c>
      <c r="HE546">
        <v>10</v>
      </c>
      <c r="HF546">
        <v>0</v>
      </c>
      <c r="HG546">
        <v>4.6000000000000001E-4</v>
      </c>
      <c r="HK546" t="s">
        <v>1042</v>
      </c>
      <c r="HL546" t="s">
        <v>1048</v>
      </c>
      <c r="HM546">
        <v>0</v>
      </c>
      <c r="HN546">
        <v>0</v>
      </c>
      <c r="HO546">
        <v>35</v>
      </c>
      <c r="HP546">
        <v>1.6799999999999999E-2</v>
      </c>
      <c r="HQ546">
        <v>0</v>
      </c>
      <c r="HR546" t="s">
        <v>1042</v>
      </c>
      <c r="HT546">
        <v>0</v>
      </c>
      <c r="HU546">
        <v>0</v>
      </c>
      <c r="HW546">
        <v>0</v>
      </c>
      <c r="HX546">
        <v>1358</v>
      </c>
      <c r="HY546">
        <v>0</v>
      </c>
      <c r="IA546">
        <v>0</v>
      </c>
      <c r="IC546" t="s">
        <v>1151</v>
      </c>
      <c r="IF546">
        <v>30000</v>
      </c>
      <c r="IG546" t="s">
        <v>1042</v>
      </c>
      <c r="IH546" t="s">
        <v>1046</v>
      </c>
      <c r="II546" t="s">
        <v>1042</v>
      </c>
      <c r="IR546" t="s">
        <v>1045</v>
      </c>
      <c r="IT546">
        <v>0</v>
      </c>
      <c r="JE546">
        <v>0</v>
      </c>
      <c r="JF546">
        <v>0</v>
      </c>
      <c r="JI546" t="s">
        <v>1042</v>
      </c>
      <c r="JJ546">
        <v>0</v>
      </c>
      <c r="JK546">
        <v>0</v>
      </c>
      <c r="JL546">
        <v>0</v>
      </c>
      <c r="JM546">
        <v>0</v>
      </c>
      <c r="JT546">
        <v>0</v>
      </c>
      <c r="JU546" t="s">
        <v>1042</v>
      </c>
      <c r="JW546">
        <v>0</v>
      </c>
      <c r="KA546">
        <v>0</v>
      </c>
      <c r="KF546">
        <v>0</v>
      </c>
      <c r="KG546">
        <v>0</v>
      </c>
      <c r="KH546">
        <v>0</v>
      </c>
      <c r="KI546">
        <v>0</v>
      </c>
      <c r="KS546" t="s">
        <v>1041</v>
      </c>
      <c r="KT546">
        <v>0</v>
      </c>
      <c r="KU546">
        <v>0</v>
      </c>
      <c r="KV546">
        <v>0</v>
      </c>
      <c r="KX546">
        <v>0</v>
      </c>
      <c r="KZ546">
        <v>0</v>
      </c>
      <c r="LF546">
        <v>0</v>
      </c>
      <c r="LH546">
        <v>0</v>
      </c>
      <c r="LI546">
        <v>0</v>
      </c>
    </row>
    <row r="547" spans="1:321" x14ac:dyDescent="0.35">
      <c r="A547">
        <v>1</v>
      </c>
      <c r="B547">
        <v>1340</v>
      </c>
      <c r="C547" t="s">
        <v>701</v>
      </c>
      <c r="D547" t="s">
        <v>1061</v>
      </c>
      <c r="E547" t="s">
        <v>85</v>
      </c>
      <c r="F547">
        <v>1</v>
      </c>
      <c r="G547">
        <v>220</v>
      </c>
      <c r="H547">
        <v>0</v>
      </c>
      <c r="I547" t="s">
        <v>994</v>
      </c>
      <c r="L547">
        <v>0</v>
      </c>
      <c r="M547">
        <v>0</v>
      </c>
      <c r="N547">
        <v>0</v>
      </c>
      <c r="Q547">
        <v>516</v>
      </c>
      <c r="R547">
        <v>0</v>
      </c>
      <c r="S547">
        <v>0</v>
      </c>
      <c r="W547" t="s">
        <v>1060</v>
      </c>
      <c r="X547">
        <v>0</v>
      </c>
      <c r="Z547">
        <v>10</v>
      </c>
      <c r="AA547">
        <v>53.956000000000003</v>
      </c>
      <c r="AB547">
        <v>6116</v>
      </c>
      <c r="AC547">
        <v>3.9256000000000002</v>
      </c>
      <c r="AD547" t="s">
        <v>1042</v>
      </c>
      <c r="AE547">
        <v>0</v>
      </c>
      <c r="AF547">
        <v>5.0599999999999999E-2</v>
      </c>
      <c r="AH547">
        <v>5814</v>
      </c>
      <c r="AJ547">
        <v>1</v>
      </c>
      <c r="AK547" t="s">
        <v>1154</v>
      </c>
      <c r="AL547">
        <v>0</v>
      </c>
      <c r="AM547">
        <v>0</v>
      </c>
      <c r="AN547">
        <v>11501001</v>
      </c>
      <c r="AO547">
        <v>0</v>
      </c>
      <c r="AP547">
        <v>1002</v>
      </c>
      <c r="AT547">
        <v>1</v>
      </c>
      <c r="AU547" t="s">
        <v>1059</v>
      </c>
      <c r="AV547" t="s">
        <v>1043</v>
      </c>
      <c r="AW547" t="s">
        <v>1053</v>
      </c>
      <c r="AX547">
        <v>0</v>
      </c>
      <c r="AY547" s="20">
        <v>43676</v>
      </c>
      <c r="BA547" s="20">
        <v>44494</v>
      </c>
      <c r="BB547" t="s">
        <v>1058</v>
      </c>
      <c r="BD547">
        <v>0</v>
      </c>
      <c r="BF547" t="s">
        <v>1044</v>
      </c>
      <c r="BG547" t="s">
        <v>1042</v>
      </c>
      <c r="BH547">
        <v>0</v>
      </c>
      <c r="BI547">
        <v>6</v>
      </c>
      <c r="BJ547">
        <v>0</v>
      </c>
      <c r="BK547">
        <v>0</v>
      </c>
      <c r="BM547" s="20">
        <v>44207</v>
      </c>
      <c r="BN547">
        <v>0</v>
      </c>
      <c r="BO547">
        <v>7897801319720</v>
      </c>
      <c r="BR547" t="s">
        <v>1043</v>
      </c>
      <c r="BS547" t="s">
        <v>1043</v>
      </c>
      <c r="BT547" t="s">
        <v>1043</v>
      </c>
      <c r="BV547">
        <v>1</v>
      </c>
      <c r="BW547">
        <v>31</v>
      </c>
      <c r="BY547">
        <v>82</v>
      </c>
      <c r="CA547">
        <v>0</v>
      </c>
      <c r="CB547" t="s">
        <v>1043</v>
      </c>
      <c r="CE547" t="s">
        <v>1043</v>
      </c>
      <c r="CH547" t="s">
        <v>1043</v>
      </c>
      <c r="CI547" t="s">
        <v>1153</v>
      </c>
      <c r="CK547" t="s">
        <v>1152</v>
      </c>
      <c r="CN547" t="s">
        <v>1056</v>
      </c>
      <c r="CP547">
        <v>1</v>
      </c>
      <c r="CQ547">
        <v>0</v>
      </c>
      <c r="CS547">
        <v>0</v>
      </c>
      <c r="CT547">
        <v>0</v>
      </c>
      <c r="CU547">
        <v>0</v>
      </c>
      <c r="CW547">
        <v>0</v>
      </c>
      <c r="CX547">
        <v>0</v>
      </c>
      <c r="CY547">
        <v>0</v>
      </c>
      <c r="CZ547">
        <v>0</v>
      </c>
      <c r="DA547">
        <v>2</v>
      </c>
      <c r="DB547">
        <v>2550000</v>
      </c>
      <c r="DH547">
        <v>0</v>
      </c>
      <c r="DJ547">
        <v>0</v>
      </c>
      <c r="DL547">
        <v>0</v>
      </c>
      <c r="DN547">
        <v>0</v>
      </c>
      <c r="DO547" t="s">
        <v>1042</v>
      </c>
      <c r="DP547">
        <v>0</v>
      </c>
      <c r="DQ547">
        <v>7.6</v>
      </c>
      <c r="DS547">
        <v>0</v>
      </c>
      <c r="DU547">
        <v>1.65</v>
      </c>
      <c r="DW547">
        <v>0</v>
      </c>
      <c r="DY547">
        <v>0</v>
      </c>
      <c r="DZ547">
        <v>0</v>
      </c>
      <c r="EA547">
        <v>0</v>
      </c>
      <c r="EB547">
        <v>17897801319727</v>
      </c>
      <c r="EE547">
        <v>0</v>
      </c>
      <c r="EF547">
        <v>0</v>
      </c>
      <c r="EG547" t="s">
        <v>1044</v>
      </c>
      <c r="EK547" t="s">
        <v>1054</v>
      </c>
      <c r="EL547">
        <v>57897801319725</v>
      </c>
      <c r="EN547" t="s">
        <v>1014</v>
      </c>
      <c r="ET547">
        <v>0</v>
      </c>
      <c r="EV547">
        <v>0</v>
      </c>
      <c r="EY547" t="s">
        <v>1052</v>
      </c>
      <c r="EZ547">
        <v>0</v>
      </c>
      <c r="FA547" t="s">
        <v>1043</v>
      </c>
      <c r="FB547">
        <v>0</v>
      </c>
      <c r="FC547">
        <v>0</v>
      </c>
      <c r="FD547" t="s">
        <v>1051</v>
      </c>
      <c r="FE547" t="s">
        <v>1050</v>
      </c>
      <c r="FF547">
        <v>360</v>
      </c>
      <c r="FG547" t="s">
        <v>1050</v>
      </c>
      <c r="FH547">
        <v>27897801319724</v>
      </c>
      <c r="FJ547">
        <v>0</v>
      </c>
      <c r="FK547">
        <v>0</v>
      </c>
      <c r="FP547">
        <v>0</v>
      </c>
      <c r="FR547">
        <v>0</v>
      </c>
      <c r="FS547" t="s">
        <v>1044</v>
      </c>
      <c r="FX547" t="s">
        <v>1042</v>
      </c>
      <c r="GA547">
        <v>0</v>
      </c>
      <c r="GB547" t="s">
        <v>1042</v>
      </c>
      <c r="GD547">
        <v>16</v>
      </c>
      <c r="GE547">
        <v>0</v>
      </c>
      <c r="GG547">
        <v>0</v>
      </c>
      <c r="GN547">
        <v>0</v>
      </c>
      <c r="GO547" t="s">
        <v>1049</v>
      </c>
      <c r="GQ547">
        <v>0</v>
      </c>
      <c r="GU547">
        <v>0</v>
      </c>
      <c r="GY547" t="s">
        <v>1045</v>
      </c>
      <c r="HB547">
        <v>0</v>
      </c>
      <c r="HE547">
        <v>10</v>
      </c>
      <c r="HF547">
        <v>0</v>
      </c>
      <c r="HG547">
        <v>4.2999999999999999E-4</v>
      </c>
      <c r="HK547" t="s">
        <v>1042</v>
      </c>
      <c r="HL547" t="s">
        <v>1048</v>
      </c>
      <c r="HM547">
        <v>0</v>
      </c>
      <c r="HN547">
        <v>0</v>
      </c>
      <c r="HO547">
        <v>35</v>
      </c>
      <c r="HP547">
        <v>1.4200000000000001E-2</v>
      </c>
      <c r="HQ547">
        <v>0</v>
      </c>
      <c r="HR547" t="s">
        <v>1042</v>
      </c>
      <c r="HT547">
        <v>0</v>
      </c>
      <c r="HU547">
        <v>0</v>
      </c>
      <c r="HW547">
        <v>0</v>
      </c>
      <c r="HX547">
        <v>6828</v>
      </c>
      <c r="HY547">
        <v>0</v>
      </c>
      <c r="IA547">
        <v>0</v>
      </c>
      <c r="IC547" t="s">
        <v>1151</v>
      </c>
      <c r="IF547">
        <v>23940</v>
      </c>
      <c r="IG547" t="s">
        <v>1042</v>
      </c>
      <c r="IH547" t="s">
        <v>1046</v>
      </c>
      <c r="II547" t="s">
        <v>1042</v>
      </c>
      <c r="IR547" t="s">
        <v>1045</v>
      </c>
      <c r="IT547">
        <v>0</v>
      </c>
      <c r="JE547">
        <v>0</v>
      </c>
      <c r="JF547">
        <v>0</v>
      </c>
      <c r="JI547" t="s">
        <v>1042</v>
      </c>
      <c r="JJ547">
        <v>0</v>
      </c>
      <c r="JK547">
        <v>0</v>
      </c>
      <c r="JL547">
        <v>0</v>
      </c>
      <c r="JM547">
        <v>0</v>
      </c>
      <c r="JT547">
        <v>0</v>
      </c>
      <c r="JU547" t="s">
        <v>1042</v>
      </c>
      <c r="JW547">
        <v>0</v>
      </c>
      <c r="KA547">
        <v>0</v>
      </c>
      <c r="KF547">
        <v>0</v>
      </c>
      <c r="KG547">
        <v>0</v>
      </c>
      <c r="KH547">
        <v>0</v>
      </c>
      <c r="KI547">
        <v>0</v>
      </c>
      <c r="KS547" t="s">
        <v>1041</v>
      </c>
      <c r="KT547">
        <v>0</v>
      </c>
      <c r="KU547">
        <v>0</v>
      </c>
      <c r="KV547">
        <v>0</v>
      </c>
      <c r="KX547">
        <v>0</v>
      </c>
      <c r="KZ547">
        <v>0</v>
      </c>
      <c r="LF547">
        <v>0</v>
      </c>
      <c r="LH547">
        <v>0</v>
      </c>
      <c r="LI547">
        <v>0</v>
      </c>
    </row>
    <row r="548" spans="1:321" x14ac:dyDescent="0.35">
      <c r="A548">
        <v>1</v>
      </c>
      <c r="B548">
        <v>1341</v>
      </c>
      <c r="C548" t="s">
        <v>702</v>
      </c>
      <c r="D548" t="s">
        <v>1061</v>
      </c>
      <c r="E548" t="s">
        <v>85</v>
      </c>
      <c r="F548">
        <v>1</v>
      </c>
      <c r="G548">
        <v>220</v>
      </c>
      <c r="H548">
        <v>0</v>
      </c>
      <c r="I548" t="s">
        <v>994</v>
      </c>
      <c r="L548">
        <v>0</v>
      </c>
      <c r="M548">
        <v>0</v>
      </c>
      <c r="N548">
        <v>0</v>
      </c>
      <c r="Q548">
        <v>516</v>
      </c>
      <c r="R548">
        <v>0</v>
      </c>
      <c r="S548">
        <v>0</v>
      </c>
      <c r="W548" t="s">
        <v>1060</v>
      </c>
      <c r="X548">
        <v>0</v>
      </c>
      <c r="Z548">
        <v>10</v>
      </c>
      <c r="AA548">
        <v>65.707999999999998</v>
      </c>
      <c r="AB548">
        <v>3356</v>
      </c>
      <c r="AC548">
        <v>3.8285</v>
      </c>
      <c r="AD548" t="s">
        <v>1042</v>
      </c>
      <c r="AE548">
        <v>0</v>
      </c>
      <c r="AF548">
        <v>5.57E-2</v>
      </c>
      <c r="AH548">
        <v>2357</v>
      </c>
      <c r="AJ548">
        <v>1</v>
      </c>
      <c r="AK548" t="s">
        <v>1154</v>
      </c>
      <c r="AL548">
        <v>0</v>
      </c>
      <c r="AM548">
        <v>0</v>
      </c>
      <c r="AN548">
        <v>11501001</v>
      </c>
      <c r="AO548">
        <v>0</v>
      </c>
      <c r="AP548">
        <v>1002</v>
      </c>
      <c r="AT548">
        <v>1</v>
      </c>
      <c r="AU548" t="s">
        <v>1059</v>
      </c>
      <c r="AV548" t="s">
        <v>1043</v>
      </c>
      <c r="AW548" t="s">
        <v>1053</v>
      </c>
      <c r="AX548">
        <v>0</v>
      </c>
      <c r="AY548" s="20">
        <v>43676</v>
      </c>
      <c r="BA548" s="20">
        <v>44494</v>
      </c>
      <c r="BB548" t="s">
        <v>1058</v>
      </c>
      <c r="BD548">
        <v>0</v>
      </c>
      <c r="BF548" t="s">
        <v>1044</v>
      </c>
      <c r="BG548" t="s">
        <v>1042</v>
      </c>
      <c r="BH548">
        <v>0</v>
      </c>
      <c r="BI548">
        <v>6</v>
      </c>
      <c r="BJ548">
        <v>0</v>
      </c>
      <c r="BK548">
        <v>0</v>
      </c>
      <c r="BM548" s="20">
        <v>44186</v>
      </c>
      <c r="BN548">
        <v>0</v>
      </c>
      <c r="BO548">
        <v>7897801319737</v>
      </c>
      <c r="BR548" t="s">
        <v>1043</v>
      </c>
      <c r="BS548" t="s">
        <v>1043</v>
      </c>
      <c r="BT548" t="s">
        <v>1043</v>
      </c>
      <c r="BV548">
        <v>1</v>
      </c>
      <c r="BW548">
        <v>31</v>
      </c>
      <c r="BY548">
        <v>82</v>
      </c>
      <c r="CA548">
        <v>0</v>
      </c>
      <c r="CB548" t="s">
        <v>1043</v>
      </c>
      <c r="CE548" t="s">
        <v>1043</v>
      </c>
      <c r="CH548" t="s">
        <v>1043</v>
      </c>
      <c r="CI548" t="s">
        <v>1153</v>
      </c>
      <c r="CK548" t="s">
        <v>1152</v>
      </c>
      <c r="CN548" t="s">
        <v>1056</v>
      </c>
      <c r="CP548">
        <v>1</v>
      </c>
      <c r="CQ548">
        <v>0</v>
      </c>
      <c r="CS548">
        <v>0</v>
      </c>
      <c r="CT548">
        <v>0</v>
      </c>
      <c r="CU548">
        <v>0</v>
      </c>
      <c r="CW548">
        <v>0</v>
      </c>
      <c r="CX548">
        <v>0</v>
      </c>
      <c r="CY548">
        <v>0</v>
      </c>
      <c r="CZ548">
        <v>0</v>
      </c>
      <c r="DA548">
        <v>2</v>
      </c>
      <c r="DB548">
        <v>2550000</v>
      </c>
      <c r="DH548">
        <v>0</v>
      </c>
      <c r="DJ548">
        <v>0</v>
      </c>
      <c r="DL548">
        <v>0</v>
      </c>
      <c r="DN548">
        <v>0</v>
      </c>
      <c r="DO548" t="s">
        <v>1042</v>
      </c>
      <c r="DP548">
        <v>0</v>
      </c>
      <c r="DQ548">
        <v>7.6</v>
      </c>
      <c r="DS548">
        <v>0</v>
      </c>
      <c r="DU548">
        <v>1.65</v>
      </c>
      <c r="DW548">
        <v>0</v>
      </c>
      <c r="DY548">
        <v>0</v>
      </c>
      <c r="DZ548">
        <v>0</v>
      </c>
      <c r="EA548">
        <v>0</v>
      </c>
      <c r="EB548">
        <v>17897801319734</v>
      </c>
      <c r="EE548">
        <v>0</v>
      </c>
      <c r="EF548">
        <v>0</v>
      </c>
      <c r="EG548" t="s">
        <v>1044</v>
      </c>
      <c r="EK548" t="s">
        <v>1054</v>
      </c>
      <c r="EL548">
        <v>57897801319732</v>
      </c>
      <c r="EN548" t="s">
        <v>1012</v>
      </c>
      <c r="ET548">
        <v>0</v>
      </c>
      <c r="EV548">
        <v>0</v>
      </c>
      <c r="EY548" t="s">
        <v>1052</v>
      </c>
      <c r="EZ548">
        <v>0</v>
      </c>
      <c r="FA548" t="s">
        <v>1043</v>
      </c>
      <c r="FB548">
        <v>0</v>
      </c>
      <c r="FC548">
        <v>0</v>
      </c>
      <c r="FD548" t="s">
        <v>1051</v>
      </c>
      <c r="FE548" t="s">
        <v>1050</v>
      </c>
      <c r="FF548">
        <v>280</v>
      </c>
      <c r="FG548" t="s">
        <v>1050</v>
      </c>
      <c r="FH548">
        <v>27897801319731</v>
      </c>
      <c r="FJ548">
        <v>0</v>
      </c>
      <c r="FK548">
        <v>0</v>
      </c>
      <c r="FP548">
        <v>0</v>
      </c>
      <c r="FR548">
        <v>0</v>
      </c>
      <c r="FS548" t="s">
        <v>1044</v>
      </c>
      <c r="FX548" t="s">
        <v>1042</v>
      </c>
      <c r="GA548">
        <v>0</v>
      </c>
      <c r="GB548" t="s">
        <v>1042</v>
      </c>
      <c r="GD548">
        <v>16</v>
      </c>
      <c r="GE548">
        <v>0</v>
      </c>
      <c r="GG548">
        <v>0</v>
      </c>
      <c r="GN548">
        <v>0</v>
      </c>
      <c r="GO548" t="s">
        <v>1049</v>
      </c>
      <c r="GQ548">
        <v>0</v>
      </c>
      <c r="GU548">
        <v>0</v>
      </c>
      <c r="GY548" t="s">
        <v>1045</v>
      </c>
      <c r="HB548">
        <v>0</v>
      </c>
      <c r="HE548">
        <v>10</v>
      </c>
      <c r="HF548">
        <v>0</v>
      </c>
      <c r="HG548">
        <v>5.9000000000000003E-4</v>
      </c>
      <c r="HK548" t="s">
        <v>1042</v>
      </c>
      <c r="HL548" t="s">
        <v>1048</v>
      </c>
      <c r="HM548">
        <v>0</v>
      </c>
      <c r="HN548">
        <v>0</v>
      </c>
      <c r="HO548">
        <v>35</v>
      </c>
      <c r="HP548">
        <v>1.67E-2</v>
      </c>
      <c r="HQ548">
        <v>0</v>
      </c>
      <c r="HR548" t="s">
        <v>1042</v>
      </c>
      <c r="HT548">
        <v>0</v>
      </c>
      <c r="HU548">
        <v>0</v>
      </c>
      <c r="HW548">
        <v>0</v>
      </c>
      <c r="HX548">
        <v>5713</v>
      </c>
      <c r="HY548">
        <v>0</v>
      </c>
      <c r="IA548">
        <v>0</v>
      </c>
      <c r="IC548" t="s">
        <v>1151</v>
      </c>
      <c r="IF548">
        <v>17920</v>
      </c>
      <c r="IG548" t="s">
        <v>1042</v>
      </c>
      <c r="IH548" t="s">
        <v>1046</v>
      </c>
      <c r="II548" t="s">
        <v>1042</v>
      </c>
      <c r="IR548" t="s">
        <v>1045</v>
      </c>
      <c r="IT548">
        <v>0</v>
      </c>
      <c r="JE548">
        <v>0</v>
      </c>
      <c r="JF548">
        <v>0</v>
      </c>
      <c r="JI548" t="s">
        <v>1042</v>
      </c>
      <c r="JJ548">
        <v>0</v>
      </c>
      <c r="JK548">
        <v>0</v>
      </c>
      <c r="JL548">
        <v>0</v>
      </c>
      <c r="JM548">
        <v>0</v>
      </c>
      <c r="JT548">
        <v>0</v>
      </c>
      <c r="JU548" t="s">
        <v>1042</v>
      </c>
      <c r="JW548">
        <v>0</v>
      </c>
      <c r="KA548">
        <v>0</v>
      </c>
      <c r="KF548">
        <v>0</v>
      </c>
      <c r="KG548">
        <v>0</v>
      </c>
      <c r="KH548">
        <v>0</v>
      </c>
      <c r="KI548">
        <v>0</v>
      </c>
      <c r="KS548" t="s">
        <v>1041</v>
      </c>
      <c r="KT548">
        <v>0</v>
      </c>
      <c r="KU548">
        <v>0</v>
      </c>
      <c r="KV548">
        <v>0</v>
      </c>
      <c r="KX548">
        <v>0</v>
      </c>
      <c r="KZ548">
        <v>0</v>
      </c>
      <c r="LF548">
        <v>0</v>
      </c>
      <c r="LH548">
        <v>0</v>
      </c>
      <c r="LI548">
        <v>0</v>
      </c>
    </row>
    <row r="549" spans="1:321" x14ac:dyDescent="0.35">
      <c r="A549">
        <v>1</v>
      </c>
      <c r="B549">
        <v>1342</v>
      </c>
      <c r="C549" t="s">
        <v>703</v>
      </c>
      <c r="D549" t="s">
        <v>1061</v>
      </c>
      <c r="E549" t="s">
        <v>85</v>
      </c>
      <c r="F549">
        <v>1</v>
      </c>
      <c r="G549">
        <v>220</v>
      </c>
      <c r="H549">
        <v>0</v>
      </c>
      <c r="I549" t="s">
        <v>994</v>
      </c>
      <c r="L549">
        <v>0</v>
      </c>
      <c r="M549">
        <v>0</v>
      </c>
      <c r="N549">
        <v>0</v>
      </c>
      <c r="Q549">
        <v>516</v>
      </c>
      <c r="R549">
        <v>0</v>
      </c>
      <c r="S549">
        <v>0</v>
      </c>
      <c r="W549" t="s">
        <v>1060</v>
      </c>
      <c r="X549">
        <v>0</v>
      </c>
      <c r="Z549">
        <v>10</v>
      </c>
      <c r="AA549">
        <v>63.563000000000002</v>
      </c>
      <c r="AB549">
        <v>32787</v>
      </c>
      <c r="AC549">
        <v>6.0457999999999998</v>
      </c>
      <c r="AD549" s="20">
        <v>44693</v>
      </c>
      <c r="AE549">
        <v>6.87</v>
      </c>
      <c r="AF549">
        <v>7.4499999999999997E-2</v>
      </c>
      <c r="AH549">
        <v>28939</v>
      </c>
      <c r="AJ549">
        <v>1</v>
      </c>
      <c r="AK549" t="s">
        <v>1154</v>
      </c>
      <c r="AL549">
        <v>0</v>
      </c>
      <c r="AM549">
        <v>0</v>
      </c>
      <c r="AN549">
        <v>11501001</v>
      </c>
      <c r="AO549">
        <v>0</v>
      </c>
      <c r="AP549">
        <v>1002</v>
      </c>
      <c r="AT549">
        <v>1</v>
      </c>
      <c r="AU549" t="s">
        <v>1059</v>
      </c>
      <c r="AV549" t="s">
        <v>1043</v>
      </c>
      <c r="AW549" t="s">
        <v>1053</v>
      </c>
      <c r="AX549">
        <v>0</v>
      </c>
      <c r="AY549" s="20">
        <v>43676</v>
      </c>
      <c r="BA549" s="20">
        <v>44494</v>
      </c>
      <c r="BB549" t="s">
        <v>1058</v>
      </c>
      <c r="BD549">
        <v>0</v>
      </c>
      <c r="BF549" t="s">
        <v>1044</v>
      </c>
      <c r="BG549" t="s">
        <v>1042</v>
      </c>
      <c r="BH549">
        <v>0</v>
      </c>
      <c r="BI549">
        <v>6</v>
      </c>
      <c r="BJ549">
        <v>0</v>
      </c>
      <c r="BK549">
        <v>0</v>
      </c>
      <c r="BM549" s="20">
        <v>44180</v>
      </c>
      <c r="BN549">
        <v>0</v>
      </c>
      <c r="BO549">
        <v>7897801319744</v>
      </c>
      <c r="BR549" t="s">
        <v>1043</v>
      </c>
      <c r="BS549" t="s">
        <v>1043</v>
      </c>
      <c r="BT549" t="s">
        <v>1043</v>
      </c>
      <c r="BV549">
        <v>1</v>
      </c>
      <c r="BW549">
        <v>31</v>
      </c>
      <c r="BY549">
        <v>82</v>
      </c>
      <c r="CA549">
        <v>0</v>
      </c>
      <c r="CB549" t="s">
        <v>1043</v>
      </c>
      <c r="CE549" t="s">
        <v>1043</v>
      </c>
      <c r="CH549" t="s">
        <v>1043</v>
      </c>
      <c r="CI549" t="s">
        <v>1153</v>
      </c>
      <c r="CK549" t="s">
        <v>1152</v>
      </c>
      <c r="CN549" t="s">
        <v>1056</v>
      </c>
      <c r="CP549">
        <v>1</v>
      </c>
      <c r="CQ549">
        <v>0</v>
      </c>
      <c r="CS549">
        <v>0</v>
      </c>
      <c r="CT549">
        <v>0</v>
      </c>
      <c r="CU549">
        <v>0</v>
      </c>
      <c r="CW549">
        <v>0</v>
      </c>
      <c r="CX549">
        <v>0</v>
      </c>
      <c r="CY549">
        <v>0</v>
      </c>
      <c r="CZ549">
        <v>0</v>
      </c>
      <c r="DA549">
        <v>2</v>
      </c>
      <c r="DB549">
        <v>2550000</v>
      </c>
      <c r="DH549">
        <v>0</v>
      </c>
      <c r="DJ549">
        <v>0</v>
      </c>
      <c r="DL549">
        <v>0</v>
      </c>
      <c r="DN549">
        <v>0</v>
      </c>
      <c r="DO549" t="s">
        <v>1042</v>
      </c>
      <c r="DP549">
        <v>0</v>
      </c>
      <c r="DQ549">
        <v>7.6</v>
      </c>
      <c r="DS549">
        <v>0</v>
      </c>
      <c r="DU549">
        <v>1.65</v>
      </c>
      <c r="DW549">
        <v>0</v>
      </c>
      <c r="DY549">
        <v>0</v>
      </c>
      <c r="DZ549">
        <v>0</v>
      </c>
      <c r="EA549">
        <v>0</v>
      </c>
      <c r="EB549">
        <v>17897801319741</v>
      </c>
      <c r="EE549">
        <v>0</v>
      </c>
      <c r="EF549">
        <v>0</v>
      </c>
      <c r="EG549" t="s">
        <v>1044</v>
      </c>
      <c r="EK549" t="s">
        <v>1054</v>
      </c>
      <c r="EL549">
        <v>57897801319749</v>
      </c>
      <c r="EN549" t="s">
        <v>1012</v>
      </c>
      <c r="ET549">
        <v>0</v>
      </c>
      <c r="EV549">
        <v>0</v>
      </c>
      <c r="EY549" t="s">
        <v>1052</v>
      </c>
      <c r="EZ549">
        <v>0</v>
      </c>
      <c r="FA549" t="s">
        <v>1043</v>
      </c>
      <c r="FB549">
        <v>0</v>
      </c>
      <c r="FC549">
        <v>0</v>
      </c>
      <c r="FD549" t="s">
        <v>1051</v>
      </c>
      <c r="FE549" t="s">
        <v>1050</v>
      </c>
      <c r="FF549">
        <v>200</v>
      </c>
      <c r="FG549" t="s">
        <v>1050</v>
      </c>
      <c r="FH549">
        <v>27897801319748</v>
      </c>
      <c r="FJ549">
        <v>0</v>
      </c>
      <c r="FK549">
        <v>0</v>
      </c>
      <c r="FP549">
        <v>0</v>
      </c>
      <c r="FR549">
        <v>0</v>
      </c>
      <c r="FS549" t="s">
        <v>1044</v>
      </c>
      <c r="FX549" t="s">
        <v>1042</v>
      </c>
      <c r="GA549">
        <v>0</v>
      </c>
      <c r="GB549" t="s">
        <v>1042</v>
      </c>
      <c r="GD549">
        <v>16</v>
      </c>
      <c r="GE549">
        <v>0</v>
      </c>
      <c r="GG549">
        <v>0</v>
      </c>
      <c r="GN549">
        <v>0</v>
      </c>
      <c r="GO549" t="s">
        <v>1049</v>
      </c>
      <c r="GQ549">
        <v>0</v>
      </c>
      <c r="GU549">
        <v>0</v>
      </c>
      <c r="GY549" t="s">
        <v>1045</v>
      </c>
      <c r="HB549">
        <v>0</v>
      </c>
      <c r="HE549">
        <v>10</v>
      </c>
      <c r="HF549">
        <v>0</v>
      </c>
      <c r="HG549">
        <v>7.9000000000000001E-4</v>
      </c>
      <c r="HK549" t="s">
        <v>1042</v>
      </c>
      <c r="HL549" t="s">
        <v>1048</v>
      </c>
      <c r="HM549">
        <v>0</v>
      </c>
      <c r="HN549">
        <v>0</v>
      </c>
      <c r="HO549">
        <v>35</v>
      </c>
      <c r="HP549">
        <v>2.1999999999999999E-2</v>
      </c>
      <c r="HQ549">
        <v>0</v>
      </c>
      <c r="HR549" t="s">
        <v>1042</v>
      </c>
      <c r="HT549">
        <v>0</v>
      </c>
      <c r="HU549">
        <v>0</v>
      </c>
      <c r="HW549">
        <v>0</v>
      </c>
      <c r="HX549">
        <v>41857</v>
      </c>
      <c r="HY549">
        <v>1</v>
      </c>
      <c r="IA549">
        <v>6.87</v>
      </c>
      <c r="IC549" t="s">
        <v>1151</v>
      </c>
      <c r="IF549">
        <v>12800</v>
      </c>
      <c r="IG549" t="s">
        <v>1042</v>
      </c>
      <c r="IH549" t="s">
        <v>1046</v>
      </c>
      <c r="II549" t="s">
        <v>1042</v>
      </c>
      <c r="IR549" t="s">
        <v>1045</v>
      </c>
      <c r="IT549">
        <v>0</v>
      </c>
      <c r="JE549">
        <v>0</v>
      </c>
      <c r="JF549">
        <v>0</v>
      </c>
      <c r="JI549" t="s">
        <v>1042</v>
      </c>
      <c r="JJ549">
        <v>0</v>
      </c>
      <c r="JK549">
        <v>0</v>
      </c>
      <c r="JL549">
        <v>0</v>
      </c>
      <c r="JM549">
        <v>0</v>
      </c>
      <c r="JT549">
        <v>0</v>
      </c>
      <c r="JU549" t="s">
        <v>1042</v>
      </c>
      <c r="JW549">
        <v>0</v>
      </c>
      <c r="KA549">
        <v>0</v>
      </c>
      <c r="KF549">
        <v>0</v>
      </c>
      <c r="KG549">
        <v>0</v>
      </c>
      <c r="KH549">
        <v>0</v>
      </c>
      <c r="KI549">
        <v>0</v>
      </c>
      <c r="KS549" t="s">
        <v>1041</v>
      </c>
      <c r="KT549">
        <v>0</v>
      </c>
      <c r="KU549">
        <v>0</v>
      </c>
      <c r="KV549">
        <v>0</v>
      </c>
      <c r="KX549">
        <v>0</v>
      </c>
      <c r="KZ549">
        <v>0</v>
      </c>
      <c r="LF549">
        <v>0</v>
      </c>
      <c r="LH549">
        <v>0</v>
      </c>
      <c r="LI549">
        <v>0</v>
      </c>
    </row>
    <row r="550" spans="1:321" x14ac:dyDescent="0.35">
      <c r="A550">
        <v>1</v>
      </c>
      <c r="B550">
        <v>13427</v>
      </c>
      <c r="C550" t="s">
        <v>1169</v>
      </c>
      <c r="D550" t="s">
        <v>1133</v>
      </c>
      <c r="E550" t="s">
        <v>85</v>
      </c>
      <c r="F550">
        <v>80</v>
      </c>
      <c r="G550">
        <v>8800</v>
      </c>
      <c r="H550">
        <v>0</v>
      </c>
      <c r="I550" t="s">
        <v>1114</v>
      </c>
      <c r="L550">
        <v>0</v>
      </c>
      <c r="M550">
        <v>0</v>
      </c>
      <c r="N550">
        <v>0</v>
      </c>
      <c r="P550">
        <v>246</v>
      </c>
      <c r="R550">
        <v>0</v>
      </c>
      <c r="S550">
        <v>0</v>
      </c>
      <c r="W550" t="s">
        <v>1060</v>
      </c>
      <c r="X550">
        <v>0</v>
      </c>
      <c r="Z550">
        <v>1</v>
      </c>
      <c r="AA550">
        <v>0</v>
      </c>
      <c r="AB550">
        <v>0</v>
      </c>
      <c r="AC550">
        <v>896</v>
      </c>
      <c r="AD550" s="20">
        <v>40717</v>
      </c>
      <c r="AE550">
        <v>0</v>
      </c>
      <c r="AF550">
        <v>0</v>
      </c>
      <c r="AH550">
        <v>0</v>
      </c>
      <c r="AJ550">
        <v>0</v>
      </c>
      <c r="AL550">
        <v>1</v>
      </c>
      <c r="AM550">
        <v>0</v>
      </c>
      <c r="AN550">
        <v>16301003</v>
      </c>
      <c r="AO550">
        <v>0</v>
      </c>
      <c r="AP550">
        <v>1001</v>
      </c>
      <c r="AT550">
        <v>0</v>
      </c>
      <c r="AU550" t="s">
        <v>1059</v>
      </c>
      <c r="AW550" t="s">
        <v>1053</v>
      </c>
      <c r="AX550">
        <v>0</v>
      </c>
      <c r="AY550" s="20">
        <v>40717</v>
      </c>
      <c r="BA550" s="20">
        <v>40717</v>
      </c>
      <c r="BB550" t="s">
        <v>1058</v>
      </c>
      <c r="BD550">
        <v>0</v>
      </c>
      <c r="BF550" t="s">
        <v>1043</v>
      </c>
      <c r="BG550" t="s">
        <v>1042</v>
      </c>
      <c r="BH550">
        <v>0</v>
      </c>
      <c r="BI550">
        <v>1</v>
      </c>
      <c r="BJ550">
        <v>0</v>
      </c>
      <c r="BK550">
        <v>0</v>
      </c>
      <c r="BM550" t="s">
        <v>1042</v>
      </c>
      <c r="BN550">
        <v>0</v>
      </c>
      <c r="BO550">
        <v>3457801056403</v>
      </c>
      <c r="BR550" t="s">
        <v>1043</v>
      </c>
      <c r="BS550" t="s">
        <v>1043</v>
      </c>
      <c r="BT550" t="s">
        <v>1043</v>
      </c>
      <c r="BW550">
        <v>55</v>
      </c>
      <c r="CA550">
        <v>0</v>
      </c>
      <c r="CB550" t="s">
        <v>1057</v>
      </c>
      <c r="CE550" t="s">
        <v>1043</v>
      </c>
      <c r="CH550" t="s">
        <v>1043</v>
      </c>
      <c r="CN550" t="s">
        <v>1074</v>
      </c>
      <c r="CO550" t="s">
        <v>1043</v>
      </c>
      <c r="CP550">
        <v>1</v>
      </c>
      <c r="CQ550">
        <v>0</v>
      </c>
      <c r="CS550">
        <v>0</v>
      </c>
      <c r="CT550">
        <v>0</v>
      </c>
      <c r="CU550">
        <v>0</v>
      </c>
      <c r="CV550" t="s">
        <v>1045</v>
      </c>
      <c r="CW550">
        <v>0</v>
      </c>
      <c r="CX550">
        <v>0</v>
      </c>
      <c r="CY550">
        <v>0</v>
      </c>
      <c r="CZ550">
        <v>0</v>
      </c>
      <c r="DB550">
        <v>0</v>
      </c>
      <c r="DC550" t="s">
        <v>1043</v>
      </c>
      <c r="DF550" t="s">
        <v>1055</v>
      </c>
      <c r="DH550">
        <v>0</v>
      </c>
      <c r="DJ550">
        <v>0</v>
      </c>
      <c r="DK550" t="s">
        <v>1053</v>
      </c>
      <c r="DL550">
        <v>0</v>
      </c>
      <c r="DN550">
        <v>0</v>
      </c>
      <c r="DO550" t="s">
        <v>1042</v>
      </c>
      <c r="DP550">
        <v>0</v>
      </c>
      <c r="DQ550">
        <v>0</v>
      </c>
      <c r="DS550">
        <v>0</v>
      </c>
      <c r="DU550">
        <v>0</v>
      </c>
      <c r="DW550">
        <v>0</v>
      </c>
      <c r="DX550" t="s">
        <v>1043</v>
      </c>
      <c r="DY550">
        <v>0</v>
      </c>
      <c r="DZ550">
        <v>0</v>
      </c>
      <c r="EA550">
        <v>0</v>
      </c>
      <c r="ED550" t="s">
        <v>1045</v>
      </c>
      <c r="EE550">
        <v>0</v>
      </c>
      <c r="EF550">
        <v>0</v>
      </c>
      <c r="EQ550" t="s">
        <v>1044</v>
      </c>
      <c r="ES550" t="s">
        <v>1053</v>
      </c>
      <c r="ET550">
        <v>0</v>
      </c>
      <c r="EV550">
        <v>0</v>
      </c>
      <c r="EY550" t="s">
        <v>1052</v>
      </c>
      <c r="EZ550">
        <v>0</v>
      </c>
      <c r="FA550" t="s">
        <v>1043</v>
      </c>
      <c r="FB550">
        <v>0</v>
      </c>
      <c r="FC550">
        <v>0</v>
      </c>
      <c r="FE550" t="s">
        <v>1050</v>
      </c>
      <c r="FF550">
        <v>0</v>
      </c>
      <c r="FG550" t="s">
        <v>1050</v>
      </c>
      <c r="FJ550">
        <v>0</v>
      </c>
      <c r="FK550">
        <v>0</v>
      </c>
      <c r="FP550">
        <v>0</v>
      </c>
      <c r="FR550">
        <v>0</v>
      </c>
      <c r="FX550" t="s">
        <v>1042</v>
      </c>
      <c r="FZ550" t="s">
        <v>1048</v>
      </c>
      <c r="GA550">
        <v>0</v>
      </c>
      <c r="GB550" t="s">
        <v>1042</v>
      </c>
      <c r="GE550">
        <v>0</v>
      </c>
      <c r="GG550">
        <v>0</v>
      </c>
      <c r="GN550">
        <v>0</v>
      </c>
      <c r="GO550" t="s">
        <v>1063</v>
      </c>
      <c r="GQ550">
        <v>0</v>
      </c>
      <c r="GU550">
        <v>0</v>
      </c>
      <c r="GY550" t="s">
        <v>1045</v>
      </c>
      <c r="HB550">
        <v>0</v>
      </c>
      <c r="HE550">
        <v>0</v>
      </c>
      <c r="HF550">
        <v>0</v>
      </c>
      <c r="HG550">
        <v>0</v>
      </c>
      <c r="HK550" t="s">
        <v>1042</v>
      </c>
      <c r="HM550" t="s">
        <v>1047</v>
      </c>
      <c r="HN550">
        <v>0</v>
      </c>
      <c r="HP550">
        <v>0</v>
      </c>
      <c r="HQ550">
        <v>0</v>
      </c>
      <c r="HR550" t="s">
        <v>1042</v>
      </c>
      <c r="HS550" t="s">
        <v>1043</v>
      </c>
      <c r="HT550">
        <v>0</v>
      </c>
      <c r="HU550">
        <v>0</v>
      </c>
      <c r="HW550">
        <v>0</v>
      </c>
      <c r="HX550">
        <v>0</v>
      </c>
      <c r="HY550">
        <v>0</v>
      </c>
      <c r="HZ550" t="s">
        <v>1045</v>
      </c>
      <c r="IA550">
        <v>0</v>
      </c>
      <c r="IB550" t="s">
        <v>1045</v>
      </c>
      <c r="ID550" t="s">
        <v>1045</v>
      </c>
      <c r="IF550">
        <v>0</v>
      </c>
      <c r="IG550" t="s">
        <v>1042</v>
      </c>
      <c r="II550" t="s">
        <v>1042</v>
      </c>
      <c r="IR550" t="s">
        <v>1045</v>
      </c>
      <c r="IT550">
        <v>0</v>
      </c>
      <c r="IY550" t="s">
        <v>1044</v>
      </c>
      <c r="IZ550" t="s">
        <v>1043</v>
      </c>
      <c r="JC550" t="s">
        <v>1043</v>
      </c>
      <c r="JE550">
        <v>0</v>
      </c>
      <c r="JF550">
        <v>0</v>
      </c>
      <c r="JI550" t="s">
        <v>1042</v>
      </c>
      <c r="JJ550">
        <v>0</v>
      </c>
      <c r="JK550">
        <v>0</v>
      </c>
      <c r="JL550">
        <v>0</v>
      </c>
      <c r="JM550">
        <v>0</v>
      </c>
      <c r="JQ550" t="s">
        <v>1043</v>
      </c>
      <c r="JT550">
        <v>0</v>
      </c>
      <c r="JU550" t="s">
        <v>1042</v>
      </c>
      <c r="JW550">
        <v>0</v>
      </c>
      <c r="KA550">
        <v>0</v>
      </c>
      <c r="KF550">
        <v>0</v>
      </c>
      <c r="KG550">
        <v>0</v>
      </c>
      <c r="KH550">
        <v>0</v>
      </c>
      <c r="KI550">
        <v>0</v>
      </c>
      <c r="KS550" t="s">
        <v>1073</v>
      </c>
      <c r="KT550">
        <v>0</v>
      </c>
      <c r="KU550">
        <v>0</v>
      </c>
      <c r="KV550">
        <v>0</v>
      </c>
      <c r="KX550">
        <v>0</v>
      </c>
      <c r="KZ550">
        <v>0</v>
      </c>
      <c r="LF550">
        <v>0</v>
      </c>
      <c r="LH550">
        <v>0</v>
      </c>
      <c r="LI550">
        <v>0</v>
      </c>
    </row>
    <row r="551" spans="1:321" x14ac:dyDescent="0.35">
      <c r="A551">
        <v>1</v>
      </c>
      <c r="B551">
        <v>1343</v>
      </c>
      <c r="C551" t="s">
        <v>704</v>
      </c>
      <c r="D551" t="s">
        <v>1061</v>
      </c>
      <c r="E551" t="s">
        <v>85</v>
      </c>
      <c r="F551">
        <v>1</v>
      </c>
      <c r="G551">
        <v>220</v>
      </c>
      <c r="H551">
        <v>0</v>
      </c>
      <c r="I551" t="s">
        <v>994</v>
      </c>
      <c r="L551">
        <v>0</v>
      </c>
      <c r="M551">
        <v>0</v>
      </c>
      <c r="N551">
        <v>0</v>
      </c>
      <c r="Q551">
        <v>516</v>
      </c>
      <c r="R551">
        <v>0</v>
      </c>
      <c r="S551">
        <v>0</v>
      </c>
      <c r="W551" t="s">
        <v>1060</v>
      </c>
      <c r="X551">
        <v>0</v>
      </c>
      <c r="Z551">
        <v>10</v>
      </c>
      <c r="AA551">
        <v>97.945999999999998</v>
      </c>
      <c r="AB551">
        <v>2045</v>
      </c>
      <c r="AC551">
        <v>8.7739999999999991</v>
      </c>
      <c r="AD551" t="s">
        <v>1042</v>
      </c>
      <c r="AE551">
        <v>0</v>
      </c>
      <c r="AF551">
        <v>0.11899999999999999</v>
      </c>
      <c r="AH551">
        <v>1732</v>
      </c>
      <c r="AJ551">
        <v>1</v>
      </c>
      <c r="AK551" t="s">
        <v>1154</v>
      </c>
      <c r="AL551">
        <v>0</v>
      </c>
      <c r="AM551">
        <v>0</v>
      </c>
      <c r="AN551">
        <v>11501001</v>
      </c>
      <c r="AO551">
        <v>0</v>
      </c>
      <c r="AP551">
        <v>1002</v>
      </c>
      <c r="AT551">
        <v>1</v>
      </c>
      <c r="AU551" t="s">
        <v>1059</v>
      </c>
      <c r="AV551" t="s">
        <v>1043</v>
      </c>
      <c r="AW551" t="s">
        <v>1053</v>
      </c>
      <c r="AX551">
        <v>0</v>
      </c>
      <c r="AY551" s="20">
        <v>43676</v>
      </c>
      <c r="BA551" s="20">
        <v>44494</v>
      </c>
      <c r="BB551" t="s">
        <v>1058</v>
      </c>
      <c r="BD551">
        <v>0</v>
      </c>
      <c r="BF551" t="s">
        <v>1044</v>
      </c>
      <c r="BG551" t="s">
        <v>1042</v>
      </c>
      <c r="BH551">
        <v>0</v>
      </c>
      <c r="BI551">
        <v>6</v>
      </c>
      <c r="BJ551">
        <v>0</v>
      </c>
      <c r="BK551">
        <v>0</v>
      </c>
      <c r="BM551" s="20">
        <v>44180</v>
      </c>
      <c r="BN551">
        <v>0</v>
      </c>
      <c r="BO551">
        <v>7897801319751</v>
      </c>
      <c r="BR551" t="s">
        <v>1043</v>
      </c>
      <c r="BS551" t="s">
        <v>1043</v>
      </c>
      <c r="BT551" t="s">
        <v>1043</v>
      </c>
      <c r="BV551">
        <v>1</v>
      </c>
      <c r="BW551">
        <v>31</v>
      </c>
      <c r="BY551">
        <v>82</v>
      </c>
      <c r="CA551">
        <v>0</v>
      </c>
      <c r="CB551" t="s">
        <v>1043</v>
      </c>
      <c r="CE551" t="s">
        <v>1043</v>
      </c>
      <c r="CH551" t="s">
        <v>1043</v>
      </c>
      <c r="CI551" t="s">
        <v>1153</v>
      </c>
      <c r="CK551" t="s">
        <v>1152</v>
      </c>
      <c r="CN551" t="s">
        <v>1056</v>
      </c>
      <c r="CP551">
        <v>1</v>
      </c>
      <c r="CQ551">
        <v>0</v>
      </c>
      <c r="CS551">
        <v>0</v>
      </c>
      <c r="CT551">
        <v>0</v>
      </c>
      <c r="CU551">
        <v>0</v>
      </c>
      <c r="CW551">
        <v>0</v>
      </c>
      <c r="CX551">
        <v>0</v>
      </c>
      <c r="CY551">
        <v>0</v>
      </c>
      <c r="CZ551">
        <v>0</v>
      </c>
      <c r="DA551">
        <v>2</v>
      </c>
      <c r="DB551">
        <v>2550000</v>
      </c>
      <c r="DH551">
        <v>0</v>
      </c>
      <c r="DJ551">
        <v>0</v>
      </c>
      <c r="DL551">
        <v>0</v>
      </c>
      <c r="DN551">
        <v>0</v>
      </c>
      <c r="DO551" t="s">
        <v>1042</v>
      </c>
      <c r="DP551">
        <v>0</v>
      </c>
      <c r="DQ551">
        <v>7.6</v>
      </c>
      <c r="DS551">
        <v>0</v>
      </c>
      <c r="DU551">
        <v>1.65</v>
      </c>
      <c r="DW551">
        <v>0</v>
      </c>
      <c r="DY551">
        <v>0</v>
      </c>
      <c r="DZ551">
        <v>0</v>
      </c>
      <c r="EA551">
        <v>0</v>
      </c>
      <c r="EB551">
        <v>17897801319758</v>
      </c>
      <c r="EE551">
        <v>0</v>
      </c>
      <c r="EF551">
        <v>0</v>
      </c>
      <c r="EG551" t="s">
        <v>1044</v>
      </c>
      <c r="EK551" t="s">
        <v>1054</v>
      </c>
      <c r="EL551">
        <v>57897801319756</v>
      </c>
      <c r="EN551" t="s">
        <v>1012</v>
      </c>
      <c r="ET551">
        <v>0</v>
      </c>
      <c r="EV551">
        <v>0</v>
      </c>
      <c r="EY551" t="s">
        <v>1052</v>
      </c>
      <c r="EZ551">
        <v>0</v>
      </c>
      <c r="FA551" t="s">
        <v>1043</v>
      </c>
      <c r="FB551">
        <v>0</v>
      </c>
      <c r="FC551">
        <v>0</v>
      </c>
      <c r="FD551" t="s">
        <v>1051</v>
      </c>
      <c r="FE551" t="s">
        <v>1050</v>
      </c>
      <c r="FF551">
        <v>100</v>
      </c>
      <c r="FG551" t="s">
        <v>1050</v>
      </c>
      <c r="FH551">
        <v>27897801319755</v>
      </c>
      <c r="FJ551">
        <v>0</v>
      </c>
      <c r="FK551">
        <v>0</v>
      </c>
      <c r="FP551">
        <v>0</v>
      </c>
      <c r="FR551">
        <v>0</v>
      </c>
      <c r="FS551" t="s">
        <v>1044</v>
      </c>
      <c r="FX551" t="s">
        <v>1042</v>
      </c>
      <c r="GA551">
        <v>0</v>
      </c>
      <c r="GB551" t="s">
        <v>1042</v>
      </c>
      <c r="GD551">
        <v>16</v>
      </c>
      <c r="GE551">
        <v>0</v>
      </c>
      <c r="GG551">
        <v>0</v>
      </c>
      <c r="GN551">
        <v>0</v>
      </c>
      <c r="GO551" t="s">
        <v>1049</v>
      </c>
      <c r="GQ551">
        <v>0</v>
      </c>
      <c r="GU551">
        <v>0</v>
      </c>
      <c r="GY551" t="s">
        <v>1045</v>
      </c>
      <c r="HB551">
        <v>0</v>
      </c>
      <c r="HE551">
        <v>10</v>
      </c>
      <c r="HF551">
        <v>0</v>
      </c>
      <c r="HG551">
        <v>1.5399999999999999E-3</v>
      </c>
      <c r="HK551" t="s">
        <v>1042</v>
      </c>
      <c r="HL551" t="s">
        <v>1048</v>
      </c>
      <c r="HM551">
        <v>0</v>
      </c>
      <c r="HN551">
        <v>0</v>
      </c>
      <c r="HO551">
        <v>35</v>
      </c>
      <c r="HP551">
        <v>4.3200000000000002E-2</v>
      </c>
      <c r="HQ551">
        <v>0</v>
      </c>
      <c r="HR551" t="s">
        <v>1042</v>
      </c>
      <c r="HT551">
        <v>0</v>
      </c>
      <c r="HU551">
        <v>0</v>
      </c>
      <c r="HW551">
        <v>0</v>
      </c>
      <c r="HX551">
        <v>2785</v>
      </c>
      <c r="HY551">
        <v>0</v>
      </c>
      <c r="IA551">
        <v>0</v>
      </c>
      <c r="IC551" t="s">
        <v>1151</v>
      </c>
      <c r="IF551">
        <v>6400</v>
      </c>
      <c r="IG551" t="s">
        <v>1042</v>
      </c>
      <c r="IH551" t="s">
        <v>1046</v>
      </c>
      <c r="II551" t="s">
        <v>1042</v>
      </c>
      <c r="IR551" t="s">
        <v>1045</v>
      </c>
      <c r="IT551">
        <v>0</v>
      </c>
      <c r="JE551">
        <v>0</v>
      </c>
      <c r="JF551">
        <v>0</v>
      </c>
      <c r="JI551" t="s">
        <v>1042</v>
      </c>
      <c r="JJ551">
        <v>0</v>
      </c>
      <c r="JK551">
        <v>0</v>
      </c>
      <c r="JL551">
        <v>0</v>
      </c>
      <c r="JM551">
        <v>0</v>
      </c>
      <c r="JT551">
        <v>0</v>
      </c>
      <c r="JU551" t="s">
        <v>1042</v>
      </c>
      <c r="JW551">
        <v>0</v>
      </c>
      <c r="KA551">
        <v>0</v>
      </c>
      <c r="KF551">
        <v>0</v>
      </c>
      <c r="KG551">
        <v>0</v>
      </c>
      <c r="KH551">
        <v>0</v>
      </c>
      <c r="KI551">
        <v>0</v>
      </c>
      <c r="KS551" t="s">
        <v>1041</v>
      </c>
      <c r="KT551">
        <v>0</v>
      </c>
      <c r="KU551">
        <v>0</v>
      </c>
      <c r="KV551">
        <v>0</v>
      </c>
      <c r="KX551">
        <v>0</v>
      </c>
      <c r="KZ551">
        <v>0</v>
      </c>
      <c r="LF551">
        <v>0</v>
      </c>
      <c r="LH551">
        <v>0</v>
      </c>
      <c r="LI551">
        <v>0</v>
      </c>
    </row>
    <row r="552" spans="1:321" x14ac:dyDescent="0.35">
      <c r="A552">
        <v>1</v>
      </c>
      <c r="B552">
        <v>1344</v>
      </c>
      <c r="C552" t="s">
        <v>705</v>
      </c>
      <c r="D552" t="s">
        <v>1061</v>
      </c>
      <c r="E552" t="s">
        <v>85</v>
      </c>
      <c r="F552">
        <v>1</v>
      </c>
      <c r="G552">
        <v>220</v>
      </c>
      <c r="H552">
        <v>0</v>
      </c>
      <c r="I552" t="s">
        <v>994</v>
      </c>
      <c r="L552">
        <v>0</v>
      </c>
      <c r="M552">
        <v>0</v>
      </c>
      <c r="N552">
        <v>0</v>
      </c>
      <c r="Q552">
        <v>516</v>
      </c>
      <c r="R552">
        <v>0</v>
      </c>
      <c r="S552">
        <v>0</v>
      </c>
      <c r="W552" t="s">
        <v>1060</v>
      </c>
      <c r="X552">
        <v>0</v>
      </c>
      <c r="Z552">
        <v>10</v>
      </c>
      <c r="AA552">
        <v>10.407999999999999</v>
      </c>
      <c r="AB552">
        <v>2559</v>
      </c>
      <c r="AC552">
        <v>0</v>
      </c>
      <c r="AD552" t="s">
        <v>1042</v>
      </c>
      <c r="AE552">
        <v>0</v>
      </c>
      <c r="AF552">
        <v>1.12E-2</v>
      </c>
      <c r="AH552">
        <v>2433</v>
      </c>
      <c r="AJ552">
        <v>1</v>
      </c>
      <c r="AK552" t="s">
        <v>1154</v>
      </c>
      <c r="AL552">
        <v>0</v>
      </c>
      <c r="AM552">
        <v>0</v>
      </c>
      <c r="AN552">
        <v>11501001</v>
      </c>
      <c r="AO552">
        <v>0</v>
      </c>
      <c r="AP552">
        <v>1002</v>
      </c>
      <c r="AT552">
        <v>1</v>
      </c>
      <c r="AU552" t="s">
        <v>1059</v>
      </c>
      <c r="AV552" t="s">
        <v>1043</v>
      </c>
      <c r="AW552" t="s">
        <v>1053</v>
      </c>
      <c r="AX552">
        <v>0</v>
      </c>
      <c r="AY552" s="20">
        <v>43676</v>
      </c>
      <c r="BA552" s="20">
        <v>44643</v>
      </c>
      <c r="BB552" t="s">
        <v>1058</v>
      </c>
      <c r="BD552">
        <v>0</v>
      </c>
      <c r="BF552" t="s">
        <v>1044</v>
      </c>
      <c r="BG552" t="s">
        <v>1042</v>
      </c>
      <c r="BH552">
        <v>0</v>
      </c>
      <c r="BI552">
        <v>6</v>
      </c>
      <c r="BJ552">
        <v>0</v>
      </c>
      <c r="BK552">
        <v>0</v>
      </c>
      <c r="BM552" s="20">
        <v>44162</v>
      </c>
      <c r="BN552">
        <v>0</v>
      </c>
      <c r="BO552">
        <v>7897801319768</v>
      </c>
      <c r="BR552" t="s">
        <v>1043</v>
      </c>
      <c r="BS552" t="s">
        <v>1043</v>
      </c>
      <c r="BT552" t="s">
        <v>1043</v>
      </c>
      <c r="BV552">
        <v>1</v>
      </c>
      <c r="BW552">
        <v>31</v>
      </c>
      <c r="BY552">
        <v>82</v>
      </c>
      <c r="CA552">
        <v>0</v>
      </c>
      <c r="CB552" t="s">
        <v>1043</v>
      </c>
      <c r="CE552" t="s">
        <v>1043</v>
      </c>
      <c r="CH552" t="s">
        <v>1043</v>
      </c>
      <c r="CI552" t="s">
        <v>1153</v>
      </c>
      <c r="CK552" t="s">
        <v>1152</v>
      </c>
      <c r="CN552" t="s">
        <v>1056</v>
      </c>
      <c r="CP552">
        <v>1</v>
      </c>
      <c r="CQ552">
        <v>0</v>
      </c>
      <c r="CS552">
        <v>0</v>
      </c>
      <c r="CT552">
        <v>0</v>
      </c>
      <c r="CU552">
        <v>0</v>
      </c>
      <c r="CW552">
        <v>0</v>
      </c>
      <c r="CX552">
        <v>0</v>
      </c>
      <c r="CY552">
        <v>0</v>
      </c>
      <c r="CZ552">
        <v>0</v>
      </c>
      <c r="DA552">
        <v>2</v>
      </c>
      <c r="DB552">
        <v>2550000</v>
      </c>
      <c r="DH552">
        <v>0</v>
      </c>
      <c r="DJ552">
        <v>0</v>
      </c>
      <c r="DL552">
        <v>0</v>
      </c>
      <c r="DN552">
        <v>0</v>
      </c>
      <c r="DO552" t="s">
        <v>1042</v>
      </c>
      <c r="DP552">
        <v>0</v>
      </c>
      <c r="DQ552">
        <v>7.6</v>
      </c>
      <c r="DS552">
        <v>0</v>
      </c>
      <c r="DU552">
        <v>1.65</v>
      </c>
      <c r="DW552">
        <v>0</v>
      </c>
      <c r="DY552">
        <v>0</v>
      </c>
      <c r="DZ552">
        <v>0</v>
      </c>
      <c r="EA552">
        <v>0</v>
      </c>
      <c r="EB552">
        <v>17897801319765</v>
      </c>
      <c r="EE552">
        <v>0</v>
      </c>
      <c r="EF552">
        <v>0</v>
      </c>
      <c r="EG552" t="s">
        <v>1044</v>
      </c>
      <c r="EK552" t="s">
        <v>1054</v>
      </c>
      <c r="EL552">
        <v>57897801319763</v>
      </c>
      <c r="EN552" t="s">
        <v>1012</v>
      </c>
      <c r="ET552">
        <v>0</v>
      </c>
      <c r="EV552">
        <v>0</v>
      </c>
      <c r="EY552" t="s">
        <v>1052</v>
      </c>
      <c r="EZ552">
        <v>0</v>
      </c>
      <c r="FA552" t="s">
        <v>1043</v>
      </c>
      <c r="FB552">
        <v>0</v>
      </c>
      <c r="FC552">
        <v>0</v>
      </c>
      <c r="FD552" t="s">
        <v>1051</v>
      </c>
      <c r="FE552" t="s">
        <v>1050</v>
      </c>
      <c r="FF552">
        <v>2000</v>
      </c>
      <c r="FG552" t="s">
        <v>1050</v>
      </c>
      <c r="FH552">
        <v>27897801319762</v>
      </c>
      <c r="FJ552">
        <v>0</v>
      </c>
      <c r="FK552">
        <v>0</v>
      </c>
      <c r="FP552">
        <v>0</v>
      </c>
      <c r="FR552">
        <v>0</v>
      </c>
      <c r="FS552" t="s">
        <v>1044</v>
      </c>
      <c r="FX552" t="s">
        <v>1042</v>
      </c>
      <c r="GA552">
        <v>0</v>
      </c>
      <c r="GB552" t="s">
        <v>1042</v>
      </c>
      <c r="GD552">
        <v>16</v>
      </c>
      <c r="GE552">
        <v>0</v>
      </c>
      <c r="GG552">
        <v>0</v>
      </c>
      <c r="GN552">
        <v>0</v>
      </c>
      <c r="GO552" t="s">
        <v>1049</v>
      </c>
      <c r="GQ552">
        <v>0</v>
      </c>
      <c r="GU552">
        <v>0</v>
      </c>
      <c r="GY552" t="s">
        <v>1045</v>
      </c>
      <c r="HB552">
        <v>0</v>
      </c>
      <c r="HE552">
        <v>10</v>
      </c>
      <c r="HF552">
        <v>0</v>
      </c>
      <c r="HG552">
        <v>6.3000000000000003E-4</v>
      </c>
      <c r="HK552" t="s">
        <v>1042</v>
      </c>
      <c r="HL552" t="s">
        <v>1048</v>
      </c>
      <c r="HM552">
        <v>0</v>
      </c>
      <c r="HN552">
        <v>0</v>
      </c>
      <c r="HO552">
        <v>35</v>
      </c>
      <c r="HP552">
        <v>1.06E-2</v>
      </c>
      <c r="HQ552">
        <v>0</v>
      </c>
      <c r="HR552" t="s">
        <v>1042</v>
      </c>
      <c r="HT552">
        <v>0</v>
      </c>
      <c r="HU552">
        <v>0</v>
      </c>
      <c r="HW552">
        <v>0</v>
      </c>
      <c r="HX552">
        <v>2857</v>
      </c>
      <c r="HY552">
        <v>0</v>
      </c>
      <c r="IA552">
        <v>0</v>
      </c>
      <c r="IC552" t="s">
        <v>1151</v>
      </c>
      <c r="IF552">
        <v>60000</v>
      </c>
      <c r="IG552" t="s">
        <v>1042</v>
      </c>
      <c r="IH552" t="s">
        <v>1046</v>
      </c>
      <c r="II552" t="s">
        <v>1042</v>
      </c>
      <c r="IR552" t="s">
        <v>1045</v>
      </c>
      <c r="IT552">
        <v>0</v>
      </c>
      <c r="JE552">
        <v>0</v>
      </c>
      <c r="JF552">
        <v>0</v>
      </c>
      <c r="JI552" t="s">
        <v>1042</v>
      </c>
      <c r="JJ552">
        <v>0</v>
      </c>
      <c r="JK552">
        <v>0</v>
      </c>
      <c r="JL552">
        <v>0</v>
      </c>
      <c r="JM552">
        <v>0</v>
      </c>
      <c r="JT552">
        <v>0</v>
      </c>
      <c r="JU552" t="s">
        <v>1042</v>
      </c>
      <c r="JW552">
        <v>0</v>
      </c>
      <c r="KA552">
        <v>0</v>
      </c>
      <c r="KF552">
        <v>0</v>
      </c>
      <c r="KG552">
        <v>0</v>
      </c>
      <c r="KH552">
        <v>0</v>
      </c>
      <c r="KI552">
        <v>0</v>
      </c>
      <c r="KS552" t="s">
        <v>1041</v>
      </c>
      <c r="KT552">
        <v>0</v>
      </c>
      <c r="KU552">
        <v>0</v>
      </c>
      <c r="KV552">
        <v>0</v>
      </c>
      <c r="KX552">
        <v>0</v>
      </c>
      <c r="KZ552">
        <v>0</v>
      </c>
      <c r="LF552">
        <v>0</v>
      </c>
      <c r="LH552">
        <v>0</v>
      </c>
      <c r="LI552">
        <v>0</v>
      </c>
    </row>
    <row r="553" spans="1:321" x14ac:dyDescent="0.35">
      <c r="A553">
        <v>1</v>
      </c>
      <c r="B553">
        <v>1345</v>
      </c>
      <c r="C553" t="s">
        <v>706</v>
      </c>
      <c r="D553" t="s">
        <v>1061</v>
      </c>
      <c r="E553" t="s">
        <v>85</v>
      </c>
      <c r="F553">
        <v>1</v>
      </c>
      <c r="G553">
        <v>220</v>
      </c>
      <c r="H553">
        <v>0</v>
      </c>
      <c r="I553" t="s">
        <v>994</v>
      </c>
      <c r="L553">
        <v>0</v>
      </c>
      <c r="M553">
        <v>0</v>
      </c>
      <c r="N553">
        <v>0</v>
      </c>
      <c r="Q553">
        <v>516</v>
      </c>
      <c r="R553">
        <v>0</v>
      </c>
      <c r="S553">
        <v>0</v>
      </c>
      <c r="W553" t="s">
        <v>1060</v>
      </c>
      <c r="X553">
        <v>0</v>
      </c>
      <c r="Z553">
        <v>10</v>
      </c>
      <c r="AA553">
        <v>18.225999999999999</v>
      </c>
      <c r="AB553">
        <v>18333</v>
      </c>
      <c r="AC553">
        <v>0.41639999999999999</v>
      </c>
      <c r="AD553" t="s">
        <v>1042</v>
      </c>
      <c r="AE553">
        <v>0</v>
      </c>
      <c r="AF553">
        <v>1.7399999999999999E-2</v>
      </c>
      <c r="AH553">
        <v>16429</v>
      </c>
      <c r="AJ553">
        <v>1</v>
      </c>
      <c r="AK553" t="s">
        <v>1154</v>
      </c>
      <c r="AL553">
        <v>0</v>
      </c>
      <c r="AM553">
        <v>0</v>
      </c>
      <c r="AN553">
        <v>11501001</v>
      </c>
      <c r="AO553">
        <v>0</v>
      </c>
      <c r="AP553">
        <v>1002</v>
      </c>
      <c r="AT553">
        <v>1</v>
      </c>
      <c r="AU553" t="s">
        <v>1059</v>
      </c>
      <c r="AV553" t="s">
        <v>1043</v>
      </c>
      <c r="AW553" t="s">
        <v>1053</v>
      </c>
      <c r="AX553">
        <v>0</v>
      </c>
      <c r="AY553" s="20">
        <v>43676</v>
      </c>
      <c r="BA553" s="20">
        <v>44643</v>
      </c>
      <c r="BB553" t="s">
        <v>1058</v>
      </c>
      <c r="BD553">
        <v>0</v>
      </c>
      <c r="BF553" t="s">
        <v>1044</v>
      </c>
      <c r="BG553" t="s">
        <v>1042</v>
      </c>
      <c r="BH553">
        <v>0</v>
      </c>
      <c r="BI553">
        <v>6</v>
      </c>
      <c r="BJ553">
        <v>0</v>
      </c>
      <c r="BK553">
        <v>0</v>
      </c>
      <c r="BM553" s="20">
        <v>44050</v>
      </c>
      <c r="BN553">
        <v>0</v>
      </c>
      <c r="BO553">
        <v>7897801319775</v>
      </c>
      <c r="BR553" t="s">
        <v>1043</v>
      </c>
      <c r="BS553" t="s">
        <v>1043</v>
      </c>
      <c r="BT553" t="s">
        <v>1043</v>
      </c>
      <c r="BV553">
        <v>1</v>
      </c>
      <c r="BW553">
        <v>31</v>
      </c>
      <c r="BY553">
        <v>82</v>
      </c>
      <c r="CA553">
        <v>0</v>
      </c>
      <c r="CB553" t="s">
        <v>1043</v>
      </c>
      <c r="CE553" t="s">
        <v>1043</v>
      </c>
      <c r="CH553" t="s">
        <v>1043</v>
      </c>
      <c r="CI553" t="s">
        <v>1153</v>
      </c>
      <c r="CK553" t="s">
        <v>1152</v>
      </c>
      <c r="CN553" t="s">
        <v>1056</v>
      </c>
      <c r="CP553">
        <v>1</v>
      </c>
      <c r="CQ553">
        <v>0</v>
      </c>
      <c r="CS553">
        <v>0</v>
      </c>
      <c r="CT553">
        <v>0</v>
      </c>
      <c r="CU553">
        <v>0</v>
      </c>
      <c r="CW553">
        <v>0</v>
      </c>
      <c r="CX553">
        <v>0</v>
      </c>
      <c r="CY553">
        <v>0</v>
      </c>
      <c r="CZ553">
        <v>0</v>
      </c>
      <c r="DA553">
        <v>2</v>
      </c>
      <c r="DB553">
        <v>2550000</v>
      </c>
      <c r="DH553">
        <v>0</v>
      </c>
      <c r="DJ553">
        <v>0</v>
      </c>
      <c r="DL553">
        <v>0</v>
      </c>
      <c r="DN553">
        <v>0</v>
      </c>
      <c r="DO553" t="s">
        <v>1042</v>
      </c>
      <c r="DP553">
        <v>0</v>
      </c>
      <c r="DQ553">
        <v>7.6</v>
      </c>
      <c r="DS553">
        <v>0</v>
      </c>
      <c r="DU553">
        <v>1.65</v>
      </c>
      <c r="DW553">
        <v>0</v>
      </c>
      <c r="DY553">
        <v>0</v>
      </c>
      <c r="DZ553">
        <v>0</v>
      </c>
      <c r="EA553">
        <v>0</v>
      </c>
      <c r="EB553">
        <v>17897801319772</v>
      </c>
      <c r="EE553">
        <v>0</v>
      </c>
      <c r="EF553">
        <v>0</v>
      </c>
      <c r="EG553" t="s">
        <v>1044</v>
      </c>
      <c r="EK553" t="s">
        <v>1054</v>
      </c>
      <c r="EL553">
        <v>57897801319770</v>
      </c>
      <c r="EN553" t="s">
        <v>1012</v>
      </c>
      <c r="ET553">
        <v>0</v>
      </c>
      <c r="EV553">
        <v>0</v>
      </c>
      <c r="EY553" t="s">
        <v>1052</v>
      </c>
      <c r="EZ553">
        <v>0</v>
      </c>
      <c r="FA553" t="s">
        <v>1043</v>
      </c>
      <c r="FB553">
        <v>0</v>
      </c>
      <c r="FC553">
        <v>0</v>
      </c>
      <c r="FD553" t="s">
        <v>1051</v>
      </c>
      <c r="FE553" t="s">
        <v>1050</v>
      </c>
      <c r="FF553">
        <v>1000</v>
      </c>
      <c r="FG553" t="s">
        <v>1050</v>
      </c>
      <c r="FH553">
        <v>27897801319779</v>
      </c>
      <c r="FJ553">
        <v>0</v>
      </c>
      <c r="FK553">
        <v>0</v>
      </c>
      <c r="FP553">
        <v>0</v>
      </c>
      <c r="FR553">
        <v>0</v>
      </c>
      <c r="FS553" t="s">
        <v>1044</v>
      </c>
      <c r="FX553" t="s">
        <v>1042</v>
      </c>
      <c r="GA553">
        <v>0</v>
      </c>
      <c r="GB553" t="s">
        <v>1042</v>
      </c>
      <c r="GD553">
        <v>16</v>
      </c>
      <c r="GE553">
        <v>0</v>
      </c>
      <c r="GG553">
        <v>0</v>
      </c>
      <c r="GN553">
        <v>0</v>
      </c>
      <c r="GO553" t="s">
        <v>1049</v>
      </c>
      <c r="GQ553">
        <v>0</v>
      </c>
      <c r="GU553">
        <v>0</v>
      </c>
      <c r="GY553" t="s">
        <v>1045</v>
      </c>
      <c r="HB553">
        <v>0</v>
      </c>
      <c r="HE553">
        <v>10</v>
      </c>
      <c r="HF553">
        <v>0</v>
      </c>
      <c r="HG553">
        <v>1.1299999999999999E-3</v>
      </c>
      <c r="HK553" t="s">
        <v>1042</v>
      </c>
      <c r="HL553" t="s">
        <v>1048</v>
      </c>
      <c r="HM553">
        <v>0</v>
      </c>
      <c r="HN553">
        <v>0</v>
      </c>
      <c r="HO553">
        <v>35</v>
      </c>
      <c r="HP553">
        <v>1.7000000000000001E-2</v>
      </c>
      <c r="HQ553">
        <v>0</v>
      </c>
      <c r="HR553" t="s">
        <v>1042</v>
      </c>
      <c r="HT553">
        <v>0</v>
      </c>
      <c r="HU553">
        <v>0</v>
      </c>
      <c r="HW553">
        <v>0</v>
      </c>
      <c r="HX553">
        <v>22821</v>
      </c>
      <c r="HY553">
        <v>0</v>
      </c>
      <c r="IA553">
        <v>0</v>
      </c>
      <c r="IC553" t="s">
        <v>1151</v>
      </c>
      <c r="IF553">
        <v>30000</v>
      </c>
      <c r="IG553" t="s">
        <v>1042</v>
      </c>
      <c r="IH553" t="s">
        <v>1046</v>
      </c>
      <c r="II553" t="s">
        <v>1042</v>
      </c>
      <c r="IR553" t="s">
        <v>1045</v>
      </c>
      <c r="IT553">
        <v>0</v>
      </c>
      <c r="JE553">
        <v>0</v>
      </c>
      <c r="JF553">
        <v>0</v>
      </c>
      <c r="JI553" t="s">
        <v>1042</v>
      </c>
      <c r="JJ553">
        <v>0</v>
      </c>
      <c r="JK553">
        <v>0</v>
      </c>
      <c r="JL553">
        <v>0</v>
      </c>
      <c r="JM553">
        <v>0</v>
      </c>
      <c r="JT553">
        <v>0</v>
      </c>
      <c r="JU553" t="s">
        <v>1042</v>
      </c>
      <c r="JW553">
        <v>0</v>
      </c>
      <c r="KA553">
        <v>0</v>
      </c>
      <c r="KF553">
        <v>0</v>
      </c>
      <c r="KG553">
        <v>0</v>
      </c>
      <c r="KH553">
        <v>0</v>
      </c>
      <c r="KI553">
        <v>0</v>
      </c>
      <c r="KS553" t="s">
        <v>1041</v>
      </c>
      <c r="KT553">
        <v>0</v>
      </c>
      <c r="KU553">
        <v>0</v>
      </c>
      <c r="KV553">
        <v>0</v>
      </c>
      <c r="KX553">
        <v>0</v>
      </c>
      <c r="KZ553">
        <v>0</v>
      </c>
      <c r="LF553">
        <v>0</v>
      </c>
      <c r="LH553">
        <v>0</v>
      </c>
      <c r="LI553">
        <v>0</v>
      </c>
    </row>
    <row r="554" spans="1:321" x14ac:dyDescent="0.35">
      <c r="A554">
        <v>1</v>
      </c>
      <c r="B554">
        <v>1346</v>
      </c>
      <c r="C554" t="s">
        <v>707</v>
      </c>
      <c r="D554" t="s">
        <v>1061</v>
      </c>
      <c r="E554" t="s">
        <v>85</v>
      </c>
      <c r="F554">
        <v>1</v>
      </c>
      <c r="G554">
        <v>220</v>
      </c>
      <c r="H554">
        <v>0</v>
      </c>
      <c r="I554" t="s">
        <v>994</v>
      </c>
      <c r="L554">
        <v>0</v>
      </c>
      <c r="M554">
        <v>0</v>
      </c>
      <c r="N554">
        <v>0</v>
      </c>
      <c r="Q554">
        <v>516</v>
      </c>
      <c r="R554">
        <v>0</v>
      </c>
      <c r="S554">
        <v>0</v>
      </c>
      <c r="W554" t="s">
        <v>1060</v>
      </c>
      <c r="X554">
        <v>0</v>
      </c>
      <c r="Z554">
        <v>10</v>
      </c>
      <c r="AA554">
        <v>24.931999999999999</v>
      </c>
      <c r="AB554">
        <v>3223</v>
      </c>
      <c r="AC554">
        <v>0.75390000000000001</v>
      </c>
      <c r="AD554" t="s">
        <v>1042</v>
      </c>
      <c r="AE554">
        <v>0</v>
      </c>
      <c r="AF554">
        <v>3.3799999999999997E-2</v>
      </c>
      <c r="AH554">
        <v>2907</v>
      </c>
      <c r="AJ554">
        <v>1</v>
      </c>
      <c r="AK554" t="s">
        <v>1154</v>
      </c>
      <c r="AL554">
        <v>0</v>
      </c>
      <c r="AM554">
        <v>0</v>
      </c>
      <c r="AN554">
        <v>11501001</v>
      </c>
      <c r="AO554">
        <v>0</v>
      </c>
      <c r="AP554">
        <v>1002</v>
      </c>
      <c r="AT554">
        <v>1</v>
      </c>
      <c r="AU554" t="s">
        <v>1059</v>
      </c>
      <c r="AV554" t="s">
        <v>1043</v>
      </c>
      <c r="AW554" t="s">
        <v>1053</v>
      </c>
      <c r="AX554">
        <v>0</v>
      </c>
      <c r="AY554" s="20">
        <v>43676</v>
      </c>
      <c r="BA554" s="20">
        <v>44643</v>
      </c>
      <c r="BB554" t="s">
        <v>1058</v>
      </c>
      <c r="BD554">
        <v>0</v>
      </c>
      <c r="BF554" t="s">
        <v>1044</v>
      </c>
      <c r="BG554" t="s">
        <v>1042</v>
      </c>
      <c r="BH554">
        <v>0</v>
      </c>
      <c r="BI554">
        <v>6</v>
      </c>
      <c r="BJ554">
        <v>0</v>
      </c>
      <c r="BK554">
        <v>0</v>
      </c>
      <c r="BM554" s="20">
        <v>44162</v>
      </c>
      <c r="BN554">
        <v>0</v>
      </c>
      <c r="BO554">
        <v>7897801319782</v>
      </c>
      <c r="BR554" t="s">
        <v>1043</v>
      </c>
      <c r="BS554" t="s">
        <v>1043</v>
      </c>
      <c r="BT554" t="s">
        <v>1043</v>
      </c>
      <c r="BV554">
        <v>1</v>
      </c>
      <c r="BW554">
        <v>31</v>
      </c>
      <c r="BY554">
        <v>82</v>
      </c>
      <c r="CA554">
        <v>0</v>
      </c>
      <c r="CB554" t="s">
        <v>1043</v>
      </c>
      <c r="CE554" t="s">
        <v>1043</v>
      </c>
      <c r="CH554" t="s">
        <v>1043</v>
      </c>
      <c r="CI554" t="s">
        <v>1153</v>
      </c>
      <c r="CK554" t="s">
        <v>1152</v>
      </c>
      <c r="CN554" t="s">
        <v>1056</v>
      </c>
      <c r="CP554">
        <v>1</v>
      </c>
      <c r="CQ554">
        <v>0</v>
      </c>
      <c r="CS554">
        <v>0</v>
      </c>
      <c r="CT554">
        <v>0</v>
      </c>
      <c r="CU554">
        <v>0</v>
      </c>
      <c r="CW554">
        <v>0</v>
      </c>
      <c r="CX554">
        <v>0</v>
      </c>
      <c r="CY554">
        <v>0</v>
      </c>
      <c r="CZ554">
        <v>0</v>
      </c>
      <c r="DA554">
        <v>2</v>
      </c>
      <c r="DB554">
        <v>2550000</v>
      </c>
      <c r="DH554">
        <v>0</v>
      </c>
      <c r="DJ554">
        <v>0</v>
      </c>
      <c r="DL554">
        <v>0</v>
      </c>
      <c r="DN554">
        <v>0</v>
      </c>
      <c r="DO554" t="s">
        <v>1042</v>
      </c>
      <c r="DP554">
        <v>0</v>
      </c>
      <c r="DQ554">
        <v>7.6</v>
      </c>
      <c r="DS554">
        <v>0</v>
      </c>
      <c r="DU554">
        <v>1.65</v>
      </c>
      <c r="DW554">
        <v>0</v>
      </c>
      <c r="DY554">
        <v>0</v>
      </c>
      <c r="DZ554">
        <v>0</v>
      </c>
      <c r="EA554">
        <v>0</v>
      </c>
      <c r="EB554">
        <v>17897801319789</v>
      </c>
      <c r="EE554">
        <v>0</v>
      </c>
      <c r="EF554">
        <v>0</v>
      </c>
      <c r="EG554" t="s">
        <v>1044</v>
      </c>
      <c r="EK554" t="s">
        <v>1054</v>
      </c>
      <c r="EL554">
        <v>57897801319787</v>
      </c>
      <c r="EN554" t="s">
        <v>1012</v>
      </c>
      <c r="ET554">
        <v>0</v>
      </c>
      <c r="EV554">
        <v>0</v>
      </c>
      <c r="EY554" t="s">
        <v>1052</v>
      </c>
      <c r="EZ554">
        <v>0</v>
      </c>
      <c r="FA554" t="s">
        <v>1043</v>
      </c>
      <c r="FB554">
        <v>0</v>
      </c>
      <c r="FC554">
        <v>0</v>
      </c>
      <c r="FD554" t="s">
        <v>1051</v>
      </c>
      <c r="FE554" t="s">
        <v>1050</v>
      </c>
      <c r="FF554">
        <v>500</v>
      </c>
      <c r="FG554" t="s">
        <v>1050</v>
      </c>
      <c r="FH554">
        <v>27897801319786</v>
      </c>
      <c r="FJ554">
        <v>0</v>
      </c>
      <c r="FK554">
        <v>0</v>
      </c>
      <c r="FP554">
        <v>0</v>
      </c>
      <c r="FR554">
        <v>0</v>
      </c>
      <c r="FS554" t="s">
        <v>1044</v>
      </c>
      <c r="FX554" t="s">
        <v>1042</v>
      </c>
      <c r="GA554">
        <v>0</v>
      </c>
      <c r="GB554" t="s">
        <v>1042</v>
      </c>
      <c r="GD554">
        <v>16</v>
      </c>
      <c r="GE554">
        <v>0</v>
      </c>
      <c r="GG554">
        <v>0</v>
      </c>
      <c r="GN554">
        <v>0</v>
      </c>
      <c r="GO554" t="s">
        <v>1049</v>
      </c>
      <c r="GQ554">
        <v>0</v>
      </c>
      <c r="GU554">
        <v>0</v>
      </c>
      <c r="GY554" t="s">
        <v>1045</v>
      </c>
      <c r="HB554">
        <v>0</v>
      </c>
      <c r="HE554">
        <v>10</v>
      </c>
      <c r="HF554">
        <v>0</v>
      </c>
      <c r="HG554">
        <v>1.1299999999999999E-3</v>
      </c>
      <c r="HK554" t="s">
        <v>1042</v>
      </c>
      <c r="HL554" t="s">
        <v>1048</v>
      </c>
      <c r="HM554">
        <v>0</v>
      </c>
      <c r="HN554">
        <v>0</v>
      </c>
      <c r="HO554">
        <v>35</v>
      </c>
      <c r="HP554">
        <v>3.3799999999999997E-2</v>
      </c>
      <c r="HQ554">
        <v>0</v>
      </c>
      <c r="HR554" t="s">
        <v>1042</v>
      </c>
      <c r="HT554">
        <v>0</v>
      </c>
      <c r="HU554">
        <v>0</v>
      </c>
      <c r="HW554">
        <v>0</v>
      </c>
      <c r="HX554">
        <v>3967</v>
      </c>
      <c r="HY554">
        <v>0</v>
      </c>
      <c r="IA554">
        <v>0</v>
      </c>
      <c r="IC554" t="s">
        <v>1151</v>
      </c>
      <c r="IF554">
        <v>15000</v>
      </c>
      <c r="IG554" t="s">
        <v>1042</v>
      </c>
      <c r="IH554" t="s">
        <v>1046</v>
      </c>
      <c r="II554" t="s">
        <v>1042</v>
      </c>
      <c r="IR554" t="s">
        <v>1045</v>
      </c>
      <c r="IT554">
        <v>0</v>
      </c>
      <c r="JE554">
        <v>0</v>
      </c>
      <c r="JF554">
        <v>0</v>
      </c>
      <c r="JI554" t="s">
        <v>1042</v>
      </c>
      <c r="JJ554">
        <v>0</v>
      </c>
      <c r="JK554">
        <v>0</v>
      </c>
      <c r="JL554">
        <v>0</v>
      </c>
      <c r="JM554">
        <v>0</v>
      </c>
      <c r="JT554">
        <v>0</v>
      </c>
      <c r="JU554" t="s">
        <v>1042</v>
      </c>
      <c r="JW554">
        <v>0</v>
      </c>
      <c r="KA554">
        <v>0</v>
      </c>
      <c r="KF554">
        <v>0</v>
      </c>
      <c r="KG554">
        <v>0</v>
      </c>
      <c r="KH554">
        <v>0</v>
      </c>
      <c r="KI554">
        <v>0</v>
      </c>
      <c r="KS554" t="s">
        <v>1041</v>
      </c>
      <c r="KT554">
        <v>0</v>
      </c>
      <c r="KU554">
        <v>0</v>
      </c>
      <c r="KV554">
        <v>0</v>
      </c>
      <c r="KX554">
        <v>0</v>
      </c>
      <c r="KZ554">
        <v>0</v>
      </c>
      <c r="LF554">
        <v>0</v>
      </c>
      <c r="LH554">
        <v>0</v>
      </c>
      <c r="LI554">
        <v>0</v>
      </c>
    </row>
    <row r="555" spans="1:321" x14ac:dyDescent="0.35">
      <c r="A555">
        <v>1</v>
      </c>
      <c r="B555">
        <v>1347</v>
      </c>
      <c r="C555" t="s">
        <v>708</v>
      </c>
      <c r="D555" t="s">
        <v>1061</v>
      </c>
      <c r="E555" t="s">
        <v>85</v>
      </c>
      <c r="F555">
        <v>1</v>
      </c>
      <c r="G555">
        <v>220</v>
      </c>
      <c r="H555">
        <v>0</v>
      </c>
      <c r="I555" t="s">
        <v>994</v>
      </c>
      <c r="L555">
        <v>0</v>
      </c>
      <c r="M555">
        <v>0</v>
      </c>
      <c r="N555">
        <v>0</v>
      </c>
      <c r="Q555">
        <v>516</v>
      </c>
      <c r="R555">
        <v>0</v>
      </c>
      <c r="S555">
        <v>0</v>
      </c>
      <c r="W555" t="s">
        <v>1060</v>
      </c>
      <c r="X555">
        <v>0</v>
      </c>
      <c r="Z555">
        <v>10</v>
      </c>
      <c r="AA555">
        <v>8.08</v>
      </c>
      <c r="AB555">
        <v>7493</v>
      </c>
      <c r="AC555">
        <v>0.33329999999999999</v>
      </c>
      <c r="AD555" s="20">
        <v>44693</v>
      </c>
      <c r="AE555">
        <v>0.38</v>
      </c>
      <c r="AF555">
        <v>1.26E-2</v>
      </c>
      <c r="AH555">
        <v>6993</v>
      </c>
      <c r="AJ555">
        <v>1</v>
      </c>
      <c r="AK555" t="s">
        <v>1154</v>
      </c>
      <c r="AL555">
        <v>0</v>
      </c>
      <c r="AM555">
        <v>0</v>
      </c>
      <c r="AN555">
        <v>11501001</v>
      </c>
      <c r="AO555">
        <v>0</v>
      </c>
      <c r="AP555">
        <v>1002</v>
      </c>
      <c r="AT555">
        <v>1</v>
      </c>
      <c r="AU555" t="s">
        <v>1059</v>
      </c>
      <c r="AV555" t="s">
        <v>1043</v>
      </c>
      <c r="AW555" t="s">
        <v>1053</v>
      </c>
      <c r="AX555">
        <v>0</v>
      </c>
      <c r="AY555" s="20">
        <v>43676</v>
      </c>
      <c r="BA555" s="20">
        <v>44643</v>
      </c>
      <c r="BB555" t="s">
        <v>1058</v>
      </c>
      <c r="BD555">
        <v>0</v>
      </c>
      <c r="BF555" t="s">
        <v>1044</v>
      </c>
      <c r="BG555" t="s">
        <v>1042</v>
      </c>
      <c r="BH555">
        <v>0</v>
      </c>
      <c r="BI555">
        <v>6</v>
      </c>
      <c r="BJ555">
        <v>0</v>
      </c>
      <c r="BK555">
        <v>0</v>
      </c>
      <c r="BM555" s="20">
        <v>44050</v>
      </c>
      <c r="BN555">
        <v>0</v>
      </c>
      <c r="BO555">
        <v>7897801319799</v>
      </c>
      <c r="BR555" t="s">
        <v>1043</v>
      </c>
      <c r="BS555" t="s">
        <v>1043</v>
      </c>
      <c r="BT555" t="s">
        <v>1043</v>
      </c>
      <c r="BV555">
        <v>1</v>
      </c>
      <c r="BW555">
        <v>31</v>
      </c>
      <c r="BY555">
        <v>82</v>
      </c>
      <c r="CA555">
        <v>0</v>
      </c>
      <c r="CB555" t="s">
        <v>1043</v>
      </c>
      <c r="CE555" t="s">
        <v>1043</v>
      </c>
      <c r="CH555" t="s">
        <v>1043</v>
      </c>
      <c r="CI555" t="s">
        <v>1153</v>
      </c>
      <c r="CK555" t="s">
        <v>1152</v>
      </c>
      <c r="CN555" t="s">
        <v>1056</v>
      </c>
      <c r="CP555">
        <v>1</v>
      </c>
      <c r="CQ555">
        <v>0</v>
      </c>
      <c r="CS555">
        <v>0</v>
      </c>
      <c r="CT555">
        <v>0</v>
      </c>
      <c r="CU555">
        <v>0</v>
      </c>
      <c r="CW555">
        <v>0</v>
      </c>
      <c r="CX555">
        <v>0</v>
      </c>
      <c r="CY555">
        <v>0</v>
      </c>
      <c r="CZ555">
        <v>0</v>
      </c>
      <c r="DA555">
        <v>3</v>
      </c>
      <c r="DB555">
        <v>2550000</v>
      </c>
      <c r="DH555">
        <v>0</v>
      </c>
      <c r="DJ555">
        <v>0</v>
      </c>
      <c r="DL555">
        <v>0</v>
      </c>
      <c r="DN555">
        <v>0</v>
      </c>
      <c r="DO555" t="s">
        <v>1042</v>
      </c>
      <c r="DP555">
        <v>0</v>
      </c>
      <c r="DQ555">
        <v>7.6</v>
      </c>
      <c r="DS555">
        <v>0</v>
      </c>
      <c r="DU555">
        <v>1.65</v>
      </c>
      <c r="DW555">
        <v>0</v>
      </c>
      <c r="DY555">
        <v>0</v>
      </c>
      <c r="DZ555">
        <v>0</v>
      </c>
      <c r="EA555">
        <v>0</v>
      </c>
      <c r="EB555">
        <v>17897801319796</v>
      </c>
      <c r="EE555">
        <v>0</v>
      </c>
      <c r="EF555">
        <v>0</v>
      </c>
      <c r="EG555" t="s">
        <v>1044</v>
      </c>
      <c r="EK555" t="s">
        <v>1054</v>
      </c>
      <c r="EL555">
        <v>57897801319794</v>
      </c>
      <c r="EN555" t="s">
        <v>1012</v>
      </c>
      <c r="ET555">
        <v>0</v>
      </c>
      <c r="EV555">
        <v>0</v>
      </c>
      <c r="EY555" t="s">
        <v>1052</v>
      </c>
      <c r="EZ555">
        <v>0</v>
      </c>
      <c r="FA555" t="s">
        <v>1043</v>
      </c>
      <c r="FB555">
        <v>0</v>
      </c>
      <c r="FC555">
        <v>0</v>
      </c>
      <c r="FD555" t="s">
        <v>1051</v>
      </c>
      <c r="FE555" t="s">
        <v>1050</v>
      </c>
      <c r="FF555">
        <v>2000</v>
      </c>
      <c r="FG555" t="s">
        <v>1050</v>
      </c>
      <c r="FH555">
        <v>27897801319793</v>
      </c>
      <c r="FJ555">
        <v>0</v>
      </c>
      <c r="FK555">
        <v>0</v>
      </c>
      <c r="FP555">
        <v>0</v>
      </c>
      <c r="FR555">
        <v>0</v>
      </c>
      <c r="FS555" t="s">
        <v>1044</v>
      </c>
      <c r="FX555" t="s">
        <v>1042</v>
      </c>
      <c r="GA555">
        <v>0</v>
      </c>
      <c r="GB555" t="s">
        <v>1042</v>
      </c>
      <c r="GD555">
        <v>16</v>
      </c>
      <c r="GE555">
        <v>0</v>
      </c>
      <c r="GG555">
        <v>0</v>
      </c>
      <c r="GN555">
        <v>0</v>
      </c>
      <c r="GO555" t="s">
        <v>1049</v>
      </c>
      <c r="GQ555">
        <v>0</v>
      </c>
      <c r="GU555">
        <v>0</v>
      </c>
      <c r="GY555" t="s">
        <v>1045</v>
      </c>
      <c r="HB555">
        <v>0</v>
      </c>
      <c r="HE555">
        <v>10</v>
      </c>
      <c r="HF555">
        <v>0</v>
      </c>
      <c r="HG555">
        <v>3.0000000000000001E-3</v>
      </c>
      <c r="HK555" t="s">
        <v>1042</v>
      </c>
      <c r="HL555" t="s">
        <v>1048</v>
      </c>
      <c r="HM555">
        <v>0</v>
      </c>
      <c r="HN555">
        <v>0</v>
      </c>
      <c r="HO555">
        <v>35</v>
      </c>
      <c r="HP555">
        <v>1.21E-2</v>
      </c>
      <c r="HQ555">
        <v>0</v>
      </c>
      <c r="HR555" t="s">
        <v>1042</v>
      </c>
      <c r="HT555">
        <v>0</v>
      </c>
      <c r="HU555">
        <v>0</v>
      </c>
      <c r="HW555">
        <v>0</v>
      </c>
      <c r="HX555">
        <v>8673</v>
      </c>
      <c r="HY555">
        <v>1</v>
      </c>
      <c r="IA555">
        <v>0.38</v>
      </c>
      <c r="IC555" t="s">
        <v>1151</v>
      </c>
      <c r="IF555">
        <v>60000</v>
      </c>
      <c r="IG555" t="s">
        <v>1042</v>
      </c>
      <c r="IH555" t="s">
        <v>1046</v>
      </c>
      <c r="II555" t="s">
        <v>1042</v>
      </c>
      <c r="IR555" t="s">
        <v>1045</v>
      </c>
      <c r="IT555">
        <v>0</v>
      </c>
      <c r="JE555">
        <v>0</v>
      </c>
      <c r="JF555">
        <v>0</v>
      </c>
      <c r="JI555" t="s">
        <v>1042</v>
      </c>
      <c r="JJ555">
        <v>0</v>
      </c>
      <c r="JK555">
        <v>0</v>
      </c>
      <c r="JL555">
        <v>0</v>
      </c>
      <c r="JM555">
        <v>0</v>
      </c>
      <c r="JT555">
        <v>0</v>
      </c>
      <c r="JU555" t="s">
        <v>1042</v>
      </c>
      <c r="JW555">
        <v>0</v>
      </c>
      <c r="KA555">
        <v>0</v>
      </c>
      <c r="KF555">
        <v>0</v>
      </c>
      <c r="KG555">
        <v>0</v>
      </c>
      <c r="KH555">
        <v>0</v>
      </c>
      <c r="KI555">
        <v>0</v>
      </c>
      <c r="KS555" t="s">
        <v>1041</v>
      </c>
      <c r="KT555">
        <v>0</v>
      </c>
      <c r="KU555">
        <v>0</v>
      </c>
      <c r="KV555">
        <v>0</v>
      </c>
      <c r="KX555">
        <v>0</v>
      </c>
      <c r="KZ555">
        <v>0</v>
      </c>
      <c r="LF555">
        <v>0</v>
      </c>
      <c r="LH555">
        <v>0</v>
      </c>
      <c r="LI555">
        <v>0</v>
      </c>
    </row>
    <row r="556" spans="1:321" x14ac:dyDescent="0.35">
      <c r="A556">
        <v>1</v>
      </c>
      <c r="B556">
        <v>1348</v>
      </c>
      <c r="C556" t="s">
        <v>709</v>
      </c>
      <c r="D556" t="s">
        <v>1061</v>
      </c>
      <c r="E556" t="s">
        <v>85</v>
      </c>
      <c r="F556">
        <v>1</v>
      </c>
      <c r="G556">
        <v>220</v>
      </c>
      <c r="H556">
        <v>0</v>
      </c>
      <c r="I556" t="s">
        <v>994</v>
      </c>
      <c r="L556">
        <v>0</v>
      </c>
      <c r="M556">
        <v>0</v>
      </c>
      <c r="N556">
        <v>0</v>
      </c>
      <c r="Q556">
        <v>516</v>
      </c>
      <c r="R556">
        <v>0</v>
      </c>
      <c r="S556">
        <v>0</v>
      </c>
      <c r="W556" t="s">
        <v>1060</v>
      </c>
      <c r="X556">
        <v>0</v>
      </c>
      <c r="Z556">
        <v>10</v>
      </c>
      <c r="AA556">
        <v>12.676</v>
      </c>
      <c r="AB556">
        <v>81934</v>
      </c>
      <c r="AC556">
        <v>1.1128</v>
      </c>
      <c r="AD556" s="20">
        <v>44705</v>
      </c>
      <c r="AE556">
        <v>1.4131009999999999</v>
      </c>
      <c r="AF556">
        <v>2.47E-2</v>
      </c>
      <c r="AH556">
        <v>75089</v>
      </c>
      <c r="AJ556">
        <v>1</v>
      </c>
      <c r="AK556" t="s">
        <v>1154</v>
      </c>
      <c r="AL556">
        <v>0</v>
      </c>
      <c r="AM556">
        <v>0</v>
      </c>
      <c r="AN556">
        <v>11501001</v>
      </c>
      <c r="AO556">
        <v>0</v>
      </c>
      <c r="AP556">
        <v>1002</v>
      </c>
      <c r="AT556">
        <v>1</v>
      </c>
      <c r="AU556" t="s">
        <v>1059</v>
      </c>
      <c r="AV556" t="s">
        <v>1043</v>
      </c>
      <c r="AW556" t="s">
        <v>1053</v>
      </c>
      <c r="AX556">
        <v>0</v>
      </c>
      <c r="AY556" s="20">
        <v>43676</v>
      </c>
      <c r="BA556" s="20">
        <v>44643</v>
      </c>
      <c r="BB556" t="s">
        <v>1058</v>
      </c>
      <c r="BD556">
        <v>0</v>
      </c>
      <c r="BF556" t="s">
        <v>1044</v>
      </c>
      <c r="BG556" t="s">
        <v>1042</v>
      </c>
      <c r="BH556">
        <v>0</v>
      </c>
      <c r="BI556">
        <v>6</v>
      </c>
      <c r="BJ556">
        <v>0</v>
      </c>
      <c r="BK556">
        <v>0</v>
      </c>
      <c r="BM556" s="20">
        <v>44050</v>
      </c>
      <c r="BN556">
        <v>0</v>
      </c>
      <c r="BO556">
        <v>7897801319805</v>
      </c>
      <c r="BR556" t="s">
        <v>1043</v>
      </c>
      <c r="BS556" t="s">
        <v>1043</v>
      </c>
      <c r="BT556" t="s">
        <v>1043</v>
      </c>
      <c r="BV556">
        <v>1</v>
      </c>
      <c r="BW556">
        <v>31</v>
      </c>
      <c r="BY556">
        <v>82</v>
      </c>
      <c r="CA556">
        <v>0</v>
      </c>
      <c r="CB556" t="s">
        <v>1043</v>
      </c>
      <c r="CE556" t="s">
        <v>1043</v>
      </c>
      <c r="CH556" t="s">
        <v>1043</v>
      </c>
      <c r="CI556" t="s">
        <v>1153</v>
      </c>
      <c r="CK556" t="s">
        <v>1152</v>
      </c>
      <c r="CN556" t="s">
        <v>1056</v>
      </c>
      <c r="CP556">
        <v>1</v>
      </c>
      <c r="CQ556">
        <v>0</v>
      </c>
      <c r="CS556">
        <v>0</v>
      </c>
      <c r="CT556">
        <v>0</v>
      </c>
      <c r="CU556">
        <v>0</v>
      </c>
      <c r="CW556">
        <v>0</v>
      </c>
      <c r="CX556">
        <v>0</v>
      </c>
      <c r="CY556">
        <v>0</v>
      </c>
      <c r="CZ556">
        <v>0</v>
      </c>
      <c r="DA556">
        <v>3</v>
      </c>
      <c r="DB556">
        <v>2550000</v>
      </c>
      <c r="DH556">
        <v>0</v>
      </c>
      <c r="DJ556">
        <v>0</v>
      </c>
      <c r="DL556">
        <v>0</v>
      </c>
      <c r="DN556">
        <v>0</v>
      </c>
      <c r="DO556" t="s">
        <v>1042</v>
      </c>
      <c r="DP556">
        <v>0</v>
      </c>
      <c r="DQ556">
        <v>7.6</v>
      </c>
      <c r="DS556">
        <v>0</v>
      </c>
      <c r="DU556">
        <v>1.65</v>
      </c>
      <c r="DW556">
        <v>0</v>
      </c>
      <c r="DY556">
        <v>0</v>
      </c>
      <c r="DZ556">
        <v>0</v>
      </c>
      <c r="EA556">
        <v>0</v>
      </c>
      <c r="EB556">
        <v>17897801319802</v>
      </c>
      <c r="EE556">
        <v>0</v>
      </c>
      <c r="EF556">
        <v>0</v>
      </c>
      <c r="EG556" t="s">
        <v>1044</v>
      </c>
      <c r="EK556" t="s">
        <v>1054</v>
      </c>
      <c r="EL556">
        <v>57897801319800</v>
      </c>
      <c r="EN556" t="s">
        <v>1012</v>
      </c>
      <c r="ET556">
        <v>0</v>
      </c>
      <c r="EV556">
        <v>0</v>
      </c>
      <c r="EY556" t="s">
        <v>1052</v>
      </c>
      <c r="EZ556">
        <v>0</v>
      </c>
      <c r="FA556" t="s">
        <v>1043</v>
      </c>
      <c r="FB556">
        <v>0</v>
      </c>
      <c r="FC556">
        <v>0</v>
      </c>
      <c r="FD556" t="s">
        <v>1051</v>
      </c>
      <c r="FE556" t="s">
        <v>1050</v>
      </c>
      <c r="FF556">
        <v>700</v>
      </c>
      <c r="FG556" t="s">
        <v>1050</v>
      </c>
      <c r="FH556">
        <v>27897801319809</v>
      </c>
      <c r="FJ556">
        <v>0</v>
      </c>
      <c r="FK556">
        <v>0</v>
      </c>
      <c r="FP556">
        <v>0</v>
      </c>
      <c r="FR556">
        <v>0</v>
      </c>
      <c r="FS556" t="s">
        <v>1044</v>
      </c>
      <c r="FX556" t="s">
        <v>1042</v>
      </c>
      <c r="GA556">
        <v>0</v>
      </c>
      <c r="GB556" t="s">
        <v>1042</v>
      </c>
      <c r="GD556">
        <v>16</v>
      </c>
      <c r="GE556">
        <v>0</v>
      </c>
      <c r="GG556">
        <v>0</v>
      </c>
      <c r="GN556">
        <v>0</v>
      </c>
      <c r="GO556" t="s">
        <v>1049</v>
      </c>
      <c r="GQ556">
        <v>0</v>
      </c>
      <c r="GU556">
        <v>0</v>
      </c>
      <c r="GY556" t="s">
        <v>1045</v>
      </c>
      <c r="HB556">
        <v>0</v>
      </c>
      <c r="HE556">
        <v>10</v>
      </c>
      <c r="HF556">
        <v>0</v>
      </c>
      <c r="HG556">
        <v>6.9999999999999999E-4</v>
      </c>
      <c r="HK556" t="s">
        <v>1042</v>
      </c>
      <c r="HL556" t="s">
        <v>1048</v>
      </c>
      <c r="HM556">
        <v>0</v>
      </c>
      <c r="HN556">
        <v>0</v>
      </c>
      <c r="HO556">
        <v>35</v>
      </c>
      <c r="HP556">
        <v>2.4299999999999999E-2</v>
      </c>
      <c r="HQ556">
        <v>0</v>
      </c>
      <c r="HR556" t="s">
        <v>1042</v>
      </c>
      <c r="HT556">
        <v>0</v>
      </c>
      <c r="HU556">
        <v>0</v>
      </c>
      <c r="HW556">
        <v>0</v>
      </c>
      <c r="HX556">
        <v>98068</v>
      </c>
      <c r="HY556">
        <v>1</v>
      </c>
      <c r="IA556">
        <v>0.72</v>
      </c>
      <c r="IC556" t="s">
        <v>1151</v>
      </c>
      <c r="IF556">
        <v>21000</v>
      </c>
      <c r="IG556" t="s">
        <v>1042</v>
      </c>
      <c r="IH556" t="s">
        <v>1046</v>
      </c>
      <c r="II556" t="s">
        <v>1042</v>
      </c>
      <c r="IR556" t="s">
        <v>1045</v>
      </c>
      <c r="IT556">
        <v>0</v>
      </c>
      <c r="JE556">
        <v>0</v>
      </c>
      <c r="JF556">
        <v>0</v>
      </c>
      <c r="JI556" t="s">
        <v>1042</v>
      </c>
      <c r="JJ556">
        <v>0</v>
      </c>
      <c r="JK556">
        <v>0</v>
      </c>
      <c r="JL556">
        <v>0</v>
      </c>
      <c r="JM556">
        <v>0</v>
      </c>
      <c r="JT556">
        <v>0</v>
      </c>
      <c r="JU556" t="s">
        <v>1042</v>
      </c>
      <c r="JW556">
        <v>0</v>
      </c>
      <c r="KA556">
        <v>0</v>
      </c>
      <c r="KF556">
        <v>0</v>
      </c>
      <c r="KG556">
        <v>0</v>
      </c>
      <c r="KH556">
        <v>0</v>
      </c>
      <c r="KI556">
        <v>0</v>
      </c>
      <c r="KS556" t="s">
        <v>1041</v>
      </c>
      <c r="KT556">
        <v>0</v>
      </c>
      <c r="KU556">
        <v>0</v>
      </c>
      <c r="KV556">
        <v>0</v>
      </c>
      <c r="KX556">
        <v>0</v>
      </c>
      <c r="KZ556">
        <v>0</v>
      </c>
      <c r="LF556">
        <v>0</v>
      </c>
      <c r="LH556">
        <v>0</v>
      </c>
      <c r="LI556">
        <v>0</v>
      </c>
    </row>
    <row r="557" spans="1:321" x14ac:dyDescent="0.35">
      <c r="A557">
        <v>1</v>
      </c>
      <c r="B557">
        <v>13486</v>
      </c>
      <c r="C557" t="s">
        <v>1168</v>
      </c>
      <c r="D557" t="s">
        <v>1139</v>
      </c>
      <c r="E557" t="s">
        <v>1165</v>
      </c>
      <c r="F557">
        <v>80</v>
      </c>
      <c r="G557">
        <v>9000</v>
      </c>
      <c r="H557">
        <v>0</v>
      </c>
      <c r="I557" t="s">
        <v>1157</v>
      </c>
      <c r="L557">
        <v>0</v>
      </c>
      <c r="M557">
        <v>0</v>
      </c>
      <c r="N557">
        <v>0</v>
      </c>
      <c r="R557">
        <v>0</v>
      </c>
      <c r="S557">
        <v>0</v>
      </c>
      <c r="W557" t="s">
        <v>1060</v>
      </c>
      <c r="X557">
        <v>0</v>
      </c>
      <c r="Z557">
        <v>1</v>
      </c>
      <c r="AA557">
        <v>0</v>
      </c>
      <c r="AB557">
        <v>0</v>
      </c>
      <c r="AC557">
        <v>1438.59</v>
      </c>
      <c r="AD557" s="20">
        <v>40876</v>
      </c>
      <c r="AE557">
        <v>1054.2325000000001</v>
      </c>
      <c r="AF557">
        <v>0</v>
      </c>
      <c r="AH557">
        <v>0</v>
      </c>
      <c r="AJ557">
        <v>0</v>
      </c>
      <c r="AL557">
        <v>1</v>
      </c>
      <c r="AM557">
        <v>0</v>
      </c>
      <c r="AN557">
        <v>16301004</v>
      </c>
      <c r="AO557">
        <v>0</v>
      </c>
      <c r="AP557">
        <v>1001</v>
      </c>
      <c r="AT557">
        <v>0</v>
      </c>
      <c r="AU557" t="s">
        <v>1059</v>
      </c>
      <c r="AW557" t="s">
        <v>1053</v>
      </c>
      <c r="AX557">
        <v>0</v>
      </c>
      <c r="AY557" s="20">
        <v>40876</v>
      </c>
      <c r="BA557" s="20">
        <v>40876</v>
      </c>
      <c r="BB557" t="s">
        <v>1058</v>
      </c>
      <c r="BD557">
        <v>0</v>
      </c>
      <c r="BF557" t="s">
        <v>1043</v>
      </c>
      <c r="BG557" t="s">
        <v>1042</v>
      </c>
      <c r="BH557">
        <v>0</v>
      </c>
      <c r="BI557">
        <v>1</v>
      </c>
      <c r="BJ557">
        <v>0</v>
      </c>
      <c r="BK557">
        <v>0</v>
      </c>
      <c r="BM557" t="s">
        <v>1042</v>
      </c>
      <c r="BN557">
        <v>0</v>
      </c>
      <c r="BR557" t="s">
        <v>1043</v>
      </c>
      <c r="BS557" t="s">
        <v>1043</v>
      </c>
      <c r="BT557" t="s">
        <v>1043</v>
      </c>
      <c r="BW557">
        <v>55</v>
      </c>
      <c r="CA557">
        <v>0</v>
      </c>
      <c r="CB557" t="s">
        <v>1057</v>
      </c>
      <c r="CE557" t="s">
        <v>1043</v>
      </c>
      <c r="CH557" t="s">
        <v>1043</v>
      </c>
      <c r="CN557" t="s">
        <v>1074</v>
      </c>
      <c r="CO557" t="s">
        <v>1043</v>
      </c>
      <c r="CP557">
        <v>1</v>
      </c>
      <c r="CQ557">
        <v>0</v>
      </c>
      <c r="CS557">
        <v>0</v>
      </c>
      <c r="CT557">
        <v>0</v>
      </c>
      <c r="CU557">
        <v>0</v>
      </c>
      <c r="CV557" t="s">
        <v>1045</v>
      </c>
      <c r="CW557">
        <v>0</v>
      </c>
      <c r="CX557">
        <v>0</v>
      </c>
      <c r="CY557">
        <v>0</v>
      </c>
      <c r="CZ557">
        <v>0</v>
      </c>
      <c r="DB557">
        <v>0</v>
      </c>
      <c r="DC557" t="s">
        <v>1043</v>
      </c>
      <c r="DF557" t="s">
        <v>1055</v>
      </c>
      <c r="DH557">
        <v>0</v>
      </c>
      <c r="DJ557">
        <v>0</v>
      </c>
      <c r="DK557" t="s">
        <v>1053</v>
      </c>
      <c r="DL557">
        <v>0</v>
      </c>
      <c r="DN557">
        <v>0</v>
      </c>
      <c r="DO557" t="s">
        <v>1042</v>
      </c>
      <c r="DP557">
        <v>0</v>
      </c>
      <c r="DQ557">
        <v>0</v>
      </c>
      <c r="DS557">
        <v>0</v>
      </c>
      <c r="DU557">
        <v>0</v>
      </c>
      <c r="DW557">
        <v>0</v>
      </c>
      <c r="DX557" t="s">
        <v>1043</v>
      </c>
      <c r="DY557">
        <v>0</v>
      </c>
      <c r="DZ557">
        <v>0</v>
      </c>
      <c r="EA557">
        <v>0</v>
      </c>
      <c r="ED557" t="s">
        <v>1045</v>
      </c>
      <c r="EE557">
        <v>0</v>
      </c>
      <c r="EF557">
        <v>0</v>
      </c>
      <c r="EQ557" t="s">
        <v>1044</v>
      </c>
      <c r="ES557" t="s">
        <v>1053</v>
      </c>
      <c r="ET557">
        <v>0</v>
      </c>
      <c r="EV557">
        <v>0</v>
      </c>
      <c r="EY557" t="s">
        <v>1052</v>
      </c>
      <c r="EZ557">
        <v>0</v>
      </c>
      <c r="FA557" t="s">
        <v>1043</v>
      </c>
      <c r="FB557">
        <v>0</v>
      </c>
      <c r="FC557">
        <v>0</v>
      </c>
      <c r="FE557" t="s">
        <v>1050</v>
      </c>
      <c r="FF557">
        <v>0</v>
      </c>
      <c r="FG557" t="s">
        <v>1050</v>
      </c>
      <c r="FJ557">
        <v>0</v>
      </c>
      <c r="FK557">
        <v>0</v>
      </c>
      <c r="FP557">
        <v>0</v>
      </c>
      <c r="FR557">
        <v>0</v>
      </c>
      <c r="FX557" t="s">
        <v>1042</v>
      </c>
      <c r="FZ557" t="s">
        <v>1048</v>
      </c>
      <c r="GA557">
        <v>0</v>
      </c>
      <c r="GB557" t="s">
        <v>1042</v>
      </c>
      <c r="GE557">
        <v>0</v>
      </c>
      <c r="GG557">
        <v>0</v>
      </c>
      <c r="GN557">
        <v>0</v>
      </c>
      <c r="GO557" t="s">
        <v>1063</v>
      </c>
      <c r="GQ557">
        <v>0</v>
      </c>
      <c r="GU557">
        <v>0</v>
      </c>
      <c r="GY557" t="s">
        <v>1045</v>
      </c>
      <c r="HB557">
        <v>0</v>
      </c>
      <c r="HE557">
        <v>0</v>
      </c>
      <c r="HF557">
        <v>0</v>
      </c>
      <c r="HG557">
        <v>0</v>
      </c>
      <c r="HK557" t="s">
        <v>1042</v>
      </c>
      <c r="HM557" t="s">
        <v>1047</v>
      </c>
      <c r="HN557">
        <v>0</v>
      </c>
      <c r="HP557">
        <v>0</v>
      </c>
      <c r="HQ557">
        <v>0</v>
      </c>
      <c r="HR557" t="s">
        <v>1042</v>
      </c>
      <c r="HS557" t="s">
        <v>1043</v>
      </c>
      <c r="HT557">
        <v>0</v>
      </c>
      <c r="HU557">
        <v>0</v>
      </c>
      <c r="HW557">
        <v>0</v>
      </c>
      <c r="HX557">
        <v>0</v>
      </c>
      <c r="HY557">
        <v>0</v>
      </c>
      <c r="HZ557" t="s">
        <v>1045</v>
      </c>
      <c r="IA557">
        <v>0</v>
      </c>
      <c r="IB557" t="s">
        <v>1045</v>
      </c>
      <c r="ID557" t="s">
        <v>1045</v>
      </c>
      <c r="IF557">
        <v>0</v>
      </c>
      <c r="IG557" t="s">
        <v>1042</v>
      </c>
      <c r="II557" t="s">
        <v>1042</v>
      </c>
      <c r="IR557" t="s">
        <v>1045</v>
      </c>
      <c r="IT557">
        <v>0</v>
      </c>
      <c r="IY557" t="s">
        <v>1044</v>
      </c>
      <c r="IZ557" t="s">
        <v>1043</v>
      </c>
      <c r="JC557" t="s">
        <v>1043</v>
      </c>
      <c r="JE557">
        <v>0</v>
      </c>
      <c r="JF557">
        <v>0</v>
      </c>
      <c r="JI557" t="s">
        <v>1042</v>
      </c>
      <c r="JJ557">
        <v>0</v>
      </c>
      <c r="JK557">
        <v>0</v>
      </c>
      <c r="JL557">
        <v>0</v>
      </c>
      <c r="JM557">
        <v>0</v>
      </c>
      <c r="JQ557" t="s">
        <v>1043</v>
      </c>
      <c r="JT557">
        <v>0</v>
      </c>
      <c r="JU557" t="s">
        <v>1042</v>
      </c>
      <c r="JW557">
        <v>0</v>
      </c>
      <c r="KA557">
        <v>0</v>
      </c>
      <c r="KF557">
        <v>0</v>
      </c>
      <c r="KG557">
        <v>0</v>
      </c>
      <c r="KH557">
        <v>0</v>
      </c>
      <c r="KI557">
        <v>0</v>
      </c>
      <c r="KS557" t="s">
        <v>1073</v>
      </c>
      <c r="KT557">
        <v>0</v>
      </c>
      <c r="KU557">
        <v>0</v>
      </c>
      <c r="KV557">
        <v>0</v>
      </c>
      <c r="KX557">
        <v>0</v>
      </c>
      <c r="KZ557">
        <v>0</v>
      </c>
      <c r="LF557">
        <v>0</v>
      </c>
      <c r="LH557">
        <v>0</v>
      </c>
      <c r="LI557">
        <v>0</v>
      </c>
    </row>
    <row r="558" spans="1:321" x14ac:dyDescent="0.35">
      <c r="A558">
        <v>1</v>
      </c>
      <c r="B558">
        <v>13488</v>
      </c>
      <c r="C558" t="s">
        <v>1167</v>
      </c>
      <c r="D558" t="s">
        <v>1166</v>
      </c>
      <c r="E558" t="s">
        <v>1165</v>
      </c>
      <c r="F558">
        <v>80</v>
      </c>
      <c r="G558">
        <v>69</v>
      </c>
      <c r="H558">
        <v>0</v>
      </c>
      <c r="I558" t="s">
        <v>1050</v>
      </c>
      <c r="L558">
        <v>0</v>
      </c>
      <c r="M558">
        <v>0</v>
      </c>
      <c r="N558">
        <v>0</v>
      </c>
      <c r="R558">
        <v>0</v>
      </c>
      <c r="S558">
        <v>0</v>
      </c>
      <c r="W558" t="s">
        <v>1060</v>
      </c>
      <c r="X558">
        <v>0</v>
      </c>
      <c r="Z558">
        <v>1</v>
      </c>
      <c r="AA558">
        <v>0</v>
      </c>
      <c r="AB558">
        <v>0</v>
      </c>
      <c r="AC558">
        <v>89</v>
      </c>
      <c r="AD558" s="20">
        <v>43418</v>
      </c>
      <c r="AE558">
        <v>89</v>
      </c>
      <c r="AF558">
        <v>0</v>
      </c>
      <c r="AH558">
        <v>0</v>
      </c>
      <c r="AJ558">
        <v>0</v>
      </c>
      <c r="AL558">
        <v>1</v>
      </c>
      <c r="AM558">
        <v>0</v>
      </c>
      <c r="AN558">
        <v>43732</v>
      </c>
      <c r="AO558">
        <v>0</v>
      </c>
      <c r="AP558">
        <v>1010</v>
      </c>
      <c r="AT558">
        <v>0</v>
      </c>
      <c r="AU558" t="s">
        <v>1059</v>
      </c>
      <c r="AW558" t="s">
        <v>1053</v>
      </c>
      <c r="AX558">
        <v>0</v>
      </c>
      <c r="AY558" s="20">
        <v>40742</v>
      </c>
      <c r="BA558" s="20">
        <v>40742</v>
      </c>
      <c r="BB558" t="s">
        <v>1058</v>
      </c>
      <c r="BD558">
        <v>0</v>
      </c>
      <c r="BF558" t="s">
        <v>1044</v>
      </c>
      <c r="BG558" t="s">
        <v>1042</v>
      </c>
      <c r="BH558">
        <v>0</v>
      </c>
      <c r="BI558">
        <v>1</v>
      </c>
      <c r="BJ558">
        <v>0</v>
      </c>
      <c r="BK558">
        <v>0</v>
      </c>
      <c r="BM558" t="s">
        <v>1042</v>
      </c>
      <c r="BN558">
        <v>0</v>
      </c>
      <c r="BR558" t="s">
        <v>1043</v>
      </c>
      <c r="BS558" t="s">
        <v>1043</v>
      </c>
      <c r="BT558" t="s">
        <v>1043</v>
      </c>
      <c r="BW558">
        <v>76</v>
      </c>
      <c r="CA558">
        <v>0</v>
      </c>
      <c r="CB558" t="s">
        <v>1043</v>
      </c>
      <c r="CE558" t="s">
        <v>1043</v>
      </c>
      <c r="CH558" t="s">
        <v>1043</v>
      </c>
      <c r="CN558" t="s">
        <v>1074</v>
      </c>
      <c r="CO558" t="s">
        <v>1043</v>
      </c>
      <c r="CP558">
        <v>1</v>
      </c>
      <c r="CQ558">
        <v>0</v>
      </c>
      <c r="CS558">
        <v>0</v>
      </c>
      <c r="CT558">
        <v>0</v>
      </c>
      <c r="CU558">
        <v>0</v>
      </c>
      <c r="CV558" t="s">
        <v>1045</v>
      </c>
      <c r="CW558">
        <v>0</v>
      </c>
      <c r="CX558">
        <v>0</v>
      </c>
      <c r="CY558">
        <v>0</v>
      </c>
      <c r="CZ558">
        <v>0</v>
      </c>
      <c r="DB558">
        <v>0</v>
      </c>
      <c r="DC558" t="s">
        <v>1043</v>
      </c>
      <c r="DF558" t="s">
        <v>1055</v>
      </c>
      <c r="DH558">
        <v>0</v>
      </c>
      <c r="DJ558">
        <v>0</v>
      </c>
      <c r="DK558" t="s">
        <v>1053</v>
      </c>
      <c r="DL558">
        <v>0</v>
      </c>
      <c r="DN558">
        <v>0</v>
      </c>
      <c r="DO558" t="s">
        <v>1042</v>
      </c>
      <c r="DP558">
        <v>0</v>
      </c>
      <c r="DQ558">
        <v>0</v>
      </c>
      <c r="DS558">
        <v>0</v>
      </c>
      <c r="DU558">
        <v>0</v>
      </c>
      <c r="DW558">
        <v>0</v>
      </c>
      <c r="DX558" t="s">
        <v>1043</v>
      </c>
      <c r="DY558">
        <v>0</v>
      </c>
      <c r="DZ558">
        <v>0</v>
      </c>
      <c r="EA558">
        <v>0</v>
      </c>
      <c r="ED558" t="s">
        <v>1045</v>
      </c>
      <c r="EE558">
        <v>0</v>
      </c>
      <c r="EF558">
        <v>0</v>
      </c>
      <c r="EQ558" t="s">
        <v>1044</v>
      </c>
      <c r="ES558" t="s">
        <v>1053</v>
      </c>
      <c r="ET558">
        <v>0</v>
      </c>
      <c r="EV558">
        <v>0</v>
      </c>
      <c r="EY558" t="s">
        <v>1052</v>
      </c>
      <c r="EZ558">
        <v>0</v>
      </c>
      <c r="FA558" t="s">
        <v>1043</v>
      </c>
      <c r="FB558">
        <v>0</v>
      </c>
      <c r="FC558">
        <v>0</v>
      </c>
      <c r="FE558" t="s">
        <v>1050</v>
      </c>
      <c r="FF558">
        <v>0</v>
      </c>
      <c r="FG558" t="s">
        <v>1050</v>
      </c>
      <c r="FJ558">
        <v>0</v>
      </c>
      <c r="FK558">
        <v>0</v>
      </c>
      <c r="FP558">
        <v>0</v>
      </c>
      <c r="FQ558" t="s">
        <v>1044</v>
      </c>
      <c r="FR558">
        <v>0</v>
      </c>
      <c r="FS558" t="s">
        <v>1043</v>
      </c>
      <c r="FX558" t="s">
        <v>1042</v>
      </c>
      <c r="FZ558" t="s">
        <v>1048</v>
      </c>
      <c r="GA558">
        <v>0</v>
      </c>
      <c r="GB558" t="s">
        <v>1042</v>
      </c>
      <c r="GE558">
        <v>0</v>
      </c>
      <c r="GG558">
        <v>0</v>
      </c>
      <c r="GN558">
        <v>0</v>
      </c>
      <c r="GO558" t="s">
        <v>1063</v>
      </c>
      <c r="GQ558">
        <v>0</v>
      </c>
      <c r="GU558">
        <v>0</v>
      </c>
      <c r="GY558" t="s">
        <v>1045</v>
      </c>
      <c r="HB558">
        <v>0</v>
      </c>
      <c r="HE558">
        <v>0</v>
      </c>
      <c r="HF558">
        <v>0</v>
      </c>
      <c r="HG558">
        <v>0</v>
      </c>
      <c r="HK558" t="s">
        <v>1042</v>
      </c>
      <c r="HM558" t="s">
        <v>1047</v>
      </c>
      <c r="HN558">
        <v>0</v>
      </c>
      <c r="HP558">
        <v>0</v>
      </c>
      <c r="HQ558">
        <v>0</v>
      </c>
      <c r="HR558" t="s">
        <v>1042</v>
      </c>
      <c r="HS558" t="s">
        <v>1043</v>
      </c>
      <c r="HT558">
        <v>0</v>
      </c>
      <c r="HU558">
        <v>0</v>
      </c>
      <c r="HV558" t="s">
        <v>1088</v>
      </c>
      <c r="HW558">
        <v>0</v>
      </c>
      <c r="HX558">
        <v>0</v>
      </c>
      <c r="HY558">
        <v>0</v>
      </c>
      <c r="HZ558" t="s">
        <v>1045</v>
      </c>
      <c r="IA558">
        <v>0</v>
      </c>
      <c r="IB558" t="s">
        <v>1045</v>
      </c>
      <c r="ID558" t="s">
        <v>1045</v>
      </c>
      <c r="IF558">
        <v>0</v>
      </c>
      <c r="IG558" t="s">
        <v>1042</v>
      </c>
      <c r="II558" t="s">
        <v>1042</v>
      </c>
      <c r="IR558" t="s">
        <v>1045</v>
      </c>
      <c r="IT558">
        <v>0</v>
      </c>
      <c r="IY558" t="s">
        <v>1044</v>
      </c>
      <c r="IZ558" t="s">
        <v>1043</v>
      </c>
      <c r="JA558" t="s">
        <v>1043</v>
      </c>
      <c r="JC558" t="s">
        <v>1043</v>
      </c>
      <c r="JE558">
        <v>0</v>
      </c>
      <c r="JF558">
        <v>0</v>
      </c>
      <c r="JI558" t="s">
        <v>1042</v>
      </c>
      <c r="JJ558">
        <v>0</v>
      </c>
      <c r="JK558">
        <v>0</v>
      </c>
      <c r="JL558">
        <v>0</v>
      </c>
      <c r="JM558">
        <v>0</v>
      </c>
      <c r="JQ558" t="s">
        <v>1043</v>
      </c>
      <c r="JT558">
        <v>0</v>
      </c>
      <c r="JU558" t="s">
        <v>1042</v>
      </c>
      <c r="JW558">
        <v>0</v>
      </c>
      <c r="KA558">
        <v>0</v>
      </c>
      <c r="KF558">
        <v>0</v>
      </c>
      <c r="KG558">
        <v>0</v>
      </c>
      <c r="KH558">
        <v>0</v>
      </c>
      <c r="KI558">
        <v>0</v>
      </c>
      <c r="KJ558" t="s">
        <v>1044</v>
      </c>
      <c r="KS558" t="s">
        <v>1073</v>
      </c>
      <c r="KT558">
        <v>0</v>
      </c>
      <c r="KU558">
        <v>0</v>
      </c>
      <c r="KV558">
        <v>0</v>
      </c>
      <c r="KX558">
        <v>0</v>
      </c>
      <c r="KY558" t="s">
        <v>1045</v>
      </c>
      <c r="KZ558">
        <v>0</v>
      </c>
      <c r="LF558">
        <v>0</v>
      </c>
      <c r="LH558">
        <v>0</v>
      </c>
      <c r="LI558">
        <v>0</v>
      </c>
    </row>
    <row r="559" spans="1:321" x14ac:dyDescent="0.35">
      <c r="A559">
        <v>1</v>
      </c>
      <c r="B559">
        <v>1349</v>
      </c>
      <c r="C559" t="s">
        <v>710</v>
      </c>
      <c r="D559" t="s">
        <v>1061</v>
      </c>
      <c r="E559" t="s">
        <v>85</v>
      </c>
      <c r="F559">
        <v>1</v>
      </c>
      <c r="G559">
        <v>220</v>
      </c>
      <c r="H559">
        <v>0</v>
      </c>
      <c r="I559" t="s">
        <v>994</v>
      </c>
      <c r="L559">
        <v>0</v>
      </c>
      <c r="M559">
        <v>0</v>
      </c>
      <c r="N559">
        <v>0</v>
      </c>
      <c r="Q559">
        <v>516</v>
      </c>
      <c r="R559">
        <v>0</v>
      </c>
      <c r="S559">
        <v>0</v>
      </c>
      <c r="W559" t="s">
        <v>1060</v>
      </c>
      <c r="X559">
        <v>0</v>
      </c>
      <c r="Z559">
        <v>10</v>
      </c>
      <c r="AA559">
        <v>26.233000000000001</v>
      </c>
      <c r="AB559">
        <v>8709</v>
      </c>
      <c r="AC559">
        <v>1.1516999999999999</v>
      </c>
      <c r="AD559" s="20">
        <v>44693</v>
      </c>
      <c r="AE559">
        <v>1.31</v>
      </c>
      <c r="AF559">
        <v>4.8000000000000001E-2</v>
      </c>
      <c r="AH559">
        <v>7823</v>
      </c>
      <c r="AJ559">
        <v>1</v>
      </c>
      <c r="AK559" t="s">
        <v>1154</v>
      </c>
      <c r="AL559">
        <v>0</v>
      </c>
      <c r="AM559">
        <v>0</v>
      </c>
      <c r="AN559">
        <v>11501001</v>
      </c>
      <c r="AO559">
        <v>0</v>
      </c>
      <c r="AP559">
        <v>1002</v>
      </c>
      <c r="AT559">
        <v>1</v>
      </c>
      <c r="AU559" t="s">
        <v>1059</v>
      </c>
      <c r="AV559" t="s">
        <v>1043</v>
      </c>
      <c r="AW559" t="s">
        <v>1053</v>
      </c>
      <c r="AX559">
        <v>0</v>
      </c>
      <c r="AY559" s="20">
        <v>43676</v>
      </c>
      <c r="BA559" s="20">
        <v>44643</v>
      </c>
      <c r="BB559" t="s">
        <v>1058</v>
      </c>
      <c r="BD559">
        <v>0</v>
      </c>
      <c r="BF559" t="s">
        <v>1044</v>
      </c>
      <c r="BG559" t="s">
        <v>1042</v>
      </c>
      <c r="BH559">
        <v>0</v>
      </c>
      <c r="BI559">
        <v>6</v>
      </c>
      <c r="BJ559">
        <v>0</v>
      </c>
      <c r="BK559">
        <v>0</v>
      </c>
      <c r="BM559" s="20">
        <v>44050</v>
      </c>
      <c r="BN559">
        <v>0</v>
      </c>
      <c r="BO559">
        <v>7897801319812</v>
      </c>
      <c r="BR559" t="s">
        <v>1043</v>
      </c>
      <c r="BS559" t="s">
        <v>1043</v>
      </c>
      <c r="BT559" t="s">
        <v>1043</v>
      </c>
      <c r="BV559">
        <v>1</v>
      </c>
      <c r="BW559">
        <v>31</v>
      </c>
      <c r="BY559">
        <v>82</v>
      </c>
      <c r="CA559">
        <v>0</v>
      </c>
      <c r="CB559" t="s">
        <v>1043</v>
      </c>
      <c r="CE559" t="s">
        <v>1043</v>
      </c>
      <c r="CH559" t="s">
        <v>1043</v>
      </c>
      <c r="CI559" t="s">
        <v>1153</v>
      </c>
      <c r="CK559" t="s">
        <v>1152</v>
      </c>
      <c r="CN559" t="s">
        <v>1056</v>
      </c>
      <c r="CP559">
        <v>1</v>
      </c>
      <c r="CQ559">
        <v>0</v>
      </c>
      <c r="CS559">
        <v>0</v>
      </c>
      <c r="CT559">
        <v>0</v>
      </c>
      <c r="CU559">
        <v>0</v>
      </c>
      <c r="CW559">
        <v>0</v>
      </c>
      <c r="CX559">
        <v>0</v>
      </c>
      <c r="CY559">
        <v>0</v>
      </c>
      <c r="CZ559">
        <v>0</v>
      </c>
      <c r="DA559">
        <v>4</v>
      </c>
      <c r="DB559">
        <v>2550000</v>
      </c>
      <c r="DH559">
        <v>0</v>
      </c>
      <c r="DJ559">
        <v>0</v>
      </c>
      <c r="DL559">
        <v>0</v>
      </c>
      <c r="DN559">
        <v>0</v>
      </c>
      <c r="DO559" t="s">
        <v>1042</v>
      </c>
      <c r="DP559">
        <v>0</v>
      </c>
      <c r="DQ559">
        <v>7.6</v>
      </c>
      <c r="DS559">
        <v>0</v>
      </c>
      <c r="DU559">
        <v>1.65</v>
      </c>
      <c r="DW559">
        <v>0</v>
      </c>
      <c r="DY559">
        <v>0</v>
      </c>
      <c r="DZ559">
        <v>0</v>
      </c>
      <c r="EA559">
        <v>0</v>
      </c>
      <c r="EB559">
        <v>17897801319819</v>
      </c>
      <c r="EE559">
        <v>0</v>
      </c>
      <c r="EF559">
        <v>0</v>
      </c>
      <c r="EG559" t="s">
        <v>1044</v>
      </c>
      <c r="EK559" t="s">
        <v>1054</v>
      </c>
      <c r="EL559">
        <v>57897801319817</v>
      </c>
      <c r="EN559" t="s">
        <v>1012</v>
      </c>
      <c r="ET559">
        <v>0</v>
      </c>
      <c r="EV559">
        <v>0</v>
      </c>
      <c r="EY559" t="s">
        <v>1052</v>
      </c>
      <c r="EZ559">
        <v>0</v>
      </c>
      <c r="FA559" t="s">
        <v>1043</v>
      </c>
      <c r="FB559">
        <v>0</v>
      </c>
      <c r="FC559">
        <v>0</v>
      </c>
      <c r="FD559" t="s">
        <v>1051</v>
      </c>
      <c r="FE559" t="s">
        <v>1050</v>
      </c>
      <c r="FF559">
        <v>400</v>
      </c>
      <c r="FG559" t="s">
        <v>1050</v>
      </c>
      <c r="FH559">
        <v>27897801319816</v>
      </c>
      <c r="FJ559">
        <v>0</v>
      </c>
      <c r="FK559">
        <v>0</v>
      </c>
      <c r="FP559">
        <v>0</v>
      </c>
      <c r="FR559">
        <v>0</v>
      </c>
      <c r="FS559" t="s">
        <v>1044</v>
      </c>
      <c r="FX559" t="s">
        <v>1042</v>
      </c>
      <c r="GA559">
        <v>0</v>
      </c>
      <c r="GB559" t="s">
        <v>1042</v>
      </c>
      <c r="GD559">
        <v>16</v>
      </c>
      <c r="GE559">
        <v>0</v>
      </c>
      <c r="GG559">
        <v>0</v>
      </c>
      <c r="GN559">
        <v>0</v>
      </c>
      <c r="GO559" t="s">
        <v>1049</v>
      </c>
      <c r="GQ559">
        <v>0</v>
      </c>
      <c r="GU559">
        <v>0</v>
      </c>
      <c r="GY559" t="s">
        <v>1045</v>
      </c>
      <c r="HB559">
        <v>0</v>
      </c>
      <c r="HE559">
        <v>10</v>
      </c>
      <c r="HF559">
        <v>0</v>
      </c>
      <c r="HG559">
        <v>1.265E-2</v>
      </c>
      <c r="HK559" t="s">
        <v>1042</v>
      </c>
      <c r="HL559" t="s">
        <v>1048</v>
      </c>
      <c r="HM559">
        <v>0</v>
      </c>
      <c r="HN559">
        <v>0</v>
      </c>
      <c r="HO559">
        <v>35</v>
      </c>
      <c r="HP559">
        <v>4.8000000000000001E-2</v>
      </c>
      <c r="HQ559">
        <v>0</v>
      </c>
      <c r="HR559" t="s">
        <v>1042</v>
      </c>
      <c r="HT559">
        <v>0</v>
      </c>
      <c r="HU559">
        <v>0</v>
      </c>
      <c r="HW559">
        <v>0</v>
      </c>
      <c r="HX559">
        <v>10798</v>
      </c>
      <c r="HY559">
        <v>1</v>
      </c>
      <c r="IA559">
        <v>1.31</v>
      </c>
      <c r="IC559" t="s">
        <v>1151</v>
      </c>
      <c r="IF559">
        <v>12000</v>
      </c>
      <c r="IG559" t="s">
        <v>1042</v>
      </c>
      <c r="IH559" t="s">
        <v>1046</v>
      </c>
      <c r="II559" t="s">
        <v>1042</v>
      </c>
      <c r="IR559" t="s">
        <v>1045</v>
      </c>
      <c r="IT559">
        <v>0</v>
      </c>
      <c r="JE559">
        <v>0</v>
      </c>
      <c r="JF559">
        <v>0</v>
      </c>
      <c r="JI559" t="s">
        <v>1042</v>
      </c>
      <c r="JJ559">
        <v>0</v>
      </c>
      <c r="JK559">
        <v>0</v>
      </c>
      <c r="JL559">
        <v>0</v>
      </c>
      <c r="JM559">
        <v>0</v>
      </c>
      <c r="JT559">
        <v>0</v>
      </c>
      <c r="JU559" t="s">
        <v>1042</v>
      </c>
      <c r="JW559">
        <v>0</v>
      </c>
      <c r="KA559">
        <v>0</v>
      </c>
      <c r="KF559">
        <v>0</v>
      </c>
      <c r="KG559">
        <v>0</v>
      </c>
      <c r="KH559">
        <v>0</v>
      </c>
      <c r="KI559">
        <v>0</v>
      </c>
      <c r="KS559" t="s">
        <v>1041</v>
      </c>
      <c r="KT559">
        <v>0</v>
      </c>
      <c r="KU559">
        <v>0</v>
      </c>
      <c r="KV559">
        <v>0</v>
      </c>
      <c r="KX559">
        <v>0</v>
      </c>
      <c r="KZ559">
        <v>0</v>
      </c>
      <c r="LF559">
        <v>0</v>
      </c>
      <c r="LH559">
        <v>0</v>
      </c>
      <c r="LI559">
        <v>0</v>
      </c>
    </row>
    <row r="560" spans="1:321" x14ac:dyDescent="0.35">
      <c r="A560">
        <v>1</v>
      </c>
      <c r="B560">
        <v>1350</v>
      </c>
      <c r="C560" t="s">
        <v>711</v>
      </c>
      <c r="D560" t="s">
        <v>1061</v>
      </c>
      <c r="E560" t="s">
        <v>85</v>
      </c>
      <c r="F560">
        <v>1</v>
      </c>
      <c r="G560">
        <v>220</v>
      </c>
      <c r="H560">
        <v>0</v>
      </c>
      <c r="I560" t="s">
        <v>994</v>
      </c>
      <c r="L560">
        <v>0</v>
      </c>
      <c r="M560">
        <v>0</v>
      </c>
      <c r="N560">
        <v>0</v>
      </c>
      <c r="Q560">
        <v>516</v>
      </c>
      <c r="R560">
        <v>0</v>
      </c>
      <c r="S560">
        <v>0</v>
      </c>
      <c r="W560" t="s">
        <v>1060</v>
      </c>
      <c r="X560">
        <v>0</v>
      </c>
      <c r="Z560">
        <v>10</v>
      </c>
      <c r="AA560">
        <v>27.457000000000001</v>
      </c>
      <c r="AB560">
        <v>5426</v>
      </c>
      <c r="AC560">
        <v>2.4140000000000001</v>
      </c>
      <c r="AD560" t="s">
        <v>1042</v>
      </c>
      <c r="AE560">
        <v>0</v>
      </c>
      <c r="AF560">
        <v>4.2000000000000003E-2</v>
      </c>
      <c r="AH560">
        <v>5049</v>
      </c>
      <c r="AJ560">
        <v>1</v>
      </c>
      <c r="AK560" t="s">
        <v>1154</v>
      </c>
      <c r="AL560">
        <v>0</v>
      </c>
      <c r="AM560">
        <v>0</v>
      </c>
      <c r="AN560">
        <v>11501001</v>
      </c>
      <c r="AO560">
        <v>0</v>
      </c>
      <c r="AP560">
        <v>1002</v>
      </c>
      <c r="AT560">
        <v>1</v>
      </c>
      <c r="AU560" t="s">
        <v>1059</v>
      </c>
      <c r="AV560" t="s">
        <v>1043</v>
      </c>
      <c r="AW560" t="s">
        <v>1053</v>
      </c>
      <c r="AX560">
        <v>0</v>
      </c>
      <c r="AY560" s="20">
        <v>43676</v>
      </c>
      <c r="BA560" s="20">
        <v>44634</v>
      </c>
      <c r="BB560" t="s">
        <v>1058</v>
      </c>
      <c r="BD560">
        <v>0</v>
      </c>
      <c r="BF560" t="s">
        <v>1044</v>
      </c>
      <c r="BG560" t="s">
        <v>1042</v>
      </c>
      <c r="BH560">
        <v>0</v>
      </c>
      <c r="BI560">
        <v>6</v>
      </c>
      <c r="BJ560">
        <v>0</v>
      </c>
      <c r="BK560">
        <v>0</v>
      </c>
      <c r="BM560" s="20">
        <v>44180</v>
      </c>
      <c r="BN560">
        <v>0</v>
      </c>
      <c r="BO560">
        <v>7897801319829</v>
      </c>
      <c r="BR560" t="s">
        <v>1043</v>
      </c>
      <c r="BS560" t="s">
        <v>1043</v>
      </c>
      <c r="BT560" t="s">
        <v>1043</v>
      </c>
      <c r="BV560">
        <v>1</v>
      </c>
      <c r="BW560">
        <v>31</v>
      </c>
      <c r="BY560">
        <v>82</v>
      </c>
      <c r="CA560">
        <v>0</v>
      </c>
      <c r="CB560" t="s">
        <v>1043</v>
      </c>
      <c r="CE560" t="s">
        <v>1043</v>
      </c>
      <c r="CH560" t="s">
        <v>1043</v>
      </c>
      <c r="CI560" t="s">
        <v>1153</v>
      </c>
      <c r="CK560" t="s">
        <v>1152</v>
      </c>
      <c r="CN560" t="s">
        <v>1056</v>
      </c>
      <c r="CP560">
        <v>1</v>
      </c>
      <c r="CQ560">
        <v>0</v>
      </c>
      <c r="CS560">
        <v>0</v>
      </c>
      <c r="CT560">
        <v>0</v>
      </c>
      <c r="CU560">
        <v>0</v>
      </c>
      <c r="CW560">
        <v>0</v>
      </c>
      <c r="CX560">
        <v>0</v>
      </c>
      <c r="CY560">
        <v>0</v>
      </c>
      <c r="CZ560">
        <v>0</v>
      </c>
      <c r="DA560">
        <v>2</v>
      </c>
      <c r="DB560">
        <v>2550000</v>
      </c>
      <c r="DH560">
        <v>0</v>
      </c>
      <c r="DJ560">
        <v>0</v>
      </c>
      <c r="DL560">
        <v>0</v>
      </c>
      <c r="DN560">
        <v>0</v>
      </c>
      <c r="DO560" t="s">
        <v>1042</v>
      </c>
      <c r="DP560">
        <v>0</v>
      </c>
      <c r="DQ560">
        <v>7.6</v>
      </c>
      <c r="DS560">
        <v>0</v>
      </c>
      <c r="DU560">
        <v>1.65</v>
      </c>
      <c r="DW560">
        <v>0</v>
      </c>
      <c r="DY560">
        <v>0</v>
      </c>
      <c r="DZ560">
        <v>0</v>
      </c>
      <c r="EA560">
        <v>0</v>
      </c>
      <c r="EB560">
        <v>17897801319826</v>
      </c>
      <c r="EE560">
        <v>0</v>
      </c>
      <c r="EF560">
        <v>0</v>
      </c>
      <c r="EG560" t="s">
        <v>1044</v>
      </c>
      <c r="EK560" t="s">
        <v>1054</v>
      </c>
      <c r="EL560">
        <v>57897801319824</v>
      </c>
      <c r="EN560" t="s">
        <v>1012</v>
      </c>
      <c r="ET560">
        <v>0</v>
      </c>
      <c r="EV560">
        <v>0</v>
      </c>
      <c r="EY560" t="s">
        <v>1052</v>
      </c>
      <c r="EZ560">
        <v>0</v>
      </c>
      <c r="FA560" t="s">
        <v>1043</v>
      </c>
      <c r="FB560">
        <v>0</v>
      </c>
      <c r="FC560">
        <v>0</v>
      </c>
      <c r="FD560" t="s">
        <v>1051</v>
      </c>
      <c r="FE560" t="s">
        <v>1050</v>
      </c>
      <c r="FF560">
        <v>280</v>
      </c>
      <c r="FG560" t="s">
        <v>1050</v>
      </c>
      <c r="FH560">
        <v>27897801319823</v>
      </c>
      <c r="FJ560">
        <v>0</v>
      </c>
      <c r="FK560">
        <v>0</v>
      </c>
      <c r="FP560">
        <v>0</v>
      </c>
      <c r="FR560">
        <v>0</v>
      </c>
      <c r="FS560" t="s">
        <v>1044</v>
      </c>
      <c r="FX560" t="s">
        <v>1042</v>
      </c>
      <c r="GA560">
        <v>0</v>
      </c>
      <c r="GB560" t="s">
        <v>1042</v>
      </c>
      <c r="GD560">
        <v>16</v>
      </c>
      <c r="GE560">
        <v>0</v>
      </c>
      <c r="GG560">
        <v>0</v>
      </c>
      <c r="GN560">
        <v>0</v>
      </c>
      <c r="GO560" t="s">
        <v>1049</v>
      </c>
      <c r="GQ560">
        <v>0</v>
      </c>
      <c r="GU560">
        <v>0</v>
      </c>
      <c r="GY560" t="s">
        <v>1045</v>
      </c>
      <c r="HB560">
        <v>0</v>
      </c>
      <c r="HE560">
        <v>10</v>
      </c>
      <c r="HF560">
        <v>0</v>
      </c>
      <c r="HG560">
        <v>7.7999999999999999E-4</v>
      </c>
      <c r="HK560" t="s">
        <v>1042</v>
      </c>
      <c r="HL560" t="s">
        <v>1048</v>
      </c>
      <c r="HM560">
        <v>0</v>
      </c>
      <c r="HN560">
        <v>0</v>
      </c>
      <c r="HO560">
        <v>35</v>
      </c>
      <c r="HP560">
        <v>2.7E-2</v>
      </c>
      <c r="HQ560">
        <v>0</v>
      </c>
      <c r="HR560" t="s">
        <v>1042</v>
      </c>
      <c r="HT560">
        <v>0</v>
      </c>
      <c r="HU560">
        <v>0</v>
      </c>
      <c r="HW560">
        <v>0</v>
      </c>
      <c r="HX560">
        <v>6316</v>
      </c>
      <c r="HY560">
        <v>0</v>
      </c>
      <c r="IA560">
        <v>0</v>
      </c>
      <c r="IC560" t="s">
        <v>1151</v>
      </c>
      <c r="IF560">
        <v>20160</v>
      </c>
      <c r="IG560" t="s">
        <v>1042</v>
      </c>
      <c r="IH560" t="s">
        <v>1046</v>
      </c>
      <c r="II560" t="s">
        <v>1042</v>
      </c>
      <c r="IR560" t="s">
        <v>1045</v>
      </c>
      <c r="IT560">
        <v>0</v>
      </c>
      <c r="JE560">
        <v>0</v>
      </c>
      <c r="JF560">
        <v>0</v>
      </c>
      <c r="JI560" t="s">
        <v>1042</v>
      </c>
      <c r="JJ560">
        <v>0</v>
      </c>
      <c r="JK560">
        <v>0</v>
      </c>
      <c r="JL560">
        <v>0</v>
      </c>
      <c r="JM560">
        <v>0</v>
      </c>
      <c r="JT560">
        <v>0</v>
      </c>
      <c r="JU560" t="s">
        <v>1042</v>
      </c>
      <c r="JW560">
        <v>0</v>
      </c>
      <c r="KA560">
        <v>0</v>
      </c>
      <c r="KF560">
        <v>0</v>
      </c>
      <c r="KG560">
        <v>0</v>
      </c>
      <c r="KH560">
        <v>0</v>
      </c>
      <c r="KI560">
        <v>0</v>
      </c>
      <c r="KS560" t="s">
        <v>1041</v>
      </c>
      <c r="KT560">
        <v>0</v>
      </c>
      <c r="KU560">
        <v>0</v>
      </c>
      <c r="KV560">
        <v>0</v>
      </c>
      <c r="KX560">
        <v>0</v>
      </c>
      <c r="KZ560">
        <v>0</v>
      </c>
      <c r="LF560">
        <v>0</v>
      </c>
      <c r="LH560">
        <v>0</v>
      </c>
      <c r="LI560">
        <v>0</v>
      </c>
    </row>
    <row r="561" spans="1:321" x14ac:dyDescent="0.35">
      <c r="A561">
        <v>1</v>
      </c>
      <c r="B561">
        <v>1351</v>
      </c>
      <c r="C561" t="s">
        <v>712</v>
      </c>
      <c r="D561" t="s">
        <v>1061</v>
      </c>
      <c r="E561" t="s">
        <v>85</v>
      </c>
      <c r="F561">
        <v>1</v>
      </c>
      <c r="G561">
        <v>220</v>
      </c>
      <c r="H561">
        <v>0</v>
      </c>
      <c r="I561" t="s">
        <v>994</v>
      </c>
      <c r="L561">
        <v>0</v>
      </c>
      <c r="M561">
        <v>0</v>
      </c>
      <c r="N561">
        <v>0</v>
      </c>
      <c r="Q561">
        <v>516</v>
      </c>
      <c r="R561">
        <v>0</v>
      </c>
      <c r="S561">
        <v>0</v>
      </c>
      <c r="W561" t="s">
        <v>1060</v>
      </c>
      <c r="X561">
        <v>0</v>
      </c>
      <c r="Z561">
        <v>10</v>
      </c>
      <c r="AA561">
        <v>42.96</v>
      </c>
      <c r="AB561">
        <v>27057</v>
      </c>
      <c r="AC561">
        <v>3.1768999999999998</v>
      </c>
      <c r="AD561" t="s">
        <v>1042</v>
      </c>
      <c r="AE561">
        <v>0</v>
      </c>
      <c r="AF561">
        <v>4.8300000000000003E-2</v>
      </c>
      <c r="AH561">
        <v>24029</v>
      </c>
      <c r="AJ561">
        <v>1</v>
      </c>
      <c r="AK561" t="s">
        <v>1154</v>
      </c>
      <c r="AL561">
        <v>0</v>
      </c>
      <c r="AM561">
        <v>0</v>
      </c>
      <c r="AN561">
        <v>11501001</v>
      </c>
      <c r="AO561">
        <v>0</v>
      </c>
      <c r="AP561">
        <v>1002</v>
      </c>
      <c r="AT561">
        <v>1</v>
      </c>
      <c r="AU561" t="s">
        <v>1059</v>
      </c>
      <c r="AV561" t="s">
        <v>1043</v>
      </c>
      <c r="AW561" t="s">
        <v>1053</v>
      </c>
      <c r="AX561">
        <v>0</v>
      </c>
      <c r="AY561" s="20">
        <v>43677</v>
      </c>
      <c r="BA561" s="20">
        <v>44610</v>
      </c>
      <c r="BB561" t="s">
        <v>1058</v>
      </c>
      <c r="BD561">
        <v>0</v>
      </c>
      <c r="BF561" t="s">
        <v>1044</v>
      </c>
      <c r="BG561" t="s">
        <v>1042</v>
      </c>
      <c r="BH561">
        <v>0</v>
      </c>
      <c r="BI561">
        <v>6</v>
      </c>
      <c r="BJ561">
        <v>0</v>
      </c>
      <c r="BK561">
        <v>0</v>
      </c>
      <c r="BM561" s="20">
        <v>44186</v>
      </c>
      <c r="BN561">
        <v>0</v>
      </c>
      <c r="BO561">
        <v>7897801319836</v>
      </c>
      <c r="BR561" t="s">
        <v>1043</v>
      </c>
      <c r="BS561" t="s">
        <v>1043</v>
      </c>
      <c r="BT561" t="s">
        <v>1043</v>
      </c>
      <c r="BV561">
        <v>1</v>
      </c>
      <c r="BW561">
        <v>31</v>
      </c>
      <c r="BY561">
        <v>82</v>
      </c>
      <c r="CA561">
        <v>0</v>
      </c>
      <c r="CB561" t="s">
        <v>1043</v>
      </c>
      <c r="CE561" t="s">
        <v>1043</v>
      </c>
      <c r="CH561" t="s">
        <v>1043</v>
      </c>
      <c r="CI561" t="s">
        <v>1153</v>
      </c>
      <c r="CK561" t="s">
        <v>1152</v>
      </c>
      <c r="CN561" t="s">
        <v>1056</v>
      </c>
      <c r="CP561">
        <v>1</v>
      </c>
      <c r="CQ561">
        <v>0</v>
      </c>
      <c r="CS561">
        <v>0</v>
      </c>
      <c r="CT561">
        <v>0</v>
      </c>
      <c r="CU561">
        <v>0</v>
      </c>
      <c r="CW561">
        <v>0</v>
      </c>
      <c r="CX561">
        <v>0</v>
      </c>
      <c r="CY561">
        <v>0</v>
      </c>
      <c r="CZ561">
        <v>0</v>
      </c>
      <c r="DA561">
        <v>2</v>
      </c>
      <c r="DB561">
        <v>2550000</v>
      </c>
      <c r="DH561">
        <v>0</v>
      </c>
      <c r="DJ561">
        <v>0</v>
      </c>
      <c r="DL561">
        <v>0</v>
      </c>
      <c r="DN561">
        <v>0</v>
      </c>
      <c r="DO561" t="s">
        <v>1042</v>
      </c>
      <c r="DP561">
        <v>0</v>
      </c>
      <c r="DQ561">
        <v>7.6</v>
      </c>
      <c r="DS561">
        <v>0</v>
      </c>
      <c r="DU561">
        <v>1.65</v>
      </c>
      <c r="DW561">
        <v>0</v>
      </c>
      <c r="DY561">
        <v>0</v>
      </c>
      <c r="DZ561">
        <v>0</v>
      </c>
      <c r="EA561">
        <v>0</v>
      </c>
      <c r="EB561">
        <v>17897801319833</v>
      </c>
      <c r="EE561">
        <v>0</v>
      </c>
      <c r="EF561">
        <v>0</v>
      </c>
      <c r="EG561" t="s">
        <v>1044</v>
      </c>
      <c r="EK561" t="s">
        <v>1054</v>
      </c>
      <c r="EL561">
        <v>57897801319831</v>
      </c>
      <c r="EN561" t="s">
        <v>1012</v>
      </c>
      <c r="ET561">
        <v>0</v>
      </c>
      <c r="EV561">
        <v>0</v>
      </c>
      <c r="EY561" t="s">
        <v>1052</v>
      </c>
      <c r="EZ561">
        <v>0</v>
      </c>
      <c r="FA561" t="s">
        <v>1043</v>
      </c>
      <c r="FB561">
        <v>0</v>
      </c>
      <c r="FC561">
        <v>0</v>
      </c>
      <c r="FD561" t="s">
        <v>1051</v>
      </c>
      <c r="FE561" t="s">
        <v>1050</v>
      </c>
      <c r="FF561">
        <v>200</v>
      </c>
      <c r="FG561" t="s">
        <v>1050</v>
      </c>
      <c r="FH561">
        <v>27897801319830</v>
      </c>
      <c r="FJ561">
        <v>0</v>
      </c>
      <c r="FK561">
        <v>0</v>
      </c>
      <c r="FP561">
        <v>0</v>
      </c>
      <c r="FR561">
        <v>0</v>
      </c>
      <c r="FS561" t="s">
        <v>1044</v>
      </c>
      <c r="FX561" t="s">
        <v>1042</v>
      </c>
      <c r="GA561">
        <v>0</v>
      </c>
      <c r="GB561" t="s">
        <v>1042</v>
      </c>
      <c r="GD561">
        <v>16</v>
      </c>
      <c r="GE561">
        <v>0</v>
      </c>
      <c r="GG561">
        <v>0</v>
      </c>
      <c r="GN561">
        <v>0</v>
      </c>
      <c r="GO561" t="s">
        <v>1049</v>
      </c>
      <c r="GQ561">
        <v>0</v>
      </c>
      <c r="GU561">
        <v>0</v>
      </c>
      <c r="GY561" t="s">
        <v>1045</v>
      </c>
      <c r="HB561">
        <v>0</v>
      </c>
      <c r="HE561">
        <v>10</v>
      </c>
      <c r="HF561">
        <v>0</v>
      </c>
      <c r="HG561">
        <v>1.01E-3</v>
      </c>
      <c r="HK561" t="s">
        <v>1042</v>
      </c>
      <c r="HL561" t="s">
        <v>1048</v>
      </c>
      <c r="HM561">
        <v>0</v>
      </c>
      <c r="HN561">
        <v>0</v>
      </c>
      <c r="HO561">
        <v>35</v>
      </c>
      <c r="HP561">
        <v>3.32E-2</v>
      </c>
      <c r="HQ561">
        <v>0</v>
      </c>
      <c r="HR561" t="s">
        <v>1042</v>
      </c>
      <c r="HT561">
        <v>0</v>
      </c>
      <c r="HU561">
        <v>0</v>
      </c>
      <c r="HW561">
        <v>0</v>
      </c>
      <c r="HX561">
        <v>34195</v>
      </c>
      <c r="HY561">
        <v>0</v>
      </c>
      <c r="IA561">
        <v>0</v>
      </c>
      <c r="IC561" t="s">
        <v>1151</v>
      </c>
      <c r="IF561">
        <v>14400</v>
      </c>
      <c r="IG561" t="s">
        <v>1042</v>
      </c>
      <c r="IH561" t="s">
        <v>1046</v>
      </c>
      <c r="II561" t="s">
        <v>1042</v>
      </c>
      <c r="IR561" t="s">
        <v>1045</v>
      </c>
      <c r="IT561">
        <v>0</v>
      </c>
      <c r="JE561">
        <v>0</v>
      </c>
      <c r="JF561">
        <v>0</v>
      </c>
      <c r="JI561" t="s">
        <v>1042</v>
      </c>
      <c r="JJ561">
        <v>0</v>
      </c>
      <c r="JK561">
        <v>0</v>
      </c>
      <c r="JL561">
        <v>0</v>
      </c>
      <c r="JM561">
        <v>0</v>
      </c>
      <c r="JT561">
        <v>0</v>
      </c>
      <c r="JU561" t="s">
        <v>1042</v>
      </c>
      <c r="JW561">
        <v>0</v>
      </c>
      <c r="KA561">
        <v>0</v>
      </c>
      <c r="KF561">
        <v>0</v>
      </c>
      <c r="KG561">
        <v>0</v>
      </c>
      <c r="KH561">
        <v>0</v>
      </c>
      <c r="KI561">
        <v>0</v>
      </c>
      <c r="KS561" t="s">
        <v>1041</v>
      </c>
      <c r="KT561">
        <v>0</v>
      </c>
      <c r="KU561">
        <v>0</v>
      </c>
      <c r="KV561">
        <v>0</v>
      </c>
      <c r="KX561">
        <v>0</v>
      </c>
      <c r="KZ561">
        <v>0</v>
      </c>
      <c r="LF561">
        <v>0</v>
      </c>
      <c r="LH561">
        <v>0</v>
      </c>
      <c r="LI561">
        <v>0</v>
      </c>
    </row>
    <row r="562" spans="1:321" x14ac:dyDescent="0.35">
      <c r="A562">
        <v>1</v>
      </c>
      <c r="B562">
        <v>1352</v>
      </c>
      <c r="C562" t="s">
        <v>713</v>
      </c>
      <c r="D562" t="s">
        <v>1061</v>
      </c>
      <c r="E562" t="s">
        <v>85</v>
      </c>
      <c r="F562">
        <v>1</v>
      </c>
      <c r="G562">
        <v>220</v>
      </c>
      <c r="H562">
        <v>0</v>
      </c>
      <c r="I562" t="s">
        <v>994</v>
      </c>
      <c r="L562">
        <v>0</v>
      </c>
      <c r="M562">
        <v>0</v>
      </c>
      <c r="N562">
        <v>0</v>
      </c>
      <c r="Q562">
        <v>516</v>
      </c>
      <c r="R562">
        <v>0</v>
      </c>
      <c r="S562">
        <v>0</v>
      </c>
      <c r="W562" t="s">
        <v>1060</v>
      </c>
      <c r="X562">
        <v>0</v>
      </c>
      <c r="Z562">
        <v>10</v>
      </c>
      <c r="AA562">
        <v>55.137999999999998</v>
      </c>
      <c r="AB562">
        <v>8222</v>
      </c>
      <c r="AC562">
        <v>3.2376</v>
      </c>
      <c r="AD562" t="s">
        <v>1042</v>
      </c>
      <c r="AE562">
        <v>0</v>
      </c>
      <c r="AF562">
        <v>6.5699999999999995E-2</v>
      </c>
      <c r="AH562">
        <v>7633</v>
      </c>
      <c r="AJ562">
        <v>1</v>
      </c>
      <c r="AK562" t="s">
        <v>1154</v>
      </c>
      <c r="AL562">
        <v>0</v>
      </c>
      <c r="AM562">
        <v>0</v>
      </c>
      <c r="AN562">
        <v>11501001</v>
      </c>
      <c r="AO562">
        <v>0</v>
      </c>
      <c r="AP562">
        <v>1002</v>
      </c>
      <c r="AT562">
        <v>1</v>
      </c>
      <c r="AU562" t="s">
        <v>1059</v>
      </c>
      <c r="AV562" t="s">
        <v>1043</v>
      </c>
      <c r="AW562" t="s">
        <v>1053</v>
      </c>
      <c r="AX562">
        <v>0</v>
      </c>
      <c r="AY562" s="20">
        <v>43677</v>
      </c>
      <c r="BA562" s="20">
        <v>44610</v>
      </c>
      <c r="BB562" t="s">
        <v>1058</v>
      </c>
      <c r="BD562">
        <v>0</v>
      </c>
      <c r="BF562" t="s">
        <v>1044</v>
      </c>
      <c r="BG562" t="s">
        <v>1042</v>
      </c>
      <c r="BH562">
        <v>0</v>
      </c>
      <c r="BI562">
        <v>6</v>
      </c>
      <c r="BJ562">
        <v>0</v>
      </c>
      <c r="BK562">
        <v>0</v>
      </c>
      <c r="BM562" s="20">
        <v>44180</v>
      </c>
      <c r="BN562">
        <v>0</v>
      </c>
      <c r="BO562">
        <v>7897801319843</v>
      </c>
      <c r="BR562" t="s">
        <v>1043</v>
      </c>
      <c r="BS562" t="s">
        <v>1043</v>
      </c>
      <c r="BT562" t="s">
        <v>1043</v>
      </c>
      <c r="BV562">
        <v>1</v>
      </c>
      <c r="BW562">
        <v>31</v>
      </c>
      <c r="BY562">
        <v>82</v>
      </c>
      <c r="CA562">
        <v>0</v>
      </c>
      <c r="CB562" t="s">
        <v>1043</v>
      </c>
      <c r="CE562" t="s">
        <v>1043</v>
      </c>
      <c r="CH562" t="s">
        <v>1043</v>
      </c>
      <c r="CI562" t="s">
        <v>1153</v>
      </c>
      <c r="CK562" t="s">
        <v>1152</v>
      </c>
      <c r="CN562" t="s">
        <v>1056</v>
      </c>
      <c r="CP562">
        <v>1</v>
      </c>
      <c r="CQ562">
        <v>0</v>
      </c>
      <c r="CS562">
        <v>0</v>
      </c>
      <c r="CT562">
        <v>0</v>
      </c>
      <c r="CU562">
        <v>0</v>
      </c>
      <c r="CW562">
        <v>0</v>
      </c>
      <c r="CX562">
        <v>0</v>
      </c>
      <c r="CY562">
        <v>0</v>
      </c>
      <c r="CZ562">
        <v>0</v>
      </c>
      <c r="DA562">
        <v>2</v>
      </c>
      <c r="DB562">
        <v>2550000</v>
      </c>
      <c r="DH562">
        <v>0</v>
      </c>
      <c r="DJ562">
        <v>0</v>
      </c>
      <c r="DL562">
        <v>0</v>
      </c>
      <c r="DN562">
        <v>0</v>
      </c>
      <c r="DO562" t="s">
        <v>1042</v>
      </c>
      <c r="DP562">
        <v>0</v>
      </c>
      <c r="DQ562">
        <v>7.6</v>
      </c>
      <c r="DS562">
        <v>0</v>
      </c>
      <c r="DU562">
        <v>1.65</v>
      </c>
      <c r="DW562">
        <v>0</v>
      </c>
      <c r="DY562">
        <v>0</v>
      </c>
      <c r="DZ562">
        <v>0</v>
      </c>
      <c r="EA562">
        <v>0</v>
      </c>
      <c r="EB562">
        <v>17897801319840</v>
      </c>
      <c r="EE562">
        <v>0</v>
      </c>
      <c r="EF562">
        <v>0</v>
      </c>
      <c r="EG562" t="s">
        <v>1044</v>
      </c>
      <c r="EK562" t="s">
        <v>1054</v>
      </c>
      <c r="EL562">
        <v>57897801319848</v>
      </c>
      <c r="EN562" t="s">
        <v>1012</v>
      </c>
      <c r="ET562">
        <v>0</v>
      </c>
      <c r="EV562">
        <v>0</v>
      </c>
      <c r="EY562" t="s">
        <v>1052</v>
      </c>
      <c r="EZ562">
        <v>0</v>
      </c>
      <c r="FA562" t="s">
        <v>1043</v>
      </c>
      <c r="FB562">
        <v>0</v>
      </c>
      <c r="FC562">
        <v>0</v>
      </c>
      <c r="FD562" t="s">
        <v>1051</v>
      </c>
      <c r="FE562" t="s">
        <v>1050</v>
      </c>
      <c r="FF562">
        <v>160</v>
      </c>
      <c r="FG562" t="s">
        <v>1050</v>
      </c>
      <c r="FH562">
        <v>27897801319847</v>
      </c>
      <c r="FJ562">
        <v>0</v>
      </c>
      <c r="FK562">
        <v>0</v>
      </c>
      <c r="FP562">
        <v>0</v>
      </c>
      <c r="FR562">
        <v>0</v>
      </c>
      <c r="FS562" t="s">
        <v>1044</v>
      </c>
      <c r="FX562" t="s">
        <v>1042</v>
      </c>
      <c r="GA562">
        <v>0</v>
      </c>
      <c r="GB562" t="s">
        <v>1042</v>
      </c>
      <c r="GD562">
        <v>16</v>
      </c>
      <c r="GE562">
        <v>0</v>
      </c>
      <c r="GG562">
        <v>0</v>
      </c>
      <c r="GN562">
        <v>0</v>
      </c>
      <c r="GO562" t="s">
        <v>1049</v>
      </c>
      <c r="GQ562">
        <v>0</v>
      </c>
      <c r="GU562">
        <v>0</v>
      </c>
      <c r="GY562" t="s">
        <v>1045</v>
      </c>
      <c r="HB562">
        <v>0</v>
      </c>
      <c r="HE562">
        <v>10</v>
      </c>
      <c r="HF562">
        <v>0</v>
      </c>
      <c r="HG562">
        <v>1.4499999999999999E-3</v>
      </c>
      <c r="HK562" t="s">
        <v>1042</v>
      </c>
      <c r="HL562" t="s">
        <v>1048</v>
      </c>
      <c r="HM562">
        <v>0</v>
      </c>
      <c r="HN562">
        <v>0</v>
      </c>
      <c r="HO562">
        <v>35</v>
      </c>
      <c r="HP562">
        <v>4.87E-2</v>
      </c>
      <c r="HQ562">
        <v>0</v>
      </c>
      <c r="HR562" t="s">
        <v>1042</v>
      </c>
      <c r="HT562">
        <v>0</v>
      </c>
      <c r="HU562">
        <v>0</v>
      </c>
      <c r="HW562">
        <v>0</v>
      </c>
      <c r="HX562">
        <v>9608</v>
      </c>
      <c r="HY562">
        <v>0</v>
      </c>
      <c r="IA562">
        <v>0</v>
      </c>
      <c r="IC562" t="s">
        <v>1151</v>
      </c>
      <c r="IF562">
        <v>11520</v>
      </c>
      <c r="IG562" t="s">
        <v>1042</v>
      </c>
      <c r="IH562" t="s">
        <v>1046</v>
      </c>
      <c r="II562" t="s">
        <v>1042</v>
      </c>
      <c r="IR562" t="s">
        <v>1045</v>
      </c>
      <c r="IT562">
        <v>0</v>
      </c>
      <c r="JE562">
        <v>0</v>
      </c>
      <c r="JF562">
        <v>0</v>
      </c>
      <c r="JI562" t="s">
        <v>1042</v>
      </c>
      <c r="JJ562">
        <v>0</v>
      </c>
      <c r="JK562">
        <v>0</v>
      </c>
      <c r="JL562">
        <v>0</v>
      </c>
      <c r="JM562">
        <v>0</v>
      </c>
      <c r="JT562">
        <v>0</v>
      </c>
      <c r="JU562" t="s">
        <v>1042</v>
      </c>
      <c r="JW562">
        <v>0</v>
      </c>
      <c r="KA562">
        <v>0</v>
      </c>
      <c r="KF562">
        <v>0</v>
      </c>
      <c r="KG562">
        <v>0</v>
      </c>
      <c r="KH562">
        <v>0</v>
      </c>
      <c r="KI562">
        <v>0</v>
      </c>
      <c r="KS562" t="s">
        <v>1041</v>
      </c>
      <c r="KT562">
        <v>0</v>
      </c>
      <c r="KU562">
        <v>0</v>
      </c>
      <c r="KV562">
        <v>0</v>
      </c>
      <c r="KX562">
        <v>0</v>
      </c>
      <c r="KZ562">
        <v>0</v>
      </c>
      <c r="LF562">
        <v>0</v>
      </c>
      <c r="LH562">
        <v>0</v>
      </c>
      <c r="LI562">
        <v>0</v>
      </c>
    </row>
    <row r="563" spans="1:321" x14ac:dyDescent="0.35">
      <c r="A563">
        <v>1</v>
      </c>
      <c r="B563">
        <v>1353</v>
      </c>
      <c r="C563" t="s">
        <v>714</v>
      </c>
      <c r="D563" t="s">
        <v>1061</v>
      </c>
      <c r="E563" t="s">
        <v>85</v>
      </c>
      <c r="F563">
        <v>1</v>
      </c>
      <c r="G563">
        <v>220</v>
      </c>
      <c r="H563">
        <v>0</v>
      </c>
      <c r="I563" t="s">
        <v>994</v>
      </c>
      <c r="L563">
        <v>0</v>
      </c>
      <c r="M563">
        <v>0</v>
      </c>
      <c r="N563">
        <v>0</v>
      </c>
      <c r="Q563">
        <v>516</v>
      </c>
      <c r="R563">
        <v>0</v>
      </c>
      <c r="S563">
        <v>0</v>
      </c>
      <c r="W563" t="s">
        <v>1060</v>
      </c>
      <c r="X563">
        <v>0</v>
      </c>
      <c r="Z563">
        <v>10</v>
      </c>
      <c r="AA563">
        <v>95.069000000000003</v>
      </c>
      <c r="AB563">
        <v>970</v>
      </c>
      <c r="AC563">
        <v>5.617</v>
      </c>
      <c r="AD563" t="s">
        <v>1042</v>
      </c>
      <c r="AE563">
        <v>0</v>
      </c>
      <c r="AF563">
        <v>0.1113</v>
      </c>
      <c r="AH563">
        <v>922</v>
      </c>
      <c r="AJ563">
        <v>1</v>
      </c>
      <c r="AK563" t="s">
        <v>1154</v>
      </c>
      <c r="AL563">
        <v>0</v>
      </c>
      <c r="AM563">
        <v>0</v>
      </c>
      <c r="AN563">
        <v>11501001</v>
      </c>
      <c r="AO563">
        <v>0</v>
      </c>
      <c r="AP563">
        <v>1002</v>
      </c>
      <c r="AT563">
        <v>1</v>
      </c>
      <c r="AU563" t="s">
        <v>1059</v>
      </c>
      <c r="AV563" t="s">
        <v>1043</v>
      </c>
      <c r="AW563" t="s">
        <v>1053</v>
      </c>
      <c r="AX563">
        <v>0</v>
      </c>
      <c r="AY563" s="20">
        <v>43677</v>
      </c>
      <c r="BA563" s="20">
        <v>44610</v>
      </c>
      <c r="BB563" t="s">
        <v>1058</v>
      </c>
      <c r="BD563">
        <v>0</v>
      </c>
      <c r="BF563" t="s">
        <v>1044</v>
      </c>
      <c r="BG563" t="s">
        <v>1042</v>
      </c>
      <c r="BH563">
        <v>0</v>
      </c>
      <c r="BI563">
        <v>6</v>
      </c>
      <c r="BJ563">
        <v>0</v>
      </c>
      <c r="BK563">
        <v>0</v>
      </c>
      <c r="BM563" s="20">
        <v>44207</v>
      </c>
      <c r="BN563">
        <v>0</v>
      </c>
      <c r="BO563">
        <v>7897801319850</v>
      </c>
      <c r="BR563" t="s">
        <v>1043</v>
      </c>
      <c r="BS563" t="s">
        <v>1043</v>
      </c>
      <c r="BT563" t="s">
        <v>1043</v>
      </c>
      <c r="BV563">
        <v>1</v>
      </c>
      <c r="BW563">
        <v>31</v>
      </c>
      <c r="BY563">
        <v>82</v>
      </c>
      <c r="CA563">
        <v>0</v>
      </c>
      <c r="CB563" t="s">
        <v>1043</v>
      </c>
      <c r="CE563" t="s">
        <v>1043</v>
      </c>
      <c r="CH563" t="s">
        <v>1043</v>
      </c>
      <c r="CI563" t="s">
        <v>1153</v>
      </c>
      <c r="CK563" t="s">
        <v>1152</v>
      </c>
      <c r="CN563" t="s">
        <v>1056</v>
      </c>
      <c r="CP563">
        <v>1</v>
      </c>
      <c r="CQ563">
        <v>0</v>
      </c>
      <c r="CS563">
        <v>0</v>
      </c>
      <c r="CT563">
        <v>0</v>
      </c>
      <c r="CU563">
        <v>0</v>
      </c>
      <c r="CW563">
        <v>0</v>
      </c>
      <c r="CX563">
        <v>0</v>
      </c>
      <c r="CY563">
        <v>0</v>
      </c>
      <c r="CZ563">
        <v>0</v>
      </c>
      <c r="DA563">
        <v>3</v>
      </c>
      <c r="DB563">
        <v>0</v>
      </c>
      <c r="DH563">
        <v>0</v>
      </c>
      <c r="DJ563">
        <v>0</v>
      </c>
      <c r="DL563">
        <v>0</v>
      </c>
      <c r="DN563">
        <v>0</v>
      </c>
      <c r="DO563" t="s">
        <v>1042</v>
      </c>
      <c r="DP563">
        <v>0</v>
      </c>
      <c r="DQ563">
        <v>7.6</v>
      </c>
      <c r="DS563">
        <v>0</v>
      </c>
      <c r="DU563">
        <v>1.65</v>
      </c>
      <c r="DW563">
        <v>0</v>
      </c>
      <c r="DY563">
        <v>0</v>
      </c>
      <c r="DZ563">
        <v>0</v>
      </c>
      <c r="EA563">
        <v>0</v>
      </c>
      <c r="EB563">
        <v>17897801319857</v>
      </c>
      <c r="EE563">
        <v>0</v>
      </c>
      <c r="EF563">
        <v>0</v>
      </c>
      <c r="EG563" t="s">
        <v>1044</v>
      </c>
      <c r="EK563" t="s">
        <v>1054</v>
      </c>
      <c r="EL563">
        <v>57897801319855</v>
      </c>
      <c r="EN563" t="s">
        <v>1012</v>
      </c>
      <c r="ET563">
        <v>0</v>
      </c>
      <c r="EV563">
        <v>0</v>
      </c>
      <c r="EY563" t="s">
        <v>1052</v>
      </c>
      <c r="EZ563">
        <v>0</v>
      </c>
      <c r="FA563" t="s">
        <v>1043</v>
      </c>
      <c r="FB563">
        <v>0</v>
      </c>
      <c r="FC563">
        <v>0</v>
      </c>
      <c r="FD563" t="s">
        <v>1051</v>
      </c>
      <c r="FE563" t="s">
        <v>1050</v>
      </c>
      <c r="FF563">
        <v>80</v>
      </c>
      <c r="FG563" t="s">
        <v>1050</v>
      </c>
      <c r="FH563">
        <v>27897801319854</v>
      </c>
      <c r="FJ563">
        <v>0</v>
      </c>
      <c r="FK563">
        <v>0</v>
      </c>
      <c r="FP563">
        <v>0</v>
      </c>
      <c r="FR563">
        <v>0</v>
      </c>
      <c r="FS563" t="s">
        <v>1044</v>
      </c>
      <c r="FX563" t="s">
        <v>1042</v>
      </c>
      <c r="GA563">
        <v>0</v>
      </c>
      <c r="GB563" t="s">
        <v>1042</v>
      </c>
      <c r="GD563">
        <v>16</v>
      </c>
      <c r="GE563">
        <v>0</v>
      </c>
      <c r="GG563">
        <v>0</v>
      </c>
      <c r="GN563">
        <v>0</v>
      </c>
      <c r="GO563" t="s">
        <v>1049</v>
      </c>
      <c r="GQ563">
        <v>0</v>
      </c>
      <c r="GU563">
        <v>0</v>
      </c>
      <c r="GY563" t="s">
        <v>1045</v>
      </c>
      <c r="HB563">
        <v>0</v>
      </c>
      <c r="HE563">
        <v>10</v>
      </c>
      <c r="HF563">
        <v>0</v>
      </c>
      <c r="HG563">
        <v>2.3999999999999998E-3</v>
      </c>
      <c r="HK563" t="s">
        <v>1042</v>
      </c>
      <c r="HL563" t="s">
        <v>1048</v>
      </c>
      <c r="HM563">
        <v>0</v>
      </c>
      <c r="HN563">
        <v>0</v>
      </c>
      <c r="HO563">
        <v>35</v>
      </c>
      <c r="HP563">
        <v>6.8699999999999997E-2</v>
      </c>
      <c r="HQ563">
        <v>0</v>
      </c>
      <c r="HR563" t="s">
        <v>1042</v>
      </c>
      <c r="HT563">
        <v>0</v>
      </c>
      <c r="HU563">
        <v>0</v>
      </c>
      <c r="HW563">
        <v>0</v>
      </c>
      <c r="HX563">
        <v>1082</v>
      </c>
      <c r="HY563">
        <v>0</v>
      </c>
      <c r="IA563">
        <v>0</v>
      </c>
      <c r="IC563" t="s">
        <v>1151</v>
      </c>
      <c r="IF563">
        <v>5760</v>
      </c>
      <c r="IG563" t="s">
        <v>1042</v>
      </c>
      <c r="IH563" t="s">
        <v>1046</v>
      </c>
      <c r="II563" t="s">
        <v>1042</v>
      </c>
      <c r="IR563" t="s">
        <v>1045</v>
      </c>
      <c r="IT563">
        <v>0</v>
      </c>
      <c r="JE563">
        <v>0</v>
      </c>
      <c r="JF563">
        <v>0</v>
      </c>
      <c r="JI563" t="s">
        <v>1042</v>
      </c>
      <c r="JJ563">
        <v>0</v>
      </c>
      <c r="JK563">
        <v>0</v>
      </c>
      <c r="JL563">
        <v>0</v>
      </c>
      <c r="JM563">
        <v>0</v>
      </c>
      <c r="JT563">
        <v>0</v>
      </c>
      <c r="JU563" t="s">
        <v>1042</v>
      </c>
      <c r="JW563">
        <v>0</v>
      </c>
      <c r="KA563">
        <v>0</v>
      </c>
      <c r="KF563">
        <v>0</v>
      </c>
      <c r="KG563">
        <v>0</v>
      </c>
      <c r="KH563">
        <v>0</v>
      </c>
      <c r="KI563">
        <v>0</v>
      </c>
      <c r="KS563" t="s">
        <v>1041</v>
      </c>
      <c r="KT563">
        <v>0</v>
      </c>
      <c r="KU563">
        <v>0</v>
      </c>
      <c r="KV563">
        <v>0</v>
      </c>
      <c r="KX563">
        <v>0</v>
      </c>
      <c r="KZ563">
        <v>0</v>
      </c>
      <c r="LF563">
        <v>0</v>
      </c>
      <c r="LH563">
        <v>0</v>
      </c>
      <c r="LI563">
        <v>0</v>
      </c>
    </row>
    <row r="564" spans="1:321" x14ac:dyDescent="0.35">
      <c r="A564">
        <v>1</v>
      </c>
      <c r="B564">
        <v>1354</v>
      </c>
      <c r="C564" t="s">
        <v>715</v>
      </c>
      <c r="D564" t="s">
        <v>1089</v>
      </c>
      <c r="E564" t="s">
        <v>85</v>
      </c>
      <c r="F564">
        <v>1</v>
      </c>
      <c r="G564">
        <v>220</v>
      </c>
      <c r="H564">
        <v>0</v>
      </c>
      <c r="I564" t="s">
        <v>994</v>
      </c>
      <c r="L564">
        <v>0</v>
      </c>
      <c r="M564">
        <v>0</v>
      </c>
      <c r="N564">
        <v>0</v>
      </c>
      <c r="P564">
        <v>8</v>
      </c>
      <c r="Q564">
        <v>901</v>
      </c>
      <c r="R564">
        <v>0</v>
      </c>
      <c r="S564">
        <v>0</v>
      </c>
      <c r="W564" t="s">
        <v>1060</v>
      </c>
      <c r="X564">
        <v>0</v>
      </c>
      <c r="Z564">
        <v>10</v>
      </c>
      <c r="AA564">
        <v>17.597999999999999</v>
      </c>
      <c r="AB564">
        <v>0</v>
      </c>
      <c r="AC564">
        <v>0.61609999999999998</v>
      </c>
      <c r="AD564" s="20">
        <v>44546</v>
      </c>
      <c r="AE564">
        <v>0.78239099999999995</v>
      </c>
      <c r="AF564">
        <v>2.1999999999999999E-2</v>
      </c>
      <c r="AH564">
        <v>0</v>
      </c>
      <c r="AJ564">
        <v>1</v>
      </c>
      <c r="AK564" t="s">
        <v>1154</v>
      </c>
      <c r="AL564">
        <v>0</v>
      </c>
      <c r="AM564">
        <v>0</v>
      </c>
      <c r="AN564">
        <v>11501008</v>
      </c>
      <c r="AO564">
        <v>0</v>
      </c>
      <c r="AP564">
        <v>1050</v>
      </c>
      <c r="AT564">
        <v>1</v>
      </c>
      <c r="AU564" t="s">
        <v>1059</v>
      </c>
      <c r="AV564" t="s">
        <v>1043</v>
      </c>
      <c r="AW564" t="s">
        <v>1053</v>
      </c>
      <c r="AX564">
        <v>1</v>
      </c>
      <c r="AY564" s="20">
        <v>44082</v>
      </c>
      <c r="BA564" s="20">
        <v>43677</v>
      </c>
      <c r="BB564" t="s">
        <v>1058</v>
      </c>
      <c r="BD564">
        <v>0</v>
      </c>
      <c r="BF564" t="s">
        <v>1044</v>
      </c>
      <c r="BG564" t="s">
        <v>1042</v>
      </c>
      <c r="BH564">
        <v>0</v>
      </c>
      <c r="BI564">
        <v>34</v>
      </c>
      <c r="BJ564">
        <v>0</v>
      </c>
      <c r="BK564">
        <v>0</v>
      </c>
      <c r="BM564" s="20">
        <v>44195</v>
      </c>
      <c r="BN564">
        <v>0</v>
      </c>
      <c r="BO564">
        <v>7897801319867</v>
      </c>
      <c r="BR564" t="s">
        <v>1043</v>
      </c>
      <c r="BS564" t="s">
        <v>1043</v>
      </c>
      <c r="BT564" t="s">
        <v>1043</v>
      </c>
      <c r="BV564">
        <v>1</v>
      </c>
      <c r="BW564">
        <v>31</v>
      </c>
      <c r="BY564">
        <v>82</v>
      </c>
      <c r="CA564">
        <v>0</v>
      </c>
      <c r="CB564" t="s">
        <v>1043</v>
      </c>
      <c r="CE564" t="s">
        <v>1043</v>
      </c>
      <c r="CH564" t="s">
        <v>1043</v>
      </c>
      <c r="CI564" t="s">
        <v>1153</v>
      </c>
      <c r="CK564" t="s">
        <v>1152</v>
      </c>
      <c r="CN564" t="s">
        <v>1056</v>
      </c>
      <c r="CP564">
        <v>1</v>
      </c>
      <c r="CQ564">
        <v>0</v>
      </c>
      <c r="CS564">
        <v>0</v>
      </c>
      <c r="CT564">
        <v>0</v>
      </c>
      <c r="CU564">
        <v>0</v>
      </c>
      <c r="CW564">
        <v>0</v>
      </c>
      <c r="CX564">
        <v>0</v>
      </c>
      <c r="CY564">
        <v>0</v>
      </c>
      <c r="CZ564">
        <v>0</v>
      </c>
      <c r="DB564">
        <v>0</v>
      </c>
      <c r="DH564">
        <v>0</v>
      </c>
      <c r="DJ564">
        <v>0</v>
      </c>
      <c r="DL564">
        <v>0</v>
      </c>
      <c r="DN564">
        <v>0</v>
      </c>
      <c r="DO564" t="s">
        <v>1042</v>
      </c>
      <c r="DP564">
        <v>0</v>
      </c>
      <c r="DQ564">
        <v>7.6</v>
      </c>
      <c r="DS564">
        <v>0</v>
      </c>
      <c r="DU564">
        <v>1.65</v>
      </c>
      <c r="DW564">
        <v>0</v>
      </c>
      <c r="DY564">
        <v>0</v>
      </c>
      <c r="DZ564">
        <v>0</v>
      </c>
      <c r="EA564">
        <v>0</v>
      </c>
      <c r="EB564">
        <v>17897801319864</v>
      </c>
      <c r="EE564">
        <v>0</v>
      </c>
      <c r="EF564">
        <v>0</v>
      </c>
      <c r="EG564" t="s">
        <v>1044</v>
      </c>
      <c r="EK564" t="s">
        <v>1054</v>
      </c>
      <c r="EL564">
        <v>57897801319862</v>
      </c>
      <c r="EN564" t="s">
        <v>1012</v>
      </c>
      <c r="ET564">
        <v>0</v>
      </c>
      <c r="EV564">
        <v>0</v>
      </c>
      <c r="EY564" t="s">
        <v>1052</v>
      </c>
      <c r="EZ564">
        <v>0</v>
      </c>
      <c r="FA564" t="s">
        <v>1043</v>
      </c>
      <c r="FB564">
        <v>0</v>
      </c>
      <c r="FC564">
        <v>0</v>
      </c>
      <c r="FD564" t="s">
        <v>1051</v>
      </c>
      <c r="FE564" t="s">
        <v>1050</v>
      </c>
      <c r="FF564">
        <v>900</v>
      </c>
      <c r="FG564" t="s">
        <v>1050</v>
      </c>
      <c r="FH564">
        <v>27897801319861</v>
      </c>
      <c r="FJ564">
        <v>0</v>
      </c>
      <c r="FK564">
        <v>0</v>
      </c>
      <c r="FP564">
        <v>0</v>
      </c>
      <c r="FR564">
        <v>0</v>
      </c>
      <c r="FS564" t="s">
        <v>1043</v>
      </c>
      <c r="FX564" t="s">
        <v>1042</v>
      </c>
      <c r="GA564">
        <v>0</v>
      </c>
      <c r="GB564" t="s">
        <v>1042</v>
      </c>
      <c r="GD564">
        <v>16</v>
      </c>
      <c r="GE564">
        <v>0</v>
      </c>
      <c r="GG564">
        <v>0</v>
      </c>
      <c r="GN564">
        <v>0</v>
      </c>
      <c r="GO564" t="s">
        <v>1063</v>
      </c>
      <c r="GQ564">
        <v>0</v>
      </c>
      <c r="GU564">
        <v>0</v>
      </c>
      <c r="GY564" t="s">
        <v>1045</v>
      </c>
      <c r="HB564">
        <v>0</v>
      </c>
      <c r="HE564">
        <v>10</v>
      </c>
      <c r="HF564">
        <v>0</v>
      </c>
      <c r="HG564">
        <v>4.2999999999999999E-4</v>
      </c>
      <c r="HK564" t="s">
        <v>1042</v>
      </c>
      <c r="HL564" t="s">
        <v>1048</v>
      </c>
      <c r="HM564">
        <v>0</v>
      </c>
      <c r="HN564">
        <v>0</v>
      </c>
      <c r="HO564">
        <v>35</v>
      </c>
      <c r="HP564">
        <v>0</v>
      </c>
      <c r="HQ564">
        <v>0</v>
      </c>
      <c r="HR564" s="20">
        <v>44221</v>
      </c>
      <c r="HT564">
        <v>0</v>
      </c>
      <c r="HU564">
        <v>0</v>
      </c>
      <c r="HW564">
        <v>0</v>
      </c>
      <c r="HX564">
        <v>110</v>
      </c>
      <c r="HY564">
        <v>1</v>
      </c>
      <c r="IA564">
        <v>0.78</v>
      </c>
      <c r="IC564" t="s">
        <v>1151</v>
      </c>
      <c r="IF564">
        <v>18000</v>
      </c>
      <c r="IG564" t="s">
        <v>1042</v>
      </c>
      <c r="IH564" t="s">
        <v>1046</v>
      </c>
      <c r="II564" t="s">
        <v>1042</v>
      </c>
      <c r="IR564" t="s">
        <v>1045</v>
      </c>
      <c r="IT564">
        <v>0</v>
      </c>
      <c r="JE564">
        <v>0</v>
      </c>
      <c r="JF564">
        <v>0</v>
      </c>
      <c r="JI564" t="s">
        <v>1042</v>
      </c>
      <c r="JJ564">
        <v>0</v>
      </c>
      <c r="JK564">
        <v>0</v>
      </c>
      <c r="JL564">
        <v>0</v>
      </c>
      <c r="JM564">
        <v>0</v>
      </c>
      <c r="JT564">
        <v>0</v>
      </c>
      <c r="JU564" t="s">
        <v>1042</v>
      </c>
      <c r="JW564">
        <v>0</v>
      </c>
      <c r="KA564">
        <v>0</v>
      </c>
      <c r="KF564">
        <v>0</v>
      </c>
      <c r="KG564">
        <v>0</v>
      </c>
      <c r="KH564">
        <v>0</v>
      </c>
      <c r="KI564">
        <v>0</v>
      </c>
      <c r="KS564" t="s">
        <v>1041</v>
      </c>
      <c r="KT564">
        <v>0</v>
      </c>
      <c r="KU564">
        <v>0</v>
      </c>
      <c r="KV564">
        <v>0</v>
      </c>
      <c r="KX564">
        <v>0</v>
      </c>
      <c r="KZ564">
        <v>0</v>
      </c>
      <c r="LF564">
        <v>0</v>
      </c>
      <c r="LH564">
        <v>0</v>
      </c>
      <c r="LI564">
        <v>0</v>
      </c>
    </row>
    <row r="565" spans="1:321" x14ac:dyDescent="0.35">
      <c r="A565">
        <v>1</v>
      </c>
      <c r="B565">
        <v>1355</v>
      </c>
      <c r="C565" t="s">
        <v>716</v>
      </c>
      <c r="D565" t="s">
        <v>1089</v>
      </c>
      <c r="E565" t="s">
        <v>85</v>
      </c>
      <c r="F565">
        <v>1</v>
      </c>
      <c r="G565">
        <v>220</v>
      </c>
      <c r="H565">
        <v>0</v>
      </c>
      <c r="I565" t="s">
        <v>994</v>
      </c>
      <c r="L565">
        <v>0</v>
      </c>
      <c r="M565">
        <v>0</v>
      </c>
      <c r="N565">
        <v>0</v>
      </c>
      <c r="P565">
        <v>8</v>
      </c>
      <c r="Q565">
        <v>901</v>
      </c>
      <c r="R565">
        <v>0</v>
      </c>
      <c r="S565">
        <v>0</v>
      </c>
      <c r="W565" t="s">
        <v>1060</v>
      </c>
      <c r="X565">
        <v>0</v>
      </c>
      <c r="Z565">
        <v>10</v>
      </c>
      <c r="AA565">
        <v>25.899000000000001</v>
      </c>
      <c r="AB565">
        <v>0</v>
      </c>
      <c r="AC565">
        <v>0.81899999999999995</v>
      </c>
      <c r="AD565" s="20">
        <v>44699</v>
      </c>
      <c r="AE565">
        <v>1.04</v>
      </c>
      <c r="AF565">
        <v>3.2300000000000002E-2</v>
      </c>
      <c r="AH565">
        <v>0</v>
      </c>
      <c r="AJ565">
        <v>1</v>
      </c>
      <c r="AK565" t="s">
        <v>1154</v>
      </c>
      <c r="AL565">
        <v>0</v>
      </c>
      <c r="AM565">
        <v>0</v>
      </c>
      <c r="AN565">
        <v>11501008</v>
      </c>
      <c r="AO565">
        <v>0</v>
      </c>
      <c r="AP565">
        <v>1050</v>
      </c>
      <c r="AT565">
        <v>1</v>
      </c>
      <c r="AU565" t="s">
        <v>1059</v>
      </c>
      <c r="AV565" t="s">
        <v>1043</v>
      </c>
      <c r="AW565" t="s">
        <v>1053</v>
      </c>
      <c r="AX565">
        <v>1</v>
      </c>
      <c r="AY565" s="20">
        <v>44082</v>
      </c>
      <c r="BA565" s="20">
        <v>43677</v>
      </c>
      <c r="BB565" t="s">
        <v>1058</v>
      </c>
      <c r="BD565">
        <v>0</v>
      </c>
      <c r="BF565" t="s">
        <v>1044</v>
      </c>
      <c r="BG565" t="s">
        <v>1042</v>
      </c>
      <c r="BH565">
        <v>0</v>
      </c>
      <c r="BI565">
        <v>34</v>
      </c>
      <c r="BJ565">
        <v>0</v>
      </c>
      <c r="BK565">
        <v>0</v>
      </c>
      <c r="BM565" s="20">
        <v>44195</v>
      </c>
      <c r="BN565">
        <v>0</v>
      </c>
      <c r="BO565">
        <v>7897801319874</v>
      </c>
      <c r="BR565" t="s">
        <v>1043</v>
      </c>
      <c r="BS565" t="s">
        <v>1043</v>
      </c>
      <c r="BT565" t="s">
        <v>1043</v>
      </c>
      <c r="BV565">
        <v>1</v>
      </c>
      <c r="BW565">
        <v>31</v>
      </c>
      <c r="BY565">
        <v>82</v>
      </c>
      <c r="CA565">
        <v>0</v>
      </c>
      <c r="CB565" t="s">
        <v>1043</v>
      </c>
      <c r="CE565" t="s">
        <v>1043</v>
      </c>
      <c r="CH565" t="s">
        <v>1043</v>
      </c>
      <c r="CI565" t="s">
        <v>1153</v>
      </c>
      <c r="CK565" t="s">
        <v>1152</v>
      </c>
      <c r="CN565" t="s">
        <v>1056</v>
      </c>
      <c r="CP565">
        <v>1</v>
      </c>
      <c r="CQ565">
        <v>0</v>
      </c>
      <c r="CS565">
        <v>0</v>
      </c>
      <c r="CT565">
        <v>0</v>
      </c>
      <c r="CU565">
        <v>0</v>
      </c>
      <c r="CW565">
        <v>0</v>
      </c>
      <c r="CX565">
        <v>0</v>
      </c>
      <c r="CY565">
        <v>0</v>
      </c>
      <c r="CZ565">
        <v>0</v>
      </c>
      <c r="DB565">
        <v>0</v>
      </c>
      <c r="DH565">
        <v>0</v>
      </c>
      <c r="DJ565">
        <v>0</v>
      </c>
      <c r="DL565">
        <v>0</v>
      </c>
      <c r="DN565">
        <v>0</v>
      </c>
      <c r="DO565" t="s">
        <v>1042</v>
      </c>
      <c r="DP565">
        <v>0</v>
      </c>
      <c r="DQ565">
        <v>7.6</v>
      </c>
      <c r="DS565">
        <v>0</v>
      </c>
      <c r="DU565">
        <v>1.65</v>
      </c>
      <c r="DW565">
        <v>0</v>
      </c>
      <c r="DY565">
        <v>0</v>
      </c>
      <c r="DZ565">
        <v>0</v>
      </c>
      <c r="EA565">
        <v>0</v>
      </c>
      <c r="EB565">
        <v>17897801319871</v>
      </c>
      <c r="EE565">
        <v>0</v>
      </c>
      <c r="EF565">
        <v>0</v>
      </c>
      <c r="EG565" t="s">
        <v>1044</v>
      </c>
      <c r="EK565" t="s">
        <v>1054</v>
      </c>
      <c r="EL565">
        <v>57897801319879</v>
      </c>
      <c r="EN565" t="s">
        <v>1012</v>
      </c>
      <c r="ET565">
        <v>0</v>
      </c>
      <c r="EV565">
        <v>0</v>
      </c>
      <c r="EY565" t="s">
        <v>1052</v>
      </c>
      <c r="EZ565">
        <v>0</v>
      </c>
      <c r="FA565" t="s">
        <v>1043</v>
      </c>
      <c r="FB565">
        <v>0</v>
      </c>
      <c r="FC565">
        <v>0</v>
      </c>
      <c r="FD565" t="s">
        <v>1051</v>
      </c>
      <c r="FE565" t="s">
        <v>1050</v>
      </c>
      <c r="FF565">
        <v>640</v>
      </c>
      <c r="FG565" t="s">
        <v>1050</v>
      </c>
      <c r="FH565">
        <v>27897801319878</v>
      </c>
      <c r="FJ565">
        <v>0</v>
      </c>
      <c r="FK565">
        <v>0</v>
      </c>
      <c r="FP565">
        <v>0</v>
      </c>
      <c r="FR565">
        <v>0</v>
      </c>
      <c r="FS565" t="s">
        <v>1043</v>
      </c>
      <c r="FX565" t="s">
        <v>1042</v>
      </c>
      <c r="GA565">
        <v>0</v>
      </c>
      <c r="GB565" t="s">
        <v>1042</v>
      </c>
      <c r="GD565">
        <v>16</v>
      </c>
      <c r="GE565">
        <v>0</v>
      </c>
      <c r="GG565">
        <v>0</v>
      </c>
      <c r="GN565">
        <v>0</v>
      </c>
      <c r="GO565" t="s">
        <v>1063</v>
      </c>
      <c r="GQ565">
        <v>0</v>
      </c>
      <c r="GU565">
        <v>0</v>
      </c>
      <c r="GY565" t="s">
        <v>1045</v>
      </c>
      <c r="HB565">
        <v>0</v>
      </c>
      <c r="HE565">
        <v>10</v>
      </c>
      <c r="HF565">
        <v>0</v>
      </c>
      <c r="HG565">
        <v>7.3999999999999999E-4</v>
      </c>
      <c r="HK565" t="s">
        <v>1042</v>
      </c>
      <c r="HL565" t="s">
        <v>1048</v>
      </c>
      <c r="HM565">
        <v>0</v>
      </c>
      <c r="HN565">
        <v>0</v>
      </c>
      <c r="HO565">
        <v>35</v>
      </c>
      <c r="HP565">
        <v>0</v>
      </c>
      <c r="HQ565">
        <v>0</v>
      </c>
      <c r="HR565" s="20">
        <v>44221</v>
      </c>
      <c r="HT565">
        <v>0</v>
      </c>
      <c r="HU565">
        <v>0</v>
      </c>
      <c r="HW565">
        <v>0</v>
      </c>
      <c r="HX565">
        <v>1152</v>
      </c>
      <c r="HY565">
        <v>1</v>
      </c>
      <c r="IA565">
        <v>1.04</v>
      </c>
      <c r="IC565" t="s">
        <v>1151</v>
      </c>
      <c r="IF565">
        <v>9600</v>
      </c>
      <c r="IG565" t="s">
        <v>1042</v>
      </c>
      <c r="IH565" t="s">
        <v>1046</v>
      </c>
      <c r="II565" t="s">
        <v>1042</v>
      </c>
      <c r="IR565" t="s">
        <v>1045</v>
      </c>
      <c r="IT565">
        <v>0</v>
      </c>
      <c r="JE565">
        <v>0</v>
      </c>
      <c r="JF565">
        <v>0</v>
      </c>
      <c r="JI565" t="s">
        <v>1042</v>
      </c>
      <c r="JJ565">
        <v>0</v>
      </c>
      <c r="JK565">
        <v>0</v>
      </c>
      <c r="JL565">
        <v>0</v>
      </c>
      <c r="JM565">
        <v>0</v>
      </c>
      <c r="JT565">
        <v>0</v>
      </c>
      <c r="JU565" t="s">
        <v>1042</v>
      </c>
      <c r="JW565">
        <v>0</v>
      </c>
      <c r="KA565">
        <v>0</v>
      </c>
      <c r="KF565">
        <v>0</v>
      </c>
      <c r="KG565">
        <v>0</v>
      </c>
      <c r="KH565">
        <v>0</v>
      </c>
      <c r="KI565">
        <v>0</v>
      </c>
      <c r="KS565" t="s">
        <v>1041</v>
      </c>
      <c r="KT565">
        <v>0</v>
      </c>
      <c r="KU565">
        <v>0</v>
      </c>
      <c r="KV565">
        <v>0</v>
      </c>
      <c r="KX565">
        <v>0</v>
      </c>
      <c r="KZ565">
        <v>0</v>
      </c>
      <c r="LF565">
        <v>0</v>
      </c>
      <c r="LH565">
        <v>0</v>
      </c>
      <c r="LI565">
        <v>0</v>
      </c>
    </row>
    <row r="566" spans="1:321" x14ac:dyDescent="0.35">
      <c r="A566">
        <v>1</v>
      </c>
      <c r="B566">
        <v>1356</v>
      </c>
      <c r="C566" t="s">
        <v>717</v>
      </c>
      <c r="D566" t="s">
        <v>1089</v>
      </c>
      <c r="E566" t="s">
        <v>85</v>
      </c>
      <c r="F566">
        <v>1</v>
      </c>
      <c r="G566">
        <v>220</v>
      </c>
      <c r="H566">
        <v>0</v>
      </c>
      <c r="I566" t="s">
        <v>994</v>
      </c>
      <c r="L566">
        <v>0</v>
      </c>
      <c r="M566">
        <v>0</v>
      </c>
      <c r="N566">
        <v>0</v>
      </c>
      <c r="P566">
        <v>8</v>
      </c>
      <c r="Q566">
        <v>901</v>
      </c>
      <c r="R566">
        <v>0</v>
      </c>
      <c r="S566">
        <v>0</v>
      </c>
      <c r="W566" t="s">
        <v>1060</v>
      </c>
      <c r="X566">
        <v>0</v>
      </c>
      <c r="Z566">
        <v>10</v>
      </c>
      <c r="AA566">
        <v>35.890999999999998</v>
      </c>
      <c r="AB566">
        <v>0</v>
      </c>
      <c r="AC566">
        <v>2.0598999999999998</v>
      </c>
      <c r="AD566" s="20">
        <v>44698</v>
      </c>
      <c r="AE566">
        <v>2.6156969999999999</v>
      </c>
      <c r="AF566">
        <v>4.3099999999999999E-2</v>
      </c>
      <c r="AH566">
        <v>0</v>
      </c>
      <c r="AJ566">
        <v>1</v>
      </c>
      <c r="AK566" t="s">
        <v>1154</v>
      </c>
      <c r="AL566">
        <v>0</v>
      </c>
      <c r="AM566">
        <v>0</v>
      </c>
      <c r="AN566">
        <v>11501008</v>
      </c>
      <c r="AO566">
        <v>0</v>
      </c>
      <c r="AP566">
        <v>1050</v>
      </c>
      <c r="AT566">
        <v>1</v>
      </c>
      <c r="AU566" t="s">
        <v>1059</v>
      </c>
      <c r="AV566" t="s">
        <v>1043</v>
      </c>
      <c r="AW566" t="s">
        <v>1053</v>
      </c>
      <c r="AX566">
        <v>1</v>
      </c>
      <c r="AY566" s="20">
        <v>44082</v>
      </c>
      <c r="BA566" s="20">
        <v>43677</v>
      </c>
      <c r="BB566" t="s">
        <v>1058</v>
      </c>
      <c r="BD566">
        <v>0</v>
      </c>
      <c r="BF566" t="s">
        <v>1044</v>
      </c>
      <c r="BG566" t="s">
        <v>1042</v>
      </c>
      <c r="BH566">
        <v>0</v>
      </c>
      <c r="BI566">
        <v>34</v>
      </c>
      <c r="BJ566">
        <v>0</v>
      </c>
      <c r="BK566">
        <v>0</v>
      </c>
      <c r="BM566" s="20">
        <v>44195</v>
      </c>
      <c r="BN566">
        <v>0</v>
      </c>
      <c r="BO566">
        <v>7897801319881</v>
      </c>
      <c r="BR566" t="s">
        <v>1043</v>
      </c>
      <c r="BS566" t="s">
        <v>1043</v>
      </c>
      <c r="BT566" t="s">
        <v>1043</v>
      </c>
      <c r="BV566">
        <v>1</v>
      </c>
      <c r="BW566">
        <v>31</v>
      </c>
      <c r="BY566">
        <v>82</v>
      </c>
      <c r="CA566">
        <v>0</v>
      </c>
      <c r="CB566" t="s">
        <v>1043</v>
      </c>
      <c r="CE566" t="s">
        <v>1043</v>
      </c>
      <c r="CH566" t="s">
        <v>1043</v>
      </c>
      <c r="CI566" t="s">
        <v>1153</v>
      </c>
      <c r="CK566" t="s">
        <v>1152</v>
      </c>
      <c r="CN566" t="s">
        <v>1056</v>
      </c>
      <c r="CP566">
        <v>1</v>
      </c>
      <c r="CQ566">
        <v>0</v>
      </c>
      <c r="CS566">
        <v>0</v>
      </c>
      <c r="CT566">
        <v>0</v>
      </c>
      <c r="CU566">
        <v>0</v>
      </c>
      <c r="CW566">
        <v>0</v>
      </c>
      <c r="CX566">
        <v>0</v>
      </c>
      <c r="CY566">
        <v>0</v>
      </c>
      <c r="CZ566">
        <v>0</v>
      </c>
      <c r="DB566">
        <v>0</v>
      </c>
      <c r="DH566">
        <v>0</v>
      </c>
      <c r="DJ566">
        <v>0</v>
      </c>
      <c r="DL566">
        <v>0</v>
      </c>
      <c r="DN566">
        <v>0</v>
      </c>
      <c r="DO566" t="s">
        <v>1042</v>
      </c>
      <c r="DP566">
        <v>0</v>
      </c>
      <c r="DQ566">
        <v>7.6</v>
      </c>
      <c r="DS566">
        <v>0</v>
      </c>
      <c r="DU566">
        <v>1.65</v>
      </c>
      <c r="DW566">
        <v>0</v>
      </c>
      <c r="DY566">
        <v>0</v>
      </c>
      <c r="DZ566">
        <v>0</v>
      </c>
      <c r="EA566">
        <v>0</v>
      </c>
      <c r="EB566">
        <v>17897801319888</v>
      </c>
      <c r="EE566">
        <v>0</v>
      </c>
      <c r="EF566">
        <v>0</v>
      </c>
      <c r="EG566" t="s">
        <v>1044</v>
      </c>
      <c r="EK566" t="s">
        <v>1054</v>
      </c>
      <c r="EL566">
        <v>57897801319886</v>
      </c>
      <c r="EN566" t="s">
        <v>1012</v>
      </c>
      <c r="ET566">
        <v>0</v>
      </c>
      <c r="EV566">
        <v>0</v>
      </c>
      <c r="EY566" t="s">
        <v>1052</v>
      </c>
      <c r="EZ566">
        <v>0</v>
      </c>
      <c r="FA566" t="s">
        <v>1043</v>
      </c>
      <c r="FB566">
        <v>0</v>
      </c>
      <c r="FC566">
        <v>0</v>
      </c>
      <c r="FD566" t="s">
        <v>1051</v>
      </c>
      <c r="FE566" t="s">
        <v>1050</v>
      </c>
      <c r="FF566">
        <v>480</v>
      </c>
      <c r="FG566" t="s">
        <v>1050</v>
      </c>
      <c r="FH566">
        <v>27897801319885</v>
      </c>
      <c r="FJ566">
        <v>0</v>
      </c>
      <c r="FK566">
        <v>0</v>
      </c>
      <c r="FP566">
        <v>0</v>
      </c>
      <c r="FR566">
        <v>0</v>
      </c>
      <c r="FS566" t="s">
        <v>1043</v>
      </c>
      <c r="FX566" t="s">
        <v>1042</v>
      </c>
      <c r="GA566">
        <v>0</v>
      </c>
      <c r="GB566" t="s">
        <v>1042</v>
      </c>
      <c r="GD566">
        <v>16</v>
      </c>
      <c r="GE566">
        <v>0</v>
      </c>
      <c r="GG566">
        <v>0</v>
      </c>
      <c r="GN566">
        <v>0</v>
      </c>
      <c r="GO566" t="s">
        <v>1063</v>
      </c>
      <c r="GQ566">
        <v>0</v>
      </c>
      <c r="GU566">
        <v>0</v>
      </c>
      <c r="GY566" t="s">
        <v>1045</v>
      </c>
      <c r="HB566">
        <v>0</v>
      </c>
      <c r="HE566">
        <v>10</v>
      </c>
      <c r="HF566">
        <v>0</v>
      </c>
      <c r="HG566">
        <v>1.14E-3</v>
      </c>
      <c r="HK566" t="s">
        <v>1042</v>
      </c>
      <c r="HL566" t="s">
        <v>1048</v>
      </c>
      <c r="HM566">
        <v>0</v>
      </c>
      <c r="HN566">
        <v>0</v>
      </c>
      <c r="HO566">
        <v>35</v>
      </c>
      <c r="HP566">
        <v>0</v>
      </c>
      <c r="HQ566">
        <v>0</v>
      </c>
      <c r="HR566" s="20">
        <v>44221</v>
      </c>
      <c r="HT566">
        <v>0</v>
      </c>
      <c r="HU566">
        <v>0</v>
      </c>
      <c r="HW566">
        <v>0</v>
      </c>
      <c r="HX566">
        <v>73</v>
      </c>
      <c r="HY566">
        <v>1</v>
      </c>
      <c r="IA566">
        <v>2.62</v>
      </c>
      <c r="IC566" t="s">
        <v>1151</v>
      </c>
      <c r="IF566">
        <v>7200</v>
      </c>
      <c r="IG566" t="s">
        <v>1042</v>
      </c>
      <c r="IH566" t="s">
        <v>1046</v>
      </c>
      <c r="II566" t="s">
        <v>1042</v>
      </c>
      <c r="IR566" t="s">
        <v>1045</v>
      </c>
      <c r="IT566">
        <v>0</v>
      </c>
      <c r="JE566">
        <v>0</v>
      </c>
      <c r="JF566">
        <v>0</v>
      </c>
      <c r="JI566" t="s">
        <v>1042</v>
      </c>
      <c r="JJ566">
        <v>0</v>
      </c>
      <c r="JK566">
        <v>0</v>
      </c>
      <c r="JL566">
        <v>0</v>
      </c>
      <c r="JM566">
        <v>0</v>
      </c>
      <c r="JT566">
        <v>0</v>
      </c>
      <c r="JU566" t="s">
        <v>1042</v>
      </c>
      <c r="JW566">
        <v>0</v>
      </c>
      <c r="KA566">
        <v>0</v>
      </c>
      <c r="KF566">
        <v>0</v>
      </c>
      <c r="KG566">
        <v>0</v>
      </c>
      <c r="KH566">
        <v>0</v>
      </c>
      <c r="KI566">
        <v>0</v>
      </c>
      <c r="KS566" t="s">
        <v>1041</v>
      </c>
      <c r="KT566">
        <v>0</v>
      </c>
      <c r="KU566">
        <v>0</v>
      </c>
      <c r="KV566">
        <v>0</v>
      </c>
      <c r="KX566">
        <v>0</v>
      </c>
      <c r="KZ566">
        <v>0</v>
      </c>
      <c r="LF566">
        <v>0</v>
      </c>
      <c r="LH566">
        <v>0</v>
      </c>
      <c r="LI566">
        <v>0</v>
      </c>
    </row>
    <row r="567" spans="1:321" x14ac:dyDescent="0.35">
      <c r="A567">
        <v>1</v>
      </c>
      <c r="B567">
        <v>13565</v>
      </c>
      <c r="C567" t="s">
        <v>1164</v>
      </c>
      <c r="D567" t="s">
        <v>1133</v>
      </c>
      <c r="E567" t="s">
        <v>85</v>
      </c>
      <c r="F567">
        <v>80</v>
      </c>
      <c r="G567">
        <v>9000</v>
      </c>
      <c r="H567">
        <v>0</v>
      </c>
      <c r="I567" t="s">
        <v>1163</v>
      </c>
      <c r="L567">
        <v>0</v>
      </c>
      <c r="M567">
        <v>0</v>
      </c>
      <c r="N567">
        <v>0</v>
      </c>
      <c r="R567">
        <v>0</v>
      </c>
      <c r="S567">
        <v>0</v>
      </c>
      <c r="W567" t="s">
        <v>1060</v>
      </c>
      <c r="X567">
        <v>0</v>
      </c>
      <c r="Z567">
        <v>1</v>
      </c>
      <c r="AA567">
        <v>0</v>
      </c>
      <c r="AB567">
        <v>0</v>
      </c>
      <c r="AC567">
        <v>1487.2</v>
      </c>
      <c r="AD567" s="20">
        <v>40906</v>
      </c>
      <c r="AE567">
        <v>1408.3333339999999</v>
      </c>
      <c r="AF567">
        <v>0</v>
      </c>
      <c r="AH567">
        <v>0</v>
      </c>
      <c r="AJ567">
        <v>0</v>
      </c>
      <c r="AL567">
        <v>1</v>
      </c>
      <c r="AM567">
        <v>0</v>
      </c>
      <c r="AN567">
        <v>46517</v>
      </c>
      <c r="AO567">
        <v>0</v>
      </c>
      <c r="AP567">
        <v>2720</v>
      </c>
      <c r="AT567">
        <v>0</v>
      </c>
      <c r="AU567" t="s">
        <v>1059</v>
      </c>
      <c r="AW567" t="s">
        <v>1053</v>
      </c>
      <c r="AX567">
        <v>0</v>
      </c>
      <c r="AY567" s="20">
        <v>40906</v>
      </c>
      <c r="BA567" s="20">
        <v>40882</v>
      </c>
      <c r="BB567" t="s">
        <v>1058</v>
      </c>
      <c r="BD567">
        <v>0</v>
      </c>
      <c r="BF567" t="s">
        <v>1043</v>
      </c>
      <c r="BG567" t="s">
        <v>1042</v>
      </c>
      <c r="BH567">
        <v>0</v>
      </c>
      <c r="BI567">
        <v>1</v>
      </c>
      <c r="BJ567">
        <v>0</v>
      </c>
      <c r="BK567">
        <v>0</v>
      </c>
      <c r="BM567" t="s">
        <v>1042</v>
      </c>
      <c r="BN567">
        <v>0</v>
      </c>
      <c r="BR567" t="s">
        <v>1043</v>
      </c>
      <c r="BS567" t="s">
        <v>1043</v>
      </c>
      <c r="BT567" t="s">
        <v>1043</v>
      </c>
      <c r="BW567">
        <v>70</v>
      </c>
      <c r="CA567">
        <v>0</v>
      </c>
      <c r="CB567" t="s">
        <v>1057</v>
      </c>
      <c r="CE567" t="s">
        <v>1043</v>
      </c>
      <c r="CH567" t="s">
        <v>1043</v>
      </c>
      <c r="CN567" t="s">
        <v>1074</v>
      </c>
      <c r="CO567" t="s">
        <v>1043</v>
      </c>
      <c r="CP567">
        <v>1</v>
      </c>
      <c r="CQ567">
        <v>0</v>
      </c>
      <c r="CS567">
        <v>0</v>
      </c>
      <c r="CT567">
        <v>0</v>
      </c>
      <c r="CU567">
        <v>0</v>
      </c>
      <c r="CV567" t="s">
        <v>1045</v>
      </c>
      <c r="CW567">
        <v>0</v>
      </c>
      <c r="CX567">
        <v>0</v>
      </c>
      <c r="CY567">
        <v>0</v>
      </c>
      <c r="CZ567">
        <v>0</v>
      </c>
      <c r="DB567">
        <v>0</v>
      </c>
      <c r="DC567" t="s">
        <v>1043</v>
      </c>
      <c r="DF567" t="s">
        <v>1055</v>
      </c>
      <c r="DH567">
        <v>0</v>
      </c>
      <c r="DJ567">
        <v>0</v>
      </c>
      <c r="DK567" t="s">
        <v>1053</v>
      </c>
      <c r="DL567">
        <v>0</v>
      </c>
      <c r="DN567">
        <v>0</v>
      </c>
      <c r="DO567" t="s">
        <v>1042</v>
      </c>
      <c r="DP567">
        <v>0</v>
      </c>
      <c r="DQ567">
        <v>0</v>
      </c>
      <c r="DS567">
        <v>0</v>
      </c>
      <c r="DU567">
        <v>0</v>
      </c>
      <c r="DW567">
        <v>0</v>
      </c>
      <c r="DX567" t="s">
        <v>1043</v>
      </c>
      <c r="DY567">
        <v>0</v>
      </c>
      <c r="DZ567">
        <v>0</v>
      </c>
      <c r="EA567">
        <v>0</v>
      </c>
      <c r="ED567" t="s">
        <v>1045</v>
      </c>
      <c r="EE567">
        <v>0</v>
      </c>
      <c r="EF567">
        <v>0</v>
      </c>
      <c r="EQ567" t="s">
        <v>1044</v>
      </c>
      <c r="ES567" t="s">
        <v>1053</v>
      </c>
      <c r="ET567">
        <v>0</v>
      </c>
      <c r="EV567">
        <v>0</v>
      </c>
      <c r="EY567" t="s">
        <v>1052</v>
      </c>
      <c r="EZ567">
        <v>0</v>
      </c>
      <c r="FA567" t="s">
        <v>1043</v>
      </c>
      <c r="FB567">
        <v>0</v>
      </c>
      <c r="FC567">
        <v>0</v>
      </c>
      <c r="FE567" t="s">
        <v>1050</v>
      </c>
      <c r="FF567">
        <v>0</v>
      </c>
      <c r="FG567" t="s">
        <v>1050</v>
      </c>
      <c r="FJ567">
        <v>0</v>
      </c>
      <c r="FK567">
        <v>0</v>
      </c>
      <c r="FP567">
        <v>0</v>
      </c>
      <c r="FR567">
        <v>0</v>
      </c>
      <c r="FX567" t="s">
        <v>1042</v>
      </c>
      <c r="FZ567" t="s">
        <v>1048</v>
      </c>
      <c r="GA567">
        <v>0</v>
      </c>
      <c r="GB567" t="s">
        <v>1042</v>
      </c>
      <c r="GE567">
        <v>0</v>
      </c>
      <c r="GG567">
        <v>0</v>
      </c>
      <c r="GN567">
        <v>0</v>
      </c>
      <c r="GO567" t="s">
        <v>1063</v>
      </c>
      <c r="GQ567">
        <v>0</v>
      </c>
      <c r="GU567">
        <v>0</v>
      </c>
      <c r="GY567" t="s">
        <v>1045</v>
      </c>
      <c r="HB567">
        <v>0</v>
      </c>
      <c r="HE567">
        <v>0</v>
      </c>
      <c r="HF567">
        <v>0</v>
      </c>
      <c r="HG567">
        <v>0</v>
      </c>
      <c r="HK567" t="s">
        <v>1042</v>
      </c>
      <c r="HM567" t="s">
        <v>1047</v>
      </c>
      <c r="HN567">
        <v>0</v>
      </c>
      <c r="HP567">
        <v>0</v>
      </c>
      <c r="HQ567">
        <v>0</v>
      </c>
      <c r="HR567" s="20">
        <v>44221</v>
      </c>
      <c r="HS567" t="s">
        <v>1043</v>
      </c>
      <c r="HT567">
        <v>0</v>
      </c>
      <c r="HU567">
        <v>0</v>
      </c>
      <c r="HW567">
        <v>0</v>
      </c>
      <c r="HX567">
        <v>0</v>
      </c>
      <c r="HY567">
        <v>0</v>
      </c>
      <c r="HZ567" t="s">
        <v>1045</v>
      </c>
      <c r="IA567">
        <v>0</v>
      </c>
      <c r="IB567" t="s">
        <v>1045</v>
      </c>
      <c r="ID567" t="s">
        <v>1045</v>
      </c>
      <c r="IF567">
        <v>0</v>
      </c>
      <c r="IG567" t="s">
        <v>1042</v>
      </c>
      <c r="II567" t="s">
        <v>1042</v>
      </c>
      <c r="IR567" t="s">
        <v>1045</v>
      </c>
      <c r="IT567">
        <v>0</v>
      </c>
      <c r="IY567" t="s">
        <v>1044</v>
      </c>
      <c r="IZ567" t="s">
        <v>1043</v>
      </c>
      <c r="JC567" t="s">
        <v>1043</v>
      </c>
      <c r="JE567">
        <v>0</v>
      </c>
      <c r="JF567">
        <v>0</v>
      </c>
      <c r="JI567" t="s">
        <v>1042</v>
      </c>
      <c r="JJ567">
        <v>0</v>
      </c>
      <c r="JK567">
        <v>0</v>
      </c>
      <c r="JL567">
        <v>0</v>
      </c>
      <c r="JM567">
        <v>0</v>
      </c>
      <c r="JQ567" t="s">
        <v>1043</v>
      </c>
      <c r="JT567">
        <v>0</v>
      </c>
      <c r="JU567" t="s">
        <v>1042</v>
      </c>
      <c r="JW567">
        <v>0</v>
      </c>
      <c r="KA567">
        <v>0</v>
      </c>
      <c r="KF567">
        <v>0</v>
      </c>
      <c r="KG567">
        <v>0</v>
      </c>
      <c r="KH567">
        <v>0</v>
      </c>
      <c r="KI567">
        <v>0</v>
      </c>
      <c r="KJ567" t="s">
        <v>1044</v>
      </c>
      <c r="KS567" t="s">
        <v>1073</v>
      </c>
      <c r="KT567">
        <v>0</v>
      </c>
      <c r="KU567">
        <v>0</v>
      </c>
      <c r="KV567">
        <v>0</v>
      </c>
      <c r="KX567">
        <v>0</v>
      </c>
      <c r="KZ567">
        <v>0</v>
      </c>
      <c r="LF567">
        <v>0</v>
      </c>
      <c r="LH567">
        <v>0</v>
      </c>
      <c r="LI567">
        <v>0</v>
      </c>
    </row>
    <row r="568" spans="1:321" x14ac:dyDescent="0.35">
      <c r="A568">
        <v>1</v>
      </c>
      <c r="B568">
        <v>13567</v>
      </c>
      <c r="C568" t="s">
        <v>1162</v>
      </c>
      <c r="D568" t="s">
        <v>1133</v>
      </c>
      <c r="E568" t="s">
        <v>85</v>
      </c>
      <c r="F568">
        <v>80</v>
      </c>
      <c r="G568">
        <v>9000</v>
      </c>
      <c r="H568">
        <v>0</v>
      </c>
      <c r="I568" t="s">
        <v>1161</v>
      </c>
      <c r="L568">
        <v>0</v>
      </c>
      <c r="M568">
        <v>0</v>
      </c>
      <c r="N568">
        <v>0</v>
      </c>
      <c r="R568">
        <v>0</v>
      </c>
      <c r="S568">
        <v>0</v>
      </c>
      <c r="W568" t="s">
        <v>1060</v>
      </c>
      <c r="X568">
        <v>0</v>
      </c>
      <c r="Z568">
        <v>1</v>
      </c>
      <c r="AA568">
        <v>0</v>
      </c>
      <c r="AB568">
        <v>0</v>
      </c>
      <c r="AC568">
        <v>2957.4</v>
      </c>
      <c r="AD568" s="20">
        <v>40906</v>
      </c>
      <c r="AE568">
        <v>2650</v>
      </c>
      <c r="AF568">
        <v>0</v>
      </c>
      <c r="AH568">
        <v>0</v>
      </c>
      <c r="AJ568">
        <v>0</v>
      </c>
      <c r="AL568">
        <v>1</v>
      </c>
      <c r="AM568">
        <v>0</v>
      </c>
      <c r="AN568">
        <v>46517</v>
      </c>
      <c r="AO568">
        <v>0</v>
      </c>
      <c r="AP568">
        <v>2720</v>
      </c>
      <c r="AT568">
        <v>0</v>
      </c>
      <c r="AU568" t="s">
        <v>1059</v>
      </c>
      <c r="AW568" t="s">
        <v>1053</v>
      </c>
      <c r="AX568">
        <v>0</v>
      </c>
      <c r="AY568" s="20">
        <v>40906</v>
      </c>
      <c r="BA568" s="20">
        <v>40882</v>
      </c>
      <c r="BB568" t="s">
        <v>1058</v>
      </c>
      <c r="BD568">
        <v>0</v>
      </c>
      <c r="BF568" t="s">
        <v>1043</v>
      </c>
      <c r="BG568" t="s">
        <v>1042</v>
      </c>
      <c r="BH568">
        <v>0</v>
      </c>
      <c r="BI568">
        <v>1</v>
      </c>
      <c r="BJ568">
        <v>0</v>
      </c>
      <c r="BK568">
        <v>0</v>
      </c>
      <c r="BM568" t="s">
        <v>1042</v>
      </c>
      <c r="BN568">
        <v>0</v>
      </c>
      <c r="BR568" t="s">
        <v>1043</v>
      </c>
      <c r="BS568" t="s">
        <v>1043</v>
      </c>
      <c r="BT568" t="s">
        <v>1043</v>
      </c>
      <c r="BW568">
        <v>70</v>
      </c>
      <c r="CA568">
        <v>0</v>
      </c>
      <c r="CB568" t="s">
        <v>1057</v>
      </c>
      <c r="CE568" t="s">
        <v>1043</v>
      </c>
      <c r="CH568" t="s">
        <v>1043</v>
      </c>
      <c r="CN568" t="s">
        <v>1074</v>
      </c>
      <c r="CO568" t="s">
        <v>1043</v>
      </c>
      <c r="CP568">
        <v>1</v>
      </c>
      <c r="CQ568">
        <v>0</v>
      </c>
      <c r="CS568">
        <v>0</v>
      </c>
      <c r="CT568">
        <v>0</v>
      </c>
      <c r="CU568">
        <v>0</v>
      </c>
      <c r="CV568" t="s">
        <v>1045</v>
      </c>
      <c r="CW568">
        <v>0</v>
      </c>
      <c r="CX568">
        <v>0</v>
      </c>
      <c r="CY568">
        <v>0</v>
      </c>
      <c r="CZ568">
        <v>0</v>
      </c>
      <c r="DB568">
        <v>0</v>
      </c>
      <c r="DC568" t="s">
        <v>1043</v>
      </c>
      <c r="DF568" t="s">
        <v>1055</v>
      </c>
      <c r="DH568">
        <v>0</v>
      </c>
      <c r="DJ568">
        <v>0</v>
      </c>
      <c r="DK568" t="s">
        <v>1053</v>
      </c>
      <c r="DL568">
        <v>0</v>
      </c>
      <c r="DN568">
        <v>0</v>
      </c>
      <c r="DO568" t="s">
        <v>1042</v>
      </c>
      <c r="DP568">
        <v>0</v>
      </c>
      <c r="DQ568">
        <v>0</v>
      </c>
      <c r="DS568">
        <v>0</v>
      </c>
      <c r="DU568">
        <v>0</v>
      </c>
      <c r="DW568">
        <v>0</v>
      </c>
      <c r="DX568" t="s">
        <v>1043</v>
      </c>
      <c r="DY568">
        <v>0</v>
      </c>
      <c r="DZ568">
        <v>0</v>
      </c>
      <c r="EA568">
        <v>0</v>
      </c>
      <c r="ED568" t="s">
        <v>1045</v>
      </c>
      <c r="EE568">
        <v>0</v>
      </c>
      <c r="EF568">
        <v>0</v>
      </c>
      <c r="EQ568" t="s">
        <v>1044</v>
      </c>
      <c r="ES568" t="s">
        <v>1053</v>
      </c>
      <c r="ET568">
        <v>0</v>
      </c>
      <c r="EV568">
        <v>0</v>
      </c>
      <c r="EY568" t="s">
        <v>1052</v>
      </c>
      <c r="EZ568">
        <v>0</v>
      </c>
      <c r="FA568" t="s">
        <v>1043</v>
      </c>
      <c r="FB568">
        <v>0</v>
      </c>
      <c r="FC568">
        <v>0</v>
      </c>
      <c r="FE568" t="s">
        <v>1050</v>
      </c>
      <c r="FF568">
        <v>0</v>
      </c>
      <c r="FG568" t="s">
        <v>1050</v>
      </c>
      <c r="FJ568">
        <v>0</v>
      </c>
      <c r="FK568">
        <v>0</v>
      </c>
      <c r="FP568">
        <v>0</v>
      </c>
      <c r="FR568">
        <v>0</v>
      </c>
      <c r="FX568" t="s">
        <v>1042</v>
      </c>
      <c r="FZ568" t="s">
        <v>1048</v>
      </c>
      <c r="GA568">
        <v>0</v>
      </c>
      <c r="GB568" t="s">
        <v>1042</v>
      </c>
      <c r="GE568">
        <v>0</v>
      </c>
      <c r="GG568">
        <v>0</v>
      </c>
      <c r="GN568">
        <v>0</v>
      </c>
      <c r="GO568" t="s">
        <v>1063</v>
      </c>
      <c r="GQ568">
        <v>0</v>
      </c>
      <c r="GU568">
        <v>0</v>
      </c>
      <c r="GY568" t="s">
        <v>1045</v>
      </c>
      <c r="HB568">
        <v>0</v>
      </c>
      <c r="HE568">
        <v>0</v>
      </c>
      <c r="HF568">
        <v>0</v>
      </c>
      <c r="HG568">
        <v>0</v>
      </c>
      <c r="HK568" t="s">
        <v>1042</v>
      </c>
      <c r="HM568" t="s">
        <v>1047</v>
      </c>
      <c r="HN568">
        <v>0</v>
      </c>
      <c r="HP568">
        <v>0</v>
      </c>
      <c r="HQ568">
        <v>0</v>
      </c>
      <c r="HR568" s="20">
        <v>44221</v>
      </c>
      <c r="HS568" t="s">
        <v>1043</v>
      </c>
      <c r="HT568">
        <v>0</v>
      </c>
      <c r="HU568">
        <v>0</v>
      </c>
      <c r="HW568">
        <v>0</v>
      </c>
      <c r="HX568">
        <v>0</v>
      </c>
      <c r="HY568">
        <v>0</v>
      </c>
      <c r="HZ568" t="s">
        <v>1045</v>
      </c>
      <c r="IA568">
        <v>0</v>
      </c>
      <c r="IB568" t="s">
        <v>1045</v>
      </c>
      <c r="ID568" t="s">
        <v>1045</v>
      </c>
      <c r="IF568">
        <v>0</v>
      </c>
      <c r="IG568" t="s">
        <v>1042</v>
      </c>
      <c r="II568" t="s">
        <v>1042</v>
      </c>
      <c r="IR568" t="s">
        <v>1045</v>
      </c>
      <c r="IT568">
        <v>0</v>
      </c>
      <c r="IY568" t="s">
        <v>1044</v>
      </c>
      <c r="IZ568" t="s">
        <v>1043</v>
      </c>
      <c r="JC568" t="s">
        <v>1043</v>
      </c>
      <c r="JE568">
        <v>0</v>
      </c>
      <c r="JF568">
        <v>0</v>
      </c>
      <c r="JI568" t="s">
        <v>1042</v>
      </c>
      <c r="JJ568">
        <v>0</v>
      </c>
      <c r="JK568">
        <v>0</v>
      </c>
      <c r="JL568">
        <v>0</v>
      </c>
      <c r="JM568">
        <v>0</v>
      </c>
      <c r="JQ568" t="s">
        <v>1043</v>
      </c>
      <c r="JT568">
        <v>0</v>
      </c>
      <c r="JU568" t="s">
        <v>1042</v>
      </c>
      <c r="JW568">
        <v>0</v>
      </c>
      <c r="KA568">
        <v>0</v>
      </c>
      <c r="KF568">
        <v>0</v>
      </c>
      <c r="KG568">
        <v>0</v>
      </c>
      <c r="KH568">
        <v>0</v>
      </c>
      <c r="KI568">
        <v>0</v>
      </c>
      <c r="KJ568" t="s">
        <v>1044</v>
      </c>
      <c r="KS568" t="s">
        <v>1073</v>
      </c>
      <c r="KT568">
        <v>0</v>
      </c>
      <c r="KU568">
        <v>0</v>
      </c>
      <c r="KV568">
        <v>0</v>
      </c>
      <c r="KX568">
        <v>0</v>
      </c>
      <c r="KZ568">
        <v>0</v>
      </c>
      <c r="LF568">
        <v>0</v>
      </c>
      <c r="LH568">
        <v>0</v>
      </c>
      <c r="LI568">
        <v>0</v>
      </c>
    </row>
    <row r="569" spans="1:321" x14ac:dyDescent="0.35">
      <c r="A569">
        <v>1</v>
      </c>
      <c r="B569">
        <v>1357</v>
      </c>
      <c r="C569" t="s">
        <v>718</v>
      </c>
      <c r="D569" t="s">
        <v>1061</v>
      </c>
      <c r="E569" t="s">
        <v>85</v>
      </c>
      <c r="F569">
        <v>1</v>
      </c>
      <c r="G569">
        <v>220</v>
      </c>
      <c r="H569">
        <v>0</v>
      </c>
      <c r="I569" t="s">
        <v>994</v>
      </c>
      <c r="L569">
        <v>0</v>
      </c>
      <c r="M569">
        <v>0</v>
      </c>
      <c r="N569">
        <v>0</v>
      </c>
      <c r="Q569">
        <v>516</v>
      </c>
      <c r="R569">
        <v>0</v>
      </c>
      <c r="S569">
        <v>0</v>
      </c>
      <c r="W569" t="s">
        <v>1060</v>
      </c>
      <c r="X569">
        <v>0</v>
      </c>
      <c r="Z569">
        <v>10</v>
      </c>
      <c r="AA569">
        <v>4.7240000000000002</v>
      </c>
      <c r="AB569">
        <v>6049</v>
      </c>
      <c r="AC569">
        <v>0.23760000000000001</v>
      </c>
      <c r="AD569" t="s">
        <v>1042</v>
      </c>
      <c r="AE569">
        <v>0</v>
      </c>
      <c r="AF569">
        <v>7.7999999999999996E-3</v>
      </c>
      <c r="AH569">
        <v>5738</v>
      </c>
      <c r="AJ569">
        <v>1</v>
      </c>
      <c r="AK569" t="s">
        <v>1154</v>
      </c>
      <c r="AL569">
        <v>0</v>
      </c>
      <c r="AM569">
        <v>0</v>
      </c>
      <c r="AN569">
        <v>11501001</v>
      </c>
      <c r="AO569">
        <v>0</v>
      </c>
      <c r="AP569">
        <v>1002</v>
      </c>
      <c r="AT569">
        <v>1</v>
      </c>
      <c r="AU569" t="s">
        <v>1059</v>
      </c>
      <c r="AV569" t="s">
        <v>1043</v>
      </c>
      <c r="AW569" t="s">
        <v>1053</v>
      </c>
      <c r="AX569">
        <v>0</v>
      </c>
      <c r="AY569" s="20">
        <v>43677</v>
      </c>
      <c r="BA569" s="20">
        <v>44643</v>
      </c>
      <c r="BB569" t="s">
        <v>1058</v>
      </c>
      <c r="BD569">
        <v>0</v>
      </c>
      <c r="BF569" t="s">
        <v>1044</v>
      </c>
      <c r="BG569" t="s">
        <v>1042</v>
      </c>
      <c r="BH569">
        <v>0</v>
      </c>
      <c r="BI569">
        <v>6</v>
      </c>
      <c r="BJ569">
        <v>0</v>
      </c>
      <c r="BK569">
        <v>0</v>
      </c>
      <c r="BM569" s="20">
        <v>44050</v>
      </c>
      <c r="BN569">
        <v>0</v>
      </c>
      <c r="BO569">
        <v>7897801319898</v>
      </c>
      <c r="BR569" t="s">
        <v>1043</v>
      </c>
      <c r="BS569" t="s">
        <v>1043</v>
      </c>
      <c r="BT569" t="s">
        <v>1043</v>
      </c>
      <c r="BV569">
        <v>1</v>
      </c>
      <c r="BW569">
        <v>31</v>
      </c>
      <c r="BY569">
        <v>82</v>
      </c>
      <c r="CA569">
        <v>0</v>
      </c>
      <c r="CB569" t="s">
        <v>1043</v>
      </c>
      <c r="CE569" t="s">
        <v>1043</v>
      </c>
      <c r="CH569" t="s">
        <v>1043</v>
      </c>
      <c r="CI569" t="s">
        <v>1153</v>
      </c>
      <c r="CK569" t="s">
        <v>1152</v>
      </c>
      <c r="CN569" t="s">
        <v>1056</v>
      </c>
      <c r="CP569">
        <v>1</v>
      </c>
      <c r="CQ569">
        <v>0</v>
      </c>
      <c r="CS569">
        <v>0</v>
      </c>
      <c r="CT569">
        <v>0</v>
      </c>
      <c r="CU569">
        <v>0</v>
      </c>
      <c r="CW569">
        <v>0</v>
      </c>
      <c r="CX569">
        <v>0</v>
      </c>
      <c r="CY569">
        <v>0</v>
      </c>
      <c r="CZ569">
        <v>0</v>
      </c>
      <c r="DA569">
        <v>3</v>
      </c>
      <c r="DB569">
        <v>0</v>
      </c>
      <c r="DH569">
        <v>0</v>
      </c>
      <c r="DJ569">
        <v>0</v>
      </c>
      <c r="DL569">
        <v>0</v>
      </c>
      <c r="DN569">
        <v>0</v>
      </c>
      <c r="DO569" t="s">
        <v>1042</v>
      </c>
      <c r="DP569">
        <v>0</v>
      </c>
      <c r="DQ569">
        <v>7.6</v>
      </c>
      <c r="DS569">
        <v>0</v>
      </c>
      <c r="DU569">
        <v>1.65</v>
      </c>
      <c r="DW569">
        <v>0</v>
      </c>
      <c r="DY569">
        <v>0</v>
      </c>
      <c r="DZ569">
        <v>0</v>
      </c>
      <c r="EA569">
        <v>0</v>
      </c>
      <c r="EB569">
        <v>17897801319895</v>
      </c>
      <c r="EE569">
        <v>0</v>
      </c>
      <c r="EF569">
        <v>0</v>
      </c>
      <c r="EG569" t="s">
        <v>1044</v>
      </c>
      <c r="EK569" t="s">
        <v>1054</v>
      </c>
      <c r="EL569">
        <v>57897801319893</v>
      </c>
      <c r="EN569" t="s">
        <v>1012</v>
      </c>
      <c r="ET569">
        <v>0</v>
      </c>
      <c r="EV569">
        <v>0</v>
      </c>
      <c r="EY569" t="s">
        <v>1052</v>
      </c>
      <c r="EZ569">
        <v>0</v>
      </c>
      <c r="FA569" t="s">
        <v>1043</v>
      </c>
      <c r="FB569">
        <v>0</v>
      </c>
      <c r="FC569">
        <v>0</v>
      </c>
      <c r="FD569" t="s">
        <v>1051</v>
      </c>
      <c r="FE569" t="s">
        <v>1050</v>
      </c>
      <c r="FF569">
        <v>2500</v>
      </c>
      <c r="FG569" t="s">
        <v>1050</v>
      </c>
      <c r="FH569">
        <v>27897801319892</v>
      </c>
      <c r="FJ569">
        <v>0</v>
      </c>
      <c r="FK569">
        <v>0</v>
      </c>
      <c r="FP569">
        <v>0</v>
      </c>
      <c r="FR569">
        <v>0</v>
      </c>
      <c r="FS569" t="s">
        <v>1044</v>
      </c>
      <c r="FX569" t="s">
        <v>1042</v>
      </c>
      <c r="GA569">
        <v>0</v>
      </c>
      <c r="GB569" t="s">
        <v>1042</v>
      </c>
      <c r="GD569">
        <v>16</v>
      </c>
      <c r="GE569">
        <v>0</v>
      </c>
      <c r="GG569">
        <v>0</v>
      </c>
      <c r="GN569">
        <v>0</v>
      </c>
      <c r="GO569" t="s">
        <v>1049</v>
      </c>
      <c r="GQ569">
        <v>0</v>
      </c>
      <c r="GU569">
        <v>0</v>
      </c>
      <c r="GY569" t="s">
        <v>1045</v>
      </c>
      <c r="HB569">
        <v>0</v>
      </c>
      <c r="HE569">
        <v>10</v>
      </c>
      <c r="HF569">
        <v>0</v>
      </c>
      <c r="HG569">
        <v>1.8000000000000001E-4</v>
      </c>
      <c r="HK569" t="s">
        <v>1042</v>
      </c>
      <c r="HL569" t="s">
        <v>1048</v>
      </c>
      <c r="HM569">
        <v>0</v>
      </c>
      <c r="HN569">
        <v>0</v>
      </c>
      <c r="HO569">
        <v>35</v>
      </c>
      <c r="HP569">
        <v>7.3000000000000001E-3</v>
      </c>
      <c r="HQ569">
        <v>0</v>
      </c>
      <c r="HR569" t="s">
        <v>1042</v>
      </c>
      <c r="HT569">
        <v>0</v>
      </c>
      <c r="HU569">
        <v>0</v>
      </c>
      <c r="HW569">
        <v>0</v>
      </c>
      <c r="HX569">
        <v>6784</v>
      </c>
      <c r="HY569">
        <v>0</v>
      </c>
      <c r="IA569">
        <v>0</v>
      </c>
      <c r="IC569" t="s">
        <v>1151</v>
      </c>
      <c r="IF569">
        <v>75000</v>
      </c>
      <c r="IG569" t="s">
        <v>1042</v>
      </c>
      <c r="IH569" t="s">
        <v>1046</v>
      </c>
      <c r="II569" t="s">
        <v>1042</v>
      </c>
      <c r="IR569" t="s">
        <v>1045</v>
      </c>
      <c r="IT569">
        <v>0</v>
      </c>
      <c r="JE569">
        <v>0</v>
      </c>
      <c r="JF569">
        <v>0</v>
      </c>
      <c r="JI569" t="s">
        <v>1042</v>
      </c>
      <c r="JJ569">
        <v>0</v>
      </c>
      <c r="JK569">
        <v>0</v>
      </c>
      <c r="JL569">
        <v>0</v>
      </c>
      <c r="JM569">
        <v>0</v>
      </c>
      <c r="JT569">
        <v>0</v>
      </c>
      <c r="JU569" t="s">
        <v>1042</v>
      </c>
      <c r="JW569">
        <v>0</v>
      </c>
      <c r="KA569">
        <v>0</v>
      </c>
      <c r="KF569">
        <v>0</v>
      </c>
      <c r="KG569">
        <v>0</v>
      </c>
      <c r="KH569">
        <v>0</v>
      </c>
      <c r="KI569">
        <v>0</v>
      </c>
      <c r="KS569" t="s">
        <v>1041</v>
      </c>
      <c r="KT569">
        <v>0</v>
      </c>
      <c r="KU569">
        <v>0</v>
      </c>
      <c r="KV569">
        <v>0</v>
      </c>
      <c r="KX569">
        <v>0</v>
      </c>
      <c r="KZ569">
        <v>0</v>
      </c>
      <c r="LF569">
        <v>0</v>
      </c>
      <c r="LH569">
        <v>0</v>
      </c>
      <c r="LI569">
        <v>0</v>
      </c>
    </row>
    <row r="570" spans="1:321" x14ac:dyDescent="0.35">
      <c r="A570">
        <v>1</v>
      </c>
      <c r="B570">
        <v>1358</v>
      </c>
      <c r="C570" t="s">
        <v>719</v>
      </c>
      <c r="D570" t="s">
        <v>1061</v>
      </c>
      <c r="E570" t="s">
        <v>85</v>
      </c>
      <c r="F570">
        <v>1</v>
      </c>
      <c r="G570">
        <v>220</v>
      </c>
      <c r="H570">
        <v>0</v>
      </c>
      <c r="I570" t="s">
        <v>994</v>
      </c>
      <c r="L570">
        <v>0</v>
      </c>
      <c r="M570">
        <v>0</v>
      </c>
      <c r="N570">
        <v>0</v>
      </c>
      <c r="Q570">
        <v>516</v>
      </c>
      <c r="R570">
        <v>0</v>
      </c>
      <c r="S570">
        <v>0</v>
      </c>
      <c r="W570" t="s">
        <v>1060</v>
      </c>
      <c r="X570">
        <v>0</v>
      </c>
      <c r="Z570">
        <v>10</v>
      </c>
      <c r="AA570">
        <v>6.92</v>
      </c>
      <c r="AB570">
        <v>48452</v>
      </c>
      <c r="AC570">
        <v>0.40500000000000003</v>
      </c>
      <c r="AD570" s="20">
        <v>44693</v>
      </c>
      <c r="AE570">
        <v>0.46</v>
      </c>
      <c r="AF570">
        <v>1.37E-2</v>
      </c>
      <c r="AH570">
        <v>44436</v>
      </c>
      <c r="AJ570">
        <v>1</v>
      </c>
      <c r="AK570" t="s">
        <v>1154</v>
      </c>
      <c r="AL570">
        <v>0</v>
      </c>
      <c r="AM570">
        <v>0</v>
      </c>
      <c r="AN570">
        <v>11501001</v>
      </c>
      <c r="AO570">
        <v>0</v>
      </c>
      <c r="AP570">
        <v>1002</v>
      </c>
      <c r="AT570">
        <v>1</v>
      </c>
      <c r="AU570" t="s">
        <v>1059</v>
      </c>
      <c r="AV570" t="s">
        <v>1043</v>
      </c>
      <c r="AW570" t="s">
        <v>1053</v>
      </c>
      <c r="AX570">
        <v>0</v>
      </c>
      <c r="AY570" s="20">
        <v>43677</v>
      </c>
      <c r="BA570" s="20">
        <v>44643</v>
      </c>
      <c r="BB570" t="s">
        <v>1058</v>
      </c>
      <c r="BD570">
        <v>0</v>
      </c>
      <c r="BF570" t="s">
        <v>1044</v>
      </c>
      <c r="BG570" t="s">
        <v>1042</v>
      </c>
      <c r="BH570">
        <v>0</v>
      </c>
      <c r="BI570">
        <v>6</v>
      </c>
      <c r="BJ570">
        <v>0</v>
      </c>
      <c r="BK570">
        <v>0</v>
      </c>
      <c r="BM570" s="20">
        <v>44050</v>
      </c>
      <c r="BN570">
        <v>0</v>
      </c>
      <c r="BO570">
        <v>7897801319904</v>
      </c>
      <c r="BR570" t="s">
        <v>1043</v>
      </c>
      <c r="BS570" t="s">
        <v>1043</v>
      </c>
      <c r="BT570" t="s">
        <v>1043</v>
      </c>
      <c r="BV570">
        <v>1</v>
      </c>
      <c r="BW570">
        <v>31</v>
      </c>
      <c r="BY570">
        <v>82</v>
      </c>
      <c r="CA570">
        <v>0</v>
      </c>
      <c r="CB570" t="s">
        <v>1043</v>
      </c>
      <c r="CE570" t="s">
        <v>1043</v>
      </c>
      <c r="CH570" t="s">
        <v>1043</v>
      </c>
      <c r="CI570" t="s">
        <v>1153</v>
      </c>
      <c r="CK570" t="s">
        <v>1152</v>
      </c>
      <c r="CN570" t="s">
        <v>1056</v>
      </c>
      <c r="CP570">
        <v>1</v>
      </c>
      <c r="CQ570">
        <v>0</v>
      </c>
      <c r="CS570">
        <v>0</v>
      </c>
      <c r="CT570">
        <v>0</v>
      </c>
      <c r="CU570">
        <v>0</v>
      </c>
      <c r="CW570">
        <v>0</v>
      </c>
      <c r="CX570">
        <v>0</v>
      </c>
      <c r="CY570">
        <v>0</v>
      </c>
      <c r="CZ570">
        <v>0</v>
      </c>
      <c r="DA570">
        <v>3</v>
      </c>
      <c r="DB570">
        <v>0</v>
      </c>
      <c r="DH570">
        <v>0</v>
      </c>
      <c r="DJ570">
        <v>0</v>
      </c>
      <c r="DL570">
        <v>0</v>
      </c>
      <c r="DN570">
        <v>0</v>
      </c>
      <c r="DO570" t="s">
        <v>1042</v>
      </c>
      <c r="DP570">
        <v>0</v>
      </c>
      <c r="DQ570">
        <v>7.6</v>
      </c>
      <c r="DS570">
        <v>0</v>
      </c>
      <c r="DU570">
        <v>1.65</v>
      </c>
      <c r="DW570">
        <v>0</v>
      </c>
      <c r="DY570">
        <v>0</v>
      </c>
      <c r="DZ570">
        <v>0</v>
      </c>
      <c r="EA570">
        <v>0</v>
      </c>
      <c r="EB570">
        <v>17897801319901</v>
      </c>
      <c r="EE570">
        <v>0</v>
      </c>
      <c r="EF570">
        <v>0</v>
      </c>
      <c r="EG570" t="s">
        <v>1044</v>
      </c>
      <c r="EK570" t="s">
        <v>1054</v>
      </c>
      <c r="EL570">
        <v>57897801319909</v>
      </c>
      <c r="EN570" t="s">
        <v>1012</v>
      </c>
      <c r="ET570">
        <v>0</v>
      </c>
      <c r="EV570">
        <v>0</v>
      </c>
      <c r="EY570" t="s">
        <v>1052</v>
      </c>
      <c r="EZ570">
        <v>0</v>
      </c>
      <c r="FA570" t="s">
        <v>1043</v>
      </c>
      <c r="FB570">
        <v>0</v>
      </c>
      <c r="FC570">
        <v>0</v>
      </c>
      <c r="FD570" t="s">
        <v>1051</v>
      </c>
      <c r="FE570" t="s">
        <v>1050</v>
      </c>
      <c r="FF570">
        <v>1000</v>
      </c>
      <c r="FG570" t="s">
        <v>1050</v>
      </c>
      <c r="FH570">
        <v>27897801319908</v>
      </c>
      <c r="FJ570">
        <v>0</v>
      </c>
      <c r="FK570">
        <v>0</v>
      </c>
      <c r="FP570">
        <v>0</v>
      </c>
      <c r="FR570">
        <v>0</v>
      </c>
      <c r="FS570" t="s">
        <v>1044</v>
      </c>
      <c r="FX570" t="s">
        <v>1042</v>
      </c>
      <c r="GA570">
        <v>0</v>
      </c>
      <c r="GB570" t="s">
        <v>1042</v>
      </c>
      <c r="GD570">
        <v>16</v>
      </c>
      <c r="GE570">
        <v>0</v>
      </c>
      <c r="GG570">
        <v>0</v>
      </c>
      <c r="GN570">
        <v>0</v>
      </c>
      <c r="GO570" t="s">
        <v>1049</v>
      </c>
      <c r="GQ570">
        <v>0</v>
      </c>
      <c r="GU570">
        <v>0</v>
      </c>
      <c r="GY570" t="s">
        <v>1045</v>
      </c>
      <c r="HB570">
        <v>0</v>
      </c>
      <c r="HE570">
        <v>10</v>
      </c>
      <c r="HF570">
        <v>0</v>
      </c>
      <c r="HG570">
        <v>4.0000000000000002E-4</v>
      </c>
      <c r="HK570" t="s">
        <v>1042</v>
      </c>
      <c r="HL570" t="s">
        <v>1048</v>
      </c>
      <c r="HM570">
        <v>0</v>
      </c>
      <c r="HN570">
        <v>0</v>
      </c>
      <c r="HO570">
        <v>35</v>
      </c>
      <c r="HP570">
        <v>1.3100000000000001E-2</v>
      </c>
      <c r="HQ570">
        <v>0</v>
      </c>
      <c r="HR570" t="s">
        <v>1042</v>
      </c>
      <c r="HT570">
        <v>0</v>
      </c>
      <c r="HU570">
        <v>0</v>
      </c>
      <c r="HW570">
        <v>0</v>
      </c>
      <c r="HX570">
        <v>92888</v>
      </c>
      <c r="HY570">
        <v>1</v>
      </c>
      <c r="IA570">
        <v>0.46</v>
      </c>
      <c r="IC570" t="s">
        <v>1151</v>
      </c>
      <c r="IF570">
        <v>30000</v>
      </c>
      <c r="IG570" t="s">
        <v>1042</v>
      </c>
      <c r="IH570" t="s">
        <v>1046</v>
      </c>
      <c r="II570" t="s">
        <v>1042</v>
      </c>
      <c r="IR570" t="s">
        <v>1045</v>
      </c>
      <c r="IT570">
        <v>0</v>
      </c>
      <c r="JE570">
        <v>0</v>
      </c>
      <c r="JF570">
        <v>0</v>
      </c>
      <c r="JI570" t="s">
        <v>1042</v>
      </c>
      <c r="JJ570">
        <v>0</v>
      </c>
      <c r="JK570">
        <v>0</v>
      </c>
      <c r="JL570">
        <v>0</v>
      </c>
      <c r="JM570">
        <v>0</v>
      </c>
      <c r="JT570">
        <v>0</v>
      </c>
      <c r="JU570" t="s">
        <v>1042</v>
      </c>
      <c r="JW570">
        <v>0</v>
      </c>
      <c r="KA570">
        <v>0</v>
      </c>
      <c r="KF570">
        <v>0</v>
      </c>
      <c r="KG570">
        <v>0</v>
      </c>
      <c r="KH570">
        <v>0</v>
      </c>
      <c r="KI570">
        <v>0</v>
      </c>
      <c r="KS570" t="s">
        <v>1041</v>
      </c>
      <c r="KT570">
        <v>0</v>
      </c>
      <c r="KU570">
        <v>0</v>
      </c>
      <c r="KV570">
        <v>0</v>
      </c>
      <c r="KX570">
        <v>0</v>
      </c>
      <c r="KZ570">
        <v>0</v>
      </c>
      <c r="LF570">
        <v>0</v>
      </c>
      <c r="LH570">
        <v>0</v>
      </c>
      <c r="LI570">
        <v>0</v>
      </c>
    </row>
    <row r="571" spans="1:321" x14ac:dyDescent="0.35">
      <c r="A571">
        <v>1</v>
      </c>
      <c r="B571">
        <v>1359</v>
      </c>
      <c r="C571" t="s">
        <v>720</v>
      </c>
      <c r="D571" t="s">
        <v>1061</v>
      </c>
      <c r="E571" t="s">
        <v>85</v>
      </c>
      <c r="F571">
        <v>1</v>
      </c>
      <c r="G571">
        <v>220</v>
      </c>
      <c r="H571">
        <v>0</v>
      </c>
      <c r="I571" t="s">
        <v>994</v>
      </c>
      <c r="L571">
        <v>0</v>
      </c>
      <c r="M571">
        <v>0</v>
      </c>
      <c r="N571">
        <v>0</v>
      </c>
      <c r="Q571">
        <v>516</v>
      </c>
      <c r="R571">
        <v>0</v>
      </c>
      <c r="S571">
        <v>0</v>
      </c>
      <c r="W571" t="s">
        <v>1060</v>
      </c>
      <c r="X571">
        <v>0</v>
      </c>
      <c r="Z571">
        <v>10</v>
      </c>
      <c r="AA571">
        <v>14.11</v>
      </c>
      <c r="AB571">
        <v>1853</v>
      </c>
      <c r="AC571">
        <v>0.49490000000000001</v>
      </c>
      <c r="AD571" t="s">
        <v>1042</v>
      </c>
      <c r="AE571">
        <v>0</v>
      </c>
      <c r="AF571">
        <v>2.3300000000000001E-2</v>
      </c>
      <c r="AH571">
        <v>1237</v>
      </c>
      <c r="AJ571">
        <v>1</v>
      </c>
      <c r="AK571" t="s">
        <v>1154</v>
      </c>
      <c r="AL571">
        <v>0</v>
      </c>
      <c r="AM571">
        <v>0</v>
      </c>
      <c r="AN571">
        <v>11501001</v>
      </c>
      <c r="AO571">
        <v>0</v>
      </c>
      <c r="AP571">
        <v>1002</v>
      </c>
      <c r="AT571">
        <v>1</v>
      </c>
      <c r="AU571" t="s">
        <v>1059</v>
      </c>
      <c r="AV571" t="s">
        <v>1043</v>
      </c>
      <c r="AW571" t="s">
        <v>1053</v>
      </c>
      <c r="AX571">
        <v>0</v>
      </c>
      <c r="AY571" s="20">
        <v>43677</v>
      </c>
      <c r="BA571" s="20">
        <v>44643</v>
      </c>
      <c r="BB571" t="s">
        <v>1058</v>
      </c>
      <c r="BD571">
        <v>0</v>
      </c>
      <c r="BF571" t="s">
        <v>1044</v>
      </c>
      <c r="BG571" t="s">
        <v>1042</v>
      </c>
      <c r="BH571">
        <v>0</v>
      </c>
      <c r="BI571">
        <v>6</v>
      </c>
      <c r="BJ571">
        <v>0</v>
      </c>
      <c r="BK571">
        <v>0</v>
      </c>
      <c r="BM571" s="20">
        <v>44050</v>
      </c>
      <c r="BN571">
        <v>0</v>
      </c>
      <c r="BO571">
        <v>7897801319911</v>
      </c>
      <c r="BR571" t="s">
        <v>1043</v>
      </c>
      <c r="BS571" t="s">
        <v>1043</v>
      </c>
      <c r="BT571" t="s">
        <v>1043</v>
      </c>
      <c r="BV571">
        <v>1</v>
      </c>
      <c r="BW571">
        <v>31</v>
      </c>
      <c r="BY571">
        <v>82</v>
      </c>
      <c r="CA571">
        <v>0</v>
      </c>
      <c r="CB571" t="s">
        <v>1043</v>
      </c>
      <c r="CE571" t="s">
        <v>1043</v>
      </c>
      <c r="CH571" t="s">
        <v>1043</v>
      </c>
      <c r="CI571" t="s">
        <v>1153</v>
      </c>
      <c r="CK571" t="s">
        <v>1152</v>
      </c>
      <c r="CN571" t="s">
        <v>1056</v>
      </c>
      <c r="CP571">
        <v>1</v>
      </c>
      <c r="CQ571">
        <v>0</v>
      </c>
      <c r="CS571">
        <v>0</v>
      </c>
      <c r="CT571">
        <v>0</v>
      </c>
      <c r="CU571">
        <v>0</v>
      </c>
      <c r="CW571">
        <v>0</v>
      </c>
      <c r="CX571">
        <v>0</v>
      </c>
      <c r="CY571">
        <v>0</v>
      </c>
      <c r="CZ571">
        <v>0</v>
      </c>
      <c r="DA571">
        <v>3</v>
      </c>
      <c r="DB571">
        <v>0</v>
      </c>
      <c r="DH571">
        <v>0</v>
      </c>
      <c r="DJ571">
        <v>0</v>
      </c>
      <c r="DL571">
        <v>0</v>
      </c>
      <c r="DN571">
        <v>0</v>
      </c>
      <c r="DO571" t="s">
        <v>1042</v>
      </c>
      <c r="DP571">
        <v>0</v>
      </c>
      <c r="DQ571">
        <v>7.6</v>
      </c>
      <c r="DS571">
        <v>0</v>
      </c>
      <c r="DU571">
        <v>1.65</v>
      </c>
      <c r="DW571">
        <v>0</v>
      </c>
      <c r="DY571">
        <v>0</v>
      </c>
      <c r="DZ571">
        <v>0</v>
      </c>
      <c r="EA571">
        <v>0</v>
      </c>
      <c r="EB571">
        <v>17897801319918</v>
      </c>
      <c r="EE571">
        <v>0</v>
      </c>
      <c r="EF571">
        <v>0</v>
      </c>
      <c r="EG571" t="s">
        <v>1044</v>
      </c>
      <c r="EK571" t="s">
        <v>1054</v>
      </c>
      <c r="EL571">
        <v>57897801319916</v>
      </c>
      <c r="EN571" t="s">
        <v>1012</v>
      </c>
      <c r="ET571">
        <v>0</v>
      </c>
      <c r="EV571">
        <v>0</v>
      </c>
      <c r="EY571" t="s">
        <v>1052</v>
      </c>
      <c r="EZ571">
        <v>0</v>
      </c>
      <c r="FA571" t="s">
        <v>1043</v>
      </c>
      <c r="FB571">
        <v>0</v>
      </c>
      <c r="FC571">
        <v>0</v>
      </c>
      <c r="FD571" t="s">
        <v>1051</v>
      </c>
      <c r="FE571" t="s">
        <v>1050</v>
      </c>
      <c r="FF571">
        <v>600</v>
      </c>
      <c r="FG571" t="s">
        <v>1050</v>
      </c>
      <c r="FH571">
        <v>27897801319915</v>
      </c>
      <c r="FJ571">
        <v>0</v>
      </c>
      <c r="FK571">
        <v>0</v>
      </c>
      <c r="FP571">
        <v>0</v>
      </c>
      <c r="FR571">
        <v>0</v>
      </c>
      <c r="FS571" t="s">
        <v>1044</v>
      </c>
      <c r="FX571" t="s">
        <v>1042</v>
      </c>
      <c r="GA571">
        <v>0</v>
      </c>
      <c r="GB571" t="s">
        <v>1042</v>
      </c>
      <c r="GD571">
        <v>16</v>
      </c>
      <c r="GE571">
        <v>0</v>
      </c>
      <c r="GG571">
        <v>0</v>
      </c>
      <c r="GN571">
        <v>0</v>
      </c>
      <c r="GO571" t="s">
        <v>1049</v>
      </c>
      <c r="GQ571">
        <v>0</v>
      </c>
      <c r="GU571">
        <v>0</v>
      </c>
      <c r="GY571" t="s">
        <v>1045</v>
      </c>
      <c r="HB571">
        <v>0</v>
      </c>
      <c r="HE571">
        <v>10</v>
      </c>
      <c r="HF571">
        <v>0</v>
      </c>
      <c r="HG571">
        <v>9.7000000000000005E-4</v>
      </c>
      <c r="HK571" t="s">
        <v>1042</v>
      </c>
      <c r="HL571" t="s">
        <v>1048</v>
      </c>
      <c r="HM571">
        <v>0</v>
      </c>
      <c r="HN571">
        <v>0</v>
      </c>
      <c r="HO571">
        <v>35</v>
      </c>
      <c r="HP571">
        <v>2.2599999999999999E-2</v>
      </c>
      <c r="HQ571">
        <v>0</v>
      </c>
      <c r="HR571" t="s">
        <v>1042</v>
      </c>
      <c r="HT571">
        <v>0</v>
      </c>
      <c r="HU571">
        <v>0</v>
      </c>
      <c r="HW571">
        <v>0</v>
      </c>
      <c r="HX571">
        <v>3090</v>
      </c>
      <c r="HY571">
        <v>0</v>
      </c>
      <c r="IA571">
        <v>0</v>
      </c>
      <c r="IC571" t="s">
        <v>1151</v>
      </c>
      <c r="IF571">
        <v>18000</v>
      </c>
      <c r="IG571" t="s">
        <v>1042</v>
      </c>
      <c r="IH571" t="s">
        <v>1046</v>
      </c>
      <c r="II571" t="s">
        <v>1042</v>
      </c>
      <c r="IR571" t="s">
        <v>1045</v>
      </c>
      <c r="IT571">
        <v>0</v>
      </c>
      <c r="JE571">
        <v>0</v>
      </c>
      <c r="JF571">
        <v>0</v>
      </c>
      <c r="JI571" t="s">
        <v>1042</v>
      </c>
      <c r="JJ571">
        <v>0</v>
      </c>
      <c r="JK571">
        <v>0</v>
      </c>
      <c r="JL571">
        <v>0</v>
      </c>
      <c r="JM571">
        <v>0</v>
      </c>
      <c r="JT571">
        <v>0</v>
      </c>
      <c r="JU571" t="s">
        <v>1042</v>
      </c>
      <c r="JW571">
        <v>0</v>
      </c>
      <c r="KA571">
        <v>0</v>
      </c>
      <c r="KF571">
        <v>0</v>
      </c>
      <c r="KG571">
        <v>0</v>
      </c>
      <c r="KH571">
        <v>0</v>
      </c>
      <c r="KI571">
        <v>0</v>
      </c>
      <c r="KS571" t="s">
        <v>1041</v>
      </c>
      <c r="KT571">
        <v>0</v>
      </c>
      <c r="KU571">
        <v>0</v>
      </c>
      <c r="KV571">
        <v>0</v>
      </c>
      <c r="KX571">
        <v>0</v>
      </c>
      <c r="KZ571">
        <v>0</v>
      </c>
      <c r="LF571">
        <v>0</v>
      </c>
      <c r="LH571">
        <v>0</v>
      </c>
      <c r="LI571">
        <v>0</v>
      </c>
    </row>
    <row r="572" spans="1:321" x14ac:dyDescent="0.35">
      <c r="A572">
        <v>1</v>
      </c>
      <c r="B572">
        <v>1360</v>
      </c>
      <c r="C572" t="s">
        <v>721</v>
      </c>
      <c r="D572" t="s">
        <v>1089</v>
      </c>
      <c r="E572" t="s">
        <v>85</v>
      </c>
      <c r="F572">
        <v>1</v>
      </c>
      <c r="G572">
        <v>220</v>
      </c>
      <c r="H572">
        <v>0</v>
      </c>
      <c r="I572" t="s">
        <v>994</v>
      </c>
      <c r="L572">
        <v>0</v>
      </c>
      <c r="M572">
        <v>0</v>
      </c>
      <c r="N572">
        <v>0</v>
      </c>
      <c r="P572">
        <v>8</v>
      </c>
      <c r="Q572">
        <v>901</v>
      </c>
      <c r="R572">
        <v>0</v>
      </c>
      <c r="S572">
        <v>0</v>
      </c>
      <c r="W572" t="s">
        <v>1060</v>
      </c>
      <c r="X572">
        <v>0</v>
      </c>
      <c r="Z572">
        <v>10</v>
      </c>
      <c r="AA572">
        <v>3.218</v>
      </c>
      <c r="AB572">
        <v>0</v>
      </c>
      <c r="AC572">
        <v>0.29039999999999999</v>
      </c>
      <c r="AD572" s="20">
        <v>44637</v>
      </c>
      <c r="AE572">
        <v>0.36870399999999998</v>
      </c>
      <c r="AF572">
        <v>1.03E-2</v>
      </c>
      <c r="AH572">
        <v>0</v>
      </c>
      <c r="AJ572">
        <v>1</v>
      </c>
      <c r="AK572" t="s">
        <v>1154</v>
      </c>
      <c r="AL572">
        <v>0</v>
      </c>
      <c r="AM572">
        <v>0</v>
      </c>
      <c r="AN572">
        <v>11501008</v>
      </c>
      <c r="AO572">
        <v>0</v>
      </c>
      <c r="AP572">
        <v>1050</v>
      </c>
      <c r="AT572">
        <v>1</v>
      </c>
      <c r="AU572" t="s">
        <v>1059</v>
      </c>
      <c r="AV572" t="s">
        <v>1043</v>
      </c>
      <c r="AW572" t="s">
        <v>1053</v>
      </c>
      <c r="AX572">
        <v>1</v>
      </c>
      <c r="AY572" s="20">
        <v>44082</v>
      </c>
      <c r="BA572" s="20">
        <v>43677</v>
      </c>
      <c r="BB572" t="s">
        <v>1058</v>
      </c>
      <c r="BD572">
        <v>0</v>
      </c>
      <c r="BF572" t="s">
        <v>1044</v>
      </c>
      <c r="BG572" t="s">
        <v>1042</v>
      </c>
      <c r="BH572">
        <v>0</v>
      </c>
      <c r="BI572">
        <v>34</v>
      </c>
      <c r="BJ572">
        <v>0</v>
      </c>
      <c r="BK572">
        <v>0</v>
      </c>
      <c r="BM572" s="20">
        <v>44169</v>
      </c>
      <c r="BN572">
        <v>0</v>
      </c>
      <c r="BO572">
        <v>7897801319928</v>
      </c>
      <c r="BR572" t="s">
        <v>1043</v>
      </c>
      <c r="BS572" t="s">
        <v>1043</v>
      </c>
      <c r="BT572" t="s">
        <v>1043</v>
      </c>
      <c r="BV572">
        <v>1</v>
      </c>
      <c r="BW572">
        <v>31</v>
      </c>
      <c r="BY572">
        <v>82</v>
      </c>
      <c r="CA572">
        <v>0</v>
      </c>
      <c r="CB572" t="s">
        <v>1043</v>
      </c>
      <c r="CE572" t="s">
        <v>1043</v>
      </c>
      <c r="CH572" t="s">
        <v>1043</v>
      </c>
      <c r="CI572" t="s">
        <v>1153</v>
      </c>
      <c r="CK572" t="s">
        <v>1152</v>
      </c>
      <c r="CN572" t="s">
        <v>1056</v>
      </c>
      <c r="CP572">
        <v>1</v>
      </c>
      <c r="CQ572">
        <v>0</v>
      </c>
      <c r="CS572">
        <v>0</v>
      </c>
      <c r="CT572">
        <v>0</v>
      </c>
      <c r="CU572">
        <v>0</v>
      </c>
      <c r="CW572">
        <v>0</v>
      </c>
      <c r="CX572">
        <v>0</v>
      </c>
      <c r="CY572">
        <v>0</v>
      </c>
      <c r="CZ572">
        <v>0</v>
      </c>
      <c r="DB572">
        <v>0</v>
      </c>
      <c r="DH572">
        <v>0</v>
      </c>
      <c r="DJ572">
        <v>0</v>
      </c>
      <c r="DL572">
        <v>0</v>
      </c>
      <c r="DN572">
        <v>0</v>
      </c>
      <c r="DO572" t="s">
        <v>1042</v>
      </c>
      <c r="DP572">
        <v>0</v>
      </c>
      <c r="DQ572">
        <v>7.6</v>
      </c>
      <c r="DS572">
        <v>0</v>
      </c>
      <c r="DU572">
        <v>1.65</v>
      </c>
      <c r="DW572">
        <v>0</v>
      </c>
      <c r="DY572">
        <v>0</v>
      </c>
      <c r="DZ572">
        <v>0</v>
      </c>
      <c r="EA572">
        <v>0</v>
      </c>
      <c r="EB572">
        <v>17897801319925</v>
      </c>
      <c r="EE572">
        <v>0</v>
      </c>
      <c r="EF572">
        <v>0</v>
      </c>
      <c r="EG572" t="s">
        <v>1044</v>
      </c>
      <c r="EK572" t="s">
        <v>1054</v>
      </c>
      <c r="EL572">
        <v>57897801319923</v>
      </c>
      <c r="EN572" t="s">
        <v>1012</v>
      </c>
      <c r="ET572">
        <v>0</v>
      </c>
      <c r="EV572">
        <v>0</v>
      </c>
      <c r="EY572" t="s">
        <v>1052</v>
      </c>
      <c r="EZ572">
        <v>0</v>
      </c>
      <c r="FA572" t="s">
        <v>1043</v>
      </c>
      <c r="FB572">
        <v>0</v>
      </c>
      <c r="FC572">
        <v>0</v>
      </c>
      <c r="FD572" t="s">
        <v>1051</v>
      </c>
      <c r="FE572" t="s">
        <v>1050</v>
      </c>
      <c r="FF572">
        <v>2000</v>
      </c>
      <c r="FG572" t="s">
        <v>1050</v>
      </c>
      <c r="FH572">
        <v>27897801319922</v>
      </c>
      <c r="FJ572">
        <v>0</v>
      </c>
      <c r="FK572">
        <v>0</v>
      </c>
      <c r="FP572">
        <v>0</v>
      </c>
      <c r="FR572">
        <v>0</v>
      </c>
      <c r="FS572" t="s">
        <v>1043</v>
      </c>
      <c r="FX572" t="s">
        <v>1042</v>
      </c>
      <c r="GA572">
        <v>0</v>
      </c>
      <c r="GB572" t="s">
        <v>1042</v>
      </c>
      <c r="GD572">
        <v>16</v>
      </c>
      <c r="GE572">
        <v>0</v>
      </c>
      <c r="GG572">
        <v>0</v>
      </c>
      <c r="GN572">
        <v>0</v>
      </c>
      <c r="GO572" t="s">
        <v>1063</v>
      </c>
      <c r="GQ572">
        <v>0</v>
      </c>
      <c r="GU572">
        <v>0</v>
      </c>
      <c r="GY572" t="s">
        <v>1045</v>
      </c>
      <c r="HB572">
        <v>0</v>
      </c>
      <c r="HE572">
        <v>10</v>
      </c>
      <c r="HF572">
        <v>0</v>
      </c>
      <c r="HG572">
        <v>2.8500000000000001E-3</v>
      </c>
      <c r="HK572" t="s">
        <v>1042</v>
      </c>
      <c r="HL572" t="s">
        <v>1048</v>
      </c>
      <c r="HM572">
        <v>0</v>
      </c>
      <c r="HN572">
        <v>0</v>
      </c>
      <c r="HO572">
        <v>35</v>
      </c>
      <c r="HP572">
        <v>0</v>
      </c>
      <c r="HQ572">
        <v>0</v>
      </c>
      <c r="HR572" s="20">
        <v>44221</v>
      </c>
      <c r="HT572">
        <v>0</v>
      </c>
      <c r="HU572">
        <v>0</v>
      </c>
      <c r="HW572">
        <v>0</v>
      </c>
      <c r="HX572">
        <v>0</v>
      </c>
      <c r="HY572">
        <v>1</v>
      </c>
      <c r="IA572">
        <v>0.37</v>
      </c>
      <c r="IC572" t="s">
        <v>1151</v>
      </c>
      <c r="IF572">
        <v>30000</v>
      </c>
      <c r="IG572" t="s">
        <v>1042</v>
      </c>
      <c r="IH572" t="s">
        <v>1046</v>
      </c>
      <c r="II572" t="s">
        <v>1042</v>
      </c>
      <c r="IR572" t="s">
        <v>1045</v>
      </c>
      <c r="IT572">
        <v>0</v>
      </c>
      <c r="JE572">
        <v>0</v>
      </c>
      <c r="JF572">
        <v>0</v>
      </c>
      <c r="JI572" t="s">
        <v>1042</v>
      </c>
      <c r="JJ572">
        <v>0</v>
      </c>
      <c r="JK572">
        <v>0</v>
      </c>
      <c r="JL572">
        <v>0</v>
      </c>
      <c r="JM572">
        <v>0</v>
      </c>
      <c r="JT572">
        <v>0</v>
      </c>
      <c r="JU572" t="s">
        <v>1042</v>
      </c>
      <c r="JW572">
        <v>0</v>
      </c>
      <c r="KA572">
        <v>0</v>
      </c>
      <c r="KF572">
        <v>0</v>
      </c>
      <c r="KG572">
        <v>0</v>
      </c>
      <c r="KH572">
        <v>0</v>
      </c>
      <c r="KI572">
        <v>0</v>
      </c>
      <c r="KS572" t="s">
        <v>1041</v>
      </c>
      <c r="KT572">
        <v>0</v>
      </c>
      <c r="KU572">
        <v>0</v>
      </c>
      <c r="KV572">
        <v>0</v>
      </c>
      <c r="KX572">
        <v>0</v>
      </c>
      <c r="KZ572">
        <v>0</v>
      </c>
      <c r="LF572">
        <v>0</v>
      </c>
      <c r="LH572">
        <v>0</v>
      </c>
      <c r="LI572">
        <v>0</v>
      </c>
    </row>
    <row r="573" spans="1:321" x14ac:dyDescent="0.35">
      <c r="A573">
        <v>1</v>
      </c>
      <c r="B573">
        <v>1361</v>
      </c>
      <c r="C573" t="s">
        <v>722</v>
      </c>
      <c r="D573" t="s">
        <v>1089</v>
      </c>
      <c r="E573" t="s">
        <v>85</v>
      </c>
      <c r="F573">
        <v>1</v>
      </c>
      <c r="G573">
        <v>220</v>
      </c>
      <c r="H573">
        <v>0</v>
      </c>
      <c r="I573" t="s">
        <v>994</v>
      </c>
      <c r="L573">
        <v>0</v>
      </c>
      <c r="M573">
        <v>0</v>
      </c>
      <c r="N573">
        <v>0</v>
      </c>
      <c r="P573">
        <v>8</v>
      </c>
      <c r="Q573">
        <v>901</v>
      </c>
      <c r="R573">
        <v>0</v>
      </c>
      <c r="S573">
        <v>0</v>
      </c>
      <c r="W573" t="s">
        <v>1060</v>
      </c>
      <c r="X573">
        <v>0</v>
      </c>
      <c r="Z573">
        <v>10</v>
      </c>
      <c r="AA573">
        <v>5.7560000000000002</v>
      </c>
      <c r="AB573">
        <v>0</v>
      </c>
      <c r="AC573">
        <v>0.55410000000000004</v>
      </c>
      <c r="AD573" s="20">
        <v>44663</v>
      </c>
      <c r="AE573">
        <v>0.7036</v>
      </c>
      <c r="AF573">
        <v>1.6400000000000001E-2</v>
      </c>
      <c r="AH573">
        <v>0</v>
      </c>
      <c r="AJ573">
        <v>1</v>
      </c>
      <c r="AK573" t="s">
        <v>1154</v>
      </c>
      <c r="AL573">
        <v>0</v>
      </c>
      <c r="AM573">
        <v>0</v>
      </c>
      <c r="AN573">
        <v>11501008</v>
      </c>
      <c r="AO573">
        <v>0</v>
      </c>
      <c r="AP573">
        <v>1050</v>
      </c>
      <c r="AT573">
        <v>1</v>
      </c>
      <c r="AU573" t="s">
        <v>1059</v>
      </c>
      <c r="AV573" t="s">
        <v>1043</v>
      </c>
      <c r="AW573" t="s">
        <v>1053</v>
      </c>
      <c r="AX573">
        <v>1</v>
      </c>
      <c r="AY573" s="20">
        <v>44082</v>
      </c>
      <c r="BA573" s="20">
        <v>43677</v>
      </c>
      <c r="BB573" t="s">
        <v>1058</v>
      </c>
      <c r="BD573">
        <v>0</v>
      </c>
      <c r="BF573" t="s">
        <v>1044</v>
      </c>
      <c r="BG573" t="s">
        <v>1042</v>
      </c>
      <c r="BH573">
        <v>0</v>
      </c>
      <c r="BI573">
        <v>34</v>
      </c>
      <c r="BJ573">
        <v>0</v>
      </c>
      <c r="BK573">
        <v>0</v>
      </c>
      <c r="BM573" s="20">
        <v>44169</v>
      </c>
      <c r="BN573">
        <v>0</v>
      </c>
      <c r="BO573">
        <v>7897801319935</v>
      </c>
      <c r="BR573" t="s">
        <v>1043</v>
      </c>
      <c r="BS573" t="s">
        <v>1043</v>
      </c>
      <c r="BT573" t="s">
        <v>1043</v>
      </c>
      <c r="BV573">
        <v>1</v>
      </c>
      <c r="BW573">
        <v>31</v>
      </c>
      <c r="BY573">
        <v>82</v>
      </c>
      <c r="CA573">
        <v>0</v>
      </c>
      <c r="CB573" t="s">
        <v>1043</v>
      </c>
      <c r="CE573" t="s">
        <v>1043</v>
      </c>
      <c r="CH573" t="s">
        <v>1043</v>
      </c>
      <c r="CI573" t="s">
        <v>1153</v>
      </c>
      <c r="CK573" t="s">
        <v>1152</v>
      </c>
      <c r="CN573" t="s">
        <v>1056</v>
      </c>
      <c r="CP573">
        <v>1</v>
      </c>
      <c r="CQ573">
        <v>0</v>
      </c>
      <c r="CS573">
        <v>0</v>
      </c>
      <c r="CT573">
        <v>0</v>
      </c>
      <c r="CU573">
        <v>0</v>
      </c>
      <c r="CW573">
        <v>0</v>
      </c>
      <c r="CX573">
        <v>0</v>
      </c>
      <c r="CY573">
        <v>0</v>
      </c>
      <c r="CZ573">
        <v>0</v>
      </c>
      <c r="DB573">
        <v>0</v>
      </c>
      <c r="DH573">
        <v>0</v>
      </c>
      <c r="DJ573">
        <v>0</v>
      </c>
      <c r="DL573">
        <v>0</v>
      </c>
      <c r="DN573">
        <v>0</v>
      </c>
      <c r="DO573" t="s">
        <v>1042</v>
      </c>
      <c r="DP573">
        <v>0</v>
      </c>
      <c r="DQ573">
        <v>7.6</v>
      </c>
      <c r="DS573">
        <v>0</v>
      </c>
      <c r="DU573">
        <v>1.65</v>
      </c>
      <c r="DW573">
        <v>0</v>
      </c>
      <c r="DY573">
        <v>0</v>
      </c>
      <c r="DZ573">
        <v>0</v>
      </c>
      <c r="EA573">
        <v>0</v>
      </c>
      <c r="EB573">
        <v>17897801319932</v>
      </c>
      <c r="EE573">
        <v>0</v>
      </c>
      <c r="EF573">
        <v>0</v>
      </c>
      <c r="EG573" t="s">
        <v>1044</v>
      </c>
      <c r="EK573" t="s">
        <v>1054</v>
      </c>
      <c r="EL573">
        <v>57897801319930</v>
      </c>
      <c r="EN573" t="s">
        <v>1012</v>
      </c>
      <c r="ET573">
        <v>0</v>
      </c>
      <c r="EV573">
        <v>0</v>
      </c>
      <c r="EY573" t="s">
        <v>1052</v>
      </c>
      <c r="EZ573">
        <v>0</v>
      </c>
      <c r="FA573" t="s">
        <v>1043</v>
      </c>
      <c r="FB573">
        <v>0</v>
      </c>
      <c r="FC573">
        <v>0</v>
      </c>
      <c r="FD573" t="s">
        <v>1051</v>
      </c>
      <c r="FE573" t="s">
        <v>1050</v>
      </c>
      <c r="FF573">
        <v>1200</v>
      </c>
      <c r="FG573" t="s">
        <v>1050</v>
      </c>
      <c r="FH573">
        <v>27897801319939</v>
      </c>
      <c r="FJ573">
        <v>0</v>
      </c>
      <c r="FK573">
        <v>0</v>
      </c>
      <c r="FP573">
        <v>0</v>
      </c>
      <c r="FR573">
        <v>0</v>
      </c>
      <c r="FS573" t="s">
        <v>1043</v>
      </c>
      <c r="FX573" t="s">
        <v>1042</v>
      </c>
      <c r="GA573">
        <v>0</v>
      </c>
      <c r="GB573" t="s">
        <v>1042</v>
      </c>
      <c r="GD573">
        <v>16</v>
      </c>
      <c r="GE573">
        <v>0</v>
      </c>
      <c r="GG573">
        <v>0</v>
      </c>
      <c r="GN573">
        <v>0</v>
      </c>
      <c r="GO573" t="s">
        <v>1063</v>
      </c>
      <c r="GQ573">
        <v>0</v>
      </c>
      <c r="GU573">
        <v>0</v>
      </c>
      <c r="GY573" t="s">
        <v>1045</v>
      </c>
      <c r="HB573">
        <v>0</v>
      </c>
      <c r="HE573">
        <v>10</v>
      </c>
      <c r="HF573">
        <v>0</v>
      </c>
      <c r="HG573">
        <v>5.5000000000000003E-4</v>
      </c>
      <c r="HK573" t="s">
        <v>1042</v>
      </c>
      <c r="HL573" t="s">
        <v>1048</v>
      </c>
      <c r="HM573">
        <v>0</v>
      </c>
      <c r="HN573">
        <v>0</v>
      </c>
      <c r="HO573">
        <v>35</v>
      </c>
      <c r="HP573">
        <v>0</v>
      </c>
      <c r="HQ573">
        <v>0</v>
      </c>
      <c r="HR573" s="20">
        <v>44221</v>
      </c>
      <c r="HT573">
        <v>0</v>
      </c>
      <c r="HU573">
        <v>0</v>
      </c>
      <c r="HW573">
        <v>0</v>
      </c>
      <c r="HX573">
        <v>0</v>
      </c>
      <c r="HY573">
        <v>1</v>
      </c>
      <c r="IA573">
        <v>0.7</v>
      </c>
      <c r="IC573" t="s">
        <v>1151</v>
      </c>
      <c r="IF573">
        <v>18000</v>
      </c>
      <c r="IG573" t="s">
        <v>1042</v>
      </c>
      <c r="IH573" t="s">
        <v>1046</v>
      </c>
      <c r="II573" t="s">
        <v>1042</v>
      </c>
      <c r="IR573" t="s">
        <v>1045</v>
      </c>
      <c r="IT573">
        <v>0</v>
      </c>
      <c r="JE573">
        <v>0</v>
      </c>
      <c r="JF573">
        <v>0</v>
      </c>
      <c r="JI573" t="s">
        <v>1042</v>
      </c>
      <c r="JJ573">
        <v>0</v>
      </c>
      <c r="JK573">
        <v>0</v>
      </c>
      <c r="JL573">
        <v>0</v>
      </c>
      <c r="JM573">
        <v>0</v>
      </c>
      <c r="JT573">
        <v>0</v>
      </c>
      <c r="JU573" t="s">
        <v>1042</v>
      </c>
      <c r="JW573">
        <v>0</v>
      </c>
      <c r="KA573">
        <v>0</v>
      </c>
      <c r="KF573">
        <v>0</v>
      </c>
      <c r="KG573">
        <v>0</v>
      </c>
      <c r="KH573">
        <v>0</v>
      </c>
      <c r="KI573">
        <v>0</v>
      </c>
      <c r="KS573" t="s">
        <v>1041</v>
      </c>
      <c r="KT573">
        <v>0</v>
      </c>
      <c r="KU573">
        <v>0</v>
      </c>
      <c r="KV573">
        <v>0</v>
      </c>
      <c r="KX573">
        <v>0</v>
      </c>
      <c r="KZ573">
        <v>0</v>
      </c>
      <c r="LF573">
        <v>0</v>
      </c>
      <c r="LH573">
        <v>0</v>
      </c>
      <c r="LI573">
        <v>0</v>
      </c>
    </row>
    <row r="574" spans="1:321" x14ac:dyDescent="0.35">
      <c r="A574">
        <v>1</v>
      </c>
      <c r="B574">
        <v>1362</v>
      </c>
      <c r="C574" t="s">
        <v>723</v>
      </c>
      <c r="D574" t="s">
        <v>1061</v>
      </c>
      <c r="E574" t="s">
        <v>85</v>
      </c>
      <c r="F574">
        <v>1</v>
      </c>
      <c r="G574">
        <v>220</v>
      </c>
      <c r="H574">
        <v>0</v>
      </c>
      <c r="I574" t="s">
        <v>994</v>
      </c>
      <c r="L574">
        <v>0</v>
      </c>
      <c r="M574">
        <v>0</v>
      </c>
      <c r="N574">
        <v>0</v>
      </c>
      <c r="Q574">
        <v>516</v>
      </c>
      <c r="R574">
        <v>0</v>
      </c>
      <c r="S574">
        <v>0</v>
      </c>
      <c r="W574" t="s">
        <v>1060</v>
      </c>
      <c r="X574">
        <v>0</v>
      </c>
      <c r="Z574">
        <v>10</v>
      </c>
      <c r="AA574">
        <v>34.578000000000003</v>
      </c>
      <c r="AB574">
        <v>1875</v>
      </c>
      <c r="AC574">
        <v>2.4355000000000002</v>
      </c>
      <c r="AD574" t="s">
        <v>1042</v>
      </c>
      <c r="AE574">
        <v>0</v>
      </c>
      <c r="AF574">
        <v>3.4799999999999998E-2</v>
      </c>
      <c r="AH574">
        <v>1767</v>
      </c>
      <c r="AJ574">
        <v>1</v>
      </c>
      <c r="AK574" t="s">
        <v>1154</v>
      </c>
      <c r="AL574">
        <v>0</v>
      </c>
      <c r="AM574">
        <v>0</v>
      </c>
      <c r="AN574">
        <v>11501001</v>
      </c>
      <c r="AO574">
        <v>0</v>
      </c>
      <c r="AP574">
        <v>1002</v>
      </c>
      <c r="AT574">
        <v>1</v>
      </c>
      <c r="AU574" t="s">
        <v>1059</v>
      </c>
      <c r="AV574" t="s">
        <v>1043</v>
      </c>
      <c r="AW574" t="s">
        <v>1053</v>
      </c>
      <c r="AX574">
        <v>0</v>
      </c>
      <c r="AY574" s="20">
        <v>43677</v>
      </c>
      <c r="BA574" s="20">
        <v>44494</v>
      </c>
      <c r="BB574" t="s">
        <v>1058</v>
      </c>
      <c r="BD574">
        <v>0</v>
      </c>
      <c r="BF574" t="s">
        <v>1044</v>
      </c>
      <c r="BG574" t="s">
        <v>1042</v>
      </c>
      <c r="BH574">
        <v>0</v>
      </c>
      <c r="BI574">
        <v>6</v>
      </c>
      <c r="BJ574">
        <v>0</v>
      </c>
      <c r="BK574">
        <v>0</v>
      </c>
      <c r="BM574" s="20">
        <v>44186</v>
      </c>
      <c r="BN574">
        <v>0</v>
      </c>
      <c r="BO574">
        <v>7897801319942</v>
      </c>
      <c r="BR574" t="s">
        <v>1043</v>
      </c>
      <c r="BS574" t="s">
        <v>1043</v>
      </c>
      <c r="BT574" t="s">
        <v>1043</v>
      </c>
      <c r="BV574">
        <v>1</v>
      </c>
      <c r="BW574">
        <v>31</v>
      </c>
      <c r="BY574">
        <v>82</v>
      </c>
      <c r="CA574">
        <v>0</v>
      </c>
      <c r="CB574" t="s">
        <v>1043</v>
      </c>
      <c r="CE574" t="s">
        <v>1043</v>
      </c>
      <c r="CH574" t="s">
        <v>1043</v>
      </c>
      <c r="CI574" t="s">
        <v>1153</v>
      </c>
      <c r="CK574" t="s">
        <v>1152</v>
      </c>
      <c r="CN574" t="s">
        <v>1056</v>
      </c>
      <c r="CP574">
        <v>1</v>
      </c>
      <c r="CQ574">
        <v>0</v>
      </c>
      <c r="CS574">
        <v>0</v>
      </c>
      <c r="CT574">
        <v>0</v>
      </c>
      <c r="CU574">
        <v>0</v>
      </c>
      <c r="CW574">
        <v>0</v>
      </c>
      <c r="CX574">
        <v>0</v>
      </c>
      <c r="CY574">
        <v>0</v>
      </c>
      <c r="CZ574">
        <v>0</v>
      </c>
      <c r="DA574">
        <v>2</v>
      </c>
      <c r="DB574">
        <v>0</v>
      </c>
      <c r="DH574">
        <v>0</v>
      </c>
      <c r="DJ574">
        <v>0</v>
      </c>
      <c r="DL574">
        <v>0</v>
      </c>
      <c r="DN574">
        <v>0</v>
      </c>
      <c r="DO574" t="s">
        <v>1042</v>
      </c>
      <c r="DP574">
        <v>0</v>
      </c>
      <c r="DQ574">
        <v>7.6</v>
      </c>
      <c r="DS574">
        <v>0</v>
      </c>
      <c r="DU574">
        <v>1.65</v>
      </c>
      <c r="DW574">
        <v>0</v>
      </c>
      <c r="DY574">
        <v>0</v>
      </c>
      <c r="DZ574">
        <v>0</v>
      </c>
      <c r="EA574">
        <v>0</v>
      </c>
      <c r="EB574">
        <v>17897801319949</v>
      </c>
      <c r="EE574">
        <v>0</v>
      </c>
      <c r="EF574">
        <v>0</v>
      </c>
      <c r="EG574" t="s">
        <v>1044</v>
      </c>
      <c r="EK574" t="s">
        <v>1054</v>
      </c>
      <c r="EL574">
        <v>57897801319947</v>
      </c>
      <c r="EN574" t="s">
        <v>1012</v>
      </c>
      <c r="ET574">
        <v>0</v>
      </c>
      <c r="EV574">
        <v>0</v>
      </c>
      <c r="EY574" t="s">
        <v>1052</v>
      </c>
      <c r="EZ574">
        <v>0</v>
      </c>
      <c r="FA574" t="s">
        <v>1043</v>
      </c>
      <c r="FB574">
        <v>0</v>
      </c>
      <c r="FC574">
        <v>0</v>
      </c>
      <c r="FD574" t="s">
        <v>1051</v>
      </c>
      <c r="FE574" t="s">
        <v>1050</v>
      </c>
      <c r="FF574">
        <v>420</v>
      </c>
      <c r="FG574" t="s">
        <v>1050</v>
      </c>
      <c r="FH574">
        <v>27897801319946</v>
      </c>
      <c r="FJ574">
        <v>0</v>
      </c>
      <c r="FK574">
        <v>0</v>
      </c>
      <c r="FP574">
        <v>0</v>
      </c>
      <c r="FR574">
        <v>0</v>
      </c>
      <c r="FS574" t="s">
        <v>1044</v>
      </c>
      <c r="FX574" t="s">
        <v>1042</v>
      </c>
      <c r="GA574">
        <v>0</v>
      </c>
      <c r="GB574" t="s">
        <v>1042</v>
      </c>
      <c r="GD574">
        <v>16</v>
      </c>
      <c r="GE574">
        <v>0</v>
      </c>
      <c r="GG574">
        <v>0</v>
      </c>
      <c r="GN574">
        <v>0</v>
      </c>
      <c r="GO574" t="s">
        <v>1049</v>
      </c>
      <c r="GQ574">
        <v>0</v>
      </c>
      <c r="GU574">
        <v>0</v>
      </c>
      <c r="GY574" t="s">
        <v>1045</v>
      </c>
      <c r="HB574">
        <v>0</v>
      </c>
      <c r="HE574">
        <v>10</v>
      </c>
      <c r="HF574">
        <v>0</v>
      </c>
      <c r="HG574">
        <v>4.8999999999999998E-4</v>
      </c>
      <c r="HK574" t="s">
        <v>1042</v>
      </c>
      <c r="HL574" t="s">
        <v>1048</v>
      </c>
      <c r="HM574">
        <v>0</v>
      </c>
      <c r="HN574">
        <v>0</v>
      </c>
      <c r="HO574">
        <v>35</v>
      </c>
      <c r="HP574">
        <v>0.02</v>
      </c>
      <c r="HQ574">
        <v>0</v>
      </c>
      <c r="HR574" t="s">
        <v>1042</v>
      </c>
      <c r="HT574">
        <v>0</v>
      </c>
      <c r="HU574">
        <v>0</v>
      </c>
      <c r="HW574">
        <v>0</v>
      </c>
      <c r="HX574">
        <v>3642</v>
      </c>
      <c r="HY574">
        <v>0</v>
      </c>
      <c r="IA574">
        <v>0</v>
      </c>
      <c r="IC574" t="s">
        <v>1151</v>
      </c>
      <c r="IF574">
        <v>26880</v>
      </c>
      <c r="IG574" t="s">
        <v>1042</v>
      </c>
      <c r="IH574" t="s">
        <v>1046</v>
      </c>
      <c r="II574" t="s">
        <v>1042</v>
      </c>
      <c r="IR574" t="s">
        <v>1045</v>
      </c>
      <c r="IT574">
        <v>0</v>
      </c>
      <c r="JE574">
        <v>0</v>
      </c>
      <c r="JF574">
        <v>0</v>
      </c>
      <c r="JI574" t="s">
        <v>1042</v>
      </c>
      <c r="JJ574">
        <v>0</v>
      </c>
      <c r="JK574">
        <v>0</v>
      </c>
      <c r="JL574">
        <v>0</v>
      </c>
      <c r="JM574">
        <v>0</v>
      </c>
      <c r="JT574">
        <v>0</v>
      </c>
      <c r="JU574" t="s">
        <v>1042</v>
      </c>
      <c r="JW574">
        <v>0</v>
      </c>
      <c r="KA574">
        <v>0</v>
      </c>
      <c r="KF574">
        <v>0</v>
      </c>
      <c r="KG574">
        <v>0</v>
      </c>
      <c r="KH574">
        <v>0</v>
      </c>
      <c r="KI574">
        <v>0</v>
      </c>
      <c r="KS574" t="s">
        <v>1041</v>
      </c>
      <c r="KT574">
        <v>0</v>
      </c>
      <c r="KU574">
        <v>0</v>
      </c>
      <c r="KV574">
        <v>0</v>
      </c>
      <c r="KX574">
        <v>0</v>
      </c>
      <c r="KZ574">
        <v>0</v>
      </c>
      <c r="LF574">
        <v>0</v>
      </c>
      <c r="LH574">
        <v>0</v>
      </c>
      <c r="LI574">
        <v>0</v>
      </c>
    </row>
    <row r="575" spans="1:321" x14ac:dyDescent="0.35">
      <c r="A575">
        <v>1</v>
      </c>
      <c r="B575">
        <v>1363</v>
      </c>
      <c r="C575" t="s">
        <v>724</v>
      </c>
      <c r="D575" t="s">
        <v>1061</v>
      </c>
      <c r="E575" t="s">
        <v>85</v>
      </c>
      <c r="F575">
        <v>1</v>
      </c>
      <c r="G575">
        <v>220</v>
      </c>
      <c r="H575">
        <v>0</v>
      </c>
      <c r="I575" t="s">
        <v>994</v>
      </c>
      <c r="L575">
        <v>0</v>
      </c>
      <c r="M575">
        <v>0</v>
      </c>
      <c r="N575">
        <v>0</v>
      </c>
      <c r="Q575">
        <v>516</v>
      </c>
      <c r="R575">
        <v>0</v>
      </c>
      <c r="S575">
        <v>0</v>
      </c>
      <c r="W575" t="s">
        <v>1060</v>
      </c>
      <c r="X575">
        <v>0</v>
      </c>
      <c r="Z575">
        <v>10</v>
      </c>
      <c r="AA575">
        <v>26.859000000000002</v>
      </c>
      <c r="AB575">
        <v>9283</v>
      </c>
      <c r="AC575">
        <v>2.5779999999999998</v>
      </c>
      <c r="AD575" t="s">
        <v>1042</v>
      </c>
      <c r="AE575">
        <v>0</v>
      </c>
      <c r="AF575">
        <v>3.9E-2</v>
      </c>
      <c r="AH575">
        <v>8484</v>
      </c>
      <c r="AJ575">
        <v>1</v>
      </c>
      <c r="AK575" t="s">
        <v>1154</v>
      </c>
      <c r="AL575">
        <v>0</v>
      </c>
      <c r="AM575">
        <v>0</v>
      </c>
      <c r="AN575">
        <v>11501001</v>
      </c>
      <c r="AO575">
        <v>0</v>
      </c>
      <c r="AP575">
        <v>1002</v>
      </c>
      <c r="AT575">
        <v>1</v>
      </c>
      <c r="AU575" t="s">
        <v>1059</v>
      </c>
      <c r="AV575" t="s">
        <v>1043</v>
      </c>
      <c r="AW575" t="s">
        <v>1053</v>
      </c>
      <c r="AX575">
        <v>0</v>
      </c>
      <c r="AY575" s="20">
        <v>43679</v>
      </c>
      <c r="BA575" s="20">
        <v>44610</v>
      </c>
      <c r="BB575" t="s">
        <v>1058</v>
      </c>
      <c r="BD575">
        <v>0</v>
      </c>
      <c r="BF575" t="s">
        <v>1044</v>
      </c>
      <c r="BG575" t="s">
        <v>1042</v>
      </c>
      <c r="BH575">
        <v>0</v>
      </c>
      <c r="BI575">
        <v>6</v>
      </c>
      <c r="BJ575">
        <v>0</v>
      </c>
      <c r="BK575">
        <v>0</v>
      </c>
      <c r="BM575" s="20">
        <v>44186</v>
      </c>
      <c r="BN575">
        <v>0</v>
      </c>
      <c r="BO575">
        <v>7897801319959</v>
      </c>
      <c r="BR575" t="s">
        <v>1043</v>
      </c>
      <c r="BS575" t="s">
        <v>1043</v>
      </c>
      <c r="BT575" t="s">
        <v>1043</v>
      </c>
      <c r="BV575">
        <v>1</v>
      </c>
      <c r="BW575">
        <v>31</v>
      </c>
      <c r="BY575">
        <v>82</v>
      </c>
      <c r="CA575">
        <v>0</v>
      </c>
      <c r="CB575" t="s">
        <v>1043</v>
      </c>
      <c r="CE575" t="s">
        <v>1043</v>
      </c>
      <c r="CH575" t="s">
        <v>1043</v>
      </c>
      <c r="CI575" t="s">
        <v>1153</v>
      </c>
      <c r="CK575" t="s">
        <v>1152</v>
      </c>
      <c r="CN575" t="s">
        <v>1056</v>
      </c>
      <c r="CP575">
        <v>1</v>
      </c>
      <c r="CQ575">
        <v>0</v>
      </c>
      <c r="CS575">
        <v>0</v>
      </c>
      <c r="CT575">
        <v>0</v>
      </c>
      <c r="CU575">
        <v>0</v>
      </c>
      <c r="CW575">
        <v>0</v>
      </c>
      <c r="CX575">
        <v>0</v>
      </c>
      <c r="CY575">
        <v>0</v>
      </c>
      <c r="CZ575">
        <v>0</v>
      </c>
      <c r="DA575">
        <v>2</v>
      </c>
      <c r="DB575">
        <v>0</v>
      </c>
      <c r="DH575">
        <v>0</v>
      </c>
      <c r="DJ575">
        <v>0</v>
      </c>
      <c r="DL575">
        <v>0</v>
      </c>
      <c r="DN575">
        <v>0</v>
      </c>
      <c r="DO575" t="s">
        <v>1042</v>
      </c>
      <c r="DP575">
        <v>0</v>
      </c>
      <c r="DQ575">
        <v>7.6</v>
      </c>
      <c r="DS575">
        <v>0</v>
      </c>
      <c r="DU575">
        <v>1.65</v>
      </c>
      <c r="DW575">
        <v>0</v>
      </c>
      <c r="DY575">
        <v>0</v>
      </c>
      <c r="DZ575">
        <v>0</v>
      </c>
      <c r="EA575">
        <v>0</v>
      </c>
      <c r="EB575">
        <v>17897801319956</v>
      </c>
      <c r="EE575">
        <v>0</v>
      </c>
      <c r="EF575">
        <v>0</v>
      </c>
      <c r="EG575" t="s">
        <v>1044</v>
      </c>
      <c r="EK575" t="s">
        <v>1054</v>
      </c>
      <c r="EL575">
        <v>57897801319954</v>
      </c>
      <c r="EN575" t="s">
        <v>1012</v>
      </c>
      <c r="ET575">
        <v>0</v>
      </c>
      <c r="EV575">
        <v>0</v>
      </c>
      <c r="EY575" t="s">
        <v>1052</v>
      </c>
      <c r="EZ575">
        <v>0</v>
      </c>
      <c r="FA575" t="s">
        <v>1043</v>
      </c>
      <c r="FB575">
        <v>0</v>
      </c>
      <c r="FC575">
        <v>0</v>
      </c>
      <c r="FD575" t="s">
        <v>1051</v>
      </c>
      <c r="FE575" t="s">
        <v>1050</v>
      </c>
      <c r="FF575">
        <v>280</v>
      </c>
      <c r="FG575" t="s">
        <v>1050</v>
      </c>
      <c r="FH575">
        <v>27897801319953</v>
      </c>
      <c r="FJ575">
        <v>0</v>
      </c>
      <c r="FK575">
        <v>0</v>
      </c>
      <c r="FP575">
        <v>0</v>
      </c>
      <c r="FR575">
        <v>0</v>
      </c>
      <c r="FS575" t="s">
        <v>1044</v>
      </c>
      <c r="FX575" t="s">
        <v>1042</v>
      </c>
      <c r="GA575">
        <v>0</v>
      </c>
      <c r="GB575" t="s">
        <v>1042</v>
      </c>
      <c r="GD575">
        <v>16</v>
      </c>
      <c r="GE575">
        <v>0</v>
      </c>
      <c r="GG575">
        <v>0</v>
      </c>
      <c r="GL575">
        <v>2</v>
      </c>
      <c r="GN575">
        <v>0</v>
      </c>
      <c r="GO575" t="s">
        <v>1049</v>
      </c>
      <c r="GQ575">
        <v>0</v>
      </c>
      <c r="GU575">
        <v>0</v>
      </c>
      <c r="GY575" t="s">
        <v>1045</v>
      </c>
      <c r="HB575">
        <v>0</v>
      </c>
      <c r="HE575">
        <v>10</v>
      </c>
      <c r="HF575">
        <v>0</v>
      </c>
      <c r="HG575">
        <v>6.2E-4</v>
      </c>
      <c r="HK575" t="s">
        <v>1042</v>
      </c>
      <c r="HL575" t="s">
        <v>1048</v>
      </c>
      <c r="HM575">
        <v>0</v>
      </c>
      <c r="HN575">
        <v>0</v>
      </c>
      <c r="HO575">
        <v>35</v>
      </c>
      <c r="HP575">
        <v>2.1999999999999999E-2</v>
      </c>
      <c r="HQ575">
        <v>0</v>
      </c>
      <c r="HR575" t="s">
        <v>1042</v>
      </c>
      <c r="HT575">
        <v>0</v>
      </c>
      <c r="HU575">
        <v>0</v>
      </c>
      <c r="HW575">
        <v>0</v>
      </c>
      <c r="HX575">
        <v>17767</v>
      </c>
      <c r="HY575">
        <v>0</v>
      </c>
      <c r="IA575">
        <v>0</v>
      </c>
      <c r="IC575" t="s">
        <v>1151</v>
      </c>
      <c r="IF575">
        <v>20160</v>
      </c>
      <c r="IG575" t="s">
        <v>1042</v>
      </c>
      <c r="IH575" t="s">
        <v>1046</v>
      </c>
      <c r="II575" t="s">
        <v>1042</v>
      </c>
      <c r="IR575" t="s">
        <v>1045</v>
      </c>
      <c r="IT575">
        <v>0</v>
      </c>
      <c r="JE575">
        <v>0</v>
      </c>
      <c r="JF575">
        <v>0</v>
      </c>
      <c r="JI575" t="s">
        <v>1042</v>
      </c>
      <c r="JJ575">
        <v>0</v>
      </c>
      <c r="JK575">
        <v>0</v>
      </c>
      <c r="JL575">
        <v>0</v>
      </c>
      <c r="JM575">
        <v>0</v>
      </c>
      <c r="JT575">
        <v>0</v>
      </c>
      <c r="JU575" t="s">
        <v>1042</v>
      </c>
      <c r="JW575">
        <v>0</v>
      </c>
      <c r="KA575">
        <v>0</v>
      </c>
      <c r="KF575">
        <v>0</v>
      </c>
      <c r="KG575">
        <v>0</v>
      </c>
      <c r="KH575">
        <v>0</v>
      </c>
      <c r="KI575">
        <v>0</v>
      </c>
      <c r="KS575" t="s">
        <v>1041</v>
      </c>
      <c r="KT575">
        <v>0</v>
      </c>
      <c r="KU575">
        <v>0</v>
      </c>
      <c r="KV575">
        <v>0</v>
      </c>
      <c r="KX575">
        <v>0</v>
      </c>
      <c r="KZ575">
        <v>0</v>
      </c>
      <c r="LF575">
        <v>0</v>
      </c>
      <c r="LH575">
        <v>0</v>
      </c>
      <c r="LI575">
        <v>0</v>
      </c>
    </row>
    <row r="576" spans="1:321" x14ac:dyDescent="0.35">
      <c r="A576">
        <v>1</v>
      </c>
      <c r="B576">
        <v>1364</v>
      </c>
      <c r="C576" t="s">
        <v>725</v>
      </c>
      <c r="D576" t="s">
        <v>1061</v>
      </c>
      <c r="E576" t="s">
        <v>85</v>
      </c>
      <c r="F576">
        <v>1</v>
      </c>
      <c r="G576">
        <v>220</v>
      </c>
      <c r="H576">
        <v>0</v>
      </c>
      <c r="I576" t="s">
        <v>994</v>
      </c>
      <c r="L576">
        <v>0</v>
      </c>
      <c r="M576">
        <v>0</v>
      </c>
      <c r="N576">
        <v>0</v>
      </c>
      <c r="Q576">
        <v>516</v>
      </c>
      <c r="R576">
        <v>0</v>
      </c>
      <c r="S576">
        <v>0</v>
      </c>
      <c r="W576" t="s">
        <v>1060</v>
      </c>
      <c r="X576">
        <v>0</v>
      </c>
      <c r="Z576">
        <v>10</v>
      </c>
      <c r="AA576">
        <v>39.726999999999997</v>
      </c>
      <c r="AB576">
        <v>9378</v>
      </c>
      <c r="AC576">
        <v>3.45</v>
      </c>
      <c r="AD576" s="20">
        <v>44693</v>
      </c>
      <c r="AE576">
        <v>3.92</v>
      </c>
      <c r="AF576">
        <v>5.45E-2</v>
      </c>
      <c r="AH576">
        <v>8453</v>
      </c>
      <c r="AJ576">
        <v>1</v>
      </c>
      <c r="AK576" t="s">
        <v>1154</v>
      </c>
      <c r="AL576">
        <v>0</v>
      </c>
      <c r="AM576">
        <v>0</v>
      </c>
      <c r="AN576">
        <v>11501001</v>
      </c>
      <c r="AO576">
        <v>0</v>
      </c>
      <c r="AP576">
        <v>1002</v>
      </c>
      <c r="AT576">
        <v>1</v>
      </c>
      <c r="AU576" t="s">
        <v>1059</v>
      </c>
      <c r="AV576" t="s">
        <v>1043</v>
      </c>
      <c r="AW576" t="s">
        <v>1053</v>
      </c>
      <c r="AX576">
        <v>0</v>
      </c>
      <c r="AY576" s="20">
        <v>43679</v>
      </c>
      <c r="BA576" s="20">
        <v>44610</v>
      </c>
      <c r="BB576" t="s">
        <v>1058</v>
      </c>
      <c r="BD576">
        <v>0</v>
      </c>
      <c r="BF576" t="s">
        <v>1044</v>
      </c>
      <c r="BG576" t="s">
        <v>1042</v>
      </c>
      <c r="BH576">
        <v>0</v>
      </c>
      <c r="BI576">
        <v>6</v>
      </c>
      <c r="BJ576">
        <v>0</v>
      </c>
      <c r="BK576">
        <v>0</v>
      </c>
      <c r="BM576" s="20">
        <v>44183</v>
      </c>
      <c r="BN576">
        <v>0</v>
      </c>
      <c r="BO576">
        <v>7897801319966</v>
      </c>
      <c r="BR576" t="s">
        <v>1043</v>
      </c>
      <c r="BS576" t="s">
        <v>1043</v>
      </c>
      <c r="BT576" t="s">
        <v>1043</v>
      </c>
      <c r="BV576">
        <v>1</v>
      </c>
      <c r="BW576">
        <v>31</v>
      </c>
      <c r="BY576">
        <v>82</v>
      </c>
      <c r="CA576">
        <v>0</v>
      </c>
      <c r="CB576" t="s">
        <v>1043</v>
      </c>
      <c r="CE576" t="s">
        <v>1043</v>
      </c>
      <c r="CH576" t="s">
        <v>1043</v>
      </c>
      <c r="CI576" t="s">
        <v>1153</v>
      </c>
      <c r="CK576" t="s">
        <v>1152</v>
      </c>
      <c r="CN576" t="s">
        <v>1056</v>
      </c>
      <c r="CP576">
        <v>1</v>
      </c>
      <c r="CQ576">
        <v>0</v>
      </c>
      <c r="CS576">
        <v>0</v>
      </c>
      <c r="CT576">
        <v>0</v>
      </c>
      <c r="CU576">
        <v>0</v>
      </c>
      <c r="CW576">
        <v>0</v>
      </c>
      <c r="CX576">
        <v>0</v>
      </c>
      <c r="CY576">
        <v>0</v>
      </c>
      <c r="CZ576">
        <v>0</v>
      </c>
      <c r="DA576">
        <v>2</v>
      </c>
      <c r="DB576">
        <v>0</v>
      </c>
      <c r="DH576">
        <v>0</v>
      </c>
      <c r="DJ576">
        <v>0</v>
      </c>
      <c r="DL576">
        <v>0</v>
      </c>
      <c r="DN576">
        <v>0</v>
      </c>
      <c r="DO576" t="s">
        <v>1042</v>
      </c>
      <c r="DP576">
        <v>0</v>
      </c>
      <c r="DQ576">
        <v>7.6</v>
      </c>
      <c r="DS576">
        <v>0</v>
      </c>
      <c r="DU576">
        <v>1.65</v>
      </c>
      <c r="DW576">
        <v>0</v>
      </c>
      <c r="DY576">
        <v>0</v>
      </c>
      <c r="DZ576">
        <v>0</v>
      </c>
      <c r="EA576">
        <v>0</v>
      </c>
      <c r="EB576">
        <v>17897801319963</v>
      </c>
      <c r="EE576">
        <v>0</v>
      </c>
      <c r="EF576">
        <v>0</v>
      </c>
      <c r="EG576" t="s">
        <v>1044</v>
      </c>
      <c r="EK576" t="s">
        <v>1054</v>
      </c>
      <c r="EL576">
        <v>57897801319961</v>
      </c>
      <c r="EN576" t="s">
        <v>1012</v>
      </c>
      <c r="ET576">
        <v>0</v>
      </c>
      <c r="EV576">
        <v>0</v>
      </c>
      <c r="EY576" t="s">
        <v>1052</v>
      </c>
      <c r="EZ576">
        <v>0</v>
      </c>
      <c r="FA576" t="s">
        <v>1043</v>
      </c>
      <c r="FB576">
        <v>0</v>
      </c>
      <c r="FC576">
        <v>0</v>
      </c>
      <c r="FD576" t="s">
        <v>1051</v>
      </c>
      <c r="FE576" t="s">
        <v>1050</v>
      </c>
      <c r="FF576">
        <v>200</v>
      </c>
      <c r="FG576" t="s">
        <v>1050</v>
      </c>
      <c r="FH576">
        <v>27897801319960</v>
      </c>
      <c r="FJ576">
        <v>0</v>
      </c>
      <c r="FK576">
        <v>0</v>
      </c>
      <c r="FP576">
        <v>0</v>
      </c>
      <c r="FR576">
        <v>0</v>
      </c>
      <c r="FS576" t="s">
        <v>1044</v>
      </c>
      <c r="FX576" t="s">
        <v>1042</v>
      </c>
      <c r="GA576">
        <v>0</v>
      </c>
      <c r="GB576" t="s">
        <v>1042</v>
      </c>
      <c r="GD576">
        <v>16</v>
      </c>
      <c r="GE576">
        <v>0</v>
      </c>
      <c r="GG576">
        <v>0</v>
      </c>
      <c r="GN576">
        <v>0</v>
      </c>
      <c r="GO576" t="s">
        <v>1049</v>
      </c>
      <c r="GQ576">
        <v>0</v>
      </c>
      <c r="GU576">
        <v>0</v>
      </c>
      <c r="GY576" t="s">
        <v>1045</v>
      </c>
      <c r="HB576">
        <v>0</v>
      </c>
      <c r="HE576">
        <v>10</v>
      </c>
      <c r="HF576">
        <v>0</v>
      </c>
      <c r="HG576">
        <v>8.8000000000000003E-4</v>
      </c>
      <c r="HK576" t="s">
        <v>1042</v>
      </c>
      <c r="HL576" t="s">
        <v>1048</v>
      </c>
      <c r="HM576">
        <v>0</v>
      </c>
      <c r="HN576">
        <v>0</v>
      </c>
      <c r="HO576">
        <v>35</v>
      </c>
      <c r="HP576">
        <v>2.8000000000000001E-2</v>
      </c>
      <c r="HQ576">
        <v>0</v>
      </c>
      <c r="HR576" t="s">
        <v>1042</v>
      </c>
      <c r="HT576">
        <v>0</v>
      </c>
      <c r="HU576">
        <v>0</v>
      </c>
      <c r="HW576">
        <v>0</v>
      </c>
      <c r="HX576">
        <v>17831</v>
      </c>
      <c r="HY576">
        <v>1</v>
      </c>
      <c r="IA576">
        <v>3.92</v>
      </c>
      <c r="IC576" t="s">
        <v>1151</v>
      </c>
      <c r="IF576">
        <v>14400</v>
      </c>
      <c r="IG576" t="s">
        <v>1042</v>
      </c>
      <c r="IH576" t="s">
        <v>1046</v>
      </c>
      <c r="II576" t="s">
        <v>1042</v>
      </c>
      <c r="IR576" t="s">
        <v>1045</v>
      </c>
      <c r="IT576">
        <v>0</v>
      </c>
      <c r="JE576">
        <v>0</v>
      </c>
      <c r="JF576">
        <v>0</v>
      </c>
      <c r="JI576" t="s">
        <v>1042</v>
      </c>
      <c r="JJ576">
        <v>0</v>
      </c>
      <c r="JK576">
        <v>0</v>
      </c>
      <c r="JL576">
        <v>0</v>
      </c>
      <c r="JM576">
        <v>0</v>
      </c>
      <c r="JT576">
        <v>0</v>
      </c>
      <c r="JU576" t="s">
        <v>1042</v>
      </c>
      <c r="JW576">
        <v>0</v>
      </c>
      <c r="KA576">
        <v>0</v>
      </c>
      <c r="KF576">
        <v>0</v>
      </c>
      <c r="KG576">
        <v>0</v>
      </c>
      <c r="KH576">
        <v>0</v>
      </c>
      <c r="KI576">
        <v>0</v>
      </c>
      <c r="KS576" t="s">
        <v>1041</v>
      </c>
      <c r="KT576">
        <v>0</v>
      </c>
      <c r="KU576">
        <v>0</v>
      </c>
      <c r="KV576">
        <v>0</v>
      </c>
      <c r="KX576">
        <v>0</v>
      </c>
      <c r="KZ576">
        <v>0</v>
      </c>
      <c r="LF576">
        <v>0</v>
      </c>
      <c r="LH576">
        <v>0</v>
      </c>
      <c r="LI576">
        <v>0</v>
      </c>
    </row>
    <row r="577" spans="1:321" x14ac:dyDescent="0.35">
      <c r="A577">
        <v>1</v>
      </c>
      <c r="B577">
        <v>1365</v>
      </c>
      <c r="C577" t="s">
        <v>726</v>
      </c>
      <c r="D577" t="s">
        <v>1061</v>
      </c>
      <c r="E577" t="s">
        <v>85</v>
      </c>
      <c r="F577">
        <v>1</v>
      </c>
      <c r="G577">
        <v>220</v>
      </c>
      <c r="H577">
        <v>0</v>
      </c>
      <c r="I577" t="s">
        <v>994</v>
      </c>
      <c r="L577">
        <v>0</v>
      </c>
      <c r="M577">
        <v>0</v>
      </c>
      <c r="N577">
        <v>0</v>
      </c>
      <c r="Q577">
        <v>516</v>
      </c>
      <c r="R577">
        <v>0</v>
      </c>
      <c r="S577">
        <v>0</v>
      </c>
      <c r="W577" t="s">
        <v>1060</v>
      </c>
      <c r="X577">
        <v>0</v>
      </c>
      <c r="Z577">
        <v>10</v>
      </c>
      <c r="AA577">
        <v>72.534999999999997</v>
      </c>
      <c r="AB577">
        <v>488</v>
      </c>
      <c r="AC577">
        <v>5.2375999999999996</v>
      </c>
      <c r="AD577" t="s">
        <v>1042</v>
      </c>
      <c r="AE577">
        <v>0</v>
      </c>
      <c r="AF577">
        <v>9.0700000000000003E-2</v>
      </c>
      <c r="AH577">
        <v>179</v>
      </c>
      <c r="AJ577">
        <v>1</v>
      </c>
      <c r="AK577" t="s">
        <v>1154</v>
      </c>
      <c r="AL577">
        <v>0</v>
      </c>
      <c r="AM577">
        <v>0</v>
      </c>
      <c r="AN577">
        <v>11501001</v>
      </c>
      <c r="AO577">
        <v>0</v>
      </c>
      <c r="AP577">
        <v>1002</v>
      </c>
      <c r="AT577">
        <v>1</v>
      </c>
      <c r="AU577" t="s">
        <v>1059</v>
      </c>
      <c r="AV577" t="s">
        <v>1043</v>
      </c>
      <c r="AW577" t="s">
        <v>1053</v>
      </c>
      <c r="AX577">
        <v>0</v>
      </c>
      <c r="AY577" s="20">
        <v>43679</v>
      </c>
      <c r="BA577" s="20">
        <v>44610</v>
      </c>
      <c r="BB577" t="s">
        <v>1058</v>
      </c>
      <c r="BD577">
        <v>0</v>
      </c>
      <c r="BF577" t="s">
        <v>1044</v>
      </c>
      <c r="BG577" t="s">
        <v>1042</v>
      </c>
      <c r="BH577">
        <v>0</v>
      </c>
      <c r="BI577">
        <v>6</v>
      </c>
      <c r="BJ577">
        <v>0</v>
      </c>
      <c r="BK577">
        <v>0</v>
      </c>
      <c r="BM577" s="20">
        <v>44173</v>
      </c>
      <c r="BN577">
        <v>0</v>
      </c>
      <c r="BO577">
        <v>7897801319973</v>
      </c>
      <c r="BR577" t="s">
        <v>1043</v>
      </c>
      <c r="BS577" t="s">
        <v>1043</v>
      </c>
      <c r="BT577" t="s">
        <v>1043</v>
      </c>
      <c r="BV577">
        <v>1</v>
      </c>
      <c r="BW577">
        <v>31</v>
      </c>
      <c r="BY577">
        <v>82</v>
      </c>
      <c r="CA577">
        <v>0</v>
      </c>
      <c r="CB577" t="s">
        <v>1043</v>
      </c>
      <c r="CE577" t="s">
        <v>1043</v>
      </c>
      <c r="CH577" t="s">
        <v>1043</v>
      </c>
      <c r="CI577" t="s">
        <v>1153</v>
      </c>
      <c r="CK577" t="s">
        <v>1152</v>
      </c>
      <c r="CN577" t="s">
        <v>1056</v>
      </c>
      <c r="CP577">
        <v>1</v>
      </c>
      <c r="CQ577">
        <v>0</v>
      </c>
      <c r="CS577">
        <v>0</v>
      </c>
      <c r="CT577">
        <v>0</v>
      </c>
      <c r="CU577">
        <v>0</v>
      </c>
      <c r="CW577">
        <v>0</v>
      </c>
      <c r="CX577">
        <v>0</v>
      </c>
      <c r="CY577">
        <v>0</v>
      </c>
      <c r="CZ577">
        <v>0</v>
      </c>
      <c r="DA577">
        <v>2</v>
      </c>
      <c r="DB577">
        <v>0</v>
      </c>
      <c r="DH577">
        <v>0</v>
      </c>
      <c r="DJ577">
        <v>0</v>
      </c>
      <c r="DL577">
        <v>0</v>
      </c>
      <c r="DN577">
        <v>0</v>
      </c>
      <c r="DO577" t="s">
        <v>1042</v>
      </c>
      <c r="DP577">
        <v>0</v>
      </c>
      <c r="DQ577">
        <v>7.6</v>
      </c>
      <c r="DS577">
        <v>0</v>
      </c>
      <c r="DU577">
        <v>1.65</v>
      </c>
      <c r="DW577">
        <v>0</v>
      </c>
      <c r="DY577">
        <v>0</v>
      </c>
      <c r="DZ577">
        <v>0</v>
      </c>
      <c r="EA577">
        <v>0</v>
      </c>
      <c r="EB577">
        <v>17897801319970</v>
      </c>
      <c r="EE577">
        <v>0</v>
      </c>
      <c r="EF577">
        <v>0</v>
      </c>
      <c r="EG577" t="s">
        <v>1044</v>
      </c>
      <c r="EK577" t="s">
        <v>1054</v>
      </c>
      <c r="EL577">
        <v>57897801319978</v>
      </c>
      <c r="EN577" t="s">
        <v>1012</v>
      </c>
      <c r="ET577">
        <v>0</v>
      </c>
      <c r="EV577">
        <v>0</v>
      </c>
      <c r="EY577" t="s">
        <v>1052</v>
      </c>
      <c r="EZ577">
        <v>0</v>
      </c>
      <c r="FA577" t="s">
        <v>1043</v>
      </c>
      <c r="FB577">
        <v>0</v>
      </c>
      <c r="FC577">
        <v>0</v>
      </c>
      <c r="FD577" t="s">
        <v>1051</v>
      </c>
      <c r="FE577" t="s">
        <v>1050</v>
      </c>
      <c r="FF577">
        <v>110</v>
      </c>
      <c r="FG577" t="s">
        <v>1050</v>
      </c>
      <c r="FH577">
        <v>27897801319977</v>
      </c>
      <c r="FJ577">
        <v>0</v>
      </c>
      <c r="FK577">
        <v>0</v>
      </c>
      <c r="FP577">
        <v>0</v>
      </c>
      <c r="FR577">
        <v>0</v>
      </c>
      <c r="FS577" t="s">
        <v>1044</v>
      </c>
      <c r="FX577" t="s">
        <v>1042</v>
      </c>
      <c r="GA577">
        <v>0</v>
      </c>
      <c r="GB577" t="s">
        <v>1042</v>
      </c>
      <c r="GD577">
        <v>16</v>
      </c>
      <c r="GE577">
        <v>0</v>
      </c>
      <c r="GG577">
        <v>0</v>
      </c>
      <c r="GN577">
        <v>0</v>
      </c>
      <c r="GO577" t="s">
        <v>1049</v>
      </c>
      <c r="GQ577">
        <v>0</v>
      </c>
      <c r="GU577">
        <v>0</v>
      </c>
      <c r="GY577" t="s">
        <v>1045</v>
      </c>
      <c r="HB577">
        <v>0</v>
      </c>
      <c r="HE577">
        <v>10</v>
      </c>
      <c r="HF577">
        <v>0</v>
      </c>
      <c r="HG577">
        <v>1.7799999999999999E-3</v>
      </c>
      <c r="HK577" t="s">
        <v>1042</v>
      </c>
      <c r="HL577" t="s">
        <v>1048</v>
      </c>
      <c r="HM577">
        <v>0</v>
      </c>
      <c r="HN577">
        <v>0</v>
      </c>
      <c r="HO577">
        <v>35</v>
      </c>
      <c r="HP577">
        <v>5.1700000000000003E-2</v>
      </c>
      <c r="HQ577">
        <v>0</v>
      </c>
      <c r="HR577" t="s">
        <v>1042</v>
      </c>
      <c r="HT577">
        <v>0</v>
      </c>
      <c r="HU577">
        <v>0</v>
      </c>
      <c r="HW577">
        <v>0</v>
      </c>
      <c r="HX577">
        <v>667</v>
      </c>
      <c r="HY577">
        <v>0</v>
      </c>
      <c r="IA577">
        <v>0</v>
      </c>
      <c r="IC577" t="s">
        <v>1151</v>
      </c>
      <c r="IF577">
        <v>7920</v>
      </c>
      <c r="IG577" t="s">
        <v>1042</v>
      </c>
      <c r="IH577" t="s">
        <v>1046</v>
      </c>
      <c r="II577" t="s">
        <v>1042</v>
      </c>
      <c r="IR577" t="s">
        <v>1045</v>
      </c>
      <c r="IT577">
        <v>0</v>
      </c>
      <c r="JE577">
        <v>0</v>
      </c>
      <c r="JF577">
        <v>0</v>
      </c>
      <c r="JI577" t="s">
        <v>1042</v>
      </c>
      <c r="JJ577">
        <v>0</v>
      </c>
      <c r="JK577">
        <v>0</v>
      </c>
      <c r="JL577">
        <v>0</v>
      </c>
      <c r="JM577">
        <v>0</v>
      </c>
      <c r="JT577">
        <v>0</v>
      </c>
      <c r="JU577" t="s">
        <v>1042</v>
      </c>
      <c r="JW577">
        <v>0</v>
      </c>
      <c r="KA577">
        <v>0</v>
      </c>
      <c r="KF577">
        <v>0</v>
      </c>
      <c r="KG577">
        <v>0</v>
      </c>
      <c r="KH577">
        <v>0</v>
      </c>
      <c r="KI577">
        <v>0</v>
      </c>
      <c r="KS577" t="s">
        <v>1041</v>
      </c>
      <c r="KT577">
        <v>0</v>
      </c>
      <c r="KU577">
        <v>0</v>
      </c>
      <c r="KV577">
        <v>0</v>
      </c>
      <c r="KX577">
        <v>0</v>
      </c>
      <c r="KZ577">
        <v>0</v>
      </c>
      <c r="LF577">
        <v>0</v>
      </c>
      <c r="LH577">
        <v>0</v>
      </c>
      <c r="LI577">
        <v>0</v>
      </c>
    </row>
    <row r="578" spans="1:321" x14ac:dyDescent="0.35">
      <c r="A578">
        <v>1</v>
      </c>
      <c r="B578">
        <v>13654</v>
      </c>
      <c r="C578" t="s">
        <v>1160</v>
      </c>
      <c r="D578" t="s">
        <v>1133</v>
      </c>
      <c r="E578" t="s">
        <v>587</v>
      </c>
      <c r="F578">
        <v>80</v>
      </c>
      <c r="G578">
        <v>51</v>
      </c>
      <c r="H578">
        <v>0</v>
      </c>
      <c r="I578" t="s">
        <v>1050</v>
      </c>
      <c r="L578">
        <v>0</v>
      </c>
      <c r="M578">
        <v>0</v>
      </c>
      <c r="N578">
        <v>0</v>
      </c>
      <c r="R578">
        <v>0</v>
      </c>
      <c r="S578">
        <v>0</v>
      </c>
      <c r="W578" t="s">
        <v>1060</v>
      </c>
      <c r="X578">
        <v>0</v>
      </c>
      <c r="Z578">
        <v>1</v>
      </c>
      <c r="AA578">
        <v>0</v>
      </c>
      <c r="AB578">
        <v>0</v>
      </c>
      <c r="AC578">
        <v>6.99</v>
      </c>
      <c r="AD578" s="20">
        <v>44095</v>
      </c>
      <c r="AE578">
        <v>6.99</v>
      </c>
      <c r="AF578">
        <v>0</v>
      </c>
      <c r="AH578">
        <v>0</v>
      </c>
      <c r="AJ578">
        <v>0</v>
      </c>
      <c r="AL578">
        <v>1</v>
      </c>
      <c r="AM578">
        <v>0</v>
      </c>
      <c r="AN578">
        <v>16301003</v>
      </c>
      <c r="AO578">
        <v>0</v>
      </c>
      <c r="AP578">
        <v>1010</v>
      </c>
      <c r="AT578">
        <v>0</v>
      </c>
      <c r="AU578" t="s">
        <v>1059</v>
      </c>
      <c r="AW578" t="s">
        <v>1053</v>
      </c>
      <c r="AX578">
        <v>0</v>
      </c>
      <c r="AY578" s="20">
        <v>40786</v>
      </c>
      <c r="BA578" s="20">
        <v>40786</v>
      </c>
      <c r="BB578" t="s">
        <v>1058</v>
      </c>
      <c r="BD578">
        <v>0</v>
      </c>
      <c r="BF578" t="s">
        <v>1044</v>
      </c>
      <c r="BG578" t="s">
        <v>1042</v>
      </c>
      <c r="BH578">
        <v>0</v>
      </c>
      <c r="BI578">
        <v>1</v>
      </c>
      <c r="BJ578">
        <v>0</v>
      </c>
      <c r="BK578">
        <v>0</v>
      </c>
      <c r="BM578" t="s">
        <v>1042</v>
      </c>
      <c r="BN578">
        <v>0</v>
      </c>
      <c r="BR578" t="s">
        <v>1043</v>
      </c>
      <c r="BS578" t="s">
        <v>1043</v>
      </c>
      <c r="BT578" t="s">
        <v>1043</v>
      </c>
      <c r="BW578">
        <v>63</v>
      </c>
      <c r="CA578">
        <v>0</v>
      </c>
      <c r="CB578" t="s">
        <v>1043</v>
      </c>
      <c r="CE578" t="s">
        <v>1043</v>
      </c>
      <c r="CH578" t="s">
        <v>1043</v>
      </c>
      <c r="CN578" t="s">
        <v>1074</v>
      </c>
      <c r="CO578" t="s">
        <v>1043</v>
      </c>
      <c r="CP578">
        <v>1</v>
      </c>
      <c r="CQ578">
        <v>0</v>
      </c>
      <c r="CS578">
        <v>0</v>
      </c>
      <c r="CT578">
        <v>0</v>
      </c>
      <c r="CU578">
        <v>0</v>
      </c>
      <c r="CV578" t="s">
        <v>1045</v>
      </c>
      <c r="CW578">
        <v>0</v>
      </c>
      <c r="CX578">
        <v>0</v>
      </c>
      <c r="CY578">
        <v>0</v>
      </c>
      <c r="CZ578">
        <v>0</v>
      </c>
      <c r="DB578">
        <v>0</v>
      </c>
      <c r="DC578" t="s">
        <v>1043</v>
      </c>
      <c r="DF578" t="s">
        <v>1055</v>
      </c>
      <c r="DH578">
        <v>0</v>
      </c>
      <c r="DJ578">
        <v>0</v>
      </c>
      <c r="DK578" t="s">
        <v>1053</v>
      </c>
      <c r="DL578">
        <v>0</v>
      </c>
      <c r="DN578">
        <v>0</v>
      </c>
      <c r="DO578" t="s">
        <v>1042</v>
      </c>
      <c r="DP578">
        <v>0</v>
      </c>
      <c r="DQ578">
        <v>0</v>
      </c>
      <c r="DS578">
        <v>0</v>
      </c>
      <c r="DU578">
        <v>0</v>
      </c>
      <c r="DW578">
        <v>0</v>
      </c>
      <c r="DX578" t="s">
        <v>1043</v>
      </c>
      <c r="DY578">
        <v>0</v>
      </c>
      <c r="DZ578">
        <v>0</v>
      </c>
      <c r="EA578">
        <v>0</v>
      </c>
      <c r="ED578" t="s">
        <v>1045</v>
      </c>
      <c r="EE578">
        <v>0</v>
      </c>
      <c r="EF578">
        <v>0</v>
      </c>
      <c r="EQ578" t="s">
        <v>1044</v>
      </c>
      <c r="ES578" t="s">
        <v>1053</v>
      </c>
      <c r="ET578">
        <v>0</v>
      </c>
      <c r="EV578">
        <v>0</v>
      </c>
      <c r="EY578" t="s">
        <v>1052</v>
      </c>
      <c r="EZ578">
        <v>0</v>
      </c>
      <c r="FA578" t="s">
        <v>1043</v>
      </c>
      <c r="FB578">
        <v>0</v>
      </c>
      <c r="FC578">
        <v>0</v>
      </c>
      <c r="FE578" t="s">
        <v>1050</v>
      </c>
      <c r="FF578">
        <v>0</v>
      </c>
      <c r="FG578" t="s">
        <v>1050</v>
      </c>
      <c r="FJ578">
        <v>0</v>
      </c>
      <c r="FK578">
        <v>0</v>
      </c>
      <c r="FP578">
        <v>0</v>
      </c>
      <c r="FQ578" t="s">
        <v>1044</v>
      </c>
      <c r="FR578">
        <v>0</v>
      </c>
      <c r="FS578" t="s">
        <v>1043</v>
      </c>
      <c r="FX578" t="s">
        <v>1042</v>
      </c>
      <c r="FZ578" t="s">
        <v>1048</v>
      </c>
      <c r="GA578">
        <v>0</v>
      </c>
      <c r="GB578" t="s">
        <v>1042</v>
      </c>
      <c r="GE578">
        <v>0</v>
      </c>
      <c r="GG578">
        <v>0</v>
      </c>
      <c r="GN578">
        <v>0</v>
      </c>
      <c r="GO578" t="s">
        <v>1063</v>
      </c>
      <c r="GQ578">
        <v>0</v>
      </c>
      <c r="GU578">
        <v>0</v>
      </c>
      <c r="GY578" t="s">
        <v>1045</v>
      </c>
      <c r="HB578">
        <v>0</v>
      </c>
      <c r="HE578">
        <v>0</v>
      </c>
      <c r="HF578">
        <v>0</v>
      </c>
      <c r="HG578">
        <v>0</v>
      </c>
      <c r="HK578" t="s">
        <v>1042</v>
      </c>
      <c r="HM578" t="s">
        <v>1047</v>
      </c>
      <c r="HN578">
        <v>0</v>
      </c>
      <c r="HP578">
        <v>0</v>
      </c>
      <c r="HQ578">
        <v>0</v>
      </c>
      <c r="HR578" t="s">
        <v>1042</v>
      </c>
      <c r="HS578" t="s">
        <v>1043</v>
      </c>
      <c r="HT578">
        <v>0</v>
      </c>
      <c r="HU578">
        <v>0</v>
      </c>
      <c r="HV578" t="s">
        <v>1088</v>
      </c>
      <c r="HW578">
        <v>0</v>
      </c>
      <c r="HX578">
        <v>0</v>
      </c>
      <c r="HY578">
        <v>1</v>
      </c>
      <c r="HZ578" t="s">
        <v>1045</v>
      </c>
      <c r="IA578">
        <v>6.99</v>
      </c>
      <c r="IB578" t="s">
        <v>1045</v>
      </c>
      <c r="ID578" t="s">
        <v>1045</v>
      </c>
      <c r="IF578">
        <v>0</v>
      </c>
      <c r="IG578" t="s">
        <v>1042</v>
      </c>
      <c r="II578" t="s">
        <v>1042</v>
      </c>
      <c r="IR578" t="s">
        <v>1045</v>
      </c>
      <c r="IT578">
        <v>0</v>
      </c>
      <c r="IY578" t="s">
        <v>1044</v>
      </c>
      <c r="IZ578" t="s">
        <v>1043</v>
      </c>
      <c r="JA578" t="s">
        <v>1043</v>
      </c>
      <c r="JC578" t="s">
        <v>1043</v>
      </c>
      <c r="JE578">
        <v>0</v>
      </c>
      <c r="JF578">
        <v>0</v>
      </c>
      <c r="JI578" t="s">
        <v>1042</v>
      </c>
      <c r="JJ578">
        <v>0</v>
      </c>
      <c r="JK578">
        <v>0</v>
      </c>
      <c r="JL578">
        <v>0</v>
      </c>
      <c r="JM578">
        <v>0</v>
      </c>
      <c r="JQ578" t="s">
        <v>1043</v>
      </c>
      <c r="JT578">
        <v>0</v>
      </c>
      <c r="JU578" t="s">
        <v>1042</v>
      </c>
      <c r="JW578">
        <v>0</v>
      </c>
      <c r="KA578">
        <v>0</v>
      </c>
      <c r="KF578">
        <v>0</v>
      </c>
      <c r="KG578">
        <v>0</v>
      </c>
      <c r="KH578">
        <v>0</v>
      </c>
      <c r="KI578">
        <v>0</v>
      </c>
      <c r="KJ578" t="s">
        <v>1044</v>
      </c>
      <c r="KS578" t="s">
        <v>1073</v>
      </c>
      <c r="KT578">
        <v>0</v>
      </c>
      <c r="KU578">
        <v>0</v>
      </c>
      <c r="KV578">
        <v>0</v>
      </c>
      <c r="KX578">
        <v>0</v>
      </c>
      <c r="KY578" t="s">
        <v>1045</v>
      </c>
      <c r="KZ578">
        <v>0</v>
      </c>
      <c r="LF578">
        <v>0</v>
      </c>
      <c r="LH578">
        <v>0</v>
      </c>
      <c r="LI578">
        <v>0</v>
      </c>
    </row>
    <row r="579" spans="1:321" x14ac:dyDescent="0.35">
      <c r="A579">
        <v>1</v>
      </c>
      <c r="B579">
        <v>1366</v>
      </c>
      <c r="C579" t="s">
        <v>727</v>
      </c>
      <c r="D579" t="s">
        <v>1061</v>
      </c>
      <c r="E579" t="s">
        <v>85</v>
      </c>
      <c r="F579">
        <v>1</v>
      </c>
      <c r="G579">
        <v>220</v>
      </c>
      <c r="H579">
        <v>0</v>
      </c>
      <c r="I579" t="s">
        <v>994</v>
      </c>
      <c r="L579">
        <v>0</v>
      </c>
      <c r="M579">
        <v>0</v>
      </c>
      <c r="N579">
        <v>0</v>
      </c>
      <c r="Q579">
        <v>516</v>
      </c>
      <c r="R579">
        <v>0</v>
      </c>
      <c r="S579">
        <v>0</v>
      </c>
      <c r="W579" t="s">
        <v>1060</v>
      </c>
      <c r="X579">
        <v>0</v>
      </c>
      <c r="Z579">
        <v>10</v>
      </c>
      <c r="AA579">
        <v>9.4489999999999998</v>
      </c>
      <c r="AB579">
        <v>1534</v>
      </c>
      <c r="AC579">
        <v>0</v>
      </c>
      <c r="AD579" t="s">
        <v>1042</v>
      </c>
      <c r="AE579">
        <v>0</v>
      </c>
      <c r="AF579">
        <v>1.61E-2</v>
      </c>
      <c r="AH579">
        <v>1434</v>
      </c>
      <c r="AJ579">
        <v>1</v>
      </c>
      <c r="AK579" t="s">
        <v>1154</v>
      </c>
      <c r="AL579">
        <v>0</v>
      </c>
      <c r="AM579">
        <v>0</v>
      </c>
      <c r="AN579">
        <v>11501001</v>
      </c>
      <c r="AO579">
        <v>0</v>
      </c>
      <c r="AP579">
        <v>1002</v>
      </c>
      <c r="AT579">
        <v>1</v>
      </c>
      <c r="AU579" t="s">
        <v>1059</v>
      </c>
      <c r="AV579" t="s">
        <v>1043</v>
      </c>
      <c r="AW579" t="s">
        <v>1053</v>
      </c>
      <c r="AX579">
        <v>0</v>
      </c>
      <c r="AY579" s="20">
        <v>43679</v>
      </c>
      <c r="BA579" s="20">
        <v>44643</v>
      </c>
      <c r="BB579" t="s">
        <v>1058</v>
      </c>
      <c r="BD579">
        <v>0</v>
      </c>
      <c r="BF579" t="s">
        <v>1044</v>
      </c>
      <c r="BG579" t="s">
        <v>1042</v>
      </c>
      <c r="BH579">
        <v>0</v>
      </c>
      <c r="BI579">
        <v>6</v>
      </c>
      <c r="BJ579">
        <v>0</v>
      </c>
      <c r="BK579">
        <v>0</v>
      </c>
      <c r="BM579" s="20">
        <v>44162</v>
      </c>
      <c r="BN579">
        <v>0</v>
      </c>
      <c r="BO579">
        <v>7897801319980</v>
      </c>
      <c r="BR579" t="s">
        <v>1043</v>
      </c>
      <c r="BS579" t="s">
        <v>1043</v>
      </c>
      <c r="BT579" t="s">
        <v>1043</v>
      </c>
      <c r="BV579">
        <v>1</v>
      </c>
      <c r="BW579">
        <v>31</v>
      </c>
      <c r="BY579">
        <v>82</v>
      </c>
      <c r="CA579">
        <v>0</v>
      </c>
      <c r="CB579" t="s">
        <v>1043</v>
      </c>
      <c r="CE579" t="s">
        <v>1043</v>
      </c>
      <c r="CH579" t="s">
        <v>1043</v>
      </c>
      <c r="CI579" t="s">
        <v>1153</v>
      </c>
      <c r="CK579" t="s">
        <v>1152</v>
      </c>
      <c r="CN579" t="s">
        <v>1056</v>
      </c>
      <c r="CP579">
        <v>1</v>
      </c>
      <c r="CQ579">
        <v>0</v>
      </c>
      <c r="CS579">
        <v>0</v>
      </c>
      <c r="CT579">
        <v>0</v>
      </c>
      <c r="CU579">
        <v>0</v>
      </c>
      <c r="CW579">
        <v>0</v>
      </c>
      <c r="CX579">
        <v>0</v>
      </c>
      <c r="CY579">
        <v>0</v>
      </c>
      <c r="CZ579">
        <v>0</v>
      </c>
      <c r="DA579">
        <v>2</v>
      </c>
      <c r="DB579">
        <v>0</v>
      </c>
      <c r="DH579">
        <v>0</v>
      </c>
      <c r="DJ579">
        <v>0</v>
      </c>
      <c r="DL579">
        <v>0</v>
      </c>
      <c r="DN579">
        <v>0</v>
      </c>
      <c r="DO579" t="s">
        <v>1042</v>
      </c>
      <c r="DP579">
        <v>0</v>
      </c>
      <c r="DQ579">
        <v>7.6</v>
      </c>
      <c r="DS579">
        <v>0</v>
      </c>
      <c r="DU579">
        <v>1.65</v>
      </c>
      <c r="DW579">
        <v>0</v>
      </c>
      <c r="DY579">
        <v>0</v>
      </c>
      <c r="DZ579">
        <v>0</v>
      </c>
      <c r="EA579">
        <v>0</v>
      </c>
      <c r="EB579">
        <v>17897801319987</v>
      </c>
      <c r="EE579">
        <v>0</v>
      </c>
      <c r="EF579">
        <v>0</v>
      </c>
      <c r="EG579" t="s">
        <v>1044</v>
      </c>
      <c r="EK579" t="s">
        <v>1054</v>
      </c>
      <c r="EL579">
        <v>57897801319985</v>
      </c>
      <c r="EN579" t="s">
        <v>1012</v>
      </c>
      <c r="ET579">
        <v>0</v>
      </c>
      <c r="EV579">
        <v>0</v>
      </c>
      <c r="EY579" t="s">
        <v>1052</v>
      </c>
      <c r="EZ579">
        <v>0</v>
      </c>
      <c r="FA579" t="s">
        <v>1043</v>
      </c>
      <c r="FB579">
        <v>0</v>
      </c>
      <c r="FC579">
        <v>0</v>
      </c>
      <c r="FD579" t="s">
        <v>1051</v>
      </c>
      <c r="FE579" t="s">
        <v>1050</v>
      </c>
      <c r="FF579">
        <v>1200</v>
      </c>
      <c r="FG579" t="s">
        <v>1050</v>
      </c>
      <c r="FH579">
        <v>27897801319984</v>
      </c>
      <c r="FJ579">
        <v>0</v>
      </c>
      <c r="FK579">
        <v>0</v>
      </c>
      <c r="FP579">
        <v>0</v>
      </c>
      <c r="FR579">
        <v>0</v>
      </c>
      <c r="FS579" t="s">
        <v>1044</v>
      </c>
      <c r="FX579" t="s">
        <v>1042</v>
      </c>
      <c r="GA579">
        <v>0</v>
      </c>
      <c r="GB579" t="s">
        <v>1042</v>
      </c>
      <c r="GD579">
        <v>16</v>
      </c>
      <c r="GE579">
        <v>0</v>
      </c>
      <c r="GG579">
        <v>0</v>
      </c>
      <c r="GN579">
        <v>0</v>
      </c>
      <c r="GO579" t="s">
        <v>1049</v>
      </c>
      <c r="GQ579">
        <v>0</v>
      </c>
      <c r="GU579">
        <v>0</v>
      </c>
      <c r="GY579" t="s">
        <v>1045</v>
      </c>
      <c r="HB579">
        <v>0</v>
      </c>
      <c r="HE579">
        <v>10</v>
      </c>
      <c r="HF579">
        <v>0</v>
      </c>
      <c r="HG579">
        <v>4.0000000000000002E-4</v>
      </c>
      <c r="HK579" t="s">
        <v>1042</v>
      </c>
      <c r="HL579" t="s">
        <v>1048</v>
      </c>
      <c r="HM579">
        <v>0</v>
      </c>
      <c r="HN579">
        <v>0</v>
      </c>
      <c r="HO579">
        <v>35</v>
      </c>
      <c r="HP579">
        <v>1.5699999999999999E-2</v>
      </c>
      <c r="HQ579">
        <v>0</v>
      </c>
      <c r="HR579" t="s">
        <v>1042</v>
      </c>
      <c r="HT579">
        <v>0</v>
      </c>
      <c r="HU579">
        <v>0</v>
      </c>
      <c r="HW579">
        <v>0</v>
      </c>
      <c r="HX579">
        <v>2968</v>
      </c>
      <c r="HY579">
        <v>0</v>
      </c>
      <c r="IA579">
        <v>0</v>
      </c>
      <c r="IC579" t="s">
        <v>1151</v>
      </c>
      <c r="IF579">
        <v>36000</v>
      </c>
      <c r="IG579" t="s">
        <v>1042</v>
      </c>
      <c r="IH579" t="s">
        <v>1046</v>
      </c>
      <c r="II579" t="s">
        <v>1042</v>
      </c>
      <c r="IR579" t="s">
        <v>1045</v>
      </c>
      <c r="IT579">
        <v>0</v>
      </c>
      <c r="JE579">
        <v>0</v>
      </c>
      <c r="JF579">
        <v>0</v>
      </c>
      <c r="JI579" t="s">
        <v>1042</v>
      </c>
      <c r="JJ579">
        <v>0</v>
      </c>
      <c r="JK579">
        <v>0</v>
      </c>
      <c r="JL579">
        <v>0</v>
      </c>
      <c r="JM579">
        <v>0</v>
      </c>
      <c r="JT579">
        <v>0</v>
      </c>
      <c r="JU579" t="s">
        <v>1042</v>
      </c>
      <c r="JW579">
        <v>0</v>
      </c>
      <c r="KA579">
        <v>0</v>
      </c>
      <c r="KF579">
        <v>0</v>
      </c>
      <c r="KG579">
        <v>0</v>
      </c>
      <c r="KH579">
        <v>0</v>
      </c>
      <c r="KI579">
        <v>0</v>
      </c>
      <c r="KS579" t="s">
        <v>1041</v>
      </c>
      <c r="KT579">
        <v>0</v>
      </c>
      <c r="KU579">
        <v>0</v>
      </c>
      <c r="KV579">
        <v>0</v>
      </c>
      <c r="KX579">
        <v>0</v>
      </c>
      <c r="KZ579">
        <v>0</v>
      </c>
      <c r="LF579">
        <v>0</v>
      </c>
      <c r="LH579">
        <v>0</v>
      </c>
      <c r="LI579">
        <v>0</v>
      </c>
    </row>
    <row r="580" spans="1:321" x14ac:dyDescent="0.35">
      <c r="A580">
        <v>1</v>
      </c>
      <c r="B580">
        <v>1367</v>
      </c>
      <c r="C580" t="s">
        <v>728</v>
      </c>
      <c r="D580" t="s">
        <v>1061</v>
      </c>
      <c r="E580" t="s">
        <v>85</v>
      </c>
      <c r="F580">
        <v>1</v>
      </c>
      <c r="G580">
        <v>220</v>
      </c>
      <c r="H580">
        <v>0</v>
      </c>
      <c r="I580" t="s">
        <v>994</v>
      </c>
      <c r="L580">
        <v>0</v>
      </c>
      <c r="M580">
        <v>0</v>
      </c>
      <c r="N580">
        <v>0</v>
      </c>
      <c r="Q580">
        <v>516</v>
      </c>
      <c r="R580">
        <v>0</v>
      </c>
      <c r="S580">
        <v>0</v>
      </c>
      <c r="W580" t="s">
        <v>1060</v>
      </c>
      <c r="X580">
        <v>0</v>
      </c>
      <c r="Z580">
        <v>10</v>
      </c>
      <c r="AA580">
        <v>15.006</v>
      </c>
      <c r="AB580">
        <v>27435</v>
      </c>
      <c r="AC580">
        <v>0</v>
      </c>
      <c r="AD580" t="s">
        <v>1042</v>
      </c>
      <c r="AE580">
        <v>0</v>
      </c>
      <c r="AF580">
        <v>3.2000000000000001E-2</v>
      </c>
      <c r="AH580">
        <v>24984</v>
      </c>
      <c r="AJ580">
        <v>1</v>
      </c>
      <c r="AK580" t="s">
        <v>1154</v>
      </c>
      <c r="AL580">
        <v>0</v>
      </c>
      <c r="AM580">
        <v>0</v>
      </c>
      <c r="AN580">
        <v>11501001</v>
      </c>
      <c r="AO580">
        <v>0</v>
      </c>
      <c r="AP580">
        <v>1002</v>
      </c>
      <c r="AT580">
        <v>1</v>
      </c>
      <c r="AU580" t="s">
        <v>1059</v>
      </c>
      <c r="AV580" t="s">
        <v>1043</v>
      </c>
      <c r="AW580" t="s">
        <v>1053</v>
      </c>
      <c r="AX580">
        <v>0</v>
      </c>
      <c r="AY580" s="20">
        <v>43679</v>
      </c>
      <c r="BA580" s="20">
        <v>44643</v>
      </c>
      <c r="BB580" t="s">
        <v>1058</v>
      </c>
      <c r="BD580">
        <v>0</v>
      </c>
      <c r="BF580" t="s">
        <v>1044</v>
      </c>
      <c r="BG580" t="s">
        <v>1042</v>
      </c>
      <c r="BH580">
        <v>0</v>
      </c>
      <c r="BI580">
        <v>6</v>
      </c>
      <c r="BJ580">
        <v>0</v>
      </c>
      <c r="BK580">
        <v>0</v>
      </c>
      <c r="BM580" s="20">
        <v>44162</v>
      </c>
      <c r="BN580">
        <v>0</v>
      </c>
      <c r="BO580">
        <v>7897801319997</v>
      </c>
      <c r="BR580" t="s">
        <v>1043</v>
      </c>
      <c r="BS580" t="s">
        <v>1043</v>
      </c>
      <c r="BT580" t="s">
        <v>1043</v>
      </c>
      <c r="BV580">
        <v>1</v>
      </c>
      <c r="BW580">
        <v>31</v>
      </c>
      <c r="BY580">
        <v>82</v>
      </c>
      <c r="CA580">
        <v>0</v>
      </c>
      <c r="CB580" t="s">
        <v>1043</v>
      </c>
      <c r="CE580" t="s">
        <v>1043</v>
      </c>
      <c r="CH580" t="s">
        <v>1043</v>
      </c>
      <c r="CI580" t="s">
        <v>1153</v>
      </c>
      <c r="CK580" t="s">
        <v>1152</v>
      </c>
      <c r="CN580" t="s">
        <v>1056</v>
      </c>
      <c r="CP580">
        <v>1</v>
      </c>
      <c r="CQ580">
        <v>0</v>
      </c>
      <c r="CS580">
        <v>0</v>
      </c>
      <c r="CT580">
        <v>0</v>
      </c>
      <c r="CU580">
        <v>0</v>
      </c>
      <c r="CW580">
        <v>0</v>
      </c>
      <c r="CX580">
        <v>0</v>
      </c>
      <c r="CY580">
        <v>0</v>
      </c>
      <c r="CZ580">
        <v>0</v>
      </c>
      <c r="DA580">
        <v>2</v>
      </c>
      <c r="DB580">
        <v>0</v>
      </c>
      <c r="DH580">
        <v>0</v>
      </c>
      <c r="DJ580">
        <v>0</v>
      </c>
      <c r="DL580">
        <v>0</v>
      </c>
      <c r="DN580">
        <v>0</v>
      </c>
      <c r="DO580" t="s">
        <v>1042</v>
      </c>
      <c r="DP580">
        <v>0</v>
      </c>
      <c r="DQ580">
        <v>7.6</v>
      </c>
      <c r="DS580">
        <v>0</v>
      </c>
      <c r="DU580">
        <v>1.65</v>
      </c>
      <c r="DW580">
        <v>0</v>
      </c>
      <c r="DY580">
        <v>0</v>
      </c>
      <c r="DZ580">
        <v>0</v>
      </c>
      <c r="EA580">
        <v>0</v>
      </c>
      <c r="EB580">
        <v>17897801319994</v>
      </c>
      <c r="EE580">
        <v>0</v>
      </c>
      <c r="EF580">
        <v>0</v>
      </c>
      <c r="EG580" t="s">
        <v>1044</v>
      </c>
      <c r="EK580" t="s">
        <v>1054</v>
      </c>
      <c r="EL580">
        <v>57897801319992</v>
      </c>
      <c r="EN580" t="s">
        <v>1012</v>
      </c>
      <c r="ET580">
        <v>0</v>
      </c>
      <c r="EV580">
        <v>0</v>
      </c>
      <c r="EY580" t="s">
        <v>1052</v>
      </c>
      <c r="EZ580">
        <v>0</v>
      </c>
      <c r="FA580" t="s">
        <v>1043</v>
      </c>
      <c r="FB580">
        <v>0</v>
      </c>
      <c r="FC580">
        <v>0</v>
      </c>
      <c r="FD580" t="s">
        <v>1051</v>
      </c>
      <c r="FE580" t="s">
        <v>1050</v>
      </c>
      <c r="FF580">
        <v>500</v>
      </c>
      <c r="FG580" t="s">
        <v>1050</v>
      </c>
      <c r="FH580">
        <v>27897801319991</v>
      </c>
      <c r="FJ580">
        <v>0</v>
      </c>
      <c r="FK580">
        <v>0</v>
      </c>
      <c r="FP580">
        <v>0</v>
      </c>
      <c r="FR580">
        <v>0</v>
      </c>
      <c r="FS580" t="s">
        <v>1044</v>
      </c>
      <c r="FX580" t="s">
        <v>1042</v>
      </c>
      <c r="GA580">
        <v>0</v>
      </c>
      <c r="GB580" t="s">
        <v>1042</v>
      </c>
      <c r="GD580">
        <v>16</v>
      </c>
      <c r="GE580">
        <v>0</v>
      </c>
      <c r="GG580">
        <v>0</v>
      </c>
      <c r="GN580">
        <v>0</v>
      </c>
      <c r="GO580" t="s">
        <v>1049</v>
      </c>
      <c r="GQ580">
        <v>0</v>
      </c>
      <c r="GU580">
        <v>0</v>
      </c>
      <c r="GY580" t="s">
        <v>1045</v>
      </c>
      <c r="HB580">
        <v>0</v>
      </c>
      <c r="HE580">
        <v>10</v>
      </c>
      <c r="HF580">
        <v>0</v>
      </c>
      <c r="HG580">
        <v>9.1E-4</v>
      </c>
      <c r="HK580" t="s">
        <v>1042</v>
      </c>
      <c r="HL580" t="s">
        <v>1048</v>
      </c>
      <c r="HM580">
        <v>0</v>
      </c>
      <c r="HN580">
        <v>0</v>
      </c>
      <c r="HO580">
        <v>35</v>
      </c>
      <c r="HP580">
        <v>3.0599999999999999E-2</v>
      </c>
      <c r="HQ580">
        <v>0</v>
      </c>
      <c r="HR580" t="s">
        <v>1042</v>
      </c>
      <c r="HT580">
        <v>0</v>
      </c>
      <c r="HU580">
        <v>0</v>
      </c>
      <c r="HW580">
        <v>0</v>
      </c>
      <c r="HX580">
        <v>52420</v>
      </c>
      <c r="HY580">
        <v>0</v>
      </c>
      <c r="IA580">
        <v>0</v>
      </c>
      <c r="IC580" t="s">
        <v>1151</v>
      </c>
      <c r="IF580">
        <v>15000</v>
      </c>
      <c r="IG580" t="s">
        <v>1042</v>
      </c>
      <c r="IH580" t="s">
        <v>1046</v>
      </c>
      <c r="II580" t="s">
        <v>1042</v>
      </c>
      <c r="IR580" t="s">
        <v>1045</v>
      </c>
      <c r="IT580">
        <v>0</v>
      </c>
      <c r="JE580">
        <v>0</v>
      </c>
      <c r="JF580">
        <v>0</v>
      </c>
      <c r="JI580" t="s">
        <v>1042</v>
      </c>
      <c r="JJ580">
        <v>0</v>
      </c>
      <c r="JK580">
        <v>0</v>
      </c>
      <c r="JL580">
        <v>0</v>
      </c>
      <c r="JM580">
        <v>0</v>
      </c>
      <c r="JT580">
        <v>0</v>
      </c>
      <c r="JU580" t="s">
        <v>1042</v>
      </c>
      <c r="JW580">
        <v>0</v>
      </c>
      <c r="KA580">
        <v>0</v>
      </c>
      <c r="KF580">
        <v>0</v>
      </c>
      <c r="KG580">
        <v>0</v>
      </c>
      <c r="KH580">
        <v>0</v>
      </c>
      <c r="KI580">
        <v>0</v>
      </c>
      <c r="KS580" t="s">
        <v>1041</v>
      </c>
      <c r="KT580">
        <v>0</v>
      </c>
      <c r="KU580">
        <v>0</v>
      </c>
      <c r="KV580">
        <v>0</v>
      </c>
      <c r="KX580">
        <v>0</v>
      </c>
      <c r="KZ580">
        <v>0</v>
      </c>
      <c r="LF580">
        <v>0</v>
      </c>
      <c r="LH580">
        <v>0</v>
      </c>
      <c r="LI580">
        <v>0</v>
      </c>
    </row>
    <row r="581" spans="1:321" x14ac:dyDescent="0.35">
      <c r="A581">
        <v>1</v>
      </c>
      <c r="B581">
        <v>1368</v>
      </c>
      <c r="C581" t="s">
        <v>729</v>
      </c>
      <c r="D581" t="s">
        <v>1061</v>
      </c>
      <c r="E581" t="s">
        <v>85</v>
      </c>
      <c r="F581">
        <v>1</v>
      </c>
      <c r="G581">
        <v>220</v>
      </c>
      <c r="H581">
        <v>0</v>
      </c>
      <c r="I581" t="s">
        <v>994</v>
      </c>
      <c r="L581">
        <v>0</v>
      </c>
      <c r="M581">
        <v>0</v>
      </c>
      <c r="N581">
        <v>0</v>
      </c>
      <c r="Q581">
        <v>516</v>
      </c>
      <c r="R581">
        <v>0</v>
      </c>
      <c r="S581">
        <v>0</v>
      </c>
      <c r="W581" t="s">
        <v>1060</v>
      </c>
      <c r="X581">
        <v>0</v>
      </c>
      <c r="Z581">
        <v>10</v>
      </c>
      <c r="AA581">
        <v>26.643999999999998</v>
      </c>
      <c r="AB581">
        <v>5421</v>
      </c>
      <c r="AC581">
        <v>1.3237000000000001</v>
      </c>
      <c r="AD581" t="s">
        <v>1042</v>
      </c>
      <c r="AE581">
        <v>0</v>
      </c>
      <c r="AF581">
        <v>5.5E-2</v>
      </c>
      <c r="AH581">
        <v>4808</v>
      </c>
      <c r="AJ581">
        <v>1</v>
      </c>
      <c r="AK581" t="s">
        <v>1154</v>
      </c>
      <c r="AL581">
        <v>0</v>
      </c>
      <c r="AM581">
        <v>0</v>
      </c>
      <c r="AN581">
        <v>11501001</v>
      </c>
      <c r="AO581">
        <v>0</v>
      </c>
      <c r="AP581">
        <v>1002</v>
      </c>
      <c r="AT581">
        <v>1</v>
      </c>
      <c r="AU581" t="s">
        <v>1059</v>
      </c>
      <c r="AV581" t="s">
        <v>1043</v>
      </c>
      <c r="AW581" t="s">
        <v>1053</v>
      </c>
      <c r="AX581">
        <v>0</v>
      </c>
      <c r="AY581" s="20">
        <v>43679</v>
      </c>
      <c r="BA581" s="20">
        <v>44643</v>
      </c>
      <c r="BB581" t="s">
        <v>1058</v>
      </c>
      <c r="BD581">
        <v>0</v>
      </c>
      <c r="BF581" t="s">
        <v>1044</v>
      </c>
      <c r="BG581" t="s">
        <v>1042</v>
      </c>
      <c r="BH581">
        <v>0</v>
      </c>
      <c r="BI581">
        <v>6</v>
      </c>
      <c r="BJ581">
        <v>0</v>
      </c>
      <c r="BK581">
        <v>0</v>
      </c>
      <c r="BM581" s="20">
        <v>44162</v>
      </c>
      <c r="BN581">
        <v>0</v>
      </c>
      <c r="BO581">
        <v>7897801320009</v>
      </c>
      <c r="BR581" t="s">
        <v>1043</v>
      </c>
      <c r="BS581" t="s">
        <v>1043</v>
      </c>
      <c r="BT581" t="s">
        <v>1043</v>
      </c>
      <c r="BV581">
        <v>1</v>
      </c>
      <c r="BW581">
        <v>31</v>
      </c>
      <c r="BY581">
        <v>82</v>
      </c>
      <c r="CA581">
        <v>0</v>
      </c>
      <c r="CB581" t="s">
        <v>1043</v>
      </c>
      <c r="CE581" t="s">
        <v>1043</v>
      </c>
      <c r="CH581" t="s">
        <v>1043</v>
      </c>
      <c r="CI581" t="s">
        <v>1153</v>
      </c>
      <c r="CK581" t="s">
        <v>1152</v>
      </c>
      <c r="CN581" t="s">
        <v>1056</v>
      </c>
      <c r="CP581">
        <v>1</v>
      </c>
      <c r="CQ581">
        <v>0</v>
      </c>
      <c r="CS581">
        <v>0</v>
      </c>
      <c r="CT581">
        <v>0</v>
      </c>
      <c r="CU581">
        <v>0</v>
      </c>
      <c r="CW581">
        <v>0</v>
      </c>
      <c r="CX581">
        <v>0</v>
      </c>
      <c r="CY581">
        <v>0</v>
      </c>
      <c r="CZ581">
        <v>0</v>
      </c>
      <c r="DA581">
        <v>2</v>
      </c>
      <c r="DB581">
        <v>0</v>
      </c>
      <c r="DH581">
        <v>0</v>
      </c>
      <c r="DJ581">
        <v>0</v>
      </c>
      <c r="DL581">
        <v>0</v>
      </c>
      <c r="DN581">
        <v>0</v>
      </c>
      <c r="DO581" t="s">
        <v>1042</v>
      </c>
      <c r="DP581">
        <v>0</v>
      </c>
      <c r="DQ581">
        <v>7.6</v>
      </c>
      <c r="DS581">
        <v>0</v>
      </c>
      <c r="DU581">
        <v>1.65</v>
      </c>
      <c r="DW581">
        <v>0</v>
      </c>
      <c r="DY581">
        <v>0</v>
      </c>
      <c r="DZ581">
        <v>0</v>
      </c>
      <c r="EA581">
        <v>0</v>
      </c>
      <c r="EB581">
        <v>17897801320006</v>
      </c>
      <c r="EE581">
        <v>0</v>
      </c>
      <c r="EF581">
        <v>0</v>
      </c>
      <c r="EG581" t="s">
        <v>1044</v>
      </c>
      <c r="EK581" t="s">
        <v>1054</v>
      </c>
      <c r="EL581">
        <v>57897801320004</v>
      </c>
      <c r="EN581" t="s">
        <v>1012</v>
      </c>
      <c r="ET581">
        <v>0</v>
      </c>
      <c r="EV581">
        <v>0</v>
      </c>
      <c r="EY581" t="s">
        <v>1052</v>
      </c>
      <c r="EZ581">
        <v>0</v>
      </c>
      <c r="FA581" t="s">
        <v>1043</v>
      </c>
      <c r="FB581">
        <v>0</v>
      </c>
      <c r="FC581">
        <v>0</v>
      </c>
      <c r="FD581" t="s">
        <v>1051</v>
      </c>
      <c r="FE581" t="s">
        <v>1050</v>
      </c>
      <c r="FF581">
        <v>250</v>
      </c>
      <c r="FG581" t="s">
        <v>1050</v>
      </c>
      <c r="FH581">
        <v>27897801320003</v>
      </c>
      <c r="FJ581">
        <v>0</v>
      </c>
      <c r="FK581">
        <v>0</v>
      </c>
      <c r="FP581">
        <v>0</v>
      </c>
      <c r="FR581">
        <v>0</v>
      </c>
      <c r="FS581" t="s">
        <v>1044</v>
      </c>
      <c r="FX581" t="s">
        <v>1042</v>
      </c>
      <c r="GA581">
        <v>0</v>
      </c>
      <c r="GB581" t="s">
        <v>1042</v>
      </c>
      <c r="GD581">
        <v>16</v>
      </c>
      <c r="GE581">
        <v>0</v>
      </c>
      <c r="GG581">
        <v>0</v>
      </c>
      <c r="GN581">
        <v>0</v>
      </c>
      <c r="GO581" t="s">
        <v>1049</v>
      </c>
      <c r="GQ581">
        <v>0</v>
      </c>
      <c r="GU581">
        <v>0</v>
      </c>
      <c r="GY581" t="s">
        <v>1045</v>
      </c>
      <c r="HB581">
        <v>0</v>
      </c>
      <c r="HE581">
        <v>10</v>
      </c>
      <c r="HF581">
        <v>0</v>
      </c>
      <c r="HG581">
        <v>1.9E-3</v>
      </c>
      <c r="HK581" t="s">
        <v>1042</v>
      </c>
      <c r="HL581" t="s">
        <v>1048</v>
      </c>
      <c r="HM581">
        <v>0</v>
      </c>
      <c r="HN581">
        <v>0</v>
      </c>
      <c r="HO581">
        <v>35</v>
      </c>
      <c r="HP581">
        <v>5.4999999999999997E-3</v>
      </c>
      <c r="HQ581">
        <v>0</v>
      </c>
      <c r="HR581" t="s">
        <v>1042</v>
      </c>
      <c r="HT581">
        <v>0</v>
      </c>
      <c r="HU581">
        <v>0</v>
      </c>
      <c r="HW581">
        <v>0</v>
      </c>
      <c r="HX581">
        <v>10228</v>
      </c>
      <c r="HY581">
        <v>0</v>
      </c>
      <c r="IA581">
        <v>0</v>
      </c>
      <c r="IC581" t="s">
        <v>1151</v>
      </c>
      <c r="IF581">
        <v>7500</v>
      </c>
      <c r="IG581" t="s">
        <v>1042</v>
      </c>
      <c r="IH581" t="s">
        <v>1046</v>
      </c>
      <c r="II581" t="s">
        <v>1042</v>
      </c>
      <c r="IR581" t="s">
        <v>1045</v>
      </c>
      <c r="IT581">
        <v>0</v>
      </c>
      <c r="JE581">
        <v>0</v>
      </c>
      <c r="JF581">
        <v>0</v>
      </c>
      <c r="JI581" t="s">
        <v>1042</v>
      </c>
      <c r="JJ581">
        <v>0</v>
      </c>
      <c r="JK581">
        <v>0</v>
      </c>
      <c r="JL581">
        <v>0</v>
      </c>
      <c r="JM581">
        <v>0</v>
      </c>
      <c r="JT581">
        <v>0</v>
      </c>
      <c r="JU581" t="s">
        <v>1042</v>
      </c>
      <c r="JW581">
        <v>0</v>
      </c>
      <c r="KA581">
        <v>0</v>
      </c>
      <c r="KF581">
        <v>0</v>
      </c>
      <c r="KG581">
        <v>0</v>
      </c>
      <c r="KH581">
        <v>0</v>
      </c>
      <c r="KI581">
        <v>0</v>
      </c>
      <c r="KS581" t="s">
        <v>1041</v>
      </c>
      <c r="KT581">
        <v>0</v>
      </c>
      <c r="KU581">
        <v>0</v>
      </c>
      <c r="KV581">
        <v>0</v>
      </c>
      <c r="KX581">
        <v>0</v>
      </c>
      <c r="KZ581">
        <v>0</v>
      </c>
      <c r="LF581">
        <v>0</v>
      </c>
      <c r="LH581">
        <v>0</v>
      </c>
      <c r="LI581">
        <v>0</v>
      </c>
    </row>
    <row r="582" spans="1:321" x14ac:dyDescent="0.35">
      <c r="A582">
        <v>1</v>
      </c>
      <c r="B582">
        <v>1369</v>
      </c>
      <c r="C582" t="s">
        <v>730</v>
      </c>
      <c r="D582" t="s">
        <v>1089</v>
      </c>
      <c r="E582" t="s">
        <v>85</v>
      </c>
      <c r="F582">
        <v>1</v>
      </c>
      <c r="G582">
        <v>220</v>
      </c>
      <c r="H582">
        <v>0</v>
      </c>
      <c r="I582" t="s">
        <v>994</v>
      </c>
      <c r="L582">
        <v>0</v>
      </c>
      <c r="M582">
        <v>0</v>
      </c>
      <c r="N582">
        <v>0</v>
      </c>
      <c r="P582">
        <v>8</v>
      </c>
      <c r="Q582">
        <v>901</v>
      </c>
      <c r="R582">
        <v>0</v>
      </c>
      <c r="S582">
        <v>0</v>
      </c>
      <c r="W582" t="s">
        <v>1060</v>
      </c>
      <c r="X582">
        <v>0</v>
      </c>
      <c r="Z582">
        <v>10</v>
      </c>
      <c r="AA582">
        <v>70.8</v>
      </c>
      <c r="AB582">
        <v>0</v>
      </c>
      <c r="AC582">
        <v>8.9888999999999992</v>
      </c>
      <c r="AD582" s="20">
        <v>44672</v>
      </c>
      <c r="AE582">
        <v>11.4145</v>
      </c>
      <c r="AF582">
        <v>0.1191</v>
      </c>
      <c r="AH582">
        <v>0</v>
      </c>
      <c r="AJ582">
        <v>1</v>
      </c>
      <c r="AK582" t="s">
        <v>1154</v>
      </c>
      <c r="AL582">
        <v>0</v>
      </c>
      <c r="AM582">
        <v>0</v>
      </c>
      <c r="AN582">
        <v>11501008</v>
      </c>
      <c r="AO582">
        <v>0</v>
      </c>
      <c r="AP582">
        <v>1050</v>
      </c>
      <c r="AT582">
        <v>1</v>
      </c>
      <c r="AU582" t="s">
        <v>1059</v>
      </c>
      <c r="AV582" t="s">
        <v>1043</v>
      </c>
      <c r="AW582" t="s">
        <v>1053</v>
      </c>
      <c r="AX582">
        <v>1</v>
      </c>
      <c r="AY582" s="20">
        <v>44145</v>
      </c>
      <c r="BA582" s="20">
        <v>44379</v>
      </c>
      <c r="BB582" t="s">
        <v>1058</v>
      </c>
      <c r="BD582">
        <v>0</v>
      </c>
      <c r="BF582" t="s">
        <v>1044</v>
      </c>
      <c r="BG582" t="s">
        <v>1042</v>
      </c>
      <c r="BH582">
        <v>0</v>
      </c>
      <c r="BI582">
        <v>34</v>
      </c>
      <c r="BJ582">
        <v>0</v>
      </c>
      <c r="BK582">
        <v>0</v>
      </c>
      <c r="BM582" s="20">
        <v>44158</v>
      </c>
      <c r="BN582">
        <v>0</v>
      </c>
      <c r="BO582">
        <v>7897801320016</v>
      </c>
      <c r="BR582" t="s">
        <v>1043</v>
      </c>
      <c r="BS582" t="s">
        <v>1043</v>
      </c>
      <c r="BT582" t="s">
        <v>1043</v>
      </c>
      <c r="BV582">
        <v>1</v>
      </c>
      <c r="BW582">
        <v>31</v>
      </c>
      <c r="BY582">
        <v>82</v>
      </c>
      <c r="CA582">
        <v>0</v>
      </c>
      <c r="CB582" t="s">
        <v>1043</v>
      </c>
      <c r="CE582" t="s">
        <v>1043</v>
      </c>
      <c r="CH582" t="s">
        <v>1043</v>
      </c>
      <c r="CI582" t="s">
        <v>1153</v>
      </c>
      <c r="CK582" t="s">
        <v>1152</v>
      </c>
      <c r="CN582" t="s">
        <v>1056</v>
      </c>
      <c r="CP582">
        <v>1</v>
      </c>
      <c r="CQ582">
        <v>0</v>
      </c>
      <c r="CS582">
        <v>0</v>
      </c>
      <c r="CT582">
        <v>0</v>
      </c>
      <c r="CU582">
        <v>0</v>
      </c>
      <c r="CW582">
        <v>0</v>
      </c>
      <c r="CX582">
        <v>0</v>
      </c>
      <c r="CY582">
        <v>0</v>
      </c>
      <c r="CZ582">
        <v>0</v>
      </c>
      <c r="DA582">
        <v>1</v>
      </c>
      <c r="DB582">
        <v>0</v>
      </c>
      <c r="DH582">
        <v>0</v>
      </c>
      <c r="DJ582">
        <v>0</v>
      </c>
      <c r="DL582">
        <v>0</v>
      </c>
      <c r="DN582">
        <v>0</v>
      </c>
      <c r="DO582" t="s">
        <v>1042</v>
      </c>
      <c r="DP582">
        <v>0</v>
      </c>
      <c r="DQ582">
        <v>7.6</v>
      </c>
      <c r="DS582">
        <v>0</v>
      </c>
      <c r="DU582">
        <v>1.65</v>
      </c>
      <c r="DW582">
        <v>0</v>
      </c>
      <c r="DY582">
        <v>0</v>
      </c>
      <c r="DZ582">
        <v>0</v>
      </c>
      <c r="EA582">
        <v>0</v>
      </c>
      <c r="EB582">
        <v>17897801320013</v>
      </c>
      <c r="EE582">
        <v>0</v>
      </c>
      <c r="EF582">
        <v>0</v>
      </c>
      <c r="EG582" t="s">
        <v>1044</v>
      </c>
      <c r="EK582" t="s">
        <v>1054</v>
      </c>
      <c r="EL582">
        <v>57897801320011</v>
      </c>
      <c r="EN582" t="s">
        <v>1012</v>
      </c>
      <c r="ET582">
        <v>0</v>
      </c>
      <c r="EV582">
        <v>0</v>
      </c>
      <c r="EY582" t="s">
        <v>1052</v>
      </c>
      <c r="EZ582">
        <v>0</v>
      </c>
      <c r="FA582" t="s">
        <v>1043</v>
      </c>
      <c r="FB582">
        <v>0</v>
      </c>
      <c r="FC582">
        <v>0</v>
      </c>
      <c r="FD582" t="s">
        <v>1051</v>
      </c>
      <c r="FE582" t="s">
        <v>1050</v>
      </c>
      <c r="FF582">
        <v>70</v>
      </c>
      <c r="FG582" t="s">
        <v>1050</v>
      </c>
      <c r="FH582">
        <v>27897801320010</v>
      </c>
      <c r="FJ582">
        <v>0</v>
      </c>
      <c r="FK582">
        <v>0</v>
      </c>
      <c r="FP582">
        <v>0</v>
      </c>
      <c r="FR582">
        <v>0</v>
      </c>
      <c r="FS582" t="s">
        <v>1044</v>
      </c>
      <c r="FX582" t="s">
        <v>1042</v>
      </c>
      <c r="GA582">
        <v>0</v>
      </c>
      <c r="GB582" t="s">
        <v>1042</v>
      </c>
      <c r="GE582">
        <v>0</v>
      </c>
      <c r="GG582">
        <v>0</v>
      </c>
      <c r="GN582">
        <v>0</v>
      </c>
      <c r="GO582" t="s">
        <v>1063</v>
      </c>
      <c r="GQ582">
        <v>0</v>
      </c>
      <c r="GU582">
        <v>0</v>
      </c>
      <c r="GY582" t="s">
        <v>1045</v>
      </c>
      <c r="HB582">
        <v>0</v>
      </c>
      <c r="HE582">
        <v>10</v>
      </c>
      <c r="HF582">
        <v>0</v>
      </c>
      <c r="HG582">
        <v>4.1900000000000001E-3</v>
      </c>
      <c r="HK582" t="s">
        <v>1042</v>
      </c>
      <c r="HL582" t="s">
        <v>1048</v>
      </c>
      <c r="HM582">
        <v>0</v>
      </c>
      <c r="HN582">
        <v>0</v>
      </c>
      <c r="HO582">
        <v>35</v>
      </c>
      <c r="HP582">
        <v>0</v>
      </c>
      <c r="HQ582">
        <v>0</v>
      </c>
      <c r="HR582" s="20">
        <v>44221</v>
      </c>
      <c r="HT582">
        <v>0</v>
      </c>
      <c r="HU582">
        <v>0</v>
      </c>
      <c r="HW582">
        <v>0</v>
      </c>
      <c r="HX582">
        <v>0</v>
      </c>
      <c r="HY582">
        <v>1</v>
      </c>
      <c r="IA582">
        <v>11.41</v>
      </c>
      <c r="IC582" t="s">
        <v>1151</v>
      </c>
      <c r="IF582">
        <v>4200</v>
      </c>
      <c r="IG582" t="s">
        <v>1042</v>
      </c>
      <c r="IH582" t="s">
        <v>1046</v>
      </c>
      <c r="II582" t="s">
        <v>1042</v>
      </c>
      <c r="IR582" t="s">
        <v>1045</v>
      </c>
      <c r="IT582">
        <v>0</v>
      </c>
      <c r="JE582">
        <v>0</v>
      </c>
      <c r="JF582">
        <v>0</v>
      </c>
      <c r="JI582" t="s">
        <v>1042</v>
      </c>
      <c r="JJ582">
        <v>0</v>
      </c>
      <c r="JK582">
        <v>0</v>
      </c>
      <c r="JL582">
        <v>0</v>
      </c>
      <c r="JM582">
        <v>0</v>
      </c>
      <c r="JT582">
        <v>0</v>
      </c>
      <c r="JU582" t="s">
        <v>1042</v>
      </c>
      <c r="JW582">
        <v>0</v>
      </c>
      <c r="KA582">
        <v>0</v>
      </c>
      <c r="KF582">
        <v>0</v>
      </c>
      <c r="KG582">
        <v>0</v>
      </c>
      <c r="KH582">
        <v>0</v>
      </c>
      <c r="KI582">
        <v>0</v>
      </c>
      <c r="KS582" t="s">
        <v>1041</v>
      </c>
      <c r="KT582">
        <v>0</v>
      </c>
      <c r="KU582">
        <v>0</v>
      </c>
      <c r="KV582">
        <v>0</v>
      </c>
      <c r="KX582">
        <v>0</v>
      </c>
      <c r="KZ582">
        <v>0</v>
      </c>
      <c r="LF582">
        <v>0</v>
      </c>
      <c r="LH582">
        <v>15792</v>
      </c>
      <c r="LI582">
        <v>0</v>
      </c>
    </row>
    <row r="583" spans="1:321" x14ac:dyDescent="0.35">
      <c r="A583">
        <v>1</v>
      </c>
      <c r="B583">
        <v>1370</v>
      </c>
      <c r="C583" t="s">
        <v>731</v>
      </c>
      <c r="D583" t="s">
        <v>1061</v>
      </c>
      <c r="E583" t="s">
        <v>85</v>
      </c>
      <c r="F583">
        <v>1</v>
      </c>
      <c r="G583">
        <v>220</v>
      </c>
      <c r="H583">
        <v>0</v>
      </c>
      <c r="I583" t="s">
        <v>994</v>
      </c>
      <c r="L583">
        <v>0</v>
      </c>
      <c r="M583">
        <v>0</v>
      </c>
      <c r="N583">
        <v>0</v>
      </c>
      <c r="Q583">
        <v>516</v>
      </c>
      <c r="R583">
        <v>0</v>
      </c>
      <c r="S583">
        <v>0</v>
      </c>
      <c r="W583" t="s">
        <v>1060</v>
      </c>
      <c r="X583">
        <v>0</v>
      </c>
      <c r="Z583">
        <v>10</v>
      </c>
      <c r="AA583">
        <v>98.117000000000004</v>
      </c>
      <c r="AB583">
        <v>0</v>
      </c>
      <c r="AC583">
        <v>7.6151999999999997</v>
      </c>
      <c r="AD583" s="20">
        <v>44705</v>
      </c>
      <c r="AE583">
        <v>16.952698000000002</v>
      </c>
      <c r="AF583">
        <v>0.17019999999999999</v>
      </c>
      <c r="AH583">
        <v>0</v>
      </c>
      <c r="AJ583">
        <v>1</v>
      </c>
      <c r="AK583" t="s">
        <v>1154</v>
      </c>
      <c r="AL583">
        <v>0</v>
      </c>
      <c r="AM583">
        <v>0</v>
      </c>
      <c r="AN583">
        <v>11501001</v>
      </c>
      <c r="AO583">
        <v>0</v>
      </c>
      <c r="AP583">
        <v>1002</v>
      </c>
      <c r="AT583">
        <v>1</v>
      </c>
      <c r="AU583" t="s">
        <v>1059</v>
      </c>
      <c r="AV583" t="s">
        <v>1043</v>
      </c>
      <c r="AW583" t="s">
        <v>1053</v>
      </c>
      <c r="AX583">
        <v>1</v>
      </c>
      <c r="AY583" s="20">
        <v>44145</v>
      </c>
      <c r="BA583" s="20">
        <v>44379</v>
      </c>
      <c r="BB583" t="s">
        <v>1058</v>
      </c>
      <c r="BD583">
        <v>0</v>
      </c>
      <c r="BF583" t="s">
        <v>1044</v>
      </c>
      <c r="BG583" t="s">
        <v>1042</v>
      </c>
      <c r="BH583">
        <v>0</v>
      </c>
      <c r="BI583">
        <v>34</v>
      </c>
      <c r="BJ583">
        <v>0</v>
      </c>
      <c r="BK583">
        <v>0</v>
      </c>
      <c r="BM583" s="20">
        <v>44158</v>
      </c>
      <c r="BN583">
        <v>0</v>
      </c>
      <c r="BO583">
        <v>7897801320023</v>
      </c>
      <c r="BR583" t="s">
        <v>1043</v>
      </c>
      <c r="BS583" t="s">
        <v>1043</v>
      </c>
      <c r="BT583" t="s">
        <v>1043</v>
      </c>
      <c r="BV583">
        <v>1</v>
      </c>
      <c r="BW583">
        <v>31</v>
      </c>
      <c r="BY583">
        <v>82</v>
      </c>
      <c r="CA583">
        <v>0</v>
      </c>
      <c r="CB583" t="s">
        <v>1043</v>
      </c>
      <c r="CE583" t="s">
        <v>1043</v>
      </c>
      <c r="CH583" t="s">
        <v>1043</v>
      </c>
      <c r="CI583" t="s">
        <v>1153</v>
      </c>
      <c r="CK583" t="s">
        <v>1152</v>
      </c>
      <c r="CN583" t="s">
        <v>1056</v>
      </c>
      <c r="CP583">
        <v>1</v>
      </c>
      <c r="CQ583">
        <v>0</v>
      </c>
      <c r="CS583">
        <v>0</v>
      </c>
      <c r="CT583">
        <v>0</v>
      </c>
      <c r="CU583">
        <v>0</v>
      </c>
      <c r="CW583">
        <v>0</v>
      </c>
      <c r="CX583">
        <v>0</v>
      </c>
      <c r="CY583">
        <v>0</v>
      </c>
      <c r="CZ583">
        <v>0</v>
      </c>
      <c r="DA583">
        <v>1</v>
      </c>
      <c r="DB583">
        <v>0</v>
      </c>
      <c r="DH583">
        <v>0</v>
      </c>
      <c r="DJ583">
        <v>0</v>
      </c>
      <c r="DL583">
        <v>0</v>
      </c>
      <c r="DN583">
        <v>0</v>
      </c>
      <c r="DO583" t="s">
        <v>1042</v>
      </c>
      <c r="DP583">
        <v>0</v>
      </c>
      <c r="DQ583">
        <v>7.6</v>
      </c>
      <c r="DS583">
        <v>0</v>
      </c>
      <c r="DU583">
        <v>1.65</v>
      </c>
      <c r="DW583">
        <v>0</v>
      </c>
      <c r="DY583">
        <v>0</v>
      </c>
      <c r="DZ583">
        <v>0</v>
      </c>
      <c r="EA583">
        <v>0</v>
      </c>
      <c r="EB583">
        <v>17897801320020</v>
      </c>
      <c r="EE583">
        <v>0</v>
      </c>
      <c r="EF583">
        <v>0</v>
      </c>
      <c r="EG583" t="s">
        <v>1044</v>
      </c>
      <c r="EK583" t="s">
        <v>1054</v>
      </c>
      <c r="EL583">
        <v>57897801320028</v>
      </c>
      <c r="EN583" t="s">
        <v>1012</v>
      </c>
      <c r="ET583">
        <v>0</v>
      </c>
      <c r="EV583">
        <v>0</v>
      </c>
      <c r="EY583" t="s">
        <v>1052</v>
      </c>
      <c r="EZ583">
        <v>0</v>
      </c>
      <c r="FA583" t="s">
        <v>1043</v>
      </c>
      <c r="FB583">
        <v>0</v>
      </c>
      <c r="FC583">
        <v>0</v>
      </c>
      <c r="FD583" t="s">
        <v>1051</v>
      </c>
      <c r="FE583" t="s">
        <v>1050</v>
      </c>
      <c r="FF583">
        <v>50</v>
      </c>
      <c r="FG583" t="s">
        <v>1050</v>
      </c>
      <c r="FH583">
        <v>27897801320027</v>
      </c>
      <c r="FJ583">
        <v>0</v>
      </c>
      <c r="FK583">
        <v>0</v>
      </c>
      <c r="FP583">
        <v>0</v>
      </c>
      <c r="FR583">
        <v>0</v>
      </c>
      <c r="FS583" t="s">
        <v>1044</v>
      </c>
      <c r="FX583" t="s">
        <v>1042</v>
      </c>
      <c r="GA583">
        <v>0</v>
      </c>
      <c r="GB583" t="s">
        <v>1042</v>
      </c>
      <c r="GE583">
        <v>0</v>
      </c>
      <c r="GG583">
        <v>0</v>
      </c>
      <c r="GN583">
        <v>0</v>
      </c>
      <c r="GO583" t="s">
        <v>1049</v>
      </c>
      <c r="GQ583">
        <v>0</v>
      </c>
      <c r="GU583">
        <v>0</v>
      </c>
      <c r="GY583" t="s">
        <v>1045</v>
      </c>
      <c r="HB583">
        <v>0</v>
      </c>
      <c r="HE583">
        <v>10</v>
      </c>
      <c r="HF583">
        <v>0</v>
      </c>
      <c r="HG583">
        <v>5.7999999999999996E-3</v>
      </c>
      <c r="HK583" t="s">
        <v>1042</v>
      </c>
      <c r="HL583" t="s">
        <v>1048</v>
      </c>
      <c r="HM583">
        <v>0</v>
      </c>
      <c r="HN583">
        <v>0</v>
      </c>
      <c r="HO583">
        <v>35</v>
      </c>
      <c r="HP583">
        <v>0</v>
      </c>
      <c r="HQ583">
        <v>0</v>
      </c>
      <c r="HR583" s="20">
        <v>44221</v>
      </c>
      <c r="HT583">
        <v>0</v>
      </c>
      <c r="HU583">
        <v>0</v>
      </c>
      <c r="HW583">
        <v>0</v>
      </c>
      <c r="HX583">
        <v>0</v>
      </c>
      <c r="HY583">
        <v>1</v>
      </c>
      <c r="IA583">
        <v>16.95</v>
      </c>
      <c r="IC583" t="s">
        <v>1151</v>
      </c>
      <c r="IF583">
        <v>3000</v>
      </c>
      <c r="IG583" t="s">
        <v>1042</v>
      </c>
      <c r="IH583" t="s">
        <v>1046</v>
      </c>
      <c r="II583" t="s">
        <v>1042</v>
      </c>
      <c r="IR583" t="s">
        <v>1045</v>
      </c>
      <c r="IT583">
        <v>0</v>
      </c>
      <c r="JE583">
        <v>0</v>
      </c>
      <c r="JF583">
        <v>0</v>
      </c>
      <c r="JI583" t="s">
        <v>1042</v>
      </c>
      <c r="JJ583">
        <v>0</v>
      </c>
      <c r="JK583">
        <v>0</v>
      </c>
      <c r="JL583">
        <v>0</v>
      </c>
      <c r="JM583">
        <v>0</v>
      </c>
      <c r="JT583">
        <v>0</v>
      </c>
      <c r="JU583" t="s">
        <v>1042</v>
      </c>
      <c r="JW583">
        <v>0</v>
      </c>
      <c r="KA583">
        <v>0</v>
      </c>
      <c r="KF583">
        <v>0</v>
      </c>
      <c r="KG583">
        <v>0</v>
      </c>
      <c r="KH583">
        <v>0</v>
      </c>
      <c r="KI583">
        <v>0</v>
      </c>
      <c r="KS583" t="s">
        <v>1041</v>
      </c>
      <c r="KT583">
        <v>0</v>
      </c>
      <c r="KU583">
        <v>0</v>
      </c>
      <c r="KV583">
        <v>0</v>
      </c>
      <c r="KX583">
        <v>0</v>
      </c>
      <c r="KZ583">
        <v>0</v>
      </c>
      <c r="LF583">
        <v>0</v>
      </c>
      <c r="LH583">
        <v>0</v>
      </c>
      <c r="LI583">
        <v>0</v>
      </c>
    </row>
    <row r="584" spans="1:321" x14ac:dyDescent="0.35">
      <c r="A584">
        <v>1</v>
      </c>
      <c r="B584">
        <v>13706</v>
      </c>
      <c r="C584" t="s">
        <v>1159</v>
      </c>
      <c r="D584" t="s">
        <v>1133</v>
      </c>
      <c r="E584" t="s">
        <v>1158</v>
      </c>
      <c r="F584">
        <v>80</v>
      </c>
      <c r="G584">
        <v>8800</v>
      </c>
      <c r="H584">
        <v>0</v>
      </c>
      <c r="I584" t="s">
        <v>1157</v>
      </c>
      <c r="L584">
        <v>0</v>
      </c>
      <c r="M584">
        <v>0</v>
      </c>
      <c r="N584">
        <v>0</v>
      </c>
      <c r="R584">
        <v>0</v>
      </c>
      <c r="S584">
        <v>0</v>
      </c>
      <c r="W584" t="s">
        <v>1060</v>
      </c>
      <c r="X584">
        <v>0</v>
      </c>
      <c r="Z584">
        <v>1</v>
      </c>
      <c r="AA584">
        <v>0</v>
      </c>
      <c r="AB584">
        <v>0</v>
      </c>
      <c r="AC584">
        <v>0</v>
      </c>
      <c r="AD584" s="20">
        <v>40809</v>
      </c>
      <c r="AE584">
        <v>3322.2127</v>
      </c>
      <c r="AF584">
        <v>0</v>
      </c>
      <c r="AH584">
        <v>0</v>
      </c>
      <c r="AJ584">
        <v>0</v>
      </c>
      <c r="AL584">
        <v>1</v>
      </c>
      <c r="AM584">
        <v>0</v>
      </c>
      <c r="AN584">
        <v>16301004</v>
      </c>
      <c r="AO584">
        <v>0</v>
      </c>
      <c r="AP584">
        <v>1001</v>
      </c>
      <c r="AT584">
        <v>0</v>
      </c>
      <c r="AU584" t="s">
        <v>1059</v>
      </c>
      <c r="AW584" t="s">
        <v>1053</v>
      </c>
      <c r="AX584">
        <v>0</v>
      </c>
      <c r="AY584" s="20">
        <v>40809</v>
      </c>
      <c r="BA584" s="20">
        <v>40809</v>
      </c>
      <c r="BB584" t="s">
        <v>1058</v>
      </c>
      <c r="BD584">
        <v>0</v>
      </c>
      <c r="BF584" t="s">
        <v>1043</v>
      </c>
      <c r="BG584" t="s">
        <v>1042</v>
      </c>
      <c r="BH584">
        <v>0</v>
      </c>
      <c r="BI584">
        <v>1</v>
      </c>
      <c r="BJ584">
        <v>0</v>
      </c>
      <c r="BK584">
        <v>0</v>
      </c>
      <c r="BM584" s="20">
        <v>41879</v>
      </c>
      <c r="BN584">
        <v>0</v>
      </c>
      <c r="BR584" t="s">
        <v>1043</v>
      </c>
      <c r="BS584" t="s">
        <v>1043</v>
      </c>
      <c r="BT584" t="s">
        <v>1043</v>
      </c>
      <c r="BW584">
        <v>55</v>
      </c>
      <c r="CA584">
        <v>0</v>
      </c>
      <c r="CB584" t="s">
        <v>1057</v>
      </c>
      <c r="CE584" t="s">
        <v>1043</v>
      </c>
      <c r="CH584" t="s">
        <v>1043</v>
      </c>
      <c r="CN584" t="s">
        <v>1074</v>
      </c>
      <c r="CO584" t="s">
        <v>1043</v>
      </c>
      <c r="CP584">
        <v>1</v>
      </c>
      <c r="CQ584">
        <v>0</v>
      </c>
      <c r="CS584">
        <v>0</v>
      </c>
      <c r="CT584">
        <v>0</v>
      </c>
      <c r="CU584">
        <v>0</v>
      </c>
      <c r="CV584" t="s">
        <v>1045</v>
      </c>
      <c r="CW584">
        <v>0</v>
      </c>
      <c r="CX584">
        <v>0</v>
      </c>
      <c r="CY584">
        <v>0</v>
      </c>
      <c r="CZ584">
        <v>0</v>
      </c>
      <c r="DB584">
        <v>0</v>
      </c>
      <c r="DC584" t="s">
        <v>1043</v>
      </c>
      <c r="DF584" t="s">
        <v>1055</v>
      </c>
      <c r="DH584">
        <v>0</v>
      </c>
      <c r="DJ584">
        <v>0</v>
      </c>
      <c r="DK584" t="s">
        <v>1053</v>
      </c>
      <c r="DL584">
        <v>0</v>
      </c>
      <c r="DN584">
        <v>0</v>
      </c>
      <c r="DO584" t="s">
        <v>1042</v>
      </c>
      <c r="DP584">
        <v>0</v>
      </c>
      <c r="DQ584">
        <v>0</v>
      </c>
      <c r="DS584">
        <v>0</v>
      </c>
      <c r="DU584">
        <v>0</v>
      </c>
      <c r="DW584">
        <v>0</v>
      </c>
      <c r="DX584" t="s">
        <v>1043</v>
      </c>
      <c r="DY584">
        <v>0</v>
      </c>
      <c r="DZ584">
        <v>0</v>
      </c>
      <c r="EA584">
        <v>0</v>
      </c>
      <c r="ED584" t="s">
        <v>1045</v>
      </c>
      <c r="EE584">
        <v>0</v>
      </c>
      <c r="EF584">
        <v>0</v>
      </c>
      <c r="EQ584" t="s">
        <v>1044</v>
      </c>
      <c r="ES584" t="s">
        <v>1053</v>
      </c>
      <c r="ET584">
        <v>0</v>
      </c>
      <c r="EV584">
        <v>0</v>
      </c>
      <c r="EY584" t="s">
        <v>1052</v>
      </c>
      <c r="EZ584">
        <v>0</v>
      </c>
      <c r="FA584" t="s">
        <v>1043</v>
      </c>
      <c r="FB584">
        <v>0</v>
      </c>
      <c r="FC584">
        <v>0</v>
      </c>
      <c r="FE584" t="s">
        <v>1050</v>
      </c>
      <c r="FF584">
        <v>0</v>
      </c>
      <c r="FG584" t="s">
        <v>1050</v>
      </c>
      <c r="FJ584">
        <v>0</v>
      </c>
      <c r="FK584">
        <v>0</v>
      </c>
      <c r="FP584">
        <v>0</v>
      </c>
      <c r="FR584">
        <v>0</v>
      </c>
      <c r="FX584" t="s">
        <v>1042</v>
      </c>
      <c r="FZ584" t="s">
        <v>1048</v>
      </c>
      <c r="GA584">
        <v>0</v>
      </c>
      <c r="GB584" t="s">
        <v>1042</v>
      </c>
      <c r="GE584">
        <v>0</v>
      </c>
      <c r="GG584">
        <v>0</v>
      </c>
      <c r="GN584">
        <v>0</v>
      </c>
      <c r="GO584" t="s">
        <v>1063</v>
      </c>
      <c r="GQ584">
        <v>0</v>
      </c>
      <c r="GU584">
        <v>0</v>
      </c>
      <c r="GY584" t="s">
        <v>1045</v>
      </c>
      <c r="HB584">
        <v>0</v>
      </c>
      <c r="HE584">
        <v>0</v>
      </c>
      <c r="HF584">
        <v>0</v>
      </c>
      <c r="HG584">
        <v>0</v>
      </c>
      <c r="HK584" t="s">
        <v>1042</v>
      </c>
      <c r="HM584" t="s">
        <v>1047</v>
      </c>
      <c r="HN584">
        <v>0</v>
      </c>
      <c r="HP584">
        <v>0</v>
      </c>
      <c r="HQ584">
        <v>0</v>
      </c>
      <c r="HR584" t="s">
        <v>1042</v>
      </c>
      <c r="HS584" t="s">
        <v>1043</v>
      </c>
      <c r="HT584">
        <v>0</v>
      </c>
      <c r="HU584">
        <v>0</v>
      </c>
      <c r="HW584">
        <v>0</v>
      </c>
      <c r="HX584">
        <v>0</v>
      </c>
      <c r="HY584">
        <v>0</v>
      </c>
      <c r="HZ584" t="s">
        <v>1045</v>
      </c>
      <c r="IA584">
        <v>0</v>
      </c>
      <c r="IB584" t="s">
        <v>1045</v>
      </c>
      <c r="ID584" t="s">
        <v>1045</v>
      </c>
      <c r="IF584">
        <v>0</v>
      </c>
      <c r="IG584" t="s">
        <v>1042</v>
      </c>
      <c r="II584" t="s">
        <v>1042</v>
      </c>
      <c r="IR584" t="s">
        <v>1045</v>
      </c>
      <c r="IT584">
        <v>0</v>
      </c>
      <c r="IY584" t="s">
        <v>1044</v>
      </c>
      <c r="IZ584" t="s">
        <v>1043</v>
      </c>
      <c r="JC584" t="s">
        <v>1043</v>
      </c>
      <c r="JE584">
        <v>0</v>
      </c>
      <c r="JF584">
        <v>0</v>
      </c>
      <c r="JI584" t="s">
        <v>1042</v>
      </c>
      <c r="JJ584">
        <v>0</v>
      </c>
      <c r="JK584">
        <v>0</v>
      </c>
      <c r="JL584">
        <v>0</v>
      </c>
      <c r="JM584">
        <v>0</v>
      </c>
      <c r="JQ584" t="s">
        <v>1043</v>
      </c>
      <c r="JT584">
        <v>0</v>
      </c>
      <c r="JU584" t="s">
        <v>1042</v>
      </c>
      <c r="JW584">
        <v>0</v>
      </c>
      <c r="KA584">
        <v>0</v>
      </c>
      <c r="KF584">
        <v>0</v>
      </c>
      <c r="KG584">
        <v>0</v>
      </c>
      <c r="KH584">
        <v>0</v>
      </c>
      <c r="KI584">
        <v>0</v>
      </c>
      <c r="KS584" t="s">
        <v>1073</v>
      </c>
      <c r="KT584">
        <v>0</v>
      </c>
      <c r="KU584">
        <v>0</v>
      </c>
      <c r="KV584">
        <v>0</v>
      </c>
      <c r="KX584">
        <v>0</v>
      </c>
      <c r="KZ584">
        <v>0</v>
      </c>
      <c r="LF584">
        <v>0</v>
      </c>
      <c r="LH584">
        <v>0</v>
      </c>
      <c r="LI584">
        <v>0</v>
      </c>
    </row>
    <row r="585" spans="1:321" x14ac:dyDescent="0.35">
      <c r="A585">
        <v>1</v>
      </c>
      <c r="B585">
        <v>1371</v>
      </c>
      <c r="C585" t="s">
        <v>732</v>
      </c>
      <c r="D585" t="s">
        <v>1061</v>
      </c>
      <c r="E585" t="s">
        <v>85</v>
      </c>
      <c r="F585">
        <v>1</v>
      </c>
      <c r="G585">
        <v>220</v>
      </c>
      <c r="H585">
        <v>0</v>
      </c>
      <c r="I585" t="s">
        <v>994</v>
      </c>
      <c r="L585">
        <v>0</v>
      </c>
      <c r="M585">
        <v>0</v>
      </c>
      <c r="N585">
        <v>0</v>
      </c>
      <c r="Q585">
        <v>516</v>
      </c>
      <c r="R585">
        <v>0</v>
      </c>
      <c r="S585">
        <v>0</v>
      </c>
      <c r="W585" t="s">
        <v>1060</v>
      </c>
      <c r="X585">
        <v>0</v>
      </c>
      <c r="Z585">
        <v>10</v>
      </c>
      <c r="AA585">
        <v>21.295000000000002</v>
      </c>
      <c r="AB585">
        <v>95</v>
      </c>
      <c r="AC585">
        <v>0</v>
      </c>
      <c r="AD585" t="s">
        <v>1042</v>
      </c>
      <c r="AE585">
        <v>0</v>
      </c>
      <c r="AF585">
        <v>2.5399999999999999E-2</v>
      </c>
      <c r="AH585">
        <v>77</v>
      </c>
      <c r="AJ585">
        <v>1</v>
      </c>
      <c r="AK585" t="s">
        <v>1154</v>
      </c>
      <c r="AL585">
        <v>0</v>
      </c>
      <c r="AM585">
        <v>0</v>
      </c>
      <c r="AN585">
        <v>11501001</v>
      </c>
      <c r="AO585">
        <v>0</v>
      </c>
      <c r="AP585">
        <v>1002</v>
      </c>
      <c r="AT585">
        <v>1</v>
      </c>
      <c r="AU585" t="s">
        <v>1059</v>
      </c>
      <c r="AV585" t="s">
        <v>1043</v>
      </c>
      <c r="AW585" t="s">
        <v>1053</v>
      </c>
      <c r="AX585">
        <v>0</v>
      </c>
      <c r="AY585" s="20">
        <v>43679</v>
      </c>
      <c r="BA585" s="20">
        <v>44643</v>
      </c>
      <c r="BB585" t="s">
        <v>1058</v>
      </c>
      <c r="BD585">
        <v>0</v>
      </c>
      <c r="BF585" t="s">
        <v>1044</v>
      </c>
      <c r="BG585" t="s">
        <v>1042</v>
      </c>
      <c r="BH585">
        <v>0</v>
      </c>
      <c r="BI585">
        <v>6</v>
      </c>
      <c r="BJ585">
        <v>0</v>
      </c>
      <c r="BK585">
        <v>0</v>
      </c>
      <c r="BM585" s="20">
        <v>44162</v>
      </c>
      <c r="BN585">
        <v>0</v>
      </c>
      <c r="BO585">
        <v>7897801320030</v>
      </c>
      <c r="BR585" t="s">
        <v>1043</v>
      </c>
      <c r="BS585" t="s">
        <v>1043</v>
      </c>
      <c r="BT585" t="s">
        <v>1043</v>
      </c>
      <c r="BV585">
        <v>1</v>
      </c>
      <c r="BW585">
        <v>31</v>
      </c>
      <c r="BY585">
        <v>82</v>
      </c>
      <c r="CA585">
        <v>0</v>
      </c>
      <c r="CB585" t="s">
        <v>1043</v>
      </c>
      <c r="CE585" t="s">
        <v>1043</v>
      </c>
      <c r="CH585" t="s">
        <v>1043</v>
      </c>
      <c r="CI585" t="s">
        <v>1153</v>
      </c>
      <c r="CK585" t="s">
        <v>1152</v>
      </c>
      <c r="CN585" t="s">
        <v>1056</v>
      </c>
      <c r="CP585">
        <v>1</v>
      </c>
      <c r="CQ585">
        <v>0</v>
      </c>
      <c r="CS585">
        <v>0</v>
      </c>
      <c r="CT585">
        <v>0</v>
      </c>
      <c r="CU585">
        <v>0</v>
      </c>
      <c r="CW585">
        <v>0</v>
      </c>
      <c r="CX585">
        <v>0</v>
      </c>
      <c r="CY585">
        <v>0</v>
      </c>
      <c r="CZ585">
        <v>0</v>
      </c>
      <c r="DA585">
        <v>2</v>
      </c>
      <c r="DB585">
        <v>0</v>
      </c>
      <c r="DH585">
        <v>0</v>
      </c>
      <c r="DJ585">
        <v>0</v>
      </c>
      <c r="DL585">
        <v>0</v>
      </c>
      <c r="DN585">
        <v>0</v>
      </c>
      <c r="DO585" t="s">
        <v>1042</v>
      </c>
      <c r="DP585">
        <v>0</v>
      </c>
      <c r="DQ585">
        <v>7.6</v>
      </c>
      <c r="DS585">
        <v>0</v>
      </c>
      <c r="DU585">
        <v>1.65</v>
      </c>
      <c r="DW585">
        <v>0</v>
      </c>
      <c r="DY585">
        <v>0</v>
      </c>
      <c r="DZ585">
        <v>0</v>
      </c>
      <c r="EA585">
        <v>0</v>
      </c>
      <c r="EB585">
        <v>17897801320037</v>
      </c>
      <c r="EE585">
        <v>0</v>
      </c>
      <c r="EF585">
        <v>0</v>
      </c>
      <c r="EG585" t="s">
        <v>1044</v>
      </c>
      <c r="EK585" t="s">
        <v>1054</v>
      </c>
      <c r="EL585">
        <v>57897801320035</v>
      </c>
      <c r="EN585" t="s">
        <v>1012</v>
      </c>
      <c r="ET585">
        <v>0</v>
      </c>
      <c r="EV585">
        <v>0</v>
      </c>
      <c r="EY585" t="s">
        <v>1052</v>
      </c>
      <c r="EZ585">
        <v>0</v>
      </c>
      <c r="FA585" t="s">
        <v>1043</v>
      </c>
      <c r="FB585">
        <v>0</v>
      </c>
      <c r="FC585">
        <v>0</v>
      </c>
      <c r="FD585" t="s">
        <v>1051</v>
      </c>
      <c r="FE585" t="s">
        <v>1050</v>
      </c>
      <c r="FF585">
        <v>700</v>
      </c>
      <c r="FG585" t="s">
        <v>1050</v>
      </c>
      <c r="FH585">
        <v>27897801320034</v>
      </c>
      <c r="FJ585">
        <v>0</v>
      </c>
      <c r="FK585">
        <v>0</v>
      </c>
      <c r="FP585">
        <v>0</v>
      </c>
      <c r="FR585">
        <v>0</v>
      </c>
      <c r="FS585" t="s">
        <v>1044</v>
      </c>
      <c r="FX585" t="s">
        <v>1042</v>
      </c>
      <c r="GA585">
        <v>0</v>
      </c>
      <c r="GB585" t="s">
        <v>1042</v>
      </c>
      <c r="GD585">
        <v>16</v>
      </c>
      <c r="GE585">
        <v>0</v>
      </c>
      <c r="GG585">
        <v>0</v>
      </c>
      <c r="GN585">
        <v>0</v>
      </c>
      <c r="GO585" t="s">
        <v>1049</v>
      </c>
      <c r="GQ585">
        <v>0</v>
      </c>
      <c r="GU585">
        <v>0</v>
      </c>
      <c r="GY585" t="s">
        <v>1045</v>
      </c>
      <c r="HB585">
        <v>0</v>
      </c>
      <c r="HE585">
        <v>10</v>
      </c>
      <c r="HF585">
        <v>0</v>
      </c>
      <c r="HG585">
        <v>8.5999999999999998E-4</v>
      </c>
      <c r="HK585" t="s">
        <v>1042</v>
      </c>
      <c r="HL585" t="s">
        <v>1048</v>
      </c>
      <c r="HM585">
        <v>0</v>
      </c>
      <c r="HN585">
        <v>0</v>
      </c>
      <c r="HO585">
        <v>35</v>
      </c>
      <c r="HP585">
        <v>2.4899999999999999E-2</v>
      </c>
      <c r="HQ585">
        <v>0</v>
      </c>
      <c r="HR585" t="s">
        <v>1042</v>
      </c>
      <c r="HT585">
        <v>0</v>
      </c>
      <c r="HU585">
        <v>0</v>
      </c>
      <c r="HW585">
        <v>0</v>
      </c>
      <c r="HX585">
        <v>172</v>
      </c>
      <c r="HY585">
        <v>0</v>
      </c>
      <c r="IA585">
        <v>0</v>
      </c>
      <c r="IC585" t="s">
        <v>1151</v>
      </c>
      <c r="IF585">
        <v>21000</v>
      </c>
      <c r="IG585" t="s">
        <v>1042</v>
      </c>
      <c r="IH585" t="s">
        <v>1046</v>
      </c>
      <c r="II585" t="s">
        <v>1042</v>
      </c>
      <c r="IR585" t="s">
        <v>1045</v>
      </c>
      <c r="IT585">
        <v>0</v>
      </c>
      <c r="JE585">
        <v>0</v>
      </c>
      <c r="JF585">
        <v>0</v>
      </c>
      <c r="JI585" t="s">
        <v>1042</v>
      </c>
      <c r="JJ585">
        <v>0</v>
      </c>
      <c r="JK585">
        <v>0</v>
      </c>
      <c r="JL585">
        <v>0</v>
      </c>
      <c r="JM585">
        <v>0</v>
      </c>
      <c r="JT585">
        <v>0</v>
      </c>
      <c r="JU585" t="s">
        <v>1042</v>
      </c>
      <c r="JW585">
        <v>0</v>
      </c>
      <c r="KA585">
        <v>0</v>
      </c>
      <c r="KF585">
        <v>0</v>
      </c>
      <c r="KG585">
        <v>0</v>
      </c>
      <c r="KH585">
        <v>0</v>
      </c>
      <c r="KI585">
        <v>0</v>
      </c>
      <c r="KS585" t="s">
        <v>1041</v>
      </c>
      <c r="KT585">
        <v>0</v>
      </c>
      <c r="KU585">
        <v>0</v>
      </c>
      <c r="KV585">
        <v>0</v>
      </c>
      <c r="KX585">
        <v>0</v>
      </c>
      <c r="KZ585">
        <v>0</v>
      </c>
      <c r="LF585">
        <v>0</v>
      </c>
      <c r="LH585">
        <v>0</v>
      </c>
      <c r="LI585">
        <v>0</v>
      </c>
    </row>
    <row r="586" spans="1:321" x14ac:dyDescent="0.35">
      <c r="A586">
        <v>1</v>
      </c>
      <c r="B586">
        <v>1372</v>
      </c>
      <c r="C586" t="s">
        <v>733</v>
      </c>
      <c r="D586" t="s">
        <v>1061</v>
      </c>
      <c r="E586" t="s">
        <v>85</v>
      </c>
      <c r="F586">
        <v>1</v>
      </c>
      <c r="G586">
        <v>220</v>
      </c>
      <c r="H586">
        <v>0</v>
      </c>
      <c r="I586" t="s">
        <v>994</v>
      </c>
      <c r="L586">
        <v>0</v>
      </c>
      <c r="M586">
        <v>0</v>
      </c>
      <c r="N586">
        <v>0</v>
      </c>
      <c r="Q586">
        <v>516</v>
      </c>
      <c r="R586">
        <v>0</v>
      </c>
      <c r="S586">
        <v>0</v>
      </c>
      <c r="W586" t="s">
        <v>1060</v>
      </c>
      <c r="X586">
        <v>0</v>
      </c>
      <c r="Z586">
        <v>10</v>
      </c>
      <c r="AA586">
        <v>28.709</v>
      </c>
      <c r="AB586">
        <v>344</v>
      </c>
      <c r="AC586">
        <v>0</v>
      </c>
      <c r="AD586" t="s">
        <v>1042</v>
      </c>
      <c r="AE586">
        <v>0</v>
      </c>
      <c r="AF586">
        <v>4.5999999999999999E-2</v>
      </c>
      <c r="AH586">
        <v>333</v>
      </c>
      <c r="AJ586">
        <v>1</v>
      </c>
      <c r="AK586" t="s">
        <v>1154</v>
      </c>
      <c r="AL586">
        <v>0</v>
      </c>
      <c r="AM586">
        <v>0</v>
      </c>
      <c r="AN586">
        <v>11501001</v>
      </c>
      <c r="AO586">
        <v>0</v>
      </c>
      <c r="AP586">
        <v>1002</v>
      </c>
      <c r="AT586">
        <v>1</v>
      </c>
      <c r="AU586" t="s">
        <v>1059</v>
      </c>
      <c r="AV586" t="s">
        <v>1043</v>
      </c>
      <c r="AW586" t="s">
        <v>1053</v>
      </c>
      <c r="AX586">
        <v>0</v>
      </c>
      <c r="AY586" s="20">
        <v>43679</v>
      </c>
      <c r="BA586" s="20">
        <v>44643</v>
      </c>
      <c r="BB586" t="s">
        <v>1058</v>
      </c>
      <c r="BD586">
        <v>0</v>
      </c>
      <c r="BF586" t="s">
        <v>1044</v>
      </c>
      <c r="BG586" t="s">
        <v>1042</v>
      </c>
      <c r="BH586">
        <v>0</v>
      </c>
      <c r="BI586">
        <v>6</v>
      </c>
      <c r="BJ586">
        <v>0</v>
      </c>
      <c r="BK586">
        <v>0</v>
      </c>
      <c r="BM586" s="20">
        <v>44162</v>
      </c>
      <c r="BN586">
        <v>0</v>
      </c>
      <c r="BO586">
        <v>7897801320047</v>
      </c>
      <c r="BR586" t="s">
        <v>1043</v>
      </c>
      <c r="BS586" t="s">
        <v>1043</v>
      </c>
      <c r="BT586" t="s">
        <v>1043</v>
      </c>
      <c r="BV586">
        <v>1</v>
      </c>
      <c r="BW586">
        <v>31</v>
      </c>
      <c r="BY586">
        <v>82</v>
      </c>
      <c r="CA586">
        <v>0</v>
      </c>
      <c r="CB586" t="s">
        <v>1043</v>
      </c>
      <c r="CE586" t="s">
        <v>1043</v>
      </c>
      <c r="CH586" t="s">
        <v>1043</v>
      </c>
      <c r="CI586" t="s">
        <v>1153</v>
      </c>
      <c r="CK586" t="s">
        <v>1152</v>
      </c>
      <c r="CN586" t="s">
        <v>1056</v>
      </c>
      <c r="CP586">
        <v>1</v>
      </c>
      <c r="CQ586">
        <v>0</v>
      </c>
      <c r="CS586">
        <v>0</v>
      </c>
      <c r="CT586">
        <v>0</v>
      </c>
      <c r="CU586">
        <v>0</v>
      </c>
      <c r="CW586">
        <v>0</v>
      </c>
      <c r="CX586">
        <v>0</v>
      </c>
      <c r="CY586">
        <v>0</v>
      </c>
      <c r="CZ586">
        <v>0</v>
      </c>
      <c r="DA586">
        <v>3</v>
      </c>
      <c r="DB586">
        <v>0</v>
      </c>
      <c r="DH586">
        <v>0</v>
      </c>
      <c r="DJ586">
        <v>0</v>
      </c>
      <c r="DL586">
        <v>0</v>
      </c>
      <c r="DN586">
        <v>0</v>
      </c>
      <c r="DO586" t="s">
        <v>1042</v>
      </c>
      <c r="DP586">
        <v>0</v>
      </c>
      <c r="DQ586">
        <v>7.6</v>
      </c>
      <c r="DS586">
        <v>0</v>
      </c>
      <c r="DU586">
        <v>1.65</v>
      </c>
      <c r="DW586">
        <v>0</v>
      </c>
      <c r="DY586">
        <v>0</v>
      </c>
      <c r="DZ586">
        <v>0</v>
      </c>
      <c r="EA586">
        <v>0</v>
      </c>
      <c r="EB586">
        <v>17897801320044</v>
      </c>
      <c r="EE586">
        <v>0</v>
      </c>
      <c r="EF586">
        <v>0</v>
      </c>
      <c r="EG586" t="s">
        <v>1044</v>
      </c>
      <c r="EK586" t="s">
        <v>1054</v>
      </c>
      <c r="EL586">
        <v>57897801320042</v>
      </c>
      <c r="EN586" t="s">
        <v>1012</v>
      </c>
      <c r="ET586">
        <v>0</v>
      </c>
      <c r="EV586">
        <v>0</v>
      </c>
      <c r="EY586" t="s">
        <v>1052</v>
      </c>
      <c r="EZ586">
        <v>0</v>
      </c>
      <c r="FA586" t="s">
        <v>1043</v>
      </c>
      <c r="FB586">
        <v>0</v>
      </c>
      <c r="FC586">
        <v>0</v>
      </c>
      <c r="FD586" t="s">
        <v>1051</v>
      </c>
      <c r="FE586" t="s">
        <v>1050</v>
      </c>
      <c r="FF586">
        <v>300</v>
      </c>
      <c r="FG586" t="s">
        <v>1050</v>
      </c>
      <c r="FH586">
        <v>27897801320041</v>
      </c>
      <c r="FJ586">
        <v>0</v>
      </c>
      <c r="FK586">
        <v>0</v>
      </c>
      <c r="FP586">
        <v>0</v>
      </c>
      <c r="FR586">
        <v>0</v>
      </c>
      <c r="FS586" t="s">
        <v>1044</v>
      </c>
      <c r="FX586" t="s">
        <v>1042</v>
      </c>
      <c r="GA586">
        <v>0</v>
      </c>
      <c r="GB586" t="s">
        <v>1042</v>
      </c>
      <c r="GD586">
        <v>16</v>
      </c>
      <c r="GE586">
        <v>0</v>
      </c>
      <c r="GG586">
        <v>0</v>
      </c>
      <c r="GN586">
        <v>0</v>
      </c>
      <c r="GO586" t="s">
        <v>1049</v>
      </c>
      <c r="GQ586">
        <v>0</v>
      </c>
      <c r="GU586">
        <v>0</v>
      </c>
      <c r="GY586" t="s">
        <v>1045</v>
      </c>
      <c r="HB586">
        <v>0</v>
      </c>
      <c r="HE586">
        <v>10</v>
      </c>
      <c r="HF586">
        <v>0</v>
      </c>
      <c r="HG586">
        <v>2.0400000000000001E-3</v>
      </c>
      <c r="HK586" t="s">
        <v>1042</v>
      </c>
      <c r="HL586" t="s">
        <v>1048</v>
      </c>
      <c r="HM586">
        <v>0</v>
      </c>
      <c r="HN586">
        <v>0</v>
      </c>
      <c r="HO586">
        <v>35</v>
      </c>
      <c r="HP586">
        <v>4.8000000000000001E-2</v>
      </c>
      <c r="HQ586">
        <v>0</v>
      </c>
      <c r="HR586" t="s">
        <v>1042</v>
      </c>
      <c r="HT586">
        <v>0</v>
      </c>
      <c r="HU586">
        <v>0</v>
      </c>
      <c r="HW586">
        <v>0</v>
      </c>
      <c r="HX586">
        <v>677</v>
      </c>
      <c r="HY586">
        <v>0</v>
      </c>
      <c r="IA586">
        <v>0</v>
      </c>
      <c r="IC586" t="s">
        <v>1151</v>
      </c>
      <c r="IF586">
        <v>9000</v>
      </c>
      <c r="IG586" t="s">
        <v>1042</v>
      </c>
      <c r="IH586" t="s">
        <v>1046</v>
      </c>
      <c r="II586" t="s">
        <v>1042</v>
      </c>
      <c r="IR586" t="s">
        <v>1045</v>
      </c>
      <c r="IT586">
        <v>0</v>
      </c>
      <c r="JE586">
        <v>0</v>
      </c>
      <c r="JF586">
        <v>0</v>
      </c>
      <c r="JI586" t="s">
        <v>1042</v>
      </c>
      <c r="JJ586">
        <v>0</v>
      </c>
      <c r="JK586">
        <v>0</v>
      </c>
      <c r="JL586">
        <v>0</v>
      </c>
      <c r="JM586">
        <v>0</v>
      </c>
      <c r="JT586">
        <v>0</v>
      </c>
      <c r="JU586" t="s">
        <v>1042</v>
      </c>
      <c r="JW586">
        <v>0</v>
      </c>
      <c r="KA586">
        <v>0</v>
      </c>
      <c r="KF586">
        <v>0</v>
      </c>
      <c r="KG586">
        <v>0</v>
      </c>
      <c r="KH586">
        <v>0</v>
      </c>
      <c r="KI586">
        <v>0</v>
      </c>
      <c r="KS586" t="s">
        <v>1041</v>
      </c>
      <c r="KT586">
        <v>0</v>
      </c>
      <c r="KU586">
        <v>0</v>
      </c>
      <c r="KV586">
        <v>0</v>
      </c>
      <c r="KX586">
        <v>0</v>
      </c>
      <c r="KZ586">
        <v>0</v>
      </c>
      <c r="LF586">
        <v>0</v>
      </c>
      <c r="LH586">
        <v>0</v>
      </c>
      <c r="LI586">
        <v>0</v>
      </c>
    </row>
    <row r="587" spans="1:321" x14ac:dyDescent="0.35">
      <c r="A587">
        <v>1</v>
      </c>
      <c r="B587">
        <v>1373</v>
      </c>
      <c r="C587" t="s">
        <v>734</v>
      </c>
      <c r="D587" t="s">
        <v>1061</v>
      </c>
      <c r="E587" t="s">
        <v>85</v>
      </c>
      <c r="F587">
        <v>1</v>
      </c>
      <c r="G587">
        <v>220</v>
      </c>
      <c r="H587">
        <v>0</v>
      </c>
      <c r="I587" t="s">
        <v>994</v>
      </c>
      <c r="L587">
        <v>0</v>
      </c>
      <c r="M587">
        <v>0</v>
      </c>
      <c r="N587">
        <v>0</v>
      </c>
      <c r="Q587">
        <v>516</v>
      </c>
      <c r="R587">
        <v>0</v>
      </c>
      <c r="S587">
        <v>0</v>
      </c>
      <c r="W587" t="s">
        <v>1060</v>
      </c>
      <c r="X587">
        <v>0</v>
      </c>
      <c r="Z587">
        <v>10</v>
      </c>
      <c r="AA587">
        <v>31.437999999999999</v>
      </c>
      <c r="AB587">
        <v>1018</v>
      </c>
      <c r="AC587">
        <v>1.5463</v>
      </c>
      <c r="AD587" t="s">
        <v>1042</v>
      </c>
      <c r="AE587">
        <v>0</v>
      </c>
      <c r="AF587">
        <v>4.7699999999999999E-2</v>
      </c>
      <c r="AH587">
        <v>940</v>
      </c>
      <c r="AJ587">
        <v>1</v>
      </c>
      <c r="AK587" t="s">
        <v>1154</v>
      </c>
      <c r="AL587">
        <v>0</v>
      </c>
      <c r="AM587">
        <v>0</v>
      </c>
      <c r="AN587">
        <v>11501001</v>
      </c>
      <c r="AO587">
        <v>0</v>
      </c>
      <c r="AP587">
        <v>1002</v>
      </c>
      <c r="AT587">
        <v>1</v>
      </c>
      <c r="AU587" t="s">
        <v>1059</v>
      </c>
      <c r="AV587" t="s">
        <v>1043</v>
      </c>
      <c r="AW587" t="s">
        <v>1053</v>
      </c>
      <c r="AX587">
        <v>0</v>
      </c>
      <c r="AY587" s="20">
        <v>43679</v>
      </c>
      <c r="BA587" s="20">
        <v>44643</v>
      </c>
      <c r="BB587" t="s">
        <v>1058</v>
      </c>
      <c r="BD587">
        <v>0</v>
      </c>
      <c r="BF587" t="s">
        <v>1044</v>
      </c>
      <c r="BG587" t="s">
        <v>1042</v>
      </c>
      <c r="BH587">
        <v>0</v>
      </c>
      <c r="BI587">
        <v>6</v>
      </c>
      <c r="BJ587">
        <v>0</v>
      </c>
      <c r="BK587">
        <v>0</v>
      </c>
      <c r="BM587" s="20">
        <v>44162</v>
      </c>
      <c r="BN587">
        <v>0</v>
      </c>
      <c r="BO587">
        <v>7897801320054</v>
      </c>
      <c r="BR587" t="s">
        <v>1043</v>
      </c>
      <c r="BS587" t="s">
        <v>1043</v>
      </c>
      <c r="BT587" t="s">
        <v>1043</v>
      </c>
      <c r="BV587">
        <v>1</v>
      </c>
      <c r="BW587">
        <v>31</v>
      </c>
      <c r="BY587">
        <v>82</v>
      </c>
      <c r="CA587">
        <v>0</v>
      </c>
      <c r="CB587" t="s">
        <v>1043</v>
      </c>
      <c r="CE587" t="s">
        <v>1043</v>
      </c>
      <c r="CH587" t="s">
        <v>1043</v>
      </c>
      <c r="CI587" t="s">
        <v>1153</v>
      </c>
      <c r="CK587" t="s">
        <v>1152</v>
      </c>
      <c r="CN587" t="s">
        <v>1056</v>
      </c>
      <c r="CP587">
        <v>1</v>
      </c>
      <c r="CQ587">
        <v>0</v>
      </c>
      <c r="CS587">
        <v>0</v>
      </c>
      <c r="CT587">
        <v>0</v>
      </c>
      <c r="CU587">
        <v>0</v>
      </c>
      <c r="CW587">
        <v>0</v>
      </c>
      <c r="CX587">
        <v>0</v>
      </c>
      <c r="CY587">
        <v>0</v>
      </c>
      <c r="CZ587">
        <v>0</v>
      </c>
      <c r="DA587">
        <v>3</v>
      </c>
      <c r="DB587">
        <v>0</v>
      </c>
      <c r="DH587">
        <v>0</v>
      </c>
      <c r="DJ587">
        <v>0</v>
      </c>
      <c r="DL587">
        <v>0</v>
      </c>
      <c r="DN587">
        <v>0</v>
      </c>
      <c r="DO587" t="s">
        <v>1042</v>
      </c>
      <c r="DP587">
        <v>0</v>
      </c>
      <c r="DQ587">
        <v>7.6</v>
      </c>
      <c r="DS587">
        <v>0</v>
      </c>
      <c r="DU587">
        <v>1.65</v>
      </c>
      <c r="DW587">
        <v>0</v>
      </c>
      <c r="DY587">
        <v>0</v>
      </c>
      <c r="DZ587">
        <v>0</v>
      </c>
      <c r="EA587">
        <v>0</v>
      </c>
      <c r="EB587">
        <v>17897801320051</v>
      </c>
      <c r="EE587">
        <v>0</v>
      </c>
      <c r="EF587">
        <v>0</v>
      </c>
      <c r="EG587" t="s">
        <v>1044</v>
      </c>
      <c r="EK587" t="s">
        <v>1054</v>
      </c>
      <c r="EL587">
        <v>57897801320059</v>
      </c>
      <c r="EN587" t="s">
        <v>1012</v>
      </c>
      <c r="ET587">
        <v>0</v>
      </c>
      <c r="EV587">
        <v>0</v>
      </c>
      <c r="EY587" t="s">
        <v>1052</v>
      </c>
      <c r="EZ587">
        <v>0</v>
      </c>
      <c r="FA587" t="s">
        <v>1043</v>
      </c>
      <c r="FB587">
        <v>0</v>
      </c>
      <c r="FC587">
        <v>0</v>
      </c>
      <c r="FD587" t="s">
        <v>1051</v>
      </c>
      <c r="FE587" t="s">
        <v>1050</v>
      </c>
      <c r="FF587">
        <v>300</v>
      </c>
      <c r="FG587" t="s">
        <v>1050</v>
      </c>
      <c r="FH587">
        <v>27897801320058</v>
      </c>
      <c r="FJ587">
        <v>0</v>
      </c>
      <c r="FK587">
        <v>0</v>
      </c>
      <c r="FP587">
        <v>0</v>
      </c>
      <c r="FR587">
        <v>0</v>
      </c>
      <c r="FS587" t="s">
        <v>1044</v>
      </c>
      <c r="FX587" t="s">
        <v>1042</v>
      </c>
      <c r="GA587">
        <v>0</v>
      </c>
      <c r="GB587" t="s">
        <v>1042</v>
      </c>
      <c r="GD587">
        <v>16</v>
      </c>
      <c r="GE587">
        <v>0</v>
      </c>
      <c r="GG587">
        <v>0</v>
      </c>
      <c r="GN587">
        <v>0</v>
      </c>
      <c r="GO587" t="s">
        <v>1049</v>
      </c>
      <c r="GQ587">
        <v>0</v>
      </c>
      <c r="GU587">
        <v>0</v>
      </c>
      <c r="GY587" t="s">
        <v>1045</v>
      </c>
      <c r="HB587">
        <v>0</v>
      </c>
      <c r="HE587">
        <v>10</v>
      </c>
      <c r="HF587">
        <v>0</v>
      </c>
      <c r="HG587">
        <v>2.0400000000000001E-3</v>
      </c>
      <c r="HK587" t="s">
        <v>1042</v>
      </c>
      <c r="HL587" t="s">
        <v>1048</v>
      </c>
      <c r="HM587">
        <v>0</v>
      </c>
      <c r="HN587">
        <v>0</v>
      </c>
      <c r="HO587">
        <v>35</v>
      </c>
      <c r="HP587">
        <v>0.05</v>
      </c>
      <c r="HQ587">
        <v>0</v>
      </c>
      <c r="HR587" t="s">
        <v>1042</v>
      </c>
      <c r="HT587">
        <v>0</v>
      </c>
      <c r="HU587">
        <v>0</v>
      </c>
      <c r="HW587">
        <v>0</v>
      </c>
      <c r="HX587">
        <v>1958</v>
      </c>
      <c r="HY587">
        <v>0</v>
      </c>
      <c r="IA587">
        <v>0</v>
      </c>
      <c r="IC587" t="s">
        <v>1151</v>
      </c>
      <c r="IF587">
        <v>9000</v>
      </c>
      <c r="IG587" t="s">
        <v>1042</v>
      </c>
      <c r="IH587" t="s">
        <v>1046</v>
      </c>
      <c r="II587" t="s">
        <v>1042</v>
      </c>
      <c r="IR587" t="s">
        <v>1045</v>
      </c>
      <c r="IT587">
        <v>0</v>
      </c>
      <c r="JE587">
        <v>0</v>
      </c>
      <c r="JF587">
        <v>0</v>
      </c>
      <c r="JI587" t="s">
        <v>1042</v>
      </c>
      <c r="JJ587">
        <v>0</v>
      </c>
      <c r="JK587">
        <v>0</v>
      </c>
      <c r="JL587">
        <v>0</v>
      </c>
      <c r="JM587">
        <v>0</v>
      </c>
      <c r="JT587">
        <v>0</v>
      </c>
      <c r="JU587" t="s">
        <v>1042</v>
      </c>
      <c r="JW587">
        <v>0</v>
      </c>
      <c r="KA587">
        <v>0</v>
      </c>
      <c r="KF587">
        <v>0</v>
      </c>
      <c r="KG587">
        <v>0</v>
      </c>
      <c r="KH587">
        <v>0</v>
      </c>
      <c r="KI587">
        <v>0</v>
      </c>
      <c r="KS587" t="s">
        <v>1041</v>
      </c>
      <c r="KT587">
        <v>0</v>
      </c>
      <c r="KU587">
        <v>0</v>
      </c>
      <c r="KV587">
        <v>0</v>
      </c>
      <c r="KX587">
        <v>0</v>
      </c>
      <c r="KZ587">
        <v>0</v>
      </c>
      <c r="LF587">
        <v>0</v>
      </c>
      <c r="LH587">
        <v>0</v>
      </c>
      <c r="LI587">
        <v>0</v>
      </c>
    </row>
    <row r="588" spans="1:321" x14ac:dyDescent="0.35">
      <c r="A588">
        <v>1</v>
      </c>
      <c r="B588">
        <v>1374</v>
      </c>
      <c r="C588" t="s">
        <v>735</v>
      </c>
      <c r="D588" t="s">
        <v>1061</v>
      </c>
      <c r="E588" t="s">
        <v>85</v>
      </c>
      <c r="F588">
        <v>1</v>
      </c>
      <c r="G588">
        <v>220</v>
      </c>
      <c r="H588">
        <v>0</v>
      </c>
      <c r="I588" t="s">
        <v>994</v>
      </c>
      <c r="L588">
        <v>0</v>
      </c>
      <c r="M588">
        <v>0</v>
      </c>
      <c r="N588">
        <v>0</v>
      </c>
      <c r="Q588">
        <v>516</v>
      </c>
      <c r="R588">
        <v>0</v>
      </c>
      <c r="S588">
        <v>0</v>
      </c>
      <c r="W588" t="s">
        <v>1060</v>
      </c>
      <c r="X588">
        <v>0</v>
      </c>
      <c r="Z588">
        <v>10</v>
      </c>
      <c r="AA588">
        <v>28.279</v>
      </c>
      <c r="AB588">
        <v>211</v>
      </c>
      <c r="AC588">
        <v>2.9220000000000002</v>
      </c>
      <c r="AD588" t="s">
        <v>1042</v>
      </c>
      <c r="AE588">
        <v>0</v>
      </c>
      <c r="AF588">
        <v>4.7E-2</v>
      </c>
      <c r="AH588">
        <v>179</v>
      </c>
      <c r="AJ588">
        <v>1</v>
      </c>
      <c r="AK588" t="s">
        <v>1154</v>
      </c>
      <c r="AL588">
        <v>0</v>
      </c>
      <c r="AM588">
        <v>0</v>
      </c>
      <c r="AN588">
        <v>11501001</v>
      </c>
      <c r="AO588">
        <v>0</v>
      </c>
      <c r="AP588">
        <v>1002</v>
      </c>
      <c r="AT588">
        <v>1</v>
      </c>
      <c r="AU588" t="s">
        <v>1059</v>
      </c>
      <c r="AV588" t="s">
        <v>1043</v>
      </c>
      <c r="AW588" t="s">
        <v>1053</v>
      </c>
      <c r="AX588">
        <v>0</v>
      </c>
      <c r="AY588" s="20">
        <v>43679</v>
      </c>
      <c r="BA588" s="20">
        <v>44634</v>
      </c>
      <c r="BB588" t="s">
        <v>1058</v>
      </c>
      <c r="BD588">
        <v>0</v>
      </c>
      <c r="BF588" t="s">
        <v>1044</v>
      </c>
      <c r="BG588" t="s">
        <v>1042</v>
      </c>
      <c r="BH588">
        <v>0</v>
      </c>
      <c r="BI588">
        <v>6</v>
      </c>
      <c r="BJ588">
        <v>0</v>
      </c>
      <c r="BK588">
        <v>0</v>
      </c>
      <c r="BM588" s="20">
        <v>44186</v>
      </c>
      <c r="BN588">
        <v>0</v>
      </c>
      <c r="BO588">
        <v>7897801320061</v>
      </c>
      <c r="BR588" t="s">
        <v>1043</v>
      </c>
      <c r="BS588" t="s">
        <v>1043</v>
      </c>
      <c r="BT588" t="s">
        <v>1043</v>
      </c>
      <c r="BV588">
        <v>1</v>
      </c>
      <c r="BW588">
        <v>31</v>
      </c>
      <c r="BY588">
        <v>82</v>
      </c>
      <c r="CA588">
        <v>0</v>
      </c>
      <c r="CB588" t="s">
        <v>1043</v>
      </c>
      <c r="CE588" t="s">
        <v>1043</v>
      </c>
      <c r="CH588" t="s">
        <v>1043</v>
      </c>
      <c r="CI588" t="s">
        <v>1153</v>
      </c>
      <c r="CK588" t="s">
        <v>1152</v>
      </c>
      <c r="CN588" t="s">
        <v>1056</v>
      </c>
      <c r="CP588">
        <v>1</v>
      </c>
      <c r="CQ588">
        <v>0</v>
      </c>
      <c r="CS588">
        <v>0</v>
      </c>
      <c r="CT588">
        <v>0</v>
      </c>
      <c r="CU588">
        <v>0</v>
      </c>
      <c r="CW588">
        <v>0</v>
      </c>
      <c r="CX588">
        <v>0</v>
      </c>
      <c r="CY588">
        <v>0</v>
      </c>
      <c r="CZ588">
        <v>0</v>
      </c>
      <c r="DA588">
        <v>3</v>
      </c>
      <c r="DB588">
        <v>0</v>
      </c>
      <c r="DH588">
        <v>0</v>
      </c>
      <c r="DJ588">
        <v>0</v>
      </c>
      <c r="DL588">
        <v>0</v>
      </c>
      <c r="DN588">
        <v>0</v>
      </c>
      <c r="DO588" t="s">
        <v>1042</v>
      </c>
      <c r="DP588">
        <v>0</v>
      </c>
      <c r="DQ588">
        <v>7.6</v>
      </c>
      <c r="DS588">
        <v>0</v>
      </c>
      <c r="DU588">
        <v>1.65</v>
      </c>
      <c r="DW588">
        <v>0</v>
      </c>
      <c r="DY588">
        <v>0</v>
      </c>
      <c r="DZ588">
        <v>0</v>
      </c>
      <c r="EA588">
        <v>0</v>
      </c>
      <c r="EB588">
        <v>17897801320068</v>
      </c>
      <c r="EE588">
        <v>0</v>
      </c>
      <c r="EF588">
        <v>0</v>
      </c>
      <c r="EG588" t="s">
        <v>1044</v>
      </c>
      <c r="EK588" t="s">
        <v>1054</v>
      </c>
      <c r="EL588">
        <v>57897801320066</v>
      </c>
      <c r="EN588" t="s">
        <v>1012</v>
      </c>
      <c r="ET588">
        <v>0</v>
      </c>
      <c r="EV588">
        <v>0</v>
      </c>
      <c r="EY588" t="s">
        <v>1052</v>
      </c>
      <c r="EZ588">
        <v>0</v>
      </c>
      <c r="FA588" t="s">
        <v>1043</v>
      </c>
      <c r="FB588">
        <v>0</v>
      </c>
      <c r="FC588">
        <v>0</v>
      </c>
      <c r="FD588" t="s">
        <v>1051</v>
      </c>
      <c r="FE588" t="s">
        <v>1050</v>
      </c>
      <c r="FF588">
        <v>200</v>
      </c>
      <c r="FG588" t="s">
        <v>1050</v>
      </c>
      <c r="FH588">
        <v>27897801320065</v>
      </c>
      <c r="FJ588">
        <v>0</v>
      </c>
      <c r="FK588">
        <v>0</v>
      </c>
      <c r="FP588">
        <v>0</v>
      </c>
      <c r="FR588">
        <v>0</v>
      </c>
      <c r="FS588" t="s">
        <v>1044</v>
      </c>
      <c r="FX588" t="s">
        <v>1042</v>
      </c>
      <c r="GA588">
        <v>0</v>
      </c>
      <c r="GB588" t="s">
        <v>1042</v>
      </c>
      <c r="GD588">
        <v>16</v>
      </c>
      <c r="GE588">
        <v>0</v>
      </c>
      <c r="GG588">
        <v>0</v>
      </c>
      <c r="GN588">
        <v>0</v>
      </c>
      <c r="GO588" t="s">
        <v>1049</v>
      </c>
      <c r="GQ588">
        <v>0</v>
      </c>
      <c r="GU588">
        <v>0</v>
      </c>
      <c r="GY588" t="s">
        <v>1045</v>
      </c>
      <c r="HB588">
        <v>0</v>
      </c>
      <c r="HE588">
        <v>10</v>
      </c>
      <c r="HF588">
        <v>0</v>
      </c>
      <c r="HG588">
        <v>8.8000000000000003E-4</v>
      </c>
      <c r="HK588" t="s">
        <v>1042</v>
      </c>
      <c r="HL588" t="s">
        <v>1048</v>
      </c>
      <c r="HM588">
        <v>0</v>
      </c>
      <c r="HN588">
        <v>0</v>
      </c>
      <c r="HO588">
        <v>35</v>
      </c>
      <c r="HP588">
        <v>3.2000000000000001E-2</v>
      </c>
      <c r="HQ588">
        <v>0</v>
      </c>
      <c r="HR588" t="s">
        <v>1042</v>
      </c>
      <c r="HT588">
        <v>0</v>
      </c>
      <c r="HU588">
        <v>0</v>
      </c>
      <c r="HW588">
        <v>0</v>
      </c>
      <c r="HX588">
        <v>390</v>
      </c>
      <c r="HY588">
        <v>0</v>
      </c>
      <c r="IA588">
        <v>0</v>
      </c>
      <c r="IC588" t="s">
        <v>1151</v>
      </c>
      <c r="IF588">
        <v>14400</v>
      </c>
      <c r="IG588" t="s">
        <v>1042</v>
      </c>
      <c r="IH588" t="s">
        <v>1046</v>
      </c>
      <c r="II588" t="s">
        <v>1042</v>
      </c>
      <c r="IR588" t="s">
        <v>1045</v>
      </c>
      <c r="IT588">
        <v>0</v>
      </c>
      <c r="JE588">
        <v>0</v>
      </c>
      <c r="JF588">
        <v>0</v>
      </c>
      <c r="JI588" t="s">
        <v>1042</v>
      </c>
      <c r="JJ588">
        <v>0</v>
      </c>
      <c r="JK588">
        <v>0</v>
      </c>
      <c r="JL588">
        <v>0</v>
      </c>
      <c r="JM588">
        <v>0</v>
      </c>
      <c r="JT588">
        <v>0</v>
      </c>
      <c r="JU588" t="s">
        <v>1042</v>
      </c>
      <c r="JW588">
        <v>0</v>
      </c>
      <c r="KA588">
        <v>0</v>
      </c>
      <c r="KF588">
        <v>0</v>
      </c>
      <c r="KG588">
        <v>0</v>
      </c>
      <c r="KH588">
        <v>0</v>
      </c>
      <c r="KI588">
        <v>0</v>
      </c>
      <c r="KS588" t="s">
        <v>1041</v>
      </c>
      <c r="KT588">
        <v>0</v>
      </c>
      <c r="KU588">
        <v>0</v>
      </c>
      <c r="KV588">
        <v>0</v>
      </c>
      <c r="KX588">
        <v>0</v>
      </c>
      <c r="KZ588">
        <v>0</v>
      </c>
      <c r="LF588">
        <v>0</v>
      </c>
      <c r="LH588">
        <v>0</v>
      </c>
      <c r="LI588">
        <v>0</v>
      </c>
    </row>
    <row r="589" spans="1:321" x14ac:dyDescent="0.35">
      <c r="A589">
        <v>1</v>
      </c>
      <c r="B589">
        <v>1375</v>
      </c>
      <c r="C589" t="s">
        <v>736</v>
      </c>
      <c r="D589" t="s">
        <v>1061</v>
      </c>
      <c r="E589" t="s">
        <v>85</v>
      </c>
      <c r="F589">
        <v>1</v>
      </c>
      <c r="G589">
        <v>220</v>
      </c>
      <c r="H589">
        <v>0</v>
      </c>
      <c r="I589" t="s">
        <v>994</v>
      </c>
      <c r="L589">
        <v>0</v>
      </c>
      <c r="M589">
        <v>0</v>
      </c>
      <c r="N589">
        <v>0</v>
      </c>
      <c r="Q589">
        <v>516</v>
      </c>
      <c r="R589">
        <v>0</v>
      </c>
      <c r="S589">
        <v>0</v>
      </c>
      <c r="W589" t="s">
        <v>1060</v>
      </c>
      <c r="X589">
        <v>0</v>
      </c>
      <c r="Z589">
        <v>10</v>
      </c>
      <c r="AA589">
        <v>32.545999999999999</v>
      </c>
      <c r="AB589">
        <v>3577</v>
      </c>
      <c r="AC589">
        <v>3.4438</v>
      </c>
      <c r="AD589" t="s">
        <v>1042</v>
      </c>
      <c r="AE589">
        <v>0</v>
      </c>
      <c r="AF589">
        <v>6.1600000000000002E-2</v>
      </c>
      <c r="AH589">
        <v>3343</v>
      </c>
      <c r="AJ589">
        <v>1</v>
      </c>
      <c r="AK589" t="s">
        <v>1154</v>
      </c>
      <c r="AL589">
        <v>0</v>
      </c>
      <c r="AM589">
        <v>0</v>
      </c>
      <c r="AN589">
        <v>11501001</v>
      </c>
      <c r="AO589">
        <v>0</v>
      </c>
      <c r="AP589">
        <v>1002</v>
      </c>
      <c r="AT589">
        <v>1</v>
      </c>
      <c r="AU589" t="s">
        <v>1059</v>
      </c>
      <c r="AV589" t="s">
        <v>1043</v>
      </c>
      <c r="AW589" t="s">
        <v>1053</v>
      </c>
      <c r="AX589">
        <v>0</v>
      </c>
      <c r="AY589" s="20">
        <v>43679</v>
      </c>
      <c r="BA589" s="20">
        <v>44634</v>
      </c>
      <c r="BB589" t="s">
        <v>1058</v>
      </c>
      <c r="BD589">
        <v>0</v>
      </c>
      <c r="BF589" t="s">
        <v>1044</v>
      </c>
      <c r="BG589" t="s">
        <v>1042</v>
      </c>
      <c r="BH589">
        <v>0</v>
      </c>
      <c r="BI589">
        <v>6</v>
      </c>
      <c r="BJ589">
        <v>0</v>
      </c>
      <c r="BK589">
        <v>0</v>
      </c>
      <c r="BM589" s="20">
        <v>44186</v>
      </c>
      <c r="BN589">
        <v>0</v>
      </c>
      <c r="BO589">
        <v>7897801320078</v>
      </c>
      <c r="BR589" t="s">
        <v>1043</v>
      </c>
      <c r="BS589" t="s">
        <v>1043</v>
      </c>
      <c r="BT589" t="s">
        <v>1043</v>
      </c>
      <c r="BV589">
        <v>1</v>
      </c>
      <c r="BW589">
        <v>31</v>
      </c>
      <c r="BY589">
        <v>82</v>
      </c>
      <c r="CA589">
        <v>0</v>
      </c>
      <c r="CB589" t="s">
        <v>1043</v>
      </c>
      <c r="CE589" t="s">
        <v>1043</v>
      </c>
      <c r="CH589" t="s">
        <v>1043</v>
      </c>
      <c r="CI589" t="s">
        <v>1153</v>
      </c>
      <c r="CK589" t="s">
        <v>1152</v>
      </c>
      <c r="CN589" t="s">
        <v>1056</v>
      </c>
      <c r="CP589">
        <v>1</v>
      </c>
      <c r="CQ589">
        <v>0</v>
      </c>
      <c r="CS589">
        <v>0</v>
      </c>
      <c r="CT589">
        <v>0</v>
      </c>
      <c r="CU589">
        <v>0</v>
      </c>
      <c r="CW589">
        <v>0</v>
      </c>
      <c r="CX589">
        <v>0</v>
      </c>
      <c r="CY589">
        <v>0</v>
      </c>
      <c r="CZ589">
        <v>0</v>
      </c>
      <c r="DA589">
        <v>3</v>
      </c>
      <c r="DB589">
        <v>0</v>
      </c>
      <c r="DH589">
        <v>0</v>
      </c>
      <c r="DJ589">
        <v>0</v>
      </c>
      <c r="DL589">
        <v>0</v>
      </c>
      <c r="DN589">
        <v>0</v>
      </c>
      <c r="DO589" t="s">
        <v>1042</v>
      </c>
      <c r="DP589">
        <v>0</v>
      </c>
      <c r="DQ589">
        <v>7.6</v>
      </c>
      <c r="DS589">
        <v>0</v>
      </c>
      <c r="DU589">
        <v>1.65</v>
      </c>
      <c r="DW589">
        <v>0</v>
      </c>
      <c r="DY589">
        <v>0</v>
      </c>
      <c r="DZ589">
        <v>0</v>
      </c>
      <c r="EA589">
        <v>0</v>
      </c>
      <c r="EB589">
        <v>17897801320075</v>
      </c>
      <c r="EE589">
        <v>0</v>
      </c>
      <c r="EF589">
        <v>0</v>
      </c>
      <c r="EG589" t="s">
        <v>1044</v>
      </c>
      <c r="EK589" t="s">
        <v>1054</v>
      </c>
      <c r="EL589">
        <v>57897801320073</v>
      </c>
      <c r="EN589" t="s">
        <v>1012</v>
      </c>
      <c r="ET589">
        <v>0</v>
      </c>
      <c r="EV589">
        <v>0</v>
      </c>
      <c r="EY589" t="s">
        <v>1052</v>
      </c>
      <c r="EZ589">
        <v>0</v>
      </c>
      <c r="FA589" t="s">
        <v>1043</v>
      </c>
      <c r="FB589">
        <v>0</v>
      </c>
      <c r="FC589">
        <v>0</v>
      </c>
      <c r="FD589" t="s">
        <v>1051</v>
      </c>
      <c r="FE589" t="s">
        <v>1050</v>
      </c>
      <c r="FF589">
        <v>140</v>
      </c>
      <c r="FG589" t="s">
        <v>1050</v>
      </c>
      <c r="FH589">
        <v>27897801320072</v>
      </c>
      <c r="FJ589">
        <v>0</v>
      </c>
      <c r="FK589">
        <v>0</v>
      </c>
      <c r="FP589">
        <v>0</v>
      </c>
      <c r="FR589">
        <v>0</v>
      </c>
      <c r="FS589" t="s">
        <v>1044</v>
      </c>
      <c r="FX589" t="s">
        <v>1042</v>
      </c>
      <c r="GA589">
        <v>0</v>
      </c>
      <c r="GB589" t="s">
        <v>1042</v>
      </c>
      <c r="GD589">
        <v>16</v>
      </c>
      <c r="GE589">
        <v>0</v>
      </c>
      <c r="GG589">
        <v>0</v>
      </c>
      <c r="GN589">
        <v>0</v>
      </c>
      <c r="GO589" t="s">
        <v>1049</v>
      </c>
      <c r="GQ589">
        <v>0</v>
      </c>
      <c r="GU589">
        <v>0</v>
      </c>
      <c r="GY589" t="s">
        <v>1045</v>
      </c>
      <c r="HB589">
        <v>0</v>
      </c>
      <c r="HE589">
        <v>10</v>
      </c>
      <c r="HF589">
        <v>0</v>
      </c>
      <c r="HG589">
        <v>1.166E-2</v>
      </c>
      <c r="HK589" t="s">
        <v>1042</v>
      </c>
      <c r="HL589" t="s">
        <v>1048</v>
      </c>
      <c r="HM589">
        <v>0</v>
      </c>
      <c r="HN589">
        <v>0</v>
      </c>
      <c r="HO589">
        <v>35</v>
      </c>
      <c r="HP589">
        <v>4.8000000000000001E-2</v>
      </c>
      <c r="HQ589">
        <v>0</v>
      </c>
      <c r="HR589" t="s">
        <v>1042</v>
      </c>
      <c r="HT589">
        <v>0</v>
      </c>
      <c r="HU589">
        <v>0</v>
      </c>
      <c r="HW589">
        <v>0</v>
      </c>
      <c r="HX589">
        <v>6919</v>
      </c>
      <c r="HY589">
        <v>0</v>
      </c>
      <c r="IA589">
        <v>0</v>
      </c>
      <c r="IC589" t="s">
        <v>1151</v>
      </c>
      <c r="IF589">
        <v>10080</v>
      </c>
      <c r="IG589" t="s">
        <v>1042</v>
      </c>
      <c r="IH589" t="s">
        <v>1046</v>
      </c>
      <c r="II589" t="s">
        <v>1042</v>
      </c>
      <c r="IR589" t="s">
        <v>1045</v>
      </c>
      <c r="IT589">
        <v>0</v>
      </c>
      <c r="JE589">
        <v>0</v>
      </c>
      <c r="JF589">
        <v>0</v>
      </c>
      <c r="JI589" t="s">
        <v>1042</v>
      </c>
      <c r="JJ589">
        <v>0</v>
      </c>
      <c r="JK589">
        <v>0</v>
      </c>
      <c r="JL589">
        <v>0</v>
      </c>
      <c r="JM589">
        <v>0</v>
      </c>
      <c r="JT589">
        <v>0</v>
      </c>
      <c r="JU589" t="s">
        <v>1042</v>
      </c>
      <c r="JW589">
        <v>0</v>
      </c>
      <c r="KA589">
        <v>0</v>
      </c>
      <c r="KF589">
        <v>0</v>
      </c>
      <c r="KG589">
        <v>0</v>
      </c>
      <c r="KH589">
        <v>0</v>
      </c>
      <c r="KI589">
        <v>0</v>
      </c>
      <c r="KS589" t="s">
        <v>1041</v>
      </c>
      <c r="KT589">
        <v>0</v>
      </c>
      <c r="KU589">
        <v>0</v>
      </c>
      <c r="KV589">
        <v>0</v>
      </c>
      <c r="KX589">
        <v>0</v>
      </c>
      <c r="KZ589">
        <v>0</v>
      </c>
      <c r="LF589">
        <v>0</v>
      </c>
      <c r="LH589">
        <v>0</v>
      </c>
      <c r="LI589">
        <v>0</v>
      </c>
    </row>
    <row r="590" spans="1:321" x14ac:dyDescent="0.35">
      <c r="A590">
        <v>1</v>
      </c>
      <c r="B590">
        <v>1376</v>
      </c>
      <c r="C590" t="s">
        <v>737</v>
      </c>
      <c r="D590" t="s">
        <v>1061</v>
      </c>
      <c r="E590" t="s">
        <v>85</v>
      </c>
      <c r="F590">
        <v>1</v>
      </c>
      <c r="G590">
        <v>220</v>
      </c>
      <c r="H590">
        <v>0</v>
      </c>
      <c r="I590" t="s">
        <v>994</v>
      </c>
      <c r="L590">
        <v>0</v>
      </c>
      <c r="M590">
        <v>0</v>
      </c>
      <c r="N590">
        <v>0</v>
      </c>
      <c r="Q590">
        <v>516</v>
      </c>
      <c r="R590">
        <v>0</v>
      </c>
      <c r="S590">
        <v>0</v>
      </c>
      <c r="W590" t="s">
        <v>1060</v>
      </c>
      <c r="X590">
        <v>0</v>
      </c>
      <c r="Z590">
        <v>10</v>
      </c>
      <c r="AA590">
        <v>46.095999999999997</v>
      </c>
      <c r="AB590">
        <v>1239</v>
      </c>
      <c r="AC590">
        <v>3.6452</v>
      </c>
      <c r="AD590" t="s">
        <v>1042</v>
      </c>
      <c r="AE590">
        <v>0</v>
      </c>
      <c r="AF590">
        <v>7.0999999999999994E-2</v>
      </c>
      <c r="AH590">
        <v>1101</v>
      </c>
      <c r="AJ590">
        <v>1</v>
      </c>
      <c r="AK590" t="s">
        <v>1154</v>
      </c>
      <c r="AL590">
        <v>0</v>
      </c>
      <c r="AM590">
        <v>0</v>
      </c>
      <c r="AN590">
        <v>11501001</v>
      </c>
      <c r="AO590">
        <v>0</v>
      </c>
      <c r="AP590">
        <v>1002</v>
      </c>
      <c r="AT590">
        <v>1</v>
      </c>
      <c r="AU590" t="s">
        <v>1059</v>
      </c>
      <c r="AV590" t="s">
        <v>1043</v>
      </c>
      <c r="AW590" t="s">
        <v>1053</v>
      </c>
      <c r="AX590">
        <v>0</v>
      </c>
      <c r="AY590" s="20">
        <v>43679</v>
      </c>
      <c r="BA590" s="20">
        <v>44634</v>
      </c>
      <c r="BB590" t="s">
        <v>1058</v>
      </c>
      <c r="BD590">
        <v>0</v>
      </c>
      <c r="BF590" t="s">
        <v>1044</v>
      </c>
      <c r="BG590" t="s">
        <v>1042</v>
      </c>
      <c r="BH590">
        <v>0</v>
      </c>
      <c r="BI590">
        <v>6</v>
      </c>
      <c r="BJ590">
        <v>0</v>
      </c>
      <c r="BK590">
        <v>0</v>
      </c>
      <c r="BM590" s="20">
        <v>44186</v>
      </c>
      <c r="BN590">
        <v>0</v>
      </c>
      <c r="BO590">
        <v>7897801320085</v>
      </c>
      <c r="BR590" t="s">
        <v>1043</v>
      </c>
      <c r="BS590" t="s">
        <v>1043</v>
      </c>
      <c r="BT590" t="s">
        <v>1043</v>
      </c>
      <c r="BV590">
        <v>1</v>
      </c>
      <c r="BW590">
        <v>31</v>
      </c>
      <c r="BY590">
        <v>82</v>
      </c>
      <c r="CA590">
        <v>0</v>
      </c>
      <c r="CB590" t="s">
        <v>1043</v>
      </c>
      <c r="CE590" t="s">
        <v>1043</v>
      </c>
      <c r="CH590" t="s">
        <v>1043</v>
      </c>
      <c r="CI590" t="s">
        <v>1153</v>
      </c>
      <c r="CK590" t="s">
        <v>1152</v>
      </c>
      <c r="CN590" t="s">
        <v>1056</v>
      </c>
      <c r="CP590">
        <v>1</v>
      </c>
      <c r="CQ590">
        <v>0</v>
      </c>
      <c r="CS590">
        <v>0</v>
      </c>
      <c r="CT590">
        <v>0</v>
      </c>
      <c r="CU590">
        <v>0</v>
      </c>
      <c r="CW590">
        <v>0</v>
      </c>
      <c r="CX590">
        <v>0</v>
      </c>
      <c r="CY590">
        <v>0</v>
      </c>
      <c r="CZ590">
        <v>0</v>
      </c>
      <c r="DA590">
        <v>4</v>
      </c>
      <c r="DB590">
        <v>0</v>
      </c>
      <c r="DH590">
        <v>0</v>
      </c>
      <c r="DJ590">
        <v>0</v>
      </c>
      <c r="DL590">
        <v>0</v>
      </c>
      <c r="DN590">
        <v>0</v>
      </c>
      <c r="DO590" t="s">
        <v>1042</v>
      </c>
      <c r="DP590">
        <v>0</v>
      </c>
      <c r="DQ590">
        <v>7.6</v>
      </c>
      <c r="DS590">
        <v>0</v>
      </c>
      <c r="DU590">
        <v>1.65</v>
      </c>
      <c r="DW590">
        <v>0</v>
      </c>
      <c r="DY590">
        <v>0</v>
      </c>
      <c r="DZ590">
        <v>0</v>
      </c>
      <c r="EA590">
        <v>0</v>
      </c>
      <c r="EB590">
        <v>17897801320082</v>
      </c>
      <c r="EE590">
        <v>0</v>
      </c>
      <c r="EF590">
        <v>0</v>
      </c>
      <c r="EG590" t="s">
        <v>1044</v>
      </c>
      <c r="EK590" t="s">
        <v>1054</v>
      </c>
      <c r="EL590">
        <v>57897801320080</v>
      </c>
      <c r="EN590" t="s">
        <v>1012</v>
      </c>
      <c r="ET590">
        <v>0</v>
      </c>
      <c r="EV590">
        <v>0</v>
      </c>
      <c r="EY590" t="s">
        <v>1052</v>
      </c>
      <c r="EZ590">
        <v>0</v>
      </c>
      <c r="FA590" t="s">
        <v>1043</v>
      </c>
      <c r="FB590">
        <v>0</v>
      </c>
      <c r="FC590">
        <v>0</v>
      </c>
      <c r="FD590" t="s">
        <v>1051</v>
      </c>
      <c r="FE590" t="s">
        <v>1050</v>
      </c>
      <c r="FF590">
        <v>120</v>
      </c>
      <c r="FG590" t="s">
        <v>1050</v>
      </c>
      <c r="FH590">
        <v>27897801320089</v>
      </c>
      <c r="FJ590">
        <v>0</v>
      </c>
      <c r="FK590">
        <v>0</v>
      </c>
      <c r="FP590">
        <v>0</v>
      </c>
      <c r="FR590">
        <v>0</v>
      </c>
      <c r="FS590" t="s">
        <v>1044</v>
      </c>
      <c r="FX590" t="s">
        <v>1042</v>
      </c>
      <c r="GA590">
        <v>0</v>
      </c>
      <c r="GB590" t="s">
        <v>1042</v>
      </c>
      <c r="GD590">
        <v>16</v>
      </c>
      <c r="GE590">
        <v>0</v>
      </c>
      <c r="GG590">
        <v>0</v>
      </c>
      <c r="GN590">
        <v>0</v>
      </c>
      <c r="GO590" t="s">
        <v>1049</v>
      </c>
      <c r="GQ590">
        <v>0</v>
      </c>
      <c r="GU590">
        <v>0</v>
      </c>
      <c r="GY590" t="s">
        <v>1045</v>
      </c>
      <c r="HB590">
        <v>0</v>
      </c>
      <c r="HE590">
        <v>10</v>
      </c>
      <c r="HF590">
        <v>0</v>
      </c>
      <c r="HG590">
        <v>1.9300000000000001E-3</v>
      </c>
      <c r="HK590" t="s">
        <v>1042</v>
      </c>
      <c r="HL590" t="s">
        <v>1048</v>
      </c>
      <c r="HM590">
        <v>0</v>
      </c>
      <c r="HN590">
        <v>0</v>
      </c>
      <c r="HO590">
        <v>35</v>
      </c>
      <c r="HP590">
        <v>5.3999999999999999E-2</v>
      </c>
      <c r="HQ590">
        <v>0</v>
      </c>
      <c r="HR590" t="s">
        <v>1042</v>
      </c>
      <c r="HT590">
        <v>0</v>
      </c>
      <c r="HU590">
        <v>0</v>
      </c>
      <c r="HW590">
        <v>0</v>
      </c>
      <c r="HX590">
        <v>2341</v>
      </c>
      <c r="HY590">
        <v>0</v>
      </c>
      <c r="IA590">
        <v>0</v>
      </c>
      <c r="IC590" t="s">
        <v>1151</v>
      </c>
      <c r="IF590">
        <v>8640</v>
      </c>
      <c r="IG590" t="s">
        <v>1042</v>
      </c>
      <c r="IH590" t="s">
        <v>1046</v>
      </c>
      <c r="II590" t="s">
        <v>1042</v>
      </c>
      <c r="IR590" t="s">
        <v>1045</v>
      </c>
      <c r="IT590">
        <v>0</v>
      </c>
      <c r="JE590">
        <v>0</v>
      </c>
      <c r="JF590">
        <v>0</v>
      </c>
      <c r="JI590" t="s">
        <v>1042</v>
      </c>
      <c r="JJ590">
        <v>0</v>
      </c>
      <c r="JK590">
        <v>0</v>
      </c>
      <c r="JL590">
        <v>0</v>
      </c>
      <c r="JM590">
        <v>0</v>
      </c>
      <c r="JT590">
        <v>0</v>
      </c>
      <c r="JU590" t="s">
        <v>1042</v>
      </c>
      <c r="JW590">
        <v>0</v>
      </c>
      <c r="KA590">
        <v>0</v>
      </c>
      <c r="KF590">
        <v>0</v>
      </c>
      <c r="KG590">
        <v>0</v>
      </c>
      <c r="KH590">
        <v>0</v>
      </c>
      <c r="KI590">
        <v>0</v>
      </c>
      <c r="KS590" t="s">
        <v>1041</v>
      </c>
      <c r="KT590">
        <v>0</v>
      </c>
      <c r="KU590">
        <v>0</v>
      </c>
      <c r="KV590">
        <v>0</v>
      </c>
      <c r="KX590">
        <v>0</v>
      </c>
      <c r="KZ590">
        <v>0</v>
      </c>
      <c r="LF590">
        <v>0</v>
      </c>
      <c r="LH590">
        <v>0</v>
      </c>
      <c r="LI590">
        <v>0</v>
      </c>
    </row>
    <row r="591" spans="1:321" x14ac:dyDescent="0.35">
      <c r="A591">
        <v>1</v>
      </c>
      <c r="B591">
        <v>1377</v>
      </c>
      <c r="C591" t="s">
        <v>738</v>
      </c>
      <c r="D591" t="s">
        <v>1089</v>
      </c>
      <c r="E591" t="s">
        <v>85</v>
      </c>
      <c r="F591">
        <v>1</v>
      </c>
      <c r="G591">
        <v>220</v>
      </c>
      <c r="H591">
        <v>0</v>
      </c>
      <c r="I591" t="s">
        <v>994</v>
      </c>
      <c r="L591">
        <v>0</v>
      </c>
      <c r="M591">
        <v>0</v>
      </c>
      <c r="N591">
        <v>0</v>
      </c>
      <c r="P591">
        <v>8</v>
      </c>
      <c r="Q591">
        <v>901</v>
      </c>
      <c r="R591">
        <v>0</v>
      </c>
      <c r="S591">
        <v>0</v>
      </c>
      <c r="W591" t="s">
        <v>1060</v>
      </c>
      <c r="X591">
        <v>0</v>
      </c>
      <c r="Z591">
        <v>10</v>
      </c>
      <c r="AA591">
        <v>21.141999999999999</v>
      </c>
      <c r="AB591">
        <v>0</v>
      </c>
      <c r="AC591">
        <v>2.3744000000000001</v>
      </c>
      <c r="AD591" s="20">
        <v>44267</v>
      </c>
      <c r="AE591">
        <v>2.3734000000000002</v>
      </c>
      <c r="AF591">
        <v>5.0900000000000001E-2</v>
      </c>
      <c r="AH591">
        <v>0</v>
      </c>
      <c r="AJ591">
        <v>1</v>
      </c>
      <c r="AK591" t="s">
        <v>1154</v>
      </c>
      <c r="AL591">
        <v>0</v>
      </c>
      <c r="AM591">
        <v>0</v>
      </c>
      <c r="AN591">
        <v>11501008</v>
      </c>
      <c r="AO591">
        <v>0</v>
      </c>
      <c r="AP591">
        <v>1050</v>
      </c>
      <c r="AT591">
        <v>1</v>
      </c>
      <c r="AU591" t="s">
        <v>1059</v>
      </c>
      <c r="AV591" t="s">
        <v>1043</v>
      </c>
      <c r="AW591" t="s">
        <v>1053</v>
      </c>
      <c r="AX591">
        <v>1</v>
      </c>
      <c r="AY591" s="20">
        <v>44082</v>
      </c>
      <c r="BA591" s="20">
        <v>43679</v>
      </c>
      <c r="BB591" t="s">
        <v>1058</v>
      </c>
      <c r="BD591">
        <v>0</v>
      </c>
      <c r="BF591" t="s">
        <v>1044</v>
      </c>
      <c r="BG591" t="s">
        <v>1042</v>
      </c>
      <c r="BH591">
        <v>0</v>
      </c>
      <c r="BI591">
        <v>34</v>
      </c>
      <c r="BJ591">
        <v>0</v>
      </c>
      <c r="BK591">
        <v>0</v>
      </c>
      <c r="BM591" s="20">
        <v>44169</v>
      </c>
      <c r="BN591">
        <v>0</v>
      </c>
      <c r="BO591">
        <v>7897801320092</v>
      </c>
      <c r="BR591" t="s">
        <v>1043</v>
      </c>
      <c r="BS591" t="s">
        <v>1043</v>
      </c>
      <c r="BT591" t="s">
        <v>1043</v>
      </c>
      <c r="BV591">
        <v>1</v>
      </c>
      <c r="BW591">
        <v>31</v>
      </c>
      <c r="BY591">
        <v>82</v>
      </c>
      <c r="CA591">
        <v>0</v>
      </c>
      <c r="CB591" t="s">
        <v>1043</v>
      </c>
      <c r="CE591" t="s">
        <v>1043</v>
      </c>
      <c r="CH591" t="s">
        <v>1043</v>
      </c>
      <c r="CI591" t="s">
        <v>1153</v>
      </c>
      <c r="CK591" t="s">
        <v>1152</v>
      </c>
      <c r="CN591" t="s">
        <v>1056</v>
      </c>
      <c r="CP591">
        <v>1</v>
      </c>
      <c r="CQ591">
        <v>0</v>
      </c>
      <c r="CS591">
        <v>0</v>
      </c>
      <c r="CT591">
        <v>0</v>
      </c>
      <c r="CU591">
        <v>0</v>
      </c>
      <c r="CW591">
        <v>0</v>
      </c>
      <c r="CX591">
        <v>0</v>
      </c>
      <c r="CY591">
        <v>0</v>
      </c>
      <c r="CZ591">
        <v>0</v>
      </c>
      <c r="DB591">
        <v>0</v>
      </c>
      <c r="DH591">
        <v>0</v>
      </c>
      <c r="DJ591">
        <v>0</v>
      </c>
      <c r="DL591">
        <v>0</v>
      </c>
      <c r="DN591">
        <v>0</v>
      </c>
      <c r="DO591" t="s">
        <v>1042</v>
      </c>
      <c r="DP591">
        <v>0</v>
      </c>
      <c r="DQ591">
        <v>7.6</v>
      </c>
      <c r="DS591">
        <v>0</v>
      </c>
      <c r="DU591">
        <v>1.65</v>
      </c>
      <c r="DW591">
        <v>0</v>
      </c>
      <c r="DY591">
        <v>0</v>
      </c>
      <c r="DZ591">
        <v>0</v>
      </c>
      <c r="EA591">
        <v>0</v>
      </c>
      <c r="EB591">
        <v>17897801320099</v>
      </c>
      <c r="EE591">
        <v>0</v>
      </c>
      <c r="EF591">
        <v>0</v>
      </c>
      <c r="EG591" t="s">
        <v>1044</v>
      </c>
      <c r="EK591" t="s">
        <v>1054</v>
      </c>
      <c r="EL591">
        <v>57897801320097</v>
      </c>
      <c r="EN591" t="s">
        <v>1012</v>
      </c>
      <c r="ET591">
        <v>0</v>
      </c>
      <c r="EV591">
        <v>0</v>
      </c>
      <c r="EY591" t="s">
        <v>1052</v>
      </c>
      <c r="EZ591">
        <v>0</v>
      </c>
      <c r="FA591" t="s">
        <v>1043</v>
      </c>
      <c r="FB591">
        <v>0</v>
      </c>
      <c r="FC591">
        <v>0</v>
      </c>
      <c r="FD591" t="s">
        <v>1051</v>
      </c>
      <c r="FE591" t="s">
        <v>1050</v>
      </c>
      <c r="FF591">
        <v>120</v>
      </c>
      <c r="FG591" t="s">
        <v>1050</v>
      </c>
      <c r="FH591">
        <v>27897801320096</v>
      </c>
      <c r="FJ591">
        <v>0</v>
      </c>
      <c r="FK591">
        <v>0</v>
      </c>
      <c r="FP591">
        <v>0</v>
      </c>
      <c r="FR591">
        <v>0</v>
      </c>
      <c r="FS591" t="s">
        <v>1043</v>
      </c>
      <c r="FX591" t="s">
        <v>1042</v>
      </c>
      <c r="GA591">
        <v>0</v>
      </c>
      <c r="GB591" t="s">
        <v>1042</v>
      </c>
      <c r="GD591">
        <v>16</v>
      </c>
      <c r="GE591">
        <v>0</v>
      </c>
      <c r="GG591">
        <v>0</v>
      </c>
      <c r="GN591">
        <v>0</v>
      </c>
      <c r="GO591" t="s">
        <v>1063</v>
      </c>
      <c r="GQ591">
        <v>0</v>
      </c>
      <c r="GU591">
        <v>0</v>
      </c>
      <c r="GY591" t="s">
        <v>1045</v>
      </c>
      <c r="HB591">
        <v>0</v>
      </c>
      <c r="HE591">
        <v>10</v>
      </c>
      <c r="HF591">
        <v>0</v>
      </c>
      <c r="HG591">
        <v>1.9300000000000001E-3</v>
      </c>
      <c r="HK591" t="s">
        <v>1042</v>
      </c>
      <c r="HL591" t="s">
        <v>1048</v>
      </c>
      <c r="HM591">
        <v>0</v>
      </c>
      <c r="HN591">
        <v>0</v>
      </c>
      <c r="HO591">
        <v>35</v>
      </c>
      <c r="HP591">
        <v>0</v>
      </c>
      <c r="HQ591">
        <v>0</v>
      </c>
      <c r="HR591" s="20">
        <v>44221</v>
      </c>
      <c r="HT591">
        <v>0</v>
      </c>
      <c r="HU591">
        <v>0</v>
      </c>
      <c r="HW591">
        <v>0</v>
      </c>
      <c r="HX591">
        <v>0</v>
      </c>
      <c r="HY591">
        <v>1</v>
      </c>
      <c r="IA591">
        <v>2.37</v>
      </c>
      <c r="IC591" t="s">
        <v>1151</v>
      </c>
      <c r="IF591">
        <v>7200</v>
      </c>
      <c r="IG591" t="s">
        <v>1042</v>
      </c>
      <c r="IH591" t="s">
        <v>1046</v>
      </c>
      <c r="II591" t="s">
        <v>1042</v>
      </c>
      <c r="IR591" t="s">
        <v>1045</v>
      </c>
      <c r="IT591">
        <v>0</v>
      </c>
      <c r="JE591">
        <v>0</v>
      </c>
      <c r="JF591">
        <v>0</v>
      </c>
      <c r="JI591" t="s">
        <v>1042</v>
      </c>
      <c r="JJ591">
        <v>0</v>
      </c>
      <c r="JK591">
        <v>0</v>
      </c>
      <c r="JL591">
        <v>0</v>
      </c>
      <c r="JM591">
        <v>0</v>
      </c>
      <c r="JT591">
        <v>0</v>
      </c>
      <c r="JU591" t="s">
        <v>1042</v>
      </c>
      <c r="JW591">
        <v>0</v>
      </c>
      <c r="KA591">
        <v>0</v>
      </c>
      <c r="KF591">
        <v>0</v>
      </c>
      <c r="KG591">
        <v>0</v>
      </c>
      <c r="KH591">
        <v>0</v>
      </c>
      <c r="KI591">
        <v>0</v>
      </c>
      <c r="KS591" t="s">
        <v>1041</v>
      </c>
      <c r="KT591">
        <v>0</v>
      </c>
      <c r="KU591">
        <v>0</v>
      </c>
      <c r="KV591">
        <v>0</v>
      </c>
      <c r="KX591">
        <v>0</v>
      </c>
      <c r="KZ591">
        <v>0</v>
      </c>
      <c r="LF591">
        <v>0</v>
      </c>
      <c r="LH591">
        <v>0</v>
      </c>
      <c r="LI591">
        <v>0</v>
      </c>
    </row>
    <row r="592" spans="1:321" x14ac:dyDescent="0.35">
      <c r="A592">
        <v>1</v>
      </c>
      <c r="B592">
        <v>1378</v>
      </c>
      <c r="C592" t="s">
        <v>739</v>
      </c>
      <c r="D592" t="s">
        <v>1089</v>
      </c>
      <c r="E592" t="s">
        <v>85</v>
      </c>
      <c r="F592">
        <v>1</v>
      </c>
      <c r="G592">
        <v>220</v>
      </c>
      <c r="H592">
        <v>0</v>
      </c>
      <c r="I592" t="s">
        <v>994</v>
      </c>
      <c r="L592">
        <v>0</v>
      </c>
      <c r="M592">
        <v>0</v>
      </c>
      <c r="N592">
        <v>0</v>
      </c>
      <c r="P592">
        <v>8</v>
      </c>
      <c r="Q592">
        <v>901</v>
      </c>
      <c r="R592">
        <v>0</v>
      </c>
      <c r="S592">
        <v>0</v>
      </c>
      <c r="W592" t="s">
        <v>1060</v>
      </c>
      <c r="X592">
        <v>0</v>
      </c>
      <c r="Z592">
        <v>10</v>
      </c>
      <c r="AA592">
        <v>25.606000000000002</v>
      </c>
      <c r="AB592">
        <v>0</v>
      </c>
      <c r="AC592">
        <v>3.2242999999999999</v>
      </c>
      <c r="AD592" s="20">
        <v>44267</v>
      </c>
      <c r="AE592">
        <v>3.2228270000000001</v>
      </c>
      <c r="AF592">
        <v>6.8599999999999994E-2</v>
      </c>
      <c r="AH592">
        <v>0</v>
      </c>
      <c r="AJ592">
        <v>1</v>
      </c>
      <c r="AK592" t="s">
        <v>1154</v>
      </c>
      <c r="AL592">
        <v>0</v>
      </c>
      <c r="AM592">
        <v>0</v>
      </c>
      <c r="AN592">
        <v>11501008</v>
      </c>
      <c r="AO592">
        <v>0</v>
      </c>
      <c r="AP592">
        <v>1050</v>
      </c>
      <c r="AT592">
        <v>1</v>
      </c>
      <c r="AU592" t="s">
        <v>1059</v>
      </c>
      <c r="AV592" t="s">
        <v>1043</v>
      </c>
      <c r="AW592" t="s">
        <v>1053</v>
      </c>
      <c r="AX592">
        <v>1</v>
      </c>
      <c r="AY592" s="20">
        <v>44082</v>
      </c>
      <c r="BA592" s="20">
        <v>43679</v>
      </c>
      <c r="BB592" t="s">
        <v>1058</v>
      </c>
      <c r="BD592">
        <v>0</v>
      </c>
      <c r="BF592" t="s">
        <v>1044</v>
      </c>
      <c r="BG592" t="s">
        <v>1042</v>
      </c>
      <c r="BH592">
        <v>0</v>
      </c>
      <c r="BI592">
        <v>34</v>
      </c>
      <c r="BJ592">
        <v>0</v>
      </c>
      <c r="BK592">
        <v>0</v>
      </c>
      <c r="BM592" s="20">
        <v>44169</v>
      </c>
      <c r="BN592">
        <v>0</v>
      </c>
      <c r="BO592">
        <v>7897801320108</v>
      </c>
      <c r="BR592" t="s">
        <v>1043</v>
      </c>
      <c r="BS592" t="s">
        <v>1043</v>
      </c>
      <c r="BT592" t="s">
        <v>1043</v>
      </c>
      <c r="BV592">
        <v>1</v>
      </c>
      <c r="BW592">
        <v>31</v>
      </c>
      <c r="BY592">
        <v>82</v>
      </c>
      <c r="CA592">
        <v>0</v>
      </c>
      <c r="CB592" t="s">
        <v>1043</v>
      </c>
      <c r="CE592" t="s">
        <v>1043</v>
      </c>
      <c r="CH592" t="s">
        <v>1043</v>
      </c>
      <c r="CI592" t="s">
        <v>1153</v>
      </c>
      <c r="CK592" t="s">
        <v>1152</v>
      </c>
      <c r="CN592" t="s">
        <v>1056</v>
      </c>
      <c r="CP592">
        <v>1</v>
      </c>
      <c r="CQ592">
        <v>0</v>
      </c>
      <c r="CS592">
        <v>0</v>
      </c>
      <c r="CT592">
        <v>0</v>
      </c>
      <c r="CU592">
        <v>0</v>
      </c>
      <c r="CW592">
        <v>0</v>
      </c>
      <c r="CX592">
        <v>0</v>
      </c>
      <c r="CY592">
        <v>0</v>
      </c>
      <c r="CZ592">
        <v>0</v>
      </c>
      <c r="DB592">
        <v>0</v>
      </c>
      <c r="DH592">
        <v>0</v>
      </c>
      <c r="DJ592">
        <v>0</v>
      </c>
      <c r="DL592">
        <v>0</v>
      </c>
      <c r="DN592">
        <v>0</v>
      </c>
      <c r="DO592" t="s">
        <v>1042</v>
      </c>
      <c r="DP592">
        <v>0</v>
      </c>
      <c r="DQ592">
        <v>7.6</v>
      </c>
      <c r="DS592">
        <v>0</v>
      </c>
      <c r="DU592">
        <v>1.65</v>
      </c>
      <c r="DW592">
        <v>0</v>
      </c>
      <c r="DY592">
        <v>0</v>
      </c>
      <c r="DZ592">
        <v>0</v>
      </c>
      <c r="EA592">
        <v>0</v>
      </c>
      <c r="EB592">
        <v>17897801320105</v>
      </c>
      <c r="EE592">
        <v>0</v>
      </c>
      <c r="EF592">
        <v>0</v>
      </c>
      <c r="EG592" t="s">
        <v>1044</v>
      </c>
      <c r="EK592" t="s">
        <v>1054</v>
      </c>
      <c r="EL592">
        <v>57897801320103</v>
      </c>
      <c r="EN592" t="s">
        <v>1012</v>
      </c>
      <c r="ET592">
        <v>0</v>
      </c>
      <c r="EV592">
        <v>0</v>
      </c>
      <c r="EY592" t="s">
        <v>1052</v>
      </c>
      <c r="EZ592">
        <v>0</v>
      </c>
      <c r="FA592" t="s">
        <v>1043</v>
      </c>
      <c r="FB592">
        <v>0</v>
      </c>
      <c r="FC592">
        <v>0</v>
      </c>
      <c r="FD592" t="s">
        <v>1051</v>
      </c>
      <c r="FE592" t="s">
        <v>1050</v>
      </c>
      <c r="FF592">
        <v>70</v>
      </c>
      <c r="FG592" t="s">
        <v>1050</v>
      </c>
      <c r="FH592">
        <v>27897801320102</v>
      </c>
      <c r="FJ592">
        <v>0</v>
      </c>
      <c r="FK592">
        <v>0</v>
      </c>
      <c r="FP592">
        <v>0</v>
      </c>
      <c r="FR592">
        <v>0</v>
      </c>
      <c r="FS592" t="s">
        <v>1043</v>
      </c>
      <c r="FX592" t="s">
        <v>1042</v>
      </c>
      <c r="GA592">
        <v>0</v>
      </c>
      <c r="GB592" t="s">
        <v>1042</v>
      </c>
      <c r="GD592">
        <v>16</v>
      </c>
      <c r="GE592">
        <v>0</v>
      </c>
      <c r="GG592">
        <v>0</v>
      </c>
      <c r="GL592">
        <v>6</v>
      </c>
      <c r="GN592">
        <v>0</v>
      </c>
      <c r="GO592" t="s">
        <v>1063</v>
      </c>
      <c r="GQ592">
        <v>0</v>
      </c>
      <c r="GU592">
        <v>0</v>
      </c>
      <c r="GY592" t="s">
        <v>1045</v>
      </c>
      <c r="HB592">
        <v>0</v>
      </c>
      <c r="HE592">
        <v>10</v>
      </c>
      <c r="HF592">
        <v>0</v>
      </c>
      <c r="HG592">
        <v>2.7499999999999998E-3</v>
      </c>
      <c r="HK592" t="s">
        <v>1042</v>
      </c>
      <c r="HL592" t="s">
        <v>1048</v>
      </c>
      <c r="HM592">
        <v>0</v>
      </c>
      <c r="HN592">
        <v>0</v>
      </c>
      <c r="HO592">
        <v>35</v>
      </c>
      <c r="HP592">
        <v>0</v>
      </c>
      <c r="HQ592">
        <v>0</v>
      </c>
      <c r="HR592" s="20">
        <v>44221</v>
      </c>
      <c r="HT592">
        <v>0</v>
      </c>
      <c r="HU592">
        <v>0</v>
      </c>
      <c r="HW592">
        <v>0</v>
      </c>
      <c r="HX592">
        <v>0</v>
      </c>
      <c r="HY592">
        <v>1</v>
      </c>
      <c r="IA592">
        <v>3.22</v>
      </c>
      <c r="IC592" t="s">
        <v>1151</v>
      </c>
      <c r="IF592">
        <v>4200</v>
      </c>
      <c r="IG592" t="s">
        <v>1042</v>
      </c>
      <c r="IH592" t="s">
        <v>1046</v>
      </c>
      <c r="II592" t="s">
        <v>1042</v>
      </c>
      <c r="IR592" t="s">
        <v>1045</v>
      </c>
      <c r="IT592">
        <v>0</v>
      </c>
      <c r="JE592">
        <v>0</v>
      </c>
      <c r="JF592">
        <v>0</v>
      </c>
      <c r="JI592" t="s">
        <v>1042</v>
      </c>
      <c r="JJ592">
        <v>0</v>
      </c>
      <c r="JK592">
        <v>0</v>
      </c>
      <c r="JL592">
        <v>0</v>
      </c>
      <c r="JM592">
        <v>0</v>
      </c>
      <c r="JT592">
        <v>0</v>
      </c>
      <c r="JU592" t="s">
        <v>1042</v>
      </c>
      <c r="JW592">
        <v>0</v>
      </c>
      <c r="KA592">
        <v>0</v>
      </c>
      <c r="KF592">
        <v>0</v>
      </c>
      <c r="KG592">
        <v>0</v>
      </c>
      <c r="KH592">
        <v>0</v>
      </c>
      <c r="KI592">
        <v>0</v>
      </c>
      <c r="KS592" t="s">
        <v>1041</v>
      </c>
      <c r="KT592">
        <v>0</v>
      </c>
      <c r="KU592">
        <v>0</v>
      </c>
      <c r="KV592">
        <v>0</v>
      </c>
      <c r="KX592">
        <v>0</v>
      </c>
      <c r="KZ592">
        <v>0</v>
      </c>
      <c r="LF592">
        <v>0</v>
      </c>
      <c r="LH592">
        <v>0</v>
      </c>
      <c r="LI592">
        <v>0</v>
      </c>
    </row>
    <row r="593" spans="1:321" x14ac:dyDescent="0.35">
      <c r="A593">
        <v>1</v>
      </c>
      <c r="B593">
        <v>1379</v>
      </c>
      <c r="C593" t="s">
        <v>740</v>
      </c>
      <c r="D593" t="s">
        <v>1089</v>
      </c>
      <c r="E593" t="s">
        <v>85</v>
      </c>
      <c r="F593">
        <v>1</v>
      </c>
      <c r="G593">
        <v>220</v>
      </c>
      <c r="H593">
        <v>0</v>
      </c>
      <c r="I593" t="s">
        <v>994</v>
      </c>
      <c r="L593">
        <v>0</v>
      </c>
      <c r="M593">
        <v>0</v>
      </c>
      <c r="N593">
        <v>0</v>
      </c>
      <c r="P593">
        <v>8</v>
      </c>
      <c r="Q593">
        <v>901</v>
      </c>
      <c r="R593">
        <v>0</v>
      </c>
      <c r="S593">
        <v>0</v>
      </c>
      <c r="W593" t="s">
        <v>1060</v>
      </c>
      <c r="X593">
        <v>0</v>
      </c>
      <c r="Z593">
        <v>10</v>
      </c>
      <c r="AA593">
        <v>33.688000000000002</v>
      </c>
      <c r="AB593">
        <v>0</v>
      </c>
      <c r="AC593">
        <v>0.83030000000000004</v>
      </c>
      <c r="AD593" s="20">
        <v>44469</v>
      </c>
      <c r="AE593">
        <v>1.0544</v>
      </c>
      <c r="AF593">
        <v>2.9499999999999998E-2</v>
      </c>
      <c r="AH593">
        <v>0</v>
      </c>
      <c r="AJ593">
        <v>1</v>
      </c>
      <c r="AK593" t="s">
        <v>1154</v>
      </c>
      <c r="AL593">
        <v>0</v>
      </c>
      <c r="AM593">
        <v>0</v>
      </c>
      <c r="AN593">
        <v>11501008</v>
      </c>
      <c r="AO593">
        <v>0</v>
      </c>
      <c r="AP593">
        <v>1050</v>
      </c>
      <c r="AT593">
        <v>1</v>
      </c>
      <c r="AU593" t="s">
        <v>1059</v>
      </c>
      <c r="AV593" t="s">
        <v>1043</v>
      </c>
      <c r="AW593" t="s">
        <v>1053</v>
      </c>
      <c r="AX593">
        <v>1</v>
      </c>
      <c r="AY593" s="20">
        <v>44082</v>
      </c>
      <c r="BA593" s="20">
        <v>43679</v>
      </c>
      <c r="BB593" t="s">
        <v>1058</v>
      </c>
      <c r="BD593">
        <v>0</v>
      </c>
      <c r="BF593" t="s">
        <v>1044</v>
      </c>
      <c r="BG593" t="s">
        <v>1042</v>
      </c>
      <c r="BH593">
        <v>0</v>
      </c>
      <c r="BI593">
        <v>34</v>
      </c>
      <c r="BJ593">
        <v>0</v>
      </c>
      <c r="BK593">
        <v>0</v>
      </c>
      <c r="BM593" s="20">
        <v>44208</v>
      </c>
      <c r="BN593">
        <v>0</v>
      </c>
      <c r="BO593">
        <v>7897801320115</v>
      </c>
      <c r="BR593" t="s">
        <v>1043</v>
      </c>
      <c r="BS593" t="s">
        <v>1043</v>
      </c>
      <c r="BT593" t="s">
        <v>1043</v>
      </c>
      <c r="BV593">
        <v>1</v>
      </c>
      <c r="BW593">
        <v>31</v>
      </c>
      <c r="BY593">
        <v>82</v>
      </c>
      <c r="CA593">
        <v>0</v>
      </c>
      <c r="CB593" t="s">
        <v>1043</v>
      </c>
      <c r="CE593" t="s">
        <v>1043</v>
      </c>
      <c r="CH593" t="s">
        <v>1043</v>
      </c>
      <c r="CI593" t="s">
        <v>1153</v>
      </c>
      <c r="CK593" t="s">
        <v>1152</v>
      </c>
      <c r="CN593" t="s">
        <v>1056</v>
      </c>
      <c r="CP593">
        <v>1</v>
      </c>
      <c r="CQ593">
        <v>0</v>
      </c>
      <c r="CS593">
        <v>0</v>
      </c>
      <c r="CT593">
        <v>0</v>
      </c>
      <c r="CU593">
        <v>0</v>
      </c>
      <c r="CW593">
        <v>0</v>
      </c>
      <c r="CX593">
        <v>0</v>
      </c>
      <c r="CY593">
        <v>0</v>
      </c>
      <c r="CZ593">
        <v>0</v>
      </c>
      <c r="DB593">
        <v>0</v>
      </c>
      <c r="DH593">
        <v>0</v>
      </c>
      <c r="DJ593">
        <v>0</v>
      </c>
      <c r="DL593">
        <v>0</v>
      </c>
      <c r="DN593">
        <v>0</v>
      </c>
      <c r="DO593" t="s">
        <v>1042</v>
      </c>
      <c r="DP593">
        <v>0</v>
      </c>
      <c r="DQ593">
        <v>7.6</v>
      </c>
      <c r="DS593">
        <v>0</v>
      </c>
      <c r="DU593">
        <v>1.65</v>
      </c>
      <c r="DW593">
        <v>0</v>
      </c>
      <c r="DY593">
        <v>0</v>
      </c>
      <c r="DZ593">
        <v>0</v>
      </c>
      <c r="EA593">
        <v>0</v>
      </c>
      <c r="EB593">
        <v>17897801320112</v>
      </c>
      <c r="EE593">
        <v>0</v>
      </c>
      <c r="EF593">
        <v>0</v>
      </c>
      <c r="EG593" t="s">
        <v>1044</v>
      </c>
      <c r="EK593" t="s">
        <v>1054</v>
      </c>
      <c r="EL593">
        <v>57897801320110</v>
      </c>
      <c r="EN593" t="s">
        <v>1012</v>
      </c>
      <c r="ET593">
        <v>0</v>
      </c>
      <c r="EV593">
        <v>0</v>
      </c>
      <c r="EY593" t="s">
        <v>1052</v>
      </c>
      <c r="EZ593">
        <v>0</v>
      </c>
      <c r="FA593" t="s">
        <v>1043</v>
      </c>
      <c r="FB593">
        <v>0</v>
      </c>
      <c r="FC593">
        <v>0</v>
      </c>
      <c r="FD593" t="s">
        <v>1051</v>
      </c>
      <c r="FE593" t="s">
        <v>1050</v>
      </c>
      <c r="FF593">
        <v>720</v>
      </c>
      <c r="FG593" t="s">
        <v>1050</v>
      </c>
      <c r="FH593">
        <v>27897801320119</v>
      </c>
      <c r="FJ593">
        <v>0</v>
      </c>
      <c r="FK593">
        <v>0</v>
      </c>
      <c r="FP593">
        <v>0</v>
      </c>
      <c r="FR593">
        <v>0</v>
      </c>
      <c r="FS593" t="s">
        <v>1043</v>
      </c>
      <c r="FX593" t="s">
        <v>1042</v>
      </c>
      <c r="GA593">
        <v>0</v>
      </c>
      <c r="GB593" t="s">
        <v>1042</v>
      </c>
      <c r="GD593">
        <v>16</v>
      </c>
      <c r="GE593">
        <v>0</v>
      </c>
      <c r="GG593">
        <v>0</v>
      </c>
      <c r="GN593">
        <v>0</v>
      </c>
      <c r="GO593" t="s">
        <v>1063</v>
      </c>
      <c r="GQ593">
        <v>0</v>
      </c>
      <c r="GU593">
        <v>0</v>
      </c>
      <c r="GY593" t="s">
        <v>1045</v>
      </c>
      <c r="HB593">
        <v>0</v>
      </c>
      <c r="HE593">
        <v>10</v>
      </c>
      <c r="HF593">
        <v>0</v>
      </c>
      <c r="HG593">
        <v>7.6000000000000004E-4</v>
      </c>
      <c r="HK593" t="s">
        <v>1042</v>
      </c>
      <c r="HL593" t="s">
        <v>1048</v>
      </c>
      <c r="HM593">
        <v>0</v>
      </c>
      <c r="HN593">
        <v>0</v>
      </c>
      <c r="HO593">
        <v>35</v>
      </c>
      <c r="HP593">
        <v>0</v>
      </c>
      <c r="HQ593">
        <v>0</v>
      </c>
      <c r="HR593" s="20">
        <v>44221</v>
      </c>
      <c r="HT593">
        <v>0</v>
      </c>
      <c r="HU593">
        <v>0</v>
      </c>
      <c r="HW593">
        <v>0</v>
      </c>
      <c r="HX593">
        <v>0</v>
      </c>
      <c r="HY593">
        <v>1</v>
      </c>
      <c r="IA593">
        <v>1.31</v>
      </c>
      <c r="IC593" t="s">
        <v>1151</v>
      </c>
      <c r="IF593">
        <v>14400</v>
      </c>
      <c r="IG593" t="s">
        <v>1042</v>
      </c>
      <c r="IH593" t="s">
        <v>1046</v>
      </c>
      <c r="II593" t="s">
        <v>1042</v>
      </c>
      <c r="IR593" t="s">
        <v>1045</v>
      </c>
      <c r="IT593">
        <v>0</v>
      </c>
      <c r="JE593">
        <v>0</v>
      </c>
      <c r="JF593">
        <v>0</v>
      </c>
      <c r="JI593" t="s">
        <v>1042</v>
      </c>
      <c r="JJ593">
        <v>0</v>
      </c>
      <c r="JK593">
        <v>0</v>
      </c>
      <c r="JL593">
        <v>0</v>
      </c>
      <c r="JM593">
        <v>0</v>
      </c>
      <c r="JT593">
        <v>0</v>
      </c>
      <c r="JU593" t="s">
        <v>1042</v>
      </c>
      <c r="JW593">
        <v>0</v>
      </c>
      <c r="KA593">
        <v>0</v>
      </c>
      <c r="KF593">
        <v>0</v>
      </c>
      <c r="KG593">
        <v>0</v>
      </c>
      <c r="KH593">
        <v>0</v>
      </c>
      <c r="KI593">
        <v>0</v>
      </c>
      <c r="KS593" t="s">
        <v>1041</v>
      </c>
      <c r="KT593">
        <v>0</v>
      </c>
      <c r="KU593">
        <v>0</v>
      </c>
      <c r="KV593">
        <v>0</v>
      </c>
      <c r="KX593">
        <v>0</v>
      </c>
      <c r="KZ593">
        <v>0</v>
      </c>
      <c r="LF593">
        <v>0</v>
      </c>
      <c r="LH593">
        <v>0</v>
      </c>
      <c r="LI593">
        <v>0</v>
      </c>
    </row>
    <row r="594" spans="1:321" x14ac:dyDescent="0.35">
      <c r="A594">
        <v>1</v>
      </c>
      <c r="B594">
        <v>1380</v>
      </c>
      <c r="C594" t="s">
        <v>741</v>
      </c>
      <c r="D594" t="s">
        <v>1089</v>
      </c>
      <c r="E594" t="s">
        <v>85</v>
      </c>
      <c r="F594">
        <v>1</v>
      </c>
      <c r="G594">
        <v>220</v>
      </c>
      <c r="H594">
        <v>0</v>
      </c>
      <c r="I594" t="s">
        <v>994</v>
      </c>
      <c r="L594">
        <v>0</v>
      </c>
      <c r="M594">
        <v>0</v>
      </c>
      <c r="N594">
        <v>0</v>
      </c>
      <c r="P594">
        <v>8</v>
      </c>
      <c r="Q594">
        <v>901</v>
      </c>
      <c r="R594">
        <v>0</v>
      </c>
      <c r="S594">
        <v>0</v>
      </c>
      <c r="W594" t="s">
        <v>1060</v>
      </c>
      <c r="X594">
        <v>0</v>
      </c>
      <c r="Z594">
        <v>10</v>
      </c>
      <c r="AA594">
        <v>39.192</v>
      </c>
      <c r="AB594">
        <v>0</v>
      </c>
      <c r="AC594">
        <v>0.55120000000000002</v>
      </c>
      <c r="AD594" s="20">
        <v>44469</v>
      </c>
      <c r="AE594">
        <v>0.7</v>
      </c>
      <c r="AF594">
        <v>4.8000000000000001E-2</v>
      </c>
      <c r="AH594">
        <v>0</v>
      </c>
      <c r="AJ594">
        <v>1</v>
      </c>
      <c r="AK594" t="s">
        <v>1154</v>
      </c>
      <c r="AL594">
        <v>0</v>
      </c>
      <c r="AM594">
        <v>0</v>
      </c>
      <c r="AN594">
        <v>11501008</v>
      </c>
      <c r="AO594">
        <v>0</v>
      </c>
      <c r="AP594">
        <v>1050</v>
      </c>
      <c r="AT594">
        <v>1</v>
      </c>
      <c r="AU594" t="s">
        <v>1059</v>
      </c>
      <c r="AV594" t="s">
        <v>1043</v>
      </c>
      <c r="AW594" t="s">
        <v>1053</v>
      </c>
      <c r="AX594">
        <v>1</v>
      </c>
      <c r="AY594" s="20">
        <v>44082</v>
      </c>
      <c r="BA594" s="20">
        <v>43679</v>
      </c>
      <c r="BB594" t="s">
        <v>1058</v>
      </c>
      <c r="BD594">
        <v>0</v>
      </c>
      <c r="BF594" t="s">
        <v>1044</v>
      </c>
      <c r="BG594" t="s">
        <v>1042</v>
      </c>
      <c r="BH594">
        <v>0</v>
      </c>
      <c r="BI594">
        <v>34</v>
      </c>
      <c r="BJ594">
        <v>0</v>
      </c>
      <c r="BK594">
        <v>0</v>
      </c>
      <c r="BM594" s="20">
        <v>44208</v>
      </c>
      <c r="BN594">
        <v>0</v>
      </c>
      <c r="BO594">
        <v>7897801320122</v>
      </c>
      <c r="BR594" t="s">
        <v>1043</v>
      </c>
      <c r="BS594" t="s">
        <v>1043</v>
      </c>
      <c r="BT594" t="s">
        <v>1043</v>
      </c>
      <c r="BV594">
        <v>1</v>
      </c>
      <c r="BW594">
        <v>31</v>
      </c>
      <c r="BY594">
        <v>82</v>
      </c>
      <c r="CA594">
        <v>0</v>
      </c>
      <c r="CB594" t="s">
        <v>1043</v>
      </c>
      <c r="CE594" t="s">
        <v>1043</v>
      </c>
      <c r="CH594" t="s">
        <v>1043</v>
      </c>
      <c r="CI594" t="s">
        <v>1153</v>
      </c>
      <c r="CK594" t="s">
        <v>1152</v>
      </c>
      <c r="CN594" t="s">
        <v>1056</v>
      </c>
      <c r="CP594">
        <v>1</v>
      </c>
      <c r="CQ594">
        <v>0</v>
      </c>
      <c r="CS594">
        <v>0</v>
      </c>
      <c r="CT594">
        <v>0</v>
      </c>
      <c r="CU594">
        <v>0</v>
      </c>
      <c r="CW594">
        <v>0</v>
      </c>
      <c r="CX594">
        <v>0</v>
      </c>
      <c r="CY594">
        <v>0</v>
      </c>
      <c r="CZ594">
        <v>0</v>
      </c>
      <c r="DB594">
        <v>0</v>
      </c>
      <c r="DH594">
        <v>0</v>
      </c>
      <c r="DJ594">
        <v>0</v>
      </c>
      <c r="DL594">
        <v>0</v>
      </c>
      <c r="DN594">
        <v>0</v>
      </c>
      <c r="DO594" t="s">
        <v>1042</v>
      </c>
      <c r="DP594">
        <v>0</v>
      </c>
      <c r="DQ594">
        <v>7.6</v>
      </c>
      <c r="DS594">
        <v>0</v>
      </c>
      <c r="DU594">
        <v>1.65</v>
      </c>
      <c r="DW594">
        <v>0</v>
      </c>
      <c r="DY594">
        <v>0</v>
      </c>
      <c r="DZ594">
        <v>0</v>
      </c>
      <c r="EA594">
        <v>0</v>
      </c>
      <c r="EB594">
        <v>17897801320129</v>
      </c>
      <c r="EE594">
        <v>0</v>
      </c>
      <c r="EF594">
        <v>0</v>
      </c>
      <c r="EG594" t="s">
        <v>1044</v>
      </c>
      <c r="EK594" t="s">
        <v>1054</v>
      </c>
      <c r="EL594">
        <v>57897801320127</v>
      </c>
      <c r="EN594" t="s">
        <v>1012</v>
      </c>
      <c r="ET594">
        <v>0</v>
      </c>
      <c r="EV594">
        <v>0</v>
      </c>
      <c r="EY594" t="s">
        <v>1052</v>
      </c>
      <c r="EZ594">
        <v>0</v>
      </c>
      <c r="FA594" t="s">
        <v>1043</v>
      </c>
      <c r="FB594">
        <v>0</v>
      </c>
      <c r="FC594">
        <v>0</v>
      </c>
      <c r="FD594" t="s">
        <v>1051</v>
      </c>
      <c r="FE594" t="s">
        <v>1050</v>
      </c>
      <c r="FF594">
        <v>450</v>
      </c>
      <c r="FG594" t="s">
        <v>1050</v>
      </c>
      <c r="FH594">
        <v>27897801320126</v>
      </c>
      <c r="FJ594">
        <v>0</v>
      </c>
      <c r="FK594">
        <v>0</v>
      </c>
      <c r="FP594">
        <v>0</v>
      </c>
      <c r="FR594">
        <v>0</v>
      </c>
      <c r="FS594" t="s">
        <v>1043</v>
      </c>
      <c r="FX594" t="s">
        <v>1042</v>
      </c>
      <c r="GA594">
        <v>0</v>
      </c>
      <c r="GB594" t="s">
        <v>1042</v>
      </c>
      <c r="GD594">
        <v>16</v>
      </c>
      <c r="GE594">
        <v>0</v>
      </c>
      <c r="GG594">
        <v>0</v>
      </c>
      <c r="GN594">
        <v>0</v>
      </c>
      <c r="GO594" t="s">
        <v>1063</v>
      </c>
      <c r="GQ594">
        <v>0</v>
      </c>
      <c r="GU594">
        <v>0</v>
      </c>
      <c r="GY594" t="s">
        <v>1045</v>
      </c>
      <c r="HB594">
        <v>0</v>
      </c>
      <c r="HE594">
        <v>10</v>
      </c>
      <c r="HF594">
        <v>0</v>
      </c>
      <c r="HG594">
        <v>1.1100000000000001E-3</v>
      </c>
      <c r="HK594" t="s">
        <v>1042</v>
      </c>
      <c r="HL594" t="s">
        <v>1048</v>
      </c>
      <c r="HM594">
        <v>0</v>
      </c>
      <c r="HN594">
        <v>0</v>
      </c>
      <c r="HO594">
        <v>35</v>
      </c>
      <c r="HP594">
        <v>0</v>
      </c>
      <c r="HQ594">
        <v>0</v>
      </c>
      <c r="HR594" s="20">
        <v>44221</v>
      </c>
      <c r="HT594">
        <v>0</v>
      </c>
      <c r="HU594">
        <v>0</v>
      </c>
      <c r="HW594">
        <v>0</v>
      </c>
      <c r="HX594">
        <v>0</v>
      </c>
      <c r="HY594">
        <v>1</v>
      </c>
      <c r="IA594">
        <v>1.72</v>
      </c>
      <c r="IC594" t="s">
        <v>1151</v>
      </c>
      <c r="IF594">
        <v>9000</v>
      </c>
      <c r="IG594" t="s">
        <v>1042</v>
      </c>
      <c r="IH594" t="s">
        <v>1046</v>
      </c>
      <c r="II594" t="s">
        <v>1042</v>
      </c>
      <c r="IR594" t="s">
        <v>1045</v>
      </c>
      <c r="IT594">
        <v>0</v>
      </c>
      <c r="JE594">
        <v>0</v>
      </c>
      <c r="JF594">
        <v>0</v>
      </c>
      <c r="JI594" t="s">
        <v>1042</v>
      </c>
      <c r="JJ594">
        <v>0</v>
      </c>
      <c r="JK594">
        <v>0</v>
      </c>
      <c r="JL594">
        <v>0</v>
      </c>
      <c r="JM594">
        <v>0</v>
      </c>
      <c r="JT594">
        <v>0</v>
      </c>
      <c r="JU594" t="s">
        <v>1042</v>
      </c>
      <c r="JW594">
        <v>0</v>
      </c>
      <c r="KA594">
        <v>0</v>
      </c>
      <c r="KF594">
        <v>0</v>
      </c>
      <c r="KG594">
        <v>0</v>
      </c>
      <c r="KH594">
        <v>0</v>
      </c>
      <c r="KI594">
        <v>0</v>
      </c>
      <c r="KS594" t="s">
        <v>1041</v>
      </c>
      <c r="KT594">
        <v>0</v>
      </c>
      <c r="KU594">
        <v>0</v>
      </c>
      <c r="KV594">
        <v>0</v>
      </c>
      <c r="KX594">
        <v>0</v>
      </c>
      <c r="KZ594">
        <v>0</v>
      </c>
      <c r="LF594">
        <v>0</v>
      </c>
      <c r="LH594">
        <v>0</v>
      </c>
      <c r="LI594">
        <v>0</v>
      </c>
    </row>
    <row r="595" spans="1:321" x14ac:dyDescent="0.35">
      <c r="A595">
        <v>1</v>
      </c>
      <c r="B595">
        <v>1381</v>
      </c>
      <c r="C595" t="s">
        <v>742</v>
      </c>
      <c r="D595" t="s">
        <v>1089</v>
      </c>
      <c r="E595" t="s">
        <v>85</v>
      </c>
      <c r="F595">
        <v>1</v>
      </c>
      <c r="G595">
        <v>220</v>
      </c>
      <c r="H595">
        <v>0</v>
      </c>
      <c r="I595" t="s">
        <v>994</v>
      </c>
      <c r="L595">
        <v>0</v>
      </c>
      <c r="M595">
        <v>0</v>
      </c>
      <c r="N595">
        <v>0</v>
      </c>
      <c r="P595">
        <v>8</v>
      </c>
      <c r="Q595">
        <v>901</v>
      </c>
      <c r="R595">
        <v>0</v>
      </c>
      <c r="S595">
        <v>0</v>
      </c>
      <c r="W595" t="s">
        <v>1060</v>
      </c>
      <c r="X595">
        <v>0</v>
      </c>
      <c r="Z595">
        <v>10</v>
      </c>
      <c r="AA595">
        <v>59.179000000000002</v>
      </c>
      <c r="AB595">
        <v>0</v>
      </c>
      <c r="AC595">
        <v>0.55130000000000001</v>
      </c>
      <c r="AD595" s="20">
        <v>44469</v>
      </c>
      <c r="AE595">
        <v>0.7</v>
      </c>
      <c r="AF595">
        <v>7.1999999999999995E-2</v>
      </c>
      <c r="AH595">
        <v>0</v>
      </c>
      <c r="AJ595">
        <v>1</v>
      </c>
      <c r="AK595" t="s">
        <v>1154</v>
      </c>
      <c r="AL595">
        <v>0</v>
      </c>
      <c r="AM595">
        <v>0</v>
      </c>
      <c r="AN595">
        <v>11501008</v>
      </c>
      <c r="AO595">
        <v>0</v>
      </c>
      <c r="AP595">
        <v>1050</v>
      </c>
      <c r="AT595">
        <v>1</v>
      </c>
      <c r="AU595" t="s">
        <v>1059</v>
      </c>
      <c r="AV595" t="s">
        <v>1043</v>
      </c>
      <c r="AW595" t="s">
        <v>1053</v>
      </c>
      <c r="AX595">
        <v>1</v>
      </c>
      <c r="AY595" s="20">
        <v>44082</v>
      </c>
      <c r="BA595" s="20">
        <v>43679</v>
      </c>
      <c r="BB595" t="s">
        <v>1058</v>
      </c>
      <c r="BD595">
        <v>0</v>
      </c>
      <c r="BF595" t="s">
        <v>1044</v>
      </c>
      <c r="BG595" t="s">
        <v>1042</v>
      </c>
      <c r="BH595">
        <v>0</v>
      </c>
      <c r="BI595">
        <v>34</v>
      </c>
      <c r="BJ595">
        <v>0</v>
      </c>
      <c r="BK595">
        <v>0</v>
      </c>
      <c r="BM595" s="20">
        <v>44208</v>
      </c>
      <c r="BN595">
        <v>0</v>
      </c>
      <c r="BO595">
        <v>7897801320139</v>
      </c>
      <c r="BR595" t="s">
        <v>1043</v>
      </c>
      <c r="BS595" t="s">
        <v>1043</v>
      </c>
      <c r="BT595" t="s">
        <v>1043</v>
      </c>
      <c r="BV595">
        <v>1</v>
      </c>
      <c r="BW595">
        <v>31</v>
      </c>
      <c r="BY595">
        <v>82</v>
      </c>
      <c r="CA595">
        <v>0</v>
      </c>
      <c r="CB595" t="s">
        <v>1043</v>
      </c>
      <c r="CE595" t="s">
        <v>1043</v>
      </c>
      <c r="CH595" t="s">
        <v>1043</v>
      </c>
      <c r="CI595" t="s">
        <v>1153</v>
      </c>
      <c r="CK595" t="s">
        <v>1152</v>
      </c>
      <c r="CN595" t="s">
        <v>1056</v>
      </c>
      <c r="CP595">
        <v>1</v>
      </c>
      <c r="CQ595">
        <v>0</v>
      </c>
      <c r="CS595">
        <v>0</v>
      </c>
      <c r="CT595">
        <v>0</v>
      </c>
      <c r="CU595">
        <v>0</v>
      </c>
      <c r="CW595">
        <v>0</v>
      </c>
      <c r="CX595">
        <v>0</v>
      </c>
      <c r="CY595">
        <v>0</v>
      </c>
      <c r="CZ595">
        <v>0</v>
      </c>
      <c r="DB595">
        <v>0</v>
      </c>
      <c r="DH595">
        <v>0</v>
      </c>
      <c r="DJ595">
        <v>0</v>
      </c>
      <c r="DL595">
        <v>0</v>
      </c>
      <c r="DN595">
        <v>0</v>
      </c>
      <c r="DO595" t="s">
        <v>1042</v>
      </c>
      <c r="DP595">
        <v>0</v>
      </c>
      <c r="DQ595">
        <v>7.6</v>
      </c>
      <c r="DS595">
        <v>0</v>
      </c>
      <c r="DU595">
        <v>1.65</v>
      </c>
      <c r="DW595">
        <v>0</v>
      </c>
      <c r="DY595">
        <v>0</v>
      </c>
      <c r="DZ595">
        <v>0</v>
      </c>
      <c r="EA595">
        <v>0</v>
      </c>
      <c r="EB595">
        <v>17897801320136</v>
      </c>
      <c r="EE595">
        <v>0</v>
      </c>
      <c r="EF595">
        <v>0</v>
      </c>
      <c r="EG595" t="s">
        <v>1044</v>
      </c>
      <c r="EK595" t="s">
        <v>1054</v>
      </c>
      <c r="EL595">
        <v>57897801320134</v>
      </c>
      <c r="EN595" t="s">
        <v>1012</v>
      </c>
      <c r="ET595">
        <v>0</v>
      </c>
      <c r="EV595">
        <v>0</v>
      </c>
      <c r="EY595" t="s">
        <v>1052</v>
      </c>
      <c r="EZ595">
        <v>0</v>
      </c>
      <c r="FA595" t="s">
        <v>1043</v>
      </c>
      <c r="FB595">
        <v>0</v>
      </c>
      <c r="FC595">
        <v>0</v>
      </c>
      <c r="FD595" t="s">
        <v>1051</v>
      </c>
      <c r="FE595" t="s">
        <v>1050</v>
      </c>
      <c r="FF595">
        <v>300</v>
      </c>
      <c r="FG595" t="s">
        <v>1050</v>
      </c>
      <c r="FH595">
        <v>27897801320133</v>
      </c>
      <c r="FJ595">
        <v>0</v>
      </c>
      <c r="FK595">
        <v>0</v>
      </c>
      <c r="FP595">
        <v>0</v>
      </c>
      <c r="FR595">
        <v>0</v>
      </c>
      <c r="FS595" t="s">
        <v>1043</v>
      </c>
      <c r="FX595" t="s">
        <v>1042</v>
      </c>
      <c r="GA595">
        <v>0</v>
      </c>
      <c r="GB595" t="s">
        <v>1042</v>
      </c>
      <c r="GD595">
        <v>16</v>
      </c>
      <c r="GE595">
        <v>0</v>
      </c>
      <c r="GG595">
        <v>0</v>
      </c>
      <c r="GN595">
        <v>0</v>
      </c>
      <c r="GO595" t="s">
        <v>1063</v>
      </c>
      <c r="GQ595">
        <v>0</v>
      </c>
      <c r="GU595">
        <v>0</v>
      </c>
      <c r="GY595" t="s">
        <v>1045</v>
      </c>
      <c r="HB595">
        <v>0</v>
      </c>
      <c r="HE595">
        <v>10</v>
      </c>
      <c r="HF595">
        <v>0</v>
      </c>
      <c r="HG595">
        <v>2.0999999999999999E-3</v>
      </c>
      <c r="HK595" t="s">
        <v>1042</v>
      </c>
      <c r="HL595" t="s">
        <v>1048</v>
      </c>
      <c r="HM595">
        <v>0</v>
      </c>
      <c r="HN595">
        <v>0</v>
      </c>
      <c r="HO595">
        <v>35</v>
      </c>
      <c r="HP595">
        <v>0</v>
      </c>
      <c r="HQ595">
        <v>0</v>
      </c>
      <c r="HR595" s="20">
        <v>44221</v>
      </c>
      <c r="HT595">
        <v>0</v>
      </c>
      <c r="HU595">
        <v>0</v>
      </c>
      <c r="HW595">
        <v>0</v>
      </c>
      <c r="HX595">
        <v>0</v>
      </c>
      <c r="HY595">
        <v>1</v>
      </c>
      <c r="IA595">
        <v>2.68</v>
      </c>
      <c r="IC595" t="s">
        <v>1151</v>
      </c>
      <c r="IF595">
        <v>6000</v>
      </c>
      <c r="IG595" t="s">
        <v>1042</v>
      </c>
      <c r="IH595" t="s">
        <v>1046</v>
      </c>
      <c r="II595" t="s">
        <v>1042</v>
      </c>
      <c r="IR595" t="s">
        <v>1045</v>
      </c>
      <c r="IT595">
        <v>0</v>
      </c>
      <c r="JE595">
        <v>0</v>
      </c>
      <c r="JF595">
        <v>0</v>
      </c>
      <c r="JI595" t="s">
        <v>1042</v>
      </c>
      <c r="JJ595">
        <v>0</v>
      </c>
      <c r="JK595">
        <v>0</v>
      </c>
      <c r="JL595">
        <v>0</v>
      </c>
      <c r="JM595">
        <v>0</v>
      </c>
      <c r="JT595">
        <v>0</v>
      </c>
      <c r="JU595" t="s">
        <v>1042</v>
      </c>
      <c r="JW595">
        <v>0</v>
      </c>
      <c r="KA595">
        <v>0</v>
      </c>
      <c r="KF595">
        <v>0</v>
      </c>
      <c r="KG595">
        <v>0</v>
      </c>
      <c r="KH595">
        <v>0</v>
      </c>
      <c r="KI595">
        <v>0</v>
      </c>
      <c r="KS595" t="s">
        <v>1041</v>
      </c>
      <c r="KT595">
        <v>0</v>
      </c>
      <c r="KU595">
        <v>0</v>
      </c>
      <c r="KV595">
        <v>0</v>
      </c>
      <c r="KX595">
        <v>0</v>
      </c>
      <c r="KZ595">
        <v>0</v>
      </c>
      <c r="LF595">
        <v>0</v>
      </c>
      <c r="LH595">
        <v>0</v>
      </c>
      <c r="LI595">
        <v>0</v>
      </c>
    </row>
    <row r="596" spans="1:321" x14ac:dyDescent="0.35">
      <c r="A596">
        <v>1</v>
      </c>
      <c r="B596">
        <v>1382</v>
      </c>
      <c r="C596" t="s">
        <v>743</v>
      </c>
      <c r="D596" t="s">
        <v>1061</v>
      </c>
      <c r="E596" t="s">
        <v>85</v>
      </c>
      <c r="F596">
        <v>1</v>
      </c>
      <c r="G596">
        <v>220</v>
      </c>
      <c r="H596">
        <v>0</v>
      </c>
      <c r="I596" t="s">
        <v>994</v>
      </c>
      <c r="L596">
        <v>0</v>
      </c>
      <c r="M596">
        <v>0</v>
      </c>
      <c r="N596">
        <v>0</v>
      </c>
      <c r="Q596">
        <v>516</v>
      </c>
      <c r="R596">
        <v>0</v>
      </c>
      <c r="S596">
        <v>0</v>
      </c>
      <c r="W596" t="s">
        <v>1060</v>
      </c>
      <c r="X596">
        <v>0</v>
      </c>
      <c r="Z596">
        <v>10</v>
      </c>
      <c r="AA596">
        <v>11.298</v>
      </c>
      <c r="AB596">
        <v>737</v>
      </c>
      <c r="AC596">
        <v>0.86519999999999997</v>
      </c>
      <c r="AD596" t="s">
        <v>1042</v>
      </c>
      <c r="AE596">
        <v>0</v>
      </c>
      <c r="AF596">
        <v>1.9599999999999999E-2</v>
      </c>
      <c r="AH596">
        <v>717</v>
      </c>
      <c r="AJ596">
        <v>1</v>
      </c>
      <c r="AK596" t="s">
        <v>1154</v>
      </c>
      <c r="AL596">
        <v>0</v>
      </c>
      <c r="AM596">
        <v>0</v>
      </c>
      <c r="AN596">
        <v>11501001</v>
      </c>
      <c r="AO596">
        <v>0</v>
      </c>
      <c r="AP596">
        <v>1002</v>
      </c>
      <c r="AT596">
        <v>1</v>
      </c>
      <c r="AU596" t="s">
        <v>1059</v>
      </c>
      <c r="AV596" t="s">
        <v>1043</v>
      </c>
      <c r="AW596" t="s">
        <v>1053</v>
      </c>
      <c r="AX596">
        <v>0</v>
      </c>
      <c r="AY596" s="20">
        <v>43679</v>
      </c>
      <c r="BA596" s="20">
        <v>44102</v>
      </c>
      <c r="BB596" t="s">
        <v>1058</v>
      </c>
      <c r="BD596">
        <v>0</v>
      </c>
      <c r="BF596" t="s">
        <v>1044</v>
      </c>
      <c r="BG596" t="s">
        <v>1042</v>
      </c>
      <c r="BH596">
        <v>0</v>
      </c>
      <c r="BI596">
        <v>6</v>
      </c>
      <c r="BJ596">
        <v>0</v>
      </c>
      <c r="BK596">
        <v>0</v>
      </c>
      <c r="BM596" s="20">
        <v>44162</v>
      </c>
      <c r="BN596">
        <v>0</v>
      </c>
      <c r="BO596">
        <v>7897801320146</v>
      </c>
      <c r="BR596" t="s">
        <v>1043</v>
      </c>
      <c r="BS596" t="s">
        <v>1043</v>
      </c>
      <c r="BT596" t="s">
        <v>1043</v>
      </c>
      <c r="BV596">
        <v>1</v>
      </c>
      <c r="BW596">
        <v>31</v>
      </c>
      <c r="BY596">
        <v>82</v>
      </c>
      <c r="CA596">
        <v>0</v>
      </c>
      <c r="CB596" t="s">
        <v>1043</v>
      </c>
      <c r="CE596" t="s">
        <v>1043</v>
      </c>
      <c r="CH596" t="s">
        <v>1043</v>
      </c>
      <c r="CI596" t="s">
        <v>1153</v>
      </c>
      <c r="CK596" t="s">
        <v>1152</v>
      </c>
      <c r="CN596" t="s">
        <v>1056</v>
      </c>
      <c r="CP596">
        <v>1</v>
      </c>
      <c r="CQ596">
        <v>0</v>
      </c>
      <c r="CS596">
        <v>0</v>
      </c>
      <c r="CT596">
        <v>0</v>
      </c>
      <c r="CU596">
        <v>0</v>
      </c>
      <c r="CW596">
        <v>0</v>
      </c>
      <c r="CX596">
        <v>0</v>
      </c>
      <c r="CY596">
        <v>0</v>
      </c>
      <c r="CZ596">
        <v>0</v>
      </c>
      <c r="DA596">
        <v>1</v>
      </c>
      <c r="DB596">
        <v>0</v>
      </c>
      <c r="DH596">
        <v>0</v>
      </c>
      <c r="DJ596">
        <v>0</v>
      </c>
      <c r="DL596">
        <v>0</v>
      </c>
      <c r="DN596">
        <v>0</v>
      </c>
      <c r="DO596" t="s">
        <v>1042</v>
      </c>
      <c r="DP596">
        <v>0</v>
      </c>
      <c r="DQ596">
        <v>7.6</v>
      </c>
      <c r="DS596">
        <v>0</v>
      </c>
      <c r="DU596">
        <v>1.65</v>
      </c>
      <c r="DW596">
        <v>0</v>
      </c>
      <c r="DY596">
        <v>0</v>
      </c>
      <c r="DZ596">
        <v>0</v>
      </c>
      <c r="EA596">
        <v>0</v>
      </c>
      <c r="EB596">
        <v>17897801320143</v>
      </c>
      <c r="EE596">
        <v>0</v>
      </c>
      <c r="EF596">
        <v>0</v>
      </c>
      <c r="EG596" t="s">
        <v>1044</v>
      </c>
      <c r="EK596" t="s">
        <v>1054</v>
      </c>
      <c r="EL596">
        <v>57897801320141</v>
      </c>
      <c r="EN596" t="s">
        <v>1012</v>
      </c>
      <c r="ET596">
        <v>0</v>
      </c>
      <c r="EV596">
        <v>0</v>
      </c>
      <c r="EY596" t="s">
        <v>1052</v>
      </c>
      <c r="EZ596">
        <v>0</v>
      </c>
      <c r="FA596" t="s">
        <v>1043</v>
      </c>
      <c r="FB596">
        <v>0</v>
      </c>
      <c r="FC596">
        <v>0</v>
      </c>
      <c r="FD596" t="s">
        <v>1051</v>
      </c>
      <c r="FE596" t="s">
        <v>1050</v>
      </c>
      <c r="FF596">
        <v>500</v>
      </c>
      <c r="FG596" t="s">
        <v>1050</v>
      </c>
      <c r="FH596">
        <v>27897801320140</v>
      </c>
      <c r="FJ596">
        <v>0</v>
      </c>
      <c r="FK596">
        <v>0</v>
      </c>
      <c r="FP596">
        <v>0</v>
      </c>
      <c r="FR596">
        <v>0</v>
      </c>
      <c r="FS596" t="s">
        <v>1043</v>
      </c>
      <c r="FX596" t="s">
        <v>1042</v>
      </c>
      <c r="GA596">
        <v>0</v>
      </c>
      <c r="GB596" t="s">
        <v>1042</v>
      </c>
      <c r="GD596">
        <v>16</v>
      </c>
      <c r="GE596">
        <v>0</v>
      </c>
      <c r="GG596">
        <v>0</v>
      </c>
      <c r="GN596">
        <v>0</v>
      </c>
      <c r="GO596" t="s">
        <v>1049</v>
      </c>
      <c r="GQ596">
        <v>0</v>
      </c>
      <c r="GU596">
        <v>0</v>
      </c>
      <c r="GY596" t="s">
        <v>1045</v>
      </c>
      <c r="HB596">
        <v>0</v>
      </c>
      <c r="HE596">
        <v>10</v>
      </c>
      <c r="HF596">
        <v>0</v>
      </c>
      <c r="HG596">
        <v>1.06E-3</v>
      </c>
      <c r="HK596" t="s">
        <v>1042</v>
      </c>
      <c r="HL596" t="s">
        <v>1048</v>
      </c>
      <c r="HM596">
        <v>0</v>
      </c>
      <c r="HN596">
        <v>0</v>
      </c>
      <c r="HO596">
        <v>35</v>
      </c>
      <c r="HP596">
        <v>0</v>
      </c>
      <c r="HQ596">
        <v>0</v>
      </c>
      <c r="HR596" t="s">
        <v>1042</v>
      </c>
      <c r="HT596">
        <v>0</v>
      </c>
      <c r="HU596">
        <v>0</v>
      </c>
      <c r="HW596">
        <v>0</v>
      </c>
      <c r="HX596">
        <v>1454</v>
      </c>
      <c r="HY596">
        <v>0</v>
      </c>
      <c r="IA596">
        <v>0</v>
      </c>
      <c r="IC596" t="s">
        <v>1151</v>
      </c>
      <c r="IF596">
        <v>12500</v>
      </c>
      <c r="IG596" t="s">
        <v>1042</v>
      </c>
      <c r="IH596" t="s">
        <v>1046</v>
      </c>
      <c r="II596" t="s">
        <v>1042</v>
      </c>
      <c r="IR596" t="s">
        <v>1045</v>
      </c>
      <c r="IT596">
        <v>0</v>
      </c>
      <c r="JE596">
        <v>0</v>
      </c>
      <c r="JF596">
        <v>0</v>
      </c>
      <c r="JI596" t="s">
        <v>1042</v>
      </c>
      <c r="JJ596">
        <v>0</v>
      </c>
      <c r="JK596">
        <v>0</v>
      </c>
      <c r="JL596">
        <v>0</v>
      </c>
      <c r="JM596">
        <v>0</v>
      </c>
      <c r="JT596">
        <v>0</v>
      </c>
      <c r="JU596" t="s">
        <v>1042</v>
      </c>
      <c r="JW596">
        <v>0</v>
      </c>
      <c r="KA596">
        <v>0</v>
      </c>
      <c r="KF596">
        <v>0</v>
      </c>
      <c r="KG596">
        <v>0</v>
      </c>
      <c r="KH596">
        <v>0</v>
      </c>
      <c r="KI596">
        <v>0</v>
      </c>
      <c r="KS596" t="s">
        <v>1041</v>
      </c>
      <c r="KT596">
        <v>0</v>
      </c>
      <c r="KU596">
        <v>0</v>
      </c>
      <c r="KV596">
        <v>0</v>
      </c>
      <c r="KX596">
        <v>0</v>
      </c>
      <c r="KZ596">
        <v>0</v>
      </c>
      <c r="LF596">
        <v>0</v>
      </c>
      <c r="LH596">
        <v>0</v>
      </c>
      <c r="LI596">
        <v>0</v>
      </c>
    </row>
    <row r="597" spans="1:321" x14ac:dyDescent="0.35">
      <c r="A597">
        <v>1</v>
      </c>
      <c r="B597">
        <v>13820</v>
      </c>
      <c r="C597" t="s">
        <v>1156</v>
      </c>
      <c r="D597" t="s">
        <v>1076</v>
      </c>
      <c r="E597" t="s">
        <v>85</v>
      </c>
      <c r="F597">
        <v>80</v>
      </c>
      <c r="G597">
        <v>9000</v>
      </c>
      <c r="H597">
        <v>0</v>
      </c>
      <c r="I597" t="s">
        <v>1114</v>
      </c>
      <c r="L597">
        <v>0</v>
      </c>
      <c r="M597">
        <v>0</v>
      </c>
      <c r="N597">
        <v>0</v>
      </c>
      <c r="R597">
        <v>0</v>
      </c>
      <c r="S597">
        <v>0</v>
      </c>
      <c r="W597" t="s">
        <v>1060</v>
      </c>
      <c r="X597">
        <v>0</v>
      </c>
      <c r="Z597">
        <v>1</v>
      </c>
      <c r="AA597">
        <v>0</v>
      </c>
      <c r="AB597">
        <v>0</v>
      </c>
      <c r="AC597">
        <v>1600</v>
      </c>
      <c r="AD597" s="20">
        <v>40913</v>
      </c>
      <c r="AE597">
        <v>1600</v>
      </c>
      <c r="AF597">
        <v>0</v>
      </c>
      <c r="AH597">
        <v>0</v>
      </c>
      <c r="AJ597">
        <v>0</v>
      </c>
      <c r="AL597">
        <v>1</v>
      </c>
      <c r="AM597">
        <v>0</v>
      </c>
      <c r="AN597">
        <v>16301003</v>
      </c>
      <c r="AO597">
        <v>0</v>
      </c>
      <c r="AP597">
        <v>1000</v>
      </c>
      <c r="AT597">
        <v>0</v>
      </c>
      <c r="AU597" t="s">
        <v>1059</v>
      </c>
      <c r="AW597" t="s">
        <v>1053</v>
      </c>
      <c r="AX597">
        <v>0</v>
      </c>
      <c r="AY597" s="20">
        <v>40913</v>
      </c>
      <c r="BA597" s="20">
        <v>40913</v>
      </c>
      <c r="BB597" t="s">
        <v>1058</v>
      </c>
      <c r="BD597">
        <v>0</v>
      </c>
      <c r="BF597" t="s">
        <v>1043</v>
      </c>
      <c r="BG597" t="s">
        <v>1042</v>
      </c>
      <c r="BH597">
        <v>0</v>
      </c>
      <c r="BI597">
        <v>1</v>
      </c>
      <c r="BJ597">
        <v>0</v>
      </c>
      <c r="BK597">
        <v>0</v>
      </c>
      <c r="BM597" s="20">
        <v>40982</v>
      </c>
      <c r="BN597">
        <v>0</v>
      </c>
      <c r="BR597" t="s">
        <v>1043</v>
      </c>
      <c r="BS597" t="s">
        <v>1043</v>
      </c>
      <c r="BT597" t="s">
        <v>1043</v>
      </c>
      <c r="BW597">
        <v>55</v>
      </c>
      <c r="CA597">
        <v>0</v>
      </c>
      <c r="CB597" t="s">
        <v>1057</v>
      </c>
      <c r="CE597" t="s">
        <v>1043</v>
      </c>
      <c r="CH597" t="s">
        <v>1043</v>
      </c>
      <c r="CN597" t="s">
        <v>1074</v>
      </c>
      <c r="CO597" t="s">
        <v>1043</v>
      </c>
      <c r="CP597">
        <v>1</v>
      </c>
      <c r="CQ597">
        <v>0</v>
      </c>
      <c r="CS597">
        <v>0</v>
      </c>
      <c r="CT597">
        <v>0</v>
      </c>
      <c r="CU597">
        <v>0</v>
      </c>
      <c r="CV597" t="s">
        <v>1045</v>
      </c>
      <c r="CW597">
        <v>0</v>
      </c>
      <c r="CX597">
        <v>0</v>
      </c>
      <c r="CY597">
        <v>0</v>
      </c>
      <c r="CZ597">
        <v>0</v>
      </c>
      <c r="DB597">
        <v>0</v>
      </c>
      <c r="DC597" t="s">
        <v>1043</v>
      </c>
      <c r="DF597" t="s">
        <v>1055</v>
      </c>
      <c r="DH597">
        <v>0</v>
      </c>
      <c r="DJ597">
        <v>0</v>
      </c>
      <c r="DK597" t="s">
        <v>1053</v>
      </c>
      <c r="DL597">
        <v>0</v>
      </c>
      <c r="DN597">
        <v>0</v>
      </c>
      <c r="DO597" t="s">
        <v>1042</v>
      </c>
      <c r="DP597">
        <v>0</v>
      </c>
      <c r="DQ597">
        <v>0</v>
      </c>
      <c r="DS597">
        <v>0</v>
      </c>
      <c r="DU597">
        <v>0</v>
      </c>
      <c r="DW597">
        <v>0</v>
      </c>
      <c r="DX597" t="s">
        <v>1043</v>
      </c>
      <c r="DY597">
        <v>0</v>
      </c>
      <c r="DZ597">
        <v>0</v>
      </c>
      <c r="EA597">
        <v>0</v>
      </c>
      <c r="ED597" t="s">
        <v>1045</v>
      </c>
      <c r="EE597">
        <v>0</v>
      </c>
      <c r="EF597">
        <v>0</v>
      </c>
      <c r="EQ597" t="s">
        <v>1044</v>
      </c>
      <c r="ES597" t="s">
        <v>1053</v>
      </c>
      <c r="ET597">
        <v>0</v>
      </c>
      <c r="EV597">
        <v>0</v>
      </c>
      <c r="EY597" t="s">
        <v>1052</v>
      </c>
      <c r="EZ597">
        <v>0</v>
      </c>
      <c r="FA597" t="s">
        <v>1043</v>
      </c>
      <c r="FB597">
        <v>0</v>
      </c>
      <c r="FC597">
        <v>0</v>
      </c>
      <c r="FE597" t="s">
        <v>1050</v>
      </c>
      <c r="FF597">
        <v>0</v>
      </c>
      <c r="FG597" t="s">
        <v>1050</v>
      </c>
      <c r="FJ597">
        <v>0</v>
      </c>
      <c r="FK597">
        <v>0</v>
      </c>
      <c r="FP597">
        <v>0</v>
      </c>
      <c r="FR597">
        <v>0</v>
      </c>
      <c r="FX597" t="s">
        <v>1042</v>
      </c>
      <c r="FZ597" t="s">
        <v>1048</v>
      </c>
      <c r="GA597">
        <v>0</v>
      </c>
      <c r="GB597" t="s">
        <v>1042</v>
      </c>
      <c r="GE597">
        <v>0</v>
      </c>
      <c r="GG597">
        <v>0</v>
      </c>
      <c r="GN597">
        <v>0</v>
      </c>
      <c r="GO597" t="s">
        <v>1063</v>
      </c>
      <c r="GQ597">
        <v>0</v>
      </c>
      <c r="GU597">
        <v>0</v>
      </c>
      <c r="GY597" t="s">
        <v>1045</v>
      </c>
      <c r="HB597">
        <v>0</v>
      </c>
      <c r="HE597">
        <v>0</v>
      </c>
      <c r="HF597">
        <v>0</v>
      </c>
      <c r="HG597">
        <v>0</v>
      </c>
      <c r="HK597" t="s">
        <v>1042</v>
      </c>
      <c r="HM597" t="s">
        <v>1047</v>
      </c>
      <c r="HN597">
        <v>0</v>
      </c>
      <c r="HP597">
        <v>0</v>
      </c>
      <c r="HQ597">
        <v>0</v>
      </c>
      <c r="HR597" t="s">
        <v>1042</v>
      </c>
      <c r="HS597" t="s">
        <v>1043</v>
      </c>
      <c r="HT597">
        <v>0</v>
      </c>
      <c r="HU597">
        <v>0</v>
      </c>
      <c r="HW597">
        <v>0</v>
      </c>
      <c r="HX597">
        <v>0</v>
      </c>
      <c r="HY597">
        <v>0</v>
      </c>
      <c r="HZ597" t="s">
        <v>1045</v>
      </c>
      <c r="IA597">
        <v>0</v>
      </c>
      <c r="IB597" t="s">
        <v>1045</v>
      </c>
      <c r="ID597" t="s">
        <v>1045</v>
      </c>
      <c r="IF597">
        <v>0</v>
      </c>
      <c r="IG597" t="s">
        <v>1042</v>
      </c>
      <c r="II597" t="s">
        <v>1042</v>
      </c>
      <c r="IR597" t="s">
        <v>1045</v>
      </c>
      <c r="IT597">
        <v>0</v>
      </c>
      <c r="IY597" t="s">
        <v>1044</v>
      </c>
      <c r="IZ597" t="s">
        <v>1043</v>
      </c>
      <c r="JC597" t="s">
        <v>1043</v>
      </c>
      <c r="JE597">
        <v>0</v>
      </c>
      <c r="JF597">
        <v>0</v>
      </c>
      <c r="JI597" t="s">
        <v>1042</v>
      </c>
      <c r="JJ597">
        <v>0</v>
      </c>
      <c r="JK597">
        <v>0</v>
      </c>
      <c r="JL597">
        <v>0</v>
      </c>
      <c r="JM597">
        <v>0</v>
      </c>
      <c r="JQ597" t="s">
        <v>1043</v>
      </c>
      <c r="JT597">
        <v>0</v>
      </c>
      <c r="JU597" t="s">
        <v>1042</v>
      </c>
      <c r="JW597">
        <v>0</v>
      </c>
      <c r="KA597">
        <v>0</v>
      </c>
      <c r="KF597">
        <v>0</v>
      </c>
      <c r="KG597">
        <v>0</v>
      </c>
      <c r="KH597">
        <v>0</v>
      </c>
      <c r="KI597">
        <v>0</v>
      </c>
      <c r="KJ597" t="s">
        <v>1044</v>
      </c>
      <c r="KS597" t="s">
        <v>1073</v>
      </c>
      <c r="KT597">
        <v>0</v>
      </c>
      <c r="KU597">
        <v>0</v>
      </c>
      <c r="KV597">
        <v>0</v>
      </c>
      <c r="KX597">
        <v>0</v>
      </c>
      <c r="KZ597">
        <v>0</v>
      </c>
      <c r="LF597">
        <v>0</v>
      </c>
      <c r="LH597">
        <v>0</v>
      </c>
      <c r="LI597">
        <v>0</v>
      </c>
    </row>
    <row r="598" spans="1:321" x14ac:dyDescent="0.35">
      <c r="A598">
        <v>1</v>
      </c>
      <c r="B598">
        <v>13821</v>
      </c>
      <c r="C598" t="s">
        <v>1155</v>
      </c>
      <c r="D598" t="s">
        <v>1076</v>
      </c>
      <c r="E598" t="s">
        <v>85</v>
      </c>
      <c r="F598">
        <v>80</v>
      </c>
      <c r="G598">
        <v>9000</v>
      </c>
      <c r="H598">
        <v>0</v>
      </c>
      <c r="I598" t="s">
        <v>1114</v>
      </c>
      <c r="L598">
        <v>0</v>
      </c>
      <c r="M598">
        <v>0</v>
      </c>
      <c r="N598">
        <v>0</v>
      </c>
      <c r="R598">
        <v>0</v>
      </c>
      <c r="S598">
        <v>0</v>
      </c>
      <c r="W598" t="s">
        <v>1060</v>
      </c>
      <c r="X598">
        <v>0</v>
      </c>
      <c r="Z598">
        <v>1</v>
      </c>
      <c r="AA598">
        <v>0</v>
      </c>
      <c r="AB598">
        <v>0</v>
      </c>
      <c r="AC598">
        <v>1400</v>
      </c>
      <c r="AD598" s="20">
        <v>40913</v>
      </c>
      <c r="AE598">
        <v>1400</v>
      </c>
      <c r="AF598">
        <v>0</v>
      </c>
      <c r="AH598">
        <v>0</v>
      </c>
      <c r="AJ598">
        <v>0</v>
      </c>
      <c r="AL598">
        <v>1</v>
      </c>
      <c r="AM598">
        <v>0</v>
      </c>
      <c r="AN598">
        <v>16301003</v>
      </c>
      <c r="AO598">
        <v>0</v>
      </c>
      <c r="AP598">
        <v>1000</v>
      </c>
      <c r="AT598">
        <v>0</v>
      </c>
      <c r="AU598" t="s">
        <v>1059</v>
      </c>
      <c r="AW598" t="s">
        <v>1053</v>
      </c>
      <c r="AX598">
        <v>0</v>
      </c>
      <c r="AY598" s="20">
        <v>40913</v>
      </c>
      <c r="BA598" s="20">
        <v>40913</v>
      </c>
      <c r="BB598" t="s">
        <v>1058</v>
      </c>
      <c r="BD598">
        <v>0</v>
      </c>
      <c r="BF598" t="s">
        <v>1043</v>
      </c>
      <c r="BG598" t="s">
        <v>1042</v>
      </c>
      <c r="BH598">
        <v>0</v>
      </c>
      <c r="BI598">
        <v>1</v>
      </c>
      <c r="BJ598">
        <v>0</v>
      </c>
      <c r="BK598">
        <v>0</v>
      </c>
      <c r="BM598" s="20">
        <v>40982</v>
      </c>
      <c r="BN598">
        <v>0</v>
      </c>
      <c r="BR598" t="s">
        <v>1043</v>
      </c>
      <c r="BS598" t="s">
        <v>1043</v>
      </c>
      <c r="BT598" t="s">
        <v>1043</v>
      </c>
      <c r="BW598">
        <v>55</v>
      </c>
      <c r="CA598">
        <v>0</v>
      </c>
      <c r="CB598" t="s">
        <v>1057</v>
      </c>
      <c r="CE598" t="s">
        <v>1043</v>
      </c>
      <c r="CH598" t="s">
        <v>1043</v>
      </c>
      <c r="CN598" t="s">
        <v>1074</v>
      </c>
      <c r="CO598" t="s">
        <v>1043</v>
      </c>
      <c r="CP598">
        <v>1</v>
      </c>
      <c r="CQ598">
        <v>0</v>
      </c>
      <c r="CS598">
        <v>0</v>
      </c>
      <c r="CT598">
        <v>0</v>
      </c>
      <c r="CU598">
        <v>0</v>
      </c>
      <c r="CV598" t="s">
        <v>1045</v>
      </c>
      <c r="CW598">
        <v>0</v>
      </c>
      <c r="CX598">
        <v>0</v>
      </c>
      <c r="CY598">
        <v>0</v>
      </c>
      <c r="CZ598">
        <v>0</v>
      </c>
      <c r="DB598">
        <v>0</v>
      </c>
      <c r="DC598" t="s">
        <v>1043</v>
      </c>
      <c r="DF598" t="s">
        <v>1055</v>
      </c>
      <c r="DH598">
        <v>0</v>
      </c>
      <c r="DJ598">
        <v>0</v>
      </c>
      <c r="DK598" t="s">
        <v>1053</v>
      </c>
      <c r="DL598">
        <v>0</v>
      </c>
      <c r="DN598">
        <v>0</v>
      </c>
      <c r="DO598" t="s">
        <v>1042</v>
      </c>
      <c r="DP598">
        <v>0</v>
      </c>
      <c r="DQ598">
        <v>0</v>
      </c>
      <c r="DS598">
        <v>0</v>
      </c>
      <c r="DU598">
        <v>0</v>
      </c>
      <c r="DW598">
        <v>0</v>
      </c>
      <c r="DX598" t="s">
        <v>1043</v>
      </c>
      <c r="DY598">
        <v>0</v>
      </c>
      <c r="DZ598">
        <v>0</v>
      </c>
      <c r="EA598">
        <v>0</v>
      </c>
      <c r="ED598" t="s">
        <v>1045</v>
      </c>
      <c r="EE598">
        <v>0</v>
      </c>
      <c r="EF598">
        <v>0</v>
      </c>
      <c r="EQ598" t="s">
        <v>1044</v>
      </c>
      <c r="ES598" t="s">
        <v>1053</v>
      </c>
      <c r="ET598">
        <v>0</v>
      </c>
      <c r="EV598">
        <v>0</v>
      </c>
      <c r="EY598" t="s">
        <v>1052</v>
      </c>
      <c r="EZ598">
        <v>0</v>
      </c>
      <c r="FA598" t="s">
        <v>1043</v>
      </c>
      <c r="FB598">
        <v>0</v>
      </c>
      <c r="FC598">
        <v>0</v>
      </c>
      <c r="FE598" t="s">
        <v>1050</v>
      </c>
      <c r="FF598">
        <v>0</v>
      </c>
      <c r="FG598" t="s">
        <v>1050</v>
      </c>
      <c r="FJ598">
        <v>0</v>
      </c>
      <c r="FK598">
        <v>0</v>
      </c>
      <c r="FP598">
        <v>0</v>
      </c>
      <c r="FR598">
        <v>0</v>
      </c>
      <c r="FX598" t="s">
        <v>1042</v>
      </c>
      <c r="FZ598" t="s">
        <v>1048</v>
      </c>
      <c r="GA598">
        <v>0</v>
      </c>
      <c r="GB598" t="s">
        <v>1042</v>
      </c>
      <c r="GE598">
        <v>0</v>
      </c>
      <c r="GG598">
        <v>0</v>
      </c>
      <c r="GN598">
        <v>0</v>
      </c>
      <c r="GO598" t="s">
        <v>1063</v>
      </c>
      <c r="GQ598">
        <v>0</v>
      </c>
      <c r="GU598">
        <v>0</v>
      </c>
      <c r="GY598" t="s">
        <v>1045</v>
      </c>
      <c r="HB598">
        <v>0</v>
      </c>
      <c r="HE598">
        <v>0</v>
      </c>
      <c r="HF598">
        <v>0</v>
      </c>
      <c r="HG598">
        <v>0</v>
      </c>
      <c r="HK598" t="s">
        <v>1042</v>
      </c>
      <c r="HM598" t="s">
        <v>1047</v>
      </c>
      <c r="HN598">
        <v>0</v>
      </c>
      <c r="HP598">
        <v>0</v>
      </c>
      <c r="HQ598">
        <v>0</v>
      </c>
      <c r="HR598" t="s">
        <v>1042</v>
      </c>
      <c r="HS598" t="s">
        <v>1043</v>
      </c>
      <c r="HT598">
        <v>0</v>
      </c>
      <c r="HU598">
        <v>0</v>
      </c>
      <c r="HW598">
        <v>0</v>
      </c>
      <c r="HX598">
        <v>0</v>
      </c>
      <c r="HY598">
        <v>0</v>
      </c>
      <c r="HZ598" t="s">
        <v>1045</v>
      </c>
      <c r="IA598">
        <v>0</v>
      </c>
      <c r="IB598" t="s">
        <v>1045</v>
      </c>
      <c r="ID598" t="s">
        <v>1045</v>
      </c>
      <c r="IF598">
        <v>0</v>
      </c>
      <c r="IG598" t="s">
        <v>1042</v>
      </c>
      <c r="II598" t="s">
        <v>1042</v>
      </c>
      <c r="IR598" t="s">
        <v>1045</v>
      </c>
      <c r="IT598">
        <v>0</v>
      </c>
      <c r="IY598" t="s">
        <v>1044</v>
      </c>
      <c r="IZ598" t="s">
        <v>1043</v>
      </c>
      <c r="JC598" t="s">
        <v>1043</v>
      </c>
      <c r="JE598">
        <v>0</v>
      </c>
      <c r="JF598">
        <v>0</v>
      </c>
      <c r="JI598" t="s">
        <v>1042</v>
      </c>
      <c r="JJ598">
        <v>0</v>
      </c>
      <c r="JK598">
        <v>0</v>
      </c>
      <c r="JL598">
        <v>0</v>
      </c>
      <c r="JM598">
        <v>0</v>
      </c>
      <c r="JQ598" t="s">
        <v>1043</v>
      </c>
      <c r="JT598">
        <v>0</v>
      </c>
      <c r="JU598" t="s">
        <v>1042</v>
      </c>
      <c r="JW598">
        <v>0</v>
      </c>
      <c r="KA598">
        <v>0</v>
      </c>
      <c r="KF598">
        <v>0</v>
      </c>
      <c r="KG598">
        <v>0</v>
      </c>
      <c r="KH598">
        <v>0</v>
      </c>
      <c r="KI598">
        <v>0</v>
      </c>
      <c r="KJ598" t="s">
        <v>1044</v>
      </c>
      <c r="KS598" t="s">
        <v>1073</v>
      </c>
      <c r="KT598">
        <v>0</v>
      </c>
      <c r="KU598">
        <v>0</v>
      </c>
      <c r="KV598">
        <v>0</v>
      </c>
      <c r="KX598">
        <v>0</v>
      </c>
      <c r="KZ598">
        <v>0</v>
      </c>
      <c r="LF598">
        <v>0</v>
      </c>
      <c r="LH598">
        <v>0</v>
      </c>
      <c r="LI598">
        <v>0</v>
      </c>
    </row>
    <row r="599" spans="1:321" x14ac:dyDescent="0.35">
      <c r="A599">
        <v>1</v>
      </c>
      <c r="B599">
        <v>1383</v>
      </c>
      <c r="C599" t="s">
        <v>744</v>
      </c>
      <c r="D599" t="s">
        <v>1061</v>
      </c>
      <c r="E599" t="s">
        <v>85</v>
      </c>
      <c r="F599">
        <v>1</v>
      </c>
      <c r="G599">
        <v>220</v>
      </c>
      <c r="H599">
        <v>0</v>
      </c>
      <c r="I599" t="s">
        <v>994</v>
      </c>
      <c r="L599">
        <v>0</v>
      </c>
      <c r="M599">
        <v>0</v>
      </c>
      <c r="N599">
        <v>0</v>
      </c>
      <c r="Q599">
        <v>516</v>
      </c>
      <c r="R599">
        <v>0</v>
      </c>
      <c r="S599">
        <v>0</v>
      </c>
      <c r="W599" t="s">
        <v>1060</v>
      </c>
      <c r="X599">
        <v>0</v>
      </c>
      <c r="Z599">
        <v>10</v>
      </c>
      <c r="AA599">
        <v>19.459</v>
      </c>
      <c r="AB599">
        <v>17878</v>
      </c>
      <c r="AC599">
        <v>1.649</v>
      </c>
      <c r="AD599" t="s">
        <v>1042</v>
      </c>
      <c r="AE599">
        <v>0</v>
      </c>
      <c r="AF599">
        <v>5.0200000000000002E-2</v>
      </c>
      <c r="AH599">
        <v>17064</v>
      </c>
      <c r="AJ599">
        <v>1</v>
      </c>
      <c r="AK599" t="s">
        <v>1154</v>
      </c>
      <c r="AL599">
        <v>0</v>
      </c>
      <c r="AM599">
        <v>0</v>
      </c>
      <c r="AN599">
        <v>11501001</v>
      </c>
      <c r="AO599">
        <v>0</v>
      </c>
      <c r="AP599">
        <v>1002</v>
      </c>
      <c r="AT599">
        <v>1</v>
      </c>
      <c r="AU599" t="s">
        <v>1059</v>
      </c>
      <c r="AV599" t="s">
        <v>1043</v>
      </c>
      <c r="AW599" t="s">
        <v>1053</v>
      </c>
      <c r="AX599">
        <v>0</v>
      </c>
      <c r="AY599" s="20">
        <v>43679</v>
      </c>
      <c r="BA599" s="20">
        <v>44102</v>
      </c>
      <c r="BB599" t="s">
        <v>1058</v>
      </c>
      <c r="BD599">
        <v>0</v>
      </c>
      <c r="BF599" t="s">
        <v>1044</v>
      </c>
      <c r="BG599" t="s">
        <v>1042</v>
      </c>
      <c r="BH599">
        <v>0</v>
      </c>
      <c r="BI599">
        <v>6</v>
      </c>
      <c r="BJ599">
        <v>0</v>
      </c>
      <c r="BK599">
        <v>0</v>
      </c>
      <c r="BM599" s="20">
        <v>44162</v>
      </c>
      <c r="BN599">
        <v>0</v>
      </c>
      <c r="BO599">
        <v>7897801320153</v>
      </c>
      <c r="BR599" t="s">
        <v>1043</v>
      </c>
      <c r="BS599" t="s">
        <v>1043</v>
      </c>
      <c r="BT599" t="s">
        <v>1043</v>
      </c>
      <c r="BV599">
        <v>1</v>
      </c>
      <c r="BW599">
        <v>31</v>
      </c>
      <c r="BY599">
        <v>82</v>
      </c>
      <c r="CA599">
        <v>0</v>
      </c>
      <c r="CB599" t="s">
        <v>1043</v>
      </c>
      <c r="CE599" t="s">
        <v>1043</v>
      </c>
      <c r="CH599" t="s">
        <v>1043</v>
      </c>
      <c r="CI599" t="s">
        <v>1153</v>
      </c>
      <c r="CK599" t="s">
        <v>1152</v>
      </c>
      <c r="CN599" t="s">
        <v>1056</v>
      </c>
      <c r="CP599">
        <v>1</v>
      </c>
      <c r="CQ599">
        <v>0</v>
      </c>
      <c r="CS599">
        <v>0</v>
      </c>
      <c r="CT599">
        <v>0</v>
      </c>
      <c r="CU599">
        <v>0</v>
      </c>
      <c r="CW599">
        <v>0</v>
      </c>
      <c r="CX599">
        <v>0</v>
      </c>
      <c r="CY599">
        <v>0</v>
      </c>
      <c r="CZ599">
        <v>0</v>
      </c>
      <c r="DA599">
        <v>1</v>
      </c>
      <c r="DB599">
        <v>0</v>
      </c>
      <c r="DH599">
        <v>0</v>
      </c>
      <c r="DJ599">
        <v>0</v>
      </c>
      <c r="DL599">
        <v>0</v>
      </c>
      <c r="DN599">
        <v>0</v>
      </c>
      <c r="DO599" t="s">
        <v>1042</v>
      </c>
      <c r="DP599">
        <v>0</v>
      </c>
      <c r="DQ599">
        <v>7.6</v>
      </c>
      <c r="DS599">
        <v>0</v>
      </c>
      <c r="DU599">
        <v>1.65</v>
      </c>
      <c r="DW599">
        <v>0</v>
      </c>
      <c r="DY599">
        <v>0</v>
      </c>
      <c r="DZ599">
        <v>0</v>
      </c>
      <c r="EA599">
        <v>0</v>
      </c>
      <c r="EB599">
        <v>17897801320150</v>
      </c>
      <c r="EE599">
        <v>0</v>
      </c>
      <c r="EF599">
        <v>0</v>
      </c>
      <c r="EG599" t="s">
        <v>1044</v>
      </c>
      <c r="EK599" t="s">
        <v>1054</v>
      </c>
      <c r="EL599">
        <v>57897801320158</v>
      </c>
      <c r="EN599" t="s">
        <v>1012</v>
      </c>
      <c r="ET599">
        <v>0</v>
      </c>
      <c r="EV599">
        <v>0</v>
      </c>
      <c r="EY599" t="s">
        <v>1052</v>
      </c>
      <c r="EZ599">
        <v>0</v>
      </c>
      <c r="FA599" t="s">
        <v>1043</v>
      </c>
      <c r="FB599">
        <v>0</v>
      </c>
      <c r="FC599">
        <v>0</v>
      </c>
      <c r="FD599" t="s">
        <v>1051</v>
      </c>
      <c r="FE599" t="s">
        <v>1050</v>
      </c>
      <c r="FF599">
        <v>300</v>
      </c>
      <c r="FG599" t="s">
        <v>1050</v>
      </c>
      <c r="FH599">
        <v>27897801320157</v>
      </c>
      <c r="FJ599">
        <v>0</v>
      </c>
      <c r="FK599">
        <v>0</v>
      </c>
      <c r="FP599">
        <v>0</v>
      </c>
      <c r="FR599">
        <v>0</v>
      </c>
      <c r="FS599" t="s">
        <v>1043</v>
      </c>
      <c r="FX599" t="s">
        <v>1042</v>
      </c>
      <c r="GA599">
        <v>0</v>
      </c>
      <c r="GB599" t="s">
        <v>1042</v>
      </c>
      <c r="GD599">
        <v>16</v>
      </c>
      <c r="GE599">
        <v>0</v>
      </c>
      <c r="GG599">
        <v>0</v>
      </c>
      <c r="GN599">
        <v>0</v>
      </c>
      <c r="GO599" t="s">
        <v>1049</v>
      </c>
      <c r="GQ599">
        <v>0</v>
      </c>
      <c r="GU599">
        <v>0</v>
      </c>
      <c r="GY599" t="s">
        <v>1045</v>
      </c>
      <c r="HB599">
        <v>0</v>
      </c>
      <c r="HE599">
        <v>10</v>
      </c>
      <c r="HF599">
        <v>0</v>
      </c>
      <c r="HG599">
        <v>3.0000000000000001E-3</v>
      </c>
      <c r="HK599" t="s">
        <v>1042</v>
      </c>
      <c r="HL599" t="s">
        <v>1048</v>
      </c>
      <c r="HM599">
        <v>0</v>
      </c>
      <c r="HN599">
        <v>0</v>
      </c>
      <c r="HO599">
        <v>35</v>
      </c>
      <c r="HP599">
        <v>0</v>
      </c>
      <c r="HQ599">
        <v>0</v>
      </c>
      <c r="HR599" t="s">
        <v>1042</v>
      </c>
      <c r="HT599">
        <v>0</v>
      </c>
      <c r="HU599">
        <v>0</v>
      </c>
      <c r="HW599">
        <v>0</v>
      </c>
      <c r="HX599">
        <v>34942</v>
      </c>
      <c r="HY599">
        <v>0</v>
      </c>
      <c r="IA599">
        <v>0</v>
      </c>
      <c r="IC599" t="s">
        <v>1151</v>
      </c>
      <c r="IF599">
        <v>7500</v>
      </c>
      <c r="IG599" t="s">
        <v>1042</v>
      </c>
      <c r="IH599" t="s">
        <v>1046</v>
      </c>
      <c r="II599" t="s">
        <v>1042</v>
      </c>
      <c r="IR599" t="s">
        <v>1045</v>
      </c>
      <c r="IT599">
        <v>0</v>
      </c>
      <c r="JE599">
        <v>0</v>
      </c>
      <c r="JF599">
        <v>0</v>
      </c>
      <c r="JI599" t="s">
        <v>1042</v>
      </c>
      <c r="JJ599">
        <v>0</v>
      </c>
      <c r="JK599">
        <v>0</v>
      </c>
      <c r="JL599">
        <v>0</v>
      </c>
      <c r="JM599">
        <v>0</v>
      </c>
      <c r="JT599">
        <v>0</v>
      </c>
      <c r="JU599" t="s">
        <v>1042</v>
      </c>
      <c r="JW599">
        <v>0</v>
      </c>
      <c r="KA599">
        <v>0</v>
      </c>
      <c r="KF599">
        <v>0</v>
      </c>
      <c r="KG599">
        <v>0</v>
      </c>
      <c r="KH599">
        <v>0</v>
      </c>
      <c r="KI599">
        <v>0</v>
      </c>
      <c r="KS599" t="s">
        <v>1041</v>
      </c>
      <c r="KT599">
        <v>0</v>
      </c>
      <c r="KU599">
        <v>0</v>
      </c>
      <c r="KV599">
        <v>0</v>
      </c>
      <c r="KX599">
        <v>0</v>
      </c>
      <c r="KZ599">
        <v>0</v>
      </c>
      <c r="LF599">
        <v>0</v>
      </c>
      <c r="LH599">
        <v>0</v>
      </c>
      <c r="LI599">
        <v>0</v>
      </c>
    </row>
    <row r="600" spans="1:321" x14ac:dyDescent="0.35">
      <c r="A600">
        <v>1</v>
      </c>
      <c r="B600">
        <v>1384</v>
      </c>
      <c r="C600" t="s">
        <v>745</v>
      </c>
      <c r="D600" t="s">
        <v>1061</v>
      </c>
      <c r="E600" t="s">
        <v>85</v>
      </c>
      <c r="F600">
        <v>1</v>
      </c>
      <c r="G600">
        <v>220</v>
      </c>
      <c r="H600">
        <v>0</v>
      </c>
      <c r="I600" t="s">
        <v>994</v>
      </c>
      <c r="L600">
        <v>0</v>
      </c>
      <c r="M600">
        <v>0</v>
      </c>
      <c r="N600">
        <v>0</v>
      </c>
      <c r="Q600">
        <v>516</v>
      </c>
      <c r="R600">
        <v>0</v>
      </c>
      <c r="S600">
        <v>0</v>
      </c>
      <c r="W600" t="s">
        <v>1060</v>
      </c>
      <c r="X600">
        <v>0</v>
      </c>
      <c r="Z600">
        <v>10</v>
      </c>
      <c r="AA600">
        <v>30.137</v>
      </c>
      <c r="AB600">
        <v>3129</v>
      </c>
      <c r="AC600">
        <v>1.0580000000000001</v>
      </c>
      <c r="AD600" t="s">
        <v>1042</v>
      </c>
      <c r="AE600">
        <v>0</v>
      </c>
      <c r="AF600">
        <v>8.5000000000000006E-2</v>
      </c>
      <c r="AH600">
        <v>2930</v>
      </c>
      <c r="AJ600">
        <v>1</v>
      </c>
      <c r="AK600" t="s">
        <v>1154</v>
      </c>
      <c r="AL600">
        <v>0</v>
      </c>
      <c r="AM600">
        <v>0</v>
      </c>
      <c r="AN600">
        <v>11501001</v>
      </c>
      <c r="AO600">
        <v>0</v>
      </c>
      <c r="AP600">
        <v>1002</v>
      </c>
      <c r="AT600">
        <v>1</v>
      </c>
      <c r="AU600" t="s">
        <v>1059</v>
      </c>
      <c r="AV600" t="s">
        <v>1043</v>
      </c>
      <c r="AW600" t="s">
        <v>1053</v>
      </c>
      <c r="AX600">
        <v>0</v>
      </c>
      <c r="AY600" s="20">
        <v>43679</v>
      </c>
      <c r="BA600" s="20">
        <v>44102</v>
      </c>
      <c r="BB600" t="s">
        <v>1058</v>
      </c>
      <c r="BD600">
        <v>0</v>
      </c>
      <c r="BF600" t="s">
        <v>1044</v>
      </c>
      <c r="BG600" t="s">
        <v>1042</v>
      </c>
      <c r="BH600">
        <v>0</v>
      </c>
      <c r="BI600">
        <v>6</v>
      </c>
      <c r="BJ600">
        <v>0</v>
      </c>
      <c r="BK600">
        <v>0</v>
      </c>
      <c r="BM600" s="20">
        <v>44162</v>
      </c>
      <c r="BN600">
        <v>0</v>
      </c>
      <c r="BO600">
        <v>7897801320160</v>
      </c>
      <c r="BR600" t="s">
        <v>1043</v>
      </c>
      <c r="BS600" t="s">
        <v>1043</v>
      </c>
      <c r="BT600" t="s">
        <v>1043</v>
      </c>
      <c r="BV600">
        <v>1</v>
      </c>
      <c r="BW600">
        <v>31</v>
      </c>
      <c r="BY600">
        <v>82</v>
      </c>
      <c r="CA600">
        <v>0</v>
      </c>
      <c r="CB600" t="s">
        <v>1043</v>
      </c>
      <c r="CE600" t="s">
        <v>1043</v>
      </c>
      <c r="CH600" t="s">
        <v>1043</v>
      </c>
      <c r="CI600" t="s">
        <v>1153</v>
      </c>
      <c r="CK600" t="s">
        <v>1152</v>
      </c>
      <c r="CN600" t="s">
        <v>1056</v>
      </c>
      <c r="CP600">
        <v>1</v>
      </c>
      <c r="CQ600">
        <v>0</v>
      </c>
      <c r="CS600">
        <v>0</v>
      </c>
      <c r="CT600">
        <v>0</v>
      </c>
      <c r="CU600">
        <v>0</v>
      </c>
      <c r="CW600">
        <v>0</v>
      </c>
      <c r="CX600">
        <v>0</v>
      </c>
      <c r="CY600">
        <v>0</v>
      </c>
      <c r="CZ600">
        <v>0</v>
      </c>
      <c r="DA600">
        <v>1</v>
      </c>
      <c r="DB600">
        <v>0</v>
      </c>
      <c r="DH600">
        <v>0</v>
      </c>
      <c r="DJ600">
        <v>0</v>
      </c>
      <c r="DL600">
        <v>0</v>
      </c>
      <c r="DN600">
        <v>0</v>
      </c>
      <c r="DO600" t="s">
        <v>1042</v>
      </c>
      <c r="DP600">
        <v>0</v>
      </c>
      <c r="DQ600">
        <v>7.6</v>
      </c>
      <c r="DS600">
        <v>0</v>
      </c>
      <c r="DU600">
        <v>1.65</v>
      </c>
      <c r="DW600">
        <v>0</v>
      </c>
      <c r="DY600">
        <v>0</v>
      </c>
      <c r="DZ600">
        <v>0</v>
      </c>
      <c r="EA600">
        <v>0</v>
      </c>
      <c r="EB600">
        <v>17897801320167</v>
      </c>
      <c r="EE600">
        <v>0</v>
      </c>
      <c r="EF600">
        <v>0</v>
      </c>
      <c r="EG600" t="s">
        <v>1044</v>
      </c>
      <c r="EK600" t="s">
        <v>1054</v>
      </c>
      <c r="EL600">
        <v>57897801320165</v>
      </c>
      <c r="EN600" t="s">
        <v>1012</v>
      </c>
      <c r="ET600">
        <v>0</v>
      </c>
      <c r="EV600">
        <v>0</v>
      </c>
      <c r="EY600" t="s">
        <v>1052</v>
      </c>
      <c r="EZ600">
        <v>0</v>
      </c>
      <c r="FA600" t="s">
        <v>1043</v>
      </c>
      <c r="FB600">
        <v>0</v>
      </c>
      <c r="FC600">
        <v>0</v>
      </c>
      <c r="FD600" t="s">
        <v>1051</v>
      </c>
      <c r="FE600" t="s">
        <v>1050</v>
      </c>
      <c r="FF600">
        <v>150</v>
      </c>
      <c r="FG600" t="s">
        <v>1050</v>
      </c>
      <c r="FH600">
        <v>27897801320164</v>
      </c>
      <c r="FJ600">
        <v>0</v>
      </c>
      <c r="FK600">
        <v>0</v>
      </c>
      <c r="FP600">
        <v>0</v>
      </c>
      <c r="FR600">
        <v>0</v>
      </c>
      <c r="FS600" t="s">
        <v>1043</v>
      </c>
      <c r="FX600" t="s">
        <v>1042</v>
      </c>
      <c r="GA600">
        <v>0</v>
      </c>
      <c r="GB600" t="s">
        <v>1042</v>
      </c>
      <c r="GD600">
        <v>16</v>
      </c>
      <c r="GE600">
        <v>0</v>
      </c>
      <c r="GG600">
        <v>0</v>
      </c>
      <c r="GN600">
        <v>0</v>
      </c>
      <c r="GO600" t="s">
        <v>1049</v>
      </c>
      <c r="GQ600">
        <v>0</v>
      </c>
      <c r="GU600">
        <v>0</v>
      </c>
      <c r="GY600" t="s">
        <v>1045</v>
      </c>
      <c r="HB600">
        <v>0</v>
      </c>
      <c r="HE600">
        <v>10</v>
      </c>
      <c r="HF600">
        <v>0</v>
      </c>
      <c r="HG600">
        <v>5.1500000000000001E-3</v>
      </c>
      <c r="HK600" t="s">
        <v>1042</v>
      </c>
      <c r="HL600" t="s">
        <v>1048</v>
      </c>
      <c r="HM600">
        <v>0</v>
      </c>
      <c r="HN600">
        <v>0</v>
      </c>
      <c r="HO600">
        <v>35</v>
      </c>
      <c r="HP600">
        <v>0</v>
      </c>
      <c r="HQ600">
        <v>0</v>
      </c>
      <c r="HR600" t="s">
        <v>1042</v>
      </c>
      <c r="HT600">
        <v>0</v>
      </c>
      <c r="HU600">
        <v>0</v>
      </c>
      <c r="HW600">
        <v>0</v>
      </c>
      <c r="HX600">
        <v>6059</v>
      </c>
      <c r="HY600">
        <v>0</v>
      </c>
      <c r="IA600">
        <v>0</v>
      </c>
      <c r="IC600" t="s">
        <v>1151</v>
      </c>
      <c r="IF600">
        <v>3000</v>
      </c>
      <c r="IG600" t="s">
        <v>1042</v>
      </c>
      <c r="IH600" t="s">
        <v>1046</v>
      </c>
      <c r="II600" t="s">
        <v>1042</v>
      </c>
      <c r="IR600" t="s">
        <v>1045</v>
      </c>
      <c r="IT600">
        <v>0</v>
      </c>
      <c r="JE600">
        <v>0</v>
      </c>
      <c r="JF600">
        <v>0</v>
      </c>
      <c r="JI600" t="s">
        <v>1042</v>
      </c>
      <c r="JJ600">
        <v>0</v>
      </c>
      <c r="JK600">
        <v>0</v>
      </c>
      <c r="JL600">
        <v>0</v>
      </c>
      <c r="JM600">
        <v>0</v>
      </c>
      <c r="JT600">
        <v>0</v>
      </c>
      <c r="JU600" t="s">
        <v>1042</v>
      </c>
      <c r="JW600">
        <v>0</v>
      </c>
      <c r="KA600">
        <v>0</v>
      </c>
      <c r="KF600">
        <v>0</v>
      </c>
      <c r="KG600">
        <v>0</v>
      </c>
      <c r="KH600">
        <v>0</v>
      </c>
      <c r="KI600">
        <v>0</v>
      </c>
      <c r="KS600" t="s">
        <v>1041</v>
      </c>
      <c r="KT600">
        <v>0</v>
      </c>
      <c r="KU600">
        <v>0</v>
      </c>
      <c r="KV600">
        <v>0</v>
      </c>
      <c r="KX600">
        <v>0</v>
      </c>
      <c r="KZ600">
        <v>0</v>
      </c>
      <c r="LF600">
        <v>0</v>
      </c>
      <c r="LH600">
        <v>0</v>
      </c>
      <c r="LI600">
        <v>0</v>
      </c>
    </row>
    <row r="601" spans="1:321" x14ac:dyDescent="0.35">
      <c r="A601">
        <v>1</v>
      </c>
      <c r="B601">
        <v>1385</v>
      </c>
      <c r="C601" t="s">
        <v>746</v>
      </c>
      <c r="D601" t="s">
        <v>1061</v>
      </c>
      <c r="E601" t="s">
        <v>85</v>
      </c>
      <c r="F601">
        <v>1</v>
      </c>
      <c r="G601">
        <v>220</v>
      </c>
      <c r="H601">
        <v>0</v>
      </c>
      <c r="I601" t="s">
        <v>994</v>
      </c>
      <c r="L601">
        <v>0</v>
      </c>
      <c r="M601">
        <v>0</v>
      </c>
      <c r="N601">
        <v>0</v>
      </c>
      <c r="Q601">
        <v>516</v>
      </c>
      <c r="R601">
        <v>0</v>
      </c>
      <c r="S601">
        <v>0</v>
      </c>
      <c r="W601" t="s">
        <v>1060</v>
      </c>
      <c r="X601">
        <v>0</v>
      </c>
      <c r="Z601">
        <v>10</v>
      </c>
      <c r="AA601">
        <v>19.172000000000001</v>
      </c>
      <c r="AB601">
        <v>374</v>
      </c>
      <c r="AC601">
        <v>0.81</v>
      </c>
      <c r="AD601" t="s">
        <v>1042</v>
      </c>
      <c r="AE601">
        <v>0</v>
      </c>
      <c r="AF601">
        <v>2.24E-2</v>
      </c>
      <c r="AH601">
        <v>359</v>
      </c>
      <c r="AJ601">
        <v>1</v>
      </c>
      <c r="AK601" t="s">
        <v>1154</v>
      </c>
      <c r="AL601">
        <v>0</v>
      </c>
      <c r="AM601">
        <v>0</v>
      </c>
      <c r="AN601">
        <v>11501001</v>
      </c>
      <c r="AO601">
        <v>0</v>
      </c>
      <c r="AP601">
        <v>1002</v>
      </c>
      <c r="AT601">
        <v>1</v>
      </c>
      <c r="AU601" t="s">
        <v>1059</v>
      </c>
      <c r="AV601" t="s">
        <v>1043</v>
      </c>
      <c r="AW601" t="s">
        <v>1053</v>
      </c>
      <c r="AX601">
        <v>0</v>
      </c>
      <c r="AY601" s="20">
        <v>43679</v>
      </c>
      <c r="BA601" s="20">
        <v>44102</v>
      </c>
      <c r="BB601" t="s">
        <v>1058</v>
      </c>
      <c r="BD601">
        <v>0</v>
      </c>
      <c r="BF601" t="s">
        <v>1044</v>
      </c>
      <c r="BG601" t="s">
        <v>1042</v>
      </c>
      <c r="BH601">
        <v>0</v>
      </c>
      <c r="BI601">
        <v>6</v>
      </c>
      <c r="BJ601">
        <v>0</v>
      </c>
      <c r="BK601">
        <v>0</v>
      </c>
      <c r="BM601" s="20">
        <v>44162</v>
      </c>
      <c r="BN601">
        <v>0</v>
      </c>
      <c r="BO601">
        <v>7897801320177</v>
      </c>
      <c r="BR601" t="s">
        <v>1043</v>
      </c>
      <c r="BS601" t="s">
        <v>1043</v>
      </c>
      <c r="BT601" t="s">
        <v>1043</v>
      </c>
      <c r="BV601">
        <v>1</v>
      </c>
      <c r="BW601">
        <v>31</v>
      </c>
      <c r="BY601">
        <v>82</v>
      </c>
      <c r="CA601">
        <v>0</v>
      </c>
      <c r="CB601" t="s">
        <v>1043</v>
      </c>
      <c r="CE601" t="s">
        <v>1043</v>
      </c>
      <c r="CH601" t="s">
        <v>1043</v>
      </c>
      <c r="CI601" t="s">
        <v>1153</v>
      </c>
      <c r="CK601" t="s">
        <v>1152</v>
      </c>
      <c r="CN601" t="s">
        <v>1056</v>
      </c>
      <c r="CP601">
        <v>1</v>
      </c>
      <c r="CQ601">
        <v>0</v>
      </c>
      <c r="CS601">
        <v>0</v>
      </c>
      <c r="CT601">
        <v>0</v>
      </c>
      <c r="CU601">
        <v>0</v>
      </c>
      <c r="CW601">
        <v>0</v>
      </c>
      <c r="CX601">
        <v>0</v>
      </c>
      <c r="CY601">
        <v>0</v>
      </c>
      <c r="CZ601">
        <v>0</v>
      </c>
      <c r="DA601">
        <v>1</v>
      </c>
      <c r="DB601">
        <v>0</v>
      </c>
      <c r="DH601">
        <v>0</v>
      </c>
      <c r="DJ601">
        <v>0</v>
      </c>
      <c r="DL601">
        <v>0</v>
      </c>
      <c r="DN601">
        <v>0</v>
      </c>
      <c r="DO601" t="s">
        <v>1042</v>
      </c>
      <c r="DP601">
        <v>0</v>
      </c>
      <c r="DQ601">
        <v>7.6</v>
      </c>
      <c r="DS601">
        <v>0</v>
      </c>
      <c r="DU601">
        <v>1.65</v>
      </c>
      <c r="DW601">
        <v>0</v>
      </c>
      <c r="DY601">
        <v>0</v>
      </c>
      <c r="DZ601">
        <v>0</v>
      </c>
      <c r="EA601">
        <v>0</v>
      </c>
      <c r="EB601">
        <v>17897801320174</v>
      </c>
      <c r="EE601">
        <v>0</v>
      </c>
      <c r="EF601">
        <v>0</v>
      </c>
      <c r="EG601" t="s">
        <v>1044</v>
      </c>
      <c r="EK601" t="s">
        <v>1054</v>
      </c>
      <c r="EL601">
        <v>57897801320172</v>
      </c>
      <c r="EN601" t="s">
        <v>1012</v>
      </c>
      <c r="ET601">
        <v>0</v>
      </c>
      <c r="EV601">
        <v>0</v>
      </c>
      <c r="EY601" t="s">
        <v>1052</v>
      </c>
      <c r="EZ601">
        <v>0</v>
      </c>
      <c r="FA601" t="s">
        <v>1043</v>
      </c>
      <c r="FB601">
        <v>0</v>
      </c>
      <c r="FC601">
        <v>0</v>
      </c>
      <c r="FD601" t="s">
        <v>1051</v>
      </c>
      <c r="FE601" t="s">
        <v>1050</v>
      </c>
      <c r="FF601">
        <v>500</v>
      </c>
      <c r="FG601" t="s">
        <v>1050</v>
      </c>
      <c r="FH601">
        <v>27897801320171</v>
      </c>
      <c r="FJ601">
        <v>0</v>
      </c>
      <c r="FK601">
        <v>0</v>
      </c>
      <c r="FP601">
        <v>0</v>
      </c>
      <c r="FR601">
        <v>0</v>
      </c>
      <c r="FS601" t="s">
        <v>1043</v>
      </c>
      <c r="FX601" t="s">
        <v>1042</v>
      </c>
      <c r="GA601">
        <v>0</v>
      </c>
      <c r="GB601" t="s">
        <v>1042</v>
      </c>
      <c r="GD601">
        <v>16</v>
      </c>
      <c r="GE601">
        <v>0</v>
      </c>
      <c r="GG601">
        <v>0</v>
      </c>
      <c r="GN601">
        <v>0</v>
      </c>
      <c r="GO601" t="s">
        <v>1049</v>
      </c>
      <c r="GQ601">
        <v>0</v>
      </c>
      <c r="GU601">
        <v>0</v>
      </c>
      <c r="GY601" t="s">
        <v>1045</v>
      </c>
      <c r="HB601">
        <v>0</v>
      </c>
      <c r="HE601">
        <v>10</v>
      </c>
      <c r="HF601">
        <v>0</v>
      </c>
      <c r="HG601">
        <v>1.2899999999999999E-3</v>
      </c>
      <c r="HK601" t="s">
        <v>1042</v>
      </c>
      <c r="HL601" t="s">
        <v>1048</v>
      </c>
      <c r="HM601">
        <v>0</v>
      </c>
      <c r="HN601">
        <v>0</v>
      </c>
      <c r="HO601">
        <v>35</v>
      </c>
      <c r="HP601">
        <v>0</v>
      </c>
      <c r="HQ601">
        <v>0</v>
      </c>
      <c r="HR601" t="s">
        <v>1042</v>
      </c>
      <c r="HT601">
        <v>0</v>
      </c>
      <c r="HU601">
        <v>0</v>
      </c>
      <c r="HW601">
        <v>0</v>
      </c>
      <c r="HX601">
        <v>733</v>
      </c>
      <c r="HY601">
        <v>0</v>
      </c>
      <c r="IA601">
        <v>0</v>
      </c>
      <c r="IC601" t="s">
        <v>1151</v>
      </c>
      <c r="IF601">
        <v>12500</v>
      </c>
      <c r="IG601" t="s">
        <v>1042</v>
      </c>
      <c r="IH601" t="s">
        <v>1046</v>
      </c>
      <c r="II601" t="s">
        <v>1042</v>
      </c>
      <c r="IR601" t="s">
        <v>1045</v>
      </c>
      <c r="IT601">
        <v>0</v>
      </c>
      <c r="JE601">
        <v>0</v>
      </c>
      <c r="JF601">
        <v>0</v>
      </c>
      <c r="JI601" t="s">
        <v>1042</v>
      </c>
      <c r="JJ601">
        <v>0</v>
      </c>
      <c r="JK601">
        <v>0</v>
      </c>
      <c r="JL601">
        <v>0</v>
      </c>
      <c r="JM601">
        <v>0</v>
      </c>
      <c r="JT601">
        <v>0</v>
      </c>
      <c r="JU601" t="s">
        <v>1042</v>
      </c>
      <c r="JW601">
        <v>0</v>
      </c>
      <c r="KA601">
        <v>0</v>
      </c>
      <c r="KF601">
        <v>0</v>
      </c>
      <c r="KG601">
        <v>0</v>
      </c>
      <c r="KH601">
        <v>0</v>
      </c>
      <c r="KI601">
        <v>0</v>
      </c>
      <c r="KS601" t="s">
        <v>1041</v>
      </c>
      <c r="KT601">
        <v>0</v>
      </c>
      <c r="KU601">
        <v>0</v>
      </c>
      <c r="KV601">
        <v>0</v>
      </c>
      <c r="KX601">
        <v>0</v>
      </c>
      <c r="KZ601">
        <v>0</v>
      </c>
      <c r="LF601">
        <v>0</v>
      </c>
      <c r="LH601">
        <v>0</v>
      </c>
      <c r="LI601">
        <v>0</v>
      </c>
    </row>
    <row r="602" spans="1:321" x14ac:dyDescent="0.35">
      <c r="A602">
        <v>1</v>
      </c>
      <c r="B602">
        <v>1386</v>
      </c>
      <c r="C602" t="s">
        <v>747</v>
      </c>
      <c r="D602" t="s">
        <v>1061</v>
      </c>
      <c r="E602" t="s">
        <v>85</v>
      </c>
      <c r="F602">
        <v>1</v>
      </c>
      <c r="G602">
        <v>220</v>
      </c>
      <c r="H602">
        <v>0</v>
      </c>
      <c r="I602" t="s">
        <v>994</v>
      </c>
      <c r="L602">
        <v>0</v>
      </c>
      <c r="M602">
        <v>0</v>
      </c>
      <c r="N602">
        <v>0</v>
      </c>
      <c r="Q602">
        <v>516</v>
      </c>
      <c r="R602">
        <v>0</v>
      </c>
      <c r="S602">
        <v>0</v>
      </c>
      <c r="W602" t="s">
        <v>1060</v>
      </c>
      <c r="X602">
        <v>0</v>
      </c>
      <c r="Z602">
        <v>10</v>
      </c>
      <c r="AA602">
        <v>25.009</v>
      </c>
      <c r="AB602">
        <v>2894</v>
      </c>
      <c r="AC602">
        <v>1.008</v>
      </c>
      <c r="AD602" t="s">
        <v>1042</v>
      </c>
      <c r="AE602">
        <v>0</v>
      </c>
      <c r="AF602">
        <v>0.05</v>
      </c>
      <c r="AH602">
        <v>2226</v>
      </c>
      <c r="AJ602">
        <v>1</v>
      </c>
      <c r="AK602" t="s">
        <v>1154</v>
      </c>
      <c r="AL602">
        <v>0</v>
      </c>
      <c r="AM602">
        <v>0</v>
      </c>
      <c r="AN602">
        <v>11501001</v>
      </c>
      <c r="AO602">
        <v>0</v>
      </c>
      <c r="AP602">
        <v>1002</v>
      </c>
      <c r="AT602">
        <v>1</v>
      </c>
      <c r="AU602" t="s">
        <v>1059</v>
      </c>
      <c r="AV602" t="s">
        <v>1043</v>
      </c>
      <c r="AW602" t="s">
        <v>1053</v>
      </c>
      <c r="AX602">
        <v>0</v>
      </c>
      <c r="AY602" s="20">
        <v>43679</v>
      </c>
      <c r="BA602" s="20">
        <v>44097</v>
      </c>
      <c r="BB602" t="s">
        <v>1058</v>
      </c>
      <c r="BD602">
        <v>0</v>
      </c>
      <c r="BF602" t="s">
        <v>1044</v>
      </c>
      <c r="BG602" t="s">
        <v>1042</v>
      </c>
      <c r="BH602">
        <v>0</v>
      </c>
      <c r="BI602">
        <v>6</v>
      </c>
      <c r="BJ602">
        <v>0</v>
      </c>
      <c r="BK602">
        <v>0</v>
      </c>
      <c r="BM602" s="20">
        <v>44162</v>
      </c>
      <c r="BN602">
        <v>0</v>
      </c>
      <c r="BO602">
        <v>7897801320184</v>
      </c>
      <c r="BR602" t="s">
        <v>1043</v>
      </c>
      <c r="BS602" t="s">
        <v>1043</v>
      </c>
      <c r="BT602" t="s">
        <v>1043</v>
      </c>
      <c r="BV602">
        <v>1</v>
      </c>
      <c r="BW602">
        <v>31</v>
      </c>
      <c r="BY602">
        <v>82</v>
      </c>
      <c r="CA602">
        <v>0</v>
      </c>
      <c r="CB602" t="s">
        <v>1043</v>
      </c>
      <c r="CE602" t="s">
        <v>1043</v>
      </c>
      <c r="CH602" t="s">
        <v>1043</v>
      </c>
      <c r="CI602" t="s">
        <v>1153</v>
      </c>
      <c r="CK602" t="s">
        <v>1152</v>
      </c>
      <c r="CN602" t="s">
        <v>1056</v>
      </c>
      <c r="CP602">
        <v>1</v>
      </c>
      <c r="CQ602">
        <v>0</v>
      </c>
      <c r="CS602">
        <v>0</v>
      </c>
      <c r="CT602">
        <v>0</v>
      </c>
      <c r="CU602">
        <v>0</v>
      </c>
      <c r="CW602">
        <v>0</v>
      </c>
      <c r="CX602">
        <v>0</v>
      </c>
      <c r="CY602">
        <v>0</v>
      </c>
      <c r="CZ602">
        <v>0</v>
      </c>
      <c r="DA602">
        <v>1</v>
      </c>
      <c r="DB602">
        <v>0</v>
      </c>
      <c r="DH602">
        <v>0</v>
      </c>
      <c r="DJ602">
        <v>0</v>
      </c>
      <c r="DL602">
        <v>0</v>
      </c>
      <c r="DN602">
        <v>0</v>
      </c>
      <c r="DO602" t="s">
        <v>1042</v>
      </c>
      <c r="DP602">
        <v>0</v>
      </c>
      <c r="DQ602">
        <v>7.6</v>
      </c>
      <c r="DS602">
        <v>0</v>
      </c>
      <c r="DU602">
        <v>1.65</v>
      </c>
      <c r="DW602">
        <v>0</v>
      </c>
      <c r="DY602">
        <v>0</v>
      </c>
      <c r="DZ602">
        <v>0</v>
      </c>
      <c r="EA602">
        <v>0</v>
      </c>
      <c r="EB602">
        <v>17897801320181</v>
      </c>
      <c r="EE602">
        <v>0</v>
      </c>
      <c r="EF602">
        <v>0</v>
      </c>
      <c r="EG602" t="s">
        <v>1044</v>
      </c>
      <c r="EK602" t="s">
        <v>1054</v>
      </c>
      <c r="EL602">
        <v>57897801320189</v>
      </c>
      <c r="EN602" t="s">
        <v>1012</v>
      </c>
      <c r="ET602">
        <v>0</v>
      </c>
      <c r="EV602">
        <v>0</v>
      </c>
      <c r="EY602" t="s">
        <v>1052</v>
      </c>
      <c r="EZ602">
        <v>0</v>
      </c>
      <c r="FA602" t="s">
        <v>1043</v>
      </c>
      <c r="FB602">
        <v>0</v>
      </c>
      <c r="FC602">
        <v>0</v>
      </c>
      <c r="FD602" t="s">
        <v>1051</v>
      </c>
      <c r="FE602" t="s">
        <v>1050</v>
      </c>
      <c r="FF602">
        <v>300</v>
      </c>
      <c r="FG602" t="s">
        <v>1050</v>
      </c>
      <c r="FH602">
        <v>27897801320188</v>
      </c>
      <c r="FJ602">
        <v>0</v>
      </c>
      <c r="FK602">
        <v>0</v>
      </c>
      <c r="FP602">
        <v>0</v>
      </c>
      <c r="FR602">
        <v>0</v>
      </c>
      <c r="FS602" t="s">
        <v>1043</v>
      </c>
      <c r="FX602" t="s">
        <v>1042</v>
      </c>
      <c r="GA602">
        <v>0</v>
      </c>
      <c r="GB602" t="s">
        <v>1042</v>
      </c>
      <c r="GD602">
        <v>16</v>
      </c>
      <c r="GE602">
        <v>0</v>
      </c>
      <c r="GG602">
        <v>0</v>
      </c>
      <c r="GN602">
        <v>0</v>
      </c>
      <c r="GO602" t="s">
        <v>1049</v>
      </c>
      <c r="GQ602">
        <v>0</v>
      </c>
      <c r="GU602">
        <v>0</v>
      </c>
      <c r="GY602" t="s">
        <v>1045</v>
      </c>
      <c r="HB602">
        <v>0</v>
      </c>
      <c r="HE602">
        <v>10</v>
      </c>
      <c r="HF602">
        <v>0</v>
      </c>
      <c r="HG602">
        <v>2.7499999999999998E-3</v>
      </c>
      <c r="HK602" t="s">
        <v>1042</v>
      </c>
      <c r="HL602" t="s">
        <v>1048</v>
      </c>
      <c r="HM602">
        <v>0</v>
      </c>
      <c r="HN602">
        <v>0</v>
      </c>
      <c r="HO602">
        <v>35</v>
      </c>
      <c r="HP602">
        <v>0</v>
      </c>
      <c r="HQ602">
        <v>0</v>
      </c>
      <c r="HR602" t="s">
        <v>1042</v>
      </c>
      <c r="HT602">
        <v>0</v>
      </c>
      <c r="HU602">
        <v>0</v>
      </c>
      <c r="HW602">
        <v>0</v>
      </c>
      <c r="HX602">
        <v>5120</v>
      </c>
      <c r="HY602">
        <v>0</v>
      </c>
      <c r="IA602">
        <v>0</v>
      </c>
      <c r="IC602" t="s">
        <v>1151</v>
      </c>
      <c r="IF602">
        <v>6000</v>
      </c>
      <c r="IG602" t="s">
        <v>1042</v>
      </c>
      <c r="IH602" t="s">
        <v>1046</v>
      </c>
      <c r="II602" t="s">
        <v>1042</v>
      </c>
      <c r="IR602" t="s">
        <v>1045</v>
      </c>
      <c r="IT602">
        <v>0</v>
      </c>
      <c r="JE602">
        <v>0</v>
      </c>
      <c r="JF602">
        <v>0</v>
      </c>
      <c r="JI602" t="s">
        <v>1042</v>
      </c>
      <c r="JJ602">
        <v>0</v>
      </c>
      <c r="JK602">
        <v>0</v>
      </c>
      <c r="JL602">
        <v>0</v>
      </c>
      <c r="JM602">
        <v>0</v>
      </c>
      <c r="JT602">
        <v>0</v>
      </c>
      <c r="JU602" t="s">
        <v>1042</v>
      </c>
      <c r="JW602">
        <v>0</v>
      </c>
      <c r="KA602">
        <v>0</v>
      </c>
      <c r="KF602">
        <v>0</v>
      </c>
      <c r="KG602">
        <v>0</v>
      </c>
      <c r="KH602">
        <v>0</v>
      </c>
      <c r="KI602">
        <v>0</v>
      </c>
      <c r="KS602" t="s">
        <v>1041</v>
      </c>
      <c r="KT602">
        <v>0</v>
      </c>
      <c r="KU602">
        <v>0</v>
      </c>
      <c r="KV602">
        <v>0</v>
      </c>
      <c r="KX602">
        <v>0</v>
      </c>
      <c r="KZ602">
        <v>0</v>
      </c>
      <c r="LF602">
        <v>0</v>
      </c>
      <c r="LH602">
        <v>0</v>
      </c>
      <c r="LI602">
        <v>0</v>
      </c>
    </row>
    <row r="603" spans="1:321" x14ac:dyDescent="0.35">
      <c r="A603">
        <v>1</v>
      </c>
      <c r="B603">
        <v>1387</v>
      </c>
      <c r="C603" t="s">
        <v>748</v>
      </c>
      <c r="D603" t="s">
        <v>1089</v>
      </c>
      <c r="E603" t="s">
        <v>85</v>
      </c>
      <c r="F603">
        <v>1</v>
      </c>
      <c r="G603">
        <v>810</v>
      </c>
      <c r="H603">
        <v>0</v>
      </c>
      <c r="I603" t="s">
        <v>1022</v>
      </c>
      <c r="L603">
        <v>0</v>
      </c>
      <c r="M603">
        <v>0</v>
      </c>
      <c r="N603">
        <v>0</v>
      </c>
      <c r="P603">
        <v>77</v>
      </c>
      <c r="Q603">
        <v>902</v>
      </c>
      <c r="R603">
        <v>0</v>
      </c>
      <c r="S603">
        <v>0</v>
      </c>
      <c r="W603" t="s">
        <v>1060</v>
      </c>
      <c r="X603">
        <v>0</v>
      </c>
      <c r="Z603">
        <v>48</v>
      </c>
      <c r="AA603">
        <v>12.346</v>
      </c>
      <c r="AB603">
        <v>4608</v>
      </c>
      <c r="AC603">
        <v>1.256</v>
      </c>
      <c r="AD603" s="20">
        <v>44701</v>
      </c>
      <c r="AE603">
        <v>1.2549999999999999</v>
      </c>
      <c r="AF603">
        <v>2.4E-2</v>
      </c>
      <c r="AH603">
        <v>1536</v>
      </c>
      <c r="AJ603">
        <v>30</v>
      </c>
      <c r="AK603" t="s">
        <v>1154</v>
      </c>
      <c r="AL603">
        <v>0</v>
      </c>
      <c r="AM603">
        <v>14400</v>
      </c>
      <c r="AN603">
        <v>11501008</v>
      </c>
      <c r="AO603">
        <v>0</v>
      </c>
      <c r="AP603">
        <v>1050</v>
      </c>
      <c r="AT603">
        <v>1</v>
      </c>
      <c r="AU603" t="s">
        <v>1059</v>
      </c>
      <c r="AV603" t="s">
        <v>1043</v>
      </c>
      <c r="AW603" t="s">
        <v>1053</v>
      </c>
      <c r="AX603">
        <v>0</v>
      </c>
      <c r="AY603" s="20">
        <v>44211</v>
      </c>
      <c r="BA603" s="20">
        <v>43679</v>
      </c>
      <c r="BB603" t="s">
        <v>1058</v>
      </c>
      <c r="BD603">
        <v>0</v>
      </c>
      <c r="BF603" t="s">
        <v>1044</v>
      </c>
      <c r="BG603" t="s">
        <v>1042</v>
      </c>
      <c r="BH603">
        <v>0</v>
      </c>
      <c r="BI603">
        <v>15</v>
      </c>
      <c r="BJ603">
        <v>0</v>
      </c>
      <c r="BK603">
        <v>0</v>
      </c>
      <c r="BM603" s="20">
        <v>43722</v>
      </c>
      <c r="BN603">
        <v>0</v>
      </c>
      <c r="BO603">
        <v>7897801320191</v>
      </c>
      <c r="BR603" t="s">
        <v>1043</v>
      </c>
      <c r="BS603" t="s">
        <v>1043</v>
      </c>
      <c r="BT603" t="s">
        <v>1043</v>
      </c>
      <c r="BV603">
        <v>1</v>
      </c>
      <c r="BW603">
        <v>31</v>
      </c>
      <c r="BY603">
        <v>84</v>
      </c>
      <c r="CA603">
        <v>0</v>
      </c>
      <c r="CB603" t="s">
        <v>1043</v>
      </c>
      <c r="CE603" t="s">
        <v>1043</v>
      </c>
      <c r="CH603" t="s">
        <v>1043</v>
      </c>
      <c r="CI603" t="s">
        <v>1153</v>
      </c>
      <c r="CK603" t="s">
        <v>1152</v>
      </c>
      <c r="CN603" t="s">
        <v>1056</v>
      </c>
      <c r="CP603">
        <v>1</v>
      </c>
      <c r="CQ603">
        <v>0</v>
      </c>
      <c r="CS603">
        <v>0</v>
      </c>
      <c r="CT603">
        <v>0</v>
      </c>
      <c r="CU603">
        <v>0</v>
      </c>
      <c r="CW603">
        <v>0</v>
      </c>
      <c r="CX603">
        <v>0</v>
      </c>
      <c r="CY603">
        <v>0</v>
      </c>
      <c r="CZ603">
        <v>0</v>
      </c>
      <c r="DB603">
        <v>0</v>
      </c>
      <c r="DH603">
        <v>0</v>
      </c>
      <c r="DJ603">
        <v>0</v>
      </c>
      <c r="DL603">
        <v>0</v>
      </c>
      <c r="DN603">
        <v>0</v>
      </c>
      <c r="DO603" t="s">
        <v>1042</v>
      </c>
      <c r="DP603">
        <v>0</v>
      </c>
      <c r="DQ603">
        <v>7.6</v>
      </c>
      <c r="DS603">
        <v>0</v>
      </c>
      <c r="DU603">
        <v>1.65</v>
      </c>
      <c r="DW603">
        <v>0</v>
      </c>
      <c r="DY603">
        <v>0</v>
      </c>
      <c r="DZ603">
        <v>0</v>
      </c>
      <c r="EA603">
        <v>0</v>
      </c>
      <c r="EB603">
        <v>17897801320198</v>
      </c>
      <c r="EE603">
        <v>0</v>
      </c>
      <c r="EF603">
        <v>0</v>
      </c>
      <c r="EG603" t="s">
        <v>1044</v>
      </c>
      <c r="EK603" t="s">
        <v>1054</v>
      </c>
      <c r="EL603">
        <v>57897801320196</v>
      </c>
      <c r="EN603" t="s">
        <v>1012</v>
      </c>
      <c r="ET603">
        <v>0</v>
      </c>
      <c r="EV603">
        <v>0</v>
      </c>
      <c r="EY603" t="s">
        <v>1052</v>
      </c>
      <c r="EZ603">
        <v>0</v>
      </c>
      <c r="FA603" t="s">
        <v>1043</v>
      </c>
      <c r="FB603">
        <v>0</v>
      </c>
      <c r="FC603">
        <v>0</v>
      </c>
      <c r="FD603" t="s">
        <v>1051</v>
      </c>
      <c r="FE603" t="s">
        <v>1050</v>
      </c>
      <c r="FF603">
        <v>960</v>
      </c>
      <c r="FG603" t="s">
        <v>1050</v>
      </c>
      <c r="FH603">
        <v>27897801320195</v>
      </c>
      <c r="FJ603">
        <v>0</v>
      </c>
      <c r="FK603">
        <v>0</v>
      </c>
      <c r="FP603">
        <v>0</v>
      </c>
      <c r="FR603">
        <v>0</v>
      </c>
      <c r="FS603" t="s">
        <v>1044</v>
      </c>
      <c r="FX603" t="s">
        <v>1042</v>
      </c>
      <c r="GA603">
        <v>0</v>
      </c>
      <c r="GB603" t="s">
        <v>1042</v>
      </c>
      <c r="GE603">
        <v>0</v>
      </c>
      <c r="GG603">
        <v>0</v>
      </c>
      <c r="GN603">
        <v>0</v>
      </c>
      <c r="GO603" t="s">
        <v>1063</v>
      </c>
      <c r="GQ603">
        <v>0</v>
      </c>
      <c r="GU603">
        <v>0</v>
      </c>
      <c r="GY603" t="s">
        <v>1045</v>
      </c>
      <c r="HB603">
        <v>0</v>
      </c>
      <c r="HE603">
        <v>10</v>
      </c>
      <c r="HF603">
        <v>0</v>
      </c>
      <c r="HG603">
        <v>3.5599999999999998E-3</v>
      </c>
      <c r="HK603" s="20">
        <v>44579</v>
      </c>
      <c r="HL603" t="s">
        <v>1048</v>
      </c>
      <c r="HM603">
        <v>0</v>
      </c>
      <c r="HN603">
        <v>0</v>
      </c>
      <c r="HO603">
        <v>36</v>
      </c>
      <c r="HP603">
        <v>0</v>
      </c>
      <c r="HQ603">
        <v>0</v>
      </c>
      <c r="HR603" s="20">
        <v>44221</v>
      </c>
      <c r="HT603">
        <v>0</v>
      </c>
      <c r="HU603">
        <v>0</v>
      </c>
      <c r="HW603">
        <v>0</v>
      </c>
      <c r="HX603">
        <v>1536</v>
      </c>
      <c r="HY603">
        <v>1</v>
      </c>
      <c r="IA603">
        <v>1.25</v>
      </c>
      <c r="IC603" t="s">
        <v>1151</v>
      </c>
      <c r="IF603">
        <v>14400</v>
      </c>
      <c r="IG603" t="s">
        <v>1042</v>
      </c>
      <c r="IH603" t="s">
        <v>1046</v>
      </c>
      <c r="II603" t="s">
        <v>1042</v>
      </c>
      <c r="IR603" t="s">
        <v>1045</v>
      </c>
      <c r="IT603">
        <v>0</v>
      </c>
      <c r="JE603">
        <v>0</v>
      </c>
      <c r="JF603">
        <v>0</v>
      </c>
      <c r="JI603" t="s">
        <v>1042</v>
      </c>
      <c r="JJ603">
        <v>0</v>
      </c>
      <c r="JK603">
        <v>0</v>
      </c>
      <c r="JL603">
        <v>0</v>
      </c>
      <c r="JM603">
        <v>0</v>
      </c>
      <c r="JT603">
        <v>0</v>
      </c>
      <c r="JU603" t="s">
        <v>1042</v>
      </c>
      <c r="JW603">
        <v>0</v>
      </c>
      <c r="KA603">
        <v>0</v>
      </c>
      <c r="KF603">
        <v>0</v>
      </c>
      <c r="KG603">
        <v>0</v>
      </c>
      <c r="KH603">
        <v>0</v>
      </c>
      <c r="KI603">
        <v>0</v>
      </c>
      <c r="KS603" t="s">
        <v>1073</v>
      </c>
      <c r="KT603">
        <v>0</v>
      </c>
      <c r="KU603">
        <v>0</v>
      </c>
      <c r="KV603">
        <v>0</v>
      </c>
      <c r="KX603">
        <v>0</v>
      </c>
      <c r="KZ603">
        <v>0</v>
      </c>
      <c r="LF603">
        <v>0</v>
      </c>
      <c r="LH603">
        <v>0</v>
      </c>
      <c r="LI603">
        <v>0</v>
      </c>
    </row>
    <row r="604" spans="1:321" x14ac:dyDescent="0.35">
      <c r="A604">
        <v>1</v>
      </c>
      <c r="B604">
        <v>1388</v>
      </c>
      <c r="C604" t="s">
        <v>749</v>
      </c>
      <c r="D604" t="s">
        <v>1089</v>
      </c>
      <c r="E604" t="s">
        <v>85</v>
      </c>
      <c r="F604">
        <v>1</v>
      </c>
      <c r="G604">
        <v>810</v>
      </c>
      <c r="H604">
        <v>0</v>
      </c>
      <c r="I604" t="s">
        <v>1022</v>
      </c>
      <c r="L604">
        <v>0</v>
      </c>
      <c r="M604">
        <v>0</v>
      </c>
      <c r="N604">
        <v>0</v>
      </c>
      <c r="P604">
        <v>77</v>
      </c>
      <c r="Q604">
        <v>902</v>
      </c>
      <c r="R604">
        <v>0</v>
      </c>
      <c r="S604">
        <v>0</v>
      </c>
      <c r="W604" t="s">
        <v>1060</v>
      </c>
      <c r="X604">
        <v>0</v>
      </c>
      <c r="Z604">
        <v>24</v>
      </c>
      <c r="AA604">
        <v>41.835000000000001</v>
      </c>
      <c r="AB604">
        <v>3864</v>
      </c>
      <c r="AC604">
        <v>3.3161999999999998</v>
      </c>
      <c r="AD604" s="20">
        <v>44697</v>
      </c>
      <c r="AE604">
        <v>4.2110000000000003</v>
      </c>
      <c r="AF604">
        <v>0.10630000000000001</v>
      </c>
      <c r="AH604">
        <v>1288</v>
      </c>
      <c r="AJ604">
        <v>30</v>
      </c>
      <c r="AK604" t="s">
        <v>1154</v>
      </c>
      <c r="AL604">
        <v>0</v>
      </c>
      <c r="AM604">
        <v>2304</v>
      </c>
      <c r="AN604">
        <v>11501008</v>
      </c>
      <c r="AO604">
        <v>0</v>
      </c>
      <c r="AP604">
        <v>1050</v>
      </c>
      <c r="AT604">
        <v>1</v>
      </c>
      <c r="AU604" t="s">
        <v>1059</v>
      </c>
      <c r="AV604" t="s">
        <v>1043</v>
      </c>
      <c r="AW604" t="s">
        <v>1053</v>
      </c>
      <c r="AX604">
        <v>0</v>
      </c>
      <c r="AY604" s="20">
        <v>44209</v>
      </c>
      <c r="BA604" s="20">
        <v>43679</v>
      </c>
      <c r="BB604" t="s">
        <v>1058</v>
      </c>
      <c r="BD604">
        <v>0</v>
      </c>
      <c r="BF604" t="s">
        <v>1044</v>
      </c>
      <c r="BG604" t="s">
        <v>1042</v>
      </c>
      <c r="BH604">
        <v>0</v>
      </c>
      <c r="BI604">
        <v>15</v>
      </c>
      <c r="BJ604">
        <v>0</v>
      </c>
      <c r="BK604">
        <v>0</v>
      </c>
      <c r="BM604" s="20">
        <v>43722</v>
      </c>
      <c r="BN604">
        <v>0</v>
      </c>
      <c r="BO604">
        <v>7897801320207</v>
      </c>
      <c r="BR604" t="s">
        <v>1043</v>
      </c>
      <c r="BS604" t="s">
        <v>1043</v>
      </c>
      <c r="BT604" t="s">
        <v>1043</v>
      </c>
      <c r="BV604">
        <v>1</v>
      </c>
      <c r="BW604">
        <v>31</v>
      </c>
      <c r="BY604">
        <v>84</v>
      </c>
      <c r="CA604">
        <v>0</v>
      </c>
      <c r="CB604" t="s">
        <v>1043</v>
      </c>
      <c r="CE604" t="s">
        <v>1043</v>
      </c>
      <c r="CH604" t="s">
        <v>1043</v>
      </c>
      <c r="CI604" t="s">
        <v>1153</v>
      </c>
      <c r="CK604" t="s">
        <v>1152</v>
      </c>
      <c r="CN604" t="s">
        <v>1056</v>
      </c>
      <c r="CP604">
        <v>1</v>
      </c>
      <c r="CQ604">
        <v>0</v>
      </c>
      <c r="CS604">
        <v>0</v>
      </c>
      <c r="CT604">
        <v>0</v>
      </c>
      <c r="CU604">
        <v>0</v>
      </c>
      <c r="CW604">
        <v>0</v>
      </c>
      <c r="CX604">
        <v>0</v>
      </c>
      <c r="CY604">
        <v>0</v>
      </c>
      <c r="CZ604">
        <v>0</v>
      </c>
      <c r="DB604">
        <v>0</v>
      </c>
      <c r="DH604">
        <v>0</v>
      </c>
      <c r="DJ604">
        <v>0</v>
      </c>
      <c r="DL604">
        <v>0</v>
      </c>
      <c r="DN604">
        <v>0</v>
      </c>
      <c r="DO604" t="s">
        <v>1042</v>
      </c>
      <c r="DP604">
        <v>0</v>
      </c>
      <c r="DQ604">
        <v>7.6</v>
      </c>
      <c r="DS604">
        <v>0</v>
      </c>
      <c r="DU604">
        <v>1.65</v>
      </c>
      <c r="DW604">
        <v>0</v>
      </c>
      <c r="DY604">
        <v>0</v>
      </c>
      <c r="DZ604">
        <v>0</v>
      </c>
      <c r="EA604">
        <v>0</v>
      </c>
      <c r="EB604">
        <v>17897801320204</v>
      </c>
      <c r="EE604">
        <v>0</v>
      </c>
      <c r="EF604">
        <v>0</v>
      </c>
      <c r="EG604" t="s">
        <v>1044</v>
      </c>
      <c r="EK604" t="s">
        <v>1054</v>
      </c>
      <c r="EL604">
        <v>57897801320202</v>
      </c>
      <c r="EN604" t="s">
        <v>1012</v>
      </c>
      <c r="ET604">
        <v>0</v>
      </c>
      <c r="EV604">
        <v>0</v>
      </c>
      <c r="EY604" t="s">
        <v>1052</v>
      </c>
      <c r="EZ604">
        <v>0</v>
      </c>
      <c r="FA604" t="s">
        <v>1043</v>
      </c>
      <c r="FB604">
        <v>0</v>
      </c>
      <c r="FC604">
        <v>0</v>
      </c>
      <c r="FD604" t="s">
        <v>1051</v>
      </c>
      <c r="FE604" t="s">
        <v>1050</v>
      </c>
      <c r="FF604">
        <v>192</v>
      </c>
      <c r="FG604" t="s">
        <v>1050</v>
      </c>
      <c r="FH604">
        <v>27897801320201</v>
      </c>
      <c r="FJ604">
        <v>0</v>
      </c>
      <c r="FK604">
        <v>0</v>
      </c>
      <c r="FP604">
        <v>0</v>
      </c>
      <c r="FR604">
        <v>0</v>
      </c>
      <c r="FS604" t="s">
        <v>1044</v>
      </c>
      <c r="FX604" t="s">
        <v>1042</v>
      </c>
      <c r="GA604">
        <v>0</v>
      </c>
      <c r="GB604" t="s">
        <v>1042</v>
      </c>
      <c r="GE604">
        <v>0</v>
      </c>
      <c r="GG604">
        <v>0</v>
      </c>
      <c r="GN604">
        <v>0</v>
      </c>
      <c r="GO604" t="s">
        <v>1063</v>
      </c>
      <c r="GQ604">
        <v>0</v>
      </c>
      <c r="GU604">
        <v>0</v>
      </c>
      <c r="GY604" t="s">
        <v>1045</v>
      </c>
      <c r="HB604">
        <v>0</v>
      </c>
      <c r="HE604">
        <v>10</v>
      </c>
      <c r="HF604">
        <v>0</v>
      </c>
      <c r="HG604">
        <v>7.7000000000000002E-3</v>
      </c>
      <c r="HK604" s="20">
        <v>44623</v>
      </c>
      <c r="HL604" t="s">
        <v>1048</v>
      </c>
      <c r="HM604">
        <v>0</v>
      </c>
      <c r="HN604">
        <v>0</v>
      </c>
      <c r="HO604">
        <v>36</v>
      </c>
      <c r="HP604">
        <v>0</v>
      </c>
      <c r="HQ604">
        <v>0</v>
      </c>
      <c r="HR604" s="20">
        <v>44221</v>
      </c>
      <c r="HT604">
        <v>0</v>
      </c>
      <c r="HU604">
        <v>0</v>
      </c>
      <c r="HW604">
        <v>0</v>
      </c>
      <c r="HX604">
        <v>1288</v>
      </c>
      <c r="HY604">
        <v>1</v>
      </c>
      <c r="IA604">
        <v>4.21</v>
      </c>
      <c r="IC604" t="s">
        <v>1151</v>
      </c>
      <c r="IF604">
        <v>2304</v>
      </c>
      <c r="IG604" t="s">
        <v>1042</v>
      </c>
      <c r="IH604" t="s">
        <v>1046</v>
      </c>
      <c r="II604" t="s">
        <v>1042</v>
      </c>
      <c r="IR604" t="s">
        <v>1045</v>
      </c>
      <c r="IT604">
        <v>0</v>
      </c>
      <c r="JE604">
        <v>0</v>
      </c>
      <c r="JF604">
        <v>0</v>
      </c>
      <c r="JI604" t="s">
        <v>1042</v>
      </c>
      <c r="JJ604">
        <v>0</v>
      </c>
      <c r="JK604">
        <v>0</v>
      </c>
      <c r="JL604">
        <v>0</v>
      </c>
      <c r="JM604">
        <v>0</v>
      </c>
      <c r="JT604">
        <v>0</v>
      </c>
      <c r="JU604" t="s">
        <v>1042</v>
      </c>
      <c r="JW604">
        <v>0</v>
      </c>
      <c r="KA604">
        <v>0</v>
      </c>
      <c r="KF604">
        <v>0</v>
      </c>
      <c r="KG604">
        <v>0</v>
      </c>
      <c r="KH604">
        <v>0</v>
      </c>
      <c r="KI604">
        <v>0</v>
      </c>
      <c r="KS604" t="s">
        <v>1073</v>
      </c>
      <c r="KT604">
        <v>0</v>
      </c>
      <c r="KU604">
        <v>0</v>
      </c>
      <c r="KV604">
        <v>0</v>
      </c>
      <c r="KX604">
        <v>0</v>
      </c>
      <c r="KZ604">
        <v>0</v>
      </c>
      <c r="LF604">
        <v>0</v>
      </c>
      <c r="LH604">
        <v>0</v>
      </c>
      <c r="LI604">
        <v>0</v>
      </c>
    </row>
    <row r="605" spans="1:321" x14ac:dyDescent="0.35">
      <c r="A605">
        <v>1</v>
      </c>
      <c r="B605">
        <v>1389</v>
      </c>
      <c r="C605" t="s">
        <v>750</v>
      </c>
      <c r="D605" t="s">
        <v>1089</v>
      </c>
      <c r="E605" t="s">
        <v>85</v>
      </c>
      <c r="F605">
        <v>1</v>
      </c>
      <c r="G605">
        <v>810</v>
      </c>
      <c r="H605">
        <v>0</v>
      </c>
      <c r="I605" t="s">
        <v>1022</v>
      </c>
      <c r="L605">
        <v>0</v>
      </c>
      <c r="M605">
        <v>0</v>
      </c>
      <c r="N605">
        <v>0</v>
      </c>
      <c r="P605">
        <v>77</v>
      </c>
      <c r="Q605">
        <v>902</v>
      </c>
      <c r="R605">
        <v>0</v>
      </c>
      <c r="S605">
        <v>0</v>
      </c>
      <c r="W605" t="s">
        <v>1060</v>
      </c>
      <c r="X605">
        <v>0</v>
      </c>
      <c r="Z605">
        <v>12</v>
      </c>
      <c r="AA605">
        <v>76.424999999999997</v>
      </c>
      <c r="AB605">
        <v>7009</v>
      </c>
      <c r="AC605">
        <v>8.1073000000000004</v>
      </c>
      <c r="AD605" s="20">
        <v>44711</v>
      </c>
      <c r="AE605">
        <v>10.295</v>
      </c>
      <c r="AF605">
        <v>0.25419999999999998</v>
      </c>
      <c r="AH605">
        <v>2337</v>
      </c>
      <c r="AJ605">
        <v>30</v>
      </c>
      <c r="AK605" t="s">
        <v>1154</v>
      </c>
      <c r="AL605">
        <v>1920</v>
      </c>
      <c r="AM605">
        <v>1920</v>
      </c>
      <c r="AN605">
        <v>11501008</v>
      </c>
      <c r="AO605">
        <v>0</v>
      </c>
      <c r="AP605">
        <v>1050</v>
      </c>
      <c r="AT605">
        <v>1</v>
      </c>
      <c r="AU605" t="s">
        <v>1059</v>
      </c>
      <c r="AV605" t="s">
        <v>1043</v>
      </c>
      <c r="AW605" t="s">
        <v>1053</v>
      </c>
      <c r="AX605">
        <v>0</v>
      </c>
      <c r="AY605" s="20">
        <v>44209</v>
      </c>
      <c r="BA605" s="20">
        <v>43679</v>
      </c>
      <c r="BB605" t="s">
        <v>1058</v>
      </c>
      <c r="BD605">
        <v>0</v>
      </c>
      <c r="BF605" t="s">
        <v>1044</v>
      </c>
      <c r="BG605" t="s">
        <v>1042</v>
      </c>
      <c r="BH605">
        <v>0</v>
      </c>
      <c r="BI605">
        <v>15</v>
      </c>
      <c r="BJ605">
        <v>0</v>
      </c>
      <c r="BK605">
        <v>0</v>
      </c>
      <c r="BM605" s="20">
        <v>43722</v>
      </c>
      <c r="BN605">
        <v>0</v>
      </c>
      <c r="BO605">
        <v>7897801320214</v>
      </c>
      <c r="BR605" t="s">
        <v>1043</v>
      </c>
      <c r="BS605" t="s">
        <v>1043</v>
      </c>
      <c r="BT605" t="s">
        <v>1043</v>
      </c>
      <c r="BV605">
        <v>1</v>
      </c>
      <c r="BW605">
        <v>31</v>
      </c>
      <c r="BY605">
        <v>84</v>
      </c>
      <c r="CA605">
        <v>0</v>
      </c>
      <c r="CB605" t="s">
        <v>1043</v>
      </c>
      <c r="CE605" t="s">
        <v>1043</v>
      </c>
      <c r="CH605" t="s">
        <v>1043</v>
      </c>
      <c r="CI605" t="s">
        <v>1153</v>
      </c>
      <c r="CK605" t="s">
        <v>1152</v>
      </c>
      <c r="CN605" t="s">
        <v>1056</v>
      </c>
      <c r="CP605">
        <v>1</v>
      </c>
      <c r="CQ605">
        <v>0</v>
      </c>
      <c r="CS605">
        <v>0</v>
      </c>
      <c r="CT605">
        <v>0</v>
      </c>
      <c r="CU605">
        <v>0</v>
      </c>
      <c r="CW605">
        <v>0</v>
      </c>
      <c r="CX605">
        <v>0</v>
      </c>
      <c r="CY605">
        <v>0</v>
      </c>
      <c r="CZ605">
        <v>0</v>
      </c>
      <c r="DB605">
        <v>0</v>
      </c>
      <c r="DH605">
        <v>0</v>
      </c>
      <c r="DJ605">
        <v>0</v>
      </c>
      <c r="DL605">
        <v>0</v>
      </c>
      <c r="DN605">
        <v>0</v>
      </c>
      <c r="DO605" t="s">
        <v>1042</v>
      </c>
      <c r="DP605">
        <v>0</v>
      </c>
      <c r="DQ605">
        <v>7.6</v>
      </c>
      <c r="DS605">
        <v>0</v>
      </c>
      <c r="DU605">
        <v>1.65</v>
      </c>
      <c r="DW605">
        <v>0</v>
      </c>
      <c r="DY605">
        <v>0</v>
      </c>
      <c r="DZ605">
        <v>0</v>
      </c>
      <c r="EA605">
        <v>0</v>
      </c>
      <c r="EB605">
        <v>17897801320211</v>
      </c>
      <c r="EE605">
        <v>0</v>
      </c>
      <c r="EF605">
        <v>0</v>
      </c>
      <c r="EG605" t="s">
        <v>1044</v>
      </c>
      <c r="EK605" t="s">
        <v>1054</v>
      </c>
      <c r="EL605">
        <v>57897801320219</v>
      </c>
      <c r="EN605" t="s">
        <v>1012</v>
      </c>
      <c r="ET605">
        <v>0</v>
      </c>
      <c r="EV605">
        <v>0</v>
      </c>
      <c r="EY605" t="s">
        <v>1052</v>
      </c>
      <c r="EZ605">
        <v>0</v>
      </c>
      <c r="FA605" t="s">
        <v>1043</v>
      </c>
      <c r="FB605">
        <v>0</v>
      </c>
      <c r="FC605">
        <v>0</v>
      </c>
      <c r="FD605" t="s">
        <v>1051</v>
      </c>
      <c r="FE605" t="s">
        <v>1050</v>
      </c>
      <c r="FF605">
        <v>120</v>
      </c>
      <c r="FG605" t="s">
        <v>1050</v>
      </c>
      <c r="FH605">
        <v>27897801320218</v>
      </c>
      <c r="FJ605">
        <v>0</v>
      </c>
      <c r="FK605">
        <v>0</v>
      </c>
      <c r="FP605">
        <v>0</v>
      </c>
      <c r="FR605">
        <v>0</v>
      </c>
      <c r="FS605" t="s">
        <v>1044</v>
      </c>
      <c r="FX605" t="s">
        <v>1042</v>
      </c>
      <c r="GA605">
        <v>0</v>
      </c>
      <c r="GB605" t="s">
        <v>1042</v>
      </c>
      <c r="GE605">
        <v>0</v>
      </c>
      <c r="GG605">
        <v>0</v>
      </c>
      <c r="GL605">
        <v>13</v>
      </c>
      <c r="GN605">
        <v>0</v>
      </c>
      <c r="GO605" t="s">
        <v>1063</v>
      </c>
      <c r="GQ605">
        <v>0</v>
      </c>
      <c r="GU605">
        <v>0</v>
      </c>
      <c r="GY605" t="s">
        <v>1045</v>
      </c>
      <c r="HB605">
        <v>0</v>
      </c>
      <c r="HE605">
        <v>10</v>
      </c>
      <c r="HF605">
        <v>0</v>
      </c>
      <c r="HG605">
        <v>6.8900000000000003E-3</v>
      </c>
      <c r="HK605" s="20">
        <v>44623</v>
      </c>
      <c r="HL605" t="s">
        <v>1048</v>
      </c>
      <c r="HM605">
        <v>0</v>
      </c>
      <c r="HN605">
        <v>0</v>
      </c>
      <c r="HO605">
        <v>36</v>
      </c>
      <c r="HP605">
        <v>0</v>
      </c>
      <c r="HQ605">
        <v>0</v>
      </c>
      <c r="HR605" s="20">
        <v>44221</v>
      </c>
      <c r="HT605">
        <v>0</v>
      </c>
      <c r="HU605">
        <v>0</v>
      </c>
      <c r="HW605">
        <v>0</v>
      </c>
      <c r="HX605">
        <v>6177</v>
      </c>
      <c r="HY605">
        <v>1</v>
      </c>
      <c r="IA605">
        <v>10.3</v>
      </c>
      <c r="IC605" t="s">
        <v>1151</v>
      </c>
      <c r="IF605">
        <v>1920</v>
      </c>
      <c r="IG605" t="s">
        <v>1042</v>
      </c>
      <c r="IH605" t="s">
        <v>1046</v>
      </c>
      <c r="II605" t="s">
        <v>1042</v>
      </c>
      <c r="IR605" t="s">
        <v>1045</v>
      </c>
      <c r="IT605">
        <v>0</v>
      </c>
      <c r="JE605">
        <v>0</v>
      </c>
      <c r="JF605">
        <v>0</v>
      </c>
      <c r="JI605" t="s">
        <v>1042</v>
      </c>
      <c r="JJ605">
        <v>0</v>
      </c>
      <c r="JK605">
        <v>0</v>
      </c>
      <c r="JL605">
        <v>0</v>
      </c>
      <c r="JM605">
        <v>0</v>
      </c>
      <c r="JT605">
        <v>0</v>
      </c>
      <c r="JU605" t="s">
        <v>1042</v>
      </c>
      <c r="JW605">
        <v>0</v>
      </c>
      <c r="KA605">
        <v>0</v>
      </c>
      <c r="KF605">
        <v>0</v>
      </c>
      <c r="KG605">
        <v>0</v>
      </c>
      <c r="KH605">
        <v>0</v>
      </c>
      <c r="KI605">
        <v>0</v>
      </c>
      <c r="KS605" t="s">
        <v>1073</v>
      </c>
      <c r="KT605">
        <v>0</v>
      </c>
      <c r="KU605">
        <v>0</v>
      </c>
      <c r="KV605">
        <v>0</v>
      </c>
      <c r="KX605">
        <v>0</v>
      </c>
      <c r="KZ605">
        <v>0</v>
      </c>
      <c r="LF605">
        <v>0</v>
      </c>
      <c r="LH605">
        <v>0</v>
      </c>
      <c r="LI605">
        <v>0</v>
      </c>
    </row>
    <row r="606" spans="1:321" x14ac:dyDescent="0.35">
      <c r="A606">
        <v>1</v>
      </c>
      <c r="B606">
        <v>1390</v>
      </c>
      <c r="C606" t="s">
        <v>751</v>
      </c>
      <c r="D606" t="s">
        <v>1089</v>
      </c>
      <c r="E606" t="s">
        <v>85</v>
      </c>
      <c r="F606">
        <v>1</v>
      </c>
      <c r="G606">
        <v>810</v>
      </c>
      <c r="H606">
        <v>0</v>
      </c>
      <c r="I606" t="s">
        <v>1022</v>
      </c>
      <c r="L606">
        <v>0</v>
      </c>
      <c r="M606">
        <v>0</v>
      </c>
      <c r="N606">
        <v>0</v>
      </c>
      <c r="P606">
        <v>77</v>
      </c>
      <c r="Q606">
        <v>902</v>
      </c>
      <c r="R606">
        <v>0</v>
      </c>
      <c r="S606">
        <v>0</v>
      </c>
      <c r="W606" t="s">
        <v>1060</v>
      </c>
      <c r="X606">
        <v>0</v>
      </c>
      <c r="Z606">
        <v>6</v>
      </c>
      <c r="AA606">
        <v>263.209</v>
      </c>
      <c r="AB606">
        <v>1029</v>
      </c>
      <c r="AC606">
        <v>31.26</v>
      </c>
      <c r="AD606" s="20">
        <v>44693</v>
      </c>
      <c r="AE606">
        <v>35.53</v>
      </c>
      <c r="AF606">
        <v>10.667</v>
      </c>
      <c r="AH606">
        <v>343</v>
      </c>
      <c r="AJ606">
        <v>30</v>
      </c>
      <c r="AK606" t="s">
        <v>1154</v>
      </c>
      <c r="AL606">
        <v>0</v>
      </c>
      <c r="AM606">
        <v>432</v>
      </c>
      <c r="AN606">
        <v>11501008</v>
      </c>
      <c r="AO606">
        <v>0</v>
      </c>
      <c r="AP606">
        <v>1050</v>
      </c>
      <c r="AT606">
        <v>1</v>
      </c>
      <c r="AU606" t="s">
        <v>1059</v>
      </c>
      <c r="AV606" t="s">
        <v>1043</v>
      </c>
      <c r="AW606" t="s">
        <v>1053</v>
      </c>
      <c r="AX606">
        <v>0</v>
      </c>
      <c r="AY606" s="20">
        <v>44209</v>
      </c>
      <c r="BA606" s="20">
        <v>43679</v>
      </c>
      <c r="BB606" t="s">
        <v>1058</v>
      </c>
      <c r="BD606">
        <v>0</v>
      </c>
      <c r="BF606" t="s">
        <v>1044</v>
      </c>
      <c r="BG606" t="s">
        <v>1042</v>
      </c>
      <c r="BH606">
        <v>0</v>
      </c>
      <c r="BI606">
        <v>15</v>
      </c>
      <c r="BJ606">
        <v>0</v>
      </c>
      <c r="BK606">
        <v>0</v>
      </c>
      <c r="BM606" s="20">
        <v>43722</v>
      </c>
      <c r="BN606">
        <v>0</v>
      </c>
      <c r="BO606">
        <v>7897801320221</v>
      </c>
      <c r="BR606" t="s">
        <v>1043</v>
      </c>
      <c r="BS606" t="s">
        <v>1043</v>
      </c>
      <c r="BT606" t="s">
        <v>1043</v>
      </c>
      <c r="BV606">
        <v>1</v>
      </c>
      <c r="BW606">
        <v>31</v>
      </c>
      <c r="BY606">
        <v>84</v>
      </c>
      <c r="CA606">
        <v>0</v>
      </c>
      <c r="CB606" t="s">
        <v>1043</v>
      </c>
      <c r="CE606" t="s">
        <v>1043</v>
      </c>
      <c r="CH606" t="s">
        <v>1043</v>
      </c>
      <c r="CI606" t="s">
        <v>1153</v>
      </c>
      <c r="CK606" t="s">
        <v>1152</v>
      </c>
      <c r="CN606" t="s">
        <v>1056</v>
      </c>
      <c r="CP606">
        <v>1</v>
      </c>
      <c r="CQ606">
        <v>0</v>
      </c>
      <c r="CS606">
        <v>0</v>
      </c>
      <c r="CT606">
        <v>0</v>
      </c>
      <c r="CU606">
        <v>0</v>
      </c>
      <c r="CW606">
        <v>0</v>
      </c>
      <c r="CX606">
        <v>0</v>
      </c>
      <c r="CY606">
        <v>0</v>
      </c>
      <c r="CZ606">
        <v>0</v>
      </c>
      <c r="DB606">
        <v>0</v>
      </c>
      <c r="DH606">
        <v>0</v>
      </c>
      <c r="DJ606">
        <v>0</v>
      </c>
      <c r="DL606">
        <v>0</v>
      </c>
      <c r="DN606">
        <v>0</v>
      </c>
      <c r="DO606" t="s">
        <v>1042</v>
      </c>
      <c r="DP606">
        <v>0</v>
      </c>
      <c r="DQ606">
        <v>7.6</v>
      </c>
      <c r="DS606">
        <v>0</v>
      </c>
      <c r="DU606">
        <v>1.65</v>
      </c>
      <c r="DW606">
        <v>0</v>
      </c>
      <c r="DY606">
        <v>0</v>
      </c>
      <c r="DZ606">
        <v>0</v>
      </c>
      <c r="EA606">
        <v>0</v>
      </c>
      <c r="EB606">
        <v>17897801320228</v>
      </c>
      <c r="EE606">
        <v>0</v>
      </c>
      <c r="EF606">
        <v>0</v>
      </c>
      <c r="EG606" t="s">
        <v>1044</v>
      </c>
      <c r="EK606" t="s">
        <v>1054</v>
      </c>
      <c r="EL606">
        <v>57897801320226</v>
      </c>
      <c r="EN606" t="s">
        <v>1012</v>
      </c>
      <c r="ET606">
        <v>0</v>
      </c>
      <c r="EV606">
        <v>0</v>
      </c>
      <c r="EY606" t="s">
        <v>1052</v>
      </c>
      <c r="EZ606">
        <v>0</v>
      </c>
      <c r="FA606" t="s">
        <v>1043</v>
      </c>
      <c r="FB606">
        <v>0</v>
      </c>
      <c r="FC606">
        <v>0</v>
      </c>
      <c r="FD606" t="s">
        <v>1051</v>
      </c>
      <c r="FE606" t="s">
        <v>1050</v>
      </c>
      <c r="FF606">
        <v>18</v>
      </c>
      <c r="FG606" t="s">
        <v>1050</v>
      </c>
      <c r="FH606">
        <v>27897801320225</v>
      </c>
      <c r="FJ606">
        <v>0</v>
      </c>
      <c r="FK606">
        <v>0</v>
      </c>
      <c r="FP606">
        <v>0</v>
      </c>
      <c r="FR606">
        <v>0</v>
      </c>
      <c r="FS606" t="s">
        <v>1044</v>
      </c>
      <c r="FX606" t="s">
        <v>1042</v>
      </c>
      <c r="GA606">
        <v>0</v>
      </c>
      <c r="GB606" t="s">
        <v>1042</v>
      </c>
      <c r="GE606">
        <v>0</v>
      </c>
      <c r="GG606">
        <v>0</v>
      </c>
      <c r="GN606">
        <v>0</v>
      </c>
      <c r="GO606" t="s">
        <v>1063</v>
      </c>
      <c r="GQ606">
        <v>0</v>
      </c>
      <c r="GU606">
        <v>0</v>
      </c>
      <c r="GY606" t="s">
        <v>1045</v>
      </c>
      <c r="HB606">
        <v>0</v>
      </c>
      <c r="HE606">
        <v>10</v>
      </c>
      <c r="HF606">
        <v>0</v>
      </c>
      <c r="HG606">
        <v>1.414E-2</v>
      </c>
      <c r="HK606" s="20">
        <v>44623</v>
      </c>
      <c r="HL606" t="s">
        <v>1048</v>
      </c>
      <c r="HM606">
        <v>0</v>
      </c>
      <c r="HN606">
        <v>0</v>
      </c>
      <c r="HO606">
        <v>36</v>
      </c>
      <c r="HP606">
        <v>0</v>
      </c>
      <c r="HQ606">
        <v>0</v>
      </c>
      <c r="HR606" s="20">
        <v>44221</v>
      </c>
      <c r="HT606">
        <v>0</v>
      </c>
      <c r="HU606">
        <v>0</v>
      </c>
      <c r="HW606">
        <v>0</v>
      </c>
      <c r="HX606">
        <v>343</v>
      </c>
      <c r="HY606">
        <v>1</v>
      </c>
      <c r="IA606">
        <v>35.53</v>
      </c>
      <c r="IC606" t="s">
        <v>1151</v>
      </c>
      <c r="IF606">
        <v>432</v>
      </c>
      <c r="IG606" t="s">
        <v>1042</v>
      </c>
      <c r="IH606" t="s">
        <v>1046</v>
      </c>
      <c r="II606" t="s">
        <v>1042</v>
      </c>
      <c r="IR606" t="s">
        <v>1045</v>
      </c>
      <c r="IT606">
        <v>0</v>
      </c>
      <c r="JE606">
        <v>0</v>
      </c>
      <c r="JF606">
        <v>0</v>
      </c>
      <c r="JI606" t="s">
        <v>1042</v>
      </c>
      <c r="JJ606">
        <v>0</v>
      </c>
      <c r="JK606">
        <v>0</v>
      </c>
      <c r="JL606">
        <v>0</v>
      </c>
      <c r="JM606">
        <v>0</v>
      </c>
      <c r="JT606">
        <v>0</v>
      </c>
      <c r="JU606" t="s">
        <v>1042</v>
      </c>
      <c r="JW606">
        <v>0</v>
      </c>
      <c r="KA606">
        <v>0</v>
      </c>
      <c r="KF606">
        <v>0</v>
      </c>
      <c r="KG606">
        <v>0</v>
      </c>
      <c r="KH606">
        <v>0</v>
      </c>
      <c r="KI606">
        <v>0</v>
      </c>
      <c r="KS606" t="s">
        <v>1073</v>
      </c>
      <c r="KT606">
        <v>0</v>
      </c>
      <c r="KU606">
        <v>0</v>
      </c>
      <c r="KV606">
        <v>0</v>
      </c>
      <c r="KX606">
        <v>0</v>
      </c>
      <c r="KZ606">
        <v>0</v>
      </c>
      <c r="LF606">
        <v>0</v>
      </c>
      <c r="LH606">
        <v>0</v>
      </c>
      <c r="LI606">
        <v>0</v>
      </c>
    </row>
    <row r="607" spans="1:321" x14ac:dyDescent="0.35">
      <c r="A607">
        <v>1</v>
      </c>
      <c r="B607">
        <v>1400</v>
      </c>
      <c r="C607" t="s">
        <v>1150</v>
      </c>
      <c r="D607" t="s">
        <v>1089</v>
      </c>
      <c r="E607" t="s">
        <v>85</v>
      </c>
      <c r="F607">
        <v>1</v>
      </c>
      <c r="G607">
        <v>8890</v>
      </c>
      <c r="H607">
        <v>0</v>
      </c>
      <c r="I607" t="s">
        <v>994</v>
      </c>
      <c r="M607">
        <v>0</v>
      </c>
      <c r="N607">
        <v>0</v>
      </c>
      <c r="P607">
        <v>77</v>
      </c>
      <c r="Q607">
        <v>902</v>
      </c>
      <c r="R607">
        <v>0</v>
      </c>
      <c r="S607">
        <v>0</v>
      </c>
      <c r="W607" t="s">
        <v>1060</v>
      </c>
      <c r="X607">
        <v>0</v>
      </c>
      <c r="Z607">
        <v>10</v>
      </c>
      <c r="AA607">
        <v>0</v>
      </c>
      <c r="AB607">
        <v>0</v>
      </c>
      <c r="AC607">
        <v>0</v>
      </c>
      <c r="AD607" t="s">
        <v>1042</v>
      </c>
      <c r="AE607">
        <v>0</v>
      </c>
      <c r="AF607">
        <v>0</v>
      </c>
      <c r="AH607">
        <v>0</v>
      </c>
      <c r="AJ607">
        <v>0</v>
      </c>
      <c r="AL607">
        <v>0</v>
      </c>
      <c r="AM607">
        <v>0</v>
      </c>
      <c r="AN607">
        <v>11501008</v>
      </c>
      <c r="AO607">
        <v>0</v>
      </c>
      <c r="AP607">
        <v>1001</v>
      </c>
      <c r="AT607">
        <v>0</v>
      </c>
      <c r="AW607" t="s">
        <v>1053</v>
      </c>
      <c r="AX607">
        <v>0</v>
      </c>
      <c r="AY607" s="20">
        <v>44391</v>
      </c>
      <c r="BA607" s="20">
        <v>44391</v>
      </c>
      <c r="BB607" t="s">
        <v>1058</v>
      </c>
      <c r="BD607">
        <v>0</v>
      </c>
      <c r="BF607" t="s">
        <v>1044</v>
      </c>
      <c r="BG607" t="s">
        <v>1042</v>
      </c>
      <c r="BH607">
        <v>0</v>
      </c>
      <c r="BI607">
        <v>6</v>
      </c>
      <c r="BJ607">
        <v>0</v>
      </c>
      <c r="BK607">
        <v>0</v>
      </c>
      <c r="BM607" t="s">
        <v>1042</v>
      </c>
      <c r="BN607">
        <v>0</v>
      </c>
      <c r="BS607" t="s">
        <v>1043</v>
      </c>
      <c r="BT607" t="s">
        <v>1043</v>
      </c>
      <c r="BW607">
        <v>2</v>
      </c>
      <c r="BY607">
        <v>10</v>
      </c>
      <c r="CA607">
        <v>0</v>
      </c>
      <c r="CB607" t="s">
        <v>1043</v>
      </c>
      <c r="CE607" t="s">
        <v>1043</v>
      </c>
      <c r="CH607" t="s">
        <v>1043</v>
      </c>
      <c r="CN607" t="s">
        <v>1074</v>
      </c>
      <c r="CO607" t="s">
        <v>1043</v>
      </c>
      <c r="CP607">
        <v>1</v>
      </c>
      <c r="CQ607">
        <v>0</v>
      </c>
      <c r="CS607">
        <v>0</v>
      </c>
      <c r="CT607">
        <v>0</v>
      </c>
      <c r="CU607">
        <v>0</v>
      </c>
      <c r="CV607" t="s">
        <v>1045</v>
      </c>
      <c r="CW607">
        <v>0</v>
      </c>
      <c r="CX607">
        <v>0</v>
      </c>
      <c r="CY607">
        <v>0</v>
      </c>
      <c r="CZ607">
        <v>0</v>
      </c>
      <c r="DB607">
        <v>0</v>
      </c>
      <c r="DC607" t="s">
        <v>1043</v>
      </c>
      <c r="DF607" t="s">
        <v>1055</v>
      </c>
      <c r="DH607">
        <v>0</v>
      </c>
      <c r="DJ607">
        <v>0</v>
      </c>
      <c r="DK607" t="s">
        <v>1053</v>
      </c>
      <c r="DL607">
        <v>0</v>
      </c>
      <c r="DN607">
        <v>0</v>
      </c>
      <c r="DO607" t="s">
        <v>1042</v>
      </c>
      <c r="DP607">
        <v>0</v>
      </c>
      <c r="DQ607">
        <v>7</v>
      </c>
      <c r="DS607">
        <v>0</v>
      </c>
      <c r="DU607">
        <v>1</v>
      </c>
      <c r="DW607">
        <v>0</v>
      </c>
      <c r="DX607" t="s">
        <v>1043</v>
      </c>
      <c r="DY607">
        <v>0</v>
      </c>
      <c r="DZ607">
        <v>0</v>
      </c>
      <c r="EA607">
        <v>0</v>
      </c>
      <c r="ED607" t="s">
        <v>1045</v>
      </c>
      <c r="EE607">
        <v>0</v>
      </c>
      <c r="EF607">
        <v>0</v>
      </c>
      <c r="EQ607" t="s">
        <v>1044</v>
      </c>
      <c r="ES607" t="s">
        <v>1053</v>
      </c>
      <c r="ET607">
        <v>0</v>
      </c>
      <c r="EV607">
        <v>0</v>
      </c>
      <c r="EY607" t="s">
        <v>1052</v>
      </c>
      <c r="EZ607">
        <v>0</v>
      </c>
      <c r="FA607" t="s">
        <v>1043</v>
      </c>
      <c r="FB607">
        <v>0</v>
      </c>
      <c r="FC607">
        <v>0</v>
      </c>
      <c r="FE607" t="s">
        <v>1050</v>
      </c>
      <c r="FF607">
        <v>0</v>
      </c>
      <c r="FG607" t="s">
        <v>1050</v>
      </c>
      <c r="FJ607">
        <v>0</v>
      </c>
      <c r="FK607">
        <v>0</v>
      </c>
      <c r="FP607">
        <v>0</v>
      </c>
      <c r="FQ607" t="s">
        <v>1044</v>
      </c>
      <c r="FR607">
        <v>0</v>
      </c>
      <c r="FS607" t="s">
        <v>1043</v>
      </c>
      <c r="FX607" t="s">
        <v>1042</v>
      </c>
      <c r="FZ607" t="s">
        <v>1048</v>
      </c>
      <c r="GA607">
        <v>0</v>
      </c>
      <c r="GB607" t="s">
        <v>1042</v>
      </c>
      <c r="GE607">
        <v>0</v>
      </c>
      <c r="GG607">
        <v>0</v>
      </c>
      <c r="GN607">
        <v>0</v>
      </c>
      <c r="GO607" t="s">
        <v>1063</v>
      </c>
      <c r="GQ607">
        <v>0</v>
      </c>
      <c r="GU607">
        <v>0</v>
      </c>
      <c r="GY607" t="s">
        <v>1045</v>
      </c>
      <c r="HB607">
        <v>0</v>
      </c>
      <c r="HE607">
        <v>0</v>
      </c>
      <c r="HF607">
        <v>0</v>
      </c>
      <c r="HG607">
        <v>0</v>
      </c>
      <c r="HK607" t="s">
        <v>1042</v>
      </c>
      <c r="HM607" t="s">
        <v>1047</v>
      </c>
      <c r="HN607">
        <v>0</v>
      </c>
      <c r="HP607">
        <v>0</v>
      </c>
      <c r="HQ607">
        <v>0</v>
      </c>
      <c r="HR607" t="s">
        <v>1042</v>
      </c>
      <c r="HS607" t="s">
        <v>1043</v>
      </c>
      <c r="HT607">
        <v>0</v>
      </c>
      <c r="HU607">
        <v>0</v>
      </c>
      <c r="HV607" t="s">
        <v>1088</v>
      </c>
      <c r="HW607">
        <v>0</v>
      </c>
      <c r="HX607">
        <v>0</v>
      </c>
      <c r="HY607">
        <v>0</v>
      </c>
      <c r="HZ607" t="s">
        <v>1045</v>
      </c>
      <c r="IA607">
        <v>0</v>
      </c>
      <c r="IB607" t="s">
        <v>1045</v>
      </c>
      <c r="ID607" t="s">
        <v>1045</v>
      </c>
      <c r="IF607">
        <v>0</v>
      </c>
      <c r="IG607" t="s">
        <v>1042</v>
      </c>
      <c r="II607" t="s">
        <v>1042</v>
      </c>
      <c r="IR607" t="s">
        <v>1045</v>
      </c>
      <c r="IT607">
        <v>0</v>
      </c>
      <c r="IY607" t="s">
        <v>1044</v>
      </c>
      <c r="IZ607" t="s">
        <v>1043</v>
      </c>
      <c r="JA607" t="s">
        <v>1043</v>
      </c>
      <c r="JC607" t="s">
        <v>1043</v>
      </c>
      <c r="JE607">
        <v>0</v>
      </c>
      <c r="JF607">
        <v>0</v>
      </c>
      <c r="JI607" t="s">
        <v>1042</v>
      </c>
      <c r="JJ607">
        <v>0</v>
      </c>
      <c r="JK607">
        <v>0</v>
      </c>
      <c r="JL607">
        <v>0</v>
      </c>
      <c r="JM607">
        <v>0</v>
      </c>
      <c r="JQ607" t="s">
        <v>1043</v>
      </c>
      <c r="JT607">
        <v>0</v>
      </c>
      <c r="JU607" t="s">
        <v>1042</v>
      </c>
      <c r="JW607">
        <v>0</v>
      </c>
      <c r="KA607">
        <v>0</v>
      </c>
      <c r="KF607">
        <v>0</v>
      </c>
      <c r="KG607">
        <v>0</v>
      </c>
      <c r="KH607">
        <v>0</v>
      </c>
      <c r="KI607">
        <v>0</v>
      </c>
      <c r="KJ607" t="s">
        <v>1044</v>
      </c>
      <c r="KS607" t="s">
        <v>1073</v>
      </c>
      <c r="KT607">
        <v>0</v>
      </c>
      <c r="KU607">
        <v>0</v>
      </c>
      <c r="KV607">
        <v>0</v>
      </c>
      <c r="KX607">
        <v>0</v>
      </c>
      <c r="KY607" t="s">
        <v>1045</v>
      </c>
      <c r="KZ607">
        <v>0</v>
      </c>
      <c r="LF607">
        <v>0</v>
      </c>
      <c r="LH607">
        <v>0</v>
      </c>
      <c r="LI607">
        <v>0</v>
      </c>
    </row>
    <row r="608" spans="1:321" x14ac:dyDescent="0.35">
      <c r="A608">
        <v>1</v>
      </c>
      <c r="B608">
        <v>1401</v>
      </c>
      <c r="C608" t="s">
        <v>1149</v>
      </c>
      <c r="D608" t="s">
        <v>1089</v>
      </c>
      <c r="E608" t="s">
        <v>85</v>
      </c>
      <c r="F608">
        <v>1</v>
      </c>
      <c r="G608">
        <v>8890</v>
      </c>
      <c r="H608">
        <v>0</v>
      </c>
      <c r="I608" t="s">
        <v>994</v>
      </c>
      <c r="M608">
        <v>0</v>
      </c>
      <c r="N608">
        <v>0</v>
      </c>
      <c r="P608">
        <v>77</v>
      </c>
      <c r="Q608">
        <v>902</v>
      </c>
      <c r="R608">
        <v>0</v>
      </c>
      <c r="S608">
        <v>0</v>
      </c>
      <c r="W608" t="s">
        <v>1060</v>
      </c>
      <c r="X608">
        <v>0</v>
      </c>
      <c r="Z608">
        <v>5</v>
      </c>
      <c r="AA608">
        <v>0</v>
      </c>
      <c r="AB608">
        <v>0</v>
      </c>
      <c r="AC608">
        <v>0</v>
      </c>
      <c r="AD608" t="s">
        <v>1042</v>
      </c>
      <c r="AE608">
        <v>0</v>
      </c>
      <c r="AF608">
        <v>0</v>
      </c>
      <c r="AH608">
        <v>0</v>
      </c>
      <c r="AJ608">
        <v>0</v>
      </c>
      <c r="AL608">
        <v>0</v>
      </c>
      <c r="AM608">
        <v>0</v>
      </c>
      <c r="AN608">
        <v>11501008</v>
      </c>
      <c r="AO608">
        <v>0</v>
      </c>
      <c r="AP608">
        <v>1001</v>
      </c>
      <c r="AT608">
        <v>0</v>
      </c>
      <c r="AW608" t="s">
        <v>1053</v>
      </c>
      <c r="AX608">
        <v>0</v>
      </c>
      <c r="AY608" s="20">
        <v>44391</v>
      </c>
      <c r="BA608" s="20">
        <v>44391</v>
      </c>
      <c r="BB608" t="s">
        <v>1058</v>
      </c>
      <c r="BD608">
        <v>0</v>
      </c>
      <c r="BF608" t="s">
        <v>1044</v>
      </c>
      <c r="BG608" t="s">
        <v>1042</v>
      </c>
      <c r="BH608">
        <v>0</v>
      </c>
      <c r="BI608">
        <v>6</v>
      </c>
      <c r="BJ608">
        <v>0</v>
      </c>
      <c r="BK608">
        <v>0</v>
      </c>
      <c r="BM608" t="s">
        <v>1042</v>
      </c>
      <c r="BN608">
        <v>0</v>
      </c>
      <c r="BS608" t="s">
        <v>1043</v>
      </c>
      <c r="BT608" t="s">
        <v>1043</v>
      </c>
      <c r="BW608">
        <v>2</v>
      </c>
      <c r="BY608">
        <v>10</v>
      </c>
      <c r="CA608">
        <v>0</v>
      </c>
      <c r="CB608" t="s">
        <v>1043</v>
      </c>
      <c r="CE608" t="s">
        <v>1043</v>
      </c>
      <c r="CH608" t="s">
        <v>1043</v>
      </c>
      <c r="CN608" t="s">
        <v>1074</v>
      </c>
      <c r="CO608" t="s">
        <v>1043</v>
      </c>
      <c r="CP608">
        <v>1</v>
      </c>
      <c r="CQ608">
        <v>0</v>
      </c>
      <c r="CS608">
        <v>0</v>
      </c>
      <c r="CT608">
        <v>0</v>
      </c>
      <c r="CU608">
        <v>0</v>
      </c>
      <c r="CV608" t="s">
        <v>1045</v>
      </c>
      <c r="CW608">
        <v>0</v>
      </c>
      <c r="CX608">
        <v>0</v>
      </c>
      <c r="CY608">
        <v>0</v>
      </c>
      <c r="CZ608">
        <v>0</v>
      </c>
      <c r="DB608">
        <v>0</v>
      </c>
      <c r="DC608" t="s">
        <v>1043</v>
      </c>
      <c r="DF608" t="s">
        <v>1055</v>
      </c>
      <c r="DH608">
        <v>0</v>
      </c>
      <c r="DJ608">
        <v>0</v>
      </c>
      <c r="DK608" t="s">
        <v>1053</v>
      </c>
      <c r="DL608">
        <v>0</v>
      </c>
      <c r="DN608">
        <v>0</v>
      </c>
      <c r="DO608" t="s">
        <v>1042</v>
      </c>
      <c r="DP608">
        <v>0</v>
      </c>
      <c r="DQ608">
        <v>7</v>
      </c>
      <c r="DS608">
        <v>0</v>
      </c>
      <c r="DU608">
        <v>1</v>
      </c>
      <c r="DW608">
        <v>0</v>
      </c>
      <c r="DX608" t="s">
        <v>1043</v>
      </c>
      <c r="DY608">
        <v>0</v>
      </c>
      <c r="DZ608">
        <v>0</v>
      </c>
      <c r="EA608">
        <v>0</v>
      </c>
      <c r="ED608" t="s">
        <v>1045</v>
      </c>
      <c r="EE608">
        <v>0</v>
      </c>
      <c r="EF608">
        <v>0</v>
      </c>
      <c r="EQ608" t="s">
        <v>1044</v>
      </c>
      <c r="ES608" t="s">
        <v>1053</v>
      </c>
      <c r="ET608">
        <v>0</v>
      </c>
      <c r="EV608">
        <v>0</v>
      </c>
      <c r="EY608" t="s">
        <v>1052</v>
      </c>
      <c r="EZ608">
        <v>0</v>
      </c>
      <c r="FA608" t="s">
        <v>1043</v>
      </c>
      <c r="FB608">
        <v>0</v>
      </c>
      <c r="FC608">
        <v>0</v>
      </c>
      <c r="FE608" t="s">
        <v>1050</v>
      </c>
      <c r="FF608">
        <v>0</v>
      </c>
      <c r="FG608" t="s">
        <v>1050</v>
      </c>
      <c r="FJ608">
        <v>0</v>
      </c>
      <c r="FK608">
        <v>0</v>
      </c>
      <c r="FP608">
        <v>0</v>
      </c>
      <c r="FQ608" t="s">
        <v>1044</v>
      </c>
      <c r="FR608">
        <v>0</v>
      </c>
      <c r="FS608" t="s">
        <v>1043</v>
      </c>
      <c r="FX608" t="s">
        <v>1042</v>
      </c>
      <c r="FZ608" t="s">
        <v>1048</v>
      </c>
      <c r="GA608">
        <v>0</v>
      </c>
      <c r="GB608" t="s">
        <v>1042</v>
      </c>
      <c r="GE608">
        <v>0</v>
      </c>
      <c r="GG608">
        <v>0</v>
      </c>
      <c r="GN608">
        <v>0</v>
      </c>
      <c r="GO608" t="s">
        <v>1063</v>
      </c>
      <c r="GQ608">
        <v>0</v>
      </c>
      <c r="GU608">
        <v>0</v>
      </c>
      <c r="GY608" t="s">
        <v>1045</v>
      </c>
      <c r="HB608">
        <v>0</v>
      </c>
      <c r="HE608">
        <v>0</v>
      </c>
      <c r="HF608">
        <v>0</v>
      </c>
      <c r="HG608">
        <v>0</v>
      </c>
      <c r="HK608" t="s">
        <v>1042</v>
      </c>
      <c r="HM608" t="s">
        <v>1047</v>
      </c>
      <c r="HN608">
        <v>0</v>
      </c>
      <c r="HP608">
        <v>0</v>
      </c>
      <c r="HQ608">
        <v>0</v>
      </c>
      <c r="HR608" t="s">
        <v>1042</v>
      </c>
      <c r="HS608" t="s">
        <v>1043</v>
      </c>
      <c r="HT608">
        <v>0</v>
      </c>
      <c r="HU608">
        <v>0</v>
      </c>
      <c r="HV608" t="s">
        <v>1088</v>
      </c>
      <c r="HW608">
        <v>0</v>
      </c>
      <c r="HX608">
        <v>0</v>
      </c>
      <c r="HY608">
        <v>0</v>
      </c>
      <c r="HZ608" t="s">
        <v>1045</v>
      </c>
      <c r="IA608">
        <v>0</v>
      </c>
      <c r="IB608" t="s">
        <v>1045</v>
      </c>
      <c r="ID608" t="s">
        <v>1045</v>
      </c>
      <c r="IF608">
        <v>0</v>
      </c>
      <c r="IG608" t="s">
        <v>1042</v>
      </c>
      <c r="II608" t="s">
        <v>1042</v>
      </c>
      <c r="IR608" t="s">
        <v>1045</v>
      </c>
      <c r="IT608">
        <v>0</v>
      </c>
      <c r="IY608" t="s">
        <v>1044</v>
      </c>
      <c r="IZ608" t="s">
        <v>1043</v>
      </c>
      <c r="JA608" t="s">
        <v>1043</v>
      </c>
      <c r="JC608" t="s">
        <v>1043</v>
      </c>
      <c r="JE608">
        <v>0</v>
      </c>
      <c r="JF608">
        <v>0</v>
      </c>
      <c r="JI608" t="s">
        <v>1042</v>
      </c>
      <c r="JJ608">
        <v>0</v>
      </c>
      <c r="JK608">
        <v>0</v>
      </c>
      <c r="JL608">
        <v>0</v>
      </c>
      <c r="JM608">
        <v>0</v>
      </c>
      <c r="JQ608" t="s">
        <v>1043</v>
      </c>
      <c r="JT608">
        <v>0</v>
      </c>
      <c r="JU608" t="s">
        <v>1042</v>
      </c>
      <c r="JW608">
        <v>0</v>
      </c>
      <c r="KA608">
        <v>0</v>
      </c>
      <c r="KF608">
        <v>0</v>
      </c>
      <c r="KG608">
        <v>0</v>
      </c>
      <c r="KH608">
        <v>0</v>
      </c>
      <c r="KI608">
        <v>0</v>
      </c>
      <c r="KJ608" t="s">
        <v>1044</v>
      </c>
      <c r="KS608" t="s">
        <v>1073</v>
      </c>
      <c r="KT608">
        <v>0</v>
      </c>
      <c r="KU608">
        <v>0</v>
      </c>
      <c r="KV608">
        <v>0</v>
      </c>
      <c r="KX608">
        <v>0</v>
      </c>
      <c r="KY608" t="s">
        <v>1045</v>
      </c>
      <c r="KZ608">
        <v>0</v>
      </c>
      <c r="LF608">
        <v>0</v>
      </c>
      <c r="LH608">
        <v>0</v>
      </c>
      <c r="LI608">
        <v>0</v>
      </c>
    </row>
    <row r="609" spans="1:321" x14ac:dyDescent="0.35">
      <c r="A609">
        <v>1</v>
      </c>
      <c r="B609">
        <v>1402</v>
      </c>
      <c r="C609" t="s">
        <v>1148</v>
      </c>
      <c r="D609" t="s">
        <v>1089</v>
      </c>
      <c r="E609" t="s">
        <v>85</v>
      </c>
      <c r="F609">
        <v>1</v>
      </c>
      <c r="G609">
        <v>8890</v>
      </c>
      <c r="H609">
        <v>0</v>
      </c>
      <c r="I609" t="s">
        <v>994</v>
      </c>
      <c r="M609">
        <v>0</v>
      </c>
      <c r="N609">
        <v>0</v>
      </c>
      <c r="P609">
        <v>77</v>
      </c>
      <c r="Q609">
        <v>902</v>
      </c>
      <c r="R609">
        <v>0</v>
      </c>
      <c r="S609">
        <v>0</v>
      </c>
      <c r="W609" t="s">
        <v>1060</v>
      </c>
      <c r="X609">
        <v>0</v>
      </c>
      <c r="Z609">
        <v>5</v>
      </c>
      <c r="AA609">
        <v>0</v>
      </c>
      <c r="AB609">
        <v>0</v>
      </c>
      <c r="AC609">
        <v>0</v>
      </c>
      <c r="AD609" t="s">
        <v>1042</v>
      </c>
      <c r="AE609">
        <v>0</v>
      </c>
      <c r="AF609">
        <v>0</v>
      </c>
      <c r="AH609">
        <v>0</v>
      </c>
      <c r="AJ609">
        <v>0</v>
      </c>
      <c r="AL609">
        <v>0</v>
      </c>
      <c r="AM609">
        <v>0</v>
      </c>
      <c r="AN609">
        <v>11501008</v>
      </c>
      <c r="AO609">
        <v>0</v>
      </c>
      <c r="AP609">
        <v>1001</v>
      </c>
      <c r="AT609">
        <v>0</v>
      </c>
      <c r="AW609" t="s">
        <v>1053</v>
      </c>
      <c r="AX609">
        <v>0</v>
      </c>
      <c r="AY609" s="20">
        <v>44391</v>
      </c>
      <c r="BA609" s="20">
        <v>44391</v>
      </c>
      <c r="BB609" t="s">
        <v>1058</v>
      </c>
      <c r="BD609">
        <v>0</v>
      </c>
      <c r="BF609" t="s">
        <v>1044</v>
      </c>
      <c r="BG609" t="s">
        <v>1042</v>
      </c>
      <c r="BH609">
        <v>0</v>
      </c>
      <c r="BI609">
        <v>6</v>
      </c>
      <c r="BJ609">
        <v>0</v>
      </c>
      <c r="BK609">
        <v>0</v>
      </c>
      <c r="BM609" t="s">
        <v>1042</v>
      </c>
      <c r="BN609">
        <v>0</v>
      </c>
      <c r="BS609" t="s">
        <v>1043</v>
      </c>
      <c r="BT609" t="s">
        <v>1043</v>
      </c>
      <c r="BW609">
        <v>2</v>
      </c>
      <c r="BY609">
        <v>10</v>
      </c>
      <c r="CA609">
        <v>0</v>
      </c>
      <c r="CB609" t="s">
        <v>1043</v>
      </c>
      <c r="CE609" t="s">
        <v>1043</v>
      </c>
      <c r="CH609" t="s">
        <v>1043</v>
      </c>
      <c r="CN609" t="s">
        <v>1074</v>
      </c>
      <c r="CO609" t="s">
        <v>1043</v>
      </c>
      <c r="CP609">
        <v>1</v>
      </c>
      <c r="CQ609">
        <v>0</v>
      </c>
      <c r="CS609">
        <v>0</v>
      </c>
      <c r="CT609">
        <v>0</v>
      </c>
      <c r="CU609">
        <v>0</v>
      </c>
      <c r="CV609" t="s">
        <v>1045</v>
      </c>
      <c r="CW609">
        <v>0</v>
      </c>
      <c r="CX609">
        <v>0</v>
      </c>
      <c r="CY609">
        <v>0</v>
      </c>
      <c r="CZ609">
        <v>0</v>
      </c>
      <c r="DB609">
        <v>0</v>
      </c>
      <c r="DC609" t="s">
        <v>1043</v>
      </c>
      <c r="DF609" t="s">
        <v>1055</v>
      </c>
      <c r="DH609">
        <v>0</v>
      </c>
      <c r="DJ609">
        <v>0</v>
      </c>
      <c r="DK609" t="s">
        <v>1053</v>
      </c>
      <c r="DL609">
        <v>0</v>
      </c>
      <c r="DN609">
        <v>0</v>
      </c>
      <c r="DO609" t="s">
        <v>1042</v>
      </c>
      <c r="DP609">
        <v>0</v>
      </c>
      <c r="DQ609">
        <v>7</v>
      </c>
      <c r="DS609">
        <v>0</v>
      </c>
      <c r="DU609">
        <v>1</v>
      </c>
      <c r="DW609">
        <v>0</v>
      </c>
      <c r="DX609" t="s">
        <v>1043</v>
      </c>
      <c r="DY609">
        <v>0</v>
      </c>
      <c r="DZ609">
        <v>0</v>
      </c>
      <c r="EA609">
        <v>0</v>
      </c>
      <c r="ED609" t="s">
        <v>1045</v>
      </c>
      <c r="EE609">
        <v>0</v>
      </c>
      <c r="EF609">
        <v>0</v>
      </c>
      <c r="EQ609" t="s">
        <v>1044</v>
      </c>
      <c r="ES609" t="s">
        <v>1053</v>
      </c>
      <c r="ET609">
        <v>0</v>
      </c>
      <c r="EV609">
        <v>0</v>
      </c>
      <c r="EY609" t="s">
        <v>1052</v>
      </c>
      <c r="EZ609">
        <v>0</v>
      </c>
      <c r="FA609" t="s">
        <v>1043</v>
      </c>
      <c r="FB609">
        <v>0</v>
      </c>
      <c r="FC609">
        <v>0</v>
      </c>
      <c r="FE609" t="s">
        <v>1050</v>
      </c>
      <c r="FF609">
        <v>0</v>
      </c>
      <c r="FG609" t="s">
        <v>1050</v>
      </c>
      <c r="FJ609">
        <v>0</v>
      </c>
      <c r="FK609">
        <v>0</v>
      </c>
      <c r="FP609">
        <v>0</v>
      </c>
      <c r="FQ609" t="s">
        <v>1044</v>
      </c>
      <c r="FR609">
        <v>0</v>
      </c>
      <c r="FS609" t="s">
        <v>1043</v>
      </c>
      <c r="FX609" t="s">
        <v>1042</v>
      </c>
      <c r="FZ609" t="s">
        <v>1048</v>
      </c>
      <c r="GA609">
        <v>0</v>
      </c>
      <c r="GB609" t="s">
        <v>1042</v>
      </c>
      <c r="GE609">
        <v>0</v>
      </c>
      <c r="GG609">
        <v>0</v>
      </c>
      <c r="GN609">
        <v>0</v>
      </c>
      <c r="GO609" t="s">
        <v>1063</v>
      </c>
      <c r="GQ609">
        <v>0</v>
      </c>
      <c r="GU609">
        <v>0</v>
      </c>
      <c r="GY609" t="s">
        <v>1045</v>
      </c>
      <c r="HB609">
        <v>0</v>
      </c>
      <c r="HE609">
        <v>0</v>
      </c>
      <c r="HF609">
        <v>0</v>
      </c>
      <c r="HG609">
        <v>0</v>
      </c>
      <c r="HK609" t="s">
        <v>1042</v>
      </c>
      <c r="HM609" t="s">
        <v>1047</v>
      </c>
      <c r="HN609">
        <v>0</v>
      </c>
      <c r="HP609">
        <v>0</v>
      </c>
      <c r="HQ609">
        <v>0</v>
      </c>
      <c r="HR609" t="s">
        <v>1042</v>
      </c>
      <c r="HS609" t="s">
        <v>1043</v>
      </c>
      <c r="HT609">
        <v>0</v>
      </c>
      <c r="HU609">
        <v>0</v>
      </c>
      <c r="HV609" t="s">
        <v>1088</v>
      </c>
      <c r="HW609">
        <v>0</v>
      </c>
      <c r="HX609">
        <v>0</v>
      </c>
      <c r="HY609">
        <v>0</v>
      </c>
      <c r="HZ609" t="s">
        <v>1045</v>
      </c>
      <c r="IA609">
        <v>0</v>
      </c>
      <c r="IB609" t="s">
        <v>1045</v>
      </c>
      <c r="ID609" t="s">
        <v>1045</v>
      </c>
      <c r="IF609">
        <v>0</v>
      </c>
      <c r="IG609" t="s">
        <v>1042</v>
      </c>
      <c r="II609" t="s">
        <v>1042</v>
      </c>
      <c r="IR609" t="s">
        <v>1045</v>
      </c>
      <c r="IT609">
        <v>0</v>
      </c>
      <c r="IY609" t="s">
        <v>1044</v>
      </c>
      <c r="IZ609" t="s">
        <v>1043</v>
      </c>
      <c r="JA609" t="s">
        <v>1043</v>
      </c>
      <c r="JC609" t="s">
        <v>1043</v>
      </c>
      <c r="JE609">
        <v>0</v>
      </c>
      <c r="JF609">
        <v>0</v>
      </c>
      <c r="JI609" t="s">
        <v>1042</v>
      </c>
      <c r="JJ609">
        <v>0</v>
      </c>
      <c r="JK609">
        <v>0</v>
      </c>
      <c r="JL609">
        <v>0</v>
      </c>
      <c r="JM609">
        <v>0</v>
      </c>
      <c r="JQ609" t="s">
        <v>1043</v>
      </c>
      <c r="JT609">
        <v>0</v>
      </c>
      <c r="JU609" t="s">
        <v>1042</v>
      </c>
      <c r="JW609">
        <v>0</v>
      </c>
      <c r="KA609">
        <v>0</v>
      </c>
      <c r="KF609">
        <v>0</v>
      </c>
      <c r="KG609">
        <v>0</v>
      </c>
      <c r="KH609">
        <v>0</v>
      </c>
      <c r="KI609">
        <v>0</v>
      </c>
      <c r="KJ609" t="s">
        <v>1044</v>
      </c>
      <c r="KS609" t="s">
        <v>1073</v>
      </c>
      <c r="KT609">
        <v>0</v>
      </c>
      <c r="KU609">
        <v>0</v>
      </c>
      <c r="KV609">
        <v>0</v>
      </c>
      <c r="KX609">
        <v>0</v>
      </c>
      <c r="KY609" t="s">
        <v>1045</v>
      </c>
      <c r="KZ609">
        <v>0</v>
      </c>
      <c r="LF609">
        <v>0</v>
      </c>
      <c r="LH609">
        <v>0</v>
      </c>
      <c r="LI609">
        <v>0</v>
      </c>
    </row>
    <row r="610" spans="1:321" x14ac:dyDescent="0.35">
      <c r="A610">
        <v>1</v>
      </c>
      <c r="B610">
        <v>1403</v>
      </c>
      <c r="C610" t="s">
        <v>1147</v>
      </c>
      <c r="D610" t="s">
        <v>1089</v>
      </c>
      <c r="E610" t="s">
        <v>85</v>
      </c>
      <c r="F610">
        <v>1</v>
      </c>
      <c r="G610">
        <v>8890</v>
      </c>
      <c r="H610">
        <v>0</v>
      </c>
      <c r="I610" t="s">
        <v>994</v>
      </c>
      <c r="M610">
        <v>0</v>
      </c>
      <c r="N610">
        <v>0</v>
      </c>
      <c r="P610">
        <v>77</v>
      </c>
      <c r="Q610">
        <v>902</v>
      </c>
      <c r="R610">
        <v>0</v>
      </c>
      <c r="S610">
        <v>0</v>
      </c>
      <c r="W610" t="s">
        <v>1060</v>
      </c>
      <c r="X610">
        <v>0</v>
      </c>
      <c r="Z610">
        <v>10</v>
      </c>
      <c r="AA610">
        <v>0</v>
      </c>
      <c r="AB610">
        <v>0</v>
      </c>
      <c r="AC610">
        <v>0</v>
      </c>
      <c r="AD610" t="s">
        <v>1042</v>
      </c>
      <c r="AE610">
        <v>0</v>
      </c>
      <c r="AF610">
        <v>0</v>
      </c>
      <c r="AH610">
        <v>0</v>
      </c>
      <c r="AJ610">
        <v>0</v>
      </c>
      <c r="AL610">
        <v>0</v>
      </c>
      <c r="AM610">
        <v>0</v>
      </c>
      <c r="AN610">
        <v>11501008</v>
      </c>
      <c r="AO610">
        <v>0</v>
      </c>
      <c r="AP610">
        <v>1001</v>
      </c>
      <c r="AT610">
        <v>0</v>
      </c>
      <c r="AW610" t="s">
        <v>1053</v>
      </c>
      <c r="AX610">
        <v>0</v>
      </c>
      <c r="AY610" s="20">
        <v>44391</v>
      </c>
      <c r="BA610" s="20">
        <v>44391</v>
      </c>
      <c r="BB610" t="s">
        <v>1058</v>
      </c>
      <c r="BD610">
        <v>0</v>
      </c>
      <c r="BF610" t="s">
        <v>1044</v>
      </c>
      <c r="BG610" t="s">
        <v>1042</v>
      </c>
      <c r="BH610">
        <v>0</v>
      </c>
      <c r="BI610">
        <v>6</v>
      </c>
      <c r="BJ610">
        <v>0</v>
      </c>
      <c r="BK610">
        <v>0</v>
      </c>
      <c r="BM610" t="s">
        <v>1042</v>
      </c>
      <c r="BN610">
        <v>0</v>
      </c>
      <c r="BS610" t="s">
        <v>1043</v>
      </c>
      <c r="BT610" t="s">
        <v>1043</v>
      </c>
      <c r="BW610">
        <v>2</v>
      </c>
      <c r="BY610">
        <v>10</v>
      </c>
      <c r="CA610">
        <v>0</v>
      </c>
      <c r="CB610" t="s">
        <v>1043</v>
      </c>
      <c r="CE610" t="s">
        <v>1043</v>
      </c>
      <c r="CH610" t="s">
        <v>1043</v>
      </c>
      <c r="CN610" t="s">
        <v>1074</v>
      </c>
      <c r="CO610" t="s">
        <v>1043</v>
      </c>
      <c r="CP610">
        <v>1</v>
      </c>
      <c r="CQ610">
        <v>0</v>
      </c>
      <c r="CS610">
        <v>0</v>
      </c>
      <c r="CT610">
        <v>0</v>
      </c>
      <c r="CU610">
        <v>0</v>
      </c>
      <c r="CV610" t="s">
        <v>1045</v>
      </c>
      <c r="CW610">
        <v>0</v>
      </c>
      <c r="CX610">
        <v>0</v>
      </c>
      <c r="CY610">
        <v>0</v>
      </c>
      <c r="CZ610">
        <v>0</v>
      </c>
      <c r="DB610">
        <v>0</v>
      </c>
      <c r="DC610" t="s">
        <v>1043</v>
      </c>
      <c r="DF610" t="s">
        <v>1055</v>
      </c>
      <c r="DH610">
        <v>0</v>
      </c>
      <c r="DJ610">
        <v>0</v>
      </c>
      <c r="DK610" t="s">
        <v>1053</v>
      </c>
      <c r="DL610">
        <v>0</v>
      </c>
      <c r="DN610">
        <v>0</v>
      </c>
      <c r="DO610" t="s">
        <v>1042</v>
      </c>
      <c r="DP610">
        <v>0</v>
      </c>
      <c r="DQ610">
        <v>7</v>
      </c>
      <c r="DS610">
        <v>0</v>
      </c>
      <c r="DU610">
        <v>1</v>
      </c>
      <c r="DW610">
        <v>0</v>
      </c>
      <c r="DX610" t="s">
        <v>1043</v>
      </c>
      <c r="DY610">
        <v>0</v>
      </c>
      <c r="DZ610">
        <v>0</v>
      </c>
      <c r="EA610">
        <v>0</v>
      </c>
      <c r="ED610" t="s">
        <v>1045</v>
      </c>
      <c r="EE610">
        <v>0</v>
      </c>
      <c r="EF610">
        <v>0</v>
      </c>
      <c r="EQ610" t="s">
        <v>1044</v>
      </c>
      <c r="ES610" t="s">
        <v>1053</v>
      </c>
      <c r="ET610">
        <v>0</v>
      </c>
      <c r="EV610">
        <v>0</v>
      </c>
      <c r="EY610" t="s">
        <v>1052</v>
      </c>
      <c r="EZ610">
        <v>0</v>
      </c>
      <c r="FA610" t="s">
        <v>1043</v>
      </c>
      <c r="FB610">
        <v>0</v>
      </c>
      <c r="FC610">
        <v>0</v>
      </c>
      <c r="FE610" t="s">
        <v>1050</v>
      </c>
      <c r="FF610">
        <v>0</v>
      </c>
      <c r="FG610" t="s">
        <v>1050</v>
      </c>
      <c r="FJ610">
        <v>0</v>
      </c>
      <c r="FK610">
        <v>0</v>
      </c>
      <c r="FP610">
        <v>0</v>
      </c>
      <c r="FQ610" t="s">
        <v>1044</v>
      </c>
      <c r="FR610">
        <v>0</v>
      </c>
      <c r="FS610" t="s">
        <v>1043</v>
      </c>
      <c r="FX610" t="s">
        <v>1042</v>
      </c>
      <c r="FZ610" t="s">
        <v>1048</v>
      </c>
      <c r="GA610">
        <v>0</v>
      </c>
      <c r="GB610" t="s">
        <v>1042</v>
      </c>
      <c r="GE610">
        <v>0</v>
      </c>
      <c r="GG610">
        <v>0</v>
      </c>
      <c r="GN610">
        <v>0</v>
      </c>
      <c r="GO610" t="s">
        <v>1063</v>
      </c>
      <c r="GQ610">
        <v>0</v>
      </c>
      <c r="GU610">
        <v>0</v>
      </c>
      <c r="GY610" t="s">
        <v>1045</v>
      </c>
      <c r="HB610">
        <v>0</v>
      </c>
      <c r="HE610">
        <v>0</v>
      </c>
      <c r="HF610">
        <v>0</v>
      </c>
      <c r="HG610">
        <v>0</v>
      </c>
      <c r="HK610" t="s">
        <v>1042</v>
      </c>
      <c r="HM610" t="s">
        <v>1047</v>
      </c>
      <c r="HN610">
        <v>0</v>
      </c>
      <c r="HP610">
        <v>0</v>
      </c>
      <c r="HQ610">
        <v>0</v>
      </c>
      <c r="HR610" t="s">
        <v>1042</v>
      </c>
      <c r="HS610" t="s">
        <v>1043</v>
      </c>
      <c r="HT610">
        <v>0</v>
      </c>
      <c r="HU610">
        <v>0</v>
      </c>
      <c r="HV610" t="s">
        <v>1088</v>
      </c>
      <c r="HW610">
        <v>0</v>
      </c>
      <c r="HX610">
        <v>0</v>
      </c>
      <c r="HY610">
        <v>0</v>
      </c>
      <c r="HZ610" t="s">
        <v>1045</v>
      </c>
      <c r="IA610">
        <v>0</v>
      </c>
      <c r="IB610" t="s">
        <v>1045</v>
      </c>
      <c r="ID610" t="s">
        <v>1045</v>
      </c>
      <c r="IF610">
        <v>0</v>
      </c>
      <c r="IG610" t="s">
        <v>1042</v>
      </c>
      <c r="II610" t="s">
        <v>1042</v>
      </c>
      <c r="IR610" t="s">
        <v>1045</v>
      </c>
      <c r="IT610">
        <v>0</v>
      </c>
      <c r="IY610" t="s">
        <v>1044</v>
      </c>
      <c r="IZ610" t="s">
        <v>1043</v>
      </c>
      <c r="JA610" t="s">
        <v>1043</v>
      </c>
      <c r="JC610" t="s">
        <v>1043</v>
      </c>
      <c r="JE610">
        <v>0</v>
      </c>
      <c r="JF610">
        <v>0</v>
      </c>
      <c r="JI610" t="s">
        <v>1042</v>
      </c>
      <c r="JJ610">
        <v>0</v>
      </c>
      <c r="JK610">
        <v>0</v>
      </c>
      <c r="JL610">
        <v>0</v>
      </c>
      <c r="JM610">
        <v>0</v>
      </c>
      <c r="JQ610" t="s">
        <v>1043</v>
      </c>
      <c r="JT610">
        <v>0</v>
      </c>
      <c r="JU610" t="s">
        <v>1042</v>
      </c>
      <c r="JW610">
        <v>0</v>
      </c>
      <c r="KA610">
        <v>0</v>
      </c>
      <c r="KF610">
        <v>0</v>
      </c>
      <c r="KG610">
        <v>0</v>
      </c>
      <c r="KH610">
        <v>0</v>
      </c>
      <c r="KI610">
        <v>0</v>
      </c>
      <c r="KJ610" t="s">
        <v>1044</v>
      </c>
      <c r="KS610" t="s">
        <v>1073</v>
      </c>
      <c r="KT610">
        <v>0</v>
      </c>
      <c r="KU610">
        <v>0</v>
      </c>
      <c r="KV610">
        <v>0</v>
      </c>
      <c r="KX610">
        <v>0</v>
      </c>
      <c r="KY610" t="s">
        <v>1045</v>
      </c>
      <c r="KZ610">
        <v>0</v>
      </c>
      <c r="LF610">
        <v>0</v>
      </c>
      <c r="LH610">
        <v>0</v>
      </c>
      <c r="LI610">
        <v>0</v>
      </c>
    </row>
    <row r="611" spans="1:321" x14ac:dyDescent="0.35">
      <c r="A611">
        <v>1</v>
      </c>
      <c r="B611">
        <v>1404</v>
      </c>
      <c r="C611" t="s">
        <v>1146</v>
      </c>
      <c r="D611" t="s">
        <v>1089</v>
      </c>
      <c r="E611" t="s">
        <v>85</v>
      </c>
      <c r="F611">
        <v>1</v>
      </c>
      <c r="G611">
        <v>8890</v>
      </c>
      <c r="H611">
        <v>0</v>
      </c>
      <c r="I611" t="s">
        <v>994</v>
      </c>
      <c r="M611">
        <v>0</v>
      </c>
      <c r="N611">
        <v>0</v>
      </c>
      <c r="P611">
        <v>77</v>
      </c>
      <c r="Q611">
        <v>902</v>
      </c>
      <c r="R611">
        <v>0</v>
      </c>
      <c r="S611">
        <v>0</v>
      </c>
      <c r="W611" t="s">
        <v>1060</v>
      </c>
      <c r="X611">
        <v>0</v>
      </c>
      <c r="Z611">
        <v>10</v>
      </c>
      <c r="AA611">
        <v>0</v>
      </c>
      <c r="AB611">
        <v>0</v>
      </c>
      <c r="AC611">
        <v>0</v>
      </c>
      <c r="AD611" t="s">
        <v>1042</v>
      </c>
      <c r="AE611">
        <v>0</v>
      </c>
      <c r="AF611">
        <v>0</v>
      </c>
      <c r="AH611">
        <v>0</v>
      </c>
      <c r="AJ611">
        <v>0</v>
      </c>
      <c r="AL611">
        <v>0</v>
      </c>
      <c r="AM611">
        <v>0</v>
      </c>
      <c r="AN611">
        <v>11501008</v>
      </c>
      <c r="AO611">
        <v>0</v>
      </c>
      <c r="AP611">
        <v>1001</v>
      </c>
      <c r="AT611">
        <v>0</v>
      </c>
      <c r="AW611" t="s">
        <v>1053</v>
      </c>
      <c r="AX611">
        <v>0</v>
      </c>
      <c r="AY611" s="20">
        <v>44391</v>
      </c>
      <c r="BA611" s="20">
        <v>44391</v>
      </c>
      <c r="BB611" t="s">
        <v>1058</v>
      </c>
      <c r="BD611">
        <v>0</v>
      </c>
      <c r="BF611" t="s">
        <v>1044</v>
      </c>
      <c r="BG611" t="s">
        <v>1042</v>
      </c>
      <c r="BH611">
        <v>0</v>
      </c>
      <c r="BI611">
        <v>6</v>
      </c>
      <c r="BJ611">
        <v>0</v>
      </c>
      <c r="BK611">
        <v>0</v>
      </c>
      <c r="BM611" t="s">
        <v>1042</v>
      </c>
      <c r="BN611">
        <v>0</v>
      </c>
      <c r="BS611" t="s">
        <v>1043</v>
      </c>
      <c r="BT611" t="s">
        <v>1043</v>
      </c>
      <c r="BW611">
        <v>2</v>
      </c>
      <c r="BY611">
        <v>10</v>
      </c>
      <c r="CA611">
        <v>0</v>
      </c>
      <c r="CB611" t="s">
        <v>1043</v>
      </c>
      <c r="CE611" t="s">
        <v>1043</v>
      </c>
      <c r="CH611" t="s">
        <v>1043</v>
      </c>
      <c r="CN611" t="s">
        <v>1074</v>
      </c>
      <c r="CO611" t="s">
        <v>1043</v>
      </c>
      <c r="CP611">
        <v>1</v>
      </c>
      <c r="CQ611">
        <v>0</v>
      </c>
      <c r="CS611">
        <v>0</v>
      </c>
      <c r="CT611">
        <v>0</v>
      </c>
      <c r="CU611">
        <v>0</v>
      </c>
      <c r="CV611" t="s">
        <v>1045</v>
      </c>
      <c r="CW611">
        <v>0</v>
      </c>
      <c r="CX611">
        <v>0</v>
      </c>
      <c r="CY611">
        <v>0</v>
      </c>
      <c r="CZ611">
        <v>0</v>
      </c>
      <c r="DB611">
        <v>0</v>
      </c>
      <c r="DC611" t="s">
        <v>1043</v>
      </c>
      <c r="DF611" t="s">
        <v>1055</v>
      </c>
      <c r="DH611">
        <v>0</v>
      </c>
      <c r="DJ611">
        <v>0</v>
      </c>
      <c r="DK611" t="s">
        <v>1053</v>
      </c>
      <c r="DL611">
        <v>0</v>
      </c>
      <c r="DN611">
        <v>0</v>
      </c>
      <c r="DO611" t="s">
        <v>1042</v>
      </c>
      <c r="DP611">
        <v>0</v>
      </c>
      <c r="DQ611">
        <v>7</v>
      </c>
      <c r="DS611">
        <v>0</v>
      </c>
      <c r="DU611">
        <v>1</v>
      </c>
      <c r="DW611">
        <v>0</v>
      </c>
      <c r="DX611" t="s">
        <v>1043</v>
      </c>
      <c r="DY611">
        <v>0</v>
      </c>
      <c r="DZ611">
        <v>0</v>
      </c>
      <c r="EA611">
        <v>0</v>
      </c>
      <c r="ED611" t="s">
        <v>1045</v>
      </c>
      <c r="EE611">
        <v>0</v>
      </c>
      <c r="EF611">
        <v>0</v>
      </c>
      <c r="EQ611" t="s">
        <v>1044</v>
      </c>
      <c r="ES611" t="s">
        <v>1053</v>
      </c>
      <c r="ET611">
        <v>0</v>
      </c>
      <c r="EV611">
        <v>0</v>
      </c>
      <c r="EY611" t="s">
        <v>1052</v>
      </c>
      <c r="EZ611">
        <v>0</v>
      </c>
      <c r="FA611" t="s">
        <v>1043</v>
      </c>
      <c r="FB611">
        <v>0</v>
      </c>
      <c r="FC611">
        <v>0</v>
      </c>
      <c r="FE611" t="s">
        <v>1050</v>
      </c>
      <c r="FF611">
        <v>0</v>
      </c>
      <c r="FG611" t="s">
        <v>1050</v>
      </c>
      <c r="FJ611">
        <v>0</v>
      </c>
      <c r="FK611">
        <v>0</v>
      </c>
      <c r="FP611">
        <v>0</v>
      </c>
      <c r="FQ611" t="s">
        <v>1044</v>
      </c>
      <c r="FR611">
        <v>0</v>
      </c>
      <c r="FS611" t="s">
        <v>1043</v>
      </c>
      <c r="FX611" t="s">
        <v>1042</v>
      </c>
      <c r="FZ611" t="s">
        <v>1048</v>
      </c>
      <c r="GA611">
        <v>0</v>
      </c>
      <c r="GB611" t="s">
        <v>1042</v>
      </c>
      <c r="GE611">
        <v>0</v>
      </c>
      <c r="GG611">
        <v>0</v>
      </c>
      <c r="GN611">
        <v>0</v>
      </c>
      <c r="GO611" t="s">
        <v>1063</v>
      </c>
      <c r="GQ611">
        <v>0</v>
      </c>
      <c r="GU611">
        <v>0</v>
      </c>
      <c r="GY611" t="s">
        <v>1045</v>
      </c>
      <c r="HB611">
        <v>0</v>
      </c>
      <c r="HE611">
        <v>0</v>
      </c>
      <c r="HF611">
        <v>0</v>
      </c>
      <c r="HG611">
        <v>0</v>
      </c>
      <c r="HK611" t="s">
        <v>1042</v>
      </c>
      <c r="HM611" t="s">
        <v>1047</v>
      </c>
      <c r="HN611">
        <v>0</v>
      </c>
      <c r="HP611">
        <v>0</v>
      </c>
      <c r="HQ611">
        <v>0</v>
      </c>
      <c r="HR611" t="s">
        <v>1042</v>
      </c>
      <c r="HS611" t="s">
        <v>1043</v>
      </c>
      <c r="HT611">
        <v>0</v>
      </c>
      <c r="HU611">
        <v>0</v>
      </c>
      <c r="HV611" t="s">
        <v>1088</v>
      </c>
      <c r="HW611">
        <v>0</v>
      </c>
      <c r="HX611">
        <v>0</v>
      </c>
      <c r="HY611">
        <v>0</v>
      </c>
      <c r="HZ611" t="s">
        <v>1045</v>
      </c>
      <c r="IA611">
        <v>0</v>
      </c>
      <c r="IB611" t="s">
        <v>1045</v>
      </c>
      <c r="ID611" t="s">
        <v>1045</v>
      </c>
      <c r="IF611">
        <v>0</v>
      </c>
      <c r="IG611" t="s">
        <v>1042</v>
      </c>
      <c r="II611" t="s">
        <v>1042</v>
      </c>
      <c r="IR611" t="s">
        <v>1045</v>
      </c>
      <c r="IT611">
        <v>0</v>
      </c>
      <c r="IY611" t="s">
        <v>1044</v>
      </c>
      <c r="IZ611" t="s">
        <v>1043</v>
      </c>
      <c r="JA611" t="s">
        <v>1043</v>
      </c>
      <c r="JC611" t="s">
        <v>1043</v>
      </c>
      <c r="JE611">
        <v>0</v>
      </c>
      <c r="JF611">
        <v>0</v>
      </c>
      <c r="JI611" t="s">
        <v>1042</v>
      </c>
      <c r="JJ611">
        <v>0</v>
      </c>
      <c r="JK611">
        <v>0</v>
      </c>
      <c r="JL611">
        <v>0</v>
      </c>
      <c r="JM611">
        <v>0</v>
      </c>
      <c r="JQ611" t="s">
        <v>1043</v>
      </c>
      <c r="JT611">
        <v>0</v>
      </c>
      <c r="JU611" t="s">
        <v>1042</v>
      </c>
      <c r="JW611">
        <v>0</v>
      </c>
      <c r="KA611">
        <v>0</v>
      </c>
      <c r="KF611">
        <v>0</v>
      </c>
      <c r="KG611">
        <v>0</v>
      </c>
      <c r="KH611">
        <v>0</v>
      </c>
      <c r="KI611">
        <v>0</v>
      </c>
      <c r="KJ611" t="s">
        <v>1044</v>
      </c>
      <c r="KS611" t="s">
        <v>1073</v>
      </c>
      <c r="KT611">
        <v>0</v>
      </c>
      <c r="KU611">
        <v>0</v>
      </c>
      <c r="KV611">
        <v>0</v>
      </c>
      <c r="KX611">
        <v>0</v>
      </c>
      <c r="KY611" t="s">
        <v>1045</v>
      </c>
      <c r="KZ611">
        <v>0</v>
      </c>
      <c r="LF611">
        <v>0</v>
      </c>
      <c r="LH611">
        <v>0</v>
      </c>
      <c r="LI611">
        <v>0</v>
      </c>
    </row>
    <row r="612" spans="1:321" x14ac:dyDescent="0.35">
      <c r="A612">
        <v>1</v>
      </c>
      <c r="B612">
        <v>1405</v>
      </c>
      <c r="C612" t="s">
        <v>1145</v>
      </c>
      <c r="D612" t="s">
        <v>1089</v>
      </c>
      <c r="E612" t="s">
        <v>85</v>
      </c>
      <c r="F612">
        <v>1</v>
      </c>
      <c r="G612">
        <v>8890</v>
      </c>
      <c r="H612">
        <v>0</v>
      </c>
      <c r="I612" t="s">
        <v>994</v>
      </c>
      <c r="M612">
        <v>0</v>
      </c>
      <c r="N612">
        <v>0</v>
      </c>
      <c r="P612">
        <v>77</v>
      </c>
      <c r="Q612">
        <v>902</v>
      </c>
      <c r="R612">
        <v>0</v>
      </c>
      <c r="S612">
        <v>0</v>
      </c>
      <c r="W612" t="s">
        <v>1060</v>
      </c>
      <c r="X612">
        <v>0</v>
      </c>
      <c r="Z612">
        <v>1</v>
      </c>
      <c r="AA612">
        <v>0</v>
      </c>
      <c r="AB612">
        <v>0</v>
      </c>
      <c r="AC612">
        <v>0</v>
      </c>
      <c r="AD612" t="s">
        <v>1042</v>
      </c>
      <c r="AE612">
        <v>0</v>
      </c>
      <c r="AF612">
        <v>0</v>
      </c>
      <c r="AH612">
        <v>0</v>
      </c>
      <c r="AJ612">
        <v>0</v>
      </c>
      <c r="AL612">
        <v>0</v>
      </c>
      <c r="AM612">
        <v>0</v>
      </c>
      <c r="AN612">
        <v>11501008</v>
      </c>
      <c r="AO612">
        <v>0</v>
      </c>
      <c r="AP612">
        <v>1001</v>
      </c>
      <c r="AT612">
        <v>0</v>
      </c>
      <c r="AW612" t="s">
        <v>1053</v>
      </c>
      <c r="AX612">
        <v>0</v>
      </c>
      <c r="AY612" s="20">
        <v>44391</v>
      </c>
      <c r="BA612" s="20">
        <v>44391</v>
      </c>
      <c r="BB612" t="s">
        <v>1058</v>
      </c>
      <c r="BD612">
        <v>0</v>
      </c>
      <c r="BF612" t="s">
        <v>1044</v>
      </c>
      <c r="BG612" t="s">
        <v>1042</v>
      </c>
      <c r="BH612">
        <v>0</v>
      </c>
      <c r="BI612">
        <v>6</v>
      </c>
      <c r="BJ612">
        <v>0</v>
      </c>
      <c r="BK612">
        <v>0</v>
      </c>
      <c r="BM612" t="s">
        <v>1042</v>
      </c>
      <c r="BN612">
        <v>0</v>
      </c>
      <c r="BS612" t="s">
        <v>1043</v>
      </c>
      <c r="BT612" t="s">
        <v>1043</v>
      </c>
      <c r="BW612">
        <v>2</v>
      </c>
      <c r="BY612">
        <v>10</v>
      </c>
      <c r="CA612">
        <v>0</v>
      </c>
      <c r="CB612" t="s">
        <v>1043</v>
      </c>
      <c r="CE612" t="s">
        <v>1043</v>
      </c>
      <c r="CH612" t="s">
        <v>1043</v>
      </c>
      <c r="CN612" t="s">
        <v>1074</v>
      </c>
      <c r="CO612" t="s">
        <v>1043</v>
      </c>
      <c r="CP612">
        <v>1</v>
      </c>
      <c r="CQ612">
        <v>0</v>
      </c>
      <c r="CS612">
        <v>0</v>
      </c>
      <c r="CT612">
        <v>0</v>
      </c>
      <c r="CU612">
        <v>0</v>
      </c>
      <c r="CV612" t="s">
        <v>1045</v>
      </c>
      <c r="CW612">
        <v>0</v>
      </c>
      <c r="CX612">
        <v>0</v>
      </c>
      <c r="CY612">
        <v>0</v>
      </c>
      <c r="CZ612">
        <v>0</v>
      </c>
      <c r="DB612">
        <v>0</v>
      </c>
      <c r="DC612" t="s">
        <v>1043</v>
      </c>
      <c r="DF612" t="s">
        <v>1055</v>
      </c>
      <c r="DH612">
        <v>0</v>
      </c>
      <c r="DJ612">
        <v>0</v>
      </c>
      <c r="DK612" t="s">
        <v>1053</v>
      </c>
      <c r="DL612">
        <v>0</v>
      </c>
      <c r="DN612">
        <v>0</v>
      </c>
      <c r="DO612" t="s">
        <v>1042</v>
      </c>
      <c r="DP612">
        <v>0</v>
      </c>
      <c r="DQ612">
        <v>7</v>
      </c>
      <c r="DS612">
        <v>0</v>
      </c>
      <c r="DU612">
        <v>1</v>
      </c>
      <c r="DW612">
        <v>0</v>
      </c>
      <c r="DX612" t="s">
        <v>1043</v>
      </c>
      <c r="DY612">
        <v>0</v>
      </c>
      <c r="DZ612">
        <v>0</v>
      </c>
      <c r="EA612">
        <v>0</v>
      </c>
      <c r="ED612" t="s">
        <v>1045</v>
      </c>
      <c r="EE612">
        <v>0</v>
      </c>
      <c r="EF612">
        <v>0</v>
      </c>
      <c r="EQ612" t="s">
        <v>1044</v>
      </c>
      <c r="ES612" t="s">
        <v>1053</v>
      </c>
      <c r="ET612">
        <v>0</v>
      </c>
      <c r="EV612">
        <v>0</v>
      </c>
      <c r="EY612" t="s">
        <v>1052</v>
      </c>
      <c r="EZ612">
        <v>0</v>
      </c>
      <c r="FA612" t="s">
        <v>1043</v>
      </c>
      <c r="FB612">
        <v>0</v>
      </c>
      <c r="FC612">
        <v>0</v>
      </c>
      <c r="FE612" t="s">
        <v>1050</v>
      </c>
      <c r="FF612">
        <v>0</v>
      </c>
      <c r="FG612" t="s">
        <v>1050</v>
      </c>
      <c r="FJ612">
        <v>0</v>
      </c>
      <c r="FK612">
        <v>0</v>
      </c>
      <c r="FP612">
        <v>0</v>
      </c>
      <c r="FQ612" t="s">
        <v>1044</v>
      </c>
      <c r="FR612">
        <v>0</v>
      </c>
      <c r="FS612" t="s">
        <v>1043</v>
      </c>
      <c r="FX612" t="s">
        <v>1042</v>
      </c>
      <c r="FZ612" t="s">
        <v>1048</v>
      </c>
      <c r="GA612">
        <v>0</v>
      </c>
      <c r="GB612" t="s">
        <v>1042</v>
      </c>
      <c r="GE612">
        <v>0</v>
      </c>
      <c r="GG612">
        <v>0</v>
      </c>
      <c r="GN612">
        <v>0</v>
      </c>
      <c r="GO612" t="s">
        <v>1063</v>
      </c>
      <c r="GQ612">
        <v>0</v>
      </c>
      <c r="GU612">
        <v>0</v>
      </c>
      <c r="GY612" t="s">
        <v>1045</v>
      </c>
      <c r="HB612">
        <v>0</v>
      </c>
      <c r="HE612">
        <v>0</v>
      </c>
      <c r="HF612">
        <v>0</v>
      </c>
      <c r="HG612">
        <v>0</v>
      </c>
      <c r="HK612" t="s">
        <v>1042</v>
      </c>
      <c r="HM612" t="s">
        <v>1047</v>
      </c>
      <c r="HN612">
        <v>0</v>
      </c>
      <c r="HP612">
        <v>0</v>
      </c>
      <c r="HQ612">
        <v>0</v>
      </c>
      <c r="HR612" t="s">
        <v>1042</v>
      </c>
      <c r="HS612" t="s">
        <v>1043</v>
      </c>
      <c r="HT612">
        <v>0</v>
      </c>
      <c r="HU612">
        <v>0</v>
      </c>
      <c r="HV612" t="s">
        <v>1088</v>
      </c>
      <c r="HW612">
        <v>0</v>
      </c>
      <c r="HX612">
        <v>0</v>
      </c>
      <c r="HY612">
        <v>0</v>
      </c>
      <c r="HZ612" t="s">
        <v>1045</v>
      </c>
      <c r="IA612">
        <v>0</v>
      </c>
      <c r="IB612" t="s">
        <v>1045</v>
      </c>
      <c r="ID612" t="s">
        <v>1045</v>
      </c>
      <c r="IF612">
        <v>0</v>
      </c>
      <c r="IG612" t="s">
        <v>1042</v>
      </c>
      <c r="II612" t="s">
        <v>1042</v>
      </c>
      <c r="IR612" t="s">
        <v>1045</v>
      </c>
      <c r="IT612">
        <v>0</v>
      </c>
      <c r="IY612" t="s">
        <v>1044</v>
      </c>
      <c r="IZ612" t="s">
        <v>1043</v>
      </c>
      <c r="JA612" t="s">
        <v>1043</v>
      </c>
      <c r="JC612" t="s">
        <v>1043</v>
      </c>
      <c r="JE612">
        <v>0</v>
      </c>
      <c r="JF612">
        <v>0</v>
      </c>
      <c r="JI612" t="s">
        <v>1042</v>
      </c>
      <c r="JJ612">
        <v>0</v>
      </c>
      <c r="JK612">
        <v>0</v>
      </c>
      <c r="JL612">
        <v>0</v>
      </c>
      <c r="JM612">
        <v>0</v>
      </c>
      <c r="JQ612" t="s">
        <v>1043</v>
      </c>
      <c r="JT612">
        <v>0</v>
      </c>
      <c r="JU612" t="s">
        <v>1042</v>
      </c>
      <c r="JW612">
        <v>0</v>
      </c>
      <c r="KA612">
        <v>0</v>
      </c>
      <c r="KF612">
        <v>0</v>
      </c>
      <c r="KG612">
        <v>0</v>
      </c>
      <c r="KH612">
        <v>0</v>
      </c>
      <c r="KI612">
        <v>0</v>
      </c>
      <c r="KJ612" t="s">
        <v>1044</v>
      </c>
      <c r="KS612" t="s">
        <v>1073</v>
      </c>
      <c r="KT612">
        <v>0</v>
      </c>
      <c r="KU612">
        <v>0</v>
      </c>
      <c r="KV612">
        <v>0</v>
      </c>
      <c r="KX612">
        <v>0</v>
      </c>
      <c r="KY612" t="s">
        <v>1045</v>
      </c>
      <c r="KZ612">
        <v>0</v>
      </c>
      <c r="LF612">
        <v>0</v>
      </c>
      <c r="LH612">
        <v>0</v>
      </c>
      <c r="LI612">
        <v>0</v>
      </c>
    </row>
    <row r="613" spans="1:321" x14ac:dyDescent="0.35">
      <c r="A613">
        <v>1</v>
      </c>
      <c r="B613">
        <v>1407</v>
      </c>
      <c r="C613" t="s">
        <v>1144</v>
      </c>
      <c r="D613" t="s">
        <v>1089</v>
      </c>
      <c r="E613" t="s">
        <v>85</v>
      </c>
      <c r="F613">
        <v>1</v>
      </c>
      <c r="G613">
        <v>8890</v>
      </c>
      <c r="H613">
        <v>0</v>
      </c>
      <c r="I613" t="s">
        <v>994</v>
      </c>
      <c r="M613">
        <v>0</v>
      </c>
      <c r="N613">
        <v>0</v>
      </c>
      <c r="P613">
        <v>77</v>
      </c>
      <c r="Q613">
        <v>902</v>
      </c>
      <c r="R613">
        <v>0</v>
      </c>
      <c r="S613">
        <v>0</v>
      </c>
      <c r="W613" t="s">
        <v>1060</v>
      </c>
      <c r="X613">
        <v>0</v>
      </c>
      <c r="Z613">
        <v>10</v>
      </c>
      <c r="AA613">
        <v>0</v>
      </c>
      <c r="AB613">
        <v>0</v>
      </c>
      <c r="AC613">
        <v>0</v>
      </c>
      <c r="AD613" t="s">
        <v>1042</v>
      </c>
      <c r="AE613">
        <v>0</v>
      </c>
      <c r="AF613">
        <v>0</v>
      </c>
      <c r="AH613">
        <v>0</v>
      </c>
      <c r="AJ613">
        <v>0</v>
      </c>
      <c r="AL613">
        <v>0</v>
      </c>
      <c r="AM613">
        <v>0</v>
      </c>
      <c r="AN613">
        <v>11501008</v>
      </c>
      <c r="AO613">
        <v>0</v>
      </c>
      <c r="AP613">
        <v>1001</v>
      </c>
      <c r="AT613">
        <v>0</v>
      </c>
      <c r="AW613" t="s">
        <v>1053</v>
      </c>
      <c r="AX613">
        <v>0</v>
      </c>
      <c r="AY613" s="20">
        <v>44391</v>
      </c>
      <c r="BA613" s="20">
        <v>44391</v>
      </c>
      <c r="BB613" t="s">
        <v>1058</v>
      </c>
      <c r="BD613">
        <v>0</v>
      </c>
      <c r="BF613" t="s">
        <v>1044</v>
      </c>
      <c r="BG613" t="s">
        <v>1042</v>
      </c>
      <c r="BH613">
        <v>0</v>
      </c>
      <c r="BI613">
        <v>6</v>
      </c>
      <c r="BJ613">
        <v>0</v>
      </c>
      <c r="BK613">
        <v>0</v>
      </c>
      <c r="BM613" t="s">
        <v>1042</v>
      </c>
      <c r="BN613">
        <v>0</v>
      </c>
      <c r="BS613" t="s">
        <v>1043</v>
      </c>
      <c r="BT613" t="s">
        <v>1043</v>
      </c>
      <c r="BW613">
        <v>2</v>
      </c>
      <c r="BY613">
        <v>10</v>
      </c>
      <c r="CA613">
        <v>0</v>
      </c>
      <c r="CB613" t="s">
        <v>1043</v>
      </c>
      <c r="CE613" t="s">
        <v>1043</v>
      </c>
      <c r="CH613" t="s">
        <v>1043</v>
      </c>
      <c r="CN613" t="s">
        <v>1074</v>
      </c>
      <c r="CO613" t="s">
        <v>1043</v>
      </c>
      <c r="CP613">
        <v>1</v>
      </c>
      <c r="CQ613">
        <v>0</v>
      </c>
      <c r="CS613">
        <v>0</v>
      </c>
      <c r="CT613">
        <v>0</v>
      </c>
      <c r="CU613">
        <v>0</v>
      </c>
      <c r="CV613" t="s">
        <v>1045</v>
      </c>
      <c r="CW613">
        <v>0</v>
      </c>
      <c r="CX613">
        <v>0</v>
      </c>
      <c r="CY613">
        <v>0</v>
      </c>
      <c r="CZ613">
        <v>0</v>
      </c>
      <c r="DB613">
        <v>0</v>
      </c>
      <c r="DC613" t="s">
        <v>1043</v>
      </c>
      <c r="DF613" t="s">
        <v>1055</v>
      </c>
      <c r="DH613">
        <v>0</v>
      </c>
      <c r="DJ613">
        <v>0</v>
      </c>
      <c r="DK613" t="s">
        <v>1053</v>
      </c>
      <c r="DL613">
        <v>0</v>
      </c>
      <c r="DN613">
        <v>0</v>
      </c>
      <c r="DO613" t="s">
        <v>1042</v>
      </c>
      <c r="DP613">
        <v>0</v>
      </c>
      <c r="DQ613">
        <v>7</v>
      </c>
      <c r="DS613">
        <v>0</v>
      </c>
      <c r="DU613">
        <v>1</v>
      </c>
      <c r="DW613">
        <v>0</v>
      </c>
      <c r="DX613" t="s">
        <v>1043</v>
      </c>
      <c r="DY613">
        <v>0</v>
      </c>
      <c r="DZ613">
        <v>0</v>
      </c>
      <c r="EA613">
        <v>0</v>
      </c>
      <c r="ED613" t="s">
        <v>1045</v>
      </c>
      <c r="EE613">
        <v>0</v>
      </c>
      <c r="EF613">
        <v>0</v>
      </c>
      <c r="EQ613" t="s">
        <v>1044</v>
      </c>
      <c r="ES613" t="s">
        <v>1053</v>
      </c>
      <c r="ET613">
        <v>0</v>
      </c>
      <c r="EV613">
        <v>0</v>
      </c>
      <c r="EY613" t="s">
        <v>1052</v>
      </c>
      <c r="EZ613">
        <v>0</v>
      </c>
      <c r="FA613" t="s">
        <v>1043</v>
      </c>
      <c r="FB613">
        <v>0</v>
      </c>
      <c r="FC613">
        <v>0</v>
      </c>
      <c r="FE613" t="s">
        <v>1050</v>
      </c>
      <c r="FF613">
        <v>0</v>
      </c>
      <c r="FG613" t="s">
        <v>1050</v>
      </c>
      <c r="FJ613">
        <v>0</v>
      </c>
      <c r="FK613">
        <v>0</v>
      </c>
      <c r="FP613">
        <v>0</v>
      </c>
      <c r="FQ613" t="s">
        <v>1044</v>
      </c>
      <c r="FR613">
        <v>0</v>
      </c>
      <c r="FS613" t="s">
        <v>1043</v>
      </c>
      <c r="FX613" t="s">
        <v>1042</v>
      </c>
      <c r="FZ613" t="s">
        <v>1048</v>
      </c>
      <c r="GA613">
        <v>0</v>
      </c>
      <c r="GB613" t="s">
        <v>1042</v>
      </c>
      <c r="GE613">
        <v>0</v>
      </c>
      <c r="GG613">
        <v>0</v>
      </c>
      <c r="GN613">
        <v>0</v>
      </c>
      <c r="GO613" t="s">
        <v>1063</v>
      </c>
      <c r="GQ613">
        <v>0</v>
      </c>
      <c r="GU613">
        <v>0</v>
      </c>
      <c r="GY613" t="s">
        <v>1045</v>
      </c>
      <c r="HB613">
        <v>0</v>
      </c>
      <c r="HE613">
        <v>0</v>
      </c>
      <c r="HF613">
        <v>0</v>
      </c>
      <c r="HG613">
        <v>0</v>
      </c>
      <c r="HK613" t="s">
        <v>1042</v>
      </c>
      <c r="HM613" t="s">
        <v>1047</v>
      </c>
      <c r="HN613">
        <v>0</v>
      </c>
      <c r="HP613">
        <v>0</v>
      </c>
      <c r="HQ613">
        <v>0</v>
      </c>
      <c r="HR613" t="s">
        <v>1042</v>
      </c>
      <c r="HS613" t="s">
        <v>1043</v>
      </c>
      <c r="HT613">
        <v>0</v>
      </c>
      <c r="HU613">
        <v>0</v>
      </c>
      <c r="HV613" t="s">
        <v>1088</v>
      </c>
      <c r="HW613">
        <v>0</v>
      </c>
      <c r="HX613">
        <v>0</v>
      </c>
      <c r="HY613">
        <v>0</v>
      </c>
      <c r="HZ613" t="s">
        <v>1045</v>
      </c>
      <c r="IA613">
        <v>0</v>
      </c>
      <c r="IB613" t="s">
        <v>1045</v>
      </c>
      <c r="ID613" t="s">
        <v>1045</v>
      </c>
      <c r="IF613">
        <v>0</v>
      </c>
      <c r="IG613" t="s">
        <v>1042</v>
      </c>
      <c r="II613" t="s">
        <v>1042</v>
      </c>
      <c r="IR613" t="s">
        <v>1045</v>
      </c>
      <c r="IT613">
        <v>0</v>
      </c>
      <c r="IY613" t="s">
        <v>1044</v>
      </c>
      <c r="IZ613" t="s">
        <v>1043</v>
      </c>
      <c r="JA613" t="s">
        <v>1043</v>
      </c>
      <c r="JC613" t="s">
        <v>1043</v>
      </c>
      <c r="JE613">
        <v>0</v>
      </c>
      <c r="JF613">
        <v>0</v>
      </c>
      <c r="JI613" t="s">
        <v>1042</v>
      </c>
      <c r="JJ613">
        <v>0</v>
      </c>
      <c r="JK613">
        <v>0</v>
      </c>
      <c r="JL613">
        <v>0</v>
      </c>
      <c r="JM613">
        <v>0</v>
      </c>
      <c r="JQ613" t="s">
        <v>1043</v>
      </c>
      <c r="JT613">
        <v>0</v>
      </c>
      <c r="JU613" t="s">
        <v>1042</v>
      </c>
      <c r="JW613">
        <v>0</v>
      </c>
      <c r="KA613">
        <v>0</v>
      </c>
      <c r="KF613">
        <v>0</v>
      </c>
      <c r="KG613">
        <v>0</v>
      </c>
      <c r="KH613">
        <v>0</v>
      </c>
      <c r="KI613">
        <v>0</v>
      </c>
      <c r="KJ613" t="s">
        <v>1044</v>
      </c>
      <c r="KS613" t="s">
        <v>1073</v>
      </c>
      <c r="KT613">
        <v>0</v>
      </c>
      <c r="KU613">
        <v>0</v>
      </c>
      <c r="KV613">
        <v>0</v>
      </c>
      <c r="KX613">
        <v>0</v>
      </c>
      <c r="KY613" t="s">
        <v>1045</v>
      </c>
      <c r="KZ613">
        <v>0</v>
      </c>
      <c r="LF613">
        <v>0</v>
      </c>
      <c r="LH613">
        <v>0</v>
      </c>
      <c r="LI613">
        <v>0</v>
      </c>
    </row>
    <row r="614" spans="1:321" x14ac:dyDescent="0.35">
      <c r="A614">
        <v>1</v>
      </c>
      <c r="B614">
        <v>1408</v>
      </c>
      <c r="C614" t="s">
        <v>1143</v>
      </c>
      <c r="D614" t="s">
        <v>1089</v>
      </c>
      <c r="E614" t="s">
        <v>85</v>
      </c>
      <c r="F614">
        <v>1</v>
      </c>
      <c r="G614">
        <v>8888</v>
      </c>
      <c r="H614">
        <v>0</v>
      </c>
      <c r="I614" t="s">
        <v>994</v>
      </c>
      <c r="M614">
        <v>0</v>
      </c>
      <c r="N614">
        <v>0</v>
      </c>
      <c r="P614">
        <v>77</v>
      </c>
      <c r="Q614">
        <v>902</v>
      </c>
      <c r="R614">
        <v>0</v>
      </c>
      <c r="S614">
        <v>0</v>
      </c>
      <c r="W614" t="s">
        <v>1060</v>
      </c>
      <c r="X614">
        <v>0</v>
      </c>
      <c r="Z614">
        <v>10</v>
      </c>
      <c r="AA614">
        <v>0</v>
      </c>
      <c r="AB614">
        <v>0</v>
      </c>
      <c r="AC614">
        <v>0</v>
      </c>
      <c r="AD614" t="s">
        <v>1042</v>
      </c>
      <c r="AE614">
        <v>0</v>
      </c>
      <c r="AF614">
        <v>0</v>
      </c>
      <c r="AH614">
        <v>0</v>
      </c>
      <c r="AJ614">
        <v>0</v>
      </c>
      <c r="AL614">
        <v>0</v>
      </c>
      <c r="AM614">
        <v>0</v>
      </c>
      <c r="AN614">
        <v>11501008</v>
      </c>
      <c r="AO614">
        <v>0</v>
      </c>
      <c r="AP614">
        <v>1001</v>
      </c>
      <c r="AT614">
        <v>0</v>
      </c>
      <c r="AW614" t="s">
        <v>1053</v>
      </c>
      <c r="AX614">
        <v>0</v>
      </c>
      <c r="AY614" s="20">
        <v>44391</v>
      </c>
      <c r="BA614" s="20">
        <v>44391</v>
      </c>
      <c r="BB614" t="s">
        <v>1058</v>
      </c>
      <c r="BD614">
        <v>0</v>
      </c>
      <c r="BF614" t="s">
        <v>1044</v>
      </c>
      <c r="BG614" t="s">
        <v>1042</v>
      </c>
      <c r="BH614">
        <v>0</v>
      </c>
      <c r="BI614">
        <v>6</v>
      </c>
      <c r="BJ614">
        <v>0</v>
      </c>
      <c r="BK614">
        <v>0</v>
      </c>
      <c r="BM614" t="s">
        <v>1042</v>
      </c>
      <c r="BN614">
        <v>0</v>
      </c>
      <c r="BS614" t="s">
        <v>1043</v>
      </c>
      <c r="BT614" t="s">
        <v>1043</v>
      </c>
      <c r="BW614">
        <v>2</v>
      </c>
      <c r="BY614">
        <v>10</v>
      </c>
      <c r="CA614">
        <v>0</v>
      </c>
      <c r="CB614" t="s">
        <v>1043</v>
      </c>
      <c r="CE614" t="s">
        <v>1043</v>
      </c>
      <c r="CH614" t="s">
        <v>1043</v>
      </c>
      <c r="CN614" t="s">
        <v>1074</v>
      </c>
      <c r="CO614" t="s">
        <v>1043</v>
      </c>
      <c r="CP614">
        <v>1</v>
      </c>
      <c r="CQ614">
        <v>0</v>
      </c>
      <c r="CS614">
        <v>0</v>
      </c>
      <c r="CT614">
        <v>0</v>
      </c>
      <c r="CU614">
        <v>0</v>
      </c>
      <c r="CV614" t="s">
        <v>1045</v>
      </c>
      <c r="CW614">
        <v>0</v>
      </c>
      <c r="CX614">
        <v>0</v>
      </c>
      <c r="CY614">
        <v>0</v>
      </c>
      <c r="CZ614">
        <v>0</v>
      </c>
      <c r="DB614">
        <v>0</v>
      </c>
      <c r="DC614" t="s">
        <v>1043</v>
      </c>
      <c r="DF614" t="s">
        <v>1055</v>
      </c>
      <c r="DH614">
        <v>0</v>
      </c>
      <c r="DJ614">
        <v>0</v>
      </c>
      <c r="DK614" t="s">
        <v>1053</v>
      </c>
      <c r="DL614">
        <v>0</v>
      </c>
      <c r="DN614">
        <v>0</v>
      </c>
      <c r="DO614" t="s">
        <v>1042</v>
      </c>
      <c r="DP614">
        <v>0</v>
      </c>
      <c r="DQ614">
        <v>7</v>
      </c>
      <c r="DS614">
        <v>0</v>
      </c>
      <c r="DU614">
        <v>1</v>
      </c>
      <c r="DW614">
        <v>0</v>
      </c>
      <c r="DX614" t="s">
        <v>1043</v>
      </c>
      <c r="DY614">
        <v>0</v>
      </c>
      <c r="DZ614">
        <v>0</v>
      </c>
      <c r="EA614">
        <v>0</v>
      </c>
      <c r="ED614" t="s">
        <v>1045</v>
      </c>
      <c r="EE614">
        <v>0</v>
      </c>
      <c r="EF614">
        <v>0</v>
      </c>
      <c r="EQ614" t="s">
        <v>1044</v>
      </c>
      <c r="ES614" t="s">
        <v>1053</v>
      </c>
      <c r="ET614">
        <v>0</v>
      </c>
      <c r="EV614">
        <v>0</v>
      </c>
      <c r="EY614" t="s">
        <v>1052</v>
      </c>
      <c r="EZ614">
        <v>0</v>
      </c>
      <c r="FA614" t="s">
        <v>1043</v>
      </c>
      <c r="FB614">
        <v>0</v>
      </c>
      <c r="FC614">
        <v>0</v>
      </c>
      <c r="FE614" t="s">
        <v>1050</v>
      </c>
      <c r="FF614">
        <v>0</v>
      </c>
      <c r="FG614" t="s">
        <v>1050</v>
      </c>
      <c r="FJ614">
        <v>0</v>
      </c>
      <c r="FK614">
        <v>0</v>
      </c>
      <c r="FP614">
        <v>0</v>
      </c>
      <c r="FQ614" t="s">
        <v>1044</v>
      </c>
      <c r="FR614">
        <v>0</v>
      </c>
      <c r="FS614" t="s">
        <v>1043</v>
      </c>
      <c r="FX614" t="s">
        <v>1042</v>
      </c>
      <c r="FZ614" t="s">
        <v>1048</v>
      </c>
      <c r="GA614">
        <v>0</v>
      </c>
      <c r="GB614" t="s">
        <v>1042</v>
      </c>
      <c r="GE614">
        <v>0</v>
      </c>
      <c r="GG614">
        <v>0</v>
      </c>
      <c r="GN614">
        <v>0</v>
      </c>
      <c r="GO614" t="s">
        <v>1063</v>
      </c>
      <c r="GQ614">
        <v>0</v>
      </c>
      <c r="GU614">
        <v>0</v>
      </c>
      <c r="GY614" t="s">
        <v>1045</v>
      </c>
      <c r="HB614">
        <v>0</v>
      </c>
      <c r="HE614">
        <v>0</v>
      </c>
      <c r="HF614">
        <v>0</v>
      </c>
      <c r="HG614">
        <v>0</v>
      </c>
      <c r="HK614" t="s">
        <v>1042</v>
      </c>
      <c r="HM614" t="s">
        <v>1047</v>
      </c>
      <c r="HN614">
        <v>0</v>
      </c>
      <c r="HP614">
        <v>0</v>
      </c>
      <c r="HQ614">
        <v>0</v>
      </c>
      <c r="HR614" t="s">
        <v>1042</v>
      </c>
      <c r="HS614" t="s">
        <v>1043</v>
      </c>
      <c r="HT614">
        <v>0</v>
      </c>
      <c r="HU614">
        <v>0</v>
      </c>
      <c r="HV614" t="s">
        <v>1088</v>
      </c>
      <c r="HW614">
        <v>0</v>
      </c>
      <c r="HX614">
        <v>0</v>
      </c>
      <c r="HY614">
        <v>0</v>
      </c>
      <c r="HZ614" t="s">
        <v>1045</v>
      </c>
      <c r="IA614">
        <v>0</v>
      </c>
      <c r="IB614" t="s">
        <v>1045</v>
      </c>
      <c r="ID614" t="s">
        <v>1045</v>
      </c>
      <c r="IF614">
        <v>0</v>
      </c>
      <c r="IG614" t="s">
        <v>1042</v>
      </c>
      <c r="II614" t="s">
        <v>1042</v>
      </c>
      <c r="IR614" t="s">
        <v>1044</v>
      </c>
      <c r="IT614">
        <v>0</v>
      </c>
      <c r="IY614" t="s">
        <v>1044</v>
      </c>
      <c r="IZ614" t="s">
        <v>1043</v>
      </c>
      <c r="JA614" t="s">
        <v>1043</v>
      </c>
      <c r="JC614" t="s">
        <v>1043</v>
      </c>
      <c r="JE614">
        <v>0</v>
      </c>
      <c r="JF614">
        <v>0</v>
      </c>
      <c r="JI614" t="s">
        <v>1042</v>
      </c>
      <c r="JJ614">
        <v>0</v>
      </c>
      <c r="JK614">
        <v>0</v>
      </c>
      <c r="JL614">
        <v>0</v>
      </c>
      <c r="JM614">
        <v>0</v>
      </c>
      <c r="JQ614" t="s">
        <v>1043</v>
      </c>
      <c r="JT614">
        <v>0</v>
      </c>
      <c r="JU614" t="s">
        <v>1042</v>
      </c>
      <c r="JW614">
        <v>0</v>
      </c>
      <c r="KA614">
        <v>0</v>
      </c>
      <c r="KF614">
        <v>0</v>
      </c>
      <c r="KG614">
        <v>0</v>
      </c>
      <c r="KH614">
        <v>0</v>
      </c>
      <c r="KI614">
        <v>0</v>
      </c>
      <c r="KJ614" t="s">
        <v>1044</v>
      </c>
      <c r="KS614" t="s">
        <v>1073</v>
      </c>
      <c r="KT614">
        <v>0</v>
      </c>
      <c r="KU614">
        <v>0</v>
      </c>
      <c r="KV614">
        <v>0</v>
      </c>
      <c r="KX614">
        <v>0</v>
      </c>
      <c r="KY614" t="s">
        <v>1045</v>
      </c>
      <c r="KZ614">
        <v>0</v>
      </c>
      <c r="LF614">
        <v>0</v>
      </c>
      <c r="LH614">
        <v>0</v>
      </c>
      <c r="LI614">
        <v>0</v>
      </c>
    </row>
    <row r="615" spans="1:321" x14ac:dyDescent="0.35">
      <c r="A615">
        <v>1</v>
      </c>
      <c r="B615">
        <v>1409</v>
      </c>
      <c r="C615" t="s">
        <v>1142</v>
      </c>
      <c r="D615" t="s">
        <v>1089</v>
      </c>
      <c r="E615" t="s">
        <v>85</v>
      </c>
      <c r="F615">
        <v>1</v>
      </c>
      <c r="G615">
        <v>8890</v>
      </c>
      <c r="H615">
        <v>0</v>
      </c>
      <c r="I615" t="s">
        <v>994</v>
      </c>
      <c r="M615">
        <v>0</v>
      </c>
      <c r="N615">
        <v>0</v>
      </c>
      <c r="P615">
        <v>77</v>
      </c>
      <c r="Q615">
        <v>902</v>
      </c>
      <c r="R615">
        <v>0</v>
      </c>
      <c r="S615">
        <v>0</v>
      </c>
      <c r="W615" t="s">
        <v>1060</v>
      </c>
      <c r="X615">
        <v>0</v>
      </c>
      <c r="Z615">
        <v>5</v>
      </c>
      <c r="AA615">
        <v>0</v>
      </c>
      <c r="AB615">
        <v>0</v>
      </c>
      <c r="AC615">
        <v>0</v>
      </c>
      <c r="AD615" t="s">
        <v>1042</v>
      </c>
      <c r="AE615">
        <v>0</v>
      </c>
      <c r="AF615">
        <v>0</v>
      </c>
      <c r="AH615">
        <v>0</v>
      </c>
      <c r="AJ615">
        <v>0</v>
      </c>
      <c r="AL615">
        <v>0</v>
      </c>
      <c r="AM615">
        <v>0</v>
      </c>
      <c r="AN615">
        <v>11501008</v>
      </c>
      <c r="AO615">
        <v>0</v>
      </c>
      <c r="AP615">
        <v>1001</v>
      </c>
      <c r="AT615">
        <v>0</v>
      </c>
      <c r="AW615" t="s">
        <v>1053</v>
      </c>
      <c r="AX615">
        <v>0</v>
      </c>
      <c r="AY615" s="20">
        <v>44391</v>
      </c>
      <c r="BA615" s="20">
        <v>44391</v>
      </c>
      <c r="BB615" t="s">
        <v>1058</v>
      </c>
      <c r="BD615">
        <v>0</v>
      </c>
      <c r="BF615" t="s">
        <v>1044</v>
      </c>
      <c r="BG615" t="s">
        <v>1042</v>
      </c>
      <c r="BH615">
        <v>0</v>
      </c>
      <c r="BI615">
        <v>6</v>
      </c>
      <c r="BJ615">
        <v>0</v>
      </c>
      <c r="BK615">
        <v>0</v>
      </c>
      <c r="BM615" t="s">
        <v>1042</v>
      </c>
      <c r="BN615">
        <v>0</v>
      </c>
      <c r="BS615" t="s">
        <v>1043</v>
      </c>
      <c r="BT615" t="s">
        <v>1043</v>
      </c>
      <c r="BW615">
        <v>2</v>
      </c>
      <c r="BY615">
        <v>10</v>
      </c>
      <c r="CA615">
        <v>0</v>
      </c>
      <c r="CB615" t="s">
        <v>1043</v>
      </c>
      <c r="CE615" t="s">
        <v>1043</v>
      </c>
      <c r="CH615" t="s">
        <v>1043</v>
      </c>
      <c r="CN615" t="s">
        <v>1074</v>
      </c>
      <c r="CO615" t="s">
        <v>1043</v>
      </c>
      <c r="CP615">
        <v>1</v>
      </c>
      <c r="CQ615">
        <v>0</v>
      </c>
      <c r="CS615">
        <v>0</v>
      </c>
      <c r="CT615">
        <v>0</v>
      </c>
      <c r="CU615">
        <v>0</v>
      </c>
      <c r="CV615" t="s">
        <v>1045</v>
      </c>
      <c r="CW615">
        <v>0</v>
      </c>
      <c r="CX615">
        <v>0</v>
      </c>
      <c r="CY615">
        <v>0</v>
      </c>
      <c r="CZ615">
        <v>0</v>
      </c>
      <c r="DB615">
        <v>0</v>
      </c>
      <c r="DC615" t="s">
        <v>1043</v>
      </c>
      <c r="DF615" t="s">
        <v>1055</v>
      </c>
      <c r="DH615">
        <v>0</v>
      </c>
      <c r="DJ615">
        <v>0</v>
      </c>
      <c r="DK615" t="s">
        <v>1053</v>
      </c>
      <c r="DL615">
        <v>0</v>
      </c>
      <c r="DN615">
        <v>0</v>
      </c>
      <c r="DO615" t="s">
        <v>1042</v>
      </c>
      <c r="DP615">
        <v>0</v>
      </c>
      <c r="DQ615">
        <v>7</v>
      </c>
      <c r="DS615">
        <v>0</v>
      </c>
      <c r="DU615">
        <v>1</v>
      </c>
      <c r="DW615">
        <v>0</v>
      </c>
      <c r="DX615" t="s">
        <v>1043</v>
      </c>
      <c r="DY615">
        <v>0</v>
      </c>
      <c r="DZ615">
        <v>0</v>
      </c>
      <c r="EA615">
        <v>0</v>
      </c>
      <c r="ED615" t="s">
        <v>1045</v>
      </c>
      <c r="EE615">
        <v>0</v>
      </c>
      <c r="EF615">
        <v>0</v>
      </c>
      <c r="EQ615" t="s">
        <v>1044</v>
      </c>
      <c r="ES615" t="s">
        <v>1053</v>
      </c>
      <c r="ET615">
        <v>0</v>
      </c>
      <c r="EV615">
        <v>0</v>
      </c>
      <c r="EY615" t="s">
        <v>1052</v>
      </c>
      <c r="EZ615">
        <v>0</v>
      </c>
      <c r="FA615" t="s">
        <v>1043</v>
      </c>
      <c r="FB615">
        <v>0</v>
      </c>
      <c r="FC615">
        <v>0</v>
      </c>
      <c r="FE615" t="s">
        <v>1050</v>
      </c>
      <c r="FF615">
        <v>0</v>
      </c>
      <c r="FG615" t="s">
        <v>1050</v>
      </c>
      <c r="FJ615">
        <v>0</v>
      </c>
      <c r="FK615">
        <v>0</v>
      </c>
      <c r="FP615">
        <v>0</v>
      </c>
      <c r="FQ615" t="s">
        <v>1044</v>
      </c>
      <c r="FR615">
        <v>0</v>
      </c>
      <c r="FS615" t="s">
        <v>1043</v>
      </c>
      <c r="FX615" t="s">
        <v>1042</v>
      </c>
      <c r="FZ615" t="s">
        <v>1048</v>
      </c>
      <c r="GA615">
        <v>0</v>
      </c>
      <c r="GB615" t="s">
        <v>1042</v>
      </c>
      <c r="GE615">
        <v>0</v>
      </c>
      <c r="GG615">
        <v>0</v>
      </c>
      <c r="GN615">
        <v>0</v>
      </c>
      <c r="GO615" t="s">
        <v>1063</v>
      </c>
      <c r="GQ615">
        <v>0</v>
      </c>
      <c r="GU615">
        <v>0</v>
      </c>
      <c r="GY615" t="s">
        <v>1045</v>
      </c>
      <c r="HB615">
        <v>0</v>
      </c>
      <c r="HE615">
        <v>0</v>
      </c>
      <c r="HF615">
        <v>0</v>
      </c>
      <c r="HG615">
        <v>0</v>
      </c>
      <c r="HK615" t="s">
        <v>1042</v>
      </c>
      <c r="HM615" t="s">
        <v>1047</v>
      </c>
      <c r="HN615">
        <v>0</v>
      </c>
      <c r="HP615">
        <v>0</v>
      </c>
      <c r="HQ615">
        <v>0</v>
      </c>
      <c r="HR615" t="s">
        <v>1042</v>
      </c>
      <c r="HS615" t="s">
        <v>1043</v>
      </c>
      <c r="HT615">
        <v>0</v>
      </c>
      <c r="HU615">
        <v>0</v>
      </c>
      <c r="HV615" t="s">
        <v>1088</v>
      </c>
      <c r="HW615">
        <v>0</v>
      </c>
      <c r="HX615">
        <v>0</v>
      </c>
      <c r="HY615">
        <v>0</v>
      </c>
      <c r="HZ615" t="s">
        <v>1045</v>
      </c>
      <c r="IA615">
        <v>0</v>
      </c>
      <c r="IB615" t="s">
        <v>1045</v>
      </c>
      <c r="ID615" t="s">
        <v>1045</v>
      </c>
      <c r="IF615">
        <v>0</v>
      </c>
      <c r="IG615" t="s">
        <v>1042</v>
      </c>
      <c r="II615" t="s">
        <v>1042</v>
      </c>
      <c r="IR615" t="s">
        <v>1045</v>
      </c>
      <c r="IT615">
        <v>0</v>
      </c>
      <c r="IY615" t="s">
        <v>1044</v>
      </c>
      <c r="IZ615" t="s">
        <v>1043</v>
      </c>
      <c r="JA615" t="s">
        <v>1043</v>
      </c>
      <c r="JC615" t="s">
        <v>1043</v>
      </c>
      <c r="JE615">
        <v>0</v>
      </c>
      <c r="JF615">
        <v>0</v>
      </c>
      <c r="JI615" t="s">
        <v>1042</v>
      </c>
      <c r="JJ615">
        <v>0</v>
      </c>
      <c r="JK615">
        <v>0</v>
      </c>
      <c r="JL615">
        <v>0</v>
      </c>
      <c r="JM615">
        <v>0</v>
      </c>
      <c r="JQ615" t="s">
        <v>1043</v>
      </c>
      <c r="JT615">
        <v>0</v>
      </c>
      <c r="JU615" t="s">
        <v>1042</v>
      </c>
      <c r="JW615">
        <v>0</v>
      </c>
      <c r="KA615">
        <v>0</v>
      </c>
      <c r="KF615">
        <v>0</v>
      </c>
      <c r="KG615">
        <v>0</v>
      </c>
      <c r="KH615">
        <v>0</v>
      </c>
      <c r="KI615">
        <v>0</v>
      </c>
      <c r="KJ615" t="s">
        <v>1044</v>
      </c>
      <c r="KS615" t="s">
        <v>1073</v>
      </c>
      <c r="KT615">
        <v>0</v>
      </c>
      <c r="KU615">
        <v>0</v>
      </c>
      <c r="KV615">
        <v>0</v>
      </c>
      <c r="KX615">
        <v>0</v>
      </c>
      <c r="KY615" t="s">
        <v>1045</v>
      </c>
      <c r="KZ615">
        <v>0</v>
      </c>
      <c r="LF615">
        <v>0</v>
      </c>
      <c r="LH615">
        <v>0</v>
      </c>
      <c r="LI615">
        <v>0</v>
      </c>
    </row>
    <row r="616" spans="1:321" x14ac:dyDescent="0.35">
      <c r="A616">
        <v>1</v>
      </c>
      <c r="B616">
        <v>1410</v>
      </c>
      <c r="C616" t="s">
        <v>752</v>
      </c>
      <c r="D616" t="s">
        <v>1089</v>
      </c>
      <c r="E616" t="s">
        <v>85</v>
      </c>
      <c r="F616">
        <v>1</v>
      </c>
      <c r="G616">
        <v>200</v>
      </c>
      <c r="H616">
        <v>0</v>
      </c>
      <c r="I616" t="s">
        <v>994</v>
      </c>
      <c r="M616">
        <v>0</v>
      </c>
      <c r="N616">
        <v>0</v>
      </c>
      <c r="P616">
        <v>77</v>
      </c>
      <c r="Q616">
        <v>902</v>
      </c>
      <c r="R616">
        <v>0</v>
      </c>
      <c r="S616">
        <v>0</v>
      </c>
      <c r="W616" t="s">
        <v>1060</v>
      </c>
      <c r="X616">
        <v>0</v>
      </c>
      <c r="Z616">
        <v>10</v>
      </c>
      <c r="AA616">
        <v>138.08269999999999</v>
      </c>
      <c r="AB616">
        <v>173</v>
      </c>
      <c r="AC616">
        <v>11.306100000000001</v>
      </c>
      <c r="AD616" s="20">
        <v>44635</v>
      </c>
      <c r="AE616">
        <v>14.356999999999999</v>
      </c>
      <c r="AF616">
        <v>0.3306</v>
      </c>
      <c r="AH616">
        <v>126</v>
      </c>
      <c r="AJ616">
        <v>0</v>
      </c>
      <c r="AL616">
        <v>90</v>
      </c>
      <c r="AM616">
        <v>0</v>
      </c>
      <c r="AN616">
        <v>11501008</v>
      </c>
      <c r="AO616">
        <v>0</v>
      </c>
      <c r="AP616">
        <v>1050</v>
      </c>
      <c r="AT616">
        <v>1</v>
      </c>
      <c r="AU616" t="s">
        <v>1059</v>
      </c>
      <c r="AW616" t="s">
        <v>1053</v>
      </c>
      <c r="AX616">
        <v>5</v>
      </c>
      <c r="AY616" s="20">
        <v>44117</v>
      </c>
      <c r="BA616" s="20">
        <v>43718</v>
      </c>
      <c r="BB616" t="s">
        <v>1058</v>
      </c>
      <c r="BD616">
        <v>0</v>
      </c>
      <c r="BF616" t="s">
        <v>1044</v>
      </c>
      <c r="BG616" s="20">
        <v>42149</v>
      </c>
      <c r="BH616">
        <v>0</v>
      </c>
      <c r="BI616">
        <v>6</v>
      </c>
      <c r="BJ616">
        <v>0</v>
      </c>
      <c r="BK616">
        <v>0</v>
      </c>
      <c r="BM616" s="20">
        <v>42161</v>
      </c>
      <c r="BN616">
        <v>0</v>
      </c>
      <c r="BO616">
        <v>7897801313865</v>
      </c>
      <c r="BS616" t="s">
        <v>1043</v>
      </c>
      <c r="BT616" t="s">
        <v>1043</v>
      </c>
      <c r="BW616">
        <v>2</v>
      </c>
      <c r="BY616">
        <v>10</v>
      </c>
      <c r="CA616">
        <v>0</v>
      </c>
      <c r="CB616" t="s">
        <v>1057</v>
      </c>
      <c r="CE616" t="s">
        <v>1043</v>
      </c>
      <c r="CH616" t="s">
        <v>1043</v>
      </c>
      <c r="CN616" t="s">
        <v>1056</v>
      </c>
      <c r="CO616" t="s">
        <v>1043</v>
      </c>
      <c r="CP616">
        <v>1</v>
      </c>
      <c r="CQ616">
        <v>0</v>
      </c>
      <c r="CS616">
        <v>0</v>
      </c>
      <c r="CT616">
        <v>0</v>
      </c>
      <c r="CU616">
        <v>0</v>
      </c>
      <c r="CV616" t="s">
        <v>1045</v>
      </c>
      <c r="CW616">
        <v>0</v>
      </c>
      <c r="CX616">
        <v>0</v>
      </c>
      <c r="CY616">
        <v>0</v>
      </c>
      <c r="CZ616">
        <v>0</v>
      </c>
      <c r="DA616">
        <v>2</v>
      </c>
      <c r="DB616">
        <v>0</v>
      </c>
      <c r="DC616" t="s">
        <v>1043</v>
      </c>
      <c r="DF616" t="s">
        <v>1055</v>
      </c>
      <c r="DH616">
        <v>0</v>
      </c>
      <c r="DJ616">
        <v>0</v>
      </c>
      <c r="DK616" t="s">
        <v>1053</v>
      </c>
      <c r="DL616">
        <v>0</v>
      </c>
      <c r="DN616">
        <v>0</v>
      </c>
      <c r="DO616" t="s">
        <v>1042</v>
      </c>
      <c r="DP616">
        <v>0</v>
      </c>
      <c r="DQ616">
        <v>7.6</v>
      </c>
      <c r="DS616">
        <v>0</v>
      </c>
      <c r="DU616">
        <v>1.65</v>
      </c>
      <c r="DW616">
        <v>0</v>
      </c>
      <c r="DX616" t="s">
        <v>1043</v>
      </c>
      <c r="DY616">
        <v>0</v>
      </c>
      <c r="DZ616">
        <v>0</v>
      </c>
      <c r="EA616">
        <v>0</v>
      </c>
      <c r="EB616">
        <v>17897801313862</v>
      </c>
      <c r="ED616" t="s">
        <v>1045</v>
      </c>
      <c r="EE616">
        <v>0</v>
      </c>
      <c r="EF616">
        <v>0</v>
      </c>
      <c r="EL616">
        <v>57897801313860</v>
      </c>
      <c r="EN616" t="s">
        <v>1012</v>
      </c>
      <c r="EO616" t="s">
        <v>1044</v>
      </c>
      <c r="EQ616" t="s">
        <v>1044</v>
      </c>
      <c r="ES616" t="s">
        <v>1053</v>
      </c>
      <c r="ET616">
        <v>0</v>
      </c>
      <c r="EV616">
        <v>0</v>
      </c>
      <c r="EY616" t="s">
        <v>1052</v>
      </c>
      <c r="EZ616">
        <v>0</v>
      </c>
      <c r="FA616" t="s">
        <v>1043</v>
      </c>
      <c r="FB616">
        <v>0</v>
      </c>
      <c r="FC616">
        <v>0</v>
      </c>
      <c r="FD616" t="s">
        <v>1051</v>
      </c>
      <c r="FE616" t="s">
        <v>1050</v>
      </c>
      <c r="FF616">
        <v>0</v>
      </c>
      <c r="FG616" t="s">
        <v>1050</v>
      </c>
      <c r="FH616">
        <v>27897801313869</v>
      </c>
      <c r="FJ616">
        <v>0</v>
      </c>
      <c r="FK616">
        <v>0</v>
      </c>
      <c r="FP616">
        <v>0</v>
      </c>
      <c r="FQ616" t="s">
        <v>1044</v>
      </c>
      <c r="FR616">
        <v>0</v>
      </c>
      <c r="FS616" t="s">
        <v>1043</v>
      </c>
      <c r="FX616" t="s">
        <v>1042</v>
      </c>
      <c r="FZ616" t="s">
        <v>1048</v>
      </c>
      <c r="GA616">
        <v>0</v>
      </c>
      <c r="GB616" t="s">
        <v>1042</v>
      </c>
      <c r="GE616">
        <v>0</v>
      </c>
      <c r="GG616">
        <v>0</v>
      </c>
      <c r="GN616">
        <v>0</v>
      </c>
      <c r="GO616" t="s">
        <v>1063</v>
      </c>
      <c r="GQ616">
        <v>0</v>
      </c>
      <c r="GU616">
        <v>0</v>
      </c>
      <c r="GY616" t="s">
        <v>1045</v>
      </c>
      <c r="HB616">
        <v>0</v>
      </c>
      <c r="HE616">
        <v>0</v>
      </c>
      <c r="HF616">
        <v>0</v>
      </c>
      <c r="HG616">
        <v>3.304E-2</v>
      </c>
      <c r="HK616" t="s">
        <v>1042</v>
      </c>
      <c r="HL616" t="s">
        <v>1048</v>
      </c>
      <c r="HM616" t="s">
        <v>1047</v>
      </c>
      <c r="HN616">
        <v>0</v>
      </c>
      <c r="HO616">
        <v>17</v>
      </c>
      <c r="HP616">
        <v>0.32900000000000001</v>
      </c>
      <c r="HQ616">
        <v>0</v>
      </c>
      <c r="HR616" s="20">
        <v>44221</v>
      </c>
      <c r="HS616" t="s">
        <v>1043</v>
      </c>
      <c r="HT616">
        <v>0</v>
      </c>
      <c r="HU616">
        <v>0</v>
      </c>
      <c r="HW616">
        <v>0</v>
      </c>
      <c r="HX616">
        <v>299</v>
      </c>
      <c r="HY616">
        <v>1</v>
      </c>
      <c r="HZ616" t="s">
        <v>1045</v>
      </c>
      <c r="IA616">
        <v>14.36</v>
      </c>
      <c r="IB616" t="s">
        <v>1045</v>
      </c>
      <c r="ID616" t="s">
        <v>1045</v>
      </c>
      <c r="IF616">
        <v>420</v>
      </c>
      <c r="IG616" s="20">
        <v>42177</v>
      </c>
      <c r="II616" t="s">
        <v>1042</v>
      </c>
      <c r="IR616" t="s">
        <v>1045</v>
      </c>
      <c r="IT616">
        <v>0</v>
      </c>
      <c r="IY616" t="s">
        <v>1044</v>
      </c>
      <c r="IZ616" t="s">
        <v>1043</v>
      </c>
      <c r="JA616" t="s">
        <v>1043</v>
      </c>
      <c r="JC616" t="s">
        <v>1043</v>
      </c>
      <c r="JE616">
        <v>0</v>
      </c>
      <c r="JF616">
        <v>0</v>
      </c>
      <c r="JI616" t="s">
        <v>1042</v>
      </c>
      <c r="JJ616">
        <v>0</v>
      </c>
      <c r="JK616">
        <v>0</v>
      </c>
      <c r="JL616">
        <v>0</v>
      </c>
      <c r="JM616">
        <v>0</v>
      </c>
      <c r="JQ616" t="s">
        <v>1043</v>
      </c>
      <c r="JT616">
        <v>0</v>
      </c>
      <c r="JU616" t="s">
        <v>1042</v>
      </c>
      <c r="JW616">
        <v>0</v>
      </c>
      <c r="KA616">
        <v>0</v>
      </c>
      <c r="KF616">
        <v>0</v>
      </c>
      <c r="KG616">
        <v>0</v>
      </c>
      <c r="KH616">
        <v>0</v>
      </c>
      <c r="KI616">
        <v>0</v>
      </c>
      <c r="KP616" t="s">
        <v>1045</v>
      </c>
      <c r="KS616" t="s">
        <v>1041</v>
      </c>
      <c r="KT616">
        <v>0</v>
      </c>
      <c r="KU616">
        <v>0</v>
      </c>
      <c r="KV616">
        <v>0</v>
      </c>
      <c r="KX616">
        <v>0</v>
      </c>
      <c r="KY616" t="s">
        <v>1045</v>
      </c>
      <c r="KZ616">
        <v>0</v>
      </c>
      <c r="LF616">
        <v>0</v>
      </c>
      <c r="LH616">
        <v>0</v>
      </c>
      <c r="LI616">
        <v>0</v>
      </c>
    </row>
    <row r="617" spans="1:321" x14ac:dyDescent="0.35">
      <c r="A617">
        <v>1</v>
      </c>
      <c r="B617">
        <v>1411</v>
      </c>
      <c r="C617" t="s">
        <v>1141</v>
      </c>
      <c r="D617" t="s">
        <v>1089</v>
      </c>
      <c r="E617" t="s">
        <v>85</v>
      </c>
      <c r="F617">
        <v>1</v>
      </c>
      <c r="G617">
        <v>8890</v>
      </c>
      <c r="H617">
        <v>0</v>
      </c>
      <c r="I617" t="s">
        <v>994</v>
      </c>
      <c r="M617">
        <v>0</v>
      </c>
      <c r="N617">
        <v>0</v>
      </c>
      <c r="P617">
        <v>77</v>
      </c>
      <c r="Q617">
        <v>902</v>
      </c>
      <c r="R617">
        <v>0</v>
      </c>
      <c r="S617">
        <v>0</v>
      </c>
      <c r="W617" t="s">
        <v>1060</v>
      </c>
      <c r="X617">
        <v>0</v>
      </c>
      <c r="Z617">
        <v>1</v>
      </c>
      <c r="AA617">
        <v>0</v>
      </c>
      <c r="AB617">
        <v>0</v>
      </c>
      <c r="AC617">
        <v>0</v>
      </c>
      <c r="AD617" t="s">
        <v>1042</v>
      </c>
      <c r="AE617">
        <v>0</v>
      </c>
      <c r="AF617">
        <v>0</v>
      </c>
      <c r="AH617">
        <v>0</v>
      </c>
      <c r="AJ617">
        <v>0</v>
      </c>
      <c r="AL617">
        <v>0</v>
      </c>
      <c r="AM617">
        <v>0</v>
      </c>
      <c r="AN617">
        <v>11501008</v>
      </c>
      <c r="AO617">
        <v>0</v>
      </c>
      <c r="AP617">
        <v>1001</v>
      </c>
      <c r="AT617">
        <v>0</v>
      </c>
      <c r="AW617" t="s">
        <v>1053</v>
      </c>
      <c r="AX617">
        <v>0</v>
      </c>
      <c r="AY617" s="20">
        <v>44391</v>
      </c>
      <c r="BA617" s="20">
        <v>44391</v>
      </c>
      <c r="BB617" t="s">
        <v>1058</v>
      </c>
      <c r="BD617">
        <v>0</v>
      </c>
      <c r="BF617" t="s">
        <v>1044</v>
      </c>
      <c r="BG617" t="s">
        <v>1042</v>
      </c>
      <c r="BH617">
        <v>0</v>
      </c>
      <c r="BI617">
        <v>6</v>
      </c>
      <c r="BJ617">
        <v>0</v>
      </c>
      <c r="BK617">
        <v>0</v>
      </c>
      <c r="BM617" t="s">
        <v>1042</v>
      </c>
      <c r="BN617">
        <v>0</v>
      </c>
      <c r="BS617" t="s">
        <v>1043</v>
      </c>
      <c r="BT617" t="s">
        <v>1043</v>
      </c>
      <c r="BW617">
        <v>2</v>
      </c>
      <c r="BY617">
        <v>10</v>
      </c>
      <c r="CA617">
        <v>0</v>
      </c>
      <c r="CB617" t="s">
        <v>1043</v>
      </c>
      <c r="CE617" t="s">
        <v>1043</v>
      </c>
      <c r="CH617" t="s">
        <v>1043</v>
      </c>
      <c r="CN617" t="s">
        <v>1074</v>
      </c>
      <c r="CO617" t="s">
        <v>1043</v>
      </c>
      <c r="CP617">
        <v>1</v>
      </c>
      <c r="CQ617">
        <v>0</v>
      </c>
      <c r="CS617">
        <v>0</v>
      </c>
      <c r="CT617">
        <v>0</v>
      </c>
      <c r="CU617">
        <v>0</v>
      </c>
      <c r="CV617" t="s">
        <v>1045</v>
      </c>
      <c r="CW617">
        <v>0</v>
      </c>
      <c r="CX617">
        <v>0</v>
      </c>
      <c r="CY617">
        <v>0</v>
      </c>
      <c r="CZ617">
        <v>0</v>
      </c>
      <c r="DB617">
        <v>0</v>
      </c>
      <c r="DC617" t="s">
        <v>1043</v>
      </c>
      <c r="DF617" t="s">
        <v>1055</v>
      </c>
      <c r="DH617">
        <v>0</v>
      </c>
      <c r="DJ617">
        <v>0</v>
      </c>
      <c r="DK617" t="s">
        <v>1053</v>
      </c>
      <c r="DL617">
        <v>0</v>
      </c>
      <c r="DN617">
        <v>0</v>
      </c>
      <c r="DO617" t="s">
        <v>1042</v>
      </c>
      <c r="DP617">
        <v>0</v>
      </c>
      <c r="DQ617">
        <v>7</v>
      </c>
      <c r="DS617">
        <v>0</v>
      </c>
      <c r="DU617">
        <v>1</v>
      </c>
      <c r="DW617">
        <v>0</v>
      </c>
      <c r="DX617" t="s">
        <v>1043</v>
      </c>
      <c r="DY617">
        <v>0</v>
      </c>
      <c r="DZ617">
        <v>0</v>
      </c>
      <c r="EA617">
        <v>0</v>
      </c>
      <c r="ED617" t="s">
        <v>1045</v>
      </c>
      <c r="EE617">
        <v>0</v>
      </c>
      <c r="EF617">
        <v>0</v>
      </c>
      <c r="EQ617" t="s">
        <v>1044</v>
      </c>
      <c r="ES617" t="s">
        <v>1053</v>
      </c>
      <c r="ET617">
        <v>0</v>
      </c>
      <c r="EV617">
        <v>0</v>
      </c>
      <c r="EY617" t="s">
        <v>1052</v>
      </c>
      <c r="EZ617">
        <v>0</v>
      </c>
      <c r="FA617" t="s">
        <v>1043</v>
      </c>
      <c r="FB617">
        <v>0</v>
      </c>
      <c r="FC617">
        <v>0</v>
      </c>
      <c r="FE617" t="s">
        <v>1050</v>
      </c>
      <c r="FF617">
        <v>0</v>
      </c>
      <c r="FG617" t="s">
        <v>1050</v>
      </c>
      <c r="FJ617">
        <v>0</v>
      </c>
      <c r="FK617">
        <v>0</v>
      </c>
      <c r="FP617">
        <v>0</v>
      </c>
      <c r="FQ617" t="s">
        <v>1044</v>
      </c>
      <c r="FR617">
        <v>0</v>
      </c>
      <c r="FS617" t="s">
        <v>1043</v>
      </c>
      <c r="FX617" t="s">
        <v>1042</v>
      </c>
      <c r="FZ617" t="s">
        <v>1048</v>
      </c>
      <c r="GA617">
        <v>0</v>
      </c>
      <c r="GB617" t="s">
        <v>1042</v>
      </c>
      <c r="GE617">
        <v>0</v>
      </c>
      <c r="GG617">
        <v>0</v>
      </c>
      <c r="GN617">
        <v>0</v>
      </c>
      <c r="GO617" t="s">
        <v>1063</v>
      </c>
      <c r="GQ617">
        <v>0</v>
      </c>
      <c r="GU617">
        <v>0</v>
      </c>
      <c r="GY617" t="s">
        <v>1045</v>
      </c>
      <c r="HB617">
        <v>0</v>
      </c>
      <c r="HE617">
        <v>0</v>
      </c>
      <c r="HF617">
        <v>0</v>
      </c>
      <c r="HG617">
        <v>0</v>
      </c>
      <c r="HK617" t="s">
        <v>1042</v>
      </c>
      <c r="HM617" t="s">
        <v>1047</v>
      </c>
      <c r="HN617">
        <v>0</v>
      </c>
      <c r="HP617">
        <v>0</v>
      </c>
      <c r="HQ617">
        <v>0</v>
      </c>
      <c r="HR617" t="s">
        <v>1042</v>
      </c>
      <c r="HS617" t="s">
        <v>1043</v>
      </c>
      <c r="HT617">
        <v>0</v>
      </c>
      <c r="HU617">
        <v>0</v>
      </c>
      <c r="HV617" t="s">
        <v>1088</v>
      </c>
      <c r="HW617">
        <v>0</v>
      </c>
      <c r="HX617">
        <v>0</v>
      </c>
      <c r="HY617">
        <v>0</v>
      </c>
      <c r="HZ617" t="s">
        <v>1045</v>
      </c>
      <c r="IA617">
        <v>0</v>
      </c>
      <c r="IB617" t="s">
        <v>1045</v>
      </c>
      <c r="ID617" t="s">
        <v>1045</v>
      </c>
      <c r="IF617">
        <v>0</v>
      </c>
      <c r="IG617" t="s">
        <v>1042</v>
      </c>
      <c r="II617" t="s">
        <v>1042</v>
      </c>
      <c r="IR617" t="s">
        <v>1045</v>
      </c>
      <c r="IT617">
        <v>0</v>
      </c>
      <c r="IY617" t="s">
        <v>1044</v>
      </c>
      <c r="IZ617" t="s">
        <v>1043</v>
      </c>
      <c r="JA617" t="s">
        <v>1043</v>
      </c>
      <c r="JC617" t="s">
        <v>1043</v>
      </c>
      <c r="JE617">
        <v>0</v>
      </c>
      <c r="JF617">
        <v>0</v>
      </c>
      <c r="JI617" t="s">
        <v>1042</v>
      </c>
      <c r="JJ617">
        <v>0</v>
      </c>
      <c r="JK617">
        <v>0</v>
      </c>
      <c r="JL617">
        <v>0</v>
      </c>
      <c r="JM617">
        <v>0</v>
      </c>
      <c r="JQ617" t="s">
        <v>1043</v>
      </c>
      <c r="JT617">
        <v>0</v>
      </c>
      <c r="JU617" t="s">
        <v>1042</v>
      </c>
      <c r="JW617">
        <v>0</v>
      </c>
      <c r="KA617">
        <v>0</v>
      </c>
      <c r="KF617">
        <v>0</v>
      </c>
      <c r="KG617">
        <v>0</v>
      </c>
      <c r="KH617">
        <v>0</v>
      </c>
      <c r="KI617">
        <v>0</v>
      </c>
      <c r="KJ617" t="s">
        <v>1044</v>
      </c>
      <c r="KS617" t="s">
        <v>1073</v>
      </c>
      <c r="KT617">
        <v>0</v>
      </c>
      <c r="KU617">
        <v>0</v>
      </c>
      <c r="KV617">
        <v>0</v>
      </c>
      <c r="KX617">
        <v>0</v>
      </c>
      <c r="KY617" t="s">
        <v>1045</v>
      </c>
      <c r="KZ617">
        <v>0</v>
      </c>
      <c r="LF617">
        <v>0</v>
      </c>
      <c r="LH617">
        <v>0</v>
      </c>
      <c r="LI617">
        <v>0</v>
      </c>
    </row>
    <row r="618" spans="1:321" x14ac:dyDescent="0.35">
      <c r="A618">
        <v>1</v>
      </c>
      <c r="B618">
        <v>14127</v>
      </c>
      <c r="C618" t="s">
        <v>1140</v>
      </c>
      <c r="D618" t="s">
        <v>1139</v>
      </c>
      <c r="E618" t="s">
        <v>85</v>
      </c>
      <c r="F618">
        <v>80</v>
      </c>
      <c r="G618">
        <v>9000</v>
      </c>
      <c r="H618">
        <v>0</v>
      </c>
      <c r="I618" t="s">
        <v>1138</v>
      </c>
      <c r="L618">
        <v>0</v>
      </c>
      <c r="M618">
        <v>0</v>
      </c>
      <c r="N618">
        <v>0</v>
      </c>
      <c r="R618">
        <v>0</v>
      </c>
      <c r="S618">
        <v>0</v>
      </c>
      <c r="W618" t="s">
        <v>1060</v>
      </c>
      <c r="X618">
        <v>0</v>
      </c>
      <c r="Z618">
        <v>1</v>
      </c>
      <c r="AA618">
        <v>0</v>
      </c>
      <c r="AB618">
        <v>0</v>
      </c>
      <c r="AC618">
        <v>94.42</v>
      </c>
      <c r="AD618" s="20">
        <v>42102</v>
      </c>
      <c r="AE618">
        <v>104.04</v>
      </c>
      <c r="AF618">
        <v>0</v>
      </c>
      <c r="AH618">
        <v>0</v>
      </c>
      <c r="AJ618">
        <v>0</v>
      </c>
      <c r="AL618">
        <v>1</v>
      </c>
      <c r="AM618">
        <v>0</v>
      </c>
      <c r="AN618">
        <v>16601001</v>
      </c>
      <c r="AO618">
        <v>0</v>
      </c>
      <c r="AP618">
        <v>1000</v>
      </c>
      <c r="AT618">
        <v>0</v>
      </c>
      <c r="AU618" t="s">
        <v>1059</v>
      </c>
      <c r="AW618" t="s">
        <v>1053</v>
      </c>
      <c r="AX618">
        <v>0</v>
      </c>
      <c r="AY618" s="20">
        <v>40766</v>
      </c>
      <c r="BA618" s="20">
        <v>40766</v>
      </c>
      <c r="BB618" t="s">
        <v>1058</v>
      </c>
      <c r="BD618">
        <v>0</v>
      </c>
      <c r="BF618" t="s">
        <v>1043</v>
      </c>
      <c r="BG618" t="s">
        <v>1042</v>
      </c>
      <c r="BH618">
        <v>0</v>
      </c>
      <c r="BI618">
        <v>1</v>
      </c>
      <c r="BJ618">
        <v>0</v>
      </c>
      <c r="BK618">
        <v>0</v>
      </c>
      <c r="BM618" t="s">
        <v>1042</v>
      </c>
      <c r="BN618">
        <v>0</v>
      </c>
      <c r="BO618">
        <v>3457801092586</v>
      </c>
      <c r="BR618" t="s">
        <v>1043</v>
      </c>
      <c r="BS618" t="s">
        <v>1043</v>
      </c>
      <c r="BT618" t="s">
        <v>1043</v>
      </c>
      <c r="BW618">
        <v>83</v>
      </c>
      <c r="CA618">
        <v>0</v>
      </c>
      <c r="CB618" t="s">
        <v>1057</v>
      </c>
      <c r="CE618" t="s">
        <v>1043</v>
      </c>
      <c r="CH618" t="s">
        <v>1043</v>
      </c>
      <c r="CN618" t="s">
        <v>1056</v>
      </c>
      <c r="CO618" t="s">
        <v>1043</v>
      </c>
      <c r="CP618">
        <v>1</v>
      </c>
      <c r="CQ618">
        <v>0</v>
      </c>
      <c r="CS618">
        <v>0</v>
      </c>
      <c r="CT618">
        <v>0</v>
      </c>
      <c r="CU618">
        <v>0</v>
      </c>
      <c r="CV618" t="s">
        <v>1045</v>
      </c>
      <c r="CW618">
        <v>0</v>
      </c>
      <c r="CX618">
        <v>0</v>
      </c>
      <c r="CY618">
        <v>0</v>
      </c>
      <c r="CZ618">
        <v>0</v>
      </c>
      <c r="DB618">
        <v>0</v>
      </c>
      <c r="DC618" t="s">
        <v>1043</v>
      </c>
      <c r="DF618" t="s">
        <v>1055</v>
      </c>
      <c r="DH618">
        <v>0</v>
      </c>
      <c r="DJ618">
        <v>0</v>
      </c>
      <c r="DK618" t="s">
        <v>1053</v>
      </c>
      <c r="DL618">
        <v>0</v>
      </c>
      <c r="DN618">
        <v>0</v>
      </c>
      <c r="DO618" t="s">
        <v>1042</v>
      </c>
      <c r="DP618">
        <v>0</v>
      </c>
      <c r="DQ618">
        <v>0</v>
      </c>
      <c r="DS618">
        <v>0</v>
      </c>
      <c r="DU618">
        <v>0</v>
      </c>
      <c r="DW618">
        <v>0</v>
      </c>
      <c r="DX618" t="s">
        <v>1043</v>
      </c>
      <c r="DY618">
        <v>0</v>
      </c>
      <c r="DZ618">
        <v>0</v>
      </c>
      <c r="EA618">
        <v>0</v>
      </c>
      <c r="ED618" t="s">
        <v>1045</v>
      </c>
      <c r="EE618">
        <v>0</v>
      </c>
      <c r="EF618">
        <v>0</v>
      </c>
      <c r="EQ618" t="s">
        <v>1044</v>
      </c>
      <c r="ES618" t="s">
        <v>1053</v>
      </c>
      <c r="ET618">
        <v>0</v>
      </c>
      <c r="EV618">
        <v>0</v>
      </c>
      <c r="EY618" t="s">
        <v>1052</v>
      </c>
      <c r="EZ618">
        <v>0</v>
      </c>
      <c r="FA618" t="s">
        <v>1043</v>
      </c>
      <c r="FB618">
        <v>0</v>
      </c>
      <c r="FC618">
        <v>0</v>
      </c>
      <c r="FE618" t="s">
        <v>1050</v>
      </c>
      <c r="FF618">
        <v>0</v>
      </c>
      <c r="FG618" t="s">
        <v>1050</v>
      </c>
      <c r="FJ618">
        <v>0</v>
      </c>
      <c r="FK618">
        <v>0</v>
      </c>
      <c r="FP618">
        <v>0</v>
      </c>
      <c r="FR618">
        <v>0</v>
      </c>
      <c r="FS618" t="s">
        <v>1043</v>
      </c>
      <c r="FX618" t="s">
        <v>1042</v>
      </c>
      <c r="FZ618" t="s">
        <v>1048</v>
      </c>
      <c r="GA618">
        <v>0</v>
      </c>
      <c r="GB618" t="s">
        <v>1042</v>
      </c>
      <c r="GE618">
        <v>0</v>
      </c>
      <c r="GG618">
        <v>0</v>
      </c>
      <c r="GN618">
        <v>0</v>
      </c>
      <c r="GO618" t="s">
        <v>1063</v>
      </c>
      <c r="GQ618">
        <v>0</v>
      </c>
      <c r="GU618">
        <v>0</v>
      </c>
      <c r="GY618" t="s">
        <v>1045</v>
      </c>
      <c r="HB618">
        <v>0</v>
      </c>
      <c r="HE618">
        <v>0</v>
      </c>
      <c r="HF618">
        <v>0</v>
      </c>
      <c r="HG618">
        <v>0</v>
      </c>
      <c r="HK618" t="s">
        <v>1042</v>
      </c>
      <c r="HM618" t="s">
        <v>1047</v>
      </c>
      <c r="HN618">
        <v>0</v>
      </c>
      <c r="HP618">
        <v>0</v>
      </c>
      <c r="HQ618">
        <v>0</v>
      </c>
      <c r="HR618" t="s">
        <v>1042</v>
      </c>
      <c r="HS618" t="s">
        <v>1043</v>
      </c>
      <c r="HT618">
        <v>0</v>
      </c>
      <c r="HU618">
        <v>0</v>
      </c>
      <c r="HW618">
        <v>0</v>
      </c>
      <c r="HX618">
        <v>0</v>
      </c>
      <c r="HY618">
        <v>0</v>
      </c>
      <c r="HZ618" t="s">
        <v>1045</v>
      </c>
      <c r="IA618">
        <v>0</v>
      </c>
      <c r="IB618" t="s">
        <v>1045</v>
      </c>
      <c r="ID618" t="s">
        <v>1045</v>
      </c>
      <c r="IF618">
        <v>0</v>
      </c>
      <c r="IG618" t="s">
        <v>1042</v>
      </c>
      <c r="II618" t="s">
        <v>1042</v>
      </c>
      <c r="IR618" t="s">
        <v>1045</v>
      </c>
      <c r="IT618">
        <v>0</v>
      </c>
      <c r="IY618" t="s">
        <v>1044</v>
      </c>
      <c r="IZ618" t="s">
        <v>1043</v>
      </c>
      <c r="JC618" t="s">
        <v>1043</v>
      </c>
      <c r="JE618">
        <v>0</v>
      </c>
      <c r="JF618">
        <v>0</v>
      </c>
      <c r="JI618" t="s">
        <v>1042</v>
      </c>
      <c r="JJ618">
        <v>0</v>
      </c>
      <c r="JK618">
        <v>0</v>
      </c>
      <c r="JL618">
        <v>0</v>
      </c>
      <c r="JM618">
        <v>0</v>
      </c>
      <c r="JQ618" t="s">
        <v>1043</v>
      </c>
      <c r="JT618">
        <v>0</v>
      </c>
      <c r="JU618" t="s">
        <v>1042</v>
      </c>
      <c r="JW618">
        <v>0</v>
      </c>
      <c r="KA618">
        <v>0</v>
      </c>
      <c r="KF618">
        <v>0</v>
      </c>
      <c r="KG618">
        <v>0</v>
      </c>
      <c r="KH618">
        <v>0</v>
      </c>
      <c r="KI618">
        <v>0</v>
      </c>
      <c r="KS618" t="s">
        <v>1073</v>
      </c>
      <c r="KT618">
        <v>0</v>
      </c>
      <c r="KU618">
        <v>0</v>
      </c>
      <c r="KV618">
        <v>0</v>
      </c>
      <c r="KX618">
        <v>0</v>
      </c>
      <c r="KZ618">
        <v>0</v>
      </c>
      <c r="LF618">
        <v>0</v>
      </c>
      <c r="LH618">
        <v>0</v>
      </c>
      <c r="LI618">
        <v>0</v>
      </c>
    </row>
    <row r="619" spans="1:321" x14ac:dyDescent="0.35">
      <c r="A619">
        <v>1</v>
      </c>
      <c r="B619">
        <v>1413</v>
      </c>
      <c r="C619" t="s">
        <v>1137</v>
      </c>
      <c r="D619" t="s">
        <v>1089</v>
      </c>
      <c r="E619" t="s">
        <v>85</v>
      </c>
      <c r="F619">
        <v>1</v>
      </c>
      <c r="G619">
        <v>8890</v>
      </c>
      <c r="H619">
        <v>0</v>
      </c>
      <c r="I619" t="s">
        <v>994</v>
      </c>
      <c r="M619">
        <v>0</v>
      </c>
      <c r="N619">
        <v>0</v>
      </c>
      <c r="P619">
        <v>77</v>
      </c>
      <c r="Q619">
        <v>902</v>
      </c>
      <c r="R619">
        <v>0</v>
      </c>
      <c r="S619">
        <v>0</v>
      </c>
      <c r="W619" t="s">
        <v>1060</v>
      </c>
      <c r="X619">
        <v>0</v>
      </c>
      <c r="Z619">
        <v>20</v>
      </c>
      <c r="AA619">
        <v>0</v>
      </c>
      <c r="AB619">
        <v>0</v>
      </c>
      <c r="AC619">
        <v>0</v>
      </c>
      <c r="AD619" t="s">
        <v>1042</v>
      </c>
      <c r="AE619">
        <v>0</v>
      </c>
      <c r="AF619">
        <v>0</v>
      </c>
      <c r="AH619">
        <v>0</v>
      </c>
      <c r="AJ619">
        <v>0</v>
      </c>
      <c r="AL619">
        <v>0</v>
      </c>
      <c r="AM619">
        <v>0</v>
      </c>
      <c r="AN619">
        <v>11501008</v>
      </c>
      <c r="AO619">
        <v>0</v>
      </c>
      <c r="AP619">
        <v>1001</v>
      </c>
      <c r="AT619">
        <v>0</v>
      </c>
      <c r="AW619" t="s">
        <v>1053</v>
      </c>
      <c r="AX619">
        <v>0</v>
      </c>
      <c r="AY619" s="20">
        <v>44391</v>
      </c>
      <c r="BA619" s="20">
        <v>44391</v>
      </c>
      <c r="BB619" t="s">
        <v>1058</v>
      </c>
      <c r="BD619">
        <v>0</v>
      </c>
      <c r="BF619" t="s">
        <v>1044</v>
      </c>
      <c r="BG619" t="s">
        <v>1042</v>
      </c>
      <c r="BH619">
        <v>0</v>
      </c>
      <c r="BI619">
        <v>6</v>
      </c>
      <c r="BJ619">
        <v>0</v>
      </c>
      <c r="BK619">
        <v>0</v>
      </c>
      <c r="BM619" t="s">
        <v>1042</v>
      </c>
      <c r="BN619">
        <v>0</v>
      </c>
      <c r="BS619" t="s">
        <v>1043</v>
      </c>
      <c r="BT619" t="s">
        <v>1043</v>
      </c>
      <c r="BW619">
        <v>2</v>
      </c>
      <c r="BY619">
        <v>10</v>
      </c>
      <c r="CA619">
        <v>0</v>
      </c>
      <c r="CB619" t="s">
        <v>1043</v>
      </c>
      <c r="CE619" t="s">
        <v>1043</v>
      </c>
      <c r="CH619" t="s">
        <v>1043</v>
      </c>
      <c r="CN619" t="s">
        <v>1074</v>
      </c>
      <c r="CO619" t="s">
        <v>1043</v>
      </c>
      <c r="CP619">
        <v>1</v>
      </c>
      <c r="CQ619">
        <v>0</v>
      </c>
      <c r="CS619">
        <v>0</v>
      </c>
      <c r="CT619">
        <v>0</v>
      </c>
      <c r="CU619">
        <v>0</v>
      </c>
      <c r="CV619" t="s">
        <v>1045</v>
      </c>
      <c r="CW619">
        <v>0</v>
      </c>
      <c r="CX619">
        <v>0</v>
      </c>
      <c r="CY619">
        <v>0</v>
      </c>
      <c r="CZ619">
        <v>0</v>
      </c>
      <c r="DB619">
        <v>0</v>
      </c>
      <c r="DC619" t="s">
        <v>1043</v>
      </c>
      <c r="DF619" t="s">
        <v>1055</v>
      </c>
      <c r="DH619">
        <v>0</v>
      </c>
      <c r="DJ619">
        <v>0</v>
      </c>
      <c r="DK619" t="s">
        <v>1053</v>
      </c>
      <c r="DL619">
        <v>0</v>
      </c>
      <c r="DN619">
        <v>0</v>
      </c>
      <c r="DO619" t="s">
        <v>1042</v>
      </c>
      <c r="DP619">
        <v>0</v>
      </c>
      <c r="DQ619">
        <v>7</v>
      </c>
      <c r="DS619">
        <v>0</v>
      </c>
      <c r="DU619">
        <v>1</v>
      </c>
      <c r="DW619">
        <v>0</v>
      </c>
      <c r="DX619" t="s">
        <v>1043</v>
      </c>
      <c r="DY619">
        <v>0</v>
      </c>
      <c r="DZ619">
        <v>0</v>
      </c>
      <c r="EA619">
        <v>0</v>
      </c>
      <c r="ED619" t="s">
        <v>1045</v>
      </c>
      <c r="EE619">
        <v>0</v>
      </c>
      <c r="EF619">
        <v>0</v>
      </c>
      <c r="EQ619" t="s">
        <v>1044</v>
      </c>
      <c r="ES619" t="s">
        <v>1053</v>
      </c>
      <c r="ET619">
        <v>0</v>
      </c>
      <c r="EV619">
        <v>0</v>
      </c>
      <c r="EY619" t="s">
        <v>1052</v>
      </c>
      <c r="EZ619">
        <v>0</v>
      </c>
      <c r="FA619" t="s">
        <v>1043</v>
      </c>
      <c r="FB619">
        <v>0</v>
      </c>
      <c r="FC619">
        <v>0</v>
      </c>
      <c r="FE619" t="s">
        <v>1050</v>
      </c>
      <c r="FF619">
        <v>0</v>
      </c>
      <c r="FG619" t="s">
        <v>1050</v>
      </c>
      <c r="FJ619">
        <v>0</v>
      </c>
      <c r="FK619">
        <v>0</v>
      </c>
      <c r="FP619">
        <v>0</v>
      </c>
      <c r="FQ619" t="s">
        <v>1044</v>
      </c>
      <c r="FR619">
        <v>0</v>
      </c>
      <c r="FS619" t="s">
        <v>1043</v>
      </c>
      <c r="FX619" t="s">
        <v>1042</v>
      </c>
      <c r="FZ619" t="s">
        <v>1048</v>
      </c>
      <c r="GA619">
        <v>0</v>
      </c>
      <c r="GB619" t="s">
        <v>1042</v>
      </c>
      <c r="GE619">
        <v>0</v>
      </c>
      <c r="GG619">
        <v>0</v>
      </c>
      <c r="GN619">
        <v>0</v>
      </c>
      <c r="GO619" t="s">
        <v>1063</v>
      </c>
      <c r="GQ619">
        <v>0</v>
      </c>
      <c r="GU619">
        <v>0</v>
      </c>
      <c r="GY619" t="s">
        <v>1045</v>
      </c>
      <c r="HB619">
        <v>0</v>
      </c>
      <c r="HE619">
        <v>0</v>
      </c>
      <c r="HF619">
        <v>0</v>
      </c>
      <c r="HG619">
        <v>0</v>
      </c>
      <c r="HK619" t="s">
        <v>1042</v>
      </c>
      <c r="HM619" t="s">
        <v>1047</v>
      </c>
      <c r="HN619">
        <v>0</v>
      </c>
      <c r="HP619">
        <v>0</v>
      </c>
      <c r="HQ619">
        <v>0</v>
      </c>
      <c r="HR619" t="s">
        <v>1042</v>
      </c>
      <c r="HS619" t="s">
        <v>1043</v>
      </c>
      <c r="HT619">
        <v>0</v>
      </c>
      <c r="HU619">
        <v>0</v>
      </c>
      <c r="HV619" t="s">
        <v>1088</v>
      </c>
      <c r="HW619">
        <v>0</v>
      </c>
      <c r="HX619">
        <v>0</v>
      </c>
      <c r="HY619">
        <v>0</v>
      </c>
      <c r="HZ619" t="s">
        <v>1045</v>
      </c>
      <c r="IA619">
        <v>0</v>
      </c>
      <c r="IB619" t="s">
        <v>1045</v>
      </c>
      <c r="ID619" t="s">
        <v>1045</v>
      </c>
      <c r="IF619">
        <v>0</v>
      </c>
      <c r="IG619" t="s">
        <v>1042</v>
      </c>
      <c r="II619" t="s">
        <v>1042</v>
      </c>
      <c r="IR619" t="s">
        <v>1045</v>
      </c>
      <c r="IT619">
        <v>0</v>
      </c>
      <c r="IY619" t="s">
        <v>1044</v>
      </c>
      <c r="IZ619" t="s">
        <v>1043</v>
      </c>
      <c r="JA619" t="s">
        <v>1043</v>
      </c>
      <c r="JC619" t="s">
        <v>1043</v>
      </c>
      <c r="JE619">
        <v>0</v>
      </c>
      <c r="JF619">
        <v>0</v>
      </c>
      <c r="JI619" t="s">
        <v>1042</v>
      </c>
      <c r="JJ619">
        <v>0</v>
      </c>
      <c r="JK619">
        <v>0</v>
      </c>
      <c r="JL619">
        <v>0</v>
      </c>
      <c r="JM619">
        <v>0</v>
      </c>
      <c r="JQ619" t="s">
        <v>1043</v>
      </c>
      <c r="JT619">
        <v>0</v>
      </c>
      <c r="JU619" t="s">
        <v>1042</v>
      </c>
      <c r="JW619">
        <v>0</v>
      </c>
      <c r="KA619">
        <v>0</v>
      </c>
      <c r="KF619">
        <v>0</v>
      </c>
      <c r="KG619">
        <v>0</v>
      </c>
      <c r="KH619">
        <v>0</v>
      </c>
      <c r="KI619">
        <v>0</v>
      </c>
      <c r="KJ619" t="s">
        <v>1044</v>
      </c>
      <c r="KS619" t="s">
        <v>1073</v>
      </c>
      <c r="KT619">
        <v>0</v>
      </c>
      <c r="KU619">
        <v>0</v>
      </c>
      <c r="KV619">
        <v>0</v>
      </c>
      <c r="KX619">
        <v>0</v>
      </c>
      <c r="KY619" t="s">
        <v>1045</v>
      </c>
      <c r="KZ619">
        <v>0</v>
      </c>
      <c r="LF619">
        <v>0</v>
      </c>
      <c r="LH619">
        <v>0</v>
      </c>
      <c r="LI619">
        <v>0</v>
      </c>
    </row>
    <row r="620" spans="1:321" x14ac:dyDescent="0.35">
      <c r="A620">
        <v>1</v>
      </c>
      <c r="B620">
        <v>1414</v>
      </c>
      <c r="C620" t="s">
        <v>1136</v>
      </c>
      <c r="D620" t="s">
        <v>1089</v>
      </c>
      <c r="E620" t="s">
        <v>85</v>
      </c>
      <c r="F620">
        <v>1</v>
      </c>
      <c r="G620">
        <v>8890</v>
      </c>
      <c r="H620">
        <v>0</v>
      </c>
      <c r="I620" t="s">
        <v>994</v>
      </c>
      <c r="M620">
        <v>0</v>
      </c>
      <c r="N620">
        <v>0</v>
      </c>
      <c r="P620">
        <v>77</v>
      </c>
      <c r="Q620">
        <v>902</v>
      </c>
      <c r="R620">
        <v>0</v>
      </c>
      <c r="S620">
        <v>0</v>
      </c>
      <c r="W620" t="s">
        <v>1060</v>
      </c>
      <c r="X620">
        <v>0</v>
      </c>
      <c r="Z620">
        <v>20</v>
      </c>
      <c r="AA620">
        <v>0</v>
      </c>
      <c r="AB620">
        <v>0</v>
      </c>
      <c r="AC620">
        <v>0</v>
      </c>
      <c r="AD620" t="s">
        <v>1042</v>
      </c>
      <c r="AE620">
        <v>0</v>
      </c>
      <c r="AF620">
        <v>0</v>
      </c>
      <c r="AH620">
        <v>0</v>
      </c>
      <c r="AJ620">
        <v>0</v>
      </c>
      <c r="AL620">
        <v>0</v>
      </c>
      <c r="AM620">
        <v>0</v>
      </c>
      <c r="AN620">
        <v>11501008</v>
      </c>
      <c r="AO620">
        <v>0</v>
      </c>
      <c r="AP620">
        <v>1001</v>
      </c>
      <c r="AT620">
        <v>0</v>
      </c>
      <c r="AW620" t="s">
        <v>1053</v>
      </c>
      <c r="AX620">
        <v>0</v>
      </c>
      <c r="AY620" s="20">
        <v>44391</v>
      </c>
      <c r="BA620" s="20">
        <v>44391</v>
      </c>
      <c r="BB620" t="s">
        <v>1058</v>
      </c>
      <c r="BD620">
        <v>0</v>
      </c>
      <c r="BF620" t="s">
        <v>1044</v>
      </c>
      <c r="BG620" t="s">
        <v>1042</v>
      </c>
      <c r="BH620">
        <v>0</v>
      </c>
      <c r="BI620">
        <v>6</v>
      </c>
      <c r="BJ620">
        <v>0</v>
      </c>
      <c r="BK620">
        <v>0</v>
      </c>
      <c r="BM620" t="s">
        <v>1042</v>
      </c>
      <c r="BN620">
        <v>0</v>
      </c>
      <c r="BS620" t="s">
        <v>1043</v>
      </c>
      <c r="BT620" t="s">
        <v>1043</v>
      </c>
      <c r="BW620">
        <v>2</v>
      </c>
      <c r="BY620">
        <v>10</v>
      </c>
      <c r="CA620">
        <v>0</v>
      </c>
      <c r="CB620" t="s">
        <v>1043</v>
      </c>
      <c r="CE620" t="s">
        <v>1043</v>
      </c>
      <c r="CH620" t="s">
        <v>1043</v>
      </c>
      <c r="CN620" t="s">
        <v>1074</v>
      </c>
      <c r="CO620" t="s">
        <v>1043</v>
      </c>
      <c r="CP620">
        <v>1</v>
      </c>
      <c r="CQ620">
        <v>0</v>
      </c>
      <c r="CS620">
        <v>0</v>
      </c>
      <c r="CT620">
        <v>0</v>
      </c>
      <c r="CU620">
        <v>0</v>
      </c>
      <c r="CV620" t="s">
        <v>1045</v>
      </c>
      <c r="CW620">
        <v>0</v>
      </c>
      <c r="CX620">
        <v>0</v>
      </c>
      <c r="CY620">
        <v>0</v>
      </c>
      <c r="CZ620">
        <v>0</v>
      </c>
      <c r="DB620">
        <v>0</v>
      </c>
      <c r="DC620" t="s">
        <v>1043</v>
      </c>
      <c r="DF620" t="s">
        <v>1055</v>
      </c>
      <c r="DH620">
        <v>0</v>
      </c>
      <c r="DJ620">
        <v>0</v>
      </c>
      <c r="DK620" t="s">
        <v>1053</v>
      </c>
      <c r="DL620">
        <v>0</v>
      </c>
      <c r="DN620">
        <v>0</v>
      </c>
      <c r="DO620" t="s">
        <v>1042</v>
      </c>
      <c r="DP620">
        <v>0</v>
      </c>
      <c r="DQ620">
        <v>7</v>
      </c>
      <c r="DS620">
        <v>0</v>
      </c>
      <c r="DU620">
        <v>1</v>
      </c>
      <c r="DW620">
        <v>0</v>
      </c>
      <c r="DX620" t="s">
        <v>1043</v>
      </c>
      <c r="DY620">
        <v>0</v>
      </c>
      <c r="DZ620">
        <v>0</v>
      </c>
      <c r="EA620">
        <v>0</v>
      </c>
      <c r="ED620" t="s">
        <v>1045</v>
      </c>
      <c r="EE620">
        <v>0</v>
      </c>
      <c r="EF620">
        <v>0</v>
      </c>
      <c r="EQ620" t="s">
        <v>1044</v>
      </c>
      <c r="ES620" t="s">
        <v>1053</v>
      </c>
      <c r="ET620">
        <v>0</v>
      </c>
      <c r="EV620">
        <v>0</v>
      </c>
      <c r="EY620" t="s">
        <v>1052</v>
      </c>
      <c r="EZ620">
        <v>0</v>
      </c>
      <c r="FA620" t="s">
        <v>1043</v>
      </c>
      <c r="FB620">
        <v>0</v>
      </c>
      <c r="FC620">
        <v>0</v>
      </c>
      <c r="FE620" t="s">
        <v>1050</v>
      </c>
      <c r="FF620">
        <v>0</v>
      </c>
      <c r="FG620" t="s">
        <v>1050</v>
      </c>
      <c r="FJ620">
        <v>0</v>
      </c>
      <c r="FK620">
        <v>0</v>
      </c>
      <c r="FP620">
        <v>0</v>
      </c>
      <c r="FQ620" t="s">
        <v>1044</v>
      </c>
      <c r="FR620">
        <v>0</v>
      </c>
      <c r="FS620" t="s">
        <v>1043</v>
      </c>
      <c r="FX620" t="s">
        <v>1042</v>
      </c>
      <c r="FZ620" t="s">
        <v>1048</v>
      </c>
      <c r="GA620">
        <v>0</v>
      </c>
      <c r="GB620" t="s">
        <v>1042</v>
      </c>
      <c r="GE620">
        <v>0</v>
      </c>
      <c r="GG620">
        <v>0</v>
      </c>
      <c r="GN620">
        <v>0</v>
      </c>
      <c r="GO620" t="s">
        <v>1063</v>
      </c>
      <c r="GQ620">
        <v>0</v>
      </c>
      <c r="GU620">
        <v>0</v>
      </c>
      <c r="GY620" t="s">
        <v>1045</v>
      </c>
      <c r="HB620">
        <v>0</v>
      </c>
      <c r="HE620">
        <v>0</v>
      </c>
      <c r="HF620">
        <v>0</v>
      </c>
      <c r="HG620">
        <v>0</v>
      </c>
      <c r="HK620" t="s">
        <v>1042</v>
      </c>
      <c r="HM620" t="s">
        <v>1047</v>
      </c>
      <c r="HN620">
        <v>0</v>
      </c>
      <c r="HP620">
        <v>0</v>
      </c>
      <c r="HQ620">
        <v>0</v>
      </c>
      <c r="HR620" t="s">
        <v>1042</v>
      </c>
      <c r="HS620" t="s">
        <v>1043</v>
      </c>
      <c r="HT620">
        <v>0</v>
      </c>
      <c r="HU620">
        <v>0</v>
      </c>
      <c r="HV620" t="s">
        <v>1088</v>
      </c>
      <c r="HW620">
        <v>0</v>
      </c>
      <c r="HX620">
        <v>0</v>
      </c>
      <c r="HY620">
        <v>0</v>
      </c>
      <c r="HZ620" t="s">
        <v>1045</v>
      </c>
      <c r="IA620">
        <v>0</v>
      </c>
      <c r="IB620" t="s">
        <v>1045</v>
      </c>
      <c r="ID620" t="s">
        <v>1045</v>
      </c>
      <c r="IF620">
        <v>0</v>
      </c>
      <c r="IG620" t="s">
        <v>1042</v>
      </c>
      <c r="II620" t="s">
        <v>1042</v>
      </c>
      <c r="IR620" t="s">
        <v>1045</v>
      </c>
      <c r="IT620">
        <v>0</v>
      </c>
      <c r="IY620" t="s">
        <v>1044</v>
      </c>
      <c r="IZ620" t="s">
        <v>1043</v>
      </c>
      <c r="JA620" t="s">
        <v>1043</v>
      </c>
      <c r="JC620" t="s">
        <v>1043</v>
      </c>
      <c r="JE620">
        <v>0</v>
      </c>
      <c r="JF620">
        <v>0</v>
      </c>
      <c r="JI620" t="s">
        <v>1042</v>
      </c>
      <c r="JJ620">
        <v>0</v>
      </c>
      <c r="JK620">
        <v>0</v>
      </c>
      <c r="JL620">
        <v>0</v>
      </c>
      <c r="JM620">
        <v>0</v>
      </c>
      <c r="JQ620" t="s">
        <v>1043</v>
      </c>
      <c r="JT620">
        <v>0</v>
      </c>
      <c r="JU620" t="s">
        <v>1042</v>
      </c>
      <c r="JW620">
        <v>0</v>
      </c>
      <c r="KA620">
        <v>0</v>
      </c>
      <c r="KF620">
        <v>0</v>
      </c>
      <c r="KG620">
        <v>0</v>
      </c>
      <c r="KH620">
        <v>0</v>
      </c>
      <c r="KI620">
        <v>0</v>
      </c>
      <c r="KJ620" t="s">
        <v>1044</v>
      </c>
      <c r="KS620" t="s">
        <v>1073</v>
      </c>
      <c r="KT620">
        <v>0</v>
      </c>
      <c r="KU620">
        <v>0</v>
      </c>
      <c r="KV620">
        <v>0</v>
      </c>
      <c r="KX620">
        <v>0</v>
      </c>
      <c r="KY620" t="s">
        <v>1045</v>
      </c>
      <c r="KZ620">
        <v>0</v>
      </c>
      <c r="LF620">
        <v>0</v>
      </c>
      <c r="LH620">
        <v>0</v>
      </c>
      <c r="LI620">
        <v>0</v>
      </c>
    </row>
    <row r="621" spans="1:321" x14ac:dyDescent="0.35">
      <c r="A621">
        <v>1</v>
      </c>
      <c r="B621">
        <v>1415</v>
      </c>
      <c r="C621" t="s">
        <v>1135</v>
      </c>
      <c r="D621" t="s">
        <v>1089</v>
      </c>
      <c r="E621" t="s">
        <v>85</v>
      </c>
      <c r="F621">
        <v>1</v>
      </c>
      <c r="G621">
        <v>8890</v>
      </c>
      <c r="H621">
        <v>0</v>
      </c>
      <c r="I621" t="s">
        <v>994</v>
      </c>
      <c r="M621">
        <v>0</v>
      </c>
      <c r="N621">
        <v>0</v>
      </c>
      <c r="P621">
        <v>77</v>
      </c>
      <c r="Q621">
        <v>902</v>
      </c>
      <c r="R621">
        <v>0</v>
      </c>
      <c r="S621">
        <v>0</v>
      </c>
      <c r="W621" t="s">
        <v>1060</v>
      </c>
      <c r="X621">
        <v>0</v>
      </c>
      <c r="Z621">
        <v>10</v>
      </c>
      <c r="AA621">
        <v>0</v>
      </c>
      <c r="AB621">
        <v>0</v>
      </c>
      <c r="AC621">
        <v>0</v>
      </c>
      <c r="AD621" t="s">
        <v>1042</v>
      </c>
      <c r="AE621">
        <v>0</v>
      </c>
      <c r="AF621">
        <v>0</v>
      </c>
      <c r="AH621">
        <v>0</v>
      </c>
      <c r="AJ621">
        <v>0</v>
      </c>
      <c r="AL621">
        <v>0</v>
      </c>
      <c r="AM621">
        <v>0</v>
      </c>
      <c r="AN621">
        <v>11501008</v>
      </c>
      <c r="AO621">
        <v>0</v>
      </c>
      <c r="AP621">
        <v>1001</v>
      </c>
      <c r="AT621">
        <v>0</v>
      </c>
      <c r="AW621" t="s">
        <v>1053</v>
      </c>
      <c r="AX621">
        <v>0</v>
      </c>
      <c r="AY621" s="20">
        <v>44391</v>
      </c>
      <c r="BA621" s="20">
        <v>44391</v>
      </c>
      <c r="BB621" t="s">
        <v>1058</v>
      </c>
      <c r="BD621">
        <v>0</v>
      </c>
      <c r="BF621" t="s">
        <v>1044</v>
      </c>
      <c r="BG621" t="s">
        <v>1042</v>
      </c>
      <c r="BH621">
        <v>0</v>
      </c>
      <c r="BI621">
        <v>6</v>
      </c>
      <c r="BJ621">
        <v>0</v>
      </c>
      <c r="BK621">
        <v>0</v>
      </c>
      <c r="BM621" t="s">
        <v>1042</v>
      </c>
      <c r="BN621">
        <v>0</v>
      </c>
      <c r="BS621" t="s">
        <v>1043</v>
      </c>
      <c r="BT621" t="s">
        <v>1043</v>
      </c>
      <c r="BW621">
        <v>2</v>
      </c>
      <c r="BY621">
        <v>10</v>
      </c>
      <c r="CA621">
        <v>0</v>
      </c>
      <c r="CB621" t="s">
        <v>1043</v>
      </c>
      <c r="CE621" t="s">
        <v>1043</v>
      </c>
      <c r="CH621" t="s">
        <v>1043</v>
      </c>
      <c r="CN621" t="s">
        <v>1074</v>
      </c>
      <c r="CO621" t="s">
        <v>1043</v>
      </c>
      <c r="CP621">
        <v>1</v>
      </c>
      <c r="CQ621">
        <v>0</v>
      </c>
      <c r="CS621">
        <v>0</v>
      </c>
      <c r="CT621">
        <v>0</v>
      </c>
      <c r="CU621">
        <v>0</v>
      </c>
      <c r="CV621" t="s">
        <v>1045</v>
      </c>
      <c r="CW621">
        <v>0</v>
      </c>
      <c r="CX621">
        <v>0</v>
      </c>
      <c r="CY621">
        <v>0</v>
      </c>
      <c r="CZ621">
        <v>0</v>
      </c>
      <c r="DB621">
        <v>0</v>
      </c>
      <c r="DC621" t="s">
        <v>1043</v>
      </c>
      <c r="DF621" t="s">
        <v>1055</v>
      </c>
      <c r="DH621">
        <v>0</v>
      </c>
      <c r="DJ621">
        <v>0</v>
      </c>
      <c r="DK621" t="s">
        <v>1053</v>
      </c>
      <c r="DL621">
        <v>0</v>
      </c>
      <c r="DN621">
        <v>0</v>
      </c>
      <c r="DO621" t="s">
        <v>1042</v>
      </c>
      <c r="DP621">
        <v>0</v>
      </c>
      <c r="DQ621">
        <v>7</v>
      </c>
      <c r="DS621">
        <v>0</v>
      </c>
      <c r="DU621">
        <v>1</v>
      </c>
      <c r="DW621">
        <v>0</v>
      </c>
      <c r="DX621" t="s">
        <v>1043</v>
      </c>
      <c r="DY621">
        <v>0</v>
      </c>
      <c r="DZ621">
        <v>0</v>
      </c>
      <c r="EA621">
        <v>0</v>
      </c>
      <c r="ED621" t="s">
        <v>1045</v>
      </c>
      <c r="EE621">
        <v>0</v>
      </c>
      <c r="EF621">
        <v>0</v>
      </c>
      <c r="EQ621" t="s">
        <v>1044</v>
      </c>
      <c r="ES621" t="s">
        <v>1053</v>
      </c>
      <c r="ET621">
        <v>0</v>
      </c>
      <c r="EV621">
        <v>0</v>
      </c>
      <c r="EY621" t="s">
        <v>1052</v>
      </c>
      <c r="EZ621">
        <v>0</v>
      </c>
      <c r="FA621" t="s">
        <v>1043</v>
      </c>
      <c r="FB621">
        <v>0</v>
      </c>
      <c r="FC621">
        <v>0</v>
      </c>
      <c r="FE621" t="s">
        <v>1050</v>
      </c>
      <c r="FF621">
        <v>0</v>
      </c>
      <c r="FG621" t="s">
        <v>1050</v>
      </c>
      <c r="FJ621">
        <v>0</v>
      </c>
      <c r="FK621">
        <v>0</v>
      </c>
      <c r="FP621">
        <v>0</v>
      </c>
      <c r="FQ621" t="s">
        <v>1044</v>
      </c>
      <c r="FR621">
        <v>0</v>
      </c>
      <c r="FS621" t="s">
        <v>1043</v>
      </c>
      <c r="FX621" t="s">
        <v>1042</v>
      </c>
      <c r="FZ621" t="s">
        <v>1048</v>
      </c>
      <c r="GA621">
        <v>0</v>
      </c>
      <c r="GB621" t="s">
        <v>1042</v>
      </c>
      <c r="GE621">
        <v>0</v>
      </c>
      <c r="GG621">
        <v>0</v>
      </c>
      <c r="GN621">
        <v>0</v>
      </c>
      <c r="GO621" t="s">
        <v>1063</v>
      </c>
      <c r="GQ621">
        <v>0</v>
      </c>
      <c r="GU621">
        <v>0</v>
      </c>
      <c r="GY621" t="s">
        <v>1045</v>
      </c>
      <c r="HB621">
        <v>0</v>
      </c>
      <c r="HE621">
        <v>0</v>
      </c>
      <c r="HF621">
        <v>0</v>
      </c>
      <c r="HG621">
        <v>0</v>
      </c>
      <c r="HK621" t="s">
        <v>1042</v>
      </c>
      <c r="HM621" t="s">
        <v>1047</v>
      </c>
      <c r="HN621">
        <v>0</v>
      </c>
      <c r="HP621">
        <v>0</v>
      </c>
      <c r="HQ621">
        <v>0</v>
      </c>
      <c r="HR621" t="s">
        <v>1042</v>
      </c>
      <c r="HS621" t="s">
        <v>1043</v>
      </c>
      <c r="HT621">
        <v>0</v>
      </c>
      <c r="HU621">
        <v>0</v>
      </c>
      <c r="HV621" t="s">
        <v>1088</v>
      </c>
      <c r="HW621">
        <v>0</v>
      </c>
      <c r="HX621">
        <v>0</v>
      </c>
      <c r="HY621">
        <v>0</v>
      </c>
      <c r="HZ621" t="s">
        <v>1045</v>
      </c>
      <c r="IA621">
        <v>0</v>
      </c>
      <c r="IB621" t="s">
        <v>1045</v>
      </c>
      <c r="ID621" t="s">
        <v>1045</v>
      </c>
      <c r="IF621">
        <v>0</v>
      </c>
      <c r="IG621" t="s">
        <v>1042</v>
      </c>
      <c r="II621" t="s">
        <v>1042</v>
      </c>
      <c r="IR621" t="s">
        <v>1045</v>
      </c>
      <c r="IT621">
        <v>0</v>
      </c>
      <c r="IY621" t="s">
        <v>1044</v>
      </c>
      <c r="IZ621" t="s">
        <v>1043</v>
      </c>
      <c r="JA621" t="s">
        <v>1043</v>
      </c>
      <c r="JC621" t="s">
        <v>1043</v>
      </c>
      <c r="JE621">
        <v>0</v>
      </c>
      <c r="JF621">
        <v>0</v>
      </c>
      <c r="JI621" t="s">
        <v>1042</v>
      </c>
      <c r="JJ621">
        <v>0</v>
      </c>
      <c r="JK621">
        <v>0</v>
      </c>
      <c r="JL621">
        <v>0</v>
      </c>
      <c r="JM621">
        <v>0</v>
      </c>
      <c r="JQ621" t="s">
        <v>1043</v>
      </c>
      <c r="JT621">
        <v>0</v>
      </c>
      <c r="JU621" t="s">
        <v>1042</v>
      </c>
      <c r="JW621">
        <v>0</v>
      </c>
      <c r="KA621">
        <v>0</v>
      </c>
      <c r="KF621">
        <v>0</v>
      </c>
      <c r="KG621">
        <v>0</v>
      </c>
      <c r="KH621">
        <v>0</v>
      </c>
      <c r="KI621">
        <v>0</v>
      </c>
      <c r="KJ621" t="s">
        <v>1044</v>
      </c>
      <c r="KS621" t="s">
        <v>1073</v>
      </c>
      <c r="KT621">
        <v>0</v>
      </c>
      <c r="KU621">
        <v>0</v>
      </c>
      <c r="KV621">
        <v>0</v>
      </c>
      <c r="KX621">
        <v>0</v>
      </c>
      <c r="KY621" t="s">
        <v>1045</v>
      </c>
      <c r="KZ621">
        <v>0</v>
      </c>
      <c r="LF621">
        <v>0</v>
      </c>
      <c r="LH621">
        <v>0</v>
      </c>
      <c r="LI621">
        <v>0</v>
      </c>
    </row>
    <row r="622" spans="1:321" x14ac:dyDescent="0.35">
      <c r="A622">
        <v>1</v>
      </c>
      <c r="B622">
        <v>1416</v>
      </c>
      <c r="C622" t="s">
        <v>753</v>
      </c>
      <c r="D622" t="s">
        <v>1089</v>
      </c>
      <c r="E622" t="s">
        <v>85</v>
      </c>
      <c r="F622">
        <v>1</v>
      </c>
      <c r="G622">
        <v>200</v>
      </c>
      <c r="H622">
        <v>0</v>
      </c>
      <c r="I622" t="s">
        <v>994</v>
      </c>
      <c r="M622">
        <v>0</v>
      </c>
      <c r="N622">
        <v>0</v>
      </c>
      <c r="P622">
        <v>77</v>
      </c>
      <c r="Q622">
        <v>902</v>
      </c>
      <c r="R622">
        <v>0</v>
      </c>
      <c r="S622">
        <v>0</v>
      </c>
      <c r="W622" t="s">
        <v>1060</v>
      </c>
      <c r="X622">
        <v>0</v>
      </c>
      <c r="Z622">
        <v>10</v>
      </c>
      <c r="AA622">
        <v>91.474000000000004</v>
      </c>
      <c r="AB622">
        <v>1739</v>
      </c>
      <c r="AC622">
        <v>5.1573000000000002</v>
      </c>
      <c r="AD622" s="20">
        <v>44669</v>
      </c>
      <c r="AE622">
        <v>6.5490000000000004</v>
      </c>
      <c r="AF622">
        <v>0.22989999999999999</v>
      </c>
      <c r="AH622">
        <v>1548</v>
      </c>
      <c r="AJ622">
        <v>0</v>
      </c>
      <c r="AL622">
        <v>190</v>
      </c>
      <c r="AM622">
        <v>0</v>
      </c>
      <c r="AN622">
        <v>11501008</v>
      </c>
      <c r="AO622">
        <v>0</v>
      </c>
      <c r="AP622">
        <v>1050</v>
      </c>
      <c r="AT622">
        <v>1</v>
      </c>
      <c r="AU622" t="s">
        <v>1059</v>
      </c>
      <c r="AW622" t="s">
        <v>1053</v>
      </c>
      <c r="AX622">
        <v>5</v>
      </c>
      <c r="AY622" s="20">
        <v>44181</v>
      </c>
      <c r="BA622" s="20">
        <v>43718</v>
      </c>
      <c r="BB622" t="s">
        <v>1058</v>
      </c>
      <c r="BD622">
        <v>0</v>
      </c>
      <c r="BF622" t="s">
        <v>1044</v>
      </c>
      <c r="BG622" s="20">
        <v>42149</v>
      </c>
      <c r="BH622">
        <v>0</v>
      </c>
      <c r="BI622">
        <v>6</v>
      </c>
      <c r="BJ622">
        <v>0</v>
      </c>
      <c r="BK622">
        <v>0</v>
      </c>
      <c r="BM622" s="20">
        <v>42161</v>
      </c>
      <c r="BN622">
        <v>0</v>
      </c>
      <c r="BO622">
        <v>7897801313872</v>
      </c>
      <c r="BS622" t="s">
        <v>1043</v>
      </c>
      <c r="BT622" t="s">
        <v>1043</v>
      </c>
      <c r="BW622">
        <v>2</v>
      </c>
      <c r="BY622">
        <v>10</v>
      </c>
      <c r="CA622">
        <v>0</v>
      </c>
      <c r="CB622" t="s">
        <v>1057</v>
      </c>
      <c r="CE622" t="s">
        <v>1043</v>
      </c>
      <c r="CH622" t="s">
        <v>1043</v>
      </c>
      <c r="CN622" t="s">
        <v>1056</v>
      </c>
      <c r="CO622" t="s">
        <v>1043</v>
      </c>
      <c r="CP622">
        <v>1</v>
      </c>
      <c r="CQ622">
        <v>0</v>
      </c>
      <c r="CS622">
        <v>0</v>
      </c>
      <c r="CT622">
        <v>0</v>
      </c>
      <c r="CU622">
        <v>0</v>
      </c>
      <c r="CV622" t="s">
        <v>1045</v>
      </c>
      <c r="CW622">
        <v>0</v>
      </c>
      <c r="CX622">
        <v>0</v>
      </c>
      <c r="CY622">
        <v>0</v>
      </c>
      <c r="CZ622">
        <v>0</v>
      </c>
      <c r="DA622">
        <v>2</v>
      </c>
      <c r="DB622">
        <v>0</v>
      </c>
      <c r="DC622" t="s">
        <v>1043</v>
      </c>
      <c r="DF622" t="s">
        <v>1055</v>
      </c>
      <c r="DH622">
        <v>0</v>
      </c>
      <c r="DJ622">
        <v>0</v>
      </c>
      <c r="DK622" t="s">
        <v>1053</v>
      </c>
      <c r="DL622">
        <v>0</v>
      </c>
      <c r="DN622">
        <v>0</v>
      </c>
      <c r="DO622" t="s">
        <v>1042</v>
      </c>
      <c r="DP622">
        <v>0</v>
      </c>
      <c r="DQ622">
        <v>7.6</v>
      </c>
      <c r="DS622">
        <v>0</v>
      </c>
      <c r="DU622">
        <v>1.65</v>
      </c>
      <c r="DW622">
        <v>0</v>
      </c>
      <c r="DX622" t="s">
        <v>1043</v>
      </c>
      <c r="DY622">
        <v>0</v>
      </c>
      <c r="DZ622">
        <v>0</v>
      </c>
      <c r="EA622">
        <v>0</v>
      </c>
      <c r="EB622">
        <v>17897801313879</v>
      </c>
      <c r="ED622" t="s">
        <v>1045</v>
      </c>
      <c r="EE622">
        <v>0</v>
      </c>
      <c r="EF622">
        <v>0</v>
      </c>
      <c r="EL622">
        <v>57897801313877</v>
      </c>
      <c r="EN622" t="s">
        <v>1012</v>
      </c>
      <c r="EO622" t="s">
        <v>1044</v>
      </c>
      <c r="EQ622" t="s">
        <v>1044</v>
      </c>
      <c r="ES622" t="s">
        <v>1053</v>
      </c>
      <c r="ET622">
        <v>0</v>
      </c>
      <c r="EV622">
        <v>0</v>
      </c>
      <c r="EY622" t="s">
        <v>1052</v>
      </c>
      <c r="EZ622">
        <v>0</v>
      </c>
      <c r="FA622" t="s">
        <v>1043</v>
      </c>
      <c r="FB622">
        <v>0</v>
      </c>
      <c r="FC622">
        <v>0</v>
      </c>
      <c r="FD622" t="s">
        <v>1051</v>
      </c>
      <c r="FE622" t="s">
        <v>1050</v>
      </c>
      <c r="FF622">
        <v>0</v>
      </c>
      <c r="FG622" t="s">
        <v>1050</v>
      </c>
      <c r="FH622">
        <v>27897801313876</v>
      </c>
      <c r="FJ622">
        <v>0</v>
      </c>
      <c r="FK622">
        <v>0</v>
      </c>
      <c r="FP622">
        <v>0</v>
      </c>
      <c r="FQ622" t="s">
        <v>1044</v>
      </c>
      <c r="FR622">
        <v>0</v>
      </c>
      <c r="FS622" t="s">
        <v>1043</v>
      </c>
      <c r="FX622" t="s">
        <v>1042</v>
      </c>
      <c r="FZ622" t="s">
        <v>1048</v>
      </c>
      <c r="GA622">
        <v>0</v>
      </c>
      <c r="GB622" t="s">
        <v>1042</v>
      </c>
      <c r="GE622">
        <v>0</v>
      </c>
      <c r="GG622">
        <v>0</v>
      </c>
      <c r="GN622">
        <v>0</v>
      </c>
      <c r="GO622" t="s">
        <v>1063</v>
      </c>
      <c r="GQ622">
        <v>0</v>
      </c>
      <c r="GU622">
        <v>0</v>
      </c>
      <c r="GY622" t="s">
        <v>1045</v>
      </c>
      <c r="HB622">
        <v>0</v>
      </c>
      <c r="HE622">
        <v>0</v>
      </c>
      <c r="HF622">
        <v>0</v>
      </c>
      <c r="HG622">
        <v>2.6169999999999999E-2</v>
      </c>
      <c r="HK622" t="s">
        <v>1042</v>
      </c>
      <c r="HL622" t="s">
        <v>1048</v>
      </c>
      <c r="HM622" t="s">
        <v>1047</v>
      </c>
      <c r="HN622">
        <v>0</v>
      </c>
      <c r="HO622">
        <v>17</v>
      </c>
      <c r="HP622">
        <v>0.30199999999999999</v>
      </c>
      <c r="HQ622">
        <v>0</v>
      </c>
      <c r="HR622" s="20">
        <v>44221</v>
      </c>
      <c r="HS622" t="s">
        <v>1043</v>
      </c>
      <c r="HT622">
        <v>0</v>
      </c>
      <c r="HU622">
        <v>0</v>
      </c>
      <c r="HW622">
        <v>0</v>
      </c>
      <c r="HX622">
        <v>3287</v>
      </c>
      <c r="HY622">
        <v>1</v>
      </c>
      <c r="HZ622" t="s">
        <v>1045</v>
      </c>
      <c r="IA622">
        <v>6.55</v>
      </c>
      <c r="IB622" t="s">
        <v>1045</v>
      </c>
      <c r="ID622" t="s">
        <v>1045</v>
      </c>
      <c r="IF622">
        <v>630</v>
      </c>
      <c r="IG622" s="20">
        <v>42177</v>
      </c>
      <c r="II622" t="s">
        <v>1042</v>
      </c>
      <c r="IR622" t="s">
        <v>1045</v>
      </c>
      <c r="IT622">
        <v>0</v>
      </c>
      <c r="IY622" t="s">
        <v>1044</v>
      </c>
      <c r="IZ622" t="s">
        <v>1043</v>
      </c>
      <c r="JA622" t="s">
        <v>1043</v>
      </c>
      <c r="JC622" t="s">
        <v>1043</v>
      </c>
      <c r="JE622">
        <v>0</v>
      </c>
      <c r="JF622">
        <v>0</v>
      </c>
      <c r="JI622" t="s">
        <v>1042</v>
      </c>
      <c r="JJ622">
        <v>0</v>
      </c>
      <c r="JK622">
        <v>0</v>
      </c>
      <c r="JL622">
        <v>0</v>
      </c>
      <c r="JM622">
        <v>0</v>
      </c>
      <c r="JQ622" t="s">
        <v>1043</v>
      </c>
      <c r="JT622">
        <v>0</v>
      </c>
      <c r="JU622" t="s">
        <v>1042</v>
      </c>
      <c r="JW622">
        <v>0</v>
      </c>
      <c r="KA622">
        <v>0</v>
      </c>
      <c r="KF622">
        <v>0</v>
      </c>
      <c r="KG622">
        <v>0</v>
      </c>
      <c r="KH622">
        <v>0</v>
      </c>
      <c r="KI622">
        <v>0</v>
      </c>
      <c r="KP622" t="s">
        <v>1045</v>
      </c>
      <c r="KS622" t="s">
        <v>1041</v>
      </c>
      <c r="KT622">
        <v>0</v>
      </c>
      <c r="KU622">
        <v>0</v>
      </c>
      <c r="KV622">
        <v>0</v>
      </c>
      <c r="KX622">
        <v>0</v>
      </c>
      <c r="KY622" t="s">
        <v>1045</v>
      </c>
      <c r="KZ622">
        <v>0</v>
      </c>
      <c r="LF622">
        <v>0</v>
      </c>
      <c r="LH622">
        <v>0</v>
      </c>
      <c r="LI622">
        <v>0</v>
      </c>
    </row>
    <row r="623" spans="1:321" x14ac:dyDescent="0.35">
      <c r="A623">
        <v>1</v>
      </c>
      <c r="B623">
        <v>14168</v>
      </c>
      <c r="C623" t="s">
        <v>1134</v>
      </c>
      <c r="D623" t="s">
        <v>1133</v>
      </c>
      <c r="E623" t="s">
        <v>85</v>
      </c>
      <c r="F623">
        <v>80</v>
      </c>
      <c r="G623">
        <v>8800</v>
      </c>
      <c r="H623">
        <v>0</v>
      </c>
      <c r="I623" t="s">
        <v>1132</v>
      </c>
      <c r="L623">
        <v>0</v>
      </c>
      <c r="M623">
        <v>0</v>
      </c>
      <c r="N623">
        <v>0</v>
      </c>
      <c r="R623">
        <v>0</v>
      </c>
      <c r="S623">
        <v>0</v>
      </c>
      <c r="W623" t="s">
        <v>1060</v>
      </c>
      <c r="X623">
        <v>0</v>
      </c>
      <c r="Z623">
        <v>1</v>
      </c>
      <c r="AA623">
        <v>0</v>
      </c>
      <c r="AB623">
        <v>0</v>
      </c>
      <c r="AC623">
        <v>38.975000000000001</v>
      </c>
      <c r="AD623" t="s">
        <v>1042</v>
      </c>
      <c r="AE623">
        <v>0</v>
      </c>
      <c r="AF623">
        <v>0</v>
      </c>
      <c r="AH623">
        <v>0</v>
      </c>
      <c r="AJ623">
        <v>0</v>
      </c>
      <c r="AL623">
        <v>1</v>
      </c>
      <c r="AM623">
        <v>0</v>
      </c>
      <c r="AN623">
        <v>16301003</v>
      </c>
      <c r="AO623">
        <v>0</v>
      </c>
      <c r="AP623">
        <v>1001</v>
      </c>
      <c r="AT623">
        <v>0</v>
      </c>
      <c r="AU623" t="s">
        <v>1059</v>
      </c>
      <c r="AW623" t="s">
        <v>1053</v>
      </c>
      <c r="AX623">
        <v>0</v>
      </c>
      <c r="AY623" s="20">
        <v>40996</v>
      </c>
      <c r="BA623" s="20">
        <v>40996</v>
      </c>
      <c r="BB623" t="s">
        <v>1058</v>
      </c>
      <c r="BD623">
        <v>0</v>
      </c>
      <c r="BF623" t="s">
        <v>1043</v>
      </c>
      <c r="BG623" t="s">
        <v>1042</v>
      </c>
      <c r="BH623">
        <v>0</v>
      </c>
      <c r="BI623">
        <v>1</v>
      </c>
      <c r="BJ623">
        <v>0</v>
      </c>
      <c r="BK623">
        <v>0</v>
      </c>
      <c r="BM623" t="s">
        <v>1042</v>
      </c>
      <c r="BN623">
        <v>0</v>
      </c>
      <c r="BR623" t="s">
        <v>1043</v>
      </c>
      <c r="BS623" t="s">
        <v>1043</v>
      </c>
      <c r="BT623" t="s">
        <v>1043</v>
      </c>
      <c r="BW623">
        <v>55</v>
      </c>
      <c r="CA623">
        <v>0</v>
      </c>
      <c r="CB623" t="s">
        <v>1057</v>
      </c>
      <c r="CE623" t="s">
        <v>1043</v>
      </c>
      <c r="CH623" t="s">
        <v>1043</v>
      </c>
      <c r="CN623" t="s">
        <v>1074</v>
      </c>
      <c r="CO623" t="s">
        <v>1043</v>
      </c>
      <c r="CP623">
        <v>1</v>
      </c>
      <c r="CQ623">
        <v>0</v>
      </c>
      <c r="CS623">
        <v>0</v>
      </c>
      <c r="CT623">
        <v>0</v>
      </c>
      <c r="CU623">
        <v>0</v>
      </c>
      <c r="CV623" t="s">
        <v>1045</v>
      </c>
      <c r="CW623">
        <v>0</v>
      </c>
      <c r="CX623">
        <v>0</v>
      </c>
      <c r="CY623">
        <v>0</v>
      </c>
      <c r="CZ623">
        <v>0</v>
      </c>
      <c r="DB623">
        <v>0</v>
      </c>
      <c r="DC623" t="s">
        <v>1043</v>
      </c>
      <c r="DF623" t="s">
        <v>1055</v>
      </c>
      <c r="DH623">
        <v>0</v>
      </c>
      <c r="DJ623">
        <v>0</v>
      </c>
      <c r="DK623" t="s">
        <v>1053</v>
      </c>
      <c r="DL623">
        <v>0</v>
      </c>
      <c r="DN623">
        <v>0</v>
      </c>
      <c r="DO623" t="s">
        <v>1042</v>
      </c>
      <c r="DP623">
        <v>0</v>
      </c>
      <c r="DQ623">
        <v>0</v>
      </c>
      <c r="DS623">
        <v>0</v>
      </c>
      <c r="DU623">
        <v>0</v>
      </c>
      <c r="DW623">
        <v>0</v>
      </c>
      <c r="DX623" t="s">
        <v>1043</v>
      </c>
      <c r="DY623">
        <v>0</v>
      </c>
      <c r="DZ623">
        <v>0</v>
      </c>
      <c r="EA623">
        <v>0</v>
      </c>
      <c r="ED623" t="s">
        <v>1045</v>
      </c>
      <c r="EE623">
        <v>0</v>
      </c>
      <c r="EF623">
        <v>0</v>
      </c>
      <c r="EQ623" t="s">
        <v>1044</v>
      </c>
      <c r="ES623" t="s">
        <v>1053</v>
      </c>
      <c r="ET623">
        <v>0</v>
      </c>
      <c r="EV623">
        <v>0</v>
      </c>
      <c r="EY623" t="s">
        <v>1052</v>
      </c>
      <c r="EZ623">
        <v>0</v>
      </c>
      <c r="FA623" t="s">
        <v>1043</v>
      </c>
      <c r="FB623">
        <v>0</v>
      </c>
      <c r="FC623">
        <v>0</v>
      </c>
      <c r="FE623" t="s">
        <v>1050</v>
      </c>
      <c r="FF623">
        <v>0</v>
      </c>
      <c r="FG623" t="s">
        <v>1050</v>
      </c>
      <c r="FJ623">
        <v>0</v>
      </c>
      <c r="FK623">
        <v>0</v>
      </c>
      <c r="FP623">
        <v>0</v>
      </c>
      <c r="FR623">
        <v>0</v>
      </c>
      <c r="FX623" t="s">
        <v>1042</v>
      </c>
      <c r="FZ623" t="s">
        <v>1048</v>
      </c>
      <c r="GA623">
        <v>0</v>
      </c>
      <c r="GB623" t="s">
        <v>1042</v>
      </c>
      <c r="GE623">
        <v>0</v>
      </c>
      <c r="GG623">
        <v>0</v>
      </c>
      <c r="GN623">
        <v>0</v>
      </c>
      <c r="GO623" t="s">
        <v>1063</v>
      </c>
      <c r="GQ623">
        <v>0</v>
      </c>
      <c r="GU623">
        <v>0</v>
      </c>
      <c r="GY623" t="s">
        <v>1045</v>
      </c>
      <c r="HB623">
        <v>0</v>
      </c>
      <c r="HE623">
        <v>0</v>
      </c>
      <c r="HF623">
        <v>0</v>
      </c>
      <c r="HG623">
        <v>0</v>
      </c>
      <c r="HK623" t="s">
        <v>1042</v>
      </c>
      <c r="HM623" t="s">
        <v>1047</v>
      </c>
      <c r="HN623">
        <v>0</v>
      </c>
      <c r="HP623">
        <v>0</v>
      </c>
      <c r="HQ623">
        <v>0</v>
      </c>
      <c r="HR623" t="s">
        <v>1042</v>
      </c>
      <c r="HS623" t="s">
        <v>1043</v>
      </c>
      <c r="HT623">
        <v>0</v>
      </c>
      <c r="HU623">
        <v>0</v>
      </c>
      <c r="HW623">
        <v>0</v>
      </c>
      <c r="HX623">
        <v>0</v>
      </c>
      <c r="HY623">
        <v>0</v>
      </c>
      <c r="HZ623" t="s">
        <v>1045</v>
      </c>
      <c r="IA623">
        <v>0</v>
      </c>
      <c r="IB623" t="s">
        <v>1045</v>
      </c>
      <c r="ID623" t="s">
        <v>1045</v>
      </c>
      <c r="IF623">
        <v>0</v>
      </c>
      <c r="IG623" t="s">
        <v>1042</v>
      </c>
      <c r="II623" t="s">
        <v>1042</v>
      </c>
      <c r="IR623" t="s">
        <v>1045</v>
      </c>
      <c r="IT623">
        <v>0</v>
      </c>
      <c r="IY623" t="s">
        <v>1044</v>
      </c>
      <c r="IZ623" t="s">
        <v>1043</v>
      </c>
      <c r="JC623" t="s">
        <v>1043</v>
      </c>
      <c r="JE623">
        <v>0</v>
      </c>
      <c r="JF623">
        <v>0</v>
      </c>
      <c r="JI623" t="s">
        <v>1042</v>
      </c>
      <c r="JJ623">
        <v>0</v>
      </c>
      <c r="JK623">
        <v>0</v>
      </c>
      <c r="JL623">
        <v>0</v>
      </c>
      <c r="JM623">
        <v>0</v>
      </c>
      <c r="JQ623" t="s">
        <v>1043</v>
      </c>
      <c r="JT623">
        <v>0</v>
      </c>
      <c r="JU623" t="s">
        <v>1042</v>
      </c>
      <c r="JW623">
        <v>0</v>
      </c>
      <c r="KA623">
        <v>0</v>
      </c>
      <c r="KF623">
        <v>0</v>
      </c>
      <c r="KG623">
        <v>0</v>
      </c>
      <c r="KH623">
        <v>0</v>
      </c>
      <c r="KI623">
        <v>0</v>
      </c>
      <c r="KJ623" t="s">
        <v>1044</v>
      </c>
      <c r="KS623" t="s">
        <v>1073</v>
      </c>
      <c r="KT623">
        <v>0</v>
      </c>
      <c r="KU623">
        <v>0</v>
      </c>
      <c r="KV623">
        <v>0</v>
      </c>
      <c r="KX623">
        <v>0</v>
      </c>
      <c r="KZ623">
        <v>0</v>
      </c>
      <c r="LF623">
        <v>0</v>
      </c>
      <c r="LH623">
        <v>0</v>
      </c>
      <c r="LI623">
        <v>0</v>
      </c>
    </row>
    <row r="624" spans="1:321" x14ac:dyDescent="0.35">
      <c r="A624">
        <v>1</v>
      </c>
      <c r="B624">
        <v>1417</v>
      </c>
      <c r="C624" t="s">
        <v>1131</v>
      </c>
      <c r="D624" t="s">
        <v>1089</v>
      </c>
      <c r="E624" t="s">
        <v>85</v>
      </c>
      <c r="F624">
        <v>1</v>
      </c>
      <c r="G624">
        <v>8890</v>
      </c>
      <c r="H624">
        <v>0</v>
      </c>
      <c r="I624" t="s">
        <v>994</v>
      </c>
      <c r="M624">
        <v>0</v>
      </c>
      <c r="N624">
        <v>0</v>
      </c>
      <c r="P624">
        <v>77</v>
      </c>
      <c r="Q624">
        <v>902</v>
      </c>
      <c r="R624">
        <v>0</v>
      </c>
      <c r="S624">
        <v>0</v>
      </c>
      <c r="W624" t="s">
        <v>1060</v>
      </c>
      <c r="X624">
        <v>0</v>
      </c>
      <c r="Z624">
        <v>1</v>
      </c>
      <c r="AA624">
        <v>0</v>
      </c>
      <c r="AB624">
        <v>0</v>
      </c>
      <c r="AC624">
        <v>0</v>
      </c>
      <c r="AD624" t="s">
        <v>1042</v>
      </c>
      <c r="AE624">
        <v>0</v>
      </c>
      <c r="AF624">
        <v>0</v>
      </c>
      <c r="AH624">
        <v>0</v>
      </c>
      <c r="AJ624">
        <v>0</v>
      </c>
      <c r="AL624">
        <v>0</v>
      </c>
      <c r="AM624">
        <v>0</v>
      </c>
      <c r="AN624">
        <v>11501008</v>
      </c>
      <c r="AO624">
        <v>0</v>
      </c>
      <c r="AP624">
        <v>1001</v>
      </c>
      <c r="AT624">
        <v>0</v>
      </c>
      <c r="AW624" t="s">
        <v>1053</v>
      </c>
      <c r="AX624">
        <v>0</v>
      </c>
      <c r="AY624" s="20">
        <v>44391</v>
      </c>
      <c r="BA624" s="20">
        <v>44391</v>
      </c>
      <c r="BB624" t="s">
        <v>1058</v>
      </c>
      <c r="BD624">
        <v>0</v>
      </c>
      <c r="BF624" t="s">
        <v>1044</v>
      </c>
      <c r="BG624" t="s">
        <v>1042</v>
      </c>
      <c r="BH624">
        <v>0</v>
      </c>
      <c r="BI624">
        <v>6</v>
      </c>
      <c r="BJ624">
        <v>0</v>
      </c>
      <c r="BK624">
        <v>0</v>
      </c>
      <c r="BM624" t="s">
        <v>1042</v>
      </c>
      <c r="BN624">
        <v>0</v>
      </c>
      <c r="BS624" t="s">
        <v>1043</v>
      </c>
      <c r="BT624" t="s">
        <v>1043</v>
      </c>
      <c r="BW624">
        <v>2</v>
      </c>
      <c r="BY624">
        <v>10</v>
      </c>
      <c r="CA624">
        <v>0</v>
      </c>
      <c r="CB624" t="s">
        <v>1043</v>
      </c>
      <c r="CE624" t="s">
        <v>1043</v>
      </c>
      <c r="CH624" t="s">
        <v>1043</v>
      </c>
      <c r="CN624" t="s">
        <v>1074</v>
      </c>
      <c r="CO624" t="s">
        <v>1043</v>
      </c>
      <c r="CP624">
        <v>1</v>
      </c>
      <c r="CQ624">
        <v>0</v>
      </c>
      <c r="CS624">
        <v>0</v>
      </c>
      <c r="CT624">
        <v>0</v>
      </c>
      <c r="CU624">
        <v>0</v>
      </c>
      <c r="CV624" t="s">
        <v>1045</v>
      </c>
      <c r="CW624">
        <v>0</v>
      </c>
      <c r="CX624">
        <v>0</v>
      </c>
      <c r="CY624">
        <v>0</v>
      </c>
      <c r="CZ624">
        <v>0</v>
      </c>
      <c r="DB624">
        <v>0</v>
      </c>
      <c r="DC624" t="s">
        <v>1043</v>
      </c>
      <c r="DF624" t="s">
        <v>1055</v>
      </c>
      <c r="DH624">
        <v>0</v>
      </c>
      <c r="DJ624">
        <v>0</v>
      </c>
      <c r="DK624" t="s">
        <v>1053</v>
      </c>
      <c r="DL624">
        <v>0</v>
      </c>
      <c r="DN624">
        <v>0</v>
      </c>
      <c r="DO624" t="s">
        <v>1042</v>
      </c>
      <c r="DP624">
        <v>0</v>
      </c>
      <c r="DQ624">
        <v>7</v>
      </c>
      <c r="DS624">
        <v>0</v>
      </c>
      <c r="DU624">
        <v>1</v>
      </c>
      <c r="DW624">
        <v>0</v>
      </c>
      <c r="DX624" t="s">
        <v>1043</v>
      </c>
      <c r="DY624">
        <v>0</v>
      </c>
      <c r="DZ624">
        <v>0</v>
      </c>
      <c r="EA624">
        <v>0</v>
      </c>
      <c r="ED624" t="s">
        <v>1045</v>
      </c>
      <c r="EE624">
        <v>0</v>
      </c>
      <c r="EF624">
        <v>0</v>
      </c>
      <c r="EQ624" t="s">
        <v>1044</v>
      </c>
      <c r="ES624" t="s">
        <v>1053</v>
      </c>
      <c r="ET624">
        <v>0</v>
      </c>
      <c r="EV624">
        <v>0</v>
      </c>
      <c r="EY624" t="s">
        <v>1052</v>
      </c>
      <c r="EZ624">
        <v>0</v>
      </c>
      <c r="FA624" t="s">
        <v>1043</v>
      </c>
      <c r="FB624">
        <v>0</v>
      </c>
      <c r="FC624">
        <v>0</v>
      </c>
      <c r="FE624" t="s">
        <v>1050</v>
      </c>
      <c r="FF624">
        <v>0</v>
      </c>
      <c r="FG624" t="s">
        <v>1050</v>
      </c>
      <c r="FJ624">
        <v>0</v>
      </c>
      <c r="FK624">
        <v>0</v>
      </c>
      <c r="FP624">
        <v>0</v>
      </c>
      <c r="FQ624" t="s">
        <v>1044</v>
      </c>
      <c r="FR624">
        <v>0</v>
      </c>
      <c r="FS624" t="s">
        <v>1043</v>
      </c>
      <c r="FX624" t="s">
        <v>1042</v>
      </c>
      <c r="FZ624" t="s">
        <v>1048</v>
      </c>
      <c r="GA624">
        <v>0</v>
      </c>
      <c r="GB624" t="s">
        <v>1042</v>
      </c>
      <c r="GE624">
        <v>0</v>
      </c>
      <c r="GG624">
        <v>0</v>
      </c>
      <c r="GN624">
        <v>0</v>
      </c>
      <c r="GO624" t="s">
        <v>1063</v>
      </c>
      <c r="GQ624">
        <v>0</v>
      </c>
      <c r="GU624">
        <v>0</v>
      </c>
      <c r="GY624" t="s">
        <v>1045</v>
      </c>
      <c r="HB624">
        <v>0</v>
      </c>
      <c r="HE624">
        <v>0</v>
      </c>
      <c r="HF624">
        <v>0</v>
      </c>
      <c r="HG624">
        <v>0</v>
      </c>
      <c r="HK624" t="s">
        <v>1042</v>
      </c>
      <c r="HM624" t="s">
        <v>1047</v>
      </c>
      <c r="HN624">
        <v>0</v>
      </c>
      <c r="HP624">
        <v>0</v>
      </c>
      <c r="HQ624">
        <v>0</v>
      </c>
      <c r="HR624" t="s">
        <v>1042</v>
      </c>
      <c r="HS624" t="s">
        <v>1043</v>
      </c>
      <c r="HT624">
        <v>0</v>
      </c>
      <c r="HU624">
        <v>0</v>
      </c>
      <c r="HV624" t="s">
        <v>1088</v>
      </c>
      <c r="HW624">
        <v>0</v>
      </c>
      <c r="HX624">
        <v>0</v>
      </c>
      <c r="HY624">
        <v>0</v>
      </c>
      <c r="HZ624" t="s">
        <v>1045</v>
      </c>
      <c r="IA624">
        <v>0</v>
      </c>
      <c r="IB624" t="s">
        <v>1045</v>
      </c>
      <c r="ID624" t="s">
        <v>1045</v>
      </c>
      <c r="IF624">
        <v>0</v>
      </c>
      <c r="IG624" t="s">
        <v>1042</v>
      </c>
      <c r="II624" t="s">
        <v>1042</v>
      </c>
      <c r="IR624" t="s">
        <v>1045</v>
      </c>
      <c r="IT624">
        <v>0</v>
      </c>
      <c r="IY624" t="s">
        <v>1044</v>
      </c>
      <c r="IZ624" t="s">
        <v>1043</v>
      </c>
      <c r="JA624" t="s">
        <v>1043</v>
      </c>
      <c r="JC624" t="s">
        <v>1043</v>
      </c>
      <c r="JE624">
        <v>0</v>
      </c>
      <c r="JF624">
        <v>0</v>
      </c>
      <c r="JI624" t="s">
        <v>1042</v>
      </c>
      <c r="JJ624">
        <v>0</v>
      </c>
      <c r="JK624">
        <v>0</v>
      </c>
      <c r="JL624">
        <v>0</v>
      </c>
      <c r="JM624">
        <v>0</v>
      </c>
      <c r="JQ624" t="s">
        <v>1043</v>
      </c>
      <c r="JT624">
        <v>0</v>
      </c>
      <c r="JU624" t="s">
        <v>1042</v>
      </c>
      <c r="JW624">
        <v>0</v>
      </c>
      <c r="KA624">
        <v>0</v>
      </c>
      <c r="KF624">
        <v>0</v>
      </c>
      <c r="KG624">
        <v>0</v>
      </c>
      <c r="KH624">
        <v>0</v>
      </c>
      <c r="KI624">
        <v>0</v>
      </c>
      <c r="KJ624" t="s">
        <v>1044</v>
      </c>
      <c r="KS624" t="s">
        <v>1073</v>
      </c>
      <c r="KT624">
        <v>0</v>
      </c>
      <c r="KU624">
        <v>0</v>
      </c>
      <c r="KV624">
        <v>0</v>
      </c>
      <c r="KX624">
        <v>0</v>
      </c>
      <c r="KY624" t="s">
        <v>1045</v>
      </c>
      <c r="KZ624">
        <v>0</v>
      </c>
      <c r="LF624">
        <v>0</v>
      </c>
      <c r="LH624">
        <v>0</v>
      </c>
      <c r="LI624">
        <v>0</v>
      </c>
    </row>
    <row r="625" spans="1:321" x14ac:dyDescent="0.35">
      <c r="A625">
        <v>1</v>
      </c>
      <c r="B625">
        <v>1419</v>
      </c>
      <c r="C625" t="s">
        <v>1130</v>
      </c>
      <c r="D625" t="s">
        <v>1089</v>
      </c>
      <c r="E625" t="s">
        <v>85</v>
      </c>
      <c r="F625">
        <v>1</v>
      </c>
      <c r="G625">
        <v>8890</v>
      </c>
      <c r="H625">
        <v>0</v>
      </c>
      <c r="I625" t="s">
        <v>994</v>
      </c>
      <c r="M625">
        <v>0</v>
      </c>
      <c r="N625">
        <v>0</v>
      </c>
      <c r="P625">
        <v>77</v>
      </c>
      <c r="Q625">
        <v>902</v>
      </c>
      <c r="R625">
        <v>0</v>
      </c>
      <c r="S625">
        <v>0</v>
      </c>
      <c r="W625" t="s">
        <v>1060</v>
      </c>
      <c r="X625">
        <v>0</v>
      </c>
      <c r="Z625">
        <v>25</v>
      </c>
      <c r="AA625">
        <v>0</v>
      </c>
      <c r="AB625">
        <v>0</v>
      </c>
      <c r="AC625">
        <v>0</v>
      </c>
      <c r="AD625" t="s">
        <v>1042</v>
      </c>
      <c r="AE625">
        <v>0</v>
      </c>
      <c r="AF625">
        <v>0</v>
      </c>
      <c r="AH625">
        <v>0</v>
      </c>
      <c r="AJ625">
        <v>0</v>
      </c>
      <c r="AL625">
        <v>0</v>
      </c>
      <c r="AM625">
        <v>0</v>
      </c>
      <c r="AN625">
        <v>11501008</v>
      </c>
      <c r="AO625">
        <v>0</v>
      </c>
      <c r="AP625">
        <v>1001</v>
      </c>
      <c r="AT625">
        <v>0</v>
      </c>
      <c r="AW625" t="s">
        <v>1053</v>
      </c>
      <c r="AX625">
        <v>0</v>
      </c>
      <c r="AY625" s="20">
        <v>44391</v>
      </c>
      <c r="BA625" s="20">
        <v>44391</v>
      </c>
      <c r="BB625" t="s">
        <v>1058</v>
      </c>
      <c r="BD625">
        <v>0</v>
      </c>
      <c r="BF625" t="s">
        <v>1044</v>
      </c>
      <c r="BG625" t="s">
        <v>1042</v>
      </c>
      <c r="BH625">
        <v>0</v>
      </c>
      <c r="BI625">
        <v>6</v>
      </c>
      <c r="BJ625">
        <v>0</v>
      </c>
      <c r="BK625">
        <v>0</v>
      </c>
      <c r="BM625" t="s">
        <v>1042</v>
      </c>
      <c r="BN625">
        <v>0</v>
      </c>
      <c r="BS625" t="s">
        <v>1043</v>
      </c>
      <c r="BT625" t="s">
        <v>1043</v>
      </c>
      <c r="BW625">
        <v>2</v>
      </c>
      <c r="BY625">
        <v>10</v>
      </c>
      <c r="CA625">
        <v>0</v>
      </c>
      <c r="CB625" t="s">
        <v>1043</v>
      </c>
      <c r="CE625" t="s">
        <v>1043</v>
      </c>
      <c r="CH625" t="s">
        <v>1043</v>
      </c>
      <c r="CN625" t="s">
        <v>1074</v>
      </c>
      <c r="CO625" t="s">
        <v>1043</v>
      </c>
      <c r="CP625">
        <v>1</v>
      </c>
      <c r="CQ625">
        <v>0</v>
      </c>
      <c r="CS625">
        <v>0</v>
      </c>
      <c r="CT625">
        <v>0</v>
      </c>
      <c r="CU625">
        <v>0</v>
      </c>
      <c r="CV625" t="s">
        <v>1045</v>
      </c>
      <c r="CW625">
        <v>0</v>
      </c>
      <c r="CX625">
        <v>0</v>
      </c>
      <c r="CY625">
        <v>0</v>
      </c>
      <c r="CZ625">
        <v>0</v>
      </c>
      <c r="DB625">
        <v>0</v>
      </c>
      <c r="DC625" t="s">
        <v>1043</v>
      </c>
      <c r="DF625" t="s">
        <v>1055</v>
      </c>
      <c r="DH625">
        <v>0</v>
      </c>
      <c r="DJ625">
        <v>0</v>
      </c>
      <c r="DK625" t="s">
        <v>1053</v>
      </c>
      <c r="DL625">
        <v>0</v>
      </c>
      <c r="DN625">
        <v>0</v>
      </c>
      <c r="DO625" t="s">
        <v>1042</v>
      </c>
      <c r="DP625">
        <v>0</v>
      </c>
      <c r="DQ625">
        <v>7</v>
      </c>
      <c r="DS625">
        <v>0</v>
      </c>
      <c r="DU625">
        <v>1</v>
      </c>
      <c r="DW625">
        <v>0</v>
      </c>
      <c r="DX625" t="s">
        <v>1043</v>
      </c>
      <c r="DY625">
        <v>0</v>
      </c>
      <c r="DZ625">
        <v>0</v>
      </c>
      <c r="EA625">
        <v>0</v>
      </c>
      <c r="ED625" t="s">
        <v>1045</v>
      </c>
      <c r="EE625">
        <v>0</v>
      </c>
      <c r="EF625">
        <v>0</v>
      </c>
      <c r="EQ625" t="s">
        <v>1044</v>
      </c>
      <c r="ES625" t="s">
        <v>1053</v>
      </c>
      <c r="ET625">
        <v>0</v>
      </c>
      <c r="EV625">
        <v>0</v>
      </c>
      <c r="EY625" t="s">
        <v>1052</v>
      </c>
      <c r="EZ625">
        <v>0</v>
      </c>
      <c r="FA625" t="s">
        <v>1043</v>
      </c>
      <c r="FB625">
        <v>0</v>
      </c>
      <c r="FC625">
        <v>0</v>
      </c>
      <c r="FE625" t="s">
        <v>1050</v>
      </c>
      <c r="FF625">
        <v>0</v>
      </c>
      <c r="FG625" t="s">
        <v>1050</v>
      </c>
      <c r="FJ625">
        <v>0</v>
      </c>
      <c r="FK625">
        <v>0</v>
      </c>
      <c r="FP625">
        <v>0</v>
      </c>
      <c r="FQ625" t="s">
        <v>1044</v>
      </c>
      <c r="FR625">
        <v>0</v>
      </c>
      <c r="FS625" t="s">
        <v>1043</v>
      </c>
      <c r="FX625" t="s">
        <v>1042</v>
      </c>
      <c r="FZ625" t="s">
        <v>1048</v>
      </c>
      <c r="GA625">
        <v>0</v>
      </c>
      <c r="GB625" t="s">
        <v>1042</v>
      </c>
      <c r="GE625">
        <v>0</v>
      </c>
      <c r="GG625">
        <v>0</v>
      </c>
      <c r="GN625">
        <v>0</v>
      </c>
      <c r="GO625" t="s">
        <v>1063</v>
      </c>
      <c r="GQ625">
        <v>0</v>
      </c>
      <c r="GU625">
        <v>0</v>
      </c>
      <c r="GY625" t="s">
        <v>1045</v>
      </c>
      <c r="HB625">
        <v>0</v>
      </c>
      <c r="HE625">
        <v>0</v>
      </c>
      <c r="HF625">
        <v>0</v>
      </c>
      <c r="HG625">
        <v>0</v>
      </c>
      <c r="HK625" t="s">
        <v>1042</v>
      </c>
      <c r="HM625" t="s">
        <v>1047</v>
      </c>
      <c r="HN625">
        <v>0</v>
      </c>
      <c r="HP625">
        <v>0</v>
      </c>
      <c r="HQ625">
        <v>0</v>
      </c>
      <c r="HR625" t="s">
        <v>1042</v>
      </c>
      <c r="HS625" t="s">
        <v>1043</v>
      </c>
      <c r="HT625">
        <v>0</v>
      </c>
      <c r="HU625">
        <v>0</v>
      </c>
      <c r="HV625" t="s">
        <v>1088</v>
      </c>
      <c r="HW625">
        <v>0</v>
      </c>
      <c r="HX625">
        <v>0</v>
      </c>
      <c r="HY625">
        <v>0</v>
      </c>
      <c r="HZ625" t="s">
        <v>1045</v>
      </c>
      <c r="IA625">
        <v>0</v>
      </c>
      <c r="IB625" t="s">
        <v>1045</v>
      </c>
      <c r="ID625" t="s">
        <v>1045</v>
      </c>
      <c r="IF625">
        <v>0</v>
      </c>
      <c r="IG625" t="s">
        <v>1042</v>
      </c>
      <c r="II625" t="s">
        <v>1042</v>
      </c>
      <c r="IR625" t="s">
        <v>1045</v>
      </c>
      <c r="IT625">
        <v>0</v>
      </c>
      <c r="IY625" t="s">
        <v>1044</v>
      </c>
      <c r="IZ625" t="s">
        <v>1043</v>
      </c>
      <c r="JA625" t="s">
        <v>1043</v>
      </c>
      <c r="JC625" t="s">
        <v>1043</v>
      </c>
      <c r="JE625">
        <v>0</v>
      </c>
      <c r="JF625">
        <v>0</v>
      </c>
      <c r="JI625" t="s">
        <v>1042</v>
      </c>
      <c r="JJ625">
        <v>0</v>
      </c>
      <c r="JK625">
        <v>0</v>
      </c>
      <c r="JL625">
        <v>0</v>
      </c>
      <c r="JM625">
        <v>0</v>
      </c>
      <c r="JQ625" t="s">
        <v>1043</v>
      </c>
      <c r="JT625">
        <v>0</v>
      </c>
      <c r="JU625" t="s">
        <v>1042</v>
      </c>
      <c r="JW625">
        <v>0</v>
      </c>
      <c r="KA625">
        <v>0</v>
      </c>
      <c r="KF625">
        <v>0</v>
      </c>
      <c r="KG625">
        <v>0</v>
      </c>
      <c r="KH625">
        <v>0</v>
      </c>
      <c r="KI625">
        <v>0</v>
      </c>
      <c r="KJ625" t="s">
        <v>1044</v>
      </c>
      <c r="KS625" t="s">
        <v>1073</v>
      </c>
      <c r="KT625">
        <v>0</v>
      </c>
      <c r="KU625">
        <v>0</v>
      </c>
      <c r="KV625">
        <v>0</v>
      </c>
      <c r="KX625">
        <v>0</v>
      </c>
      <c r="KY625" t="s">
        <v>1045</v>
      </c>
      <c r="KZ625">
        <v>0</v>
      </c>
      <c r="LF625">
        <v>0</v>
      </c>
      <c r="LH625">
        <v>0</v>
      </c>
      <c r="LI625">
        <v>0</v>
      </c>
    </row>
    <row r="626" spans="1:321" x14ac:dyDescent="0.35">
      <c r="A626">
        <v>1</v>
      </c>
      <c r="B626">
        <v>1420</v>
      </c>
      <c r="C626" t="s">
        <v>1129</v>
      </c>
      <c r="D626" t="s">
        <v>1089</v>
      </c>
      <c r="E626" t="s">
        <v>85</v>
      </c>
      <c r="F626">
        <v>1</v>
      </c>
      <c r="G626">
        <v>8890</v>
      </c>
      <c r="H626">
        <v>0</v>
      </c>
      <c r="I626" t="s">
        <v>994</v>
      </c>
      <c r="M626">
        <v>0</v>
      </c>
      <c r="N626">
        <v>0</v>
      </c>
      <c r="P626">
        <v>77</v>
      </c>
      <c r="Q626">
        <v>902</v>
      </c>
      <c r="R626">
        <v>0</v>
      </c>
      <c r="S626">
        <v>0</v>
      </c>
      <c r="W626" t="s">
        <v>1060</v>
      </c>
      <c r="X626">
        <v>0</v>
      </c>
      <c r="Z626">
        <v>20</v>
      </c>
      <c r="AA626">
        <v>0</v>
      </c>
      <c r="AB626">
        <v>0</v>
      </c>
      <c r="AC626">
        <v>0</v>
      </c>
      <c r="AD626" t="s">
        <v>1042</v>
      </c>
      <c r="AE626">
        <v>0</v>
      </c>
      <c r="AF626">
        <v>0</v>
      </c>
      <c r="AH626">
        <v>0</v>
      </c>
      <c r="AJ626">
        <v>0</v>
      </c>
      <c r="AL626">
        <v>0</v>
      </c>
      <c r="AM626">
        <v>0</v>
      </c>
      <c r="AN626">
        <v>11501008</v>
      </c>
      <c r="AO626">
        <v>0</v>
      </c>
      <c r="AP626">
        <v>1001</v>
      </c>
      <c r="AT626">
        <v>0</v>
      </c>
      <c r="AW626" t="s">
        <v>1053</v>
      </c>
      <c r="AX626">
        <v>0</v>
      </c>
      <c r="AY626" s="20">
        <v>44391</v>
      </c>
      <c r="BA626" s="20">
        <v>44391</v>
      </c>
      <c r="BB626" t="s">
        <v>1058</v>
      </c>
      <c r="BD626">
        <v>0</v>
      </c>
      <c r="BF626" t="s">
        <v>1044</v>
      </c>
      <c r="BG626" t="s">
        <v>1042</v>
      </c>
      <c r="BH626">
        <v>0</v>
      </c>
      <c r="BI626">
        <v>6</v>
      </c>
      <c r="BJ626">
        <v>0</v>
      </c>
      <c r="BK626">
        <v>0</v>
      </c>
      <c r="BM626" t="s">
        <v>1042</v>
      </c>
      <c r="BN626">
        <v>0</v>
      </c>
      <c r="BS626" t="s">
        <v>1043</v>
      </c>
      <c r="BT626" t="s">
        <v>1043</v>
      </c>
      <c r="BW626">
        <v>2</v>
      </c>
      <c r="BY626">
        <v>10</v>
      </c>
      <c r="CA626">
        <v>0</v>
      </c>
      <c r="CB626" t="s">
        <v>1043</v>
      </c>
      <c r="CE626" t="s">
        <v>1043</v>
      </c>
      <c r="CH626" t="s">
        <v>1043</v>
      </c>
      <c r="CN626" t="s">
        <v>1074</v>
      </c>
      <c r="CO626" t="s">
        <v>1043</v>
      </c>
      <c r="CP626">
        <v>1</v>
      </c>
      <c r="CQ626">
        <v>0</v>
      </c>
      <c r="CS626">
        <v>0</v>
      </c>
      <c r="CT626">
        <v>0</v>
      </c>
      <c r="CU626">
        <v>0</v>
      </c>
      <c r="CV626" t="s">
        <v>1045</v>
      </c>
      <c r="CW626">
        <v>0</v>
      </c>
      <c r="CX626">
        <v>0</v>
      </c>
      <c r="CY626">
        <v>0</v>
      </c>
      <c r="CZ626">
        <v>0</v>
      </c>
      <c r="DB626">
        <v>0</v>
      </c>
      <c r="DC626" t="s">
        <v>1043</v>
      </c>
      <c r="DF626" t="s">
        <v>1055</v>
      </c>
      <c r="DH626">
        <v>0</v>
      </c>
      <c r="DJ626">
        <v>0</v>
      </c>
      <c r="DK626" t="s">
        <v>1053</v>
      </c>
      <c r="DL626">
        <v>0</v>
      </c>
      <c r="DN626">
        <v>0</v>
      </c>
      <c r="DO626" t="s">
        <v>1042</v>
      </c>
      <c r="DP626">
        <v>0</v>
      </c>
      <c r="DQ626">
        <v>7</v>
      </c>
      <c r="DS626">
        <v>0</v>
      </c>
      <c r="DU626">
        <v>1</v>
      </c>
      <c r="DW626">
        <v>0</v>
      </c>
      <c r="DX626" t="s">
        <v>1043</v>
      </c>
      <c r="DY626">
        <v>0</v>
      </c>
      <c r="DZ626">
        <v>0</v>
      </c>
      <c r="EA626">
        <v>0</v>
      </c>
      <c r="ED626" t="s">
        <v>1045</v>
      </c>
      <c r="EE626">
        <v>0</v>
      </c>
      <c r="EF626">
        <v>0</v>
      </c>
      <c r="EQ626" t="s">
        <v>1044</v>
      </c>
      <c r="ES626" t="s">
        <v>1053</v>
      </c>
      <c r="ET626">
        <v>0</v>
      </c>
      <c r="EV626">
        <v>0</v>
      </c>
      <c r="EY626" t="s">
        <v>1052</v>
      </c>
      <c r="EZ626">
        <v>0</v>
      </c>
      <c r="FA626" t="s">
        <v>1043</v>
      </c>
      <c r="FB626">
        <v>0</v>
      </c>
      <c r="FC626">
        <v>0</v>
      </c>
      <c r="FE626" t="s">
        <v>1050</v>
      </c>
      <c r="FF626">
        <v>0</v>
      </c>
      <c r="FG626" t="s">
        <v>1050</v>
      </c>
      <c r="FJ626">
        <v>0</v>
      </c>
      <c r="FK626">
        <v>0</v>
      </c>
      <c r="FP626">
        <v>0</v>
      </c>
      <c r="FQ626" t="s">
        <v>1044</v>
      </c>
      <c r="FR626">
        <v>0</v>
      </c>
      <c r="FS626" t="s">
        <v>1043</v>
      </c>
      <c r="FX626" t="s">
        <v>1042</v>
      </c>
      <c r="FZ626" t="s">
        <v>1048</v>
      </c>
      <c r="GA626">
        <v>0</v>
      </c>
      <c r="GB626" t="s">
        <v>1042</v>
      </c>
      <c r="GE626">
        <v>0</v>
      </c>
      <c r="GG626">
        <v>0</v>
      </c>
      <c r="GN626">
        <v>0</v>
      </c>
      <c r="GO626" t="s">
        <v>1063</v>
      </c>
      <c r="GQ626">
        <v>0</v>
      </c>
      <c r="GU626">
        <v>0</v>
      </c>
      <c r="GY626" t="s">
        <v>1045</v>
      </c>
      <c r="HB626">
        <v>0</v>
      </c>
      <c r="HE626">
        <v>0</v>
      </c>
      <c r="HF626">
        <v>0</v>
      </c>
      <c r="HG626">
        <v>0</v>
      </c>
      <c r="HK626" t="s">
        <v>1042</v>
      </c>
      <c r="HM626" t="s">
        <v>1047</v>
      </c>
      <c r="HN626">
        <v>0</v>
      </c>
      <c r="HP626">
        <v>0</v>
      </c>
      <c r="HQ626">
        <v>0</v>
      </c>
      <c r="HR626" t="s">
        <v>1042</v>
      </c>
      <c r="HS626" t="s">
        <v>1043</v>
      </c>
      <c r="HT626">
        <v>0</v>
      </c>
      <c r="HU626">
        <v>0</v>
      </c>
      <c r="HV626" t="s">
        <v>1088</v>
      </c>
      <c r="HW626">
        <v>0</v>
      </c>
      <c r="HX626">
        <v>0</v>
      </c>
      <c r="HY626">
        <v>0</v>
      </c>
      <c r="HZ626" t="s">
        <v>1045</v>
      </c>
      <c r="IA626">
        <v>0</v>
      </c>
      <c r="IB626" t="s">
        <v>1045</v>
      </c>
      <c r="ID626" t="s">
        <v>1045</v>
      </c>
      <c r="IF626">
        <v>0</v>
      </c>
      <c r="IG626" t="s">
        <v>1042</v>
      </c>
      <c r="II626" t="s">
        <v>1042</v>
      </c>
      <c r="IR626" t="s">
        <v>1045</v>
      </c>
      <c r="IT626">
        <v>0</v>
      </c>
      <c r="IY626" t="s">
        <v>1044</v>
      </c>
      <c r="IZ626" t="s">
        <v>1043</v>
      </c>
      <c r="JA626" t="s">
        <v>1043</v>
      </c>
      <c r="JC626" t="s">
        <v>1043</v>
      </c>
      <c r="JE626">
        <v>0</v>
      </c>
      <c r="JF626">
        <v>0</v>
      </c>
      <c r="JI626" t="s">
        <v>1042</v>
      </c>
      <c r="JJ626">
        <v>0</v>
      </c>
      <c r="JK626">
        <v>0</v>
      </c>
      <c r="JL626">
        <v>0</v>
      </c>
      <c r="JM626">
        <v>0</v>
      </c>
      <c r="JQ626" t="s">
        <v>1043</v>
      </c>
      <c r="JT626">
        <v>0</v>
      </c>
      <c r="JU626" t="s">
        <v>1042</v>
      </c>
      <c r="JW626">
        <v>0</v>
      </c>
      <c r="KA626">
        <v>0</v>
      </c>
      <c r="KF626">
        <v>0</v>
      </c>
      <c r="KG626">
        <v>0</v>
      </c>
      <c r="KH626">
        <v>0</v>
      </c>
      <c r="KI626">
        <v>0</v>
      </c>
      <c r="KJ626" t="s">
        <v>1044</v>
      </c>
      <c r="KS626" t="s">
        <v>1073</v>
      </c>
      <c r="KT626">
        <v>0</v>
      </c>
      <c r="KU626">
        <v>0</v>
      </c>
      <c r="KV626">
        <v>0</v>
      </c>
      <c r="KX626">
        <v>0</v>
      </c>
      <c r="KY626" t="s">
        <v>1045</v>
      </c>
      <c r="KZ626">
        <v>0</v>
      </c>
      <c r="LF626">
        <v>0</v>
      </c>
      <c r="LH626">
        <v>0</v>
      </c>
      <c r="LI626">
        <v>0</v>
      </c>
    </row>
    <row r="627" spans="1:321" x14ac:dyDescent="0.35">
      <c r="A627">
        <v>1</v>
      </c>
      <c r="B627">
        <v>14202</v>
      </c>
      <c r="C627" t="s">
        <v>1128</v>
      </c>
      <c r="D627" t="s">
        <v>1076</v>
      </c>
      <c r="E627" t="s">
        <v>85</v>
      </c>
      <c r="F627">
        <v>50</v>
      </c>
      <c r="G627">
        <v>69</v>
      </c>
      <c r="H627">
        <v>0</v>
      </c>
      <c r="I627" t="s">
        <v>1050</v>
      </c>
      <c r="L627">
        <v>0</v>
      </c>
      <c r="M627">
        <v>0</v>
      </c>
      <c r="N627">
        <v>0</v>
      </c>
      <c r="R627">
        <v>0</v>
      </c>
      <c r="S627">
        <v>0</v>
      </c>
      <c r="W627" t="s">
        <v>1060</v>
      </c>
      <c r="X627">
        <v>0</v>
      </c>
      <c r="Z627">
        <v>1</v>
      </c>
      <c r="AA627">
        <v>0</v>
      </c>
      <c r="AB627">
        <v>0</v>
      </c>
      <c r="AC627">
        <v>13.340199999999999</v>
      </c>
      <c r="AD627" s="20">
        <v>44308</v>
      </c>
      <c r="AE627">
        <v>14</v>
      </c>
      <c r="AF627">
        <v>0</v>
      </c>
      <c r="AH627">
        <v>0</v>
      </c>
      <c r="AJ627">
        <v>0</v>
      </c>
      <c r="AL627">
        <v>1</v>
      </c>
      <c r="AM627">
        <v>0</v>
      </c>
      <c r="AN627">
        <v>11501004</v>
      </c>
      <c r="AO627">
        <v>0</v>
      </c>
      <c r="AP627">
        <v>2720</v>
      </c>
      <c r="AT627">
        <v>0</v>
      </c>
      <c r="AU627" t="s">
        <v>1059</v>
      </c>
      <c r="AW627" t="s">
        <v>1053</v>
      </c>
      <c r="AX627">
        <v>0</v>
      </c>
      <c r="AY627" s="20">
        <v>41004</v>
      </c>
      <c r="BA627" s="20">
        <v>41004</v>
      </c>
      <c r="BB627" t="s">
        <v>1058</v>
      </c>
      <c r="BD627">
        <v>0</v>
      </c>
      <c r="BF627" t="s">
        <v>1044</v>
      </c>
      <c r="BG627" t="s">
        <v>1042</v>
      </c>
      <c r="BH627">
        <v>0</v>
      </c>
      <c r="BI627">
        <v>1</v>
      </c>
      <c r="BJ627">
        <v>0</v>
      </c>
      <c r="BK627">
        <v>0</v>
      </c>
      <c r="BM627" t="s">
        <v>1042</v>
      </c>
      <c r="BN627">
        <v>0</v>
      </c>
      <c r="BO627">
        <v>3578010031651</v>
      </c>
      <c r="BR627" t="s">
        <v>1043</v>
      </c>
      <c r="BS627" t="s">
        <v>1043</v>
      </c>
      <c r="BT627" t="s">
        <v>1043</v>
      </c>
      <c r="BW627">
        <v>48</v>
      </c>
      <c r="CA627">
        <v>0</v>
      </c>
      <c r="CB627" t="s">
        <v>1043</v>
      </c>
      <c r="CE627" t="s">
        <v>1043</v>
      </c>
      <c r="CH627" t="s">
        <v>1043</v>
      </c>
      <c r="CN627" t="s">
        <v>1074</v>
      </c>
      <c r="CO627" t="s">
        <v>1043</v>
      </c>
      <c r="CP627">
        <v>1</v>
      </c>
      <c r="CQ627">
        <v>0</v>
      </c>
      <c r="CS627">
        <v>0</v>
      </c>
      <c r="CT627">
        <v>0</v>
      </c>
      <c r="CU627">
        <v>0</v>
      </c>
      <c r="CV627" t="s">
        <v>1045</v>
      </c>
      <c r="CW627">
        <v>0</v>
      </c>
      <c r="CX627">
        <v>0</v>
      </c>
      <c r="CY627">
        <v>0</v>
      </c>
      <c r="CZ627">
        <v>0</v>
      </c>
      <c r="DB627">
        <v>0</v>
      </c>
      <c r="DC627" t="s">
        <v>1043</v>
      </c>
      <c r="DF627" t="s">
        <v>1055</v>
      </c>
      <c r="DH627">
        <v>0</v>
      </c>
      <c r="DJ627">
        <v>0</v>
      </c>
      <c r="DK627" t="s">
        <v>1053</v>
      </c>
      <c r="DL627">
        <v>0</v>
      </c>
      <c r="DN627">
        <v>0</v>
      </c>
      <c r="DO627" t="s">
        <v>1042</v>
      </c>
      <c r="DP627">
        <v>0</v>
      </c>
      <c r="DQ627">
        <v>0</v>
      </c>
      <c r="DS627">
        <v>0</v>
      </c>
      <c r="DU627">
        <v>0</v>
      </c>
      <c r="DW627">
        <v>0</v>
      </c>
      <c r="DX627" t="s">
        <v>1043</v>
      </c>
      <c r="DY627">
        <v>0</v>
      </c>
      <c r="DZ627">
        <v>0</v>
      </c>
      <c r="EA627">
        <v>0</v>
      </c>
      <c r="ED627" t="s">
        <v>1045</v>
      </c>
      <c r="EE627">
        <v>0</v>
      </c>
      <c r="EF627">
        <v>0</v>
      </c>
      <c r="EQ627" t="s">
        <v>1044</v>
      </c>
      <c r="ES627" t="s">
        <v>1053</v>
      </c>
      <c r="ET627">
        <v>0</v>
      </c>
      <c r="EV627">
        <v>0</v>
      </c>
      <c r="EY627" t="s">
        <v>1052</v>
      </c>
      <c r="EZ627">
        <v>0</v>
      </c>
      <c r="FA627" t="s">
        <v>1043</v>
      </c>
      <c r="FB627">
        <v>0</v>
      </c>
      <c r="FC627">
        <v>0</v>
      </c>
      <c r="FE627" t="s">
        <v>1050</v>
      </c>
      <c r="FF627">
        <v>0</v>
      </c>
      <c r="FG627" t="s">
        <v>1050</v>
      </c>
      <c r="FJ627">
        <v>0</v>
      </c>
      <c r="FK627">
        <v>0</v>
      </c>
      <c r="FP627">
        <v>0</v>
      </c>
      <c r="FQ627" t="s">
        <v>1044</v>
      </c>
      <c r="FR627">
        <v>0</v>
      </c>
      <c r="FS627" t="s">
        <v>1043</v>
      </c>
      <c r="FX627" t="s">
        <v>1042</v>
      </c>
      <c r="FZ627" t="s">
        <v>1048</v>
      </c>
      <c r="GA627">
        <v>0</v>
      </c>
      <c r="GB627" t="s">
        <v>1042</v>
      </c>
      <c r="GE627">
        <v>0</v>
      </c>
      <c r="GG627">
        <v>0</v>
      </c>
      <c r="GN627">
        <v>0</v>
      </c>
      <c r="GO627" t="s">
        <v>1063</v>
      </c>
      <c r="GQ627">
        <v>0</v>
      </c>
      <c r="GU627">
        <v>0</v>
      </c>
      <c r="GY627" t="s">
        <v>1045</v>
      </c>
      <c r="HB627">
        <v>0</v>
      </c>
      <c r="HE627">
        <v>0</v>
      </c>
      <c r="HF627">
        <v>0</v>
      </c>
      <c r="HG627">
        <v>0</v>
      </c>
      <c r="HK627" s="20">
        <v>44676</v>
      </c>
      <c r="HM627" t="s">
        <v>1047</v>
      </c>
      <c r="HN627">
        <v>0</v>
      </c>
      <c r="HP627">
        <v>0</v>
      </c>
      <c r="HQ627">
        <v>0</v>
      </c>
      <c r="HR627" t="s">
        <v>1042</v>
      </c>
      <c r="HS627" t="s">
        <v>1043</v>
      </c>
      <c r="HT627">
        <v>0</v>
      </c>
      <c r="HU627">
        <v>0</v>
      </c>
      <c r="HV627" t="s">
        <v>1088</v>
      </c>
      <c r="HW627">
        <v>0</v>
      </c>
      <c r="HX627">
        <v>40</v>
      </c>
      <c r="HY627">
        <v>1</v>
      </c>
      <c r="HZ627" t="s">
        <v>1045</v>
      </c>
      <c r="IA627">
        <v>14</v>
      </c>
      <c r="IB627" t="s">
        <v>1045</v>
      </c>
      <c r="ID627" t="s">
        <v>1045</v>
      </c>
      <c r="IF627">
        <v>0</v>
      </c>
      <c r="IG627" t="s">
        <v>1042</v>
      </c>
      <c r="II627" t="s">
        <v>1042</v>
      </c>
      <c r="IR627" t="s">
        <v>1045</v>
      </c>
      <c r="IT627">
        <v>0</v>
      </c>
      <c r="IY627" t="s">
        <v>1044</v>
      </c>
      <c r="IZ627" t="s">
        <v>1043</v>
      </c>
      <c r="JA627" t="s">
        <v>1043</v>
      </c>
      <c r="JC627" t="s">
        <v>1043</v>
      </c>
      <c r="JE627">
        <v>0</v>
      </c>
      <c r="JF627">
        <v>0</v>
      </c>
      <c r="JI627" t="s">
        <v>1042</v>
      </c>
      <c r="JJ627">
        <v>0</v>
      </c>
      <c r="JK627">
        <v>0</v>
      </c>
      <c r="JL627">
        <v>0</v>
      </c>
      <c r="JM627">
        <v>0</v>
      </c>
      <c r="JQ627" t="s">
        <v>1043</v>
      </c>
      <c r="JT627">
        <v>0</v>
      </c>
      <c r="JU627" t="s">
        <v>1042</v>
      </c>
      <c r="JW627">
        <v>0</v>
      </c>
      <c r="KA627">
        <v>0</v>
      </c>
      <c r="KF627">
        <v>0</v>
      </c>
      <c r="KG627">
        <v>0</v>
      </c>
      <c r="KH627">
        <v>0</v>
      </c>
      <c r="KI627">
        <v>0</v>
      </c>
      <c r="KJ627" t="s">
        <v>1044</v>
      </c>
      <c r="KS627" t="s">
        <v>1073</v>
      </c>
      <c r="KT627">
        <v>0</v>
      </c>
      <c r="KU627">
        <v>0</v>
      </c>
      <c r="KV627">
        <v>0</v>
      </c>
      <c r="KX627">
        <v>0</v>
      </c>
      <c r="KY627" t="s">
        <v>1045</v>
      </c>
      <c r="KZ627">
        <v>0</v>
      </c>
      <c r="LF627">
        <v>0</v>
      </c>
      <c r="LH627">
        <v>0</v>
      </c>
      <c r="LI627">
        <v>0</v>
      </c>
    </row>
    <row r="628" spans="1:321" x14ac:dyDescent="0.35">
      <c r="A628">
        <v>1</v>
      </c>
      <c r="B628">
        <v>1421</v>
      </c>
      <c r="C628" t="s">
        <v>1127</v>
      </c>
      <c r="D628" t="s">
        <v>1089</v>
      </c>
      <c r="E628" t="s">
        <v>85</v>
      </c>
      <c r="F628">
        <v>1</v>
      </c>
      <c r="G628">
        <v>8890</v>
      </c>
      <c r="H628">
        <v>0</v>
      </c>
      <c r="I628" t="s">
        <v>994</v>
      </c>
      <c r="M628">
        <v>0</v>
      </c>
      <c r="N628">
        <v>0</v>
      </c>
      <c r="P628">
        <v>77</v>
      </c>
      <c r="Q628">
        <v>902</v>
      </c>
      <c r="R628">
        <v>0</v>
      </c>
      <c r="S628">
        <v>0</v>
      </c>
      <c r="W628" t="s">
        <v>1060</v>
      </c>
      <c r="X628">
        <v>0</v>
      </c>
      <c r="Z628">
        <v>20</v>
      </c>
      <c r="AA628">
        <v>0</v>
      </c>
      <c r="AB628">
        <v>0</v>
      </c>
      <c r="AC628">
        <v>0</v>
      </c>
      <c r="AD628" t="s">
        <v>1042</v>
      </c>
      <c r="AE628">
        <v>0</v>
      </c>
      <c r="AF628">
        <v>0</v>
      </c>
      <c r="AH628">
        <v>0</v>
      </c>
      <c r="AJ628">
        <v>0</v>
      </c>
      <c r="AL628">
        <v>0</v>
      </c>
      <c r="AM628">
        <v>0</v>
      </c>
      <c r="AN628">
        <v>11501008</v>
      </c>
      <c r="AO628">
        <v>0</v>
      </c>
      <c r="AP628">
        <v>1001</v>
      </c>
      <c r="AT628">
        <v>0</v>
      </c>
      <c r="AW628" t="s">
        <v>1053</v>
      </c>
      <c r="AX628">
        <v>0</v>
      </c>
      <c r="AY628" s="20">
        <v>44391</v>
      </c>
      <c r="BA628" s="20">
        <v>44391</v>
      </c>
      <c r="BB628" t="s">
        <v>1058</v>
      </c>
      <c r="BD628">
        <v>0</v>
      </c>
      <c r="BF628" t="s">
        <v>1044</v>
      </c>
      <c r="BG628" t="s">
        <v>1042</v>
      </c>
      <c r="BH628">
        <v>0</v>
      </c>
      <c r="BI628">
        <v>6</v>
      </c>
      <c r="BJ628">
        <v>0</v>
      </c>
      <c r="BK628">
        <v>0</v>
      </c>
      <c r="BM628" t="s">
        <v>1042</v>
      </c>
      <c r="BN628">
        <v>0</v>
      </c>
      <c r="BS628" t="s">
        <v>1043</v>
      </c>
      <c r="BT628" t="s">
        <v>1043</v>
      </c>
      <c r="BW628">
        <v>2</v>
      </c>
      <c r="BY628">
        <v>10</v>
      </c>
      <c r="CA628">
        <v>0</v>
      </c>
      <c r="CB628" t="s">
        <v>1043</v>
      </c>
      <c r="CE628" t="s">
        <v>1043</v>
      </c>
      <c r="CH628" t="s">
        <v>1043</v>
      </c>
      <c r="CN628" t="s">
        <v>1074</v>
      </c>
      <c r="CO628" t="s">
        <v>1043</v>
      </c>
      <c r="CP628">
        <v>1</v>
      </c>
      <c r="CQ628">
        <v>0</v>
      </c>
      <c r="CS628">
        <v>0</v>
      </c>
      <c r="CT628">
        <v>0</v>
      </c>
      <c r="CU628">
        <v>0</v>
      </c>
      <c r="CV628" t="s">
        <v>1045</v>
      </c>
      <c r="CW628">
        <v>0</v>
      </c>
      <c r="CX628">
        <v>0</v>
      </c>
      <c r="CY628">
        <v>0</v>
      </c>
      <c r="CZ628">
        <v>0</v>
      </c>
      <c r="DB628">
        <v>0</v>
      </c>
      <c r="DC628" t="s">
        <v>1043</v>
      </c>
      <c r="DF628" t="s">
        <v>1055</v>
      </c>
      <c r="DH628">
        <v>0</v>
      </c>
      <c r="DJ628">
        <v>0</v>
      </c>
      <c r="DK628" t="s">
        <v>1053</v>
      </c>
      <c r="DL628">
        <v>0</v>
      </c>
      <c r="DN628">
        <v>0</v>
      </c>
      <c r="DO628" t="s">
        <v>1042</v>
      </c>
      <c r="DP628">
        <v>0</v>
      </c>
      <c r="DQ628">
        <v>7</v>
      </c>
      <c r="DS628">
        <v>0</v>
      </c>
      <c r="DU628">
        <v>1</v>
      </c>
      <c r="DW628">
        <v>0</v>
      </c>
      <c r="DX628" t="s">
        <v>1043</v>
      </c>
      <c r="DY628">
        <v>0</v>
      </c>
      <c r="DZ628">
        <v>0</v>
      </c>
      <c r="EA628">
        <v>0</v>
      </c>
      <c r="ED628" t="s">
        <v>1045</v>
      </c>
      <c r="EE628">
        <v>0</v>
      </c>
      <c r="EF628">
        <v>0</v>
      </c>
      <c r="EQ628" t="s">
        <v>1044</v>
      </c>
      <c r="ES628" t="s">
        <v>1053</v>
      </c>
      <c r="ET628">
        <v>0</v>
      </c>
      <c r="EV628">
        <v>0</v>
      </c>
      <c r="EY628" t="s">
        <v>1052</v>
      </c>
      <c r="EZ628">
        <v>0</v>
      </c>
      <c r="FA628" t="s">
        <v>1043</v>
      </c>
      <c r="FB628">
        <v>0</v>
      </c>
      <c r="FC628">
        <v>0</v>
      </c>
      <c r="FE628" t="s">
        <v>1050</v>
      </c>
      <c r="FF628">
        <v>0</v>
      </c>
      <c r="FG628" t="s">
        <v>1050</v>
      </c>
      <c r="FJ628">
        <v>0</v>
      </c>
      <c r="FK628">
        <v>0</v>
      </c>
      <c r="FP628">
        <v>0</v>
      </c>
      <c r="FQ628" t="s">
        <v>1044</v>
      </c>
      <c r="FR628">
        <v>0</v>
      </c>
      <c r="FS628" t="s">
        <v>1043</v>
      </c>
      <c r="FX628" t="s">
        <v>1042</v>
      </c>
      <c r="FZ628" t="s">
        <v>1048</v>
      </c>
      <c r="GA628">
        <v>0</v>
      </c>
      <c r="GB628" t="s">
        <v>1042</v>
      </c>
      <c r="GE628">
        <v>0</v>
      </c>
      <c r="GG628">
        <v>0</v>
      </c>
      <c r="GN628">
        <v>0</v>
      </c>
      <c r="GO628" t="s">
        <v>1063</v>
      </c>
      <c r="GQ628">
        <v>0</v>
      </c>
      <c r="GU628">
        <v>0</v>
      </c>
      <c r="GY628" t="s">
        <v>1045</v>
      </c>
      <c r="HB628">
        <v>0</v>
      </c>
      <c r="HE628">
        <v>0</v>
      </c>
      <c r="HF628">
        <v>0</v>
      </c>
      <c r="HG628">
        <v>0</v>
      </c>
      <c r="HK628" t="s">
        <v>1042</v>
      </c>
      <c r="HM628" t="s">
        <v>1047</v>
      </c>
      <c r="HN628">
        <v>0</v>
      </c>
      <c r="HP628">
        <v>0</v>
      </c>
      <c r="HQ628">
        <v>0</v>
      </c>
      <c r="HR628" t="s">
        <v>1042</v>
      </c>
      <c r="HS628" t="s">
        <v>1043</v>
      </c>
      <c r="HT628">
        <v>0</v>
      </c>
      <c r="HU628">
        <v>0</v>
      </c>
      <c r="HV628" t="s">
        <v>1088</v>
      </c>
      <c r="HW628">
        <v>0</v>
      </c>
      <c r="HX628">
        <v>0</v>
      </c>
      <c r="HY628">
        <v>0</v>
      </c>
      <c r="HZ628" t="s">
        <v>1045</v>
      </c>
      <c r="IA628">
        <v>0</v>
      </c>
      <c r="IB628" t="s">
        <v>1045</v>
      </c>
      <c r="ID628" t="s">
        <v>1045</v>
      </c>
      <c r="IF628">
        <v>0</v>
      </c>
      <c r="IG628" t="s">
        <v>1042</v>
      </c>
      <c r="II628" t="s">
        <v>1042</v>
      </c>
      <c r="IR628" t="s">
        <v>1045</v>
      </c>
      <c r="IT628">
        <v>0</v>
      </c>
      <c r="IY628" t="s">
        <v>1044</v>
      </c>
      <c r="IZ628" t="s">
        <v>1043</v>
      </c>
      <c r="JA628" t="s">
        <v>1043</v>
      </c>
      <c r="JC628" t="s">
        <v>1043</v>
      </c>
      <c r="JE628">
        <v>0</v>
      </c>
      <c r="JF628">
        <v>0</v>
      </c>
      <c r="JI628" t="s">
        <v>1042</v>
      </c>
      <c r="JJ628">
        <v>0</v>
      </c>
      <c r="JK628">
        <v>0</v>
      </c>
      <c r="JL628">
        <v>0</v>
      </c>
      <c r="JM628">
        <v>0</v>
      </c>
      <c r="JQ628" t="s">
        <v>1043</v>
      </c>
      <c r="JT628">
        <v>0</v>
      </c>
      <c r="JU628" t="s">
        <v>1042</v>
      </c>
      <c r="JW628">
        <v>0</v>
      </c>
      <c r="KA628">
        <v>0</v>
      </c>
      <c r="KF628">
        <v>0</v>
      </c>
      <c r="KG628">
        <v>0</v>
      </c>
      <c r="KH628">
        <v>0</v>
      </c>
      <c r="KI628">
        <v>0</v>
      </c>
      <c r="KJ628" t="s">
        <v>1044</v>
      </c>
      <c r="KS628" t="s">
        <v>1073</v>
      </c>
      <c r="KT628">
        <v>0</v>
      </c>
      <c r="KU628">
        <v>0</v>
      </c>
      <c r="KV628">
        <v>0</v>
      </c>
      <c r="KX628">
        <v>0</v>
      </c>
      <c r="KY628" t="s">
        <v>1045</v>
      </c>
      <c r="KZ628">
        <v>0</v>
      </c>
      <c r="LF628">
        <v>0</v>
      </c>
      <c r="LH628">
        <v>0</v>
      </c>
      <c r="LI628">
        <v>0</v>
      </c>
    </row>
    <row r="629" spans="1:321" x14ac:dyDescent="0.35">
      <c r="A629">
        <v>1</v>
      </c>
      <c r="B629">
        <v>1422</v>
      </c>
      <c r="C629" t="s">
        <v>754</v>
      </c>
      <c r="D629" t="s">
        <v>1089</v>
      </c>
      <c r="E629" t="s">
        <v>85</v>
      </c>
      <c r="F629">
        <v>1</v>
      </c>
      <c r="G629">
        <v>200</v>
      </c>
      <c r="H629">
        <v>0</v>
      </c>
      <c r="I629" t="s">
        <v>994</v>
      </c>
      <c r="M629">
        <v>0</v>
      </c>
      <c r="N629">
        <v>0</v>
      </c>
      <c r="P629">
        <v>77</v>
      </c>
      <c r="Q629">
        <v>902</v>
      </c>
      <c r="R629">
        <v>0</v>
      </c>
      <c r="S629">
        <v>0</v>
      </c>
      <c r="W629" t="s">
        <v>1060</v>
      </c>
      <c r="X629">
        <v>0</v>
      </c>
      <c r="Z629">
        <v>20</v>
      </c>
      <c r="AA629">
        <v>106.4659</v>
      </c>
      <c r="AB629">
        <v>773</v>
      </c>
      <c r="AC629">
        <v>10.0723</v>
      </c>
      <c r="AD629" s="20">
        <v>44697</v>
      </c>
      <c r="AE629">
        <v>12.79</v>
      </c>
      <c r="AF629">
        <v>0.3</v>
      </c>
      <c r="AH629">
        <v>682</v>
      </c>
      <c r="AJ629">
        <v>0</v>
      </c>
      <c r="AL629">
        <v>200</v>
      </c>
      <c r="AM629">
        <v>0</v>
      </c>
      <c r="AN629">
        <v>11501008</v>
      </c>
      <c r="AO629">
        <v>0</v>
      </c>
      <c r="AP629">
        <v>1050</v>
      </c>
      <c r="AT629">
        <v>1</v>
      </c>
      <c r="AU629" t="s">
        <v>1059</v>
      </c>
      <c r="AW629" t="s">
        <v>1053</v>
      </c>
      <c r="AX629">
        <v>5</v>
      </c>
      <c r="AY629" s="20">
        <v>44169</v>
      </c>
      <c r="BA629" s="20">
        <v>43718</v>
      </c>
      <c r="BB629" t="s">
        <v>1058</v>
      </c>
      <c r="BD629">
        <v>0</v>
      </c>
      <c r="BF629" t="s">
        <v>1044</v>
      </c>
      <c r="BG629" s="20">
        <v>42149</v>
      </c>
      <c r="BH629">
        <v>0</v>
      </c>
      <c r="BI629">
        <v>6</v>
      </c>
      <c r="BJ629">
        <v>0</v>
      </c>
      <c r="BK629">
        <v>0</v>
      </c>
      <c r="BM629" s="20">
        <v>42161</v>
      </c>
      <c r="BN629">
        <v>0</v>
      </c>
      <c r="BO629">
        <v>7897801313889</v>
      </c>
      <c r="BS629" t="s">
        <v>1043</v>
      </c>
      <c r="BT629" t="s">
        <v>1043</v>
      </c>
      <c r="BW629">
        <v>2</v>
      </c>
      <c r="BY629">
        <v>10</v>
      </c>
      <c r="CA629">
        <v>0</v>
      </c>
      <c r="CB629" t="s">
        <v>1057</v>
      </c>
      <c r="CE629" t="s">
        <v>1043</v>
      </c>
      <c r="CH629" t="s">
        <v>1043</v>
      </c>
      <c r="CN629" t="s">
        <v>1056</v>
      </c>
      <c r="CO629" t="s">
        <v>1043</v>
      </c>
      <c r="CP629">
        <v>1</v>
      </c>
      <c r="CQ629">
        <v>0</v>
      </c>
      <c r="CS629">
        <v>0</v>
      </c>
      <c r="CT629">
        <v>0</v>
      </c>
      <c r="CU629">
        <v>0</v>
      </c>
      <c r="CV629" t="s">
        <v>1045</v>
      </c>
      <c r="CW629">
        <v>0</v>
      </c>
      <c r="CX629">
        <v>0</v>
      </c>
      <c r="CY629">
        <v>0</v>
      </c>
      <c r="CZ629">
        <v>0</v>
      </c>
      <c r="DA629">
        <v>2</v>
      </c>
      <c r="DB629">
        <v>0</v>
      </c>
      <c r="DC629" t="s">
        <v>1043</v>
      </c>
      <c r="DF629" t="s">
        <v>1055</v>
      </c>
      <c r="DH629">
        <v>0</v>
      </c>
      <c r="DJ629">
        <v>0</v>
      </c>
      <c r="DK629" t="s">
        <v>1053</v>
      </c>
      <c r="DL629">
        <v>0</v>
      </c>
      <c r="DN629">
        <v>0</v>
      </c>
      <c r="DO629" t="s">
        <v>1042</v>
      </c>
      <c r="DP629">
        <v>0</v>
      </c>
      <c r="DQ629">
        <v>7.6</v>
      </c>
      <c r="DS629">
        <v>0</v>
      </c>
      <c r="DU629">
        <v>1.65</v>
      </c>
      <c r="DW629">
        <v>0</v>
      </c>
      <c r="DX629" t="s">
        <v>1043</v>
      </c>
      <c r="DY629">
        <v>0</v>
      </c>
      <c r="DZ629">
        <v>0</v>
      </c>
      <c r="EA629">
        <v>0</v>
      </c>
      <c r="EB629">
        <v>17897801313886</v>
      </c>
      <c r="ED629" t="s">
        <v>1045</v>
      </c>
      <c r="EE629">
        <v>0</v>
      </c>
      <c r="EF629">
        <v>0</v>
      </c>
      <c r="EL629">
        <v>57897801313884</v>
      </c>
      <c r="EN629" t="s">
        <v>1012</v>
      </c>
      <c r="EO629" t="s">
        <v>1044</v>
      </c>
      <c r="EQ629" t="s">
        <v>1044</v>
      </c>
      <c r="ES629" t="s">
        <v>1053</v>
      </c>
      <c r="ET629">
        <v>0</v>
      </c>
      <c r="EV629">
        <v>0</v>
      </c>
      <c r="EY629" t="s">
        <v>1052</v>
      </c>
      <c r="EZ629">
        <v>0</v>
      </c>
      <c r="FA629" t="s">
        <v>1043</v>
      </c>
      <c r="FB629">
        <v>0</v>
      </c>
      <c r="FC629">
        <v>0</v>
      </c>
      <c r="FD629" t="s">
        <v>1051</v>
      </c>
      <c r="FE629" t="s">
        <v>1050</v>
      </c>
      <c r="FF629">
        <v>0</v>
      </c>
      <c r="FG629" t="s">
        <v>1050</v>
      </c>
      <c r="FH629">
        <v>27897801313883</v>
      </c>
      <c r="FJ629">
        <v>0</v>
      </c>
      <c r="FK629">
        <v>0</v>
      </c>
      <c r="FP629">
        <v>0</v>
      </c>
      <c r="FQ629" t="s">
        <v>1044</v>
      </c>
      <c r="FR629">
        <v>0</v>
      </c>
      <c r="FS629" t="s">
        <v>1043</v>
      </c>
      <c r="FX629" t="s">
        <v>1042</v>
      </c>
      <c r="FZ629" t="s">
        <v>1048</v>
      </c>
      <c r="GA629">
        <v>0</v>
      </c>
      <c r="GB629" t="s">
        <v>1042</v>
      </c>
      <c r="GE629">
        <v>0</v>
      </c>
      <c r="GG629">
        <v>0</v>
      </c>
      <c r="GN629">
        <v>0</v>
      </c>
      <c r="GO629" t="s">
        <v>1063</v>
      </c>
      <c r="GQ629">
        <v>0</v>
      </c>
      <c r="GU629">
        <v>0</v>
      </c>
      <c r="GY629" t="s">
        <v>1045</v>
      </c>
      <c r="HB629">
        <v>0</v>
      </c>
      <c r="HE629">
        <v>0</v>
      </c>
      <c r="HF629">
        <v>0</v>
      </c>
      <c r="HG629">
        <v>7.9250000000000001E-2</v>
      </c>
      <c r="HK629" t="s">
        <v>1042</v>
      </c>
      <c r="HL629" t="s">
        <v>1048</v>
      </c>
      <c r="HM629" t="s">
        <v>1047</v>
      </c>
      <c r="HN629">
        <v>0</v>
      </c>
      <c r="HO629">
        <v>17</v>
      </c>
      <c r="HP629">
        <v>0.30199999999999999</v>
      </c>
      <c r="HQ629">
        <v>0</v>
      </c>
      <c r="HR629" s="20">
        <v>44221</v>
      </c>
      <c r="HS629" t="s">
        <v>1043</v>
      </c>
      <c r="HT629">
        <v>0</v>
      </c>
      <c r="HU629">
        <v>0</v>
      </c>
      <c r="HW629">
        <v>0</v>
      </c>
      <c r="HX629">
        <v>1455</v>
      </c>
      <c r="HY629">
        <v>1</v>
      </c>
      <c r="HZ629" t="s">
        <v>1045</v>
      </c>
      <c r="IA629">
        <v>12.79</v>
      </c>
      <c r="IB629" t="s">
        <v>1045</v>
      </c>
      <c r="ID629" t="s">
        <v>1045</v>
      </c>
      <c r="IF629">
        <v>500</v>
      </c>
      <c r="IG629" s="20">
        <v>42177</v>
      </c>
      <c r="II629" t="s">
        <v>1042</v>
      </c>
      <c r="IR629" t="s">
        <v>1045</v>
      </c>
      <c r="IT629">
        <v>0</v>
      </c>
      <c r="IY629" t="s">
        <v>1044</v>
      </c>
      <c r="IZ629" t="s">
        <v>1043</v>
      </c>
      <c r="JA629" t="s">
        <v>1043</v>
      </c>
      <c r="JC629" t="s">
        <v>1043</v>
      </c>
      <c r="JE629">
        <v>0</v>
      </c>
      <c r="JF629">
        <v>0</v>
      </c>
      <c r="JI629" t="s">
        <v>1042</v>
      </c>
      <c r="JJ629">
        <v>0</v>
      </c>
      <c r="JK629">
        <v>0</v>
      </c>
      <c r="JL629">
        <v>0</v>
      </c>
      <c r="JM629">
        <v>0</v>
      </c>
      <c r="JQ629" t="s">
        <v>1043</v>
      </c>
      <c r="JT629">
        <v>0</v>
      </c>
      <c r="JU629" t="s">
        <v>1042</v>
      </c>
      <c r="JW629">
        <v>0</v>
      </c>
      <c r="KA629">
        <v>0</v>
      </c>
      <c r="KF629">
        <v>0</v>
      </c>
      <c r="KG629">
        <v>0</v>
      </c>
      <c r="KH629">
        <v>0</v>
      </c>
      <c r="KI629">
        <v>0</v>
      </c>
      <c r="KP629" t="s">
        <v>1045</v>
      </c>
      <c r="KS629" t="s">
        <v>1041</v>
      </c>
      <c r="KT629">
        <v>0</v>
      </c>
      <c r="KU629">
        <v>0</v>
      </c>
      <c r="KV629">
        <v>0</v>
      </c>
      <c r="KX629">
        <v>0</v>
      </c>
      <c r="KY629" t="s">
        <v>1045</v>
      </c>
      <c r="KZ629">
        <v>0</v>
      </c>
      <c r="LF629">
        <v>0</v>
      </c>
      <c r="LH629">
        <v>0</v>
      </c>
      <c r="LI629">
        <v>0</v>
      </c>
    </row>
    <row r="630" spans="1:321" x14ac:dyDescent="0.35">
      <c r="A630">
        <v>1</v>
      </c>
      <c r="B630">
        <v>1423</v>
      </c>
      <c r="C630" t="s">
        <v>1126</v>
      </c>
      <c r="D630" t="s">
        <v>1089</v>
      </c>
      <c r="E630" t="s">
        <v>85</v>
      </c>
      <c r="F630">
        <v>1</v>
      </c>
      <c r="G630">
        <v>8890</v>
      </c>
      <c r="H630">
        <v>0</v>
      </c>
      <c r="I630" t="s">
        <v>994</v>
      </c>
      <c r="M630">
        <v>0</v>
      </c>
      <c r="N630">
        <v>0</v>
      </c>
      <c r="P630">
        <v>77</v>
      </c>
      <c r="Q630">
        <v>902</v>
      </c>
      <c r="R630">
        <v>0</v>
      </c>
      <c r="S630">
        <v>0</v>
      </c>
      <c r="W630" t="s">
        <v>1060</v>
      </c>
      <c r="X630">
        <v>0</v>
      </c>
      <c r="Z630">
        <v>1</v>
      </c>
      <c r="AA630">
        <v>0</v>
      </c>
      <c r="AB630">
        <v>0</v>
      </c>
      <c r="AC630">
        <v>0</v>
      </c>
      <c r="AD630" t="s">
        <v>1042</v>
      </c>
      <c r="AE630">
        <v>0</v>
      </c>
      <c r="AF630">
        <v>0</v>
      </c>
      <c r="AH630">
        <v>0</v>
      </c>
      <c r="AJ630">
        <v>0</v>
      </c>
      <c r="AL630">
        <v>0</v>
      </c>
      <c r="AM630">
        <v>0</v>
      </c>
      <c r="AN630">
        <v>11501008</v>
      </c>
      <c r="AO630">
        <v>0</v>
      </c>
      <c r="AP630">
        <v>1001</v>
      </c>
      <c r="AT630">
        <v>0</v>
      </c>
      <c r="AW630" t="s">
        <v>1053</v>
      </c>
      <c r="AX630">
        <v>0</v>
      </c>
      <c r="AY630" s="20">
        <v>44391</v>
      </c>
      <c r="BA630" s="20">
        <v>44391</v>
      </c>
      <c r="BB630" t="s">
        <v>1058</v>
      </c>
      <c r="BD630">
        <v>0</v>
      </c>
      <c r="BF630" t="s">
        <v>1044</v>
      </c>
      <c r="BG630" t="s">
        <v>1042</v>
      </c>
      <c r="BH630">
        <v>0</v>
      </c>
      <c r="BI630">
        <v>6</v>
      </c>
      <c r="BJ630">
        <v>0</v>
      </c>
      <c r="BK630">
        <v>0</v>
      </c>
      <c r="BM630" t="s">
        <v>1042</v>
      </c>
      <c r="BN630">
        <v>0</v>
      </c>
      <c r="BS630" t="s">
        <v>1043</v>
      </c>
      <c r="BT630" t="s">
        <v>1043</v>
      </c>
      <c r="BW630">
        <v>2</v>
      </c>
      <c r="BY630">
        <v>10</v>
      </c>
      <c r="CA630">
        <v>0</v>
      </c>
      <c r="CB630" t="s">
        <v>1043</v>
      </c>
      <c r="CE630" t="s">
        <v>1043</v>
      </c>
      <c r="CH630" t="s">
        <v>1043</v>
      </c>
      <c r="CN630" t="s">
        <v>1074</v>
      </c>
      <c r="CO630" t="s">
        <v>1043</v>
      </c>
      <c r="CP630">
        <v>1</v>
      </c>
      <c r="CQ630">
        <v>0</v>
      </c>
      <c r="CS630">
        <v>0</v>
      </c>
      <c r="CT630">
        <v>0</v>
      </c>
      <c r="CU630">
        <v>0</v>
      </c>
      <c r="CV630" t="s">
        <v>1045</v>
      </c>
      <c r="CW630">
        <v>0</v>
      </c>
      <c r="CX630">
        <v>0</v>
      </c>
      <c r="CY630">
        <v>0</v>
      </c>
      <c r="CZ630">
        <v>0</v>
      </c>
      <c r="DB630">
        <v>0</v>
      </c>
      <c r="DC630" t="s">
        <v>1043</v>
      </c>
      <c r="DF630" t="s">
        <v>1055</v>
      </c>
      <c r="DH630">
        <v>0</v>
      </c>
      <c r="DJ630">
        <v>0</v>
      </c>
      <c r="DK630" t="s">
        <v>1053</v>
      </c>
      <c r="DL630">
        <v>0</v>
      </c>
      <c r="DN630">
        <v>0</v>
      </c>
      <c r="DO630" t="s">
        <v>1042</v>
      </c>
      <c r="DP630">
        <v>0</v>
      </c>
      <c r="DQ630">
        <v>7</v>
      </c>
      <c r="DS630">
        <v>0</v>
      </c>
      <c r="DU630">
        <v>1</v>
      </c>
      <c r="DW630">
        <v>0</v>
      </c>
      <c r="DX630" t="s">
        <v>1043</v>
      </c>
      <c r="DY630">
        <v>0</v>
      </c>
      <c r="DZ630">
        <v>0</v>
      </c>
      <c r="EA630">
        <v>0</v>
      </c>
      <c r="ED630" t="s">
        <v>1045</v>
      </c>
      <c r="EE630">
        <v>0</v>
      </c>
      <c r="EF630">
        <v>0</v>
      </c>
      <c r="EQ630" t="s">
        <v>1044</v>
      </c>
      <c r="ES630" t="s">
        <v>1053</v>
      </c>
      <c r="ET630">
        <v>0</v>
      </c>
      <c r="EV630">
        <v>0</v>
      </c>
      <c r="EY630" t="s">
        <v>1052</v>
      </c>
      <c r="EZ630">
        <v>0</v>
      </c>
      <c r="FA630" t="s">
        <v>1043</v>
      </c>
      <c r="FB630">
        <v>0</v>
      </c>
      <c r="FC630">
        <v>0</v>
      </c>
      <c r="FE630" t="s">
        <v>1050</v>
      </c>
      <c r="FF630">
        <v>0</v>
      </c>
      <c r="FG630" t="s">
        <v>1050</v>
      </c>
      <c r="FJ630">
        <v>0</v>
      </c>
      <c r="FK630">
        <v>0</v>
      </c>
      <c r="FP630">
        <v>0</v>
      </c>
      <c r="FQ630" t="s">
        <v>1044</v>
      </c>
      <c r="FR630">
        <v>0</v>
      </c>
      <c r="FS630" t="s">
        <v>1043</v>
      </c>
      <c r="FX630" t="s">
        <v>1042</v>
      </c>
      <c r="FZ630" t="s">
        <v>1048</v>
      </c>
      <c r="GA630">
        <v>0</v>
      </c>
      <c r="GB630" t="s">
        <v>1042</v>
      </c>
      <c r="GE630">
        <v>0</v>
      </c>
      <c r="GG630">
        <v>0</v>
      </c>
      <c r="GN630">
        <v>0</v>
      </c>
      <c r="GO630" t="s">
        <v>1063</v>
      </c>
      <c r="GQ630">
        <v>0</v>
      </c>
      <c r="GU630">
        <v>0</v>
      </c>
      <c r="GY630" t="s">
        <v>1045</v>
      </c>
      <c r="HB630">
        <v>0</v>
      </c>
      <c r="HE630">
        <v>0</v>
      </c>
      <c r="HF630">
        <v>0</v>
      </c>
      <c r="HG630">
        <v>0</v>
      </c>
      <c r="HK630" t="s">
        <v>1042</v>
      </c>
      <c r="HM630" t="s">
        <v>1047</v>
      </c>
      <c r="HN630">
        <v>0</v>
      </c>
      <c r="HP630">
        <v>0</v>
      </c>
      <c r="HQ630">
        <v>0</v>
      </c>
      <c r="HR630" t="s">
        <v>1042</v>
      </c>
      <c r="HS630" t="s">
        <v>1043</v>
      </c>
      <c r="HT630">
        <v>0</v>
      </c>
      <c r="HU630">
        <v>0</v>
      </c>
      <c r="HV630" t="s">
        <v>1088</v>
      </c>
      <c r="HW630">
        <v>0</v>
      </c>
      <c r="HX630">
        <v>0</v>
      </c>
      <c r="HY630">
        <v>0</v>
      </c>
      <c r="HZ630" t="s">
        <v>1045</v>
      </c>
      <c r="IA630">
        <v>0</v>
      </c>
      <c r="IB630" t="s">
        <v>1045</v>
      </c>
      <c r="ID630" t="s">
        <v>1045</v>
      </c>
      <c r="IF630">
        <v>0</v>
      </c>
      <c r="IG630" t="s">
        <v>1042</v>
      </c>
      <c r="II630" t="s">
        <v>1042</v>
      </c>
      <c r="IR630" t="s">
        <v>1045</v>
      </c>
      <c r="IT630">
        <v>0</v>
      </c>
      <c r="IY630" t="s">
        <v>1044</v>
      </c>
      <c r="IZ630" t="s">
        <v>1043</v>
      </c>
      <c r="JA630" t="s">
        <v>1043</v>
      </c>
      <c r="JC630" t="s">
        <v>1043</v>
      </c>
      <c r="JE630">
        <v>0</v>
      </c>
      <c r="JF630">
        <v>0</v>
      </c>
      <c r="JI630" t="s">
        <v>1042</v>
      </c>
      <c r="JJ630">
        <v>0</v>
      </c>
      <c r="JK630">
        <v>0</v>
      </c>
      <c r="JL630">
        <v>0</v>
      </c>
      <c r="JM630">
        <v>0</v>
      </c>
      <c r="JQ630" t="s">
        <v>1043</v>
      </c>
      <c r="JT630">
        <v>0</v>
      </c>
      <c r="JU630" t="s">
        <v>1042</v>
      </c>
      <c r="JW630">
        <v>0</v>
      </c>
      <c r="KA630">
        <v>0</v>
      </c>
      <c r="KF630">
        <v>0</v>
      </c>
      <c r="KG630">
        <v>0</v>
      </c>
      <c r="KH630">
        <v>0</v>
      </c>
      <c r="KI630">
        <v>0</v>
      </c>
      <c r="KJ630" t="s">
        <v>1044</v>
      </c>
      <c r="KS630" t="s">
        <v>1073</v>
      </c>
      <c r="KT630">
        <v>0</v>
      </c>
      <c r="KU630">
        <v>0</v>
      </c>
      <c r="KV630">
        <v>0</v>
      </c>
      <c r="KX630">
        <v>0</v>
      </c>
      <c r="KY630" t="s">
        <v>1045</v>
      </c>
      <c r="KZ630">
        <v>0</v>
      </c>
      <c r="LF630">
        <v>0</v>
      </c>
      <c r="LH630">
        <v>0</v>
      </c>
      <c r="LI630">
        <v>0</v>
      </c>
    </row>
    <row r="631" spans="1:321" x14ac:dyDescent="0.35">
      <c r="A631">
        <v>1</v>
      </c>
      <c r="B631">
        <v>1425</v>
      </c>
      <c r="C631" t="s">
        <v>1125</v>
      </c>
      <c r="D631" t="s">
        <v>1089</v>
      </c>
      <c r="E631" t="s">
        <v>85</v>
      </c>
      <c r="F631">
        <v>1</v>
      </c>
      <c r="G631">
        <v>8890</v>
      </c>
      <c r="H631">
        <v>0</v>
      </c>
      <c r="I631" t="s">
        <v>994</v>
      </c>
      <c r="M631">
        <v>0</v>
      </c>
      <c r="N631">
        <v>0</v>
      </c>
      <c r="P631">
        <v>77</v>
      </c>
      <c r="Q631">
        <v>902</v>
      </c>
      <c r="R631">
        <v>0</v>
      </c>
      <c r="S631">
        <v>0</v>
      </c>
      <c r="W631" t="s">
        <v>1060</v>
      </c>
      <c r="X631">
        <v>0</v>
      </c>
      <c r="Z631">
        <v>10</v>
      </c>
      <c r="AA631">
        <v>0</v>
      </c>
      <c r="AB631">
        <v>0</v>
      </c>
      <c r="AC631">
        <v>0</v>
      </c>
      <c r="AD631" t="s">
        <v>1042</v>
      </c>
      <c r="AE631">
        <v>0</v>
      </c>
      <c r="AF631">
        <v>0</v>
      </c>
      <c r="AH631">
        <v>0</v>
      </c>
      <c r="AJ631">
        <v>0</v>
      </c>
      <c r="AL631">
        <v>0</v>
      </c>
      <c r="AM631">
        <v>0</v>
      </c>
      <c r="AN631">
        <v>11501008</v>
      </c>
      <c r="AO631">
        <v>0</v>
      </c>
      <c r="AP631">
        <v>1001</v>
      </c>
      <c r="AT631">
        <v>0</v>
      </c>
      <c r="AW631" t="s">
        <v>1053</v>
      </c>
      <c r="AX631">
        <v>0</v>
      </c>
      <c r="AY631" s="20">
        <v>44399</v>
      </c>
      <c r="BA631" s="20">
        <v>44399</v>
      </c>
      <c r="BB631" t="s">
        <v>1058</v>
      </c>
      <c r="BD631">
        <v>0</v>
      </c>
      <c r="BF631" t="s">
        <v>1044</v>
      </c>
      <c r="BG631" t="s">
        <v>1042</v>
      </c>
      <c r="BH631">
        <v>0</v>
      </c>
      <c r="BI631">
        <v>6</v>
      </c>
      <c r="BJ631">
        <v>0</v>
      </c>
      <c r="BK631">
        <v>0</v>
      </c>
      <c r="BM631" t="s">
        <v>1042</v>
      </c>
      <c r="BN631">
        <v>0</v>
      </c>
      <c r="BS631" t="s">
        <v>1043</v>
      </c>
      <c r="BT631" t="s">
        <v>1043</v>
      </c>
      <c r="BW631">
        <v>2</v>
      </c>
      <c r="BY631">
        <v>10</v>
      </c>
      <c r="CA631">
        <v>0</v>
      </c>
      <c r="CB631" t="s">
        <v>1043</v>
      </c>
      <c r="CE631" t="s">
        <v>1043</v>
      </c>
      <c r="CH631" t="s">
        <v>1043</v>
      </c>
      <c r="CN631" t="s">
        <v>1074</v>
      </c>
      <c r="CO631" t="s">
        <v>1043</v>
      </c>
      <c r="CP631">
        <v>1</v>
      </c>
      <c r="CQ631">
        <v>0</v>
      </c>
      <c r="CS631">
        <v>0</v>
      </c>
      <c r="CT631">
        <v>0</v>
      </c>
      <c r="CU631">
        <v>0</v>
      </c>
      <c r="CV631" t="s">
        <v>1045</v>
      </c>
      <c r="CW631">
        <v>0</v>
      </c>
      <c r="CX631">
        <v>0</v>
      </c>
      <c r="CY631">
        <v>0</v>
      </c>
      <c r="CZ631">
        <v>0</v>
      </c>
      <c r="DB631">
        <v>0</v>
      </c>
      <c r="DC631" t="s">
        <v>1043</v>
      </c>
      <c r="DF631" t="s">
        <v>1055</v>
      </c>
      <c r="DH631">
        <v>0</v>
      </c>
      <c r="DJ631">
        <v>0</v>
      </c>
      <c r="DK631" t="s">
        <v>1053</v>
      </c>
      <c r="DL631">
        <v>0</v>
      </c>
      <c r="DN631">
        <v>0</v>
      </c>
      <c r="DO631" t="s">
        <v>1042</v>
      </c>
      <c r="DP631">
        <v>0</v>
      </c>
      <c r="DQ631">
        <v>7</v>
      </c>
      <c r="DS631">
        <v>0</v>
      </c>
      <c r="DU631">
        <v>1</v>
      </c>
      <c r="DW631">
        <v>0</v>
      </c>
      <c r="DX631" t="s">
        <v>1043</v>
      </c>
      <c r="DY631">
        <v>0</v>
      </c>
      <c r="DZ631">
        <v>0</v>
      </c>
      <c r="EA631">
        <v>0</v>
      </c>
      <c r="ED631" t="s">
        <v>1045</v>
      </c>
      <c r="EE631">
        <v>0</v>
      </c>
      <c r="EF631">
        <v>0</v>
      </c>
      <c r="EQ631" t="s">
        <v>1044</v>
      </c>
      <c r="ES631" t="s">
        <v>1053</v>
      </c>
      <c r="ET631">
        <v>0</v>
      </c>
      <c r="EV631">
        <v>0</v>
      </c>
      <c r="EY631" t="s">
        <v>1052</v>
      </c>
      <c r="EZ631">
        <v>0</v>
      </c>
      <c r="FA631" t="s">
        <v>1043</v>
      </c>
      <c r="FB631">
        <v>0</v>
      </c>
      <c r="FC631">
        <v>0</v>
      </c>
      <c r="FE631" t="s">
        <v>1050</v>
      </c>
      <c r="FF631">
        <v>0</v>
      </c>
      <c r="FG631" t="s">
        <v>1050</v>
      </c>
      <c r="FJ631">
        <v>0</v>
      </c>
      <c r="FK631">
        <v>0</v>
      </c>
      <c r="FP631">
        <v>0</v>
      </c>
      <c r="FQ631" t="s">
        <v>1044</v>
      </c>
      <c r="FR631">
        <v>0</v>
      </c>
      <c r="FS631" t="s">
        <v>1043</v>
      </c>
      <c r="FX631" t="s">
        <v>1042</v>
      </c>
      <c r="FZ631" t="s">
        <v>1048</v>
      </c>
      <c r="GA631">
        <v>0</v>
      </c>
      <c r="GB631" t="s">
        <v>1042</v>
      </c>
      <c r="GE631">
        <v>0</v>
      </c>
      <c r="GG631">
        <v>0</v>
      </c>
      <c r="GN631">
        <v>0</v>
      </c>
      <c r="GO631" t="s">
        <v>1063</v>
      </c>
      <c r="GQ631">
        <v>0</v>
      </c>
      <c r="GU631">
        <v>0</v>
      </c>
      <c r="GY631" t="s">
        <v>1045</v>
      </c>
      <c r="HB631">
        <v>0</v>
      </c>
      <c r="HE631">
        <v>0</v>
      </c>
      <c r="HF631">
        <v>0</v>
      </c>
      <c r="HG631">
        <v>0</v>
      </c>
      <c r="HK631" t="s">
        <v>1042</v>
      </c>
      <c r="HM631" t="s">
        <v>1047</v>
      </c>
      <c r="HN631">
        <v>0</v>
      </c>
      <c r="HP631">
        <v>0</v>
      </c>
      <c r="HQ631">
        <v>0</v>
      </c>
      <c r="HR631" t="s">
        <v>1042</v>
      </c>
      <c r="HS631" t="s">
        <v>1043</v>
      </c>
      <c r="HT631">
        <v>0</v>
      </c>
      <c r="HU631">
        <v>0</v>
      </c>
      <c r="HV631" t="s">
        <v>1088</v>
      </c>
      <c r="HW631">
        <v>0</v>
      </c>
      <c r="HX631">
        <v>0</v>
      </c>
      <c r="HY631">
        <v>0</v>
      </c>
      <c r="HZ631" t="s">
        <v>1045</v>
      </c>
      <c r="IA631">
        <v>0</v>
      </c>
      <c r="IB631" t="s">
        <v>1045</v>
      </c>
      <c r="ID631" t="s">
        <v>1045</v>
      </c>
      <c r="IF631">
        <v>0</v>
      </c>
      <c r="IG631" t="s">
        <v>1042</v>
      </c>
      <c r="II631" t="s">
        <v>1042</v>
      </c>
      <c r="IR631" t="s">
        <v>1045</v>
      </c>
      <c r="IT631">
        <v>0</v>
      </c>
      <c r="IY631" t="s">
        <v>1044</v>
      </c>
      <c r="IZ631" t="s">
        <v>1043</v>
      </c>
      <c r="JA631" t="s">
        <v>1043</v>
      </c>
      <c r="JC631" t="s">
        <v>1043</v>
      </c>
      <c r="JE631">
        <v>0</v>
      </c>
      <c r="JF631">
        <v>0</v>
      </c>
      <c r="JI631" t="s">
        <v>1042</v>
      </c>
      <c r="JJ631">
        <v>0</v>
      </c>
      <c r="JK631">
        <v>0</v>
      </c>
      <c r="JL631">
        <v>0</v>
      </c>
      <c r="JM631">
        <v>0</v>
      </c>
      <c r="JQ631" t="s">
        <v>1043</v>
      </c>
      <c r="JT631">
        <v>0</v>
      </c>
      <c r="JU631" t="s">
        <v>1042</v>
      </c>
      <c r="JW631">
        <v>0</v>
      </c>
      <c r="KA631">
        <v>0</v>
      </c>
      <c r="KF631">
        <v>0</v>
      </c>
      <c r="KG631">
        <v>0</v>
      </c>
      <c r="KH631">
        <v>0</v>
      </c>
      <c r="KI631">
        <v>0</v>
      </c>
      <c r="KJ631" t="s">
        <v>1044</v>
      </c>
      <c r="KS631" t="s">
        <v>1073</v>
      </c>
      <c r="KT631">
        <v>0</v>
      </c>
      <c r="KU631">
        <v>0</v>
      </c>
      <c r="KV631">
        <v>0</v>
      </c>
      <c r="KX631">
        <v>0</v>
      </c>
      <c r="KY631" t="s">
        <v>1045</v>
      </c>
      <c r="KZ631">
        <v>0</v>
      </c>
      <c r="LF631">
        <v>0</v>
      </c>
      <c r="LH631">
        <v>0</v>
      </c>
      <c r="LI631">
        <v>0</v>
      </c>
    </row>
    <row r="632" spans="1:321" x14ac:dyDescent="0.35">
      <c r="A632">
        <v>1</v>
      </c>
      <c r="B632">
        <v>1426</v>
      </c>
      <c r="C632" t="s">
        <v>1124</v>
      </c>
      <c r="D632" t="s">
        <v>1089</v>
      </c>
      <c r="E632" t="s">
        <v>85</v>
      </c>
      <c r="F632">
        <v>1</v>
      </c>
      <c r="G632">
        <v>8890</v>
      </c>
      <c r="H632">
        <v>0</v>
      </c>
      <c r="I632" t="s">
        <v>994</v>
      </c>
      <c r="M632">
        <v>0</v>
      </c>
      <c r="N632">
        <v>0</v>
      </c>
      <c r="P632">
        <v>77</v>
      </c>
      <c r="Q632">
        <v>902</v>
      </c>
      <c r="R632">
        <v>0</v>
      </c>
      <c r="S632">
        <v>0</v>
      </c>
      <c r="W632" t="s">
        <v>1060</v>
      </c>
      <c r="X632">
        <v>0</v>
      </c>
      <c r="Z632">
        <v>5</v>
      </c>
      <c r="AA632">
        <v>0</v>
      </c>
      <c r="AB632">
        <v>0</v>
      </c>
      <c r="AC632">
        <v>0</v>
      </c>
      <c r="AD632" t="s">
        <v>1042</v>
      </c>
      <c r="AE632">
        <v>0</v>
      </c>
      <c r="AF632">
        <v>0</v>
      </c>
      <c r="AH632">
        <v>0</v>
      </c>
      <c r="AJ632">
        <v>0</v>
      </c>
      <c r="AL632">
        <v>0</v>
      </c>
      <c r="AM632">
        <v>0</v>
      </c>
      <c r="AN632">
        <v>11501008</v>
      </c>
      <c r="AO632">
        <v>0</v>
      </c>
      <c r="AP632">
        <v>1001</v>
      </c>
      <c r="AT632">
        <v>0</v>
      </c>
      <c r="AW632" t="s">
        <v>1053</v>
      </c>
      <c r="AX632">
        <v>0</v>
      </c>
      <c r="AY632" s="20">
        <v>44391</v>
      </c>
      <c r="BA632" s="20">
        <v>44391</v>
      </c>
      <c r="BB632" t="s">
        <v>1058</v>
      </c>
      <c r="BD632">
        <v>0</v>
      </c>
      <c r="BF632" t="s">
        <v>1044</v>
      </c>
      <c r="BG632" t="s">
        <v>1042</v>
      </c>
      <c r="BH632">
        <v>0</v>
      </c>
      <c r="BI632">
        <v>6</v>
      </c>
      <c r="BJ632">
        <v>0</v>
      </c>
      <c r="BK632">
        <v>0</v>
      </c>
      <c r="BM632" t="s">
        <v>1042</v>
      </c>
      <c r="BN632">
        <v>0</v>
      </c>
      <c r="BS632" t="s">
        <v>1043</v>
      </c>
      <c r="BT632" t="s">
        <v>1043</v>
      </c>
      <c r="BW632">
        <v>2</v>
      </c>
      <c r="BY632">
        <v>10</v>
      </c>
      <c r="CA632">
        <v>0</v>
      </c>
      <c r="CB632" t="s">
        <v>1043</v>
      </c>
      <c r="CE632" t="s">
        <v>1043</v>
      </c>
      <c r="CH632" t="s">
        <v>1043</v>
      </c>
      <c r="CN632" t="s">
        <v>1074</v>
      </c>
      <c r="CO632" t="s">
        <v>1043</v>
      </c>
      <c r="CP632">
        <v>1</v>
      </c>
      <c r="CQ632">
        <v>0</v>
      </c>
      <c r="CS632">
        <v>0</v>
      </c>
      <c r="CT632">
        <v>0</v>
      </c>
      <c r="CU632">
        <v>0</v>
      </c>
      <c r="CV632" t="s">
        <v>1045</v>
      </c>
      <c r="CW632">
        <v>0</v>
      </c>
      <c r="CX632">
        <v>0</v>
      </c>
      <c r="CY632">
        <v>0</v>
      </c>
      <c r="CZ632">
        <v>0</v>
      </c>
      <c r="DB632">
        <v>0</v>
      </c>
      <c r="DC632" t="s">
        <v>1043</v>
      </c>
      <c r="DF632" t="s">
        <v>1055</v>
      </c>
      <c r="DH632">
        <v>0</v>
      </c>
      <c r="DJ632">
        <v>0</v>
      </c>
      <c r="DK632" t="s">
        <v>1053</v>
      </c>
      <c r="DL632">
        <v>0</v>
      </c>
      <c r="DN632">
        <v>0</v>
      </c>
      <c r="DO632" t="s">
        <v>1042</v>
      </c>
      <c r="DP632">
        <v>0</v>
      </c>
      <c r="DQ632">
        <v>7</v>
      </c>
      <c r="DS632">
        <v>0</v>
      </c>
      <c r="DU632">
        <v>1</v>
      </c>
      <c r="DW632">
        <v>0</v>
      </c>
      <c r="DX632" t="s">
        <v>1043</v>
      </c>
      <c r="DY632">
        <v>0</v>
      </c>
      <c r="DZ632">
        <v>0</v>
      </c>
      <c r="EA632">
        <v>0</v>
      </c>
      <c r="ED632" t="s">
        <v>1045</v>
      </c>
      <c r="EE632">
        <v>0</v>
      </c>
      <c r="EF632">
        <v>0</v>
      </c>
      <c r="EQ632" t="s">
        <v>1044</v>
      </c>
      <c r="ES632" t="s">
        <v>1053</v>
      </c>
      <c r="ET632">
        <v>0</v>
      </c>
      <c r="EV632">
        <v>0</v>
      </c>
      <c r="EY632" t="s">
        <v>1052</v>
      </c>
      <c r="EZ632">
        <v>0</v>
      </c>
      <c r="FA632" t="s">
        <v>1043</v>
      </c>
      <c r="FB632">
        <v>0</v>
      </c>
      <c r="FC632">
        <v>0</v>
      </c>
      <c r="FE632" t="s">
        <v>1050</v>
      </c>
      <c r="FF632">
        <v>0</v>
      </c>
      <c r="FG632" t="s">
        <v>1050</v>
      </c>
      <c r="FJ632">
        <v>0</v>
      </c>
      <c r="FK632">
        <v>0</v>
      </c>
      <c r="FP632">
        <v>0</v>
      </c>
      <c r="FQ632" t="s">
        <v>1044</v>
      </c>
      <c r="FR632">
        <v>0</v>
      </c>
      <c r="FS632" t="s">
        <v>1043</v>
      </c>
      <c r="FX632" t="s">
        <v>1042</v>
      </c>
      <c r="FZ632" t="s">
        <v>1048</v>
      </c>
      <c r="GA632">
        <v>0</v>
      </c>
      <c r="GB632" t="s">
        <v>1042</v>
      </c>
      <c r="GE632">
        <v>0</v>
      </c>
      <c r="GG632">
        <v>0</v>
      </c>
      <c r="GN632">
        <v>0</v>
      </c>
      <c r="GO632" t="s">
        <v>1063</v>
      </c>
      <c r="GQ632">
        <v>0</v>
      </c>
      <c r="GU632">
        <v>0</v>
      </c>
      <c r="GY632" t="s">
        <v>1045</v>
      </c>
      <c r="HB632">
        <v>0</v>
      </c>
      <c r="HE632">
        <v>0</v>
      </c>
      <c r="HF632">
        <v>0</v>
      </c>
      <c r="HG632">
        <v>0</v>
      </c>
      <c r="HK632" t="s">
        <v>1042</v>
      </c>
      <c r="HM632" t="s">
        <v>1047</v>
      </c>
      <c r="HN632">
        <v>0</v>
      </c>
      <c r="HP632">
        <v>0</v>
      </c>
      <c r="HQ632">
        <v>0</v>
      </c>
      <c r="HR632" t="s">
        <v>1042</v>
      </c>
      <c r="HS632" t="s">
        <v>1043</v>
      </c>
      <c r="HT632">
        <v>0</v>
      </c>
      <c r="HU632">
        <v>0</v>
      </c>
      <c r="HV632" t="s">
        <v>1088</v>
      </c>
      <c r="HW632">
        <v>0</v>
      </c>
      <c r="HX632">
        <v>0</v>
      </c>
      <c r="HY632">
        <v>0</v>
      </c>
      <c r="HZ632" t="s">
        <v>1045</v>
      </c>
      <c r="IA632">
        <v>0</v>
      </c>
      <c r="IB632" t="s">
        <v>1045</v>
      </c>
      <c r="ID632" t="s">
        <v>1045</v>
      </c>
      <c r="IF632">
        <v>0</v>
      </c>
      <c r="IG632" t="s">
        <v>1042</v>
      </c>
      <c r="II632" t="s">
        <v>1042</v>
      </c>
      <c r="IR632" t="s">
        <v>1045</v>
      </c>
      <c r="IT632">
        <v>0</v>
      </c>
      <c r="IY632" t="s">
        <v>1044</v>
      </c>
      <c r="IZ632" t="s">
        <v>1043</v>
      </c>
      <c r="JA632" t="s">
        <v>1043</v>
      </c>
      <c r="JC632" t="s">
        <v>1043</v>
      </c>
      <c r="JE632">
        <v>0</v>
      </c>
      <c r="JF632">
        <v>0</v>
      </c>
      <c r="JI632" t="s">
        <v>1042</v>
      </c>
      <c r="JJ632">
        <v>0</v>
      </c>
      <c r="JK632">
        <v>0</v>
      </c>
      <c r="JL632">
        <v>0</v>
      </c>
      <c r="JM632">
        <v>0</v>
      </c>
      <c r="JQ632" t="s">
        <v>1043</v>
      </c>
      <c r="JT632">
        <v>0</v>
      </c>
      <c r="JU632" t="s">
        <v>1042</v>
      </c>
      <c r="JW632">
        <v>0</v>
      </c>
      <c r="KA632">
        <v>0</v>
      </c>
      <c r="KF632">
        <v>0</v>
      </c>
      <c r="KG632">
        <v>0</v>
      </c>
      <c r="KH632">
        <v>0</v>
      </c>
      <c r="KI632">
        <v>0</v>
      </c>
      <c r="KJ632" t="s">
        <v>1044</v>
      </c>
      <c r="KS632" t="s">
        <v>1073</v>
      </c>
      <c r="KT632">
        <v>0</v>
      </c>
      <c r="KU632">
        <v>0</v>
      </c>
      <c r="KV632">
        <v>0</v>
      </c>
      <c r="KX632">
        <v>0</v>
      </c>
      <c r="KY632" t="s">
        <v>1045</v>
      </c>
      <c r="KZ632">
        <v>0</v>
      </c>
      <c r="LF632">
        <v>0</v>
      </c>
      <c r="LH632">
        <v>0</v>
      </c>
      <c r="LI632">
        <v>0</v>
      </c>
    </row>
    <row r="633" spans="1:321" x14ac:dyDescent="0.35">
      <c r="A633">
        <v>1</v>
      </c>
      <c r="B633">
        <v>1427</v>
      </c>
      <c r="C633" t="s">
        <v>1123</v>
      </c>
      <c r="D633" t="s">
        <v>1089</v>
      </c>
      <c r="E633" t="s">
        <v>85</v>
      </c>
      <c r="F633">
        <v>1</v>
      </c>
      <c r="G633">
        <v>8890</v>
      </c>
      <c r="H633">
        <v>0</v>
      </c>
      <c r="I633" t="s">
        <v>994</v>
      </c>
      <c r="M633">
        <v>0</v>
      </c>
      <c r="N633">
        <v>0</v>
      </c>
      <c r="P633">
        <v>77</v>
      </c>
      <c r="Q633">
        <v>902</v>
      </c>
      <c r="R633">
        <v>0</v>
      </c>
      <c r="S633">
        <v>0</v>
      </c>
      <c r="W633" t="s">
        <v>1060</v>
      </c>
      <c r="X633">
        <v>0</v>
      </c>
      <c r="Z633">
        <v>10</v>
      </c>
      <c r="AA633">
        <v>0</v>
      </c>
      <c r="AB633">
        <v>0</v>
      </c>
      <c r="AC633">
        <v>0</v>
      </c>
      <c r="AD633" t="s">
        <v>1042</v>
      </c>
      <c r="AE633">
        <v>0</v>
      </c>
      <c r="AF633">
        <v>0</v>
      </c>
      <c r="AH633">
        <v>0</v>
      </c>
      <c r="AJ633">
        <v>0</v>
      </c>
      <c r="AL633">
        <v>0</v>
      </c>
      <c r="AM633">
        <v>0</v>
      </c>
      <c r="AN633">
        <v>11501008</v>
      </c>
      <c r="AO633">
        <v>0</v>
      </c>
      <c r="AP633">
        <v>1001</v>
      </c>
      <c r="AT633">
        <v>0</v>
      </c>
      <c r="AW633" t="s">
        <v>1053</v>
      </c>
      <c r="AX633">
        <v>0</v>
      </c>
      <c r="AY633" s="20">
        <v>44391</v>
      </c>
      <c r="BA633" s="20">
        <v>44391</v>
      </c>
      <c r="BB633" t="s">
        <v>1058</v>
      </c>
      <c r="BD633">
        <v>0</v>
      </c>
      <c r="BF633" t="s">
        <v>1044</v>
      </c>
      <c r="BG633" t="s">
        <v>1042</v>
      </c>
      <c r="BH633">
        <v>0</v>
      </c>
      <c r="BI633">
        <v>6</v>
      </c>
      <c r="BJ633">
        <v>0</v>
      </c>
      <c r="BK633">
        <v>0</v>
      </c>
      <c r="BM633" t="s">
        <v>1042</v>
      </c>
      <c r="BN633">
        <v>0</v>
      </c>
      <c r="BS633" t="s">
        <v>1043</v>
      </c>
      <c r="BT633" t="s">
        <v>1043</v>
      </c>
      <c r="BW633">
        <v>2</v>
      </c>
      <c r="BY633">
        <v>10</v>
      </c>
      <c r="CA633">
        <v>0</v>
      </c>
      <c r="CB633" t="s">
        <v>1043</v>
      </c>
      <c r="CE633" t="s">
        <v>1043</v>
      </c>
      <c r="CH633" t="s">
        <v>1043</v>
      </c>
      <c r="CN633" t="s">
        <v>1074</v>
      </c>
      <c r="CO633" t="s">
        <v>1043</v>
      </c>
      <c r="CP633">
        <v>1</v>
      </c>
      <c r="CQ633">
        <v>0</v>
      </c>
      <c r="CS633">
        <v>0</v>
      </c>
      <c r="CT633">
        <v>0</v>
      </c>
      <c r="CU633">
        <v>0</v>
      </c>
      <c r="CV633" t="s">
        <v>1045</v>
      </c>
      <c r="CW633">
        <v>0</v>
      </c>
      <c r="CX633">
        <v>0</v>
      </c>
      <c r="CY633">
        <v>0</v>
      </c>
      <c r="CZ633">
        <v>0</v>
      </c>
      <c r="DB633">
        <v>0</v>
      </c>
      <c r="DC633" t="s">
        <v>1043</v>
      </c>
      <c r="DF633" t="s">
        <v>1055</v>
      </c>
      <c r="DH633">
        <v>0</v>
      </c>
      <c r="DJ633">
        <v>0</v>
      </c>
      <c r="DK633" t="s">
        <v>1053</v>
      </c>
      <c r="DL633">
        <v>0</v>
      </c>
      <c r="DN633">
        <v>0</v>
      </c>
      <c r="DO633" t="s">
        <v>1042</v>
      </c>
      <c r="DP633">
        <v>0</v>
      </c>
      <c r="DQ633">
        <v>7</v>
      </c>
      <c r="DS633">
        <v>0</v>
      </c>
      <c r="DU633">
        <v>1</v>
      </c>
      <c r="DW633">
        <v>0</v>
      </c>
      <c r="DX633" t="s">
        <v>1043</v>
      </c>
      <c r="DY633">
        <v>0</v>
      </c>
      <c r="DZ633">
        <v>0</v>
      </c>
      <c r="EA633">
        <v>0</v>
      </c>
      <c r="ED633" t="s">
        <v>1045</v>
      </c>
      <c r="EE633">
        <v>0</v>
      </c>
      <c r="EF633">
        <v>0</v>
      </c>
      <c r="EQ633" t="s">
        <v>1044</v>
      </c>
      <c r="ES633" t="s">
        <v>1053</v>
      </c>
      <c r="ET633">
        <v>0</v>
      </c>
      <c r="EV633">
        <v>0</v>
      </c>
      <c r="EY633" t="s">
        <v>1052</v>
      </c>
      <c r="EZ633">
        <v>0</v>
      </c>
      <c r="FA633" t="s">
        <v>1043</v>
      </c>
      <c r="FB633">
        <v>0</v>
      </c>
      <c r="FC633">
        <v>0</v>
      </c>
      <c r="FE633" t="s">
        <v>1050</v>
      </c>
      <c r="FF633">
        <v>0</v>
      </c>
      <c r="FG633" t="s">
        <v>1050</v>
      </c>
      <c r="FJ633">
        <v>0</v>
      </c>
      <c r="FK633">
        <v>0</v>
      </c>
      <c r="FP633">
        <v>0</v>
      </c>
      <c r="FQ633" t="s">
        <v>1044</v>
      </c>
      <c r="FR633">
        <v>0</v>
      </c>
      <c r="FS633" t="s">
        <v>1043</v>
      </c>
      <c r="FX633" t="s">
        <v>1042</v>
      </c>
      <c r="FZ633" t="s">
        <v>1048</v>
      </c>
      <c r="GA633">
        <v>0</v>
      </c>
      <c r="GB633" t="s">
        <v>1042</v>
      </c>
      <c r="GE633">
        <v>0</v>
      </c>
      <c r="GG633">
        <v>0</v>
      </c>
      <c r="GN633">
        <v>0</v>
      </c>
      <c r="GO633" t="s">
        <v>1063</v>
      </c>
      <c r="GQ633">
        <v>0</v>
      </c>
      <c r="GU633">
        <v>0</v>
      </c>
      <c r="GY633" t="s">
        <v>1045</v>
      </c>
      <c r="HB633">
        <v>0</v>
      </c>
      <c r="HE633">
        <v>0</v>
      </c>
      <c r="HF633">
        <v>0</v>
      </c>
      <c r="HG633">
        <v>0</v>
      </c>
      <c r="HK633" t="s">
        <v>1042</v>
      </c>
      <c r="HM633" t="s">
        <v>1047</v>
      </c>
      <c r="HN633">
        <v>0</v>
      </c>
      <c r="HP633">
        <v>0</v>
      </c>
      <c r="HQ633">
        <v>0</v>
      </c>
      <c r="HR633" t="s">
        <v>1042</v>
      </c>
      <c r="HS633" t="s">
        <v>1043</v>
      </c>
      <c r="HT633">
        <v>0</v>
      </c>
      <c r="HU633">
        <v>0</v>
      </c>
      <c r="HV633" t="s">
        <v>1088</v>
      </c>
      <c r="HW633">
        <v>0</v>
      </c>
      <c r="HX633">
        <v>0</v>
      </c>
      <c r="HY633">
        <v>0</v>
      </c>
      <c r="HZ633" t="s">
        <v>1045</v>
      </c>
      <c r="IA633">
        <v>0</v>
      </c>
      <c r="IB633" t="s">
        <v>1045</v>
      </c>
      <c r="ID633" t="s">
        <v>1045</v>
      </c>
      <c r="IF633">
        <v>0</v>
      </c>
      <c r="IG633" t="s">
        <v>1042</v>
      </c>
      <c r="II633" t="s">
        <v>1042</v>
      </c>
      <c r="IR633" t="s">
        <v>1045</v>
      </c>
      <c r="IT633">
        <v>0</v>
      </c>
      <c r="IY633" t="s">
        <v>1044</v>
      </c>
      <c r="IZ633" t="s">
        <v>1043</v>
      </c>
      <c r="JA633" t="s">
        <v>1043</v>
      </c>
      <c r="JC633" t="s">
        <v>1043</v>
      </c>
      <c r="JE633">
        <v>0</v>
      </c>
      <c r="JF633">
        <v>0</v>
      </c>
      <c r="JI633" t="s">
        <v>1042</v>
      </c>
      <c r="JJ633">
        <v>0</v>
      </c>
      <c r="JK633">
        <v>0</v>
      </c>
      <c r="JL633">
        <v>0</v>
      </c>
      <c r="JM633">
        <v>0</v>
      </c>
      <c r="JQ633" t="s">
        <v>1043</v>
      </c>
      <c r="JT633">
        <v>0</v>
      </c>
      <c r="JU633" t="s">
        <v>1042</v>
      </c>
      <c r="JW633">
        <v>0</v>
      </c>
      <c r="KA633">
        <v>0</v>
      </c>
      <c r="KF633">
        <v>0</v>
      </c>
      <c r="KG633">
        <v>0</v>
      </c>
      <c r="KH633">
        <v>0</v>
      </c>
      <c r="KI633">
        <v>0</v>
      </c>
      <c r="KJ633" t="s">
        <v>1044</v>
      </c>
      <c r="KS633" t="s">
        <v>1073</v>
      </c>
      <c r="KT633">
        <v>0</v>
      </c>
      <c r="KU633">
        <v>0</v>
      </c>
      <c r="KV633">
        <v>0</v>
      </c>
      <c r="KX633">
        <v>0</v>
      </c>
      <c r="KY633" t="s">
        <v>1045</v>
      </c>
      <c r="KZ633">
        <v>0</v>
      </c>
      <c r="LF633">
        <v>0</v>
      </c>
      <c r="LH633">
        <v>0</v>
      </c>
      <c r="LI633">
        <v>0</v>
      </c>
    </row>
    <row r="634" spans="1:321" x14ac:dyDescent="0.35">
      <c r="A634">
        <v>1</v>
      </c>
      <c r="B634">
        <v>1428</v>
      </c>
      <c r="C634" t="s">
        <v>1122</v>
      </c>
      <c r="D634" t="s">
        <v>1089</v>
      </c>
      <c r="E634" t="s">
        <v>85</v>
      </c>
      <c r="F634">
        <v>1</v>
      </c>
      <c r="G634">
        <v>8890</v>
      </c>
      <c r="H634">
        <v>0</v>
      </c>
      <c r="I634" t="s">
        <v>994</v>
      </c>
      <c r="M634">
        <v>0</v>
      </c>
      <c r="N634">
        <v>0</v>
      </c>
      <c r="P634">
        <v>77</v>
      </c>
      <c r="Q634">
        <v>902</v>
      </c>
      <c r="R634">
        <v>0</v>
      </c>
      <c r="S634">
        <v>0</v>
      </c>
      <c r="W634" t="s">
        <v>1060</v>
      </c>
      <c r="X634">
        <v>0</v>
      </c>
      <c r="Z634">
        <v>10</v>
      </c>
      <c r="AA634">
        <v>0</v>
      </c>
      <c r="AB634">
        <v>0</v>
      </c>
      <c r="AC634">
        <v>0</v>
      </c>
      <c r="AD634" t="s">
        <v>1042</v>
      </c>
      <c r="AE634">
        <v>0</v>
      </c>
      <c r="AF634">
        <v>0</v>
      </c>
      <c r="AH634">
        <v>0</v>
      </c>
      <c r="AJ634">
        <v>0</v>
      </c>
      <c r="AL634">
        <v>0</v>
      </c>
      <c r="AM634">
        <v>0</v>
      </c>
      <c r="AN634">
        <v>11501008</v>
      </c>
      <c r="AO634">
        <v>0</v>
      </c>
      <c r="AP634">
        <v>1001</v>
      </c>
      <c r="AT634">
        <v>0</v>
      </c>
      <c r="AW634" t="s">
        <v>1053</v>
      </c>
      <c r="AX634">
        <v>0</v>
      </c>
      <c r="AY634" s="20">
        <v>44391</v>
      </c>
      <c r="BA634" s="20">
        <v>44391</v>
      </c>
      <c r="BB634" t="s">
        <v>1058</v>
      </c>
      <c r="BD634">
        <v>0</v>
      </c>
      <c r="BF634" t="s">
        <v>1044</v>
      </c>
      <c r="BG634" t="s">
        <v>1042</v>
      </c>
      <c r="BH634">
        <v>0</v>
      </c>
      <c r="BI634">
        <v>6</v>
      </c>
      <c r="BJ634">
        <v>0</v>
      </c>
      <c r="BK634">
        <v>0</v>
      </c>
      <c r="BM634" t="s">
        <v>1042</v>
      </c>
      <c r="BN634">
        <v>0</v>
      </c>
      <c r="BS634" t="s">
        <v>1043</v>
      </c>
      <c r="BT634" t="s">
        <v>1043</v>
      </c>
      <c r="BW634">
        <v>2</v>
      </c>
      <c r="BY634">
        <v>10</v>
      </c>
      <c r="CA634">
        <v>0</v>
      </c>
      <c r="CB634" t="s">
        <v>1043</v>
      </c>
      <c r="CE634" t="s">
        <v>1043</v>
      </c>
      <c r="CH634" t="s">
        <v>1043</v>
      </c>
      <c r="CN634" t="s">
        <v>1074</v>
      </c>
      <c r="CO634" t="s">
        <v>1043</v>
      </c>
      <c r="CP634">
        <v>1</v>
      </c>
      <c r="CQ634">
        <v>0</v>
      </c>
      <c r="CS634">
        <v>0</v>
      </c>
      <c r="CT634">
        <v>0</v>
      </c>
      <c r="CU634">
        <v>0</v>
      </c>
      <c r="CV634" t="s">
        <v>1045</v>
      </c>
      <c r="CW634">
        <v>0</v>
      </c>
      <c r="CX634">
        <v>0</v>
      </c>
      <c r="CY634">
        <v>0</v>
      </c>
      <c r="CZ634">
        <v>0</v>
      </c>
      <c r="DB634">
        <v>0</v>
      </c>
      <c r="DC634" t="s">
        <v>1043</v>
      </c>
      <c r="DF634" t="s">
        <v>1055</v>
      </c>
      <c r="DH634">
        <v>0</v>
      </c>
      <c r="DJ634">
        <v>0</v>
      </c>
      <c r="DK634" t="s">
        <v>1053</v>
      </c>
      <c r="DL634">
        <v>0</v>
      </c>
      <c r="DN634">
        <v>0</v>
      </c>
      <c r="DO634" t="s">
        <v>1042</v>
      </c>
      <c r="DP634">
        <v>0</v>
      </c>
      <c r="DQ634">
        <v>7</v>
      </c>
      <c r="DS634">
        <v>0</v>
      </c>
      <c r="DU634">
        <v>1</v>
      </c>
      <c r="DW634">
        <v>0</v>
      </c>
      <c r="DX634" t="s">
        <v>1043</v>
      </c>
      <c r="DY634">
        <v>0</v>
      </c>
      <c r="DZ634">
        <v>0</v>
      </c>
      <c r="EA634">
        <v>0</v>
      </c>
      <c r="ED634" t="s">
        <v>1045</v>
      </c>
      <c r="EE634">
        <v>0</v>
      </c>
      <c r="EF634">
        <v>0</v>
      </c>
      <c r="EQ634" t="s">
        <v>1044</v>
      </c>
      <c r="ES634" t="s">
        <v>1053</v>
      </c>
      <c r="ET634">
        <v>0</v>
      </c>
      <c r="EV634">
        <v>0</v>
      </c>
      <c r="EY634" t="s">
        <v>1052</v>
      </c>
      <c r="EZ634">
        <v>0</v>
      </c>
      <c r="FA634" t="s">
        <v>1043</v>
      </c>
      <c r="FB634">
        <v>0</v>
      </c>
      <c r="FC634">
        <v>0</v>
      </c>
      <c r="FE634" t="s">
        <v>1050</v>
      </c>
      <c r="FF634">
        <v>0</v>
      </c>
      <c r="FG634" t="s">
        <v>1050</v>
      </c>
      <c r="FJ634">
        <v>0</v>
      </c>
      <c r="FK634">
        <v>0</v>
      </c>
      <c r="FP634">
        <v>0</v>
      </c>
      <c r="FQ634" t="s">
        <v>1044</v>
      </c>
      <c r="FR634">
        <v>0</v>
      </c>
      <c r="FS634" t="s">
        <v>1043</v>
      </c>
      <c r="FX634" t="s">
        <v>1042</v>
      </c>
      <c r="FZ634" t="s">
        <v>1048</v>
      </c>
      <c r="GA634">
        <v>0</v>
      </c>
      <c r="GB634" t="s">
        <v>1042</v>
      </c>
      <c r="GE634">
        <v>0</v>
      </c>
      <c r="GG634">
        <v>0</v>
      </c>
      <c r="GN634">
        <v>0</v>
      </c>
      <c r="GO634" t="s">
        <v>1063</v>
      </c>
      <c r="GQ634">
        <v>0</v>
      </c>
      <c r="GU634">
        <v>0</v>
      </c>
      <c r="GY634" t="s">
        <v>1045</v>
      </c>
      <c r="HB634">
        <v>0</v>
      </c>
      <c r="HE634">
        <v>0</v>
      </c>
      <c r="HF634">
        <v>0</v>
      </c>
      <c r="HG634">
        <v>0</v>
      </c>
      <c r="HK634" t="s">
        <v>1042</v>
      </c>
      <c r="HM634" t="s">
        <v>1047</v>
      </c>
      <c r="HN634">
        <v>0</v>
      </c>
      <c r="HP634">
        <v>0</v>
      </c>
      <c r="HQ634">
        <v>0</v>
      </c>
      <c r="HR634" t="s">
        <v>1042</v>
      </c>
      <c r="HS634" t="s">
        <v>1043</v>
      </c>
      <c r="HT634">
        <v>0</v>
      </c>
      <c r="HU634">
        <v>0</v>
      </c>
      <c r="HV634" t="s">
        <v>1088</v>
      </c>
      <c r="HW634">
        <v>0</v>
      </c>
      <c r="HX634">
        <v>0</v>
      </c>
      <c r="HY634">
        <v>0</v>
      </c>
      <c r="HZ634" t="s">
        <v>1045</v>
      </c>
      <c r="IA634">
        <v>0</v>
      </c>
      <c r="IB634" t="s">
        <v>1045</v>
      </c>
      <c r="ID634" t="s">
        <v>1045</v>
      </c>
      <c r="IF634">
        <v>0</v>
      </c>
      <c r="IG634" t="s">
        <v>1042</v>
      </c>
      <c r="II634" t="s">
        <v>1042</v>
      </c>
      <c r="IR634" t="s">
        <v>1045</v>
      </c>
      <c r="IT634">
        <v>0</v>
      </c>
      <c r="IY634" t="s">
        <v>1044</v>
      </c>
      <c r="IZ634" t="s">
        <v>1043</v>
      </c>
      <c r="JA634" t="s">
        <v>1043</v>
      </c>
      <c r="JC634" t="s">
        <v>1043</v>
      </c>
      <c r="JE634">
        <v>0</v>
      </c>
      <c r="JF634">
        <v>0</v>
      </c>
      <c r="JI634" t="s">
        <v>1042</v>
      </c>
      <c r="JJ634">
        <v>0</v>
      </c>
      <c r="JK634">
        <v>0</v>
      </c>
      <c r="JL634">
        <v>0</v>
      </c>
      <c r="JM634">
        <v>0</v>
      </c>
      <c r="JQ634" t="s">
        <v>1043</v>
      </c>
      <c r="JT634">
        <v>0</v>
      </c>
      <c r="JU634" t="s">
        <v>1042</v>
      </c>
      <c r="JW634">
        <v>0</v>
      </c>
      <c r="KA634">
        <v>0</v>
      </c>
      <c r="KF634">
        <v>0</v>
      </c>
      <c r="KG634">
        <v>0</v>
      </c>
      <c r="KH634">
        <v>0</v>
      </c>
      <c r="KI634">
        <v>0</v>
      </c>
      <c r="KJ634" t="s">
        <v>1044</v>
      </c>
      <c r="KS634" t="s">
        <v>1073</v>
      </c>
      <c r="KT634">
        <v>0</v>
      </c>
      <c r="KU634">
        <v>0</v>
      </c>
      <c r="KV634">
        <v>0</v>
      </c>
      <c r="KX634">
        <v>0</v>
      </c>
      <c r="KY634" t="s">
        <v>1045</v>
      </c>
      <c r="KZ634">
        <v>0</v>
      </c>
      <c r="LF634">
        <v>0</v>
      </c>
      <c r="LH634">
        <v>0</v>
      </c>
      <c r="LI634">
        <v>0</v>
      </c>
    </row>
    <row r="635" spans="1:321" x14ac:dyDescent="0.35">
      <c r="A635">
        <v>1</v>
      </c>
      <c r="B635">
        <v>1429</v>
      </c>
      <c r="C635" t="s">
        <v>1121</v>
      </c>
      <c r="D635" t="s">
        <v>1089</v>
      </c>
      <c r="E635" t="s">
        <v>85</v>
      </c>
      <c r="F635">
        <v>1</v>
      </c>
      <c r="G635">
        <v>8890</v>
      </c>
      <c r="H635">
        <v>0</v>
      </c>
      <c r="I635" t="s">
        <v>994</v>
      </c>
      <c r="M635">
        <v>0</v>
      </c>
      <c r="N635">
        <v>0</v>
      </c>
      <c r="P635">
        <v>77</v>
      </c>
      <c r="Q635">
        <v>902</v>
      </c>
      <c r="R635">
        <v>0</v>
      </c>
      <c r="S635">
        <v>0</v>
      </c>
      <c r="W635" t="s">
        <v>1060</v>
      </c>
      <c r="X635">
        <v>0</v>
      </c>
      <c r="Z635">
        <v>10</v>
      </c>
      <c r="AA635">
        <v>0</v>
      </c>
      <c r="AB635">
        <v>0</v>
      </c>
      <c r="AC635">
        <v>0</v>
      </c>
      <c r="AD635" t="s">
        <v>1042</v>
      </c>
      <c r="AE635">
        <v>0</v>
      </c>
      <c r="AF635">
        <v>0</v>
      </c>
      <c r="AH635">
        <v>0</v>
      </c>
      <c r="AJ635">
        <v>0</v>
      </c>
      <c r="AL635">
        <v>0</v>
      </c>
      <c r="AM635">
        <v>0</v>
      </c>
      <c r="AN635">
        <v>11501008</v>
      </c>
      <c r="AO635">
        <v>0</v>
      </c>
      <c r="AP635">
        <v>1001</v>
      </c>
      <c r="AT635">
        <v>0</v>
      </c>
      <c r="AW635" t="s">
        <v>1053</v>
      </c>
      <c r="AX635">
        <v>0</v>
      </c>
      <c r="AY635" s="20">
        <v>44391</v>
      </c>
      <c r="BA635" s="20">
        <v>44391</v>
      </c>
      <c r="BB635" t="s">
        <v>1058</v>
      </c>
      <c r="BD635">
        <v>0</v>
      </c>
      <c r="BF635" t="s">
        <v>1044</v>
      </c>
      <c r="BG635" t="s">
        <v>1042</v>
      </c>
      <c r="BH635">
        <v>0</v>
      </c>
      <c r="BI635">
        <v>6</v>
      </c>
      <c r="BJ635">
        <v>0</v>
      </c>
      <c r="BK635">
        <v>0</v>
      </c>
      <c r="BM635" t="s">
        <v>1042</v>
      </c>
      <c r="BN635">
        <v>0</v>
      </c>
      <c r="BS635" t="s">
        <v>1043</v>
      </c>
      <c r="BT635" t="s">
        <v>1043</v>
      </c>
      <c r="BW635">
        <v>2</v>
      </c>
      <c r="BY635">
        <v>10</v>
      </c>
      <c r="CA635">
        <v>0</v>
      </c>
      <c r="CB635" t="s">
        <v>1043</v>
      </c>
      <c r="CE635" t="s">
        <v>1043</v>
      </c>
      <c r="CH635" t="s">
        <v>1043</v>
      </c>
      <c r="CN635" t="s">
        <v>1074</v>
      </c>
      <c r="CO635" t="s">
        <v>1043</v>
      </c>
      <c r="CP635">
        <v>1</v>
      </c>
      <c r="CQ635">
        <v>0</v>
      </c>
      <c r="CS635">
        <v>0</v>
      </c>
      <c r="CT635">
        <v>0</v>
      </c>
      <c r="CU635">
        <v>0</v>
      </c>
      <c r="CV635" t="s">
        <v>1045</v>
      </c>
      <c r="CW635">
        <v>0</v>
      </c>
      <c r="CX635">
        <v>0</v>
      </c>
      <c r="CY635">
        <v>0</v>
      </c>
      <c r="CZ635">
        <v>0</v>
      </c>
      <c r="DB635">
        <v>0</v>
      </c>
      <c r="DC635" t="s">
        <v>1043</v>
      </c>
      <c r="DF635" t="s">
        <v>1055</v>
      </c>
      <c r="DH635">
        <v>0</v>
      </c>
      <c r="DJ635">
        <v>0</v>
      </c>
      <c r="DK635" t="s">
        <v>1053</v>
      </c>
      <c r="DL635">
        <v>0</v>
      </c>
      <c r="DN635">
        <v>0</v>
      </c>
      <c r="DO635" t="s">
        <v>1042</v>
      </c>
      <c r="DP635">
        <v>0</v>
      </c>
      <c r="DQ635">
        <v>7</v>
      </c>
      <c r="DS635">
        <v>0</v>
      </c>
      <c r="DU635">
        <v>1</v>
      </c>
      <c r="DW635">
        <v>0</v>
      </c>
      <c r="DX635" t="s">
        <v>1043</v>
      </c>
      <c r="DY635">
        <v>0</v>
      </c>
      <c r="DZ635">
        <v>0</v>
      </c>
      <c r="EA635">
        <v>0</v>
      </c>
      <c r="ED635" t="s">
        <v>1045</v>
      </c>
      <c r="EE635">
        <v>0</v>
      </c>
      <c r="EF635">
        <v>0</v>
      </c>
      <c r="EQ635" t="s">
        <v>1044</v>
      </c>
      <c r="ES635" t="s">
        <v>1053</v>
      </c>
      <c r="ET635">
        <v>0</v>
      </c>
      <c r="EV635">
        <v>0</v>
      </c>
      <c r="EY635" t="s">
        <v>1052</v>
      </c>
      <c r="EZ635">
        <v>0</v>
      </c>
      <c r="FA635" t="s">
        <v>1043</v>
      </c>
      <c r="FB635">
        <v>0</v>
      </c>
      <c r="FC635">
        <v>0</v>
      </c>
      <c r="FE635" t="s">
        <v>1050</v>
      </c>
      <c r="FF635">
        <v>0</v>
      </c>
      <c r="FG635" t="s">
        <v>1050</v>
      </c>
      <c r="FJ635">
        <v>0</v>
      </c>
      <c r="FK635">
        <v>0</v>
      </c>
      <c r="FP635">
        <v>0</v>
      </c>
      <c r="FQ635" t="s">
        <v>1044</v>
      </c>
      <c r="FR635">
        <v>0</v>
      </c>
      <c r="FS635" t="s">
        <v>1043</v>
      </c>
      <c r="FX635" t="s">
        <v>1042</v>
      </c>
      <c r="FZ635" t="s">
        <v>1048</v>
      </c>
      <c r="GA635">
        <v>0</v>
      </c>
      <c r="GB635" t="s">
        <v>1042</v>
      </c>
      <c r="GE635">
        <v>0</v>
      </c>
      <c r="GG635">
        <v>0</v>
      </c>
      <c r="GN635">
        <v>0</v>
      </c>
      <c r="GO635" t="s">
        <v>1063</v>
      </c>
      <c r="GQ635">
        <v>0</v>
      </c>
      <c r="GU635">
        <v>0</v>
      </c>
      <c r="GY635" t="s">
        <v>1045</v>
      </c>
      <c r="HB635">
        <v>0</v>
      </c>
      <c r="HE635">
        <v>0</v>
      </c>
      <c r="HF635">
        <v>0</v>
      </c>
      <c r="HG635">
        <v>0</v>
      </c>
      <c r="HK635" t="s">
        <v>1042</v>
      </c>
      <c r="HM635" t="s">
        <v>1047</v>
      </c>
      <c r="HN635">
        <v>0</v>
      </c>
      <c r="HP635">
        <v>0</v>
      </c>
      <c r="HQ635">
        <v>0</v>
      </c>
      <c r="HR635" t="s">
        <v>1042</v>
      </c>
      <c r="HS635" t="s">
        <v>1043</v>
      </c>
      <c r="HT635">
        <v>0</v>
      </c>
      <c r="HU635">
        <v>0</v>
      </c>
      <c r="HV635" t="s">
        <v>1088</v>
      </c>
      <c r="HW635">
        <v>0</v>
      </c>
      <c r="HX635">
        <v>0</v>
      </c>
      <c r="HY635">
        <v>0</v>
      </c>
      <c r="HZ635" t="s">
        <v>1045</v>
      </c>
      <c r="IA635">
        <v>0</v>
      </c>
      <c r="IB635" t="s">
        <v>1045</v>
      </c>
      <c r="ID635" t="s">
        <v>1045</v>
      </c>
      <c r="IF635">
        <v>0</v>
      </c>
      <c r="IG635" t="s">
        <v>1042</v>
      </c>
      <c r="II635" t="s">
        <v>1042</v>
      </c>
      <c r="IR635" t="s">
        <v>1045</v>
      </c>
      <c r="IT635">
        <v>0</v>
      </c>
      <c r="IY635" t="s">
        <v>1044</v>
      </c>
      <c r="IZ635" t="s">
        <v>1043</v>
      </c>
      <c r="JA635" t="s">
        <v>1043</v>
      </c>
      <c r="JC635" t="s">
        <v>1043</v>
      </c>
      <c r="JE635">
        <v>0</v>
      </c>
      <c r="JF635">
        <v>0</v>
      </c>
      <c r="JI635" t="s">
        <v>1042</v>
      </c>
      <c r="JJ635">
        <v>0</v>
      </c>
      <c r="JK635">
        <v>0</v>
      </c>
      <c r="JL635">
        <v>0</v>
      </c>
      <c r="JM635">
        <v>0</v>
      </c>
      <c r="JQ635" t="s">
        <v>1043</v>
      </c>
      <c r="JT635">
        <v>0</v>
      </c>
      <c r="JU635" t="s">
        <v>1042</v>
      </c>
      <c r="JW635">
        <v>0</v>
      </c>
      <c r="KA635">
        <v>0</v>
      </c>
      <c r="KF635">
        <v>0</v>
      </c>
      <c r="KG635">
        <v>0</v>
      </c>
      <c r="KH635">
        <v>0</v>
      </c>
      <c r="KI635">
        <v>0</v>
      </c>
      <c r="KJ635" t="s">
        <v>1044</v>
      </c>
      <c r="KS635" t="s">
        <v>1073</v>
      </c>
      <c r="KT635">
        <v>0</v>
      </c>
      <c r="KU635">
        <v>0</v>
      </c>
      <c r="KV635">
        <v>0</v>
      </c>
      <c r="KX635">
        <v>0</v>
      </c>
      <c r="KY635" t="s">
        <v>1045</v>
      </c>
      <c r="KZ635">
        <v>0</v>
      </c>
      <c r="LF635">
        <v>0</v>
      </c>
      <c r="LH635">
        <v>0</v>
      </c>
      <c r="LI635">
        <v>0</v>
      </c>
    </row>
    <row r="636" spans="1:321" x14ac:dyDescent="0.35">
      <c r="A636">
        <v>1</v>
      </c>
      <c r="B636">
        <v>1430</v>
      </c>
      <c r="C636" t="s">
        <v>755</v>
      </c>
      <c r="D636" t="s">
        <v>1089</v>
      </c>
      <c r="E636" t="s">
        <v>85</v>
      </c>
      <c r="F636">
        <v>1</v>
      </c>
      <c r="G636">
        <v>200</v>
      </c>
      <c r="H636">
        <v>0</v>
      </c>
      <c r="I636" t="s">
        <v>994</v>
      </c>
      <c r="M636">
        <v>0</v>
      </c>
      <c r="N636">
        <v>0</v>
      </c>
      <c r="P636">
        <v>77</v>
      </c>
      <c r="Q636">
        <v>902</v>
      </c>
      <c r="R636">
        <v>0</v>
      </c>
      <c r="S636">
        <v>0</v>
      </c>
      <c r="W636" t="s">
        <v>1060</v>
      </c>
      <c r="X636">
        <v>0</v>
      </c>
      <c r="Z636">
        <v>5</v>
      </c>
      <c r="AA636">
        <v>233.6078</v>
      </c>
      <c r="AB636">
        <v>63</v>
      </c>
      <c r="AC636">
        <v>23.132000000000001</v>
      </c>
      <c r="AD636" s="20">
        <v>44698</v>
      </c>
      <c r="AE636">
        <v>29.373999999999999</v>
      </c>
      <c r="AF636">
        <v>0.52300000000000002</v>
      </c>
      <c r="AH636">
        <v>36</v>
      </c>
      <c r="AJ636">
        <v>0</v>
      </c>
      <c r="AL636">
        <v>50</v>
      </c>
      <c r="AM636">
        <v>0</v>
      </c>
      <c r="AN636">
        <v>11501008</v>
      </c>
      <c r="AO636">
        <v>0</v>
      </c>
      <c r="AP636">
        <v>1050</v>
      </c>
      <c r="AT636">
        <v>1</v>
      </c>
      <c r="AU636" t="s">
        <v>1059</v>
      </c>
      <c r="AW636" t="s">
        <v>1053</v>
      </c>
      <c r="AX636">
        <v>5</v>
      </c>
      <c r="AY636" s="20">
        <v>44148</v>
      </c>
      <c r="BA636" s="20">
        <v>43718</v>
      </c>
      <c r="BB636" t="s">
        <v>1058</v>
      </c>
      <c r="BD636">
        <v>0</v>
      </c>
      <c r="BF636" t="s">
        <v>1044</v>
      </c>
      <c r="BG636" s="20">
        <v>42149</v>
      </c>
      <c r="BH636">
        <v>0</v>
      </c>
      <c r="BI636">
        <v>6</v>
      </c>
      <c r="BJ636">
        <v>0</v>
      </c>
      <c r="BK636">
        <v>0</v>
      </c>
      <c r="BM636" s="20">
        <v>42161</v>
      </c>
      <c r="BN636">
        <v>0</v>
      </c>
      <c r="BO636">
        <v>7897801313896</v>
      </c>
      <c r="BS636" t="s">
        <v>1043</v>
      </c>
      <c r="BT636" t="s">
        <v>1043</v>
      </c>
      <c r="BW636">
        <v>2</v>
      </c>
      <c r="BY636">
        <v>10</v>
      </c>
      <c r="CA636">
        <v>0</v>
      </c>
      <c r="CB636" t="s">
        <v>1057</v>
      </c>
      <c r="CE636" t="s">
        <v>1043</v>
      </c>
      <c r="CH636" t="s">
        <v>1043</v>
      </c>
      <c r="CN636" t="s">
        <v>1056</v>
      </c>
      <c r="CO636" t="s">
        <v>1043</v>
      </c>
      <c r="CP636">
        <v>1</v>
      </c>
      <c r="CQ636">
        <v>0</v>
      </c>
      <c r="CS636">
        <v>0</v>
      </c>
      <c r="CT636">
        <v>0</v>
      </c>
      <c r="CU636">
        <v>0</v>
      </c>
      <c r="CV636" t="s">
        <v>1045</v>
      </c>
      <c r="CW636">
        <v>0</v>
      </c>
      <c r="CX636">
        <v>0</v>
      </c>
      <c r="CY636">
        <v>0</v>
      </c>
      <c r="CZ636">
        <v>0</v>
      </c>
      <c r="DA636">
        <v>2</v>
      </c>
      <c r="DB636">
        <v>0</v>
      </c>
      <c r="DC636" t="s">
        <v>1043</v>
      </c>
      <c r="DF636" t="s">
        <v>1055</v>
      </c>
      <c r="DH636">
        <v>0</v>
      </c>
      <c r="DJ636">
        <v>0</v>
      </c>
      <c r="DK636" t="s">
        <v>1053</v>
      </c>
      <c r="DL636">
        <v>0</v>
      </c>
      <c r="DN636">
        <v>0</v>
      </c>
      <c r="DO636" t="s">
        <v>1042</v>
      </c>
      <c r="DP636">
        <v>0</v>
      </c>
      <c r="DQ636">
        <v>7.6</v>
      </c>
      <c r="DS636">
        <v>0</v>
      </c>
      <c r="DU636">
        <v>1.65</v>
      </c>
      <c r="DW636">
        <v>0</v>
      </c>
      <c r="DX636" t="s">
        <v>1043</v>
      </c>
      <c r="DY636">
        <v>0</v>
      </c>
      <c r="DZ636">
        <v>0</v>
      </c>
      <c r="EA636">
        <v>0</v>
      </c>
      <c r="EB636">
        <v>17897801313893</v>
      </c>
      <c r="ED636" t="s">
        <v>1045</v>
      </c>
      <c r="EE636">
        <v>0</v>
      </c>
      <c r="EF636">
        <v>0</v>
      </c>
      <c r="EL636">
        <v>57897801313891</v>
      </c>
      <c r="EN636" t="s">
        <v>1012</v>
      </c>
      <c r="EO636" t="s">
        <v>1044</v>
      </c>
      <c r="EQ636" t="s">
        <v>1044</v>
      </c>
      <c r="ES636" t="s">
        <v>1053</v>
      </c>
      <c r="ET636">
        <v>0</v>
      </c>
      <c r="EV636">
        <v>0</v>
      </c>
      <c r="EY636" t="s">
        <v>1052</v>
      </c>
      <c r="EZ636">
        <v>0</v>
      </c>
      <c r="FA636" t="s">
        <v>1043</v>
      </c>
      <c r="FB636">
        <v>0</v>
      </c>
      <c r="FC636">
        <v>0</v>
      </c>
      <c r="FD636" t="s">
        <v>1051</v>
      </c>
      <c r="FE636" t="s">
        <v>1050</v>
      </c>
      <c r="FF636">
        <v>0</v>
      </c>
      <c r="FG636" t="s">
        <v>1050</v>
      </c>
      <c r="FH636">
        <v>27897801313890</v>
      </c>
      <c r="FJ636">
        <v>0</v>
      </c>
      <c r="FK636">
        <v>0</v>
      </c>
      <c r="FP636">
        <v>0</v>
      </c>
      <c r="FQ636" t="s">
        <v>1044</v>
      </c>
      <c r="FR636">
        <v>0</v>
      </c>
      <c r="FS636" t="s">
        <v>1043</v>
      </c>
      <c r="FX636" t="s">
        <v>1042</v>
      </c>
      <c r="FZ636" t="s">
        <v>1048</v>
      </c>
      <c r="GA636">
        <v>0</v>
      </c>
      <c r="GB636" t="s">
        <v>1042</v>
      </c>
      <c r="GE636">
        <v>0</v>
      </c>
      <c r="GG636">
        <v>0</v>
      </c>
      <c r="GN636">
        <v>0</v>
      </c>
      <c r="GO636" t="s">
        <v>1063</v>
      </c>
      <c r="GQ636">
        <v>0</v>
      </c>
      <c r="GU636">
        <v>0</v>
      </c>
      <c r="GY636" t="s">
        <v>1045</v>
      </c>
      <c r="HB636">
        <v>0</v>
      </c>
      <c r="HE636">
        <v>0</v>
      </c>
      <c r="HF636">
        <v>0</v>
      </c>
      <c r="HG636">
        <v>0.03</v>
      </c>
      <c r="HK636" t="s">
        <v>1042</v>
      </c>
      <c r="HL636" t="s">
        <v>1048</v>
      </c>
      <c r="HM636" t="s">
        <v>1047</v>
      </c>
      <c r="HN636">
        <v>0</v>
      </c>
      <c r="HO636">
        <v>17</v>
      </c>
      <c r="HP636">
        <v>0.52300000000000002</v>
      </c>
      <c r="HQ636">
        <v>0</v>
      </c>
      <c r="HR636" s="20">
        <v>44221</v>
      </c>
      <c r="HS636" t="s">
        <v>1043</v>
      </c>
      <c r="HT636">
        <v>0</v>
      </c>
      <c r="HU636">
        <v>0</v>
      </c>
      <c r="HW636">
        <v>0</v>
      </c>
      <c r="HX636">
        <v>99</v>
      </c>
      <c r="HY636">
        <v>1</v>
      </c>
      <c r="HZ636" t="s">
        <v>1045</v>
      </c>
      <c r="IA636">
        <v>29.37</v>
      </c>
      <c r="IB636" t="s">
        <v>1045</v>
      </c>
      <c r="ID636" t="s">
        <v>1045</v>
      </c>
      <c r="IF636">
        <v>245</v>
      </c>
      <c r="IG636" s="20">
        <v>42177</v>
      </c>
      <c r="II636" t="s">
        <v>1042</v>
      </c>
      <c r="IR636" t="s">
        <v>1045</v>
      </c>
      <c r="IT636">
        <v>0</v>
      </c>
      <c r="IY636" t="s">
        <v>1044</v>
      </c>
      <c r="IZ636" t="s">
        <v>1043</v>
      </c>
      <c r="JA636" t="s">
        <v>1043</v>
      </c>
      <c r="JC636" t="s">
        <v>1043</v>
      </c>
      <c r="JE636">
        <v>0</v>
      </c>
      <c r="JF636">
        <v>0</v>
      </c>
      <c r="JI636" t="s">
        <v>1042</v>
      </c>
      <c r="JJ636">
        <v>0</v>
      </c>
      <c r="JK636">
        <v>0</v>
      </c>
      <c r="JL636">
        <v>0</v>
      </c>
      <c r="JM636">
        <v>0</v>
      </c>
      <c r="JQ636" t="s">
        <v>1043</v>
      </c>
      <c r="JT636">
        <v>0</v>
      </c>
      <c r="JU636" t="s">
        <v>1042</v>
      </c>
      <c r="JW636">
        <v>0</v>
      </c>
      <c r="KA636">
        <v>0</v>
      </c>
      <c r="KF636">
        <v>0</v>
      </c>
      <c r="KG636">
        <v>0</v>
      </c>
      <c r="KH636">
        <v>0</v>
      </c>
      <c r="KI636">
        <v>0</v>
      </c>
      <c r="KP636" t="s">
        <v>1045</v>
      </c>
      <c r="KS636" t="s">
        <v>1041</v>
      </c>
      <c r="KT636">
        <v>0</v>
      </c>
      <c r="KU636">
        <v>0</v>
      </c>
      <c r="KV636">
        <v>0</v>
      </c>
      <c r="KX636">
        <v>0</v>
      </c>
      <c r="KY636" t="s">
        <v>1045</v>
      </c>
      <c r="KZ636">
        <v>0</v>
      </c>
      <c r="LF636">
        <v>0</v>
      </c>
      <c r="LH636">
        <v>0</v>
      </c>
      <c r="LI636">
        <v>0</v>
      </c>
    </row>
    <row r="637" spans="1:321" x14ac:dyDescent="0.35">
      <c r="A637">
        <v>1</v>
      </c>
      <c r="B637">
        <v>1431</v>
      </c>
      <c r="C637" t="s">
        <v>1120</v>
      </c>
      <c r="D637" t="s">
        <v>1089</v>
      </c>
      <c r="E637" t="s">
        <v>85</v>
      </c>
      <c r="F637">
        <v>1</v>
      </c>
      <c r="G637">
        <v>8890</v>
      </c>
      <c r="H637">
        <v>0</v>
      </c>
      <c r="I637" t="s">
        <v>994</v>
      </c>
      <c r="M637">
        <v>0</v>
      </c>
      <c r="N637">
        <v>0</v>
      </c>
      <c r="P637">
        <v>77</v>
      </c>
      <c r="Q637">
        <v>902</v>
      </c>
      <c r="R637">
        <v>0</v>
      </c>
      <c r="S637">
        <v>0</v>
      </c>
      <c r="W637" t="s">
        <v>1060</v>
      </c>
      <c r="X637">
        <v>0</v>
      </c>
      <c r="Z637">
        <v>1</v>
      </c>
      <c r="AA637">
        <v>0</v>
      </c>
      <c r="AB637">
        <v>0</v>
      </c>
      <c r="AC637">
        <v>0</v>
      </c>
      <c r="AD637" t="s">
        <v>1042</v>
      </c>
      <c r="AE637">
        <v>0</v>
      </c>
      <c r="AF637">
        <v>1</v>
      </c>
      <c r="AH637">
        <v>0</v>
      </c>
      <c r="AJ637">
        <v>0</v>
      </c>
      <c r="AL637">
        <v>0</v>
      </c>
      <c r="AM637">
        <v>0</v>
      </c>
      <c r="AN637">
        <v>11501008</v>
      </c>
      <c r="AO637">
        <v>0</v>
      </c>
      <c r="AP637">
        <v>1001</v>
      </c>
      <c r="AT637">
        <v>0</v>
      </c>
      <c r="AW637" t="s">
        <v>1053</v>
      </c>
      <c r="AX637">
        <v>0</v>
      </c>
      <c r="AY637" s="20">
        <v>44391</v>
      </c>
      <c r="BA637" s="20">
        <v>44391</v>
      </c>
      <c r="BB637" t="s">
        <v>1058</v>
      </c>
      <c r="BD637">
        <v>0</v>
      </c>
      <c r="BF637" t="s">
        <v>1044</v>
      </c>
      <c r="BG637" t="s">
        <v>1042</v>
      </c>
      <c r="BH637">
        <v>0</v>
      </c>
      <c r="BI637">
        <v>6</v>
      </c>
      <c r="BJ637">
        <v>0</v>
      </c>
      <c r="BK637">
        <v>0</v>
      </c>
      <c r="BM637" t="s">
        <v>1042</v>
      </c>
      <c r="BN637">
        <v>0</v>
      </c>
      <c r="BS637" t="s">
        <v>1043</v>
      </c>
      <c r="BT637" t="s">
        <v>1043</v>
      </c>
      <c r="BW637">
        <v>2</v>
      </c>
      <c r="BY637">
        <v>10</v>
      </c>
      <c r="CA637">
        <v>0</v>
      </c>
      <c r="CB637" t="s">
        <v>1043</v>
      </c>
      <c r="CE637" t="s">
        <v>1043</v>
      </c>
      <c r="CH637" t="s">
        <v>1043</v>
      </c>
      <c r="CN637" t="s">
        <v>1074</v>
      </c>
      <c r="CO637" t="s">
        <v>1043</v>
      </c>
      <c r="CP637">
        <v>1</v>
      </c>
      <c r="CQ637">
        <v>0</v>
      </c>
      <c r="CS637">
        <v>0</v>
      </c>
      <c r="CT637">
        <v>0</v>
      </c>
      <c r="CU637">
        <v>0</v>
      </c>
      <c r="CV637" t="s">
        <v>1045</v>
      </c>
      <c r="CW637">
        <v>0</v>
      </c>
      <c r="CX637">
        <v>0</v>
      </c>
      <c r="CY637">
        <v>0</v>
      </c>
      <c r="CZ637">
        <v>0</v>
      </c>
      <c r="DB637">
        <v>0</v>
      </c>
      <c r="DC637" t="s">
        <v>1043</v>
      </c>
      <c r="DF637" t="s">
        <v>1055</v>
      </c>
      <c r="DH637">
        <v>0</v>
      </c>
      <c r="DJ637">
        <v>0</v>
      </c>
      <c r="DK637" t="s">
        <v>1053</v>
      </c>
      <c r="DL637">
        <v>0</v>
      </c>
      <c r="DN637">
        <v>0</v>
      </c>
      <c r="DO637" t="s">
        <v>1042</v>
      </c>
      <c r="DP637">
        <v>0</v>
      </c>
      <c r="DQ637">
        <v>7</v>
      </c>
      <c r="DS637">
        <v>0</v>
      </c>
      <c r="DU637">
        <v>1</v>
      </c>
      <c r="DW637">
        <v>0</v>
      </c>
      <c r="DX637" t="s">
        <v>1043</v>
      </c>
      <c r="DY637">
        <v>0</v>
      </c>
      <c r="DZ637">
        <v>0</v>
      </c>
      <c r="EA637">
        <v>0</v>
      </c>
      <c r="ED637" t="s">
        <v>1045</v>
      </c>
      <c r="EE637">
        <v>0</v>
      </c>
      <c r="EF637">
        <v>0</v>
      </c>
      <c r="EQ637" t="s">
        <v>1044</v>
      </c>
      <c r="ES637" t="s">
        <v>1053</v>
      </c>
      <c r="ET637">
        <v>0</v>
      </c>
      <c r="EV637">
        <v>0</v>
      </c>
      <c r="EY637" t="s">
        <v>1052</v>
      </c>
      <c r="EZ637">
        <v>0</v>
      </c>
      <c r="FA637" t="s">
        <v>1043</v>
      </c>
      <c r="FB637">
        <v>0</v>
      </c>
      <c r="FC637">
        <v>0</v>
      </c>
      <c r="FE637" t="s">
        <v>1050</v>
      </c>
      <c r="FF637">
        <v>0</v>
      </c>
      <c r="FG637" t="s">
        <v>1050</v>
      </c>
      <c r="FJ637">
        <v>0</v>
      </c>
      <c r="FK637">
        <v>0</v>
      </c>
      <c r="FP637">
        <v>0</v>
      </c>
      <c r="FQ637" t="s">
        <v>1044</v>
      </c>
      <c r="FR637">
        <v>0</v>
      </c>
      <c r="FS637" t="s">
        <v>1043</v>
      </c>
      <c r="FX637" t="s">
        <v>1042</v>
      </c>
      <c r="FZ637" t="s">
        <v>1048</v>
      </c>
      <c r="GA637">
        <v>0</v>
      </c>
      <c r="GB637" t="s">
        <v>1042</v>
      </c>
      <c r="GE637">
        <v>0</v>
      </c>
      <c r="GG637">
        <v>0</v>
      </c>
      <c r="GN637">
        <v>0</v>
      </c>
      <c r="GO637" t="s">
        <v>1063</v>
      </c>
      <c r="GQ637">
        <v>0</v>
      </c>
      <c r="GU637">
        <v>0</v>
      </c>
      <c r="GY637" t="s">
        <v>1045</v>
      </c>
      <c r="HB637">
        <v>0</v>
      </c>
      <c r="HE637">
        <v>0</v>
      </c>
      <c r="HF637">
        <v>0</v>
      </c>
      <c r="HG637">
        <v>0</v>
      </c>
      <c r="HK637" t="s">
        <v>1042</v>
      </c>
      <c r="HM637" t="s">
        <v>1047</v>
      </c>
      <c r="HN637">
        <v>0</v>
      </c>
      <c r="HP637">
        <v>0</v>
      </c>
      <c r="HQ637">
        <v>0</v>
      </c>
      <c r="HR637" t="s">
        <v>1042</v>
      </c>
      <c r="HS637" t="s">
        <v>1043</v>
      </c>
      <c r="HT637">
        <v>0</v>
      </c>
      <c r="HU637">
        <v>0</v>
      </c>
      <c r="HV637" t="s">
        <v>1088</v>
      </c>
      <c r="HW637">
        <v>0</v>
      </c>
      <c r="HX637">
        <v>0</v>
      </c>
      <c r="HY637">
        <v>0</v>
      </c>
      <c r="HZ637" t="s">
        <v>1045</v>
      </c>
      <c r="IA637">
        <v>0</v>
      </c>
      <c r="IB637" t="s">
        <v>1045</v>
      </c>
      <c r="ID637" t="s">
        <v>1045</v>
      </c>
      <c r="IF637">
        <v>0</v>
      </c>
      <c r="IG637" t="s">
        <v>1042</v>
      </c>
      <c r="II637" t="s">
        <v>1042</v>
      </c>
      <c r="IR637" t="s">
        <v>1045</v>
      </c>
      <c r="IT637">
        <v>0</v>
      </c>
      <c r="IY637" t="s">
        <v>1044</v>
      </c>
      <c r="IZ637" t="s">
        <v>1043</v>
      </c>
      <c r="JA637" t="s">
        <v>1043</v>
      </c>
      <c r="JC637" t="s">
        <v>1043</v>
      </c>
      <c r="JE637">
        <v>0</v>
      </c>
      <c r="JF637">
        <v>0</v>
      </c>
      <c r="JI637" t="s">
        <v>1042</v>
      </c>
      <c r="JJ637">
        <v>0</v>
      </c>
      <c r="JK637">
        <v>0</v>
      </c>
      <c r="JL637">
        <v>0</v>
      </c>
      <c r="JM637">
        <v>0</v>
      </c>
      <c r="JQ637" t="s">
        <v>1043</v>
      </c>
      <c r="JT637">
        <v>0</v>
      </c>
      <c r="JU637" t="s">
        <v>1042</v>
      </c>
      <c r="JW637">
        <v>0</v>
      </c>
      <c r="KA637">
        <v>0</v>
      </c>
      <c r="KF637">
        <v>0</v>
      </c>
      <c r="KG637">
        <v>0</v>
      </c>
      <c r="KH637">
        <v>0</v>
      </c>
      <c r="KI637">
        <v>0</v>
      </c>
      <c r="KJ637" t="s">
        <v>1044</v>
      </c>
      <c r="KS637" t="s">
        <v>1073</v>
      </c>
      <c r="KT637">
        <v>0</v>
      </c>
      <c r="KU637">
        <v>0</v>
      </c>
      <c r="KV637">
        <v>0</v>
      </c>
      <c r="KX637">
        <v>0</v>
      </c>
      <c r="KY637" t="s">
        <v>1045</v>
      </c>
      <c r="KZ637">
        <v>0</v>
      </c>
      <c r="LF637">
        <v>0</v>
      </c>
      <c r="LH637">
        <v>0</v>
      </c>
      <c r="LI637">
        <v>0</v>
      </c>
    </row>
    <row r="638" spans="1:321" x14ac:dyDescent="0.35">
      <c r="A638">
        <v>1</v>
      </c>
      <c r="B638">
        <v>1433</v>
      </c>
      <c r="C638" t="s">
        <v>1119</v>
      </c>
      <c r="D638" t="s">
        <v>1089</v>
      </c>
      <c r="E638" t="s">
        <v>85</v>
      </c>
      <c r="F638">
        <v>1</v>
      </c>
      <c r="G638">
        <v>8890</v>
      </c>
      <c r="H638">
        <v>0</v>
      </c>
      <c r="I638" t="s">
        <v>994</v>
      </c>
      <c r="M638">
        <v>0</v>
      </c>
      <c r="N638">
        <v>0</v>
      </c>
      <c r="P638">
        <v>77</v>
      </c>
      <c r="Q638">
        <v>902</v>
      </c>
      <c r="R638">
        <v>0</v>
      </c>
      <c r="S638">
        <v>0</v>
      </c>
      <c r="W638" t="s">
        <v>1060</v>
      </c>
      <c r="X638">
        <v>0</v>
      </c>
      <c r="Z638">
        <v>10</v>
      </c>
      <c r="AA638">
        <v>0</v>
      </c>
      <c r="AB638">
        <v>0</v>
      </c>
      <c r="AC638">
        <v>0</v>
      </c>
      <c r="AD638" t="s">
        <v>1042</v>
      </c>
      <c r="AE638">
        <v>0</v>
      </c>
      <c r="AF638">
        <v>0</v>
      </c>
      <c r="AH638">
        <v>0</v>
      </c>
      <c r="AJ638">
        <v>0</v>
      </c>
      <c r="AL638">
        <v>0</v>
      </c>
      <c r="AM638">
        <v>0</v>
      </c>
      <c r="AN638">
        <v>11501008</v>
      </c>
      <c r="AO638">
        <v>0</v>
      </c>
      <c r="AP638">
        <v>1001</v>
      </c>
      <c r="AT638">
        <v>0</v>
      </c>
      <c r="AW638" t="s">
        <v>1053</v>
      </c>
      <c r="AX638">
        <v>0</v>
      </c>
      <c r="AY638" s="20">
        <v>44391</v>
      </c>
      <c r="BA638" s="20">
        <v>44391</v>
      </c>
      <c r="BB638" t="s">
        <v>1058</v>
      </c>
      <c r="BD638">
        <v>0</v>
      </c>
      <c r="BF638" t="s">
        <v>1044</v>
      </c>
      <c r="BG638" t="s">
        <v>1042</v>
      </c>
      <c r="BH638">
        <v>0</v>
      </c>
      <c r="BI638">
        <v>6</v>
      </c>
      <c r="BJ638">
        <v>0</v>
      </c>
      <c r="BK638">
        <v>0</v>
      </c>
      <c r="BM638" t="s">
        <v>1042</v>
      </c>
      <c r="BN638">
        <v>0</v>
      </c>
      <c r="BS638" t="s">
        <v>1043</v>
      </c>
      <c r="BT638" t="s">
        <v>1043</v>
      </c>
      <c r="BW638">
        <v>2</v>
      </c>
      <c r="BY638">
        <v>10</v>
      </c>
      <c r="CA638">
        <v>0</v>
      </c>
      <c r="CB638" t="s">
        <v>1043</v>
      </c>
      <c r="CE638" t="s">
        <v>1043</v>
      </c>
      <c r="CH638" t="s">
        <v>1043</v>
      </c>
      <c r="CN638" t="s">
        <v>1074</v>
      </c>
      <c r="CO638" t="s">
        <v>1043</v>
      </c>
      <c r="CP638">
        <v>1</v>
      </c>
      <c r="CQ638">
        <v>0</v>
      </c>
      <c r="CS638">
        <v>0</v>
      </c>
      <c r="CT638">
        <v>0</v>
      </c>
      <c r="CU638">
        <v>0</v>
      </c>
      <c r="CV638" t="s">
        <v>1045</v>
      </c>
      <c r="CW638">
        <v>0</v>
      </c>
      <c r="CX638">
        <v>0</v>
      </c>
      <c r="CY638">
        <v>0</v>
      </c>
      <c r="CZ638">
        <v>0</v>
      </c>
      <c r="DB638">
        <v>0</v>
      </c>
      <c r="DC638" t="s">
        <v>1043</v>
      </c>
      <c r="DF638" t="s">
        <v>1055</v>
      </c>
      <c r="DH638">
        <v>0</v>
      </c>
      <c r="DJ638">
        <v>0</v>
      </c>
      <c r="DK638" t="s">
        <v>1053</v>
      </c>
      <c r="DL638">
        <v>0</v>
      </c>
      <c r="DN638">
        <v>0</v>
      </c>
      <c r="DO638" t="s">
        <v>1042</v>
      </c>
      <c r="DP638">
        <v>0</v>
      </c>
      <c r="DQ638">
        <v>7</v>
      </c>
      <c r="DS638">
        <v>0</v>
      </c>
      <c r="DU638">
        <v>1</v>
      </c>
      <c r="DW638">
        <v>0</v>
      </c>
      <c r="DX638" t="s">
        <v>1043</v>
      </c>
      <c r="DY638">
        <v>0</v>
      </c>
      <c r="DZ638">
        <v>0</v>
      </c>
      <c r="EA638">
        <v>0</v>
      </c>
      <c r="ED638" t="s">
        <v>1045</v>
      </c>
      <c r="EE638">
        <v>0</v>
      </c>
      <c r="EF638">
        <v>0</v>
      </c>
      <c r="EQ638" t="s">
        <v>1044</v>
      </c>
      <c r="ES638" t="s">
        <v>1053</v>
      </c>
      <c r="ET638">
        <v>0</v>
      </c>
      <c r="EV638">
        <v>0</v>
      </c>
      <c r="EY638" t="s">
        <v>1052</v>
      </c>
      <c r="EZ638">
        <v>0</v>
      </c>
      <c r="FA638" t="s">
        <v>1043</v>
      </c>
      <c r="FB638">
        <v>0</v>
      </c>
      <c r="FC638">
        <v>0</v>
      </c>
      <c r="FE638" t="s">
        <v>1050</v>
      </c>
      <c r="FF638">
        <v>0</v>
      </c>
      <c r="FG638" t="s">
        <v>1050</v>
      </c>
      <c r="FJ638">
        <v>0</v>
      </c>
      <c r="FK638">
        <v>0</v>
      </c>
      <c r="FP638">
        <v>0</v>
      </c>
      <c r="FQ638" t="s">
        <v>1044</v>
      </c>
      <c r="FR638">
        <v>0</v>
      </c>
      <c r="FS638" t="s">
        <v>1043</v>
      </c>
      <c r="FX638" t="s">
        <v>1042</v>
      </c>
      <c r="FZ638" t="s">
        <v>1048</v>
      </c>
      <c r="GA638">
        <v>0</v>
      </c>
      <c r="GB638" t="s">
        <v>1042</v>
      </c>
      <c r="GE638">
        <v>0</v>
      </c>
      <c r="GG638">
        <v>0</v>
      </c>
      <c r="GN638">
        <v>0</v>
      </c>
      <c r="GO638" t="s">
        <v>1063</v>
      </c>
      <c r="GQ638">
        <v>0</v>
      </c>
      <c r="GU638">
        <v>0</v>
      </c>
      <c r="GY638" t="s">
        <v>1045</v>
      </c>
      <c r="HB638">
        <v>0</v>
      </c>
      <c r="HE638">
        <v>0</v>
      </c>
      <c r="HF638">
        <v>0</v>
      </c>
      <c r="HG638">
        <v>0</v>
      </c>
      <c r="HK638" t="s">
        <v>1042</v>
      </c>
      <c r="HM638" t="s">
        <v>1047</v>
      </c>
      <c r="HN638">
        <v>0</v>
      </c>
      <c r="HP638">
        <v>0</v>
      </c>
      <c r="HQ638">
        <v>0</v>
      </c>
      <c r="HR638" t="s">
        <v>1042</v>
      </c>
      <c r="HS638" t="s">
        <v>1043</v>
      </c>
      <c r="HT638">
        <v>0</v>
      </c>
      <c r="HU638">
        <v>0</v>
      </c>
      <c r="HV638" t="s">
        <v>1088</v>
      </c>
      <c r="HW638">
        <v>0</v>
      </c>
      <c r="HX638">
        <v>0</v>
      </c>
      <c r="HY638">
        <v>0</v>
      </c>
      <c r="HZ638" t="s">
        <v>1045</v>
      </c>
      <c r="IA638">
        <v>0</v>
      </c>
      <c r="IB638" t="s">
        <v>1045</v>
      </c>
      <c r="ID638" t="s">
        <v>1045</v>
      </c>
      <c r="IF638">
        <v>0</v>
      </c>
      <c r="IG638" t="s">
        <v>1042</v>
      </c>
      <c r="II638" t="s">
        <v>1042</v>
      </c>
      <c r="IR638" t="s">
        <v>1045</v>
      </c>
      <c r="IT638">
        <v>0</v>
      </c>
      <c r="IY638" t="s">
        <v>1044</v>
      </c>
      <c r="IZ638" t="s">
        <v>1043</v>
      </c>
      <c r="JA638" t="s">
        <v>1043</v>
      </c>
      <c r="JC638" t="s">
        <v>1043</v>
      </c>
      <c r="JE638">
        <v>0</v>
      </c>
      <c r="JF638">
        <v>0</v>
      </c>
      <c r="JI638" t="s">
        <v>1042</v>
      </c>
      <c r="JJ638">
        <v>0</v>
      </c>
      <c r="JK638">
        <v>0</v>
      </c>
      <c r="JL638">
        <v>0</v>
      </c>
      <c r="JM638">
        <v>0</v>
      </c>
      <c r="JQ638" t="s">
        <v>1043</v>
      </c>
      <c r="JT638">
        <v>0</v>
      </c>
      <c r="JU638" t="s">
        <v>1042</v>
      </c>
      <c r="JW638">
        <v>0</v>
      </c>
      <c r="KA638">
        <v>0</v>
      </c>
      <c r="KF638">
        <v>0</v>
      </c>
      <c r="KG638">
        <v>0</v>
      </c>
      <c r="KH638">
        <v>0</v>
      </c>
      <c r="KI638">
        <v>0</v>
      </c>
      <c r="KJ638" t="s">
        <v>1044</v>
      </c>
      <c r="KS638" t="s">
        <v>1073</v>
      </c>
      <c r="KT638">
        <v>0</v>
      </c>
      <c r="KU638">
        <v>0</v>
      </c>
      <c r="KV638">
        <v>0</v>
      </c>
      <c r="KX638">
        <v>0</v>
      </c>
      <c r="KY638" t="s">
        <v>1045</v>
      </c>
      <c r="KZ638">
        <v>0</v>
      </c>
      <c r="LF638">
        <v>0</v>
      </c>
      <c r="LH638">
        <v>0</v>
      </c>
      <c r="LI638">
        <v>0</v>
      </c>
    </row>
    <row r="639" spans="1:321" x14ac:dyDescent="0.35">
      <c r="A639">
        <v>1</v>
      </c>
      <c r="B639">
        <v>1434</v>
      </c>
      <c r="C639" t="s">
        <v>1118</v>
      </c>
      <c r="D639" t="s">
        <v>1089</v>
      </c>
      <c r="E639" t="s">
        <v>85</v>
      </c>
      <c r="F639">
        <v>1</v>
      </c>
      <c r="G639">
        <v>8890</v>
      </c>
      <c r="H639">
        <v>0</v>
      </c>
      <c r="I639" t="s">
        <v>994</v>
      </c>
      <c r="M639">
        <v>0</v>
      </c>
      <c r="N639">
        <v>0</v>
      </c>
      <c r="P639">
        <v>77</v>
      </c>
      <c r="Q639">
        <v>902</v>
      </c>
      <c r="R639">
        <v>0</v>
      </c>
      <c r="S639">
        <v>0</v>
      </c>
      <c r="W639" t="s">
        <v>1060</v>
      </c>
      <c r="X639">
        <v>0</v>
      </c>
      <c r="Z639">
        <v>10</v>
      </c>
      <c r="AA639">
        <v>0</v>
      </c>
      <c r="AB639">
        <v>0</v>
      </c>
      <c r="AC639">
        <v>0</v>
      </c>
      <c r="AD639" t="s">
        <v>1042</v>
      </c>
      <c r="AE639">
        <v>0</v>
      </c>
      <c r="AF639">
        <v>0</v>
      </c>
      <c r="AH639">
        <v>0</v>
      </c>
      <c r="AJ639">
        <v>0</v>
      </c>
      <c r="AL639">
        <v>0</v>
      </c>
      <c r="AM639">
        <v>0</v>
      </c>
      <c r="AN639">
        <v>11501008</v>
      </c>
      <c r="AO639">
        <v>0</v>
      </c>
      <c r="AP639">
        <v>1001</v>
      </c>
      <c r="AT639">
        <v>0</v>
      </c>
      <c r="AW639" t="s">
        <v>1053</v>
      </c>
      <c r="AX639">
        <v>0</v>
      </c>
      <c r="AY639" s="20">
        <v>44391</v>
      </c>
      <c r="BA639" s="20">
        <v>44391</v>
      </c>
      <c r="BB639" t="s">
        <v>1058</v>
      </c>
      <c r="BD639">
        <v>0</v>
      </c>
      <c r="BF639" t="s">
        <v>1044</v>
      </c>
      <c r="BG639" t="s">
        <v>1042</v>
      </c>
      <c r="BH639">
        <v>0</v>
      </c>
      <c r="BI639">
        <v>6</v>
      </c>
      <c r="BJ639">
        <v>0</v>
      </c>
      <c r="BK639">
        <v>0</v>
      </c>
      <c r="BM639" t="s">
        <v>1042</v>
      </c>
      <c r="BN639">
        <v>0</v>
      </c>
      <c r="BS639" t="s">
        <v>1043</v>
      </c>
      <c r="BT639" t="s">
        <v>1043</v>
      </c>
      <c r="BW639">
        <v>2</v>
      </c>
      <c r="BY639">
        <v>10</v>
      </c>
      <c r="CA639">
        <v>0</v>
      </c>
      <c r="CB639" t="s">
        <v>1043</v>
      </c>
      <c r="CE639" t="s">
        <v>1043</v>
      </c>
      <c r="CH639" t="s">
        <v>1043</v>
      </c>
      <c r="CN639" t="s">
        <v>1074</v>
      </c>
      <c r="CO639" t="s">
        <v>1043</v>
      </c>
      <c r="CP639">
        <v>1</v>
      </c>
      <c r="CQ639">
        <v>0</v>
      </c>
      <c r="CS639">
        <v>0</v>
      </c>
      <c r="CT639">
        <v>0</v>
      </c>
      <c r="CU639">
        <v>0</v>
      </c>
      <c r="CV639" t="s">
        <v>1045</v>
      </c>
      <c r="CW639">
        <v>0</v>
      </c>
      <c r="CX639">
        <v>0</v>
      </c>
      <c r="CY639">
        <v>0</v>
      </c>
      <c r="CZ639">
        <v>0</v>
      </c>
      <c r="DB639">
        <v>0</v>
      </c>
      <c r="DC639" t="s">
        <v>1043</v>
      </c>
      <c r="DF639" t="s">
        <v>1055</v>
      </c>
      <c r="DH639">
        <v>0</v>
      </c>
      <c r="DJ639">
        <v>0</v>
      </c>
      <c r="DK639" t="s">
        <v>1053</v>
      </c>
      <c r="DL639">
        <v>0</v>
      </c>
      <c r="DN639">
        <v>0</v>
      </c>
      <c r="DO639" t="s">
        <v>1042</v>
      </c>
      <c r="DP639">
        <v>0</v>
      </c>
      <c r="DQ639">
        <v>7</v>
      </c>
      <c r="DS639">
        <v>0</v>
      </c>
      <c r="DU639">
        <v>1</v>
      </c>
      <c r="DW639">
        <v>0</v>
      </c>
      <c r="DX639" t="s">
        <v>1043</v>
      </c>
      <c r="DY639">
        <v>0</v>
      </c>
      <c r="DZ639">
        <v>0</v>
      </c>
      <c r="EA639">
        <v>0</v>
      </c>
      <c r="ED639" t="s">
        <v>1045</v>
      </c>
      <c r="EE639">
        <v>0</v>
      </c>
      <c r="EF639">
        <v>0</v>
      </c>
      <c r="EQ639" t="s">
        <v>1044</v>
      </c>
      <c r="ES639" t="s">
        <v>1053</v>
      </c>
      <c r="ET639">
        <v>0</v>
      </c>
      <c r="EV639">
        <v>0</v>
      </c>
      <c r="EY639" t="s">
        <v>1052</v>
      </c>
      <c r="EZ639">
        <v>0</v>
      </c>
      <c r="FA639" t="s">
        <v>1043</v>
      </c>
      <c r="FB639">
        <v>0</v>
      </c>
      <c r="FC639">
        <v>0</v>
      </c>
      <c r="FE639" t="s">
        <v>1050</v>
      </c>
      <c r="FF639">
        <v>0</v>
      </c>
      <c r="FG639" t="s">
        <v>1050</v>
      </c>
      <c r="FJ639">
        <v>0</v>
      </c>
      <c r="FK639">
        <v>0</v>
      </c>
      <c r="FP639">
        <v>0</v>
      </c>
      <c r="FQ639" t="s">
        <v>1044</v>
      </c>
      <c r="FR639">
        <v>0</v>
      </c>
      <c r="FS639" t="s">
        <v>1043</v>
      </c>
      <c r="FX639" t="s">
        <v>1042</v>
      </c>
      <c r="FZ639" t="s">
        <v>1048</v>
      </c>
      <c r="GA639">
        <v>0</v>
      </c>
      <c r="GB639" t="s">
        <v>1042</v>
      </c>
      <c r="GE639">
        <v>0</v>
      </c>
      <c r="GG639">
        <v>0</v>
      </c>
      <c r="GN639">
        <v>0</v>
      </c>
      <c r="GO639" t="s">
        <v>1063</v>
      </c>
      <c r="GQ639">
        <v>0</v>
      </c>
      <c r="GU639">
        <v>0</v>
      </c>
      <c r="GY639" t="s">
        <v>1045</v>
      </c>
      <c r="HB639">
        <v>0</v>
      </c>
      <c r="HE639">
        <v>0</v>
      </c>
      <c r="HF639">
        <v>0</v>
      </c>
      <c r="HG639">
        <v>0</v>
      </c>
      <c r="HK639" t="s">
        <v>1042</v>
      </c>
      <c r="HM639" t="s">
        <v>1047</v>
      </c>
      <c r="HN639">
        <v>0</v>
      </c>
      <c r="HP639">
        <v>0</v>
      </c>
      <c r="HQ639">
        <v>0</v>
      </c>
      <c r="HR639" t="s">
        <v>1042</v>
      </c>
      <c r="HS639" t="s">
        <v>1043</v>
      </c>
      <c r="HT639">
        <v>0</v>
      </c>
      <c r="HU639">
        <v>0</v>
      </c>
      <c r="HV639" t="s">
        <v>1088</v>
      </c>
      <c r="HW639">
        <v>0</v>
      </c>
      <c r="HX639">
        <v>0</v>
      </c>
      <c r="HY639">
        <v>0</v>
      </c>
      <c r="HZ639" t="s">
        <v>1045</v>
      </c>
      <c r="IA639">
        <v>0</v>
      </c>
      <c r="IB639" t="s">
        <v>1045</v>
      </c>
      <c r="ID639" t="s">
        <v>1045</v>
      </c>
      <c r="IF639">
        <v>0</v>
      </c>
      <c r="IG639" t="s">
        <v>1042</v>
      </c>
      <c r="II639" t="s">
        <v>1042</v>
      </c>
      <c r="IR639" t="s">
        <v>1045</v>
      </c>
      <c r="IT639">
        <v>0</v>
      </c>
      <c r="IY639" t="s">
        <v>1044</v>
      </c>
      <c r="IZ639" t="s">
        <v>1043</v>
      </c>
      <c r="JA639" t="s">
        <v>1043</v>
      </c>
      <c r="JC639" t="s">
        <v>1043</v>
      </c>
      <c r="JE639">
        <v>0</v>
      </c>
      <c r="JF639">
        <v>0</v>
      </c>
      <c r="JI639" t="s">
        <v>1042</v>
      </c>
      <c r="JJ639">
        <v>0</v>
      </c>
      <c r="JK639">
        <v>0</v>
      </c>
      <c r="JL639">
        <v>0</v>
      </c>
      <c r="JM639">
        <v>0</v>
      </c>
      <c r="JQ639" t="s">
        <v>1043</v>
      </c>
      <c r="JT639">
        <v>0</v>
      </c>
      <c r="JU639" t="s">
        <v>1042</v>
      </c>
      <c r="JW639">
        <v>0</v>
      </c>
      <c r="KA639">
        <v>0</v>
      </c>
      <c r="KF639">
        <v>0</v>
      </c>
      <c r="KG639">
        <v>0</v>
      </c>
      <c r="KH639">
        <v>0</v>
      </c>
      <c r="KI639">
        <v>0</v>
      </c>
      <c r="KJ639" t="s">
        <v>1044</v>
      </c>
      <c r="KS639" t="s">
        <v>1073</v>
      </c>
      <c r="KT639">
        <v>0</v>
      </c>
      <c r="KU639">
        <v>0</v>
      </c>
      <c r="KV639">
        <v>0</v>
      </c>
      <c r="KX639">
        <v>0</v>
      </c>
      <c r="KY639" t="s">
        <v>1045</v>
      </c>
      <c r="KZ639">
        <v>0</v>
      </c>
      <c r="LF639">
        <v>0</v>
      </c>
      <c r="LH639">
        <v>0</v>
      </c>
      <c r="LI639">
        <v>0</v>
      </c>
    </row>
    <row r="640" spans="1:321" x14ac:dyDescent="0.35">
      <c r="A640">
        <v>1</v>
      </c>
      <c r="B640">
        <v>14340</v>
      </c>
      <c r="C640" t="s">
        <v>1117</v>
      </c>
      <c r="D640" t="s">
        <v>1076</v>
      </c>
      <c r="E640" t="s">
        <v>85</v>
      </c>
      <c r="F640">
        <v>80</v>
      </c>
      <c r="G640">
        <v>9000</v>
      </c>
      <c r="H640">
        <v>0</v>
      </c>
      <c r="I640" t="s">
        <v>1116</v>
      </c>
      <c r="L640">
        <v>0</v>
      </c>
      <c r="M640">
        <v>0</v>
      </c>
      <c r="N640">
        <v>0</v>
      </c>
      <c r="R640">
        <v>0</v>
      </c>
      <c r="S640">
        <v>0</v>
      </c>
      <c r="W640" t="s">
        <v>1060</v>
      </c>
      <c r="X640">
        <v>0</v>
      </c>
      <c r="Z640">
        <v>1</v>
      </c>
      <c r="AA640">
        <v>0</v>
      </c>
      <c r="AB640">
        <v>0</v>
      </c>
      <c r="AC640">
        <v>35</v>
      </c>
      <c r="AD640" s="20">
        <v>41052</v>
      </c>
      <c r="AE640">
        <v>35</v>
      </c>
      <c r="AF640">
        <v>0</v>
      </c>
      <c r="AH640">
        <v>0</v>
      </c>
      <c r="AJ640">
        <v>0</v>
      </c>
      <c r="AL640">
        <v>1</v>
      </c>
      <c r="AM640">
        <v>0</v>
      </c>
      <c r="AN640">
        <v>437711</v>
      </c>
      <c r="AO640">
        <v>0</v>
      </c>
      <c r="AP640">
        <v>1002</v>
      </c>
      <c r="AT640">
        <v>0</v>
      </c>
      <c r="AU640" t="s">
        <v>1059</v>
      </c>
      <c r="AW640" t="s">
        <v>1053</v>
      </c>
      <c r="AX640">
        <v>0</v>
      </c>
      <c r="AY640" s="20">
        <v>41040</v>
      </c>
      <c r="BA640" s="20">
        <v>41040</v>
      </c>
      <c r="BB640" t="s">
        <v>1058</v>
      </c>
      <c r="BD640">
        <v>0</v>
      </c>
      <c r="BF640" t="s">
        <v>1043</v>
      </c>
      <c r="BG640" t="s">
        <v>1042</v>
      </c>
      <c r="BH640">
        <v>0</v>
      </c>
      <c r="BI640">
        <v>1</v>
      </c>
      <c r="BJ640">
        <v>0</v>
      </c>
      <c r="BK640">
        <v>0</v>
      </c>
      <c r="BM640" t="s">
        <v>1042</v>
      </c>
      <c r="BN640">
        <v>0</v>
      </c>
      <c r="BR640" t="s">
        <v>1043</v>
      </c>
      <c r="BS640" t="s">
        <v>1043</v>
      </c>
      <c r="BT640" t="s">
        <v>1043</v>
      </c>
      <c r="BW640">
        <v>55</v>
      </c>
      <c r="CA640">
        <v>0</v>
      </c>
      <c r="CB640" t="s">
        <v>1057</v>
      </c>
      <c r="CE640" t="s">
        <v>1043</v>
      </c>
      <c r="CH640" t="s">
        <v>1043</v>
      </c>
      <c r="CN640" t="s">
        <v>1074</v>
      </c>
      <c r="CO640" t="s">
        <v>1043</v>
      </c>
      <c r="CP640">
        <v>1</v>
      </c>
      <c r="CQ640">
        <v>0</v>
      </c>
      <c r="CS640">
        <v>0</v>
      </c>
      <c r="CT640">
        <v>0</v>
      </c>
      <c r="CU640">
        <v>0</v>
      </c>
      <c r="CV640" t="s">
        <v>1045</v>
      </c>
      <c r="CW640">
        <v>0</v>
      </c>
      <c r="CX640">
        <v>0</v>
      </c>
      <c r="CY640">
        <v>0</v>
      </c>
      <c r="CZ640">
        <v>0</v>
      </c>
      <c r="DB640">
        <v>0</v>
      </c>
      <c r="DC640" t="s">
        <v>1043</v>
      </c>
      <c r="DF640" t="s">
        <v>1055</v>
      </c>
      <c r="DH640">
        <v>0</v>
      </c>
      <c r="DJ640">
        <v>0</v>
      </c>
      <c r="DK640" t="s">
        <v>1053</v>
      </c>
      <c r="DL640">
        <v>0</v>
      </c>
      <c r="DN640">
        <v>0</v>
      </c>
      <c r="DO640" t="s">
        <v>1042</v>
      </c>
      <c r="DP640">
        <v>0</v>
      </c>
      <c r="DQ640">
        <v>0</v>
      </c>
      <c r="DS640">
        <v>0</v>
      </c>
      <c r="DU640">
        <v>0</v>
      </c>
      <c r="DW640">
        <v>0</v>
      </c>
      <c r="DX640" t="s">
        <v>1043</v>
      </c>
      <c r="DY640">
        <v>0</v>
      </c>
      <c r="DZ640">
        <v>0</v>
      </c>
      <c r="EA640">
        <v>0</v>
      </c>
      <c r="ED640" t="s">
        <v>1045</v>
      </c>
      <c r="EE640">
        <v>0</v>
      </c>
      <c r="EF640">
        <v>0</v>
      </c>
      <c r="EQ640" t="s">
        <v>1044</v>
      </c>
      <c r="ES640" t="s">
        <v>1053</v>
      </c>
      <c r="ET640">
        <v>0</v>
      </c>
      <c r="EV640">
        <v>0</v>
      </c>
      <c r="EY640" t="s">
        <v>1052</v>
      </c>
      <c r="EZ640">
        <v>0</v>
      </c>
      <c r="FA640" t="s">
        <v>1043</v>
      </c>
      <c r="FB640">
        <v>0</v>
      </c>
      <c r="FC640">
        <v>0</v>
      </c>
      <c r="FE640" t="s">
        <v>1050</v>
      </c>
      <c r="FF640">
        <v>0</v>
      </c>
      <c r="FG640" t="s">
        <v>1050</v>
      </c>
      <c r="FJ640">
        <v>0</v>
      </c>
      <c r="FK640">
        <v>0</v>
      </c>
      <c r="FP640">
        <v>0</v>
      </c>
      <c r="FR640">
        <v>0</v>
      </c>
      <c r="FS640" t="s">
        <v>1043</v>
      </c>
      <c r="FX640" t="s">
        <v>1042</v>
      </c>
      <c r="FZ640" t="s">
        <v>1048</v>
      </c>
      <c r="GA640">
        <v>0</v>
      </c>
      <c r="GB640" t="s">
        <v>1042</v>
      </c>
      <c r="GE640">
        <v>0</v>
      </c>
      <c r="GG640">
        <v>0</v>
      </c>
      <c r="GN640">
        <v>0</v>
      </c>
      <c r="GO640" t="s">
        <v>1063</v>
      </c>
      <c r="GQ640">
        <v>0</v>
      </c>
      <c r="GU640">
        <v>0</v>
      </c>
      <c r="GY640" t="s">
        <v>1045</v>
      </c>
      <c r="HB640">
        <v>0</v>
      </c>
      <c r="HE640">
        <v>0</v>
      </c>
      <c r="HF640">
        <v>0</v>
      </c>
      <c r="HG640">
        <v>0</v>
      </c>
      <c r="HK640" t="s">
        <v>1042</v>
      </c>
      <c r="HM640" t="s">
        <v>1047</v>
      </c>
      <c r="HN640">
        <v>0</v>
      </c>
      <c r="HP640">
        <v>0</v>
      </c>
      <c r="HQ640">
        <v>0</v>
      </c>
      <c r="HR640" t="s">
        <v>1042</v>
      </c>
      <c r="HS640" t="s">
        <v>1043</v>
      </c>
      <c r="HT640">
        <v>0</v>
      </c>
      <c r="HU640">
        <v>0</v>
      </c>
      <c r="HW640">
        <v>0</v>
      </c>
      <c r="HX640">
        <v>0</v>
      </c>
      <c r="HY640">
        <v>0</v>
      </c>
      <c r="HZ640" t="s">
        <v>1045</v>
      </c>
      <c r="IA640">
        <v>0</v>
      </c>
      <c r="IB640" t="s">
        <v>1045</v>
      </c>
      <c r="ID640" t="s">
        <v>1045</v>
      </c>
      <c r="IF640">
        <v>0</v>
      </c>
      <c r="IG640" t="s">
        <v>1042</v>
      </c>
      <c r="II640" t="s">
        <v>1042</v>
      </c>
      <c r="IR640" t="s">
        <v>1045</v>
      </c>
      <c r="IT640">
        <v>0</v>
      </c>
      <c r="IY640" t="s">
        <v>1044</v>
      </c>
      <c r="IZ640" t="s">
        <v>1043</v>
      </c>
      <c r="JC640" t="s">
        <v>1043</v>
      </c>
      <c r="JE640">
        <v>0</v>
      </c>
      <c r="JF640">
        <v>0</v>
      </c>
      <c r="JI640" t="s">
        <v>1042</v>
      </c>
      <c r="JJ640">
        <v>0</v>
      </c>
      <c r="JK640">
        <v>0</v>
      </c>
      <c r="JL640">
        <v>0</v>
      </c>
      <c r="JM640">
        <v>0</v>
      </c>
      <c r="JQ640" t="s">
        <v>1043</v>
      </c>
      <c r="JT640">
        <v>0</v>
      </c>
      <c r="JU640" t="s">
        <v>1042</v>
      </c>
      <c r="JW640">
        <v>0</v>
      </c>
      <c r="KA640">
        <v>0</v>
      </c>
      <c r="KF640">
        <v>0</v>
      </c>
      <c r="KG640">
        <v>0</v>
      </c>
      <c r="KH640">
        <v>0</v>
      </c>
      <c r="KI640">
        <v>0</v>
      </c>
      <c r="KJ640" t="s">
        <v>1044</v>
      </c>
      <c r="KS640" t="s">
        <v>1073</v>
      </c>
      <c r="KT640">
        <v>0</v>
      </c>
      <c r="KU640">
        <v>0</v>
      </c>
      <c r="KV640">
        <v>0</v>
      </c>
      <c r="KX640">
        <v>0</v>
      </c>
      <c r="KZ640">
        <v>0</v>
      </c>
      <c r="LF640">
        <v>0</v>
      </c>
      <c r="LH640">
        <v>0</v>
      </c>
      <c r="LI640">
        <v>0</v>
      </c>
    </row>
    <row r="641" spans="1:321" x14ac:dyDescent="0.35">
      <c r="A641">
        <v>1</v>
      </c>
      <c r="B641">
        <v>1435</v>
      </c>
      <c r="C641" t="s">
        <v>756</v>
      </c>
      <c r="D641" t="s">
        <v>1089</v>
      </c>
      <c r="E641" t="s">
        <v>85</v>
      </c>
      <c r="F641">
        <v>1</v>
      </c>
      <c r="G641">
        <v>200</v>
      </c>
      <c r="H641">
        <v>0</v>
      </c>
      <c r="I641" t="s">
        <v>994</v>
      </c>
      <c r="M641">
        <v>0</v>
      </c>
      <c r="N641">
        <v>0</v>
      </c>
      <c r="P641">
        <v>77</v>
      </c>
      <c r="Q641">
        <v>902</v>
      </c>
      <c r="R641">
        <v>0</v>
      </c>
      <c r="S641">
        <v>0</v>
      </c>
      <c r="W641" t="s">
        <v>1060</v>
      </c>
      <c r="X641">
        <v>0</v>
      </c>
      <c r="Z641">
        <v>5</v>
      </c>
      <c r="AA641">
        <v>213.08789999999999</v>
      </c>
      <c r="AB641">
        <v>60</v>
      </c>
      <c r="AC641">
        <v>19.209499999999998</v>
      </c>
      <c r="AD641" s="20">
        <v>44638</v>
      </c>
      <c r="AE641">
        <v>24.393000000000001</v>
      </c>
      <c r="AF641">
        <v>0.4</v>
      </c>
      <c r="AH641">
        <v>54</v>
      </c>
      <c r="AJ641">
        <v>0</v>
      </c>
      <c r="AL641">
        <v>25</v>
      </c>
      <c r="AM641">
        <v>0</v>
      </c>
      <c r="AN641">
        <v>11501008</v>
      </c>
      <c r="AO641">
        <v>0</v>
      </c>
      <c r="AP641">
        <v>1050</v>
      </c>
      <c r="AT641">
        <v>1</v>
      </c>
      <c r="AU641" t="s">
        <v>1059</v>
      </c>
      <c r="AW641" t="s">
        <v>1053</v>
      </c>
      <c r="AX641">
        <v>5</v>
      </c>
      <c r="AY641" s="20">
        <v>44160</v>
      </c>
      <c r="BA641" s="20">
        <v>43718</v>
      </c>
      <c r="BB641" t="s">
        <v>1058</v>
      </c>
      <c r="BD641">
        <v>0</v>
      </c>
      <c r="BF641" t="s">
        <v>1044</v>
      </c>
      <c r="BG641" s="20">
        <v>42149</v>
      </c>
      <c r="BH641">
        <v>0</v>
      </c>
      <c r="BI641">
        <v>6</v>
      </c>
      <c r="BJ641">
        <v>0</v>
      </c>
      <c r="BK641">
        <v>0</v>
      </c>
      <c r="BM641" s="20">
        <v>42195</v>
      </c>
      <c r="BN641">
        <v>0</v>
      </c>
      <c r="BO641">
        <v>7897801313902</v>
      </c>
      <c r="BS641" t="s">
        <v>1043</v>
      </c>
      <c r="BT641" t="s">
        <v>1043</v>
      </c>
      <c r="BW641">
        <v>2</v>
      </c>
      <c r="BY641">
        <v>10</v>
      </c>
      <c r="CA641">
        <v>0</v>
      </c>
      <c r="CB641" t="s">
        <v>1057</v>
      </c>
      <c r="CE641" t="s">
        <v>1043</v>
      </c>
      <c r="CH641" t="s">
        <v>1043</v>
      </c>
      <c r="CN641" t="s">
        <v>1056</v>
      </c>
      <c r="CO641" t="s">
        <v>1043</v>
      </c>
      <c r="CP641">
        <v>1</v>
      </c>
      <c r="CQ641">
        <v>0</v>
      </c>
      <c r="CS641">
        <v>0</v>
      </c>
      <c r="CT641">
        <v>0</v>
      </c>
      <c r="CU641">
        <v>0</v>
      </c>
      <c r="CV641" t="s">
        <v>1045</v>
      </c>
      <c r="CW641">
        <v>0</v>
      </c>
      <c r="CX641">
        <v>0</v>
      </c>
      <c r="CY641">
        <v>0</v>
      </c>
      <c r="CZ641">
        <v>0</v>
      </c>
      <c r="DA641">
        <v>3</v>
      </c>
      <c r="DB641">
        <v>0</v>
      </c>
      <c r="DC641" t="s">
        <v>1043</v>
      </c>
      <c r="DF641" t="s">
        <v>1055</v>
      </c>
      <c r="DH641">
        <v>0</v>
      </c>
      <c r="DJ641">
        <v>0</v>
      </c>
      <c r="DK641" t="s">
        <v>1053</v>
      </c>
      <c r="DL641">
        <v>0</v>
      </c>
      <c r="DN641">
        <v>0</v>
      </c>
      <c r="DO641" t="s">
        <v>1042</v>
      </c>
      <c r="DP641">
        <v>0</v>
      </c>
      <c r="DQ641">
        <v>7.6</v>
      </c>
      <c r="DS641">
        <v>0</v>
      </c>
      <c r="DU641">
        <v>1.65</v>
      </c>
      <c r="DW641">
        <v>0</v>
      </c>
      <c r="DX641" t="s">
        <v>1043</v>
      </c>
      <c r="DY641">
        <v>0</v>
      </c>
      <c r="DZ641">
        <v>0</v>
      </c>
      <c r="EA641">
        <v>0</v>
      </c>
      <c r="EB641">
        <v>17897801313909</v>
      </c>
      <c r="ED641" t="s">
        <v>1045</v>
      </c>
      <c r="EE641">
        <v>0</v>
      </c>
      <c r="EF641">
        <v>0</v>
      </c>
      <c r="EL641">
        <v>57897801313907</v>
      </c>
      <c r="EN641" t="s">
        <v>1012</v>
      </c>
      <c r="EO641" t="s">
        <v>1044</v>
      </c>
      <c r="EQ641" t="s">
        <v>1044</v>
      </c>
      <c r="ES641" t="s">
        <v>1053</v>
      </c>
      <c r="ET641">
        <v>0</v>
      </c>
      <c r="EV641">
        <v>0</v>
      </c>
      <c r="EY641" t="s">
        <v>1052</v>
      </c>
      <c r="EZ641">
        <v>0</v>
      </c>
      <c r="FA641" t="s">
        <v>1043</v>
      </c>
      <c r="FB641">
        <v>0</v>
      </c>
      <c r="FC641">
        <v>0</v>
      </c>
      <c r="FD641" t="s">
        <v>1051</v>
      </c>
      <c r="FE641" t="s">
        <v>1050</v>
      </c>
      <c r="FF641">
        <v>0</v>
      </c>
      <c r="FG641" t="s">
        <v>1050</v>
      </c>
      <c r="FH641">
        <v>27897801313906</v>
      </c>
      <c r="FJ641">
        <v>0</v>
      </c>
      <c r="FK641">
        <v>0</v>
      </c>
      <c r="FP641">
        <v>0</v>
      </c>
      <c r="FQ641" t="s">
        <v>1044</v>
      </c>
      <c r="FR641">
        <v>0</v>
      </c>
      <c r="FS641" t="s">
        <v>1043</v>
      </c>
      <c r="FX641" t="s">
        <v>1042</v>
      </c>
      <c r="FZ641" t="s">
        <v>1048</v>
      </c>
      <c r="GA641">
        <v>0</v>
      </c>
      <c r="GB641" t="s">
        <v>1042</v>
      </c>
      <c r="GE641">
        <v>0</v>
      </c>
      <c r="GG641">
        <v>0</v>
      </c>
      <c r="GN641">
        <v>0</v>
      </c>
      <c r="GO641" t="s">
        <v>1063</v>
      </c>
      <c r="GQ641">
        <v>0</v>
      </c>
      <c r="GU641">
        <v>0</v>
      </c>
      <c r="GY641" t="s">
        <v>1045</v>
      </c>
      <c r="HB641">
        <v>0</v>
      </c>
      <c r="HE641">
        <v>0</v>
      </c>
      <c r="HF641">
        <v>0</v>
      </c>
      <c r="HG641">
        <v>2.6460000000000001E-2</v>
      </c>
      <c r="HK641" t="s">
        <v>1042</v>
      </c>
      <c r="HL641" t="s">
        <v>1048</v>
      </c>
      <c r="HM641" t="s">
        <v>1047</v>
      </c>
      <c r="HN641">
        <v>0</v>
      </c>
      <c r="HO641">
        <v>17</v>
      </c>
      <c r="HP641">
        <v>0.39700000000000002</v>
      </c>
      <c r="HQ641">
        <v>0</v>
      </c>
      <c r="HR641" s="20">
        <v>44221</v>
      </c>
      <c r="HS641" t="s">
        <v>1043</v>
      </c>
      <c r="HT641">
        <v>0</v>
      </c>
      <c r="HU641">
        <v>0</v>
      </c>
      <c r="HW641">
        <v>0</v>
      </c>
      <c r="HX641">
        <v>114</v>
      </c>
      <c r="HY641">
        <v>1</v>
      </c>
      <c r="HZ641" t="s">
        <v>1045</v>
      </c>
      <c r="IA641">
        <v>24.39</v>
      </c>
      <c r="IB641" t="s">
        <v>1045</v>
      </c>
      <c r="ID641" t="s">
        <v>1045</v>
      </c>
      <c r="IF641">
        <v>360</v>
      </c>
      <c r="IG641" s="20">
        <v>42177</v>
      </c>
      <c r="II641" t="s">
        <v>1042</v>
      </c>
      <c r="IR641" t="s">
        <v>1045</v>
      </c>
      <c r="IT641">
        <v>0</v>
      </c>
      <c r="IY641" t="s">
        <v>1044</v>
      </c>
      <c r="IZ641" t="s">
        <v>1043</v>
      </c>
      <c r="JA641" t="s">
        <v>1043</v>
      </c>
      <c r="JC641" t="s">
        <v>1043</v>
      </c>
      <c r="JE641">
        <v>0</v>
      </c>
      <c r="JF641">
        <v>0</v>
      </c>
      <c r="JI641" t="s">
        <v>1042</v>
      </c>
      <c r="JJ641">
        <v>0</v>
      </c>
      <c r="JK641">
        <v>0</v>
      </c>
      <c r="JL641">
        <v>0</v>
      </c>
      <c r="JM641">
        <v>0</v>
      </c>
      <c r="JQ641" t="s">
        <v>1043</v>
      </c>
      <c r="JT641">
        <v>0</v>
      </c>
      <c r="JU641" t="s">
        <v>1042</v>
      </c>
      <c r="JW641">
        <v>0</v>
      </c>
      <c r="KA641">
        <v>0</v>
      </c>
      <c r="KF641">
        <v>0</v>
      </c>
      <c r="KG641">
        <v>0</v>
      </c>
      <c r="KH641">
        <v>0</v>
      </c>
      <c r="KI641">
        <v>0</v>
      </c>
      <c r="KP641" t="s">
        <v>1045</v>
      </c>
      <c r="KS641" t="s">
        <v>1041</v>
      </c>
      <c r="KT641">
        <v>0</v>
      </c>
      <c r="KU641">
        <v>0</v>
      </c>
      <c r="KV641">
        <v>0</v>
      </c>
      <c r="KX641">
        <v>0</v>
      </c>
      <c r="KY641" t="s">
        <v>1045</v>
      </c>
      <c r="KZ641">
        <v>0</v>
      </c>
      <c r="LF641">
        <v>0</v>
      </c>
      <c r="LH641">
        <v>0</v>
      </c>
      <c r="LI641">
        <v>0</v>
      </c>
    </row>
    <row r="642" spans="1:321" x14ac:dyDescent="0.35">
      <c r="A642">
        <v>1</v>
      </c>
      <c r="B642">
        <v>14350</v>
      </c>
      <c r="C642" t="s">
        <v>1115</v>
      </c>
      <c r="D642" t="s">
        <v>1076</v>
      </c>
      <c r="E642" t="s">
        <v>85</v>
      </c>
      <c r="F642">
        <v>80</v>
      </c>
      <c r="G642">
        <v>9000</v>
      </c>
      <c r="H642">
        <v>0</v>
      </c>
      <c r="I642" t="s">
        <v>1114</v>
      </c>
      <c r="L642">
        <v>0</v>
      </c>
      <c r="M642">
        <v>0</v>
      </c>
      <c r="N642">
        <v>0</v>
      </c>
      <c r="R642">
        <v>0</v>
      </c>
      <c r="S642">
        <v>0</v>
      </c>
      <c r="W642" t="s">
        <v>1060</v>
      </c>
      <c r="X642">
        <v>0</v>
      </c>
      <c r="Z642">
        <v>1</v>
      </c>
      <c r="AA642">
        <v>0</v>
      </c>
      <c r="AB642">
        <v>0</v>
      </c>
      <c r="AC642">
        <v>160</v>
      </c>
      <c r="AD642" s="20">
        <v>41058</v>
      </c>
      <c r="AE642">
        <v>160</v>
      </c>
      <c r="AF642">
        <v>0</v>
      </c>
      <c r="AH642">
        <v>0</v>
      </c>
      <c r="AJ642">
        <v>0</v>
      </c>
      <c r="AL642">
        <v>1</v>
      </c>
      <c r="AM642">
        <v>0</v>
      </c>
      <c r="AN642">
        <v>437751</v>
      </c>
      <c r="AO642">
        <v>0</v>
      </c>
      <c r="AP642">
        <v>2740</v>
      </c>
      <c r="AT642">
        <v>0</v>
      </c>
      <c r="AU642" t="s">
        <v>1059</v>
      </c>
      <c r="AW642" t="s">
        <v>1053</v>
      </c>
      <c r="AX642">
        <v>0</v>
      </c>
      <c r="AY642" s="20">
        <v>41044</v>
      </c>
      <c r="BA642" s="20">
        <v>41044</v>
      </c>
      <c r="BB642" t="s">
        <v>1058</v>
      </c>
      <c r="BD642">
        <v>0</v>
      </c>
      <c r="BF642" t="s">
        <v>1043</v>
      </c>
      <c r="BG642" t="s">
        <v>1042</v>
      </c>
      <c r="BH642">
        <v>0</v>
      </c>
      <c r="BI642">
        <v>1</v>
      </c>
      <c r="BJ642">
        <v>0</v>
      </c>
      <c r="BK642">
        <v>0</v>
      </c>
      <c r="BM642" t="s">
        <v>1042</v>
      </c>
      <c r="BN642">
        <v>0</v>
      </c>
      <c r="BR642" t="s">
        <v>1043</v>
      </c>
      <c r="BS642" t="s">
        <v>1043</v>
      </c>
      <c r="BT642" t="s">
        <v>1043</v>
      </c>
      <c r="BW642">
        <v>83</v>
      </c>
      <c r="CA642">
        <v>0</v>
      </c>
      <c r="CB642" t="s">
        <v>1057</v>
      </c>
      <c r="CE642" t="s">
        <v>1043</v>
      </c>
      <c r="CH642" t="s">
        <v>1043</v>
      </c>
      <c r="CN642" t="s">
        <v>1074</v>
      </c>
      <c r="CO642" t="s">
        <v>1043</v>
      </c>
      <c r="CP642">
        <v>1</v>
      </c>
      <c r="CQ642">
        <v>0</v>
      </c>
      <c r="CS642">
        <v>0</v>
      </c>
      <c r="CT642">
        <v>0</v>
      </c>
      <c r="CU642">
        <v>0</v>
      </c>
      <c r="CV642" t="s">
        <v>1045</v>
      </c>
      <c r="CW642">
        <v>0</v>
      </c>
      <c r="CX642">
        <v>0</v>
      </c>
      <c r="CY642">
        <v>0</v>
      </c>
      <c r="CZ642">
        <v>0</v>
      </c>
      <c r="DB642">
        <v>0</v>
      </c>
      <c r="DC642" t="s">
        <v>1043</v>
      </c>
      <c r="DF642" t="s">
        <v>1055</v>
      </c>
      <c r="DH642">
        <v>0</v>
      </c>
      <c r="DJ642">
        <v>0</v>
      </c>
      <c r="DK642" t="s">
        <v>1053</v>
      </c>
      <c r="DL642">
        <v>0</v>
      </c>
      <c r="DN642">
        <v>0</v>
      </c>
      <c r="DO642" t="s">
        <v>1042</v>
      </c>
      <c r="DP642">
        <v>0</v>
      </c>
      <c r="DQ642">
        <v>0</v>
      </c>
      <c r="DS642">
        <v>0</v>
      </c>
      <c r="DU642">
        <v>0</v>
      </c>
      <c r="DW642">
        <v>0</v>
      </c>
      <c r="DX642" t="s">
        <v>1043</v>
      </c>
      <c r="DY642">
        <v>0</v>
      </c>
      <c r="DZ642">
        <v>0</v>
      </c>
      <c r="EA642">
        <v>0</v>
      </c>
      <c r="ED642" t="s">
        <v>1045</v>
      </c>
      <c r="EE642">
        <v>0</v>
      </c>
      <c r="EF642">
        <v>0</v>
      </c>
      <c r="EQ642" t="s">
        <v>1044</v>
      </c>
      <c r="ES642" t="s">
        <v>1053</v>
      </c>
      <c r="ET642">
        <v>0</v>
      </c>
      <c r="EV642">
        <v>0</v>
      </c>
      <c r="EY642" t="s">
        <v>1052</v>
      </c>
      <c r="EZ642">
        <v>0</v>
      </c>
      <c r="FA642" t="s">
        <v>1043</v>
      </c>
      <c r="FB642">
        <v>0</v>
      </c>
      <c r="FC642">
        <v>0</v>
      </c>
      <c r="FE642" t="s">
        <v>1050</v>
      </c>
      <c r="FF642">
        <v>0</v>
      </c>
      <c r="FG642" t="s">
        <v>1050</v>
      </c>
      <c r="FJ642">
        <v>0</v>
      </c>
      <c r="FK642">
        <v>0</v>
      </c>
      <c r="FP642">
        <v>0</v>
      </c>
      <c r="FR642">
        <v>0</v>
      </c>
      <c r="FS642" t="s">
        <v>1043</v>
      </c>
      <c r="FX642" t="s">
        <v>1042</v>
      </c>
      <c r="FZ642" t="s">
        <v>1048</v>
      </c>
      <c r="GA642">
        <v>0</v>
      </c>
      <c r="GB642" t="s">
        <v>1042</v>
      </c>
      <c r="GE642">
        <v>0</v>
      </c>
      <c r="GG642">
        <v>0</v>
      </c>
      <c r="GN642">
        <v>0</v>
      </c>
      <c r="GO642" t="s">
        <v>1063</v>
      </c>
      <c r="GQ642">
        <v>0</v>
      </c>
      <c r="GU642">
        <v>0</v>
      </c>
      <c r="GY642" t="s">
        <v>1045</v>
      </c>
      <c r="HB642">
        <v>0</v>
      </c>
      <c r="HE642">
        <v>0</v>
      </c>
      <c r="HF642">
        <v>0</v>
      </c>
      <c r="HG642">
        <v>0</v>
      </c>
      <c r="HK642" t="s">
        <v>1042</v>
      </c>
      <c r="HM642" t="s">
        <v>1047</v>
      </c>
      <c r="HN642">
        <v>0</v>
      </c>
      <c r="HP642">
        <v>0</v>
      </c>
      <c r="HQ642">
        <v>0</v>
      </c>
      <c r="HR642" t="s">
        <v>1042</v>
      </c>
      <c r="HS642" t="s">
        <v>1043</v>
      </c>
      <c r="HT642">
        <v>0</v>
      </c>
      <c r="HU642">
        <v>0</v>
      </c>
      <c r="HW642">
        <v>0</v>
      </c>
      <c r="HX642">
        <v>0</v>
      </c>
      <c r="HY642">
        <v>0</v>
      </c>
      <c r="HZ642" t="s">
        <v>1045</v>
      </c>
      <c r="IA642">
        <v>0</v>
      </c>
      <c r="IB642" t="s">
        <v>1045</v>
      </c>
      <c r="ID642" t="s">
        <v>1045</v>
      </c>
      <c r="IF642">
        <v>0</v>
      </c>
      <c r="IG642" t="s">
        <v>1042</v>
      </c>
      <c r="II642" t="s">
        <v>1042</v>
      </c>
      <c r="IR642" t="s">
        <v>1045</v>
      </c>
      <c r="IT642">
        <v>0</v>
      </c>
      <c r="IY642" t="s">
        <v>1044</v>
      </c>
      <c r="IZ642" t="s">
        <v>1043</v>
      </c>
      <c r="JC642" t="s">
        <v>1043</v>
      </c>
      <c r="JE642">
        <v>0</v>
      </c>
      <c r="JF642">
        <v>0</v>
      </c>
      <c r="JI642" t="s">
        <v>1042</v>
      </c>
      <c r="JJ642">
        <v>0</v>
      </c>
      <c r="JK642">
        <v>0</v>
      </c>
      <c r="JL642">
        <v>0</v>
      </c>
      <c r="JM642">
        <v>0</v>
      </c>
      <c r="JQ642" t="s">
        <v>1043</v>
      </c>
      <c r="JT642">
        <v>0</v>
      </c>
      <c r="JU642" t="s">
        <v>1042</v>
      </c>
      <c r="JW642">
        <v>0</v>
      </c>
      <c r="KA642">
        <v>0</v>
      </c>
      <c r="KF642">
        <v>0</v>
      </c>
      <c r="KG642">
        <v>0</v>
      </c>
      <c r="KH642">
        <v>0</v>
      </c>
      <c r="KI642">
        <v>0</v>
      </c>
      <c r="KJ642" t="s">
        <v>1044</v>
      </c>
      <c r="KS642" t="s">
        <v>1073</v>
      </c>
      <c r="KT642">
        <v>0</v>
      </c>
      <c r="KU642">
        <v>0</v>
      </c>
      <c r="KV642">
        <v>0</v>
      </c>
      <c r="KX642">
        <v>0</v>
      </c>
      <c r="KZ642">
        <v>0</v>
      </c>
      <c r="LF642">
        <v>0</v>
      </c>
      <c r="LH642">
        <v>0</v>
      </c>
      <c r="LI642">
        <v>0</v>
      </c>
    </row>
    <row r="643" spans="1:321" x14ac:dyDescent="0.35">
      <c r="A643">
        <v>1</v>
      </c>
      <c r="B643">
        <v>1436</v>
      </c>
      <c r="C643" t="s">
        <v>1113</v>
      </c>
      <c r="D643" t="s">
        <v>1089</v>
      </c>
      <c r="E643" t="s">
        <v>85</v>
      </c>
      <c r="F643">
        <v>1</v>
      </c>
      <c r="G643">
        <v>8890</v>
      </c>
      <c r="H643">
        <v>0</v>
      </c>
      <c r="I643" t="s">
        <v>994</v>
      </c>
      <c r="M643">
        <v>0</v>
      </c>
      <c r="N643">
        <v>0</v>
      </c>
      <c r="P643">
        <v>77</v>
      </c>
      <c r="Q643">
        <v>902</v>
      </c>
      <c r="R643">
        <v>0</v>
      </c>
      <c r="S643">
        <v>0</v>
      </c>
      <c r="W643" t="s">
        <v>1060</v>
      </c>
      <c r="X643">
        <v>0</v>
      </c>
      <c r="Z643">
        <v>1</v>
      </c>
      <c r="AA643">
        <v>0</v>
      </c>
      <c r="AB643">
        <v>0</v>
      </c>
      <c r="AC643">
        <v>0</v>
      </c>
      <c r="AD643" t="s">
        <v>1042</v>
      </c>
      <c r="AE643">
        <v>0</v>
      </c>
      <c r="AF643">
        <v>0</v>
      </c>
      <c r="AH643">
        <v>0</v>
      </c>
      <c r="AJ643">
        <v>0</v>
      </c>
      <c r="AL643">
        <v>0</v>
      </c>
      <c r="AM643">
        <v>0</v>
      </c>
      <c r="AN643">
        <v>11501008</v>
      </c>
      <c r="AO643">
        <v>0</v>
      </c>
      <c r="AP643">
        <v>1001</v>
      </c>
      <c r="AT643">
        <v>0</v>
      </c>
      <c r="AW643" t="s">
        <v>1053</v>
      </c>
      <c r="AX643">
        <v>0</v>
      </c>
      <c r="AY643" s="20">
        <v>44391</v>
      </c>
      <c r="BA643" s="20">
        <v>44391</v>
      </c>
      <c r="BB643" t="s">
        <v>1058</v>
      </c>
      <c r="BD643">
        <v>0</v>
      </c>
      <c r="BF643" t="s">
        <v>1044</v>
      </c>
      <c r="BG643" t="s">
        <v>1042</v>
      </c>
      <c r="BH643">
        <v>0</v>
      </c>
      <c r="BI643">
        <v>6</v>
      </c>
      <c r="BJ643">
        <v>0</v>
      </c>
      <c r="BK643">
        <v>0</v>
      </c>
      <c r="BM643" t="s">
        <v>1042</v>
      </c>
      <c r="BN643">
        <v>0</v>
      </c>
      <c r="BS643" t="s">
        <v>1043</v>
      </c>
      <c r="BT643" t="s">
        <v>1043</v>
      </c>
      <c r="BW643">
        <v>2</v>
      </c>
      <c r="BY643">
        <v>10</v>
      </c>
      <c r="CA643">
        <v>0</v>
      </c>
      <c r="CB643" t="s">
        <v>1043</v>
      </c>
      <c r="CE643" t="s">
        <v>1043</v>
      </c>
      <c r="CH643" t="s">
        <v>1043</v>
      </c>
      <c r="CN643" t="s">
        <v>1074</v>
      </c>
      <c r="CO643" t="s">
        <v>1043</v>
      </c>
      <c r="CP643">
        <v>1</v>
      </c>
      <c r="CQ643">
        <v>0</v>
      </c>
      <c r="CS643">
        <v>0</v>
      </c>
      <c r="CT643">
        <v>0</v>
      </c>
      <c r="CU643">
        <v>0</v>
      </c>
      <c r="CV643" t="s">
        <v>1045</v>
      </c>
      <c r="CW643">
        <v>0</v>
      </c>
      <c r="CX643">
        <v>0</v>
      </c>
      <c r="CY643">
        <v>0</v>
      </c>
      <c r="CZ643">
        <v>0</v>
      </c>
      <c r="DB643">
        <v>0</v>
      </c>
      <c r="DC643" t="s">
        <v>1043</v>
      </c>
      <c r="DF643" t="s">
        <v>1055</v>
      </c>
      <c r="DH643">
        <v>0</v>
      </c>
      <c r="DJ643">
        <v>0</v>
      </c>
      <c r="DK643" t="s">
        <v>1053</v>
      </c>
      <c r="DL643">
        <v>0</v>
      </c>
      <c r="DN643">
        <v>0</v>
      </c>
      <c r="DO643" t="s">
        <v>1042</v>
      </c>
      <c r="DP643">
        <v>0</v>
      </c>
      <c r="DQ643">
        <v>7</v>
      </c>
      <c r="DS643">
        <v>0</v>
      </c>
      <c r="DU643">
        <v>1</v>
      </c>
      <c r="DW643">
        <v>0</v>
      </c>
      <c r="DX643" t="s">
        <v>1043</v>
      </c>
      <c r="DY643">
        <v>0</v>
      </c>
      <c r="DZ643">
        <v>0</v>
      </c>
      <c r="EA643">
        <v>0</v>
      </c>
      <c r="ED643" t="s">
        <v>1045</v>
      </c>
      <c r="EE643">
        <v>0</v>
      </c>
      <c r="EF643">
        <v>0</v>
      </c>
      <c r="EQ643" t="s">
        <v>1044</v>
      </c>
      <c r="ES643" t="s">
        <v>1053</v>
      </c>
      <c r="ET643">
        <v>0</v>
      </c>
      <c r="EV643">
        <v>0</v>
      </c>
      <c r="EY643" t="s">
        <v>1052</v>
      </c>
      <c r="EZ643">
        <v>0</v>
      </c>
      <c r="FA643" t="s">
        <v>1043</v>
      </c>
      <c r="FB643">
        <v>0</v>
      </c>
      <c r="FC643">
        <v>0</v>
      </c>
      <c r="FE643" t="s">
        <v>1050</v>
      </c>
      <c r="FF643">
        <v>0</v>
      </c>
      <c r="FG643" t="s">
        <v>1050</v>
      </c>
      <c r="FJ643">
        <v>0</v>
      </c>
      <c r="FK643">
        <v>0</v>
      </c>
      <c r="FP643">
        <v>0</v>
      </c>
      <c r="FQ643" t="s">
        <v>1044</v>
      </c>
      <c r="FR643">
        <v>0</v>
      </c>
      <c r="FS643" t="s">
        <v>1043</v>
      </c>
      <c r="FX643" t="s">
        <v>1042</v>
      </c>
      <c r="FZ643" t="s">
        <v>1048</v>
      </c>
      <c r="GA643">
        <v>0</v>
      </c>
      <c r="GB643" t="s">
        <v>1042</v>
      </c>
      <c r="GE643">
        <v>0</v>
      </c>
      <c r="GG643">
        <v>0</v>
      </c>
      <c r="GN643">
        <v>0</v>
      </c>
      <c r="GO643" t="s">
        <v>1063</v>
      </c>
      <c r="GQ643">
        <v>0</v>
      </c>
      <c r="GU643">
        <v>0</v>
      </c>
      <c r="GY643" t="s">
        <v>1045</v>
      </c>
      <c r="HB643">
        <v>0</v>
      </c>
      <c r="HE643">
        <v>0</v>
      </c>
      <c r="HF643">
        <v>0</v>
      </c>
      <c r="HG643">
        <v>0</v>
      </c>
      <c r="HK643" t="s">
        <v>1042</v>
      </c>
      <c r="HM643" t="s">
        <v>1047</v>
      </c>
      <c r="HN643">
        <v>0</v>
      </c>
      <c r="HP643">
        <v>0</v>
      </c>
      <c r="HQ643">
        <v>0</v>
      </c>
      <c r="HR643" t="s">
        <v>1042</v>
      </c>
      <c r="HS643" t="s">
        <v>1043</v>
      </c>
      <c r="HT643">
        <v>0</v>
      </c>
      <c r="HU643">
        <v>0</v>
      </c>
      <c r="HV643" t="s">
        <v>1088</v>
      </c>
      <c r="HW643">
        <v>0</v>
      </c>
      <c r="HX643">
        <v>0</v>
      </c>
      <c r="HY643">
        <v>0</v>
      </c>
      <c r="HZ643" t="s">
        <v>1045</v>
      </c>
      <c r="IA643">
        <v>0</v>
      </c>
      <c r="IB643" t="s">
        <v>1045</v>
      </c>
      <c r="ID643" t="s">
        <v>1045</v>
      </c>
      <c r="IF643">
        <v>0</v>
      </c>
      <c r="IG643" t="s">
        <v>1042</v>
      </c>
      <c r="II643" t="s">
        <v>1042</v>
      </c>
      <c r="IR643" t="s">
        <v>1045</v>
      </c>
      <c r="IT643">
        <v>0</v>
      </c>
      <c r="IY643" t="s">
        <v>1044</v>
      </c>
      <c r="IZ643" t="s">
        <v>1043</v>
      </c>
      <c r="JA643" t="s">
        <v>1043</v>
      </c>
      <c r="JC643" t="s">
        <v>1043</v>
      </c>
      <c r="JE643">
        <v>0</v>
      </c>
      <c r="JF643">
        <v>0</v>
      </c>
      <c r="JI643" t="s">
        <v>1042</v>
      </c>
      <c r="JJ643">
        <v>0</v>
      </c>
      <c r="JK643">
        <v>0</v>
      </c>
      <c r="JL643">
        <v>0</v>
      </c>
      <c r="JM643">
        <v>0</v>
      </c>
      <c r="JQ643" t="s">
        <v>1043</v>
      </c>
      <c r="JT643">
        <v>0</v>
      </c>
      <c r="JU643" t="s">
        <v>1042</v>
      </c>
      <c r="JW643">
        <v>0</v>
      </c>
      <c r="KA643">
        <v>0</v>
      </c>
      <c r="KF643">
        <v>0</v>
      </c>
      <c r="KG643">
        <v>0</v>
      </c>
      <c r="KH643">
        <v>0</v>
      </c>
      <c r="KI643">
        <v>0</v>
      </c>
      <c r="KJ643" t="s">
        <v>1044</v>
      </c>
      <c r="KS643" t="s">
        <v>1073</v>
      </c>
      <c r="KT643">
        <v>0</v>
      </c>
      <c r="KU643">
        <v>0</v>
      </c>
      <c r="KV643">
        <v>0</v>
      </c>
      <c r="KX643">
        <v>0</v>
      </c>
      <c r="KY643" t="s">
        <v>1045</v>
      </c>
      <c r="KZ643">
        <v>0</v>
      </c>
      <c r="LF643">
        <v>0</v>
      </c>
      <c r="LH643">
        <v>0</v>
      </c>
      <c r="LI643">
        <v>0</v>
      </c>
    </row>
    <row r="644" spans="1:321" x14ac:dyDescent="0.35">
      <c r="A644">
        <v>1</v>
      </c>
      <c r="B644">
        <v>1438</v>
      </c>
      <c r="C644" t="s">
        <v>1112</v>
      </c>
      <c r="D644" t="s">
        <v>1089</v>
      </c>
      <c r="E644" t="s">
        <v>85</v>
      </c>
      <c r="F644">
        <v>1</v>
      </c>
      <c r="G644">
        <v>8890</v>
      </c>
      <c r="H644">
        <v>0</v>
      </c>
      <c r="I644" t="s">
        <v>994</v>
      </c>
      <c r="M644">
        <v>0</v>
      </c>
      <c r="N644">
        <v>0</v>
      </c>
      <c r="P644">
        <v>77</v>
      </c>
      <c r="Q644">
        <v>902</v>
      </c>
      <c r="R644">
        <v>0</v>
      </c>
      <c r="S644">
        <v>0</v>
      </c>
      <c r="W644" t="s">
        <v>1060</v>
      </c>
      <c r="X644">
        <v>0</v>
      </c>
      <c r="Z644">
        <v>10</v>
      </c>
      <c r="AA644">
        <v>0</v>
      </c>
      <c r="AB644">
        <v>0</v>
      </c>
      <c r="AC644">
        <v>0</v>
      </c>
      <c r="AD644" t="s">
        <v>1042</v>
      </c>
      <c r="AE644">
        <v>0</v>
      </c>
      <c r="AF644">
        <v>0</v>
      </c>
      <c r="AH644">
        <v>0</v>
      </c>
      <c r="AJ644">
        <v>0</v>
      </c>
      <c r="AL644">
        <v>0</v>
      </c>
      <c r="AM644">
        <v>0</v>
      </c>
      <c r="AN644">
        <v>11501008</v>
      </c>
      <c r="AO644">
        <v>0</v>
      </c>
      <c r="AP644">
        <v>1001</v>
      </c>
      <c r="AT644">
        <v>0</v>
      </c>
      <c r="AW644" t="s">
        <v>1053</v>
      </c>
      <c r="AX644">
        <v>0</v>
      </c>
      <c r="AY644" s="20">
        <v>44391</v>
      </c>
      <c r="BA644" s="20">
        <v>44391</v>
      </c>
      <c r="BB644" t="s">
        <v>1058</v>
      </c>
      <c r="BD644">
        <v>0</v>
      </c>
      <c r="BF644" t="s">
        <v>1044</v>
      </c>
      <c r="BG644" t="s">
        <v>1042</v>
      </c>
      <c r="BH644">
        <v>0</v>
      </c>
      <c r="BI644">
        <v>6</v>
      </c>
      <c r="BJ644">
        <v>0</v>
      </c>
      <c r="BK644">
        <v>0</v>
      </c>
      <c r="BM644" t="s">
        <v>1042</v>
      </c>
      <c r="BN644">
        <v>0</v>
      </c>
      <c r="BS644" t="s">
        <v>1043</v>
      </c>
      <c r="BT644" t="s">
        <v>1043</v>
      </c>
      <c r="BW644">
        <v>2</v>
      </c>
      <c r="BY644">
        <v>10</v>
      </c>
      <c r="CA644">
        <v>0</v>
      </c>
      <c r="CB644" t="s">
        <v>1043</v>
      </c>
      <c r="CE644" t="s">
        <v>1043</v>
      </c>
      <c r="CH644" t="s">
        <v>1043</v>
      </c>
      <c r="CN644" t="s">
        <v>1074</v>
      </c>
      <c r="CO644" t="s">
        <v>1043</v>
      </c>
      <c r="CP644">
        <v>1</v>
      </c>
      <c r="CQ644">
        <v>0</v>
      </c>
      <c r="CS644">
        <v>0</v>
      </c>
      <c r="CT644">
        <v>0</v>
      </c>
      <c r="CU644">
        <v>0</v>
      </c>
      <c r="CV644" t="s">
        <v>1045</v>
      </c>
      <c r="CW644">
        <v>0</v>
      </c>
      <c r="CX644">
        <v>0</v>
      </c>
      <c r="CY644">
        <v>0</v>
      </c>
      <c r="CZ644">
        <v>0</v>
      </c>
      <c r="DB644">
        <v>0</v>
      </c>
      <c r="DC644" t="s">
        <v>1043</v>
      </c>
      <c r="DF644" t="s">
        <v>1055</v>
      </c>
      <c r="DH644">
        <v>0</v>
      </c>
      <c r="DJ644">
        <v>0</v>
      </c>
      <c r="DK644" t="s">
        <v>1053</v>
      </c>
      <c r="DL644">
        <v>0</v>
      </c>
      <c r="DN644">
        <v>0</v>
      </c>
      <c r="DO644" t="s">
        <v>1042</v>
      </c>
      <c r="DP644">
        <v>0</v>
      </c>
      <c r="DQ644">
        <v>7</v>
      </c>
      <c r="DS644">
        <v>0</v>
      </c>
      <c r="DU644">
        <v>1</v>
      </c>
      <c r="DW644">
        <v>0</v>
      </c>
      <c r="DX644" t="s">
        <v>1043</v>
      </c>
      <c r="DY644">
        <v>0</v>
      </c>
      <c r="DZ644">
        <v>0</v>
      </c>
      <c r="EA644">
        <v>0</v>
      </c>
      <c r="ED644" t="s">
        <v>1045</v>
      </c>
      <c r="EE644">
        <v>0</v>
      </c>
      <c r="EF644">
        <v>0</v>
      </c>
      <c r="EQ644" t="s">
        <v>1044</v>
      </c>
      <c r="ES644" t="s">
        <v>1053</v>
      </c>
      <c r="ET644">
        <v>0</v>
      </c>
      <c r="EV644">
        <v>0</v>
      </c>
      <c r="EY644" t="s">
        <v>1052</v>
      </c>
      <c r="EZ644">
        <v>0</v>
      </c>
      <c r="FA644" t="s">
        <v>1043</v>
      </c>
      <c r="FB644">
        <v>0</v>
      </c>
      <c r="FC644">
        <v>0</v>
      </c>
      <c r="FE644" t="s">
        <v>1050</v>
      </c>
      <c r="FF644">
        <v>0</v>
      </c>
      <c r="FG644" t="s">
        <v>1050</v>
      </c>
      <c r="FJ644">
        <v>0</v>
      </c>
      <c r="FK644">
        <v>0</v>
      </c>
      <c r="FP644">
        <v>0</v>
      </c>
      <c r="FQ644" t="s">
        <v>1044</v>
      </c>
      <c r="FR644">
        <v>0</v>
      </c>
      <c r="FS644" t="s">
        <v>1043</v>
      </c>
      <c r="FX644" t="s">
        <v>1042</v>
      </c>
      <c r="FZ644" t="s">
        <v>1048</v>
      </c>
      <c r="GA644">
        <v>0</v>
      </c>
      <c r="GB644" t="s">
        <v>1042</v>
      </c>
      <c r="GE644">
        <v>0</v>
      </c>
      <c r="GG644">
        <v>0</v>
      </c>
      <c r="GN644">
        <v>0</v>
      </c>
      <c r="GO644" t="s">
        <v>1063</v>
      </c>
      <c r="GQ644">
        <v>0</v>
      </c>
      <c r="GU644">
        <v>0</v>
      </c>
      <c r="GY644" t="s">
        <v>1045</v>
      </c>
      <c r="HB644">
        <v>0</v>
      </c>
      <c r="HE644">
        <v>0</v>
      </c>
      <c r="HF644">
        <v>0</v>
      </c>
      <c r="HG644">
        <v>0</v>
      </c>
      <c r="HK644" t="s">
        <v>1042</v>
      </c>
      <c r="HM644" t="s">
        <v>1047</v>
      </c>
      <c r="HN644">
        <v>0</v>
      </c>
      <c r="HP644">
        <v>0</v>
      </c>
      <c r="HQ644">
        <v>0</v>
      </c>
      <c r="HR644" t="s">
        <v>1042</v>
      </c>
      <c r="HS644" t="s">
        <v>1043</v>
      </c>
      <c r="HT644">
        <v>0</v>
      </c>
      <c r="HU644">
        <v>0</v>
      </c>
      <c r="HV644" t="s">
        <v>1088</v>
      </c>
      <c r="HW644">
        <v>0</v>
      </c>
      <c r="HX644">
        <v>0</v>
      </c>
      <c r="HY644">
        <v>0</v>
      </c>
      <c r="HZ644" t="s">
        <v>1045</v>
      </c>
      <c r="IA644">
        <v>0</v>
      </c>
      <c r="IB644" t="s">
        <v>1045</v>
      </c>
      <c r="ID644" t="s">
        <v>1045</v>
      </c>
      <c r="IF644">
        <v>0</v>
      </c>
      <c r="IG644" t="s">
        <v>1042</v>
      </c>
      <c r="II644" t="s">
        <v>1042</v>
      </c>
      <c r="IR644" t="s">
        <v>1045</v>
      </c>
      <c r="IT644">
        <v>0</v>
      </c>
      <c r="IY644" t="s">
        <v>1044</v>
      </c>
      <c r="IZ644" t="s">
        <v>1043</v>
      </c>
      <c r="JA644" t="s">
        <v>1043</v>
      </c>
      <c r="JC644" t="s">
        <v>1043</v>
      </c>
      <c r="JE644">
        <v>0</v>
      </c>
      <c r="JF644">
        <v>0</v>
      </c>
      <c r="JI644" t="s">
        <v>1042</v>
      </c>
      <c r="JJ644">
        <v>0</v>
      </c>
      <c r="JK644">
        <v>0</v>
      </c>
      <c r="JL644">
        <v>0</v>
      </c>
      <c r="JM644">
        <v>0</v>
      </c>
      <c r="JQ644" t="s">
        <v>1043</v>
      </c>
      <c r="JT644">
        <v>0</v>
      </c>
      <c r="JU644" t="s">
        <v>1042</v>
      </c>
      <c r="JW644">
        <v>0</v>
      </c>
      <c r="KA644">
        <v>0</v>
      </c>
      <c r="KF644">
        <v>0</v>
      </c>
      <c r="KG644">
        <v>0</v>
      </c>
      <c r="KH644">
        <v>0</v>
      </c>
      <c r="KI644">
        <v>0</v>
      </c>
      <c r="KJ644" t="s">
        <v>1044</v>
      </c>
      <c r="KS644" t="s">
        <v>1073</v>
      </c>
      <c r="KT644">
        <v>0</v>
      </c>
      <c r="KU644">
        <v>0</v>
      </c>
      <c r="KV644">
        <v>0</v>
      </c>
      <c r="KX644">
        <v>0</v>
      </c>
      <c r="KY644" t="s">
        <v>1045</v>
      </c>
      <c r="KZ644">
        <v>0</v>
      </c>
      <c r="LF644">
        <v>0</v>
      </c>
      <c r="LH644">
        <v>0</v>
      </c>
      <c r="LI644">
        <v>0</v>
      </c>
    </row>
    <row r="645" spans="1:321" x14ac:dyDescent="0.35">
      <c r="A645">
        <v>1</v>
      </c>
      <c r="B645">
        <v>1439</v>
      </c>
      <c r="C645" t="s">
        <v>1111</v>
      </c>
      <c r="D645" t="s">
        <v>1089</v>
      </c>
      <c r="E645" t="s">
        <v>85</v>
      </c>
      <c r="F645">
        <v>1</v>
      </c>
      <c r="G645">
        <v>8890</v>
      </c>
      <c r="H645">
        <v>0</v>
      </c>
      <c r="I645" t="s">
        <v>994</v>
      </c>
      <c r="M645">
        <v>0</v>
      </c>
      <c r="N645">
        <v>0</v>
      </c>
      <c r="P645">
        <v>77</v>
      </c>
      <c r="Q645">
        <v>902</v>
      </c>
      <c r="R645">
        <v>0</v>
      </c>
      <c r="S645">
        <v>0</v>
      </c>
      <c r="W645" t="s">
        <v>1060</v>
      </c>
      <c r="X645">
        <v>0</v>
      </c>
      <c r="Z645">
        <v>10</v>
      </c>
      <c r="AA645">
        <v>0</v>
      </c>
      <c r="AB645">
        <v>0</v>
      </c>
      <c r="AC645">
        <v>0</v>
      </c>
      <c r="AD645" t="s">
        <v>1042</v>
      </c>
      <c r="AE645">
        <v>0</v>
      </c>
      <c r="AF645">
        <v>0</v>
      </c>
      <c r="AH645">
        <v>0</v>
      </c>
      <c r="AJ645">
        <v>0</v>
      </c>
      <c r="AL645">
        <v>0</v>
      </c>
      <c r="AM645">
        <v>0</v>
      </c>
      <c r="AN645">
        <v>11501008</v>
      </c>
      <c r="AO645">
        <v>0</v>
      </c>
      <c r="AP645">
        <v>1001</v>
      </c>
      <c r="AT645">
        <v>0</v>
      </c>
      <c r="AW645" t="s">
        <v>1053</v>
      </c>
      <c r="AX645">
        <v>0</v>
      </c>
      <c r="AY645" s="20">
        <v>44391</v>
      </c>
      <c r="BA645" s="20">
        <v>44391</v>
      </c>
      <c r="BB645" t="s">
        <v>1058</v>
      </c>
      <c r="BD645">
        <v>0</v>
      </c>
      <c r="BF645" t="s">
        <v>1044</v>
      </c>
      <c r="BG645" t="s">
        <v>1042</v>
      </c>
      <c r="BH645">
        <v>0</v>
      </c>
      <c r="BI645">
        <v>6</v>
      </c>
      <c r="BJ645">
        <v>0</v>
      </c>
      <c r="BK645">
        <v>0</v>
      </c>
      <c r="BM645" t="s">
        <v>1042</v>
      </c>
      <c r="BN645">
        <v>0</v>
      </c>
      <c r="BS645" t="s">
        <v>1043</v>
      </c>
      <c r="BT645" t="s">
        <v>1043</v>
      </c>
      <c r="BW645">
        <v>2</v>
      </c>
      <c r="BY645">
        <v>10</v>
      </c>
      <c r="CA645">
        <v>0</v>
      </c>
      <c r="CB645" t="s">
        <v>1043</v>
      </c>
      <c r="CE645" t="s">
        <v>1043</v>
      </c>
      <c r="CH645" t="s">
        <v>1043</v>
      </c>
      <c r="CN645" t="s">
        <v>1074</v>
      </c>
      <c r="CO645" t="s">
        <v>1043</v>
      </c>
      <c r="CP645">
        <v>1</v>
      </c>
      <c r="CQ645">
        <v>0</v>
      </c>
      <c r="CS645">
        <v>0</v>
      </c>
      <c r="CT645">
        <v>0</v>
      </c>
      <c r="CU645">
        <v>0</v>
      </c>
      <c r="CV645" t="s">
        <v>1045</v>
      </c>
      <c r="CW645">
        <v>0</v>
      </c>
      <c r="CX645">
        <v>0</v>
      </c>
      <c r="CY645">
        <v>0</v>
      </c>
      <c r="CZ645">
        <v>0</v>
      </c>
      <c r="DB645">
        <v>0</v>
      </c>
      <c r="DC645" t="s">
        <v>1043</v>
      </c>
      <c r="DF645" t="s">
        <v>1055</v>
      </c>
      <c r="DH645">
        <v>0</v>
      </c>
      <c r="DJ645">
        <v>0</v>
      </c>
      <c r="DK645" t="s">
        <v>1053</v>
      </c>
      <c r="DL645">
        <v>0</v>
      </c>
      <c r="DN645">
        <v>0</v>
      </c>
      <c r="DO645" t="s">
        <v>1042</v>
      </c>
      <c r="DP645">
        <v>0</v>
      </c>
      <c r="DQ645">
        <v>7</v>
      </c>
      <c r="DS645">
        <v>0</v>
      </c>
      <c r="DU645">
        <v>1</v>
      </c>
      <c r="DW645">
        <v>0</v>
      </c>
      <c r="DX645" t="s">
        <v>1043</v>
      </c>
      <c r="DY645">
        <v>0</v>
      </c>
      <c r="DZ645">
        <v>0</v>
      </c>
      <c r="EA645">
        <v>0</v>
      </c>
      <c r="ED645" t="s">
        <v>1045</v>
      </c>
      <c r="EE645">
        <v>0</v>
      </c>
      <c r="EF645">
        <v>0</v>
      </c>
      <c r="EQ645" t="s">
        <v>1044</v>
      </c>
      <c r="ES645" t="s">
        <v>1053</v>
      </c>
      <c r="ET645">
        <v>0</v>
      </c>
      <c r="EV645">
        <v>0</v>
      </c>
      <c r="EY645" t="s">
        <v>1052</v>
      </c>
      <c r="EZ645">
        <v>0</v>
      </c>
      <c r="FA645" t="s">
        <v>1043</v>
      </c>
      <c r="FB645">
        <v>0</v>
      </c>
      <c r="FC645">
        <v>0</v>
      </c>
      <c r="FE645" t="s">
        <v>1050</v>
      </c>
      <c r="FF645">
        <v>0</v>
      </c>
      <c r="FG645" t="s">
        <v>1050</v>
      </c>
      <c r="FJ645">
        <v>0</v>
      </c>
      <c r="FK645">
        <v>0</v>
      </c>
      <c r="FP645">
        <v>0</v>
      </c>
      <c r="FQ645" t="s">
        <v>1044</v>
      </c>
      <c r="FR645">
        <v>0</v>
      </c>
      <c r="FS645" t="s">
        <v>1043</v>
      </c>
      <c r="FX645" t="s">
        <v>1042</v>
      </c>
      <c r="FZ645" t="s">
        <v>1048</v>
      </c>
      <c r="GA645">
        <v>0</v>
      </c>
      <c r="GB645" t="s">
        <v>1042</v>
      </c>
      <c r="GE645">
        <v>0</v>
      </c>
      <c r="GG645">
        <v>0</v>
      </c>
      <c r="GN645">
        <v>0</v>
      </c>
      <c r="GO645" t="s">
        <v>1063</v>
      </c>
      <c r="GQ645">
        <v>0</v>
      </c>
      <c r="GU645">
        <v>0</v>
      </c>
      <c r="GY645" t="s">
        <v>1045</v>
      </c>
      <c r="HB645">
        <v>0</v>
      </c>
      <c r="HE645">
        <v>0</v>
      </c>
      <c r="HF645">
        <v>0</v>
      </c>
      <c r="HG645">
        <v>0</v>
      </c>
      <c r="HK645" t="s">
        <v>1042</v>
      </c>
      <c r="HM645" t="s">
        <v>1047</v>
      </c>
      <c r="HN645">
        <v>0</v>
      </c>
      <c r="HP645">
        <v>0</v>
      </c>
      <c r="HQ645">
        <v>0</v>
      </c>
      <c r="HR645" t="s">
        <v>1042</v>
      </c>
      <c r="HS645" t="s">
        <v>1043</v>
      </c>
      <c r="HT645">
        <v>0</v>
      </c>
      <c r="HU645">
        <v>0</v>
      </c>
      <c r="HV645" t="s">
        <v>1088</v>
      </c>
      <c r="HW645">
        <v>0</v>
      </c>
      <c r="HX645">
        <v>0</v>
      </c>
      <c r="HY645">
        <v>0</v>
      </c>
      <c r="HZ645" t="s">
        <v>1045</v>
      </c>
      <c r="IA645">
        <v>0</v>
      </c>
      <c r="IB645" t="s">
        <v>1045</v>
      </c>
      <c r="ID645" t="s">
        <v>1045</v>
      </c>
      <c r="IF645">
        <v>0</v>
      </c>
      <c r="IG645" t="s">
        <v>1042</v>
      </c>
      <c r="II645" t="s">
        <v>1042</v>
      </c>
      <c r="IR645" t="s">
        <v>1045</v>
      </c>
      <c r="IT645">
        <v>0</v>
      </c>
      <c r="IY645" t="s">
        <v>1044</v>
      </c>
      <c r="IZ645" t="s">
        <v>1043</v>
      </c>
      <c r="JA645" t="s">
        <v>1043</v>
      </c>
      <c r="JC645" t="s">
        <v>1043</v>
      </c>
      <c r="JE645">
        <v>0</v>
      </c>
      <c r="JF645">
        <v>0</v>
      </c>
      <c r="JI645" t="s">
        <v>1042</v>
      </c>
      <c r="JJ645">
        <v>0</v>
      </c>
      <c r="JK645">
        <v>0</v>
      </c>
      <c r="JL645">
        <v>0</v>
      </c>
      <c r="JM645">
        <v>0</v>
      </c>
      <c r="JQ645" t="s">
        <v>1043</v>
      </c>
      <c r="JT645">
        <v>0</v>
      </c>
      <c r="JU645" t="s">
        <v>1042</v>
      </c>
      <c r="JW645">
        <v>0</v>
      </c>
      <c r="KA645">
        <v>0</v>
      </c>
      <c r="KF645">
        <v>0</v>
      </c>
      <c r="KG645">
        <v>0</v>
      </c>
      <c r="KH645">
        <v>0</v>
      </c>
      <c r="KI645">
        <v>0</v>
      </c>
      <c r="KJ645" t="s">
        <v>1044</v>
      </c>
      <c r="KS645" t="s">
        <v>1073</v>
      </c>
      <c r="KT645">
        <v>0</v>
      </c>
      <c r="KU645">
        <v>0</v>
      </c>
      <c r="KV645">
        <v>0</v>
      </c>
      <c r="KX645">
        <v>0</v>
      </c>
      <c r="KY645" t="s">
        <v>1045</v>
      </c>
      <c r="KZ645">
        <v>0</v>
      </c>
      <c r="LF645">
        <v>0</v>
      </c>
      <c r="LH645">
        <v>0</v>
      </c>
      <c r="LI645">
        <v>0</v>
      </c>
    </row>
    <row r="646" spans="1:321" x14ac:dyDescent="0.35">
      <c r="A646">
        <v>1</v>
      </c>
      <c r="B646">
        <v>1440</v>
      </c>
      <c r="C646" t="s">
        <v>1110</v>
      </c>
      <c r="D646" t="s">
        <v>1089</v>
      </c>
      <c r="E646" t="s">
        <v>85</v>
      </c>
      <c r="F646">
        <v>1</v>
      </c>
      <c r="G646">
        <v>8890</v>
      </c>
      <c r="H646">
        <v>0</v>
      </c>
      <c r="I646" t="s">
        <v>994</v>
      </c>
      <c r="M646">
        <v>0</v>
      </c>
      <c r="N646">
        <v>0</v>
      </c>
      <c r="P646">
        <v>77</v>
      </c>
      <c r="Q646">
        <v>902</v>
      </c>
      <c r="R646">
        <v>0</v>
      </c>
      <c r="S646">
        <v>0</v>
      </c>
      <c r="W646" t="s">
        <v>1060</v>
      </c>
      <c r="X646">
        <v>0</v>
      </c>
      <c r="Z646">
        <v>10</v>
      </c>
      <c r="AA646">
        <v>0</v>
      </c>
      <c r="AB646">
        <v>0</v>
      </c>
      <c r="AC646">
        <v>0</v>
      </c>
      <c r="AD646" t="s">
        <v>1042</v>
      </c>
      <c r="AE646">
        <v>0</v>
      </c>
      <c r="AF646">
        <v>0</v>
      </c>
      <c r="AH646">
        <v>0</v>
      </c>
      <c r="AJ646">
        <v>0</v>
      </c>
      <c r="AL646">
        <v>0</v>
      </c>
      <c r="AM646">
        <v>0</v>
      </c>
      <c r="AN646">
        <v>11501008</v>
      </c>
      <c r="AO646">
        <v>0</v>
      </c>
      <c r="AP646">
        <v>1001</v>
      </c>
      <c r="AT646">
        <v>0</v>
      </c>
      <c r="AW646" t="s">
        <v>1053</v>
      </c>
      <c r="AX646">
        <v>0</v>
      </c>
      <c r="AY646" s="20">
        <v>44391</v>
      </c>
      <c r="BA646" s="20">
        <v>44391</v>
      </c>
      <c r="BB646" t="s">
        <v>1058</v>
      </c>
      <c r="BD646">
        <v>0</v>
      </c>
      <c r="BF646" t="s">
        <v>1044</v>
      </c>
      <c r="BG646" t="s">
        <v>1042</v>
      </c>
      <c r="BH646">
        <v>0</v>
      </c>
      <c r="BI646">
        <v>6</v>
      </c>
      <c r="BJ646">
        <v>0</v>
      </c>
      <c r="BK646">
        <v>0</v>
      </c>
      <c r="BM646" t="s">
        <v>1042</v>
      </c>
      <c r="BN646">
        <v>0</v>
      </c>
      <c r="BS646" t="s">
        <v>1043</v>
      </c>
      <c r="BT646" t="s">
        <v>1043</v>
      </c>
      <c r="BW646">
        <v>2</v>
      </c>
      <c r="BY646">
        <v>10</v>
      </c>
      <c r="CA646">
        <v>0</v>
      </c>
      <c r="CB646" t="s">
        <v>1043</v>
      </c>
      <c r="CE646" t="s">
        <v>1043</v>
      </c>
      <c r="CH646" t="s">
        <v>1043</v>
      </c>
      <c r="CN646" t="s">
        <v>1074</v>
      </c>
      <c r="CO646" t="s">
        <v>1043</v>
      </c>
      <c r="CP646">
        <v>1</v>
      </c>
      <c r="CQ646">
        <v>0</v>
      </c>
      <c r="CS646">
        <v>0</v>
      </c>
      <c r="CT646">
        <v>0</v>
      </c>
      <c r="CU646">
        <v>0</v>
      </c>
      <c r="CV646" t="s">
        <v>1045</v>
      </c>
      <c r="CW646">
        <v>0</v>
      </c>
      <c r="CX646">
        <v>0</v>
      </c>
      <c r="CY646">
        <v>0</v>
      </c>
      <c r="CZ646">
        <v>0</v>
      </c>
      <c r="DB646">
        <v>0</v>
      </c>
      <c r="DC646" t="s">
        <v>1043</v>
      </c>
      <c r="DF646" t="s">
        <v>1055</v>
      </c>
      <c r="DH646">
        <v>0</v>
      </c>
      <c r="DJ646">
        <v>0</v>
      </c>
      <c r="DK646" t="s">
        <v>1053</v>
      </c>
      <c r="DL646">
        <v>0</v>
      </c>
      <c r="DN646">
        <v>0</v>
      </c>
      <c r="DO646" t="s">
        <v>1042</v>
      </c>
      <c r="DP646">
        <v>0</v>
      </c>
      <c r="DQ646">
        <v>7</v>
      </c>
      <c r="DS646">
        <v>0</v>
      </c>
      <c r="DU646">
        <v>1</v>
      </c>
      <c r="DW646">
        <v>0</v>
      </c>
      <c r="DX646" t="s">
        <v>1043</v>
      </c>
      <c r="DY646">
        <v>0</v>
      </c>
      <c r="DZ646">
        <v>0</v>
      </c>
      <c r="EA646">
        <v>0</v>
      </c>
      <c r="ED646" t="s">
        <v>1045</v>
      </c>
      <c r="EE646">
        <v>0</v>
      </c>
      <c r="EF646">
        <v>0</v>
      </c>
      <c r="EQ646" t="s">
        <v>1044</v>
      </c>
      <c r="ES646" t="s">
        <v>1053</v>
      </c>
      <c r="ET646">
        <v>0</v>
      </c>
      <c r="EV646">
        <v>0</v>
      </c>
      <c r="EY646" t="s">
        <v>1052</v>
      </c>
      <c r="EZ646">
        <v>0</v>
      </c>
      <c r="FA646" t="s">
        <v>1043</v>
      </c>
      <c r="FB646">
        <v>0</v>
      </c>
      <c r="FC646">
        <v>0</v>
      </c>
      <c r="FE646" t="s">
        <v>1050</v>
      </c>
      <c r="FF646">
        <v>0</v>
      </c>
      <c r="FG646" t="s">
        <v>1050</v>
      </c>
      <c r="FJ646">
        <v>0</v>
      </c>
      <c r="FK646">
        <v>0</v>
      </c>
      <c r="FP646">
        <v>0</v>
      </c>
      <c r="FQ646" t="s">
        <v>1044</v>
      </c>
      <c r="FR646">
        <v>0</v>
      </c>
      <c r="FS646" t="s">
        <v>1043</v>
      </c>
      <c r="FX646" t="s">
        <v>1042</v>
      </c>
      <c r="FZ646" t="s">
        <v>1048</v>
      </c>
      <c r="GA646">
        <v>0</v>
      </c>
      <c r="GB646" t="s">
        <v>1042</v>
      </c>
      <c r="GE646">
        <v>0</v>
      </c>
      <c r="GG646">
        <v>0</v>
      </c>
      <c r="GN646">
        <v>0</v>
      </c>
      <c r="GO646" t="s">
        <v>1063</v>
      </c>
      <c r="GQ646">
        <v>0</v>
      </c>
      <c r="GU646">
        <v>0</v>
      </c>
      <c r="GY646" t="s">
        <v>1045</v>
      </c>
      <c r="HB646">
        <v>0</v>
      </c>
      <c r="HE646">
        <v>0</v>
      </c>
      <c r="HF646">
        <v>0</v>
      </c>
      <c r="HG646">
        <v>0</v>
      </c>
      <c r="HK646" t="s">
        <v>1042</v>
      </c>
      <c r="HM646" t="s">
        <v>1047</v>
      </c>
      <c r="HN646">
        <v>0</v>
      </c>
      <c r="HP646">
        <v>0</v>
      </c>
      <c r="HQ646">
        <v>0</v>
      </c>
      <c r="HR646" t="s">
        <v>1042</v>
      </c>
      <c r="HS646" t="s">
        <v>1043</v>
      </c>
      <c r="HT646">
        <v>0</v>
      </c>
      <c r="HU646">
        <v>0</v>
      </c>
      <c r="HV646" t="s">
        <v>1088</v>
      </c>
      <c r="HW646">
        <v>0</v>
      </c>
      <c r="HX646">
        <v>0</v>
      </c>
      <c r="HY646">
        <v>0</v>
      </c>
      <c r="HZ646" t="s">
        <v>1045</v>
      </c>
      <c r="IA646">
        <v>0</v>
      </c>
      <c r="IB646" t="s">
        <v>1045</v>
      </c>
      <c r="ID646" t="s">
        <v>1045</v>
      </c>
      <c r="IF646">
        <v>0</v>
      </c>
      <c r="IG646" t="s">
        <v>1042</v>
      </c>
      <c r="II646" t="s">
        <v>1042</v>
      </c>
      <c r="IR646" t="s">
        <v>1045</v>
      </c>
      <c r="IT646">
        <v>0</v>
      </c>
      <c r="IY646" t="s">
        <v>1044</v>
      </c>
      <c r="IZ646" t="s">
        <v>1043</v>
      </c>
      <c r="JA646" t="s">
        <v>1043</v>
      </c>
      <c r="JC646" t="s">
        <v>1043</v>
      </c>
      <c r="JE646">
        <v>0</v>
      </c>
      <c r="JF646">
        <v>0</v>
      </c>
      <c r="JI646" t="s">
        <v>1042</v>
      </c>
      <c r="JJ646">
        <v>0</v>
      </c>
      <c r="JK646">
        <v>0</v>
      </c>
      <c r="JL646">
        <v>0</v>
      </c>
      <c r="JM646">
        <v>0</v>
      </c>
      <c r="JQ646" t="s">
        <v>1043</v>
      </c>
      <c r="JT646">
        <v>0</v>
      </c>
      <c r="JU646" t="s">
        <v>1042</v>
      </c>
      <c r="JW646">
        <v>0</v>
      </c>
      <c r="KA646">
        <v>0</v>
      </c>
      <c r="KF646">
        <v>0</v>
      </c>
      <c r="KG646">
        <v>0</v>
      </c>
      <c r="KH646">
        <v>0</v>
      </c>
      <c r="KI646">
        <v>0</v>
      </c>
      <c r="KJ646" t="s">
        <v>1044</v>
      </c>
      <c r="KS646" t="s">
        <v>1073</v>
      </c>
      <c r="KT646">
        <v>0</v>
      </c>
      <c r="KU646">
        <v>0</v>
      </c>
      <c r="KV646">
        <v>0</v>
      </c>
      <c r="KX646">
        <v>0</v>
      </c>
      <c r="KY646" t="s">
        <v>1045</v>
      </c>
      <c r="KZ646">
        <v>0</v>
      </c>
      <c r="LF646">
        <v>0</v>
      </c>
      <c r="LH646">
        <v>0</v>
      </c>
      <c r="LI646">
        <v>0</v>
      </c>
    </row>
    <row r="647" spans="1:321" x14ac:dyDescent="0.35">
      <c r="A647">
        <v>1</v>
      </c>
      <c r="B647">
        <v>1441</v>
      </c>
      <c r="C647" t="s">
        <v>757</v>
      </c>
      <c r="D647" t="s">
        <v>1089</v>
      </c>
      <c r="E647" t="s">
        <v>85</v>
      </c>
      <c r="F647">
        <v>1</v>
      </c>
      <c r="G647">
        <v>200</v>
      </c>
      <c r="H647">
        <v>0</v>
      </c>
      <c r="I647" t="s">
        <v>994</v>
      </c>
      <c r="M647">
        <v>0</v>
      </c>
      <c r="N647">
        <v>0</v>
      </c>
      <c r="P647">
        <v>77</v>
      </c>
      <c r="Q647">
        <v>902</v>
      </c>
      <c r="R647">
        <v>0</v>
      </c>
      <c r="S647">
        <v>0</v>
      </c>
      <c r="W647" t="s">
        <v>1060</v>
      </c>
      <c r="X647">
        <v>0</v>
      </c>
      <c r="Z647">
        <v>10</v>
      </c>
      <c r="AA647">
        <v>60.653700000000001</v>
      </c>
      <c r="AB647">
        <v>1233</v>
      </c>
      <c r="AC647">
        <v>5.5913000000000004</v>
      </c>
      <c r="AD647" s="20">
        <v>44698</v>
      </c>
      <c r="AE647">
        <v>7.1</v>
      </c>
      <c r="AF647">
        <v>0.13500000000000001</v>
      </c>
      <c r="AH647">
        <v>923</v>
      </c>
      <c r="AJ647">
        <v>0</v>
      </c>
      <c r="AL647">
        <v>360</v>
      </c>
      <c r="AM647">
        <v>0</v>
      </c>
      <c r="AN647">
        <v>11501008</v>
      </c>
      <c r="AO647">
        <v>0</v>
      </c>
      <c r="AP647">
        <v>1050</v>
      </c>
      <c r="AT647">
        <v>1</v>
      </c>
      <c r="AU647" t="s">
        <v>1059</v>
      </c>
      <c r="AW647" t="s">
        <v>1053</v>
      </c>
      <c r="AX647">
        <v>5</v>
      </c>
      <c r="AY647" s="20">
        <v>44169</v>
      </c>
      <c r="BA647" s="20">
        <v>43718</v>
      </c>
      <c r="BB647" t="s">
        <v>1058</v>
      </c>
      <c r="BD647">
        <v>0</v>
      </c>
      <c r="BF647" t="s">
        <v>1044</v>
      </c>
      <c r="BG647" s="20">
        <v>42149</v>
      </c>
      <c r="BH647">
        <v>0</v>
      </c>
      <c r="BI647">
        <v>6</v>
      </c>
      <c r="BJ647">
        <v>0</v>
      </c>
      <c r="BK647">
        <v>0</v>
      </c>
      <c r="BM647" s="20">
        <v>42161</v>
      </c>
      <c r="BN647">
        <v>0</v>
      </c>
      <c r="BO647">
        <v>7897801313919</v>
      </c>
      <c r="BS647" t="s">
        <v>1043</v>
      </c>
      <c r="BT647" t="s">
        <v>1043</v>
      </c>
      <c r="BW647">
        <v>2</v>
      </c>
      <c r="BY647">
        <v>10</v>
      </c>
      <c r="CA647">
        <v>0</v>
      </c>
      <c r="CB647" t="s">
        <v>1057</v>
      </c>
      <c r="CE647" t="s">
        <v>1043</v>
      </c>
      <c r="CH647" t="s">
        <v>1043</v>
      </c>
      <c r="CN647" t="s">
        <v>1056</v>
      </c>
      <c r="CO647" t="s">
        <v>1043</v>
      </c>
      <c r="CP647">
        <v>1</v>
      </c>
      <c r="CQ647">
        <v>0</v>
      </c>
      <c r="CS647">
        <v>0</v>
      </c>
      <c r="CT647">
        <v>0</v>
      </c>
      <c r="CU647">
        <v>0</v>
      </c>
      <c r="CV647" t="s">
        <v>1045</v>
      </c>
      <c r="CW647">
        <v>0</v>
      </c>
      <c r="CX647">
        <v>0</v>
      </c>
      <c r="CY647">
        <v>0</v>
      </c>
      <c r="CZ647">
        <v>0</v>
      </c>
      <c r="DA647">
        <v>2</v>
      </c>
      <c r="DB647">
        <v>0</v>
      </c>
      <c r="DC647" t="s">
        <v>1043</v>
      </c>
      <c r="DF647" t="s">
        <v>1055</v>
      </c>
      <c r="DH647">
        <v>0</v>
      </c>
      <c r="DJ647">
        <v>0</v>
      </c>
      <c r="DK647" t="s">
        <v>1053</v>
      </c>
      <c r="DL647">
        <v>0</v>
      </c>
      <c r="DN647">
        <v>0</v>
      </c>
      <c r="DO647" t="s">
        <v>1042</v>
      </c>
      <c r="DP647">
        <v>0</v>
      </c>
      <c r="DQ647">
        <v>7.6</v>
      </c>
      <c r="DS647">
        <v>0</v>
      </c>
      <c r="DU647">
        <v>1.65</v>
      </c>
      <c r="DW647">
        <v>0</v>
      </c>
      <c r="DX647" t="s">
        <v>1043</v>
      </c>
      <c r="DY647">
        <v>0</v>
      </c>
      <c r="DZ647">
        <v>0</v>
      </c>
      <c r="EA647">
        <v>0</v>
      </c>
      <c r="EB647">
        <v>17897801313916</v>
      </c>
      <c r="ED647" t="s">
        <v>1045</v>
      </c>
      <c r="EE647">
        <v>0</v>
      </c>
      <c r="EF647">
        <v>0</v>
      </c>
      <c r="EL647">
        <v>57897801313914</v>
      </c>
      <c r="EN647" t="s">
        <v>1012</v>
      </c>
      <c r="EO647" t="s">
        <v>1044</v>
      </c>
      <c r="EQ647" t="s">
        <v>1044</v>
      </c>
      <c r="ES647" t="s">
        <v>1053</v>
      </c>
      <c r="ET647">
        <v>0</v>
      </c>
      <c r="EV647">
        <v>0</v>
      </c>
      <c r="EY647" t="s">
        <v>1052</v>
      </c>
      <c r="EZ647">
        <v>0</v>
      </c>
      <c r="FA647" t="s">
        <v>1043</v>
      </c>
      <c r="FB647">
        <v>0</v>
      </c>
      <c r="FC647">
        <v>0</v>
      </c>
      <c r="FD647" t="s">
        <v>1051</v>
      </c>
      <c r="FE647" t="s">
        <v>1050</v>
      </c>
      <c r="FF647">
        <v>0</v>
      </c>
      <c r="FG647" t="s">
        <v>1050</v>
      </c>
      <c r="FH647">
        <v>27897801313913</v>
      </c>
      <c r="FJ647">
        <v>0</v>
      </c>
      <c r="FK647">
        <v>0</v>
      </c>
      <c r="FP647">
        <v>0</v>
      </c>
      <c r="FQ647" t="s">
        <v>1044</v>
      </c>
      <c r="FR647">
        <v>0</v>
      </c>
      <c r="FS647" t="s">
        <v>1043</v>
      </c>
      <c r="FX647" t="s">
        <v>1042</v>
      </c>
      <c r="FZ647" t="s">
        <v>1048</v>
      </c>
      <c r="GA647">
        <v>0</v>
      </c>
      <c r="GB647" t="s">
        <v>1042</v>
      </c>
      <c r="GE647">
        <v>0</v>
      </c>
      <c r="GG647">
        <v>0</v>
      </c>
      <c r="GN647">
        <v>0</v>
      </c>
      <c r="GO647" t="s">
        <v>1063</v>
      </c>
      <c r="GQ647">
        <v>0</v>
      </c>
      <c r="GU647">
        <v>0</v>
      </c>
      <c r="GY647" t="s">
        <v>1045</v>
      </c>
      <c r="HB647">
        <v>0</v>
      </c>
      <c r="HE647">
        <v>0</v>
      </c>
      <c r="HF647">
        <v>0</v>
      </c>
      <c r="HG647">
        <v>1.7219999999999999E-2</v>
      </c>
      <c r="HK647" t="s">
        <v>1042</v>
      </c>
      <c r="HL647" t="s">
        <v>1048</v>
      </c>
      <c r="HM647" t="s">
        <v>1047</v>
      </c>
      <c r="HN647">
        <v>0</v>
      </c>
      <c r="HO647">
        <v>17</v>
      </c>
      <c r="HP647">
        <v>0.13500000000000001</v>
      </c>
      <c r="HQ647">
        <v>0</v>
      </c>
      <c r="HR647" s="20">
        <v>44221</v>
      </c>
      <c r="HS647" t="s">
        <v>1043</v>
      </c>
      <c r="HT647">
        <v>0</v>
      </c>
      <c r="HU647">
        <v>0</v>
      </c>
      <c r="HW647">
        <v>0</v>
      </c>
      <c r="HX647">
        <v>2157</v>
      </c>
      <c r="HY647">
        <v>1</v>
      </c>
      <c r="HZ647" t="s">
        <v>1045</v>
      </c>
      <c r="IA647">
        <v>7.1</v>
      </c>
      <c r="IB647" t="s">
        <v>1045</v>
      </c>
      <c r="ID647" t="s">
        <v>1045</v>
      </c>
      <c r="IF647">
        <v>1080</v>
      </c>
      <c r="IG647" s="20">
        <v>42177</v>
      </c>
      <c r="II647" t="s">
        <v>1042</v>
      </c>
      <c r="IR647" t="s">
        <v>1045</v>
      </c>
      <c r="IT647">
        <v>0</v>
      </c>
      <c r="IY647" t="s">
        <v>1044</v>
      </c>
      <c r="IZ647" t="s">
        <v>1043</v>
      </c>
      <c r="JA647" t="s">
        <v>1043</v>
      </c>
      <c r="JC647" t="s">
        <v>1043</v>
      </c>
      <c r="JE647">
        <v>0</v>
      </c>
      <c r="JF647">
        <v>0</v>
      </c>
      <c r="JI647" t="s">
        <v>1042</v>
      </c>
      <c r="JJ647">
        <v>0</v>
      </c>
      <c r="JK647">
        <v>0</v>
      </c>
      <c r="JL647">
        <v>0</v>
      </c>
      <c r="JM647">
        <v>0</v>
      </c>
      <c r="JQ647" t="s">
        <v>1043</v>
      </c>
      <c r="JT647">
        <v>0</v>
      </c>
      <c r="JU647" t="s">
        <v>1042</v>
      </c>
      <c r="JW647">
        <v>0</v>
      </c>
      <c r="KA647">
        <v>0</v>
      </c>
      <c r="KF647">
        <v>0</v>
      </c>
      <c r="KG647">
        <v>0</v>
      </c>
      <c r="KH647">
        <v>0</v>
      </c>
      <c r="KI647">
        <v>0</v>
      </c>
      <c r="KP647" t="s">
        <v>1045</v>
      </c>
      <c r="KS647" t="s">
        <v>1041</v>
      </c>
      <c r="KT647">
        <v>0</v>
      </c>
      <c r="KU647">
        <v>0</v>
      </c>
      <c r="KV647">
        <v>0</v>
      </c>
      <c r="KX647">
        <v>0</v>
      </c>
      <c r="KY647" t="s">
        <v>1045</v>
      </c>
      <c r="KZ647">
        <v>0</v>
      </c>
      <c r="LF647">
        <v>0</v>
      </c>
      <c r="LH647">
        <v>0</v>
      </c>
      <c r="LI647">
        <v>0</v>
      </c>
    </row>
    <row r="648" spans="1:321" x14ac:dyDescent="0.35">
      <c r="A648">
        <v>1</v>
      </c>
      <c r="B648">
        <v>1442</v>
      </c>
      <c r="C648" t="s">
        <v>1109</v>
      </c>
      <c r="D648" t="s">
        <v>1089</v>
      </c>
      <c r="E648" t="s">
        <v>85</v>
      </c>
      <c r="F648">
        <v>1</v>
      </c>
      <c r="G648">
        <v>8890</v>
      </c>
      <c r="H648">
        <v>0</v>
      </c>
      <c r="I648" t="s">
        <v>994</v>
      </c>
      <c r="M648">
        <v>0</v>
      </c>
      <c r="N648">
        <v>0</v>
      </c>
      <c r="P648">
        <v>77</v>
      </c>
      <c r="Q648">
        <v>902</v>
      </c>
      <c r="R648">
        <v>0</v>
      </c>
      <c r="S648">
        <v>0</v>
      </c>
      <c r="W648" t="s">
        <v>1060</v>
      </c>
      <c r="X648">
        <v>0</v>
      </c>
      <c r="Z648">
        <v>1</v>
      </c>
      <c r="AA648">
        <v>0</v>
      </c>
      <c r="AB648">
        <v>0</v>
      </c>
      <c r="AC648">
        <v>0</v>
      </c>
      <c r="AD648" t="s">
        <v>1042</v>
      </c>
      <c r="AE648">
        <v>0</v>
      </c>
      <c r="AF648">
        <v>0</v>
      </c>
      <c r="AH648">
        <v>0</v>
      </c>
      <c r="AJ648">
        <v>0</v>
      </c>
      <c r="AL648">
        <v>0</v>
      </c>
      <c r="AM648">
        <v>0</v>
      </c>
      <c r="AN648">
        <v>11501008</v>
      </c>
      <c r="AO648">
        <v>0</v>
      </c>
      <c r="AP648">
        <v>1001</v>
      </c>
      <c r="AT648">
        <v>0</v>
      </c>
      <c r="AW648" t="s">
        <v>1053</v>
      </c>
      <c r="AX648">
        <v>0</v>
      </c>
      <c r="AY648" s="20">
        <v>44391</v>
      </c>
      <c r="BA648" s="20">
        <v>44391</v>
      </c>
      <c r="BB648" t="s">
        <v>1058</v>
      </c>
      <c r="BD648">
        <v>0</v>
      </c>
      <c r="BF648" t="s">
        <v>1044</v>
      </c>
      <c r="BG648" t="s">
        <v>1042</v>
      </c>
      <c r="BH648">
        <v>0</v>
      </c>
      <c r="BI648">
        <v>6</v>
      </c>
      <c r="BJ648">
        <v>0</v>
      </c>
      <c r="BK648">
        <v>0</v>
      </c>
      <c r="BM648" t="s">
        <v>1042</v>
      </c>
      <c r="BN648">
        <v>0</v>
      </c>
      <c r="BS648" t="s">
        <v>1043</v>
      </c>
      <c r="BT648" t="s">
        <v>1043</v>
      </c>
      <c r="BW648">
        <v>2</v>
      </c>
      <c r="BY648">
        <v>10</v>
      </c>
      <c r="CA648">
        <v>0</v>
      </c>
      <c r="CB648" t="s">
        <v>1043</v>
      </c>
      <c r="CE648" t="s">
        <v>1043</v>
      </c>
      <c r="CH648" t="s">
        <v>1043</v>
      </c>
      <c r="CN648" t="s">
        <v>1074</v>
      </c>
      <c r="CO648" t="s">
        <v>1043</v>
      </c>
      <c r="CP648">
        <v>1</v>
      </c>
      <c r="CQ648">
        <v>0</v>
      </c>
      <c r="CS648">
        <v>0</v>
      </c>
      <c r="CT648">
        <v>0</v>
      </c>
      <c r="CU648">
        <v>0</v>
      </c>
      <c r="CV648" t="s">
        <v>1045</v>
      </c>
      <c r="CW648">
        <v>0</v>
      </c>
      <c r="CX648">
        <v>0</v>
      </c>
      <c r="CY648">
        <v>0</v>
      </c>
      <c r="CZ648">
        <v>0</v>
      </c>
      <c r="DB648">
        <v>0</v>
      </c>
      <c r="DC648" t="s">
        <v>1043</v>
      </c>
      <c r="DF648" t="s">
        <v>1055</v>
      </c>
      <c r="DH648">
        <v>0</v>
      </c>
      <c r="DJ648">
        <v>0</v>
      </c>
      <c r="DK648" t="s">
        <v>1053</v>
      </c>
      <c r="DL648">
        <v>0</v>
      </c>
      <c r="DN648">
        <v>0</v>
      </c>
      <c r="DO648" t="s">
        <v>1042</v>
      </c>
      <c r="DP648">
        <v>0</v>
      </c>
      <c r="DQ648">
        <v>7</v>
      </c>
      <c r="DS648">
        <v>0</v>
      </c>
      <c r="DU648">
        <v>1</v>
      </c>
      <c r="DW648">
        <v>0</v>
      </c>
      <c r="DX648" t="s">
        <v>1043</v>
      </c>
      <c r="DY648">
        <v>0</v>
      </c>
      <c r="DZ648">
        <v>0</v>
      </c>
      <c r="EA648">
        <v>0</v>
      </c>
      <c r="ED648" t="s">
        <v>1045</v>
      </c>
      <c r="EE648">
        <v>0</v>
      </c>
      <c r="EF648">
        <v>0</v>
      </c>
      <c r="EQ648" t="s">
        <v>1044</v>
      </c>
      <c r="ES648" t="s">
        <v>1053</v>
      </c>
      <c r="ET648">
        <v>0</v>
      </c>
      <c r="EV648">
        <v>0</v>
      </c>
      <c r="EY648" t="s">
        <v>1052</v>
      </c>
      <c r="EZ648">
        <v>0</v>
      </c>
      <c r="FA648" t="s">
        <v>1043</v>
      </c>
      <c r="FB648">
        <v>0</v>
      </c>
      <c r="FC648">
        <v>0</v>
      </c>
      <c r="FE648" t="s">
        <v>1050</v>
      </c>
      <c r="FF648">
        <v>0</v>
      </c>
      <c r="FG648" t="s">
        <v>1050</v>
      </c>
      <c r="FJ648">
        <v>0</v>
      </c>
      <c r="FK648">
        <v>0</v>
      </c>
      <c r="FP648">
        <v>0</v>
      </c>
      <c r="FQ648" t="s">
        <v>1044</v>
      </c>
      <c r="FR648">
        <v>0</v>
      </c>
      <c r="FS648" t="s">
        <v>1043</v>
      </c>
      <c r="FX648" t="s">
        <v>1042</v>
      </c>
      <c r="FZ648" t="s">
        <v>1048</v>
      </c>
      <c r="GA648">
        <v>0</v>
      </c>
      <c r="GB648" t="s">
        <v>1042</v>
      </c>
      <c r="GE648">
        <v>0</v>
      </c>
      <c r="GG648">
        <v>0</v>
      </c>
      <c r="GN648">
        <v>0</v>
      </c>
      <c r="GO648" t="s">
        <v>1063</v>
      </c>
      <c r="GQ648">
        <v>0</v>
      </c>
      <c r="GU648">
        <v>0</v>
      </c>
      <c r="GY648" t="s">
        <v>1045</v>
      </c>
      <c r="HB648">
        <v>0</v>
      </c>
      <c r="HE648">
        <v>0</v>
      </c>
      <c r="HF648">
        <v>0</v>
      </c>
      <c r="HG648">
        <v>0</v>
      </c>
      <c r="HK648" t="s">
        <v>1042</v>
      </c>
      <c r="HM648" t="s">
        <v>1047</v>
      </c>
      <c r="HN648">
        <v>0</v>
      </c>
      <c r="HP648">
        <v>0</v>
      </c>
      <c r="HQ648">
        <v>0</v>
      </c>
      <c r="HR648" t="s">
        <v>1042</v>
      </c>
      <c r="HS648" t="s">
        <v>1043</v>
      </c>
      <c r="HT648">
        <v>0</v>
      </c>
      <c r="HU648">
        <v>0</v>
      </c>
      <c r="HV648" t="s">
        <v>1088</v>
      </c>
      <c r="HW648">
        <v>0</v>
      </c>
      <c r="HX648">
        <v>0</v>
      </c>
      <c r="HY648">
        <v>0</v>
      </c>
      <c r="HZ648" t="s">
        <v>1045</v>
      </c>
      <c r="IA648">
        <v>0</v>
      </c>
      <c r="IB648" t="s">
        <v>1045</v>
      </c>
      <c r="ID648" t="s">
        <v>1045</v>
      </c>
      <c r="IF648">
        <v>0</v>
      </c>
      <c r="IG648" t="s">
        <v>1042</v>
      </c>
      <c r="II648" t="s">
        <v>1042</v>
      </c>
      <c r="IR648" t="s">
        <v>1045</v>
      </c>
      <c r="IT648">
        <v>0</v>
      </c>
      <c r="IY648" t="s">
        <v>1044</v>
      </c>
      <c r="IZ648" t="s">
        <v>1043</v>
      </c>
      <c r="JA648" t="s">
        <v>1043</v>
      </c>
      <c r="JC648" t="s">
        <v>1043</v>
      </c>
      <c r="JE648">
        <v>0</v>
      </c>
      <c r="JF648">
        <v>0</v>
      </c>
      <c r="JI648" t="s">
        <v>1042</v>
      </c>
      <c r="JJ648">
        <v>0</v>
      </c>
      <c r="JK648">
        <v>0</v>
      </c>
      <c r="JL648">
        <v>0</v>
      </c>
      <c r="JM648">
        <v>0</v>
      </c>
      <c r="JQ648" t="s">
        <v>1043</v>
      </c>
      <c r="JT648">
        <v>0</v>
      </c>
      <c r="JU648" t="s">
        <v>1042</v>
      </c>
      <c r="JW648">
        <v>0</v>
      </c>
      <c r="KA648">
        <v>0</v>
      </c>
      <c r="KF648">
        <v>0</v>
      </c>
      <c r="KG648">
        <v>0</v>
      </c>
      <c r="KH648">
        <v>0</v>
      </c>
      <c r="KI648">
        <v>0</v>
      </c>
      <c r="KJ648" t="s">
        <v>1044</v>
      </c>
      <c r="KS648" t="s">
        <v>1073</v>
      </c>
      <c r="KT648">
        <v>0</v>
      </c>
      <c r="KU648">
        <v>0</v>
      </c>
      <c r="KV648">
        <v>0</v>
      </c>
      <c r="KX648">
        <v>0</v>
      </c>
      <c r="KY648" t="s">
        <v>1045</v>
      </c>
      <c r="KZ648">
        <v>0</v>
      </c>
      <c r="LF648">
        <v>0</v>
      </c>
      <c r="LH648">
        <v>0</v>
      </c>
      <c r="LI648">
        <v>0</v>
      </c>
    </row>
    <row r="649" spans="1:321" x14ac:dyDescent="0.35">
      <c r="A649">
        <v>1</v>
      </c>
      <c r="B649">
        <v>1444</v>
      </c>
      <c r="C649" t="s">
        <v>1108</v>
      </c>
      <c r="D649" t="s">
        <v>1089</v>
      </c>
      <c r="E649" t="s">
        <v>85</v>
      </c>
      <c r="F649">
        <v>1</v>
      </c>
      <c r="G649">
        <v>8890</v>
      </c>
      <c r="H649">
        <v>0</v>
      </c>
      <c r="I649" t="s">
        <v>994</v>
      </c>
      <c r="M649">
        <v>0</v>
      </c>
      <c r="N649">
        <v>0</v>
      </c>
      <c r="P649">
        <v>77</v>
      </c>
      <c r="Q649">
        <v>902</v>
      </c>
      <c r="R649">
        <v>0</v>
      </c>
      <c r="S649">
        <v>0</v>
      </c>
      <c r="W649" t="s">
        <v>1060</v>
      </c>
      <c r="X649">
        <v>0</v>
      </c>
      <c r="Z649">
        <v>20</v>
      </c>
      <c r="AA649">
        <v>0</v>
      </c>
      <c r="AB649">
        <v>0</v>
      </c>
      <c r="AC649">
        <v>0</v>
      </c>
      <c r="AD649" t="s">
        <v>1042</v>
      </c>
      <c r="AE649">
        <v>0</v>
      </c>
      <c r="AF649">
        <v>0</v>
      </c>
      <c r="AH649">
        <v>0</v>
      </c>
      <c r="AJ649">
        <v>0</v>
      </c>
      <c r="AL649">
        <v>0</v>
      </c>
      <c r="AM649">
        <v>0</v>
      </c>
      <c r="AN649">
        <v>11501008</v>
      </c>
      <c r="AO649">
        <v>0</v>
      </c>
      <c r="AP649">
        <v>1001</v>
      </c>
      <c r="AT649">
        <v>0</v>
      </c>
      <c r="AW649" t="s">
        <v>1053</v>
      </c>
      <c r="AX649">
        <v>0</v>
      </c>
      <c r="AY649" s="20">
        <v>44391</v>
      </c>
      <c r="BA649" s="20">
        <v>44391</v>
      </c>
      <c r="BB649" t="s">
        <v>1058</v>
      </c>
      <c r="BD649">
        <v>0</v>
      </c>
      <c r="BF649" t="s">
        <v>1044</v>
      </c>
      <c r="BG649" t="s">
        <v>1042</v>
      </c>
      <c r="BH649">
        <v>0</v>
      </c>
      <c r="BI649">
        <v>6</v>
      </c>
      <c r="BJ649">
        <v>0</v>
      </c>
      <c r="BK649">
        <v>0</v>
      </c>
      <c r="BM649" t="s">
        <v>1042</v>
      </c>
      <c r="BN649">
        <v>0</v>
      </c>
      <c r="BS649" t="s">
        <v>1043</v>
      </c>
      <c r="BT649" t="s">
        <v>1043</v>
      </c>
      <c r="BW649">
        <v>2</v>
      </c>
      <c r="BY649">
        <v>10</v>
      </c>
      <c r="CA649">
        <v>0</v>
      </c>
      <c r="CB649" t="s">
        <v>1043</v>
      </c>
      <c r="CE649" t="s">
        <v>1043</v>
      </c>
      <c r="CH649" t="s">
        <v>1043</v>
      </c>
      <c r="CN649" t="s">
        <v>1074</v>
      </c>
      <c r="CO649" t="s">
        <v>1043</v>
      </c>
      <c r="CP649">
        <v>1</v>
      </c>
      <c r="CQ649">
        <v>0</v>
      </c>
      <c r="CS649">
        <v>0</v>
      </c>
      <c r="CT649">
        <v>0</v>
      </c>
      <c r="CU649">
        <v>0</v>
      </c>
      <c r="CV649" t="s">
        <v>1045</v>
      </c>
      <c r="CW649">
        <v>0</v>
      </c>
      <c r="CX649">
        <v>0</v>
      </c>
      <c r="CY649">
        <v>0</v>
      </c>
      <c r="CZ649">
        <v>0</v>
      </c>
      <c r="DB649">
        <v>0</v>
      </c>
      <c r="DC649" t="s">
        <v>1043</v>
      </c>
      <c r="DF649" t="s">
        <v>1055</v>
      </c>
      <c r="DH649">
        <v>0</v>
      </c>
      <c r="DJ649">
        <v>0</v>
      </c>
      <c r="DK649" t="s">
        <v>1053</v>
      </c>
      <c r="DL649">
        <v>0</v>
      </c>
      <c r="DN649">
        <v>0</v>
      </c>
      <c r="DO649" t="s">
        <v>1042</v>
      </c>
      <c r="DP649">
        <v>0</v>
      </c>
      <c r="DQ649">
        <v>7</v>
      </c>
      <c r="DS649">
        <v>0</v>
      </c>
      <c r="DU649">
        <v>1</v>
      </c>
      <c r="DW649">
        <v>0</v>
      </c>
      <c r="DX649" t="s">
        <v>1043</v>
      </c>
      <c r="DY649">
        <v>0</v>
      </c>
      <c r="DZ649">
        <v>0</v>
      </c>
      <c r="EA649">
        <v>0</v>
      </c>
      <c r="ED649" t="s">
        <v>1045</v>
      </c>
      <c r="EE649">
        <v>0</v>
      </c>
      <c r="EF649">
        <v>0</v>
      </c>
      <c r="EQ649" t="s">
        <v>1044</v>
      </c>
      <c r="ES649" t="s">
        <v>1053</v>
      </c>
      <c r="ET649">
        <v>0</v>
      </c>
      <c r="EV649">
        <v>0</v>
      </c>
      <c r="EY649" t="s">
        <v>1052</v>
      </c>
      <c r="EZ649">
        <v>0</v>
      </c>
      <c r="FA649" t="s">
        <v>1043</v>
      </c>
      <c r="FB649">
        <v>0</v>
      </c>
      <c r="FC649">
        <v>0</v>
      </c>
      <c r="FE649" t="s">
        <v>1050</v>
      </c>
      <c r="FF649">
        <v>0</v>
      </c>
      <c r="FG649" t="s">
        <v>1050</v>
      </c>
      <c r="FJ649">
        <v>0</v>
      </c>
      <c r="FK649">
        <v>0</v>
      </c>
      <c r="FP649">
        <v>0</v>
      </c>
      <c r="FQ649" t="s">
        <v>1044</v>
      </c>
      <c r="FR649">
        <v>0</v>
      </c>
      <c r="FS649" t="s">
        <v>1043</v>
      </c>
      <c r="FX649" t="s">
        <v>1042</v>
      </c>
      <c r="FZ649" t="s">
        <v>1048</v>
      </c>
      <c r="GA649">
        <v>0</v>
      </c>
      <c r="GB649" t="s">
        <v>1042</v>
      </c>
      <c r="GE649">
        <v>0</v>
      </c>
      <c r="GG649">
        <v>0</v>
      </c>
      <c r="GN649">
        <v>0</v>
      </c>
      <c r="GO649" t="s">
        <v>1063</v>
      </c>
      <c r="GQ649">
        <v>0</v>
      </c>
      <c r="GU649">
        <v>0</v>
      </c>
      <c r="GY649" t="s">
        <v>1045</v>
      </c>
      <c r="HB649">
        <v>0</v>
      </c>
      <c r="HE649">
        <v>0</v>
      </c>
      <c r="HF649">
        <v>0</v>
      </c>
      <c r="HG649">
        <v>0</v>
      </c>
      <c r="HK649" t="s">
        <v>1042</v>
      </c>
      <c r="HM649" t="s">
        <v>1047</v>
      </c>
      <c r="HN649">
        <v>0</v>
      </c>
      <c r="HP649">
        <v>0</v>
      </c>
      <c r="HQ649">
        <v>0</v>
      </c>
      <c r="HR649" t="s">
        <v>1042</v>
      </c>
      <c r="HS649" t="s">
        <v>1043</v>
      </c>
      <c r="HT649">
        <v>0</v>
      </c>
      <c r="HU649">
        <v>0</v>
      </c>
      <c r="HV649" t="s">
        <v>1088</v>
      </c>
      <c r="HW649">
        <v>0</v>
      </c>
      <c r="HX649">
        <v>0</v>
      </c>
      <c r="HY649">
        <v>0</v>
      </c>
      <c r="HZ649" t="s">
        <v>1045</v>
      </c>
      <c r="IA649">
        <v>0</v>
      </c>
      <c r="IB649" t="s">
        <v>1045</v>
      </c>
      <c r="ID649" t="s">
        <v>1045</v>
      </c>
      <c r="IF649">
        <v>0</v>
      </c>
      <c r="IG649" t="s">
        <v>1042</v>
      </c>
      <c r="II649" t="s">
        <v>1042</v>
      </c>
      <c r="IR649" t="s">
        <v>1045</v>
      </c>
      <c r="IT649">
        <v>0</v>
      </c>
      <c r="IY649" t="s">
        <v>1044</v>
      </c>
      <c r="IZ649" t="s">
        <v>1043</v>
      </c>
      <c r="JA649" t="s">
        <v>1043</v>
      </c>
      <c r="JC649" t="s">
        <v>1043</v>
      </c>
      <c r="JE649">
        <v>0</v>
      </c>
      <c r="JF649">
        <v>0</v>
      </c>
      <c r="JI649" t="s">
        <v>1042</v>
      </c>
      <c r="JJ649">
        <v>0</v>
      </c>
      <c r="JK649">
        <v>0</v>
      </c>
      <c r="JL649">
        <v>0</v>
      </c>
      <c r="JM649">
        <v>0</v>
      </c>
      <c r="JQ649" t="s">
        <v>1043</v>
      </c>
      <c r="JT649">
        <v>0</v>
      </c>
      <c r="JU649" t="s">
        <v>1042</v>
      </c>
      <c r="JW649">
        <v>0</v>
      </c>
      <c r="KA649">
        <v>0</v>
      </c>
      <c r="KF649">
        <v>0</v>
      </c>
      <c r="KG649">
        <v>0</v>
      </c>
      <c r="KH649">
        <v>0</v>
      </c>
      <c r="KI649">
        <v>0</v>
      </c>
      <c r="KJ649" t="s">
        <v>1044</v>
      </c>
      <c r="KS649" t="s">
        <v>1073</v>
      </c>
      <c r="KT649">
        <v>0</v>
      </c>
      <c r="KU649">
        <v>0</v>
      </c>
      <c r="KV649">
        <v>0</v>
      </c>
      <c r="KX649">
        <v>0</v>
      </c>
      <c r="KY649" t="s">
        <v>1045</v>
      </c>
      <c r="KZ649">
        <v>0</v>
      </c>
      <c r="LF649">
        <v>0</v>
      </c>
      <c r="LH649">
        <v>0</v>
      </c>
      <c r="LI649">
        <v>0</v>
      </c>
    </row>
    <row r="650" spans="1:321" x14ac:dyDescent="0.35">
      <c r="A650">
        <v>1</v>
      </c>
      <c r="B650">
        <v>1445</v>
      </c>
      <c r="C650" t="s">
        <v>1107</v>
      </c>
      <c r="D650" t="s">
        <v>1089</v>
      </c>
      <c r="E650" t="s">
        <v>85</v>
      </c>
      <c r="F650">
        <v>1</v>
      </c>
      <c r="G650">
        <v>8890</v>
      </c>
      <c r="H650">
        <v>0</v>
      </c>
      <c r="I650" t="s">
        <v>994</v>
      </c>
      <c r="M650">
        <v>0</v>
      </c>
      <c r="N650">
        <v>0</v>
      </c>
      <c r="P650">
        <v>77</v>
      </c>
      <c r="Q650">
        <v>902</v>
      </c>
      <c r="R650">
        <v>0</v>
      </c>
      <c r="S650">
        <v>0</v>
      </c>
      <c r="W650" t="s">
        <v>1060</v>
      </c>
      <c r="X650">
        <v>0</v>
      </c>
      <c r="Z650">
        <v>20</v>
      </c>
      <c r="AA650">
        <v>0</v>
      </c>
      <c r="AB650">
        <v>0</v>
      </c>
      <c r="AC650">
        <v>0</v>
      </c>
      <c r="AD650" t="s">
        <v>1042</v>
      </c>
      <c r="AE650">
        <v>0</v>
      </c>
      <c r="AF650">
        <v>0</v>
      </c>
      <c r="AH650">
        <v>0</v>
      </c>
      <c r="AJ650">
        <v>0</v>
      </c>
      <c r="AL650">
        <v>0</v>
      </c>
      <c r="AM650">
        <v>0</v>
      </c>
      <c r="AN650">
        <v>11501008</v>
      </c>
      <c r="AO650">
        <v>0</v>
      </c>
      <c r="AP650">
        <v>1001</v>
      </c>
      <c r="AT650">
        <v>0</v>
      </c>
      <c r="AW650" t="s">
        <v>1053</v>
      </c>
      <c r="AX650">
        <v>0</v>
      </c>
      <c r="AY650" s="20">
        <v>44391</v>
      </c>
      <c r="BA650" s="20">
        <v>44391</v>
      </c>
      <c r="BB650" t="s">
        <v>1058</v>
      </c>
      <c r="BD650">
        <v>0</v>
      </c>
      <c r="BF650" t="s">
        <v>1044</v>
      </c>
      <c r="BG650" t="s">
        <v>1042</v>
      </c>
      <c r="BH650">
        <v>0</v>
      </c>
      <c r="BI650">
        <v>6</v>
      </c>
      <c r="BJ650">
        <v>0</v>
      </c>
      <c r="BK650">
        <v>0</v>
      </c>
      <c r="BM650" t="s">
        <v>1042</v>
      </c>
      <c r="BN650">
        <v>0</v>
      </c>
      <c r="BS650" t="s">
        <v>1043</v>
      </c>
      <c r="BT650" t="s">
        <v>1043</v>
      </c>
      <c r="BW650">
        <v>2</v>
      </c>
      <c r="BY650">
        <v>10</v>
      </c>
      <c r="CA650">
        <v>0</v>
      </c>
      <c r="CB650" t="s">
        <v>1043</v>
      </c>
      <c r="CE650" t="s">
        <v>1043</v>
      </c>
      <c r="CH650" t="s">
        <v>1043</v>
      </c>
      <c r="CN650" t="s">
        <v>1074</v>
      </c>
      <c r="CO650" t="s">
        <v>1043</v>
      </c>
      <c r="CP650">
        <v>1</v>
      </c>
      <c r="CQ650">
        <v>0</v>
      </c>
      <c r="CS650">
        <v>0</v>
      </c>
      <c r="CT650">
        <v>0</v>
      </c>
      <c r="CU650">
        <v>0</v>
      </c>
      <c r="CV650" t="s">
        <v>1045</v>
      </c>
      <c r="CW650">
        <v>0</v>
      </c>
      <c r="CX650">
        <v>0</v>
      </c>
      <c r="CY650">
        <v>0</v>
      </c>
      <c r="CZ650">
        <v>0</v>
      </c>
      <c r="DB650">
        <v>0</v>
      </c>
      <c r="DC650" t="s">
        <v>1043</v>
      </c>
      <c r="DF650" t="s">
        <v>1055</v>
      </c>
      <c r="DH650">
        <v>0</v>
      </c>
      <c r="DJ650">
        <v>0</v>
      </c>
      <c r="DK650" t="s">
        <v>1053</v>
      </c>
      <c r="DL650">
        <v>0</v>
      </c>
      <c r="DN650">
        <v>0</v>
      </c>
      <c r="DO650" t="s">
        <v>1042</v>
      </c>
      <c r="DP650">
        <v>0</v>
      </c>
      <c r="DQ650">
        <v>7</v>
      </c>
      <c r="DS650">
        <v>0</v>
      </c>
      <c r="DU650">
        <v>1</v>
      </c>
      <c r="DW650">
        <v>0</v>
      </c>
      <c r="DX650" t="s">
        <v>1043</v>
      </c>
      <c r="DY650">
        <v>0</v>
      </c>
      <c r="DZ650">
        <v>0</v>
      </c>
      <c r="EA650">
        <v>0</v>
      </c>
      <c r="ED650" t="s">
        <v>1045</v>
      </c>
      <c r="EE650">
        <v>0</v>
      </c>
      <c r="EF650">
        <v>0</v>
      </c>
      <c r="EQ650" t="s">
        <v>1044</v>
      </c>
      <c r="ES650" t="s">
        <v>1053</v>
      </c>
      <c r="ET650">
        <v>0</v>
      </c>
      <c r="EV650">
        <v>0</v>
      </c>
      <c r="EY650" t="s">
        <v>1052</v>
      </c>
      <c r="EZ650">
        <v>0</v>
      </c>
      <c r="FA650" t="s">
        <v>1043</v>
      </c>
      <c r="FB650">
        <v>0</v>
      </c>
      <c r="FC650">
        <v>0</v>
      </c>
      <c r="FE650" t="s">
        <v>1050</v>
      </c>
      <c r="FF650">
        <v>0</v>
      </c>
      <c r="FG650" t="s">
        <v>1050</v>
      </c>
      <c r="FJ650">
        <v>0</v>
      </c>
      <c r="FK650">
        <v>0</v>
      </c>
      <c r="FP650">
        <v>0</v>
      </c>
      <c r="FQ650" t="s">
        <v>1044</v>
      </c>
      <c r="FR650">
        <v>0</v>
      </c>
      <c r="FS650" t="s">
        <v>1043</v>
      </c>
      <c r="FX650" t="s">
        <v>1042</v>
      </c>
      <c r="FZ650" t="s">
        <v>1048</v>
      </c>
      <c r="GA650">
        <v>0</v>
      </c>
      <c r="GB650" t="s">
        <v>1042</v>
      </c>
      <c r="GE650">
        <v>0</v>
      </c>
      <c r="GG650">
        <v>0</v>
      </c>
      <c r="GN650">
        <v>0</v>
      </c>
      <c r="GO650" t="s">
        <v>1063</v>
      </c>
      <c r="GQ650">
        <v>0</v>
      </c>
      <c r="GU650">
        <v>0</v>
      </c>
      <c r="GY650" t="s">
        <v>1045</v>
      </c>
      <c r="HB650">
        <v>0</v>
      </c>
      <c r="HE650">
        <v>0</v>
      </c>
      <c r="HF650">
        <v>0</v>
      </c>
      <c r="HG650">
        <v>0</v>
      </c>
      <c r="HK650" t="s">
        <v>1042</v>
      </c>
      <c r="HM650" t="s">
        <v>1047</v>
      </c>
      <c r="HN650">
        <v>0</v>
      </c>
      <c r="HP650">
        <v>0</v>
      </c>
      <c r="HQ650">
        <v>0</v>
      </c>
      <c r="HR650" t="s">
        <v>1042</v>
      </c>
      <c r="HS650" t="s">
        <v>1043</v>
      </c>
      <c r="HT650">
        <v>0</v>
      </c>
      <c r="HU650">
        <v>0</v>
      </c>
      <c r="HV650" t="s">
        <v>1088</v>
      </c>
      <c r="HW650">
        <v>0</v>
      </c>
      <c r="HX650">
        <v>0</v>
      </c>
      <c r="HY650">
        <v>0</v>
      </c>
      <c r="HZ650" t="s">
        <v>1045</v>
      </c>
      <c r="IA650">
        <v>0</v>
      </c>
      <c r="IB650" t="s">
        <v>1045</v>
      </c>
      <c r="ID650" t="s">
        <v>1045</v>
      </c>
      <c r="IF650">
        <v>0</v>
      </c>
      <c r="IG650" t="s">
        <v>1042</v>
      </c>
      <c r="II650" t="s">
        <v>1042</v>
      </c>
      <c r="IR650" t="s">
        <v>1045</v>
      </c>
      <c r="IT650">
        <v>0</v>
      </c>
      <c r="IY650" t="s">
        <v>1044</v>
      </c>
      <c r="IZ650" t="s">
        <v>1043</v>
      </c>
      <c r="JA650" t="s">
        <v>1043</v>
      </c>
      <c r="JC650" t="s">
        <v>1043</v>
      </c>
      <c r="JE650">
        <v>0</v>
      </c>
      <c r="JF650">
        <v>0</v>
      </c>
      <c r="JI650" t="s">
        <v>1042</v>
      </c>
      <c r="JJ650">
        <v>0</v>
      </c>
      <c r="JK650">
        <v>0</v>
      </c>
      <c r="JL650">
        <v>0</v>
      </c>
      <c r="JM650">
        <v>0</v>
      </c>
      <c r="JQ650" t="s">
        <v>1043</v>
      </c>
      <c r="JT650">
        <v>0</v>
      </c>
      <c r="JU650" t="s">
        <v>1042</v>
      </c>
      <c r="JW650">
        <v>0</v>
      </c>
      <c r="KA650">
        <v>0</v>
      </c>
      <c r="KF650">
        <v>0</v>
      </c>
      <c r="KG650">
        <v>0</v>
      </c>
      <c r="KH650">
        <v>0</v>
      </c>
      <c r="KI650">
        <v>0</v>
      </c>
      <c r="KJ650" t="s">
        <v>1044</v>
      </c>
      <c r="KS650" t="s">
        <v>1073</v>
      </c>
      <c r="KT650">
        <v>0</v>
      </c>
      <c r="KU650">
        <v>0</v>
      </c>
      <c r="KV650">
        <v>0</v>
      </c>
      <c r="KX650">
        <v>0</v>
      </c>
      <c r="KY650" t="s">
        <v>1045</v>
      </c>
      <c r="KZ650">
        <v>0</v>
      </c>
      <c r="LF650">
        <v>0</v>
      </c>
      <c r="LH650">
        <v>0</v>
      </c>
      <c r="LI650">
        <v>0</v>
      </c>
    </row>
    <row r="651" spans="1:321" x14ac:dyDescent="0.35">
      <c r="A651">
        <v>1</v>
      </c>
      <c r="B651">
        <v>1446</v>
      </c>
      <c r="C651" t="s">
        <v>1106</v>
      </c>
      <c r="D651" t="s">
        <v>1089</v>
      </c>
      <c r="E651" t="s">
        <v>85</v>
      </c>
      <c r="F651">
        <v>1</v>
      </c>
      <c r="G651">
        <v>8890</v>
      </c>
      <c r="H651">
        <v>0</v>
      </c>
      <c r="I651" t="s">
        <v>994</v>
      </c>
      <c r="M651">
        <v>0</v>
      </c>
      <c r="N651">
        <v>0</v>
      </c>
      <c r="P651">
        <v>77</v>
      </c>
      <c r="Q651">
        <v>902</v>
      </c>
      <c r="R651">
        <v>0</v>
      </c>
      <c r="S651">
        <v>0</v>
      </c>
      <c r="W651" t="s">
        <v>1060</v>
      </c>
      <c r="X651">
        <v>0</v>
      </c>
      <c r="Z651">
        <v>10</v>
      </c>
      <c r="AA651">
        <v>0</v>
      </c>
      <c r="AB651">
        <v>0</v>
      </c>
      <c r="AC651">
        <v>0</v>
      </c>
      <c r="AD651" t="s">
        <v>1042</v>
      </c>
      <c r="AE651">
        <v>0</v>
      </c>
      <c r="AF651">
        <v>0</v>
      </c>
      <c r="AH651">
        <v>0</v>
      </c>
      <c r="AJ651">
        <v>0</v>
      </c>
      <c r="AL651">
        <v>0</v>
      </c>
      <c r="AM651">
        <v>0</v>
      </c>
      <c r="AN651">
        <v>11501008</v>
      </c>
      <c r="AO651">
        <v>0</v>
      </c>
      <c r="AP651">
        <v>1001</v>
      </c>
      <c r="AT651">
        <v>0</v>
      </c>
      <c r="AW651" t="s">
        <v>1053</v>
      </c>
      <c r="AX651">
        <v>0</v>
      </c>
      <c r="AY651" s="20">
        <v>44391</v>
      </c>
      <c r="BA651" s="20">
        <v>44391</v>
      </c>
      <c r="BB651" t="s">
        <v>1058</v>
      </c>
      <c r="BD651">
        <v>0</v>
      </c>
      <c r="BF651" t="s">
        <v>1044</v>
      </c>
      <c r="BG651" t="s">
        <v>1042</v>
      </c>
      <c r="BH651">
        <v>0</v>
      </c>
      <c r="BI651">
        <v>6</v>
      </c>
      <c r="BJ651">
        <v>0</v>
      </c>
      <c r="BK651">
        <v>0</v>
      </c>
      <c r="BM651" t="s">
        <v>1042</v>
      </c>
      <c r="BN651">
        <v>0</v>
      </c>
      <c r="BS651" t="s">
        <v>1043</v>
      </c>
      <c r="BT651" t="s">
        <v>1043</v>
      </c>
      <c r="BW651">
        <v>2</v>
      </c>
      <c r="BY651">
        <v>10</v>
      </c>
      <c r="CA651">
        <v>0</v>
      </c>
      <c r="CB651" t="s">
        <v>1043</v>
      </c>
      <c r="CE651" t="s">
        <v>1043</v>
      </c>
      <c r="CH651" t="s">
        <v>1043</v>
      </c>
      <c r="CN651" t="s">
        <v>1074</v>
      </c>
      <c r="CO651" t="s">
        <v>1043</v>
      </c>
      <c r="CP651">
        <v>1</v>
      </c>
      <c r="CQ651">
        <v>0</v>
      </c>
      <c r="CS651">
        <v>0</v>
      </c>
      <c r="CT651">
        <v>0</v>
      </c>
      <c r="CU651">
        <v>0</v>
      </c>
      <c r="CV651" t="s">
        <v>1045</v>
      </c>
      <c r="CW651">
        <v>0</v>
      </c>
      <c r="CX651">
        <v>0</v>
      </c>
      <c r="CY651">
        <v>0</v>
      </c>
      <c r="CZ651">
        <v>0</v>
      </c>
      <c r="DB651">
        <v>0</v>
      </c>
      <c r="DC651" t="s">
        <v>1043</v>
      </c>
      <c r="DF651" t="s">
        <v>1055</v>
      </c>
      <c r="DH651">
        <v>0</v>
      </c>
      <c r="DJ651">
        <v>0</v>
      </c>
      <c r="DK651" t="s">
        <v>1053</v>
      </c>
      <c r="DL651">
        <v>0</v>
      </c>
      <c r="DN651">
        <v>0</v>
      </c>
      <c r="DO651" t="s">
        <v>1042</v>
      </c>
      <c r="DP651">
        <v>0</v>
      </c>
      <c r="DQ651">
        <v>7</v>
      </c>
      <c r="DS651">
        <v>0</v>
      </c>
      <c r="DU651">
        <v>1</v>
      </c>
      <c r="DW651">
        <v>0</v>
      </c>
      <c r="DX651" t="s">
        <v>1043</v>
      </c>
      <c r="DY651">
        <v>0</v>
      </c>
      <c r="DZ651">
        <v>0</v>
      </c>
      <c r="EA651">
        <v>0</v>
      </c>
      <c r="ED651" t="s">
        <v>1045</v>
      </c>
      <c r="EE651">
        <v>0</v>
      </c>
      <c r="EF651">
        <v>0</v>
      </c>
      <c r="EQ651" t="s">
        <v>1044</v>
      </c>
      <c r="ES651" t="s">
        <v>1053</v>
      </c>
      <c r="ET651">
        <v>0</v>
      </c>
      <c r="EV651">
        <v>0</v>
      </c>
      <c r="EY651" t="s">
        <v>1052</v>
      </c>
      <c r="EZ651">
        <v>0</v>
      </c>
      <c r="FA651" t="s">
        <v>1043</v>
      </c>
      <c r="FB651">
        <v>0</v>
      </c>
      <c r="FC651">
        <v>0</v>
      </c>
      <c r="FE651" t="s">
        <v>1050</v>
      </c>
      <c r="FF651">
        <v>0</v>
      </c>
      <c r="FG651" t="s">
        <v>1050</v>
      </c>
      <c r="FJ651">
        <v>0</v>
      </c>
      <c r="FK651">
        <v>0</v>
      </c>
      <c r="FP651">
        <v>0</v>
      </c>
      <c r="FQ651" t="s">
        <v>1044</v>
      </c>
      <c r="FR651">
        <v>0</v>
      </c>
      <c r="FS651" t="s">
        <v>1043</v>
      </c>
      <c r="FX651" t="s">
        <v>1042</v>
      </c>
      <c r="FZ651" t="s">
        <v>1048</v>
      </c>
      <c r="GA651">
        <v>0</v>
      </c>
      <c r="GB651" t="s">
        <v>1042</v>
      </c>
      <c r="GE651">
        <v>0</v>
      </c>
      <c r="GG651">
        <v>0</v>
      </c>
      <c r="GN651">
        <v>0</v>
      </c>
      <c r="GO651" t="s">
        <v>1063</v>
      </c>
      <c r="GQ651">
        <v>0</v>
      </c>
      <c r="GU651">
        <v>0</v>
      </c>
      <c r="GY651" t="s">
        <v>1045</v>
      </c>
      <c r="HB651">
        <v>0</v>
      </c>
      <c r="HE651">
        <v>0</v>
      </c>
      <c r="HF651">
        <v>0</v>
      </c>
      <c r="HG651">
        <v>0</v>
      </c>
      <c r="HK651" t="s">
        <v>1042</v>
      </c>
      <c r="HM651" t="s">
        <v>1047</v>
      </c>
      <c r="HN651">
        <v>0</v>
      </c>
      <c r="HP651">
        <v>0</v>
      </c>
      <c r="HQ651">
        <v>0</v>
      </c>
      <c r="HR651" t="s">
        <v>1042</v>
      </c>
      <c r="HS651" t="s">
        <v>1043</v>
      </c>
      <c r="HT651">
        <v>0</v>
      </c>
      <c r="HU651">
        <v>0</v>
      </c>
      <c r="HV651" t="s">
        <v>1088</v>
      </c>
      <c r="HW651">
        <v>0</v>
      </c>
      <c r="HX651">
        <v>0</v>
      </c>
      <c r="HY651">
        <v>0</v>
      </c>
      <c r="HZ651" t="s">
        <v>1045</v>
      </c>
      <c r="IA651">
        <v>0</v>
      </c>
      <c r="IB651" t="s">
        <v>1045</v>
      </c>
      <c r="ID651" t="s">
        <v>1045</v>
      </c>
      <c r="IF651">
        <v>0</v>
      </c>
      <c r="IG651" t="s">
        <v>1042</v>
      </c>
      <c r="II651" t="s">
        <v>1042</v>
      </c>
      <c r="IR651" t="s">
        <v>1045</v>
      </c>
      <c r="IT651">
        <v>0</v>
      </c>
      <c r="IY651" t="s">
        <v>1044</v>
      </c>
      <c r="IZ651" t="s">
        <v>1043</v>
      </c>
      <c r="JA651" t="s">
        <v>1043</v>
      </c>
      <c r="JC651" t="s">
        <v>1043</v>
      </c>
      <c r="JE651">
        <v>0</v>
      </c>
      <c r="JF651">
        <v>0</v>
      </c>
      <c r="JI651" t="s">
        <v>1042</v>
      </c>
      <c r="JJ651">
        <v>0</v>
      </c>
      <c r="JK651">
        <v>0</v>
      </c>
      <c r="JL651">
        <v>0</v>
      </c>
      <c r="JM651">
        <v>0</v>
      </c>
      <c r="JQ651" t="s">
        <v>1043</v>
      </c>
      <c r="JT651">
        <v>0</v>
      </c>
      <c r="JU651" t="s">
        <v>1042</v>
      </c>
      <c r="JW651">
        <v>0</v>
      </c>
      <c r="KA651">
        <v>0</v>
      </c>
      <c r="KF651">
        <v>0</v>
      </c>
      <c r="KG651">
        <v>0</v>
      </c>
      <c r="KH651">
        <v>0</v>
      </c>
      <c r="KI651">
        <v>0</v>
      </c>
      <c r="KJ651" t="s">
        <v>1044</v>
      </c>
      <c r="KS651" t="s">
        <v>1073</v>
      </c>
      <c r="KT651">
        <v>0</v>
      </c>
      <c r="KU651">
        <v>0</v>
      </c>
      <c r="KV651">
        <v>0</v>
      </c>
      <c r="KX651">
        <v>0</v>
      </c>
      <c r="KY651" t="s">
        <v>1045</v>
      </c>
      <c r="KZ651">
        <v>0</v>
      </c>
      <c r="LF651">
        <v>0</v>
      </c>
      <c r="LH651">
        <v>0</v>
      </c>
      <c r="LI651">
        <v>0</v>
      </c>
    </row>
    <row r="652" spans="1:321" x14ac:dyDescent="0.35">
      <c r="A652">
        <v>1</v>
      </c>
      <c r="B652">
        <v>1447</v>
      </c>
      <c r="C652" t="s">
        <v>1105</v>
      </c>
      <c r="D652" t="s">
        <v>1089</v>
      </c>
      <c r="E652" t="s">
        <v>85</v>
      </c>
      <c r="F652">
        <v>1</v>
      </c>
      <c r="G652">
        <v>8890</v>
      </c>
      <c r="H652">
        <v>0</v>
      </c>
      <c r="I652" t="s">
        <v>994</v>
      </c>
      <c r="M652">
        <v>0</v>
      </c>
      <c r="N652">
        <v>0</v>
      </c>
      <c r="P652">
        <v>77</v>
      </c>
      <c r="Q652">
        <v>902</v>
      </c>
      <c r="R652">
        <v>0</v>
      </c>
      <c r="S652">
        <v>0</v>
      </c>
      <c r="W652" t="s">
        <v>1060</v>
      </c>
      <c r="X652">
        <v>0</v>
      </c>
      <c r="Z652">
        <v>1</v>
      </c>
      <c r="AA652">
        <v>0</v>
      </c>
      <c r="AB652">
        <v>0</v>
      </c>
      <c r="AC652">
        <v>0</v>
      </c>
      <c r="AD652" t="s">
        <v>1042</v>
      </c>
      <c r="AE652">
        <v>0</v>
      </c>
      <c r="AF652">
        <v>0</v>
      </c>
      <c r="AH652">
        <v>0</v>
      </c>
      <c r="AJ652">
        <v>0</v>
      </c>
      <c r="AL652">
        <v>0</v>
      </c>
      <c r="AM652">
        <v>0</v>
      </c>
      <c r="AN652">
        <v>11501008</v>
      </c>
      <c r="AO652">
        <v>0</v>
      </c>
      <c r="AP652">
        <v>1001</v>
      </c>
      <c r="AT652">
        <v>0</v>
      </c>
      <c r="AW652" t="s">
        <v>1053</v>
      </c>
      <c r="AX652">
        <v>0</v>
      </c>
      <c r="AY652" s="20">
        <v>44391</v>
      </c>
      <c r="BA652" s="20">
        <v>44391</v>
      </c>
      <c r="BB652" t="s">
        <v>1058</v>
      </c>
      <c r="BD652">
        <v>0</v>
      </c>
      <c r="BF652" t="s">
        <v>1044</v>
      </c>
      <c r="BG652" t="s">
        <v>1042</v>
      </c>
      <c r="BH652">
        <v>0</v>
      </c>
      <c r="BI652">
        <v>6</v>
      </c>
      <c r="BJ652">
        <v>0</v>
      </c>
      <c r="BK652">
        <v>0</v>
      </c>
      <c r="BM652" t="s">
        <v>1042</v>
      </c>
      <c r="BN652">
        <v>0</v>
      </c>
      <c r="BS652" t="s">
        <v>1043</v>
      </c>
      <c r="BT652" t="s">
        <v>1043</v>
      </c>
      <c r="BW652">
        <v>2</v>
      </c>
      <c r="BY652">
        <v>10</v>
      </c>
      <c r="CA652">
        <v>0</v>
      </c>
      <c r="CB652" t="s">
        <v>1043</v>
      </c>
      <c r="CE652" t="s">
        <v>1043</v>
      </c>
      <c r="CH652" t="s">
        <v>1043</v>
      </c>
      <c r="CN652" t="s">
        <v>1074</v>
      </c>
      <c r="CO652" t="s">
        <v>1043</v>
      </c>
      <c r="CP652">
        <v>1</v>
      </c>
      <c r="CQ652">
        <v>0</v>
      </c>
      <c r="CS652">
        <v>0</v>
      </c>
      <c r="CT652">
        <v>0</v>
      </c>
      <c r="CU652">
        <v>0</v>
      </c>
      <c r="CV652" t="s">
        <v>1045</v>
      </c>
      <c r="CW652">
        <v>0</v>
      </c>
      <c r="CX652">
        <v>0</v>
      </c>
      <c r="CY652">
        <v>0</v>
      </c>
      <c r="CZ652">
        <v>0</v>
      </c>
      <c r="DB652">
        <v>0</v>
      </c>
      <c r="DC652" t="s">
        <v>1043</v>
      </c>
      <c r="DF652" t="s">
        <v>1055</v>
      </c>
      <c r="DH652">
        <v>0</v>
      </c>
      <c r="DJ652">
        <v>0</v>
      </c>
      <c r="DK652" t="s">
        <v>1053</v>
      </c>
      <c r="DL652">
        <v>0</v>
      </c>
      <c r="DN652">
        <v>0</v>
      </c>
      <c r="DO652" t="s">
        <v>1042</v>
      </c>
      <c r="DP652">
        <v>0</v>
      </c>
      <c r="DQ652">
        <v>7</v>
      </c>
      <c r="DS652">
        <v>0</v>
      </c>
      <c r="DU652">
        <v>1</v>
      </c>
      <c r="DW652">
        <v>0</v>
      </c>
      <c r="DX652" t="s">
        <v>1043</v>
      </c>
      <c r="DY652">
        <v>0</v>
      </c>
      <c r="DZ652">
        <v>0</v>
      </c>
      <c r="EA652">
        <v>0</v>
      </c>
      <c r="ED652" t="s">
        <v>1045</v>
      </c>
      <c r="EE652">
        <v>0</v>
      </c>
      <c r="EF652">
        <v>0</v>
      </c>
      <c r="EQ652" t="s">
        <v>1044</v>
      </c>
      <c r="ES652" t="s">
        <v>1053</v>
      </c>
      <c r="ET652">
        <v>0</v>
      </c>
      <c r="EV652">
        <v>0</v>
      </c>
      <c r="EY652" t="s">
        <v>1052</v>
      </c>
      <c r="EZ652">
        <v>0</v>
      </c>
      <c r="FA652" t="s">
        <v>1043</v>
      </c>
      <c r="FB652">
        <v>0</v>
      </c>
      <c r="FC652">
        <v>0</v>
      </c>
      <c r="FE652" t="s">
        <v>1050</v>
      </c>
      <c r="FF652">
        <v>0</v>
      </c>
      <c r="FG652" t="s">
        <v>1050</v>
      </c>
      <c r="FJ652">
        <v>0</v>
      </c>
      <c r="FK652">
        <v>0</v>
      </c>
      <c r="FP652">
        <v>0</v>
      </c>
      <c r="FQ652" t="s">
        <v>1044</v>
      </c>
      <c r="FR652">
        <v>0</v>
      </c>
      <c r="FS652" t="s">
        <v>1043</v>
      </c>
      <c r="FX652" t="s">
        <v>1042</v>
      </c>
      <c r="FZ652" t="s">
        <v>1048</v>
      </c>
      <c r="GA652">
        <v>0</v>
      </c>
      <c r="GB652" t="s">
        <v>1042</v>
      </c>
      <c r="GE652">
        <v>0</v>
      </c>
      <c r="GG652">
        <v>0</v>
      </c>
      <c r="GN652">
        <v>0</v>
      </c>
      <c r="GO652" t="s">
        <v>1063</v>
      </c>
      <c r="GQ652">
        <v>0</v>
      </c>
      <c r="GU652">
        <v>0</v>
      </c>
      <c r="GY652" t="s">
        <v>1045</v>
      </c>
      <c r="HB652">
        <v>0</v>
      </c>
      <c r="HE652">
        <v>0</v>
      </c>
      <c r="HF652">
        <v>0</v>
      </c>
      <c r="HG652">
        <v>0</v>
      </c>
      <c r="HK652" t="s">
        <v>1042</v>
      </c>
      <c r="HM652" t="s">
        <v>1047</v>
      </c>
      <c r="HN652">
        <v>0</v>
      </c>
      <c r="HP652">
        <v>0</v>
      </c>
      <c r="HQ652">
        <v>0</v>
      </c>
      <c r="HR652" t="s">
        <v>1042</v>
      </c>
      <c r="HS652" t="s">
        <v>1043</v>
      </c>
      <c r="HT652">
        <v>0</v>
      </c>
      <c r="HU652">
        <v>0</v>
      </c>
      <c r="HV652" t="s">
        <v>1088</v>
      </c>
      <c r="HW652">
        <v>0</v>
      </c>
      <c r="HX652">
        <v>0</v>
      </c>
      <c r="HY652">
        <v>0</v>
      </c>
      <c r="HZ652" t="s">
        <v>1045</v>
      </c>
      <c r="IA652">
        <v>0</v>
      </c>
      <c r="IB652" t="s">
        <v>1045</v>
      </c>
      <c r="ID652" t="s">
        <v>1045</v>
      </c>
      <c r="IF652">
        <v>0</v>
      </c>
      <c r="IG652" t="s">
        <v>1042</v>
      </c>
      <c r="II652" t="s">
        <v>1042</v>
      </c>
      <c r="IR652" t="s">
        <v>1045</v>
      </c>
      <c r="IT652">
        <v>0</v>
      </c>
      <c r="IY652" t="s">
        <v>1044</v>
      </c>
      <c r="IZ652" t="s">
        <v>1043</v>
      </c>
      <c r="JA652" t="s">
        <v>1043</v>
      </c>
      <c r="JC652" t="s">
        <v>1043</v>
      </c>
      <c r="JE652">
        <v>0</v>
      </c>
      <c r="JF652">
        <v>0</v>
      </c>
      <c r="JI652" t="s">
        <v>1042</v>
      </c>
      <c r="JJ652">
        <v>0</v>
      </c>
      <c r="JK652">
        <v>0</v>
      </c>
      <c r="JL652">
        <v>0</v>
      </c>
      <c r="JM652">
        <v>0</v>
      </c>
      <c r="JQ652" t="s">
        <v>1043</v>
      </c>
      <c r="JT652">
        <v>0</v>
      </c>
      <c r="JU652" t="s">
        <v>1042</v>
      </c>
      <c r="JW652">
        <v>0</v>
      </c>
      <c r="KA652">
        <v>0</v>
      </c>
      <c r="KF652">
        <v>0</v>
      </c>
      <c r="KG652">
        <v>0</v>
      </c>
      <c r="KH652">
        <v>0</v>
      </c>
      <c r="KI652">
        <v>0</v>
      </c>
      <c r="KJ652" t="s">
        <v>1044</v>
      </c>
      <c r="KS652" t="s">
        <v>1073</v>
      </c>
      <c r="KT652">
        <v>0</v>
      </c>
      <c r="KU652">
        <v>0</v>
      </c>
      <c r="KV652">
        <v>0</v>
      </c>
      <c r="KX652">
        <v>0</v>
      </c>
      <c r="KY652" t="s">
        <v>1045</v>
      </c>
      <c r="KZ652">
        <v>0</v>
      </c>
      <c r="LF652">
        <v>0</v>
      </c>
      <c r="LH652">
        <v>0</v>
      </c>
      <c r="LI652">
        <v>0</v>
      </c>
    </row>
    <row r="653" spans="1:321" x14ac:dyDescent="0.35">
      <c r="A653">
        <v>1</v>
      </c>
      <c r="B653">
        <v>1448</v>
      </c>
      <c r="C653" t="s">
        <v>1104</v>
      </c>
      <c r="D653" t="s">
        <v>1089</v>
      </c>
      <c r="E653" t="s">
        <v>85</v>
      </c>
      <c r="F653">
        <v>1</v>
      </c>
      <c r="G653">
        <v>8890</v>
      </c>
      <c r="H653">
        <v>0</v>
      </c>
      <c r="I653" t="s">
        <v>994</v>
      </c>
      <c r="M653">
        <v>0</v>
      </c>
      <c r="N653">
        <v>0</v>
      </c>
      <c r="P653">
        <v>77</v>
      </c>
      <c r="Q653">
        <v>902</v>
      </c>
      <c r="R653">
        <v>0</v>
      </c>
      <c r="S653">
        <v>0</v>
      </c>
      <c r="W653" t="s">
        <v>1060</v>
      </c>
      <c r="X653">
        <v>0</v>
      </c>
      <c r="Z653">
        <v>10</v>
      </c>
      <c r="AA653">
        <v>0</v>
      </c>
      <c r="AB653">
        <v>0</v>
      </c>
      <c r="AC653">
        <v>0</v>
      </c>
      <c r="AD653" t="s">
        <v>1042</v>
      </c>
      <c r="AE653">
        <v>0</v>
      </c>
      <c r="AF653">
        <v>0</v>
      </c>
      <c r="AH653">
        <v>0</v>
      </c>
      <c r="AJ653">
        <v>0</v>
      </c>
      <c r="AL653">
        <v>0</v>
      </c>
      <c r="AM653">
        <v>0</v>
      </c>
      <c r="AN653">
        <v>11501008</v>
      </c>
      <c r="AO653">
        <v>0</v>
      </c>
      <c r="AP653">
        <v>1001</v>
      </c>
      <c r="AT653">
        <v>0</v>
      </c>
      <c r="AW653" t="s">
        <v>1053</v>
      </c>
      <c r="AX653">
        <v>0</v>
      </c>
      <c r="AY653" s="20">
        <v>44391</v>
      </c>
      <c r="BA653" s="20">
        <v>44391</v>
      </c>
      <c r="BB653" t="s">
        <v>1058</v>
      </c>
      <c r="BD653">
        <v>0</v>
      </c>
      <c r="BF653" t="s">
        <v>1044</v>
      </c>
      <c r="BG653" t="s">
        <v>1042</v>
      </c>
      <c r="BH653">
        <v>0</v>
      </c>
      <c r="BI653">
        <v>6</v>
      </c>
      <c r="BJ653">
        <v>0</v>
      </c>
      <c r="BK653">
        <v>0</v>
      </c>
      <c r="BM653" t="s">
        <v>1042</v>
      </c>
      <c r="BN653">
        <v>0</v>
      </c>
      <c r="BS653" t="s">
        <v>1043</v>
      </c>
      <c r="BT653" t="s">
        <v>1043</v>
      </c>
      <c r="BW653">
        <v>2</v>
      </c>
      <c r="BY653">
        <v>10</v>
      </c>
      <c r="CA653">
        <v>0</v>
      </c>
      <c r="CB653" t="s">
        <v>1043</v>
      </c>
      <c r="CE653" t="s">
        <v>1043</v>
      </c>
      <c r="CH653" t="s">
        <v>1043</v>
      </c>
      <c r="CN653" t="s">
        <v>1074</v>
      </c>
      <c r="CO653" t="s">
        <v>1043</v>
      </c>
      <c r="CP653">
        <v>1</v>
      </c>
      <c r="CQ653">
        <v>0</v>
      </c>
      <c r="CS653">
        <v>0</v>
      </c>
      <c r="CT653">
        <v>0</v>
      </c>
      <c r="CU653">
        <v>0</v>
      </c>
      <c r="CV653" t="s">
        <v>1045</v>
      </c>
      <c r="CW653">
        <v>0</v>
      </c>
      <c r="CX653">
        <v>0</v>
      </c>
      <c r="CY653">
        <v>0</v>
      </c>
      <c r="CZ653">
        <v>0</v>
      </c>
      <c r="DB653">
        <v>0</v>
      </c>
      <c r="DC653" t="s">
        <v>1043</v>
      </c>
      <c r="DF653" t="s">
        <v>1055</v>
      </c>
      <c r="DH653">
        <v>0</v>
      </c>
      <c r="DJ653">
        <v>0</v>
      </c>
      <c r="DK653" t="s">
        <v>1053</v>
      </c>
      <c r="DL653">
        <v>0</v>
      </c>
      <c r="DN653">
        <v>0</v>
      </c>
      <c r="DO653" t="s">
        <v>1042</v>
      </c>
      <c r="DP653">
        <v>0</v>
      </c>
      <c r="DQ653">
        <v>7</v>
      </c>
      <c r="DS653">
        <v>0</v>
      </c>
      <c r="DU653">
        <v>1</v>
      </c>
      <c r="DW653">
        <v>0</v>
      </c>
      <c r="DX653" t="s">
        <v>1043</v>
      </c>
      <c r="DY653">
        <v>0</v>
      </c>
      <c r="DZ653">
        <v>0</v>
      </c>
      <c r="EA653">
        <v>0</v>
      </c>
      <c r="ED653" t="s">
        <v>1045</v>
      </c>
      <c r="EE653">
        <v>0</v>
      </c>
      <c r="EF653">
        <v>0</v>
      </c>
      <c r="EQ653" t="s">
        <v>1044</v>
      </c>
      <c r="ES653" t="s">
        <v>1053</v>
      </c>
      <c r="ET653">
        <v>0</v>
      </c>
      <c r="EV653">
        <v>0</v>
      </c>
      <c r="EY653" t="s">
        <v>1052</v>
      </c>
      <c r="EZ653">
        <v>0</v>
      </c>
      <c r="FA653" t="s">
        <v>1043</v>
      </c>
      <c r="FB653">
        <v>0</v>
      </c>
      <c r="FC653">
        <v>0</v>
      </c>
      <c r="FE653" t="s">
        <v>1050</v>
      </c>
      <c r="FF653">
        <v>0</v>
      </c>
      <c r="FG653" t="s">
        <v>1050</v>
      </c>
      <c r="FJ653">
        <v>0</v>
      </c>
      <c r="FK653">
        <v>0</v>
      </c>
      <c r="FP653">
        <v>0</v>
      </c>
      <c r="FQ653" t="s">
        <v>1044</v>
      </c>
      <c r="FR653">
        <v>0</v>
      </c>
      <c r="FS653" t="s">
        <v>1043</v>
      </c>
      <c r="FX653" t="s">
        <v>1042</v>
      </c>
      <c r="FZ653" t="s">
        <v>1048</v>
      </c>
      <c r="GA653">
        <v>0</v>
      </c>
      <c r="GB653" t="s">
        <v>1042</v>
      </c>
      <c r="GE653">
        <v>0</v>
      </c>
      <c r="GG653">
        <v>0</v>
      </c>
      <c r="GN653">
        <v>0</v>
      </c>
      <c r="GO653" t="s">
        <v>1063</v>
      </c>
      <c r="GQ653">
        <v>0</v>
      </c>
      <c r="GU653">
        <v>0</v>
      </c>
      <c r="GY653" t="s">
        <v>1045</v>
      </c>
      <c r="HB653">
        <v>0</v>
      </c>
      <c r="HE653">
        <v>0</v>
      </c>
      <c r="HF653">
        <v>0</v>
      </c>
      <c r="HG653">
        <v>0</v>
      </c>
      <c r="HK653" t="s">
        <v>1042</v>
      </c>
      <c r="HM653" t="s">
        <v>1047</v>
      </c>
      <c r="HN653">
        <v>0</v>
      </c>
      <c r="HP653">
        <v>0</v>
      </c>
      <c r="HQ653">
        <v>0</v>
      </c>
      <c r="HR653" t="s">
        <v>1042</v>
      </c>
      <c r="HS653" t="s">
        <v>1043</v>
      </c>
      <c r="HT653">
        <v>0</v>
      </c>
      <c r="HU653">
        <v>0</v>
      </c>
      <c r="HV653" t="s">
        <v>1088</v>
      </c>
      <c r="HW653">
        <v>0</v>
      </c>
      <c r="HX653">
        <v>0</v>
      </c>
      <c r="HY653">
        <v>0</v>
      </c>
      <c r="HZ653" t="s">
        <v>1045</v>
      </c>
      <c r="IA653">
        <v>0</v>
      </c>
      <c r="IB653" t="s">
        <v>1045</v>
      </c>
      <c r="ID653" t="s">
        <v>1045</v>
      </c>
      <c r="IF653">
        <v>0</v>
      </c>
      <c r="IG653" t="s">
        <v>1042</v>
      </c>
      <c r="II653" t="s">
        <v>1042</v>
      </c>
      <c r="IR653" t="s">
        <v>1045</v>
      </c>
      <c r="IT653">
        <v>0</v>
      </c>
      <c r="IY653" t="s">
        <v>1044</v>
      </c>
      <c r="IZ653" t="s">
        <v>1043</v>
      </c>
      <c r="JA653" t="s">
        <v>1043</v>
      </c>
      <c r="JC653" t="s">
        <v>1043</v>
      </c>
      <c r="JE653">
        <v>0</v>
      </c>
      <c r="JF653">
        <v>0</v>
      </c>
      <c r="JI653" t="s">
        <v>1042</v>
      </c>
      <c r="JJ653">
        <v>0</v>
      </c>
      <c r="JK653">
        <v>0</v>
      </c>
      <c r="JL653">
        <v>0</v>
      </c>
      <c r="JM653">
        <v>0</v>
      </c>
      <c r="JQ653" t="s">
        <v>1043</v>
      </c>
      <c r="JT653">
        <v>0</v>
      </c>
      <c r="JU653" t="s">
        <v>1042</v>
      </c>
      <c r="JW653">
        <v>0</v>
      </c>
      <c r="KA653">
        <v>0</v>
      </c>
      <c r="KF653">
        <v>0</v>
      </c>
      <c r="KG653">
        <v>0</v>
      </c>
      <c r="KH653">
        <v>0</v>
      </c>
      <c r="KI653">
        <v>0</v>
      </c>
      <c r="KJ653" t="s">
        <v>1044</v>
      </c>
      <c r="KS653" t="s">
        <v>1073</v>
      </c>
      <c r="KT653">
        <v>0</v>
      </c>
      <c r="KU653">
        <v>0</v>
      </c>
      <c r="KV653">
        <v>0</v>
      </c>
      <c r="KX653">
        <v>0</v>
      </c>
      <c r="KY653" t="s">
        <v>1045</v>
      </c>
      <c r="KZ653">
        <v>0</v>
      </c>
      <c r="LF653">
        <v>0</v>
      </c>
      <c r="LH653">
        <v>0</v>
      </c>
      <c r="LI653">
        <v>0</v>
      </c>
    </row>
    <row r="654" spans="1:321" x14ac:dyDescent="0.35">
      <c r="A654">
        <v>1</v>
      </c>
      <c r="B654">
        <v>1450</v>
      </c>
      <c r="C654" t="s">
        <v>1103</v>
      </c>
      <c r="D654" t="s">
        <v>1089</v>
      </c>
      <c r="E654" t="s">
        <v>85</v>
      </c>
      <c r="F654">
        <v>1</v>
      </c>
      <c r="G654">
        <v>8890</v>
      </c>
      <c r="H654">
        <v>0</v>
      </c>
      <c r="I654" t="s">
        <v>994</v>
      </c>
      <c r="M654">
        <v>0</v>
      </c>
      <c r="N654">
        <v>0</v>
      </c>
      <c r="P654">
        <v>77</v>
      </c>
      <c r="Q654">
        <v>902</v>
      </c>
      <c r="R654">
        <v>0</v>
      </c>
      <c r="S654">
        <v>0</v>
      </c>
      <c r="W654" t="s">
        <v>1060</v>
      </c>
      <c r="X654">
        <v>0</v>
      </c>
      <c r="Z654">
        <v>10</v>
      </c>
      <c r="AA654">
        <v>0</v>
      </c>
      <c r="AB654">
        <v>0</v>
      </c>
      <c r="AC654">
        <v>0</v>
      </c>
      <c r="AD654" t="s">
        <v>1042</v>
      </c>
      <c r="AE654">
        <v>0</v>
      </c>
      <c r="AF654">
        <v>0</v>
      </c>
      <c r="AH654">
        <v>0</v>
      </c>
      <c r="AJ654">
        <v>0</v>
      </c>
      <c r="AL654">
        <v>0</v>
      </c>
      <c r="AM654">
        <v>0</v>
      </c>
      <c r="AN654">
        <v>11501008</v>
      </c>
      <c r="AO654">
        <v>0</v>
      </c>
      <c r="AP654">
        <v>1001</v>
      </c>
      <c r="AT654">
        <v>0</v>
      </c>
      <c r="AW654" t="s">
        <v>1053</v>
      </c>
      <c r="AX654">
        <v>0</v>
      </c>
      <c r="AY654" s="20">
        <v>44391</v>
      </c>
      <c r="BA654" s="20">
        <v>44391</v>
      </c>
      <c r="BB654" t="s">
        <v>1058</v>
      </c>
      <c r="BD654">
        <v>0</v>
      </c>
      <c r="BF654" t="s">
        <v>1044</v>
      </c>
      <c r="BG654" t="s">
        <v>1042</v>
      </c>
      <c r="BH654">
        <v>0</v>
      </c>
      <c r="BI654">
        <v>6</v>
      </c>
      <c r="BJ654">
        <v>0</v>
      </c>
      <c r="BK654">
        <v>0</v>
      </c>
      <c r="BM654" t="s">
        <v>1042</v>
      </c>
      <c r="BN654">
        <v>0</v>
      </c>
      <c r="BS654" t="s">
        <v>1043</v>
      </c>
      <c r="BT654" t="s">
        <v>1043</v>
      </c>
      <c r="BW654">
        <v>2</v>
      </c>
      <c r="BY654">
        <v>10</v>
      </c>
      <c r="CA654">
        <v>0</v>
      </c>
      <c r="CB654" t="s">
        <v>1043</v>
      </c>
      <c r="CE654" t="s">
        <v>1043</v>
      </c>
      <c r="CH654" t="s">
        <v>1043</v>
      </c>
      <c r="CN654" t="s">
        <v>1074</v>
      </c>
      <c r="CO654" t="s">
        <v>1043</v>
      </c>
      <c r="CP654">
        <v>1</v>
      </c>
      <c r="CQ654">
        <v>0</v>
      </c>
      <c r="CS654">
        <v>0</v>
      </c>
      <c r="CT654">
        <v>0</v>
      </c>
      <c r="CU654">
        <v>0</v>
      </c>
      <c r="CV654" t="s">
        <v>1045</v>
      </c>
      <c r="CW654">
        <v>0</v>
      </c>
      <c r="CX654">
        <v>0</v>
      </c>
      <c r="CY654">
        <v>0</v>
      </c>
      <c r="CZ654">
        <v>0</v>
      </c>
      <c r="DB654">
        <v>0</v>
      </c>
      <c r="DC654" t="s">
        <v>1043</v>
      </c>
      <c r="DF654" t="s">
        <v>1055</v>
      </c>
      <c r="DH654">
        <v>0</v>
      </c>
      <c r="DJ654">
        <v>0</v>
      </c>
      <c r="DK654" t="s">
        <v>1053</v>
      </c>
      <c r="DL654">
        <v>0</v>
      </c>
      <c r="DN654">
        <v>0</v>
      </c>
      <c r="DO654" t="s">
        <v>1042</v>
      </c>
      <c r="DP654">
        <v>0</v>
      </c>
      <c r="DQ654">
        <v>7</v>
      </c>
      <c r="DS654">
        <v>0</v>
      </c>
      <c r="DU654">
        <v>1</v>
      </c>
      <c r="DW654">
        <v>0</v>
      </c>
      <c r="DX654" t="s">
        <v>1043</v>
      </c>
      <c r="DY654">
        <v>0</v>
      </c>
      <c r="DZ654">
        <v>0</v>
      </c>
      <c r="EA654">
        <v>0</v>
      </c>
      <c r="ED654" t="s">
        <v>1045</v>
      </c>
      <c r="EE654">
        <v>0</v>
      </c>
      <c r="EF654">
        <v>0</v>
      </c>
      <c r="EQ654" t="s">
        <v>1044</v>
      </c>
      <c r="ES654" t="s">
        <v>1053</v>
      </c>
      <c r="ET654">
        <v>0</v>
      </c>
      <c r="EV654">
        <v>0</v>
      </c>
      <c r="EY654" t="s">
        <v>1052</v>
      </c>
      <c r="EZ654">
        <v>0</v>
      </c>
      <c r="FA654" t="s">
        <v>1043</v>
      </c>
      <c r="FB654">
        <v>0</v>
      </c>
      <c r="FC654">
        <v>0</v>
      </c>
      <c r="FE654" t="s">
        <v>1050</v>
      </c>
      <c r="FF654">
        <v>0</v>
      </c>
      <c r="FG654" t="s">
        <v>1050</v>
      </c>
      <c r="FJ654">
        <v>0</v>
      </c>
      <c r="FK654">
        <v>0</v>
      </c>
      <c r="FP654">
        <v>0</v>
      </c>
      <c r="FQ654" t="s">
        <v>1044</v>
      </c>
      <c r="FR654">
        <v>0</v>
      </c>
      <c r="FS654" t="s">
        <v>1043</v>
      </c>
      <c r="FX654" t="s">
        <v>1042</v>
      </c>
      <c r="FZ654" t="s">
        <v>1048</v>
      </c>
      <c r="GA654">
        <v>0</v>
      </c>
      <c r="GB654" t="s">
        <v>1042</v>
      </c>
      <c r="GE654">
        <v>0</v>
      </c>
      <c r="GG654">
        <v>0</v>
      </c>
      <c r="GN654">
        <v>0</v>
      </c>
      <c r="GO654" t="s">
        <v>1063</v>
      </c>
      <c r="GQ654">
        <v>0</v>
      </c>
      <c r="GU654">
        <v>0</v>
      </c>
      <c r="GY654" t="s">
        <v>1045</v>
      </c>
      <c r="HB654">
        <v>0</v>
      </c>
      <c r="HE654">
        <v>0</v>
      </c>
      <c r="HF654">
        <v>0</v>
      </c>
      <c r="HG654">
        <v>0</v>
      </c>
      <c r="HK654" t="s">
        <v>1042</v>
      </c>
      <c r="HM654" t="s">
        <v>1047</v>
      </c>
      <c r="HN654">
        <v>0</v>
      </c>
      <c r="HP654">
        <v>0</v>
      </c>
      <c r="HQ654">
        <v>0</v>
      </c>
      <c r="HR654" t="s">
        <v>1042</v>
      </c>
      <c r="HS654" t="s">
        <v>1043</v>
      </c>
      <c r="HT654">
        <v>0</v>
      </c>
      <c r="HU654">
        <v>0</v>
      </c>
      <c r="HV654" t="s">
        <v>1088</v>
      </c>
      <c r="HW654">
        <v>0</v>
      </c>
      <c r="HX654">
        <v>0</v>
      </c>
      <c r="HY654">
        <v>0</v>
      </c>
      <c r="HZ654" t="s">
        <v>1045</v>
      </c>
      <c r="IA654">
        <v>0</v>
      </c>
      <c r="IB654" t="s">
        <v>1045</v>
      </c>
      <c r="ID654" t="s">
        <v>1045</v>
      </c>
      <c r="IF654">
        <v>0</v>
      </c>
      <c r="IG654" t="s">
        <v>1042</v>
      </c>
      <c r="II654" t="s">
        <v>1042</v>
      </c>
      <c r="IR654" t="s">
        <v>1045</v>
      </c>
      <c r="IT654">
        <v>0</v>
      </c>
      <c r="IY654" t="s">
        <v>1044</v>
      </c>
      <c r="IZ654" t="s">
        <v>1043</v>
      </c>
      <c r="JA654" t="s">
        <v>1043</v>
      </c>
      <c r="JC654" t="s">
        <v>1043</v>
      </c>
      <c r="JE654">
        <v>0</v>
      </c>
      <c r="JF654">
        <v>0</v>
      </c>
      <c r="JI654" t="s">
        <v>1042</v>
      </c>
      <c r="JJ654">
        <v>0</v>
      </c>
      <c r="JK654">
        <v>0</v>
      </c>
      <c r="JL654">
        <v>0</v>
      </c>
      <c r="JM654">
        <v>0</v>
      </c>
      <c r="JQ654" t="s">
        <v>1043</v>
      </c>
      <c r="JT654">
        <v>0</v>
      </c>
      <c r="JU654" t="s">
        <v>1042</v>
      </c>
      <c r="JW654">
        <v>0</v>
      </c>
      <c r="KA654">
        <v>0</v>
      </c>
      <c r="KF654">
        <v>0</v>
      </c>
      <c r="KG654">
        <v>0</v>
      </c>
      <c r="KH654">
        <v>0</v>
      </c>
      <c r="KI654">
        <v>0</v>
      </c>
      <c r="KJ654" t="s">
        <v>1044</v>
      </c>
      <c r="KS654" t="s">
        <v>1073</v>
      </c>
      <c r="KT654">
        <v>0</v>
      </c>
      <c r="KU654">
        <v>0</v>
      </c>
      <c r="KV654">
        <v>0</v>
      </c>
      <c r="KX654">
        <v>0</v>
      </c>
      <c r="KY654" t="s">
        <v>1045</v>
      </c>
      <c r="KZ654">
        <v>0</v>
      </c>
      <c r="LF654">
        <v>0</v>
      </c>
      <c r="LH654">
        <v>0</v>
      </c>
      <c r="LI654">
        <v>0</v>
      </c>
    </row>
    <row r="655" spans="1:321" x14ac:dyDescent="0.35">
      <c r="A655">
        <v>1</v>
      </c>
      <c r="B655">
        <v>1451</v>
      </c>
      <c r="C655" t="s">
        <v>1101</v>
      </c>
      <c r="D655" t="s">
        <v>1089</v>
      </c>
      <c r="E655" t="s">
        <v>85</v>
      </c>
      <c r="F655">
        <v>1</v>
      </c>
      <c r="G655">
        <v>8890</v>
      </c>
      <c r="H655">
        <v>0</v>
      </c>
      <c r="I655" t="s">
        <v>994</v>
      </c>
      <c r="M655">
        <v>0</v>
      </c>
      <c r="N655">
        <v>0</v>
      </c>
      <c r="P655">
        <v>77</v>
      </c>
      <c r="Q655">
        <v>902</v>
      </c>
      <c r="R655">
        <v>0</v>
      </c>
      <c r="S655">
        <v>0</v>
      </c>
      <c r="W655" t="s">
        <v>1060</v>
      </c>
      <c r="X655">
        <v>0</v>
      </c>
      <c r="Z655">
        <v>10</v>
      </c>
      <c r="AA655">
        <v>0</v>
      </c>
      <c r="AB655">
        <v>0</v>
      </c>
      <c r="AC655">
        <v>0</v>
      </c>
      <c r="AD655" t="s">
        <v>1042</v>
      </c>
      <c r="AE655">
        <v>0</v>
      </c>
      <c r="AF655">
        <v>0</v>
      </c>
      <c r="AH655">
        <v>0</v>
      </c>
      <c r="AJ655">
        <v>0</v>
      </c>
      <c r="AL655">
        <v>0</v>
      </c>
      <c r="AM655">
        <v>0</v>
      </c>
      <c r="AN655">
        <v>11501008</v>
      </c>
      <c r="AO655">
        <v>0</v>
      </c>
      <c r="AP655">
        <v>1001</v>
      </c>
      <c r="AT655">
        <v>0</v>
      </c>
      <c r="AW655" t="s">
        <v>1053</v>
      </c>
      <c r="AX655">
        <v>0</v>
      </c>
      <c r="AY655" s="20">
        <v>44400</v>
      </c>
      <c r="BA655" s="20">
        <v>44400</v>
      </c>
      <c r="BB655" t="s">
        <v>1058</v>
      </c>
      <c r="BD655">
        <v>0</v>
      </c>
      <c r="BF655" t="s">
        <v>1044</v>
      </c>
      <c r="BG655" t="s">
        <v>1042</v>
      </c>
      <c r="BH655">
        <v>0</v>
      </c>
      <c r="BI655">
        <v>6</v>
      </c>
      <c r="BJ655">
        <v>0</v>
      </c>
      <c r="BK655">
        <v>0</v>
      </c>
      <c r="BM655" t="s">
        <v>1042</v>
      </c>
      <c r="BN655">
        <v>0</v>
      </c>
      <c r="BS655" t="s">
        <v>1043</v>
      </c>
      <c r="BT655" t="s">
        <v>1043</v>
      </c>
      <c r="BW655">
        <v>2</v>
      </c>
      <c r="BY655">
        <v>10</v>
      </c>
      <c r="CA655">
        <v>0</v>
      </c>
      <c r="CB655" t="s">
        <v>1043</v>
      </c>
      <c r="CE655" t="s">
        <v>1043</v>
      </c>
      <c r="CH655" t="s">
        <v>1043</v>
      </c>
      <c r="CN655" t="s">
        <v>1074</v>
      </c>
      <c r="CO655" t="s">
        <v>1043</v>
      </c>
      <c r="CP655">
        <v>1</v>
      </c>
      <c r="CQ655">
        <v>0</v>
      </c>
      <c r="CS655">
        <v>0</v>
      </c>
      <c r="CT655">
        <v>0</v>
      </c>
      <c r="CU655">
        <v>0</v>
      </c>
      <c r="CV655" t="s">
        <v>1045</v>
      </c>
      <c r="CW655">
        <v>0</v>
      </c>
      <c r="CX655">
        <v>0</v>
      </c>
      <c r="CY655">
        <v>0</v>
      </c>
      <c r="CZ655">
        <v>0</v>
      </c>
      <c r="DB655">
        <v>0</v>
      </c>
      <c r="DC655" t="s">
        <v>1043</v>
      </c>
      <c r="DF655" t="s">
        <v>1055</v>
      </c>
      <c r="DH655">
        <v>0</v>
      </c>
      <c r="DJ655">
        <v>0</v>
      </c>
      <c r="DK655" t="s">
        <v>1053</v>
      </c>
      <c r="DL655">
        <v>0</v>
      </c>
      <c r="DN655">
        <v>0</v>
      </c>
      <c r="DO655" t="s">
        <v>1042</v>
      </c>
      <c r="DP655">
        <v>0</v>
      </c>
      <c r="DQ655">
        <v>7</v>
      </c>
      <c r="DS655">
        <v>0</v>
      </c>
      <c r="DU655">
        <v>1</v>
      </c>
      <c r="DW655">
        <v>0</v>
      </c>
      <c r="DX655" t="s">
        <v>1043</v>
      </c>
      <c r="DY655">
        <v>0</v>
      </c>
      <c r="DZ655">
        <v>0</v>
      </c>
      <c r="EA655">
        <v>0</v>
      </c>
      <c r="ED655" t="s">
        <v>1045</v>
      </c>
      <c r="EE655">
        <v>0</v>
      </c>
      <c r="EF655">
        <v>0</v>
      </c>
      <c r="EQ655" t="s">
        <v>1044</v>
      </c>
      <c r="ES655" t="s">
        <v>1053</v>
      </c>
      <c r="ET655">
        <v>0</v>
      </c>
      <c r="EV655">
        <v>0</v>
      </c>
      <c r="EY655" t="s">
        <v>1052</v>
      </c>
      <c r="EZ655">
        <v>0</v>
      </c>
      <c r="FA655" t="s">
        <v>1043</v>
      </c>
      <c r="FB655">
        <v>0</v>
      </c>
      <c r="FC655">
        <v>0</v>
      </c>
      <c r="FE655" t="s">
        <v>1050</v>
      </c>
      <c r="FF655">
        <v>0</v>
      </c>
      <c r="FG655" t="s">
        <v>1050</v>
      </c>
      <c r="FJ655">
        <v>0</v>
      </c>
      <c r="FK655">
        <v>0</v>
      </c>
      <c r="FP655">
        <v>0</v>
      </c>
      <c r="FQ655" t="s">
        <v>1044</v>
      </c>
      <c r="FR655">
        <v>0</v>
      </c>
      <c r="FS655" t="s">
        <v>1043</v>
      </c>
      <c r="FX655" t="s">
        <v>1042</v>
      </c>
      <c r="FZ655" t="s">
        <v>1048</v>
      </c>
      <c r="GA655">
        <v>0</v>
      </c>
      <c r="GB655" t="s">
        <v>1042</v>
      </c>
      <c r="GE655">
        <v>0</v>
      </c>
      <c r="GG655">
        <v>0</v>
      </c>
      <c r="GN655">
        <v>0</v>
      </c>
      <c r="GO655" t="s">
        <v>1063</v>
      </c>
      <c r="GQ655">
        <v>0</v>
      </c>
      <c r="GU655">
        <v>0</v>
      </c>
      <c r="GY655" t="s">
        <v>1045</v>
      </c>
      <c r="HB655">
        <v>0</v>
      </c>
      <c r="HE655">
        <v>0</v>
      </c>
      <c r="HF655">
        <v>0</v>
      </c>
      <c r="HG655">
        <v>0</v>
      </c>
      <c r="HK655" t="s">
        <v>1042</v>
      </c>
      <c r="HM655" t="s">
        <v>1047</v>
      </c>
      <c r="HN655">
        <v>0</v>
      </c>
      <c r="HP655">
        <v>0</v>
      </c>
      <c r="HQ655">
        <v>0</v>
      </c>
      <c r="HR655" t="s">
        <v>1042</v>
      </c>
      <c r="HS655" t="s">
        <v>1043</v>
      </c>
      <c r="HT655">
        <v>0</v>
      </c>
      <c r="HU655">
        <v>0</v>
      </c>
      <c r="HV655" t="s">
        <v>1088</v>
      </c>
      <c r="HW655">
        <v>0</v>
      </c>
      <c r="HX655">
        <v>0</v>
      </c>
      <c r="HY655">
        <v>0</v>
      </c>
      <c r="HZ655" t="s">
        <v>1045</v>
      </c>
      <c r="IA655">
        <v>0</v>
      </c>
      <c r="IB655" t="s">
        <v>1045</v>
      </c>
      <c r="ID655" t="s">
        <v>1045</v>
      </c>
      <c r="IF655">
        <v>0</v>
      </c>
      <c r="IG655" t="s">
        <v>1042</v>
      </c>
      <c r="II655" t="s">
        <v>1042</v>
      </c>
      <c r="IR655" t="s">
        <v>1045</v>
      </c>
      <c r="IT655">
        <v>0</v>
      </c>
      <c r="IY655" t="s">
        <v>1044</v>
      </c>
      <c r="IZ655" t="s">
        <v>1043</v>
      </c>
      <c r="JA655" t="s">
        <v>1043</v>
      </c>
      <c r="JC655" t="s">
        <v>1043</v>
      </c>
      <c r="JE655">
        <v>0</v>
      </c>
      <c r="JF655">
        <v>0</v>
      </c>
      <c r="JI655" t="s">
        <v>1042</v>
      </c>
      <c r="JJ655">
        <v>0</v>
      </c>
      <c r="JK655">
        <v>0</v>
      </c>
      <c r="JL655">
        <v>0</v>
      </c>
      <c r="JM655">
        <v>0</v>
      </c>
      <c r="JQ655" t="s">
        <v>1043</v>
      </c>
      <c r="JT655">
        <v>0</v>
      </c>
      <c r="JU655" t="s">
        <v>1042</v>
      </c>
      <c r="JW655">
        <v>0</v>
      </c>
      <c r="KA655">
        <v>0</v>
      </c>
      <c r="KF655">
        <v>0</v>
      </c>
      <c r="KG655">
        <v>0</v>
      </c>
      <c r="KH655">
        <v>0</v>
      </c>
      <c r="KI655">
        <v>0</v>
      </c>
      <c r="KJ655" t="s">
        <v>1044</v>
      </c>
      <c r="KS655" t="s">
        <v>1073</v>
      </c>
      <c r="KT655">
        <v>0</v>
      </c>
      <c r="KU655">
        <v>0</v>
      </c>
      <c r="KV655">
        <v>0</v>
      </c>
      <c r="KX655">
        <v>0</v>
      </c>
      <c r="KY655" t="s">
        <v>1045</v>
      </c>
      <c r="KZ655">
        <v>0</v>
      </c>
      <c r="LF655">
        <v>0</v>
      </c>
      <c r="LH655">
        <v>0</v>
      </c>
      <c r="LI655">
        <v>0</v>
      </c>
    </row>
    <row r="656" spans="1:321" x14ac:dyDescent="0.35">
      <c r="A656">
        <v>1</v>
      </c>
      <c r="B656">
        <v>1452</v>
      </c>
      <c r="C656" t="s">
        <v>758</v>
      </c>
      <c r="D656" t="s">
        <v>1089</v>
      </c>
      <c r="E656" t="s">
        <v>85</v>
      </c>
      <c r="F656">
        <v>1</v>
      </c>
      <c r="G656">
        <v>200</v>
      </c>
      <c r="H656">
        <v>0</v>
      </c>
      <c r="I656" t="s">
        <v>994</v>
      </c>
      <c r="M656">
        <v>0</v>
      </c>
      <c r="N656">
        <v>0</v>
      </c>
      <c r="P656">
        <v>77</v>
      </c>
      <c r="Q656">
        <v>902</v>
      </c>
      <c r="R656">
        <v>0</v>
      </c>
      <c r="S656">
        <v>0</v>
      </c>
      <c r="W656" t="s">
        <v>1060</v>
      </c>
      <c r="X656">
        <v>0</v>
      </c>
      <c r="Z656">
        <v>10</v>
      </c>
      <c r="AA656">
        <v>76.521900000000002</v>
      </c>
      <c r="AB656">
        <v>527</v>
      </c>
      <c r="AC656">
        <v>6.8985000000000003</v>
      </c>
      <c r="AD656" s="20">
        <v>44648</v>
      </c>
      <c r="AE656">
        <v>8.76</v>
      </c>
      <c r="AF656">
        <v>0.158</v>
      </c>
      <c r="AH656">
        <v>477</v>
      </c>
      <c r="AJ656">
        <v>0</v>
      </c>
      <c r="AL656">
        <v>40</v>
      </c>
      <c r="AM656">
        <v>0</v>
      </c>
      <c r="AN656">
        <v>11501008</v>
      </c>
      <c r="AO656">
        <v>0</v>
      </c>
      <c r="AP656">
        <v>1050</v>
      </c>
      <c r="AT656">
        <v>1</v>
      </c>
      <c r="AU656" t="s">
        <v>1059</v>
      </c>
      <c r="AW656" t="s">
        <v>1053</v>
      </c>
      <c r="AX656">
        <v>5</v>
      </c>
      <c r="AY656" s="20">
        <v>44112</v>
      </c>
      <c r="BA656" s="20">
        <v>43718</v>
      </c>
      <c r="BB656" t="s">
        <v>1058</v>
      </c>
      <c r="BD656">
        <v>0</v>
      </c>
      <c r="BF656" t="s">
        <v>1044</v>
      </c>
      <c r="BG656" s="20">
        <v>42149</v>
      </c>
      <c r="BH656">
        <v>0</v>
      </c>
      <c r="BI656">
        <v>6</v>
      </c>
      <c r="BJ656">
        <v>0</v>
      </c>
      <c r="BK656">
        <v>0</v>
      </c>
      <c r="BM656" s="20">
        <v>42195</v>
      </c>
      <c r="BN656">
        <v>0</v>
      </c>
      <c r="BO656">
        <v>7897801313926</v>
      </c>
      <c r="BS656" t="s">
        <v>1043</v>
      </c>
      <c r="BT656" t="s">
        <v>1043</v>
      </c>
      <c r="BW656">
        <v>2</v>
      </c>
      <c r="BY656">
        <v>10</v>
      </c>
      <c r="CA656">
        <v>0</v>
      </c>
      <c r="CB656" t="s">
        <v>1057</v>
      </c>
      <c r="CE656" t="s">
        <v>1043</v>
      </c>
      <c r="CH656" t="s">
        <v>1043</v>
      </c>
      <c r="CN656" t="s">
        <v>1056</v>
      </c>
      <c r="CO656" t="s">
        <v>1043</v>
      </c>
      <c r="CP656">
        <v>1</v>
      </c>
      <c r="CQ656">
        <v>0</v>
      </c>
      <c r="CS656">
        <v>0</v>
      </c>
      <c r="CT656">
        <v>0</v>
      </c>
      <c r="CU656">
        <v>0</v>
      </c>
      <c r="CV656" t="s">
        <v>1045</v>
      </c>
      <c r="CW656">
        <v>0</v>
      </c>
      <c r="CX656">
        <v>0</v>
      </c>
      <c r="CY656">
        <v>0</v>
      </c>
      <c r="CZ656">
        <v>0</v>
      </c>
      <c r="DA656">
        <v>2</v>
      </c>
      <c r="DB656">
        <v>0</v>
      </c>
      <c r="DC656" t="s">
        <v>1043</v>
      </c>
      <c r="DF656" t="s">
        <v>1055</v>
      </c>
      <c r="DH656">
        <v>0</v>
      </c>
      <c r="DJ656">
        <v>0</v>
      </c>
      <c r="DK656" t="s">
        <v>1053</v>
      </c>
      <c r="DL656">
        <v>0</v>
      </c>
      <c r="DN656">
        <v>0</v>
      </c>
      <c r="DO656" t="s">
        <v>1042</v>
      </c>
      <c r="DP656">
        <v>0</v>
      </c>
      <c r="DQ656">
        <v>7.6</v>
      </c>
      <c r="DS656">
        <v>0</v>
      </c>
      <c r="DU656">
        <v>1.65</v>
      </c>
      <c r="DW656">
        <v>0</v>
      </c>
      <c r="DX656" t="s">
        <v>1043</v>
      </c>
      <c r="DY656">
        <v>0</v>
      </c>
      <c r="DZ656">
        <v>0</v>
      </c>
      <c r="EA656">
        <v>0</v>
      </c>
      <c r="EB656">
        <v>17897801313923</v>
      </c>
      <c r="ED656" t="s">
        <v>1045</v>
      </c>
      <c r="EE656">
        <v>0</v>
      </c>
      <c r="EF656">
        <v>0</v>
      </c>
      <c r="EL656">
        <v>57897801313921</v>
      </c>
      <c r="EN656" t="s">
        <v>1012</v>
      </c>
      <c r="EO656" t="s">
        <v>1044</v>
      </c>
      <c r="EQ656" t="s">
        <v>1044</v>
      </c>
      <c r="ES656" t="s">
        <v>1053</v>
      </c>
      <c r="ET656">
        <v>0</v>
      </c>
      <c r="EV656">
        <v>0</v>
      </c>
      <c r="EY656" t="s">
        <v>1052</v>
      </c>
      <c r="EZ656">
        <v>0</v>
      </c>
      <c r="FA656" t="s">
        <v>1043</v>
      </c>
      <c r="FB656">
        <v>0</v>
      </c>
      <c r="FC656">
        <v>0</v>
      </c>
      <c r="FD656" t="s">
        <v>1051</v>
      </c>
      <c r="FE656" t="s">
        <v>1050</v>
      </c>
      <c r="FF656">
        <v>0</v>
      </c>
      <c r="FG656" t="s">
        <v>1050</v>
      </c>
      <c r="FH656">
        <v>27897801313920</v>
      </c>
      <c r="FJ656">
        <v>0</v>
      </c>
      <c r="FK656">
        <v>0</v>
      </c>
      <c r="FP656">
        <v>0</v>
      </c>
      <c r="FQ656" t="s">
        <v>1044</v>
      </c>
      <c r="FR656">
        <v>0</v>
      </c>
      <c r="FS656" t="s">
        <v>1043</v>
      </c>
      <c r="FX656" t="s">
        <v>1042</v>
      </c>
      <c r="FZ656" t="s">
        <v>1048</v>
      </c>
      <c r="GA656">
        <v>0</v>
      </c>
      <c r="GB656" t="s">
        <v>1042</v>
      </c>
      <c r="GE656">
        <v>0</v>
      </c>
      <c r="GG656">
        <v>0</v>
      </c>
      <c r="GN656">
        <v>0</v>
      </c>
      <c r="GO656" t="s">
        <v>1063</v>
      </c>
      <c r="GQ656">
        <v>0</v>
      </c>
      <c r="GU656">
        <v>0</v>
      </c>
      <c r="GY656" t="s">
        <v>1045</v>
      </c>
      <c r="HB656">
        <v>0</v>
      </c>
      <c r="HE656">
        <v>0</v>
      </c>
      <c r="HF656">
        <v>0</v>
      </c>
      <c r="HG656">
        <v>2.087E-2</v>
      </c>
      <c r="HK656" t="s">
        <v>1042</v>
      </c>
      <c r="HL656" t="s">
        <v>1048</v>
      </c>
      <c r="HM656" t="s">
        <v>1047</v>
      </c>
      <c r="HN656">
        <v>0</v>
      </c>
      <c r="HO656">
        <v>17</v>
      </c>
      <c r="HP656">
        <v>0.158</v>
      </c>
      <c r="HQ656">
        <v>0</v>
      </c>
      <c r="HR656" s="20">
        <v>44221</v>
      </c>
      <c r="HS656" t="s">
        <v>1043</v>
      </c>
      <c r="HT656">
        <v>0</v>
      </c>
      <c r="HU656">
        <v>0</v>
      </c>
      <c r="HW656">
        <v>0</v>
      </c>
      <c r="HX656">
        <v>1004</v>
      </c>
      <c r="HY656">
        <v>1</v>
      </c>
      <c r="HZ656" t="s">
        <v>1045</v>
      </c>
      <c r="IA656">
        <v>8.76</v>
      </c>
      <c r="IB656" t="s">
        <v>1045</v>
      </c>
      <c r="ID656" t="s">
        <v>1045</v>
      </c>
      <c r="IF656">
        <v>1080</v>
      </c>
      <c r="IG656" s="20">
        <v>42177</v>
      </c>
      <c r="II656" t="s">
        <v>1042</v>
      </c>
      <c r="IR656" t="s">
        <v>1045</v>
      </c>
      <c r="IT656">
        <v>0</v>
      </c>
      <c r="IY656" t="s">
        <v>1044</v>
      </c>
      <c r="IZ656" t="s">
        <v>1043</v>
      </c>
      <c r="JA656" t="s">
        <v>1043</v>
      </c>
      <c r="JC656" t="s">
        <v>1043</v>
      </c>
      <c r="JE656">
        <v>0</v>
      </c>
      <c r="JF656">
        <v>0</v>
      </c>
      <c r="JI656" t="s">
        <v>1042</v>
      </c>
      <c r="JJ656">
        <v>0</v>
      </c>
      <c r="JK656">
        <v>0</v>
      </c>
      <c r="JL656">
        <v>0</v>
      </c>
      <c r="JM656">
        <v>0</v>
      </c>
      <c r="JQ656" t="s">
        <v>1043</v>
      </c>
      <c r="JT656">
        <v>0</v>
      </c>
      <c r="JU656" t="s">
        <v>1042</v>
      </c>
      <c r="JW656">
        <v>0</v>
      </c>
      <c r="KA656">
        <v>0</v>
      </c>
      <c r="KF656">
        <v>0</v>
      </c>
      <c r="KG656">
        <v>0</v>
      </c>
      <c r="KH656">
        <v>0</v>
      </c>
      <c r="KI656">
        <v>0</v>
      </c>
      <c r="KP656" t="s">
        <v>1045</v>
      </c>
      <c r="KS656" t="s">
        <v>1041</v>
      </c>
      <c r="KT656">
        <v>0</v>
      </c>
      <c r="KU656">
        <v>0</v>
      </c>
      <c r="KV656">
        <v>0</v>
      </c>
      <c r="KX656">
        <v>0</v>
      </c>
      <c r="KY656" t="s">
        <v>1045</v>
      </c>
      <c r="KZ656">
        <v>0</v>
      </c>
      <c r="LF656">
        <v>0</v>
      </c>
      <c r="LH656">
        <v>0</v>
      </c>
      <c r="LI656">
        <v>0</v>
      </c>
    </row>
    <row r="657" spans="1:321" x14ac:dyDescent="0.35">
      <c r="A657">
        <v>1</v>
      </c>
      <c r="B657">
        <v>1453</v>
      </c>
      <c r="C657" t="s">
        <v>1102</v>
      </c>
      <c r="D657" t="s">
        <v>1089</v>
      </c>
      <c r="E657" t="s">
        <v>85</v>
      </c>
      <c r="F657">
        <v>1</v>
      </c>
      <c r="G657">
        <v>8890</v>
      </c>
      <c r="H657">
        <v>0</v>
      </c>
      <c r="I657" t="s">
        <v>994</v>
      </c>
      <c r="M657">
        <v>0</v>
      </c>
      <c r="N657">
        <v>0</v>
      </c>
      <c r="P657">
        <v>77</v>
      </c>
      <c r="Q657">
        <v>902</v>
      </c>
      <c r="R657">
        <v>0</v>
      </c>
      <c r="S657">
        <v>0</v>
      </c>
      <c r="W657" t="s">
        <v>1060</v>
      </c>
      <c r="X657">
        <v>0</v>
      </c>
      <c r="Z657">
        <v>1</v>
      </c>
      <c r="AA657">
        <v>0</v>
      </c>
      <c r="AB657">
        <v>0</v>
      </c>
      <c r="AC657">
        <v>0</v>
      </c>
      <c r="AD657" t="s">
        <v>1042</v>
      </c>
      <c r="AE657">
        <v>0</v>
      </c>
      <c r="AF657">
        <v>0</v>
      </c>
      <c r="AH657">
        <v>0</v>
      </c>
      <c r="AJ657">
        <v>0</v>
      </c>
      <c r="AL657">
        <v>0</v>
      </c>
      <c r="AM657">
        <v>0</v>
      </c>
      <c r="AN657">
        <v>11501008</v>
      </c>
      <c r="AO657">
        <v>0</v>
      </c>
      <c r="AP657">
        <v>1001</v>
      </c>
      <c r="AT657">
        <v>0</v>
      </c>
      <c r="AW657" t="s">
        <v>1053</v>
      </c>
      <c r="AX657">
        <v>0</v>
      </c>
      <c r="AY657" s="20">
        <v>44391</v>
      </c>
      <c r="BA657" s="20">
        <v>44391</v>
      </c>
      <c r="BB657" t="s">
        <v>1058</v>
      </c>
      <c r="BD657">
        <v>0</v>
      </c>
      <c r="BF657" t="s">
        <v>1044</v>
      </c>
      <c r="BG657" t="s">
        <v>1042</v>
      </c>
      <c r="BH657">
        <v>0</v>
      </c>
      <c r="BI657">
        <v>6</v>
      </c>
      <c r="BJ657">
        <v>0</v>
      </c>
      <c r="BK657">
        <v>0</v>
      </c>
      <c r="BM657" t="s">
        <v>1042</v>
      </c>
      <c r="BN657">
        <v>0</v>
      </c>
      <c r="BS657" t="s">
        <v>1043</v>
      </c>
      <c r="BT657" t="s">
        <v>1043</v>
      </c>
      <c r="BW657">
        <v>2</v>
      </c>
      <c r="BY657">
        <v>10</v>
      </c>
      <c r="CA657">
        <v>0</v>
      </c>
      <c r="CB657" t="s">
        <v>1043</v>
      </c>
      <c r="CE657" t="s">
        <v>1043</v>
      </c>
      <c r="CH657" t="s">
        <v>1043</v>
      </c>
      <c r="CN657" t="s">
        <v>1074</v>
      </c>
      <c r="CO657" t="s">
        <v>1043</v>
      </c>
      <c r="CP657">
        <v>1</v>
      </c>
      <c r="CQ657">
        <v>0</v>
      </c>
      <c r="CS657">
        <v>0</v>
      </c>
      <c r="CT657">
        <v>0</v>
      </c>
      <c r="CU657">
        <v>0</v>
      </c>
      <c r="CV657" t="s">
        <v>1045</v>
      </c>
      <c r="CW657">
        <v>0</v>
      </c>
      <c r="CX657">
        <v>0</v>
      </c>
      <c r="CY657">
        <v>0</v>
      </c>
      <c r="CZ657">
        <v>0</v>
      </c>
      <c r="DB657">
        <v>0</v>
      </c>
      <c r="DC657" t="s">
        <v>1043</v>
      </c>
      <c r="DF657" t="s">
        <v>1055</v>
      </c>
      <c r="DH657">
        <v>0</v>
      </c>
      <c r="DJ657">
        <v>0</v>
      </c>
      <c r="DK657" t="s">
        <v>1053</v>
      </c>
      <c r="DL657">
        <v>0</v>
      </c>
      <c r="DN657">
        <v>0</v>
      </c>
      <c r="DO657" t="s">
        <v>1042</v>
      </c>
      <c r="DP657">
        <v>0</v>
      </c>
      <c r="DQ657">
        <v>7</v>
      </c>
      <c r="DS657">
        <v>0</v>
      </c>
      <c r="DU657">
        <v>1</v>
      </c>
      <c r="DW657">
        <v>0</v>
      </c>
      <c r="DX657" t="s">
        <v>1043</v>
      </c>
      <c r="DY657">
        <v>0</v>
      </c>
      <c r="DZ657">
        <v>0</v>
      </c>
      <c r="EA657">
        <v>0</v>
      </c>
      <c r="ED657" t="s">
        <v>1045</v>
      </c>
      <c r="EE657">
        <v>0</v>
      </c>
      <c r="EF657">
        <v>0</v>
      </c>
      <c r="EQ657" t="s">
        <v>1044</v>
      </c>
      <c r="ES657" t="s">
        <v>1053</v>
      </c>
      <c r="ET657">
        <v>0</v>
      </c>
      <c r="EV657">
        <v>0</v>
      </c>
      <c r="EY657" t="s">
        <v>1052</v>
      </c>
      <c r="EZ657">
        <v>0</v>
      </c>
      <c r="FA657" t="s">
        <v>1043</v>
      </c>
      <c r="FB657">
        <v>0</v>
      </c>
      <c r="FC657">
        <v>0</v>
      </c>
      <c r="FE657" t="s">
        <v>1050</v>
      </c>
      <c r="FF657">
        <v>0</v>
      </c>
      <c r="FG657" t="s">
        <v>1050</v>
      </c>
      <c r="FJ657">
        <v>0</v>
      </c>
      <c r="FK657">
        <v>0</v>
      </c>
      <c r="FP657">
        <v>0</v>
      </c>
      <c r="FQ657" t="s">
        <v>1044</v>
      </c>
      <c r="FR657">
        <v>0</v>
      </c>
      <c r="FS657" t="s">
        <v>1043</v>
      </c>
      <c r="FX657" t="s">
        <v>1042</v>
      </c>
      <c r="FZ657" t="s">
        <v>1048</v>
      </c>
      <c r="GA657">
        <v>0</v>
      </c>
      <c r="GB657" t="s">
        <v>1042</v>
      </c>
      <c r="GE657">
        <v>0</v>
      </c>
      <c r="GG657">
        <v>0</v>
      </c>
      <c r="GN657">
        <v>0</v>
      </c>
      <c r="GO657" t="s">
        <v>1063</v>
      </c>
      <c r="GQ657">
        <v>0</v>
      </c>
      <c r="GU657">
        <v>0</v>
      </c>
      <c r="GY657" t="s">
        <v>1045</v>
      </c>
      <c r="HB657">
        <v>0</v>
      </c>
      <c r="HE657">
        <v>0</v>
      </c>
      <c r="HF657">
        <v>0</v>
      </c>
      <c r="HG657">
        <v>0</v>
      </c>
      <c r="HK657" t="s">
        <v>1042</v>
      </c>
      <c r="HM657" t="s">
        <v>1047</v>
      </c>
      <c r="HN657">
        <v>0</v>
      </c>
      <c r="HP657">
        <v>0</v>
      </c>
      <c r="HQ657">
        <v>0</v>
      </c>
      <c r="HR657" t="s">
        <v>1042</v>
      </c>
      <c r="HS657" t="s">
        <v>1043</v>
      </c>
      <c r="HT657">
        <v>0</v>
      </c>
      <c r="HU657">
        <v>0</v>
      </c>
      <c r="HV657" t="s">
        <v>1088</v>
      </c>
      <c r="HW657">
        <v>0</v>
      </c>
      <c r="HX657">
        <v>0</v>
      </c>
      <c r="HY657">
        <v>0</v>
      </c>
      <c r="HZ657" t="s">
        <v>1045</v>
      </c>
      <c r="IA657">
        <v>0</v>
      </c>
      <c r="IB657" t="s">
        <v>1045</v>
      </c>
      <c r="ID657" t="s">
        <v>1045</v>
      </c>
      <c r="IF657">
        <v>0</v>
      </c>
      <c r="IG657" t="s">
        <v>1042</v>
      </c>
      <c r="II657" t="s">
        <v>1042</v>
      </c>
      <c r="IR657" t="s">
        <v>1045</v>
      </c>
      <c r="IT657">
        <v>0</v>
      </c>
      <c r="IY657" t="s">
        <v>1044</v>
      </c>
      <c r="IZ657" t="s">
        <v>1043</v>
      </c>
      <c r="JA657" t="s">
        <v>1043</v>
      </c>
      <c r="JC657" t="s">
        <v>1043</v>
      </c>
      <c r="JE657">
        <v>0</v>
      </c>
      <c r="JF657">
        <v>0</v>
      </c>
      <c r="JI657" t="s">
        <v>1042</v>
      </c>
      <c r="JJ657">
        <v>0</v>
      </c>
      <c r="JK657">
        <v>0</v>
      </c>
      <c r="JL657">
        <v>0</v>
      </c>
      <c r="JM657">
        <v>0</v>
      </c>
      <c r="JQ657" t="s">
        <v>1043</v>
      </c>
      <c r="JT657">
        <v>0</v>
      </c>
      <c r="JU657" t="s">
        <v>1042</v>
      </c>
      <c r="JW657">
        <v>0</v>
      </c>
      <c r="KA657">
        <v>0</v>
      </c>
      <c r="KF657">
        <v>0</v>
      </c>
      <c r="KG657">
        <v>0</v>
      </c>
      <c r="KH657">
        <v>0</v>
      </c>
      <c r="KI657">
        <v>0</v>
      </c>
      <c r="KJ657" t="s">
        <v>1044</v>
      </c>
      <c r="KS657" t="s">
        <v>1073</v>
      </c>
      <c r="KT657">
        <v>0</v>
      </c>
      <c r="KU657">
        <v>0</v>
      </c>
      <c r="KV657">
        <v>0</v>
      </c>
      <c r="KX657">
        <v>0</v>
      </c>
      <c r="KY657" t="s">
        <v>1045</v>
      </c>
      <c r="KZ657">
        <v>0</v>
      </c>
      <c r="LF657">
        <v>0</v>
      </c>
      <c r="LH657">
        <v>0</v>
      </c>
      <c r="LI657">
        <v>0</v>
      </c>
    </row>
    <row r="658" spans="1:321" x14ac:dyDescent="0.35">
      <c r="A658">
        <v>1</v>
      </c>
      <c r="B658">
        <v>1454</v>
      </c>
      <c r="C658" t="s">
        <v>1101</v>
      </c>
      <c r="D658" t="s">
        <v>1089</v>
      </c>
      <c r="E658" t="s">
        <v>85</v>
      </c>
      <c r="F658">
        <v>1</v>
      </c>
      <c r="G658">
        <v>8890</v>
      </c>
      <c r="H658">
        <v>0</v>
      </c>
      <c r="I658" t="s">
        <v>994</v>
      </c>
      <c r="M658">
        <v>0</v>
      </c>
      <c r="N658">
        <v>0</v>
      </c>
      <c r="P658">
        <v>77</v>
      </c>
      <c r="Q658">
        <v>902</v>
      </c>
      <c r="R658">
        <v>0</v>
      </c>
      <c r="S658">
        <v>0</v>
      </c>
      <c r="W658" t="s">
        <v>1060</v>
      </c>
      <c r="X658">
        <v>0</v>
      </c>
      <c r="Z658">
        <v>1</v>
      </c>
      <c r="AA658">
        <v>0</v>
      </c>
      <c r="AB658">
        <v>0</v>
      </c>
      <c r="AC658">
        <v>0</v>
      </c>
      <c r="AD658" t="s">
        <v>1042</v>
      </c>
      <c r="AE658">
        <v>0</v>
      </c>
      <c r="AF658">
        <v>0</v>
      </c>
      <c r="AH658">
        <v>0</v>
      </c>
      <c r="AJ658">
        <v>0</v>
      </c>
      <c r="AL658">
        <v>0</v>
      </c>
      <c r="AM658">
        <v>0</v>
      </c>
      <c r="AN658">
        <v>11501008</v>
      </c>
      <c r="AO658">
        <v>0</v>
      </c>
      <c r="AP658">
        <v>1001</v>
      </c>
      <c r="AT658">
        <v>0</v>
      </c>
      <c r="AW658" t="s">
        <v>1053</v>
      </c>
      <c r="AX658">
        <v>0</v>
      </c>
      <c r="AY658" s="20">
        <v>44391</v>
      </c>
      <c r="BA658" s="20">
        <v>44391</v>
      </c>
      <c r="BB658" t="s">
        <v>1058</v>
      </c>
      <c r="BD658">
        <v>0</v>
      </c>
      <c r="BF658" t="s">
        <v>1044</v>
      </c>
      <c r="BG658" t="s">
        <v>1042</v>
      </c>
      <c r="BH658">
        <v>0</v>
      </c>
      <c r="BI658">
        <v>6</v>
      </c>
      <c r="BJ658">
        <v>0</v>
      </c>
      <c r="BK658">
        <v>0</v>
      </c>
      <c r="BM658" t="s">
        <v>1042</v>
      </c>
      <c r="BN658">
        <v>0</v>
      </c>
      <c r="BS658" t="s">
        <v>1043</v>
      </c>
      <c r="BT658" t="s">
        <v>1043</v>
      </c>
      <c r="BW658">
        <v>2</v>
      </c>
      <c r="BY658">
        <v>10</v>
      </c>
      <c r="CA658">
        <v>0</v>
      </c>
      <c r="CB658" t="s">
        <v>1043</v>
      </c>
      <c r="CE658" t="s">
        <v>1043</v>
      </c>
      <c r="CH658" t="s">
        <v>1043</v>
      </c>
      <c r="CN658" t="s">
        <v>1074</v>
      </c>
      <c r="CO658" t="s">
        <v>1043</v>
      </c>
      <c r="CP658">
        <v>1</v>
      </c>
      <c r="CQ658">
        <v>0</v>
      </c>
      <c r="CS658">
        <v>0</v>
      </c>
      <c r="CT658">
        <v>0</v>
      </c>
      <c r="CU658">
        <v>0</v>
      </c>
      <c r="CV658" t="s">
        <v>1045</v>
      </c>
      <c r="CW658">
        <v>0</v>
      </c>
      <c r="CX658">
        <v>0</v>
      </c>
      <c r="CY658">
        <v>0</v>
      </c>
      <c r="CZ658">
        <v>0</v>
      </c>
      <c r="DB658">
        <v>0</v>
      </c>
      <c r="DC658" t="s">
        <v>1043</v>
      </c>
      <c r="DF658" t="s">
        <v>1055</v>
      </c>
      <c r="DH658">
        <v>0</v>
      </c>
      <c r="DJ658">
        <v>0</v>
      </c>
      <c r="DK658" t="s">
        <v>1053</v>
      </c>
      <c r="DL658">
        <v>0</v>
      </c>
      <c r="DN658">
        <v>0</v>
      </c>
      <c r="DO658" t="s">
        <v>1042</v>
      </c>
      <c r="DP658">
        <v>0</v>
      </c>
      <c r="DQ658">
        <v>7</v>
      </c>
      <c r="DS658">
        <v>0</v>
      </c>
      <c r="DU658">
        <v>1</v>
      </c>
      <c r="DW658">
        <v>0</v>
      </c>
      <c r="DX658" t="s">
        <v>1043</v>
      </c>
      <c r="DY658">
        <v>0</v>
      </c>
      <c r="DZ658">
        <v>0</v>
      </c>
      <c r="EA658">
        <v>0</v>
      </c>
      <c r="ED658" t="s">
        <v>1045</v>
      </c>
      <c r="EE658">
        <v>0</v>
      </c>
      <c r="EF658">
        <v>0</v>
      </c>
      <c r="EQ658" t="s">
        <v>1044</v>
      </c>
      <c r="ES658" t="s">
        <v>1053</v>
      </c>
      <c r="ET658">
        <v>0</v>
      </c>
      <c r="EV658">
        <v>0</v>
      </c>
      <c r="EY658" t="s">
        <v>1052</v>
      </c>
      <c r="EZ658">
        <v>0</v>
      </c>
      <c r="FA658" t="s">
        <v>1043</v>
      </c>
      <c r="FB658">
        <v>0</v>
      </c>
      <c r="FC658">
        <v>0</v>
      </c>
      <c r="FE658" t="s">
        <v>1050</v>
      </c>
      <c r="FF658">
        <v>0</v>
      </c>
      <c r="FG658" t="s">
        <v>1050</v>
      </c>
      <c r="FJ658">
        <v>0</v>
      </c>
      <c r="FK658">
        <v>0</v>
      </c>
      <c r="FP658">
        <v>0</v>
      </c>
      <c r="FQ658" t="s">
        <v>1044</v>
      </c>
      <c r="FR658">
        <v>0</v>
      </c>
      <c r="FS658" t="s">
        <v>1043</v>
      </c>
      <c r="FX658" t="s">
        <v>1042</v>
      </c>
      <c r="FZ658" t="s">
        <v>1048</v>
      </c>
      <c r="GA658">
        <v>0</v>
      </c>
      <c r="GB658" t="s">
        <v>1042</v>
      </c>
      <c r="GE658">
        <v>0</v>
      </c>
      <c r="GG658">
        <v>0</v>
      </c>
      <c r="GN658">
        <v>0</v>
      </c>
      <c r="GO658" t="s">
        <v>1063</v>
      </c>
      <c r="GQ658">
        <v>0</v>
      </c>
      <c r="GU658">
        <v>0</v>
      </c>
      <c r="GY658" t="s">
        <v>1045</v>
      </c>
      <c r="HB658">
        <v>0</v>
      </c>
      <c r="HE658">
        <v>0</v>
      </c>
      <c r="HF658">
        <v>0</v>
      </c>
      <c r="HG658">
        <v>0</v>
      </c>
      <c r="HK658" t="s">
        <v>1042</v>
      </c>
      <c r="HM658" t="s">
        <v>1047</v>
      </c>
      <c r="HN658">
        <v>0</v>
      </c>
      <c r="HP658">
        <v>0</v>
      </c>
      <c r="HQ658">
        <v>0</v>
      </c>
      <c r="HR658" t="s">
        <v>1042</v>
      </c>
      <c r="HS658" t="s">
        <v>1043</v>
      </c>
      <c r="HT658">
        <v>0</v>
      </c>
      <c r="HU658">
        <v>0</v>
      </c>
      <c r="HV658" t="s">
        <v>1088</v>
      </c>
      <c r="HW658">
        <v>0</v>
      </c>
      <c r="HX658">
        <v>0</v>
      </c>
      <c r="HY658">
        <v>0</v>
      </c>
      <c r="HZ658" t="s">
        <v>1045</v>
      </c>
      <c r="IA658">
        <v>0</v>
      </c>
      <c r="IB658" t="s">
        <v>1045</v>
      </c>
      <c r="ID658" t="s">
        <v>1045</v>
      </c>
      <c r="IF658">
        <v>0</v>
      </c>
      <c r="IG658" t="s">
        <v>1042</v>
      </c>
      <c r="II658" t="s">
        <v>1042</v>
      </c>
      <c r="IR658" t="s">
        <v>1045</v>
      </c>
      <c r="IT658">
        <v>0</v>
      </c>
      <c r="IY658" t="s">
        <v>1044</v>
      </c>
      <c r="IZ658" t="s">
        <v>1043</v>
      </c>
      <c r="JA658" t="s">
        <v>1043</v>
      </c>
      <c r="JC658" t="s">
        <v>1043</v>
      </c>
      <c r="JE658">
        <v>0</v>
      </c>
      <c r="JF658">
        <v>0</v>
      </c>
      <c r="JI658" t="s">
        <v>1042</v>
      </c>
      <c r="JJ658">
        <v>0</v>
      </c>
      <c r="JK658">
        <v>0</v>
      </c>
      <c r="JL658">
        <v>0</v>
      </c>
      <c r="JM658">
        <v>0</v>
      </c>
      <c r="JQ658" t="s">
        <v>1043</v>
      </c>
      <c r="JT658">
        <v>0</v>
      </c>
      <c r="JU658" t="s">
        <v>1042</v>
      </c>
      <c r="JW658">
        <v>0</v>
      </c>
      <c r="KA658">
        <v>0</v>
      </c>
      <c r="KF658">
        <v>0</v>
      </c>
      <c r="KG658">
        <v>0</v>
      </c>
      <c r="KH658">
        <v>0</v>
      </c>
      <c r="KI658">
        <v>0</v>
      </c>
      <c r="KJ658" t="s">
        <v>1044</v>
      </c>
      <c r="KS658" t="s">
        <v>1073</v>
      </c>
      <c r="KT658">
        <v>0</v>
      </c>
      <c r="KU658">
        <v>0</v>
      </c>
      <c r="KV658">
        <v>0</v>
      </c>
      <c r="KX658">
        <v>0</v>
      </c>
      <c r="KY658" t="s">
        <v>1045</v>
      </c>
      <c r="KZ658">
        <v>0</v>
      </c>
      <c r="LF658">
        <v>0</v>
      </c>
      <c r="LH658">
        <v>0</v>
      </c>
      <c r="LI658">
        <v>0</v>
      </c>
    </row>
    <row r="659" spans="1:321" x14ac:dyDescent="0.35">
      <c r="A659">
        <v>1</v>
      </c>
      <c r="B659">
        <v>1456</v>
      </c>
      <c r="C659" t="s">
        <v>1100</v>
      </c>
      <c r="D659" t="s">
        <v>1089</v>
      </c>
      <c r="E659" t="s">
        <v>85</v>
      </c>
      <c r="F659">
        <v>1</v>
      </c>
      <c r="G659">
        <v>8890</v>
      </c>
      <c r="H659">
        <v>0</v>
      </c>
      <c r="I659" t="s">
        <v>994</v>
      </c>
      <c r="M659">
        <v>0</v>
      </c>
      <c r="N659">
        <v>0</v>
      </c>
      <c r="P659">
        <v>77</v>
      </c>
      <c r="Q659">
        <v>902</v>
      </c>
      <c r="R659">
        <v>0</v>
      </c>
      <c r="S659">
        <v>0</v>
      </c>
      <c r="W659" t="s">
        <v>1060</v>
      </c>
      <c r="X659">
        <v>0</v>
      </c>
      <c r="Z659">
        <v>15</v>
      </c>
      <c r="AA659">
        <v>0</v>
      </c>
      <c r="AB659">
        <v>0</v>
      </c>
      <c r="AC659">
        <v>0</v>
      </c>
      <c r="AD659" t="s">
        <v>1042</v>
      </c>
      <c r="AE659">
        <v>0</v>
      </c>
      <c r="AF659">
        <v>0</v>
      </c>
      <c r="AH659">
        <v>0</v>
      </c>
      <c r="AJ659">
        <v>0</v>
      </c>
      <c r="AL659">
        <v>0</v>
      </c>
      <c r="AM659">
        <v>0</v>
      </c>
      <c r="AN659">
        <v>11501008</v>
      </c>
      <c r="AO659">
        <v>0</v>
      </c>
      <c r="AP659">
        <v>1001</v>
      </c>
      <c r="AT659">
        <v>0</v>
      </c>
      <c r="AW659" t="s">
        <v>1053</v>
      </c>
      <c r="AX659">
        <v>0</v>
      </c>
      <c r="AY659" s="20">
        <v>44391</v>
      </c>
      <c r="BA659" s="20">
        <v>44391</v>
      </c>
      <c r="BB659" t="s">
        <v>1058</v>
      </c>
      <c r="BD659">
        <v>0</v>
      </c>
      <c r="BF659" t="s">
        <v>1044</v>
      </c>
      <c r="BG659" t="s">
        <v>1042</v>
      </c>
      <c r="BH659">
        <v>0</v>
      </c>
      <c r="BI659">
        <v>6</v>
      </c>
      <c r="BJ659">
        <v>0</v>
      </c>
      <c r="BK659">
        <v>0</v>
      </c>
      <c r="BM659" t="s">
        <v>1042</v>
      </c>
      <c r="BN659">
        <v>0</v>
      </c>
      <c r="BS659" t="s">
        <v>1043</v>
      </c>
      <c r="BT659" t="s">
        <v>1043</v>
      </c>
      <c r="BW659">
        <v>2</v>
      </c>
      <c r="BY659">
        <v>10</v>
      </c>
      <c r="CA659">
        <v>0</v>
      </c>
      <c r="CB659" t="s">
        <v>1043</v>
      </c>
      <c r="CE659" t="s">
        <v>1043</v>
      </c>
      <c r="CH659" t="s">
        <v>1043</v>
      </c>
      <c r="CN659" t="s">
        <v>1074</v>
      </c>
      <c r="CO659" t="s">
        <v>1043</v>
      </c>
      <c r="CP659">
        <v>1</v>
      </c>
      <c r="CQ659">
        <v>0</v>
      </c>
      <c r="CS659">
        <v>0</v>
      </c>
      <c r="CT659">
        <v>0</v>
      </c>
      <c r="CU659">
        <v>0</v>
      </c>
      <c r="CV659" t="s">
        <v>1045</v>
      </c>
      <c r="CW659">
        <v>0</v>
      </c>
      <c r="CX659">
        <v>0</v>
      </c>
      <c r="CY659">
        <v>0</v>
      </c>
      <c r="CZ659">
        <v>0</v>
      </c>
      <c r="DB659">
        <v>0</v>
      </c>
      <c r="DC659" t="s">
        <v>1043</v>
      </c>
      <c r="DF659" t="s">
        <v>1055</v>
      </c>
      <c r="DH659">
        <v>0</v>
      </c>
      <c r="DJ659">
        <v>0</v>
      </c>
      <c r="DK659" t="s">
        <v>1053</v>
      </c>
      <c r="DL659">
        <v>0</v>
      </c>
      <c r="DN659">
        <v>0</v>
      </c>
      <c r="DO659" t="s">
        <v>1042</v>
      </c>
      <c r="DP659">
        <v>0</v>
      </c>
      <c r="DQ659">
        <v>7</v>
      </c>
      <c r="DS659">
        <v>0</v>
      </c>
      <c r="DU659">
        <v>1</v>
      </c>
      <c r="DW659">
        <v>0</v>
      </c>
      <c r="DX659" t="s">
        <v>1043</v>
      </c>
      <c r="DY659">
        <v>0</v>
      </c>
      <c r="DZ659">
        <v>0</v>
      </c>
      <c r="EA659">
        <v>0</v>
      </c>
      <c r="ED659" t="s">
        <v>1045</v>
      </c>
      <c r="EE659">
        <v>0</v>
      </c>
      <c r="EF659">
        <v>0</v>
      </c>
      <c r="EQ659" t="s">
        <v>1044</v>
      </c>
      <c r="ES659" t="s">
        <v>1053</v>
      </c>
      <c r="ET659">
        <v>0</v>
      </c>
      <c r="EV659">
        <v>0</v>
      </c>
      <c r="EY659" t="s">
        <v>1052</v>
      </c>
      <c r="EZ659">
        <v>0</v>
      </c>
      <c r="FA659" t="s">
        <v>1043</v>
      </c>
      <c r="FB659">
        <v>0</v>
      </c>
      <c r="FC659">
        <v>0</v>
      </c>
      <c r="FE659" t="s">
        <v>1050</v>
      </c>
      <c r="FF659">
        <v>0</v>
      </c>
      <c r="FG659" t="s">
        <v>1050</v>
      </c>
      <c r="FJ659">
        <v>0</v>
      </c>
      <c r="FK659">
        <v>0</v>
      </c>
      <c r="FP659">
        <v>0</v>
      </c>
      <c r="FQ659" t="s">
        <v>1044</v>
      </c>
      <c r="FR659">
        <v>0</v>
      </c>
      <c r="FS659" t="s">
        <v>1043</v>
      </c>
      <c r="FX659" t="s">
        <v>1042</v>
      </c>
      <c r="FZ659" t="s">
        <v>1048</v>
      </c>
      <c r="GA659">
        <v>0</v>
      </c>
      <c r="GB659" t="s">
        <v>1042</v>
      </c>
      <c r="GE659">
        <v>0</v>
      </c>
      <c r="GG659">
        <v>0</v>
      </c>
      <c r="GN659">
        <v>0</v>
      </c>
      <c r="GO659" t="s">
        <v>1063</v>
      </c>
      <c r="GQ659">
        <v>0</v>
      </c>
      <c r="GU659">
        <v>0</v>
      </c>
      <c r="GY659" t="s">
        <v>1045</v>
      </c>
      <c r="HB659">
        <v>0</v>
      </c>
      <c r="HE659">
        <v>0</v>
      </c>
      <c r="HF659">
        <v>0</v>
      </c>
      <c r="HG659">
        <v>0</v>
      </c>
      <c r="HK659" t="s">
        <v>1042</v>
      </c>
      <c r="HM659" t="s">
        <v>1047</v>
      </c>
      <c r="HN659">
        <v>0</v>
      </c>
      <c r="HP659">
        <v>0</v>
      </c>
      <c r="HQ659">
        <v>0</v>
      </c>
      <c r="HR659" t="s">
        <v>1042</v>
      </c>
      <c r="HS659" t="s">
        <v>1043</v>
      </c>
      <c r="HT659">
        <v>0</v>
      </c>
      <c r="HU659">
        <v>0</v>
      </c>
      <c r="HV659" t="s">
        <v>1088</v>
      </c>
      <c r="HW659">
        <v>0</v>
      </c>
      <c r="HX659">
        <v>0</v>
      </c>
      <c r="HY659">
        <v>0</v>
      </c>
      <c r="HZ659" t="s">
        <v>1045</v>
      </c>
      <c r="IA659">
        <v>0</v>
      </c>
      <c r="IB659" t="s">
        <v>1045</v>
      </c>
      <c r="ID659" t="s">
        <v>1045</v>
      </c>
      <c r="IF659">
        <v>0</v>
      </c>
      <c r="IG659" t="s">
        <v>1042</v>
      </c>
      <c r="II659" t="s">
        <v>1042</v>
      </c>
      <c r="IR659" t="s">
        <v>1045</v>
      </c>
      <c r="IT659">
        <v>0</v>
      </c>
      <c r="IY659" t="s">
        <v>1044</v>
      </c>
      <c r="IZ659" t="s">
        <v>1043</v>
      </c>
      <c r="JA659" t="s">
        <v>1043</v>
      </c>
      <c r="JC659" t="s">
        <v>1043</v>
      </c>
      <c r="JE659">
        <v>0</v>
      </c>
      <c r="JF659">
        <v>0</v>
      </c>
      <c r="JI659" t="s">
        <v>1042</v>
      </c>
      <c r="JJ659">
        <v>0</v>
      </c>
      <c r="JK659">
        <v>0</v>
      </c>
      <c r="JL659">
        <v>0</v>
      </c>
      <c r="JM659">
        <v>0</v>
      </c>
      <c r="JQ659" t="s">
        <v>1043</v>
      </c>
      <c r="JT659">
        <v>0</v>
      </c>
      <c r="JU659" t="s">
        <v>1042</v>
      </c>
      <c r="JW659">
        <v>0</v>
      </c>
      <c r="KA659">
        <v>0</v>
      </c>
      <c r="KF659">
        <v>0</v>
      </c>
      <c r="KG659">
        <v>0</v>
      </c>
      <c r="KH659">
        <v>0</v>
      </c>
      <c r="KI659">
        <v>0</v>
      </c>
      <c r="KJ659" t="s">
        <v>1044</v>
      </c>
      <c r="KS659" t="s">
        <v>1073</v>
      </c>
      <c r="KT659">
        <v>0</v>
      </c>
      <c r="KU659">
        <v>0</v>
      </c>
      <c r="KV659">
        <v>0</v>
      </c>
      <c r="KX659">
        <v>0</v>
      </c>
      <c r="KY659" t="s">
        <v>1045</v>
      </c>
      <c r="KZ659">
        <v>0</v>
      </c>
      <c r="LF659">
        <v>0</v>
      </c>
      <c r="LH659">
        <v>0</v>
      </c>
      <c r="LI659">
        <v>0</v>
      </c>
    </row>
    <row r="660" spans="1:321" x14ac:dyDescent="0.35">
      <c r="A660">
        <v>1</v>
      </c>
      <c r="B660">
        <v>1457</v>
      </c>
      <c r="C660" t="s">
        <v>1099</v>
      </c>
      <c r="D660" t="s">
        <v>1089</v>
      </c>
      <c r="E660" t="s">
        <v>85</v>
      </c>
      <c r="F660">
        <v>1</v>
      </c>
      <c r="G660">
        <v>8890</v>
      </c>
      <c r="H660">
        <v>0</v>
      </c>
      <c r="I660" t="s">
        <v>994</v>
      </c>
      <c r="M660">
        <v>0</v>
      </c>
      <c r="N660">
        <v>0</v>
      </c>
      <c r="P660">
        <v>77</v>
      </c>
      <c r="Q660">
        <v>902</v>
      </c>
      <c r="R660">
        <v>0</v>
      </c>
      <c r="S660">
        <v>0</v>
      </c>
      <c r="W660" t="s">
        <v>1060</v>
      </c>
      <c r="X660">
        <v>0</v>
      </c>
      <c r="Z660">
        <v>15</v>
      </c>
      <c r="AA660">
        <v>0</v>
      </c>
      <c r="AB660">
        <v>0</v>
      </c>
      <c r="AC660">
        <v>0</v>
      </c>
      <c r="AD660" t="s">
        <v>1042</v>
      </c>
      <c r="AE660">
        <v>0</v>
      </c>
      <c r="AF660">
        <v>0</v>
      </c>
      <c r="AH660">
        <v>0</v>
      </c>
      <c r="AJ660">
        <v>0</v>
      </c>
      <c r="AL660">
        <v>0</v>
      </c>
      <c r="AM660">
        <v>0</v>
      </c>
      <c r="AN660">
        <v>11501008</v>
      </c>
      <c r="AO660">
        <v>0</v>
      </c>
      <c r="AP660">
        <v>1001</v>
      </c>
      <c r="AT660">
        <v>0</v>
      </c>
      <c r="AW660" t="s">
        <v>1053</v>
      </c>
      <c r="AX660">
        <v>0</v>
      </c>
      <c r="AY660" s="20">
        <v>44391</v>
      </c>
      <c r="BA660" s="20">
        <v>44391</v>
      </c>
      <c r="BB660" t="s">
        <v>1058</v>
      </c>
      <c r="BD660">
        <v>0</v>
      </c>
      <c r="BF660" t="s">
        <v>1044</v>
      </c>
      <c r="BG660" t="s">
        <v>1042</v>
      </c>
      <c r="BH660">
        <v>0</v>
      </c>
      <c r="BI660">
        <v>6</v>
      </c>
      <c r="BJ660">
        <v>0</v>
      </c>
      <c r="BK660">
        <v>0</v>
      </c>
      <c r="BM660" t="s">
        <v>1042</v>
      </c>
      <c r="BN660">
        <v>0</v>
      </c>
      <c r="BS660" t="s">
        <v>1043</v>
      </c>
      <c r="BT660" t="s">
        <v>1043</v>
      </c>
      <c r="BW660">
        <v>2</v>
      </c>
      <c r="BY660">
        <v>10</v>
      </c>
      <c r="CA660">
        <v>0</v>
      </c>
      <c r="CB660" t="s">
        <v>1043</v>
      </c>
      <c r="CE660" t="s">
        <v>1043</v>
      </c>
      <c r="CH660" t="s">
        <v>1043</v>
      </c>
      <c r="CN660" t="s">
        <v>1074</v>
      </c>
      <c r="CO660" t="s">
        <v>1043</v>
      </c>
      <c r="CP660">
        <v>1</v>
      </c>
      <c r="CQ660">
        <v>0</v>
      </c>
      <c r="CS660">
        <v>0</v>
      </c>
      <c r="CT660">
        <v>0</v>
      </c>
      <c r="CU660">
        <v>0</v>
      </c>
      <c r="CV660" t="s">
        <v>1045</v>
      </c>
      <c r="CW660">
        <v>0</v>
      </c>
      <c r="CX660">
        <v>0</v>
      </c>
      <c r="CY660">
        <v>0</v>
      </c>
      <c r="CZ660">
        <v>0</v>
      </c>
      <c r="DB660">
        <v>0</v>
      </c>
      <c r="DC660" t="s">
        <v>1043</v>
      </c>
      <c r="DF660" t="s">
        <v>1055</v>
      </c>
      <c r="DH660">
        <v>0</v>
      </c>
      <c r="DJ660">
        <v>0</v>
      </c>
      <c r="DK660" t="s">
        <v>1053</v>
      </c>
      <c r="DL660">
        <v>0</v>
      </c>
      <c r="DN660">
        <v>0</v>
      </c>
      <c r="DO660" t="s">
        <v>1042</v>
      </c>
      <c r="DP660">
        <v>0</v>
      </c>
      <c r="DQ660">
        <v>7</v>
      </c>
      <c r="DS660">
        <v>0</v>
      </c>
      <c r="DU660">
        <v>1</v>
      </c>
      <c r="DW660">
        <v>0</v>
      </c>
      <c r="DX660" t="s">
        <v>1043</v>
      </c>
      <c r="DY660">
        <v>0</v>
      </c>
      <c r="DZ660">
        <v>0</v>
      </c>
      <c r="EA660">
        <v>0</v>
      </c>
      <c r="ED660" t="s">
        <v>1045</v>
      </c>
      <c r="EE660">
        <v>0</v>
      </c>
      <c r="EF660">
        <v>0</v>
      </c>
      <c r="EQ660" t="s">
        <v>1044</v>
      </c>
      <c r="ES660" t="s">
        <v>1053</v>
      </c>
      <c r="ET660">
        <v>0</v>
      </c>
      <c r="EV660">
        <v>0</v>
      </c>
      <c r="EY660" t="s">
        <v>1052</v>
      </c>
      <c r="EZ660">
        <v>0</v>
      </c>
      <c r="FA660" t="s">
        <v>1043</v>
      </c>
      <c r="FB660">
        <v>0</v>
      </c>
      <c r="FC660">
        <v>0</v>
      </c>
      <c r="FE660" t="s">
        <v>1050</v>
      </c>
      <c r="FF660">
        <v>0</v>
      </c>
      <c r="FG660" t="s">
        <v>1050</v>
      </c>
      <c r="FJ660">
        <v>0</v>
      </c>
      <c r="FK660">
        <v>0</v>
      </c>
      <c r="FP660">
        <v>0</v>
      </c>
      <c r="FQ660" t="s">
        <v>1044</v>
      </c>
      <c r="FR660">
        <v>0</v>
      </c>
      <c r="FS660" t="s">
        <v>1043</v>
      </c>
      <c r="FX660" t="s">
        <v>1042</v>
      </c>
      <c r="FZ660" t="s">
        <v>1048</v>
      </c>
      <c r="GA660">
        <v>0</v>
      </c>
      <c r="GB660" t="s">
        <v>1042</v>
      </c>
      <c r="GE660">
        <v>0</v>
      </c>
      <c r="GG660">
        <v>0</v>
      </c>
      <c r="GN660">
        <v>0</v>
      </c>
      <c r="GO660" t="s">
        <v>1063</v>
      </c>
      <c r="GQ660">
        <v>0</v>
      </c>
      <c r="GU660">
        <v>0</v>
      </c>
      <c r="GY660" t="s">
        <v>1045</v>
      </c>
      <c r="HB660">
        <v>0</v>
      </c>
      <c r="HE660">
        <v>0</v>
      </c>
      <c r="HF660">
        <v>0</v>
      </c>
      <c r="HG660">
        <v>0</v>
      </c>
      <c r="HK660" t="s">
        <v>1042</v>
      </c>
      <c r="HM660" t="s">
        <v>1047</v>
      </c>
      <c r="HN660">
        <v>0</v>
      </c>
      <c r="HP660">
        <v>0</v>
      </c>
      <c r="HQ660">
        <v>0</v>
      </c>
      <c r="HR660" t="s">
        <v>1042</v>
      </c>
      <c r="HS660" t="s">
        <v>1043</v>
      </c>
      <c r="HT660">
        <v>0</v>
      </c>
      <c r="HU660">
        <v>0</v>
      </c>
      <c r="HV660" t="s">
        <v>1088</v>
      </c>
      <c r="HW660">
        <v>0</v>
      </c>
      <c r="HX660">
        <v>0</v>
      </c>
      <c r="HY660">
        <v>0</v>
      </c>
      <c r="HZ660" t="s">
        <v>1045</v>
      </c>
      <c r="IA660">
        <v>0</v>
      </c>
      <c r="IB660" t="s">
        <v>1045</v>
      </c>
      <c r="ID660" t="s">
        <v>1045</v>
      </c>
      <c r="IF660">
        <v>0</v>
      </c>
      <c r="IG660" t="s">
        <v>1042</v>
      </c>
      <c r="II660" t="s">
        <v>1042</v>
      </c>
      <c r="IR660" t="s">
        <v>1045</v>
      </c>
      <c r="IT660">
        <v>0</v>
      </c>
      <c r="IY660" t="s">
        <v>1044</v>
      </c>
      <c r="IZ660" t="s">
        <v>1043</v>
      </c>
      <c r="JA660" t="s">
        <v>1043</v>
      </c>
      <c r="JC660" t="s">
        <v>1043</v>
      </c>
      <c r="JE660">
        <v>0</v>
      </c>
      <c r="JF660">
        <v>0</v>
      </c>
      <c r="JI660" t="s">
        <v>1042</v>
      </c>
      <c r="JJ660">
        <v>0</v>
      </c>
      <c r="JK660">
        <v>0</v>
      </c>
      <c r="JL660">
        <v>0</v>
      </c>
      <c r="JM660">
        <v>0</v>
      </c>
      <c r="JQ660" t="s">
        <v>1043</v>
      </c>
      <c r="JT660">
        <v>0</v>
      </c>
      <c r="JU660" t="s">
        <v>1042</v>
      </c>
      <c r="JW660">
        <v>0</v>
      </c>
      <c r="KA660">
        <v>0</v>
      </c>
      <c r="KF660">
        <v>0</v>
      </c>
      <c r="KG660">
        <v>0</v>
      </c>
      <c r="KH660">
        <v>0</v>
      </c>
      <c r="KI660">
        <v>0</v>
      </c>
      <c r="KJ660" t="s">
        <v>1044</v>
      </c>
      <c r="KS660" t="s">
        <v>1073</v>
      </c>
      <c r="KT660">
        <v>0</v>
      </c>
      <c r="KU660">
        <v>0</v>
      </c>
      <c r="KV660">
        <v>0</v>
      </c>
      <c r="KX660">
        <v>0</v>
      </c>
      <c r="KY660" t="s">
        <v>1045</v>
      </c>
      <c r="KZ660">
        <v>0</v>
      </c>
      <c r="LF660">
        <v>0</v>
      </c>
      <c r="LH660">
        <v>0</v>
      </c>
      <c r="LI660">
        <v>0</v>
      </c>
    </row>
    <row r="661" spans="1:321" x14ac:dyDescent="0.35">
      <c r="A661">
        <v>1</v>
      </c>
      <c r="B661">
        <v>1458</v>
      </c>
      <c r="C661" t="s">
        <v>759</v>
      </c>
      <c r="D661" t="s">
        <v>1089</v>
      </c>
      <c r="E661" t="s">
        <v>85</v>
      </c>
      <c r="F661">
        <v>1</v>
      </c>
      <c r="G661">
        <v>200</v>
      </c>
      <c r="H661">
        <v>0</v>
      </c>
      <c r="I661" t="s">
        <v>994</v>
      </c>
      <c r="M661">
        <v>0</v>
      </c>
      <c r="N661">
        <v>0</v>
      </c>
      <c r="P661">
        <v>77</v>
      </c>
      <c r="Q661">
        <v>902</v>
      </c>
      <c r="R661">
        <v>0</v>
      </c>
      <c r="S661">
        <v>0</v>
      </c>
      <c r="W661" t="s">
        <v>1060</v>
      </c>
      <c r="X661">
        <v>0</v>
      </c>
      <c r="Z661">
        <v>10</v>
      </c>
      <c r="AA661">
        <v>124.4913</v>
      </c>
      <c r="AB661">
        <v>58</v>
      </c>
      <c r="AC661">
        <v>1.2402</v>
      </c>
      <c r="AD661" t="s">
        <v>1042</v>
      </c>
      <c r="AE661">
        <v>0</v>
      </c>
      <c r="AF661">
        <v>0.23499999999999999</v>
      </c>
      <c r="AH661">
        <v>54</v>
      </c>
      <c r="AJ661">
        <v>0</v>
      </c>
      <c r="AL661">
        <v>10</v>
      </c>
      <c r="AM661">
        <v>0</v>
      </c>
      <c r="AN661">
        <v>11501008</v>
      </c>
      <c r="AO661">
        <v>0</v>
      </c>
      <c r="AP661">
        <v>1050</v>
      </c>
      <c r="AT661">
        <v>1</v>
      </c>
      <c r="AU661" t="s">
        <v>1059</v>
      </c>
      <c r="AW661" t="s">
        <v>1053</v>
      </c>
      <c r="AX661">
        <v>5</v>
      </c>
      <c r="AY661" s="20">
        <v>43274</v>
      </c>
      <c r="BA661" s="20">
        <v>43718</v>
      </c>
      <c r="BB661" t="s">
        <v>1058</v>
      </c>
      <c r="BD661">
        <v>0</v>
      </c>
      <c r="BF661" t="s">
        <v>1044</v>
      </c>
      <c r="BG661" s="20">
        <v>42149</v>
      </c>
      <c r="BH661">
        <v>0</v>
      </c>
      <c r="BI661">
        <v>6</v>
      </c>
      <c r="BJ661">
        <v>0</v>
      </c>
      <c r="BK661">
        <v>0</v>
      </c>
      <c r="BM661" s="20">
        <v>42161</v>
      </c>
      <c r="BN661">
        <v>0</v>
      </c>
      <c r="BO661">
        <v>7897801313933</v>
      </c>
      <c r="BS661" t="s">
        <v>1043</v>
      </c>
      <c r="BT661" t="s">
        <v>1043</v>
      </c>
      <c r="BW661">
        <v>2</v>
      </c>
      <c r="BY661">
        <v>10</v>
      </c>
      <c r="CA661">
        <v>0</v>
      </c>
      <c r="CB661" t="s">
        <v>1057</v>
      </c>
      <c r="CE661" t="s">
        <v>1043</v>
      </c>
      <c r="CH661" t="s">
        <v>1043</v>
      </c>
      <c r="CN661" t="s">
        <v>1056</v>
      </c>
      <c r="CO661" t="s">
        <v>1043</v>
      </c>
      <c r="CP661">
        <v>1</v>
      </c>
      <c r="CQ661">
        <v>0</v>
      </c>
      <c r="CS661">
        <v>0</v>
      </c>
      <c r="CT661">
        <v>0</v>
      </c>
      <c r="CU661">
        <v>0</v>
      </c>
      <c r="CV661" t="s">
        <v>1045</v>
      </c>
      <c r="CW661">
        <v>0</v>
      </c>
      <c r="CX661">
        <v>0</v>
      </c>
      <c r="CY661">
        <v>0</v>
      </c>
      <c r="CZ661">
        <v>0</v>
      </c>
      <c r="DA661">
        <v>2</v>
      </c>
      <c r="DB661">
        <v>0</v>
      </c>
      <c r="DC661" t="s">
        <v>1043</v>
      </c>
      <c r="DF661" t="s">
        <v>1055</v>
      </c>
      <c r="DH661">
        <v>0</v>
      </c>
      <c r="DJ661">
        <v>0</v>
      </c>
      <c r="DK661" t="s">
        <v>1053</v>
      </c>
      <c r="DL661">
        <v>0</v>
      </c>
      <c r="DN661">
        <v>0</v>
      </c>
      <c r="DO661" t="s">
        <v>1042</v>
      </c>
      <c r="DP661">
        <v>0</v>
      </c>
      <c r="DQ661">
        <v>7.6</v>
      </c>
      <c r="DS661">
        <v>0</v>
      </c>
      <c r="DU661">
        <v>1.65</v>
      </c>
      <c r="DW661">
        <v>0</v>
      </c>
      <c r="DX661" t="s">
        <v>1043</v>
      </c>
      <c r="DY661">
        <v>0</v>
      </c>
      <c r="DZ661">
        <v>0</v>
      </c>
      <c r="EA661">
        <v>0</v>
      </c>
      <c r="EB661">
        <v>17897801313930</v>
      </c>
      <c r="ED661" t="s">
        <v>1045</v>
      </c>
      <c r="EE661">
        <v>0</v>
      </c>
      <c r="EF661">
        <v>0</v>
      </c>
      <c r="EL661">
        <v>57897801313938</v>
      </c>
      <c r="EN661" t="s">
        <v>1012</v>
      </c>
      <c r="EO661" t="s">
        <v>1044</v>
      </c>
      <c r="EQ661" t="s">
        <v>1044</v>
      </c>
      <c r="ES661" t="s">
        <v>1053</v>
      </c>
      <c r="ET661">
        <v>0</v>
      </c>
      <c r="EV661">
        <v>0</v>
      </c>
      <c r="EY661" t="s">
        <v>1052</v>
      </c>
      <c r="EZ661">
        <v>0</v>
      </c>
      <c r="FA661" t="s">
        <v>1043</v>
      </c>
      <c r="FB661">
        <v>0</v>
      </c>
      <c r="FC661">
        <v>0</v>
      </c>
      <c r="FD661" t="s">
        <v>1051</v>
      </c>
      <c r="FE661" t="s">
        <v>1050</v>
      </c>
      <c r="FF661">
        <v>0</v>
      </c>
      <c r="FG661" t="s">
        <v>1050</v>
      </c>
      <c r="FH661">
        <v>27897801313937</v>
      </c>
      <c r="FJ661">
        <v>0</v>
      </c>
      <c r="FK661">
        <v>0</v>
      </c>
      <c r="FP661">
        <v>0</v>
      </c>
      <c r="FQ661" t="s">
        <v>1044</v>
      </c>
      <c r="FR661">
        <v>0</v>
      </c>
      <c r="FS661" t="s">
        <v>1043</v>
      </c>
      <c r="FX661" t="s">
        <v>1042</v>
      </c>
      <c r="FZ661" t="s">
        <v>1048</v>
      </c>
      <c r="GA661">
        <v>0</v>
      </c>
      <c r="GB661" t="s">
        <v>1042</v>
      </c>
      <c r="GE661">
        <v>0</v>
      </c>
      <c r="GG661">
        <v>0</v>
      </c>
      <c r="GN661">
        <v>0</v>
      </c>
      <c r="GO661" t="s">
        <v>1063</v>
      </c>
      <c r="GQ661">
        <v>0</v>
      </c>
      <c r="GU661">
        <v>0</v>
      </c>
      <c r="GY661" t="s">
        <v>1045</v>
      </c>
      <c r="HB661">
        <v>0</v>
      </c>
      <c r="HE661">
        <v>0</v>
      </c>
      <c r="HF661">
        <v>0</v>
      </c>
      <c r="HG661">
        <v>4.4609999999999997E-2</v>
      </c>
      <c r="HK661" t="s">
        <v>1042</v>
      </c>
      <c r="HL661" t="s">
        <v>1048</v>
      </c>
      <c r="HM661" t="s">
        <v>1047</v>
      </c>
      <c r="HN661">
        <v>0</v>
      </c>
      <c r="HO661">
        <v>17</v>
      </c>
      <c r="HP661">
        <v>0.23499999999999999</v>
      </c>
      <c r="HQ661">
        <v>0</v>
      </c>
      <c r="HR661" t="s">
        <v>1042</v>
      </c>
      <c r="HS661" t="s">
        <v>1043</v>
      </c>
      <c r="HT661">
        <v>0</v>
      </c>
      <c r="HU661">
        <v>0</v>
      </c>
      <c r="HW661">
        <v>0</v>
      </c>
      <c r="HX661">
        <v>112</v>
      </c>
      <c r="HY661">
        <v>0</v>
      </c>
      <c r="HZ661" t="s">
        <v>1045</v>
      </c>
      <c r="IA661">
        <v>0</v>
      </c>
      <c r="IB661" t="s">
        <v>1045</v>
      </c>
      <c r="ID661" t="s">
        <v>1045</v>
      </c>
      <c r="IF661">
        <v>560</v>
      </c>
      <c r="IG661" s="20">
        <v>42177</v>
      </c>
      <c r="II661" t="s">
        <v>1042</v>
      </c>
      <c r="IR661" t="s">
        <v>1045</v>
      </c>
      <c r="IT661">
        <v>0</v>
      </c>
      <c r="IY661" t="s">
        <v>1044</v>
      </c>
      <c r="IZ661" t="s">
        <v>1043</v>
      </c>
      <c r="JA661" t="s">
        <v>1043</v>
      </c>
      <c r="JC661" t="s">
        <v>1043</v>
      </c>
      <c r="JE661">
        <v>0</v>
      </c>
      <c r="JF661">
        <v>0</v>
      </c>
      <c r="JI661" t="s">
        <v>1042</v>
      </c>
      <c r="JJ661">
        <v>0</v>
      </c>
      <c r="JK661">
        <v>0</v>
      </c>
      <c r="JL661">
        <v>0</v>
      </c>
      <c r="JM661">
        <v>0</v>
      </c>
      <c r="JQ661" t="s">
        <v>1043</v>
      </c>
      <c r="JT661">
        <v>0</v>
      </c>
      <c r="JU661" t="s">
        <v>1042</v>
      </c>
      <c r="JW661">
        <v>0</v>
      </c>
      <c r="KA661">
        <v>0</v>
      </c>
      <c r="KF661">
        <v>0</v>
      </c>
      <c r="KG661">
        <v>0</v>
      </c>
      <c r="KH661">
        <v>0</v>
      </c>
      <c r="KI661">
        <v>0</v>
      </c>
      <c r="KP661" t="s">
        <v>1045</v>
      </c>
      <c r="KS661" t="s">
        <v>1041</v>
      </c>
      <c r="KT661">
        <v>0</v>
      </c>
      <c r="KU661">
        <v>0</v>
      </c>
      <c r="KV661">
        <v>0</v>
      </c>
      <c r="KX661">
        <v>0</v>
      </c>
      <c r="KY661" t="s">
        <v>1045</v>
      </c>
      <c r="KZ661">
        <v>0</v>
      </c>
      <c r="LF661">
        <v>0</v>
      </c>
      <c r="LH661">
        <v>0</v>
      </c>
      <c r="LI661">
        <v>0</v>
      </c>
    </row>
    <row r="662" spans="1:321" x14ac:dyDescent="0.35">
      <c r="A662">
        <v>1</v>
      </c>
      <c r="B662">
        <v>1459</v>
      </c>
      <c r="C662" t="s">
        <v>760</v>
      </c>
      <c r="D662" t="s">
        <v>1089</v>
      </c>
      <c r="E662" t="s">
        <v>85</v>
      </c>
      <c r="F662">
        <v>1</v>
      </c>
      <c r="G662">
        <v>200</v>
      </c>
      <c r="H662">
        <v>0</v>
      </c>
      <c r="I662" t="s">
        <v>994</v>
      </c>
      <c r="M662">
        <v>0</v>
      </c>
      <c r="N662">
        <v>0</v>
      </c>
      <c r="P662">
        <v>77</v>
      </c>
      <c r="Q662">
        <v>902</v>
      </c>
      <c r="R662">
        <v>0</v>
      </c>
      <c r="S662">
        <v>0</v>
      </c>
      <c r="W662" t="s">
        <v>1060</v>
      </c>
      <c r="X662">
        <v>0</v>
      </c>
      <c r="Z662">
        <v>4</v>
      </c>
      <c r="AA662">
        <v>187.79329999999999</v>
      </c>
      <c r="AB662">
        <v>48</v>
      </c>
      <c r="AC662">
        <v>16.929200000000002</v>
      </c>
      <c r="AD662" s="20">
        <v>44697</v>
      </c>
      <c r="AE662">
        <v>21.49708</v>
      </c>
      <c r="AF662">
        <v>0.437</v>
      </c>
      <c r="AH662">
        <v>43</v>
      </c>
      <c r="AJ662">
        <v>0</v>
      </c>
      <c r="AL662">
        <v>44</v>
      </c>
      <c r="AM662">
        <v>0</v>
      </c>
      <c r="AN662">
        <v>11501008</v>
      </c>
      <c r="AO662">
        <v>0</v>
      </c>
      <c r="AP662">
        <v>1050</v>
      </c>
      <c r="AT662">
        <v>1</v>
      </c>
      <c r="AU662" t="s">
        <v>1059</v>
      </c>
      <c r="AW662" t="s">
        <v>1053</v>
      </c>
      <c r="AX662">
        <v>5</v>
      </c>
      <c r="AY662" s="20">
        <v>44005</v>
      </c>
      <c r="BA662" s="20">
        <v>43718</v>
      </c>
      <c r="BB662" t="s">
        <v>1058</v>
      </c>
      <c r="BD662">
        <v>0</v>
      </c>
      <c r="BF662" t="s">
        <v>1044</v>
      </c>
      <c r="BG662" s="20">
        <v>42149</v>
      </c>
      <c r="BH662">
        <v>0</v>
      </c>
      <c r="BI662">
        <v>6</v>
      </c>
      <c r="BJ662">
        <v>0</v>
      </c>
      <c r="BK662">
        <v>0</v>
      </c>
      <c r="BM662" s="20">
        <v>42161</v>
      </c>
      <c r="BN662">
        <v>0</v>
      </c>
      <c r="BO662">
        <v>7897801313940</v>
      </c>
      <c r="BS662" t="s">
        <v>1043</v>
      </c>
      <c r="BT662" t="s">
        <v>1043</v>
      </c>
      <c r="BV662">
        <v>1</v>
      </c>
      <c r="BW662">
        <v>2</v>
      </c>
      <c r="BY662">
        <v>10</v>
      </c>
      <c r="CA662">
        <v>0</v>
      </c>
      <c r="CB662" t="s">
        <v>1057</v>
      </c>
      <c r="CE662" t="s">
        <v>1043</v>
      </c>
      <c r="CH662" t="s">
        <v>1043</v>
      </c>
      <c r="CN662" t="s">
        <v>1056</v>
      </c>
      <c r="CO662" t="s">
        <v>1043</v>
      </c>
      <c r="CP662">
        <v>1</v>
      </c>
      <c r="CQ662">
        <v>0</v>
      </c>
      <c r="CS662">
        <v>0</v>
      </c>
      <c r="CT662">
        <v>0</v>
      </c>
      <c r="CU662">
        <v>0</v>
      </c>
      <c r="CV662" t="s">
        <v>1045</v>
      </c>
      <c r="CW662">
        <v>0</v>
      </c>
      <c r="CX662">
        <v>0</v>
      </c>
      <c r="CY662">
        <v>0</v>
      </c>
      <c r="CZ662">
        <v>0</v>
      </c>
      <c r="DA662">
        <v>2</v>
      </c>
      <c r="DB662">
        <v>0</v>
      </c>
      <c r="DC662" t="s">
        <v>1043</v>
      </c>
      <c r="DF662" t="s">
        <v>1055</v>
      </c>
      <c r="DH662">
        <v>0</v>
      </c>
      <c r="DJ662">
        <v>0</v>
      </c>
      <c r="DK662" t="s">
        <v>1053</v>
      </c>
      <c r="DL662">
        <v>0</v>
      </c>
      <c r="DN662">
        <v>0</v>
      </c>
      <c r="DO662" t="s">
        <v>1042</v>
      </c>
      <c r="DP662">
        <v>0</v>
      </c>
      <c r="DQ662">
        <v>7.6</v>
      </c>
      <c r="DS662">
        <v>0</v>
      </c>
      <c r="DU662">
        <v>1.65</v>
      </c>
      <c r="DW662">
        <v>0</v>
      </c>
      <c r="DX662" t="s">
        <v>1043</v>
      </c>
      <c r="DY662">
        <v>0</v>
      </c>
      <c r="DZ662">
        <v>0</v>
      </c>
      <c r="EA662">
        <v>0</v>
      </c>
      <c r="EB662">
        <v>17897801313947</v>
      </c>
      <c r="ED662" t="s">
        <v>1045</v>
      </c>
      <c r="EE662">
        <v>0</v>
      </c>
      <c r="EF662">
        <v>0</v>
      </c>
      <c r="EL662">
        <v>57897801313945</v>
      </c>
      <c r="EN662" t="s">
        <v>1012</v>
      </c>
      <c r="EO662" t="s">
        <v>1044</v>
      </c>
      <c r="EQ662" t="s">
        <v>1044</v>
      </c>
      <c r="ES662" t="s">
        <v>1053</v>
      </c>
      <c r="ET662">
        <v>0</v>
      </c>
      <c r="EV662">
        <v>0</v>
      </c>
      <c r="EY662" t="s">
        <v>1052</v>
      </c>
      <c r="EZ662">
        <v>0</v>
      </c>
      <c r="FA662" t="s">
        <v>1043</v>
      </c>
      <c r="FB662">
        <v>0</v>
      </c>
      <c r="FC662">
        <v>0</v>
      </c>
      <c r="FD662" t="s">
        <v>1051</v>
      </c>
      <c r="FE662" t="s">
        <v>1050</v>
      </c>
      <c r="FF662">
        <v>0</v>
      </c>
      <c r="FG662" t="s">
        <v>1050</v>
      </c>
      <c r="FH662">
        <v>27897801313944</v>
      </c>
      <c r="FJ662">
        <v>0</v>
      </c>
      <c r="FK662">
        <v>0</v>
      </c>
      <c r="FP662">
        <v>0</v>
      </c>
      <c r="FQ662" t="s">
        <v>1044</v>
      </c>
      <c r="FR662">
        <v>0</v>
      </c>
      <c r="FS662" t="s">
        <v>1043</v>
      </c>
      <c r="FX662" t="s">
        <v>1042</v>
      </c>
      <c r="FZ662" t="s">
        <v>1048</v>
      </c>
      <c r="GA662">
        <v>0</v>
      </c>
      <c r="GB662" t="s">
        <v>1042</v>
      </c>
      <c r="GE662">
        <v>0</v>
      </c>
      <c r="GG662">
        <v>0</v>
      </c>
      <c r="GN662">
        <v>0</v>
      </c>
      <c r="GO662" t="s">
        <v>1063</v>
      </c>
      <c r="GQ662">
        <v>0</v>
      </c>
      <c r="GU662">
        <v>0</v>
      </c>
      <c r="GY662" t="s">
        <v>1045</v>
      </c>
      <c r="HB662">
        <v>0</v>
      </c>
      <c r="HE662">
        <v>0</v>
      </c>
      <c r="HF662">
        <v>0</v>
      </c>
      <c r="HG662">
        <v>2.0899999999999998E-2</v>
      </c>
      <c r="HK662" t="s">
        <v>1042</v>
      </c>
      <c r="HL662" t="s">
        <v>1048</v>
      </c>
      <c r="HM662" t="s">
        <v>1047</v>
      </c>
      <c r="HN662">
        <v>0</v>
      </c>
      <c r="HO662">
        <v>17</v>
      </c>
      <c r="HP662">
        <v>0.437</v>
      </c>
      <c r="HQ662">
        <v>0</v>
      </c>
      <c r="HR662" s="20">
        <v>44221</v>
      </c>
      <c r="HS662" t="s">
        <v>1043</v>
      </c>
      <c r="HT662">
        <v>0</v>
      </c>
      <c r="HU662">
        <v>0</v>
      </c>
      <c r="HW662">
        <v>0</v>
      </c>
      <c r="HX662">
        <v>91</v>
      </c>
      <c r="HY662">
        <v>1</v>
      </c>
      <c r="HZ662" t="s">
        <v>1045</v>
      </c>
      <c r="IA662">
        <v>21.5</v>
      </c>
      <c r="IB662" t="s">
        <v>1045</v>
      </c>
      <c r="ID662" t="s">
        <v>1045</v>
      </c>
      <c r="IF662">
        <v>336</v>
      </c>
      <c r="IG662" s="20">
        <v>42177</v>
      </c>
      <c r="II662" t="s">
        <v>1042</v>
      </c>
      <c r="IR662" t="s">
        <v>1045</v>
      </c>
      <c r="IT662">
        <v>0</v>
      </c>
      <c r="IY662" t="s">
        <v>1044</v>
      </c>
      <c r="IZ662" t="s">
        <v>1043</v>
      </c>
      <c r="JA662" t="s">
        <v>1043</v>
      </c>
      <c r="JC662" t="s">
        <v>1043</v>
      </c>
      <c r="JE662">
        <v>0</v>
      </c>
      <c r="JF662">
        <v>0</v>
      </c>
      <c r="JI662" t="s">
        <v>1042</v>
      </c>
      <c r="JJ662">
        <v>0</v>
      </c>
      <c r="JK662">
        <v>0</v>
      </c>
      <c r="JL662">
        <v>0</v>
      </c>
      <c r="JM662">
        <v>0</v>
      </c>
      <c r="JQ662" t="s">
        <v>1043</v>
      </c>
      <c r="JT662">
        <v>0</v>
      </c>
      <c r="JU662" t="s">
        <v>1042</v>
      </c>
      <c r="JW662">
        <v>0</v>
      </c>
      <c r="KA662">
        <v>0</v>
      </c>
      <c r="KF662">
        <v>0</v>
      </c>
      <c r="KG662">
        <v>0</v>
      </c>
      <c r="KH662">
        <v>0</v>
      </c>
      <c r="KI662">
        <v>0</v>
      </c>
      <c r="KP662" t="s">
        <v>1045</v>
      </c>
      <c r="KS662" t="s">
        <v>1041</v>
      </c>
      <c r="KT662">
        <v>0</v>
      </c>
      <c r="KU662">
        <v>0</v>
      </c>
      <c r="KV662">
        <v>0</v>
      </c>
      <c r="KX662">
        <v>0</v>
      </c>
      <c r="KY662" t="s">
        <v>1045</v>
      </c>
      <c r="KZ662">
        <v>0</v>
      </c>
      <c r="LF662">
        <v>0</v>
      </c>
      <c r="LH662">
        <v>0</v>
      </c>
      <c r="LI662">
        <v>0</v>
      </c>
    </row>
    <row r="663" spans="1:321" x14ac:dyDescent="0.35">
      <c r="A663">
        <v>1</v>
      </c>
      <c r="B663">
        <v>1460</v>
      </c>
      <c r="C663" t="s">
        <v>1098</v>
      </c>
      <c r="D663" t="s">
        <v>1089</v>
      </c>
      <c r="E663" t="s">
        <v>85</v>
      </c>
      <c r="F663">
        <v>1</v>
      </c>
      <c r="G663">
        <v>8890</v>
      </c>
      <c r="H663">
        <v>0</v>
      </c>
      <c r="I663" t="s">
        <v>994</v>
      </c>
      <c r="M663">
        <v>0</v>
      </c>
      <c r="N663">
        <v>0</v>
      </c>
      <c r="P663">
        <v>77</v>
      </c>
      <c r="Q663">
        <v>902</v>
      </c>
      <c r="R663">
        <v>0</v>
      </c>
      <c r="S663">
        <v>0</v>
      </c>
      <c r="W663" t="s">
        <v>1060</v>
      </c>
      <c r="X663">
        <v>0</v>
      </c>
      <c r="Z663">
        <v>10</v>
      </c>
      <c r="AA663">
        <v>0</v>
      </c>
      <c r="AB663">
        <v>0</v>
      </c>
      <c r="AC663">
        <v>0</v>
      </c>
      <c r="AD663" t="s">
        <v>1042</v>
      </c>
      <c r="AE663">
        <v>0</v>
      </c>
      <c r="AF663">
        <v>1</v>
      </c>
      <c r="AH663">
        <v>0</v>
      </c>
      <c r="AJ663">
        <v>0</v>
      </c>
      <c r="AL663">
        <v>0</v>
      </c>
      <c r="AM663">
        <v>0</v>
      </c>
      <c r="AN663">
        <v>11501008</v>
      </c>
      <c r="AO663">
        <v>0</v>
      </c>
      <c r="AP663">
        <v>1001</v>
      </c>
      <c r="AT663">
        <v>0</v>
      </c>
      <c r="AW663" t="s">
        <v>1053</v>
      </c>
      <c r="AX663">
        <v>0</v>
      </c>
      <c r="AY663" s="20">
        <v>44391</v>
      </c>
      <c r="BA663" s="20">
        <v>44391</v>
      </c>
      <c r="BB663" t="s">
        <v>1058</v>
      </c>
      <c r="BD663">
        <v>0</v>
      </c>
      <c r="BF663" t="s">
        <v>1044</v>
      </c>
      <c r="BG663" t="s">
        <v>1042</v>
      </c>
      <c r="BH663">
        <v>0</v>
      </c>
      <c r="BI663">
        <v>6</v>
      </c>
      <c r="BJ663">
        <v>0</v>
      </c>
      <c r="BK663">
        <v>0</v>
      </c>
      <c r="BM663" t="s">
        <v>1042</v>
      </c>
      <c r="BN663">
        <v>0</v>
      </c>
      <c r="BS663" t="s">
        <v>1043</v>
      </c>
      <c r="BT663" t="s">
        <v>1043</v>
      </c>
      <c r="BW663">
        <v>2</v>
      </c>
      <c r="BY663">
        <v>10</v>
      </c>
      <c r="CA663">
        <v>0</v>
      </c>
      <c r="CB663" t="s">
        <v>1043</v>
      </c>
      <c r="CE663" t="s">
        <v>1043</v>
      </c>
      <c r="CH663" t="s">
        <v>1043</v>
      </c>
      <c r="CN663" t="s">
        <v>1074</v>
      </c>
      <c r="CO663" t="s">
        <v>1043</v>
      </c>
      <c r="CP663">
        <v>1</v>
      </c>
      <c r="CQ663">
        <v>0</v>
      </c>
      <c r="CS663">
        <v>0</v>
      </c>
      <c r="CT663">
        <v>0</v>
      </c>
      <c r="CU663">
        <v>0</v>
      </c>
      <c r="CV663" t="s">
        <v>1045</v>
      </c>
      <c r="CW663">
        <v>0</v>
      </c>
      <c r="CX663">
        <v>0</v>
      </c>
      <c r="CY663">
        <v>0</v>
      </c>
      <c r="CZ663">
        <v>0</v>
      </c>
      <c r="DB663">
        <v>0</v>
      </c>
      <c r="DC663" t="s">
        <v>1043</v>
      </c>
      <c r="DF663" t="s">
        <v>1055</v>
      </c>
      <c r="DH663">
        <v>0</v>
      </c>
      <c r="DJ663">
        <v>0</v>
      </c>
      <c r="DK663" t="s">
        <v>1053</v>
      </c>
      <c r="DL663">
        <v>0</v>
      </c>
      <c r="DN663">
        <v>0</v>
      </c>
      <c r="DO663" t="s">
        <v>1042</v>
      </c>
      <c r="DP663">
        <v>0</v>
      </c>
      <c r="DQ663">
        <v>7</v>
      </c>
      <c r="DS663">
        <v>0</v>
      </c>
      <c r="DU663">
        <v>1</v>
      </c>
      <c r="DW663">
        <v>0</v>
      </c>
      <c r="DX663" t="s">
        <v>1043</v>
      </c>
      <c r="DY663">
        <v>0</v>
      </c>
      <c r="DZ663">
        <v>0</v>
      </c>
      <c r="EA663">
        <v>0</v>
      </c>
      <c r="ED663" t="s">
        <v>1045</v>
      </c>
      <c r="EE663">
        <v>0</v>
      </c>
      <c r="EF663">
        <v>0</v>
      </c>
      <c r="EQ663" t="s">
        <v>1044</v>
      </c>
      <c r="ES663" t="s">
        <v>1053</v>
      </c>
      <c r="ET663">
        <v>0</v>
      </c>
      <c r="EV663">
        <v>0</v>
      </c>
      <c r="EY663" t="s">
        <v>1052</v>
      </c>
      <c r="EZ663">
        <v>0</v>
      </c>
      <c r="FA663" t="s">
        <v>1043</v>
      </c>
      <c r="FB663">
        <v>0</v>
      </c>
      <c r="FC663">
        <v>0</v>
      </c>
      <c r="FE663" t="s">
        <v>1050</v>
      </c>
      <c r="FF663">
        <v>0</v>
      </c>
      <c r="FG663" t="s">
        <v>1050</v>
      </c>
      <c r="FJ663">
        <v>0</v>
      </c>
      <c r="FK663">
        <v>0</v>
      </c>
      <c r="FP663">
        <v>0</v>
      </c>
      <c r="FQ663" t="s">
        <v>1044</v>
      </c>
      <c r="FR663">
        <v>0</v>
      </c>
      <c r="FS663" t="s">
        <v>1043</v>
      </c>
      <c r="FX663" t="s">
        <v>1042</v>
      </c>
      <c r="FZ663" t="s">
        <v>1048</v>
      </c>
      <c r="GA663">
        <v>0</v>
      </c>
      <c r="GB663" t="s">
        <v>1042</v>
      </c>
      <c r="GE663">
        <v>0</v>
      </c>
      <c r="GG663">
        <v>0</v>
      </c>
      <c r="GN663">
        <v>0</v>
      </c>
      <c r="GO663" t="s">
        <v>1063</v>
      </c>
      <c r="GQ663">
        <v>0</v>
      </c>
      <c r="GU663">
        <v>0</v>
      </c>
      <c r="GY663" t="s">
        <v>1045</v>
      </c>
      <c r="HB663">
        <v>0</v>
      </c>
      <c r="HE663">
        <v>0</v>
      </c>
      <c r="HF663">
        <v>0</v>
      </c>
      <c r="HG663">
        <v>0</v>
      </c>
      <c r="HK663" t="s">
        <v>1042</v>
      </c>
      <c r="HM663" t="s">
        <v>1047</v>
      </c>
      <c r="HN663">
        <v>0</v>
      </c>
      <c r="HP663">
        <v>0</v>
      </c>
      <c r="HQ663">
        <v>0</v>
      </c>
      <c r="HR663" t="s">
        <v>1042</v>
      </c>
      <c r="HS663" t="s">
        <v>1043</v>
      </c>
      <c r="HT663">
        <v>0</v>
      </c>
      <c r="HU663">
        <v>0</v>
      </c>
      <c r="HV663" t="s">
        <v>1088</v>
      </c>
      <c r="HW663">
        <v>0</v>
      </c>
      <c r="HX663">
        <v>0</v>
      </c>
      <c r="HY663">
        <v>0</v>
      </c>
      <c r="HZ663" t="s">
        <v>1045</v>
      </c>
      <c r="IA663">
        <v>0</v>
      </c>
      <c r="IB663" t="s">
        <v>1045</v>
      </c>
      <c r="ID663" t="s">
        <v>1045</v>
      </c>
      <c r="IF663">
        <v>0</v>
      </c>
      <c r="IG663" t="s">
        <v>1042</v>
      </c>
      <c r="II663" t="s">
        <v>1042</v>
      </c>
      <c r="IR663" t="s">
        <v>1045</v>
      </c>
      <c r="IT663">
        <v>0</v>
      </c>
      <c r="IY663" t="s">
        <v>1044</v>
      </c>
      <c r="IZ663" t="s">
        <v>1043</v>
      </c>
      <c r="JA663" t="s">
        <v>1043</v>
      </c>
      <c r="JC663" t="s">
        <v>1043</v>
      </c>
      <c r="JE663">
        <v>0</v>
      </c>
      <c r="JF663">
        <v>0</v>
      </c>
      <c r="JI663" t="s">
        <v>1042</v>
      </c>
      <c r="JJ663">
        <v>0</v>
      </c>
      <c r="JK663">
        <v>0</v>
      </c>
      <c r="JL663">
        <v>0</v>
      </c>
      <c r="JM663">
        <v>0</v>
      </c>
      <c r="JQ663" t="s">
        <v>1043</v>
      </c>
      <c r="JT663">
        <v>0</v>
      </c>
      <c r="JU663" t="s">
        <v>1042</v>
      </c>
      <c r="JW663">
        <v>0</v>
      </c>
      <c r="KA663">
        <v>0</v>
      </c>
      <c r="KF663">
        <v>0</v>
      </c>
      <c r="KG663">
        <v>0</v>
      </c>
      <c r="KH663">
        <v>0</v>
      </c>
      <c r="KI663">
        <v>0</v>
      </c>
      <c r="KJ663" t="s">
        <v>1044</v>
      </c>
      <c r="KS663" t="s">
        <v>1073</v>
      </c>
      <c r="KT663">
        <v>0</v>
      </c>
      <c r="KU663">
        <v>0</v>
      </c>
      <c r="KV663">
        <v>0</v>
      </c>
      <c r="KX663">
        <v>0</v>
      </c>
      <c r="KY663" t="s">
        <v>1045</v>
      </c>
      <c r="KZ663">
        <v>0</v>
      </c>
      <c r="LF663">
        <v>0</v>
      </c>
      <c r="LH663">
        <v>0</v>
      </c>
      <c r="LI663">
        <v>0</v>
      </c>
    </row>
    <row r="664" spans="1:321" x14ac:dyDescent="0.35">
      <c r="A664">
        <v>1</v>
      </c>
      <c r="B664">
        <v>1462</v>
      </c>
      <c r="C664" t="s">
        <v>1097</v>
      </c>
      <c r="D664" t="s">
        <v>1061</v>
      </c>
      <c r="E664" t="s">
        <v>85</v>
      </c>
      <c r="F664">
        <v>1</v>
      </c>
      <c r="G664">
        <v>200</v>
      </c>
      <c r="H664">
        <v>0</v>
      </c>
      <c r="I664" t="s">
        <v>994</v>
      </c>
      <c r="M664">
        <v>0</v>
      </c>
      <c r="N664">
        <v>0</v>
      </c>
      <c r="Q664">
        <v>516</v>
      </c>
      <c r="R664">
        <v>0</v>
      </c>
      <c r="S664">
        <v>0</v>
      </c>
      <c r="W664" t="s">
        <v>1060</v>
      </c>
      <c r="X664">
        <v>0</v>
      </c>
      <c r="Z664">
        <v>0</v>
      </c>
      <c r="AA664">
        <v>0</v>
      </c>
      <c r="AB664">
        <v>0</v>
      </c>
      <c r="AC664">
        <v>0</v>
      </c>
      <c r="AD664" t="s">
        <v>1042</v>
      </c>
      <c r="AE664">
        <v>0</v>
      </c>
      <c r="AF664">
        <v>0</v>
      </c>
      <c r="AH664">
        <v>0</v>
      </c>
      <c r="AJ664">
        <v>0</v>
      </c>
      <c r="AL664">
        <v>0</v>
      </c>
      <c r="AM664">
        <v>0</v>
      </c>
      <c r="AN664">
        <v>11501001</v>
      </c>
      <c r="AO664">
        <v>0</v>
      </c>
      <c r="AP664">
        <v>1001</v>
      </c>
      <c r="AT664">
        <v>0</v>
      </c>
      <c r="AW664" t="s">
        <v>1053</v>
      </c>
      <c r="AX664">
        <v>0</v>
      </c>
      <c r="AY664" s="20">
        <v>44391</v>
      </c>
      <c r="BA664" s="20">
        <v>44391</v>
      </c>
      <c r="BB664" t="s">
        <v>1058</v>
      </c>
      <c r="BD664">
        <v>0</v>
      </c>
      <c r="BF664" t="s">
        <v>1044</v>
      </c>
      <c r="BG664" t="s">
        <v>1042</v>
      </c>
      <c r="BH664">
        <v>0</v>
      </c>
      <c r="BI664">
        <v>6</v>
      </c>
      <c r="BJ664">
        <v>0</v>
      </c>
      <c r="BK664">
        <v>0</v>
      </c>
      <c r="BM664" t="s">
        <v>1042</v>
      </c>
      <c r="BN664">
        <v>0</v>
      </c>
      <c r="BS664" t="s">
        <v>1043</v>
      </c>
      <c r="BT664" t="s">
        <v>1043</v>
      </c>
      <c r="BW664">
        <v>2</v>
      </c>
      <c r="BY664">
        <v>10</v>
      </c>
      <c r="CA664">
        <v>0</v>
      </c>
      <c r="CB664" t="s">
        <v>1043</v>
      </c>
      <c r="CE664" t="s">
        <v>1043</v>
      </c>
      <c r="CH664" t="s">
        <v>1043</v>
      </c>
      <c r="CN664" t="s">
        <v>1056</v>
      </c>
      <c r="CO664" t="s">
        <v>1043</v>
      </c>
      <c r="CP664">
        <v>1</v>
      </c>
      <c r="CQ664">
        <v>0</v>
      </c>
      <c r="CS664">
        <v>0</v>
      </c>
      <c r="CT664">
        <v>0</v>
      </c>
      <c r="CU664">
        <v>0</v>
      </c>
      <c r="CV664" t="s">
        <v>1045</v>
      </c>
      <c r="CW664">
        <v>0</v>
      </c>
      <c r="CX664">
        <v>0</v>
      </c>
      <c r="CY664">
        <v>0</v>
      </c>
      <c r="CZ664">
        <v>0</v>
      </c>
      <c r="DB664">
        <v>0</v>
      </c>
      <c r="DC664" t="s">
        <v>1043</v>
      </c>
      <c r="DF664" t="s">
        <v>1055</v>
      </c>
      <c r="DH664">
        <v>0</v>
      </c>
      <c r="DJ664">
        <v>0</v>
      </c>
      <c r="DK664" t="s">
        <v>1053</v>
      </c>
      <c r="DL664">
        <v>0</v>
      </c>
      <c r="DN664">
        <v>0</v>
      </c>
      <c r="DO664" t="s">
        <v>1042</v>
      </c>
      <c r="DP664">
        <v>0</v>
      </c>
      <c r="DQ664">
        <v>7</v>
      </c>
      <c r="DS664">
        <v>0</v>
      </c>
      <c r="DU664">
        <v>1</v>
      </c>
      <c r="DW664">
        <v>0</v>
      </c>
      <c r="DX664" t="s">
        <v>1043</v>
      </c>
      <c r="DY664">
        <v>0</v>
      </c>
      <c r="DZ664">
        <v>0</v>
      </c>
      <c r="EA664">
        <v>0</v>
      </c>
      <c r="ED664" t="s">
        <v>1045</v>
      </c>
      <c r="EE664">
        <v>0</v>
      </c>
      <c r="EF664">
        <v>0</v>
      </c>
      <c r="EQ664" t="s">
        <v>1044</v>
      </c>
      <c r="ES664" t="s">
        <v>1053</v>
      </c>
      <c r="ET664">
        <v>0</v>
      </c>
      <c r="EV664">
        <v>0</v>
      </c>
      <c r="EY664" t="s">
        <v>1052</v>
      </c>
      <c r="EZ664">
        <v>0</v>
      </c>
      <c r="FA664" t="s">
        <v>1043</v>
      </c>
      <c r="FB664">
        <v>0</v>
      </c>
      <c r="FC664">
        <v>0</v>
      </c>
      <c r="FE664" t="s">
        <v>1050</v>
      </c>
      <c r="FF664">
        <v>0</v>
      </c>
      <c r="FG664" t="s">
        <v>1050</v>
      </c>
      <c r="FJ664">
        <v>0</v>
      </c>
      <c r="FK664">
        <v>0</v>
      </c>
      <c r="FP664">
        <v>0</v>
      </c>
      <c r="FQ664" t="s">
        <v>1044</v>
      </c>
      <c r="FR664">
        <v>0</v>
      </c>
      <c r="FS664" t="s">
        <v>1043</v>
      </c>
      <c r="FX664" t="s">
        <v>1042</v>
      </c>
      <c r="FZ664" t="s">
        <v>1048</v>
      </c>
      <c r="GA664">
        <v>0</v>
      </c>
      <c r="GB664" t="s">
        <v>1042</v>
      </c>
      <c r="GE664">
        <v>0</v>
      </c>
      <c r="GG664">
        <v>0</v>
      </c>
      <c r="GN664">
        <v>0</v>
      </c>
      <c r="GO664" t="s">
        <v>1049</v>
      </c>
      <c r="GQ664">
        <v>0</v>
      </c>
      <c r="GU664">
        <v>0</v>
      </c>
      <c r="GY664" t="s">
        <v>1045</v>
      </c>
      <c r="HB664">
        <v>0</v>
      </c>
      <c r="HE664">
        <v>0</v>
      </c>
      <c r="HF664">
        <v>0</v>
      </c>
      <c r="HG664">
        <v>0</v>
      </c>
      <c r="HK664" t="s">
        <v>1042</v>
      </c>
      <c r="HM664" t="s">
        <v>1047</v>
      </c>
      <c r="HN664">
        <v>0</v>
      </c>
      <c r="HP664">
        <v>0</v>
      </c>
      <c r="HQ664">
        <v>0</v>
      </c>
      <c r="HR664" t="s">
        <v>1042</v>
      </c>
      <c r="HS664" t="s">
        <v>1043</v>
      </c>
      <c r="HT664">
        <v>0</v>
      </c>
      <c r="HU664">
        <v>0</v>
      </c>
      <c r="HV664" t="s">
        <v>1088</v>
      </c>
      <c r="HW664">
        <v>0</v>
      </c>
      <c r="HX664">
        <v>0</v>
      </c>
      <c r="HY664">
        <v>0</v>
      </c>
      <c r="HZ664" t="s">
        <v>1045</v>
      </c>
      <c r="IA664">
        <v>0</v>
      </c>
      <c r="IB664" t="s">
        <v>1045</v>
      </c>
      <c r="ID664" t="s">
        <v>1045</v>
      </c>
      <c r="IF664">
        <v>0</v>
      </c>
      <c r="IG664" t="s">
        <v>1042</v>
      </c>
      <c r="II664" t="s">
        <v>1042</v>
      </c>
      <c r="IR664" t="s">
        <v>1045</v>
      </c>
      <c r="IT664">
        <v>0</v>
      </c>
      <c r="IY664" t="s">
        <v>1044</v>
      </c>
      <c r="IZ664" t="s">
        <v>1043</v>
      </c>
      <c r="JA664" t="s">
        <v>1043</v>
      </c>
      <c r="JC664" t="s">
        <v>1043</v>
      </c>
      <c r="JE664">
        <v>0</v>
      </c>
      <c r="JF664">
        <v>0</v>
      </c>
      <c r="JI664" t="s">
        <v>1042</v>
      </c>
      <c r="JJ664">
        <v>0</v>
      </c>
      <c r="JK664">
        <v>0</v>
      </c>
      <c r="JL664">
        <v>0</v>
      </c>
      <c r="JM664">
        <v>0</v>
      </c>
      <c r="JQ664" t="s">
        <v>1043</v>
      </c>
      <c r="JT664">
        <v>0</v>
      </c>
      <c r="JU664" t="s">
        <v>1042</v>
      </c>
      <c r="JW664">
        <v>0</v>
      </c>
      <c r="KA664">
        <v>0</v>
      </c>
      <c r="KF664">
        <v>0</v>
      </c>
      <c r="KG664">
        <v>0</v>
      </c>
      <c r="KH664">
        <v>0</v>
      </c>
      <c r="KI664">
        <v>0</v>
      </c>
      <c r="KJ664" t="s">
        <v>1044</v>
      </c>
      <c r="KS664" t="s">
        <v>1073</v>
      </c>
      <c r="KT664">
        <v>0</v>
      </c>
      <c r="KU664">
        <v>0</v>
      </c>
      <c r="KV664">
        <v>0</v>
      </c>
      <c r="KX664">
        <v>0</v>
      </c>
      <c r="KY664" t="s">
        <v>1045</v>
      </c>
      <c r="KZ664">
        <v>0</v>
      </c>
      <c r="LF664">
        <v>0</v>
      </c>
      <c r="LH664">
        <v>0</v>
      </c>
      <c r="LI664">
        <v>0</v>
      </c>
    </row>
    <row r="665" spans="1:321" x14ac:dyDescent="0.35">
      <c r="A665">
        <v>1</v>
      </c>
      <c r="B665">
        <v>1463</v>
      </c>
      <c r="C665" t="s">
        <v>1096</v>
      </c>
      <c r="D665" t="s">
        <v>1089</v>
      </c>
      <c r="E665" t="s">
        <v>85</v>
      </c>
      <c r="F665">
        <v>1</v>
      </c>
      <c r="G665">
        <v>200</v>
      </c>
      <c r="H665">
        <v>0</v>
      </c>
      <c r="I665" t="s">
        <v>994</v>
      </c>
      <c r="M665">
        <v>0</v>
      </c>
      <c r="N665">
        <v>0</v>
      </c>
      <c r="P665">
        <v>77</v>
      </c>
      <c r="Q665">
        <v>902</v>
      </c>
      <c r="R665">
        <v>0</v>
      </c>
      <c r="S665">
        <v>0</v>
      </c>
      <c r="W665" t="s">
        <v>1060</v>
      </c>
      <c r="X665">
        <v>0</v>
      </c>
      <c r="Z665">
        <v>5</v>
      </c>
      <c r="AA665">
        <v>188.92939999999999</v>
      </c>
      <c r="AB665">
        <v>0</v>
      </c>
      <c r="AC665">
        <v>1.1599999999999999</v>
      </c>
      <c r="AD665" t="s">
        <v>1042</v>
      </c>
      <c r="AE665">
        <v>0</v>
      </c>
      <c r="AF665">
        <v>0.28499999999999998</v>
      </c>
      <c r="AH665">
        <v>0</v>
      </c>
      <c r="AJ665">
        <v>0</v>
      </c>
      <c r="AL665">
        <v>20</v>
      </c>
      <c r="AM665">
        <v>0</v>
      </c>
      <c r="AN665">
        <v>11501008</v>
      </c>
      <c r="AO665">
        <v>0</v>
      </c>
      <c r="AP665">
        <v>1050</v>
      </c>
      <c r="AT665">
        <v>1</v>
      </c>
      <c r="AU665" t="s">
        <v>1059</v>
      </c>
      <c r="AW665" t="s">
        <v>1053</v>
      </c>
      <c r="AX665">
        <v>5</v>
      </c>
      <c r="AY665" s="20">
        <v>43274</v>
      </c>
      <c r="BA665" s="20">
        <v>43718</v>
      </c>
      <c r="BB665" t="s">
        <v>1058</v>
      </c>
      <c r="BD665">
        <v>0</v>
      </c>
      <c r="BF665" t="s">
        <v>1044</v>
      </c>
      <c r="BG665" s="20">
        <v>42149</v>
      </c>
      <c r="BH665">
        <v>0</v>
      </c>
      <c r="BI665">
        <v>6</v>
      </c>
      <c r="BJ665">
        <v>0</v>
      </c>
      <c r="BK665">
        <v>0</v>
      </c>
      <c r="BM665" s="20">
        <v>42161</v>
      </c>
      <c r="BN665">
        <v>0</v>
      </c>
      <c r="BO665">
        <v>7897801313957</v>
      </c>
      <c r="BS665" t="s">
        <v>1043</v>
      </c>
      <c r="BT665" t="s">
        <v>1043</v>
      </c>
      <c r="BW665">
        <v>2</v>
      </c>
      <c r="BY665">
        <v>10</v>
      </c>
      <c r="CA665">
        <v>0</v>
      </c>
      <c r="CB665" t="s">
        <v>1057</v>
      </c>
      <c r="CE665" t="s">
        <v>1043</v>
      </c>
      <c r="CH665" t="s">
        <v>1043</v>
      </c>
      <c r="CN665" t="s">
        <v>1056</v>
      </c>
      <c r="CO665" t="s">
        <v>1043</v>
      </c>
      <c r="CP665">
        <v>1</v>
      </c>
      <c r="CQ665">
        <v>0</v>
      </c>
      <c r="CS665">
        <v>0</v>
      </c>
      <c r="CT665">
        <v>0</v>
      </c>
      <c r="CU665">
        <v>0</v>
      </c>
      <c r="CV665" t="s">
        <v>1045</v>
      </c>
      <c r="CW665">
        <v>0</v>
      </c>
      <c r="CX665">
        <v>0</v>
      </c>
      <c r="CY665">
        <v>0</v>
      </c>
      <c r="CZ665">
        <v>0</v>
      </c>
      <c r="DA665">
        <v>3</v>
      </c>
      <c r="DB665">
        <v>0</v>
      </c>
      <c r="DC665" t="s">
        <v>1043</v>
      </c>
      <c r="DF665" t="s">
        <v>1055</v>
      </c>
      <c r="DH665">
        <v>0</v>
      </c>
      <c r="DJ665">
        <v>0</v>
      </c>
      <c r="DK665" t="s">
        <v>1053</v>
      </c>
      <c r="DL665">
        <v>0</v>
      </c>
      <c r="DN665">
        <v>0</v>
      </c>
      <c r="DO665" t="s">
        <v>1042</v>
      </c>
      <c r="DP665">
        <v>0</v>
      </c>
      <c r="DQ665">
        <v>7.6</v>
      </c>
      <c r="DS665">
        <v>0</v>
      </c>
      <c r="DU665">
        <v>1.65</v>
      </c>
      <c r="DW665">
        <v>0</v>
      </c>
      <c r="DX665" t="s">
        <v>1043</v>
      </c>
      <c r="DY665">
        <v>0</v>
      </c>
      <c r="DZ665">
        <v>0</v>
      </c>
      <c r="EA665">
        <v>0</v>
      </c>
      <c r="EB665">
        <v>17897801313954</v>
      </c>
      <c r="ED665" t="s">
        <v>1045</v>
      </c>
      <c r="EE665">
        <v>0</v>
      </c>
      <c r="EF665">
        <v>0</v>
      </c>
      <c r="EL665">
        <v>57897801313952</v>
      </c>
      <c r="EN665" t="s">
        <v>1012</v>
      </c>
      <c r="EO665" t="s">
        <v>1044</v>
      </c>
      <c r="EQ665" t="s">
        <v>1044</v>
      </c>
      <c r="ES665" t="s">
        <v>1053</v>
      </c>
      <c r="ET665">
        <v>0</v>
      </c>
      <c r="EV665">
        <v>0</v>
      </c>
      <c r="EY665" t="s">
        <v>1052</v>
      </c>
      <c r="EZ665">
        <v>0</v>
      </c>
      <c r="FA665" t="s">
        <v>1043</v>
      </c>
      <c r="FB665">
        <v>0</v>
      </c>
      <c r="FC665">
        <v>0</v>
      </c>
      <c r="FD665" t="s">
        <v>1051</v>
      </c>
      <c r="FE665" t="s">
        <v>1050</v>
      </c>
      <c r="FF665">
        <v>0</v>
      </c>
      <c r="FG665" t="s">
        <v>1050</v>
      </c>
      <c r="FH665">
        <v>27897801313951</v>
      </c>
      <c r="FJ665">
        <v>0</v>
      </c>
      <c r="FK665">
        <v>0</v>
      </c>
      <c r="FP665">
        <v>0</v>
      </c>
      <c r="FQ665" t="s">
        <v>1044</v>
      </c>
      <c r="FR665">
        <v>0</v>
      </c>
      <c r="FS665" t="s">
        <v>1043</v>
      </c>
      <c r="FX665" t="s">
        <v>1042</v>
      </c>
      <c r="FZ665" t="s">
        <v>1048</v>
      </c>
      <c r="GA665">
        <v>0</v>
      </c>
      <c r="GB665" t="s">
        <v>1042</v>
      </c>
      <c r="GE665">
        <v>0</v>
      </c>
      <c r="GG665">
        <v>0</v>
      </c>
      <c r="GN665">
        <v>0</v>
      </c>
      <c r="GO665" t="s">
        <v>1063</v>
      </c>
      <c r="GQ665">
        <v>0</v>
      </c>
      <c r="GU665">
        <v>0</v>
      </c>
      <c r="GY665" t="s">
        <v>1045</v>
      </c>
      <c r="HB665">
        <v>0</v>
      </c>
      <c r="HE665">
        <v>0</v>
      </c>
      <c r="HF665">
        <v>0</v>
      </c>
      <c r="HG665">
        <v>1.9089999999999999E-2</v>
      </c>
      <c r="HK665" t="s">
        <v>1042</v>
      </c>
      <c r="HL665" t="s">
        <v>1048</v>
      </c>
      <c r="HM665" t="s">
        <v>1047</v>
      </c>
      <c r="HN665">
        <v>0</v>
      </c>
      <c r="HO665">
        <v>17</v>
      </c>
      <c r="HP665">
        <v>0.28499999999999998</v>
      </c>
      <c r="HQ665">
        <v>0</v>
      </c>
      <c r="HR665" t="s">
        <v>1042</v>
      </c>
      <c r="HS665" t="s">
        <v>1043</v>
      </c>
      <c r="HT665">
        <v>0</v>
      </c>
      <c r="HU665">
        <v>0</v>
      </c>
      <c r="HW665">
        <v>0</v>
      </c>
      <c r="HX665">
        <v>0</v>
      </c>
      <c r="HY665">
        <v>0</v>
      </c>
      <c r="HZ665" t="s">
        <v>1045</v>
      </c>
      <c r="IA665">
        <v>0</v>
      </c>
      <c r="IB665" t="s">
        <v>1045</v>
      </c>
      <c r="ID665" t="s">
        <v>1045</v>
      </c>
      <c r="IF665">
        <v>540</v>
      </c>
      <c r="IG665" s="20">
        <v>42177</v>
      </c>
      <c r="II665" t="s">
        <v>1042</v>
      </c>
      <c r="IR665" t="s">
        <v>1045</v>
      </c>
      <c r="IT665">
        <v>0</v>
      </c>
      <c r="IY665" t="s">
        <v>1044</v>
      </c>
      <c r="IZ665" t="s">
        <v>1043</v>
      </c>
      <c r="JA665" t="s">
        <v>1043</v>
      </c>
      <c r="JC665" t="s">
        <v>1043</v>
      </c>
      <c r="JE665">
        <v>0</v>
      </c>
      <c r="JF665">
        <v>0</v>
      </c>
      <c r="JI665" t="s">
        <v>1042</v>
      </c>
      <c r="JJ665">
        <v>0</v>
      </c>
      <c r="JK665">
        <v>0</v>
      </c>
      <c r="JL665">
        <v>0</v>
      </c>
      <c r="JM665">
        <v>0</v>
      </c>
      <c r="JQ665" t="s">
        <v>1043</v>
      </c>
      <c r="JT665">
        <v>0</v>
      </c>
      <c r="JU665" t="s">
        <v>1042</v>
      </c>
      <c r="JW665">
        <v>0</v>
      </c>
      <c r="KA665">
        <v>0</v>
      </c>
      <c r="KF665">
        <v>0</v>
      </c>
      <c r="KG665">
        <v>0</v>
      </c>
      <c r="KH665">
        <v>0</v>
      </c>
      <c r="KI665">
        <v>0</v>
      </c>
      <c r="KP665" t="s">
        <v>1045</v>
      </c>
      <c r="KS665" t="s">
        <v>1041</v>
      </c>
      <c r="KT665">
        <v>0</v>
      </c>
      <c r="KU665">
        <v>0</v>
      </c>
      <c r="KV665">
        <v>0</v>
      </c>
      <c r="KX665">
        <v>0</v>
      </c>
      <c r="KY665" t="s">
        <v>1045</v>
      </c>
      <c r="KZ665">
        <v>0</v>
      </c>
      <c r="LF665">
        <v>0</v>
      </c>
      <c r="LH665">
        <v>0</v>
      </c>
      <c r="LI665">
        <v>0</v>
      </c>
    </row>
    <row r="666" spans="1:321" x14ac:dyDescent="0.35">
      <c r="A666">
        <v>1</v>
      </c>
      <c r="B666">
        <v>1464</v>
      </c>
      <c r="C666" t="s">
        <v>1095</v>
      </c>
      <c r="D666" t="s">
        <v>1089</v>
      </c>
      <c r="E666" t="s">
        <v>85</v>
      </c>
      <c r="F666">
        <v>1</v>
      </c>
      <c r="G666">
        <v>8890</v>
      </c>
      <c r="H666">
        <v>0</v>
      </c>
      <c r="I666" t="s">
        <v>994</v>
      </c>
      <c r="M666">
        <v>0</v>
      </c>
      <c r="N666">
        <v>0</v>
      </c>
      <c r="P666">
        <v>77</v>
      </c>
      <c r="Q666">
        <v>902</v>
      </c>
      <c r="R666">
        <v>0</v>
      </c>
      <c r="S666">
        <v>0</v>
      </c>
      <c r="W666" t="s">
        <v>1060</v>
      </c>
      <c r="X666">
        <v>0</v>
      </c>
      <c r="Z666">
        <v>5</v>
      </c>
      <c r="AA666">
        <v>0</v>
      </c>
      <c r="AB666">
        <v>0</v>
      </c>
      <c r="AC666">
        <v>0</v>
      </c>
      <c r="AD666" t="s">
        <v>1042</v>
      </c>
      <c r="AE666">
        <v>0</v>
      </c>
      <c r="AF666">
        <v>0</v>
      </c>
      <c r="AH666">
        <v>0</v>
      </c>
      <c r="AJ666">
        <v>0</v>
      </c>
      <c r="AL666">
        <v>0</v>
      </c>
      <c r="AM666">
        <v>0</v>
      </c>
      <c r="AN666">
        <v>11501008</v>
      </c>
      <c r="AO666">
        <v>0</v>
      </c>
      <c r="AP666">
        <v>1001</v>
      </c>
      <c r="AT666">
        <v>0</v>
      </c>
      <c r="AW666" t="s">
        <v>1053</v>
      </c>
      <c r="AX666">
        <v>0</v>
      </c>
      <c r="AY666" s="20">
        <v>44391</v>
      </c>
      <c r="BA666" s="20">
        <v>44391</v>
      </c>
      <c r="BB666" t="s">
        <v>1058</v>
      </c>
      <c r="BD666">
        <v>0</v>
      </c>
      <c r="BF666" t="s">
        <v>1044</v>
      </c>
      <c r="BG666" t="s">
        <v>1042</v>
      </c>
      <c r="BH666">
        <v>0</v>
      </c>
      <c r="BI666">
        <v>6</v>
      </c>
      <c r="BJ666">
        <v>0</v>
      </c>
      <c r="BK666">
        <v>0</v>
      </c>
      <c r="BM666" t="s">
        <v>1042</v>
      </c>
      <c r="BN666">
        <v>0</v>
      </c>
      <c r="BS666" t="s">
        <v>1043</v>
      </c>
      <c r="BT666" t="s">
        <v>1043</v>
      </c>
      <c r="BW666">
        <v>2</v>
      </c>
      <c r="BY666">
        <v>10</v>
      </c>
      <c r="CA666">
        <v>0</v>
      </c>
      <c r="CB666" t="s">
        <v>1043</v>
      </c>
      <c r="CE666" t="s">
        <v>1043</v>
      </c>
      <c r="CH666" t="s">
        <v>1043</v>
      </c>
      <c r="CN666" t="s">
        <v>1074</v>
      </c>
      <c r="CO666" t="s">
        <v>1043</v>
      </c>
      <c r="CP666">
        <v>1</v>
      </c>
      <c r="CQ666">
        <v>0</v>
      </c>
      <c r="CS666">
        <v>0</v>
      </c>
      <c r="CT666">
        <v>0</v>
      </c>
      <c r="CU666">
        <v>0</v>
      </c>
      <c r="CV666" t="s">
        <v>1045</v>
      </c>
      <c r="CW666">
        <v>0</v>
      </c>
      <c r="CX666">
        <v>0</v>
      </c>
      <c r="CY666">
        <v>0</v>
      </c>
      <c r="CZ666">
        <v>0</v>
      </c>
      <c r="DB666">
        <v>0</v>
      </c>
      <c r="DC666" t="s">
        <v>1043</v>
      </c>
      <c r="DF666" t="s">
        <v>1055</v>
      </c>
      <c r="DH666">
        <v>0</v>
      </c>
      <c r="DJ666">
        <v>0</v>
      </c>
      <c r="DK666" t="s">
        <v>1053</v>
      </c>
      <c r="DL666">
        <v>0</v>
      </c>
      <c r="DN666">
        <v>0</v>
      </c>
      <c r="DO666" t="s">
        <v>1042</v>
      </c>
      <c r="DP666">
        <v>0</v>
      </c>
      <c r="DQ666">
        <v>7</v>
      </c>
      <c r="DS666">
        <v>0</v>
      </c>
      <c r="DU666">
        <v>1</v>
      </c>
      <c r="DW666">
        <v>0</v>
      </c>
      <c r="DX666" t="s">
        <v>1043</v>
      </c>
      <c r="DY666">
        <v>0</v>
      </c>
      <c r="DZ666">
        <v>0</v>
      </c>
      <c r="EA666">
        <v>0</v>
      </c>
      <c r="ED666" t="s">
        <v>1045</v>
      </c>
      <c r="EE666">
        <v>0</v>
      </c>
      <c r="EF666">
        <v>0</v>
      </c>
      <c r="EQ666" t="s">
        <v>1044</v>
      </c>
      <c r="ES666" t="s">
        <v>1053</v>
      </c>
      <c r="ET666">
        <v>0</v>
      </c>
      <c r="EV666">
        <v>0</v>
      </c>
      <c r="EY666" t="s">
        <v>1052</v>
      </c>
      <c r="EZ666">
        <v>0</v>
      </c>
      <c r="FA666" t="s">
        <v>1043</v>
      </c>
      <c r="FB666">
        <v>0</v>
      </c>
      <c r="FC666">
        <v>0</v>
      </c>
      <c r="FE666" t="s">
        <v>1050</v>
      </c>
      <c r="FF666">
        <v>0</v>
      </c>
      <c r="FG666" t="s">
        <v>1050</v>
      </c>
      <c r="FJ666">
        <v>0</v>
      </c>
      <c r="FK666">
        <v>0</v>
      </c>
      <c r="FP666">
        <v>0</v>
      </c>
      <c r="FQ666" t="s">
        <v>1044</v>
      </c>
      <c r="FR666">
        <v>0</v>
      </c>
      <c r="FS666" t="s">
        <v>1043</v>
      </c>
      <c r="FX666" t="s">
        <v>1042</v>
      </c>
      <c r="FZ666" t="s">
        <v>1048</v>
      </c>
      <c r="GA666">
        <v>0</v>
      </c>
      <c r="GB666" t="s">
        <v>1042</v>
      </c>
      <c r="GE666">
        <v>0</v>
      </c>
      <c r="GG666">
        <v>0</v>
      </c>
      <c r="GN666">
        <v>0</v>
      </c>
      <c r="GO666" t="s">
        <v>1063</v>
      </c>
      <c r="GQ666">
        <v>0</v>
      </c>
      <c r="GU666">
        <v>0</v>
      </c>
      <c r="GY666" t="s">
        <v>1045</v>
      </c>
      <c r="HB666">
        <v>0</v>
      </c>
      <c r="HE666">
        <v>0</v>
      </c>
      <c r="HF666">
        <v>0</v>
      </c>
      <c r="HG666">
        <v>0</v>
      </c>
      <c r="HK666" t="s">
        <v>1042</v>
      </c>
      <c r="HM666" t="s">
        <v>1047</v>
      </c>
      <c r="HN666">
        <v>0</v>
      </c>
      <c r="HP666">
        <v>0</v>
      </c>
      <c r="HQ666">
        <v>0</v>
      </c>
      <c r="HR666" t="s">
        <v>1042</v>
      </c>
      <c r="HS666" t="s">
        <v>1043</v>
      </c>
      <c r="HT666">
        <v>0</v>
      </c>
      <c r="HU666">
        <v>0</v>
      </c>
      <c r="HV666" t="s">
        <v>1088</v>
      </c>
      <c r="HW666">
        <v>0</v>
      </c>
      <c r="HX666">
        <v>0</v>
      </c>
      <c r="HY666">
        <v>0</v>
      </c>
      <c r="HZ666" t="s">
        <v>1045</v>
      </c>
      <c r="IA666">
        <v>0</v>
      </c>
      <c r="IB666" t="s">
        <v>1045</v>
      </c>
      <c r="ID666" t="s">
        <v>1045</v>
      </c>
      <c r="IF666">
        <v>0</v>
      </c>
      <c r="IG666" t="s">
        <v>1042</v>
      </c>
      <c r="II666" t="s">
        <v>1042</v>
      </c>
      <c r="IR666" t="s">
        <v>1045</v>
      </c>
      <c r="IT666">
        <v>0</v>
      </c>
      <c r="IY666" t="s">
        <v>1044</v>
      </c>
      <c r="IZ666" t="s">
        <v>1043</v>
      </c>
      <c r="JA666" t="s">
        <v>1043</v>
      </c>
      <c r="JC666" t="s">
        <v>1043</v>
      </c>
      <c r="JE666">
        <v>0</v>
      </c>
      <c r="JF666">
        <v>0</v>
      </c>
      <c r="JI666" t="s">
        <v>1042</v>
      </c>
      <c r="JJ666">
        <v>0</v>
      </c>
      <c r="JK666">
        <v>0</v>
      </c>
      <c r="JL666">
        <v>0</v>
      </c>
      <c r="JM666">
        <v>0</v>
      </c>
      <c r="JQ666" t="s">
        <v>1043</v>
      </c>
      <c r="JT666">
        <v>0</v>
      </c>
      <c r="JU666" t="s">
        <v>1042</v>
      </c>
      <c r="JW666">
        <v>0</v>
      </c>
      <c r="KA666">
        <v>0</v>
      </c>
      <c r="KF666">
        <v>0</v>
      </c>
      <c r="KG666">
        <v>0</v>
      </c>
      <c r="KH666">
        <v>0</v>
      </c>
      <c r="KI666">
        <v>0</v>
      </c>
      <c r="KJ666" t="s">
        <v>1044</v>
      </c>
      <c r="KS666" t="s">
        <v>1073</v>
      </c>
      <c r="KT666">
        <v>0</v>
      </c>
      <c r="KU666">
        <v>0</v>
      </c>
      <c r="KV666">
        <v>0</v>
      </c>
      <c r="KX666">
        <v>0</v>
      </c>
      <c r="KY666" t="s">
        <v>1045</v>
      </c>
      <c r="KZ666">
        <v>0</v>
      </c>
      <c r="LF666">
        <v>0</v>
      </c>
      <c r="LH666">
        <v>0</v>
      </c>
      <c r="LI666">
        <v>0</v>
      </c>
    </row>
    <row r="667" spans="1:321" x14ac:dyDescent="0.35">
      <c r="A667">
        <v>1</v>
      </c>
      <c r="B667">
        <v>1465</v>
      </c>
      <c r="C667" t="s">
        <v>1094</v>
      </c>
      <c r="D667" t="s">
        <v>1089</v>
      </c>
      <c r="E667" t="s">
        <v>85</v>
      </c>
      <c r="F667">
        <v>1</v>
      </c>
      <c r="G667">
        <v>8890</v>
      </c>
      <c r="H667">
        <v>0</v>
      </c>
      <c r="I667" t="s">
        <v>994</v>
      </c>
      <c r="M667">
        <v>0</v>
      </c>
      <c r="N667">
        <v>0</v>
      </c>
      <c r="P667">
        <v>77</v>
      </c>
      <c r="Q667">
        <v>902</v>
      </c>
      <c r="R667">
        <v>0</v>
      </c>
      <c r="S667">
        <v>0</v>
      </c>
      <c r="W667" t="s">
        <v>1060</v>
      </c>
      <c r="X667">
        <v>0</v>
      </c>
      <c r="Z667">
        <v>1</v>
      </c>
      <c r="AA667">
        <v>0</v>
      </c>
      <c r="AB667">
        <v>0</v>
      </c>
      <c r="AC667">
        <v>0</v>
      </c>
      <c r="AD667" t="s">
        <v>1042</v>
      </c>
      <c r="AE667">
        <v>0</v>
      </c>
      <c r="AF667">
        <v>0</v>
      </c>
      <c r="AH667">
        <v>0</v>
      </c>
      <c r="AJ667">
        <v>0</v>
      </c>
      <c r="AL667">
        <v>0</v>
      </c>
      <c r="AM667">
        <v>0</v>
      </c>
      <c r="AN667">
        <v>11501008</v>
      </c>
      <c r="AO667">
        <v>0</v>
      </c>
      <c r="AP667">
        <v>1001</v>
      </c>
      <c r="AT667">
        <v>0</v>
      </c>
      <c r="AW667" t="s">
        <v>1053</v>
      </c>
      <c r="AX667">
        <v>0</v>
      </c>
      <c r="AY667" s="20">
        <v>44391</v>
      </c>
      <c r="BA667" s="20">
        <v>44391</v>
      </c>
      <c r="BB667" t="s">
        <v>1058</v>
      </c>
      <c r="BD667">
        <v>0</v>
      </c>
      <c r="BF667" t="s">
        <v>1044</v>
      </c>
      <c r="BG667" t="s">
        <v>1042</v>
      </c>
      <c r="BH667">
        <v>0</v>
      </c>
      <c r="BI667">
        <v>6</v>
      </c>
      <c r="BJ667">
        <v>0</v>
      </c>
      <c r="BK667">
        <v>0</v>
      </c>
      <c r="BM667" t="s">
        <v>1042</v>
      </c>
      <c r="BN667">
        <v>0</v>
      </c>
      <c r="BS667" t="s">
        <v>1043</v>
      </c>
      <c r="BT667" t="s">
        <v>1043</v>
      </c>
      <c r="BW667">
        <v>2</v>
      </c>
      <c r="BY667">
        <v>10</v>
      </c>
      <c r="CA667">
        <v>0</v>
      </c>
      <c r="CB667" t="s">
        <v>1043</v>
      </c>
      <c r="CE667" t="s">
        <v>1043</v>
      </c>
      <c r="CH667" t="s">
        <v>1043</v>
      </c>
      <c r="CN667" t="s">
        <v>1074</v>
      </c>
      <c r="CO667" t="s">
        <v>1043</v>
      </c>
      <c r="CP667">
        <v>1</v>
      </c>
      <c r="CQ667">
        <v>0</v>
      </c>
      <c r="CS667">
        <v>0</v>
      </c>
      <c r="CT667">
        <v>0</v>
      </c>
      <c r="CU667">
        <v>0</v>
      </c>
      <c r="CV667" t="s">
        <v>1045</v>
      </c>
      <c r="CW667">
        <v>0</v>
      </c>
      <c r="CX667">
        <v>0</v>
      </c>
      <c r="CY667">
        <v>0</v>
      </c>
      <c r="CZ667">
        <v>0</v>
      </c>
      <c r="DB667">
        <v>0</v>
      </c>
      <c r="DC667" t="s">
        <v>1043</v>
      </c>
      <c r="DF667" t="s">
        <v>1055</v>
      </c>
      <c r="DH667">
        <v>0</v>
      </c>
      <c r="DJ667">
        <v>0</v>
      </c>
      <c r="DK667" t="s">
        <v>1053</v>
      </c>
      <c r="DL667">
        <v>0</v>
      </c>
      <c r="DN667">
        <v>0</v>
      </c>
      <c r="DO667" t="s">
        <v>1042</v>
      </c>
      <c r="DP667">
        <v>0</v>
      </c>
      <c r="DQ667">
        <v>7</v>
      </c>
      <c r="DS667">
        <v>0</v>
      </c>
      <c r="DU667">
        <v>1</v>
      </c>
      <c r="DW667">
        <v>0</v>
      </c>
      <c r="DX667" t="s">
        <v>1043</v>
      </c>
      <c r="DY667">
        <v>0</v>
      </c>
      <c r="DZ667">
        <v>0</v>
      </c>
      <c r="EA667">
        <v>0</v>
      </c>
      <c r="ED667" t="s">
        <v>1045</v>
      </c>
      <c r="EE667">
        <v>0</v>
      </c>
      <c r="EF667">
        <v>0</v>
      </c>
      <c r="EQ667" t="s">
        <v>1044</v>
      </c>
      <c r="ES667" t="s">
        <v>1053</v>
      </c>
      <c r="ET667">
        <v>0</v>
      </c>
      <c r="EV667">
        <v>0</v>
      </c>
      <c r="EY667" t="s">
        <v>1052</v>
      </c>
      <c r="EZ667">
        <v>0</v>
      </c>
      <c r="FA667" t="s">
        <v>1043</v>
      </c>
      <c r="FB667">
        <v>0</v>
      </c>
      <c r="FC667">
        <v>0</v>
      </c>
      <c r="FE667" t="s">
        <v>1050</v>
      </c>
      <c r="FF667">
        <v>0</v>
      </c>
      <c r="FG667" t="s">
        <v>1050</v>
      </c>
      <c r="FJ667">
        <v>0</v>
      </c>
      <c r="FK667">
        <v>0</v>
      </c>
      <c r="FP667">
        <v>0</v>
      </c>
      <c r="FQ667" t="s">
        <v>1044</v>
      </c>
      <c r="FR667">
        <v>0</v>
      </c>
      <c r="FS667" t="s">
        <v>1043</v>
      </c>
      <c r="FX667" t="s">
        <v>1042</v>
      </c>
      <c r="FZ667" t="s">
        <v>1048</v>
      </c>
      <c r="GA667">
        <v>0</v>
      </c>
      <c r="GB667" t="s">
        <v>1042</v>
      </c>
      <c r="GE667">
        <v>0</v>
      </c>
      <c r="GG667">
        <v>0</v>
      </c>
      <c r="GN667">
        <v>0</v>
      </c>
      <c r="GO667" t="s">
        <v>1063</v>
      </c>
      <c r="GQ667">
        <v>0</v>
      </c>
      <c r="GU667">
        <v>0</v>
      </c>
      <c r="GY667" t="s">
        <v>1045</v>
      </c>
      <c r="HB667">
        <v>0</v>
      </c>
      <c r="HE667">
        <v>0</v>
      </c>
      <c r="HF667">
        <v>0</v>
      </c>
      <c r="HG667">
        <v>0</v>
      </c>
      <c r="HK667" t="s">
        <v>1042</v>
      </c>
      <c r="HM667" t="s">
        <v>1047</v>
      </c>
      <c r="HN667">
        <v>0</v>
      </c>
      <c r="HP667">
        <v>0</v>
      </c>
      <c r="HQ667">
        <v>0</v>
      </c>
      <c r="HR667" t="s">
        <v>1042</v>
      </c>
      <c r="HS667" t="s">
        <v>1043</v>
      </c>
      <c r="HT667">
        <v>0</v>
      </c>
      <c r="HU667">
        <v>0</v>
      </c>
      <c r="HV667" t="s">
        <v>1088</v>
      </c>
      <c r="HW667">
        <v>0</v>
      </c>
      <c r="HX667">
        <v>0</v>
      </c>
      <c r="HY667">
        <v>0</v>
      </c>
      <c r="HZ667" t="s">
        <v>1045</v>
      </c>
      <c r="IA667">
        <v>0</v>
      </c>
      <c r="IB667" t="s">
        <v>1045</v>
      </c>
      <c r="ID667" t="s">
        <v>1045</v>
      </c>
      <c r="IF667">
        <v>0</v>
      </c>
      <c r="IG667" t="s">
        <v>1042</v>
      </c>
      <c r="II667" t="s">
        <v>1042</v>
      </c>
      <c r="IR667" t="s">
        <v>1045</v>
      </c>
      <c r="IT667">
        <v>0</v>
      </c>
      <c r="IY667" t="s">
        <v>1044</v>
      </c>
      <c r="IZ667" t="s">
        <v>1043</v>
      </c>
      <c r="JA667" t="s">
        <v>1043</v>
      </c>
      <c r="JC667" t="s">
        <v>1043</v>
      </c>
      <c r="JE667">
        <v>0</v>
      </c>
      <c r="JF667">
        <v>0</v>
      </c>
      <c r="JI667" t="s">
        <v>1042</v>
      </c>
      <c r="JJ667">
        <v>0</v>
      </c>
      <c r="JK667">
        <v>0</v>
      </c>
      <c r="JL667">
        <v>0</v>
      </c>
      <c r="JM667">
        <v>0</v>
      </c>
      <c r="JQ667" t="s">
        <v>1043</v>
      </c>
      <c r="JT667">
        <v>0</v>
      </c>
      <c r="JU667" t="s">
        <v>1042</v>
      </c>
      <c r="JW667">
        <v>0</v>
      </c>
      <c r="KA667">
        <v>0</v>
      </c>
      <c r="KF667">
        <v>0</v>
      </c>
      <c r="KG667">
        <v>0</v>
      </c>
      <c r="KH667">
        <v>0</v>
      </c>
      <c r="KI667">
        <v>0</v>
      </c>
      <c r="KJ667" t="s">
        <v>1044</v>
      </c>
      <c r="KS667" t="s">
        <v>1073</v>
      </c>
      <c r="KT667">
        <v>0</v>
      </c>
      <c r="KU667">
        <v>0</v>
      </c>
      <c r="KV667">
        <v>0</v>
      </c>
      <c r="KX667">
        <v>0</v>
      </c>
      <c r="KY667" t="s">
        <v>1045</v>
      </c>
      <c r="KZ667">
        <v>0</v>
      </c>
      <c r="LF667">
        <v>0</v>
      </c>
      <c r="LH667">
        <v>0</v>
      </c>
      <c r="LI667">
        <v>0</v>
      </c>
    </row>
    <row r="668" spans="1:321" x14ac:dyDescent="0.35">
      <c r="A668">
        <v>1</v>
      </c>
      <c r="B668">
        <v>1467</v>
      </c>
      <c r="C668" t="s">
        <v>1093</v>
      </c>
      <c r="D668" t="s">
        <v>1089</v>
      </c>
      <c r="E668" t="s">
        <v>85</v>
      </c>
      <c r="F668">
        <v>1</v>
      </c>
      <c r="G668">
        <v>8890</v>
      </c>
      <c r="H668">
        <v>0</v>
      </c>
      <c r="I668" t="s">
        <v>994</v>
      </c>
      <c r="M668">
        <v>0</v>
      </c>
      <c r="N668">
        <v>0</v>
      </c>
      <c r="P668">
        <v>77</v>
      </c>
      <c r="Q668">
        <v>902</v>
      </c>
      <c r="R668">
        <v>0</v>
      </c>
      <c r="S668">
        <v>0</v>
      </c>
      <c r="W668" t="s">
        <v>1060</v>
      </c>
      <c r="X668">
        <v>0</v>
      </c>
      <c r="Z668">
        <v>10</v>
      </c>
      <c r="AA668">
        <v>0</v>
      </c>
      <c r="AB668">
        <v>0</v>
      </c>
      <c r="AC668">
        <v>0</v>
      </c>
      <c r="AD668" t="s">
        <v>1042</v>
      </c>
      <c r="AE668">
        <v>0</v>
      </c>
      <c r="AF668">
        <v>0</v>
      </c>
      <c r="AH668">
        <v>0</v>
      </c>
      <c r="AJ668">
        <v>0</v>
      </c>
      <c r="AL668">
        <v>0</v>
      </c>
      <c r="AM668">
        <v>0</v>
      </c>
      <c r="AN668">
        <v>11501008</v>
      </c>
      <c r="AO668">
        <v>0</v>
      </c>
      <c r="AP668">
        <v>1001</v>
      </c>
      <c r="AT668">
        <v>0</v>
      </c>
      <c r="AW668" t="s">
        <v>1053</v>
      </c>
      <c r="AX668">
        <v>0</v>
      </c>
      <c r="AY668" s="20">
        <v>44391</v>
      </c>
      <c r="BA668" s="20">
        <v>44391</v>
      </c>
      <c r="BB668" t="s">
        <v>1058</v>
      </c>
      <c r="BD668">
        <v>0</v>
      </c>
      <c r="BF668" t="s">
        <v>1044</v>
      </c>
      <c r="BG668" t="s">
        <v>1042</v>
      </c>
      <c r="BH668">
        <v>0</v>
      </c>
      <c r="BI668">
        <v>6</v>
      </c>
      <c r="BJ668">
        <v>0</v>
      </c>
      <c r="BK668">
        <v>0</v>
      </c>
      <c r="BM668" t="s">
        <v>1042</v>
      </c>
      <c r="BN668">
        <v>0</v>
      </c>
      <c r="BS668" t="s">
        <v>1043</v>
      </c>
      <c r="BT668" t="s">
        <v>1043</v>
      </c>
      <c r="BW668">
        <v>2</v>
      </c>
      <c r="BY668">
        <v>10</v>
      </c>
      <c r="CA668">
        <v>0</v>
      </c>
      <c r="CB668" t="s">
        <v>1043</v>
      </c>
      <c r="CE668" t="s">
        <v>1043</v>
      </c>
      <c r="CH668" t="s">
        <v>1043</v>
      </c>
      <c r="CN668" t="s">
        <v>1074</v>
      </c>
      <c r="CO668" t="s">
        <v>1043</v>
      </c>
      <c r="CP668">
        <v>1</v>
      </c>
      <c r="CQ668">
        <v>0</v>
      </c>
      <c r="CS668">
        <v>0</v>
      </c>
      <c r="CT668">
        <v>0</v>
      </c>
      <c r="CU668">
        <v>0</v>
      </c>
      <c r="CV668" t="s">
        <v>1045</v>
      </c>
      <c r="CW668">
        <v>0</v>
      </c>
      <c r="CX668">
        <v>0</v>
      </c>
      <c r="CY668">
        <v>0</v>
      </c>
      <c r="CZ668">
        <v>0</v>
      </c>
      <c r="DB668">
        <v>0</v>
      </c>
      <c r="DC668" t="s">
        <v>1043</v>
      </c>
      <c r="DF668" t="s">
        <v>1055</v>
      </c>
      <c r="DH668">
        <v>0</v>
      </c>
      <c r="DJ668">
        <v>0</v>
      </c>
      <c r="DK668" t="s">
        <v>1053</v>
      </c>
      <c r="DL668">
        <v>0</v>
      </c>
      <c r="DN668">
        <v>0</v>
      </c>
      <c r="DO668" t="s">
        <v>1042</v>
      </c>
      <c r="DP668">
        <v>0</v>
      </c>
      <c r="DQ668">
        <v>7</v>
      </c>
      <c r="DS668">
        <v>0</v>
      </c>
      <c r="DU668">
        <v>1</v>
      </c>
      <c r="DW668">
        <v>0</v>
      </c>
      <c r="DX668" t="s">
        <v>1043</v>
      </c>
      <c r="DY668">
        <v>0</v>
      </c>
      <c r="DZ668">
        <v>0</v>
      </c>
      <c r="EA668">
        <v>0</v>
      </c>
      <c r="ED668" t="s">
        <v>1045</v>
      </c>
      <c r="EE668">
        <v>0</v>
      </c>
      <c r="EF668">
        <v>0</v>
      </c>
      <c r="EQ668" t="s">
        <v>1044</v>
      </c>
      <c r="ES668" t="s">
        <v>1053</v>
      </c>
      <c r="ET668">
        <v>0</v>
      </c>
      <c r="EV668">
        <v>0</v>
      </c>
      <c r="EY668" t="s">
        <v>1052</v>
      </c>
      <c r="EZ668">
        <v>0</v>
      </c>
      <c r="FA668" t="s">
        <v>1043</v>
      </c>
      <c r="FB668">
        <v>0</v>
      </c>
      <c r="FC668">
        <v>0</v>
      </c>
      <c r="FE668" t="s">
        <v>1050</v>
      </c>
      <c r="FF668">
        <v>0</v>
      </c>
      <c r="FG668" t="s">
        <v>1050</v>
      </c>
      <c r="FJ668">
        <v>0</v>
      </c>
      <c r="FK668">
        <v>0</v>
      </c>
      <c r="FP668">
        <v>0</v>
      </c>
      <c r="FQ668" t="s">
        <v>1044</v>
      </c>
      <c r="FR668">
        <v>0</v>
      </c>
      <c r="FS668" t="s">
        <v>1043</v>
      </c>
      <c r="FX668" t="s">
        <v>1042</v>
      </c>
      <c r="FZ668" t="s">
        <v>1048</v>
      </c>
      <c r="GA668">
        <v>0</v>
      </c>
      <c r="GB668" t="s">
        <v>1042</v>
      </c>
      <c r="GE668">
        <v>0</v>
      </c>
      <c r="GG668">
        <v>0</v>
      </c>
      <c r="GN668">
        <v>0</v>
      </c>
      <c r="GO668" t="s">
        <v>1063</v>
      </c>
      <c r="GQ668">
        <v>0</v>
      </c>
      <c r="GU668">
        <v>0</v>
      </c>
      <c r="GY668" t="s">
        <v>1045</v>
      </c>
      <c r="HB668">
        <v>0</v>
      </c>
      <c r="HE668">
        <v>0</v>
      </c>
      <c r="HF668">
        <v>0</v>
      </c>
      <c r="HG668">
        <v>0</v>
      </c>
      <c r="HK668" t="s">
        <v>1042</v>
      </c>
      <c r="HM668" t="s">
        <v>1047</v>
      </c>
      <c r="HN668">
        <v>0</v>
      </c>
      <c r="HP668">
        <v>0</v>
      </c>
      <c r="HQ668">
        <v>0</v>
      </c>
      <c r="HR668" t="s">
        <v>1042</v>
      </c>
      <c r="HS668" t="s">
        <v>1043</v>
      </c>
      <c r="HT668">
        <v>0</v>
      </c>
      <c r="HU668">
        <v>0</v>
      </c>
      <c r="HV668" t="s">
        <v>1088</v>
      </c>
      <c r="HW668">
        <v>0</v>
      </c>
      <c r="HX668">
        <v>0</v>
      </c>
      <c r="HY668">
        <v>0</v>
      </c>
      <c r="HZ668" t="s">
        <v>1045</v>
      </c>
      <c r="IA668">
        <v>0</v>
      </c>
      <c r="IB668" t="s">
        <v>1045</v>
      </c>
      <c r="ID668" t="s">
        <v>1045</v>
      </c>
      <c r="IF668">
        <v>0</v>
      </c>
      <c r="IG668" t="s">
        <v>1042</v>
      </c>
      <c r="II668" t="s">
        <v>1042</v>
      </c>
      <c r="IR668" t="s">
        <v>1045</v>
      </c>
      <c r="IT668">
        <v>0</v>
      </c>
      <c r="IY668" t="s">
        <v>1044</v>
      </c>
      <c r="IZ668" t="s">
        <v>1043</v>
      </c>
      <c r="JA668" t="s">
        <v>1043</v>
      </c>
      <c r="JC668" t="s">
        <v>1043</v>
      </c>
      <c r="JE668">
        <v>0</v>
      </c>
      <c r="JF668">
        <v>0</v>
      </c>
      <c r="JI668" t="s">
        <v>1042</v>
      </c>
      <c r="JJ668">
        <v>0</v>
      </c>
      <c r="JK668">
        <v>0</v>
      </c>
      <c r="JL668">
        <v>0</v>
      </c>
      <c r="JM668">
        <v>0</v>
      </c>
      <c r="JQ668" t="s">
        <v>1043</v>
      </c>
      <c r="JT668">
        <v>0</v>
      </c>
      <c r="JU668" t="s">
        <v>1042</v>
      </c>
      <c r="JW668">
        <v>0</v>
      </c>
      <c r="KA668">
        <v>0</v>
      </c>
      <c r="KF668">
        <v>0</v>
      </c>
      <c r="KG668">
        <v>0</v>
      </c>
      <c r="KH668">
        <v>0</v>
      </c>
      <c r="KI668">
        <v>0</v>
      </c>
      <c r="KJ668" t="s">
        <v>1044</v>
      </c>
      <c r="KS668" t="s">
        <v>1073</v>
      </c>
      <c r="KT668">
        <v>0</v>
      </c>
      <c r="KU668">
        <v>0</v>
      </c>
      <c r="KV668">
        <v>0</v>
      </c>
      <c r="KX668">
        <v>0</v>
      </c>
      <c r="KY668" t="s">
        <v>1045</v>
      </c>
      <c r="KZ668">
        <v>0</v>
      </c>
      <c r="LF668">
        <v>0</v>
      </c>
      <c r="LH668">
        <v>0</v>
      </c>
      <c r="LI668">
        <v>0</v>
      </c>
    </row>
    <row r="669" spans="1:321" x14ac:dyDescent="0.35">
      <c r="A669">
        <v>1</v>
      </c>
      <c r="B669">
        <v>1468</v>
      </c>
      <c r="C669" t="s">
        <v>1092</v>
      </c>
      <c r="D669" t="s">
        <v>1089</v>
      </c>
      <c r="E669" t="s">
        <v>85</v>
      </c>
      <c r="F669">
        <v>1</v>
      </c>
      <c r="G669">
        <v>8890</v>
      </c>
      <c r="H669">
        <v>0</v>
      </c>
      <c r="I669" t="s">
        <v>994</v>
      </c>
      <c r="M669">
        <v>0</v>
      </c>
      <c r="N669">
        <v>0</v>
      </c>
      <c r="P669">
        <v>77</v>
      </c>
      <c r="Q669">
        <v>902</v>
      </c>
      <c r="R669">
        <v>0</v>
      </c>
      <c r="S669">
        <v>0</v>
      </c>
      <c r="W669" t="s">
        <v>1060</v>
      </c>
      <c r="X669">
        <v>0</v>
      </c>
      <c r="Z669">
        <v>10</v>
      </c>
      <c r="AA669">
        <v>0</v>
      </c>
      <c r="AB669">
        <v>0</v>
      </c>
      <c r="AC669">
        <v>0</v>
      </c>
      <c r="AD669" t="s">
        <v>1042</v>
      </c>
      <c r="AE669">
        <v>0</v>
      </c>
      <c r="AF669">
        <v>0</v>
      </c>
      <c r="AH669">
        <v>0</v>
      </c>
      <c r="AJ669">
        <v>0</v>
      </c>
      <c r="AL669">
        <v>0</v>
      </c>
      <c r="AM669">
        <v>0</v>
      </c>
      <c r="AN669">
        <v>11501008</v>
      </c>
      <c r="AO669">
        <v>0</v>
      </c>
      <c r="AP669">
        <v>1001</v>
      </c>
      <c r="AT669">
        <v>0</v>
      </c>
      <c r="AW669" t="s">
        <v>1053</v>
      </c>
      <c r="AX669">
        <v>0</v>
      </c>
      <c r="AY669" s="20">
        <v>44391</v>
      </c>
      <c r="BA669" s="20">
        <v>44391</v>
      </c>
      <c r="BB669" t="s">
        <v>1058</v>
      </c>
      <c r="BD669">
        <v>0</v>
      </c>
      <c r="BF669" t="s">
        <v>1044</v>
      </c>
      <c r="BG669" t="s">
        <v>1042</v>
      </c>
      <c r="BH669">
        <v>0</v>
      </c>
      <c r="BI669">
        <v>6</v>
      </c>
      <c r="BJ669">
        <v>0</v>
      </c>
      <c r="BK669">
        <v>0</v>
      </c>
      <c r="BM669" t="s">
        <v>1042</v>
      </c>
      <c r="BN669">
        <v>0</v>
      </c>
      <c r="BS669" t="s">
        <v>1043</v>
      </c>
      <c r="BT669" t="s">
        <v>1043</v>
      </c>
      <c r="BW669">
        <v>2</v>
      </c>
      <c r="BY669">
        <v>10</v>
      </c>
      <c r="CA669">
        <v>0</v>
      </c>
      <c r="CB669" t="s">
        <v>1043</v>
      </c>
      <c r="CE669" t="s">
        <v>1043</v>
      </c>
      <c r="CH669" t="s">
        <v>1043</v>
      </c>
      <c r="CN669" t="s">
        <v>1074</v>
      </c>
      <c r="CO669" t="s">
        <v>1043</v>
      </c>
      <c r="CP669">
        <v>1</v>
      </c>
      <c r="CQ669">
        <v>0</v>
      </c>
      <c r="CS669">
        <v>0</v>
      </c>
      <c r="CT669">
        <v>0</v>
      </c>
      <c r="CU669">
        <v>0</v>
      </c>
      <c r="CV669" t="s">
        <v>1045</v>
      </c>
      <c r="CW669">
        <v>0</v>
      </c>
      <c r="CX669">
        <v>0</v>
      </c>
      <c r="CY669">
        <v>0</v>
      </c>
      <c r="CZ669">
        <v>0</v>
      </c>
      <c r="DB669">
        <v>0</v>
      </c>
      <c r="DC669" t="s">
        <v>1043</v>
      </c>
      <c r="DF669" t="s">
        <v>1055</v>
      </c>
      <c r="DH669">
        <v>0</v>
      </c>
      <c r="DJ669">
        <v>0</v>
      </c>
      <c r="DK669" t="s">
        <v>1053</v>
      </c>
      <c r="DL669">
        <v>0</v>
      </c>
      <c r="DN669">
        <v>0</v>
      </c>
      <c r="DO669" t="s">
        <v>1042</v>
      </c>
      <c r="DP669">
        <v>0</v>
      </c>
      <c r="DQ669">
        <v>7</v>
      </c>
      <c r="DS669">
        <v>0</v>
      </c>
      <c r="DU669">
        <v>1</v>
      </c>
      <c r="DW669">
        <v>0</v>
      </c>
      <c r="DX669" t="s">
        <v>1043</v>
      </c>
      <c r="DY669">
        <v>0</v>
      </c>
      <c r="DZ669">
        <v>0</v>
      </c>
      <c r="EA669">
        <v>0</v>
      </c>
      <c r="ED669" t="s">
        <v>1045</v>
      </c>
      <c r="EE669">
        <v>0</v>
      </c>
      <c r="EF669">
        <v>0</v>
      </c>
      <c r="EQ669" t="s">
        <v>1044</v>
      </c>
      <c r="ES669" t="s">
        <v>1053</v>
      </c>
      <c r="ET669">
        <v>0</v>
      </c>
      <c r="EV669">
        <v>0</v>
      </c>
      <c r="EY669" t="s">
        <v>1052</v>
      </c>
      <c r="EZ669">
        <v>0</v>
      </c>
      <c r="FA669" t="s">
        <v>1043</v>
      </c>
      <c r="FB669">
        <v>0</v>
      </c>
      <c r="FC669">
        <v>0</v>
      </c>
      <c r="FE669" t="s">
        <v>1050</v>
      </c>
      <c r="FF669">
        <v>0</v>
      </c>
      <c r="FG669" t="s">
        <v>1050</v>
      </c>
      <c r="FJ669">
        <v>0</v>
      </c>
      <c r="FK669">
        <v>0</v>
      </c>
      <c r="FP669">
        <v>0</v>
      </c>
      <c r="FQ669" t="s">
        <v>1044</v>
      </c>
      <c r="FR669">
        <v>0</v>
      </c>
      <c r="FS669" t="s">
        <v>1043</v>
      </c>
      <c r="FX669" t="s">
        <v>1042</v>
      </c>
      <c r="FZ669" t="s">
        <v>1048</v>
      </c>
      <c r="GA669">
        <v>0</v>
      </c>
      <c r="GB669" t="s">
        <v>1042</v>
      </c>
      <c r="GE669">
        <v>0</v>
      </c>
      <c r="GG669">
        <v>0</v>
      </c>
      <c r="GN669">
        <v>0</v>
      </c>
      <c r="GO669" t="s">
        <v>1063</v>
      </c>
      <c r="GQ669">
        <v>0</v>
      </c>
      <c r="GU669">
        <v>0</v>
      </c>
      <c r="GY669" t="s">
        <v>1045</v>
      </c>
      <c r="HB669">
        <v>0</v>
      </c>
      <c r="HE669">
        <v>0</v>
      </c>
      <c r="HF669">
        <v>0</v>
      </c>
      <c r="HG669">
        <v>0</v>
      </c>
      <c r="HK669" t="s">
        <v>1042</v>
      </c>
      <c r="HM669" t="s">
        <v>1047</v>
      </c>
      <c r="HN669">
        <v>0</v>
      </c>
      <c r="HP669">
        <v>0</v>
      </c>
      <c r="HQ669">
        <v>0</v>
      </c>
      <c r="HR669" t="s">
        <v>1042</v>
      </c>
      <c r="HS669" t="s">
        <v>1043</v>
      </c>
      <c r="HT669">
        <v>0</v>
      </c>
      <c r="HU669">
        <v>0</v>
      </c>
      <c r="HV669" t="s">
        <v>1088</v>
      </c>
      <c r="HW669">
        <v>0</v>
      </c>
      <c r="HX669">
        <v>0</v>
      </c>
      <c r="HY669">
        <v>0</v>
      </c>
      <c r="HZ669" t="s">
        <v>1045</v>
      </c>
      <c r="IA669">
        <v>0</v>
      </c>
      <c r="IB669" t="s">
        <v>1045</v>
      </c>
      <c r="ID669" t="s">
        <v>1045</v>
      </c>
      <c r="IF669">
        <v>0</v>
      </c>
      <c r="IG669" t="s">
        <v>1042</v>
      </c>
      <c r="II669" t="s">
        <v>1042</v>
      </c>
      <c r="IR669" t="s">
        <v>1045</v>
      </c>
      <c r="IT669">
        <v>0</v>
      </c>
      <c r="IY669" t="s">
        <v>1044</v>
      </c>
      <c r="IZ669" t="s">
        <v>1043</v>
      </c>
      <c r="JA669" t="s">
        <v>1043</v>
      </c>
      <c r="JC669" t="s">
        <v>1043</v>
      </c>
      <c r="JE669">
        <v>0</v>
      </c>
      <c r="JF669">
        <v>0</v>
      </c>
      <c r="JI669" t="s">
        <v>1042</v>
      </c>
      <c r="JJ669">
        <v>0</v>
      </c>
      <c r="JK669">
        <v>0</v>
      </c>
      <c r="JL669">
        <v>0</v>
      </c>
      <c r="JM669">
        <v>0</v>
      </c>
      <c r="JQ669" t="s">
        <v>1043</v>
      </c>
      <c r="JT669">
        <v>0</v>
      </c>
      <c r="JU669" t="s">
        <v>1042</v>
      </c>
      <c r="JW669">
        <v>0</v>
      </c>
      <c r="KA669">
        <v>0</v>
      </c>
      <c r="KF669">
        <v>0</v>
      </c>
      <c r="KG669">
        <v>0</v>
      </c>
      <c r="KH669">
        <v>0</v>
      </c>
      <c r="KI669">
        <v>0</v>
      </c>
      <c r="KJ669" t="s">
        <v>1044</v>
      </c>
      <c r="KS669" t="s">
        <v>1073</v>
      </c>
      <c r="KT669">
        <v>0</v>
      </c>
      <c r="KU669">
        <v>0</v>
      </c>
      <c r="KV669">
        <v>0</v>
      </c>
      <c r="KX669">
        <v>0</v>
      </c>
      <c r="KY669" t="s">
        <v>1045</v>
      </c>
      <c r="KZ669">
        <v>0</v>
      </c>
      <c r="LF669">
        <v>0</v>
      </c>
      <c r="LH669">
        <v>0</v>
      </c>
      <c r="LI669">
        <v>0</v>
      </c>
    </row>
    <row r="670" spans="1:321" x14ac:dyDescent="0.35">
      <c r="A670">
        <v>1</v>
      </c>
      <c r="B670">
        <v>1469</v>
      </c>
      <c r="C670" t="s">
        <v>1091</v>
      </c>
      <c r="D670" t="s">
        <v>1089</v>
      </c>
      <c r="E670" t="s">
        <v>85</v>
      </c>
      <c r="F670">
        <v>1</v>
      </c>
      <c r="G670">
        <v>8890</v>
      </c>
      <c r="H670">
        <v>0</v>
      </c>
      <c r="I670" t="s">
        <v>994</v>
      </c>
      <c r="M670">
        <v>0</v>
      </c>
      <c r="N670">
        <v>0</v>
      </c>
      <c r="P670">
        <v>77</v>
      </c>
      <c r="Q670">
        <v>902</v>
      </c>
      <c r="R670">
        <v>0</v>
      </c>
      <c r="S670">
        <v>0</v>
      </c>
      <c r="W670" t="s">
        <v>1060</v>
      </c>
      <c r="X670">
        <v>0</v>
      </c>
      <c r="Z670">
        <v>1</v>
      </c>
      <c r="AA670">
        <v>0</v>
      </c>
      <c r="AB670">
        <v>0</v>
      </c>
      <c r="AC670">
        <v>0</v>
      </c>
      <c r="AD670" t="s">
        <v>1042</v>
      </c>
      <c r="AE670">
        <v>0</v>
      </c>
      <c r="AF670">
        <v>0</v>
      </c>
      <c r="AH670">
        <v>0</v>
      </c>
      <c r="AJ670">
        <v>0</v>
      </c>
      <c r="AL670">
        <v>0</v>
      </c>
      <c r="AM670">
        <v>0</v>
      </c>
      <c r="AN670">
        <v>11501008</v>
      </c>
      <c r="AO670">
        <v>0</v>
      </c>
      <c r="AP670">
        <v>1001</v>
      </c>
      <c r="AT670">
        <v>0</v>
      </c>
      <c r="AW670" t="s">
        <v>1053</v>
      </c>
      <c r="AX670">
        <v>0</v>
      </c>
      <c r="AY670" s="20">
        <v>44391</v>
      </c>
      <c r="BA670" s="20">
        <v>44391</v>
      </c>
      <c r="BB670" t="s">
        <v>1058</v>
      </c>
      <c r="BD670">
        <v>0</v>
      </c>
      <c r="BF670" t="s">
        <v>1044</v>
      </c>
      <c r="BG670" t="s">
        <v>1042</v>
      </c>
      <c r="BH670">
        <v>0</v>
      </c>
      <c r="BI670">
        <v>6</v>
      </c>
      <c r="BJ670">
        <v>0</v>
      </c>
      <c r="BK670">
        <v>0</v>
      </c>
      <c r="BM670" t="s">
        <v>1042</v>
      </c>
      <c r="BN670">
        <v>0</v>
      </c>
      <c r="BS670" t="s">
        <v>1043</v>
      </c>
      <c r="BT670" t="s">
        <v>1043</v>
      </c>
      <c r="BW670">
        <v>2</v>
      </c>
      <c r="BY670">
        <v>10</v>
      </c>
      <c r="CA670">
        <v>0</v>
      </c>
      <c r="CB670" t="s">
        <v>1043</v>
      </c>
      <c r="CE670" t="s">
        <v>1043</v>
      </c>
      <c r="CH670" t="s">
        <v>1043</v>
      </c>
      <c r="CN670" t="s">
        <v>1074</v>
      </c>
      <c r="CO670" t="s">
        <v>1043</v>
      </c>
      <c r="CP670">
        <v>1</v>
      </c>
      <c r="CQ670">
        <v>0</v>
      </c>
      <c r="CS670">
        <v>0</v>
      </c>
      <c r="CT670">
        <v>0</v>
      </c>
      <c r="CU670">
        <v>0</v>
      </c>
      <c r="CV670" t="s">
        <v>1045</v>
      </c>
      <c r="CW670">
        <v>0</v>
      </c>
      <c r="CX670">
        <v>0</v>
      </c>
      <c r="CY670">
        <v>0</v>
      </c>
      <c r="CZ670">
        <v>0</v>
      </c>
      <c r="DB670">
        <v>0</v>
      </c>
      <c r="DC670" t="s">
        <v>1043</v>
      </c>
      <c r="DF670" t="s">
        <v>1055</v>
      </c>
      <c r="DH670">
        <v>0</v>
      </c>
      <c r="DJ670">
        <v>0</v>
      </c>
      <c r="DK670" t="s">
        <v>1053</v>
      </c>
      <c r="DL670">
        <v>0</v>
      </c>
      <c r="DN670">
        <v>0</v>
      </c>
      <c r="DO670" t="s">
        <v>1042</v>
      </c>
      <c r="DP670">
        <v>0</v>
      </c>
      <c r="DQ670">
        <v>7</v>
      </c>
      <c r="DS670">
        <v>0</v>
      </c>
      <c r="DU670">
        <v>1</v>
      </c>
      <c r="DW670">
        <v>0</v>
      </c>
      <c r="DX670" t="s">
        <v>1043</v>
      </c>
      <c r="DY670">
        <v>0</v>
      </c>
      <c r="DZ670">
        <v>0</v>
      </c>
      <c r="EA670">
        <v>0</v>
      </c>
      <c r="ED670" t="s">
        <v>1045</v>
      </c>
      <c r="EE670">
        <v>0</v>
      </c>
      <c r="EF670">
        <v>0</v>
      </c>
      <c r="EQ670" t="s">
        <v>1044</v>
      </c>
      <c r="ES670" t="s">
        <v>1053</v>
      </c>
      <c r="ET670">
        <v>0</v>
      </c>
      <c r="EV670">
        <v>0</v>
      </c>
      <c r="EY670" t="s">
        <v>1052</v>
      </c>
      <c r="EZ670">
        <v>0</v>
      </c>
      <c r="FA670" t="s">
        <v>1043</v>
      </c>
      <c r="FB670">
        <v>0</v>
      </c>
      <c r="FC670">
        <v>0</v>
      </c>
      <c r="FE670" t="s">
        <v>1050</v>
      </c>
      <c r="FF670">
        <v>0</v>
      </c>
      <c r="FG670" t="s">
        <v>1050</v>
      </c>
      <c r="FJ670">
        <v>0</v>
      </c>
      <c r="FK670">
        <v>0</v>
      </c>
      <c r="FP670">
        <v>0</v>
      </c>
      <c r="FQ670" t="s">
        <v>1044</v>
      </c>
      <c r="FR670">
        <v>0</v>
      </c>
      <c r="FS670" t="s">
        <v>1043</v>
      </c>
      <c r="FX670" t="s">
        <v>1042</v>
      </c>
      <c r="FZ670" t="s">
        <v>1048</v>
      </c>
      <c r="GA670">
        <v>0</v>
      </c>
      <c r="GB670" t="s">
        <v>1042</v>
      </c>
      <c r="GE670">
        <v>0</v>
      </c>
      <c r="GG670">
        <v>0</v>
      </c>
      <c r="GN670">
        <v>0</v>
      </c>
      <c r="GO670" t="s">
        <v>1063</v>
      </c>
      <c r="GQ670">
        <v>0</v>
      </c>
      <c r="GU670">
        <v>0</v>
      </c>
      <c r="GY670" t="s">
        <v>1045</v>
      </c>
      <c r="HB670">
        <v>0</v>
      </c>
      <c r="HE670">
        <v>0</v>
      </c>
      <c r="HF670">
        <v>0</v>
      </c>
      <c r="HG670">
        <v>0</v>
      </c>
      <c r="HK670" t="s">
        <v>1042</v>
      </c>
      <c r="HM670" t="s">
        <v>1047</v>
      </c>
      <c r="HN670">
        <v>0</v>
      </c>
      <c r="HP670">
        <v>0</v>
      </c>
      <c r="HQ670">
        <v>0</v>
      </c>
      <c r="HR670" t="s">
        <v>1042</v>
      </c>
      <c r="HS670" t="s">
        <v>1043</v>
      </c>
      <c r="HT670">
        <v>0</v>
      </c>
      <c r="HU670">
        <v>0</v>
      </c>
      <c r="HV670" t="s">
        <v>1088</v>
      </c>
      <c r="HW670">
        <v>0</v>
      </c>
      <c r="HX670">
        <v>0</v>
      </c>
      <c r="HY670">
        <v>0</v>
      </c>
      <c r="HZ670" t="s">
        <v>1045</v>
      </c>
      <c r="IA670">
        <v>0</v>
      </c>
      <c r="IB670" t="s">
        <v>1045</v>
      </c>
      <c r="ID670" t="s">
        <v>1045</v>
      </c>
      <c r="IF670">
        <v>0</v>
      </c>
      <c r="IG670" t="s">
        <v>1042</v>
      </c>
      <c r="II670" t="s">
        <v>1042</v>
      </c>
      <c r="IR670" t="s">
        <v>1045</v>
      </c>
      <c r="IT670">
        <v>0</v>
      </c>
      <c r="IY670" t="s">
        <v>1044</v>
      </c>
      <c r="IZ670" t="s">
        <v>1043</v>
      </c>
      <c r="JA670" t="s">
        <v>1043</v>
      </c>
      <c r="JC670" t="s">
        <v>1043</v>
      </c>
      <c r="JE670">
        <v>0</v>
      </c>
      <c r="JF670">
        <v>0</v>
      </c>
      <c r="JI670" t="s">
        <v>1042</v>
      </c>
      <c r="JJ670">
        <v>0</v>
      </c>
      <c r="JK670">
        <v>0</v>
      </c>
      <c r="JL670">
        <v>0</v>
      </c>
      <c r="JM670">
        <v>0</v>
      </c>
      <c r="JQ670" t="s">
        <v>1043</v>
      </c>
      <c r="JT670">
        <v>0</v>
      </c>
      <c r="JU670" t="s">
        <v>1042</v>
      </c>
      <c r="JW670">
        <v>0</v>
      </c>
      <c r="KA670">
        <v>0</v>
      </c>
      <c r="KF670">
        <v>0</v>
      </c>
      <c r="KG670">
        <v>0</v>
      </c>
      <c r="KH670">
        <v>0</v>
      </c>
      <c r="KI670">
        <v>0</v>
      </c>
      <c r="KJ670" t="s">
        <v>1044</v>
      </c>
      <c r="KS670" t="s">
        <v>1073</v>
      </c>
      <c r="KT670">
        <v>0</v>
      </c>
      <c r="KU670">
        <v>0</v>
      </c>
      <c r="KV670">
        <v>0</v>
      </c>
      <c r="KX670">
        <v>0</v>
      </c>
      <c r="KY670" t="s">
        <v>1045</v>
      </c>
      <c r="KZ670">
        <v>0</v>
      </c>
      <c r="LF670">
        <v>0</v>
      </c>
      <c r="LH670">
        <v>0</v>
      </c>
      <c r="LI670">
        <v>0</v>
      </c>
    </row>
    <row r="671" spans="1:321" x14ac:dyDescent="0.35">
      <c r="A671">
        <v>1</v>
      </c>
      <c r="B671">
        <v>1472</v>
      </c>
      <c r="C671" t="s">
        <v>1090</v>
      </c>
      <c r="D671" t="s">
        <v>1089</v>
      </c>
      <c r="E671" t="s">
        <v>85</v>
      </c>
      <c r="F671">
        <v>1</v>
      </c>
      <c r="G671">
        <v>8890</v>
      </c>
      <c r="H671">
        <v>0</v>
      </c>
      <c r="I671" t="s">
        <v>994</v>
      </c>
      <c r="M671">
        <v>0</v>
      </c>
      <c r="N671">
        <v>0</v>
      </c>
      <c r="P671">
        <v>77</v>
      </c>
      <c r="Q671">
        <v>902</v>
      </c>
      <c r="R671">
        <v>0</v>
      </c>
      <c r="S671">
        <v>0</v>
      </c>
      <c r="W671" t="s">
        <v>1060</v>
      </c>
      <c r="X671">
        <v>0</v>
      </c>
      <c r="Z671">
        <v>5</v>
      </c>
      <c r="AA671">
        <v>0</v>
      </c>
      <c r="AB671">
        <v>0</v>
      </c>
      <c r="AC671">
        <v>0</v>
      </c>
      <c r="AD671" t="s">
        <v>1042</v>
      </c>
      <c r="AE671">
        <v>0</v>
      </c>
      <c r="AF671">
        <v>0</v>
      </c>
      <c r="AH671">
        <v>0</v>
      </c>
      <c r="AJ671">
        <v>0</v>
      </c>
      <c r="AL671">
        <v>0</v>
      </c>
      <c r="AM671">
        <v>0</v>
      </c>
      <c r="AN671">
        <v>11501008</v>
      </c>
      <c r="AO671">
        <v>0</v>
      </c>
      <c r="AP671">
        <v>1001</v>
      </c>
      <c r="AT671">
        <v>0</v>
      </c>
      <c r="AW671" t="s">
        <v>1053</v>
      </c>
      <c r="AX671">
        <v>0</v>
      </c>
      <c r="AY671" s="20">
        <v>44391</v>
      </c>
      <c r="BA671" s="20">
        <v>44391</v>
      </c>
      <c r="BB671" t="s">
        <v>1058</v>
      </c>
      <c r="BD671">
        <v>0</v>
      </c>
      <c r="BF671" t="s">
        <v>1044</v>
      </c>
      <c r="BG671" t="s">
        <v>1042</v>
      </c>
      <c r="BH671">
        <v>0</v>
      </c>
      <c r="BI671">
        <v>6</v>
      </c>
      <c r="BJ671">
        <v>0</v>
      </c>
      <c r="BK671">
        <v>0</v>
      </c>
      <c r="BM671" t="s">
        <v>1042</v>
      </c>
      <c r="BN671">
        <v>0</v>
      </c>
      <c r="BS671" t="s">
        <v>1043</v>
      </c>
      <c r="BT671" t="s">
        <v>1043</v>
      </c>
      <c r="BW671">
        <v>2</v>
      </c>
      <c r="BY671">
        <v>10</v>
      </c>
      <c r="CA671">
        <v>0</v>
      </c>
      <c r="CB671" t="s">
        <v>1043</v>
      </c>
      <c r="CE671" t="s">
        <v>1043</v>
      </c>
      <c r="CH671" t="s">
        <v>1043</v>
      </c>
      <c r="CN671" t="s">
        <v>1074</v>
      </c>
      <c r="CO671" t="s">
        <v>1043</v>
      </c>
      <c r="CP671">
        <v>1</v>
      </c>
      <c r="CQ671">
        <v>0</v>
      </c>
      <c r="CS671">
        <v>0</v>
      </c>
      <c r="CT671">
        <v>0</v>
      </c>
      <c r="CU671">
        <v>0</v>
      </c>
      <c r="CV671" t="s">
        <v>1045</v>
      </c>
      <c r="CW671">
        <v>0</v>
      </c>
      <c r="CX671">
        <v>0</v>
      </c>
      <c r="CY671">
        <v>0</v>
      </c>
      <c r="CZ671">
        <v>0</v>
      </c>
      <c r="DB671">
        <v>0</v>
      </c>
      <c r="DC671" t="s">
        <v>1043</v>
      </c>
      <c r="DF671" t="s">
        <v>1055</v>
      </c>
      <c r="DH671">
        <v>0</v>
      </c>
      <c r="DJ671">
        <v>0</v>
      </c>
      <c r="DK671" t="s">
        <v>1053</v>
      </c>
      <c r="DL671">
        <v>0</v>
      </c>
      <c r="DN671">
        <v>0</v>
      </c>
      <c r="DO671" t="s">
        <v>1042</v>
      </c>
      <c r="DP671">
        <v>0</v>
      </c>
      <c r="DQ671">
        <v>7</v>
      </c>
      <c r="DS671">
        <v>0</v>
      </c>
      <c r="DU671">
        <v>1</v>
      </c>
      <c r="DW671">
        <v>0</v>
      </c>
      <c r="DX671" t="s">
        <v>1043</v>
      </c>
      <c r="DY671">
        <v>0</v>
      </c>
      <c r="DZ671">
        <v>0</v>
      </c>
      <c r="EA671">
        <v>0</v>
      </c>
      <c r="ED671" t="s">
        <v>1045</v>
      </c>
      <c r="EE671">
        <v>0</v>
      </c>
      <c r="EF671">
        <v>0</v>
      </c>
      <c r="EQ671" t="s">
        <v>1044</v>
      </c>
      <c r="ES671" t="s">
        <v>1053</v>
      </c>
      <c r="ET671">
        <v>0</v>
      </c>
      <c r="EV671">
        <v>0</v>
      </c>
      <c r="EY671" t="s">
        <v>1052</v>
      </c>
      <c r="EZ671">
        <v>0</v>
      </c>
      <c r="FA671" t="s">
        <v>1043</v>
      </c>
      <c r="FB671">
        <v>0</v>
      </c>
      <c r="FC671">
        <v>0</v>
      </c>
      <c r="FE671" t="s">
        <v>1050</v>
      </c>
      <c r="FF671">
        <v>0</v>
      </c>
      <c r="FG671" t="s">
        <v>1050</v>
      </c>
      <c r="FJ671">
        <v>0</v>
      </c>
      <c r="FK671">
        <v>0</v>
      </c>
      <c r="FP671">
        <v>0</v>
      </c>
      <c r="FQ671" t="s">
        <v>1044</v>
      </c>
      <c r="FR671">
        <v>0</v>
      </c>
      <c r="FS671" t="s">
        <v>1043</v>
      </c>
      <c r="FX671" t="s">
        <v>1042</v>
      </c>
      <c r="FZ671" t="s">
        <v>1048</v>
      </c>
      <c r="GA671">
        <v>0</v>
      </c>
      <c r="GB671" t="s">
        <v>1042</v>
      </c>
      <c r="GE671">
        <v>0</v>
      </c>
      <c r="GG671">
        <v>0</v>
      </c>
      <c r="GN671">
        <v>0</v>
      </c>
      <c r="GO671" t="s">
        <v>1063</v>
      </c>
      <c r="GQ671">
        <v>0</v>
      </c>
      <c r="GU671">
        <v>0</v>
      </c>
      <c r="GY671" t="s">
        <v>1045</v>
      </c>
      <c r="HB671">
        <v>0</v>
      </c>
      <c r="HE671">
        <v>0</v>
      </c>
      <c r="HF671">
        <v>0</v>
      </c>
      <c r="HG671">
        <v>0</v>
      </c>
      <c r="HK671" t="s">
        <v>1042</v>
      </c>
      <c r="HM671" t="s">
        <v>1047</v>
      </c>
      <c r="HN671">
        <v>0</v>
      </c>
      <c r="HP671">
        <v>0</v>
      </c>
      <c r="HQ671">
        <v>0</v>
      </c>
      <c r="HR671" t="s">
        <v>1042</v>
      </c>
      <c r="HS671" t="s">
        <v>1043</v>
      </c>
      <c r="HT671">
        <v>0</v>
      </c>
      <c r="HU671">
        <v>0</v>
      </c>
      <c r="HV671" t="s">
        <v>1088</v>
      </c>
      <c r="HW671">
        <v>0</v>
      </c>
      <c r="HX671">
        <v>0</v>
      </c>
      <c r="HY671">
        <v>0</v>
      </c>
      <c r="HZ671" t="s">
        <v>1045</v>
      </c>
      <c r="IA671">
        <v>0</v>
      </c>
      <c r="IB671" t="s">
        <v>1045</v>
      </c>
      <c r="ID671" t="s">
        <v>1045</v>
      </c>
      <c r="IF671">
        <v>0</v>
      </c>
      <c r="IG671" t="s">
        <v>1042</v>
      </c>
      <c r="II671" t="s">
        <v>1042</v>
      </c>
      <c r="IR671" t="s">
        <v>1045</v>
      </c>
      <c r="IT671">
        <v>0</v>
      </c>
      <c r="IY671" t="s">
        <v>1044</v>
      </c>
      <c r="IZ671" t="s">
        <v>1043</v>
      </c>
      <c r="JA671" t="s">
        <v>1043</v>
      </c>
      <c r="JC671" t="s">
        <v>1043</v>
      </c>
      <c r="JE671">
        <v>0</v>
      </c>
      <c r="JF671">
        <v>0</v>
      </c>
      <c r="JI671" t="s">
        <v>1042</v>
      </c>
      <c r="JJ671">
        <v>0</v>
      </c>
      <c r="JK671">
        <v>0</v>
      </c>
      <c r="JL671">
        <v>0</v>
      </c>
      <c r="JM671">
        <v>0</v>
      </c>
      <c r="JQ671" t="s">
        <v>1043</v>
      </c>
      <c r="JT671">
        <v>0</v>
      </c>
      <c r="JU671" t="s">
        <v>1042</v>
      </c>
      <c r="JW671">
        <v>0</v>
      </c>
      <c r="KA671">
        <v>0</v>
      </c>
      <c r="KF671">
        <v>0</v>
      </c>
      <c r="KG671">
        <v>0</v>
      </c>
      <c r="KH671">
        <v>0</v>
      </c>
      <c r="KI671">
        <v>0</v>
      </c>
      <c r="KJ671" t="s">
        <v>1044</v>
      </c>
      <c r="KS671" t="s">
        <v>1073</v>
      </c>
      <c r="KT671">
        <v>0</v>
      </c>
      <c r="KU671">
        <v>0</v>
      </c>
      <c r="KV671">
        <v>0</v>
      </c>
      <c r="KX671">
        <v>0</v>
      </c>
      <c r="KY671" t="s">
        <v>1045</v>
      </c>
      <c r="KZ671">
        <v>0</v>
      </c>
      <c r="LF671">
        <v>0</v>
      </c>
      <c r="LH671">
        <v>0</v>
      </c>
      <c r="LI671">
        <v>0</v>
      </c>
    </row>
    <row r="672" spans="1:321" x14ac:dyDescent="0.35">
      <c r="A672">
        <v>1</v>
      </c>
      <c r="B672">
        <v>14773</v>
      </c>
      <c r="C672" t="s">
        <v>1087</v>
      </c>
      <c r="D672" t="s">
        <v>1086</v>
      </c>
      <c r="E672" t="s">
        <v>1085</v>
      </c>
      <c r="F672">
        <v>1</v>
      </c>
      <c r="G672">
        <v>8888</v>
      </c>
      <c r="H672">
        <v>0</v>
      </c>
      <c r="I672" t="s">
        <v>1084</v>
      </c>
      <c r="M672">
        <v>0</v>
      </c>
      <c r="N672">
        <v>0</v>
      </c>
      <c r="R672">
        <v>0</v>
      </c>
      <c r="S672">
        <v>0</v>
      </c>
      <c r="W672" t="s">
        <v>1060</v>
      </c>
      <c r="X672">
        <v>0</v>
      </c>
      <c r="Z672">
        <v>20</v>
      </c>
      <c r="AA672">
        <v>0</v>
      </c>
      <c r="AB672">
        <v>0</v>
      </c>
      <c r="AC672">
        <v>28.917000000000002</v>
      </c>
      <c r="AD672" s="20">
        <v>42527</v>
      </c>
      <c r="AE672">
        <v>36.720089000000002</v>
      </c>
      <c r="AF672">
        <v>0</v>
      </c>
      <c r="AH672">
        <v>0</v>
      </c>
      <c r="AJ672">
        <v>0</v>
      </c>
      <c r="AL672">
        <v>20</v>
      </c>
      <c r="AM672">
        <v>0</v>
      </c>
      <c r="AN672">
        <v>11501006</v>
      </c>
      <c r="AO672">
        <v>0</v>
      </c>
      <c r="AP672">
        <v>1060</v>
      </c>
      <c r="AT672">
        <v>0</v>
      </c>
      <c r="AU672" t="s">
        <v>1059</v>
      </c>
      <c r="AW672" t="s">
        <v>1053</v>
      </c>
      <c r="AX672">
        <v>0</v>
      </c>
      <c r="AY672" s="20">
        <v>42527</v>
      </c>
      <c r="BA672" t="s">
        <v>1042</v>
      </c>
      <c r="BB672" t="s">
        <v>1058</v>
      </c>
      <c r="BD672">
        <v>0</v>
      </c>
      <c r="BF672" t="s">
        <v>1043</v>
      </c>
      <c r="BG672" t="s">
        <v>1042</v>
      </c>
      <c r="BH672">
        <v>0</v>
      </c>
      <c r="BI672">
        <v>6</v>
      </c>
      <c r="BJ672">
        <v>0</v>
      </c>
      <c r="BK672">
        <v>0</v>
      </c>
      <c r="BM672" s="20">
        <v>42472</v>
      </c>
      <c r="BN672">
        <v>0</v>
      </c>
      <c r="BO672">
        <v>3457801142519</v>
      </c>
      <c r="BS672" t="s">
        <v>1043</v>
      </c>
      <c r="BT672" t="s">
        <v>1043</v>
      </c>
      <c r="BW672">
        <v>80</v>
      </c>
      <c r="CA672">
        <v>0</v>
      </c>
      <c r="CB672" t="s">
        <v>1057</v>
      </c>
      <c r="CE672" t="s">
        <v>1043</v>
      </c>
      <c r="CH672" t="s">
        <v>1043</v>
      </c>
      <c r="CN672" t="s">
        <v>1056</v>
      </c>
      <c r="CO672" t="s">
        <v>1043</v>
      </c>
      <c r="CP672">
        <v>1</v>
      </c>
      <c r="CQ672">
        <v>0</v>
      </c>
      <c r="CS672">
        <v>0</v>
      </c>
      <c r="CT672">
        <v>0</v>
      </c>
      <c r="CU672">
        <v>0</v>
      </c>
      <c r="CV672" t="s">
        <v>1045</v>
      </c>
      <c r="CW672">
        <v>0</v>
      </c>
      <c r="CX672">
        <v>0</v>
      </c>
      <c r="CY672">
        <v>0</v>
      </c>
      <c r="CZ672">
        <v>0</v>
      </c>
      <c r="DB672">
        <v>0</v>
      </c>
      <c r="DC672" t="s">
        <v>1043</v>
      </c>
      <c r="DF672" t="s">
        <v>1055</v>
      </c>
      <c r="DH672">
        <v>0</v>
      </c>
      <c r="DJ672">
        <v>0</v>
      </c>
      <c r="DK672" t="s">
        <v>1053</v>
      </c>
      <c r="DL672">
        <v>0</v>
      </c>
      <c r="DN672">
        <v>0</v>
      </c>
      <c r="DO672" t="s">
        <v>1042</v>
      </c>
      <c r="DP672">
        <v>0</v>
      </c>
      <c r="DQ672">
        <v>0</v>
      </c>
      <c r="DS672">
        <v>0</v>
      </c>
      <c r="DU672">
        <v>0</v>
      </c>
      <c r="DW672">
        <v>0</v>
      </c>
      <c r="DX672" t="s">
        <v>1043</v>
      </c>
      <c r="DY672">
        <v>0</v>
      </c>
      <c r="DZ672">
        <v>0</v>
      </c>
      <c r="EA672">
        <v>0</v>
      </c>
      <c r="ED672" t="s">
        <v>1045</v>
      </c>
      <c r="EE672">
        <v>0</v>
      </c>
      <c r="EF672">
        <v>0</v>
      </c>
      <c r="EQ672" t="s">
        <v>1044</v>
      </c>
      <c r="ES672" t="s">
        <v>1053</v>
      </c>
      <c r="ET672">
        <v>0</v>
      </c>
      <c r="EV672">
        <v>0</v>
      </c>
      <c r="EY672" t="s">
        <v>1052</v>
      </c>
      <c r="EZ672">
        <v>0</v>
      </c>
      <c r="FA672" t="s">
        <v>1043</v>
      </c>
      <c r="FB672">
        <v>0</v>
      </c>
      <c r="FC672">
        <v>0</v>
      </c>
      <c r="FE672" t="s">
        <v>1050</v>
      </c>
      <c r="FF672">
        <v>0</v>
      </c>
      <c r="FG672" t="s">
        <v>1050</v>
      </c>
      <c r="FJ672">
        <v>0</v>
      </c>
      <c r="FK672">
        <v>0</v>
      </c>
      <c r="FP672">
        <v>0</v>
      </c>
      <c r="FQ672" t="s">
        <v>1044</v>
      </c>
      <c r="FR672">
        <v>0</v>
      </c>
      <c r="FS672" t="s">
        <v>1043</v>
      </c>
      <c r="FX672" t="s">
        <v>1042</v>
      </c>
      <c r="FZ672" t="s">
        <v>1048</v>
      </c>
      <c r="GA672">
        <v>0</v>
      </c>
      <c r="GB672" t="s">
        <v>1042</v>
      </c>
      <c r="GD672">
        <v>50</v>
      </c>
      <c r="GE672">
        <v>0</v>
      </c>
      <c r="GG672">
        <v>0</v>
      </c>
      <c r="GN672">
        <v>0</v>
      </c>
      <c r="GO672" t="s">
        <v>1063</v>
      </c>
      <c r="GQ672">
        <v>0</v>
      </c>
      <c r="GU672">
        <v>0</v>
      </c>
      <c r="GY672" t="s">
        <v>1045</v>
      </c>
      <c r="HB672">
        <v>0</v>
      </c>
      <c r="HE672">
        <v>0</v>
      </c>
      <c r="HF672">
        <v>0</v>
      </c>
      <c r="HG672">
        <v>0</v>
      </c>
      <c r="HK672" t="s">
        <v>1042</v>
      </c>
      <c r="HM672" t="s">
        <v>1047</v>
      </c>
      <c r="HN672">
        <v>0</v>
      </c>
      <c r="HP672">
        <v>0</v>
      </c>
      <c r="HQ672">
        <v>0</v>
      </c>
      <c r="HR672" s="20">
        <v>44221</v>
      </c>
      <c r="HS672" t="s">
        <v>1043</v>
      </c>
      <c r="HT672">
        <v>0</v>
      </c>
      <c r="HU672">
        <v>0</v>
      </c>
      <c r="HW672">
        <v>0</v>
      </c>
      <c r="HX672">
        <v>0</v>
      </c>
      <c r="HY672">
        <v>0</v>
      </c>
      <c r="HZ672" t="s">
        <v>1045</v>
      </c>
      <c r="IA672">
        <v>0</v>
      </c>
      <c r="IB672" t="s">
        <v>1045</v>
      </c>
      <c r="ID672" t="s">
        <v>1045</v>
      </c>
      <c r="IF672">
        <v>0</v>
      </c>
      <c r="IG672" t="s">
        <v>1042</v>
      </c>
      <c r="II672" t="s">
        <v>1042</v>
      </c>
      <c r="IR672" t="s">
        <v>1044</v>
      </c>
      <c r="IT672">
        <v>0</v>
      </c>
      <c r="IY672" t="s">
        <v>1044</v>
      </c>
      <c r="IZ672" t="s">
        <v>1043</v>
      </c>
      <c r="JA672" t="s">
        <v>1043</v>
      </c>
      <c r="JC672" t="s">
        <v>1043</v>
      </c>
      <c r="JE672">
        <v>0</v>
      </c>
      <c r="JF672">
        <v>0</v>
      </c>
      <c r="JI672" t="s">
        <v>1042</v>
      </c>
      <c r="JJ672">
        <v>0</v>
      </c>
      <c r="JK672">
        <v>0</v>
      </c>
      <c r="JL672">
        <v>0</v>
      </c>
      <c r="JM672">
        <v>0</v>
      </c>
      <c r="JQ672" t="s">
        <v>1043</v>
      </c>
      <c r="JT672">
        <v>0</v>
      </c>
      <c r="JU672" t="s">
        <v>1042</v>
      </c>
      <c r="JW672">
        <v>0</v>
      </c>
      <c r="KA672">
        <v>0</v>
      </c>
      <c r="KF672">
        <v>0</v>
      </c>
      <c r="KG672">
        <v>0</v>
      </c>
      <c r="KH672">
        <v>0</v>
      </c>
      <c r="KI672">
        <v>0</v>
      </c>
      <c r="KJ672" t="s">
        <v>1044</v>
      </c>
      <c r="KP672" t="s">
        <v>1045</v>
      </c>
      <c r="KS672" t="s">
        <v>1073</v>
      </c>
      <c r="KT672">
        <v>0</v>
      </c>
      <c r="KU672">
        <v>0</v>
      </c>
      <c r="KV672">
        <v>0</v>
      </c>
      <c r="KX672">
        <v>0</v>
      </c>
      <c r="KY672" t="s">
        <v>1045</v>
      </c>
      <c r="KZ672">
        <v>0</v>
      </c>
      <c r="LF672">
        <v>0</v>
      </c>
      <c r="LH672">
        <v>0</v>
      </c>
      <c r="LI672">
        <v>0</v>
      </c>
    </row>
    <row r="673" spans="1:321" x14ac:dyDescent="0.35">
      <c r="A673">
        <v>1</v>
      </c>
      <c r="B673">
        <v>14804</v>
      </c>
      <c r="C673" t="s">
        <v>1083</v>
      </c>
      <c r="D673" t="s">
        <v>1082</v>
      </c>
      <c r="E673" t="s">
        <v>1081</v>
      </c>
      <c r="F673">
        <v>80</v>
      </c>
      <c r="G673">
        <v>8888</v>
      </c>
      <c r="H673">
        <v>0</v>
      </c>
      <c r="I673" t="s">
        <v>1050</v>
      </c>
      <c r="L673">
        <v>0</v>
      </c>
      <c r="M673">
        <v>0</v>
      </c>
      <c r="N673">
        <v>0</v>
      </c>
      <c r="R673">
        <v>0</v>
      </c>
      <c r="S673">
        <v>0</v>
      </c>
      <c r="W673" t="s">
        <v>1060</v>
      </c>
      <c r="X673">
        <v>0</v>
      </c>
      <c r="Z673">
        <v>1</v>
      </c>
      <c r="AA673">
        <v>0</v>
      </c>
      <c r="AB673">
        <v>0</v>
      </c>
      <c r="AC673">
        <v>1.2</v>
      </c>
      <c r="AD673" s="20">
        <v>39545</v>
      </c>
      <c r="AE673">
        <v>1.2</v>
      </c>
      <c r="AF673">
        <v>0</v>
      </c>
      <c r="AH673">
        <v>0</v>
      </c>
      <c r="AJ673">
        <v>0</v>
      </c>
      <c r="AL673">
        <v>0</v>
      </c>
      <c r="AM673">
        <v>0</v>
      </c>
      <c r="AN673">
        <v>11501015</v>
      </c>
      <c r="AO673">
        <v>0</v>
      </c>
      <c r="AP673">
        <v>2300</v>
      </c>
      <c r="AT673">
        <v>0</v>
      </c>
      <c r="AU673" t="s">
        <v>1059</v>
      </c>
      <c r="AW673" t="s">
        <v>1053</v>
      </c>
      <c r="AX673">
        <v>0</v>
      </c>
      <c r="AY673" s="20">
        <v>39539</v>
      </c>
      <c r="BA673" s="20">
        <v>39539</v>
      </c>
      <c r="BB673" t="s">
        <v>1058</v>
      </c>
      <c r="BD673">
        <v>0</v>
      </c>
      <c r="BF673" t="s">
        <v>1043</v>
      </c>
      <c r="BG673" t="s">
        <v>1042</v>
      </c>
      <c r="BH673">
        <v>0</v>
      </c>
      <c r="BI673">
        <v>1</v>
      </c>
      <c r="BJ673">
        <v>0</v>
      </c>
      <c r="BK673">
        <v>0</v>
      </c>
      <c r="BM673" t="s">
        <v>1042</v>
      </c>
      <c r="BN673">
        <v>0</v>
      </c>
      <c r="BR673" t="s">
        <v>1043</v>
      </c>
      <c r="BS673" t="s">
        <v>1043</v>
      </c>
      <c r="BT673" t="s">
        <v>1043</v>
      </c>
      <c r="BW673">
        <v>75</v>
      </c>
      <c r="CA673">
        <v>0</v>
      </c>
      <c r="CB673" t="s">
        <v>1057</v>
      </c>
      <c r="CE673" t="s">
        <v>1043</v>
      </c>
      <c r="CH673" t="s">
        <v>1043</v>
      </c>
      <c r="CN673" t="s">
        <v>1074</v>
      </c>
      <c r="CO673" t="s">
        <v>1043</v>
      </c>
      <c r="CP673">
        <v>1</v>
      </c>
      <c r="CQ673">
        <v>0</v>
      </c>
      <c r="CS673">
        <v>0</v>
      </c>
      <c r="CT673">
        <v>0</v>
      </c>
      <c r="CU673">
        <v>0</v>
      </c>
      <c r="CW673">
        <v>0</v>
      </c>
      <c r="CX673">
        <v>0</v>
      </c>
      <c r="CY673">
        <v>0</v>
      </c>
      <c r="CZ673">
        <v>0</v>
      </c>
      <c r="DB673">
        <v>0</v>
      </c>
      <c r="DC673" t="s">
        <v>1043</v>
      </c>
      <c r="DF673" t="s">
        <v>1055</v>
      </c>
      <c r="DH673">
        <v>0</v>
      </c>
      <c r="DJ673">
        <v>0</v>
      </c>
      <c r="DK673" t="s">
        <v>1053</v>
      </c>
      <c r="DL673">
        <v>0</v>
      </c>
      <c r="DN673">
        <v>0</v>
      </c>
      <c r="DO673" t="s">
        <v>1042</v>
      </c>
      <c r="DP673">
        <v>0</v>
      </c>
      <c r="DQ673">
        <v>0</v>
      </c>
      <c r="DS673">
        <v>0</v>
      </c>
      <c r="DU673">
        <v>0</v>
      </c>
      <c r="DW673">
        <v>0</v>
      </c>
      <c r="DX673" t="s">
        <v>1043</v>
      </c>
      <c r="DY673">
        <v>0</v>
      </c>
      <c r="DZ673">
        <v>0</v>
      </c>
      <c r="EA673">
        <v>0</v>
      </c>
      <c r="EE673">
        <v>0</v>
      </c>
      <c r="EF673">
        <v>0</v>
      </c>
      <c r="EQ673" t="s">
        <v>1044</v>
      </c>
      <c r="ES673" t="s">
        <v>1053</v>
      </c>
      <c r="ET673">
        <v>0</v>
      </c>
      <c r="EV673">
        <v>0</v>
      </c>
      <c r="EY673" t="s">
        <v>1052</v>
      </c>
      <c r="EZ673">
        <v>0</v>
      </c>
      <c r="FA673" t="s">
        <v>1043</v>
      </c>
      <c r="FB673">
        <v>0</v>
      </c>
      <c r="FC673">
        <v>0</v>
      </c>
      <c r="FE673" t="s">
        <v>1050</v>
      </c>
      <c r="FF673">
        <v>0</v>
      </c>
      <c r="FG673" t="s">
        <v>1050</v>
      </c>
      <c r="FJ673">
        <v>0</v>
      </c>
      <c r="FK673">
        <v>0</v>
      </c>
      <c r="FP673">
        <v>0</v>
      </c>
      <c r="FR673">
        <v>0</v>
      </c>
      <c r="FX673" t="s">
        <v>1042</v>
      </c>
      <c r="FZ673" t="s">
        <v>1048</v>
      </c>
      <c r="GA673">
        <v>0</v>
      </c>
      <c r="GB673" t="s">
        <v>1042</v>
      </c>
      <c r="GE673">
        <v>0</v>
      </c>
      <c r="GG673">
        <v>0</v>
      </c>
      <c r="GN673">
        <v>0</v>
      </c>
      <c r="GO673" t="s">
        <v>1063</v>
      </c>
      <c r="GQ673">
        <v>0</v>
      </c>
      <c r="GU673">
        <v>0</v>
      </c>
      <c r="GY673" t="s">
        <v>1045</v>
      </c>
      <c r="HB673">
        <v>0</v>
      </c>
      <c r="HE673">
        <v>0</v>
      </c>
      <c r="HF673">
        <v>0</v>
      </c>
      <c r="HG673">
        <v>0</v>
      </c>
      <c r="HK673" t="s">
        <v>1042</v>
      </c>
      <c r="HM673" t="s">
        <v>1047</v>
      </c>
      <c r="HN673">
        <v>0</v>
      </c>
      <c r="HP673">
        <v>0</v>
      </c>
      <c r="HQ673">
        <v>0</v>
      </c>
      <c r="HR673" t="s">
        <v>1042</v>
      </c>
      <c r="HS673" t="s">
        <v>1043</v>
      </c>
      <c r="HT673">
        <v>0</v>
      </c>
      <c r="HU673">
        <v>0</v>
      </c>
      <c r="HW673">
        <v>0</v>
      </c>
      <c r="HX673">
        <v>0</v>
      </c>
      <c r="HY673">
        <v>0</v>
      </c>
      <c r="HZ673" t="s">
        <v>1045</v>
      </c>
      <c r="IA673">
        <v>0</v>
      </c>
      <c r="IB673" t="s">
        <v>1045</v>
      </c>
      <c r="ID673" t="s">
        <v>1045</v>
      </c>
      <c r="IF673">
        <v>0</v>
      </c>
      <c r="IG673" t="s">
        <v>1042</v>
      </c>
      <c r="II673" t="s">
        <v>1042</v>
      </c>
      <c r="IR673" t="s">
        <v>1044</v>
      </c>
      <c r="IT673">
        <v>0</v>
      </c>
      <c r="IY673" t="s">
        <v>1044</v>
      </c>
      <c r="JE673">
        <v>0</v>
      </c>
      <c r="JF673">
        <v>0</v>
      </c>
      <c r="JI673" t="s">
        <v>1042</v>
      </c>
      <c r="JJ673">
        <v>0</v>
      </c>
      <c r="JK673">
        <v>0</v>
      </c>
      <c r="JL673">
        <v>0</v>
      </c>
      <c r="JM673">
        <v>0</v>
      </c>
      <c r="JT673">
        <v>0</v>
      </c>
      <c r="JU673" t="s">
        <v>1042</v>
      </c>
      <c r="JW673">
        <v>0</v>
      </c>
      <c r="KA673">
        <v>0</v>
      </c>
      <c r="KF673">
        <v>0</v>
      </c>
      <c r="KG673">
        <v>0</v>
      </c>
      <c r="KH673">
        <v>0</v>
      </c>
      <c r="KI673">
        <v>0</v>
      </c>
      <c r="KS673" t="s">
        <v>1073</v>
      </c>
      <c r="KT673">
        <v>0</v>
      </c>
      <c r="KU673">
        <v>0</v>
      </c>
      <c r="KV673">
        <v>0</v>
      </c>
      <c r="KX673">
        <v>0</v>
      </c>
      <c r="KZ673">
        <v>0</v>
      </c>
      <c r="LF673">
        <v>0</v>
      </c>
      <c r="LH673">
        <v>0</v>
      </c>
      <c r="LI673">
        <v>0</v>
      </c>
    </row>
    <row r="674" spans="1:321" x14ac:dyDescent="0.35">
      <c r="A674">
        <v>1</v>
      </c>
      <c r="B674">
        <v>1481</v>
      </c>
      <c r="C674" t="s">
        <v>761</v>
      </c>
      <c r="D674" t="s">
        <v>1061</v>
      </c>
      <c r="E674" t="s">
        <v>85</v>
      </c>
      <c r="F674">
        <v>1</v>
      </c>
      <c r="G674">
        <v>200</v>
      </c>
      <c r="H674">
        <v>0</v>
      </c>
      <c r="I674" t="s">
        <v>994</v>
      </c>
      <c r="L674">
        <v>0</v>
      </c>
      <c r="M674">
        <v>0</v>
      </c>
      <c r="N674">
        <v>0</v>
      </c>
      <c r="P674">
        <v>13</v>
      </c>
      <c r="Q674">
        <v>516</v>
      </c>
      <c r="R674">
        <v>0</v>
      </c>
      <c r="S674">
        <v>0</v>
      </c>
      <c r="W674" t="s">
        <v>1060</v>
      </c>
      <c r="X674">
        <v>0</v>
      </c>
      <c r="Z674">
        <v>1</v>
      </c>
      <c r="AA674">
        <v>1381.3989999999999</v>
      </c>
      <c r="AB674">
        <v>763</v>
      </c>
      <c r="AC674">
        <v>66.209999999999994</v>
      </c>
      <c r="AD674" t="s">
        <v>1042</v>
      </c>
      <c r="AE674">
        <v>0</v>
      </c>
      <c r="AF674">
        <v>6.54</v>
      </c>
      <c r="AH674">
        <v>335</v>
      </c>
      <c r="AJ674">
        <v>0</v>
      </c>
      <c r="AL674">
        <v>145800</v>
      </c>
      <c r="AM674">
        <v>120</v>
      </c>
      <c r="AN674">
        <v>11501001</v>
      </c>
      <c r="AO674">
        <v>0</v>
      </c>
      <c r="AP674">
        <v>1002</v>
      </c>
      <c r="AT674">
        <v>1</v>
      </c>
      <c r="AU674" t="s">
        <v>1059</v>
      </c>
      <c r="AW674" t="s">
        <v>1053</v>
      </c>
      <c r="AX674">
        <v>5</v>
      </c>
      <c r="AY674" s="20">
        <v>43522</v>
      </c>
      <c r="BA674" s="20">
        <v>44656</v>
      </c>
      <c r="BB674" t="s">
        <v>1058</v>
      </c>
      <c r="BD674">
        <v>0</v>
      </c>
      <c r="BF674" t="s">
        <v>1044</v>
      </c>
      <c r="BG674" t="s">
        <v>1042</v>
      </c>
      <c r="BH674">
        <v>0</v>
      </c>
      <c r="BI674">
        <v>21</v>
      </c>
      <c r="BJ674">
        <v>0</v>
      </c>
      <c r="BK674">
        <v>0</v>
      </c>
      <c r="BM674" s="20">
        <v>43990</v>
      </c>
      <c r="BN674">
        <v>0</v>
      </c>
      <c r="BO674">
        <v>7897801320337</v>
      </c>
      <c r="BR674" t="s">
        <v>1043</v>
      </c>
      <c r="BS674" t="s">
        <v>1043</v>
      </c>
      <c r="BT674" t="s">
        <v>1043</v>
      </c>
      <c r="BV674">
        <v>1</v>
      </c>
      <c r="BW674">
        <v>2</v>
      </c>
      <c r="BY674">
        <v>81</v>
      </c>
      <c r="CA674">
        <v>0</v>
      </c>
      <c r="CB674" t="s">
        <v>1057</v>
      </c>
      <c r="CE674" t="s">
        <v>1043</v>
      </c>
      <c r="CH674" t="s">
        <v>1043</v>
      </c>
      <c r="CN674" t="s">
        <v>1056</v>
      </c>
      <c r="CO674" t="s">
        <v>1043</v>
      </c>
      <c r="CP674">
        <v>1</v>
      </c>
      <c r="CQ674">
        <v>0</v>
      </c>
      <c r="CS674">
        <v>0</v>
      </c>
      <c r="CT674">
        <v>0</v>
      </c>
      <c r="CU674">
        <v>0</v>
      </c>
      <c r="CW674">
        <v>0</v>
      </c>
      <c r="CX674">
        <v>0</v>
      </c>
      <c r="CY674">
        <v>0</v>
      </c>
      <c r="CZ674">
        <v>0</v>
      </c>
      <c r="DA674">
        <v>4</v>
      </c>
      <c r="DB674">
        <v>0</v>
      </c>
      <c r="DC674" t="s">
        <v>1043</v>
      </c>
      <c r="DF674" t="s">
        <v>1055</v>
      </c>
      <c r="DH674">
        <v>0</v>
      </c>
      <c r="DJ674">
        <v>0</v>
      </c>
      <c r="DK674" t="s">
        <v>1053</v>
      </c>
      <c r="DL674">
        <v>0</v>
      </c>
      <c r="DN674">
        <v>0</v>
      </c>
      <c r="DO674" t="s">
        <v>1042</v>
      </c>
      <c r="DP674">
        <v>0</v>
      </c>
      <c r="DQ674">
        <v>7.6</v>
      </c>
      <c r="DS674">
        <v>0</v>
      </c>
      <c r="DU674">
        <v>1.65</v>
      </c>
      <c r="DW674">
        <v>0</v>
      </c>
      <c r="DX674" t="s">
        <v>1043</v>
      </c>
      <c r="DY674">
        <v>0</v>
      </c>
      <c r="DZ674">
        <v>0</v>
      </c>
      <c r="EA674">
        <v>0</v>
      </c>
      <c r="EB674">
        <v>17897801320334</v>
      </c>
      <c r="ED674" t="s">
        <v>1045</v>
      </c>
      <c r="EE674">
        <v>0</v>
      </c>
      <c r="EF674">
        <v>0</v>
      </c>
      <c r="EK674" t="s">
        <v>1054</v>
      </c>
      <c r="EL674">
        <v>57897801320332</v>
      </c>
      <c r="EN674" t="s">
        <v>1012</v>
      </c>
      <c r="EQ674" t="s">
        <v>1044</v>
      </c>
      <c r="ES674" t="s">
        <v>1053</v>
      </c>
      <c r="ET674">
        <v>0</v>
      </c>
      <c r="EV674">
        <v>0</v>
      </c>
      <c r="EY674" t="s">
        <v>1052</v>
      </c>
      <c r="EZ674">
        <v>0</v>
      </c>
      <c r="FA674" t="s">
        <v>1043</v>
      </c>
      <c r="FB674">
        <v>0</v>
      </c>
      <c r="FC674">
        <v>0</v>
      </c>
      <c r="FD674" t="s">
        <v>1051</v>
      </c>
      <c r="FE674" t="s">
        <v>1050</v>
      </c>
      <c r="FF674">
        <v>0</v>
      </c>
      <c r="FG674" t="s">
        <v>1050</v>
      </c>
      <c r="FH674">
        <v>27897801320331</v>
      </c>
      <c r="FJ674">
        <v>0</v>
      </c>
      <c r="FK674">
        <v>0</v>
      </c>
      <c r="FP674">
        <v>0</v>
      </c>
      <c r="FR674">
        <v>0</v>
      </c>
      <c r="FS674" t="s">
        <v>1043</v>
      </c>
      <c r="FX674" t="s">
        <v>1042</v>
      </c>
      <c r="FZ674" t="s">
        <v>1048</v>
      </c>
      <c r="GA674">
        <v>0</v>
      </c>
      <c r="GB674" t="s">
        <v>1042</v>
      </c>
      <c r="GD674">
        <v>16</v>
      </c>
      <c r="GE674">
        <v>0</v>
      </c>
      <c r="GG674">
        <v>0</v>
      </c>
      <c r="GN674">
        <v>0</v>
      </c>
      <c r="GO674" t="s">
        <v>1049</v>
      </c>
      <c r="GQ674">
        <v>0</v>
      </c>
      <c r="GU674">
        <v>2</v>
      </c>
      <c r="GY674" t="s">
        <v>1045</v>
      </c>
      <c r="HB674">
        <v>0</v>
      </c>
      <c r="HE674">
        <v>10</v>
      </c>
      <c r="HF674">
        <v>15</v>
      </c>
      <c r="HG674">
        <v>7.8030000000000002E-2</v>
      </c>
      <c r="HK674" t="s">
        <v>1042</v>
      </c>
      <c r="HL674" t="s">
        <v>1048</v>
      </c>
      <c r="HM674" t="s">
        <v>1047</v>
      </c>
      <c r="HN674">
        <v>0</v>
      </c>
      <c r="HO674">
        <v>32</v>
      </c>
      <c r="HP674">
        <v>2.6440000000000001</v>
      </c>
      <c r="HQ674">
        <v>0</v>
      </c>
      <c r="HR674" t="s">
        <v>1042</v>
      </c>
      <c r="HS674" t="s">
        <v>1043</v>
      </c>
      <c r="HT674">
        <v>0</v>
      </c>
      <c r="HU674">
        <v>0</v>
      </c>
      <c r="HW674">
        <v>0</v>
      </c>
      <c r="HX674">
        <v>1098</v>
      </c>
      <c r="HY674">
        <v>0</v>
      </c>
      <c r="HZ674" t="s">
        <v>1045</v>
      </c>
      <c r="IA674">
        <v>0</v>
      </c>
      <c r="IB674" t="s">
        <v>1045</v>
      </c>
      <c r="ID674" t="s">
        <v>1045</v>
      </c>
      <c r="IF674">
        <v>18</v>
      </c>
      <c r="IG674" s="20">
        <v>44007</v>
      </c>
      <c r="IH674" t="s">
        <v>1078</v>
      </c>
      <c r="II674" t="s">
        <v>1042</v>
      </c>
      <c r="IR674" t="s">
        <v>1045</v>
      </c>
      <c r="IT674">
        <v>0</v>
      </c>
      <c r="IY674" t="s">
        <v>1044</v>
      </c>
      <c r="IZ674" t="s">
        <v>1043</v>
      </c>
      <c r="JE674">
        <v>0</v>
      </c>
      <c r="JF674">
        <v>0</v>
      </c>
      <c r="JI674" t="s">
        <v>1042</v>
      </c>
      <c r="JJ674">
        <v>0</v>
      </c>
      <c r="JK674">
        <v>0</v>
      </c>
      <c r="JL674">
        <v>0</v>
      </c>
      <c r="JM674">
        <v>0</v>
      </c>
      <c r="JT674">
        <v>0</v>
      </c>
      <c r="JU674" t="s">
        <v>1042</v>
      </c>
      <c r="JW674">
        <v>0</v>
      </c>
      <c r="KA674">
        <v>0</v>
      </c>
      <c r="KF674">
        <v>0</v>
      </c>
      <c r="KG674">
        <v>0</v>
      </c>
      <c r="KH674">
        <v>0</v>
      </c>
      <c r="KI674">
        <v>0</v>
      </c>
      <c r="KS674" t="s">
        <v>1041</v>
      </c>
      <c r="KT674">
        <v>0</v>
      </c>
      <c r="KU674">
        <v>0</v>
      </c>
      <c r="KV674">
        <v>0</v>
      </c>
      <c r="KX674">
        <v>0</v>
      </c>
      <c r="KZ674">
        <v>0</v>
      </c>
      <c r="LF674">
        <v>0</v>
      </c>
      <c r="LH674">
        <v>5040</v>
      </c>
      <c r="LI674">
        <v>0</v>
      </c>
    </row>
    <row r="675" spans="1:321" x14ac:dyDescent="0.35">
      <c r="A675">
        <v>1</v>
      </c>
      <c r="B675" t="s">
        <v>1080</v>
      </c>
      <c r="C675" t="s">
        <v>1079</v>
      </c>
      <c r="D675" t="s">
        <v>1064</v>
      </c>
      <c r="E675" t="s">
        <v>85</v>
      </c>
      <c r="F675">
        <v>1</v>
      </c>
      <c r="G675">
        <v>8890</v>
      </c>
      <c r="H675">
        <v>0</v>
      </c>
      <c r="I675" t="s">
        <v>994</v>
      </c>
      <c r="L675">
        <v>0</v>
      </c>
      <c r="M675">
        <v>0</v>
      </c>
      <c r="N675">
        <v>0</v>
      </c>
      <c r="P675">
        <v>13</v>
      </c>
      <c r="Q675">
        <v>516</v>
      </c>
      <c r="R675">
        <v>0</v>
      </c>
      <c r="S675">
        <v>0</v>
      </c>
      <c r="W675" t="s">
        <v>1060</v>
      </c>
      <c r="X675">
        <v>0</v>
      </c>
      <c r="Z675">
        <v>1</v>
      </c>
      <c r="AA675">
        <v>0</v>
      </c>
      <c r="AB675">
        <v>0</v>
      </c>
      <c r="AC675">
        <v>0</v>
      </c>
      <c r="AD675" t="s">
        <v>1042</v>
      </c>
      <c r="AE675">
        <v>0</v>
      </c>
      <c r="AF675">
        <v>0</v>
      </c>
      <c r="AH675">
        <v>0</v>
      </c>
      <c r="AJ675">
        <v>0</v>
      </c>
      <c r="AL675">
        <v>145800</v>
      </c>
      <c r="AM675">
        <v>24</v>
      </c>
      <c r="AN675">
        <v>11501001</v>
      </c>
      <c r="AO675">
        <v>0</v>
      </c>
      <c r="AP675">
        <v>2720</v>
      </c>
      <c r="AT675">
        <v>1</v>
      </c>
      <c r="AU675" t="s">
        <v>1059</v>
      </c>
      <c r="AW675" t="s">
        <v>1053</v>
      </c>
      <c r="AX675">
        <v>5</v>
      </c>
      <c r="AY675" s="20">
        <v>43868</v>
      </c>
      <c r="BA675" s="20">
        <v>43868</v>
      </c>
      <c r="BB675" t="s">
        <v>1058</v>
      </c>
      <c r="BD675">
        <v>0</v>
      </c>
      <c r="BF675" t="s">
        <v>1044</v>
      </c>
      <c r="BG675" t="s">
        <v>1042</v>
      </c>
      <c r="BH675">
        <v>0</v>
      </c>
      <c r="BI675">
        <v>21</v>
      </c>
      <c r="BJ675">
        <v>0</v>
      </c>
      <c r="BK675">
        <v>0</v>
      </c>
      <c r="BM675" t="s">
        <v>1042</v>
      </c>
      <c r="BN675">
        <v>0</v>
      </c>
      <c r="BR675" t="s">
        <v>1043</v>
      </c>
      <c r="BS675" t="s">
        <v>1043</v>
      </c>
      <c r="BT675" t="s">
        <v>1043</v>
      </c>
      <c r="BV675">
        <v>1</v>
      </c>
      <c r="BW675">
        <v>2</v>
      </c>
      <c r="CA675">
        <v>0</v>
      </c>
      <c r="CB675" t="s">
        <v>1057</v>
      </c>
      <c r="CE675" t="s">
        <v>1043</v>
      </c>
      <c r="CH675" t="s">
        <v>1043</v>
      </c>
      <c r="CN675" t="s">
        <v>1056</v>
      </c>
      <c r="CO675" t="s">
        <v>1043</v>
      </c>
      <c r="CP675">
        <v>1</v>
      </c>
      <c r="CQ675">
        <v>0</v>
      </c>
      <c r="CS675">
        <v>0</v>
      </c>
      <c r="CT675">
        <v>0</v>
      </c>
      <c r="CU675">
        <v>0</v>
      </c>
      <c r="CW675">
        <v>0</v>
      </c>
      <c r="CX675">
        <v>0</v>
      </c>
      <c r="CY675">
        <v>0</v>
      </c>
      <c r="CZ675">
        <v>0</v>
      </c>
      <c r="DB675">
        <v>0</v>
      </c>
      <c r="DC675" t="s">
        <v>1043</v>
      </c>
      <c r="DF675" t="s">
        <v>1055</v>
      </c>
      <c r="DH675">
        <v>0</v>
      </c>
      <c r="DJ675">
        <v>0</v>
      </c>
      <c r="DK675" t="s">
        <v>1053</v>
      </c>
      <c r="DL675">
        <v>0</v>
      </c>
      <c r="DN675">
        <v>0</v>
      </c>
      <c r="DO675" t="s">
        <v>1042</v>
      </c>
      <c r="DP675">
        <v>0</v>
      </c>
      <c r="DQ675">
        <v>7.6</v>
      </c>
      <c r="DS675">
        <v>0</v>
      </c>
      <c r="DU675">
        <v>1.65</v>
      </c>
      <c r="DW675">
        <v>0</v>
      </c>
      <c r="DX675" t="s">
        <v>1043</v>
      </c>
      <c r="DY675">
        <v>0</v>
      </c>
      <c r="DZ675">
        <v>0</v>
      </c>
      <c r="EA675">
        <v>0</v>
      </c>
      <c r="ED675" t="s">
        <v>1045</v>
      </c>
      <c r="EE675">
        <v>0</v>
      </c>
      <c r="EF675">
        <v>0</v>
      </c>
      <c r="EK675" t="s">
        <v>1054</v>
      </c>
      <c r="EL675">
        <v>0</v>
      </c>
      <c r="EN675" t="s">
        <v>1012</v>
      </c>
      <c r="EQ675" t="s">
        <v>1044</v>
      </c>
      <c r="ES675" t="s">
        <v>1053</v>
      </c>
      <c r="ET675">
        <v>0</v>
      </c>
      <c r="EV675">
        <v>0</v>
      </c>
      <c r="EY675" t="s">
        <v>1052</v>
      </c>
      <c r="EZ675">
        <v>0</v>
      </c>
      <c r="FA675" t="s">
        <v>1043</v>
      </c>
      <c r="FB675">
        <v>0</v>
      </c>
      <c r="FC675">
        <v>0</v>
      </c>
      <c r="FD675" t="s">
        <v>1051</v>
      </c>
      <c r="FE675" t="s">
        <v>1050</v>
      </c>
      <c r="FF675">
        <v>0</v>
      </c>
      <c r="FG675" t="s">
        <v>1050</v>
      </c>
      <c r="FJ675">
        <v>0</v>
      </c>
      <c r="FK675">
        <v>0</v>
      </c>
      <c r="FP675">
        <v>0</v>
      </c>
      <c r="FR675">
        <v>0</v>
      </c>
      <c r="FS675" t="s">
        <v>1043</v>
      </c>
      <c r="FX675" t="s">
        <v>1042</v>
      </c>
      <c r="FZ675" t="s">
        <v>1048</v>
      </c>
      <c r="GA675">
        <v>0</v>
      </c>
      <c r="GB675" t="s">
        <v>1042</v>
      </c>
      <c r="GD675">
        <v>16</v>
      </c>
      <c r="GE675">
        <v>0</v>
      </c>
      <c r="GG675">
        <v>0</v>
      </c>
      <c r="GN675">
        <v>0</v>
      </c>
      <c r="GO675" t="s">
        <v>1063</v>
      </c>
      <c r="GQ675">
        <v>0</v>
      </c>
      <c r="GU675">
        <v>2</v>
      </c>
      <c r="GY675" t="s">
        <v>1045</v>
      </c>
      <c r="HB675">
        <v>0</v>
      </c>
      <c r="HE675">
        <v>10</v>
      </c>
      <c r="HF675">
        <v>15</v>
      </c>
      <c r="HG675">
        <v>0</v>
      </c>
      <c r="HK675" t="s">
        <v>1042</v>
      </c>
      <c r="HL675" t="s">
        <v>1048</v>
      </c>
      <c r="HM675" t="s">
        <v>1047</v>
      </c>
      <c r="HN675">
        <v>0</v>
      </c>
      <c r="HP675">
        <v>0</v>
      </c>
      <c r="HQ675">
        <v>0</v>
      </c>
      <c r="HR675" t="s">
        <v>1042</v>
      </c>
      <c r="HS675" t="s">
        <v>1043</v>
      </c>
      <c r="HT675">
        <v>0</v>
      </c>
      <c r="HU675">
        <v>0</v>
      </c>
      <c r="HW675">
        <v>0</v>
      </c>
      <c r="HX675">
        <v>0</v>
      </c>
      <c r="HY675">
        <v>0</v>
      </c>
      <c r="HZ675" t="s">
        <v>1045</v>
      </c>
      <c r="IA675">
        <v>0</v>
      </c>
      <c r="IB675" t="s">
        <v>1045</v>
      </c>
      <c r="ID675" t="s">
        <v>1045</v>
      </c>
      <c r="IF675">
        <v>0</v>
      </c>
      <c r="IG675" t="s">
        <v>1042</v>
      </c>
      <c r="IH675" t="s">
        <v>1046</v>
      </c>
      <c r="II675" t="s">
        <v>1042</v>
      </c>
      <c r="IR675" t="s">
        <v>1045</v>
      </c>
      <c r="IT675">
        <v>0</v>
      </c>
      <c r="IY675" t="s">
        <v>1044</v>
      </c>
      <c r="IZ675" t="s">
        <v>1043</v>
      </c>
      <c r="JE675">
        <v>0</v>
      </c>
      <c r="JF675">
        <v>0</v>
      </c>
      <c r="JI675" t="s">
        <v>1042</v>
      </c>
      <c r="JJ675">
        <v>0</v>
      </c>
      <c r="JK675">
        <v>0</v>
      </c>
      <c r="JL675">
        <v>0</v>
      </c>
      <c r="JM675">
        <v>0</v>
      </c>
      <c r="JT675">
        <v>0</v>
      </c>
      <c r="JU675" t="s">
        <v>1042</v>
      </c>
      <c r="JW675">
        <v>0</v>
      </c>
      <c r="KA675">
        <v>0</v>
      </c>
      <c r="KF675">
        <v>0</v>
      </c>
      <c r="KG675">
        <v>0</v>
      </c>
      <c r="KH675">
        <v>0</v>
      </c>
      <c r="KI675">
        <v>0</v>
      </c>
      <c r="KS675" t="s">
        <v>1041</v>
      </c>
      <c r="KT675">
        <v>0</v>
      </c>
      <c r="KU675">
        <v>0</v>
      </c>
      <c r="KV675">
        <v>0</v>
      </c>
      <c r="KX675">
        <v>0</v>
      </c>
      <c r="KZ675">
        <v>0</v>
      </c>
      <c r="LF675">
        <v>0</v>
      </c>
      <c r="LH675">
        <v>0</v>
      </c>
      <c r="LI675">
        <v>0</v>
      </c>
    </row>
    <row r="676" spans="1:321" x14ac:dyDescent="0.35">
      <c r="A676">
        <v>1</v>
      </c>
      <c r="B676">
        <v>1482</v>
      </c>
      <c r="C676" t="s">
        <v>762</v>
      </c>
      <c r="D676" t="s">
        <v>1061</v>
      </c>
      <c r="E676" t="s">
        <v>85</v>
      </c>
      <c r="F676">
        <v>1</v>
      </c>
      <c r="G676">
        <v>200</v>
      </c>
      <c r="H676">
        <v>0</v>
      </c>
      <c r="I676" t="s">
        <v>994</v>
      </c>
      <c r="L676">
        <v>0</v>
      </c>
      <c r="M676">
        <v>0</v>
      </c>
      <c r="N676">
        <v>0</v>
      </c>
      <c r="P676">
        <v>13</v>
      </c>
      <c r="Q676">
        <v>516</v>
      </c>
      <c r="R676">
        <v>0</v>
      </c>
      <c r="S676">
        <v>0</v>
      </c>
      <c r="W676" t="s">
        <v>1060</v>
      </c>
      <c r="X676">
        <v>0</v>
      </c>
      <c r="Z676">
        <v>1</v>
      </c>
      <c r="AA676">
        <v>1389.8658</v>
      </c>
      <c r="AB676">
        <v>723</v>
      </c>
      <c r="AC676">
        <v>42.22</v>
      </c>
      <c r="AD676" t="s">
        <v>1042</v>
      </c>
      <c r="AE676">
        <v>0</v>
      </c>
      <c r="AF676">
        <v>3.74</v>
      </c>
      <c r="AH676">
        <v>412</v>
      </c>
      <c r="AJ676">
        <v>0</v>
      </c>
      <c r="AL676">
        <v>145800</v>
      </c>
      <c r="AM676">
        <v>160</v>
      </c>
      <c r="AN676">
        <v>11501001</v>
      </c>
      <c r="AO676">
        <v>0</v>
      </c>
      <c r="AP676">
        <v>1002</v>
      </c>
      <c r="AT676">
        <v>1</v>
      </c>
      <c r="AU676" t="s">
        <v>1059</v>
      </c>
      <c r="AW676" t="s">
        <v>1053</v>
      </c>
      <c r="AX676">
        <v>5</v>
      </c>
      <c r="AY676" s="20">
        <v>43522</v>
      </c>
      <c r="BA676" s="20">
        <v>44520</v>
      </c>
      <c r="BB676" t="s">
        <v>1058</v>
      </c>
      <c r="BD676">
        <v>0</v>
      </c>
      <c r="BF676" t="s">
        <v>1044</v>
      </c>
      <c r="BG676" t="s">
        <v>1042</v>
      </c>
      <c r="BH676">
        <v>0</v>
      </c>
      <c r="BI676">
        <v>21</v>
      </c>
      <c r="BJ676">
        <v>0</v>
      </c>
      <c r="BK676">
        <v>0</v>
      </c>
      <c r="BM676" s="20">
        <v>43983</v>
      </c>
      <c r="BN676">
        <v>0</v>
      </c>
      <c r="BO676">
        <v>7897801320443</v>
      </c>
      <c r="BR676" t="s">
        <v>1043</v>
      </c>
      <c r="BS676" t="s">
        <v>1043</v>
      </c>
      <c r="BT676" t="s">
        <v>1043</v>
      </c>
      <c r="BV676">
        <v>1</v>
      </c>
      <c r="BW676">
        <v>2</v>
      </c>
      <c r="BY676">
        <v>81</v>
      </c>
      <c r="CA676">
        <v>0</v>
      </c>
      <c r="CB676" t="s">
        <v>1057</v>
      </c>
      <c r="CE676" t="s">
        <v>1043</v>
      </c>
      <c r="CH676" t="s">
        <v>1043</v>
      </c>
      <c r="CN676" t="s">
        <v>1056</v>
      </c>
      <c r="CO676" t="s">
        <v>1043</v>
      </c>
      <c r="CP676">
        <v>1</v>
      </c>
      <c r="CQ676">
        <v>0</v>
      </c>
      <c r="CS676">
        <v>0</v>
      </c>
      <c r="CT676">
        <v>0</v>
      </c>
      <c r="CU676">
        <v>0</v>
      </c>
      <c r="CW676">
        <v>0</v>
      </c>
      <c r="CX676">
        <v>0</v>
      </c>
      <c r="CY676">
        <v>0</v>
      </c>
      <c r="CZ676">
        <v>0</v>
      </c>
      <c r="DA676">
        <v>2</v>
      </c>
      <c r="DB676">
        <v>0</v>
      </c>
      <c r="DC676" t="s">
        <v>1043</v>
      </c>
      <c r="DF676" t="s">
        <v>1055</v>
      </c>
      <c r="DH676">
        <v>0</v>
      </c>
      <c r="DJ676">
        <v>0</v>
      </c>
      <c r="DK676" t="s">
        <v>1053</v>
      </c>
      <c r="DL676">
        <v>0</v>
      </c>
      <c r="DN676">
        <v>0</v>
      </c>
      <c r="DO676" t="s">
        <v>1042</v>
      </c>
      <c r="DP676">
        <v>0</v>
      </c>
      <c r="DQ676">
        <v>7.6</v>
      </c>
      <c r="DS676">
        <v>0</v>
      </c>
      <c r="DU676">
        <v>1.65</v>
      </c>
      <c r="DW676">
        <v>0</v>
      </c>
      <c r="DX676" t="s">
        <v>1043</v>
      </c>
      <c r="DY676">
        <v>0</v>
      </c>
      <c r="DZ676">
        <v>0</v>
      </c>
      <c r="EA676">
        <v>0</v>
      </c>
      <c r="EB676">
        <v>17897801320440</v>
      </c>
      <c r="ED676" t="s">
        <v>1045</v>
      </c>
      <c r="EE676">
        <v>0</v>
      </c>
      <c r="EF676">
        <v>0</v>
      </c>
      <c r="EK676" t="s">
        <v>1054</v>
      </c>
      <c r="EL676">
        <v>57897801320448</v>
      </c>
      <c r="EN676" t="s">
        <v>1012</v>
      </c>
      <c r="EQ676" t="s">
        <v>1044</v>
      </c>
      <c r="ES676" t="s">
        <v>1053</v>
      </c>
      <c r="ET676">
        <v>0</v>
      </c>
      <c r="EV676">
        <v>0</v>
      </c>
      <c r="EY676" t="s">
        <v>1052</v>
      </c>
      <c r="EZ676">
        <v>0</v>
      </c>
      <c r="FA676" t="s">
        <v>1043</v>
      </c>
      <c r="FB676">
        <v>0</v>
      </c>
      <c r="FC676">
        <v>0</v>
      </c>
      <c r="FD676" t="s">
        <v>1051</v>
      </c>
      <c r="FE676" t="s">
        <v>1050</v>
      </c>
      <c r="FF676">
        <v>0</v>
      </c>
      <c r="FG676" t="s">
        <v>1050</v>
      </c>
      <c r="FH676">
        <v>27897801320447</v>
      </c>
      <c r="FJ676">
        <v>0</v>
      </c>
      <c r="FK676">
        <v>0</v>
      </c>
      <c r="FP676">
        <v>0</v>
      </c>
      <c r="FR676">
        <v>0</v>
      </c>
      <c r="FS676" t="s">
        <v>1043</v>
      </c>
      <c r="FX676" t="s">
        <v>1042</v>
      </c>
      <c r="FZ676" t="s">
        <v>1048</v>
      </c>
      <c r="GA676">
        <v>0</v>
      </c>
      <c r="GB676" t="s">
        <v>1042</v>
      </c>
      <c r="GD676">
        <v>16</v>
      </c>
      <c r="GE676">
        <v>0</v>
      </c>
      <c r="GG676">
        <v>0</v>
      </c>
      <c r="GN676">
        <v>0</v>
      </c>
      <c r="GO676" t="s">
        <v>1049</v>
      </c>
      <c r="GQ676">
        <v>0</v>
      </c>
      <c r="GU676">
        <v>2</v>
      </c>
      <c r="GY676" t="s">
        <v>1045</v>
      </c>
      <c r="HB676">
        <v>0</v>
      </c>
      <c r="HE676">
        <v>10</v>
      </c>
      <c r="HF676">
        <v>15</v>
      </c>
      <c r="HG676">
        <v>3.0120000000000001E-2</v>
      </c>
      <c r="HK676" t="s">
        <v>1042</v>
      </c>
      <c r="HL676" t="s">
        <v>1048</v>
      </c>
      <c r="HM676" t="s">
        <v>1047</v>
      </c>
      <c r="HN676">
        <v>0</v>
      </c>
      <c r="HO676">
        <v>32</v>
      </c>
      <c r="HP676">
        <v>1.2075</v>
      </c>
      <c r="HQ676">
        <v>0</v>
      </c>
      <c r="HR676" t="s">
        <v>1042</v>
      </c>
      <c r="HS676" t="s">
        <v>1043</v>
      </c>
      <c r="HT676">
        <v>0</v>
      </c>
      <c r="HU676">
        <v>0</v>
      </c>
      <c r="HW676">
        <v>0</v>
      </c>
      <c r="HX676">
        <v>1134</v>
      </c>
      <c r="HY676">
        <v>0</v>
      </c>
      <c r="HZ676" t="s">
        <v>1045</v>
      </c>
      <c r="IA676">
        <v>0</v>
      </c>
      <c r="IB676" t="s">
        <v>1045</v>
      </c>
      <c r="ID676" t="s">
        <v>1045</v>
      </c>
      <c r="IF676">
        <v>45</v>
      </c>
      <c r="IG676" s="20">
        <v>44007</v>
      </c>
      <c r="IH676" t="s">
        <v>1078</v>
      </c>
      <c r="II676" t="s">
        <v>1042</v>
      </c>
      <c r="IR676" t="s">
        <v>1045</v>
      </c>
      <c r="IT676">
        <v>0</v>
      </c>
      <c r="IY676" t="s">
        <v>1044</v>
      </c>
      <c r="IZ676" t="s">
        <v>1043</v>
      </c>
      <c r="JE676">
        <v>0</v>
      </c>
      <c r="JF676">
        <v>0</v>
      </c>
      <c r="JI676" t="s">
        <v>1042</v>
      </c>
      <c r="JJ676">
        <v>0</v>
      </c>
      <c r="JK676">
        <v>0</v>
      </c>
      <c r="JL676">
        <v>0</v>
      </c>
      <c r="JM676">
        <v>0</v>
      </c>
      <c r="JT676">
        <v>0</v>
      </c>
      <c r="JU676" t="s">
        <v>1042</v>
      </c>
      <c r="JW676">
        <v>0</v>
      </c>
      <c r="KA676">
        <v>0</v>
      </c>
      <c r="KF676">
        <v>0</v>
      </c>
      <c r="KG676">
        <v>0</v>
      </c>
      <c r="KH676">
        <v>0</v>
      </c>
      <c r="KI676">
        <v>0</v>
      </c>
      <c r="KS676" t="s">
        <v>1041</v>
      </c>
      <c r="KT676">
        <v>0</v>
      </c>
      <c r="KU676">
        <v>0</v>
      </c>
      <c r="KV676">
        <v>0</v>
      </c>
      <c r="KX676">
        <v>0</v>
      </c>
      <c r="KZ676">
        <v>0</v>
      </c>
      <c r="LF676">
        <v>0</v>
      </c>
      <c r="LH676">
        <v>6720</v>
      </c>
      <c r="LI676">
        <v>0</v>
      </c>
    </row>
    <row r="677" spans="1:321" x14ac:dyDescent="0.35">
      <c r="A677">
        <v>1</v>
      </c>
      <c r="B677">
        <v>1483</v>
      </c>
      <c r="C677" t="s">
        <v>763</v>
      </c>
      <c r="D677" t="s">
        <v>1061</v>
      </c>
      <c r="E677" t="s">
        <v>85</v>
      </c>
      <c r="F677">
        <v>1</v>
      </c>
      <c r="G677">
        <v>200</v>
      </c>
      <c r="H677">
        <v>0</v>
      </c>
      <c r="I677" t="s">
        <v>994</v>
      </c>
      <c r="L677">
        <v>0</v>
      </c>
      <c r="M677">
        <v>0</v>
      </c>
      <c r="N677">
        <v>0</v>
      </c>
      <c r="P677">
        <v>13</v>
      </c>
      <c r="Q677">
        <v>516</v>
      </c>
      <c r="R677">
        <v>0</v>
      </c>
      <c r="S677">
        <v>0</v>
      </c>
      <c r="W677" t="s">
        <v>1060</v>
      </c>
      <c r="X677">
        <v>0</v>
      </c>
      <c r="Z677">
        <v>1</v>
      </c>
      <c r="AA677">
        <v>1229.0924</v>
      </c>
      <c r="AB677">
        <v>72</v>
      </c>
      <c r="AC677">
        <v>46.79</v>
      </c>
      <c r="AD677" t="s">
        <v>1042</v>
      </c>
      <c r="AE677">
        <v>0</v>
      </c>
      <c r="AF677">
        <v>4.9321000000000002</v>
      </c>
      <c r="AH677">
        <v>28</v>
      </c>
      <c r="AJ677">
        <v>0</v>
      </c>
      <c r="AL677">
        <v>145800</v>
      </c>
      <c r="AM677">
        <v>144</v>
      </c>
      <c r="AN677">
        <v>11501001</v>
      </c>
      <c r="AO677">
        <v>0</v>
      </c>
      <c r="AP677">
        <v>1002</v>
      </c>
      <c r="AT677">
        <v>1</v>
      </c>
      <c r="AU677" t="s">
        <v>1059</v>
      </c>
      <c r="AW677" t="s">
        <v>1053</v>
      </c>
      <c r="AX677">
        <v>5</v>
      </c>
      <c r="AY677" s="20">
        <v>43522</v>
      </c>
      <c r="BA677" s="20">
        <v>44523</v>
      </c>
      <c r="BB677" t="s">
        <v>1058</v>
      </c>
      <c r="BD677">
        <v>0</v>
      </c>
      <c r="BF677" t="s">
        <v>1044</v>
      </c>
      <c r="BG677" t="s">
        <v>1042</v>
      </c>
      <c r="BH677">
        <v>0</v>
      </c>
      <c r="BI677">
        <v>21</v>
      </c>
      <c r="BJ677">
        <v>0</v>
      </c>
      <c r="BK677">
        <v>0</v>
      </c>
      <c r="BM677" s="20">
        <v>43986</v>
      </c>
      <c r="BN677">
        <v>0</v>
      </c>
      <c r="BO677">
        <v>7897801320450</v>
      </c>
      <c r="BR677" t="s">
        <v>1043</v>
      </c>
      <c r="BS677" t="s">
        <v>1043</v>
      </c>
      <c r="BT677" t="s">
        <v>1043</v>
      </c>
      <c r="BV677">
        <v>1</v>
      </c>
      <c r="BW677">
        <v>2</v>
      </c>
      <c r="BY677">
        <v>81</v>
      </c>
      <c r="CA677">
        <v>0</v>
      </c>
      <c r="CB677" t="s">
        <v>1057</v>
      </c>
      <c r="CE677" t="s">
        <v>1043</v>
      </c>
      <c r="CH677" t="s">
        <v>1043</v>
      </c>
      <c r="CN677" t="s">
        <v>1056</v>
      </c>
      <c r="CO677" t="s">
        <v>1043</v>
      </c>
      <c r="CP677">
        <v>1</v>
      </c>
      <c r="CQ677">
        <v>0</v>
      </c>
      <c r="CS677">
        <v>0</v>
      </c>
      <c r="CT677">
        <v>0</v>
      </c>
      <c r="CU677">
        <v>0</v>
      </c>
      <c r="CW677">
        <v>0</v>
      </c>
      <c r="CX677">
        <v>0</v>
      </c>
      <c r="CY677">
        <v>0</v>
      </c>
      <c r="CZ677">
        <v>0</v>
      </c>
      <c r="DA677">
        <v>2</v>
      </c>
      <c r="DB677">
        <v>0</v>
      </c>
      <c r="DC677" t="s">
        <v>1043</v>
      </c>
      <c r="DF677" t="s">
        <v>1055</v>
      </c>
      <c r="DH677">
        <v>0</v>
      </c>
      <c r="DJ677">
        <v>0</v>
      </c>
      <c r="DK677" t="s">
        <v>1053</v>
      </c>
      <c r="DL677">
        <v>0</v>
      </c>
      <c r="DN677">
        <v>0</v>
      </c>
      <c r="DO677" t="s">
        <v>1042</v>
      </c>
      <c r="DP677">
        <v>0</v>
      </c>
      <c r="DQ677">
        <v>7.6</v>
      </c>
      <c r="DS677">
        <v>0</v>
      </c>
      <c r="DU677">
        <v>1.65</v>
      </c>
      <c r="DW677">
        <v>0</v>
      </c>
      <c r="DX677" t="s">
        <v>1043</v>
      </c>
      <c r="DY677">
        <v>0</v>
      </c>
      <c r="DZ677">
        <v>0</v>
      </c>
      <c r="EA677">
        <v>0</v>
      </c>
      <c r="EB677">
        <v>17897801320457</v>
      </c>
      <c r="ED677" t="s">
        <v>1045</v>
      </c>
      <c r="EE677">
        <v>0</v>
      </c>
      <c r="EF677">
        <v>0</v>
      </c>
      <c r="EK677" t="s">
        <v>1054</v>
      </c>
      <c r="EL677">
        <v>57897801320455</v>
      </c>
      <c r="EN677" t="s">
        <v>1012</v>
      </c>
      <c r="EQ677" t="s">
        <v>1044</v>
      </c>
      <c r="ES677" t="s">
        <v>1053</v>
      </c>
      <c r="ET677">
        <v>0</v>
      </c>
      <c r="EV677">
        <v>0</v>
      </c>
      <c r="EY677" t="s">
        <v>1052</v>
      </c>
      <c r="EZ677">
        <v>0</v>
      </c>
      <c r="FA677" t="s">
        <v>1043</v>
      </c>
      <c r="FB677">
        <v>0</v>
      </c>
      <c r="FC677">
        <v>0</v>
      </c>
      <c r="FD677" t="s">
        <v>1051</v>
      </c>
      <c r="FE677" t="s">
        <v>1050</v>
      </c>
      <c r="FF677">
        <v>0</v>
      </c>
      <c r="FG677" t="s">
        <v>1050</v>
      </c>
      <c r="FH677">
        <v>27897801320454</v>
      </c>
      <c r="FJ677">
        <v>0</v>
      </c>
      <c r="FK677">
        <v>0</v>
      </c>
      <c r="FP677">
        <v>0</v>
      </c>
      <c r="FR677">
        <v>0</v>
      </c>
      <c r="FS677" t="s">
        <v>1043</v>
      </c>
      <c r="FX677" t="s">
        <v>1042</v>
      </c>
      <c r="FZ677" t="s">
        <v>1048</v>
      </c>
      <c r="GA677">
        <v>0</v>
      </c>
      <c r="GB677" t="s">
        <v>1042</v>
      </c>
      <c r="GD677">
        <v>16</v>
      </c>
      <c r="GE677">
        <v>0</v>
      </c>
      <c r="GG677">
        <v>0</v>
      </c>
      <c r="GN677">
        <v>0</v>
      </c>
      <c r="GO677" t="s">
        <v>1049</v>
      </c>
      <c r="GQ677">
        <v>0</v>
      </c>
      <c r="GU677">
        <v>2</v>
      </c>
      <c r="GY677" t="s">
        <v>1045</v>
      </c>
      <c r="HB677">
        <v>0</v>
      </c>
      <c r="HE677">
        <v>10</v>
      </c>
      <c r="HF677">
        <v>15</v>
      </c>
      <c r="HG677">
        <v>5.0619999999999998E-2</v>
      </c>
      <c r="HK677" t="s">
        <v>1042</v>
      </c>
      <c r="HL677" t="s">
        <v>1048</v>
      </c>
      <c r="HM677" t="s">
        <v>1047</v>
      </c>
      <c r="HN677">
        <v>0</v>
      </c>
      <c r="HO677">
        <v>32</v>
      </c>
      <c r="HP677">
        <v>2.2347999999999999</v>
      </c>
      <c r="HQ677">
        <v>0</v>
      </c>
      <c r="HR677" t="s">
        <v>1042</v>
      </c>
      <c r="HS677" t="s">
        <v>1043</v>
      </c>
      <c r="HT677">
        <v>0</v>
      </c>
      <c r="HU677">
        <v>0</v>
      </c>
      <c r="HW677">
        <v>0</v>
      </c>
      <c r="HX677">
        <v>101</v>
      </c>
      <c r="HY677">
        <v>0</v>
      </c>
      <c r="HZ677" t="s">
        <v>1045</v>
      </c>
      <c r="IA677">
        <v>0</v>
      </c>
      <c r="IB677" t="s">
        <v>1045</v>
      </c>
      <c r="ID677" t="s">
        <v>1045</v>
      </c>
      <c r="IF677">
        <v>27</v>
      </c>
      <c r="IG677" s="20">
        <v>44007</v>
      </c>
      <c r="IH677" t="s">
        <v>1078</v>
      </c>
      <c r="II677" t="s">
        <v>1042</v>
      </c>
      <c r="IR677" t="s">
        <v>1045</v>
      </c>
      <c r="IT677">
        <v>0</v>
      </c>
      <c r="IY677" t="s">
        <v>1044</v>
      </c>
      <c r="IZ677" t="s">
        <v>1043</v>
      </c>
      <c r="JE677">
        <v>0</v>
      </c>
      <c r="JF677">
        <v>0</v>
      </c>
      <c r="JI677" t="s">
        <v>1042</v>
      </c>
      <c r="JJ677">
        <v>0</v>
      </c>
      <c r="JK677">
        <v>0</v>
      </c>
      <c r="JL677">
        <v>0</v>
      </c>
      <c r="JM677">
        <v>0</v>
      </c>
      <c r="JT677">
        <v>0</v>
      </c>
      <c r="JU677" t="s">
        <v>1042</v>
      </c>
      <c r="JW677">
        <v>0</v>
      </c>
      <c r="KA677">
        <v>0</v>
      </c>
      <c r="KF677">
        <v>0</v>
      </c>
      <c r="KG677">
        <v>0</v>
      </c>
      <c r="KH677">
        <v>0</v>
      </c>
      <c r="KI677">
        <v>0</v>
      </c>
      <c r="KS677" t="s">
        <v>1041</v>
      </c>
      <c r="KT677">
        <v>0</v>
      </c>
      <c r="KU677">
        <v>0</v>
      </c>
      <c r="KV677">
        <v>0</v>
      </c>
      <c r="KX677">
        <v>0</v>
      </c>
      <c r="KZ677">
        <v>0</v>
      </c>
      <c r="LF677">
        <v>0</v>
      </c>
      <c r="LH677">
        <v>6048</v>
      </c>
      <c r="LI677">
        <v>0</v>
      </c>
    </row>
    <row r="678" spans="1:321" x14ac:dyDescent="0.35">
      <c r="A678">
        <v>1</v>
      </c>
      <c r="B678">
        <v>1484</v>
      </c>
      <c r="C678" t="s">
        <v>764</v>
      </c>
      <c r="D678" t="s">
        <v>1061</v>
      </c>
      <c r="E678" t="s">
        <v>85</v>
      </c>
      <c r="F678">
        <v>1</v>
      </c>
      <c r="G678">
        <v>200</v>
      </c>
      <c r="H678">
        <v>0</v>
      </c>
      <c r="I678" t="s">
        <v>994</v>
      </c>
      <c r="L678">
        <v>0</v>
      </c>
      <c r="M678">
        <v>0</v>
      </c>
      <c r="N678">
        <v>0</v>
      </c>
      <c r="P678">
        <v>13</v>
      </c>
      <c r="Q678">
        <v>516</v>
      </c>
      <c r="R678">
        <v>0</v>
      </c>
      <c r="S678">
        <v>0</v>
      </c>
      <c r="W678" t="s">
        <v>1060</v>
      </c>
      <c r="X678">
        <v>0</v>
      </c>
      <c r="Z678">
        <v>1</v>
      </c>
      <c r="AA678">
        <v>1469.8543</v>
      </c>
      <c r="AB678">
        <v>33</v>
      </c>
      <c r="AC678">
        <v>36.96</v>
      </c>
      <c r="AD678" t="s">
        <v>1042</v>
      </c>
      <c r="AE678">
        <v>0</v>
      </c>
      <c r="AF678">
        <v>3.6859999999999999</v>
      </c>
      <c r="AH678">
        <v>12</v>
      </c>
      <c r="AJ678">
        <v>0</v>
      </c>
      <c r="AL678">
        <v>145800</v>
      </c>
      <c r="AM678">
        <v>160</v>
      </c>
      <c r="AN678">
        <v>11501001</v>
      </c>
      <c r="AO678">
        <v>0</v>
      </c>
      <c r="AP678">
        <v>1002</v>
      </c>
      <c r="AT678">
        <v>1</v>
      </c>
      <c r="AU678" t="s">
        <v>1059</v>
      </c>
      <c r="AW678" t="s">
        <v>1053</v>
      </c>
      <c r="AX678">
        <v>5</v>
      </c>
      <c r="AY678" s="20">
        <v>43522</v>
      </c>
      <c r="BA678" s="20">
        <v>44519</v>
      </c>
      <c r="BB678" t="s">
        <v>1058</v>
      </c>
      <c r="BD678">
        <v>0</v>
      </c>
      <c r="BF678" t="s">
        <v>1044</v>
      </c>
      <c r="BG678" t="s">
        <v>1042</v>
      </c>
      <c r="BH678">
        <v>0</v>
      </c>
      <c r="BI678">
        <v>21</v>
      </c>
      <c r="BJ678">
        <v>0</v>
      </c>
      <c r="BK678">
        <v>0</v>
      </c>
      <c r="BM678" s="20">
        <v>43978</v>
      </c>
      <c r="BN678">
        <v>0</v>
      </c>
      <c r="BO678">
        <v>7897801320467</v>
      </c>
      <c r="BR678" t="s">
        <v>1043</v>
      </c>
      <c r="BS678" t="s">
        <v>1043</v>
      </c>
      <c r="BT678" t="s">
        <v>1043</v>
      </c>
      <c r="BV678">
        <v>1</v>
      </c>
      <c r="BW678">
        <v>2</v>
      </c>
      <c r="BY678">
        <v>81</v>
      </c>
      <c r="CA678">
        <v>0</v>
      </c>
      <c r="CB678" t="s">
        <v>1057</v>
      </c>
      <c r="CE678" t="s">
        <v>1043</v>
      </c>
      <c r="CH678" t="s">
        <v>1043</v>
      </c>
      <c r="CN678" t="s">
        <v>1056</v>
      </c>
      <c r="CO678" t="s">
        <v>1043</v>
      </c>
      <c r="CP678">
        <v>1</v>
      </c>
      <c r="CQ678">
        <v>0</v>
      </c>
      <c r="CS678">
        <v>0</v>
      </c>
      <c r="CT678">
        <v>0</v>
      </c>
      <c r="CU678">
        <v>0</v>
      </c>
      <c r="CW678">
        <v>0</v>
      </c>
      <c r="CX678">
        <v>0</v>
      </c>
      <c r="CY678">
        <v>0</v>
      </c>
      <c r="CZ678">
        <v>0</v>
      </c>
      <c r="DA678">
        <v>2</v>
      </c>
      <c r="DB678">
        <v>0</v>
      </c>
      <c r="DC678" t="s">
        <v>1043</v>
      </c>
      <c r="DF678" t="s">
        <v>1055</v>
      </c>
      <c r="DH678">
        <v>0</v>
      </c>
      <c r="DJ678">
        <v>0</v>
      </c>
      <c r="DK678" t="s">
        <v>1053</v>
      </c>
      <c r="DL678">
        <v>0</v>
      </c>
      <c r="DN678">
        <v>0</v>
      </c>
      <c r="DO678" t="s">
        <v>1042</v>
      </c>
      <c r="DP678">
        <v>0</v>
      </c>
      <c r="DQ678">
        <v>7.6</v>
      </c>
      <c r="DS678">
        <v>0</v>
      </c>
      <c r="DU678">
        <v>1.65</v>
      </c>
      <c r="DW678">
        <v>0</v>
      </c>
      <c r="DX678" t="s">
        <v>1043</v>
      </c>
      <c r="DY678">
        <v>0</v>
      </c>
      <c r="DZ678">
        <v>0</v>
      </c>
      <c r="EA678">
        <v>0</v>
      </c>
      <c r="EB678">
        <v>17897801320464</v>
      </c>
      <c r="ED678" t="s">
        <v>1045</v>
      </c>
      <c r="EE678">
        <v>0</v>
      </c>
      <c r="EF678">
        <v>0</v>
      </c>
      <c r="EK678" t="s">
        <v>1054</v>
      </c>
      <c r="EL678">
        <v>57897801320462</v>
      </c>
      <c r="EN678" t="s">
        <v>1012</v>
      </c>
      <c r="EQ678" t="s">
        <v>1044</v>
      </c>
      <c r="ES678" t="s">
        <v>1053</v>
      </c>
      <c r="ET678">
        <v>0</v>
      </c>
      <c r="EV678">
        <v>0</v>
      </c>
      <c r="EY678" t="s">
        <v>1052</v>
      </c>
      <c r="EZ678">
        <v>0</v>
      </c>
      <c r="FA678" t="s">
        <v>1043</v>
      </c>
      <c r="FB678">
        <v>0</v>
      </c>
      <c r="FC678">
        <v>0</v>
      </c>
      <c r="FD678" t="s">
        <v>1051</v>
      </c>
      <c r="FE678" t="s">
        <v>1050</v>
      </c>
      <c r="FF678">
        <v>0</v>
      </c>
      <c r="FG678" t="s">
        <v>1050</v>
      </c>
      <c r="FH678">
        <v>27897801320461</v>
      </c>
      <c r="FJ678">
        <v>0</v>
      </c>
      <c r="FK678">
        <v>0</v>
      </c>
      <c r="FP678">
        <v>0</v>
      </c>
      <c r="FR678">
        <v>0</v>
      </c>
      <c r="FS678" t="s">
        <v>1043</v>
      </c>
      <c r="FX678" t="s">
        <v>1042</v>
      </c>
      <c r="FZ678" t="s">
        <v>1048</v>
      </c>
      <c r="GA678">
        <v>0</v>
      </c>
      <c r="GB678" t="s">
        <v>1042</v>
      </c>
      <c r="GD678">
        <v>16</v>
      </c>
      <c r="GE678">
        <v>0</v>
      </c>
      <c r="GG678">
        <v>0</v>
      </c>
      <c r="GN678">
        <v>0</v>
      </c>
      <c r="GO678" t="s">
        <v>1049</v>
      </c>
      <c r="GQ678">
        <v>0</v>
      </c>
      <c r="GU678">
        <v>2</v>
      </c>
      <c r="GY678" t="s">
        <v>1045</v>
      </c>
      <c r="HB678">
        <v>0</v>
      </c>
      <c r="HE678">
        <v>10</v>
      </c>
      <c r="HF678">
        <v>15</v>
      </c>
      <c r="HG678">
        <v>3.0929999999999999E-2</v>
      </c>
      <c r="HJ678">
        <v>0</v>
      </c>
      <c r="HK678" t="s">
        <v>1042</v>
      </c>
      <c r="HL678" t="s">
        <v>1048</v>
      </c>
      <c r="HM678" t="s">
        <v>1047</v>
      </c>
      <c r="HN678">
        <v>0</v>
      </c>
      <c r="HO678">
        <v>32</v>
      </c>
      <c r="HP678">
        <v>1.2176</v>
      </c>
      <c r="HQ678">
        <v>0</v>
      </c>
      <c r="HR678" t="s">
        <v>1042</v>
      </c>
      <c r="HS678" t="s">
        <v>1043</v>
      </c>
      <c r="HT678">
        <v>0</v>
      </c>
      <c r="HU678">
        <v>0</v>
      </c>
      <c r="HW678">
        <v>0</v>
      </c>
      <c r="HX678">
        <v>45</v>
      </c>
      <c r="HY678">
        <v>0</v>
      </c>
      <c r="HZ678" t="s">
        <v>1045</v>
      </c>
      <c r="IA678">
        <v>0</v>
      </c>
      <c r="IB678" t="s">
        <v>1045</v>
      </c>
      <c r="ID678" t="s">
        <v>1045</v>
      </c>
      <c r="IF678">
        <v>45</v>
      </c>
      <c r="IG678" s="20">
        <v>44007</v>
      </c>
      <c r="IH678" t="s">
        <v>1046</v>
      </c>
      <c r="II678" t="s">
        <v>1042</v>
      </c>
      <c r="IR678" t="s">
        <v>1045</v>
      </c>
      <c r="IT678">
        <v>0</v>
      </c>
      <c r="IY678" t="s">
        <v>1044</v>
      </c>
      <c r="IZ678" t="s">
        <v>1043</v>
      </c>
      <c r="JE678">
        <v>0</v>
      </c>
      <c r="JF678">
        <v>0</v>
      </c>
      <c r="JI678" t="s">
        <v>1042</v>
      </c>
      <c r="JJ678">
        <v>0</v>
      </c>
      <c r="JK678">
        <v>0</v>
      </c>
      <c r="JL678">
        <v>0</v>
      </c>
      <c r="JM678">
        <v>0</v>
      </c>
      <c r="JT678">
        <v>0</v>
      </c>
      <c r="JU678" t="s">
        <v>1042</v>
      </c>
      <c r="JW678">
        <v>0</v>
      </c>
      <c r="KA678">
        <v>0</v>
      </c>
      <c r="KF678">
        <v>0</v>
      </c>
      <c r="KG678">
        <v>0</v>
      </c>
      <c r="KH678">
        <v>0</v>
      </c>
      <c r="KI678">
        <v>0</v>
      </c>
      <c r="KS678" t="s">
        <v>1041</v>
      </c>
      <c r="KT678">
        <v>0</v>
      </c>
      <c r="KU678">
        <v>0</v>
      </c>
      <c r="KV678">
        <v>0</v>
      </c>
      <c r="KX678">
        <v>0</v>
      </c>
      <c r="KZ678">
        <v>0</v>
      </c>
      <c r="LF678">
        <v>0</v>
      </c>
      <c r="LH678">
        <v>6720</v>
      </c>
      <c r="LI678">
        <v>0</v>
      </c>
    </row>
    <row r="679" spans="1:321" x14ac:dyDescent="0.35">
      <c r="A679">
        <v>1</v>
      </c>
      <c r="B679">
        <v>1485</v>
      </c>
      <c r="C679" t="s">
        <v>765</v>
      </c>
      <c r="D679" t="s">
        <v>1061</v>
      </c>
      <c r="E679" t="s">
        <v>85</v>
      </c>
      <c r="F679">
        <v>1</v>
      </c>
      <c r="G679">
        <v>200</v>
      </c>
      <c r="H679">
        <v>0</v>
      </c>
      <c r="I679" t="s">
        <v>994</v>
      </c>
      <c r="L679">
        <v>0</v>
      </c>
      <c r="M679">
        <v>0</v>
      </c>
      <c r="N679">
        <v>0</v>
      </c>
      <c r="P679">
        <v>13</v>
      </c>
      <c r="Q679">
        <v>516</v>
      </c>
      <c r="R679">
        <v>0</v>
      </c>
      <c r="S679">
        <v>0</v>
      </c>
      <c r="W679" t="s">
        <v>1060</v>
      </c>
      <c r="X679">
        <v>0</v>
      </c>
      <c r="Z679">
        <v>1</v>
      </c>
      <c r="AA679">
        <v>424.07780000000002</v>
      </c>
      <c r="AB679">
        <v>539</v>
      </c>
      <c r="AC679">
        <v>10.125</v>
      </c>
      <c r="AD679" t="s">
        <v>1042</v>
      </c>
      <c r="AE679">
        <v>0</v>
      </c>
      <c r="AF679">
        <v>1.012</v>
      </c>
      <c r="AH679">
        <v>138</v>
      </c>
      <c r="AJ679">
        <v>0</v>
      </c>
      <c r="AL679">
        <v>145800</v>
      </c>
      <c r="AM679">
        <v>240</v>
      </c>
      <c r="AN679">
        <v>11501001</v>
      </c>
      <c r="AO679">
        <v>0</v>
      </c>
      <c r="AP679">
        <v>1002</v>
      </c>
      <c r="AT679">
        <v>1</v>
      </c>
      <c r="AU679" t="s">
        <v>1059</v>
      </c>
      <c r="AW679" t="s">
        <v>1053</v>
      </c>
      <c r="AX679">
        <v>5</v>
      </c>
      <c r="AY679" s="20">
        <v>43522</v>
      </c>
      <c r="BA679" s="20">
        <v>44285</v>
      </c>
      <c r="BB679" t="s">
        <v>1058</v>
      </c>
      <c r="BD679">
        <v>0</v>
      </c>
      <c r="BF679" t="s">
        <v>1044</v>
      </c>
      <c r="BG679" t="s">
        <v>1042</v>
      </c>
      <c r="BH679">
        <v>0</v>
      </c>
      <c r="BI679">
        <v>21</v>
      </c>
      <c r="BJ679">
        <v>0</v>
      </c>
      <c r="BK679">
        <v>0</v>
      </c>
      <c r="BM679" s="20">
        <v>43990</v>
      </c>
      <c r="BN679">
        <v>0</v>
      </c>
      <c r="BO679">
        <v>7897801320597</v>
      </c>
      <c r="BR679" t="s">
        <v>1043</v>
      </c>
      <c r="BS679" t="s">
        <v>1043</v>
      </c>
      <c r="BT679" t="s">
        <v>1043</v>
      </c>
      <c r="BV679">
        <v>1</v>
      </c>
      <c r="BW679">
        <v>2</v>
      </c>
      <c r="BY679">
        <v>81</v>
      </c>
      <c r="CA679">
        <v>0</v>
      </c>
      <c r="CB679" t="s">
        <v>1057</v>
      </c>
      <c r="CE679" t="s">
        <v>1043</v>
      </c>
      <c r="CH679" t="s">
        <v>1043</v>
      </c>
      <c r="CN679" t="s">
        <v>1056</v>
      </c>
      <c r="CO679" t="s">
        <v>1043</v>
      </c>
      <c r="CP679">
        <v>1</v>
      </c>
      <c r="CQ679">
        <v>0</v>
      </c>
      <c r="CS679">
        <v>0</v>
      </c>
      <c r="CT679">
        <v>0</v>
      </c>
      <c r="CU679">
        <v>0</v>
      </c>
      <c r="CW679">
        <v>0</v>
      </c>
      <c r="CX679">
        <v>0</v>
      </c>
      <c r="CY679">
        <v>0</v>
      </c>
      <c r="CZ679">
        <v>0</v>
      </c>
      <c r="DA679">
        <v>2</v>
      </c>
      <c r="DB679">
        <v>0</v>
      </c>
      <c r="DC679" t="s">
        <v>1043</v>
      </c>
      <c r="DF679" t="s">
        <v>1055</v>
      </c>
      <c r="DH679">
        <v>0</v>
      </c>
      <c r="DJ679">
        <v>0</v>
      </c>
      <c r="DK679" t="s">
        <v>1053</v>
      </c>
      <c r="DL679">
        <v>0</v>
      </c>
      <c r="DN679">
        <v>0</v>
      </c>
      <c r="DO679" t="s">
        <v>1042</v>
      </c>
      <c r="DP679">
        <v>0</v>
      </c>
      <c r="DQ679">
        <v>7.6</v>
      </c>
      <c r="DS679">
        <v>0</v>
      </c>
      <c r="DU679">
        <v>1.65</v>
      </c>
      <c r="DW679">
        <v>0</v>
      </c>
      <c r="DX679" t="s">
        <v>1043</v>
      </c>
      <c r="DY679">
        <v>0</v>
      </c>
      <c r="DZ679">
        <v>0</v>
      </c>
      <c r="EA679">
        <v>0</v>
      </c>
      <c r="EB679">
        <v>17897801320594</v>
      </c>
      <c r="ED679" t="s">
        <v>1045</v>
      </c>
      <c r="EE679">
        <v>0</v>
      </c>
      <c r="EF679">
        <v>0</v>
      </c>
      <c r="EK679" t="s">
        <v>1054</v>
      </c>
      <c r="EL679">
        <v>57897801320592</v>
      </c>
      <c r="EN679" t="s">
        <v>1012</v>
      </c>
      <c r="EQ679" t="s">
        <v>1044</v>
      </c>
      <c r="ES679" t="s">
        <v>1053</v>
      </c>
      <c r="ET679">
        <v>0</v>
      </c>
      <c r="EV679">
        <v>0</v>
      </c>
      <c r="EY679" t="s">
        <v>1052</v>
      </c>
      <c r="EZ679">
        <v>0</v>
      </c>
      <c r="FA679" t="s">
        <v>1043</v>
      </c>
      <c r="FB679">
        <v>0</v>
      </c>
      <c r="FC679">
        <v>0</v>
      </c>
      <c r="FD679" t="s">
        <v>1051</v>
      </c>
      <c r="FE679" t="s">
        <v>1050</v>
      </c>
      <c r="FF679">
        <v>0</v>
      </c>
      <c r="FG679" t="s">
        <v>1050</v>
      </c>
      <c r="FH679">
        <v>27897801320591</v>
      </c>
      <c r="FJ679">
        <v>0</v>
      </c>
      <c r="FK679">
        <v>0</v>
      </c>
      <c r="FP679">
        <v>0</v>
      </c>
      <c r="FR679">
        <v>0</v>
      </c>
      <c r="FS679" t="s">
        <v>1043</v>
      </c>
      <c r="FX679" t="s">
        <v>1042</v>
      </c>
      <c r="FZ679" t="s">
        <v>1048</v>
      </c>
      <c r="GA679">
        <v>0</v>
      </c>
      <c r="GB679" t="s">
        <v>1042</v>
      </c>
      <c r="GD679">
        <v>16</v>
      </c>
      <c r="GE679">
        <v>0</v>
      </c>
      <c r="GG679">
        <v>0</v>
      </c>
      <c r="GN679">
        <v>0</v>
      </c>
      <c r="GO679" t="s">
        <v>1049</v>
      </c>
      <c r="GQ679">
        <v>0</v>
      </c>
      <c r="GU679">
        <v>2</v>
      </c>
      <c r="GY679" t="s">
        <v>1045</v>
      </c>
      <c r="HB679">
        <v>0</v>
      </c>
      <c r="HE679">
        <v>10</v>
      </c>
      <c r="HF679">
        <v>15</v>
      </c>
      <c r="HG679">
        <v>1.89E-2</v>
      </c>
      <c r="HK679" t="s">
        <v>1042</v>
      </c>
      <c r="HL679" t="s">
        <v>1048</v>
      </c>
      <c r="HM679" t="s">
        <v>1047</v>
      </c>
      <c r="HN679">
        <v>0</v>
      </c>
      <c r="HO679">
        <v>32</v>
      </c>
      <c r="HP679">
        <v>1.012</v>
      </c>
      <c r="HQ679">
        <v>0</v>
      </c>
      <c r="HR679" t="s">
        <v>1042</v>
      </c>
      <c r="HS679" t="s">
        <v>1043</v>
      </c>
      <c r="HT679">
        <v>0</v>
      </c>
      <c r="HU679">
        <v>0</v>
      </c>
      <c r="HW679">
        <v>0</v>
      </c>
      <c r="HX679">
        <v>677</v>
      </c>
      <c r="HY679">
        <v>0</v>
      </c>
      <c r="HZ679" t="s">
        <v>1045</v>
      </c>
      <c r="IA679">
        <v>0</v>
      </c>
      <c r="IB679" t="s">
        <v>1045</v>
      </c>
      <c r="ID679" t="s">
        <v>1045</v>
      </c>
      <c r="IF679">
        <v>84</v>
      </c>
      <c r="IG679" s="20">
        <v>44007</v>
      </c>
      <c r="IH679" t="s">
        <v>1078</v>
      </c>
      <c r="II679" t="s">
        <v>1042</v>
      </c>
      <c r="IR679" t="s">
        <v>1045</v>
      </c>
      <c r="IT679">
        <v>0</v>
      </c>
      <c r="IY679" t="s">
        <v>1044</v>
      </c>
      <c r="IZ679" t="s">
        <v>1043</v>
      </c>
      <c r="JE679">
        <v>0</v>
      </c>
      <c r="JF679">
        <v>0</v>
      </c>
      <c r="JI679" t="s">
        <v>1042</v>
      </c>
      <c r="JJ679">
        <v>0</v>
      </c>
      <c r="JK679">
        <v>0</v>
      </c>
      <c r="JL679">
        <v>0</v>
      </c>
      <c r="JM679">
        <v>0</v>
      </c>
      <c r="JT679">
        <v>0</v>
      </c>
      <c r="JU679" t="s">
        <v>1042</v>
      </c>
      <c r="JW679">
        <v>0</v>
      </c>
      <c r="KA679">
        <v>0</v>
      </c>
      <c r="KF679">
        <v>0</v>
      </c>
      <c r="KG679">
        <v>0</v>
      </c>
      <c r="KH679">
        <v>0</v>
      </c>
      <c r="KI679">
        <v>0</v>
      </c>
      <c r="KS679" t="s">
        <v>1041</v>
      </c>
      <c r="KT679">
        <v>0</v>
      </c>
      <c r="KU679">
        <v>0</v>
      </c>
      <c r="KV679">
        <v>0</v>
      </c>
      <c r="KX679">
        <v>0</v>
      </c>
      <c r="KZ679">
        <v>0</v>
      </c>
      <c r="LF679">
        <v>0</v>
      </c>
      <c r="LH679">
        <v>10080</v>
      </c>
      <c r="LI679">
        <v>0</v>
      </c>
    </row>
    <row r="680" spans="1:321" x14ac:dyDescent="0.35">
      <c r="A680">
        <v>1</v>
      </c>
      <c r="B680">
        <v>14858</v>
      </c>
      <c r="C680" t="s">
        <v>1077</v>
      </c>
      <c r="D680" t="s">
        <v>1076</v>
      </c>
      <c r="E680" t="s">
        <v>85</v>
      </c>
      <c r="F680">
        <v>80</v>
      </c>
      <c r="G680">
        <v>9100</v>
      </c>
      <c r="H680">
        <v>0</v>
      </c>
      <c r="I680" t="s">
        <v>1075</v>
      </c>
      <c r="L680">
        <v>0</v>
      </c>
      <c r="M680">
        <v>9.75</v>
      </c>
      <c r="N680">
        <v>0</v>
      </c>
      <c r="R680">
        <v>0</v>
      </c>
      <c r="S680">
        <v>0</v>
      </c>
      <c r="W680" t="s">
        <v>1060</v>
      </c>
      <c r="X680">
        <v>0</v>
      </c>
      <c r="Z680">
        <v>1</v>
      </c>
      <c r="AA680">
        <v>0</v>
      </c>
      <c r="AB680">
        <v>0</v>
      </c>
      <c r="AC680">
        <v>22.9</v>
      </c>
      <c r="AD680" s="20">
        <v>40162</v>
      </c>
      <c r="AE680">
        <v>22.9</v>
      </c>
      <c r="AF680">
        <v>0</v>
      </c>
      <c r="AH680">
        <v>0</v>
      </c>
      <c r="AJ680">
        <v>0</v>
      </c>
      <c r="AL680">
        <v>1</v>
      </c>
      <c r="AM680">
        <v>0</v>
      </c>
      <c r="AN680">
        <v>43710</v>
      </c>
      <c r="AO680">
        <v>0</v>
      </c>
      <c r="AP680">
        <v>1001</v>
      </c>
      <c r="AT680">
        <v>0</v>
      </c>
      <c r="AU680" t="s">
        <v>1059</v>
      </c>
      <c r="AW680" t="s">
        <v>1053</v>
      </c>
      <c r="AX680">
        <v>0</v>
      </c>
      <c r="AY680" s="20">
        <v>39549</v>
      </c>
      <c r="BA680" s="20">
        <v>39549</v>
      </c>
      <c r="BB680" t="s">
        <v>1058</v>
      </c>
      <c r="BD680">
        <v>0</v>
      </c>
      <c r="BF680" t="s">
        <v>1043</v>
      </c>
      <c r="BG680" t="s">
        <v>1042</v>
      </c>
      <c r="BH680">
        <v>0</v>
      </c>
      <c r="BI680">
        <v>1</v>
      </c>
      <c r="BJ680">
        <v>0</v>
      </c>
      <c r="BK680">
        <v>0</v>
      </c>
      <c r="BM680" t="s">
        <v>1042</v>
      </c>
      <c r="BN680">
        <v>0</v>
      </c>
      <c r="BR680" t="s">
        <v>1043</v>
      </c>
      <c r="BS680" t="s">
        <v>1043</v>
      </c>
      <c r="BT680" t="s">
        <v>1043</v>
      </c>
      <c r="BW680">
        <v>55</v>
      </c>
      <c r="CA680">
        <v>0</v>
      </c>
      <c r="CB680" t="s">
        <v>1057</v>
      </c>
      <c r="CE680" t="s">
        <v>1043</v>
      </c>
      <c r="CH680" t="s">
        <v>1043</v>
      </c>
      <c r="CN680" t="s">
        <v>1074</v>
      </c>
      <c r="CO680" t="s">
        <v>1043</v>
      </c>
      <c r="CP680">
        <v>1</v>
      </c>
      <c r="CQ680">
        <v>0</v>
      </c>
      <c r="CS680">
        <v>0</v>
      </c>
      <c r="CT680">
        <v>0</v>
      </c>
      <c r="CU680">
        <v>0</v>
      </c>
      <c r="CW680">
        <v>0</v>
      </c>
      <c r="CX680">
        <v>0</v>
      </c>
      <c r="CY680">
        <v>0</v>
      </c>
      <c r="CZ680">
        <v>0</v>
      </c>
      <c r="DB680">
        <v>0</v>
      </c>
      <c r="DC680" t="s">
        <v>1043</v>
      </c>
      <c r="DF680" t="s">
        <v>1055</v>
      </c>
      <c r="DH680">
        <v>0</v>
      </c>
      <c r="DJ680">
        <v>0</v>
      </c>
      <c r="DK680" t="s">
        <v>1053</v>
      </c>
      <c r="DL680">
        <v>0</v>
      </c>
      <c r="DN680">
        <v>0</v>
      </c>
      <c r="DO680" t="s">
        <v>1042</v>
      </c>
      <c r="DP680">
        <v>0</v>
      </c>
      <c r="DQ680">
        <v>0</v>
      </c>
      <c r="DS680">
        <v>0</v>
      </c>
      <c r="DU680">
        <v>0</v>
      </c>
      <c r="DW680">
        <v>0</v>
      </c>
      <c r="DX680" t="s">
        <v>1043</v>
      </c>
      <c r="DY680">
        <v>0</v>
      </c>
      <c r="DZ680">
        <v>0</v>
      </c>
      <c r="EA680">
        <v>0</v>
      </c>
      <c r="EE680">
        <v>0</v>
      </c>
      <c r="EF680">
        <v>0</v>
      </c>
      <c r="EQ680" t="s">
        <v>1044</v>
      </c>
      <c r="ES680" t="s">
        <v>1053</v>
      </c>
      <c r="ET680">
        <v>0</v>
      </c>
      <c r="EV680">
        <v>0</v>
      </c>
      <c r="EY680" t="s">
        <v>1052</v>
      </c>
      <c r="EZ680">
        <v>0</v>
      </c>
      <c r="FA680" t="s">
        <v>1043</v>
      </c>
      <c r="FB680">
        <v>0</v>
      </c>
      <c r="FC680">
        <v>0</v>
      </c>
      <c r="FE680" t="s">
        <v>1050</v>
      </c>
      <c r="FF680">
        <v>0</v>
      </c>
      <c r="FG680" t="s">
        <v>1050</v>
      </c>
      <c r="FJ680">
        <v>0</v>
      </c>
      <c r="FK680">
        <v>0</v>
      </c>
      <c r="FP680">
        <v>0</v>
      </c>
      <c r="FR680">
        <v>0</v>
      </c>
      <c r="FX680" t="s">
        <v>1042</v>
      </c>
      <c r="FZ680" t="s">
        <v>1048</v>
      </c>
      <c r="GA680">
        <v>0</v>
      </c>
      <c r="GB680" t="s">
        <v>1042</v>
      </c>
      <c r="GE680">
        <v>0</v>
      </c>
      <c r="GG680">
        <v>0</v>
      </c>
      <c r="GN680">
        <v>0</v>
      </c>
      <c r="GO680" t="s">
        <v>1063</v>
      </c>
      <c r="GQ680">
        <v>0</v>
      </c>
      <c r="GU680">
        <v>0</v>
      </c>
      <c r="GY680" t="s">
        <v>1045</v>
      </c>
      <c r="HB680">
        <v>0</v>
      </c>
      <c r="HE680">
        <v>0</v>
      </c>
      <c r="HF680">
        <v>0</v>
      </c>
      <c r="HG680">
        <v>0</v>
      </c>
      <c r="HK680" t="s">
        <v>1042</v>
      </c>
      <c r="HM680" t="s">
        <v>1047</v>
      </c>
      <c r="HN680">
        <v>0</v>
      </c>
      <c r="HP680">
        <v>0</v>
      </c>
      <c r="HQ680">
        <v>0</v>
      </c>
      <c r="HR680" t="s">
        <v>1042</v>
      </c>
      <c r="HS680" t="s">
        <v>1043</v>
      </c>
      <c r="HT680">
        <v>0</v>
      </c>
      <c r="HU680">
        <v>0</v>
      </c>
      <c r="HW680">
        <v>0</v>
      </c>
      <c r="HX680">
        <v>0</v>
      </c>
      <c r="HY680">
        <v>0</v>
      </c>
      <c r="HZ680" t="s">
        <v>1045</v>
      </c>
      <c r="IA680">
        <v>0</v>
      </c>
      <c r="IB680" t="s">
        <v>1045</v>
      </c>
      <c r="ID680" t="s">
        <v>1045</v>
      </c>
      <c r="IF680">
        <v>0</v>
      </c>
      <c r="IG680" t="s">
        <v>1042</v>
      </c>
      <c r="II680" t="s">
        <v>1042</v>
      </c>
      <c r="IR680" t="s">
        <v>1045</v>
      </c>
      <c r="IT680">
        <v>0</v>
      </c>
      <c r="IY680" t="s">
        <v>1044</v>
      </c>
      <c r="JE680">
        <v>0</v>
      </c>
      <c r="JF680">
        <v>0</v>
      </c>
      <c r="JI680" t="s">
        <v>1042</v>
      </c>
      <c r="JJ680">
        <v>0</v>
      </c>
      <c r="JK680">
        <v>0</v>
      </c>
      <c r="JL680">
        <v>0</v>
      </c>
      <c r="JM680">
        <v>0</v>
      </c>
      <c r="JT680">
        <v>0</v>
      </c>
      <c r="JU680" t="s">
        <v>1042</v>
      </c>
      <c r="JW680">
        <v>0</v>
      </c>
      <c r="KA680">
        <v>0</v>
      </c>
      <c r="KF680">
        <v>0</v>
      </c>
      <c r="KG680">
        <v>0</v>
      </c>
      <c r="KH680">
        <v>0</v>
      </c>
      <c r="KI680">
        <v>0</v>
      </c>
      <c r="KS680" t="s">
        <v>1073</v>
      </c>
      <c r="KT680">
        <v>0</v>
      </c>
      <c r="KU680">
        <v>0</v>
      </c>
      <c r="KV680">
        <v>0</v>
      </c>
      <c r="KX680">
        <v>0</v>
      </c>
      <c r="KZ680">
        <v>0</v>
      </c>
      <c r="LF680">
        <v>0</v>
      </c>
      <c r="LH680">
        <v>0</v>
      </c>
      <c r="LI680">
        <v>0</v>
      </c>
    </row>
    <row r="681" spans="1:321" x14ac:dyDescent="0.35">
      <c r="A681">
        <v>1</v>
      </c>
      <c r="B681">
        <v>1486</v>
      </c>
      <c r="C681" t="s">
        <v>1031</v>
      </c>
      <c r="D681" t="s">
        <v>1061</v>
      </c>
      <c r="E681" t="s">
        <v>85</v>
      </c>
      <c r="F681">
        <v>1</v>
      </c>
      <c r="G681">
        <v>8890</v>
      </c>
      <c r="H681">
        <v>0</v>
      </c>
      <c r="I681" t="s">
        <v>994</v>
      </c>
      <c r="L681">
        <v>0</v>
      </c>
      <c r="M681">
        <v>0</v>
      </c>
      <c r="N681">
        <v>0</v>
      </c>
      <c r="P681">
        <v>13</v>
      </c>
      <c r="Q681">
        <v>516</v>
      </c>
      <c r="R681">
        <v>0</v>
      </c>
      <c r="S681">
        <v>0</v>
      </c>
      <c r="W681" t="s">
        <v>1060</v>
      </c>
      <c r="X681">
        <v>0</v>
      </c>
      <c r="Z681">
        <v>1</v>
      </c>
      <c r="AA681">
        <v>0</v>
      </c>
      <c r="AB681">
        <v>0</v>
      </c>
      <c r="AC681">
        <v>0</v>
      </c>
      <c r="AD681" t="s">
        <v>1042</v>
      </c>
      <c r="AE681">
        <v>0</v>
      </c>
      <c r="AF681">
        <v>0</v>
      </c>
      <c r="AH681">
        <v>0</v>
      </c>
      <c r="AJ681">
        <v>0</v>
      </c>
      <c r="AL681">
        <v>145800</v>
      </c>
      <c r="AM681">
        <v>144</v>
      </c>
      <c r="AN681">
        <v>11501001</v>
      </c>
      <c r="AO681">
        <v>0</v>
      </c>
      <c r="AP681">
        <v>1002</v>
      </c>
      <c r="AT681">
        <v>1</v>
      </c>
      <c r="AU681" t="s">
        <v>1059</v>
      </c>
      <c r="AW681" t="s">
        <v>1053</v>
      </c>
      <c r="AX681">
        <v>0</v>
      </c>
      <c r="AY681" s="20">
        <v>43522</v>
      </c>
      <c r="BA681" s="20">
        <v>44707</v>
      </c>
      <c r="BB681" t="s">
        <v>1058</v>
      </c>
      <c r="BD681">
        <v>0</v>
      </c>
      <c r="BF681" t="s">
        <v>1044</v>
      </c>
      <c r="BG681" t="s">
        <v>1042</v>
      </c>
      <c r="BH681">
        <v>0</v>
      </c>
      <c r="BI681">
        <v>21</v>
      </c>
      <c r="BJ681">
        <v>0</v>
      </c>
      <c r="BK681">
        <v>0</v>
      </c>
      <c r="BM681" t="s">
        <v>1042</v>
      </c>
      <c r="BN681">
        <v>0</v>
      </c>
      <c r="BO681">
        <v>7897801321433</v>
      </c>
      <c r="BR681" t="s">
        <v>1043</v>
      </c>
      <c r="BS681" t="s">
        <v>1043</v>
      </c>
      <c r="BT681" t="s">
        <v>1043</v>
      </c>
      <c r="BV681">
        <v>1</v>
      </c>
      <c r="BW681">
        <v>2</v>
      </c>
      <c r="CA681">
        <v>0</v>
      </c>
      <c r="CB681" t="s">
        <v>1057</v>
      </c>
      <c r="CE681" t="s">
        <v>1043</v>
      </c>
      <c r="CH681" t="s">
        <v>1043</v>
      </c>
      <c r="CN681" t="s">
        <v>1056</v>
      </c>
      <c r="CO681" t="s">
        <v>1043</v>
      </c>
      <c r="CP681">
        <v>1</v>
      </c>
      <c r="CQ681">
        <v>0</v>
      </c>
      <c r="CS681">
        <v>0</v>
      </c>
      <c r="CT681">
        <v>0</v>
      </c>
      <c r="CU681">
        <v>0</v>
      </c>
      <c r="CW681">
        <v>0</v>
      </c>
      <c r="CX681">
        <v>0</v>
      </c>
      <c r="CY681">
        <v>0</v>
      </c>
      <c r="CZ681">
        <v>0</v>
      </c>
      <c r="DA681">
        <v>2</v>
      </c>
      <c r="DB681">
        <v>0</v>
      </c>
      <c r="DC681" t="s">
        <v>1043</v>
      </c>
      <c r="DF681" t="s">
        <v>1055</v>
      </c>
      <c r="DH681">
        <v>0</v>
      </c>
      <c r="DJ681">
        <v>0</v>
      </c>
      <c r="DK681" t="s">
        <v>1053</v>
      </c>
      <c r="DL681">
        <v>0</v>
      </c>
      <c r="DN681">
        <v>0</v>
      </c>
      <c r="DO681" t="s">
        <v>1042</v>
      </c>
      <c r="DP681">
        <v>0</v>
      </c>
      <c r="DQ681">
        <v>7.6</v>
      </c>
      <c r="DS681">
        <v>0</v>
      </c>
      <c r="DU681">
        <v>1.65</v>
      </c>
      <c r="DW681">
        <v>0</v>
      </c>
      <c r="DX681" t="s">
        <v>1043</v>
      </c>
      <c r="DY681">
        <v>0</v>
      </c>
      <c r="DZ681">
        <v>0</v>
      </c>
      <c r="EA681">
        <v>0</v>
      </c>
      <c r="EB681">
        <v>17897801321430</v>
      </c>
      <c r="ED681" t="s">
        <v>1045</v>
      </c>
      <c r="EE681">
        <v>0</v>
      </c>
      <c r="EF681">
        <v>0</v>
      </c>
      <c r="EK681" t="s">
        <v>1054</v>
      </c>
      <c r="EL681">
        <v>57897801321438</v>
      </c>
      <c r="EN681" t="s">
        <v>1012</v>
      </c>
      <c r="EQ681" t="s">
        <v>1044</v>
      </c>
      <c r="ES681" t="s">
        <v>1053</v>
      </c>
      <c r="ET681">
        <v>0</v>
      </c>
      <c r="EV681">
        <v>0</v>
      </c>
      <c r="EY681" t="s">
        <v>1052</v>
      </c>
      <c r="EZ681">
        <v>0</v>
      </c>
      <c r="FA681" t="s">
        <v>1043</v>
      </c>
      <c r="FB681">
        <v>0</v>
      </c>
      <c r="FC681">
        <v>0</v>
      </c>
      <c r="FD681" t="s">
        <v>1051</v>
      </c>
      <c r="FE681" t="s">
        <v>1050</v>
      </c>
      <c r="FF681">
        <v>0</v>
      </c>
      <c r="FG681" t="s">
        <v>1050</v>
      </c>
      <c r="FH681">
        <v>27897801321437</v>
      </c>
      <c r="FJ681">
        <v>0</v>
      </c>
      <c r="FK681">
        <v>0</v>
      </c>
      <c r="FP681">
        <v>0</v>
      </c>
      <c r="FR681">
        <v>0</v>
      </c>
      <c r="FS681" t="s">
        <v>1043</v>
      </c>
      <c r="FX681" t="s">
        <v>1042</v>
      </c>
      <c r="FZ681" t="s">
        <v>1048</v>
      </c>
      <c r="GA681">
        <v>0</v>
      </c>
      <c r="GB681" t="s">
        <v>1042</v>
      </c>
      <c r="GD681">
        <v>16</v>
      </c>
      <c r="GE681">
        <v>0</v>
      </c>
      <c r="GG681">
        <v>0</v>
      </c>
      <c r="GN681">
        <v>0</v>
      </c>
      <c r="GO681" t="s">
        <v>1049</v>
      </c>
      <c r="GQ681">
        <v>0</v>
      </c>
      <c r="GU681">
        <v>2</v>
      </c>
      <c r="GY681" t="s">
        <v>1045</v>
      </c>
      <c r="HB681">
        <v>0</v>
      </c>
      <c r="HE681">
        <v>10</v>
      </c>
      <c r="HF681">
        <v>15</v>
      </c>
      <c r="HG681">
        <v>0</v>
      </c>
      <c r="HK681" t="s">
        <v>1042</v>
      </c>
      <c r="HL681" t="s">
        <v>1048</v>
      </c>
      <c r="HM681" t="s">
        <v>1047</v>
      </c>
      <c r="HN681">
        <v>0</v>
      </c>
      <c r="HP681">
        <v>1.1228</v>
      </c>
      <c r="HQ681">
        <v>0</v>
      </c>
      <c r="HR681" t="s">
        <v>1042</v>
      </c>
      <c r="HS681" t="s">
        <v>1043</v>
      </c>
      <c r="HT681">
        <v>0</v>
      </c>
      <c r="HU681">
        <v>0</v>
      </c>
      <c r="HW681">
        <v>0</v>
      </c>
      <c r="HX681">
        <v>0</v>
      </c>
      <c r="HY681">
        <v>0</v>
      </c>
      <c r="HZ681" t="s">
        <v>1045</v>
      </c>
      <c r="IA681">
        <v>0</v>
      </c>
      <c r="IB681" t="s">
        <v>1045</v>
      </c>
      <c r="ID681" t="s">
        <v>1045</v>
      </c>
      <c r="IF681">
        <v>0</v>
      </c>
      <c r="IG681" t="s">
        <v>1042</v>
      </c>
      <c r="IH681" t="s">
        <v>1046</v>
      </c>
      <c r="II681" t="s">
        <v>1042</v>
      </c>
      <c r="IR681" t="s">
        <v>1045</v>
      </c>
      <c r="IT681">
        <v>0</v>
      </c>
      <c r="IY681" t="s">
        <v>1044</v>
      </c>
      <c r="IZ681" t="s">
        <v>1043</v>
      </c>
      <c r="JE681">
        <v>0</v>
      </c>
      <c r="JF681">
        <v>0</v>
      </c>
      <c r="JI681" t="s">
        <v>1042</v>
      </c>
      <c r="JJ681">
        <v>0</v>
      </c>
      <c r="JK681">
        <v>0</v>
      </c>
      <c r="JL681">
        <v>0</v>
      </c>
      <c r="JM681">
        <v>0</v>
      </c>
      <c r="JT681">
        <v>0</v>
      </c>
      <c r="JU681" t="s">
        <v>1042</v>
      </c>
      <c r="JW681">
        <v>0</v>
      </c>
      <c r="KA681">
        <v>0</v>
      </c>
      <c r="KF681">
        <v>0</v>
      </c>
      <c r="KG681">
        <v>0</v>
      </c>
      <c r="KH681">
        <v>0</v>
      </c>
      <c r="KI681">
        <v>0</v>
      </c>
      <c r="KS681" t="s">
        <v>1041</v>
      </c>
      <c r="KT681">
        <v>0</v>
      </c>
      <c r="KU681">
        <v>0</v>
      </c>
      <c r="KV681">
        <v>0</v>
      </c>
      <c r="KX681">
        <v>0</v>
      </c>
      <c r="KZ681">
        <v>0</v>
      </c>
      <c r="LF681">
        <v>0</v>
      </c>
      <c r="LH681">
        <v>0</v>
      </c>
      <c r="LI681">
        <v>0</v>
      </c>
    </row>
    <row r="682" spans="1:321" x14ac:dyDescent="0.35">
      <c r="A682">
        <v>1</v>
      </c>
      <c r="B682" t="s">
        <v>1072</v>
      </c>
      <c r="C682" t="s">
        <v>1071</v>
      </c>
      <c r="D682" t="s">
        <v>1064</v>
      </c>
      <c r="E682" t="s">
        <v>85</v>
      </c>
      <c r="F682">
        <v>1</v>
      </c>
      <c r="G682">
        <v>8890</v>
      </c>
      <c r="H682">
        <v>0</v>
      </c>
      <c r="I682" t="s">
        <v>994</v>
      </c>
      <c r="L682">
        <v>0</v>
      </c>
      <c r="M682">
        <v>0</v>
      </c>
      <c r="N682">
        <v>0</v>
      </c>
      <c r="P682">
        <v>13</v>
      </c>
      <c r="Q682">
        <v>516</v>
      </c>
      <c r="R682">
        <v>0</v>
      </c>
      <c r="S682">
        <v>0</v>
      </c>
      <c r="W682" t="s">
        <v>1060</v>
      </c>
      <c r="X682">
        <v>0</v>
      </c>
      <c r="Z682">
        <v>1</v>
      </c>
      <c r="AA682">
        <v>0</v>
      </c>
      <c r="AB682">
        <v>0</v>
      </c>
      <c r="AC682">
        <v>0</v>
      </c>
      <c r="AD682" t="s">
        <v>1042</v>
      </c>
      <c r="AE682">
        <v>0</v>
      </c>
      <c r="AF682">
        <v>0</v>
      </c>
      <c r="AH682">
        <v>0</v>
      </c>
      <c r="AJ682">
        <v>0</v>
      </c>
      <c r="AL682">
        <v>145800</v>
      </c>
      <c r="AM682">
        <v>24</v>
      </c>
      <c r="AN682">
        <v>11501001</v>
      </c>
      <c r="AO682">
        <v>0</v>
      </c>
      <c r="AP682">
        <v>2720</v>
      </c>
      <c r="AT682">
        <v>1</v>
      </c>
      <c r="AU682" t="s">
        <v>1059</v>
      </c>
      <c r="AW682" t="s">
        <v>1053</v>
      </c>
      <c r="AX682">
        <v>5</v>
      </c>
      <c r="AY682" s="20">
        <v>43868</v>
      </c>
      <c r="BA682" s="20">
        <v>43868</v>
      </c>
      <c r="BB682" t="s">
        <v>1058</v>
      </c>
      <c r="BD682">
        <v>0</v>
      </c>
      <c r="BF682" t="s">
        <v>1044</v>
      </c>
      <c r="BG682" t="s">
        <v>1042</v>
      </c>
      <c r="BH682">
        <v>0</v>
      </c>
      <c r="BI682">
        <v>21</v>
      </c>
      <c r="BJ682">
        <v>0</v>
      </c>
      <c r="BK682">
        <v>0</v>
      </c>
      <c r="BM682" t="s">
        <v>1042</v>
      </c>
      <c r="BN682">
        <v>0</v>
      </c>
      <c r="BR682" t="s">
        <v>1043</v>
      </c>
      <c r="BS682" t="s">
        <v>1043</v>
      </c>
      <c r="BT682" t="s">
        <v>1043</v>
      </c>
      <c r="BV682">
        <v>1</v>
      </c>
      <c r="BW682">
        <v>2</v>
      </c>
      <c r="CA682">
        <v>0</v>
      </c>
      <c r="CB682" t="s">
        <v>1057</v>
      </c>
      <c r="CE682" t="s">
        <v>1043</v>
      </c>
      <c r="CH682" t="s">
        <v>1043</v>
      </c>
      <c r="CN682" t="s">
        <v>1056</v>
      </c>
      <c r="CO682" t="s">
        <v>1043</v>
      </c>
      <c r="CP682">
        <v>1</v>
      </c>
      <c r="CQ682">
        <v>0</v>
      </c>
      <c r="CS682">
        <v>0</v>
      </c>
      <c r="CT682">
        <v>0</v>
      </c>
      <c r="CU682">
        <v>0</v>
      </c>
      <c r="CW682">
        <v>0</v>
      </c>
      <c r="CX682">
        <v>0</v>
      </c>
      <c r="CY682">
        <v>0</v>
      </c>
      <c r="CZ682">
        <v>0</v>
      </c>
      <c r="DB682">
        <v>0</v>
      </c>
      <c r="DC682" t="s">
        <v>1043</v>
      </c>
      <c r="DF682" t="s">
        <v>1055</v>
      </c>
      <c r="DH682">
        <v>0</v>
      </c>
      <c r="DJ682">
        <v>0</v>
      </c>
      <c r="DK682" t="s">
        <v>1053</v>
      </c>
      <c r="DL682">
        <v>0</v>
      </c>
      <c r="DN682">
        <v>0</v>
      </c>
      <c r="DO682" t="s">
        <v>1042</v>
      </c>
      <c r="DP682">
        <v>0</v>
      </c>
      <c r="DQ682">
        <v>7.6</v>
      </c>
      <c r="DS682">
        <v>0</v>
      </c>
      <c r="DU682">
        <v>1.65</v>
      </c>
      <c r="DW682">
        <v>0</v>
      </c>
      <c r="DX682" t="s">
        <v>1043</v>
      </c>
      <c r="DY682">
        <v>0</v>
      </c>
      <c r="DZ682">
        <v>0</v>
      </c>
      <c r="EA682">
        <v>0</v>
      </c>
      <c r="ED682" t="s">
        <v>1045</v>
      </c>
      <c r="EE682">
        <v>0</v>
      </c>
      <c r="EF682">
        <v>0</v>
      </c>
      <c r="EK682" t="s">
        <v>1054</v>
      </c>
      <c r="EN682" t="s">
        <v>1012</v>
      </c>
      <c r="EQ682" t="s">
        <v>1044</v>
      </c>
      <c r="ES682" t="s">
        <v>1053</v>
      </c>
      <c r="ET682">
        <v>0</v>
      </c>
      <c r="EV682">
        <v>0</v>
      </c>
      <c r="EY682" t="s">
        <v>1052</v>
      </c>
      <c r="EZ682">
        <v>0</v>
      </c>
      <c r="FA682" t="s">
        <v>1043</v>
      </c>
      <c r="FB682">
        <v>0</v>
      </c>
      <c r="FC682">
        <v>0</v>
      </c>
      <c r="FD682" t="s">
        <v>1051</v>
      </c>
      <c r="FE682" t="s">
        <v>1050</v>
      </c>
      <c r="FF682">
        <v>0</v>
      </c>
      <c r="FG682" t="s">
        <v>1050</v>
      </c>
      <c r="FJ682">
        <v>0</v>
      </c>
      <c r="FK682">
        <v>0</v>
      </c>
      <c r="FP682">
        <v>0</v>
      </c>
      <c r="FR682">
        <v>0</v>
      </c>
      <c r="FS682" t="s">
        <v>1043</v>
      </c>
      <c r="FX682" t="s">
        <v>1042</v>
      </c>
      <c r="FZ682" t="s">
        <v>1048</v>
      </c>
      <c r="GA682">
        <v>0</v>
      </c>
      <c r="GB682" t="s">
        <v>1042</v>
      </c>
      <c r="GD682">
        <v>16</v>
      </c>
      <c r="GE682">
        <v>0</v>
      </c>
      <c r="GG682">
        <v>0</v>
      </c>
      <c r="GN682">
        <v>0</v>
      </c>
      <c r="GO682" t="s">
        <v>1063</v>
      </c>
      <c r="GQ682">
        <v>0</v>
      </c>
      <c r="GU682">
        <v>2</v>
      </c>
      <c r="GY682" t="s">
        <v>1045</v>
      </c>
      <c r="HB682">
        <v>0</v>
      </c>
      <c r="HE682">
        <v>10</v>
      </c>
      <c r="HF682">
        <v>15</v>
      </c>
      <c r="HG682">
        <v>0</v>
      </c>
      <c r="HK682" t="s">
        <v>1042</v>
      </c>
      <c r="HL682" t="s">
        <v>1048</v>
      </c>
      <c r="HM682" t="s">
        <v>1047</v>
      </c>
      <c r="HN682">
        <v>0</v>
      </c>
      <c r="HP682">
        <v>0</v>
      </c>
      <c r="HQ682">
        <v>0</v>
      </c>
      <c r="HR682" t="s">
        <v>1042</v>
      </c>
      <c r="HS682" t="s">
        <v>1043</v>
      </c>
      <c r="HT682">
        <v>0</v>
      </c>
      <c r="HU682">
        <v>0</v>
      </c>
      <c r="HW682">
        <v>0</v>
      </c>
      <c r="HX682">
        <v>0</v>
      </c>
      <c r="HY682">
        <v>0</v>
      </c>
      <c r="HZ682" t="s">
        <v>1045</v>
      </c>
      <c r="IA682">
        <v>0</v>
      </c>
      <c r="IB682" t="s">
        <v>1045</v>
      </c>
      <c r="ID682" t="s">
        <v>1045</v>
      </c>
      <c r="IF682">
        <v>0</v>
      </c>
      <c r="IG682" t="s">
        <v>1042</v>
      </c>
      <c r="IH682" t="s">
        <v>1046</v>
      </c>
      <c r="II682" t="s">
        <v>1042</v>
      </c>
      <c r="IR682" t="s">
        <v>1045</v>
      </c>
      <c r="IT682">
        <v>0</v>
      </c>
      <c r="IY682" t="s">
        <v>1044</v>
      </c>
      <c r="IZ682" t="s">
        <v>1043</v>
      </c>
      <c r="JE682">
        <v>0</v>
      </c>
      <c r="JF682">
        <v>0</v>
      </c>
      <c r="JI682" t="s">
        <v>1042</v>
      </c>
      <c r="JJ682">
        <v>0</v>
      </c>
      <c r="JK682">
        <v>0</v>
      </c>
      <c r="JL682">
        <v>0</v>
      </c>
      <c r="JM682">
        <v>0</v>
      </c>
      <c r="JT682">
        <v>0</v>
      </c>
      <c r="JU682" t="s">
        <v>1042</v>
      </c>
      <c r="JW682">
        <v>0</v>
      </c>
      <c r="KA682">
        <v>0</v>
      </c>
      <c r="KF682">
        <v>0</v>
      </c>
      <c r="KG682">
        <v>0</v>
      </c>
      <c r="KH682">
        <v>0</v>
      </c>
      <c r="KI682">
        <v>0</v>
      </c>
      <c r="KS682" t="s">
        <v>1041</v>
      </c>
      <c r="KT682">
        <v>0</v>
      </c>
      <c r="KU682">
        <v>0</v>
      </c>
      <c r="KV682">
        <v>0</v>
      </c>
      <c r="KX682">
        <v>0</v>
      </c>
      <c r="KZ682">
        <v>0</v>
      </c>
      <c r="LF682">
        <v>0</v>
      </c>
      <c r="LH682">
        <v>0</v>
      </c>
      <c r="LI682">
        <v>0</v>
      </c>
    </row>
    <row r="683" spans="1:321" x14ac:dyDescent="0.35">
      <c r="A683">
        <v>1</v>
      </c>
      <c r="B683">
        <v>1487</v>
      </c>
      <c r="C683" t="s">
        <v>1032</v>
      </c>
      <c r="D683" t="s">
        <v>1061</v>
      </c>
      <c r="E683" t="s">
        <v>85</v>
      </c>
      <c r="F683">
        <v>1</v>
      </c>
      <c r="G683">
        <v>8890</v>
      </c>
      <c r="H683">
        <v>0</v>
      </c>
      <c r="I683" t="s">
        <v>994</v>
      </c>
      <c r="L683">
        <v>0</v>
      </c>
      <c r="M683">
        <v>0</v>
      </c>
      <c r="N683">
        <v>0</v>
      </c>
      <c r="P683">
        <v>13</v>
      </c>
      <c r="Q683">
        <v>516</v>
      </c>
      <c r="R683">
        <v>0</v>
      </c>
      <c r="S683">
        <v>0</v>
      </c>
      <c r="W683" t="s">
        <v>1060</v>
      </c>
      <c r="X683">
        <v>0</v>
      </c>
      <c r="Z683">
        <v>1</v>
      </c>
      <c r="AA683">
        <v>0</v>
      </c>
      <c r="AB683">
        <v>0</v>
      </c>
      <c r="AC683">
        <v>0</v>
      </c>
      <c r="AD683" t="s">
        <v>1042</v>
      </c>
      <c r="AE683">
        <v>0</v>
      </c>
      <c r="AF683">
        <v>0</v>
      </c>
      <c r="AH683">
        <v>0</v>
      </c>
      <c r="AJ683">
        <v>0</v>
      </c>
      <c r="AL683">
        <v>145800</v>
      </c>
      <c r="AM683">
        <v>144</v>
      </c>
      <c r="AN683">
        <v>11501001</v>
      </c>
      <c r="AO683">
        <v>0</v>
      </c>
      <c r="AP683">
        <v>1002</v>
      </c>
      <c r="AT683">
        <v>1</v>
      </c>
      <c r="AU683" t="s">
        <v>1059</v>
      </c>
      <c r="AW683" t="s">
        <v>1053</v>
      </c>
      <c r="AX683">
        <v>0</v>
      </c>
      <c r="AY683" s="20">
        <v>43522</v>
      </c>
      <c r="BA683" s="20">
        <v>44707</v>
      </c>
      <c r="BB683" t="s">
        <v>1058</v>
      </c>
      <c r="BD683">
        <v>0</v>
      </c>
      <c r="BF683" t="s">
        <v>1044</v>
      </c>
      <c r="BG683" t="s">
        <v>1042</v>
      </c>
      <c r="BH683">
        <v>0</v>
      </c>
      <c r="BI683">
        <v>21</v>
      </c>
      <c r="BJ683">
        <v>0</v>
      </c>
      <c r="BK683">
        <v>0</v>
      </c>
      <c r="BM683" t="s">
        <v>1042</v>
      </c>
      <c r="BN683">
        <v>0</v>
      </c>
      <c r="BO683">
        <v>7897801321440</v>
      </c>
      <c r="BR683" t="s">
        <v>1043</v>
      </c>
      <c r="BS683" t="s">
        <v>1043</v>
      </c>
      <c r="BT683" t="s">
        <v>1043</v>
      </c>
      <c r="BV683">
        <v>1</v>
      </c>
      <c r="BW683">
        <v>2</v>
      </c>
      <c r="CA683">
        <v>0</v>
      </c>
      <c r="CB683" t="s">
        <v>1057</v>
      </c>
      <c r="CE683" t="s">
        <v>1043</v>
      </c>
      <c r="CH683" t="s">
        <v>1043</v>
      </c>
      <c r="CN683" t="s">
        <v>1056</v>
      </c>
      <c r="CO683" t="s">
        <v>1043</v>
      </c>
      <c r="CP683">
        <v>1</v>
      </c>
      <c r="CQ683">
        <v>0</v>
      </c>
      <c r="CS683">
        <v>0</v>
      </c>
      <c r="CT683">
        <v>0</v>
      </c>
      <c r="CU683">
        <v>0</v>
      </c>
      <c r="CW683">
        <v>0</v>
      </c>
      <c r="CX683">
        <v>0</v>
      </c>
      <c r="CY683">
        <v>0</v>
      </c>
      <c r="CZ683">
        <v>0</v>
      </c>
      <c r="DA683">
        <v>2</v>
      </c>
      <c r="DB683">
        <v>0</v>
      </c>
      <c r="DC683" t="s">
        <v>1043</v>
      </c>
      <c r="DF683" t="s">
        <v>1055</v>
      </c>
      <c r="DH683">
        <v>0</v>
      </c>
      <c r="DJ683">
        <v>0</v>
      </c>
      <c r="DK683" t="s">
        <v>1053</v>
      </c>
      <c r="DL683">
        <v>0</v>
      </c>
      <c r="DN683">
        <v>0</v>
      </c>
      <c r="DO683" t="s">
        <v>1042</v>
      </c>
      <c r="DP683">
        <v>0</v>
      </c>
      <c r="DQ683">
        <v>7.6</v>
      </c>
      <c r="DS683">
        <v>0</v>
      </c>
      <c r="DU683">
        <v>1.65</v>
      </c>
      <c r="DW683">
        <v>0</v>
      </c>
      <c r="DX683" t="s">
        <v>1043</v>
      </c>
      <c r="DY683">
        <v>0</v>
      </c>
      <c r="DZ683">
        <v>0</v>
      </c>
      <c r="EA683">
        <v>0</v>
      </c>
      <c r="EB683">
        <v>17897801321447</v>
      </c>
      <c r="ED683" t="s">
        <v>1045</v>
      </c>
      <c r="EE683">
        <v>0</v>
      </c>
      <c r="EF683">
        <v>0</v>
      </c>
      <c r="EK683" t="s">
        <v>1054</v>
      </c>
      <c r="EL683">
        <v>57897801321445</v>
      </c>
      <c r="EN683" t="s">
        <v>1012</v>
      </c>
      <c r="EQ683" t="s">
        <v>1044</v>
      </c>
      <c r="ES683" t="s">
        <v>1053</v>
      </c>
      <c r="ET683">
        <v>0</v>
      </c>
      <c r="EV683">
        <v>0</v>
      </c>
      <c r="EY683" t="s">
        <v>1052</v>
      </c>
      <c r="EZ683">
        <v>0</v>
      </c>
      <c r="FA683" t="s">
        <v>1043</v>
      </c>
      <c r="FB683">
        <v>0</v>
      </c>
      <c r="FC683">
        <v>0</v>
      </c>
      <c r="FD683" t="s">
        <v>1051</v>
      </c>
      <c r="FE683" t="s">
        <v>1050</v>
      </c>
      <c r="FF683">
        <v>0</v>
      </c>
      <c r="FG683" t="s">
        <v>1050</v>
      </c>
      <c r="FH683">
        <v>27897801321444</v>
      </c>
      <c r="FJ683">
        <v>0</v>
      </c>
      <c r="FK683">
        <v>0</v>
      </c>
      <c r="FP683">
        <v>0</v>
      </c>
      <c r="FR683">
        <v>0</v>
      </c>
      <c r="FS683" t="s">
        <v>1043</v>
      </c>
      <c r="FX683" t="s">
        <v>1042</v>
      </c>
      <c r="FZ683" t="s">
        <v>1048</v>
      </c>
      <c r="GA683">
        <v>0</v>
      </c>
      <c r="GB683" t="s">
        <v>1042</v>
      </c>
      <c r="GD683">
        <v>16</v>
      </c>
      <c r="GE683">
        <v>0</v>
      </c>
      <c r="GG683">
        <v>0</v>
      </c>
      <c r="GN683">
        <v>0</v>
      </c>
      <c r="GO683" t="s">
        <v>1049</v>
      </c>
      <c r="GQ683">
        <v>0</v>
      </c>
      <c r="GU683">
        <v>2</v>
      </c>
      <c r="GY683" t="s">
        <v>1045</v>
      </c>
      <c r="HB683">
        <v>0</v>
      </c>
      <c r="HE683">
        <v>10</v>
      </c>
      <c r="HF683">
        <v>15</v>
      </c>
      <c r="HG683">
        <v>0</v>
      </c>
      <c r="HK683" t="s">
        <v>1042</v>
      </c>
      <c r="HL683" t="s">
        <v>1048</v>
      </c>
      <c r="HM683" t="s">
        <v>1047</v>
      </c>
      <c r="HN683">
        <v>0</v>
      </c>
      <c r="HP683">
        <v>1.0499000000000001</v>
      </c>
      <c r="HQ683">
        <v>0</v>
      </c>
      <c r="HR683" t="s">
        <v>1042</v>
      </c>
      <c r="HS683" t="s">
        <v>1043</v>
      </c>
      <c r="HT683">
        <v>0</v>
      </c>
      <c r="HU683">
        <v>0</v>
      </c>
      <c r="HW683">
        <v>0</v>
      </c>
      <c r="HX683">
        <v>0</v>
      </c>
      <c r="HY683">
        <v>0</v>
      </c>
      <c r="HZ683" t="s">
        <v>1045</v>
      </c>
      <c r="IA683">
        <v>0</v>
      </c>
      <c r="IB683" t="s">
        <v>1045</v>
      </c>
      <c r="ID683" t="s">
        <v>1045</v>
      </c>
      <c r="IF683">
        <v>0</v>
      </c>
      <c r="IG683" t="s">
        <v>1042</v>
      </c>
      <c r="IH683" t="s">
        <v>1046</v>
      </c>
      <c r="II683" t="s">
        <v>1042</v>
      </c>
      <c r="IR683" t="s">
        <v>1045</v>
      </c>
      <c r="IT683">
        <v>0</v>
      </c>
      <c r="IY683" t="s">
        <v>1044</v>
      </c>
      <c r="IZ683" t="s">
        <v>1043</v>
      </c>
      <c r="JE683">
        <v>0</v>
      </c>
      <c r="JF683">
        <v>0</v>
      </c>
      <c r="JI683" t="s">
        <v>1042</v>
      </c>
      <c r="JJ683">
        <v>0</v>
      </c>
      <c r="JK683">
        <v>0</v>
      </c>
      <c r="JL683">
        <v>0</v>
      </c>
      <c r="JM683">
        <v>0</v>
      </c>
      <c r="JT683">
        <v>0</v>
      </c>
      <c r="JU683" t="s">
        <v>1042</v>
      </c>
      <c r="JW683">
        <v>0</v>
      </c>
      <c r="KA683">
        <v>0</v>
      </c>
      <c r="KF683">
        <v>0</v>
      </c>
      <c r="KG683">
        <v>0</v>
      </c>
      <c r="KH683">
        <v>0</v>
      </c>
      <c r="KI683">
        <v>0</v>
      </c>
      <c r="KS683" t="s">
        <v>1041</v>
      </c>
      <c r="KT683">
        <v>0</v>
      </c>
      <c r="KU683">
        <v>0</v>
      </c>
      <c r="KV683">
        <v>0</v>
      </c>
      <c r="KX683">
        <v>0</v>
      </c>
      <c r="KZ683">
        <v>0</v>
      </c>
      <c r="LF683">
        <v>0</v>
      </c>
      <c r="LH683">
        <v>0</v>
      </c>
      <c r="LI683">
        <v>0</v>
      </c>
    </row>
    <row r="684" spans="1:321" x14ac:dyDescent="0.35">
      <c r="A684">
        <v>1</v>
      </c>
      <c r="B684" t="s">
        <v>1070</v>
      </c>
      <c r="C684" t="s">
        <v>1069</v>
      </c>
      <c r="D684" t="s">
        <v>1064</v>
      </c>
      <c r="E684" t="s">
        <v>85</v>
      </c>
      <c r="F684">
        <v>1</v>
      </c>
      <c r="G684">
        <v>8890</v>
      </c>
      <c r="H684">
        <v>0</v>
      </c>
      <c r="I684" t="s">
        <v>994</v>
      </c>
      <c r="L684">
        <v>0</v>
      </c>
      <c r="M684">
        <v>0</v>
      </c>
      <c r="N684">
        <v>0</v>
      </c>
      <c r="P684">
        <v>13</v>
      </c>
      <c r="Q684">
        <v>516</v>
      </c>
      <c r="R684">
        <v>0</v>
      </c>
      <c r="S684">
        <v>0</v>
      </c>
      <c r="W684" t="s">
        <v>1060</v>
      </c>
      <c r="X684">
        <v>0</v>
      </c>
      <c r="Z684">
        <v>1</v>
      </c>
      <c r="AA684">
        <v>0</v>
      </c>
      <c r="AB684">
        <v>0</v>
      </c>
      <c r="AC684">
        <v>0</v>
      </c>
      <c r="AD684" t="s">
        <v>1042</v>
      </c>
      <c r="AE684">
        <v>0</v>
      </c>
      <c r="AF684">
        <v>0</v>
      </c>
      <c r="AH684">
        <v>0</v>
      </c>
      <c r="AJ684">
        <v>0</v>
      </c>
      <c r="AL684">
        <v>145800</v>
      </c>
      <c r="AM684">
        <v>24</v>
      </c>
      <c r="AN684">
        <v>11501001</v>
      </c>
      <c r="AO684">
        <v>0</v>
      </c>
      <c r="AP684">
        <v>2720</v>
      </c>
      <c r="AT684">
        <v>1</v>
      </c>
      <c r="AU684" t="s">
        <v>1059</v>
      </c>
      <c r="AW684" t="s">
        <v>1053</v>
      </c>
      <c r="AX684">
        <v>5</v>
      </c>
      <c r="AY684" s="20">
        <v>43868</v>
      </c>
      <c r="BA684" s="20">
        <v>43868</v>
      </c>
      <c r="BB684" t="s">
        <v>1058</v>
      </c>
      <c r="BD684">
        <v>0</v>
      </c>
      <c r="BF684" t="s">
        <v>1044</v>
      </c>
      <c r="BG684" t="s">
        <v>1042</v>
      </c>
      <c r="BH684">
        <v>0</v>
      </c>
      <c r="BI684">
        <v>21</v>
      </c>
      <c r="BJ684">
        <v>0</v>
      </c>
      <c r="BK684">
        <v>0</v>
      </c>
      <c r="BM684" t="s">
        <v>1042</v>
      </c>
      <c r="BN684">
        <v>0</v>
      </c>
      <c r="BR684" t="s">
        <v>1043</v>
      </c>
      <c r="BS684" t="s">
        <v>1043</v>
      </c>
      <c r="BT684" t="s">
        <v>1043</v>
      </c>
      <c r="BV684">
        <v>1</v>
      </c>
      <c r="BW684">
        <v>2</v>
      </c>
      <c r="CA684">
        <v>0</v>
      </c>
      <c r="CB684" t="s">
        <v>1057</v>
      </c>
      <c r="CE684" t="s">
        <v>1043</v>
      </c>
      <c r="CH684" t="s">
        <v>1043</v>
      </c>
      <c r="CN684" t="s">
        <v>1056</v>
      </c>
      <c r="CO684" t="s">
        <v>1043</v>
      </c>
      <c r="CP684">
        <v>1</v>
      </c>
      <c r="CQ684">
        <v>0</v>
      </c>
      <c r="CS684">
        <v>0</v>
      </c>
      <c r="CT684">
        <v>0</v>
      </c>
      <c r="CU684">
        <v>0</v>
      </c>
      <c r="CW684">
        <v>0</v>
      </c>
      <c r="CX684">
        <v>0</v>
      </c>
      <c r="CY684">
        <v>0</v>
      </c>
      <c r="CZ684">
        <v>0</v>
      </c>
      <c r="DB684">
        <v>0</v>
      </c>
      <c r="DC684" t="s">
        <v>1043</v>
      </c>
      <c r="DF684" t="s">
        <v>1055</v>
      </c>
      <c r="DH684">
        <v>0</v>
      </c>
      <c r="DJ684">
        <v>0</v>
      </c>
      <c r="DK684" t="s">
        <v>1053</v>
      </c>
      <c r="DL684">
        <v>0</v>
      </c>
      <c r="DN684">
        <v>0</v>
      </c>
      <c r="DO684" t="s">
        <v>1042</v>
      </c>
      <c r="DP684">
        <v>0</v>
      </c>
      <c r="DQ684">
        <v>7.6</v>
      </c>
      <c r="DS684">
        <v>0</v>
      </c>
      <c r="DU684">
        <v>1.65</v>
      </c>
      <c r="DW684">
        <v>0</v>
      </c>
      <c r="DX684" t="s">
        <v>1043</v>
      </c>
      <c r="DY684">
        <v>0</v>
      </c>
      <c r="DZ684">
        <v>0</v>
      </c>
      <c r="EA684">
        <v>0</v>
      </c>
      <c r="ED684" t="s">
        <v>1045</v>
      </c>
      <c r="EE684">
        <v>0</v>
      </c>
      <c r="EF684">
        <v>0</v>
      </c>
      <c r="EK684" t="s">
        <v>1054</v>
      </c>
      <c r="EN684" t="s">
        <v>1012</v>
      </c>
      <c r="EQ684" t="s">
        <v>1044</v>
      </c>
      <c r="ES684" t="s">
        <v>1053</v>
      </c>
      <c r="ET684">
        <v>0</v>
      </c>
      <c r="EV684">
        <v>0</v>
      </c>
      <c r="EY684" t="s">
        <v>1052</v>
      </c>
      <c r="EZ684">
        <v>0</v>
      </c>
      <c r="FA684" t="s">
        <v>1043</v>
      </c>
      <c r="FB684">
        <v>0</v>
      </c>
      <c r="FC684">
        <v>0</v>
      </c>
      <c r="FD684" t="s">
        <v>1051</v>
      </c>
      <c r="FE684" t="s">
        <v>1050</v>
      </c>
      <c r="FF684">
        <v>0</v>
      </c>
      <c r="FG684" t="s">
        <v>1050</v>
      </c>
      <c r="FJ684">
        <v>0</v>
      </c>
      <c r="FK684">
        <v>0</v>
      </c>
      <c r="FP684">
        <v>0</v>
      </c>
      <c r="FR684">
        <v>0</v>
      </c>
      <c r="FS684" t="s">
        <v>1043</v>
      </c>
      <c r="FX684" t="s">
        <v>1042</v>
      </c>
      <c r="FZ684" t="s">
        <v>1048</v>
      </c>
      <c r="GA684">
        <v>0</v>
      </c>
      <c r="GB684" t="s">
        <v>1042</v>
      </c>
      <c r="GD684">
        <v>16</v>
      </c>
      <c r="GE684">
        <v>0</v>
      </c>
      <c r="GG684">
        <v>0</v>
      </c>
      <c r="GN684">
        <v>0</v>
      </c>
      <c r="GO684" t="s">
        <v>1063</v>
      </c>
      <c r="GQ684">
        <v>0</v>
      </c>
      <c r="GU684">
        <v>2</v>
      </c>
      <c r="GY684" t="s">
        <v>1045</v>
      </c>
      <c r="HB684">
        <v>0</v>
      </c>
      <c r="HE684">
        <v>10</v>
      </c>
      <c r="HF684">
        <v>15</v>
      </c>
      <c r="HG684">
        <v>0</v>
      </c>
      <c r="HK684" t="s">
        <v>1042</v>
      </c>
      <c r="HL684" t="s">
        <v>1048</v>
      </c>
      <c r="HM684" t="s">
        <v>1047</v>
      </c>
      <c r="HN684">
        <v>0</v>
      </c>
      <c r="HP684">
        <v>0</v>
      </c>
      <c r="HQ684">
        <v>0</v>
      </c>
      <c r="HR684" t="s">
        <v>1042</v>
      </c>
      <c r="HS684" t="s">
        <v>1043</v>
      </c>
      <c r="HT684">
        <v>0</v>
      </c>
      <c r="HU684">
        <v>0</v>
      </c>
      <c r="HW684">
        <v>0</v>
      </c>
      <c r="HX684">
        <v>0</v>
      </c>
      <c r="HY684">
        <v>0</v>
      </c>
      <c r="HZ684" t="s">
        <v>1045</v>
      </c>
      <c r="IA684">
        <v>0</v>
      </c>
      <c r="IB684" t="s">
        <v>1045</v>
      </c>
      <c r="ID684" t="s">
        <v>1045</v>
      </c>
      <c r="IF684">
        <v>0</v>
      </c>
      <c r="IG684" t="s">
        <v>1042</v>
      </c>
      <c r="IH684" t="s">
        <v>1046</v>
      </c>
      <c r="II684" t="s">
        <v>1042</v>
      </c>
      <c r="IR684" t="s">
        <v>1045</v>
      </c>
      <c r="IT684">
        <v>0</v>
      </c>
      <c r="IY684" t="s">
        <v>1044</v>
      </c>
      <c r="IZ684" t="s">
        <v>1043</v>
      </c>
      <c r="JE684">
        <v>0</v>
      </c>
      <c r="JF684">
        <v>0</v>
      </c>
      <c r="JI684" t="s">
        <v>1042</v>
      </c>
      <c r="JJ684">
        <v>0</v>
      </c>
      <c r="JK684">
        <v>0</v>
      </c>
      <c r="JL684">
        <v>0</v>
      </c>
      <c r="JM684">
        <v>0</v>
      </c>
      <c r="JT684">
        <v>0</v>
      </c>
      <c r="JU684" t="s">
        <v>1042</v>
      </c>
      <c r="JW684">
        <v>0</v>
      </c>
      <c r="KA684">
        <v>0</v>
      </c>
      <c r="KF684">
        <v>0</v>
      </c>
      <c r="KG684">
        <v>0</v>
      </c>
      <c r="KH684">
        <v>0</v>
      </c>
      <c r="KI684">
        <v>0</v>
      </c>
      <c r="KS684" t="s">
        <v>1041</v>
      </c>
      <c r="KT684">
        <v>0</v>
      </c>
      <c r="KU684">
        <v>0</v>
      </c>
      <c r="KV684">
        <v>0</v>
      </c>
      <c r="KX684">
        <v>0</v>
      </c>
      <c r="KZ684">
        <v>0</v>
      </c>
      <c r="LF684">
        <v>0</v>
      </c>
      <c r="LH684">
        <v>0</v>
      </c>
      <c r="LI684">
        <v>0</v>
      </c>
    </row>
    <row r="685" spans="1:321" x14ac:dyDescent="0.35">
      <c r="A685">
        <v>1</v>
      </c>
      <c r="B685">
        <v>1488</v>
      </c>
      <c r="C685" t="s">
        <v>1033</v>
      </c>
      <c r="D685" t="s">
        <v>1061</v>
      </c>
      <c r="E685" t="s">
        <v>85</v>
      </c>
      <c r="F685">
        <v>1</v>
      </c>
      <c r="G685">
        <v>8890</v>
      </c>
      <c r="H685">
        <v>0</v>
      </c>
      <c r="I685" t="s">
        <v>994</v>
      </c>
      <c r="L685">
        <v>0</v>
      </c>
      <c r="M685">
        <v>0</v>
      </c>
      <c r="N685">
        <v>0</v>
      </c>
      <c r="P685">
        <v>13</v>
      </c>
      <c r="Q685">
        <v>516</v>
      </c>
      <c r="R685">
        <v>0</v>
      </c>
      <c r="S685">
        <v>0</v>
      </c>
      <c r="W685" t="s">
        <v>1060</v>
      </c>
      <c r="X685">
        <v>0</v>
      </c>
      <c r="Z685">
        <v>1</v>
      </c>
      <c r="AA685">
        <v>0</v>
      </c>
      <c r="AB685">
        <v>0</v>
      </c>
      <c r="AC685">
        <v>0</v>
      </c>
      <c r="AD685" t="s">
        <v>1042</v>
      </c>
      <c r="AE685">
        <v>0</v>
      </c>
      <c r="AF685">
        <v>0</v>
      </c>
      <c r="AH685">
        <v>0</v>
      </c>
      <c r="AJ685">
        <v>0</v>
      </c>
      <c r="AL685">
        <v>145800</v>
      </c>
      <c r="AM685">
        <v>180</v>
      </c>
      <c r="AN685">
        <v>11501001</v>
      </c>
      <c r="AO685">
        <v>0</v>
      </c>
      <c r="AP685">
        <v>1002</v>
      </c>
      <c r="AT685">
        <v>1</v>
      </c>
      <c r="AU685" t="s">
        <v>1059</v>
      </c>
      <c r="AW685" t="s">
        <v>1053</v>
      </c>
      <c r="AX685">
        <v>0</v>
      </c>
      <c r="AY685" s="20">
        <v>43522</v>
      </c>
      <c r="BA685" s="20">
        <v>44708</v>
      </c>
      <c r="BB685" t="s">
        <v>1058</v>
      </c>
      <c r="BD685">
        <v>0</v>
      </c>
      <c r="BF685" t="s">
        <v>1044</v>
      </c>
      <c r="BG685" t="s">
        <v>1042</v>
      </c>
      <c r="BH685">
        <v>0</v>
      </c>
      <c r="BI685">
        <v>21</v>
      </c>
      <c r="BJ685">
        <v>0</v>
      </c>
      <c r="BK685">
        <v>0</v>
      </c>
      <c r="BM685" t="s">
        <v>1042</v>
      </c>
      <c r="BN685">
        <v>0</v>
      </c>
      <c r="BO685">
        <v>7897801321464</v>
      </c>
      <c r="BR685" t="s">
        <v>1043</v>
      </c>
      <c r="BS685" t="s">
        <v>1043</v>
      </c>
      <c r="BT685" t="s">
        <v>1043</v>
      </c>
      <c r="BV685">
        <v>1</v>
      </c>
      <c r="BW685">
        <v>2</v>
      </c>
      <c r="CA685">
        <v>0</v>
      </c>
      <c r="CB685" t="s">
        <v>1057</v>
      </c>
      <c r="CE685" t="s">
        <v>1043</v>
      </c>
      <c r="CH685" t="s">
        <v>1043</v>
      </c>
      <c r="CN685" t="s">
        <v>1056</v>
      </c>
      <c r="CO685" t="s">
        <v>1043</v>
      </c>
      <c r="CP685">
        <v>1</v>
      </c>
      <c r="CQ685">
        <v>0</v>
      </c>
      <c r="CS685">
        <v>0</v>
      </c>
      <c r="CT685">
        <v>0</v>
      </c>
      <c r="CU685">
        <v>0</v>
      </c>
      <c r="CW685">
        <v>0</v>
      </c>
      <c r="CX685">
        <v>0</v>
      </c>
      <c r="CY685">
        <v>0</v>
      </c>
      <c r="CZ685">
        <v>0</v>
      </c>
      <c r="DA685">
        <v>2</v>
      </c>
      <c r="DB685">
        <v>0</v>
      </c>
      <c r="DC685" t="s">
        <v>1043</v>
      </c>
      <c r="DF685" t="s">
        <v>1055</v>
      </c>
      <c r="DH685">
        <v>0</v>
      </c>
      <c r="DJ685">
        <v>0</v>
      </c>
      <c r="DK685" t="s">
        <v>1053</v>
      </c>
      <c r="DL685">
        <v>0</v>
      </c>
      <c r="DN685">
        <v>0</v>
      </c>
      <c r="DO685" t="s">
        <v>1042</v>
      </c>
      <c r="DP685">
        <v>0</v>
      </c>
      <c r="DQ685">
        <v>7.6</v>
      </c>
      <c r="DS685">
        <v>0</v>
      </c>
      <c r="DU685">
        <v>1.65</v>
      </c>
      <c r="DW685">
        <v>0</v>
      </c>
      <c r="DX685" t="s">
        <v>1043</v>
      </c>
      <c r="DY685">
        <v>0</v>
      </c>
      <c r="DZ685">
        <v>0</v>
      </c>
      <c r="EA685">
        <v>0</v>
      </c>
      <c r="EB685">
        <v>17897801321461</v>
      </c>
      <c r="ED685" t="s">
        <v>1045</v>
      </c>
      <c r="EE685">
        <v>0</v>
      </c>
      <c r="EF685">
        <v>0</v>
      </c>
      <c r="EK685" t="s">
        <v>1054</v>
      </c>
      <c r="EL685">
        <v>57897801321469</v>
      </c>
      <c r="EN685" t="s">
        <v>1012</v>
      </c>
      <c r="EQ685" t="s">
        <v>1044</v>
      </c>
      <c r="ES685" t="s">
        <v>1053</v>
      </c>
      <c r="ET685">
        <v>0</v>
      </c>
      <c r="EV685">
        <v>0</v>
      </c>
      <c r="EY685" t="s">
        <v>1052</v>
      </c>
      <c r="EZ685">
        <v>0</v>
      </c>
      <c r="FA685" t="s">
        <v>1043</v>
      </c>
      <c r="FB685">
        <v>0</v>
      </c>
      <c r="FC685">
        <v>0</v>
      </c>
      <c r="FD685" t="s">
        <v>1051</v>
      </c>
      <c r="FE685" t="s">
        <v>1050</v>
      </c>
      <c r="FF685">
        <v>0</v>
      </c>
      <c r="FG685" t="s">
        <v>1050</v>
      </c>
      <c r="FH685">
        <v>27897801321468</v>
      </c>
      <c r="FJ685">
        <v>0</v>
      </c>
      <c r="FK685">
        <v>0</v>
      </c>
      <c r="FP685">
        <v>0</v>
      </c>
      <c r="FR685">
        <v>0</v>
      </c>
      <c r="FS685" t="s">
        <v>1043</v>
      </c>
      <c r="FX685" t="s">
        <v>1042</v>
      </c>
      <c r="FZ685" t="s">
        <v>1048</v>
      </c>
      <c r="GA685">
        <v>0</v>
      </c>
      <c r="GB685" t="s">
        <v>1042</v>
      </c>
      <c r="GD685">
        <v>16</v>
      </c>
      <c r="GE685">
        <v>0</v>
      </c>
      <c r="GG685">
        <v>0</v>
      </c>
      <c r="GN685">
        <v>0</v>
      </c>
      <c r="GO685" t="s">
        <v>1049</v>
      </c>
      <c r="GQ685">
        <v>0</v>
      </c>
      <c r="GU685">
        <v>2</v>
      </c>
      <c r="GY685" t="s">
        <v>1045</v>
      </c>
      <c r="HB685">
        <v>0</v>
      </c>
      <c r="HE685">
        <v>10</v>
      </c>
      <c r="HF685">
        <v>15</v>
      </c>
      <c r="HG685">
        <v>0</v>
      </c>
      <c r="HK685" t="s">
        <v>1042</v>
      </c>
      <c r="HL685" t="s">
        <v>1048</v>
      </c>
      <c r="HM685" t="s">
        <v>1047</v>
      </c>
      <c r="HN685">
        <v>0</v>
      </c>
      <c r="HP685">
        <v>0.91469999999999996</v>
      </c>
      <c r="HQ685">
        <v>0</v>
      </c>
      <c r="HR685" t="s">
        <v>1042</v>
      </c>
      <c r="HS685" t="s">
        <v>1043</v>
      </c>
      <c r="HT685">
        <v>0</v>
      </c>
      <c r="HU685">
        <v>0</v>
      </c>
      <c r="HW685">
        <v>0</v>
      </c>
      <c r="HX685">
        <v>0</v>
      </c>
      <c r="HY685">
        <v>0</v>
      </c>
      <c r="HZ685" t="s">
        <v>1045</v>
      </c>
      <c r="IA685">
        <v>0</v>
      </c>
      <c r="IB685" t="s">
        <v>1045</v>
      </c>
      <c r="ID685" t="s">
        <v>1045</v>
      </c>
      <c r="IF685">
        <v>0</v>
      </c>
      <c r="IG685" t="s">
        <v>1042</v>
      </c>
      <c r="IH685" t="s">
        <v>1046</v>
      </c>
      <c r="II685" t="s">
        <v>1042</v>
      </c>
      <c r="IR685" t="s">
        <v>1045</v>
      </c>
      <c r="IT685">
        <v>0</v>
      </c>
      <c r="IY685" t="s">
        <v>1044</v>
      </c>
      <c r="IZ685" t="s">
        <v>1043</v>
      </c>
      <c r="JE685">
        <v>0</v>
      </c>
      <c r="JF685">
        <v>0</v>
      </c>
      <c r="JI685" t="s">
        <v>1042</v>
      </c>
      <c r="JJ685">
        <v>0</v>
      </c>
      <c r="JK685">
        <v>0</v>
      </c>
      <c r="JL685">
        <v>0</v>
      </c>
      <c r="JM685">
        <v>0</v>
      </c>
      <c r="JT685">
        <v>0</v>
      </c>
      <c r="JU685" t="s">
        <v>1042</v>
      </c>
      <c r="JW685">
        <v>0</v>
      </c>
      <c r="KA685">
        <v>0</v>
      </c>
      <c r="KF685">
        <v>0</v>
      </c>
      <c r="KG685">
        <v>0</v>
      </c>
      <c r="KH685">
        <v>0</v>
      </c>
      <c r="KI685">
        <v>0</v>
      </c>
      <c r="KS685" t="s">
        <v>1041</v>
      </c>
      <c r="KT685">
        <v>0</v>
      </c>
      <c r="KU685">
        <v>0</v>
      </c>
      <c r="KV685">
        <v>0</v>
      </c>
      <c r="KX685">
        <v>0</v>
      </c>
      <c r="KZ685">
        <v>0</v>
      </c>
      <c r="LF685">
        <v>0</v>
      </c>
      <c r="LH685">
        <v>7056</v>
      </c>
      <c r="LI685">
        <v>0</v>
      </c>
    </row>
    <row r="686" spans="1:321" x14ac:dyDescent="0.35">
      <c r="A686">
        <v>1</v>
      </c>
      <c r="B686" t="s">
        <v>1068</v>
      </c>
      <c r="C686" t="s">
        <v>1067</v>
      </c>
      <c r="D686" t="s">
        <v>1064</v>
      </c>
      <c r="E686" t="s">
        <v>85</v>
      </c>
      <c r="F686">
        <v>1</v>
      </c>
      <c r="G686">
        <v>8890</v>
      </c>
      <c r="H686">
        <v>0</v>
      </c>
      <c r="I686" t="s">
        <v>994</v>
      </c>
      <c r="L686">
        <v>0</v>
      </c>
      <c r="M686">
        <v>0</v>
      </c>
      <c r="N686">
        <v>0</v>
      </c>
      <c r="P686">
        <v>13</v>
      </c>
      <c r="Q686">
        <v>516</v>
      </c>
      <c r="R686">
        <v>0</v>
      </c>
      <c r="S686">
        <v>0</v>
      </c>
      <c r="W686" t="s">
        <v>1060</v>
      </c>
      <c r="X686">
        <v>0</v>
      </c>
      <c r="Z686">
        <v>1</v>
      </c>
      <c r="AA686">
        <v>0</v>
      </c>
      <c r="AB686">
        <v>0</v>
      </c>
      <c r="AC686">
        <v>0</v>
      </c>
      <c r="AD686" t="s">
        <v>1042</v>
      </c>
      <c r="AE686">
        <v>0</v>
      </c>
      <c r="AF686">
        <v>0</v>
      </c>
      <c r="AH686">
        <v>0</v>
      </c>
      <c r="AJ686">
        <v>0</v>
      </c>
      <c r="AL686">
        <v>145800</v>
      </c>
      <c r="AM686">
        <v>24</v>
      </c>
      <c r="AN686">
        <v>11501001</v>
      </c>
      <c r="AO686">
        <v>0</v>
      </c>
      <c r="AP686">
        <v>2720</v>
      </c>
      <c r="AT686">
        <v>1</v>
      </c>
      <c r="AU686" t="s">
        <v>1059</v>
      </c>
      <c r="AW686" t="s">
        <v>1053</v>
      </c>
      <c r="AX686">
        <v>5</v>
      </c>
      <c r="AY686" s="20">
        <v>43868</v>
      </c>
      <c r="BA686" s="20">
        <v>43868</v>
      </c>
      <c r="BB686" t="s">
        <v>1058</v>
      </c>
      <c r="BD686">
        <v>0</v>
      </c>
      <c r="BF686" t="s">
        <v>1044</v>
      </c>
      <c r="BG686" t="s">
        <v>1042</v>
      </c>
      <c r="BH686">
        <v>0</v>
      </c>
      <c r="BI686">
        <v>21</v>
      </c>
      <c r="BJ686">
        <v>0</v>
      </c>
      <c r="BK686">
        <v>0</v>
      </c>
      <c r="BM686" t="s">
        <v>1042</v>
      </c>
      <c r="BN686">
        <v>0</v>
      </c>
      <c r="BR686" t="s">
        <v>1043</v>
      </c>
      <c r="BS686" t="s">
        <v>1043</v>
      </c>
      <c r="BT686" t="s">
        <v>1043</v>
      </c>
      <c r="BV686">
        <v>1</v>
      </c>
      <c r="BW686">
        <v>2</v>
      </c>
      <c r="CA686">
        <v>0</v>
      </c>
      <c r="CB686" t="s">
        <v>1057</v>
      </c>
      <c r="CE686" t="s">
        <v>1043</v>
      </c>
      <c r="CH686" t="s">
        <v>1043</v>
      </c>
      <c r="CN686" t="s">
        <v>1056</v>
      </c>
      <c r="CO686" t="s">
        <v>1043</v>
      </c>
      <c r="CP686">
        <v>1</v>
      </c>
      <c r="CQ686">
        <v>0</v>
      </c>
      <c r="CS686">
        <v>0</v>
      </c>
      <c r="CT686">
        <v>0</v>
      </c>
      <c r="CU686">
        <v>0</v>
      </c>
      <c r="CW686">
        <v>0</v>
      </c>
      <c r="CX686">
        <v>0</v>
      </c>
      <c r="CY686">
        <v>0</v>
      </c>
      <c r="CZ686">
        <v>0</v>
      </c>
      <c r="DB686">
        <v>0</v>
      </c>
      <c r="DC686" t="s">
        <v>1043</v>
      </c>
      <c r="DF686" t="s">
        <v>1055</v>
      </c>
      <c r="DH686">
        <v>0</v>
      </c>
      <c r="DJ686">
        <v>0</v>
      </c>
      <c r="DK686" t="s">
        <v>1053</v>
      </c>
      <c r="DL686">
        <v>0</v>
      </c>
      <c r="DN686">
        <v>0</v>
      </c>
      <c r="DO686" t="s">
        <v>1042</v>
      </c>
      <c r="DP686">
        <v>0</v>
      </c>
      <c r="DQ686">
        <v>7.6</v>
      </c>
      <c r="DS686">
        <v>0</v>
      </c>
      <c r="DU686">
        <v>1.65</v>
      </c>
      <c r="DW686">
        <v>0</v>
      </c>
      <c r="DX686" t="s">
        <v>1043</v>
      </c>
      <c r="DY686">
        <v>0</v>
      </c>
      <c r="DZ686">
        <v>0</v>
      </c>
      <c r="EA686">
        <v>0</v>
      </c>
      <c r="ED686" t="s">
        <v>1045</v>
      </c>
      <c r="EE686">
        <v>0</v>
      </c>
      <c r="EF686">
        <v>0</v>
      </c>
      <c r="EK686" t="s">
        <v>1054</v>
      </c>
      <c r="EN686" t="s">
        <v>1012</v>
      </c>
      <c r="EQ686" t="s">
        <v>1044</v>
      </c>
      <c r="ES686" t="s">
        <v>1053</v>
      </c>
      <c r="ET686">
        <v>0</v>
      </c>
      <c r="EV686">
        <v>0</v>
      </c>
      <c r="EY686" t="s">
        <v>1052</v>
      </c>
      <c r="EZ686">
        <v>0</v>
      </c>
      <c r="FA686" t="s">
        <v>1043</v>
      </c>
      <c r="FB686">
        <v>0</v>
      </c>
      <c r="FC686">
        <v>0</v>
      </c>
      <c r="FD686" t="s">
        <v>1051</v>
      </c>
      <c r="FE686" t="s">
        <v>1050</v>
      </c>
      <c r="FF686">
        <v>0</v>
      </c>
      <c r="FG686" t="s">
        <v>1050</v>
      </c>
      <c r="FJ686">
        <v>0</v>
      </c>
      <c r="FK686">
        <v>0</v>
      </c>
      <c r="FP686">
        <v>0</v>
      </c>
      <c r="FR686">
        <v>0</v>
      </c>
      <c r="FS686" t="s">
        <v>1043</v>
      </c>
      <c r="FX686" t="s">
        <v>1042</v>
      </c>
      <c r="FZ686" t="s">
        <v>1048</v>
      </c>
      <c r="GA686">
        <v>0</v>
      </c>
      <c r="GB686" t="s">
        <v>1042</v>
      </c>
      <c r="GD686">
        <v>16</v>
      </c>
      <c r="GE686">
        <v>0</v>
      </c>
      <c r="GG686">
        <v>0</v>
      </c>
      <c r="GN686">
        <v>0</v>
      </c>
      <c r="GO686" t="s">
        <v>1063</v>
      </c>
      <c r="GQ686">
        <v>0</v>
      </c>
      <c r="GU686">
        <v>2</v>
      </c>
      <c r="GY686" t="s">
        <v>1045</v>
      </c>
      <c r="HB686">
        <v>0</v>
      </c>
      <c r="HE686">
        <v>10</v>
      </c>
      <c r="HF686">
        <v>15</v>
      </c>
      <c r="HG686">
        <v>0</v>
      </c>
      <c r="HK686" t="s">
        <v>1042</v>
      </c>
      <c r="HL686" t="s">
        <v>1048</v>
      </c>
      <c r="HM686" t="s">
        <v>1047</v>
      </c>
      <c r="HN686">
        <v>0</v>
      </c>
      <c r="HP686">
        <v>0</v>
      </c>
      <c r="HQ686">
        <v>0</v>
      </c>
      <c r="HR686" t="s">
        <v>1042</v>
      </c>
      <c r="HS686" t="s">
        <v>1043</v>
      </c>
      <c r="HT686">
        <v>0</v>
      </c>
      <c r="HU686">
        <v>0</v>
      </c>
      <c r="HW686">
        <v>0</v>
      </c>
      <c r="HX686">
        <v>0</v>
      </c>
      <c r="HY686">
        <v>0</v>
      </c>
      <c r="HZ686" t="s">
        <v>1045</v>
      </c>
      <c r="IA686">
        <v>0</v>
      </c>
      <c r="IB686" t="s">
        <v>1045</v>
      </c>
      <c r="ID686" t="s">
        <v>1045</v>
      </c>
      <c r="IF686">
        <v>0</v>
      </c>
      <c r="IG686" t="s">
        <v>1042</v>
      </c>
      <c r="IH686" t="s">
        <v>1046</v>
      </c>
      <c r="II686" t="s">
        <v>1042</v>
      </c>
      <c r="IR686" t="s">
        <v>1045</v>
      </c>
      <c r="IT686">
        <v>0</v>
      </c>
      <c r="IY686" t="s">
        <v>1044</v>
      </c>
      <c r="IZ686" t="s">
        <v>1043</v>
      </c>
      <c r="JE686">
        <v>0</v>
      </c>
      <c r="JF686">
        <v>0</v>
      </c>
      <c r="JI686" t="s">
        <v>1042</v>
      </c>
      <c r="JJ686">
        <v>0</v>
      </c>
      <c r="JK686">
        <v>0</v>
      </c>
      <c r="JL686">
        <v>0</v>
      </c>
      <c r="JM686">
        <v>0</v>
      </c>
      <c r="JT686">
        <v>0</v>
      </c>
      <c r="JU686" t="s">
        <v>1042</v>
      </c>
      <c r="JW686">
        <v>0</v>
      </c>
      <c r="KA686">
        <v>0</v>
      </c>
      <c r="KF686">
        <v>0</v>
      </c>
      <c r="KG686">
        <v>0</v>
      </c>
      <c r="KH686">
        <v>0</v>
      </c>
      <c r="KI686">
        <v>0</v>
      </c>
      <c r="KS686" t="s">
        <v>1041</v>
      </c>
      <c r="KT686">
        <v>0</v>
      </c>
      <c r="KU686">
        <v>0</v>
      </c>
      <c r="KV686">
        <v>0</v>
      </c>
      <c r="KX686">
        <v>0</v>
      </c>
      <c r="KZ686">
        <v>0</v>
      </c>
      <c r="LF686">
        <v>0</v>
      </c>
      <c r="LH686">
        <v>0</v>
      </c>
      <c r="LI686">
        <v>0</v>
      </c>
    </row>
    <row r="687" spans="1:321" x14ac:dyDescent="0.35">
      <c r="A687">
        <v>1</v>
      </c>
      <c r="B687">
        <v>1489</v>
      </c>
      <c r="C687" t="s">
        <v>1034</v>
      </c>
      <c r="D687" t="s">
        <v>1061</v>
      </c>
      <c r="E687" t="s">
        <v>85</v>
      </c>
      <c r="F687">
        <v>1</v>
      </c>
      <c r="G687">
        <v>8890</v>
      </c>
      <c r="H687">
        <v>0</v>
      </c>
      <c r="I687" t="s">
        <v>994</v>
      </c>
      <c r="L687">
        <v>0</v>
      </c>
      <c r="M687">
        <v>0</v>
      </c>
      <c r="N687">
        <v>0</v>
      </c>
      <c r="P687">
        <v>13</v>
      </c>
      <c r="Q687">
        <v>516</v>
      </c>
      <c r="R687">
        <v>0</v>
      </c>
      <c r="S687">
        <v>0</v>
      </c>
      <c r="W687" t="s">
        <v>1060</v>
      </c>
      <c r="X687">
        <v>0</v>
      </c>
      <c r="Z687">
        <v>1</v>
      </c>
      <c r="AA687">
        <v>0</v>
      </c>
      <c r="AB687">
        <v>0</v>
      </c>
      <c r="AC687">
        <v>0</v>
      </c>
      <c r="AD687" t="s">
        <v>1042</v>
      </c>
      <c r="AE687">
        <v>0</v>
      </c>
      <c r="AF687">
        <v>0</v>
      </c>
      <c r="AH687">
        <v>0</v>
      </c>
      <c r="AJ687">
        <v>0</v>
      </c>
      <c r="AL687">
        <v>145800</v>
      </c>
      <c r="AM687">
        <v>160</v>
      </c>
      <c r="AN687">
        <v>11501001</v>
      </c>
      <c r="AO687">
        <v>0</v>
      </c>
      <c r="AP687">
        <v>1002</v>
      </c>
      <c r="AT687">
        <v>1</v>
      </c>
      <c r="AU687" t="s">
        <v>1059</v>
      </c>
      <c r="AW687" t="s">
        <v>1053</v>
      </c>
      <c r="AX687">
        <v>0</v>
      </c>
      <c r="AY687" s="20">
        <v>43522</v>
      </c>
      <c r="BA687" s="20">
        <v>44708</v>
      </c>
      <c r="BB687" t="s">
        <v>1058</v>
      </c>
      <c r="BD687">
        <v>0</v>
      </c>
      <c r="BF687" t="s">
        <v>1044</v>
      </c>
      <c r="BG687" t="s">
        <v>1042</v>
      </c>
      <c r="BH687">
        <v>0</v>
      </c>
      <c r="BI687">
        <v>21</v>
      </c>
      <c r="BJ687">
        <v>0</v>
      </c>
      <c r="BK687">
        <v>0</v>
      </c>
      <c r="BM687" t="s">
        <v>1042</v>
      </c>
      <c r="BN687">
        <v>0</v>
      </c>
      <c r="BO687">
        <v>7897801321457</v>
      </c>
      <c r="BR687" t="s">
        <v>1043</v>
      </c>
      <c r="BS687" t="s">
        <v>1043</v>
      </c>
      <c r="BT687" t="s">
        <v>1043</v>
      </c>
      <c r="BV687">
        <v>1</v>
      </c>
      <c r="BW687">
        <v>2</v>
      </c>
      <c r="CA687">
        <v>0</v>
      </c>
      <c r="CB687" t="s">
        <v>1057</v>
      </c>
      <c r="CE687" t="s">
        <v>1043</v>
      </c>
      <c r="CH687" t="s">
        <v>1043</v>
      </c>
      <c r="CN687" t="s">
        <v>1056</v>
      </c>
      <c r="CO687" t="s">
        <v>1043</v>
      </c>
      <c r="CP687">
        <v>1</v>
      </c>
      <c r="CQ687">
        <v>0</v>
      </c>
      <c r="CS687">
        <v>0</v>
      </c>
      <c r="CT687">
        <v>0</v>
      </c>
      <c r="CU687">
        <v>0</v>
      </c>
      <c r="CW687">
        <v>0</v>
      </c>
      <c r="CX687">
        <v>0</v>
      </c>
      <c r="CY687">
        <v>0</v>
      </c>
      <c r="CZ687">
        <v>0</v>
      </c>
      <c r="DA687">
        <v>2</v>
      </c>
      <c r="DB687">
        <v>0</v>
      </c>
      <c r="DC687" t="s">
        <v>1043</v>
      </c>
      <c r="DF687" t="s">
        <v>1055</v>
      </c>
      <c r="DH687">
        <v>0</v>
      </c>
      <c r="DJ687">
        <v>0</v>
      </c>
      <c r="DK687" t="s">
        <v>1053</v>
      </c>
      <c r="DL687">
        <v>0</v>
      </c>
      <c r="DN687">
        <v>0</v>
      </c>
      <c r="DO687" t="s">
        <v>1042</v>
      </c>
      <c r="DP687">
        <v>0</v>
      </c>
      <c r="DQ687">
        <v>7.6</v>
      </c>
      <c r="DS687">
        <v>0</v>
      </c>
      <c r="DU687">
        <v>1.65</v>
      </c>
      <c r="DW687">
        <v>0</v>
      </c>
      <c r="DX687" t="s">
        <v>1043</v>
      </c>
      <c r="DY687">
        <v>0</v>
      </c>
      <c r="DZ687">
        <v>0</v>
      </c>
      <c r="EA687">
        <v>0</v>
      </c>
      <c r="EB687">
        <v>17897801321454</v>
      </c>
      <c r="ED687" t="s">
        <v>1045</v>
      </c>
      <c r="EE687">
        <v>0</v>
      </c>
      <c r="EF687">
        <v>0</v>
      </c>
      <c r="EK687" t="s">
        <v>1054</v>
      </c>
      <c r="EL687">
        <v>57897801321452</v>
      </c>
      <c r="EN687" t="s">
        <v>1012</v>
      </c>
      <c r="EQ687" t="s">
        <v>1044</v>
      </c>
      <c r="ES687" t="s">
        <v>1053</v>
      </c>
      <c r="ET687">
        <v>0</v>
      </c>
      <c r="EV687">
        <v>0</v>
      </c>
      <c r="EY687" t="s">
        <v>1052</v>
      </c>
      <c r="EZ687">
        <v>0</v>
      </c>
      <c r="FA687" t="s">
        <v>1043</v>
      </c>
      <c r="FB687">
        <v>0</v>
      </c>
      <c r="FC687">
        <v>0</v>
      </c>
      <c r="FD687" t="s">
        <v>1051</v>
      </c>
      <c r="FE687" t="s">
        <v>1050</v>
      </c>
      <c r="FF687">
        <v>0</v>
      </c>
      <c r="FG687" t="s">
        <v>1050</v>
      </c>
      <c r="FH687">
        <v>27897801321451</v>
      </c>
      <c r="FJ687">
        <v>0</v>
      </c>
      <c r="FK687">
        <v>0</v>
      </c>
      <c r="FP687">
        <v>0</v>
      </c>
      <c r="FR687">
        <v>0</v>
      </c>
      <c r="FS687" t="s">
        <v>1043</v>
      </c>
      <c r="FX687" t="s">
        <v>1042</v>
      </c>
      <c r="FZ687" t="s">
        <v>1048</v>
      </c>
      <c r="GA687">
        <v>0</v>
      </c>
      <c r="GB687" t="s">
        <v>1042</v>
      </c>
      <c r="GD687">
        <v>16</v>
      </c>
      <c r="GE687">
        <v>0</v>
      </c>
      <c r="GG687">
        <v>0</v>
      </c>
      <c r="GN687">
        <v>0</v>
      </c>
      <c r="GO687" t="s">
        <v>1049</v>
      </c>
      <c r="GQ687">
        <v>0</v>
      </c>
      <c r="GU687">
        <v>2</v>
      </c>
      <c r="GY687" t="s">
        <v>1045</v>
      </c>
      <c r="HB687">
        <v>0</v>
      </c>
      <c r="HE687">
        <v>10</v>
      </c>
      <c r="HF687">
        <v>15</v>
      </c>
      <c r="HG687">
        <v>0</v>
      </c>
      <c r="HK687" t="s">
        <v>1042</v>
      </c>
      <c r="HL687" t="s">
        <v>1048</v>
      </c>
      <c r="HM687" t="s">
        <v>1047</v>
      </c>
      <c r="HN687">
        <v>0</v>
      </c>
      <c r="HP687">
        <v>0.86380000000000001</v>
      </c>
      <c r="HQ687">
        <v>0</v>
      </c>
      <c r="HR687" t="s">
        <v>1042</v>
      </c>
      <c r="HS687" t="s">
        <v>1043</v>
      </c>
      <c r="HT687">
        <v>0</v>
      </c>
      <c r="HU687">
        <v>0</v>
      </c>
      <c r="HW687">
        <v>0</v>
      </c>
      <c r="HX687">
        <v>0</v>
      </c>
      <c r="HY687">
        <v>0</v>
      </c>
      <c r="HZ687" t="s">
        <v>1045</v>
      </c>
      <c r="IA687">
        <v>0</v>
      </c>
      <c r="IB687" t="s">
        <v>1045</v>
      </c>
      <c r="ID687" t="s">
        <v>1045</v>
      </c>
      <c r="IF687">
        <v>0</v>
      </c>
      <c r="IG687" t="s">
        <v>1042</v>
      </c>
      <c r="IH687" t="s">
        <v>1046</v>
      </c>
      <c r="II687" t="s">
        <v>1042</v>
      </c>
      <c r="IR687" t="s">
        <v>1045</v>
      </c>
      <c r="IT687">
        <v>0</v>
      </c>
      <c r="IY687" t="s">
        <v>1044</v>
      </c>
      <c r="IZ687" t="s">
        <v>1043</v>
      </c>
      <c r="JE687">
        <v>0</v>
      </c>
      <c r="JF687">
        <v>0</v>
      </c>
      <c r="JI687" t="s">
        <v>1042</v>
      </c>
      <c r="JJ687">
        <v>0</v>
      </c>
      <c r="JK687">
        <v>0</v>
      </c>
      <c r="JL687">
        <v>0</v>
      </c>
      <c r="JM687">
        <v>0</v>
      </c>
      <c r="JT687">
        <v>0</v>
      </c>
      <c r="JU687" t="s">
        <v>1042</v>
      </c>
      <c r="JW687">
        <v>0</v>
      </c>
      <c r="KA687">
        <v>0</v>
      </c>
      <c r="KF687">
        <v>0</v>
      </c>
      <c r="KG687">
        <v>0</v>
      </c>
      <c r="KH687">
        <v>0</v>
      </c>
      <c r="KI687">
        <v>0</v>
      </c>
      <c r="KS687" t="s">
        <v>1041</v>
      </c>
      <c r="KT687">
        <v>0</v>
      </c>
      <c r="KU687">
        <v>0</v>
      </c>
      <c r="KV687">
        <v>0</v>
      </c>
      <c r="KX687">
        <v>0</v>
      </c>
      <c r="KZ687">
        <v>0</v>
      </c>
      <c r="LF687">
        <v>0</v>
      </c>
      <c r="LH687">
        <v>0</v>
      </c>
      <c r="LI687">
        <v>0</v>
      </c>
    </row>
    <row r="688" spans="1:321" x14ac:dyDescent="0.35">
      <c r="A688">
        <v>1</v>
      </c>
      <c r="B688" t="s">
        <v>1066</v>
      </c>
      <c r="C688" t="s">
        <v>1065</v>
      </c>
      <c r="D688" t="s">
        <v>1064</v>
      </c>
      <c r="E688" t="s">
        <v>85</v>
      </c>
      <c r="F688">
        <v>1</v>
      </c>
      <c r="G688">
        <v>8890</v>
      </c>
      <c r="H688">
        <v>0</v>
      </c>
      <c r="I688" t="s">
        <v>994</v>
      </c>
      <c r="L688">
        <v>0</v>
      </c>
      <c r="M688">
        <v>0</v>
      </c>
      <c r="N688">
        <v>0</v>
      </c>
      <c r="P688">
        <v>13</v>
      </c>
      <c r="Q688">
        <v>516</v>
      </c>
      <c r="R688">
        <v>0</v>
      </c>
      <c r="S688">
        <v>0</v>
      </c>
      <c r="W688" t="s">
        <v>1060</v>
      </c>
      <c r="X688">
        <v>0</v>
      </c>
      <c r="Z688">
        <v>1</v>
      </c>
      <c r="AA688">
        <v>0</v>
      </c>
      <c r="AB688">
        <v>0</v>
      </c>
      <c r="AC688">
        <v>0</v>
      </c>
      <c r="AD688" t="s">
        <v>1042</v>
      </c>
      <c r="AE688">
        <v>0</v>
      </c>
      <c r="AF688">
        <v>0</v>
      </c>
      <c r="AH688">
        <v>0</v>
      </c>
      <c r="AJ688">
        <v>0</v>
      </c>
      <c r="AL688">
        <v>145800</v>
      </c>
      <c r="AM688">
        <v>24</v>
      </c>
      <c r="AN688">
        <v>11501001</v>
      </c>
      <c r="AO688">
        <v>0</v>
      </c>
      <c r="AP688">
        <v>2720</v>
      </c>
      <c r="AT688">
        <v>1</v>
      </c>
      <c r="AU688" t="s">
        <v>1059</v>
      </c>
      <c r="AW688" t="s">
        <v>1053</v>
      </c>
      <c r="AX688">
        <v>5</v>
      </c>
      <c r="AY688" s="20">
        <v>43868</v>
      </c>
      <c r="BA688" s="20">
        <v>43868</v>
      </c>
      <c r="BB688" t="s">
        <v>1058</v>
      </c>
      <c r="BD688">
        <v>0</v>
      </c>
      <c r="BF688" t="s">
        <v>1044</v>
      </c>
      <c r="BG688" t="s">
        <v>1042</v>
      </c>
      <c r="BH688">
        <v>0</v>
      </c>
      <c r="BI688">
        <v>21</v>
      </c>
      <c r="BJ688">
        <v>0</v>
      </c>
      <c r="BK688">
        <v>0</v>
      </c>
      <c r="BM688" t="s">
        <v>1042</v>
      </c>
      <c r="BN688">
        <v>0</v>
      </c>
      <c r="BR688" t="s">
        <v>1043</v>
      </c>
      <c r="BS688" t="s">
        <v>1043</v>
      </c>
      <c r="BT688" t="s">
        <v>1043</v>
      </c>
      <c r="BV688">
        <v>1</v>
      </c>
      <c r="BW688">
        <v>2</v>
      </c>
      <c r="CA688">
        <v>0</v>
      </c>
      <c r="CB688" t="s">
        <v>1057</v>
      </c>
      <c r="CE688" t="s">
        <v>1043</v>
      </c>
      <c r="CH688" t="s">
        <v>1043</v>
      </c>
      <c r="CN688" t="s">
        <v>1056</v>
      </c>
      <c r="CO688" t="s">
        <v>1043</v>
      </c>
      <c r="CP688">
        <v>1</v>
      </c>
      <c r="CQ688">
        <v>0</v>
      </c>
      <c r="CS688">
        <v>0</v>
      </c>
      <c r="CT688">
        <v>0</v>
      </c>
      <c r="CU688">
        <v>0</v>
      </c>
      <c r="CW688">
        <v>0</v>
      </c>
      <c r="CX688">
        <v>0</v>
      </c>
      <c r="CY688">
        <v>0</v>
      </c>
      <c r="CZ688">
        <v>0</v>
      </c>
      <c r="DB688">
        <v>0</v>
      </c>
      <c r="DC688" t="s">
        <v>1043</v>
      </c>
      <c r="DF688" t="s">
        <v>1055</v>
      </c>
      <c r="DH688">
        <v>0</v>
      </c>
      <c r="DJ688">
        <v>0</v>
      </c>
      <c r="DK688" t="s">
        <v>1053</v>
      </c>
      <c r="DL688">
        <v>0</v>
      </c>
      <c r="DN688">
        <v>0</v>
      </c>
      <c r="DO688" t="s">
        <v>1042</v>
      </c>
      <c r="DP688">
        <v>0</v>
      </c>
      <c r="DQ688">
        <v>7.6</v>
      </c>
      <c r="DS688">
        <v>0</v>
      </c>
      <c r="DU688">
        <v>1.65</v>
      </c>
      <c r="DW688">
        <v>0</v>
      </c>
      <c r="DX688" t="s">
        <v>1043</v>
      </c>
      <c r="DY688">
        <v>0</v>
      </c>
      <c r="DZ688">
        <v>0</v>
      </c>
      <c r="EA688">
        <v>0</v>
      </c>
      <c r="ED688" t="s">
        <v>1045</v>
      </c>
      <c r="EE688">
        <v>0</v>
      </c>
      <c r="EF688">
        <v>0</v>
      </c>
      <c r="EK688" t="s">
        <v>1054</v>
      </c>
      <c r="EN688" t="s">
        <v>1012</v>
      </c>
      <c r="EQ688" t="s">
        <v>1044</v>
      </c>
      <c r="ES688" t="s">
        <v>1053</v>
      </c>
      <c r="ET688">
        <v>0</v>
      </c>
      <c r="EV688">
        <v>0</v>
      </c>
      <c r="EY688" t="s">
        <v>1052</v>
      </c>
      <c r="EZ688">
        <v>0</v>
      </c>
      <c r="FA688" t="s">
        <v>1043</v>
      </c>
      <c r="FB688">
        <v>0</v>
      </c>
      <c r="FC688">
        <v>0</v>
      </c>
      <c r="FD688" t="s">
        <v>1051</v>
      </c>
      <c r="FE688" t="s">
        <v>1050</v>
      </c>
      <c r="FF688">
        <v>0</v>
      </c>
      <c r="FG688" t="s">
        <v>1050</v>
      </c>
      <c r="FJ688">
        <v>0</v>
      </c>
      <c r="FK688">
        <v>0</v>
      </c>
      <c r="FP688">
        <v>0</v>
      </c>
      <c r="FR688">
        <v>0</v>
      </c>
      <c r="FS688" t="s">
        <v>1043</v>
      </c>
      <c r="FX688" t="s">
        <v>1042</v>
      </c>
      <c r="FZ688" t="s">
        <v>1048</v>
      </c>
      <c r="GA688">
        <v>0</v>
      </c>
      <c r="GB688" t="s">
        <v>1042</v>
      </c>
      <c r="GD688">
        <v>16</v>
      </c>
      <c r="GE688">
        <v>0</v>
      </c>
      <c r="GG688">
        <v>0</v>
      </c>
      <c r="GN688">
        <v>0</v>
      </c>
      <c r="GO688" t="s">
        <v>1063</v>
      </c>
      <c r="GQ688">
        <v>0</v>
      </c>
      <c r="GU688">
        <v>2</v>
      </c>
      <c r="GY688" t="s">
        <v>1045</v>
      </c>
      <c r="HB688">
        <v>0</v>
      </c>
      <c r="HE688">
        <v>10</v>
      </c>
      <c r="HF688">
        <v>15</v>
      </c>
      <c r="HG688">
        <v>0</v>
      </c>
      <c r="HK688" t="s">
        <v>1042</v>
      </c>
      <c r="HL688" t="s">
        <v>1048</v>
      </c>
      <c r="HM688" t="s">
        <v>1047</v>
      </c>
      <c r="HN688">
        <v>0</v>
      </c>
      <c r="HP688">
        <v>0</v>
      </c>
      <c r="HQ688">
        <v>0</v>
      </c>
      <c r="HR688" t="s">
        <v>1042</v>
      </c>
      <c r="HS688" t="s">
        <v>1043</v>
      </c>
      <c r="HT688">
        <v>0</v>
      </c>
      <c r="HU688">
        <v>0</v>
      </c>
      <c r="HW688">
        <v>0</v>
      </c>
      <c r="HX688">
        <v>0</v>
      </c>
      <c r="HY688">
        <v>0</v>
      </c>
      <c r="HZ688" t="s">
        <v>1045</v>
      </c>
      <c r="IA688">
        <v>0</v>
      </c>
      <c r="IB688" t="s">
        <v>1045</v>
      </c>
      <c r="ID688" t="s">
        <v>1045</v>
      </c>
      <c r="IF688">
        <v>0</v>
      </c>
      <c r="IG688" t="s">
        <v>1042</v>
      </c>
      <c r="IH688" t="s">
        <v>1046</v>
      </c>
      <c r="II688" t="s">
        <v>1042</v>
      </c>
      <c r="IR688" t="s">
        <v>1045</v>
      </c>
      <c r="IT688">
        <v>0</v>
      </c>
      <c r="IY688" t="s">
        <v>1044</v>
      </c>
      <c r="IZ688" t="s">
        <v>1043</v>
      </c>
      <c r="JE688">
        <v>0</v>
      </c>
      <c r="JF688">
        <v>0</v>
      </c>
      <c r="JI688" t="s">
        <v>1042</v>
      </c>
      <c r="JJ688">
        <v>0</v>
      </c>
      <c r="JK688">
        <v>0</v>
      </c>
      <c r="JL688">
        <v>0</v>
      </c>
      <c r="JM688">
        <v>0</v>
      </c>
      <c r="JT688">
        <v>0</v>
      </c>
      <c r="JU688" t="s">
        <v>1042</v>
      </c>
      <c r="JW688">
        <v>0</v>
      </c>
      <c r="KA688">
        <v>0</v>
      </c>
      <c r="KF688">
        <v>0</v>
      </c>
      <c r="KG688">
        <v>0</v>
      </c>
      <c r="KH688">
        <v>0</v>
      </c>
      <c r="KI688">
        <v>0</v>
      </c>
      <c r="KS688" t="s">
        <v>1041</v>
      </c>
      <c r="KT688">
        <v>0</v>
      </c>
      <c r="KU688">
        <v>0</v>
      </c>
      <c r="KV688">
        <v>0</v>
      </c>
      <c r="KX688">
        <v>0</v>
      </c>
      <c r="KZ688">
        <v>0</v>
      </c>
      <c r="LF688">
        <v>0</v>
      </c>
      <c r="LH688">
        <v>0</v>
      </c>
      <c r="LI688">
        <v>0</v>
      </c>
    </row>
    <row r="689" spans="1:321" x14ac:dyDescent="0.35">
      <c r="A689">
        <v>1</v>
      </c>
      <c r="B689">
        <v>1490</v>
      </c>
      <c r="C689" t="s">
        <v>1062</v>
      </c>
      <c r="D689" t="s">
        <v>1061</v>
      </c>
      <c r="E689" t="s">
        <v>85</v>
      </c>
      <c r="F689">
        <v>1</v>
      </c>
      <c r="G689">
        <v>8890</v>
      </c>
      <c r="H689">
        <v>0</v>
      </c>
      <c r="I689" t="s">
        <v>994</v>
      </c>
      <c r="L689">
        <v>0</v>
      </c>
      <c r="M689">
        <v>0</v>
      </c>
      <c r="N689">
        <v>0</v>
      </c>
      <c r="P689">
        <v>13</v>
      </c>
      <c r="Q689">
        <v>516</v>
      </c>
      <c r="R689">
        <v>0</v>
      </c>
      <c r="S689">
        <v>0</v>
      </c>
      <c r="W689" t="s">
        <v>1060</v>
      </c>
      <c r="X689">
        <v>0</v>
      </c>
      <c r="Z689">
        <v>3</v>
      </c>
      <c r="AA689">
        <v>0</v>
      </c>
      <c r="AB689">
        <v>0</v>
      </c>
      <c r="AC689">
        <v>0</v>
      </c>
      <c r="AD689" t="s">
        <v>1042</v>
      </c>
      <c r="AE689">
        <v>0</v>
      </c>
      <c r="AF689">
        <v>0</v>
      </c>
      <c r="AH689">
        <v>0</v>
      </c>
      <c r="AJ689">
        <v>0</v>
      </c>
      <c r="AL689">
        <v>145800</v>
      </c>
      <c r="AM689">
        <v>480</v>
      </c>
      <c r="AN689">
        <v>11501001</v>
      </c>
      <c r="AO689">
        <v>0</v>
      </c>
      <c r="AP689">
        <v>1002</v>
      </c>
      <c r="AT689">
        <v>1</v>
      </c>
      <c r="AU689" t="s">
        <v>1059</v>
      </c>
      <c r="AW689" t="s">
        <v>1053</v>
      </c>
      <c r="AX689">
        <v>0</v>
      </c>
      <c r="AY689" s="20">
        <v>43522</v>
      </c>
      <c r="BA689" s="20">
        <v>44708</v>
      </c>
      <c r="BB689" t="s">
        <v>1058</v>
      </c>
      <c r="BD689">
        <v>0</v>
      </c>
      <c r="BF689" t="s">
        <v>1044</v>
      </c>
      <c r="BG689" t="s">
        <v>1042</v>
      </c>
      <c r="BH689">
        <v>0</v>
      </c>
      <c r="BI689">
        <v>21</v>
      </c>
      <c r="BJ689">
        <v>0</v>
      </c>
      <c r="BK689">
        <v>0</v>
      </c>
      <c r="BM689" t="s">
        <v>1042</v>
      </c>
      <c r="BN689">
        <v>0</v>
      </c>
      <c r="BO689">
        <v>7897801321471</v>
      </c>
      <c r="BR689" t="s">
        <v>1043</v>
      </c>
      <c r="BS689" t="s">
        <v>1043</v>
      </c>
      <c r="BT689" t="s">
        <v>1043</v>
      </c>
      <c r="BV689">
        <v>1</v>
      </c>
      <c r="BW689">
        <v>2</v>
      </c>
      <c r="CA689">
        <v>0</v>
      </c>
      <c r="CB689" t="s">
        <v>1057</v>
      </c>
      <c r="CE689" t="s">
        <v>1043</v>
      </c>
      <c r="CH689" t="s">
        <v>1043</v>
      </c>
      <c r="CN689" t="s">
        <v>1056</v>
      </c>
      <c r="CO689" t="s">
        <v>1043</v>
      </c>
      <c r="CP689">
        <v>1</v>
      </c>
      <c r="CQ689">
        <v>0</v>
      </c>
      <c r="CS689">
        <v>0</v>
      </c>
      <c r="CT689">
        <v>0</v>
      </c>
      <c r="CU689">
        <v>0</v>
      </c>
      <c r="CW689">
        <v>0</v>
      </c>
      <c r="CX689">
        <v>0</v>
      </c>
      <c r="CY689">
        <v>0</v>
      </c>
      <c r="CZ689">
        <v>0</v>
      </c>
      <c r="DA689">
        <v>2</v>
      </c>
      <c r="DB689">
        <v>0</v>
      </c>
      <c r="DC689" t="s">
        <v>1043</v>
      </c>
      <c r="DF689" t="s">
        <v>1055</v>
      </c>
      <c r="DH689">
        <v>0</v>
      </c>
      <c r="DJ689">
        <v>0</v>
      </c>
      <c r="DK689" t="s">
        <v>1053</v>
      </c>
      <c r="DL689">
        <v>0</v>
      </c>
      <c r="DN689">
        <v>0</v>
      </c>
      <c r="DO689" t="s">
        <v>1042</v>
      </c>
      <c r="DP689">
        <v>0</v>
      </c>
      <c r="DQ689">
        <v>7.6</v>
      </c>
      <c r="DS689">
        <v>0</v>
      </c>
      <c r="DU689">
        <v>1.65</v>
      </c>
      <c r="DW689">
        <v>0</v>
      </c>
      <c r="DX689" t="s">
        <v>1043</v>
      </c>
      <c r="DY689">
        <v>0</v>
      </c>
      <c r="DZ689">
        <v>0</v>
      </c>
      <c r="EA689">
        <v>0</v>
      </c>
      <c r="EB689">
        <v>17897801321478</v>
      </c>
      <c r="ED689" t="s">
        <v>1045</v>
      </c>
      <c r="EE689">
        <v>0</v>
      </c>
      <c r="EF689">
        <v>0</v>
      </c>
      <c r="EK689" t="s">
        <v>1054</v>
      </c>
      <c r="EL689">
        <v>57897801321476</v>
      </c>
      <c r="EN689" t="s">
        <v>1012</v>
      </c>
      <c r="EQ689" t="s">
        <v>1044</v>
      </c>
      <c r="ES689" t="s">
        <v>1053</v>
      </c>
      <c r="ET689">
        <v>0</v>
      </c>
      <c r="EV689">
        <v>0</v>
      </c>
      <c r="EY689" t="s">
        <v>1052</v>
      </c>
      <c r="EZ689">
        <v>0</v>
      </c>
      <c r="FA689" t="s">
        <v>1043</v>
      </c>
      <c r="FB689">
        <v>0</v>
      </c>
      <c r="FC689">
        <v>0</v>
      </c>
      <c r="FD689" t="s">
        <v>1051</v>
      </c>
      <c r="FE689" t="s">
        <v>1050</v>
      </c>
      <c r="FF689">
        <v>0</v>
      </c>
      <c r="FG689" t="s">
        <v>1050</v>
      </c>
      <c r="FH689">
        <v>27897801321475</v>
      </c>
      <c r="FJ689">
        <v>0</v>
      </c>
      <c r="FK689">
        <v>0</v>
      </c>
      <c r="FP689">
        <v>0</v>
      </c>
      <c r="FR689">
        <v>0</v>
      </c>
      <c r="FS689" t="s">
        <v>1043</v>
      </c>
      <c r="FX689" t="s">
        <v>1042</v>
      </c>
      <c r="FZ689" t="s">
        <v>1048</v>
      </c>
      <c r="GA689">
        <v>0</v>
      </c>
      <c r="GB689" t="s">
        <v>1042</v>
      </c>
      <c r="GD689">
        <v>16</v>
      </c>
      <c r="GE689">
        <v>0</v>
      </c>
      <c r="GG689">
        <v>0</v>
      </c>
      <c r="GN689">
        <v>0</v>
      </c>
      <c r="GO689" t="s">
        <v>1049</v>
      </c>
      <c r="GQ689">
        <v>0</v>
      </c>
      <c r="GU689">
        <v>2</v>
      </c>
      <c r="GY689" t="s">
        <v>1045</v>
      </c>
      <c r="HB689">
        <v>0</v>
      </c>
      <c r="HE689">
        <v>10</v>
      </c>
      <c r="HF689">
        <v>15</v>
      </c>
      <c r="HG689">
        <v>0</v>
      </c>
      <c r="HK689" t="s">
        <v>1042</v>
      </c>
      <c r="HL689" t="s">
        <v>1048</v>
      </c>
      <c r="HM689" t="s">
        <v>1047</v>
      </c>
      <c r="HN689">
        <v>0</v>
      </c>
      <c r="HP689">
        <v>8.1799999999999998E-2</v>
      </c>
      <c r="HQ689">
        <v>0</v>
      </c>
      <c r="HR689" t="s">
        <v>1042</v>
      </c>
      <c r="HS689" t="s">
        <v>1043</v>
      </c>
      <c r="HT689">
        <v>0</v>
      </c>
      <c r="HU689">
        <v>0</v>
      </c>
      <c r="HW689">
        <v>0</v>
      </c>
      <c r="HX689">
        <v>0</v>
      </c>
      <c r="HY689">
        <v>0</v>
      </c>
      <c r="HZ689" t="s">
        <v>1045</v>
      </c>
      <c r="IA689">
        <v>0</v>
      </c>
      <c r="IB689" t="s">
        <v>1045</v>
      </c>
      <c r="ID689" t="s">
        <v>1045</v>
      </c>
      <c r="IF689">
        <v>0</v>
      </c>
      <c r="IG689" t="s">
        <v>1042</v>
      </c>
      <c r="IH689" t="s">
        <v>1046</v>
      </c>
      <c r="II689" t="s">
        <v>1042</v>
      </c>
      <c r="IR689" t="s">
        <v>1045</v>
      </c>
      <c r="IT689">
        <v>0</v>
      </c>
      <c r="IY689" t="s">
        <v>1044</v>
      </c>
      <c r="IZ689" t="s">
        <v>1043</v>
      </c>
      <c r="JE689">
        <v>0</v>
      </c>
      <c r="JF689">
        <v>0</v>
      </c>
      <c r="JI689" t="s">
        <v>1042</v>
      </c>
      <c r="JJ689">
        <v>0</v>
      </c>
      <c r="JK689">
        <v>0</v>
      </c>
      <c r="JL689">
        <v>0</v>
      </c>
      <c r="JM689">
        <v>0</v>
      </c>
      <c r="JT689">
        <v>0</v>
      </c>
      <c r="JU689" t="s">
        <v>1042</v>
      </c>
      <c r="JW689">
        <v>0</v>
      </c>
      <c r="KA689">
        <v>0</v>
      </c>
      <c r="KF689">
        <v>0</v>
      </c>
      <c r="KG689">
        <v>0</v>
      </c>
      <c r="KH689">
        <v>0</v>
      </c>
      <c r="KI689">
        <v>0</v>
      </c>
      <c r="KS689" t="s">
        <v>1041</v>
      </c>
      <c r="KT689">
        <v>0</v>
      </c>
      <c r="KU689">
        <v>0</v>
      </c>
      <c r="KV689">
        <v>0</v>
      </c>
      <c r="KX689">
        <v>0</v>
      </c>
      <c r="KZ689">
        <v>0</v>
      </c>
      <c r="LF689">
        <v>0</v>
      </c>
      <c r="LH689">
        <v>24192</v>
      </c>
      <c r="LI689">
        <v>0</v>
      </c>
    </row>
  </sheetData>
  <autoFilter ref="A3:LK3"/>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150"/>
  <sheetViews>
    <sheetView topLeftCell="E1" workbookViewId="0">
      <selection activeCell="U3" sqref="A3:XFD3"/>
    </sheetView>
  </sheetViews>
  <sheetFormatPr defaultRowHeight="14.5" x14ac:dyDescent="0.35"/>
  <sheetData>
    <row r="1" spans="1:251" x14ac:dyDescent="0.35">
      <c r="A1" t="s">
        <v>2317</v>
      </c>
    </row>
    <row r="2" spans="1:251" x14ac:dyDescent="0.35">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c r="AG2">
        <v>31</v>
      </c>
      <c r="AH2">
        <v>32</v>
      </c>
      <c r="AI2">
        <v>33</v>
      </c>
      <c r="AJ2">
        <v>34</v>
      </c>
      <c r="AK2">
        <v>35</v>
      </c>
      <c r="AL2">
        <v>36</v>
      </c>
      <c r="AM2">
        <v>37</v>
      </c>
      <c r="AN2">
        <v>38</v>
      </c>
      <c r="AO2">
        <v>39</v>
      </c>
      <c r="AP2">
        <v>40</v>
      </c>
      <c r="AQ2">
        <v>41</v>
      </c>
      <c r="AR2">
        <v>42</v>
      </c>
      <c r="AS2">
        <v>43</v>
      </c>
      <c r="AT2">
        <v>44</v>
      </c>
      <c r="AU2">
        <v>45</v>
      </c>
      <c r="AV2">
        <v>46</v>
      </c>
      <c r="AW2">
        <v>47</v>
      </c>
      <c r="AX2">
        <v>48</v>
      </c>
      <c r="AY2">
        <v>49</v>
      </c>
      <c r="AZ2">
        <v>50</v>
      </c>
      <c r="BA2">
        <v>51</v>
      </c>
      <c r="BB2">
        <v>52</v>
      </c>
      <c r="BC2">
        <v>53</v>
      </c>
      <c r="BD2">
        <v>54</v>
      </c>
      <c r="BE2">
        <v>55</v>
      </c>
      <c r="BF2">
        <v>56</v>
      </c>
      <c r="BG2">
        <v>57</v>
      </c>
      <c r="BH2">
        <v>58</v>
      </c>
      <c r="BI2">
        <v>59</v>
      </c>
      <c r="BJ2">
        <v>60</v>
      </c>
      <c r="BK2">
        <v>61</v>
      </c>
      <c r="BL2">
        <v>62</v>
      </c>
      <c r="BM2">
        <v>63</v>
      </c>
      <c r="BN2">
        <v>64</v>
      </c>
      <c r="BO2">
        <v>65</v>
      </c>
      <c r="BP2">
        <v>66</v>
      </c>
      <c r="BQ2">
        <v>67</v>
      </c>
      <c r="BR2">
        <v>68</v>
      </c>
      <c r="BS2">
        <v>69</v>
      </c>
      <c r="BT2">
        <v>70</v>
      </c>
      <c r="BU2">
        <v>71</v>
      </c>
      <c r="BV2">
        <v>72</v>
      </c>
      <c r="BW2">
        <v>73</v>
      </c>
      <c r="BX2">
        <v>74</v>
      </c>
      <c r="BY2">
        <v>75</v>
      </c>
      <c r="BZ2">
        <v>76</v>
      </c>
      <c r="CA2">
        <v>77</v>
      </c>
      <c r="CB2">
        <v>78</v>
      </c>
      <c r="CC2">
        <v>79</v>
      </c>
      <c r="CD2">
        <v>80</v>
      </c>
      <c r="CE2">
        <v>81</v>
      </c>
      <c r="CF2">
        <v>82</v>
      </c>
      <c r="CG2">
        <v>83</v>
      </c>
      <c r="CH2">
        <v>84</v>
      </c>
      <c r="CI2">
        <v>85</v>
      </c>
      <c r="CJ2">
        <v>86</v>
      </c>
      <c r="CK2">
        <v>87</v>
      </c>
      <c r="CL2">
        <v>88</v>
      </c>
      <c r="CM2">
        <v>89</v>
      </c>
      <c r="CN2">
        <v>90</v>
      </c>
      <c r="CO2">
        <v>91</v>
      </c>
      <c r="CP2">
        <v>92</v>
      </c>
      <c r="CQ2">
        <v>93</v>
      </c>
      <c r="CR2">
        <v>94</v>
      </c>
      <c r="CS2">
        <v>95</v>
      </c>
      <c r="CT2">
        <v>96</v>
      </c>
      <c r="CU2">
        <v>97</v>
      </c>
      <c r="CV2">
        <v>98</v>
      </c>
      <c r="CW2">
        <v>99</v>
      </c>
      <c r="CX2">
        <v>100</v>
      </c>
      <c r="CY2">
        <v>101</v>
      </c>
      <c r="CZ2">
        <v>102</v>
      </c>
      <c r="DA2">
        <v>103</v>
      </c>
      <c r="DB2">
        <v>104</v>
      </c>
      <c r="DC2">
        <v>105</v>
      </c>
      <c r="DD2">
        <v>106</v>
      </c>
      <c r="DE2">
        <v>107</v>
      </c>
      <c r="DF2">
        <v>108</v>
      </c>
      <c r="DG2">
        <v>109</v>
      </c>
      <c r="DH2">
        <v>110</v>
      </c>
      <c r="DI2">
        <v>111</v>
      </c>
      <c r="DJ2">
        <v>112</v>
      </c>
      <c r="DK2">
        <v>113</v>
      </c>
      <c r="DL2">
        <v>114</v>
      </c>
      <c r="DM2">
        <v>115</v>
      </c>
      <c r="DN2">
        <v>116</v>
      </c>
      <c r="DO2">
        <v>117</v>
      </c>
      <c r="DP2">
        <v>118</v>
      </c>
      <c r="DQ2">
        <v>119</v>
      </c>
      <c r="DR2">
        <v>120</v>
      </c>
      <c r="DS2">
        <v>121</v>
      </c>
      <c r="DT2">
        <v>122</v>
      </c>
      <c r="DU2">
        <v>123</v>
      </c>
      <c r="DV2">
        <v>124</v>
      </c>
      <c r="DW2">
        <v>125</v>
      </c>
      <c r="DX2">
        <v>126</v>
      </c>
      <c r="DY2">
        <v>127</v>
      </c>
      <c r="DZ2">
        <v>128</v>
      </c>
      <c r="EA2">
        <v>129</v>
      </c>
      <c r="EB2">
        <v>130</v>
      </c>
      <c r="EC2">
        <v>131</v>
      </c>
      <c r="ED2">
        <v>132</v>
      </c>
      <c r="EE2">
        <v>133</v>
      </c>
      <c r="EF2">
        <v>134</v>
      </c>
      <c r="EG2">
        <v>135</v>
      </c>
      <c r="EH2">
        <v>136</v>
      </c>
      <c r="EI2">
        <v>137</v>
      </c>
      <c r="EJ2">
        <v>138</v>
      </c>
      <c r="EK2">
        <v>139</v>
      </c>
      <c r="EL2">
        <v>140</v>
      </c>
      <c r="EM2">
        <v>141</v>
      </c>
      <c r="EN2">
        <v>142</v>
      </c>
      <c r="EO2">
        <v>143</v>
      </c>
      <c r="EP2">
        <v>144</v>
      </c>
      <c r="EQ2">
        <v>145</v>
      </c>
      <c r="ER2">
        <v>146</v>
      </c>
      <c r="ES2">
        <v>147</v>
      </c>
      <c r="ET2">
        <v>148</v>
      </c>
      <c r="EU2">
        <v>149</v>
      </c>
      <c r="EV2">
        <v>150</v>
      </c>
      <c r="EW2">
        <v>151</v>
      </c>
      <c r="EX2">
        <v>152</v>
      </c>
      <c r="EY2">
        <v>153</v>
      </c>
      <c r="EZ2">
        <v>154</v>
      </c>
      <c r="FA2">
        <v>155</v>
      </c>
      <c r="FB2">
        <v>156</v>
      </c>
      <c r="FC2">
        <v>157</v>
      </c>
      <c r="FD2">
        <v>158</v>
      </c>
      <c r="FE2">
        <v>159</v>
      </c>
      <c r="FF2">
        <v>160</v>
      </c>
      <c r="FG2">
        <v>161</v>
      </c>
      <c r="FH2">
        <v>162</v>
      </c>
      <c r="FI2">
        <v>163</v>
      </c>
      <c r="FJ2">
        <v>164</v>
      </c>
      <c r="FK2">
        <v>165</v>
      </c>
      <c r="FL2">
        <v>166</v>
      </c>
      <c r="FM2">
        <v>167</v>
      </c>
      <c r="FN2">
        <v>168</v>
      </c>
      <c r="FO2">
        <v>169</v>
      </c>
      <c r="FP2">
        <v>170</v>
      </c>
      <c r="FQ2">
        <v>171</v>
      </c>
      <c r="FR2">
        <v>172</v>
      </c>
      <c r="FS2">
        <v>173</v>
      </c>
      <c r="FT2">
        <v>174</v>
      </c>
      <c r="FU2">
        <v>175</v>
      </c>
      <c r="FV2">
        <v>176</v>
      </c>
      <c r="FW2">
        <v>177</v>
      </c>
      <c r="FX2">
        <v>178</v>
      </c>
      <c r="FY2">
        <v>179</v>
      </c>
      <c r="FZ2">
        <v>180</v>
      </c>
      <c r="GA2">
        <v>181</v>
      </c>
      <c r="GB2">
        <v>182</v>
      </c>
      <c r="GC2">
        <v>183</v>
      </c>
      <c r="GD2">
        <v>184</v>
      </c>
      <c r="GE2">
        <v>185</v>
      </c>
      <c r="GF2">
        <v>186</v>
      </c>
      <c r="GG2">
        <v>187</v>
      </c>
      <c r="GH2">
        <v>188</v>
      </c>
      <c r="GI2">
        <v>189</v>
      </c>
      <c r="GJ2">
        <v>190</v>
      </c>
      <c r="GK2">
        <v>191</v>
      </c>
      <c r="GL2">
        <v>192</v>
      </c>
      <c r="GM2">
        <v>193</v>
      </c>
      <c r="GN2">
        <v>194</v>
      </c>
      <c r="GO2">
        <v>195</v>
      </c>
      <c r="GP2">
        <v>196</v>
      </c>
      <c r="GQ2">
        <v>197</v>
      </c>
      <c r="GR2">
        <v>198</v>
      </c>
      <c r="GS2">
        <v>199</v>
      </c>
      <c r="GT2">
        <v>200</v>
      </c>
      <c r="GU2">
        <v>201</v>
      </c>
      <c r="GV2">
        <v>202</v>
      </c>
      <c r="GW2">
        <v>203</v>
      </c>
      <c r="GX2">
        <v>204</v>
      </c>
      <c r="GY2">
        <v>205</v>
      </c>
      <c r="GZ2">
        <v>206</v>
      </c>
      <c r="HA2">
        <v>207</v>
      </c>
      <c r="HB2">
        <v>208</v>
      </c>
      <c r="HC2">
        <v>209</v>
      </c>
      <c r="HD2">
        <v>210</v>
      </c>
      <c r="HE2">
        <v>211</v>
      </c>
      <c r="HF2">
        <v>212</v>
      </c>
      <c r="HG2">
        <v>213</v>
      </c>
      <c r="HH2">
        <v>214</v>
      </c>
      <c r="HI2">
        <v>215</v>
      </c>
      <c r="HJ2">
        <v>216</v>
      </c>
      <c r="HK2">
        <v>217</v>
      </c>
      <c r="HL2">
        <v>218</v>
      </c>
      <c r="HM2">
        <v>219</v>
      </c>
      <c r="HN2">
        <v>220</v>
      </c>
      <c r="HO2">
        <v>221</v>
      </c>
      <c r="HP2">
        <v>222</v>
      </c>
      <c r="HQ2">
        <v>223</v>
      </c>
      <c r="HR2">
        <v>224</v>
      </c>
      <c r="HS2">
        <v>225</v>
      </c>
      <c r="HT2">
        <v>226</v>
      </c>
      <c r="HU2">
        <v>227</v>
      </c>
      <c r="HV2">
        <v>228</v>
      </c>
      <c r="HW2">
        <v>229</v>
      </c>
      <c r="HX2">
        <v>230</v>
      </c>
      <c r="HY2">
        <v>231</v>
      </c>
      <c r="HZ2">
        <v>232</v>
      </c>
      <c r="IA2">
        <v>233</v>
      </c>
      <c r="IB2">
        <v>234</v>
      </c>
      <c r="IC2">
        <v>235</v>
      </c>
      <c r="ID2">
        <v>236</v>
      </c>
      <c r="IE2">
        <v>237</v>
      </c>
      <c r="IF2">
        <v>238</v>
      </c>
      <c r="IG2">
        <v>239</v>
      </c>
      <c r="IH2">
        <v>240</v>
      </c>
      <c r="II2">
        <v>241</v>
      </c>
      <c r="IJ2">
        <v>242</v>
      </c>
      <c r="IK2">
        <v>243</v>
      </c>
      <c r="IL2">
        <v>244</v>
      </c>
      <c r="IM2">
        <v>245</v>
      </c>
      <c r="IN2">
        <v>246</v>
      </c>
      <c r="IO2">
        <v>247</v>
      </c>
      <c r="IP2">
        <v>248</v>
      </c>
      <c r="IQ2">
        <v>249</v>
      </c>
    </row>
    <row r="3" spans="1:251" x14ac:dyDescent="0.35">
      <c r="A3" t="s">
        <v>2316</v>
      </c>
      <c r="B3" t="s">
        <v>2023</v>
      </c>
      <c r="C3" t="s">
        <v>1</v>
      </c>
      <c r="D3" t="s">
        <v>2315</v>
      </c>
      <c r="E3" t="s">
        <v>2314</v>
      </c>
      <c r="F3" t="s">
        <v>2313</v>
      </c>
      <c r="G3" t="s">
        <v>2312</v>
      </c>
      <c r="H3" t="s">
        <v>2311</v>
      </c>
      <c r="I3" t="s">
        <v>2310</v>
      </c>
      <c r="J3" t="s">
        <v>2309</v>
      </c>
      <c r="K3" t="s">
        <v>2308</v>
      </c>
      <c r="L3" t="s">
        <v>2307</v>
      </c>
      <c r="M3" t="s">
        <v>4</v>
      </c>
      <c r="N3" t="s">
        <v>2306</v>
      </c>
      <c r="O3" t="s">
        <v>2305</v>
      </c>
      <c r="P3" t="s">
        <v>2304</v>
      </c>
      <c r="Q3" t="s">
        <v>5</v>
      </c>
      <c r="R3" t="s">
        <v>2303</v>
      </c>
      <c r="S3" t="s">
        <v>6</v>
      </c>
      <c r="T3" t="s">
        <v>2302</v>
      </c>
      <c r="U3" t="s">
        <v>2301</v>
      </c>
      <c r="V3" t="s">
        <v>2226</v>
      </c>
      <c r="W3" t="s">
        <v>2300</v>
      </c>
      <c r="X3" t="s">
        <v>2299</v>
      </c>
      <c r="Y3" t="s">
        <v>2298</v>
      </c>
      <c r="Z3" t="s">
        <v>2297</v>
      </c>
      <c r="AA3" t="s">
        <v>2296</v>
      </c>
      <c r="AB3" t="s">
        <v>2295</v>
      </c>
      <c r="AC3" t="s">
        <v>2294</v>
      </c>
      <c r="AD3" t="s">
        <v>2293</v>
      </c>
      <c r="AE3" t="s">
        <v>8</v>
      </c>
      <c r="AF3" t="s">
        <v>2292</v>
      </c>
      <c r="AG3" t="s">
        <v>9</v>
      </c>
      <c r="AH3" t="s">
        <v>2291</v>
      </c>
      <c r="AI3" t="s">
        <v>2290</v>
      </c>
      <c r="AJ3" t="s">
        <v>10</v>
      </c>
      <c r="AK3" t="s">
        <v>2289</v>
      </c>
      <c r="AL3" t="s">
        <v>2288</v>
      </c>
      <c r="AM3" t="s">
        <v>2017</v>
      </c>
      <c r="AN3" t="s">
        <v>2287</v>
      </c>
      <c r="AO3" t="s">
        <v>2286</v>
      </c>
      <c r="AP3" t="s">
        <v>2285</v>
      </c>
      <c r="AQ3" t="s">
        <v>2284</v>
      </c>
      <c r="AR3" t="s">
        <v>2283</v>
      </c>
      <c r="AS3" t="s">
        <v>2282</v>
      </c>
      <c r="AT3" t="s">
        <v>2281</v>
      </c>
      <c r="AU3" t="s">
        <v>2280</v>
      </c>
      <c r="AV3" t="s">
        <v>2279</v>
      </c>
      <c r="AW3" t="s">
        <v>2278</v>
      </c>
      <c r="AX3" t="s">
        <v>2277</v>
      </c>
      <c r="AY3" t="s">
        <v>2276</v>
      </c>
      <c r="AZ3" t="s">
        <v>2275</v>
      </c>
      <c r="BA3" t="s">
        <v>2274</v>
      </c>
      <c r="BB3" t="s">
        <v>2273</v>
      </c>
      <c r="BC3" t="s">
        <v>2272</v>
      </c>
      <c r="BD3" t="s">
        <v>2271</v>
      </c>
      <c r="BE3" t="s">
        <v>2270</v>
      </c>
      <c r="BF3" t="s">
        <v>2269</v>
      </c>
      <c r="BG3" t="s">
        <v>2268</v>
      </c>
      <c r="BH3" t="s">
        <v>2267</v>
      </c>
      <c r="BI3" t="s">
        <v>2266</v>
      </c>
      <c r="BJ3" t="s">
        <v>2265</v>
      </c>
      <c r="BK3" t="s">
        <v>2264</v>
      </c>
      <c r="BL3" t="s">
        <v>2263</v>
      </c>
      <c r="BM3" t="s">
        <v>2262</v>
      </c>
      <c r="BN3" t="s">
        <v>2261</v>
      </c>
      <c r="BO3" t="s">
        <v>2260</v>
      </c>
      <c r="BP3" t="s">
        <v>2259</v>
      </c>
      <c r="BQ3" t="s">
        <v>2258</v>
      </c>
      <c r="BR3" t="s">
        <v>2257</v>
      </c>
      <c r="BS3" t="s">
        <v>2256</v>
      </c>
      <c r="BT3" t="s">
        <v>2255</v>
      </c>
      <c r="BU3" t="s">
        <v>11</v>
      </c>
      <c r="BV3" t="s">
        <v>12</v>
      </c>
      <c r="BW3" t="s">
        <v>13</v>
      </c>
      <c r="BX3" t="s">
        <v>14</v>
      </c>
      <c r="BY3" t="s">
        <v>15</v>
      </c>
      <c r="BZ3" t="s">
        <v>16</v>
      </c>
      <c r="CA3" t="s">
        <v>2254</v>
      </c>
      <c r="CB3" t="s">
        <v>2253</v>
      </c>
      <c r="CC3" t="s">
        <v>2252</v>
      </c>
      <c r="CD3" t="s">
        <v>2251</v>
      </c>
      <c r="CE3" t="s">
        <v>2250</v>
      </c>
      <c r="CF3" t="s">
        <v>2249</v>
      </c>
      <c r="CG3" t="s">
        <v>2248</v>
      </c>
      <c r="CH3" t="s">
        <v>1769</v>
      </c>
      <c r="CI3" t="s">
        <v>2247</v>
      </c>
      <c r="CJ3" t="s">
        <v>2246</v>
      </c>
      <c r="CK3" t="s">
        <v>2245</v>
      </c>
      <c r="CL3" t="s">
        <v>2244</v>
      </c>
      <c r="CM3" t="s">
        <v>2243</v>
      </c>
      <c r="CN3" t="s">
        <v>2242</v>
      </c>
      <c r="CO3" t="s">
        <v>2241</v>
      </c>
      <c r="CP3" t="s">
        <v>2240</v>
      </c>
      <c r="CQ3" t="s">
        <v>2239</v>
      </c>
      <c r="CR3" t="s">
        <v>2238</v>
      </c>
      <c r="CS3" t="s">
        <v>2237</v>
      </c>
      <c r="CT3" t="s">
        <v>2236</v>
      </c>
      <c r="CU3" t="s">
        <v>2235</v>
      </c>
      <c r="CV3" t="s">
        <v>2234</v>
      </c>
      <c r="CW3" t="s">
        <v>2233</v>
      </c>
      <c r="CX3" t="s">
        <v>2232</v>
      </c>
      <c r="CY3" t="s">
        <v>2231</v>
      </c>
      <c r="CZ3" t="s">
        <v>2230</v>
      </c>
      <c r="DA3" t="s">
        <v>2229</v>
      </c>
      <c r="DB3" t="s">
        <v>2228</v>
      </c>
      <c r="DC3" t="s">
        <v>1814</v>
      </c>
      <c r="DD3" t="s">
        <v>5</v>
      </c>
      <c r="DE3" t="s">
        <v>1939</v>
      </c>
      <c r="DF3" t="s">
        <v>2227</v>
      </c>
      <c r="DG3" t="s">
        <v>2226</v>
      </c>
      <c r="DH3" t="s">
        <v>2225</v>
      </c>
      <c r="DI3" t="s">
        <v>2224</v>
      </c>
      <c r="DJ3" t="s">
        <v>2223</v>
      </c>
      <c r="DK3" t="s">
        <v>2222</v>
      </c>
      <c r="DL3" t="s">
        <v>2221</v>
      </c>
      <c r="DM3" t="s">
        <v>2220</v>
      </c>
      <c r="DN3" t="s">
        <v>2219</v>
      </c>
      <c r="DO3" t="s">
        <v>2218</v>
      </c>
      <c r="DP3" t="s">
        <v>2217</v>
      </c>
      <c r="DQ3" t="s">
        <v>2216</v>
      </c>
      <c r="DR3" t="s">
        <v>2215</v>
      </c>
      <c r="DS3" t="s">
        <v>2214</v>
      </c>
      <c r="DT3" t="s">
        <v>2213</v>
      </c>
      <c r="DU3" t="s">
        <v>2212</v>
      </c>
      <c r="DV3" t="s">
        <v>2211</v>
      </c>
      <c r="DW3" t="s">
        <v>2210</v>
      </c>
      <c r="DX3" t="s">
        <v>2209</v>
      </c>
      <c r="DY3" t="s">
        <v>2208</v>
      </c>
      <c r="DZ3" t="s">
        <v>2207</v>
      </c>
      <c r="EA3" t="s">
        <v>2206</v>
      </c>
      <c r="EB3" t="s">
        <v>2205</v>
      </c>
      <c r="EC3" t="s">
        <v>2204</v>
      </c>
      <c r="ED3" t="s">
        <v>2203</v>
      </c>
      <c r="EE3" t="s">
        <v>2202</v>
      </c>
      <c r="EF3" t="s">
        <v>2201</v>
      </c>
      <c r="EG3" t="s">
        <v>2200</v>
      </c>
      <c r="EH3" t="s">
        <v>2199</v>
      </c>
      <c r="EI3" t="s">
        <v>2198</v>
      </c>
      <c r="EJ3" t="s">
        <v>2197</v>
      </c>
      <c r="EK3" t="s">
        <v>2196</v>
      </c>
      <c r="EL3" t="s">
        <v>2195</v>
      </c>
      <c r="EM3" t="s">
        <v>2194</v>
      </c>
      <c r="EN3" t="s">
        <v>2193</v>
      </c>
      <c r="EO3" t="s">
        <v>2192</v>
      </c>
      <c r="EP3" t="s">
        <v>2191</v>
      </c>
      <c r="EQ3" t="s">
        <v>2190</v>
      </c>
      <c r="ER3" t="s">
        <v>2189</v>
      </c>
      <c r="ES3" t="s">
        <v>2188</v>
      </c>
      <c r="ET3" t="s">
        <v>2187</v>
      </c>
      <c r="EU3" t="s">
        <v>2186</v>
      </c>
      <c r="EV3" t="s">
        <v>2185</v>
      </c>
      <c r="EW3" t="s">
        <v>2184</v>
      </c>
      <c r="EX3" t="s">
        <v>2183</v>
      </c>
      <c r="EY3" t="s">
        <v>2182</v>
      </c>
      <c r="EZ3" t="s">
        <v>2181</v>
      </c>
      <c r="FA3" t="s">
        <v>2180</v>
      </c>
      <c r="FB3" t="s">
        <v>2179</v>
      </c>
      <c r="FC3" t="s">
        <v>2178</v>
      </c>
      <c r="FD3" t="s">
        <v>2177</v>
      </c>
      <c r="FE3" t="s">
        <v>2176</v>
      </c>
      <c r="FF3" t="s">
        <v>2175</v>
      </c>
      <c r="FG3" t="s">
        <v>2174</v>
      </c>
      <c r="FH3" t="s">
        <v>1921</v>
      </c>
      <c r="FI3" t="s">
        <v>2173</v>
      </c>
      <c r="FJ3" t="s">
        <v>2172</v>
      </c>
      <c r="FK3" t="s">
        <v>2171</v>
      </c>
      <c r="FL3" t="s">
        <v>2170</v>
      </c>
      <c r="FM3" t="s">
        <v>2169</v>
      </c>
      <c r="FN3" t="s">
        <v>2168</v>
      </c>
      <c r="FO3" t="s">
        <v>2167</v>
      </c>
      <c r="FP3" t="s">
        <v>2166</v>
      </c>
      <c r="FQ3" t="s">
        <v>2165</v>
      </c>
      <c r="FR3" t="s">
        <v>2164</v>
      </c>
      <c r="FS3" t="s">
        <v>2163</v>
      </c>
      <c r="FT3" t="s">
        <v>2162</v>
      </c>
      <c r="FU3" t="s">
        <v>2161</v>
      </c>
      <c r="FV3" t="s">
        <v>2160</v>
      </c>
      <c r="FW3" t="s">
        <v>2159</v>
      </c>
      <c r="FX3" t="s">
        <v>2158</v>
      </c>
      <c r="FY3" t="s">
        <v>2157</v>
      </c>
      <c r="FZ3" t="s">
        <v>2156</v>
      </c>
      <c r="GA3" t="s">
        <v>2155</v>
      </c>
      <c r="GB3" t="s">
        <v>2154</v>
      </c>
      <c r="GC3" t="s">
        <v>2153</v>
      </c>
      <c r="GD3" t="s">
        <v>2152</v>
      </c>
      <c r="GE3" t="s">
        <v>2151</v>
      </c>
      <c r="GF3" t="s">
        <v>2150</v>
      </c>
      <c r="GG3" t="s">
        <v>2149</v>
      </c>
      <c r="GH3" t="s">
        <v>2148</v>
      </c>
      <c r="GI3" t="s">
        <v>2147</v>
      </c>
      <c r="GJ3" t="s">
        <v>2146</v>
      </c>
      <c r="GK3" t="s">
        <v>2145</v>
      </c>
      <c r="GL3" t="s">
        <v>2144</v>
      </c>
      <c r="GM3" t="s">
        <v>2143</v>
      </c>
      <c r="GN3" t="s">
        <v>2142</v>
      </c>
      <c r="GO3" t="s">
        <v>2141</v>
      </c>
      <c r="GP3" t="s">
        <v>2140</v>
      </c>
      <c r="GQ3" t="s">
        <v>2139</v>
      </c>
      <c r="GR3" t="s">
        <v>2138</v>
      </c>
      <c r="GS3" t="s">
        <v>2137</v>
      </c>
      <c r="GT3" t="s">
        <v>2136</v>
      </c>
      <c r="GU3" t="s">
        <v>2135</v>
      </c>
      <c r="GV3" t="s">
        <v>2134</v>
      </c>
      <c r="GW3" t="s">
        <v>2133</v>
      </c>
      <c r="GX3" t="s">
        <v>2132</v>
      </c>
      <c r="GY3" t="s">
        <v>2131</v>
      </c>
      <c r="GZ3" t="s">
        <v>2130</v>
      </c>
      <c r="HA3" t="s">
        <v>2129</v>
      </c>
      <c r="HB3" t="s">
        <v>2128</v>
      </c>
      <c r="HC3" t="s">
        <v>2127</v>
      </c>
      <c r="HD3" t="s">
        <v>2126</v>
      </c>
      <c r="HE3" t="s">
        <v>2125</v>
      </c>
      <c r="HF3" t="s">
        <v>2124</v>
      </c>
      <c r="HG3" t="s">
        <v>2123</v>
      </c>
      <c r="HH3" t="s">
        <v>4</v>
      </c>
      <c r="HI3" t="s">
        <v>2122</v>
      </c>
      <c r="HJ3" t="s">
        <v>2121</v>
      </c>
      <c r="HK3" t="s">
        <v>2120</v>
      </c>
      <c r="HL3" t="s">
        <v>2119</v>
      </c>
      <c r="HM3" t="s">
        <v>2118</v>
      </c>
      <c r="HN3" t="s">
        <v>2117</v>
      </c>
      <c r="HO3" t="s">
        <v>2116</v>
      </c>
      <c r="HP3" t="s">
        <v>6</v>
      </c>
      <c r="HQ3" t="s">
        <v>2115</v>
      </c>
      <c r="HR3" t="s">
        <v>2114</v>
      </c>
      <c r="HS3" t="s">
        <v>2113</v>
      </c>
      <c r="HT3" t="s">
        <v>2112</v>
      </c>
      <c r="HU3" t="s">
        <v>2111</v>
      </c>
      <c r="HV3" t="s">
        <v>2110</v>
      </c>
      <c r="HW3" t="s">
        <v>2109</v>
      </c>
      <c r="HX3" t="s">
        <v>2108</v>
      </c>
      <c r="HY3" t="s">
        <v>2107</v>
      </c>
      <c r="HZ3" t="s">
        <v>2106</v>
      </c>
      <c r="IA3" t="s">
        <v>2105</v>
      </c>
      <c r="IB3" t="s">
        <v>2104</v>
      </c>
      <c r="IC3" t="s">
        <v>2103</v>
      </c>
      <c r="ID3" t="s">
        <v>2102</v>
      </c>
      <c r="IE3" t="s">
        <v>2101</v>
      </c>
      <c r="IF3" t="s">
        <v>2100</v>
      </c>
      <c r="IG3" t="s">
        <v>2099</v>
      </c>
      <c r="IH3" t="s">
        <v>2098</v>
      </c>
      <c r="II3" t="s">
        <v>2097</v>
      </c>
      <c r="IJ3" t="s">
        <v>2096</v>
      </c>
      <c r="IK3" t="s">
        <v>2095</v>
      </c>
      <c r="IL3" t="s">
        <v>2094</v>
      </c>
      <c r="IM3" t="s">
        <v>2093</v>
      </c>
      <c r="IN3" t="s">
        <v>2092</v>
      </c>
      <c r="IO3" t="s">
        <v>2091</v>
      </c>
      <c r="IP3" t="s">
        <v>2090</v>
      </c>
      <c r="IQ3" t="s">
        <v>2089</v>
      </c>
    </row>
    <row r="4" spans="1:251" x14ac:dyDescent="0.35">
      <c r="B4">
        <v>1</v>
      </c>
      <c r="C4">
        <v>1225</v>
      </c>
      <c r="D4">
        <v>0</v>
      </c>
      <c r="E4">
        <v>0</v>
      </c>
      <c r="F4">
        <v>0</v>
      </c>
      <c r="G4">
        <v>0</v>
      </c>
      <c r="H4">
        <v>0</v>
      </c>
      <c r="I4">
        <v>0</v>
      </c>
      <c r="J4" t="s">
        <v>2088</v>
      </c>
      <c r="M4">
        <v>0</v>
      </c>
      <c r="Q4">
        <v>0</v>
      </c>
      <c r="S4">
        <v>0</v>
      </c>
      <c r="T4">
        <v>0</v>
      </c>
      <c r="U4">
        <v>0</v>
      </c>
      <c r="W4">
        <v>5.0999999999999997E-2</v>
      </c>
      <c r="X4" t="s">
        <v>1085</v>
      </c>
      <c r="Y4" t="s">
        <v>1042</v>
      </c>
      <c r="Z4" t="s">
        <v>1042</v>
      </c>
      <c r="AA4" t="s">
        <v>1042</v>
      </c>
      <c r="AB4" t="s">
        <v>1042</v>
      </c>
      <c r="AC4" t="s">
        <v>1042</v>
      </c>
      <c r="AD4" t="s">
        <v>1042</v>
      </c>
      <c r="AE4">
        <v>0</v>
      </c>
      <c r="AG4">
        <v>0</v>
      </c>
      <c r="AH4">
        <v>0</v>
      </c>
      <c r="AI4">
        <v>0</v>
      </c>
      <c r="AJ4">
        <v>0</v>
      </c>
      <c r="AM4">
        <v>160</v>
      </c>
      <c r="AP4">
        <v>0</v>
      </c>
      <c r="AR4" t="s">
        <v>1047</v>
      </c>
      <c r="AV4">
        <v>0</v>
      </c>
      <c r="AW4">
        <v>0</v>
      </c>
      <c r="AX4">
        <v>0</v>
      </c>
      <c r="AY4">
        <v>0</v>
      </c>
      <c r="AZ4">
        <v>0</v>
      </c>
      <c r="BA4">
        <v>0</v>
      </c>
      <c r="BB4">
        <v>0</v>
      </c>
      <c r="BD4">
        <v>0</v>
      </c>
      <c r="BE4">
        <v>0</v>
      </c>
      <c r="BM4">
        <v>0</v>
      </c>
      <c r="BN4">
        <v>0</v>
      </c>
      <c r="BO4">
        <v>0</v>
      </c>
      <c r="BP4">
        <v>0</v>
      </c>
      <c r="BQ4">
        <v>0</v>
      </c>
      <c r="BR4">
        <v>0</v>
      </c>
      <c r="BS4">
        <v>0</v>
      </c>
      <c r="BU4">
        <v>0.27500000000000002</v>
      </c>
      <c r="BV4">
        <v>0.12</v>
      </c>
      <c r="BW4">
        <v>0.27500000000000002</v>
      </c>
      <c r="BX4">
        <v>0</v>
      </c>
      <c r="BY4">
        <v>0</v>
      </c>
      <c r="BZ4">
        <v>0</v>
      </c>
      <c r="CA4">
        <v>0</v>
      </c>
      <c r="CM4" t="s">
        <v>2034</v>
      </c>
      <c r="CR4">
        <v>0</v>
      </c>
      <c r="CS4">
        <v>0</v>
      </c>
      <c r="CT4">
        <v>0</v>
      </c>
      <c r="CU4">
        <v>0</v>
      </c>
      <c r="CX4">
        <v>0</v>
      </c>
      <c r="CY4">
        <v>0</v>
      </c>
      <c r="CZ4">
        <v>0</v>
      </c>
      <c r="DA4">
        <v>0</v>
      </c>
      <c r="DB4">
        <v>0</v>
      </c>
      <c r="DD4">
        <v>0</v>
      </c>
      <c r="DK4">
        <v>0</v>
      </c>
      <c r="DL4">
        <v>0</v>
      </c>
      <c r="DM4">
        <v>0</v>
      </c>
      <c r="DN4">
        <v>0</v>
      </c>
      <c r="DO4">
        <v>0</v>
      </c>
      <c r="DP4">
        <v>0</v>
      </c>
      <c r="DQ4">
        <v>0</v>
      </c>
      <c r="DR4">
        <v>0</v>
      </c>
      <c r="DW4" t="s">
        <v>1042</v>
      </c>
      <c r="DX4">
        <v>0</v>
      </c>
      <c r="DZ4">
        <v>0</v>
      </c>
      <c r="EA4">
        <v>0</v>
      </c>
      <c r="EC4">
        <v>0</v>
      </c>
      <c r="EM4">
        <v>0</v>
      </c>
      <c r="EN4">
        <v>0</v>
      </c>
      <c r="EO4">
        <v>0</v>
      </c>
      <c r="EY4">
        <v>0</v>
      </c>
      <c r="EZ4">
        <v>0</v>
      </c>
      <c r="FA4">
        <v>0</v>
      </c>
      <c r="FB4">
        <v>0</v>
      </c>
      <c r="FD4" t="s">
        <v>2029</v>
      </c>
      <c r="FF4">
        <v>0</v>
      </c>
      <c r="FG4">
        <v>0</v>
      </c>
      <c r="FR4">
        <v>0</v>
      </c>
      <c r="FS4">
        <v>0</v>
      </c>
      <c r="GD4">
        <v>0</v>
      </c>
      <c r="GL4">
        <v>0</v>
      </c>
      <c r="GM4">
        <v>0</v>
      </c>
      <c r="GN4">
        <v>0</v>
      </c>
      <c r="GP4" t="s">
        <v>1042</v>
      </c>
      <c r="GQ4" t="s">
        <v>2027</v>
      </c>
      <c r="HH4">
        <v>0</v>
      </c>
      <c r="HI4">
        <v>0</v>
      </c>
      <c r="HP4">
        <v>0</v>
      </c>
      <c r="HZ4">
        <v>0</v>
      </c>
      <c r="IB4">
        <v>0</v>
      </c>
      <c r="IC4">
        <v>0</v>
      </c>
      <c r="IG4" t="s">
        <v>1042</v>
      </c>
      <c r="IJ4" t="s">
        <v>1042</v>
      </c>
      <c r="IM4">
        <v>0</v>
      </c>
      <c r="IN4" t="s">
        <v>2024</v>
      </c>
      <c r="IO4">
        <v>7897801317092</v>
      </c>
    </row>
    <row r="5" spans="1:251" x14ac:dyDescent="0.35">
      <c r="B5">
        <v>1</v>
      </c>
      <c r="C5">
        <v>1226</v>
      </c>
      <c r="D5">
        <v>0</v>
      </c>
      <c r="E5">
        <v>0</v>
      </c>
      <c r="F5">
        <v>0</v>
      </c>
      <c r="G5">
        <v>0</v>
      </c>
      <c r="H5">
        <v>0</v>
      </c>
      <c r="I5">
        <v>0</v>
      </c>
      <c r="J5" t="s">
        <v>2087</v>
      </c>
      <c r="M5">
        <v>0</v>
      </c>
      <c r="Q5">
        <v>0</v>
      </c>
      <c r="S5">
        <v>0</v>
      </c>
      <c r="T5">
        <v>0</v>
      </c>
      <c r="U5">
        <v>0</v>
      </c>
      <c r="W5">
        <v>5.0999999999999997E-2</v>
      </c>
      <c r="X5" t="s">
        <v>1085</v>
      </c>
      <c r="Y5" t="s">
        <v>1042</v>
      </c>
      <c r="Z5" t="s">
        <v>1042</v>
      </c>
      <c r="AA5" t="s">
        <v>1042</v>
      </c>
      <c r="AB5" t="s">
        <v>1042</v>
      </c>
      <c r="AC5" t="s">
        <v>1042</v>
      </c>
      <c r="AD5" t="s">
        <v>1042</v>
      </c>
      <c r="AE5">
        <v>0</v>
      </c>
      <c r="AG5">
        <v>0</v>
      </c>
      <c r="AH5">
        <v>0</v>
      </c>
      <c r="AI5">
        <v>0</v>
      </c>
      <c r="AJ5">
        <v>0</v>
      </c>
      <c r="AM5">
        <v>160</v>
      </c>
      <c r="AP5">
        <v>0</v>
      </c>
      <c r="AR5" t="s">
        <v>1047</v>
      </c>
      <c r="AV5">
        <v>0</v>
      </c>
      <c r="AW5">
        <v>0</v>
      </c>
      <c r="AX5">
        <v>0</v>
      </c>
      <c r="AY5">
        <v>0</v>
      </c>
      <c r="AZ5">
        <v>0</v>
      </c>
      <c r="BA5">
        <v>0</v>
      </c>
      <c r="BB5">
        <v>0</v>
      </c>
      <c r="BD5">
        <v>0</v>
      </c>
      <c r="BE5">
        <v>0</v>
      </c>
      <c r="BM5">
        <v>0</v>
      </c>
      <c r="BN5">
        <v>0</v>
      </c>
      <c r="BO5">
        <v>0</v>
      </c>
      <c r="BP5">
        <v>0</v>
      </c>
      <c r="BQ5">
        <v>0</v>
      </c>
      <c r="BR5">
        <v>0</v>
      </c>
      <c r="BS5">
        <v>0</v>
      </c>
      <c r="BU5">
        <v>0.39500000000000002</v>
      </c>
      <c r="BV5">
        <v>0.14499999999999999</v>
      </c>
      <c r="BW5">
        <v>0.39500000000000002</v>
      </c>
      <c r="BX5">
        <v>0</v>
      </c>
      <c r="BY5">
        <v>0</v>
      </c>
      <c r="BZ5">
        <v>0</v>
      </c>
      <c r="CA5">
        <v>0</v>
      </c>
      <c r="CM5" t="s">
        <v>2034</v>
      </c>
      <c r="CR5">
        <v>0</v>
      </c>
      <c r="CS5">
        <v>0</v>
      </c>
      <c r="CT5">
        <v>0</v>
      </c>
      <c r="CU5">
        <v>0</v>
      </c>
      <c r="CX5">
        <v>0</v>
      </c>
      <c r="CY5">
        <v>0</v>
      </c>
      <c r="CZ5">
        <v>0</v>
      </c>
      <c r="DA5">
        <v>0</v>
      </c>
      <c r="DB5">
        <v>0</v>
      </c>
      <c r="DD5">
        <v>0</v>
      </c>
      <c r="DK5">
        <v>0</v>
      </c>
      <c r="DL5">
        <v>0</v>
      </c>
      <c r="DM5">
        <v>0</v>
      </c>
      <c r="DN5">
        <v>0</v>
      </c>
      <c r="DO5">
        <v>0</v>
      </c>
      <c r="DP5">
        <v>0</v>
      </c>
      <c r="DQ5">
        <v>0</v>
      </c>
      <c r="DR5">
        <v>0</v>
      </c>
      <c r="DW5" t="s">
        <v>1042</v>
      </c>
      <c r="DX5">
        <v>0</v>
      </c>
      <c r="DZ5">
        <v>0</v>
      </c>
      <c r="EA5">
        <v>0</v>
      </c>
      <c r="EC5">
        <v>0</v>
      </c>
      <c r="EM5">
        <v>0</v>
      </c>
      <c r="EN5">
        <v>0</v>
      </c>
      <c r="EO5">
        <v>0</v>
      </c>
      <c r="EY5">
        <v>0</v>
      </c>
      <c r="EZ5">
        <v>0</v>
      </c>
      <c r="FA5">
        <v>0</v>
      </c>
      <c r="FB5">
        <v>0</v>
      </c>
      <c r="FD5" t="s">
        <v>2029</v>
      </c>
      <c r="FF5">
        <v>0</v>
      </c>
      <c r="FG5">
        <v>0</v>
      </c>
      <c r="FR5">
        <v>0</v>
      </c>
      <c r="FS5">
        <v>0</v>
      </c>
      <c r="GD5">
        <v>0</v>
      </c>
      <c r="GL5">
        <v>0</v>
      </c>
      <c r="GM5">
        <v>0</v>
      </c>
      <c r="GN5">
        <v>0</v>
      </c>
      <c r="GP5" t="s">
        <v>1042</v>
      </c>
      <c r="GQ5" t="s">
        <v>2027</v>
      </c>
      <c r="HH5">
        <v>0</v>
      </c>
      <c r="HI5">
        <v>0</v>
      </c>
      <c r="HP5">
        <v>0</v>
      </c>
      <c r="HZ5">
        <v>0</v>
      </c>
      <c r="IB5">
        <v>0</v>
      </c>
      <c r="IC5">
        <v>0</v>
      </c>
      <c r="IG5" t="s">
        <v>1042</v>
      </c>
      <c r="IJ5" t="s">
        <v>1042</v>
      </c>
      <c r="IM5">
        <v>0</v>
      </c>
      <c r="IN5" t="s">
        <v>2024</v>
      </c>
      <c r="IO5">
        <v>7897801317108</v>
      </c>
    </row>
    <row r="6" spans="1:251" x14ac:dyDescent="0.35">
      <c r="B6">
        <v>1</v>
      </c>
      <c r="C6">
        <v>1227</v>
      </c>
      <c r="D6">
        <v>0</v>
      </c>
      <c r="E6">
        <v>0</v>
      </c>
      <c r="F6">
        <v>0</v>
      </c>
      <c r="G6">
        <v>0</v>
      </c>
      <c r="H6">
        <v>0</v>
      </c>
      <c r="I6">
        <v>0</v>
      </c>
      <c r="J6" t="s">
        <v>2086</v>
      </c>
      <c r="M6">
        <v>0</v>
      </c>
      <c r="Q6">
        <v>0</v>
      </c>
      <c r="S6">
        <v>0</v>
      </c>
      <c r="T6">
        <v>0</v>
      </c>
      <c r="U6">
        <v>0</v>
      </c>
      <c r="W6">
        <v>6.4699999999999994E-2</v>
      </c>
      <c r="X6" t="s">
        <v>1085</v>
      </c>
      <c r="Y6" t="s">
        <v>1042</v>
      </c>
      <c r="Z6" t="s">
        <v>1042</v>
      </c>
      <c r="AA6" t="s">
        <v>1042</v>
      </c>
      <c r="AB6" t="s">
        <v>1042</v>
      </c>
      <c r="AC6" t="s">
        <v>1042</v>
      </c>
      <c r="AD6" t="s">
        <v>1042</v>
      </c>
      <c r="AE6">
        <v>0</v>
      </c>
      <c r="AG6">
        <v>0</v>
      </c>
      <c r="AH6">
        <v>0</v>
      </c>
      <c r="AI6">
        <v>0</v>
      </c>
      <c r="AJ6">
        <v>0</v>
      </c>
      <c r="AM6">
        <v>160</v>
      </c>
      <c r="AP6">
        <v>0</v>
      </c>
      <c r="AR6" t="s">
        <v>1047</v>
      </c>
      <c r="AV6">
        <v>0</v>
      </c>
      <c r="AW6">
        <v>0</v>
      </c>
      <c r="AX6">
        <v>0</v>
      </c>
      <c r="AY6">
        <v>0</v>
      </c>
      <c r="AZ6">
        <v>0</v>
      </c>
      <c r="BA6">
        <v>0</v>
      </c>
      <c r="BB6">
        <v>0</v>
      </c>
      <c r="BD6">
        <v>0</v>
      </c>
      <c r="BE6">
        <v>0</v>
      </c>
      <c r="BM6">
        <v>0</v>
      </c>
      <c r="BN6">
        <v>0</v>
      </c>
      <c r="BO6">
        <v>0</v>
      </c>
      <c r="BP6">
        <v>0</v>
      </c>
      <c r="BQ6">
        <v>0</v>
      </c>
      <c r="BR6">
        <v>0</v>
      </c>
      <c r="BS6">
        <v>0</v>
      </c>
      <c r="BU6">
        <v>0.31</v>
      </c>
      <c r="BV6">
        <v>0.13500000000000001</v>
      </c>
      <c r="BW6">
        <v>0.31</v>
      </c>
      <c r="BX6">
        <v>0</v>
      </c>
      <c r="BY6">
        <v>0</v>
      </c>
      <c r="BZ6">
        <v>0</v>
      </c>
      <c r="CA6">
        <v>0</v>
      </c>
      <c r="CM6" t="s">
        <v>2034</v>
      </c>
      <c r="CR6">
        <v>0</v>
      </c>
      <c r="CS6">
        <v>0</v>
      </c>
      <c r="CT6">
        <v>0</v>
      </c>
      <c r="CU6">
        <v>0</v>
      </c>
      <c r="CX6">
        <v>0</v>
      </c>
      <c r="CY6">
        <v>0</v>
      </c>
      <c r="CZ6">
        <v>0</v>
      </c>
      <c r="DA6">
        <v>0</v>
      </c>
      <c r="DB6">
        <v>0</v>
      </c>
      <c r="DD6">
        <v>0</v>
      </c>
      <c r="DK6">
        <v>0</v>
      </c>
      <c r="DL6">
        <v>0</v>
      </c>
      <c r="DM6">
        <v>0</v>
      </c>
      <c r="DN6">
        <v>0</v>
      </c>
      <c r="DO6">
        <v>0</v>
      </c>
      <c r="DP6">
        <v>0</v>
      </c>
      <c r="DQ6">
        <v>0</v>
      </c>
      <c r="DR6">
        <v>0</v>
      </c>
      <c r="DW6" t="s">
        <v>1042</v>
      </c>
      <c r="DX6">
        <v>0</v>
      </c>
      <c r="DZ6">
        <v>0</v>
      </c>
      <c r="EA6">
        <v>0</v>
      </c>
      <c r="EC6">
        <v>0</v>
      </c>
      <c r="EM6">
        <v>0</v>
      </c>
      <c r="EN6">
        <v>0</v>
      </c>
      <c r="EO6">
        <v>0</v>
      </c>
      <c r="EY6">
        <v>0</v>
      </c>
      <c r="EZ6">
        <v>0</v>
      </c>
      <c r="FA6">
        <v>0</v>
      </c>
      <c r="FB6">
        <v>0</v>
      </c>
      <c r="FD6" t="s">
        <v>2029</v>
      </c>
      <c r="FF6">
        <v>0</v>
      </c>
      <c r="FG6">
        <v>0</v>
      </c>
      <c r="FR6">
        <v>0</v>
      </c>
      <c r="FS6">
        <v>0</v>
      </c>
      <c r="GD6">
        <v>0</v>
      </c>
      <c r="GL6">
        <v>0</v>
      </c>
      <c r="GM6">
        <v>0</v>
      </c>
      <c r="GN6">
        <v>0</v>
      </c>
      <c r="GP6" t="s">
        <v>1042</v>
      </c>
      <c r="GQ6" t="s">
        <v>2027</v>
      </c>
      <c r="HH6">
        <v>0</v>
      </c>
      <c r="HI6">
        <v>0</v>
      </c>
      <c r="HP6">
        <v>0</v>
      </c>
      <c r="HZ6">
        <v>0</v>
      </c>
      <c r="IB6">
        <v>0</v>
      </c>
      <c r="IC6">
        <v>0</v>
      </c>
      <c r="IG6" t="s">
        <v>1042</v>
      </c>
      <c r="IJ6" t="s">
        <v>1042</v>
      </c>
      <c r="IM6">
        <v>0</v>
      </c>
      <c r="IN6" t="s">
        <v>2024</v>
      </c>
      <c r="IO6">
        <v>7897801317115</v>
      </c>
    </row>
    <row r="7" spans="1:251" x14ac:dyDescent="0.35">
      <c r="B7">
        <v>1</v>
      </c>
      <c r="C7">
        <v>1228</v>
      </c>
      <c r="D7">
        <v>0</v>
      </c>
      <c r="E7">
        <v>0</v>
      </c>
      <c r="F7">
        <v>0</v>
      </c>
      <c r="G7">
        <v>0</v>
      </c>
      <c r="H7">
        <v>0</v>
      </c>
      <c r="I7">
        <v>0</v>
      </c>
      <c r="J7" t="s">
        <v>2085</v>
      </c>
      <c r="M7">
        <v>0</v>
      </c>
      <c r="Q7">
        <v>0</v>
      </c>
      <c r="S7">
        <v>0</v>
      </c>
      <c r="T7">
        <v>0</v>
      </c>
      <c r="U7">
        <v>0</v>
      </c>
      <c r="W7">
        <v>6.5199999999999994E-2</v>
      </c>
      <c r="X7" t="s">
        <v>1085</v>
      </c>
      <c r="Y7" t="s">
        <v>1042</v>
      </c>
      <c r="Z7" t="s">
        <v>1042</v>
      </c>
      <c r="AA7" t="s">
        <v>1042</v>
      </c>
      <c r="AB7" t="s">
        <v>1042</v>
      </c>
      <c r="AC7" t="s">
        <v>1042</v>
      </c>
      <c r="AD7" t="s">
        <v>1042</v>
      </c>
      <c r="AE7">
        <v>0</v>
      </c>
      <c r="AG7">
        <v>0</v>
      </c>
      <c r="AH7">
        <v>0</v>
      </c>
      <c r="AI7">
        <v>0</v>
      </c>
      <c r="AJ7">
        <v>0</v>
      </c>
      <c r="AM7">
        <v>160</v>
      </c>
      <c r="AP7">
        <v>0</v>
      </c>
      <c r="AR7" t="s">
        <v>1047</v>
      </c>
      <c r="AV7">
        <v>0</v>
      </c>
      <c r="AW7">
        <v>0</v>
      </c>
      <c r="AX7">
        <v>0</v>
      </c>
      <c r="AY7">
        <v>0</v>
      </c>
      <c r="AZ7">
        <v>0</v>
      </c>
      <c r="BA7">
        <v>0</v>
      </c>
      <c r="BB7">
        <v>0</v>
      </c>
      <c r="BD7">
        <v>0</v>
      </c>
      <c r="BE7">
        <v>0</v>
      </c>
      <c r="BM7">
        <v>0</v>
      </c>
      <c r="BN7">
        <v>0</v>
      </c>
      <c r="BO7">
        <v>0</v>
      </c>
      <c r="BP7">
        <v>0</v>
      </c>
      <c r="BQ7">
        <v>0</v>
      </c>
      <c r="BR7">
        <v>0</v>
      </c>
      <c r="BS7">
        <v>0</v>
      </c>
      <c r="BU7">
        <v>0.38500000000000001</v>
      </c>
      <c r="BV7">
        <v>0.21</v>
      </c>
      <c r="BW7">
        <v>0.38500000000000001</v>
      </c>
      <c r="BX7">
        <v>0</v>
      </c>
      <c r="BY7">
        <v>0</v>
      </c>
      <c r="BZ7">
        <v>0</v>
      </c>
      <c r="CA7">
        <v>0</v>
      </c>
      <c r="CM7" t="s">
        <v>2034</v>
      </c>
      <c r="CR7">
        <v>0</v>
      </c>
      <c r="CS7">
        <v>0</v>
      </c>
      <c r="CT7">
        <v>0</v>
      </c>
      <c r="CU7">
        <v>0</v>
      </c>
      <c r="CX7">
        <v>0</v>
      </c>
      <c r="CY7">
        <v>0</v>
      </c>
      <c r="CZ7">
        <v>0</v>
      </c>
      <c r="DA7">
        <v>0</v>
      </c>
      <c r="DB7">
        <v>0</v>
      </c>
      <c r="DD7">
        <v>0</v>
      </c>
      <c r="DK7">
        <v>0</v>
      </c>
      <c r="DL7">
        <v>0</v>
      </c>
      <c r="DM7">
        <v>0</v>
      </c>
      <c r="DN7">
        <v>0</v>
      </c>
      <c r="DO7">
        <v>0</v>
      </c>
      <c r="DP7">
        <v>0</v>
      </c>
      <c r="DQ7">
        <v>0</v>
      </c>
      <c r="DR7">
        <v>0</v>
      </c>
      <c r="DW7" t="s">
        <v>1042</v>
      </c>
      <c r="DX7">
        <v>0</v>
      </c>
      <c r="DZ7">
        <v>0</v>
      </c>
      <c r="EA7">
        <v>0</v>
      </c>
      <c r="EC7">
        <v>0</v>
      </c>
      <c r="EM7">
        <v>0</v>
      </c>
      <c r="EN7">
        <v>0</v>
      </c>
      <c r="EO7">
        <v>0</v>
      </c>
      <c r="EY7">
        <v>0</v>
      </c>
      <c r="EZ7">
        <v>0</v>
      </c>
      <c r="FA7">
        <v>0</v>
      </c>
      <c r="FB7">
        <v>0</v>
      </c>
      <c r="FD7" t="s">
        <v>2029</v>
      </c>
      <c r="FF7">
        <v>0</v>
      </c>
      <c r="FG7">
        <v>0</v>
      </c>
      <c r="FR7">
        <v>0</v>
      </c>
      <c r="FS7">
        <v>0</v>
      </c>
      <c r="GD7">
        <v>0</v>
      </c>
      <c r="GL7">
        <v>0</v>
      </c>
      <c r="GM7">
        <v>0</v>
      </c>
      <c r="GN7">
        <v>0</v>
      </c>
      <c r="GP7" t="s">
        <v>1042</v>
      </c>
      <c r="GQ7" t="s">
        <v>2027</v>
      </c>
      <c r="HH7">
        <v>0</v>
      </c>
      <c r="HI7">
        <v>0</v>
      </c>
      <c r="HP7">
        <v>0</v>
      </c>
      <c r="HZ7">
        <v>0</v>
      </c>
      <c r="IB7">
        <v>0</v>
      </c>
      <c r="IC7">
        <v>0</v>
      </c>
      <c r="IG7" t="s">
        <v>1042</v>
      </c>
      <c r="IJ7" t="s">
        <v>1042</v>
      </c>
      <c r="IM7">
        <v>0</v>
      </c>
      <c r="IN7" t="s">
        <v>2024</v>
      </c>
      <c r="IO7">
        <v>7897801317122</v>
      </c>
    </row>
    <row r="8" spans="1:251" x14ac:dyDescent="0.35">
      <c r="B8">
        <v>1</v>
      </c>
      <c r="C8">
        <v>1229</v>
      </c>
      <c r="D8">
        <v>0</v>
      </c>
      <c r="E8">
        <v>0</v>
      </c>
      <c r="F8">
        <v>0</v>
      </c>
      <c r="G8">
        <v>0</v>
      </c>
      <c r="H8">
        <v>0</v>
      </c>
      <c r="I8">
        <v>0</v>
      </c>
      <c r="J8" t="s">
        <v>2084</v>
      </c>
      <c r="M8">
        <v>0</v>
      </c>
      <c r="Q8">
        <v>0</v>
      </c>
      <c r="S8">
        <v>0</v>
      </c>
      <c r="T8">
        <v>0</v>
      </c>
      <c r="U8">
        <v>0</v>
      </c>
      <c r="W8">
        <v>0</v>
      </c>
      <c r="Y8" t="s">
        <v>1042</v>
      </c>
      <c r="Z8" t="s">
        <v>1042</v>
      </c>
      <c r="AA8" t="s">
        <v>1042</v>
      </c>
      <c r="AB8" t="s">
        <v>1042</v>
      </c>
      <c r="AC8" t="s">
        <v>1042</v>
      </c>
      <c r="AD8" t="s">
        <v>1042</v>
      </c>
      <c r="AE8">
        <v>0</v>
      </c>
      <c r="AG8">
        <v>0</v>
      </c>
      <c r="AH8">
        <v>0</v>
      </c>
      <c r="AI8">
        <v>0</v>
      </c>
      <c r="AJ8">
        <v>0</v>
      </c>
      <c r="AM8">
        <v>160</v>
      </c>
      <c r="AP8">
        <v>0</v>
      </c>
      <c r="AR8" t="s">
        <v>1047</v>
      </c>
      <c r="AV8">
        <v>0</v>
      </c>
      <c r="AW8">
        <v>0</v>
      </c>
      <c r="AX8">
        <v>0</v>
      </c>
      <c r="AY8">
        <v>0</v>
      </c>
      <c r="AZ8">
        <v>0</v>
      </c>
      <c r="BA8">
        <v>0</v>
      </c>
      <c r="BB8">
        <v>0</v>
      </c>
      <c r="BD8">
        <v>0</v>
      </c>
      <c r="BE8">
        <v>0</v>
      </c>
      <c r="BM8">
        <v>0</v>
      </c>
      <c r="BN8">
        <v>0</v>
      </c>
      <c r="BO8">
        <v>0</v>
      </c>
      <c r="BP8">
        <v>0</v>
      </c>
      <c r="BQ8">
        <v>0</v>
      </c>
      <c r="BR8">
        <v>0</v>
      </c>
      <c r="BS8">
        <v>0</v>
      </c>
      <c r="BU8">
        <v>0.33500000000000002</v>
      </c>
      <c r="BV8">
        <v>0.16500000000000001</v>
      </c>
      <c r="BW8">
        <v>0.33500000000000002</v>
      </c>
      <c r="BX8">
        <v>0</v>
      </c>
      <c r="BY8">
        <v>0</v>
      </c>
      <c r="BZ8">
        <v>0</v>
      </c>
      <c r="CA8">
        <v>0</v>
      </c>
      <c r="CM8" t="s">
        <v>2034</v>
      </c>
      <c r="CR8">
        <v>0</v>
      </c>
      <c r="CS8">
        <v>0</v>
      </c>
      <c r="CT8">
        <v>0</v>
      </c>
      <c r="CU8">
        <v>0</v>
      </c>
      <c r="CX8">
        <v>0</v>
      </c>
      <c r="CY8">
        <v>0</v>
      </c>
      <c r="CZ8">
        <v>0</v>
      </c>
      <c r="DA8">
        <v>0</v>
      </c>
      <c r="DB8">
        <v>0</v>
      </c>
      <c r="DD8">
        <v>0</v>
      </c>
      <c r="DK8">
        <v>0</v>
      </c>
      <c r="DL8">
        <v>0</v>
      </c>
      <c r="DM8">
        <v>0</v>
      </c>
      <c r="DN8">
        <v>0</v>
      </c>
      <c r="DO8">
        <v>0</v>
      </c>
      <c r="DP8">
        <v>0</v>
      </c>
      <c r="DQ8">
        <v>0</v>
      </c>
      <c r="DR8">
        <v>0</v>
      </c>
      <c r="DW8" t="s">
        <v>1042</v>
      </c>
      <c r="DX8">
        <v>0</v>
      </c>
      <c r="DZ8">
        <v>0</v>
      </c>
      <c r="EA8">
        <v>0</v>
      </c>
      <c r="EC8">
        <v>0</v>
      </c>
      <c r="EM8">
        <v>0</v>
      </c>
      <c r="EN8">
        <v>0</v>
      </c>
      <c r="EO8">
        <v>0</v>
      </c>
      <c r="EY8">
        <v>0</v>
      </c>
      <c r="EZ8">
        <v>0</v>
      </c>
      <c r="FA8">
        <v>0</v>
      </c>
      <c r="FB8">
        <v>0</v>
      </c>
      <c r="FD8" t="s">
        <v>2029</v>
      </c>
      <c r="FF8">
        <v>0</v>
      </c>
      <c r="FG8">
        <v>0</v>
      </c>
      <c r="FR8">
        <v>0</v>
      </c>
      <c r="FS8">
        <v>0</v>
      </c>
      <c r="GD8">
        <v>0</v>
      </c>
      <c r="GL8">
        <v>0</v>
      </c>
      <c r="GM8">
        <v>0</v>
      </c>
      <c r="GN8">
        <v>0</v>
      </c>
      <c r="GP8" t="s">
        <v>1042</v>
      </c>
      <c r="GQ8" t="s">
        <v>2027</v>
      </c>
      <c r="HH8">
        <v>0</v>
      </c>
      <c r="HI8">
        <v>0</v>
      </c>
      <c r="HP8">
        <v>0</v>
      </c>
      <c r="HZ8">
        <v>0</v>
      </c>
      <c r="IB8">
        <v>0</v>
      </c>
      <c r="IC8">
        <v>0</v>
      </c>
      <c r="IG8" t="s">
        <v>1042</v>
      </c>
      <c r="IJ8" t="s">
        <v>1042</v>
      </c>
      <c r="IM8">
        <v>0</v>
      </c>
      <c r="IN8" t="s">
        <v>2024</v>
      </c>
      <c r="IO8">
        <v>7897801317139</v>
      </c>
    </row>
    <row r="9" spans="1:251" x14ac:dyDescent="0.35">
      <c r="B9">
        <v>1</v>
      </c>
      <c r="C9">
        <v>1230</v>
      </c>
      <c r="D9">
        <v>0</v>
      </c>
      <c r="E9">
        <v>0</v>
      </c>
      <c r="F9">
        <v>0</v>
      </c>
      <c r="G9">
        <v>0</v>
      </c>
      <c r="H9">
        <v>0</v>
      </c>
      <c r="I9">
        <v>0</v>
      </c>
      <c r="J9" t="s">
        <v>2083</v>
      </c>
      <c r="M9">
        <v>500</v>
      </c>
      <c r="Q9">
        <v>200</v>
      </c>
      <c r="S9">
        <v>200</v>
      </c>
      <c r="T9">
        <v>0</v>
      </c>
      <c r="U9">
        <v>0</v>
      </c>
      <c r="W9">
        <v>4.4999999999999998E-2</v>
      </c>
      <c r="X9" t="s">
        <v>1085</v>
      </c>
      <c r="Y9" t="s">
        <v>1042</v>
      </c>
      <c r="Z9" t="s">
        <v>1042</v>
      </c>
      <c r="AA9" t="s">
        <v>1042</v>
      </c>
      <c r="AB9" t="s">
        <v>1042</v>
      </c>
      <c r="AC9" t="s">
        <v>1042</v>
      </c>
      <c r="AD9" t="s">
        <v>1042</v>
      </c>
      <c r="AE9">
        <v>0</v>
      </c>
      <c r="AG9">
        <v>0</v>
      </c>
      <c r="AH9">
        <v>0</v>
      </c>
      <c r="AI9">
        <v>0</v>
      </c>
      <c r="AJ9">
        <v>0</v>
      </c>
      <c r="AK9" t="s">
        <v>1043</v>
      </c>
      <c r="AM9">
        <v>160</v>
      </c>
      <c r="AO9" t="s">
        <v>1044</v>
      </c>
      <c r="AP9">
        <v>0</v>
      </c>
      <c r="AR9" t="s">
        <v>1047</v>
      </c>
      <c r="AV9">
        <v>0</v>
      </c>
      <c r="AW9">
        <v>0</v>
      </c>
      <c r="AX9">
        <v>0</v>
      </c>
      <c r="AY9">
        <v>0</v>
      </c>
      <c r="AZ9">
        <v>0</v>
      </c>
      <c r="BA9">
        <v>0</v>
      </c>
      <c r="BB9">
        <v>0</v>
      </c>
      <c r="BC9" t="s">
        <v>1043</v>
      </c>
      <c r="BD9">
        <v>0</v>
      </c>
      <c r="BE9">
        <v>0</v>
      </c>
      <c r="BJ9" t="s">
        <v>1044</v>
      </c>
      <c r="BM9">
        <v>0</v>
      </c>
      <c r="BN9">
        <v>0</v>
      </c>
      <c r="BO9">
        <v>0</v>
      </c>
      <c r="BP9">
        <v>0</v>
      </c>
      <c r="BQ9">
        <v>0</v>
      </c>
      <c r="BR9">
        <v>0</v>
      </c>
      <c r="BS9">
        <v>0</v>
      </c>
      <c r="BU9">
        <v>0.39500000000000002</v>
      </c>
      <c r="BV9">
        <v>0.245</v>
      </c>
      <c r="BW9">
        <v>0.39500000000000002</v>
      </c>
      <c r="BX9">
        <v>0</v>
      </c>
      <c r="BY9">
        <v>0</v>
      </c>
      <c r="BZ9">
        <v>0</v>
      </c>
      <c r="CA9">
        <v>0</v>
      </c>
      <c r="CM9" t="s">
        <v>2034</v>
      </c>
      <c r="CN9" t="s">
        <v>1044</v>
      </c>
      <c r="CO9">
        <v>3917</v>
      </c>
      <c r="CR9">
        <v>0</v>
      </c>
      <c r="CS9">
        <v>0</v>
      </c>
      <c r="CT9">
        <v>0</v>
      </c>
      <c r="CU9">
        <v>0</v>
      </c>
      <c r="CX9">
        <v>0</v>
      </c>
      <c r="CY9">
        <v>0</v>
      </c>
      <c r="CZ9">
        <v>0</v>
      </c>
      <c r="DA9">
        <v>0</v>
      </c>
      <c r="DB9">
        <v>0</v>
      </c>
      <c r="DD9">
        <v>0</v>
      </c>
      <c r="DK9">
        <v>0</v>
      </c>
      <c r="DL9">
        <v>0</v>
      </c>
      <c r="DM9">
        <v>0</v>
      </c>
      <c r="DN9">
        <v>0</v>
      </c>
      <c r="DO9">
        <v>0</v>
      </c>
      <c r="DP9">
        <v>0</v>
      </c>
      <c r="DQ9">
        <v>0</v>
      </c>
      <c r="DR9">
        <v>0</v>
      </c>
      <c r="DW9" t="s">
        <v>1042</v>
      </c>
      <c r="DX9">
        <v>0</v>
      </c>
      <c r="DZ9">
        <v>0</v>
      </c>
      <c r="EA9">
        <v>0</v>
      </c>
      <c r="EC9">
        <v>0</v>
      </c>
      <c r="EM9">
        <v>0</v>
      </c>
      <c r="EN9">
        <v>0</v>
      </c>
      <c r="EO9">
        <v>0</v>
      </c>
      <c r="EY9">
        <v>0</v>
      </c>
      <c r="EZ9">
        <v>0</v>
      </c>
      <c r="FA9">
        <v>0</v>
      </c>
      <c r="FB9">
        <v>0</v>
      </c>
      <c r="FD9" t="s">
        <v>2029</v>
      </c>
      <c r="FF9">
        <v>0</v>
      </c>
      <c r="FG9">
        <v>0</v>
      </c>
      <c r="FR9">
        <v>0</v>
      </c>
      <c r="FS9">
        <v>0</v>
      </c>
      <c r="GD9">
        <v>0</v>
      </c>
      <c r="GL9">
        <v>0</v>
      </c>
      <c r="GM9">
        <v>0</v>
      </c>
      <c r="GN9">
        <v>0</v>
      </c>
      <c r="GP9" t="s">
        <v>1042</v>
      </c>
      <c r="GQ9" t="s">
        <v>2027</v>
      </c>
      <c r="HH9">
        <v>0</v>
      </c>
      <c r="HI9">
        <v>0</v>
      </c>
      <c r="HP9">
        <v>0</v>
      </c>
      <c r="HZ9">
        <v>0</v>
      </c>
      <c r="IB9">
        <v>0</v>
      </c>
      <c r="IC9">
        <v>0</v>
      </c>
      <c r="IG9" t="s">
        <v>1042</v>
      </c>
      <c r="IJ9" t="s">
        <v>1042</v>
      </c>
      <c r="IM9">
        <v>0</v>
      </c>
      <c r="IN9" t="s">
        <v>2024</v>
      </c>
      <c r="IO9">
        <v>7897801309615</v>
      </c>
    </row>
    <row r="10" spans="1:251" x14ac:dyDescent="0.35">
      <c r="B10">
        <v>1</v>
      </c>
      <c r="C10">
        <v>1231</v>
      </c>
      <c r="D10">
        <v>0</v>
      </c>
      <c r="E10">
        <v>0</v>
      </c>
      <c r="F10">
        <v>0</v>
      </c>
      <c r="G10">
        <v>0</v>
      </c>
      <c r="H10">
        <v>0</v>
      </c>
      <c r="I10">
        <v>0</v>
      </c>
      <c r="J10" t="s">
        <v>2082</v>
      </c>
      <c r="M10">
        <v>250</v>
      </c>
      <c r="Q10">
        <v>490</v>
      </c>
      <c r="S10">
        <v>490</v>
      </c>
      <c r="T10">
        <v>0</v>
      </c>
      <c r="U10">
        <v>0</v>
      </c>
      <c r="W10">
        <v>6.3600000000000004E-2</v>
      </c>
      <c r="X10" t="s">
        <v>1085</v>
      </c>
      <c r="Y10" t="s">
        <v>1042</v>
      </c>
      <c r="Z10" t="s">
        <v>1042</v>
      </c>
      <c r="AA10" t="s">
        <v>1042</v>
      </c>
      <c r="AB10" t="s">
        <v>1042</v>
      </c>
      <c r="AC10" t="s">
        <v>1042</v>
      </c>
      <c r="AD10" t="s">
        <v>1042</v>
      </c>
      <c r="AE10">
        <v>0</v>
      </c>
      <c r="AG10">
        <v>0</v>
      </c>
      <c r="AH10">
        <v>0</v>
      </c>
      <c r="AI10">
        <v>0</v>
      </c>
      <c r="AJ10">
        <v>0</v>
      </c>
      <c r="AK10" t="s">
        <v>1043</v>
      </c>
      <c r="AM10">
        <v>160</v>
      </c>
      <c r="AO10" t="s">
        <v>1044</v>
      </c>
      <c r="AP10">
        <v>0</v>
      </c>
      <c r="AR10" t="s">
        <v>1047</v>
      </c>
      <c r="AV10">
        <v>0</v>
      </c>
      <c r="AW10">
        <v>0</v>
      </c>
      <c r="AX10">
        <v>0</v>
      </c>
      <c r="AY10">
        <v>0</v>
      </c>
      <c r="AZ10">
        <v>0</v>
      </c>
      <c r="BA10">
        <v>0</v>
      </c>
      <c r="BB10">
        <v>0</v>
      </c>
      <c r="BC10" t="s">
        <v>1043</v>
      </c>
      <c r="BD10">
        <v>0</v>
      </c>
      <c r="BE10">
        <v>0</v>
      </c>
      <c r="BJ10" t="s">
        <v>1044</v>
      </c>
      <c r="BM10">
        <v>0</v>
      </c>
      <c r="BN10">
        <v>0</v>
      </c>
      <c r="BO10">
        <v>0</v>
      </c>
      <c r="BP10">
        <v>0</v>
      </c>
      <c r="BQ10">
        <v>0</v>
      </c>
      <c r="BR10">
        <v>0</v>
      </c>
      <c r="BS10">
        <v>0</v>
      </c>
      <c r="BU10">
        <v>0.495</v>
      </c>
      <c r="BV10">
        <v>0.215</v>
      </c>
      <c r="BW10">
        <v>0.495</v>
      </c>
      <c r="BX10">
        <v>0</v>
      </c>
      <c r="BY10">
        <v>0</v>
      </c>
      <c r="BZ10">
        <v>0</v>
      </c>
      <c r="CA10">
        <v>0</v>
      </c>
      <c r="CM10" t="s">
        <v>2034</v>
      </c>
      <c r="CN10" t="s">
        <v>1044</v>
      </c>
      <c r="CO10">
        <v>3917</v>
      </c>
      <c r="CR10">
        <v>0</v>
      </c>
      <c r="CS10">
        <v>0</v>
      </c>
      <c r="CT10">
        <v>0</v>
      </c>
      <c r="CU10">
        <v>0</v>
      </c>
      <c r="CX10">
        <v>0</v>
      </c>
      <c r="CY10">
        <v>0</v>
      </c>
      <c r="CZ10">
        <v>0</v>
      </c>
      <c r="DA10">
        <v>0</v>
      </c>
      <c r="DB10">
        <v>0</v>
      </c>
      <c r="DD10">
        <v>0</v>
      </c>
      <c r="DK10">
        <v>0</v>
      </c>
      <c r="DL10">
        <v>0</v>
      </c>
      <c r="DM10">
        <v>0</v>
      </c>
      <c r="DN10">
        <v>0</v>
      </c>
      <c r="DO10">
        <v>0</v>
      </c>
      <c r="DP10">
        <v>0</v>
      </c>
      <c r="DQ10">
        <v>0</v>
      </c>
      <c r="DR10">
        <v>0</v>
      </c>
      <c r="DW10" t="s">
        <v>1042</v>
      </c>
      <c r="DX10">
        <v>0</v>
      </c>
      <c r="DZ10">
        <v>0</v>
      </c>
      <c r="EA10">
        <v>0</v>
      </c>
      <c r="EC10">
        <v>0</v>
      </c>
      <c r="EM10">
        <v>0</v>
      </c>
      <c r="EN10">
        <v>0</v>
      </c>
      <c r="EO10">
        <v>0</v>
      </c>
      <c r="EY10">
        <v>0</v>
      </c>
      <c r="EZ10">
        <v>0</v>
      </c>
      <c r="FA10">
        <v>0</v>
      </c>
      <c r="FB10">
        <v>0</v>
      </c>
      <c r="FD10" t="s">
        <v>2029</v>
      </c>
      <c r="FF10">
        <v>0</v>
      </c>
      <c r="FG10">
        <v>0</v>
      </c>
      <c r="FR10">
        <v>0</v>
      </c>
      <c r="FS10">
        <v>0</v>
      </c>
      <c r="GD10">
        <v>0</v>
      </c>
      <c r="GL10">
        <v>0</v>
      </c>
      <c r="GM10">
        <v>0</v>
      </c>
      <c r="GN10">
        <v>0</v>
      </c>
      <c r="GP10" t="s">
        <v>1042</v>
      </c>
      <c r="GQ10" t="s">
        <v>2027</v>
      </c>
      <c r="HH10">
        <v>0</v>
      </c>
      <c r="HI10">
        <v>0</v>
      </c>
      <c r="HP10">
        <v>0</v>
      </c>
      <c r="HZ10">
        <v>0</v>
      </c>
      <c r="IB10">
        <v>0</v>
      </c>
      <c r="IC10">
        <v>0</v>
      </c>
      <c r="IG10" t="s">
        <v>1042</v>
      </c>
      <c r="IJ10" t="s">
        <v>1042</v>
      </c>
      <c r="IM10">
        <v>0</v>
      </c>
      <c r="IN10" t="s">
        <v>2024</v>
      </c>
      <c r="IO10">
        <v>7897801309622</v>
      </c>
    </row>
    <row r="11" spans="1:251" x14ac:dyDescent="0.35">
      <c r="B11">
        <v>1</v>
      </c>
      <c r="C11">
        <v>1232</v>
      </c>
      <c r="D11">
        <v>0</v>
      </c>
      <c r="E11">
        <v>0</v>
      </c>
      <c r="F11">
        <v>0</v>
      </c>
      <c r="G11">
        <v>0</v>
      </c>
      <c r="H11">
        <v>0</v>
      </c>
      <c r="I11">
        <v>0</v>
      </c>
      <c r="J11" t="s">
        <v>2081</v>
      </c>
      <c r="M11">
        <v>190</v>
      </c>
      <c r="Q11">
        <v>500</v>
      </c>
      <c r="S11">
        <v>500</v>
      </c>
      <c r="T11">
        <v>0</v>
      </c>
      <c r="U11">
        <v>0</v>
      </c>
      <c r="W11">
        <v>0.1</v>
      </c>
      <c r="X11" t="s">
        <v>1085</v>
      </c>
      <c r="Y11" t="s">
        <v>1042</v>
      </c>
      <c r="Z11" t="s">
        <v>1042</v>
      </c>
      <c r="AA11" t="s">
        <v>1042</v>
      </c>
      <c r="AB11" t="s">
        <v>1042</v>
      </c>
      <c r="AC11" t="s">
        <v>1042</v>
      </c>
      <c r="AD11" t="s">
        <v>1042</v>
      </c>
      <c r="AE11">
        <v>0</v>
      </c>
      <c r="AG11">
        <v>0</v>
      </c>
      <c r="AH11">
        <v>0</v>
      </c>
      <c r="AI11">
        <v>0</v>
      </c>
      <c r="AJ11">
        <v>0</v>
      </c>
      <c r="AK11" t="s">
        <v>1043</v>
      </c>
      <c r="AM11">
        <v>160</v>
      </c>
      <c r="AO11" t="s">
        <v>1044</v>
      </c>
      <c r="AP11">
        <v>0</v>
      </c>
      <c r="AR11" t="s">
        <v>1047</v>
      </c>
      <c r="AV11">
        <v>0</v>
      </c>
      <c r="AW11">
        <v>0</v>
      </c>
      <c r="AX11">
        <v>0</v>
      </c>
      <c r="AY11">
        <v>0</v>
      </c>
      <c r="AZ11">
        <v>0</v>
      </c>
      <c r="BA11">
        <v>0</v>
      </c>
      <c r="BB11">
        <v>0</v>
      </c>
      <c r="BC11" t="s">
        <v>1043</v>
      </c>
      <c r="BD11">
        <v>0</v>
      </c>
      <c r="BE11">
        <v>0</v>
      </c>
      <c r="BJ11" t="s">
        <v>1044</v>
      </c>
      <c r="BM11">
        <v>0</v>
      </c>
      <c r="BN11">
        <v>0</v>
      </c>
      <c r="BO11">
        <v>0</v>
      </c>
      <c r="BP11">
        <v>0</v>
      </c>
      <c r="BQ11">
        <v>0</v>
      </c>
      <c r="BR11">
        <v>0</v>
      </c>
      <c r="BS11">
        <v>0</v>
      </c>
      <c r="BU11">
        <v>0.44500000000000001</v>
      </c>
      <c r="BV11">
        <v>0.23</v>
      </c>
      <c r="BW11">
        <v>0.44500000000000001</v>
      </c>
      <c r="BX11">
        <v>0</v>
      </c>
      <c r="BY11">
        <v>0</v>
      </c>
      <c r="BZ11">
        <v>0</v>
      </c>
      <c r="CA11">
        <v>0</v>
      </c>
      <c r="CM11" t="s">
        <v>2034</v>
      </c>
      <c r="CN11" t="s">
        <v>1044</v>
      </c>
      <c r="CO11">
        <v>3917</v>
      </c>
      <c r="CR11">
        <v>0</v>
      </c>
      <c r="CS11">
        <v>0</v>
      </c>
      <c r="CT11">
        <v>0</v>
      </c>
      <c r="CU11">
        <v>0</v>
      </c>
      <c r="CX11">
        <v>0</v>
      </c>
      <c r="CY11">
        <v>0</v>
      </c>
      <c r="CZ11">
        <v>0</v>
      </c>
      <c r="DA11">
        <v>0</v>
      </c>
      <c r="DB11">
        <v>0</v>
      </c>
      <c r="DD11">
        <v>0</v>
      </c>
      <c r="DK11">
        <v>0</v>
      </c>
      <c r="DL11">
        <v>0</v>
      </c>
      <c r="DM11">
        <v>0</v>
      </c>
      <c r="DN11">
        <v>0</v>
      </c>
      <c r="DO11">
        <v>0</v>
      </c>
      <c r="DP11">
        <v>0</v>
      </c>
      <c r="DQ11">
        <v>0</v>
      </c>
      <c r="DR11">
        <v>0</v>
      </c>
      <c r="DW11" t="s">
        <v>1042</v>
      </c>
      <c r="DX11">
        <v>0</v>
      </c>
      <c r="DZ11">
        <v>0</v>
      </c>
      <c r="EA11">
        <v>0</v>
      </c>
      <c r="EC11">
        <v>0</v>
      </c>
      <c r="EM11">
        <v>0</v>
      </c>
      <c r="EN11">
        <v>0</v>
      </c>
      <c r="EO11">
        <v>0</v>
      </c>
      <c r="EY11">
        <v>0</v>
      </c>
      <c r="EZ11">
        <v>0</v>
      </c>
      <c r="FA11">
        <v>0</v>
      </c>
      <c r="FB11">
        <v>0</v>
      </c>
      <c r="FD11" t="s">
        <v>2029</v>
      </c>
      <c r="FF11">
        <v>0</v>
      </c>
      <c r="FG11">
        <v>0</v>
      </c>
      <c r="FR11">
        <v>0</v>
      </c>
      <c r="FS11">
        <v>0</v>
      </c>
      <c r="GD11">
        <v>0</v>
      </c>
      <c r="GL11">
        <v>0</v>
      </c>
      <c r="GM11">
        <v>0</v>
      </c>
      <c r="GN11">
        <v>0</v>
      </c>
      <c r="GP11" t="s">
        <v>1042</v>
      </c>
      <c r="GQ11" t="s">
        <v>2027</v>
      </c>
      <c r="HH11">
        <v>0</v>
      </c>
      <c r="HI11">
        <v>0</v>
      </c>
      <c r="HP11">
        <v>0</v>
      </c>
      <c r="HZ11">
        <v>0</v>
      </c>
      <c r="IB11">
        <v>0</v>
      </c>
      <c r="IC11">
        <v>0</v>
      </c>
      <c r="IG11" t="s">
        <v>1042</v>
      </c>
      <c r="IJ11" t="s">
        <v>1042</v>
      </c>
      <c r="IM11">
        <v>0</v>
      </c>
      <c r="IN11" t="s">
        <v>2024</v>
      </c>
      <c r="IO11">
        <v>7897801309639</v>
      </c>
    </row>
    <row r="12" spans="1:251" x14ac:dyDescent="0.35">
      <c r="B12">
        <v>1</v>
      </c>
      <c r="C12">
        <v>1235</v>
      </c>
      <c r="D12">
        <v>0</v>
      </c>
      <c r="E12">
        <v>0</v>
      </c>
      <c r="F12">
        <v>0</v>
      </c>
      <c r="G12">
        <v>0</v>
      </c>
      <c r="H12">
        <v>0</v>
      </c>
      <c r="I12">
        <v>0</v>
      </c>
      <c r="J12" t="s">
        <v>2080</v>
      </c>
      <c r="M12">
        <v>170</v>
      </c>
      <c r="Q12">
        <v>460</v>
      </c>
      <c r="S12">
        <v>460</v>
      </c>
      <c r="T12">
        <v>0</v>
      </c>
      <c r="U12">
        <v>0</v>
      </c>
      <c r="W12">
        <v>9.1999999999999998E-2</v>
      </c>
      <c r="X12" t="s">
        <v>1085</v>
      </c>
      <c r="Y12" t="s">
        <v>1042</v>
      </c>
      <c r="Z12" t="s">
        <v>1042</v>
      </c>
      <c r="AA12" t="s">
        <v>1042</v>
      </c>
      <c r="AB12" t="s">
        <v>1042</v>
      </c>
      <c r="AC12" t="s">
        <v>1042</v>
      </c>
      <c r="AD12" t="s">
        <v>1042</v>
      </c>
      <c r="AE12">
        <v>0</v>
      </c>
      <c r="AG12">
        <v>0</v>
      </c>
      <c r="AH12">
        <v>0</v>
      </c>
      <c r="AI12">
        <v>0</v>
      </c>
      <c r="AJ12">
        <v>0</v>
      </c>
      <c r="AK12" t="s">
        <v>1043</v>
      </c>
      <c r="AM12">
        <v>160</v>
      </c>
      <c r="AO12" t="s">
        <v>1044</v>
      </c>
      <c r="AP12">
        <v>0</v>
      </c>
      <c r="AR12" t="s">
        <v>1047</v>
      </c>
      <c r="AV12">
        <v>0</v>
      </c>
      <c r="AW12">
        <v>0</v>
      </c>
      <c r="AX12">
        <v>0</v>
      </c>
      <c r="AY12">
        <v>0</v>
      </c>
      <c r="AZ12">
        <v>0</v>
      </c>
      <c r="BA12">
        <v>0</v>
      </c>
      <c r="BB12">
        <v>0</v>
      </c>
      <c r="BC12" t="s">
        <v>1043</v>
      </c>
      <c r="BD12">
        <v>0</v>
      </c>
      <c r="BE12">
        <v>0</v>
      </c>
      <c r="BJ12" t="s">
        <v>1044</v>
      </c>
      <c r="BM12">
        <v>0</v>
      </c>
      <c r="BN12">
        <v>0</v>
      </c>
      <c r="BO12">
        <v>0</v>
      </c>
      <c r="BP12">
        <v>0</v>
      </c>
      <c r="BQ12">
        <v>0</v>
      </c>
      <c r="BR12">
        <v>0</v>
      </c>
      <c r="BS12">
        <v>0</v>
      </c>
      <c r="BU12">
        <v>0.39500000000000002</v>
      </c>
      <c r="BV12">
        <v>0.245</v>
      </c>
      <c r="BW12">
        <v>0.39500000000000002</v>
      </c>
      <c r="BX12">
        <v>0</v>
      </c>
      <c r="BY12">
        <v>0</v>
      </c>
      <c r="BZ12">
        <v>0</v>
      </c>
      <c r="CA12">
        <v>0</v>
      </c>
      <c r="CM12" t="s">
        <v>2034</v>
      </c>
      <c r="CN12" t="s">
        <v>1044</v>
      </c>
      <c r="CO12">
        <v>3917</v>
      </c>
      <c r="CR12">
        <v>0</v>
      </c>
      <c r="CS12">
        <v>0</v>
      </c>
      <c r="CT12">
        <v>0</v>
      </c>
      <c r="CU12">
        <v>0</v>
      </c>
      <c r="CX12">
        <v>0</v>
      </c>
      <c r="CY12">
        <v>0</v>
      </c>
      <c r="CZ12">
        <v>0</v>
      </c>
      <c r="DA12">
        <v>0</v>
      </c>
      <c r="DB12">
        <v>0</v>
      </c>
      <c r="DD12">
        <v>0</v>
      </c>
      <c r="DK12">
        <v>0</v>
      </c>
      <c r="DL12">
        <v>0</v>
      </c>
      <c r="DM12">
        <v>0</v>
      </c>
      <c r="DN12">
        <v>0</v>
      </c>
      <c r="DO12">
        <v>0</v>
      </c>
      <c r="DP12">
        <v>0</v>
      </c>
      <c r="DQ12">
        <v>0</v>
      </c>
      <c r="DR12">
        <v>0</v>
      </c>
      <c r="DW12" t="s">
        <v>1042</v>
      </c>
      <c r="DX12">
        <v>0</v>
      </c>
      <c r="DZ12">
        <v>0</v>
      </c>
      <c r="EA12">
        <v>0</v>
      </c>
      <c r="EC12">
        <v>0</v>
      </c>
      <c r="EM12">
        <v>0</v>
      </c>
      <c r="EN12">
        <v>0</v>
      </c>
      <c r="EO12">
        <v>0</v>
      </c>
      <c r="EY12">
        <v>0</v>
      </c>
      <c r="EZ12">
        <v>0</v>
      </c>
      <c r="FA12">
        <v>0</v>
      </c>
      <c r="FB12">
        <v>0</v>
      </c>
      <c r="FD12" t="s">
        <v>2029</v>
      </c>
      <c r="FF12">
        <v>0</v>
      </c>
      <c r="FG12">
        <v>0</v>
      </c>
      <c r="FR12">
        <v>0</v>
      </c>
      <c r="FS12">
        <v>0</v>
      </c>
      <c r="GD12">
        <v>0</v>
      </c>
      <c r="GL12">
        <v>0</v>
      </c>
      <c r="GM12">
        <v>0</v>
      </c>
      <c r="GN12">
        <v>0</v>
      </c>
      <c r="GP12" t="s">
        <v>1042</v>
      </c>
      <c r="GQ12" t="s">
        <v>2027</v>
      </c>
      <c r="HH12">
        <v>0</v>
      </c>
      <c r="HI12">
        <v>0</v>
      </c>
      <c r="HP12">
        <v>0</v>
      </c>
      <c r="HZ12">
        <v>0</v>
      </c>
      <c r="IB12">
        <v>0</v>
      </c>
      <c r="IC12">
        <v>0</v>
      </c>
      <c r="IG12" t="s">
        <v>1042</v>
      </c>
      <c r="IJ12" t="s">
        <v>1042</v>
      </c>
      <c r="IM12">
        <v>0</v>
      </c>
      <c r="IN12" t="s">
        <v>2024</v>
      </c>
      <c r="IO12">
        <v>7897801309646</v>
      </c>
    </row>
    <row r="13" spans="1:251" x14ac:dyDescent="0.35">
      <c r="B13">
        <v>1</v>
      </c>
      <c r="C13">
        <v>1236</v>
      </c>
      <c r="D13">
        <v>0</v>
      </c>
      <c r="E13">
        <v>0</v>
      </c>
      <c r="F13">
        <v>0</v>
      </c>
      <c r="G13">
        <v>0</v>
      </c>
      <c r="H13">
        <v>0</v>
      </c>
      <c r="I13">
        <v>0</v>
      </c>
      <c r="J13" t="s">
        <v>2079</v>
      </c>
      <c r="M13">
        <v>250</v>
      </c>
      <c r="Q13">
        <v>490</v>
      </c>
      <c r="S13">
        <v>490</v>
      </c>
      <c r="T13">
        <v>0</v>
      </c>
      <c r="U13">
        <v>0</v>
      </c>
      <c r="W13">
        <v>0.1</v>
      </c>
      <c r="X13" t="s">
        <v>1085</v>
      </c>
      <c r="Y13" t="s">
        <v>1042</v>
      </c>
      <c r="Z13" t="s">
        <v>1042</v>
      </c>
      <c r="AA13" t="s">
        <v>1042</v>
      </c>
      <c r="AB13" t="s">
        <v>1042</v>
      </c>
      <c r="AC13" t="s">
        <v>1042</v>
      </c>
      <c r="AD13" t="s">
        <v>1042</v>
      </c>
      <c r="AE13">
        <v>0</v>
      </c>
      <c r="AG13">
        <v>0</v>
      </c>
      <c r="AH13">
        <v>0</v>
      </c>
      <c r="AI13">
        <v>0</v>
      </c>
      <c r="AJ13">
        <v>0</v>
      </c>
      <c r="AK13" t="s">
        <v>1043</v>
      </c>
      <c r="AM13">
        <v>160</v>
      </c>
      <c r="AO13" t="s">
        <v>1044</v>
      </c>
      <c r="AP13">
        <v>0</v>
      </c>
      <c r="AR13" t="s">
        <v>1047</v>
      </c>
      <c r="AV13">
        <v>0</v>
      </c>
      <c r="AW13">
        <v>0</v>
      </c>
      <c r="AX13">
        <v>0</v>
      </c>
      <c r="AY13">
        <v>0</v>
      </c>
      <c r="AZ13">
        <v>0</v>
      </c>
      <c r="BA13">
        <v>0</v>
      </c>
      <c r="BB13">
        <v>0</v>
      </c>
      <c r="BC13" t="s">
        <v>1043</v>
      </c>
      <c r="BD13">
        <v>0</v>
      </c>
      <c r="BE13">
        <v>0</v>
      </c>
      <c r="BJ13" t="s">
        <v>1044</v>
      </c>
      <c r="BM13">
        <v>0</v>
      </c>
      <c r="BN13">
        <v>0</v>
      </c>
      <c r="BO13">
        <v>0</v>
      </c>
      <c r="BP13">
        <v>0</v>
      </c>
      <c r="BQ13">
        <v>0</v>
      </c>
      <c r="BR13">
        <v>0</v>
      </c>
      <c r="BS13">
        <v>0</v>
      </c>
      <c r="BU13">
        <v>0.495</v>
      </c>
      <c r="BV13">
        <v>0.215</v>
      </c>
      <c r="BW13">
        <v>0.495</v>
      </c>
      <c r="BX13">
        <v>0</v>
      </c>
      <c r="BY13">
        <v>0</v>
      </c>
      <c r="BZ13">
        <v>0</v>
      </c>
      <c r="CA13">
        <v>0</v>
      </c>
      <c r="CM13" t="s">
        <v>2034</v>
      </c>
      <c r="CN13" t="s">
        <v>1044</v>
      </c>
      <c r="CO13">
        <v>3917</v>
      </c>
      <c r="CR13">
        <v>0</v>
      </c>
      <c r="CS13">
        <v>0</v>
      </c>
      <c r="CT13">
        <v>0</v>
      </c>
      <c r="CU13">
        <v>0</v>
      </c>
      <c r="CX13">
        <v>0</v>
      </c>
      <c r="CY13">
        <v>0</v>
      </c>
      <c r="CZ13">
        <v>0</v>
      </c>
      <c r="DA13">
        <v>0</v>
      </c>
      <c r="DB13">
        <v>0</v>
      </c>
      <c r="DD13">
        <v>0</v>
      </c>
      <c r="DK13">
        <v>0</v>
      </c>
      <c r="DL13">
        <v>0</v>
      </c>
      <c r="DM13">
        <v>0</v>
      </c>
      <c r="DN13">
        <v>0</v>
      </c>
      <c r="DO13">
        <v>0</v>
      </c>
      <c r="DP13">
        <v>0</v>
      </c>
      <c r="DQ13">
        <v>0</v>
      </c>
      <c r="DR13">
        <v>0</v>
      </c>
      <c r="DW13" t="s">
        <v>1042</v>
      </c>
      <c r="DX13">
        <v>0</v>
      </c>
      <c r="DZ13">
        <v>0</v>
      </c>
      <c r="EA13">
        <v>0</v>
      </c>
      <c r="EC13">
        <v>0</v>
      </c>
      <c r="EM13">
        <v>0</v>
      </c>
      <c r="EN13">
        <v>0</v>
      </c>
      <c r="EO13">
        <v>0</v>
      </c>
      <c r="EY13">
        <v>0</v>
      </c>
      <c r="EZ13">
        <v>0</v>
      </c>
      <c r="FA13">
        <v>0</v>
      </c>
      <c r="FB13">
        <v>0</v>
      </c>
      <c r="FD13" t="s">
        <v>2029</v>
      </c>
      <c r="FF13">
        <v>0</v>
      </c>
      <c r="FG13">
        <v>0</v>
      </c>
      <c r="FR13">
        <v>0</v>
      </c>
      <c r="FS13">
        <v>0</v>
      </c>
      <c r="GD13">
        <v>0</v>
      </c>
      <c r="GL13">
        <v>0</v>
      </c>
      <c r="GM13">
        <v>0</v>
      </c>
      <c r="GN13">
        <v>0</v>
      </c>
      <c r="GP13" t="s">
        <v>1042</v>
      </c>
      <c r="GQ13" t="s">
        <v>2027</v>
      </c>
      <c r="HH13">
        <v>0</v>
      </c>
      <c r="HI13">
        <v>0</v>
      </c>
      <c r="HP13">
        <v>0</v>
      </c>
      <c r="HZ13">
        <v>0</v>
      </c>
      <c r="IB13">
        <v>0</v>
      </c>
      <c r="IC13">
        <v>0</v>
      </c>
      <c r="IG13" t="s">
        <v>1042</v>
      </c>
      <c r="IJ13" t="s">
        <v>1042</v>
      </c>
      <c r="IM13">
        <v>0</v>
      </c>
      <c r="IN13" t="s">
        <v>2024</v>
      </c>
      <c r="IO13">
        <v>7897801309653</v>
      </c>
    </row>
    <row r="14" spans="1:251" x14ac:dyDescent="0.35">
      <c r="B14">
        <v>1</v>
      </c>
      <c r="C14">
        <v>1237</v>
      </c>
      <c r="D14">
        <v>0</v>
      </c>
      <c r="E14">
        <v>0</v>
      </c>
      <c r="F14">
        <v>0</v>
      </c>
      <c r="G14">
        <v>0</v>
      </c>
      <c r="H14">
        <v>0</v>
      </c>
      <c r="I14">
        <v>0</v>
      </c>
      <c r="J14" t="s">
        <v>2078</v>
      </c>
      <c r="M14">
        <v>190</v>
      </c>
      <c r="Q14">
        <v>500</v>
      </c>
      <c r="S14">
        <v>500</v>
      </c>
      <c r="T14">
        <v>0</v>
      </c>
      <c r="U14">
        <v>0</v>
      </c>
      <c r="W14">
        <v>0.14399999999999999</v>
      </c>
      <c r="X14" t="s">
        <v>1085</v>
      </c>
      <c r="Y14" t="s">
        <v>1042</v>
      </c>
      <c r="Z14" t="s">
        <v>1042</v>
      </c>
      <c r="AA14" t="s">
        <v>1042</v>
      </c>
      <c r="AB14" t="s">
        <v>1042</v>
      </c>
      <c r="AC14" t="s">
        <v>1042</v>
      </c>
      <c r="AD14" t="s">
        <v>1042</v>
      </c>
      <c r="AE14">
        <v>0</v>
      </c>
      <c r="AG14">
        <v>0</v>
      </c>
      <c r="AH14">
        <v>0</v>
      </c>
      <c r="AI14">
        <v>0</v>
      </c>
      <c r="AJ14">
        <v>0</v>
      </c>
      <c r="AK14" t="s">
        <v>1043</v>
      </c>
      <c r="AM14">
        <v>160</v>
      </c>
      <c r="AO14" t="s">
        <v>1044</v>
      </c>
      <c r="AP14">
        <v>0</v>
      </c>
      <c r="AR14" t="s">
        <v>1047</v>
      </c>
      <c r="AV14">
        <v>0</v>
      </c>
      <c r="AW14">
        <v>0</v>
      </c>
      <c r="AX14">
        <v>0</v>
      </c>
      <c r="AY14">
        <v>0</v>
      </c>
      <c r="AZ14">
        <v>0</v>
      </c>
      <c r="BA14">
        <v>0</v>
      </c>
      <c r="BB14">
        <v>0</v>
      </c>
      <c r="BC14" t="s">
        <v>1043</v>
      </c>
      <c r="BD14">
        <v>0</v>
      </c>
      <c r="BE14">
        <v>0</v>
      </c>
      <c r="BJ14" t="s">
        <v>1044</v>
      </c>
      <c r="BM14">
        <v>0</v>
      </c>
      <c r="BN14">
        <v>0</v>
      </c>
      <c r="BO14">
        <v>0</v>
      </c>
      <c r="BP14">
        <v>0</v>
      </c>
      <c r="BQ14">
        <v>0</v>
      </c>
      <c r="BR14">
        <v>0</v>
      </c>
      <c r="BS14">
        <v>0</v>
      </c>
      <c r="BU14">
        <v>0.46</v>
      </c>
      <c r="BV14">
        <v>0.24</v>
      </c>
      <c r="BW14">
        <v>0.46</v>
      </c>
      <c r="BX14">
        <v>0</v>
      </c>
      <c r="BY14">
        <v>0</v>
      </c>
      <c r="BZ14">
        <v>0</v>
      </c>
      <c r="CA14">
        <v>0</v>
      </c>
      <c r="CM14" t="s">
        <v>2034</v>
      </c>
      <c r="CN14" t="s">
        <v>1044</v>
      </c>
      <c r="CO14">
        <v>3917</v>
      </c>
      <c r="CR14">
        <v>0</v>
      </c>
      <c r="CS14">
        <v>0</v>
      </c>
      <c r="CT14">
        <v>0</v>
      </c>
      <c r="CU14">
        <v>0</v>
      </c>
      <c r="CX14">
        <v>0</v>
      </c>
      <c r="CY14">
        <v>0</v>
      </c>
      <c r="CZ14">
        <v>0</v>
      </c>
      <c r="DA14">
        <v>0</v>
      </c>
      <c r="DB14">
        <v>0</v>
      </c>
      <c r="DD14">
        <v>0</v>
      </c>
      <c r="DK14">
        <v>0</v>
      </c>
      <c r="DL14">
        <v>0</v>
      </c>
      <c r="DM14">
        <v>0</v>
      </c>
      <c r="DN14">
        <v>0</v>
      </c>
      <c r="DO14">
        <v>0</v>
      </c>
      <c r="DP14">
        <v>0</v>
      </c>
      <c r="DQ14">
        <v>0</v>
      </c>
      <c r="DR14">
        <v>0</v>
      </c>
      <c r="DW14" t="s">
        <v>1042</v>
      </c>
      <c r="DX14">
        <v>0</v>
      </c>
      <c r="DZ14">
        <v>0</v>
      </c>
      <c r="EA14">
        <v>0</v>
      </c>
      <c r="EC14">
        <v>0</v>
      </c>
      <c r="EM14">
        <v>0</v>
      </c>
      <c r="EN14">
        <v>0</v>
      </c>
      <c r="EO14">
        <v>0</v>
      </c>
      <c r="EY14">
        <v>0</v>
      </c>
      <c r="EZ14">
        <v>0</v>
      </c>
      <c r="FA14">
        <v>0</v>
      </c>
      <c r="FB14">
        <v>0</v>
      </c>
      <c r="FD14" t="s">
        <v>2029</v>
      </c>
      <c r="FF14">
        <v>0</v>
      </c>
      <c r="FG14">
        <v>0</v>
      </c>
      <c r="FR14">
        <v>0</v>
      </c>
      <c r="FS14">
        <v>0</v>
      </c>
      <c r="GD14">
        <v>0</v>
      </c>
      <c r="GL14">
        <v>0</v>
      </c>
      <c r="GM14">
        <v>0</v>
      </c>
      <c r="GN14">
        <v>0</v>
      </c>
      <c r="GP14" t="s">
        <v>1042</v>
      </c>
      <c r="GQ14" t="s">
        <v>2027</v>
      </c>
      <c r="HH14">
        <v>0</v>
      </c>
      <c r="HI14">
        <v>0</v>
      </c>
      <c r="HP14">
        <v>0</v>
      </c>
      <c r="HZ14">
        <v>0</v>
      </c>
      <c r="IB14">
        <v>0</v>
      </c>
      <c r="IC14">
        <v>0</v>
      </c>
      <c r="IG14" t="s">
        <v>1042</v>
      </c>
      <c r="IJ14" t="s">
        <v>1042</v>
      </c>
      <c r="IM14">
        <v>0</v>
      </c>
      <c r="IN14" t="s">
        <v>2024</v>
      </c>
      <c r="IO14">
        <v>7897801309660</v>
      </c>
    </row>
    <row r="15" spans="1:251" x14ac:dyDescent="0.35">
      <c r="B15">
        <v>1</v>
      </c>
      <c r="C15">
        <v>1238</v>
      </c>
      <c r="D15">
        <v>0</v>
      </c>
      <c r="E15">
        <v>0</v>
      </c>
      <c r="F15">
        <v>0</v>
      </c>
      <c r="G15">
        <v>0</v>
      </c>
      <c r="H15">
        <v>0</v>
      </c>
      <c r="I15">
        <v>0</v>
      </c>
      <c r="J15" t="s">
        <v>2077</v>
      </c>
      <c r="M15">
        <v>0</v>
      </c>
      <c r="Q15">
        <v>0</v>
      </c>
      <c r="S15">
        <v>0</v>
      </c>
      <c r="T15">
        <v>0</v>
      </c>
      <c r="U15">
        <v>0</v>
      </c>
      <c r="W15">
        <v>0</v>
      </c>
      <c r="Y15" t="s">
        <v>1042</v>
      </c>
      <c r="Z15" t="s">
        <v>1042</v>
      </c>
      <c r="AA15" t="s">
        <v>1042</v>
      </c>
      <c r="AB15" t="s">
        <v>1042</v>
      </c>
      <c r="AC15" t="s">
        <v>1042</v>
      </c>
      <c r="AD15" t="s">
        <v>1042</v>
      </c>
      <c r="AE15">
        <v>0</v>
      </c>
      <c r="AG15">
        <v>0</v>
      </c>
      <c r="AH15">
        <v>0</v>
      </c>
      <c r="AI15">
        <v>0</v>
      </c>
      <c r="AJ15">
        <v>0</v>
      </c>
      <c r="AM15">
        <v>8888</v>
      </c>
      <c r="AP15">
        <v>0</v>
      </c>
      <c r="AR15" t="s">
        <v>1047</v>
      </c>
      <c r="AV15">
        <v>0</v>
      </c>
      <c r="AW15">
        <v>0</v>
      </c>
      <c r="AX15">
        <v>0</v>
      </c>
      <c r="AY15">
        <v>0</v>
      </c>
      <c r="AZ15">
        <v>0</v>
      </c>
      <c r="BA15">
        <v>0</v>
      </c>
      <c r="BB15">
        <v>0</v>
      </c>
      <c r="BD15">
        <v>0</v>
      </c>
      <c r="BE15">
        <v>0</v>
      </c>
      <c r="BM15">
        <v>0</v>
      </c>
      <c r="BN15">
        <v>0</v>
      </c>
      <c r="BO15">
        <v>0</v>
      </c>
      <c r="BP15">
        <v>0</v>
      </c>
      <c r="BQ15">
        <v>0</v>
      </c>
      <c r="BR15">
        <v>0</v>
      </c>
      <c r="BS15">
        <v>0</v>
      </c>
      <c r="BU15">
        <v>0.39500000000000002</v>
      </c>
      <c r="BV15">
        <v>0.14499999999999999</v>
      </c>
      <c r="BW15">
        <v>0.39500000000000002</v>
      </c>
      <c r="BX15">
        <v>0</v>
      </c>
      <c r="BY15">
        <v>0</v>
      </c>
      <c r="BZ15">
        <v>0</v>
      </c>
      <c r="CA15">
        <v>0</v>
      </c>
      <c r="CM15" t="s">
        <v>2034</v>
      </c>
      <c r="CR15">
        <v>0</v>
      </c>
      <c r="CS15">
        <v>0</v>
      </c>
      <c r="CT15">
        <v>0</v>
      </c>
      <c r="CU15">
        <v>0</v>
      </c>
      <c r="CX15">
        <v>0</v>
      </c>
      <c r="CY15">
        <v>0</v>
      </c>
      <c r="CZ15">
        <v>0</v>
      </c>
      <c r="DA15">
        <v>0</v>
      </c>
      <c r="DB15">
        <v>0</v>
      </c>
      <c r="DD15">
        <v>0</v>
      </c>
      <c r="DK15">
        <v>0</v>
      </c>
      <c r="DL15">
        <v>0</v>
      </c>
      <c r="DM15">
        <v>0</v>
      </c>
      <c r="DN15">
        <v>0</v>
      </c>
      <c r="DO15">
        <v>0</v>
      </c>
      <c r="DP15">
        <v>0</v>
      </c>
      <c r="DQ15">
        <v>0</v>
      </c>
      <c r="DR15">
        <v>0</v>
      </c>
      <c r="DW15" t="s">
        <v>1042</v>
      </c>
      <c r="DX15">
        <v>0</v>
      </c>
      <c r="DZ15">
        <v>0</v>
      </c>
      <c r="EA15">
        <v>0</v>
      </c>
      <c r="EC15">
        <v>0</v>
      </c>
      <c r="EM15">
        <v>0</v>
      </c>
      <c r="EN15">
        <v>0</v>
      </c>
      <c r="EO15">
        <v>0</v>
      </c>
      <c r="EY15">
        <v>0</v>
      </c>
      <c r="EZ15">
        <v>0</v>
      </c>
      <c r="FA15">
        <v>0</v>
      </c>
      <c r="FB15">
        <v>0</v>
      </c>
      <c r="FD15" t="s">
        <v>2029</v>
      </c>
      <c r="FF15">
        <v>0</v>
      </c>
      <c r="FG15">
        <v>0</v>
      </c>
      <c r="FR15">
        <v>0</v>
      </c>
      <c r="FS15">
        <v>0</v>
      </c>
      <c r="GD15">
        <v>0</v>
      </c>
      <c r="GL15">
        <v>0</v>
      </c>
      <c r="GM15">
        <v>0</v>
      </c>
      <c r="GN15">
        <v>0</v>
      </c>
      <c r="GP15" t="s">
        <v>1042</v>
      </c>
      <c r="GQ15" t="s">
        <v>2027</v>
      </c>
      <c r="HH15">
        <v>0</v>
      </c>
      <c r="HI15">
        <v>0</v>
      </c>
      <c r="HP15">
        <v>0</v>
      </c>
      <c r="HZ15">
        <v>0</v>
      </c>
      <c r="IB15">
        <v>0</v>
      </c>
      <c r="IC15">
        <v>0</v>
      </c>
      <c r="IG15" t="s">
        <v>1042</v>
      </c>
      <c r="IJ15" t="s">
        <v>1042</v>
      </c>
      <c r="IM15">
        <v>0</v>
      </c>
      <c r="IN15" t="s">
        <v>2024</v>
      </c>
      <c r="IO15">
        <v>7897801317146</v>
      </c>
    </row>
    <row r="16" spans="1:251" x14ac:dyDescent="0.35">
      <c r="B16">
        <v>1</v>
      </c>
      <c r="C16">
        <v>1239</v>
      </c>
      <c r="D16">
        <v>0</v>
      </c>
      <c r="E16">
        <v>0</v>
      </c>
      <c r="F16">
        <v>0</v>
      </c>
      <c r="G16">
        <v>0</v>
      </c>
      <c r="H16">
        <v>0</v>
      </c>
      <c r="I16">
        <v>0</v>
      </c>
      <c r="J16" t="s">
        <v>2076</v>
      </c>
      <c r="M16">
        <v>0</v>
      </c>
      <c r="Q16">
        <v>0</v>
      </c>
      <c r="S16">
        <v>0</v>
      </c>
      <c r="T16">
        <v>0</v>
      </c>
      <c r="U16">
        <v>0</v>
      </c>
      <c r="W16">
        <v>8.1000000000000003E-2</v>
      </c>
      <c r="X16" t="s">
        <v>1085</v>
      </c>
      <c r="Y16" t="s">
        <v>1042</v>
      </c>
      <c r="Z16" t="s">
        <v>1042</v>
      </c>
      <c r="AA16" t="s">
        <v>1042</v>
      </c>
      <c r="AB16" t="s">
        <v>1042</v>
      </c>
      <c r="AC16" t="s">
        <v>1042</v>
      </c>
      <c r="AD16" t="s">
        <v>1042</v>
      </c>
      <c r="AE16">
        <v>0</v>
      </c>
      <c r="AG16">
        <v>0</v>
      </c>
      <c r="AH16">
        <v>0</v>
      </c>
      <c r="AI16">
        <v>0</v>
      </c>
      <c r="AJ16">
        <v>0</v>
      </c>
      <c r="AM16">
        <v>8888</v>
      </c>
      <c r="AP16">
        <v>0</v>
      </c>
      <c r="AR16" t="s">
        <v>1047</v>
      </c>
      <c r="AV16">
        <v>0</v>
      </c>
      <c r="AW16">
        <v>0</v>
      </c>
      <c r="AX16">
        <v>0</v>
      </c>
      <c r="AY16">
        <v>0</v>
      </c>
      <c r="AZ16">
        <v>0</v>
      </c>
      <c r="BA16">
        <v>0</v>
      </c>
      <c r="BB16">
        <v>0</v>
      </c>
      <c r="BD16">
        <v>0</v>
      </c>
      <c r="BE16">
        <v>0</v>
      </c>
      <c r="BM16">
        <v>0</v>
      </c>
      <c r="BN16">
        <v>0</v>
      </c>
      <c r="BO16">
        <v>0</v>
      </c>
      <c r="BP16">
        <v>0</v>
      </c>
      <c r="BQ16">
        <v>0</v>
      </c>
      <c r="BR16">
        <v>0</v>
      </c>
      <c r="BS16">
        <v>0</v>
      </c>
      <c r="BU16">
        <v>0.28000000000000003</v>
      </c>
      <c r="BV16">
        <v>0.13</v>
      </c>
      <c r="BW16">
        <v>0.28000000000000003</v>
      </c>
      <c r="BX16">
        <v>0</v>
      </c>
      <c r="BY16">
        <v>0</v>
      </c>
      <c r="BZ16">
        <v>0</v>
      </c>
      <c r="CA16">
        <v>0</v>
      </c>
      <c r="CM16" t="s">
        <v>2034</v>
      </c>
      <c r="CR16">
        <v>0</v>
      </c>
      <c r="CS16">
        <v>0</v>
      </c>
      <c r="CT16">
        <v>0</v>
      </c>
      <c r="CU16">
        <v>0</v>
      </c>
      <c r="CX16">
        <v>0</v>
      </c>
      <c r="CY16">
        <v>0</v>
      </c>
      <c r="CZ16">
        <v>0</v>
      </c>
      <c r="DA16">
        <v>0</v>
      </c>
      <c r="DB16">
        <v>0</v>
      </c>
      <c r="DD16">
        <v>0</v>
      </c>
      <c r="DK16">
        <v>0</v>
      </c>
      <c r="DL16">
        <v>0</v>
      </c>
      <c r="DM16">
        <v>0</v>
      </c>
      <c r="DN16">
        <v>0</v>
      </c>
      <c r="DO16">
        <v>0</v>
      </c>
      <c r="DP16">
        <v>0</v>
      </c>
      <c r="DQ16">
        <v>0</v>
      </c>
      <c r="DR16">
        <v>0</v>
      </c>
      <c r="DW16" t="s">
        <v>1042</v>
      </c>
      <c r="DX16">
        <v>0</v>
      </c>
      <c r="DZ16">
        <v>0</v>
      </c>
      <c r="EA16">
        <v>0</v>
      </c>
      <c r="EC16">
        <v>0</v>
      </c>
      <c r="EM16">
        <v>0</v>
      </c>
      <c r="EN16">
        <v>0</v>
      </c>
      <c r="EO16">
        <v>0</v>
      </c>
      <c r="EY16">
        <v>0</v>
      </c>
      <c r="EZ16">
        <v>0</v>
      </c>
      <c r="FA16">
        <v>0</v>
      </c>
      <c r="FB16">
        <v>0</v>
      </c>
      <c r="FD16" t="s">
        <v>2029</v>
      </c>
      <c r="FF16">
        <v>0</v>
      </c>
      <c r="FG16">
        <v>0</v>
      </c>
      <c r="FR16">
        <v>0</v>
      </c>
      <c r="FS16">
        <v>0</v>
      </c>
      <c r="GD16">
        <v>0</v>
      </c>
      <c r="GL16">
        <v>0</v>
      </c>
      <c r="GM16">
        <v>0</v>
      </c>
      <c r="GN16">
        <v>0</v>
      </c>
      <c r="GP16" t="s">
        <v>1042</v>
      </c>
      <c r="GQ16" t="s">
        <v>2027</v>
      </c>
      <c r="HH16">
        <v>0</v>
      </c>
      <c r="HI16">
        <v>0</v>
      </c>
      <c r="HP16">
        <v>0</v>
      </c>
      <c r="HZ16">
        <v>0</v>
      </c>
      <c r="IB16">
        <v>0</v>
      </c>
      <c r="IC16">
        <v>0</v>
      </c>
      <c r="IG16" t="s">
        <v>1042</v>
      </c>
      <c r="IJ16" t="s">
        <v>1042</v>
      </c>
      <c r="IM16">
        <v>0</v>
      </c>
      <c r="IN16" t="s">
        <v>2024</v>
      </c>
      <c r="IO16">
        <v>7897801317153</v>
      </c>
    </row>
    <row r="17" spans="2:251" x14ac:dyDescent="0.35">
      <c r="B17">
        <v>1</v>
      </c>
      <c r="C17">
        <v>1240</v>
      </c>
      <c r="D17">
        <v>0</v>
      </c>
      <c r="E17">
        <v>0</v>
      </c>
      <c r="F17">
        <v>0</v>
      </c>
      <c r="G17">
        <v>0</v>
      </c>
      <c r="H17">
        <v>0</v>
      </c>
      <c r="I17">
        <v>0</v>
      </c>
      <c r="J17" t="s">
        <v>2075</v>
      </c>
      <c r="M17">
        <v>0</v>
      </c>
      <c r="Q17">
        <v>0</v>
      </c>
      <c r="S17">
        <v>0</v>
      </c>
      <c r="T17">
        <v>0</v>
      </c>
      <c r="U17">
        <v>0</v>
      </c>
      <c r="W17">
        <v>0</v>
      </c>
      <c r="Y17" t="s">
        <v>1042</v>
      </c>
      <c r="Z17" t="s">
        <v>1042</v>
      </c>
      <c r="AA17" t="s">
        <v>1042</v>
      </c>
      <c r="AB17" t="s">
        <v>1042</v>
      </c>
      <c r="AC17" t="s">
        <v>1042</v>
      </c>
      <c r="AD17" t="s">
        <v>1042</v>
      </c>
      <c r="AE17">
        <v>0</v>
      </c>
      <c r="AG17">
        <v>0</v>
      </c>
      <c r="AH17">
        <v>0</v>
      </c>
      <c r="AI17">
        <v>0</v>
      </c>
      <c r="AJ17">
        <v>0</v>
      </c>
      <c r="AM17">
        <v>8888</v>
      </c>
      <c r="AP17">
        <v>0</v>
      </c>
      <c r="AR17" t="s">
        <v>1047</v>
      </c>
      <c r="AV17">
        <v>0</v>
      </c>
      <c r="AW17">
        <v>0</v>
      </c>
      <c r="AX17">
        <v>0</v>
      </c>
      <c r="AY17">
        <v>0</v>
      </c>
      <c r="AZ17">
        <v>0</v>
      </c>
      <c r="BA17">
        <v>0</v>
      </c>
      <c r="BB17">
        <v>0</v>
      </c>
      <c r="BD17">
        <v>0</v>
      </c>
      <c r="BE17">
        <v>0</v>
      </c>
      <c r="BM17">
        <v>0</v>
      </c>
      <c r="BN17">
        <v>0</v>
      </c>
      <c r="BO17">
        <v>0</v>
      </c>
      <c r="BP17">
        <v>0</v>
      </c>
      <c r="BQ17">
        <v>0</v>
      </c>
      <c r="BR17">
        <v>0</v>
      </c>
      <c r="BS17">
        <v>0</v>
      </c>
      <c r="BU17">
        <v>0.31</v>
      </c>
      <c r="BV17">
        <v>0.13500000000000001</v>
      </c>
      <c r="BW17">
        <v>0.31</v>
      </c>
      <c r="BX17">
        <v>0</v>
      </c>
      <c r="BY17">
        <v>0</v>
      </c>
      <c r="BZ17">
        <v>0</v>
      </c>
      <c r="CA17">
        <v>0</v>
      </c>
      <c r="CM17" t="s">
        <v>2034</v>
      </c>
      <c r="CR17">
        <v>0</v>
      </c>
      <c r="CS17">
        <v>0</v>
      </c>
      <c r="CT17">
        <v>0</v>
      </c>
      <c r="CU17">
        <v>0</v>
      </c>
      <c r="CX17">
        <v>0</v>
      </c>
      <c r="CY17">
        <v>0</v>
      </c>
      <c r="CZ17">
        <v>0</v>
      </c>
      <c r="DA17">
        <v>0</v>
      </c>
      <c r="DB17">
        <v>0</v>
      </c>
      <c r="DD17">
        <v>0</v>
      </c>
      <c r="DK17">
        <v>0</v>
      </c>
      <c r="DL17">
        <v>0</v>
      </c>
      <c r="DM17">
        <v>0</v>
      </c>
      <c r="DN17">
        <v>0</v>
      </c>
      <c r="DO17">
        <v>0</v>
      </c>
      <c r="DP17">
        <v>0</v>
      </c>
      <c r="DQ17">
        <v>0</v>
      </c>
      <c r="DR17">
        <v>0</v>
      </c>
      <c r="DW17" t="s">
        <v>1042</v>
      </c>
      <c r="DX17">
        <v>0</v>
      </c>
      <c r="DZ17">
        <v>0</v>
      </c>
      <c r="EA17">
        <v>0</v>
      </c>
      <c r="EC17">
        <v>0</v>
      </c>
      <c r="EM17">
        <v>0</v>
      </c>
      <c r="EN17">
        <v>0</v>
      </c>
      <c r="EO17">
        <v>0</v>
      </c>
      <c r="EY17">
        <v>0</v>
      </c>
      <c r="EZ17">
        <v>0</v>
      </c>
      <c r="FA17">
        <v>0</v>
      </c>
      <c r="FB17">
        <v>0</v>
      </c>
      <c r="FD17" t="s">
        <v>2029</v>
      </c>
      <c r="FF17">
        <v>0</v>
      </c>
      <c r="FG17">
        <v>0</v>
      </c>
      <c r="FR17">
        <v>0</v>
      </c>
      <c r="FS17">
        <v>0</v>
      </c>
      <c r="GD17">
        <v>0</v>
      </c>
      <c r="GL17">
        <v>0</v>
      </c>
      <c r="GM17">
        <v>0</v>
      </c>
      <c r="GN17">
        <v>0</v>
      </c>
      <c r="GP17" t="s">
        <v>1042</v>
      </c>
      <c r="GQ17" t="s">
        <v>2027</v>
      </c>
      <c r="HH17">
        <v>0</v>
      </c>
      <c r="HI17">
        <v>0</v>
      </c>
      <c r="HP17">
        <v>0</v>
      </c>
      <c r="HZ17">
        <v>0</v>
      </c>
      <c r="IB17">
        <v>0</v>
      </c>
      <c r="IC17">
        <v>0</v>
      </c>
      <c r="IG17" t="s">
        <v>1042</v>
      </c>
      <c r="IJ17" t="s">
        <v>1042</v>
      </c>
      <c r="IM17">
        <v>0</v>
      </c>
      <c r="IN17" t="s">
        <v>2024</v>
      </c>
      <c r="IO17">
        <v>7897801317160</v>
      </c>
    </row>
    <row r="18" spans="2:251" x14ac:dyDescent="0.35">
      <c r="B18">
        <v>1</v>
      </c>
      <c r="C18">
        <v>1241</v>
      </c>
      <c r="D18">
        <v>0</v>
      </c>
      <c r="E18">
        <v>0</v>
      </c>
      <c r="F18">
        <v>0</v>
      </c>
      <c r="G18">
        <v>0</v>
      </c>
      <c r="H18">
        <v>0</v>
      </c>
      <c r="I18">
        <v>0</v>
      </c>
      <c r="J18" t="s">
        <v>2074</v>
      </c>
      <c r="M18">
        <v>0</v>
      </c>
      <c r="Q18">
        <v>0</v>
      </c>
      <c r="S18">
        <v>0</v>
      </c>
      <c r="T18">
        <v>0</v>
      </c>
      <c r="U18">
        <v>0</v>
      </c>
      <c r="W18">
        <v>0</v>
      </c>
      <c r="Y18" t="s">
        <v>1042</v>
      </c>
      <c r="Z18" t="s">
        <v>1042</v>
      </c>
      <c r="AA18" t="s">
        <v>1042</v>
      </c>
      <c r="AB18" t="s">
        <v>1042</v>
      </c>
      <c r="AC18" t="s">
        <v>1042</v>
      </c>
      <c r="AD18" t="s">
        <v>1042</v>
      </c>
      <c r="AE18">
        <v>0</v>
      </c>
      <c r="AG18">
        <v>0</v>
      </c>
      <c r="AH18">
        <v>0</v>
      </c>
      <c r="AI18">
        <v>0</v>
      </c>
      <c r="AJ18">
        <v>0</v>
      </c>
      <c r="AM18">
        <v>8888</v>
      </c>
      <c r="AP18">
        <v>0</v>
      </c>
      <c r="AR18" t="s">
        <v>1047</v>
      </c>
      <c r="AV18">
        <v>0</v>
      </c>
      <c r="AW18">
        <v>0</v>
      </c>
      <c r="AX18">
        <v>0</v>
      </c>
      <c r="AY18">
        <v>0</v>
      </c>
      <c r="AZ18">
        <v>0</v>
      </c>
      <c r="BA18">
        <v>0</v>
      </c>
      <c r="BB18">
        <v>0</v>
      </c>
      <c r="BD18">
        <v>0</v>
      </c>
      <c r="BE18">
        <v>0</v>
      </c>
      <c r="BM18">
        <v>0</v>
      </c>
      <c r="BN18">
        <v>0</v>
      </c>
      <c r="BO18">
        <v>0</v>
      </c>
      <c r="BP18">
        <v>0</v>
      </c>
      <c r="BQ18">
        <v>0</v>
      </c>
      <c r="BR18">
        <v>0</v>
      </c>
      <c r="BS18">
        <v>0</v>
      </c>
      <c r="BU18">
        <v>0.38500000000000001</v>
      </c>
      <c r="BV18">
        <v>0.21</v>
      </c>
      <c r="BW18">
        <v>0.38500000000000001</v>
      </c>
      <c r="BX18">
        <v>0</v>
      </c>
      <c r="BY18">
        <v>0</v>
      </c>
      <c r="BZ18">
        <v>0</v>
      </c>
      <c r="CA18">
        <v>0</v>
      </c>
      <c r="CM18" t="s">
        <v>2034</v>
      </c>
      <c r="CR18">
        <v>0</v>
      </c>
      <c r="CS18">
        <v>0</v>
      </c>
      <c r="CT18">
        <v>0</v>
      </c>
      <c r="CU18">
        <v>0</v>
      </c>
      <c r="CX18">
        <v>0</v>
      </c>
      <c r="CY18">
        <v>0</v>
      </c>
      <c r="CZ18">
        <v>0</v>
      </c>
      <c r="DA18">
        <v>0</v>
      </c>
      <c r="DB18">
        <v>0</v>
      </c>
      <c r="DD18">
        <v>0</v>
      </c>
      <c r="DK18">
        <v>0</v>
      </c>
      <c r="DL18">
        <v>0</v>
      </c>
      <c r="DM18">
        <v>0</v>
      </c>
      <c r="DN18">
        <v>0</v>
      </c>
      <c r="DO18">
        <v>0</v>
      </c>
      <c r="DP18">
        <v>0</v>
      </c>
      <c r="DQ18">
        <v>0</v>
      </c>
      <c r="DR18">
        <v>0</v>
      </c>
      <c r="DW18" t="s">
        <v>1042</v>
      </c>
      <c r="DX18">
        <v>0</v>
      </c>
      <c r="DZ18">
        <v>0</v>
      </c>
      <c r="EA18">
        <v>0</v>
      </c>
      <c r="EC18">
        <v>0</v>
      </c>
      <c r="EM18">
        <v>0</v>
      </c>
      <c r="EN18">
        <v>0</v>
      </c>
      <c r="EO18">
        <v>0</v>
      </c>
      <c r="EY18">
        <v>0</v>
      </c>
      <c r="EZ18">
        <v>0</v>
      </c>
      <c r="FA18">
        <v>0</v>
      </c>
      <c r="FB18">
        <v>0</v>
      </c>
      <c r="FD18" t="s">
        <v>2029</v>
      </c>
      <c r="FF18">
        <v>0</v>
      </c>
      <c r="FG18">
        <v>0</v>
      </c>
      <c r="FR18">
        <v>0</v>
      </c>
      <c r="FS18">
        <v>0</v>
      </c>
      <c r="GD18">
        <v>0</v>
      </c>
      <c r="GL18">
        <v>0</v>
      </c>
      <c r="GM18">
        <v>0</v>
      </c>
      <c r="GN18">
        <v>0</v>
      </c>
      <c r="GP18" t="s">
        <v>1042</v>
      </c>
      <c r="GQ18" t="s">
        <v>2027</v>
      </c>
      <c r="HH18">
        <v>0</v>
      </c>
      <c r="HI18">
        <v>0</v>
      </c>
      <c r="HP18">
        <v>0</v>
      </c>
      <c r="HZ18">
        <v>0</v>
      </c>
      <c r="IB18">
        <v>0</v>
      </c>
      <c r="IC18">
        <v>0</v>
      </c>
      <c r="IG18" t="s">
        <v>1042</v>
      </c>
      <c r="IJ18" t="s">
        <v>1042</v>
      </c>
      <c r="IM18">
        <v>0</v>
      </c>
      <c r="IN18" t="s">
        <v>2024</v>
      </c>
      <c r="IO18">
        <v>7897801317177</v>
      </c>
    </row>
    <row r="19" spans="2:251" x14ac:dyDescent="0.35">
      <c r="B19">
        <v>1</v>
      </c>
      <c r="C19">
        <v>1242</v>
      </c>
      <c r="D19">
        <v>0</v>
      </c>
      <c r="E19">
        <v>0</v>
      </c>
      <c r="F19">
        <v>0</v>
      </c>
      <c r="G19">
        <v>0</v>
      </c>
      <c r="H19">
        <v>0</v>
      </c>
      <c r="I19">
        <v>0</v>
      </c>
      <c r="J19" t="s">
        <v>2073</v>
      </c>
      <c r="M19">
        <v>0</v>
      </c>
      <c r="Q19">
        <v>0</v>
      </c>
      <c r="S19">
        <v>0</v>
      </c>
      <c r="T19">
        <v>0</v>
      </c>
      <c r="U19">
        <v>0</v>
      </c>
      <c r="W19">
        <v>0</v>
      </c>
      <c r="Y19" t="s">
        <v>1042</v>
      </c>
      <c r="Z19" t="s">
        <v>1042</v>
      </c>
      <c r="AA19" t="s">
        <v>1042</v>
      </c>
      <c r="AB19" t="s">
        <v>1042</v>
      </c>
      <c r="AC19" t="s">
        <v>1042</v>
      </c>
      <c r="AD19" t="s">
        <v>1042</v>
      </c>
      <c r="AE19">
        <v>0</v>
      </c>
      <c r="AG19">
        <v>0</v>
      </c>
      <c r="AH19">
        <v>0</v>
      </c>
      <c r="AI19">
        <v>0</v>
      </c>
      <c r="AJ19">
        <v>0</v>
      </c>
      <c r="AM19">
        <v>8888</v>
      </c>
      <c r="AP19">
        <v>0</v>
      </c>
      <c r="AR19" t="s">
        <v>1047</v>
      </c>
      <c r="AV19">
        <v>0</v>
      </c>
      <c r="AW19">
        <v>0</v>
      </c>
      <c r="AX19">
        <v>0</v>
      </c>
      <c r="AY19">
        <v>0</v>
      </c>
      <c r="AZ19">
        <v>0</v>
      </c>
      <c r="BA19">
        <v>0</v>
      </c>
      <c r="BB19">
        <v>0</v>
      </c>
      <c r="BD19">
        <v>0</v>
      </c>
      <c r="BE19">
        <v>0</v>
      </c>
      <c r="BM19">
        <v>0</v>
      </c>
      <c r="BN19">
        <v>0</v>
      </c>
      <c r="BO19">
        <v>0</v>
      </c>
      <c r="BP19">
        <v>0</v>
      </c>
      <c r="BQ19">
        <v>0</v>
      </c>
      <c r="BR19">
        <v>0</v>
      </c>
      <c r="BS19">
        <v>0</v>
      </c>
      <c r="BU19">
        <v>0.33500000000000002</v>
      </c>
      <c r="BV19">
        <v>0.16500000000000001</v>
      </c>
      <c r="BW19">
        <v>0.33500000000000002</v>
      </c>
      <c r="BX19">
        <v>0</v>
      </c>
      <c r="BY19">
        <v>0</v>
      </c>
      <c r="BZ19">
        <v>0</v>
      </c>
      <c r="CA19">
        <v>0</v>
      </c>
      <c r="CM19" t="s">
        <v>2034</v>
      </c>
      <c r="CR19">
        <v>0</v>
      </c>
      <c r="CS19">
        <v>0</v>
      </c>
      <c r="CT19">
        <v>0</v>
      </c>
      <c r="CU19">
        <v>0</v>
      </c>
      <c r="CX19">
        <v>0</v>
      </c>
      <c r="CY19">
        <v>0</v>
      </c>
      <c r="CZ19">
        <v>0</v>
      </c>
      <c r="DA19">
        <v>0</v>
      </c>
      <c r="DB19">
        <v>0</v>
      </c>
      <c r="DD19">
        <v>0</v>
      </c>
      <c r="DK19">
        <v>0</v>
      </c>
      <c r="DL19">
        <v>0</v>
      </c>
      <c r="DM19">
        <v>0</v>
      </c>
      <c r="DN19">
        <v>0</v>
      </c>
      <c r="DO19">
        <v>0</v>
      </c>
      <c r="DP19">
        <v>0</v>
      </c>
      <c r="DQ19">
        <v>0</v>
      </c>
      <c r="DR19">
        <v>0</v>
      </c>
      <c r="DW19" t="s">
        <v>1042</v>
      </c>
      <c r="DX19">
        <v>0</v>
      </c>
      <c r="DZ19">
        <v>0</v>
      </c>
      <c r="EA19">
        <v>0</v>
      </c>
      <c r="EC19">
        <v>0</v>
      </c>
      <c r="EM19">
        <v>0</v>
      </c>
      <c r="EN19">
        <v>0</v>
      </c>
      <c r="EO19">
        <v>0</v>
      </c>
      <c r="EY19">
        <v>0</v>
      </c>
      <c r="EZ19">
        <v>0</v>
      </c>
      <c r="FA19">
        <v>0</v>
      </c>
      <c r="FB19">
        <v>0</v>
      </c>
      <c r="FD19" t="s">
        <v>2029</v>
      </c>
      <c r="FF19">
        <v>0</v>
      </c>
      <c r="FG19">
        <v>0</v>
      </c>
      <c r="FR19">
        <v>0</v>
      </c>
      <c r="FS19">
        <v>0</v>
      </c>
      <c r="GD19">
        <v>0</v>
      </c>
      <c r="GL19">
        <v>0</v>
      </c>
      <c r="GM19">
        <v>0</v>
      </c>
      <c r="GN19">
        <v>0</v>
      </c>
      <c r="GP19" t="s">
        <v>1042</v>
      </c>
      <c r="GQ19" t="s">
        <v>2027</v>
      </c>
      <c r="HH19">
        <v>0</v>
      </c>
      <c r="HI19">
        <v>0</v>
      </c>
      <c r="HP19">
        <v>0</v>
      </c>
      <c r="HZ19">
        <v>0</v>
      </c>
      <c r="IB19">
        <v>0</v>
      </c>
      <c r="IC19">
        <v>0</v>
      </c>
      <c r="IG19" t="s">
        <v>1042</v>
      </c>
      <c r="IJ19" t="s">
        <v>1042</v>
      </c>
      <c r="IM19">
        <v>0</v>
      </c>
      <c r="IN19" t="s">
        <v>2024</v>
      </c>
      <c r="IO19">
        <v>7897801317184</v>
      </c>
    </row>
    <row r="20" spans="2:251" x14ac:dyDescent="0.35">
      <c r="B20">
        <v>1</v>
      </c>
      <c r="C20">
        <v>1245</v>
      </c>
      <c r="D20">
        <v>0</v>
      </c>
      <c r="E20">
        <v>0</v>
      </c>
      <c r="F20">
        <v>0</v>
      </c>
      <c r="G20">
        <v>0</v>
      </c>
      <c r="H20">
        <v>0</v>
      </c>
      <c r="I20">
        <v>0</v>
      </c>
      <c r="J20" t="s">
        <v>2072</v>
      </c>
      <c r="M20">
        <v>37</v>
      </c>
      <c r="Q20">
        <v>26</v>
      </c>
      <c r="S20">
        <v>37</v>
      </c>
      <c r="T20">
        <v>0</v>
      </c>
      <c r="U20">
        <v>0</v>
      </c>
      <c r="W20">
        <v>6.1999999999999998E-3</v>
      </c>
      <c r="X20" t="s">
        <v>1085</v>
      </c>
      <c r="Y20" t="s">
        <v>1042</v>
      </c>
      <c r="Z20" t="s">
        <v>1042</v>
      </c>
      <c r="AA20" t="s">
        <v>1042</v>
      </c>
      <c r="AB20" t="s">
        <v>1042</v>
      </c>
      <c r="AC20" t="s">
        <v>1042</v>
      </c>
      <c r="AD20" t="s">
        <v>1042</v>
      </c>
      <c r="AE20">
        <v>0</v>
      </c>
      <c r="AG20">
        <v>0</v>
      </c>
      <c r="AH20">
        <v>0</v>
      </c>
      <c r="AI20">
        <v>0</v>
      </c>
      <c r="AJ20">
        <v>0</v>
      </c>
      <c r="AK20" t="s">
        <v>1043</v>
      </c>
      <c r="AM20">
        <v>240</v>
      </c>
      <c r="AO20" t="s">
        <v>1044</v>
      </c>
      <c r="AP20">
        <v>0</v>
      </c>
      <c r="AR20" t="s">
        <v>1047</v>
      </c>
      <c r="AV20">
        <v>0</v>
      </c>
      <c r="AW20">
        <v>0</v>
      </c>
      <c r="AX20">
        <v>0</v>
      </c>
      <c r="AY20">
        <v>0</v>
      </c>
      <c r="AZ20">
        <v>0</v>
      </c>
      <c r="BA20">
        <v>0</v>
      </c>
      <c r="BB20">
        <v>0</v>
      </c>
      <c r="BC20" t="s">
        <v>1043</v>
      </c>
      <c r="BD20">
        <v>0</v>
      </c>
      <c r="BE20">
        <v>0</v>
      </c>
      <c r="BJ20" t="s">
        <v>1044</v>
      </c>
      <c r="BM20">
        <v>0</v>
      </c>
      <c r="BN20">
        <v>0</v>
      </c>
      <c r="BO20">
        <v>0</v>
      </c>
      <c r="BP20">
        <v>0</v>
      </c>
      <c r="BQ20">
        <v>0</v>
      </c>
      <c r="BR20">
        <v>0</v>
      </c>
      <c r="BS20">
        <v>0</v>
      </c>
      <c r="BU20">
        <v>0.17</v>
      </c>
      <c r="BV20">
        <v>0.05</v>
      </c>
      <c r="BW20">
        <v>0.24</v>
      </c>
      <c r="BX20">
        <v>0.51</v>
      </c>
      <c r="BY20">
        <v>0.17</v>
      </c>
      <c r="BZ20">
        <v>0.74</v>
      </c>
      <c r="CA20">
        <v>1500</v>
      </c>
      <c r="CM20" t="s">
        <v>2034</v>
      </c>
      <c r="CN20" t="s">
        <v>1044</v>
      </c>
      <c r="CO20">
        <v>3917</v>
      </c>
      <c r="CR20">
        <v>0</v>
      </c>
      <c r="CS20">
        <v>0</v>
      </c>
      <c r="CT20">
        <v>0</v>
      </c>
      <c r="CU20">
        <v>0</v>
      </c>
      <c r="CX20">
        <v>0</v>
      </c>
      <c r="CY20">
        <v>0</v>
      </c>
      <c r="CZ20">
        <v>0</v>
      </c>
      <c r="DA20">
        <v>0</v>
      </c>
      <c r="DB20">
        <v>0</v>
      </c>
      <c r="DD20">
        <v>0</v>
      </c>
      <c r="DK20">
        <v>0</v>
      </c>
      <c r="DL20">
        <v>0</v>
      </c>
      <c r="DM20">
        <v>0</v>
      </c>
      <c r="DN20">
        <v>0</v>
      </c>
      <c r="DO20">
        <v>0</v>
      </c>
      <c r="DP20">
        <v>0</v>
      </c>
      <c r="DQ20">
        <v>0</v>
      </c>
      <c r="DR20">
        <v>0</v>
      </c>
      <c r="DW20" t="s">
        <v>1042</v>
      </c>
      <c r="DX20">
        <v>0</v>
      </c>
      <c r="DZ20">
        <v>0</v>
      </c>
      <c r="EA20">
        <v>0</v>
      </c>
      <c r="EC20">
        <v>0</v>
      </c>
      <c r="EM20">
        <v>0</v>
      </c>
      <c r="EN20">
        <v>0</v>
      </c>
      <c r="EO20">
        <v>0</v>
      </c>
      <c r="EY20">
        <v>0</v>
      </c>
      <c r="EZ20">
        <v>0</v>
      </c>
      <c r="FA20">
        <v>0</v>
      </c>
      <c r="FB20">
        <v>0</v>
      </c>
      <c r="FD20" t="s">
        <v>2029</v>
      </c>
      <c r="FF20">
        <v>0</v>
      </c>
      <c r="FG20">
        <v>0</v>
      </c>
      <c r="FR20">
        <v>0</v>
      </c>
      <c r="FS20">
        <v>0</v>
      </c>
      <c r="GD20">
        <v>0</v>
      </c>
      <c r="GL20">
        <v>0</v>
      </c>
      <c r="GM20">
        <v>0</v>
      </c>
      <c r="GN20">
        <v>0</v>
      </c>
      <c r="GP20" t="s">
        <v>1042</v>
      </c>
      <c r="GQ20" t="s">
        <v>2027</v>
      </c>
      <c r="HH20">
        <v>0</v>
      </c>
      <c r="HI20">
        <v>0</v>
      </c>
      <c r="HP20">
        <v>0</v>
      </c>
      <c r="HZ20">
        <v>0</v>
      </c>
      <c r="IB20">
        <v>0</v>
      </c>
      <c r="IC20">
        <v>0</v>
      </c>
      <c r="IG20" t="s">
        <v>1042</v>
      </c>
      <c r="IJ20" t="s">
        <v>1042</v>
      </c>
      <c r="IM20">
        <v>0</v>
      </c>
      <c r="IN20" t="s">
        <v>2024</v>
      </c>
      <c r="IO20">
        <v>7897801309981</v>
      </c>
    </row>
    <row r="21" spans="2:251" x14ac:dyDescent="0.35">
      <c r="B21">
        <v>1</v>
      </c>
      <c r="C21">
        <v>1246</v>
      </c>
      <c r="D21">
        <v>0</v>
      </c>
      <c r="E21">
        <v>0</v>
      </c>
      <c r="F21">
        <v>0</v>
      </c>
      <c r="G21">
        <v>0</v>
      </c>
      <c r="H21">
        <v>0</v>
      </c>
      <c r="I21">
        <v>0</v>
      </c>
      <c r="J21" t="s">
        <v>2071</v>
      </c>
      <c r="M21">
        <v>41</v>
      </c>
      <c r="Q21">
        <v>30</v>
      </c>
      <c r="S21">
        <v>41</v>
      </c>
      <c r="T21">
        <v>0</v>
      </c>
      <c r="U21">
        <v>0</v>
      </c>
      <c r="W21">
        <v>9.1999999999999998E-3</v>
      </c>
      <c r="X21" t="s">
        <v>1085</v>
      </c>
      <c r="Y21" t="s">
        <v>1042</v>
      </c>
      <c r="Z21" t="s">
        <v>1042</v>
      </c>
      <c r="AA21" t="s">
        <v>1042</v>
      </c>
      <c r="AB21" t="s">
        <v>1042</v>
      </c>
      <c r="AC21" t="s">
        <v>1042</v>
      </c>
      <c r="AD21" t="s">
        <v>1042</v>
      </c>
      <c r="AE21">
        <v>0</v>
      </c>
      <c r="AG21">
        <v>0</v>
      </c>
      <c r="AH21">
        <v>0</v>
      </c>
      <c r="AI21">
        <v>0</v>
      </c>
      <c r="AJ21">
        <v>0</v>
      </c>
      <c r="AK21" t="s">
        <v>1043</v>
      </c>
      <c r="AM21">
        <v>240</v>
      </c>
      <c r="AO21" t="s">
        <v>1044</v>
      </c>
      <c r="AP21">
        <v>0</v>
      </c>
      <c r="AR21" t="s">
        <v>1047</v>
      </c>
      <c r="AV21">
        <v>0</v>
      </c>
      <c r="AW21">
        <v>0</v>
      </c>
      <c r="AX21">
        <v>0</v>
      </c>
      <c r="AY21">
        <v>0</v>
      </c>
      <c r="AZ21">
        <v>0</v>
      </c>
      <c r="BA21">
        <v>0</v>
      </c>
      <c r="BB21">
        <v>0</v>
      </c>
      <c r="BC21" t="s">
        <v>1043</v>
      </c>
      <c r="BD21">
        <v>0</v>
      </c>
      <c r="BE21">
        <v>0</v>
      </c>
      <c r="BJ21" t="s">
        <v>1044</v>
      </c>
      <c r="BM21">
        <v>0</v>
      </c>
      <c r="BN21">
        <v>0</v>
      </c>
      <c r="BO21">
        <v>0</v>
      </c>
      <c r="BP21">
        <v>0</v>
      </c>
      <c r="BQ21">
        <v>0</v>
      </c>
      <c r="BR21">
        <v>0</v>
      </c>
      <c r="BS21">
        <v>0</v>
      </c>
      <c r="BU21">
        <v>0.18</v>
      </c>
      <c r="BV21">
        <v>0.08</v>
      </c>
      <c r="BW21">
        <v>0.25</v>
      </c>
      <c r="BX21">
        <v>0.46</v>
      </c>
      <c r="BY21">
        <v>0.25</v>
      </c>
      <c r="BZ21">
        <v>0.68</v>
      </c>
      <c r="CA21">
        <v>1200</v>
      </c>
      <c r="CM21" t="s">
        <v>2034</v>
      </c>
      <c r="CN21" t="s">
        <v>1044</v>
      </c>
      <c r="CO21">
        <v>3917</v>
      </c>
      <c r="CR21">
        <v>0</v>
      </c>
      <c r="CS21">
        <v>0</v>
      </c>
      <c r="CT21">
        <v>0</v>
      </c>
      <c r="CU21">
        <v>0</v>
      </c>
      <c r="CX21">
        <v>0</v>
      </c>
      <c r="CY21">
        <v>0</v>
      </c>
      <c r="CZ21">
        <v>0</v>
      </c>
      <c r="DA21">
        <v>0</v>
      </c>
      <c r="DB21">
        <v>0</v>
      </c>
      <c r="DD21">
        <v>0</v>
      </c>
      <c r="DK21">
        <v>0</v>
      </c>
      <c r="DL21">
        <v>0</v>
      </c>
      <c r="DM21">
        <v>0</v>
      </c>
      <c r="DN21">
        <v>0</v>
      </c>
      <c r="DO21">
        <v>0</v>
      </c>
      <c r="DP21">
        <v>0</v>
      </c>
      <c r="DQ21">
        <v>0</v>
      </c>
      <c r="DR21">
        <v>0</v>
      </c>
      <c r="DW21" t="s">
        <v>1042</v>
      </c>
      <c r="DX21">
        <v>0</v>
      </c>
      <c r="DZ21">
        <v>0</v>
      </c>
      <c r="EA21">
        <v>0</v>
      </c>
      <c r="EC21">
        <v>0</v>
      </c>
      <c r="EM21">
        <v>0</v>
      </c>
      <c r="EN21">
        <v>0</v>
      </c>
      <c r="EO21">
        <v>0</v>
      </c>
      <c r="EY21">
        <v>0</v>
      </c>
      <c r="EZ21">
        <v>0</v>
      </c>
      <c r="FA21">
        <v>0</v>
      </c>
      <c r="FB21">
        <v>0</v>
      </c>
      <c r="FD21" t="s">
        <v>2029</v>
      </c>
      <c r="FF21">
        <v>0</v>
      </c>
      <c r="FG21">
        <v>0</v>
      </c>
      <c r="FR21">
        <v>0</v>
      </c>
      <c r="FS21">
        <v>0</v>
      </c>
      <c r="GD21">
        <v>0</v>
      </c>
      <c r="GL21">
        <v>0</v>
      </c>
      <c r="GM21">
        <v>0</v>
      </c>
      <c r="GN21">
        <v>0</v>
      </c>
      <c r="GP21" t="s">
        <v>1042</v>
      </c>
      <c r="GQ21" t="s">
        <v>2027</v>
      </c>
      <c r="HH21">
        <v>0</v>
      </c>
      <c r="HI21">
        <v>0</v>
      </c>
      <c r="HP21">
        <v>0</v>
      </c>
      <c r="HZ21">
        <v>0</v>
      </c>
      <c r="IB21">
        <v>0</v>
      </c>
      <c r="IC21">
        <v>0</v>
      </c>
      <c r="IG21" t="s">
        <v>1042</v>
      </c>
      <c r="IJ21" t="s">
        <v>1042</v>
      </c>
      <c r="IM21">
        <v>0</v>
      </c>
      <c r="IN21" t="s">
        <v>2024</v>
      </c>
      <c r="IO21">
        <v>7897801309998</v>
      </c>
    </row>
    <row r="22" spans="2:251" x14ac:dyDescent="0.35">
      <c r="B22">
        <v>1</v>
      </c>
      <c r="C22">
        <v>1247</v>
      </c>
      <c r="D22">
        <v>0</v>
      </c>
      <c r="E22">
        <v>0</v>
      </c>
      <c r="F22">
        <v>0</v>
      </c>
      <c r="G22">
        <v>0</v>
      </c>
      <c r="H22">
        <v>0</v>
      </c>
      <c r="I22">
        <v>0</v>
      </c>
      <c r="J22" t="s">
        <v>2070</v>
      </c>
      <c r="M22">
        <v>42</v>
      </c>
      <c r="Q22">
        <v>37</v>
      </c>
      <c r="S22">
        <v>42</v>
      </c>
      <c r="T22">
        <v>0</v>
      </c>
      <c r="U22">
        <v>0</v>
      </c>
      <c r="W22">
        <v>1.5599999999999999E-2</v>
      </c>
      <c r="X22" t="s">
        <v>1085</v>
      </c>
      <c r="Y22" t="s">
        <v>1042</v>
      </c>
      <c r="Z22" t="s">
        <v>1042</v>
      </c>
      <c r="AA22" t="s">
        <v>1042</v>
      </c>
      <c r="AB22" t="s">
        <v>1042</v>
      </c>
      <c r="AC22" t="s">
        <v>1042</v>
      </c>
      <c r="AD22" t="s">
        <v>1042</v>
      </c>
      <c r="AE22">
        <v>0</v>
      </c>
      <c r="AG22">
        <v>0</v>
      </c>
      <c r="AH22">
        <v>0</v>
      </c>
      <c r="AI22">
        <v>0</v>
      </c>
      <c r="AJ22">
        <v>0</v>
      </c>
      <c r="AK22" t="s">
        <v>1043</v>
      </c>
      <c r="AM22">
        <v>240</v>
      </c>
      <c r="AO22" t="s">
        <v>1044</v>
      </c>
      <c r="AP22">
        <v>0</v>
      </c>
      <c r="AR22" t="s">
        <v>1047</v>
      </c>
      <c r="AV22">
        <v>0</v>
      </c>
      <c r="AW22">
        <v>0</v>
      </c>
      <c r="AX22">
        <v>0</v>
      </c>
      <c r="AY22">
        <v>0</v>
      </c>
      <c r="AZ22">
        <v>0</v>
      </c>
      <c r="BA22">
        <v>0</v>
      </c>
      <c r="BB22">
        <v>0</v>
      </c>
      <c r="BC22" t="s">
        <v>1043</v>
      </c>
      <c r="BD22">
        <v>0</v>
      </c>
      <c r="BE22">
        <v>0</v>
      </c>
      <c r="BJ22" t="s">
        <v>1044</v>
      </c>
      <c r="BM22">
        <v>0</v>
      </c>
      <c r="BN22">
        <v>0</v>
      </c>
      <c r="BO22">
        <v>0</v>
      </c>
      <c r="BP22">
        <v>0</v>
      </c>
      <c r="BQ22">
        <v>0</v>
      </c>
      <c r="BR22">
        <v>0</v>
      </c>
      <c r="BS22">
        <v>0</v>
      </c>
      <c r="BU22">
        <v>0.23</v>
      </c>
      <c r="BV22">
        <v>0.08</v>
      </c>
      <c r="BW22">
        <v>0.26</v>
      </c>
      <c r="BX22">
        <v>0.57999999999999996</v>
      </c>
      <c r="BY22">
        <v>0.24</v>
      </c>
      <c r="BZ22">
        <v>0.83</v>
      </c>
      <c r="CA22">
        <v>900</v>
      </c>
      <c r="CM22" t="s">
        <v>2034</v>
      </c>
      <c r="CN22" t="s">
        <v>1044</v>
      </c>
      <c r="CO22">
        <v>3917</v>
      </c>
      <c r="CR22">
        <v>0</v>
      </c>
      <c r="CS22">
        <v>0</v>
      </c>
      <c r="CT22">
        <v>0</v>
      </c>
      <c r="CU22">
        <v>0</v>
      </c>
      <c r="CX22">
        <v>0</v>
      </c>
      <c r="CY22">
        <v>0</v>
      </c>
      <c r="CZ22">
        <v>0</v>
      </c>
      <c r="DA22">
        <v>0</v>
      </c>
      <c r="DB22">
        <v>0</v>
      </c>
      <c r="DD22">
        <v>0</v>
      </c>
      <c r="DK22">
        <v>0</v>
      </c>
      <c r="DL22">
        <v>0</v>
      </c>
      <c r="DM22">
        <v>0</v>
      </c>
      <c r="DN22">
        <v>0</v>
      </c>
      <c r="DO22">
        <v>0</v>
      </c>
      <c r="DP22">
        <v>0</v>
      </c>
      <c r="DQ22">
        <v>0</v>
      </c>
      <c r="DR22">
        <v>0</v>
      </c>
      <c r="DW22" t="s">
        <v>1042</v>
      </c>
      <c r="DX22">
        <v>0</v>
      </c>
      <c r="DZ22">
        <v>0</v>
      </c>
      <c r="EA22">
        <v>0</v>
      </c>
      <c r="EC22">
        <v>0</v>
      </c>
      <c r="EM22">
        <v>0</v>
      </c>
      <c r="EN22">
        <v>0</v>
      </c>
      <c r="EO22">
        <v>0</v>
      </c>
      <c r="EY22">
        <v>0</v>
      </c>
      <c r="EZ22">
        <v>0</v>
      </c>
      <c r="FA22">
        <v>0</v>
      </c>
      <c r="FB22">
        <v>0</v>
      </c>
      <c r="FD22" t="s">
        <v>2029</v>
      </c>
      <c r="FF22">
        <v>0</v>
      </c>
      <c r="FG22">
        <v>0</v>
      </c>
      <c r="FR22">
        <v>0</v>
      </c>
      <c r="FS22">
        <v>0</v>
      </c>
      <c r="GD22">
        <v>0</v>
      </c>
      <c r="GL22">
        <v>0</v>
      </c>
      <c r="GM22">
        <v>0</v>
      </c>
      <c r="GN22">
        <v>0</v>
      </c>
      <c r="GP22" t="s">
        <v>1042</v>
      </c>
      <c r="GQ22" t="s">
        <v>2027</v>
      </c>
      <c r="HH22">
        <v>0</v>
      </c>
      <c r="HI22">
        <v>0</v>
      </c>
      <c r="HP22">
        <v>0</v>
      </c>
      <c r="HZ22">
        <v>0</v>
      </c>
      <c r="IB22">
        <v>0</v>
      </c>
      <c r="IC22">
        <v>0</v>
      </c>
      <c r="IG22" t="s">
        <v>1042</v>
      </c>
      <c r="IJ22" t="s">
        <v>1042</v>
      </c>
      <c r="IM22">
        <v>0</v>
      </c>
      <c r="IN22" t="s">
        <v>2024</v>
      </c>
      <c r="IO22">
        <v>7897801310000</v>
      </c>
    </row>
    <row r="23" spans="2:251" x14ac:dyDescent="0.35">
      <c r="B23">
        <v>1</v>
      </c>
      <c r="C23">
        <v>1250</v>
      </c>
      <c r="D23">
        <v>0</v>
      </c>
      <c r="E23">
        <v>0</v>
      </c>
      <c r="F23">
        <v>0</v>
      </c>
      <c r="G23">
        <v>0</v>
      </c>
      <c r="H23">
        <v>0</v>
      </c>
      <c r="I23">
        <v>0</v>
      </c>
      <c r="J23" t="s">
        <v>2069</v>
      </c>
      <c r="M23">
        <v>37</v>
      </c>
      <c r="Q23">
        <v>24</v>
      </c>
      <c r="S23">
        <v>37</v>
      </c>
      <c r="T23">
        <v>0</v>
      </c>
      <c r="U23">
        <v>0</v>
      </c>
      <c r="W23">
        <v>6.0000000000000001E-3</v>
      </c>
      <c r="X23" t="s">
        <v>1085</v>
      </c>
      <c r="Y23" t="s">
        <v>1042</v>
      </c>
      <c r="Z23" t="s">
        <v>1042</v>
      </c>
      <c r="AA23" t="s">
        <v>1042</v>
      </c>
      <c r="AB23" t="s">
        <v>1042</v>
      </c>
      <c r="AC23" t="s">
        <v>1042</v>
      </c>
      <c r="AD23" t="s">
        <v>1042</v>
      </c>
      <c r="AE23">
        <v>0</v>
      </c>
      <c r="AG23">
        <v>0</v>
      </c>
      <c r="AH23">
        <v>0</v>
      </c>
      <c r="AI23">
        <v>0</v>
      </c>
      <c r="AJ23">
        <v>0</v>
      </c>
      <c r="AK23" t="s">
        <v>1043</v>
      </c>
      <c r="AM23">
        <v>240</v>
      </c>
      <c r="AO23" t="s">
        <v>1044</v>
      </c>
      <c r="AP23">
        <v>0</v>
      </c>
      <c r="AR23" t="s">
        <v>1047</v>
      </c>
      <c r="AV23">
        <v>0</v>
      </c>
      <c r="AW23">
        <v>0</v>
      </c>
      <c r="AX23">
        <v>0</v>
      </c>
      <c r="AY23">
        <v>0</v>
      </c>
      <c r="AZ23">
        <v>0</v>
      </c>
      <c r="BA23">
        <v>0</v>
      </c>
      <c r="BB23">
        <v>0</v>
      </c>
      <c r="BC23" t="s">
        <v>1043</v>
      </c>
      <c r="BD23">
        <v>0</v>
      </c>
      <c r="BE23">
        <v>0</v>
      </c>
      <c r="BJ23" t="s">
        <v>1044</v>
      </c>
      <c r="BM23">
        <v>0</v>
      </c>
      <c r="BN23">
        <v>0</v>
      </c>
      <c r="BO23">
        <v>0</v>
      </c>
      <c r="BP23">
        <v>0</v>
      </c>
      <c r="BQ23">
        <v>0</v>
      </c>
      <c r="BR23">
        <v>0</v>
      </c>
      <c r="BS23">
        <v>0</v>
      </c>
      <c r="BU23">
        <v>0.14000000000000001</v>
      </c>
      <c r="BV23">
        <v>7.0000000000000007E-2</v>
      </c>
      <c r="BW23">
        <v>0.2</v>
      </c>
      <c r="BX23">
        <v>0.5</v>
      </c>
      <c r="BY23">
        <v>0.15</v>
      </c>
      <c r="BZ23">
        <v>0.7</v>
      </c>
      <c r="CA23">
        <v>1500</v>
      </c>
      <c r="CM23" t="s">
        <v>2034</v>
      </c>
      <c r="CN23" t="s">
        <v>1044</v>
      </c>
      <c r="CO23">
        <v>3917</v>
      </c>
      <c r="CR23">
        <v>0</v>
      </c>
      <c r="CS23">
        <v>0</v>
      </c>
      <c r="CT23">
        <v>0</v>
      </c>
      <c r="CU23">
        <v>0</v>
      </c>
      <c r="CX23">
        <v>0</v>
      </c>
      <c r="CY23">
        <v>0</v>
      </c>
      <c r="CZ23">
        <v>0</v>
      </c>
      <c r="DA23">
        <v>0</v>
      </c>
      <c r="DB23">
        <v>0</v>
      </c>
      <c r="DD23">
        <v>0</v>
      </c>
      <c r="DK23">
        <v>0</v>
      </c>
      <c r="DL23">
        <v>0</v>
      </c>
      <c r="DM23">
        <v>0</v>
      </c>
      <c r="DN23">
        <v>0</v>
      </c>
      <c r="DO23">
        <v>0</v>
      </c>
      <c r="DP23">
        <v>0</v>
      </c>
      <c r="DQ23">
        <v>0</v>
      </c>
      <c r="DR23">
        <v>0</v>
      </c>
      <c r="DW23" t="s">
        <v>1042</v>
      </c>
      <c r="DX23">
        <v>0</v>
      </c>
      <c r="DZ23">
        <v>0</v>
      </c>
      <c r="EA23">
        <v>0</v>
      </c>
      <c r="EC23">
        <v>0</v>
      </c>
      <c r="EM23">
        <v>0</v>
      </c>
      <c r="EN23">
        <v>0</v>
      </c>
      <c r="EO23">
        <v>0</v>
      </c>
      <c r="EY23">
        <v>0</v>
      </c>
      <c r="EZ23">
        <v>0</v>
      </c>
      <c r="FA23">
        <v>0</v>
      </c>
      <c r="FB23">
        <v>0</v>
      </c>
      <c r="FD23" t="s">
        <v>2029</v>
      </c>
      <c r="FF23">
        <v>0</v>
      </c>
      <c r="FG23">
        <v>0</v>
      </c>
      <c r="FR23">
        <v>0</v>
      </c>
      <c r="FS23">
        <v>0</v>
      </c>
      <c r="GD23">
        <v>0</v>
      </c>
      <c r="GL23">
        <v>0</v>
      </c>
      <c r="GM23">
        <v>0</v>
      </c>
      <c r="GN23">
        <v>0</v>
      </c>
      <c r="GP23" t="s">
        <v>1042</v>
      </c>
      <c r="GQ23" t="s">
        <v>2027</v>
      </c>
      <c r="HH23">
        <v>0</v>
      </c>
      <c r="HI23">
        <v>0</v>
      </c>
      <c r="HP23">
        <v>0</v>
      </c>
      <c r="HZ23">
        <v>0</v>
      </c>
      <c r="IB23">
        <v>0</v>
      </c>
      <c r="IC23">
        <v>0</v>
      </c>
      <c r="IG23" t="s">
        <v>1042</v>
      </c>
      <c r="IJ23" t="s">
        <v>1042</v>
      </c>
      <c r="IM23">
        <v>0</v>
      </c>
      <c r="IN23" t="s">
        <v>2024</v>
      </c>
      <c r="IO23">
        <v>7897801310239</v>
      </c>
    </row>
    <row r="24" spans="2:251" x14ac:dyDescent="0.35">
      <c r="B24">
        <v>1</v>
      </c>
      <c r="C24">
        <v>1251</v>
      </c>
      <c r="D24">
        <v>0</v>
      </c>
      <c r="E24">
        <v>0</v>
      </c>
      <c r="F24">
        <v>0</v>
      </c>
      <c r="G24">
        <v>0</v>
      </c>
      <c r="H24">
        <v>0</v>
      </c>
      <c r="I24">
        <v>0</v>
      </c>
      <c r="J24" t="s">
        <v>2068</v>
      </c>
      <c r="M24">
        <v>41</v>
      </c>
      <c r="Q24">
        <v>29</v>
      </c>
      <c r="S24">
        <v>41</v>
      </c>
      <c r="T24">
        <v>0</v>
      </c>
      <c r="U24">
        <v>0</v>
      </c>
      <c r="W24">
        <v>8.9999999999999993E-3</v>
      </c>
      <c r="X24" t="s">
        <v>1085</v>
      </c>
      <c r="Y24" t="s">
        <v>1042</v>
      </c>
      <c r="Z24" t="s">
        <v>1042</v>
      </c>
      <c r="AA24" t="s">
        <v>1042</v>
      </c>
      <c r="AB24" t="s">
        <v>1042</v>
      </c>
      <c r="AC24" t="s">
        <v>1042</v>
      </c>
      <c r="AD24" t="s">
        <v>1042</v>
      </c>
      <c r="AE24">
        <v>0</v>
      </c>
      <c r="AG24">
        <v>0</v>
      </c>
      <c r="AH24">
        <v>0</v>
      </c>
      <c r="AI24">
        <v>0</v>
      </c>
      <c r="AJ24">
        <v>0</v>
      </c>
      <c r="AK24" t="s">
        <v>1043</v>
      </c>
      <c r="AM24">
        <v>240</v>
      </c>
      <c r="AO24" t="s">
        <v>1044</v>
      </c>
      <c r="AP24">
        <v>0</v>
      </c>
      <c r="AR24" t="s">
        <v>1047</v>
      </c>
      <c r="AV24">
        <v>0</v>
      </c>
      <c r="AW24">
        <v>0</v>
      </c>
      <c r="AX24">
        <v>0</v>
      </c>
      <c r="AY24">
        <v>0</v>
      </c>
      <c r="AZ24">
        <v>0</v>
      </c>
      <c r="BA24">
        <v>0</v>
      </c>
      <c r="BB24">
        <v>0</v>
      </c>
      <c r="BC24" t="s">
        <v>1043</v>
      </c>
      <c r="BD24">
        <v>0</v>
      </c>
      <c r="BE24">
        <v>0</v>
      </c>
      <c r="BJ24" t="s">
        <v>1044</v>
      </c>
      <c r="BM24">
        <v>0</v>
      </c>
      <c r="BN24">
        <v>0</v>
      </c>
      <c r="BO24">
        <v>0</v>
      </c>
      <c r="BP24">
        <v>0</v>
      </c>
      <c r="BQ24">
        <v>0</v>
      </c>
      <c r="BR24">
        <v>0</v>
      </c>
      <c r="BS24">
        <v>0</v>
      </c>
      <c r="BU24">
        <v>0.15</v>
      </c>
      <c r="BV24">
        <v>7.0000000000000007E-2</v>
      </c>
      <c r="BW24">
        <v>0.25</v>
      </c>
      <c r="BX24">
        <v>0.45</v>
      </c>
      <c r="BY24">
        <v>0.21</v>
      </c>
      <c r="BZ24">
        <v>0.65</v>
      </c>
      <c r="CA24">
        <v>1200</v>
      </c>
      <c r="CM24" t="s">
        <v>2034</v>
      </c>
      <c r="CN24" t="s">
        <v>1044</v>
      </c>
      <c r="CO24">
        <v>3917</v>
      </c>
      <c r="CR24">
        <v>0</v>
      </c>
      <c r="CS24">
        <v>0</v>
      </c>
      <c r="CT24">
        <v>0</v>
      </c>
      <c r="CU24">
        <v>0</v>
      </c>
      <c r="CX24">
        <v>0</v>
      </c>
      <c r="CY24">
        <v>0</v>
      </c>
      <c r="CZ24">
        <v>0</v>
      </c>
      <c r="DA24">
        <v>0</v>
      </c>
      <c r="DB24">
        <v>0</v>
      </c>
      <c r="DD24">
        <v>0</v>
      </c>
      <c r="DK24">
        <v>0</v>
      </c>
      <c r="DL24">
        <v>0</v>
      </c>
      <c r="DM24">
        <v>0</v>
      </c>
      <c r="DN24">
        <v>0</v>
      </c>
      <c r="DO24">
        <v>0</v>
      </c>
      <c r="DP24">
        <v>0</v>
      </c>
      <c r="DQ24">
        <v>0</v>
      </c>
      <c r="DR24">
        <v>0</v>
      </c>
      <c r="DW24" t="s">
        <v>1042</v>
      </c>
      <c r="DX24">
        <v>0</v>
      </c>
      <c r="DZ24">
        <v>0</v>
      </c>
      <c r="EA24">
        <v>0</v>
      </c>
      <c r="EC24">
        <v>0</v>
      </c>
      <c r="EM24">
        <v>0</v>
      </c>
      <c r="EN24">
        <v>0</v>
      </c>
      <c r="EO24">
        <v>0</v>
      </c>
      <c r="EY24">
        <v>0</v>
      </c>
      <c r="EZ24">
        <v>0</v>
      </c>
      <c r="FA24">
        <v>0</v>
      </c>
      <c r="FB24">
        <v>0</v>
      </c>
      <c r="FD24" t="s">
        <v>2029</v>
      </c>
      <c r="FF24">
        <v>0</v>
      </c>
      <c r="FG24">
        <v>0</v>
      </c>
      <c r="FR24">
        <v>0</v>
      </c>
      <c r="FS24">
        <v>0</v>
      </c>
      <c r="GD24">
        <v>0</v>
      </c>
      <c r="GL24">
        <v>0</v>
      </c>
      <c r="GM24">
        <v>0</v>
      </c>
      <c r="GN24">
        <v>0</v>
      </c>
      <c r="GP24" t="s">
        <v>1042</v>
      </c>
      <c r="GQ24" t="s">
        <v>2027</v>
      </c>
      <c r="HH24">
        <v>0</v>
      </c>
      <c r="HI24">
        <v>0</v>
      </c>
      <c r="HP24">
        <v>0</v>
      </c>
      <c r="HZ24">
        <v>0</v>
      </c>
      <c r="IB24">
        <v>0</v>
      </c>
      <c r="IC24">
        <v>0</v>
      </c>
      <c r="IG24" t="s">
        <v>1042</v>
      </c>
      <c r="IJ24" t="s">
        <v>1042</v>
      </c>
      <c r="IM24">
        <v>0</v>
      </c>
      <c r="IN24" t="s">
        <v>2024</v>
      </c>
      <c r="IO24">
        <v>7897801310246</v>
      </c>
    </row>
    <row r="25" spans="2:251" x14ac:dyDescent="0.35">
      <c r="B25">
        <v>1</v>
      </c>
      <c r="C25">
        <v>1252</v>
      </c>
      <c r="D25">
        <v>0</v>
      </c>
      <c r="E25">
        <v>0</v>
      </c>
      <c r="F25">
        <v>0</v>
      </c>
      <c r="G25">
        <v>0</v>
      </c>
      <c r="H25">
        <v>0</v>
      </c>
      <c r="I25">
        <v>0</v>
      </c>
      <c r="J25" t="s">
        <v>2067</v>
      </c>
      <c r="M25">
        <v>42</v>
      </c>
      <c r="Q25">
        <v>38</v>
      </c>
      <c r="S25">
        <v>38</v>
      </c>
      <c r="T25">
        <v>0</v>
      </c>
      <c r="U25">
        <v>0</v>
      </c>
      <c r="W25">
        <v>1.55E-2</v>
      </c>
      <c r="X25" t="s">
        <v>1085</v>
      </c>
      <c r="Y25" t="s">
        <v>1042</v>
      </c>
      <c r="Z25" t="s">
        <v>1042</v>
      </c>
      <c r="AA25" t="s">
        <v>1042</v>
      </c>
      <c r="AB25" t="s">
        <v>1042</v>
      </c>
      <c r="AC25" t="s">
        <v>1042</v>
      </c>
      <c r="AD25" t="s">
        <v>1042</v>
      </c>
      <c r="AE25">
        <v>0</v>
      </c>
      <c r="AG25">
        <v>0</v>
      </c>
      <c r="AH25">
        <v>0</v>
      </c>
      <c r="AI25">
        <v>0</v>
      </c>
      <c r="AJ25">
        <v>0</v>
      </c>
      <c r="AK25" t="s">
        <v>1043</v>
      </c>
      <c r="AM25">
        <v>240</v>
      </c>
      <c r="AO25" t="s">
        <v>1044</v>
      </c>
      <c r="AP25">
        <v>0</v>
      </c>
      <c r="AR25" t="s">
        <v>1047</v>
      </c>
      <c r="AV25">
        <v>0</v>
      </c>
      <c r="AW25">
        <v>0</v>
      </c>
      <c r="AX25">
        <v>0</v>
      </c>
      <c r="AY25">
        <v>0</v>
      </c>
      <c r="AZ25">
        <v>0</v>
      </c>
      <c r="BA25">
        <v>0</v>
      </c>
      <c r="BB25">
        <v>0</v>
      </c>
      <c r="BC25" t="s">
        <v>1043</v>
      </c>
      <c r="BD25">
        <v>0</v>
      </c>
      <c r="BE25">
        <v>0</v>
      </c>
      <c r="BJ25" t="s">
        <v>1044</v>
      </c>
      <c r="BM25">
        <v>0</v>
      </c>
      <c r="BN25">
        <v>0</v>
      </c>
      <c r="BO25">
        <v>0</v>
      </c>
      <c r="BP25">
        <v>0</v>
      </c>
      <c r="BQ25">
        <v>0</v>
      </c>
      <c r="BR25">
        <v>0</v>
      </c>
      <c r="BS25">
        <v>0</v>
      </c>
      <c r="BU25">
        <v>0.23499999999999999</v>
      </c>
      <c r="BV25">
        <v>4.2999999999999997E-2</v>
      </c>
      <c r="BW25">
        <v>0.26</v>
      </c>
      <c r="BX25">
        <v>0.62</v>
      </c>
      <c r="BY25">
        <v>0.18</v>
      </c>
      <c r="BZ25">
        <v>0.87</v>
      </c>
      <c r="CA25">
        <v>900</v>
      </c>
      <c r="CM25" t="s">
        <v>2034</v>
      </c>
      <c r="CN25" t="s">
        <v>1044</v>
      </c>
      <c r="CO25">
        <v>3917</v>
      </c>
      <c r="CR25">
        <v>0</v>
      </c>
      <c r="CS25">
        <v>0</v>
      </c>
      <c r="CT25">
        <v>0</v>
      </c>
      <c r="CU25">
        <v>0</v>
      </c>
      <c r="CX25">
        <v>0</v>
      </c>
      <c r="CY25">
        <v>0</v>
      </c>
      <c r="CZ25">
        <v>0</v>
      </c>
      <c r="DA25">
        <v>0</v>
      </c>
      <c r="DB25">
        <v>0</v>
      </c>
      <c r="DD25">
        <v>0</v>
      </c>
      <c r="DK25">
        <v>0</v>
      </c>
      <c r="DL25">
        <v>0</v>
      </c>
      <c r="DM25">
        <v>0</v>
      </c>
      <c r="DN25">
        <v>0</v>
      </c>
      <c r="DO25">
        <v>0</v>
      </c>
      <c r="DP25">
        <v>0</v>
      </c>
      <c r="DQ25">
        <v>0</v>
      </c>
      <c r="DR25">
        <v>0</v>
      </c>
      <c r="DW25" t="s">
        <v>1042</v>
      </c>
      <c r="DX25">
        <v>0</v>
      </c>
      <c r="DZ25">
        <v>0</v>
      </c>
      <c r="EA25">
        <v>0</v>
      </c>
      <c r="EC25">
        <v>0</v>
      </c>
      <c r="EM25">
        <v>0</v>
      </c>
      <c r="EN25">
        <v>0</v>
      </c>
      <c r="EO25">
        <v>0</v>
      </c>
      <c r="EY25">
        <v>0</v>
      </c>
      <c r="EZ25">
        <v>0</v>
      </c>
      <c r="FA25">
        <v>0</v>
      </c>
      <c r="FB25">
        <v>0</v>
      </c>
      <c r="FD25" t="s">
        <v>2029</v>
      </c>
      <c r="FF25">
        <v>0</v>
      </c>
      <c r="FG25">
        <v>0</v>
      </c>
      <c r="FR25">
        <v>0</v>
      </c>
      <c r="FS25">
        <v>0</v>
      </c>
      <c r="GD25">
        <v>0</v>
      </c>
      <c r="GL25">
        <v>0</v>
      </c>
      <c r="GM25">
        <v>0</v>
      </c>
      <c r="GN25">
        <v>0</v>
      </c>
      <c r="GP25" t="s">
        <v>1042</v>
      </c>
      <c r="GQ25" t="s">
        <v>2027</v>
      </c>
      <c r="HH25">
        <v>0</v>
      </c>
      <c r="HI25">
        <v>0</v>
      </c>
      <c r="HP25">
        <v>0</v>
      </c>
      <c r="HZ25">
        <v>0</v>
      </c>
      <c r="IB25">
        <v>0</v>
      </c>
      <c r="IC25">
        <v>0</v>
      </c>
      <c r="IG25" t="s">
        <v>1042</v>
      </c>
      <c r="IJ25" t="s">
        <v>1042</v>
      </c>
      <c r="IM25">
        <v>0</v>
      </c>
      <c r="IN25" t="s">
        <v>2024</v>
      </c>
      <c r="IO25">
        <v>7897801310253</v>
      </c>
    </row>
    <row r="26" spans="2:251" x14ac:dyDescent="0.35">
      <c r="B26">
        <v>1</v>
      </c>
      <c r="C26">
        <v>1254</v>
      </c>
      <c r="D26">
        <v>0</v>
      </c>
      <c r="E26">
        <v>0</v>
      </c>
      <c r="F26">
        <v>0</v>
      </c>
      <c r="G26">
        <v>0</v>
      </c>
      <c r="H26">
        <v>0</v>
      </c>
      <c r="I26">
        <v>0</v>
      </c>
      <c r="J26" t="s">
        <v>1024</v>
      </c>
      <c r="M26">
        <v>105</v>
      </c>
      <c r="Q26">
        <v>57</v>
      </c>
      <c r="S26">
        <v>105</v>
      </c>
      <c r="T26">
        <v>0</v>
      </c>
      <c r="U26">
        <v>0</v>
      </c>
      <c r="W26">
        <v>0</v>
      </c>
      <c r="Y26" t="s">
        <v>1042</v>
      </c>
      <c r="Z26" t="s">
        <v>1042</v>
      </c>
      <c r="AA26" t="s">
        <v>1042</v>
      </c>
      <c r="AB26" t="s">
        <v>1042</v>
      </c>
      <c r="AC26" t="s">
        <v>1042</v>
      </c>
      <c r="AD26" t="s">
        <v>1042</v>
      </c>
      <c r="AE26">
        <v>0</v>
      </c>
      <c r="AG26">
        <v>0</v>
      </c>
      <c r="AH26">
        <v>0</v>
      </c>
      <c r="AI26">
        <v>0</v>
      </c>
      <c r="AJ26">
        <v>0</v>
      </c>
      <c r="AK26" t="s">
        <v>1043</v>
      </c>
      <c r="AM26">
        <v>240</v>
      </c>
      <c r="AO26" t="s">
        <v>1044</v>
      </c>
      <c r="AP26">
        <v>0</v>
      </c>
      <c r="AR26" t="s">
        <v>1047</v>
      </c>
      <c r="AV26">
        <v>0</v>
      </c>
      <c r="AW26">
        <v>0</v>
      </c>
      <c r="AX26">
        <v>0</v>
      </c>
      <c r="AY26">
        <v>0</v>
      </c>
      <c r="AZ26">
        <v>0</v>
      </c>
      <c r="BA26">
        <v>0</v>
      </c>
      <c r="BB26">
        <v>0</v>
      </c>
      <c r="BC26" t="s">
        <v>1043</v>
      </c>
      <c r="BD26">
        <v>0</v>
      </c>
      <c r="BE26">
        <v>0</v>
      </c>
      <c r="BJ26" t="s">
        <v>1044</v>
      </c>
      <c r="BM26">
        <v>0</v>
      </c>
      <c r="BN26">
        <v>0</v>
      </c>
      <c r="BO26">
        <v>0</v>
      </c>
      <c r="BP26">
        <v>0</v>
      </c>
      <c r="BQ26">
        <v>0</v>
      </c>
      <c r="BR26">
        <v>0</v>
      </c>
      <c r="BS26">
        <v>0</v>
      </c>
      <c r="BU26">
        <v>0.215</v>
      </c>
      <c r="BV26">
        <v>0.11</v>
      </c>
      <c r="BW26">
        <v>0.33</v>
      </c>
      <c r="BX26">
        <v>0.7</v>
      </c>
      <c r="BY26">
        <v>0.25</v>
      </c>
      <c r="BZ26">
        <v>1</v>
      </c>
      <c r="CA26">
        <v>120</v>
      </c>
      <c r="CQ26" t="s">
        <v>2031</v>
      </c>
      <c r="CR26">
        <v>0</v>
      </c>
      <c r="CS26">
        <v>0</v>
      </c>
      <c r="CT26">
        <v>0</v>
      </c>
      <c r="CU26">
        <v>0</v>
      </c>
      <c r="CW26" t="s">
        <v>1043</v>
      </c>
      <c r="CX26">
        <v>0</v>
      </c>
      <c r="CY26">
        <v>0</v>
      </c>
      <c r="CZ26">
        <v>0</v>
      </c>
      <c r="DA26">
        <v>0</v>
      </c>
      <c r="DB26">
        <v>0</v>
      </c>
      <c r="DD26">
        <v>0</v>
      </c>
      <c r="DK26">
        <v>0</v>
      </c>
      <c r="DL26">
        <v>0</v>
      </c>
      <c r="DM26">
        <v>0</v>
      </c>
      <c r="DN26">
        <v>0</v>
      </c>
      <c r="DO26">
        <v>0</v>
      </c>
      <c r="DP26">
        <v>0</v>
      </c>
      <c r="DQ26">
        <v>0</v>
      </c>
      <c r="DR26">
        <v>0</v>
      </c>
      <c r="DS26" t="s">
        <v>1043</v>
      </c>
      <c r="DT26" t="s">
        <v>1044</v>
      </c>
      <c r="DU26" t="s">
        <v>1044</v>
      </c>
      <c r="DW26" t="s">
        <v>1042</v>
      </c>
      <c r="DX26">
        <v>0</v>
      </c>
      <c r="DY26" t="s">
        <v>1043</v>
      </c>
      <c r="DZ26">
        <v>0</v>
      </c>
      <c r="EA26">
        <v>0</v>
      </c>
      <c r="EC26">
        <v>0</v>
      </c>
      <c r="EM26">
        <v>0</v>
      </c>
      <c r="EN26">
        <v>0</v>
      </c>
      <c r="EO26">
        <v>0</v>
      </c>
      <c r="EP26" t="s">
        <v>1043</v>
      </c>
      <c r="EX26" t="s">
        <v>2030</v>
      </c>
      <c r="EY26">
        <v>0</v>
      </c>
      <c r="EZ26">
        <v>0</v>
      </c>
      <c r="FA26">
        <v>0</v>
      </c>
      <c r="FB26">
        <v>1</v>
      </c>
      <c r="FC26" t="s">
        <v>1</v>
      </c>
      <c r="FD26" t="s">
        <v>2029</v>
      </c>
      <c r="FE26" t="s">
        <v>1045</v>
      </c>
      <c r="FF26">
        <v>0</v>
      </c>
      <c r="FG26">
        <v>0</v>
      </c>
      <c r="FH26" t="s">
        <v>1045</v>
      </c>
      <c r="FI26" t="s">
        <v>1045</v>
      </c>
      <c r="FJ26" t="s">
        <v>1043</v>
      </c>
      <c r="FR26">
        <v>0</v>
      </c>
      <c r="FS26">
        <v>0</v>
      </c>
      <c r="GA26" t="s">
        <v>1044</v>
      </c>
      <c r="GB26" t="s">
        <v>1044</v>
      </c>
      <c r="GC26" t="s">
        <v>1045</v>
      </c>
      <c r="GD26">
        <v>0</v>
      </c>
      <c r="GH26" t="s">
        <v>1045</v>
      </c>
      <c r="GI26" t="s">
        <v>2028</v>
      </c>
      <c r="GL26">
        <v>0</v>
      </c>
      <c r="GM26">
        <v>0</v>
      </c>
      <c r="GN26">
        <v>0</v>
      </c>
      <c r="GP26" t="s">
        <v>1042</v>
      </c>
      <c r="GQ26" t="s">
        <v>2027</v>
      </c>
      <c r="GS26" t="s">
        <v>1045</v>
      </c>
      <c r="GU26">
        <v>1</v>
      </c>
      <c r="GV26" t="s">
        <v>1045</v>
      </c>
      <c r="GW26" t="s">
        <v>2026</v>
      </c>
      <c r="GZ26" t="s">
        <v>2025</v>
      </c>
      <c r="HH26">
        <v>0</v>
      </c>
      <c r="HI26">
        <v>0</v>
      </c>
      <c r="HK26" t="s">
        <v>1045</v>
      </c>
      <c r="HL26" t="s">
        <v>1045</v>
      </c>
      <c r="HP26">
        <v>0</v>
      </c>
      <c r="HZ26">
        <v>0</v>
      </c>
      <c r="IB26">
        <v>0</v>
      </c>
      <c r="IC26">
        <v>0</v>
      </c>
      <c r="IG26" t="s">
        <v>1042</v>
      </c>
      <c r="IJ26" t="s">
        <v>1042</v>
      </c>
      <c r="IM26">
        <v>0</v>
      </c>
      <c r="IN26" t="s">
        <v>2024</v>
      </c>
      <c r="IQ26" t="s">
        <v>1045</v>
      </c>
    </row>
    <row r="27" spans="2:251" x14ac:dyDescent="0.35">
      <c r="B27">
        <v>1</v>
      </c>
      <c r="C27">
        <v>1255</v>
      </c>
      <c r="D27">
        <v>0</v>
      </c>
      <c r="E27">
        <v>0</v>
      </c>
      <c r="F27">
        <v>0</v>
      </c>
      <c r="G27">
        <v>0</v>
      </c>
      <c r="H27">
        <v>0</v>
      </c>
      <c r="I27">
        <v>0</v>
      </c>
      <c r="J27" t="s">
        <v>2066</v>
      </c>
      <c r="M27">
        <v>106</v>
      </c>
      <c r="Q27">
        <v>570</v>
      </c>
      <c r="S27">
        <v>106</v>
      </c>
      <c r="T27">
        <v>0</v>
      </c>
      <c r="U27">
        <v>0</v>
      </c>
      <c r="W27">
        <v>7.3300000000000004E-2</v>
      </c>
      <c r="X27" t="s">
        <v>1085</v>
      </c>
      <c r="Y27" t="s">
        <v>1042</v>
      </c>
      <c r="Z27" t="s">
        <v>1042</v>
      </c>
      <c r="AA27" t="s">
        <v>1042</v>
      </c>
      <c r="AB27" t="s">
        <v>1042</v>
      </c>
      <c r="AC27" t="s">
        <v>1042</v>
      </c>
      <c r="AD27" t="s">
        <v>1042</v>
      </c>
      <c r="AE27">
        <v>0</v>
      </c>
      <c r="AG27">
        <v>0</v>
      </c>
      <c r="AH27">
        <v>0</v>
      </c>
      <c r="AI27">
        <v>0</v>
      </c>
      <c r="AJ27">
        <v>0</v>
      </c>
      <c r="AK27" t="s">
        <v>1043</v>
      </c>
      <c r="AM27">
        <v>240</v>
      </c>
      <c r="AO27" t="s">
        <v>1044</v>
      </c>
      <c r="AP27">
        <v>0</v>
      </c>
      <c r="AR27" t="s">
        <v>1047</v>
      </c>
      <c r="AV27">
        <v>0</v>
      </c>
      <c r="AW27">
        <v>0</v>
      </c>
      <c r="AX27">
        <v>0</v>
      </c>
      <c r="AY27">
        <v>0</v>
      </c>
      <c r="AZ27">
        <v>0</v>
      </c>
      <c r="BA27">
        <v>0</v>
      </c>
      <c r="BB27">
        <v>0</v>
      </c>
      <c r="BC27" t="s">
        <v>1043</v>
      </c>
      <c r="BD27">
        <v>0</v>
      </c>
      <c r="BE27">
        <v>0</v>
      </c>
      <c r="BJ27" t="s">
        <v>1044</v>
      </c>
      <c r="BM27">
        <v>0</v>
      </c>
      <c r="BN27">
        <v>0</v>
      </c>
      <c r="BO27">
        <v>0</v>
      </c>
      <c r="BP27">
        <v>0</v>
      </c>
      <c r="BQ27">
        <v>0</v>
      </c>
      <c r="BR27">
        <v>0</v>
      </c>
      <c r="BS27">
        <v>0</v>
      </c>
      <c r="BU27">
        <v>0.22</v>
      </c>
      <c r="BV27">
        <v>0.12</v>
      </c>
      <c r="BW27">
        <v>0.33</v>
      </c>
      <c r="BX27">
        <v>0.49</v>
      </c>
      <c r="BY27">
        <v>0.22</v>
      </c>
      <c r="BZ27">
        <v>0.68</v>
      </c>
      <c r="CA27">
        <v>120</v>
      </c>
      <c r="CM27" t="s">
        <v>2034</v>
      </c>
      <c r="CN27" t="s">
        <v>1044</v>
      </c>
      <c r="CO27">
        <v>3917</v>
      </c>
      <c r="CR27">
        <v>0</v>
      </c>
      <c r="CS27">
        <v>0</v>
      </c>
      <c r="CT27">
        <v>0</v>
      </c>
      <c r="CU27">
        <v>0</v>
      </c>
      <c r="CX27">
        <v>0</v>
      </c>
      <c r="CY27">
        <v>0</v>
      </c>
      <c r="CZ27">
        <v>0</v>
      </c>
      <c r="DA27">
        <v>0</v>
      </c>
      <c r="DB27">
        <v>0</v>
      </c>
      <c r="DD27">
        <v>0</v>
      </c>
      <c r="DK27">
        <v>0</v>
      </c>
      <c r="DL27">
        <v>0</v>
      </c>
      <c r="DM27">
        <v>0</v>
      </c>
      <c r="DN27">
        <v>0</v>
      </c>
      <c r="DO27">
        <v>0</v>
      </c>
      <c r="DP27">
        <v>0</v>
      </c>
      <c r="DQ27">
        <v>0</v>
      </c>
      <c r="DR27">
        <v>0</v>
      </c>
      <c r="DW27" t="s">
        <v>1042</v>
      </c>
      <c r="DX27">
        <v>0</v>
      </c>
      <c r="DZ27">
        <v>0</v>
      </c>
      <c r="EA27">
        <v>0</v>
      </c>
      <c r="EC27">
        <v>0</v>
      </c>
      <c r="EM27">
        <v>0</v>
      </c>
      <c r="EN27">
        <v>0</v>
      </c>
      <c r="EO27">
        <v>0</v>
      </c>
      <c r="EY27">
        <v>0</v>
      </c>
      <c r="EZ27">
        <v>0</v>
      </c>
      <c r="FA27">
        <v>0</v>
      </c>
      <c r="FB27">
        <v>0</v>
      </c>
      <c r="FD27" t="s">
        <v>2029</v>
      </c>
      <c r="FF27">
        <v>0</v>
      </c>
      <c r="FG27">
        <v>0</v>
      </c>
      <c r="FR27">
        <v>0</v>
      </c>
      <c r="FS27">
        <v>0</v>
      </c>
      <c r="GD27">
        <v>0</v>
      </c>
      <c r="GL27">
        <v>0</v>
      </c>
      <c r="GM27">
        <v>0</v>
      </c>
      <c r="GN27">
        <v>0</v>
      </c>
      <c r="GP27" t="s">
        <v>1042</v>
      </c>
      <c r="GQ27" t="s">
        <v>2027</v>
      </c>
      <c r="HH27">
        <v>0</v>
      </c>
      <c r="HI27">
        <v>0</v>
      </c>
      <c r="HP27">
        <v>0</v>
      </c>
      <c r="HZ27">
        <v>0</v>
      </c>
      <c r="IB27">
        <v>0</v>
      </c>
      <c r="IC27">
        <v>0</v>
      </c>
      <c r="IG27" t="s">
        <v>1042</v>
      </c>
      <c r="IJ27" t="s">
        <v>1042</v>
      </c>
      <c r="IM27">
        <v>0</v>
      </c>
      <c r="IN27" t="s">
        <v>2024</v>
      </c>
      <c r="IO27">
        <v>7897801310475</v>
      </c>
    </row>
    <row r="28" spans="2:251" x14ac:dyDescent="0.35">
      <c r="B28">
        <v>1</v>
      </c>
      <c r="C28">
        <v>1256</v>
      </c>
      <c r="D28">
        <v>0</v>
      </c>
      <c r="E28">
        <v>0</v>
      </c>
      <c r="F28">
        <v>0</v>
      </c>
      <c r="G28">
        <v>0</v>
      </c>
      <c r="H28">
        <v>0</v>
      </c>
      <c r="I28">
        <v>0</v>
      </c>
      <c r="J28" t="s">
        <v>2065</v>
      </c>
      <c r="M28">
        <v>280</v>
      </c>
      <c r="Q28">
        <v>60</v>
      </c>
      <c r="S28">
        <v>120</v>
      </c>
      <c r="T28">
        <v>0</v>
      </c>
      <c r="U28">
        <v>0</v>
      </c>
      <c r="W28">
        <v>0.15359999999999999</v>
      </c>
      <c r="X28" t="s">
        <v>1085</v>
      </c>
      <c r="Y28" t="s">
        <v>1042</v>
      </c>
      <c r="Z28" t="s">
        <v>1042</v>
      </c>
      <c r="AA28" t="s">
        <v>1042</v>
      </c>
      <c r="AB28" t="s">
        <v>1042</v>
      </c>
      <c r="AC28" t="s">
        <v>1042</v>
      </c>
      <c r="AD28" t="s">
        <v>1042</v>
      </c>
      <c r="AE28">
        <v>0</v>
      </c>
      <c r="AG28">
        <v>0</v>
      </c>
      <c r="AH28">
        <v>0</v>
      </c>
      <c r="AI28">
        <v>0</v>
      </c>
      <c r="AJ28">
        <v>0</v>
      </c>
      <c r="AK28" t="s">
        <v>1043</v>
      </c>
      <c r="AM28">
        <v>240</v>
      </c>
      <c r="AO28" t="s">
        <v>1044</v>
      </c>
      <c r="AP28">
        <v>0</v>
      </c>
      <c r="AR28" t="s">
        <v>1047</v>
      </c>
      <c r="AV28">
        <v>0</v>
      </c>
      <c r="AW28">
        <v>0</v>
      </c>
      <c r="AX28">
        <v>0</v>
      </c>
      <c r="AY28">
        <v>0</v>
      </c>
      <c r="AZ28">
        <v>0</v>
      </c>
      <c r="BA28">
        <v>0</v>
      </c>
      <c r="BB28">
        <v>0</v>
      </c>
      <c r="BC28" t="s">
        <v>1043</v>
      </c>
      <c r="BD28">
        <v>0</v>
      </c>
      <c r="BE28">
        <v>0</v>
      </c>
      <c r="BJ28" t="s">
        <v>1044</v>
      </c>
      <c r="BM28">
        <v>0</v>
      </c>
      <c r="BN28">
        <v>0</v>
      </c>
      <c r="BO28">
        <v>0</v>
      </c>
      <c r="BP28">
        <v>0</v>
      </c>
      <c r="BQ28">
        <v>0</v>
      </c>
      <c r="BR28">
        <v>0</v>
      </c>
      <c r="BS28">
        <v>0</v>
      </c>
      <c r="BU28">
        <v>0.38</v>
      </c>
      <c r="BV28">
        <v>0.14000000000000001</v>
      </c>
      <c r="BW28">
        <v>0.5</v>
      </c>
      <c r="BX28">
        <v>0</v>
      </c>
      <c r="BY28">
        <v>0</v>
      </c>
      <c r="BZ28">
        <v>0</v>
      </c>
      <c r="CA28">
        <v>0</v>
      </c>
      <c r="CM28" t="s">
        <v>2034</v>
      </c>
      <c r="CN28" t="s">
        <v>1044</v>
      </c>
      <c r="CO28">
        <v>3917</v>
      </c>
      <c r="CQ28" t="s">
        <v>2031</v>
      </c>
      <c r="CR28">
        <v>0</v>
      </c>
      <c r="CS28">
        <v>0</v>
      </c>
      <c r="CT28">
        <v>0</v>
      </c>
      <c r="CU28">
        <v>0</v>
      </c>
      <c r="CW28" t="s">
        <v>1043</v>
      </c>
      <c r="CX28">
        <v>0</v>
      </c>
      <c r="CY28">
        <v>0</v>
      </c>
      <c r="CZ28">
        <v>0</v>
      </c>
      <c r="DA28">
        <v>0</v>
      </c>
      <c r="DB28">
        <v>0</v>
      </c>
      <c r="DD28">
        <v>0</v>
      </c>
      <c r="DK28">
        <v>0</v>
      </c>
      <c r="DL28">
        <v>0</v>
      </c>
      <c r="DM28">
        <v>0</v>
      </c>
      <c r="DN28">
        <v>0</v>
      </c>
      <c r="DO28">
        <v>0</v>
      </c>
      <c r="DP28">
        <v>0</v>
      </c>
      <c r="DQ28">
        <v>0</v>
      </c>
      <c r="DR28">
        <v>0</v>
      </c>
      <c r="DS28" t="s">
        <v>1043</v>
      </c>
      <c r="DT28" t="s">
        <v>1044</v>
      </c>
      <c r="DW28" t="s">
        <v>1042</v>
      </c>
      <c r="DX28">
        <v>0</v>
      </c>
      <c r="DY28" t="s">
        <v>1043</v>
      </c>
      <c r="DZ28">
        <v>0</v>
      </c>
      <c r="EA28">
        <v>0</v>
      </c>
      <c r="EC28">
        <v>0</v>
      </c>
      <c r="EM28">
        <v>0</v>
      </c>
      <c r="EN28">
        <v>0</v>
      </c>
      <c r="EO28">
        <v>0</v>
      </c>
      <c r="EY28">
        <v>0</v>
      </c>
      <c r="EZ28">
        <v>0</v>
      </c>
      <c r="FA28">
        <v>0</v>
      </c>
      <c r="FB28">
        <v>0</v>
      </c>
      <c r="FD28" t="s">
        <v>2029</v>
      </c>
      <c r="FF28">
        <v>0</v>
      </c>
      <c r="FG28">
        <v>0</v>
      </c>
      <c r="FR28">
        <v>0</v>
      </c>
      <c r="FS28">
        <v>0</v>
      </c>
      <c r="GD28">
        <v>0</v>
      </c>
      <c r="GL28">
        <v>0</v>
      </c>
      <c r="GM28">
        <v>0</v>
      </c>
      <c r="GN28">
        <v>0</v>
      </c>
      <c r="GP28" t="s">
        <v>1042</v>
      </c>
      <c r="GQ28" t="s">
        <v>2027</v>
      </c>
      <c r="HH28">
        <v>0</v>
      </c>
      <c r="HI28">
        <v>0</v>
      </c>
      <c r="HP28">
        <v>0</v>
      </c>
      <c r="HZ28">
        <v>0</v>
      </c>
      <c r="IB28">
        <v>0</v>
      </c>
      <c r="IC28">
        <v>0</v>
      </c>
      <c r="IG28" t="s">
        <v>1042</v>
      </c>
      <c r="IJ28" t="s">
        <v>1042</v>
      </c>
      <c r="IM28">
        <v>0</v>
      </c>
      <c r="IN28" t="s">
        <v>2024</v>
      </c>
      <c r="IO28">
        <v>7897801312578</v>
      </c>
    </row>
    <row r="29" spans="2:251" x14ac:dyDescent="0.35">
      <c r="B29">
        <v>1</v>
      </c>
      <c r="C29">
        <v>1257</v>
      </c>
      <c r="D29">
        <v>0</v>
      </c>
      <c r="E29">
        <v>0</v>
      </c>
      <c r="F29">
        <v>0</v>
      </c>
      <c r="G29">
        <v>0</v>
      </c>
      <c r="H29">
        <v>0</v>
      </c>
      <c r="I29">
        <v>0</v>
      </c>
      <c r="J29" t="s">
        <v>2064</v>
      </c>
      <c r="M29">
        <v>330</v>
      </c>
      <c r="Q29">
        <v>60</v>
      </c>
      <c r="S29">
        <v>120</v>
      </c>
      <c r="T29">
        <v>0</v>
      </c>
      <c r="U29">
        <v>0</v>
      </c>
      <c r="W29">
        <v>0.1648</v>
      </c>
      <c r="X29" t="s">
        <v>1085</v>
      </c>
      <c r="Y29" t="s">
        <v>1042</v>
      </c>
      <c r="Z29" t="s">
        <v>1042</v>
      </c>
      <c r="AA29" t="s">
        <v>1042</v>
      </c>
      <c r="AB29" t="s">
        <v>1042</v>
      </c>
      <c r="AC29" t="s">
        <v>1042</v>
      </c>
      <c r="AD29" t="s">
        <v>1042</v>
      </c>
      <c r="AE29">
        <v>0</v>
      </c>
      <c r="AG29">
        <v>0</v>
      </c>
      <c r="AH29">
        <v>0</v>
      </c>
      <c r="AI29">
        <v>0</v>
      </c>
      <c r="AJ29">
        <v>0</v>
      </c>
      <c r="AK29" t="s">
        <v>1043</v>
      </c>
      <c r="AM29">
        <v>240</v>
      </c>
      <c r="AO29" t="s">
        <v>1044</v>
      </c>
      <c r="AP29">
        <v>0</v>
      </c>
      <c r="AR29" t="s">
        <v>1047</v>
      </c>
      <c r="AV29">
        <v>0</v>
      </c>
      <c r="AW29">
        <v>0</v>
      </c>
      <c r="AX29">
        <v>0</v>
      </c>
      <c r="AY29">
        <v>0</v>
      </c>
      <c r="AZ29">
        <v>0</v>
      </c>
      <c r="BA29">
        <v>0</v>
      </c>
      <c r="BB29">
        <v>0</v>
      </c>
      <c r="BC29" t="s">
        <v>1043</v>
      </c>
      <c r="BD29">
        <v>0</v>
      </c>
      <c r="BE29">
        <v>0</v>
      </c>
      <c r="BJ29" t="s">
        <v>1044</v>
      </c>
      <c r="BM29">
        <v>0</v>
      </c>
      <c r="BN29">
        <v>0</v>
      </c>
      <c r="BO29">
        <v>0</v>
      </c>
      <c r="BP29">
        <v>0</v>
      </c>
      <c r="BQ29">
        <v>0</v>
      </c>
      <c r="BR29">
        <v>0</v>
      </c>
      <c r="BS29">
        <v>0</v>
      </c>
      <c r="BU29">
        <v>0.42499999999999999</v>
      </c>
      <c r="BV29">
        <v>0.11700000000000001</v>
      </c>
      <c r="BW29">
        <v>0.55000000000000004</v>
      </c>
      <c r="BX29">
        <v>0</v>
      </c>
      <c r="BY29">
        <v>0</v>
      </c>
      <c r="BZ29">
        <v>0</v>
      </c>
      <c r="CA29">
        <v>0</v>
      </c>
      <c r="CM29" t="s">
        <v>2034</v>
      </c>
      <c r="CN29" t="s">
        <v>1044</v>
      </c>
      <c r="CO29">
        <v>3917</v>
      </c>
      <c r="CQ29" t="s">
        <v>2031</v>
      </c>
      <c r="CR29">
        <v>0</v>
      </c>
      <c r="CS29">
        <v>0</v>
      </c>
      <c r="CT29">
        <v>0</v>
      </c>
      <c r="CU29">
        <v>0</v>
      </c>
      <c r="CW29" t="s">
        <v>1043</v>
      </c>
      <c r="CX29">
        <v>0</v>
      </c>
      <c r="CY29">
        <v>0</v>
      </c>
      <c r="CZ29">
        <v>0</v>
      </c>
      <c r="DA29">
        <v>0</v>
      </c>
      <c r="DB29">
        <v>0</v>
      </c>
      <c r="DD29">
        <v>0</v>
      </c>
      <c r="DK29">
        <v>0</v>
      </c>
      <c r="DL29">
        <v>0</v>
      </c>
      <c r="DM29">
        <v>0</v>
      </c>
      <c r="DN29">
        <v>0</v>
      </c>
      <c r="DO29">
        <v>0</v>
      </c>
      <c r="DP29">
        <v>0</v>
      </c>
      <c r="DQ29">
        <v>0</v>
      </c>
      <c r="DR29">
        <v>0</v>
      </c>
      <c r="DS29" t="s">
        <v>1043</v>
      </c>
      <c r="DT29" t="s">
        <v>1044</v>
      </c>
      <c r="DW29" t="s">
        <v>1042</v>
      </c>
      <c r="DX29">
        <v>0</v>
      </c>
      <c r="DY29" t="s">
        <v>1043</v>
      </c>
      <c r="DZ29">
        <v>0</v>
      </c>
      <c r="EA29">
        <v>0</v>
      </c>
      <c r="EC29">
        <v>0</v>
      </c>
      <c r="EM29">
        <v>0</v>
      </c>
      <c r="EN29">
        <v>0</v>
      </c>
      <c r="EO29">
        <v>0</v>
      </c>
      <c r="EY29">
        <v>0</v>
      </c>
      <c r="EZ29">
        <v>0</v>
      </c>
      <c r="FA29">
        <v>0</v>
      </c>
      <c r="FB29">
        <v>0</v>
      </c>
      <c r="FD29" t="s">
        <v>2029</v>
      </c>
      <c r="FF29">
        <v>0</v>
      </c>
      <c r="FG29">
        <v>0</v>
      </c>
      <c r="FR29">
        <v>0</v>
      </c>
      <c r="FS29">
        <v>0</v>
      </c>
      <c r="GD29">
        <v>0</v>
      </c>
      <c r="GL29">
        <v>0</v>
      </c>
      <c r="GM29">
        <v>0</v>
      </c>
      <c r="GN29">
        <v>0</v>
      </c>
      <c r="GP29" t="s">
        <v>1042</v>
      </c>
      <c r="GQ29" t="s">
        <v>2027</v>
      </c>
      <c r="HH29">
        <v>0</v>
      </c>
      <c r="HI29">
        <v>0</v>
      </c>
      <c r="HP29">
        <v>0</v>
      </c>
      <c r="HZ29">
        <v>0</v>
      </c>
      <c r="IB29">
        <v>0</v>
      </c>
      <c r="IC29">
        <v>0</v>
      </c>
      <c r="IG29" t="s">
        <v>1042</v>
      </c>
      <c r="IJ29" t="s">
        <v>1042</v>
      </c>
      <c r="IM29">
        <v>0</v>
      </c>
      <c r="IN29" t="s">
        <v>2024</v>
      </c>
      <c r="IO29">
        <v>7897801312585</v>
      </c>
    </row>
    <row r="30" spans="2:251" x14ac:dyDescent="0.35">
      <c r="B30">
        <v>1</v>
      </c>
      <c r="C30">
        <v>1260</v>
      </c>
      <c r="D30">
        <v>0</v>
      </c>
      <c r="E30">
        <v>0</v>
      </c>
      <c r="F30">
        <v>0</v>
      </c>
      <c r="G30">
        <v>0</v>
      </c>
      <c r="H30">
        <v>0</v>
      </c>
      <c r="I30">
        <v>0</v>
      </c>
      <c r="J30" t="s">
        <v>2063</v>
      </c>
      <c r="M30">
        <v>52</v>
      </c>
      <c r="Q30">
        <v>120</v>
      </c>
      <c r="S30">
        <v>120</v>
      </c>
      <c r="T30">
        <v>0</v>
      </c>
      <c r="U30">
        <v>0</v>
      </c>
      <c r="W30">
        <v>4.53E-2</v>
      </c>
      <c r="X30" t="s">
        <v>1085</v>
      </c>
      <c r="Y30" t="s">
        <v>1042</v>
      </c>
      <c r="Z30" t="s">
        <v>1042</v>
      </c>
      <c r="AA30" t="s">
        <v>1042</v>
      </c>
      <c r="AB30" t="s">
        <v>1042</v>
      </c>
      <c r="AC30" t="s">
        <v>1042</v>
      </c>
      <c r="AD30" t="s">
        <v>1042</v>
      </c>
      <c r="AE30">
        <v>0</v>
      </c>
      <c r="AG30">
        <v>0</v>
      </c>
      <c r="AH30">
        <v>0</v>
      </c>
      <c r="AI30">
        <v>0</v>
      </c>
      <c r="AJ30">
        <v>0</v>
      </c>
      <c r="AK30" t="s">
        <v>1043</v>
      </c>
      <c r="AM30">
        <v>240</v>
      </c>
      <c r="AO30" t="s">
        <v>1044</v>
      </c>
      <c r="AP30">
        <v>0</v>
      </c>
      <c r="AR30" t="s">
        <v>1047</v>
      </c>
      <c r="AV30">
        <v>0</v>
      </c>
      <c r="AW30">
        <v>0</v>
      </c>
      <c r="AX30">
        <v>0</v>
      </c>
      <c r="AY30">
        <v>0</v>
      </c>
      <c r="AZ30">
        <v>0</v>
      </c>
      <c r="BA30">
        <v>0</v>
      </c>
      <c r="BB30">
        <v>0</v>
      </c>
      <c r="BC30" t="s">
        <v>1043</v>
      </c>
      <c r="BD30">
        <v>0</v>
      </c>
      <c r="BE30">
        <v>0</v>
      </c>
      <c r="BJ30" t="s">
        <v>1044</v>
      </c>
      <c r="BM30">
        <v>0</v>
      </c>
      <c r="BN30">
        <v>0</v>
      </c>
      <c r="BO30">
        <v>0</v>
      </c>
      <c r="BP30">
        <v>0</v>
      </c>
      <c r="BQ30">
        <v>0</v>
      </c>
      <c r="BR30">
        <v>0</v>
      </c>
      <c r="BS30">
        <v>0</v>
      </c>
      <c r="BU30">
        <v>0.21</v>
      </c>
      <c r="BV30">
        <v>0.11</v>
      </c>
      <c r="BW30">
        <v>0.33</v>
      </c>
      <c r="BX30">
        <v>0.5</v>
      </c>
      <c r="BY30">
        <v>0.24</v>
      </c>
      <c r="BZ30">
        <v>0.7</v>
      </c>
      <c r="CA30">
        <v>120</v>
      </c>
      <c r="CM30" t="s">
        <v>2034</v>
      </c>
      <c r="CN30" t="s">
        <v>1044</v>
      </c>
      <c r="CO30">
        <v>3917</v>
      </c>
      <c r="CR30">
        <v>0</v>
      </c>
      <c r="CS30">
        <v>0</v>
      </c>
      <c r="CT30">
        <v>0</v>
      </c>
      <c r="CU30">
        <v>0</v>
      </c>
      <c r="CX30">
        <v>0</v>
      </c>
      <c r="CY30">
        <v>0</v>
      </c>
      <c r="CZ30">
        <v>0</v>
      </c>
      <c r="DA30">
        <v>0</v>
      </c>
      <c r="DB30">
        <v>0</v>
      </c>
      <c r="DD30">
        <v>0</v>
      </c>
      <c r="DK30">
        <v>0</v>
      </c>
      <c r="DL30">
        <v>0</v>
      </c>
      <c r="DM30">
        <v>0</v>
      </c>
      <c r="DN30">
        <v>0</v>
      </c>
      <c r="DO30">
        <v>0</v>
      </c>
      <c r="DP30">
        <v>0</v>
      </c>
      <c r="DQ30">
        <v>0</v>
      </c>
      <c r="DR30">
        <v>0</v>
      </c>
      <c r="DW30" t="s">
        <v>1042</v>
      </c>
      <c r="DX30">
        <v>0</v>
      </c>
      <c r="DZ30">
        <v>0</v>
      </c>
      <c r="EA30">
        <v>0</v>
      </c>
      <c r="EC30">
        <v>0</v>
      </c>
      <c r="EM30">
        <v>0</v>
      </c>
      <c r="EN30">
        <v>0</v>
      </c>
      <c r="EO30">
        <v>0</v>
      </c>
      <c r="EY30">
        <v>0</v>
      </c>
      <c r="EZ30">
        <v>0</v>
      </c>
      <c r="FA30">
        <v>0</v>
      </c>
      <c r="FB30">
        <v>0</v>
      </c>
      <c r="FD30" t="s">
        <v>2029</v>
      </c>
      <c r="FF30">
        <v>0</v>
      </c>
      <c r="FG30">
        <v>0</v>
      </c>
      <c r="FR30">
        <v>0</v>
      </c>
      <c r="FS30">
        <v>0</v>
      </c>
      <c r="GD30">
        <v>0</v>
      </c>
      <c r="GL30">
        <v>0</v>
      </c>
      <c r="GM30">
        <v>0</v>
      </c>
      <c r="GN30">
        <v>0</v>
      </c>
      <c r="GP30" t="s">
        <v>1042</v>
      </c>
      <c r="GQ30" t="s">
        <v>2027</v>
      </c>
      <c r="HH30">
        <v>0</v>
      </c>
      <c r="HI30">
        <v>0</v>
      </c>
      <c r="HP30">
        <v>0</v>
      </c>
      <c r="HZ30">
        <v>0</v>
      </c>
      <c r="IB30">
        <v>0</v>
      </c>
      <c r="IC30">
        <v>0</v>
      </c>
      <c r="IG30" t="s">
        <v>1042</v>
      </c>
      <c r="IJ30" t="s">
        <v>1042</v>
      </c>
      <c r="IM30">
        <v>0</v>
      </c>
      <c r="IN30" t="s">
        <v>2024</v>
      </c>
      <c r="IO30">
        <v>7897801310468</v>
      </c>
    </row>
    <row r="31" spans="2:251" x14ac:dyDescent="0.35">
      <c r="B31">
        <v>1</v>
      </c>
      <c r="C31">
        <v>1261</v>
      </c>
      <c r="D31">
        <v>0</v>
      </c>
      <c r="E31">
        <v>0</v>
      </c>
      <c r="F31">
        <v>0</v>
      </c>
      <c r="G31">
        <v>0</v>
      </c>
      <c r="H31">
        <v>0</v>
      </c>
      <c r="I31">
        <v>0</v>
      </c>
      <c r="J31" t="s">
        <v>2062</v>
      </c>
      <c r="M31">
        <v>100</v>
      </c>
      <c r="Q31">
        <v>60</v>
      </c>
      <c r="S31">
        <v>100</v>
      </c>
      <c r="T31">
        <v>0</v>
      </c>
      <c r="U31">
        <v>0</v>
      </c>
      <c r="W31">
        <v>4.8399999999999999E-2</v>
      </c>
      <c r="X31" t="s">
        <v>1085</v>
      </c>
      <c r="Y31" t="s">
        <v>1042</v>
      </c>
      <c r="Z31" t="s">
        <v>1042</v>
      </c>
      <c r="AA31" t="s">
        <v>1042</v>
      </c>
      <c r="AB31" t="s">
        <v>1042</v>
      </c>
      <c r="AC31" t="s">
        <v>1042</v>
      </c>
      <c r="AD31" t="s">
        <v>1042</v>
      </c>
      <c r="AE31">
        <v>0</v>
      </c>
      <c r="AG31">
        <v>0</v>
      </c>
      <c r="AH31">
        <v>0</v>
      </c>
      <c r="AI31">
        <v>0</v>
      </c>
      <c r="AJ31">
        <v>0</v>
      </c>
      <c r="AK31" t="s">
        <v>1043</v>
      </c>
      <c r="AM31">
        <v>240</v>
      </c>
      <c r="AO31" t="s">
        <v>1044</v>
      </c>
      <c r="AP31">
        <v>0</v>
      </c>
      <c r="AR31" t="s">
        <v>1047</v>
      </c>
      <c r="AV31">
        <v>0</v>
      </c>
      <c r="AW31">
        <v>0</v>
      </c>
      <c r="AX31">
        <v>0</v>
      </c>
      <c r="AY31">
        <v>0</v>
      </c>
      <c r="AZ31">
        <v>0</v>
      </c>
      <c r="BA31">
        <v>0</v>
      </c>
      <c r="BB31">
        <v>0</v>
      </c>
      <c r="BC31" t="s">
        <v>1043</v>
      </c>
      <c r="BD31">
        <v>0</v>
      </c>
      <c r="BE31">
        <v>0</v>
      </c>
      <c r="BJ31" t="s">
        <v>1044</v>
      </c>
      <c r="BM31">
        <v>0</v>
      </c>
      <c r="BN31">
        <v>0</v>
      </c>
      <c r="BO31">
        <v>0</v>
      </c>
      <c r="BP31">
        <v>0</v>
      </c>
      <c r="BQ31">
        <v>0</v>
      </c>
      <c r="BR31">
        <v>0</v>
      </c>
      <c r="BS31">
        <v>0</v>
      </c>
      <c r="BU31">
        <v>0.22</v>
      </c>
      <c r="BV31">
        <v>0.105</v>
      </c>
      <c r="BW31">
        <v>0.33</v>
      </c>
      <c r="BX31">
        <v>0.53</v>
      </c>
      <c r="BY31">
        <v>0.21</v>
      </c>
      <c r="BZ31">
        <v>0.73</v>
      </c>
      <c r="CA31">
        <v>120</v>
      </c>
      <c r="CM31" t="s">
        <v>2034</v>
      </c>
      <c r="CN31" t="s">
        <v>1044</v>
      </c>
      <c r="CO31">
        <v>3917</v>
      </c>
      <c r="CR31">
        <v>0</v>
      </c>
      <c r="CS31">
        <v>0</v>
      </c>
      <c r="CT31">
        <v>0</v>
      </c>
      <c r="CU31">
        <v>0</v>
      </c>
      <c r="CX31">
        <v>0</v>
      </c>
      <c r="CY31">
        <v>0</v>
      </c>
      <c r="CZ31">
        <v>0</v>
      </c>
      <c r="DA31">
        <v>0</v>
      </c>
      <c r="DB31">
        <v>0</v>
      </c>
      <c r="DD31">
        <v>0</v>
      </c>
      <c r="DK31">
        <v>0</v>
      </c>
      <c r="DL31">
        <v>0</v>
      </c>
      <c r="DM31">
        <v>0</v>
      </c>
      <c r="DN31">
        <v>0</v>
      </c>
      <c r="DO31">
        <v>0</v>
      </c>
      <c r="DP31">
        <v>0</v>
      </c>
      <c r="DQ31">
        <v>0</v>
      </c>
      <c r="DR31">
        <v>0</v>
      </c>
      <c r="DW31" t="s">
        <v>1042</v>
      </c>
      <c r="DX31">
        <v>0</v>
      </c>
      <c r="DZ31">
        <v>0</v>
      </c>
      <c r="EA31">
        <v>0</v>
      </c>
      <c r="EC31">
        <v>0</v>
      </c>
      <c r="EM31">
        <v>0</v>
      </c>
      <c r="EN31">
        <v>0</v>
      </c>
      <c r="EO31">
        <v>0</v>
      </c>
      <c r="EY31">
        <v>0</v>
      </c>
      <c r="EZ31">
        <v>0</v>
      </c>
      <c r="FA31">
        <v>0</v>
      </c>
      <c r="FB31">
        <v>0</v>
      </c>
      <c r="FD31" t="s">
        <v>2029</v>
      </c>
      <c r="FF31">
        <v>0</v>
      </c>
      <c r="FG31">
        <v>0</v>
      </c>
      <c r="FR31">
        <v>0</v>
      </c>
      <c r="FS31">
        <v>0</v>
      </c>
      <c r="GD31">
        <v>0</v>
      </c>
      <c r="GL31">
        <v>0</v>
      </c>
      <c r="GM31">
        <v>0</v>
      </c>
      <c r="GN31">
        <v>0</v>
      </c>
      <c r="GP31" t="s">
        <v>1042</v>
      </c>
      <c r="GQ31" t="s">
        <v>2027</v>
      </c>
      <c r="HH31">
        <v>0</v>
      </c>
      <c r="HI31">
        <v>0</v>
      </c>
      <c r="HP31">
        <v>0</v>
      </c>
      <c r="HZ31">
        <v>0</v>
      </c>
      <c r="IB31">
        <v>0</v>
      </c>
      <c r="IC31">
        <v>0</v>
      </c>
      <c r="IG31" t="s">
        <v>1042</v>
      </c>
      <c r="IJ31" t="s">
        <v>1042</v>
      </c>
      <c r="IM31">
        <v>0</v>
      </c>
      <c r="IN31" t="s">
        <v>2024</v>
      </c>
      <c r="IO31">
        <v>7897801312653</v>
      </c>
    </row>
    <row r="32" spans="2:251" x14ac:dyDescent="0.35">
      <c r="B32">
        <v>1</v>
      </c>
      <c r="C32">
        <v>1265</v>
      </c>
      <c r="D32">
        <v>0</v>
      </c>
      <c r="E32">
        <v>0</v>
      </c>
      <c r="F32">
        <v>0</v>
      </c>
      <c r="G32">
        <v>0</v>
      </c>
      <c r="H32">
        <v>0</v>
      </c>
      <c r="I32">
        <v>0</v>
      </c>
      <c r="J32" t="s">
        <v>2061</v>
      </c>
      <c r="M32">
        <v>47</v>
      </c>
      <c r="Q32">
        <v>70</v>
      </c>
      <c r="S32">
        <v>115</v>
      </c>
      <c r="T32">
        <v>0</v>
      </c>
      <c r="U32">
        <v>0</v>
      </c>
      <c r="W32">
        <v>4.7199999999999999E-2</v>
      </c>
      <c r="X32" t="s">
        <v>1085</v>
      </c>
      <c r="Y32" t="s">
        <v>1042</v>
      </c>
      <c r="Z32" t="s">
        <v>1042</v>
      </c>
      <c r="AA32" t="s">
        <v>1042</v>
      </c>
      <c r="AB32" t="s">
        <v>1042</v>
      </c>
      <c r="AC32" t="s">
        <v>1042</v>
      </c>
      <c r="AD32" t="s">
        <v>1042</v>
      </c>
      <c r="AE32">
        <v>0</v>
      </c>
      <c r="AG32">
        <v>0</v>
      </c>
      <c r="AH32">
        <v>0</v>
      </c>
      <c r="AI32">
        <v>0</v>
      </c>
      <c r="AJ32">
        <v>0</v>
      </c>
      <c r="AK32" t="s">
        <v>1043</v>
      </c>
      <c r="AM32">
        <v>240</v>
      </c>
      <c r="AO32" t="s">
        <v>1044</v>
      </c>
      <c r="AP32">
        <v>0</v>
      </c>
      <c r="AR32" t="s">
        <v>1047</v>
      </c>
      <c r="AV32">
        <v>0</v>
      </c>
      <c r="AW32">
        <v>0</v>
      </c>
      <c r="AX32">
        <v>0</v>
      </c>
      <c r="AY32">
        <v>0</v>
      </c>
      <c r="AZ32">
        <v>0</v>
      </c>
      <c r="BA32">
        <v>0</v>
      </c>
      <c r="BB32">
        <v>0</v>
      </c>
      <c r="BC32" t="s">
        <v>1043</v>
      </c>
      <c r="BD32">
        <v>0</v>
      </c>
      <c r="BE32">
        <v>0</v>
      </c>
      <c r="BJ32" t="s">
        <v>1044</v>
      </c>
      <c r="BM32">
        <v>0</v>
      </c>
      <c r="BN32">
        <v>0</v>
      </c>
      <c r="BO32">
        <v>0</v>
      </c>
      <c r="BP32">
        <v>0</v>
      </c>
      <c r="BQ32">
        <v>0</v>
      </c>
      <c r="BR32">
        <v>0</v>
      </c>
      <c r="BS32">
        <v>0</v>
      </c>
      <c r="BU32">
        <v>0.25</v>
      </c>
      <c r="BV32">
        <v>7.4999999999999997E-2</v>
      </c>
      <c r="BW32">
        <v>0.44</v>
      </c>
      <c r="BX32">
        <v>0.44</v>
      </c>
      <c r="BY32">
        <v>0.25</v>
      </c>
      <c r="BZ32">
        <v>0.7</v>
      </c>
      <c r="CA32">
        <v>180</v>
      </c>
      <c r="CM32" t="s">
        <v>2034</v>
      </c>
      <c r="CN32" t="s">
        <v>1044</v>
      </c>
      <c r="CO32">
        <v>3917</v>
      </c>
      <c r="CR32">
        <v>0</v>
      </c>
      <c r="CS32">
        <v>0</v>
      </c>
      <c r="CT32">
        <v>0</v>
      </c>
      <c r="CU32">
        <v>0</v>
      </c>
      <c r="CX32">
        <v>0</v>
      </c>
      <c r="CY32">
        <v>0</v>
      </c>
      <c r="CZ32">
        <v>0</v>
      </c>
      <c r="DA32">
        <v>0</v>
      </c>
      <c r="DB32">
        <v>0</v>
      </c>
      <c r="DD32">
        <v>0</v>
      </c>
      <c r="DK32">
        <v>0</v>
      </c>
      <c r="DL32">
        <v>0</v>
      </c>
      <c r="DM32">
        <v>0</v>
      </c>
      <c r="DN32">
        <v>0</v>
      </c>
      <c r="DO32">
        <v>0</v>
      </c>
      <c r="DP32">
        <v>0</v>
      </c>
      <c r="DQ32">
        <v>0</v>
      </c>
      <c r="DR32">
        <v>0</v>
      </c>
      <c r="DW32" t="s">
        <v>1042</v>
      </c>
      <c r="DX32">
        <v>0</v>
      </c>
      <c r="DZ32">
        <v>0</v>
      </c>
      <c r="EA32">
        <v>0</v>
      </c>
      <c r="EC32">
        <v>0</v>
      </c>
      <c r="EM32">
        <v>0</v>
      </c>
      <c r="EN32">
        <v>0</v>
      </c>
      <c r="EO32">
        <v>0</v>
      </c>
      <c r="EY32">
        <v>0</v>
      </c>
      <c r="EZ32">
        <v>0</v>
      </c>
      <c r="FA32">
        <v>0</v>
      </c>
      <c r="FB32">
        <v>0</v>
      </c>
      <c r="FD32" t="s">
        <v>2029</v>
      </c>
      <c r="FF32">
        <v>0</v>
      </c>
      <c r="FG32">
        <v>0</v>
      </c>
      <c r="FR32">
        <v>0</v>
      </c>
      <c r="FS32">
        <v>0</v>
      </c>
      <c r="GD32">
        <v>0</v>
      </c>
      <c r="GL32">
        <v>0</v>
      </c>
      <c r="GM32">
        <v>0</v>
      </c>
      <c r="GN32">
        <v>0</v>
      </c>
      <c r="GP32" t="s">
        <v>1042</v>
      </c>
      <c r="GQ32" t="s">
        <v>2027</v>
      </c>
      <c r="HH32">
        <v>0</v>
      </c>
      <c r="HI32">
        <v>0</v>
      </c>
      <c r="HP32">
        <v>0</v>
      </c>
      <c r="HZ32">
        <v>0</v>
      </c>
      <c r="IB32">
        <v>0</v>
      </c>
      <c r="IC32">
        <v>0</v>
      </c>
      <c r="IG32" t="s">
        <v>1042</v>
      </c>
      <c r="IJ32" t="s">
        <v>1042</v>
      </c>
      <c r="IM32">
        <v>0</v>
      </c>
      <c r="IN32" t="s">
        <v>2024</v>
      </c>
      <c r="IO32">
        <v>7897801310444</v>
      </c>
    </row>
    <row r="33" spans="2:251" x14ac:dyDescent="0.35">
      <c r="B33">
        <v>1</v>
      </c>
      <c r="C33">
        <v>1266</v>
      </c>
      <c r="D33">
        <v>0</v>
      </c>
      <c r="E33">
        <v>0</v>
      </c>
      <c r="F33">
        <v>0</v>
      </c>
      <c r="G33">
        <v>0</v>
      </c>
      <c r="H33">
        <v>0</v>
      </c>
      <c r="I33">
        <v>0</v>
      </c>
      <c r="J33" t="s">
        <v>2060</v>
      </c>
      <c r="M33">
        <v>47</v>
      </c>
      <c r="Q33">
        <v>115</v>
      </c>
      <c r="S33">
        <v>115</v>
      </c>
      <c r="T33">
        <v>0</v>
      </c>
      <c r="U33">
        <v>0</v>
      </c>
      <c r="W33">
        <v>6.3500000000000001E-2</v>
      </c>
      <c r="X33" t="s">
        <v>1085</v>
      </c>
      <c r="Y33" t="s">
        <v>1042</v>
      </c>
      <c r="Z33" t="s">
        <v>1042</v>
      </c>
      <c r="AA33" t="s">
        <v>1042</v>
      </c>
      <c r="AB33" t="s">
        <v>1042</v>
      </c>
      <c r="AC33" t="s">
        <v>1042</v>
      </c>
      <c r="AD33" t="s">
        <v>1042</v>
      </c>
      <c r="AE33">
        <v>0</v>
      </c>
      <c r="AG33">
        <v>0</v>
      </c>
      <c r="AH33">
        <v>0</v>
      </c>
      <c r="AI33">
        <v>0</v>
      </c>
      <c r="AJ33">
        <v>0</v>
      </c>
      <c r="AK33" t="s">
        <v>1043</v>
      </c>
      <c r="AM33">
        <v>240</v>
      </c>
      <c r="AO33" t="s">
        <v>1044</v>
      </c>
      <c r="AP33">
        <v>0</v>
      </c>
      <c r="AR33" t="s">
        <v>1047</v>
      </c>
      <c r="AV33">
        <v>0</v>
      </c>
      <c r="AW33">
        <v>0</v>
      </c>
      <c r="AX33">
        <v>0</v>
      </c>
      <c r="AY33">
        <v>0</v>
      </c>
      <c r="AZ33">
        <v>0</v>
      </c>
      <c r="BA33">
        <v>0</v>
      </c>
      <c r="BB33">
        <v>0</v>
      </c>
      <c r="BC33" t="s">
        <v>1043</v>
      </c>
      <c r="BD33">
        <v>0</v>
      </c>
      <c r="BE33">
        <v>0</v>
      </c>
      <c r="BJ33" t="s">
        <v>1044</v>
      </c>
      <c r="BM33">
        <v>0</v>
      </c>
      <c r="BN33">
        <v>0</v>
      </c>
      <c r="BO33">
        <v>0</v>
      </c>
      <c r="BP33">
        <v>0</v>
      </c>
      <c r="BQ33">
        <v>0</v>
      </c>
      <c r="BR33">
        <v>0</v>
      </c>
      <c r="BS33">
        <v>0</v>
      </c>
      <c r="BU33">
        <v>0.22500000000000001</v>
      </c>
      <c r="BV33">
        <v>0.11</v>
      </c>
      <c r="BW33">
        <v>0.43</v>
      </c>
      <c r="BX33">
        <v>0.43</v>
      </c>
      <c r="BY33">
        <v>0.23</v>
      </c>
      <c r="BZ33">
        <v>0.64</v>
      </c>
      <c r="CA33">
        <v>120</v>
      </c>
      <c r="CM33" t="s">
        <v>2034</v>
      </c>
      <c r="CN33" t="s">
        <v>1044</v>
      </c>
      <c r="CO33">
        <v>3917</v>
      </c>
      <c r="CR33">
        <v>0</v>
      </c>
      <c r="CS33">
        <v>0</v>
      </c>
      <c r="CT33">
        <v>0</v>
      </c>
      <c r="CU33">
        <v>0</v>
      </c>
      <c r="CX33">
        <v>0</v>
      </c>
      <c r="CY33">
        <v>0</v>
      </c>
      <c r="CZ33">
        <v>0</v>
      </c>
      <c r="DA33">
        <v>0</v>
      </c>
      <c r="DB33">
        <v>0</v>
      </c>
      <c r="DD33">
        <v>0</v>
      </c>
      <c r="DK33">
        <v>0</v>
      </c>
      <c r="DL33">
        <v>0</v>
      </c>
      <c r="DM33">
        <v>0</v>
      </c>
      <c r="DN33">
        <v>0</v>
      </c>
      <c r="DO33">
        <v>0</v>
      </c>
      <c r="DP33">
        <v>0</v>
      </c>
      <c r="DQ33">
        <v>0</v>
      </c>
      <c r="DR33">
        <v>0</v>
      </c>
      <c r="DW33" t="s">
        <v>1042</v>
      </c>
      <c r="DX33">
        <v>0</v>
      </c>
      <c r="DZ33">
        <v>0</v>
      </c>
      <c r="EA33">
        <v>0</v>
      </c>
      <c r="EC33">
        <v>0</v>
      </c>
      <c r="EM33">
        <v>0</v>
      </c>
      <c r="EN33">
        <v>0</v>
      </c>
      <c r="EO33">
        <v>0</v>
      </c>
      <c r="EY33">
        <v>0</v>
      </c>
      <c r="EZ33">
        <v>0</v>
      </c>
      <c r="FA33">
        <v>0</v>
      </c>
      <c r="FB33">
        <v>0</v>
      </c>
      <c r="FD33" t="s">
        <v>2029</v>
      </c>
      <c r="FF33">
        <v>0</v>
      </c>
      <c r="FG33">
        <v>0</v>
      </c>
      <c r="FR33">
        <v>0</v>
      </c>
      <c r="FS33">
        <v>0</v>
      </c>
      <c r="GD33">
        <v>0</v>
      </c>
      <c r="GL33">
        <v>0</v>
      </c>
      <c r="GM33">
        <v>0</v>
      </c>
      <c r="GN33">
        <v>0</v>
      </c>
      <c r="GP33" t="s">
        <v>1042</v>
      </c>
      <c r="GQ33" t="s">
        <v>2027</v>
      </c>
      <c r="HH33">
        <v>0</v>
      </c>
      <c r="HI33">
        <v>0</v>
      </c>
      <c r="HP33">
        <v>0</v>
      </c>
      <c r="HZ33">
        <v>0</v>
      </c>
      <c r="IB33">
        <v>0</v>
      </c>
      <c r="IC33">
        <v>0</v>
      </c>
      <c r="IG33" t="s">
        <v>1042</v>
      </c>
      <c r="IJ33" t="s">
        <v>1042</v>
      </c>
      <c r="IM33">
        <v>0</v>
      </c>
      <c r="IN33" t="s">
        <v>2024</v>
      </c>
      <c r="IO33">
        <v>7897801310321</v>
      </c>
    </row>
    <row r="34" spans="2:251" x14ac:dyDescent="0.35">
      <c r="B34">
        <v>1</v>
      </c>
      <c r="C34">
        <v>1270</v>
      </c>
      <c r="D34">
        <v>0</v>
      </c>
      <c r="E34">
        <v>0</v>
      </c>
      <c r="F34">
        <v>0</v>
      </c>
      <c r="G34">
        <v>0</v>
      </c>
      <c r="H34">
        <v>0</v>
      </c>
      <c r="I34">
        <v>0</v>
      </c>
      <c r="J34" t="s">
        <v>650</v>
      </c>
      <c r="M34">
        <v>20</v>
      </c>
      <c r="O34" t="s">
        <v>2058</v>
      </c>
      <c r="P34" t="s">
        <v>2057</v>
      </c>
      <c r="Q34">
        <v>9.5</v>
      </c>
      <c r="S34">
        <v>18.5</v>
      </c>
      <c r="T34">
        <v>1</v>
      </c>
      <c r="U34">
        <v>8</v>
      </c>
      <c r="W34">
        <v>0.58699999999999997</v>
      </c>
      <c r="X34" t="s">
        <v>1085</v>
      </c>
      <c r="Y34" t="s">
        <v>1042</v>
      </c>
      <c r="Z34" t="s">
        <v>1042</v>
      </c>
      <c r="AA34" t="s">
        <v>1042</v>
      </c>
      <c r="AB34" t="s">
        <v>1042</v>
      </c>
      <c r="AC34" t="s">
        <v>1042</v>
      </c>
      <c r="AD34" t="s">
        <v>1042</v>
      </c>
      <c r="AE34">
        <v>0.20499999999999999</v>
      </c>
      <c r="AG34">
        <v>0.39500000000000002</v>
      </c>
      <c r="AH34">
        <v>0</v>
      </c>
      <c r="AI34">
        <v>0</v>
      </c>
      <c r="AJ34">
        <v>0.36499999999999999</v>
      </c>
      <c r="AK34" t="s">
        <v>1043</v>
      </c>
      <c r="AM34">
        <v>240</v>
      </c>
      <c r="AO34" t="s">
        <v>1044</v>
      </c>
      <c r="AP34">
        <v>0</v>
      </c>
      <c r="AR34" t="s">
        <v>1047</v>
      </c>
      <c r="AV34">
        <v>0</v>
      </c>
      <c r="AW34">
        <v>0</v>
      </c>
      <c r="AX34">
        <v>0</v>
      </c>
      <c r="AY34">
        <v>0</v>
      </c>
      <c r="AZ34">
        <v>0</v>
      </c>
      <c r="BA34">
        <v>0</v>
      </c>
      <c r="BB34">
        <v>0</v>
      </c>
      <c r="BC34" t="s">
        <v>1043</v>
      </c>
      <c r="BD34">
        <v>0</v>
      </c>
      <c r="BE34">
        <v>0</v>
      </c>
      <c r="BJ34" t="s">
        <v>1044</v>
      </c>
      <c r="BM34">
        <v>0</v>
      </c>
      <c r="BN34">
        <v>0</v>
      </c>
      <c r="BO34">
        <v>0</v>
      </c>
      <c r="BP34">
        <v>0</v>
      </c>
      <c r="BQ34">
        <v>0</v>
      </c>
      <c r="BR34">
        <v>0</v>
      </c>
      <c r="BS34">
        <v>0</v>
      </c>
      <c r="BU34">
        <v>0.185</v>
      </c>
      <c r="BV34">
        <v>9.5000000000000001E-2</v>
      </c>
      <c r="BW34">
        <v>0.2</v>
      </c>
      <c r="BX34">
        <v>0.40500000000000003</v>
      </c>
      <c r="BY34">
        <v>0.21</v>
      </c>
      <c r="BZ34">
        <v>0.36499999999999999</v>
      </c>
      <c r="CA34">
        <v>8</v>
      </c>
      <c r="CQ34" t="s">
        <v>2031</v>
      </c>
      <c r="CR34">
        <v>0</v>
      </c>
      <c r="CS34">
        <v>0</v>
      </c>
      <c r="CT34">
        <v>0</v>
      </c>
      <c r="CU34">
        <v>0</v>
      </c>
      <c r="CW34" t="s">
        <v>1043</v>
      </c>
      <c r="CX34">
        <v>0</v>
      </c>
      <c r="CY34">
        <v>0</v>
      </c>
      <c r="CZ34">
        <v>0</v>
      </c>
      <c r="DA34">
        <v>0</v>
      </c>
      <c r="DB34">
        <v>0</v>
      </c>
      <c r="DD34">
        <v>0</v>
      </c>
      <c r="DK34">
        <v>0</v>
      </c>
      <c r="DL34">
        <v>0</v>
      </c>
      <c r="DM34">
        <v>0</v>
      </c>
      <c r="DN34">
        <v>0</v>
      </c>
      <c r="DO34">
        <v>0</v>
      </c>
      <c r="DP34">
        <v>0</v>
      </c>
      <c r="DQ34">
        <v>0</v>
      </c>
      <c r="DR34">
        <v>0</v>
      </c>
      <c r="DS34" t="s">
        <v>1043</v>
      </c>
      <c r="DT34" t="s">
        <v>1044</v>
      </c>
      <c r="DU34" t="s">
        <v>1044</v>
      </c>
      <c r="DW34" t="s">
        <v>1042</v>
      </c>
      <c r="DX34">
        <v>0</v>
      </c>
      <c r="DY34" t="s">
        <v>1043</v>
      </c>
      <c r="DZ34">
        <v>0</v>
      </c>
      <c r="EA34">
        <v>0</v>
      </c>
      <c r="EC34">
        <v>0</v>
      </c>
      <c r="EM34">
        <v>0</v>
      </c>
      <c r="EN34">
        <v>0</v>
      </c>
      <c r="EO34">
        <v>0</v>
      </c>
      <c r="EP34" t="s">
        <v>1043</v>
      </c>
      <c r="EX34" t="s">
        <v>2030</v>
      </c>
      <c r="EY34">
        <v>0</v>
      </c>
      <c r="EZ34">
        <v>0</v>
      </c>
      <c r="FA34">
        <v>0</v>
      </c>
      <c r="FB34">
        <v>1</v>
      </c>
      <c r="FC34" t="s">
        <v>1</v>
      </c>
      <c r="FD34" t="s">
        <v>2029</v>
      </c>
      <c r="FE34" t="s">
        <v>1045</v>
      </c>
      <c r="FF34">
        <v>0</v>
      </c>
      <c r="FG34">
        <v>0</v>
      </c>
      <c r="FH34" t="s">
        <v>1045</v>
      </c>
      <c r="FI34" t="s">
        <v>1045</v>
      </c>
      <c r="FJ34" t="s">
        <v>1043</v>
      </c>
      <c r="FR34">
        <v>0</v>
      </c>
      <c r="FS34">
        <v>0</v>
      </c>
      <c r="GA34" t="s">
        <v>1044</v>
      </c>
      <c r="GB34" t="s">
        <v>1044</v>
      </c>
      <c r="GC34" t="s">
        <v>1045</v>
      </c>
      <c r="GD34">
        <v>0</v>
      </c>
      <c r="GH34" t="s">
        <v>1045</v>
      </c>
      <c r="GI34" t="s">
        <v>2028</v>
      </c>
      <c r="GL34">
        <v>0</v>
      </c>
      <c r="GM34">
        <v>0</v>
      </c>
      <c r="GN34">
        <v>0</v>
      </c>
      <c r="GP34" t="s">
        <v>1042</v>
      </c>
      <c r="GQ34" t="s">
        <v>2027</v>
      </c>
      <c r="GS34" t="s">
        <v>1045</v>
      </c>
      <c r="GU34">
        <v>1</v>
      </c>
      <c r="GV34" t="s">
        <v>1045</v>
      </c>
      <c r="GW34" t="s">
        <v>2026</v>
      </c>
      <c r="GZ34" t="s">
        <v>2025</v>
      </c>
      <c r="HH34">
        <v>0</v>
      </c>
      <c r="HI34">
        <v>0</v>
      </c>
      <c r="HK34" t="s">
        <v>1045</v>
      </c>
      <c r="HL34" t="s">
        <v>1045</v>
      </c>
      <c r="HP34">
        <v>0</v>
      </c>
      <c r="HZ34">
        <v>0</v>
      </c>
      <c r="IB34">
        <v>0</v>
      </c>
      <c r="IC34">
        <v>0</v>
      </c>
      <c r="IG34" t="s">
        <v>1042</v>
      </c>
      <c r="IJ34" t="s">
        <v>1042</v>
      </c>
      <c r="IM34">
        <v>0</v>
      </c>
      <c r="IN34" t="s">
        <v>2024</v>
      </c>
      <c r="IO34">
        <v>7897801318167</v>
      </c>
    </row>
    <row r="35" spans="2:251" x14ac:dyDescent="0.35">
      <c r="B35">
        <v>1</v>
      </c>
      <c r="C35">
        <v>1271</v>
      </c>
      <c r="D35">
        <v>0</v>
      </c>
      <c r="E35">
        <v>0</v>
      </c>
      <c r="F35">
        <v>0</v>
      </c>
      <c r="G35">
        <v>0</v>
      </c>
      <c r="H35">
        <v>0</v>
      </c>
      <c r="I35">
        <v>0</v>
      </c>
      <c r="J35" t="s">
        <v>651</v>
      </c>
      <c r="M35">
        <v>27</v>
      </c>
      <c r="Q35">
        <v>9.5</v>
      </c>
      <c r="S35">
        <v>21</v>
      </c>
      <c r="T35">
        <v>0</v>
      </c>
      <c r="U35">
        <v>0</v>
      </c>
      <c r="W35">
        <v>0.88300000000000001</v>
      </c>
      <c r="X35" t="s">
        <v>1085</v>
      </c>
      <c r="Y35" t="s">
        <v>1042</v>
      </c>
      <c r="Z35" t="s">
        <v>1042</v>
      </c>
      <c r="AA35" t="s">
        <v>1042</v>
      </c>
      <c r="AB35" t="s">
        <v>1042</v>
      </c>
      <c r="AC35" t="s">
        <v>1042</v>
      </c>
      <c r="AD35" t="s">
        <v>1042</v>
      </c>
      <c r="AE35">
        <v>0.31</v>
      </c>
      <c r="AG35">
        <v>0.42499999999999999</v>
      </c>
      <c r="AH35">
        <v>0</v>
      </c>
      <c r="AI35">
        <v>0</v>
      </c>
      <c r="AJ35">
        <v>0.375</v>
      </c>
      <c r="AK35" t="s">
        <v>1043</v>
      </c>
      <c r="AM35">
        <v>240</v>
      </c>
      <c r="AO35" t="s">
        <v>1044</v>
      </c>
      <c r="AP35">
        <v>0</v>
      </c>
      <c r="AR35" t="s">
        <v>1047</v>
      </c>
      <c r="AV35">
        <v>0</v>
      </c>
      <c r="AW35">
        <v>0</v>
      </c>
      <c r="AX35">
        <v>0</v>
      </c>
      <c r="AY35">
        <v>0</v>
      </c>
      <c r="AZ35">
        <v>0</v>
      </c>
      <c r="BA35">
        <v>0</v>
      </c>
      <c r="BB35">
        <v>0</v>
      </c>
      <c r="BC35" t="s">
        <v>1043</v>
      </c>
      <c r="BD35">
        <v>0</v>
      </c>
      <c r="BE35">
        <v>0</v>
      </c>
      <c r="BJ35" t="s">
        <v>1044</v>
      </c>
      <c r="BM35">
        <v>0</v>
      </c>
      <c r="BN35">
        <v>0</v>
      </c>
      <c r="BO35">
        <v>0</v>
      </c>
      <c r="BP35">
        <v>0</v>
      </c>
      <c r="BQ35">
        <v>0</v>
      </c>
      <c r="BR35">
        <v>0</v>
      </c>
      <c r="BS35">
        <v>0</v>
      </c>
      <c r="BU35">
        <v>0.37</v>
      </c>
      <c r="BV35">
        <v>0.31</v>
      </c>
      <c r="BW35">
        <v>0.435</v>
      </c>
      <c r="BX35">
        <v>0</v>
      </c>
      <c r="BY35">
        <v>0</v>
      </c>
      <c r="BZ35">
        <v>0</v>
      </c>
      <c r="CA35">
        <v>0</v>
      </c>
      <c r="CQ35" t="s">
        <v>2031</v>
      </c>
      <c r="CR35">
        <v>0</v>
      </c>
      <c r="CS35">
        <v>0</v>
      </c>
      <c r="CT35">
        <v>0</v>
      </c>
      <c r="CU35">
        <v>0</v>
      </c>
      <c r="CW35" t="s">
        <v>1043</v>
      </c>
      <c r="CX35">
        <v>0</v>
      </c>
      <c r="CY35">
        <v>0</v>
      </c>
      <c r="CZ35">
        <v>0</v>
      </c>
      <c r="DA35">
        <v>0</v>
      </c>
      <c r="DB35">
        <v>0</v>
      </c>
      <c r="DD35">
        <v>0</v>
      </c>
      <c r="DK35">
        <v>0</v>
      </c>
      <c r="DL35">
        <v>0</v>
      </c>
      <c r="DM35">
        <v>0</v>
      </c>
      <c r="DN35">
        <v>0</v>
      </c>
      <c r="DO35">
        <v>0</v>
      </c>
      <c r="DP35">
        <v>0</v>
      </c>
      <c r="DQ35">
        <v>0</v>
      </c>
      <c r="DR35">
        <v>0</v>
      </c>
      <c r="DS35" t="s">
        <v>1043</v>
      </c>
      <c r="DT35" t="s">
        <v>1044</v>
      </c>
      <c r="DU35" t="s">
        <v>1044</v>
      </c>
      <c r="DW35" t="s">
        <v>1042</v>
      </c>
      <c r="DX35">
        <v>0</v>
      </c>
      <c r="DY35" t="s">
        <v>1043</v>
      </c>
      <c r="DZ35">
        <v>0</v>
      </c>
      <c r="EA35">
        <v>0</v>
      </c>
      <c r="EC35">
        <v>0</v>
      </c>
      <c r="EM35">
        <v>0</v>
      </c>
      <c r="EN35">
        <v>0</v>
      </c>
      <c r="EO35">
        <v>0</v>
      </c>
      <c r="EP35" t="s">
        <v>1043</v>
      </c>
      <c r="EX35" t="s">
        <v>2030</v>
      </c>
      <c r="EY35">
        <v>0</v>
      </c>
      <c r="EZ35">
        <v>0</v>
      </c>
      <c r="FA35">
        <v>0</v>
      </c>
      <c r="FB35">
        <v>1</v>
      </c>
      <c r="FC35" t="s">
        <v>1</v>
      </c>
      <c r="FD35" t="s">
        <v>2029</v>
      </c>
      <c r="FE35" t="s">
        <v>1045</v>
      </c>
      <c r="FF35">
        <v>0</v>
      </c>
      <c r="FG35">
        <v>0</v>
      </c>
      <c r="FH35" t="s">
        <v>1045</v>
      </c>
      <c r="FI35" t="s">
        <v>1045</v>
      </c>
      <c r="FJ35" t="s">
        <v>1043</v>
      </c>
      <c r="FR35">
        <v>0</v>
      </c>
      <c r="FS35">
        <v>0</v>
      </c>
      <c r="GA35" t="s">
        <v>1044</v>
      </c>
      <c r="GB35" t="s">
        <v>1044</v>
      </c>
      <c r="GC35" t="s">
        <v>1045</v>
      </c>
      <c r="GD35">
        <v>0</v>
      </c>
      <c r="GH35" t="s">
        <v>1045</v>
      </c>
      <c r="GI35" t="s">
        <v>2028</v>
      </c>
      <c r="GL35">
        <v>0</v>
      </c>
      <c r="GM35">
        <v>0</v>
      </c>
      <c r="GN35">
        <v>0</v>
      </c>
      <c r="GP35" t="s">
        <v>1042</v>
      </c>
      <c r="GQ35" t="s">
        <v>2027</v>
      </c>
      <c r="GS35" t="s">
        <v>1045</v>
      </c>
      <c r="GU35">
        <v>1</v>
      </c>
      <c r="GV35" t="s">
        <v>1045</v>
      </c>
      <c r="GW35" t="s">
        <v>2026</v>
      </c>
      <c r="GZ35" t="s">
        <v>2025</v>
      </c>
      <c r="HH35">
        <v>0</v>
      </c>
      <c r="HI35">
        <v>0</v>
      </c>
      <c r="HK35" t="s">
        <v>1045</v>
      </c>
      <c r="HL35" t="s">
        <v>1045</v>
      </c>
      <c r="HP35">
        <v>0</v>
      </c>
      <c r="HZ35">
        <v>0</v>
      </c>
      <c r="IB35">
        <v>0</v>
      </c>
      <c r="IC35">
        <v>0</v>
      </c>
      <c r="IG35" t="s">
        <v>1042</v>
      </c>
      <c r="IJ35" t="s">
        <v>1042</v>
      </c>
      <c r="IM35">
        <v>0</v>
      </c>
      <c r="IN35" t="s">
        <v>2024</v>
      </c>
      <c r="IO35">
        <v>7897801318174</v>
      </c>
    </row>
    <row r="36" spans="2:251" x14ac:dyDescent="0.35">
      <c r="B36">
        <v>1</v>
      </c>
      <c r="C36">
        <v>1272</v>
      </c>
      <c r="D36">
        <v>0</v>
      </c>
      <c r="E36">
        <v>0</v>
      </c>
      <c r="F36">
        <v>0</v>
      </c>
      <c r="G36">
        <v>0</v>
      </c>
      <c r="H36">
        <v>0</v>
      </c>
      <c r="I36">
        <v>0</v>
      </c>
      <c r="J36" t="s">
        <v>652</v>
      </c>
      <c r="M36">
        <v>34.799999999999997</v>
      </c>
      <c r="O36" t="s">
        <v>2058</v>
      </c>
      <c r="P36" t="s">
        <v>2057</v>
      </c>
      <c r="Q36">
        <v>9.5</v>
      </c>
      <c r="R36" t="s">
        <v>2059</v>
      </c>
      <c r="S36">
        <v>22.8</v>
      </c>
      <c r="T36">
        <v>1</v>
      </c>
      <c r="U36">
        <v>0</v>
      </c>
      <c r="W36">
        <v>0.44850000000000001</v>
      </c>
      <c r="Y36" t="s">
        <v>1042</v>
      </c>
      <c r="Z36" t="s">
        <v>1042</v>
      </c>
      <c r="AA36" t="s">
        <v>1042</v>
      </c>
      <c r="AB36" t="s">
        <v>1042</v>
      </c>
      <c r="AC36" t="s">
        <v>1042</v>
      </c>
      <c r="AD36" t="s">
        <v>1042</v>
      </c>
      <c r="AE36">
        <v>9.5000000000000001E-2</v>
      </c>
      <c r="AG36">
        <v>0.35</v>
      </c>
      <c r="AH36">
        <v>0</v>
      </c>
      <c r="AI36">
        <v>0</v>
      </c>
      <c r="AJ36">
        <v>0.22800000000000001</v>
      </c>
      <c r="AK36" t="s">
        <v>1043</v>
      </c>
      <c r="AM36">
        <v>240</v>
      </c>
      <c r="AO36" t="s">
        <v>1044</v>
      </c>
      <c r="AP36">
        <v>0</v>
      </c>
      <c r="AR36" t="s">
        <v>1047</v>
      </c>
      <c r="AV36">
        <v>0</v>
      </c>
      <c r="AW36">
        <v>0</v>
      </c>
      <c r="AX36">
        <v>0</v>
      </c>
      <c r="AY36">
        <v>0</v>
      </c>
      <c r="AZ36">
        <v>0</v>
      </c>
      <c r="BA36">
        <v>0</v>
      </c>
      <c r="BB36">
        <v>0</v>
      </c>
      <c r="BC36" t="s">
        <v>1043</v>
      </c>
      <c r="BD36">
        <v>0</v>
      </c>
      <c r="BE36">
        <v>0</v>
      </c>
      <c r="BJ36" t="s">
        <v>1044</v>
      </c>
      <c r="BM36">
        <v>0</v>
      </c>
      <c r="BN36">
        <v>0</v>
      </c>
      <c r="BO36">
        <v>0</v>
      </c>
      <c r="BP36">
        <v>0</v>
      </c>
      <c r="BQ36">
        <v>0</v>
      </c>
      <c r="BR36">
        <v>0</v>
      </c>
      <c r="BS36">
        <v>0</v>
      </c>
      <c r="BU36">
        <v>0.21</v>
      </c>
      <c r="BV36">
        <v>0.37</v>
      </c>
      <c r="BW36">
        <v>0.44</v>
      </c>
      <c r="BX36">
        <v>0.20499999999999999</v>
      </c>
      <c r="BY36">
        <v>0.37</v>
      </c>
      <c r="BZ36">
        <v>0.44</v>
      </c>
      <c r="CA36">
        <v>0</v>
      </c>
      <c r="CQ36" t="s">
        <v>2031</v>
      </c>
      <c r="CR36">
        <v>0</v>
      </c>
      <c r="CS36">
        <v>0</v>
      </c>
      <c r="CT36">
        <v>0</v>
      </c>
      <c r="CU36">
        <v>0</v>
      </c>
      <c r="CW36" t="s">
        <v>1043</v>
      </c>
      <c r="CX36">
        <v>0</v>
      </c>
      <c r="CY36">
        <v>0</v>
      </c>
      <c r="CZ36">
        <v>0</v>
      </c>
      <c r="DA36">
        <v>0</v>
      </c>
      <c r="DB36">
        <v>0</v>
      </c>
      <c r="DD36">
        <v>0</v>
      </c>
      <c r="DK36">
        <v>0</v>
      </c>
      <c r="DL36">
        <v>0</v>
      </c>
      <c r="DM36">
        <v>0</v>
      </c>
      <c r="DN36">
        <v>0</v>
      </c>
      <c r="DO36">
        <v>0</v>
      </c>
      <c r="DP36">
        <v>0</v>
      </c>
      <c r="DQ36">
        <v>0</v>
      </c>
      <c r="DR36">
        <v>0</v>
      </c>
      <c r="DS36" t="s">
        <v>1043</v>
      </c>
      <c r="DT36" t="s">
        <v>1044</v>
      </c>
      <c r="DU36" t="s">
        <v>1044</v>
      </c>
      <c r="DW36" t="s">
        <v>1042</v>
      </c>
      <c r="DX36">
        <v>0</v>
      </c>
      <c r="DY36" t="s">
        <v>1043</v>
      </c>
      <c r="DZ36">
        <v>0</v>
      </c>
      <c r="EA36">
        <v>0</v>
      </c>
      <c r="EC36">
        <v>0</v>
      </c>
      <c r="EM36">
        <v>0</v>
      </c>
      <c r="EN36">
        <v>0</v>
      </c>
      <c r="EO36">
        <v>0</v>
      </c>
      <c r="EP36" t="s">
        <v>1043</v>
      </c>
      <c r="EX36" t="s">
        <v>2030</v>
      </c>
      <c r="EY36">
        <v>0</v>
      </c>
      <c r="EZ36">
        <v>0</v>
      </c>
      <c r="FA36">
        <v>0</v>
      </c>
      <c r="FB36">
        <v>1</v>
      </c>
      <c r="FC36" t="s">
        <v>1</v>
      </c>
      <c r="FD36" t="s">
        <v>2029</v>
      </c>
      <c r="FE36" t="s">
        <v>1045</v>
      </c>
      <c r="FF36">
        <v>0</v>
      </c>
      <c r="FG36">
        <v>0</v>
      </c>
      <c r="FH36" t="s">
        <v>1045</v>
      </c>
      <c r="FI36" t="s">
        <v>1045</v>
      </c>
      <c r="FJ36" t="s">
        <v>1043</v>
      </c>
      <c r="FR36">
        <v>0</v>
      </c>
      <c r="FS36">
        <v>0</v>
      </c>
      <c r="GA36" t="s">
        <v>1044</v>
      </c>
      <c r="GB36" t="s">
        <v>1044</v>
      </c>
      <c r="GC36" t="s">
        <v>1045</v>
      </c>
      <c r="GD36">
        <v>0</v>
      </c>
      <c r="GH36" t="s">
        <v>1045</v>
      </c>
      <c r="GI36" t="s">
        <v>2028</v>
      </c>
      <c r="GL36">
        <v>0</v>
      </c>
      <c r="GM36">
        <v>0</v>
      </c>
      <c r="GN36">
        <v>0</v>
      </c>
      <c r="GP36" t="s">
        <v>1042</v>
      </c>
      <c r="GQ36" t="s">
        <v>2027</v>
      </c>
      <c r="GS36" t="s">
        <v>1045</v>
      </c>
      <c r="GU36">
        <v>1</v>
      </c>
      <c r="GV36" t="s">
        <v>1045</v>
      </c>
      <c r="GW36" t="s">
        <v>2026</v>
      </c>
      <c r="GZ36" t="s">
        <v>2025</v>
      </c>
      <c r="HH36">
        <v>0</v>
      </c>
      <c r="HI36">
        <v>0</v>
      </c>
      <c r="HK36" t="s">
        <v>1045</v>
      </c>
      <c r="HL36" t="s">
        <v>1045</v>
      </c>
      <c r="HP36">
        <v>0</v>
      </c>
      <c r="HZ36">
        <v>0</v>
      </c>
      <c r="IB36">
        <v>0</v>
      </c>
      <c r="IC36">
        <v>0</v>
      </c>
      <c r="IG36" t="s">
        <v>1042</v>
      </c>
      <c r="IJ36" t="s">
        <v>1042</v>
      </c>
      <c r="IM36">
        <v>0</v>
      </c>
      <c r="IN36" t="s">
        <v>2024</v>
      </c>
      <c r="IQ36" t="s">
        <v>1045</v>
      </c>
    </row>
    <row r="37" spans="2:251" x14ac:dyDescent="0.35">
      <c r="B37">
        <v>1</v>
      </c>
      <c r="C37">
        <v>1273</v>
      </c>
      <c r="D37">
        <v>0</v>
      </c>
      <c r="E37">
        <v>0</v>
      </c>
      <c r="F37">
        <v>0</v>
      </c>
      <c r="G37">
        <v>0</v>
      </c>
      <c r="H37">
        <v>0</v>
      </c>
      <c r="I37">
        <v>0</v>
      </c>
      <c r="J37" t="s">
        <v>653</v>
      </c>
      <c r="M37">
        <v>41.5</v>
      </c>
      <c r="Q37">
        <v>9.5</v>
      </c>
      <c r="S37">
        <v>23.5</v>
      </c>
      <c r="T37">
        <v>0</v>
      </c>
      <c r="U37">
        <v>0</v>
      </c>
      <c r="W37">
        <v>1.4758</v>
      </c>
      <c r="X37" t="s">
        <v>1085</v>
      </c>
      <c r="Y37" t="s">
        <v>1042</v>
      </c>
      <c r="Z37" t="s">
        <v>1042</v>
      </c>
      <c r="AA37" t="s">
        <v>1042</v>
      </c>
      <c r="AB37" t="s">
        <v>1042</v>
      </c>
      <c r="AC37" t="s">
        <v>1042</v>
      </c>
      <c r="AD37" t="s">
        <v>1042</v>
      </c>
      <c r="AE37">
        <v>0.42499999999999999</v>
      </c>
      <c r="AG37">
        <v>0.46500000000000002</v>
      </c>
      <c r="AH37">
        <v>0</v>
      </c>
      <c r="AI37">
        <v>0</v>
      </c>
      <c r="AJ37">
        <v>0.20499999999999999</v>
      </c>
      <c r="AK37" t="s">
        <v>1043</v>
      </c>
      <c r="AM37">
        <v>240</v>
      </c>
      <c r="AO37" t="s">
        <v>1044</v>
      </c>
      <c r="AP37">
        <v>0</v>
      </c>
      <c r="AR37" t="s">
        <v>1047</v>
      </c>
      <c r="AV37">
        <v>0</v>
      </c>
      <c r="AW37">
        <v>0</v>
      </c>
      <c r="AX37">
        <v>0</v>
      </c>
      <c r="AY37">
        <v>0</v>
      </c>
      <c r="AZ37">
        <v>0</v>
      </c>
      <c r="BA37">
        <v>0</v>
      </c>
      <c r="BB37">
        <v>0</v>
      </c>
      <c r="BC37" t="s">
        <v>1043</v>
      </c>
      <c r="BD37">
        <v>0</v>
      </c>
      <c r="BE37">
        <v>0</v>
      </c>
      <c r="BJ37" t="s">
        <v>1044</v>
      </c>
      <c r="BM37">
        <v>0</v>
      </c>
      <c r="BN37">
        <v>0</v>
      </c>
      <c r="BO37">
        <v>0</v>
      </c>
      <c r="BP37">
        <v>0</v>
      </c>
      <c r="BQ37">
        <v>0</v>
      </c>
      <c r="BR37">
        <v>0</v>
      </c>
      <c r="BS37">
        <v>0</v>
      </c>
      <c r="BU37">
        <v>0.37</v>
      </c>
      <c r="BV37">
        <v>0.31</v>
      </c>
      <c r="BW37">
        <v>0.47499999999999998</v>
      </c>
      <c r="BX37">
        <v>0</v>
      </c>
      <c r="BY37">
        <v>0</v>
      </c>
      <c r="BZ37">
        <v>0</v>
      </c>
      <c r="CA37">
        <v>0</v>
      </c>
      <c r="CQ37" t="s">
        <v>2031</v>
      </c>
      <c r="CR37">
        <v>0</v>
      </c>
      <c r="CS37">
        <v>0</v>
      </c>
      <c r="CT37">
        <v>0</v>
      </c>
      <c r="CU37">
        <v>0</v>
      </c>
      <c r="CW37" t="s">
        <v>1043</v>
      </c>
      <c r="CX37">
        <v>0</v>
      </c>
      <c r="CY37">
        <v>0</v>
      </c>
      <c r="CZ37">
        <v>0</v>
      </c>
      <c r="DA37">
        <v>0</v>
      </c>
      <c r="DB37">
        <v>0</v>
      </c>
      <c r="DD37">
        <v>0</v>
      </c>
      <c r="DK37">
        <v>0</v>
      </c>
      <c r="DL37">
        <v>0</v>
      </c>
      <c r="DM37">
        <v>0</v>
      </c>
      <c r="DN37">
        <v>0</v>
      </c>
      <c r="DO37">
        <v>0</v>
      </c>
      <c r="DP37">
        <v>0</v>
      </c>
      <c r="DQ37">
        <v>0</v>
      </c>
      <c r="DR37">
        <v>0</v>
      </c>
      <c r="DS37" t="s">
        <v>1043</v>
      </c>
      <c r="DT37" t="s">
        <v>1044</v>
      </c>
      <c r="DU37" t="s">
        <v>1044</v>
      </c>
      <c r="DW37" t="s">
        <v>1042</v>
      </c>
      <c r="DX37">
        <v>0</v>
      </c>
      <c r="DY37" t="s">
        <v>1043</v>
      </c>
      <c r="DZ37">
        <v>0</v>
      </c>
      <c r="EA37">
        <v>0</v>
      </c>
      <c r="EC37">
        <v>0</v>
      </c>
      <c r="EM37">
        <v>0</v>
      </c>
      <c r="EN37">
        <v>0</v>
      </c>
      <c r="EO37">
        <v>0</v>
      </c>
      <c r="EP37" t="s">
        <v>1043</v>
      </c>
      <c r="EX37" t="s">
        <v>2030</v>
      </c>
      <c r="EY37">
        <v>0</v>
      </c>
      <c r="EZ37">
        <v>0</v>
      </c>
      <c r="FA37">
        <v>0</v>
      </c>
      <c r="FB37">
        <v>1</v>
      </c>
      <c r="FC37" t="s">
        <v>1</v>
      </c>
      <c r="FD37" t="s">
        <v>2029</v>
      </c>
      <c r="FE37" t="s">
        <v>1045</v>
      </c>
      <c r="FF37">
        <v>0</v>
      </c>
      <c r="FG37">
        <v>0</v>
      </c>
      <c r="FH37" t="s">
        <v>1045</v>
      </c>
      <c r="FI37" t="s">
        <v>1045</v>
      </c>
      <c r="FJ37" t="s">
        <v>1043</v>
      </c>
      <c r="FR37">
        <v>0</v>
      </c>
      <c r="FS37">
        <v>0</v>
      </c>
      <c r="GA37" t="s">
        <v>1044</v>
      </c>
      <c r="GB37" t="s">
        <v>1044</v>
      </c>
      <c r="GC37" t="s">
        <v>1045</v>
      </c>
      <c r="GD37">
        <v>0</v>
      </c>
      <c r="GH37" t="s">
        <v>1045</v>
      </c>
      <c r="GI37" t="s">
        <v>2028</v>
      </c>
      <c r="GL37">
        <v>0</v>
      </c>
      <c r="GM37">
        <v>0</v>
      </c>
      <c r="GN37">
        <v>0</v>
      </c>
      <c r="GP37" t="s">
        <v>1042</v>
      </c>
      <c r="GQ37" t="s">
        <v>2027</v>
      </c>
      <c r="GS37" t="s">
        <v>1045</v>
      </c>
      <c r="GU37">
        <v>1</v>
      </c>
      <c r="GV37" t="s">
        <v>1045</v>
      </c>
      <c r="GW37" t="s">
        <v>2026</v>
      </c>
      <c r="GZ37" t="s">
        <v>2025</v>
      </c>
      <c r="HH37">
        <v>0</v>
      </c>
      <c r="HI37">
        <v>0</v>
      </c>
      <c r="HK37" t="s">
        <v>1045</v>
      </c>
      <c r="HL37" t="s">
        <v>1045</v>
      </c>
      <c r="HP37">
        <v>0</v>
      </c>
      <c r="HZ37">
        <v>0</v>
      </c>
      <c r="IB37">
        <v>0</v>
      </c>
      <c r="IC37">
        <v>0</v>
      </c>
      <c r="IG37" t="s">
        <v>1042</v>
      </c>
      <c r="IJ37" t="s">
        <v>1042</v>
      </c>
      <c r="IM37">
        <v>0</v>
      </c>
      <c r="IN37" t="s">
        <v>2024</v>
      </c>
      <c r="IO37">
        <v>7897801318198</v>
      </c>
    </row>
    <row r="38" spans="2:251" x14ac:dyDescent="0.35">
      <c r="B38">
        <v>1</v>
      </c>
      <c r="C38">
        <v>1274</v>
      </c>
      <c r="D38">
        <v>0</v>
      </c>
      <c r="E38">
        <v>0</v>
      </c>
      <c r="F38">
        <v>0</v>
      </c>
      <c r="G38">
        <v>0</v>
      </c>
      <c r="H38">
        <v>0</v>
      </c>
      <c r="I38">
        <v>0</v>
      </c>
      <c r="J38" t="s">
        <v>654</v>
      </c>
      <c r="M38">
        <v>38.5</v>
      </c>
      <c r="O38" t="s">
        <v>2058</v>
      </c>
      <c r="P38" t="s">
        <v>2057</v>
      </c>
      <c r="Q38">
        <v>9.8000000000000007</v>
      </c>
      <c r="R38" t="s">
        <v>2059</v>
      </c>
      <c r="S38">
        <v>33.5</v>
      </c>
      <c r="T38">
        <v>1</v>
      </c>
      <c r="U38">
        <v>0</v>
      </c>
      <c r="W38">
        <v>0.72270000000000001</v>
      </c>
      <c r="Y38" t="s">
        <v>1042</v>
      </c>
      <c r="Z38" t="s">
        <v>1042</v>
      </c>
      <c r="AA38" t="s">
        <v>1042</v>
      </c>
      <c r="AB38" t="s">
        <v>1042</v>
      </c>
      <c r="AC38" t="s">
        <v>1042</v>
      </c>
      <c r="AD38" t="s">
        <v>1042</v>
      </c>
      <c r="AE38">
        <v>9.8000000000000004E-2</v>
      </c>
      <c r="AG38">
        <v>0.38500000000000001</v>
      </c>
      <c r="AH38">
        <v>0</v>
      </c>
      <c r="AI38">
        <v>0</v>
      </c>
      <c r="AJ38">
        <v>0.33500000000000002</v>
      </c>
      <c r="AK38" t="s">
        <v>1043</v>
      </c>
      <c r="AM38">
        <v>240</v>
      </c>
      <c r="AO38" t="s">
        <v>1044</v>
      </c>
      <c r="AP38">
        <v>0</v>
      </c>
      <c r="AR38" t="s">
        <v>1047</v>
      </c>
      <c r="AV38">
        <v>0</v>
      </c>
      <c r="AW38">
        <v>0</v>
      </c>
      <c r="AX38">
        <v>0</v>
      </c>
      <c r="AY38">
        <v>0</v>
      </c>
      <c r="AZ38">
        <v>0</v>
      </c>
      <c r="BA38">
        <v>0</v>
      </c>
      <c r="BB38">
        <v>0</v>
      </c>
      <c r="BC38" t="s">
        <v>1043</v>
      </c>
      <c r="BD38">
        <v>0</v>
      </c>
      <c r="BE38">
        <v>0</v>
      </c>
      <c r="BJ38" t="s">
        <v>1044</v>
      </c>
      <c r="BM38">
        <v>0</v>
      </c>
      <c r="BN38">
        <v>0</v>
      </c>
      <c r="BO38">
        <v>0</v>
      </c>
      <c r="BP38">
        <v>0</v>
      </c>
      <c r="BQ38">
        <v>0</v>
      </c>
      <c r="BR38">
        <v>0</v>
      </c>
      <c r="BS38">
        <v>0</v>
      </c>
      <c r="BU38">
        <v>0.2</v>
      </c>
      <c r="BV38">
        <v>0.37</v>
      </c>
      <c r="BW38">
        <v>0.39</v>
      </c>
      <c r="BX38">
        <v>0.20499999999999999</v>
      </c>
      <c r="BY38">
        <v>0.36499999999999999</v>
      </c>
      <c r="BZ38">
        <v>0.39</v>
      </c>
      <c r="CA38">
        <v>0</v>
      </c>
      <c r="CQ38" t="s">
        <v>2031</v>
      </c>
      <c r="CR38">
        <v>0</v>
      </c>
      <c r="CS38">
        <v>0</v>
      </c>
      <c r="CT38">
        <v>0</v>
      </c>
      <c r="CU38">
        <v>0</v>
      </c>
      <c r="CW38" t="s">
        <v>1043</v>
      </c>
      <c r="CX38">
        <v>0</v>
      </c>
      <c r="CY38">
        <v>0</v>
      </c>
      <c r="CZ38">
        <v>0</v>
      </c>
      <c r="DA38">
        <v>0</v>
      </c>
      <c r="DB38">
        <v>0</v>
      </c>
      <c r="DD38">
        <v>0</v>
      </c>
      <c r="DK38">
        <v>0</v>
      </c>
      <c r="DL38">
        <v>0</v>
      </c>
      <c r="DM38">
        <v>0</v>
      </c>
      <c r="DN38">
        <v>0</v>
      </c>
      <c r="DO38">
        <v>0</v>
      </c>
      <c r="DP38">
        <v>0</v>
      </c>
      <c r="DQ38">
        <v>0</v>
      </c>
      <c r="DR38">
        <v>0</v>
      </c>
      <c r="DS38" t="s">
        <v>1043</v>
      </c>
      <c r="DT38" t="s">
        <v>1044</v>
      </c>
      <c r="DU38" t="s">
        <v>1044</v>
      </c>
      <c r="DW38" t="s">
        <v>1042</v>
      </c>
      <c r="DX38">
        <v>0</v>
      </c>
      <c r="DY38" t="s">
        <v>1043</v>
      </c>
      <c r="DZ38">
        <v>0</v>
      </c>
      <c r="EA38">
        <v>0</v>
      </c>
      <c r="EC38">
        <v>0</v>
      </c>
      <c r="EM38">
        <v>0</v>
      </c>
      <c r="EN38">
        <v>0</v>
      </c>
      <c r="EO38">
        <v>0</v>
      </c>
      <c r="EP38" t="s">
        <v>1043</v>
      </c>
      <c r="EX38" t="s">
        <v>2030</v>
      </c>
      <c r="EY38">
        <v>0</v>
      </c>
      <c r="EZ38">
        <v>0</v>
      </c>
      <c r="FA38">
        <v>0</v>
      </c>
      <c r="FB38">
        <v>1</v>
      </c>
      <c r="FC38" t="s">
        <v>1</v>
      </c>
      <c r="FD38" t="s">
        <v>2029</v>
      </c>
      <c r="FE38" t="s">
        <v>1045</v>
      </c>
      <c r="FF38">
        <v>0</v>
      </c>
      <c r="FG38">
        <v>0</v>
      </c>
      <c r="FH38" t="s">
        <v>1045</v>
      </c>
      <c r="FI38" t="s">
        <v>1045</v>
      </c>
      <c r="FJ38" t="s">
        <v>1043</v>
      </c>
      <c r="FR38">
        <v>0</v>
      </c>
      <c r="FS38">
        <v>0</v>
      </c>
      <c r="GA38" t="s">
        <v>1044</v>
      </c>
      <c r="GB38" t="s">
        <v>1044</v>
      </c>
      <c r="GC38" t="s">
        <v>1045</v>
      </c>
      <c r="GD38">
        <v>0</v>
      </c>
      <c r="GH38" t="s">
        <v>1045</v>
      </c>
      <c r="GI38" t="s">
        <v>2028</v>
      </c>
      <c r="GL38">
        <v>0</v>
      </c>
      <c r="GM38">
        <v>0</v>
      </c>
      <c r="GN38">
        <v>0</v>
      </c>
      <c r="GP38" t="s">
        <v>1042</v>
      </c>
      <c r="GQ38" t="s">
        <v>2027</v>
      </c>
      <c r="GS38" t="s">
        <v>1045</v>
      </c>
      <c r="GU38">
        <v>1</v>
      </c>
      <c r="GV38" t="s">
        <v>1045</v>
      </c>
      <c r="GW38" t="s">
        <v>2026</v>
      </c>
      <c r="GZ38" t="s">
        <v>2025</v>
      </c>
      <c r="HH38">
        <v>0</v>
      </c>
      <c r="HI38">
        <v>0</v>
      </c>
      <c r="HK38" t="s">
        <v>1045</v>
      </c>
      <c r="HL38" t="s">
        <v>1045</v>
      </c>
      <c r="HP38">
        <v>0</v>
      </c>
      <c r="HZ38">
        <v>0</v>
      </c>
      <c r="IB38">
        <v>0</v>
      </c>
      <c r="IC38">
        <v>0</v>
      </c>
      <c r="IG38" t="s">
        <v>1042</v>
      </c>
      <c r="IJ38" t="s">
        <v>1042</v>
      </c>
      <c r="IM38">
        <v>0</v>
      </c>
      <c r="IN38" t="s">
        <v>2024</v>
      </c>
      <c r="IQ38" t="s">
        <v>1045</v>
      </c>
    </row>
    <row r="39" spans="2:251" x14ac:dyDescent="0.35">
      <c r="B39">
        <v>1</v>
      </c>
      <c r="C39">
        <v>1275</v>
      </c>
      <c r="D39">
        <v>0</v>
      </c>
      <c r="E39">
        <v>0</v>
      </c>
      <c r="F39">
        <v>0</v>
      </c>
      <c r="G39">
        <v>0</v>
      </c>
      <c r="H39">
        <v>0</v>
      </c>
      <c r="I39">
        <v>0</v>
      </c>
      <c r="J39" t="s">
        <v>655</v>
      </c>
      <c r="M39">
        <v>53</v>
      </c>
      <c r="Q39">
        <v>9.6999999999999993</v>
      </c>
      <c r="S39">
        <v>35.5</v>
      </c>
      <c r="T39">
        <v>0</v>
      </c>
      <c r="U39">
        <v>0</v>
      </c>
      <c r="W39">
        <v>0</v>
      </c>
      <c r="Y39" t="s">
        <v>1042</v>
      </c>
      <c r="Z39" t="s">
        <v>1042</v>
      </c>
      <c r="AA39" t="s">
        <v>1042</v>
      </c>
      <c r="AB39" t="s">
        <v>1042</v>
      </c>
      <c r="AC39" t="s">
        <v>1042</v>
      </c>
      <c r="AD39" t="s">
        <v>1042</v>
      </c>
      <c r="AE39">
        <v>0</v>
      </c>
      <c r="AG39">
        <v>0</v>
      </c>
      <c r="AH39">
        <v>0</v>
      </c>
      <c r="AI39">
        <v>0</v>
      </c>
      <c r="AJ39">
        <v>0</v>
      </c>
      <c r="AK39" t="s">
        <v>1043</v>
      </c>
      <c r="AM39">
        <v>240</v>
      </c>
      <c r="AO39" t="s">
        <v>1044</v>
      </c>
      <c r="AP39">
        <v>0</v>
      </c>
      <c r="AR39" t="s">
        <v>1047</v>
      </c>
      <c r="AV39">
        <v>0</v>
      </c>
      <c r="AW39">
        <v>0</v>
      </c>
      <c r="AX39">
        <v>0</v>
      </c>
      <c r="AY39">
        <v>0</v>
      </c>
      <c r="AZ39">
        <v>0</v>
      </c>
      <c r="BA39">
        <v>0</v>
      </c>
      <c r="BB39">
        <v>0</v>
      </c>
      <c r="BC39" t="s">
        <v>1043</v>
      </c>
      <c r="BD39">
        <v>0</v>
      </c>
      <c r="BE39">
        <v>0</v>
      </c>
      <c r="BJ39" t="s">
        <v>1044</v>
      </c>
      <c r="BM39">
        <v>0</v>
      </c>
      <c r="BN39">
        <v>0</v>
      </c>
      <c r="BO39">
        <v>0</v>
      </c>
      <c r="BP39">
        <v>0</v>
      </c>
      <c r="BQ39">
        <v>0</v>
      </c>
      <c r="BR39">
        <v>0</v>
      </c>
      <c r="BS39">
        <v>0</v>
      </c>
      <c r="BU39">
        <v>0.21</v>
      </c>
      <c r="BV39">
        <v>0.37</v>
      </c>
      <c r="BW39">
        <v>0.53500000000000003</v>
      </c>
      <c r="BX39">
        <v>0</v>
      </c>
      <c r="BY39">
        <v>0</v>
      </c>
      <c r="BZ39">
        <v>0</v>
      </c>
      <c r="CA39">
        <v>0</v>
      </c>
      <c r="CQ39" t="s">
        <v>2031</v>
      </c>
      <c r="CR39">
        <v>0</v>
      </c>
      <c r="CS39">
        <v>0</v>
      </c>
      <c r="CT39">
        <v>0</v>
      </c>
      <c r="CU39">
        <v>0</v>
      </c>
      <c r="CW39" t="s">
        <v>1043</v>
      </c>
      <c r="CX39">
        <v>0</v>
      </c>
      <c r="CY39">
        <v>0</v>
      </c>
      <c r="CZ39">
        <v>0</v>
      </c>
      <c r="DA39">
        <v>0</v>
      </c>
      <c r="DB39">
        <v>0</v>
      </c>
      <c r="DD39">
        <v>0</v>
      </c>
      <c r="DK39">
        <v>0</v>
      </c>
      <c r="DL39">
        <v>0</v>
      </c>
      <c r="DM39">
        <v>0</v>
      </c>
      <c r="DN39">
        <v>0</v>
      </c>
      <c r="DO39">
        <v>0</v>
      </c>
      <c r="DP39">
        <v>0</v>
      </c>
      <c r="DQ39">
        <v>0</v>
      </c>
      <c r="DR39">
        <v>0</v>
      </c>
      <c r="DS39" t="s">
        <v>1043</v>
      </c>
      <c r="DT39" t="s">
        <v>1044</v>
      </c>
      <c r="DU39" t="s">
        <v>1044</v>
      </c>
      <c r="DW39" t="s">
        <v>1042</v>
      </c>
      <c r="DX39">
        <v>0</v>
      </c>
      <c r="DY39" t="s">
        <v>1043</v>
      </c>
      <c r="DZ39">
        <v>0</v>
      </c>
      <c r="EA39">
        <v>0</v>
      </c>
      <c r="EC39">
        <v>0</v>
      </c>
      <c r="EM39">
        <v>0</v>
      </c>
      <c r="EN39">
        <v>0</v>
      </c>
      <c r="EO39">
        <v>0</v>
      </c>
      <c r="EP39" t="s">
        <v>1043</v>
      </c>
      <c r="EX39" t="s">
        <v>2030</v>
      </c>
      <c r="EY39">
        <v>0</v>
      </c>
      <c r="EZ39">
        <v>0</v>
      </c>
      <c r="FA39">
        <v>0</v>
      </c>
      <c r="FB39">
        <v>1</v>
      </c>
      <c r="FC39" t="s">
        <v>1</v>
      </c>
      <c r="FD39" t="s">
        <v>2029</v>
      </c>
      <c r="FE39" t="s">
        <v>1045</v>
      </c>
      <c r="FF39">
        <v>0</v>
      </c>
      <c r="FG39">
        <v>0</v>
      </c>
      <c r="FH39" t="s">
        <v>1045</v>
      </c>
      <c r="FI39" t="s">
        <v>1045</v>
      </c>
      <c r="FJ39" t="s">
        <v>1043</v>
      </c>
      <c r="FR39">
        <v>0</v>
      </c>
      <c r="FS39">
        <v>0</v>
      </c>
      <c r="GA39" t="s">
        <v>1044</v>
      </c>
      <c r="GB39" t="s">
        <v>1044</v>
      </c>
      <c r="GC39" t="s">
        <v>1045</v>
      </c>
      <c r="GD39">
        <v>0</v>
      </c>
      <c r="GH39" t="s">
        <v>1045</v>
      </c>
      <c r="GI39" t="s">
        <v>2028</v>
      </c>
      <c r="GL39">
        <v>0</v>
      </c>
      <c r="GM39">
        <v>0</v>
      </c>
      <c r="GN39">
        <v>0</v>
      </c>
      <c r="GP39" t="s">
        <v>1042</v>
      </c>
      <c r="GQ39" t="s">
        <v>2027</v>
      </c>
      <c r="GS39" t="s">
        <v>1045</v>
      </c>
      <c r="GU39">
        <v>1</v>
      </c>
      <c r="GV39" t="s">
        <v>1045</v>
      </c>
      <c r="GW39" t="s">
        <v>2026</v>
      </c>
      <c r="GZ39" t="s">
        <v>2025</v>
      </c>
      <c r="HH39">
        <v>0</v>
      </c>
      <c r="HI39">
        <v>0</v>
      </c>
      <c r="HK39" t="s">
        <v>1045</v>
      </c>
      <c r="HL39" t="s">
        <v>1045</v>
      </c>
      <c r="HP39">
        <v>0</v>
      </c>
      <c r="HZ39">
        <v>0</v>
      </c>
      <c r="IB39">
        <v>0</v>
      </c>
      <c r="IC39">
        <v>0</v>
      </c>
      <c r="IG39" t="s">
        <v>1042</v>
      </c>
      <c r="IJ39" t="s">
        <v>1042</v>
      </c>
      <c r="IM39">
        <v>0</v>
      </c>
      <c r="IN39" t="s">
        <v>2024</v>
      </c>
      <c r="IQ39" t="s">
        <v>1045</v>
      </c>
    </row>
    <row r="40" spans="2:251" x14ac:dyDescent="0.35">
      <c r="B40">
        <v>1</v>
      </c>
      <c r="C40">
        <v>1277</v>
      </c>
      <c r="D40">
        <v>0</v>
      </c>
      <c r="E40">
        <v>0</v>
      </c>
      <c r="F40">
        <v>0</v>
      </c>
      <c r="G40">
        <v>0</v>
      </c>
      <c r="H40">
        <v>0</v>
      </c>
      <c r="I40">
        <v>0</v>
      </c>
      <c r="J40" t="s">
        <v>656</v>
      </c>
      <c r="M40">
        <v>27</v>
      </c>
      <c r="Q40">
        <v>9.5</v>
      </c>
      <c r="S40">
        <v>21</v>
      </c>
      <c r="T40">
        <v>0</v>
      </c>
      <c r="U40">
        <v>0</v>
      </c>
      <c r="W40">
        <v>0.83819999999999995</v>
      </c>
      <c r="X40" t="s">
        <v>1085</v>
      </c>
      <c r="Y40" t="s">
        <v>1042</v>
      </c>
      <c r="Z40" t="s">
        <v>1042</v>
      </c>
      <c r="AA40" t="s">
        <v>1042</v>
      </c>
      <c r="AB40" t="s">
        <v>1042</v>
      </c>
      <c r="AC40" t="s">
        <v>1042</v>
      </c>
      <c r="AD40" t="s">
        <v>1042</v>
      </c>
      <c r="AE40">
        <v>0.30499999999999999</v>
      </c>
      <c r="AG40">
        <v>0.42499999999999999</v>
      </c>
      <c r="AH40">
        <v>0</v>
      </c>
      <c r="AI40">
        <v>0</v>
      </c>
      <c r="AJ40">
        <v>0.36499999999999999</v>
      </c>
      <c r="AK40" t="s">
        <v>1043</v>
      </c>
      <c r="AM40">
        <v>240</v>
      </c>
      <c r="AO40" t="s">
        <v>1044</v>
      </c>
      <c r="AP40">
        <v>0</v>
      </c>
      <c r="AR40" t="s">
        <v>1047</v>
      </c>
      <c r="AV40">
        <v>0</v>
      </c>
      <c r="AW40">
        <v>0</v>
      </c>
      <c r="AX40">
        <v>0</v>
      </c>
      <c r="AY40">
        <v>0</v>
      </c>
      <c r="AZ40">
        <v>0</v>
      </c>
      <c r="BA40">
        <v>0</v>
      </c>
      <c r="BB40">
        <v>0</v>
      </c>
      <c r="BC40" t="s">
        <v>1043</v>
      </c>
      <c r="BD40">
        <v>0</v>
      </c>
      <c r="BE40">
        <v>0</v>
      </c>
      <c r="BJ40" t="s">
        <v>1044</v>
      </c>
      <c r="BM40">
        <v>0</v>
      </c>
      <c r="BN40">
        <v>0</v>
      </c>
      <c r="BO40">
        <v>0</v>
      </c>
      <c r="BP40">
        <v>0</v>
      </c>
      <c r="BQ40">
        <v>0</v>
      </c>
      <c r="BR40">
        <v>0</v>
      </c>
      <c r="BS40">
        <v>0</v>
      </c>
      <c r="BU40">
        <v>0.37</v>
      </c>
      <c r="BV40">
        <v>0.31</v>
      </c>
      <c r="BW40">
        <v>0.435</v>
      </c>
      <c r="BX40">
        <v>0</v>
      </c>
      <c r="BY40">
        <v>0</v>
      </c>
      <c r="BZ40">
        <v>0</v>
      </c>
      <c r="CA40">
        <v>0</v>
      </c>
      <c r="CQ40" t="s">
        <v>2031</v>
      </c>
      <c r="CR40">
        <v>0</v>
      </c>
      <c r="CS40">
        <v>0</v>
      </c>
      <c r="CT40">
        <v>0</v>
      </c>
      <c r="CU40">
        <v>0</v>
      </c>
      <c r="CW40" t="s">
        <v>1043</v>
      </c>
      <c r="CX40">
        <v>0</v>
      </c>
      <c r="CY40">
        <v>0</v>
      </c>
      <c r="CZ40">
        <v>0</v>
      </c>
      <c r="DA40">
        <v>0</v>
      </c>
      <c r="DB40">
        <v>0</v>
      </c>
      <c r="DD40">
        <v>0</v>
      </c>
      <c r="DK40">
        <v>0</v>
      </c>
      <c r="DL40">
        <v>0</v>
      </c>
      <c r="DM40">
        <v>0</v>
      </c>
      <c r="DN40">
        <v>0</v>
      </c>
      <c r="DO40">
        <v>0</v>
      </c>
      <c r="DP40">
        <v>0</v>
      </c>
      <c r="DQ40">
        <v>0</v>
      </c>
      <c r="DR40">
        <v>0</v>
      </c>
      <c r="DS40" t="s">
        <v>1043</v>
      </c>
      <c r="DT40" t="s">
        <v>1044</v>
      </c>
      <c r="DU40" t="s">
        <v>1044</v>
      </c>
      <c r="DW40" t="s">
        <v>1042</v>
      </c>
      <c r="DX40">
        <v>0</v>
      </c>
      <c r="DY40" t="s">
        <v>1043</v>
      </c>
      <c r="DZ40">
        <v>0</v>
      </c>
      <c r="EA40">
        <v>0</v>
      </c>
      <c r="EC40">
        <v>0</v>
      </c>
      <c r="EM40">
        <v>0</v>
      </c>
      <c r="EN40">
        <v>0</v>
      </c>
      <c r="EO40">
        <v>0</v>
      </c>
      <c r="EP40" t="s">
        <v>1043</v>
      </c>
      <c r="EX40" t="s">
        <v>2030</v>
      </c>
      <c r="EY40">
        <v>0</v>
      </c>
      <c r="EZ40">
        <v>0</v>
      </c>
      <c r="FA40">
        <v>0</v>
      </c>
      <c r="FB40">
        <v>1</v>
      </c>
      <c r="FC40" t="s">
        <v>1</v>
      </c>
      <c r="FD40" t="s">
        <v>2029</v>
      </c>
      <c r="FE40" t="s">
        <v>1045</v>
      </c>
      <c r="FF40">
        <v>0</v>
      </c>
      <c r="FG40">
        <v>0</v>
      </c>
      <c r="FH40" t="s">
        <v>1045</v>
      </c>
      <c r="FI40" t="s">
        <v>1045</v>
      </c>
      <c r="FJ40" t="s">
        <v>1043</v>
      </c>
      <c r="FR40">
        <v>0</v>
      </c>
      <c r="FS40">
        <v>0</v>
      </c>
      <c r="GA40" t="s">
        <v>1044</v>
      </c>
      <c r="GB40" t="s">
        <v>1044</v>
      </c>
      <c r="GC40" t="s">
        <v>1045</v>
      </c>
      <c r="GD40">
        <v>0</v>
      </c>
      <c r="GH40" t="s">
        <v>1045</v>
      </c>
      <c r="GI40" t="s">
        <v>2028</v>
      </c>
      <c r="GL40">
        <v>0</v>
      </c>
      <c r="GM40">
        <v>0</v>
      </c>
      <c r="GN40">
        <v>0</v>
      </c>
      <c r="GP40" t="s">
        <v>1042</v>
      </c>
      <c r="GQ40" t="s">
        <v>2027</v>
      </c>
      <c r="GS40" t="s">
        <v>1045</v>
      </c>
      <c r="GU40">
        <v>1</v>
      </c>
      <c r="GV40" t="s">
        <v>1045</v>
      </c>
      <c r="GW40" t="s">
        <v>2026</v>
      </c>
      <c r="GZ40" t="s">
        <v>2025</v>
      </c>
      <c r="HH40">
        <v>0</v>
      </c>
      <c r="HI40">
        <v>0</v>
      </c>
      <c r="HK40" t="s">
        <v>1045</v>
      </c>
      <c r="HL40" t="s">
        <v>1045</v>
      </c>
      <c r="HP40">
        <v>0</v>
      </c>
      <c r="HZ40">
        <v>0</v>
      </c>
      <c r="IB40">
        <v>0</v>
      </c>
      <c r="IC40">
        <v>0</v>
      </c>
      <c r="IG40" t="s">
        <v>1042</v>
      </c>
      <c r="IJ40" t="s">
        <v>1042</v>
      </c>
      <c r="IM40">
        <v>0</v>
      </c>
      <c r="IN40" t="s">
        <v>2024</v>
      </c>
      <c r="IO40">
        <v>7897801318235</v>
      </c>
    </row>
    <row r="41" spans="2:251" x14ac:dyDescent="0.35">
      <c r="B41">
        <v>1</v>
      </c>
      <c r="C41">
        <v>1278</v>
      </c>
      <c r="D41">
        <v>0</v>
      </c>
      <c r="E41">
        <v>0</v>
      </c>
      <c r="F41">
        <v>0</v>
      </c>
      <c r="G41">
        <v>0</v>
      </c>
      <c r="H41">
        <v>0</v>
      </c>
      <c r="I41">
        <v>0</v>
      </c>
      <c r="J41" t="s">
        <v>657</v>
      </c>
      <c r="M41">
        <v>34.799999999999997</v>
      </c>
      <c r="Q41">
        <v>9.5</v>
      </c>
      <c r="S41">
        <v>22.8</v>
      </c>
      <c r="T41">
        <v>0</v>
      </c>
      <c r="U41">
        <v>0</v>
      </c>
      <c r="W41">
        <v>1.1720999999999999</v>
      </c>
      <c r="X41" t="s">
        <v>1085</v>
      </c>
      <c r="Y41" t="s">
        <v>1042</v>
      </c>
      <c r="Z41" t="s">
        <v>1042</v>
      </c>
      <c r="AA41" t="s">
        <v>1042</v>
      </c>
      <c r="AB41" t="s">
        <v>1042</v>
      </c>
      <c r="AC41" t="s">
        <v>1042</v>
      </c>
      <c r="AD41" t="s">
        <v>1042</v>
      </c>
      <c r="AE41">
        <v>0</v>
      </c>
      <c r="AG41">
        <v>0</v>
      </c>
      <c r="AH41">
        <v>0</v>
      </c>
      <c r="AI41">
        <v>0</v>
      </c>
      <c r="AJ41">
        <v>0</v>
      </c>
      <c r="AK41" t="s">
        <v>1043</v>
      </c>
      <c r="AM41">
        <v>240</v>
      </c>
      <c r="AO41" t="s">
        <v>1044</v>
      </c>
      <c r="AP41">
        <v>0</v>
      </c>
      <c r="AR41" t="s">
        <v>1047</v>
      </c>
      <c r="AV41">
        <v>0</v>
      </c>
      <c r="AW41">
        <v>0</v>
      </c>
      <c r="AX41">
        <v>0</v>
      </c>
      <c r="AY41">
        <v>0</v>
      </c>
      <c r="AZ41">
        <v>0</v>
      </c>
      <c r="BA41">
        <v>0</v>
      </c>
      <c r="BB41">
        <v>0</v>
      </c>
      <c r="BC41" t="s">
        <v>1043</v>
      </c>
      <c r="BD41">
        <v>0</v>
      </c>
      <c r="BE41">
        <v>0</v>
      </c>
      <c r="BJ41" t="s">
        <v>1044</v>
      </c>
      <c r="BM41">
        <v>0</v>
      </c>
      <c r="BN41">
        <v>0</v>
      </c>
      <c r="BO41">
        <v>0</v>
      </c>
      <c r="BP41">
        <v>0</v>
      </c>
      <c r="BQ41">
        <v>0</v>
      </c>
      <c r="BR41">
        <v>0</v>
      </c>
      <c r="BS41">
        <v>0</v>
      </c>
      <c r="BU41">
        <v>0.20499999999999999</v>
      </c>
      <c r="BV41">
        <v>0.37</v>
      </c>
      <c r="BW41">
        <v>0.44</v>
      </c>
      <c r="BX41">
        <v>0</v>
      </c>
      <c r="BY41">
        <v>0</v>
      </c>
      <c r="BZ41">
        <v>0</v>
      </c>
      <c r="CA41">
        <v>0</v>
      </c>
      <c r="CQ41" t="s">
        <v>2031</v>
      </c>
      <c r="CR41">
        <v>0</v>
      </c>
      <c r="CS41">
        <v>0</v>
      </c>
      <c r="CT41">
        <v>0</v>
      </c>
      <c r="CU41">
        <v>0</v>
      </c>
      <c r="CW41" t="s">
        <v>1043</v>
      </c>
      <c r="CX41">
        <v>0</v>
      </c>
      <c r="CY41">
        <v>0</v>
      </c>
      <c r="CZ41">
        <v>0</v>
      </c>
      <c r="DA41">
        <v>0</v>
      </c>
      <c r="DB41">
        <v>0</v>
      </c>
      <c r="DD41">
        <v>0</v>
      </c>
      <c r="DK41">
        <v>0</v>
      </c>
      <c r="DL41">
        <v>0</v>
      </c>
      <c r="DM41">
        <v>0</v>
      </c>
      <c r="DN41">
        <v>0</v>
      </c>
      <c r="DO41">
        <v>0</v>
      </c>
      <c r="DP41">
        <v>0</v>
      </c>
      <c r="DQ41">
        <v>0</v>
      </c>
      <c r="DR41">
        <v>0</v>
      </c>
      <c r="DS41" t="s">
        <v>1043</v>
      </c>
      <c r="DT41" t="s">
        <v>1044</v>
      </c>
      <c r="DU41" t="s">
        <v>1044</v>
      </c>
      <c r="DW41" t="s">
        <v>1042</v>
      </c>
      <c r="DX41">
        <v>0</v>
      </c>
      <c r="DY41" t="s">
        <v>1043</v>
      </c>
      <c r="DZ41">
        <v>0</v>
      </c>
      <c r="EA41">
        <v>0</v>
      </c>
      <c r="EC41">
        <v>0</v>
      </c>
      <c r="EM41">
        <v>0</v>
      </c>
      <c r="EN41">
        <v>0</v>
      </c>
      <c r="EO41">
        <v>0</v>
      </c>
      <c r="EP41" t="s">
        <v>1043</v>
      </c>
      <c r="EX41" t="s">
        <v>2030</v>
      </c>
      <c r="EY41">
        <v>0</v>
      </c>
      <c r="EZ41">
        <v>0</v>
      </c>
      <c r="FA41">
        <v>0</v>
      </c>
      <c r="FB41">
        <v>1</v>
      </c>
      <c r="FC41" t="s">
        <v>1</v>
      </c>
      <c r="FD41" t="s">
        <v>2029</v>
      </c>
      <c r="FE41" t="s">
        <v>1045</v>
      </c>
      <c r="FF41">
        <v>0</v>
      </c>
      <c r="FG41">
        <v>0</v>
      </c>
      <c r="FH41" t="s">
        <v>1045</v>
      </c>
      <c r="FI41" t="s">
        <v>1045</v>
      </c>
      <c r="FJ41" t="s">
        <v>1043</v>
      </c>
      <c r="FR41">
        <v>0</v>
      </c>
      <c r="FS41">
        <v>0</v>
      </c>
      <c r="GA41" t="s">
        <v>1044</v>
      </c>
      <c r="GB41" t="s">
        <v>1044</v>
      </c>
      <c r="GC41" t="s">
        <v>1045</v>
      </c>
      <c r="GD41">
        <v>0</v>
      </c>
      <c r="GH41" t="s">
        <v>1045</v>
      </c>
      <c r="GI41" t="s">
        <v>2028</v>
      </c>
      <c r="GL41">
        <v>0</v>
      </c>
      <c r="GM41">
        <v>0</v>
      </c>
      <c r="GN41">
        <v>0</v>
      </c>
      <c r="GP41" t="s">
        <v>1042</v>
      </c>
      <c r="GQ41" t="s">
        <v>2027</v>
      </c>
      <c r="GS41" t="s">
        <v>1045</v>
      </c>
      <c r="GU41">
        <v>1</v>
      </c>
      <c r="GV41" t="s">
        <v>1045</v>
      </c>
      <c r="GW41" t="s">
        <v>2026</v>
      </c>
      <c r="GZ41" t="s">
        <v>2025</v>
      </c>
      <c r="HH41">
        <v>0</v>
      </c>
      <c r="HI41">
        <v>0</v>
      </c>
      <c r="HK41" t="s">
        <v>1045</v>
      </c>
      <c r="HL41" t="s">
        <v>1045</v>
      </c>
      <c r="HP41">
        <v>0</v>
      </c>
      <c r="HZ41">
        <v>0</v>
      </c>
      <c r="IB41">
        <v>0</v>
      </c>
      <c r="IC41">
        <v>0</v>
      </c>
      <c r="IG41" t="s">
        <v>1042</v>
      </c>
      <c r="IJ41" t="s">
        <v>1042</v>
      </c>
      <c r="IM41">
        <v>0</v>
      </c>
      <c r="IN41" t="s">
        <v>2024</v>
      </c>
      <c r="IO41">
        <v>7897801318242</v>
      </c>
      <c r="IQ41" t="s">
        <v>1045</v>
      </c>
    </row>
    <row r="42" spans="2:251" x14ac:dyDescent="0.35">
      <c r="B42">
        <v>1</v>
      </c>
      <c r="C42">
        <v>1279</v>
      </c>
      <c r="D42">
        <v>0</v>
      </c>
      <c r="E42">
        <v>0</v>
      </c>
      <c r="F42">
        <v>0</v>
      </c>
      <c r="G42">
        <v>0</v>
      </c>
      <c r="H42">
        <v>0</v>
      </c>
      <c r="I42">
        <v>0</v>
      </c>
      <c r="J42" t="s">
        <v>658</v>
      </c>
      <c r="L42" t="s">
        <v>1043</v>
      </c>
      <c r="M42">
        <v>41.5</v>
      </c>
      <c r="Q42">
        <v>9.5</v>
      </c>
      <c r="S42">
        <v>23.5</v>
      </c>
      <c r="T42">
        <v>0</v>
      </c>
      <c r="U42">
        <v>0</v>
      </c>
      <c r="W42">
        <v>1.5664</v>
      </c>
      <c r="X42" t="s">
        <v>1085</v>
      </c>
      <c r="Y42" t="s">
        <v>1042</v>
      </c>
      <c r="Z42" t="s">
        <v>1042</v>
      </c>
      <c r="AA42" t="s">
        <v>1042</v>
      </c>
      <c r="AB42" t="s">
        <v>1042</v>
      </c>
      <c r="AC42" t="s">
        <v>1042</v>
      </c>
      <c r="AD42" t="s">
        <v>1042</v>
      </c>
      <c r="AE42">
        <v>0.42499999999999999</v>
      </c>
      <c r="AG42">
        <v>0.46500000000000002</v>
      </c>
      <c r="AH42">
        <v>0</v>
      </c>
      <c r="AI42">
        <v>0</v>
      </c>
      <c r="AJ42">
        <v>0.2</v>
      </c>
      <c r="AK42" t="s">
        <v>1043</v>
      </c>
      <c r="AM42">
        <v>240</v>
      </c>
      <c r="AO42" t="s">
        <v>1044</v>
      </c>
      <c r="AP42">
        <v>0</v>
      </c>
      <c r="AR42" t="s">
        <v>1047</v>
      </c>
      <c r="AV42">
        <v>0</v>
      </c>
      <c r="AW42">
        <v>0</v>
      </c>
      <c r="AX42">
        <v>0</v>
      </c>
      <c r="AY42">
        <v>0</v>
      </c>
      <c r="AZ42">
        <v>0</v>
      </c>
      <c r="BA42">
        <v>0</v>
      </c>
      <c r="BB42">
        <v>0</v>
      </c>
      <c r="BC42" t="s">
        <v>1043</v>
      </c>
      <c r="BD42">
        <v>0</v>
      </c>
      <c r="BE42">
        <v>0</v>
      </c>
      <c r="BJ42" t="s">
        <v>1044</v>
      </c>
      <c r="BM42">
        <v>0</v>
      </c>
      <c r="BN42">
        <v>0</v>
      </c>
      <c r="BO42">
        <v>0</v>
      </c>
      <c r="BP42">
        <v>0</v>
      </c>
      <c r="BQ42">
        <v>0</v>
      </c>
      <c r="BR42">
        <v>0</v>
      </c>
      <c r="BS42">
        <v>0</v>
      </c>
      <c r="BU42">
        <v>0.37</v>
      </c>
      <c r="BV42">
        <v>0.31</v>
      </c>
      <c r="BW42">
        <v>0.47499999999999998</v>
      </c>
      <c r="BX42">
        <v>0</v>
      </c>
      <c r="BY42">
        <v>0</v>
      </c>
      <c r="BZ42">
        <v>0</v>
      </c>
      <c r="CA42">
        <v>0</v>
      </c>
      <c r="CQ42" t="s">
        <v>2031</v>
      </c>
      <c r="CR42">
        <v>0</v>
      </c>
      <c r="CS42">
        <v>0</v>
      </c>
      <c r="CT42">
        <v>0</v>
      </c>
      <c r="CU42">
        <v>0</v>
      </c>
      <c r="CW42" t="s">
        <v>1043</v>
      </c>
      <c r="CX42">
        <v>0</v>
      </c>
      <c r="CY42">
        <v>0</v>
      </c>
      <c r="CZ42">
        <v>0</v>
      </c>
      <c r="DA42">
        <v>0</v>
      </c>
      <c r="DB42">
        <v>0</v>
      </c>
      <c r="DD42">
        <v>0</v>
      </c>
      <c r="DK42">
        <v>0</v>
      </c>
      <c r="DL42">
        <v>0</v>
      </c>
      <c r="DM42">
        <v>0</v>
      </c>
      <c r="DN42">
        <v>0</v>
      </c>
      <c r="DO42">
        <v>0</v>
      </c>
      <c r="DP42">
        <v>0</v>
      </c>
      <c r="DQ42">
        <v>0</v>
      </c>
      <c r="DR42">
        <v>0</v>
      </c>
      <c r="DS42" t="s">
        <v>1043</v>
      </c>
      <c r="DT42" t="s">
        <v>1044</v>
      </c>
      <c r="DU42" t="s">
        <v>1044</v>
      </c>
      <c r="DW42" t="s">
        <v>1042</v>
      </c>
      <c r="DX42">
        <v>0</v>
      </c>
      <c r="DY42" t="s">
        <v>1043</v>
      </c>
      <c r="DZ42">
        <v>0</v>
      </c>
      <c r="EA42">
        <v>0</v>
      </c>
      <c r="EC42">
        <v>0</v>
      </c>
      <c r="EM42">
        <v>0</v>
      </c>
      <c r="EN42">
        <v>0</v>
      </c>
      <c r="EO42">
        <v>0</v>
      </c>
      <c r="EP42" t="s">
        <v>1043</v>
      </c>
      <c r="EX42" t="s">
        <v>2030</v>
      </c>
      <c r="EY42">
        <v>0</v>
      </c>
      <c r="EZ42">
        <v>0</v>
      </c>
      <c r="FA42">
        <v>0</v>
      </c>
      <c r="FB42">
        <v>1</v>
      </c>
      <c r="FC42" t="s">
        <v>1</v>
      </c>
      <c r="FD42" t="s">
        <v>2029</v>
      </c>
      <c r="FE42" t="s">
        <v>1045</v>
      </c>
      <c r="FF42">
        <v>0</v>
      </c>
      <c r="FG42">
        <v>0</v>
      </c>
      <c r="FH42" t="s">
        <v>1045</v>
      </c>
      <c r="FI42" t="s">
        <v>1045</v>
      </c>
      <c r="FJ42" t="s">
        <v>1043</v>
      </c>
      <c r="FR42">
        <v>0</v>
      </c>
      <c r="FS42">
        <v>0</v>
      </c>
      <c r="GA42" t="s">
        <v>1044</v>
      </c>
      <c r="GB42" t="s">
        <v>1044</v>
      </c>
      <c r="GC42" t="s">
        <v>1045</v>
      </c>
      <c r="GD42">
        <v>0</v>
      </c>
      <c r="GH42" t="s">
        <v>1045</v>
      </c>
      <c r="GI42" t="s">
        <v>2028</v>
      </c>
      <c r="GL42">
        <v>0</v>
      </c>
      <c r="GM42">
        <v>0</v>
      </c>
      <c r="GN42">
        <v>0</v>
      </c>
      <c r="GP42" t="s">
        <v>1042</v>
      </c>
      <c r="GQ42" t="s">
        <v>2027</v>
      </c>
      <c r="GS42" t="s">
        <v>1045</v>
      </c>
      <c r="GU42">
        <v>1</v>
      </c>
      <c r="GV42" t="s">
        <v>1045</v>
      </c>
      <c r="GW42" t="s">
        <v>2026</v>
      </c>
      <c r="GZ42" t="s">
        <v>2025</v>
      </c>
      <c r="HH42">
        <v>0</v>
      </c>
      <c r="HI42">
        <v>0</v>
      </c>
      <c r="HK42" t="s">
        <v>1045</v>
      </c>
      <c r="HL42" t="s">
        <v>1045</v>
      </c>
      <c r="HP42">
        <v>0</v>
      </c>
      <c r="HZ42">
        <v>0</v>
      </c>
      <c r="IB42">
        <v>0</v>
      </c>
      <c r="IC42">
        <v>0</v>
      </c>
      <c r="IG42" t="s">
        <v>1042</v>
      </c>
      <c r="IJ42" t="s">
        <v>1042</v>
      </c>
      <c r="IM42">
        <v>0</v>
      </c>
      <c r="IN42" t="s">
        <v>2024</v>
      </c>
      <c r="IO42">
        <v>7897801318259</v>
      </c>
    </row>
    <row r="43" spans="2:251" x14ac:dyDescent="0.35">
      <c r="B43">
        <v>1</v>
      </c>
      <c r="C43">
        <v>1280</v>
      </c>
      <c r="D43">
        <v>0</v>
      </c>
      <c r="E43">
        <v>0</v>
      </c>
      <c r="F43">
        <v>0</v>
      </c>
      <c r="G43">
        <v>0</v>
      </c>
      <c r="H43">
        <v>0</v>
      </c>
      <c r="I43">
        <v>0</v>
      </c>
      <c r="J43" t="s">
        <v>659</v>
      </c>
      <c r="M43">
        <v>38.5</v>
      </c>
      <c r="O43" t="s">
        <v>2058</v>
      </c>
      <c r="P43" t="s">
        <v>2057</v>
      </c>
      <c r="Q43">
        <v>9.8000000000000007</v>
      </c>
      <c r="S43">
        <v>33.5</v>
      </c>
      <c r="T43">
        <v>2</v>
      </c>
      <c r="U43">
        <v>0</v>
      </c>
      <c r="W43">
        <v>0.72270000000000001</v>
      </c>
      <c r="X43" t="s">
        <v>1085</v>
      </c>
      <c r="Y43" t="s">
        <v>1042</v>
      </c>
      <c r="Z43" t="s">
        <v>1042</v>
      </c>
      <c r="AA43" t="s">
        <v>1042</v>
      </c>
      <c r="AB43" t="s">
        <v>1042</v>
      </c>
      <c r="AC43" t="s">
        <v>1042</v>
      </c>
      <c r="AD43" t="s">
        <v>1042</v>
      </c>
      <c r="AE43">
        <v>9.8000000000000004E-2</v>
      </c>
      <c r="AG43">
        <v>0.38500000000000001</v>
      </c>
      <c r="AH43">
        <v>0</v>
      </c>
      <c r="AI43">
        <v>0</v>
      </c>
      <c r="AJ43">
        <v>0.33500000000000002</v>
      </c>
      <c r="AK43" t="s">
        <v>1043</v>
      </c>
      <c r="AM43">
        <v>240</v>
      </c>
      <c r="AO43" t="s">
        <v>1044</v>
      </c>
      <c r="AP43">
        <v>0</v>
      </c>
      <c r="AR43" t="s">
        <v>1047</v>
      </c>
      <c r="AV43">
        <v>0</v>
      </c>
      <c r="AW43">
        <v>0</v>
      </c>
      <c r="AX43">
        <v>0</v>
      </c>
      <c r="AY43">
        <v>0</v>
      </c>
      <c r="AZ43">
        <v>0</v>
      </c>
      <c r="BA43">
        <v>0</v>
      </c>
      <c r="BB43">
        <v>0</v>
      </c>
      <c r="BC43" t="s">
        <v>1043</v>
      </c>
      <c r="BD43">
        <v>0</v>
      </c>
      <c r="BE43">
        <v>0</v>
      </c>
      <c r="BJ43" t="s">
        <v>1044</v>
      </c>
      <c r="BM43">
        <v>0</v>
      </c>
      <c r="BN43">
        <v>0</v>
      </c>
      <c r="BO43">
        <v>0</v>
      </c>
      <c r="BP43">
        <v>0</v>
      </c>
      <c r="BQ43">
        <v>0</v>
      </c>
      <c r="BR43">
        <v>0</v>
      </c>
      <c r="BS43">
        <v>0</v>
      </c>
      <c r="BU43">
        <v>0.2</v>
      </c>
      <c r="BV43">
        <v>0.37</v>
      </c>
      <c r="BW43">
        <v>0.39</v>
      </c>
      <c r="BX43">
        <v>0.2</v>
      </c>
      <c r="BY43">
        <v>0.37</v>
      </c>
      <c r="BZ43">
        <v>0.39</v>
      </c>
      <c r="CA43">
        <v>0</v>
      </c>
      <c r="CQ43" t="s">
        <v>2031</v>
      </c>
      <c r="CR43">
        <v>0</v>
      </c>
      <c r="CS43">
        <v>0</v>
      </c>
      <c r="CT43">
        <v>0</v>
      </c>
      <c r="CU43">
        <v>0</v>
      </c>
      <c r="CW43" t="s">
        <v>1043</v>
      </c>
      <c r="CX43">
        <v>0</v>
      </c>
      <c r="CY43">
        <v>0</v>
      </c>
      <c r="CZ43">
        <v>0</v>
      </c>
      <c r="DA43">
        <v>0</v>
      </c>
      <c r="DB43">
        <v>0</v>
      </c>
      <c r="DD43">
        <v>0</v>
      </c>
      <c r="DK43">
        <v>0</v>
      </c>
      <c r="DL43">
        <v>0</v>
      </c>
      <c r="DM43">
        <v>0</v>
      </c>
      <c r="DN43">
        <v>0</v>
      </c>
      <c r="DO43">
        <v>0</v>
      </c>
      <c r="DP43">
        <v>0</v>
      </c>
      <c r="DQ43">
        <v>0</v>
      </c>
      <c r="DR43">
        <v>0</v>
      </c>
      <c r="DS43" t="s">
        <v>1043</v>
      </c>
      <c r="DT43" t="s">
        <v>1044</v>
      </c>
      <c r="DU43" t="s">
        <v>1044</v>
      </c>
      <c r="DW43" t="s">
        <v>1042</v>
      </c>
      <c r="DX43">
        <v>0</v>
      </c>
      <c r="DY43" t="s">
        <v>1043</v>
      </c>
      <c r="DZ43">
        <v>0</v>
      </c>
      <c r="EA43">
        <v>0</v>
      </c>
      <c r="EC43">
        <v>0</v>
      </c>
      <c r="EM43">
        <v>0</v>
      </c>
      <c r="EN43">
        <v>0</v>
      </c>
      <c r="EO43">
        <v>0</v>
      </c>
      <c r="EP43" t="s">
        <v>1043</v>
      </c>
      <c r="EX43" t="s">
        <v>2030</v>
      </c>
      <c r="EY43">
        <v>0</v>
      </c>
      <c r="EZ43">
        <v>0</v>
      </c>
      <c r="FA43">
        <v>0</v>
      </c>
      <c r="FB43">
        <v>1</v>
      </c>
      <c r="FC43" t="s">
        <v>1</v>
      </c>
      <c r="FD43" t="s">
        <v>2029</v>
      </c>
      <c r="FE43" t="s">
        <v>1045</v>
      </c>
      <c r="FF43">
        <v>0</v>
      </c>
      <c r="FG43">
        <v>0</v>
      </c>
      <c r="FH43" t="s">
        <v>1045</v>
      </c>
      <c r="FI43" t="s">
        <v>1045</v>
      </c>
      <c r="FJ43" t="s">
        <v>1043</v>
      </c>
      <c r="FR43">
        <v>0</v>
      </c>
      <c r="FS43">
        <v>0</v>
      </c>
      <c r="GA43" t="s">
        <v>1044</v>
      </c>
      <c r="GB43" t="s">
        <v>1044</v>
      </c>
      <c r="GC43" t="s">
        <v>1045</v>
      </c>
      <c r="GD43">
        <v>0</v>
      </c>
      <c r="GH43" t="s">
        <v>1045</v>
      </c>
      <c r="GI43" t="s">
        <v>2028</v>
      </c>
      <c r="GL43">
        <v>0</v>
      </c>
      <c r="GM43">
        <v>0</v>
      </c>
      <c r="GN43">
        <v>0</v>
      </c>
      <c r="GP43" t="s">
        <v>1042</v>
      </c>
      <c r="GQ43" t="s">
        <v>2027</v>
      </c>
      <c r="GS43" t="s">
        <v>1045</v>
      </c>
      <c r="GU43">
        <v>1</v>
      </c>
      <c r="GV43" t="s">
        <v>1045</v>
      </c>
      <c r="GW43" t="s">
        <v>2026</v>
      </c>
      <c r="GZ43" t="s">
        <v>2025</v>
      </c>
      <c r="HH43">
        <v>0</v>
      </c>
      <c r="HI43">
        <v>0</v>
      </c>
      <c r="HK43" t="s">
        <v>1045</v>
      </c>
      <c r="HL43" t="s">
        <v>1045</v>
      </c>
      <c r="HP43">
        <v>0</v>
      </c>
      <c r="HZ43">
        <v>0</v>
      </c>
      <c r="IB43">
        <v>0</v>
      </c>
      <c r="IC43">
        <v>0</v>
      </c>
      <c r="IG43" t="s">
        <v>1042</v>
      </c>
      <c r="IJ43" t="s">
        <v>1042</v>
      </c>
      <c r="IM43">
        <v>0</v>
      </c>
      <c r="IN43" t="s">
        <v>2024</v>
      </c>
      <c r="IO43">
        <v>7897801318266</v>
      </c>
      <c r="IQ43" t="s">
        <v>1045</v>
      </c>
    </row>
    <row r="44" spans="2:251" x14ac:dyDescent="0.35">
      <c r="B44">
        <v>1</v>
      </c>
      <c r="C44">
        <v>1281</v>
      </c>
      <c r="D44">
        <v>0</v>
      </c>
      <c r="E44">
        <v>0</v>
      </c>
      <c r="F44">
        <v>0</v>
      </c>
      <c r="G44">
        <v>0</v>
      </c>
      <c r="H44">
        <v>0</v>
      </c>
      <c r="I44">
        <v>0</v>
      </c>
      <c r="J44" t="s">
        <v>660</v>
      </c>
      <c r="M44">
        <v>53</v>
      </c>
      <c r="Q44">
        <v>9.6999999999999993</v>
      </c>
      <c r="S44">
        <v>35.5</v>
      </c>
      <c r="T44">
        <v>0</v>
      </c>
      <c r="U44">
        <v>0</v>
      </c>
      <c r="W44">
        <v>3.4575</v>
      </c>
      <c r="X44" t="s">
        <v>1085</v>
      </c>
      <c r="Y44" t="s">
        <v>1042</v>
      </c>
      <c r="Z44" t="s">
        <v>1042</v>
      </c>
      <c r="AA44" t="s">
        <v>1042</v>
      </c>
      <c r="AB44" t="s">
        <v>1042</v>
      </c>
      <c r="AC44" t="s">
        <v>1042</v>
      </c>
      <c r="AD44" t="s">
        <v>1042</v>
      </c>
      <c r="AE44">
        <v>0</v>
      </c>
      <c r="AG44">
        <v>0</v>
      </c>
      <c r="AH44">
        <v>0</v>
      </c>
      <c r="AI44">
        <v>0</v>
      </c>
      <c r="AJ44">
        <v>0</v>
      </c>
      <c r="AK44" t="s">
        <v>1043</v>
      </c>
      <c r="AM44">
        <v>240</v>
      </c>
      <c r="AO44" t="s">
        <v>1044</v>
      </c>
      <c r="AP44">
        <v>0</v>
      </c>
      <c r="AR44" t="s">
        <v>1047</v>
      </c>
      <c r="AV44">
        <v>0</v>
      </c>
      <c r="AW44">
        <v>0</v>
      </c>
      <c r="AX44">
        <v>0</v>
      </c>
      <c r="AY44">
        <v>0</v>
      </c>
      <c r="AZ44">
        <v>0</v>
      </c>
      <c r="BA44">
        <v>0</v>
      </c>
      <c r="BB44">
        <v>0</v>
      </c>
      <c r="BC44" t="s">
        <v>1043</v>
      </c>
      <c r="BD44">
        <v>0</v>
      </c>
      <c r="BE44">
        <v>0</v>
      </c>
      <c r="BJ44" t="s">
        <v>1044</v>
      </c>
      <c r="BM44">
        <v>0</v>
      </c>
      <c r="BN44">
        <v>0</v>
      </c>
      <c r="BO44">
        <v>0</v>
      </c>
      <c r="BP44">
        <v>0</v>
      </c>
      <c r="BQ44">
        <v>0</v>
      </c>
      <c r="BR44">
        <v>0</v>
      </c>
      <c r="BS44">
        <v>0</v>
      </c>
      <c r="BU44">
        <v>0.21</v>
      </c>
      <c r="BV44">
        <v>0.374</v>
      </c>
      <c r="BW44">
        <v>0.53500000000000003</v>
      </c>
      <c r="BX44">
        <v>0</v>
      </c>
      <c r="BY44">
        <v>0</v>
      </c>
      <c r="BZ44">
        <v>0</v>
      </c>
      <c r="CA44">
        <v>0</v>
      </c>
      <c r="CQ44" t="s">
        <v>2031</v>
      </c>
      <c r="CR44">
        <v>0</v>
      </c>
      <c r="CS44">
        <v>0</v>
      </c>
      <c r="CT44">
        <v>0</v>
      </c>
      <c r="CU44">
        <v>0</v>
      </c>
      <c r="CW44" t="s">
        <v>1043</v>
      </c>
      <c r="CX44">
        <v>0</v>
      </c>
      <c r="CY44">
        <v>0</v>
      </c>
      <c r="CZ44">
        <v>0</v>
      </c>
      <c r="DA44">
        <v>0</v>
      </c>
      <c r="DB44">
        <v>0</v>
      </c>
      <c r="DD44">
        <v>0</v>
      </c>
      <c r="DK44">
        <v>0</v>
      </c>
      <c r="DL44">
        <v>0</v>
      </c>
      <c r="DM44">
        <v>0</v>
      </c>
      <c r="DN44">
        <v>0</v>
      </c>
      <c r="DO44">
        <v>0</v>
      </c>
      <c r="DP44">
        <v>0</v>
      </c>
      <c r="DQ44">
        <v>0</v>
      </c>
      <c r="DR44">
        <v>0</v>
      </c>
      <c r="DS44" t="s">
        <v>1043</v>
      </c>
      <c r="DT44" t="s">
        <v>1044</v>
      </c>
      <c r="DU44" t="s">
        <v>1044</v>
      </c>
      <c r="DW44" t="s">
        <v>1042</v>
      </c>
      <c r="DX44">
        <v>0</v>
      </c>
      <c r="DY44" t="s">
        <v>1043</v>
      </c>
      <c r="DZ44">
        <v>0</v>
      </c>
      <c r="EA44">
        <v>0</v>
      </c>
      <c r="EC44">
        <v>0</v>
      </c>
      <c r="EM44">
        <v>0</v>
      </c>
      <c r="EN44">
        <v>0</v>
      </c>
      <c r="EO44">
        <v>0</v>
      </c>
      <c r="EP44" t="s">
        <v>1043</v>
      </c>
      <c r="EX44" t="s">
        <v>2030</v>
      </c>
      <c r="EY44">
        <v>0</v>
      </c>
      <c r="EZ44">
        <v>0</v>
      </c>
      <c r="FA44">
        <v>0</v>
      </c>
      <c r="FB44">
        <v>1</v>
      </c>
      <c r="FC44" t="s">
        <v>1</v>
      </c>
      <c r="FD44" t="s">
        <v>2029</v>
      </c>
      <c r="FE44" t="s">
        <v>1045</v>
      </c>
      <c r="FF44">
        <v>0</v>
      </c>
      <c r="FG44">
        <v>0</v>
      </c>
      <c r="FH44" t="s">
        <v>1045</v>
      </c>
      <c r="FI44" t="s">
        <v>1045</v>
      </c>
      <c r="FJ44" t="s">
        <v>1043</v>
      </c>
      <c r="FR44">
        <v>0</v>
      </c>
      <c r="FS44">
        <v>0</v>
      </c>
      <c r="GA44" t="s">
        <v>1044</v>
      </c>
      <c r="GB44" t="s">
        <v>1044</v>
      </c>
      <c r="GC44" t="s">
        <v>1045</v>
      </c>
      <c r="GD44">
        <v>0</v>
      </c>
      <c r="GH44" t="s">
        <v>1045</v>
      </c>
      <c r="GI44" t="s">
        <v>2028</v>
      </c>
      <c r="GL44">
        <v>0</v>
      </c>
      <c r="GM44">
        <v>0</v>
      </c>
      <c r="GN44">
        <v>0</v>
      </c>
      <c r="GP44" t="s">
        <v>1042</v>
      </c>
      <c r="GQ44" t="s">
        <v>2027</v>
      </c>
      <c r="GS44" t="s">
        <v>1045</v>
      </c>
      <c r="GU44">
        <v>1</v>
      </c>
      <c r="GV44" t="s">
        <v>1045</v>
      </c>
      <c r="GW44" t="s">
        <v>2026</v>
      </c>
      <c r="GZ44" t="s">
        <v>2025</v>
      </c>
      <c r="HH44">
        <v>0</v>
      </c>
      <c r="HI44">
        <v>0</v>
      </c>
      <c r="HK44" t="s">
        <v>1045</v>
      </c>
      <c r="HL44" t="s">
        <v>1045</v>
      </c>
      <c r="HP44">
        <v>0</v>
      </c>
      <c r="HZ44">
        <v>0</v>
      </c>
      <c r="IB44">
        <v>0</v>
      </c>
      <c r="IC44">
        <v>0</v>
      </c>
      <c r="IG44" t="s">
        <v>1042</v>
      </c>
      <c r="IJ44" t="s">
        <v>1042</v>
      </c>
      <c r="IM44">
        <v>0</v>
      </c>
      <c r="IN44" t="s">
        <v>2024</v>
      </c>
      <c r="IO44">
        <v>7897801318273</v>
      </c>
      <c r="IQ44" t="s">
        <v>1045</v>
      </c>
    </row>
    <row r="45" spans="2:251" x14ac:dyDescent="0.35">
      <c r="B45">
        <v>1</v>
      </c>
      <c r="C45">
        <v>1283</v>
      </c>
      <c r="D45">
        <v>0</v>
      </c>
      <c r="E45">
        <v>0</v>
      </c>
      <c r="F45">
        <v>0</v>
      </c>
      <c r="G45">
        <v>0</v>
      </c>
      <c r="H45">
        <v>0</v>
      </c>
      <c r="I45">
        <v>0</v>
      </c>
      <c r="J45" t="s">
        <v>661</v>
      </c>
      <c r="M45">
        <v>20</v>
      </c>
      <c r="Q45">
        <v>9.5</v>
      </c>
      <c r="S45">
        <v>18.5</v>
      </c>
      <c r="T45">
        <v>0</v>
      </c>
      <c r="U45">
        <v>0</v>
      </c>
      <c r="W45">
        <v>0</v>
      </c>
      <c r="Y45" t="s">
        <v>1042</v>
      </c>
      <c r="Z45" t="s">
        <v>1042</v>
      </c>
      <c r="AA45" t="s">
        <v>1042</v>
      </c>
      <c r="AB45" t="s">
        <v>1042</v>
      </c>
      <c r="AC45" t="s">
        <v>1042</v>
      </c>
      <c r="AD45" t="s">
        <v>1042</v>
      </c>
      <c r="AE45">
        <v>0</v>
      </c>
      <c r="AG45">
        <v>0</v>
      </c>
      <c r="AH45">
        <v>0</v>
      </c>
      <c r="AI45">
        <v>0</v>
      </c>
      <c r="AJ45">
        <v>0</v>
      </c>
      <c r="AK45" t="s">
        <v>1043</v>
      </c>
      <c r="AM45">
        <v>240</v>
      </c>
      <c r="AO45" t="s">
        <v>1044</v>
      </c>
      <c r="AP45">
        <v>0</v>
      </c>
      <c r="AR45" t="s">
        <v>1047</v>
      </c>
      <c r="AV45">
        <v>0</v>
      </c>
      <c r="AW45">
        <v>0</v>
      </c>
      <c r="AX45">
        <v>0</v>
      </c>
      <c r="AY45">
        <v>0</v>
      </c>
      <c r="AZ45">
        <v>0</v>
      </c>
      <c r="BA45">
        <v>0</v>
      </c>
      <c r="BB45">
        <v>0</v>
      </c>
      <c r="BC45" t="s">
        <v>1043</v>
      </c>
      <c r="BD45">
        <v>0</v>
      </c>
      <c r="BE45">
        <v>0</v>
      </c>
      <c r="BJ45" t="s">
        <v>1044</v>
      </c>
      <c r="BM45">
        <v>0</v>
      </c>
      <c r="BN45">
        <v>0</v>
      </c>
      <c r="BO45">
        <v>0</v>
      </c>
      <c r="BP45">
        <v>0</v>
      </c>
      <c r="BQ45">
        <v>0</v>
      </c>
      <c r="BR45">
        <v>0</v>
      </c>
      <c r="BS45">
        <v>0</v>
      </c>
      <c r="BU45">
        <v>0.185</v>
      </c>
      <c r="BV45">
        <v>9.5000000000000001E-2</v>
      </c>
      <c r="BW45">
        <v>0.2</v>
      </c>
      <c r="BX45">
        <v>0</v>
      </c>
      <c r="BY45">
        <v>0</v>
      </c>
      <c r="BZ45">
        <v>0</v>
      </c>
      <c r="CA45">
        <v>0</v>
      </c>
      <c r="CQ45" t="s">
        <v>2031</v>
      </c>
      <c r="CR45">
        <v>0</v>
      </c>
      <c r="CS45">
        <v>0</v>
      </c>
      <c r="CT45">
        <v>0</v>
      </c>
      <c r="CU45">
        <v>0</v>
      </c>
      <c r="CW45" t="s">
        <v>1043</v>
      </c>
      <c r="CX45">
        <v>0</v>
      </c>
      <c r="CY45">
        <v>0</v>
      </c>
      <c r="CZ45">
        <v>0</v>
      </c>
      <c r="DA45">
        <v>0</v>
      </c>
      <c r="DB45">
        <v>0</v>
      </c>
      <c r="DD45">
        <v>0</v>
      </c>
      <c r="DK45">
        <v>0</v>
      </c>
      <c r="DL45">
        <v>0</v>
      </c>
      <c r="DM45">
        <v>0</v>
      </c>
      <c r="DN45">
        <v>0</v>
      </c>
      <c r="DO45">
        <v>0</v>
      </c>
      <c r="DP45">
        <v>0</v>
      </c>
      <c r="DQ45">
        <v>0</v>
      </c>
      <c r="DR45">
        <v>0</v>
      </c>
      <c r="DS45" t="s">
        <v>1043</v>
      </c>
      <c r="DT45" t="s">
        <v>1044</v>
      </c>
      <c r="DU45" t="s">
        <v>1044</v>
      </c>
      <c r="DW45" t="s">
        <v>1042</v>
      </c>
      <c r="DX45">
        <v>0</v>
      </c>
      <c r="DY45" t="s">
        <v>1043</v>
      </c>
      <c r="DZ45">
        <v>0</v>
      </c>
      <c r="EA45">
        <v>0</v>
      </c>
      <c r="EC45">
        <v>0</v>
      </c>
      <c r="EM45">
        <v>0</v>
      </c>
      <c r="EN45">
        <v>0</v>
      </c>
      <c r="EO45">
        <v>0</v>
      </c>
      <c r="EP45" t="s">
        <v>1043</v>
      </c>
      <c r="EX45" t="s">
        <v>2030</v>
      </c>
      <c r="EY45">
        <v>0</v>
      </c>
      <c r="EZ45">
        <v>0</v>
      </c>
      <c r="FA45">
        <v>0</v>
      </c>
      <c r="FB45">
        <v>1</v>
      </c>
      <c r="FC45" t="s">
        <v>1</v>
      </c>
      <c r="FD45" t="s">
        <v>2029</v>
      </c>
      <c r="FE45" t="s">
        <v>1045</v>
      </c>
      <c r="FF45">
        <v>0</v>
      </c>
      <c r="FG45">
        <v>0</v>
      </c>
      <c r="FH45" t="s">
        <v>1045</v>
      </c>
      <c r="FI45" t="s">
        <v>1045</v>
      </c>
      <c r="FJ45" t="s">
        <v>1043</v>
      </c>
      <c r="FR45">
        <v>0</v>
      </c>
      <c r="FS45">
        <v>0</v>
      </c>
      <c r="GA45" t="s">
        <v>1044</v>
      </c>
      <c r="GB45" t="s">
        <v>1044</v>
      </c>
      <c r="GC45" t="s">
        <v>1045</v>
      </c>
      <c r="GD45">
        <v>0</v>
      </c>
      <c r="GH45" t="s">
        <v>1045</v>
      </c>
      <c r="GI45" t="s">
        <v>2028</v>
      </c>
      <c r="GL45">
        <v>0</v>
      </c>
      <c r="GM45">
        <v>0</v>
      </c>
      <c r="GN45">
        <v>0</v>
      </c>
      <c r="GP45" t="s">
        <v>1042</v>
      </c>
      <c r="GQ45" t="s">
        <v>2027</v>
      </c>
      <c r="GS45" t="s">
        <v>1045</v>
      </c>
      <c r="GU45">
        <v>1</v>
      </c>
      <c r="GV45" t="s">
        <v>1045</v>
      </c>
      <c r="GW45" t="s">
        <v>2026</v>
      </c>
      <c r="GZ45" t="s">
        <v>2025</v>
      </c>
      <c r="HH45">
        <v>0</v>
      </c>
      <c r="HI45">
        <v>0</v>
      </c>
      <c r="HK45" t="s">
        <v>1045</v>
      </c>
      <c r="HL45" t="s">
        <v>1045</v>
      </c>
      <c r="HP45">
        <v>0</v>
      </c>
      <c r="HZ45">
        <v>0</v>
      </c>
      <c r="IB45">
        <v>0</v>
      </c>
      <c r="IC45">
        <v>0</v>
      </c>
      <c r="IG45" t="s">
        <v>1042</v>
      </c>
      <c r="IJ45" t="s">
        <v>1042</v>
      </c>
      <c r="IM45">
        <v>0</v>
      </c>
      <c r="IN45" t="s">
        <v>2024</v>
      </c>
      <c r="IQ45" t="s">
        <v>1045</v>
      </c>
    </row>
    <row r="46" spans="2:251" x14ac:dyDescent="0.35">
      <c r="B46">
        <v>1</v>
      </c>
      <c r="C46">
        <v>1284</v>
      </c>
      <c r="D46">
        <v>0</v>
      </c>
      <c r="E46">
        <v>0</v>
      </c>
      <c r="F46">
        <v>0</v>
      </c>
      <c r="G46">
        <v>0</v>
      </c>
      <c r="H46">
        <v>0</v>
      </c>
      <c r="I46">
        <v>0</v>
      </c>
      <c r="J46" t="s">
        <v>662</v>
      </c>
      <c r="M46">
        <v>27</v>
      </c>
      <c r="Q46">
        <v>9.5</v>
      </c>
      <c r="S46">
        <v>21</v>
      </c>
      <c r="T46">
        <v>0</v>
      </c>
      <c r="U46">
        <v>0</v>
      </c>
      <c r="W46">
        <v>0</v>
      </c>
      <c r="Y46" t="s">
        <v>1042</v>
      </c>
      <c r="Z46" t="s">
        <v>1042</v>
      </c>
      <c r="AA46" t="s">
        <v>1042</v>
      </c>
      <c r="AB46" t="s">
        <v>1042</v>
      </c>
      <c r="AC46" t="s">
        <v>1042</v>
      </c>
      <c r="AD46" t="s">
        <v>1042</v>
      </c>
      <c r="AE46">
        <v>0</v>
      </c>
      <c r="AG46">
        <v>0</v>
      </c>
      <c r="AH46">
        <v>0</v>
      </c>
      <c r="AI46">
        <v>0</v>
      </c>
      <c r="AJ46">
        <v>0</v>
      </c>
      <c r="AK46" t="s">
        <v>1043</v>
      </c>
      <c r="AM46">
        <v>240</v>
      </c>
      <c r="AO46" t="s">
        <v>1044</v>
      </c>
      <c r="AP46">
        <v>0</v>
      </c>
      <c r="AR46" t="s">
        <v>1047</v>
      </c>
      <c r="AV46">
        <v>0</v>
      </c>
      <c r="AW46">
        <v>0</v>
      </c>
      <c r="AX46">
        <v>0</v>
      </c>
      <c r="AY46">
        <v>0</v>
      </c>
      <c r="AZ46">
        <v>0</v>
      </c>
      <c r="BA46">
        <v>0</v>
      </c>
      <c r="BB46">
        <v>0</v>
      </c>
      <c r="BC46" t="s">
        <v>1043</v>
      </c>
      <c r="BD46">
        <v>0</v>
      </c>
      <c r="BE46">
        <v>0</v>
      </c>
      <c r="BJ46" t="s">
        <v>1044</v>
      </c>
      <c r="BM46">
        <v>0</v>
      </c>
      <c r="BN46">
        <v>0</v>
      </c>
      <c r="BO46">
        <v>0</v>
      </c>
      <c r="BP46">
        <v>0</v>
      </c>
      <c r="BQ46">
        <v>0</v>
      </c>
      <c r="BR46">
        <v>0</v>
      </c>
      <c r="BS46">
        <v>0</v>
      </c>
      <c r="BU46">
        <v>0.37</v>
      </c>
      <c r="BV46">
        <v>0.31</v>
      </c>
      <c r="BW46">
        <v>0.435</v>
      </c>
      <c r="BX46">
        <v>0</v>
      </c>
      <c r="BY46">
        <v>0</v>
      </c>
      <c r="BZ46">
        <v>0</v>
      </c>
      <c r="CA46">
        <v>0</v>
      </c>
      <c r="CQ46" t="s">
        <v>2031</v>
      </c>
      <c r="CR46">
        <v>0</v>
      </c>
      <c r="CS46">
        <v>0</v>
      </c>
      <c r="CT46">
        <v>0</v>
      </c>
      <c r="CU46">
        <v>0</v>
      </c>
      <c r="CW46" t="s">
        <v>1043</v>
      </c>
      <c r="CX46">
        <v>0</v>
      </c>
      <c r="CY46">
        <v>0</v>
      </c>
      <c r="CZ46">
        <v>0</v>
      </c>
      <c r="DA46">
        <v>0</v>
      </c>
      <c r="DB46">
        <v>0</v>
      </c>
      <c r="DD46">
        <v>0</v>
      </c>
      <c r="DK46">
        <v>0</v>
      </c>
      <c r="DL46">
        <v>0</v>
      </c>
      <c r="DM46">
        <v>0</v>
      </c>
      <c r="DN46">
        <v>0</v>
      </c>
      <c r="DO46">
        <v>0</v>
      </c>
      <c r="DP46">
        <v>0</v>
      </c>
      <c r="DQ46">
        <v>0</v>
      </c>
      <c r="DR46">
        <v>0</v>
      </c>
      <c r="DS46" t="s">
        <v>1043</v>
      </c>
      <c r="DT46" t="s">
        <v>1044</v>
      </c>
      <c r="DU46" t="s">
        <v>1044</v>
      </c>
      <c r="DW46" t="s">
        <v>1042</v>
      </c>
      <c r="DX46">
        <v>0</v>
      </c>
      <c r="DY46" t="s">
        <v>1043</v>
      </c>
      <c r="DZ46">
        <v>0</v>
      </c>
      <c r="EA46">
        <v>0</v>
      </c>
      <c r="EC46">
        <v>0</v>
      </c>
      <c r="EM46">
        <v>0</v>
      </c>
      <c r="EN46">
        <v>0</v>
      </c>
      <c r="EO46">
        <v>0</v>
      </c>
      <c r="EP46" t="s">
        <v>1043</v>
      </c>
      <c r="EX46" t="s">
        <v>2030</v>
      </c>
      <c r="EY46">
        <v>0</v>
      </c>
      <c r="EZ46">
        <v>0</v>
      </c>
      <c r="FA46">
        <v>0</v>
      </c>
      <c r="FB46">
        <v>1</v>
      </c>
      <c r="FC46" t="s">
        <v>1</v>
      </c>
      <c r="FD46" t="s">
        <v>2029</v>
      </c>
      <c r="FE46" t="s">
        <v>1045</v>
      </c>
      <c r="FF46">
        <v>0</v>
      </c>
      <c r="FG46">
        <v>0</v>
      </c>
      <c r="FH46" t="s">
        <v>1045</v>
      </c>
      <c r="FI46" t="s">
        <v>1045</v>
      </c>
      <c r="FJ46" t="s">
        <v>1043</v>
      </c>
      <c r="FR46">
        <v>0</v>
      </c>
      <c r="FS46">
        <v>0</v>
      </c>
      <c r="GA46" t="s">
        <v>1044</v>
      </c>
      <c r="GB46" t="s">
        <v>1044</v>
      </c>
      <c r="GC46" t="s">
        <v>1045</v>
      </c>
      <c r="GD46">
        <v>0</v>
      </c>
      <c r="GH46" t="s">
        <v>1045</v>
      </c>
      <c r="GI46" t="s">
        <v>2028</v>
      </c>
      <c r="GL46">
        <v>0</v>
      </c>
      <c r="GM46">
        <v>0</v>
      </c>
      <c r="GN46">
        <v>0</v>
      </c>
      <c r="GP46" t="s">
        <v>1042</v>
      </c>
      <c r="GQ46" t="s">
        <v>2027</v>
      </c>
      <c r="GS46" t="s">
        <v>1045</v>
      </c>
      <c r="GU46">
        <v>1</v>
      </c>
      <c r="GV46" t="s">
        <v>1045</v>
      </c>
      <c r="GW46" t="s">
        <v>2026</v>
      </c>
      <c r="GZ46" t="s">
        <v>2025</v>
      </c>
      <c r="HH46">
        <v>0</v>
      </c>
      <c r="HI46">
        <v>0</v>
      </c>
      <c r="HK46" t="s">
        <v>1045</v>
      </c>
      <c r="HL46" t="s">
        <v>1045</v>
      </c>
      <c r="HP46">
        <v>0</v>
      </c>
      <c r="HZ46">
        <v>0</v>
      </c>
      <c r="IB46">
        <v>0</v>
      </c>
      <c r="IC46">
        <v>0</v>
      </c>
      <c r="IG46" t="s">
        <v>1042</v>
      </c>
      <c r="IJ46" t="s">
        <v>1042</v>
      </c>
      <c r="IM46">
        <v>0</v>
      </c>
      <c r="IN46" t="s">
        <v>2024</v>
      </c>
      <c r="IQ46" t="s">
        <v>1045</v>
      </c>
    </row>
    <row r="47" spans="2:251" x14ac:dyDescent="0.35">
      <c r="B47">
        <v>1</v>
      </c>
      <c r="C47">
        <v>1285</v>
      </c>
      <c r="D47">
        <v>0</v>
      </c>
      <c r="E47">
        <v>0</v>
      </c>
      <c r="F47">
        <v>0</v>
      </c>
      <c r="G47">
        <v>0</v>
      </c>
      <c r="H47">
        <v>0</v>
      </c>
      <c r="I47">
        <v>0</v>
      </c>
      <c r="J47" t="s">
        <v>663</v>
      </c>
      <c r="M47">
        <v>34.799999999999997</v>
      </c>
      <c r="Q47">
        <v>9.5</v>
      </c>
      <c r="S47">
        <v>22.8</v>
      </c>
      <c r="T47">
        <v>0</v>
      </c>
      <c r="U47">
        <v>0</v>
      </c>
      <c r="W47">
        <v>0</v>
      </c>
      <c r="Y47" t="s">
        <v>1042</v>
      </c>
      <c r="Z47" t="s">
        <v>1042</v>
      </c>
      <c r="AA47" t="s">
        <v>1042</v>
      </c>
      <c r="AB47" t="s">
        <v>1042</v>
      </c>
      <c r="AC47" t="s">
        <v>1042</v>
      </c>
      <c r="AD47" t="s">
        <v>1042</v>
      </c>
      <c r="AE47">
        <v>0</v>
      </c>
      <c r="AG47">
        <v>0</v>
      </c>
      <c r="AH47">
        <v>0</v>
      </c>
      <c r="AI47">
        <v>0</v>
      </c>
      <c r="AJ47">
        <v>0</v>
      </c>
      <c r="AK47" t="s">
        <v>1043</v>
      </c>
      <c r="AM47">
        <v>240</v>
      </c>
      <c r="AO47" t="s">
        <v>1044</v>
      </c>
      <c r="AP47">
        <v>0</v>
      </c>
      <c r="AR47" t="s">
        <v>1047</v>
      </c>
      <c r="AV47">
        <v>0</v>
      </c>
      <c r="AW47">
        <v>0</v>
      </c>
      <c r="AX47">
        <v>0</v>
      </c>
      <c r="AY47">
        <v>0</v>
      </c>
      <c r="AZ47">
        <v>0</v>
      </c>
      <c r="BA47">
        <v>0</v>
      </c>
      <c r="BB47">
        <v>0</v>
      </c>
      <c r="BC47" t="s">
        <v>1043</v>
      </c>
      <c r="BD47">
        <v>0</v>
      </c>
      <c r="BE47">
        <v>0</v>
      </c>
      <c r="BJ47" t="s">
        <v>1044</v>
      </c>
      <c r="BM47">
        <v>0</v>
      </c>
      <c r="BN47">
        <v>0</v>
      </c>
      <c r="BO47">
        <v>0</v>
      </c>
      <c r="BP47">
        <v>0</v>
      </c>
      <c r="BQ47">
        <v>0</v>
      </c>
      <c r="BR47">
        <v>0</v>
      </c>
      <c r="BS47">
        <v>0</v>
      </c>
      <c r="BU47">
        <v>0.21</v>
      </c>
      <c r="BV47">
        <v>0.37</v>
      </c>
      <c r="BW47">
        <v>0.44</v>
      </c>
      <c r="BX47">
        <v>0</v>
      </c>
      <c r="BY47">
        <v>0</v>
      </c>
      <c r="BZ47">
        <v>0</v>
      </c>
      <c r="CA47">
        <v>0</v>
      </c>
      <c r="CQ47" t="s">
        <v>2031</v>
      </c>
      <c r="CR47">
        <v>0</v>
      </c>
      <c r="CS47">
        <v>0</v>
      </c>
      <c r="CT47">
        <v>0</v>
      </c>
      <c r="CU47">
        <v>0</v>
      </c>
      <c r="CW47" t="s">
        <v>1043</v>
      </c>
      <c r="CX47">
        <v>0</v>
      </c>
      <c r="CY47">
        <v>0</v>
      </c>
      <c r="CZ47">
        <v>0</v>
      </c>
      <c r="DA47">
        <v>0</v>
      </c>
      <c r="DB47">
        <v>0</v>
      </c>
      <c r="DD47">
        <v>0</v>
      </c>
      <c r="DK47">
        <v>0</v>
      </c>
      <c r="DL47">
        <v>0</v>
      </c>
      <c r="DM47">
        <v>0</v>
      </c>
      <c r="DN47">
        <v>0</v>
      </c>
      <c r="DO47">
        <v>0</v>
      </c>
      <c r="DP47">
        <v>0</v>
      </c>
      <c r="DQ47">
        <v>0</v>
      </c>
      <c r="DR47">
        <v>0</v>
      </c>
      <c r="DS47" t="s">
        <v>1043</v>
      </c>
      <c r="DT47" t="s">
        <v>1044</v>
      </c>
      <c r="DU47" t="s">
        <v>1044</v>
      </c>
      <c r="DW47" t="s">
        <v>1042</v>
      </c>
      <c r="DX47">
        <v>0</v>
      </c>
      <c r="DY47" t="s">
        <v>1043</v>
      </c>
      <c r="DZ47">
        <v>0</v>
      </c>
      <c r="EA47">
        <v>0</v>
      </c>
      <c r="EC47">
        <v>0</v>
      </c>
      <c r="EM47">
        <v>0</v>
      </c>
      <c r="EN47">
        <v>0</v>
      </c>
      <c r="EO47">
        <v>0</v>
      </c>
      <c r="EP47" t="s">
        <v>1043</v>
      </c>
      <c r="EX47" t="s">
        <v>2030</v>
      </c>
      <c r="EY47">
        <v>0</v>
      </c>
      <c r="EZ47">
        <v>0</v>
      </c>
      <c r="FA47">
        <v>0</v>
      </c>
      <c r="FB47">
        <v>1</v>
      </c>
      <c r="FC47" t="s">
        <v>1</v>
      </c>
      <c r="FD47" t="s">
        <v>2029</v>
      </c>
      <c r="FE47" t="s">
        <v>1045</v>
      </c>
      <c r="FF47">
        <v>0</v>
      </c>
      <c r="FG47">
        <v>0</v>
      </c>
      <c r="FH47" t="s">
        <v>1045</v>
      </c>
      <c r="FI47" t="s">
        <v>1045</v>
      </c>
      <c r="FJ47" t="s">
        <v>1043</v>
      </c>
      <c r="FR47">
        <v>0</v>
      </c>
      <c r="FS47">
        <v>0</v>
      </c>
      <c r="GA47" t="s">
        <v>1044</v>
      </c>
      <c r="GB47" t="s">
        <v>1044</v>
      </c>
      <c r="GC47" t="s">
        <v>1045</v>
      </c>
      <c r="GD47">
        <v>0</v>
      </c>
      <c r="GH47" t="s">
        <v>1045</v>
      </c>
      <c r="GI47" t="s">
        <v>2028</v>
      </c>
      <c r="GL47">
        <v>0</v>
      </c>
      <c r="GM47">
        <v>0</v>
      </c>
      <c r="GN47">
        <v>0</v>
      </c>
      <c r="GP47" t="s">
        <v>1042</v>
      </c>
      <c r="GQ47" t="s">
        <v>2027</v>
      </c>
      <c r="GS47" t="s">
        <v>1045</v>
      </c>
      <c r="GU47">
        <v>1</v>
      </c>
      <c r="GV47" t="s">
        <v>1045</v>
      </c>
      <c r="GW47" t="s">
        <v>2026</v>
      </c>
      <c r="GZ47" t="s">
        <v>2025</v>
      </c>
      <c r="HH47">
        <v>0</v>
      </c>
      <c r="HI47">
        <v>0</v>
      </c>
      <c r="HK47" t="s">
        <v>1045</v>
      </c>
      <c r="HL47" t="s">
        <v>1045</v>
      </c>
      <c r="HP47">
        <v>0</v>
      </c>
      <c r="HZ47">
        <v>0</v>
      </c>
      <c r="IB47">
        <v>0</v>
      </c>
      <c r="IC47">
        <v>0</v>
      </c>
      <c r="IG47" t="s">
        <v>1042</v>
      </c>
      <c r="IJ47" t="s">
        <v>1042</v>
      </c>
      <c r="IM47">
        <v>0</v>
      </c>
      <c r="IN47" t="s">
        <v>2024</v>
      </c>
      <c r="IQ47" t="s">
        <v>1045</v>
      </c>
    </row>
    <row r="48" spans="2:251" x14ac:dyDescent="0.35">
      <c r="B48">
        <v>1</v>
      </c>
      <c r="C48">
        <v>1286</v>
      </c>
      <c r="D48">
        <v>0</v>
      </c>
      <c r="E48">
        <v>0</v>
      </c>
      <c r="F48">
        <v>0</v>
      </c>
      <c r="G48">
        <v>0</v>
      </c>
      <c r="H48">
        <v>0</v>
      </c>
      <c r="I48">
        <v>0</v>
      </c>
      <c r="J48" t="s">
        <v>664</v>
      </c>
      <c r="M48">
        <v>41.5</v>
      </c>
      <c r="Q48">
        <v>9.5</v>
      </c>
      <c r="S48">
        <v>23.5</v>
      </c>
      <c r="T48">
        <v>0</v>
      </c>
      <c r="U48">
        <v>0</v>
      </c>
      <c r="W48">
        <v>0</v>
      </c>
      <c r="Y48" t="s">
        <v>1042</v>
      </c>
      <c r="Z48" t="s">
        <v>1042</v>
      </c>
      <c r="AA48" t="s">
        <v>1042</v>
      </c>
      <c r="AB48" t="s">
        <v>1042</v>
      </c>
      <c r="AC48" t="s">
        <v>1042</v>
      </c>
      <c r="AD48" t="s">
        <v>1042</v>
      </c>
      <c r="AE48">
        <v>0</v>
      </c>
      <c r="AG48">
        <v>0</v>
      </c>
      <c r="AH48">
        <v>0</v>
      </c>
      <c r="AI48">
        <v>0</v>
      </c>
      <c r="AJ48">
        <v>0</v>
      </c>
      <c r="AK48" t="s">
        <v>1043</v>
      </c>
      <c r="AM48">
        <v>240</v>
      </c>
      <c r="AO48" t="s">
        <v>1044</v>
      </c>
      <c r="AP48">
        <v>0</v>
      </c>
      <c r="AR48" t="s">
        <v>1047</v>
      </c>
      <c r="AV48">
        <v>0</v>
      </c>
      <c r="AW48">
        <v>0</v>
      </c>
      <c r="AX48">
        <v>0</v>
      </c>
      <c r="AY48">
        <v>0</v>
      </c>
      <c r="AZ48">
        <v>0</v>
      </c>
      <c r="BA48">
        <v>0</v>
      </c>
      <c r="BB48">
        <v>0</v>
      </c>
      <c r="BC48" t="s">
        <v>1043</v>
      </c>
      <c r="BD48">
        <v>0</v>
      </c>
      <c r="BE48">
        <v>0</v>
      </c>
      <c r="BJ48" t="s">
        <v>1044</v>
      </c>
      <c r="BM48">
        <v>0</v>
      </c>
      <c r="BN48">
        <v>0</v>
      </c>
      <c r="BO48">
        <v>0</v>
      </c>
      <c r="BP48">
        <v>0</v>
      </c>
      <c r="BQ48">
        <v>0</v>
      </c>
      <c r="BR48">
        <v>0</v>
      </c>
      <c r="BS48">
        <v>0</v>
      </c>
      <c r="BU48">
        <v>0.37</v>
      </c>
      <c r="BV48">
        <v>0.31</v>
      </c>
      <c r="BW48">
        <v>0.47499999999999998</v>
      </c>
      <c r="BX48">
        <v>0</v>
      </c>
      <c r="BY48">
        <v>0</v>
      </c>
      <c r="BZ48">
        <v>0</v>
      </c>
      <c r="CA48">
        <v>0</v>
      </c>
      <c r="CQ48" t="s">
        <v>2031</v>
      </c>
      <c r="CR48">
        <v>0</v>
      </c>
      <c r="CS48">
        <v>0</v>
      </c>
      <c r="CT48">
        <v>0</v>
      </c>
      <c r="CU48">
        <v>0</v>
      </c>
      <c r="CW48" t="s">
        <v>1043</v>
      </c>
      <c r="CX48">
        <v>0</v>
      </c>
      <c r="CY48">
        <v>0</v>
      </c>
      <c r="CZ48">
        <v>0</v>
      </c>
      <c r="DA48">
        <v>0</v>
      </c>
      <c r="DB48">
        <v>0</v>
      </c>
      <c r="DD48">
        <v>0</v>
      </c>
      <c r="DK48">
        <v>0</v>
      </c>
      <c r="DL48">
        <v>0</v>
      </c>
      <c r="DM48">
        <v>0</v>
      </c>
      <c r="DN48">
        <v>0</v>
      </c>
      <c r="DO48">
        <v>0</v>
      </c>
      <c r="DP48">
        <v>0</v>
      </c>
      <c r="DQ48">
        <v>0</v>
      </c>
      <c r="DR48">
        <v>0</v>
      </c>
      <c r="DS48" t="s">
        <v>1043</v>
      </c>
      <c r="DT48" t="s">
        <v>1044</v>
      </c>
      <c r="DU48" t="s">
        <v>1044</v>
      </c>
      <c r="DW48" t="s">
        <v>1042</v>
      </c>
      <c r="DX48">
        <v>0</v>
      </c>
      <c r="DY48" t="s">
        <v>1043</v>
      </c>
      <c r="DZ48">
        <v>0</v>
      </c>
      <c r="EA48">
        <v>0</v>
      </c>
      <c r="EC48">
        <v>0</v>
      </c>
      <c r="EM48">
        <v>0</v>
      </c>
      <c r="EN48">
        <v>0</v>
      </c>
      <c r="EO48">
        <v>0</v>
      </c>
      <c r="EP48" t="s">
        <v>1043</v>
      </c>
      <c r="EX48" t="s">
        <v>2030</v>
      </c>
      <c r="EY48">
        <v>0</v>
      </c>
      <c r="EZ48">
        <v>0</v>
      </c>
      <c r="FA48">
        <v>0</v>
      </c>
      <c r="FB48">
        <v>1</v>
      </c>
      <c r="FC48" t="s">
        <v>1</v>
      </c>
      <c r="FD48" t="s">
        <v>2029</v>
      </c>
      <c r="FE48" t="s">
        <v>1045</v>
      </c>
      <c r="FF48">
        <v>0</v>
      </c>
      <c r="FG48">
        <v>0</v>
      </c>
      <c r="FH48" t="s">
        <v>1045</v>
      </c>
      <c r="FI48" t="s">
        <v>1045</v>
      </c>
      <c r="FJ48" t="s">
        <v>1043</v>
      </c>
      <c r="FR48">
        <v>0</v>
      </c>
      <c r="FS48">
        <v>0</v>
      </c>
      <c r="GA48" t="s">
        <v>1044</v>
      </c>
      <c r="GB48" t="s">
        <v>1044</v>
      </c>
      <c r="GC48" t="s">
        <v>1045</v>
      </c>
      <c r="GD48">
        <v>0</v>
      </c>
      <c r="GH48" t="s">
        <v>1045</v>
      </c>
      <c r="GI48" t="s">
        <v>2028</v>
      </c>
      <c r="GL48">
        <v>0</v>
      </c>
      <c r="GM48">
        <v>0</v>
      </c>
      <c r="GN48">
        <v>0</v>
      </c>
      <c r="GP48" t="s">
        <v>1042</v>
      </c>
      <c r="GQ48" t="s">
        <v>2027</v>
      </c>
      <c r="GS48" t="s">
        <v>1045</v>
      </c>
      <c r="GU48">
        <v>1</v>
      </c>
      <c r="GV48" t="s">
        <v>1045</v>
      </c>
      <c r="GW48" t="s">
        <v>2026</v>
      </c>
      <c r="GZ48" t="s">
        <v>2025</v>
      </c>
      <c r="HH48">
        <v>0</v>
      </c>
      <c r="HI48">
        <v>0</v>
      </c>
      <c r="HK48" t="s">
        <v>1045</v>
      </c>
      <c r="HL48" t="s">
        <v>1045</v>
      </c>
      <c r="HP48">
        <v>0</v>
      </c>
      <c r="HZ48">
        <v>0</v>
      </c>
      <c r="IB48">
        <v>0</v>
      </c>
      <c r="IC48">
        <v>0</v>
      </c>
      <c r="IG48" t="s">
        <v>1042</v>
      </c>
      <c r="IJ48" t="s">
        <v>1042</v>
      </c>
      <c r="IM48">
        <v>0</v>
      </c>
      <c r="IN48" t="s">
        <v>2024</v>
      </c>
      <c r="IQ48" t="s">
        <v>1045</v>
      </c>
    </row>
    <row r="49" spans="2:251" x14ac:dyDescent="0.35">
      <c r="B49">
        <v>1</v>
      </c>
      <c r="C49">
        <v>1287</v>
      </c>
      <c r="D49">
        <v>0</v>
      </c>
      <c r="E49">
        <v>0</v>
      </c>
      <c r="F49">
        <v>0</v>
      </c>
      <c r="G49">
        <v>0</v>
      </c>
      <c r="H49">
        <v>0</v>
      </c>
      <c r="I49">
        <v>0</v>
      </c>
      <c r="J49" t="s">
        <v>665</v>
      </c>
      <c r="M49">
        <v>38.5</v>
      </c>
      <c r="Q49">
        <v>9.8000000000000007</v>
      </c>
      <c r="S49">
        <v>33.5</v>
      </c>
      <c r="T49">
        <v>0</v>
      </c>
      <c r="U49">
        <v>0</v>
      </c>
      <c r="W49">
        <v>0</v>
      </c>
      <c r="Y49" t="s">
        <v>1042</v>
      </c>
      <c r="Z49" t="s">
        <v>1042</v>
      </c>
      <c r="AA49" t="s">
        <v>1042</v>
      </c>
      <c r="AB49" t="s">
        <v>1042</v>
      </c>
      <c r="AC49" t="s">
        <v>1042</v>
      </c>
      <c r="AD49" t="s">
        <v>1042</v>
      </c>
      <c r="AE49">
        <v>0</v>
      </c>
      <c r="AG49">
        <v>0</v>
      </c>
      <c r="AH49">
        <v>0</v>
      </c>
      <c r="AI49">
        <v>0</v>
      </c>
      <c r="AJ49">
        <v>0</v>
      </c>
      <c r="AK49" t="s">
        <v>1043</v>
      </c>
      <c r="AM49">
        <v>240</v>
      </c>
      <c r="AO49" t="s">
        <v>1044</v>
      </c>
      <c r="AP49">
        <v>0</v>
      </c>
      <c r="AR49" t="s">
        <v>1047</v>
      </c>
      <c r="AV49">
        <v>0</v>
      </c>
      <c r="AW49">
        <v>0</v>
      </c>
      <c r="AX49">
        <v>0</v>
      </c>
      <c r="AY49">
        <v>0</v>
      </c>
      <c r="AZ49">
        <v>0</v>
      </c>
      <c r="BA49">
        <v>0</v>
      </c>
      <c r="BB49">
        <v>0</v>
      </c>
      <c r="BC49" t="s">
        <v>1043</v>
      </c>
      <c r="BD49">
        <v>0</v>
      </c>
      <c r="BE49">
        <v>0</v>
      </c>
      <c r="BJ49" t="s">
        <v>1044</v>
      </c>
      <c r="BM49">
        <v>0</v>
      </c>
      <c r="BN49">
        <v>0</v>
      </c>
      <c r="BO49">
        <v>0</v>
      </c>
      <c r="BP49">
        <v>0</v>
      </c>
      <c r="BQ49">
        <v>0</v>
      </c>
      <c r="BR49">
        <v>0</v>
      </c>
      <c r="BS49">
        <v>0</v>
      </c>
      <c r="BU49">
        <v>0.2</v>
      </c>
      <c r="BV49">
        <v>0.37</v>
      </c>
      <c r="BW49">
        <v>0.39</v>
      </c>
      <c r="BX49">
        <v>0</v>
      </c>
      <c r="BY49">
        <v>0</v>
      </c>
      <c r="BZ49">
        <v>0</v>
      </c>
      <c r="CA49">
        <v>0</v>
      </c>
      <c r="CQ49" t="s">
        <v>2031</v>
      </c>
      <c r="CR49">
        <v>0</v>
      </c>
      <c r="CS49">
        <v>0</v>
      </c>
      <c r="CT49">
        <v>0</v>
      </c>
      <c r="CU49">
        <v>0</v>
      </c>
      <c r="CW49" t="s">
        <v>1043</v>
      </c>
      <c r="CX49">
        <v>0</v>
      </c>
      <c r="CY49">
        <v>0</v>
      </c>
      <c r="CZ49">
        <v>0</v>
      </c>
      <c r="DA49">
        <v>0</v>
      </c>
      <c r="DB49">
        <v>0</v>
      </c>
      <c r="DD49">
        <v>0</v>
      </c>
      <c r="DK49">
        <v>0</v>
      </c>
      <c r="DL49">
        <v>0</v>
      </c>
      <c r="DM49">
        <v>0</v>
      </c>
      <c r="DN49">
        <v>0</v>
      </c>
      <c r="DO49">
        <v>0</v>
      </c>
      <c r="DP49">
        <v>0</v>
      </c>
      <c r="DQ49">
        <v>0</v>
      </c>
      <c r="DR49">
        <v>0</v>
      </c>
      <c r="DS49" t="s">
        <v>1043</v>
      </c>
      <c r="DT49" t="s">
        <v>1044</v>
      </c>
      <c r="DU49" t="s">
        <v>1044</v>
      </c>
      <c r="DW49" t="s">
        <v>1042</v>
      </c>
      <c r="DX49">
        <v>0</v>
      </c>
      <c r="DY49" t="s">
        <v>1043</v>
      </c>
      <c r="DZ49">
        <v>0</v>
      </c>
      <c r="EA49">
        <v>0</v>
      </c>
      <c r="EC49">
        <v>0</v>
      </c>
      <c r="EM49">
        <v>0</v>
      </c>
      <c r="EN49">
        <v>0</v>
      </c>
      <c r="EO49">
        <v>0</v>
      </c>
      <c r="EP49" t="s">
        <v>1043</v>
      </c>
      <c r="EX49" t="s">
        <v>2030</v>
      </c>
      <c r="EY49">
        <v>0</v>
      </c>
      <c r="EZ49">
        <v>0</v>
      </c>
      <c r="FA49">
        <v>0</v>
      </c>
      <c r="FB49">
        <v>1</v>
      </c>
      <c r="FC49" t="s">
        <v>1</v>
      </c>
      <c r="FD49" t="s">
        <v>2029</v>
      </c>
      <c r="FE49" t="s">
        <v>1045</v>
      </c>
      <c r="FF49">
        <v>0</v>
      </c>
      <c r="FG49">
        <v>0</v>
      </c>
      <c r="FH49" t="s">
        <v>1045</v>
      </c>
      <c r="FI49" t="s">
        <v>1045</v>
      </c>
      <c r="FJ49" t="s">
        <v>1043</v>
      </c>
      <c r="FR49">
        <v>0</v>
      </c>
      <c r="FS49">
        <v>0</v>
      </c>
      <c r="GA49" t="s">
        <v>1044</v>
      </c>
      <c r="GB49" t="s">
        <v>1044</v>
      </c>
      <c r="GC49" t="s">
        <v>1045</v>
      </c>
      <c r="GD49">
        <v>0</v>
      </c>
      <c r="GH49" t="s">
        <v>1045</v>
      </c>
      <c r="GI49" t="s">
        <v>2028</v>
      </c>
      <c r="GL49">
        <v>0</v>
      </c>
      <c r="GM49">
        <v>0</v>
      </c>
      <c r="GN49">
        <v>0</v>
      </c>
      <c r="GP49" t="s">
        <v>1042</v>
      </c>
      <c r="GQ49" t="s">
        <v>2027</v>
      </c>
      <c r="GS49" t="s">
        <v>1045</v>
      </c>
      <c r="GU49">
        <v>1</v>
      </c>
      <c r="GV49" t="s">
        <v>1045</v>
      </c>
      <c r="GW49" t="s">
        <v>2026</v>
      </c>
      <c r="GZ49" t="s">
        <v>2025</v>
      </c>
      <c r="HH49">
        <v>0</v>
      </c>
      <c r="HI49">
        <v>0</v>
      </c>
      <c r="HK49" t="s">
        <v>1045</v>
      </c>
      <c r="HL49" t="s">
        <v>1045</v>
      </c>
      <c r="HP49">
        <v>0</v>
      </c>
      <c r="HZ49">
        <v>0</v>
      </c>
      <c r="IB49">
        <v>0</v>
      </c>
      <c r="IC49">
        <v>0</v>
      </c>
      <c r="IG49" t="s">
        <v>1042</v>
      </c>
      <c r="IJ49" t="s">
        <v>1042</v>
      </c>
      <c r="IM49">
        <v>0</v>
      </c>
      <c r="IN49" t="s">
        <v>2024</v>
      </c>
      <c r="IQ49" t="s">
        <v>1045</v>
      </c>
    </row>
    <row r="50" spans="2:251" x14ac:dyDescent="0.35">
      <c r="B50">
        <v>1</v>
      </c>
      <c r="C50">
        <v>1288</v>
      </c>
      <c r="D50">
        <v>0</v>
      </c>
      <c r="E50">
        <v>0</v>
      </c>
      <c r="F50">
        <v>0</v>
      </c>
      <c r="G50">
        <v>0</v>
      </c>
      <c r="H50">
        <v>0</v>
      </c>
      <c r="I50">
        <v>0</v>
      </c>
      <c r="J50" t="s">
        <v>666</v>
      </c>
      <c r="M50">
        <v>53</v>
      </c>
      <c r="Q50">
        <v>9.6999999999999993</v>
      </c>
      <c r="S50">
        <v>35.5</v>
      </c>
      <c r="T50">
        <v>0</v>
      </c>
      <c r="U50">
        <v>0</v>
      </c>
      <c r="W50">
        <v>0</v>
      </c>
      <c r="Y50" t="s">
        <v>1042</v>
      </c>
      <c r="Z50" t="s">
        <v>1042</v>
      </c>
      <c r="AA50" t="s">
        <v>1042</v>
      </c>
      <c r="AB50" t="s">
        <v>1042</v>
      </c>
      <c r="AC50" t="s">
        <v>1042</v>
      </c>
      <c r="AD50" t="s">
        <v>1042</v>
      </c>
      <c r="AE50">
        <v>0</v>
      </c>
      <c r="AG50">
        <v>0</v>
      </c>
      <c r="AH50">
        <v>0</v>
      </c>
      <c r="AI50">
        <v>0</v>
      </c>
      <c r="AJ50">
        <v>0</v>
      </c>
      <c r="AK50" t="s">
        <v>1043</v>
      </c>
      <c r="AM50">
        <v>240</v>
      </c>
      <c r="AO50" t="s">
        <v>1044</v>
      </c>
      <c r="AP50">
        <v>0</v>
      </c>
      <c r="AR50" t="s">
        <v>1047</v>
      </c>
      <c r="AV50">
        <v>0</v>
      </c>
      <c r="AW50">
        <v>0</v>
      </c>
      <c r="AX50">
        <v>0</v>
      </c>
      <c r="AY50">
        <v>0</v>
      </c>
      <c r="AZ50">
        <v>0</v>
      </c>
      <c r="BA50">
        <v>0</v>
      </c>
      <c r="BB50">
        <v>0</v>
      </c>
      <c r="BC50" t="s">
        <v>1043</v>
      </c>
      <c r="BD50">
        <v>0</v>
      </c>
      <c r="BE50">
        <v>0</v>
      </c>
      <c r="BJ50" t="s">
        <v>1044</v>
      </c>
      <c r="BM50">
        <v>0</v>
      </c>
      <c r="BN50">
        <v>0</v>
      </c>
      <c r="BO50">
        <v>0</v>
      </c>
      <c r="BP50">
        <v>0</v>
      </c>
      <c r="BQ50">
        <v>0</v>
      </c>
      <c r="BR50">
        <v>0</v>
      </c>
      <c r="BS50">
        <v>0</v>
      </c>
      <c r="BU50">
        <v>0.21</v>
      </c>
      <c r="BV50">
        <v>0.37</v>
      </c>
      <c r="BW50">
        <v>0.53500000000000003</v>
      </c>
      <c r="BX50">
        <v>0</v>
      </c>
      <c r="BY50">
        <v>0</v>
      </c>
      <c r="BZ50">
        <v>0</v>
      </c>
      <c r="CA50">
        <v>0</v>
      </c>
      <c r="CQ50" t="s">
        <v>2031</v>
      </c>
      <c r="CR50">
        <v>0</v>
      </c>
      <c r="CS50">
        <v>0</v>
      </c>
      <c r="CT50">
        <v>0</v>
      </c>
      <c r="CU50">
        <v>0</v>
      </c>
      <c r="CW50" t="s">
        <v>1043</v>
      </c>
      <c r="CX50">
        <v>0</v>
      </c>
      <c r="CY50">
        <v>0</v>
      </c>
      <c r="CZ50">
        <v>0</v>
      </c>
      <c r="DA50">
        <v>0</v>
      </c>
      <c r="DB50">
        <v>0</v>
      </c>
      <c r="DD50">
        <v>0</v>
      </c>
      <c r="DK50">
        <v>0</v>
      </c>
      <c r="DL50">
        <v>0</v>
      </c>
      <c r="DM50">
        <v>0</v>
      </c>
      <c r="DN50">
        <v>0</v>
      </c>
      <c r="DO50">
        <v>0</v>
      </c>
      <c r="DP50">
        <v>0</v>
      </c>
      <c r="DQ50">
        <v>0</v>
      </c>
      <c r="DR50">
        <v>0</v>
      </c>
      <c r="DS50" t="s">
        <v>1043</v>
      </c>
      <c r="DT50" t="s">
        <v>1044</v>
      </c>
      <c r="DU50" t="s">
        <v>1044</v>
      </c>
      <c r="DW50" t="s">
        <v>1042</v>
      </c>
      <c r="DX50">
        <v>0</v>
      </c>
      <c r="DY50" t="s">
        <v>1043</v>
      </c>
      <c r="DZ50">
        <v>0</v>
      </c>
      <c r="EA50">
        <v>0</v>
      </c>
      <c r="EC50">
        <v>0</v>
      </c>
      <c r="EM50">
        <v>0</v>
      </c>
      <c r="EN50">
        <v>0</v>
      </c>
      <c r="EO50">
        <v>0</v>
      </c>
      <c r="EP50" t="s">
        <v>1043</v>
      </c>
      <c r="EX50" t="s">
        <v>2030</v>
      </c>
      <c r="EY50">
        <v>0</v>
      </c>
      <c r="EZ50">
        <v>0</v>
      </c>
      <c r="FA50">
        <v>0</v>
      </c>
      <c r="FB50">
        <v>1</v>
      </c>
      <c r="FC50" t="s">
        <v>1</v>
      </c>
      <c r="FD50" t="s">
        <v>2029</v>
      </c>
      <c r="FE50" t="s">
        <v>1045</v>
      </c>
      <c r="FF50">
        <v>0</v>
      </c>
      <c r="FG50">
        <v>0</v>
      </c>
      <c r="FH50" t="s">
        <v>1045</v>
      </c>
      <c r="FI50" t="s">
        <v>1045</v>
      </c>
      <c r="FJ50" t="s">
        <v>1043</v>
      </c>
      <c r="FR50">
        <v>0</v>
      </c>
      <c r="FS50">
        <v>0</v>
      </c>
      <c r="GA50" t="s">
        <v>1044</v>
      </c>
      <c r="GB50" t="s">
        <v>1044</v>
      </c>
      <c r="GC50" t="s">
        <v>1045</v>
      </c>
      <c r="GD50">
        <v>0</v>
      </c>
      <c r="GH50" t="s">
        <v>1045</v>
      </c>
      <c r="GI50" t="s">
        <v>2028</v>
      </c>
      <c r="GL50">
        <v>0</v>
      </c>
      <c r="GM50">
        <v>0</v>
      </c>
      <c r="GN50">
        <v>0</v>
      </c>
      <c r="GP50" t="s">
        <v>1042</v>
      </c>
      <c r="GQ50" t="s">
        <v>2027</v>
      </c>
      <c r="GS50" t="s">
        <v>1045</v>
      </c>
      <c r="GU50">
        <v>1</v>
      </c>
      <c r="GV50" t="s">
        <v>1045</v>
      </c>
      <c r="GW50" t="s">
        <v>2026</v>
      </c>
      <c r="GZ50" t="s">
        <v>2025</v>
      </c>
      <c r="HH50">
        <v>0</v>
      </c>
      <c r="HI50">
        <v>0</v>
      </c>
      <c r="HK50" t="s">
        <v>1045</v>
      </c>
      <c r="HL50" t="s">
        <v>1045</v>
      </c>
      <c r="HP50">
        <v>0</v>
      </c>
      <c r="HZ50">
        <v>0</v>
      </c>
      <c r="IB50">
        <v>0</v>
      </c>
      <c r="IC50">
        <v>0</v>
      </c>
      <c r="IG50" t="s">
        <v>1042</v>
      </c>
      <c r="IJ50" t="s">
        <v>1042</v>
      </c>
      <c r="IM50">
        <v>0</v>
      </c>
      <c r="IN50" t="s">
        <v>2024</v>
      </c>
      <c r="IQ50" t="s">
        <v>1045</v>
      </c>
    </row>
    <row r="51" spans="2:251" x14ac:dyDescent="0.35">
      <c r="B51">
        <v>1</v>
      </c>
      <c r="C51">
        <v>1290</v>
      </c>
      <c r="D51">
        <v>0</v>
      </c>
      <c r="E51">
        <v>0</v>
      </c>
      <c r="F51">
        <v>0</v>
      </c>
      <c r="G51">
        <v>0</v>
      </c>
      <c r="H51">
        <v>0</v>
      </c>
      <c r="I51">
        <v>0</v>
      </c>
      <c r="J51" t="s">
        <v>667</v>
      </c>
      <c r="M51">
        <v>27</v>
      </c>
      <c r="Q51">
        <v>9.5</v>
      </c>
      <c r="S51">
        <v>21</v>
      </c>
      <c r="T51">
        <v>0</v>
      </c>
      <c r="U51">
        <v>0</v>
      </c>
      <c r="W51">
        <v>0</v>
      </c>
      <c r="Y51" t="s">
        <v>1042</v>
      </c>
      <c r="Z51" t="s">
        <v>1042</v>
      </c>
      <c r="AA51" t="s">
        <v>1042</v>
      </c>
      <c r="AB51" t="s">
        <v>1042</v>
      </c>
      <c r="AC51" t="s">
        <v>1042</v>
      </c>
      <c r="AD51" t="s">
        <v>1042</v>
      </c>
      <c r="AE51">
        <v>0</v>
      </c>
      <c r="AG51">
        <v>0</v>
      </c>
      <c r="AH51">
        <v>0</v>
      </c>
      <c r="AI51">
        <v>0</v>
      </c>
      <c r="AJ51">
        <v>0</v>
      </c>
      <c r="AK51" t="s">
        <v>1043</v>
      </c>
      <c r="AM51">
        <v>240</v>
      </c>
      <c r="AO51" t="s">
        <v>1044</v>
      </c>
      <c r="AP51">
        <v>0</v>
      </c>
      <c r="AR51" t="s">
        <v>1047</v>
      </c>
      <c r="AV51">
        <v>0</v>
      </c>
      <c r="AW51">
        <v>0</v>
      </c>
      <c r="AX51">
        <v>0</v>
      </c>
      <c r="AY51">
        <v>0</v>
      </c>
      <c r="AZ51">
        <v>0</v>
      </c>
      <c r="BA51">
        <v>0</v>
      </c>
      <c r="BB51">
        <v>0</v>
      </c>
      <c r="BC51" t="s">
        <v>1043</v>
      </c>
      <c r="BD51">
        <v>0</v>
      </c>
      <c r="BE51">
        <v>0</v>
      </c>
      <c r="BJ51" t="s">
        <v>1044</v>
      </c>
      <c r="BM51">
        <v>0</v>
      </c>
      <c r="BN51">
        <v>0</v>
      </c>
      <c r="BO51">
        <v>0</v>
      </c>
      <c r="BP51">
        <v>0</v>
      </c>
      <c r="BQ51">
        <v>0</v>
      </c>
      <c r="BR51">
        <v>0</v>
      </c>
      <c r="BS51">
        <v>0</v>
      </c>
      <c r="BU51">
        <v>0.37</v>
      </c>
      <c r="BV51">
        <v>0.31</v>
      </c>
      <c r="BW51">
        <v>0.435</v>
      </c>
      <c r="BX51">
        <v>0</v>
      </c>
      <c r="BY51">
        <v>0</v>
      </c>
      <c r="BZ51">
        <v>0</v>
      </c>
      <c r="CA51">
        <v>0</v>
      </c>
      <c r="CQ51" t="s">
        <v>2031</v>
      </c>
      <c r="CR51">
        <v>0</v>
      </c>
      <c r="CS51">
        <v>0</v>
      </c>
      <c r="CT51">
        <v>0</v>
      </c>
      <c r="CU51">
        <v>0</v>
      </c>
      <c r="CW51" t="s">
        <v>1043</v>
      </c>
      <c r="CX51">
        <v>0</v>
      </c>
      <c r="CY51">
        <v>0</v>
      </c>
      <c r="CZ51">
        <v>0</v>
      </c>
      <c r="DA51">
        <v>0</v>
      </c>
      <c r="DB51">
        <v>0</v>
      </c>
      <c r="DD51">
        <v>0</v>
      </c>
      <c r="DK51">
        <v>0</v>
      </c>
      <c r="DL51">
        <v>0</v>
      </c>
      <c r="DM51">
        <v>0</v>
      </c>
      <c r="DN51">
        <v>0</v>
      </c>
      <c r="DO51">
        <v>0</v>
      </c>
      <c r="DP51">
        <v>0</v>
      </c>
      <c r="DQ51">
        <v>0</v>
      </c>
      <c r="DR51">
        <v>0</v>
      </c>
      <c r="DS51" t="s">
        <v>1043</v>
      </c>
      <c r="DT51" t="s">
        <v>1044</v>
      </c>
      <c r="DU51" t="s">
        <v>1044</v>
      </c>
      <c r="DW51" t="s">
        <v>1042</v>
      </c>
      <c r="DX51">
        <v>0</v>
      </c>
      <c r="DY51" t="s">
        <v>1043</v>
      </c>
      <c r="DZ51">
        <v>0</v>
      </c>
      <c r="EA51">
        <v>0</v>
      </c>
      <c r="EC51">
        <v>0</v>
      </c>
      <c r="EM51">
        <v>0</v>
      </c>
      <c r="EN51">
        <v>0</v>
      </c>
      <c r="EO51">
        <v>0</v>
      </c>
      <c r="EP51" t="s">
        <v>1043</v>
      </c>
      <c r="EX51" t="s">
        <v>2030</v>
      </c>
      <c r="EY51">
        <v>0</v>
      </c>
      <c r="EZ51">
        <v>0</v>
      </c>
      <c r="FA51">
        <v>0</v>
      </c>
      <c r="FB51">
        <v>1</v>
      </c>
      <c r="FC51" t="s">
        <v>1</v>
      </c>
      <c r="FD51" t="s">
        <v>2029</v>
      </c>
      <c r="FE51" t="s">
        <v>1045</v>
      </c>
      <c r="FF51">
        <v>0</v>
      </c>
      <c r="FG51">
        <v>0</v>
      </c>
      <c r="FH51" t="s">
        <v>1045</v>
      </c>
      <c r="FI51" t="s">
        <v>1045</v>
      </c>
      <c r="FJ51" t="s">
        <v>1043</v>
      </c>
      <c r="FR51">
        <v>0</v>
      </c>
      <c r="FS51">
        <v>0</v>
      </c>
      <c r="GA51" t="s">
        <v>1044</v>
      </c>
      <c r="GB51" t="s">
        <v>1044</v>
      </c>
      <c r="GC51" t="s">
        <v>1045</v>
      </c>
      <c r="GD51">
        <v>0</v>
      </c>
      <c r="GH51" t="s">
        <v>1045</v>
      </c>
      <c r="GI51" t="s">
        <v>2028</v>
      </c>
      <c r="GL51">
        <v>0</v>
      </c>
      <c r="GM51">
        <v>0</v>
      </c>
      <c r="GN51">
        <v>0</v>
      </c>
      <c r="GP51" t="s">
        <v>1042</v>
      </c>
      <c r="GQ51" t="s">
        <v>2027</v>
      </c>
      <c r="GS51" t="s">
        <v>1045</v>
      </c>
      <c r="GU51">
        <v>1</v>
      </c>
      <c r="GV51" t="s">
        <v>1045</v>
      </c>
      <c r="GW51" t="s">
        <v>2026</v>
      </c>
      <c r="GZ51" t="s">
        <v>2025</v>
      </c>
      <c r="HH51">
        <v>0</v>
      </c>
      <c r="HI51">
        <v>0</v>
      </c>
      <c r="HK51" t="s">
        <v>1045</v>
      </c>
      <c r="HL51" t="s">
        <v>1045</v>
      </c>
      <c r="HP51">
        <v>0</v>
      </c>
      <c r="HZ51">
        <v>0</v>
      </c>
      <c r="IB51">
        <v>0</v>
      </c>
      <c r="IC51">
        <v>0</v>
      </c>
      <c r="IG51" t="s">
        <v>1042</v>
      </c>
      <c r="IJ51" t="s">
        <v>1042</v>
      </c>
      <c r="IM51">
        <v>0</v>
      </c>
      <c r="IN51" t="s">
        <v>2024</v>
      </c>
      <c r="IQ51" t="s">
        <v>1045</v>
      </c>
    </row>
    <row r="52" spans="2:251" x14ac:dyDescent="0.35">
      <c r="B52">
        <v>1</v>
      </c>
      <c r="C52">
        <v>1291</v>
      </c>
      <c r="D52">
        <v>0</v>
      </c>
      <c r="E52">
        <v>0</v>
      </c>
      <c r="F52">
        <v>0</v>
      </c>
      <c r="G52">
        <v>0</v>
      </c>
      <c r="H52">
        <v>0</v>
      </c>
      <c r="I52">
        <v>0</v>
      </c>
      <c r="J52" t="s">
        <v>668</v>
      </c>
      <c r="M52">
        <v>34.799999999999997</v>
      </c>
      <c r="Q52">
        <v>9</v>
      </c>
      <c r="S52">
        <v>22.8</v>
      </c>
      <c r="T52">
        <v>0</v>
      </c>
      <c r="U52">
        <v>0</v>
      </c>
      <c r="W52">
        <v>0</v>
      </c>
      <c r="Y52" t="s">
        <v>1042</v>
      </c>
      <c r="Z52" t="s">
        <v>1042</v>
      </c>
      <c r="AA52" t="s">
        <v>1042</v>
      </c>
      <c r="AB52" t="s">
        <v>1042</v>
      </c>
      <c r="AC52" t="s">
        <v>1042</v>
      </c>
      <c r="AD52" t="s">
        <v>1042</v>
      </c>
      <c r="AE52">
        <v>0</v>
      </c>
      <c r="AG52">
        <v>0</v>
      </c>
      <c r="AH52">
        <v>0</v>
      </c>
      <c r="AI52">
        <v>0</v>
      </c>
      <c r="AJ52">
        <v>0</v>
      </c>
      <c r="AK52" t="s">
        <v>1043</v>
      </c>
      <c r="AM52">
        <v>240</v>
      </c>
      <c r="AO52" t="s">
        <v>1044</v>
      </c>
      <c r="AP52">
        <v>0</v>
      </c>
      <c r="AR52" t="s">
        <v>1047</v>
      </c>
      <c r="AV52">
        <v>0</v>
      </c>
      <c r="AW52">
        <v>0</v>
      </c>
      <c r="AX52">
        <v>0</v>
      </c>
      <c r="AY52">
        <v>0</v>
      </c>
      <c r="AZ52">
        <v>0</v>
      </c>
      <c r="BA52">
        <v>0</v>
      </c>
      <c r="BB52">
        <v>0</v>
      </c>
      <c r="BC52" t="s">
        <v>1043</v>
      </c>
      <c r="BD52">
        <v>0</v>
      </c>
      <c r="BE52">
        <v>0</v>
      </c>
      <c r="BJ52" t="s">
        <v>1044</v>
      </c>
      <c r="BM52">
        <v>0</v>
      </c>
      <c r="BN52">
        <v>0</v>
      </c>
      <c r="BO52">
        <v>0</v>
      </c>
      <c r="BP52">
        <v>0</v>
      </c>
      <c r="BQ52">
        <v>0</v>
      </c>
      <c r="BR52">
        <v>0</v>
      </c>
      <c r="BS52">
        <v>0</v>
      </c>
      <c r="BU52">
        <v>0.20499999999999999</v>
      </c>
      <c r="BV52">
        <v>0.37</v>
      </c>
      <c r="BW52">
        <v>0.44</v>
      </c>
      <c r="BX52">
        <v>0</v>
      </c>
      <c r="BY52">
        <v>0</v>
      </c>
      <c r="BZ52">
        <v>0</v>
      </c>
      <c r="CA52">
        <v>0</v>
      </c>
      <c r="CQ52" t="s">
        <v>2031</v>
      </c>
      <c r="CR52">
        <v>0</v>
      </c>
      <c r="CS52">
        <v>0</v>
      </c>
      <c r="CT52">
        <v>0</v>
      </c>
      <c r="CU52">
        <v>0</v>
      </c>
      <c r="CW52" t="s">
        <v>1043</v>
      </c>
      <c r="CX52">
        <v>0</v>
      </c>
      <c r="CY52">
        <v>0</v>
      </c>
      <c r="CZ52">
        <v>0</v>
      </c>
      <c r="DA52">
        <v>0</v>
      </c>
      <c r="DB52">
        <v>0</v>
      </c>
      <c r="DD52">
        <v>0</v>
      </c>
      <c r="DK52">
        <v>0</v>
      </c>
      <c r="DL52">
        <v>0</v>
      </c>
      <c r="DM52">
        <v>0</v>
      </c>
      <c r="DN52">
        <v>0</v>
      </c>
      <c r="DO52">
        <v>0</v>
      </c>
      <c r="DP52">
        <v>0</v>
      </c>
      <c r="DQ52">
        <v>0</v>
      </c>
      <c r="DR52">
        <v>0</v>
      </c>
      <c r="DS52" t="s">
        <v>1043</v>
      </c>
      <c r="DT52" t="s">
        <v>1044</v>
      </c>
      <c r="DU52" t="s">
        <v>1044</v>
      </c>
      <c r="DW52" t="s">
        <v>1042</v>
      </c>
      <c r="DX52">
        <v>0</v>
      </c>
      <c r="DY52" t="s">
        <v>1043</v>
      </c>
      <c r="DZ52">
        <v>0</v>
      </c>
      <c r="EA52">
        <v>0</v>
      </c>
      <c r="EC52">
        <v>0</v>
      </c>
      <c r="EM52">
        <v>0</v>
      </c>
      <c r="EN52">
        <v>0</v>
      </c>
      <c r="EO52">
        <v>0</v>
      </c>
      <c r="EP52" t="s">
        <v>1043</v>
      </c>
      <c r="EX52" t="s">
        <v>2030</v>
      </c>
      <c r="EY52">
        <v>0</v>
      </c>
      <c r="EZ52">
        <v>0</v>
      </c>
      <c r="FA52">
        <v>0</v>
      </c>
      <c r="FB52">
        <v>1</v>
      </c>
      <c r="FC52" t="s">
        <v>1</v>
      </c>
      <c r="FD52" t="s">
        <v>2029</v>
      </c>
      <c r="FE52" t="s">
        <v>1045</v>
      </c>
      <c r="FF52">
        <v>0</v>
      </c>
      <c r="FG52">
        <v>0</v>
      </c>
      <c r="FH52" t="s">
        <v>1045</v>
      </c>
      <c r="FI52" t="s">
        <v>1045</v>
      </c>
      <c r="FJ52" t="s">
        <v>1043</v>
      </c>
      <c r="FR52">
        <v>0</v>
      </c>
      <c r="FS52">
        <v>0</v>
      </c>
      <c r="GA52" t="s">
        <v>1044</v>
      </c>
      <c r="GB52" t="s">
        <v>1044</v>
      </c>
      <c r="GC52" t="s">
        <v>1045</v>
      </c>
      <c r="GD52">
        <v>0</v>
      </c>
      <c r="GH52" t="s">
        <v>1045</v>
      </c>
      <c r="GI52" t="s">
        <v>2028</v>
      </c>
      <c r="GL52">
        <v>0</v>
      </c>
      <c r="GM52">
        <v>0</v>
      </c>
      <c r="GN52">
        <v>0</v>
      </c>
      <c r="GP52" t="s">
        <v>1042</v>
      </c>
      <c r="GQ52" t="s">
        <v>2027</v>
      </c>
      <c r="GS52" t="s">
        <v>1045</v>
      </c>
      <c r="GU52">
        <v>1</v>
      </c>
      <c r="GV52" t="s">
        <v>1045</v>
      </c>
      <c r="GW52" t="s">
        <v>2026</v>
      </c>
      <c r="GZ52" t="s">
        <v>2025</v>
      </c>
      <c r="HH52">
        <v>0</v>
      </c>
      <c r="HI52">
        <v>0</v>
      </c>
      <c r="HK52" t="s">
        <v>1045</v>
      </c>
      <c r="HL52" t="s">
        <v>1045</v>
      </c>
      <c r="HP52">
        <v>0</v>
      </c>
      <c r="HZ52">
        <v>0</v>
      </c>
      <c r="IB52">
        <v>0</v>
      </c>
      <c r="IC52">
        <v>0</v>
      </c>
      <c r="IG52" t="s">
        <v>1042</v>
      </c>
      <c r="IJ52" t="s">
        <v>1042</v>
      </c>
      <c r="IM52">
        <v>0</v>
      </c>
      <c r="IN52" t="s">
        <v>2024</v>
      </c>
      <c r="IQ52" t="s">
        <v>1045</v>
      </c>
    </row>
    <row r="53" spans="2:251" x14ac:dyDescent="0.35">
      <c r="B53">
        <v>1</v>
      </c>
      <c r="C53">
        <v>1292</v>
      </c>
      <c r="D53">
        <v>0</v>
      </c>
      <c r="E53">
        <v>0</v>
      </c>
      <c r="F53">
        <v>0</v>
      </c>
      <c r="G53">
        <v>0</v>
      </c>
      <c r="H53">
        <v>0</v>
      </c>
      <c r="I53">
        <v>0</v>
      </c>
      <c r="J53" t="s">
        <v>669</v>
      </c>
      <c r="M53">
        <v>41.5</v>
      </c>
      <c r="Q53">
        <v>9.5</v>
      </c>
      <c r="S53">
        <v>23.5</v>
      </c>
      <c r="T53">
        <v>0</v>
      </c>
      <c r="U53">
        <v>0</v>
      </c>
      <c r="W53">
        <v>0</v>
      </c>
      <c r="Y53" t="s">
        <v>1042</v>
      </c>
      <c r="Z53" t="s">
        <v>1042</v>
      </c>
      <c r="AA53" t="s">
        <v>1042</v>
      </c>
      <c r="AB53" t="s">
        <v>1042</v>
      </c>
      <c r="AC53" t="s">
        <v>1042</v>
      </c>
      <c r="AD53" t="s">
        <v>1042</v>
      </c>
      <c r="AE53">
        <v>0</v>
      </c>
      <c r="AG53">
        <v>0</v>
      </c>
      <c r="AH53">
        <v>0</v>
      </c>
      <c r="AI53">
        <v>0</v>
      </c>
      <c r="AJ53">
        <v>0</v>
      </c>
      <c r="AK53" t="s">
        <v>1043</v>
      </c>
      <c r="AM53">
        <v>240</v>
      </c>
      <c r="AO53" t="s">
        <v>1044</v>
      </c>
      <c r="AP53">
        <v>0</v>
      </c>
      <c r="AR53" t="s">
        <v>1047</v>
      </c>
      <c r="AV53">
        <v>0</v>
      </c>
      <c r="AW53">
        <v>0</v>
      </c>
      <c r="AX53">
        <v>0</v>
      </c>
      <c r="AY53">
        <v>0</v>
      </c>
      <c r="AZ53">
        <v>0</v>
      </c>
      <c r="BA53">
        <v>0</v>
      </c>
      <c r="BB53">
        <v>0</v>
      </c>
      <c r="BC53" t="s">
        <v>1043</v>
      </c>
      <c r="BD53">
        <v>0</v>
      </c>
      <c r="BE53">
        <v>0</v>
      </c>
      <c r="BJ53" t="s">
        <v>1044</v>
      </c>
      <c r="BM53">
        <v>0</v>
      </c>
      <c r="BN53">
        <v>0</v>
      </c>
      <c r="BO53">
        <v>0</v>
      </c>
      <c r="BP53">
        <v>0</v>
      </c>
      <c r="BQ53">
        <v>0</v>
      </c>
      <c r="BR53">
        <v>0</v>
      </c>
      <c r="BS53">
        <v>0</v>
      </c>
      <c r="BU53">
        <v>0.37</v>
      </c>
      <c r="BV53">
        <v>0.31</v>
      </c>
      <c r="BW53">
        <v>0.47499999999999998</v>
      </c>
      <c r="BX53">
        <v>0</v>
      </c>
      <c r="BY53">
        <v>0</v>
      </c>
      <c r="BZ53">
        <v>0</v>
      </c>
      <c r="CA53">
        <v>0</v>
      </c>
      <c r="CQ53" t="s">
        <v>2031</v>
      </c>
      <c r="CR53">
        <v>0</v>
      </c>
      <c r="CS53">
        <v>0</v>
      </c>
      <c r="CT53">
        <v>0</v>
      </c>
      <c r="CU53">
        <v>0</v>
      </c>
      <c r="CW53" t="s">
        <v>1043</v>
      </c>
      <c r="CX53">
        <v>0</v>
      </c>
      <c r="CY53">
        <v>0</v>
      </c>
      <c r="CZ53">
        <v>0</v>
      </c>
      <c r="DA53">
        <v>0</v>
      </c>
      <c r="DB53">
        <v>0</v>
      </c>
      <c r="DD53">
        <v>0</v>
      </c>
      <c r="DK53">
        <v>0</v>
      </c>
      <c r="DL53">
        <v>0</v>
      </c>
      <c r="DM53">
        <v>0</v>
      </c>
      <c r="DN53">
        <v>0</v>
      </c>
      <c r="DO53">
        <v>0</v>
      </c>
      <c r="DP53">
        <v>0</v>
      </c>
      <c r="DQ53">
        <v>0</v>
      </c>
      <c r="DR53">
        <v>0</v>
      </c>
      <c r="DS53" t="s">
        <v>1043</v>
      </c>
      <c r="DT53" t="s">
        <v>1044</v>
      </c>
      <c r="DU53" t="s">
        <v>1044</v>
      </c>
      <c r="DW53" t="s">
        <v>1042</v>
      </c>
      <c r="DX53">
        <v>0</v>
      </c>
      <c r="DY53" t="s">
        <v>1043</v>
      </c>
      <c r="DZ53">
        <v>0</v>
      </c>
      <c r="EA53">
        <v>0</v>
      </c>
      <c r="EC53">
        <v>0</v>
      </c>
      <c r="EM53">
        <v>0</v>
      </c>
      <c r="EN53">
        <v>0</v>
      </c>
      <c r="EO53">
        <v>0</v>
      </c>
      <c r="EP53" t="s">
        <v>1043</v>
      </c>
      <c r="EX53" t="s">
        <v>2030</v>
      </c>
      <c r="EY53">
        <v>0</v>
      </c>
      <c r="EZ53">
        <v>0</v>
      </c>
      <c r="FA53">
        <v>0</v>
      </c>
      <c r="FB53">
        <v>1</v>
      </c>
      <c r="FC53" t="s">
        <v>1</v>
      </c>
      <c r="FD53" t="s">
        <v>2029</v>
      </c>
      <c r="FE53" t="s">
        <v>1045</v>
      </c>
      <c r="FF53">
        <v>0</v>
      </c>
      <c r="FG53">
        <v>0</v>
      </c>
      <c r="FH53" t="s">
        <v>1045</v>
      </c>
      <c r="FI53" t="s">
        <v>1045</v>
      </c>
      <c r="FJ53" t="s">
        <v>1043</v>
      </c>
      <c r="FR53">
        <v>0</v>
      </c>
      <c r="FS53">
        <v>0</v>
      </c>
      <c r="GA53" t="s">
        <v>1044</v>
      </c>
      <c r="GB53" t="s">
        <v>1044</v>
      </c>
      <c r="GC53" t="s">
        <v>1045</v>
      </c>
      <c r="GD53">
        <v>0</v>
      </c>
      <c r="GH53" t="s">
        <v>1045</v>
      </c>
      <c r="GI53" t="s">
        <v>2028</v>
      </c>
      <c r="GL53">
        <v>0</v>
      </c>
      <c r="GM53">
        <v>0</v>
      </c>
      <c r="GN53">
        <v>0</v>
      </c>
      <c r="GP53" t="s">
        <v>1042</v>
      </c>
      <c r="GQ53" t="s">
        <v>2027</v>
      </c>
      <c r="GS53" t="s">
        <v>1045</v>
      </c>
      <c r="GU53">
        <v>1</v>
      </c>
      <c r="GV53" t="s">
        <v>1045</v>
      </c>
      <c r="GW53" t="s">
        <v>2026</v>
      </c>
      <c r="GZ53" t="s">
        <v>2025</v>
      </c>
      <c r="HH53">
        <v>0</v>
      </c>
      <c r="HI53">
        <v>0</v>
      </c>
      <c r="HK53" t="s">
        <v>1045</v>
      </c>
      <c r="HL53" t="s">
        <v>1045</v>
      </c>
      <c r="HP53">
        <v>0</v>
      </c>
      <c r="HZ53">
        <v>0</v>
      </c>
      <c r="IB53">
        <v>0</v>
      </c>
      <c r="IC53">
        <v>0</v>
      </c>
      <c r="IG53" t="s">
        <v>1042</v>
      </c>
      <c r="IJ53" t="s">
        <v>1042</v>
      </c>
      <c r="IM53">
        <v>0</v>
      </c>
      <c r="IN53" t="s">
        <v>2024</v>
      </c>
      <c r="IQ53" t="s">
        <v>1045</v>
      </c>
    </row>
    <row r="54" spans="2:251" x14ac:dyDescent="0.35">
      <c r="B54">
        <v>1</v>
      </c>
      <c r="C54">
        <v>1293</v>
      </c>
      <c r="D54">
        <v>0</v>
      </c>
      <c r="E54">
        <v>0</v>
      </c>
      <c r="F54">
        <v>0</v>
      </c>
      <c r="G54">
        <v>0</v>
      </c>
      <c r="H54">
        <v>0</v>
      </c>
      <c r="I54">
        <v>0</v>
      </c>
      <c r="J54" t="s">
        <v>670</v>
      </c>
      <c r="M54">
        <v>38.5</v>
      </c>
      <c r="Q54">
        <v>9.8000000000000007</v>
      </c>
      <c r="S54">
        <v>33.5</v>
      </c>
      <c r="T54">
        <v>0</v>
      </c>
      <c r="U54">
        <v>0</v>
      </c>
      <c r="W54">
        <v>0</v>
      </c>
      <c r="Y54" t="s">
        <v>1042</v>
      </c>
      <c r="Z54" t="s">
        <v>1042</v>
      </c>
      <c r="AA54" t="s">
        <v>1042</v>
      </c>
      <c r="AB54" t="s">
        <v>1042</v>
      </c>
      <c r="AC54" t="s">
        <v>1042</v>
      </c>
      <c r="AD54" t="s">
        <v>1042</v>
      </c>
      <c r="AE54">
        <v>0</v>
      </c>
      <c r="AG54">
        <v>0</v>
      </c>
      <c r="AH54">
        <v>0</v>
      </c>
      <c r="AI54">
        <v>0</v>
      </c>
      <c r="AJ54">
        <v>0</v>
      </c>
      <c r="AK54" t="s">
        <v>1043</v>
      </c>
      <c r="AM54">
        <v>240</v>
      </c>
      <c r="AO54" t="s">
        <v>1044</v>
      </c>
      <c r="AP54">
        <v>0</v>
      </c>
      <c r="AR54" t="s">
        <v>1047</v>
      </c>
      <c r="AV54">
        <v>0</v>
      </c>
      <c r="AW54">
        <v>0</v>
      </c>
      <c r="AX54">
        <v>0</v>
      </c>
      <c r="AY54">
        <v>0</v>
      </c>
      <c r="AZ54">
        <v>0</v>
      </c>
      <c r="BA54">
        <v>0</v>
      </c>
      <c r="BB54">
        <v>0</v>
      </c>
      <c r="BC54" t="s">
        <v>1043</v>
      </c>
      <c r="BD54">
        <v>0</v>
      </c>
      <c r="BE54">
        <v>0</v>
      </c>
      <c r="BJ54" t="s">
        <v>1044</v>
      </c>
      <c r="BM54">
        <v>0</v>
      </c>
      <c r="BN54">
        <v>0</v>
      </c>
      <c r="BO54">
        <v>0</v>
      </c>
      <c r="BP54">
        <v>0</v>
      </c>
      <c r="BQ54">
        <v>0</v>
      </c>
      <c r="BR54">
        <v>0</v>
      </c>
      <c r="BS54">
        <v>0</v>
      </c>
      <c r="BU54">
        <v>0.2</v>
      </c>
      <c r="BV54">
        <v>0.37</v>
      </c>
      <c r="BW54">
        <v>0.39</v>
      </c>
      <c r="BX54">
        <v>0</v>
      </c>
      <c r="BY54">
        <v>0</v>
      </c>
      <c r="BZ54">
        <v>0</v>
      </c>
      <c r="CA54">
        <v>0</v>
      </c>
      <c r="CQ54" t="s">
        <v>2031</v>
      </c>
      <c r="CR54">
        <v>0</v>
      </c>
      <c r="CS54">
        <v>0</v>
      </c>
      <c r="CT54">
        <v>0</v>
      </c>
      <c r="CU54">
        <v>0</v>
      </c>
      <c r="CW54" t="s">
        <v>1043</v>
      </c>
      <c r="CX54">
        <v>0</v>
      </c>
      <c r="CY54">
        <v>0</v>
      </c>
      <c r="CZ54">
        <v>0</v>
      </c>
      <c r="DA54">
        <v>0</v>
      </c>
      <c r="DB54">
        <v>0</v>
      </c>
      <c r="DD54">
        <v>0</v>
      </c>
      <c r="DK54">
        <v>0</v>
      </c>
      <c r="DL54">
        <v>0</v>
      </c>
      <c r="DM54">
        <v>0</v>
      </c>
      <c r="DN54">
        <v>0</v>
      </c>
      <c r="DO54">
        <v>0</v>
      </c>
      <c r="DP54">
        <v>0</v>
      </c>
      <c r="DQ54">
        <v>0</v>
      </c>
      <c r="DR54">
        <v>0</v>
      </c>
      <c r="DS54" t="s">
        <v>1043</v>
      </c>
      <c r="DT54" t="s">
        <v>1044</v>
      </c>
      <c r="DU54" t="s">
        <v>1044</v>
      </c>
      <c r="DW54" t="s">
        <v>1042</v>
      </c>
      <c r="DX54">
        <v>0</v>
      </c>
      <c r="DY54" t="s">
        <v>1043</v>
      </c>
      <c r="DZ54">
        <v>0</v>
      </c>
      <c r="EA54">
        <v>0</v>
      </c>
      <c r="EC54">
        <v>0</v>
      </c>
      <c r="EM54">
        <v>0</v>
      </c>
      <c r="EN54">
        <v>0</v>
      </c>
      <c r="EO54">
        <v>0</v>
      </c>
      <c r="EP54" t="s">
        <v>1043</v>
      </c>
      <c r="EX54" t="s">
        <v>2030</v>
      </c>
      <c r="EY54">
        <v>0</v>
      </c>
      <c r="EZ54">
        <v>0</v>
      </c>
      <c r="FA54">
        <v>0</v>
      </c>
      <c r="FB54">
        <v>1</v>
      </c>
      <c r="FC54" t="s">
        <v>1</v>
      </c>
      <c r="FD54" t="s">
        <v>2029</v>
      </c>
      <c r="FE54" t="s">
        <v>1045</v>
      </c>
      <c r="FF54">
        <v>0</v>
      </c>
      <c r="FG54">
        <v>0</v>
      </c>
      <c r="FH54" t="s">
        <v>1045</v>
      </c>
      <c r="FI54" t="s">
        <v>1045</v>
      </c>
      <c r="FJ54" t="s">
        <v>1043</v>
      </c>
      <c r="FR54">
        <v>0</v>
      </c>
      <c r="FS54">
        <v>0</v>
      </c>
      <c r="GA54" t="s">
        <v>1044</v>
      </c>
      <c r="GB54" t="s">
        <v>1044</v>
      </c>
      <c r="GC54" t="s">
        <v>1045</v>
      </c>
      <c r="GD54">
        <v>0</v>
      </c>
      <c r="GH54" t="s">
        <v>1045</v>
      </c>
      <c r="GI54" t="s">
        <v>2028</v>
      </c>
      <c r="GL54">
        <v>0</v>
      </c>
      <c r="GM54">
        <v>0</v>
      </c>
      <c r="GN54">
        <v>0</v>
      </c>
      <c r="GP54" t="s">
        <v>1042</v>
      </c>
      <c r="GQ54" t="s">
        <v>2027</v>
      </c>
      <c r="GS54" t="s">
        <v>1045</v>
      </c>
      <c r="GU54">
        <v>1</v>
      </c>
      <c r="GV54" t="s">
        <v>1045</v>
      </c>
      <c r="GW54" t="s">
        <v>2026</v>
      </c>
      <c r="GZ54" t="s">
        <v>2025</v>
      </c>
      <c r="HH54">
        <v>0</v>
      </c>
      <c r="HI54">
        <v>0</v>
      </c>
      <c r="HK54" t="s">
        <v>1045</v>
      </c>
      <c r="HL54" t="s">
        <v>1045</v>
      </c>
      <c r="HP54">
        <v>0</v>
      </c>
      <c r="HZ54">
        <v>0</v>
      </c>
      <c r="IB54">
        <v>0</v>
      </c>
      <c r="IC54">
        <v>0</v>
      </c>
      <c r="IG54" t="s">
        <v>1042</v>
      </c>
      <c r="IJ54" t="s">
        <v>1042</v>
      </c>
      <c r="IM54">
        <v>0</v>
      </c>
      <c r="IN54" t="s">
        <v>2024</v>
      </c>
      <c r="IQ54" t="s">
        <v>1045</v>
      </c>
    </row>
    <row r="55" spans="2:251" x14ac:dyDescent="0.35">
      <c r="B55">
        <v>1</v>
      </c>
      <c r="C55">
        <v>1294</v>
      </c>
      <c r="D55">
        <v>0</v>
      </c>
      <c r="E55">
        <v>0</v>
      </c>
      <c r="F55">
        <v>0</v>
      </c>
      <c r="G55">
        <v>0</v>
      </c>
      <c r="H55">
        <v>0</v>
      </c>
      <c r="I55">
        <v>0</v>
      </c>
      <c r="J55" t="s">
        <v>671</v>
      </c>
      <c r="M55">
        <v>53</v>
      </c>
      <c r="Q55">
        <v>9.6999999999999993</v>
      </c>
      <c r="S55">
        <v>35.5</v>
      </c>
      <c r="T55">
        <v>0</v>
      </c>
      <c r="U55">
        <v>0</v>
      </c>
      <c r="W55">
        <v>0</v>
      </c>
      <c r="Y55" t="s">
        <v>1042</v>
      </c>
      <c r="Z55" t="s">
        <v>1042</v>
      </c>
      <c r="AA55" t="s">
        <v>1042</v>
      </c>
      <c r="AB55" t="s">
        <v>1042</v>
      </c>
      <c r="AC55" t="s">
        <v>1042</v>
      </c>
      <c r="AD55" t="s">
        <v>1042</v>
      </c>
      <c r="AE55">
        <v>0</v>
      </c>
      <c r="AG55">
        <v>0</v>
      </c>
      <c r="AH55">
        <v>0</v>
      </c>
      <c r="AI55">
        <v>0</v>
      </c>
      <c r="AJ55">
        <v>0</v>
      </c>
      <c r="AK55" t="s">
        <v>1043</v>
      </c>
      <c r="AM55">
        <v>240</v>
      </c>
      <c r="AO55" t="s">
        <v>1044</v>
      </c>
      <c r="AP55">
        <v>0</v>
      </c>
      <c r="AR55" t="s">
        <v>1047</v>
      </c>
      <c r="AV55">
        <v>0</v>
      </c>
      <c r="AW55">
        <v>0</v>
      </c>
      <c r="AX55">
        <v>0</v>
      </c>
      <c r="AY55">
        <v>0</v>
      </c>
      <c r="AZ55">
        <v>0</v>
      </c>
      <c r="BA55">
        <v>0</v>
      </c>
      <c r="BB55">
        <v>0</v>
      </c>
      <c r="BC55" t="s">
        <v>1043</v>
      </c>
      <c r="BD55">
        <v>0</v>
      </c>
      <c r="BE55">
        <v>0</v>
      </c>
      <c r="BJ55" t="s">
        <v>1044</v>
      </c>
      <c r="BM55">
        <v>0</v>
      </c>
      <c r="BN55">
        <v>0</v>
      </c>
      <c r="BO55">
        <v>0</v>
      </c>
      <c r="BP55">
        <v>0</v>
      </c>
      <c r="BQ55">
        <v>0</v>
      </c>
      <c r="BR55">
        <v>0</v>
      </c>
      <c r="BS55">
        <v>0</v>
      </c>
      <c r="BU55">
        <v>0.21</v>
      </c>
      <c r="BV55">
        <v>0.374</v>
      </c>
      <c r="BW55">
        <v>0.53500000000000003</v>
      </c>
      <c r="BX55">
        <v>0</v>
      </c>
      <c r="BY55">
        <v>0</v>
      </c>
      <c r="BZ55">
        <v>0</v>
      </c>
      <c r="CA55">
        <v>0</v>
      </c>
      <c r="CQ55" t="s">
        <v>2031</v>
      </c>
      <c r="CR55">
        <v>0</v>
      </c>
      <c r="CS55">
        <v>0</v>
      </c>
      <c r="CT55">
        <v>0</v>
      </c>
      <c r="CU55">
        <v>0</v>
      </c>
      <c r="CW55" t="s">
        <v>1043</v>
      </c>
      <c r="CX55">
        <v>0</v>
      </c>
      <c r="CY55">
        <v>0</v>
      </c>
      <c r="CZ55">
        <v>0</v>
      </c>
      <c r="DA55">
        <v>0</v>
      </c>
      <c r="DB55">
        <v>0</v>
      </c>
      <c r="DD55">
        <v>0</v>
      </c>
      <c r="DK55">
        <v>0</v>
      </c>
      <c r="DL55">
        <v>0</v>
      </c>
      <c r="DM55">
        <v>0</v>
      </c>
      <c r="DN55">
        <v>0</v>
      </c>
      <c r="DO55">
        <v>0</v>
      </c>
      <c r="DP55">
        <v>0</v>
      </c>
      <c r="DQ55">
        <v>0</v>
      </c>
      <c r="DR55">
        <v>0</v>
      </c>
      <c r="DS55" t="s">
        <v>1043</v>
      </c>
      <c r="DT55" t="s">
        <v>1044</v>
      </c>
      <c r="DU55" t="s">
        <v>1044</v>
      </c>
      <c r="DW55" t="s">
        <v>1042</v>
      </c>
      <c r="DX55">
        <v>0</v>
      </c>
      <c r="DY55" t="s">
        <v>1043</v>
      </c>
      <c r="DZ55">
        <v>0</v>
      </c>
      <c r="EA55">
        <v>0</v>
      </c>
      <c r="EC55">
        <v>0</v>
      </c>
      <c r="EM55">
        <v>0</v>
      </c>
      <c r="EN55">
        <v>0</v>
      </c>
      <c r="EO55">
        <v>0</v>
      </c>
      <c r="EP55" t="s">
        <v>1043</v>
      </c>
      <c r="EX55" t="s">
        <v>2030</v>
      </c>
      <c r="EY55">
        <v>0</v>
      </c>
      <c r="EZ55">
        <v>0</v>
      </c>
      <c r="FA55">
        <v>0</v>
      </c>
      <c r="FB55">
        <v>1</v>
      </c>
      <c r="FC55" t="s">
        <v>1</v>
      </c>
      <c r="FD55" t="s">
        <v>2029</v>
      </c>
      <c r="FE55" t="s">
        <v>1045</v>
      </c>
      <c r="FF55">
        <v>0</v>
      </c>
      <c r="FG55">
        <v>0</v>
      </c>
      <c r="FH55" t="s">
        <v>1045</v>
      </c>
      <c r="FI55" t="s">
        <v>1045</v>
      </c>
      <c r="FJ55" t="s">
        <v>1043</v>
      </c>
      <c r="FR55">
        <v>0</v>
      </c>
      <c r="FS55">
        <v>0</v>
      </c>
      <c r="GA55" t="s">
        <v>1044</v>
      </c>
      <c r="GB55" t="s">
        <v>1044</v>
      </c>
      <c r="GC55" t="s">
        <v>1045</v>
      </c>
      <c r="GD55">
        <v>0</v>
      </c>
      <c r="GH55" t="s">
        <v>1045</v>
      </c>
      <c r="GI55" t="s">
        <v>2028</v>
      </c>
      <c r="GL55">
        <v>0</v>
      </c>
      <c r="GM55">
        <v>0</v>
      </c>
      <c r="GN55">
        <v>0</v>
      </c>
      <c r="GP55" t="s">
        <v>1042</v>
      </c>
      <c r="GQ55" t="s">
        <v>2027</v>
      </c>
      <c r="GS55" t="s">
        <v>1045</v>
      </c>
      <c r="GU55">
        <v>1</v>
      </c>
      <c r="GV55" t="s">
        <v>1045</v>
      </c>
      <c r="GW55" t="s">
        <v>2026</v>
      </c>
      <c r="GZ55" t="s">
        <v>2025</v>
      </c>
      <c r="HH55">
        <v>0</v>
      </c>
      <c r="HI55">
        <v>0</v>
      </c>
      <c r="HK55" t="s">
        <v>1045</v>
      </c>
      <c r="HL55" t="s">
        <v>1045</v>
      </c>
      <c r="HP55">
        <v>0</v>
      </c>
      <c r="HZ55">
        <v>0</v>
      </c>
      <c r="IB55">
        <v>0</v>
      </c>
      <c r="IC55">
        <v>0</v>
      </c>
      <c r="IG55" t="s">
        <v>1042</v>
      </c>
      <c r="IJ55" t="s">
        <v>1042</v>
      </c>
      <c r="IM55">
        <v>0</v>
      </c>
      <c r="IN55" t="s">
        <v>2024</v>
      </c>
      <c r="IQ55" t="s">
        <v>1045</v>
      </c>
    </row>
    <row r="56" spans="2:251" x14ac:dyDescent="0.35">
      <c r="B56">
        <v>1</v>
      </c>
      <c r="C56">
        <v>1296</v>
      </c>
      <c r="D56">
        <v>0</v>
      </c>
      <c r="E56">
        <v>0</v>
      </c>
      <c r="F56">
        <v>0</v>
      </c>
      <c r="G56">
        <v>0</v>
      </c>
      <c r="H56">
        <v>0</v>
      </c>
      <c r="I56">
        <v>0</v>
      </c>
      <c r="J56" t="s">
        <v>2056</v>
      </c>
      <c r="M56">
        <v>26.5</v>
      </c>
      <c r="Q56">
        <v>16.5</v>
      </c>
      <c r="S56">
        <v>18.5</v>
      </c>
      <c r="T56">
        <v>0</v>
      </c>
      <c r="U56">
        <v>0</v>
      </c>
      <c r="W56">
        <v>0</v>
      </c>
      <c r="Y56" t="s">
        <v>1042</v>
      </c>
      <c r="Z56" t="s">
        <v>1042</v>
      </c>
      <c r="AA56" t="s">
        <v>1042</v>
      </c>
      <c r="AB56" t="s">
        <v>1042</v>
      </c>
      <c r="AC56" t="s">
        <v>1042</v>
      </c>
      <c r="AD56" t="s">
        <v>1042</v>
      </c>
      <c r="AE56">
        <v>0.16500000000000001</v>
      </c>
      <c r="AG56">
        <v>0.185</v>
      </c>
      <c r="AH56">
        <v>0</v>
      </c>
      <c r="AI56">
        <v>0</v>
      </c>
      <c r="AJ56">
        <v>0.26500000000000001</v>
      </c>
      <c r="AK56" t="s">
        <v>1043</v>
      </c>
      <c r="AM56">
        <v>240</v>
      </c>
      <c r="AO56" t="s">
        <v>1044</v>
      </c>
      <c r="AP56">
        <v>0</v>
      </c>
      <c r="AR56" t="s">
        <v>1047</v>
      </c>
      <c r="AV56">
        <v>0</v>
      </c>
      <c r="AW56">
        <v>0</v>
      </c>
      <c r="AX56">
        <v>0</v>
      </c>
      <c r="AY56">
        <v>0</v>
      </c>
      <c r="AZ56">
        <v>0</v>
      </c>
      <c r="BA56">
        <v>0</v>
      </c>
      <c r="BB56">
        <v>0</v>
      </c>
      <c r="BC56" t="s">
        <v>1043</v>
      </c>
      <c r="BD56">
        <v>0</v>
      </c>
      <c r="BE56">
        <v>0</v>
      </c>
      <c r="BJ56" t="s">
        <v>1044</v>
      </c>
      <c r="BM56">
        <v>0</v>
      </c>
      <c r="BN56">
        <v>0</v>
      </c>
      <c r="BO56">
        <v>0</v>
      </c>
      <c r="BP56">
        <v>0</v>
      </c>
      <c r="BQ56">
        <v>0</v>
      </c>
      <c r="BR56">
        <v>0</v>
      </c>
      <c r="BS56">
        <v>0</v>
      </c>
      <c r="BU56">
        <v>0.185</v>
      </c>
      <c r="BV56">
        <v>0.16500000000000001</v>
      </c>
      <c r="BW56">
        <v>0.26500000000000001</v>
      </c>
      <c r="BX56">
        <v>0</v>
      </c>
      <c r="BY56">
        <v>0</v>
      </c>
      <c r="BZ56">
        <v>0</v>
      </c>
      <c r="CA56">
        <v>0</v>
      </c>
      <c r="CQ56" t="s">
        <v>2031</v>
      </c>
      <c r="CR56">
        <v>0</v>
      </c>
      <c r="CS56">
        <v>0</v>
      </c>
      <c r="CT56">
        <v>0</v>
      </c>
      <c r="CU56">
        <v>0</v>
      </c>
      <c r="CW56" t="s">
        <v>1043</v>
      </c>
      <c r="CX56">
        <v>0</v>
      </c>
      <c r="CY56">
        <v>0</v>
      </c>
      <c r="CZ56">
        <v>0</v>
      </c>
      <c r="DA56">
        <v>0</v>
      </c>
      <c r="DB56">
        <v>0</v>
      </c>
      <c r="DD56">
        <v>0</v>
      </c>
      <c r="DK56">
        <v>0</v>
      </c>
      <c r="DL56">
        <v>0</v>
      </c>
      <c r="DM56">
        <v>0</v>
      </c>
      <c r="DN56">
        <v>0</v>
      </c>
      <c r="DO56">
        <v>0</v>
      </c>
      <c r="DP56">
        <v>0</v>
      </c>
      <c r="DQ56">
        <v>0</v>
      </c>
      <c r="DR56">
        <v>0</v>
      </c>
      <c r="DS56" t="s">
        <v>1043</v>
      </c>
      <c r="DT56" t="s">
        <v>1044</v>
      </c>
      <c r="DU56" t="s">
        <v>1044</v>
      </c>
      <c r="DW56" t="s">
        <v>1042</v>
      </c>
      <c r="DX56">
        <v>0</v>
      </c>
      <c r="DY56" t="s">
        <v>1043</v>
      </c>
      <c r="DZ56">
        <v>0</v>
      </c>
      <c r="EA56">
        <v>0</v>
      </c>
      <c r="EC56">
        <v>0</v>
      </c>
      <c r="EM56">
        <v>0</v>
      </c>
      <c r="EN56">
        <v>0</v>
      </c>
      <c r="EO56">
        <v>0</v>
      </c>
      <c r="EP56" t="s">
        <v>1043</v>
      </c>
      <c r="EX56" t="s">
        <v>2030</v>
      </c>
      <c r="EY56">
        <v>0</v>
      </c>
      <c r="EZ56">
        <v>0</v>
      </c>
      <c r="FA56">
        <v>0</v>
      </c>
      <c r="FB56">
        <v>1</v>
      </c>
      <c r="FC56" t="s">
        <v>1</v>
      </c>
      <c r="FD56" t="s">
        <v>2029</v>
      </c>
      <c r="FE56" t="s">
        <v>1045</v>
      </c>
      <c r="FF56">
        <v>0</v>
      </c>
      <c r="FG56">
        <v>0</v>
      </c>
      <c r="FH56" t="s">
        <v>1045</v>
      </c>
      <c r="FI56" t="s">
        <v>1045</v>
      </c>
      <c r="FJ56" t="s">
        <v>1043</v>
      </c>
      <c r="FR56">
        <v>0</v>
      </c>
      <c r="FS56">
        <v>0</v>
      </c>
      <c r="GA56" t="s">
        <v>1044</v>
      </c>
      <c r="GB56" t="s">
        <v>1044</v>
      </c>
      <c r="GC56" t="s">
        <v>1045</v>
      </c>
      <c r="GD56">
        <v>0</v>
      </c>
      <c r="GH56" t="s">
        <v>1045</v>
      </c>
      <c r="GI56" t="s">
        <v>2028</v>
      </c>
      <c r="GL56">
        <v>0</v>
      </c>
      <c r="GM56">
        <v>0</v>
      </c>
      <c r="GN56">
        <v>0</v>
      </c>
      <c r="GP56" t="s">
        <v>1042</v>
      </c>
      <c r="GQ56" t="s">
        <v>2027</v>
      </c>
      <c r="GS56" t="s">
        <v>1045</v>
      </c>
      <c r="GU56">
        <v>1</v>
      </c>
      <c r="GV56" t="s">
        <v>1045</v>
      </c>
      <c r="GW56" t="s">
        <v>2026</v>
      </c>
      <c r="GZ56" t="s">
        <v>2025</v>
      </c>
      <c r="HH56">
        <v>0</v>
      </c>
      <c r="HI56">
        <v>0</v>
      </c>
      <c r="HK56" t="s">
        <v>1045</v>
      </c>
      <c r="HL56" t="s">
        <v>1045</v>
      </c>
      <c r="HP56">
        <v>0</v>
      </c>
      <c r="HZ56">
        <v>0</v>
      </c>
      <c r="IB56">
        <v>0</v>
      </c>
      <c r="IC56">
        <v>0</v>
      </c>
      <c r="IG56" t="s">
        <v>1042</v>
      </c>
      <c r="IJ56" t="s">
        <v>1042</v>
      </c>
      <c r="IM56">
        <v>0</v>
      </c>
      <c r="IN56" t="s">
        <v>2024</v>
      </c>
      <c r="IQ56" t="s">
        <v>1045</v>
      </c>
    </row>
    <row r="57" spans="2:251" x14ac:dyDescent="0.35">
      <c r="B57">
        <v>1</v>
      </c>
      <c r="C57">
        <v>1298</v>
      </c>
      <c r="D57">
        <v>0</v>
      </c>
      <c r="E57">
        <v>0</v>
      </c>
      <c r="F57">
        <v>0</v>
      </c>
      <c r="G57">
        <v>0</v>
      </c>
      <c r="H57">
        <v>0</v>
      </c>
      <c r="I57">
        <v>0</v>
      </c>
      <c r="J57" t="s">
        <v>673</v>
      </c>
      <c r="M57">
        <v>36</v>
      </c>
      <c r="Q57">
        <v>34</v>
      </c>
      <c r="S57">
        <v>36</v>
      </c>
      <c r="T57">
        <v>0</v>
      </c>
      <c r="U57">
        <v>0</v>
      </c>
      <c r="W57">
        <v>0</v>
      </c>
      <c r="Y57" t="s">
        <v>1042</v>
      </c>
      <c r="Z57" t="s">
        <v>1042</v>
      </c>
      <c r="AA57" t="s">
        <v>1042</v>
      </c>
      <c r="AB57" t="s">
        <v>1042</v>
      </c>
      <c r="AC57" t="s">
        <v>1042</v>
      </c>
      <c r="AD57" t="s">
        <v>1042</v>
      </c>
      <c r="AE57">
        <v>0</v>
      </c>
      <c r="AG57">
        <v>0</v>
      </c>
      <c r="AH57">
        <v>0</v>
      </c>
      <c r="AI57">
        <v>0</v>
      </c>
      <c r="AJ57">
        <v>0</v>
      </c>
      <c r="AK57" t="s">
        <v>1043</v>
      </c>
      <c r="AM57">
        <v>240</v>
      </c>
      <c r="AO57" t="s">
        <v>1044</v>
      </c>
      <c r="AP57">
        <v>0</v>
      </c>
      <c r="AR57" t="s">
        <v>1047</v>
      </c>
      <c r="AV57">
        <v>0</v>
      </c>
      <c r="AW57">
        <v>0</v>
      </c>
      <c r="AX57">
        <v>0</v>
      </c>
      <c r="AY57">
        <v>0</v>
      </c>
      <c r="AZ57">
        <v>0</v>
      </c>
      <c r="BA57">
        <v>0</v>
      </c>
      <c r="BB57">
        <v>0</v>
      </c>
      <c r="BC57" t="s">
        <v>1043</v>
      </c>
      <c r="BD57">
        <v>0</v>
      </c>
      <c r="BE57">
        <v>0</v>
      </c>
      <c r="BJ57" t="s">
        <v>1044</v>
      </c>
      <c r="BM57">
        <v>0</v>
      </c>
      <c r="BN57">
        <v>0</v>
      </c>
      <c r="BO57">
        <v>0</v>
      </c>
      <c r="BP57">
        <v>0</v>
      </c>
      <c r="BQ57">
        <v>0</v>
      </c>
      <c r="BR57">
        <v>0</v>
      </c>
      <c r="BS57">
        <v>0</v>
      </c>
      <c r="BU57">
        <v>0.37</v>
      </c>
      <c r="BV57">
        <v>0.36499999999999999</v>
      </c>
      <c r="BW57">
        <v>0.37</v>
      </c>
      <c r="BX57">
        <v>0</v>
      </c>
      <c r="BY57">
        <v>0</v>
      </c>
      <c r="BZ57">
        <v>0</v>
      </c>
      <c r="CA57">
        <v>0</v>
      </c>
      <c r="CQ57" t="s">
        <v>2031</v>
      </c>
      <c r="CR57">
        <v>0</v>
      </c>
      <c r="CS57">
        <v>0</v>
      </c>
      <c r="CT57">
        <v>0</v>
      </c>
      <c r="CU57">
        <v>0</v>
      </c>
      <c r="CW57" t="s">
        <v>1043</v>
      </c>
      <c r="CX57">
        <v>0</v>
      </c>
      <c r="CY57">
        <v>0</v>
      </c>
      <c r="CZ57">
        <v>0</v>
      </c>
      <c r="DA57">
        <v>0</v>
      </c>
      <c r="DB57">
        <v>0</v>
      </c>
      <c r="DD57">
        <v>0</v>
      </c>
      <c r="DK57">
        <v>0</v>
      </c>
      <c r="DL57">
        <v>0</v>
      </c>
      <c r="DM57">
        <v>0</v>
      </c>
      <c r="DN57">
        <v>0</v>
      </c>
      <c r="DO57">
        <v>0</v>
      </c>
      <c r="DP57">
        <v>0</v>
      </c>
      <c r="DQ57">
        <v>0</v>
      </c>
      <c r="DR57">
        <v>0</v>
      </c>
      <c r="DS57" t="s">
        <v>1043</v>
      </c>
      <c r="DT57" t="s">
        <v>1044</v>
      </c>
      <c r="DU57" t="s">
        <v>1044</v>
      </c>
      <c r="DW57" t="s">
        <v>1042</v>
      </c>
      <c r="DX57">
        <v>0</v>
      </c>
      <c r="DY57" t="s">
        <v>1043</v>
      </c>
      <c r="DZ57">
        <v>0</v>
      </c>
      <c r="EA57">
        <v>0</v>
      </c>
      <c r="EC57">
        <v>0</v>
      </c>
      <c r="EM57">
        <v>0</v>
      </c>
      <c r="EN57">
        <v>0</v>
      </c>
      <c r="EO57">
        <v>0</v>
      </c>
      <c r="EP57" t="s">
        <v>1043</v>
      </c>
      <c r="EX57" t="s">
        <v>2030</v>
      </c>
      <c r="EY57">
        <v>0</v>
      </c>
      <c r="EZ57">
        <v>0</v>
      </c>
      <c r="FA57">
        <v>0</v>
      </c>
      <c r="FB57">
        <v>1</v>
      </c>
      <c r="FC57" t="s">
        <v>1</v>
      </c>
      <c r="FD57" t="s">
        <v>2029</v>
      </c>
      <c r="FE57" t="s">
        <v>1045</v>
      </c>
      <c r="FF57">
        <v>0</v>
      </c>
      <c r="FG57">
        <v>0</v>
      </c>
      <c r="FH57" t="s">
        <v>1045</v>
      </c>
      <c r="FI57" t="s">
        <v>1045</v>
      </c>
      <c r="FJ57" t="s">
        <v>1043</v>
      </c>
      <c r="FR57">
        <v>0</v>
      </c>
      <c r="FS57">
        <v>0</v>
      </c>
      <c r="GA57" t="s">
        <v>1044</v>
      </c>
      <c r="GB57" t="s">
        <v>1044</v>
      </c>
      <c r="GC57" t="s">
        <v>1045</v>
      </c>
      <c r="GD57">
        <v>0</v>
      </c>
      <c r="GH57" t="s">
        <v>1045</v>
      </c>
      <c r="GI57" t="s">
        <v>2028</v>
      </c>
      <c r="GL57">
        <v>0</v>
      </c>
      <c r="GM57">
        <v>0</v>
      </c>
      <c r="GN57">
        <v>0</v>
      </c>
      <c r="GP57" t="s">
        <v>1042</v>
      </c>
      <c r="GQ57" t="s">
        <v>2027</v>
      </c>
      <c r="GS57" t="s">
        <v>1045</v>
      </c>
      <c r="GU57">
        <v>1</v>
      </c>
      <c r="GV57" t="s">
        <v>1045</v>
      </c>
      <c r="GW57" t="s">
        <v>2026</v>
      </c>
      <c r="GZ57" t="s">
        <v>2025</v>
      </c>
      <c r="HH57">
        <v>0</v>
      </c>
      <c r="HI57">
        <v>0</v>
      </c>
      <c r="HK57" t="s">
        <v>1045</v>
      </c>
      <c r="HL57" t="s">
        <v>1045</v>
      </c>
      <c r="HP57">
        <v>0</v>
      </c>
      <c r="HZ57">
        <v>0</v>
      </c>
      <c r="IB57">
        <v>0</v>
      </c>
      <c r="IC57">
        <v>0</v>
      </c>
      <c r="IG57" t="s">
        <v>1042</v>
      </c>
      <c r="IJ57" t="s">
        <v>1042</v>
      </c>
      <c r="IM57">
        <v>0</v>
      </c>
      <c r="IN57" t="s">
        <v>2024</v>
      </c>
      <c r="IQ57" t="s">
        <v>1045</v>
      </c>
    </row>
    <row r="58" spans="2:251" x14ac:dyDescent="0.35">
      <c r="B58">
        <v>1</v>
      </c>
      <c r="C58">
        <v>1300</v>
      </c>
      <c r="D58">
        <v>0</v>
      </c>
      <c r="E58">
        <v>0</v>
      </c>
      <c r="F58">
        <v>0</v>
      </c>
      <c r="G58">
        <v>0</v>
      </c>
      <c r="H58">
        <v>0</v>
      </c>
      <c r="I58">
        <v>0</v>
      </c>
      <c r="J58" t="s">
        <v>2055</v>
      </c>
      <c r="M58">
        <v>105</v>
      </c>
      <c r="Q58">
        <v>105</v>
      </c>
      <c r="S58">
        <v>57</v>
      </c>
      <c r="T58">
        <v>0</v>
      </c>
      <c r="U58">
        <v>0</v>
      </c>
      <c r="W58">
        <v>2.1499999999999998E-2</v>
      </c>
      <c r="X58" t="s">
        <v>1085</v>
      </c>
      <c r="Y58" t="s">
        <v>1042</v>
      </c>
      <c r="Z58" t="s">
        <v>1042</v>
      </c>
      <c r="AA58" t="s">
        <v>1042</v>
      </c>
      <c r="AB58" t="s">
        <v>1042</v>
      </c>
      <c r="AC58" t="s">
        <v>1042</v>
      </c>
      <c r="AD58" t="s">
        <v>1042</v>
      </c>
      <c r="AE58">
        <v>0</v>
      </c>
      <c r="AG58">
        <v>0</v>
      </c>
      <c r="AH58">
        <v>0</v>
      </c>
      <c r="AI58">
        <v>0</v>
      </c>
      <c r="AJ58">
        <v>0</v>
      </c>
      <c r="AK58" t="s">
        <v>1043</v>
      </c>
      <c r="AM58">
        <v>950</v>
      </c>
      <c r="AO58" t="s">
        <v>1044</v>
      </c>
      <c r="AP58">
        <v>0</v>
      </c>
      <c r="AR58" t="s">
        <v>1047</v>
      </c>
      <c r="AV58">
        <v>0</v>
      </c>
      <c r="AW58">
        <v>0</v>
      </c>
      <c r="AX58">
        <v>0</v>
      </c>
      <c r="AY58">
        <v>0</v>
      </c>
      <c r="AZ58">
        <v>0</v>
      </c>
      <c r="BA58">
        <v>0</v>
      </c>
      <c r="BB58">
        <v>0</v>
      </c>
      <c r="BC58" t="s">
        <v>1043</v>
      </c>
      <c r="BD58">
        <v>0</v>
      </c>
      <c r="BE58">
        <v>0</v>
      </c>
      <c r="BJ58" t="s">
        <v>1044</v>
      </c>
      <c r="BM58">
        <v>0</v>
      </c>
      <c r="BN58">
        <v>0</v>
      </c>
      <c r="BO58">
        <v>0</v>
      </c>
      <c r="BP58">
        <v>0</v>
      </c>
      <c r="BQ58">
        <v>0</v>
      </c>
      <c r="BR58">
        <v>0</v>
      </c>
      <c r="BS58">
        <v>0</v>
      </c>
      <c r="BU58">
        <v>0.05</v>
      </c>
      <c r="BV58">
        <v>0.19</v>
      </c>
      <c r="BW58">
        <v>0.05</v>
      </c>
      <c r="BX58">
        <v>0.23</v>
      </c>
      <c r="BY58">
        <v>0.21</v>
      </c>
      <c r="BZ58">
        <v>0.27</v>
      </c>
      <c r="CA58">
        <v>200</v>
      </c>
      <c r="CM58" t="s">
        <v>2034</v>
      </c>
      <c r="CN58" t="s">
        <v>1045</v>
      </c>
      <c r="CR58">
        <v>0</v>
      </c>
      <c r="CS58">
        <v>0</v>
      </c>
      <c r="CT58">
        <v>0</v>
      </c>
      <c r="CU58">
        <v>0</v>
      </c>
      <c r="CX58">
        <v>0</v>
      </c>
      <c r="CY58">
        <v>0</v>
      </c>
      <c r="CZ58">
        <v>0</v>
      </c>
      <c r="DA58">
        <v>0</v>
      </c>
      <c r="DB58">
        <v>0</v>
      </c>
      <c r="DD58">
        <v>0</v>
      </c>
      <c r="DK58">
        <v>0</v>
      </c>
      <c r="DL58">
        <v>0</v>
      </c>
      <c r="DM58">
        <v>0</v>
      </c>
      <c r="DN58">
        <v>0</v>
      </c>
      <c r="DO58">
        <v>0</v>
      </c>
      <c r="DP58">
        <v>0</v>
      </c>
      <c r="DQ58">
        <v>0</v>
      </c>
      <c r="DR58">
        <v>0</v>
      </c>
      <c r="DW58" t="s">
        <v>1042</v>
      </c>
      <c r="DX58">
        <v>0</v>
      </c>
      <c r="DZ58">
        <v>0</v>
      </c>
      <c r="EA58">
        <v>0</v>
      </c>
      <c r="EC58">
        <v>0</v>
      </c>
      <c r="EM58">
        <v>0</v>
      </c>
      <c r="EN58">
        <v>0</v>
      </c>
      <c r="EO58">
        <v>0</v>
      </c>
      <c r="EY58">
        <v>0</v>
      </c>
      <c r="EZ58">
        <v>0</v>
      </c>
      <c r="FA58">
        <v>0</v>
      </c>
      <c r="FB58">
        <v>0</v>
      </c>
      <c r="FD58" t="s">
        <v>2029</v>
      </c>
      <c r="FF58">
        <v>0</v>
      </c>
      <c r="FG58">
        <v>0</v>
      </c>
      <c r="FR58">
        <v>0</v>
      </c>
      <c r="FS58">
        <v>0</v>
      </c>
      <c r="GD58">
        <v>0</v>
      </c>
      <c r="GL58">
        <v>0</v>
      </c>
      <c r="GM58">
        <v>0</v>
      </c>
      <c r="GN58">
        <v>0</v>
      </c>
      <c r="GP58" t="s">
        <v>1042</v>
      </c>
      <c r="GQ58" t="s">
        <v>2027</v>
      </c>
      <c r="HH58">
        <v>0</v>
      </c>
      <c r="HI58">
        <v>0</v>
      </c>
      <c r="HP58">
        <v>0</v>
      </c>
      <c r="HZ58">
        <v>0</v>
      </c>
      <c r="IB58">
        <v>0</v>
      </c>
      <c r="IC58">
        <v>0</v>
      </c>
      <c r="IG58" t="s">
        <v>1042</v>
      </c>
      <c r="IJ58" t="s">
        <v>1042</v>
      </c>
      <c r="IM58">
        <v>0</v>
      </c>
      <c r="IN58" t="s">
        <v>2024</v>
      </c>
      <c r="IO58">
        <v>7897801300957</v>
      </c>
    </row>
    <row r="59" spans="2:251" x14ac:dyDescent="0.35">
      <c r="B59">
        <v>1</v>
      </c>
      <c r="C59">
        <v>1301</v>
      </c>
      <c r="D59">
        <v>0</v>
      </c>
      <c r="E59">
        <v>0</v>
      </c>
      <c r="F59">
        <v>0</v>
      </c>
      <c r="G59">
        <v>0</v>
      </c>
      <c r="H59">
        <v>0</v>
      </c>
      <c r="I59">
        <v>0</v>
      </c>
      <c r="J59" t="s">
        <v>2054</v>
      </c>
      <c r="M59">
        <v>200</v>
      </c>
      <c r="Q59">
        <v>200</v>
      </c>
      <c r="S59">
        <v>58</v>
      </c>
      <c r="T59">
        <v>0</v>
      </c>
      <c r="U59">
        <v>0</v>
      </c>
      <c r="W59">
        <v>0.04</v>
      </c>
      <c r="X59" t="s">
        <v>1085</v>
      </c>
      <c r="Y59" t="s">
        <v>1042</v>
      </c>
      <c r="Z59" t="s">
        <v>1042</v>
      </c>
      <c r="AA59" t="s">
        <v>1042</v>
      </c>
      <c r="AB59" t="s">
        <v>1042</v>
      </c>
      <c r="AC59" t="s">
        <v>1042</v>
      </c>
      <c r="AD59" t="s">
        <v>1042</v>
      </c>
      <c r="AE59">
        <v>0</v>
      </c>
      <c r="AG59">
        <v>0</v>
      </c>
      <c r="AH59">
        <v>0</v>
      </c>
      <c r="AI59">
        <v>0</v>
      </c>
      <c r="AJ59">
        <v>0</v>
      </c>
      <c r="AK59" t="s">
        <v>1043</v>
      </c>
      <c r="AM59">
        <v>950</v>
      </c>
      <c r="AO59" t="s">
        <v>1044</v>
      </c>
      <c r="AP59">
        <v>0</v>
      </c>
      <c r="AR59" t="s">
        <v>1047</v>
      </c>
      <c r="AV59">
        <v>0</v>
      </c>
      <c r="AW59">
        <v>0</v>
      </c>
      <c r="AX59">
        <v>0</v>
      </c>
      <c r="AY59">
        <v>0</v>
      </c>
      <c r="AZ59">
        <v>0</v>
      </c>
      <c r="BA59">
        <v>0</v>
      </c>
      <c r="BB59">
        <v>0</v>
      </c>
      <c r="BC59" t="s">
        <v>1043</v>
      </c>
      <c r="BD59">
        <v>0</v>
      </c>
      <c r="BE59">
        <v>0</v>
      </c>
      <c r="BJ59" t="s">
        <v>1044</v>
      </c>
      <c r="BM59">
        <v>0</v>
      </c>
      <c r="BN59">
        <v>0</v>
      </c>
      <c r="BO59">
        <v>0</v>
      </c>
      <c r="BP59">
        <v>0</v>
      </c>
      <c r="BQ59">
        <v>0</v>
      </c>
      <c r="BR59">
        <v>0</v>
      </c>
      <c r="BS59">
        <v>0</v>
      </c>
      <c r="BU59">
        <v>0.06</v>
      </c>
      <c r="BV59">
        <v>0.19</v>
      </c>
      <c r="BW59">
        <v>0.06</v>
      </c>
      <c r="BX59">
        <v>0.23499999999999999</v>
      </c>
      <c r="BY59">
        <v>0.22</v>
      </c>
      <c r="BZ59">
        <v>0.27</v>
      </c>
      <c r="CA59">
        <v>150</v>
      </c>
      <c r="CM59" t="s">
        <v>2034</v>
      </c>
      <c r="CN59" t="s">
        <v>1045</v>
      </c>
      <c r="CR59">
        <v>0</v>
      </c>
      <c r="CS59">
        <v>0</v>
      </c>
      <c r="CT59">
        <v>0</v>
      </c>
      <c r="CU59">
        <v>0</v>
      </c>
      <c r="CX59">
        <v>0</v>
      </c>
      <c r="CY59">
        <v>0</v>
      </c>
      <c r="CZ59">
        <v>0</v>
      </c>
      <c r="DA59">
        <v>0</v>
      </c>
      <c r="DB59">
        <v>0</v>
      </c>
      <c r="DD59">
        <v>0</v>
      </c>
      <c r="DK59">
        <v>0</v>
      </c>
      <c r="DL59">
        <v>0</v>
      </c>
      <c r="DM59">
        <v>0</v>
      </c>
      <c r="DN59">
        <v>0</v>
      </c>
      <c r="DO59">
        <v>0</v>
      </c>
      <c r="DP59">
        <v>0</v>
      </c>
      <c r="DQ59">
        <v>0</v>
      </c>
      <c r="DR59">
        <v>0</v>
      </c>
      <c r="DW59" t="s">
        <v>1042</v>
      </c>
      <c r="DX59">
        <v>0</v>
      </c>
      <c r="DZ59">
        <v>0</v>
      </c>
      <c r="EA59">
        <v>0</v>
      </c>
      <c r="EC59">
        <v>0</v>
      </c>
      <c r="EM59">
        <v>0</v>
      </c>
      <c r="EN59">
        <v>0</v>
      </c>
      <c r="EO59">
        <v>0</v>
      </c>
      <c r="EY59">
        <v>0</v>
      </c>
      <c r="EZ59">
        <v>0</v>
      </c>
      <c r="FA59">
        <v>0</v>
      </c>
      <c r="FB59">
        <v>0</v>
      </c>
      <c r="FD59" t="s">
        <v>2029</v>
      </c>
      <c r="FF59">
        <v>0</v>
      </c>
      <c r="FG59">
        <v>0</v>
      </c>
      <c r="FR59">
        <v>0</v>
      </c>
      <c r="FS59">
        <v>0</v>
      </c>
      <c r="GD59">
        <v>0</v>
      </c>
      <c r="GL59">
        <v>0</v>
      </c>
      <c r="GM59">
        <v>0</v>
      </c>
      <c r="GN59">
        <v>0</v>
      </c>
      <c r="GP59" t="s">
        <v>1042</v>
      </c>
      <c r="GQ59" t="s">
        <v>2027</v>
      </c>
      <c r="HH59">
        <v>0</v>
      </c>
      <c r="HI59">
        <v>0</v>
      </c>
      <c r="HP59">
        <v>0</v>
      </c>
      <c r="HZ59">
        <v>0</v>
      </c>
      <c r="IB59">
        <v>0</v>
      </c>
      <c r="IC59">
        <v>0</v>
      </c>
      <c r="IG59" t="s">
        <v>1042</v>
      </c>
      <c r="IJ59" t="s">
        <v>1042</v>
      </c>
      <c r="IM59">
        <v>0</v>
      </c>
      <c r="IN59" t="s">
        <v>2024</v>
      </c>
      <c r="IO59">
        <v>7897801300964</v>
      </c>
    </row>
    <row r="60" spans="2:251" x14ac:dyDescent="0.35">
      <c r="B60">
        <v>1</v>
      </c>
      <c r="C60">
        <v>1302</v>
      </c>
      <c r="D60">
        <v>0</v>
      </c>
      <c r="E60">
        <v>0</v>
      </c>
      <c r="F60">
        <v>0</v>
      </c>
      <c r="G60">
        <v>0</v>
      </c>
      <c r="H60">
        <v>0</v>
      </c>
      <c r="I60">
        <v>0</v>
      </c>
      <c r="J60" t="s">
        <v>2053</v>
      </c>
      <c r="M60">
        <v>195</v>
      </c>
      <c r="Q60">
        <v>195</v>
      </c>
      <c r="S60">
        <v>70</v>
      </c>
      <c r="T60">
        <v>0</v>
      </c>
      <c r="U60">
        <v>0</v>
      </c>
      <c r="W60">
        <v>7.6999999999999999E-2</v>
      </c>
      <c r="X60" t="s">
        <v>1085</v>
      </c>
      <c r="Y60" t="s">
        <v>1042</v>
      </c>
      <c r="Z60" t="s">
        <v>1042</v>
      </c>
      <c r="AA60" t="s">
        <v>1042</v>
      </c>
      <c r="AB60" t="s">
        <v>1042</v>
      </c>
      <c r="AC60" t="s">
        <v>1042</v>
      </c>
      <c r="AD60" t="s">
        <v>1042</v>
      </c>
      <c r="AE60">
        <v>0</v>
      </c>
      <c r="AG60">
        <v>0</v>
      </c>
      <c r="AH60">
        <v>0</v>
      </c>
      <c r="AI60">
        <v>0</v>
      </c>
      <c r="AJ60">
        <v>0</v>
      </c>
      <c r="AK60" t="s">
        <v>1043</v>
      </c>
      <c r="AM60">
        <v>950</v>
      </c>
      <c r="AO60" t="s">
        <v>1044</v>
      </c>
      <c r="AP60">
        <v>0</v>
      </c>
      <c r="AR60" t="s">
        <v>1047</v>
      </c>
      <c r="AV60">
        <v>0</v>
      </c>
      <c r="AW60">
        <v>0</v>
      </c>
      <c r="AX60">
        <v>0</v>
      </c>
      <c r="AY60">
        <v>0</v>
      </c>
      <c r="AZ60">
        <v>0</v>
      </c>
      <c r="BA60">
        <v>0</v>
      </c>
      <c r="BB60">
        <v>0</v>
      </c>
      <c r="BC60" t="s">
        <v>1043</v>
      </c>
      <c r="BD60">
        <v>0</v>
      </c>
      <c r="BE60">
        <v>0</v>
      </c>
      <c r="BJ60" t="s">
        <v>1044</v>
      </c>
      <c r="BM60">
        <v>0</v>
      </c>
      <c r="BN60">
        <v>0</v>
      </c>
      <c r="BO60">
        <v>0</v>
      </c>
      <c r="BP60">
        <v>0</v>
      </c>
      <c r="BQ60">
        <v>0</v>
      </c>
      <c r="BR60">
        <v>0</v>
      </c>
      <c r="BS60">
        <v>0</v>
      </c>
      <c r="BU60">
        <v>7.0000000000000007E-2</v>
      </c>
      <c r="BV60">
        <v>0.19</v>
      </c>
      <c r="BW60">
        <v>7.0000000000000007E-2</v>
      </c>
      <c r="BX60">
        <v>0.23499999999999999</v>
      </c>
      <c r="BY60">
        <v>0.21</v>
      </c>
      <c r="BZ60">
        <v>0.27</v>
      </c>
      <c r="CA60">
        <v>100</v>
      </c>
      <c r="CM60" t="s">
        <v>2034</v>
      </c>
      <c r="CN60" t="s">
        <v>1045</v>
      </c>
      <c r="CR60">
        <v>0</v>
      </c>
      <c r="CS60">
        <v>0</v>
      </c>
      <c r="CT60">
        <v>0</v>
      </c>
      <c r="CU60">
        <v>0</v>
      </c>
      <c r="CX60">
        <v>0</v>
      </c>
      <c r="CY60">
        <v>0</v>
      </c>
      <c r="CZ60">
        <v>0</v>
      </c>
      <c r="DA60">
        <v>0</v>
      </c>
      <c r="DB60">
        <v>0</v>
      </c>
      <c r="DD60">
        <v>0</v>
      </c>
      <c r="DK60">
        <v>0</v>
      </c>
      <c r="DL60">
        <v>0</v>
      </c>
      <c r="DM60">
        <v>0</v>
      </c>
      <c r="DN60">
        <v>0</v>
      </c>
      <c r="DO60">
        <v>0</v>
      </c>
      <c r="DP60">
        <v>0</v>
      </c>
      <c r="DQ60">
        <v>0</v>
      </c>
      <c r="DR60">
        <v>0</v>
      </c>
      <c r="DW60" t="s">
        <v>1042</v>
      </c>
      <c r="DX60">
        <v>0</v>
      </c>
      <c r="DZ60">
        <v>0</v>
      </c>
      <c r="EA60">
        <v>0</v>
      </c>
      <c r="EC60">
        <v>0</v>
      </c>
      <c r="EM60">
        <v>0</v>
      </c>
      <c r="EN60">
        <v>0</v>
      </c>
      <c r="EO60">
        <v>0</v>
      </c>
      <c r="EY60">
        <v>0</v>
      </c>
      <c r="EZ60">
        <v>0</v>
      </c>
      <c r="FA60">
        <v>0</v>
      </c>
      <c r="FB60">
        <v>0</v>
      </c>
      <c r="FD60" t="s">
        <v>2029</v>
      </c>
      <c r="FF60">
        <v>0</v>
      </c>
      <c r="FG60">
        <v>0</v>
      </c>
      <c r="FR60">
        <v>0</v>
      </c>
      <c r="FS60">
        <v>0</v>
      </c>
      <c r="GD60">
        <v>0</v>
      </c>
      <c r="GL60">
        <v>0</v>
      </c>
      <c r="GM60">
        <v>0</v>
      </c>
      <c r="GN60">
        <v>0</v>
      </c>
      <c r="GP60" t="s">
        <v>1042</v>
      </c>
      <c r="GQ60" t="s">
        <v>2027</v>
      </c>
      <c r="HH60">
        <v>0</v>
      </c>
      <c r="HI60">
        <v>0</v>
      </c>
      <c r="HP60">
        <v>0</v>
      </c>
      <c r="HZ60">
        <v>0</v>
      </c>
      <c r="IB60">
        <v>0</v>
      </c>
      <c r="IC60">
        <v>0</v>
      </c>
      <c r="IG60" t="s">
        <v>1042</v>
      </c>
      <c r="IJ60" t="s">
        <v>1042</v>
      </c>
      <c r="IM60">
        <v>0</v>
      </c>
      <c r="IN60" t="s">
        <v>2024</v>
      </c>
      <c r="IO60">
        <v>7897801300971</v>
      </c>
    </row>
    <row r="61" spans="2:251" x14ac:dyDescent="0.35">
      <c r="B61">
        <v>1</v>
      </c>
      <c r="C61">
        <v>1308</v>
      </c>
      <c r="D61">
        <v>0</v>
      </c>
      <c r="E61">
        <v>0</v>
      </c>
      <c r="F61">
        <v>0</v>
      </c>
      <c r="G61">
        <v>0</v>
      </c>
      <c r="H61">
        <v>0</v>
      </c>
      <c r="I61">
        <v>0</v>
      </c>
      <c r="J61" t="s">
        <v>2052</v>
      </c>
      <c r="M61">
        <v>35</v>
      </c>
      <c r="Q61">
        <v>9.5</v>
      </c>
      <c r="S61">
        <v>22.8</v>
      </c>
      <c r="T61">
        <v>0</v>
      </c>
      <c r="U61">
        <v>0</v>
      </c>
      <c r="W61">
        <v>0</v>
      </c>
      <c r="Y61" t="s">
        <v>1042</v>
      </c>
      <c r="Z61" t="s">
        <v>1042</v>
      </c>
      <c r="AA61" t="s">
        <v>1042</v>
      </c>
      <c r="AB61" t="s">
        <v>1042</v>
      </c>
      <c r="AC61" t="s">
        <v>1042</v>
      </c>
      <c r="AD61" t="s">
        <v>1042</v>
      </c>
      <c r="AE61">
        <v>0</v>
      </c>
      <c r="AG61">
        <v>0</v>
      </c>
      <c r="AH61">
        <v>0</v>
      </c>
      <c r="AI61">
        <v>0</v>
      </c>
      <c r="AJ61">
        <v>0</v>
      </c>
      <c r="AK61" t="s">
        <v>1043</v>
      </c>
      <c r="AM61">
        <v>240</v>
      </c>
      <c r="AO61" t="s">
        <v>1044</v>
      </c>
      <c r="AP61">
        <v>0</v>
      </c>
      <c r="AR61" t="s">
        <v>1047</v>
      </c>
      <c r="AV61">
        <v>0</v>
      </c>
      <c r="AW61">
        <v>0</v>
      </c>
      <c r="AX61">
        <v>0</v>
      </c>
      <c r="AY61">
        <v>0</v>
      </c>
      <c r="AZ61">
        <v>0</v>
      </c>
      <c r="BA61">
        <v>0</v>
      </c>
      <c r="BB61">
        <v>0</v>
      </c>
      <c r="BC61" t="s">
        <v>1043</v>
      </c>
      <c r="BD61">
        <v>0</v>
      </c>
      <c r="BE61">
        <v>0</v>
      </c>
      <c r="BJ61" t="s">
        <v>1044</v>
      </c>
      <c r="BM61">
        <v>0</v>
      </c>
      <c r="BN61">
        <v>0</v>
      </c>
      <c r="BO61">
        <v>0</v>
      </c>
      <c r="BP61">
        <v>0</v>
      </c>
      <c r="BQ61">
        <v>0</v>
      </c>
      <c r="BR61">
        <v>0</v>
      </c>
      <c r="BS61">
        <v>0</v>
      </c>
      <c r="BU61">
        <v>0.20499999999999999</v>
      </c>
      <c r="BV61">
        <v>0.37</v>
      </c>
      <c r="BW61">
        <v>0.44</v>
      </c>
      <c r="BX61">
        <v>0</v>
      </c>
      <c r="BY61">
        <v>0</v>
      </c>
      <c r="BZ61">
        <v>0</v>
      </c>
      <c r="CA61">
        <v>0</v>
      </c>
      <c r="CQ61" t="s">
        <v>2031</v>
      </c>
      <c r="CR61">
        <v>0</v>
      </c>
      <c r="CS61">
        <v>0</v>
      </c>
      <c r="CT61">
        <v>0</v>
      </c>
      <c r="CU61">
        <v>0</v>
      </c>
      <c r="CW61" t="s">
        <v>1043</v>
      </c>
      <c r="CX61">
        <v>0</v>
      </c>
      <c r="CY61">
        <v>0</v>
      </c>
      <c r="CZ61">
        <v>0</v>
      </c>
      <c r="DA61">
        <v>0</v>
      </c>
      <c r="DB61">
        <v>0</v>
      </c>
      <c r="DD61">
        <v>0</v>
      </c>
      <c r="DK61">
        <v>0</v>
      </c>
      <c r="DL61">
        <v>0</v>
      </c>
      <c r="DM61">
        <v>0</v>
      </c>
      <c r="DN61">
        <v>0</v>
      </c>
      <c r="DO61">
        <v>0</v>
      </c>
      <c r="DP61">
        <v>0</v>
      </c>
      <c r="DQ61">
        <v>0</v>
      </c>
      <c r="DR61">
        <v>0</v>
      </c>
      <c r="DS61" t="s">
        <v>1043</v>
      </c>
      <c r="DT61" t="s">
        <v>1044</v>
      </c>
      <c r="DU61" t="s">
        <v>1044</v>
      </c>
      <c r="DW61" t="s">
        <v>1042</v>
      </c>
      <c r="DX61">
        <v>0</v>
      </c>
      <c r="DY61" t="s">
        <v>1043</v>
      </c>
      <c r="DZ61">
        <v>0</v>
      </c>
      <c r="EA61">
        <v>0</v>
      </c>
      <c r="EC61">
        <v>0</v>
      </c>
      <c r="EM61">
        <v>0</v>
      </c>
      <c r="EN61">
        <v>0</v>
      </c>
      <c r="EO61">
        <v>0</v>
      </c>
      <c r="EP61" t="s">
        <v>1043</v>
      </c>
      <c r="EX61" t="s">
        <v>2030</v>
      </c>
      <c r="EY61">
        <v>0</v>
      </c>
      <c r="EZ61">
        <v>0</v>
      </c>
      <c r="FA61">
        <v>0</v>
      </c>
      <c r="FB61">
        <v>1</v>
      </c>
      <c r="FC61" t="s">
        <v>1</v>
      </c>
      <c r="FD61" t="s">
        <v>2029</v>
      </c>
      <c r="FE61" t="s">
        <v>1045</v>
      </c>
      <c r="FF61">
        <v>0</v>
      </c>
      <c r="FG61">
        <v>0</v>
      </c>
      <c r="FH61" t="s">
        <v>1045</v>
      </c>
      <c r="FI61" t="s">
        <v>1045</v>
      </c>
      <c r="FJ61" t="s">
        <v>1043</v>
      </c>
      <c r="FR61">
        <v>0</v>
      </c>
      <c r="FS61">
        <v>0</v>
      </c>
      <c r="GA61" t="s">
        <v>1044</v>
      </c>
      <c r="GB61" t="s">
        <v>1044</v>
      </c>
      <c r="GC61" t="s">
        <v>1045</v>
      </c>
      <c r="GD61">
        <v>0</v>
      </c>
      <c r="GH61" t="s">
        <v>1045</v>
      </c>
      <c r="GI61" t="s">
        <v>2028</v>
      </c>
      <c r="GL61">
        <v>0</v>
      </c>
      <c r="GM61">
        <v>0</v>
      </c>
      <c r="GN61">
        <v>0</v>
      </c>
      <c r="GP61" t="s">
        <v>1042</v>
      </c>
      <c r="GQ61" t="s">
        <v>2027</v>
      </c>
      <c r="GS61" t="s">
        <v>1045</v>
      </c>
      <c r="GU61">
        <v>1</v>
      </c>
      <c r="GV61" t="s">
        <v>1045</v>
      </c>
      <c r="GW61" t="s">
        <v>2026</v>
      </c>
      <c r="GZ61" t="s">
        <v>2025</v>
      </c>
      <c r="HH61">
        <v>0</v>
      </c>
      <c r="HI61">
        <v>0</v>
      </c>
      <c r="HK61" t="s">
        <v>1045</v>
      </c>
      <c r="HL61" t="s">
        <v>1045</v>
      </c>
      <c r="HP61">
        <v>0</v>
      </c>
      <c r="HZ61">
        <v>0</v>
      </c>
      <c r="IB61">
        <v>0</v>
      </c>
      <c r="IC61">
        <v>0</v>
      </c>
      <c r="IG61" t="s">
        <v>1042</v>
      </c>
      <c r="IJ61" t="s">
        <v>1042</v>
      </c>
      <c r="IM61">
        <v>0</v>
      </c>
      <c r="IN61" t="s">
        <v>2024</v>
      </c>
      <c r="IQ61" t="s">
        <v>1045</v>
      </c>
    </row>
    <row r="62" spans="2:251" x14ac:dyDescent="0.35">
      <c r="B62">
        <v>1</v>
      </c>
      <c r="C62">
        <v>1309</v>
      </c>
      <c r="D62">
        <v>0</v>
      </c>
      <c r="E62">
        <v>0</v>
      </c>
      <c r="F62">
        <v>0</v>
      </c>
      <c r="G62">
        <v>0</v>
      </c>
      <c r="H62">
        <v>0</v>
      </c>
      <c r="I62">
        <v>0</v>
      </c>
      <c r="J62" t="s">
        <v>2051</v>
      </c>
      <c r="M62">
        <v>35.5</v>
      </c>
      <c r="Q62">
        <v>9.5</v>
      </c>
      <c r="S62">
        <v>38</v>
      </c>
      <c r="T62">
        <v>0</v>
      </c>
      <c r="U62">
        <v>0</v>
      </c>
      <c r="W62">
        <v>0</v>
      </c>
      <c r="Y62" t="s">
        <v>1042</v>
      </c>
      <c r="Z62" t="s">
        <v>1042</v>
      </c>
      <c r="AA62" t="s">
        <v>1042</v>
      </c>
      <c r="AB62" t="s">
        <v>1042</v>
      </c>
      <c r="AC62" t="s">
        <v>1042</v>
      </c>
      <c r="AD62" t="s">
        <v>1042</v>
      </c>
      <c r="AE62">
        <v>0</v>
      </c>
      <c r="AG62">
        <v>0</v>
      </c>
      <c r="AH62">
        <v>0</v>
      </c>
      <c r="AI62">
        <v>0</v>
      </c>
      <c r="AJ62">
        <v>0</v>
      </c>
      <c r="AK62" t="s">
        <v>1043</v>
      </c>
      <c r="AM62">
        <v>240</v>
      </c>
      <c r="AO62" t="s">
        <v>1044</v>
      </c>
      <c r="AP62">
        <v>0</v>
      </c>
      <c r="AR62" t="s">
        <v>1047</v>
      </c>
      <c r="AV62">
        <v>0</v>
      </c>
      <c r="AW62">
        <v>0</v>
      </c>
      <c r="AX62">
        <v>0</v>
      </c>
      <c r="AY62">
        <v>0</v>
      </c>
      <c r="AZ62">
        <v>0</v>
      </c>
      <c r="BA62">
        <v>0</v>
      </c>
      <c r="BB62">
        <v>0</v>
      </c>
      <c r="BC62" t="s">
        <v>1043</v>
      </c>
      <c r="BD62">
        <v>0</v>
      </c>
      <c r="BE62">
        <v>0</v>
      </c>
      <c r="BJ62" t="s">
        <v>1044</v>
      </c>
      <c r="BM62">
        <v>0</v>
      </c>
      <c r="BN62">
        <v>0</v>
      </c>
      <c r="BO62">
        <v>0</v>
      </c>
      <c r="BP62">
        <v>0</v>
      </c>
      <c r="BQ62">
        <v>0</v>
      </c>
      <c r="BR62">
        <v>0</v>
      </c>
      <c r="BS62">
        <v>0</v>
      </c>
      <c r="BU62">
        <v>0.21</v>
      </c>
      <c r="BV62">
        <v>0.36499999999999999</v>
      </c>
      <c r="BW62">
        <v>0.38500000000000001</v>
      </c>
      <c r="BX62">
        <v>0</v>
      </c>
      <c r="BY62">
        <v>0</v>
      </c>
      <c r="BZ62">
        <v>0</v>
      </c>
      <c r="CA62">
        <v>0</v>
      </c>
      <c r="CQ62" t="s">
        <v>2031</v>
      </c>
      <c r="CR62">
        <v>0</v>
      </c>
      <c r="CS62">
        <v>0</v>
      </c>
      <c r="CT62">
        <v>0</v>
      </c>
      <c r="CU62">
        <v>0</v>
      </c>
      <c r="CW62" t="s">
        <v>1043</v>
      </c>
      <c r="CX62">
        <v>0</v>
      </c>
      <c r="CY62">
        <v>0</v>
      </c>
      <c r="CZ62">
        <v>0</v>
      </c>
      <c r="DA62">
        <v>0</v>
      </c>
      <c r="DB62">
        <v>0</v>
      </c>
      <c r="DD62">
        <v>0</v>
      </c>
      <c r="DK62">
        <v>0</v>
      </c>
      <c r="DL62">
        <v>0</v>
      </c>
      <c r="DM62">
        <v>0</v>
      </c>
      <c r="DN62">
        <v>0</v>
      </c>
      <c r="DO62">
        <v>0</v>
      </c>
      <c r="DP62">
        <v>0</v>
      </c>
      <c r="DQ62">
        <v>0</v>
      </c>
      <c r="DR62">
        <v>0</v>
      </c>
      <c r="DS62" t="s">
        <v>1043</v>
      </c>
      <c r="DT62" t="s">
        <v>1044</v>
      </c>
      <c r="DU62" t="s">
        <v>1044</v>
      </c>
      <c r="DW62" t="s">
        <v>1042</v>
      </c>
      <c r="DX62">
        <v>0</v>
      </c>
      <c r="DY62" t="s">
        <v>1043</v>
      </c>
      <c r="DZ62">
        <v>0</v>
      </c>
      <c r="EA62">
        <v>0</v>
      </c>
      <c r="EC62">
        <v>0</v>
      </c>
      <c r="EM62">
        <v>0</v>
      </c>
      <c r="EN62">
        <v>0</v>
      </c>
      <c r="EO62">
        <v>0</v>
      </c>
      <c r="EP62" t="s">
        <v>1043</v>
      </c>
      <c r="EX62" t="s">
        <v>2030</v>
      </c>
      <c r="EY62">
        <v>0</v>
      </c>
      <c r="EZ62">
        <v>0</v>
      </c>
      <c r="FA62">
        <v>0</v>
      </c>
      <c r="FB62">
        <v>1</v>
      </c>
      <c r="FC62" t="s">
        <v>1</v>
      </c>
      <c r="FD62" t="s">
        <v>2029</v>
      </c>
      <c r="FE62" t="s">
        <v>1045</v>
      </c>
      <c r="FF62">
        <v>0</v>
      </c>
      <c r="FG62">
        <v>0</v>
      </c>
      <c r="FH62" t="s">
        <v>1045</v>
      </c>
      <c r="FI62" t="s">
        <v>1045</v>
      </c>
      <c r="FJ62" t="s">
        <v>1043</v>
      </c>
      <c r="FR62">
        <v>0</v>
      </c>
      <c r="FS62">
        <v>0</v>
      </c>
      <c r="GA62" t="s">
        <v>1044</v>
      </c>
      <c r="GB62" t="s">
        <v>1044</v>
      </c>
      <c r="GC62" t="s">
        <v>1045</v>
      </c>
      <c r="GD62">
        <v>0</v>
      </c>
      <c r="GH62" t="s">
        <v>1045</v>
      </c>
      <c r="GI62" t="s">
        <v>2028</v>
      </c>
      <c r="GL62">
        <v>0</v>
      </c>
      <c r="GM62">
        <v>0</v>
      </c>
      <c r="GN62">
        <v>0</v>
      </c>
      <c r="GP62" t="s">
        <v>1042</v>
      </c>
      <c r="GQ62" t="s">
        <v>2027</v>
      </c>
      <c r="GS62" t="s">
        <v>1045</v>
      </c>
      <c r="GU62">
        <v>1</v>
      </c>
      <c r="GV62" t="s">
        <v>1045</v>
      </c>
      <c r="GW62" t="s">
        <v>2026</v>
      </c>
      <c r="GZ62" t="s">
        <v>2025</v>
      </c>
      <c r="HH62">
        <v>0</v>
      </c>
      <c r="HI62">
        <v>0</v>
      </c>
      <c r="HK62" t="s">
        <v>1045</v>
      </c>
      <c r="HL62" t="s">
        <v>1045</v>
      </c>
      <c r="HP62">
        <v>0</v>
      </c>
      <c r="HZ62">
        <v>0</v>
      </c>
      <c r="IB62">
        <v>0</v>
      </c>
      <c r="IC62">
        <v>0</v>
      </c>
      <c r="IG62" t="s">
        <v>1042</v>
      </c>
      <c r="IJ62" t="s">
        <v>1042</v>
      </c>
      <c r="IM62">
        <v>0</v>
      </c>
      <c r="IN62" t="s">
        <v>2024</v>
      </c>
      <c r="IQ62" t="s">
        <v>1045</v>
      </c>
    </row>
    <row r="63" spans="2:251" x14ac:dyDescent="0.35">
      <c r="B63">
        <v>1</v>
      </c>
      <c r="C63">
        <v>1310</v>
      </c>
      <c r="D63">
        <v>0</v>
      </c>
      <c r="E63">
        <v>0</v>
      </c>
      <c r="F63">
        <v>0</v>
      </c>
      <c r="G63">
        <v>0</v>
      </c>
      <c r="H63">
        <v>0</v>
      </c>
      <c r="I63">
        <v>0</v>
      </c>
      <c r="J63" t="s">
        <v>2050</v>
      </c>
      <c r="M63">
        <v>53</v>
      </c>
      <c r="Q63">
        <v>9.6999999999999993</v>
      </c>
      <c r="S63">
        <v>35.5</v>
      </c>
      <c r="T63">
        <v>0</v>
      </c>
      <c r="U63">
        <v>0</v>
      </c>
      <c r="W63">
        <v>0</v>
      </c>
      <c r="Y63" t="s">
        <v>1042</v>
      </c>
      <c r="Z63" t="s">
        <v>1042</v>
      </c>
      <c r="AA63" t="s">
        <v>1042</v>
      </c>
      <c r="AB63" t="s">
        <v>1042</v>
      </c>
      <c r="AC63" t="s">
        <v>1042</v>
      </c>
      <c r="AD63" t="s">
        <v>1042</v>
      </c>
      <c r="AE63">
        <v>0</v>
      </c>
      <c r="AG63">
        <v>0</v>
      </c>
      <c r="AH63">
        <v>0</v>
      </c>
      <c r="AI63">
        <v>0</v>
      </c>
      <c r="AJ63">
        <v>0</v>
      </c>
      <c r="AK63" t="s">
        <v>1043</v>
      </c>
      <c r="AM63">
        <v>240</v>
      </c>
      <c r="AO63" t="s">
        <v>1044</v>
      </c>
      <c r="AP63">
        <v>0</v>
      </c>
      <c r="AR63" t="s">
        <v>1047</v>
      </c>
      <c r="AV63">
        <v>0</v>
      </c>
      <c r="AW63">
        <v>0</v>
      </c>
      <c r="AX63">
        <v>0</v>
      </c>
      <c r="AY63">
        <v>0</v>
      </c>
      <c r="AZ63">
        <v>0</v>
      </c>
      <c r="BA63">
        <v>0</v>
      </c>
      <c r="BB63">
        <v>0</v>
      </c>
      <c r="BC63" t="s">
        <v>1043</v>
      </c>
      <c r="BD63">
        <v>0</v>
      </c>
      <c r="BE63">
        <v>0</v>
      </c>
      <c r="BJ63" t="s">
        <v>1044</v>
      </c>
      <c r="BM63">
        <v>0</v>
      </c>
      <c r="BN63">
        <v>0</v>
      </c>
      <c r="BO63">
        <v>0</v>
      </c>
      <c r="BP63">
        <v>0</v>
      </c>
      <c r="BQ63">
        <v>0</v>
      </c>
      <c r="BR63">
        <v>0</v>
      </c>
      <c r="BS63">
        <v>0</v>
      </c>
      <c r="BU63">
        <v>0.21</v>
      </c>
      <c r="BV63">
        <v>0.37</v>
      </c>
      <c r="BW63">
        <v>0.53500000000000003</v>
      </c>
      <c r="BX63">
        <v>0</v>
      </c>
      <c r="BY63">
        <v>0</v>
      </c>
      <c r="BZ63">
        <v>0</v>
      </c>
      <c r="CA63">
        <v>0</v>
      </c>
      <c r="CQ63" t="s">
        <v>2031</v>
      </c>
      <c r="CR63">
        <v>0</v>
      </c>
      <c r="CS63">
        <v>0</v>
      </c>
      <c r="CT63">
        <v>0</v>
      </c>
      <c r="CU63">
        <v>0</v>
      </c>
      <c r="CW63" t="s">
        <v>1043</v>
      </c>
      <c r="CX63">
        <v>0</v>
      </c>
      <c r="CY63">
        <v>0</v>
      </c>
      <c r="CZ63">
        <v>0</v>
      </c>
      <c r="DA63">
        <v>0</v>
      </c>
      <c r="DB63">
        <v>0</v>
      </c>
      <c r="DD63">
        <v>0</v>
      </c>
      <c r="DK63">
        <v>0</v>
      </c>
      <c r="DL63">
        <v>0</v>
      </c>
      <c r="DM63">
        <v>0</v>
      </c>
      <c r="DN63">
        <v>0</v>
      </c>
      <c r="DO63">
        <v>0</v>
      </c>
      <c r="DP63">
        <v>0</v>
      </c>
      <c r="DQ63">
        <v>0</v>
      </c>
      <c r="DR63">
        <v>0</v>
      </c>
      <c r="DS63" t="s">
        <v>1043</v>
      </c>
      <c r="DT63" t="s">
        <v>1044</v>
      </c>
      <c r="DU63" t="s">
        <v>1044</v>
      </c>
      <c r="DW63" t="s">
        <v>1042</v>
      </c>
      <c r="DX63">
        <v>0</v>
      </c>
      <c r="DY63" t="s">
        <v>1043</v>
      </c>
      <c r="DZ63">
        <v>0</v>
      </c>
      <c r="EA63">
        <v>0</v>
      </c>
      <c r="EC63">
        <v>0</v>
      </c>
      <c r="EM63">
        <v>0</v>
      </c>
      <c r="EN63">
        <v>0</v>
      </c>
      <c r="EO63">
        <v>0</v>
      </c>
      <c r="EP63" t="s">
        <v>1043</v>
      </c>
      <c r="EX63" t="s">
        <v>2030</v>
      </c>
      <c r="EY63">
        <v>0</v>
      </c>
      <c r="EZ63">
        <v>0</v>
      </c>
      <c r="FA63">
        <v>0</v>
      </c>
      <c r="FB63">
        <v>1</v>
      </c>
      <c r="FC63" t="s">
        <v>1</v>
      </c>
      <c r="FD63" t="s">
        <v>2029</v>
      </c>
      <c r="FE63" t="s">
        <v>1045</v>
      </c>
      <c r="FF63">
        <v>0</v>
      </c>
      <c r="FG63">
        <v>0</v>
      </c>
      <c r="FH63" t="s">
        <v>1045</v>
      </c>
      <c r="FI63" t="s">
        <v>1045</v>
      </c>
      <c r="FJ63" t="s">
        <v>1043</v>
      </c>
      <c r="FR63">
        <v>0</v>
      </c>
      <c r="FS63">
        <v>0</v>
      </c>
      <c r="GA63" t="s">
        <v>1044</v>
      </c>
      <c r="GB63" t="s">
        <v>1044</v>
      </c>
      <c r="GC63" t="s">
        <v>1045</v>
      </c>
      <c r="GD63">
        <v>0</v>
      </c>
      <c r="GH63" t="s">
        <v>1045</v>
      </c>
      <c r="GI63" t="s">
        <v>2028</v>
      </c>
      <c r="GL63">
        <v>0</v>
      </c>
      <c r="GM63">
        <v>0</v>
      </c>
      <c r="GN63">
        <v>0</v>
      </c>
      <c r="GP63" t="s">
        <v>1042</v>
      </c>
      <c r="GQ63" t="s">
        <v>2027</v>
      </c>
      <c r="GS63" t="s">
        <v>1045</v>
      </c>
      <c r="GU63">
        <v>1</v>
      </c>
      <c r="GV63" t="s">
        <v>1045</v>
      </c>
      <c r="GW63" t="s">
        <v>2026</v>
      </c>
      <c r="GZ63" t="s">
        <v>2025</v>
      </c>
      <c r="HH63">
        <v>0</v>
      </c>
      <c r="HI63">
        <v>0</v>
      </c>
      <c r="HK63" t="s">
        <v>1045</v>
      </c>
      <c r="HL63" t="s">
        <v>1045</v>
      </c>
      <c r="HP63">
        <v>0</v>
      </c>
      <c r="HZ63">
        <v>0</v>
      </c>
      <c r="IB63">
        <v>0</v>
      </c>
      <c r="IC63">
        <v>0</v>
      </c>
      <c r="IG63" t="s">
        <v>1042</v>
      </c>
      <c r="IJ63" t="s">
        <v>1042</v>
      </c>
      <c r="IM63">
        <v>0</v>
      </c>
      <c r="IN63" t="s">
        <v>2024</v>
      </c>
      <c r="IQ63" t="s">
        <v>1045</v>
      </c>
    </row>
    <row r="64" spans="2:251" x14ac:dyDescent="0.35">
      <c r="B64">
        <v>1</v>
      </c>
      <c r="C64">
        <v>1311</v>
      </c>
      <c r="D64">
        <v>0</v>
      </c>
      <c r="E64">
        <v>0</v>
      </c>
      <c r="F64">
        <v>0</v>
      </c>
      <c r="G64">
        <v>0</v>
      </c>
      <c r="H64">
        <v>0</v>
      </c>
      <c r="I64">
        <v>0</v>
      </c>
      <c r="J64" t="s">
        <v>680</v>
      </c>
      <c r="M64">
        <v>35</v>
      </c>
      <c r="Q64">
        <v>9.5</v>
      </c>
      <c r="S64">
        <v>22.8</v>
      </c>
      <c r="T64">
        <v>0</v>
      </c>
      <c r="U64">
        <v>0</v>
      </c>
      <c r="W64">
        <v>0</v>
      </c>
      <c r="Y64" t="s">
        <v>1042</v>
      </c>
      <c r="Z64" t="s">
        <v>1042</v>
      </c>
      <c r="AA64" t="s">
        <v>1042</v>
      </c>
      <c r="AB64" t="s">
        <v>1042</v>
      </c>
      <c r="AC64" t="s">
        <v>1042</v>
      </c>
      <c r="AD64" t="s">
        <v>1042</v>
      </c>
      <c r="AE64">
        <v>0</v>
      </c>
      <c r="AG64">
        <v>0</v>
      </c>
      <c r="AH64">
        <v>0</v>
      </c>
      <c r="AI64">
        <v>0</v>
      </c>
      <c r="AJ64">
        <v>0</v>
      </c>
      <c r="AK64" t="s">
        <v>1043</v>
      </c>
      <c r="AM64">
        <v>240</v>
      </c>
      <c r="AO64" t="s">
        <v>1044</v>
      </c>
      <c r="AP64">
        <v>0</v>
      </c>
      <c r="AR64" t="s">
        <v>1047</v>
      </c>
      <c r="AV64">
        <v>0</v>
      </c>
      <c r="AW64">
        <v>0</v>
      </c>
      <c r="AX64">
        <v>0</v>
      </c>
      <c r="AY64">
        <v>0</v>
      </c>
      <c r="AZ64">
        <v>0</v>
      </c>
      <c r="BA64">
        <v>0</v>
      </c>
      <c r="BB64">
        <v>0</v>
      </c>
      <c r="BC64" t="s">
        <v>1043</v>
      </c>
      <c r="BD64">
        <v>0</v>
      </c>
      <c r="BE64">
        <v>0</v>
      </c>
      <c r="BJ64" t="s">
        <v>1044</v>
      </c>
      <c r="BM64">
        <v>0</v>
      </c>
      <c r="BN64">
        <v>0</v>
      </c>
      <c r="BO64">
        <v>0</v>
      </c>
      <c r="BP64">
        <v>0</v>
      </c>
      <c r="BQ64">
        <v>0</v>
      </c>
      <c r="BR64">
        <v>0</v>
      </c>
      <c r="BS64">
        <v>0</v>
      </c>
      <c r="BU64">
        <v>0.20499999999999999</v>
      </c>
      <c r="BV64">
        <v>0.37</v>
      </c>
      <c r="BW64">
        <v>0.44</v>
      </c>
      <c r="BX64">
        <v>0</v>
      </c>
      <c r="BY64">
        <v>0</v>
      </c>
      <c r="BZ64">
        <v>0</v>
      </c>
      <c r="CA64">
        <v>0</v>
      </c>
      <c r="CQ64" t="s">
        <v>2031</v>
      </c>
      <c r="CR64">
        <v>0</v>
      </c>
      <c r="CS64">
        <v>0</v>
      </c>
      <c r="CT64">
        <v>0</v>
      </c>
      <c r="CU64">
        <v>0</v>
      </c>
      <c r="CW64" t="s">
        <v>1043</v>
      </c>
      <c r="CX64">
        <v>0</v>
      </c>
      <c r="CY64">
        <v>0</v>
      </c>
      <c r="CZ64">
        <v>0</v>
      </c>
      <c r="DA64">
        <v>0</v>
      </c>
      <c r="DB64">
        <v>0</v>
      </c>
      <c r="DD64">
        <v>0</v>
      </c>
      <c r="DK64">
        <v>0</v>
      </c>
      <c r="DL64">
        <v>0</v>
      </c>
      <c r="DM64">
        <v>0</v>
      </c>
      <c r="DN64">
        <v>0</v>
      </c>
      <c r="DO64">
        <v>0</v>
      </c>
      <c r="DP64">
        <v>0</v>
      </c>
      <c r="DQ64">
        <v>0</v>
      </c>
      <c r="DR64">
        <v>0</v>
      </c>
      <c r="DS64" t="s">
        <v>1043</v>
      </c>
      <c r="DT64" t="s">
        <v>1044</v>
      </c>
      <c r="DU64" t="s">
        <v>1044</v>
      </c>
      <c r="DW64" t="s">
        <v>1042</v>
      </c>
      <c r="DX64">
        <v>0</v>
      </c>
      <c r="DY64" t="s">
        <v>1043</v>
      </c>
      <c r="DZ64">
        <v>0</v>
      </c>
      <c r="EA64">
        <v>0</v>
      </c>
      <c r="EC64">
        <v>0</v>
      </c>
      <c r="EM64">
        <v>0</v>
      </c>
      <c r="EN64">
        <v>0</v>
      </c>
      <c r="EO64">
        <v>0</v>
      </c>
      <c r="EP64" t="s">
        <v>1043</v>
      </c>
      <c r="EX64" t="s">
        <v>2030</v>
      </c>
      <c r="EY64">
        <v>0</v>
      </c>
      <c r="EZ64">
        <v>0</v>
      </c>
      <c r="FA64">
        <v>0</v>
      </c>
      <c r="FB64">
        <v>1</v>
      </c>
      <c r="FC64" t="s">
        <v>1</v>
      </c>
      <c r="FD64" t="s">
        <v>2029</v>
      </c>
      <c r="FE64" t="s">
        <v>1045</v>
      </c>
      <c r="FF64">
        <v>0</v>
      </c>
      <c r="FG64">
        <v>0</v>
      </c>
      <c r="FH64" t="s">
        <v>1045</v>
      </c>
      <c r="FI64" t="s">
        <v>1045</v>
      </c>
      <c r="FJ64" t="s">
        <v>1043</v>
      </c>
      <c r="FR64">
        <v>0</v>
      </c>
      <c r="FS64">
        <v>0</v>
      </c>
      <c r="GA64" t="s">
        <v>1044</v>
      </c>
      <c r="GB64" t="s">
        <v>1044</v>
      </c>
      <c r="GC64" t="s">
        <v>1045</v>
      </c>
      <c r="GD64">
        <v>0</v>
      </c>
      <c r="GH64" t="s">
        <v>1045</v>
      </c>
      <c r="GI64" t="s">
        <v>2028</v>
      </c>
      <c r="GL64">
        <v>0</v>
      </c>
      <c r="GM64">
        <v>0</v>
      </c>
      <c r="GN64">
        <v>0</v>
      </c>
      <c r="GP64" t="s">
        <v>1042</v>
      </c>
      <c r="GQ64" t="s">
        <v>2027</v>
      </c>
      <c r="GS64" t="s">
        <v>1045</v>
      </c>
      <c r="GU64">
        <v>1</v>
      </c>
      <c r="GV64" t="s">
        <v>1045</v>
      </c>
      <c r="GW64" t="s">
        <v>2026</v>
      </c>
      <c r="GZ64" t="s">
        <v>2025</v>
      </c>
      <c r="HH64">
        <v>0</v>
      </c>
      <c r="HI64">
        <v>0</v>
      </c>
      <c r="HK64" t="s">
        <v>1045</v>
      </c>
      <c r="HL64" t="s">
        <v>1045</v>
      </c>
      <c r="HP64">
        <v>0</v>
      </c>
      <c r="HZ64">
        <v>0</v>
      </c>
      <c r="IB64">
        <v>0</v>
      </c>
      <c r="IC64">
        <v>0</v>
      </c>
      <c r="IG64" t="s">
        <v>1042</v>
      </c>
      <c r="IJ64" t="s">
        <v>1042</v>
      </c>
      <c r="IM64">
        <v>0</v>
      </c>
      <c r="IN64" t="s">
        <v>2024</v>
      </c>
      <c r="IQ64" t="s">
        <v>1045</v>
      </c>
    </row>
    <row r="65" spans="2:251" x14ac:dyDescent="0.35">
      <c r="B65">
        <v>1</v>
      </c>
      <c r="C65">
        <v>1312</v>
      </c>
      <c r="D65">
        <v>0</v>
      </c>
      <c r="E65">
        <v>0</v>
      </c>
      <c r="F65">
        <v>0</v>
      </c>
      <c r="G65">
        <v>0</v>
      </c>
      <c r="H65">
        <v>0</v>
      </c>
      <c r="I65">
        <v>0</v>
      </c>
      <c r="J65" t="s">
        <v>681</v>
      </c>
      <c r="M65">
        <v>35.5</v>
      </c>
      <c r="Q65">
        <v>9.5</v>
      </c>
      <c r="S65">
        <v>38</v>
      </c>
      <c r="T65">
        <v>0</v>
      </c>
      <c r="U65">
        <v>0</v>
      </c>
      <c r="W65">
        <v>0</v>
      </c>
      <c r="Y65" t="s">
        <v>1042</v>
      </c>
      <c r="Z65" t="s">
        <v>1042</v>
      </c>
      <c r="AA65" t="s">
        <v>1042</v>
      </c>
      <c r="AB65" t="s">
        <v>1042</v>
      </c>
      <c r="AC65" t="s">
        <v>1042</v>
      </c>
      <c r="AD65" t="s">
        <v>1042</v>
      </c>
      <c r="AE65">
        <v>0</v>
      </c>
      <c r="AG65">
        <v>0</v>
      </c>
      <c r="AH65">
        <v>0</v>
      </c>
      <c r="AI65">
        <v>0</v>
      </c>
      <c r="AJ65">
        <v>0</v>
      </c>
      <c r="AK65" t="s">
        <v>1043</v>
      </c>
      <c r="AM65">
        <v>240</v>
      </c>
      <c r="AO65" t="s">
        <v>1044</v>
      </c>
      <c r="AP65">
        <v>0</v>
      </c>
      <c r="AR65" t="s">
        <v>1047</v>
      </c>
      <c r="AV65">
        <v>0</v>
      </c>
      <c r="AW65">
        <v>0</v>
      </c>
      <c r="AX65">
        <v>0</v>
      </c>
      <c r="AY65">
        <v>0</v>
      </c>
      <c r="AZ65">
        <v>0</v>
      </c>
      <c r="BA65">
        <v>0</v>
      </c>
      <c r="BB65">
        <v>0</v>
      </c>
      <c r="BC65" t="s">
        <v>1043</v>
      </c>
      <c r="BD65">
        <v>0</v>
      </c>
      <c r="BE65">
        <v>0</v>
      </c>
      <c r="BJ65" t="s">
        <v>1044</v>
      </c>
      <c r="BM65">
        <v>0</v>
      </c>
      <c r="BN65">
        <v>0</v>
      </c>
      <c r="BO65">
        <v>0</v>
      </c>
      <c r="BP65">
        <v>0</v>
      </c>
      <c r="BQ65">
        <v>0</v>
      </c>
      <c r="BR65">
        <v>0</v>
      </c>
      <c r="BS65">
        <v>0</v>
      </c>
      <c r="BU65">
        <v>0.21</v>
      </c>
      <c r="BV65">
        <v>0.36499999999999999</v>
      </c>
      <c r="BW65">
        <v>0.38500000000000001</v>
      </c>
      <c r="BX65">
        <v>0</v>
      </c>
      <c r="BY65">
        <v>0</v>
      </c>
      <c r="BZ65">
        <v>0</v>
      </c>
      <c r="CA65">
        <v>0</v>
      </c>
      <c r="CQ65" t="s">
        <v>2031</v>
      </c>
      <c r="CR65">
        <v>0</v>
      </c>
      <c r="CS65">
        <v>0</v>
      </c>
      <c r="CT65">
        <v>0</v>
      </c>
      <c r="CU65">
        <v>0</v>
      </c>
      <c r="CW65" t="s">
        <v>1043</v>
      </c>
      <c r="CX65">
        <v>0</v>
      </c>
      <c r="CY65">
        <v>0</v>
      </c>
      <c r="CZ65">
        <v>0</v>
      </c>
      <c r="DA65">
        <v>0</v>
      </c>
      <c r="DB65">
        <v>0</v>
      </c>
      <c r="DD65">
        <v>0</v>
      </c>
      <c r="DK65">
        <v>0</v>
      </c>
      <c r="DL65">
        <v>0</v>
      </c>
      <c r="DM65">
        <v>0</v>
      </c>
      <c r="DN65">
        <v>0</v>
      </c>
      <c r="DO65">
        <v>0</v>
      </c>
      <c r="DP65">
        <v>0</v>
      </c>
      <c r="DQ65">
        <v>0</v>
      </c>
      <c r="DR65">
        <v>0</v>
      </c>
      <c r="DS65" t="s">
        <v>1043</v>
      </c>
      <c r="DT65" t="s">
        <v>1044</v>
      </c>
      <c r="DU65" t="s">
        <v>1044</v>
      </c>
      <c r="DW65" t="s">
        <v>1042</v>
      </c>
      <c r="DX65">
        <v>0</v>
      </c>
      <c r="DY65" t="s">
        <v>1043</v>
      </c>
      <c r="DZ65">
        <v>0</v>
      </c>
      <c r="EA65">
        <v>0</v>
      </c>
      <c r="EC65">
        <v>0</v>
      </c>
      <c r="EM65">
        <v>0</v>
      </c>
      <c r="EN65">
        <v>0</v>
      </c>
      <c r="EO65">
        <v>0</v>
      </c>
      <c r="EP65" t="s">
        <v>1043</v>
      </c>
      <c r="EX65" t="s">
        <v>2030</v>
      </c>
      <c r="EY65">
        <v>0</v>
      </c>
      <c r="EZ65">
        <v>0</v>
      </c>
      <c r="FA65">
        <v>0</v>
      </c>
      <c r="FB65">
        <v>1</v>
      </c>
      <c r="FC65" t="s">
        <v>1</v>
      </c>
      <c r="FD65" t="s">
        <v>2029</v>
      </c>
      <c r="FE65" t="s">
        <v>1045</v>
      </c>
      <c r="FF65">
        <v>0</v>
      </c>
      <c r="FG65">
        <v>0</v>
      </c>
      <c r="FH65" t="s">
        <v>1045</v>
      </c>
      <c r="FI65" t="s">
        <v>1045</v>
      </c>
      <c r="FJ65" t="s">
        <v>1043</v>
      </c>
      <c r="FR65">
        <v>0</v>
      </c>
      <c r="FS65">
        <v>0</v>
      </c>
      <c r="GA65" t="s">
        <v>1044</v>
      </c>
      <c r="GB65" t="s">
        <v>1044</v>
      </c>
      <c r="GC65" t="s">
        <v>1045</v>
      </c>
      <c r="GD65">
        <v>0</v>
      </c>
      <c r="GH65" t="s">
        <v>1045</v>
      </c>
      <c r="GI65" t="s">
        <v>2028</v>
      </c>
      <c r="GL65">
        <v>0</v>
      </c>
      <c r="GM65">
        <v>0</v>
      </c>
      <c r="GN65">
        <v>0</v>
      </c>
      <c r="GP65" t="s">
        <v>1042</v>
      </c>
      <c r="GQ65" t="s">
        <v>2027</v>
      </c>
      <c r="GS65" t="s">
        <v>1045</v>
      </c>
      <c r="GU65">
        <v>1</v>
      </c>
      <c r="GV65" t="s">
        <v>1045</v>
      </c>
      <c r="GW65" t="s">
        <v>2026</v>
      </c>
      <c r="GZ65" t="s">
        <v>2025</v>
      </c>
      <c r="HH65">
        <v>0</v>
      </c>
      <c r="HI65">
        <v>0</v>
      </c>
      <c r="HK65" t="s">
        <v>1045</v>
      </c>
      <c r="HL65" t="s">
        <v>1045</v>
      </c>
      <c r="HP65">
        <v>0</v>
      </c>
      <c r="HZ65">
        <v>0</v>
      </c>
      <c r="IB65">
        <v>0</v>
      </c>
      <c r="IC65">
        <v>0</v>
      </c>
      <c r="IG65" t="s">
        <v>1042</v>
      </c>
      <c r="IJ65" t="s">
        <v>1042</v>
      </c>
      <c r="IM65">
        <v>0</v>
      </c>
      <c r="IN65" t="s">
        <v>2024</v>
      </c>
      <c r="IQ65" t="s">
        <v>1045</v>
      </c>
    </row>
    <row r="66" spans="2:251" x14ac:dyDescent="0.35">
      <c r="B66">
        <v>1</v>
      </c>
      <c r="C66">
        <v>1313</v>
      </c>
      <c r="D66">
        <v>0</v>
      </c>
      <c r="E66">
        <v>0</v>
      </c>
      <c r="F66">
        <v>0</v>
      </c>
      <c r="G66">
        <v>0</v>
      </c>
      <c r="H66">
        <v>0</v>
      </c>
      <c r="I66">
        <v>0</v>
      </c>
      <c r="J66" t="s">
        <v>682</v>
      </c>
      <c r="M66">
        <v>53</v>
      </c>
      <c r="Q66">
        <v>9.6999999999999993</v>
      </c>
      <c r="S66">
        <v>35.5</v>
      </c>
      <c r="T66">
        <v>0</v>
      </c>
      <c r="U66">
        <v>0</v>
      </c>
      <c r="W66">
        <v>0</v>
      </c>
      <c r="Y66" t="s">
        <v>1042</v>
      </c>
      <c r="Z66" t="s">
        <v>1042</v>
      </c>
      <c r="AA66" t="s">
        <v>1042</v>
      </c>
      <c r="AB66" t="s">
        <v>1042</v>
      </c>
      <c r="AC66" t="s">
        <v>1042</v>
      </c>
      <c r="AD66" t="s">
        <v>1042</v>
      </c>
      <c r="AE66">
        <v>0</v>
      </c>
      <c r="AG66">
        <v>0</v>
      </c>
      <c r="AH66">
        <v>0</v>
      </c>
      <c r="AI66">
        <v>0</v>
      </c>
      <c r="AJ66">
        <v>0</v>
      </c>
      <c r="AK66" t="s">
        <v>1043</v>
      </c>
      <c r="AM66">
        <v>240</v>
      </c>
      <c r="AO66" t="s">
        <v>1044</v>
      </c>
      <c r="AP66">
        <v>0</v>
      </c>
      <c r="AR66" t="s">
        <v>1047</v>
      </c>
      <c r="AV66">
        <v>0</v>
      </c>
      <c r="AW66">
        <v>0</v>
      </c>
      <c r="AX66">
        <v>0</v>
      </c>
      <c r="AY66">
        <v>0</v>
      </c>
      <c r="AZ66">
        <v>0</v>
      </c>
      <c r="BA66">
        <v>0</v>
      </c>
      <c r="BB66">
        <v>0</v>
      </c>
      <c r="BC66" t="s">
        <v>1043</v>
      </c>
      <c r="BD66">
        <v>0</v>
      </c>
      <c r="BE66">
        <v>0</v>
      </c>
      <c r="BJ66" t="s">
        <v>1044</v>
      </c>
      <c r="BM66">
        <v>0</v>
      </c>
      <c r="BN66">
        <v>0</v>
      </c>
      <c r="BO66">
        <v>0</v>
      </c>
      <c r="BP66">
        <v>0</v>
      </c>
      <c r="BQ66">
        <v>0</v>
      </c>
      <c r="BR66">
        <v>0</v>
      </c>
      <c r="BS66">
        <v>0</v>
      </c>
      <c r="BU66">
        <v>0.21</v>
      </c>
      <c r="BV66">
        <v>0.37</v>
      </c>
      <c r="BW66">
        <v>0.53500000000000003</v>
      </c>
      <c r="BX66">
        <v>0</v>
      </c>
      <c r="BY66">
        <v>0</v>
      </c>
      <c r="BZ66">
        <v>0</v>
      </c>
      <c r="CA66">
        <v>0</v>
      </c>
      <c r="CQ66" t="s">
        <v>2031</v>
      </c>
      <c r="CR66">
        <v>0</v>
      </c>
      <c r="CS66">
        <v>0</v>
      </c>
      <c r="CT66">
        <v>0</v>
      </c>
      <c r="CU66">
        <v>0</v>
      </c>
      <c r="CW66" t="s">
        <v>1043</v>
      </c>
      <c r="CX66">
        <v>0</v>
      </c>
      <c r="CY66">
        <v>0</v>
      </c>
      <c r="CZ66">
        <v>0</v>
      </c>
      <c r="DA66">
        <v>0</v>
      </c>
      <c r="DB66">
        <v>0</v>
      </c>
      <c r="DD66">
        <v>0</v>
      </c>
      <c r="DK66">
        <v>0</v>
      </c>
      <c r="DL66">
        <v>0</v>
      </c>
      <c r="DM66">
        <v>0</v>
      </c>
      <c r="DN66">
        <v>0</v>
      </c>
      <c r="DO66">
        <v>0</v>
      </c>
      <c r="DP66">
        <v>0</v>
      </c>
      <c r="DQ66">
        <v>0</v>
      </c>
      <c r="DR66">
        <v>0</v>
      </c>
      <c r="DS66" t="s">
        <v>1043</v>
      </c>
      <c r="DT66" t="s">
        <v>1044</v>
      </c>
      <c r="DU66" t="s">
        <v>1044</v>
      </c>
      <c r="DW66" t="s">
        <v>1042</v>
      </c>
      <c r="DX66">
        <v>0</v>
      </c>
      <c r="DY66" t="s">
        <v>1043</v>
      </c>
      <c r="DZ66">
        <v>0</v>
      </c>
      <c r="EA66">
        <v>0</v>
      </c>
      <c r="EC66">
        <v>0</v>
      </c>
      <c r="EM66">
        <v>0</v>
      </c>
      <c r="EN66">
        <v>0</v>
      </c>
      <c r="EO66">
        <v>0</v>
      </c>
      <c r="EP66" t="s">
        <v>1043</v>
      </c>
      <c r="EX66" t="s">
        <v>2030</v>
      </c>
      <c r="EY66">
        <v>0</v>
      </c>
      <c r="EZ66">
        <v>0</v>
      </c>
      <c r="FA66">
        <v>0</v>
      </c>
      <c r="FB66">
        <v>1</v>
      </c>
      <c r="FC66" t="s">
        <v>1</v>
      </c>
      <c r="FD66" t="s">
        <v>2029</v>
      </c>
      <c r="FE66" t="s">
        <v>1045</v>
      </c>
      <c r="FF66">
        <v>0</v>
      </c>
      <c r="FG66">
        <v>0</v>
      </c>
      <c r="FH66" t="s">
        <v>1045</v>
      </c>
      <c r="FI66" t="s">
        <v>1045</v>
      </c>
      <c r="FJ66" t="s">
        <v>1043</v>
      </c>
      <c r="FR66">
        <v>0</v>
      </c>
      <c r="FS66">
        <v>0</v>
      </c>
      <c r="GA66" t="s">
        <v>1044</v>
      </c>
      <c r="GB66" t="s">
        <v>1044</v>
      </c>
      <c r="GC66" t="s">
        <v>1045</v>
      </c>
      <c r="GD66">
        <v>0</v>
      </c>
      <c r="GH66" t="s">
        <v>1045</v>
      </c>
      <c r="GI66" t="s">
        <v>2028</v>
      </c>
      <c r="GL66">
        <v>0</v>
      </c>
      <c r="GM66">
        <v>0</v>
      </c>
      <c r="GN66">
        <v>0</v>
      </c>
      <c r="GP66" t="s">
        <v>1042</v>
      </c>
      <c r="GQ66" t="s">
        <v>2027</v>
      </c>
      <c r="GS66" t="s">
        <v>1045</v>
      </c>
      <c r="GU66">
        <v>1</v>
      </c>
      <c r="GV66" t="s">
        <v>1045</v>
      </c>
      <c r="GW66" t="s">
        <v>2026</v>
      </c>
      <c r="GZ66" t="s">
        <v>2025</v>
      </c>
      <c r="HH66">
        <v>0</v>
      </c>
      <c r="HI66">
        <v>0</v>
      </c>
      <c r="HK66" t="s">
        <v>1045</v>
      </c>
      <c r="HL66" t="s">
        <v>1045</v>
      </c>
      <c r="HP66">
        <v>0</v>
      </c>
      <c r="HZ66">
        <v>0</v>
      </c>
      <c r="IB66">
        <v>0</v>
      </c>
      <c r="IC66">
        <v>0</v>
      </c>
      <c r="IG66" t="s">
        <v>1042</v>
      </c>
      <c r="IJ66" t="s">
        <v>1042</v>
      </c>
      <c r="IM66">
        <v>0</v>
      </c>
      <c r="IN66" t="s">
        <v>2024</v>
      </c>
      <c r="IQ66" t="s">
        <v>1045</v>
      </c>
    </row>
    <row r="67" spans="2:251" x14ac:dyDescent="0.35">
      <c r="B67">
        <v>1</v>
      </c>
      <c r="C67">
        <v>1314</v>
      </c>
      <c r="D67">
        <v>0</v>
      </c>
      <c r="E67">
        <v>0</v>
      </c>
      <c r="F67">
        <v>0</v>
      </c>
      <c r="G67">
        <v>0</v>
      </c>
      <c r="H67">
        <v>0</v>
      </c>
      <c r="I67">
        <v>0</v>
      </c>
      <c r="J67" t="s">
        <v>2049</v>
      </c>
      <c r="M67">
        <v>27</v>
      </c>
      <c r="Q67">
        <v>9.5</v>
      </c>
      <c r="S67">
        <v>21</v>
      </c>
      <c r="T67">
        <v>0</v>
      </c>
      <c r="U67">
        <v>0</v>
      </c>
      <c r="W67">
        <v>0.58960000000000001</v>
      </c>
      <c r="X67" t="s">
        <v>1085</v>
      </c>
      <c r="Y67" t="s">
        <v>1042</v>
      </c>
      <c r="Z67" t="s">
        <v>1042</v>
      </c>
      <c r="AA67" t="s">
        <v>1042</v>
      </c>
      <c r="AB67" t="s">
        <v>1042</v>
      </c>
      <c r="AC67" t="s">
        <v>1042</v>
      </c>
      <c r="AD67" t="s">
        <v>1042</v>
      </c>
      <c r="AE67">
        <v>0</v>
      </c>
      <c r="AG67">
        <v>0</v>
      </c>
      <c r="AH67">
        <v>0</v>
      </c>
      <c r="AI67">
        <v>0</v>
      </c>
      <c r="AJ67">
        <v>0</v>
      </c>
      <c r="AK67" t="s">
        <v>1043</v>
      </c>
      <c r="AM67">
        <v>240</v>
      </c>
      <c r="AO67" t="s">
        <v>1044</v>
      </c>
      <c r="AP67">
        <v>0</v>
      </c>
      <c r="AR67" t="s">
        <v>1047</v>
      </c>
      <c r="AV67">
        <v>0</v>
      </c>
      <c r="AW67">
        <v>0</v>
      </c>
      <c r="AX67">
        <v>0</v>
      </c>
      <c r="AY67">
        <v>0</v>
      </c>
      <c r="AZ67">
        <v>0</v>
      </c>
      <c r="BA67">
        <v>0</v>
      </c>
      <c r="BB67">
        <v>0</v>
      </c>
      <c r="BC67" t="s">
        <v>1043</v>
      </c>
      <c r="BD67">
        <v>0</v>
      </c>
      <c r="BE67">
        <v>0</v>
      </c>
      <c r="BJ67" t="s">
        <v>1044</v>
      </c>
      <c r="BM67">
        <v>0</v>
      </c>
      <c r="BN67">
        <v>0</v>
      </c>
      <c r="BO67">
        <v>0</v>
      </c>
      <c r="BP67">
        <v>0</v>
      </c>
      <c r="BQ67">
        <v>0</v>
      </c>
      <c r="BR67">
        <v>0</v>
      </c>
      <c r="BS67">
        <v>0</v>
      </c>
      <c r="BU67">
        <v>0.37</v>
      </c>
      <c r="BV67">
        <v>0.31</v>
      </c>
      <c r="BW67">
        <v>0.435</v>
      </c>
      <c r="BX67">
        <v>0</v>
      </c>
      <c r="BY67">
        <v>0</v>
      </c>
      <c r="BZ67">
        <v>0</v>
      </c>
      <c r="CA67">
        <v>0</v>
      </c>
      <c r="CQ67" t="s">
        <v>2031</v>
      </c>
      <c r="CR67">
        <v>0</v>
      </c>
      <c r="CS67">
        <v>0</v>
      </c>
      <c r="CT67">
        <v>0</v>
      </c>
      <c r="CU67">
        <v>0</v>
      </c>
      <c r="CW67" t="s">
        <v>1043</v>
      </c>
      <c r="CX67">
        <v>0</v>
      </c>
      <c r="CY67">
        <v>0</v>
      </c>
      <c r="CZ67">
        <v>0</v>
      </c>
      <c r="DA67">
        <v>0</v>
      </c>
      <c r="DB67">
        <v>0</v>
      </c>
      <c r="DD67">
        <v>0</v>
      </c>
      <c r="DK67">
        <v>0</v>
      </c>
      <c r="DL67">
        <v>0</v>
      </c>
      <c r="DM67">
        <v>0</v>
      </c>
      <c r="DN67">
        <v>0</v>
      </c>
      <c r="DO67">
        <v>0</v>
      </c>
      <c r="DP67">
        <v>0</v>
      </c>
      <c r="DQ67">
        <v>0</v>
      </c>
      <c r="DR67">
        <v>0</v>
      </c>
      <c r="DS67" t="s">
        <v>1043</v>
      </c>
      <c r="DT67" t="s">
        <v>1044</v>
      </c>
      <c r="DU67" t="s">
        <v>1044</v>
      </c>
      <c r="DW67" t="s">
        <v>1042</v>
      </c>
      <c r="DX67">
        <v>0</v>
      </c>
      <c r="DY67" t="s">
        <v>1043</v>
      </c>
      <c r="DZ67">
        <v>0</v>
      </c>
      <c r="EA67">
        <v>0</v>
      </c>
      <c r="EC67">
        <v>0</v>
      </c>
      <c r="EM67">
        <v>0</v>
      </c>
      <c r="EN67">
        <v>0</v>
      </c>
      <c r="EO67">
        <v>0</v>
      </c>
      <c r="EP67" t="s">
        <v>1043</v>
      </c>
      <c r="EX67" t="s">
        <v>2030</v>
      </c>
      <c r="EY67">
        <v>0</v>
      </c>
      <c r="EZ67">
        <v>0</v>
      </c>
      <c r="FA67">
        <v>0</v>
      </c>
      <c r="FB67">
        <v>1</v>
      </c>
      <c r="FC67" t="s">
        <v>1</v>
      </c>
      <c r="FD67" t="s">
        <v>2029</v>
      </c>
      <c r="FE67" t="s">
        <v>1045</v>
      </c>
      <c r="FF67">
        <v>0</v>
      </c>
      <c r="FG67">
        <v>0</v>
      </c>
      <c r="FH67" t="s">
        <v>1045</v>
      </c>
      <c r="FI67" t="s">
        <v>1045</v>
      </c>
      <c r="FJ67" t="s">
        <v>1043</v>
      </c>
      <c r="FR67">
        <v>0</v>
      </c>
      <c r="FS67">
        <v>0</v>
      </c>
      <c r="GA67" t="s">
        <v>1044</v>
      </c>
      <c r="GB67" t="s">
        <v>1044</v>
      </c>
      <c r="GC67" t="s">
        <v>1045</v>
      </c>
      <c r="GD67">
        <v>0</v>
      </c>
      <c r="GH67" t="s">
        <v>1045</v>
      </c>
      <c r="GI67" t="s">
        <v>2028</v>
      </c>
      <c r="GL67">
        <v>0</v>
      </c>
      <c r="GM67">
        <v>0</v>
      </c>
      <c r="GN67">
        <v>0</v>
      </c>
      <c r="GP67" t="s">
        <v>1042</v>
      </c>
      <c r="GQ67" t="s">
        <v>2027</v>
      </c>
      <c r="GS67" t="s">
        <v>1045</v>
      </c>
      <c r="GU67">
        <v>1</v>
      </c>
      <c r="GV67" t="s">
        <v>1045</v>
      </c>
      <c r="GW67" t="s">
        <v>2026</v>
      </c>
      <c r="GZ67" t="s">
        <v>2025</v>
      </c>
      <c r="HH67">
        <v>0</v>
      </c>
      <c r="HI67">
        <v>0</v>
      </c>
      <c r="HK67" t="s">
        <v>1045</v>
      </c>
      <c r="HL67" t="s">
        <v>1045</v>
      </c>
      <c r="HP67">
        <v>0</v>
      </c>
      <c r="HZ67">
        <v>0</v>
      </c>
      <c r="IB67">
        <v>0</v>
      </c>
      <c r="IC67">
        <v>0</v>
      </c>
      <c r="IG67" t="s">
        <v>1042</v>
      </c>
      <c r="IJ67" t="s">
        <v>1042</v>
      </c>
      <c r="IM67">
        <v>0</v>
      </c>
      <c r="IN67" t="s">
        <v>2024</v>
      </c>
      <c r="IO67">
        <v>7897801319515</v>
      </c>
      <c r="IQ67" t="s">
        <v>1045</v>
      </c>
    </row>
    <row r="68" spans="2:251" x14ac:dyDescent="0.35">
      <c r="B68">
        <v>1</v>
      </c>
      <c r="C68">
        <v>1315</v>
      </c>
      <c r="D68">
        <v>0</v>
      </c>
      <c r="E68">
        <v>0</v>
      </c>
      <c r="F68">
        <v>0</v>
      </c>
      <c r="G68">
        <v>0</v>
      </c>
      <c r="H68">
        <v>0</v>
      </c>
      <c r="I68">
        <v>0</v>
      </c>
      <c r="J68" t="s">
        <v>684</v>
      </c>
      <c r="M68">
        <v>35</v>
      </c>
      <c r="Q68">
        <v>9.5</v>
      </c>
      <c r="S68">
        <v>22.8</v>
      </c>
      <c r="T68">
        <v>0</v>
      </c>
      <c r="U68">
        <v>0</v>
      </c>
      <c r="W68">
        <v>0.88600000000000001</v>
      </c>
      <c r="X68" t="s">
        <v>1085</v>
      </c>
      <c r="Y68" t="s">
        <v>1042</v>
      </c>
      <c r="Z68" t="s">
        <v>1042</v>
      </c>
      <c r="AA68" t="s">
        <v>1042</v>
      </c>
      <c r="AB68" t="s">
        <v>1042</v>
      </c>
      <c r="AC68" t="s">
        <v>1042</v>
      </c>
      <c r="AD68" t="s">
        <v>1042</v>
      </c>
      <c r="AE68">
        <v>0</v>
      </c>
      <c r="AG68">
        <v>0</v>
      </c>
      <c r="AH68">
        <v>0</v>
      </c>
      <c r="AI68">
        <v>0</v>
      </c>
      <c r="AJ68">
        <v>0</v>
      </c>
      <c r="AK68" t="s">
        <v>1043</v>
      </c>
      <c r="AM68">
        <v>240</v>
      </c>
      <c r="AO68" t="s">
        <v>1044</v>
      </c>
      <c r="AP68">
        <v>0</v>
      </c>
      <c r="AR68" t="s">
        <v>1047</v>
      </c>
      <c r="AV68">
        <v>0</v>
      </c>
      <c r="AW68">
        <v>0</v>
      </c>
      <c r="AX68">
        <v>0</v>
      </c>
      <c r="AY68">
        <v>0</v>
      </c>
      <c r="AZ68">
        <v>0</v>
      </c>
      <c r="BA68">
        <v>0</v>
      </c>
      <c r="BB68">
        <v>0</v>
      </c>
      <c r="BC68" t="s">
        <v>1043</v>
      </c>
      <c r="BD68">
        <v>0</v>
      </c>
      <c r="BE68">
        <v>0</v>
      </c>
      <c r="BJ68" t="s">
        <v>1044</v>
      </c>
      <c r="BM68">
        <v>0</v>
      </c>
      <c r="BN68">
        <v>0</v>
      </c>
      <c r="BO68">
        <v>0</v>
      </c>
      <c r="BP68">
        <v>0</v>
      </c>
      <c r="BQ68">
        <v>0</v>
      </c>
      <c r="BR68">
        <v>0</v>
      </c>
      <c r="BS68">
        <v>0</v>
      </c>
      <c r="BU68">
        <v>0.20499999999999999</v>
      </c>
      <c r="BV68">
        <v>0.37</v>
      </c>
      <c r="BW68">
        <v>0.44</v>
      </c>
      <c r="BX68">
        <v>0</v>
      </c>
      <c r="BY68">
        <v>0</v>
      </c>
      <c r="BZ68">
        <v>0</v>
      </c>
      <c r="CA68">
        <v>0</v>
      </c>
      <c r="CQ68" t="s">
        <v>2031</v>
      </c>
      <c r="CR68">
        <v>0</v>
      </c>
      <c r="CS68">
        <v>0</v>
      </c>
      <c r="CT68">
        <v>0</v>
      </c>
      <c r="CU68">
        <v>0</v>
      </c>
      <c r="CW68" t="s">
        <v>1043</v>
      </c>
      <c r="CX68">
        <v>0</v>
      </c>
      <c r="CY68">
        <v>0</v>
      </c>
      <c r="CZ68">
        <v>0</v>
      </c>
      <c r="DA68">
        <v>0</v>
      </c>
      <c r="DB68">
        <v>0</v>
      </c>
      <c r="DD68">
        <v>0</v>
      </c>
      <c r="DK68">
        <v>0</v>
      </c>
      <c r="DL68">
        <v>0</v>
      </c>
      <c r="DM68">
        <v>0</v>
      </c>
      <c r="DN68">
        <v>0</v>
      </c>
      <c r="DO68">
        <v>0</v>
      </c>
      <c r="DP68">
        <v>0</v>
      </c>
      <c r="DQ68">
        <v>0</v>
      </c>
      <c r="DR68">
        <v>0</v>
      </c>
      <c r="DS68" t="s">
        <v>1043</v>
      </c>
      <c r="DT68" t="s">
        <v>1044</v>
      </c>
      <c r="DU68" t="s">
        <v>1044</v>
      </c>
      <c r="DW68" t="s">
        <v>1042</v>
      </c>
      <c r="DX68">
        <v>0</v>
      </c>
      <c r="DY68" t="s">
        <v>1043</v>
      </c>
      <c r="DZ68">
        <v>0</v>
      </c>
      <c r="EA68">
        <v>0</v>
      </c>
      <c r="EC68">
        <v>0</v>
      </c>
      <c r="EM68">
        <v>0</v>
      </c>
      <c r="EN68">
        <v>0</v>
      </c>
      <c r="EO68">
        <v>0</v>
      </c>
      <c r="EP68" t="s">
        <v>1043</v>
      </c>
      <c r="EX68" t="s">
        <v>2030</v>
      </c>
      <c r="EY68">
        <v>0</v>
      </c>
      <c r="EZ68">
        <v>0</v>
      </c>
      <c r="FA68">
        <v>0</v>
      </c>
      <c r="FB68">
        <v>1</v>
      </c>
      <c r="FC68" t="s">
        <v>1</v>
      </c>
      <c r="FD68" t="s">
        <v>2029</v>
      </c>
      <c r="FE68" t="s">
        <v>1045</v>
      </c>
      <c r="FF68">
        <v>0</v>
      </c>
      <c r="FG68">
        <v>0</v>
      </c>
      <c r="FH68" t="s">
        <v>1045</v>
      </c>
      <c r="FI68" t="s">
        <v>1045</v>
      </c>
      <c r="FJ68" t="s">
        <v>1043</v>
      </c>
      <c r="FR68">
        <v>0</v>
      </c>
      <c r="FS68">
        <v>0</v>
      </c>
      <c r="GA68" t="s">
        <v>1044</v>
      </c>
      <c r="GB68" t="s">
        <v>1044</v>
      </c>
      <c r="GC68" t="s">
        <v>1045</v>
      </c>
      <c r="GD68">
        <v>0</v>
      </c>
      <c r="GH68" t="s">
        <v>1045</v>
      </c>
      <c r="GI68" t="s">
        <v>2028</v>
      </c>
      <c r="GL68">
        <v>0</v>
      </c>
      <c r="GM68">
        <v>0</v>
      </c>
      <c r="GN68">
        <v>0</v>
      </c>
      <c r="GP68" t="s">
        <v>1042</v>
      </c>
      <c r="GQ68" t="s">
        <v>2027</v>
      </c>
      <c r="GS68" t="s">
        <v>1045</v>
      </c>
      <c r="GU68">
        <v>1</v>
      </c>
      <c r="GV68" t="s">
        <v>1045</v>
      </c>
      <c r="GW68" t="s">
        <v>2026</v>
      </c>
      <c r="GZ68" t="s">
        <v>2025</v>
      </c>
      <c r="HH68">
        <v>0</v>
      </c>
      <c r="HI68">
        <v>0</v>
      </c>
      <c r="HK68" t="s">
        <v>1045</v>
      </c>
      <c r="HL68" t="s">
        <v>1045</v>
      </c>
      <c r="HP68">
        <v>0</v>
      </c>
      <c r="HZ68">
        <v>0</v>
      </c>
      <c r="IB68">
        <v>0</v>
      </c>
      <c r="IC68">
        <v>0</v>
      </c>
      <c r="IG68" t="s">
        <v>1042</v>
      </c>
      <c r="IJ68" t="s">
        <v>1042</v>
      </c>
      <c r="IM68">
        <v>0</v>
      </c>
      <c r="IN68" t="s">
        <v>2024</v>
      </c>
      <c r="IO68">
        <v>7897801319522</v>
      </c>
      <c r="IQ68" t="s">
        <v>1045</v>
      </c>
    </row>
    <row r="69" spans="2:251" x14ac:dyDescent="0.35">
      <c r="B69">
        <v>1</v>
      </c>
      <c r="C69">
        <v>1316</v>
      </c>
      <c r="D69">
        <v>0</v>
      </c>
      <c r="E69">
        <v>0</v>
      </c>
      <c r="F69">
        <v>0</v>
      </c>
      <c r="G69">
        <v>0</v>
      </c>
      <c r="H69">
        <v>0</v>
      </c>
      <c r="I69">
        <v>0</v>
      </c>
      <c r="J69" t="s">
        <v>685</v>
      </c>
      <c r="M69">
        <v>27</v>
      </c>
      <c r="Q69">
        <v>8.5</v>
      </c>
      <c r="S69">
        <v>21</v>
      </c>
      <c r="T69">
        <v>0</v>
      </c>
      <c r="U69">
        <v>0</v>
      </c>
      <c r="W69">
        <v>0.72270000000000001</v>
      </c>
      <c r="X69" t="s">
        <v>1085</v>
      </c>
      <c r="Y69" t="s">
        <v>1042</v>
      </c>
      <c r="Z69" t="s">
        <v>1042</v>
      </c>
      <c r="AA69" t="s">
        <v>1042</v>
      </c>
      <c r="AB69" t="s">
        <v>1042</v>
      </c>
      <c r="AC69" t="s">
        <v>1042</v>
      </c>
      <c r="AD69" t="s">
        <v>1042</v>
      </c>
      <c r="AE69">
        <v>0.36</v>
      </c>
      <c r="AG69">
        <v>0.21</v>
      </c>
      <c r="AH69">
        <v>0</v>
      </c>
      <c r="AI69">
        <v>0</v>
      </c>
      <c r="AJ69">
        <v>0.38500000000000001</v>
      </c>
      <c r="AK69" t="s">
        <v>1043</v>
      </c>
      <c r="AM69">
        <v>240</v>
      </c>
      <c r="AO69" t="s">
        <v>1044</v>
      </c>
      <c r="AP69">
        <v>0</v>
      </c>
      <c r="AR69" t="s">
        <v>1047</v>
      </c>
      <c r="AV69">
        <v>0</v>
      </c>
      <c r="AW69">
        <v>0</v>
      </c>
      <c r="AX69">
        <v>0</v>
      </c>
      <c r="AY69">
        <v>0</v>
      </c>
      <c r="AZ69">
        <v>0</v>
      </c>
      <c r="BA69">
        <v>0</v>
      </c>
      <c r="BB69">
        <v>0</v>
      </c>
      <c r="BC69" t="s">
        <v>1043</v>
      </c>
      <c r="BD69">
        <v>0</v>
      </c>
      <c r="BE69">
        <v>0</v>
      </c>
      <c r="BJ69" t="s">
        <v>1044</v>
      </c>
      <c r="BM69">
        <v>0</v>
      </c>
      <c r="BN69">
        <v>0</v>
      </c>
      <c r="BO69">
        <v>0</v>
      </c>
      <c r="BP69">
        <v>0</v>
      </c>
      <c r="BQ69">
        <v>0</v>
      </c>
      <c r="BR69">
        <v>0</v>
      </c>
      <c r="BS69">
        <v>0</v>
      </c>
      <c r="BU69">
        <v>0.38500000000000001</v>
      </c>
      <c r="BV69">
        <v>0.36</v>
      </c>
      <c r="BW69">
        <v>0.21</v>
      </c>
      <c r="BX69">
        <v>0</v>
      </c>
      <c r="BY69">
        <v>0</v>
      </c>
      <c r="BZ69">
        <v>0</v>
      </c>
      <c r="CA69">
        <v>0</v>
      </c>
      <c r="CQ69" t="s">
        <v>2031</v>
      </c>
      <c r="CR69">
        <v>0</v>
      </c>
      <c r="CS69">
        <v>0</v>
      </c>
      <c r="CT69">
        <v>0</v>
      </c>
      <c r="CU69">
        <v>0</v>
      </c>
      <c r="CW69" t="s">
        <v>1043</v>
      </c>
      <c r="CX69">
        <v>0</v>
      </c>
      <c r="CY69">
        <v>0</v>
      </c>
      <c r="CZ69">
        <v>0</v>
      </c>
      <c r="DA69">
        <v>0</v>
      </c>
      <c r="DB69">
        <v>0</v>
      </c>
      <c r="DD69">
        <v>0</v>
      </c>
      <c r="DK69">
        <v>0</v>
      </c>
      <c r="DL69">
        <v>0</v>
      </c>
      <c r="DM69">
        <v>0</v>
      </c>
      <c r="DN69">
        <v>0</v>
      </c>
      <c r="DO69">
        <v>0</v>
      </c>
      <c r="DP69">
        <v>0</v>
      </c>
      <c r="DQ69">
        <v>0</v>
      </c>
      <c r="DR69">
        <v>0</v>
      </c>
      <c r="DS69" t="s">
        <v>1043</v>
      </c>
      <c r="DT69" t="s">
        <v>1044</v>
      </c>
      <c r="DU69" t="s">
        <v>1044</v>
      </c>
      <c r="DW69" t="s">
        <v>1042</v>
      </c>
      <c r="DX69">
        <v>0</v>
      </c>
      <c r="DY69" t="s">
        <v>1043</v>
      </c>
      <c r="DZ69">
        <v>0</v>
      </c>
      <c r="EA69">
        <v>0</v>
      </c>
      <c r="EC69">
        <v>0</v>
      </c>
      <c r="EM69">
        <v>0</v>
      </c>
      <c r="EN69">
        <v>0</v>
      </c>
      <c r="EO69">
        <v>0</v>
      </c>
      <c r="EP69" t="s">
        <v>1043</v>
      </c>
      <c r="EX69" t="s">
        <v>2030</v>
      </c>
      <c r="EY69">
        <v>0</v>
      </c>
      <c r="EZ69">
        <v>0</v>
      </c>
      <c r="FA69">
        <v>0</v>
      </c>
      <c r="FB69">
        <v>1</v>
      </c>
      <c r="FC69" t="s">
        <v>1</v>
      </c>
      <c r="FD69" t="s">
        <v>2029</v>
      </c>
      <c r="FE69" t="s">
        <v>1045</v>
      </c>
      <c r="FF69">
        <v>0</v>
      </c>
      <c r="FG69">
        <v>0</v>
      </c>
      <c r="FH69" t="s">
        <v>1045</v>
      </c>
      <c r="FI69" t="s">
        <v>1045</v>
      </c>
      <c r="FJ69" t="s">
        <v>1043</v>
      </c>
      <c r="FR69">
        <v>0</v>
      </c>
      <c r="FS69">
        <v>0</v>
      </c>
      <c r="GA69" t="s">
        <v>1044</v>
      </c>
      <c r="GB69" t="s">
        <v>1044</v>
      </c>
      <c r="GC69" t="s">
        <v>1045</v>
      </c>
      <c r="GD69">
        <v>0</v>
      </c>
      <c r="GH69" t="s">
        <v>1045</v>
      </c>
      <c r="GI69" t="s">
        <v>2028</v>
      </c>
      <c r="GL69">
        <v>0</v>
      </c>
      <c r="GM69">
        <v>0</v>
      </c>
      <c r="GN69">
        <v>0</v>
      </c>
      <c r="GP69" t="s">
        <v>1042</v>
      </c>
      <c r="GQ69" t="s">
        <v>2027</v>
      </c>
      <c r="GS69" t="s">
        <v>1045</v>
      </c>
      <c r="GU69">
        <v>1</v>
      </c>
      <c r="GV69" t="s">
        <v>1045</v>
      </c>
      <c r="GW69" t="s">
        <v>2026</v>
      </c>
      <c r="GZ69" t="s">
        <v>2025</v>
      </c>
      <c r="HH69">
        <v>0</v>
      </c>
      <c r="HI69">
        <v>0</v>
      </c>
      <c r="HK69" t="s">
        <v>1045</v>
      </c>
      <c r="HL69" t="s">
        <v>1045</v>
      </c>
      <c r="HP69">
        <v>0</v>
      </c>
      <c r="HZ69">
        <v>0</v>
      </c>
      <c r="IB69">
        <v>0</v>
      </c>
      <c r="IC69">
        <v>0</v>
      </c>
      <c r="IG69" t="s">
        <v>1042</v>
      </c>
      <c r="IJ69" t="s">
        <v>1042</v>
      </c>
      <c r="IM69">
        <v>0</v>
      </c>
      <c r="IN69" t="s">
        <v>2024</v>
      </c>
      <c r="IO69">
        <v>7897801319539</v>
      </c>
      <c r="IQ69" t="s">
        <v>1045</v>
      </c>
    </row>
    <row r="70" spans="2:251" x14ac:dyDescent="0.35">
      <c r="B70">
        <v>1</v>
      </c>
      <c r="C70">
        <v>1317</v>
      </c>
      <c r="D70">
        <v>0</v>
      </c>
      <c r="E70">
        <v>0</v>
      </c>
      <c r="F70">
        <v>0</v>
      </c>
      <c r="G70">
        <v>0</v>
      </c>
      <c r="H70">
        <v>0</v>
      </c>
      <c r="I70">
        <v>0</v>
      </c>
      <c r="J70" t="s">
        <v>686</v>
      </c>
      <c r="M70">
        <v>53</v>
      </c>
      <c r="Q70">
        <v>8.5</v>
      </c>
      <c r="S70">
        <v>35.5</v>
      </c>
      <c r="T70">
        <v>0</v>
      </c>
      <c r="U70">
        <v>0</v>
      </c>
      <c r="W70">
        <v>1.1196999999999999</v>
      </c>
      <c r="X70" t="s">
        <v>1085</v>
      </c>
      <c r="Y70" t="s">
        <v>1042</v>
      </c>
      <c r="Z70" t="s">
        <v>1042</v>
      </c>
      <c r="AA70" t="s">
        <v>1042</v>
      </c>
      <c r="AB70" t="s">
        <v>1042</v>
      </c>
      <c r="AC70" t="s">
        <v>1042</v>
      </c>
      <c r="AD70" t="s">
        <v>1042</v>
      </c>
      <c r="AE70">
        <v>0.37</v>
      </c>
      <c r="AG70">
        <v>0.21</v>
      </c>
      <c r="AH70">
        <v>0</v>
      </c>
      <c r="AI70">
        <v>0</v>
      </c>
      <c r="AJ70">
        <v>0.53</v>
      </c>
      <c r="AK70" t="s">
        <v>1043</v>
      </c>
      <c r="AM70">
        <v>240</v>
      </c>
      <c r="AO70" t="s">
        <v>1044</v>
      </c>
      <c r="AP70">
        <v>0</v>
      </c>
      <c r="AR70" t="s">
        <v>1047</v>
      </c>
      <c r="AV70">
        <v>0</v>
      </c>
      <c r="AW70">
        <v>0</v>
      </c>
      <c r="AX70">
        <v>0</v>
      </c>
      <c r="AY70">
        <v>0</v>
      </c>
      <c r="AZ70">
        <v>0</v>
      </c>
      <c r="BA70">
        <v>0</v>
      </c>
      <c r="BB70">
        <v>0</v>
      </c>
      <c r="BC70" t="s">
        <v>1043</v>
      </c>
      <c r="BD70">
        <v>0</v>
      </c>
      <c r="BE70">
        <v>0</v>
      </c>
      <c r="BJ70" t="s">
        <v>1044</v>
      </c>
      <c r="BM70">
        <v>0</v>
      </c>
      <c r="BN70">
        <v>0</v>
      </c>
      <c r="BO70">
        <v>0</v>
      </c>
      <c r="BP70">
        <v>0</v>
      </c>
      <c r="BQ70">
        <v>0</v>
      </c>
      <c r="BR70">
        <v>0</v>
      </c>
      <c r="BS70">
        <v>0</v>
      </c>
      <c r="BU70">
        <v>0.21</v>
      </c>
      <c r="BV70">
        <v>0.37</v>
      </c>
      <c r="BW70">
        <v>0.53500000000000003</v>
      </c>
      <c r="BX70">
        <v>0</v>
      </c>
      <c r="BY70">
        <v>0</v>
      </c>
      <c r="BZ70">
        <v>0</v>
      </c>
      <c r="CA70">
        <v>0</v>
      </c>
      <c r="CQ70" t="s">
        <v>2031</v>
      </c>
      <c r="CR70">
        <v>0</v>
      </c>
      <c r="CS70">
        <v>0</v>
      </c>
      <c r="CT70">
        <v>0</v>
      </c>
      <c r="CU70">
        <v>0</v>
      </c>
      <c r="CW70" t="s">
        <v>1043</v>
      </c>
      <c r="CX70">
        <v>0</v>
      </c>
      <c r="CY70">
        <v>0</v>
      </c>
      <c r="CZ70">
        <v>0</v>
      </c>
      <c r="DA70">
        <v>0</v>
      </c>
      <c r="DB70">
        <v>0</v>
      </c>
      <c r="DD70">
        <v>0</v>
      </c>
      <c r="DK70">
        <v>0</v>
      </c>
      <c r="DL70">
        <v>0</v>
      </c>
      <c r="DM70">
        <v>0</v>
      </c>
      <c r="DN70">
        <v>0</v>
      </c>
      <c r="DO70">
        <v>0</v>
      </c>
      <c r="DP70">
        <v>0</v>
      </c>
      <c r="DQ70">
        <v>0</v>
      </c>
      <c r="DR70">
        <v>0</v>
      </c>
      <c r="DS70" t="s">
        <v>1043</v>
      </c>
      <c r="DT70" t="s">
        <v>1044</v>
      </c>
      <c r="DU70" t="s">
        <v>1044</v>
      </c>
      <c r="DW70" t="s">
        <v>1042</v>
      </c>
      <c r="DX70">
        <v>0</v>
      </c>
      <c r="DY70" t="s">
        <v>1043</v>
      </c>
      <c r="DZ70">
        <v>0</v>
      </c>
      <c r="EA70">
        <v>0</v>
      </c>
      <c r="EC70">
        <v>0</v>
      </c>
      <c r="EM70">
        <v>0</v>
      </c>
      <c r="EN70">
        <v>0</v>
      </c>
      <c r="EO70">
        <v>0</v>
      </c>
      <c r="EP70" t="s">
        <v>1043</v>
      </c>
      <c r="EX70" t="s">
        <v>2030</v>
      </c>
      <c r="EY70">
        <v>0</v>
      </c>
      <c r="EZ70">
        <v>0</v>
      </c>
      <c r="FA70">
        <v>0</v>
      </c>
      <c r="FB70">
        <v>1</v>
      </c>
      <c r="FC70" t="s">
        <v>1</v>
      </c>
      <c r="FD70" t="s">
        <v>2029</v>
      </c>
      <c r="FE70" t="s">
        <v>1045</v>
      </c>
      <c r="FF70">
        <v>0</v>
      </c>
      <c r="FG70">
        <v>0</v>
      </c>
      <c r="FH70" t="s">
        <v>1045</v>
      </c>
      <c r="FI70" t="s">
        <v>1045</v>
      </c>
      <c r="FJ70" t="s">
        <v>1043</v>
      </c>
      <c r="FR70">
        <v>0</v>
      </c>
      <c r="FS70">
        <v>0</v>
      </c>
      <c r="GA70" t="s">
        <v>1044</v>
      </c>
      <c r="GB70" t="s">
        <v>1044</v>
      </c>
      <c r="GC70" t="s">
        <v>1045</v>
      </c>
      <c r="GD70">
        <v>0</v>
      </c>
      <c r="GH70" t="s">
        <v>1045</v>
      </c>
      <c r="GI70" t="s">
        <v>2028</v>
      </c>
      <c r="GL70">
        <v>0</v>
      </c>
      <c r="GM70">
        <v>0</v>
      </c>
      <c r="GN70">
        <v>0</v>
      </c>
      <c r="GP70" t="s">
        <v>1042</v>
      </c>
      <c r="GQ70" t="s">
        <v>2027</v>
      </c>
      <c r="GS70" t="s">
        <v>1045</v>
      </c>
      <c r="GU70">
        <v>1</v>
      </c>
      <c r="GV70" t="s">
        <v>1045</v>
      </c>
      <c r="GW70" t="s">
        <v>2026</v>
      </c>
      <c r="GZ70" t="s">
        <v>2025</v>
      </c>
      <c r="HH70">
        <v>0</v>
      </c>
      <c r="HI70">
        <v>0</v>
      </c>
      <c r="HK70" t="s">
        <v>1045</v>
      </c>
      <c r="HL70" t="s">
        <v>1045</v>
      </c>
      <c r="HP70">
        <v>0</v>
      </c>
      <c r="HZ70">
        <v>0</v>
      </c>
      <c r="IB70">
        <v>0</v>
      </c>
      <c r="IC70">
        <v>0</v>
      </c>
      <c r="IG70" t="s">
        <v>1042</v>
      </c>
      <c r="IJ70" t="s">
        <v>1042</v>
      </c>
      <c r="IM70">
        <v>0</v>
      </c>
      <c r="IN70" t="s">
        <v>2024</v>
      </c>
      <c r="IO70">
        <v>7897801319546</v>
      </c>
      <c r="IQ70" t="s">
        <v>1045</v>
      </c>
    </row>
    <row r="71" spans="2:251" x14ac:dyDescent="0.35">
      <c r="B71">
        <v>1</v>
      </c>
      <c r="C71">
        <v>1318</v>
      </c>
      <c r="D71">
        <v>0</v>
      </c>
      <c r="E71">
        <v>0</v>
      </c>
      <c r="F71">
        <v>0</v>
      </c>
      <c r="G71">
        <v>0</v>
      </c>
      <c r="H71">
        <v>0</v>
      </c>
      <c r="I71">
        <v>0</v>
      </c>
      <c r="J71" t="s">
        <v>687</v>
      </c>
      <c r="M71">
        <v>27</v>
      </c>
      <c r="Q71">
        <v>9.5</v>
      </c>
      <c r="S71">
        <v>21</v>
      </c>
      <c r="T71">
        <v>0</v>
      </c>
      <c r="U71">
        <v>0</v>
      </c>
      <c r="W71">
        <v>0</v>
      </c>
      <c r="Y71" t="s">
        <v>1042</v>
      </c>
      <c r="Z71" t="s">
        <v>1042</v>
      </c>
      <c r="AA71" t="s">
        <v>1042</v>
      </c>
      <c r="AB71" t="s">
        <v>1042</v>
      </c>
      <c r="AC71" t="s">
        <v>1042</v>
      </c>
      <c r="AD71" t="s">
        <v>1042</v>
      </c>
      <c r="AE71">
        <v>0</v>
      </c>
      <c r="AG71">
        <v>0</v>
      </c>
      <c r="AH71">
        <v>0</v>
      </c>
      <c r="AI71">
        <v>0</v>
      </c>
      <c r="AJ71">
        <v>0</v>
      </c>
      <c r="AK71" t="s">
        <v>1043</v>
      </c>
      <c r="AM71">
        <v>240</v>
      </c>
      <c r="AO71" t="s">
        <v>1044</v>
      </c>
      <c r="AP71">
        <v>0</v>
      </c>
      <c r="AR71" t="s">
        <v>1047</v>
      </c>
      <c r="AV71">
        <v>0</v>
      </c>
      <c r="AW71">
        <v>0</v>
      </c>
      <c r="AX71">
        <v>0</v>
      </c>
      <c r="AY71">
        <v>0</v>
      </c>
      <c r="AZ71">
        <v>0</v>
      </c>
      <c r="BA71">
        <v>0</v>
      </c>
      <c r="BB71">
        <v>0</v>
      </c>
      <c r="BC71" t="s">
        <v>1043</v>
      </c>
      <c r="BD71">
        <v>0</v>
      </c>
      <c r="BE71">
        <v>0</v>
      </c>
      <c r="BJ71" t="s">
        <v>1044</v>
      </c>
      <c r="BM71">
        <v>0</v>
      </c>
      <c r="BN71">
        <v>0</v>
      </c>
      <c r="BO71">
        <v>0</v>
      </c>
      <c r="BP71">
        <v>0</v>
      </c>
      <c r="BQ71">
        <v>0</v>
      </c>
      <c r="BR71">
        <v>0</v>
      </c>
      <c r="BS71">
        <v>0</v>
      </c>
      <c r="BU71">
        <v>0.37</v>
      </c>
      <c r="BV71">
        <v>0.31</v>
      </c>
      <c r="BW71">
        <v>0.435</v>
      </c>
      <c r="BX71">
        <v>0</v>
      </c>
      <c r="BY71">
        <v>0</v>
      </c>
      <c r="BZ71">
        <v>0</v>
      </c>
      <c r="CA71">
        <v>0</v>
      </c>
      <c r="CQ71" t="s">
        <v>2031</v>
      </c>
      <c r="CR71">
        <v>0</v>
      </c>
      <c r="CS71">
        <v>0</v>
      </c>
      <c r="CT71">
        <v>0</v>
      </c>
      <c r="CU71">
        <v>0</v>
      </c>
      <c r="CW71" t="s">
        <v>1043</v>
      </c>
      <c r="CX71">
        <v>0</v>
      </c>
      <c r="CY71">
        <v>0</v>
      </c>
      <c r="CZ71">
        <v>0</v>
      </c>
      <c r="DA71">
        <v>0</v>
      </c>
      <c r="DB71">
        <v>0</v>
      </c>
      <c r="DD71">
        <v>0</v>
      </c>
      <c r="DK71">
        <v>0</v>
      </c>
      <c r="DL71">
        <v>0</v>
      </c>
      <c r="DM71">
        <v>0</v>
      </c>
      <c r="DN71">
        <v>0</v>
      </c>
      <c r="DO71">
        <v>0</v>
      </c>
      <c r="DP71">
        <v>0</v>
      </c>
      <c r="DQ71">
        <v>0</v>
      </c>
      <c r="DR71">
        <v>0</v>
      </c>
      <c r="DS71" t="s">
        <v>1043</v>
      </c>
      <c r="DT71" t="s">
        <v>1044</v>
      </c>
      <c r="DU71" t="s">
        <v>1044</v>
      </c>
      <c r="DW71" t="s">
        <v>1042</v>
      </c>
      <c r="DX71">
        <v>0</v>
      </c>
      <c r="DY71" t="s">
        <v>1043</v>
      </c>
      <c r="DZ71">
        <v>0</v>
      </c>
      <c r="EA71">
        <v>0</v>
      </c>
      <c r="EC71">
        <v>0</v>
      </c>
      <c r="EM71">
        <v>0</v>
      </c>
      <c r="EN71">
        <v>0</v>
      </c>
      <c r="EO71">
        <v>0</v>
      </c>
      <c r="EP71" t="s">
        <v>1043</v>
      </c>
      <c r="EX71" t="s">
        <v>2030</v>
      </c>
      <c r="EY71">
        <v>0</v>
      </c>
      <c r="EZ71">
        <v>0</v>
      </c>
      <c r="FA71">
        <v>0</v>
      </c>
      <c r="FB71">
        <v>1</v>
      </c>
      <c r="FC71" t="s">
        <v>1</v>
      </c>
      <c r="FD71" t="s">
        <v>2029</v>
      </c>
      <c r="FE71" t="s">
        <v>1045</v>
      </c>
      <c r="FF71">
        <v>0</v>
      </c>
      <c r="FG71">
        <v>0</v>
      </c>
      <c r="FH71" t="s">
        <v>1045</v>
      </c>
      <c r="FI71" t="s">
        <v>1045</v>
      </c>
      <c r="FJ71" t="s">
        <v>1043</v>
      </c>
      <c r="FR71">
        <v>0</v>
      </c>
      <c r="FS71">
        <v>0</v>
      </c>
      <c r="GA71" t="s">
        <v>1044</v>
      </c>
      <c r="GB71" t="s">
        <v>1044</v>
      </c>
      <c r="GC71" t="s">
        <v>1045</v>
      </c>
      <c r="GD71">
        <v>0</v>
      </c>
      <c r="GH71" t="s">
        <v>1045</v>
      </c>
      <c r="GI71" t="s">
        <v>2028</v>
      </c>
      <c r="GL71">
        <v>0</v>
      </c>
      <c r="GM71">
        <v>0</v>
      </c>
      <c r="GN71">
        <v>0</v>
      </c>
      <c r="GP71" t="s">
        <v>1042</v>
      </c>
      <c r="GQ71" t="s">
        <v>2027</v>
      </c>
      <c r="GS71" t="s">
        <v>1045</v>
      </c>
      <c r="GU71">
        <v>1</v>
      </c>
      <c r="GV71" t="s">
        <v>1045</v>
      </c>
      <c r="GW71" t="s">
        <v>2026</v>
      </c>
      <c r="GZ71" t="s">
        <v>2025</v>
      </c>
      <c r="HH71">
        <v>0</v>
      </c>
      <c r="HI71">
        <v>0</v>
      </c>
      <c r="HK71" t="s">
        <v>1045</v>
      </c>
      <c r="HL71" t="s">
        <v>1045</v>
      </c>
      <c r="HP71">
        <v>0</v>
      </c>
      <c r="HZ71">
        <v>0</v>
      </c>
      <c r="IB71">
        <v>0</v>
      </c>
      <c r="IC71">
        <v>0</v>
      </c>
      <c r="IG71" t="s">
        <v>1042</v>
      </c>
      <c r="IJ71" t="s">
        <v>1042</v>
      </c>
      <c r="IM71">
        <v>0</v>
      </c>
      <c r="IN71" t="s">
        <v>2024</v>
      </c>
      <c r="IQ71" t="s">
        <v>1045</v>
      </c>
    </row>
    <row r="72" spans="2:251" x14ac:dyDescent="0.35">
      <c r="B72">
        <v>1</v>
      </c>
      <c r="C72">
        <v>1319</v>
      </c>
      <c r="D72">
        <v>0</v>
      </c>
      <c r="E72">
        <v>0</v>
      </c>
      <c r="F72">
        <v>0</v>
      </c>
      <c r="G72">
        <v>0</v>
      </c>
      <c r="H72">
        <v>0</v>
      </c>
      <c r="I72">
        <v>0</v>
      </c>
      <c r="J72" t="s">
        <v>688</v>
      </c>
      <c r="M72">
        <v>35</v>
      </c>
      <c r="Q72">
        <v>9.5</v>
      </c>
      <c r="S72">
        <v>22.8</v>
      </c>
      <c r="T72">
        <v>0</v>
      </c>
      <c r="U72">
        <v>0</v>
      </c>
      <c r="W72">
        <v>0</v>
      </c>
      <c r="Y72" t="s">
        <v>1042</v>
      </c>
      <c r="Z72" t="s">
        <v>1042</v>
      </c>
      <c r="AA72" t="s">
        <v>1042</v>
      </c>
      <c r="AB72" t="s">
        <v>1042</v>
      </c>
      <c r="AC72" t="s">
        <v>1042</v>
      </c>
      <c r="AD72" t="s">
        <v>1042</v>
      </c>
      <c r="AE72">
        <v>0</v>
      </c>
      <c r="AG72">
        <v>0</v>
      </c>
      <c r="AH72">
        <v>0</v>
      </c>
      <c r="AI72">
        <v>0</v>
      </c>
      <c r="AJ72">
        <v>0</v>
      </c>
      <c r="AK72" t="s">
        <v>1043</v>
      </c>
      <c r="AM72">
        <v>240</v>
      </c>
      <c r="AO72" t="s">
        <v>1044</v>
      </c>
      <c r="AP72">
        <v>0</v>
      </c>
      <c r="AR72" t="s">
        <v>1047</v>
      </c>
      <c r="AV72">
        <v>0</v>
      </c>
      <c r="AW72">
        <v>0</v>
      </c>
      <c r="AX72">
        <v>0</v>
      </c>
      <c r="AY72">
        <v>0</v>
      </c>
      <c r="AZ72">
        <v>0</v>
      </c>
      <c r="BA72">
        <v>0</v>
      </c>
      <c r="BB72">
        <v>0</v>
      </c>
      <c r="BC72" t="s">
        <v>1043</v>
      </c>
      <c r="BD72">
        <v>0</v>
      </c>
      <c r="BE72">
        <v>0</v>
      </c>
      <c r="BJ72" t="s">
        <v>1044</v>
      </c>
      <c r="BM72">
        <v>0</v>
      </c>
      <c r="BN72">
        <v>0</v>
      </c>
      <c r="BO72">
        <v>0</v>
      </c>
      <c r="BP72">
        <v>0</v>
      </c>
      <c r="BQ72">
        <v>0</v>
      </c>
      <c r="BR72">
        <v>0</v>
      </c>
      <c r="BS72">
        <v>0</v>
      </c>
      <c r="BU72">
        <v>0.20499999999999999</v>
      </c>
      <c r="BV72">
        <v>0.37</v>
      </c>
      <c r="BW72">
        <v>0.44</v>
      </c>
      <c r="BX72">
        <v>0</v>
      </c>
      <c r="BY72">
        <v>0</v>
      </c>
      <c r="BZ72">
        <v>0</v>
      </c>
      <c r="CA72">
        <v>0</v>
      </c>
      <c r="CQ72" t="s">
        <v>2031</v>
      </c>
      <c r="CR72">
        <v>0</v>
      </c>
      <c r="CS72">
        <v>0</v>
      </c>
      <c r="CT72">
        <v>0</v>
      </c>
      <c r="CU72">
        <v>0</v>
      </c>
      <c r="CW72" t="s">
        <v>1043</v>
      </c>
      <c r="CX72">
        <v>0</v>
      </c>
      <c r="CY72">
        <v>0</v>
      </c>
      <c r="CZ72">
        <v>0</v>
      </c>
      <c r="DA72">
        <v>0</v>
      </c>
      <c r="DB72">
        <v>0</v>
      </c>
      <c r="DD72">
        <v>0</v>
      </c>
      <c r="DK72">
        <v>0</v>
      </c>
      <c r="DL72">
        <v>0</v>
      </c>
      <c r="DM72">
        <v>0</v>
      </c>
      <c r="DN72">
        <v>0</v>
      </c>
      <c r="DO72">
        <v>0</v>
      </c>
      <c r="DP72">
        <v>0</v>
      </c>
      <c r="DQ72">
        <v>0</v>
      </c>
      <c r="DR72">
        <v>0</v>
      </c>
      <c r="DS72" t="s">
        <v>1043</v>
      </c>
      <c r="DT72" t="s">
        <v>1044</v>
      </c>
      <c r="DU72" t="s">
        <v>1044</v>
      </c>
      <c r="DW72" t="s">
        <v>1042</v>
      </c>
      <c r="DX72">
        <v>0</v>
      </c>
      <c r="DY72" t="s">
        <v>1043</v>
      </c>
      <c r="DZ72">
        <v>0</v>
      </c>
      <c r="EA72">
        <v>0</v>
      </c>
      <c r="EC72">
        <v>0</v>
      </c>
      <c r="EM72">
        <v>0</v>
      </c>
      <c r="EN72">
        <v>0</v>
      </c>
      <c r="EO72">
        <v>0</v>
      </c>
      <c r="EP72" t="s">
        <v>1043</v>
      </c>
      <c r="EX72" t="s">
        <v>2030</v>
      </c>
      <c r="EY72">
        <v>0</v>
      </c>
      <c r="EZ72">
        <v>0</v>
      </c>
      <c r="FA72">
        <v>0</v>
      </c>
      <c r="FB72">
        <v>1</v>
      </c>
      <c r="FC72" t="s">
        <v>1</v>
      </c>
      <c r="FD72" t="s">
        <v>2029</v>
      </c>
      <c r="FE72" t="s">
        <v>1045</v>
      </c>
      <c r="FF72">
        <v>0</v>
      </c>
      <c r="FG72">
        <v>0</v>
      </c>
      <c r="FH72" t="s">
        <v>1045</v>
      </c>
      <c r="FI72" t="s">
        <v>1045</v>
      </c>
      <c r="FJ72" t="s">
        <v>1043</v>
      </c>
      <c r="FR72">
        <v>0</v>
      </c>
      <c r="FS72">
        <v>0</v>
      </c>
      <c r="GA72" t="s">
        <v>1044</v>
      </c>
      <c r="GB72" t="s">
        <v>1044</v>
      </c>
      <c r="GC72" t="s">
        <v>1045</v>
      </c>
      <c r="GD72">
        <v>0</v>
      </c>
      <c r="GH72" t="s">
        <v>1045</v>
      </c>
      <c r="GI72" t="s">
        <v>2028</v>
      </c>
      <c r="GL72">
        <v>0</v>
      </c>
      <c r="GM72">
        <v>0</v>
      </c>
      <c r="GN72">
        <v>0</v>
      </c>
      <c r="GP72" t="s">
        <v>1042</v>
      </c>
      <c r="GQ72" t="s">
        <v>2027</v>
      </c>
      <c r="GS72" t="s">
        <v>1045</v>
      </c>
      <c r="GU72">
        <v>1</v>
      </c>
      <c r="GV72" t="s">
        <v>1045</v>
      </c>
      <c r="GW72" t="s">
        <v>2026</v>
      </c>
      <c r="GZ72" t="s">
        <v>2025</v>
      </c>
      <c r="HH72">
        <v>0</v>
      </c>
      <c r="HI72">
        <v>0</v>
      </c>
      <c r="HK72" t="s">
        <v>1045</v>
      </c>
      <c r="HL72" t="s">
        <v>1045</v>
      </c>
      <c r="HP72">
        <v>0</v>
      </c>
      <c r="HZ72">
        <v>0</v>
      </c>
      <c r="IB72">
        <v>0</v>
      </c>
      <c r="IC72">
        <v>0</v>
      </c>
      <c r="IG72" t="s">
        <v>1042</v>
      </c>
      <c r="IJ72" t="s">
        <v>1042</v>
      </c>
      <c r="IM72">
        <v>0</v>
      </c>
      <c r="IN72" t="s">
        <v>2024</v>
      </c>
      <c r="IQ72" t="s">
        <v>1045</v>
      </c>
    </row>
    <row r="73" spans="2:251" x14ac:dyDescent="0.35">
      <c r="B73">
        <v>1</v>
      </c>
      <c r="C73">
        <v>1320</v>
      </c>
      <c r="D73">
        <v>0</v>
      </c>
      <c r="E73">
        <v>0</v>
      </c>
      <c r="F73">
        <v>0</v>
      </c>
      <c r="G73">
        <v>0</v>
      </c>
      <c r="H73">
        <v>0</v>
      </c>
      <c r="I73">
        <v>0</v>
      </c>
      <c r="J73" t="s">
        <v>690</v>
      </c>
      <c r="M73">
        <v>27</v>
      </c>
      <c r="Q73">
        <v>8.5</v>
      </c>
      <c r="S73">
        <v>21</v>
      </c>
      <c r="T73">
        <v>0</v>
      </c>
      <c r="U73">
        <v>0</v>
      </c>
      <c r="W73">
        <v>0</v>
      </c>
      <c r="Y73" t="s">
        <v>1042</v>
      </c>
      <c r="Z73" t="s">
        <v>1042</v>
      </c>
      <c r="AA73" t="s">
        <v>1042</v>
      </c>
      <c r="AB73" t="s">
        <v>1042</v>
      </c>
      <c r="AC73" t="s">
        <v>1042</v>
      </c>
      <c r="AD73" t="s">
        <v>1042</v>
      </c>
      <c r="AE73">
        <v>0</v>
      </c>
      <c r="AG73">
        <v>0</v>
      </c>
      <c r="AH73">
        <v>0</v>
      </c>
      <c r="AI73">
        <v>0</v>
      </c>
      <c r="AJ73">
        <v>0</v>
      </c>
      <c r="AK73" t="s">
        <v>1043</v>
      </c>
      <c r="AM73">
        <v>240</v>
      </c>
      <c r="AO73" t="s">
        <v>1044</v>
      </c>
      <c r="AP73">
        <v>0</v>
      </c>
      <c r="AR73" t="s">
        <v>1047</v>
      </c>
      <c r="AV73">
        <v>0</v>
      </c>
      <c r="AW73">
        <v>0</v>
      </c>
      <c r="AX73">
        <v>0</v>
      </c>
      <c r="AY73">
        <v>0</v>
      </c>
      <c r="AZ73">
        <v>0</v>
      </c>
      <c r="BA73">
        <v>0</v>
      </c>
      <c r="BB73">
        <v>0</v>
      </c>
      <c r="BC73" t="s">
        <v>1043</v>
      </c>
      <c r="BD73">
        <v>0</v>
      </c>
      <c r="BE73">
        <v>0</v>
      </c>
      <c r="BJ73" t="s">
        <v>1044</v>
      </c>
      <c r="BM73">
        <v>0</v>
      </c>
      <c r="BN73">
        <v>0</v>
      </c>
      <c r="BO73">
        <v>0</v>
      </c>
      <c r="BP73">
        <v>0</v>
      </c>
      <c r="BQ73">
        <v>0</v>
      </c>
      <c r="BR73">
        <v>0</v>
      </c>
      <c r="BS73">
        <v>0</v>
      </c>
      <c r="BU73">
        <v>0.38500000000000001</v>
      </c>
      <c r="BV73">
        <v>0.36</v>
      </c>
      <c r="BW73">
        <v>0.21</v>
      </c>
      <c r="BX73">
        <v>0</v>
      </c>
      <c r="BY73">
        <v>0</v>
      </c>
      <c r="BZ73">
        <v>0</v>
      </c>
      <c r="CA73">
        <v>0</v>
      </c>
      <c r="CQ73" t="s">
        <v>2031</v>
      </c>
      <c r="CR73">
        <v>0</v>
      </c>
      <c r="CS73">
        <v>0</v>
      </c>
      <c r="CT73">
        <v>0</v>
      </c>
      <c r="CU73">
        <v>0</v>
      </c>
      <c r="CW73" t="s">
        <v>1043</v>
      </c>
      <c r="CX73">
        <v>0</v>
      </c>
      <c r="CY73">
        <v>0</v>
      </c>
      <c r="CZ73">
        <v>0</v>
      </c>
      <c r="DA73">
        <v>0</v>
      </c>
      <c r="DB73">
        <v>0</v>
      </c>
      <c r="DD73">
        <v>0</v>
      </c>
      <c r="DK73">
        <v>0</v>
      </c>
      <c r="DL73">
        <v>0</v>
      </c>
      <c r="DM73">
        <v>0</v>
      </c>
      <c r="DN73">
        <v>0</v>
      </c>
      <c r="DO73">
        <v>0</v>
      </c>
      <c r="DP73">
        <v>0</v>
      </c>
      <c r="DQ73">
        <v>0</v>
      </c>
      <c r="DR73">
        <v>0</v>
      </c>
      <c r="DS73" t="s">
        <v>1043</v>
      </c>
      <c r="DT73" t="s">
        <v>1044</v>
      </c>
      <c r="DU73" t="s">
        <v>1044</v>
      </c>
      <c r="DW73" t="s">
        <v>1042</v>
      </c>
      <c r="DX73">
        <v>0</v>
      </c>
      <c r="DY73" t="s">
        <v>1043</v>
      </c>
      <c r="DZ73">
        <v>0</v>
      </c>
      <c r="EA73">
        <v>0</v>
      </c>
      <c r="EC73">
        <v>0</v>
      </c>
      <c r="EM73">
        <v>0</v>
      </c>
      <c r="EN73">
        <v>0</v>
      </c>
      <c r="EO73">
        <v>0</v>
      </c>
      <c r="EP73" t="s">
        <v>1043</v>
      </c>
      <c r="EX73" t="s">
        <v>2030</v>
      </c>
      <c r="EY73">
        <v>0</v>
      </c>
      <c r="EZ73">
        <v>0</v>
      </c>
      <c r="FA73">
        <v>0</v>
      </c>
      <c r="FB73">
        <v>1</v>
      </c>
      <c r="FC73" t="s">
        <v>1</v>
      </c>
      <c r="FD73" t="s">
        <v>2029</v>
      </c>
      <c r="FE73" t="s">
        <v>1045</v>
      </c>
      <c r="FF73">
        <v>0</v>
      </c>
      <c r="FG73">
        <v>0</v>
      </c>
      <c r="FH73" t="s">
        <v>1045</v>
      </c>
      <c r="FI73" t="s">
        <v>1045</v>
      </c>
      <c r="FJ73" t="s">
        <v>1043</v>
      </c>
      <c r="FR73">
        <v>0</v>
      </c>
      <c r="FS73">
        <v>0</v>
      </c>
      <c r="GA73" t="s">
        <v>1044</v>
      </c>
      <c r="GB73" t="s">
        <v>1044</v>
      </c>
      <c r="GC73" t="s">
        <v>1045</v>
      </c>
      <c r="GD73">
        <v>0</v>
      </c>
      <c r="GH73" t="s">
        <v>1045</v>
      </c>
      <c r="GI73" t="s">
        <v>2028</v>
      </c>
      <c r="GL73">
        <v>0</v>
      </c>
      <c r="GM73">
        <v>0</v>
      </c>
      <c r="GN73">
        <v>0</v>
      </c>
      <c r="GP73" t="s">
        <v>1042</v>
      </c>
      <c r="GQ73" t="s">
        <v>2027</v>
      </c>
      <c r="GS73" t="s">
        <v>1045</v>
      </c>
      <c r="GU73">
        <v>1</v>
      </c>
      <c r="GV73" t="s">
        <v>1045</v>
      </c>
      <c r="GW73" t="s">
        <v>2026</v>
      </c>
      <c r="GZ73" t="s">
        <v>2025</v>
      </c>
      <c r="HH73">
        <v>0</v>
      </c>
      <c r="HI73">
        <v>0</v>
      </c>
      <c r="HK73" t="s">
        <v>1045</v>
      </c>
      <c r="HL73" t="s">
        <v>1045</v>
      </c>
      <c r="HP73">
        <v>0</v>
      </c>
      <c r="HZ73">
        <v>0</v>
      </c>
      <c r="IB73">
        <v>0</v>
      </c>
      <c r="IC73">
        <v>0</v>
      </c>
      <c r="IG73" t="s">
        <v>1042</v>
      </c>
      <c r="IJ73" t="s">
        <v>1042</v>
      </c>
      <c r="IM73">
        <v>0</v>
      </c>
      <c r="IN73" t="s">
        <v>2024</v>
      </c>
      <c r="IQ73" t="s">
        <v>1045</v>
      </c>
    </row>
    <row r="74" spans="2:251" x14ac:dyDescent="0.35">
      <c r="B74">
        <v>1</v>
      </c>
      <c r="C74">
        <v>1321</v>
      </c>
      <c r="D74">
        <v>0</v>
      </c>
      <c r="E74">
        <v>0</v>
      </c>
      <c r="F74">
        <v>0</v>
      </c>
      <c r="G74">
        <v>0</v>
      </c>
      <c r="H74">
        <v>0</v>
      </c>
      <c r="I74">
        <v>0</v>
      </c>
      <c r="J74" t="s">
        <v>690</v>
      </c>
      <c r="M74">
        <v>53</v>
      </c>
      <c r="Q74">
        <v>8.5</v>
      </c>
      <c r="S74">
        <v>35.5</v>
      </c>
      <c r="T74">
        <v>0</v>
      </c>
      <c r="U74">
        <v>0</v>
      </c>
      <c r="W74">
        <v>0</v>
      </c>
      <c r="Y74" t="s">
        <v>1042</v>
      </c>
      <c r="Z74" t="s">
        <v>1042</v>
      </c>
      <c r="AA74" t="s">
        <v>1042</v>
      </c>
      <c r="AB74" t="s">
        <v>1042</v>
      </c>
      <c r="AC74" t="s">
        <v>1042</v>
      </c>
      <c r="AD74" t="s">
        <v>1042</v>
      </c>
      <c r="AE74">
        <v>0</v>
      </c>
      <c r="AG74">
        <v>0</v>
      </c>
      <c r="AH74">
        <v>0</v>
      </c>
      <c r="AI74">
        <v>0</v>
      </c>
      <c r="AJ74">
        <v>0</v>
      </c>
      <c r="AK74" t="s">
        <v>1043</v>
      </c>
      <c r="AM74">
        <v>240</v>
      </c>
      <c r="AO74" t="s">
        <v>1044</v>
      </c>
      <c r="AP74">
        <v>0</v>
      </c>
      <c r="AR74" t="s">
        <v>1047</v>
      </c>
      <c r="AV74">
        <v>0</v>
      </c>
      <c r="AW74">
        <v>0</v>
      </c>
      <c r="AX74">
        <v>0</v>
      </c>
      <c r="AY74">
        <v>0</v>
      </c>
      <c r="AZ74">
        <v>0</v>
      </c>
      <c r="BA74">
        <v>0</v>
      </c>
      <c r="BB74">
        <v>0</v>
      </c>
      <c r="BC74" t="s">
        <v>1043</v>
      </c>
      <c r="BD74">
        <v>0</v>
      </c>
      <c r="BE74">
        <v>0</v>
      </c>
      <c r="BJ74" t="s">
        <v>1044</v>
      </c>
      <c r="BM74">
        <v>0</v>
      </c>
      <c r="BN74">
        <v>0</v>
      </c>
      <c r="BO74">
        <v>0</v>
      </c>
      <c r="BP74">
        <v>0</v>
      </c>
      <c r="BQ74">
        <v>0</v>
      </c>
      <c r="BR74">
        <v>0</v>
      </c>
      <c r="BS74">
        <v>0</v>
      </c>
      <c r="BU74">
        <v>0.21</v>
      </c>
      <c r="BV74">
        <v>0.37</v>
      </c>
      <c r="BW74">
        <v>0.53500000000000003</v>
      </c>
      <c r="BX74">
        <v>0</v>
      </c>
      <c r="BY74">
        <v>0</v>
      </c>
      <c r="BZ74">
        <v>0</v>
      </c>
      <c r="CA74">
        <v>0</v>
      </c>
      <c r="CQ74" t="s">
        <v>2031</v>
      </c>
      <c r="CR74">
        <v>0</v>
      </c>
      <c r="CS74">
        <v>0</v>
      </c>
      <c r="CT74">
        <v>0</v>
      </c>
      <c r="CU74">
        <v>0</v>
      </c>
      <c r="CW74" t="s">
        <v>1043</v>
      </c>
      <c r="CX74">
        <v>0</v>
      </c>
      <c r="CY74">
        <v>0</v>
      </c>
      <c r="CZ74">
        <v>0</v>
      </c>
      <c r="DA74">
        <v>0</v>
      </c>
      <c r="DB74">
        <v>0</v>
      </c>
      <c r="DD74">
        <v>0</v>
      </c>
      <c r="DK74">
        <v>0</v>
      </c>
      <c r="DL74">
        <v>0</v>
      </c>
      <c r="DM74">
        <v>0</v>
      </c>
      <c r="DN74">
        <v>0</v>
      </c>
      <c r="DO74">
        <v>0</v>
      </c>
      <c r="DP74">
        <v>0</v>
      </c>
      <c r="DQ74">
        <v>0</v>
      </c>
      <c r="DR74">
        <v>0</v>
      </c>
      <c r="DS74" t="s">
        <v>1043</v>
      </c>
      <c r="DT74" t="s">
        <v>1044</v>
      </c>
      <c r="DU74" t="s">
        <v>1044</v>
      </c>
      <c r="DW74" t="s">
        <v>1042</v>
      </c>
      <c r="DX74">
        <v>0</v>
      </c>
      <c r="DY74" t="s">
        <v>1043</v>
      </c>
      <c r="DZ74">
        <v>0</v>
      </c>
      <c r="EA74">
        <v>0</v>
      </c>
      <c r="EC74">
        <v>0</v>
      </c>
      <c r="EM74">
        <v>0</v>
      </c>
      <c r="EN74">
        <v>0</v>
      </c>
      <c r="EO74">
        <v>0</v>
      </c>
      <c r="EP74" t="s">
        <v>1043</v>
      </c>
      <c r="EX74" t="s">
        <v>2030</v>
      </c>
      <c r="EY74">
        <v>0</v>
      </c>
      <c r="EZ74">
        <v>0</v>
      </c>
      <c r="FA74">
        <v>0</v>
      </c>
      <c r="FB74">
        <v>1</v>
      </c>
      <c r="FC74" t="s">
        <v>1</v>
      </c>
      <c r="FD74" t="s">
        <v>2029</v>
      </c>
      <c r="FE74" t="s">
        <v>1045</v>
      </c>
      <c r="FF74">
        <v>0</v>
      </c>
      <c r="FG74">
        <v>0</v>
      </c>
      <c r="FH74" t="s">
        <v>1045</v>
      </c>
      <c r="FI74" t="s">
        <v>1045</v>
      </c>
      <c r="FJ74" t="s">
        <v>1043</v>
      </c>
      <c r="FR74">
        <v>0</v>
      </c>
      <c r="FS74">
        <v>0</v>
      </c>
      <c r="GA74" t="s">
        <v>1044</v>
      </c>
      <c r="GB74" t="s">
        <v>1044</v>
      </c>
      <c r="GC74" t="s">
        <v>1045</v>
      </c>
      <c r="GD74">
        <v>0</v>
      </c>
      <c r="GH74" t="s">
        <v>1045</v>
      </c>
      <c r="GI74" t="s">
        <v>2028</v>
      </c>
      <c r="GL74">
        <v>0</v>
      </c>
      <c r="GM74">
        <v>0</v>
      </c>
      <c r="GN74">
        <v>0</v>
      </c>
      <c r="GP74" t="s">
        <v>1042</v>
      </c>
      <c r="GQ74" t="s">
        <v>2027</v>
      </c>
      <c r="GS74" t="s">
        <v>1045</v>
      </c>
      <c r="GU74">
        <v>1</v>
      </c>
      <c r="GV74" t="s">
        <v>1045</v>
      </c>
      <c r="GW74" t="s">
        <v>2026</v>
      </c>
      <c r="GZ74" t="s">
        <v>2025</v>
      </c>
      <c r="HH74">
        <v>0</v>
      </c>
      <c r="HI74">
        <v>0</v>
      </c>
      <c r="HK74" t="s">
        <v>1045</v>
      </c>
      <c r="HL74" t="s">
        <v>1045</v>
      </c>
      <c r="HP74">
        <v>0</v>
      </c>
      <c r="HZ74">
        <v>0</v>
      </c>
      <c r="IB74">
        <v>0</v>
      </c>
      <c r="IC74">
        <v>0</v>
      </c>
      <c r="IG74" t="s">
        <v>1042</v>
      </c>
      <c r="IJ74" t="s">
        <v>1042</v>
      </c>
      <c r="IM74">
        <v>0</v>
      </c>
      <c r="IN74" t="s">
        <v>2024</v>
      </c>
      <c r="IQ74" t="s">
        <v>1045</v>
      </c>
    </row>
    <row r="75" spans="2:251" x14ac:dyDescent="0.35">
      <c r="B75">
        <v>1</v>
      </c>
      <c r="C75">
        <v>1324</v>
      </c>
      <c r="D75">
        <v>0</v>
      </c>
      <c r="E75">
        <v>0</v>
      </c>
      <c r="F75">
        <v>0</v>
      </c>
      <c r="G75">
        <v>0</v>
      </c>
      <c r="H75">
        <v>0</v>
      </c>
      <c r="I75">
        <v>0</v>
      </c>
      <c r="J75" t="s">
        <v>2048</v>
      </c>
      <c r="M75">
        <v>80</v>
      </c>
      <c r="Q75">
        <v>75</v>
      </c>
      <c r="S75">
        <v>50</v>
      </c>
      <c r="T75">
        <v>0</v>
      </c>
      <c r="U75">
        <v>0</v>
      </c>
      <c r="W75">
        <v>0.1</v>
      </c>
      <c r="X75" t="s">
        <v>1085</v>
      </c>
      <c r="Y75" t="s">
        <v>1042</v>
      </c>
      <c r="Z75" t="s">
        <v>1042</v>
      </c>
      <c r="AA75" t="s">
        <v>1042</v>
      </c>
      <c r="AB75" t="s">
        <v>1042</v>
      </c>
      <c r="AC75" t="s">
        <v>1042</v>
      </c>
      <c r="AD75" t="s">
        <v>1042</v>
      </c>
      <c r="AE75">
        <v>0</v>
      </c>
      <c r="AG75">
        <v>0</v>
      </c>
      <c r="AH75">
        <v>0</v>
      </c>
      <c r="AI75">
        <v>0</v>
      </c>
      <c r="AJ75">
        <v>0</v>
      </c>
      <c r="AK75" t="s">
        <v>1043</v>
      </c>
      <c r="AM75">
        <v>200</v>
      </c>
      <c r="AO75" t="s">
        <v>1044</v>
      </c>
      <c r="AP75">
        <v>0</v>
      </c>
      <c r="AR75" t="s">
        <v>1047</v>
      </c>
      <c r="AV75">
        <v>0</v>
      </c>
      <c r="AW75">
        <v>0</v>
      </c>
      <c r="AX75">
        <v>0</v>
      </c>
      <c r="AY75">
        <v>0</v>
      </c>
      <c r="AZ75">
        <v>0</v>
      </c>
      <c r="BA75">
        <v>0</v>
      </c>
      <c r="BB75">
        <v>0</v>
      </c>
      <c r="BC75" t="s">
        <v>1043</v>
      </c>
      <c r="BD75">
        <v>0</v>
      </c>
      <c r="BE75">
        <v>0</v>
      </c>
      <c r="BJ75" t="s">
        <v>1044</v>
      </c>
      <c r="BM75">
        <v>0</v>
      </c>
      <c r="BN75">
        <v>0</v>
      </c>
      <c r="BO75">
        <v>0</v>
      </c>
      <c r="BP75">
        <v>0</v>
      </c>
      <c r="BQ75">
        <v>0</v>
      </c>
      <c r="BR75">
        <v>0</v>
      </c>
      <c r="BS75">
        <v>0</v>
      </c>
      <c r="BU75">
        <v>0.22</v>
      </c>
      <c r="BV75">
        <v>5.5E-2</v>
      </c>
      <c r="BW75">
        <v>0.28999999999999998</v>
      </c>
      <c r="BX75">
        <v>0.4</v>
      </c>
      <c r="BY75">
        <v>0.25</v>
      </c>
      <c r="BZ75">
        <v>0.7</v>
      </c>
      <c r="CA75">
        <v>0</v>
      </c>
      <c r="CM75" t="s">
        <v>2034</v>
      </c>
      <c r="CN75" t="s">
        <v>1045</v>
      </c>
      <c r="CO75">
        <v>3917</v>
      </c>
      <c r="CR75">
        <v>0</v>
      </c>
      <c r="CS75">
        <v>0</v>
      </c>
      <c r="CT75">
        <v>0</v>
      </c>
      <c r="CU75">
        <v>0</v>
      </c>
      <c r="CX75">
        <v>0</v>
      </c>
      <c r="CY75">
        <v>0</v>
      </c>
      <c r="CZ75">
        <v>0</v>
      </c>
      <c r="DA75">
        <v>0</v>
      </c>
      <c r="DB75">
        <v>0</v>
      </c>
      <c r="DD75">
        <v>0</v>
      </c>
      <c r="DK75">
        <v>0</v>
      </c>
      <c r="DL75">
        <v>0</v>
      </c>
      <c r="DM75">
        <v>0</v>
      </c>
      <c r="DN75">
        <v>0</v>
      </c>
      <c r="DO75">
        <v>0</v>
      </c>
      <c r="DP75">
        <v>0</v>
      </c>
      <c r="DQ75">
        <v>0</v>
      </c>
      <c r="DR75">
        <v>0</v>
      </c>
      <c r="DW75" t="s">
        <v>1042</v>
      </c>
      <c r="DX75">
        <v>0</v>
      </c>
      <c r="DZ75">
        <v>0</v>
      </c>
      <c r="EA75">
        <v>0</v>
      </c>
      <c r="EC75">
        <v>0</v>
      </c>
      <c r="EM75">
        <v>0</v>
      </c>
      <c r="EN75">
        <v>0</v>
      </c>
      <c r="EO75">
        <v>0</v>
      </c>
      <c r="EY75">
        <v>0</v>
      </c>
      <c r="EZ75">
        <v>0</v>
      </c>
      <c r="FA75">
        <v>0</v>
      </c>
      <c r="FB75">
        <v>0</v>
      </c>
      <c r="FD75" t="s">
        <v>2029</v>
      </c>
      <c r="FF75">
        <v>0</v>
      </c>
      <c r="FG75">
        <v>0</v>
      </c>
      <c r="FR75">
        <v>0</v>
      </c>
      <c r="FS75">
        <v>0</v>
      </c>
      <c r="GD75">
        <v>0</v>
      </c>
      <c r="GL75">
        <v>0</v>
      </c>
      <c r="GM75">
        <v>0</v>
      </c>
      <c r="GN75">
        <v>0</v>
      </c>
      <c r="GP75" t="s">
        <v>1042</v>
      </c>
      <c r="GQ75" t="s">
        <v>2027</v>
      </c>
      <c r="HH75">
        <v>0</v>
      </c>
      <c r="HI75">
        <v>0</v>
      </c>
      <c r="HP75">
        <v>0</v>
      </c>
      <c r="HZ75">
        <v>0</v>
      </c>
      <c r="IB75">
        <v>0</v>
      </c>
      <c r="IC75">
        <v>0</v>
      </c>
      <c r="IG75" t="s">
        <v>1042</v>
      </c>
      <c r="IJ75" t="s">
        <v>1042</v>
      </c>
      <c r="IM75">
        <v>0</v>
      </c>
      <c r="IN75" t="s">
        <v>2024</v>
      </c>
      <c r="IO75">
        <v>7897801311823</v>
      </c>
    </row>
    <row r="76" spans="2:251" x14ac:dyDescent="0.35">
      <c r="B76">
        <v>1</v>
      </c>
      <c r="C76">
        <v>1325</v>
      </c>
      <c r="D76">
        <v>0</v>
      </c>
      <c r="E76">
        <v>0</v>
      </c>
      <c r="F76">
        <v>0</v>
      </c>
      <c r="G76">
        <v>0</v>
      </c>
      <c r="H76">
        <v>0</v>
      </c>
      <c r="I76">
        <v>0</v>
      </c>
      <c r="J76" t="s">
        <v>2047</v>
      </c>
      <c r="M76">
        <v>80</v>
      </c>
      <c r="Q76">
        <v>80</v>
      </c>
      <c r="S76">
        <v>50</v>
      </c>
      <c r="T76">
        <v>0</v>
      </c>
      <c r="U76">
        <v>0</v>
      </c>
      <c r="W76">
        <v>0.106</v>
      </c>
      <c r="X76" t="s">
        <v>1085</v>
      </c>
      <c r="Y76" t="s">
        <v>1042</v>
      </c>
      <c r="Z76" t="s">
        <v>1042</v>
      </c>
      <c r="AA76" t="s">
        <v>1042</v>
      </c>
      <c r="AB76" t="s">
        <v>1042</v>
      </c>
      <c r="AC76" t="s">
        <v>1042</v>
      </c>
      <c r="AD76" t="s">
        <v>1042</v>
      </c>
      <c r="AE76">
        <v>0</v>
      </c>
      <c r="AG76">
        <v>0</v>
      </c>
      <c r="AH76">
        <v>0</v>
      </c>
      <c r="AI76">
        <v>0</v>
      </c>
      <c r="AJ76">
        <v>0</v>
      </c>
      <c r="AK76" t="s">
        <v>1043</v>
      </c>
      <c r="AM76">
        <v>200</v>
      </c>
      <c r="AO76" t="s">
        <v>1044</v>
      </c>
      <c r="AP76">
        <v>0</v>
      </c>
      <c r="AR76" t="s">
        <v>1047</v>
      </c>
      <c r="AV76">
        <v>0</v>
      </c>
      <c r="AW76">
        <v>0</v>
      </c>
      <c r="AX76">
        <v>0</v>
      </c>
      <c r="AY76">
        <v>0</v>
      </c>
      <c r="AZ76">
        <v>0</v>
      </c>
      <c r="BA76">
        <v>0</v>
      </c>
      <c r="BB76">
        <v>0</v>
      </c>
      <c r="BC76" t="s">
        <v>1043</v>
      </c>
      <c r="BD76">
        <v>0</v>
      </c>
      <c r="BE76">
        <v>0</v>
      </c>
      <c r="BJ76" t="s">
        <v>1044</v>
      </c>
      <c r="BM76">
        <v>0</v>
      </c>
      <c r="BN76">
        <v>0</v>
      </c>
      <c r="BO76">
        <v>0</v>
      </c>
      <c r="BP76">
        <v>0</v>
      </c>
      <c r="BQ76">
        <v>0</v>
      </c>
      <c r="BR76">
        <v>0</v>
      </c>
      <c r="BS76">
        <v>0</v>
      </c>
      <c r="BU76">
        <v>0.2</v>
      </c>
      <c r="BV76">
        <v>0.06</v>
      </c>
      <c r="BW76">
        <v>0.31</v>
      </c>
      <c r="BX76">
        <v>0.48</v>
      </c>
      <c r="BY76">
        <v>0.15</v>
      </c>
      <c r="BZ76">
        <v>0.6</v>
      </c>
      <c r="CA76">
        <v>0</v>
      </c>
      <c r="CM76" t="s">
        <v>2034</v>
      </c>
      <c r="CN76" t="s">
        <v>1045</v>
      </c>
      <c r="CO76">
        <v>3917</v>
      </c>
      <c r="CR76">
        <v>0</v>
      </c>
      <c r="CS76">
        <v>0</v>
      </c>
      <c r="CT76">
        <v>0</v>
      </c>
      <c r="CU76">
        <v>0</v>
      </c>
      <c r="CX76">
        <v>0</v>
      </c>
      <c r="CY76">
        <v>0</v>
      </c>
      <c r="CZ76">
        <v>0</v>
      </c>
      <c r="DA76">
        <v>0</v>
      </c>
      <c r="DB76">
        <v>0</v>
      </c>
      <c r="DD76">
        <v>0</v>
      </c>
      <c r="DK76">
        <v>0</v>
      </c>
      <c r="DL76">
        <v>0</v>
      </c>
      <c r="DM76">
        <v>0</v>
      </c>
      <c r="DN76">
        <v>0</v>
      </c>
      <c r="DO76">
        <v>0</v>
      </c>
      <c r="DP76">
        <v>0</v>
      </c>
      <c r="DQ76">
        <v>0</v>
      </c>
      <c r="DR76">
        <v>0</v>
      </c>
      <c r="DW76" t="s">
        <v>1042</v>
      </c>
      <c r="DX76">
        <v>0</v>
      </c>
      <c r="DZ76">
        <v>0</v>
      </c>
      <c r="EA76">
        <v>0</v>
      </c>
      <c r="EC76">
        <v>0</v>
      </c>
      <c r="EM76">
        <v>0</v>
      </c>
      <c r="EN76">
        <v>0</v>
      </c>
      <c r="EO76">
        <v>0</v>
      </c>
      <c r="EY76">
        <v>0</v>
      </c>
      <c r="EZ76">
        <v>0</v>
      </c>
      <c r="FA76">
        <v>0</v>
      </c>
      <c r="FB76">
        <v>0</v>
      </c>
      <c r="FD76" t="s">
        <v>2029</v>
      </c>
      <c r="FF76">
        <v>0</v>
      </c>
      <c r="FG76">
        <v>0</v>
      </c>
      <c r="FR76">
        <v>0</v>
      </c>
      <c r="FS76">
        <v>0</v>
      </c>
      <c r="GD76">
        <v>0</v>
      </c>
      <c r="GL76">
        <v>0</v>
      </c>
      <c r="GM76">
        <v>0</v>
      </c>
      <c r="GN76">
        <v>0</v>
      </c>
      <c r="GP76" t="s">
        <v>1042</v>
      </c>
      <c r="GQ76" t="s">
        <v>2027</v>
      </c>
      <c r="HH76">
        <v>0</v>
      </c>
      <c r="HI76">
        <v>0</v>
      </c>
      <c r="HP76">
        <v>0</v>
      </c>
      <c r="HZ76">
        <v>0</v>
      </c>
      <c r="IB76">
        <v>0</v>
      </c>
      <c r="IC76">
        <v>0</v>
      </c>
      <c r="IG76" t="s">
        <v>1042</v>
      </c>
      <c r="IJ76" t="s">
        <v>1042</v>
      </c>
      <c r="IM76">
        <v>0</v>
      </c>
      <c r="IN76" t="s">
        <v>2024</v>
      </c>
      <c r="IO76">
        <v>7897801311830</v>
      </c>
    </row>
    <row r="77" spans="2:251" x14ac:dyDescent="0.35">
      <c r="B77">
        <v>1</v>
      </c>
      <c r="C77">
        <v>1326</v>
      </c>
      <c r="D77">
        <v>0</v>
      </c>
      <c r="E77">
        <v>0</v>
      </c>
      <c r="F77">
        <v>0</v>
      </c>
      <c r="G77">
        <v>0</v>
      </c>
      <c r="H77">
        <v>0</v>
      </c>
      <c r="I77">
        <v>0</v>
      </c>
      <c r="J77" t="s">
        <v>2046</v>
      </c>
      <c r="M77">
        <v>50</v>
      </c>
      <c r="Q77">
        <v>100</v>
      </c>
      <c r="S77">
        <v>90</v>
      </c>
      <c r="T77">
        <v>0</v>
      </c>
      <c r="U77">
        <v>0</v>
      </c>
      <c r="W77">
        <v>0.1105</v>
      </c>
      <c r="X77" t="s">
        <v>1085</v>
      </c>
      <c r="Y77" t="s">
        <v>1042</v>
      </c>
      <c r="Z77" t="s">
        <v>1042</v>
      </c>
      <c r="AA77" t="s">
        <v>1042</v>
      </c>
      <c r="AB77" t="s">
        <v>1042</v>
      </c>
      <c r="AC77" t="s">
        <v>1042</v>
      </c>
      <c r="AD77" t="s">
        <v>1042</v>
      </c>
      <c r="AE77">
        <v>0</v>
      </c>
      <c r="AG77">
        <v>0</v>
      </c>
      <c r="AH77">
        <v>0</v>
      </c>
      <c r="AI77">
        <v>0</v>
      </c>
      <c r="AJ77">
        <v>0</v>
      </c>
      <c r="AK77" t="s">
        <v>1043</v>
      </c>
      <c r="AM77">
        <v>200</v>
      </c>
      <c r="AO77" t="s">
        <v>1044</v>
      </c>
      <c r="AP77">
        <v>0</v>
      </c>
      <c r="AR77" t="s">
        <v>1047</v>
      </c>
      <c r="AV77">
        <v>0</v>
      </c>
      <c r="AW77">
        <v>0</v>
      </c>
      <c r="AX77">
        <v>0</v>
      </c>
      <c r="AY77">
        <v>0</v>
      </c>
      <c r="AZ77">
        <v>0</v>
      </c>
      <c r="BA77">
        <v>0</v>
      </c>
      <c r="BB77">
        <v>0</v>
      </c>
      <c r="BC77" t="s">
        <v>1043</v>
      </c>
      <c r="BD77">
        <v>0</v>
      </c>
      <c r="BE77">
        <v>0</v>
      </c>
      <c r="BJ77" t="s">
        <v>1044</v>
      </c>
      <c r="BM77">
        <v>0</v>
      </c>
      <c r="BN77">
        <v>0</v>
      </c>
      <c r="BO77">
        <v>0</v>
      </c>
      <c r="BP77">
        <v>0</v>
      </c>
      <c r="BQ77">
        <v>0</v>
      </c>
      <c r="BR77">
        <v>0</v>
      </c>
      <c r="BS77">
        <v>0</v>
      </c>
      <c r="BU77">
        <v>0.21</v>
      </c>
      <c r="BV77">
        <v>6.5000000000000002E-2</v>
      </c>
      <c r="BW77">
        <v>0.32500000000000001</v>
      </c>
      <c r="BX77">
        <v>0.52</v>
      </c>
      <c r="BY77">
        <v>0.22</v>
      </c>
      <c r="BZ77">
        <v>0.65</v>
      </c>
      <c r="CA77">
        <v>0</v>
      </c>
      <c r="CM77" t="s">
        <v>2034</v>
      </c>
      <c r="CN77" t="s">
        <v>1045</v>
      </c>
      <c r="CO77">
        <v>3917</v>
      </c>
      <c r="CR77">
        <v>0</v>
      </c>
      <c r="CS77">
        <v>0</v>
      </c>
      <c r="CT77">
        <v>0</v>
      </c>
      <c r="CU77">
        <v>0</v>
      </c>
      <c r="CX77">
        <v>0</v>
      </c>
      <c r="CY77">
        <v>0</v>
      </c>
      <c r="CZ77">
        <v>0</v>
      </c>
      <c r="DA77">
        <v>0</v>
      </c>
      <c r="DB77">
        <v>0</v>
      </c>
      <c r="DD77">
        <v>0</v>
      </c>
      <c r="DK77">
        <v>0</v>
      </c>
      <c r="DL77">
        <v>0</v>
      </c>
      <c r="DM77">
        <v>0</v>
      </c>
      <c r="DN77">
        <v>0</v>
      </c>
      <c r="DO77">
        <v>0</v>
      </c>
      <c r="DP77">
        <v>0</v>
      </c>
      <c r="DQ77">
        <v>0</v>
      </c>
      <c r="DR77">
        <v>0</v>
      </c>
      <c r="DW77" t="s">
        <v>1042</v>
      </c>
      <c r="DX77">
        <v>0</v>
      </c>
      <c r="DZ77">
        <v>0</v>
      </c>
      <c r="EA77">
        <v>0</v>
      </c>
      <c r="EC77">
        <v>0</v>
      </c>
      <c r="EM77">
        <v>0</v>
      </c>
      <c r="EN77">
        <v>0</v>
      </c>
      <c r="EO77">
        <v>0</v>
      </c>
      <c r="EY77">
        <v>0</v>
      </c>
      <c r="EZ77">
        <v>0</v>
      </c>
      <c r="FA77">
        <v>0</v>
      </c>
      <c r="FB77">
        <v>0</v>
      </c>
      <c r="FD77" t="s">
        <v>2029</v>
      </c>
      <c r="FF77">
        <v>0</v>
      </c>
      <c r="FG77">
        <v>0</v>
      </c>
      <c r="FR77">
        <v>0</v>
      </c>
      <c r="FS77">
        <v>0</v>
      </c>
      <c r="GD77">
        <v>0</v>
      </c>
      <c r="GL77">
        <v>0</v>
      </c>
      <c r="GM77">
        <v>0</v>
      </c>
      <c r="GN77">
        <v>0</v>
      </c>
      <c r="GP77" t="s">
        <v>1042</v>
      </c>
      <c r="GQ77" t="s">
        <v>2027</v>
      </c>
      <c r="HH77">
        <v>0</v>
      </c>
      <c r="HI77">
        <v>0</v>
      </c>
      <c r="HP77">
        <v>0</v>
      </c>
      <c r="HZ77">
        <v>0</v>
      </c>
      <c r="IB77">
        <v>0</v>
      </c>
      <c r="IC77">
        <v>0</v>
      </c>
      <c r="IG77" t="s">
        <v>1042</v>
      </c>
      <c r="IJ77" t="s">
        <v>1042</v>
      </c>
      <c r="IM77">
        <v>0</v>
      </c>
      <c r="IN77" t="s">
        <v>2024</v>
      </c>
      <c r="IO77">
        <v>7897801311786</v>
      </c>
    </row>
    <row r="78" spans="2:251" x14ac:dyDescent="0.35">
      <c r="B78">
        <v>1</v>
      </c>
      <c r="C78">
        <v>1327</v>
      </c>
      <c r="D78">
        <v>0</v>
      </c>
      <c r="E78">
        <v>0</v>
      </c>
      <c r="F78">
        <v>0</v>
      </c>
      <c r="G78">
        <v>0</v>
      </c>
      <c r="H78">
        <v>0</v>
      </c>
      <c r="I78">
        <v>0</v>
      </c>
      <c r="J78" t="s">
        <v>2045</v>
      </c>
      <c r="M78">
        <v>50</v>
      </c>
      <c r="Q78">
        <v>50</v>
      </c>
      <c r="S78">
        <v>90</v>
      </c>
      <c r="T78">
        <v>0</v>
      </c>
      <c r="U78">
        <v>0</v>
      </c>
      <c r="W78">
        <v>0.112</v>
      </c>
      <c r="X78" t="s">
        <v>1085</v>
      </c>
      <c r="Y78" t="s">
        <v>1042</v>
      </c>
      <c r="Z78" t="s">
        <v>1042</v>
      </c>
      <c r="AA78" t="s">
        <v>1042</v>
      </c>
      <c r="AB78" t="s">
        <v>1042</v>
      </c>
      <c r="AC78" t="s">
        <v>1042</v>
      </c>
      <c r="AD78" t="s">
        <v>1042</v>
      </c>
      <c r="AE78">
        <v>0</v>
      </c>
      <c r="AG78">
        <v>0</v>
      </c>
      <c r="AH78">
        <v>0</v>
      </c>
      <c r="AI78">
        <v>0</v>
      </c>
      <c r="AJ78">
        <v>0</v>
      </c>
      <c r="AK78" t="s">
        <v>1043</v>
      </c>
      <c r="AM78">
        <v>200</v>
      </c>
      <c r="AO78" t="s">
        <v>1044</v>
      </c>
      <c r="AP78">
        <v>0</v>
      </c>
      <c r="AR78" t="s">
        <v>1047</v>
      </c>
      <c r="AV78">
        <v>0</v>
      </c>
      <c r="AW78">
        <v>0</v>
      </c>
      <c r="AX78">
        <v>0</v>
      </c>
      <c r="AY78">
        <v>0</v>
      </c>
      <c r="AZ78">
        <v>0</v>
      </c>
      <c r="BA78">
        <v>0</v>
      </c>
      <c r="BB78">
        <v>0</v>
      </c>
      <c r="BC78" t="s">
        <v>1043</v>
      </c>
      <c r="BD78">
        <v>0</v>
      </c>
      <c r="BE78">
        <v>0</v>
      </c>
      <c r="BJ78" t="s">
        <v>1044</v>
      </c>
      <c r="BM78">
        <v>0</v>
      </c>
      <c r="BN78">
        <v>0</v>
      </c>
      <c r="BO78">
        <v>0</v>
      </c>
      <c r="BP78">
        <v>0</v>
      </c>
      <c r="BQ78">
        <v>0</v>
      </c>
      <c r="BR78">
        <v>0</v>
      </c>
      <c r="BS78">
        <v>0</v>
      </c>
      <c r="BU78">
        <v>0.24</v>
      </c>
      <c r="BV78">
        <v>0.06</v>
      </c>
      <c r="BW78">
        <v>0.35</v>
      </c>
      <c r="BX78">
        <v>0.53</v>
      </c>
      <c r="BY78">
        <v>0.24</v>
      </c>
      <c r="BZ78">
        <v>0.68</v>
      </c>
      <c r="CA78">
        <v>0</v>
      </c>
      <c r="CM78" t="s">
        <v>2034</v>
      </c>
      <c r="CN78" t="s">
        <v>1045</v>
      </c>
      <c r="CO78">
        <v>3917</v>
      </c>
      <c r="CR78">
        <v>0</v>
      </c>
      <c r="CS78">
        <v>0</v>
      </c>
      <c r="CT78">
        <v>0</v>
      </c>
      <c r="CU78">
        <v>0</v>
      </c>
      <c r="CX78">
        <v>0</v>
      </c>
      <c r="CY78">
        <v>0</v>
      </c>
      <c r="CZ78">
        <v>0</v>
      </c>
      <c r="DA78">
        <v>0</v>
      </c>
      <c r="DB78">
        <v>0</v>
      </c>
      <c r="DD78">
        <v>0</v>
      </c>
      <c r="DK78">
        <v>0</v>
      </c>
      <c r="DL78">
        <v>0</v>
      </c>
      <c r="DM78">
        <v>0</v>
      </c>
      <c r="DN78">
        <v>0</v>
      </c>
      <c r="DO78">
        <v>0</v>
      </c>
      <c r="DP78">
        <v>0</v>
      </c>
      <c r="DQ78">
        <v>0</v>
      </c>
      <c r="DR78">
        <v>0</v>
      </c>
      <c r="DW78" t="s">
        <v>1042</v>
      </c>
      <c r="DX78">
        <v>0</v>
      </c>
      <c r="DZ78">
        <v>0</v>
      </c>
      <c r="EA78">
        <v>0</v>
      </c>
      <c r="EC78">
        <v>0</v>
      </c>
      <c r="EM78">
        <v>0</v>
      </c>
      <c r="EN78">
        <v>0</v>
      </c>
      <c r="EO78">
        <v>0</v>
      </c>
      <c r="EY78">
        <v>0</v>
      </c>
      <c r="EZ78">
        <v>0</v>
      </c>
      <c r="FA78">
        <v>0</v>
      </c>
      <c r="FB78">
        <v>0</v>
      </c>
      <c r="FD78" t="s">
        <v>2029</v>
      </c>
      <c r="FF78">
        <v>0</v>
      </c>
      <c r="FG78">
        <v>0</v>
      </c>
      <c r="FR78">
        <v>0</v>
      </c>
      <c r="FS78">
        <v>0</v>
      </c>
      <c r="GD78">
        <v>0</v>
      </c>
      <c r="GL78">
        <v>0</v>
      </c>
      <c r="GM78">
        <v>0</v>
      </c>
      <c r="GN78">
        <v>0</v>
      </c>
      <c r="GP78" t="s">
        <v>1042</v>
      </c>
      <c r="GQ78" t="s">
        <v>2027</v>
      </c>
      <c r="HH78">
        <v>0</v>
      </c>
      <c r="HI78">
        <v>0</v>
      </c>
      <c r="HP78">
        <v>0</v>
      </c>
      <c r="HZ78">
        <v>0</v>
      </c>
      <c r="IB78">
        <v>0</v>
      </c>
      <c r="IC78">
        <v>0</v>
      </c>
      <c r="IG78" t="s">
        <v>1042</v>
      </c>
      <c r="IJ78" t="s">
        <v>1042</v>
      </c>
      <c r="IM78">
        <v>0</v>
      </c>
      <c r="IN78" t="s">
        <v>2024</v>
      </c>
      <c r="IO78">
        <v>7897801311793</v>
      </c>
    </row>
    <row r="79" spans="2:251" x14ac:dyDescent="0.35">
      <c r="B79">
        <v>1</v>
      </c>
      <c r="C79">
        <v>1334</v>
      </c>
      <c r="D79">
        <v>0</v>
      </c>
      <c r="E79">
        <v>0</v>
      </c>
      <c r="F79">
        <v>0</v>
      </c>
      <c r="G79">
        <v>0</v>
      </c>
      <c r="H79">
        <v>0</v>
      </c>
      <c r="I79">
        <v>0</v>
      </c>
      <c r="J79" t="s">
        <v>695</v>
      </c>
      <c r="M79">
        <v>27</v>
      </c>
      <c r="Q79">
        <v>22</v>
      </c>
      <c r="S79">
        <v>27</v>
      </c>
      <c r="T79">
        <v>0</v>
      </c>
      <c r="U79">
        <v>0</v>
      </c>
      <c r="W79">
        <v>0</v>
      </c>
      <c r="Y79" t="s">
        <v>1042</v>
      </c>
      <c r="Z79" t="s">
        <v>1042</v>
      </c>
      <c r="AA79" t="s">
        <v>1042</v>
      </c>
      <c r="AB79" t="s">
        <v>1042</v>
      </c>
      <c r="AC79" t="s">
        <v>1042</v>
      </c>
      <c r="AD79" t="s">
        <v>1042</v>
      </c>
      <c r="AE79">
        <v>0</v>
      </c>
      <c r="AG79">
        <v>0</v>
      </c>
      <c r="AH79">
        <v>0</v>
      </c>
      <c r="AI79">
        <v>0</v>
      </c>
      <c r="AJ79">
        <v>0</v>
      </c>
      <c r="AK79" t="s">
        <v>1043</v>
      </c>
      <c r="AM79">
        <v>220</v>
      </c>
      <c r="AO79" t="s">
        <v>1044</v>
      </c>
      <c r="AP79">
        <v>0</v>
      </c>
      <c r="AR79" t="s">
        <v>1047</v>
      </c>
      <c r="AV79">
        <v>0</v>
      </c>
      <c r="AW79">
        <v>0</v>
      </c>
      <c r="AX79">
        <v>0</v>
      </c>
      <c r="AY79">
        <v>0</v>
      </c>
      <c r="AZ79">
        <v>0</v>
      </c>
      <c r="BA79">
        <v>0</v>
      </c>
      <c r="BB79">
        <v>0</v>
      </c>
      <c r="BC79" t="s">
        <v>1043</v>
      </c>
      <c r="BD79">
        <v>0</v>
      </c>
      <c r="BE79">
        <v>0</v>
      </c>
      <c r="BJ79" t="s">
        <v>1044</v>
      </c>
      <c r="BM79">
        <v>0</v>
      </c>
      <c r="BN79">
        <v>0</v>
      </c>
      <c r="BO79">
        <v>0</v>
      </c>
      <c r="BP79">
        <v>0</v>
      </c>
      <c r="BQ79">
        <v>0</v>
      </c>
      <c r="BR79">
        <v>0</v>
      </c>
      <c r="BS79">
        <v>0</v>
      </c>
      <c r="BU79">
        <v>0.08</v>
      </c>
      <c r="BV79">
        <v>0.03</v>
      </c>
      <c r="BW79">
        <v>0.1</v>
      </c>
      <c r="BX79">
        <v>0.71</v>
      </c>
      <c r="BY79">
        <v>0.17</v>
      </c>
      <c r="BZ79">
        <v>0.48</v>
      </c>
      <c r="CA79">
        <v>2000</v>
      </c>
      <c r="CQ79" t="s">
        <v>2031</v>
      </c>
      <c r="CR79">
        <v>0</v>
      </c>
      <c r="CS79">
        <v>0</v>
      </c>
      <c r="CT79">
        <v>0</v>
      </c>
      <c r="CU79">
        <v>0</v>
      </c>
      <c r="CW79" t="s">
        <v>1043</v>
      </c>
      <c r="CX79">
        <v>0</v>
      </c>
      <c r="CY79">
        <v>0</v>
      </c>
      <c r="CZ79">
        <v>0</v>
      </c>
      <c r="DA79">
        <v>0</v>
      </c>
      <c r="DB79">
        <v>0</v>
      </c>
      <c r="DD79">
        <v>0</v>
      </c>
      <c r="DK79">
        <v>0</v>
      </c>
      <c r="DL79">
        <v>0</v>
      </c>
      <c r="DM79">
        <v>0</v>
      </c>
      <c r="DN79">
        <v>0</v>
      </c>
      <c r="DO79">
        <v>0</v>
      </c>
      <c r="DP79">
        <v>0</v>
      </c>
      <c r="DQ79">
        <v>0</v>
      </c>
      <c r="DR79">
        <v>0</v>
      </c>
      <c r="DS79" t="s">
        <v>1043</v>
      </c>
      <c r="DT79" t="s">
        <v>1044</v>
      </c>
      <c r="DU79" t="s">
        <v>1044</v>
      </c>
      <c r="DW79" t="s">
        <v>1042</v>
      </c>
      <c r="DX79">
        <v>0</v>
      </c>
      <c r="DY79" t="s">
        <v>1043</v>
      </c>
      <c r="DZ79">
        <v>0</v>
      </c>
      <c r="EA79">
        <v>0</v>
      </c>
      <c r="EC79">
        <v>0</v>
      </c>
      <c r="EM79">
        <v>0</v>
      </c>
      <c r="EN79">
        <v>0</v>
      </c>
      <c r="EO79">
        <v>0</v>
      </c>
      <c r="EP79" t="s">
        <v>1043</v>
      </c>
      <c r="EX79" t="s">
        <v>2030</v>
      </c>
      <c r="EY79">
        <v>0</v>
      </c>
      <c r="EZ79">
        <v>0</v>
      </c>
      <c r="FA79">
        <v>0</v>
      </c>
      <c r="FB79">
        <v>1</v>
      </c>
      <c r="FC79" t="s">
        <v>1</v>
      </c>
      <c r="FD79" t="s">
        <v>2029</v>
      </c>
      <c r="FE79" t="s">
        <v>1045</v>
      </c>
      <c r="FF79">
        <v>0</v>
      </c>
      <c r="FG79">
        <v>0</v>
      </c>
      <c r="FH79" t="s">
        <v>1045</v>
      </c>
      <c r="FI79" t="s">
        <v>1045</v>
      </c>
      <c r="FJ79" t="s">
        <v>1043</v>
      </c>
      <c r="FR79">
        <v>0</v>
      </c>
      <c r="FS79">
        <v>0</v>
      </c>
      <c r="GA79" t="s">
        <v>1044</v>
      </c>
      <c r="GB79" t="s">
        <v>1044</v>
      </c>
      <c r="GC79" t="s">
        <v>1045</v>
      </c>
      <c r="GD79">
        <v>0</v>
      </c>
      <c r="GH79" t="s">
        <v>1045</v>
      </c>
      <c r="GI79" t="s">
        <v>2028</v>
      </c>
      <c r="GL79">
        <v>0</v>
      </c>
      <c r="GM79">
        <v>0</v>
      </c>
      <c r="GN79">
        <v>0</v>
      </c>
      <c r="GP79" t="s">
        <v>1042</v>
      </c>
      <c r="GQ79" t="s">
        <v>2027</v>
      </c>
      <c r="GS79" t="s">
        <v>1045</v>
      </c>
      <c r="GU79">
        <v>1</v>
      </c>
      <c r="GV79" t="s">
        <v>1045</v>
      </c>
      <c r="GW79" t="s">
        <v>2026</v>
      </c>
      <c r="GZ79" t="s">
        <v>2025</v>
      </c>
      <c r="HH79">
        <v>0</v>
      </c>
      <c r="HI79">
        <v>0</v>
      </c>
      <c r="HK79" t="s">
        <v>1045</v>
      </c>
      <c r="HL79" t="s">
        <v>1045</v>
      </c>
      <c r="HP79">
        <v>0</v>
      </c>
      <c r="HZ79">
        <v>0</v>
      </c>
      <c r="IB79">
        <v>0</v>
      </c>
      <c r="IC79">
        <v>0</v>
      </c>
      <c r="IG79" t="s">
        <v>1042</v>
      </c>
      <c r="IJ79" t="s">
        <v>1042</v>
      </c>
      <c r="IM79">
        <v>0</v>
      </c>
      <c r="IN79" t="s">
        <v>2024</v>
      </c>
      <c r="IQ79" t="s">
        <v>1045</v>
      </c>
    </row>
    <row r="80" spans="2:251" x14ac:dyDescent="0.35">
      <c r="B80">
        <v>1</v>
      </c>
      <c r="C80">
        <v>1335</v>
      </c>
      <c r="D80">
        <v>0</v>
      </c>
      <c r="E80">
        <v>0</v>
      </c>
      <c r="F80">
        <v>0</v>
      </c>
      <c r="G80">
        <v>0</v>
      </c>
      <c r="H80">
        <v>0</v>
      </c>
      <c r="I80">
        <v>0</v>
      </c>
      <c r="J80" t="s">
        <v>696</v>
      </c>
      <c r="M80">
        <v>34</v>
      </c>
      <c r="Q80">
        <v>28</v>
      </c>
      <c r="S80">
        <v>34</v>
      </c>
      <c r="T80">
        <v>0</v>
      </c>
      <c r="U80">
        <v>0</v>
      </c>
      <c r="W80">
        <v>0</v>
      </c>
      <c r="Y80" t="s">
        <v>1042</v>
      </c>
      <c r="Z80" t="s">
        <v>1042</v>
      </c>
      <c r="AA80" t="s">
        <v>1042</v>
      </c>
      <c r="AB80" t="s">
        <v>1042</v>
      </c>
      <c r="AC80" t="s">
        <v>1042</v>
      </c>
      <c r="AD80" t="s">
        <v>1042</v>
      </c>
      <c r="AE80">
        <v>0</v>
      </c>
      <c r="AG80">
        <v>0</v>
      </c>
      <c r="AH80">
        <v>0</v>
      </c>
      <c r="AI80">
        <v>0</v>
      </c>
      <c r="AJ80">
        <v>0</v>
      </c>
      <c r="AK80" t="s">
        <v>1043</v>
      </c>
      <c r="AM80">
        <v>220</v>
      </c>
      <c r="AO80" t="s">
        <v>1044</v>
      </c>
      <c r="AP80">
        <v>0</v>
      </c>
      <c r="AR80" t="s">
        <v>1047</v>
      </c>
      <c r="AV80">
        <v>0</v>
      </c>
      <c r="AW80">
        <v>0</v>
      </c>
      <c r="AX80">
        <v>0</v>
      </c>
      <c r="AY80">
        <v>0</v>
      </c>
      <c r="AZ80">
        <v>0</v>
      </c>
      <c r="BA80">
        <v>0</v>
      </c>
      <c r="BB80">
        <v>0</v>
      </c>
      <c r="BC80" t="s">
        <v>1043</v>
      </c>
      <c r="BD80">
        <v>0</v>
      </c>
      <c r="BE80">
        <v>0</v>
      </c>
      <c r="BJ80" t="s">
        <v>1044</v>
      </c>
      <c r="BM80">
        <v>0</v>
      </c>
      <c r="BN80">
        <v>0</v>
      </c>
      <c r="BO80">
        <v>0</v>
      </c>
      <c r="BP80">
        <v>0</v>
      </c>
      <c r="BQ80">
        <v>0</v>
      </c>
      <c r="BR80">
        <v>0</v>
      </c>
      <c r="BS80">
        <v>0</v>
      </c>
      <c r="BU80">
        <v>0.11</v>
      </c>
      <c r="BV80">
        <v>0.04</v>
      </c>
      <c r="BW80">
        <v>0.11</v>
      </c>
      <c r="BX80">
        <v>0.73</v>
      </c>
      <c r="BY80">
        <v>0.19</v>
      </c>
      <c r="BZ80">
        <v>0.49</v>
      </c>
      <c r="CA80">
        <v>1000</v>
      </c>
      <c r="CQ80" t="s">
        <v>2031</v>
      </c>
      <c r="CR80">
        <v>0</v>
      </c>
      <c r="CS80">
        <v>0</v>
      </c>
      <c r="CT80">
        <v>0</v>
      </c>
      <c r="CU80">
        <v>0</v>
      </c>
      <c r="CW80" t="s">
        <v>1043</v>
      </c>
      <c r="CX80">
        <v>0</v>
      </c>
      <c r="CY80">
        <v>0</v>
      </c>
      <c r="CZ80">
        <v>0</v>
      </c>
      <c r="DA80">
        <v>0</v>
      </c>
      <c r="DB80">
        <v>0</v>
      </c>
      <c r="DD80">
        <v>0</v>
      </c>
      <c r="DK80">
        <v>0</v>
      </c>
      <c r="DL80">
        <v>0</v>
      </c>
      <c r="DM80">
        <v>0</v>
      </c>
      <c r="DN80">
        <v>0</v>
      </c>
      <c r="DO80">
        <v>0</v>
      </c>
      <c r="DP80">
        <v>0</v>
      </c>
      <c r="DQ80">
        <v>0</v>
      </c>
      <c r="DR80">
        <v>0</v>
      </c>
      <c r="DS80" t="s">
        <v>1043</v>
      </c>
      <c r="DT80" t="s">
        <v>1044</v>
      </c>
      <c r="DU80" t="s">
        <v>1044</v>
      </c>
      <c r="DW80" t="s">
        <v>1042</v>
      </c>
      <c r="DX80">
        <v>0</v>
      </c>
      <c r="DY80" t="s">
        <v>1043</v>
      </c>
      <c r="DZ80">
        <v>0</v>
      </c>
      <c r="EA80">
        <v>0</v>
      </c>
      <c r="EC80">
        <v>0</v>
      </c>
      <c r="EM80">
        <v>0</v>
      </c>
      <c r="EN80">
        <v>0</v>
      </c>
      <c r="EO80">
        <v>0</v>
      </c>
      <c r="EP80" t="s">
        <v>1043</v>
      </c>
      <c r="EX80" t="s">
        <v>2030</v>
      </c>
      <c r="EY80">
        <v>0</v>
      </c>
      <c r="EZ80">
        <v>0</v>
      </c>
      <c r="FA80">
        <v>0</v>
      </c>
      <c r="FB80">
        <v>1</v>
      </c>
      <c r="FC80" t="s">
        <v>1</v>
      </c>
      <c r="FD80" t="s">
        <v>2029</v>
      </c>
      <c r="FE80" t="s">
        <v>1045</v>
      </c>
      <c r="FF80">
        <v>0</v>
      </c>
      <c r="FG80">
        <v>0</v>
      </c>
      <c r="FH80" t="s">
        <v>1045</v>
      </c>
      <c r="FI80" t="s">
        <v>1045</v>
      </c>
      <c r="FJ80" t="s">
        <v>1043</v>
      </c>
      <c r="FR80">
        <v>0</v>
      </c>
      <c r="FS80">
        <v>0</v>
      </c>
      <c r="GA80" t="s">
        <v>1044</v>
      </c>
      <c r="GB80" t="s">
        <v>1044</v>
      </c>
      <c r="GC80" t="s">
        <v>1045</v>
      </c>
      <c r="GD80">
        <v>0</v>
      </c>
      <c r="GH80" t="s">
        <v>1045</v>
      </c>
      <c r="GI80" t="s">
        <v>2028</v>
      </c>
      <c r="GL80">
        <v>0</v>
      </c>
      <c r="GM80">
        <v>0</v>
      </c>
      <c r="GN80">
        <v>0</v>
      </c>
      <c r="GP80" t="s">
        <v>1042</v>
      </c>
      <c r="GQ80" t="s">
        <v>2027</v>
      </c>
      <c r="GS80" t="s">
        <v>1045</v>
      </c>
      <c r="GU80">
        <v>1</v>
      </c>
      <c r="GV80" t="s">
        <v>1045</v>
      </c>
      <c r="GW80" t="s">
        <v>2026</v>
      </c>
      <c r="GZ80" t="s">
        <v>2025</v>
      </c>
      <c r="HH80">
        <v>0</v>
      </c>
      <c r="HI80">
        <v>0</v>
      </c>
      <c r="HK80" t="s">
        <v>1045</v>
      </c>
      <c r="HL80" t="s">
        <v>1045</v>
      </c>
      <c r="HP80">
        <v>0</v>
      </c>
      <c r="HZ80">
        <v>0</v>
      </c>
      <c r="IB80">
        <v>0</v>
      </c>
      <c r="IC80">
        <v>0</v>
      </c>
      <c r="IG80" t="s">
        <v>1042</v>
      </c>
      <c r="IJ80" t="s">
        <v>1042</v>
      </c>
      <c r="IM80">
        <v>0</v>
      </c>
      <c r="IN80" t="s">
        <v>2024</v>
      </c>
      <c r="IQ80" t="s">
        <v>1045</v>
      </c>
    </row>
    <row r="81" spans="2:251" x14ac:dyDescent="0.35">
      <c r="B81">
        <v>1</v>
      </c>
      <c r="C81">
        <v>1336</v>
      </c>
      <c r="D81">
        <v>0</v>
      </c>
      <c r="E81">
        <v>0</v>
      </c>
      <c r="F81">
        <v>0</v>
      </c>
      <c r="G81">
        <v>0</v>
      </c>
      <c r="H81">
        <v>0</v>
      </c>
      <c r="I81">
        <v>0</v>
      </c>
      <c r="J81" t="s">
        <v>697</v>
      </c>
      <c r="M81">
        <v>34</v>
      </c>
      <c r="Q81">
        <v>28</v>
      </c>
      <c r="S81">
        <v>34</v>
      </c>
      <c r="T81">
        <v>0</v>
      </c>
      <c r="U81">
        <v>0</v>
      </c>
      <c r="W81">
        <v>0</v>
      </c>
      <c r="Y81" t="s">
        <v>1042</v>
      </c>
      <c r="Z81" t="s">
        <v>1042</v>
      </c>
      <c r="AA81" t="s">
        <v>1042</v>
      </c>
      <c r="AB81" t="s">
        <v>1042</v>
      </c>
      <c r="AC81" t="s">
        <v>1042</v>
      </c>
      <c r="AD81" t="s">
        <v>1042</v>
      </c>
      <c r="AE81">
        <v>0</v>
      </c>
      <c r="AG81">
        <v>0</v>
      </c>
      <c r="AH81">
        <v>0</v>
      </c>
      <c r="AI81">
        <v>0</v>
      </c>
      <c r="AJ81">
        <v>0</v>
      </c>
      <c r="AK81" t="s">
        <v>1043</v>
      </c>
      <c r="AM81">
        <v>220</v>
      </c>
      <c r="AO81" t="s">
        <v>1044</v>
      </c>
      <c r="AP81">
        <v>0</v>
      </c>
      <c r="AR81" t="s">
        <v>1047</v>
      </c>
      <c r="AV81">
        <v>0</v>
      </c>
      <c r="AW81">
        <v>0</v>
      </c>
      <c r="AX81">
        <v>0</v>
      </c>
      <c r="AY81">
        <v>0</v>
      </c>
      <c r="AZ81">
        <v>0</v>
      </c>
      <c r="BA81">
        <v>0</v>
      </c>
      <c r="BB81">
        <v>0</v>
      </c>
      <c r="BC81" t="s">
        <v>1043</v>
      </c>
      <c r="BD81">
        <v>0</v>
      </c>
      <c r="BE81">
        <v>0</v>
      </c>
      <c r="BJ81" t="s">
        <v>1044</v>
      </c>
      <c r="BM81">
        <v>0</v>
      </c>
      <c r="BN81">
        <v>0</v>
      </c>
      <c r="BO81">
        <v>0</v>
      </c>
      <c r="BP81">
        <v>0</v>
      </c>
      <c r="BQ81">
        <v>0</v>
      </c>
      <c r="BR81">
        <v>0</v>
      </c>
      <c r="BS81">
        <v>0</v>
      </c>
      <c r="BU81">
        <v>0.11</v>
      </c>
      <c r="BV81">
        <v>0.04</v>
      </c>
      <c r="BW81">
        <v>0.11</v>
      </c>
      <c r="BX81">
        <v>0.73</v>
      </c>
      <c r="BY81">
        <v>0.19</v>
      </c>
      <c r="BZ81">
        <v>0.49</v>
      </c>
      <c r="CA81">
        <v>1000</v>
      </c>
      <c r="CQ81" t="s">
        <v>2031</v>
      </c>
      <c r="CR81">
        <v>0</v>
      </c>
      <c r="CS81">
        <v>0</v>
      </c>
      <c r="CT81">
        <v>0</v>
      </c>
      <c r="CU81">
        <v>0</v>
      </c>
      <c r="CW81" t="s">
        <v>1043</v>
      </c>
      <c r="CX81">
        <v>0</v>
      </c>
      <c r="CY81">
        <v>0</v>
      </c>
      <c r="CZ81">
        <v>0</v>
      </c>
      <c r="DA81">
        <v>0</v>
      </c>
      <c r="DB81">
        <v>0</v>
      </c>
      <c r="DD81">
        <v>0</v>
      </c>
      <c r="DK81">
        <v>0</v>
      </c>
      <c r="DL81">
        <v>0</v>
      </c>
      <c r="DM81">
        <v>0</v>
      </c>
      <c r="DN81">
        <v>0</v>
      </c>
      <c r="DO81">
        <v>0</v>
      </c>
      <c r="DP81">
        <v>0</v>
      </c>
      <c r="DQ81">
        <v>0</v>
      </c>
      <c r="DR81">
        <v>0</v>
      </c>
      <c r="DS81" t="s">
        <v>1043</v>
      </c>
      <c r="DT81" t="s">
        <v>1044</v>
      </c>
      <c r="DU81" t="s">
        <v>1044</v>
      </c>
      <c r="DW81" t="s">
        <v>1042</v>
      </c>
      <c r="DX81">
        <v>0</v>
      </c>
      <c r="DY81" t="s">
        <v>1043</v>
      </c>
      <c r="DZ81">
        <v>0</v>
      </c>
      <c r="EA81">
        <v>0</v>
      </c>
      <c r="EC81">
        <v>0</v>
      </c>
      <c r="EM81">
        <v>0</v>
      </c>
      <c r="EN81">
        <v>0</v>
      </c>
      <c r="EO81">
        <v>0</v>
      </c>
      <c r="EP81" t="s">
        <v>1043</v>
      </c>
      <c r="EX81" t="s">
        <v>2030</v>
      </c>
      <c r="EY81">
        <v>0</v>
      </c>
      <c r="EZ81">
        <v>0</v>
      </c>
      <c r="FA81">
        <v>0</v>
      </c>
      <c r="FB81">
        <v>1</v>
      </c>
      <c r="FC81" t="s">
        <v>1</v>
      </c>
      <c r="FD81" t="s">
        <v>2029</v>
      </c>
      <c r="FE81" t="s">
        <v>1045</v>
      </c>
      <c r="FF81">
        <v>0</v>
      </c>
      <c r="FG81">
        <v>0</v>
      </c>
      <c r="FH81" t="s">
        <v>1045</v>
      </c>
      <c r="FI81" t="s">
        <v>1045</v>
      </c>
      <c r="FJ81" t="s">
        <v>1043</v>
      </c>
      <c r="FR81">
        <v>0</v>
      </c>
      <c r="FS81">
        <v>0</v>
      </c>
      <c r="GA81" t="s">
        <v>1044</v>
      </c>
      <c r="GB81" t="s">
        <v>1044</v>
      </c>
      <c r="GC81" t="s">
        <v>1045</v>
      </c>
      <c r="GD81">
        <v>0</v>
      </c>
      <c r="GH81" t="s">
        <v>1045</v>
      </c>
      <c r="GI81" t="s">
        <v>2028</v>
      </c>
      <c r="GL81">
        <v>0</v>
      </c>
      <c r="GM81">
        <v>0</v>
      </c>
      <c r="GN81">
        <v>0</v>
      </c>
      <c r="GP81" t="s">
        <v>1042</v>
      </c>
      <c r="GQ81" t="s">
        <v>2027</v>
      </c>
      <c r="GS81" t="s">
        <v>1045</v>
      </c>
      <c r="GU81">
        <v>1</v>
      </c>
      <c r="GV81" t="s">
        <v>1045</v>
      </c>
      <c r="GW81" t="s">
        <v>2026</v>
      </c>
      <c r="GZ81" t="s">
        <v>2025</v>
      </c>
      <c r="HH81">
        <v>0</v>
      </c>
      <c r="HI81">
        <v>0</v>
      </c>
      <c r="HK81" t="s">
        <v>1045</v>
      </c>
      <c r="HL81" t="s">
        <v>1045</v>
      </c>
      <c r="HP81">
        <v>0</v>
      </c>
      <c r="HZ81">
        <v>0</v>
      </c>
      <c r="IB81">
        <v>0</v>
      </c>
      <c r="IC81">
        <v>0</v>
      </c>
      <c r="IG81" t="s">
        <v>1042</v>
      </c>
      <c r="IJ81" t="s">
        <v>1042</v>
      </c>
      <c r="IM81">
        <v>0</v>
      </c>
      <c r="IN81" t="s">
        <v>2024</v>
      </c>
      <c r="IQ81" t="s">
        <v>1045</v>
      </c>
    </row>
    <row r="82" spans="2:251" x14ac:dyDescent="0.35">
      <c r="B82">
        <v>1</v>
      </c>
      <c r="C82">
        <v>1337</v>
      </c>
      <c r="D82">
        <v>0</v>
      </c>
      <c r="E82">
        <v>0</v>
      </c>
      <c r="F82">
        <v>0</v>
      </c>
      <c r="G82">
        <v>0</v>
      </c>
      <c r="H82">
        <v>0</v>
      </c>
      <c r="I82">
        <v>0</v>
      </c>
      <c r="J82" t="s">
        <v>698</v>
      </c>
      <c r="M82">
        <v>20</v>
      </c>
      <c r="Q82">
        <v>20</v>
      </c>
      <c r="S82">
        <v>20</v>
      </c>
      <c r="T82">
        <v>0</v>
      </c>
      <c r="U82">
        <v>0</v>
      </c>
      <c r="W82">
        <v>0</v>
      </c>
      <c r="Y82" t="s">
        <v>1042</v>
      </c>
      <c r="Z82" t="s">
        <v>1042</v>
      </c>
      <c r="AA82" t="s">
        <v>1042</v>
      </c>
      <c r="AB82" t="s">
        <v>1042</v>
      </c>
      <c r="AC82" t="s">
        <v>1042</v>
      </c>
      <c r="AD82" t="s">
        <v>1042</v>
      </c>
      <c r="AE82">
        <v>0</v>
      </c>
      <c r="AG82">
        <v>0</v>
      </c>
      <c r="AH82">
        <v>0</v>
      </c>
      <c r="AI82">
        <v>0</v>
      </c>
      <c r="AJ82">
        <v>0</v>
      </c>
      <c r="AK82" t="s">
        <v>1043</v>
      </c>
      <c r="AM82">
        <v>220</v>
      </c>
      <c r="AO82" t="s">
        <v>1044</v>
      </c>
      <c r="AP82">
        <v>0</v>
      </c>
      <c r="AR82" t="s">
        <v>1047</v>
      </c>
      <c r="AV82">
        <v>0</v>
      </c>
      <c r="AW82">
        <v>0</v>
      </c>
      <c r="AX82">
        <v>0</v>
      </c>
      <c r="AY82">
        <v>0</v>
      </c>
      <c r="AZ82">
        <v>0</v>
      </c>
      <c r="BA82">
        <v>0</v>
      </c>
      <c r="BB82">
        <v>0</v>
      </c>
      <c r="BC82" t="s">
        <v>1043</v>
      </c>
      <c r="BD82">
        <v>0</v>
      </c>
      <c r="BE82">
        <v>0</v>
      </c>
      <c r="BJ82" t="s">
        <v>1044</v>
      </c>
      <c r="BM82">
        <v>0</v>
      </c>
      <c r="BN82">
        <v>0</v>
      </c>
      <c r="BO82">
        <v>0</v>
      </c>
      <c r="BP82">
        <v>0</v>
      </c>
      <c r="BQ82">
        <v>0</v>
      </c>
      <c r="BR82">
        <v>0</v>
      </c>
      <c r="BS82">
        <v>0</v>
      </c>
      <c r="BU82">
        <v>0.08</v>
      </c>
      <c r="BV82">
        <v>0.02</v>
      </c>
      <c r="BW82">
        <v>0.08</v>
      </c>
      <c r="BX82">
        <v>0.72</v>
      </c>
      <c r="BY82">
        <v>0.18</v>
      </c>
      <c r="BZ82">
        <v>0.49</v>
      </c>
      <c r="CA82">
        <v>3000</v>
      </c>
      <c r="CQ82" t="s">
        <v>2031</v>
      </c>
      <c r="CR82">
        <v>0</v>
      </c>
      <c r="CS82">
        <v>0</v>
      </c>
      <c r="CT82">
        <v>0</v>
      </c>
      <c r="CU82">
        <v>0</v>
      </c>
      <c r="CW82" t="s">
        <v>1043</v>
      </c>
      <c r="CX82">
        <v>0</v>
      </c>
      <c r="CY82">
        <v>0</v>
      </c>
      <c r="CZ82">
        <v>0</v>
      </c>
      <c r="DA82">
        <v>0</v>
      </c>
      <c r="DB82">
        <v>0</v>
      </c>
      <c r="DD82">
        <v>0</v>
      </c>
      <c r="DK82">
        <v>0</v>
      </c>
      <c r="DL82">
        <v>0</v>
      </c>
      <c r="DM82">
        <v>0</v>
      </c>
      <c r="DN82">
        <v>0</v>
      </c>
      <c r="DO82">
        <v>0</v>
      </c>
      <c r="DP82">
        <v>0</v>
      </c>
      <c r="DQ82">
        <v>0</v>
      </c>
      <c r="DR82">
        <v>0</v>
      </c>
      <c r="DS82" t="s">
        <v>1043</v>
      </c>
      <c r="DT82" t="s">
        <v>1044</v>
      </c>
      <c r="DU82" t="s">
        <v>1044</v>
      </c>
      <c r="DW82" t="s">
        <v>1042</v>
      </c>
      <c r="DX82">
        <v>0</v>
      </c>
      <c r="DY82" t="s">
        <v>1043</v>
      </c>
      <c r="DZ82">
        <v>0</v>
      </c>
      <c r="EA82">
        <v>0</v>
      </c>
      <c r="EC82">
        <v>0</v>
      </c>
      <c r="EM82">
        <v>0</v>
      </c>
      <c r="EN82">
        <v>0</v>
      </c>
      <c r="EO82">
        <v>0</v>
      </c>
      <c r="EP82" t="s">
        <v>1043</v>
      </c>
      <c r="EX82" t="s">
        <v>2030</v>
      </c>
      <c r="EY82">
        <v>0</v>
      </c>
      <c r="EZ82">
        <v>0</v>
      </c>
      <c r="FA82">
        <v>0</v>
      </c>
      <c r="FB82">
        <v>1</v>
      </c>
      <c r="FC82" t="s">
        <v>1</v>
      </c>
      <c r="FD82" t="s">
        <v>2029</v>
      </c>
      <c r="FE82" t="s">
        <v>1045</v>
      </c>
      <c r="FF82">
        <v>0</v>
      </c>
      <c r="FG82">
        <v>0</v>
      </c>
      <c r="FH82" t="s">
        <v>1045</v>
      </c>
      <c r="FI82" t="s">
        <v>1045</v>
      </c>
      <c r="FJ82" t="s">
        <v>1043</v>
      </c>
      <c r="FR82">
        <v>0</v>
      </c>
      <c r="FS82">
        <v>0</v>
      </c>
      <c r="GA82" t="s">
        <v>1044</v>
      </c>
      <c r="GB82" t="s">
        <v>1044</v>
      </c>
      <c r="GC82" t="s">
        <v>1045</v>
      </c>
      <c r="GD82">
        <v>0</v>
      </c>
      <c r="GH82" t="s">
        <v>1045</v>
      </c>
      <c r="GI82" t="s">
        <v>2028</v>
      </c>
      <c r="GL82">
        <v>0</v>
      </c>
      <c r="GM82">
        <v>0</v>
      </c>
      <c r="GN82">
        <v>0</v>
      </c>
      <c r="GP82" t="s">
        <v>1042</v>
      </c>
      <c r="GQ82" t="s">
        <v>2027</v>
      </c>
      <c r="GS82" t="s">
        <v>1045</v>
      </c>
      <c r="GU82">
        <v>1</v>
      </c>
      <c r="GV82" t="s">
        <v>1045</v>
      </c>
      <c r="GW82" t="s">
        <v>2026</v>
      </c>
      <c r="GZ82" t="s">
        <v>2025</v>
      </c>
      <c r="HH82">
        <v>0</v>
      </c>
      <c r="HI82">
        <v>0</v>
      </c>
      <c r="HK82" t="s">
        <v>1045</v>
      </c>
      <c r="HL82" t="s">
        <v>1045</v>
      </c>
      <c r="HP82">
        <v>0</v>
      </c>
      <c r="HZ82">
        <v>0</v>
      </c>
      <c r="IB82">
        <v>0</v>
      </c>
      <c r="IC82">
        <v>0</v>
      </c>
      <c r="IG82" t="s">
        <v>1042</v>
      </c>
      <c r="IJ82" t="s">
        <v>1042</v>
      </c>
      <c r="IM82">
        <v>0</v>
      </c>
      <c r="IN82" t="s">
        <v>2024</v>
      </c>
      <c r="IQ82" t="s">
        <v>1045</v>
      </c>
    </row>
    <row r="83" spans="2:251" x14ac:dyDescent="0.35">
      <c r="B83">
        <v>1</v>
      </c>
      <c r="C83">
        <v>1338</v>
      </c>
      <c r="D83">
        <v>0</v>
      </c>
      <c r="E83">
        <v>0</v>
      </c>
      <c r="F83">
        <v>0</v>
      </c>
      <c r="G83">
        <v>0</v>
      </c>
      <c r="H83">
        <v>0</v>
      </c>
      <c r="I83">
        <v>0</v>
      </c>
      <c r="J83" t="s">
        <v>699</v>
      </c>
      <c r="M83">
        <v>28</v>
      </c>
      <c r="Q83">
        <v>26</v>
      </c>
      <c r="S83">
        <v>28</v>
      </c>
      <c r="T83">
        <v>0</v>
      </c>
      <c r="U83">
        <v>0</v>
      </c>
      <c r="W83">
        <v>0</v>
      </c>
      <c r="Y83" t="s">
        <v>1042</v>
      </c>
      <c r="Z83" t="s">
        <v>1042</v>
      </c>
      <c r="AA83" t="s">
        <v>1042</v>
      </c>
      <c r="AB83" t="s">
        <v>1042</v>
      </c>
      <c r="AC83" t="s">
        <v>1042</v>
      </c>
      <c r="AD83" t="s">
        <v>1042</v>
      </c>
      <c r="AE83">
        <v>0</v>
      </c>
      <c r="AG83">
        <v>0</v>
      </c>
      <c r="AH83">
        <v>0</v>
      </c>
      <c r="AI83">
        <v>0</v>
      </c>
      <c r="AJ83">
        <v>0</v>
      </c>
      <c r="AK83" t="s">
        <v>1043</v>
      </c>
      <c r="AM83">
        <v>220</v>
      </c>
      <c r="AO83" t="s">
        <v>1044</v>
      </c>
      <c r="AP83">
        <v>0</v>
      </c>
      <c r="AR83" t="s">
        <v>1047</v>
      </c>
      <c r="AV83">
        <v>0</v>
      </c>
      <c r="AW83">
        <v>0</v>
      </c>
      <c r="AX83">
        <v>0</v>
      </c>
      <c r="AY83">
        <v>0</v>
      </c>
      <c r="AZ83">
        <v>0</v>
      </c>
      <c r="BA83">
        <v>0</v>
      </c>
      <c r="BB83">
        <v>0</v>
      </c>
      <c r="BC83" t="s">
        <v>1043</v>
      </c>
      <c r="BD83">
        <v>0</v>
      </c>
      <c r="BE83">
        <v>0</v>
      </c>
      <c r="BJ83" t="s">
        <v>1044</v>
      </c>
      <c r="BM83">
        <v>0</v>
      </c>
      <c r="BN83">
        <v>0</v>
      </c>
      <c r="BO83">
        <v>0</v>
      </c>
      <c r="BP83">
        <v>0</v>
      </c>
      <c r="BQ83">
        <v>0</v>
      </c>
      <c r="BR83">
        <v>0</v>
      </c>
      <c r="BS83">
        <v>0</v>
      </c>
      <c r="BU83">
        <v>0.08</v>
      </c>
      <c r="BV83">
        <v>0.03</v>
      </c>
      <c r="BW83">
        <v>0.1</v>
      </c>
      <c r="BX83">
        <v>0.74</v>
      </c>
      <c r="BY83">
        <v>0.2</v>
      </c>
      <c r="BZ83">
        <v>0.48</v>
      </c>
      <c r="CA83">
        <v>2000</v>
      </c>
      <c r="CQ83" t="s">
        <v>2031</v>
      </c>
      <c r="CR83">
        <v>0</v>
      </c>
      <c r="CS83">
        <v>0</v>
      </c>
      <c r="CT83">
        <v>0</v>
      </c>
      <c r="CU83">
        <v>0</v>
      </c>
      <c r="CW83" t="s">
        <v>1043</v>
      </c>
      <c r="CX83">
        <v>0</v>
      </c>
      <c r="CY83">
        <v>0</v>
      </c>
      <c r="CZ83">
        <v>0</v>
      </c>
      <c r="DA83">
        <v>0</v>
      </c>
      <c r="DB83">
        <v>0</v>
      </c>
      <c r="DD83">
        <v>0</v>
      </c>
      <c r="DK83">
        <v>0</v>
      </c>
      <c r="DL83">
        <v>0</v>
      </c>
      <c r="DM83">
        <v>0</v>
      </c>
      <c r="DN83">
        <v>0</v>
      </c>
      <c r="DO83">
        <v>0</v>
      </c>
      <c r="DP83">
        <v>0</v>
      </c>
      <c r="DQ83">
        <v>0</v>
      </c>
      <c r="DR83">
        <v>0</v>
      </c>
      <c r="DS83" t="s">
        <v>1043</v>
      </c>
      <c r="DT83" t="s">
        <v>1044</v>
      </c>
      <c r="DU83" t="s">
        <v>1044</v>
      </c>
      <c r="DW83" t="s">
        <v>1042</v>
      </c>
      <c r="DX83">
        <v>0</v>
      </c>
      <c r="DY83" t="s">
        <v>1043</v>
      </c>
      <c r="DZ83">
        <v>0</v>
      </c>
      <c r="EA83">
        <v>0</v>
      </c>
      <c r="EC83">
        <v>0</v>
      </c>
      <c r="EM83">
        <v>0</v>
      </c>
      <c r="EN83">
        <v>0</v>
      </c>
      <c r="EO83">
        <v>0</v>
      </c>
      <c r="EP83" t="s">
        <v>1043</v>
      </c>
      <c r="EX83" t="s">
        <v>2030</v>
      </c>
      <c r="EY83">
        <v>0</v>
      </c>
      <c r="EZ83">
        <v>0</v>
      </c>
      <c r="FA83">
        <v>0</v>
      </c>
      <c r="FB83">
        <v>1</v>
      </c>
      <c r="FC83" t="s">
        <v>1</v>
      </c>
      <c r="FD83" t="s">
        <v>2029</v>
      </c>
      <c r="FE83" t="s">
        <v>1045</v>
      </c>
      <c r="FF83">
        <v>0</v>
      </c>
      <c r="FG83">
        <v>0</v>
      </c>
      <c r="FH83" t="s">
        <v>1045</v>
      </c>
      <c r="FI83" t="s">
        <v>1045</v>
      </c>
      <c r="FJ83" t="s">
        <v>1043</v>
      </c>
      <c r="FR83">
        <v>0</v>
      </c>
      <c r="FS83">
        <v>0</v>
      </c>
      <c r="GA83" t="s">
        <v>1044</v>
      </c>
      <c r="GB83" t="s">
        <v>1044</v>
      </c>
      <c r="GC83" t="s">
        <v>1045</v>
      </c>
      <c r="GD83">
        <v>0</v>
      </c>
      <c r="GH83" t="s">
        <v>1045</v>
      </c>
      <c r="GI83" t="s">
        <v>2028</v>
      </c>
      <c r="GL83">
        <v>0</v>
      </c>
      <c r="GM83">
        <v>0</v>
      </c>
      <c r="GN83">
        <v>0</v>
      </c>
      <c r="GP83" t="s">
        <v>1042</v>
      </c>
      <c r="GQ83" t="s">
        <v>2027</v>
      </c>
      <c r="GS83" t="s">
        <v>1045</v>
      </c>
      <c r="GU83">
        <v>1</v>
      </c>
      <c r="GV83" t="s">
        <v>1045</v>
      </c>
      <c r="GW83" t="s">
        <v>2026</v>
      </c>
      <c r="GZ83" t="s">
        <v>2025</v>
      </c>
      <c r="HH83">
        <v>0</v>
      </c>
      <c r="HI83">
        <v>0</v>
      </c>
      <c r="HK83" t="s">
        <v>1045</v>
      </c>
      <c r="HL83" t="s">
        <v>1045</v>
      </c>
      <c r="HP83">
        <v>0</v>
      </c>
      <c r="HZ83">
        <v>0</v>
      </c>
      <c r="IB83">
        <v>0</v>
      </c>
      <c r="IC83">
        <v>0</v>
      </c>
      <c r="IG83" t="s">
        <v>1042</v>
      </c>
      <c r="IJ83" t="s">
        <v>1042</v>
      </c>
      <c r="IM83">
        <v>0</v>
      </c>
      <c r="IN83" t="s">
        <v>2024</v>
      </c>
      <c r="IQ83" t="s">
        <v>1045</v>
      </c>
    </row>
    <row r="84" spans="2:251" x14ac:dyDescent="0.35">
      <c r="B84">
        <v>1</v>
      </c>
      <c r="C84">
        <v>1339</v>
      </c>
      <c r="D84">
        <v>0</v>
      </c>
      <c r="E84">
        <v>0</v>
      </c>
      <c r="F84">
        <v>0</v>
      </c>
      <c r="G84">
        <v>0</v>
      </c>
      <c r="H84">
        <v>0</v>
      </c>
      <c r="I84">
        <v>0</v>
      </c>
      <c r="J84" t="s">
        <v>700</v>
      </c>
      <c r="M84">
        <v>34</v>
      </c>
      <c r="Q84">
        <v>32</v>
      </c>
      <c r="S84">
        <v>34</v>
      </c>
      <c r="T84">
        <v>0</v>
      </c>
      <c r="U84">
        <v>0</v>
      </c>
      <c r="W84">
        <v>0</v>
      </c>
      <c r="Y84" t="s">
        <v>1042</v>
      </c>
      <c r="Z84" t="s">
        <v>1042</v>
      </c>
      <c r="AA84" t="s">
        <v>1042</v>
      </c>
      <c r="AB84" t="s">
        <v>1042</v>
      </c>
      <c r="AC84" t="s">
        <v>1042</v>
      </c>
      <c r="AD84" t="s">
        <v>1042</v>
      </c>
      <c r="AE84">
        <v>0</v>
      </c>
      <c r="AG84">
        <v>0</v>
      </c>
      <c r="AH84">
        <v>0</v>
      </c>
      <c r="AI84">
        <v>0</v>
      </c>
      <c r="AJ84">
        <v>0</v>
      </c>
      <c r="AK84" t="s">
        <v>1043</v>
      </c>
      <c r="AM84">
        <v>220</v>
      </c>
      <c r="AO84" t="s">
        <v>1044</v>
      </c>
      <c r="AP84">
        <v>0</v>
      </c>
      <c r="AR84" t="s">
        <v>1047</v>
      </c>
      <c r="AV84">
        <v>0</v>
      </c>
      <c r="AW84">
        <v>0</v>
      </c>
      <c r="AX84">
        <v>0</v>
      </c>
      <c r="AY84">
        <v>0</v>
      </c>
      <c r="AZ84">
        <v>0</v>
      </c>
      <c r="BA84">
        <v>0</v>
      </c>
      <c r="BB84">
        <v>0</v>
      </c>
      <c r="BC84" t="s">
        <v>1043</v>
      </c>
      <c r="BD84">
        <v>0</v>
      </c>
      <c r="BE84">
        <v>0</v>
      </c>
      <c r="BJ84" t="s">
        <v>1044</v>
      </c>
      <c r="BM84">
        <v>0</v>
      </c>
      <c r="BN84">
        <v>0</v>
      </c>
      <c r="BO84">
        <v>0</v>
      </c>
      <c r="BP84">
        <v>0</v>
      </c>
      <c r="BQ84">
        <v>0</v>
      </c>
      <c r="BR84">
        <v>0</v>
      </c>
      <c r="BS84">
        <v>0</v>
      </c>
      <c r="BU84">
        <v>0.11</v>
      </c>
      <c r="BV84">
        <v>0.04</v>
      </c>
      <c r="BW84">
        <v>0.12</v>
      </c>
      <c r="BX84">
        <v>0.74</v>
      </c>
      <c r="BY84">
        <v>0.17</v>
      </c>
      <c r="BZ84">
        <v>0.5</v>
      </c>
      <c r="CA84">
        <v>1000</v>
      </c>
      <c r="CQ84" t="s">
        <v>2031</v>
      </c>
      <c r="CR84">
        <v>0</v>
      </c>
      <c r="CS84">
        <v>0</v>
      </c>
      <c r="CT84">
        <v>0</v>
      </c>
      <c r="CU84">
        <v>0</v>
      </c>
      <c r="CW84" t="s">
        <v>1043</v>
      </c>
      <c r="CX84">
        <v>0</v>
      </c>
      <c r="CY84">
        <v>0</v>
      </c>
      <c r="CZ84">
        <v>0</v>
      </c>
      <c r="DA84">
        <v>0</v>
      </c>
      <c r="DB84">
        <v>0</v>
      </c>
      <c r="DD84">
        <v>0</v>
      </c>
      <c r="DK84">
        <v>0</v>
      </c>
      <c r="DL84">
        <v>0</v>
      </c>
      <c r="DM84">
        <v>0</v>
      </c>
      <c r="DN84">
        <v>0</v>
      </c>
      <c r="DO84">
        <v>0</v>
      </c>
      <c r="DP84">
        <v>0</v>
      </c>
      <c r="DQ84">
        <v>0</v>
      </c>
      <c r="DR84">
        <v>0</v>
      </c>
      <c r="DS84" t="s">
        <v>1043</v>
      </c>
      <c r="DT84" t="s">
        <v>1044</v>
      </c>
      <c r="DU84" t="s">
        <v>1044</v>
      </c>
      <c r="DW84" t="s">
        <v>1042</v>
      </c>
      <c r="DX84">
        <v>0</v>
      </c>
      <c r="DY84" t="s">
        <v>1043</v>
      </c>
      <c r="DZ84">
        <v>0</v>
      </c>
      <c r="EA84">
        <v>0</v>
      </c>
      <c r="EC84">
        <v>0</v>
      </c>
      <c r="EM84">
        <v>0</v>
      </c>
      <c r="EN84">
        <v>0</v>
      </c>
      <c r="EO84">
        <v>0</v>
      </c>
      <c r="EP84" t="s">
        <v>1043</v>
      </c>
      <c r="EX84" t="s">
        <v>2030</v>
      </c>
      <c r="EY84">
        <v>0</v>
      </c>
      <c r="EZ84">
        <v>0</v>
      </c>
      <c r="FA84">
        <v>0</v>
      </c>
      <c r="FB84">
        <v>1</v>
      </c>
      <c r="FC84" t="s">
        <v>1</v>
      </c>
      <c r="FD84" t="s">
        <v>2029</v>
      </c>
      <c r="FE84" t="s">
        <v>1045</v>
      </c>
      <c r="FF84">
        <v>0</v>
      </c>
      <c r="FG84">
        <v>0</v>
      </c>
      <c r="FH84" t="s">
        <v>1045</v>
      </c>
      <c r="FI84" t="s">
        <v>1045</v>
      </c>
      <c r="FJ84" t="s">
        <v>1043</v>
      </c>
      <c r="FR84">
        <v>0</v>
      </c>
      <c r="FS84">
        <v>0</v>
      </c>
      <c r="GA84" t="s">
        <v>1044</v>
      </c>
      <c r="GB84" t="s">
        <v>1044</v>
      </c>
      <c r="GC84" t="s">
        <v>1045</v>
      </c>
      <c r="GD84">
        <v>0</v>
      </c>
      <c r="GH84" t="s">
        <v>1045</v>
      </c>
      <c r="GI84" t="s">
        <v>2028</v>
      </c>
      <c r="GL84">
        <v>0</v>
      </c>
      <c r="GM84">
        <v>0</v>
      </c>
      <c r="GN84">
        <v>0</v>
      </c>
      <c r="GP84" t="s">
        <v>1042</v>
      </c>
      <c r="GQ84" t="s">
        <v>2027</v>
      </c>
      <c r="GS84" t="s">
        <v>1045</v>
      </c>
      <c r="GU84">
        <v>1</v>
      </c>
      <c r="GV84" t="s">
        <v>1045</v>
      </c>
      <c r="GW84" t="s">
        <v>2026</v>
      </c>
      <c r="GZ84" t="s">
        <v>2025</v>
      </c>
      <c r="HH84">
        <v>0</v>
      </c>
      <c r="HI84">
        <v>0</v>
      </c>
      <c r="HK84" t="s">
        <v>1045</v>
      </c>
      <c r="HL84" t="s">
        <v>1045</v>
      </c>
      <c r="HP84">
        <v>0</v>
      </c>
      <c r="HZ84">
        <v>0</v>
      </c>
      <c r="IB84">
        <v>0</v>
      </c>
      <c r="IC84">
        <v>0</v>
      </c>
      <c r="IG84" t="s">
        <v>1042</v>
      </c>
      <c r="IJ84" t="s">
        <v>1042</v>
      </c>
      <c r="IM84">
        <v>0</v>
      </c>
      <c r="IN84" t="s">
        <v>2024</v>
      </c>
      <c r="IQ84" t="s">
        <v>1045</v>
      </c>
    </row>
    <row r="85" spans="2:251" x14ac:dyDescent="0.35">
      <c r="B85">
        <v>1</v>
      </c>
      <c r="C85">
        <v>1340</v>
      </c>
      <c r="D85">
        <v>0</v>
      </c>
      <c r="E85">
        <v>0</v>
      </c>
      <c r="F85">
        <v>0</v>
      </c>
      <c r="G85">
        <v>0</v>
      </c>
      <c r="H85">
        <v>0</v>
      </c>
      <c r="I85">
        <v>0</v>
      </c>
      <c r="J85" t="s">
        <v>701</v>
      </c>
      <c r="M85">
        <v>29</v>
      </c>
      <c r="Q85">
        <v>46</v>
      </c>
      <c r="S85">
        <v>29</v>
      </c>
      <c r="T85">
        <v>0</v>
      </c>
      <c r="U85">
        <v>0</v>
      </c>
      <c r="W85">
        <v>0</v>
      </c>
      <c r="Y85" t="s">
        <v>1042</v>
      </c>
      <c r="Z85" t="s">
        <v>1042</v>
      </c>
      <c r="AA85" t="s">
        <v>1042</v>
      </c>
      <c r="AB85" t="s">
        <v>1042</v>
      </c>
      <c r="AC85" t="s">
        <v>1042</v>
      </c>
      <c r="AD85" t="s">
        <v>1042</v>
      </c>
      <c r="AE85">
        <v>0</v>
      </c>
      <c r="AG85">
        <v>0</v>
      </c>
      <c r="AH85">
        <v>0</v>
      </c>
      <c r="AI85">
        <v>0</v>
      </c>
      <c r="AJ85">
        <v>0</v>
      </c>
      <c r="AK85" t="s">
        <v>1043</v>
      </c>
      <c r="AM85">
        <v>220</v>
      </c>
      <c r="AO85" t="s">
        <v>1044</v>
      </c>
      <c r="AP85">
        <v>0</v>
      </c>
      <c r="AR85" t="s">
        <v>1047</v>
      </c>
      <c r="AV85">
        <v>0</v>
      </c>
      <c r="AW85">
        <v>0</v>
      </c>
      <c r="AX85">
        <v>0</v>
      </c>
      <c r="AY85">
        <v>0</v>
      </c>
      <c r="AZ85">
        <v>0</v>
      </c>
      <c r="BA85">
        <v>0</v>
      </c>
      <c r="BB85">
        <v>0</v>
      </c>
      <c r="BC85" t="s">
        <v>1043</v>
      </c>
      <c r="BD85">
        <v>0</v>
      </c>
      <c r="BE85">
        <v>0</v>
      </c>
      <c r="BJ85" t="s">
        <v>1044</v>
      </c>
      <c r="BM85">
        <v>0</v>
      </c>
      <c r="BN85">
        <v>0</v>
      </c>
      <c r="BO85">
        <v>0</v>
      </c>
      <c r="BP85">
        <v>0</v>
      </c>
      <c r="BQ85">
        <v>0</v>
      </c>
      <c r="BR85">
        <v>0</v>
      </c>
      <c r="BS85">
        <v>0</v>
      </c>
      <c r="BU85">
        <v>0.12</v>
      </c>
      <c r="BV85">
        <v>0.03</v>
      </c>
      <c r="BW85">
        <v>0.12</v>
      </c>
      <c r="BX85">
        <v>0.23</v>
      </c>
      <c r="BY85">
        <v>0.26</v>
      </c>
      <c r="BZ85">
        <v>0.31</v>
      </c>
      <c r="CA85">
        <v>360</v>
      </c>
      <c r="CQ85" t="s">
        <v>2031</v>
      </c>
      <c r="CR85">
        <v>0</v>
      </c>
      <c r="CS85">
        <v>0</v>
      </c>
      <c r="CT85">
        <v>0</v>
      </c>
      <c r="CU85">
        <v>0</v>
      </c>
      <c r="CW85" t="s">
        <v>1043</v>
      </c>
      <c r="CX85">
        <v>0</v>
      </c>
      <c r="CY85">
        <v>0</v>
      </c>
      <c r="CZ85">
        <v>0</v>
      </c>
      <c r="DA85">
        <v>0</v>
      </c>
      <c r="DB85">
        <v>0</v>
      </c>
      <c r="DD85">
        <v>0</v>
      </c>
      <c r="DK85">
        <v>0</v>
      </c>
      <c r="DL85">
        <v>0</v>
      </c>
      <c r="DM85">
        <v>0</v>
      </c>
      <c r="DN85">
        <v>0</v>
      </c>
      <c r="DO85">
        <v>0</v>
      </c>
      <c r="DP85">
        <v>0</v>
      </c>
      <c r="DQ85">
        <v>0</v>
      </c>
      <c r="DR85">
        <v>0</v>
      </c>
      <c r="DS85" t="s">
        <v>1043</v>
      </c>
      <c r="DT85" t="s">
        <v>1044</v>
      </c>
      <c r="DU85" t="s">
        <v>1044</v>
      </c>
      <c r="DW85" t="s">
        <v>1042</v>
      </c>
      <c r="DX85">
        <v>0</v>
      </c>
      <c r="DY85" t="s">
        <v>1043</v>
      </c>
      <c r="DZ85">
        <v>0</v>
      </c>
      <c r="EA85">
        <v>0</v>
      </c>
      <c r="EC85">
        <v>0</v>
      </c>
      <c r="EM85">
        <v>0</v>
      </c>
      <c r="EN85">
        <v>0</v>
      </c>
      <c r="EO85">
        <v>0</v>
      </c>
      <c r="EP85" t="s">
        <v>1043</v>
      </c>
      <c r="EX85" t="s">
        <v>2030</v>
      </c>
      <c r="EY85">
        <v>0</v>
      </c>
      <c r="EZ85">
        <v>0</v>
      </c>
      <c r="FA85">
        <v>0</v>
      </c>
      <c r="FB85">
        <v>1</v>
      </c>
      <c r="FC85" t="s">
        <v>1</v>
      </c>
      <c r="FD85" t="s">
        <v>2029</v>
      </c>
      <c r="FE85" t="s">
        <v>1045</v>
      </c>
      <c r="FF85">
        <v>0</v>
      </c>
      <c r="FG85">
        <v>0</v>
      </c>
      <c r="FH85" t="s">
        <v>1045</v>
      </c>
      <c r="FI85" t="s">
        <v>1045</v>
      </c>
      <c r="FJ85" t="s">
        <v>1043</v>
      </c>
      <c r="FR85">
        <v>0</v>
      </c>
      <c r="FS85">
        <v>0</v>
      </c>
      <c r="GA85" t="s">
        <v>1044</v>
      </c>
      <c r="GB85" t="s">
        <v>1044</v>
      </c>
      <c r="GC85" t="s">
        <v>1045</v>
      </c>
      <c r="GD85">
        <v>0</v>
      </c>
      <c r="GH85" t="s">
        <v>1045</v>
      </c>
      <c r="GI85" t="s">
        <v>2028</v>
      </c>
      <c r="GL85">
        <v>0</v>
      </c>
      <c r="GM85">
        <v>0</v>
      </c>
      <c r="GN85">
        <v>0</v>
      </c>
      <c r="GP85" t="s">
        <v>1042</v>
      </c>
      <c r="GQ85" t="s">
        <v>2027</v>
      </c>
      <c r="GS85" t="s">
        <v>1045</v>
      </c>
      <c r="GU85">
        <v>1</v>
      </c>
      <c r="GV85" t="s">
        <v>1045</v>
      </c>
      <c r="GW85" t="s">
        <v>2026</v>
      </c>
      <c r="GZ85" t="s">
        <v>2025</v>
      </c>
      <c r="HH85">
        <v>0</v>
      </c>
      <c r="HI85">
        <v>0</v>
      </c>
      <c r="HK85" t="s">
        <v>1045</v>
      </c>
      <c r="HL85" t="s">
        <v>1045</v>
      </c>
      <c r="HP85">
        <v>0</v>
      </c>
      <c r="HZ85">
        <v>0</v>
      </c>
      <c r="IB85">
        <v>0</v>
      </c>
      <c r="IC85">
        <v>0</v>
      </c>
      <c r="IG85" t="s">
        <v>1042</v>
      </c>
      <c r="IJ85" t="s">
        <v>1042</v>
      </c>
      <c r="IM85">
        <v>0</v>
      </c>
      <c r="IN85" t="s">
        <v>2024</v>
      </c>
      <c r="IQ85" t="s">
        <v>1045</v>
      </c>
    </row>
    <row r="86" spans="2:251" x14ac:dyDescent="0.35">
      <c r="B86">
        <v>1</v>
      </c>
      <c r="C86">
        <v>1341</v>
      </c>
      <c r="D86">
        <v>0</v>
      </c>
      <c r="E86">
        <v>0</v>
      </c>
      <c r="F86">
        <v>0</v>
      </c>
      <c r="G86">
        <v>0</v>
      </c>
      <c r="H86">
        <v>0</v>
      </c>
      <c r="I86">
        <v>0</v>
      </c>
      <c r="J86" t="s">
        <v>702</v>
      </c>
      <c r="M86">
        <v>29</v>
      </c>
      <c r="Q86">
        <v>52</v>
      </c>
      <c r="S86">
        <v>29</v>
      </c>
      <c r="T86">
        <v>0</v>
      </c>
      <c r="U86">
        <v>0</v>
      </c>
      <c r="W86">
        <v>0</v>
      </c>
      <c r="Y86" t="s">
        <v>1042</v>
      </c>
      <c r="Z86" t="s">
        <v>1042</v>
      </c>
      <c r="AA86" t="s">
        <v>1042</v>
      </c>
      <c r="AB86" t="s">
        <v>1042</v>
      </c>
      <c r="AC86" t="s">
        <v>1042</v>
      </c>
      <c r="AD86" t="s">
        <v>1042</v>
      </c>
      <c r="AE86">
        <v>0</v>
      </c>
      <c r="AG86">
        <v>0</v>
      </c>
      <c r="AH86">
        <v>0</v>
      </c>
      <c r="AI86">
        <v>0</v>
      </c>
      <c r="AJ86">
        <v>0</v>
      </c>
      <c r="AK86" t="s">
        <v>1043</v>
      </c>
      <c r="AM86">
        <v>220</v>
      </c>
      <c r="AO86" t="s">
        <v>1044</v>
      </c>
      <c r="AP86">
        <v>0</v>
      </c>
      <c r="AR86" t="s">
        <v>1047</v>
      </c>
      <c r="AV86">
        <v>0</v>
      </c>
      <c r="AW86">
        <v>0</v>
      </c>
      <c r="AX86">
        <v>0</v>
      </c>
      <c r="AY86">
        <v>0</v>
      </c>
      <c r="AZ86">
        <v>0</v>
      </c>
      <c r="BA86">
        <v>0</v>
      </c>
      <c r="BB86">
        <v>0</v>
      </c>
      <c r="BC86" t="s">
        <v>1043</v>
      </c>
      <c r="BD86">
        <v>0</v>
      </c>
      <c r="BE86">
        <v>0</v>
      </c>
      <c r="BJ86" t="s">
        <v>1044</v>
      </c>
      <c r="BM86">
        <v>0</v>
      </c>
      <c r="BN86">
        <v>0</v>
      </c>
      <c r="BO86">
        <v>0</v>
      </c>
      <c r="BP86">
        <v>0</v>
      </c>
      <c r="BQ86">
        <v>0</v>
      </c>
      <c r="BR86">
        <v>0</v>
      </c>
      <c r="BS86">
        <v>0</v>
      </c>
      <c r="BU86">
        <v>0.14000000000000001</v>
      </c>
      <c r="BV86">
        <v>0.3</v>
      </c>
      <c r="BW86">
        <v>0.14000000000000001</v>
      </c>
      <c r="BX86">
        <v>0.23</v>
      </c>
      <c r="BY86">
        <v>0.26</v>
      </c>
      <c r="BZ86">
        <v>0.31</v>
      </c>
      <c r="CA86">
        <v>280</v>
      </c>
      <c r="CQ86" t="s">
        <v>2031</v>
      </c>
      <c r="CR86">
        <v>0</v>
      </c>
      <c r="CS86">
        <v>0</v>
      </c>
      <c r="CT86">
        <v>0</v>
      </c>
      <c r="CU86">
        <v>0</v>
      </c>
      <c r="CW86" t="s">
        <v>1043</v>
      </c>
      <c r="CX86">
        <v>0</v>
      </c>
      <c r="CY86">
        <v>0</v>
      </c>
      <c r="CZ86">
        <v>0</v>
      </c>
      <c r="DA86">
        <v>0</v>
      </c>
      <c r="DB86">
        <v>0</v>
      </c>
      <c r="DD86">
        <v>0</v>
      </c>
      <c r="DK86">
        <v>0</v>
      </c>
      <c r="DL86">
        <v>0</v>
      </c>
      <c r="DM86">
        <v>0</v>
      </c>
      <c r="DN86">
        <v>0</v>
      </c>
      <c r="DO86">
        <v>0</v>
      </c>
      <c r="DP86">
        <v>0</v>
      </c>
      <c r="DQ86">
        <v>0</v>
      </c>
      <c r="DR86">
        <v>0</v>
      </c>
      <c r="DS86" t="s">
        <v>1043</v>
      </c>
      <c r="DT86" t="s">
        <v>1044</v>
      </c>
      <c r="DU86" t="s">
        <v>1044</v>
      </c>
      <c r="DW86" t="s">
        <v>1042</v>
      </c>
      <c r="DX86">
        <v>0</v>
      </c>
      <c r="DY86" t="s">
        <v>1043</v>
      </c>
      <c r="DZ86">
        <v>0</v>
      </c>
      <c r="EA86">
        <v>0</v>
      </c>
      <c r="EC86">
        <v>0</v>
      </c>
      <c r="EM86">
        <v>0</v>
      </c>
      <c r="EN86">
        <v>0</v>
      </c>
      <c r="EO86">
        <v>0</v>
      </c>
      <c r="EP86" t="s">
        <v>1043</v>
      </c>
      <c r="EX86" t="s">
        <v>2030</v>
      </c>
      <c r="EY86">
        <v>0</v>
      </c>
      <c r="EZ86">
        <v>0</v>
      </c>
      <c r="FA86">
        <v>0</v>
      </c>
      <c r="FB86">
        <v>1</v>
      </c>
      <c r="FC86" t="s">
        <v>1</v>
      </c>
      <c r="FD86" t="s">
        <v>2029</v>
      </c>
      <c r="FE86" t="s">
        <v>1045</v>
      </c>
      <c r="FF86">
        <v>0</v>
      </c>
      <c r="FG86">
        <v>0</v>
      </c>
      <c r="FH86" t="s">
        <v>1045</v>
      </c>
      <c r="FI86" t="s">
        <v>1045</v>
      </c>
      <c r="FJ86" t="s">
        <v>1043</v>
      </c>
      <c r="FR86">
        <v>0</v>
      </c>
      <c r="FS86">
        <v>0</v>
      </c>
      <c r="GA86" t="s">
        <v>1044</v>
      </c>
      <c r="GB86" t="s">
        <v>1044</v>
      </c>
      <c r="GC86" t="s">
        <v>1045</v>
      </c>
      <c r="GD86">
        <v>0</v>
      </c>
      <c r="GH86" t="s">
        <v>1045</v>
      </c>
      <c r="GI86" t="s">
        <v>2028</v>
      </c>
      <c r="GL86">
        <v>0</v>
      </c>
      <c r="GM86">
        <v>0</v>
      </c>
      <c r="GN86">
        <v>0</v>
      </c>
      <c r="GP86" t="s">
        <v>1042</v>
      </c>
      <c r="GQ86" t="s">
        <v>2027</v>
      </c>
      <c r="GS86" t="s">
        <v>1045</v>
      </c>
      <c r="GU86">
        <v>1</v>
      </c>
      <c r="GV86" t="s">
        <v>1045</v>
      </c>
      <c r="GW86" t="s">
        <v>2026</v>
      </c>
      <c r="GZ86" t="s">
        <v>2025</v>
      </c>
      <c r="HH86">
        <v>0</v>
      </c>
      <c r="HI86">
        <v>0</v>
      </c>
      <c r="HK86" t="s">
        <v>1045</v>
      </c>
      <c r="HL86" t="s">
        <v>1045</v>
      </c>
      <c r="HP86">
        <v>0</v>
      </c>
      <c r="HZ86">
        <v>0</v>
      </c>
      <c r="IB86">
        <v>0</v>
      </c>
      <c r="IC86">
        <v>0</v>
      </c>
      <c r="IG86" t="s">
        <v>1042</v>
      </c>
      <c r="IJ86" t="s">
        <v>1042</v>
      </c>
      <c r="IM86">
        <v>0</v>
      </c>
      <c r="IN86" t="s">
        <v>2024</v>
      </c>
      <c r="IQ86" t="s">
        <v>1045</v>
      </c>
    </row>
    <row r="87" spans="2:251" x14ac:dyDescent="0.35">
      <c r="B87">
        <v>1</v>
      </c>
      <c r="C87">
        <v>1342</v>
      </c>
      <c r="D87">
        <v>0</v>
      </c>
      <c r="E87">
        <v>0</v>
      </c>
      <c r="F87">
        <v>0</v>
      </c>
      <c r="G87">
        <v>0</v>
      </c>
      <c r="H87">
        <v>0</v>
      </c>
      <c r="I87">
        <v>0</v>
      </c>
      <c r="J87" t="s">
        <v>703</v>
      </c>
      <c r="M87">
        <v>35</v>
      </c>
      <c r="Q87">
        <v>55</v>
      </c>
      <c r="S87">
        <v>35</v>
      </c>
      <c r="T87">
        <v>0</v>
      </c>
      <c r="U87">
        <v>0</v>
      </c>
      <c r="W87">
        <v>0</v>
      </c>
      <c r="Y87" t="s">
        <v>1042</v>
      </c>
      <c r="Z87" t="s">
        <v>1042</v>
      </c>
      <c r="AA87" t="s">
        <v>1042</v>
      </c>
      <c r="AB87" t="s">
        <v>1042</v>
      </c>
      <c r="AC87" t="s">
        <v>1042</v>
      </c>
      <c r="AD87" t="s">
        <v>1042</v>
      </c>
      <c r="AE87">
        <v>0</v>
      </c>
      <c r="AG87">
        <v>0</v>
      </c>
      <c r="AH87">
        <v>0</v>
      </c>
      <c r="AI87">
        <v>0</v>
      </c>
      <c r="AJ87">
        <v>0</v>
      </c>
      <c r="AK87" t="s">
        <v>1043</v>
      </c>
      <c r="AM87">
        <v>220</v>
      </c>
      <c r="AO87" t="s">
        <v>1044</v>
      </c>
      <c r="AP87">
        <v>0</v>
      </c>
      <c r="AR87" t="s">
        <v>1047</v>
      </c>
      <c r="AV87">
        <v>0</v>
      </c>
      <c r="AW87">
        <v>0</v>
      </c>
      <c r="AX87">
        <v>0</v>
      </c>
      <c r="AY87">
        <v>0</v>
      </c>
      <c r="AZ87">
        <v>0</v>
      </c>
      <c r="BA87">
        <v>0</v>
      </c>
      <c r="BB87">
        <v>0</v>
      </c>
      <c r="BC87" t="s">
        <v>1043</v>
      </c>
      <c r="BD87">
        <v>0</v>
      </c>
      <c r="BE87">
        <v>0</v>
      </c>
      <c r="BJ87" t="s">
        <v>1044</v>
      </c>
      <c r="BM87">
        <v>0</v>
      </c>
      <c r="BN87">
        <v>0</v>
      </c>
      <c r="BO87">
        <v>0</v>
      </c>
      <c r="BP87">
        <v>0</v>
      </c>
      <c r="BQ87">
        <v>0</v>
      </c>
      <c r="BR87">
        <v>0</v>
      </c>
      <c r="BS87">
        <v>0</v>
      </c>
      <c r="BU87">
        <v>0.15</v>
      </c>
      <c r="BV87">
        <v>0.04</v>
      </c>
      <c r="BW87">
        <v>0.15</v>
      </c>
      <c r="BX87">
        <v>0.23</v>
      </c>
      <c r="BY87">
        <v>0.26</v>
      </c>
      <c r="BZ87">
        <v>0.31</v>
      </c>
      <c r="CA87">
        <v>200</v>
      </c>
      <c r="CQ87" t="s">
        <v>2031</v>
      </c>
      <c r="CR87">
        <v>0</v>
      </c>
      <c r="CS87">
        <v>0</v>
      </c>
      <c r="CT87">
        <v>0</v>
      </c>
      <c r="CU87">
        <v>0</v>
      </c>
      <c r="CW87" t="s">
        <v>1043</v>
      </c>
      <c r="CX87">
        <v>0</v>
      </c>
      <c r="CY87">
        <v>0</v>
      </c>
      <c r="CZ87">
        <v>0</v>
      </c>
      <c r="DA87">
        <v>0</v>
      </c>
      <c r="DB87">
        <v>0</v>
      </c>
      <c r="DD87">
        <v>0</v>
      </c>
      <c r="DK87">
        <v>0</v>
      </c>
      <c r="DL87">
        <v>0</v>
      </c>
      <c r="DM87">
        <v>0</v>
      </c>
      <c r="DN87">
        <v>0</v>
      </c>
      <c r="DO87">
        <v>0</v>
      </c>
      <c r="DP87">
        <v>0</v>
      </c>
      <c r="DQ87">
        <v>0</v>
      </c>
      <c r="DR87">
        <v>0</v>
      </c>
      <c r="DS87" t="s">
        <v>1043</v>
      </c>
      <c r="DT87" t="s">
        <v>1044</v>
      </c>
      <c r="DU87" t="s">
        <v>1044</v>
      </c>
      <c r="DW87" t="s">
        <v>1042</v>
      </c>
      <c r="DX87">
        <v>0</v>
      </c>
      <c r="DY87" t="s">
        <v>1043</v>
      </c>
      <c r="DZ87">
        <v>0</v>
      </c>
      <c r="EA87">
        <v>0</v>
      </c>
      <c r="EC87">
        <v>0</v>
      </c>
      <c r="EM87">
        <v>0</v>
      </c>
      <c r="EN87">
        <v>0</v>
      </c>
      <c r="EO87">
        <v>0</v>
      </c>
      <c r="EP87" t="s">
        <v>1043</v>
      </c>
      <c r="EX87" t="s">
        <v>2030</v>
      </c>
      <c r="EY87">
        <v>0</v>
      </c>
      <c r="EZ87">
        <v>0</v>
      </c>
      <c r="FA87">
        <v>0</v>
      </c>
      <c r="FB87">
        <v>1</v>
      </c>
      <c r="FC87" t="s">
        <v>1</v>
      </c>
      <c r="FD87" t="s">
        <v>2029</v>
      </c>
      <c r="FE87" t="s">
        <v>1045</v>
      </c>
      <c r="FF87">
        <v>0</v>
      </c>
      <c r="FG87">
        <v>0</v>
      </c>
      <c r="FH87" t="s">
        <v>1045</v>
      </c>
      <c r="FI87" t="s">
        <v>1045</v>
      </c>
      <c r="FJ87" t="s">
        <v>1043</v>
      </c>
      <c r="FR87">
        <v>0</v>
      </c>
      <c r="FS87">
        <v>0</v>
      </c>
      <c r="GA87" t="s">
        <v>1044</v>
      </c>
      <c r="GB87" t="s">
        <v>1044</v>
      </c>
      <c r="GC87" t="s">
        <v>1045</v>
      </c>
      <c r="GD87">
        <v>0</v>
      </c>
      <c r="GH87" t="s">
        <v>1045</v>
      </c>
      <c r="GI87" t="s">
        <v>2028</v>
      </c>
      <c r="GL87">
        <v>0</v>
      </c>
      <c r="GM87">
        <v>0</v>
      </c>
      <c r="GN87">
        <v>0</v>
      </c>
      <c r="GP87" t="s">
        <v>1042</v>
      </c>
      <c r="GQ87" t="s">
        <v>2027</v>
      </c>
      <c r="GS87" t="s">
        <v>1045</v>
      </c>
      <c r="GU87">
        <v>1</v>
      </c>
      <c r="GV87" t="s">
        <v>1045</v>
      </c>
      <c r="GW87" t="s">
        <v>2026</v>
      </c>
      <c r="GZ87" t="s">
        <v>2025</v>
      </c>
      <c r="HH87">
        <v>0</v>
      </c>
      <c r="HI87">
        <v>0</v>
      </c>
      <c r="HK87" t="s">
        <v>1045</v>
      </c>
      <c r="HL87" t="s">
        <v>1045</v>
      </c>
      <c r="HP87">
        <v>0</v>
      </c>
      <c r="HZ87">
        <v>0</v>
      </c>
      <c r="IB87">
        <v>0</v>
      </c>
      <c r="IC87">
        <v>0</v>
      </c>
      <c r="IG87" t="s">
        <v>1042</v>
      </c>
      <c r="IJ87" t="s">
        <v>1042</v>
      </c>
      <c r="IM87">
        <v>0</v>
      </c>
      <c r="IN87" t="s">
        <v>2024</v>
      </c>
      <c r="IQ87" t="s">
        <v>1045</v>
      </c>
    </row>
    <row r="88" spans="2:251" x14ac:dyDescent="0.35">
      <c r="B88">
        <v>1</v>
      </c>
      <c r="C88">
        <v>1343</v>
      </c>
      <c r="D88">
        <v>0</v>
      </c>
      <c r="E88">
        <v>0</v>
      </c>
      <c r="F88">
        <v>0</v>
      </c>
      <c r="G88">
        <v>0</v>
      </c>
      <c r="H88">
        <v>0</v>
      </c>
      <c r="I88">
        <v>0</v>
      </c>
      <c r="J88" t="s">
        <v>704</v>
      </c>
      <c r="M88">
        <v>44</v>
      </c>
      <c r="Q88">
        <v>64</v>
      </c>
      <c r="S88">
        <v>44</v>
      </c>
      <c r="T88">
        <v>0</v>
      </c>
      <c r="U88">
        <v>0</v>
      </c>
      <c r="W88">
        <v>0</v>
      </c>
      <c r="Y88" t="s">
        <v>1042</v>
      </c>
      <c r="Z88" t="s">
        <v>1042</v>
      </c>
      <c r="AA88" t="s">
        <v>1042</v>
      </c>
      <c r="AB88" t="s">
        <v>1042</v>
      </c>
      <c r="AC88" t="s">
        <v>1042</v>
      </c>
      <c r="AD88" t="s">
        <v>1042</v>
      </c>
      <c r="AE88">
        <v>0</v>
      </c>
      <c r="AG88">
        <v>0</v>
      </c>
      <c r="AH88">
        <v>0</v>
      </c>
      <c r="AI88">
        <v>0</v>
      </c>
      <c r="AJ88">
        <v>0</v>
      </c>
      <c r="AK88" t="s">
        <v>1043</v>
      </c>
      <c r="AM88">
        <v>220</v>
      </c>
      <c r="AO88" t="s">
        <v>1044</v>
      </c>
      <c r="AP88">
        <v>0</v>
      </c>
      <c r="AR88" t="s">
        <v>1047</v>
      </c>
      <c r="AV88">
        <v>0</v>
      </c>
      <c r="AW88">
        <v>0</v>
      </c>
      <c r="AX88">
        <v>0</v>
      </c>
      <c r="AY88">
        <v>0</v>
      </c>
      <c r="AZ88">
        <v>0</v>
      </c>
      <c r="BA88">
        <v>0</v>
      </c>
      <c r="BB88">
        <v>0</v>
      </c>
      <c r="BC88" t="s">
        <v>1043</v>
      </c>
      <c r="BD88">
        <v>0</v>
      </c>
      <c r="BE88">
        <v>0</v>
      </c>
      <c r="BJ88" t="s">
        <v>1044</v>
      </c>
      <c r="BM88">
        <v>0</v>
      </c>
      <c r="BN88">
        <v>0</v>
      </c>
      <c r="BO88">
        <v>0</v>
      </c>
      <c r="BP88">
        <v>0</v>
      </c>
      <c r="BQ88">
        <v>0</v>
      </c>
      <c r="BR88">
        <v>0</v>
      </c>
      <c r="BS88">
        <v>0</v>
      </c>
      <c r="BU88">
        <v>0.18</v>
      </c>
      <c r="BV88">
        <v>0.05</v>
      </c>
      <c r="BW88">
        <v>0.2</v>
      </c>
      <c r="BX88">
        <v>0.23</v>
      </c>
      <c r="BY88">
        <v>0.26</v>
      </c>
      <c r="BZ88">
        <v>0.31</v>
      </c>
      <c r="CA88">
        <v>100</v>
      </c>
      <c r="CQ88" t="s">
        <v>2031</v>
      </c>
      <c r="CR88">
        <v>0</v>
      </c>
      <c r="CS88">
        <v>0</v>
      </c>
      <c r="CT88">
        <v>0</v>
      </c>
      <c r="CU88">
        <v>0</v>
      </c>
      <c r="CW88" t="s">
        <v>1043</v>
      </c>
      <c r="CX88">
        <v>0</v>
      </c>
      <c r="CY88">
        <v>0</v>
      </c>
      <c r="CZ88">
        <v>0</v>
      </c>
      <c r="DA88">
        <v>0</v>
      </c>
      <c r="DB88">
        <v>0</v>
      </c>
      <c r="DD88">
        <v>0</v>
      </c>
      <c r="DK88">
        <v>0</v>
      </c>
      <c r="DL88">
        <v>0</v>
      </c>
      <c r="DM88">
        <v>0</v>
      </c>
      <c r="DN88">
        <v>0</v>
      </c>
      <c r="DO88">
        <v>0</v>
      </c>
      <c r="DP88">
        <v>0</v>
      </c>
      <c r="DQ88">
        <v>0</v>
      </c>
      <c r="DR88">
        <v>0</v>
      </c>
      <c r="DS88" t="s">
        <v>1043</v>
      </c>
      <c r="DT88" t="s">
        <v>1044</v>
      </c>
      <c r="DU88" t="s">
        <v>1044</v>
      </c>
      <c r="DW88" t="s">
        <v>1042</v>
      </c>
      <c r="DX88">
        <v>0</v>
      </c>
      <c r="DY88" t="s">
        <v>1043</v>
      </c>
      <c r="DZ88">
        <v>0</v>
      </c>
      <c r="EA88">
        <v>0</v>
      </c>
      <c r="EC88">
        <v>0</v>
      </c>
      <c r="EM88">
        <v>0</v>
      </c>
      <c r="EN88">
        <v>0</v>
      </c>
      <c r="EO88">
        <v>0</v>
      </c>
      <c r="EP88" t="s">
        <v>1043</v>
      </c>
      <c r="EX88" t="s">
        <v>2030</v>
      </c>
      <c r="EY88">
        <v>0</v>
      </c>
      <c r="EZ88">
        <v>0</v>
      </c>
      <c r="FA88">
        <v>0</v>
      </c>
      <c r="FB88">
        <v>1</v>
      </c>
      <c r="FC88" t="s">
        <v>1</v>
      </c>
      <c r="FD88" t="s">
        <v>2029</v>
      </c>
      <c r="FE88" t="s">
        <v>1045</v>
      </c>
      <c r="FF88">
        <v>0</v>
      </c>
      <c r="FG88">
        <v>0</v>
      </c>
      <c r="FH88" t="s">
        <v>1045</v>
      </c>
      <c r="FI88" t="s">
        <v>1045</v>
      </c>
      <c r="FJ88" t="s">
        <v>1043</v>
      </c>
      <c r="FR88">
        <v>0</v>
      </c>
      <c r="FS88">
        <v>0</v>
      </c>
      <c r="GA88" t="s">
        <v>1044</v>
      </c>
      <c r="GB88" t="s">
        <v>1044</v>
      </c>
      <c r="GC88" t="s">
        <v>1045</v>
      </c>
      <c r="GD88">
        <v>0</v>
      </c>
      <c r="GH88" t="s">
        <v>1045</v>
      </c>
      <c r="GI88" t="s">
        <v>2028</v>
      </c>
      <c r="GL88">
        <v>0</v>
      </c>
      <c r="GM88">
        <v>0</v>
      </c>
      <c r="GN88">
        <v>0</v>
      </c>
      <c r="GP88" t="s">
        <v>1042</v>
      </c>
      <c r="GQ88" t="s">
        <v>2027</v>
      </c>
      <c r="GS88" t="s">
        <v>1045</v>
      </c>
      <c r="GU88">
        <v>1</v>
      </c>
      <c r="GV88" t="s">
        <v>1045</v>
      </c>
      <c r="GW88" t="s">
        <v>2026</v>
      </c>
      <c r="GZ88" t="s">
        <v>2025</v>
      </c>
      <c r="HH88">
        <v>0</v>
      </c>
      <c r="HI88">
        <v>0</v>
      </c>
      <c r="HK88" t="s">
        <v>1045</v>
      </c>
      <c r="HL88" t="s">
        <v>1045</v>
      </c>
      <c r="HP88">
        <v>0</v>
      </c>
      <c r="HZ88">
        <v>0</v>
      </c>
      <c r="IB88">
        <v>0</v>
      </c>
      <c r="IC88">
        <v>0</v>
      </c>
      <c r="IG88" t="s">
        <v>1042</v>
      </c>
      <c r="IJ88" t="s">
        <v>1042</v>
      </c>
      <c r="IM88">
        <v>0</v>
      </c>
      <c r="IN88" t="s">
        <v>2024</v>
      </c>
      <c r="IQ88" t="s">
        <v>1045</v>
      </c>
    </row>
    <row r="89" spans="2:251" x14ac:dyDescent="0.35">
      <c r="B89">
        <v>1</v>
      </c>
      <c r="C89">
        <v>1344</v>
      </c>
      <c r="D89">
        <v>0</v>
      </c>
      <c r="E89">
        <v>0</v>
      </c>
      <c r="F89">
        <v>0</v>
      </c>
      <c r="G89">
        <v>0</v>
      </c>
      <c r="H89">
        <v>0</v>
      </c>
      <c r="I89">
        <v>0</v>
      </c>
      <c r="J89" t="s">
        <v>705</v>
      </c>
      <c r="M89">
        <v>20</v>
      </c>
      <c r="Q89">
        <v>45</v>
      </c>
      <c r="S89">
        <v>27</v>
      </c>
      <c r="T89">
        <v>0</v>
      </c>
      <c r="U89">
        <v>0</v>
      </c>
      <c r="W89">
        <v>0</v>
      </c>
      <c r="Y89" t="s">
        <v>1042</v>
      </c>
      <c r="Z89" t="s">
        <v>1042</v>
      </c>
      <c r="AA89" t="s">
        <v>1042</v>
      </c>
      <c r="AB89" t="s">
        <v>1042</v>
      </c>
      <c r="AC89" t="s">
        <v>1042</v>
      </c>
      <c r="AD89" t="s">
        <v>1042</v>
      </c>
      <c r="AE89">
        <v>0</v>
      </c>
      <c r="AG89">
        <v>0</v>
      </c>
      <c r="AH89">
        <v>0</v>
      </c>
      <c r="AI89">
        <v>0</v>
      </c>
      <c r="AJ89">
        <v>0</v>
      </c>
      <c r="AK89" t="s">
        <v>1043</v>
      </c>
      <c r="AM89">
        <v>220</v>
      </c>
      <c r="AO89" t="s">
        <v>1044</v>
      </c>
      <c r="AP89">
        <v>0</v>
      </c>
      <c r="AR89" t="s">
        <v>1047</v>
      </c>
      <c r="AV89">
        <v>0</v>
      </c>
      <c r="AW89">
        <v>0</v>
      </c>
      <c r="AX89">
        <v>0</v>
      </c>
      <c r="AY89">
        <v>0</v>
      </c>
      <c r="AZ89">
        <v>0</v>
      </c>
      <c r="BA89">
        <v>0</v>
      </c>
      <c r="BB89">
        <v>0</v>
      </c>
      <c r="BC89" t="s">
        <v>1043</v>
      </c>
      <c r="BD89">
        <v>0</v>
      </c>
      <c r="BE89">
        <v>0</v>
      </c>
      <c r="BJ89" t="s">
        <v>1044</v>
      </c>
      <c r="BM89">
        <v>0</v>
      </c>
      <c r="BN89">
        <v>0</v>
      </c>
      <c r="BO89">
        <v>0</v>
      </c>
      <c r="BP89">
        <v>0</v>
      </c>
      <c r="BQ89">
        <v>0</v>
      </c>
      <c r="BR89">
        <v>0</v>
      </c>
      <c r="BS89">
        <v>0</v>
      </c>
      <c r="BU89">
        <v>0.12</v>
      </c>
      <c r="BV89">
        <v>0.02</v>
      </c>
      <c r="BW89">
        <v>0.1</v>
      </c>
      <c r="BX89">
        <v>0.75</v>
      </c>
      <c r="BY89">
        <v>0.19</v>
      </c>
      <c r="BZ89">
        <v>0.47</v>
      </c>
      <c r="CA89">
        <v>2000</v>
      </c>
      <c r="CQ89" t="s">
        <v>2031</v>
      </c>
      <c r="CR89">
        <v>0</v>
      </c>
      <c r="CS89">
        <v>0</v>
      </c>
      <c r="CT89">
        <v>0</v>
      </c>
      <c r="CU89">
        <v>0</v>
      </c>
      <c r="CW89" t="s">
        <v>1043</v>
      </c>
      <c r="CX89">
        <v>0</v>
      </c>
      <c r="CY89">
        <v>0</v>
      </c>
      <c r="CZ89">
        <v>0</v>
      </c>
      <c r="DA89">
        <v>0</v>
      </c>
      <c r="DB89">
        <v>0</v>
      </c>
      <c r="DD89">
        <v>0</v>
      </c>
      <c r="DK89">
        <v>0</v>
      </c>
      <c r="DL89">
        <v>0</v>
      </c>
      <c r="DM89">
        <v>0</v>
      </c>
      <c r="DN89">
        <v>0</v>
      </c>
      <c r="DO89">
        <v>0</v>
      </c>
      <c r="DP89">
        <v>0</v>
      </c>
      <c r="DQ89">
        <v>0</v>
      </c>
      <c r="DR89">
        <v>0</v>
      </c>
      <c r="DS89" t="s">
        <v>1043</v>
      </c>
      <c r="DT89" t="s">
        <v>1044</v>
      </c>
      <c r="DU89" t="s">
        <v>1044</v>
      </c>
      <c r="DW89" t="s">
        <v>1042</v>
      </c>
      <c r="DX89">
        <v>0</v>
      </c>
      <c r="DY89" t="s">
        <v>1043</v>
      </c>
      <c r="DZ89">
        <v>0</v>
      </c>
      <c r="EA89">
        <v>0</v>
      </c>
      <c r="EC89">
        <v>0</v>
      </c>
      <c r="EM89">
        <v>0</v>
      </c>
      <c r="EN89">
        <v>0</v>
      </c>
      <c r="EO89">
        <v>0</v>
      </c>
      <c r="EP89" t="s">
        <v>1043</v>
      </c>
      <c r="EX89" t="s">
        <v>2030</v>
      </c>
      <c r="EY89">
        <v>0</v>
      </c>
      <c r="EZ89">
        <v>0</v>
      </c>
      <c r="FA89">
        <v>0</v>
      </c>
      <c r="FB89">
        <v>1</v>
      </c>
      <c r="FC89" t="s">
        <v>1</v>
      </c>
      <c r="FD89" t="s">
        <v>2029</v>
      </c>
      <c r="FE89" t="s">
        <v>1045</v>
      </c>
      <c r="FF89">
        <v>0</v>
      </c>
      <c r="FG89">
        <v>0</v>
      </c>
      <c r="FH89" t="s">
        <v>1045</v>
      </c>
      <c r="FI89" t="s">
        <v>1045</v>
      </c>
      <c r="FJ89" t="s">
        <v>1043</v>
      </c>
      <c r="FR89">
        <v>0</v>
      </c>
      <c r="FS89">
        <v>0</v>
      </c>
      <c r="GA89" t="s">
        <v>1044</v>
      </c>
      <c r="GB89" t="s">
        <v>1044</v>
      </c>
      <c r="GC89" t="s">
        <v>1045</v>
      </c>
      <c r="GD89">
        <v>0</v>
      </c>
      <c r="GH89" t="s">
        <v>1045</v>
      </c>
      <c r="GI89" t="s">
        <v>2028</v>
      </c>
      <c r="GL89">
        <v>0</v>
      </c>
      <c r="GM89">
        <v>0</v>
      </c>
      <c r="GN89">
        <v>0</v>
      </c>
      <c r="GP89" t="s">
        <v>1042</v>
      </c>
      <c r="GQ89" t="s">
        <v>2027</v>
      </c>
      <c r="GS89" t="s">
        <v>1045</v>
      </c>
      <c r="GU89">
        <v>1</v>
      </c>
      <c r="GV89" t="s">
        <v>1045</v>
      </c>
      <c r="GW89" t="s">
        <v>2026</v>
      </c>
      <c r="GZ89" t="s">
        <v>2025</v>
      </c>
      <c r="HH89">
        <v>0</v>
      </c>
      <c r="HI89">
        <v>0</v>
      </c>
      <c r="HK89" t="s">
        <v>1045</v>
      </c>
      <c r="HL89" t="s">
        <v>1045</v>
      </c>
      <c r="HP89">
        <v>0</v>
      </c>
      <c r="HZ89">
        <v>0</v>
      </c>
      <c r="IB89">
        <v>0</v>
      </c>
      <c r="IC89">
        <v>0</v>
      </c>
      <c r="IG89" t="s">
        <v>1042</v>
      </c>
      <c r="IJ89" t="s">
        <v>1042</v>
      </c>
      <c r="IM89">
        <v>0</v>
      </c>
      <c r="IN89" t="s">
        <v>2024</v>
      </c>
      <c r="IQ89" t="s">
        <v>1045</v>
      </c>
    </row>
    <row r="90" spans="2:251" x14ac:dyDescent="0.35">
      <c r="B90">
        <v>1</v>
      </c>
      <c r="C90">
        <v>1345</v>
      </c>
      <c r="D90">
        <v>0</v>
      </c>
      <c r="E90">
        <v>0</v>
      </c>
      <c r="F90">
        <v>0</v>
      </c>
      <c r="G90">
        <v>0</v>
      </c>
      <c r="H90">
        <v>0</v>
      </c>
      <c r="I90">
        <v>0</v>
      </c>
      <c r="J90" t="s">
        <v>706</v>
      </c>
      <c r="M90">
        <v>27</v>
      </c>
      <c r="Q90">
        <v>57</v>
      </c>
      <c r="S90">
        <v>37</v>
      </c>
      <c r="T90">
        <v>0</v>
      </c>
      <c r="U90">
        <v>0</v>
      </c>
      <c r="W90">
        <v>0</v>
      </c>
      <c r="Y90" t="s">
        <v>1042</v>
      </c>
      <c r="Z90" t="s">
        <v>1042</v>
      </c>
      <c r="AA90" t="s">
        <v>1042</v>
      </c>
      <c r="AB90" t="s">
        <v>1042</v>
      </c>
      <c r="AC90" t="s">
        <v>1042</v>
      </c>
      <c r="AD90" t="s">
        <v>1042</v>
      </c>
      <c r="AE90">
        <v>0</v>
      </c>
      <c r="AG90">
        <v>0</v>
      </c>
      <c r="AH90">
        <v>0</v>
      </c>
      <c r="AI90">
        <v>0</v>
      </c>
      <c r="AJ90">
        <v>0</v>
      </c>
      <c r="AK90" t="s">
        <v>1043</v>
      </c>
      <c r="AM90">
        <v>220</v>
      </c>
      <c r="AO90" t="s">
        <v>1044</v>
      </c>
      <c r="AP90">
        <v>0</v>
      </c>
      <c r="AR90" t="s">
        <v>1047</v>
      </c>
      <c r="AV90">
        <v>0</v>
      </c>
      <c r="AW90">
        <v>0</v>
      </c>
      <c r="AX90">
        <v>0</v>
      </c>
      <c r="AY90">
        <v>0</v>
      </c>
      <c r="AZ90">
        <v>0</v>
      </c>
      <c r="BA90">
        <v>0</v>
      </c>
      <c r="BB90">
        <v>0</v>
      </c>
      <c r="BC90" t="s">
        <v>1043</v>
      </c>
      <c r="BD90">
        <v>0</v>
      </c>
      <c r="BE90">
        <v>0</v>
      </c>
      <c r="BJ90" t="s">
        <v>1044</v>
      </c>
      <c r="BM90">
        <v>0</v>
      </c>
      <c r="BN90">
        <v>0</v>
      </c>
      <c r="BO90">
        <v>0</v>
      </c>
      <c r="BP90">
        <v>0</v>
      </c>
      <c r="BQ90">
        <v>0</v>
      </c>
      <c r="BR90">
        <v>0</v>
      </c>
      <c r="BS90">
        <v>0</v>
      </c>
      <c r="BU90">
        <v>0.12</v>
      </c>
      <c r="BV90">
        <v>0.03</v>
      </c>
      <c r="BW90">
        <v>0.18</v>
      </c>
      <c r="BX90">
        <v>0.75</v>
      </c>
      <c r="BY90">
        <v>0.17</v>
      </c>
      <c r="BZ90">
        <v>0.52</v>
      </c>
      <c r="CA90">
        <v>1000</v>
      </c>
      <c r="CQ90" t="s">
        <v>2031</v>
      </c>
      <c r="CR90">
        <v>0</v>
      </c>
      <c r="CS90">
        <v>0</v>
      </c>
      <c r="CT90">
        <v>0</v>
      </c>
      <c r="CU90">
        <v>0</v>
      </c>
      <c r="CW90" t="s">
        <v>1043</v>
      </c>
      <c r="CX90">
        <v>0</v>
      </c>
      <c r="CY90">
        <v>0</v>
      </c>
      <c r="CZ90">
        <v>0</v>
      </c>
      <c r="DA90">
        <v>0</v>
      </c>
      <c r="DB90">
        <v>0</v>
      </c>
      <c r="DD90">
        <v>0</v>
      </c>
      <c r="DK90">
        <v>0</v>
      </c>
      <c r="DL90">
        <v>0</v>
      </c>
      <c r="DM90">
        <v>0</v>
      </c>
      <c r="DN90">
        <v>0</v>
      </c>
      <c r="DO90">
        <v>0</v>
      </c>
      <c r="DP90">
        <v>0</v>
      </c>
      <c r="DQ90">
        <v>0</v>
      </c>
      <c r="DR90">
        <v>0</v>
      </c>
      <c r="DS90" t="s">
        <v>1043</v>
      </c>
      <c r="DT90" t="s">
        <v>1044</v>
      </c>
      <c r="DU90" t="s">
        <v>1044</v>
      </c>
      <c r="DW90" t="s">
        <v>1042</v>
      </c>
      <c r="DX90">
        <v>0</v>
      </c>
      <c r="DY90" t="s">
        <v>1043</v>
      </c>
      <c r="DZ90">
        <v>0</v>
      </c>
      <c r="EA90">
        <v>0</v>
      </c>
      <c r="EC90">
        <v>0</v>
      </c>
      <c r="EM90">
        <v>0</v>
      </c>
      <c r="EN90">
        <v>0</v>
      </c>
      <c r="EO90">
        <v>0</v>
      </c>
      <c r="EP90" t="s">
        <v>1043</v>
      </c>
      <c r="EX90" t="s">
        <v>2030</v>
      </c>
      <c r="EY90">
        <v>0</v>
      </c>
      <c r="EZ90">
        <v>0</v>
      </c>
      <c r="FA90">
        <v>0</v>
      </c>
      <c r="FB90">
        <v>1</v>
      </c>
      <c r="FC90" t="s">
        <v>1</v>
      </c>
      <c r="FD90" t="s">
        <v>2029</v>
      </c>
      <c r="FE90" t="s">
        <v>1045</v>
      </c>
      <c r="FF90">
        <v>0</v>
      </c>
      <c r="FG90">
        <v>0</v>
      </c>
      <c r="FH90" t="s">
        <v>1045</v>
      </c>
      <c r="FI90" t="s">
        <v>1045</v>
      </c>
      <c r="FJ90" t="s">
        <v>1043</v>
      </c>
      <c r="FR90">
        <v>0</v>
      </c>
      <c r="FS90">
        <v>0</v>
      </c>
      <c r="GA90" t="s">
        <v>1044</v>
      </c>
      <c r="GB90" t="s">
        <v>1044</v>
      </c>
      <c r="GC90" t="s">
        <v>1045</v>
      </c>
      <c r="GD90">
        <v>0</v>
      </c>
      <c r="GH90" t="s">
        <v>1045</v>
      </c>
      <c r="GI90" t="s">
        <v>2028</v>
      </c>
      <c r="GL90">
        <v>0</v>
      </c>
      <c r="GM90">
        <v>0</v>
      </c>
      <c r="GN90">
        <v>0</v>
      </c>
      <c r="GP90" t="s">
        <v>1042</v>
      </c>
      <c r="GQ90" t="s">
        <v>2027</v>
      </c>
      <c r="GS90" t="s">
        <v>1045</v>
      </c>
      <c r="GU90">
        <v>1</v>
      </c>
      <c r="GV90" t="s">
        <v>1045</v>
      </c>
      <c r="GW90" t="s">
        <v>2026</v>
      </c>
      <c r="GZ90" t="s">
        <v>2025</v>
      </c>
      <c r="HH90">
        <v>0</v>
      </c>
      <c r="HI90">
        <v>0</v>
      </c>
      <c r="HK90" t="s">
        <v>1045</v>
      </c>
      <c r="HL90" t="s">
        <v>1045</v>
      </c>
      <c r="HP90">
        <v>0</v>
      </c>
      <c r="HZ90">
        <v>0</v>
      </c>
      <c r="IB90">
        <v>0</v>
      </c>
      <c r="IC90">
        <v>0</v>
      </c>
      <c r="IG90" t="s">
        <v>1042</v>
      </c>
      <c r="IJ90" t="s">
        <v>1042</v>
      </c>
      <c r="IM90">
        <v>0</v>
      </c>
      <c r="IN90" t="s">
        <v>2024</v>
      </c>
      <c r="IQ90" t="s">
        <v>1045</v>
      </c>
    </row>
    <row r="91" spans="2:251" x14ac:dyDescent="0.35">
      <c r="B91">
        <v>1</v>
      </c>
      <c r="C91">
        <v>1346</v>
      </c>
      <c r="D91">
        <v>0</v>
      </c>
      <c r="E91">
        <v>0</v>
      </c>
      <c r="F91">
        <v>0</v>
      </c>
      <c r="G91">
        <v>0</v>
      </c>
      <c r="H91">
        <v>0</v>
      </c>
      <c r="I91">
        <v>0</v>
      </c>
      <c r="J91" t="s">
        <v>707</v>
      </c>
      <c r="M91">
        <v>34</v>
      </c>
      <c r="Q91">
        <v>76</v>
      </c>
      <c r="S91">
        <v>46</v>
      </c>
      <c r="T91">
        <v>0</v>
      </c>
      <c r="U91">
        <v>0</v>
      </c>
      <c r="W91">
        <v>0</v>
      </c>
      <c r="Y91" t="s">
        <v>1042</v>
      </c>
      <c r="Z91" t="s">
        <v>1042</v>
      </c>
      <c r="AA91" t="s">
        <v>1042</v>
      </c>
      <c r="AB91" t="s">
        <v>1042</v>
      </c>
      <c r="AC91" t="s">
        <v>1042</v>
      </c>
      <c r="AD91" t="s">
        <v>1042</v>
      </c>
      <c r="AE91">
        <v>0</v>
      </c>
      <c r="AG91">
        <v>0</v>
      </c>
      <c r="AH91">
        <v>0</v>
      </c>
      <c r="AI91">
        <v>0</v>
      </c>
      <c r="AJ91">
        <v>0</v>
      </c>
      <c r="AK91" t="s">
        <v>1043</v>
      </c>
      <c r="AM91">
        <v>220</v>
      </c>
      <c r="AO91" t="s">
        <v>1044</v>
      </c>
      <c r="AP91">
        <v>0</v>
      </c>
      <c r="AR91" t="s">
        <v>1047</v>
      </c>
      <c r="AV91">
        <v>0</v>
      </c>
      <c r="AW91">
        <v>0</v>
      </c>
      <c r="AX91">
        <v>0</v>
      </c>
      <c r="AY91">
        <v>0</v>
      </c>
      <c r="AZ91">
        <v>0</v>
      </c>
      <c r="BA91">
        <v>0</v>
      </c>
      <c r="BB91">
        <v>0</v>
      </c>
      <c r="BC91" t="s">
        <v>1043</v>
      </c>
      <c r="BD91">
        <v>0</v>
      </c>
      <c r="BE91">
        <v>0</v>
      </c>
      <c r="BJ91" t="s">
        <v>1044</v>
      </c>
      <c r="BM91">
        <v>0</v>
      </c>
      <c r="BN91">
        <v>0</v>
      </c>
      <c r="BO91">
        <v>0</v>
      </c>
      <c r="BP91">
        <v>0</v>
      </c>
      <c r="BQ91">
        <v>0</v>
      </c>
      <c r="BR91">
        <v>0</v>
      </c>
      <c r="BS91">
        <v>0</v>
      </c>
      <c r="BU91">
        <v>0.18</v>
      </c>
      <c r="BV91">
        <v>0.04</v>
      </c>
      <c r="BW91">
        <v>0.18</v>
      </c>
      <c r="BX91">
        <v>0.72</v>
      </c>
      <c r="BY91">
        <v>0.22</v>
      </c>
      <c r="BZ91">
        <v>0.47</v>
      </c>
      <c r="CA91">
        <v>500</v>
      </c>
      <c r="CQ91" t="s">
        <v>2031</v>
      </c>
      <c r="CR91">
        <v>0</v>
      </c>
      <c r="CS91">
        <v>0</v>
      </c>
      <c r="CT91">
        <v>0</v>
      </c>
      <c r="CU91">
        <v>0</v>
      </c>
      <c r="CW91" t="s">
        <v>1043</v>
      </c>
      <c r="CX91">
        <v>0</v>
      </c>
      <c r="CY91">
        <v>0</v>
      </c>
      <c r="CZ91">
        <v>0</v>
      </c>
      <c r="DA91">
        <v>0</v>
      </c>
      <c r="DB91">
        <v>0</v>
      </c>
      <c r="DD91">
        <v>0</v>
      </c>
      <c r="DK91">
        <v>0</v>
      </c>
      <c r="DL91">
        <v>0</v>
      </c>
      <c r="DM91">
        <v>0</v>
      </c>
      <c r="DN91">
        <v>0</v>
      </c>
      <c r="DO91">
        <v>0</v>
      </c>
      <c r="DP91">
        <v>0</v>
      </c>
      <c r="DQ91">
        <v>0</v>
      </c>
      <c r="DR91">
        <v>0</v>
      </c>
      <c r="DS91" t="s">
        <v>1043</v>
      </c>
      <c r="DT91" t="s">
        <v>1044</v>
      </c>
      <c r="DU91" t="s">
        <v>1044</v>
      </c>
      <c r="DW91" t="s">
        <v>1042</v>
      </c>
      <c r="DX91">
        <v>0</v>
      </c>
      <c r="DY91" t="s">
        <v>1043</v>
      </c>
      <c r="DZ91">
        <v>0</v>
      </c>
      <c r="EA91">
        <v>0</v>
      </c>
      <c r="EC91">
        <v>0</v>
      </c>
      <c r="EM91">
        <v>0</v>
      </c>
      <c r="EN91">
        <v>0</v>
      </c>
      <c r="EO91">
        <v>0</v>
      </c>
      <c r="EP91" t="s">
        <v>1043</v>
      </c>
      <c r="EX91" t="s">
        <v>2030</v>
      </c>
      <c r="EY91">
        <v>0</v>
      </c>
      <c r="EZ91">
        <v>0</v>
      </c>
      <c r="FA91">
        <v>0</v>
      </c>
      <c r="FB91">
        <v>1</v>
      </c>
      <c r="FC91" t="s">
        <v>1</v>
      </c>
      <c r="FD91" t="s">
        <v>2029</v>
      </c>
      <c r="FE91" t="s">
        <v>1045</v>
      </c>
      <c r="FF91">
        <v>0</v>
      </c>
      <c r="FG91">
        <v>0</v>
      </c>
      <c r="FH91" t="s">
        <v>1045</v>
      </c>
      <c r="FI91" t="s">
        <v>1045</v>
      </c>
      <c r="FJ91" t="s">
        <v>1043</v>
      </c>
      <c r="FR91">
        <v>0</v>
      </c>
      <c r="FS91">
        <v>0</v>
      </c>
      <c r="GA91" t="s">
        <v>1044</v>
      </c>
      <c r="GB91" t="s">
        <v>1044</v>
      </c>
      <c r="GC91" t="s">
        <v>1045</v>
      </c>
      <c r="GD91">
        <v>0</v>
      </c>
      <c r="GH91" t="s">
        <v>1045</v>
      </c>
      <c r="GI91" t="s">
        <v>2028</v>
      </c>
      <c r="GL91">
        <v>0</v>
      </c>
      <c r="GM91">
        <v>0</v>
      </c>
      <c r="GN91">
        <v>0</v>
      </c>
      <c r="GP91" t="s">
        <v>1042</v>
      </c>
      <c r="GQ91" t="s">
        <v>2027</v>
      </c>
      <c r="GS91" t="s">
        <v>1045</v>
      </c>
      <c r="GU91">
        <v>1</v>
      </c>
      <c r="GV91" t="s">
        <v>1045</v>
      </c>
      <c r="GW91" t="s">
        <v>2026</v>
      </c>
      <c r="GZ91" t="s">
        <v>2025</v>
      </c>
      <c r="HH91">
        <v>0</v>
      </c>
      <c r="HI91">
        <v>0</v>
      </c>
      <c r="HK91" t="s">
        <v>1045</v>
      </c>
      <c r="HL91" t="s">
        <v>1045</v>
      </c>
      <c r="HP91">
        <v>0</v>
      </c>
      <c r="HZ91">
        <v>0</v>
      </c>
      <c r="IB91">
        <v>0</v>
      </c>
      <c r="IC91">
        <v>0</v>
      </c>
      <c r="IG91" t="s">
        <v>1042</v>
      </c>
      <c r="IJ91" t="s">
        <v>1042</v>
      </c>
      <c r="IM91">
        <v>0</v>
      </c>
      <c r="IN91" t="s">
        <v>2024</v>
      </c>
      <c r="IQ91" t="s">
        <v>1045</v>
      </c>
    </row>
    <row r="92" spans="2:251" x14ac:dyDescent="0.35">
      <c r="B92">
        <v>1</v>
      </c>
      <c r="C92">
        <v>1347</v>
      </c>
      <c r="D92">
        <v>0</v>
      </c>
      <c r="E92">
        <v>0</v>
      </c>
      <c r="F92">
        <v>0</v>
      </c>
      <c r="G92">
        <v>0</v>
      </c>
      <c r="H92">
        <v>0</v>
      </c>
      <c r="I92">
        <v>0</v>
      </c>
      <c r="J92" t="s">
        <v>708</v>
      </c>
      <c r="M92">
        <v>20</v>
      </c>
      <c r="Q92">
        <v>35</v>
      </c>
      <c r="S92">
        <v>35</v>
      </c>
      <c r="T92">
        <v>0</v>
      </c>
      <c r="U92">
        <v>0</v>
      </c>
      <c r="W92">
        <v>0</v>
      </c>
      <c r="Y92" t="s">
        <v>1042</v>
      </c>
      <c r="Z92" t="s">
        <v>1042</v>
      </c>
      <c r="AA92" t="s">
        <v>1042</v>
      </c>
      <c r="AB92" t="s">
        <v>1042</v>
      </c>
      <c r="AC92" t="s">
        <v>1042</v>
      </c>
      <c r="AD92" t="s">
        <v>1042</v>
      </c>
      <c r="AE92">
        <v>0</v>
      </c>
      <c r="AG92">
        <v>0</v>
      </c>
      <c r="AH92">
        <v>0</v>
      </c>
      <c r="AI92">
        <v>0</v>
      </c>
      <c r="AJ92">
        <v>0</v>
      </c>
      <c r="AK92" t="s">
        <v>1043</v>
      </c>
      <c r="AM92">
        <v>220</v>
      </c>
      <c r="AO92" t="s">
        <v>1044</v>
      </c>
      <c r="AP92">
        <v>0</v>
      </c>
      <c r="AR92" t="s">
        <v>1047</v>
      </c>
      <c r="AV92">
        <v>0</v>
      </c>
      <c r="AW92">
        <v>0</v>
      </c>
      <c r="AX92">
        <v>0</v>
      </c>
      <c r="AY92">
        <v>0</v>
      </c>
      <c r="AZ92">
        <v>0</v>
      </c>
      <c r="BA92">
        <v>0</v>
      </c>
      <c r="BB92">
        <v>0</v>
      </c>
      <c r="BC92" t="s">
        <v>1043</v>
      </c>
      <c r="BD92">
        <v>0</v>
      </c>
      <c r="BE92">
        <v>0</v>
      </c>
      <c r="BJ92" t="s">
        <v>1044</v>
      </c>
      <c r="BM92">
        <v>0</v>
      </c>
      <c r="BN92">
        <v>0</v>
      </c>
      <c r="BO92">
        <v>0</v>
      </c>
      <c r="BP92">
        <v>0</v>
      </c>
      <c r="BQ92">
        <v>0</v>
      </c>
      <c r="BR92">
        <v>0</v>
      </c>
      <c r="BS92">
        <v>0</v>
      </c>
      <c r="BU92">
        <v>0.11</v>
      </c>
      <c r="BV92">
        <v>0.22</v>
      </c>
      <c r="BW92">
        <v>0.13</v>
      </c>
      <c r="BX92">
        <v>0.73</v>
      </c>
      <c r="BY92">
        <v>0.2</v>
      </c>
      <c r="BZ92">
        <v>0.47</v>
      </c>
      <c r="CA92">
        <v>2000</v>
      </c>
      <c r="CQ92" t="s">
        <v>2031</v>
      </c>
      <c r="CR92">
        <v>0</v>
      </c>
      <c r="CS92">
        <v>0</v>
      </c>
      <c r="CT92">
        <v>0</v>
      </c>
      <c r="CU92">
        <v>0</v>
      </c>
      <c r="CW92" t="s">
        <v>1043</v>
      </c>
      <c r="CX92">
        <v>0</v>
      </c>
      <c r="CY92">
        <v>0</v>
      </c>
      <c r="CZ92">
        <v>0</v>
      </c>
      <c r="DA92">
        <v>0</v>
      </c>
      <c r="DB92">
        <v>0</v>
      </c>
      <c r="DD92">
        <v>0</v>
      </c>
      <c r="DK92">
        <v>0</v>
      </c>
      <c r="DL92">
        <v>0</v>
      </c>
      <c r="DM92">
        <v>0</v>
      </c>
      <c r="DN92">
        <v>0</v>
      </c>
      <c r="DO92">
        <v>0</v>
      </c>
      <c r="DP92">
        <v>0</v>
      </c>
      <c r="DQ92">
        <v>0</v>
      </c>
      <c r="DR92">
        <v>0</v>
      </c>
      <c r="DS92" t="s">
        <v>1043</v>
      </c>
      <c r="DT92" t="s">
        <v>1044</v>
      </c>
      <c r="DU92" t="s">
        <v>1044</v>
      </c>
      <c r="DW92" t="s">
        <v>1042</v>
      </c>
      <c r="DX92">
        <v>0</v>
      </c>
      <c r="DY92" t="s">
        <v>1043</v>
      </c>
      <c r="DZ92">
        <v>0</v>
      </c>
      <c r="EA92">
        <v>0</v>
      </c>
      <c r="EC92">
        <v>0</v>
      </c>
      <c r="EM92">
        <v>0</v>
      </c>
      <c r="EN92">
        <v>0</v>
      </c>
      <c r="EO92">
        <v>0</v>
      </c>
      <c r="EP92" t="s">
        <v>1043</v>
      </c>
      <c r="EX92" t="s">
        <v>2030</v>
      </c>
      <c r="EY92">
        <v>0</v>
      </c>
      <c r="EZ92">
        <v>0</v>
      </c>
      <c r="FA92">
        <v>0</v>
      </c>
      <c r="FB92">
        <v>1</v>
      </c>
      <c r="FC92" t="s">
        <v>1</v>
      </c>
      <c r="FD92" t="s">
        <v>2029</v>
      </c>
      <c r="FE92" t="s">
        <v>1045</v>
      </c>
      <c r="FF92">
        <v>0</v>
      </c>
      <c r="FG92">
        <v>0</v>
      </c>
      <c r="FH92" t="s">
        <v>1045</v>
      </c>
      <c r="FI92" t="s">
        <v>1045</v>
      </c>
      <c r="FJ92" t="s">
        <v>1043</v>
      </c>
      <c r="FR92">
        <v>0</v>
      </c>
      <c r="FS92">
        <v>0</v>
      </c>
      <c r="GA92" t="s">
        <v>1044</v>
      </c>
      <c r="GB92" t="s">
        <v>1044</v>
      </c>
      <c r="GC92" t="s">
        <v>1045</v>
      </c>
      <c r="GD92">
        <v>0</v>
      </c>
      <c r="GH92" t="s">
        <v>1045</v>
      </c>
      <c r="GI92" t="s">
        <v>2028</v>
      </c>
      <c r="GL92">
        <v>0</v>
      </c>
      <c r="GM92">
        <v>0</v>
      </c>
      <c r="GN92">
        <v>0</v>
      </c>
      <c r="GP92" t="s">
        <v>1042</v>
      </c>
      <c r="GQ92" t="s">
        <v>2027</v>
      </c>
      <c r="GS92" t="s">
        <v>1045</v>
      </c>
      <c r="GU92">
        <v>1</v>
      </c>
      <c r="GV92" t="s">
        <v>1045</v>
      </c>
      <c r="GW92" t="s">
        <v>2026</v>
      </c>
      <c r="GZ92" t="s">
        <v>2025</v>
      </c>
      <c r="HH92">
        <v>0</v>
      </c>
      <c r="HI92">
        <v>0</v>
      </c>
      <c r="HK92" t="s">
        <v>1045</v>
      </c>
      <c r="HL92" t="s">
        <v>1045</v>
      </c>
      <c r="HP92">
        <v>0</v>
      </c>
      <c r="HZ92">
        <v>0</v>
      </c>
      <c r="IB92">
        <v>0</v>
      </c>
      <c r="IC92">
        <v>0</v>
      </c>
      <c r="IG92" t="s">
        <v>1042</v>
      </c>
      <c r="IJ92" t="s">
        <v>1042</v>
      </c>
      <c r="IM92">
        <v>0</v>
      </c>
      <c r="IN92" t="s">
        <v>2024</v>
      </c>
      <c r="IQ92" t="s">
        <v>1045</v>
      </c>
    </row>
    <row r="93" spans="2:251" x14ac:dyDescent="0.35">
      <c r="B93">
        <v>1</v>
      </c>
      <c r="C93">
        <v>1348</v>
      </c>
      <c r="D93">
        <v>0</v>
      </c>
      <c r="E93">
        <v>0</v>
      </c>
      <c r="F93">
        <v>0</v>
      </c>
      <c r="G93">
        <v>0</v>
      </c>
      <c r="H93">
        <v>0</v>
      </c>
      <c r="I93">
        <v>0</v>
      </c>
      <c r="J93" t="s">
        <v>709</v>
      </c>
      <c r="M93">
        <v>27</v>
      </c>
      <c r="Q93">
        <v>47</v>
      </c>
      <c r="S93">
        <v>47</v>
      </c>
      <c r="T93">
        <v>0</v>
      </c>
      <c r="U93">
        <v>0</v>
      </c>
      <c r="W93">
        <v>0</v>
      </c>
      <c r="Y93" t="s">
        <v>1042</v>
      </c>
      <c r="Z93" t="s">
        <v>1042</v>
      </c>
      <c r="AA93" t="s">
        <v>1042</v>
      </c>
      <c r="AB93" t="s">
        <v>1042</v>
      </c>
      <c r="AC93" t="s">
        <v>1042</v>
      </c>
      <c r="AD93" t="s">
        <v>1042</v>
      </c>
      <c r="AE93">
        <v>0</v>
      </c>
      <c r="AG93">
        <v>0</v>
      </c>
      <c r="AH93">
        <v>0</v>
      </c>
      <c r="AI93">
        <v>0</v>
      </c>
      <c r="AJ93">
        <v>0</v>
      </c>
      <c r="AK93" t="s">
        <v>1043</v>
      </c>
      <c r="AM93">
        <v>220</v>
      </c>
      <c r="AO93" t="s">
        <v>1044</v>
      </c>
      <c r="AP93">
        <v>0</v>
      </c>
      <c r="AR93" t="s">
        <v>1047</v>
      </c>
      <c r="AV93">
        <v>0</v>
      </c>
      <c r="AW93">
        <v>0</v>
      </c>
      <c r="AX93">
        <v>0</v>
      </c>
      <c r="AY93">
        <v>0</v>
      </c>
      <c r="AZ93">
        <v>0</v>
      </c>
      <c r="BA93">
        <v>0</v>
      </c>
      <c r="BB93">
        <v>0</v>
      </c>
      <c r="BC93" t="s">
        <v>1043</v>
      </c>
      <c r="BD93">
        <v>0</v>
      </c>
      <c r="BE93">
        <v>0</v>
      </c>
      <c r="BJ93" t="s">
        <v>1044</v>
      </c>
      <c r="BM93">
        <v>0</v>
      </c>
      <c r="BN93">
        <v>0</v>
      </c>
      <c r="BO93">
        <v>0</v>
      </c>
      <c r="BP93">
        <v>0</v>
      </c>
      <c r="BQ93">
        <v>0</v>
      </c>
      <c r="BR93">
        <v>0</v>
      </c>
      <c r="BS93">
        <v>0</v>
      </c>
      <c r="BU93">
        <v>0.14000000000000001</v>
      </c>
      <c r="BV93">
        <v>0.03</v>
      </c>
      <c r="BW93">
        <v>0.18</v>
      </c>
      <c r="BX93">
        <v>0.74</v>
      </c>
      <c r="BY93">
        <v>0.18</v>
      </c>
      <c r="BZ93">
        <v>0.5</v>
      </c>
      <c r="CA93">
        <v>700</v>
      </c>
      <c r="CQ93" t="s">
        <v>2031</v>
      </c>
      <c r="CR93">
        <v>0</v>
      </c>
      <c r="CS93">
        <v>0</v>
      </c>
      <c r="CT93">
        <v>0</v>
      </c>
      <c r="CU93">
        <v>0</v>
      </c>
      <c r="CW93" t="s">
        <v>1043</v>
      </c>
      <c r="CX93">
        <v>0</v>
      </c>
      <c r="CY93">
        <v>0</v>
      </c>
      <c r="CZ93">
        <v>0</v>
      </c>
      <c r="DA93">
        <v>0</v>
      </c>
      <c r="DB93">
        <v>0</v>
      </c>
      <c r="DD93">
        <v>0</v>
      </c>
      <c r="DK93">
        <v>0</v>
      </c>
      <c r="DL93">
        <v>0</v>
      </c>
      <c r="DM93">
        <v>0</v>
      </c>
      <c r="DN93">
        <v>0</v>
      </c>
      <c r="DO93">
        <v>0</v>
      </c>
      <c r="DP93">
        <v>0</v>
      </c>
      <c r="DQ93">
        <v>0</v>
      </c>
      <c r="DR93">
        <v>0</v>
      </c>
      <c r="DS93" t="s">
        <v>1043</v>
      </c>
      <c r="DT93" t="s">
        <v>1044</v>
      </c>
      <c r="DU93" t="s">
        <v>1044</v>
      </c>
      <c r="DW93" t="s">
        <v>1042</v>
      </c>
      <c r="DX93">
        <v>0</v>
      </c>
      <c r="DY93" t="s">
        <v>1043</v>
      </c>
      <c r="DZ93">
        <v>0</v>
      </c>
      <c r="EA93">
        <v>0</v>
      </c>
      <c r="EC93">
        <v>0</v>
      </c>
      <c r="EM93">
        <v>0</v>
      </c>
      <c r="EN93">
        <v>0</v>
      </c>
      <c r="EO93">
        <v>0</v>
      </c>
      <c r="EP93" t="s">
        <v>1043</v>
      </c>
      <c r="EX93" t="s">
        <v>2030</v>
      </c>
      <c r="EY93">
        <v>0</v>
      </c>
      <c r="EZ93">
        <v>0</v>
      </c>
      <c r="FA93">
        <v>0</v>
      </c>
      <c r="FB93">
        <v>1</v>
      </c>
      <c r="FC93" t="s">
        <v>1</v>
      </c>
      <c r="FD93" t="s">
        <v>2029</v>
      </c>
      <c r="FE93" t="s">
        <v>1045</v>
      </c>
      <c r="FF93">
        <v>0</v>
      </c>
      <c r="FG93">
        <v>0</v>
      </c>
      <c r="FH93" t="s">
        <v>1045</v>
      </c>
      <c r="FI93" t="s">
        <v>1045</v>
      </c>
      <c r="FJ93" t="s">
        <v>1043</v>
      </c>
      <c r="FR93">
        <v>0</v>
      </c>
      <c r="FS93">
        <v>0</v>
      </c>
      <c r="GA93" t="s">
        <v>1044</v>
      </c>
      <c r="GB93" t="s">
        <v>1044</v>
      </c>
      <c r="GC93" t="s">
        <v>1045</v>
      </c>
      <c r="GD93">
        <v>0</v>
      </c>
      <c r="GH93" t="s">
        <v>1045</v>
      </c>
      <c r="GI93" t="s">
        <v>2028</v>
      </c>
      <c r="GL93">
        <v>0</v>
      </c>
      <c r="GM93">
        <v>0</v>
      </c>
      <c r="GN93">
        <v>0</v>
      </c>
      <c r="GP93" t="s">
        <v>1042</v>
      </c>
      <c r="GQ93" t="s">
        <v>2027</v>
      </c>
      <c r="GS93" t="s">
        <v>1045</v>
      </c>
      <c r="GU93">
        <v>1</v>
      </c>
      <c r="GV93" t="s">
        <v>1045</v>
      </c>
      <c r="GW93" t="s">
        <v>2026</v>
      </c>
      <c r="GZ93" t="s">
        <v>2025</v>
      </c>
      <c r="HH93">
        <v>0</v>
      </c>
      <c r="HI93">
        <v>0</v>
      </c>
      <c r="HK93" t="s">
        <v>1045</v>
      </c>
      <c r="HL93" t="s">
        <v>1045</v>
      </c>
      <c r="HP93">
        <v>0</v>
      </c>
      <c r="HZ93">
        <v>0</v>
      </c>
      <c r="IB93">
        <v>0</v>
      </c>
      <c r="IC93">
        <v>0</v>
      </c>
      <c r="IG93" t="s">
        <v>1042</v>
      </c>
      <c r="IJ93" t="s">
        <v>1042</v>
      </c>
      <c r="IM93">
        <v>0</v>
      </c>
      <c r="IN93" t="s">
        <v>2024</v>
      </c>
      <c r="IQ93" t="s">
        <v>1045</v>
      </c>
    </row>
    <row r="94" spans="2:251" x14ac:dyDescent="0.35">
      <c r="B94">
        <v>1</v>
      </c>
      <c r="C94">
        <v>1349</v>
      </c>
      <c r="D94">
        <v>0</v>
      </c>
      <c r="E94">
        <v>0</v>
      </c>
      <c r="F94">
        <v>0</v>
      </c>
      <c r="G94">
        <v>0</v>
      </c>
      <c r="H94">
        <v>0</v>
      </c>
      <c r="I94">
        <v>0</v>
      </c>
      <c r="J94" t="s">
        <v>710</v>
      </c>
      <c r="M94">
        <v>34</v>
      </c>
      <c r="Q94">
        <v>58</v>
      </c>
      <c r="S94">
        <v>58</v>
      </c>
      <c r="T94">
        <v>0</v>
      </c>
      <c r="U94">
        <v>0</v>
      </c>
      <c r="W94">
        <v>0</v>
      </c>
      <c r="Y94" t="s">
        <v>1042</v>
      </c>
      <c r="Z94" t="s">
        <v>1042</v>
      </c>
      <c r="AA94" t="s">
        <v>1042</v>
      </c>
      <c r="AB94" t="s">
        <v>1042</v>
      </c>
      <c r="AC94" t="s">
        <v>1042</v>
      </c>
      <c r="AD94" t="s">
        <v>1042</v>
      </c>
      <c r="AE94">
        <v>0</v>
      </c>
      <c r="AG94">
        <v>0</v>
      </c>
      <c r="AH94">
        <v>0</v>
      </c>
      <c r="AI94">
        <v>0</v>
      </c>
      <c r="AJ94">
        <v>0</v>
      </c>
      <c r="AK94" t="s">
        <v>1043</v>
      </c>
      <c r="AM94">
        <v>220</v>
      </c>
      <c r="AO94" t="s">
        <v>1044</v>
      </c>
      <c r="AP94">
        <v>0</v>
      </c>
      <c r="AR94" t="s">
        <v>1047</v>
      </c>
      <c r="AV94">
        <v>0</v>
      </c>
      <c r="AW94">
        <v>0</v>
      </c>
      <c r="AX94">
        <v>0</v>
      </c>
      <c r="AY94">
        <v>0</v>
      </c>
      <c r="AZ94">
        <v>0</v>
      </c>
      <c r="BA94">
        <v>0</v>
      </c>
      <c r="BB94">
        <v>0</v>
      </c>
      <c r="BC94" t="s">
        <v>1043</v>
      </c>
      <c r="BD94">
        <v>0</v>
      </c>
      <c r="BE94">
        <v>0</v>
      </c>
      <c r="BJ94" t="s">
        <v>1044</v>
      </c>
      <c r="BM94">
        <v>0</v>
      </c>
      <c r="BN94">
        <v>0</v>
      </c>
      <c r="BO94">
        <v>0</v>
      </c>
      <c r="BP94">
        <v>0</v>
      </c>
      <c r="BQ94">
        <v>0</v>
      </c>
      <c r="BR94">
        <v>0</v>
      </c>
      <c r="BS94">
        <v>0</v>
      </c>
      <c r="BU94">
        <v>0.19</v>
      </c>
      <c r="BV94">
        <v>0.36</v>
      </c>
      <c r="BW94">
        <v>0.19</v>
      </c>
      <c r="BX94">
        <v>0.75</v>
      </c>
      <c r="BY94">
        <v>0.21</v>
      </c>
      <c r="BZ94">
        <v>0.48</v>
      </c>
      <c r="CA94">
        <v>400</v>
      </c>
      <c r="CQ94" t="s">
        <v>2031</v>
      </c>
      <c r="CR94">
        <v>0</v>
      </c>
      <c r="CS94">
        <v>0</v>
      </c>
      <c r="CT94">
        <v>0</v>
      </c>
      <c r="CU94">
        <v>0</v>
      </c>
      <c r="CW94" t="s">
        <v>1043</v>
      </c>
      <c r="CX94">
        <v>0</v>
      </c>
      <c r="CY94">
        <v>0</v>
      </c>
      <c r="CZ94">
        <v>0</v>
      </c>
      <c r="DA94">
        <v>0</v>
      </c>
      <c r="DB94">
        <v>0</v>
      </c>
      <c r="DD94">
        <v>0</v>
      </c>
      <c r="DK94">
        <v>0</v>
      </c>
      <c r="DL94">
        <v>0</v>
      </c>
      <c r="DM94">
        <v>0</v>
      </c>
      <c r="DN94">
        <v>0</v>
      </c>
      <c r="DO94">
        <v>0</v>
      </c>
      <c r="DP94">
        <v>0</v>
      </c>
      <c r="DQ94">
        <v>0</v>
      </c>
      <c r="DR94">
        <v>0</v>
      </c>
      <c r="DS94" t="s">
        <v>1043</v>
      </c>
      <c r="DT94" t="s">
        <v>1044</v>
      </c>
      <c r="DU94" t="s">
        <v>1044</v>
      </c>
      <c r="DW94" t="s">
        <v>1042</v>
      </c>
      <c r="DX94">
        <v>0</v>
      </c>
      <c r="DY94" t="s">
        <v>1043</v>
      </c>
      <c r="DZ94">
        <v>0</v>
      </c>
      <c r="EA94">
        <v>0</v>
      </c>
      <c r="EC94">
        <v>0</v>
      </c>
      <c r="EM94">
        <v>0</v>
      </c>
      <c r="EN94">
        <v>0</v>
      </c>
      <c r="EO94">
        <v>0</v>
      </c>
      <c r="EP94" t="s">
        <v>1043</v>
      </c>
      <c r="EX94" t="s">
        <v>2030</v>
      </c>
      <c r="EY94">
        <v>0</v>
      </c>
      <c r="EZ94">
        <v>0</v>
      </c>
      <c r="FA94">
        <v>0</v>
      </c>
      <c r="FB94">
        <v>1</v>
      </c>
      <c r="FC94" t="s">
        <v>1</v>
      </c>
      <c r="FD94" t="s">
        <v>2029</v>
      </c>
      <c r="FE94" t="s">
        <v>1045</v>
      </c>
      <c r="FF94">
        <v>0</v>
      </c>
      <c r="FG94">
        <v>0</v>
      </c>
      <c r="FH94" t="s">
        <v>1045</v>
      </c>
      <c r="FI94" t="s">
        <v>1045</v>
      </c>
      <c r="FJ94" t="s">
        <v>1043</v>
      </c>
      <c r="FR94">
        <v>0</v>
      </c>
      <c r="FS94">
        <v>0</v>
      </c>
      <c r="GA94" t="s">
        <v>1044</v>
      </c>
      <c r="GB94" t="s">
        <v>1044</v>
      </c>
      <c r="GC94" t="s">
        <v>1045</v>
      </c>
      <c r="GD94">
        <v>0</v>
      </c>
      <c r="GH94" t="s">
        <v>1045</v>
      </c>
      <c r="GI94" t="s">
        <v>2028</v>
      </c>
      <c r="GL94">
        <v>0</v>
      </c>
      <c r="GM94">
        <v>0</v>
      </c>
      <c r="GN94">
        <v>0</v>
      </c>
      <c r="GP94" t="s">
        <v>1042</v>
      </c>
      <c r="GQ94" t="s">
        <v>2027</v>
      </c>
      <c r="GS94" t="s">
        <v>1045</v>
      </c>
      <c r="GU94">
        <v>1</v>
      </c>
      <c r="GV94" t="s">
        <v>1045</v>
      </c>
      <c r="GW94" t="s">
        <v>2026</v>
      </c>
      <c r="GZ94" t="s">
        <v>2025</v>
      </c>
      <c r="HH94">
        <v>0</v>
      </c>
      <c r="HI94">
        <v>0</v>
      </c>
      <c r="HK94" t="s">
        <v>1045</v>
      </c>
      <c r="HL94" t="s">
        <v>1045</v>
      </c>
      <c r="HP94">
        <v>0</v>
      </c>
      <c r="HZ94">
        <v>0</v>
      </c>
      <c r="IB94">
        <v>0</v>
      </c>
      <c r="IC94">
        <v>0</v>
      </c>
      <c r="IG94" t="s">
        <v>1042</v>
      </c>
      <c r="IJ94" t="s">
        <v>1042</v>
      </c>
      <c r="IM94">
        <v>0</v>
      </c>
      <c r="IN94" t="s">
        <v>2024</v>
      </c>
      <c r="IQ94" t="s">
        <v>1045</v>
      </c>
    </row>
    <row r="95" spans="2:251" x14ac:dyDescent="0.35">
      <c r="B95">
        <v>1</v>
      </c>
      <c r="C95">
        <v>1350</v>
      </c>
      <c r="D95">
        <v>0</v>
      </c>
      <c r="E95">
        <v>0</v>
      </c>
      <c r="F95">
        <v>0</v>
      </c>
      <c r="G95">
        <v>0</v>
      </c>
      <c r="H95">
        <v>0</v>
      </c>
      <c r="I95">
        <v>0</v>
      </c>
      <c r="J95" t="s">
        <v>711</v>
      </c>
      <c r="M95">
        <v>32</v>
      </c>
      <c r="Q95">
        <v>57</v>
      </c>
      <c r="S95">
        <v>40</v>
      </c>
      <c r="T95">
        <v>0</v>
      </c>
      <c r="U95">
        <v>0</v>
      </c>
      <c r="W95">
        <v>0</v>
      </c>
      <c r="Y95" t="s">
        <v>1042</v>
      </c>
      <c r="Z95" t="s">
        <v>1042</v>
      </c>
      <c r="AA95" t="s">
        <v>1042</v>
      </c>
      <c r="AB95" t="s">
        <v>1042</v>
      </c>
      <c r="AC95" t="s">
        <v>1042</v>
      </c>
      <c r="AD95" t="s">
        <v>1042</v>
      </c>
      <c r="AE95">
        <v>0</v>
      </c>
      <c r="AG95">
        <v>0</v>
      </c>
      <c r="AH95">
        <v>0</v>
      </c>
      <c r="AI95">
        <v>0</v>
      </c>
      <c r="AJ95">
        <v>0</v>
      </c>
      <c r="AK95" t="s">
        <v>1043</v>
      </c>
      <c r="AM95">
        <v>220</v>
      </c>
      <c r="AO95" t="s">
        <v>1044</v>
      </c>
      <c r="AP95">
        <v>0</v>
      </c>
      <c r="AR95" t="s">
        <v>1047</v>
      </c>
      <c r="AV95">
        <v>0</v>
      </c>
      <c r="AW95">
        <v>0</v>
      </c>
      <c r="AX95">
        <v>0</v>
      </c>
      <c r="AY95">
        <v>0</v>
      </c>
      <c r="AZ95">
        <v>0</v>
      </c>
      <c r="BA95">
        <v>0</v>
      </c>
      <c r="BB95">
        <v>0</v>
      </c>
      <c r="BC95" t="s">
        <v>1043</v>
      </c>
      <c r="BD95">
        <v>0</v>
      </c>
      <c r="BE95">
        <v>0</v>
      </c>
      <c r="BJ95" t="s">
        <v>1044</v>
      </c>
      <c r="BM95">
        <v>0</v>
      </c>
      <c r="BN95">
        <v>0</v>
      </c>
      <c r="BO95">
        <v>0</v>
      </c>
      <c r="BP95">
        <v>0</v>
      </c>
      <c r="BQ95">
        <v>0</v>
      </c>
      <c r="BR95">
        <v>0</v>
      </c>
      <c r="BS95">
        <v>0</v>
      </c>
      <c r="BU95">
        <v>0.14000000000000001</v>
      </c>
      <c r="BV95">
        <v>0.04</v>
      </c>
      <c r="BW95">
        <v>0.14000000000000001</v>
      </c>
      <c r="BX95">
        <v>0.23</v>
      </c>
      <c r="BY95">
        <v>0.26</v>
      </c>
      <c r="BZ95">
        <v>0.31</v>
      </c>
      <c r="CA95">
        <v>280</v>
      </c>
      <c r="CQ95" t="s">
        <v>2031</v>
      </c>
      <c r="CR95">
        <v>0</v>
      </c>
      <c r="CS95">
        <v>0</v>
      </c>
      <c r="CT95">
        <v>0</v>
      </c>
      <c r="CU95">
        <v>0</v>
      </c>
      <c r="CW95" t="s">
        <v>1043</v>
      </c>
      <c r="CX95">
        <v>0</v>
      </c>
      <c r="CY95">
        <v>0</v>
      </c>
      <c r="CZ95">
        <v>0</v>
      </c>
      <c r="DA95">
        <v>0</v>
      </c>
      <c r="DB95">
        <v>0</v>
      </c>
      <c r="DD95">
        <v>0</v>
      </c>
      <c r="DK95">
        <v>0</v>
      </c>
      <c r="DL95">
        <v>0</v>
      </c>
      <c r="DM95">
        <v>0</v>
      </c>
      <c r="DN95">
        <v>0</v>
      </c>
      <c r="DO95">
        <v>0</v>
      </c>
      <c r="DP95">
        <v>0</v>
      </c>
      <c r="DQ95">
        <v>0</v>
      </c>
      <c r="DR95">
        <v>0</v>
      </c>
      <c r="DS95" t="s">
        <v>1043</v>
      </c>
      <c r="DT95" t="s">
        <v>1044</v>
      </c>
      <c r="DU95" t="s">
        <v>1044</v>
      </c>
      <c r="DW95" t="s">
        <v>1042</v>
      </c>
      <c r="DX95">
        <v>0</v>
      </c>
      <c r="DY95" t="s">
        <v>1043</v>
      </c>
      <c r="DZ95">
        <v>0</v>
      </c>
      <c r="EA95">
        <v>0</v>
      </c>
      <c r="EC95">
        <v>0</v>
      </c>
      <c r="EM95">
        <v>0</v>
      </c>
      <c r="EN95">
        <v>0</v>
      </c>
      <c r="EO95">
        <v>0</v>
      </c>
      <c r="EP95" t="s">
        <v>1043</v>
      </c>
      <c r="EX95" t="s">
        <v>2030</v>
      </c>
      <c r="EY95">
        <v>0</v>
      </c>
      <c r="EZ95">
        <v>0</v>
      </c>
      <c r="FA95">
        <v>0</v>
      </c>
      <c r="FB95">
        <v>1</v>
      </c>
      <c r="FC95" t="s">
        <v>1</v>
      </c>
      <c r="FD95" t="s">
        <v>2029</v>
      </c>
      <c r="FE95" t="s">
        <v>1045</v>
      </c>
      <c r="FF95">
        <v>0</v>
      </c>
      <c r="FG95">
        <v>0</v>
      </c>
      <c r="FH95" t="s">
        <v>1045</v>
      </c>
      <c r="FI95" t="s">
        <v>1045</v>
      </c>
      <c r="FJ95" t="s">
        <v>1043</v>
      </c>
      <c r="FR95">
        <v>0</v>
      </c>
      <c r="FS95">
        <v>0</v>
      </c>
      <c r="GA95" t="s">
        <v>1044</v>
      </c>
      <c r="GB95" t="s">
        <v>1044</v>
      </c>
      <c r="GC95" t="s">
        <v>1045</v>
      </c>
      <c r="GD95">
        <v>0</v>
      </c>
      <c r="GH95" t="s">
        <v>1045</v>
      </c>
      <c r="GI95" t="s">
        <v>2028</v>
      </c>
      <c r="GL95">
        <v>0</v>
      </c>
      <c r="GM95">
        <v>0</v>
      </c>
      <c r="GN95">
        <v>0</v>
      </c>
      <c r="GP95" t="s">
        <v>1042</v>
      </c>
      <c r="GQ95" t="s">
        <v>2027</v>
      </c>
      <c r="GS95" t="s">
        <v>1045</v>
      </c>
      <c r="GU95">
        <v>1</v>
      </c>
      <c r="GV95" t="s">
        <v>1045</v>
      </c>
      <c r="GW95" t="s">
        <v>2026</v>
      </c>
      <c r="GZ95" t="s">
        <v>2025</v>
      </c>
      <c r="HH95">
        <v>0</v>
      </c>
      <c r="HI95">
        <v>0</v>
      </c>
      <c r="HK95" t="s">
        <v>1045</v>
      </c>
      <c r="HL95" t="s">
        <v>1045</v>
      </c>
      <c r="HP95">
        <v>0</v>
      </c>
      <c r="HZ95">
        <v>0</v>
      </c>
      <c r="IB95">
        <v>0</v>
      </c>
      <c r="IC95">
        <v>0</v>
      </c>
      <c r="IG95" t="s">
        <v>1042</v>
      </c>
      <c r="IJ95" t="s">
        <v>1042</v>
      </c>
      <c r="IM95">
        <v>0</v>
      </c>
      <c r="IN95" t="s">
        <v>2024</v>
      </c>
      <c r="IQ95" t="s">
        <v>1045</v>
      </c>
    </row>
    <row r="96" spans="2:251" x14ac:dyDescent="0.35">
      <c r="B96">
        <v>1</v>
      </c>
      <c r="C96">
        <v>1351</v>
      </c>
      <c r="D96">
        <v>0</v>
      </c>
      <c r="E96">
        <v>0</v>
      </c>
      <c r="F96">
        <v>0</v>
      </c>
      <c r="G96">
        <v>0</v>
      </c>
      <c r="H96">
        <v>0</v>
      </c>
      <c r="I96">
        <v>0</v>
      </c>
      <c r="J96" t="s">
        <v>712</v>
      </c>
      <c r="M96">
        <v>32</v>
      </c>
      <c r="Q96">
        <v>65</v>
      </c>
      <c r="S96">
        <v>48</v>
      </c>
      <c r="T96">
        <v>0</v>
      </c>
      <c r="U96">
        <v>0</v>
      </c>
      <c r="W96">
        <v>0</v>
      </c>
      <c r="Y96" t="s">
        <v>1042</v>
      </c>
      <c r="Z96" t="s">
        <v>1042</v>
      </c>
      <c r="AA96" t="s">
        <v>1042</v>
      </c>
      <c r="AB96" t="s">
        <v>1042</v>
      </c>
      <c r="AC96" t="s">
        <v>1042</v>
      </c>
      <c r="AD96" t="s">
        <v>1042</v>
      </c>
      <c r="AE96">
        <v>0</v>
      </c>
      <c r="AG96">
        <v>0</v>
      </c>
      <c r="AH96">
        <v>0</v>
      </c>
      <c r="AI96">
        <v>0</v>
      </c>
      <c r="AJ96">
        <v>0</v>
      </c>
      <c r="AK96" t="s">
        <v>1043</v>
      </c>
      <c r="AM96">
        <v>220</v>
      </c>
      <c r="AO96" t="s">
        <v>1044</v>
      </c>
      <c r="AP96">
        <v>0</v>
      </c>
      <c r="AR96" t="s">
        <v>1047</v>
      </c>
      <c r="AV96">
        <v>0</v>
      </c>
      <c r="AW96">
        <v>0</v>
      </c>
      <c r="AX96">
        <v>0</v>
      </c>
      <c r="AY96">
        <v>0</v>
      </c>
      <c r="AZ96">
        <v>0</v>
      </c>
      <c r="BA96">
        <v>0</v>
      </c>
      <c r="BB96">
        <v>0</v>
      </c>
      <c r="BC96" t="s">
        <v>1043</v>
      </c>
      <c r="BD96">
        <v>0</v>
      </c>
      <c r="BE96">
        <v>0</v>
      </c>
      <c r="BJ96" t="s">
        <v>1044</v>
      </c>
      <c r="BM96">
        <v>0</v>
      </c>
      <c r="BN96">
        <v>0</v>
      </c>
      <c r="BO96">
        <v>0</v>
      </c>
      <c r="BP96">
        <v>0</v>
      </c>
      <c r="BQ96">
        <v>0</v>
      </c>
      <c r="BR96">
        <v>0</v>
      </c>
      <c r="BS96">
        <v>0</v>
      </c>
      <c r="BU96">
        <v>0.14000000000000001</v>
      </c>
      <c r="BV96">
        <v>0.05</v>
      </c>
      <c r="BW96">
        <v>0.16</v>
      </c>
      <c r="BX96">
        <v>0.23</v>
      </c>
      <c r="BY96">
        <v>0.26</v>
      </c>
      <c r="BZ96">
        <v>0.31</v>
      </c>
      <c r="CA96">
        <v>200</v>
      </c>
      <c r="CQ96" t="s">
        <v>2031</v>
      </c>
      <c r="CR96">
        <v>0</v>
      </c>
      <c r="CS96">
        <v>0</v>
      </c>
      <c r="CT96">
        <v>0</v>
      </c>
      <c r="CU96">
        <v>0</v>
      </c>
      <c r="CW96" t="s">
        <v>1043</v>
      </c>
      <c r="CX96">
        <v>0</v>
      </c>
      <c r="CY96">
        <v>0</v>
      </c>
      <c r="CZ96">
        <v>0</v>
      </c>
      <c r="DA96">
        <v>0</v>
      </c>
      <c r="DB96">
        <v>0</v>
      </c>
      <c r="DD96">
        <v>0</v>
      </c>
      <c r="DK96">
        <v>0</v>
      </c>
      <c r="DL96">
        <v>0</v>
      </c>
      <c r="DM96">
        <v>0</v>
      </c>
      <c r="DN96">
        <v>0</v>
      </c>
      <c r="DO96">
        <v>0</v>
      </c>
      <c r="DP96">
        <v>0</v>
      </c>
      <c r="DQ96">
        <v>0</v>
      </c>
      <c r="DR96">
        <v>0</v>
      </c>
      <c r="DS96" t="s">
        <v>1043</v>
      </c>
      <c r="DT96" t="s">
        <v>1044</v>
      </c>
      <c r="DU96" t="s">
        <v>1044</v>
      </c>
      <c r="DW96" t="s">
        <v>1042</v>
      </c>
      <c r="DX96">
        <v>0</v>
      </c>
      <c r="DY96" t="s">
        <v>1043</v>
      </c>
      <c r="DZ96">
        <v>0</v>
      </c>
      <c r="EA96">
        <v>0</v>
      </c>
      <c r="EC96">
        <v>0</v>
      </c>
      <c r="EM96">
        <v>0</v>
      </c>
      <c r="EN96">
        <v>0</v>
      </c>
      <c r="EO96">
        <v>0</v>
      </c>
      <c r="EP96" t="s">
        <v>1043</v>
      </c>
      <c r="EX96" t="s">
        <v>2030</v>
      </c>
      <c r="EY96">
        <v>0</v>
      </c>
      <c r="EZ96">
        <v>0</v>
      </c>
      <c r="FA96">
        <v>0</v>
      </c>
      <c r="FB96">
        <v>1</v>
      </c>
      <c r="FC96" t="s">
        <v>1</v>
      </c>
      <c r="FD96" t="s">
        <v>2029</v>
      </c>
      <c r="FE96" t="s">
        <v>1045</v>
      </c>
      <c r="FF96">
        <v>0</v>
      </c>
      <c r="FG96">
        <v>0</v>
      </c>
      <c r="FH96" t="s">
        <v>1045</v>
      </c>
      <c r="FI96" t="s">
        <v>1045</v>
      </c>
      <c r="FJ96" t="s">
        <v>1043</v>
      </c>
      <c r="FR96">
        <v>0</v>
      </c>
      <c r="FS96">
        <v>0</v>
      </c>
      <c r="GA96" t="s">
        <v>1044</v>
      </c>
      <c r="GB96" t="s">
        <v>1044</v>
      </c>
      <c r="GC96" t="s">
        <v>1045</v>
      </c>
      <c r="GD96">
        <v>0</v>
      </c>
      <c r="GH96" t="s">
        <v>1045</v>
      </c>
      <c r="GI96" t="s">
        <v>2028</v>
      </c>
      <c r="GL96">
        <v>0</v>
      </c>
      <c r="GM96">
        <v>0</v>
      </c>
      <c r="GN96">
        <v>0</v>
      </c>
      <c r="GP96" t="s">
        <v>1042</v>
      </c>
      <c r="GQ96" t="s">
        <v>2027</v>
      </c>
      <c r="GS96" t="s">
        <v>1045</v>
      </c>
      <c r="GU96">
        <v>1</v>
      </c>
      <c r="GV96" t="s">
        <v>1045</v>
      </c>
      <c r="GW96" t="s">
        <v>2026</v>
      </c>
      <c r="GZ96" t="s">
        <v>2025</v>
      </c>
      <c r="HH96">
        <v>0</v>
      </c>
      <c r="HI96">
        <v>0</v>
      </c>
      <c r="HK96" t="s">
        <v>1045</v>
      </c>
      <c r="HL96" t="s">
        <v>1045</v>
      </c>
      <c r="HP96">
        <v>0</v>
      </c>
      <c r="HZ96">
        <v>0</v>
      </c>
      <c r="IB96">
        <v>0</v>
      </c>
      <c r="IC96">
        <v>0</v>
      </c>
      <c r="IG96" t="s">
        <v>1042</v>
      </c>
      <c r="IJ96" t="s">
        <v>1042</v>
      </c>
      <c r="IM96">
        <v>0</v>
      </c>
      <c r="IN96" t="s">
        <v>2024</v>
      </c>
      <c r="IQ96" t="s">
        <v>1045</v>
      </c>
    </row>
    <row r="97" spans="2:251" x14ac:dyDescent="0.35">
      <c r="B97">
        <v>1</v>
      </c>
      <c r="C97">
        <v>1352</v>
      </c>
      <c r="D97">
        <v>0</v>
      </c>
      <c r="E97">
        <v>0</v>
      </c>
      <c r="F97">
        <v>0</v>
      </c>
      <c r="G97">
        <v>0</v>
      </c>
      <c r="H97">
        <v>0</v>
      </c>
      <c r="I97">
        <v>0</v>
      </c>
      <c r="J97" t="s">
        <v>713</v>
      </c>
      <c r="M97">
        <v>42</v>
      </c>
      <c r="Q97">
        <v>70</v>
      </c>
      <c r="S97">
        <v>54</v>
      </c>
      <c r="T97">
        <v>0</v>
      </c>
      <c r="U97">
        <v>0</v>
      </c>
      <c r="W97">
        <v>0</v>
      </c>
      <c r="Y97" t="s">
        <v>1042</v>
      </c>
      <c r="Z97" t="s">
        <v>1042</v>
      </c>
      <c r="AA97" t="s">
        <v>1042</v>
      </c>
      <c r="AB97" t="s">
        <v>1042</v>
      </c>
      <c r="AC97" t="s">
        <v>1042</v>
      </c>
      <c r="AD97" t="s">
        <v>1042</v>
      </c>
      <c r="AE97">
        <v>0</v>
      </c>
      <c r="AG97">
        <v>0</v>
      </c>
      <c r="AH97">
        <v>0</v>
      </c>
      <c r="AI97">
        <v>0</v>
      </c>
      <c r="AJ97">
        <v>0</v>
      </c>
      <c r="AK97" t="s">
        <v>1043</v>
      </c>
      <c r="AM97">
        <v>220</v>
      </c>
      <c r="AO97" t="s">
        <v>1044</v>
      </c>
      <c r="AP97">
        <v>0</v>
      </c>
      <c r="AR97" t="s">
        <v>1047</v>
      </c>
      <c r="AV97">
        <v>0</v>
      </c>
      <c r="AW97">
        <v>0</v>
      </c>
      <c r="AX97">
        <v>0</v>
      </c>
      <c r="AY97">
        <v>0</v>
      </c>
      <c r="AZ97">
        <v>0</v>
      </c>
      <c r="BA97">
        <v>0</v>
      </c>
      <c r="BB97">
        <v>0</v>
      </c>
      <c r="BC97" t="s">
        <v>1043</v>
      </c>
      <c r="BD97">
        <v>0</v>
      </c>
      <c r="BE97">
        <v>0</v>
      </c>
      <c r="BJ97" t="s">
        <v>1044</v>
      </c>
      <c r="BM97">
        <v>0</v>
      </c>
      <c r="BN97">
        <v>0</v>
      </c>
      <c r="BO97">
        <v>0</v>
      </c>
      <c r="BP97">
        <v>0</v>
      </c>
      <c r="BQ97">
        <v>0</v>
      </c>
      <c r="BR97">
        <v>0</v>
      </c>
      <c r="BS97">
        <v>0</v>
      </c>
      <c r="BU97">
        <v>0.17</v>
      </c>
      <c r="BV97">
        <v>0.05</v>
      </c>
      <c r="BW97">
        <v>0.17</v>
      </c>
      <c r="BX97">
        <v>0.23</v>
      </c>
      <c r="BY97">
        <v>0.26</v>
      </c>
      <c r="BZ97">
        <v>0.31</v>
      </c>
      <c r="CA97">
        <v>160</v>
      </c>
      <c r="CQ97" t="s">
        <v>2031</v>
      </c>
      <c r="CR97">
        <v>0</v>
      </c>
      <c r="CS97">
        <v>0</v>
      </c>
      <c r="CT97">
        <v>0</v>
      </c>
      <c r="CU97">
        <v>0</v>
      </c>
      <c r="CW97" t="s">
        <v>1043</v>
      </c>
      <c r="CX97">
        <v>0</v>
      </c>
      <c r="CY97">
        <v>0</v>
      </c>
      <c r="CZ97">
        <v>0</v>
      </c>
      <c r="DA97">
        <v>0</v>
      </c>
      <c r="DB97">
        <v>0</v>
      </c>
      <c r="DD97">
        <v>0</v>
      </c>
      <c r="DK97">
        <v>0</v>
      </c>
      <c r="DL97">
        <v>0</v>
      </c>
      <c r="DM97">
        <v>0</v>
      </c>
      <c r="DN97">
        <v>0</v>
      </c>
      <c r="DO97">
        <v>0</v>
      </c>
      <c r="DP97">
        <v>0</v>
      </c>
      <c r="DQ97">
        <v>0</v>
      </c>
      <c r="DR97">
        <v>0</v>
      </c>
      <c r="DS97" t="s">
        <v>1043</v>
      </c>
      <c r="DT97" t="s">
        <v>1044</v>
      </c>
      <c r="DU97" t="s">
        <v>1044</v>
      </c>
      <c r="DW97" t="s">
        <v>1042</v>
      </c>
      <c r="DX97">
        <v>0</v>
      </c>
      <c r="DY97" t="s">
        <v>1043</v>
      </c>
      <c r="DZ97">
        <v>0</v>
      </c>
      <c r="EA97">
        <v>0</v>
      </c>
      <c r="EC97">
        <v>0</v>
      </c>
      <c r="EM97">
        <v>0</v>
      </c>
      <c r="EN97">
        <v>0</v>
      </c>
      <c r="EO97">
        <v>0</v>
      </c>
      <c r="EP97" t="s">
        <v>1043</v>
      </c>
      <c r="EX97" t="s">
        <v>2030</v>
      </c>
      <c r="EY97">
        <v>0</v>
      </c>
      <c r="EZ97">
        <v>0</v>
      </c>
      <c r="FA97">
        <v>0</v>
      </c>
      <c r="FB97">
        <v>1</v>
      </c>
      <c r="FC97" t="s">
        <v>1</v>
      </c>
      <c r="FD97" t="s">
        <v>2029</v>
      </c>
      <c r="FE97" t="s">
        <v>1045</v>
      </c>
      <c r="FF97">
        <v>0</v>
      </c>
      <c r="FG97">
        <v>0</v>
      </c>
      <c r="FH97" t="s">
        <v>1045</v>
      </c>
      <c r="FI97" t="s">
        <v>1045</v>
      </c>
      <c r="FJ97" t="s">
        <v>1043</v>
      </c>
      <c r="FR97">
        <v>0</v>
      </c>
      <c r="FS97">
        <v>0</v>
      </c>
      <c r="GA97" t="s">
        <v>1044</v>
      </c>
      <c r="GB97" t="s">
        <v>1044</v>
      </c>
      <c r="GC97" t="s">
        <v>1045</v>
      </c>
      <c r="GD97">
        <v>0</v>
      </c>
      <c r="GH97" t="s">
        <v>1045</v>
      </c>
      <c r="GI97" t="s">
        <v>2028</v>
      </c>
      <c r="GL97">
        <v>0</v>
      </c>
      <c r="GM97">
        <v>0</v>
      </c>
      <c r="GN97">
        <v>0</v>
      </c>
      <c r="GP97" t="s">
        <v>1042</v>
      </c>
      <c r="GQ97" t="s">
        <v>2027</v>
      </c>
      <c r="GS97" t="s">
        <v>1045</v>
      </c>
      <c r="GU97">
        <v>1</v>
      </c>
      <c r="GV97" t="s">
        <v>1045</v>
      </c>
      <c r="GW97" t="s">
        <v>2026</v>
      </c>
      <c r="GZ97" t="s">
        <v>2025</v>
      </c>
      <c r="HH97">
        <v>0</v>
      </c>
      <c r="HI97">
        <v>0</v>
      </c>
      <c r="HK97" t="s">
        <v>1045</v>
      </c>
      <c r="HL97" t="s">
        <v>1045</v>
      </c>
      <c r="HP97">
        <v>0</v>
      </c>
      <c r="HZ97">
        <v>0</v>
      </c>
      <c r="IB97">
        <v>0</v>
      </c>
      <c r="IC97">
        <v>0</v>
      </c>
      <c r="IG97" t="s">
        <v>1042</v>
      </c>
      <c r="IJ97" t="s">
        <v>1042</v>
      </c>
      <c r="IM97">
        <v>0</v>
      </c>
      <c r="IN97" t="s">
        <v>2024</v>
      </c>
      <c r="IQ97" t="s">
        <v>1045</v>
      </c>
    </row>
    <row r="98" spans="2:251" x14ac:dyDescent="0.35">
      <c r="B98">
        <v>1</v>
      </c>
      <c r="C98">
        <v>1353</v>
      </c>
      <c r="D98">
        <v>0</v>
      </c>
      <c r="E98">
        <v>0</v>
      </c>
      <c r="F98">
        <v>0</v>
      </c>
      <c r="G98">
        <v>0</v>
      </c>
      <c r="H98">
        <v>0</v>
      </c>
      <c r="I98">
        <v>0</v>
      </c>
      <c r="J98" t="s">
        <v>714</v>
      </c>
      <c r="M98">
        <v>50</v>
      </c>
      <c r="Q98">
        <v>85</v>
      </c>
      <c r="S98">
        <v>57</v>
      </c>
      <c r="T98">
        <v>0</v>
      </c>
      <c r="U98">
        <v>0</v>
      </c>
      <c r="W98">
        <v>0</v>
      </c>
      <c r="Y98" t="s">
        <v>1042</v>
      </c>
      <c r="Z98" t="s">
        <v>1042</v>
      </c>
      <c r="AA98" t="s">
        <v>1042</v>
      </c>
      <c r="AB98" t="s">
        <v>1042</v>
      </c>
      <c r="AC98" t="s">
        <v>1042</v>
      </c>
      <c r="AD98" t="s">
        <v>1042</v>
      </c>
      <c r="AE98">
        <v>0</v>
      </c>
      <c r="AG98">
        <v>0</v>
      </c>
      <c r="AH98">
        <v>0</v>
      </c>
      <c r="AI98">
        <v>0</v>
      </c>
      <c r="AJ98">
        <v>0</v>
      </c>
      <c r="AK98" t="s">
        <v>1043</v>
      </c>
      <c r="AM98">
        <v>220</v>
      </c>
      <c r="AO98" t="s">
        <v>1044</v>
      </c>
      <c r="AP98">
        <v>0</v>
      </c>
      <c r="AR98" t="s">
        <v>1047</v>
      </c>
      <c r="AV98">
        <v>0</v>
      </c>
      <c r="AW98">
        <v>0</v>
      </c>
      <c r="AX98">
        <v>0</v>
      </c>
      <c r="AY98">
        <v>0</v>
      </c>
      <c r="AZ98">
        <v>0</v>
      </c>
      <c r="BA98">
        <v>0</v>
      </c>
      <c r="BB98">
        <v>0</v>
      </c>
      <c r="BC98" t="s">
        <v>1043</v>
      </c>
      <c r="BD98">
        <v>0</v>
      </c>
      <c r="BE98">
        <v>0</v>
      </c>
      <c r="BJ98" t="s">
        <v>1044</v>
      </c>
      <c r="BM98">
        <v>0</v>
      </c>
      <c r="BN98">
        <v>0</v>
      </c>
      <c r="BO98">
        <v>0</v>
      </c>
      <c r="BP98">
        <v>0</v>
      </c>
      <c r="BQ98">
        <v>0</v>
      </c>
      <c r="BR98">
        <v>0</v>
      </c>
      <c r="BS98">
        <v>0</v>
      </c>
      <c r="BU98">
        <v>0.2</v>
      </c>
      <c r="BV98">
        <v>0.06</v>
      </c>
      <c r="BW98">
        <v>0.2</v>
      </c>
      <c r="BX98">
        <v>0.23</v>
      </c>
      <c r="BY98">
        <v>0.26</v>
      </c>
      <c r="BZ98">
        <v>0.31</v>
      </c>
      <c r="CA98">
        <v>80</v>
      </c>
      <c r="CQ98" t="s">
        <v>2031</v>
      </c>
      <c r="CR98">
        <v>0</v>
      </c>
      <c r="CS98">
        <v>0</v>
      </c>
      <c r="CT98">
        <v>0</v>
      </c>
      <c r="CU98">
        <v>0</v>
      </c>
      <c r="CW98" t="s">
        <v>1043</v>
      </c>
      <c r="CX98">
        <v>0</v>
      </c>
      <c r="CY98">
        <v>0</v>
      </c>
      <c r="CZ98">
        <v>0</v>
      </c>
      <c r="DA98">
        <v>0</v>
      </c>
      <c r="DB98">
        <v>0</v>
      </c>
      <c r="DD98">
        <v>0</v>
      </c>
      <c r="DK98">
        <v>0</v>
      </c>
      <c r="DL98">
        <v>0</v>
      </c>
      <c r="DM98">
        <v>0</v>
      </c>
      <c r="DN98">
        <v>0</v>
      </c>
      <c r="DO98">
        <v>0</v>
      </c>
      <c r="DP98">
        <v>0</v>
      </c>
      <c r="DQ98">
        <v>0</v>
      </c>
      <c r="DR98">
        <v>0</v>
      </c>
      <c r="DS98" t="s">
        <v>1043</v>
      </c>
      <c r="DT98" t="s">
        <v>1044</v>
      </c>
      <c r="DU98" t="s">
        <v>1044</v>
      </c>
      <c r="DW98" t="s">
        <v>1042</v>
      </c>
      <c r="DX98">
        <v>0</v>
      </c>
      <c r="DY98" t="s">
        <v>1043</v>
      </c>
      <c r="DZ98">
        <v>0</v>
      </c>
      <c r="EA98">
        <v>0</v>
      </c>
      <c r="EC98">
        <v>0</v>
      </c>
      <c r="EM98">
        <v>0</v>
      </c>
      <c r="EN98">
        <v>0</v>
      </c>
      <c r="EO98">
        <v>0</v>
      </c>
      <c r="EP98" t="s">
        <v>1043</v>
      </c>
      <c r="EX98" t="s">
        <v>2030</v>
      </c>
      <c r="EY98">
        <v>0</v>
      </c>
      <c r="EZ98">
        <v>0</v>
      </c>
      <c r="FA98">
        <v>0</v>
      </c>
      <c r="FB98">
        <v>1</v>
      </c>
      <c r="FC98" t="s">
        <v>1</v>
      </c>
      <c r="FD98" t="s">
        <v>2029</v>
      </c>
      <c r="FE98" t="s">
        <v>1045</v>
      </c>
      <c r="FF98">
        <v>0</v>
      </c>
      <c r="FG98">
        <v>0</v>
      </c>
      <c r="FH98" t="s">
        <v>1045</v>
      </c>
      <c r="FI98" t="s">
        <v>1045</v>
      </c>
      <c r="FJ98" t="s">
        <v>1043</v>
      </c>
      <c r="FR98">
        <v>0</v>
      </c>
      <c r="FS98">
        <v>0</v>
      </c>
      <c r="GA98" t="s">
        <v>1044</v>
      </c>
      <c r="GB98" t="s">
        <v>1044</v>
      </c>
      <c r="GC98" t="s">
        <v>1045</v>
      </c>
      <c r="GD98">
        <v>0</v>
      </c>
      <c r="GH98" t="s">
        <v>1045</v>
      </c>
      <c r="GI98" t="s">
        <v>2028</v>
      </c>
      <c r="GL98">
        <v>0</v>
      </c>
      <c r="GM98">
        <v>0</v>
      </c>
      <c r="GN98">
        <v>0</v>
      </c>
      <c r="GP98" t="s">
        <v>1042</v>
      </c>
      <c r="GQ98" t="s">
        <v>2027</v>
      </c>
      <c r="GS98" t="s">
        <v>1045</v>
      </c>
      <c r="GU98">
        <v>1</v>
      </c>
      <c r="GV98" t="s">
        <v>1045</v>
      </c>
      <c r="GW98" t="s">
        <v>2026</v>
      </c>
      <c r="GZ98" t="s">
        <v>2025</v>
      </c>
      <c r="HH98">
        <v>0</v>
      </c>
      <c r="HI98">
        <v>0</v>
      </c>
      <c r="HK98" t="s">
        <v>1045</v>
      </c>
      <c r="HL98" t="s">
        <v>1045</v>
      </c>
      <c r="HP98">
        <v>0</v>
      </c>
      <c r="HZ98">
        <v>0</v>
      </c>
      <c r="IB98">
        <v>0</v>
      </c>
      <c r="IC98">
        <v>0</v>
      </c>
      <c r="IG98" t="s">
        <v>1042</v>
      </c>
      <c r="IJ98" t="s">
        <v>1042</v>
      </c>
      <c r="IM98">
        <v>0</v>
      </c>
      <c r="IN98" t="s">
        <v>2024</v>
      </c>
      <c r="IQ98" t="s">
        <v>1045</v>
      </c>
    </row>
    <row r="99" spans="2:251" x14ac:dyDescent="0.35">
      <c r="B99">
        <v>1</v>
      </c>
      <c r="C99">
        <v>1354</v>
      </c>
      <c r="D99">
        <v>0</v>
      </c>
      <c r="E99">
        <v>0</v>
      </c>
      <c r="F99">
        <v>0</v>
      </c>
      <c r="G99">
        <v>0</v>
      </c>
      <c r="H99">
        <v>0</v>
      </c>
      <c r="I99">
        <v>0</v>
      </c>
      <c r="J99" t="s">
        <v>715</v>
      </c>
      <c r="M99">
        <v>27.2</v>
      </c>
      <c r="Q99">
        <v>50</v>
      </c>
      <c r="S99">
        <v>27.2</v>
      </c>
      <c r="T99">
        <v>0</v>
      </c>
      <c r="U99">
        <v>0</v>
      </c>
      <c r="W99">
        <v>0</v>
      </c>
      <c r="Y99" t="s">
        <v>1042</v>
      </c>
      <c r="Z99" t="s">
        <v>1042</v>
      </c>
      <c r="AA99" t="s">
        <v>1042</v>
      </c>
      <c r="AB99" t="s">
        <v>1042</v>
      </c>
      <c r="AC99" t="s">
        <v>1042</v>
      </c>
      <c r="AD99" t="s">
        <v>1042</v>
      </c>
      <c r="AE99">
        <v>0</v>
      </c>
      <c r="AG99">
        <v>0</v>
      </c>
      <c r="AH99">
        <v>0</v>
      </c>
      <c r="AI99">
        <v>0</v>
      </c>
      <c r="AJ99">
        <v>0</v>
      </c>
      <c r="AK99" t="s">
        <v>1043</v>
      </c>
      <c r="AM99">
        <v>220</v>
      </c>
      <c r="AO99" t="s">
        <v>1044</v>
      </c>
      <c r="AP99">
        <v>0</v>
      </c>
      <c r="AR99" t="s">
        <v>1047</v>
      </c>
      <c r="AV99">
        <v>0</v>
      </c>
      <c r="AW99">
        <v>0</v>
      </c>
      <c r="AX99">
        <v>0</v>
      </c>
      <c r="AY99">
        <v>0</v>
      </c>
      <c r="AZ99">
        <v>0</v>
      </c>
      <c r="BA99">
        <v>0</v>
      </c>
      <c r="BB99">
        <v>0</v>
      </c>
      <c r="BC99" t="s">
        <v>1043</v>
      </c>
      <c r="BD99">
        <v>0</v>
      </c>
      <c r="BE99">
        <v>0</v>
      </c>
      <c r="BJ99" t="s">
        <v>1044</v>
      </c>
      <c r="BM99">
        <v>0</v>
      </c>
      <c r="BN99">
        <v>0</v>
      </c>
      <c r="BO99">
        <v>0</v>
      </c>
      <c r="BP99">
        <v>0</v>
      </c>
      <c r="BQ99">
        <v>0</v>
      </c>
      <c r="BR99">
        <v>0</v>
      </c>
      <c r="BS99">
        <v>0</v>
      </c>
      <c r="BU99">
        <v>0.11</v>
      </c>
      <c r="BV99">
        <v>0.03</v>
      </c>
      <c r="BW99">
        <v>0.13</v>
      </c>
      <c r="BX99">
        <v>0.255</v>
      </c>
      <c r="BY99">
        <v>0.255</v>
      </c>
      <c r="BZ99">
        <v>0.33</v>
      </c>
      <c r="CA99">
        <v>900</v>
      </c>
      <c r="CQ99" t="s">
        <v>2031</v>
      </c>
      <c r="CR99">
        <v>0</v>
      </c>
      <c r="CS99">
        <v>0</v>
      </c>
      <c r="CT99">
        <v>0</v>
      </c>
      <c r="CU99">
        <v>0</v>
      </c>
      <c r="CW99" t="s">
        <v>1043</v>
      </c>
      <c r="CX99">
        <v>0</v>
      </c>
      <c r="CY99">
        <v>0</v>
      </c>
      <c r="CZ99">
        <v>0</v>
      </c>
      <c r="DA99">
        <v>0</v>
      </c>
      <c r="DB99">
        <v>0</v>
      </c>
      <c r="DD99">
        <v>0</v>
      </c>
      <c r="DK99">
        <v>0</v>
      </c>
      <c r="DL99">
        <v>0</v>
      </c>
      <c r="DM99">
        <v>0</v>
      </c>
      <c r="DN99">
        <v>0</v>
      </c>
      <c r="DO99">
        <v>0</v>
      </c>
      <c r="DP99">
        <v>0</v>
      </c>
      <c r="DQ99">
        <v>0</v>
      </c>
      <c r="DR99">
        <v>0</v>
      </c>
      <c r="DS99" t="s">
        <v>1043</v>
      </c>
      <c r="DT99" t="s">
        <v>1044</v>
      </c>
      <c r="DU99" t="s">
        <v>1044</v>
      </c>
      <c r="DW99" t="s">
        <v>1042</v>
      </c>
      <c r="DX99">
        <v>0</v>
      </c>
      <c r="DY99" t="s">
        <v>1043</v>
      </c>
      <c r="DZ99">
        <v>0</v>
      </c>
      <c r="EA99">
        <v>0</v>
      </c>
      <c r="EC99">
        <v>0</v>
      </c>
      <c r="EM99">
        <v>0</v>
      </c>
      <c r="EN99">
        <v>0</v>
      </c>
      <c r="EO99">
        <v>0</v>
      </c>
      <c r="EP99" t="s">
        <v>1043</v>
      </c>
      <c r="EX99" t="s">
        <v>2030</v>
      </c>
      <c r="EY99">
        <v>0</v>
      </c>
      <c r="EZ99">
        <v>0</v>
      </c>
      <c r="FA99">
        <v>0</v>
      </c>
      <c r="FB99">
        <v>1</v>
      </c>
      <c r="FC99" t="s">
        <v>1</v>
      </c>
      <c r="FD99" t="s">
        <v>2029</v>
      </c>
      <c r="FE99" t="s">
        <v>1045</v>
      </c>
      <c r="FF99">
        <v>0</v>
      </c>
      <c r="FG99">
        <v>0</v>
      </c>
      <c r="FH99" t="s">
        <v>1045</v>
      </c>
      <c r="FI99" t="s">
        <v>1045</v>
      </c>
      <c r="FJ99" t="s">
        <v>1043</v>
      </c>
      <c r="FR99">
        <v>0</v>
      </c>
      <c r="FS99">
        <v>0</v>
      </c>
      <c r="GA99" t="s">
        <v>1044</v>
      </c>
      <c r="GB99" t="s">
        <v>1044</v>
      </c>
      <c r="GC99" t="s">
        <v>1045</v>
      </c>
      <c r="GD99">
        <v>0</v>
      </c>
      <c r="GH99" t="s">
        <v>1045</v>
      </c>
      <c r="GI99" t="s">
        <v>2028</v>
      </c>
      <c r="GL99">
        <v>0</v>
      </c>
      <c r="GM99">
        <v>0</v>
      </c>
      <c r="GN99">
        <v>0</v>
      </c>
      <c r="GP99" t="s">
        <v>1042</v>
      </c>
      <c r="GQ99" t="s">
        <v>2027</v>
      </c>
      <c r="GS99" t="s">
        <v>1045</v>
      </c>
      <c r="GU99">
        <v>1</v>
      </c>
      <c r="GV99" t="s">
        <v>1045</v>
      </c>
      <c r="GW99" t="s">
        <v>2026</v>
      </c>
      <c r="GZ99" t="s">
        <v>2025</v>
      </c>
      <c r="HH99">
        <v>0</v>
      </c>
      <c r="HI99">
        <v>0</v>
      </c>
      <c r="HK99" t="s">
        <v>1045</v>
      </c>
      <c r="HL99" t="s">
        <v>1045</v>
      </c>
      <c r="HP99">
        <v>0</v>
      </c>
      <c r="HZ99">
        <v>0</v>
      </c>
      <c r="IB99">
        <v>0</v>
      </c>
      <c r="IC99">
        <v>0</v>
      </c>
      <c r="IG99" t="s">
        <v>1042</v>
      </c>
      <c r="IJ99" t="s">
        <v>1042</v>
      </c>
      <c r="IM99">
        <v>0</v>
      </c>
      <c r="IN99" t="s">
        <v>2024</v>
      </c>
      <c r="IQ99" t="s">
        <v>1045</v>
      </c>
    </row>
    <row r="100" spans="2:251" x14ac:dyDescent="0.35">
      <c r="B100">
        <v>1</v>
      </c>
      <c r="C100">
        <v>1355</v>
      </c>
      <c r="D100">
        <v>0</v>
      </c>
      <c r="E100">
        <v>0</v>
      </c>
      <c r="F100">
        <v>0</v>
      </c>
      <c r="G100">
        <v>0</v>
      </c>
      <c r="H100">
        <v>0</v>
      </c>
      <c r="I100">
        <v>0</v>
      </c>
      <c r="J100" t="s">
        <v>716</v>
      </c>
      <c r="M100">
        <v>33.6</v>
      </c>
      <c r="Q100">
        <v>5.5</v>
      </c>
      <c r="S100">
        <v>33.6</v>
      </c>
      <c r="T100">
        <v>0</v>
      </c>
      <c r="U100">
        <v>0</v>
      </c>
      <c r="W100">
        <v>0</v>
      </c>
      <c r="Y100" t="s">
        <v>1042</v>
      </c>
      <c r="Z100" t="s">
        <v>1042</v>
      </c>
      <c r="AA100" t="s">
        <v>1042</v>
      </c>
      <c r="AB100" t="s">
        <v>1042</v>
      </c>
      <c r="AC100" t="s">
        <v>1042</v>
      </c>
      <c r="AD100" t="s">
        <v>1042</v>
      </c>
      <c r="AE100">
        <v>0</v>
      </c>
      <c r="AG100">
        <v>0</v>
      </c>
      <c r="AH100">
        <v>0</v>
      </c>
      <c r="AI100">
        <v>0</v>
      </c>
      <c r="AJ100">
        <v>0</v>
      </c>
      <c r="AK100" t="s">
        <v>1043</v>
      </c>
      <c r="AM100">
        <v>220</v>
      </c>
      <c r="AO100" t="s">
        <v>1044</v>
      </c>
      <c r="AP100">
        <v>0</v>
      </c>
      <c r="AR100" t="s">
        <v>1047</v>
      </c>
      <c r="AV100">
        <v>0</v>
      </c>
      <c r="AW100">
        <v>0</v>
      </c>
      <c r="AX100">
        <v>0</v>
      </c>
      <c r="AY100">
        <v>0</v>
      </c>
      <c r="AZ100">
        <v>0</v>
      </c>
      <c r="BA100">
        <v>0</v>
      </c>
      <c r="BB100">
        <v>0</v>
      </c>
      <c r="BC100" t="s">
        <v>1043</v>
      </c>
      <c r="BD100">
        <v>0</v>
      </c>
      <c r="BE100">
        <v>0</v>
      </c>
      <c r="BJ100" t="s">
        <v>1044</v>
      </c>
      <c r="BM100">
        <v>0</v>
      </c>
      <c r="BN100">
        <v>0</v>
      </c>
      <c r="BO100">
        <v>0</v>
      </c>
      <c r="BP100">
        <v>0</v>
      </c>
      <c r="BQ100">
        <v>0</v>
      </c>
      <c r="BR100">
        <v>0</v>
      </c>
      <c r="BS100">
        <v>0</v>
      </c>
      <c r="BU100">
        <v>0.14000000000000001</v>
      </c>
      <c r="BV100">
        <v>3.4000000000000002E-2</v>
      </c>
      <c r="BW100">
        <v>0.155</v>
      </c>
      <c r="BX100">
        <v>0.255</v>
      </c>
      <c r="BY100">
        <v>0.255</v>
      </c>
      <c r="BZ100">
        <v>0.33</v>
      </c>
      <c r="CA100">
        <v>640</v>
      </c>
      <c r="CQ100" t="s">
        <v>2031</v>
      </c>
      <c r="CR100">
        <v>0</v>
      </c>
      <c r="CS100">
        <v>0</v>
      </c>
      <c r="CT100">
        <v>0</v>
      </c>
      <c r="CU100">
        <v>0</v>
      </c>
      <c r="CW100" t="s">
        <v>1043</v>
      </c>
      <c r="CX100">
        <v>0</v>
      </c>
      <c r="CY100">
        <v>0</v>
      </c>
      <c r="CZ100">
        <v>0</v>
      </c>
      <c r="DA100">
        <v>0</v>
      </c>
      <c r="DB100">
        <v>0</v>
      </c>
      <c r="DD100">
        <v>0</v>
      </c>
      <c r="DK100">
        <v>0</v>
      </c>
      <c r="DL100">
        <v>0</v>
      </c>
      <c r="DM100">
        <v>0</v>
      </c>
      <c r="DN100">
        <v>0</v>
      </c>
      <c r="DO100">
        <v>0</v>
      </c>
      <c r="DP100">
        <v>0</v>
      </c>
      <c r="DQ100">
        <v>0</v>
      </c>
      <c r="DR100">
        <v>0</v>
      </c>
      <c r="DS100" t="s">
        <v>1043</v>
      </c>
      <c r="DT100" t="s">
        <v>1044</v>
      </c>
      <c r="DU100" t="s">
        <v>1044</v>
      </c>
      <c r="DW100" t="s">
        <v>1042</v>
      </c>
      <c r="DX100">
        <v>0</v>
      </c>
      <c r="DY100" t="s">
        <v>1043</v>
      </c>
      <c r="DZ100">
        <v>0</v>
      </c>
      <c r="EA100">
        <v>0</v>
      </c>
      <c r="EC100">
        <v>0</v>
      </c>
      <c r="EM100">
        <v>0</v>
      </c>
      <c r="EN100">
        <v>0</v>
      </c>
      <c r="EO100">
        <v>0</v>
      </c>
      <c r="EP100" t="s">
        <v>1043</v>
      </c>
      <c r="EX100" t="s">
        <v>2030</v>
      </c>
      <c r="EY100">
        <v>0</v>
      </c>
      <c r="EZ100">
        <v>0</v>
      </c>
      <c r="FA100">
        <v>0</v>
      </c>
      <c r="FB100">
        <v>1</v>
      </c>
      <c r="FC100" t="s">
        <v>1</v>
      </c>
      <c r="FD100" t="s">
        <v>2029</v>
      </c>
      <c r="FE100" t="s">
        <v>1045</v>
      </c>
      <c r="FF100">
        <v>0</v>
      </c>
      <c r="FG100">
        <v>0</v>
      </c>
      <c r="FH100" t="s">
        <v>1045</v>
      </c>
      <c r="FI100" t="s">
        <v>1045</v>
      </c>
      <c r="FJ100" t="s">
        <v>1043</v>
      </c>
      <c r="FR100">
        <v>0</v>
      </c>
      <c r="FS100">
        <v>0</v>
      </c>
      <c r="GA100" t="s">
        <v>1044</v>
      </c>
      <c r="GB100" t="s">
        <v>1044</v>
      </c>
      <c r="GC100" t="s">
        <v>1045</v>
      </c>
      <c r="GD100">
        <v>0</v>
      </c>
      <c r="GH100" t="s">
        <v>1045</v>
      </c>
      <c r="GI100" t="s">
        <v>2028</v>
      </c>
      <c r="GL100">
        <v>0</v>
      </c>
      <c r="GM100">
        <v>0</v>
      </c>
      <c r="GN100">
        <v>0</v>
      </c>
      <c r="GP100" t="s">
        <v>1042</v>
      </c>
      <c r="GQ100" t="s">
        <v>2027</v>
      </c>
      <c r="GS100" t="s">
        <v>1045</v>
      </c>
      <c r="GU100">
        <v>1</v>
      </c>
      <c r="GV100" t="s">
        <v>1045</v>
      </c>
      <c r="GW100" t="s">
        <v>2026</v>
      </c>
      <c r="GZ100" t="s">
        <v>2025</v>
      </c>
      <c r="HH100">
        <v>0</v>
      </c>
      <c r="HI100">
        <v>0</v>
      </c>
      <c r="HK100" t="s">
        <v>1045</v>
      </c>
      <c r="HL100" t="s">
        <v>1045</v>
      </c>
      <c r="HP100">
        <v>0</v>
      </c>
      <c r="HZ100">
        <v>0</v>
      </c>
      <c r="IB100">
        <v>0</v>
      </c>
      <c r="IC100">
        <v>0</v>
      </c>
      <c r="IG100" t="s">
        <v>1042</v>
      </c>
      <c r="IJ100" t="s">
        <v>1042</v>
      </c>
      <c r="IM100">
        <v>0</v>
      </c>
      <c r="IN100" t="s">
        <v>2024</v>
      </c>
      <c r="IQ100" t="s">
        <v>1045</v>
      </c>
    </row>
    <row r="101" spans="2:251" x14ac:dyDescent="0.35">
      <c r="B101">
        <v>1</v>
      </c>
      <c r="C101">
        <v>1356</v>
      </c>
      <c r="D101">
        <v>0</v>
      </c>
      <c r="E101">
        <v>0</v>
      </c>
      <c r="F101">
        <v>0</v>
      </c>
      <c r="G101">
        <v>0</v>
      </c>
      <c r="H101">
        <v>0</v>
      </c>
      <c r="I101">
        <v>0</v>
      </c>
      <c r="J101" t="s">
        <v>717</v>
      </c>
      <c r="M101">
        <v>40</v>
      </c>
      <c r="Q101">
        <v>60</v>
      </c>
      <c r="S101">
        <v>40</v>
      </c>
      <c r="T101">
        <v>0</v>
      </c>
      <c r="U101">
        <v>0</v>
      </c>
      <c r="W101">
        <v>0</v>
      </c>
      <c r="Y101" t="s">
        <v>1042</v>
      </c>
      <c r="Z101" t="s">
        <v>1042</v>
      </c>
      <c r="AA101" t="s">
        <v>1042</v>
      </c>
      <c r="AB101" t="s">
        <v>1042</v>
      </c>
      <c r="AC101" t="s">
        <v>1042</v>
      </c>
      <c r="AD101" t="s">
        <v>1042</v>
      </c>
      <c r="AE101">
        <v>0</v>
      </c>
      <c r="AG101">
        <v>0</v>
      </c>
      <c r="AH101">
        <v>0</v>
      </c>
      <c r="AI101">
        <v>0</v>
      </c>
      <c r="AJ101">
        <v>0</v>
      </c>
      <c r="AK101" t="s">
        <v>1043</v>
      </c>
      <c r="AM101">
        <v>220</v>
      </c>
      <c r="AO101" t="s">
        <v>1044</v>
      </c>
      <c r="AP101">
        <v>0</v>
      </c>
      <c r="AR101" t="s">
        <v>1047</v>
      </c>
      <c r="AV101">
        <v>0</v>
      </c>
      <c r="AW101">
        <v>0</v>
      </c>
      <c r="AX101">
        <v>0</v>
      </c>
      <c r="AY101">
        <v>0</v>
      </c>
      <c r="AZ101">
        <v>0</v>
      </c>
      <c r="BA101">
        <v>0</v>
      </c>
      <c r="BB101">
        <v>0</v>
      </c>
      <c r="BC101" t="s">
        <v>1043</v>
      </c>
      <c r="BD101">
        <v>0</v>
      </c>
      <c r="BE101">
        <v>0</v>
      </c>
      <c r="BJ101" t="s">
        <v>1044</v>
      </c>
      <c r="BM101">
        <v>0</v>
      </c>
      <c r="BN101">
        <v>0</v>
      </c>
      <c r="BO101">
        <v>0</v>
      </c>
      <c r="BP101">
        <v>0</v>
      </c>
      <c r="BQ101">
        <v>0</v>
      </c>
      <c r="BR101">
        <v>0</v>
      </c>
      <c r="BS101">
        <v>0</v>
      </c>
      <c r="BU101">
        <v>0.19</v>
      </c>
      <c r="BV101">
        <v>4.2999999999999997E-2</v>
      </c>
      <c r="BW101">
        <v>0.14000000000000001</v>
      </c>
      <c r="BX101">
        <v>0.255</v>
      </c>
      <c r="BY101">
        <v>0.255</v>
      </c>
      <c r="BZ101">
        <v>0.33</v>
      </c>
      <c r="CA101">
        <v>480</v>
      </c>
      <c r="CQ101" t="s">
        <v>2031</v>
      </c>
      <c r="CR101">
        <v>0</v>
      </c>
      <c r="CS101">
        <v>0</v>
      </c>
      <c r="CT101">
        <v>0</v>
      </c>
      <c r="CU101">
        <v>0</v>
      </c>
      <c r="CW101" t="s">
        <v>1043</v>
      </c>
      <c r="CX101">
        <v>0</v>
      </c>
      <c r="CY101">
        <v>0</v>
      </c>
      <c r="CZ101">
        <v>0</v>
      </c>
      <c r="DA101">
        <v>0</v>
      </c>
      <c r="DB101">
        <v>0</v>
      </c>
      <c r="DD101">
        <v>0</v>
      </c>
      <c r="DK101">
        <v>0</v>
      </c>
      <c r="DL101">
        <v>0</v>
      </c>
      <c r="DM101">
        <v>0</v>
      </c>
      <c r="DN101">
        <v>0</v>
      </c>
      <c r="DO101">
        <v>0</v>
      </c>
      <c r="DP101">
        <v>0</v>
      </c>
      <c r="DQ101">
        <v>0</v>
      </c>
      <c r="DR101">
        <v>0</v>
      </c>
      <c r="DS101" t="s">
        <v>1043</v>
      </c>
      <c r="DT101" t="s">
        <v>1044</v>
      </c>
      <c r="DU101" t="s">
        <v>1044</v>
      </c>
      <c r="DW101" t="s">
        <v>1042</v>
      </c>
      <c r="DX101">
        <v>0</v>
      </c>
      <c r="DY101" t="s">
        <v>1043</v>
      </c>
      <c r="DZ101">
        <v>0</v>
      </c>
      <c r="EA101">
        <v>0</v>
      </c>
      <c r="EC101">
        <v>0</v>
      </c>
      <c r="EM101">
        <v>0</v>
      </c>
      <c r="EN101">
        <v>0</v>
      </c>
      <c r="EO101">
        <v>0</v>
      </c>
      <c r="EP101" t="s">
        <v>1043</v>
      </c>
      <c r="EX101" t="s">
        <v>2030</v>
      </c>
      <c r="EY101">
        <v>0</v>
      </c>
      <c r="EZ101">
        <v>0</v>
      </c>
      <c r="FA101">
        <v>0</v>
      </c>
      <c r="FB101">
        <v>1</v>
      </c>
      <c r="FC101" t="s">
        <v>1</v>
      </c>
      <c r="FD101" t="s">
        <v>2029</v>
      </c>
      <c r="FE101" t="s">
        <v>1045</v>
      </c>
      <c r="FF101">
        <v>0</v>
      </c>
      <c r="FG101">
        <v>0</v>
      </c>
      <c r="FH101" t="s">
        <v>1045</v>
      </c>
      <c r="FI101" t="s">
        <v>1045</v>
      </c>
      <c r="FJ101" t="s">
        <v>1043</v>
      </c>
      <c r="FR101">
        <v>0</v>
      </c>
      <c r="FS101">
        <v>0</v>
      </c>
      <c r="GA101" t="s">
        <v>1044</v>
      </c>
      <c r="GB101" t="s">
        <v>1044</v>
      </c>
      <c r="GC101" t="s">
        <v>1045</v>
      </c>
      <c r="GD101">
        <v>0</v>
      </c>
      <c r="GH101" t="s">
        <v>1045</v>
      </c>
      <c r="GI101" t="s">
        <v>2028</v>
      </c>
      <c r="GL101">
        <v>0</v>
      </c>
      <c r="GM101">
        <v>0</v>
      </c>
      <c r="GN101">
        <v>0</v>
      </c>
      <c r="GP101" t="s">
        <v>1042</v>
      </c>
      <c r="GQ101" t="s">
        <v>2027</v>
      </c>
      <c r="GS101" t="s">
        <v>1045</v>
      </c>
      <c r="GU101">
        <v>1</v>
      </c>
      <c r="GV101" t="s">
        <v>1045</v>
      </c>
      <c r="GW101" t="s">
        <v>2026</v>
      </c>
      <c r="GZ101" t="s">
        <v>2025</v>
      </c>
      <c r="HH101">
        <v>0</v>
      </c>
      <c r="HI101">
        <v>0</v>
      </c>
      <c r="HK101" t="s">
        <v>1045</v>
      </c>
      <c r="HL101" t="s">
        <v>1045</v>
      </c>
      <c r="HP101">
        <v>0</v>
      </c>
      <c r="HZ101">
        <v>0</v>
      </c>
      <c r="IB101">
        <v>0</v>
      </c>
      <c r="IC101">
        <v>0</v>
      </c>
      <c r="IG101" t="s">
        <v>1042</v>
      </c>
      <c r="IJ101" t="s">
        <v>1042</v>
      </c>
      <c r="IM101">
        <v>0</v>
      </c>
      <c r="IN101" t="s">
        <v>2024</v>
      </c>
      <c r="IQ101" t="s">
        <v>1045</v>
      </c>
    </row>
    <row r="102" spans="2:251" x14ac:dyDescent="0.35">
      <c r="B102">
        <v>1</v>
      </c>
      <c r="C102">
        <v>1357</v>
      </c>
      <c r="D102">
        <v>0</v>
      </c>
      <c r="E102">
        <v>0</v>
      </c>
      <c r="F102">
        <v>0</v>
      </c>
      <c r="G102">
        <v>0</v>
      </c>
      <c r="H102">
        <v>0</v>
      </c>
      <c r="I102">
        <v>0</v>
      </c>
      <c r="J102" t="s">
        <v>718</v>
      </c>
      <c r="M102">
        <v>20</v>
      </c>
      <c r="Q102">
        <v>32</v>
      </c>
      <c r="S102">
        <v>20</v>
      </c>
      <c r="T102">
        <v>0</v>
      </c>
      <c r="U102">
        <v>0</v>
      </c>
      <c r="W102">
        <v>0</v>
      </c>
      <c r="Y102" t="s">
        <v>1042</v>
      </c>
      <c r="Z102" t="s">
        <v>1042</v>
      </c>
      <c r="AA102" t="s">
        <v>1042</v>
      </c>
      <c r="AB102" t="s">
        <v>1042</v>
      </c>
      <c r="AC102" t="s">
        <v>1042</v>
      </c>
      <c r="AD102" t="s">
        <v>1042</v>
      </c>
      <c r="AE102">
        <v>0</v>
      </c>
      <c r="AG102">
        <v>0</v>
      </c>
      <c r="AH102">
        <v>0</v>
      </c>
      <c r="AI102">
        <v>0</v>
      </c>
      <c r="AJ102">
        <v>0</v>
      </c>
      <c r="AK102" t="s">
        <v>1043</v>
      </c>
      <c r="AM102">
        <v>220</v>
      </c>
      <c r="AO102" t="s">
        <v>1044</v>
      </c>
      <c r="AP102">
        <v>0</v>
      </c>
      <c r="AR102" t="s">
        <v>1047</v>
      </c>
      <c r="AV102">
        <v>0</v>
      </c>
      <c r="AW102">
        <v>0</v>
      </c>
      <c r="AX102">
        <v>0</v>
      </c>
      <c r="AY102">
        <v>0</v>
      </c>
      <c r="AZ102">
        <v>0</v>
      </c>
      <c r="BA102">
        <v>0</v>
      </c>
      <c r="BB102">
        <v>0</v>
      </c>
      <c r="BC102" t="s">
        <v>1043</v>
      </c>
      <c r="BD102">
        <v>0</v>
      </c>
      <c r="BE102">
        <v>0</v>
      </c>
      <c r="BJ102" t="s">
        <v>1044</v>
      </c>
      <c r="BM102">
        <v>0</v>
      </c>
      <c r="BN102">
        <v>0</v>
      </c>
      <c r="BO102">
        <v>0</v>
      </c>
      <c r="BP102">
        <v>0</v>
      </c>
      <c r="BQ102">
        <v>0</v>
      </c>
      <c r="BR102">
        <v>0</v>
      </c>
      <c r="BS102">
        <v>0</v>
      </c>
      <c r="BU102">
        <v>7.4999999999999997E-2</v>
      </c>
      <c r="BV102">
        <v>2.1999999999999999E-2</v>
      </c>
      <c r="BW102">
        <v>0.11</v>
      </c>
      <c r="BX102">
        <v>0.76</v>
      </c>
      <c r="BY102">
        <v>0.2</v>
      </c>
      <c r="BZ102">
        <v>0.49</v>
      </c>
      <c r="CA102">
        <v>2500</v>
      </c>
      <c r="CQ102" t="s">
        <v>2031</v>
      </c>
      <c r="CR102">
        <v>0</v>
      </c>
      <c r="CS102">
        <v>0</v>
      </c>
      <c r="CT102">
        <v>0</v>
      </c>
      <c r="CU102">
        <v>0</v>
      </c>
      <c r="CW102" t="s">
        <v>1043</v>
      </c>
      <c r="CX102">
        <v>0</v>
      </c>
      <c r="CY102">
        <v>0</v>
      </c>
      <c r="CZ102">
        <v>0</v>
      </c>
      <c r="DA102">
        <v>0</v>
      </c>
      <c r="DB102">
        <v>0</v>
      </c>
      <c r="DD102">
        <v>0</v>
      </c>
      <c r="DK102">
        <v>0</v>
      </c>
      <c r="DL102">
        <v>0</v>
      </c>
      <c r="DM102">
        <v>0</v>
      </c>
      <c r="DN102">
        <v>0</v>
      </c>
      <c r="DO102">
        <v>0</v>
      </c>
      <c r="DP102">
        <v>0</v>
      </c>
      <c r="DQ102">
        <v>0</v>
      </c>
      <c r="DR102">
        <v>0</v>
      </c>
      <c r="DS102" t="s">
        <v>1043</v>
      </c>
      <c r="DT102" t="s">
        <v>1044</v>
      </c>
      <c r="DU102" t="s">
        <v>1044</v>
      </c>
      <c r="DW102" t="s">
        <v>1042</v>
      </c>
      <c r="DX102">
        <v>0</v>
      </c>
      <c r="DY102" t="s">
        <v>1043</v>
      </c>
      <c r="DZ102">
        <v>0</v>
      </c>
      <c r="EA102">
        <v>0</v>
      </c>
      <c r="EC102">
        <v>0</v>
      </c>
      <c r="EM102">
        <v>0</v>
      </c>
      <c r="EN102">
        <v>0</v>
      </c>
      <c r="EO102">
        <v>0</v>
      </c>
      <c r="EP102" t="s">
        <v>1043</v>
      </c>
      <c r="EX102" t="s">
        <v>2030</v>
      </c>
      <c r="EY102">
        <v>0</v>
      </c>
      <c r="EZ102">
        <v>0</v>
      </c>
      <c r="FA102">
        <v>0</v>
      </c>
      <c r="FB102">
        <v>1</v>
      </c>
      <c r="FC102" t="s">
        <v>1</v>
      </c>
      <c r="FD102" t="s">
        <v>2029</v>
      </c>
      <c r="FE102" t="s">
        <v>1045</v>
      </c>
      <c r="FF102">
        <v>0</v>
      </c>
      <c r="FG102">
        <v>0</v>
      </c>
      <c r="FH102" t="s">
        <v>1045</v>
      </c>
      <c r="FI102" t="s">
        <v>1045</v>
      </c>
      <c r="FJ102" t="s">
        <v>1043</v>
      </c>
      <c r="FR102">
        <v>0</v>
      </c>
      <c r="FS102">
        <v>0</v>
      </c>
      <c r="GA102" t="s">
        <v>1044</v>
      </c>
      <c r="GB102" t="s">
        <v>1044</v>
      </c>
      <c r="GC102" t="s">
        <v>1045</v>
      </c>
      <c r="GD102">
        <v>0</v>
      </c>
      <c r="GH102" t="s">
        <v>1045</v>
      </c>
      <c r="GI102" t="s">
        <v>2028</v>
      </c>
      <c r="GL102">
        <v>0</v>
      </c>
      <c r="GM102">
        <v>0</v>
      </c>
      <c r="GN102">
        <v>0</v>
      </c>
      <c r="GP102" t="s">
        <v>1042</v>
      </c>
      <c r="GQ102" t="s">
        <v>2027</v>
      </c>
      <c r="GS102" t="s">
        <v>1045</v>
      </c>
      <c r="GU102">
        <v>1</v>
      </c>
      <c r="GV102" t="s">
        <v>1045</v>
      </c>
      <c r="GW102" t="s">
        <v>2026</v>
      </c>
      <c r="GZ102" t="s">
        <v>2025</v>
      </c>
      <c r="HH102">
        <v>0</v>
      </c>
      <c r="HI102">
        <v>0</v>
      </c>
      <c r="HK102" t="s">
        <v>1045</v>
      </c>
      <c r="HL102" t="s">
        <v>1045</v>
      </c>
      <c r="HP102">
        <v>0</v>
      </c>
      <c r="HZ102">
        <v>0</v>
      </c>
      <c r="IB102">
        <v>0</v>
      </c>
      <c r="IC102">
        <v>0</v>
      </c>
      <c r="IG102" t="s">
        <v>1042</v>
      </c>
      <c r="IJ102" t="s">
        <v>1042</v>
      </c>
      <c r="IM102">
        <v>0</v>
      </c>
      <c r="IN102" t="s">
        <v>2024</v>
      </c>
      <c r="IQ102" t="s">
        <v>1045</v>
      </c>
    </row>
    <row r="103" spans="2:251" x14ac:dyDescent="0.35">
      <c r="B103">
        <v>1</v>
      </c>
      <c r="C103">
        <v>1358</v>
      </c>
      <c r="D103">
        <v>0</v>
      </c>
      <c r="E103">
        <v>0</v>
      </c>
      <c r="F103">
        <v>0</v>
      </c>
      <c r="G103">
        <v>0</v>
      </c>
      <c r="H103">
        <v>0</v>
      </c>
      <c r="I103">
        <v>0</v>
      </c>
      <c r="J103" t="s">
        <v>719</v>
      </c>
      <c r="M103">
        <v>27</v>
      </c>
      <c r="Q103">
        <v>41</v>
      </c>
      <c r="S103">
        <v>27</v>
      </c>
      <c r="T103">
        <v>0</v>
      </c>
      <c r="U103">
        <v>0</v>
      </c>
      <c r="W103">
        <v>0</v>
      </c>
      <c r="Y103" t="s">
        <v>1042</v>
      </c>
      <c r="Z103" t="s">
        <v>1042</v>
      </c>
      <c r="AA103" t="s">
        <v>1042</v>
      </c>
      <c r="AB103" t="s">
        <v>1042</v>
      </c>
      <c r="AC103" t="s">
        <v>1042</v>
      </c>
      <c r="AD103" t="s">
        <v>1042</v>
      </c>
      <c r="AE103">
        <v>0</v>
      </c>
      <c r="AG103">
        <v>0</v>
      </c>
      <c r="AH103">
        <v>0</v>
      </c>
      <c r="AI103">
        <v>0</v>
      </c>
      <c r="AJ103">
        <v>0</v>
      </c>
      <c r="AK103" t="s">
        <v>1043</v>
      </c>
      <c r="AM103">
        <v>220</v>
      </c>
      <c r="AO103" t="s">
        <v>1044</v>
      </c>
      <c r="AP103">
        <v>0</v>
      </c>
      <c r="AR103" t="s">
        <v>1047</v>
      </c>
      <c r="AV103">
        <v>0</v>
      </c>
      <c r="AW103">
        <v>0</v>
      </c>
      <c r="AX103">
        <v>0</v>
      </c>
      <c r="AY103">
        <v>0</v>
      </c>
      <c r="AZ103">
        <v>0</v>
      </c>
      <c r="BA103">
        <v>0</v>
      </c>
      <c r="BB103">
        <v>0</v>
      </c>
      <c r="BC103" t="s">
        <v>1043</v>
      </c>
      <c r="BD103">
        <v>0</v>
      </c>
      <c r="BE103">
        <v>0</v>
      </c>
      <c r="BJ103" t="s">
        <v>1044</v>
      </c>
      <c r="BM103">
        <v>0</v>
      </c>
      <c r="BN103">
        <v>0</v>
      </c>
      <c r="BO103">
        <v>0</v>
      </c>
      <c r="BP103">
        <v>0</v>
      </c>
      <c r="BQ103">
        <v>0</v>
      </c>
      <c r="BR103">
        <v>0</v>
      </c>
      <c r="BS103">
        <v>0</v>
      </c>
      <c r="BU103">
        <v>0.115</v>
      </c>
      <c r="BV103">
        <v>2.8000000000000001E-2</v>
      </c>
      <c r="BW103">
        <v>0.125</v>
      </c>
      <c r="BX103">
        <v>0.75</v>
      </c>
      <c r="BY103">
        <v>0.18</v>
      </c>
      <c r="BZ103">
        <v>0.5</v>
      </c>
      <c r="CA103">
        <v>1000</v>
      </c>
      <c r="CQ103" t="s">
        <v>2031</v>
      </c>
      <c r="CR103">
        <v>0</v>
      </c>
      <c r="CS103">
        <v>0</v>
      </c>
      <c r="CT103">
        <v>0</v>
      </c>
      <c r="CU103">
        <v>0</v>
      </c>
      <c r="CW103" t="s">
        <v>1043</v>
      </c>
      <c r="CX103">
        <v>0</v>
      </c>
      <c r="CY103">
        <v>0</v>
      </c>
      <c r="CZ103">
        <v>0</v>
      </c>
      <c r="DA103">
        <v>0</v>
      </c>
      <c r="DB103">
        <v>0</v>
      </c>
      <c r="DD103">
        <v>0</v>
      </c>
      <c r="DK103">
        <v>0</v>
      </c>
      <c r="DL103">
        <v>0</v>
      </c>
      <c r="DM103">
        <v>0</v>
      </c>
      <c r="DN103">
        <v>0</v>
      </c>
      <c r="DO103">
        <v>0</v>
      </c>
      <c r="DP103">
        <v>0</v>
      </c>
      <c r="DQ103">
        <v>0</v>
      </c>
      <c r="DR103">
        <v>0</v>
      </c>
      <c r="DS103" t="s">
        <v>1043</v>
      </c>
      <c r="DT103" t="s">
        <v>1044</v>
      </c>
      <c r="DU103" t="s">
        <v>1044</v>
      </c>
      <c r="DW103" t="s">
        <v>1042</v>
      </c>
      <c r="DX103">
        <v>0</v>
      </c>
      <c r="DY103" t="s">
        <v>1043</v>
      </c>
      <c r="DZ103">
        <v>0</v>
      </c>
      <c r="EA103">
        <v>0</v>
      </c>
      <c r="EC103">
        <v>0</v>
      </c>
      <c r="EM103">
        <v>0</v>
      </c>
      <c r="EN103">
        <v>0</v>
      </c>
      <c r="EO103">
        <v>0</v>
      </c>
      <c r="EP103" t="s">
        <v>1043</v>
      </c>
      <c r="EX103" t="s">
        <v>2030</v>
      </c>
      <c r="EY103">
        <v>0</v>
      </c>
      <c r="EZ103">
        <v>0</v>
      </c>
      <c r="FA103">
        <v>0</v>
      </c>
      <c r="FB103">
        <v>1</v>
      </c>
      <c r="FC103" t="s">
        <v>1</v>
      </c>
      <c r="FD103" t="s">
        <v>2029</v>
      </c>
      <c r="FE103" t="s">
        <v>1045</v>
      </c>
      <c r="FF103">
        <v>0</v>
      </c>
      <c r="FG103">
        <v>0</v>
      </c>
      <c r="FH103" t="s">
        <v>1045</v>
      </c>
      <c r="FI103" t="s">
        <v>1045</v>
      </c>
      <c r="FJ103" t="s">
        <v>1043</v>
      </c>
      <c r="FR103">
        <v>0</v>
      </c>
      <c r="FS103">
        <v>0</v>
      </c>
      <c r="GA103" t="s">
        <v>1044</v>
      </c>
      <c r="GB103" t="s">
        <v>1044</v>
      </c>
      <c r="GC103" t="s">
        <v>1045</v>
      </c>
      <c r="GD103">
        <v>0</v>
      </c>
      <c r="GH103" t="s">
        <v>1045</v>
      </c>
      <c r="GI103" t="s">
        <v>2028</v>
      </c>
      <c r="GL103">
        <v>0</v>
      </c>
      <c r="GM103">
        <v>0</v>
      </c>
      <c r="GN103">
        <v>0</v>
      </c>
      <c r="GP103" t="s">
        <v>1042</v>
      </c>
      <c r="GQ103" t="s">
        <v>2027</v>
      </c>
      <c r="GS103" t="s">
        <v>1045</v>
      </c>
      <c r="GU103">
        <v>1</v>
      </c>
      <c r="GV103" t="s">
        <v>1045</v>
      </c>
      <c r="GW103" t="s">
        <v>2026</v>
      </c>
      <c r="GZ103" t="s">
        <v>2025</v>
      </c>
      <c r="HH103">
        <v>0</v>
      </c>
      <c r="HI103">
        <v>0</v>
      </c>
      <c r="HK103" t="s">
        <v>1045</v>
      </c>
      <c r="HL103" t="s">
        <v>1045</v>
      </c>
      <c r="HP103">
        <v>0</v>
      </c>
      <c r="HZ103">
        <v>0</v>
      </c>
      <c r="IB103">
        <v>0</v>
      </c>
      <c r="IC103">
        <v>0</v>
      </c>
      <c r="IG103" t="s">
        <v>1042</v>
      </c>
      <c r="IJ103" t="s">
        <v>1042</v>
      </c>
      <c r="IM103">
        <v>0</v>
      </c>
      <c r="IN103" t="s">
        <v>2024</v>
      </c>
      <c r="IQ103" t="s">
        <v>1045</v>
      </c>
    </row>
    <row r="104" spans="2:251" x14ac:dyDescent="0.35">
      <c r="B104">
        <v>1</v>
      </c>
      <c r="C104">
        <v>1359</v>
      </c>
      <c r="D104">
        <v>0</v>
      </c>
      <c r="E104">
        <v>0</v>
      </c>
      <c r="F104">
        <v>0</v>
      </c>
      <c r="G104">
        <v>0</v>
      </c>
      <c r="H104">
        <v>0</v>
      </c>
      <c r="I104">
        <v>0</v>
      </c>
      <c r="J104" t="s">
        <v>720</v>
      </c>
      <c r="M104">
        <v>34</v>
      </c>
      <c r="Q104">
        <v>52</v>
      </c>
      <c r="S104">
        <v>34</v>
      </c>
      <c r="T104">
        <v>0</v>
      </c>
      <c r="U104">
        <v>0</v>
      </c>
      <c r="W104">
        <v>0</v>
      </c>
      <c r="Y104" t="s">
        <v>1042</v>
      </c>
      <c r="Z104" t="s">
        <v>1042</v>
      </c>
      <c r="AA104" t="s">
        <v>1042</v>
      </c>
      <c r="AB104" t="s">
        <v>1042</v>
      </c>
      <c r="AC104" t="s">
        <v>1042</v>
      </c>
      <c r="AD104" t="s">
        <v>1042</v>
      </c>
      <c r="AE104">
        <v>0</v>
      </c>
      <c r="AG104">
        <v>0</v>
      </c>
      <c r="AH104">
        <v>0</v>
      </c>
      <c r="AI104">
        <v>0</v>
      </c>
      <c r="AJ104">
        <v>0</v>
      </c>
      <c r="AK104" t="s">
        <v>1043</v>
      </c>
      <c r="AM104">
        <v>220</v>
      </c>
      <c r="AO104" t="s">
        <v>1044</v>
      </c>
      <c r="AP104">
        <v>0</v>
      </c>
      <c r="AR104" t="s">
        <v>1047</v>
      </c>
      <c r="AV104">
        <v>0</v>
      </c>
      <c r="AW104">
        <v>0</v>
      </c>
      <c r="AX104">
        <v>0</v>
      </c>
      <c r="AY104">
        <v>0</v>
      </c>
      <c r="AZ104">
        <v>0</v>
      </c>
      <c r="BA104">
        <v>0</v>
      </c>
      <c r="BB104">
        <v>0</v>
      </c>
      <c r="BC104" t="s">
        <v>1043</v>
      </c>
      <c r="BD104">
        <v>0</v>
      </c>
      <c r="BE104">
        <v>0</v>
      </c>
      <c r="BJ104" t="s">
        <v>1044</v>
      </c>
      <c r="BM104">
        <v>0</v>
      </c>
      <c r="BN104">
        <v>0</v>
      </c>
      <c r="BO104">
        <v>0</v>
      </c>
      <c r="BP104">
        <v>0</v>
      </c>
      <c r="BQ104">
        <v>0</v>
      </c>
      <c r="BR104">
        <v>0</v>
      </c>
      <c r="BS104">
        <v>0</v>
      </c>
      <c r="BU104">
        <v>0.15</v>
      </c>
      <c r="BV104">
        <v>3.5999999999999997E-2</v>
      </c>
      <c r="BW104">
        <v>0.18</v>
      </c>
      <c r="BX104">
        <v>0.75</v>
      </c>
      <c r="BY104">
        <v>0.19</v>
      </c>
      <c r="BZ104">
        <v>0.49</v>
      </c>
      <c r="CA104">
        <v>600</v>
      </c>
      <c r="CQ104" t="s">
        <v>2031</v>
      </c>
      <c r="CR104">
        <v>0</v>
      </c>
      <c r="CS104">
        <v>0</v>
      </c>
      <c r="CT104">
        <v>0</v>
      </c>
      <c r="CU104">
        <v>0</v>
      </c>
      <c r="CW104" t="s">
        <v>1043</v>
      </c>
      <c r="CX104">
        <v>0</v>
      </c>
      <c r="CY104">
        <v>0</v>
      </c>
      <c r="CZ104">
        <v>0</v>
      </c>
      <c r="DA104">
        <v>0</v>
      </c>
      <c r="DB104">
        <v>0</v>
      </c>
      <c r="DD104">
        <v>0</v>
      </c>
      <c r="DK104">
        <v>0</v>
      </c>
      <c r="DL104">
        <v>0</v>
      </c>
      <c r="DM104">
        <v>0</v>
      </c>
      <c r="DN104">
        <v>0</v>
      </c>
      <c r="DO104">
        <v>0</v>
      </c>
      <c r="DP104">
        <v>0</v>
      </c>
      <c r="DQ104">
        <v>0</v>
      </c>
      <c r="DR104">
        <v>0</v>
      </c>
      <c r="DS104" t="s">
        <v>1043</v>
      </c>
      <c r="DT104" t="s">
        <v>1044</v>
      </c>
      <c r="DU104" t="s">
        <v>1044</v>
      </c>
      <c r="DW104" t="s">
        <v>1042</v>
      </c>
      <c r="DX104">
        <v>0</v>
      </c>
      <c r="DY104" t="s">
        <v>1043</v>
      </c>
      <c r="DZ104">
        <v>0</v>
      </c>
      <c r="EA104">
        <v>0</v>
      </c>
      <c r="EC104">
        <v>0</v>
      </c>
      <c r="EM104">
        <v>0</v>
      </c>
      <c r="EN104">
        <v>0</v>
      </c>
      <c r="EO104">
        <v>0</v>
      </c>
      <c r="EP104" t="s">
        <v>1043</v>
      </c>
      <c r="EX104" t="s">
        <v>2030</v>
      </c>
      <c r="EY104">
        <v>0</v>
      </c>
      <c r="EZ104">
        <v>0</v>
      </c>
      <c r="FA104">
        <v>0</v>
      </c>
      <c r="FB104">
        <v>1</v>
      </c>
      <c r="FC104" t="s">
        <v>1</v>
      </c>
      <c r="FD104" t="s">
        <v>2029</v>
      </c>
      <c r="FE104" t="s">
        <v>1045</v>
      </c>
      <c r="FF104">
        <v>0</v>
      </c>
      <c r="FG104">
        <v>0</v>
      </c>
      <c r="FH104" t="s">
        <v>1045</v>
      </c>
      <c r="FI104" t="s">
        <v>1045</v>
      </c>
      <c r="FJ104" t="s">
        <v>1043</v>
      </c>
      <c r="FR104">
        <v>0</v>
      </c>
      <c r="FS104">
        <v>0</v>
      </c>
      <c r="GA104" t="s">
        <v>1044</v>
      </c>
      <c r="GB104" t="s">
        <v>1044</v>
      </c>
      <c r="GC104" t="s">
        <v>1045</v>
      </c>
      <c r="GD104">
        <v>0</v>
      </c>
      <c r="GH104" t="s">
        <v>1045</v>
      </c>
      <c r="GI104" t="s">
        <v>2028</v>
      </c>
      <c r="GL104">
        <v>0</v>
      </c>
      <c r="GM104">
        <v>0</v>
      </c>
      <c r="GN104">
        <v>0</v>
      </c>
      <c r="GP104" t="s">
        <v>1042</v>
      </c>
      <c r="GQ104" t="s">
        <v>2027</v>
      </c>
      <c r="GS104" t="s">
        <v>1045</v>
      </c>
      <c r="GU104">
        <v>1</v>
      </c>
      <c r="GV104" t="s">
        <v>1045</v>
      </c>
      <c r="GW104" t="s">
        <v>2026</v>
      </c>
      <c r="GZ104" t="s">
        <v>2025</v>
      </c>
      <c r="HH104">
        <v>0</v>
      </c>
      <c r="HI104">
        <v>0</v>
      </c>
      <c r="HK104" t="s">
        <v>1045</v>
      </c>
      <c r="HL104" t="s">
        <v>1045</v>
      </c>
      <c r="HP104">
        <v>0</v>
      </c>
      <c r="HZ104">
        <v>0</v>
      </c>
      <c r="IB104">
        <v>0</v>
      </c>
      <c r="IC104">
        <v>0</v>
      </c>
      <c r="IG104" t="s">
        <v>1042</v>
      </c>
      <c r="IJ104" t="s">
        <v>1042</v>
      </c>
      <c r="IM104">
        <v>0</v>
      </c>
      <c r="IN104" t="s">
        <v>2024</v>
      </c>
      <c r="IQ104" t="s">
        <v>1045</v>
      </c>
    </row>
    <row r="105" spans="2:251" x14ac:dyDescent="0.35">
      <c r="B105">
        <v>1</v>
      </c>
      <c r="C105">
        <v>1360</v>
      </c>
      <c r="D105">
        <v>0</v>
      </c>
      <c r="E105">
        <v>0</v>
      </c>
      <c r="F105">
        <v>0</v>
      </c>
      <c r="G105">
        <v>0</v>
      </c>
      <c r="H105">
        <v>0</v>
      </c>
      <c r="I105">
        <v>0</v>
      </c>
      <c r="J105" t="s">
        <v>721</v>
      </c>
      <c r="M105">
        <v>27</v>
      </c>
      <c r="Q105">
        <v>31.5</v>
      </c>
      <c r="S105">
        <v>27</v>
      </c>
      <c r="T105">
        <v>0</v>
      </c>
      <c r="U105">
        <v>0</v>
      </c>
      <c r="W105">
        <v>0</v>
      </c>
      <c r="Y105" t="s">
        <v>1042</v>
      </c>
      <c r="Z105" t="s">
        <v>1042</v>
      </c>
      <c r="AA105" t="s">
        <v>1042</v>
      </c>
      <c r="AB105" t="s">
        <v>1042</v>
      </c>
      <c r="AC105" t="s">
        <v>1042</v>
      </c>
      <c r="AD105" t="s">
        <v>1042</v>
      </c>
      <c r="AE105">
        <v>0</v>
      </c>
      <c r="AG105">
        <v>0</v>
      </c>
      <c r="AH105">
        <v>0</v>
      </c>
      <c r="AI105">
        <v>0</v>
      </c>
      <c r="AJ105">
        <v>0</v>
      </c>
      <c r="AK105" t="s">
        <v>1043</v>
      </c>
      <c r="AM105">
        <v>220</v>
      </c>
      <c r="AO105" t="s">
        <v>1044</v>
      </c>
      <c r="AP105">
        <v>0</v>
      </c>
      <c r="AR105" t="s">
        <v>1047</v>
      </c>
      <c r="AV105">
        <v>0</v>
      </c>
      <c r="AW105">
        <v>0</v>
      </c>
      <c r="AX105">
        <v>0</v>
      </c>
      <c r="AY105">
        <v>0</v>
      </c>
      <c r="AZ105">
        <v>0</v>
      </c>
      <c r="BA105">
        <v>0</v>
      </c>
      <c r="BB105">
        <v>0</v>
      </c>
      <c r="BC105" t="s">
        <v>1043</v>
      </c>
      <c r="BD105">
        <v>0</v>
      </c>
      <c r="BE105">
        <v>0</v>
      </c>
      <c r="BJ105" t="s">
        <v>1044</v>
      </c>
      <c r="BM105">
        <v>0</v>
      </c>
      <c r="BN105">
        <v>0</v>
      </c>
      <c r="BO105">
        <v>0</v>
      </c>
      <c r="BP105">
        <v>0</v>
      </c>
      <c r="BQ105">
        <v>0</v>
      </c>
      <c r="BR105">
        <v>0</v>
      </c>
      <c r="BS105">
        <v>0</v>
      </c>
      <c r="BU105">
        <v>0.1</v>
      </c>
      <c r="BV105">
        <v>0.03</v>
      </c>
      <c r="BW105">
        <v>0.95</v>
      </c>
      <c r="BX105">
        <v>0.255</v>
      </c>
      <c r="BY105">
        <v>0.255</v>
      </c>
      <c r="BZ105">
        <v>0.33</v>
      </c>
      <c r="CA105">
        <v>2000</v>
      </c>
      <c r="CQ105" t="s">
        <v>2031</v>
      </c>
      <c r="CR105">
        <v>0</v>
      </c>
      <c r="CS105">
        <v>0</v>
      </c>
      <c r="CT105">
        <v>0</v>
      </c>
      <c r="CU105">
        <v>0</v>
      </c>
      <c r="CW105" t="s">
        <v>1043</v>
      </c>
      <c r="CX105">
        <v>0</v>
      </c>
      <c r="CY105">
        <v>0</v>
      </c>
      <c r="CZ105">
        <v>0</v>
      </c>
      <c r="DA105">
        <v>0</v>
      </c>
      <c r="DB105">
        <v>0</v>
      </c>
      <c r="DD105">
        <v>0</v>
      </c>
      <c r="DK105">
        <v>0</v>
      </c>
      <c r="DL105">
        <v>0</v>
      </c>
      <c r="DM105">
        <v>0</v>
      </c>
      <c r="DN105">
        <v>0</v>
      </c>
      <c r="DO105">
        <v>0</v>
      </c>
      <c r="DP105">
        <v>0</v>
      </c>
      <c r="DQ105">
        <v>0</v>
      </c>
      <c r="DR105">
        <v>0</v>
      </c>
      <c r="DS105" t="s">
        <v>1043</v>
      </c>
      <c r="DT105" t="s">
        <v>1044</v>
      </c>
      <c r="DU105" t="s">
        <v>1044</v>
      </c>
      <c r="DW105" t="s">
        <v>1042</v>
      </c>
      <c r="DX105">
        <v>0</v>
      </c>
      <c r="DY105" t="s">
        <v>1043</v>
      </c>
      <c r="DZ105">
        <v>0</v>
      </c>
      <c r="EA105">
        <v>0</v>
      </c>
      <c r="EC105">
        <v>0</v>
      </c>
      <c r="EM105">
        <v>0</v>
      </c>
      <c r="EN105">
        <v>0</v>
      </c>
      <c r="EO105">
        <v>0</v>
      </c>
      <c r="EP105" t="s">
        <v>1043</v>
      </c>
      <c r="EX105" t="s">
        <v>2030</v>
      </c>
      <c r="EY105">
        <v>0</v>
      </c>
      <c r="EZ105">
        <v>0</v>
      </c>
      <c r="FA105">
        <v>0</v>
      </c>
      <c r="FB105">
        <v>1</v>
      </c>
      <c r="FC105" t="s">
        <v>1</v>
      </c>
      <c r="FD105" t="s">
        <v>2029</v>
      </c>
      <c r="FE105" t="s">
        <v>1045</v>
      </c>
      <c r="FF105">
        <v>0</v>
      </c>
      <c r="FG105">
        <v>0</v>
      </c>
      <c r="FH105" t="s">
        <v>1045</v>
      </c>
      <c r="FI105" t="s">
        <v>1045</v>
      </c>
      <c r="FJ105" t="s">
        <v>1043</v>
      </c>
      <c r="FR105">
        <v>0</v>
      </c>
      <c r="FS105">
        <v>0</v>
      </c>
      <c r="GA105" t="s">
        <v>1044</v>
      </c>
      <c r="GB105" t="s">
        <v>1044</v>
      </c>
      <c r="GC105" t="s">
        <v>1045</v>
      </c>
      <c r="GD105">
        <v>0</v>
      </c>
      <c r="GH105" t="s">
        <v>1045</v>
      </c>
      <c r="GI105" t="s">
        <v>2028</v>
      </c>
      <c r="GL105">
        <v>0</v>
      </c>
      <c r="GM105">
        <v>0</v>
      </c>
      <c r="GN105">
        <v>0</v>
      </c>
      <c r="GP105" t="s">
        <v>1042</v>
      </c>
      <c r="GQ105" t="s">
        <v>2027</v>
      </c>
      <c r="GS105" t="s">
        <v>1045</v>
      </c>
      <c r="GU105">
        <v>1</v>
      </c>
      <c r="GV105" t="s">
        <v>1045</v>
      </c>
      <c r="GW105" t="s">
        <v>2026</v>
      </c>
      <c r="GZ105" t="s">
        <v>2025</v>
      </c>
      <c r="HH105">
        <v>0</v>
      </c>
      <c r="HI105">
        <v>0</v>
      </c>
      <c r="HK105" t="s">
        <v>1045</v>
      </c>
      <c r="HL105" t="s">
        <v>1045</v>
      </c>
      <c r="HP105">
        <v>0</v>
      </c>
      <c r="HZ105">
        <v>0</v>
      </c>
      <c r="IB105">
        <v>0</v>
      </c>
      <c r="IC105">
        <v>0</v>
      </c>
      <c r="IG105" t="s">
        <v>1042</v>
      </c>
      <c r="IJ105" t="s">
        <v>1042</v>
      </c>
      <c r="IM105">
        <v>0</v>
      </c>
      <c r="IN105" t="s">
        <v>2024</v>
      </c>
      <c r="IQ105" t="s">
        <v>1045</v>
      </c>
    </row>
    <row r="106" spans="2:251" x14ac:dyDescent="0.35">
      <c r="B106">
        <v>1</v>
      </c>
      <c r="C106">
        <v>1361</v>
      </c>
      <c r="D106">
        <v>0</v>
      </c>
      <c r="E106">
        <v>0</v>
      </c>
      <c r="F106">
        <v>0</v>
      </c>
      <c r="G106">
        <v>0</v>
      </c>
      <c r="H106">
        <v>0</v>
      </c>
      <c r="I106">
        <v>0</v>
      </c>
      <c r="J106" t="s">
        <v>722</v>
      </c>
      <c r="M106">
        <v>32.5</v>
      </c>
      <c r="Q106">
        <v>33.9</v>
      </c>
      <c r="S106">
        <v>32.5</v>
      </c>
      <c r="T106">
        <v>0</v>
      </c>
      <c r="U106">
        <v>0</v>
      </c>
      <c r="W106">
        <v>0</v>
      </c>
      <c r="Y106" t="s">
        <v>1042</v>
      </c>
      <c r="Z106" t="s">
        <v>1042</v>
      </c>
      <c r="AA106" t="s">
        <v>1042</v>
      </c>
      <c r="AB106" t="s">
        <v>1042</v>
      </c>
      <c r="AC106" t="s">
        <v>1042</v>
      </c>
      <c r="AD106" t="s">
        <v>1042</v>
      </c>
      <c r="AE106">
        <v>0</v>
      </c>
      <c r="AG106">
        <v>0</v>
      </c>
      <c r="AH106">
        <v>0</v>
      </c>
      <c r="AI106">
        <v>0</v>
      </c>
      <c r="AJ106">
        <v>0</v>
      </c>
      <c r="AK106" t="s">
        <v>1043</v>
      </c>
      <c r="AM106">
        <v>220</v>
      </c>
      <c r="AO106" t="s">
        <v>1044</v>
      </c>
      <c r="AP106">
        <v>0</v>
      </c>
      <c r="AR106" t="s">
        <v>1047</v>
      </c>
      <c r="AV106">
        <v>0</v>
      </c>
      <c r="AW106">
        <v>0</v>
      </c>
      <c r="AX106">
        <v>0</v>
      </c>
      <c r="AY106">
        <v>0</v>
      </c>
      <c r="AZ106">
        <v>0</v>
      </c>
      <c r="BA106">
        <v>0</v>
      </c>
      <c r="BB106">
        <v>0</v>
      </c>
      <c r="BC106" t="s">
        <v>1043</v>
      </c>
      <c r="BD106">
        <v>0</v>
      </c>
      <c r="BE106">
        <v>0</v>
      </c>
      <c r="BJ106" t="s">
        <v>1044</v>
      </c>
      <c r="BM106">
        <v>0</v>
      </c>
      <c r="BN106">
        <v>0</v>
      </c>
      <c r="BO106">
        <v>0</v>
      </c>
      <c r="BP106">
        <v>0</v>
      </c>
      <c r="BQ106">
        <v>0</v>
      </c>
      <c r="BR106">
        <v>0</v>
      </c>
      <c r="BS106">
        <v>0</v>
      </c>
      <c r="BU106">
        <v>0.12</v>
      </c>
      <c r="BV106">
        <v>3.5000000000000003E-2</v>
      </c>
      <c r="BW106">
        <v>0.13</v>
      </c>
      <c r="BX106">
        <v>0.255</v>
      </c>
      <c r="BY106">
        <v>0.255</v>
      </c>
      <c r="BZ106">
        <v>0.33</v>
      </c>
      <c r="CA106">
        <v>1200</v>
      </c>
      <c r="CQ106" t="s">
        <v>2031</v>
      </c>
      <c r="CR106">
        <v>0</v>
      </c>
      <c r="CS106">
        <v>0</v>
      </c>
      <c r="CT106">
        <v>0</v>
      </c>
      <c r="CU106">
        <v>0</v>
      </c>
      <c r="CW106" t="s">
        <v>1043</v>
      </c>
      <c r="CX106">
        <v>0</v>
      </c>
      <c r="CY106">
        <v>0</v>
      </c>
      <c r="CZ106">
        <v>0</v>
      </c>
      <c r="DA106">
        <v>0</v>
      </c>
      <c r="DB106">
        <v>0</v>
      </c>
      <c r="DD106">
        <v>0</v>
      </c>
      <c r="DK106">
        <v>0</v>
      </c>
      <c r="DL106">
        <v>0</v>
      </c>
      <c r="DM106">
        <v>0</v>
      </c>
      <c r="DN106">
        <v>0</v>
      </c>
      <c r="DO106">
        <v>0</v>
      </c>
      <c r="DP106">
        <v>0</v>
      </c>
      <c r="DQ106">
        <v>0</v>
      </c>
      <c r="DR106">
        <v>0</v>
      </c>
      <c r="DS106" t="s">
        <v>1043</v>
      </c>
      <c r="DT106" t="s">
        <v>1044</v>
      </c>
      <c r="DU106" t="s">
        <v>1044</v>
      </c>
      <c r="DW106" t="s">
        <v>1042</v>
      </c>
      <c r="DX106">
        <v>0</v>
      </c>
      <c r="DY106" t="s">
        <v>1043</v>
      </c>
      <c r="DZ106">
        <v>0</v>
      </c>
      <c r="EA106">
        <v>0</v>
      </c>
      <c r="EC106">
        <v>0</v>
      </c>
      <c r="EM106">
        <v>0</v>
      </c>
      <c r="EN106">
        <v>0</v>
      </c>
      <c r="EO106">
        <v>0</v>
      </c>
      <c r="EP106" t="s">
        <v>1043</v>
      </c>
      <c r="EX106" t="s">
        <v>2030</v>
      </c>
      <c r="EY106">
        <v>0</v>
      </c>
      <c r="EZ106">
        <v>0</v>
      </c>
      <c r="FA106">
        <v>0</v>
      </c>
      <c r="FB106">
        <v>1</v>
      </c>
      <c r="FC106" t="s">
        <v>1</v>
      </c>
      <c r="FD106" t="s">
        <v>2029</v>
      </c>
      <c r="FE106" t="s">
        <v>1045</v>
      </c>
      <c r="FF106">
        <v>0</v>
      </c>
      <c r="FG106">
        <v>0</v>
      </c>
      <c r="FH106" t="s">
        <v>1045</v>
      </c>
      <c r="FI106" t="s">
        <v>1045</v>
      </c>
      <c r="FJ106" t="s">
        <v>1043</v>
      </c>
      <c r="FR106">
        <v>0</v>
      </c>
      <c r="FS106">
        <v>0</v>
      </c>
      <c r="GA106" t="s">
        <v>1044</v>
      </c>
      <c r="GB106" t="s">
        <v>1044</v>
      </c>
      <c r="GC106" t="s">
        <v>1045</v>
      </c>
      <c r="GD106">
        <v>0</v>
      </c>
      <c r="GH106" t="s">
        <v>1045</v>
      </c>
      <c r="GI106" t="s">
        <v>2028</v>
      </c>
      <c r="GL106">
        <v>0</v>
      </c>
      <c r="GM106">
        <v>0</v>
      </c>
      <c r="GN106">
        <v>0</v>
      </c>
      <c r="GP106" t="s">
        <v>1042</v>
      </c>
      <c r="GQ106" t="s">
        <v>2027</v>
      </c>
      <c r="GS106" t="s">
        <v>1045</v>
      </c>
      <c r="GU106">
        <v>1</v>
      </c>
      <c r="GV106" t="s">
        <v>1045</v>
      </c>
      <c r="GW106" t="s">
        <v>2026</v>
      </c>
      <c r="GZ106" t="s">
        <v>2025</v>
      </c>
      <c r="HH106">
        <v>0</v>
      </c>
      <c r="HI106">
        <v>0</v>
      </c>
      <c r="HK106" t="s">
        <v>1045</v>
      </c>
      <c r="HL106" t="s">
        <v>1045</v>
      </c>
      <c r="HP106">
        <v>0</v>
      </c>
      <c r="HZ106">
        <v>0</v>
      </c>
      <c r="IB106">
        <v>0</v>
      </c>
      <c r="IC106">
        <v>0</v>
      </c>
      <c r="IG106" t="s">
        <v>1042</v>
      </c>
      <c r="IJ106" t="s">
        <v>1042</v>
      </c>
      <c r="IM106">
        <v>0</v>
      </c>
      <c r="IN106" t="s">
        <v>2024</v>
      </c>
      <c r="IQ106" t="s">
        <v>1045</v>
      </c>
    </row>
    <row r="107" spans="2:251" x14ac:dyDescent="0.35">
      <c r="B107">
        <v>1</v>
      </c>
      <c r="C107">
        <v>1362</v>
      </c>
      <c r="D107">
        <v>0</v>
      </c>
      <c r="E107">
        <v>0</v>
      </c>
      <c r="F107">
        <v>0</v>
      </c>
      <c r="G107">
        <v>0</v>
      </c>
      <c r="H107">
        <v>0</v>
      </c>
      <c r="I107">
        <v>0</v>
      </c>
      <c r="J107" t="s">
        <v>723</v>
      </c>
      <c r="M107">
        <v>35</v>
      </c>
      <c r="Q107">
        <v>33</v>
      </c>
      <c r="S107">
        <v>35</v>
      </c>
      <c r="T107">
        <v>0</v>
      </c>
      <c r="U107">
        <v>0</v>
      </c>
      <c r="W107">
        <v>0</v>
      </c>
      <c r="Y107" t="s">
        <v>1042</v>
      </c>
      <c r="Z107" t="s">
        <v>1042</v>
      </c>
      <c r="AA107" t="s">
        <v>1042</v>
      </c>
      <c r="AB107" t="s">
        <v>1042</v>
      </c>
      <c r="AC107" t="s">
        <v>1042</v>
      </c>
      <c r="AD107" t="s">
        <v>1042</v>
      </c>
      <c r="AE107">
        <v>0</v>
      </c>
      <c r="AG107">
        <v>0</v>
      </c>
      <c r="AH107">
        <v>0</v>
      </c>
      <c r="AI107">
        <v>0</v>
      </c>
      <c r="AJ107">
        <v>0</v>
      </c>
      <c r="AK107" t="s">
        <v>1043</v>
      </c>
      <c r="AM107">
        <v>220</v>
      </c>
      <c r="AO107" t="s">
        <v>1044</v>
      </c>
      <c r="AP107">
        <v>0</v>
      </c>
      <c r="AR107" t="s">
        <v>1047</v>
      </c>
      <c r="AV107">
        <v>0</v>
      </c>
      <c r="AW107">
        <v>0</v>
      </c>
      <c r="AX107">
        <v>0</v>
      </c>
      <c r="AY107">
        <v>0</v>
      </c>
      <c r="AZ107">
        <v>0</v>
      </c>
      <c r="BA107">
        <v>0</v>
      </c>
      <c r="BB107">
        <v>0</v>
      </c>
      <c r="BC107" t="s">
        <v>1043</v>
      </c>
      <c r="BD107">
        <v>0</v>
      </c>
      <c r="BE107">
        <v>0</v>
      </c>
      <c r="BJ107" t="s">
        <v>1044</v>
      </c>
      <c r="BM107">
        <v>0</v>
      </c>
      <c r="BN107">
        <v>0</v>
      </c>
      <c r="BO107">
        <v>0</v>
      </c>
      <c r="BP107">
        <v>0</v>
      </c>
      <c r="BQ107">
        <v>0</v>
      </c>
      <c r="BR107">
        <v>0</v>
      </c>
      <c r="BS107">
        <v>0</v>
      </c>
      <c r="BU107">
        <v>0.11</v>
      </c>
      <c r="BV107">
        <v>3.6999999999999998E-2</v>
      </c>
      <c r="BW107">
        <v>0.12</v>
      </c>
      <c r="BX107">
        <v>0.22500000000000001</v>
      </c>
      <c r="BY107">
        <v>0.26</v>
      </c>
      <c r="BZ107">
        <v>0.30499999999999999</v>
      </c>
      <c r="CA107">
        <v>420</v>
      </c>
      <c r="CQ107" t="s">
        <v>2031</v>
      </c>
      <c r="CR107">
        <v>0</v>
      </c>
      <c r="CS107">
        <v>0</v>
      </c>
      <c r="CT107">
        <v>0</v>
      </c>
      <c r="CU107">
        <v>0</v>
      </c>
      <c r="CW107" t="s">
        <v>1043</v>
      </c>
      <c r="CX107">
        <v>0</v>
      </c>
      <c r="CY107">
        <v>0</v>
      </c>
      <c r="CZ107">
        <v>0</v>
      </c>
      <c r="DA107">
        <v>0</v>
      </c>
      <c r="DB107">
        <v>0</v>
      </c>
      <c r="DD107">
        <v>0</v>
      </c>
      <c r="DK107">
        <v>0</v>
      </c>
      <c r="DL107">
        <v>0</v>
      </c>
      <c r="DM107">
        <v>0</v>
      </c>
      <c r="DN107">
        <v>0</v>
      </c>
      <c r="DO107">
        <v>0</v>
      </c>
      <c r="DP107">
        <v>0</v>
      </c>
      <c r="DQ107">
        <v>0</v>
      </c>
      <c r="DR107">
        <v>0</v>
      </c>
      <c r="DS107" t="s">
        <v>1043</v>
      </c>
      <c r="DT107" t="s">
        <v>1044</v>
      </c>
      <c r="DU107" t="s">
        <v>1044</v>
      </c>
      <c r="DW107" t="s">
        <v>1042</v>
      </c>
      <c r="DX107">
        <v>0</v>
      </c>
      <c r="DY107" t="s">
        <v>1043</v>
      </c>
      <c r="DZ107">
        <v>0</v>
      </c>
      <c r="EA107">
        <v>0</v>
      </c>
      <c r="EC107">
        <v>0</v>
      </c>
      <c r="EM107">
        <v>0</v>
      </c>
      <c r="EN107">
        <v>0</v>
      </c>
      <c r="EO107">
        <v>0</v>
      </c>
      <c r="EP107" t="s">
        <v>1043</v>
      </c>
      <c r="EX107" t="s">
        <v>2030</v>
      </c>
      <c r="EY107">
        <v>0</v>
      </c>
      <c r="EZ107">
        <v>0</v>
      </c>
      <c r="FA107">
        <v>0</v>
      </c>
      <c r="FB107">
        <v>1</v>
      </c>
      <c r="FC107" t="s">
        <v>1</v>
      </c>
      <c r="FD107" t="s">
        <v>2029</v>
      </c>
      <c r="FE107" t="s">
        <v>1045</v>
      </c>
      <c r="FF107">
        <v>0</v>
      </c>
      <c r="FG107">
        <v>0</v>
      </c>
      <c r="FH107" t="s">
        <v>1045</v>
      </c>
      <c r="FI107" t="s">
        <v>1045</v>
      </c>
      <c r="FJ107" t="s">
        <v>1043</v>
      </c>
      <c r="FR107">
        <v>0</v>
      </c>
      <c r="FS107">
        <v>0</v>
      </c>
      <c r="GA107" t="s">
        <v>1044</v>
      </c>
      <c r="GB107" t="s">
        <v>1044</v>
      </c>
      <c r="GC107" t="s">
        <v>1045</v>
      </c>
      <c r="GD107">
        <v>0</v>
      </c>
      <c r="GH107" t="s">
        <v>1045</v>
      </c>
      <c r="GI107" t="s">
        <v>2028</v>
      </c>
      <c r="GL107">
        <v>0</v>
      </c>
      <c r="GM107">
        <v>0</v>
      </c>
      <c r="GN107">
        <v>0</v>
      </c>
      <c r="GP107" t="s">
        <v>1042</v>
      </c>
      <c r="GQ107" t="s">
        <v>2027</v>
      </c>
      <c r="GS107" t="s">
        <v>1045</v>
      </c>
      <c r="GU107">
        <v>1</v>
      </c>
      <c r="GV107" t="s">
        <v>1045</v>
      </c>
      <c r="GW107" t="s">
        <v>2026</v>
      </c>
      <c r="GZ107" t="s">
        <v>2025</v>
      </c>
      <c r="HH107">
        <v>0</v>
      </c>
      <c r="HI107">
        <v>0</v>
      </c>
      <c r="HK107" t="s">
        <v>1045</v>
      </c>
      <c r="HL107" t="s">
        <v>1045</v>
      </c>
      <c r="HP107">
        <v>0</v>
      </c>
      <c r="HZ107">
        <v>0</v>
      </c>
      <c r="IB107">
        <v>0</v>
      </c>
      <c r="IC107">
        <v>0</v>
      </c>
      <c r="IG107" t="s">
        <v>1042</v>
      </c>
      <c r="IJ107" t="s">
        <v>1042</v>
      </c>
      <c r="IM107">
        <v>0</v>
      </c>
      <c r="IN107" t="s">
        <v>2024</v>
      </c>
      <c r="IQ107" t="s">
        <v>1045</v>
      </c>
    </row>
    <row r="108" spans="2:251" x14ac:dyDescent="0.35">
      <c r="B108">
        <v>1</v>
      </c>
      <c r="C108">
        <v>1363</v>
      </c>
      <c r="D108">
        <v>0</v>
      </c>
      <c r="E108">
        <v>0</v>
      </c>
      <c r="F108">
        <v>0</v>
      </c>
      <c r="G108">
        <v>0</v>
      </c>
      <c r="H108">
        <v>0</v>
      </c>
      <c r="I108">
        <v>0</v>
      </c>
      <c r="J108" t="s">
        <v>724</v>
      </c>
      <c r="M108">
        <v>35</v>
      </c>
      <c r="Q108">
        <v>38</v>
      </c>
      <c r="S108">
        <v>35</v>
      </c>
      <c r="T108">
        <v>0</v>
      </c>
      <c r="U108">
        <v>0</v>
      </c>
      <c r="W108">
        <v>0</v>
      </c>
      <c r="Y108" t="s">
        <v>1042</v>
      </c>
      <c r="Z108" t="s">
        <v>1042</v>
      </c>
      <c r="AA108" t="s">
        <v>1042</v>
      </c>
      <c r="AB108" t="s">
        <v>1042</v>
      </c>
      <c r="AC108" t="s">
        <v>1042</v>
      </c>
      <c r="AD108" t="s">
        <v>1042</v>
      </c>
      <c r="AE108">
        <v>0</v>
      </c>
      <c r="AG108">
        <v>0</v>
      </c>
      <c r="AH108">
        <v>0</v>
      </c>
      <c r="AI108">
        <v>0</v>
      </c>
      <c r="AJ108">
        <v>0</v>
      </c>
      <c r="AK108" t="s">
        <v>1043</v>
      </c>
      <c r="AM108">
        <v>220</v>
      </c>
      <c r="AO108" t="s">
        <v>1044</v>
      </c>
      <c r="AP108">
        <v>0</v>
      </c>
      <c r="AR108" t="s">
        <v>1047</v>
      </c>
      <c r="AV108">
        <v>0</v>
      </c>
      <c r="AW108">
        <v>0</v>
      </c>
      <c r="AX108">
        <v>0</v>
      </c>
      <c r="AY108">
        <v>0</v>
      </c>
      <c r="AZ108">
        <v>0</v>
      </c>
      <c r="BA108">
        <v>0</v>
      </c>
      <c r="BB108">
        <v>0</v>
      </c>
      <c r="BC108" t="s">
        <v>1043</v>
      </c>
      <c r="BD108">
        <v>0</v>
      </c>
      <c r="BE108">
        <v>0</v>
      </c>
      <c r="BJ108" t="s">
        <v>1044</v>
      </c>
      <c r="BM108">
        <v>0</v>
      </c>
      <c r="BN108">
        <v>0</v>
      </c>
      <c r="BO108">
        <v>0</v>
      </c>
      <c r="BP108">
        <v>0</v>
      </c>
      <c r="BQ108">
        <v>0</v>
      </c>
      <c r="BR108">
        <v>0</v>
      </c>
      <c r="BS108">
        <v>0</v>
      </c>
      <c r="BU108">
        <v>0.12</v>
      </c>
      <c r="BV108">
        <v>0.04</v>
      </c>
      <c r="BW108">
        <v>0.13</v>
      </c>
      <c r="BX108">
        <v>0.22500000000000001</v>
      </c>
      <c r="BY108">
        <v>0.26</v>
      </c>
      <c r="BZ108">
        <v>0.30499999999999999</v>
      </c>
      <c r="CA108">
        <v>280</v>
      </c>
      <c r="CQ108" t="s">
        <v>2031</v>
      </c>
      <c r="CR108">
        <v>0</v>
      </c>
      <c r="CS108">
        <v>0</v>
      </c>
      <c r="CT108">
        <v>0</v>
      </c>
      <c r="CU108">
        <v>0</v>
      </c>
      <c r="CW108" t="s">
        <v>1043</v>
      </c>
      <c r="CX108">
        <v>0</v>
      </c>
      <c r="CY108">
        <v>0</v>
      </c>
      <c r="CZ108">
        <v>0</v>
      </c>
      <c r="DA108">
        <v>0</v>
      </c>
      <c r="DB108">
        <v>0</v>
      </c>
      <c r="DD108">
        <v>0</v>
      </c>
      <c r="DK108">
        <v>0</v>
      </c>
      <c r="DL108">
        <v>0</v>
      </c>
      <c r="DM108">
        <v>0</v>
      </c>
      <c r="DN108">
        <v>0</v>
      </c>
      <c r="DO108">
        <v>0</v>
      </c>
      <c r="DP108">
        <v>0</v>
      </c>
      <c r="DQ108">
        <v>0</v>
      </c>
      <c r="DR108">
        <v>0</v>
      </c>
      <c r="DS108" t="s">
        <v>1043</v>
      </c>
      <c r="DT108" t="s">
        <v>1044</v>
      </c>
      <c r="DU108" t="s">
        <v>1044</v>
      </c>
      <c r="DW108" t="s">
        <v>1042</v>
      </c>
      <c r="DX108">
        <v>0</v>
      </c>
      <c r="DY108" t="s">
        <v>1043</v>
      </c>
      <c r="DZ108">
        <v>0</v>
      </c>
      <c r="EA108">
        <v>0</v>
      </c>
      <c r="EC108">
        <v>0</v>
      </c>
      <c r="EM108">
        <v>0</v>
      </c>
      <c r="EN108">
        <v>0</v>
      </c>
      <c r="EO108">
        <v>0</v>
      </c>
      <c r="EP108" t="s">
        <v>1043</v>
      </c>
      <c r="EX108" t="s">
        <v>2030</v>
      </c>
      <c r="EY108">
        <v>0</v>
      </c>
      <c r="EZ108">
        <v>0</v>
      </c>
      <c r="FA108">
        <v>0</v>
      </c>
      <c r="FB108">
        <v>1</v>
      </c>
      <c r="FC108" t="s">
        <v>1</v>
      </c>
      <c r="FD108" t="s">
        <v>2029</v>
      </c>
      <c r="FE108" t="s">
        <v>1045</v>
      </c>
      <c r="FF108">
        <v>0</v>
      </c>
      <c r="FG108">
        <v>0</v>
      </c>
      <c r="FH108" t="s">
        <v>1045</v>
      </c>
      <c r="FI108" t="s">
        <v>1045</v>
      </c>
      <c r="FJ108" t="s">
        <v>1043</v>
      </c>
      <c r="FR108">
        <v>0</v>
      </c>
      <c r="FS108">
        <v>0</v>
      </c>
      <c r="GA108" t="s">
        <v>1044</v>
      </c>
      <c r="GB108" t="s">
        <v>1044</v>
      </c>
      <c r="GC108" t="s">
        <v>1045</v>
      </c>
      <c r="GD108">
        <v>0</v>
      </c>
      <c r="GH108" t="s">
        <v>1045</v>
      </c>
      <c r="GI108" t="s">
        <v>2028</v>
      </c>
      <c r="GL108">
        <v>0</v>
      </c>
      <c r="GM108">
        <v>0</v>
      </c>
      <c r="GN108">
        <v>0</v>
      </c>
      <c r="GP108" t="s">
        <v>1042</v>
      </c>
      <c r="GQ108" t="s">
        <v>2027</v>
      </c>
      <c r="GS108" t="s">
        <v>1045</v>
      </c>
      <c r="GU108">
        <v>1</v>
      </c>
      <c r="GV108" t="s">
        <v>1045</v>
      </c>
      <c r="GW108" t="s">
        <v>2026</v>
      </c>
      <c r="GZ108" t="s">
        <v>2025</v>
      </c>
      <c r="HH108">
        <v>0</v>
      </c>
      <c r="HI108">
        <v>0</v>
      </c>
      <c r="HK108" t="s">
        <v>1045</v>
      </c>
      <c r="HL108" t="s">
        <v>1045</v>
      </c>
      <c r="HP108">
        <v>0</v>
      </c>
      <c r="HZ108">
        <v>0</v>
      </c>
      <c r="IB108">
        <v>0</v>
      </c>
      <c r="IC108">
        <v>0</v>
      </c>
      <c r="IG108" t="s">
        <v>1042</v>
      </c>
      <c r="IJ108" t="s">
        <v>1042</v>
      </c>
      <c r="IM108">
        <v>0</v>
      </c>
      <c r="IN108" t="s">
        <v>2024</v>
      </c>
      <c r="IQ108" t="s">
        <v>1045</v>
      </c>
    </row>
    <row r="109" spans="2:251" x14ac:dyDescent="0.35">
      <c r="B109">
        <v>1</v>
      </c>
      <c r="C109">
        <v>1364</v>
      </c>
      <c r="D109">
        <v>0</v>
      </c>
      <c r="E109">
        <v>0</v>
      </c>
      <c r="F109">
        <v>0</v>
      </c>
      <c r="G109">
        <v>0</v>
      </c>
      <c r="H109">
        <v>0</v>
      </c>
      <c r="I109">
        <v>0</v>
      </c>
      <c r="J109" t="s">
        <v>725</v>
      </c>
      <c r="M109">
        <v>40</v>
      </c>
      <c r="Q109">
        <v>40</v>
      </c>
      <c r="S109">
        <v>40</v>
      </c>
      <c r="T109">
        <v>0</v>
      </c>
      <c r="U109">
        <v>0</v>
      </c>
      <c r="W109">
        <v>0</v>
      </c>
      <c r="Y109" t="s">
        <v>1042</v>
      </c>
      <c r="Z109" t="s">
        <v>1042</v>
      </c>
      <c r="AA109" t="s">
        <v>1042</v>
      </c>
      <c r="AB109" t="s">
        <v>1042</v>
      </c>
      <c r="AC109" t="s">
        <v>1042</v>
      </c>
      <c r="AD109" t="s">
        <v>1042</v>
      </c>
      <c r="AE109">
        <v>0</v>
      </c>
      <c r="AG109">
        <v>0</v>
      </c>
      <c r="AH109">
        <v>0</v>
      </c>
      <c r="AI109">
        <v>0</v>
      </c>
      <c r="AJ109">
        <v>0</v>
      </c>
      <c r="AK109" t="s">
        <v>1043</v>
      </c>
      <c r="AM109">
        <v>220</v>
      </c>
      <c r="AO109" t="s">
        <v>1044</v>
      </c>
      <c r="AP109">
        <v>0</v>
      </c>
      <c r="AR109" t="s">
        <v>1047</v>
      </c>
      <c r="AV109">
        <v>0</v>
      </c>
      <c r="AW109">
        <v>0</v>
      </c>
      <c r="AX109">
        <v>0</v>
      </c>
      <c r="AY109">
        <v>0</v>
      </c>
      <c r="AZ109">
        <v>0</v>
      </c>
      <c r="BA109">
        <v>0</v>
      </c>
      <c r="BB109">
        <v>0</v>
      </c>
      <c r="BC109" t="s">
        <v>1043</v>
      </c>
      <c r="BD109">
        <v>0</v>
      </c>
      <c r="BE109">
        <v>0</v>
      </c>
      <c r="BJ109" t="s">
        <v>1044</v>
      </c>
      <c r="BM109">
        <v>0</v>
      </c>
      <c r="BN109">
        <v>0</v>
      </c>
      <c r="BO109">
        <v>0</v>
      </c>
      <c r="BP109">
        <v>0</v>
      </c>
      <c r="BQ109">
        <v>0</v>
      </c>
      <c r="BR109">
        <v>0</v>
      </c>
      <c r="BS109">
        <v>0</v>
      </c>
      <c r="BU109">
        <v>0.14000000000000001</v>
      </c>
      <c r="BV109">
        <v>4.4999999999999998E-2</v>
      </c>
      <c r="BW109">
        <v>0.14000000000000001</v>
      </c>
      <c r="BX109">
        <v>0.22500000000000001</v>
      </c>
      <c r="BY109">
        <v>0.26</v>
      </c>
      <c r="BZ109">
        <v>0.30499999999999999</v>
      </c>
      <c r="CA109">
        <v>200</v>
      </c>
      <c r="CQ109" t="s">
        <v>2031</v>
      </c>
      <c r="CR109">
        <v>0</v>
      </c>
      <c r="CS109">
        <v>0</v>
      </c>
      <c r="CT109">
        <v>0</v>
      </c>
      <c r="CU109">
        <v>0</v>
      </c>
      <c r="CW109" t="s">
        <v>1043</v>
      </c>
      <c r="CX109">
        <v>0</v>
      </c>
      <c r="CY109">
        <v>0</v>
      </c>
      <c r="CZ109">
        <v>0</v>
      </c>
      <c r="DA109">
        <v>0</v>
      </c>
      <c r="DB109">
        <v>0</v>
      </c>
      <c r="DD109">
        <v>0</v>
      </c>
      <c r="DK109">
        <v>0</v>
      </c>
      <c r="DL109">
        <v>0</v>
      </c>
      <c r="DM109">
        <v>0</v>
      </c>
      <c r="DN109">
        <v>0</v>
      </c>
      <c r="DO109">
        <v>0</v>
      </c>
      <c r="DP109">
        <v>0</v>
      </c>
      <c r="DQ109">
        <v>0</v>
      </c>
      <c r="DR109">
        <v>0</v>
      </c>
      <c r="DS109" t="s">
        <v>1043</v>
      </c>
      <c r="DT109" t="s">
        <v>1044</v>
      </c>
      <c r="DU109" t="s">
        <v>1044</v>
      </c>
      <c r="DW109" t="s">
        <v>1042</v>
      </c>
      <c r="DX109">
        <v>0</v>
      </c>
      <c r="DY109" t="s">
        <v>1043</v>
      </c>
      <c r="DZ109">
        <v>0</v>
      </c>
      <c r="EA109">
        <v>0</v>
      </c>
      <c r="EC109">
        <v>0</v>
      </c>
      <c r="EM109">
        <v>0</v>
      </c>
      <c r="EN109">
        <v>0</v>
      </c>
      <c r="EO109">
        <v>0</v>
      </c>
      <c r="EP109" t="s">
        <v>1043</v>
      </c>
      <c r="EX109" t="s">
        <v>2030</v>
      </c>
      <c r="EY109">
        <v>0</v>
      </c>
      <c r="EZ109">
        <v>0</v>
      </c>
      <c r="FA109">
        <v>0</v>
      </c>
      <c r="FB109">
        <v>1</v>
      </c>
      <c r="FC109" t="s">
        <v>1</v>
      </c>
      <c r="FD109" t="s">
        <v>2029</v>
      </c>
      <c r="FE109" t="s">
        <v>1045</v>
      </c>
      <c r="FF109">
        <v>0</v>
      </c>
      <c r="FG109">
        <v>0</v>
      </c>
      <c r="FH109" t="s">
        <v>1045</v>
      </c>
      <c r="FI109" t="s">
        <v>1045</v>
      </c>
      <c r="FJ109" t="s">
        <v>1043</v>
      </c>
      <c r="FR109">
        <v>0</v>
      </c>
      <c r="FS109">
        <v>0</v>
      </c>
      <c r="GA109" t="s">
        <v>1044</v>
      </c>
      <c r="GB109" t="s">
        <v>1044</v>
      </c>
      <c r="GC109" t="s">
        <v>1045</v>
      </c>
      <c r="GD109">
        <v>0</v>
      </c>
      <c r="GH109" t="s">
        <v>1045</v>
      </c>
      <c r="GI109" t="s">
        <v>2028</v>
      </c>
      <c r="GL109">
        <v>0</v>
      </c>
      <c r="GM109">
        <v>0</v>
      </c>
      <c r="GN109">
        <v>0</v>
      </c>
      <c r="GP109" t="s">
        <v>1042</v>
      </c>
      <c r="GQ109" t="s">
        <v>2027</v>
      </c>
      <c r="GS109" t="s">
        <v>1045</v>
      </c>
      <c r="GU109">
        <v>1</v>
      </c>
      <c r="GV109" t="s">
        <v>1045</v>
      </c>
      <c r="GW109" t="s">
        <v>2026</v>
      </c>
      <c r="GZ109" t="s">
        <v>2025</v>
      </c>
      <c r="HH109">
        <v>0</v>
      </c>
      <c r="HI109">
        <v>0</v>
      </c>
      <c r="HK109" t="s">
        <v>1045</v>
      </c>
      <c r="HL109" t="s">
        <v>1045</v>
      </c>
      <c r="HP109">
        <v>0</v>
      </c>
      <c r="HZ109">
        <v>0</v>
      </c>
      <c r="IB109">
        <v>0</v>
      </c>
      <c r="IC109">
        <v>0</v>
      </c>
      <c r="IG109" t="s">
        <v>1042</v>
      </c>
      <c r="IJ109" t="s">
        <v>1042</v>
      </c>
      <c r="IM109">
        <v>0</v>
      </c>
      <c r="IN109" t="s">
        <v>2024</v>
      </c>
      <c r="IQ109" t="s">
        <v>1045</v>
      </c>
    </row>
    <row r="110" spans="2:251" x14ac:dyDescent="0.35">
      <c r="B110">
        <v>1</v>
      </c>
      <c r="C110">
        <v>1365</v>
      </c>
      <c r="D110">
        <v>0</v>
      </c>
      <c r="E110">
        <v>0</v>
      </c>
      <c r="F110">
        <v>0</v>
      </c>
      <c r="G110">
        <v>0</v>
      </c>
      <c r="H110">
        <v>0</v>
      </c>
      <c r="I110">
        <v>0</v>
      </c>
      <c r="J110" t="s">
        <v>726</v>
      </c>
      <c r="M110">
        <v>50</v>
      </c>
      <c r="Q110">
        <v>48</v>
      </c>
      <c r="S110">
        <v>50</v>
      </c>
      <c r="T110">
        <v>0</v>
      </c>
      <c r="U110">
        <v>0</v>
      </c>
      <c r="W110">
        <v>0</v>
      </c>
      <c r="Y110" t="s">
        <v>1042</v>
      </c>
      <c r="Z110" t="s">
        <v>1042</v>
      </c>
      <c r="AA110" t="s">
        <v>1042</v>
      </c>
      <c r="AB110" t="s">
        <v>1042</v>
      </c>
      <c r="AC110" t="s">
        <v>1042</v>
      </c>
      <c r="AD110" t="s">
        <v>1042</v>
      </c>
      <c r="AE110">
        <v>0</v>
      </c>
      <c r="AG110">
        <v>0</v>
      </c>
      <c r="AH110">
        <v>0</v>
      </c>
      <c r="AI110">
        <v>0</v>
      </c>
      <c r="AJ110">
        <v>0</v>
      </c>
      <c r="AK110" t="s">
        <v>1043</v>
      </c>
      <c r="AM110">
        <v>220</v>
      </c>
      <c r="AO110" t="s">
        <v>1044</v>
      </c>
      <c r="AP110">
        <v>0</v>
      </c>
      <c r="AR110" t="s">
        <v>1047</v>
      </c>
      <c r="AV110">
        <v>0</v>
      </c>
      <c r="AW110">
        <v>0</v>
      </c>
      <c r="AX110">
        <v>0</v>
      </c>
      <c r="AY110">
        <v>0</v>
      </c>
      <c r="AZ110">
        <v>0</v>
      </c>
      <c r="BA110">
        <v>0</v>
      </c>
      <c r="BB110">
        <v>0</v>
      </c>
      <c r="BC110" t="s">
        <v>1043</v>
      </c>
      <c r="BD110">
        <v>0</v>
      </c>
      <c r="BE110">
        <v>0</v>
      </c>
      <c r="BJ110" t="s">
        <v>1044</v>
      </c>
      <c r="BM110">
        <v>0</v>
      </c>
      <c r="BN110">
        <v>0</v>
      </c>
      <c r="BO110">
        <v>0</v>
      </c>
      <c r="BP110">
        <v>0</v>
      </c>
      <c r="BQ110">
        <v>0</v>
      </c>
      <c r="BR110">
        <v>0</v>
      </c>
      <c r="BS110">
        <v>0</v>
      </c>
      <c r="BU110">
        <v>0.18</v>
      </c>
      <c r="BV110">
        <v>5.5E-2</v>
      </c>
      <c r="BW110">
        <v>0.18</v>
      </c>
      <c r="BX110">
        <v>0.22500000000000001</v>
      </c>
      <c r="BY110">
        <v>0.26</v>
      </c>
      <c r="BZ110">
        <v>0.30499999999999999</v>
      </c>
      <c r="CA110">
        <v>110</v>
      </c>
      <c r="CQ110" t="s">
        <v>2031</v>
      </c>
      <c r="CR110">
        <v>0</v>
      </c>
      <c r="CS110">
        <v>0</v>
      </c>
      <c r="CT110">
        <v>0</v>
      </c>
      <c r="CU110">
        <v>0</v>
      </c>
      <c r="CW110" t="s">
        <v>1043</v>
      </c>
      <c r="CX110">
        <v>0</v>
      </c>
      <c r="CY110">
        <v>0</v>
      </c>
      <c r="CZ110">
        <v>0</v>
      </c>
      <c r="DA110">
        <v>0</v>
      </c>
      <c r="DB110">
        <v>0</v>
      </c>
      <c r="DD110">
        <v>0</v>
      </c>
      <c r="DK110">
        <v>0</v>
      </c>
      <c r="DL110">
        <v>0</v>
      </c>
      <c r="DM110">
        <v>0</v>
      </c>
      <c r="DN110">
        <v>0</v>
      </c>
      <c r="DO110">
        <v>0</v>
      </c>
      <c r="DP110">
        <v>0</v>
      </c>
      <c r="DQ110">
        <v>0</v>
      </c>
      <c r="DR110">
        <v>0</v>
      </c>
      <c r="DS110" t="s">
        <v>1043</v>
      </c>
      <c r="DT110" t="s">
        <v>1044</v>
      </c>
      <c r="DU110" t="s">
        <v>1044</v>
      </c>
      <c r="DW110" t="s">
        <v>1042</v>
      </c>
      <c r="DX110">
        <v>0</v>
      </c>
      <c r="DY110" t="s">
        <v>1043</v>
      </c>
      <c r="DZ110">
        <v>0</v>
      </c>
      <c r="EA110">
        <v>0</v>
      </c>
      <c r="EC110">
        <v>0</v>
      </c>
      <c r="EM110">
        <v>0</v>
      </c>
      <c r="EN110">
        <v>0</v>
      </c>
      <c r="EO110">
        <v>0</v>
      </c>
      <c r="EP110" t="s">
        <v>1043</v>
      </c>
      <c r="EX110" t="s">
        <v>2030</v>
      </c>
      <c r="EY110">
        <v>0</v>
      </c>
      <c r="EZ110">
        <v>0</v>
      </c>
      <c r="FA110">
        <v>0</v>
      </c>
      <c r="FB110">
        <v>1</v>
      </c>
      <c r="FC110" t="s">
        <v>1</v>
      </c>
      <c r="FD110" t="s">
        <v>2029</v>
      </c>
      <c r="FE110" t="s">
        <v>1045</v>
      </c>
      <c r="FF110">
        <v>0</v>
      </c>
      <c r="FG110">
        <v>0</v>
      </c>
      <c r="FH110" t="s">
        <v>1045</v>
      </c>
      <c r="FI110" t="s">
        <v>1045</v>
      </c>
      <c r="FJ110" t="s">
        <v>1043</v>
      </c>
      <c r="FR110">
        <v>0</v>
      </c>
      <c r="FS110">
        <v>0</v>
      </c>
      <c r="GA110" t="s">
        <v>1044</v>
      </c>
      <c r="GB110" t="s">
        <v>1044</v>
      </c>
      <c r="GC110" t="s">
        <v>1045</v>
      </c>
      <c r="GD110">
        <v>0</v>
      </c>
      <c r="GH110" t="s">
        <v>1045</v>
      </c>
      <c r="GI110" t="s">
        <v>2028</v>
      </c>
      <c r="GL110">
        <v>0</v>
      </c>
      <c r="GM110">
        <v>0</v>
      </c>
      <c r="GN110">
        <v>0</v>
      </c>
      <c r="GP110" t="s">
        <v>1042</v>
      </c>
      <c r="GQ110" t="s">
        <v>2027</v>
      </c>
      <c r="GS110" t="s">
        <v>1045</v>
      </c>
      <c r="GU110">
        <v>1</v>
      </c>
      <c r="GV110" t="s">
        <v>1045</v>
      </c>
      <c r="GW110" t="s">
        <v>2026</v>
      </c>
      <c r="GZ110" t="s">
        <v>2025</v>
      </c>
      <c r="HH110">
        <v>0</v>
      </c>
      <c r="HI110">
        <v>0</v>
      </c>
      <c r="HK110" t="s">
        <v>1045</v>
      </c>
      <c r="HL110" t="s">
        <v>1045</v>
      </c>
      <c r="HP110">
        <v>0</v>
      </c>
      <c r="HZ110">
        <v>0</v>
      </c>
      <c r="IB110">
        <v>0</v>
      </c>
      <c r="IC110">
        <v>0</v>
      </c>
      <c r="IG110" t="s">
        <v>1042</v>
      </c>
      <c r="IJ110" t="s">
        <v>1042</v>
      </c>
      <c r="IM110">
        <v>0</v>
      </c>
      <c r="IN110" t="s">
        <v>2024</v>
      </c>
      <c r="IQ110" t="s">
        <v>1045</v>
      </c>
    </row>
    <row r="111" spans="2:251" x14ac:dyDescent="0.35">
      <c r="B111">
        <v>1</v>
      </c>
      <c r="C111">
        <v>1366</v>
      </c>
      <c r="D111">
        <v>0</v>
      </c>
      <c r="E111">
        <v>0</v>
      </c>
      <c r="F111">
        <v>0</v>
      </c>
      <c r="G111">
        <v>0</v>
      </c>
      <c r="H111">
        <v>0</v>
      </c>
      <c r="I111">
        <v>0</v>
      </c>
      <c r="J111" t="s">
        <v>727</v>
      </c>
      <c r="M111">
        <v>20</v>
      </c>
      <c r="Q111">
        <v>34.5</v>
      </c>
      <c r="S111">
        <v>48.5</v>
      </c>
      <c r="T111">
        <v>0</v>
      </c>
      <c r="U111">
        <v>0</v>
      </c>
      <c r="W111">
        <v>0</v>
      </c>
      <c r="Y111" t="s">
        <v>1042</v>
      </c>
      <c r="Z111" t="s">
        <v>1042</v>
      </c>
      <c r="AA111" t="s">
        <v>1042</v>
      </c>
      <c r="AB111" t="s">
        <v>1042</v>
      </c>
      <c r="AC111" t="s">
        <v>1042</v>
      </c>
      <c r="AD111" t="s">
        <v>1042</v>
      </c>
      <c r="AE111">
        <v>0</v>
      </c>
      <c r="AG111">
        <v>0</v>
      </c>
      <c r="AH111">
        <v>0</v>
      </c>
      <c r="AI111">
        <v>0</v>
      </c>
      <c r="AJ111">
        <v>0</v>
      </c>
      <c r="AK111" t="s">
        <v>1043</v>
      </c>
      <c r="AM111">
        <v>220</v>
      </c>
      <c r="AO111" t="s">
        <v>1044</v>
      </c>
      <c r="AP111">
        <v>0</v>
      </c>
      <c r="AR111" t="s">
        <v>1047</v>
      </c>
      <c r="AV111">
        <v>0</v>
      </c>
      <c r="AW111">
        <v>0</v>
      </c>
      <c r="AX111">
        <v>0</v>
      </c>
      <c r="AY111">
        <v>0</v>
      </c>
      <c r="AZ111">
        <v>0</v>
      </c>
      <c r="BA111">
        <v>0</v>
      </c>
      <c r="BB111">
        <v>0</v>
      </c>
      <c r="BC111" t="s">
        <v>1043</v>
      </c>
      <c r="BD111">
        <v>0</v>
      </c>
      <c r="BE111">
        <v>0</v>
      </c>
      <c r="BJ111" t="s">
        <v>1044</v>
      </c>
      <c r="BM111">
        <v>0</v>
      </c>
      <c r="BN111">
        <v>0</v>
      </c>
      <c r="BO111">
        <v>0</v>
      </c>
      <c r="BP111">
        <v>0</v>
      </c>
      <c r="BQ111">
        <v>0</v>
      </c>
      <c r="BR111">
        <v>0</v>
      </c>
      <c r="BS111">
        <v>0</v>
      </c>
      <c r="BU111">
        <v>14</v>
      </c>
      <c r="BV111">
        <v>2.1000000000000001E-2</v>
      </c>
      <c r="BW111">
        <v>0.13500000000000001</v>
      </c>
      <c r="BX111">
        <v>0.72</v>
      </c>
      <c r="BY111">
        <v>0.19</v>
      </c>
      <c r="BZ111">
        <v>0.49</v>
      </c>
      <c r="CA111">
        <v>1200</v>
      </c>
      <c r="CQ111" t="s">
        <v>2031</v>
      </c>
      <c r="CR111">
        <v>0</v>
      </c>
      <c r="CS111">
        <v>0</v>
      </c>
      <c r="CT111">
        <v>0</v>
      </c>
      <c r="CU111">
        <v>0</v>
      </c>
      <c r="CW111" t="s">
        <v>1043</v>
      </c>
      <c r="CX111">
        <v>0</v>
      </c>
      <c r="CY111">
        <v>0</v>
      </c>
      <c r="CZ111">
        <v>0</v>
      </c>
      <c r="DA111">
        <v>0</v>
      </c>
      <c r="DB111">
        <v>0</v>
      </c>
      <c r="DD111">
        <v>0</v>
      </c>
      <c r="DK111">
        <v>0</v>
      </c>
      <c r="DL111">
        <v>0</v>
      </c>
      <c r="DM111">
        <v>0</v>
      </c>
      <c r="DN111">
        <v>0</v>
      </c>
      <c r="DO111">
        <v>0</v>
      </c>
      <c r="DP111">
        <v>0</v>
      </c>
      <c r="DQ111">
        <v>0</v>
      </c>
      <c r="DR111">
        <v>0</v>
      </c>
      <c r="DS111" t="s">
        <v>1043</v>
      </c>
      <c r="DT111" t="s">
        <v>1044</v>
      </c>
      <c r="DU111" t="s">
        <v>1044</v>
      </c>
      <c r="DW111" t="s">
        <v>1042</v>
      </c>
      <c r="DX111">
        <v>0</v>
      </c>
      <c r="DY111" t="s">
        <v>1043</v>
      </c>
      <c r="DZ111">
        <v>0</v>
      </c>
      <c r="EA111">
        <v>0</v>
      </c>
      <c r="EC111">
        <v>0</v>
      </c>
      <c r="EM111">
        <v>0</v>
      </c>
      <c r="EN111">
        <v>0</v>
      </c>
      <c r="EO111">
        <v>0</v>
      </c>
      <c r="EP111" t="s">
        <v>1043</v>
      </c>
      <c r="EX111" t="s">
        <v>2030</v>
      </c>
      <c r="EY111">
        <v>0</v>
      </c>
      <c r="EZ111">
        <v>0</v>
      </c>
      <c r="FA111">
        <v>0</v>
      </c>
      <c r="FB111">
        <v>1</v>
      </c>
      <c r="FC111" t="s">
        <v>1</v>
      </c>
      <c r="FD111" t="s">
        <v>2029</v>
      </c>
      <c r="FE111" t="s">
        <v>1045</v>
      </c>
      <c r="FF111">
        <v>0</v>
      </c>
      <c r="FG111">
        <v>0</v>
      </c>
      <c r="FH111" t="s">
        <v>1045</v>
      </c>
      <c r="FI111" t="s">
        <v>1045</v>
      </c>
      <c r="FJ111" t="s">
        <v>1043</v>
      </c>
      <c r="FR111">
        <v>0</v>
      </c>
      <c r="FS111">
        <v>0</v>
      </c>
      <c r="GA111" t="s">
        <v>1044</v>
      </c>
      <c r="GB111" t="s">
        <v>1044</v>
      </c>
      <c r="GC111" t="s">
        <v>1045</v>
      </c>
      <c r="GD111">
        <v>0</v>
      </c>
      <c r="GH111" t="s">
        <v>1045</v>
      </c>
      <c r="GI111" t="s">
        <v>2028</v>
      </c>
      <c r="GL111">
        <v>0</v>
      </c>
      <c r="GM111">
        <v>0</v>
      </c>
      <c r="GN111">
        <v>0</v>
      </c>
      <c r="GP111" t="s">
        <v>1042</v>
      </c>
      <c r="GQ111" t="s">
        <v>2027</v>
      </c>
      <c r="GS111" t="s">
        <v>1045</v>
      </c>
      <c r="GU111">
        <v>1</v>
      </c>
      <c r="GV111" t="s">
        <v>1045</v>
      </c>
      <c r="GW111" t="s">
        <v>2026</v>
      </c>
      <c r="GZ111" t="s">
        <v>2025</v>
      </c>
      <c r="HH111">
        <v>0</v>
      </c>
      <c r="HI111">
        <v>0</v>
      </c>
      <c r="HK111" t="s">
        <v>1045</v>
      </c>
      <c r="HL111" t="s">
        <v>1045</v>
      </c>
      <c r="HP111">
        <v>0</v>
      </c>
      <c r="HZ111">
        <v>0</v>
      </c>
      <c r="IB111">
        <v>0</v>
      </c>
      <c r="IC111">
        <v>0</v>
      </c>
      <c r="IG111" t="s">
        <v>1042</v>
      </c>
      <c r="IJ111" t="s">
        <v>1042</v>
      </c>
      <c r="IM111">
        <v>0</v>
      </c>
      <c r="IN111" t="s">
        <v>2024</v>
      </c>
      <c r="IQ111" t="s">
        <v>1045</v>
      </c>
    </row>
    <row r="112" spans="2:251" x14ac:dyDescent="0.35">
      <c r="B112">
        <v>1</v>
      </c>
      <c r="C112">
        <v>1367</v>
      </c>
      <c r="D112">
        <v>0</v>
      </c>
      <c r="E112">
        <v>0</v>
      </c>
      <c r="F112">
        <v>0</v>
      </c>
      <c r="G112">
        <v>0</v>
      </c>
      <c r="H112">
        <v>0</v>
      </c>
      <c r="I112">
        <v>0</v>
      </c>
      <c r="J112" t="s">
        <v>728</v>
      </c>
      <c r="M112">
        <v>27</v>
      </c>
      <c r="Q112">
        <v>65</v>
      </c>
      <c r="S112">
        <v>48</v>
      </c>
      <c r="T112">
        <v>0</v>
      </c>
      <c r="U112">
        <v>0</v>
      </c>
      <c r="W112">
        <v>0</v>
      </c>
      <c r="Y112" t="s">
        <v>1042</v>
      </c>
      <c r="Z112" t="s">
        <v>1042</v>
      </c>
      <c r="AA112" t="s">
        <v>1042</v>
      </c>
      <c r="AB112" t="s">
        <v>1042</v>
      </c>
      <c r="AC112" t="s">
        <v>1042</v>
      </c>
      <c r="AD112" t="s">
        <v>1042</v>
      </c>
      <c r="AE112">
        <v>0</v>
      </c>
      <c r="AG112">
        <v>0</v>
      </c>
      <c r="AH112">
        <v>0</v>
      </c>
      <c r="AI112">
        <v>0</v>
      </c>
      <c r="AJ112">
        <v>0</v>
      </c>
      <c r="AK112" t="s">
        <v>1043</v>
      </c>
      <c r="AM112">
        <v>220</v>
      </c>
      <c r="AO112" t="s">
        <v>1044</v>
      </c>
      <c r="AP112">
        <v>0</v>
      </c>
      <c r="AR112" t="s">
        <v>1047</v>
      </c>
      <c r="AV112">
        <v>0</v>
      </c>
      <c r="AW112">
        <v>0</v>
      </c>
      <c r="AX112">
        <v>0</v>
      </c>
      <c r="AY112">
        <v>0</v>
      </c>
      <c r="AZ112">
        <v>0</v>
      </c>
      <c r="BA112">
        <v>0</v>
      </c>
      <c r="BB112">
        <v>0</v>
      </c>
      <c r="BC112" t="s">
        <v>1043</v>
      </c>
      <c r="BD112">
        <v>0</v>
      </c>
      <c r="BE112">
        <v>0</v>
      </c>
      <c r="BJ112" t="s">
        <v>1044</v>
      </c>
      <c r="BM112">
        <v>0</v>
      </c>
      <c r="BN112">
        <v>0</v>
      </c>
      <c r="BO112">
        <v>0</v>
      </c>
      <c r="BP112">
        <v>0</v>
      </c>
      <c r="BQ112">
        <v>0</v>
      </c>
      <c r="BR112">
        <v>0</v>
      </c>
      <c r="BS112">
        <v>0</v>
      </c>
      <c r="BU112">
        <v>0.18</v>
      </c>
      <c r="BV112">
        <v>2.8000000000000001E-2</v>
      </c>
      <c r="BW112">
        <v>0.18</v>
      </c>
      <c r="BX112">
        <v>0.72</v>
      </c>
      <c r="BY112">
        <v>0.17</v>
      </c>
      <c r="BZ112">
        <v>0.47</v>
      </c>
      <c r="CA112">
        <v>500</v>
      </c>
      <c r="CQ112" t="s">
        <v>2031</v>
      </c>
      <c r="CR112">
        <v>0</v>
      </c>
      <c r="CS112">
        <v>0</v>
      </c>
      <c r="CT112">
        <v>0</v>
      </c>
      <c r="CU112">
        <v>0</v>
      </c>
      <c r="CW112" t="s">
        <v>1043</v>
      </c>
      <c r="CX112">
        <v>0</v>
      </c>
      <c r="CY112">
        <v>0</v>
      </c>
      <c r="CZ112">
        <v>0</v>
      </c>
      <c r="DA112">
        <v>0</v>
      </c>
      <c r="DB112">
        <v>0</v>
      </c>
      <c r="DD112">
        <v>0</v>
      </c>
      <c r="DK112">
        <v>0</v>
      </c>
      <c r="DL112">
        <v>0</v>
      </c>
      <c r="DM112">
        <v>0</v>
      </c>
      <c r="DN112">
        <v>0</v>
      </c>
      <c r="DO112">
        <v>0</v>
      </c>
      <c r="DP112">
        <v>0</v>
      </c>
      <c r="DQ112">
        <v>0</v>
      </c>
      <c r="DR112">
        <v>0</v>
      </c>
      <c r="DS112" t="s">
        <v>1043</v>
      </c>
      <c r="DT112" t="s">
        <v>1044</v>
      </c>
      <c r="DU112" t="s">
        <v>1044</v>
      </c>
      <c r="DW112" t="s">
        <v>1042</v>
      </c>
      <c r="DX112">
        <v>0</v>
      </c>
      <c r="DY112" t="s">
        <v>1043</v>
      </c>
      <c r="DZ112">
        <v>0</v>
      </c>
      <c r="EA112">
        <v>0</v>
      </c>
      <c r="EC112">
        <v>0</v>
      </c>
      <c r="EM112">
        <v>0</v>
      </c>
      <c r="EN112">
        <v>0</v>
      </c>
      <c r="EO112">
        <v>0</v>
      </c>
      <c r="EP112" t="s">
        <v>1043</v>
      </c>
      <c r="EX112" t="s">
        <v>2030</v>
      </c>
      <c r="EY112">
        <v>0</v>
      </c>
      <c r="EZ112">
        <v>0</v>
      </c>
      <c r="FA112">
        <v>0</v>
      </c>
      <c r="FB112">
        <v>1</v>
      </c>
      <c r="FC112" t="s">
        <v>1</v>
      </c>
      <c r="FD112" t="s">
        <v>2029</v>
      </c>
      <c r="FE112" t="s">
        <v>1045</v>
      </c>
      <c r="FF112">
        <v>0</v>
      </c>
      <c r="FG112">
        <v>0</v>
      </c>
      <c r="FH112" t="s">
        <v>1045</v>
      </c>
      <c r="FI112" t="s">
        <v>1045</v>
      </c>
      <c r="FJ112" t="s">
        <v>1043</v>
      </c>
      <c r="FR112">
        <v>0</v>
      </c>
      <c r="FS112">
        <v>0</v>
      </c>
      <c r="GA112" t="s">
        <v>1044</v>
      </c>
      <c r="GB112" t="s">
        <v>1044</v>
      </c>
      <c r="GC112" t="s">
        <v>1045</v>
      </c>
      <c r="GD112">
        <v>0</v>
      </c>
      <c r="GH112" t="s">
        <v>1045</v>
      </c>
      <c r="GI112" t="s">
        <v>2028</v>
      </c>
      <c r="GL112">
        <v>0</v>
      </c>
      <c r="GM112">
        <v>0</v>
      </c>
      <c r="GN112">
        <v>0</v>
      </c>
      <c r="GP112" t="s">
        <v>1042</v>
      </c>
      <c r="GQ112" t="s">
        <v>2027</v>
      </c>
      <c r="GS112" t="s">
        <v>1045</v>
      </c>
      <c r="GU112">
        <v>1</v>
      </c>
      <c r="GV112" t="s">
        <v>1045</v>
      </c>
      <c r="GW112" t="s">
        <v>2026</v>
      </c>
      <c r="GZ112" t="s">
        <v>2025</v>
      </c>
      <c r="HH112">
        <v>0</v>
      </c>
      <c r="HI112">
        <v>0</v>
      </c>
      <c r="HK112" t="s">
        <v>1045</v>
      </c>
      <c r="HL112" t="s">
        <v>1045</v>
      </c>
      <c r="HP112">
        <v>0</v>
      </c>
      <c r="HZ112">
        <v>0</v>
      </c>
      <c r="IB112">
        <v>0</v>
      </c>
      <c r="IC112">
        <v>0</v>
      </c>
      <c r="IG112" t="s">
        <v>1042</v>
      </c>
      <c r="IJ112" t="s">
        <v>1042</v>
      </c>
      <c r="IM112">
        <v>0</v>
      </c>
      <c r="IN112" t="s">
        <v>2024</v>
      </c>
      <c r="IQ112" t="s">
        <v>1045</v>
      </c>
    </row>
    <row r="113" spans="2:251" x14ac:dyDescent="0.35">
      <c r="B113">
        <v>1</v>
      </c>
      <c r="C113">
        <v>1368</v>
      </c>
      <c r="D113">
        <v>0</v>
      </c>
      <c r="E113">
        <v>0</v>
      </c>
      <c r="F113">
        <v>0</v>
      </c>
      <c r="G113">
        <v>0</v>
      </c>
      <c r="H113">
        <v>0</v>
      </c>
      <c r="I113">
        <v>0</v>
      </c>
      <c r="J113" t="s">
        <v>729</v>
      </c>
      <c r="M113">
        <v>34</v>
      </c>
      <c r="Q113">
        <v>81</v>
      </c>
      <c r="S113">
        <v>58</v>
      </c>
      <c r="T113">
        <v>0</v>
      </c>
      <c r="U113">
        <v>0</v>
      </c>
      <c r="W113">
        <v>0</v>
      </c>
      <c r="Y113" t="s">
        <v>1042</v>
      </c>
      <c r="Z113" t="s">
        <v>1042</v>
      </c>
      <c r="AA113" t="s">
        <v>1042</v>
      </c>
      <c r="AB113" t="s">
        <v>1042</v>
      </c>
      <c r="AC113" t="s">
        <v>1042</v>
      </c>
      <c r="AD113" t="s">
        <v>1042</v>
      </c>
      <c r="AE113">
        <v>0</v>
      </c>
      <c r="AG113">
        <v>0</v>
      </c>
      <c r="AH113">
        <v>0</v>
      </c>
      <c r="AI113">
        <v>0</v>
      </c>
      <c r="AJ113">
        <v>0</v>
      </c>
      <c r="AK113" t="s">
        <v>1043</v>
      </c>
      <c r="AM113">
        <v>220</v>
      </c>
      <c r="AO113" t="s">
        <v>1044</v>
      </c>
      <c r="AP113">
        <v>0</v>
      </c>
      <c r="AR113" t="s">
        <v>1047</v>
      </c>
      <c r="AV113">
        <v>0</v>
      </c>
      <c r="AW113">
        <v>0</v>
      </c>
      <c r="AX113">
        <v>0</v>
      </c>
      <c r="AY113">
        <v>0</v>
      </c>
      <c r="AZ113">
        <v>0</v>
      </c>
      <c r="BA113">
        <v>0</v>
      </c>
      <c r="BB113">
        <v>0</v>
      </c>
      <c r="BC113" t="s">
        <v>1043</v>
      </c>
      <c r="BD113">
        <v>0</v>
      </c>
      <c r="BE113">
        <v>0</v>
      </c>
      <c r="BJ113" t="s">
        <v>1044</v>
      </c>
      <c r="BM113">
        <v>0</v>
      </c>
      <c r="BN113">
        <v>0</v>
      </c>
      <c r="BO113">
        <v>0</v>
      </c>
      <c r="BP113">
        <v>0</v>
      </c>
      <c r="BQ113">
        <v>0</v>
      </c>
      <c r="BR113">
        <v>0</v>
      </c>
      <c r="BS113">
        <v>0</v>
      </c>
      <c r="BU113">
        <v>0.23</v>
      </c>
      <c r="BV113">
        <v>3.5999999999999997E-2</v>
      </c>
      <c r="BW113">
        <v>0.23</v>
      </c>
      <c r="BX113">
        <v>0.72</v>
      </c>
      <c r="BY113">
        <v>0.19</v>
      </c>
      <c r="BZ113">
        <v>0.49</v>
      </c>
      <c r="CA113">
        <v>250</v>
      </c>
      <c r="CQ113" t="s">
        <v>2031</v>
      </c>
      <c r="CR113">
        <v>0</v>
      </c>
      <c r="CS113">
        <v>0</v>
      </c>
      <c r="CT113">
        <v>0</v>
      </c>
      <c r="CU113">
        <v>0</v>
      </c>
      <c r="CW113" t="s">
        <v>1043</v>
      </c>
      <c r="CX113">
        <v>0</v>
      </c>
      <c r="CY113">
        <v>0</v>
      </c>
      <c r="CZ113">
        <v>0</v>
      </c>
      <c r="DA113">
        <v>0</v>
      </c>
      <c r="DB113">
        <v>0</v>
      </c>
      <c r="DD113">
        <v>0</v>
      </c>
      <c r="DK113">
        <v>0</v>
      </c>
      <c r="DL113">
        <v>0</v>
      </c>
      <c r="DM113">
        <v>0</v>
      </c>
      <c r="DN113">
        <v>0</v>
      </c>
      <c r="DO113">
        <v>0</v>
      </c>
      <c r="DP113">
        <v>0</v>
      </c>
      <c r="DQ113">
        <v>0</v>
      </c>
      <c r="DR113">
        <v>0</v>
      </c>
      <c r="DS113" t="s">
        <v>1043</v>
      </c>
      <c r="DT113" t="s">
        <v>1044</v>
      </c>
      <c r="DU113" t="s">
        <v>1044</v>
      </c>
      <c r="DW113" t="s">
        <v>1042</v>
      </c>
      <c r="DX113">
        <v>0</v>
      </c>
      <c r="DY113" t="s">
        <v>1043</v>
      </c>
      <c r="DZ113">
        <v>0</v>
      </c>
      <c r="EA113">
        <v>0</v>
      </c>
      <c r="EC113">
        <v>0</v>
      </c>
      <c r="EM113">
        <v>0</v>
      </c>
      <c r="EN113">
        <v>0</v>
      </c>
      <c r="EO113">
        <v>0</v>
      </c>
      <c r="EP113" t="s">
        <v>1043</v>
      </c>
      <c r="EX113" t="s">
        <v>2030</v>
      </c>
      <c r="EY113">
        <v>0</v>
      </c>
      <c r="EZ113">
        <v>0</v>
      </c>
      <c r="FA113">
        <v>0</v>
      </c>
      <c r="FB113">
        <v>1</v>
      </c>
      <c r="FC113" t="s">
        <v>1</v>
      </c>
      <c r="FD113" t="s">
        <v>2029</v>
      </c>
      <c r="FE113" t="s">
        <v>1045</v>
      </c>
      <c r="FF113">
        <v>0</v>
      </c>
      <c r="FG113">
        <v>0</v>
      </c>
      <c r="FH113" t="s">
        <v>1045</v>
      </c>
      <c r="FI113" t="s">
        <v>1045</v>
      </c>
      <c r="FJ113" t="s">
        <v>1043</v>
      </c>
      <c r="FR113">
        <v>0</v>
      </c>
      <c r="FS113">
        <v>0</v>
      </c>
      <c r="GA113" t="s">
        <v>1044</v>
      </c>
      <c r="GB113" t="s">
        <v>1044</v>
      </c>
      <c r="GC113" t="s">
        <v>1045</v>
      </c>
      <c r="GD113">
        <v>0</v>
      </c>
      <c r="GH113" t="s">
        <v>1045</v>
      </c>
      <c r="GI113" t="s">
        <v>2028</v>
      </c>
      <c r="GL113">
        <v>0</v>
      </c>
      <c r="GM113">
        <v>0</v>
      </c>
      <c r="GN113">
        <v>0</v>
      </c>
      <c r="GP113" t="s">
        <v>1042</v>
      </c>
      <c r="GQ113" t="s">
        <v>2027</v>
      </c>
      <c r="GS113" t="s">
        <v>1045</v>
      </c>
      <c r="GU113">
        <v>1</v>
      </c>
      <c r="GV113" t="s">
        <v>1045</v>
      </c>
      <c r="GW113" t="s">
        <v>2026</v>
      </c>
      <c r="GZ113" t="s">
        <v>2025</v>
      </c>
      <c r="HH113">
        <v>0</v>
      </c>
      <c r="HI113">
        <v>0</v>
      </c>
      <c r="HK113" t="s">
        <v>1045</v>
      </c>
      <c r="HL113" t="s">
        <v>1045</v>
      </c>
      <c r="HP113">
        <v>0</v>
      </c>
      <c r="HZ113">
        <v>0</v>
      </c>
      <c r="IB113">
        <v>0</v>
      </c>
      <c r="IC113">
        <v>0</v>
      </c>
      <c r="IG113" t="s">
        <v>1042</v>
      </c>
      <c r="IJ113" t="s">
        <v>1042</v>
      </c>
      <c r="IM113">
        <v>0</v>
      </c>
      <c r="IN113" t="s">
        <v>2024</v>
      </c>
      <c r="IQ113" t="s">
        <v>1045</v>
      </c>
    </row>
    <row r="114" spans="2:251" x14ac:dyDescent="0.35">
      <c r="B114">
        <v>1</v>
      </c>
      <c r="C114">
        <v>1369</v>
      </c>
      <c r="D114">
        <v>0</v>
      </c>
      <c r="E114">
        <v>0</v>
      </c>
      <c r="F114">
        <v>0</v>
      </c>
      <c r="G114">
        <v>0</v>
      </c>
      <c r="H114">
        <v>0</v>
      </c>
      <c r="I114">
        <v>0</v>
      </c>
      <c r="J114" t="s">
        <v>730</v>
      </c>
      <c r="M114">
        <v>132</v>
      </c>
      <c r="Q114">
        <v>81.5</v>
      </c>
      <c r="S114">
        <v>32</v>
      </c>
      <c r="T114">
        <v>0</v>
      </c>
      <c r="U114">
        <v>0</v>
      </c>
      <c r="W114">
        <v>0</v>
      </c>
      <c r="Y114" t="s">
        <v>1042</v>
      </c>
      <c r="Z114" t="s">
        <v>1042</v>
      </c>
      <c r="AA114" t="s">
        <v>1042</v>
      </c>
      <c r="AB114" t="s">
        <v>1042</v>
      </c>
      <c r="AC114" t="s">
        <v>1042</v>
      </c>
      <c r="AD114" t="s">
        <v>1042</v>
      </c>
      <c r="AE114">
        <v>0</v>
      </c>
      <c r="AG114">
        <v>0</v>
      </c>
      <c r="AH114">
        <v>0</v>
      </c>
      <c r="AI114">
        <v>0</v>
      </c>
      <c r="AJ114">
        <v>0</v>
      </c>
      <c r="AK114" t="s">
        <v>1043</v>
      </c>
      <c r="AM114">
        <v>220</v>
      </c>
      <c r="AO114" t="s">
        <v>1044</v>
      </c>
      <c r="AP114">
        <v>0</v>
      </c>
      <c r="AR114" t="s">
        <v>1047</v>
      </c>
      <c r="AV114">
        <v>0</v>
      </c>
      <c r="AW114">
        <v>0</v>
      </c>
      <c r="AX114">
        <v>0</v>
      </c>
      <c r="AY114">
        <v>0</v>
      </c>
      <c r="AZ114">
        <v>0</v>
      </c>
      <c r="BA114">
        <v>0</v>
      </c>
      <c r="BB114">
        <v>0</v>
      </c>
      <c r="BC114" t="s">
        <v>1043</v>
      </c>
      <c r="BD114">
        <v>0</v>
      </c>
      <c r="BE114">
        <v>0</v>
      </c>
      <c r="BJ114" t="s">
        <v>1044</v>
      </c>
      <c r="BM114">
        <v>0</v>
      </c>
      <c r="BN114">
        <v>0</v>
      </c>
      <c r="BO114">
        <v>0</v>
      </c>
      <c r="BP114">
        <v>0</v>
      </c>
      <c r="BQ114">
        <v>0</v>
      </c>
      <c r="BR114">
        <v>0</v>
      </c>
      <c r="BS114">
        <v>0</v>
      </c>
      <c r="BU114">
        <v>0.26</v>
      </c>
      <c r="BV114">
        <v>7.0000000000000007E-2</v>
      </c>
      <c r="BW114">
        <v>0.23</v>
      </c>
      <c r="BX114">
        <v>0.255</v>
      </c>
      <c r="BY114">
        <v>0.255</v>
      </c>
      <c r="BZ114">
        <v>0.33</v>
      </c>
      <c r="CA114">
        <v>70</v>
      </c>
      <c r="CQ114" t="s">
        <v>2031</v>
      </c>
      <c r="CR114">
        <v>0</v>
      </c>
      <c r="CS114">
        <v>0</v>
      </c>
      <c r="CT114">
        <v>0</v>
      </c>
      <c r="CU114">
        <v>0</v>
      </c>
      <c r="CW114" t="s">
        <v>1043</v>
      </c>
      <c r="CX114">
        <v>0</v>
      </c>
      <c r="CY114">
        <v>0</v>
      </c>
      <c r="CZ114">
        <v>0</v>
      </c>
      <c r="DA114">
        <v>0</v>
      </c>
      <c r="DB114">
        <v>0</v>
      </c>
      <c r="DD114">
        <v>0</v>
      </c>
      <c r="DK114">
        <v>0</v>
      </c>
      <c r="DL114">
        <v>0</v>
      </c>
      <c r="DM114">
        <v>0</v>
      </c>
      <c r="DN114">
        <v>0</v>
      </c>
      <c r="DO114">
        <v>0</v>
      </c>
      <c r="DP114">
        <v>0</v>
      </c>
      <c r="DQ114">
        <v>0</v>
      </c>
      <c r="DR114">
        <v>0</v>
      </c>
      <c r="DS114" t="s">
        <v>1043</v>
      </c>
      <c r="DT114" t="s">
        <v>1044</v>
      </c>
      <c r="DU114" t="s">
        <v>1044</v>
      </c>
      <c r="DW114" t="s">
        <v>1042</v>
      </c>
      <c r="DX114">
        <v>0</v>
      </c>
      <c r="DY114" t="s">
        <v>1043</v>
      </c>
      <c r="DZ114">
        <v>0</v>
      </c>
      <c r="EA114">
        <v>0</v>
      </c>
      <c r="EC114">
        <v>0</v>
      </c>
      <c r="EM114">
        <v>0</v>
      </c>
      <c r="EN114">
        <v>0</v>
      </c>
      <c r="EO114">
        <v>0</v>
      </c>
      <c r="EP114" t="s">
        <v>1043</v>
      </c>
      <c r="EX114" t="s">
        <v>2030</v>
      </c>
      <c r="EY114">
        <v>0</v>
      </c>
      <c r="EZ114">
        <v>0</v>
      </c>
      <c r="FA114">
        <v>0</v>
      </c>
      <c r="FB114">
        <v>1</v>
      </c>
      <c r="FC114" t="s">
        <v>1</v>
      </c>
      <c r="FD114" t="s">
        <v>2029</v>
      </c>
      <c r="FE114" t="s">
        <v>1045</v>
      </c>
      <c r="FF114">
        <v>0</v>
      </c>
      <c r="FG114">
        <v>0</v>
      </c>
      <c r="FH114" t="s">
        <v>1045</v>
      </c>
      <c r="FI114" t="s">
        <v>1045</v>
      </c>
      <c r="FJ114" t="s">
        <v>1043</v>
      </c>
      <c r="FR114">
        <v>0</v>
      </c>
      <c r="FS114">
        <v>0</v>
      </c>
      <c r="GA114" t="s">
        <v>1044</v>
      </c>
      <c r="GB114" t="s">
        <v>1044</v>
      </c>
      <c r="GC114" t="s">
        <v>1045</v>
      </c>
      <c r="GD114">
        <v>0</v>
      </c>
      <c r="GH114" t="s">
        <v>1045</v>
      </c>
      <c r="GI114" t="s">
        <v>2028</v>
      </c>
      <c r="GL114">
        <v>0</v>
      </c>
      <c r="GM114">
        <v>0</v>
      </c>
      <c r="GN114">
        <v>0</v>
      </c>
      <c r="GP114" t="s">
        <v>1042</v>
      </c>
      <c r="GQ114" t="s">
        <v>2027</v>
      </c>
      <c r="GS114" t="s">
        <v>1045</v>
      </c>
      <c r="GU114">
        <v>1</v>
      </c>
      <c r="GV114" t="s">
        <v>1045</v>
      </c>
      <c r="GW114" t="s">
        <v>2026</v>
      </c>
      <c r="GZ114" t="s">
        <v>2025</v>
      </c>
      <c r="HH114">
        <v>0</v>
      </c>
      <c r="HI114">
        <v>0</v>
      </c>
      <c r="HK114" t="s">
        <v>1045</v>
      </c>
      <c r="HL114" t="s">
        <v>1045</v>
      </c>
      <c r="HP114">
        <v>0</v>
      </c>
      <c r="HZ114">
        <v>0</v>
      </c>
      <c r="IB114">
        <v>0</v>
      </c>
      <c r="IC114">
        <v>0</v>
      </c>
      <c r="IG114" t="s">
        <v>1042</v>
      </c>
      <c r="IJ114" t="s">
        <v>1042</v>
      </c>
      <c r="IM114">
        <v>0</v>
      </c>
      <c r="IN114" t="s">
        <v>2024</v>
      </c>
      <c r="IQ114" t="s">
        <v>1045</v>
      </c>
    </row>
    <row r="115" spans="2:251" x14ac:dyDescent="0.35">
      <c r="B115">
        <v>1</v>
      </c>
      <c r="C115">
        <v>1370</v>
      </c>
      <c r="D115">
        <v>0</v>
      </c>
      <c r="E115">
        <v>0</v>
      </c>
      <c r="F115">
        <v>0</v>
      </c>
      <c r="G115">
        <v>0</v>
      </c>
      <c r="H115">
        <v>0</v>
      </c>
      <c r="I115">
        <v>0</v>
      </c>
      <c r="J115" t="s">
        <v>731</v>
      </c>
      <c r="M115">
        <v>132</v>
      </c>
      <c r="Q115">
        <v>85.5</v>
      </c>
      <c r="S115">
        <v>39.5</v>
      </c>
      <c r="T115">
        <v>0</v>
      </c>
      <c r="U115">
        <v>0</v>
      </c>
      <c r="W115">
        <v>0</v>
      </c>
      <c r="Y115" t="s">
        <v>1042</v>
      </c>
      <c r="Z115" t="s">
        <v>1042</v>
      </c>
      <c r="AA115" t="s">
        <v>1042</v>
      </c>
      <c r="AB115" t="s">
        <v>1042</v>
      </c>
      <c r="AC115" t="s">
        <v>1042</v>
      </c>
      <c r="AD115" t="s">
        <v>1042</v>
      </c>
      <c r="AE115">
        <v>0</v>
      </c>
      <c r="AG115">
        <v>0</v>
      </c>
      <c r="AH115">
        <v>0</v>
      </c>
      <c r="AI115">
        <v>0</v>
      </c>
      <c r="AJ115">
        <v>0</v>
      </c>
      <c r="AK115" t="s">
        <v>1043</v>
      </c>
      <c r="AM115">
        <v>220</v>
      </c>
      <c r="AO115" t="s">
        <v>1044</v>
      </c>
      <c r="AP115">
        <v>0</v>
      </c>
      <c r="AR115" t="s">
        <v>1047</v>
      </c>
      <c r="AV115">
        <v>0</v>
      </c>
      <c r="AW115">
        <v>0</v>
      </c>
      <c r="AX115">
        <v>0</v>
      </c>
      <c r="AY115">
        <v>0</v>
      </c>
      <c r="AZ115">
        <v>0</v>
      </c>
      <c r="BA115">
        <v>0</v>
      </c>
      <c r="BB115">
        <v>0</v>
      </c>
      <c r="BC115" t="s">
        <v>1043</v>
      </c>
      <c r="BD115">
        <v>0</v>
      </c>
      <c r="BE115">
        <v>0</v>
      </c>
      <c r="BJ115" t="s">
        <v>1044</v>
      </c>
      <c r="BM115">
        <v>0</v>
      </c>
      <c r="BN115">
        <v>0</v>
      </c>
      <c r="BO115">
        <v>0</v>
      </c>
      <c r="BP115">
        <v>0</v>
      </c>
      <c r="BQ115">
        <v>0</v>
      </c>
      <c r="BR115">
        <v>0</v>
      </c>
      <c r="BS115">
        <v>0</v>
      </c>
      <c r="BU115">
        <v>0.28000000000000003</v>
      </c>
      <c r="BV115">
        <v>0.09</v>
      </c>
      <c r="BW115">
        <v>0.23</v>
      </c>
      <c r="BX115">
        <v>0.255</v>
      </c>
      <c r="BY115">
        <v>0.255</v>
      </c>
      <c r="BZ115">
        <v>0.33</v>
      </c>
      <c r="CA115">
        <v>50</v>
      </c>
      <c r="CQ115" t="s">
        <v>2031</v>
      </c>
      <c r="CR115">
        <v>0</v>
      </c>
      <c r="CS115">
        <v>0</v>
      </c>
      <c r="CT115">
        <v>0</v>
      </c>
      <c r="CU115">
        <v>0</v>
      </c>
      <c r="CW115" t="s">
        <v>1043</v>
      </c>
      <c r="CX115">
        <v>0</v>
      </c>
      <c r="CY115">
        <v>0</v>
      </c>
      <c r="CZ115">
        <v>0</v>
      </c>
      <c r="DA115">
        <v>0</v>
      </c>
      <c r="DB115">
        <v>0</v>
      </c>
      <c r="DD115">
        <v>0</v>
      </c>
      <c r="DK115">
        <v>0</v>
      </c>
      <c r="DL115">
        <v>0</v>
      </c>
      <c r="DM115">
        <v>0</v>
      </c>
      <c r="DN115">
        <v>0</v>
      </c>
      <c r="DO115">
        <v>0</v>
      </c>
      <c r="DP115">
        <v>0</v>
      </c>
      <c r="DQ115">
        <v>0</v>
      </c>
      <c r="DR115">
        <v>0</v>
      </c>
      <c r="DS115" t="s">
        <v>1043</v>
      </c>
      <c r="DT115" t="s">
        <v>1044</v>
      </c>
      <c r="DU115" t="s">
        <v>1044</v>
      </c>
      <c r="DW115" t="s">
        <v>1042</v>
      </c>
      <c r="DX115">
        <v>0</v>
      </c>
      <c r="DY115" t="s">
        <v>1043</v>
      </c>
      <c r="DZ115">
        <v>0</v>
      </c>
      <c r="EA115">
        <v>0</v>
      </c>
      <c r="EC115">
        <v>0</v>
      </c>
      <c r="EM115">
        <v>0</v>
      </c>
      <c r="EN115">
        <v>0</v>
      </c>
      <c r="EO115">
        <v>0</v>
      </c>
      <c r="EP115" t="s">
        <v>1043</v>
      </c>
      <c r="EX115" t="s">
        <v>2030</v>
      </c>
      <c r="EY115">
        <v>0</v>
      </c>
      <c r="EZ115">
        <v>0</v>
      </c>
      <c r="FA115">
        <v>0</v>
      </c>
      <c r="FB115">
        <v>1</v>
      </c>
      <c r="FC115" t="s">
        <v>1</v>
      </c>
      <c r="FD115" t="s">
        <v>2029</v>
      </c>
      <c r="FE115" t="s">
        <v>1045</v>
      </c>
      <c r="FF115">
        <v>0</v>
      </c>
      <c r="FG115">
        <v>0</v>
      </c>
      <c r="FH115" t="s">
        <v>1045</v>
      </c>
      <c r="FI115" t="s">
        <v>1045</v>
      </c>
      <c r="FJ115" t="s">
        <v>1043</v>
      </c>
      <c r="FR115">
        <v>0</v>
      </c>
      <c r="FS115">
        <v>0</v>
      </c>
      <c r="GA115" t="s">
        <v>1044</v>
      </c>
      <c r="GB115" t="s">
        <v>1044</v>
      </c>
      <c r="GC115" t="s">
        <v>1045</v>
      </c>
      <c r="GD115">
        <v>0</v>
      </c>
      <c r="GH115" t="s">
        <v>1045</v>
      </c>
      <c r="GI115" t="s">
        <v>2028</v>
      </c>
      <c r="GL115">
        <v>0</v>
      </c>
      <c r="GM115">
        <v>0</v>
      </c>
      <c r="GN115">
        <v>0</v>
      </c>
      <c r="GP115" t="s">
        <v>1042</v>
      </c>
      <c r="GQ115" t="s">
        <v>2027</v>
      </c>
      <c r="GS115" t="s">
        <v>1045</v>
      </c>
      <c r="GU115">
        <v>1</v>
      </c>
      <c r="GV115" t="s">
        <v>1045</v>
      </c>
      <c r="GW115" t="s">
        <v>2026</v>
      </c>
      <c r="GZ115" t="s">
        <v>2025</v>
      </c>
      <c r="HH115">
        <v>0</v>
      </c>
      <c r="HI115">
        <v>0</v>
      </c>
      <c r="HK115" t="s">
        <v>1045</v>
      </c>
      <c r="HL115" t="s">
        <v>1045</v>
      </c>
      <c r="HP115">
        <v>0</v>
      </c>
      <c r="HZ115">
        <v>0</v>
      </c>
      <c r="IB115">
        <v>0</v>
      </c>
      <c r="IC115">
        <v>0</v>
      </c>
      <c r="IG115" t="s">
        <v>1042</v>
      </c>
      <c r="IJ115" t="s">
        <v>1042</v>
      </c>
      <c r="IM115">
        <v>0</v>
      </c>
      <c r="IN115" t="s">
        <v>2024</v>
      </c>
      <c r="IQ115" t="s">
        <v>1045</v>
      </c>
    </row>
    <row r="116" spans="2:251" x14ac:dyDescent="0.35">
      <c r="B116">
        <v>1</v>
      </c>
      <c r="C116">
        <v>1371</v>
      </c>
      <c r="D116">
        <v>0</v>
      </c>
      <c r="E116">
        <v>0</v>
      </c>
      <c r="F116">
        <v>0</v>
      </c>
      <c r="G116">
        <v>0</v>
      </c>
      <c r="H116">
        <v>0</v>
      </c>
      <c r="I116">
        <v>0</v>
      </c>
      <c r="J116" t="s">
        <v>732</v>
      </c>
      <c r="M116">
        <v>27</v>
      </c>
      <c r="Q116">
        <v>65</v>
      </c>
      <c r="S116">
        <v>41.5</v>
      </c>
      <c r="T116">
        <v>0</v>
      </c>
      <c r="U116">
        <v>0</v>
      </c>
      <c r="W116">
        <v>0</v>
      </c>
      <c r="Y116" t="s">
        <v>1042</v>
      </c>
      <c r="Z116" t="s">
        <v>1042</v>
      </c>
      <c r="AA116" t="s">
        <v>1042</v>
      </c>
      <c r="AB116" t="s">
        <v>1042</v>
      </c>
      <c r="AC116" t="s">
        <v>1042</v>
      </c>
      <c r="AD116" t="s">
        <v>1042</v>
      </c>
      <c r="AE116">
        <v>0</v>
      </c>
      <c r="AG116">
        <v>0</v>
      </c>
      <c r="AH116">
        <v>0</v>
      </c>
      <c r="AI116">
        <v>0</v>
      </c>
      <c r="AJ116">
        <v>0</v>
      </c>
      <c r="AK116" t="s">
        <v>1043</v>
      </c>
      <c r="AM116">
        <v>220</v>
      </c>
      <c r="AO116" t="s">
        <v>1044</v>
      </c>
      <c r="AP116">
        <v>0</v>
      </c>
      <c r="AR116" t="s">
        <v>1047</v>
      </c>
      <c r="AV116">
        <v>0</v>
      </c>
      <c r="AW116">
        <v>0</v>
      </c>
      <c r="AX116">
        <v>0</v>
      </c>
      <c r="AY116">
        <v>0</v>
      </c>
      <c r="AZ116">
        <v>0</v>
      </c>
      <c r="BA116">
        <v>0</v>
      </c>
      <c r="BB116">
        <v>0</v>
      </c>
      <c r="BC116" t="s">
        <v>1043</v>
      </c>
      <c r="BD116">
        <v>0</v>
      </c>
      <c r="BE116">
        <v>0</v>
      </c>
      <c r="BJ116" t="s">
        <v>1044</v>
      </c>
      <c r="BM116">
        <v>0</v>
      </c>
      <c r="BN116">
        <v>0</v>
      </c>
      <c r="BO116">
        <v>0</v>
      </c>
      <c r="BP116">
        <v>0</v>
      </c>
      <c r="BQ116">
        <v>0</v>
      </c>
      <c r="BR116">
        <v>0</v>
      </c>
      <c r="BS116">
        <v>0</v>
      </c>
      <c r="BU116">
        <v>0.15</v>
      </c>
      <c r="BV116">
        <v>3.2000000000000001E-2</v>
      </c>
      <c r="BW116">
        <v>0.18</v>
      </c>
      <c r="BX116">
        <v>0.72</v>
      </c>
      <c r="BY116">
        <v>0.17</v>
      </c>
      <c r="BZ116">
        <v>0.47</v>
      </c>
      <c r="CA116">
        <v>700</v>
      </c>
      <c r="CQ116" t="s">
        <v>2031</v>
      </c>
      <c r="CR116">
        <v>0</v>
      </c>
      <c r="CS116">
        <v>0</v>
      </c>
      <c r="CT116">
        <v>0</v>
      </c>
      <c r="CU116">
        <v>0</v>
      </c>
      <c r="CW116" t="s">
        <v>1043</v>
      </c>
      <c r="CX116">
        <v>0</v>
      </c>
      <c r="CY116">
        <v>0</v>
      </c>
      <c r="CZ116">
        <v>0</v>
      </c>
      <c r="DA116">
        <v>0</v>
      </c>
      <c r="DB116">
        <v>0</v>
      </c>
      <c r="DD116">
        <v>0</v>
      </c>
      <c r="DK116">
        <v>0</v>
      </c>
      <c r="DL116">
        <v>0</v>
      </c>
      <c r="DM116">
        <v>0</v>
      </c>
      <c r="DN116">
        <v>0</v>
      </c>
      <c r="DO116">
        <v>0</v>
      </c>
      <c r="DP116">
        <v>0</v>
      </c>
      <c r="DQ116">
        <v>0</v>
      </c>
      <c r="DR116">
        <v>0</v>
      </c>
      <c r="DS116" t="s">
        <v>1043</v>
      </c>
      <c r="DT116" t="s">
        <v>1044</v>
      </c>
      <c r="DU116" t="s">
        <v>1044</v>
      </c>
      <c r="DW116" t="s">
        <v>1042</v>
      </c>
      <c r="DX116">
        <v>0</v>
      </c>
      <c r="DY116" t="s">
        <v>1043</v>
      </c>
      <c r="DZ116">
        <v>0</v>
      </c>
      <c r="EA116">
        <v>0</v>
      </c>
      <c r="EC116">
        <v>0</v>
      </c>
      <c r="EM116">
        <v>0</v>
      </c>
      <c r="EN116">
        <v>0</v>
      </c>
      <c r="EO116">
        <v>0</v>
      </c>
      <c r="EP116" t="s">
        <v>1043</v>
      </c>
      <c r="EX116" t="s">
        <v>2030</v>
      </c>
      <c r="EY116">
        <v>0</v>
      </c>
      <c r="EZ116">
        <v>0</v>
      </c>
      <c r="FA116">
        <v>0</v>
      </c>
      <c r="FB116">
        <v>1</v>
      </c>
      <c r="FC116" t="s">
        <v>1</v>
      </c>
      <c r="FD116" t="s">
        <v>2029</v>
      </c>
      <c r="FE116" t="s">
        <v>1045</v>
      </c>
      <c r="FF116">
        <v>0</v>
      </c>
      <c r="FG116">
        <v>0</v>
      </c>
      <c r="FH116" t="s">
        <v>1045</v>
      </c>
      <c r="FI116" t="s">
        <v>1045</v>
      </c>
      <c r="FJ116" t="s">
        <v>1043</v>
      </c>
      <c r="FR116">
        <v>0</v>
      </c>
      <c r="FS116">
        <v>0</v>
      </c>
      <c r="GA116" t="s">
        <v>1044</v>
      </c>
      <c r="GB116" t="s">
        <v>1044</v>
      </c>
      <c r="GC116" t="s">
        <v>1045</v>
      </c>
      <c r="GD116">
        <v>0</v>
      </c>
      <c r="GH116" t="s">
        <v>1045</v>
      </c>
      <c r="GI116" t="s">
        <v>2028</v>
      </c>
      <c r="GL116">
        <v>0</v>
      </c>
      <c r="GM116">
        <v>0</v>
      </c>
      <c r="GN116">
        <v>0</v>
      </c>
      <c r="GP116" t="s">
        <v>1042</v>
      </c>
      <c r="GQ116" t="s">
        <v>2027</v>
      </c>
      <c r="GS116" t="s">
        <v>1045</v>
      </c>
      <c r="GU116">
        <v>1</v>
      </c>
      <c r="GV116" t="s">
        <v>1045</v>
      </c>
      <c r="GW116" t="s">
        <v>2026</v>
      </c>
      <c r="GZ116" t="s">
        <v>2025</v>
      </c>
      <c r="HH116">
        <v>0</v>
      </c>
      <c r="HI116">
        <v>0</v>
      </c>
      <c r="HK116" t="s">
        <v>1045</v>
      </c>
      <c r="HL116" t="s">
        <v>1045</v>
      </c>
      <c r="HP116">
        <v>0</v>
      </c>
      <c r="HZ116">
        <v>0</v>
      </c>
      <c r="IB116">
        <v>0</v>
      </c>
      <c r="IC116">
        <v>0</v>
      </c>
      <c r="IG116" t="s">
        <v>1042</v>
      </c>
      <c r="IJ116" t="s">
        <v>1042</v>
      </c>
      <c r="IM116">
        <v>0</v>
      </c>
      <c r="IN116" t="s">
        <v>2024</v>
      </c>
      <c r="IQ116" t="s">
        <v>1045</v>
      </c>
    </row>
    <row r="117" spans="2:251" x14ac:dyDescent="0.35">
      <c r="B117">
        <v>1</v>
      </c>
      <c r="C117">
        <v>1372</v>
      </c>
      <c r="D117">
        <v>0</v>
      </c>
      <c r="E117">
        <v>0</v>
      </c>
      <c r="F117">
        <v>0</v>
      </c>
      <c r="G117">
        <v>0</v>
      </c>
      <c r="H117">
        <v>0</v>
      </c>
      <c r="I117">
        <v>0</v>
      </c>
      <c r="J117" t="s">
        <v>733</v>
      </c>
      <c r="M117">
        <v>34</v>
      </c>
      <c r="Q117">
        <v>81</v>
      </c>
      <c r="S117">
        <v>48</v>
      </c>
      <c r="T117">
        <v>0</v>
      </c>
      <c r="U117">
        <v>0</v>
      </c>
      <c r="W117">
        <v>0</v>
      </c>
      <c r="Y117" t="s">
        <v>1042</v>
      </c>
      <c r="Z117" t="s">
        <v>1042</v>
      </c>
      <c r="AA117" t="s">
        <v>1042</v>
      </c>
      <c r="AB117" t="s">
        <v>1042</v>
      </c>
      <c r="AC117" t="s">
        <v>1042</v>
      </c>
      <c r="AD117" t="s">
        <v>1042</v>
      </c>
      <c r="AE117">
        <v>0</v>
      </c>
      <c r="AG117">
        <v>0</v>
      </c>
      <c r="AH117">
        <v>0</v>
      </c>
      <c r="AI117">
        <v>0</v>
      </c>
      <c r="AJ117">
        <v>0</v>
      </c>
      <c r="AK117" t="s">
        <v>1043</v>
      </c>
      <c r="AM117">
        <v>220</v>
      </c>
      <c r="AO117" t="s">
        <v>1044</v>
      </c>
      <c r="AP117">
        <v>0</v>
      </c>
      <c r="AR117" t="s">
        <v>1047</v>
      </c>
      <c r="AV117">
        <v>0</v>
      </c>
      <c r="AW117">
        <v>0</v>
      </c>
      <c r="AX117">
        <v>0</v>
      </c>
      <c r="AY117">
        <v>0</v>
      </c>
      <c r="AZ117">
        <v>0</v>
      </c>
      <c r="BA117">
        <v>0</v>
      </c>
      <c r="BB117">
        <v>0</v>
      </c>
      <c r="BC117" t="s">
        <v>1043</v>
      </c>
      <c r="BD117">
        <v>0</v>
      </c>
      <c r="BE117">
        <v>0</v>
      </c>
      <c r="BJ117" t="s">
        <v>1044</v>
      </c>
      <c r="BM117">
        <v>0</v>
      </c>
      <c r="BN117">
        <v>0</v>
      </c>
      <c r="BO117">
        <v>0</v>
      </c>
      <c r="BP117">
        <v>0</v>
      </c>
      <c r="BQ117">
        <v>0</v>
      </c>
      <c r="BR117">
        <v>0</v>
      </c>
      <c r="BS117">
        <v>0</v>
      </c>
      <c r="BU117">
        <v>0.2</v>
      </c>
      <c r="BV117">
        <v>0.06</v>
      </c>
      <c r="BW117">
        <v>0.17</v>
      </c>
      <c r="BX117">
        <v>0.72</v>
      </c>
      <c r="BY117">
        <v>0.19</v>
      </c>
      <c r="BZ117">
        <v>0.49</v>
      </c>
      <c r="CA117">
        <v>300</v>
      </c>
      <c r="CQ117" t="s">
        <v>2031</v>
      </c>
      <c r="CR117">
        <v>0</v>
      </c>
      <c r="CS117">
        <v>0</v>
      </c>
      <c r="CT117">
        <v>0</v>
      </c>
      <c r="CU117">
        <v>0</v>
      </c>
      <c r="CW117" t="s">
        <v>1043</v>
      </c>
      <c r="CX117">
        <v>0</v>
      </c>
      <c r="CY117">
        <v>0</v>
      </c>
      <c r="CZ117">
        <v>0</v>
      </c>
      <c r="DA117">
        <v>0</v>
      </c>
      <c r="DB117">
        <v>0</v>
      </c>
      <c r="DD117">
        <v>0</v>
      </c>
      <c r="DK117">
        <v>0</v>
      </c>
      <c r="DL117">
        <v>0</v>
      </c>
      <c r="DM117">
        <v>0</v>
      </c>
      <c r="DN117">
        <v>0</v>
      </c>
      <c r="DO117">
        <v>0</v>
      </c>
      <c r="DP117">
        <v>0</v>
      </c>
      <c r="DQ117">
        <v>0</v>
      </c>
      <c r="DR117">
        <v>0</v>
      </c>
      <c r="DS117" t="s">
        <v>1043</v>
      </c>
      <c r="DT117" t="s">
        <v>1044</v>
      </c>
      <c r="DU117" t="s">
        <v>1044</v>
      </c>
      <c r="DW117" t="s">
        <v>1042</v>
      </c>
      <c r="DX117">
        <v>0</v>
      </c>
      <c r="DY117" t="s">
        <v>1043</v>
      </c>
      <c r="DZ117">
        <v>0</v>
      </c>
      <c r="EA117">
        <v>0</v>
      </c>
      <c r="EC117">
        <v>0</v>
      </c>
      <c r="EM117">
        <v>0</v>
      </c>
      <c r="EN117">
        <v>0</v>
      </c>
      <c r="EO117">
        <v>0</v>
      </c>
      <c r="EP117" t="s">
        <v>1043</v>
      </c>
      <c r="EX117" t="s">
        <v>2030</v>
      </c>
      <c r="EY117">
        <v>0</v>
      </c>
      <c r="EZ117">
        <v>0</v>
      </c>
      <c r="FA117">
        <v>0</v>
      </c>
      <c r="FB117">
        <v>1</v>
      </c>
      <c r="FC117" t="s">
        <v>1</v>
      </c>
      <c r="FD117" t="s">
        <v>2029</v>
      </c>
      <c r="FE117" t="s">
        <v>1045</v>
      </c>
      <c r="FF117">
        <v>0</v>
      </c>
      <c r="FG117">
        <v>0</v>
      </c>
      <c r="FH117" t="s">
        <v>1045</v>
      </c>
      <c r="FI117" t="s">
        <v>1045</v>
      </c>
      <c r="FJ117" t="s">
        <v>1043</v>
      </c>
      <c r="FR117">
        <v>0</v>
      </c>
      <c r="FS117">
        <v>0</v>
      </c>
      <c r="GA117" t="s">
        <v>1044</v>
      </c>
      <c r="GB117" t="s">
        <v>1044</v>
      </c>
      <c r="GC117" t="s">
        <v>1045</v>
      </c>
      <c r="GD117">
        <v>0</v>
      </c>
      <c r="GH117" t="s">
        <v>1045</v>
      </c>
      <c r="GI117" t="s">
        <v>2028</v>
      </c>
      <c r="GL117">
        <v>0</v>
      </c>
      <c r="GM117">
        <v>0</v>
      </c>
      <c r="GN117">
        <v>0</v>
      </c>
      <c r="GP117" t="s">
        <v>1042</v>
      </c>
      <c r="GQ117" t="s">
        <v>2027</v>
      </c>
      <c r="GS117" t="s">
        <v>1045</v>
      </c>
      <c r="GU117">
        <v>1</v>
      </c>
      <c r="GV117" t="s">
        <v>1045</v>
      </c>
      <c r="GW117" t="s">
        <v>2026</v>
      </c>
      <c r="GZ117" t="s">
        <v>2025</v>
      </c>
      <c r="HH117">
        <v>0</v>
      </c>
      <c r="HI117">
        <v>0</v>
      </c>
      <c r="HK117" t="s">
        <v>1045</v>
      </c>
      <c r="HL117" t="s">
        <v>1045</v>
      </c>
      <c r="HP117">
        <v>0</v>
      </c>
      <c r="HZ117">
        <v>0</v>
      </c>
      <c r="IB117">
        <v>0</v>
      </c>
      <c r="IC117">
        <v>0</v>
      </c>
      <c r="IG117" t="s">
        <v>1042</v>
      </c>
      <c r="IJ117" t="s">
        <v>1042</v>
      </c>
      <c r="IM117">
        <v>0</v>
      </c>
      <c r="IN117" t="s">
        <v>2024</v>
      </c>
      <c r="IQ117" t="s">
        <v>1045</v>
      </c>
    </row>
    <row r="118" spans="2:251" x14ac:dyDescent="0.35">
      <c r="B118">
        <v>1</v>
      </c>
      <c r="C118">
        <v>1373</v>
      </c>
      <c r="D118">
        <v>0</v>
      </c>
      <c r="E118">
        <v>0</v>
      </c>
      <c r="F118">
        <v>0</v>
      </c>
      <c r="G118">
        <v>0</v>
      </c>
      <c r="H118">
        <v>0</v>
      </c>
      <c r="I118">
        <v>0</v>
      </c>
      <c r="J118" t="s">
        <v>734</v>
      </c>
      <c r="M118">
        <v>34</v>
      </c>
      <c r="Q118">
        <v>81</v>
      </c>
      <c r="S118">
        <v>50</v>
      </c>
      <c r="T118">
        <v>0</v>
      </c>
      <c r="U118">
        <v>0</v>
      </c>
      <c r="W118">
        <v>0</v>
      </c>
      <c r="Y118" t="s">
        <v>1042</v>
      </c>
      <c r="Z118" t="s">
        <v>1042</v>
      </c>
      <c r="AA118" t="s">
        <v>1042</v>
      </c>
      <c r="AB118" t="s">
        <v>1042</v>
      </c>
      <c r="AC118" t="s">
        <v>1042</v>
      </c>
      <c r="AD118" t="s">
        <v>1042</v>
      </c>
      <c r="AE118">
        <v>0</v>
      </c>
      <c r="AG118">
        <v>0</v>
      </c>
      <c r="AH118">
        <v>0</v>
      </c>
      <c r="AI118">
        <v>0</v>
      </c>
      <c r="AJ118">
        <v>0</v>
      </c>
      <c r="AK118" t="s">
        <v>1043</v>
      </c>
      <c r="AM118">
        <v>220</v>
      </c>
      <c r="AO118" t="s">
        <v>1044</v>
      </c>
      <c r="AP118">
        <v>0</v>
      </c>
      <c r="AR118" t="s">
        <v>1047</v>
      </c>
      <c r="AV118">
        <v>0</v>
      </c>
      <c r="AW118">
        <v>0</v>
      </c>
      <c r="AX118">
        <v>0</v>
      </c>
      <c r="AY118">
        <v>0</v>
      </c>
      <c r="AZ118">
        <v>0</v>
      </c>
      <c r="BA118">
        <v>0</v>
      </c>
      <c r="BB118">
        <v>0</v>
      </c>
      <c r="BC118" t="s">
        <v>1043</v>
      </c>
      <c r="BD118">
        <v>0</v>
      </c>
      <c r="BE118">
        <v>0</v>
      </c>
      <c r="BJ118" t="s">
        <v>1044</v>
      </c>
      <c r="BM118">
        <v>0</v>
      </c>
      <c r="BN118">
        <v>0</v>
      </c>
      <c r="BO118">
        <v>0</v>
      </c>
      <c r="BP118">
        <v>0</v>
      </c>
      <c r="BQ118">
        <v>0</v>
      </c>
      <c r="BR118">
        <v>0</v>
      </c>
      <c r="BS118">
        <v>0</v>
      </c>
      <c r="BU118">
        <v>0.2</v>
      </c>
      <c r="BV118">
        <v>0.06</v>
      </c>
      <c r="BW118">
        <v>0.17</v>
      </c>
      <c r="BX118">
        <v>0.72</v>
      </c>
      <c r="BY118">
        <v>0.19</v>
      </c>
      <c r="BZ118">
        <v>0.49</v>
      </c>
      <c r="CA118">
        <v>300</v>
      </c>
      <c r="CQ118" t="s">
        <v>2031</v>
      </c>
      <c r="CR118">
        <v>0</v>
      </c>
      <c r="CS118">
        <v>0</v>
      </c>
      <c r="CT118">
        <v>0</v>
      </c>
      <c r="CU118">
        <v>0</v>
      </c>
      <c r="CW118" t="s">
        <v>1043</v>
      </c>
      <c r="CX118">
        <v>0</v>
      </c>
      <c r="CY118">
        <v>0</v>
      </c>
      <c r="CZ118">
        <v>0</v>
      </c>
      <c r="DA118">
        <v>0</v>
      </c>
      <c r="DB118">
        <v>0</v>
      </c>
      <c r="DD118">
        <v>0</v>
      </c>
      <c r="DK118">
        <v>0</v>
      </c>
      <c r="DL118">
        <v>0</v>
      </c>
      <c r="DM118">
        <v>0</v>
      </c>
      <c r="DN118">
        <v>0</v>
      </c>
      <c r="DO118">
        <v>0</v>
      </c>
      <c r="DP118">
        <v>0</v>
      </c>
      <c r="DQ118">
        <v>0</v>
      </c>
      <c r="DR118">
        <v>0</v>
      </c>
      <c r="DS118" t="s">
        <v>1043</v>
      </c>
      <c r="DT118" t="s">
        <v>1044</v>
      </c>
      <c r="DU118" t="s">
        <v>1044</v>
      </c>
      <c r="DW118" t="s">
        <v>1042</v>
      </c>
      <c r="DX118">
        <v>0</v>
      </c>
      <c r="DY118" t="s">
        <v>1043</v>
      </c>
      <c r="DZ118">
        <v>0</v>
      </c>
      <c r="EA118">
        <v>0</v>
      </c>
      <c r="EC118">
        <v>0</v>
      </c>
      <c r="EM118">
        <v>0</v>
      </c>
      <c r="EN118">
        <v>0</v>
      </c>
      <c r="EO118">
        <v>0</v>
      </c>
      <c r="EP118" t="s">
        <v>1043</v>
      </c>
      <c r="EX118" t="s">
        <v>2030</v>
      </c>
      <c r="EY118">
        <v>0</v>
      </c>
      <c r="EZ118">
        <v>0</v>
      </c>
      <c r="FA118">
        <v>0</v>
      </c>
      <c r="FB118">
        <v>1</v>
      </c>
      <c r="FC118" t="s">
        <v>1</v>
      </c>
      <c r="FD118" t="s">
        <v>2029</v>
      </c>
      <c r="FE118" t="s">
        <v>1045</v>
      </c>
      <c r="FF118">
        <v>0</v>
      </c>
      <c r="FG118">
        <v>0</v>
      </c>
      <c r="FH118" t="s">
        <v>1045</v>
      </c>
      <c r="FI118" t="s">
        <v>1045</v>
      </c>
      <c r="FJ118" t="s">
        <v>1043</v>
      </c>
      <c r="FR118">
        <v>0</v>
      </c>
      <c r="FS118">
        <v>0</v>
      </c>
      <c r="GA118" t="s">
        <v>1044</v>
      </c>
      <c r="GB118" t="s">
        <v>1044</v>
      </c>
      <c r="GC118" t="s">
        <v>1045</v>
      </c>
      <c r="GD118">
        <v>0</v>
      </c>
      <c r="GH118" t="s">
        <v>1045</v>
      </c>
      <c r="GI118" t="s">
        <v>2028</v>
      </c>
      <c r="GL118">
        <v>0</v>
      </c>
      <c r="GM118">
        <v>0</v>
      </c>
      <c r="GN118">
        <v>0</v>
      </c>
      <c r="GP118" t="s">
        <v>1042</v>
      </c>
      <c r="GQ118" t="s">
        <v>2027</v>
      </c>
      <c r="GS118" t="s">
        <v>1045</v>
      </c>
      <c r="GU118">
        <v>1</v>
      </c>
      <c r="GV118" t="s">
        <v>1045</v>
      </c>
      <c r="GW118" t="s">
        <v>2026</v>
      </c>
      <c r="GZ118" t="s">
        <v>2025</v>
      </c>
      <c r="HH118">
        <v>0</v>
      </c>
      <c r="HI118">
        <v>0</v>
      </c>
      <c r="HK118" t="s">
        <v>1045</v>
      </c>
      <c r="HL118" t="s">
        <v>1045</v>
      </c>
      <c r="HP118">
        <v>0</v>
      </c>
      <c r="HZ118">
        <v>0</v>
      </c>
      <c r="IB118">
        <v>0</v>
      </c>
      <c r="IC118">
        <v>0</v>
      </c>
      <c r="IG118" t="s">
        <v>1042</v>
      </c>
      <c r="IJ118" t="s">
        <v>1042</v>
      </c>
      <c r="IM118">
        <v>0</v>
      </c>
      <c r="IN118" t="s">
        <v>2024</v>
      </c>
      <c r="IQ118" t="s">
        <v>1045</v>
      </c>
    </row>
    <row r="119" spans="2:251" x14ac:dyDescent="0.35">
      <c r="B119">
        <v>1</v>
      </c>
      <c r="C119">
        <v>1374</v>
      </c>
      <c r="D119">
        <v>0</v>
      </c>
      <c r="E119">
        <v>0</v>
      </c>
      <c r="F119">
        <v>0</v>
      </c>
      <c r="G119">
        <v>0</v>
      </c>
      <c r="H119">
        <v>0</v>
      </c>
      <c r="I119">
        <v>0</v>
      </c>
      <c r="J119" t="s">
        <v>735</v>
      </c>
      <c r="M119">
        <v>35</v>
      </c>
      <c r="Q119">
        <v>52</v>
      </c>
      <c r="S119">
        <v>39</v>
      </c>
      <c r="T119">
        <v>0</v>
      </c>
      <c r="U119">
        <v>0</v>
      </c>
      <c r="W119">
        <v>0</v>
      </c>
      <c r="Y119" t="s">
        <v>1042</v>
      </c>
      <c r="Z119" t="s">
        <v>1042</v>
      </c>
      <c r="AA119" t="s">
        <v>1042</v>
      </c>
      <c r="AB119" t="s">
        <v>1042</v>
      </c>
      <c r="AC119" t="s">
        <v>1042</v>
      </c>
      <c r="AD119" t="s">
        <v>1042</v>
      </c>
      <c r="AE119">
        <v>5.1999999999999998E-2</v>
      </c>
      <c r="AG119">
        <v>3.5000000000000003E-2</v>
      </c>
      <c r="AH119">
        <v>0</v>
      </c>
      <c r="AI119">
        <v>0</v>
      </c>
      <c r="AJ119">
        <v>3.9E-2</v>
      </c>
      <c r="AK119" t="s">
        <v>1043</v>
      </c>
      <c r="AM119">
        <v>220</v>
      </c>
      <c r="AO119" t="s">
        <v>1044</v>
      </c>
      <c r="AP119">
        <v>0</v>
      </c>
      <c r="AR119" t="s">
        <v>1047</v>
      </c>
      <c r="AV119">
        <v>0</v>
      </c>
      <c r="AW119">
        <v>0</v>
      </c>
      <c r="AX119">
        <v>0</v>
      </c>
      <c r="AY119">
        <v>0</v>
      </c>
      <c r="AZ119">
        <v>0</v>
      </c>
      <c r="BA119">
        <v>0</v>
      </c>
      <c r="BB119">
        <v>0</v>
      </c>
      <c r="BC119" t="s">
        <v>1043</v>
      </c>
      <c r="BD119">
        <v>0</v>
      </c>
      <c r="BE119">
        <v>0</v>
      </c>
      <c r="BJ119" t="s">
        <v>1044</v>
      </c>
      <c r="BM119">
        <v>0</v>
      </c>
      <c r="BN119">
        <v>0</v>
      </c>
      <c r="BO119">
        <v>0</v>
      </c>
      <c r="BP119">
        <v>0</v>
      </c>
      <c r="BQ119">
        <v>0</v>
      </c>
      <c r="BR119">
        <v>0</v>
      </c>
      <c r="BS119">
        <v>0</v>
      </c>
      <c r="BU119">
        <v>0.14000000000000001</v>
      </c>
      <c r="BV119">
        <v>4.2000000000000003E-2</v>
      </c>
      <c r="BW119">
        <v>0.15</v>
      </c>
      <c r="BX119">
        <v>0.22500000000000001</v>
      </c>
      <c r="BY119">
        <v>0.26</v>
      </c>
      <c r="BZ119">
        <v>0.30499999999999999</v>
      </c>
      <c r="CA119">
        <v>200</v>
      </c>
      <c r="CQ119" t="s">
        <v>2031</v>
      </c>
      <c r="CR119">
        <v>0</v>
      </c>
      <c r="CS119">
        <v>0</v>
      </c>
      <c r="CT119">
        <v>0</v>
      </c>
      <c r="CU119">
        <v>0</v>
      </c>
      <c r="CW119" t="s">
        <v>1043</v>
      </c>
      <c r="CX119">
        <v>0</v>
      </c>
      <c r="CY119">
        <v>0</v>
      </c>
      <c r="CZ119">
        <v>0</v>
      </c>
      <c r="DA119">
        <v>0</v>
      </c>
      <c r="DB119">
        <v>0</v>
      </c>
      <c r="DD119">
        <v>0</v>
      </c>
      <c r="DK119">
        <v>0</v>
      </c>
      <c r="DL119">
        <v>0</v>
      </c>
      <c r="DM119">
        <v>0</v>
      </c>
      <c r="DN119">
        <v>0</v>
      </c>
      <c r="DO119">
        <v>0</v>
      </c>
      <c r="DP119">
        <v>0</v>
      </c>
      <c r="DQ119">
        <v>0</v>
      </c>
      <c r="DR119">
        <v>0</v>
      </c>
      <c r="DS119" t="s">
        <v>1043</v>
      </c>
      <c r="DT119" t="s">
        <v>1044</v>
      </c>
      <c r="DU119" t="s">
        <v>1044</v>
      </c>
      <c r="DW119" t="s">
        <v>1042</v>
      </c>
      <c r="DX119">
        <v>0</v>
      </c>
      <c r="DY119" t="s">
        <v>1043</v>
      </c>
      <c r="DZ119">
        <v>0</v>
      </c>
      <c r="EA119">
        <v>0</v>
      </c>
      <c r="EC119">
        <v>0</v>
      </c>
      <c r="EM119">
        <v>0</v>
      </c>
      <c r="EN119">
        <v>0</v>
      </c>
      <c r="EO119">
        <v>0</v>
      </c>
      <c r="EP119" t="s">
        <v>1043</v>
      </c>
      <c r="EX119" t="s">
        <v>2030</v>
      </c>
      <c r="EY119">
        <v>0</v>
      </c>
      <c r="EZ119">
        <v>0</v>
      </c>
      <c r="FA119">
        <v>0</v>
      </c>
      <c r="FB119">
        <v>1</v>
      </c>
      <c r="FC119" t="s">
        <v>1</v>
      </c>
      <c r="FD119" t="s">
        <v>2029</v>
      </c>
      <c r="FE119" t="s">
        <v>1045</v>
      </c>
      <c r="FF119">
        <v>0</v>
      </c>
      <c r="FG119">
        <v>0</v>
      </c>
      <c r="FH119" t="s">
        <v>1045</v>
      </c>
      <c r="FI119" t="s">
        <v>1045</v>
      </c>
      <c r="FJ119" t="s">
        <v>1043</v>
      </c>
      <c r="FR119">
        <v>0</v>
      </c>
      <c r="FS119">
        <v>0</v>
      </c>
      <c r="GA119" t="s">
        <v>1044</v>
      </c>
      <c r="GB119" t="s">
        <v>1044</v>
      </c>
      <c r="GC119" t="s">
        <v>1045</v>
      </c>
      <c r="GD119">
        <v>0</v>
      </c>
      <c r="GH119" t="s">
        <v>1045</v>
      </c>
      <c r="GI119" t="s">
        <v>2028</v>
      </c>
      <c r="GL119">
        <v>0</v>
      </c>
      <c r="GM119">
        <v>0</v>
      </c>
      <c r="GN119">
        <v>0</v>
      </c>
      <c r="GP119" t="s">
        <v>1042</v>
      </c>
      <c r="GQ119" t="s">
        <v>2027</v>
      </c>
      <c r="GS119" t="s">
        <v>1045</v>
      </c>
      <c r="GU119">
        <v>1</v>
      </c>
      <c r="GV119" t="s">
        <v>1045</v>
      </c>
      <c r="GW119" t="s">
        <v>2026</v>
      </c>
      <c r="GZ119" t="s">
        <v>2025</v>
      </c>
      <c r="HH119">
        <v>0</v>
      </c>
      <c r="HI119">
        <v>0</v>
      </c>
      <c r="HK119" t="s">
        <v>1045</v>
      </c>
      <c r="HL119" t="s">
        <v>1045</v>
      </c>
      <c r="HP119">
        <v>0</v>
      </c>
      <c r="HZ119">
        <v>0</v>
      </c>
      <c r="IB119">
        <v>0</v>
      </c>
      <c r="IC119">
        <v>0</v>
      </c>
      <c r="IG119" t="s">
        <v>1042</v>
      </c>
      <c r="IJ119" t="s">
        <v>1042</v>
      </c>
      <c r="IM119">
        <v>0</v>
      </c>
      <c r="IN119" t="s">
        <v>2024</v>
      </c>
      <c r="IQ119" t="s">
        <v>1045</v>
      </c>
    </row>
    <row r="120" spans="2:251" x14ac:dyDescent="0.35">
      <c r="B120">
        <v>1</v>
      </c>
      <c r="C120">
        <v>1375</v>
      </c>
      <c r="D120">
        <v>0</v>
      </c>
      <c r="E120">
        <v>0</v>
      </c>
      <c r="F120">
        <v>0</v>
      </c>
      <c r="G120">
        <v>0</v>
      </c>
      <c r="H120">
        <v>0</v>
      </c>
      <c r="I120">
        <v>0</v>
      </c>
      <c r="J120" t="s">
        <v>736</v>
      </c>
      <c r="M120">
        <v>65</v>
      </c>
      <c r="Q120">
        <v>48</v>
      </c>
      <c r="S120">
        <v>34</v>
      </c>
      <c r="T120">
        <v>0</v>
      </c>
      <c r="U120">
        <v>0</v>
      </c>
      <c r="W120">
        <v>0</v>
      </c>
      <c r="Y120" t="s">
        <v>1042</v>
      </c>
      <c r="Z120" t="s">
        <v>1042</v>
      </c>
      <c r="AA120" t="s">
        <v>1042</v>
      </c>
      <c r="AB120" t="s">
        <v>1042</v>
      </c>
      <c r="AC120" t="s">
        <v>1042</v>
      </c>
      <c r="AD120" t="s">
        <v>1042</v>
      </c>
      <c r="AE120">
        <v>6.4000000000000001E-2</v>
      </c>
      <c r="AG120">
        <v>3.5000000000000003E-2</v>
      </c>
      <c r="AH120">
        <v>0</v>
      </c>
      <c r="AI120">
        <v>0</v>
      </c>
      <c r="AJ120">
        <v>4.7E-2</v>
      </c>
      <c r="AK120" t="s">
        <v>1043</v>
      </c>
      <c r="AM120">
        <v>220</v>
      </c>
      <c r="AO120" t="s">
        <v>1044</v>
      </c>
      <c r="AP120">
        <v>0</v>
      </c>
      <c r="AR120" t="s">
        <v>1047</v>
      </c>
      <c r="AV120">
        <v>0</v>
      </c>
      <c r="AW120">
        <v>0</v>
      </c>
      <c r="AX120">
        <v>0</v>
      </c>
      <c r="AY120">
        <v>0</v>
      </c>
      <c r="AZ120">
        <v>0</v>
      </c>
      <c r="BA120">
        <v>0</v>
      </c>
      <c r="BB120">
        <v>0</v>
      </c>
      <c r="BC120" t="s">
        <v>1043</v>
      </c>
      <c r="BD120">
        <v>0</v>
      </c>
      <c r="BE120">
        <v>0</v>
      </c>
      <c r="BJ120" t="s">
        <v>1044</v>
      </c>
      <c r="BM120">
        <v>0</v>
      </c>
      <c r="BN120">
        <v>0</v>
      </c>
      <c r="BO120">
        <v>0</v>
      </c>
      <c r="BP120">
        <v>0</v>
      </c>
      <c r="BQ120">
        <v>0</v>
      </c>
      <c r="BR120">
        <v>0</v>
      </c>
      <c r="BS120">
        <v>0</v>
      </c>
      <c r="BU120">
        <v>0.15</v>
      </c>
      <c r="BV120">
        <v>6.5000000000000002E-2</v>
      </c>
      <c r="BW120">
        <v>0.16</v>
      </c>
      <c r="BX120">
        <v>0.24</v>
      </c>
      <c r="BY120">
        <v>0.26</v>
      </c>
      <c r="BZ120">
        <v>0.31</v>
      </c>
      <c r="CA120">
        <v>140</v>
      </c>
      <c r="CQ120" t="s">
        <v>2031</v>
      </c>
      <c r="CR120">
        <v>0</v>
      </c>
      <c r="CS120">
        <v>0</v>
      </c>
      <c r="CT120">
        <v>0</v>
      </c>
      <c r="CU120">
        <v>0</v>
      </c>
      <c r="CW120" t="s">
        <v>1043</v>
      </c>
      <c r="CX120">
        <v>0</v>
      </c>
      <c r="CY120">
        <v>0</v>
      </c>
      <c r="CZ120">
        <v>0</v>
      </c>
      <c r="DA120">
        <v>0</v>
      </c>
      <c r="DB120">
        <v>0</v>
      </c>
      <c r="DD120">
        <v>0</v>
      </c>
      <c r="DK120">
        <v>0</v>
      </c>
      <c r="DL120">
        <v>0</v>
      </c>
      <c r="DM120">
        <v>0</v>
      </c>
      <c r="DN120">
        <v>0</v>
      </c>
      <c r="DO120">
        <v>0</v>
      </c>
      <c r="DP120">
        <v>0</v>
      </c>
      <c r="DQ120">
        <v>0</v>
      </c>
      <c r="DR120">
        <v>0</v>
      </c>
      <c r="DS120" t="s">
        <v>1043</v>
      </c>
      <c r="DT120" t="s">
        <v>1044</v>
      </c>
      <c r="DU120" t="s">
        <v>1044</v>
      </c>
      <c r="DW120" t="s">
        <v>1042</v>
      </c>
      <c r="DX120">
        <v>0</v>
      </c>
      <c r="DY120" t="s">
        <v>1043</v>
      </c>
      <c r="DZ120">
        <v>0</v>
      </c>
      <c r="EA120">
        <v>0</v>
      </c>
      <c r="EC120">
        <v>0</v>
      </c>
      <c r="EM120">
        <v>0</v>
      </c>
      <c r="EN120">
        <v>0</v>
      </c>
      <c r="EO120">
        <v>0</v>
      </c>
      <c r="EP120" t="s">
        <v>1043</v>
      </c>
      <c r="EX120" t="s">
        <v>2030</v>
      </c>
      <c r="EY120">
        <v>0</v>
      </c>
      <c r="EZ120">
        <v>0</v>
      </c>
      <c r="FA120">
        <v>0</v>
      </c>
      <c r="FB120">
        <v>1</v>
      </c>
      <c r="FC120" t="s">
        <v>1</v>
      </c>
      <c r="FD120" t="s">
        <v>2029</v>
      </c>
      <c r="FE120" t="s">
        <v>1045</v>
      </c>
      <c r="FF120">
        <v>0</v>
      </c>
      <c r="FG120">
        <v>0</v>
      </c>
      <c r="FH120" t="s">
        <v>1045</v>
      </c>
      <c r="FI120" t="s">
        <v>1045</v>
      </c>
      <c r="FJ120" t="s">
        <v>1043</v>
      </c>
      <c r="FR120">
        <v>0</v>
      </c>
      <c r="FS120">
        <v>0</v>
      </c>
      <c r="GA120" t="s">
        <v>1044</v>
      </c>
      <c r="GB120" t="s">
        <v>1044</v>
      </c>
      <c r="GC120" t="s">
        <v>1045</v>
      </c>
      <c r="GD120">
        <v>0</v>
      </c>
      <c r="GH120" t="s">
        <v>1045</v>
      </c>
      <c r="GI120" t="s">
        <v>2028</v>
      </c>
      <c r="GL120">
        <v>0</v>
      </c>
      <c r="GM120">
        <v>0</v>
      </c>
      <c r="GN120">
        <v>0</v>
      </c>
      <c r="GP120" t="s">
        <v>1042</v>
      </c>
      <c r="GQ120" t="s">
        <v>2027</v>
      </c>
      <c r="GS120" t="s">
        <v>1045</v>
      </c>
      <c r="GU120">
        <v>1</v>
      </c>
      <c r="GV120" t="s">
        <v>1045</v>
      </c>
      <c r="GW120" t="s">
        <v>2026</v>
      </c>
      <c r="GZ120" t="s">
        <v>2025</v>
      </c>
      <c r="HH120">
        <v>0</v>
      </c>
      <c r="HI120">
        <v>0</v>
      </c>
      <c r="HK120" t="s">
        <v>1045</v>
      </c>
      <c r="HL120" t="s">
        <v>1045</v>
      </c>
      <c r="HP120">
        <v>0</v>
      </c>
      <c r="HZ120">
        <v>0</v>
      </c>
      <c r="IB120">
        <v>0</v>
      </c>
      <c r="IC120">
        <v>0</v>
      </c>
      <c r="IG120" t="s">
        <v>1042</v>
      </c>
      <c r="IJ120" t="s">
        <v>1042</v>
      </c>
      <c r="IM120">
        <v>0</v>
      </c>
      <c r="IN120" t="s">
        <v>2024</v>
      </c>
      <c r="IQ120" t="s">
        <v>1045</v>
      </c>
    </row>
    <row r="121" spans="2:251" x14ac:dyDescent="0.35">
      <c r="B121">
        <v>1</v>
      </c>
      <c r="C121">
        <v>1376</v>
      </c>
      <c r="D121">
        <v>0</v>
      </c>
      <c r="E121">
        <v>0</v>
      </c>
      <c r="F121">
        <v>0</v>
      </c>
      <c r="G121">
        <v>0</v>
      </c>
      <c r="H121">
        <v>0</v>
      </c>
      <c r="I121">
        <v>0</v>
      </c>
      <c r="J121" t="s">
        <v>737</v>
      </c>
      <c r="M121">
        <v>43</v>
      </c>
      <c r="Q121">
        <v>64</v>
      </c>
      <c r="S121">
        <v>48</v>
      </c>
      <c r="T121">
        <v>0</v>
      </c>
      <c r="U121">
        <v>0</v>
      </c>
      <c r="W121">
        <v>0</v>
      </c>
      <c r="Y121" t="s">
        <v>1042</v>
      </c>
      <c r="Z121" t="s">
        <v>1042</v>
      </c>
      <c r="AA121" t="s">
        <v>1042</v>
      </c>
      <c r="AB121" t="s">
        <v>1042</v>
      </c>
      <c r="AC121" t="s">
        <v>1042</v>
      </c>
      <c r="AD121" t="s">
        <v>1042</v>
      </c>
      <c r="AE121">
        <v>6.4000000000000001E-2</v>
      </c>
      <c r="AG121">
        <v>4.2999999999999997E-2</v>
      </c>
      <c r="AH121">
        <v>0</v>
      </c>
      <c r="AI121">
        <v>0</v>
      </c>
      <c r="AJ121">
        <v>4.8000000000000001E-2</v>
      </c>
      <c r="AK121" t="s">
        <v>1043</v>
      </c>
      <c r="AM121">
        <v>220</v>
      </c>
      <c r="AO121" t="s">
        <v>1044</v>
      </c>
      <c r="AP121">
        <v>0</v>
      </c>
      <c r="AR121" t="s">
        <v>1047</v>
      </c>
      <c r="AV121">
        <v>0</v>
      </c>
      <c r="AW121">
        <v>0</v>
      </c>
      <c r="AX121">
        <v>0</v>
      </c>
      <c r="AY121">
        <v>0</v>
      </c>
      <c r="AZ121">
        <v>0</v>
      </c>
      <c r="BA121">
        <v>0</v>
      </c>
      <c r="BB121">
        <v>0</v>
      </c>
      <c r="BC121" t="s">
        <v>1043</v>
      </c>
      <c r="BD121">
        <v>0</v>
      </c>
      <c r="BE121">
        <v>0</v>
      </c>
      <c r="BJ121" t="s">
        <v>1044</v>
      </c>
      <c r="BM121">
        <v>0</v>
      </c>
      <c r="BN121">
        <v>0</v>
      </c>
      <c r="BO121">
        <v>0</v>
      </c>
      <c r="BP121">
        <v>0</v>
      </c>
      <c r="BQ121">
        <v>0</v>
      </c>
      <c r="BR121">
        <v>0</v>
      </c>
      <c r="BS121">
        <v>0</v>
      </c>
      <c r="BU121">
        <v>0.2</v>
      </c>
      <c r="BV121">
        <v>0.05</v>
      </c>
      <c r="BW121">
        <v>0.18</v>
      </c>
      <c r="BX121">
        <v>0.22500000000000001</v>
      </c>
      <c r="BY121">
        <v>0.26</v>
      </c>
      <c r="BZ121">
        <v>0.30499999999999999</v>
      </c>
      <c r="CA121">
        <v>120</v>
      </c>
      <c r="CQ121" t="s">
        <v>2031</v>
      </c>
      <c r="CR121">
        <v>0</v>
      </c>
      <c r="CS121">
        <v>0</v>
      </c>
      <c r="CT121">
        <v>0</v>
      </c>
      <c r="CU121">
        <v>0</v>
      </c>
      <c r="CW121" t="s">
        <v>1043</v>
      </c>
      <c r="CX121">
        <v>0</v>
      </c>
      <c r="CY121">
        <v>0</v>
      </c>
      <c r="CZ121">
        <v>0</v>
      </c>
      <c r="DA121">
        <v>0</v>
      </c>
      <c r="DB121">
        <v>0</v>
      </c>
      <c r="DD121">
        <v>0</v>
      </c>
      <c r="DK121">
        <v>0</v>
      </c>
      <c r="DL121">
        <v>0</v>
      </c>
      <c r="DM121">
        <v>0</v>
      </c>
      <c r="DN121">
        <v>0</v>
      </c>
      <c r="DO121">
        <v>0</v>
      </c>
      <c r="DP121">
        <v>0</v>
      </c>
      <c r="DQ121">
        <v>0</v>
      </c>
      <c r="DR121">
        <v>0</v>
      </c>
      <c r="DS121" t="s">
        <v>1043</v>
      </c>
      <c r="DT121" t="s">
        <v>1044</v>
      </c>
      <c r="DU121" t="s">
        <v>1044</v>
      </c>
      <c r="DW121" t="s">
        <v>1042</v>
      </c>
      <c r="DX121">
        <v>0</v>
      </c>
      <c r="DY121" t="s">
        <v>1043</v>
      </c>
      <c r="DZ121">
        <v>0</v>
      </c>
      <c r="EA121">
        <v>0</v>
      </c>
      <c r="EC121">
        <v>0</v>
      </c>
      <c r="EM121">
        <v>0</v>
      </c>
      <c r="EN121">
        <v>0</v>
      </c>
      <c r="EO121">
        <v>0</v>
      </c>
      <c r="EP121" t="s">
        <v>1043</v>
      </c>
      <c r="EX121" t="s">
        <v>2030</v>
      </c>
      <c r="EY121">
        <v>0</v>
      </c>
      <c r="EZ121">
        <v>0</v>
      </c>
      <c r="FA121">
        <v>0</v>
      </c>
      <c r="FB121">
        <v>1</v>
      </c>
      <c r="FC121" t="s">
        <v>1</v>
      </c>
      <c r="FD121" t="s">
        <v>2029</v>
      </c>
      <c r="FE121" t="s">
        <v>1045</v>
      </c>
      <c r="FF121">
        <v>0</v>
      </c>
      <c r="FG121">
        <v>0</v>
      </c>
      <c r="FH121" t="s">
        <v>1045</v>
      </c>
      <c r="FI121" t="s">
        <v>1045</v>
      </c>
      <c r="FJ121" t="s">
        <v>1043</v>
      </c>
      <c r="FR121">
        <v>0</v>
      </c>
      <c r="FS121">
        <v>0</v>
      </c>
      <c r="GA121" t="s">
        <v>1044</v>
      </c>
      <c r="GB121" t="s">
        <v>1044</v>
      </c>
      <c r="GC121" t="s">
        <v>1045</v>
      </c>
      <c r="GD121">
        <v>0</v>
      </c>
      <c r="GH121" t="s">
        <v>1045</v>
      </c>
      <c r="GI121" t="s">
        <v>2028</v>
      </c>
      <c r="GL121">
        <v>0</v>
      </c>
      <c r="GM121">
        <v>0</v>
      </c>
      <c r="GN121">
        <v>0</v>
      </c>
      <c r="GP121" t="s">
        <v>1042</v>
      </c>
      <c r="GQ121" t="s">
        <v>2027</v>
      </c>
      <c r="GS121" t="s">
        <v>1045</v>
      </c>
      <c r="GU121">
        <v>1</v>
      </c>
      <c r="GV121" t="s">
        <v>1045</v>
      </c>
      <c r="GW121" t="s">
        <v>2026</v>
      </c>
      <c r="GZ121" t="s">
        <v>2025</v>
      </c>
      <c r="HH121">
        <v>0</v>
      </c>
      <c r="HI121">
        <v>0</v>
      </c>
      <c r="HK121" t="s">
        <v>1045</v>
      </c>
      <c r="HL121" t="s">
        <v>1045</v>
      </c>
      <c r="HP121">
        <v>0</v>
      </c>
      <c r="HZ121">
        <v>0</v>
      </c>
      <c r="IB121">
        <v>0</v>
      </c>
      <c r="IC121">
        <v>0</v>
      </c>
      <c r="IG121" t="s">
        <v>1042</v>
      </c>
      <c r="IJ121" t="s">
        <v>1042</v>
      </c>
      <c r="IM121">
        <v>0</v>
      </c>
      <c r="IN121" t="s">
        <v>2024</v>
      </c>
      <c r="IQ121" t="s">
        <v>1045</v>
      </c>
    </row>
    <row r="122" spans="2:251" x14ac:dyDescent="0.35">
      <c r="B122">
        <v>1</v>
      </c>
      <c r="C122">
        <v>1377</v>
      </c>
      <c r="D122">
        <v>0</v>
      </c>
      <c r="E122">
        <v>0</v>
      </c>
      <c r="F122">
        <v>0</v>
      </c>
      <c r="G122">
        <v>0</v>
      </c>
      <c r="H122">
        <v>0</v>
      </c>
      <c r="I122">
        <v>0</v>
      </c>
      <c r="J122" t="s">
        <v>738</v>
      </c>
      <c r="M122">
        <v>126.5</v>
      </c>
      <c r="Q122">
        <v>70</v>
      </c>
      <c r="S122">
        <v>21.5</v>
      </c>
      <c r="T122">
        <v>0</v>
      </c>
      <c r="U122">
        <v>0</v>
      </c>
      <c r="W122">
        <v>0</v>
      </c>
      <c r="Y122" t="s">
        <v>1042</v>
      </c>
      <c r="Z122" t="s">
        <v>1042</v>
      </c>
      <c r="AA122" t="s">
        <v>1042</v>
      </c>
      <c r="AB122" t="s">
        <v>1042</v>
      </c>
      <c r="AC122" t="s">
        <v>1042</v>
      </c>
      <c r="AD122" t="s">
        <v>1042</v>
      </c>
      <c r="AE122">
        <v>0</v>
      </c>
      <c r="AG122">
        <v>0</v>
      </c>
      <c r="AH122">
        <v>0</v>
      </c>
      <c r="AI122">
        <v>0</v>
      </c>
      <c r="AJ122">
        <v>0</v>
      </c>
      <c r="AK122" t="s">
        <v>1043</v>
      </c>
      <c r="AM122">
        <v>220</v>
      </c>
      <c r="AO122" t="s">
        <v>1044</v>
      </c>
      <c r="AP122">
        <v>0</v>
      </c>
      <c r="AR122" t="s">
        <v>1047</v>
      </c>
      <c r="AV122">
        <v>0</v>
      </c>
      <c r="AW122">
        <v>0</v>
      </c>
      <c r="AX122">
        <v>0</v>
      </c>
      <c r="AY122">
        <v>0</v>
      </c>
      <c r="AZ122">
        <v>0</v>
      </c>
      <c r="BA122">
        <v>0</v>
      </c>
      <c r="BB122">
        <v>0</v>
      </c>
      <c r="BC122" t="s">
        <v>1043</v>
      </c>
      <c r="BD122">
        <v>0</v>
      </c>
      <c r="BE122">
        <v>0</v>
      </c>
      <c r="BJ122" t="s">
        <v>1044</v>
      </c>
      <c r="BM122">
        <v>0</v>
      </c>
      <c r="BN122">
        <v>0</v>
      </c>
      <c r="BO122">
        <v>0</v>
      </c>
      <c r="BP122">
        <v>0</v>
      </c>
      <c r="BQ122">
        <v>0</v>
      </c>
      <c r="BR122">
        <v>0</v>
      </c>
      <c r="BS122">
        <v>0</v>
      </c>
      <c r="BU122">
        <v>0.19500000000000001</v>
      </c>
      <c r="BV122">
        <v>0.06</v>
      </c>
      <c r="BW122">
        <v>0.16500000000000001</v>
      </c>
      <c r="BX122">
        <v>0.255</v>
      </c>
      <c r="BY122">
        <v>0.255</v>
      </c>
      <c r="BZ122">
        <v>0.33</v>
      </c>
      <c r="CA122">
        <v>120</v>
      </c>
      <c r="CQ122" t="s">
        <v>2031</v>
      </c>
      <c r="CR122">
        <v>0</v>
      </c>
      <c r="CS122">
        <v>0</v>
      </c>
      <c r="CT122">
        <v>0</v>
      </c>
      <c r="CU122">
        <v>0</v>
      </c>
      <c r="CW122" t="s">
        <v>1043</v>
      </c>
      <c r="CX122">
        <v>0</v>
      </c>
      <c r="CY122">
        <v>0</v>
      </c>
      <c r="CZ122">
        <v>0</v>
      </c>
      <c r="DA122">
        <v>0</v>
      </c>
      <c r="DB122">
        <v>0</v>
      </c>
      <c r="DD122">
        <v>0</v>
      </c>
      <c r="DK122">
        <v>0</v>
      </c>
      <c r="DL122">
        <v>0</v>
      </c>
      <c r="DM122">
        <v>0</v>
      </c>
      <c r="DN122">
        <v>0</v>
      </c>
      <c r="DO122">
        <v>0</v>
      </c>
      <c r="DP122">
        <v>0</v>
      </c>
      <c r="DQ122">
        <v>0</v>
      </c>
      <c r="DR122">
        <v>0</v>
      </c>
      <c r="DS122" t="s">
        <v>1043</v>
      </c>
      <c r="DT122" t="s">
        <v>1044</v>
      </c>
      <c r="DU122" t="s">
        <v>1044</v>
      </c>
      <c r="DW122" t="s">
        <v>1042</v>
      </c>
      <c r="DX122">
        <v>0</v>
      </c>
      <c r="DY122" t="s">
        <v>1043</v>
      </c>
      <c r="DZ122">
        <v>0</v>
      </c>
      <c r="EA122">
        <v>0</v>
      </c>
      <c r="EC122">
        <v>0</v>
      </c>
      <c r="EM122">
        <v>0</v>
      </c>
      <c r="EN122">
        <v>0</v>
      </c>
      <c r="EO122">
        <v>0</v>
      </c>
      <c r="EP122" t="s">
        <v>1043</v>
      </c>
      <c r="EX122" t="s">
        <v>2030</v>
      </c>
      <c r="EY122">
        <v>0</v>
      </c>
      <c r="EZ122">
        <v>0</v>
      </c>
      <c r="FA122">
        <v>0</v>
      </c>
      <c r="FB122">
        <v>1</v>
      </c>
      <c r="FC122" t="s">
        <v>1</v>
      </c>
      <c r="FD122" t="s">
        <v>2029</v>
      </c>
      <c r="FE122" t="s">
        <v>1045</v>
      </c>
      <c r="FF122">
        <v>0</v>
      </c>
      <c r="FG122">
        <v>0</v>
      </c>
      <c r="FH122" t="s">
        <v>1045</v>
      </c>
      <c r="FI122" t="s">
        <v>1045</v>
      </c>
      <c r="FJ122" t="s">
        <v>1043</v>
      </c>
      <c r="FR122">
        <v>0</v>
      </c>
      <c r="FS122">
        <v>0</v>
      </c>
      <c r="GA122" t="s">
        <v>1044</v>
      </c>
      <c r="GB122" t="s">
        <v>1044</v>
      </c>
      <c r="GC122" t="s">
        <v>1045</v>
      </c>
      <c r="GD122">
        <v>0</v>
      </c>
      <c r="GH122" t="s">
        <v>1045</v>
      </c>
      <c r="GI122" t="s">
        <v>2028</v>
      </c>
      <c r="GL122">
        <v>0</v>
      </c>
      <c r="GM122">
        <v>0</v>
      </c>
      <c r="GN122">
        <v>0</v>
      </c>
      <c r="GP122" t="s">
        <v>1042</v>
      </c>
      <c r="GQ122" t="s">
        <v>2027</v>
      </c>
      <c r="GS122" t="s">
        <v>1045</v>
      </c>
      <c r="GU122">
        <v>1</v>
      </c>
      <c r="GV122" t="s">
        <v>1045</v>
      </c>
      <c r="GW122" t="s">
        <v>2026</v>
      </c>
      <c r="GZ122" t="s">
        <v>2025</v>
      </c>
      <c r="HH122">
        <v>0</v>
      </c>
      <c r="HI122">
        <v>0</v>
      </c>
      <c r="HK122" t="s">
        <v>1045</v>
      </c>
      <c r="HL122" t="s">
        <v>1045</v>
      </c>
      <c r="HP122">
        <v>0</v>
      </c>
      <c r="HZ122">
        <v>0</v>
      </c>
      <c r="IB122">
        <v>0</v>
      </c>
      <c r="IC122">
        <v>0</v>
      </c>
      <c r="IG122" t="s">
        <v>1042</v>
      </c>
      <c r="IJ122" t="s">
        <v>1042</v>
      </c>
      <c r="IM122">
        <v>0</v>
      </c>
      <c r="IN122" t="s">
        <v>2024</v>
      </c>
      <c r="IQ122" t="s">
        <v>1045</v>
      </c>
    </row>
    <row r="123" spans="2:251" x14ac:dyDescent="0.35">
      <c r="B123">
        <v>1</v>
      </c>
      <c r="C123">
        <v>1378</v>
      </c>
      <c r="D123">
        <v>0</v>
      </c>
      <c r="E123">
        <v>0</v>
      </c>
      <c r="F123">
        <v>0</v>
      </c>
      <c r="G123">
        <v>0</v>
      </c>
      <c r="H123">
        <v>0</v>
      </c>
      <c r="I123">
        <v>0</v>
      </c>
      <c r="J123" t="s">
        <v>739</v>
      </c>
      <c r="M123">
        <v>130.5</v>
      </c>
      <c r="Q123">
        <v>77.5</v>
      </c>
      <c r="S123">
        <v>27</v>
      </c>
      <c r="T123">
        <v>0</v>
      </c>
      <c r="U123">
        <v>0</v>
      </c>
      <c r="W123">
        <v>0</v>
      </c>
      <c r="Y123" t="s">
        <v>1042</v>
      </c>
      <c r="Z123" t="s">
        <v>1042</v>
      </c>
      <c r="AA123" t="s">
        <v>1042</v>
      </c>
      <c r="AB123" t="s">
        <v>1042</v>
      </c>
      <c r="AC123" t="s">
        <v>1042</v>
      </c>
      <c r="AD123" t="s">
        <v>1042</v>
      </c>
      <c r="AE123">
        <v>0</v>
      </c>
      <c r="AG123">
        <v>0</v>
      </c>
      <c r="AH123">
        <v>0</v>
      </c>
      <c r="AI123">
        <v>0</v>
      </c>
      <c r="AJ123">
        <v>0</v>
      </c>
      <c r="AK123" t="s">
        <v>1043</v>
      </c>
      <c r="AM123">
        <v>220</v>
      </c>
      <c r="AO123" t="s">
        <v>1044</v>
      </c>
      <c r="AP123">
        <v>0</v>
      </c>
      <c r="AR123" t="s">
        <v>1047</v>
      </c>
      <c r="AV123">
        <v>0</v>
      </c>
      <c r="AW123">
        <v>0</v>
      </c>
      <c r="AX123">
        <v>0</v>
      </c>
      <c r="AY123">
        <v>0</v>
      </c>
      <c r="AZ123">
        <v>0</v>
      </c>
      <c r="BA123">
        <v>0</v>
      </c>
      <c r="BB123">
        <v>0</v>
      </c>
      <c r="BC123" t="s">
        <v>1043</v>
      </c>
      <c r="BD123">
        <v>0</v>
      </c>
      <c r="BE123">
        <v>0</v>
      </c>
      <c r="BJ123" t="s">
        <v>1044</v>
      </c>
      <c r="BM123">
        <v>0</v>
      </c>
      <c r="BN123">
        <v>0</v>
      </c>
      <c r="BO123">
        <v>0</v>
      </c>
      <c r="BP123">
        <v>0</v>
      </c>
      <c r="BQ123">
        <v>0</v>
      </c>
      <c r="BR123">
        <v>0</v>
      </c>
      <c r="BS123">
        <v>0</v>
      </c>
      <c r="BU123">
        <v>0.25</v>
      </c>
      <c r="BV123">
        <v>0.05</v>
      </c>
      <c r="BW123">
        <v>0.22</v>
      </c>
      <c r="BX123">
        <v>0.255</v>
      </c>
      <c r="BY123">
        <v>0.255</v>
      </c>
      <c r="BZ123">
        <v>0.33</v>
      </c>
      <c r="CA123">
        <v>70</v>
      </c>
      <c r="CQ123" t="s">
        <v>2031</v>
      </c>
      <c r="CR123">
        <v>0</v>
      </c>
      <c r="CS123">
        <v>0</v>
      </c>
      <c r="CT123">
        <v>0</v>
      </c>
      <c r="CU123">
        <v>0</v>
      </c>
      <c r="CW123" t="s">
        <v>1043</v>
      </c>
      <c r="CX123">
        <v>0</v>
      </c>
      <c r="CY123">
        <v>0</v>
      </c>
      <c r="CZ123">
        <v>0</v>
      </c>
      <c r="DA123">
        <v>0</v>
      </c>
      <c r="DB123">
        <v>0</v>
      </c>
      <c r="DD123">
        <v>0</v>
      </c>
      <c r="DK123">
        <v>0</v>
      </c>
      <c r="DL123">
        <v>0</v>
      </c>
      <c r="DM123">
        <v>0</v>
      </c>
      <c r="DN123">
        <v>0</v>
      </c>
      <c r="DO123">
        <v>0</v>
      </c>
      <c r="DP123">
        <v>0</v>
      </c>
      <c r="DQ123">
        <v>0</v>
      </c>
      <c r="DR123">
        <v>0</v>
      </c>
      <c r="DS123" t="s">
        <v>1043</v>
      </c>
      <c r="DT123" t="s">
        <v>1044</v>
      </c>
      <c r="DU123" t="s">
        <v>1044</v>
      </c>
      <c r="DW123" t="s">
        <v>1042</v>
      </c>
      <c r="DX123">
        <v>0</v>
      </c>
      <c r="DY123" t="s">
        <v>1043</v>
      </c>
      <c r="DZ123">
        <v>0</v>
      </c>
      <c r="EA123">
        <v>0</v>
      </c>
      <c r="EC123">
        <v>0</v>
      </c>
      <c r="EM123">
        <v>0</v>
      </c>
      <c r="EN123">
        <v>0</v>
      </c>
      <c r="EO123">
        <v>0</v>
      </c>
      <c r="EP123" t="s">
        <v>1043</v>
      </c>
      <c r="EX123" t="s">
        <v>2030</v>
      </c>
      <c r="EY123">
        <v>0</v>
      </c>
      <c r="EZ123">
        <v>0</v>
      </c>
      <c r="FA123">
        <v>0</v>
      </c>
      <c r="FB123">
        <v>1</v>
      </c>
      <c r="FC123" t="s">
        <v>1</v>
      </c>
      <c r="FD123" t="s">
        <v>2029</v>
      </c>
      <c r="FE123" t="s">
        <v>1045</v>
      </c>
      <c r="FF123">
        <v>0</v>
      </c>
      <c r="FG123">
        <v>0</v>
      </c>
      <c r="FH123" t="s">
        <v>1045</v>
      </c>
      <c r="FI123" t="s">
        <v>1045</v>
      </c>
      <c r="FJ123" t="s">
        <v>1043</v>
      </c>
      <c r="FR123">
        <v>0</v>
      </c>
      <c r="FS123">
        <v>0</v>
      </c>
      <c r="GA123" t="s">
        <v>1044</v>
      </c>
      <c r="GB123" t="s">
        <v>1044</v>
      </c>
      <c r="GC123" t="s">
        <v>1045</v>
      </c>
      <c r="GD123">
        <v>0</v>
      </c>
      <c r="GH123" t="s">
        <v>1045</v>
      </c>
      <c r="GI123" t="s">
        <v>2028</v>
      </c>
      <c r="GL123">
        <v>0</v>
      </c>
      <c r="GM123">
        <v>0</v>
      </c>
      <c r="GN123">
        <v>0</v>
      </c>
      <c r="GP123" t="s">
        <v>1042</v>
      </c>
      <c r="GQ123" t="s">
        <v>2027</v>
      </c>
      <c r="GS123" t="s">
        <v>1045</v>
      </c>
      <c r="GU123">
        <v>1</v>
      </c>
      <c r="GV123" t="s">
        <v>1045</v>
      </c>
      <c r="GW123" t="s">
        <v>2026</v>
      </c>
      <c r="GZ123" t="s">
        <v>2025</v>
      </c>
      <c r="HH123">
        <v>0</v>
      </c>
      <c r="HI123">
        <v>0</v>
      </c>
      <c r="HK123" t="s">
        <v>1045</v>
      </c>
      <c r="HL123" t="s">
        <v>1045</v>
      </c>
      <c r="HP123">
        <v>0</v>
      </c>
      <c r="HZ123">
        <v>0</v>
      </c>
      <c r="IB123">
        <v>0</v>
      </c>
      <c r="IC123">
        <v>0</v>
      </c>
      <c r="IG123" t="s">
        <v>1042</v>
      </c>
      <c r="IJ123" t="s">
        <v>1042</v>
      </c>
      <c r="IM123">
        <v>0</v>
      </c>
      <c r="IN123" t="s">
        <v>2024</v>
      </c>
      <c r="IQ123" t="s">
        <v>1045</v>
      </c>
    </row>
    <row r="124" spans="2:251" x14ac:dyDescent="0.35">
      <c r="B124">
        <v>1</v>
      </c>
      <c r="C124">
        <v>1379</v>
      </c>
      <c r="D124">
        <v>0</v>
      </c>
      <c r="E124">
        <v>0</v>
      </c>
      <c r="F124">
        <v>0</v>
      </c>
      <c r="G124">
        <v>0</v>
      </c>
      <c r="H124">
        <v>0</v>
      </c>
      <c r="I124">
        <v>0</v>
      </c>
      <c r="J124" t="s">
        <v>740</v>
      </c>
      <c r="M124">
        <v>38.5</v>
      </c>
      <c r="Q124">
        <v>43</v>
      </c>
      <c r="S124">
        <v>38.5</v>
      </c>
      <c r="T124">
        <v>0</v>
      </c>
      <c r="U124">
        <v>0</v>
      </c>
      <c r="W124">
        <v>0</v>
      </c>
      <c r="Y124" t="s">
        <v>1042</v>
      </c>
      <c r="Z124" t="s">
        <v>1042</v>
      </c>
      <c r="AA124" t="s">
        <v>1042</v>
      </c>
      <c r="AB124" t="s">
        <v>1042</v>
      </c>
      <c r="AC124" t="s">
        <v>1042</v>
      </c>
      <c r="AD124" t="s">
        <v>1042</v>
      </c>
      <c r="AE124">
        <v>0</v>
      </c>
      <c r="AG124">
        <v>0</v>
      </c>
      <c r="AH124">
        <v>0</v>
      </c>
      <c r="AI124">
        <v>0</v>
      </c>
      <c r="AJ124">
        <v>0</v>
      </c>
      <c r="AK124" t="s">
        <v>1043</v>
      </c>
      <c r="AM124">
        <v>220</v>
      </c>
      <c r="AO124" t="s">
        <v>1044</v>
      </c>
      <c r="AP124">
        <v>0</v>
      </c>
      <c r="AR124" t="s">
        <v>1047</v>
      </c>
      <c r="AV124">
        <v>0</v>
      </c>
      <c r="AW124">
        <v>0</v>
      </c>
      <c r="AX124">
        <v>0</v>
      </c>
      <c r="AY124">
        <v>0</v>
      </c>
      <c r="AZ124">
        <v>0</v>
      </c>
      <c r="BA124">
        <v>0</v>
      </c>
      <c r="BB124">
        <v>0</v>
      </c>
      <c r="BC124" t="s">
        <v>1043</v>
      </c>
      <c r="BD124">
        <v>0</v>
      </c>
      <c r="BE124">
        <v>0</v>
      </c>
      <c r="BJ124" t="s">
        <v>1044</v>
      </c>
      <c r="BM124">
        <v>0</v>
      </c>
      <c r="BN124">
        <v>0</v>
      </c>
      <c r="BO124">
        <v>0</v>
      </c>
      <c r="BP124">
        <v>0</v>
      </c>
      <c r="BQ124">
        <v>0</v>
      </c>
      <c r="BR124">
        <v>0</v>
      </c>
      <c r="BS124">
        <v>0</v>
      </c>
      <c r="BU124">
        <v>0.13500000000000001</v>
      </c>
      <c r="BV124">
        <v>0.04</v>
      </c>
      <c r="BW124">
        <v>0.14000000000000001</v>
      </c>
      <c r="BX124">
        <v>0.255</v>
      </c>
      <c r="BY124">
        <v>0.255</v>
      </c>
      <c r="BZ124">
        <v>0.33</v>
      </c>
      <c r="CA124">
        <v>720</v>
      </c>
      <c r="CQ124" t="s">
        <v>2031</v>
      </c>
      <c r="CR124">
        <v>0</v>
      </c>
      <c r="CS124">
        <v>0</v>
      </c>
      <c r="CT124">
        <v>0</v>
      </c>
      <c r="CU124">
        <v>0</v>
      </c>
      <c r="CW124" t="s">
        <v>1043</v>
      </c>
      <c r="CX124">
        <v>0</v>
      </c>
      <c r="CY124">
        <v>0</v>
      </c>
      <c r="CZ124">
        <v>0</v>
      </c>
      <c r="DA124">
        <v>0</v>
      </c>
      <c r="DB124">
        <v>0</v>
      </c>
      <c r="DD124">
        <v>0</v>
      </c>
      <c r="DK124">
        <v>0</v>
      </c>
      <c r="DL124">
        <v>0</v>
      </c>
      <c r="DM124">
        <v>0</v>
      </c>
      <c r="DN124">
        <v>0</v>
      </c>
      <c r="DO124">
        <v>0</v>
      </c>
      <c r="DP124">
        <v>0</v>
      </c>
      <c r="DQ124">
        <v>0</v>
      </c>
      <c r="DR124">
        <v>0</v>
      </c>
      <c r="DS124" t="s">
        <v>1043</v>
      </c>
      <c r="DT124" t="s">
        <v>1044</v>
      </c>
      <c r="DU124" t="s">
        <v>1044</v>
      </c>
      <c r="DW124" t="s">
        <v>1042</v>
      </c>
      <c r="DX124">
        <v>0</v>
      </c>
      <c r="DY124" t="s">
        <v>1043</v>
      </c>
      <c r="DZ124">
        <v>0</v>
      </c>
      <c r="EA124">
        <v>0</v>
      </c>
      <c r="EC124">
        <v>0</v>
      </c>
      <c r="EM124">
        <v>0</v>
      </c>
      <c r="EN124">
        <v>0</v>
      </c>
      <c r="EO124">
        <v>0</v>
      </c>
      <c r="EP124" t="s">
        <v>1043</v>
      </c>
      <c r="EX124" t="s">
        <v>2030</v>
      </c>
      <c r="EY124">
        <v>0</v>
      </c>
      <c r="EZ124">
        <v>0</v>
      </c>
      <c r="FA124">
        <v>0</v>
      </c>
      <c r="FB124">
        <v>1</v>
      </c>
      <c r="FC124" t="s">
        <v>1</v>
      </c>
      <c r="FD124" t="s">
        <v>2029</v>
      </c>
      <c r="FE124" t="s">
        <v>1045</v>
      </c>
      <c r="FF124">
        <v>0</v>
      </c>
      <c r="FG124">
        <v>0</v>
      </c>
      <c r="FH124" t="s">
        <v>1045</v>
      </c>
      <c r="FI124" t="s">
        <v>1045</v>
      </c>
      <c r="FJ124" t="s">
        <v>1043</v>
      </c>
      <c r="FR124">
        <v>0</v>
      </c>
      <c r="FS124">
        <v>0</v>
      </c>
      <c r="GA124" t="s">
        <v>1044</v>
      </c>
      <c r="GB124" t="s">
        <v>1044</v>
      </c>
      <c r="GC124" t="s">
        <v>1045</v>
      </c>
      <c r="GD124">
        <v>0</v>
      </c>
      <c r="GH124" t="s">
        <v>1045</v>
      </c>
      <c r="GI124" t="s">
        <v>2028</v>
      </c>
      <c r="GL124">
        <v>0</v>
      </c>
      <c r="GM124">
        <v>0</v>
      </c>
      <c r="GN124">
        <v>0</v>
      </c>
      <c r="GP124" t="s">
        <v>1042</v>
      </c>
      <c r="GQ124" t="s">
        <v>2027</v>
      </c>
      <c r="GS124" t="s">
        <v>1045</v>
      </c>
      <c r="GU124">
        <v>1</v>
      </c>
      <c r="GV124" t="s">
        <v>1045</v>
      </c>
      <c r="GW124" t="s">
        <v>2026</v>
      </c>
      <c r="GZ124" t="s">
        <v>2025</v>
      </c>
      <c r="HH124">
        <v>0</v>
      </c>
      <c r="HI124">
        <v>0</v>
      </c>
      <c r="HK124" t="s">
        <v>1045</v>
      </c>
      <c r="HL124" t="s">
        <v>1045</v>
      </c>
      <c r="HP124">
        <v>0</v>
      </c>
      <c r="HZ124">
        <v>0</v>
      </c>
      <c r="IB124">
        <v>0</v>
      </c>
      <c r="IC124">
        <v>0</v>
      </c>
      <c r="IG124" t="s">
        <v>1042</v>
      </c>
      <c r="IJ124" t="s">
        <v>1042</v>
      </c>
      <c r="IM124">
        <v>0</v>
      </c>
      <c r="IN124" t="s">
        <v>2024</v>
      </c>
      <c r="IQ124" t="s">
        <v>1045</v>
      </c>
    </row>
    <row r="125" spans="2:251" x14ac:dyDescent="0.35">
      <c r="B125">
        <v>1</v>
      </c>
      <c r="C125">
        <v>1380</v>
      </c>
      <c r="D125">
        <v>0</v>
      </c>
      <c r="E125">
        <v>0</v>
      </c>
      <c r="F125">
        <v>0</v>
      </c>
      <c r="G125">
        <v>0</v>
      </c>
      <c r="H125">
        <v>0</v>
      </c>
      <c r="I125">
        <v>0</v>
      </c>
      <c r="J125" t="s">
        <v>741</v>
      </c>
      <c r="M125">
        <v>45.5</v>
      </c>
      <c r="Q125">
        <v>47</v>
      </c>
      <c r="S125">
        <v>45.5</v>
      </c>
      <c r="T125">
        <v>0</v>
      </c>
      <c r="U125">
        <v>0</v>
      </c>
      <c r="W125">
        <v>0</v>
      </c>
      <c r="Y125" t="s">
        <v>1042</v>
      </c>
      <c r="Z125" t="s">
        <v>1042</v>
      </c>
      <c r="AA125" t="s">
        <v>1042</v>
      </c>
      <c r="AB125" t="s">
        <v>1042</v>
      </c>
      <c r="AC125" t="s">
        <v>1042</v>
      </c>
      <c r="AD125" t="s">
        <v>1042</v>
      </c>
      <c r="AE125">
        <v>0</v>
      </c>
      <c r="AG125">
        <v>0</v>
      </c>
      <c r="AH125">
        <v>0</v>
      </c>
      <c r="AI125">
        <v>0</v>
      </c>
      <c r="AJ125">
        <v>0</v>
      </c>
      <c r="AK125" t="s">
        <v>1043</v>
      </c>
      <c r="AM125">
        <v>220</v>
      </c>
      <c r="AO125" t="s">
        <v>1044</v>
      </c>
      <c r="AP125">
        <v>0</v>
      </c>
      <c r="AR125" t="s">
        <v>1047</v>
      </c>
      <c r="AV125">
        <v>0</v>
      </c>
      <c r="AW125">
        <v>0</v>
      </c>
      <c r="AX125">
        <v>0</v>
      </c>
      <c r="AY125">
        <v>0</v>
      </c>
      <c r="AZ125">
        <v>0</v>
      </c>
      <c r="BA125">
        <v>0</v>
      </c>
      <c r="BB125">
        <v>0</v>
      </c>
      <c r="BC125" t="s">
        <v>1043</v>
      </c>
      <c r="BD125">
        <v>0</v>
      </c>
      <c r="BE125">
        <v>0</v>
      </c>
      <c r="BJ125" t="s">
        <v>1044</v>
      </c>
      <c r="BM125">
        <v>0</v>
      </c>
      <c r="BN125">
        <v>0</v>
      </c>
      <c r="BO125">
        <v>0</v>
      </c>
      <c r="BP125">
        <v>0</v>
      </c>
      <c r="BQ125">
        <v>0</v>
      </c>
      <c r="BR125">
        <v>0</v>
      </c>
      <c r="BS125">
        <v>0</v>
      </c>
      <c r="BU125">
        <v>0.14000000000000001</v>
      </c>
      <c r="BV125">
        <v>4.8000000000000001E-2</v>
      </c>
      <c r="BW125">
        <v>0.16500000000000001</v>
      </c>
      <c r="BX125">
        <v>0.255</v>
      </c>
      <c r="BY125">
        <v>0.255</v>
      </c>
      <c r="BZ125">
        <v>0.33</v>
      </c>
      <c r="CA125">
        <v>450</v>
      </c>
      <c r="CQ125" t="s">
        <v>2031</v>
      </c>
      <c r="CR125">
        <v>0</v>
      </c>
      <c r="CS125">
        <v>0</v>
      </c>
      <c r="CT125">
        <v>0</v>
      </c>
      <c r="CU125">
        <v>0</v>
      </c>
      <c r="CW125" t="s">
        <v>1043</v>
      </c>
      <c r="CX125">
        <v>0</v>
      </c>
      <c r="CY125">
        <v>0</v>
      </c>
      <c r="CZ125">
        <v>0</v>
      </c>
      <c r="DA125">
        <v>0</v>
      </c>
      <c r="DB125">
        <v>0</v>
      </c>
      <c r="DD125">
        <v>0</v>
      </c>
      <c r="DK125">
        <v>0</v>
      </c>
      <c r="DL125">
        <v>0</v>
      </c>
      <c r="DM125">
        <v>0</v>
      </c>
      <c r="DN125">
        <v>0</v>
      </c>
      <c r="DO125">
        <v>0</v>
      </c>
      <c r="DP125">
        <v>0</v>
      </c>
      <c r="DQ125">
        <v>0</v>
      </c>
      <c r="DR125">
        <v>0</v>
      </c>
      <c r="DS125" t="s">
        <v>1043</v>
      </c>
      <c r="DT125" t="s">
        <v>1044</v>
      </c>
      <c r="DU125" t="s">
        <v>1044</v>
      </c>
      <c r="DW125" t="s">
        <v>1042</v>
      </c>
      <c r="DX125">
        <v>0</v>
      </c>
      <c r="DY125" t="s">
        <v>1043</v>
      </c>
      <c r="DZ125">
        <v>0</v>
      </c>
      <c r="EA125">
        <v>0</v>
      </c>
      <c r="EC125">
        <v>0</v>
      </c>
      <c r="EM125">
        <v>0</v>
      </c>
      <c r="EN125">
        <v>0</v>
      </c>
      <c r="EO125">
        <v>0</v>
      </c>
      <c r="EP125" t="s">
        <v>1043</v>
      </c>
      <c r="EX125" t="s">
        <v>2030</v>
      </c>
      <c r="EY125">
        <v>0</v>
      </c>
      <c r="EZ125">
        <v>0</v>
      </c>
      <c r="FA125">
        <v>0</v>
      </c>
      <c r="FB125">
        <v>1</v>
      </c>
      <c r="FC125" t="s">
        <v>1</v>
      </c>
      <c r="FD125" t="s">
        <v>2029</v>
      </c>
      <c r="FE125" t="s">
        <v>1045</v>
      </c>
      <c r="FF125">
        <v>0</v>
      </c>
      <c r="FG125">
        <v>0</v>
      </c>
      <c r="FH125" t="s">
        <v>1045</v>
      </c>
      <c r="FI125" t="s">
        <v>1045</v>
      </c>
      <c r="FJ125" t="s">
        <v>1043</v>
      </c>
      <c r="FR125">
        <v>0</v>
      </c>
      <c r="FS125">
        <v>0</v>
      </c>
      <c r="GA125" t="s">
        <v>1044</v>
      </c>
      <c r="GB125" t="s">
        <v>1044</v>
      </c>
      <c r="GC125" t="s">
        <v>1045</v>
      </c>
      <c r="GD125">
        <v>0</v>
      </c>
      <c r="GH125" t="s">
        <v>1045</v>
      </c>
      <c r="GI125" t="s">
        <v>2028</v>
      </c>
      <c r="GL125">
        <v>0</v>
      </c>
      <c r="GM125">
        <v>0</v>
      </c>
      <c r="GN125">
        <v>0</v>
      </c>
      <c r="GP125" t="s">
        <v>1042</v>
      </c>
      <c r="GQ125" t="s">
        <v>2027</v>
      </c>
      <c r="GS125" t="s">
        <v>1045</v>
      </c>
      <c r="GU125">
        <v>1</v>
      </c>
      <c r="GV125" t="s">
        <v>1045</v>
      </c>
      <c r="GW125" t="s">
        <v>2026</v>
      </c>
      <c r="GZ125" t="s">
        <v>2025</v>
      </c>
      <c r="HH125">
        <v>0</v>
      </c>
      <c r="HI125">
        <v>0</v>
      </c>
      <c r="HK125" t="s">
        <v>1045</v>
      </c>
      <c r="HL125" t="s">
        <v>1045</v>
      </c>
      <c r="HP125">
        <v>0</v>
      </c>
      <c r="HZ125">
        <v>0</v>
      </c>
      <c r="IB125">
        <v>0</v>
      </c>
      <c r="IC125">
        <v>0</v>
      </c>
      <c r="IG125" t="s">
        <v>1042</v>
      </c>
      <c r="IJ125" t="s">
        <v>1042</v>
      </c>
      <c r="IM125">
        <v>0</v>
      </c>
      <c r="IN125" t="s">
        <v>2024</v>
      </c>
      <c r="IQ125" t="s">
        <v>1045</v>
      </c>
    </row>
    <row r="126" spans="2:251" x14ac:dyDescent="0.35">
      <c r="B126">
        <v>1</v>
      </c>
      <c r="C126">
        <v>1381</v>
      </c>
      <c r="D126">
        <v>0</v>
      </c>
      <c r="E126">
        <v>0</v>
      </c>
      <c r="F126">
        <v>0</v>
      </c>
      <c r="G126">
        <v>0</v>
      </c>
      <c r="H126">
        <v>0</v>
      </c>
      <c r="I126">
        <v>0</v>
      </c>
      <c r="J126" t="s">
        <v>741</v>
      </c>
      <c r="M126">
        <v>54.5</v>
      </c>
      <c r="Q126">
        <v>55.5</v>
      </c>
      <c r="S126">
        <v>54.5</v>
      </c>
      <c r="T126">
        <v>0</v>
      </c>
      <c r="U126">
        <v>0</v>
      </c>
      <c r="W126">
        <v>0</v>
      </c>
      <c r="Y126" t="s">
        <v>1042</v>
      </c>
      <c r="Z126" t="s">
        <v>1042</v>
      </c>
      <c r="AA126" t="s">
        <v>1042</v>
      </c>
      <c r="AB126" t="s">
        <v>1042</v>
      </c>
      <c r="AC126" t="s">
        <v>1042</v>
      </c>
      <c r="AD126" t="s">
        <v>1042</v>
      </c>
      <c r="AE126">
        <v>0</v>
      </c>
      <c r="AG126">
        <v>0</v>
      </c>
      <c r="AH126">
        <v>0</v>
      </c>
      <c r="AI126">
        <v>0</v>
      </c>
      <c r="AJ126">
        <v>0</v>
      </c>
      <c r="AK126" t="s">
        <v>1043</v>
      </c>
      <c r="AM126">
        <v>220</v>
      </c>
      <c r="AO126" t="s">
        <v>1044</v>
      </c>
      <c r="AP126">
        <v>0</v>
      </c>
      <c r="AR126" t="s">
        <v>1047</v>
      </c>
      <c r="AV126">
        <v>0</v>
      </c>
      <c r="AW126">
        <v>0</v>
      </c>
      <c r="AX126">
        <v>0</v>
      </c>
      <c r="AY126">
        <v>0</v>
      </c>
      <c r="AZ126">
        <v>0</v>
      </c>
      <c r="BA126">
        <v>0</v>
      </c>
      <c r="BB126">
        <v>0</v>
      </c>
      <c r="BC126" t="s">
        <v>1043</v>
      </c>
      <c r="BD126">
        <v>0</v>
      </c>
      <c r="BE126">
        <v>0</v>
      </c>
      <c r="BJ126" t="s">
        <v>1044</v>
      </c>
      <c r="BM126">
        <v>0</v>
      </c>
      <c r="BN126">
        <v>0</v>
      </c>
      <c r="BO126">
        <v>0</v>
      </c>
      <c r="BP126">
        <v>0</v>
      </c>
      <c r="BQ126">
        <v>0</v>
      </c>
      <c r="BR126">
        <v>0</v>
      </c>
      <c r="BS126">
        <v>0</v>
      </c>
      <c r="BU126">
        <v>0.17499999999999999</v>
      </c>
      <c r="BV126">
        <v>0.06</v>
      </c>
      <c r="BW126">
        <v>0.2</v>
      </c>
      <c r="BX126">
        <v>0.255</v>
      </c>
      <c r="BY126">
        <v>0.255</v>
      </c>
      <c r="BZ126">
        <v>0.33</v>
      </c>
      <c r="CA126">
        <v>300</v>
      </c>
      <c r="CQ126" t="s">
        <v>2031</v>
      </c>
      <c r="CR126">
        <v>0</v>
      </c>
      <c r="CS126">
        <v>0</v>
      </c>
      <c r="CT126">
        <v>0</v>
      </c>
      <c r="CU126">
        <v>0</v>
      </c>
      <c r="CW126" t="s">
        <v>1043</v>
      </c>
      <c r="CX126">
        <v>0</v>
      </c>
      <c r="CY126">
        <v>0</v>
      </c>
      <c r="CZ126">
        <v>0</v>
      </c>
      <c r="DA126">
        <v>0</v>
      </c>
      <c r="DB126">
        <v>0</v>
      </c>
      <c r="DD126">
        <v>0</v>
      </c>
      <c r="DK126">
        <v>0</v>
      </c>
      <c r="DL126">
        <v>0</v>
      </c>
      <c r="DM126">
        <v>0</v>
      </c>
      <c r="DN126">
        <v>0</v>
      </c>
      <c r="DO126">
        <v>0</v>
      </c>
      <c r="DP126">
        <v>0</v>
      </c>
      <c r="DQ126">
        <v>0</v>
      </c>
      <c r="DR126">
        <v>0</v>
      </c>
      <c r="DS126" t="s">
        <v>1043</v>
      </c>
      <c r="DT126" t="s">
        <v>1044</v>
      </c>
      <c r="DU126" t="s">
        <v>1044</v>
      </c>
      <c r="DW126" t="s">
        <v>1042</v>
      </c>
      <c r="DX126">
        <v>0</v>
      </c>
      <c r="DY126" t="s">
        <v>1043</v>
      </c>
      <c r="DZ126">
        <v>0</v>
      </c>
      <c r="EA126">
        <v>0</v>
      </c>
      <c r="EC126">
        <v>0</v>
      </c>
      <c r="EM126">
        <v>0</v>
      </c>
      <c r="EN126">
        <v>0</v>
      </c>
      <c r="EO126">
        <v>0</v>
      </c>
      <c r="EP126" t="s">
        <v>1043</v>
      </c>
      <c r="EX126" t="s">
        <v>2030</v>
      </c>
      <c r="EY126">
        <v>0</v>
      </c>
      <c r="EZ126">
        <v>0</v>
      </c>
      <c r="FA126">
        <v>0</v>
      </c>
      <c r="FB126">
        <v>1</v>
      </c>
      <c r="FC126" t="s">
        <v>1</v>
      </c>
      <c r="FD126" t="s">
        <v>2029</v>
      </c>
      <c r="FE126" t="s">
        <v>1045</v>
      </c>
      <c r="FF126">
        <v>0</v>
      </c>
      <c r="FG126">
        <v>0</v>
      </c>
      <c r="FH126" t="s">
        <v>1045</v>
      </c>
      <c r="FI126" t="s">
        <v>1045</v>
      </c>
      <c r="FJ126" t="s">
        <v>1043</v>
      </c>
      <c r="FR126">
        <v>0</v>
      </c>
      <c r="FS126">
        <v>0</v>
      </c>
      <c r="GA126" t="s">
        <v>1044</v>
      </c>
      <c r="GB126" t="s">
        <v>1044</v>
      </c>
      <c r="GC126" t="s">
        <v>1045</v>
      </c>
      <c r="GD126">
        <v>0</v>
      </c>
      <c r="GH126" t="s">
        <v>1045</v>
      </c>
      <c r="GI126" t="s">
        <v>2028</v>
      </c>
      <c r="GL126">
        <v>0</v>
      </c>
      <c r="GM126">
        <v>0</v>
      </c>
      <c r="GN126">
        <v>0</v>
      </c>
      <c r="GP126" t="s">
        <v>1042</v>
      </c>
      <c r="GQ126" t="s">
        <v>2027</v>
      </c>
      <c r="GS126" t="s">
        <v>1045</v>
      </c>
      <c r="GU126">
        <v>1</v>
      </c>
      <c r="GV126" t="s">
        <v>1045</v>
      </c>
      <c r="GW126" t="s">
        <v>2026</v>
      </c>
      <c r="GZ126" t="s">
        <v>2025</v>
      </c>
      <c r="HH126">
        <v>0</v>
      </c>
      <c r="HI126">
        <v>0</v>
      </c>
      <c r="HK126" t="s">
        <v>1045</v>
      </c>
      <c r="HL126" t="s">
        <v>1045</v>
      </c>
      <c r="HP126">
        <v>0</v>
      </c>
      <c r="HZ126">
        <v>0</v>
      </c>
      <c r="IB126">
        <v>0</v>
      </c>
      <c r="IC126">
        <v>0</v>
      </c>
      <c r="IG126" t="s">
        <v>1042</v>
      </c>
      <c r="IJ126" t="s">
        <v>1042</v>
      </c>
      <c r="IM126">
        <v>0</v>
      </c>
      <c r="IN126" t="s">
        <v>2024</v>
      </c>
      <c r="IQ126" t="s">
        <v>1045</v>
      </c>
    </row>
    <row r="127" spans="2:251" x14ac:dyDescent="0.35">
      <c r="B127">
        <v>1</v>
      </c>
      <c r="C127">
        <v>1382</v>
      </c>
      <c r="D127">
        <v>0</v>
      </c>
      <c r="E127">
        <v>0</v>
      </c>
      <c r="F127">
        <v>0</v>
      </c>
      <c r="G127">
        <v>0</v>
      </c>
      <c r="H127">
        <v>0</v>
      </c>
      <c r="I127">
        <v>0</v>
      </c>
      <c r="J127" t="s">
        <v>743</v>
      </c>
      <c r="M127">
        <v>117.38</v>
      </c>
      <c r="Q127">
        <v>18</v>
      </c>
      <c r="S127">
        <v>117.38</v>
      </c>
      <c r="T127">
        <v>0</v>
      </c>
      <c r="U127">
        <v>0</v>
      </c>
      <c r="W127">
        <v>0</v>
      </c>
      <c r="Y127" t="s">
        <v>1042</v>
      </c>
      <c r="Z127" t="s">
        <v>1042</v>
      </c>
      <c r="AA127" t="s">
        <v>1042</v>
      </c>
      <c r="AB127" t="s">
        <v>1042</v>
      </c>
      <c r="AC127" t="s">
        <v>1042</v>
      </c>
      <c r="AD127" t="s">
        <v>1042</v>
      </c>
      <c r="AE127">
        <v>0</v>
      </c>
      <c r="AG127">
        <v>0</v>
      </c>
      <c r="AH127">
        <v>0</v>
      </c>
      <c r="AI127">
        <v>0</v>
      </c>
      <c r="AJ127">
        <v>0</v>
      </c>
      <c r="AK127" t="s">
        <v>1043</v>
      </c>
      <c r="AM127">
        <v>220</v>
      </c>
      <c r="AO127" t="s">
        <v>1044</v>
      </c>
      <c r="AP127">
        <v>0</v>
      </c>
      <c r="AR127" t="s">
        <v>1047</v>
      </c>
      <c r="AV127">
        <v>0</v>
      </c>
      <c r="AW127">
        <v>0</v>
      </c>
      <c r="AX127">
        <v>0</v>
      </c>
      <c r="AY127">
        <v>0</v>
      </c>
      <c r="AZ127">
        <v>0</v>
      </c>
      <c r="BA127">
        <v>0</v>
      </c>
      <c r="BB127">
        <v>0</v>
      </c>
      <c r="BC127" t="s">
        <v>1043</v>
      </c>
      <c r="BD127">
        <v>0</v>
      </c>
      <c r="BE127">
        <v>0</v>
      </c>
      <c r="BJ127" t="s">
        <v>1044</v>
      </c>
      <c r="BM127">
        <v>0</v>
      </c>
      <c r="BN127">
        <v>0</v>
      </c>
      <c r="BO127">
        <v>0</v>
      </c>
      <c r="BP127">
        <v>0</v>
      </c>
      <c r="BQ127">
        <v>0</v>
      </c>
      <c r="BR127">
        <v>0</v>
      </c>
      <c r="BS127">
        <v>0</v>
      </c>
      <c r="BU127">
        <v>0.16</v>
      </c>
      <c r="BV127">
        <v>3.5000000000000003E-2</v>
      </c>
      <c r="BW127">
        <v>0.19</v>
      </c>
      <c r="BX127">
        <v>0.5</v>
      </c>
      <c r="BY127">
        <v>0.2</v>
      </c>
      <c r="BZ127">
        <v>0.66</v>
      </c>
      <c r="CA127">
        <v>500</v>
      </c>
      <c r="CQ127" t="s">
        <v>2031</v>
      </c>
      <c r="CR127">
        <v>0</v>
      </c>
      <c r="CS127">
        <v>0</v>
      </c>
      <c r="CT127">
        <v>0</v>
      </c>
      <c r="CU127">
        <v>0</v>
      </c>
      <c r="CW127" t="s">
        <v>1043</v>
      </c>
      <c r="CX127">
        <v>0</v>
      </c>
      <c r="CY127">
        <v>0</v>
      </c>
      <c r="CZ127">
        <v>0</v>
      </c>
      <c r="DA127">
        <v>0</v>
      </c>
      <c r="DB127">
        <v>0</v>
      </c>
      <c r="DD127">
        <v>0</v>
      </c>
      <c r="DK127">
        <v>0</v>
      </c>
      <c r="DL127">
        <v>0</v>
      </c>
      <c r="DM127">
        <v>0</v>
      </c>
      <c r="DN127">
        <v>0</v>
      </c>
      <c r="DO127">
        <v>0</v>
      </c>
      <c r="DP127">
        <v>0</v>
      </c>
      <c r="DQ127">
        <v>0</v>
      </c>
      <c r="DR127">
        <v>0</v>
      </c>
      <c r="DS127" t="s">
        <v>1043</v>
      </c>
      <c r="DT127" t="s">
        <v>1044</v>
      </c>
      <c r="DU127" t="s">
        <v>1044</v>
      </c>
      <c r="DW127" t="s">
        <v>1042</v>
      </c>
      <c r="DX127">
        <v>0</v>
      </c>
      <c r="DY127" t="s">
        <v>1043</v>
      </c>
      <c r="DZ127">
        <v>0</v>
      </c>
      <c r="EA127">
        <v>0</v>
      </c>
      <c r="EC127">
        <v>0</v>
      </c>
      <c r="EM127">
        <v>0</v>
      </c>
      <c r="EN127">
        <v>0</v>
      </c>
      <c r="EO127">
        <v>0</v>
      </c>
      <c r="EP127" t="s">
        <v>1043</v>
      </c>
      <c r="EX127" t="s">
        <v>2030</v>
      </c>
      <c r="EY127">
        <v>0</v>
      </c>
      <c r="EZ127">
        <v>0</v>
      </c>
      <c r="FA127">
        <v>0</v>
      </c>
      <c r="FB127">
        <v>1</v>
      </c>
      <c r="FC127" t="s">
        <v>1</v>
      </c>
      <c r="FD127" t="s">
        <v>2029</v>
      </c>
      <c r="FE127" t="s">
        <v>1045</v>
      </c>
      <c r="FF127">
        <v>0</v>
      </c>
      <c r="FG127">
        <v>0</v>
      </c>
      <c r="FH127" t="s">
        <v>1045</v>
      </c>
      <c r="FI127" t="s">
        <v>1045</v>
      </c>
      <c r="FJ127" t="s">
        <v>1043</v>
      </c>
      <c r="FR127">
        <v>0</v>
      </c>
      <c r="FS127">
        <v>0</v>
      </c>
      <c r="GA127" t="s">
        <v>1044</v>
      </c>
      <c r="GB127" t="s">
        <v>1044</v>
      </c>
      <c r="GC127" t="s">
        <v>1045</v>
      </c>
      <c r="GD127">
        <v>0</v>
      </c>
      <c r="GH127" t="s">
        <v>1045</v>
      </c>
      <c r="GI127" t="s">
        <v>2028</v>
      </c>
      <c r="GL127">
        <v>0</v>
      </c>
      <c r="GM127">
        <v>0</v>
      </c>
      <c r="GN127">
        <v>0</v>
      </c>
      <c r="GP127" t="s">
        <v>1042</v>
      </c>
      <c r="GQ127" t="s">
        <v>2027</v>
      </c>
      <c r="GS127" t="s">
        <v>1045</v>
      </c>
      <c r="GU127">
        <v>1</v>
      </c>
      <c r="GV127" t="s">
        <v>1045</v>
      </c>
      <c r="GW127" t="s">
        <v>2026</v>
      </c>
      <c r="GZ127" t="s">
        <v>2025</v>
      </c>
      <c r="HH127">
        <v>0</v>
      </c>
      <c r="HI127">
        <v>0</v>
      </c>
      <c r="HK127" t="s">
        <v>1045</v>
      </c>
      <c r="HL127" t="s">
        <v>1045</v>
      </c>
      <c r="HP127">
        <v>0</v>
      </c>
      <c r="HZ127">
        <v>0</v>
      </c>
      <c r="IB127">
        <v>0</v>
      </c>
      <c r="IC127">
        <v>0</v>
      </c>
      <c r="IG127" t="s">
        <v>1042</v>
      </c>
      <c r="IJ127" t="s">
        <v>1042</v>
      </c>
      <c r="IM127">
        <v>0</v>
      </c>
      <c r="IN127" t="s">
        <v>2024</v>
      </c>
      <c r="IQ127" t="s">
        <v>1045</v>
      </c>
    </row>
    <row r="128" spans="2:251" x14ac:dyDescent="0.35">
      <c r="B128">
        <v>1</v>
      </c>
      <c r="C128">
        <v>1383</v>
      </c>
      <c r="D128">
        <v>0</v>
      </c>
      <c r="E128">
        <v>0</v>
      </c>
      <c r="F128">
        <v>0</v>
      </c>
      <c r="G128">
        <v>0</v>
      </c>
      <c r="H128">
        <v>0</v>
      </c>
      <c r="I128">
        <v>0</v>
      </c>
      <c r="J128" t="s">
        <v>744</v>
      </c>
      <c r="M128">
        <v>162.63</v>
      </c>
      <c r="Q128">
        <v>26</v>
      </c>
      <c r="S128">
        <v>162.63</v>
      </c>
      <c r="T128">
        <v>0</v>
      </c>
      <c r="U128">
        <v>0</v>
      </c>
      <c r="W128">
        <v>0</v>
      </c>
      <c r="Y128" t="s">
        <v>1042</v>
      </c>
      <c r="Z128" t="s">
        <v>1042</v>
      </c>
      <c r="AA128" t="s">
        <v>1042</v>
      </c>
      <c r="AB128" t="s">
        <v>1042</v>
      </c>
      <c r="AC128" t="s">
        <v>1042</v>
      </c>
      <c r="AD128" t="s">
        <v>1042</v>
      </c>
      <c r="AE128">
        <v>0</v>
      </c>
      <c r="AG128">
        <v>0</v>
      </c>
      <c r="AH128">
        <v>0</v>
      </c>
      <c r="AI128">
        <v>0</v>
      </c>
      <c r="AJ128">
        <v>0</v>
      </c>
      <c r="AK128" t="s">
        <v>1043</v>
      </c>
      <c r="AM128">
        <v>220</v>
      </c>
      <c r="AO128" t="s">
        <v>1044</v>
      </c>
      <c r="AP128">
        <v>0</v>
      </c>
      <c r="AR128" t="s">
        <v>1047</v>
      </c>
      <c r="AV128">
        <v>0</v>
      </c>
      <c r="AW128">
        <v>0</v>
      </c>
      <c r="AX128">
        <v>0</v>
      </c>
      <c r="AY128">
        <v>0</v>
      </c>
      <c r="AZ128">
        <v>0</v>
      </c>
      <c r="BA128">
        <v>0</v>
      </c>
      <c r="BB128">
        <v>0</v>
      </c>
      <c r="BC128" t="s">
        <v>1043</v>
      </c>
      <c r="BD128">
        <v>0</v>
      </c>
      <c r="BE128">
        <v>0</v>
      </c>
      <c r="BJ128" t="s">
        <v>1044</v>
      </c>
      <c r="BM128">
        <v>0</v>
      </c>
      <c r="BN128">
        <v>0</v>
      </c>
      <c r="BO128">
        <v>0</v>
      </c>
      <c r="BP128">
        <v>0</v>
      </c>
      <c r="BQ128">
        <v>0</v>
      </c>
      <c r="BR128">
        <v>0</v>
      </c>
      <c r="BS128">
        <v>0</v>
      </c>
      <c r="BU128">
        <v>0.2</v>
      </c>
      <c r="BV128">
        <v>0.05</v>
      </c>
      <c r="BW128">
        <v>0.3</v>
      </c>
      <c r="BX128">
        <v>0.47</v>
      </c>
      <c r="BY128">
        <v>0.23</v>
      </c>
      <c r="BZ128">
        <v>0.7</v>
      </c>
      <c r="CA128">
        <v>300</v>
      </c>
      <c r="CQ128" t="s">
        <v>2031</v>
      </c>
      <c r="CR128">
        <v>0</v>
      </c>
      <c r="CS128">
        <v>0</v>
      </c>
      <c r="CT128">
        <v>0</v>
      </c>
      <c r="CU128">
        <v>0</v>
      </c>
      <c r="CW128" t="s">
        <v>1043</v>
      </c>
      <c r="CX128">
        <v>0</v>
      </c>
      <c r="CY128">
        <v>0</v>
      </c>
      <c r="CZ128">
        <v>0</v>
      </c>
      <c r="DA128">
        <v>0</v>
      </c>
      <c r="DB128">
        <v>0</v>
      </c>
      <c r="DD128">
        <v>0</v>
      </c>
      <c r="DK128">
        <v>0</v>
      </c>
      <c r="DL128">
        <v>0</v>
      </c>
      <c r="DM128">
        <v>0</v>
      </c>
      <c r="DN128">
        <v>0</v>
      </c>
      <c r="DO128">
        <v>0</v>
      </c>
      <c r="DP128">
        <v>0</v>
      </c>
      <c r="DQ128">
        <v>0</v>
      </c>
      <c r="DR128">
        <v>0</v>
      </c>
      <c r="DS128" t="s">
        <v>1043</v>
      </c>
      <c r="DT128" t="s">
        <v>1044</v>
      </c>
      <c r="DU128" t="s">
        <v>1044</v>
      </c>
      <c r="DW128" t="s">
        <v>1042</v>
      </c>
      <c r="DX128">
        <v>0</v>
      </c>
      <c r="DY128" t="s">
        <v>1043</v>
      </c>
      <c r="DZ128">
        <v>0</v>
      </c>
      <c r="EA128">
        <v>0</v>
      </c>
      <c r="EC128">
        <v>0</v>
      </c>
      <c r="EM128">
        <v>0</v>
      </c>
      <c r="EN128">
        <v>0</v>
      </c>
      <c r="EO128">
        <v>0</v>
      </c>
      <c r="EP128" t="s">
        <v>1043</v>
      </c>
      <c r="EX128" t="s">
        <v>2030</v>
      </c>
      <c r="EY128">
        <v>0</v>
      </c>
      <c r="EZ128">
        <v>0</v>
      </c>
      <c r="FA128">
        <v>0</v>
      </c>
      <c r="FB128">
        <v>1</v>
      </c>
      <c r="FC128" t="s">
        <v>1</v>
      </c>
      <c r="FD128" t="s">
        <v>2029</v>
      </c>
      <c r="FE128" t="s">
        <v>1045</v>
      </c>
      <c r="FF128">
        <v>0</v>
      </c>
      <c r="FG128">
        <v>0</v>
      </c>
      <c r="FH128" t="s">
        <v>1045</v>
      </c>
      <c r="FI128" t="s">
        <v>1045</v>
      </c>
      <c r="FJ128" t="s">
        <v>1043</v>
      </c>
      <c r="FR128">
        <v>0</v>
      </c>
      <c r="FS128">
        <v>0</v>
      </c>
      <c r="GA128" t="s">
        <v>1044</v>
      </c>
      <c r="GB128" t="s">
        <v>1044</v>
      </c>
      <c r="GC128" t="s">
        <v>1045</v>
      </c>
      <c r="GD128">
        <v>0</v>
      </c>
      <c r="GH128" t="s">
        <v>1045</v>
      </c>
      <c r="GI128" t="s">
        <v>2028</v>
      </c>
      <c r="GL128">
        <v>0</v>
      </c>
      <c r="GM128">
        <v>0</v>
      </c>
      <c r="GN128">
        <v>0</v>
      </c>
      <c r="GP128" t="s">
        <v>1042</v>
      </c>
      <c r="GQ128" t="s">
        <v>2027</v>
      </c>
      <c r="GS128" t="s">
        <v>1045</v>
      </c>
      <c r="GU128">
        <v>1</v>
      </c>
      <c r="GV128" t="s">
        <v>1045</v>
      </c>
      <c r="GW128" t="s">
        <v>2026</v>
      </c>
      <c r="GZ128" t="s">
        <v>2025</v>
      </c>
      <c r="HH128">
        <v>0</v>
      </c>
      <c r="HI128">
        <v>0</v>
      </c>
      <c r="HK128" t="s">
        <v>1045</v>
      </c>
      <c r="HL128" t="s">
        <v>1045</v>
      </c>
      <c r="HP128">
        <v>0</v>
      </c>
      <c r="HZ128">
        <v>0</v>
      </c>
      <c r="IB128">
        <v>0</v>
      </c>
      <c r="IC128">
        <v>0</v>
      </c>
      <c r="IG128" t="s">
        <v>1042</v>
      </c>
      <c r="IJ128" t="s">
        <v>1042</v>
      </c>
      <c r="IM128">
        <v>0</v>
      </c>
      <c r="IN128" t="s">
        <v>2024</v>
      </c>
      <c r="IQ128" t="s">
        <v>1045</v>
      </c>
    </row>
    <row r="129" spans="2:251" x14ac:dyDescent="0.35">
      <c r="B129">
        <v>1</v>
      </c>
      <c r="C129">
        <v>1384</v>
      </c>
      <c r="D129">
        <v>0</v>
      </c>
      <c r="E129">
        <v>0</v>
      </c>
      <c r="F129">
        <v>0</v>
      </c>
      <c r="G129">
        <v>0</v>
      </c>
      <c r="H129">
        <v>0</v>
      </c>
      <c r="I129">
        <v>0</v>
      </c>
      <c r="J129" t="s">
        <v>745</v>
      </c>
      <c r="M129">
        <v>203.65</v>
      </c>
      <c r="Q129">
        <v>31.5</v>
      </c>
      <c r="S129">
        <v>203.65</v>
      </c>
      <c r="T129">
        <v>0</v>
      </c>
      <c r="U129">
        <v>0</v>
      </c>
      <c r="W129">
        <v>0</v>
      </c>
      <c r="Y129" t="s">
        <v>1042</v>
      </c>
      <c r="Z129" t="s">
        <v>1042</v>
      </c>
      <c r="AA129" t="s">
        <v>1042</v>
      </c>
      <c r="AB129" t="s">
        <v>1042</v>
      </c>
      <c r="AC129" t="s">
        <v>1042</v>
      </c>
      <c r="AD129" t="s">
        <v>1042</v>
      </c>
      <c r="AE129">
        <v>0</v>
      </c>
      <c r="AG129">
        <v>0</v>
      </c>
      <c r="AH129">
        <v>0</v>
      </c>
      <c r="AI129">
        <v>0</v>
      </c>
      <c r="AJ129">
        <v>0</v>
      </c>
      <c r="AK129" t="s">
        <v>1043</v>
      </c>
      <c r="AM129">
        <v>220</v>
      </c>
      <c r="AO129" t="s">
        <v>1044</v>
      </c>
      <c r="AP129">
        <v>0</v>
      </c>
      <c r="AR129" t="s">
        <v>1047</v>
      </c>
      <c r="AV129">
        <v>0</v>
      </c>
      <c r="AW129">
        <v>0</v>
      </c>
      <c r="AX129">
        <v>0</v>
      </c>
      <c r="AY129">
        <v>0</v>
      </c>
      <c r="AZ129">
        <v>0</v>
      </c>
      <c r="BA129">
        <v>0</v>
      </c>
      <c r="BB129">
        <v>0</v>
      </c>
      <c r="BC129" t="s">
        <v>1043</v>
      </c>
      <c r="BD129">
        <v>0</v>
      </c>
      <c r="BE129">
        <v>0</v>
      </c>
      <c r="BJ129" t="s">
        <v>1044</v>
      </c>
      <c r="BM129">
        <v>0</v>
      </c>
      <c r="BN129">
        <v>0</v>
      </c>
      <c r="BO129">
        <v>0</v>
      </c>
      <c r="BP129">
        <v>0</v>
      </c>
      <c r="BQ129">
        <v>0</v>
      </c>
      <c r="BR129">
        <v>0</v>
      </c>
      <c r="BS129">
        <v>0</v>
      </c>
      <c r="BU129">
        <v>0.26</v>
      </c>
      <c r="BV129">
        <v>0.09</v>
      </c>
      <c r="BW129">
        <v>0.22</v>
      </c>
      <c r="BX129">
        <v>0.49</v>
      </c>
      <c r="BY129">
        <v>0.19</v>
      </c>
      <c r="BZ129">
        <v>0.65</v>
      </c>
      <c r="CA129">
        <v>150</v>
      </c>
      <c r="CQ129" t="s">
        <v>2031</v>
      </c>
      <c r="CR129">
        <v>0</v>
      </c>
      <c r="CS129">
        <v>0</v>
      </c>
      <c r="CT129">
        <v>0</v>
      </c>
      <c r="CU129">
        <v>0</v>
      </c>
      <c r="CW129" t="s">
        <v>1043</v>
      </c>
      <c r="CX129">
        <v>0</v>
      </c>
      <c r="CY129">
        <v>0</v>
      </c>
      <c r="CZ129">
        <v>0</v>
      </c>
      <c r="DA129">
        <v>0</v>
      </c>
      <c r="DB129">
        <v>0</v>
      </c>
      <c r="DD129">
        <v>0</v>
      </c>
      <c r="DK129">
        <v>0</v>
      </c>
      <c r="DL129">
        <v>0</v>
      </c>
      <c r="DM129">
        <v>0</v>
      </c>
      <c r="DN129">
        <v>0</v>
      </c>
      <c r="DO129">
        <v>0</v>
      </c>
      <c r="DP129">
        <v>0</v>
      </c>
      <c r="DQ129">
        <v>0</v>
      </c>
      <c r="DR129">
        <v>0</v>
      </c>
      <c r="DS129" t="s">
        <v>1043</v>
      </c>
      <c r="DT129" t="s">
        <v>1044</v>
      </c>
      <c r="DU129" t="s">
        <v>1044</v>
      </c>
      <c r="DW129" t="s">
        <v>1042</v>
      </c>
      <c r="DX129">
        <v>0</v>
      </c>
      <c r="DY129" t="s">
        <v>1043</v>
      </c>
      <c r="DZ129">
        <v>0</v>
      </c>
      <c r="EA129">
        <v>0</v>
      </c>
      <c r="EC129">
        <v>0</v>
      </c>
      <c r="EM129">
        <v>0</v>
      </c>
      <c r="EN129">
        <v>0</v>
      </c>
      <c r="EO129">
        <v>0</v>
      </c>
      <c r="EP129" t="s">
        <v>1043</v>
      </c>
      <c r="EX129" t="s">
        <v>2030</v>
      </c>
      <c r="EY129">
        <v>0</v>
      </c>
      <c r="EZ129">
        <v>0</v>
      </c>
      <c r="FA129">
        <v>0</v>
      </c>
      <c r="FB129">
        <v>1</v>
      </c>
      <c r="FC129" t="s">
        <v>1</v>
      </c>
      <c r="FD129" t="s">
        <v>2029</v>
      </c>
      <c r="FE129" t="s">
        <v>1045</v>
      </c>
      <c r="FF129">
        <v>0</v>
      </c>
      <c r="FG129">
        <v>0</v>
      </c>
      <c r="FH129" t="s">
        <v>1045</v>
      </c>
      <c r="FI129" t="s">
        <v>1045</v>
      </c>
      <c r="FJ129" t="s">
        <v>1043</v>
      </c>
      <c r="FR129">
        <v>0</v>
      </c>
      <c r="FS129">
        <v>0</v>
      </c>
      <c r="GA129" t="s">
        <v>1044</v>
      </c>
      <c r="GB129" t="s">
        <v>1044</v>
      </c>
      <c r="GC129" t="s">
        <v>1045</v>
      </c>
      <c r="GD129">
        <v>0</v>
      </c>
      <c r="GH129" t="s">
        <v>1045</v>
      </c>
      <c r="GI129" t="s">
        <v>2028</v>
      </c>
      <c r="GL129">
        <v>0</v>
      </c>
      <c r="GM129">
        <v>0</v>
      </c>
      <c r="GN129">
        <v>0</v>
      </c>
      <c r="GP129" t="s">
        <v>1042</v>
      </c>
      <c r="GQ129" t="s">
        <v>2027</v>
      </c>
      <c r="GS129" t="s">
        <v>1045</v>
      </c>
      <c r="GU129">
        <v>1</v>
      </c>
      <c r="GV129" t="s">
        <v>1045</v>
      </c>
      <c r="GW129" t="s">
        <v>2026</v>
      </c>
      <c r="GZ129" t="s">
        <v>2025</v>
      </c>
      <c r="HH129">
        <v>0</v>
      </c>
      <c r="HI129">
        <v>0</v>
      </c>
      <c r="HK129" t="s">
        <v>1045</v>
      </c>
      <c r="HL129" t="s">
        <v>1045</v>
      </c>
      <c r="HP129">
        <v>0</v>
      </c>
      <c r="HZ129">
        <v>0</v>
      </c>
      <c r="IB129">
        <v>0</v>
      </c>
      <c r="IC129">
        <v>0</v>
      </c>
      <c r="IG129" t="s">
        <v>1042</v>
      </c>
      <c r="IJ129" t="s">
        <v>1042</v>
      </c>
      <c r="IM129">
        <v>0</v>
      </c>
      <c r="IN129" t="s">
        <v>2024</v>
      </c>
      <c r="IQ129" t="s">
        <v>1045</v>
      </c>
    </row>
    <row r="130" spans="2:251" x14ac:dyDescent="0.35">
      <c r="B130">
        <v>1</v>
      </c>
      <c r="C130">
        <v>1385</v>
      </c>
      <c r="D130">
        <v>0</v>
      </c>
      <c r="E130">
        <v>0</v>
      </c>
      <c r="F130">
        <v>0</v>
      </c>
      <c r="G130">
        <v>0</v>
      </c>
      <c r="H130">
        <v>0</v>
      </c>
      <c r="I130">
        <v>0</v>
      </c>
      <c r="J130" t="s">
        <v>746</v>
      </c>
      <c r="M130">
        <v>137</v>
      </c>
      <c r="Q130">
        <v>18</v>
      </c>
      <c r="S130">
        <v>40</v>
      </c>
      <c r="T130">
        <v>0</v>
      </c>
      <c r="U130">
        <v>0</v>
      </c>
      <c r="W130">
        <v>0</v>
      </c>
      <c r="Y130" t="s">
        <v>1042</v>
      </c>
      <c r="Z130" t="s">
        <v>1042</v>
      </c>
      <c r="AA130" t="s">
        <v>1042</v>
      </c>
      <c r="AB130" t="s">
        <v>1042</v>
      </c>
      <c r="AC130" t="s">
        <v>1042</v>
      </c>
      <c r="AD130" t="s">
        <v>1042</v>
      </c>
      <c r="AE130">
        <v>0</v>
      </c>
      <c r="AG130">
        <v>0</v>
      </c>
      <c r="AH130">
        <v>0</v>
      </c>
      <c r="AI130">
        <v>0</v>
      </c>
      <c r="AJ130">
        <v>0</v>
      </c>
      <c r="AK130" t="s">
        <v>1043</v>
      </c>
      <c r="AM130">
        <v>220</v>
      </c>
      <c r="AO130" t="s">
        <v>1044</v>
      </c>
      <c r="AP130">
        <v>0</v>
      </c>
      <c r="AR130" t="s">
        <v>1047</v>
      </c>
      <c r="AV130">
        <v>0</v>
      </c>
      <c r="AW130">
        <v>0</v>
      </c>
      <c r="AX130">
        <v>0</v>
      </c>
      <c r="AY130">
        <v>0</v>
      </c>
      <c r="AZ130">
        <v>0</v>
      </c>
      <c r="BA130">
        <v>0</v>
      </c>
      <c r="BB130">
        <v>0</v>
      </c>
      <c r="BC130" t="s">
        <v>1043</v>
      </c>
      <c r="BD130">
        <v>0</v>
      </c>
      <c r="BE130">
        <v>0</v>
      </c>
      <c r="BJ130" t="s">
        <v>1044</v>
      </c>
      <c r="BM130">
        <v>0</v>
      </c>
      <c r="BN130">
        <v>0</v>
      </c>
      <c r="BO130">
        <v>0</v>
      </c>
      <c r="BP130">
        <v>0</v>
      </c>
      <c r="BQ130">
        <v>0</v>
      </c>
      <c r="BR130">
        <v>0</v>
      </c>
      <c r="BS130">
        <v>0</v>
      </c>
      <c r="BU130">
        <v>0.17</v>
      </c>
      <c r="BV130">
        <v>0.04</v>
      </c>
      <c r="BW130">
        <v>0.19</v>
      </c>
      <c r="BX130">
        <v>0.5</v>
      </c>
      <c r="BY130">
        <v>0.2</v>
      </c>
      <c r="BZ130">
        <v>0.72</v>
      </c>
      <c r="CA130">
        <v>500</v>
      </c>
      <c r="CQ130" t="s">
        <v>2031</v>
      </c>
      <c r="CR130">
        <v>0</v>
      </c>
      <c r="CS130">
        <v>0</v>
      </c>
      <c r="CT130">
        <v>0</v>
      </c>
      <c r="CU130">
        <v>0</v>
      </c>
      <c r="CW130" t="s">
        <v>1043</v>
      </c>
      <c r="CX130">
        <v>0</v>
      </c>
      <c r="CY130">
        <v>0</v>
      </c>
      <c r="CZ130">
        <v>0</v>
      </c>
      <c r="DA130">
        <v>0</v>
      </c>
      <c r="DB130">
        <v>0</v>
      </c>
      <c r="DD130">
        <v>0</v>
      </c>
      <c r="DK130">
        <v>0</v>
      </c>
      <c r="DL130">
        <v>0</v>
      </c>
      <c r="DM130">
        <v>0</v>
      </c>
      <c r="DN130">
        <v>0</v>
      </c>
      <c r="DO130">
        <v>0</v>
      </c>
      <c r="DP130">
        <v>0</v>
      </c>
      <c r="DQ130">
        <v>0</v>
      </c>
      <c r="DR130">
        <v>0</v>
      </c>
      <c r="DS130" t="s">
        <v>1043</v>
      </c>
      <c r="DT130" t="s">
        <v>1044</v>
      </c>
      <c r="DU130" t="s">
        <v>1044</v>
      </c>
      <c r="DW130" t="s">
        <v>1042</v>
      </c>
      <c r="DX130">
        <v>0</v>
      </c>
      <c r="DY130" t="s">
        <v>1043</v>
      </c>
      <c r="DZ130">
        <v>0</v>
      </c>
      <c r="EA130">
        <v>0</v>
      </c>
      <c r="EC130">
        <v>0</v>
      </c>
      <c r="EM130">
        <v>0</v>
      </c>
      <c r="EN130">
        <v>0</v>
      </c>
      <c r="EO130">
        <v>0</v>
      </c>
      <c r="EP130" t="s">
        <v>1043</v>
      </c>
      <c r="EX130" t="s">
        <v>2030</v>
      </c>
      <c r="EY130">
        <v>0</v>
      </c>
      <c r="EZ130">
        <v>0</v>
      </c>
      <c r="FA130">
        <v>0</v>
      </c>
      <c r="FB130">
        <v>1</v>
      </c>
      <c r="FC130" t="s">
        <v>1</v>
      </c>
      <c r="FD130" t="s">
        <v>2029</v>
      </c>
      <c r="FE130" t="s">
        <v>1045</v>
      </c>
      <c r="FF130">
        <v>0</v>
      </c>
      <c r="FG130">
        <v>0</v>
      </c>
      <c r="FH130" t="s">
        <v>1045</v>
      </c>
      <c r="FI130" t="s">
        <v>1045</v>
      </c>
      <c r="FJ130" t="s">
        <v>1043</v>
      </c>
      <c r="FR130">
        <v>0</v>
      </c>
      <c r="FS130">
        <v>0</v>
      </c>
      <c r="GA130" t="s">
        <v>1044</v>
      </c>
      <c r="GB130" t="s">
        <v>1044</v>
      </c>
      <c r="GC130" t="s">
        <v>1045</v>
      </c>
      <c r="GD130">
        <v>0</v>
      </c>
      <c r="GH130" t="s">
        <v>1045</v>
      </c>
      <c r="GI130" t="s">
        <v>2028</v>
      </c>
      <c r="GL130">
        <v>0</v>
      </c>
      <c r="GM130">
        <v>0</v>
      </c>
      <c r="GN130">
        <v>0</v>
      </c>
      <c r="GP130" t="s">
        <v>1042</v>
      </c>
      <c r="GQ130" t="s">
        <v>2027</v>
      </c>
      <c r="GS130" t="s">
        <v>1045</v>
      </c>
      <c r="GU130">
        <v>1</v>
      </c>
      <c r="GV130" t="s">
        <v>1045</v>
      </c>
      <c r="GW130" t="s">
        <v>2026</v>
      </c>
      <c r="GZ130" t="s">
        <v>2025</v>
      </c>
      <c r="HH130">
        <v>0</v>
      </c>
      <c r="HI130">
        <v>0</v>
      </c>
      <c r="HK130" t="s">
        <v>1045</v>
      </c>
      <c r="HL130" t="s">
        <v>1045</v>
      </c>
      <c r="HP130">
        <v>0</v>
      </c>
      <c r="HZ130">
        <v>0</v>
      </c>
      <c r="IB130">
        <v>0</v>
      </c>
      <c r="IC130">
        <v>0</v>
      </c>
      <c r="IG130" t="s">
        <v>1042</v>
      </c>
      <c r="IJ130" t="s">
        <v>1042</v>
      </c>
      <c r="IM130">
        <v>0</v>
      </c>
      <c r="IN130" t="s">
        <v>2024</v>
      </c>
      <c r="IQ130" t="s">
        <v>1045</v>
      </c>
    </row>
    <row r="131" spans="2:251" x14ac:dyDescent="0.35">
      <c r="B131">
        <v>1</v>
      </c>
      <c r="C131">
        <v>1386</v>
      </c>
      <c r="D131">
        <v>0</v>
      </c>
      <c r="E131">
        <v>0</v>
      </c>
      <c r="F131">
        <v>0</v>
      </c>
      <c r="G131">
        <v>0</v>
      </c>
      <c r="H131">
        <v>0</v>
      </c>
      <c r="I131">
        <v>0</v>
      </c>
      <c r="J131" t="s">
        <v>747</v>
      </c>
      <c r="M131">
        <v>170</v>
      </c>
      <c r="Q131">
        <v>26</v>
      </c>
      <c r="S131">
        <v>45</v>
      </c>
      <c r="T131">
        <v>0</v>
      </c>
      <c r="U131">
        <v>0</v>
      </c>
      <c r="W131">
        <v>0</v>
      </c>
      <c r="Y131" t="s">
        <v>1042</v>
      </c>
      <c r="Z131" t="s">
        <v>1042</v>
      </c>
      <c r="AA131" t="s">
        <v>1042</v>
      </c>
      <c r="AB131" t="s">
        <v>1042</v>
      </c>
      <c r="AC131" t="s">
        <v>1042</v>
      </c>
      <c r="AD131" t="s">
        <v>1042</v>
      </c>
      <c r="AE131">
        <v>0</v>
      </c>
      <c r="AG131">
        <v>0</v>
      </c>
      <c r="AH131">
        <v>0</v>
      </c>
      <c r="AI131">
        <v>0</v>
      </c>
      <c r="AJ131">
        <v>0</v>
      </c>
      <c r="AK131" t="s">
        <v>1043</v>
      </c>
      <c r="AM131">
        <v>220</v>
      </c>
      <c r="AO131" t="s">
        <v>1044</v>
      </c>
      <c r="AP131">
        <v>0</v>
      </c>
      <c r="AR131" t="s">
        <v>1047</v>
      </c>
      <c r="AV131">
        <v>0</v>
      </c>
      <c r="AW131">
        <v>0</v>
      </c>
      <c r="AX131">
        <v>0</v>
      </c>
      <c r="AY131">
        <v>0</v>
      </c>
      <c r="AZ131">
        <v>0</v>
      </c>
      <c r="BA131">
        <v>0</v>
      </c>
      <c r="BB131">
        <v>0</v>
      </c>
      <c r="BC131" t="s">
        <v>1043</v>
      </c>
      <c r="BD131">
        <v>0</v>
      </c>
      <c r="BE131">
        <v>0</v>
      </c>
      <c r="BJ131" t="s">
        <v>1044</v>
      </c>
      <c r="BM131">
        <v>0</v>
      </c>
      <c r="BN131">
        <v>0</v>
      </c>
      <c r="BO131">
        <v>0</v>
      </c>
      <c r="BP131">
        <v>0</v>
      </c>
      <c r="BQ131">
        <v>0</v>
      </c>
      <c r="BR131">
        <v>0</v>
      </c>
      <c r="BS131">
        <v>0</v>
      </c>
      <c r="BU131">
        <v>0.22</v>
      </c>
      <c r="BV131">
        <v>0.05</v>
      </c>
      <c r="BW131">
        <v>0.25</v>
      </c>
      <c r="BX131">
        <v>0.5</v>
      </c>
      <c r="BY131">
        <v>0.2</v>
      </c>
      <c r="BZ131">
        <v>0.72</v>
      </c>
      <c r="CA131">
        <v>300</v>
      </c>
      <c r="CQ131" t="s">
        <v>2031</v>
      </c>
      <c r="CR131">
        <v>0</v>
      </c>
      <c r="CS131">
        <v>0</v>
      </c>
      <c r="CT131">
        <v>0</v>
      </c>
      <c r="CU131">
        <v>0</v>
      </c>
      <c r="CW131" t="s">
        <v>1043</v>
      </c>
      <c r="CX131">
        <v>0</v>
      </c>
      <c r="CY131">
        <v>0</v>
      </c>
      <c r="CZ131">
        <v>0</v>
      </c>
      <c r="DA131">
        <v>0</v>
      </c>
      <c r="DB131">
        <v>0</v>
      </c>
      <c r="DD131">
        <v>0</v>
      </c>
      <c r="DK131">
        <v>0</v>
      </c>
      <c r="DL131">
        <v>0</v>
      </c>
      <c r="DM131">
        <v>0</v>
      </c>
      <c r="DN131">
        <v>0</v>
      </c>
      <c r="DO131">
        <v>0</v>
      </c>
      <c r="DP131">
        <v>0</v>
      </c>
      <c r="DQ131">
        <v>0</v>
      </c>
      <c r="DR131">
        <v>0</v>
      </c>
      <c r="DS131" t="s">
        <v>1043</v>
      </c>
      <c r="DT131" t="s">
        <v>1044</v>
      </c>
      <c r="DU131" t="s">
        <v>1044</v>
      </c>
      <c r="DW131" t="s">
        <v>1042</v>
      </c>
      <c r="DX131">
        <v>0</v>
      </c>
      <c r="DY131" t="s">
        <v>1043</v>
      </c>
      <c r="DZ131">
        <v>0</v>
      </c>
      <c r="EA131">
        <v>0</v>
      </c>
      <c r="EC131">
        <v>0</v>
      </c>
      <c r="EM131">
        <v>0</v>
      </c>
      <c r="EN131">
        <v>0</v>
      </c>
      <c r="EO131">
        <v>0</v>
      </c>
      <c r="EP131" t="s">
        <v>1043</v>
      </c>
      <c r="EX131" t="s">
        <v>2030</v>
      </c>
      <c r="EY131">
        <v>0</v>
      </c>
      <c r="EZ131">
        <v>0</v>
      </c>
      <c r="FA131">
        <v>0</v>
      </c>
      <c r="FB131">
        <v>1</v>
      </c>
      <c r="FC131" t="s">
        <v>1</v>
      </c>
      <c r="FD131" t="s">
        <v>2029</v>
      </c>
      <c r="FE131" t="s">
        <v>1045</v>
      </c>
      <c r="FF131">
        <v>0</v>
      </c>
      <c r="FG131">
        <v>0</v>
      </c>
      <c r="FH131" t="s">
        <v>1045</v>
      </c>
      <c r="FI131" t="s">
        <v>1045</v>
      </c>
      <c r="FJ131" t="s">
        <v>1043</v>
      </c>
      <c r="FR131">
        <v>0</v>
      </c>
      <c r="FS131">
        <v>0</v>
      </c>
      <c r="GA131" t="s">
        <v>1044</v>
      </c>
      <c r="GB131" t="s">
        <v>1044</v>
      </c>
      <c r="GC131" t="s">
        <v>1045</v>
      </c>
      <c r="GD131">
        <v>0</v>
      </c>
      <c r="GH131" t="s">
        <v>1045</v>
      </c>
      <c r="GI131" t="s">
        <v>2028</v>
      </c>
      <c r="GL131">
        <v>0</v>
      </c>
      <c r="GM131">
        <v>0</v>
      </c>
      <c r="GN131">
        <v>0</v>
      </c>
      <c r="GP131" t="s">
        <v>1042</v>
      </c>
      <c r="GQ131" t="s">
        <v>2027</v>
      </c>
      <c r="GS131" t="s">
        <v>1045</v>
      </c>
      <c r="GU131">
        <v>1</v>
      </c>
      <c r="GV131" t="s">
        <v>1045</v>
      </c>
      <c r="GW131" t="s">
        <v>2026</v>
      </c>
      <c r="GZ131" t="s">
        <v>2025</v>
      </c>
      <c r="HH131">
        <v>0</v>
      </c>
      <c r="HI131">
        <v>0</v>
      </c>
      <c r="HK131" t="s">
        <v>1045</v>
      </c>
      <c r="HL131" t="s">
        <v>1045</v>
      </c>
      <c r="HP131">
        <v>0</v>
      </c>
      <c r="HZ131">
        <v>0</v>
      </c>
      <c r="IB131">
        <v>0</v>
      </c>
      <c r="IC131">
        <v>0</v>
      </c>
      <c r="IG131" t="s">
        <v>1042</v>
      </c>
      <c r="IJ131" t="s">
        <v>1042</v>
      </c>
      <c r="IM131">
        <v>0</v>
      </c>
      <c r="IN131" t="s">
        <v>2024</v>
      </c>
      <c r="IQ131" t="s">
        <v>1045</v>
      </c>
    </row>
    <row r="132" spans="2:251" x14ac:dyDescent="0.35">
      <c r="B132">
        <v>1</v>
      </c>
      <c r="C132">
        <v>1387</v>
      </c>
      <c r="D132">
        <v>0</v>
      </c>
      <c r="E132">
        <v>0</v>
      </c>
      <c r="F132">
        <v>0</v>
      </c>
      <c r="G132">
        <v>0</v>
      </c>
      <c r="H132">
        <v>0</v>
      </c>
      <c r="I132">
        <v>0</v>
      </c>
      <c r="J132" t="s">
        <v>748</v>
      </c>
      <c r="M132">
        <v>116</v>
      </c>
      <c r="Q132">
        <v>19</v>
      </c>
      <c r="S132">
        <v>0.3</v>
      </c>
      <c r="T132">
        <v>0</v>
      </c>
      <c r="U132">
        <v>0</v>
      </c>
      <c r="W132">
        <v>0</v>
      </c>
      <c r="Y132" t="s">
        <v>1042</v>
      </c>
      <c r="Z132" t="s">
        <v>1042</v>
      </c>
      <c r="AA132" t="s">
        <v>1042</v>
      </c>
      <c r="AB132" t="s">
        <v>1042</v>
      </c>
      <c r="AC132" t="s">
        <v>1042</v>
      </c>
      <c r="AD132" t="s">
        <v>1042</v>
      </c>
      <c r="AE132">
        <v>1.9E-2</v>
      </c>
      <c r="AG132">
        <v>0.11600000000000001</v>
      </c>
      <c r="AH132">
        <v>0</v>
      </c>
      <c r="AI132">
        <v>0</v>
      </c>
      <c r="AJ132">
        <v>0.03</v>
      </c>
      <c r="AK132" t="s">
        <v>1043</v>
      </c>
      <c r="AM132">
        <v>810</v>
      </c>
      <c r="AO132" t="s">
        <v>1044</v>
      </c>
      <c r="AP132">
        <v>0</v>
      </c>
      <c r="AR132" t="s">
        <v>1047</v>
      </c>
      <c r="AV132">
        <v>0</v>
      </c>
      <c r="AW132">
        <v>0</v>
      </c>
      <c r="AX132">
        <v>0</v>
      </c>
      <c r="AY132">
        <v>0</v>
      </c>
      <c r="AZ132">
        <v>0</v>
      </c>
      <c r="BA132">
        <v>0</v>
      </c>
      <c r="BB132">
        <v>0</v>
      </c>
      <c r="BC132" t="s">
        <v>1043</v>
      </c>
      <c r="BD132">
        <v>0</v>
      </c>
      <c r="BE132">
        <v>0</v>
      </c>
      <c r="BJ132" t="s">
        <v>1044</v>
      </c>
      <c r="BM132">
        <v>0</v>
      </c>
      <c r="BN132">
        <v>0</v>
      </c>
      <c r="BO132">
        <v>0</v>
      </c>
      <c r="BP132">
        <v>0</v>
      </c>
      <c r="BQ132">
        <v>0</v>
      </c>
      <c r="BR132">
        <v>0</v>
      </c>
      <c r="BS132">
        <v>0</v>
      </c>
      <c r="BU132">
        <v>0.12</v>
      </c>
      <c r="BV132">
        <v>0.13500000000000001</v>
      </c>
      <c r="BW132">
        <v>0.22</v>
      </c>
      <c r="BX132">
        <v>0.45</v>
      </c>
      <c r="BY132">
        <v>0.27500000000000002</v>
      </c>
      <c r="BZ132">
        <v>0.6</v>
      </c>
      <c r="CA132">
        <v>960</v>
      </c>
      <c r="CQ132" t="s">
        <v>2031</v>
      </c>
      <c r="CR132">
        <v>0</v>
      </c>
      <c r="CS132">
        <v>0</v>
      </c>
      <c r="CT132">
        <v>0</v>
      </c>
      <c r="CU132">
        <v>0</v>
      </c>
      <c r="CW132" t="s">
        <v>1043</v>
      </c>
      <c r="CX132">
        <v>0</v>
      </c>
      <c r="CY132">
        <v>0</v>
      </c>
      <c r="CZ132">
        <v>0</v>
      </c>
      <c r="DA132">
        <v>0</v>
      </c>
      <c r="DB132">
        <v>0</v>
      </c>
      <c r="DD132">
        <v>0</v>
      </c>
      <c r="DK132">
        <v>0</v>
      </c>
      <c r="DL132">
        <v>0</v>
      </c>
      <c r="DM132">
        <v>0</v>
      </c>
      <c r="DN132">
        <v>0</v>
      </c>
      <c r="DO132">
        <v>0</v>
      </c>
      <c r="DP132">
        <v>0</v>
      </c>
      <c r="DQ132">
        <v>0</v>
      </c>
      <c r="DR132">
        <v>0</v>
      </c>
      <c r="DS132" t="s">
        <v>1043</v>
      </c>
      <c r="DT132" t="s">
        <v>1044</v>
      </c>
      <c r="DU132" t="s">
        <v>1044</v>
      </c>
      <c r="DW132" t="s">
        <v>1042</v>
      </c>
      <c r="DX132">
        <v>0</v>
      </c>
      <c r="DY132" t="s">
        <v>1043</v>
      </c>
      <c r="DZ132">
        <v>0</v>
      </c>
      <c r="EA132">
        <v>0</v>
      </c>
      <c r="EC132">
        <v>0</v>
      </c>
      <c r="EM132">
        <v>0</v>
      </c>
      <c r="EN132">
        <v>0</v>
      </c>
      <c r="EO132">
        <v>0</v>
      </c>
      <c r="EP132" t="s">
        <v>1043</v>
      </c>
      <c r="EX132" t="s">
        <v>2030</v>
      </c>
      <c r="EY132">
        <v>0</v>
      </c>
      <c r="EZ132">
        <v>0</v>
      </c>
      <c r="FA132">
        <v>0</v>
      </c>
      <c r="FB132">
        <v>1</v>
      </c>
      <c r="FC132" t="s">
        <v>1</v>
      </c>
      <c r="FD132" t="s">
        <v>2029</v>
      </c>
      <c r="FE132" t="s">
        <v>1045</v>
      </c>
      <c r="FF132">
        <v>0</v>
      </c>
      <c r="FG132">
        <v>0</v>
      </c>
      <c r="FH132" t="s">
        <v>1045</v>
      </c>
      <c r="FI132" t="s">
        <v>1045</v>
      </c>
      <c r="FJ132" t="s">
        <v>1043</v>
      </c>
      <c r="FR132">
        <v>0</v>
      </c>
      <c r="FS132">
        <v>0</v>
      </c>
      <c r="GA132" t="s">
        <v>1044</v>
      </c>
      <c r="GB132" t="s">
        <v>1044</v>
      </c>
      <c r="GC132" t="s">
        <v>1045</v>
      </c>
      <c r="GD132">
        <v>0</v>
      </c>
      <c r="GH132" t="s">
        <v>1045</v>
      </c>
      <c r="GI132" t="s">
        <v>2028</v>
      </c>
      <c r="GL132">
        <v>0</v>
      </c>
      <c r="GM132">
        <v>0</v>
      </c>
      <c r="GN132">
        <v>0</v>
      </c>
      <c r="GP132" t="s">
        <v>1042</v>
      </c>
      <c r="GQ132" t="s">
        <v>2027</v>
      </c>
      <c r="GS132" t="s">
        <v>1045</v>
      </c>
      <c r="GU132">
        <v>1</v>
      </c>
      <c r="GV132" t="s">
        <v>1045</v>
      </c>
      <c r="GW132" t="s">
        <v>2026</v>
      </c>
      <c r="GZ132" t="s">
        <v>2025</v>
      </c>
      <c r="HH132">
        <v>0</v>
      </c>
      <c r="HI132">
        <v>0</v>
      </c>
      <c r="HK132" t="s">
        <v>1045</v>
      </c>
      <c r="HL132" t="s">
        <v>1045</v>
      </c>
      <c r="HP132">
        <v>0</v>
      </c>
      <c r="HZ132">
        <v>0</v>
      </c>
      <c r="IB132">
        <v>0</v>
      </c>
      <c r="IC132">
        <v>0</v>
      </c>
      <c r="IG132" t="s">
        <v>1042</v>
      </c>
      <c r="IJ132" t="s">
        <v>1042</v>
      </c>
      <c r="IM132">
        <v>0</v>
      </c>
      <c r="IN132" t="s">
        <v>2024</v>
      </c>
      <c r="IQ132" t="s">
        <v>1045</v>
      </c>
    </row>
    <row r="133" spans="2:251" x14ac:dyDescent="0.35">
      <c r="B133">
        <v>1</v>
      </c>
      <c r="C133">
        <v>1388</v>
      </c>
      <c r="D133">
        <v>0</v>
      </c>
      <c r="E133">
        <v>0</v>
      </c>
      <c r="F133">
        <v>0</v>
      </c>
      <c r="G133">
        <v>0</v>
      </c>
      <c r="H133">
        <v>0</v>
      </c>
      <c r="I133">
        <v>0</v>
      </c>
      <c r="J133" t="s">
        <v>749</v>
      </c>
      <c r="M133">
        <v>185</v>
      </c>
      <c r="Q133">
        <v>37</v>
      </c>
      <c r="S133">
        <v>45</v>
      </c>
      <c r="T133">
        <v>0</v>
      </c>
      <c r="U133">
        <v>0</v>
      </c>
      <c r="W133">
        <v>0</v>
      </c>
      <c r="Y133" t="s">
        <v>1042</v>
      </c>
      <c r="Z133" t="s">
        <v>1042</v>
      </c>
      <c r="AA133" t="s">
        <v>1042</v>
      </c>
      <c r="AB133" t="s">
        <v>1042</v>
      </c>
      <c r="AC133" t="s">
        <v>1042</v>
      </c>
      <c r="AD133" t="s">
        <v>1042</v>
      </c>
      <c r="AE133">
        <v>3.6999999999999998E-2</v>
      </c>
      <c r="AG133">
        <v>0.185</v>
      </c>
      <c r="AH133">
        <v>0</v>
      </c>
      <c r="AI133">
        <v>0</v>
      </c>
      <c r="AJ133">
        <v>4.4999999999999998E-2</v>
      </c>
      <c r="AK133" t="s">
        <v>1043</v>
      </c>
      <c r="AM133">
        <v>810</v>
      </c>
      <c r="AO133" t="s">
        <v>1044</v>
      </c>
      <c r="AP133">
        <v>0</v>
      </c>
      <c r="AR133" t="s">
        <v>1047</v>
      </c>
      <c r="AV133">
        <v>0</v>
      </c>
      <c r="AW133">
        <v>0</v>
      </c>
      <c r="AX133">
        <v>0</v>
      </c>
      <c r="AY133">
        <v>0</v>
      </c>
      <c r="AZ133">
        <v>0</v>
      </c>
      <c r="BA133">
        <v>0</v>
      </c>
      <c r="BB133">
        <v>0</v>
      </c>
      <c r="BC133" t="s">
        <v>1043</v>
      </c>
      <c r="BD133">
        <v>0</v>
      </c>
      <c r="BE133">
        <v>0</v>
      </c>
      <c r="BJ133" t="s">
        <v>1044</v>
      </c>
      <c r="BM133">
        <v>0</v>
      </c>
      <c r="BN133">
        <v>0</v>
      </c>
      <c r="BO133">
        <v>0</v>
      </c>
      <c r="BP133">
        <v>0</v>
      </c>
      <c r="BQ133">
        <v>0</v>
      </c>
      <c r="BR133">
        <v>0</v>
      </c>
      <c r="BS133">
        <v>0</v>
      </c>
      <c r="BU133">
        <v>0.15</v>
      </c>
      <c r="BV133">
        <v>0.19</v>
      </c>
      <c r="BW133">
        <v>0.27</v>
      </c>
      <c r="BX133">
        <v>0.315</v>
      </c>
      <c r="BY133">
        <v>0.4</v>
      </c>
      <c r="BZ133">
        <v>0.56000000000000005</v>
      </c>
      <c r="CA133">
        <v>192</v>
      </c>
      <c r="CQ133" t="s">
        <v>2031</v>
      </c>
      <c r="CR133">
        <v>0</v>
      </c>
      <c r="CS133">
        <v>0</v>
      </c>
      <c r="CT133">
        <v>0</v>
      </c>
      <c r="CU133">
        <v>0</v>
      </c>
      <c r="CW133" t="s">
        <v>1043</v>
      </c>
      <c r="CX133">
        <v>0</v>
      </c>
      <c r="CY133">
        <v>0</v>
      </c>
      <c r="CZ133">
        <v>0</v>
      </c>
      <c r="DA133">
        <v>0</v>
      </c>
      <c r="DB133">
        <v>0</v>
      </c>
      <c r="DD133">
        <v>0</v>
      </c>
      <c r="DK133">
        <v>0</v>
      </c>
      <c r="DL133">
        <v>0</v>
      </c>
      <c r="DM133">
        <v>0</v>
      </c>
      <c r="DN133">
        <v>0</v>
      </c>
      <c r="DO133">
        <v>0</v>
      </c>
      <c r="DP133">
        <v>0</v>
      </c>
      <c r="DQ133">
        <v>0</v>
      </c>
      <c r="DR133">
        <v>0</v>
      </c>
      <c r="DS133" t="s">
        <v>1043</v>
      </c>
      <c r="DT133" t="s">
        <v>1044</v>
      </c>
      <c r="DU133" t="s">
        <v>1044</v>
      </c>
      <c r="DW133" t="s">
        <v>1042</v>
      </c>
      <c r="DX133">
        <v>0</v>
      </c>
      <c r="DY133" t="s">
        <v>1043</v>
      </c>
      <c r="DZ133">
        <v>0</v>
      </c>
      <c r="EA133">
        <v>0</v>
      </c>
      <c r="EC133">
        <v>0</v>
      </c>
      <c r="EM133">
        <v>0</v>
      </c>
      <c r="EN133">
        <v>0</v>
      </c>
      <c r="EO133">
        <v>0</v>
      </c>
      <c r="EP133" t="s">
        <v>1043</v>
      </c>
      <c r="EX133" t="s">
        <v>2030</v>
      </c>
      <c r="EY133">
        <v>0</v>
      </c>
      <c r="EZ133">
        <v>0</v>
      </c>
      <c r="FA133">
        <v>0</v>
      </c>
      <c r="FB133">
        <v>1</v>
      </c>
      <c r="FC133" t="s">
        <v>1</v>
      </c>
      <c r="FD133" t="s">
        <v>2029</v>
      </c>
      <c r="FE133" t="s">
        <v>1045</v>
      </c>
      <c r="FF133">
        <v>0</v>
      </c>
      <c r="FG133">
        <v>0</v>
      </c>
      <c r="FH133" t="s">
        <v>1045</v>
      </c>
      <c r="FI133" t="s">
        <v>1045</v>
      </c>
      <c r="FJ133" t="s">
        <v>1043</v>
      </c>
      <c r="FR133">
        <v>0</v>
      </c>
      <c r="FS133">
        <v>0</v>
      </c>
      <c r="GA133" t="s">
        <v>1044</v>
      </c>
      <c r="GB133" t="s">
        <v>1044</v>
      </c>
      <c r="GC133" t="s">
        <v>1045</v>
      </c>
      <c r="GD133">
        <v>0</v>
      </c>
      <c r="GH133" t="s">
        <v>1045</v>
      </c>
      <c r="GI133" t="s">
        <v>2028</v>
      </c>
      <c r="GL133">
        <v>0</v>
      </c>
      <c r="GM133">
        <v>0</v>
      </c>
      <c r="GN133">
        <v>0</v>
      </c>
      <c r="GP133" t="s">
        <v>1042</v>
      </c>
      <c r="GQ133" t="s">
        <v>2027</v>
      </c>
      <c r="GS133" t="s">
        <v>1045</v>
      </c>
      <c r="GU133">
        <v>1</v>
      </c>
      <c r="GV133" t="s">
        <v>1045</v>
      </c>
      <c r="GW133" t="s">
        <v>2026</v>
      </c>
      <c r="GZ133" t="s">
        <v>2025</v>
      </c>
      <c r="HH133">
        <v>0</v>
      </c>
      <c r="HI133">
        <v>0</v>
      </c>
      <c r="HK133" t="s">
        <v>1045</v>
      </c>
      <c r="HL133" t="s">
        <v>1045</v>
      </c>
      <c r="HP133">
        <v>0</v>
      </c>
      <c r="HZ133">
        <v>0</v>
      </c>
      <c r="IB133">
        <v>0</v>
      </c>
      <c r="IC133">
        <v>0</v>
      </c>
      <c r="IG133" t="s">
        <v>1042</v>
      </c>
      <c r="IJ133" t="s">
        <v>1042</v>
      </c>
      <c r="IM133">
        <v>0</v>
      </c>
      <c r="IN133" t="s">
        <v>2024</v>
      </c>
      <c r="IQ133" t="s">
        <v>1045</v>
      </c>
    </row>
    <row r="134" spans="2:251" x14ac:dyDescent="0.35">
      <c r="B134">
        <v>1</v>
      </c>
      <c r="C134">
        <v>1389</v>
      </c>
      <c r="D134">
        <v>0</v>
      </c>
      <c r="E134">
        <v>0</v>
      </c>
      <c r="F134">
        <v>0</v>
      </c>
      <c r="G134">
        <v>0</v>
      </c>
      <c r="H134">
        <v>0</v>
      </c>
      <c r="I134">
        <v>0</v>
      </c>
      <c r="J134" t="s">
        <v>750</v>
      </c>
      <c r="M134">
        <v>68</v>
      </c>
      <c r="Q134">
        <v>103</v>
      </c>
      <c r="S134">
        <v>68</v>
      </c>
      <c r="T134">
        <v>0</v>
      </c>
      <c r="U134">
        <v>0</v>
      </c>
      <c r="W134">
        <v>0</v>
      </c>
      <c r="Y134" t="s">
        <v>1042</v>
      </c>
      <c r="Z134" t="s">
        <v>1042</v>
      </c>
      <c r="AA134" t="s">
        <v>1042</v>
      </c>
      <c r="AB134" t="s">
        <v>1042</v>
      </c>
      <c r="AC134" t="s">
        <v>1042</v>
      </c>
      <c r="AD134" t="s">
        <v>1042</v>
      </c>
      <c r="AE134">
        <v>0.10299999999999999</v>
      </c>
      <c r="AG134">
        <v>6.8000000000000005E-2</v>
      </c>
      <c r="AH134">
        <v>0</v>
      </c>
      <c r="AI134">
        <v>0</v>
      </c>
      <c r="AJ134">
        <v>6.8000000000000005E-2</v>
      </c>
      <c r="AK134" t="s">
        <v>1043</v>
      </c>
      <c r="AM134">
        <v>810</v>
      </c>
      <c r="AO134" t="s">
        <v>1044</v>
      </c>
      <c r="AP134">
        <v>0</v>
      </c>
      <c r="AR134" t="s">
        <v>1047</v>
      </c>
      <c r="AV134">
        <v>0</v>
      </c>
      <c r="AW134">
        <v>0</v>
      </c>
      <c r="AX134">
        <v>0</v>
      </c>
      <c r="AY134">
        <v>0</v>
      </c>
      <c r="AZ134">
        <v>0</v>
      </c>
      <c r="BA134">
        <v>0</v>
      </c>
      <c r="BB134">
        <v>0</v>
      </c>
      <c r="BC134" t="s">
        <v>1043</v>
      </c>
      <c r="BD134">
        <v>0</v>
      </c>
      <c r="BE134">
        <v>0</v>
      </c>
      <c r="BJ134" t="s">
        <v>1044</v>
      </c>
      <c r="BM134">
        <v>0</v>
      </c>
      <c r="BN134">
        <v>0</v>
      </c>
      <c r="BO134">
        <v>0</v>
      </c>
      <c r="BP134">
        <v>0</v>
      </c>
      <c r="BQ134">
        <v>0</v>
      </c>
      <c r="BR134">
        <v>0</v>
      </c>
      <c r="BS134">
        <v>0</v>
      </c>
      <c r="BU134">
        <v>0.16</v>
      </c>
      <c r="BV134">
        <v>0.21</v>
      </c>
      <c r="BW134">
        <v>0.20499999999999999</v>
      </c>
      <c r="BX134">
        <v>0.37</v>
      </c>
      <c r="BY134">
        <v>0.44</v>
      </c>
      <c r="BZ134">
        <v>0.48499999999999999</v>
      </c>
      <c r="CA134">
        <v>120</v>
      </c>
      <c r="CQ134" t="s">
        <v>2031</v>
      </c>
      <c r="CR134">
        <v>0</v>
      </c>
      <c r="CS134">
        <v>0</v>
      </c>
      <c r="CT134">
        <v>0</v>
      </c>
      <c r="CU134">
        <v>0</v>
      </c>
      <c r="CW134" t="s">
        <v>1043</v>
      </c>
      <c r="CX134">
        <v>0</v>
      </c>
      <c r="CY134">
        <v>0</v>
      </c>
      <c r="CZ134">
        <v>0</v>
      </c>
      <c r="DA134">
        <v>0</v>
      </c>
      <c r="DB134">
        <v>0</v>
      </c>
      <c r="DD134">
        <v>0</v>
      </c>
      <c r="DK134">
        <v>0</v>
      </c>
      <c r="DL134">
        <v>0</v>
      </c>
      <c r="DM134">
        <v>0</v>
      </c>
      <c r="DN134">
        <v>0</v>
      </c>
      <c r="DO134">
        <v>0</v>
      </c>
      <c r="DP134">
        <v>0</v>
      </c>
      <c r="DQ134">
        <v>0</v>
      </c>
      <c r="DR134">
        <v>0</v>
      </c>
      <c r="DS134" t="s">
        <v>1043</v>
      </c>
      <c r="DT134" t="s">
        <v>1044</v>
      </c>
      <c r="DU134" t="s">
        <v>1044</v>
      </c>
      <c r="DW134" t="s">
        <v>1042</v>
      </c>
      <c r="DX134">
        <v>0</v>
      </c>
      <c r="DY134" t="s">
        <v>1043</v>
      </c>
      <c r="DZ134">
        <v>0</v>
      </c>
      <c r="EA134">
        <v>0</v>
      </c>
      <c r="EC134">
        <v>0</v>
      </c>
      <c r="EM134">
        <v>0</v>
      </c>
      <c r="EN134">
        <v>0</v>
      </c>
      <c r="EO134">
        <v>0</v>
      </c>
      <c r="EP134" t="s">
        <v>1043</v>
      </c>
      <c r="EX134" t="s">
        <v>2030</v>
      </c>
      <c r="EY134">
        <v>0</v>
      </c>
      <c r="EZ134">
        <v>0</v>
      </c>
      <c r="FA134">
        <v>0</v>
      </c>
      <c r="FB134">
        <v>1</v>
      </c>
      <c r="FC134" t="s">
        <v>1</v>
      </c>
      <c r="FD134" t="s">
        <v>2029</v>
      </c>
      <c r="FE134" t="s">
        <v>1045</v>
      </c>
      <c r="FF134">
        <v>0</v>
      </c>
      <c r="FG134">
        <v>0</v>
      </c>
      <c r="FH134" t="s">
        <v>1045</v>
      </c>
      <c r="FI134" t="s">
        <v>1045</v>
      </c>
      <c r="FJ134" t="s">
        <v>1043</v>
      </c>
      <c r="FR134">
        <v>0</v>
      </c>
      <c r="FS134">
        <v>0</v>
      </c>
      <c r="GA134" t="s">
        <v>1044</v>
      </c>
      <c r="GB134" t="s">
        <v>1044</v>
      </c>
      <c r="GC134" t="s">
        <v>1045</v>
      </c>
      <c r="GD134">
        <v>0</v>
      </c>
      <c r="GH134" t="s">
        <v>1045</v>
      </c>
      <c r="GI134" t="s">
        <v>2028</v>
      </c>
      <c r="GL134">
        <v>0</v>
      </c>
      <c r="GM134">
        <v>0</v>
      </c>
      <c r="GN134">
        <v>0</v>
      </c>
      <c r="GP134" t="s">
        <v>1042</v>
      </c>
      <c r="GQ134" t="s">
        <v>2027</v>
      </c>
      <c r="GS134" t="s">
        <v>1045</v>
      </c>
      <c r="GU134">
        <v>1</v>
      </c>
      <c r="GV134" t="s">
        <v>1045</v>
      </c>
      <c r="GW134" t="s">
        <v>2026</v>
      </c>
      <c r="GZ134" t="s">
        <v>2025</v>
      </c>
      <c r="HH134">
        <v>0</v>
      </c>
      <c r="HI134">
        <v>0</v>
      </c>
      <c r="HK134" t="s">
        <v>1045</v>
      </c>
      <c r="HL134" t="s">
        <v>1045</v>
      </c>
      <c r="HP134">
        <v>0</v>
      </c>
      <c r="HZ134">
        <v>0</v>
      </c>
      <c r="IB134">
        <v>0</v>
      </c>
      <c r="IC134">
        <v>0</v>
      </c>
      <c r="IG134" t="s">
        <v>1042</v>
      </c>
      <c r="IJ134" t="s">
        <v>1042</v>
      </c>
      <c r="IM134">
        <v>0</v>
      </c>
      <c r="IN134" t="s">
        <v>2024</v>
      </c>
      <c r="IQ134" t="s">
        <v>1045</v>
      </c>
    </row>
    <row r="135" spans="2:251" x14ac:dyDescent="0.35">
      <c r="B135">
        <v>1</v>
      </c>
      <c r="C135">
        <v>1390</v>
      </c>
      <c r="D135">
        <v>0</v>
      </c>
      <c r="E135">
        <v>0</v>
      </c>
      <c r="F135">
        <v>0</v>
      </c>
      <c r="G135">
        <v>0</v>
      </c>
      <c r="H135">
        <v>0</v>
      </c>
      <c r="I135">
        <v>0</v>
      </c>
      <c r="J135" t="s">
        <v>751</v>
      </c>
      <c r="M135">
        <v>94</v>
      </c>
      <c r="Q135">
        <v>220</v>
      </c>
      <c r="S135">
        <v>94</v>
      </c>
      <c r="T135">
        <v>0</v>
      </c>
      <c r="U135">
        <v>0</v>
      </c>
      <c r="W135">
        <v>0</v>
      </c>
      <c r="Y135" t="s">
        <v>1042</v>
      </c>
      <c r="Z135" t="s">
        <v>1042</v>
      </c>
      <c r="AA135" t="s">
        <v>1042</v>
      </c>
      <c r="AB135" t="s">
        <v>1042</v>
      </c>
      <c r="AC135" t="s">
        <v>1042</v>
      </c>
      <c r="AD135" t="s">
        <v>1042</v>
      </c>
      <c r="AE135">
        <v>0.22</v>
      </c>
      <c r="AG135">
        <v>9.4E-2</v>
      </c>
      <c r="AH135">
        <v>0</v>
      </c>
      <c r="AI135">
        <v>0</v>
      </c>
      <c r="AJ135">
        <v>9.4E-2</v>
      </c>
      <c r="AK135" t="s">
        <v>1043</v>
      </c>
      <c r="AM135">
        <v>810</v>
      </c>
      <c r="AO135" t="s">
        <v>1044</v>
      </c>
      <c r="AP135">
        <v>0</v>
      </c>
      <c r="AR135" t="s">
        <v>1047</v>
      </c>
      <c r="AV135">
        <v>0</v>
      </c>
      <c r="AW135">
        <v>0</v>
      </c>
      <c r="AX135">
        <v>0</v>
      </c>
      <c r="AY135">
        <v>0</v>
      </c>
      <c r="AZ135">
        <v>0</v>
      </c>
      <c r="BA135">
        <v>0</v>
      </c>
      <c r="BB135">
        <v>0</v>
      </c>
      <c r="BC135" t="s">
        <v>1043</v>
      </c>
      <c r="BD135">
        <v>0</v>
      </c>
      <c r="BE135">
        <v>0</v>
      </c>
      <c r="BJ135" t="s">
        <v>1044</v>
      </c>
      <c r="BM135">
        <v>0</v>
      </c>
      <c r="BN135">
        <v>0</v>
      </c>
      <c r="BO135">
        <v>0</v>
      </c>
      <c r="BP135">
        <v>0</v>
      </c>
      <c r="BQ135">
        <v>0</v>
      </c>
      <c r="BR135">
        <v>0</v>
      </c>
      <c r="BS135">
        <v>0</v>
      </c>
      <c r="BU135">
        <v>0.20499999999999999</v>
      </c>
      <c r="BV135">
        <v>0.24199999999999999</v>
      </c>
      <c r="BW135">
        <v>0.28499999999999998</v>
      </c>
      <c r="BX135">
        <v>0.29499999999999998</v>
      </c>
      <c r="BY135">
        <v>0.255</v>
      </c>
      <c r="BZ135">
        <v>0.60499999999999998</v>
      </c>
      <c r="CA135">
        <v>18</v>
      </c>
      <c r="CQ135" t="s">
        <v>2031</v>
      </c>
      <c r="CR135">
        <v>0</v>
      </c>
      <c r="CS135">
        <v>0</v>
      </c>
      <c r="CT135">
        <v>0</v>
      </c>
      <c r="CU135">
        <v>0</v>
      </c>
      <c r="CW135" t="s">
        <v>1043</v>
      </c>
      <c r="CX135">
        <v>0</v>
      </c>
      <c r="CY135">
        <v>0</v>
      </c>
      <c r="CZ135">
        <v>0</v>
      </c>
      <c r="DA135">
        <v>0</v>
      </c>
      <c r="DB135">
        <v>0</v>
      </c>
      <c r="DD135">
        <v>0</v>
      </c>
      <c r="DK135">
        <v>0</v>
      </c>
      <c r="DL135">
        <v>0</v>
      </c>
      <c r="DM135">
        <v>0</v>
      </c>
      <c r="DN135">
        <v>0</v>
      </c>
      <c r="DO135">
        <v>0</v>
      </c>
      <c r="DP135">
        <v>0</v>
      </c>
      <c r="DQ135">
        <v>0</v>
      </c>
      <c r="DR135">
        <v>0</v>
      </c>
      <c r="DS135" t="s">
        <v>1043</v>
      </c>
      <c r="DT135" t="s">
        <v>1044</v>
      </c>
      <c r="DU135" t="s">
        <v>1044</v>
      </c>
      <c r="DW135" t="s">
        <v>1042</v>
      </c>
      <c r="DX135">
        <v>0</v>
      </c>
      <c r="DY135" t="s">
        <v>1043</v>
      </c>
      <c r="DZ135">
        <v>0</v>
      </c>
      <c r="EA135">
        <v>0</v>
      </c>
      <c r="EC135">
        <v>0</v>
      </c>
      <c r="EM135">
        <v>0</v>
      </c>
      <c r="EN135">
        <v>0</v>
      </c>
      <c r="EO135">
        <v>0</v>
      </c>
      <c r="EP135" t="s">
        <v>1043</v>
      </c>
      <c r="EX135" t="s">
        <v>2030</v>
      </c>
      <c r="EY135">
        <v>0</v>
      </c>
      <c r="EZ135">
        <v>0</v>
      </c>
      <c r="FA135">
        <v>0</v>
      </c>
      <c r="FB135">
        <v>1</v>
      </c>
      <c r="FC135" t="s">
        <v>1</v>
      </c>
      <c r="FD135" t="s">
        <v>2029</v>
      </c>
      <c r="FE135" t="s">
        <v>1045</v>
      </c>
      <c r="FF135">
        <v>0</v>
      </c>
      <c r="FG135">
        <v>0</v>
      </c>
      <c r="FH135" t="s">
        <v>1045</v>
      </c>
      <c r="FI135" t="s">
        <v>1045</v>
      </c>
      <c r="FJ135" t="s">
        <v>1043</v>
      </c>
      <c r="FR135">
        <v>0</v>
      </c>
      <c r="FS135">
        <v>0</v>
      </c>
      <c r="GA135" t="s">
        <v>1044</v>
      </c>
      <c r="GB135" t="s">
        <v>1044</v>
      </c>
      <c r="GC135" t="s">
        <v>1045</v>
      </c>
      <c r="GD135">
        <v>0</v>
      </c>
      <c r="GH135" t="s">
        <v>1045</v>
      </c>
      <c r="GI135" t="s">
        <v>2028</v>
      </c>
      <c r="GL135">
        <v>0</v>
      </c>
      <c r="GM135">
        <v>0</v>
      </c>
      <c r="GN135">
        <v>0</v>
      </c>
      <c r="GP135" t="s">
        <v>1042</v>
      </c>
      <c r="GQ135" t="s">
        <v>2027</v>
      </c>
      <c r="GS135" t="s">
        <v>1045</v>
      </c>
      <c r="GU135">
        <v>1</v>
      </c>
      <c r="GV135" t="s">
        <v>1045</v>
      </c>
      <c r="GW135" t="s">
        <v>2026</v>
      </c>
      <c r="GZ135" t="s">
        <v>2025</v>
      </c>
      <c r="HH135">
        <v>0</v>
      </c>
      <c r="HI135">
        <v>0</v>
      </c>
      <c r="HK135" t="s">
        <v>1045</v>
      </c>
      <c r="HL135" t="s">
        <v>1045</v>
      </c>
      <c r="HP135">
        <v>0</v>
      </c>
      <c r="HZ135">
        <v>0</v>
      </c>
      <c r="IB135">
        <v>0</v>
      </c>
      <c r="IC135">
        <v>0</v>
      </c>
      <c r="IG135" t="s">
        <v>1042</v>
      </c>
      <c r="IJ135" t="s">
        <v>1042</v>
      </c>
      <c r="IM135">
        <v>0</v>
      </c>
      <c r="IN135" t="s">
        <v>2024</v>
      </c>
      <c r="IQ135" t="s">
        <v>1045</v>
      </c>
    </row>
    <row r="136" spans="2:251" x14ac:dyDescent="0.35">
      <c r="B136">
        <v>1</v>
      </c>
      <c r="C136">
        <v>1410</v>
      </c>
      <c r="D136">
        <v>0</v>
      </c>
      <c r="E136">
        <v>0</v>
      </c>
      <c r="F136">
        <v>0</v>
      </c>
      <c r="G136">
        <v>0</v>
      </c>
      <c r="H136">
        <v>0</v>
      </c>
      <c r="I136">
        <v>0</v>
      </c>
      <c r="J136" t="s">
        <v>2044</v>
      </c>
      <c r="M136">
        <v>230</v>
      </c>
      <c r="Q136">
        <v>180</v>
      </c>
      <c r="S136">
        <v>120</v>
      </c>
      <c r="T136">
        <v>0</v>
      </c>
      <c r="U136">
        <v>0</v>
      </c>
      <c r="W136">
        <v>0.3306</v>
      </c>
      <c r="X136" t="s">
        <v>1085</v>
      </c>
      <c r="Y136" t="s">
        <v>1042</v>
      </c>
      <c r="Z136" t="s">
        <v>1042</v>
      </c>
      <c r="AA136" t="s">
        <v>1042</v>
      </c>
      <c r="AB136" t="s">
        <v>1042</v>
      </c>
      <c r="AC136" t="s">
        <v>1042</v>
      </c>
      <c r="AD136" t="s">
        <v>1042</v>
      </c>
      <c r="AE136">
        <v>0</v>
      </c>
      <c r="AG136">
        <v>0</v>
      </c>
      <c r="AH136">
        <v>0</v>
      </c>
      <c r="AI136">
        <v>0</v>
      </c>
      <c r="AJ136">
        <v>0</v>
      </c>
      <c r="AK136" t="s">
        <v>1043</v>
      </c>
      <c r="AM136">
        <v>200</v>
      </c>
      <c r="AO136" t="s">
        <v>1044</v>
      </c>
      <c r="AP136">
        <v>0</v>
      </c>
      <c r="AR136" t="s">
        <v>1047</v>
      </c>
      <c r="AV136">
        <v>0</v>
      </c>
      <c r="AW136">
        <v>0</v>
      </c>
      <c r="AX136">
        <v>0</v>
      </c>
      <c r="AY136">
        <v>0</v>
      </c>
      <c r="AZ136">
        <v>0</v>
      </c>
      <c r="BA136">
        <v>0</v>
      </c>
      <c r="BB136">
        <v>0</v>
      </c>
      <c r="BC136" t="s">
        <v>1043</v>
      </c>
      <c r="BD136">
        <v>0</v>
      </c>
      <c r="BE136">
        <v>0</v>
      </c>
      <c r="BJ136" t="s">
        <v>1044</v>
      </c>
      <c r="BM136">
        <v>0</v>
      </c>
      <c r="BN136">
        <v>0</v>
      </c>
      <c r="BO136">
        <v>0</v>
      </c>
      <c r="BP136">
        <v>0</v>
      </c>
      <c r="BQ136">
        <v>0</v>
      </c>
      <c r="BR136">
        <v>0</v>
      </c>
      <c r="BS136">
        <v>0</v>
      </c>
      <c r="BU136">
        <v>0.4</v>
      </c>
      <c r="BV136">
        <v>0.2</v>
      </c>
      <c r="BW136">
        <v>0.56999999999999995</v>
      </c>
      <c r="BX136">
        <v>0</v>
      </c>
      <c r="BY136">
        <v>0</v>
      </c>
      <c r="BZ136">
        <v>0</v>
      </c>
      <c r="CA136">
        <v>0</v>
      </c>
      <c r="CM136" t="s">
        <v>2034</v>
      </c>
      <c r="CN136" t="s">
        <v>1045</v>
      </c>
      <c r="CO136">
        <v>3917</v>
      </c>
      <c r="CQ136" t="s">
        <v>2031</v>
      </c>
      <c r="CR136">
        <v>0</v>
      </c>
      <c r="CS136">
        <v>0</v>
      </c>
      <c r="CT136">
        <v>0</v>
      </c>
      <c r="CU136">
        <v>0</v>
      </c>
      <c r="CW136" t="s">
        <v>1043</v>
      </c>
      <c r="CX136">
        <v>0</v>
      </c>
      <c r="CY136">
        <v>0</v>
      </c>
      <c r="CZ136">
        <v>0</v>
      </c>
      <c r="DA136">
        <v>0</v>
      </c>
      <c r="DB136">
        <v>0</v>
      </c>
      <c r="DD136">
        <v>0</v>
      </c>
      <c r="DK136">
        <v>0</v>
      </c>
      <c r="DL136">
        <v>0</v>
      </c>
      <c r="DM136">
        <v>0</v>
      </c>
      <c r="DN136">
        <v>0</v>
      </c>
      <c r="DO136">
        <v>0</v>
      </c>
      <c r="DP136">
        <v>0</v>
      </c>
      <c r="DQ136">
        <v>0</v>
      </c>
      <c r="DR136">
        <v>0</v>
      </c>
      <c r="DS136" t="s">
        <v>1043</v>
      </c>
      <c r="DT136" t="s">
        <v>1044</v>
      </c>
      <c r="DW136" t="s">
        <v>1042</v>
      </c>
      <c r="DX136">
        <v>0</v>
      </c>
      <c r="DY136" t="s">
        <v>1043</v>
      </c>
      <c r="DZ136">
        <v>0</v>
      </c>
      <c r="EA136">
        <v>0</v>
      </c>
      <c r="EC136">
        <v>0</v>
      </c>
      <c r="EM136">
        <v>0</v>
      </c>
      <c r="EN136">
        <v>0</v>
      </c>
      <c r="EO136">
        <v>0</v>
      </c>
      <c r="EY136">
        <v>0</v>
      </c>
      <c r="EZ136">
        <v>0</v>
      </c>
      <c r="FA136">
        <v>0</v>
      </c>
      <c r="FB136">
        <v>0</v>
      </c>
      <c r="FD136" t="s">
        <v>2029</v>
      </c>
      <c r="FF136">
        <v>0</v>
      </c>
      <c r="FG136">
        <v>0</v>
      </c>
      <c r="FR136">
        <v>0</v>
      </c>
      <c r="FS136">
        <v>0</v>
      </c>
      <c r="GD136">
        <v>0</v>
      </c>
      <c r="GL136">
        <v>0</v>
      </c>
      <c r="GM136">
        <v>0</v>
      </c>
      <c r="GN136">
        <v>0</v>
      </c>
      <c r="GP136" t="s">
        <v>1042</v>
      </c>
      <c r="GQ136" t="s">
        <v>2027</v>
      </c>
      <c r="HH136">
        <v>0</v>
      </c>
      <c r="HI136">
        <v>0</v>
      </c>
      <c r="HP136">
        <v>0</v>
      </c>
      <c r="HZ136">
        <v>0</v>
      </c>
      <c r="IA136" t="s">
        <v>2033</v>
      </c>
      <c r="IB136">
        <v>0</v>
      </c>
      <c r="IC136">
        <v>0</v>
      </c>
      <c r="IG136" t="s">
        <v>1042</v>
      </c>
      <c r="IJ136" t="s">
        <v>1042</v>
      </c>
      <c r="IM136">
        <v>0</v>
      </c>
      <c r="IN136" t="s">
        <v>2024</v>
      </c>
      <c r="IO136">
        <v>7897801313865</v>
      </c>
    </row>
    <row r="137" spans="2:251" x14ac:dyDescent="0.35">
      <c r="B137">
        <v>1</v>
      </c>
      <c r="C137">
        <v>1416</v>
      </c>
      <c r="D137">
        <v>0</v>
      </c>
      <c r="E137">
        <v>0</v>
      </c>
      <c r="F137">
        <v>0</v>
      </c>
      <c r="G137">
        <v>0</v>
      </c>
      <c r="H137">
        <v>0</v>
      </c>
      <c r="I137">
        <v>0</v>
      </c>
      <c r="J137" t="s">
        <v>2043</v>
      </c>
      <c r="M137">
        <v>170</v>
      </c>
      <c r="Q137">
        <v>110</v>
      </c>
      <c r="S137">
        <v>110</v>
      </c>
      <c r="T137">
        <v>0</v>
      </c>
      <c r="U137">
        <v>0</v>
      </c>
      <c r="W137">
        <v>0.22989999999999999</v>
      </c>
      <c r="X137" t="s">
        <v>1085</v>
      </c>
      <c r="Y137" t="s">
        <v>1042</v>
      </c>
      <c r="Z137" t="s">
        <v>1042</v>
      </c>
      <c r="AA137" t="s">
        <v>1042</v>
      </c>
      <c r="AB137" t="s">
        <v>1042</v>
      </c>
      <c r="AC137" t="s">
        <v>1042</v>
      </c>
      <c r="AD137" t="s">
        <v>1042</v>
      </c>
      <c r="AE137">
        <v>0</v>
      </c>
      <c r="AG137">
        <v>0</v>
      </c>
      <c r="AH137">
        <v>0</v>
      </c>
      <c r="AI137">
        <v>0</v>
      </c>
      <c r="AJ137">
        <v>0</v>
      </c>
      <c r="AK137" t="s">
        <v>1043</v>
      </c>
      <c r="AM137">
        <v>200</v>
      </c>
      <c r="AO137" t="s">
        <v>1044</v>
      </c>
      <c r="AP137">
        <v>0</v>
      </c>
      <c r="AR137" t="s">
        <v>1047</v>
      </c>
      <c r="AV137">
        <v>0</v>
      </c>
      <c r="AW137">
        <v>0</v>
      </c>
      <c r="AX137">
        <v>0</v>
      </c>
      <c r="AY137">
        <v>0</v>
      </c>
      <c r="AZ137">
        <v>0</v>
      </c>
      <c r="BA137">
        <v>0</v>
      </c>
      <c r="BB137">
        <v>0</v>
      </c>
      <c r="BC137" t="s">
        <v>1043</v>
      </c>
      <c r="BD137">
        <v>0</v>
      </c>
      <c r="BE137">
        <v>0</v>
      </c>
      <c r="BJ137" t="s">
        <v>1044</v>
      </c>
      <c r="BM137">
        <v>0</v>
      </c>
      <c r="BN137">
        <v>0</v>
      </c>
      <c r="BO137">
        <v>0</v>
      </c>
      <c r="BP137">
        <v>0</v>
      </c>
      <c r="BQ137">
        <v>0</v>
      </c>
      <c r="BR137">
        <v>0</v>
      </c>
      <c r="BS137">
        <v>0</v>
      </c>
      <c r="BU137">
        <v>0.43</v>
      </c>
      <c r="BV137">
        <v>0.115</v>
      </c>
      <c r="BW137">
        <v>0.53</v>
      </c>
      <c r="BX137">
        <v>0</v>
      </c>
      <c r="BY137">
        <v>0</v>
      </c>
      <c r="BZ137">
        <v>0</v>
      </c>
      <c r="CA137">
        <v>0</v>
      </c>
      <c r="CM137" t="s">
        <v>2034</v>
      </c>
      <c r="CN137" t="s">
        <v>1045</v>
      </c>
      <c r="CQ137" t="s">
        <v>2031</v>
      </c>
      <c r="CR137">
        <v>0</v>
      </c>
      <c r="CS137">
        <v>0</v>
      </c>
      <c r="CT137">
        <v>0</v>
      </c>
      <c r="CU137">
        <v>0</v>
      </c>
      <c r="CW137" t="s">
        <v>1043</v>
      </c>
      <c r="CX137">
        <v>0</v>
      </c>
      <c r="CY137">
        <v>0</v>
      </c>
      <c r="CZ137">
        <v>0</v>
      </c>
      <c r="DA137">
        <v>0</v>
      </c>
      <c r="DB137">
        <v>0</v>
      </c>
      <c r="DD137">
        <v>0</v>
      </c>
      <c r="DK137">
        <v>0</v>
      </c>
      <c r="DL137">
        <v>0</v>
      </c>
      <c r="DM137">
        <v>0</v>
      </c>
      <c r="DN137">
        <v>0</v>
      </c>
      <c r="DO137">
        <v>0</v>
      </c>
      <c r="DP137">
        <v>0</v>
      </c>
      <c r="DQ137">
        <v>0</v>
      </c>
      <c r="DR137">
        <v>0</v>
      </c>
      <c r="DS137" t="s">
        <v>1043</v>
      </c>
      <c r="DT137" t="s">
        <v>1044</v>
      </c>
      <c r="DW137" t="s">
        <v>1042</v>
      </c>
      <c r="DX137">
        <v>0</v>
      </c>
      <c r="DY137" t="s">
        <v>1043</v>
      </c>
      <c r="DZ137">
        <v>0</v>
      </c>
      <c r="EA137">
        <v>0</v>
      </c>
      <c r="EC137">
        <v>0</v>
      </c>
      <c r="EM137">
        <v>0</v>
      </c>
      <c r="EN137">
        <v>0</v>
      </c>
      <c r="EO137">
        <v>0</v>
      </c>
      <c r="EY137">
        <v>0</v>
      </c>
      <c r="EZ137">
        <v>0</v>
      </c>
      <c r="FA137">
        <v>0</v>
      </c>
      <c r="FB137">
        <v>0</v>
      </c>
      <c r="FD137" t="s">
        <v>2029</v>
      </c>
      <c r="FF137">
        <v>0</v>
      </c>
      <c r="FG137">
        <v>0</v>
      </c>
      <c r="FR137">
        <v>0</v>
      </c>
      <c r="FS137">
        <v>0</v>
      </c>
      <c r="GD137">
        <v>0</v>
      </c>
      <c r="GL137">
        <v>0</v>
      </c>
      <c r="GM137">
        <v>0</v>
      </c>
      <c r="GN137">
        <v>0</v>
      </c>
      <c r="GP137" t="s">
        <v>1042</v>
      </c>
      <c r="GQ137" t="s">
        <v>2027</v>
      </c>
      <c r="HH137">
        <v>0</v>
      </c>
      <c r="HI137">
        <v>0</v>
      </c>
      <c r="HP137">
        <v>0</v>
      </c>
      <c r="HZ137">
        <v>0</v>
      </c>
      <c r="IA137" t="s">
        <v>2033</v>
      </c>
      <c r="IB137">
        <v>0</v>
      </c>
      <c r="IC137">
        <v>0</v>
      </c>
      <c r="IG137" t="s">
        <v>1042</v>
      </c>
      <c r="IJ137" t="s">
        <v>1042</v>
      </c>
      <c r="IM137">
        <v>0</v>
      </c>
      <c r="IN137" t="s">
        <v>2024</v>
      </c>
      <c r="IO137">
        <v>7897801313872</v>
      </c>
    </row>
    <row r="138" spans="2:251" x14ac:dyDescent="0.35">
      <c r="B138">
        <v>1</v>
      </c>
      <c r="C138">
        <v>1422</v>
      </c>
      <c r="D138">
        <v>0</v>
      </c>
      <c r="E138">
        <v>0</v>
      </c>
      <c r="F138">
        <v>0</v>
      </c>
      <c r="G138">
        <v>0</v>
      </c>
      <c r="H138">
        <v>0</v>
      </c>
      <c r="I138">
        <v>0</v>
      </c>
      <c r="J138" t="s">
        <v>2042</v>
      </c>
      <c r="M138">
        <v>190</v>
      </c>
      <c r="Q138">
        <v>160</v>
      </c>
      <c r="S138">
        <v>120</v>
      </c>
      <c r="T138">
        <v>0</v>
      </c>
      <c r="U138">
        <v>0</v>
      </c>
      <c r="W138">
        <v>0.3</v>
      </c>
      <c r="X138" t="s">
        <v>1085</v>
      </c>
      <c r="Y138" t="s">
        <v>1042</v>
      </c>
      <c r="Z138" t="s">
        <v>1042</v>
      </c>
      <c r="AA138" t="s">
        <v>1042</v>
      </c>
      <c r="AB138" t="s">
        <v>1042</v>
      </c>
      <c r="AC138" t="s">
        <v>1042</v>
      </c>
      <c r="AD138" t="s">
        <v>1042</v>
      </c>
      <c r="AE138">
        <v>0</v>
      </c>
      <c r="AG138">
        <v>0</v>
      </c>
      <c r="AH138">
        <v>0</v>
      </c>
      <c r="AI138">
        <v>0</v>
      </c>
      <c r="AJ138">
        <v>0</v>
      </c>
      <c r="AK138" t="s">
        <v>1043</v>
      </c>
      <c r="AM138">
        <v>200</v>
      </c>
      <c r="AO138" t="s">
        <v>1044</v>
      </c>
      <c r="AP138">
        <v>0</v>
      </c>
      <c r="AR138" t="s">
        <v>1047</v>
      </c>
      <c r="AV138">
        <v>0</v>
      </c>
      <c r="AW138">
        <v>0</v>
      </c>
      <c r="AX138">
        <v>0</v>
      </c>
      <c r="AY138">
        <v>0</v>
      </c>
      <c r="AZ138">
        <v>0</v>
      </c>
      <c r="BA138">
        <v>0</v>
      </c>
      <c r="BB138">
        <v>0</v>
      </c>
      <c r="BC138" t="s">
        <v>1043</v>
      </c>
      <c r="BD138">
        <v>0</v>
      </c>
      <c r="BE138">
        <v>0</v>
      </c>
      <c r="BJ138" t="s">
        <v>1044</v>
      </c>
      <c r="BM138">
        <v>0</v>
      </c>
      <c r="BN138">
        <v>0</v>
      </c>
      <c r="BO138">
        <v>0</v>
      </c>
      <c r="BP138">
        <v>0</v>
      </c>
      <c r="BQ138">
        <v>0</v>
      </c>
      <c r="BR138">
        <v>0</v>
      </c>
      <c r="BS138">
        <v>0</v>
      </c>
      <c r="BU138">
        <v>0.46</v>
      </c>
      <c r="BV138">
        <v>0.215</v>
      </c>
      <c r="BW138">
        <v>0.72</v>
      </c>
      <c r="BX138">
        <v>0</v>
      </c>
      <c r="BY138">
        <v>0</v>
      </c>
      <c r="BZ138">
        <v>0</v>
      </c>
      <c r="CA138">
        <v>0</v>
      </c>
      <c r="CM138" t="s">
        <v>2034</v>
      </c>
      <c r="CN138" t="s">
        <v>1045</v>
      </c>
      <c r="CQ138" t="s">
        <v>2031</v>
      </c>
      <c r="CR138">
        <v>0</v>
      </c>
      <c r="CS138">
        <v>0</v>
      </c>
      <c r="CT138">
        <v>0</v>
      </c>
      <c r="CU138">
        <v>0</v>
      </c>
      <c r="CW138" t="s">
        <v>1043</v>
      </c>
      <c r="CX138">
        <v>0</v>
      </c>
      <c r="CY138">
        <v>0</v>
      </c>
      <c r="CZ138">
        <v>0</v>
      </c>
      <c r="DA138">
        <v>0</v>
      </c>
      <c r="DB138">
        <v>0</v>
      </c>
      <c r="DD138">
        <v>0</v>
      </c>
      <c r="DK138">
        <v>0</v>
      </c>
      <c r="DL138">
        <v>0</v>
      </c>
      <c r="DM138">
        <v>0</v>
      </c>
      <c r="DN138">
        <v>0</v>
      </c>
      <c r="DO138">
        <v>0</v>
      </c>
      <c r="DP138">
        <v>0</v>
      </c>
      <c r="DQ138">
        <v>0</v>
      </c>
      <c r="DR138">
        <v>0</v>
      </c>
      <c r="DS138" t="s">
        <v>1043</v>
      </c>
      <c r="DT138" t="s">
        <v>1044</v>
      </c>
      <c r="DW138" t="s">
        <v>1042</v>
      </c>
      <c r="DX138">
        <v>0</v>
      </c>
      <c r="DY138" t="s">
        <v>1043</v>
      </c>
      <c r="DZ138">
        <v>0</v>
      </c>
      <c r="EA138">
        <v>0</v>
      </c>
      <c r="EC138">
        <v>0</v>
      </c>
      <c r="EM138">
        <v>0</v>
      </c>
      <c r="EN138">
        <v>0</v>
      </c>
      <c r="EO138">
        <v>0</v>
      </c>
      <c r="EY138">
        <v>0</v>
      </c>
      <c r="EZ138">
        <v>0</v>
      </c>
      <c r="FA138">
        <v>0</v>
      </c>
      <c r="FB138">
        <v>0</v>
      </c>
      <c r="FD138" t="s">
        <v>2029</v>
      </c>
      <c r="FF138">
        <v>0</v>
      </c>
      <c r="FG138">
        <v>0</v>
      </c>
      <c r="FR138">
        <v>0</v>
      </c>
      <c r="FS138">
        <v>0</v>
      </c>
      <c r="GD138">
        <v>0</v>
      </c>
      <c r="GL138">
        <v>0</v>
      </c>
      <c r="GM138">
        <v>0</v>
      </c>
      <c r="GN138">
        <v>0</v>
      </c>
      <c r="GP138" t="s">
        <v>1042</v>
      </c>
      <c r="GQ138" t="s">
        <v>2027</v>
      </c>
      <c r="HH138">
        <v>0</v>
      </c>
      <c r="HI138">
        <v>0</v>
      </c>
      <c r="HP138">
        <v>0</v>
      </c>
      <c r="HZ138">
        <v>0</v>
      </c>
      <c r="IA138" t="s">
        <v>2033</v>
      </c>
      <c r="IB138">
        <v>0</v>
      </c>
      <c r="IC138">
        <v>0</v>
      </c>
      <c r="IG138" t="s">
        <v>1042</v>
      </c>
      <c r="IJ138" t="s">
        <v>1042</v>
      </c>
      <c r="IM138">
        <v>0</v>
      </c>
      <c r="IN138" t="s">
        <v>2024</v>
      </c>
      <c r="IO138">
        <v>7897801313889</v>
      </c>
    </row>
    <row r="139" spans="2:251" x14ac:dyDescent="0.35">
      <c r="B139">
        <v>1</v>
      </c>
      <c r="C139">
        <v>1430</v>
      </c>
      <c r="D139">
        <v>0</v>
      </c>
      <c r="E139">
        <v>0</v>
      </c>
      <c r="F139">
        <v>0</v>
      </c>
      <c r="G139">
        <v>0</v>
      </c>
      <c r="H139">
        <v>0</v>
      </c>
      <c r="I139">
        <v>0</v>
      </c>
      <c r="J139" t="s">
        <v>2041</v>
      </c>
      <c r="M139">
        <v>246</v>
      </c>
      <c r="Q139">
        <v>122</v>
      </c>
      <c r="S139">
        <v>240</v>
      </c>
      <c r="T139">
        <v>0</v>
      </c>
      <c r="U139">
        <v>0</v>
      </c>
      <c r="W139">
        <v>0.52300000000000002</v>
      </c>
      <c r="X139" t="s">
        <v>1085</v>
      </c>
      <c r="Y139" t="s">
        <v>1042</v>
      </c>
      <c r="Z139" t="s">
        <v>1042</v>
      </c>
      <c r="AA139" t="s">
        <v>1042</v>
      </c>
      <c r="AB139" t="s">
        <v>1042</v>
      </c>
      <c r="AC139" t="s">
        <v>1042</v>
      </c>
      <c r="AD139" t="s">
        <v>1042</v>
      </c>
      <c r="AE139">
        <v>0</v>
      </c>
      <c r="AG139">
        <v>0</v>
      </c>
      <c r="AH139">
        <v>0</v>
      </c>
      <c r="AI139">
        <v>0</v>
      </c>
      <c r="AJ139">
        <v>0</v>
      </c>
      <c r="AK139" t="s">
        <v>1043</v>
      </c>
      <c r="AM139">
        <v>200</v>
      </c>
      <c r="AO139" t="s">
        <v>1044</v>
      </c>
      <c r="AP139">
        <v>0</v>
      </c>
      <c r="AR139" t="s">
        <v>1047</v>
      </c>
      <c r="AV139">
        <v>0</v>
      </c>
      <c r="AW139">
        <v>0</v>
      </c>
      <c r="AX139">
        <v>0</v>
      </c>
      <c r="AY139">
        <v>0</v>
      </c>
      <c r="AZ139">
        <v>0</v>
      </c>
      <c r="BA139">
        <v>0</v>
      </c>
      <c r="BB139">
        <v>0</v>
      </c>
      <c r="BC139" t="s">
        <v>1043</v>
      </c>
      <c r="BD139">
        <v>0</v>
      </c>
      <c r="BE139">
        <v>0</v>
      </c>
      <c r="BJ139" t="s">
        <v>1044</v>
      </c>
      <c r="BM139">
        <v>0</v>
      </c>
      <c r="BN139">
        <v>0</v>
      </c>
      <c r="BO139">
        <v>0</v>
      </c>
      <c r="BP139">
        <v>0</v>
      </c>
      <c r="BQ139">
        <v>0</v>
      </c>
      <c r="BR139">
        <v>0</v>
      </c>
      <c r="BS139">
        <v>0</v>
      </c>
      <c r="BU139">
        <v>0.5</v>
      </c>
      <c r="BV139">
        <v>0.4</v>
      </c>
      <c r="BW139">
        <v>0.75</v>
      </c>
      <c r="BX139">
        <v>0</v>
      </c>
      <c r="BY139">
        <v>0</v>
      </c>
      <c r="BZ139">
        <v>0</v>
      </c>
      <c r="CA139">
        <v>0</v>
      </c>
      <c r="CM139" t="s">
        <v>2034</v>
      </c>
      <c r="CN139" t="s">
        <v>1045</v>
      </c>
      <c r="CO139">
        <v>3917</v>
      </c>
      <c r="CQ139" t="s">
        <v>2031</v>
      </c>
      <c r="CR139">
        <v>0</v>
      </c>
      <c r="CS139">
        <v>0</v>
      </c>
      <c r="CT139">
        <v>0</v>
      </c>
      <c r="CU139">
        <v>0</v>
      </c>
      <c r="CW139" t="s">
        <v>1043</v>
      </c>
      <c r="CX139">
        <v>0</v>
      </c>
      <c r="CY139">
        <v>0</v>
      </c>
      <c r="CZ139">
        <v>0</v>
      </c>
      <c r="DA139">
        <v>0</v>
      </c>
      <c r="DB139">
        <v>0</v>
      </c>
      <c r="DD139">
        <v>0</v>
      </c>
      <c r="DK139">
        <v>0</v>
      </c>
      <c r="DL139">
        <v>0</v>
      </c>
      <c r="DM139">
        <v>0</v>
      </c>
      <c r="DN139">
        <v>0</v>
      </c>
      <c r="DO139">
        <v>0</v>
      </c>
      <c r="DP139">
        <v>0</v>
      </c>
      <c r="DQ139">
        <v>0</v>
      </c>
      <c r="DR139">
        <v>0</v>
      </c>
      <c r="DS139" t="s">
        <v>1043</v>
      </c>
      <c r="DT139" t="s">
        <v>1044</v>
      </c>
      <c r="DW139" t="s">
        <v>1042</v>
      </c>
      <c r="DX139">
        <v>0</v>
      </c>
      <c r="DY139" t="s">
        <v>1043</v>
      </c>
      <c r="DZ139">
        <v>0</v>
      </c>
      <c r="EA139">
        <v>0</v>
      </c>
      <c r="EC139">
        <v>0</v>
      </c>
      <c r="EM139">
        <v>0</v>
      </c>
      <c r="EN139">
        <v>0</v>
      </c>
      <c r="EO139">
        <v>0</v>
      </c>
      <c r="EY139">
        <v>0</v>
      </c>
      <c r="EZ139">
        <v>0</v>
      </c>
      <c r="FA139">
        <v>0</v>
      </c>
      <c r="FB139">
        <v>0</v>
      </c>
      <c r="FD139" t="s">
        <v>2029</v>
      </c>
      <c r="FF139">
        <v>0</v>
      </c>
      <c r="FG139">
        <v>0</v>
      </c>
      <c r="FR139">
        <v>0</v>
      </c>
      <c r="FS139">
        <v>0</v>
      </c>
      <c r="GD139">
        <v>0</v>
      </c>
      <c r="GL139">
        <v>0</v>
      </c>
      <c r="GM139">
        <v>0</v>
      </c>
      <c r="GN139">
        <v>0</v>
      </c>
      <c r="GP139" t="s">
        <v>1042</v>
      </c>
      <c r="GQ139" t="s">
        <v>2027</v>
      </c>
      <c r="HH139">
        <v>0</v>
      </c>
      <c r="HI139">
        <v>0</v>
      </c>
      <c r="HP139">
        <v>0</v>
      </c>
      <c r="HZ139">
        <v>0</v>
      </c>
      <c r="IA139" t="s">
        <v>2033</v>
      </c>
      <c r="IB139">
        <v>0</v>
      </c>
      <c r="IC139">
        <v>0</v>
      </c>
      <c r="IG139" t="s">
        <v>1042</v>
      </c>
      <c r="IJ139" t="s">
        <v>1042</v>
      </c>
      <c r="IM139">
        <v>0</v>
      </c>
      <c r="IN139" t="s">
        <v>2024</v>
      </c>
      <c r="IO139">
        <v>7897801313896</v>
      </c>
    </row>
    <row r="140" spans="2:251" x14ac:dyDescent="0.35">
      <c r="B140">
        <v>1</v>
      </c>
      <c r="C140">
        <v>1435</v>
      </c>
      <c r="D140">
        <v>0</v>
      </c>
      <c r="E140">
        <v>0</v>
      </c>
      <c r="F140">
        <v>0</v>
      </c>
      <c r="G140">
        <v>0</v>
      </c>
      <c r="H140">
        <v>0</v>
      </c>
      <c r="I140">
        <v>0</v>
      </c>
      <c r="J140" t="s">
        <v>2040</v>
      </c>
      <c r="M140">
        <v>200</v>
      </c>
      <c r="Q140">
        <v>100</v>
      </c>
      <c r="S140">
        <v>200</v>
      </c>
      <c r="T140">
        <v>0</v>
      </c>
      <c r="U140">
        <v>0</v>
      </c>
      <c r="W140">
        <v>0.4</v>
      </c>
      <c r="X140" t="s">
        <v>1085</v>
      </c>
      <c r="Y140" t="s">
        <v>1042</v>
      </c>
      <c r="Z140" t="s">
        <v>1042</v>
      </c>
      <c r="AA140" t="s">
        <v>1042</v>
      </c>
      <c r="AB140" t="s">
        <v>1042</v>
      </c>
      <c r="AC140" t="s">
        <v>1042</v>
      </c>
      <c r="AD140" t="s">
        <v>1042</v>
      </c>
      <c r="AE140">
        <v>0</v>
      </c>
      <c r="AG140">
        <v>0</v>
      </c>
      <c r="AH140">
        <v>0</v>
      </c>
      <c r="AI140">
        <v>0</v>
      </c>
      <c r="AJ140">
        <v>0</v>
      </c>
      <c r="AK140" t="s">
        <v>1043</v>
      </c>
      <c r="AM140">
        <v>200</v>
      </c>
      <c r="AO140" t="s">
        <v>1044</v>
      </c>
      <c r="AP140">
        <v>0</v>
      </c>
      <c r="AR140" t="s">
        <v>1047</v>
      </c>
      <c r="AV140">
        <v>0</v>
      </c>
      <c r="AW140">
        <v>0</v>
      </c>
      <c r="AX140">
        <v>0</v>
      </c>
      <c r="AY140">
        <v>0</v>
      </c>
      <c r="AZ140">
        <v>0</v>
      </c>
      <c r="BA140">
        <v>0</v>
      </c>
      <c r="BB140">
        <v>0</v>
      </c>
      <c r="BC140" t="s">
        <v>1043</v>
      </c>
      <c r="BD140">
        <v>0</v>
      </c>
      <c r="BE140">
        <v>0</v>
      </c>
      <c r="BJ140" t="s">
        <v>1044</v>
      </c>
      <c r="BM140">
        <v>0</v>
      </c>
      <c r="BN140">
        <v>0</v>
      </c>
      <c r="BO140">
        <v>0</v>
      </c>
      <c r="BP140">
        <v>0</v>
      </c>
      <c r="BQ140">
        <v>0</v>
      </c>
      <c r="BR140">
        <v>0</v>
      </c>
      <c r="BS140">
        <v>0</v>
      </c>
      <c r="BU140">
        <v>0.35</v>
      </c>
      <c r="BV140">
        <v>0.12</v>
      </c>
      <c r="BW140">
        <v>0.4</v>
      </c>
      <c r="BX140">
        <v>0</v>
      </c>
      <c r="BY140">
        <v>0</v>
      </c>
      <c r="BZ140">
        <v>0</v>
      </c>
      <c r="CA140">
        <v>0</v>
      </c>
      <c r="CM140" t="s">
        <v>2034</v>
      </c>
      <c r="CN140" t="s">
        <v>1045</v>
      </c>
      <c r="CO140">
        <v>3917</v>
      </c>
      <c r="CQ140" t="s">
        <v>2031</v>
      </c>
      <c r="CR140">
        <v>0</v>
      </c>
      <c r="CS140">
        <v>0</v>
      </c>
      <c r="CT140">
        <v>0</v>
      </c>
      <c r="CU140">
        <v>0</v>
      </c>
      <c r="CW140" t="s">
        <v>1043</v>
      </c>
      <c r="CX140">
        <v>0</v>
      </c>
      <c r="CY140">
        <v>0</v>
      </c>
      <c r="CZ140">
        <v>0</v>
      </c>
      <c r="DA140">
        <v>0</v>
      </c>
      <c r="DB140">
        <v>0</v>
      </c>
      <c r="DD140">
        <v>0</v>
      </c>
      <c r="DK140">
        <v>0</v>
      </c>
      <c r="DL140">
        <v>0</v>
      </c>
      <c r="DM140">
        <v>0</v>
      </c>
      <c r="DN140">
        <v>0</v>
      </c>
      <c r="DO140">
        <v>0</v>
      </c>
      <c r="DP140">
        <v>0</v>
      </c>
      <c r="DQ140">
        <v>0</v>
      </c>
      <c r="DR140">
        <v>0</v>
      </c>
      <c r="DS140" t="s">
        <v>1043</v>
      </c>
      <c r="DT140" t="s">
        <v>1044</v>
      </c>
      <c r="DW140" t="s">
        <v>1042</v>
      </c>
      <c r="DX140">
        <v>0</v>
      </c>
      <c r="DY140" t="s">
        <v>1043</v>
      </c>
      <c r="DZ140">
        <v>0</v>
      </c>
      <c r="EA140">
        <v>0</v>
      </c>
      <c r="EC140">
        <v>0</v>
      </c>
      <c r="EM140">
        <v>0</v>
      </c>
      <c r="EN140">
        <v>0</v>
      </c>
      <c r="EO140">
        <v>0</v>
      </c>
      <c r="EY140">
        <v>0</v>
      </c>
      <c r="EZ140">
        <v>0</v>
      </c>
      <c r="FA140">
        <v>0</v>
      </c>
      <c r="FB140">
        <v>0</v>
      </c>
      <c r="FD140" t="s">
        <v>2029</v>
      </c>
      <c r="FF140">
        <v>0</v>
      </c>
      <c r="FG140">
        <v>0</v>
      </c>
      <c r="FR140">
        <v>0</v>
      </c>
      <c r="FS140">
        <v>0</v>
      </c>
      <c r="GD140">
        <v>0</v>
      </c>
      <c r="GL140">
        <v>0</v>
      </c>
      <c r="GM140">
        <v>0</v>
      </c>
      <c r="GN140">
        <v>0</v>
      </c>
      <c r="GP140" t="s">
        <v>1042</v>
      </c>
      <c r="GQ140" t="s">
        <v>2027</v>
      </c>
      <c r="HH140">
        <v>0</v>
      </c>
      <c r="HI140">
        <v>0</v>
      </c>
      <c r="HP140">
        <v>0</v>
      </c>
      <c r="HZ140">
        <v>0</v>
      </c>
      <c r="IA140" t="s">
        <v>2033</v>
      </c>
      <c r="IB140">
        <v>0</v>
      </c>
      <c r="IC140">
        <v>0</v>
      </c>
      <c r="IG140" t="s">
        <v>1042</v>
      </c>
      <c r="IJ140" t="s">
        <v>1042</v>
      </c>
      <c r="IM140">
        <v>0</v>
      </c>
      <c r="IN140" t="s">
        <v>2024</v>
      </c>
      <c r="IO140">
        <v>7897801313902</v>
      </c>
    </row>
    <row r="141" spans="2:251" x14ac:dyDescent="0.35">
      <c r="B141">
        <v>1</v>
      </c>
      <c r="C141">
        <v>1441</v>
      </c>
      <c r="D141">
        <v>0</v>
      </c>
      <c r="E141">
        <v>0</v>
      </c>
      <c r="F141">
        <v>0</v>
      </c>
      <c r="G141">
        <v>0</v>
      </c>
      <c r="H141">
        <v>0</v>
      </c>
      <c r="I141">
        <v>0</v>
      </c>
      <c r="J141" t="s">
        <v>2039</v>
      </c>
      <c r="M141">
        <v>80</v>
      </c>
      <c r="Q141">
        <v>110</v>
      </c>
      <c r="S141">
        <v>110</v>
      </c>
      <c r="T141">
        <v>0</v>
      </c>
      <c r="U141">
        <v>0</v>
      </c>
      <c r="W141">
        <v>0.13500000000000001</v>
      </c>
      <c r="X141" t="s">
        <v>1085</v>
      </c>
      <c r="Y141" t="s">
        <v>1042</v>
      </c>
      <c r="Z141" t="s">
        <v>1042</v>
      </c>
      <c r="AA141" t="s">
        <v>1042</v>
      </c>
      <c r="AB141" t="s">
        <v>1042</v>
      </c>
      <c r="AC141" t="s">
        <v>1042</v>
      </c>
      <c r="AD141" t="s">
        <v>1042</v>
      </c>
      <c r="AE141">
        <v>0</v>
      </c>
      <c r="AG141">
        <v>0</v>
      </c>
      <c r="AH141">
        <v>0</v>
      </c>
      <c r="AI141">
        <v>0</v>
      </c>
      <c r="AJ141">
        <v>0</v>
      </c>
      <c r="AK141" t="s">
        <v>1043</v>
      </c>
      <c r="AM141">
        <v>200</v>
      </c>
      <c r="AO141" t="s">
        <v>1044</v>
      </c>
      <c r="AP141">
        <v>0</v>
      </c>
      <c r="AR141" t="s">
        <v>1047</v>
      </c>
      <c r="AV141">
        <v>0</v>
      </c>
      <c r="AW141">
        <v>0</v>
      </c>
      <c r="AX141">
        <v>0</v>
      </c>
      <c r="AY141">
        <v>0</v>
      </c>
      <c r="AZ141">
        <v>0</v>
      </c>
      <c r="BA141">
        <v>0</v>
      </c>
      <c r="BB141">
        <v>0</v>
      </c>
      <c r="BC141" t="s">
        <v>1043</v>
      </c>
      <c r="BD141">
        <v>0</v>
      </c>
      <c r="BE141">
        <v>0</v>
      </c>
      <c r="BJ141" t="s">
        <v>1044</v>
      </c>
      <c r="BM141">
        <v>0</v>
      </c>
      <c r="BN141">
        <v>0</v>
      </c>
      <c r="BO141">
        <v>0</v>
      </c>
      <c r="BP141">
        <v>0</v>
      </c>
      <c r="BQ141">
        <v>0</v>
      </c>
      <c r="BR141">
        <v>0</v>
      </c>
      <c r="BS141">
        <v>0</v>
      </c>
      <c r="BU141">
        <v>0.4</v>
      </c>
      <c r="BV141">
        <v>0.11</v>
      </c>
      <c r="BW141">
        <v>0.52</v>
      </c>
      <c r="BX141">
        <v>0</v>
      </c>
      <c r="BY141">
        <v>0</v>
      </c>
      <c r="BZ141">
        <v>0</v>
      </c>
      <c r="CA141">
        <v>0</v>
      </c>
      <c r="CM141" t="s">
        <v>2034</v>
      </c>
      <c r="CN141" t="s">
        <v>1045</v>
      </c>
      <c r="CQ141" t="s">
        <v>2031</v>
      </c>
      <c r="CR141">
        <v>0</v>
      </c>
      <c r="CS141">
        <v>0</v>
      </c>
      <c r="CT141">
        <v>0</v>
      </c>
      <c r="CU141">
        <v>0</v>
      </c>
      <c r="CW141" t="s">
        <v>1043</v>
      </c>
      <c r="CX141">
        <v>0</v>
      </c>
      <c r="CY141">
        <v>0</v>
      </c>
      <c r="CZ141">
        <v>0</v>
      </c>
      <c r="DA141">
        <v>0</v>
      </c>
      <c r="DB141">
        <v>0</v>
      </c>
      <c r="DD141">
        <v>0</v>
      </c>
      <c r="DK141">
        <v>0</v>
      </c>
      <c r="DL141">
        <v>0</v>
      </c>
      <c r="DM141">
        <v>0</v>
      </c>
      <c r="DN141">
        <v>0</v>
      </c>
      <c r="DO141">
        <v>0</v>
      </c>
      <c r="DP141">
        <v>0</v>
      </c>
      <c r="DQ141">
        <v>0</v>
      </c>
      <c r="DR141">
        <v>0</v>
      </c>
      <c r="DS141" t="s">
        <v>1043</v>
      </c>
      <c r="DT141" t="s">
        <v>1044</v>
      </c>
      <c r="DW141" t="s">
        <v>1042</v>
      </c>
      <c r="DX141">
        <v>0</v>
      </c>
      <c r="DY141" t="s">
        <v>1043</v>
      </c>
      <c r="DZ141">
        <v>0</v>
      </c>
      <c r="EA141">
        <v>0</v>
      </c>
      <c r="EC141">
        <v>0</v>
      </c>
      <c r="EM141">
        <v>0</v>
      </c>
      <c r="EN141">
        <v>0</v>
      </c>
      <c r="EO141">
        <v>0</v>
      </c>
      <c r="EY141">
        <v>0</v>
      </c>
      <c r="EZ141">
        <v>0</v>
      </c>
      <c r="FA141">
        <v>0</v>
      </c>
      <c r="FB141">
        <v>0</v>
      </c>
      <c r="FD141" t="s">
        <v>2029</v>
      </c>
      <c r="FF141">
        <v>0</v>
      </c>
      <c r="FG141">
        <v>0</v>
      </c>
      <c r="FR141">
        <v>0</v>
      </c>
      <c r="FS141">
        <v>0</v>
      </c>
      <c r="GD141">
        <v>0</v>
      </c>
      <c r="GL141">
        <v>0</v>
      </c>
      <c r="GM141">
        <v>0</v>
      </c>
      <c r="GN141">
        <v>0</v>
      </c>
      <c r="GP141" t="s">
        <v>1042</v>
      </c>
      <c r="GQ141" t="s">
        <v>2027</v>
      </c>
      <c r="HH141">
        <v>0</v>
      </c>
      <c r="HI141">
        <v>0</v>
      </c>
      <c r="HP141">
        <v>0</v>
      </c>
      <c r="HZ141">
        <v>0</v>
      </c>
      <c r="IA141" t="s">
        <v>2033</v>
      </c>
      <c r="IB141">
        <v>0</v>
      </c>
      <c r="IC141">
        <v>0</v>
      </c>
      <c r="IG141" t="s">
        <v>1042</v>
      </c>
      <c r="IJ141" t="s">
        <v>1042</v>
      </c>
      <c r="IM141">
        <v>0</v>
      </c>
      <c r="IN141" t="s">
        <v>2024</v>
      </c>
      <c r="IO141">
        <v>7897801313919</v>
      </c>
    </row>
    <row r="142" spans="2:251" x14ac:dyDescent="0.35">
      <c r="B142">
        <v>1</v>
      </c>
      <c r="C142">
        <v>1452</v>
      </c>
      <c r="D142">
        <v>0</v>
      </c>
      <c r="E142">
        <v>0</v>
      </c>
      <c r="F142">
        <v>0</v>
      </c>
      <c r="G142">
        <v>0</v>
      </c>
      <c r="H142">
        <v>0</v>
      </c>
      <c r="I142">
        <v>0</v>
      </c>
      <c r="J142" t="s">
        <v>2038</v>
      </c>
      <c r="M142">
        <v>120</v>
      </c>
      <c r="Q142">
        <v>110</v>
      </c>
      <c r="S142">
        <v>90</v>
      </c>
      <c r="T142">
        <v>0</v>
      </c>
      <c r="U142">
        <v>0</v>
      </c>
      <c r="W142">
        <v>0.158</v>
      </c>
      <c r="X142" t="s">
        <v>1085</v>
      </c>
      <c r="Y142" t="s">
        <v>1042</v>
      </c>
      <c r="Z142" t="s">
        <v>1042</v>
      </c>
      <c r="AA142" t="s">
        <v>1042</v>
      </c>
      <c r="AB142" t="s">
        <v>1042</v>
      </c>
      <c r="AC142" t="s">
        <v>1042</v>
      </c>
      <c r="AD142" t="s">
        <v>1042</v>
      </c>
      <c r="AE142">
        <v>0</v>
      </c>
      <c r="AG142">
        <v>0</v>
      </c>
      <c r="AH142">
        <v>0</v>
      </c>
      <c r="AI142">
        <v>0</v>
      </c>
      <c r="AJ142">
        <v>0</v>
      </c>
      <c r="AK142" t="s">
        <v>1043</v>
      </c>
      <c r="AM142">
        <v>200</v>
      </c>
      <c r="AO142" t="s">
        <v>1044</v>
      </c>
      <c r="AP142">
        <v>0</v>
      </c>
      <c r="AR142" t="s">
        <v>1047</v>
      </c>
      <c r="AV142">
        <v>0</v>
      </c>
      <c r="AW142">
        <v>0</v>
      </c>
      <c r="AX142">
        <v>0</v>
      </c>
      <c r="AY142">
        <v>0</v>
      </c>
      <c r="AZ142">
        <v>0</v>
      </c>
      <c r="BA142">
        <v>0</v>
      </c>
      <c r="BB142">
        <v>0</v>
      </c>
      <c r="BC142" t="s">
        <v>1043</v>
      </c>
      <c r="BD142">
        <v>0</v>
      </c>
      <c r="BE142">
        <v>0</v>
      </c>
      <c r="BJ142" t="s">
        <v>1044</v>
      </c>
      <c r="BM142">
        <v>0</v>
      </c>
      <c r="BN142">
        <v>0</v>
      </c>
      <c r="BO142">
        <v>0</v>
      </c>
      <c r="BP142">
        <v>0</v>
      </c>
      <c r="BQ142">
        <v>0</v>
      </c>
      <c r="BR142">
        <v>0</v>
      </c>
      <c r="BS142">
        <v>0</v>
      </c>
      <c r="BU142">
        <v>0.4</v>
      </c>
      <c r="BV142">
        <v>0.11</v>
      </c>
      <c r="BW142">
        <v>0.43</v>
      </c>
      <c r="BX142">
        <v>0</v>
      </c>
      <c r="BY142">
        <v>0</v>
      </c>
      <c r="BZ142">
        <v>0</v>
      </c>
      <c r="CA142">
        <v>0</v>
      </c>
      <c r="CM142" t="s">
        <v>2034</v>
      </c>
      <c r="CN142" t="s">
        <v>1045</v>
      </c>
      <c r="CO142">
        <v>3917</v>
      </c>
      <c r="CQ142" t="s">
        <v>2031</v>
      </c>
      <c r="CR142">
        <v>0</v>
      </c>
      <c r="CS142">
        <v>0</v>
      </c>
      <c r="CT142">
        <v>0</v>
      </c>
      <c r="CU142">
        <v>0</v>
      </c>
      <c r="CW142" t="s">
        <v>1043</v>
      </c>
      <c r="CX142">
        <v>0</v>
      </c>
      <c r="CY142">
        <v>0</v>
      </c>
      <c r="CZ142">
        <v>0</v>
      </c>
      <c r="DA142">
        <v>0</v>
      </c>
      <c r="DB142">
        <v>0</v>
      </c>
      <c r="DD142">
        <v>0</v>
      </c>
      <c r="DK142">
        <v>0</v>
      </c>
      <c r="DL142">
        <v>0</v>
      </c>
      <c r="DM142">
        <v>0</v>
      </c>
      <c r="DN142">
        <v>0</v>
      </c>
      <c r="DO142">
        <v>0</v>
      </c>
      <c r="DP142">
        <v>0</v>
      </c>
      <c r="DQ142">
        <v>0</v>
      </c>
      <c r="DR142">
        <v>0</v>
      </c>
      <c r="DS142" t="s">
        <v>1043</v>
      </c>
      <c r="DT142" t="s">
        <v>1044</v>
      </c>
      <c r="DW142" t="s">
        <v>1042</v>
      </c>
      <c r="DX142">
        <v>0</v>
      </c>
      <c r="DY142" t="s">
        <v>1043</v>
      </c>
      <c r="DZ142">
        <v>0</v>
      </c>
      <c r="EA142">
        <v>0</v>
      </c>
      <c r="EC142">
        <v>0</v>
      </c>
      <c r="EM142">
        <v>0</v>
      </c>
      <c r="EN142">
        <v>0</v>
      </c>
      <c r="EO142">
        <v>0</v>
      </c>
      <c r="EY142">
        <v>0</v>
      </c>
      <c r="EZ142">
        <v>0</v>
      </c>
      <c r="FA142">
        <v>0</v>
      </c>
      <c r="FB142">
        <v>0</v>
      </c>
      <c r="FD142" t="s">
        <v>2029</v>
      </c>
      <c r="FF142">
        <v>0</v>
      </c>
      <c r="FG142">
        <v>0</v>
      </c>
      <c r="FR142">
        <v>0</v>
      </c>
      <c r="FS142">
        <v>0</v>
      </c>
      <c r="GD142">
        <v>0</v>
      </c>
      <c r="GL142">
        <v>0</v>
      </c>
      <c r="GM142">
        <v>0</v>
      </c>
      <c r="GN142">
        <v>0</v>
      </c>
      <c r="GP142" t="s">
        <v>1042</v>
      </c>
      <c r="GQ142" t="s">
        <v>2027</v>
      </c>
      <c r="HH142">
        <v>0</v>
      </c>
      <c r="HI142">
        <v>0</v>
      </c>
      <c r="HP142">
        <v>0</v>
      </c>
      <c r="HZ142">
        <v>0</v>
      </c>
      <c r="IA142" t="s">
        <v>2033</v>
      </c>
      <c r="IB142">
        <v>0</v>
      </c>
      <c r="IC142">
        <v>0</v>
      </c>
      <c r="IG142" t="s">
        <v>1042</v>
      </c>
      <c r="IJ142" t="s">
        <v>1042</v>
      </c>
      <c r="IM142">
        <v>0</v>
      </c>
      <c r="IN142" t="s">
        <v>2024</v>
      </c>
      <c r="IO142">
        <v>7897801313926</v>
      </c>
    </row>
    <row r="143" spans="2:251" x14ac:dyDescent="0.35">
      <c r="B143">
        <v>1</v>
      </c>
      <c r="C143">
        <v>1458</v>
      </c>
      <c r="D143">
        <v>0</v>
      </c>
      <c r="E143">
        <v>0</v>
      </c>
      <c r="F143">
        <v>0</v>
      </c>
      <c r="G143">
        <v>0</v>
      </c>
      <c r="H143">
        <v>0</v>
      </c>
      <c r="I143">
        <v>0</v>
      </c>
      <c r="J143" t="s">
        <v>2037</v>
      </c>
      <c r="M143">
        <v>180</v>
      </c>
      <c r="Q143">
        <v>150</v>
      </c>
      <c r="S143">
        <v>90</v>
      </c>
      <c r="T143">
        <v>0</v>
      </c>
      <c r="U143">
        <v>0</v>
      </c>
      <c r="W143">
        <v>0.23499999999999999</v>
      </c>
      <c r="X143" t="s">
        <v>1085</v>
      </c>
      <c r="Y143" t="s">
        <v>1042</v>
      </c>
      <c r="Z143" t="s">
        <v>1042</v>
      </c>
      <c r="AA143" t="s">
        <v>1042</v>
      </c>
      <c r="AB143" t="s">
        <v>1042</v>
      </c>
      <c r="AC143" t="s">
        <v>1042</v>
      </c>
      <c r="AD143" t="s">
        <v>1042</v>
      </c>
      <c r="AE143">
        <v>0</v>
      </c>
      <c r="AG143">
        <v>0</v>
      </c>
      <c r="AH143">
        <v>0</v>
      </c>
      <c r="AI143">
        <v>0</v>
      </c>
      <c r="AJ143">
        <v>0</v>
      </c>
      <c r="AK143" t="s">
        <v>1043</v>
      </c>
      <c r="AM143">
        <v>200</v>
      </c>
      <c r="AO143" t="s">
        <v>1044</v>
      </c>
      <c r="AP143">
        <v>0</v>
      </c>
      <c r="AR143" t="s">
        <v>1047</v>
      </c>
      <c r="AV143">
        <v>0</v>
      </c>
      <c r="AW143">
        <v>0</v>
      </c>
      <c r="AX143">
        <v>0</v>
      </c>
      <c r="AY143">
        <v>0</v>
      </c>
      <c r="AZ143">
        <v>0</v>
      </c>
      <c r="BA143">
        <v>0</v>
      </c>
      <c r="BB143">
        <v>0</v>
      </c>
      <c r="BC143" t="s">
        <v>1043</v>
      </c>
      <c r="BD143">
        <v>0</v>
      </c>
      <c r="BE143">
        <v>0</v>
      </c>
      <c r="BJ143" t="s">
        <v>1044</v>
      </c>
      <c r="BM143">
        <v>0</v>
      </c>
      <c r="BN143">
        <v>0</v>
      </c>
      <c r="BO143">
        <v>0</v>
      </c>
      <c r="BP143">
        <v>0</v>
      </c>
      <c r="BQ143">
        <v>0</v>
      </c>
      <c r="BR143">
        <v>0</v>
      </c>
      <c r="BS143">
        <v>0</v>
      </c>
      <c r="BU143">
        <v>0.38</v>
      </c>
      <c r="BV143">
        <v>0.18</v>
      </c>
      <c r="BW143">
        <v>0.6</v>
      </c>
      <c r="BX143">
        <v>0</v>
      </c>
      <c r="BY143">
        <v>0</v>
      </c>
      <c r="BZ143">
        <v>0</v>
      </c>
      <c r="CA143">
        <v>0</v>
      </c>
      <c r="CM143" t="s">
        <v>2034</v>
      </c>
      <c r="CN143" t="s">
        <v>1045</v>
      </c>
      <c r="CO143">
        <v>3917</v>
      </c>
      <c r="CQ143" t="s">
        <v>2031</v>
      </c>
      <c r="CR143">
        <v>0</v>
      </c>
      <c r="CS143">
        <v>0</v>
      </c>
      <c r="CT143">
        <v>0</v>
      </c>
      <c r="CU143">
        <v>0</v>
      </c>
      <c r="CW143" t="s">
        <v>1043</v>
      </c>
      <c r="CX143">
        <v>0</v>
      </c>
      <c r="CY143">
        <v>0</v>
      </c>
      <c r="CZ143">
        <v>0</v>
      </c>
      <c r="DA143">
        <v>0</v>
      </c>
      <c r="DB143">
        <v>0</v>
      </c>
      <c r="DD143">
        <v>0</v>
      </c>
      <c r="DK143">
        <v>0</v>
      </c>
      <c r="DL143">
        <v>0</v>
      </c>
      <c r="DM143">
        <v>0</v>
      </c>
      <c r="DN143">
        <v>0</v>
      </c>
      <c r="DO143">
        <v>0</v>
      </c>
      <c r="DP143">
        <v>0</v>
      </c>
      <c r="DQ143">
        <v>0</v>
      </c>
      <c r="DR143">
        <v>0</v>
      </c>
      <c r="DS143" t="s">
        <v>1043</v>
      </c>
      <c r="DT143" t="s">
        <v>1044</v>
      </c>
      <c r="DW143" t="s">
        <v>1042</v>
      </c>
      <c r="DX143">
        <v>0</v>
      </c>
      <c r="DY143" t="s">
        <v>1043</v>
      </c>
      <c r="DZ143">
        <v>0</v>
      </c>
      <c r="EA143">
        <v>0</v>
      </c>
      <c r="EC143">
        <v>0</v>
      </c>
      <c r="EM143">
        <v>0</v>
      </c>
      <c r="EN143">
        <v>0</v>
      </c>
      <c r="EO143">
        <v>0</v>
      </c>
      <c r="EY143">
        <v>0</v>
      </c>
      <c r="EZ143">
        <v>0</v>
      </c>
      <c r="FA143">
        <v>0</v>
      </c>
      <c r="FB143">
        <v>0</v>
      </c>
      <c r="FD143" t="s">
        <v>2029</v>
      </c>
      <c r="FF143">
        <v>0</v>
      </c>
      <c r="FG143">
        <v>0</v>
      </c>
      <c r="FR143">
        <v>0</v>
      </c>
      <c r="FS143">
        <v>0</v>
      </c>
      <c r="GD143">
        <v>0</v>
      </c>
      <c r="GL143">
        <v>0</v>
      </c>
      <c r="GM143">
        <v>0</v>
      </c>
      <c r="GN143">
        <v>0</v>
      </c>
      <c r="GP143" t="s">
        <v>1042</v>
      </c>
      <c r="GQ143" t="s">
        <v>2027</v>
      </c>
      <c r="HH143">
        <v>0</v>
      </c>
      <c r="HI143">
        <v>0</v>
      </c>
      <c r="HP143">
        <v>0</v>
      </c>
      <c r="HZ143">
        <v>0</v>
      </c>
      <c r="IA143" t="s">
        <v>2033</v>
      </c>
      <c r="IB143">
        <v>0</v>
      </c>
      <c r="IC143">
        <v>0</v>
      </c>
      <c r="IG143" t="s">
        <v>1042</v>
      </c>
      <c r="IJ143" t="s">
        <v>1042</v>
      </c>
      <c r="IM143">
        <v>0</v>
      </c>
      <c r="IN143" t="s">
        <v>2024</v>
      </c>
      <c r="IO143">
        <v>7897801313933</v>
      </c>
    </row>
    <row r="144" spans="2:251" x14ac:dyDescent="0.35">
      <c r="B144">
        <v>1</v>
      </c>
      <c r="C144">
        <v>1459</v>
      </c>
      <c r="D144">
        <v>0</v>
      </c>
      <c r="E144">
        <v>0</v>
      </c>
      <c r="F144">
        <v>0</v>
      </c>
      <c r="G144">
        <v>0</v>
      </c>
      <c r="H144">
        <v>0</v>
      </c>
      <c r="I144">
        <v>0</v>
      </c>
      <c r="J144" t="s">
        <v>2036</v>
      </c>
      <c r="M144">
        <v>165</v>
      </c>
      <c r="Q144">
        <v>210</v>
      </c>
      <c r="S144">
        <v>110</v>
      </c>
      <c r="T144">
        <v>0</v>
      </c>
      <c r="U144">
        <v>0</v>
      </c>
      <c r="W144">
        <v>0.437</v>
      </c>
      <c r="X144" t="s">
        <v>1085</v>
      </c>
      <c r="Y144" t="s">
        <v>1042</v>
      </c>
      <c r="Z144" t="s">
        <v>1042</v>
      </c>
      <c r="AA144" t="s">
        <v>1042</v>
      </c>
      <c r="AB144" t="s">
        <v>1042</v>
      </c>
      <c r="AC144" t="s">
        <v>1042</v>
      </c>
      <c r="AD144" t="s">
        <v>1042</v>
      </c>
      <c r="AE144">
        <v>0</v>
      </c>
      <c r="AG144">
        <v>0</v>
      </c>
      <c r="AH144">
        <v>0</v>
      </c>
      <c r="AI144">
        <v>0</v>
      </c>
      <c r="AJ144">
        <v>0</v>
      </c>
      <c r="AK144" t="s">
        <v>1043</v>
      </c>
      <c r="AM144">
        <v>200</v>
      </c>
      <c r="AO144" t="s">
        <v>1044</v>
      </c>
      <c r="AP144">
        <v>0</v>
      </c>
      <c r="AR144" t="s">
        <v>1047</v>
      </c>
      <c r="AV144">
        <v>0</v>
      </c>
      <c r="AW144">
        <v>0</v>
      </c>
      <c r="AX144">
        <v>0</v>
      </c>
      <c r="AY144">
        <v>0</v>
      </c>
      <c r="AZ144">
        <v>0</v>
      </c>
      <c r="BA144">
        <v>0</v>
      </c>
      <c r="BB144">
        <v>0</v>
      </c>
      <c r="BC144" t="s">
        <v>1043</v>
      </c>
      <c r="BD144">
        <v>0</v>
      </c>
      <c r="BE144">
        <v>0</v>
      </c>
      <c r="BJ144" t="s">
        <v>1044</v>
      </c>
      <c r="BM144">
        <v>0</v>
      </c>
      <c r="BN144">
        <v>0</v>
      </c>
      <c r="BO144">
        <v>0</v>
      </c>
      <c r="BP144">
        <v>0</v>
      </c>
      <c r="BQ144">
        <v>0</v>
      </c>
      <c r="BR144">
        <v>0</v>
      </c>
      <c r="BS144">
        <v>0</v>
      </c>
      <c r="BU144">
        <v>0.35</v>
      </c>
      <c r="BV144">
        <v>0.12</v>
      </c>
      <c r="BW144">
        <v>0.43</v>
      </c>
      <c r="BX144">
        <v>0</v>
      </c>
      <c r="BY144">
        <v>0</v>
      </c>
      <c r="BZ144">
        <v>0</v>
      </c>
      <c r="CA144">
        <v>0</v>
      </c>
      <c r="CM144" t="s">
        <v>2034</v>
      </c>
      <c r="CN144" t="s">
        <v>1045</v>
      </c>
      <c r="CO144">
        <v>3917</v>
      </c>
      <c r="CQ144" t="s">
        <v>2031</v>
      </c>
      <c r="CR144">
        <v>0</v>
      </c>
      <c r="CS144">
        <v>0</v>
      </c>
      <c r="CT144">
        <v>0</v>
      </c>
      <c r="CU144">
        <v>0</v>
      </c>
      <c r="CW144" t="s">
        <v>1043</v>
      </c>
      <c r="CX144">
        <v>0</v>
      </c>
      <c r="CY144">
        <v>0</v>
      </c>
      <c r="CZ144">
        <v>0</v>
      </c>
      <c r="DA144">
        <v>0</v>
      </c>
      <c r="DB144">
        <v>0</v>
      </c>
      <c r="DD144">
        <v>0</v>
      </c>
      <c r="DK144">
        <v>0</v>
      </c>
      <c r="DL144">
        <v>0</v>
      </c>
      <c r="DM144">
        <v>0</v>
      </c>
      <c r="DN144">
        <v>0</v>
      </c>
      <c r="DO144">
        <v>0</v>
      </c>
      <c r="DP144">
        <v>0</v>
      </c>
      <c r="DQ144">
        <v>0</v>
      </c>
      <c r="DR144">
        <v>0</v>
      </c>
      <c r="DS144" t="s">
        <v>1043</v>
      </c>
      <c r="DT144" t="s">
        <v>1044</v>
      </c>
      <c r="DW144" t="s">
        <v>1042</v>
      </c>
      <c r="DX144">
        <v>0</v>
      </c>
      <c r="DY144" t="s">
        <v>1043</v>
      </c>
      <c r="DZ144">
        <v>0</v>
      </c>
      <c r="EA144">
        <v>0</v>
      </c>
      <c r="EC144">
        <v>0</v>
      </c>
      <c r="EM144">
        <v>0</v>
      </c>
      <c r="EN144">
        <v>0</v>
      </c>
      <c r="EO144">
        <v>0</v>
      </c>
      <c r="EY144">
        <v>0</v>
      </c>
      <c r="EZ144">
        <v>0</v>
      </c>
      <c r="FA144">
        <v>0</v>
      </c>
      <c r="FB144">
        <v>0</v>
      </c>
      <c r="FD144" t="s">
        <v>2029</v>
      </c>
      <c r="FF144">
        <v>0</v>
      </c>
      <c r="FG144">
        <v>0</v>
      </c>
      <c r="FR144">
        <v>0</v>
      </c>
      <c r="FS144">
        <v>0</v>
      </c>
      <c r="GD144">
        <v>0</v>
      </c>
      <c r="GL144">
        <v>0</v>
      </c>
      <c r="GM144">
        <v>0</v>
      </c>
      <c r="GN144">
        <v>0</v>
      </c>
      <c r="GP144" t="s">
        <v>1042</v>
      </c>
      <c r="GQ144" t="s">
        <v>2027</v>
      </c>
      <c r="HH144">
        <v>0</v>
      </c>
      <c r="HI144">
        <v>0</v>
      </c>
      <c r="HP144">
        <v>0</v>
      </c>
      <c r="HZ144">
        <v>0</v>
      </c>
      <c r="IA144" t="s">
        <v>2033</v>
      </c>
      <c r="IB144">
        <v>0</v>
      </c>
      <c r="IC144">
        <v>0</v>
      </c>
      <c r="IG144" t="s">
        <v>1042</v>
      </c>
      <c r="IJ144" t="s">
        <v>1042</v>
      </c>
      <c r="IM144">
        <v>0</v>
      </c>
      <c r="IN144" t="s">
        <v>2024</v>
      </c>
      <c r="IO144">
        <v>7897801313940</v>
      </c>
    </row>
    <row r="145" spans="2:251" x14ac:dyDescent="0.35">
      <c r="B145">
        <v>1</v>
      </c>
      <c r="C145">
        <v>1463</v>
      </c>
      <c r="D145">
        <v>0</v>
      </c>
      <c r="E145">
        <v>0</v>
      </c>
      <c r="F145">
        <v>0</v>
      </c>
      <c r="G145">
        <v>0</v>
      </c>
      <c r="H145">
        <v>0</v>
      </c>
      <c r="I145">
        <v>0</v>
      </c>
      <c r="J145" t="s">
        <v>2035</v>
      </c>
      <c r="M145">
        <v>0</v>
      </c>
      <c r="Q145">
        <v>0</v>
      </c>
      <c r="S145">
        <v>0</v>
      </c>
      <c r="T145">
        <v>0</v>
      </c>
      <c r="U145">
        <v>0</v>
      </c>
      <c r="W145">
        <v>0.28499999999999998</v>
      </c>
      <c r="X145" t="s">
        <v>1085</v>
      </c>
      <c r="Y145" t="s">
        <v>1042</v>
      </c>
      <c r="Z145" t="s">
        <v>1042</v>
      </c>
      <c r="AA145" t="s">
        <v>1042</v>
      </c>
      <c r="AB145" t="s">
        <v>1042</v>
      </c>
      <c r="AC145" t="s">
        <v>1042</v>
      </c>
      <c r="AD145" t="s">
        <v>1042</v>
      </c>
      <c r="AE145">
        <v>0</v>
      </c>
      <c r="AG145">
        <v>0</v>
      </c>
      <c r="AH145">
        <v>0</v>
      </c>
      <c r="AI145">
        <v>0</v>
      </c>
      <c r="AJ145">
        <v>0</v>
      </c>
      <c r="AK145" t="s">
        <v>1043</v>
      </c>
      <c r="AM145">
        <v>200</v>
      </c>
      <c r="AO145" t="s">
        <v>1044</v>
      </c>
      <c r="AP145">
        <v>0</v>
      </c>
      <c r="AR145" t="s">
        <v>1047</v>
      </c>
      <c r="AV145">
        <v>0</v>
      </c>
      <c r="AW145">
        <v>0</v>
      </c>
      <c r="AX145">
        <v>0</v>
      </c>
      <c r="AY145">
        <v>0</v>
      </c>
      <c r="AZ145">
        <v>0</v>
      </c>
      <c r="BA145">
        <v>0</v>
      </c>
      <c r="BB145">
        <v>0</v>
      </c>
      <c r="BC145" t="s">
        <v>1043</v>
      </c>
      <c r="BD145">
        <v>0</v>
      </c>
      <c r="BE145">
        <v>0</v>
      </c>
      <c r="BJ145" t="s">
        <v>1044</v>
      </c>
      <c r="BM145">
        <v>0</v>
      </c>
      <c r="BN145">
        <v>0</v>
      </c>
      <c r="BO145">
        <v>0</v>
      </c>
      <c r="BP145">
        <v>0</v>
      </c>
      <c r="BQ145">
        <v>0</v>
      </c>
      <c r="BR145">
        <v>0</v>
      </c>
      <c r="BS145">
        <v>0</v>
      </c>
      <c r="BU145">
        <v>0.25</v>
      </c>
      <c r="BV145">
        <v>0.12</v>
      </c>
      <c r="BW145">
        <v>0.3</v>
      </c>
      <c r="BX145">
        <v>0</v>
      </c>
      <c r="BY145">
        <v>0</v>
      </c>
      <c r="BZ145">
        <v>0</v>
      </c>
      <c r="CA145">
        <v>0</v>
      </c>
      <c r="CM145" t="s">
        <v>2034</v>
      </c>
      <c r="CN145" t="s">
        <v>1045</v>
      </c>
      <c r="CO145">
        <v>3917</v>
      </c>
      <c r="CQ145" t="s">
        <v>2031</v>
      </c>
      <c r="CR145">
        <v>0</v>
      </c>
      <c r="CS145">
        <v>0</v>
      </c>
      <c r="CT145">
        <v>0</v>
      </c>
      <c r="CU145">
        <v>0</v>
      </c>
      <c r="CW145" t="s">
        <v>1043</v>
      </c>
      <c r="CX145">
        <v>0</v>
      </c>
      <c r="CY145">
        <v>0</v>
      </c>
      <c r="CZ145">
        <v>0</v>
      </c>
      <c r="DA145">
        <v>0</v>
      </c>
      <c r="DB145">
        <v>0</v>
      </c>
      <c r="DD145">
        <v>0</v>
      </c>
      <c r="DK145">
        <v>0</v>
      </c>
      <c r="DL145">
        <v>0</v>
      </c>
      <c r="DM145">
        <v>0</v>
      </c>
      <c r="DN145">
        <v>0</v>
      </c>
      <c r="DO145">
        <v>0</v>
      </c>
      <c r="DP145">
        <v>0</v>
      </c>
      <c r="DQ145">
        <v>0</v>
      </c>
      <c r="DR145">
        <v>0</v>
      </c>
      <c r="DS145" t="s">
        <v>1043</v>
      </c>
      <c r="DT145" t="s">
        <v>1044</v>
      </c>
      <c r="DW145" t="s">
        <v>1042</v>
      </c>
      <c r="DX145">
        <v>0</v>
      </c>
      <c r="DY145" t="s">
        <v>1043</v>
      </c>
      <c r="DZ145">
        <v>0</v>
      </c>
      <c r="EA145">
        <v>0</v>
      </c>
      <c r="EC145">
        <v>0</v>
      </c>
      <c r="EM145">
        <v>0</v>
      </c>
      <c r="EN145">
        <v>0</v>
      </c>
      <c r="EO145">
        <v>0</v>
      </c>
      <c r="EY145">
        <v>0</v>
      </c>
      <c r="EZ145">
        <v>0</v>
      </c>
      <c r="FA145">
        <v>0</v>
      </c>
      <c r="FB145">
        <v>0</v>
      </c>
      <c r="FD145" t="s">
        <v>2029</v>
      </c>
      <c r="FF145">
        <v>0</v>
      </c>
      <c r="FG145">
        <v>0</v>
      </c>
      <c r="FR145">
        <v>0</v>
      </c>
      <c r="FS145">
        <v>0</v>
      </c>
      <c r="GD145">
        <v>0</v>
      </c>
      <c r="GL145">
        <v>0</v>
      </c>
      <c r="GM145">
        <v>0</v>
      </c>
      <c r="GN145">
        <v>0</v>
      </c>
      <c r="GP145" t="s">
        <v>1042</v>
      </c>
      <c r="GQ145" t="s">
        <v>2027</v>
      </c>
      <c r="HH145">
        <v>0</v>
      </c>
      <c r="HI145">
        <v>0</v>
      </c>
      <c r="HP145">
        <v>0</v>
      </c>
      <c r="HZ145">
        <v>0</v>
      </c>
      <c r="IA145" t="s">
        <v>2033</v>
      </c>
      <c r="IB145">
        <v>0</v>
      </c>
      <c r="IC145">
        <v>0</v>
      </c>
      <c r="IG145" t="s">
        <v>1042</v>
      </c>
      <c r="IJ145" t="s">
        <v>1042</v>
      </c>
      <c r="IM145">
        <v>0</v>
      </c>
      <c r="IN145" t="s">
        <v>2024</v>
      </c>
      <c r="IO145">
        <v>7897801313957</v>
      </c>
    </row>
    <row r="146" spans="2:251" x14ac:dyDescent="0.35">
      <c r="B146">
        <v>1</v>
      </c>
      <c r="C146">
        <v>1481</v>
      </c>
      <c r="D146">
        <v>0</v>
      </c>
      <c r="E146">
        <v>0</v>
      </c>
      <c r="F146">
        <v>0</v>
      </c>
      <c r="G146">
        <v>0</v>
      </c>
      <c r="H146">
        <v>0</v>
      </c>
      <c r="I146">
        <v>0</v>
      </c>
      <c r="J146" t="s">
        <v>1079</v>
      </c>
      <c r="M146">
        <v>36</v>
      </c>
      <c r="Q146">
        <v>52.5</v>
      </c>
      <c r="S146">
        <v>36</v>
      </c>
      <c r="T146">
        <v>0</v>
      </c>
      <c r="U146">
        <v>0</v>
      </c>
      <c r="W146">
        <v>6.2</v>
      </c>
      <c r="X146" t="s">
        <v>1085</v>
      </c>
      <c r="Y146" t="s">
        <v>1042</v>
      </c>
      <c r="Z146" t="s">
        <v>1042</v>
      </c>
      <c r="AA146" t="s">
        <v>1042</v>
      </c>
      <c r="AB146" t="s">
        <v>1042</v>
      </c>
      <c r="AC146" t="s">
        <v>1042</v>
      </c>
      <c r="AD146" t="s">
        <v>1042</v>
      </c>
      <c r="AE146">
        <v>0.56999999999999995</v>
      </c>
      <c r="AG146">
        <v>0.375</v>
      </c>
      <c r="AH146">
        <v>0</v>
      </c>
      <c r="AI146">
        <v>0</v>
      </c>
      <c r="AJ146">
        <v>0.375</v>
      </c>
      <c r="AK146" t="s">
        <v>1043</v>
      </c>
      <c r="AM146">
        <v>200</v>
      </c>
      <c r="AO146" t="s">
        <v>1044</v>
      </c>
      <c r="AP146">
        <v>0</v>
      </c>
      <c r="AR146" t="s">
        <v>1047</v>
      </c>
      <c r="AV146">
        <v>0</v>
      </c>
      <c r="AW146">
        <v>0</v>
      </c>
      <c r="AX146">
        <v>0</v>
      </c>
      <c r="AY146">
        <v>0</v>
      </c>
      <c r="AZ146">
        <v>0</v>
      </c>
      <c r="BA146">
        <v>0</v>
      </c>
      <c r="BB146">
        <v>0</v>
      </c>
      <c r="BC146" t="s">
        <v>1043</v>
      </c>
      <c r="BD146">
        <v>0</v>
      </c>
      <c r="BE146">
        <v>0</v>
      </c>
      <c r="BJ146" t="s">
        <v>1044</v>
      </c>
      <c r="BM146">
        <v>0</v>
      </c>
      <c r="BN146">
        <v>0</v>
      </c>
      <c r="BO146">
        <v>0</v>
      </c>
      <c r="BP146">
        <v>0</v>
      </c>
      <c r="BQ146">
        <v>0</v>
      </c>
      <c r="BR146">
        <v>0</v>
      </c>
      <c r="BS146">
        <v>0</v>
      </c>
      <c r="BU146">
        <v>0.375</v>
      </c>
      <c r="BV146">
        <v>0.56999999999999995</v>
      </c>
      <c r="BW146">
        <v>0.375</v>
      </c>
      <c r="BX146">
        <v>0</v>
      </c>
      <c r="BY146">
        <v>0</v>
      </c>
      <c r="BZ146">
        <v>0</v>
      </c>
      <c r="CA146">
        <v>0</v>
      </c>
      <c r="CQ146" t="s">
        <v>2031</v>
      </c>
      <c r="CR146">
        <v>0</v>
      </c>
      <c r="CS146">
        <v>0</v>
      </c>
      <c r="CT146">
        <v>0</v>
      </c>
      <c r="CU146">
        <v>0</v>
      </c>
      <c r="CW146" t="s">
        <v>1043</v>
      </c>
      <c r="CX146">
        <v>0</v>
      </c>
      <c r="CY146">
        <v>0</v>
      </c>
      <c r="CZ146">
        <v>0</v>
      </c>
      <c r="DA146">
        <v>0</v>
      </c>
      <c r="DB146">
        <v>0</v>
      </c>
      <c r="DD146">
        <v>0</v>
      </c>
      <c r="DK146">
        <v>0</v>
      </c>
      <c r="DL146">
        <v>0</v>
      </c>
      <c r="DM146">
        <v>0</v>
      </c>
      <c r="DN146">
        <v>0</v>
      </c>
      <c r="DO146">
        <v>0</v>
      </c>
      <c r="DP146">
        <v>0</v>
      </c>
      <c r="DQ146">
        <v>0</v>
      </c>
      <c r="DR146">
        <v>0</v>
      </c>
      <c r="DS146" t="s">
        <v>1043</v>
      </c>
      <c r="DT146" t="s">
        <v>1044</v>
      </c>
      <c r="DU146" t="s">
        <v>1044</v>
      </c>
      <c r="DW146" t="s">
        <v>1042</v>
      </c>
      <c r="DX146">
        <v>0</v>
      </c>
      <c r="DY146" t="s">
        <v>1043</v>
      </c>
      <c r="DZ146">
        <v>0</v>
      </c>
      <c r="EA146">
        <v>0</v>
      </c>
      <c r="EC146">
        <v>0</v>
      </c>
      <c r="EM146">
        <v>0</v>
      </c>
      <c r="EN146">
        <v>0</v>
      </c>
      <c r="EO146">
        <v>0</v>
      </c>
      <c r="EP146" t="s">
        <v>1043</v>
      </c>
      <c r="EX146" t="s">
        <v>2030</v>
      </c>
      <c r="EY146">
        <v>0</v>
      </c>
      <c r="EZ146">
        <v>0</v>
      </c>
      <c r="FA146">
        <v>0</v>
      </c>
      <c r="FB146">
        <v>1</v>
      </c>
      <c r="FC146" t="s">
        <v>1</v>
      </c>
      <c r="FD146" t="s">
        <v>2029</v>
      </c>
      <c r="FE146" t="s">
        <v>1045</v>
      </c>
      <c r="FF146">
        <v>0</v>
      </c>
      <c r="FG146">
        <v>0</v>
      </c>
      <c r="FH146" t="s">
        <v>1045</v>
      </c>
      <c r="FI146" t="s">
        <v>1045</v>
      </c>
      <c r="FJ146" t="s">
        <v>1043</v>
      </c>
      <c r="FR146">
        <v>0</v>
      </c>
      <c r="FS146">
        <v>0</v>
      </c>
      <c r="GA146" t="s">
        <v>1044</v>
      </c>
      <c r="GB146" t="s">
        <v>1044</v>
      </c>
      <c r="GC146" t="s">
        <v>1045</v>
      </c>
      <c r="GD146">
        <v>0</v>
      </c>
      <c r="GH146" t="s">
        <v>1045</v>
      </c>
      <c r="GI146" t="s">
        <v>2028</v>
      </c>
      <c r="GL146">
        <v>0</v>
      </c>
      <c r="GM146">
        <v>0</v>
      </c>
      <c r="GN146">
        <v>0</v>
      </c>
      <c r="GP146" t="s">
        <v>1042</v>
      </c>
      <c r="GQ146" t="s">
        <v>2027</v>
      </c>
      <c r="GS146" t="s">
        <v>1045</v>
      </c>
      <c r="GU146">
        <v>1</v>
      </c>
      <c r="GV146" t="s">
        <v>1045</v>
      </c>
      <c r="GW146" t="s">
        <v>2026</v>
      </c>
      <c r="GZ146" t="s">
        <v>2025</v>
      </c>
      <c r="HH146">
        <v>0</v>
      </c>
      <c r="HI146">
        <v>0</v>
      </c>
      <c r="HK146" t="s">
        <v>1045</v>
      </c>
      <c r="HL146" t="s">
        <v>1045</v>
      </c>
      <c r="HP146">
        <v>0</v>
      </c>
      <c r="HZ146">
        <v>0</v>
      </c>
      <c r="IB146">
        <v>0</v>
      </c>
      <c r="IC146">
        <v>0</v>
      </c>
      <c r="IG146" t="s">
        <v>1042</v>
      </c>
      <c r="IJ146" t="s">
        <v>1042</v>
      </c>
      <c r="IM146">
        <v>0</v>
      </c>
      <c r="IN146" t="s">
        <v>2024</v>
      </c>
      <c r="IO146">
        <v>7897801320337</v>
      </c>
      <c r="IQ146" t="s">
        <v>1045</v>
      </c>
    </row>
    <row r="147" spans="2:251" x14ac:dyDescent="0.35">
      <c r="B147">
        <v>1</v>
      </c>
      <c r="C147">
        <v>1482</v>
      </c>
      <c r="D147">
        <v>0</v>
      </c>
      <c r="E147">
        <v>0</v>
      </c>
      <c r="F147">
        <v>0</v>
      </c>
      <c r="G147">
        <v>0</v>
      </c>
      <c r="H147">
        <v>0</v>
      </c>
      <c r="I147">
        <v>0</v>
      </c>
      <c r="J147" t="s">
        <v>2032</v>
      </c>
      <c r="M147">
        <v>360</v>
      </c>
      <c r="Q147">
        <v>195</v>
      </c>
      <c r="S147">
        <v>360</v>
      </c>
      <c r="T147">
        <v>0</v>
      </c>
      <c r="U147">
        <v>0</v>
      </c>
      <c r="W147">
        <v>3.74</v>
      </c>
      <c r="X147" t="s">
        <v>1085</v>
      </c>
      <c r="Y147" t="s">
        <v>1042</v>
      </c>
      <c r="Z147" t="s">
        <v>1042</v>
      </c>
      <c r="AA147" t="s">
        <v>1042</v>
      </c>
      <c r="AB147" t="s">
        <v>1042</v>
      </c>
      <c r="AC147" t="s">
        <v>1042</v>
      </c>
      <c r="AD147" t="s">
        <v>1042</v>
      </c>
      <c r="AE147">
        <v>0.21</v>
      </c>
      <c r="AG147">
        <v>0.36</v>
      </c>
      <c r="AH147">
        <v>0</v>
      </c>
      <c r="AI147">
        <v>0</v>
      </c>
      <c r="AJ147">
        <v>0.37</v>
      </c>
      <c r="AK147" t="s">
        <v>1043</v>
      </c>
      <c r="AM147">
        <v>200</v>
      </c>
      <c r="AO147" t="s">
        <v>1044</v>
      </c>
      <c r="AP147">
        <v>0</v>
      </c>
      <c r="AR147" t="s">
        <v>1047</v>
      </c>
      <c r="AV147">
        <v>0</v>
      </c>
      <c r="AW147">
        <v>0</v>
      </c>
      <c r="AX147">
        <v>0</v>
      </c>
      <c r="AY147">
        <v>0</v>
      </c>
      <c r="AZ147">
        <v>0</v>
      </c>
      <c r="BA147">
        <v>0</v>
      </c>
      <c r="BB147">
        <v>0</v>
      </c>
      <c r="BC147" t="s">
        <v>1043</v>
      </c>
      <c r="BD147">
        <v>0</v>
      </c>
      <c r="BE147">
        <v>0</v>
      </c>
      <c r="BJ147" t="s">
        <v>1044</v>
      </c>
      <c r="BM147">
        <v>0</v>
      </c>
      <c r="BN147">
        <v>0</v>
      </c>
      <c r="BO147">
        <v>0</v>
      </c>
      <c r="BP147">
        <v>0</v>
      </c>
      <c r="BQ147">
        <v>0</v>
      </c>
      <c r="BR147">
        <v>0</v>
      </c>
      <c r="BS147">
        <v>0</v>
      </c>
      <c r="BU147">
        <v>0.37</v>
      </c>
      <c r="BV147">
        <v>0.22</v>
      </c>
      <c r="BW147">
        <v>0.37</v>
      </c>
      <c r="BX147">
        <v>0</v>
      </c>
      <c r="BY147">
        <v>0</v>
      </c>
      <c r="BZ147">
        <v>0</v>
      </c>
      <c r="CA147">
        <v>0</v>
      </c>
      <c r="CQ147" t="s">
        <v>2031</v>
      </c>
      <c r="CR147">
        <v>0</v>
      </c>
      <c r="CS147">
        <v>0</v>
      </c>
      <c r="CT147">
        <v>0</v>
      </c>
      <c r="CU147">
        <v>0</v>
      </c>
      <c r="CW147" t="s">
        <v>1043</v>
      </c>
      <c r="CX147">
        <v>0</v>
      </c>
      <c r="CY147">
        <v>0</v>
      </c>
      <c r="CZ147">
        <v>0</v>
      </c>
      <c r="DA147">
        <v>0</v>
      </c>
      <c r="DB147">
        <v>0</v>
      </c>
      <c r="DD147">
        <v>0</v>
      </c>
      <c r="DK147">
        <v>0</v>
      </c>
      <c r="DL147">
        <v>0</v>
      </c>
      <c r="DM147">
        <v>0</v>
      </c>
      <c r="DN147">
        <v>0</v>
      </c>
      <c r="DO147">
        <v>0</v>
      </c>
      <c r="DP147">
        <v>0</v>
      </c>
      <c r="DQ147">
        <v>0</v>
      </c>
      <c r="DR147">
        <v>0</v>
      </c>
      <c r="DS147" t="s">
        <v>1043</v>
      </c>
      <c r="DT147" t="s">
        <v>1044</v>
      </c>
      <c r="DU147" t="s">
        <v>1044</v>
      </c>
      <c r="DW147" t="s">
        <v>1042</v>
      </c>
      <c r="DX147">
        <v>0</v>
      </c>
      <c r="DY147" t="s">
        <v>1043</v>
      </c>
      <c r="DZ147">
        <v>0</v>
      </c>
      <c r="EA147">
        <v>0</v>
      </c>
      <c r="EC147">
        <v>0</v>
      </c>
      <c r="EM147">
        <v>0</v>
      </c>
      <c r="EN147">
        <v>0</v>
      </c>
      <c r="EO147">
        <v>0</v>
      </c>
      <c r="EP147" t="s">
        <v>1043</v>
      </c>
      <c r="EX147" t="s">
        <v>2030</v>
      </c>
      <c r="EY147">
        <v>0</v>
      </c>
      <c r="EZ147">
        <v>0</v>
      </c>
      <c r="FA147">
        <v>0</v>
      </c>
      <c r="FB147">
        <v>1</v>
      </c>
      <c r="FC147" t="s">
        <v>1</v>
      </c>
      <c r="FD147" t="s">
        <v>2029</v>
      </c>
      <c r="FE147" t="s">
        <v>1045</v>
      </c>
      <c r="FF147">
        <v>0</v>
      </c>
      <c r="FG147">
        <v>0</v>
      </c>
      <c r="FH147" t="s">
        <v>1045</v>
      </c>
      <c r="FI147" t="s">
        <v>1045</v>
      </c>
      <c r="FJ147" t="s">
        <v>1043</v>
      </c>
      <c r="FR147">
        <v>0</v>
      </c>
      <c r="FS147">
        <v>0</v>
      </c>
      <c r="GA147" t="s">
        <v>1044</v>
      </c>
      <c r="GB147" t="s">
        <v>1044</v>
      </c>
      <c r="GC147" t="s">
        <v>1045</v>
      </c>
      <c r="GD147">
        <v>0</v>
      </c>
      <c r="GH147" t="s">
        <v>1045</v>
      </c>
      <c r="GI147" t="s">
        <v>2028</v>
      </c>
      <c r="GL147">
        <v>0</v>
      </c>
      <c r="GM147">
        <v>0</v>
      </c>
      <c r="GN147">
        <v>0</v>
      </c>
      <c r="GP147" t="s">
        <v>1042</v>
      </c>
      <c r="GQ147" t="s">
        <v>2027</v>
      </c>
      <c r="GS147" t="s">
        <v>1045</v>
      </c>
      <c r="GU147">
        <v>1</v>
      </c>
      <c r="GV147" t="s">
        <v>1045</v>
      </c>
      <c r="GW147" t="s">
        <v>2026</v>
      </c>
      <c r="GZ147" t="s">
        <v>2025</v>
      </c>
      <c r="HH147">
        <v>0</v>
      </c>
      <c r="HI147">
        <v>0</v>
      </c>
      <c r="HK147" t="s">
        <v>1045</v>
      </c>
      <c r="HL147" t="s">
        <v>1045</v>
      </c>
      <c r="HP147">
        <v>0</v>
      </c>
      <c r="HZ147">
        <v>0</v>
      </c>
      <c r="IB147">
        <v>0</v>
      </c>
      <c r="IC147">
        <v>0</v>
      </c>
      <c r="IG147" t="s">
        <v>1042</v>
      </c>
      <c r="IJ147" t="s">
        <v>1042</v>
      </c>
      <c r="IM147">
        <v>0</v>
      </c>
      <c r="IN147" t="s">
        <v>2024</v>
      </c>
      <c r="IO147">
        <v>7897801320443</v>
      </c>
      <c r="IQ147" t="s">
        <v>1045</v>
      </c>
    </row>
    <row r="148" spans="2:251" x14ac:dyDescent="0.35">
      <c r="B148">
        <v>1</v>
      </c>
      <c r="C148">
        <v>1483</v>
      </c>
      <c r="D148">
        <v>0</v>
      </c>
      <c r="E148">
        <v>0</v>
      </c>
      <c r="F148">
        <v>0</v>
      </c>
      <c r="G148">
        <v>0</v>
      </c>
      <c r="H148">
        <v>0</v>
      </c>
      <c r="I148">
        <v>0</v>
      </c>
      <c r="J148" t="s">
        <v>763</v>
      </c>
      <c r="M148">
        <v>360</v>
      </c>
      <c r="Q148">
        <v>340</v>
      </c>
      <c r="S148">
        <v>360</v>
      </c>
      <c r="T148">
        <v>0</v>
      </c>
      <c r="U148">
        <v>0</v>
      </c>
      <c r="W148">
        <v>4.9321000000000002</v>
      </c>
      <c r="X148" t="s">
        <v>1085</v>
      </c>
      <c r="Y148" t="s">
        <v>1042</v>
      </c>
      <c r="Z148" t="s">
        <v>1042</v>
      </c>
      <c r="AA148" t="s">
        <v>1042</v>
      </c>
      <c r="AB148" t="s">
        <v>1042</v>
      </c>
      <c r="AC148" t="s">
        <v>1042</v>
      </c>
      <c r="AD148" t="s">
        <v>1042</v>
      </c>
      <c r="AE148">
        <v>0</v>
      </c>
      <c r="AG148">
        <v>0</v>
      </c>
      <c r="AH148">
        <v>0</v>
      </c>
      <c r="AI148">
        <v>0</v>
      </c>
      <c r="AJ148">
        <v>0</v>
      </c>
      <c r="AK148" t="s">
        <v>1043</v>
      </c>
      <c r="AM148">
        <v>200</v>
      </c>
      <c r="AO148" t="s">
        <v>1044</v>
      </c>
      <c r="AP148">
        <v>0</v>
      </c>
      <c r="AR148" t="s">
        <v>1047</v>
      </c>
      <c r="AV148">
        <v>0</v>
      </c>
      <c r="AW148">
        <v>0</v>
      </c>
      <c r="AX148">
        <v>0</v>
      </c>
      <c r="AY148">
        <v>0</v>
      </c>
      <c r="AZ148">
        <v>0</v>
      </c>
      <c r="BA148">
        <v>0</v>
      </c>
      <c r="BB148">
        <v>0</v>
      </c>
      <c r="BC148" t="s">
        <v>1043</v>
      </c>
      <c r="BD148">
        <v>0</v>
      </c>
      <c r="BE148">
        <v>0</v>
      </c>
      <c r="BJ148" t="s">
        <v>1044</v>
      </c>
      <c r="BM148">
        <v>0</v>
      </c>
      <c r="BN148">
        <v>0</v>
      </c>
      <c r="BO148">
        <v>0</v>
      </c>
      <c r="BP148">
        <v>0</v>
      </c>
      <c r="BQ148">
        <v>0</v>
      </c>
      <c r="BR148">
        <v>0</v>
      </c>
      <c r="BS148">
        <v>0</v>
      </c>
      <c r="BU148">
        <v>0.375</v>
      </c>
      <c r="BV148">
        <v>0.36</v>
      </c>
      <c r="BW148">
        <v>0.375</v>
      </c>
      <c r="BX148">
        <v>0</v>
      </c>
      <c r="BY148">
        <v>0</v>
      </c>
      <c r="BZ148">
        <v>0</v>
      </c>
      <c r="CA148">
        <v>0</v>
      </c>
      <c r="CQ148" t="s">
        <v>2031</v>
      </c>
      <c r="CR148">
        <v>0</v>
      </c>
      <c r="CS148">
        <v>0</v>
      </c>
      <c r="CT148">
        <v>0</v>
      </c>
      <c r="CU148">
        <v>0</v>
      </c>
      <c r="CW148" t="s">
        <v>1043</v>
      </c>
      <c r="CX148">
        <v>0</v>
      </c>
      <c r="CY148">
        <v>0</v>
      </c>
      <c r="CZ148">
        <v>0</v>
      </c>
      <c r="DA148">
        <v>0</v>
      </c>
      <c r="DB148">
        <v>0</v>
      </c>
      <c r="DD148">
        <v>0</v>
      </c>
      <c r="DK148">
        <v>0</v>
      </c>
      <c r="DL148">
        <v>0</v>
      </c>
      <c r="DM148">
        <v>0</v>
      </c>
      <c r="DN148">
        <v>0</v>
      </c>
      <c r="DO148">
        <v>0</v>
      </c>
      <c r="DP148">
        <v>0</v>
      </c>
      <c r="DQ148">
        <v>0</v>
      </c>
      <c r="DR148">
        <v>0</v>
      </c>
      <c r="DS148" t="s">
        <v>1043</v>
      </c>
      <c r="DT148" t="s">
        <v>1044</v>
      </c>
      <c r="DU148" t="s">
        <v>1044</v>
      </c>
      <c r="DW148" t="s">
        <v>1042</v>
      </c>
      <c r="DX148">
        <v>0</v>
      </c>
      <c r="DY148" t="s">
        <v>1043</v>
      </c>
      <c r="DZ148">
        <v>0</v>
      </c>
      <c r="EA148">
        <v>0</v>
      </c>
      <c r="EC148">
        <v>0</v>
      </c>
      <c r="EM148">
        <v>0</v>
      </c>
      <c r="EN148">
        <v>0</v>
      </c>
      <c r="EO148">
        <v>0</v>
      </c>
      <c r="EP148" t="s">
        <v>1043</v>
      </c>
      <c r="EX148" t="s">
        <v>2030</v>
      </c>
      <c r="EY148">
        <v>0</v>
      </c>
      <c r="EZ148">
        <v>0</v>
      </c>
      <c r="FA148">
        <v>0</v>
      </c>
      <c r="FB148">
        <v>1</v>
      </c>
      <c r="FC148" t="s">
        <v>1</v>
      </c>
      <c r="FD148" t="s">
        <v>2029</v>
      </c>
      <c r="FE148" t="s">
        <v>1045</v>
      </c>
      <c r="FF148">
        <v>0</v>
      </c>
      <c r="FG148">
        <v>0</v>
      </c>
      <c r="FH148" t="s">
        <v>1045</v>
      </c>
      <c r="FI148" t="s">
        <v>1045</v>
      </c>
      <c r="FJ148" t="s">
        <v>1043</v>
      </c>
      <c r="FR148">
        <v>0</v>
      </c>
      <c r="FS148">
        <v>0</v>
      </c>
      <c r="GA148" t="s">
        <v>1044</v>
      </c>
      <c r="GB148" t="s">
        <v>1044</v>
      </c>
      <c r="GC148" t="s">
        <v>1045</v>
      </c>
      <c r="GD148">
        <v>0</v>
      </c>
      <c r="GH148" t="s">
        <v>1045</v>
      </c>
      <c r="GI148" t="s">
        <v>2028</v>
      </c>
      <c r="GL148">
        <v>0</v>
      </c>
      <c r="GM148">
        <v>0</v>
      </c>
      <c r="GN148">
        <v>0</v>
      </c>
      <c r="GP148" t="s">
        <v>1042</v>
      </c>
      <c r="GQ148" t="s">
        <v>2027</v>
      </c>
      <c r="GS148" t="s">
        <v>1045</v>
      </c>
      <c r="GU148">
        <v>1</v>
      </c>
      <c r="GV148" t="s">
        <v>1045</v>
      </c>
      <c r="GW148" t="s">
        <v>2026</v>
      </c>
      <c r="GZ148" t="s">
        <v>2025</v>
      </c>
      <c r="HH148">
        <v>0</v>
      </c>
      <c r="HI148">
        <v>0</v>
      </c>
      <c r="HK148" t="s">
        <v>1045</v>
      </c>
      <c r="HL148" t="s">
        <v>1045</v>
      </c>
      <c r="HP148">
        <v>0</v>
      </c>
      <c r="HZ148">
        <v>0</v>
      </c>
      <c r="IB148">
        <v>0</v>
      </c>
      <c r="IC148">
        <v>0</v>
      </c>
      <c r="IG148" t="s">
        <v>1042</v>
      </c>
      <c r="IJ148" t="s">
        <v>1042</v>
      </c>
      <c r="IM148">
        <v>0</v>
      </c>
      <c r="IN148" t="s">
        <v>2024</v>
      </c>
      <c r="IO148">
        <v>7897801320450</v>
      </c>
      <c r="IQ148" t="s">
        <v>1045</v>
      </c>
    </row>
    <row r="149" spans="2:251" x14ac:dyDescent="0.35">
      <c r="B149">
        <v>1</v>
      </c>
      <c r="C149">
        <v>1484</v>
      </c>
      <c r="D149">
        <v>0</v>
      </c>
      <c r="E149">
        <v>0</v>
      </c>
      <c r="F149">
        <v>0</v>
      </c>
      <c r="G149">
        <v>0</v>
      </c>
      <c r="H149">
        <v>0</v>
      </c>
      <c r="I149">
        <v>0</v>
      </c>
      <c r="J149" t="s">
        <v>764</v>
      </c>
      <c r="M149">
        <v>37</v>
      </c>
      <c r="Q149">
        <v>17</v>
      </c>
      <c r="S149">
        <v>37</v>
      </c>
      <c r="T149">
        <v>0</v>
      </c>
      <c r="U149">
        <v>0</v>
      </c>
      <c r="W149">
        <v>3.6859999999999999</v>
      </c>
      <c r="X149" t="s">
        <v>1085</v>
      </c>
      <c r="Y149" t="s">
        <v>1042</v>
      </c>
      <c r="Z149" t="s">
        <v>1042</v>
      </c>
      <c r="AA149" t="s">
        <v>1042</v>
      </c>
      <c r="AB149" t="s">
        <v>1042</v>
      </c>
      <c r="AC149" t="s">
        <v>1042</v>
      </c>
      <c r="AD149" t="s">
        <v>1042</v>
      </c>
      <c r="AE149">
        <v>0.21</v>
      </c>
      <c r="AG149">
        <v>0.375</v>
      </c>
      <c r="AH149">
        <v>0</v>
      </c>
      <c r="AI149">
        <v>0</v>
      </c>
      <c r="AJ149">
        <v>0.375</v>
      </c>
      <c r="AK149" t="s">
        <v>1043</v>
      </c>
      <c r="AM149">
        <v>200</v>
      </c>
      <c r="AO149" t="s">
        <v>1044</v>
      </c>
      <c r="AP149">
        <v>0</v>
      </c>
      <c r="AR149" t="s">
        <v>1047</v>
      </c>
      <c r="AV149">
        <v>0</v>
      </c>
      <c r="AW149">
        <v>0</v>
      </c>
      <c r="AX149">
        <v>0</v>
      </c>
      <c r="AY149">
        <v>0</v>
      </c>
      <c r="AZ149">
        <v>0</v>
      </c>
      <c r="BA149">
        <v>0</v>
      </c>
      <c r="BB149">
        <v>0</v>
      </c>
      <c r="BC149" t="s">
        <v>1043</v>
      </c>
      <c r="BD149">
        <v>0</v>
      </c>
      <c r="BE149">
        <v>0</v>
      </c>
      <c r="BJ149" t="s">
        <v>1044</v>
      </c>
      <c r="BM149">
        <v>0</v>
      </c>
      <c r="BN149">
        <v>0</v>
      </c>
      <c r="BO149">
        <v>0</v>
      </c>
      <c r="BP149">
        <v>0</v>
      </c>
      <c r="BQ149">
        <v>0</v>
      </c>
      <c r="BR149">
        <v>0</v>
      </c>
      <c r="BS149">
        <v>0</v>
      </c>
      <c r="BU149">
        <v>0.375</v>
      </c>
      <c r="BV149">
        <v>0.21</v>
      </c>
      <c r="BW149">
        <v>0.375</v>
      </c>
      <c r="BX149">
        <v>0</v>
      </c>
      <c r="BY149">
        <v>0</v>
      </c>
      <c r="BZ149">
        <v>0</v>
      </c>
      <c r="CA149">
        <v>0</v>
      </c>
      <c r="CQ149" t="s">
        <v>2031</v>
      </c>
      <c r="CR149">
        <v>0</v>
      </c>
      <c r="CS149">
        <v>0</v>
      </c>
      <c r="CT149">
        <v>0</v>
      </c>
      <c r="CU149">
        <v>0</v>
      </c>
      <c r="CW149" t="s">
        <v>1043</v>
      </c>
      <c r="CX149">
        <v>0</v>
      </c>
      <c r="CY149">
        <v>0</v>
      </c>
      <c r="CZ149">
        <v>0</v>
      </c>
      <c r="DA149">
        <v>0</v>
      </c>
      <c r="DB149">
        <v>0</v>
      </c>
      <c r="DD149">
        <v>0</v>
      </c>
      <c r="DK149">
        <v>0</v>
      </c>
      <c r="DL149">
        <v>0</v>
      </c>
      <c r="DM149">
        <v>0</v>
      </c>
      <c r="DN149">
        <v>0</v>
      </c>
      <c r="DO149">
        <v>0</v>
      </c>
      <c r="DP149">
        <v>0</v>
      </c>
      <c r="DQ149">
        <v>0</v>
      </c>
      <c r="DR149">
        <v>0</v>
      </c>
      <c r="DS149" t="s">
        <v>1043</v>
      </c>
      <c r="DT149" t="s">
        <v>1044</v>
      </c>
      <c r="DU149" t="s">
        <v>1044</v>
      </c>
      <c r="DW149" t="s">
        <v>1042</v>
      </c>
      <c r="DX149">
        <v>0</v>
      </c>
      <c r="DY149" t="s">
        <v>1043</v>
      </c>
      <c r="DZ149">
        <v>0</v>
      </c>
      <c r="EA149">
        <v>0</v>
      </c>
      <c r="EC149">
        <v>0</v>
      </c>
      <c r="EM149">
        <v>0</v>
      </c>
      <c r="EN149">
        <v>0</v>
      </c>
      <c r="EO149">
        <v>0</v>
      </c>
      <c r="EP149" t="s">
        <v>1043</v>
      </c>
      <c r="EX149" t="s">
        <v>2030</v>
      </c>
      <c r="EY149">
        <v>0</v>
      </c>
      <c r="EZ149">
        <v>0</v>
      </c>
      <c r="FA149">
        <v>0</v>
      </c>
      <c r="FB149">
        <v>1</v>
      </c>
      <c r="FC149" t="s">
        <v>1</v>
      </c>
      <c r="FD149" t="s">
        <v>2029</v>
      </c>
      <c r="FE149" t="s">
        <v>1045</v>
      </c>
      <c r="FF149">
        <v>0</v>
      </c>
      <c r="FG149">
        <v>0</v>
      </c>
      <c r="FH149" t="s">
        <v>1045</v>
      </c>
      <c r="FI149" t="s">
        <v>1045</v>
      </c>
      <c r="FJ149" t="s">
        <v>1043</v>
      </c>
      <c r="FR149">
        <v>0</v>
      </c>
      <c r="FS149">
        <v>0</v>
      </c>
      <c r="GA149" t="s">
        <v>1044</v>
      </c>
      <c r="GB149" t="s">
        <v>1044</v>
      </c>
      <c r="GC149" t="s">
        <v>1045</v>
      </c>
      <c r="GD149">
        <v>0</v>
      </c>
      <c r="GH149" t="s">
        <v>1045</v>
      </c>
      <c r="GI149" t="s">
        <v>2028</v>
      </c>
      <c r="GL149">
        <v>0</v>
      </c>
      <c r="GM149">
        <v>0</v>
      </c>
      <c r="GN149">
        <v>0</v>
      </c>
      <c r="GP149" t="s">
        <v>1042</v>
      </c>
      <c r="GQ149" t="s">
        <v>2027</v>
      </c>
      <c r="GS149" t="s">
        <v>1045</v>
      </c>
      <c r="GU149">
        <v>1</v>
      </c>
      <c r="GV149" t="s">
        <v>1045</v>
      </c>
      <c r="GW149" t="s">
        <v>2026</v>
      </c>
      <c r="GZ149" t="s">
        <v>2025</v>
      </c>
      <c r="HH149">
        <v>0</v>
      </c>
      <c r="HI149">
        <v>0</v>
      </c>
      <c r="HK149" t="s">
        <v>1045</v>
      </c>
      <c r="HL149" t="s">
        <v>1045</v>
      </c>
      <c r="HP149">
        <v>0</v>
      </c>
      <c r="HZ149">
        <v>0</v>
      </c>
      <c r="IB149">
        <v>0</v>
      </c>
      <c r="IC149">
        <v>0</v>
      </c>
      <c r="IG149" t="s">
        <v>1042</v>
      </c>
      <c r="IJ149" t="s">
        <v>1042</v>
      </c>
      <c r="IM149">
        <v>0</v>
      </c>
      <c r="IN149" t="s">
        <v>2024</v>
      </c>
      <c r="IQ149" t="s">
        <v>1045</v>
      </c>
    </row>
    <row r="150" spans="2:251" x14ac:dyDescent="0.35">
      <c r="B150">
        <v>1</v>
      </c>
      <c r="C150">
        <v>1485</v>
      </c>
      <c r="D150">
        <v>0</v>
      </c>
      <c r="E150">
        <v>0</v>
      </c>
      <c r="F150">
        <v>0</v>
      </c>
      <c r="G150">
        <v>0</v>
      </c>
      <c r="H150">
        <v>0</v>
      </c>
      <c r="I150">
        <v>0</v>
      </c>
      <c r="J150" t="s">
        <v>765</v>
      </c>
      <c r="M150">
        <v>300</v>
      </c>
      <c r="Q150">
        <v>210</v>
      </c>
      <c r="S150">
        <v>300</v>
      </c>
      <c r="T150">
        <v>0</v>
      </c>
      <c r="U150">
        <v>0</v>
      </c>
      <c r="W150">
        <v>0</v>
      </c>
      <c r="Y150" t="s">
        <v>1042</v>
      </c>
      <c r="Z150" t="s">
        <v>1042</v>
      </c>
      <c r="AA150" t="s">
        <v>1042</v>
      </c>
      <c r="AB150" t="s">
        <v>1042</v>
      </c>
      <c r="AC150" t="s">
        <v>1042</v>
      </c>
      <c r="AD150" t="s">
        <v>1042</v>
      </c>
      <c r="AE150">
        <v>0.21</v>
      </c>
      <c r="AG150">
        <v>0.3</v>
      </c>
      <c r="AH150">
        <v>0</v>
      </c>
      <c r="AI150">
        <v>0</v>
      </c>
      <c r="AJ150">
        <v>0.3</v>
      </c>
      <c r="AK150" t="s">
        <v>1044</v>
      </c>
      <c r="AM150">
        <v>200</v>
      </c>
      <c r="AO150" t="s">
        <v>1044</v>
      </c>
      <c r="AP150">
        <v>0</v>
      </c>
      <c r="AR150" t="s">
        <v>1047</v>
      </c>
      <c r="AV150">
        <v>0</v>
      </c>
      <c r="AW150">
        <v>0</v>
      </c>
      <c r="AX150">
        <v>0</v>
      </c>
      <c r="AY150">
        <v>0</v>
      </c>
      <c r="AZ150">
        <v>0</v>
      </c>
      <c r="BA150">
        <v>0</v>
      </c>
      <c r="BB150">
        <v>0</v>
      </c>
      <c r="BC150" t="s">
        <v>1043</v>
      </c>
      <c r="BD150">
        <v>0</v>
      </c>
      <c r="BE150">
        <v>0</v>
      </c>
      <c r="BJ150" t="s">
        <v>1044</v>
      </c>
      <c r="BM150">
        <v>0</v>
      </c>
      <c r="BN150">
        <v>0</v>
      </c>
      <c r="BO150">
        <v>0</v>
      </c>
      <c r="BP150">
        <v>0</v>
      </c>
      <c r="BQ150">
        <v>0</v>
      </c>
      <c r="BR150">
        <v>0</v>
      </c>
      <c r="BS150">
        <v>0</v>
      </c>
      <c r="BU150">
        <v>0.3</v>
      </c>
      <c r="BV150">
        <v>0.21</v>
      </c>
      <c r="BW150">
        <v>0.3</v>
      </c>
      <c r="BX150">
        <v>0</v>
      </c>
      <c r="BY150">
        <v>0</v>
      </c>
      <c r="BZ150">
        <v>0</v>
      </c>
      <c r="CA150">
        <v>0</v>
      </c>
      <c r="CQ150" t="s">
        <v>2031</v>
      </c>
      <c r="CR150">
        <v>0</v>
      </c>
      <c r="CS150">
        <v>0</v>
      </c>
      <c r="CT150">
        <v>0</v>
      </c>
      <c r="CU150">
        <v>0</v>
      </c>
      <c r="CW150" t="s">
        <v>1043</v>
      </c>
      <c r="CX150">
        <v>0</v>
      </c>
      <c r="CY150">
        <v>0</v>
      </c>
      <c r="CZ150">
        <v>0</v>
      </c>
      <c r="DA150">
        <v>0</v>
      </c>
      <c r="DB150">
        <v>0</v>
      </c>
      <c r="DD150">
        <v>0</v>
      </c>
      <c r="DK150">
        <v>0</v>
      </c>
      <c r="DL150">
        <v>0</v>
      </c>
      <c r="DM150">
        <v>0</v>
      </c>
      <c r="DN150">
        <v>0</v>
      </c>
      <c r="DO150">
        <v>0</v>
      </c>
      <c r="DP150">
        <v>0</v>
      </c>
      <c r="DQ150">
        <v>0</v>
      </c>
      <c r="DR150">
        <v>0</v>
      </c>
      <c r="DS150" t="s">
        <v>1043</v>
      </c>
      <c r="DT150" t="s">
        <v>1044</v>
      </c>
      <c r="DU150" t="s">
        <v>1044</v>
      </c>
      <c r="DW150" t="s">
        <v>1042</v>
      </c>
      <c r="DX150">
        <v>0</v>
      </c>
      <c r="DY150" t="s">
        <v>1043</v>
      </c>
      <c r="DZ150">
        <v>0</v>
      </c>
      <c r="EA150">
        <v>0</v>
      </c>
      <c r="EC150">
        <v>0</v>
      </c>
      <c r="EM150">
        <v>0</v>
      </c>
      <c r="EN150">
        <v>0</v>
      </c>
      <c r="EO150">
        <v>0</v>
      </c>
      <c r="EP150" t="s">
        <v>1043</v>
      </c>
      <c r="EX150" t="s">
        <v>2030</v>
      </c>
      <c r="EY150">
        <v>0</v>
      </c>
      <c r="EZ150">
        <v>0</v>
      </c>
      <c r="FA150">
        <v>0</v>
      </c>
      <c r="FB150">
        <v>1</v>
      </c>
      <c r="FC150" t="s">
        <v>1</v>
      </c>
      <c r="FD150" t="s">
        <v>2029</v>
      </c>
      <c r="FE150" t="s">
        <v>1045</v>
      </c>
      <c r="FF150">
        <v>0</v>
      </c>
      <c r="FG150">
        <v>0</v>
      </c>
      <c r="FH150" t="s">
        <v>1045</v>
      </c>
      <c r="FI150" t="s">
        <v>1045</v>
      </c>
      <c r="FJ150" t="s">
        <v>1043</v>
      </c>
      <c r="FR150">
        <v>0</v>
      </c>
      <c r="FS150">
        <v>0</v>
      </c>
      <c r="GA150" t="s">
        <v>1044</v>
      </c>
      <c r="GB150" t="s">
        <v>1044</v>
      </c>
      <c r="GC150" t="s">
        <v>1045</v>
      </c>
      <c r="GD150">
        <v>0</v>
      </c>
      <c r="GH150" t="s">
        <v>1045</v>
      </c>
      <c r="GI150" t="s">
        <v>2028</v>
      </c>
      <c r="GL150">
        <v>0</v>
      </c>
      <c r="GM150">
        <v>0</v>
      </c>
      <c r="GN150">
        <v>0</v>
      </c>
      <c r="GP150" t="s">
        <v>1042</v>
      </c>
      <c r="GQ150" t="s">
        <v>2027</v>
      </c>
      <c r="GS150" t="s">
        <v>1045</v>
      </c>
      <c r="GU150">
        <v>1</v>
      </c>
      <c r="GV150" t="s">
        <v>1045</v>
      </c>
      <c r="GW150" t="s">
        <v>2026</v>
      </c>
      <c r="GZ150" t="s">
        <v>2025</v>
      </c>
      <c r="HH150">
        <v>0</v>
      </c>
      <c r="HI150">
        <v>0</v>
      </c>
      <c r="HK150" t="s">
        <v>1045</v>
      </c>
      <c r="HL150" t="s">
        <v>1045</v>
      </c>
      <c r="HP150">
        <v>0</v>
      </c>
      <c r="HZ150">
        <v>0</v>
      </c>
      <c r="IB150">
        <v>0</v>
      </c>
      <c r="IC150">
        <v>0</v>
      </c>
      <c r="IG150" t="s">
        <v>1042</v>
      </c>
      <c r="IJ150" t="s">
        <v>1042</v>
      </c>
      <c r="IM150">
        <v>0</v>
      </c>
      <c r="IN150" t="s">
        <v>2024</v>
      </c>
      <c r="IQ150" t="s">
        <v>1045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DADOS MATRIZ</vt:lpstr>
      <vt:lpstr>DADOS NE_GO</vt:lpstr>
      <vt:lpstr>informações de produtos</vt:lpstr>
      <vt:lpstr>Resumo</vt:lpstr>
      <vt:lpstr>SB1</vt:lpstr>
      <vt:lpstr>SB5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da Silva</dc:creator>
  <cp:lastModifiedBy>Daiane Weizenmann da Silva</cp:lastModifiedBy>
  <dcterms:created xsi:type="dcterms:W3CDTF">2022-02-18T17:06:14Z</dcterms:created>
  <dcterms:modified xsi:type="dcterms:W3CDTF">2025-05-12T20:37:08Z</dcterms:modified>
</cp:coreProperties>
</file>